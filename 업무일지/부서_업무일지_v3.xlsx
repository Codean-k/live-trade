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목록_직무구분">코드설정!$H$5:$H$7</definedName>
    <definedName name="목록_세부유형">코드설정!$B$5:$B$21</definedName>
    <definedName name="목록_담당자">코드설정!$C$5:$C$24</definedName>
    <definedName name="목록_요청처">코드설정!$E$5:$E$14</definedName>
    <definedName name="목록_진행상태">코드설정!$F$5:$F$7</definedName>
    <definedName name="목록_일일구분">코드설정!$G$5:$G$14</definedName>
    <definedName name="목록_팀">코드설정!$I$5:$I$14</definedName>
    <definedName name="목록_사건번호">사건마스터!$A$5:$A$64</definedName>
    <definedName name="목록_장비구분">코드설정!$M$5:$M$14</definedName>
    <definedName name="목록_장비상태">코드설정!$O$5:$O$8</definedName>
    <definedName name="목록_관리번호">'장비·매체 관리'!$A$6:$A$105</definedName>
    <definedName name="_xlnm._FilterDatabase" localSheetId="2" hidden="1">'업무일지'!$A$4:$AH$1004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같은 사건번호가 몇 번째로 기록되는지 자동으로 셉니다. 참관인 일정 때문에 모바일 분석을 3일에 나눠 했다면 1·2·3회차가 되고, 통계에서는 [회차]와 [사건 수]를 따로 집계합니다.</t>
      </text>
    </comment>
    <comment ref="H4" authorId="0" shapeId="0">
      <text>
        <t>사건번호를 고르면 자동으로 채워집니다. 사건번호가 없는 업무는 이 칸에 직접 입력하세요(수식이 지워집니다).</t>
      </text>
    </comment>
    <comment ref="J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Z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B6" authorId="0" shapeId="0">
      <text>
        <t>회차 = 업무일지에 기록된 줄 수입니다. 같은 사건을 여러 날 나눠 하면 그만큼 늘어납니다.</t>
      </text>
    </comment>
    <comment ref="C6" authorId="0" shapeId="0">
      <text>
        <t>그 달에 출장 작업이 있었던 사건의 개수입니다. 같은 사건에 압수수색을 두 번 나가도 1로 셉니다. 달마다 세므로 12개월을 더하면 중복이 생겨, 합계 칸은 연간 기준으로 따로 계산합니다.</t>
      </text>
    </comment>
    <comment ref="E6" authorId="0" shapeId="0">
      <text>
        <t>그 달에 분석 작업이 있었던 사건의 개수입니다. 참관 일정 때문에 모바일 분석을 3회로 나눠 했어도 1로 셉니다.</t>
      </text>
    </comment>
    <comment ref="F6" authorId="0" shapeId="0">
      <text>
        <t>교육은 사건과 묶이지 않으므로 회차만 셉니다.</t>
      </text>
    </comment>
    <comment ref="H6" authorId="0" shapeId="0">
      <text>
        <t>그 달에 어떤 작업이든 있었던 사건의 개수입니다. 한 사건에서 출장과 분석을 모두 했다면 앞의 두 칸에는 각각 1로, 여기에는 1로만 잡힙니다 — 두 칸을 더하지 마세요.</t>
      </text>
    </comment>
    <comment ref="I6" authorId="0" shapeId="0">
      <text>
        <t>그 달에 처음 착수한 사건의 개수입니다([사건별 현황]의 최초 착수일 기준). 12개월을 더하면 그해 새로 들어온 사건 수가 됩니다.</t>
      </text>
    </comment>
  </commentList>
</comments>
</file>

<file path=xl/comments/comment5.xml><?xml version="1.0" encoding="utf-8"?>
<comments xmlns="http://schemas.openxmlformats.org/spreadsheetml/2006/main">
  <authors>
    <author>업무일지</author>
  </authors>
  <commentList>
    <comment ref="H5" authorId="0" shapeId="0">
      <text>
        <t>이 사건에서 출장과 분석을 각각 했는지 보여줍니다. 회차가 몇 번이든 사건 단위로는 한 번으로 봅니다. 합계 칸은 출장을 한 사건 수 / 분석을 한 사건 수입니다.</t>
      </text>
    </comment>
  </commentList>
</comments>
</file>

<file path=xl/comments/comment6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회차 vs 사건</t>
        </is>
      </c>
      <c r="C34" s="5" t="inlineStr">
        <is>
          <t>같은 사건을 참관 일정 때문에 여러 날 나눠 하면 업무일지에 여러 줄이 되고 [회차]가 1·2·3으로 붙습니다. [회차]는 작업량, [사건]은 실제 사건 개수이며 출장·분석을 따로 셉니다.</t>
        </is>
      </c>
    </row>
    <row r="35" ht="17" customHeight="1">
      <c r="B35" s="4" t="inlineStr">
        <is>
          <t>출장/분석 사건</t>
        </is>
      </c>
      <c r="C35" s="5" t="inlineStr">
        <is>
          <t>그 달에 그 종류의 작업이 있었던 사건 개수. 한 사건에 압수수색 1회 + 분석 3회면 출장 사건 1, 분석 사건 1, 전체 사건 1입니다.</t>
        </is>
      </c>
    </row>
    <row r="36" ht="17" customHeight="1">
      <c r="B36" s="4" t="inlineStr">
        <is>
          <t>전체 사건</t>
        </is>
      </c>
      <c r="C36" s="5" t="inlineStr">
        <is>
          <t>출장이든 분석이든 작업이 있었던 사건 개수. [출장 사건] + [분석 사건]과 다릅니다 — 두 칸을 더하지 마세요.</t>
        </is>
      </c>
    </row>
    <row r="37" ht="17" customHeight="1">
      <c r="B37" s="4" t="inlineStr">
        <is>
          <t>신규 사건</t>
        </is>
      </c>
      <c r="C37" s="5" t="inlineStr">
        <is>
          <t>그 달에 처음 착수한 사건의 개수. 이어서 하는 회차는 세지 않으므로 12개월을 더하면 그해 새로 들어온 사건 수가 됩니다.</t>
        </is>
      </c>
    </row>
    <row r="38" ht="17" customHeight="1">
      <c r="B38" s="4" t="inlineStr">
        <is>
          <t>투입인원(명)</t>
        </is>
      </c>
      <c r="C38" s="5" t="inlineStr">
        <is>
          <t>그 건에 들어간 주담당 + 참여자 수. [사건마스터] 배정표에서 자동으로 채워집니다.</t>
        </is>
      </c>
    </row>
    <row r="39" ht="17" customHeight="1">
      <c r="B39" s="4" t="inlineStr">
        <is>
          <t>소요일수</t>
        </is>
      </c>
      <c r="C39" s="5" t="inlineStr">
        <is>
          <t>복귀일 − 출발일 + 1. 출발일과 복귀일을 모두 포함해 셉니다.</t>
        </is>
      </c>
    </row>
    <row r="40" ht="17" customHeight="1">
      <c r="B40" s="4" t="inlineStr">
        <is>
          <t>연인원(명)</t>
        </is>
      </c>
      <c r="C40" s="5" t="inlineStr">
        <is>
          <t>각 건의 투입인원을 그대로 합산 — 같은 사람이 여러 건에 참여하면 중복 계상됩니다.</t>
        </is>
      </c>
    </row>
    <row r="41" ht="17" customHeight="1">
      <c r="B41" s="4" t="inlineStr">
        <is>
          <t>월 귀속</t>
        </is>
      </c>
      <c r="C41" s="5" t="inlineStr">
        <is>
          <t>출장·분석은 '시작일', 일일실시사항은 '일자'가 속한 달로 집계됩니다.</t>
        </is>
      </c>
    </row>
    <row r="42" ht="17" customHeight="1">
      <c r="B42" s="4" t="inlineStr">
        <is>
          <t>팀별 집계</t>
        </is>
      </c>
      <c r="C42" s="5" t="inlineStr">
        <is>
          <t>주담당자의 소속팀 기준입니다.</t>
        </is>
      </c>
    </row>
    <row r="44" ht="20" customHeight="1">
      <c r="B44" s="2" t="inlineStr">
        <is>
          <t>주의</t>
        </is>
      </c>
      <c r="C44" s="3" t="n"/>
    </row>
    <row r="45" ht="17" customHeight="1">
      <c r="B45" s="4" t="inlineStr">
        <is>
          <t>동명이인</t>
        </is>
      </c>
      <c r="C45" s="5" t="inlineStr">
        <is>
          <t>참여자 집계가 이름 부분일치 방식이라 '김디지(1팀)'처럼 반드시 구분해 등록하세요.</t>
        </is>
      </c>
    </row>
    <row r="46" ht="17" customHeight="1">
      <c r="B46" s="4" t="inlineStr">
        <is>
          <t>입력 한도</t>
        </is>
      </c>
      <c r="C46" s="5" t="inlineStr">
        <is>
          <t>업무일지·일일실시사항 각 1000건(5~1004행), 사건 60건, 담당자 20명입니다.</t>
        </is>
      </c>
    </row>
    <row r="47" ht="17" customHeight="1">
      <c r="B47" s="4" t="inlineStr">
        <is>
          <t>월력표 메모</t>
        </is>
      </c>
      <c r="C47" s="5" t="inlineStr">
        <is>
          <t>연·월을 바꿔도 메모 칸은 그대로 남습니다. 한 달이 끝나면 시트를 복사해 보관하세요.</t>
        </is>
      </c>
    </row>
    <row r="48" ht="17" customHeight="1">
      <c r="B48" s="4" t="inlineStr">
        <is>
          <t>참여자 16명 초과</t>
        </is>
      </c>
      <c r="C48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  <c r="X7">
        <f>IF(A7="",0,COUNTIFS(업무일지!$B$5:$B$1004,"&lt;="&amp;A7,업무일지!$C$5:$C$1004,"&gt;="&amp;A7,업무일지!$D$5:$D$1004,"교육"))</f>
        <v/>
      </c>
      <c r="Y7">
        <f>IF(B7="",0,COUNTIFS(업무일지!$B$5:$B$1004,"&lt;="&amp;B7,업무일지!$C$5:$C$1004,"&gt;="&amp;B7,업무일지!$D$5:$D$1004,"교육"))</f>
        <v/>
      </c>
      <c r="Z7">
        <f>IF(C7="",0,COUNTIFS(업무일지!$B$5:$B$1004,"&lt;="&amp;C7,업무일지!$C$5:$C$1004,"&gt;="&amp;C7,업무일지!$D$5:$D$1004,"교육"))</f>
        <v/>
      </c>
      <c r="AA7">
        <f>IF(D7="",0,COUNTIFS(업무일지!$B$5:$B$1004,"&lt;="&amp;D7,업무일지!$C$5:$C$1004,"&gt;="&amp;D7,업무일지!$D$5:$D$1004,"교육"))</f>
        <v/>
      </c>
      <c r="AB7">
        <f>IF(E7="",0,COUNTIFS(업무일지!$B$5:$B$1004,"&lt;="&amp;E7,업무일지!$C$5:$C$1004,"&gt;="&amp;E7,업무일지!$D$5:$D$1004,"교육"))</f>
        <v/>
      </c>
      <c r="AC7">
        <f>IF(F7="",0,COUNTIFS(업무일지!$B$5:$B$1004,"&lt;="&amp;F7,업무일지!$C$5:$C$1004,"&gt;="&amp;F7,업무일지!$D$5:$D$1004,"교육"))</f>
        <v/>
      </c>
      <c r="AD7">
        <f>IF(G7="",0,COUNTIFS(업무일지!$B$5:$B$1004,"&lt;="&amp;G7,업무일지!$C$5:$C$1004,"&gt;="&amp;G7,업무일지!$D$5:$D$1004,"교육"))</f>
        <v/>
      </c>
    </row>
    <row r="8" ht="15" customHeight="1">
      <c r="A8" s="19">
        <f>IF(A7="","",IF(J7+Q7+X7=0,"",IF(J7=0,"","출장 "&amp;J7&amp;"  ")&amp;IF(Q7=0,"","분석 "&amp;Q7&amp;"  ")&amp;IF(X7=0,"","교육 "&amp;X7)))</f>
        <v/>
      </c>
      <c r="B8" s="19">
        <f>IF(B7="","",IF(K7+R7+Y7=0,"",IF(K7=0,"","출장 "&amp;K7&amp;"  ")&amp;IF(R7=0,"","분석 "&amp;R7&amp;"  ")&amp;IF(Y7=0,"","교육 "&amp;Y7)))</f>
        <v/>
      </c>
      <c r="C8" s="19">
        <f>IF(C7="","",IF(L7+S7+Z7=0,"",IF(L7=0,"","출장 "&amp;L7&amp;"  ")&amp;IF(S7=0,"","분석 "&amp;S7&amp;"  ")&amp;IF(Z7=0,"","교육 "&amp;Z7)))</f>
        <v/>
      </c>
      <c r="D8" s="19">
        <f>IF(D7="","",IF(M7+T7+AA7=0,"",IF(M7=0,"","출장 "&amp;M7&amp;"  ")&amp;IF(T7=0,"","분석 "&amp;T7&amp;"  ")&amp;IF(AA7=0,"","교육 "&amp;AA7)))</f>
        <v/>
      </c>
      <c r="E8" s="19">
        <f>IF(E7="","",IF(N7+U7+AB7=0,"",IF(N7=0,"","출장 "&amp;N7&amp;"  ")&amp;IF(U7=0,"","분석 "&amp;U7&amp;"  ")&amp;IF(AB7=0,"","교육 "&amp;AB7)))</f>
        <v/>
      </c>
      <c r="F8" s="19">
        <f>IF(F7="","",IF(O7+V7+AC7=0,"",IF(O7=0,"","출장 "&amp;O7&amp;"  ")&amp;IF(V7=0,"","분석 "&amp;V7&amp;"  ")&amp;IF(AC7=0,"","교육 "&amp;AC7)))</f>
        <v/>
      </c>
      <c r="G8" s="19">
        <f>IF(G7="","",IF(P7+W7+AD7=0,"",IF(P7=0,"","출장 "&amp;P7&amp;"  ")&amp;IF(W7=0,"","분석 "&amp;W7&amp;"  ")&amp;IF(AD7=0,"","교육 "&amp;AD7)))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  <c r="X8">
        <f>IF(A10="",0,COUNTIFS(업무일지!$B$5:$B$1004,"&lt;="&amp;A10,업무일지!$C$5:$C$1004,"&gt;="&amp;A10,업무일지!$D$5:$D$1004,"교육"))</f>
        <v/>
      </c>
      <c r="Y8">
        <f>IF(B10="",0,COUNTIFS(업무일지!$B$5:$B$1004,"&lt;="&amp;B10,업무일지!$C$5:$C$1004,"&gt;="&amp;B10,업무일지!$D$5:$D$1004,"교육"))</f>
        <v/>
      </c>
      <c r="Z8">
        <f>IF(C10="",0,COUNTIFS(업무일지!$B$5:$B$1004,"&lt;="&amp;C10,업무일지!$C$5:$C$1004,"&gt;="&amp;C10,업무일지!$D$5:$D$1004,"교육"))</f>
        <v/>
      </c>
      <c r="AA8">
        <f>IF(D10="",0,COUNTIFS(업무일지!$B$5:$B$1004,"&lt;="&amp;D10,업무일지!$C$5:$C$1004,"&gt;="&amp;D10,업무일지!$D$5:$D$1004,"교육"))</f>
        <v/>
      </c>
      <c r="AB8">
        <f>IF(E10="",0,COUNTIFS(업무일지!$B$5:$B$1004,"&lt;="&amp;E10,업무일지!$C$5:$C$1004,"&gt;="&amp;E10,업무일지!$D$5:$D$1004,"교육"))</f>
        <v/>
      </c>
      <c r="AC8">
        <f>IF(F10="",0,COUNTIFS(업무일지!$B$5:$B$1004,"&lt;="&amp;F10,업무일지!$C$5:$C$1004,"&gt;="&amp;F10,업무일지!$D$5:$D$1004,"교육"))</f>
        <v/>
      </c>
      <c r="AD8">
        <f>IF(G10="",0,COUNTIFS(업무일지!$B$5:$B$1004,"&lt;="&amp;G10,업무일지!$C$5:$C$1004,"&gt;="&amp;G10,업무일지!$D$5:$D$1004,"교육"))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  <c r="X9">
        <f>IF(A13="",0,COUNTIFS(업무일지!$B$5:$B$1004,"&lt;="&amp;A13,업무일지!$C$5:$C$1004,"&gt;="&amp;A13,업무일지!$D$5:$D$1004,"교육"))</f>
        <v/>
      </c>
      <c r="Y9">
        <f>IF(B13="",0,COUNTIFS(업무일지!$B$5:$B$1004,"&lt;="&amp;B13,업무일지!$C$5:$C$1004,"&gt;="&amp;B13,업무일지!$D$5:$D$1004,"교육"))</f>
        <v/>
      </c>
      <c r="Z9">
        <f>IF(C13="",0,COUNTIFS(업무일지!$B$5:$B$1004,"&lt;="&amp;C13,업무일지!$C$5:$C$1004,"&gt;="&amp;C13,업무일지!$D$5:$D$1004,"교육"))</f>
        <v/>
      </c>
      <c r="AA9">
        <f>IF(D13="",0,COUNTIFS(업무일지!$B$5:$B$1004,"&lt;="&amp;D13,업무일지!$C$5:$C$1004,"&gt;="&amp;D13,업무일지!$D$5:$D$1004,"교육"))</f>
        <v/>
      </c>
      <c r="AB9">
        <f>IF(E13="",0,COUNTIFS(업무일지!$B$5:$B$1004,"&lt;="&amp;E13,업무일지!$C$5:$C$1004,"&gt;="&amp;E13,업무일지!$D$5:$D$1004,"교육"))</f>
        <v/>
      </c>
      <c r="AC9">
        <f>IF(F13="",0,COUNTIFS(업무일지!$B$5:$B$1004,"&lt;="&amp;F13,업무일지!$C$5:$C$1004,"&gt;="&amp;F13,업무일지!$D$5:$D$1004,"교육"))</f>
        <v/>
      </c>
      <c r="AD9">
        <f>IF(G13="",0,COUNTIFS(업무일지!$B$5:$B$1004,"&lt;="&amp;G13,업무일지!$C$5:$C$1004,"&gt;="&amp;G13,업무일지!$D$5:$D$1004,"교육"))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  <c r="X10">
        <f>IF(A16="",0,COUNTIFS(업무일지!$B$5:$B$1004,"&lt;="&amp;A16,업무일지!$C$5:$C$1004,"&gt;="&amp;A16,업무일지!$D$5:$D$1004,"교육"))</f>
        <v/>
      </c>
      <c r="Y10">
        <f>IF(B16="",0,COUNTIFS(업무일지!$B$5:$B$1004,"&lt;="&amp;B16,업무일지!$C$5:$C$1004,"&gt;="&amp;B16,업무일지!$D$5:$D$1004,"교육"))</f>
        <v/>
      </c>
      <c r="Z10">
        <f>IF(C16="",0,COUNTIFS(업무일지!$B$5:$B$1004,"&lt;="&amp;C16,업무일지!$C$5:$C$1004,"&gt;="&amp;C16,업무일지!$D$5:$D$1004,"교육"))</f>
        <v/>
      </c>
      <c r="AA10">
        <f>IF(D16="",0,COUNTIFS(업무일지!$B$5:$B$1004,"&lt;="&amp;D16,업무일지!$C$5:$C$1004,"&gt;="&amp;D16,업무일지!$D$5:$D$1004,"교육"))</f>
        <v/>
      </c>
      <c r="AB10">
        <f>IF(E16="",0,COUNTIFS(업무일지!$B$5:$B$1004,"&lt;="&amp;E16,업무일지!$C$5:$C$1004,"&gt;="&amp;E16,업무일지!$D$5:$D$1004,"교육"))</f>
        <v/>
      </c>
      <c r="AC10">
        <f>IF(F16="",0,COUNTIFS(업무일지!$B$5:$B$1004,"&lt;="&amp;F16,업무일지!$C$5:$C$1004,"&gt;="&amp;F16,업무일지!$D$5:$D$1004,"교육"))</f>
        <v/>
      </c>
      <c r="AD10">
        <f>IF(G16="",0,COUNTIFS(업무일지!$B$5:$B$1004,"&lt;="&amp;G16,업무일지!$C$5:$C$1004,"&gt;="&amp;G16,업무일지!$D$5:$D$1004,"교육"))</f>
        <v/>
      </c>
    </row>
    <row r="11" ht="15" customHeight="1">
      <c r="A11" s="19">
        <f>IF(A10="","",IF(J8+Q8+X8=0,"",IF(J8=0,"","출장 "&amp;J8&amp;"  ")&amp;IF(Q8=0,"","분석 "&amp;Q8&amp;"  ")&amp;IF(X8=0,"","교육 "&amp;X8)))</f>
        <v/>
      </c>
      <c r="B11" s="19">
        <f>IF(B10="","",IF(K8+R8+Y8=0,"",IF(K8=0,"","출장 "&amp;K8&amp;"  ")&amp;IF(R8=0,"","분석 "&amp;R8&amp;"  ")&amp;IF(Y8=0,"","교육 "&amp;Y8)))</f>
        <v/>
      </c>
      <c r="C11" s="19">
        <f>IF(C10="","",IF(L8+S8+Z8=0,"",IF(L8=0,"","출장 "&amp;L8&amp;"  ")&amp;IF(S8=0,"","분석 "&amp;S8&amp;"  ")&amp;IF(Z8=0,"","교육 "&amp;Z8)))</f>
        <v/>
      </c>
      <c r="D11" s="19">
        <f>IF(D10="","",IF(M8+T8+AA8=0,"",IF(M8=0,"","출장 "&amp;M8&amp;"  ")&amp;IF(T8=0,"","분석 "&amp;T8&amp;"  ")&amp;IF(AA8=0,"","교육 "&amp;AA8)))</f>
        <v/>
      </c>
      <c r="E11" s="19">
        <f>IF(E10="","",IF(N8+U8+AB8=0,"",IF(N8=0,"","출장 "&amp;N8&amp;"  ")&amp;IF(U8=0,"","분석 "&amp;U8&amp;"  ")&amp;IF(AB8=0,"","교육 "&amp;AB8)))</f>
        <v/>
      </c>
      <c r="F11" s="19">
        <f>IF(F10="","",IF(O8+V8+AC8=0,"",IF(O8=0,"","출장 "&amp;O8&amp;"  ")&amp;IF(V8=0,"","분석 "&amp;V8&amp;"  ")&amp;IF(AC8=0,"","교육 "&amp;AC8)))</f>
        <v/>
      </c>
      <c r="G11" s="19">
        <f>IF(G10="","",IF(P8+W8+AD8=0,"",IF(P8=0,"","출장 "&amp;P8&amp;"  ")&amp;IF(W8=0,"","분석 "&amp;W8&amp;"  ")&amp;IF(AD8=0,"","교육 "&amp;AD8)))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  <c r="X11">
        <f>IF(A19="",0,COUNTIFS(업무일지!$B$5:$B$1004,"&lt;="&amp;A19,업무일지!$C$5:$C$1004,"&gt;="&amp;A19,업무일지!$D$5:$D$1004,"교육"))</f>
        <v/>
      </c>
      <c r="Y11">
        <f>IF(B19="",0,COUNTIFS(업무일지!$B$5:$B$1004,"&lt;="&amp;B19,업무일지!$C$5:$C$1004,"&gt;="&amp;B19,업무일지!$D$5:$D$1004,"교육"))</f>
        <v/>
      </c>
      <c r="Z11">
        <f>IF(C19="",0,COUNTIFS(업무일지!$B$5:$B$1004,"&lt;="&amp;C19,업무일지!$C$5:$C$1004,"&gt;="&amp;C19,업무일지!$D$5:$D$1004,"교육"))</f>
        <v/>
      </c>
      <c r="AA11">
        <f>IF(D19="",0,COUNTIFS(업무일지!$B$5:$B$1004,"&lt;="&amp;D19,업무일지!$C$5:$C$1004,"&gt;="&amp;D19,업무일지!$D$5:$D$1004,"교육"))</f>
        <v/>
      </c>
      <c r="AB11">
        <f>IF(E19="",0,COUNTIFS(업무일지!$B$5:$B$1004,"&lt;="&amp;E19,업무일지!$C$5:$C$1004,"&gt;="&amp;E19,업무일지!$D$5:$D$1004,"교육"))</f>
        <v/>
      </c>
      <c r="AC11">
        <f>IF(F19="",0,COUNTIFS(업무일지!$B$5:$B$1004,"&lt;="&amp;F19,업무일지!$C$5:$C$1004,"&gt;="&amp;F19,업무일지!$D$5:$D$1004,"교육"))</f>
        <v/>
      </c>
      <c r="AD11">
        <f>IF(G19="",0,COUNTIFS(업무일지!$B$5:$B$1004,"&lt;="&amp;G19,업무일지!$C$5:$C$1004,"&gt;="&amp;G19,업무일지!$D$5:$D$1004,"교육"))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  <c r="X12">
        <f>IF(A22="",0,COUNTIFS(업무일지!$B$5:$B$1004,"&lt;="&amp;A22,업무일지!$C$5:$C$1004,"&gt;="&amp;A22,업무일지!$D$5:$D$1004,"교육"))</f>
        <v/>
      </c>
      <c r="Y12">
        <f>IF(B22="",0,COUNTIFS(업무일지!$B$5:$B$1004,"&lt;="&amp;B22,업무일지!$C$5:$C$1004,"&gt;="&amp;B22,업무일지!$D$5:$D$1004,"교육"))</f>
        <v/>
      </c>
      <c r="Z12">
        <f>IF(C22="",0,COUNTIFS(업무일지!$B$5:$B$1004,"&lt;="&amp;C22,업무일지!$C$5:$C$1004,"&gt;="&amp;C22,업무일지!$D$5:$D$1004,"교육"))</f>
        <v/>
      </c>
      <c r="AA12">
        <f>IF(D22="",0,COUNTIFS(업무일지!$B$5:$B$1004,"&lt;="&amp;D22,업무일지!$C$5:$C$1004,"&gt;="&amp;D22,업무일지!$D$5:$D$1004,"교육"))</f>
        <v/>
      </c>
      <c r="AB12">
        <f>IF(E22="",0,COUNTIFS(업무일지!$B$5:$B$1004,"&lt;="&amp;E22,업무일지!$C$5:$C$1004,"&gt;="&amp;E22,업무일지!$D$5:$D$1004,"교육"))</f>
        <v/>
      </c>
      <c r="AC12">
        <f>IF(F22="",0,COUNTIFS(업무일지!$B$5:$B$1004,"&lt;="&amp;F22,업무일지!$C$5:$C$1004,"&gt;="&amp;F22,업무일지!$D$5:$D$1004,"교육"))</f>
        <v/>
      </c>
      <c r="AD12">
        <f>IF(G22="",0,COUNTIFS(업무일지!$B$5:$B$1004,"&lt;="&amp;G22,업무일지!$C$5:$C$1004,"&gt;="&amp;G22,업무일지!$D$5:$D$1004,"교육"))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IF(A13="","",IF(J9+Q9+X9=0,"",IF(J9=0,"","출장 "&amp;J9&amp;"  ")&amp;IF(Q9=0,"","분석 "&amp;Q9&amp;"  ")&amp;IF(X9=0,"","교육 "&amp;X9)))</f>
        <v/>
      </c>
      <c r="B14" s="19">
        <f>IF(B13="","",IF(K9+R9+Y9=0,"",IF(K9=0,"","출장 "&amp;K9&amp;"  ")&amp;IF(R9=0,"","분석 "&amp;R9&amp;"  ")&amp;IF(Y9=0,"","교육 "&amp;Y9)))</f>
        <v/>
      </c>
      <c r="C14" s="19">
        <f>IF(C13="","",IF(L9+S9+Z9=0,"",IF(L9=0,"","출장 "&amp;L9&amp;"  ")&amp;IF(S9=0,"","분석 "&amp;S9&amp;"  ")&amp;IF(Z9=0,"","교육 "&amp;Z9)))</f>
        <v/>
      </c>
      <c r="D14" s="19">
        <f>IF(D13="","",IF(M9+T9+AA9=0,"",IF(M9=0,"","출장 "&amp;M9&amp;"  ")&amp;IF(T9=0,"","분석 "&amp;T9&amp;"  ")&amp;IF(AA9=0,"","교육 "&amp;AA9)))</f>
        <v/>
      </c>
      <c r="E14" s="19">
        <f>IF(E13="","",IF(N9+U9+AB9=0,"",IF(N9=0,"","출장 "&amp;N9&amp;"  ")&amp;IF(U9=0,"","분석 "&amp;U9&amp;"  ")&amp;IF(AB9=0,"","교육 "&amp;AB9)))</f>
        <v/>
      </c>
      <c r="F14" s="19">
        <f>IF(F13="","",IF(O9+V9+AC9=0,"",IF(O9=0,"","출장 "&amp;O9&amp;"  ")&amp;IF(V9=0,"","분석 "&amp;V9&amp;"  ")&amp;IF(AC9=0,"","교육 "&amp;AC9)))</f>
        <v/>
      </c>
      <c r="G14" s="19">
        <f>IF(G13="","",IF(P9+W9+AD9=0,"",IF(P9=0,"","출장 "&amp;P9&amp;"  ")&amp;IF(W9=0,"","분석 "&amp;W9&amp;"  ")&amp;IF(AD9=0,"","교육 "&amp;AD9)))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IF(A16="","",IF(J10+Q10+X10=0,"",IF(J10=0,"","출장 "&amp;J10&amp;"  ")&amp;IF(Q10=0,"","분석 "&amp;Q10&amp;"  ")&amp;IF(X10=0,"","교육 "&amp;X10)))</f>
        <v/>
      </c>
      <c r="B17" s="19">
        <f>IF(B16="","",IF(K10+R10+Y10=0,"",IF(K10=0,"","출장 "&amp;K10&amp;"  ")&amp;IF(R10=0,"","분석 "&amp;R10&amp;"  ")&amp;IF(Y10=0,"","교육 "&amp;Y10)))</f>
        <v/>
      </c>
      <c r="C17" s="19">
        <f>IF(C16="","",IF(L10+S10+Z10=0,"",IF(L10=0,"","출장 "&amp;L10&amp;"  ")&amp;IF(S10=0,"","분석 "&amp;S10&amp;"  ")&amp;IF(Z10=0,"","교육 "&amp;Z10)))</f>
        <v/>
      </c>
      <c r="D17" s="19">
        <f>IF(D16="","",IF(M10+T10+AA10=0,"",IF(M10=0,"","출장 "&amp;M10&amp;"  ")&amp;IF(T10=0,"","분석 "&amp;T10&amp;"  ")&amp;IF(AA10=0,"","교육 "&amp;AA10)))</f>
        <v/>
      </c>
      <c r="E17" s="19">
        <f>IF(E16="","",IF(N10+U10+AB10=0,"",IF(N10=0,"","출장 "&amp;N10&amp;"  ")&amp;IF(U10=0,"","분석 "&amp;U10&amp;"  ")&amp;IF(AB10=0,"","교육 "&amp;AB10)))</f>
        <v/>
      </c>
      <c r="F17" s="19">
        <f>IF(F16="","",IF(O10+V10+AC10=0,"",IF(O10=0,"","출장 "&amp;O10&amp;"  ")&amp;IF(V10=0,"","분석 "&amp;V10&amp;"  ")&amp;IF(AC10=0,"","교육 "&amp;AC10)))</f>
        <v/>
      </c>
      <c r="G17" s="19">
        <f>IF(G16="","",IF(P10+W10+AD10=0,"",IF(P10=0,"","출장 "&amp;P10&amp;"  ")&amp;IF(W10=0,"","분석 "&amp;W10&amp;"  ")&amp;IF(AD10=0,"","교육 "&amp;AD10)))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IF(A19="","",IF(J11+Q11+X11=0,"",IF(J11=0,"","출장 "&amp;J11&amp;"  ")&amp;IF(Q11=0,"","분석 "&amp;Q11&amp;"  ")&amp;IF(X11=0,"","교육 "&amp;X11)))</f>
        <v/>
      </c>
      <c r="B20" s="19">
        <f>IF(B19="","",IF(K11+R11+Y11=0,"",IF(K11=0,"","출장 "&amp;K11&amp;"  ")&amp;IF(R11=0,"","분석 "&amp;R11&amp;"  ")&amp;IF(Y11=0,"","교육 "&amp;Y11)))</f>
        <v/>
      </c>
      <c r="C20" s="19">
        <f>IF(C19="","",IF(L11+S11+Z11=0,"",IF(L11=0,"","출장 "&amp;L11&amp;"  ")&amp;IF(S11=0,"","분석 "&amp;S11&amp;"  ")&amp;IF(Z11=0,"","교육 "&amp;Z11)))</f>
        <v/>
      </c>
      <c r="D20" s="19">
        <f>IF(D19="","",IF(M11+T11+AA11=0,"",IF(M11=0,"","출장 "&amp;M11&amp;"  ")&amp;IF(T11=0,"","분석 "&amp;T11&amp;"  ")&amp;IF(AA11=0,"","교육 "&amp;AA11)))</f>
        <v/>
      </c>
      <c r="E20" s="19">
        <f>IF(E19="","",IF(N11+U11+AB11=0,"",IF(N11=0,"","출장 "&amp;N11&amp;"  ")&amp;IF(U11=0,"","분석 "&amp;U11&amp;"  ")&amp;IF(AB11=0,"","교육 "&amp;AB11)))</f>
        <v/>
      </c>
      <c r="F20" s="19">
        <f>IF(F19="","",IF(O11+V11+AC11=0,"",IF(O11=0,"","출장 "&amp;O11&amp;"  ")&amp;IF(V11=0,"","분석 "&amp;V11&amp;"  ")&amp;IF(AC11=0,"","교육 "&amp;AC11)))</f>
        <v/>
      </c>
      <c r="G20" s="19">
        <f>IF(G19="","",IF(P11+W11+AD11=0,"",IF(P11=0,"","출장 "&amp;P11&amp;"  ")&amp;IF(W11=0,"","분석 "&amp;W11&amp;"  ")&amp;IF(AD11=0,"","교육 "&amp;AD11)))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IF(A22="","",IF(J12+Q12+X12=0,"",IF(J12=0,"","출장 "&amp;J12&amp;"  ")&amp;IF(Q12=0,"","분석 "&amp;Q12&amp;"  ")&amp;IF(X12=0,"","교육 "&amp;X12)))</f>
        <v/>
      </c>
      <c r="B23" s="19">
        <f>IF(B22="","",IF(K12+R12+Y12=0,"",IF(K12=0,"","출장 "&amp;K12&amp;"  ")&amp;IF(R12=0,"","분석 "&amp;R12&amp;"  ")&amp;IF(Y12=0,"","교육 "&amp;Y12)))</f>
        <v/>
      </c>
      <c r="C23" s="19">
        <f>IF(C22="","",IF(L12+S12+Z12=0,"",IF(L12=0,"","출장 "&amp;L12&amp;"  ")&amp;IF(S12=0,"","분석 "&amp;S12&amp;"  ")&amp;IF(Z12=0,"","교육 "&amp;Z12)))</f>
        <v/>
      </c>
      <c r="D23" s="19">
        <f>IF(D22="","",IF(M12+T12+AA12=0,"",IF(M12=0,"","출장 "&amp;M12&amp;"  ")&amp;IF(T12=0,"","분석 "&amp;T12&amp;"  ")&amp;IF(AA12=0,"","교육 "&amp;AA12)))</f>
        <v/>
      </c>
      <c r="E23" s="19">
        <f>IF(E22="","",IF(N12+U12+AB12=0,"",IF(N12=0,"","출장 "&amp;N12&amp;"  ")&amp;IF(U12=0,"","분석 "&amp;U12&amp;"  ")&amp;IF(AB12=0,"","교육 "&amp;AB12)))</f>
        <v/>
      </c>
      <c r="F23" s="19">
        <f>IF(F22="","",IF(O12+V12+AC12=0,"",IF(O12=0,"","출장 "&amp;O12&amp;"  ")&amp;IF(V12=0,"","분석 "&amp;V12&amp;"  ")&amp;IF(AC12=0,"","교육 "&amp;AC12)))</f>
        <v/>
      </c>
      <c r="G23" s="19">
        <f>IF(G22="","",IF(P12+W12+AD12=0,"",IF(P12=0,"","출장 "&amp;P12&amp;"  ")&amp;IF(W12=0,"","분석 "&amp;W12&amp;"  ")&amp;IF(AD12=0,"","교육 "&amp;AD12)))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회차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SUMIFS(업무일지!$AF$5:$AF$1004,업무일지!$B$5:$B$1004,"&gt;="&amp;DATE($B$4,$D$4,1),업무일지!$B$5:$B$1004,"&lt;"&amp;DATE($B$4,$D$4+1,1),업무일지!$D$5:$D$1004,"출장")</f>
        <v/>
      </c>
      <c r="D28" s="24">
        <f>SUMIFS(업무일지!$AD$5:$AD$1004,업무일지!$B$5:$B$1004,"&gt;="&amp;DATE($B$4,$D$4,1),업무일지!$B$5:$B$1004,"&lt;"&amp;DATE($B$4,$D$4+1,1),업무일지!$D$5:$D$1004,"출장")</f>
        <v/>
      </c>
      <c r="E28" s="25">
        <f>SUMIFS(업무일지!$AE$5:$AE$1004,업무일지!$B$5:$B$1004,"&gt;="&amp;DATE($B$4,$D$4,1),업무일지!$B$5:$B$1004,"&lt;"&amp;DATE($B$4,$D$4+1,1),업무일지!$D$5:$D$1004,"출장")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COUNTIFS(업무일지!$B$5:$B$1004,"&gt;="&amp;DATE($B$4,$D$4,1),업무일지!$B$5:$B$1004,"&lt;"&amp;DATE($B$4,$D$4+1,1),업무일지!$D$5:$D$1004,"출장",업무일지!$AG$5:$AG$1004,"진행중")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SUMIFS(업무일지!$AF$5:$AF$1004,업무일지!$B$5:$B$1004,"&gt;="&amp;DATE($B$4,$D$4,1),업무일지!$B$5:$B$1004,"&lt;"&amp;DATE($B$4,$D$4+1,1),업무일지!$D$5:$D$1004,"분석")</f>
        <v/>
      </c>
      <c r="D29" s="24">
        <f>SUMIFS(업무일지!$AD$5:$AD$1004,업무일지!$B$5:$B$1004,"&gt;="&amp;DATE($B$4,$D$4,1),업무일지!$B$5:$B$1004,"&lt;"&amp;DATE($B$4,$D$4+1,1),업무일지!$D$5:$D$1004,"분석")</f>
        <v/>
      </c>
      <c r="E29" s="25">
        <f>SUMIFS(업무일지!$AE$5:$AE$1004,업무일지!$B$5:$B$1004,"&gt;="&amp;DATE($B$4,$D$4,1),업무일지!$B$5:$B$1004,"&lt;"&amp;DATE($B$4,$D$4+1,1),업무일지!$D$5:$D$1004,"분석")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COUNTIFS(업무일지!$B$5:$B$1004,"&gt;="&amp;DATE($B$4,$D$4,1),업무일지!$B$5:$B$1004,"&lt;"&amp;DATE($B$4,$D$4+1,1),업무일지!$D$5:$D$1004,"분석",업무일지!$AG$5:$AG$1004,"진행중")</f>
        <v/>
      </c>
    </row>
    <row r="30">
      <c r="A30" s="8" t="inlineStr">
        <is>
          <t>교육</t>
        </is>
      </c>
      <c r="B30" s="24">
        <f>COUNTIFS(업무일지!$B$5:$B$1004,"&gt;="&amp;DATE($B$4,$D$4,1),업무일지!$B$5:$B$1004,"&lt;"&amp;DATE($B$4,$D$4+1,1),업무일지!$D$5:$D$1004,"교육")</f>
        <v/>
      </c>
      <c r="C30" s="24">
        <f>SUMIFS(업무일지!$AF$5:$AF$1004,업무일지!$B$5:$B$1004,"&gt;="&amp;DATE($B$4,$D$4,1),업무일지!$B$5:$B$1004,"&lt;"&amp;DATE($B$4,$D$4+1,1),업무일지!$D$5:$D$1004,"교육")</f>
        <v/>
      </c>
      <c r="D30" s="24">
        <f>SUMIFS(업무일지!$AD$5:$AD$1004,업무일지!$B$5:$B$1004,"&gt;="&amp;DATE($B$4,$D$4,1),업무일지!$B$5:$B$1004,"&lt;"&amp;DATE($B$4,$D$4+1,1),업무일지!$D$5:$D$1004,"교육")</f>
        <v/>
      </c>
      <c r="E30" s="25">
        <f>SUMIFS(업무일지!$AE$5:$AE$1004,업무일지!$B$5:$B$1004,"&gt;="&amp;DATE($B$4,$D$4,1),업무일지!$B$5:$B$1004,"&lt;"&amp;DATE($B$4,$D$4+1,1),업무일지!$D$5:$D$1004,"교육")</f>
        <v/>
      </c>
      <c r="F30" s="24">
        <f>COUNTIFS(업무일지!$B$5:$B$1004,"&gt;="&amp;DATE($B$4,$D$4,1),업무일지!$B$5:$B$1004,"&lt;"&amp;DATE($B$4,$D$4+1,1),업무일지!$D$5:$D$1004,"교육",업무일지!$AG$5:$AG$1004,"진행중")</f>
        <v/>
      </c>
    </row>
    <row r="31">
      <c r="A31" s="8" t="inlineStr">
        <is>
          <t>일일실시</t>
        </is>
      </c>
      <c r="B31" s="24">
        <f>COUNTIFS(일일실시사항!$B$5:$B$1004,"&gt;="&amp;DATE($B$4,$D$4,1),일일실시사항!$B$5:$B$1004,"&lt;"&amp;DATE($B$4,$D$4+1,1))</f>
        <v/>
      </c>
      <c r="C31" s="26" t="inlineStr">
        <is>
          <t>-</t>
        </is>
      </c>
      <c r="D31" s="26" t="inlineStr">
        <is>
          <t>-</t>
        </is>
      </c>
      <c r="E31" s="26" t="inlineStr">
        <is>
          <t>-</t>
        </is>
      </c>
      <c r="F31" s="24">
        <f>COUNTIFS(일일실시사항!$B$5:$B$1004,"&gt;="&amp;DATE($B$4,$D$4,1),일일실시사항!$B$5:$B$1004,"&lt;"&amp;DATE($B$4,$D$4+1,1),일일실시사항!$J$5:$J$1004,"진행중")</f>
        <v/>
      </c>
    </row>
    <row r="32">
      <c r="A32" s="27" t="inlineStr">
        <is>
          <t>합계</t>
        </is>
      </c>
      <c r="B32" s="28">
        <f>SUM(B28:B31)</f>
        <v/>
      </c>
      <c r="C32" s="28">
        <f>SUM(C28:C30)</f>
        <v/>
      </c>
      <c r="D32" s="28">
        <f>SUM(D28:D30)</f>
        <v/>
      </c>
      <c r="E32" s="29">
        <f>SUM(E28:E30)</f>
        <v/>
      </c>
      <c r="F32" s="28">
        <f>SUM(F28:F31)</f>
        <v/>
      </c>
    </row>
    <row r="34">
      <c r="A34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5">
      <c r="A35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X1004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6" customWidth="1" min="7" max="7"/>
    <col width="26" customWidth="1" min="8" max="8"/>
    <col width="18" customWidth="1" min="9" max="9"/>
    <col width="11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outlineLevel="1" width="9" customWidth="1" min="25" max="25"/>
    <col width="11" customWidth="1" min="26" max="26"/>
    <col width="32" customWidth="1" min="27" max="27"/>
    <col width="13" customWidth="1" min="28" max="28"/>
    <col width="18" customWidth="1" min="29" max="29"/>
    <col width="11" customWidth="1" min="30" max="30"/>
    <col width="12" customWidth="1" min="31" max="31"/>
    <col width="9" customWidth="1" min="32" max="32"/>
    <col width="10" customWidth="1" min="33" max="33"/>
    <col width="22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같은 사건을 여러 날 나눠 하면 행을 나눠 쓰세요 — [회차]가 1, 2, 3…으로 자동으로 붙습니다.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회차</t>
        </is>
      </c>
      <c r="H4" s="23" t="inlineStr">
        <is>
          <t>사건명 · 업무명</t>
        </is>
      </c>
      <c r="I4" s="23" t="inlineStr">
        <is>
          <t>요청·의뢰처</t>
        </is>
      </c>
      <c r="J4" s="23" t="inlineStr">
        <is>
          <t>주담당자</t>
        </is>
      </c>
      <c r="K4" s="23" t="inlineStr">
        <is>
          <t>참여자 1</t>
        </is>
      </c>
      <c r="L4" s="23" t="inlineStr">
        <is>
          <t>참여자 2</t>
        </is>
      </c>
      <c r="M4" s="23" t="inlineStr">
        <is>
          <t>참여자 3</t>
        </is>
      </c>
      <c r="N4" s="23" t="inlineStr">
        <is>
          <t>참여자 4</t>
        </is>
      </c>
      <c r="O4" s="23" t="inlineStr">
        <is>
          <t>참여자 5</t>
        </is>
      </c>
      <c r="P4" s="23" t="inlineStr">
        <is>
          <t>참여자 6</t>
        </is>
      </c>
      <c r="Q4" s="23" t="inlineStr">
        <is>
          <t>참여자 7</t>
        </is>
      </c>
      <c r="R4" s="23" t="inlineStr">
        <is>
          <t>참여자 8</t>
        </is>
      </c>
      <c r="S4" s="23" t="inlineStr">
        <is>
          <t>참여자 9</t>
        </is>
      </c>
      <c r="T4" s="23" t="inlineStr">
        <is>
          <t>참여자 10</t>
        </is>
      </c>
      <c r="U4" s="23" t="inlineStr">
        <is>
          <t>참여자 11</t>
        </is>
      </c>
      <c r="V4" s="23" t="inlineStr">
        <is>
          <t>참여자 12</t>
        </is>
      </c>
      <c r="W4" s="23" t="inlineStr">
        <is>
          <t>참여자 13</t>
        </is>
      </c>
      <c r="X4" s="23" t="inlineStr">
        <is>
          <t>참여자 14</t>
        </is>
      </c>
      <c r="Y4" s="23" t="inlineStr">
        <is>
          <t>참여자 15</t>
        </is>
      </c>
      <c r="Z4" s="23" t="inlineStr">
        <is>
          <t>투입인원(명)</t>
        </is>
      </c>
      <c r="AA4" s="23" t="inlineStr">
        <is>
          <t>참여자 명단(자동)</t>
        </is>
      </c>
      <c r="AB4" s="23" t="inlineStr">
        <is>
          <t>소속팀</t>
        </is>
      </c>
      <c r="AC4" s="23" t="inlineStr">
        <is>
          <t>장소 / 분석실</t>
        </is>
      </c>
      <c r="AD4" s="23" t="inlineStr">
        <is>
          <t>대상매체(건)</t>
        </is>
      </c>
      <c r="AE4" s="23" t="inlineStr">
        <is>
          <t>데이터량(GB)</t>
        </is>
      </c>
      <c r="AF4" s="23" t="inlineStr">
        <is>
          <t>소요일수</t>
        </is>
      </c>
      <c r="AG4" s="23" t="inlineStr">
        <is>
          <t>진행상태</t>
        </is>
      </c>
      <c r="AH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0">
        <f>IF($F5="","",COUNTIF($F$5:$F5,$F5))</f>
        <v/>
      </c>
      <c r="H5" s="33">
        <f>IF($F5="","",IFERROR(INDEX(사건마스터!$B$5:$B$64,MATCH($F5,사건마스터!$A$5:$A$64,0)),""))</f>
        <v/>
      </c>
      <c r="I5" s="34">
        <f>IF($F5="","",IFERROR(INDEX(사건마스터!$C$5:$C$64,MATCH($F5,사건마스터!$A$5:$A$64,0)),""))</f>
        <v/>
      </c>
      <c r="J5" s="35">
        <f>IF($F5="","",IFERROR(INDEX(사건마스터!$H$5:$H$64,MATCH($F5,사건마스터!$A$5:$A$64,0)),""))</f>
        <v/>
      </c>
      <c r="K5" s="35">
        <f>IF($F5="","",IFERROR(INDEX(사건마스터!$AH$5:$AH$64,MATCH($F5,사건마스터!$A$5:$A$64,0)),""))</f>
        <v/>
      </c>
      <c r="L5" s="35">
        <f>IF($F5="","",IFERROR(INDEX(사건마스터!$AI$5:$AI$64,MATCH($F5,사건마스터!$A$5:$A$64,0)),""))</f>
        <v/>
      </c>
      <c r="M5" s="35">
        <f>IF($F5="","",IFERROR(INDEX(사건마스터!$AJ$5:$AJ$64,MATCH($F5,사건마스터!$A$5:$A$64,0)),""))</f>
        <v/>
      </c>
      <c r="N5" s="35">
        <f>IF($F5="","",IFERROR(INDEX(사건마스터!$AK$5:$AK$64,MATCH($F5,사건마스터!$A$5:$A$64,0)),""))</f>
        <v/>
      </c>
      <c r="O5" s="35">
        <f>IF($F5="","",IFERROR(INDEX(사건마스터!$AL$5:$AL$64,MATCH($F5,사건마스터!$A$5:$A$64,0)),""))</f>
        <v/>
      </c>
      <c r="P5" s="35">
        <f>IF($F5="","",IFERROR(INDEX(사건마스터!$AM$5:$AM$64,MATCH($F5,사건마스터!$A$5:$A$64,0)),""))</f>
        <v/>
      </c>
      <c r="Q5" s="35">
        <f>IF($F5="","",IFERROR(INDEX(사건마스터!$AN$5:$AN$64,MATCH($F5,사건마스터!$A$5:$A$64,0)),""))</f>
        <v/>
      </c>
      <c r="R5" s="35">
        <f>IF($F5="","",IFERROR(INDEX(사건마스터!$AO$5:$AO$64,MATCH($F5,사건마스터!$A$5:$A$64,0)),""))</f>
        <v/>
      </c>
      <c r="S5" s="35">
        <f>IF($F5="","",IFERROR(INDEX(사건마스터!$AP$5:$AP$64,MATCH($F5,사건마스터!$A$5:$A$64,0)),""))</f>
        <v/>
      </c>
      <c r="T5" s="35">
        <f>IF($F5="","",IFERROR(INDEX(사건마스터!$AQ$5:$AQ$64,MATCH($F5,사건마스터!$A$5:$A$64,0)),""))</f>
        <v/>
      </c>
      <c r="U5" s="35">
        <f>IF($F5="","",IFERROR(INDEX(사건마스터!$AR$5:$AR$64,MATCH($F5,사건마스터!$A$5:$A$64,0)),""))</f>
        <v/>
      </c>
      <c r="V5" s="35">
        <f>IF($F5="","",IFERROR(INDEX(사건마스터!$AS$5:$AS$64,MATCH($F5,사건마스터!$A$5:$A$64,0)),""))</f>
        <v/>
      </c>
      <c r="W5" s="35">
        <f>IF($F5="","",IFERROR(INDEX(사건마스터!$AT$5:$AT$64,MATCH($F5,사건마스터!$A$5:$A$64,0)),""))</f>
        <v/>
      </c>
      <c r="X5" s="35">
        <f>IF($F5="","",IFERROR(INDEX(사건마스터!$AU$5:$AU$64,MATCH($F5,사건마스터!$A$5:$A$64,0)),""))</f>
        <v/>
      </c>
      <c r="Y5" s="35">
        <f>IF($F5="","",IFERROR(INDEX(사건마스터!$AV$5:$AV$64,MATCH($F5,사건마스터!$A$5:$A$64,0)),""))</f>
        <v/>
      </c>
      <c r="Z5" s="30">
        <f>IF(COUNTBLANK($J5:$Y5)=16,"",16-COUNTBLANK($J5:$Y5))</f>
        <v/>
      </c>
      <c r="AA5" s="33">
        <f>IF($J5="",MID($AX5,3,255),$J5&amp;$AX5)</f>
        <v/>
      </c>
      <c r="AB5" s="34">
        <f>IF($J5="","",IFERROR(INDEX(코드설정!$D$5:$D$24,MATCH($J5,코드설정!$C$5:$C$24,0)),""))</f>
        <v/>
      </c>
      <c r="AC5" s="36" t="n"/>
      <c r="AD5" s="37" t="n"/>
      <c r="AE5" s="38" t="n"/>
      <c r="AF5" s="30">
        <f>IF(OR($B5="",$C5=""),"",$C5-$B5+1)</f>
        <v/>
      </c>
      <c r="AG5" s="32" t="n"/>
      <c r="AH5" s="36" t="n"/>
      <c r="AJ5">
        <f>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  <c r="AX5">
        <f>AW5&amp;IF($Y5="","",", "&amp;$Y5)</f>
        <v/>
      </c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0">
        <f>IF($F6="","",COUNTIF($F$5:$F6,$F6))</f>
        <v/>
      </c>
      <c r="H6" s="33">
        <f>IF($F6="","",IFERROR(INDEX(사건마스터!$B$5:$B$64,MATCH($F6,사건마스터!$A$5:$A$64,0)),""))</f>
        <v/>
      </c>
      <c r="I6" s="34">
        <f>IF($F6="","",IFERROR(INDEX(사건마스터!$C$5:$C$64,MATCH($F6,사건마스터!$A$5:$A$64,0)),""))</f>
        <v/>
      </c>
      <c r="J6" s="35">
        <f>IF($F6="","",IFERROR(INDEX(사건마스터!$H$5:$H$64,MATCH($F6,사건마스터!$A$5:$A$64,0)),""))</f>
        <v/>
      </c>
      <c r="K6" s="35">
        <f>IF($F6="","",IFERROR(INDEX(사건마스터!$AH$5:$AH$64,MATCH($F6,사건마스터!$A$5:$A$64,0)),""))</f>
        <v/>
      </c>
      <c r="L6" s="35">
        <f>IF($F6="","",IFERROR(INDEX(사건마스터!$AI$5:$AI$64,MATCH($F6,사건마스터!$A$5:$A$64,0)),""))</f>
        <v/>
      </c>
      <c r="M6" s="35">
        <f>IF($F6="","",IFERROR(INDEX(사건마스터!$AJ$5:$AJ$64,MATCH($F6,사건마스터!$A$5:$A$64,0)),""))</f>
        <v/>
      </c>
      <c r="N6" s="35">
        <f>IF($F6="","",IFERROR(INDEX(사건마스터!$AK$5:$AK$64,MATCH($F6,사건마스터!$A$5:$A$64,0)),""))</f>
        <v/>
      </c>
      <c r="O6" s="35">
        <f>IF($F6="","",IFERROR(INDEX(사건마스터!$AL$5:$AL$64,MATCH($F6,사건마스터!$A$5:$A$64,0)),""))</f>
        <v/>
      </c>
      <c r="P6" s="35">
        <f>IF($F6="","",IFERROR(INDEX(사건마스터!$AM$5:$AM$64,MATCH($F6,사건마스터!$A$5:$A$64,0)),""))</f>
        <v/>
      </c>
      <c r="Q6" s="35">
        <f>IF($F6="","",IFERROR(INDEX(사건마스터!$AN$5:$AN$64,MATCH($F6,사건마스터!$A$5:$A$64,0)),""))</f>
        <v/>
      </c>
      <c r="R6" s="35">
        <f>IF($F6="","",IFERROR(INDEX(사건마스터!$AO$5:$AO$64,MATCH($F6,사건마스터!$A$5:$A$64,0)),""))</f>
        <v/>
      </c>
      <c r="S6" s="35">
        <f>IF($F6="","",IFERROR(INDEX(사건마스터!$AP$5:$AP$64,MATCH($F6,사건마스터!$A$5:$A$64,0)),""))</f>
        <v/>
      </c>
      <c r="T6" s="35">
        <f>IF($F6="","",IFERROR(INDEX(사건마스터!$AQ$5:$AQ$64,MATCH($F6,사건마스터!$A$5:$A$64,0)),""))</f>
        <v/>
      </c>
      <c r="U6" s="35">
        <f>IF($F6="","",IFERROR(INDEX(사건마스터!$AR$5:$AR$64,MATCH($F6,사건마스터!$A$5:$A$64,0)),""))</f>
        <v/>
      </c>
      <c r="V6" s="35">
        <f>IF($F6="","",IFERROR(INDEX(사건마스터!$AS$5:$AS$64,MATCH($F6,사건마스터!$A$5:$A$64,0)),""))</f>
        <v/>
      </c>
      <c r="W6" s="35">
        <f>IF($F6="","",IFERROR(INDEX(사건마스터!$AT$5:$AT$64,MATCH($F6,사건마스터!$A$5:$A$64,0)),""))</f>
        <v/>
      </c>
      <c r="X6" s="35">
        <f>IF($F6="","",IFERROR(INDEX(사건마스터!$AU$5:$AU$64,MATCH($F6,사건마스터!$A$5:$A$64,0)),""))</f>
        <v/>
      </c>
      <c r="Y6" s="35">
        <f>IF($F6="","",IFERROR(INDEX(사건마스터!$AV$5:$AV$64,MATCH($F6,사건마스터!$A$5:$A$64,0)),""))</f>
        <v/>
      </c>
      <c r="Z6" s="30">
        <f>IF(COUNTBLANK($J6:$Y6)=16,"",16-COUNTBLANK($J6:$Y6))</f>
        <v/>
      </c>
      <c r="AA6" s="33">
        <f>IF($J6="",MID($AX6,3,255),$J6&amp;$AX6)</f>
        <v/>
      </c>
      <c r="AB6" s="34">
        <f>IF($J6="","",IFERROR(INDEX(코드설정!$D$5:$D$24,MATCH($J6,코드설정!$C$5:$C$24,0)),""))</f>
        <v/>
      </c>
      <c r="AC6" s="36" t="n"/>
      <c r="AD6" s="37" t="n"/>
      <c r="AE6" s="38" t="n"/>
      <c r="AF6" s="30">
        <f>IF(OR($B6="",$C6=""),"",$C6-$B6+1)</f>
        <v/>
      </c>
      <c r="AG6" s="32" t="n"/>
      <c r="AH6" s="36" t="n"/>
      <c r="AJ6">
        <f>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  <c r="AX6">
        <f>AW6&amp;IF($Y6="","",", "&amp;$Y6)</f>
        <v/>
      </c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0">
        <f>IF($F7="","",COUNTIF($F$5:$F7,$F7))</f>
        <v/>
      </c>
      <c r="H7" s="33">
        <f>IF($F7="","",IFERROR(INDEX(사건마스터!$B$5:$B$64,MATCH($F7,사건마스터!$A$5:$A$64,0)),""))</f>
        <v/>
      </c>
      <c r="I7" s="34">
        <f>IF($F7="","",IFERROR(INDEX(사건마스터!$C$5:$C$64,MATCH($F7,사건마스터!$A$5:$A$64,0)),""))</f>
        <v/>
      </c>
      <c r="J7" s="35">
        <f>IF($F7="","",IFERROR(INDEX(사건마스터!$H$5:$H$64,MATCH($F7,사건마스터!$A$5:$A$64,0)),""))</f>
        <v/>
      </c>
      <c r="K7" s="35">
        <f>IF($F7="","",IFERROR(INDEX(사건마스터!$AH$5:$AH$64,MATCH($F7,사건마스터!$A$5:$A$64,0)),""))</f>
        <v/>
      </c>
      <c r="L7" s="35">
        <f>IF($F7="","",IFERROR(INDEX(사건마스터!$AI$5:$AI$64,MATCH($F7,사건마스터!$A$5:$A$64,0)),""))</f>
        <v/>
      </c>
      <c r="M7" s="35">
        <f>IF($F7="","",IFERROR(INDEX(사건마스터!$AJ$5:$AJ$64,MATCH($F7,사건마스터!$A$5:$A$64,0)),""))</f>
        <v/>
      </c>
      <c r="N7" s="35">
        <f>IF($F7="","",IFERROR(INDEX(사건마스터!$AK$5:$AK$64,MATCH($F7,사건마스터!$A$5:$A$64,0)),""))</f>
        <v/>
      </c>
      <c r="O7" s="35">
        <f>IF($F7="","",IFERROR(INDEX(사건마스터!$AL$5:$AL$64,MATCH($F7,사건마스터!$A$5:$A$64,0)),""))</f>
        <v/>
      </c>
      <c r="P7" s="35">
        <f>IF($F7="","",IFERROR(INDEX(사건마스터!$AM$5:$AM$64,MATCH($F7,사건마스터!$A$5:$A$64,0)),""))</f>
        <v/>
      </c>
      <c r="Q7" s="35">
        <f>IF($F7="","",IFERROR(INDEX(사건마스터!$AN$5:$AN$64,MATCH($F7,사건마스터!$A$5:$A$64,0)),""))</f>
        <v/>
      </c>
      <c r="R7" s="35">
        <f>IF($F7="","",IFERROR(INDEX(사건마스터!$AO$5:$AO$64,MATCH($F7,사건마스터!$A$5:$A$64,0)),""))</f>
        <v/>
      </c>
      <c r="S7" s="35">
        <f>IF($F7="","",IFERROR(INDEX(사건마스터!$AP$5:$AP$64,MATCH($F7,사건마스터!$A$5:$A$64,0)),""))</f>
        <v/>
      </c>
      <c r="T7" s="35">
        <f>IF($F7="","",IFERROR(INDEX(사건마스터!$AQ$5:$AQ$64,MATCH($F7,사건마스터!$A$5:$A$64,0)),""))</f>
        <v/>
      </c>
      <c r="U7" s="35">
        <f>IF($F7="","",IFERROR(INDEX(사건마스터!$AR$5:$AR$64,MATCH($F7,사건마스터!$A$5:$A$64,0)),""))</f>
        <v/>
      </c>
      <c r="V7" s="35">
        <f>IF($F7="","",IFERROR(INDEX(사건마스터!$AS$5:$AS$64,MATCH($F7,사건마스터!$A$5:$A$64,0)),""))</f>
        <v/>
      </c>
      <c r="W7" s="35">
        <f>IF($F7="","",IFERROR(INDEX(사건마스터!$AT$5:$AT$64,MATCH($F7,사건마스터!$A$5:$A$64,0)),""))</f>
        <v/>
      </c>
      <c r="X7" s="35">
        <f>IF($F7="","",IFERROR(INDEX(사건마스터!$AU$5:$AU$64,MATCH($F7,사건마스터!$A$5:$A$64,0)),""))</f>
        <v/>
      </c>
      <c r="Y7" s="35">
        <f>IF($F7="","",IFERROR(INDEX(사건마스터!$AV$5:$AV$64,MATCH($F7,사건마스터!$A$5:$A$64,0)),""))</f>
        <v/>
      </c>
      <c r="Z7" s="30">
        <f>IF(COUNTBLANK($J7:$Y7)=16,"",16-COUNTBLANK($J7:$Y7))</f>
        <v/>
      </c>
      <c r="AA7" s="33">
        <f>IF($J7="",MID($AX7,3,255),$J7&amp;$AX7)</f>
        <v/>
      </c>
      <c r="AB7" s="34">
        <f>IF($J7="","",IFERROR(INDEX(코드설정!$D$5:$D$24,MATCH($J7,코드설정!$C$5:$C$24,0)),""))</f>
        <v/>
      </c>
      <c r="AC7" s="36" t="n"/>
      <c r="AD7" s="37" t="n"/>
      <c r="AE7" s="38" t="n"/>
      <c r="AF7" s="30">
        <f>IF(OR($B7="",$C7=""),"",$C7-$B7+1)</f>
        <v/>
      </c>
      <c r="AG7" s="32" t="n"/>
      <c r="AH7" s="36" t="n"/>
      <c r="AJ7">
        <f>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  <c r="AX7">
        <f>AW7&amp;IF($Y7="","",", "&amp;$Y7)</f>
        <v/>
      </c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0">
        <f>IF($F8="","",COUNTIF($F$5:$F8,$F8))</f>
        <v/>
      </c>
      <c r="H8" s="33">
        <f>IF($F8="","",IFERROR(INDEX(사건마스터!$B$5:$B$64,MATCH($F8,사건마스터!$A$5:$A$64,0)),""))</f>
        <v/>
      </c>
      <c r="I8" s="34">
        <f>IF($F8="","",IFERROR(INDEX(사건마스터!$C$5:$C$64,MATCH($F8,사건마스터!$A$5:$A$64,0)),""))</f>
        <v/>
      </c>
      <c r="J8" s="35">
        <f>IF($F8="","",IFERROR(INDEX(사건마스터!$H$5:$H$64,MATCH($F8,사건마스터!$A$5:$A$64,0)),""))</f>
        <v/>
      </c>
      <c r="K8" s="35">
        <f>IF($F8="","",IFERROR(INDEX(사건마스터!$AH$5:$AH$64,MATCH($F8,사건마스터!$A$5:$A$64,0)),""))</f>
        <v/>
      </c>
      <c r="L8" s="35">
        <f>IF($F8="","",IFERROR(INDEX(사건마스터!$AI$5:$AI$64,MATCH($F8,사건마스터!$A$5:$A$64,0)),""))</f>
        <v/>
      </c>
      <c r="M8" s="35">
        <f>IF($F8="","",IFERROR(INDEX(사건마스터!$AJ$5:$AJ$64,MATCH($F8,사건마스터!$A$5:$A$64,0)),""))</f>
        <v/>
      </c>
      <c r="N8" s="35">
        <f>IF($F8="","",IFERROR(INDEX(사건마스터!$AK$5:$AK$64,MATCH($F8,사건마스터!$A$5:$A$64,0)),""))</f>
        <v/>
      </c>
      <c r="O8" s="35">
        <f>IF($F8="","",IFERROR(INDEX(사건마스터!$AL$5:$AL$64,MATCH($F8,사건마스터!$A$5:$A$64,0)),""))</f>
        <v/>
      </c>
      <c r="P8" s="35">
        <f>IF($F8="","",IFERROR(INDEX(사건마스터!$AM$5:$AM$64,MATCH($F8,사건마스터!$A$5:$A$64,0)),""))</f>
        <v/>
      </c>
      <c r="Q8" s="35">
        <f>IF($F8="","",IFERROR(INDEX(사건마스터!$AN$5:$AN$64,MATCH($F8,사건마스터!$A$5:$A$64,0)),""))</f>
        <v/>
      </c>
      <c r="R8" s="35">
        <f>IF($F8="","",IFERROR(INDEX(사건마스터!$AO$5:$AO$64,MATCH($F8,사건마스터!$A$5:$A$64,0)),""))</f>
        <v/>
      </c>
      <c r="S8" s="35">
        <f>IF($F8="","",IFERROR(INDEX(사건마스터!$AP$5:$AP$64,MATCH($F8,사건마스터!$A$5:$A$64,0)),""))</f>
        <v/>
      </c>
      <c r="T8" s="35">
        <f>IF($F8="","",IFERROR(INDEX(사건마스터!$AQ$5:$AQ$64,MATCH($F8,사건마스터!$A$5:$A$64,0)),""))</f>
        <v/>
      </c>
      <c r="U8" s="35">
        <f>IF($F8="","",IFERROR(INDEX(사건마스터!$AR$5:$AR$64,MATCH($F8,사건마스터!$A$5:$A$64,0)),""))</f>
        <v/>
      </c>
      <c r="V8" s="35">
        <f>IF($F8="","",IFERROR(INDEX(사건마스터!$AS$5:$AS$64,MATCH($F8,사건마스터!$A$5:$A$64,0)),""))</f>
        <v/>
      </c>
      <c r="W8" s="35">
        <f>IF($F8="","",IFERROR(INDEX(사건마스터!$AT$5:$AT$64,MATCH($F8,사건마스터!$A$5:$A$64,0)),""))</f>
        <v/>
      </c>
      <c r="X8" s="35">
        <f>IF($F8="","",IFERROR(INDEX(사건마스터!$AU$5:$AU$64,MATCH($F8,사건마스터!$A$5:$A$64,0)),""))</f>
        <v/>
      </c>
      <c r="Y8" s="35">
        <f>IF($F8="","",IFERROR(INDEX(사건마스터!$AV$5:$AV$64,MATCH($F8,사건마스터!$A$5:$A$64,0)),""))</f>
        <v/>
      </c>
      <c r="Z8" s="30">
        <f>IF(COUNTBLANK($J8:$Y8)=16,"",16-COUNTBLANK($J8:$Y8))</f>
        <v/>
      </c>
      <c r="AA8" s="33">
        <f>IF($J8="",MID($AX8,3,255),$J8&amp;$AX8)</f>
        <v/>
      </c>
      <c r="AB8" s="34">
        <f>IF($J8="","",IFERROR(INDEX(코드설정!$D$5:$D$24,MATCH($J8,코드설정!$C$5:$C$24,0)),""))</f>
        <v/>
      </c>
      <c r="AC8" s="36" t="n"/>
      <c r="AD8" s="37" t="n"/>
      <c r="AE8" s="38" t="n"/>
      <c r="AF8" s="30">
        <f>IF(OR($B8="",$C8=""),"",$C8-$B8+1)</f>
        <v/>
      </c>
      <c r="AG8" s="32" t="n"/>
      <c r="AH8" s="36" t="n"/>
      <c r="AJ8">
        <f>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  <c r="AX8">
        <f>AW8&amp;IF($Y8="","",", "&amp;$Y8)</f>
        <v/>
      </c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0">
        <f>IF($F9="","",COUNTIF($F$5:$F9,$F9))</f>
        <v/>
      </c>
      <c r="H9" s="33">
        <f>IF($F9="","",IFERROR(INDEX(사건마스터!$B$5:$B$64,MATCH($F9,사건마스터!$A$5:$A$64,0)),""))</f>
        <v/>
      </c>
      <c r="I9" s="34">
        <f>IF($F9="","",IFERROR(INDEX(사건마스터!$C$5:$C$64,MATCH($F9,사건마스터!$A$5:$A$64,0)),""))</f>
        <v/>
      </c>
      <c r="J9" s="35">
        <f>IF($F9="","",IFERROR(INDEX(사건마스터!$H$5:$H$64,MATCH($F9,사건마스터!$A$5:$A$64,0)),""))</f>
        <v/>
      </c>
      <c r="K9" s="35">
        <f>IF($F9="","",IFERROR(INDEX(사건마스터!$AH$5:$AH$64,MATCH($F9,사건마스터!$A$5:$A$64,0)),""))</f>
        <v/>
      </c>
      <c r="L9" s="35">
        <f>IF($F9="","",IFERROR(INDEX(사건마스터!$AI$5:$AI$64,MATCH($F9,사건마스터!$A$5:$A$64,0)),""))</f>
        <v/>
      </c>
      <c r="M9" s="35">
        <f>IF($F9="","",IFERROR(INDEX(사건마스터!$AJ$5:$AJ$64,MATCH($F9,사건마스터!$A$5:$A$64,0)),""))</f>
        <v/>
      </c>
      <c r="N9" s="35">
        <f>IF($F9="","",IFERROR(INDEX(사건마스터!$AK$5:$AK$64,MATCH($F9,사건마스터!$A$5:$A$64,0)),""))</f>
        <v/>
      </c>
      <c r="O9" s="35">
        <f>IF($F9="","",IFERROR(INDEX(사건마스터!$AL$5:$AL$64,MATCH($F9,사건마스터!$A$5:$A$64,0)),""))</f>
        <v/>
      </c>
      <c r="P9" s="35">
        <f>IF($F9="","",IFERROR(INDEX(사건마스터!$AM$5:$AM$64,MATCH($F9,사건마스터!$A$5:$A$64,0)),""))</f>
        <v/>
      </c>
      <c r="Q9" s="35">
        <f>IF($F9="","",IFERROR(INDEX(사건마스터!$AN$5:$AN$64,MATCH($F9,사건마스터!$A$5:$A$64,0)),""))</f>
        <v/>
      </c>
      <c r="R9" s="35">
        <f>IF($F9="","",IFERROR(INDEX(사건마스터!$AO$5:$AO$64,MATCH($F9,사건마스터!$A$5:$A$64,0)),""))</f>
        <v/>
      </c>
      <c r="S9" s="35">
        <f>IF($F9="","",IFERROR(INDEX(사건마스터!$AP$5:$AP$64,MATCH($F9,사건마스터!$A$5:$A$64,0)),""))</f>
        <v/>
      </c>
      <c r="T9" s="35">
        <f>IF($F9="","",IFERROR(INDEX(사건마스터!$AQ$5:$AQ$64,MATCH($F9,사건마스터!$A$5:$A$64,0)),""))</f>
        <v/>
      </c>
      <c r="U9" s="35">
        <f>IF($F9="","",IFERROR(INDEX(사건마스터!$AR$5:$AR$64,MATCH($F9,사건마스터!$A$5:$A$64,0)),""))</f>
        <v/>
      </c>
      <c r="V9" s="35">
        <f>IF($F9="","",IFERROR(INDEX(사건마스터!$AS$5:$AS$64,MATCH($F9,사건마스터!$A$5:$A$64,0)),""))</f>
        <v/>
      </c>
      <c r="W9" s="35">
        <f>IF($F9="","",IFERROR(INDEX(사건마스터!$AT$5:$AT$64,MATCH($F9,사건마스터!$A$5:$A$64,0)),""))</f>
        <v/>
      </c>
      <c r="X9" s="35">
        <f>IF($F9="","",IFERROR(INDEX(사건마스터!$AU$5:$AU$64,MATCH($F9,사건마스터!$A$5:$A$64,0)),""))</f>
        <v/>
      </c>
      <c r="Y9" s="35">
        <f>IF($F9="","",IFERROR(INDEX(사건마스터!$AV$5:$AV$64,MATCH($F9,사건마스터!$A$5:$A$64,0)),""))</f>
        <v/>
      </c>
      <c r="Z9" s="30">
        <f>IF(COUNTBLANK($J9:$Y9)=16,"",16-COUNTBLANK($J9:$Y9))</f>
        <v/>
      </c>
      <c r="AA9" s="33">
        <f>IF($J9="",MID($AX9,3,255),$J9&amp;$AX9)</f>
        <v/>
      </c>
      <c r="AB9" s="34">
        <f>IF($J9="","",IFERROR(INDEX(코드설정!$D$5:$D$24,MATCH($J9,코드설정!$C$5:$C$24,0)),""))</f>
        <v/>
      </c>
      <c r="AC9" s="36" t="n"/>
      <c r="AD9" s="37" t="n"/>
      <c r="AE9" s="38" t="n"/>
      <c r="AF9" s="30">
        <f>IF(OR($B9="",$C9=""),"",$C9-$B9+1)</f>
        <v/>
      </c>
      <c r="AG9" s="32" t="n"/>
      <c r="AH9" s="36" t="n"/>
      <c r="AJ9">
        <f>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  <c r="AX9">
        <f>AW9&amp;IF($Y9="","",", "&amp;$Y9)</f>
        <v/>
      </c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0">
        <f>IF($F10="","",COUNTIF($F$5:$F10,$F10))</f>
        <v/>
      </c>
      <c r="H10" s="33">
        <f>IF($F10="","",IFERROR(INDEX(사건마스터!$B$5:$B$64,MATCH($F10,사건마스터!$A$5:$A$64,0)),""))</f>
        <v/>
      </c>
      <c r="I10" s="34">
        <f>IF($F10="","",IFERROR(INDEX(사건마스터!$C$5:$C$64,MATCH($F10,사건마스터!$A$5:$A$64,0)),""))</f>
        <v/>
      </c>
      <c r="J10" s="35">
        <f>IF($F10="","",IFERROR(INDEX(사건마스터!$H$5:$H$64,MATCH($F10,사건마스터!$A$5:$A$64,0)),""))</f>
        <v/>
      </c>
      <c r="K10" s="35">
        <f>IF($F10="","",IFERROR(INDEX(사건마스터!$AH$5:$AH$64,MATCH($F10,사건마스터!$A$5:$A$64,0)),""))</f>
        <v/>
      </c>
      <c r="L10" s="35">
        <f>IF($F10="","",IFERROR(INDEX(사건마스터!$AI$5:$AI$64,MATCH($F10,사건마스터!$A$5:$A$64,0)),""))</f>
        <v/>
      </c>
      <c r="M10" s="35">
        <f>IF($F10="","",IFERROR(INDEX(사건마스터!$AJ$5:$AJ$64,MATCH($F10,사건마스터!$A$5:$A$64,0)),""))</f>
        <v/>
      </c>
      <c r="N10" s="35">
        <f>IF($F10="","",IFERROR(INDEX(사건마스터!$AK$5:$AK$64,MATCH($F10,사건마스터!$A$5:$A$64,0)),""))</f>
        <v/>
      </c>
      <c r="O10" s="35">
        <f>IF($F10="","",IFERROR(INDEX(사건마스터!$AL$5:$AL$64,MATCH($F10,사건마스터!$A$5:$A$64,0)),""))</f>
        <v/>
      </c>
      <c r="P10" s="35">
        <f>IF($F10="","",IFERROR(INDEX(사건마스터!$AM$5:$AM$64,MATCH($F10,사건마스터!$A$5:$A$64,0)),""))</f>
        <v/>
      </c>
      <c r="Q10" s="35">
        <f>IF($F10="","",IFERROR(INDEX(사건마스터!$AN$5:$AN$64,MATCH($F10,사건마스터!$A$5:$A$64,0)),""))</f>
        <v/>
      </c>
      <c r="R10" s="35">
        <f>IF($F10="","",IFERROR(INDEX(사건마스터!$AO$5:$AO$64,MATCH($F10,사건마스터!$A$5:$A$64,0)),""))</f>
        <v/>
      </c>
      <c r="S10" s="35">
        <f>IF($F10="","",IFERROR(INDEX(사건마스터!$AP$5:$AP$64,MATCH($F10,사건마스터!$A$5:$A$64,0)),""))</f>
        <v/>
      </c>
      <c r="T10" s="35">
        <f>IF($F10="","",IFERROR(INDEX(사건마스터!$AQ$5:$AQ$64,MATCH($F10,사건마스터!$A$5:$A$64,0)),""))</f>
        <v/>
      </c>
      <c r="U10" s="35">
        <f>IF($F10="","",IFERROR(INDEX(사건마스터!$AR$5:$AR$64,MATCH($F10,사건마스터!$A$5:$A$64,0)),""))</f>
        <v/>
      </c>
      <c r="V10" s="35">
        <f>IF($F10="","",IFERROR(INDEX(사건마스터!$AS$5:$AS$64,MATCH($F10,사건마스터!$A$5:$A$64,0)),""))</f>
        <v/>
      </c>
      <c r="W10" s="35">
        <f>IF($F10="","",IFERROR(INDEX(사건마스터!$AT$5:$AT$64,MATCH($F10,사건마스터!$A$5:$A$64,0)),""))</f>
        <v/>
      </c>
      <c r="X10" s="35">
        <f>IF($F10="","",IFERROR(INDEX(사건마스터!$AU$5:$AU$64,MATCH($F10,사건마스터!$A$5:$A$64,0)),""))</f>
        <v/>
      </c>
      <c r="Y10" s="35">
        <f>IF($F10="","",IFERROR(INDEX(사건마스터!$AV$5:$AV$64,MATCH($F10,사건마스터!$A$5:$A$64,0)),""))</f>
        <v/>
      </c>
      <c r="Z10" s="30">
        <f>IF(COUNTBLANK($J10:$Y10)=16,"",16-COUNTBLANK($J10:$Y10))</f>
        <v/>
      </c>
      <c r="AA10" s="33">
        <f>IF($J10="",MID($AX10,3,255),$J10&amp;$AX10)</f>
        <v/>
      </c>
      <c r="AB10" s="34">
        <f>IF($J10="","",IFERROR(INDEX(코드설정!$D$5:$D$24,MATCH($J10,코드설정!$C$5:$C$24,0)),""))</f>
        <v/>
      </c>
      <c r="AC10" s="36" t="n"/>
      <c r="AD10" s="37" t="n"/>
      <c r="AE10" s="38" t="n"/>
      <c r="AF10" s="30">
        <f>IF(OR($B10="",$C10=""),"",$C10-$B10+1)</f>
        <v/>
      </c>
      <c r="AG10" s="32" t="n"/>
      <c r="AH10" s="36" t="n"/>
      <c r="AJ10">
        <f>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  <c r="AX10">
        <f>AW10&amp;IF($Y10="","",", "&amp;$Y10)</f>
        <v/>
      </c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0">
        <f>IF($F11="","",COUNTIF($F$5:$F11,$F11))</f>
        <v/>
      </c>
      <c r="H11" s="33">
        <f>IF($F11="","",IFERROR(INDEX(사건마스터!$B$5:$B$64,MATCH($F11,사건마스터!$A$5:$A$64,0)),""))</f>
        <v/>
      </c>
      <c r="I11" s="34">
        <f>IF($F11="","",IFERROR(INDEX(사건마스터!$C$5:$C$64,MATCH($F11,사건마스터!$A$5:$A$64,0)),""))</f>
        <v/>
      </c>
      <c r="J11" s="35">
        <f>IF($F11="","",IFERROR(INDEX(사건마스터!$H$5:$H$64,MATCH($F11,사건마스터!$A$5:$A$64,0)),""))</f>
        <v/>
      </c>
      <c r="K11" s="35">
        <f>IF($F11="","",IFERROR(INDEX(사건마스터!$AH$5:$AH$64,MATCH($F11,사건마스터!$A$5:$A$64,0)),""))</f>
        <v/>
      </c>
      <c r="L11" s="35">
        <f>IF($F11="","",IFERROR(INDEX(사건마스터!$AI$5:$AI$64,MATCH($F11,사건마스터!$A$5:$A$64,0)),""))</f>
        <v/>
      </c>
      <c r="M11" s="35">
        <f>IF($F11="","",IFERROR(INDEX(사건마스터!$AJ$5:$AJ$64,MATCH($F11,사건마스터!$A$5:$A$64,0)),""))</f>
        <v/>
      </c>
      <c r="N11" s="35">
        <f>IF($F11="","",IFERROR(INDEX(사건마스터!$AK$5:$AK$64,MATCH($F11,사건마스터!$A$5:$A$64,0)),""))</f>
        <v/>
      </c>
      <c r="O11" s="35">
        <f>IF($F11="","",IFERROR(INDEX(사건마스터!$AL$5:$AL$64,MATCH($F11,사건마스터!$A$5:$A$64,0)),""))</f>
        <v/>
      </c>
      <c r="P11" s="35">
        <f>IF($F11="","",IFERROR(INDEX(사건마스터!$AM$5:$AM$64,MATCH($F11,사건마스터!$A$5:$A$64,0)),""))</f>
        <v/>
      </c>
      <c r="Q11" s="35">
        <f>IF($F11="","",IFERROR(INDEX(사건마스터!$AN$5:$AN$64,MATCH($F11,사건마스터!$A$5:$A$64,0)),""))</f>
        <v/>
      </c>
      <c r="R11" s="35">
        <f>IF($F11="","",IFERROR(INDEX(사건마스터!$AO$5:$AO$64,MATCH($F11,사건마스터!$A$5:$A$64,0)),""))</f>
        <v/>
      </c>
      <c r="S11" s="35">
        <f>IF($F11="","",IFERROR(INDEX(사건마스터!$AP$5:$AP$64,MATCH($F11,사건마스터!$A$5:$A$64,0)),""))</f>
        <v/>
      </c>
      <c r="T11" s="35">
        <f>IF($F11="","",IFERROR(INDEX(사건마스터!$AQ$5:$AQ$64,MATCH($F11,사건마스터!$A$5:$A$64,0)),""))</f>
        <v/>
      </c>
      <c r="U11" s="35">
        <f>IF($F11="","",IFERROR(INDEX(사건마스터!$AR$5:$AR$64,MATCH($F11,사건마스터!$A$5:$A$64,0)),""))</f>
        <v/>
      </c>
      <c r="V11" s="35">
        <f>IF($F11="","",IFERROR(INDEX(사건마스터!$AS$5:$AS$64,MATCH($F11,사건마스터!$A$5:$A$64,0)),""))</f>
        <v/>
      </c>
      <c r="W11" s="35">
        <f>IF($F11="","",IFERROR(INDEX(사건마스터!$AT$5:$AT$64,MATCH($F11,사건마스터!$A$5:$A$64,0)),""))</f>
        <v/>
      </c>
      <c r="X11" s="35">
        <f>IF($F11="","",IFERROR(INDEX(사건마스터!$AU$5:$AU$64,MATCH($F11,사건마스터!$A$5:$A$64,0)),""))</f>
        <v/>
      </c>
      <c r="Y11" s="35">
        <f>IF($F11="","",IFERROR(INDEX(사건마스터!$AV$5:$AV$64,MATCH($F11,사건마스터!$A$5:$A$64,0)),""))</f>
        <v/>
      </c>
      <c r="Z11" s="30">
        <f>IF(COUNTBLANK($J11:$Y11)=16,"",16-COUNTBLANK($J11:$Y11))</f>
        <v/>
      </c>
      <c r="AA11" s="33">
        <f>IF($J11="",MID($AX11,3,255),$J11&amp;$AX11)</f>
        <v/>
      </c>
      <c r="AB11" s="34">
        <f>IF($J11="","",IFERROR(INDEX(코드설정!$D$5:$D$24,MATCH($J11,코드설정!$C$5:$C$24,0)),""))</f>
        <v/>
      </c>
      <c r="AC11" s="36" t="n"/>
      <c r="AD11" s="37" t="n"/>
      <c r="AE11" s="38" t="n"/>
      <c r="AF11" s="30">
        <f>IF(OR($B11="",$C11=""),"",$C11-$B11+1)</f>
        <v/>
      </c>
      <c r="AG11" s="32" t="n"/>
      <c r="AH11" s="36" t="n"/>
      <c r="AJ11">
        <f>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  <c r="AX11">
        <f>AW11&amp;IF($Y11="","",", "&amp;$Y11)</f>
        <v/>
      </c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0">
        <f>IF($F12="","",COUNTIF($F$5:$F12,$F12))</f>
        <v/>
      </c>
      <c r="H12" s="33">
        <f>IF($F12="","",IFERROR(INDEX(사건마스터!$B$5:$B$64,MATCH($F12,사건마스터!$A$5:$A$64,0)),""))</f>
        <v/>
      </c>
      <c r="I12" s="34">
        <f>IF($F12="","",IFERROR(INDEX(사건마스터!$C$5:$C$64,MATCH($F12,사건마스터!$A$5:$A$64,0)),""))</f>
        <v/>
      </c>
      <c r="J12" s="35">
        <f>IF($F12="","",IFERROR(INDEX(사건마스터!$H$5:$H$64,MATCH($F12,사건마스터!$A$5:$A$64,0)),""))</f>
        <v/>
      </c>
      <c r="K12" s="35">
        <f>IF($F12="","",IFERROR(INDEX(사건마스터!$AH$5:$AH$64,MATCH($F12,사건마스터!$A$5:$A$64,0)),""))</f>
        <v/>
      </c>
      <c r="L12" s="35">
        <f>IF($F12="","",IFERROR(INDEX(사건마스터!$AI$5:$AI$64,MATCH($F12,사건마스터!$A$5:$A$64,0)),""))</f>
        <v/>
      </c>
      <c r="M12" s="35">
        <f>IF($F12="","",IFERROR(INDEX(사건마스터!$AJ$5:$AJ$64,MATCH($F12,사건마스터!$A$5:$A$64,0)),""))</f>
        <v/>
      </c>
      <c r="N12" s="35">
        <f>IF($F12="","",IFERROR(INDEX(사건마스터!$AK$5:$AK$64,MATCH($F12,사건마스터!$A$5:$A$64,0)),""))</f>
        <v/>
      </c>
      <c r="O12" s="35">
        <f>IF($F12="","",IFERROR(INDEX(사건마스터!$AL$5:$AL$64,MATCH($F12,사건마스터!$A$5:$A$64,0)),""))</f>
        <v/>
      </c>
      <c r="P12" s="35">
        <f>IF($F12="","",IFERROR(INDEX(사건마스터!$AM$5:$AM$64,MATCH($F12,사건마스터!$A$5:$A$64,0)),""))</f>
        <v/>
      </c>
      <c r="Q12" s="35">
        <f>IF($F12="","",IFERROR(INDEX(사건마스터!$AN$5:$AN$64,MATCH($F12,사건마스터!$A$5:$A$64,0)),""))</f>
        <v/>
      </c>
      <c r="R12" s="35">
        <f>IF($F12="","",IFERROR(INDEX(사건마스터!$AO$5:$AO$64,MATCH($F12,사건마스터!$A$5:$A$64,0)),""))</f>
        <v/>
      </c>
      <c r="S12" s="35">
        <f>IF($F12="","",IFERROR(INDEX(사건마스터!$AP$5:$AP$64,MATCH($F12,사건마스터!$A$5:$A$64,0)),""))</f>
        <v/>
      </c>
      <c r="T12" s="35">
        <f>IF($F12="","",IFERROR(INDEX(사건마스터!$AQ$5:$AQ$64,MATCH($F12,사건마스터!$A$5:$A$64,0)),""))</f>
        <v/>
      </c>
      <c r="U12" s="35">
        <f>IF($F12="","",IFERROR(INDEX(사건마스터!$AR$5:$AR$64,MATCH($F12,사건마스터!$A$5:$A$64,0)),""))</f>
        <v/>
      </c>
      <c r="V12" s="35">
        <f>IF($F12="","",IFERROR(INDEX(사건마스터!$AS$5:$AS$64,MATCH($F12,사건마스터!$A$5:$A$64,0)),""))</f>
        <v/>
      </c>
      <c r="W12" s="35">
        <f>IF($F12="","",IFERROR(INDEX(사건마스터!$AT$5:$AT$64,MATCH($F12,사건마스터!$A$5:$A$64,0)),""))</f>
        <v/>
      </c>
      <c r="X12" s="35">
        <f>IF($F12="","",IFERROR(INDEX(사건마스터!$AU$5:$AU$64,MATCH($F12,사건마스터!$A$5:$A$64,0)),""))</f>
        <v/>
      </c>
      <c r="Y12" s="35">
        <f>IF($F12="","",IFERROR(INDEX(사건마스터!$AV$5:$AV$64,MATCH($F12,사건마스터!$A$5:$A$64,0)),""))</f>
        <v/>
      </c>
      <c r="Z12" s="30">
        <f>IF(COUNTBLANK($J12:$Y12)=16,"",16-COUNTBLANK($J12:$Y12))</f>
        <v/>
      </c>
      <c r="AA12" s="33">
        <f>IF($J12="",MID($AX12,3,255),$J12&amp;$AX12)</f>
        <v/>
      </c>
      <c r="AB12" s="34">
        <f>IF($J12="","",IFERROR(INDEX(코드설정!$D$5:$D$24,MATCH($J12,코드설정!$C$5:$C$24,0)),""))</f>
        <v/>
      </c>
      <c r="AC12" s="36" t="n"/>
      <c r="AD12" s="37" t="n"/>
      <c r="AE12" s="38" t="n"/>
      <c r="AF12" s="30">
        <f>IF(OR($B12="",$C12=""),"",$C12-$B12+1)</f>
        <v/>
      </c>
      <c r="AG12" s="32" t="n"/>
      <c r="AH12" s="36" t="n"/>
      <c r="AJ12">
        <f>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  <c r="AX12">
        <f>AW12&amp;IF($Y12="","",", "&amp;$Y12)</f>
        <v/>
      </c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0">
        <f>IF($F13="","",COUNTIF($F$5:$F13,$F13))</f>
        <v/>
      </c>
      <c r="H13" s="33">
        <f>IF($F13="","",IFERROR(INDEX(사건마스터!$B$5:$B$64,MATCH($F13,사건마스터!$A$5:$A$64,0)),""))</f>
        <v/>
      </c>
      <c r="I13" s="34">
        <f>IF($F13="","",IFERROR(INDEX(사건마스터!$C$5:$C$64,MATCH($F13,사건마스터!$A$5:$A$64,0)),""))</f>
        <v/>
      </c>
      <c r="J13" s="35">
        <f>IF($F13="","",IFERROR(INDEX(사건마스터!$H$5:$H$64,MATCH($F13,사건마스터!$A$5:$A$64,0)),""))</f>
        <v/>
      </c>
      <c r="K13" s="35">
        <f>IF($F13="","",IFERROR(INDEX(사건마스터!$AH$5:$AH$64,MATCH($F13,사건마스터!$A$5:$A$64,0)),""))</f>
        <v/>
      </c>
      <c r="L13" s="35">
        <f>IF($F13="","",IFERROR(INDEX(사건마스터!$AI$5:$AI$64,MATCH($F13,사건마스터!$A$5:$A$64,0)),""))</f>
        <v/>
      </c>
      <c r="M13" s="35">
        <f>IF($F13="","",IFERROR(INDEX(사건마스터!$AJ$5:$AJ$64,MATCH($F13,사건마스터!$A$5:$A$64,0)),""))</f>
        <v/>
      </c>
      <c r="N13" s="35">
        <f>IF($F13="","",IFERROR(INDEX(사건마스터!$AK$5:$AK$64,MATCH($F13,사건마스터!$A$5:$A$64,0)),""))</f>
        <v/>
      </c>
      <c r="O13" s="35">
        <f>IF($F13="","",IFERROR(INDEX(사건마스터!$AL$5:$AL$64,MATCH($F13,사건마스터!$A$5:$A$64,0)),""))</f>
        <v/>
      </c>
      <c r="P13" s="35">
        <f>IF($F13="","",IFERROR(INDEX(사건마스터!$AM$5:$AM$64,MATCH($F13,사건마스터!$A$5:$A$64,0)),""))</f>
        <v/>
      </c>
      <c r="Q13" s="35">
        <f>IF($F13="","",IFERROR(INDEX(사건마스터!$AN$5:$AN$64,MATCH($F13,사건마스터!$A$5:$A$64,0)),""))</f>
        <v/>
      </c>
      <c r="R13" s="35">
        <f>IF($F13="","",IFERROR(INDEX(사건마스터!$AO$5:$AO$64,MATCH($F13,사건마스터!$A$5:$A$64,0)),""))</f>
        <v/>
      </c>
      <c r="S13" s="35">
        <f>IF($F13="","",IFERROR(INDEX(사건마스터!$AP$5:$AP$64,MATCH($F13,사건마스터!$A$5:$A$64,0)),""))</f>
        <v/>
      </c>
      <c r="T13" s="35">
        <f>IF($F13="","",IFERROR(INDEX(사건마스터!$AQ$5:$AQ$64,MATCH($F13,사건마스터!$A$5:$A$64,0)),""))</f>
        <v/>
      </c>
      <c r="U13" s="35">
        <f>IF($F13="","",IFERROR(INDEX(사건마스터!$AR$5:$AR$64,MATCH($F13,사건마스터!$A$5:$A$64,0)),""))</f>
        <v/>
      </c>
      <c r="V13" s="35">
        <f>IF($F13="","",IFERROR(INDEX(사건마스터!$AS$5:$AS$64,MATCH($F13,사건마스터!$A$5:$A$64,0)),""))</f>
        <v/>
      </c>
      <c r="W13" s="35">
        <f>IF($F13="","",IFERROR(INDEX(사건마스터!$AT$5:$AT$64,MATCH($F13,사건마스터!$A$5:$A$64,0)),""))</f>
        <v/>
      </c>
      <c r="X13" s="35">
        <f>IF($F13="","",IFERROR(INDEX(사건마스터!$AU$5:$AU$64,MATCH($F13,사건마스터!$A$5:$A$64,0)),""))</f>
        <v/>
      </c>
      <c r="Y13" s="35">
        <f>IF($F13="","",IFERROR(INDEX(사건마스터!$AV$5:$AV$64,MATCH($F13,사건마스터!$A$5:$A$64,0)),""))</f>
        <v/>
      </c>
      <c r="Z13" s="30">
        <f>IF(COUNTBLANK($J13:$Y13)=16,"",16-COUNTBLANK($J13:$Y13))</f>
        <v/>
      </c>
      <c r="AA13" s="33">
        <f>IF($J13="",MID($AX13,3,255),$J13&amp;$AX13)</f>
        <v/>
      </c>
      <c r="AB13" s="34">
        <f>IF($J13="","",IFERROR(INDEX(코드설정!$D$5:$D$24,MATCH($J13,코드설정!$C$5:$C$24,0)),""))</f>
        <v/>
      </c>
      <c r="AC13" s="36" t="n"/>
      <c r="AD13" s="37" t="n"/>
      <c r="AE13" s="38" t="n"/>
      <c r="AF13" s="30">
        <f>IF(OR($B13="",$C13=""),"",$C13-$B13+1)</f>
        <v/>
      </c>
      <c r="AG13" s="32" t="n"/>
      <c r="AH13" s="36" t="n"/>
      <c r="AJ13">
        <f>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  <c r="AX13">
        <f>AW13&amp;IF($Y13="","",", "&amp;$Y13)</f>
        <v/>
      </c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0">
        <f>IF($F14="","",COUNTIF($F$5:$F14,$F14))</f>
        <v/>
      </c>
      <c r="H14" s="33">
        <f>IF($F14="","",IFERROR(INDEX(사건마스터!$B$5:$B$64,MATCH($F14,사건마스터!$A$5:$A$64,0)),""))</f>
        <v/>
      </c>
      <c r="I14" s="34">
        <f>IF($F14="","",IFERROR(INDEX(사건마스터!$C$5:$C$64,MATCH($F14,사건마스터!$A$5:$A$64,0)),""))</f>
        <v/>
      </c>
      <c r="J14" s="35">
        <f>IF($F14="","",IFERROR(INDEX(사건마스터!$H$5:$H$64,MATCH($F14,사건마스터!$A$5:$A$64,0)),""))</f>
        <v/>
      </c>
      <c r="K14" s="35">
        <f>IF($F14="","",IFERROR(INDEX(사건마스터!$AH$5:$AH$64,MATCH($F14,사건마스터!$A$5:$A$64,0)),""))</f>
        <v/>
      </c>
      <c r="L14" s="35">
        <f>IF($F14="","",IFERROR(INDEX(사건마스터!$AI$5:$AI$64,MATCH($F14,사건마스터!$A$5:$A$64,0)),""))</f>
        <v/>
      </c>
      <c r="M14" s="35">
        <f>IF($F14="","",IFERROR(INDEX(사건마스터!$AJ$5:$AJ$64,MATCH($F14,사건마스터!$A$5:$A$64,0)),""))</f>
        <v/>
      </c>
      <c r="N14" s="35">
        <f>IF($F14="","",IFERROR(INDEX(사건마스터!$AK$5:$AK$64,MATCH($F14,사건마스터!$A$5:$A$64,0)),""))</f>
        <v/>
      </c>
      <c r="O14" s="35">
        <f>IF($F14="","",IFERROR(INDEX(사건마스터!$AL$5:$AL$64,MATCH($F14,사건마스터!$A$5:$A$64,0)),""))</f>
        <v/>
      </c>
      <c r="P14" s="35">
        <f>IF($F14="","",IFERROR(INDEX(사건마스터!$AM$5:$AM$64,MATCH($F14,사건마스터!$A$5:$A$64,0)),""))</f>
        <v/>
      </c>
      <c r="Q14" s="35">
        <f>IF($F14="","",IFERROR(INDEX(사건마스터!$AN$5:$AN$64,MATCH($F14,사건마스터!$A$5:$A$64,0)),""))</f>
        <v/>
      </c>
      <c r="R14" s="35">
        <f>IF($F14="","",IFERROR(INDEX(사건마스터!$AO$5:$AO$64,MATCH($F14,사건마스터!$A$5:$A$64,0)),""))</f>
        <v/>
      </c>
      <c r="S14" s="35">
        <f>IF($F14="","",IFERROR(INDEX(사건마스터!$AP$5:$AP$64,MATCH($F14,사건마스터!$A$5:$A$64,0)),""))</f>
        <v/>
      </c>
      <c r="T14" s="35">
        <f>IF($F14="","",IFERROR(INDEX(사건마스터!$AQ$5:$AQ$64,MATCH($F14,사건마스터!$A$5:$A$64,0)),""))</f>
        <v/>
      </c>
      <c r="U14" s="35">
        <f>IF($F14="","",IFERROR(INDEX(사건마스터!$AR$5:$AR$64,MATCH($F14,사건마스터!$A$5:$A$64,0)),""))</f>
        <v/>
      </c>
      <c r="V14" s="35">
        <f>IF($F14="","",IFERROR(INDEX(사건마스터!$AS$5:$AS$64,MATCH($F14,사건마스터!$A$5:$A$64,0)),""))</f>
        <v/>
      </c>
      <c r="W14" s="35">
        <f>IF($F14="","",IFERROR(INDEX(사건마스터!$AT$5:$AT$64,MATCH($F14,사건마스터!$A$5:$A$64,0)),""))</f>
        <v/>
      </c>
      <c r="X14" s="35">
        <f>IF($F14="","",IFERROR(INDEX(사건마스터!$AU$5:$AU$64,MATCH($F14,사건마스터!$A$5:$A$64,0)),""))</f>
        <v/>
      </c>
      <c r="Y14" s="35">
        <f>IF($F14="","",IFERROR(INDEX(사건마스터!$AV$5:$AV$64,MATCH($F14,사건마스터!$A$5:$A$64,0)),""))</f>
        <v/>
      </c>
      <c r="Z14" s="30">
        <f>IF(COUNTBLANK($J14:$Y14)=16,"",16-COUNTBLANK($J14:$Y14))</f>
        <v/>
      </c>
      <c r="AA14" s="33">
        <f>IF($J14="",MID($AX14,3,255),$J14&amp;$AX14)</f>
        <v/>
      </c>
      <c r="AB14" s="34">
        <f>IF($J14="","",IFERROR(INDEX(코드설정!$D$5:$D$24,MATCH($J14,코드설정!$C$5:$C$24,0)),""))</f>
        <v/>
      </c>
      <c r="AC14" s="36" t="n"/>
      <c r="AD14" s="37" t="n"/>
      <c r="AE14" s="38" t="n"/>
      <c r="AF14" s="30">
        <f>IF(OR($B14="",$C14=""),"",$C14-$B14+1)</f>
        <v/>
      </c>
      <c r="AG14" s="32" t="n"/>
      <c r="AH14" s="36" t="n"/>
      <c r="AJ14">
        <f>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  <c r="AX14">
        <f>AW14&amp;IF($Y14="","",", "&amp;$Y14)</f>
        <v/>
      </c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0">
        <f>IF($F15="","",COUNTIF($F$5:$F15,$F15))</f>
        <v/>
      </c>
      <c r="H15" s="33">
        <f>IF($F15="","",IFERROR(INDEX(사건마스터!$B$5:$B$64,MATCH($F15,사건마스터!$A$5:$A$64,0)),""))</f>
        <v/>
      </c>
      <c r="I15" s="34">
        <f>IF($F15="","",IFERROR(INDEX(사건마스터!$C$5:$C$64,MATCH($F15,사건마스터!$A$5:$A$64,0)),""))</f>
        <v/>
      </c>
      <c r="J15" s="35">
        <f>IF($F15="","",IFERROR(INDEX(사건마스터!$H$5:$H$64,MATCH($F15,사건마스터!$A$5:$A$64,0)),""))</f>
        <v/>
      </c>
      <c r="K15" s="35">
        <f>IF($F15="","",IFERROR(INDEX(사건마스터!$AH$5:$AH$64,MATCH($F15,사건마스터!$A$5:$A$64,0)),""))</f>
        <v/>
      </c>
      <c r="L15" s="35">
        <f>IF($F15="","",IFERROR(INDEX(사건마스터!$AI$5:$AI$64,MATCH($F15,사건마스터!$A$5:$A$64,0)),""))</f>
        <v/>
      </c>
      <c r="M15" s="35">
        <f>IF($F15="","",IFERROR(INDEX(사건마스터!$AJ$5:$AJ$64,MATCH($F15,사건마스터!$A$5:$A$64,0)),""))</f>
        <v/>
      </c>
      <c r="N15" s="35">
        <f>IF($F15="","",IFERROR(INDEX(사건마스터!$AK$5:$AK$64,MATCH($F15,사건마스터!$A$5:$A$64,0)),""))</f>
        <v/>
      </c>
      <c r="O15" s="35">
        <f>IF($F15="","",IFERROR(INDEX(사건마스터!$AL$5:$AL$64,MATCH($F15,사건마스터!$A$5:$A$64,0)),""))</f>
        <v/>
      </c>
      <c r="P15" s="35">
        <f>IF($F15="","",IFERROR(INDEX(사건마스터!$AM$5:$AM$64,MATCH($F15,사건마스터!$A$5:$A$64,0)),""))</f>
        <v/>
      </c>
      <c r="Q15" s="35">
        <f>IF($F15="","",IFERROR(INDEX(사건마스터!$AN$5:$AN$64,MATCH($F15,사건마스터!$A$5:$A$64,0)),""))</f>
        <v/>
      </c>
      <c r="R15" s="35">
        <f>IF($F15="","",IFERROR(INDEX(사건마스터!$AO$5:$AO$64,MATCH($F15,사건마스터!$A$5:$A$64,0)),""))</f>
        <v/>
      </c>
      <c r="S15" s="35">
        <f>IF($F15="","",IFERROR(INDEX(사건마스터!$AP$5:$AP$64,MATCH($F15,사건마스터!$A$5:$A$64,0)),""))</f>
        <v/>
      </c>
      <c r="T15" s="35">
        <f>IF($F15="","",IFERROR(INDEX(사건마스터!$AQ$5:$AQ$64,MATCH($F15,사건마스터!$A$5:$A$64,0)),""))</f>
        <v/>
      </c>
      <c r="U15" s="35">
        <f>IF($F15="","",IFERROR(INDEX(사건마스터!$AR$5:$AR$64,MATCH($F15,사건마스터!$A$5:$A$64,0)),""))</f>
        <v/>
      </c>
      <c r="V15" s="35">
        <f>IF($F15="","",IFERROR(INDEX(사건마스터!$AS$5:$AS$64,MATCH($F15,사건마스터!$A$5:$A$64,0)),""))</f>
        <v/>
      </c>
      <c r="W15" s="35">
        <f>IF($F15="","",IFERROR(INDEX(사건마스터!$AT$5:$AT$64,MATCH($F15,사건마스터!$A$5:$A$64,0)),""))</f>
        <v/>
      </c>
      <c r="X15" s="35">
        <f>IF($F15="","",IFERROR(INDEX(사건마스터!$AU$5:$AU$64,MATCH($F15,사건마스터!$A$5:$A$64,0)),""))</f>
        <v/>
      </c>
      <c r="Y15" s="35">
        <f>IF($F15="","",IFERROR(INDEX(사건마스터!$AV$5:$AV$64,MATCH($F15,사건마스터!$A$5:$A$64,0)),""))</f>
        <v/>
      </c>
      <c r="Z15" s="30">
        <f>IF(COUNTBLANK($J15:$Y15)=16,"",16-COUNTBLANK($J15:$Y15))</f>
        <v/>
      </c>
      <c r="AA15" s="33">
        <f>IF($J15="",MID($AX15,3,255),$J15&amp;$AX15)</f>
        <v/>
      </c>
      <c r="AB15" s="34">
        <f>IF($J15="","",IFERROR(INDEX(코드설정!$D$5:$D$24,MATCH($J15,코드설정!$C$5:$C$24,0)),""))</f>
        <v/>
      </c>
      <c r="AC15" s="36" t="n"/>
      <c r="AD15" s="37" t="n"/>
      <c r="AE15" s="38" t="n"/>
      <c r="AF15" s="30">
        <f>IF(OR($B15="",$C15=""),"",$C15-$B15+1)</f>
        <v/>
      </c>
      <c r="AG15" s="32" t="n"/>
      <c r="AH15" s="36" t="n"/>
      <c r="AJ15">
        <f>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  <c r="AX15">
        <f>AW15&amp;IF($Y15="","",", "&amp;$Y15)</f>
        <v/>
      </c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0">
        <f>IF($F16="","",COUNTIF($F$5:$F16,$F16))</f>
        <v/>
      </c>
      <c r="H16" s="33">
        <f>IF($F16="","",IFERROR(INDEX(사건마스터!$B$5:$B$64,MATCH($F16,사건마스터!$A$5:$A$64,0)),""))</f>
        <v/>
      </c>
      <c r="I16" s="34">
        <f>IF($F16="","",IFERROR(INDEX(사건마스터!$C$5:$C$64,MATCH($F16,사건마스터!$A$5:$A$64,0)),""))</f>
        <v/>
      </c>
      <c r="J16" s="35">
        <f>IF($F16="","",IFERROR(INDEX(사건마스터!$H$5:$H$64,MATCH($F16,사건마스터!$A$5:$A$64,0)),""))</f>
        <v/>
      </c>
      <c r="K16" s="35">
        <f>IF($F16="","",IFERROR(INDEX(사건마스터!$AH$5:$AH$64,MATCH($F16,사건마스터!$A$5:$A$64,0)),""))</f>
        <v/>
      </c>
      <c r="L16" s="35">
        <f>IF($F16="","",IFERROR(INDEX(사건마스터!$AI$5:$AI$64,MATCH($F16,사건마스터!$A$5:$A$64,0)),""))</f>
        <v/>
      </c>
      <c r="M16" s="35">
        <f>IF($F16="","",IFERROR(INDEX(사건마스터!$AJ$5:$AJ$64,MATCH($F16,사건마스터!$A$5:$A$64,0)),""))</f>
        <v/>
      </c>
      <c r="N16" s="35">
        <f>IF($F16="","",IFERROR(INDEX(사건마스터!$AK$5:$AK$64,MATCH($F16,사건마스터!$A$5:$A$64,0)),""))</f>
        <v/>
      </c>
      <c r="O16" s="35">
        <f>IF($F16="","",IFERROR(INDEX(사건마스터!$AL$5:$AL$64,MATCH($F16,사건마스터!$A$5:$A$64,0)),""))</f>
        <v/>
      </c>
      <c r="P16" s="35">
        <f>IF($F16="","",IFERROR(INDEX(사건마스터!$AM$5:$AM$64,MATCH($F16,사건마스터!$A$5:$A$64,0)),""))</f>
        <v/>
      </c>
      <c r="Q16" s="35">
        <f>IF($F16="","",IFERROR(INDEX(사건마스터!$AN$5:$AN$64,MATCH($F16,사건마스터!$A$5:$A$64,0)),""))</f>
        <v/>
      </c>
      <c r="R16" s="35">
        <f>IF($F16="","",IFERROR(INDEX(사건마스터!$AO$5:$AO$64,MATCH($F16,사건마스터!$A$5:$A$64,0)),""))</f>
        <v/>
      </c>
      <c r="S16" s="35">
        <f>IF($F16="","",IFERROR(INDEX(사건마스터!$AP$5:$AP$64,MATCH($F16,사건마스터!$A$5:$A$64,0)),""))</f>
        <v/>
      </c>
      <c r="T16" s="35">
        <f>IF($F16="","",IFERROR(INDEX(사건마스터!$AQ$5:$AQ$64,MATCH($F16,사건마스터!$A$5:$A$64,0)),""))</f>
        <v/>
      </c>
      <c r="U16" s="35">
        <f>IF($F16="","",IFERROR(INDEX(사건마스터!$AR$5:$AR$64,MATCH($F16,사건마스터!$A$5:$A$64,0)),""))</f>
        <v/>
      </c>
      <c r="V16" s="35">
        <f>IF($F16="","",IFERROR(INDEX(사건마스터!$AS$5:$AS$64,MATCH($F16,사건마스터!$A$5:$A$64,0)),""))</f>
        <v/>
      </c>
      <c r="W16" s="35">
        <f>IF($F16="","",IFERROR(INDEX(사건마스터!$AT$5:$AT$64,MATCH($F16,사건마스터!$A$5:$A$64,0)),""))</f>
        <v/>
      </c>
      <c r="X16" s="35">
        <f>IF($F16="","",IFERROR(INDEX(사건마스터!$AU$5:$AU$64,MATCH($F16,사건마스터!$A$5:$A$64,0)),""))</f>
        <v/>
      </c>
      <c r="Y16" s="35">
        <f>IF($F16="","",IFERROR(INDEX(사건마스터!$AV$5:$AV$64,MATCH($F16,사건마스터!$A$5:$A$64,0)),""))</f>
        <v/>
      </c>
      <c r="Z16" s="30">
        <f>IF(COUNTBLANK($J16:$Y16)=16,"",16-COUNTBLANK($J16:$Y16))</f>
        <v/>
      </c>
      <c r="AA16" s="33">
        <f>IF($J16="",MID($AX16,3,255),$J16&amp;$AX16)</f>
        <v/>
      </c>
      <c r="AB16" s="34">
        <f>IF($J16="","",IFERROR(INDEX(코드설정!$D$5:$D$24,MATCH($J16,코드설정!$C$5:$C$24,0)),""))</f>
        <v/>
      </c>
      <c r="AC16" s="36" t="n"/>
      <c r="AD16" s="37" t="n"/>
      <c r="AE16" s="38" t="n"/>
      <c r="AF16" s="30">
        <f>IF(OR($B16="",$C16=""),"",$C16-$B16+1)</f>
        <v/>
      </c>
      <c r="AG16" s="32" t="n"/>
      <c r="AH16" s="36" t="n"/>
      <c r="AJ16">
        <f>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  <c r="AX16">
        <f>AW16&amp;IF($Y16="","",", "&amp;$Y16)</f>
        <v/>
      </c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0">
        <f>IF($F17="","",COUNTIF($F$5:$F17,$F17))</f>
        <v/>
      </c>
      <c r="H17" s="33">
        <f>IF($F17="","",IFERROR(INDEX(사건마스터!$B$5:$B$64,MATCH($F17,사건마스터!$A$5:$A$64,0)),""))</f>
        <v/>
      </c>
      <c r="I17" s="34">
        <f>IF($F17="","",IFERROR(INDEX(사건마스터!$C$5:$C$64,MATCH($F17,사건마스터!$A$5:$A$64,0)),""))</f>
        <v/>
      </c>
      <c r="J17" s="35">
        <f>IF($F17="","",IFERROR(INDEX(사건마스터!$H$5:$H$64,MATCH($F17,사건마스터!$A$5:$A$64,0)),""))</f>
        <v/>
      </c>
      <c r="K17" s="35">
        <f>IF($F17="","",IFERROR(INDEX(사건마스터!$AH$5:$AH$64,MATCH($F17,사건마스터!$A$5:$A$64,0)),""))</f>
        <v/>
      </c>
      <c r="L17" s="35">
        <f>IF($F17="","",IFERROR(INDEX(사건마스터!$AI$5:$AI$64,MATCH($F17,사건마스터!$A$5:$A$64,0)),""))</f>
        <v/>
      </c>
      <c r="M17" s="35">
        <f>IF($F17="","",IFERROR(INDEX(사건마스터!$AJ$5:$AJ$64,MATCH($F17,사건마스터!$A$5:$A$64,0)),""))</f>
        <v/>
      </c>
      <c r="N17" s="35">
        <f>IF($F17="","",IFERROR(INDEX(사건마스터!$AK$5:$AK$64,MATCH($F17,사건마스터!$A$5:$A$64,0)),""))</f>
        <v/>
      </c>
      <c r="O17" s="35">
        <f>IF($F17="","",IFERROR(INDEX(사건마스터!$AL$5:$AL$64,MATCH($F17,사건마스터!$A$5:$A$64,0)),""))</f>
        <v/>
      </c>
      <c r="P17" s="35">
        <f>IF($F17="","",IFERROR(INDEX(사건마스터!$AM$5:$AM$64,MATCH($F17,사건마스터!$A$5:$A$64,0)),""))</f>
        <v/>
      </c>
      <c r="Q17" s="35">
        <f>IF($F17="","",IFERROR(INDEX(사건마스터!$AN$5:$AN$64,MATCH($F17,사건마스터!$A$5:$A$64,0)),""))</f>
        <v/>
      </c>
      <c r="R17" s="35">
        <f>IF($F17="","",IFERROR(INDEX(사건마스터!$AO$5:$AO$64,MATCH($F17,사건마스터!$A$5:$A$64,0)),""))</f>
        <v/>
      </c>
      <c r="S17" s="35">
        <f>IF($F17="","",IFERROR(INDEX(사건마스터!$AP$5:$AP$64,MATCH($F17,사건마스터!$A$5:$A$64,0)),""))</f>
        <v/>
      </c>
      <c r="T17" s="35">
        <f>IF($F17="","",IFERROR(INDEX(사건마스터!$AQ$5:$AQ$64,MATCH($F17,사건마스터!$A$5:$A$64,0)),""))</f>
        <v/>
      </c>
      <c r="U17" s="35">
        <f>IF($F17="","",IFERROR(INDEX(사건마스터!$AR$5:$AR$64,MATCH($F17,사건마스터!$A$5:$A$64,0)),""))</f>
        <v/>
      </c>
      <c r="V17" s="35">
        <f>IF($F17="","",IFERROR(INDEX(사건마스터!$AS$5:$AS$64,MATCH($F17,사건마스터!$A$5:$A$64,0)),""))</f>
        <v/>
      </c>
      <c r="W17" s="35">
        <f>IF($F17="","",IFERROR(INDEX(사건마스터!$AT$5:$AT$64,MATCH($F17,사건마스터!$A$5:$A$64,0)),""))</f>
        <v/>
      </c>
      <c r="X17" s="35">
        <f>IF($F17="","",IFERROR(INDEX(사건마스터!$AU$5:$AU$64,MATCH($F17,사건마스터!$A$5:$A$64,0)),""))</f>
        <v/>
      </c>
      <c r="Y17" s="35">
        <f>IF($F17="","",IFERROR(INDEX(사건마스터!$AV$5:$AV$64,MATCH($F17,사건마스터!$A$5:$A$64,0)),""))</f>
        <v/>
      </c>
      <c r="Z17" s="30">
        <f>IF(COUNTBLANK($J17:$Y17)=16,"",16-COUNTBLANK($J17:$Y17))</f>
        <v/>
      </c>
      <c r="AA17" s="33">
        <f>IF($J17="",MID($AX17,3,255),$J17&amp;$AX17)</f>
        <v/>
      </c>
      <c r="AB17" s="34">
        <f>IF($J17="","",IFERROR(INDEX(코드설정!$D$5:$D$24,MATCH($J17,코드설정!$C$5:$C$24,0)),""))</f>
        <v/>
      </c>
      <c r="AC17" s="36" t="n"/>
      <c r="AD17" s="37" t="n"/>
      <c r="AE17" s="38" t="n"/>
      <c r="AF17" s="30">
        <f>IF(OR($B17="",$C17=""),"",$C17-$B17+1)</f>
        <v/>
      </c>
      <c r="AG17" s="32" t="n"/>
      <c r="AH17" s="36" t="n"/>
      <c r="AJ17">
        <f>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  <c r="AX17">
        <f>AW17&amp;IF($Y17="","",", "&amp;$Y17)</f>
        <v/>
      </c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0">
        <f>IF($F18="","",COUNTIF($F$5:$F18,$F18))</f>
        <v/>
      </c>
      <c r="H18" s="33">
        <f>IF($F18="","",IFERROR(INDEX(사건마스터!$B$5:$B$64,MATCH($F18,사건마스터!$A$5:$A$64,0)),""))</f>
        <v/>
      </c>
      <c r="I18" s="34">
        <f>IF($F18="","",IFERROR(INDEX(사건마스터!$C$5:$C$64,MATCH($F18,사건마스터!$A$5:$A$64,0)),""))</f>
        <v/>
      </c>
      <c r="J18" s="35">
        <f>IF($F18="","",IFERROR(INDEX(사건마스터!$H$5:$H$64,MATCH($F18,사건마스터!$A$5:$A$64,0)),""))</f>
        <v/>
      </c>
      <c r="K18" s="35">
        <f>IF($F18="","",IFERROR(INDEX(사건마스터!$AH$5:$AH$64,MATCH($F18,사건마스터!$A$5:$A$64,0)),""))</f>
        <v/>
      </c>
      <c r="L18" s="35">
        <f>IF($F18="","",IFERROR(INDEX(사건마스터!$AI$5:$AI$64,MATCH($F18,사건마스터!$A$5:$A$64,0)),""))</f>
        <v/>
      </c>
      <c r="M18" s="35">
        <f>IF($F18="","",IFERROR(INDEX(사건마스터!$AJ$5:$AJ$64,MATCH($F18,사건마스터!$A$5:$A$64,0)),""))</f>
        <v/>
      </c>
      <c r="N18" s="35">
        <f>IF($F18="","",IFERROR(INDEX(사건마스터!$AK$5:$AK$64,MATCH($F18,사건마스터!$A$5:$A$64,0)),""))</f>
        <v/>
      </c>
      <c r="O18" s="35">
        <f>IF($F18="","",IFERROR(INDEX(사건마스터!$AL$5:$AL$64,MATCH($F18,사건마스터!$A$5:$A$64,0)),""))</f>
        <v/>
      </c>
      <c r="P18" s="35">
        <f>IF($F18="","",IFERROR(INDEX(사건마스터!$AM$5:$AM$64,MATCH($F18,사건마스터!$A$5:$A$64,0)),""))</f>
        <v/>
      </c>
      <c r="Q18" s="35">
        <f>IF($F18="","",IFERROR(INDEX(사건마스터!$AN$5:$AN$64,MATCH($F18,사건마스터!$A$5:$A$64,0)),""))</f>
        <v/>
      </c>
      <c r="R18" s="35">
        <f>IF($F18="","",IFERROR(INDEX(사건마스터!$AO$5:$AO$64,MATCH($F18,사건마스터!$A$5:$A$64,0)),""))</f>
        <v/>
      </c>
      <c r="S18" s="35">
        <f>IF($F18="","",IFERROR(INDEX(사건마스터!$AP$5:$AP$64,MATCH($F18,사건마스터!$A$5:$A$64,0)),""))</f>
        <v/>
      </c>
      <c r="T18" s="35">
        <f>IF($F18="","",IFERROR(INDEX(사건마스터!$AQ$5:$AQ$64,MATCH($F18,사건마스터!$A$5:$A$64,0)),""))</f>
        <v/>
      </c>
      <c r="U18" s="35">
        <f>IF($F18="","",IFERROR(INDEX(사건마스터!$AR$5:$AR$64,MATCH($F18,사건마스터!$A$5:$A$64,0)),""))</f>
        <v/>
      </c>
      <c r="V18" s="35">
        <f>IF($F18="","",IFERROR(INDEX(사건마스터!$AS$5:$AS$64,MATCH($F18,사건마스터!$A$5:$A$64,0)),""))</f>
        <v/>
      </c>
      <c r="W18" s="35">
        <f>IF($F18="","",IFERROR(INDEX(사건마스터!$AT$5:$AT$64,MATCH($F18,사건마스터!$A$5:$A$64,0)),""))</f>
        <v/>
      </c>
      <c r="X18" s="35">
        <f>IF($F18="","",IFERROR(INDEX(사건마스터!$AU$5:$AU$64,MATCH($F18,사건마스터!$A$5:$A$64,0)),""))</f>
        <v/>
      </c>
      <c r="Y18" s="35">
        <f>IF($F18="","",IFERROR(INDEX(사건마스터!$AV$5:$AV$64,MATCH($F18,사건마스터!$A$5:$A$64,0)),""))</f>
        <v/>
      </c>
      <c r="Z18" s="30">
        <f>IF(COUNTBLANK($J18:$Y18)=16,"",16-COUNTBLANK($J18:$Y18))</f>
        <v/>
      </c>
      <c r="AA18" s="33">
        <f>IF($J18="",MID($AX18,3,255),$J18&amp;$AX18)</f>
        <v/>
      </c>
      <c r="AB18" s="34">
        <f>IF($J18="","",IFERROR(INDEX(코드설정!$D$5:$D$24,MATCH($J18,코드설정!$C$5:$C$24,0)),""))</f>
        <v/>
      </c>
      <c r="AC18" s="36" t="n"/>
      <c r="AD18" s="37" t="n"/>
      <c r="AE18" s="38" t="n"/>
      <c r="AF18" s="30">
        <f>IF(OR($B18="",$C18=""),"",$C18-$B18+1)</f>
        <v/>
      </c>
      <c r="AG18" s="32" t="n"/>
      <c r="AH18" s="36" t="n"/>
      <c r="AJ18">
        <f>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  <c r="AX18">
        <f>AW18&amp;IF($Y18="","",", "&amp;$Y18)</f>
        <v/>
      </c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0">
        <f>IF($F19="","",COUNTIF($F$5:$F19,$F19))</f>
        <v/>
      </c>
      <c r="H19" s="33">
        <f>IF($F19="","",IFERROR(INDEX(사건마스터!$B$5:$B$64,MATCH($F19,사건마스터!$A$5:$A$64,0)),""))</f>
        <v/>
      </c>
      <c r="I19" s="34">
        <f>IF($F19="","",IFERROR(INDEX(사건마스터!$C$5:$C$64,MATCH($F19,사건마스터!$A$5:$A$64,0)),""))</f>
        <v/>
      </c>
      <c r="J19" s="35">
        <f>IF($F19="","",IFERROR(INDEX(사건마스터!$H$5:$H$64,MATCH($F19,사건마스터!$A$5:$A$64,0)),""))</f>
        <v/>
      </c>
      <c r="K19" s="35">
        <f>IF($F19="","",IFERROR(INDEX(사건마스터!$AH$5:$AH$64,MATCH($F19,사건마스터!$A$5:$A$64,0)),""))</f>
        <v/>
      </c>
      <c r="L19" s="35">
        <f>IF($F19="","",IFERROR(INDEX(사건마스터!$AI$5:$AI$64,MATCH($F19,사건마스터!$A$5:$A$64,0)),""))</f>
        <v/>
      </c>
      <c r="M19" s="35">
        <f>IF($F19="","",IFERROR(INDEX(사건마스터!$AJ$5:$AJ$64,MATCH($F19,사건마스터!$A$5:$A$64,0)),""))</f>
        <v/>
      </c>
      <c r="N19" s="35">
        <f>IF($F19="","",IFERROR(INDEX(사건마스터!$AK$5:$AK$64,MATCH($F19,사건마스터!$A$5:$A$64,0)),""))</f>
        <v/>
      </c>
      <c r="O19" s="35">
        <f>IF($F19="","",IFERROR(INDEX(사건마스터!$AL$5:$AL$64,MATCH($F19,사건마스터!$A$5:$A$64,0)),""))</f>
        <v/>
      </c>
      <c r="P19" s="35">
        <f>IF($F19="","",IFERROR(INDEX(사건마스터!$AM$5:$AM$64,MATCH($F19,사건마스터!$A$5:$A$64,0)),""))</f>
        <v/>
      </c>
      <c r="Q19" s="35">
        <f>IF($F19="","",IFERROR(INDEX(사건마스터!$AN$5:$AN$64,MATCH($F19,사건마스터!$A$5:$A$64,0)),""))</f>
        <v/>
      </c>
      <c r="R19" s="35">
        <f>IF($F19="","",IFERROR(INDEX(사건마스터!$AO$5:$AO$64,MATCH($F19,사건마스터!$A$5:$A$64,0)),""))</f>
        <v/>
      </c>
      <c r="S19" s="35">
        <f>IF($F19="","",IFERROR(INDEX(사건마스터!$AP$5:$AP$64,MATCH($F19,사건마스터!$A$5:$A$64,0)),""))</f>
        <v/>
      </c>
      <c r="T19" s="35">
        <f>IF($F19="","",IFERROR(INDEX(사건마스터!$AQ$5:$AQ$64,MATCH($F19,사건마스터!$A$5:$A$64,0)),""))</f>
        <v/>
      </c>
      <c r="U19" s="35">
        <f>IF($F19="","",IFERROR(INDEX(사건마스터!$AR$5:$AR$64,MATCH($F19,사건마스터!$A$5:$A$64,0)),""))</f>
        <v/>
      </c>
      <c r="V19" s="35">
        <f>IF($F19="","",IFERROR(INDEX(사건마스터!$AS$5:$AS$64,MATCH($F19,사건마스터!$A$5:$A$64,0)),""))</f>
        <v/>
      </c>
      <c r="W19" s="35">
        <f>IF($F19="","",IFERROR(INDEX(사건마스터!$AT$5:$AT$64,MATCH($F19,사건마스터!$A$5:$A$64,0)),""))</f>
        <v/>
      </c>
      <c r="X19" s="35">
        <f>IF($F19="","",IFERROR(INDEX(사건마스터!$AU$5:$AU$64,MATCH($F19,사건마스터!$A$5:$A$64,0)),""))</f>
        <v/>
      </c>
      <c r="Y19" s="35">
        <f>IF($F19="","",IFERROR(INDEX(사건마스터!$AV$5:$AV$64,MATCH($F19,사건마스터!$A$5:$A$64,0)),""))</f>
        <v/>
      </c>
      <c r="Z19" s="30">
        <f>IF(COUNTBLANK($J19:$Y19)=16,"",16-COUNTBLANK($J19:$Y19))</f>
        <v/>
      </c>
      <c r="AA19" s="33">
        <f>IF($J19="",MID($AX19,3,255),$J19&amp;$AX19)</f>
        <v/>
      </c>
      <c r="AB19" s="34">
        <f>IF($J19="","",IFERROR(INDEX(코드설정!$D$5:$D$24,MATCH($J19,코드설정!$C$5:$C$24,0)),""))</f>
        <v/>
      </c>
      <c r="AC19" s="36" t="n"/>
      <c r="AD19" s="37" t="n"/>
      <c r="AE19" s="38" t="n"/>
      <c r="AF19" s="30">
        <f>IF(OR($B19="",$C19=""),"",$C19-$B19+1)</f>
        <v/>
      </c>
      <c r="AG19" s="32" t="n"/>
      <c r="AH19" s="36" t="n"/>
      <c r="AJ19">
        <f>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  <c r="AX19">
        <f>AW19&amp;IF($Y19="","",", "&amp;$Y19)</f>
        <v/>
      </c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0">
        <f>IF($F20="","",COUNTIF($F$5:$F20,$F20))</f>
        <v/>
      </c>
      <c r="H20" s="33">
        <f>IF($F20="","",IFERROR(INDEX(사건마스터!$B$5:$B$64,MATCH($F20,사건마스터!$A$5:$A$64,0)),""))</f>
        <v/>
      </c>
      <c r="I20" s="34">
        <f>IF($F20="","",IFERROR(INDEX(사건마스터!$C$5:$C$64,MATCH($F20,사건마스터!$A$5:$A$64,0)),""))</f>
        <v/>
      </c>
      <c r="J20" s="35">
        <f>IF($F20="","",IFERROR(INDEX(사건마스터!$H$5:$H$64,MATCH($F20,사건마스터!$A$5:$A$64,0)),""))</f>
        <v/>
      </c>
      <c r="K20" s="35">
        <f>IF($F20="","",IFERROR(INDEX(사건마스터!$AH$5:$AH$64,MATCH($F20,사건마스터!$A$5:$A$64,0)),""))</f>
        <v/>
      </c>
      <c r="L20" s="35">
        <f>IF($F20="","",IFERROR(INDEX(사건마스터!$AI$5:$AI$64,MATCH($F20,사건마스터!$A$5:$A$64,0)),""))</f>
        <v/>
      </c>
      <c r="M20" s="35">
        <f>IF($F20="","",IFERROR(INDEX(사건마스터!$AJ$5:$AJ$64,MATCH($F20,사건마스터!$A$5:$A$64,0)),""))</f>
        <v/>
      </c>
      <c r="N20" s="35">
        <f>IF($F20="","",IFERROR(INDEX(사건마스터!$AK$5:$AK$64,MATCH($F20,사건마스터!$A$5:$A$64,0)),""))</f>
        <v/>
      </c>
      <c r="O20" s="35">
        <f>IF($F20="","",IFERROR(INDEX(사건마스터!$AL$5:$AL$64,MATCH($F20,사건마스터!$A$5:$A$64,0)),""))</f>
        <v/>
      </c>
      <c r="P20" s="35">
        <f>IF($F20="","",IFERROR(INDEX(사건마스터!$AM$5:$AM$64,MATCH($F20,사건마스터!$A$5:$A$64,0)),""))</f>
        <v/>
      </c>
      <c r="Q20" s="35">
        <f>IF($F20="","",IFERROR(INDEX(사건마스터!$AN$5:$AN$64,MATCH($F20,사건마스터!$A$5:$A$64,0)),""))</f>
        <v/>
      </c>
      <c r="R20" s="35">
        <f>IF($F20="","",IFERROR(INDEX(사건마스터!$AO$5:$AO$64,MATCH($F20,사건마스터!$A$5:$A$64,0)),""))</f>
        <v/>
      </c>
      <c r="S20" s="35">
        <f>IF($F20="","",IFERROR(INDEX(사건마스터!$AP$5:$AP$64,MATCH($F20,사건마스터!$A$5:$A$64,0)),""))</f>
        <v/>
      </c>
      <c r="T20" s="35">
        <f>IF($F20="","",IFERROR(INDEX(사건마스터!$AQ$5:$AQ$64,MATCH($F20,사건마스터!$A$5:$A$64,0)),""))</f>
        <v/>
      </c>
      <c r="U20" s="35">
        <f>IF($F20="","",IFERROR(INDEX(사건마스터!$AR$5:$AR$64,MATCH($F20,사건마스터!$A$5:$A$64,0)),""))</f>
        <v/>
      </c>
      <c r="V20" s="35">
        <f>IF($F20="","",IFERROR(INDEX(사건마스터!$AS$5:$AS$64,MATCH($F20,사건마스터!$A$5:$A$64,0)),""))</f>
        <v/>
      </c>
      <c r="W20" s="35">
        <f>IF($F20="","",IFERROR(INDEX(사건마스터!$AT$5:$AT$64,MATCH($F20,사건마스터!$A$5:$A$64,0)),""))</f>
        <v/>
      </c>
      <c r="X20" s="35">
        <f>IF($F20="","",IFERROR(INDEX(사건마스터!$AU$5:$AU$64,MATCH($F20,사건마스터!$A$5:$A$64,0)),""))</f>
        <v/>
      </c>
      <c r="Y20" s="35">
        <f>IF($F20="","",IFERROR(INDEX(사건마스터!$AV$5:$AV$64,MATCH($F20,사건마스터!$A$5:$A$64,0)),""))</f>
        <v/>
      </c>
      <c r="Z20" s="30">
        <f>IF(COUNTBLANK($J20:$Y20)=16,"",16-COUNTBLANK($J20:$Y20))</f>
        <v/>
      </c>
      <c r="AA20" s="33">
        <f>IF($J20="",MID($AX20,3,255),$J20&amp;$AX20)</f>
        <v/>
      </c>
      <c r="AB20" s="34">
        <f>IF($J20="","",IFERROR(INDEX(코드설정!$D$5:$D$24,MATCH($J20,코드설정!$C$5:$C$24,0)),""))</f>
        <v/>
      </c>
      <c r="AC20" s="36" t="n"/>
      <c r="AD20" s="37" t="n"/>
      <c r="AE20" s="38" t="n"/>
      <c r="AF20" s="30">
        <f>IF(OR($B20="",$C20=""),"",$C20-$B20+1)</f>
        <v/>
      </c>
      <c r="AG20" s="32" t="n"/>
      <c r="AH20" s="36" t="n"/>
      <c r="AJ20">
        <f>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  <c r="AX20">
        <f>AW20&amp;IF($Y20="","",", "&amp;$Y20)</f>
        <v/>
      </c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0">
        <f>IF($F21="","",COUNTIF($F$5:$F21,$F21))</f>
        <v/>
      </c>
      <c r="H21" s="33">
        <f>IF($F21="","",IFERROR(INDEX(사건마스터!$B$5:$B$64,MATCH($F21,사건마스터!$A$5:$A$64,0)),""))</f>
        <v/>
      </c>
      <c r="I21" s="34">
        <f>IF($F21="","",IFERROR(INDEX(사건마스터!$C$5:$C$64,MATCH($F21,사건마스터!$A$5:$A$64,0)),""))</f>
        <v/>
      </c>
      <c r="J21" s="35">
        <f>IF($F21="","",IFERROR(INDEX(사건마스터!$H$5:$H$64,MATCH($F21,사건마스터!$A$5:$A$64,0)),""))</f>
        <v/>
      </c>
      <c r="K21" s="35">
        <f>IF($F21="","",IFERROR(INDEX(사건마스터!$AH$5:$AH$64,MATCH($F21,사건마스터!$A$5:$A$64,0)),""))</f>
        <v/>
      </c>
      <c r="L21" s="35">
        <f>IF($F21="","",IFERROR(INDEX(사건마스터!$AI$5:$AI$64,MATCH($F21,사건마스터!$A$5:$A$64,0)),""))</f>
        <v/>
      </c>
      <c r="M21" s="35">
        <f>IF($F21="","",IFERROR(INDEX(사건마스터!$AJ$5:$AJ$64,MATCH($F21,사건마스터!$A$5:$A$64,0)),""))</f>
        <v/>
      </c>
      <c r="N21" s="35">
        <f>IF($F21="","",IFERROR(INDEX(사건마스터!$AK$5:$AK$64,MATCH($F21,사건마스터!$A$5:$A$64,0)),""))</f>
        <v/>
      </c>
      <c r="O21" s="35">
        <f>IF($F21="","",IFERROR(INDEX(사건마스터!$AL$5:$AL$64,MATCH($F21,사건마스터!$A$5:$A$64,0)),""))</f>
        <v/>
      </c>
      <c r="P21" s="35">
        <f>IF($F21="","",IFERROR(INDEX(사건마스터!$AM$5:$AM$64,MATCH($F21,사건마스터!$A$5:$A$64,0)),""))</f>
        <v/>
      </c>
      <c r="Q21" s="35">
        <f>IF($F21="","",IFERROR(INDEX(사건마스터!$AN$5:$AN$64,MATCH($F21,사건마스터!$A$5:$A$64,0)),""))</f>
        <v/>
      </c>
      <c r="R21" s="35">
        <f>IF($F21="","",IFERROR(INDEX(사건마스터!$AO$5:$AO$64,MATCH($F21,사건마스터!$A$5:$A$64,0)),""))</f>
        <v/>
      </c>
      <c r="S21" s="35">
        <f>IF($F21="","",IFERROR(INDEX(사건마스터!$AP$5:$AP$64,MATCH($F21,사건마스터!$A$5:$A$64,0)),""))</f>
        <v/>
      </c>
      <c r="T21" s="35">
        <f>IF($F21="","",IFERROR(INDEX(사건마스터!$AQ$5:$AQ$64,MATCH($F21,사건마스터!$A$5:$A$64,0)),""))</f>
        <v/>
      </c>
      <c r="U21" s="35">
        <f>IF($F21="","",IFERROR(INDEX(사건마스터!$AR$5:$AR$64,MATCH($F21,사건마스터!$A$5:$A$64,0)),""))</f>
        <v/>
      </c>
      <c r="V21" s="35">
        <f>IF($F21="","",IFERROR(INDEX(사건마스터!$AS$5:$AS$64,MATCH($F21,사건마스터!$A$5:$A$64,0)),""))</f>
        <v/>
      </c>
      <c r="W21" s="35">
        <f>IF($F21="","",IFERROR(INDEX(사건마스터!$AT$5:$AT$64,MATCH($F21,사건마스터!$A$5:$A$64,0)),""))</f>
        <v/>
      </c>
      <c r="X21" s="35">
        <f>IF($F21="","",IFERROR(INDEX(사건마스터!$AU$5:$AU$64,MATCH($F21,사건마스터!$A$5:$A$64,0)),""))</f>
        <v/>
      </c>
      <c r="Y21" s="35">
        <f>IF($F21="","",IFERROR(INDEX(사건마스터!$AV$5:$AV$64,MATCH($F21,사건마스터!$A$5:$A$64,0)),""))</f>
        <v/>
      </c>
      <c r="Z21" s="30">
        <f>IF(COUNTBLANK($J21:$Y21)=16,"",16-COUNTBLANK($J21:$Y21))</f>
        <v/>
      </c>
      <c r="AA21" s="33">
        <f>IF($J21="",MID($AX21,3,255),$J21&amp;$AX21)</f>
        <v/>
      </c>
      <c r="AB21" s="34">
        <f>IF($J21="","",IFERROR(INDEX(코드설정!$D$5:$D$24,MATCH($J21,코드설정!$C$5:$C$24,0)),""))</f>
        <v/>
      </c>
      <c r="AC21" s="36" t="n"/>
      <c r="AD21" s="37" t="n"/>
      <c r="AE21" s="38" t="n"/>
      <c r="AF21" s="30">
        <f>IF(OR($B21="",$C21=""),"",$C21-$B21+1)</f>
        <v/>
      </c>
      <c r="AG21" s="32" t="n"/>
      <c r="AH21" s="36" t="n"/>
      <c r="AJ21">
        <f>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  <c r="AX21">
        <f>AW21&amp;IF($Y21="","",", "&amp;$Y21)</f>
        <v/>
      </c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0">
        <f>IF($F22="","",COUNTIF($F$5:$F22,$F22))</f>
        <v/>
      </c>
      <c r="H22" s="33">
        <f>IF($F22="","",IFERROR(INDEX(사건마스터!$B$5:$B$64,MATCH($F22,사건마스터!$A$5:$A$64,0)),""))</f>
        <v/>
      </c>
      <c r="I22" s="34">
        <f>IF($F22="","",IFERROR(INDEX(사건마스터!$C$5:$C$64,MATCH($F22,사건마스터!$A$5:$A$64,0)),""))</f>
        <v/>
      </c>
      <c r="J22" s="35">
        <f>IF($F22="","",IFERROR(INDEX(사건마스터!$H$5:$H$64,MATCH($F22,사건마스터!$A$5:$A$64,0)),""))</f>
        <v/>
      </c>
      <c r="K22" s="35">
        <f>IF($F22="","",IFERROR(INDEX(사건마스터!$AH$5:$AH$64,MATCH($F22,사건마스터!$A$5:$A$64,0)),""))</f>
        <v/>
      </c>
      <c r="L22" s="35">
        <f>IF($F22="","",IFERROR(INDEX(사건마스터!$AI$5:$AI$64,MATCH($F22,사건마스터!$A$5:$A$64,0)),""))</f>
        <v/>
      </c>
      <c r="M22" s="35">
        <f>IF($F22="","",IFERROR(INDEX(사건마스터!$AJ$5:$AJ$64,MATCH($F22,사건마스터!$A$5:$A$64,0)),""))</f>
        <v/>
      </c>
      <c r="N22" s="35">
        <f>IF($F22="","",IFERROR(INDEX(사건마스터!$AK$5:$AK$64,MATCH($F22,사건마스터!$A$5:$A$64,0)),""))</f>
        <v/>
      </c>
      <c r="O22" s="35">
        <f>IF($F22="","",IFERROR(INDEX(사건마스터!$AL$5:$AL$64,MATCH($F22,사건마스터!$A$5:$A$64,0)),""))</f>
        <v/>
      </c>
      <c r="P22" s="35">
        <f>IF($F22="","",IFERROR(INDEX(사건마스터!$AM$5:$AM$64,MATCH($F22,사건마스터!$A$5:$A$64,0)),""))</f>
        <v/>
      </c>
      <c r="Q22" s="35">
        <f>IF($F22="","",IFERROR(INDEX(사건마스터!$AN$5:$AN$64,MATCH($F22,사건마스터!$A$5:$A$64,0)),""))</f>
        <v/>
      </c>
      <c r="R22" s="35">
        <f>IF($F22="","",IFERROR(INDEX(사건마스터!$AO$5:$AO$64,MATCH($F22,사건마스터!$A$5:$A$64,0)),""))</f>
        <v/>
      </c>
      <c r="S22" s="35">
        <f>IF($F22="","",IFERROR(INDEX(사건마스터!$AP$5:$AP$64,MATCH($F22,사건마스터!$A$5:$A$64,0)),""))</f>
        <v/>
      </c>
      <c r="T22" s="35">
        <f>IF($F22="","",IFERROR(INDEX(사건마스터!$AQ$5:$AQ$64,MATCH($F22,사건마스터!$A$5:$A$64,0)),""))</f>
        <v/>
      </c>
      <c r="U22" s="35">
        <f>IF($F22="","",IFERROR(INDEX(사건마스터!$AR$5:$AR$64,MATCH($F22,사건마스터!$A$5:$A$64,0)),""))</f>
        <v/>
      </c>
      <c r="V22" s="35">
        <f>IF($F22="","",IFERROR(INDEX(사건마스터!$AS$5:$AS$64,MATCH($F22,사건마스터!$A$5:$A$64,0)),""))</f>
        <v/>
      </c>
      <c r="W22" s="35">
        <f>IF($F22="","",IFERROR(INDEX(사건마스터!$AT$5:$AT$64,MATCH($F22,사건마스터!$A$5:$A$64,0)),""))</f>
        <v/>
      </c>
      <c r="X22" s="35">
        <f>IF($F22="","",IFERROR(INDEX(사건마스터!$AU$5:$AU$64,MATCH($F22,사건마스터!$A$5:$A$64,0)),""))</f>
        <v/>
      </c>
      <c r="Y22" s="35">
        <f>IF($F22="","",IFERROR(INDEX(사건마스터!$AV$5:$AV$64,MATCH($F22,사건마스터!$A$5:$A$64,0)),""))</f>
        <v/>
      </c>
      <c r="Z22" s="30">
        <f>IF(COUNTBLANK($J22:$Y22)=16,"",16-COUNTBLANK($J22:$Y22))</f>
        <v/>
      </c>
      <c r="AA22" s="33">
        <f>IF($J22="",MID($AX22,3,255),$J22&amp;$AX22)</f>
        <v/>
      </c>
      <c r="AB22" s="34">
        <f>IF($J22="","",IFERROR(INDEX(코드설정!$D$5:$D$24,MATCH($J22,코드설정!$C$5:$C$24,0)),""))</f>
        <v/>
      </c>
      <c r="AC22" s="36" t="n"/>
      <c r="AD22" s="37" t="n"/>
      <c r="AE22" s="38" t="n"/>
      <c r="AF22" s="30">
        <f>IF(OR($B22="",$C22=""),"",$C22-$B22+1)</f>
        <v/>
      </c>
      <c r="AG22" s="32" t="n"/>
      <c r="AH22" s="36" t="n"/>
      <c r="AJ22">
        <f>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  <c r="AX22">
        <f>AW22&amp;IF($Y22="","",", "&amp;$Y22)</f>
        <v/>
      </c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0">
        <f>IF($F23="","",COUNTIF($F$5:$F23,$F23))</f>
        <v/>
      </c>
      <c r="H23" s="33">
        <f>IF($F23="","",IFERROR(INDEX(사건마스터!$B$5:$B$64,MATCH($F23,사건마스터!$A$5:$A$64,0)),""))</f>
        <v/>
      </c>
      <c r="I23" s="34">
        <f>IF($F23="","",IFERROR(INDEX(사건마스터!$C$5:$C$64,MATCH($F23,사건마스터!$A$5:$A$64,0)),""))</f>
        <v/>
      </c>
      <c r="J23" s="35">
        <f>IF($F23="","",IFERROR(INDEX(사건마스터!$H$5:$H$64,MATCH($F23,사건마스터!$A$5:$A$64,0)),""))</f>
        <v/>
      </c>
      <c r="K23" s="35">
        <f>IF($F23="","",IFERROR(INDEX(사건마스터!$AH$5:$AH$64,MATCH($F23,사건마스터!$A$5:$A$64,0)),""))</f>
        <v/>
      </c>
      <c r="L23" s="35">
        <f>IF($F23="","",IFERROR(INDEX(사건마스터!$AI$5:$AI$64,MATCH($F23,사건마스터!$A$5:$A$64,0)),""))</f>
        <v/>
      </c>
      <c r="M23" s="35">
        <f>IF($F23="","",IFERROR(INDEX(사건마스터!$AJ$5:$AJ$64,MATCH($F23,사건마스터!$A$5:$A$64,0)),""))</f>
        <v/>
      </c>
      <c r="N23" s="35">
        <f>IF($F23="","",IFERROR(INDEX(사건마스터!$AK$5:$AK$64,MATCH($F23,사건마스터!$A$5:$A$64,0)),""))</f>
        <v/>
      </c>
      <c r="O23" s="35">
        <f>IF($F23="","",IFERROR(INDEX(사건마스터!$AL$5:$AL$64,MATCH($F23,사건마스터!$A$5:$A$64,0)),""))</f>
        <v/>
      </c>
      <c r="P23" s="35">
        <f>IF($F23="","",IFERROR(INDEX(사건마스터!$AM$5:$AM$64,MATCH($F23,사건마스터!$A$5:$A$64,0)),""))</f>
        <v/>
      </c>
      <c r="Q23" s="35">
        <f>IF($F23="","",IFERROR(INDEX(사건마스터!$AN$5:$AN$64,MATCH($F23,사건마스터!$A$5:$A$64,0)),""))</f>
        <v/>
      </c>
      <c r="R23" s="35">
        <f>IF($F23="","",IFERROR(INDEX(사건마스터!$AO$5:$AO$64,MATCH($F23,사건마스터!$A$5:$A$64,0)),""))</f>
        <v/>
      </c>
      <c r="S23" s="35">
        <f>IF($F23="","",IFERROR(INDEX(사건마스터!$AP$5:$AP$64,MATCH($F23,사건마스터!$A$5:$A$64,0)),""))</f>
        <v/>
      </c>
      <c r="T23" s="35">
        <f>IF($F23="","",IFERROR(INDEX(사건마스터!$AQ$5:$AQ$64,MATCH($F23,사건마스터!$A$5:$A$64,0)),""))</f>
        <v/>
      </c>
      <c r="U23" s="35">
        <f>IF($F23="","",IFERROR(INDEX(사건마스터!$AR$5:$AR$64,MATCH($F23,사건마스터!$A$5:$A$64,0)),""))</f>
        <v/>
      </c>
      <c r="V23" s="35">
        <f>IF($F23="","",IFERROR(INDEX(사건마스터!$AS$5:$AS$64,MATCH($F23,사건마스터!$A$5:$A$64,0)),""))</f>
        <v/>
      </c>
      <c r="W23" s="35">
        <f>IF($F23="","",IFERROR(INDEX(사건마스터!$AT$5:$AT$64,MATCH($F23,사건마스터!$A$5:$A$64,0)),""))</f>
        <v/>
      </c>
      <c r="X23" s="35">
        <f>IF($F23="","",IFERROR(INDEX(사건마스터!$AU$5:$AU$64,MATCH($F23,사건마스터!$A$5:$A$64,0)),""))</f>
        <v/>
      </c>
      <c r="Y23" s="35">
        <f>IF($F23="","",IFERROR(INDEX(사건마스터!$AV$5:$AV$64,MATCH($F23,사건마스터!$A$5:$A$64,0)),""))</f>
        <v/>
      </c>
      <c r="Z23" s="30">
        <f>IF(COUNTBLANK($J23:$Y23)=16,"",16-COUNTBLANK($J23:$Y23))</f>
        <v/>
      </c>
      <c r="AA23" s="33">
        <f>IF($J23="",MID($AX23,3,255),$J23&amp;$AX23)</f>
        <v/>
      </c>
      <c r="AB23" s="34">
        <f>IF($J23="","",IFERROR(INDEX(코드설정!$D$5:$D$24,MATCH($J23,코드설정!$C$5:$C$24,0)),""))</f>
        <v/>
      </c>
      <c r="AC23" s="36" t="n"/>
      <c r="AD23" s="37" t="n"/>
      <c r="AE23" s="38" t="n"/>
      <c r="AF23" s="30">
        <f>IF(OR($B23="",$C23=""),"",$C23-$B23+1)</f>
        <v/>
      </c>
      <c r="AG23" s="32" t="n"/>
      <c r="AH23" s="36" t="n"/>
      <c r="AJ23">
        <f>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  <c r="AX23">
        <f>AW23&amp;IF($Y23="","",", "&amp;$Y23)</f>
        <v/>
      </c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0">
        <f>IF($F24="","",COUNTIF($F$5:$F24,$F24))</f>
        <v/>
      </c>
      <c r="H24" s="33">
        <f>IF($F24="","",IFERROR(INDEX(사건마스터!$B$5:$B$64,MATCH($F24,사건마스터!$A$5:$A$64,0)),""))</f>
        <v/>
      </c>
      <c r="I24" s="34">
        <f>IF($F24="","",IFERROR(INDEX(사건마스터!$C$5:$C$64,MATCH($F24,사건마스터!$A$5:$A$64,0)),""))</f>
        <v/>
      </c>
      <c r="J24" s="35">
        <f>IF($F24="","",IFERROR(INDEX(사건마스터!$H$5:$H$64,MATCH($F24,사건마스터!$A$5:$A$64,0)),""))</f>
        <v/>
      </c>
      <c r="K24" s="35">
        <f>IF($F24="","",IFERROR(INDEX(사건마스터!$AH$5:$AH$64,MATCH($F24,사건마스터!$A$5:$A$64,0)),""))</f>
        <v/>
      </c>
      <c r="L24" s="35">
        <f>IF($F24="","",IFERROR(INDEX(사건마스터!$AI$5:$AI$64,MATCH($F24,사건마스터!$A$5:$A$64,0)),""))</f>
        <v/>
      </c>
      <c r="M24" s="35">
        <f>IF($F24="","",IFERROR(INDEX(사건마스터!$AJ$5:$AJ$64,MATCH($F24,사건마스터!$A$5:$A$64,0)),""))</f>
        <v/>
      </c>
      <c r="N24" s="35">
        <f>IF($F24="","",IFERROR(INDEX(사건마스터!$AK$5:$AK$64,MATCH($F24,사건마스터!$A$5:$A$64,0)),""))</f>
        <v/>
      </c>
      <c r="O24" s="35">
        <f>IF($F24="","",IFERROR(INDEX(사건마스터!$AL$5:$AL$64,MATCH($F24,사건마스터!$A$5:$A$64,0)),""))</f>
        <v/>
      </c>
      <c r="P24" s="35">
        <f>IF($F24="","",IFERROR(INDEX(사건마스터!$AM$5:$AM$64,MATCH($F24,사건마스터!$A$5:$A$64,0)),""))</f>
        <v/>
      </c>
      <c r="Q24" s="35">
        <f>IF($F24="","",IFERROR(INDEX(사건마스터!$AN$5:$AN$64,MATCH($F24,사건마스터!$A$5:$A$64,0)),""))</f>
        <v/>
      </c>
      <c r="R24" s="35">
        <f>IF($F24="","",IFERROR(INDEX(사건마스터!$AO$5:$AO$64,MATCH($F24,사건마스터!$A$5:$A$64,0)),""))</f>
        <v/>
      </c>
      <c r="S24" s="35">
        <f>IF($F24="","",IFERROR(INDEX(사건마스터!$AP$5:$AP$64,MATCH($F24,사건마스터!$A$5:$A$64,0)),""))</f>
        <v/>
      </c>
      <c r="T24" s="35">
        <f>IF($F24="","",IFERROR(INDEX(사건마스터!$AQ$5:$AQ$64,MATCH($F24,사건마스터!$A$5:$A$64,0)),""))</f>
        <v/>
      </c>
      <c r="U24" s="35">
        <f>IF($F24="","",IFERROR(INDEX(사건마스터!$AR$5:$AR$64,MATCH($F24,사건마스터!$A$5:$A$64,0)),""))</f>
        <v/>
      </c>
      <c r="V24" s="35">
        <f>IF($F24="","",IFERROR(INDEX(사건마스터!$AS$5:$AS$64,MATCH($F24,사건마스터!$A$5:$A$64,0)),""))</f>
        <v/>
      </c>
      <c r="W24" s="35">
        <f>IF($F24="","",IFERROR(INDEX(사건마스터!$AT$5:$AT$64,MATCH($F24,사건마스터!$A$5:$A$64,0)),""))</f>
        <v/>
      </c>
      <c r="X24" s="35">
        <f>IF($F24="","",IFERROR(INDEX(사건마스터!$AU$5:$AU$64,MATCH($F24,사건마스터!$A$5:$A$64,0)),""))</f>
        <v/>
      </c>
      <c r="Y24" s="35">
        <f>IF($F24="","",IFERROR(INDEX(사건마스터!$AV$5:$AV$64,MATCH($F24,사건마스터!$A$5:$A$64,0)),""))</f>
        <v/>
      </c>
      <c r="Z24" s="30">
        <f>IF(COUNTBLANK($J24:$Y24)=16,"",16-COUNTBLANK($J24:$Y24))</f>
        <v/>
      </c>
      <c r="AA24" s="33">
        <f>IF($J24="",MID($AX24,3,255),$J24&amp;$AX24)</f>
        <v/>
      </c>
      <c r="AB24" s="34">
        <f>IF($J24="","",IFERROR(INDEX(코드설정!$D$5:$D$24,MATCH($J24,코드설정!$C$5:$C$24,0)),""))</f>
        <v/>
      </c>
      <c r="AC24" s="36" t="n"/>
      <c r="AD24" s="37" t="n"/>
      <c r="AE24" s="38" t="n"/>
      <c r="AF24" s="30">
        <f>IF(OR($B24="",$C24=""),"",$C24-$B24+1)</f>
        <v/>
      </c>
      <c r="AG24" s="32" t="n"/>
      <c r="AH24" s="36" t="n"/>
      <c r="AJ24">
        <f>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  <c r="AX24">
        <f>AW24&amp;IF($Y24="","",", "&amp;$Y24)</f>
        <v/>
      </c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0">
        <f>IF($F25="","",COUNTIF($F$5:$F25,$F25))</f>
        <v/>
      </c>
      <c r="H25" s="33">
        <f>IF($F25="","",IFERROR(INDEX(사건마스터!$B$5:$B$64,MATCH($F25,사건마스터!$A$5:$A$64,0)),""))</f>
        <v/>
      </c>
      <c r="I25" s="34">
        <f>IF($F25="","",IFERROR(INDEX(사건마스터!$C$5:$C$64,MATCH($F25,사건마스터!$A$5:$A$64,0)),""))</f>
        <v/>
      </c>
      <c r="J25" s="35">
        <f>IF($F25="","",IFERROR(INDEX(사건마스터!$H$5:$H$64,MATCH($F25,사건마스터!$A$5:$A$64,0)),""))</f>
        <v/>
      </c>
      <c r="K25" s="35">
        <f>IF($F25="","",IFERROR(INDEX(사건마스터!$AH$5:$AH$64,MATCH($F25,사건마스터!$A$5:$A$64,0)),""))</f>
        <v/>
      </c>
      <c r="L25" s="35">
        <f>IF($F25="","",IFERROR(INDEX(사건마스터!$AI$5:$AI$64,MATCH($F25,사건마스터!$A$5:$A$64,0)),""))</f>
        <v/>
      </c>
      <c r="M25" s="35">
        <f>IF($F25="","",IFERROR(INDEX(사건마스터!$AJ$5:$AJ$64,MATCH($F25,사건마스터!$A$5:$A$64,0)),""))</f>
        <v/>
      </c>
      <c r="N25" s="35">
        <f>IF($F25="","",IFERROR(INDEX(사건마스터!$AK$5:$AK$64,MATCH($F25,사건마스터!$A$5:$A$64,0)),""))</f>
        <v/>
      </c>
      <c r="O25" s="35">
        <f>IF($F25="","",IFERROR(INDEX(사건마스터!$AL$5:$AL$64,MATCH($F25,사건마스터!$A$5:$A$64,0)),""))</f>
        <v/>
      </c>
      <c r="P25" s="35">
        <f>IF($F25="","",IFERROR(INDEX(사건마스터!$AM$5:$AM$64,MATCH($F25,사건마스터!$A$5:$A$64,0)),""))</f>
        <v/>
      </c>
      <c r="Q25" s="35">
        <f>IF($F25="","",IFERROR(INDEX(사건마스터!$AN$5:$AN$64,MATCH($F25,사건마스터!$A$5:$A$64,0)),""))</f>
        <v/>
      </c>
      <c r="R25" s="35">
        <f>IF($F25="","",IFERROR(INDEX(사건마스터!$AO$5:$AO$64,MATCH($F25,사건마스터!$A$5:$A$64,0)),""))</f>
        <v/>
      </c>
      <c r="S25" s="35">
        <f>IF($F25="","",IFERROR(INDEX(사건마스터!$AP$5:$AP$64,MATCH($F25,사건마스터!$A$5:$A$64,0)),""))</f>
        <v/>
      </c>
      <c r="T25" s="35">
        <f>IF($F25="","",IFERROR(INDEX(사건마스터!$AQ$5:$AQ$64,MATCH($F25,사건마스터!$A$5:$A$64,0)),""))</f>
        <v/>
      </c>
      <c r="U25" s="35">
        <f>IF($F25="","",IFERROR(INDEX(사건마스터!$AR$5:$AR$64,MATCH($F25,사건마스터!$A$5:$A$64,0)),""))</f>
        <v/>
      </c>
      <c r="V25" s="35">
        <f>IF($F25="","",IFERROR(INDEX(사건마스터!$AS$5:$AS$64,MATCH($F25,사건마스터!$A$5:$A$64,0)),""))</f>
        <v/>
      </c>
      <c r="W25" s="35">
        <f>IF($F25="","",IFERROR(INDEX(사건마스터!$AT$5:$AT$64,MATCH($F25,사건마스터!$A$5:$A$64,0)),""))</f>
        <v/>
      </c>
      <c r="X25" s="35">
        <f>IF($F25="","",IFERROR(INDEX(사건마스터!$AU$5:$AU$64,MATCH($F25,사건마스터!$A$5:$A$64,0)),""))</f>
        <v/>
      </c>
      <c r="Y25" s="35">
        <f>IF($F25="","",IFERROR(INDEX(사건마스터!$AV$5:$AV$64,MATCH($F25,사건마스터!$A$5:$A$64,0)),""))</f>
        <v/>
      </c>
      <c r="Z25" s="30">
        <f>IF(COUNTBLANK($J25:$Y25)=16,"",16-COUNTBLANK($J25:$Y25))</f>
        <v/>
      </c>
      <c r="AA25" s="33">
        <f>IF($J25="",MID($AX25,3,255),$J25&amp;$AX25)</f>
        <v/>
      </c>
      <c r="AB25" s="34">
        <f>IF($J25="","",IFERROR(INDEX(코드설정!$D$5:$D$24,MATCH($J25,코드설정!$C$5:$C$24,0)),""))</f>
        <v/>
      </c>
      <c r="AC25" s="36" t="n"/>
      <c r="AD25" s="37" t="n"/>
      <c r="AE25" s="38" t="n"/>
      <c r="AF25" s="30">
        <f>IF(OR($B25="",$C25=""),"",$C25-$B25+1)</f>
        <v/>
      </c>
      <c r="AG25" s="32" t="n"/>
      <c r="AH25" s="36" t="n"/>
      <c r="AJ25">
        <f>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  <c r="AX25">
        <f>AW25&amp;IF($Y25="","",", "&amp;$Y25)</f>
        <v/>
      </c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0">
        <f>IF($F26="","",COUNTIF($F$5:$F26,$F26))</f>
        <v/>
      </c>
      <c r="H26" s="33">
        <f>IF($F26="","",IFERROR(INDEX(사건마스터!$B$5:$B$64,MATCH($F26,사건마스터!$A$5:$A$64,0)),""))</f>
        <v/>
      </c>
      <c r="I26" s="34">
        <f>IF($F26="","",IFERROR(INDEX(사건마스터!$C$5:$C$64,MATCH($F26,사건마스터!$A$5:$A$64,0)),""))</f>
        <v/>
      </c>
      <c r="J26" s="35">
        <f>IF($F26="","",IFERROR(INDEX(사건마스터!$H$5:$H$64,MATCH($F26,사건마스터!$A$5:$A$64,0)),""))</f>
        <v/>
      </c>
      <c r="K26" s="35">
        <f>IF($F26="","",IFERROR(INDEX(사건마스터!$AH$5:$AH$64,MATCH($F26,사건마스터!$A$5:$A$64,0)),""))</f>
        <v/>
      </c>
      <c r="L26" s="35">
        <f>IF($F26="","",IFERROR(INDEX(사건마스터!$AI$5:$AI$64,MATCH($F26,사건마스터!$A$5:$A$64,0)),""))</f>
        <v/>
      </c>
      <c r="M26" s="35">
        <f>IF($F26="","",IFERROR(INDEX(사건마스터!$AJ$5:$AJ$64,MATCH($F26,사건마스터!$A$5:$A$64,0)),""))</f>
        <v/>
      </c>
      <c r="N26" s="35">
        <f>IF($F26="","",IFERROR(INDEX(사건마스터!$AK$5:$AK$64,MATCH($F26,사건마스터!$A$5:$A$64,0)),""))</f>
        <v/>
      </c>
      <c r="O26" s="35">
        <f>IF($F26="","",IFERROR(INDEX(사건마스터!$AL$5:$AL$64,MATCH($F26,사건마스터!$A$5:$A$64,0)),""))</f>
        <v/>
      </c>
      <c r="P26" s="35">
        <f>IF($F26="","",IFERROR(INDEX(사건마스터!$AM$5:$AM$64,MATCH($F26,사건마스터!$A$5:$A$64,0)),""))</f>
        <v/>
      </c>
      <c r="Q26" s="35">
        <f>IF($F26="","",IFERROR(INDEX(사건마스터!$AN$5:$AN$64,MATCH($F26,사건마스터!$A$5:$A$64,0)),""))</f>
        <v/>
      </c>
      <c r="R26" s="35">
        <f>IF($F26="","",IFERROR(INDEX(사건마스터!$AO$5:$AO$64,MATCH($F26,사건마스터!$A$5:$A$64,0)),""))</f>
        <v/>
      </c>
      <c r="S26" s="35">
        <f>IF($F26="","",IFERROR(INDEX(사건마스터!$AP$5:$AP$64,MATCH($F26,사건마스터!$A$5:$A$64,0)),""))</f>
        <v/>
      </c>
      <c r="T26" s="35">
        <f>IF($F26="","",IFERROR(INDEX(사건마스터!$AQ$5:$AQ$64,MATCH($F26,사건마스터!$A$5:$A$64,0)),""))</f>
        <v/>
      </c>
      <c r="U26" s="35">
        <f>IF($F26="","",IFERROR(INDEX(사건마스터!$AR$5:$AR$64,MATCH($F26,사건마스터!$A$5:$A$64,0)),""))</f>
        <v/>
      </c>
      <c r="V26" s="35">
        <f>IF($F26="","",IFERROR(INDEX(사건마스터!$AS$5:$AS$64,MATCH($F26,사건마스터!$A$5:$A$64,0)),""))</f>
        <v/>
      </c>
      <c r="W26" s="35">
        <f>IF($F26="","",IFERROR(INDEX(사건마스터!$AT$5:$AT$64,MATCH($F26,사건마스터!$A$5:$A$64,0)),""))</f>
        <v/>
      </c>
      <c r="X26" s="35">
        <f>IF($F26="","",IFERROR(INDEX(사건마스터!$AU$5:$AU$64,MATCH($F26,사건마스터!$A$5:$A$64,0)),""))</f>
        <v/>
      </c>
      <c r="Y26" s="35">
        <f>IF($F26="","",IFERROR(INDEX(사건마스터!$AV$5:$AV$64,MATCH($F26,사건마스터!$A$5:$A$64,0)),""))</f>
        <v/>
      </c>
      <c r="Z26" s="30">
        <f>IF(COUNTBLANK($J26:$Y26)=16,"",16-COUNTBLANK($J26:$Y26))</f>
        <v/>
      </c>
      <c r="AA26" s="33">
        <f>IF($J26="",MID($AX26,3,255),$J26&amp;$AX26)</f>
        <v/>
      </c>
      <c r="AB26" s="34">
        <f>IF($J26="","",IFERROR(INDEX(코드설정!$D$5:$D$24,MATCH($J26,코드설정!$C$5:$C$24,0)),""))</f>
        <v/>
      </c>
      <c r="AC26" s="36" t="n"/>
      <c r="AD26" s="37" t="n"/>
      <c r="AE26" s="38" t="n"/>
      <c r="AF26" s="30">
        <f>IF(OR($B26="",$C26=""),"",$C26-$B26+1)</f>
        <v/>
      </c>
      <c r="AG26" s="32" t="n"/>
      <c r="AH26" s="36" t="n"/>
      <c r="AJ26">
        <f>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  <c r="AX26">
        <f>AW26&amp;IF($Y26="","",", "&amp;$Y26)</f>
        <v/>
      </c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0">
        <f>IF($F27="","",COUNTIF($F$5:$F27,$F27))</f>
        <v/>
      </c>
      <c r="H27" s="33">
        <f>IF($F27="","",IFERROR(INDEX(사건마스터!$B$5:$B$64,MATCH($F27,사건마스터!$A$5:$A$64,0)),""))</f>
        <v/>
      </c>
      <c r="I27" s="34">
        <f>IF($F27="","",IFERROR(INDEX(사건마스터!$C$5:$C$64,MATCH($F27,사건마스터!$A$5:$A$64,0)),""))</f>
        <v/>
      </c>
      <c r="J27" s="35">
        <f>IF($F27="","",IFERROR(INDEX(사건마스터!$H$5:$H$64,MATCH($F27,사건마스터!$A$5:$A$64,0)),""))</f>
        <v/>
      </c>
      <c r="K27" s="35">
        <f>IF($F27="","",IFERROR(INDEX(사건마스터!$AH$5:$AH$64,MATCH($F27,사건마스터!$A$5:$A$64,0)),""))</f>
        <v/>
      </c>
      <c r="L27" s="35">
        <f>IF($F27="","",IFERROR(INDEX(사건마스터!$AI$5:$AI$64,MATCH($F27,사건마스터!$A$5:$A$64,0)),""))</f>
        <v/>
      </c>
      <c r="M27" s="35">
        <f>IF($F27="","",IFERROR(INDEX(사건마스터!$AJ$5:$AJ$64,MATCH($F27,사건마스터!$A$5:$A$64,0)),""))</f>
        <v/>
      </c>
      <c r="N27" s="35">
        <f>IF($F27="","",IFERROR(INDEX(사건마스터!$AK$5:$AK$64,MATCH($F27,사건마스터!$A$5:$A$64,0)),""))</f>
        <v/>
      </c>
      <c r="O27" s="35">
        <f>IF($F27="","",IFERROR(INDEX(사건마스터!$AL$5:$AL$64,MATCH($F27,사건마스터!$A$5:$A$64,0)),""))</f>
        <v/>
      </c>
      <c r="P27" s="35">
        <f>IF($F27="","",IFERROR(INDEX(사건마스터!$AM$5:$AM$64,MATCH($F27,사건마스터!$A$5:$A$64,0)),""))</f>
        <v/>
      </c>
      <c r="Q27" s="35">
        <f>IF($F27="","",IFERROR(INDEX(사건마스터!$AN$5:$AN$64,MATCH($F27,사건마스터!$A$5:$A$64,0)),""))</f>
        <v/>
      </c>
      <c r="R27" s="35">
        <f>IF($F27="","",IFERROR(INDEX(사건마스터!$AO$5:$AO$64,MATCH($F27,사건마스터!$A$5:$A$64,0)),""))</f>
        <v/>
      </c>
      <c r="S27" s="35">
        <f>IF($F27="","",IFERROR(INDEX(사건마스터!$AP$5:$AP$64,MATCH($F27,사건마스터!$A$5:$A$64,0)),""))</f>
        <v/>
      </c>
      <c r="T27" s="35">
        <f>IF($F27="","",IFERROR(INDEX(사건마스터!$AQ$5:$AQ$64,MATCH($F27,사건마스터!$A$5:$A$64,0)),""))</f>
        <v/>
      </c>
      <c r="U27" s="35">
        <f>IF($F27="","",IFERROR(INDEX(사건마스터!$AR$5:$AR$64,MATCH($F27,사건마스터!$A$5:$A$64,0)),""))</f>
        <v/>
      </c>
      <c r="V27" s="35">
        <f>IF($F27="","",IFERROR(INDEX(사건마스터!$AS$5:$AS$64,MATCH($F27,사건마스터!$A$5:$A$64,0)),""))</f>
        <v/>
      </c>
      <c r="W27" s="35">
        <f>IF($F27="","",IFERROR(INDEX(사건마스터!$AT$5:$AT$64,MATCH($F27,사건마스터!$A$5:$A$64,0)),""))</f>
        <v/>
      </c>
      <c r="X27" s="35">
        <f>IF($F27="","",IFERROR(INDEX(사건마스터!$AU$5:$AU$64,MATCH($F27,사건마스터!$A$5:$A$64,0)),""))</f>
        <v/>
      </c>
      <c r="Y27" s="35">
        <f>IF($F27="","",IFERROR(INDEX(사건마스터!$AV$5:$AV$64,MATCH($F27,사건마스터!$A$5:$A$64,0)),""))</f>
        <v/>
      </c>
      <c r="Z27" s="30">
        <f>IF(COUNTBLANK($J27:$Y27)=16,"",16-COUNTBLANK($J27:$Y27))</f>
        <v/>
      </c>
      <c r="AA27" s="33">
        <f>IF($J27="",MID($AX27,3,255),$J27&amp;$AX27)</f>
        <v/>
      </c>
      <c r="AB27" s="34">
        <f>IF($J27="","",IFERROR(INDEX(코드설정!$D$5:$D$24,MATCH($J27,코드설정!$C$5:$C$24,0)),""))</f>
        <v/>
      </c>
      <c r="AC27" s="36" t="n"/>
      <c r="AD27" s="37" t="n"/>
      <c r="AE27" s="38" t="n"/>
      <c r="AF27" s="30">
        <f>IF(OR($B27="",$C27=""),"",$C27-$B27+1)</f>
        <v/>
      </c>
      <c r="AG27" s="32" t="n"/>
      <c r="AH27" s="36" t="n"/>
      <c r="AJ27">
        <f>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  <c r="AX27">
        <f>AW27&amp;IF($Y27="","",", "&amp;$Y27)</f>
        <v/>
      </c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0">
        <f>IF($F28="","",COUNTIF($F$5:$F28,$F28))</f>
        <v/>
      </c>
      <c r="H28" s="33">
        <f>IF($F28="","",IFERROR(INDEX(사건마스터!$B$5:$B$64,MATCH($F28,사건마스터!$A$5:$A$64,0)),""))</f>
        <v/>
      </c>
      <c r="I28" s="34">
        <f>IF($F28="","",IFERROR(INDEX(사건마스터!$C$5:$C$64,MATCH($F28,사건마스터!$A$5:$A$64,0)),""))</f>
        <v/>
      </c>
      <c r="J28" s="35">
        <f>IF($F28="","",IFERROR(INDEX(사건마스터!$H$5:$H$64,MATCH($F28,사건마스터!$A$5:$A$64,0)),""))</f>
        <v/>
      </c>
      <c r="K28" s="35">
        <f>IF($F28="","",IFERROR(INDEX(사건마스터!$AH$5:$AH$64,MATCH($F28,사건마스터!$A$5:$A$64,0)),""))</f>
        <v/>
      </c>
      <c r="L28" s="35">
        <f>IF($F28="","",IFERROR(INDEX(사건마스터!$AI$5:$AI$64,MATCH($F28,사건마스터!$A$5:$A$64,0)),""))</f>
        <v/>
      </c>
      <c r="M28" s="35">
        <f>IF($F28="","",IFERROR(INDEX(사건마스터!$AJ$5:$AJ$64,MATCH($F28,사건마스터!$A$5:$A$64,0)),""))</f>
        <v/>
      </c>
      <c r="N28" s="35">
        <f>IF($F28="","",IFERROR(INDEX(사건마스터!$AK$5:$AK$64,MATCH($F28,사건마스터!$A$5:$A$64,0)),""))</f>
        <v/>
      </c>
      <c r="O28" s="35">
        <f>IF($F28="","",IFERROR(INDEX(사건마스터!$AL$5:$AL$64,MATCH($F28,사건마스터!$A$5:$A$64,0)),""))</f>
        <v/>
      </c>
      <c r="P28" s="35">
        <f>IF($F28="","",IFERROR(INDEX(사건마스터!$AM$5:$AM$64,MATCH($F28,사건마스터!$A$5:$A$64,0)),""))</f>
        <v/>
      </c>
      <c r="Q28" s="35">
        <f>IF($F28="","",IFERROR(INDEX(사건마스터!$AN$5:$AN$64,MATCH($F28,사건마스터!$A$5:$A$64,0)),""))</f>
        <v/>
      </c>
      <c r="R28" s="35">
        <f>IF($F28="","",IFERROR(INDEX(사건마스터!$AO$5:$AO$64,MATCH($F28,사건마스터!$A$5:$A$64,0)),""))</f>
        <v/>
      </c>
      <c r="S28" s="35">
        <f>IF($F28="","",IFERROR(INDEX(사건마스터!$AP$5:$AP$64,MATCH($F28,사건마스터!$A$5:$A$64,0)),""))</f>
        <v/>
      </c>
      <c r="T28" s="35">
        <f>IF($F28="","",IFERROR(INDEX(사건마스터!$AQ$5:$AQ$64,MATCH($F28,사건마스터!$A$5:$A$64,0)),""))</f>
        <v/>
      </c>
      <c r="U28" s="35">
        <f>IF($F28="","",IFERROR(INDEX(사건마스터!$AR$5:$AR$64,MATCH($F28,사건마스터!$A$5:$A$64,0)),""))</f>
        <v/>
      </c>
      <c r="V28" s="35">
        <f>IF($F28="","",IFERROR(INDEX(사건마스터!$AS$5:$AS$64,MATCH($F28,사건마스터!$A$5:$A$64,0)),""))</f>
        <v/>
      </c>
      <c r="W28" s="35">
        <f>IF($F28="","",IFERROR(INDEX(사건마스터!$AT$5:$AT$64,MATCH($F28,사건마스터!$A$5:$A$64,0)),""))</f>
        <v/>
      </c>
      <c r="X28" s="35">
        <f>IF($F28="","",IFERROR(INDEX(사건마스터!$AU$5:$AU$64,MATCH($F28,사건마스터!$A$5:$A$64,0)),""))</f>
        <v/>
      </c>
      <c r="Y28" s="35">
        <f>IF($F28="","",IFERROR(INDEX(사건마스터!$AV$5:$AV$64,MATCH($F28,사건마스터!$A$5:$A$64,0)),""))</f>
        <v/>
      </c>
      <c r="Z28" s="30">
        <f>IF(COUNTBLANK($J28:$Y28)=16,"",16-COUNTBLANK($J28:$Y28))</f>
        <v/>
      </c>
      <c r="AA28" s="33">
        <f>IF($J28="",MID($AX28,3,255),$J28&amp;$AX28)</f>
        <v/>
      </c>
      <c r="AB28" s="34">
        <f>IF($J28="","",IFERROR(INDEX(코드설정!$D$5:$D$24,MATCH($J28,코드설정!$C$5:$C$24,0)),""))</f>
        <v/>
      </c>
      <c r="AC28" s="36" t="n"/>
      <c r="AD28" s="37" t="n"/>
      <c r="AE28" s="38" t="n"/>
      <c r="AF28" s="30">
        <f>IF(OR($B28="",$C28=""),"",$C28-$B28+1)</f>
        <v/>
      </c>
      <c r="AG28" s="32" t="n"/>
      <c r="AH28" s="36" t="n"/>
      <c r="AJ28">
        <f>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  <c r="AX28">
        <f>AW28&amp;IF($Y28="","",", "&amp;$Y28)</f>
        <v/>
      </c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0">
        <f>IF($F29="","",COUNTIF($F$5:$F29,$F29))</f>
        <v/>
      </c>
      <c r="H29" s="33">
        <f>IF($F29="","",IFERROR(INDEX(사건마스터!$B$5:$B$64,MATCH($F29,사건마스터!$A$5:$A$64,0)),""))</f>
        <v/>
      </c>
      <c r="I29" s="34">
        <f>IF($F29="","",IFERROR(INDEX(사건마스터!$C$5:$C$64,MATCH($F29,사건마스터!$A$5:$A$64,0)),""))</f>
        <v/>
      </c>
      <c r="J29" s="35">
        <f>IF($F29="","",IFERROR(INDEX(사건마스터!$H$5:$H$64,MATCH($F29,사건마스터!$A$5:$A$64,0)),""))</f>
        <v/>
      </c>
      <c r="K29" s="35">
        <f>IF($F29="","",IFERROR(INDEX(사건마스터!$AH$5:$AH$64,MATCH($F29,사건마스터!$A$5:$A$64,0)),""))</f>
        <v/>
      </c>
      <c r="L29" s="35">
        <f>IF($F29="","",IFERROR(INDEX(사건마스터!$AI$5:$AI$64,MATCH($F29,사건마스터!$A$5:$A$64,0)),""))</f>
        <v/>
      </c>
      <c r="M29" s="35">
        <f>IF($F29="","",IFERROR(INDEX(사건마스터!$AJ$5:$AJ$64,MATCH($F29,사건마스터!$A$5:$A$64,0)),""))</f>
        <v/>
      </c>
      <c r="N29" s="35">
        <f>IF($F29="","",IFERROR(INDEX(사건마스터!$AK$5:$AK$64,MATCH($F29,사건마스터!$A$5:$A$64,0)),""))</f>
        <v/>
      </c>
      <c r="O29" s="35">
        <f>IF($F29="","",IFERROR(INDEX(사건마스터!$AL$5:$AL$64,MATCH($F29,사건마스터!$A$5:$A$64,0)),""))</f>
        <v/>
      </c>
      <c r="P29" s="35">
        <f>IF($F29="","",IFERROR(INDEX(사건마스터!$AM$5:$AM$64,MATCH($F29,사건마스터!$A$5:$A$64,0)),""))</f>
        <v/>
      </c>
      <c r="Q29" s="35">
        <f>IF($F29="","",IFERROR(INDEX(사건마스터!$AN$5:$AN$64,MATCH($F29,사건마스터!$A$5:$A$64,0)),""))</f>
        <v/>
      </c>
      <c r="R29" s="35">
        <f>IF($F29="","",IFERROR(INDEX(사건마스터!$AO$5:$AO$64,MATCH($F29,사건마스터!$A$5:$A$64,0)),""))</f>
        <v/>
      </c>
      <c r="S29" s="35">
        <f>IF($F29="","",IFERROR(INDEX(사건마스터!$AP$5:$AP$64,MATCH($F29,사건마스터!$A$5:$A$64,0)),""))</f>
        <v/>
      </c>
      <c r="T29" s="35">
        <f>IF($F29="","",IFERROR(INDEX(사건마스터!$AQ$5:$AQ$64,MATCH($F29,사건마스터!$A$5:$A$64,0)),""))</f>
        <v/>
      </c>
      <c r="U29" s="35">
        <f>IF($F29="","",IFERROR(INDEX(사건마스터!$AR$5:$AR$64,MATCH($F29,사건마스터!$A$5:$A$64,0)),""))</f>
        <v/>
      </c>
      <c r="V29" s="35">
        <f>IF($F29="","",IFERROR(INDEX(사건마스터!$AS$5:$AS$64,MATCH($F29,사건마스터!$A$5:$A$64,0)),""))</f>
        <v/>
      </c>
      <c r="W29" s="35">
        <f>IF($F29="","",IFERROR(INDEX(사건마스터!$AT$5:$AT$64,MATCH($F29,사건마스터!$A$5:$A$64,0)),""))</f>
        <v/>
      </c>
      <c r="X29" s="35">
        <f>IF($F29="","",IFERROR(INDEX(사건마스터!$AU$5:$AU$64,MATCH($F29,사건마스터!$A$5:$A$64,0)),""))</f>
        <v/>
      </c>
      <c r="Y29" s="35">
        <f>IF($F29="","",IFERROR(INDEX(사건마스터!$AV$5:$AV$64,MATCH($F29,사건마스터!$A$5:$A$64,0)),""))</f>
        <v/>
      </c>
      <c r="Z29" s="30">
        <f>IF(COUNTBLANK($J29:$Y29)=16,"",16-COUNTBLANK($J29:$Y29))</f>
        <v/>
      </c>
      <c r="AA29" s="33">
        <f>IF($J29="",MID($AX29,3,255),$J29&amp;$AX29)</f>
        <v/>
      </c>
      <c r="AB29" s="34">
        <f>IF($J29="","",IFERROR(INDEX(코드설정!$D$5:$D$24,MATCH($J29,코드설정!$C$5:$C$24,0)),""))</f>
        <v/>
      </c>
      <c r="AC29" s="36" t="n"/>
      <c r="AD29" s="37" t="n"/>
      <c r="AE29" s="38" t="n"/>
      <c r="AF29" s="30">
        <f>IF(OR($B29="",$C29=""),"",$C29-$B29+1)</f>
        <v/>
      </c>
      <c r="AG29" s="32" t="n"/>
      <c r="AH29" s="36" t="n"/>
      <c r="AJ29">
        <f>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  <c r="AX29">
        <f>AW29&amp;IF($Y29="","",", "&amp;$Y29)</f>
        <v/>
      </c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0">
        <f>IF($F30="","",COUNTIF($F$5:$F30,$F30))</f>
        <v/>
      </c>
      <c r="H30" s="33">
        <f>IF($F30="","",IFERROR(INDEX(사건마스터!$B$5:$B$64,MATCH($F30,사건마스터!$A$5:$A$64,0)),""))</f>
        <v/>
      </c>
      <c r="I30" s="34">
        <f>IF($F30="","",IFERROR(INDEX(사건마스터!$C$5:$C$64,MATCH($F30,사건마스터!$A$5:$A$64,0)),""))</f>
        <v/>
      </c>
      <c r="J30" s="35">
        <f>IF($F30="","",IFERROR(INDEX(사건마스터!$H$5:$H$64,MATCH($F30,사건마스터!$A$5:$A$64,0)),""))</f>
        <v/>
      </c>
      <c r="K30" s="35">
        <f>IF($F30="","",IFERROR(INDEX(사건마스터!$AH$5:$AH$64,MATCH($F30,사건마스터!$A$5:$A$64,0)),""))</f>
        <v/>
      </c>
      <c r="L30" s="35">
        <f>IF($F30="","",IFERROR(INDEX(사건마스터!$AI$5:$AI$64,MATCH($F30,사건마스터!$A$5:$A$64,0)),""))</f>
        <v/>
      </c>
      <c r="M30" s="35">
        <f>IF($F30="","",IFERROR(INDEX(사건마스터!$AJ$5:$AJ$64,MATCH($F30,사건마스터!$A$5:$A$64,0)),""))</f>
        <v/>
      </c>
      <c r="N30" s="35">
        <f>IF($F30="","",IFERROR(INDEX(사건마스터!$AK$5:$AK$64,MATCH($F30,사건마스터!$A$5:$A$64,0)),""))</f>
        <v/>
      </c>
      <c r="O30" s="35">
        <f>IF($F30="","",IFERROR(INDEX(사건마스터!$AL$5:$AL$64,MATCH($F30,사건마스터!$A$5:$A$64,0)),""))</f>
        <v/>
      </c>
      <c r="P30" s="35">
        <f>IF($F30="","",IFERROR(INDEX(사건마스터!$AM$5:$AM$64,MATCH($F30,사건마스터!$A$5:$A$64,0)),""))</f>
        <v/>
      </c>
      <c r="Q30" s="35">
        <f>IF($F30="","",IFERROR(INDEX(사건마스터!$AN$5:$AN$64,MATCH($F30,사건마스터!$A$5:$A$64,0)),""))</f>
        <v/>
      </c>
      <c r="R30" s="35">
        <f>IF($F30="","",IFERROR(INDEX(사건마스터!$AO$5:$AO$64,MATCH($F30,사건마스터!$A$5:$A$64,0)),""))</f>
        <v/>
      </c>
      <c r="S30" s="35">
        <f>IF($F30="","",IFERROR(INDEX(사건마스터!$AP$5:$AP$64,MATCH($F30,사건마스터!$A$5:$A$64,0)),""))</f>
        <v/>
      </c>
      <c r="T30" s="35">
        <f>IF($F30="","",IFERROR(INDEX(사건마스터!$AQ$5:$AQ$64,MATCH($F30,사건마스터!$A$5:$A$64,0)),""))</f>
        <v/>
      </c>
      <c r="U30" s="35">
        <f>IF($F30="","",IFERROR(INDEX(사건마스터!$AR$5:$AR$64,MATCH($F30,사건마스터!$A$5:$A$64,0)),""))</f>
        <v/>
      </c>
      <c r="V30" s="35">
        <f>IF($F30="","",IFERROR(INDEX(사건마스터!$AS$5:$AS$64,MATCH($F30,사건마스터!$A$5:$A$64,0)),""))</f>
        <v/>
      </c>
      <c r="W30" s="35">
        <f>IF($F30="","",IFERROR(INDEX(사건마스터!$AT$5:$AT$64,MATCH($F30,사건마스터!$A$5:$A$64,0)),""))</f>
        <v/>
      </c>
      <c r="X30" s="35">
        <f>IF($F30="","",IFERROR(INDEX(사건마스터!$AU$5:$AU$64,MATCH($F30,사건마스터!$A$5:$A$64,0)),""))</f>
        <v/>
      </c>
      <c r="Y30" s="35">
        <f>IF($F30="","",IFERROR(INDEX(사건마스터!$AV$5:$AV$64,MATCH($F30,사건마스터!$A$5:$A$64,0)),""))</f>
        <v/>
      </c>
      <c r="Z30" s="30">
        <f>IF(COUNTBLANK($J30:$Y30)=16,"",16-COUNTBLANK($J30:$Y30))</f>
        <v/>
      </c>
      <c r="AA30" s="33">
        <f>IF($J30="",MID($AX30,3,255),$J30&amp;$AX30)</f>
        <v/>
      </c>
      <c r="AB30" s="34">
        <f>IF($J30="","",IFERROR(INDEX(코드설정!$D$5:$D$24,MATCH($J30,코드설정!$C$5:$C$24,0)),""))</f>
        <v/>
      </c>
      <c r="AC30" s="36" t="n"/>
      <c r="AD30" s="37" t="n"/>
      <c r="AE30" s="38" t="n"/>
      <c r="AF30" s="30">
        <f>IF(OR($B30="",$C30=""),"",$C30-$B30+1)</f>
        <v/>
      </c>
      <c r="AG30" s="32" t="n"/>
      <c r="AH30" s="36" t="n"/>
      <c r="AJ30">
        <f>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  <c r="AX30">
        <f>AW30&amp;IF($Y30="","",", "&amp;$Y30)</f>
        <v/>
      </c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0">
        <f>IF($F31="","",COUNTIF($F$5:$F31,$F31))</f>
        <v/>
      </c>
      <c r="H31" s="33">
        <f>IF($F31="","",IFERROR(INDEX(사건마스터!$B$5:$B$64,MATCH($F31,사건마스터!$A$5:$A$64,0)),""))</f>
        <v/>
      </c>
      <c r="I31" s="34">
        <f>IF($F31="","",IFERROR(INDEX(사건마스터!$C$5:$C$64,MATCH($F31,사건마스터!$A$5:$A$64,0)),""))</f>
        <v/>
      </c>
      <c r="J31" s="35">
        <f>IF($F31="","",IFERROR(INDEX(사건마스터!$H$5:$H$64,MATCH($F31,사건마스터!$A$5:$A$64,0)),""))</f>
        <v/>
      </c>
      <c r="K31" s="35">
        <f>IF($F31="","",IFERROR(INDEX(사건마스터!$AH$5:$AH$64,MATCH($F31,사건마스터!$A$5:$A$64,0)),""))</f>
        <v/>
      </c>
      <c r="L31" s="35">
        <f>IF($F31="","",IFERROR(INDEX(사건마스터!$AI$5:$AI$64,MATCH($F31,사건마스터!$A$5:$A$64,0)),""))</f>
        <v/>
      </c>
      <c r="M31" s="35">
        <f>IF($F31="","",IFERROR(INDEX(사건마스터!$AJ$5:$AJ$64,MATCH($F31,사건마스터!$A$5:$A$64,0)),""))</f>
        <v/>
      </c>
      <c r="N31" s="35">
        <f>IF($F31="","",IFERROR(INDEX(사건마스터!$AK$5:$AK$64,MATCH($F31,사건마스터!$A$5:$A$64,0)),""))</f>
        <v/>
      </c>
      <c r="O31" s="35">
        <f>IF($F31="","",IFERROR(INDEX(사건마스터!$AL$5:$AL$64,MATCH($F31,사건마스터!$A$5:$A$64,0)),""))</f>
        <v/>
      </c>
      <c r="P31" s="35">
        <f>IF($F31="","",IFERROR(INDEX(사건마스터!$AM$5:$AM$64,MATCH($F31,사건마스터!$A$5:$A$64,0)),""))</f>
        <v/>
      </c>
      <c r="Q31" s="35">
        <f>IF($F31="","",IFERROR(INDEX(사건마스터!$AN$5:$AN$64,MATCH($F31,사건마스터!$A$5:$A$64,0)),""))</f>
        <v/>
      </c>
      <c r="R31" s="35">
        <f>IF($F31="","",IFERROR(INDEX(사건마스터!$AO$5:$AO$64,MATCH($F31,사건마스터!$A$5:$A$64,0)),""))</f>
        <v/>
      </c>
      <c r="S31" s="35">
        <f>IF($F31="","",IFERROR(INDEX(사건마스터!$AP$5:$AP$64,MATCH($F31,사건마스터!$A$5:$A$64,0)),""))</f>
        <v/>
      </c>
      <c r="T31" s="35">
        <f>IF($F31="","",IFERROR(INDEX(사건마스터!$AQ$5:$AQ$64,MATCH($F31,사건마스터!$A$5:$A$64,0)),""))</f>
        <v/>
      </c>
      <c r="U31" s="35">
        <f>IF($F31="","",IFERROR(INDEX(사건마스터!$AR$5:$AR$64,MATCH($F31,사건마스터!$A$5:$A$64,0)),""))</f>
        <v/>
      </c>
      <c r="V31" s="35">
        <f>IF($F31="","",IFERROR(INDEX(사건마스터!$AS$5:$AS$64,MATCH($F31,사건마스터!$A$5:$A$64,0)),""))</f>
        <v/>
      </c>
      <c r="W31" s="35">
        <f>IF($F31="","",IFERROR(INDEX(사건마스터!$AT$5:$AT$64,MATCH($F31,사건마스터!$A$5:$A$64,0)),""))</f>
        <v/>
      </c>
      <c r="X31" s="35">
        <f>IF($F31="","",IFERROR(INDEX(사건마스터!$AU$5:$AU$64,MATCH($F31,사건마스터!$A$5:$A$64,0)),""))</f>
        <v/>
      </c>
      <c r="Y31" s="35">
        <f>IF($F31="","",IFERROR(INDEX(사건마스터!$AV$5:$AV$64,MATCH($F31,사건마스터!$A$5:$A$64,0)),""))</f>
        <v/>
      </c>
      <c r="Z31" s="30">
        <f>IF(COUNTBLANK($J31:$Y31)=16,"",16-COUNTBLANK($J31:$Y31))</f>
        <v/>
      </c>
      <c r="AA31" s="33">
        <f>IF($J31="",MID($AX31,3,255),$J31&amp;$AX31)</f>
        <v/>
      </c>
      <c r="AB31" s="34">
        <f>IF($J31="","",IFERROR(INDEX(코드설정!$D$5:$D$24,MATCH($J31,코드설정!$C$5:$C$24,0)),""))</f>
        <v/>
      </c>
      <c r="AC31" s="36" t="n"/>
      <c r="AD31" s="37" t="n"/>
      <c r="AE31" s="38" t="n"/>
      <c r="AF31" s="30">
        <f>IF(OR($B31="",$C31=""),"",$C31-$B31+1)</f>
        <v/>
      </c>
      <c r="AG31" s="32" t="n"/>
      <c r="AH31" s="36" t="n"/>
      <c r="AJ31">
        <f>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  <c r="AX31">
        <f>AW31&amp;IF($Y31="","",", "&amp;$Y31)</f>
        <v/>
      </c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0">
        <f>IF($F32="","",COUNTIF($F$5:$F32,$F32))</f>
        <v/>
      </c>
      <c r="H32" s="33">
        <f>IF($F32="","",IFERROR(INDEX(사건마스터!$B$5:$B$64,MATCH($F32,사건마스터!$A$5:$A$64,0)),""))</f>
        <v/>
      </c>
      <c r="I32" s="34">
        <f>IF($F32="","",IFERROR(INDEX(사건마스터!$C$5:$C$64,MATCH($F32,사건마스터!$A$5:$A$64,0)),""))</f>
        <v/>
      </c>
      <c r="J32" s="35">
        <f>IF($F32="","",IFERROR(INDEX(사건마스터!$H$5:$H$64,MATCH($F32,사건마스터!$A$5:$A$64,0)),""))</f>
        <v/>
      </c>
      <c r="K32" s="35">
        <f>IF($F32="","",IFERROR(INDEX(사건마스터!$AH$5:$AH$64,MATCH($F32,사건마스터!$A$5:$A$64,0)),""))</f>
        <v/>
      </c>
      <c r="L32" s="35">
        <f>IF($F32="","",IFERROR(INDEX(사건마스터!$AI$5:$AI$64,MATCH($F32,사건마스터!$A$5:$A$64,0)),""))</f>
        <v/>
      </c>
      <c r="M32" s="35">
        <f>IF($F32="","",IFERROR(INDEX(사건마스터!$AJ$5:$AJ$64,MATCH($F32,사건마스터!$A$5:$A$64,0)),""))</f>
        <v/>
      </c>
      <c r="N32" s="35">
        <f>IF($F32="","",IFERROR(INDEX(사건마스터!$AK$5:$AK$64,MATCH($F32,사건마스터!$A$5:$A$64,0)),""))</f>
        <v/>
      </c>
      <c r="O32" s="35">
        <f>IF($F32="","",IFERROR(INDEX(사건마스터!$AL$5:$AL$64,MATCH($F32,사건마스터!$A$5:$A$64,0)),""))</f>
        <v/>
      </c>
      <c r="P32" s="35">
        <f>IF($F32="","",IFERROR(INDEX(사건마스터!$AM$5:$AM$64,MATCH($F32,사건마스터!$A$5:$A$64,0)),""))</f>
        <v/>
      </c>
      <c r="Q32" s="35">
        <f>IF($F32="","",IFERROR(INDEX(사건마스터!$AN$5:$AN$64,MATCH($F32,사건마스터!$A$5:$A$64,0)),""))</f>
        <v/>
      </c>
      <c r="R32" s="35">
        <f>IF($F32="","",IFERROR(INDEX(사건마스터!$AO$5:$AO$64,MATCH($F32,사건마스터!$A$5:$A$64,0)),""))</f>
        <v/>
      </c>
      <c r="S32" s="35">
        <f>IF($F32="","",IFERROR(INDEX(사건마스터!$AP$5:$AP$64,MATCH($F32,사건마스터!$A$5:$A$64,0)),""))</f>
        <v/>
      </c>
      <c r="T32" s="35">
        <f>IF($F32="","",IFERROR(INDEX(사건마스터!$AQ$5:$AQ$64,MATCH($F32,사건마스터!$A$5:$A$64,0)),""))</f>
        <v/>
      </c>
      <c r="U32" s="35">
        <f>IF($F32="","",IFERROR(INDEX(사건마스터!$AR$5:$AR$64,MATCH($F32,사건마스터!$A$5:$A$64,0)),""))</f>
        <v/>
      </c>
      <c r="V32" s="35">
        <f>IF($F32="","",IFERROR(INDEX(사건마스터!$AS$5:$AS$64,MATCH($F32,사건마스터!$A$5:$A$64,0)),""))</f>
        <v/>
      </c>
      <c r="W32" s="35">
        <f>IF($F32="","",IFERROR(INDEX(사건마스터!$AT$5:$AT$64,MATCH($F32,사건마스터!$A$5:$A$64,0)),""))</f>
        <v/>
      </c>
      <c r="X32" s="35">
        <f>IF($F32="","",IFERROR(INDEX(사건마스터!$AU$5:$AU$64,MATCH($F32,사건마스터!$A$5:$A$64,0)),""))</f>
        <v/>
      </c>
      <c r="Y32" s="35">
        <f>IF($F32="","",IFERROR(INDEX(사건마스터!$AV$5:$AV$64,MATCH($F32,사건마스터!$A$5:$A$64,0)),""))</f>
        <v/>
      </c>
      <c r="Z32" s="30">
        <f>IF(COUNTBLANK($J32:$Y32)=16,"",16-COUNTBLANK($J32:$Y32))</f>
        <v/>
      </c>
      <c r="AA32" s="33">
        <f>IF($J32="",MID($AX32,3,255),$J32&amp;$AX32)</f>
        <v/>
      </c>
      <c r="AB32" s="34">
        <f>IF($J32="","",IFERROR(INDEX(코드설정!$D$5:$D$24,MATCH($J32,코드설정!$C$5:$C$24,0)),""))</f>
        <v/>
      </c>
      <c r="AC32" s="36" t="n"/>
      <c r="AD32" s="37" t="n"/>
      <c r="AE32" s="38" t="n"/>
      <c r="AF32" s="30">
        <f>IF(OR($B32="",$C32=""),"",$C32-$B32+1)</f>
        <v/>
      </c>
      <c r="AG32" s="32" t="n"/>
      <c r="AH32" s="36" t="n"/>
      <c r="AJ32">
        <f>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  <c r="AX32">
        <f>AW32&amp;IF($Y32="","",", "&amp;$Y32)</f>
        <v/>
      </c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0">
        <f>IF($F33="","",COUNTIF($F$5:$F33,$F33))</f>
        <v/>
      </c>
      <c r="H33" s="33">
        <f>IF($F33="","",IFERROR(INDEX(사건마스터!$B$5:$B$64,MATCH($F33,사건마스터!$A$5:$A$64,0)),""))</f>
        <v/>
      </c>
      <c r="I33" s="34">
        <f>IF($F33="","",IFERROR(INDEX(사건마스터!$C$5:$C$64,MATCH($F33,사건마스터!$A$5:$A$64,0)),""))</f>
        <v/>
      </c>
      <c r="J33" s="35">
        <f>IF($F33="","",IFERROR(INDEX(사건마스터!$H$5:$H$64,MATCH($F33,사건마스터!$A$5:$A$64,0)),""))</f>
        <v/>
      </c>
      <c r="K33" s="35">
        <f>IF($F33="","",IFERROR(INDEX(사건마스터!$AH$5:$AH$64,MATCH($F33,사건마스터!$A$5:$A$64,0)),""))</f>
        <v/>
      </c>
      <c r="L33" s="35">
        <f>IF($F33="","",IFERROR(INDEX(사건마스터!$AI$5:$AI$64,MATCH($F33,사건마스터!$A$5:$A$64,0)),""))</f>
        <v/>
      </c>
      <c r="M33" s="35">
        <f>IF($F33="","",IFERROR(INDEX(사건마스터!$AJ$5:$AJ$64,MATCH($F33,사건마스터!$A$5:$A$64,0)),""))</f>
        <v/>
      </c>
      <c r="N33" s="35">
        <f>IF($F33="","",IFERROR(INDEX(사건마스터!$AK$5:$AK$64,MATCH($F33,사건마스터!$A$5:$A$64,0)),""))</f>
        <v/>
      </c>
      <c r="O33" s="35">
        <f>IF($F33="","",IFERROR(INDEX(사건마스터!$AL$5:$AL$64,MATCH($F33,사건마스터!$A$5:$A$64,0)),""))</f>
        <v/>
      </c>
      <c r="P33" s="35">
        <f>IF($F33="","",IFERROR(INDEX(사건마스터!$AM$5:$AM$64,MATCH($F33,사건마스터!$A$5:$A$64,0)),""))</f>
        <v/>
      </c>
      <c r="Q33" s="35">
        <f>IF($F33="","",IFERROR(INDEX(사건마스터!$AN$5:$AN$64,MATCH($F33,사건마스터!$A$5:$A$64,0)),""))</f>
        <v/>
      </c>
      <c r="R33" s="35">
        <f>IF($F33="","",IFERROR(INDEX(사건마스터!$AO$5:$AO$64,MATCH($F33,사건마스터!$A$5:$A$64,0)),""))</f>
        <v/>
      </c>
      <c r="S33" s="35">
        <f>IF($F33="","",IFERROR(INDEX(사건마스터!$AP$5:$AP$64,MATCH($F33,사건마스터!$A$5:$A$64,0)),""))</f>
        <v/>
      </c>
      <c r="T33" s="35">
        <f>IF($F33="","",IFERROR(INDEX(사건마스터!$AQ$5:$AQ$64,MATCH($F33,사건마스터!$A$5:$A$64,0)),""))</f>
        <v/>
      </c>
      <c r="U33" s="35">
        <f>IF($F33="","",IFERROR(INDEX(사건마스터!$AR$5:$AR$64,MATCH($F33,사건마스터!$A$5:$A$64,0)),""))</f>
        <v/>
      </c>
      <c r="V33" s="35">
        <f>IF($F33="","",IFERROR(INDEX(사건마스터!$AS$5:$AS$64,MATCH($F33,사건마스터!$A$5:$A$64,0)),""))</f>
        <v/>
      </c>
      <c r="W33" s="35">
        <f>IF($F33="","",IFERROR(INDEX(사건마스터!$AT$5:$AT$64,MATCH($F33,사건마스터!$A$5:$A$64,0)),""))</f>
        <v/>
      </c>
      <c r="X33" s="35">
        <f>IF($F33="","",IFERROR(INDEX(사건마스터!$AU$5:$AU$64,MATCH($F33,사건마스터!$A$5:$A$64,0)),""))</f>
        <v/>
      </c>
      <c r="Y33" s="35">
        <f>IF($F33="","",IFERROR(INDEX(사건마스터!$AV$5:$AV$64,MATCH($F33,사건마스터!$A$5:$A$64,0)),""))</f>
        <v/>
      </c>
      <c r="Z33" s="30">
        <f>IF(COUNTBLANK($J33:$Y33)=16,"",16-COUNTBLANK($J33:$Y33))</f>
        <v/>
      </c>
      <c r="AA33" s="33">
        <f>IF($J33="",MID($AX33,3,255),$J33&amp;$AX33)</f>
        <v/>
      </c>
      <c r="AB33" s="34">
        <f>IF($J33="","",IFERROR(INDEX(코드설정!$D$5:$D$24,MATCH($J33,코드설정!$C$5:$C$24,0)),""))</f>
        <v/>
      </c>
      <c r="AC33" s="36" t="n"/>
      <c r="AD33" s="37" t="n"/>
      <c r="AE33" s="38" t="n"/>
      <c r="AF33" s="30">
        <f>IF(OR($B33="",$C33=""),"",$C33-$B33+1)</f>
        <v/>
      </c>
      <c r="AG33" s="32" t="n"/>
      <c r="AH33" s="36" t="n"/>
      <c r="AJ33">
        <f>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  <c r="AX33">
        <f>AW33&amp;IF($Y33="","",", "&amp;$Y33)</f>
        <v/>
      </c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0">
        <f>IF($F34="","",COUNTIF($F$5:$F34,$F34))</f>
        <v/>
      </c>
      <c r="H34" s="33">
        <f>IF($F34="","",IFERROR(INDEX(사건마스터!$B$5:$B$64,MATCH($F34,사건마스터!$A$5:$A$64,0)),""))</f>
        <v/>
      </c>
      <c r="I34" s="34">
        <f>IF($F34="","",IFERROR(INDEX(사건마스터!$C$5:$C$64,MATCH($F34,사건마스터!$A$5:$A$64,0)),""))</f>
        <v/>
      </c>
      <c r="J34" s="35">
        <f>IF($F34="","",IFERROR(INDEX(사건마스터!$H$5:$H$64,MATCH($F34,사건마스터!$A$5:$A$64,0)),""))</f>
        <v/>
      </c>
      <c r="K34" s="35">
        <f>IF($F34="","",IFERROR(INDEX(사건마스터!$AH$5:$AH$64,MATCH($F34,사건마스터!$A$5:$A$64,0)),""))</f>
        <v/>
      </c>
      <c r="L34" s="35">
        <f>IF($F34="","",IFERROR(INDEX(사건마스터!$AI$5:$AI$64,MATCH($F34,사건마스터!$A$5:$A$64,0)),""))</f>
        <v/>
      </c>
      <c r="M34" s="35">
        <f>IF($F34="","",IFERROR(INDEX(사건마스터!$AJ$5:$AJ$64,MATCH($F34,사건마스터!$A$5:$A$64,0)),""))</f>
        <v/>
      </c>
      <c r="N34" s="35">
        <f>IF($F34="","",IFERROR(INDEX(사건마스터!$AK$5:$AK$64,MATCH($F34,사건마스터!$A$5:$A$64,0)),""))</f>
        <v/>
      </c>
      <c r="O34" s="35">
        <f>IF($F34="","",IFERROR(INDEX(사건마스터!$AL$5:$AL$64,MATCH($F34,사건마스터!$A$5:$A$64,0)),""))</f>
        <v/>
      </c>
      <c r="P34" s="35">
        <f>IF($F34="","",IFERROR(INDEX(사건마스터!$AM$5:$AM$64,MATCH($F34,사건마스터!$A$5:$A$64,0)),""))</f>
        <v/>
      </c>
      <c r="Q34" s="35">
        <f>IF($F34="","",IFERROR(INDEX(사건마스터!$AN$5:$AN$64,MATCH($F34,사건마스터!$A$5:$A$64,0)),""))</f>
        <v/>
      </c>
      <c r="R34" s="35">
        <f>IF($F34="","",IFERROR(INDEX(사건마스터!$AO$5:$AO$64,MATCH($F34,사건마스터!$A$5:$A$64,0)),""))</f>
        <v/>
      </c>
      <c r="S34" s="35">
        <f>IF($F34="","",IFERROR(INDEX(사건마스터!$AP$5:$AP$64,MATCH($F34,사건마스터!$A$5:$A$64,0)),""))</f>
        <v/>
      </c>
      <c r="T34" s="35">
        <f>IF($F34="","",IFERROR(INDEX(사건마스터!$AQ$5:$AQ$64,MATCH($F34,사건마스터!$A$5:$A$64,0)),""))</f>
        <v/>
      </c>
      <c r="U34" s="35">
        <f>IF($F34="","",IFERROR(INDEX(사건마스터!$AR$5:$AR$64,MATCH($F34,사건마스터!$A$5:$A$64,0)),""))</f>
        <v/>
      </c>
      <c r="V34" s="35">
        <f>IF($F34="","",IFERROR(INDEX(사건마스터!$AS$5:$AS$64,MATCH($F34,사건마스터!$A$5:$A$64,0)),""))</f>
        <v/>
      </c>
      <c r="W34" s="35">
        <f>IF($F34="","",IFERROR(INDEX(사건마스터!$AT$5:$AT$64,MATCH($F34,사건마스터!$A$5:$A$64,0)),""))</f>
        <v/>
      </c>
      <c r="X34" s="35">
        <f>IF($F34="","",IFERROR(INDEX(사건마스터!$AU$5:$AU$64,MATCH($F34,사건마스터!$A$5:$A$64,0)),""))</f>
        <v/>
      </c>
      <c r="Y34" s="35">
        <f>IF($F34="","",IFERROR(INDEX(사건마스터!$AV$5:$AV$64,MATCH($F34,사건마스터!$A$5:$A$64,0)),""))</f>
        <v/>
      </c>
      <c r="Z34" s="30">
        <f>IF(COUNTBLANK($J34:$Y34)=16,"",16-COUNTBLANK($J34:$Y34))</f>
        <v/>
      </c>
      <c r="AA34" s="33">
        <f>IF($J34="",MID($AX34,3,255),$J34&amp;$AX34)</f>
        <v/>
      </c>
      <c r="AB34" s="34">
        <f>IF($J34="","",IFERROR(INDEX(코드설정!$D$5:$D$24,MATCH($J34,코드설정!$C$5:$C$24,0)),""))</f>
        <v/>
      </c>
      <c r="AC34" s="36" t="n"/>
      <c r="AD34" s="37" t="n"/>
      <c r="AE34" s="38" t="n"/>
      <c r="AF34" s="30">
        <f>IF(OR($B34="",$C34=""),"",$C34-$B34+1)</f>
        <v/>
      </c>
      <c r="AG34" s="32" t="n"/>
      <c r="AH34" s="36" t="n"/>
      <c r="AJ34">
        <f>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  <c r="AX34">
        <f>AW34&amp;IF($Y34="","",", "&amp;$Y34)</f>
        <v/>
      </c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0">
        <f>IF($F35="","",COUNTIF($F$5:$F35,$F35))</f>
        <v/>
      </c>
      <c r="H35" s="33">
        <f>IF($F35="","",IFERROR(INDEX(사건마스터!$B$5:$B$64,MATCH($F35,사건마스터!$A$5:$A$64,0)),""))</f>
        <v/>
      </c>
      <c r="I35" s="34">
        <f>IF($F35="","",IFERROR(INDEX(사건마스터!$C$5:$C$64,MATCH($F35,사건마스터!$A$5:$A$64,0)),""))</f>
        <v/>
      </c>
      <c r="J35" s="35">
        <f>IF($F35="","",IFERROR(INDEX(사건마스터!$H$5:$H$64,MATCH($F35,사건마스터!$A$5:$A$64,0)),""))</f>
        <v/>
      </c>
      <c r="K35" s="35">
        <f>IF($F35="","",IFERROR(INDEX(사건마스터!$AH$5:$AH$64,MATCH($F35,사건마스터!$A$5:$A$64,0)),""))</f>
        <v/>
      </c>
      <c r="L35" s="35">
        <f>IF($F35="","",IFERROR(INDEX(사건마스터!$AI$5:$AI$64,MATCH($F35,사건마스터!$A$5:$A$64,0)),""))</f>
        <v/>
      </c>
      <c r="M35" s="35">
        <f>IF($F35="","",IFERROR(INDEX(사건마스터!$AJ$5:$AJ$64,MATCH($F35,사건마스터!$A$5:$A$64,0)),""))</f>
        <v/>
      </c>
      <c r="N35" s="35">
        <f>IF($F35="","",IFERROR(INDEX(사건마스터!$AK$5:$AK$64,MATCH($F35,사건마스터!$A$5:$A$64,0)),""))</f>
        <v/>
      </c>
      <c r="O35" s="35">
        <f>IF($F35="","",IFERROR(INDEX(사건마스터!$AL$5:$AL$64,MATCH($F35,사건마스터!$A$5:$A$64,0)),""))</f>
        <v/>
      </c>
      <c r="P35" s="35">
        <f>IF($F35="","",IFERROR(INDEX(사건마스터!$AM$5:$AM$64,MATCH($F35,사건마스터!$A$5:$A$64,0)),""))</f>
        <v/>
      </c>
      <c r="Q35" s="35">
        <f>IF($F35="","",IFERROR(INDEX(사건마스터!$AN$5:$AN$64,MATCH($F35,사건마스터!$A$5:$A$64,0)),""))</f>
        <v/>
      </c>
      <c r="R35" s="35">
        <f>IF($F35="","",IFERROR(INDEX(사건마스터!$AO$5:$AO$64,MATCH($F35,사건마스터!$A$5:$A$64,0)),""))</f>
        <v/>
      </c>
      <c r="S35" s="35">
        <f>IF($F35="","",IFERROR(INDEX(사건마스터!$AP$5:$AP$64,MATCH($F35,사건마스터!$A$5:$A$64,0)),""))</f>
        <v/>
      </c>
      <c r="T35" s="35">
        <f>IF($F35="","",IFERROR(INDEX(사건마스터!$AQ$5:$AQ$64,MATCH($F35,사건마스터!$A$5:$A$64,0)),""))</f>
        <v/>
      </c>
      <c r="U35" s="35">
        <f>IF($F35="","",IFERROR(INDEX(사건마스터!$AR$5:$AR$64,MATCH($F35,사건마스터!$A$5:$A$64,0)),""))</f>
        <v/>
      </c>
      <c r="V35" s="35">
        <f>IF($F35="","",IFERROR(INDEX(사건마스터!$AS$5:$AS$64,MATCH($F35,사건마스터!$A$5:$A$64,0)),""))</f>
        <v/>
      </c>
      <c r="W35" s="35">
        <f>IF($F35="","",IFERROR(INDEX(사건마스터!$AT$5:$AT$64,MATCH($F35,사건마스터!$A$5:$A$64,0)),""))</f>
        <v/>
      </c>
      <c r="X35" s="35">
        <f>IF($F35="","",IFERROR(INDEX(사건마스터!$AU$5:$AU$64,MATCH($F35,사건마스터!$A$5:$A$64,0)),""))</f>
        <v/>
      </c>
      <c r="Y35" s="35">
        <f>IF($F35="","",IFERROR(INDEX(사건마스터!$AV$5:$AV$64,MATCH($F35,사건마스터!$A$5:$A$64,0)),""))</f>
        <v/>
      </c>
      <c r="Z35" s="30">
        <f>IF(COUNTBLANK($J35:$Y35)=16,"",16-COUNTBLANK($J35:$Y35))</f>
        <v/>
      </c>
      <c r="AA35" s="33">
        <f>IF($J35="",MID($AX35,3,255),$J35&amp;$AX35)</f>
        <v/>
      </c>
      <c r="AB35" s="34">
        <f>IF($J35="","",IFERROR(INDEX(코드설정!$D$5:$D$24,MATCH($J35,코드설정!$C$5:$C$24,0)),""))</f>
        <v/>
      </c>
      <c r="AC35" s="36" t="n"/>
      <c r="AD35" s="37" t="n"/>
      <c r="AE35" s="38" t="n"/>
      <c r="AF35" s="30">
        <f>IF(OR($B35="",$C35=""),"",$C35-$B35+1)</f>
        <v/>
      </c>
      <c r="AG35" s="32" t="n"/>
      <c r="AH35" s="36" t="n"/>
      <c r="AJ35">
        <f>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  <c r="AX35">
        <f>AW35&amp;IF($Y35="","",", "&amp;$Y35)</f>
        <v/>
      </c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0">
        <f>IF($F36="","",COUNTIF($F$5:$F36,$F36))</f>
        <v/>
      </c>
      <c r="H36" s="33">
        <f>IF($F36="","",IFERROR(INDEX(사건마스터!$B$5:$B$64,MATCH($F36,사건마스터!$A$5:$A$64,0)),""))</f>
        <v/>
      </c>
      <c r="I36" s="34">
        <f>IF($F36="","",IFERROR(INDEX(사건마스터!$C$5:$C$64,MATCH($F36,사건마스터!$A$5:$A$64,0)),""))</f>
        <v/>
      </c>
      <c r="J36" s="35">
        <f>IF($F36="","",IFERROR(INDEX(사건마스터!$H$5:$H$64,MATCH($F36,사건마스터!$A$5:$A$64,0)),""))</f>
        <v/>
      </c>
      <c r="K36" s="35">
        <f>IF($F36="","",IFERROR(INDEX(사건마스터!$AH$5:$AH$64,MATCH($F36,사건마스터!$A$5:$A$64,0)),""))</f>
        <v/>
      </c>
      <c r="L36" s="35">
        <f>IF($F36="","",IFERROR(INDEX(사건마스터!$AI$5:$AI$64,MATCH($F36,사건마스터!$A$5:$A$64,0)),""))</f>
        <v/>
      </c>
      <c r="M36" s="35">
        <f>IF($F36="","",IFERROR(INDEX(사건마스터!$AJ$5:$AJ$64,MATCH($F36,사건마스터!$A$5:$A$64,0)),""))</f>
        <v/>
      </c>
      <c r="N36" s="35">
        <f>IF($F36="","",IFERROR(INDEX(사건마스터!$AK$5:$AK$64,MATCH($F36,사건마스터!$A$5:$A$64,0)),""))</f>
        <v/>
      </c>
      <c r="O36" s="35">
        <f>IF($F36="","",IFERROR(INDEX(사건마스터!$AL$5:$AL$64,MATCH($F36,사건마스터!$A$5:$A$64,0)),""))</f>
        <v/>
      </c>
      <c r="P36" s="35">
        <f>IF($F36="","",IFERROR(INDEX(사건마스터!$AM$5:$AM$64,MATCH($F36,사건마스터!$A$5:$A$64,0)),""))</f>
        <v/>
      </c>
      <c r="Q36" s="35">
        <f>IF($F36="","",IFERROR(INDEX(사건마스터!$AN$5:$AN$64,MATCH($F36,사건마스터!$A$5:$A$64,0)),""))</f>
        <v/>
      </c>
      <c r="R36" s="35">
        <f>IF($F36="","",IFERROR(INDEX(사건마스터!$AO$5:$AO$64,MATCH($F36,사건마스터!$A$5:$A$64,0)),""))</f>
        <v/>
      </c>
      <c r="S36" s="35">
        <f>IF($F36="","",IFERROR(INDEX(사건마스터!$AP$5:$AP$64,MATCH($F36,사건마스터!$A$5:$A$64,0)),""))</f>
        <v/>
      </c>
      <c r="T36" s="35">
        <f>IF($F36="","",IFERROR(INDEX(사건마스터!$AQ$5:$AQ$64,MATCH($F36,사건마스터!$A$5:$A$64,0)),""))</f>
        <v/>
      </c>
      <c r="U36" s="35">
        <f>IF($F36="","",IFERROR(INDEX(사건마스터!$AR$5:$AR$64,MATCH($F36,사건마스터!$A$5:$A$64,0)),""))</f>
        <v/>
      </c>
      <c r="V36" s="35">
        <f>IF($F36="","",IFERROR(INDEX(사건마스터!$AS$5:$AS$64,MATCH($F36,사건마스터!$A$5:$A$64,0)),""))</f>
        <v/>
      </c>
      <c r="W36" s="35">
        <f>IF($F36="","",IFERROR(INDEX(사건마스터!$AT$5:$AT$64,MATCH($F36,사건마스터!$A$5:$A$64,0)),""))</f>
        <v/>
      </c>
      <c r="X36" s="35">
        <f>IF($F36="","",IFERROR(INDEX(사건마스터!$AU$5:$AU$64,MATCH($F36,사건마스터!$A$5:$A$64,0)),""))</f>
        <v/>
      </c>
      <c r="Y36" s="35">
        <f>IF($F36="","",IFERROR(INDEX(사건마스터!$AV$5:$AV$64,MATCH($F36,사건마스터!$A$5:$A$64,0)),""))</f>
        <v/>
      </c>
      <c r="Z36" s="30">
        <f>IF(COUNTBLANK($J36:$Y36)=16,"",16-COUNTBLANK($J36:$Y36))</f>
        <v/>
      </c>
      <c r="AA36" s="33">
        <f>IF($J36="",MID($AX36,3,255),$J36&amp;$AX36)</f>
        <v/>
      </c>
      <c r="AB36" s="34">
        <f>IF($J36="","",IFERROR(INDEX(코드설정!$D$5:$D$24,MATCH($J36,코드설정!$C$5:$C$24,0)),""))</f>
        <v/>
      </c>
      <c r="AC36" s="36" t="n"/>
      <c r="AD36" s="37" t="n"/>
      <c r="AE36" s="38" t="n"/>
      <c r="AF36" s="30">
        <f>IF(OR($B36="",$C36=""),"",$C36-$B36+1)</f>
        <v/>
      </c>
      <c r="AG36" s="32" t="n"/>
      <c r="AH36" s="36" t="n"/>
      <c r="AJ36">
        <f>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  <c r="AX36">
        <f>AW36&amp;IF($Y36="","",", "&amp;$Y36)</f>
        <v/>
      </c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0">
        <f>IF($F37="","",COUNTIF($F$5:$F37,$F37))</f>
        <v/>
      </c>
      <c r="H37" s="33">
        <f>IF($F37="","",IFERROR(INDEX(사건마스터!$B$5:$B$64,MATCH($F37,사건마스터!$A$5:$A$64,0)),""))</f>
        <v/>
      </c>
      <c r="I37" s="34">
        <f>IF($F37="","",IFERROR(INDEX(사건마스터!$C$5:$C$64,MATCH($F37,사건마스터!$A$5:$A$64,0)),""))</f>
        <v/>
      </c>
      <c r="J37" s="35">
        <f>IF($F37="","",IFERROR(INDEX(사건마스터!$H$5:$H$64,MATCH($F37,사건마스터!$A$5:$A$64,0)),""))</f>
        <v/>
      </c>
      <c r="K37" s="35">
        <f>IF($F37="","",IFERROR(INDEX(사건마스터!$AH$5:$AH$64,MATCH($F37,사건마스터!$A$5:$A$64,0)),""))</f>
        <v/>
      </c>
      <c r="L37" s="35">
        <f>IF($F37="","",IFERROR(INDEX(사건마스터!$AI$5:$AI$64,MATCH($F37,사건마스터!$A$5:$A$64,0)),""))</f>
        <v/>
      </c>
      <c r="M37" s="35">
        <f>IF($F37="","",IFERROR(INDEX(사건마스터!$AJ$5:$AJ$64,MATCH($F37,사건마스터!$A$5:$A$64,0)),""))</f>
        <v/>
      </c>
      <c r="N37" s="35">
        <f>IF($F37="","",IFERROR(INDEX(사건마스터!$AK$5:$AK$64,MATCH($F37,사건마스터!$A$5:$A$64,0)),""))</f>
        <v/>
      </c>
      <c r="O37" s="35">
        <f>IF($F37="","",IFERROR(INDEX(사건마스터!$AL$5:$AL$64,MATCH($F37,사건마스터!$A$5:$A$64,0)),""))</f>
        <v/>
      </c>
      <c r="P37" s="35">
        <f>IF($F37="","",IFERROR(INDEX(사건마스터!$AM$5:$AM$64,MATCH($F37,사건마스터!$A$5:$A$64,0)),""))</f>
        <v/>
      </c>
      <c r="Q37" s="35">
        <f>IF($F37="","",IFERROR(INDEX(사건마스터!$AN$5:$AN$64,MATCH($F37,사건마스터!$A$5:$A$64,0)),""))</f>
        <v/>
      </c>
      <c r="R37" s="35">
        <f>IF($F37="","",IFERROR(INDEX(사건마스터!$AO$5:$AO$64,MATCH($F37,사건마스터!$A$5:$A$64,0)),""))</f>
        <v/>
      </c>
      <c r="S37" s="35">
        <f>IF($F37="","",IFERROR(INDEX(사건마스터!$AP$5:$AP$64,MATCH($F37,사건마스터!$A$5:$A$64,0)),""))</f>
        <v/>
      </c>
      <c r="T37" s="35">
        <f>IF($F37="","",IFERROR(INDEX(사건마스터!$AQ$5:$AQ$64,MATCH($F37,사건마스터!$A$5:$A$64,0)),""))</f>
        <v/>
      </c>
      <c r="U37" s="35">
        <f>IF($F37="","",IFERROR(INDEX(사건마스터!$AR$5:$AR$64,MATCH($F37,사건마스터!$A$5:$A$64,0)),""))</f>
        <v/>
      </c>
      <c r="V37" s="35">
        <f>IF($F37="","",IFERROR(INDEX(사건마스터!$AS$5:$AS$64,MATCH($F37,사건마스터!$A$5:$A$64,0)),""))</f>
        <v/>
      </c>
      <c r="W37" s="35">
        <f>IF($F37="","",IFERROR(INDEX(사건마스터!$AT$5:$AT$64,MATCH($F37,사건마스터!$A$5:$A$64,0)),""))</f>
        <v/>
      </c>
      <c r="X37" s="35">
        <f>IF($F37="","",IFERROR(INDEX(사건마스터!$AU$5:$AU$64,MATCH($F37,사건마스터!$A$5:$A$64,0)),""))</f>
        <v/>
      </c>
      <c r="Y37" s="35">
        <f>IF($F37="","",IFERROR(INDEX(사건마스터!$AV$5:$AV$64,MATCH($F37,사건마스터!$A$5:$A$64,0)),""))</f>
        <v/>
      </c>
      <c r="Z37" s="30">
        <f>IF(COUNTBLANK($J37:$Y37)=16,"",16-COUNTBLANK($J37:$Y37))</f>
        <v/>
      </c>
      <c r="AA37" s="33">
        <f>IF($J37="",MID($AX37,3,255),$J37&amp;$AX37)</f>
        <v/>
      </c>
      <c r="AB37" s="34">
        <f>IF($J37="","",IFERROR(INDEX(코드설정!$D$5:$D$24,MATCH($J37,코드설정!$C$5:$C$24,0)),""))</f>
        <v/>
      </c>
      <c r="AC37" s="36" t="n"/>
      <c r="AD37" s="37" t="n"/>
      <c r="AE37" s="38" t="n"/>
      <c r="AF37" s="30">
        <f>IF(OR($B37="",$C37=""),"",$C37-$B37+1)</f>
        <v/>
      </c>
      <c r="AG37" s="32" t="n"/>
      <c r="AH37" s="36" t="n"/>
      <c r="AJ37">
        <f>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  <c r="AX37">
        <f>AW37&amp;IF($Y37="","",", "&amp;$Y37)</f>
        <v/>
      </c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0">
        <f>IF($F38="","",COUNTIF($F$5:$F38,$F38))</f>
        <v/>
      </c>
      <c r="H38" s="33">
        <f>IF($F38="","",IFERROR(INDEX(사건마스터!$B$5:$B$64,MATCH($F38,사건마스터!$A$5:$A$64,0)),""))</f>
        <v/>
      </c>
      <c r="I38" s="34">
        <f>IF($F38="","",IFERROR(INDEX(사건마스터!$C$5:$C$64,MATCH($F38,사건마스터!$A$5:$A$64,0)),""))</f>
        <v/>
      </c>
      <c r="J38" s="35">
        <f>IF($F38="","",IFERROR(INDEX(사건마스터!$H$5:$H$64,MATCH($F38,사건마스터!$A$5:$A$64,0)),""))</f>
        <v/>
      </c>
      <c r="K38" s="35">
        <f>IF($F38="","",IFERROR(INDEX(사건마스터!$AH$5:$AH$64,MATCH($F38,사건마스터!$A$5:$A$64,0)),""))</f>
        <v/>
      </c>
      <c r="L38" s="35">
        <f>IF($F38="","",IFERROR(INDEX(사건마스터!$AI$5:$AI$64,MATCH($F38,사건마스터!$A$5:$A$64,0)),""))</f>
        <v/>
      </c>
      <c r="M38" s="35">
        <f>IF($F38="","",IFERROR(INDEX(사건마스터!$AJ$5:$AJ$64,MATCH($F38,사건마스터!$A$5:$A$64,0)),""))</f>
        <v/>
      </c>
      <c r="N38" s="35">
        <f>IF($F38="","",IFERROR(INDEX(사건마스터!$AK$5:$AK$64,MATCH($F38,사건마스터!$A$5:$A$64,0)),""))</f>
        <v/>
      </c>
      <c r="O38" s="35">
        <f>IF($F38="","",IFERROR(INDEX(사건마스터!$AL$5:$AL$64,MATCH($F38,사건마스터!$A$5:$A$64,0)),""))</f>
        <v/>
      </c>
      <c r="P38" s="35">
        <f>IF($F38="","",IFERROR(INDEX(사건마스터!$AM$5:$AM$64,MATCH($F38,사건마스터!$A$5:$A$64,0)),""))</f>
        <v/>
      </c>
      <c r="Q38" s="35">
        <f>IF($F38="","",IFERROR(INDEX(사건마스터!$AN$5:$AN$64,MATCH($F38,사건마스터!$A$5:$A$64,0)),""))</f>
        <v/>
      </c>
      <c r="R38" s="35">
        <f>IF($F38="","",IFERROR(INDEX(사건마스터!$AO$5:$AO$64,MATCH($F38,사건마스터!$A$5:$A$64,0)),""))</f>
        <v/>
      </c>
      <c r="S38" s="35">
        <f>IF($F38="","",IFERROR(INDEX(사건마스터!$AP$5:$AP$64,MATCH($F38,사건마스터!$A$5:$A$64,0)),""))</f>
        <v/>
      </c>
      <c r="T38" s="35">
        <f>IF($F38="","",IFERROR(INDEX(사건마스터!$AQ$5:$AQ$64,MATCH($F38,사건마스터!$A$5:$A$64,0)),""))</f>
        <v/>
      </c>
      <c r="U38" s="35">
        <f>IF($F38="","",IFERROR(INDEX(사건마스터!$AR$5:$AR$64,MATCH($F38,사건마스터!$A$5:$A$64,0)),""))</f>
        <v/>
      </c>
      <c r="V38" s="35">
        <f>IF($F38="","",IFERROR(INDEX(사건마스터!$AS$5:$AS$64,MATCH($F38,사건마스터!$A$5:$A$64,0)),""))</f>
        <v/>
      </c>
      <c r="W38" s="35">
        <f>IF($F38="","",IFERROR(INDEX(사건마스터!$AT$5:$AT$64,MATCH($F38,사건마스터!$A$5:$A$64,0)),""))</f>
        <v/>
      </c>
      <c r="X38" s="35">
        <f>IF($F38="","",IFERROR(INDEX(사건마스터!$AU$5:$AU$64,MATCH($F38,사건마스터!$A$5:$A$64,0)),""))</f>
        <v/>
      </c>
      <c r="Y38" s="35">
        <f>IF($F38="","",IFERROR(INDEX(사건마스터!$AV$5:$AV$64,MATCH($F38,사건마스터!$A$5:$A$64,0)),""))</f>
        <v/>
      </c>
      <c r="Z38" s="30">
        <f>IF(COUNTBLANK($J38:$Y38)=16,"",16-COUNTBLANK($J38:$Y38))</f>
        <v/>
      </c>
      <c r="AA38" s="33">
        <f>IF($J38="",MID($AX38,3,255),$J38&amp;$AX38)</f>
        <v/>
      </c>
      <c r="AB38" s="34">
        <f>IF($J38="","",IFERROR(INDEX(코드설정!$D$5:$D$24,MATCH($J38,코드설정!$C$5:$C$24,0)),""))</f>
        <v/>
      </c>
      <c r="AC38" s="36" t="n"/>
      <c r="AD38" s="37" t="n"/>
      <c r="AE38" s="38" t="n"/>
      <c r="AF38" s="30">
        <f>IF(OR($B38="",$C38=""),"",$C38-$B38+1)</f>
        <v/>
      </c>
      <c r="AG38" s="32" t="n"/>
      <c r="AH38" s="36" t="n"/>
      <c r="AJ38">
        <f>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  <c r="AX38">
        <f>AW38&amp;IF($Y38="","",", "&amp;$Y38)</f>
        <v/>
      </c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0">
        <f>IF($F39="","",COUNTIF($F$5:$F39,$F39))</f>
        <v/>
      </c>
      <c r="H39" s="33">
        <f>IF($F39="","",IFERROR(INDEX(사건마스터!$B$5:$B$64,MATCH($F39,사건마스터!$A$5:$A$64,0)),""))</f>
        <v/>
      </c>
      <c r="I39" s="34">
        <f>IF($F39="","",IFERROR(INDEX(사건마스터!$C$5:$C$64,MATCH($F39,사건마스터!$A$5:$A$64,0)),""))</f>
        <v/>
      </c>
      <c r="J39" s="35">
        <f>IF($F39="","",IFERROR(INDEX(사건마스터!$H$5:$H$64,MATCH($F39,사건마스터!$A$5:$A$64,0)),""))</f>
        <v/>
      </c>
      <c r="K39" s="35">
        <f>IF($F39="","",IFERROR(INDEX(사건마스터!$AH$5:$AH$64,MATCH($F39,사건마스터!$A$5:$A$64,0)),""))</f>
        <v/>
      </c>
      <c r="L39" s="35">
        <f>IF($F39="","",IFERROR(INDEX(사건마스터!$AI$5:$AI$64,MATCH($F39,사건마스터!$A$5:$A$64,0)),""))</f>
        <v/>
      </c>
      <c r="M39" s="35">
        <f>IF($F39="","",IFERROR(INDEX(사건마스터!$AJ$5:$AJ$64,MATCH($F39,사건마스터!$A$5:$A$64,0)),""))</f>
        <v/>
      </c>
      <c r="N39" s="35">
        <f>IF($F39="","",IFERROR(INDEX(사건마스터!$AK$5:$AK$64,MATCH($F39,사건마스터!$A$5:$A$64,0)),""))</f>
        <v/>
      </c>
      <c r="O39" s="35">
        <f>IF($F39="","",IFERROR(INDEX(사건마스터!$AL$5:$AL$64,MATCH($F39,사건마스터!$A$5:$A$64,0)),""))</f>
        <v/>
      </c>
      <c r="P39" s="35">
        <f>IF($F39="","",IFERROR(INDEX(사건마스터!$AM$5:$AM$64,MATCH($F39,사건마스터!$A$5:$A$64,0)),""))</f>
        <v/>
      </c>
      <c r="Q39" s="35">
        <f>IF($F39="","",IFERROR(INDEX(사건마스터!$AN$5:$AN$64,MATCH($F39,사건마스터!$A$5:$A$64,0)),""))</f>
        <v/>
      </c>
      <c r="R39" s="35">
        <f>IF($F39="","",IFERROR(INDEX(사건마스터!$AO$5:$AO$64,MATCH($F39,사건마스터!$A$5:$A$64,0)),""))</f>
        <v/>
      </c>
      <c r="S39" s="35">
        <f>IF($F39="","",IFERROR(INDEX(사건마스터!$AP$5:$AP$64,MATCH($F39,사건마스터!$A$5:$A$64,0)),""))</f>
        <v/>
      </c>
      <c r="T39" s="35">
        <f>IF($F39="","",IFERROR(INDEX(사건마스터!$AQ$5:$AQ$64,MATCH($F39,사건마스터!$A$5:$A$64,0)),""))</f>
        <v/>
      </c>
      <c r="U39" s="35">
        <f>IF($F39="","",IFERROR(INDEX(사건마스터!$AR$5:$AR$64,MATCH($F39,사건마스터!$A$5:$A$64,0)),""))</f>
        <v/>
      </c>
      <c r="V39" s="35">
        <f>IF($F39="","",IFERROR(INDEX(사건마스터!$AS$5:$AS$64,MATCH($F39,사건마스터!$A$5:$A$64,0)),""))</f>
        <v/>
      </c>
      <c r="W39" s="35">
        <f>IF($F39="","",IFERROR(INDEX(사건마스터!$AT$5:$AT$64,MATCH($F39,사건마스터!$A$5:$A$64,0)),""))</f>
        <v/>
      </c>
      <c r="X39" s="35">
        <f>IF($F39="","",IFERROR(INDEX(사건마스터!$AU$5:$AU$64,MATCH($F39,사건마스터!$A$5:$A$64,0)),""))</f>
        <v/>
      </c>
      <c r="Y39" s="35">
        <f>IF($F39="","",IFERROR(INDEX(사건마스터!$AV$5:$AV$64,MATCH($F39,사건마스터!$A$5:$A$64,0)),""))</f>
        <v/>
      </c>
      <c r="Z39" s="30">
        <f>IF(COUNTBLANK($J39:$Y39)=16,"",16-COUNTBLANK($J39:$Y39))</f>
        <v/>
      </c>
      <c r="AA39" s="33">
        <f>IF($J39="",MID($AX39,3,255),$J39&amp;$AX39)</f>
        <v/>
      </c>
      <c r="AB39" s="34">
        <f>IF($J39="","",IFERROR(INDEX(코드설정!$D$5:$D$24,MATCH($J39,코드설정!$C$5:$C$24,0)),""))</f>
        <v/>
      </c>
      <c r="AC39" s="36" t="n"/>
      <c r="AD39" s="37" t="n"/>
      <c r="AE39" s="38" t="n"/>
      <c r="AF39" s="30">
        <f>IF(OR($B39="",$C39=""),"",$C39-$B39+1)</f>
        <v/>
      </c>
      <c r="AG39" s="32" t="n"/>
      <c r="AH39" s="36" t="n"/>
      <c r="AJ39">
        <f>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  <c r="AX39">
        <f>AW39&amp;IF($Y39="","",", "&amp;$Y39)</f>
        <v/>
      </c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0">
        <f>IF($F40="","",COUNTIF($F$5:$F40,$F40))</f>
        <v/>
      </c>
      <c r="H40" s="33">
        <f>IF($F40="","",IFERROR(INDEX(사건마스터!$B$5:$B$64,MATCH($F40,사건마스터!$A$5:$A$64,0)),""))</f>
        <v/>
      </c>
      <c r="I40" s="34">
        <f>IF($F40="","",IFERROR(INDEX(사건마스터!$C$5:$C$64,MATCH($F40,사건마스터!$A$5:$A$64,0)),""))</f>
        <v/>
      </c>
      <c r="J40" s="35">
        <f>IF($F40="","",IFERROR(INDEX(사건마스터!$H$5:$H$64,MATCH($F40,사건마스터!$A$5:$A$64,0)),""))</f>
        <v/>
      </c>
      <c r="K40" s="35">
        <f>IF($F40="","",IFERROR(INDEX(사건마스터!$AH$5:$AH$64,MATCH($F40,사건마스터!$A$5:$A$64,0)),""))</f>
        <v/>
      </c>
      <c r="L40" s="35">
        <f>IF($F40="","",IFERROR(INDEX(사건마스터!$AI$5:$AI$64,MATCH($F40,사건마스터!$A$5:$A$64,0)),""))</f>
        <v/>
      </c>
      <c r="M40" s="35">
        <f>IF($F40="","",IFERROR(INDEX(사건마스터!$AJ$5:$AJ$64,MATCH($F40,사건마스터!$A$5:$A$64,0)),""))</f>
        <v/>
      </c>
      <c r="N40" s="35">
        <f>IF($F40="","",IFERROR(INDEX(사건마스터!$AK$5:$AK$64,MATCH($F40,사건마스터!$A$5:$A$64,0)),""))</f>
        <v/>
      </c>
      <c r="O40" s="35">
        <f>IF($F40="","",IFERROR(INDEX(사건마스터!$AL$5:$AL$64,MATCH($F40,사건마스터!$A$5:$A$64,0)),""))</f>
        <v/>
      </c>
      <c r="P40" s="35">
        <f>IF($F40="","",IFERROR(INDEX(사건마스터!$AM$5:$AM$64,MATCH($F40,사건마스터!$A$5:$A$64,0)),""))</f>
        <v/>
      </c>
      <c r="Q40" s="35">
        <f>IF($F40="","",IFERROR(INDEX(사건마스터!$AN$5:$AN$64,MATCH($F40,사건마스터!$A$5:$A$64,0)),""))</f>
        <v/>
      </c>
      <c r="R40" s="35">
        <f>IF($F40="","",IFERROR(INDEX(사건마스터!$AO$5:$AO$64,MATCH($F40,사건마스터!$A$5:$A$64,0)),""))</f>
        <v/>
      </c>
      <c r="S40" s="35">
        <f>IF($F40="","",IFERROR(INDEX(사건마스터!$AP$5:$AP$64,MATCH($F40,사건마스터!$A$5:$A$64,0)),""))</f>
        <v/>
      </c>
      <c r="T40" s="35">
        <f>IF($F40="","",IFERROR(INDEX(사건마스터!$AQ$5:$AQ$64,MATCH($F40,사건마스터!$A$5:$A$64,0)),""))</f>
        <v/>
      </c>
      <c r="U40" s="35">
        <f>IF($F40="","",IFERROR(INDEX(사건마스터!$AR$5:$AR$64,MATCH($F40,사건마스터!$A$5:$A$64,0)),""))</f>
        <v/>
      </c>
      <c r="V40" s="35">
        <f>IF($F40="","",IFERROR(INDEX(사건마스터!$AS$5:$AS$64,MATCH($F40,사건마스터!$A$5:$A$64,0)),""))</f>
        <v/>
      </c>
      <c r="W40" s="35">
        <f>IF($F40="","",IFERROR(INDEX(사건마스터!$AT$5:$AT$64,MATCH($F40,사건마스터!$A$5:$A$64,0)),""))</f>
        <v/>
      </c>
      <c r="X40" s="35">
        <f>IF($F40="","",IFERROR(INDEX(사건마스터!$AU$5:$AU$64,MATCH($F40,사건마스터!$A$5:$A$64,0)),""))</f>
        <v/>
      </c>
      <c r="Y40" s="35">
        <f>IF($F40="","",IFERROR(INDEX(사건마스터!$AV$5:$AV$64,MATCH($F40,사건마스터!$A$5:$A$64,0)),""))</f>
        <v/>
      </c>
      <c r="Z40" s="30">
        <f>IF(COUNTBLANK($J40:$Y40)=16,"",16-COUNTBLANK($J40:$Y40))</f>
        <v/>
      </c>
      <c r="AA40" s="33">
        <f>IF($J40="",MID($AX40,3,255),$J40&amp;$AX40)</f>
        <v/>
      </c>
      <c r="AB40" s="34">
        <f>IF($J40="","",IFERROR(INDEX(코드설정!$D$5:$D$24,MATCH($J40,코드설정!$C$5:$C$24,0)),""))</f>
        <v/>
      </c>
      <c r="AC40" s="36" t="n"/>
      <c r="AD40" s="37" t="n"/>
      <c r="AE40" s="38" t="n"/>
      <c r="AF40" s="30">
        <f>IF(OR($B40="",$C40=""),"",$C40-$B40+1)</f>
        <v/>
      </c>
      <c r="AG40" s="32" t="n"/>
      <c r="AH40" s="36" t="n"/>
      <c r="AJ40">
        <f>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  <c r="AX40">
        <f>AW40&amp;IF($Y40="","",", "&amp;$Y40)</f>
        <v/>
      </c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0">
        <f>IF($F41="","",COUNTIF($F$5:$F41,$F41))</f>
        <v/>
      </c>
      <c r="H41" s="33">
        <f>IF($F41="","",IFERROR(INDEX(사건마스터!$B$5:$B$64,MATCH($F41,사건마스터!$A$5:$A$64,0)),""))</f>
        <v/>
      </c>
      <c r="I41" s="34">
        <f>IF($F41="","",IFERROR(INDEX(사건마스터!$C$5:$C$64,MATCH($F41,사건마스터!$A$5:$A$64,0)),""))</f>
        <v/>
      </c>
      <c r="J41" s="35">
        <f>IF($F41="","",IFERROR(INDEX(사건마스터!$H$5:$H$64,MATCH($F41,사건마스터!$A$5:$A$64,0)),""))</f>
        <v/>
      </c>
      <c r="K41" s="35">
        <f>IF($F41="","",IFERROR(INDEX(사건마스터!$AH$5:$AH$64,MATCH($F41,사건마스터!$A$5:$A$64,0)),""))</f>
        <v/>
      </c>
      <c r="L41" s="35">
        <f>IF($F41="","",IFERROR(INDEX(사건마스터!$AI$5:$AI$64,MATCH($F41,사건마스터!$A$5:$A$64,0)),""))</f>
        <v/>
      </c>
      <c r="M41" s="35">
        <f>IF($F41="","",IFERROR(INDEX(사건마스터!$AJ$5:$AJ$64,MATCH($F41,사건마스터!$A$5:$A$64,0)),""))</f>
        <v/>
      </c>
      <c r="N41" s="35">
        <f>IF($F41="","",IFERROR(INDEX(사건마스터!$AK$5:$AK$64,MATCH($F41,사건마스터!$A$5:$A$64,0)),""))</f>
        <v/>
      </c>
      <c r="O41" s="35">
        <f>IF($F41="","",IFERROR(INDEX(사건마스터!$AL$5:$AL$64,MATCH($F41,사건마스터!$A$5:$A$64,0)),""))</f>
        <v/>
      </c>
      <c r="P41" s="35">
        <f>IF($F41="","",IFERROR(INDEX(사건마스터!$AM$5:$AM$64,MATCH($F41,사건마스터!$A$5:$A$64,0)),""))</f>
        <v/>
      </c>
      <c r="Q41" s="35">
        <f>IF($F41="","",IFERROR(INDEX(사건마스터!$AN$5:$AN$64,MATCH($F41,사건마스터!$A$5:$A$64,0)),""))</f>
        <v/>
      </c>
      <c r="R41" s="35">
        <f>IF($F41="","",IFERROR(INDEX(사건마스터!$AO$5:$AO$64,MATCH($F41,사건마스터!$A$5:$A$64,0)),""))</f>
        <v/>
      </c>
      <c r="S41" s="35">
        <f>IF($F41="","",IFERROR(INDEX(사건마스터!$AP$5:$AP$64,MATCH($F41,사건마스터!$A$5:$A$64,0)),""))</f>
        <v/>
      </c>
      <c r="T41" s="35">
        <f>IF($F41="","",IFERROR(INDEX(사건마스터!$AQ$5:$AQ$64,MATCH($F41,사건마스터!$A$5:$A$64,0)),""))</f>
        <v/>
      </c>
      <c r="U41" s="35">
        <f>IF($F41="","",IFERROR(INDEX(사건마스터!$AR$5:$AR$64,MATCH($F41,사건마스터!$A$5:$A$64,0)),""))</f>
        <v/>
      </c>
      <c r="V41" s="35">
        <f>IF($F41="","",IFERROR(INDEX(사건마스터!$AS$5:$AS$64,MATCH($F41,사건마스터!$A$5:$A$64,0)),""))</f>
        <v/>
      </c>
      <c r="W41" s="35">
        <f>IF($F41="","",IFERROR(INDEX(사건마스터!$AT$5:$AT$64,MATCH($F41,사건마스터!$A$5:$A$64,0)),""))</f>
        <v/>
      </c>
      <c r="X41" s="35">
        <f>IF($F41="","",IFERROR(INDEX(사건마스터!$AU$5:$AU$64,MATCH($F41,사건마스터!$A$5:$A$64,0)),""))</f>
        <v/>
      </c>
      <c r="Y41" s="35">
        <f>IF($F41="","",IFERROR(INDEX(사건마스터!$AV$5:$AV$64,MATCH($F41,사건마스터!$A$5:$A$64,0)),""))</f>
        <v/>
      </c>
      <c r="Z41" s="30">
        <f>IF(COUNTBLANK($J41:$Y41)=16,"",16-COUNTBLANK($J41:$Y41))</f>
        <v/>
      </c>
      <c r="AA41" s="33">
        <f>IF($J41="",MID($AX41,3,255),$J41&amp;$AX41)</f>
        <v/>
      </c>
      <c r="AB41" s="34">
        <f>IF($J41="","",IFERROR(INDEX(코드설정!$D$5:$D$24,MATCH($J41,코드설정!$C$5:$C$24,0)),""))</f>
        <v/>
      </c>
      <c r="AC41" s="36" t="n"/>
      <c r="AD41" s="37" t="n"/>
      <c r="AE41" s="38" t="n"/>
      <c r="AF41" s="30">
        <f>IF(OR($B41="",$C41=""),"",$C41-$B41+1)</f>
        <v/>
      </c>
      <c r="AG41" s="32" t="n"/>
      <c r="AH41" s="36" t="n"/>
      <c r="AJ41">
        <f>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  <c r="AX41">
        <f>AW41&amp;IF($Y41="","",", "&amp;$Y41)</f>
        <v/>
      </c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0">
        <f>IF($F42="","",COUNTIF($F$5:$F42,$F42))</f>
        <v/>
      </c>
      <c r="H42" s="33">
        <f>IF($F42="","",IFERROR(INDEX(사건마스터!$B$5:$B$64,MATCH($F42,사건마스터!$A$5:$A$64,0)),""))</f>
        <v/>
      </c>
      <c r="I42" s="34">
        <f>IF($F42="","",IFERROR(INDEX(사건마스터!$C$5:$C$64,MATCH($F42,사건마스터!$A$5:$A$64,0)),""))</f>
        <v/>
      </c>
      <c r="J42" s="35">
        <f>IF($F42="","",IFERROR(INDEX(사건마스터!$H$5:$H$64,MATCH($F42,사건마스터!$A$5:$A$64,0)),""))</f>
        <v/>
      </c>
      <c r="K42" s="35">
        <f>IF($F42="","",IFERROR(INDEX(사건마스터!$AH$5:$AH$64,MATCH($F42,사건마스터!$A$5:$A$64,0)),""))</f>
        <v/>
      </c>
      <c r="L42" s="35">
        <f>IF($F42="","",IFERROR(INDEX(사건마스터!$AI$5:$AI$64,MATCH($F42,사건마스터!$A$5:$A$64,0)),""))</f>
        <v/>
      </c>
      <c r="M42" s="35">
        <f>IF($F42="","",IFERROR(INDEX(사건마스터!$AJ$5:$AJ$64,MATCH($F42,사건마스터!$A$5:$A$64,0)),""))</f>
        <v/>
      </c>
      <c r="N42" s="35">
        <f>IF($F42="","",IFERROR(INDEX(사건마스터!$AK$5:$AK$64,MATCH($F42,사건마스터!$A$5:$A$64,0)),""))</f>
        <v/>
      </c>
      <c r="O42" s="35">
        <f>IF($F42="","",IFERROR(INDEX(사건마스터!$AL$5:$AL$64,MATCH($F42,사건마스터!$A$5:$A$64,0)),""))</f>
        <v/>
      </c>
      <c r="P42" s="35">
        <f>IF($F42="","",IFERROR(INDEX(사건마스터!$AM$5:$AM$64,MATCH($F42,사건마스터!$A$5:$A$64,0)),""))</f>
        <v/>
      </c>
      <c r="Q42" s="35">
        <f>IF($F42="","",IFERROR(INDEX(사건마스터!$AN$5:$AN$64,MATCH($F42,사건마스터!$A$5:$A$64,0)),""))</f>
        <v/>
      </c>
      <c r="R42" s="35">
        <f>IF($F42="","",IFERROR(INDEX(사건마스터!$AO$5:$AO$64,MATCH($F42,사건마스터!$A$5:$A$64,0)),""))</f>
        <v/>
      </c>
      <c r="S42" s="35">
        <f>IF($F42="","",IFERROR(INDEX(사건마스터!$AP$5:$AP$64,MATCH($F42,사건마스터!$A$5:$A$64,0)),""))</f>
        <v/>
      </c>
      <c r="T42" s="35">
        <f>IF($F42="","",IFERROR(INDEX(사건마스터!$AQ$5:$AQ$64,MATCH($F42,사건마스터!$A$5:$A$64,0)),""))</f>
        <v/>
      </c>
      <c r="U42" s="35">
        <f>IF($F42="","",IFERROR(INDEX(사건마스터!$AR$5:$AR$64,MATCH($F42,사건마스터!$A$5:$A$64,0)),""))</f>
        <v/>
      </c>
      <c r="V42" s="35">
        <f>IF($F42="","",IFERROR(INDEX(사건마스터!$AS$5:$AS$64,MATCH($F42,사건마스터!$A$5:$A$64,0)),""))</f>
        <v/>
      </c>
      <c r="W42" s="35">
        <f>IF($F42="","",IFERROR(INDEX(사건마스터!$AT$5:$AT$64,MATCH($F42,사건마스터!$A$5:$A$64,0)),""))</f>
        <v/>
      </c>
      <c r="X42" s="35">
        <f>IF($F42="","",IFERROR(INDEX(사건마스터!$AU$5:$AU$64,MATCH($F42,사건마스터!$A$5:$A$64,0)),""))</f>
        <v/>
      </c>
      <c r="Y42" s="35">
        <f>IF($F42="","",IFERROR(INDEX(사건마스터!$AV$5:$AV$64,MATCH($F42,사건마스터!$A$5:$A$64,0)),""))</f>
        <v/>
      </c>
      <c r="Z42" s="30">
        <f>IF(COUNTBLANK($J42:$Y42)=16,"",16-COUNTBLANK($J42:$Y42))</f>
        <v/>
      </c>
      <c r="AA42" s="33">
        <f>IF($J42="",MID($AX42,3,255),$J42&amp;$AX42)</f>
        <v/>
      </c>
      <c r="AB42" s="34">
        <f>IF($J42="","",IFERROR(INDEX(코드설정!$D$5:$D$24,MATCH($J42,코드설정!$C$5:$C$24,0)),""))</f>
        <v/>
      </c>
      <c r="AC42" s="36" t="n"/>
      <c r="AD42" s="37" t="n"/>
      <c r="AE42" s="38" t="n"/>
      <c r="AF42" s="30">
        <f>IF(OR($B42="",$C42=""),"",$C42-$B42+1)</f>
        <v/>
      </c>
      <c r="AG42" s="32" t="n"/>
      <c r="AH42" s="36" t="n"/>
      <c r="AJ42">
        <f>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  <c r="AX42">
        <f>AW42&amp;IF($Y42="","",", "&amp;$Y42)</f>
        <v/>
      </c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0">
        <f>IF($F43="","",COUNTIF($F$5:$F43,$F43))</f>
        <v/>
      </c>
      <c r="H43" s="33">
        <f>IF($F43="","",IFERROR(INDEX(사건마스터!$B$5:$B$64,MATCH($F43,사건마스터!$A$5:$A$64,0)),""))</f>
        <v/>
      </c>
      <c r="I43" s="34">
        <f>IF($F43="","",IFERROR(INDEX(사건마스터!$C$5:$C$64,MATCH($F43,사건마스터!$A$5:$A$64,0)),""))</f>
        <v/>
      </c>
      <c r="J43" s="35">
        <f>IF($F43="","",IFERROR(INDEX(사건마스터!$H$5:$H$64,MATCH($F43,사건마스터!$A$5:$A$64,0)),""))</f>
        <v/>
      </c>
      <c r="K43" s="35">
        <f>IF($F43="","",IFERROR(INDEX(사건마스터!$AH$5:$AH$64,MATCH($F43,사건마스터!$A$5:$A$64,0)),""))</f>
        <v/>
      </c>
      <c r="L43" s="35">
        <f>IF($F43="","",IFERROR(INDEX(사건마스터!$AI$5:$AI$64,MATCH($F43,사건마스터!$A$5:$A$64,0)),""))</f>
        <v/>
      </c>
      <c r="M43" s="35">
        <f>IF($F43="","",IFERROR(INDEX(사건마스터!$AJ$5:$AJ$64,MATCH($F43,사건마스터!$A$5:$A$64,0)),""))</f>
        <v/>
      </c>
      <c r="N43" s="35">
        <f>IF($F43="","",IFERROR(INDEX(사건마스터!$AK$5:$AK$64,MATCH($F43,사건마스터!$A$5:$A$64,0)),""))</f>
        <v/>
      </c>
      <c r="O43" s="35">
        <f>IF($F43="","",IFERROR(INDEX(사건마스터!$AL$5:$AL$64,MATCH($F43,사건마스터!$A$5:$A$64,0)),""))</f>
        <v/>
      </c>
      <c r="P43" s="35">
        <f>IF($F43="","",IFERROR(INDEX(사건마스터!$AM$5:$AM$64,MATCH($F43,사건마스터!$A$5:$A$64,0)),""))</f>
        <v/>
      </c>
      <c r="Q43" s="35">
        <f>IF($F43="","",IFERROR(INDEX(사건마스터!$AN$5:$AN$64,MATCH($F43,사건마스터!$A$5:$A$64,0)),""))</f>
        <v/>
      </c>
      <c r="R43" s="35">
        <f>IF($F43="","",IFERROR(INDEX(사건마스터!$AO$5:$AO$64,MATCH($F43,사건마스터!$A$5:$A$64,0)),""))</f>
        <v/>
      </c>
      <c r="S43" s="35">
        <f>IF($F43="","",IFERROR(INDEX(사건마스터!$AP$5:$AP$64,MATCH($F43,사건마스터!$A$5:$A$64,0)),""))</f>
        <v/>
      </c>
      <c r="T43" s="35">
        <f>IF($F43="","",IFERROR(INDEX(사건마스터!$AQ$5:$AQ$64,MATCH($F43,사건마스터!$A$5:$A$64,0)),""))</f>
        <v/>
      </c>
      <c r="U43" s="35">
        <f>IF($F43="","",IFERROR(INDEX(사건마스터!$AR$5:$AR$64,MATCH($F43,사건마스터!$A$5:$A$64,0)),""))</f>
        <v/>
      </c>
      <c r="V43" s="35">
        <f>IF($F43="","",IFERROR(INDEX(사건마스터!$AS$5:$AS$64,MATCH($F43,사건마스터!$A$5:$A$64,0)),""))</f>
        <v/>
      </c>
      <c r="W43" s="35">
        <f>IF($F43="","",IFERROR(INDEX(사건마스터!$AT$5:$AT$64,MATCH($F43,사건마스터!$A$5:$A$64,0)),""))</f>
        <v/>
      </c>
      <c r="X43" s="35">
        <f>IF($F43="","",IFERROR(INDEX(사건마스터!$AU$5:$AU$64,MATCH($F43,사건마스터!$A$5:$A$64,0)),""))</f>
        <v/>
      </c>
      <c r="Y43" s="35">
        <f>IF($F43="","",IFERROR(INDEX(사건마스터!$AV$5:$AV$64,MATCH($F43,사건마스터!$A$5:$A$64,0)),""))</f>
        <v/>
      </c>
      <c r="Z43" s="30">
        <f>IF(COUNTBLANK($J43:$Y43)=16,"",16-COUNTBLANK($J43:$Y43))</f>
        <v/>
      </c>
      <c r="AA43" s="33">
        <f>IF($J43="",MID($AX43,3,255),$J43&amp;$AX43)</f>
        <v/>
      </c>
      <c r="AB43" s="34">
        <f>IF($J43="","",IFERROR(INDEX(코드설정!$D$5:$D$24,MATCH($J43,코드설정!$C$5:$C$24,0)),""))</f>
        <v/>
      </c>
      <c r="AC43" s="36" t="n"/>
      <c r="AD43" s="37" t="n"/>
      <c r="AE43" s="38" t="n"/>
      <c r="AF43" s="30">
        <f>IF(OR($B43="",$C43=""),"",$C43-$B43+1)</f>
        <v/>
      </c>
      <c r="AG43" s="32" t="n"/>
      <c r="AH43" s="36" t="n"/>
      <c r="AJ43">
        <f>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  <c r="AX43">
        <f>AW43&amp;IF($Y43="","",", "&amp;$Y43)</f>
        <v/>
      </c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0">
        <f>IF($F44="","",COUNTIF($F$5:$F44,$F44))</f>
        <v/>
      </c>
      <c r="H44" s="33">
        <f>IF($F44="","",IFERROR(INDEX(사건마스터!$B$5:$B$64,MATCH($F44,사건마스터!$A$5:$A$64,0)),""))</f>
        <v/>
      </c>
      <c r="I44" s="34">
        <f>IF($F44="","",IFERROR(INDEX(사건마스터!$C$5:$C$64,MATCH($F44,사건마스터!$A$5:$A$64,0)),""))</f>
        <v/>
      </c>
      <c r="J44" s="35">
        <f>IF($F44="","",IFERROR(INDEX(사건마스터!$H$5:$H$64,MATCH($F44,사건마스터!$A$5:$A$64,0)),""))</f>
        <v/>
      </c>
      <c r="K44" s="35">
        <f>IF($F44="","",IFERROR(INDEX(사건마스터!$AH$5:$AH$64,MATCH($F44,사건마스터!$A$5:$A$64,0)),""))</f>
        <v/>
      </c>
      <c r="L44" s="35">
        <f>IF($F44="","",IFERROR(INDEX(사건마스터!$AI$5:$AI$64,MATCH($F44,사건마스터!$A$5:$A$64,0)),""))</f>
        <v/>
      </c>
      <c r="M44" s="35">
        <f>IF($F44="","",IFERROR(INDEX(사건마스터!$AJ$5:$AJ$64,MATCH($F44,사건마스터!$A$5:$A$64,0)),""))</f>
        <v/>
      </c>
      <c r="N44" s="35">
        <f>IF($F44="","",IFERROR(INDEX(사건마스터!$AK$5:$AK$64,MATCH($F44,사건마스터!$A$5:$A$64,0)),""))</f>
        <v/>
      </c>
      <c r="O44" s="35">
        <f>IF($F44="","",IFERROR(INDEX(사건마스터!$AL$5:$AL$64,MATCH($F44,사건마스터!$A$5:$A$64,0)),""))</f>
        <v/>
      </c>
      <c r="P44" s="35">
        <f>IF($F44="","",IFERROR(INDEX(사건마스터!$AM$5:$AM$64,MATCH($F44,사건마스터!$A$5:$A$64,0)),""))</f>
        <v/>
      </c>
      <c r="Q44" s="35">
        <f>IF($F44="","",IFERROR(INDEX(사건마스터!$AN$5:$AN$64,MATCH($F44,사건마스터!$A$5:$A$64,0)),""))</f>
        <v/>
      </c>
      <c r="R44" s="35">
        <f>IF($F44="","",IFERROR(INDEX(사건마스터!$AO$5:$AO$64,MATCH($F44,사건마스터!$A$5:$A$64,0)),""))</f>
        <v/>
      </c>
      <c r="S44" s="35">
        <f>IF($F44="","",IFERROR(INDEX(사건마스터!$AP$5:$AP$64,MATCH($F44,사건마스터!$A$5:$A$64,0)),""))</f>
        <v/>
      </c>
      <c r="T44" s="35">
        <f>IF($F44="","",IFERROR(INDEX(사건마스터!$AQ$5:$AQ$64,MATCH($F44,사건마스터!$A$5:$A$64,0)),""))</f>
        <v/>
      </c>
      <c r="U44" s="35">
        <f>IF($F44="","",IFERROR(INDEX(사건마스터!$AR$5:$AR$64,MATCH($F44,사건마스터!$A$5:$A$64,0)),""))</f>
        <v/>
      </c>
      <c r="V44" s="35">
        <f>IF($F44="","",IFERROR(INDEX(사건마스터!$AS$5:$AS$64,MATCH($F44,사건마스터!$A$5:$A$64,0)),""))</f>
        <v/>
      </c>
      <c r="W44" s="35">
        <f>IF($F44="","",IFERROR(INDEX(사건마스터!$AT$5:$AT$64,MATCH($F44,사건마스터!$A$5:$A$64,0)),""))</f>
        <v/>
      </c>
      <c r="X44" s="35">
        <f>IF($F44="","",IFERROR(INDEX(사건마스터!$AU$5:$AU$64,MATCH($F44,사건마스터!$A$5:$A$64,0)),""))</f>
        <v/>
      </c>
      <c r="Y44" s="35">
        <f>IF($F44="","",IFERROR(INDEX(사건마스터!$AV$5:$AV$64,MATCH($F44,사건마스터!$A$5:$A$64,0)),""))</f>
        <v/>
      </c>
      <c r="Z44" s="30">
        <f>IF(COUNTBLANK($J44:$Y44)=16,"",16-COUNTBLANK($J44:$Y44))</f>
        <v/>
      </c>
      <c r="AA44" s="33">
        <f>IF($J44="",MID($AX44,3,255),$J44&amp;$AX44)</f>
        <v/>
      </c>
      <c r="AB44" s="34">
        <f>IF($J44="","",IFERROR(INDEX(코드설정!$D$5:$D$24,MATCH($J44,코드설정!$C$5:$C$24,0)),""))</f>
        <v/>
      </c>
      <c r="AC44" s="36" t="n"/>
      <c r="AD44" s="37" t="n"/>
      <c r="AE44" s="38" t="n"/>
      <c r="AF44" s="30">
        <f>IF(OR($B44="",$C44=""),"",$C44-$B44+1)</f>
        <v/>
      </c>
      <c r="AG44" s="32" t="n"/>
      <c r="AH44" s="36" t="n"/>
      <c r="AJ44">
        <f>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  <c r="AX44">
        <f>AW44&amp;IF($Y44="","",", "&amp;$Y44)</f>
        <v/>
      </c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0">
        <f>IF($F45="","",COUNTIF($F$5:$F45,$F45))</f>
        <v/>
      </c>
      <c r="H45" s="33">
        <f>IF($F45="","",IFERROR(INDEX(사건마스터!$B$5:$B$64,MATCH($F45,사건마스터!$A$5:$A$64,0)),""))</f>
        <v/>
      </c>
      <c r="I45" s="34">
        <f>IF($F45="","",IFERROR(INDEX(사건마스터!$C$5:$C$64,MATCH($F45,사건마스터!$A$5:$A$64,0)),""))</f>
        <v/>
      </c>
      <c r="J45" s="35">
        <f>IF($F45="","",IFERROR(INDEX(사건마스터!$H$5:$H$64,MATCH($F45,사건마스터!$A$5:$A$64,0)),""))</f>
        <v/>
      </c>
      <c r="K45" s="35">
        <f>IF($F45="","",IFERROR(INDEX(사건마스터!$AH$5:$AH$64,MATCH($F45,사건마스터!$A$5:$A$64,0)),""))</f>
        <v/>
      </c>
      <c r="L45" s="35">
        <f>IF($F45="","",IFERROR(INDEX(사건마스터!$AI$5:$AI$64,MATCH($F45,사건마스터!$A$5:$A$64,0)),""))</f>
        <v/>
      </c>
      <c r="M45" s="35">
        <f>IF($F45="","",IFERROR(INDEX(사건마스터!$AJ$5:$AJ$64,MATCH($F45,사건마스터!$A$5:$A$64,0)),""))</f>
        <v/>
      </c>
      <c r="N45" s="35">
        <f>IF($F45="","",IFERROR(INDEX(사건마스터!$AK$5:$AK$64,MATCH($F45,사건마스터!$A$5:$A$64,0)),""))</f>
        <v/>
      </c>
      <c r="O45" s="35">
        <f>IF($F45="","",IFERROR(INDEX(사건마스터!$AL$5:$AL$64,MATCH($F45,사건마스터!$A$5:$A$64,0)),""))</f>
        <v/>
      </c>
      <c r="P45" s="35">
        <f>IF($F45="","",IFERROR(INDEX(사건마스터!$AM$5:$AM$64,MATCH($F45,사건마스터!$A$5:$A$64,0)),""))</f>
        <v/>
      </c>
      <c r="Q45" s="35">
        <f>IF($F45="","",IFERROR(INDEX(사건마스터!$AN$5:$AN$64,MATCH($F45,사건마스터!$A$5:$A$64,0)),""))</f>
        <v/>
      </c>
      <c r="R45" s="35">
        <f>IF($F45="","",IFERROR(INDEX(사건마스터!$AO$5:$AO$64,MATCH($F45,사건마스터!$A$5:$A$64,0)),""))</f>
        <v/>
      </c>
      <c r="S45" s="35">
        <f>IF($F45="","",IFERROR(INDEX(사건마스터!$AP$5:$AP$64,MATCH($F45,사건마스터!$A$5:$A$64,0)),""))</f>
        <v/>
      </c>
      <c r="T45" s="35">
        <f>IF($F45="","",IFERROR(INDEX(사건마스터!$AQ$5:$AQ$64,MATCH($F45,사건마스터!$A$5:$A$64,0)),""))</f>
        <v/>
      </c>
      <c r="U45" s="35">
        <f>IF($F45="","",IFERROR(INDEX(사건마스터!$AR$5:$AR$64,MATCH($F45,사건마스터!$A$5:$A$64,0)),""))</f>
        <v/>
      </c>
      <c r="V45" s="35">
        <f>IF($F45="","",IFERROR(INDEX(사건마스터!$AS$5:$AS$64,MATCH($F45,사건마스터!$A$5:$A$64,0)),""))</f>
        <v/>
      </c>
      <c r="W45" s="35">
        <f>IF($F45="","",IFERROR(INDEX(사건마스터!$AT$5:$AT$64,MATCH($F45,사건마스터!$A$5:$A$64,0)),""))</f>
        <v/>
      </c>
      <c r="X45" s="35">
        <f>IF($F45="","",IFERROR(INDEX(사건마스터!$AU$5:$AU$64,MATCH($F45,사건마스터!$A$5:$A$64,0)),""))</f>
        <v/>
      </c>
      <c r="Y45" s="35">
        <f>IF($F45="","",IFERROR(INDEX(사건마스터!$AV$5:$AV$64,MATCH($F45,사건마스터!$A$5:$A$64,0)),""))</f>
        <v/>
      </c>
      <c r="Z45" s="30">
        <f>IF(COUNTBLANK($J45:$Y45)=16,"",16-COUNTBLANK($J45:$Y45))</f>
        <v/>
      </c>
      <c r="AA45" s="33">
        <f>IF($J45="",MID($AX45,3,255),$J45&amp;$AX45)</f>
        <v/>
      </c>
      <c r="AB45" s="34">
        <f>IF($J45="","",IFERROR(INDEX(코드설정!$D$5:$D$24,MATCH($J45,코드설정!$C$5:$C$24,0)),""))</f>
        <v/>
      </c>
      <c r="AC45" s="36" t="n"/>
      <c r="AD45" s="37" t="n"/>
      <c r="AE45" s="38" t="n"/>
      <c r="AF45" s="30">
        <f>IF(OR($B45="",$C45=""),"",$C45-$B45+1)</f>
        <v/>
      </c>
      <c r="AG45" s="32" t="n"/>
      <c r="AH45" s="36" t="n"/>
      <c r="AJ45">
        <f>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  <c r="AX45">
        <f>AW45&amp;IF($Y45="","",", "&amp;$Y45)</f>
        <v/>
      </c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0">
        <f>IF($F46="","",COUNTIF($F$5:$F46,$F46))</f>
        <v/>
      </c>
      <c r="H46" s="33">
        <f>IF($F46="","",IFERROR(INDEX(사건마스터!$B$5:$B$64,MATCH($F46,사건마스터!$A$5:$A$64,0)),""))</f>
        <v/>
      </c>
      <c r="I46" s="34">
        <f>IF($F46="","",IFERROR(INDEX(사건마스터!$C$5:$C$64,MATCH($F46,사건마스터!$A$5:$A$64,0)),""))</f>
        <v/>
      </c>
      <c r="J46" s="35">
        <f>IF($F46="","",IFERROR(INDEX(사건마스터!$H$5:$H$64,MATCH($F46,사건마스터!$A$5:$A$64,0)),""))</f>
        <v/>
      </c>
      <c r="K46" s="35">
        <f>IF($F46="","",IFERROR(INDEX(사건마스터!$AH$5:$AH$64,MATCH($F46,사건마스터!$A$5:$A$64,0)),""))</f>
        <v/>
      </c>
      <c r="L46" s="35">
        <f>IF($F46="","",IFERROR(INDEX(사건마스터!$AI$5:$AI$64,MATCH($F46,사건마스터!$A$5:$A$64,0)),""))</f>
        <v/>
      </c>
      <c r="M46" s="35">
        <f>IF($F46="","",IFERROR(INDEX(사건마스터!$AJ$5:$AJ$64,MATCH($F46,사건마스터!$A$5:$A$64,0)),""))</f>
        <v/>
      </c>
      <c r="N46" s="35">
        <f>IF($F46="","",IFERROR(INDEX(사건마스터!$AK$5:$AK$64,MATCH($F46,사건마스터!$A$5:$A$64,0)),""))</f>
        <v/>
      </c>
      <c r="O46" s="35">
        <f>IF($F46="","",IFERROR(INDEX(사건마스터!$AL$5:$AL$64,MATCH($F46,사건마스터!$A$5:$A$64,0)),""))</f>
        <v/>
      </c>
      <c r="P46" s="35">
        <f>IF($F46="","",IFERROR(INDEX(사건마스터!$AM$5:$AM$64,MATCH($F46,사건마스터!$A$5:$A$64,0)),""))</f>
        <v/>
      </c>
      <c r="Q46" s="35">
        <f>IF($F46="","",IFERROR(INDEX(사건마스터!$AN$5:$AN$64,MATCH($F46,사건마스터!$A$5:$A$64,0)),""))</f>
        <v/>
      </c>
      <c r="R46" s="35">
        <f>IF($F46="","",IFERROR(INDEX(사건마스터!$AO$5:$AO$64,MATCH($F46,사건마스터!$A$5:$A$64,0)),""))</f>
        <v/>
      </c>
      <c r="S46" s="35">
        <f>IF($F46="","",IFERROR(INDEX(사건마스터!$AP$5:$AP$64,MATCH($F46,사건마스터!$A$5:$A$64,0)),""))</f>
        <v/>
      </c>
      <c r="T46" s="35">
        <f>IF($F46="","",IFERROR(INDEX(사건마스터!$AQ$5:$AQ$64,MATCH($F46,사건마스터!$A$5:$A$64,0)),""))</f>
        <v/>
      </c>
      <c r="U46" s="35">
        <f>IF($F46="","",IFERROR(INDEX(사건마스터!$AR$5:$AR$64,MATCH($F46,사건마스터!$A$5:$A$64,0)),""))</f>
        <v/>
      </c>
      <c r="V46" s="35">
        <f>IF($F46="","",IFERROR(INDEX(사건마스터!$AS$5:$AS$64,MATCH($F46,사건마스터!$A$5:$A$64,0)),""))</f>
        <v/>
      </c>
      <c r="W46" s="35">
        <f>IF($F46="","",IFERROR(INDEX(사건마스터!$AT$5:$AT$64,MATCH($F46,사건마스터!$A$5:$A$64,0)),""))</f>
        <v/>
      </c>
      <c r="X46" s="35">
        <f>IF($F46="","",IFERROR(INDEX(사건마스터!$AU$5:$AU$64,MATCH($F46,사건마스터!$A$5:$A$64,0)),""))</f>
        <v/>
      </c>
      <c r="Y46" s="35">
        <f>IF($F46="","",IFERROR(INDEX(사건마스터!$AV$5:$AV$64,MATCH($F46,사건마스터!$A$5:$A$64,0)),""))</f>
        <v/>
      </c>
      <c r="Z46" s="30">
        <f>IF(COUNTBLANK($J46:$Y46)=16,"",16-COUNTBLANK($J46:$Y46))</f>
        <v/>
      </c>
      <c r="AA46" s="33">
        <f>IF($J46="",MID($AX46,3,255),$J46&amp;$AX46)</f>
        <v/>
      </c>
      <c r="AB46" s="34">
        <f>IF($J46="","",IFERROR(INDEX(코드설정!$D$5:$D$24,MATCH($J46,코드설정!$C$5:$C$24,0)),""))</f>
        <v/>
      </c>
      <c r="AC46" s="36" t="n"/>
      <c r="AD46" s="37" t="n"/>
      <c r="AE46" s="38" t="n"/>
      <c r="AF46" s="30">
        <f>IF(OR($B46="",$C46=""),"",$C46-$B46+1)</f>
        <v/>
      </c>
      <c r="AG46" s="32" t="n"/>
      <c r="AH46" s="36" t="n"/>
      <c r="AJ46">
        <f>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  <c r="AX46">
        <f>AW46&amp;IF($Y46="","",", "&amp;$Y46)</f>
        <v/>
      </c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0">
        <f>IF($F47="","",COUNTIF($F$5:$F47,$F47))</f>
        <v/>
      </c>
      <c r="H47" s="33">
        <f>IF($F47="","",IFERROR(INDEX(사건마스터!$B$5:$B$64,MATCH($F47,사건마스터!$A$5:$A$64,0)),""))</f>
        <v/>
      </c>
      <c r="I47" s="34">
        <f>IF($F47="","",IFERROR(INDEX(사건마스터!$C$5:$C$64,MATCH($F47,사건마스터!$A$5:$A$64,0)),""))</f>
        <v/>
      </c>
      <c r="J47" s="35">
        <f>IF($F47="","",IFERROR(INDEX(사건마스터!$H$5:$H$64,MATCH($F47,사건마스터!$A$5:$A$64,0)),""))</f>
        <v/>
      </c>
      <c r="K47" s="35">
        <f>IF($F47="","",IFERROR(INDEX(사건마스터!$AH$5:$AH$64,MATCH($F47,사건마스터!$A$5:$A$64,0)),""))</f>
        <v/>
      </c>
      <c r="L47" s="35">
        <f>IF($F47="","",IFERROR(INDEX(사건마스터!$AI$5:$AI$64,MATCH($F47,사건마스터!$A$5:$A$64,0)),""))</f>
        <v/>
      </c>
      <c r="M47" s="35">
        <f>IF($F47="","",IFERROR(INDEX(사건마스터!$AJ$5:$AJ$64,MATCH($F47,사건마스터!$A$5:$A$64,0)),""))</f>
        <v/>
      </c>
      <c r="N47" s="35">
        <f>IF($F47="","",IFERROR(INDEX(사건마스터!$AK$5:$AK$64,MATCH($F47,사건마스터!$A$5:$A$64,0)),""))</f>
        <v/>
      </c>
      <c r="O47" s="35">
        <f>IF($F47="","",IFERROR(INDEX(사건마스터!$AL$5:$AL$64,MATCH($F47,사건마스터!$A$5:$A$64,0)),""))</f>
        <v/>
      </c>
      <c r="P47" s="35">
        <f>IF($F47="","",IFERROR(INDEX(사건마스터!$AM$5:$AM$64,MATCH($F47,사건마스터!$A$5:$A$64,0)),""))</f>
        <v/>
      </c>
      <c r="Q47" s="35">
        <f>IF($F47="","",IFERROR(INDEX(사건마스터!$AN$5:$AN$64,MATCH($F47,사건마스터!$A$5:$A$64,0)),""))</f>
        <v/>
      </c>
      <c r="R47" s="35">
        <f>IF($F47="","",IFERROR(INDEX(사건마스터!$AO$5:$AO$64,MATCH($F47,사건마스터!$A$5:$A$64,0)),""))</f>
        <v/>
      </c>
      <c r="S47" s="35">
        <f>IF($F47="","",IFERROR(INDEX(사건마스터!$AP$5:$AP$64,MATCH($F47,사건마스터!$A$5:$A$64,0)),""))</f>
        <v/>
      </c>
      <c r="T47" s="35">
        <f>IF($F47="","",IFERROR(INDEX(사건마스터!$AQ$5:$AQ$64,MATCH($F47,사건마스터!$A$5:$A$64,0)),""))</f>
        <v/>
      </c>
      <c r="U47" s="35">
        <f>IF($F47="","",IFERROR(INDEX(사건마스터!$AR$5:$AR$64,MATCH($F47,사건마스터!$A$5:$A$64,0)),""))</f>
        <v/>
      </c>
      <c r="V47" s="35">
        <f>IF($F47="","",IFERROR(INDEX(사건마스터!$AS$5:$AS$64,MATCH($F47,사건마스터!$A$5:$A$64,0)),""))</f>
        <v/>
      </c>
      <c r="W47" s="35">
        <f>IF($F47="","",IFERROR(INDEX(사건마스터!$AT$5:$AT$64,MATCH($F47,사건마스터!$A$5:$A$64,0)),""))</f>
        <v/>
      </c>
      <c r="X47" s="35">
        <f>IF($F47="","",IFERROR(INDEX(사건마스터!$AU$5:$AU$64,MATCH($F47,사건마스터!$A$5:$A$64,0)),""))</f>
        <v/>
      </c>
      <c r="Y47" s="35">
        <f>IF($F47="","",IFERROR(INDEX(사건마스터!$AV$5:$AV$64,MATCH($F47,사건마스터!$A$5:$A$64,0)),""))</f>
        <v/>
      </c>
      <c r="Z47" s="30">
        <f>IF(COUNTBLANK($J47:$Y47)=16,"",16-COUNTBLANK($J47:$Y47))</f>
        <v/>
      </c>
      <c r="AA47" s="33">
        <f>IF($J47="",MID($AX47,3,255),$J47&amp;$AX47)</f>
        <v/>
      </c>
      <c r="AB47" s="34">
        <f>IF($J47="","",IFERROR(INDEX(코드설정!$D$5:$D$24,MATCH($J47,코드설정!$C$5:$C$24,0)),""))</f>
        <v/>
      </c>
      <c r="AC47" s="36" t="n"/>
      <c r="AD47" s="37" t="n"/>
      <c r="AE47" s="38" t="n"/>
      <c r="AF47" s="30">
        <f>IF(OR($B47="",$C47=""),"",$C47-$B47+1)</f>
        <v/>
      </c>
      <c r="AG47" s="32" t="n"/>
      <c r="AH47" s="36" t="n"/>
      <c r="AJ47">
        <f>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  <c r="AX47">
        <f>AW47&amp;IF($Y47="","",", "&amp;$Y47)</f>
        <v/>
      </c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0">
        <f>IF($F48="","",COUNTIF($F$5:$F48,$F48))</f>
        <v/>
      </c>
      <c r="H48" s="33">
        <f>IF($F48="","",IFERROR(INDEX(사건마스터!$B$5:$B$64,MATCH($F48,사건마스터!$A$5:$A$64,0)),""))</f>
        <v/>
      </c>
      <c r="I48" s="34">
        <f>IF($F48="","",IFERROR(INDEX(사건마스터!$C$5:$C$64,MATCH($F48,사건마스터!$A$5:$A$64,0)),""))</f>
        <v/>
      </c>
      <c r="J48" s="35">
        <f>IF($F48="","",IFERROR(INDEX(사건마스터!$H$5:$H$64,MATCH($F48,사건마스터!$A$5:$A$64,0)),""))</f>
        <v/>
      </c>
      <c r="K48" s="35">
        <f>IF($F48="","",IFERROR(INDEX(사건마스터!$AH$5:$AH$64,MATCH($F48,사건마스터!$A$5:$A$64,0)),""))</f>
        <v/>
      </c>
      <c r="L48" s="35">
        <f>IF($F48="","",IFERROR(INDEX(사건마스터!$AI$5:$AI$64,MATCH($F48,사건마스터!$A$5:$A$64,0)),""))</f>
        <v/>
      </c>
      <c r="M48" s="35">
        <f>IF($F48="","",IFERROR(INDEX(사건마스터!$AJ$5:$AJ$64,MATCH($F48,사건마스터!$A$5:$A$64,0)),""))</f>
        <v/>
      </c>
      <c r="N48" s="35">
        <f>IF($F48="","",IFERROR(INDEX(사건마스터!$AK$5:$AK$64,MATCH($F48,사건마스터!$A$5:$A$64,0)),""))</f>
        <v/>
      </c>
      <c r="O48" s="35">
        <f>IF($F48="","",IFERROR(INDEX(사건마스터!$AL$5:$AL$64,MATCH($F48,사건마스터!$A$5:$A$64,0)),""))</f>
        <v/>
      </c>
      <c r="P48" s="35">
        <f>IF($F48="","",IFERROR(INDEX(사건마스터!$AM$5:$AM$64,MATCH($F48,사건마스터!$A$5:$A$64,0)),""))</f>
        <v/>
      </c>
      <c r="Q48" s="35">
        <f>IF($F48="","",IFERROR(INDEX(사건마스터!$AN$5:$AN$64,MATCH($F48,사건마스터!$A$5:$A$64,0)),""))</f>
        <v/>
      </c>
      <c r="R48" s="35">
        <f>IF($F48="","",IFERROR(INDEX(사건마스터!$AO$5:$AO$64,MATCH($F48,사건마스터!$A$5:$A$64,0)),""))</f>
        <v/>
      </c>
      <c r="S48" s="35">
        <f>IF($F48="","",IFERROR(INDEX(사건마스터!$AP$5:$AP$64,MATCH($F48,사건마스터!$A$5:$A$64,0)),""))</f>
        <v/>
      </c>
      <c r="T48" s="35">
        <f>IF($F48="","",IFERROR(INDEX(사건마스터!$AQ$5:$AQ$64,MATCH($F48,사건마스터!$A$5:$A$64,0)),""))</f>
        <v/>
      </c>
      <c r="U48" s="35">
        <f>IF($F48="","",IFERROR(INDEX(사건마스터!$AR$5:$AR$64,MATCH($F48,사건마스터!$A$5:$A$64,0)),""))</f>
        <v/>
      </c>
      <c r="V48" s="35">
        <f>IF($F48="","",IFERROR(INDEX(사건마스터!$AS$5:$AS$64,MATCH($F48,사건마스터!$A$5:$A$64,0)),""))</f>
        <v/>
      </c>
      <c r="W48" s="35">
        <f>IF($F48="","",IFERROR(INDEX(사건마스터!$AT$5:$AT$64,MATCH($F48,사건마스터!$A$5:$A$64,0)),""))</f>
        <v/>
      </c>
      <c r="X48" s="35">
        <f>IF($F48="","",IFERROR(INDEX(사건마스터!$AU$5:$AU$64,MATCH($F48,사건마스터!$A$5:$A$64,0)),""))</f>
        <v/>
      </c>
      <c r="Y48" s="35">
        <f>IF($F48="","",IFERROR(INDEX(사건마스터!$AV$5:$AV$64,MATCH($F48,사건마스터!$A$5:$A$64,0)),""))</f>
        <v/>
      </c>
      <c r="Z48" s="30">
        <f>IF(COUNTBLANK($J48:$Y48)=16,"",16-COUNTBLANK($J48:$Y48))</f>
        <v/>
      </c>
      <c r="AA48" s="33">
        <f>IF($J48="",MID($AX48,3,255),$J48&amp;$AX48)</f>
        <v/>
      </c>
      <c r="AB48" s="34">
        <f>IF($J48="","",IFERROR(INDEX(코드설정!$D$5:$D$24,MATCH($J48,코드설정!$C$5:$C$24,0)),""))</f>
        <v/>
      </c>
      <c r="AC48" s="36" t="n"/>
      <c r="AD48" s="37" t="n"/>
      <c r="AE48" s="38" t="n"/>
      <c r="AF48" s="30">
        <f>IF(OR($B48="",$C48=""),"",$C48-$B48+1)</f>
        <v/>
      </c>
      <c r="AG48" s="32" t="n"/>
      <c r="AH48" s="36" t="n"/>
      <c r="AJ48">
        <f>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  <c r="AX48">
        <f>AW48&amp;IF($Y48="","",", "&amp;$Y48)</f>
        <v/>
      </c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0">
        <f>IF($F49="","",COUNTIF($F$5:$F49,$F49))</f>
        <v/>
      </c>
      <c r="H49" s="33">
        <f>IF($F49="","",IFERROR(INDEX(사건마스터!$B$5:$B$64,MATCH($F49,사건마스터!$A$5:$A$64,0)),""))</f>
        <v/>
      </c>
      <c r="I49" s="34">
        <f>IF($F49="","",IFERROR(INDEX(사건마스터!$C$5:$C$64,MATCH($F49,사건마스터!$A$5:$A$64,0)),""))</f>
        <v/>
      </c>
      <c r="J49" s="35">
        <f>IF($F49="","",IFERROR(INDEX(사건마스터!$H$5:$H$64,MATCH($F49,사건마스터!$A$5:$A$64,0)),""))</f>
        <v/>
      </c>
      <c r="K49" s="35">
        <f>IF($F49="","",IFERROR(INDEX(사건마스터!$AH$5:$AH$64,MATCH($F49,사건마스터!$A$5:$A$64,0)),""))</f>
        <v/>
      </c>
      <c r="L49" s="35">
        <f>IF($F49="","",IFERROR(INDEX(사건마스터!$AI$5:$AI$64,MATCH($F49,사건마스터!$A$5:$A$64,0)),""))</f>
        <v/>
      </c>
      <c r="M49" s="35">
        <f>IF($F49="","",IFERROR(INDEX(사건마스터!$AJ$5:$AJ$64,MATCH($F49,사건마스터!$A$5:$A$64,0)),""))</f>
        <v/>
      </c>
      <c r="N49" s="35">
        <f>IF($F49="","",IFERROR(INDEX(사건마스터!$AK$5:$AK$64,MATCH($F49,사건마스터!$A$5:$A$64,0)),""))</f>
        <v/>
      </c>
      <c r="O49" s="35">
        <f>IF($F49="","",IFERROR(INDEX(사건마스터!$AL$5:$AL$64,MATCH($F49,사건마스터!$A$5:$A$64,0)),""))</f>
        <v/>
      </c>
      <c r="P49" s="35">
        <f>IF($F49="","",IFERROR(INDEX(사건마스터!$AM$5:$AM$64,MATCH($F49,사건마스터!$A$5:$A$64,0)),""))</f>
        <v/>
      </c>
      <c r="Q49" s="35">
        <f>IF($F49="","",IFERROR(INDEX(사건마스터!$AN$5:$AN$64,MATCH($F49,사건마스터!$A$5:$A$64,0)),""))</f>
        <v/>
      </c>
      <c r="R49" s="35">
        <f>IF($F49="","",IFERROR(INDEX(사건마스터!$AO$5:$AO$64,MATCH($F49,사건마스터!$A$5:$A$64,0)),""))</f>
        <v/>
      </c>
      <c r="S49" s="35">
        <f>IF($F49="","",IFERROR(INDEX(사건마스터!$AP$5:$AP$64,MATCH($F49,사건마스터!$A$5:$A$64,0)),""))</f>
        <v/>
      </c>
      <c r="T49" s="35">
        <f>IF($F49="","",IFERROR(INDEX(사건마스터!$AQ$5:$AQ$64,MATCH($F49,사건마스터!$A$5:$A$64,0)),""))</f>
        <v/>
      </c>
      <c r="U49" s="35">
        <f>IF($F49="","",IFERROR(INDEX(사건마스터!$AR$5:$AR$64,MATCH($F49,사건마스터!$A$5:$A$64,0)),""))</f>
        <v/>
      </c>
      <c r="V49" s="35">
        <f>IF($F49="","",IFERROR(INDEX(사건마스터!$AS$5:$AS$64,MATCH($F49,사건마스터!$A$5:$A$64,0)),""))</f>
        <v/>
      </c>
      <c r="W49" s="35">
        <f>IF($F49="","",IFERROR(INDEX(사건마스터!$AT$5:$AT$64,MATCH($F49,사건마스터!$A$5:$A$64,0)),""))</f>
        <v/>
      </c>
      <c r="X49" s="35">
        <f>IF($F49="","",IFERROR(INDEX(사건마스터!$AU$5:$AU$64,MATCH($F49,사건마스터!$A$5:$A$64,0)),""))</f>
        <v/>
      </c>
      <c r="Y49" s="35">
        <f>IF($F49="","",IFERROR(INDEX(사건마스터!$AV$5:$AV$64,MATCH($F49,사건마스터!$A$5:$A$64,0)),""))</f>
        <v/>
      </c>
      <c r="Z49" s="30">
        <f>IF(COUNTBLANK($J49:$Y49)=16,"",16-COUNTBLANK($J49:$Y49))</f>
        <v/>
      </c>
      <c r="AA49" s="33">
        <f>IF($J49="",MID($AX49,3,255),$J49&amp;$AX49)</f>
        <v/>
      </c>
      <c r="AB49" s="34">
        <f>IF($J49="","",IFERROR(INDEX(코드설정!$D$5:$D$24,MATCH($J49,코드설정!$C$5:$C$24,0)),""))</f>
        <v/>
      </c>
      <c r="AC49" s="36" t="n"/>
      <c r="AD49" s="37" t="n"/>
      <c r="AE49" s="38" t="n"/>
      <c r="AF49" s="30">
        <f>IF(OR($B49="",$C49=""),"",$C49-$B49+1)</f>
        <v/>
      </c>
      <c r="AG49" s="32" t="n"/>
      <c r="AH49" s="36" t="n"/>
      <c r="AJ49">
        <f>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  <c r="AX49">
        <f>AW49&amp;IF($Y49="","",", "&amp;$Y49)</f>
        <v/>
      </c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0">
        <f>IF($F50="","",COUNTIF($F$5:$F50,$F50))</f>
        <v/>
      </c>
      <c r="H50" s="33">
        <f>IF($F50="","",IFERROR(INDEX(사건마스터!$B$5:$B$64,MATCH($F50,사건마스터!$A$5:$A$64,0)),""))</f>
        <v/>
      </c>
      <c r="I50" s="34">
        <f>IF($F50="","",IFERROR(INDEX(사건마스터!$C$5:$C$64,MATCH($F50,사건마스터!$A$5:$A$64,0)),""))</f>
        <v/>
      </c>
      <c r="J50" s="35">
        <f>IF($F50="","",IFERROR(INDEX(사건마스터!$H$5:$H$64,MATCH($F50,사건마스터!$A$5:$A$64,0)),""))</f>
        <v/>
      </c>
      <c r="K50" s="35">
        <f>IF($F50="","",IFERROR(INDEX(사건마스터!$AH$5:$AH$64,MATCH($F50,사건마스터!$A$5:$A$64,0)),""))</f>
        <v/>
      </c>
      <c r="L50" s="35">
        <f>IF($F50="","",IFERROR(INDEX(사건마스터!$AI$5:$AI$64,MATCH($F50,사건마스터!$A$5:$A$64,0)),""))</f>
        <v/>
      </c>
      <c r="M50" s="35">
        <f>IF($F50="","",IFERROR(INDEX(사건마스터!$AJ$5:$AJ$64,MATCH($F50,사건마스터!$A$5:$A$64,0)),""))</f>
        <v/>
      </c>
      <c r="N50" s="35">
        <f>IF($F50="","",IFERROR(INDEX(사건마스터!$AK$5:$AK$64,MATCH($F50,사건마스터!$A$5:$A$64,0)),""))</f>
        <v/>
      </c>
      <c r="O50" s="35">
        <f>IF($F50="","",IFERROR(INDEX(사건마스터!$AL$5:$AL$64,MATCH($F50,사건마스터!$A$5:$A$64,0)),""))</f>
        <v/>
      </c>
      <c r="P50" s="35">
        <f>IF($F50="","",IFERROR(INDEX(사건마스터!$AM$5:$AM$64,MATCH($F50,사건마스터!$A$5:$A$64,0)),""))</f>
        <v/>
      </c>
      <c r="Q50" s="35">
        <f>IF($F50="","",IFERROR(INDEX(사건마스터!$AN$5:$AN$64,MATCH($F50,사건마스터!$A$5:$A$64,0)),""))</f>
        <v/>
      </c>
      <c r="R50" s="35">
        <f>IF($F50="","",IFERROR(INDEX(사건마스터!$AO$5:$AO$64,MATCH($F50,사건마스터!$A$5:$A$64,0)),""))</f>
        <v/>
      </c>
      <c r="S50" s="35">
        <f>IF($F50="","",IFERROR(INDEX(사건마스터!$AP$5:$AP$64,MATCH($F50,사건마스터!$A$5:$A$64,0)),""))</f>
        <v/>
      </c>
      <c r="T50" s="35">
        <f>IF($F50="","",IFERROR(INDEX(사건마스터!$AQ$5:$AQ$64,MATCH($F50,사건마스터!$A$5:$A$64,0)),""))</f>
        <v/>
      </c>
      <c r="U50" s="35">
        <f>IF($F50="","",IFERROR(INDEX(사건마스터!$AR$5:$AR$64,MATCH($F50,사건마스터!$A$5:$A$64,0)),""))</f>
        <v/>
      </c>
      <c r="V50" s="35">
        <f>IF($F50="","",IFERROR(INDEX(사건마스터!$AS$5:$AS$64,MATCH($F50,사건마스터!$A$5:$A$64,0)),""))</f>
        <v/>
      </c>
      <c r="W50" s="35">
        <f>IF($F50="","",IFERROR(INDEX(사건마스터!$AT$5:$AT$64,MATCH($F50,사건마스터!$A$5:$A$64,0)),""))</f>
        <v/>
      </c>
      <c r="X50" s="35">
        <f>IF($F50="","",IFERROR(INDEX(사건마스터!$AU$5:$AU$64,MATCH($F50,사건마스터!$A$5:$A$64,0)),""))</f>
        <v/>
      </c>
      <c r="Y50" s="35">
        <f>IF($F50="","",IFERROR(INDEX(사건마스터!$AV$5:$AV$64,MATCH($F50,사건마스터!$A$5:$A$64,0)),""))</f>
        <v/>
      </c>
      <c r="Z50" s="30">
        <f>IF(COUNTBLANK($J50:$Y50)=16,"",16-COUNTBLANK($J50:$Y50))</f>
        <v/>
      </c>
      <c r="AA50" s="33">
        <f>IF($J50="",MID($AX50,3,255),$J50&amp;$AX50)</f>
        <v/>
      </c>
      <c r="AB50" s="34">
        <f>IF($J50="","",IFERROR(INDEX(코드설정!$D$5:$D$24,MATCH($J50,코드설정!$C$5:$C$24,0)),""))</f>
        <v/>
      </c>
      <c r="AC50" s="36" t="n"/>
      <c r="AD50" s="37" t="n"/>
      <c r="AE50" s="38" t="n"/>
      <c r="AF50" s="30">
        <f>IF(OR($B50="",$C50=""),"",$C50-$B50+1)</f>
        <v/>
      </c>
      <c r="AG50" s="32" t="n"/>
      <c r="AH50" s="36" t="n"/>
      <c r="AJ50">
        <f>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  <c r="AX50">
        <f>AW50&amp;IF($Y50="","",", "&amp;$Y50)</f>
        <v/>
      </c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0">
        <f>IF($F51="","",COUNTIF($F$5:$F51,$F51))</f>
        <v/>
      </c>
      <c r="H51" s="33">
        <f>IF($F51="","",IFERROR(INDEX(사건마스터!$B$5:$B$64,MATCH($F51,사건마스터!$A$5:$A$64,0)),""))</f>
        <v/>
      </c>
      <c r="I51" s="34">
        <f>IF($F51="","",IFERROR(INDEX(사건마스터!$C$5:$C$64,MATCH($F51,사건마스터!$A$5:$A$64,0)),""))</f>
        <v/>
      </c>
      <c r="J51" s="35">
        <f>IF($F51="","",IFERROR(INDEX(사건마스터!$H$5:$H$64,MATCH($F51,사건마스터!$A$5:$A$64,0)),""))</f>
        <v/>
      </c>
      <c r="K51" s="35">
        <f>IF($F51="","",IFERROR(INDEX(사건마스터!$AH$5:$AH$64,MATCH($F51,사건마스터!$A$5:$A$64,0)),""))</f>
        <v/>
      </c>
      <c r="L51" s="35">
        <f>IF($F51="","",IFERROR(INDEX(사건마스터!$AI$5:$AI$64,MATCH($F51,사건마스터!$A$5:$A$64,0)),""))</f>
        <v/>
      </c>
      <c r="M51" s="35">
        <f>IF($F51="","",IFERROR(INDEX(사건마스터!$AJ$5:$AJ$64,MATCH($F51,사건마스터!$A$5:$A$64,0)),""))</f>
        <v/>
      </c>
      <c r="N51" s="35">
        <f>IF($F51="","",IFERROR(INDEX(사건마스터!$AK$5:$AK$64,MATCH($F51,사건마스터!$A$5:$A$64,0)),""))</f>
        <v/>
      </c>
      <c r="O51" s="35">
        <f>IF($F51="","",IFERROR(INDEX(사건마스터!$AL$5:$AL$64,MATCH($F51,사건마스터!$A$5:$A$64,0)),""))</f>
        <v/>
      </c>
      <c r="P51" s="35">
        <f>IF($F51="","",IFERROR(INDEX(사건마스터!$AM$5:$AM$64,MATCH($F51,사건마스터!$A$5:$A$64,0)),""))</f>
        <v/>
      </c>
      <c r="Q51" s="35">
        <f>IF($F51="","",IFERROR(INDEX(사건마스터!$AN$5:$AN$64,MATCH($F51,사건마스터!$A$5:$A$64,0)),""))</f>
        <v/>
      </c>
      <c r="R51" s="35">
        <f>IF($F51="","",IFERROR(INDEX(사건마스터!$AO$5:$AO$64,MATCH($F51,사건마스터!$A$5:$A$64,0)),""))</f>
        <v/>
      </c>
      <c r="S51" s="35">
        <f>IF($F51="","",IFERROR(INDEX(사건마스터!$AP$5:$AP$64,MATCH($F51,사건마스터!$A$5:$A$64,0)),""))</f>
        <v/>
      </c>
      <c r="T51" s="35">
        <f>IF($F51="","",IFERROR(INDEX(사건마스터!$AQ$5:$AQ$64,MATCH($F51,사건마스터!$A$5:$A$64,0)),""))</f>
        <v/>
      </c>
      <c r="U51" s="35">
        <f>IF($F51="","",IFERROR(INDEX(사건마스터!$AR$5:$AR$64,MATCH($F51,사건마스터!$A$5:$A$64,0)),""))</f>
        <v/>
      </c>
      <c r="V51" s="35">
        <f>IF($F51="","",IFERROR(INDEX(사건마스터!$AS$5:$AS$64,MATCH($F51,사건마스터!$A$5:$A$64,0)),""))</f>
        <v/>
      </c>
      <c r="W51" s="35">
        <f>IF($F51="","",IFERROR(INDEX(사건마스터!$AT$5:$AT$64,MATCH($F51,사건마스터!$A$5:$A$64,0)),""))</f>
        <v/>
      </c>
      <c r="X51" s="35">
        <f>IF($F51="","",IFERROR(INDEX(사건마스터!$AU$5:$AU$64,MATCH($F51,사건마스터!$A$5:$A$64,0)),""))</f>
        <v/>
      </c>
      <c r="Y51" s="35">
        <f>IF($F51="","",IFERROR(INDEX(사건마스터!$AV$5:$AV$64,MATCH($F51,사건마스터!$A$5:$A$64,0)),""))</f>
        <v/>
      </c>
      <c r="Z51" s="30">
        <f>IF(COUNTBLANK($J51:$Y51)=16,"",16-COUNTBLANK($J51:$Y51))</f>
        <v/>
      </c>
      <c r="AA51" s="33">
        <f>IF($J51="",MID($AX51,3,255),$J51&amp;$AX51)</f>
        <v/>
      </c>
      <c r="AB51" s="34">
        <f>IF($J51="","",IFERROR(INDEX(코드설정!$D$5:$D$24,MATCH($J51,코드설정!$C$5:$C$24,0)),""))</f>
        <v/>
      </c>
      <c r="AC51" s="36" t="n"/>
      <c r="AD51" s="37" t="n"/>
      <c r="AE51" s="38" t="n"/>
      <c r="AF51" s="30">
        <f>IF(OR($B51="",$C51=""),"",$C51-$B51+1)</f>
        <v/>
      </c>
      <c r="AG51" s="32" t="n"/>
      <c r="AH51" s="36" t="n"/>
      <c r="AJ51">
        <f>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  <c r="AX51">
        <f>AW51&amp;IF($Y51="","",", "&amp;$Y51)</f>
        <v/>
      </c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0">
        <f>IF($F52="","",COUNTIF($F$5:$F52,$F52))</f>
        <v/>
      </c>
      <c r="H52" s="33">
        <f>IF($F52="","",IFERROR(INDEX(사건마스터!$B$5:$B$64,MATCH($F52,사건마스터!$A$5:$A$64,0)),""))</f>
        <v/>
      </c>
      <c r="I52" s="34">
        <f>IF($F52="","",IFERROR(INDEX(사건마스터!$C$5:$C$64,MATCH($F52,사건마스터!$A$5:$A$64,0)),""))</f>
        <v/>
      </c>
      <c r="J52" s="35">
        <f>IF($F52="","",IFERROR(INDEX(사건마스터!$H$5:$H$64,MATCH($F52,사건마스터!$A$5:$A$64,0)),""))</f>
        <v/>
      </c>
      <c r="K52" s="35">
        <f>IF($F52="","",IFERROR(INDEX(사건마스터!$AH$5:$AH$64,MATCH($F52,사건마스터!$A$5:$A$64,0)),""))</f>
        <v/>
      </c>
      <c r="L52" s="35">
        <f>IF($F52="","",IFERROR(INDEX(사건마스터!$AI$5:$AI$64,MATCH($F52,사건마스터!$A$5:$A$64,0)),""))</f>
        <v/>
      </c>
      <c r="M52" s="35">
        <f>IF($F52="","",IFERROR(INDEX(사건마스터!$AJ$5:$AJ$64,MATCH($F52,사건마스터!$A$5:$A$64,0)),""))</f>
        <v/>
      </c>
      <c r="N52" s="35">
        <f>IF($F52="","",IFERROR(INDEX(사건마스터!$AK$5:$AK$64,MATCH($F52,사건마스터!$A$5:$A$64,0)),""))</f>
        <v/>
      </c>
      <c r="O52" s="35">
        <f>IF($F52="","",IFERROR(INDEX(사건마스터!$AL$5:$AL$64,MATCH($F52,사건마스터!$A$5:$A$64,0)),""))</f>
        <v/>
      </c>
      <c r="P52" s="35">
        <f>IF($F52="","",IFERROR(INDEX(사건마스터!$AM$5:$AM$64,MATCH($F52,사건마스터!$A$5:$A$64,0)),""))</f>
        <v/>
      </c>
      <c r="Q52" s="35">
        <f>IF($F52="","",IFERROR(INDEX(사건마스터!$AN$5:$AN$64,MATCH($F52,사건마스터!$A$5:$A$64,0)),""))</f>
        <v/>
      </c>
      <c r="R52" s="35">
        <f>IF($F52="","",IFERROR(INDEX(사건마스터!$AO$5:$AO$64,MATCH($F52,사건마스터!$A$5:$A$64,0)),""))</f>
        <v/>
      </c>
      <c r="S52" s="35">
        <f>IF($F52="","",IFERROR(INDEX(사건마스터!$AP$5:$AP$64,MATCH($F52,사건마스터!$A$5:$A$64,0)),""))</f>
        <v/>
      </c>
      <c r="T52" s="35">
        <f>IF($F52="","",IFERROR(INDEX(사건마스터!$AQ$5:$AQ$64,MATCH($F52,사건마스터!$A$5:$A$64,0)),""))</f>
        <v/>
      </c>
      <c r="U52" s="35">
        <f>IF($F52="","",IFERROR(INDEX(사건마스터!$AR$5:$AR$64,MATCH($F52,사건마스터!$A$5:$A$64,0)),""))</f>
        <v/>
      </c>
      <c r="V52" s="35">
        <f>IF($F52="","",IFERROR(INDEX(사건마스터!$AS$5:$AS$64,MATCH($F52,사건마스터!$A$5:$A$64,0)),""))</f>
        <v/>
      </c>
      <c r="W52" s="35">
        <f>IF($F52="","",IFERROR(INDEX(사건마스터!$AT$5:$AT$64,MATCH($F52,사건마스터!$A$5:$A$64,0)),""))</f>
        <v/>
      </c>
      <c r="X52" s="35">
        <f>IF($F52="","",IFERROR(INDEX(사건마스터!$AU$5:$AU$64,MATCH($F52,사건마스터!$A$5:$A$64,0)),""))</f>
        <v/>
      </c>
      <c r="Y52" s="35">
        <f>IF($F52="","",IFERROR(INDEX(사건마스터!$AV$5:$AV$64,MATCH($F52,사건마스터!$A$5:$A$64,0)),""))</f>
        <v/>
      </c>
      <c r="Z52" s="30">
        <f>IF(COUNTBLANK($J52:$Y52)=16,"",16-COUNTBLANK($J52:$Y52))</f>
        <v/>
      </c>
      <c r="AA52" s="33">
        <f>IF($J52="",MID($AX52,3,255),$J52&amp;$AX52)</f>
        <v/>
      </c>
      <c r="AB52" s="34">
        <f>IF($J52="","",IFERROR(INDEX(코드설정!$D$5:$D$24,MATCH($J52,코드설정!$C$5:$C$24,0)),""))</f>
        <v/>
      </c>
      <c r="AC52" s="36" t="n"/>
      <c r="AD52" s="37" t="n"/>
      <c r="AE52" s="38" t="n"/>
      <c r="AF52" s="30">
        <f>IF(OR($B52="",$C52=""),"",$C52-$B52+1)</f>
        <v/>
      </c>
      <c r="AG52" s="32" t="n"/>
      <c r="AH52" s="36" t="n"/>
      <c r="AJ52">
        <f>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  <c r="AX52">
        <f>AW52&amp;IF($Y52="","",", "&amp;$Y52)</f>
        <v/>
      </c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0">
        <f>IF($F53="","",COUNTIF($F$5:$F53,$F53))</f>
        <v/>
      </c>
      <c r="H53" s="33">
        <f>IF($F53="","",IFERROR(INDEX(사건마스터!$B$5:$B$64,MATCH($F53,사건마스터!$A$5:$A$64,0)),""))</f>
        <v/>
      </c>
      <c r="I53" s="34">
        <f>IF($F53="","",IFERROR(INDEX(사건마스터!$C$5:$C$64,MATCH($F53,사건마스터!$A$5:$A$64,0)),""))</f>
        <v/>
      </c>
      <c r="J53" s="35">
        <f>IF($F53="","",IFERROR(INDEX(사건마스터!$H$5:$H$64,MATCH($F53,사건마스터!$A$5:$A$64,0)),""))</f>
        <v/>
      </c>
      <c r="K53" s="35">
        <f>IF($F53="","",IFERROR(INDEX(사건마스터!$AH$5:$AH$64,MATCH($F53,사건마스터!$A$5:$A$64,0)),""))</f>
        <v/>
      </c>
      <c r="L53" s="35">
        <f>IF($F53="","",IFERROR(INDEX(사건마스터!$AI$5:$AI$64,MATCH($F53,사건마스터!$A$5:$A$64,0)),""))</f>
        <v/>
      </c>
      <c r="M53" s="35">
        <f>IF($F53="","",IFERROR(INDEX(사건마스터!$AJ$5:$AJ$64,MATCH($F53,사건마스터!$A$5:$A$64,0)),""))</f>
        <v/>
      </c>
      <c r="N53" s="35">
        <f>IF($F53="","",IFERROR(INDEX(사건마스터!$AK$5:$AK$64,MATCH($F53,사건마스터!$A$5:$A$64,0)),""))</f>
        <v/>
      </c>
      <c r="O53" s="35">
        <f>IF($F53="","",IFERROR(INDEX(사건마스터!$AL$5:$AL$64,MATCH($F53,사건마스터!$A$5:$A$64,0)),""))</f>
        <v/>
      </c>
      <c r="P53" s="35">
        <f>IF($F53="","",IFERROR(INDEX(사건마스터!$AM$5:$AM$64,MATCH($F53,사건마스터!$A$5:$A$64,0)),""))</f>
        <v/>
      </c>
      <c r="Q53" s="35">
        <f>IF($F53="","",IFERROR(INDEX(사건마스터!$AN$5:$AN$64,MATCH($F53,사건마스터!$A$5:$A$64,0)),""))</f>
        <v/>
      </c>
      <c r="R53" s="35">
        <f>IF($F53="","",IFERROR(INDEX(사건마스터!$AO$5:$AO$64,MATCH($F53,사건마스터!$A$5:$A$64,0)),""))</f>
        <v/>
      </c>
      <c r="S53" s="35">
        <f>IF($F53="","",IFERROR(INDEX(사건마스터!$AP$5:$AP$64,MATCH($F53,사건마스터!$A$5:$A$64,0)),""))</f>
        <v/>
      </c>
      <c r="T53" s="35">
        <f>IF($F53="","",IFERROR(INDEX(사건마스터!$AQ$5:$AQ$64,MATCH($F53,사건마스터!$A$5:$A$64,0)),""))</f>
        <v/>
      </c>
      <c r="U53" s="35">
        <f>IF($F53="","",IFERROR(INDEX(사건마스터!$AR$5:$AR$64,MATCH($F53,사건마스터!$A$5:$A$64,0)),""))</f>
        <v/>
      </c>
      <c r="V53" s="35">
        <f>IF($F53="","",IFERROR(INDEX(사건마스터!$AS$5:$AS$64,MATCH($F53,사건마스터!$A$5:$A$64,0)),""))</f>
        <v/>
      </c>
      <c r="W53" s="35">
        <f>IF($F53="","",IFERROR(INDEX(사건마스터!$AT$5:$AT$64,MATCH($F53,사건마스터!$A$5:$A$64,0)),""))</f>
        <v/>
      </c>
      <c r="X53" s="35">
        <f>IF($F53="","",IFERROR(INDEX(사건마스터!$AU$5:$AU$64,MATCH($F53,사건마스터!$A$5:$A$64,0)),""))</f>
        <v/>
      </c>
      <c r="Y53" s="35">
        <f>IF($F53="","",IFERROR(INDEX(사건마스터!$AV$5:$AV$64,MATCH($F53,사건마스터!$A$5:$A$64,0)),""))</f>
        <v/>
      </c>
      <c r="Z53" s="30">
        <f>IF(COUNTBLANK($J53:$Y53)=16,"",16-COUNTBLANK($J53:$Y53))</f>
        <v/>
      </c>
      <c r="AA53" s="33">
        <f>IF($J53="",MID($AX53,3,255),$J53&amp;$AX53)</f>
        <v/>
      </c>
      <c r="AB53" s="34">
        <f>IF($J53="","",IFERROR(INDEX(코드설정!$D$5:$D$24,MATCH($J53,코드설정!$C$5:$C$24,0)),""))</f>
        <v/>
      </c>
      <c r="AC53" s="36" t="n"/>
      <c r="AD53" s="37" t="n"/>
      <c r="AE53" s="38" t="n"/>
      <c r="AF53" s="30">
        <f>IF(OR($B53="",$C53=""),"",$C53-$B53+1)</f>
        <v/>
      </c>
      <c r="AG53" s="32" t="n"/>
      <c r="AH53" s="36" t="n"/>
      <c r="AJ53">
        <f>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  <c r="AX53">
        <f>AW53&amp;IF($Y53="","",", "&amp;$Y53)</f>
        <v/>
      </c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0">
        <f>IF($F54="","",COUNTIF($F$5:$F54,$F54))</f>
        <v/>
      </c>
      <c r="H54" s="33">
        <f>IF($F54="","",IFERROR(INDEX(사건마스터!$B$5:$B$64,MATCH($F54,사건마스터!$A$5:$A$64,0)),""))</f>
        <v/>
      </c>
      <c r="I54" s="34">
        <f>IF($F54="","",IFERROR(INDEX(사건마스터!$C$5:$C$64,MATCH($F54,사건마스터!$A$5:$A$64,0)),""))</f>
        <v/>
      </c>
      <c r="J54" s="35">
        <f>IF($F54="","",IFERROR(INDEX(사건마스터!$H$5:$H$64,MATCH($F54,사건마스터!$A$5:$A$64,0)),""))</f>
        <v/>
      </c>
      <c r="K54" s="35">
        <f>IF($F54="","",IFERROR(INDEX(사건마스터!$AH$5:$AH$64,MATCH($F54,사건마스터!$A$5:$A$64,0)),""))</f>
        <v/>
      </c>
      <c r="L54" s="35">
        <f>IF($F54="","",IFERROR(INDEX(사건마스터!$AI$5:$AI$64,MATCH($F54,사건마스터!$A$5:$A$64,0)),""))</f>
        <v/>
      </c>
      <c r="M54" s="35">
        <f>IF($F54="","",IFERROR(INDEX(사건마스터!$AJ$5:$AJ$64,MATCH($F54,사건마스터!$A$5:$A$64,0)),""))</f>
        <v/>
      </c>
      <c r="N54" s="35">
        <f>IF($F54="","",IFERROR(INDEX(사건마스터!$AK$5:$AK$64,MATCH($F54,사건마스터!$A$5:$A$64,0)),""))</f>
        <v/>
      </c>
      <c r="O54" s="35">
        <f>IF($F54="","",IFERROR(INDEX(사건마스터!$AL$5:$AL$64,MATCH($F54,사건마스터!$A$5:$A$64,0)),""))</f>
        <v/>
      </c>
      <c r="P54" s="35">
        <f>IF($F54="","",IFERROR(INDEX(사건마스터!$AM$5:$AM$64,MATCH($F54,사건마스터!$A$5:$A$64,0)),""))</f>
        <v/>
      </c>
      <c r="Q54" s="35">
        <f>IF($F54="","",IFERROR(INDEX(사건마스터!$AN$5:$AN$64,MATCH($F54,사건마스터!$A$5:$A$64,0)),""))</f>
        <v/>
      </c>
      <c r="R54" s="35">
        <f>IF($F54="","",IFERROR(INDEX(사건마스터!$AO$5:$AO$64,MATCH($F54,사건마스터!$A$5:$A$64,0)),""))</f>
        <v/>
      </c>
      <c r="S54" s="35">
        <f>IF($F54="","",IFERROR(INDEX(사건마스터!$AP$5:$AP$64,MATCH($F54,사건마스터!$A$5:$A$64,0)),""))</f>
        <v/>
      </c>
      <c r="T54" s="35">
        <f>IF($F54="","",IFERROR(INDEX(사건마스터!$AQ$5:$AQ$64,MATCH($F54,사건마스터!$A$5:$A$64,0)),""))</f>
        <v/>
      </c>
      <c r="U54" s="35">
        <f>IF($F54="","",IFERROR(INDEX(사건마스터!$AR$5:$AR$64,MATCH($F54,사건마스터!$A$5:$A$64,0)),""))</f>
        <v/>
      </c>
      <c r="V54" s="35">
        <f>IF($F54="","",IFERROR(INDEX(사건마스터!$AS$5:$AS$64,MATCH($F54,사건마스터!$A$5:$A$64,0)),""))</f>
        <v/>
      </c>
      <c r="W54" s="35">
        <f>IF($F54="","",IFERROR(INDEX(사건마스터!$AT$5:$AT$64,MATCH($F54,사건마스터!$A$5:$A$64,0)),""))</f>
        <v/>
      </c>
      <c r="X54" s="35">
        <f>IF($F54="","",IFERROR(INDEX(사건마스터!$AU$5:$AU$64,MATCH($F54,사건마스터!$A$5:$A$64,0)),""))</f>
        <v/>
      </c>
      <c r="Y54" s="35">
        <f>IF($F54="","",IFERROR(INDEX(사건마스터!$AV$5:$AV$64,MATCH($F54,사건마스터!$A$5:$A$64,0)),""))</f>
        <v/>
      </c>
      <c r="Z54" s="30">
        <f>IF(COUNTBLANK($J54:$Y54)=16,"",16-COUNTBLANK($J54:$Y54))</f>
        <v/>
      </c>
      <c r="AA54" s="33">
        <f>IF($J54="",MID($AX54,3,255),$J54&amp;$AX54)</f>
        <v/>
      </c>
      <c r="AB54" s="34">
        <f>IF($J54="","",IFERROR(INDEX(코드설정!$D$5:$D$24,MATCH($J54,코드설정!$C$5:$C$24,0)),""))</f>
        <v/>
      </c>
      <c r="AC54" s="36" t="n"/>
      <c r="AD54" s="37" t="n"/>
      <c r="AE54" s="38" t="n"/>
      <c r="AF54" s="30">
        <f>IF(OR($B54="",$C54=""),"",$C54-$B54+1)</f>
        <v/>
      </c>
      <c r="AG54" s="32" t="n"/>
      <c r="AH54" s="36" t="n"/>
      <c r="AJ54">
        <f>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  <c r="AX54">
        <f>AW54&amp;IF($Y54="","",", "&amp;$Y54)</f>
        <v/>
      </c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0">
        <f>IF($F55="","",COUNTIF($F$5:$F55,$F55))</f>
        <v/>
      </c>
      <c r="H55" s="33">
        <f>IF($F55="","",IFERROR(INDEX(사건마스터!$B$5:$B$64,MATCH($F55,사건마스터!$A$5:$A$64,0)),""))</f>
        <v/>
      </c>
      <c r="I55" s="34">
        <f>IF($F55="","",IFERROR(INDEX(사건마스터!$C$5:$C$64,MATCH($F55,사건마스터!$A$5:$A$64,0)),""))</f>
        <v/>
      </c>
      <c r="J55" s="35">
        <f>IF($F55="","",IFERROR(INDEX(사건마스터!$H$5:$H$64,MATCH($F55,사건마스터!$A$5:$A$64,0)),""))</f>
        <v/>
      </c>
      <c r="K55" s="35">
        <f>IF($F55="","",IFERROR(INDEX(사건마스터!$AH$5:$AH$64,MATCH($F55,사건마스터!$A$5:$A$64,0)),""))</f>
        <v/>
      </c>
      <c r="L55" s="35">
        <f>IF($F55="","",IFERROR(INDEX(사건마스터!$AI$5:$AI$64,MATCH($F55,사건마스터!$A$5:$A$64,0)),""))</f>
        <v/>
      </c>
      <c r="M55" s="35">
        <f>IF($F55="","",IFERROR(INDEX(사건마스터!$AJ$5:$AJ$64,MATCH($F55,사건마스터!$A$5:$A$64,0)),""))</f>
        <v/>
      </c>
      <c r="N55" s="35">
        <f>IF($F55="","",IFERROR(INDEX(사건마스터!$AK$5:$AK$64,MATCH($F55,사건마스터!$A$5:$A$64,0)),""))</f>
        <v/>
      </c>
      <c r="O55" s="35">
        <f>IF($F55="","",IFERROR(INDEX(사건마스터!$AL$5:$AL$64,MATCH($F55,사건마스터!$A$5:$A$64,0)),""))</f>
        <v/>
      </c>
      <c r="P55" s="35">
        <f>IF($F55="","",IFERROR(INDEX(사건마스터!$AM$5:$AM$64,MATCH($F55,사건마스터!$A$5:$A$64,0)),""))</f>
        <v/>
      </c>
      <c r="Q55" s="35">
        <f>IF($F55="","",IFERROR(INDEX(사건마스터!$AN$5:$AN$64,MATCH($F55,사건마스터!$A$5:$A$64,0)),""))</f>
        <v/>
      </c>
      <c r="R55" s="35">
        <f>IF($F55="","",IFERROR(INDEX(사건마스터!$AO$5:$AO$64,MATCH($F55,사건마스터!$A$5:$A$64,0)),""))</f>
        <v/>
      </c>
      <c r="S55" s="35">
        <f>IF($F55="","",IFERROR(INDEX(사건마스터!$AP$5:$AP$64,MATCH($F55,사건마스터!$A$5:$A$64,0)),""))</f>
        <v/>
      </c>
      <c r="T55" s="35">
        <f>IF($F55="","",IFERROR(INDEX(사건마스터!$AQ$5:$AQ$64,MATCH($F55,사건마스터!$A$5:$A$64,0)),""))</f>
        <v/>
      </c>
      <c r="U55" s="35">
        <f>IF($F55="","",IFERROR(INDEX(사건마스터!$AR$5:$AR$64,MATCH($F55,사건마스터!$A$5:$A$64,0)),""))</f>
        <v/>
      </c>
      <c r="V55" s="35">
        <f>IF($F55="","",IFERROR(INDEX(사건마스터!$AS$5:$AS$64,MATCH($F55,사건마스터!$A$5:$A$64,0)),""))</f>
        <v/>
      </c>
      <c r="W55" s="35">
        <f>IF($F55="","",IFERROR(INDEX(사건마스터!$AT$5:$AT$64,MATCH($F55,사건마스터!$A$5:$A$64,0)),""))</f>
        <v/>
      </c>
      <c r="X55" s="35">
        <f>IF($F55="","",IFERROR(INDEX(사건마스터!$AU$5:$AU$64,MATCH($F55,사건마스터!$A$5:$A$64,0)),""))</f>
        <v/>
      </c>
      <c r="Y55" s="35">
        <f>IF($F55="","",IFERROR(INDEX(사건마스터!$AV$5:$AV$64,MATCH($F55,사건마스터!$A$5:$A$64,0)),""))</f>
        <v/>
      </c>
      <c r="Z55" s="30">
        <f>IF(COUNTBLANK($J55:$Y55)=16,"",16-COUNTBLANK($J55:$Y55))</f>
        <v/>
      </c>
      <c r="AA55" s="33">
        <f>IF($J55="",MID($AX55,3,255),$J55&amp;$AX55)</f>
        <v/>
      </c>
      <c r="AB55" s="34">
        <f>IF($J55="","",IFERROR(INDEX(코드설정!$D$5:$D$24,MATCH($J55,코드설정!$C$5:$C$24,0)),""))</f>
        <v/>
      </c>
      <c r="AC55" s="36" t="n"/>
      <c r="AD55" s="37" t="n"/>
      <c r="AE55" s="38" t="n"/>
      <c r="AF55" s="30">
        <f>IF(OR($B55="",$C55=""),"",$C55-$B55+1)</f>
        <v/>
      </c>
      <c r="AG55" s="32" t="n"/>
      <c r="AH55" s="36" t="n"/>
      <c r="AJ55">
        <f>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  <c r="AX55">
        <f>AW55&amp;IF($Y55="","",", "&amp;$Y55)</f>
        <v/>
      </c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0">
        <f>IF($F56="","",COUNTIF($F$5:$F56,$F56))</f>
        <v/>
      </c>
      <c r="H56" s="33">
        <f>IF($F56="","",IFERROR(INDEX(사건마스터!$B$5:$B$64,MATCH($F56,사건마스터!$A$5:$A$64,0)),""))</f>
        <v/>
      </c>
      <c r="I56" s="34">
        <f>IF($F56="","",IFERROR(INDEX(사건마스터!$C$5:$C$64,MATCH($F56,사건마스터!$A$5:$A$64,0)),""))</f>
        <v/>
      </c>
      <c r="J56" s="35">
        <f>IF($F56="","",IFERROR(INDEX(사건마스터!$H$5:$H$64,MATCH($F56,사건마스터!$A$5:$A$64,0)),""))</f>
        <v/>
      </c>
      <c r="K56" s="35">
        <f>IF($F56="","",IFERROR(INDEX(사건마스터!$AH$5:$AH$64,MATCH($F56,사건마스터!$A$5:$A$64,0)),""))</f>
        <v/>
      </c>
      <c r="L56" s="35">
        <f>IF($F56="","",IFERROR(INDEX(사건마스터!$AI$5:$AI$64,MATCH($F56,사건마스터!$A$5:$A$64,0)),""))</f>
        <v/>
      </c>
      <c r="M56" s="35">
        <f>IF($F56="","",IFERROR(INDEX(사건마스터!$AJ$5:$AJ$64,MATCH($F56,사건마스터!$A$5:$A$64,0)),""))</f>
        <v/>
      </c>
      <c r="N56" s="35">
        <f>IF($F56="","",IFERROR(INDEX(사건마스터!$AK$5:$AK$64,MATCH($F56,사건마스터!$A$5:$A$64,0)),""))</f>
        <v/>
      </c>
      <c r="O56" s="35">
        <f>IF($F56="","",IFERROR(INDEX(사건마스터!$AL$5:$AL$64,MATCH($F56,사건마스터!$A$5:$A$64,0)),""))</f>
        <v/>
      </c>
      <c r="P56" s="35">
        <f>IF($F56="","",IFERROR(INDEX(사건마스터!$AM$5:$AM$64,MATCH($F56,사건마스터!$A$5:$A$64,0)),""))</f>
        <v/>
      </c>
      <c r="Q56" s="35">
        <f>IF($F56="","",IFERROR(INDEX(사건마스터!$AN$5:$AN$64,MATCH($F56,사건마스터!$A$5:$A$64,0)),""))</f>
        <v/>
      </c>
      <c r="R56" s="35">
        <f>IF($F56="","",IFERROR(INDEX(사건마스터!$AO$5:$AO$64,MATCH($F56,사건마스터!$A$5:$A$64,0)),""))</f>
        <v/>
      </c>
      <c r="S56" s="35">
        <f>IF($F56="","",IFERROR(INDEX(사건마스터!$AP$5:$AP$64,MATCH($F56,사건마스터!$A$5:$A$64,0)),""))</f>
        <v/>
      </c>
      <c r="T56" s="35">
        <f>IF($F56="","",IFERROR(INDEX(사건마스터!$AQ$5:$AQ$64,MATCH($F56,사건마스터!$A$5:$A$64,0)),""))</f>
        <v/>
      </c>
      <c r="U56" s="35">
        <f>IF($F56="","",IFERROR(INDEX(사건마스터!$AR$5:$AR$64,MATCH($F56,사건마스터!$A$5:$A$64,0)),""))</f>
        <v/>
      </c>
      <c r="V56" s="35">
        <f>IF($F56="","",IFERROR(INDEX(사건마스터!$AS$5:$AS$64,MATCH($F56,사건마스터!$A$5:$A$64,0)),""))</f>
        <v/>
      </c>
      <c r="W56" s="35">
        <f>IF($F56="","",IFERROR(INDEX(사건마스터!$AT$5:$AT$64,MATCH($F56,사건마스터!$A$5:$A$64,0)),""))</f>
        <v/>
      </c>
      <c r="X56" s="35">
        <f>IF($F56="","",IFERROR(INDEX(사건마스터!$AU$5:$AU$64,MATCH($F56,사건마스터!$A$5:$A$64,0)),""))</f>
        <v/>
      </c>
      <c r="Y56" s="35">
        <f>IF($F56="","",IFERROR(INDEX(사건마스터!$AV$5:$AV$64,MATCH($F56,사건마스터!$A$5:$A$64,0)),""))</f>
        <v/>
      </c>
      <c r="Z56" s="30">
        <f>IF(COUNTBLANK($J56:$Y56)=16,"",16-COUNTBLANK($J56:$Y56))</f>
        <v/>
      </c>
      <c r="AA56" s="33">
        <f>IF($J56="",MID($AX56,3,255),$J56&amp;$AX56)</f>
        <v/>
      </c>
      <c r="AB56" s="34">
        <f>IF($J56="","",IFERROR(INDEX(코드설정!$D$5:$D$24,MATCH($J56,코드설정!$C$5:$C$24,0)),""))</f>
        <v/>
      </c>
      <c r="AC56" s="36" t="n"/>
      <c r="AD56" s="37" t="n"/>
      <c r="AE56" s="38" t="n"/>
      <c r="AF56" s="30">
        <f>IF(OR($B56="",$C56=""),"",$C56-$B56+1)</f>
        <v/>
      </c>
      <c r="AG56" s="32" t="n"/>
      <c r="AH56" s="36" t="n"/>
      <c r="AJ56">
        <f>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  <c r="AX56">
        <f>AW56&amp;IF($Y56="","",", "&amp;$Y56)</f>
        <v/>
      </c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0">
        <f>IF($F57="","",COUNTIF($F$5:$F57,$F57))</f>
        <v/>
      </c>
      <c r="H57" s="33">
        <f>IF($F57="","",IFERROR(INDEX(사건마스터!$B$5:$B$64,MATCH($F57,사건마스터!$A$5:$A$64,0)),""))</f>
        <v/>
      </c>
      <c r="I57" s="34">
        <f>IF($F57="","",IFERROR(INDEX(사건마스터!$C$5:$C$64,MATCH($F57,사건마스터!$A$5:$A$64,0)),""))</f>
        <v/>
      </c>
      <c r="J57" s="35">
        <f>IF($F57="","",IFERROR(INDEX(사건마스터!$H$5:$H$64,MATCH($F57,사건마스터!$A$5:$A$64,0)),""))</f>
        <v/>
      </c>
      <c r="K57" s="35">
        <f>IF($F57="","",IFERROR(INDEX(사건마스터!$AH$5:$AH$64,MATCH($F57,사건마스터!$A$5:$A$64,0)),""))</f>
        <v/>
      </c>
      <c r="L57" s="35">
        <f>IF($F57="","",IFERROR(INDEX(사건마스터!$AI$5:$AI$64,MATCH($F57,사건마스터!$A$5:$A$64,0)),""))</f>
        <v/>
      </c>
      <c r="M57" s="35">
        <f>IF($F57="","",IFERROR(INDEX(사건마스터!$AJ$5:$AJ$64,MATCH($F57,사건마스터!$A$5:$A$64,0)),""))</f>
        <v/>
      </c>
      <c r="N57" s="35">
        <f>IF($F57="","",IFERROR(INDEX(사건마스터!$AK$5:$AK$64,MATCH($F57,사건마스터!$A$5:$A$64,0)),""))</f>
        <v/>
      </c>
      <c r="O57" s="35">
        <f>IF($F57="","",IFERROR(INDEX(사건마스터!$AL$5:$AL$64,MATCH($F57,사건마스터!$A$5:$A$64,0)),""))</f>
        <v/>
      </c>
      <c r="P57" s="35">
        <f>IF($F57="","",IFERROR(INDEX(사건마스터!$AM$5:$AM$64,MATCH($F57,사건마스터!$A$5:$A$64,0)),""))</f>
        <v/>
      </c>
      <c r="Q57" s="35">
        <f>IF($F57="","",IFERROR(INDEX(사건마스터!$AN$5:$AN$64,MATCH($F57,사건마스터!$A$5:$A$64,0)),""))</f>
        <v/>
      </c>
      <c r="R57" s="35">
        <f>IF($F57="","",IFERROR(INDEX(사건마스터!$AO$5:$AO$64,MATCH($F57,사건마스터!$A$5:$A$64,0)),""))</f>
        <v/>
      </c>
      <c r="S57" s="35">
        <f>IF($F57="","",IFERROR(INDEX(사건마스터!$AP$5:$AP$64,MATCH($F57,사건마스터!$A$5:$A$64,0)),""))</f>
        <v/>
      </c>
      <c r="T57" s="35">
        <f>IF($F57="","",IFERROR(INDEX(사건마스터!$AQ$5:$AQ$64,MATCH($F57,사건마스터!$A$5:$A$64,0)),""))</f>
        <v/>
      </c>
      <c r="U57" s="35">
        <f>IF($F57="","",IFERROR(INDEX(사건마스터!$AR$5:$AR$64,MATCH($F57,사건마스터!$A$5:$A$64,0)),""))</f>
        <v/>
      </c>
      <c r="V57" s="35">
        <f>IF($F57="","",IFERROR(INDEX(사건마스터!$AS$5:$AS$64,MATCH($F57,사건마스터!$A$5:$A$64,0)),""))</f>
        <v/>
      </c>
      <c r="W57" s="35">
        <f>IF($F57="","",IFERROR(INDEX(사건마스터!$AT$5:$AT$64,MATCH($F57,사건마스터!$A$5:$A$64,0)),""))</f>
        <v/>
      </c>
      <c r="X57" s="35">
        <f>IF($F57="","",IFERROR(INDEX(사건마스터!$AU$5:$AU$64,MATCH($F57,사건마스터!$A$5:$A$64,0)),""))</f>
        <v/>
      </c>
      <c r="Y57" s="35">
        <f>IF($F57="","",IFERROR(INDEX(사건마스터!$AV$5:$AV$64,MATCH($F57,사건마스터!$A$5:$A$64,0)),""))</f>
        <v/>
      </c>
      <c r="Z57" s="30">
        <f>IF(COUNTBLANK($J57:$Y57)=16,"",16-COUNTBLANK($J57:$Y57))</f>
        <v/>
      </c>
      <c r="AA57" s="33">
        <f>IF($J57="",MID($AX57,3,255),$J57&amp;$AX57)</f>
        <v/>
      </c>
      <c r="AB57" s="34">
        <f>IF($J57="","",IFERROR(INDEX(코드설정!$D$5:$D$24,MATCH($J57,코드설정!$C$5:$C$24,0)),""))</f>
        <v/>
      </c>
      <c r="AC57" s="36" t="n"/>
      <c r="AD57" s="37" t="n"/>
      <c r="AE57" s="38" t="n"/>
      <c r="AF57" s="30">
        <f>IF(OR($B57="",$C57=""),"",$C57-$B57+1)</f>
        <v/>
      </c>
      <c r="AG57" s="32" t="n"/>
      <c r="AH57" s="36" t="n"/>
      <c r="AJ57">
        <f>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  <c r="AX57">
        <f>AW57&amp;IF($Y57="","",", "&amp;$Y57)</f>
        <v/>
      </c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0">
        <f>IF($F58="","",COUNTIF($F$5:$F58,$F58))</f>
        <v/>
      </c>
      <c r="H58" s="33">
        <f>IF($F58="","",IFERROR(INDEX(사건마스터!$B$5:$B$64,MATCH($F58,사건마스터!$A$5:$A$64,0)),""))</f>
        <v/>
      </c>
      <c r="I58" s="34">
        <f>IF($F58="","",IFERROR(INDEX(사건마스터!$C$5:$C$64,MATCH($F58,사건마스터!$A$5:$A$64,0)),""))</f>
        <v/>
      </c>
      <c r="J58" s="35">
        <f>IF($F58="","",IFERROR(INDEX(사건마스터!$H$5:$H$64,MATCH($F58,사건마스터!$A$5:$A$64,0)),""))</f>
        <v/>
      </c>
      <c r="K58" s="35">
        <f>IF($F58="","",IFERROR(INDEX(사건마스터!$AH$5:$AH$64,MATCH($F58,사건마스터!$A$5:$A$64,0)),""))</f>
        <v/>
      </c>
      <c r="L58" s="35">
        <f>IF($F58="","",IFERROR(INDEX(사건마스터!$AI$5:$AI$64,MATCH($F58,사건마스터!$A$5:$A$64,0)),""))</f>
        <v/>
      </c>
      <c r="M58" s="35">
        <f>IF($F58="","",IFERROR(INDEX(사건마스터!$AJ$5:$AJ$64,MATCH($F58,사건마스터!$A$5:$A$64,0)),""))</f>
        <v/>
      </c>
      <c r="N58" s="35">
        <f>IF($F58="","",IFERROR(INDEX(사건마스터!$AK$5:$AK$64,MATCH($F58,사건마스터!$A$5:$A$64,0)),""))</f>
        <v/>
      </c>
      <c r="O58" s="35">
        <f>IF($F58="","",IFERROR(INDEX(사건마스터!$AL$5:$AL$64,MATCH($F58,사건마스터!$A$5:$A$64,0)),""))</f>
        <v/>
      </c>
      <c r="P58" s="35">
        <f>IF($F58="","",IFERROR(INDEX(사건마스터!$AM$5:$AM$64,MATCH($F58,사건마스터!$A$5:$A$64,0)),""))</f>
        <v/>
      </c>
      <c r="Q58" s="35">
        <f>IF($F58="","",IFERROR(INDEX(사건마스터!$AN$5:$AN$64,MATCH($F58,사건마스터!$A$5:$A$64,0)),""))</f>
        <v/>
      </c>
      <c r="R58" s="35">
        <f>IF($F58="","",IFERROR(INDEX(사건마스터!$AO$5:$AO$64,MATCH($F58,사건마스터!$A$5:$A$64,0)),""))</f>
        <v/>
      </c>
      <c r="S58" s="35">
        <f>IF($F58="","",IFERROR(INDEX(사건마스터!$AP$5:$AP$64,MATCH($F58,사건마스터!$A$5:$A$64,0)),""))</f>
        <v/>
      </c>
      <c r="T58" s="35">
        <f>IF($F58="","",IFERROR(INDEX(사건마스터!$AQ$5:$AQ$64,MATCH($F58,사건마스터!$A$5:$A$64,0)),""))</f>
        <v/>
      </c>
      <c r="U58" s="35">
        <f>IF($F58="","",IFERROR(INDEX(사건마스터!$AR$5:$AR$64,MATCH($F58,사건마스터!$A$5:$A$64,0)),""))</f>
        <v/>
      </c>
      <c r="V58" s="35">
        <f>IF($F58="","",IFERROR(INDEX(사건마스터!$AS$5:$AS$64,MATCH($F58,사건마스터!$A$5:$A$64,0)),""))</f>
        <v/>
      </c>
      <c r="W58" s="35">
        <f>IF($F58="","",IFERROR(INDEX(사건마스터!$AT$5:$AT$64,MATCH($F58,사건마스터!$A$5:$A$64,0)),""))</f>
        <v/>
      </c>
      <c r="X58" s="35">
        <f>IF($F58="","",IFERROR(INDEX(사건마스터!$AU$5:$AU$64,MATCH($F58,사건마스터!$A$5:$A$64,0)),""))</f>
        <v/>
      </c>
      <c r="Y58" s="35">
        <f>IF($F58="","",IFERROR(INDEX(사건마스터!$AV$5:$AV$64,MATCH($F58,사건마스터!$A$5:$A$64,0)),""))</f>
        <v/>
      </c>
      <c r="Z58" s="30">
        <f>IF(COUNTBLANK($J58:$Y58)=16,"",16-COUNTBLANK($J58:$Y58))</f>
        <v/>
      </c>
      <c r="AA58" s="33">
        <f>IF($J58="",MID($AX58,3,255),$J58&amp;$AX58)</f>
        <v/>
      </c>
      <c r="AB58" s="34">
        <f>IF($J58="","",IFERROR(INDEX(코드설정!$D$5:$D$24,MATCH($J58,코드설정!$C$5:$C$24,0)),""))</f>
        <v/>
      </c>
      <c r="AC58" s="36" t="n"/>
      <c r="AD58" s="37" t="n"/>
      <c r="AE58" s="38" t="n"/>
      <c r="AF58" s="30">
        <f>IF(OR($B58="",$C58=""),"",$C58-$B58+1)</f>
        <v/>
      </c>
      <c r="AG58" s="32" t="n"/>
      <c r="AH58" s="36" t="n"/>
      <c r="AJ58">
        <f>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  <c r="AX58">
        <f>AW58&amp;IF($Y58="","",", "&amp;$Y58)</f>
        <v/>
      </c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0">
        <f>IF($F59="","",COUNTIF($F$5:$F59,$F59))</f>
        <v/>
      </c>
      <c r="H59" s="33">
        <f>IF($F59="","",IFERROR(INDEX(사건마스터!$B$5:$B$64,MATCH($F59,사건마스터!$A$5:$A$64,0)),""))</f>
        <v/>
      </c>
      <c r="I59" s="34">
        <f>IF($F59="","",IFERROR(INDEX(사건마스터!$C$5:$C$64,MATCH($F59,사건마스터!$A$5:$A$64,0)),""))</f>
        <v/>
      </c>
      <c r="J59" s="35">
        <f>IF($F59="","",IFERROR(INDEX(사건마스터!$H$5:$H$64,MATCH($F59,사건마스터!$A$5:$A$64,0)),""))</f>
        <v/>
      </c>
      <c r="K59" s="35">
        <f>IF($F59="","",IFERROR(INDEX(사건마스터!$AH$5:$AH$64,MATCH($F59,사건마스터!$A$5:$A$64,0)),""))</f>
        <v/>
      </c>
      <c r="L59" s="35">
        <f>IF($F59="","",IFERROR(INDEX(사건마스터!$AI$5:$AI$64,MATCH($F59,사건마스터!$A$5:$A$64,0)),""))</f>
        <v/>
      </c>
      <c r="M59" s="35">
        <f>IF($F59="","",IFERROR(INDEX(사건마스터!$AJ$5:$AJ$64,MATCH($F59,사건마스터!$A$5:$A$64,0)),""))</f>
        <v/>
      </c>
      <c r="N59" s="35">
        <f>IF($F59="","",IFERROR(INDEX(사건마스터!$AK$5:$AK$64,MATCH($F59,사건마스터!$A$5:$A$64,0)),""))</f>
        <v/>
      </c>
      <c r="O59" s="35">
        <f>IF($F59="","",IFERROR(INDEX(사건마스터!$AL$5:$AL$64,MATCH($F59,사건마스터!$A$5:$A$64,0)),""))</f>
        <v/>
      </c>
      <c r="P59" s="35">
        <f>IF($F59="","",IFERROR(INDEX(사건마스터!$AM$5:$AM$64,MATCH($F59,사건마스터!$A$5:$A$64,0)),""))</f>
        <v/>
      </c>
      <c r="Q59" s="35">
        <f>IF($F59="","",IFERROR(INDEX(사건마스터!$AN$5:$AN$64,MATCH($F59,사건마스터!$A$5:$A$64,0)),""))</f>
        <v/>
      </c>
      <c r="R59" s="35">
        <f>IF($F59="","",IFERROR(INDEX(사건마스터!$AO$5:$AO$64,MATCH($F59,사건마스터!$A$5:$A$64,0)),""))</f>
        <v/>
      </c>
      <c r="S59" s="35">
        <f>IF($F59="","",IFERROR(INDEX(사건마스터!$AP$5:$AP$64,MATCH($F59,사건마스터!$A$5:$A$64,0)),""))</f>
        <v/>
      </c>
      <c r="T59" s="35">
        <f>IF($F59="","",IFERROR(INDEX(사건마스터!$AQ$5:$AQ$64,MATCH($F59,사건마스터!$A$5:$A$64,0)),""))</f>
        <v/>
      </c>
      <c r="U59" s="35">
        <f>IF($F59="","",IFERROR(INDEX(사건마스터!$AR$5:$AR$64,MATCH($F59,사건마스터!$A$5:$A$64,0)),""))</f>
        <v/>
      </c>
      <c r="V59" s="35">
        <f>IF($F59="","",IFERROR(INDEX(사건마스터!$AS$5:$AS$64,MATCH($F59,사건마스터!$A$5:$A$64,0)),""))</f>
        <v/>
      </c>
      <c r="W59" s="35">
        <f>IF($F59="","",IFERROR(INDEX(사건마스터!$AT$5:$AT$64,MATCH($F59,사건마스터!$A$5:$A$64,0)),""))</f>
        <v/>
      </c>
      <c r="X59" s="35">
        <f>IF($F59="","",IFERROR(INDEX(사건마스터!$AU$5:$AU$64,MATCH($F59,사건마스터!$A$5:$A$64,0)),""))</f>
        <v/>
      </c>
      <c r="Y59" s="35">
        <f>IF($F59="","",IFERROR(INDEX(사건마스터!$AV$5:$AV$64,MATCH($F59,사건마스터!$A$5:$A$64,0)),""))</f>
        <v/>
      </c>
      <c r="Z59" s="30">
        <f>IF(COUNTBLANK($J59:$Y59)=16,"",16-COUNTBLANK($J59:$Y59))</f>
        <v/>
      </c>
      <c r="AA59" s="33">
        <f>IF($J59="",MID($AX59,3,255),$J59&amp;$AX59)</f>
        <v/>
      </c>
      <c r="AB59" s="34">
        <f>IF($J59="","",IFERROR(INDEX(코드설정!$D$5:$D$24,MATCH($J59,코드설정!$C$5:$C$24,0)),""))</f>
        <v/>
      </c>
      <c r="AC59" s="36" t="n"/>
      <c r="AD59" s="37" t="n"/>
      <c r="AE59" s="38" t="n"/>
      <c r="AF59" s="30">
        <f>IF(OR($B59="",$C59=""),"",$C59-$B59+1)</f>
        <v/>
      </c>
      <c r="AG59" s="32" t="n"/>
      <c r="AH59" s="36" t="n"/>
      <c r="AJ59">
        <f>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  <c r="AX59">
        <f>AW59&amp;IF($Y59="","",", "&amp;$Y59)</f>
        <v/>
      </c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0">
        <f>IF($F60="","",COUNTIF($F$5:$F60,$F60))</f>
        <v/>
      </c>
      <c r="H60" s="33">
        <f>IF($F60="","",IFERROR(INDEX(사건마스터!$B$5:$B$64,MATCH($F60,사건마스터!$A$5:$A$64,0)),""))</f>
        <v/>
      </c>
      <c r="I60" s="34">
        <f>IF($F60="","",IFERROR(INDEX(사건마스터!$C$5:$C$64,MATCH($F60,사건마스터!$A$5:$A$64,0)),""))</f>
        <v/>
      </c>
      <c r="J60" s="35">
        <f>IF($F60="","",IFERROR(INDEX(사건마스터!$H$5:$H$64,MATCH($F60,사건마스터!$A$5:$A$64,0)),""))</f>
        <v/>
      </c>
      <c r="K60" s="35">
        <f>IF($F60="","",IFERROR(INDEX(사건마스터!$AH$5:$AH$64,MATCH($F60,사건마스터!$A$5:$A$64,0)),""))</f>
        <v/>
      </c>
      <c r="L60" s="35">
        <f>IF($F60="","",IFERROR(INDEX(사건마스터!$AI$5:$AI$64,MATCH($F60,사건마스터!$A$5:$A$64,0)),""))</f>
        <v/>
      </c>
      <c r="M60" s="35">
        <f>IF($F60="","",IFERROR(INDEX(사건마스터!$AJ$5:$AJ$64,MATCH($F60,사건마스터!$A$5:$A$64,0)),""))</f>
        <v/>
      </c>
      <c r="N60" s="35">
        <f>IF($F60="","",IFERROR(INDEX(사건마스터!$AK$5:$AK$64,MATCH($F60,사건마스터!$A$5:$A$64,0)),""))</f>
        <v/>
      </c>
      <c r="O60" s="35">
        <f>IF($F60="","",IFERROR(INDEX(사건마스터!$AL$5:$AL$64,MATCH($F60,사건마스터!$A$5:$A$64,0)),""))</f>
        <v/>
      </c>
      <c r="P60" s="35">
        <f>IF($F60="","",IFERROR(INDEX(사건마스터!$AM$5:$AM$64,MATCH($F60,사건마스터!$A$5:$A$64,0)),""))</f>
        <v/>
      </c>
      <c r="Q60" s="35">
        <f>IF($F60="","",IFERROR(INDEX(사건마스터!$AN$5:$AN$64,MATCH($F60,사건마스터!$A$5:$A$64,0)),""))</f>
        <v/>
      </c>
      <c r="R60" s="35">
        <f>IF($F60="","",IFERROR(INDEX(사건마스터!$AO$5:$AO$64,MATCH($F60,사건마스터!$A$5:$A$64,0)),""))</f>
        <v/>
      </c>
      <c r="S60" s="35">
        <f>IF($F60="","",IFERROR(INDEX(사건마스터!$AP$5:$AP$64,MATCH($F60,사건마스터!$A$5:$A$64,0)),""))</f>
        <v/>
      </c>
      <c r="T60" s="35">
        <f>IF($F60="","",IFERROR(INDEX(사건마스터!$AQ$5:$AQ$64,MATCH($F60,사건마스터!$A$5:$A$64,0)),""))</f>
        <v/>
      </c>
      <c r="U60" s="35">
        <f>IF($F60="","",IFERROR(INDEX(사건마스터!$AR$5:$AR$64,MATCH($F60,사건마스터!$A$5:$A$64,0)),""))</f>
        <v/>
      </c>
      <c r="V60" s="35">
        <f>IF($F60="","",IFERROR(INDEX(사건마스터!$AS$5:$AS$64,MATCH($F60,사건마스터!$A$5:$A$64,0)),""))</f>
        <v/>
      </c>
      <c r="W60" s="35">
        <f>IF($F60="","",IFERROR(INDEX(사건마스터!$AT$5:$AT$64,MATCH($F60,사건마스터!$A$5:$A$64,0)),""))</f>
        <v/>
      </c>
      <c r="X60" s="35">
        <f>IF($F60="","",IFERROR(INDEX(사건마스터!$AU$5:$AU$64,MATCH($F60,사건마스터!$A$5:$A$64,0)),""))</f>
        <v/>
      </c>
      <c r="Y60" s="35">
        <f>IF($F60="","",IFERROR(INDEX(사건마스터!$AV$5:$AV$64,MATCH($F60,사건마스터!$A$5:$A$64,0)),""))</f>
        <v/>
      </c>
      <c r="Z60" s="30">
        <f>IF(COUNTBLANK($J60:$Y60)=16,"",16-COUNTBLANK($J60:$Y60))</f>
        <v/>
      </c>
      <c r="AA60" s="33">
        <f>IF($J60="",MID($AX60,3,255),$J60&amp;$AX60)</f>
        <v/>
      </c>
      <c r="AB60" s="34">
        <f>IF($J60="","",IFERROR(INDEX(코드설정!$D$5:$D$24,MATCH($J60,코드설정!$C$5:$C$24,0)),""))</f>
        <v/>
      </c>
      <c r="AC60" s="36" t="n"/>
      <c r="AD60" s="37" t="n"/>
      <c r="AE60" s="38" t="n"/>
      <c r="AF60" s="30">
        <f>IF(OR($B60="",$C60=""),"",$C60-$B60+1)</f>
        <v/>
      </c>
      <c r="AG60" s="32" t="n"/>
      <c r="AH60" s="36" t="n"/>
      <c r="AJ60">
        <f>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  <c r="AX60">
        <f>AW60&amp;IF($Y60="","",", "&amp;$Y60)</f>
        <v/>
      </c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0">
        <f>IF($F61="","",COUNTIF($F$5:$F61,$F61))</f>
        <v/>
      </c>
      <c r="H61" s="33">
        <f>IF($F61="","",IFERROR(INDEX(사건마스터!$B$5:$B$64,MATCH($F61,사건마스터!$A$5:$A$64,0)),""))</f>
        <v/>
      </c>
      <c r="I61" s="34">
        <f>IF($F61="","",IFERROR(INDEX(사건마스터!$C$5:$C$64,MATCH($F61,사건마스터!$A$5:$A$64,0)),""))</f>
        <v/>
      </c>
      <c r="J61" s="35">
        <f>IF($F61="","",IFERROR(INDEX(사건마스터!$H$5:$H$64,MATCH($F61,사건마스터!$A$5:$A$64,0)),""))</f>
        <v/>
      </c>
      <c r="K61" s="35">
        <f>IF($F61="","",IFERROR(INDEX(사건마스터!$AH$5:$AH$64,MATCH($F61,사건마스터!$A$5:$A$64,0)),""))</f>
        <v/>
      </c>
      <c r="L61" s="35">
        <f>IF($F61="","",IFERROR(INDEX(사건마스터!$AI$5:$AI$64,MATCH($F61,사건마스터!$A$5:$A$64,0)),""))</f>
        <v/>
      </c>
      <c r="M61" s="35">
        <f>IF($F61="","",IFERROR(INDEX(사건마스터!$AJ$5:$AJ$64,MATCH($F61,사건마스터!$A$5:$A$64,0)),""))</f>
        <v/>
      </c>
      <c r="N61" s="35">
        <f>IF($F61="","",IFERROR(INDEX(사건마스터!$AK$5:$AK$64,MATCH($F61,사건마스터!$A$5:$A$64,0)),""))</f>
        <v/>
      </c>
      <c r="O61" s="35">
        <f>IF($F61="","",IFERROR(INDEX(사건마스터!$AL$5:$AL$64,MATCH($F61,사건마스터!$A$5:$A$64,0)),""))</f>
        <v/>
      </c>
      <c r="P61" s="35">
        <f>IF($F61="","",IFERROR(INDEX(사건마스터!$AM$5:$AM$64,MATCH($F61,사건마스터!$A$5:$A$64,0)),""))</f>
        <v/>
      </c>
      <c r="Q61" s="35">
        <f>IF($F61="","",IFERROR(INDEX(사건마스터!$AN$5:$AN$64,MATCH($F61,사건마스터!$A$5:$A$64,0)),""))</f>
        <v/>
      </c>
      <c r="R61" s="35">
        <f>IF($F61="","",IFERROR(INDEX(사건마스터!$AO$5:$AO$64,MATCH($F61,사건마스터!$A$5:$A$64,0)),""))</f>
        <v/>
      </c>
      <c r="S61" s="35">
        <f>IF($F61="","",IFERROR(INDEX(사건마스터!$AP$5:$AP$64,MATCH($F61,사건마스터!$A$5:$A$64,0)),""))</f>
        <v/>
      </c>
      <c r="T61" s="35">
        <f>IF($F61="","",IFERROR(INDEX(사건마스터!$AQ$5:$AQ$64,MATCH($F61,사건마스터!$A$5:$A$64,0)),""))</f>
        <v/>
      </c>
      <c r="U61" s="35">
        <f>IF($F61="","",IFERROR(INDEX(사건마스터!$AR$5:$AR$64,MATCH($F61,사건마스터!$A$5:$A$64,0)),""))</f>
        <v/>
      </c>
      <c r="V61" s="35">
        <f>IF($F61="","",IFERROR(INDEX(사건마스터!$AS$5:$AS$64,MATCH($F61,사건마스터!$A$5:$A$64,0)),""))</f>
        <v/>
      </c>
      <c r="W61" s="35">
        <f>IF($F61="","",IFERROR(INDEX(사건마스터!$AT$5:$AT$64,MATCH($F61,사건마스터!$A$5:$A$64,0)),""))</f>
        <v/>
      </c>
      <c r="X61" s="35">
        <f>IF($F61="","",IFERROR(INDEX(사건마스터!$AU$5:$AU$64,MATCH($F61,사건마스터!$A$5:$A$64,0)),""))</f>
        <v/>
      </c>
      <c r="Y61" s="35">
        <f>IF($F61="","",IFERROR(INDEX(사건마스터!$AV$5:$AV$64,MATCH($F61,사건마스터!$A$5:$A$64,0)),""))</f>
        <v/>
      </c>
      <c r="Z61" s="30">
        <f>IF(COUNTBLANK($J61:$Y61)=16,"",16-COUNTBLANK($J61:$Y61))</f>
        <v/>
      </c>
      <c r="AA61" s="33">
        <f>IF($J61="",MID($AX61,3,255),$J61&amp;$AX61)</f>
        <v/>
      </c>
      <c r="AB61" s="34">
        <f>IF($J61="","",IFERROR(INDEX(코드설정!$D$5:$D$24,MATCH($J61,코드설정!$C$5:$C$24,0)),""))</f>
        <v/>
      </c>
      <c r="AC61" s="36" t="n"/>
      <c r="AD61" s="37" t="n"/>
      <c r="AE61" s="38" t="n"/>
      <c r="AF61" s="30">
        <f>IF(OR($B61="",$C61=""),"",$C61-$B61+1)</f>
        <v/>
      </c>
      <c r="AG61" s="32" t="n"/>
      <c r="AH61" s="36" t="n"/>
      <c r="AJ61">
        <f>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  <c r="AX61">
        <f>AW61&amp;IF($Y61="","",", "&amp;$Y61)</f>
        <v/>
      </c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0">
        <f>IF($F62="","",COUNTIF($F$5:$F62,$F62))</f>
        <v/>
      </c>
      <c r="H62" s="33">
        <f>IF($F62="","",IFERROR(INDEX(사건마스터!$B$5:$B$64,MATCH($F62,사건마스터!$A$5:$A$64,0)),""))</f>
        <v/>
      </c>
      <c r="I62" s="34">
        <f>IF($F62="","",IFERROR(INDEX(사건마스터!$C$5:$C$64,MATCH($F62,사건마스터!$A$5:$A$64,0)),""))</f>
        <v/>
      </c>
      <c r="J62" s="35">
        <f>IF($F62="","",IFERROR(INDEX(사건마스터!$H$5:$H$64,MATCH($F62,사건마스터!$A$5:$A$64,0)),""))</f>
        <v/>
      </c>
      <c r="K62" s="35">
        <f>IF($F62="","",IFERROR(INDEX(사건마스터!$AH$5:$AH$64,MATCH($F62,사건마스터!$A$5:$A$64,0)),""))</f>
        <v/>
      </c>
      <c r="L62" s="35">
        <f>IF($F62="","",IFERROR(INDEX(사건마스터!$AI$5:$AI$64,MATCH($F62,사건마스터!$A$5:$A$64,0)),""))</f>
        <v/>
      </c>
      <c r="M62" s="35">
        <f>IF($F62="","",IFERROR(INDEX(사건마스터!$AJ$5:$AJ$64,MATCH($F62,사건마스터!$A$5:$A$64,0)),""))</f>
        <v/>
      </c>
      <c r="N62" s="35">
        <f>IF($F62="","",IFERROR(INDEX(사건마스터!$AK$5:$AK$64,MATCH($F62,사건마스터!$A$5:$A$64,0)),""))</f>
        <v/>
      </c>
      <c r="O62" s="35">
        <f>IF($F62="","",IFERROR(INDEX(사건마스터!$AL$5:$AL$64,MATCH($F62,사건마스터!$A$5:$A$64,0)),""))</f>
        <v/>
      </c>
      <c r="P62" s="35">
        <f>IF($F62="","",IFERROR(INDEX(사건마스터!$AM$5:$AM$64,MATCH($F62,사건마스터!$A$5:$A$64,0)),""))</f>
        <v/>
      </c>
      <c r="Q62" s="35">
        <f>IF($F62="","",IFERROR(INDEX(사건마스터!$AN$5:$AN$64,MATCH($F62,사건마스터!$A$5:$A$64,0)),""))</f>
        <v/>
      </c>
      <c r="R62" s="35">
        <f>IF($F62="","",IFERROR(INDEX(사건마스터!$AO$5:$AO$64,MATCH($F62,사건마스터!$A$5:$A$64,0)),""))</f>
        <v/>
      </c>
      <c r="S62" s="35">
        <f>IF($F62="","",IFERROR(INDEX(사건마스터!$AP$5:$AP$64,MATCH($F62,사건마스터!$A$5:$A$64,0)),""))</f>
        <v/>
      </c>
      <c r="T62" s="35">
        <f>IF($F62="","",IFERROR(INDEX(사건마스터!$AQ$5:$AQ$64,MATCH($F62,사건마스터!$A$5:$A$64,0)),""))</f>
        <v/>
      </c>
      <c r="U62" s="35">
        <f>IF($F62="","",IFERROR(INDEX(사건마스터!$AR$5:$AR$64,MATCH($F62,사건마스터!$A$5:$A$64,0)),""))</f>
        <v/>
      </c>
      <c r="V62" s="35">
        <f>IF($F62="","",IFERROR(INDEX(사건마스터!$AS$5:$AS$64,MATCH($F62,사건마스터!$A$5:$A$64,0)),""))</f>
        <v/>
      </c>
      <c r="W62" s="35">
        <f>IF($F62="","",IFERROR(INDEX(사건마스터!$AT$5:$AT$64,MATCH($F62,사건마스터!$A$5:$A$64,0)),""))</f>
        <v/>
      </c>
      <c r="X62" s="35">
        <f>IF($F62="","",IFERROR(INDEX(사건마스터!$AU$5:$AU$64,MATCH($F62,사건마스터!$A$5:$A$64,0)),""))</f>
        <v/>
      </c>
      <c r="Y62" s="35">
        <f>IF($F62="","",IFERROR(INDEX(사건마스터!$AV$5:$AV$64,MATCH($F62,사건마스터!$A$5:$A$64,0)),""))</f>
        <v/>
      </c>
      <c r="Z62" s="30">
        <f>IF(COUNTBLANK($J62:$Y62)=16,"",16-COUNTBLANK($J62:$Y62))</f>
        <v/>
      </c>
      <c r="AA62" s="33">
        <f>IF($J62="",MID($AX62,3,255),$J62&amp;$AX62)</f>
        <v/>
      </c>
      <c r="AB62" s="34">
        <f>IF($J62="","",IFERROR(INDEX(코드설정!$D$5:$D$24,MATCH($J62,코드설정!$C$5:$C$24,0)),""))</f>
        <v/>
      </c>
      <c r="AC62" s="36" t="n"/>
      <c r="AD62" s="37" t="n"/>
      <c r="AE62" s="38" t="n"/>
      <c r="AF62" s="30">
        <f>IF(OR($B62="",$C62=""),"",$C62-$B62+1)</f>
        <v/>
      </c>
      <c r="AG62" s="32" t="n"/>
      <c r="AH62" s="36" t="n"/>
      <c r="AJ62">
        <f>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  <c r="AX62">
        <f>AW62&amp;IF($Y62="","",", "&amp;$Y62)</f>
        <v/>
      </c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0">
        <f>IF($F63="","",COUNTIF($F$5:$F63,$F63))</f>
        <v/>
      </c>
      <c r="H63" s="33">
        <f>IF($F63="","",IFERROR(INDEX(사건마스터!$B$5:$B$64,MATCH($F63,사건마스터!$A$5:$A$64,0)),""))</f>
        <v/>
      </c>
      <c r="I63" s="34">
        <f>IF($F63="","",IFERROR(INDEX(사건마스터!$C$5:$C$64,MATCH($F63,사건마스터!$A$5:$A$64,0)),""))</f>
        <v/>
      </c>
      <c r="J63" s="35">
        <f>IF($F63="","",IFERROR(INDEX(사건마스터!$H$5:$H$64,MATCH($F63,사건마스터!$A$5:$A$64,0)),""))</f>
        <v/>
      </c>
      <c r="K63" s="35">
        <f>IF($F63="","",IFERROR(INDEX(사건마스터!$AH$5:$AH$64,MATCH($F63,사건마스터!$A$5:$A$64,0)),""))</f>
        <v/>
      </c>
      <c r="L63" s="35">
        <f>IF($F63="","",IFERROR(INDEX(사건마스터!$AI$5:$AI$64,MATCH($F63,사건마스터!$A$5:$A$64,0)),""))</f>
        <v/>
      </c>
      <c r="M63" s="35">
        <f>IF($F63="","",IFERROR(INDEX(사건마스터!$AJ$5:$AJ$64,MATCH($F63,사건마스터!$A$5:$A$64,0)),""))</f>
        <v/>
      </c>
      <c r="N63" s="35">
        <f>IF($F63="","",IFERROR(INDEX(사건마스터!$AK$5:$AK$64,MATCH($F63,사건마스터!$A$5:$A$64,0)),""))</f>
        <v/>
      </c>
      <c r="O63" s="35">
        <f>IF($F63="","",IFERROR(INDEX(사건마스터!$AL$5:$AL$64,MATCH($F63,사건마스터!$A$5:$A$64,0)),""))</f>
        <v/>
      </c>
      <c r="P63" s="35">
        <f>IF($F63="","",IFERROR(INDEX(사건마스터!$AM$5:$AM$64,MATCH($F63,사건마스터!$A$5:$A$64,0)),""))</f>
        <v/>
      </c>
      <c r="Q63" s="35">
        <f>IF($F63="","",IFERROR(INDEX(사건마스터!$AN$5:$AN$64,MATCH($F63,사건마스터!$A$5:$A$64,0)),""))</f>
        <v/>
      </c>
      <c r="R63" s="35">
        <f>IF($F63="","",IFERROR(INDEX(사건마스터!$AO$5:$AO$64,MATCH($F63,사건마스터!$A$5:$A$64,0)),""))</f>
        <v/>
      </c>
      <c r="S63" s="35">
        <f>IF($F63="","",IFERROR(INDEX(사건마스터!$AP$5:$AP$64,MATCH($F63,사건마스터!$A$5:$A$64,0)),""))</f>
        <v/>
      </c>
      <c r="T63" s="35">
        <f>IF($F63="","",IFERROR(INDEX(사건마스터!$AQ$5:$AQ$64,MATCH($F63,사건마스터!$A$5:$A$64,0)),""))</f>
        <v/>
      </c>
      <c r="U63" s="35">
        <f>IF($F63="","",IFERROR(INDEX(사건마스터!$AR$5:$AR$64,MATCH($F63,사건마스터!$A$5:$A$64,0)),""))</f>
        <v/>
      </c>
      <c r="V63" s="35">
        <f>IF($F63="","",IFERROR(INDEX(사건마스터!$AS$5:$AS$64,MATCH($F63,사건마스터!$A$5:$A$64,0)),""))</f>
        <v/>
      </c>
      <c r="W63" s="35">
        <f>IF($F63="","",IFERROR(INDEX(사건마스터!$AT$5:$AT$64,MATCH($F63,사건마스터!$A$5:$A$64,0)),""))</f>
        <v/>
      </c>
      <c r="X63" s="35">
        <f>IF($F63="","",IFERROR(INDEX(사건마스터!$AU$5:$AU$64,MATCH($F63,사건마스터!$A$5:$A$64,0)),""))</f>
        <v/>
      </c>
      <c r="Y63" s="35">
        <f>IF($F63="","",IFERROR(INDEX(사건마스터!$AV$5:$AV$64,MATCH($F63,사건마스터!$A$5:$A$64,0)),""))</f>
        <v/>
      </c>
      <c r="Z63" s="30">
        <f>IF(COUNTBLANK($J63:$Y63)=16,"",16-COUNTBLANK($J63:$Y63))</f>
        <v/>
      </c>
      <c r="AA63" s="33">
        <f>IF($J63="",MID($AX63,3,255),$J63&amp;$AX63)</f>
        <v/>
      </c>
      <c r="AB63" s="34">
        <f>IF($J63="","",IFERROR(INDEX(코드설정!$D$5:$D$24,MATCH($J63,코드설정!$C$5:$C$24,0)),""))</f>
        <v/>
      </c>
      <c r="AC63" s="36" t="n"/>
      <c r="AD63" s="37" t="n"/>
      <c r="AE63" s="38" t="n"/>
      <c r="AF63" s="30">
        <f>IF(OR($B63="",$C63=""),"",$C63-$B63+1)</f>
        <v/>
      </c>
      <c r="AG63" s="32" t="n"/>
      <c r="AH63" s="36" t="n"/>
      <c r="AJ63">
        <f>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  <c r="AX63">
        <f>AW63&amp;IF($Y63="","",", "&amp;$Y63)</f>
        <v/>
      </c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0">
        <f>IF($F64="","",COUNTIF($F$5:$F64,$F64))</f>
        <v/>
      </c>
      <c r="H64" s="33">
        <f>IF($F64="","",IFERROR(INDEX(사건마스터!$B$5:$B$64,MATCH($F64,사건마스터!$A$5:$A$64,0)),""))</f>
        <v/>
      </c>
      <c r="I64" s="34">
        <f>IF($F64="","",IFERROR(INDEX(사건마스터!$C$5:$C$64,MATCH($F64,사건마스터!$A$5:$A$64,0)),""))</f>
        <v/>
      </c>
      <c r="J64" s="35">
        <f>IF($F64="","",IFERROR(INDEX(사건마스터!$H$5:$H$64,MATCH($F64,사건마스터!$A$5:$A$64,0)),""))</f>
        <v/>
      </c>
      <c r="K64" s="35">
        <f>IF($F64="","",IFERROR(INDEX(사건마스터!$AH$5:$AH$64,MATCH($F64,사건마스터!$A$5:$A$64,0)),""))</f>
        <v/>
      </c>
      <c r="L64" s="35">
        <f>IF($F64="","",IFERROR(INDEX(사건마스터!$AI$5:$AI$64,MATCH($F64,사건마스터!$A$5:$A$64,0)),""))</f>
        <v/>
      </c>
      <c r="M64" s="35">
        <f>IF($F64="","",IFERROR(INDEX(사건마스터!$AJ$5:$AJ$64,MATCH($F64,사건마스터!$A$5:$A$64,0)),""))</f>
        <v/>
      </c>
      <c r="N64" s="35">
        <f>IF($F64="","",IFERROR(INDEX(사건마스터!$AK$5:$AK$64,MATCH($F64,사건마스터!$A$5:$A$64,0)),""))</f>
        <v/>
      </c>
      <c r="O64" s="35">
        <f>IF($F64="","",IFERROR(INDEX(사건마스터!$AL$5:$AL$64,MATCH($F64,사건마스터!$A$5:$A$64,0)),""))</f>
        <v/>
      </c>
      <c r="P64" s="35">
        <f>IF($F64="","",IFERROR(INDEX(사건마스터!$AM$5:$AM$64,MATCH($F64,사건마스터!$A$5:$A$64,0)),""))</f>
        <v/>
      </c>
      <c r="Q64" s="35">
        <f>IF($F64="","",IFERROR(INDEX(사건마스터!$AN$5:$AN$64,MATCH($F64,사건마스터!$A$5:$A$64,0)),""))</f>
        <v/>
      </c>
      <c r="R64" s="35">
        <f>IF($F64="","",IFERROR(INDEX(사건마스터!$AO$5:$AO$64,MATCH($F64,사건마스터!$A$5:$A$64,0)),""))</f>
        <v/>
      </c>
      <c r="S64" s="35">
        <f>IF($F64="","",IFERROR(INDEX(사건마스터!$AP$5:$AP$64,MATCH($F64,사건마스터!$A$5:$A$64,0)),""))</f>
        <v/>
      </c>
      <c r="T64" s="35">
        <f>IF($F64="","",IFERROR(INDEX(사건마스터!$AQ$5:$AQ$64,MATCH($F64,사건마스터!$A$5:$A$64,0)),""))</f>
        <v/>
      </c>
      <c r="U64" s="35">
        <f>IF($F64="","",IFERROR(INDEX(사건마스터!$AR$5:$AR$64,MATCH($F64,사건마스터!$A$5:$A$64,0)),""))</f>
        <v/>
      </c>
      <c r="V64" s="35">
        <f>IF($F64="","",IFERROR(INDEX(사건마스터!$AS$5:$AS$64,MATCH($F64,사건마스터!$A$5:$A$64,0)),""))</f>
        <v/>
      </c>
      <c r="W64" s="35">
        <f>IF($F64="","",IFERROR(INDEX(사건마스터!$AT$5:$AT$64,MATCH($F64,사건마스터!$A$5:$A$64,0)),""))</f>
        <v/>
      </c>
      <c r="X64" s="35">
        <f>IF($F64="","",IFERROR(INDEX(사건마스터!$AU$5:$AU$64,MATCH($F64,사건마스터!$A$5:$A$64,0)),""))</f>
        <v/>
      </c>
      <c r="Y64" s="35">
        <f>IF($F64="","",IFERROR(INDEX(사건마스터!$AV$5:$AV$64,MATCH($F64,사건마스터!$A$5:$A$64,0)),""))</f>
        <v/>
      </c>
      <c r="Z64" s="30">
        <f>IF(COUNTBLANK($J64:$Y64)=16,"",16-COUNTBLANK($J64:$Y64))</f>
        <v/>
      </c>
      <c r="AA64" s="33">
        <f>IF($J64="",MID($AX64,3,255),$J64&amp;$AX64)</f>
        <v/>
      </c>
      <c r="AB64" s="34">
        <f>IF($J64="","",IFERROR(INDEX(코드설정!$D$5:$D$24,MATCH($J64,코드설정!$C$5:$C$24,0)),""))</f>
        <v/>
      </c>
      <c r="AC64" s="36" t="n"/>
      <c r="AD64" s="37" t="n"/>
      <c r="AE64" s="38" t="n"/>
      <c r="AF64" s="30">
        <f>IF(OR($B64="",$C64=""),"",$C64-$B64+1)</f>
        <v/>
      </c>
      <c r="AG64" s="32" t="n"/>
      <c r="AH64" s="36" t="n"/>
      <c r="AJ64">
        <f>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  <c r="AX64">
        <f>AW64&amp;IF($Y64="","",", "&amp;$Y64)</f>
        <v/>
      </c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0">
        <f>IF($F65="","",COUNTIF($F$5:$F65,$F65))</f>
        <v/>
      </c>
      <c r="H65" s="33">
        <f>IF($F65="","",IFERROR(INDEX(사건마스터!$B$5:$B$64,MATCH($F65,사건마스터!$A$5:$A$64,0)),""))</f>
        <v/>
      </c>
      <c r="I65" s="34">
        <f>IF($F65="","",IFERROR(INDEX(사건마스터!$C$5:$C$64,MATCH($F65,사건마스터!$A$5:$A$64,0)),""))</f>
        <v/>
      </c>
      <c r="J65" s="35">
        <f>IF($F65="","",IFERROR(INDEX(사건마스터!$H$5:$H$64,MATCH($F65,사건마스터!$A$5:$A$64,0)),""))</f>
        <v/>
      </c>
      <c r="K65" s="35">
        <f>IF($F65="","",IFERROR(INDEX(사건마스터!$AH$5:$AH$64,MATCH($F65,사건마스터!$A$5:$A$64,0)),""))</f>
        <v/>
      </c>
      <c r="L65" s="35">
        <f>IF($F65="","",IFERROR(INDEX(사건마스터!$AI$5:$AI$64,MATCH($F65,사건마스터!$A$5:$A$64,0)),""))</f>
        <v/>
      </c>
      <c r="M65" s="35">
        <f>IF($F65="","",IFERROR(INDEX(사건마스터!$AJ$5:$AJ$64,MATCH($F65,사건마스터!$A$5:$A$64,0)),""))</f>
        <v/>
      </c>
      <c r="N65" s="35">
        <f>IF($F65="","",IFERROR(INDEX(사건마스터!$AK$5:$AK$64,MATCH($F65,사건마스터!$A$5:$A$64,0)),""))</f>
        <v/>
      </c>
      <c r="O65" s="35">
        <f>IF($F65="","",IFERROR(INDEX(사건마스터!$AL$5:$AL$64,MATCH($F65,사건마스터!$A$5:$A$64,0)),""))</f>
        <v/>
      </c>
      <c r="P65" s="35">
        <f>IF($F65="","",IFERROR(INDEX(사건마스터!$AM$5:$AM$64,MATCH($F65,사건마스터!$A$5:$A$64,0)),""))</f>
        <v/>
      </c>
      <c r="Q65" s="35">
        <f>IF($F65="","",IFERROR(INDEX(사건마스터!$AN$5:$AN$64,MATCH($F65,사건마스터!$A$5:$A$64,0)),""))</f>
        <v/>
      </c>
      <c r="R65" s="35">
        <f>IF($F65="","",IFERROR(INDEX(사건마스터!$AO$5:$AO$64,MATCH($F65,사건마스터!$A$5:$A$64,0)),""))</f>
        <v/>
      </c>
      <c r="S65" s="35">
        <f>IF($F65="","",IFERROR(INDEX(사건마스터!$AP$5:$AP$64,MATCH($F65,사건마스터!$A$5:$A$64,0)),""))</f>
        <v/>
      </c>
      <c r="T65" s="35">
        <f>IF($F65="","",IFERROR(INDEX(사건마스터!$AQ$5:$AQ$64,MATCH($F65,사건마스터!$A$5:$A$64,0)),""))</f>
        <v/>
      </c>
      <c r="U65" s="35">
        <f>IF($F65="","",IFERROR(INDEX(사건마스터!$AR$5:$AR$64,MATCH($F65,사건마스터!$A$5:$A$64,0)),""))</f>
        <v/>
      </c>
      <c r="V65" s="35">
        <f>IF($F65="","",IFERROR(INDEX(사건마스터!$AS$5:$AS$64,MATCH($F65,사건마스터!$A$5:$A$64,0)),""))</f>
        <v/>
      </c>
      <c r="W65" s="35">
        <f>IF($F65="","",IFERROR(INDEX(사건마스터!$AT$5:$AT$64,MATCH($F65,사건마스터!$A$5:$A$64,0)),""))</f>
        <v/>
      </c>
      <c r="X65" s="35">
        <f>IF($F65="","",IFERROR(INDEX(사건마스터!$AU$5:$AU$64,MATCH($F65,사건마스터!$A$5:$A$64,0)),""))</f>
        <v/>
      </c>
      <c r="Y65" s="35">
        <f>IF($F65="","",IFERROR(INDEX(사건마스터!$AV$5:$AV$64,MATCH($F65,사건마스터!$A$5:$A$64,0)),""))</f>
        <v/>
      </c>
      <c r="Z65" s="30">
        <f>IF(COUNTBLANK($J65:$Y65)=16,"",16-COUNTBLANK($J65:$Y65))</f>
        <v/>
      </c>
      <c r="AA65" s="33">
        <f>IF($J65="",MID($AX65,3,255),$J65&amp;$AX65)</f>
        <v/>
      </c>
      <c r="AB65" s="34">
        <f>IF($J65="","",IFERROR(INDEX(코드설정!$D$5:$D$24,MATCH($J65,코드설정!$C$5:$C$24,0)),""))</f>
        <v/>
      </c>
      <c r="AC65" s="36" t="n"/>
      <c r="AD65" s="37" t="n"/>
      <c r="AE65" s="38" t="n"/>
      <c r="AF65" s="30">
        <f>IF(OR($B65="",$C65=""),"",$C65-$B65+1)</f>
        <v/>
      </c>
      <c r="AG65" s="32" t="n"/>
      <c r="AH65" s="36" t="n"/>
      <c r="AJ65">
        <f>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  <c r="AX65">
        <f>AW65&amp;IF($Y65="","",", "&amp;$Y65)</f>
        <v/>
      </c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0">
        <f>IF($F66="","",COUNTIF($F$5:$F66,$F66))</f>
        <v/>
      </c>
      <c r="H66" s="33">
        <f>IF($F66="","",IFERROR(INDEX(사건마스터!$B$5:$B$64,MATCH($F66,사건마스터!$A$5:$A$64,0)),""))</f>
        <v/>
      </c>
      <c r="I66" s="34">
        <f>IF($F66="","",IFERROR(INDEX(사건마스터!$C$5:$C$64,MATCH($F66,사건마스터!$A$5:$A$64,0)),""))</f>
        <v/>
      </c>
      <c r="J66" s="35">
        <f>IF($F66="","",IFERROR(INDEX(사건마스터!$H$5:$H$64,MATCH($F66,사건마스터!$A$5:$A$64,0)),""))</f>
        <v/>
      </c>
      <c r="K66" s="35">
        <f>IF($F66="","",IFERROR(INDEX(사건마스터!$AH$5:$AH$64,MATCH($F66,사건마스터!$A$5:$A$64,0)),""))</f>
        <v/>
      </c>
      <c r="L66" s="35">
        <f>IF($F66="","",IFERROR(INDEX(사건마스터!$AI$5:$AI$64,MATCH($F66,사건마스터!$A$5:$A$64,0)),""))</f>
        <v/>
      </c>
      <c r="M66" s="35">
        <f>IF($F66="","",IFERROR(INDEX(사건마스터!$AJ$5:$AJ$64,MATCH($F66,사건마스터!$A$5:$A$64,0)),""))</f>
        <v/>
      </c>
      <c r="N66" s="35">
        <f>IF($F66="","",IFERROR(INDEX(사건마스터!$AK$5:$AK$64,MATCH($F66,사건마스터!$A$5:$A$64,0)),""))</f>
        <v/>
      </c>
      <c r="O66" s="35">
        <f>IF($F66="","",IFERROR(INDEX(사건마스터!$AL$5:$AL$64,MATCH($F66,사건마스터!$A$5:$A$64,0)),""))</f>
        <v/>
      </c>
      <c r="P66" s="35">
        <f>IF($F66="","",IFERROR(INDEX(사건마스터!$AM$5:$AM$64,MATCH($F66,사건마스터!$A$5:$A$64,0)),""))</f>
        <v/>
      </c>
      <c r="Q66" s="35">
        <f>IF($F66="","",IFERROR(INDEX(사건마스터!$AN$5:$AN$64,MATCH($F66,사건마스터!$A$5:$A$64,0)),""))</f>
        <v/>
      </c>
      <c r="R66" s="35">
        <f>IF($F66="","",IFERROR(INDEX(사건마스터!$AO$5:$AO$64,MATCH($F66,사건마스터!$A$5:$A$64,0)),""))</f>
        <v/>
      </c>
      <c r="S66" s="35">
        <f>IF($F66="","",IFERROR(INDEX(사건마스터!$AP$5:$AP$64,MATCH($F66,사건마스터!$A$5:$A$64,0)),""))</f>
        <v/>
      </c>
      <c r="T66" s="35">
        <f>IF($F66="","",IFERROR(INDEX(사건마스터!$AQ$5:$AQ$64,MATCH($F66,사건마스터!$A$5:$A$64,0)),""))</f>
        <v/>
      </c>
      <c r="U66" s="35">
        <f>IF($F66="","",IFERROR(INDEX(사건마스터!$AR$5:$AR$64,MATCH($F66,사건마스터!$A$5:$A$64,0)),""))</f>
        <v/>
      </c>
      <c r="V66" s="35">
        <f>IF($F66="","",IFERROR(INDEX(사건마스터!$AS$5:$AS$64,MATCH($F66,사건마스터!$A$5:$A$64,0)),""))</f>
        <v/>
      </c>
      <c r="W66" s="35">
        <f>IF($F66="","",IFERROR(INDEX(사건마스터!$AT$5:$AT$64,MATCH($F66,사건마스터!$A$5:$A$64,0)),""))</f>
        <v/>
      </c>
      <c r="X66" s="35">
        <f>IF($F66="","",IFERROR(INDEX(사건마스터!$AU$5:$AU$64,MATCH($F66,사건마스터!$A$5:$A$64,0)),""))</f>
        <v/>
      </c>
      <c r="Y66" s="35">
        <f>IF($F66="","",IFERROR(INDEX(사건마스터!$AV$5:$AV$64,MATCH($F66,사건마스터!$A$5:$A$64,0)),""))</f>
        <v/>
      </c>
      <c r="Z66" s="30">
        <f>IF(COUNTBLANK($J66:$Y66)=16,"",16-COUNTBLANK($J66:$Y66))</f>
        <v/>
      </c>
      <c r="AA66" s="33">
        <f>IF($J66="",MID($AX66,3,255),$J66&amp;$AX66)</f>
        <v/>
      </c>
      <c r="AB66" s="34">
        <f>IF($J66="","",IFERROR(INDEX(코드설정!$D$5:$D$24,MATCH($J66,코드설정!$C$5:$C$24,0)),""))</f>
        <v/>
      </c>
      <c r="AC66" s="36" t="n"/>
      <c r="AD66" s="37" t="n"/>
      <c r="AE66" s="38" t="n"/>
      <c r="AF66" s="30">
        <f>IF(OR($B66="",$C66=""),"",$C66-$B66+1)</f>
        <v/>
      </c>
      <c r="AG66" s="32" t="n"/>
      <c r="AH66" s="36" t="n"/>
      <c r="AJ66">
        <f>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  <c r="AX66">
        <f>AW66&amp;IF($Y66="","",", "&amp;$Y66)</f>
        <v/>
      </c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0">
        <f>IF($F67="","",COUNTIF($F$5:$F67,$F67))</f>
        <v/>
      </c>
      <c r="H67" s="33">
        <f>IF($F67="","",IFERROR(INDEX(사건마스터!$B$5:$B$64,MATCH($F67,사건마스터!$A$5:$A$64,0)),""))</f>
        <v/>
      </c>
      <c r="I67" s="34">
        <f>IF($F67="","",IFERROR(INDEX(사건마스터!$C$5:$C$64,MATCH($F67,사건마스터!$A$5:$A$64,0)),""))</f>
        <v/>
      </c>
      <c r="J67" s="35">
        <f>IF($F67="","",IFERROR(INDEX(사건마스터!$H$5:$H$64,MATCH($F67,사건마스터!$A$5:$A$64,0)),""))</f>
        <v/>
      </c>
      <c r="K67" s="35">
        <f>IF($F67="","",IFERROR(INDEX(사건마스터!$AH$5:$AH$64,MATCH($F67,사건마스터!$A$5:$A$64,0)),""))</f>
        <v/>
      </c>
      <c r="L67" s="35">
        <f>IF($F67="","",IFERROR(INDEX(사건마스터!$AI$5:$AI$64,MATCH($F67,사건마스터!$A$5:$A$64,0)),""))</f>
        <v/>
      </c>
      <c r="M67" s="35">
        <f>IF($F67="","",IFERROR(INDEX(사건마스터!$AJ$5:$AJ$64,MATCH($F67,사건마스터!$A$5:$A$64,0)),""))</f>
        <v/>
      </c>
      <c r="N67" s="35">
        <f>IF($F67="","",IFERROR(INDEX(사건마스터!$AK$5:$AK$64,MATCH($F67,사건마스터!$A$5:$A$64,0)),""))</f>
        <v/>
      </c>
      <c r="O67" s="35">
        <f>IF($F67="","",IFERROR(INDEX(사건마스터!$AL$5:$AL$64,MATCH($F67,사건마스터!$A$5:$A$64,0)),""))</f>
        <v/>
      </c>
      <c r="P67" s="35">
        <f>IF($F67="","",IFERROR(INDEX(사건마스터!$AM$5:$AM$64,MATCH($F67,사건마스터!$A$5:$A$64,0)),""))</f>
        <v/>
      </c>
      <c r="Q67" s="35">
        <f>IF($F67="","",IFERROR(INDEX(사건마스터!$AN$5:$AN$64,MATCH($F67,사건마스터!$A$5:$A$64,0)),""))</f>
        <v/>
      </c>
      <c r="R67" s="35">
        <f>IF($F67="","",IFERROR(INDEX(사건마스터!$AO$5:$AO$64,MATCH($F67,사건마스터!$A$5:$A$64,0)),""))</f>
        <v/>
      </c>
      <c r="S67" s="35">
        <f>IF($F67="","",IFERROR(INDEX(사건마스터!$AP$5:$AP$64,MATCH($F67,사건마스터!$A$5:$A$64,0)),""))</f>
        <v/>
      </c>
      <c r="T67" s="35">
        <f>IF($F67="","",IFERROR(INDEX(사건마스터!$AQ$5:$AQ$64,MATCH($F67,사건마스터!$A$5:$A$64,0)),""))</f>
        <v/>
      </c>
      <c r="U67" s="35">
        <f>IF($F67="","",IFERROR(INDEX(사건마스터!$AR$5:$AR$64,MATCH($F67,사건마스터!$A$5:$A$64,0)),""))</f>
        <v/>
      </c>
      <c r="V67" s="35">
        <f>IF($F67="","",IFERROR(INDEX(사건마스터!$AS$5:$AS$64,MATCH($F67,사건마스터!$A$5:$A$64,0)),""))</f>
        <v/>
      </c>
      <c r="W67" s="35">
        <f>IF($F67="","",IFERROR(INDEX(사건마스터!$AT$5:$AT$64,MATCH($F67,사건마스터!$A$5:$A$64,0)),""))</f>
        <v/>
      </c>
      <c r="X67" s="35">
        <f>IF($F67="","",IFERROR(INDEX(사건마스터!$AU$5:$AU$64,MATCH($F67,사건마스터!$A$5:$A$64,0)),""))</f>
        <v/>
      </c>
      <c r="Y67" s="35">
        <f>IF($F67="","",IFERROR(INDEX(사건마스터!$AV$5:$AV$64,MATCH($F67,사건마스터!$A$5:$A$64,0)),""))</f>
        <v/>
      </c>
      <c r="Z67" s="30">
        <f>IF(COUNTBLANK($J67:$Y67)=16,"",16-COUNTBLANK($J67:$Y67))</f>
        <v/>
      </c>
      <c r="AA67" s="33">
        <f>IF($J67="",MID($AX67,3,255),$J67&amp;$AX67)</f>
        <v/>
      </c>
      <c r="AB67" s="34">
        <f>IF($J67="","",IFERROR(INDEX(코드설정!$D$5:$D$24,MATCH($J67,코드설정!$C$5:$C$24,0)),""))</f>
        <v/>
      </c>
      <c r="AC67" s="36" t="n"/>
      <c r="AD67" s="37" t="n"/>
      <c r="AE67" s="38" t="n"/>
      <c r="AF67" s="30">
        <f>IF(OR($B67="",$C67=""),"",$C67-$B67+1)</f>
        <v/>
      </c>
      <c r="AG67" s="32" t="n"/>
      <c r="AH67" s="36" t="n"/>
      <c r="AJ67">
        <f>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  <c r="AX67">
        <f>AW67&amp;IF($Y67="","",", "&amp;$Y67)</f>
        <v/>
      </c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0">
        <f>IF($F68="","",COUNTIF($F$5:$F68,$F68))</f>
        <v/>
      </c>
      <c r="H68" s="33">
        <f>IF($F68="","",IFERROR(INDEX(사건마스터!$B$5:$B$64,MATCH($F68,사건마스터!$A$5:$A$64,0)),""))</f>
        <v/>
      </c>
      <c r="I68" s="34">
        <f>IF($F68="","",IFERROR(INDEX(사건마스터!$C$5:$C$64,MATCH($F68,사건마스터!$A$5:$A$64,0)),""))</f>
        <v/>
      </c>
      <c r="J68" s="35">
        <f>IF($F68="","",IFERROR(INDEX(사건마스터!$H$5:$H$64,MATCH($F68,사건마스터!$A$5:$A$64,0)),""))</f>
        <v/>
      </c>
      <c r="K68" s="35">
        <f>IF($F68="","",IFERROR(INDEX(사건마스터!$AH$5:$AH$64,MATCH($F68,사건마스터!$A$5:$A$64,0)),""))</f>
        <v/>
      </c>
      <c r="L68" s="35">
        <f>IF($F68="","",IFERROR(INDEX(사건마스터!$AI$5:$AI$64,MATCH($F68,사건마스터!$A$5:$A$64,0)),""))</f>
        <v/>
      </c>
      <c r="M68" s="35">
        <f>IF($F68="","",IFERROR(INDEX(사건마스터!$AJ$5:$AJ$64,MATCH($F68,사건마스터!$A$5:$A$64,0)),""))</f>
        <v/>
      </c>
      <c r="N68" s="35">
        <f>IF($F68="","",IFERROR(INDEX(사건마스터!$AK$5:$AK$64,MATCH($F68,사건마스터!$A$5:$A$64,0)),""))</f>
        <v/>
      </c>
      <c r="O68" s="35">
        <f>IF($F68="","",IFERROR(INDEX(사건마스터!$AL$5:$AL$64,MATCH($F68,사건마스터!$A$5:$A$64,0)),""))</f>
        <v/>
      </c>
      <c r="P68" s="35">
        <f>IF($F68="","",IFERROR(INDEX(사건마스터!$AM$5:$AM$64,MATCH($F68,사건마스터!$A$5:$A$64,0)),""))</f>
        <v/>
      </c>
      <c r="Q68" s="35">
        <f>IF($F68="","",IFERROR(INDEX(사건마스터!$AN$5:$AN$64,MATCH($F68,사건마스터!$A$5:$A$64,0)),""))</f>
        <v/>
      </c>
      <c r="R68" s="35">
        <f>IF($F68="","",IFERROR(INDEX(사건마스터!$AO$5:$AO$64,MATCH($F68,사건마스터!$A$5:$A$64,0)),""))</f>
        <v/>
      </c>
      <c r="S68" s="35">
        <f>IF($F68="","",IFERROR(INDEX(사건마스터!$AP$5:$AP$64,MATCH($F68,사건마스터!$A$5:$A$64,0)),""))</f>
        <v/>
      </c>
      <c r="T68" s="35">
        <f>IF($F68="","",IFERROR(INDEX(사건마스터!$AQ$5:$AQ$64,MATCH($F68,사건마스터!$A$5:$A$64,0)),""))</f>
        <v/>
      </c>
      <c r="U68" s="35">
        <f>IF($F68="","",IFERROR(INDEX(사건마스터!$AR$5:$AR$64,MATCH($F68,사건마스터!$A$5:$A$64,0)),""))</f>
        <v/>
      </c>
      <c r="V68" s="35">
        <f>IF($F68="","",IFERROR(INDEX(사건마스터!$AS$5:$AS$64,MATCH($F68,사건마스터!$A$5:$A$64,0)),""))</f>
        <v/>
      </c>
      <c r="W68" s="35">
        <f>IF($F68="","",IFERROR(INDEX(사건마스터!$AT$5:$AT$64,MATCH($F68,사건마스터!$A$5:$A$64,0)),""))</f>
        <v/>
      </c>
      <c r="X68" s="35">
        <f>IF($F68="","",IFERROR(INDEX(사건마스터!$AU$5:$AU$64,MATCH($F68,사건마스터!$A$5:$A$64,0)),""))</f>
        <v/>
      </c>
      <c r="Y68" s="35">
        <f>IF($F68="","",IFERROR(INDEX(사건마스터!$AV$5:$AV$64,MATCH($F68,사건마스터!$A$5:$A$64,0)),""))</f>
        <v/>
      </c>
      <c r="Z68" s="30">
        <f>IF(COUNTBLANK($J68:$Y68)=16,"",16-COUNTBLANK($J68:$Y68))</f>
        <v/>
      </c>
      <c r="AA68" s="33">
        <f>IF($J68="",MID($AX68,3,255),$J68&amp;$AX68)</f>
        <v/>
      </c>
      <c r="AB68" s="34">
        <f>IF($J68="","",IFERROR(INDEX(코드설정!$D$5:$D$24,MATCH($J68,코드설정!$C$5:$C$24,0)),""))</f>
        <v/>
      </c>
      <c r="AC68" s="36" t="n"/>
      <c r="AD68" s="37" t="n"/>
      <c r="AE68" s="38" t="n"/>
      <c r="AF68" s="30">
        <f>IF(OR($B68="",$C68=""),"",$C68-$B68+1)</f>
        <v/>
      </c>
      <c r="AG68" s="32" t="n"/>
      <c r="AH68" s="36" t="n"/>
      <c r="AJ68">
        <f>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  <c r="AX68">
        <f>AW68&amp;IF($Y68="","",", "&amp;$Y68)</f>
        <v/>
      </c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0">
        <f>IF($F69="","",COUNTIF($F$5:$F69,$F69))</f>
        <v/>
      </c>
      <c r="H69" s="33">
        <f>IF($F69="","",IFERROR(INDEX(사건마스터!$B$5:$B$64,MATCH($F69,사건마스터!$A$5:$A$64,0)),""))</f>
        <v/>
      </c>
      <c r="I69" s="34">
        <f>IF($F69="","",IFERROR(INDEX(사건마스터!$C$5:$C$64,MATCH($F69,사건마스터!$A$5:$A$64,0)),""))</f>
        <v/>
      </c>
      <c r="J69" s="35">
        <f>IF($F69="","",IFERROR(INDEX(사건마스터!$H$5:$H$64,MATCH($F69,사건마스터!$A$5:$A$64,0)),""))</f>
        <v/>
      </c>
      <c r="K69" s="35">
        <f>IF($F69="","",IFERROR(INDEX(사건마스터!$AH$5:$AH$64,MATCH($F69,사건마스터!$A$5:$A$64,0)),""))</f>
        <v/>
      </c>
      <c r="L69" s="35">
        <f>IF($F69="","",IFERROR(INDEX(사건마스터!$AI$5:$AI$64,MATCH($F69,사건마스터!$A$5:$A$64,0)),""))</f>
        <v/>
      </c>
      <c r="M69" s="35">
        <f>IF($F69="","",IFERROR(INDEX(사건마스터!$AJ$5:$AJ$64,MATCH($F69,사건마스터!$A$5:$A$64,0)),""))</f>
        <v/>
      </c>
      <c r="N69" s="35">
        <f>IF($F69="","",IFERROR(INDEX(사건마스터!$AK$5:$AK$64,MATCH($F69,사건마스터!$A$5:$A$64,0)),""))</f>
        <v/>
      </c>
      <c r="O69" s="35">
        <f>IF($F69="","",IFERROR(INDEX(사건마스터!$AL$5:$AL$64,MATCH($F69,사건마스터!$A$5:$A$64,0)),""))</f>
        <v/>
      </c>
      <c r="P69" s="35">
        <f>IF($F69="","",IFERROR(INDEX(사건마스터!$AM$5:$AM$64,MATCH($F69,사건마스터!$A$5:$A$64,0)),""))</f>
        <v/>
      </c>
      <c r="Q69" s="35">
        <f>IF($F69="","",IFERROR(INDEX(사건마스터!$AN$5:$AN$64,MATCH($F69,사건마스터!$A$5:$A$64,0)),""))</f>
        <v/>
      </c>
      <c r="R69" s="35">
        <f>IF($F69="","",IFERROR(INDEX(사건마스터!$AO$5:$AO$64,MATCH($F69,사건마스터!$A$5:$A$64,0)),""))</f>
        <v/>
      </c>
      <c r="S69" s="35">
        <f>IF($F69="","",IFERROR(INDEX(사건마스터!$AP$5:$AP$64,MATCH($F69,사건마스터!$A$5:$A$64,0)),""))</f>
        <v/>
      </c>
      <c r="T69" s="35">
        <f>IF($F69="","",IFERROR(INDEX(사건마스터!$AQ$5:$AQ$64,MATCH($F69,사건마스터!$A$5:$A$64,0)),""))</f>
        <v/>
      </c>
      <c r="U69" s="35">
        <f>IF($F69="","",IFERROR(INDEX(사건마스터!$AR$5:$AR$64,MATCH($F69,사건마스터!$A$5:$A$64,0)),""))</f>
        <v/>
      </c>
      <c r="V69" s="35">
        <f>IF($F69="","",IFERROR(INDEX(사건마스터!$AS$5:$AS$64,MATCH($F69,사건마스터!$A$5:$A$64,0)),""))</f>
        <v/>
      </c>
      <c r="W69" s="35">
        <f>IF($F69="","",IFERROR(INDEX(사건마스터!$AT$5:$AT$64,MATCH($F69,사건마스터!$A$5:$A$64,0)),""))</f>
        <v/>
      </c>
      <c r="X69" s="35">
        <f>IF($F69="","",IFERROR(INDEX(사건마스터!$AU$5:$AU$64,MATCH($F69,사건마스터!$A$5:$A$64,0)),""))</f>
        <v/>
      </c>
      <c r="Y69" s="35">
        <f>IF($F69="","",IFERROR(INDEX(사건마스터!$AV$5:$AV$64,MATCH($F69,사건마스터!$A$5:$A$64,0)),""))</f>
        <v/>
      </c>
      <c r="Z69" s="30">
        <f>IF(COUNTBLANK($J69:$Y69)=16,"",16-COUNTBLANK($J69:$Y69))</f>
        <v/>
      </c>
      <c r="AA69" s="33">
        <f>IF($J69="",MID($AX69,3,255),$J69&amp;$AX69)</f>
        <v/>
      </c>
      <c r="AB69" s="34">
        <f>IF($J69="","",IFERROR(INDEX(코드설정!$D$5:$D$24,MATCH($J69,코드설정!$C$5:$C$24,0)),""))</f>
        <v/>
      </c>
      <c r="AC69" s="36" t="n"/>
      <c r="AD69" s="37" t="n"/>
      <c r="AE69" s="38" t="n"/>
      <c r="AF69" s="30">
        <f>IF(OR($B69="",$C69=""),"",$C69-$B69+1)</f>
        <v/>
      </c>
      <c r="AG69" s="32" t="n"/>
      <c r="AH69" s="36" t="n"/>
      <c r="AJ69">
        <f>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  <c r="AX69">
        <f>AW69&amp;IF($Y69="","",", "&amp;$Y69)</f>
        <v/>
      </c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0">
        <f>IF($F70="","",COUNTIF($F$5:$F70,$F70))</f>
        <v/>
      </c>
      <c r="H70" s="33">
        <f>IF($F70="","",IFERROR(INDEX(사건마스터!$B$5:$B$64,MATCH($F70,사건마스터!$A$5:$A$64,0)),""))</f>
        <v/>
      </c>
      <c r="I70" s="34">
        <f>IF($F70="","",IFERROR(INDEX(사건마스터!$C$5:$C$64,MATCH($F70,사건마스터!$A$5:$A$64,0)),""))</f>
        <v/>
      </c>
      <c r="J70" s="35">
        <f>IF($F70="","",IFERROR(INDEX(사건마스터!$H$5:$H$64,MATCH($F70,사건마스터!$A$5:$A$64,0)),""))</f>
        <v/>
      </c>
      <c r="K70" s="35">
        <f>IF($F70="","",IFERROR(INDEX(사건마스터!$AH$5:$AH$64,MATCH($F70,사건마스터!$A$5:$A$64,0)),""))</f>
        <v/>
      </c>
      <c r="L70" s="35">
        <f>IF($F70="","",IFERROR(INDEX(사건마스터!$AI$5:$AI$64,MATCH($F70,사건마스터!$A$5:$A$64,0)),""))</f>
        <v/>
      </c>
      <c r="M70" s="35">
        <f>IF($F70="","",IFERROR(INDEX(사건마스터!$AJ$5:$AJ$64,MATCH($F70,사건마스터!$A$5:$A$64,0)),""))</f>
        <v/>
      </c>
      <c r="N70" s="35">
        <f>IF($F70="","",IFERROR(INDEX(사건마스터!$AK$5:$AK$64,MATCH($F70,사건마스터!$A$5:$A$64,0)),""))</f>
        <v/>
      </c>
      <c r="O70" s="35">
        <f>IF($F70="","",IFERROR(INDEX(사건마스터!$AL$5:$AL$64,MATCH($F70,사건마스터!$A$5:$A$64,0)),""))</f>
        <v/>
      </c>
      <c r="P70" s="35">
        <f>IF($F70="","",IFERROR(INDEX(사건마스터!$AM$5:$AM$64,MATCH($F70,사건마스터!$A$5:$A$64,0)),""))</f>
        <v/>
      </c>
      <c r="Q70" s="35">
        <f>IF($F70="","",IFERROR(INDEX(사건마스터!$AN$5:$AN$64,MATCH($F70,사건마스터!$A$5:$A$64,0)),""))</f>
        <v/>
      </c>
      <c r="R70" s="35">
        <f>IF($F70="","",IFERROR(INDEX(사건마스터!$AO$5:$AO$64,MATCH($F70,사건마스터!$A$5:$A$64,0)),""))</f>
        <v/>
      </c>
      <c r="S70" s="35">
        <f>IF($F70="","",IFERROR(INDEX(사건마스터!$AP$5:$AP$64,MATCH($F70,사건마스터!$A$5:$A$64,0)),""))</f>
        <v/>
      </c>
      <c r="T70" s="35">
        <f>IF($F70="","",IFERROR(INDEX(사건마스터!$AQ$5:$AQ$64,MATCH($F70,사건마스터!$A$5:$A$64,0)),""))</f>
        <v/>
      </c>
      <c r="U70" s="35">
        <f>IF($F70="","",IFERROR(INDEX(사건마스터!$AR$5:$AR$64,MATCH($F70,사건마스터!$A$5:$A$64,0)),""))</f>
        <v/>
      </c>
      <c r="V70" s="35">
        <f>IF($F70="","",IFERROR(INDEX(사건마스터!$AS$5:$AS$64,MATCH($F70,사건마스터!$A$5:$A$64,0)),""))</f>
        <v/>
      </c>
      <c r="W70" s="35">
        <f>IF($F70="","",IFERROR(INDEX(사건마스터!$AT$5:$AT$64,MATCH($F70,사건마스터!$A$5:$A$64,0)),""))</f>
        <v/>
      </c>
      <c r="X70" s="35">
        <f>IF($F70="","",IFERROR(INDEX(사건마스터!$AU$5:$AU$64,MATCH($F70,사건마스터!$A$5:$A$64,0)),""))</f>
        <v/>
      </c>
      <c r="Y70" s="35">
        <f>IF($F70="","",IFERROR(INDEX(사건마스터!$AV$5:$AV$64,MATCH($F70,사건마스터!$A$5:$A$64,0)),""))</f>
        <v/>
      </c>
      <c r="Z70" s="30">
        <f>IF(COUNTBLANK($J70:$Y70)=16,"",16-COUNTBLANK($J70:$Y70))</f>
        <v/>
      </c>
      <c r="AA70" s="33">
        <f>IF($J70="",MID($AX70,3,255),$J70&amp;$AX70)</f>
        <v/>
      </c>
      <c r="AB70" s="34">
        <f>IF($J70="","",IFERROR(INDEX(코드설정!$D$5:$D$24,MATCH($J70,코드설정!$C$5:$C$24,0)),""))</f>
        <v/>
      </c>
      <c r="AC70" s="36" t="n"/>
      <c r="AD70" s="37" t="n"/>
      <c r="AE70" s="38" t="n"/>
      <c r="AF70" s="30">
        <f>IF(OR($B70="",$C70=""),"",$C70-$B70+1)</f>
        <v/>
      </c>
      <c r="AG70" s="32" t="n"/>
      <c r="AH70" s="36" t="n"/>
      <c r="AJ70">
        <f>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  <c r="AX70">
        <f>AW70&amp;IF($Y70="","",", "&amp;$Y70)</f>
        <v/>
      </c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0">
        <f>IF($F71="","",COUNTIF($F$5:$F71,$F71))</f>
        <v/>
      </c>
      <c r="H71" s="33">
        <f>IF($F71="","",IFERROR(INDEX(사건마스터!$B$5:$B$64,MATCH($F71,사건마스터!$A$5:$A$64,0)),""))</f>
        <v/>
      </c>
      <c r="I71" s="34">
        <f>IF($F71="","",IFERROR(INDEX(사건마스터!$C$5:$C$64,MATCH($F71,사건마스터!$A$5:$A$64,0)),""))</f>
        <v/>
      </c>
      <c r="J71" s="35">
        <f>IF($F71="","",IFERROR(INDEX(사건마스터!$H$5:$H$64,MATCH($F71,사건마스터!$A$5:$A$64,0)),""))</f>
        <v/>
      </c>
      <c r="K71" s="35">
        <f>IF($F71="","",IFERROR(INDEX(사건마스터!$AH$5:$AH$64,MATCH($F71,사건마스터!$A$5:$A$64,0)),""))</f>
        <v/>
      </c>
      <c r="L71" s="35">
        <f>IF($F71="","",IFERROR(INDEX(사건마스터!$AI$5:$AI$64,MATCH($F71,사건마스터!$A$5:$A$64,0)),""))</f>
        <v/>
      </c>
      <c r="M71" s="35">
        <f>IF($F71="","",IFERROR(INDEX(사건마스터!$AJ$5:$AJ$64,MATCH($F71,사건마스터!$A$5:$A$64,0)),""))</f>
        <v/>
      </c>
      <c r="N71" s="35">
        <f>IF($F71="","",IFERROR(INDEX(사건마스터!$AK$5:$AK$64,MATCH($F71,사건마스터!$A$5:$A$64,0)),""))</f>
        <v/>
      </c>
      <c r="O71" s="35">
        <f>IF($F71="","",IFERROR(INDEX(사건마스터!$AL$5:$AL$64,MATCH($F71,사건마스터!$A$5:$A$64,0)),""))</f>
        <v/>
      </c>
      <c r="P71" s="35">
        <f>IF($F71="","",IFERROR(INDEX(사건마스터!$AM$5:$AM$64,MATCH($F71,사건마스터!$A$5:$A$64,0)),""))</f>
        <v/>
      </c>
      <c r="Q71" s="35">
        <f>IF($F71="","",IFERROR(INDEX(사건마스터!$AN$5:$AN$64,MATCH($F71,사건마스터!$A$5:$A$64,0)),""))</f>
        <v/>
      </c>
      <c r="R71" s="35">
        <f>IF($F71="","",IFERROR(INDEX(사건마스터!$AO$5:$AO$64,MATCH($F71,사건마스터!$A$5:$A$64,0)),""))</f>
        <v/>
      </c>
      <c r="S71" s="35">
        <f>IF($F71="","",IFERROR(INDEX(사건마스터!$AP$5:$AP$64,MATCH($F71,사건마스터!$A$5:$A$64,0)),""))</f>
        <v/>
      </c>
      <c r="T71" s="35">
        <f>IF($F71="","",IFERROR(INDEX(사건마스터!$AQ$5:$AQ$64,MATCH($F71,사건마스터!$A$5:$A$64,0)),""))</f>
        <v/>
      </c>
      <c r="U71" s="35">
        <f>IF($F71="","",IFERROR(INDEX(사건마스터!$AR$5:$AR$64,MATCH($F71,사건마스터!$A$5:$A$64,0)),""))</f>
        <v/>
      </c>
      <c r="V71" s="35">
        <f>IF($F71="","",IFERROR(INDEX(사건마스터!$AS$5:$AS$64,MATCH($F71,사건마스터!$A$5:$A$64,0)),""))</f>
        <v/>
      </c>
      <c r="W71" s="35">
        <f>IF($F71="","",IFERROR(INDEX(사건마스터!$AT$5:$AT$64,MATCH($F71,사건마스터!$A$5:$A$64,0)),""))</f>
        <v/>
      </c>
      <c r="X71" s="35">
        <f>IF($F71="","",IFERROR(INDEX(사건마스터!$AU$5:$AU$64,MATCH($F71,사건마스터!$A$5:$A$64,0)),""))</f>
        <v/>
      </c>
      <c r="Y71" s="35">
        <f>IF($F71="","",IFERROR(INDEX(사건마스터!$AV$5:$AV$64,MATCH($F71,사건마스터!$A$5:$A$64,0)),""))</f>
        <v/>
      </c>
      <c r="Z71" s="30">
        <f>IF(COUNTBLANK($J71:$Y71)=16,"",16-COUNTBLANK($J71:$Y71))</f>
        <v/>
      </c>
      <c r="AA71" s="33">
        <f>IF($J71="",MID($AX71,3,255),$J71&amp;$AX71)</f>
        <v/>
      </c>
      <c r="AB71" s="34">
        <f>IF($J71="","",IFERROR(INDEX(코드설정!$D$5:$D$24,MATCH($J71,코드설정!$C$5:$C$24,0)),""))</f>
        <v/>
      </c>
      <c r="AC71" s="36" t="n"/>
      <c r="AD71" s="37" t="n"/>
      <c r="AE71" s="38" t="n"/>
      <c r="AF71" s="30">
        <f>IF(OR($B71="",$C71=""),"",$C71-$B71+1)</f>
        <v/>
      </c>
      <c r="AG71" s="32" t="n"/>
      <c r="AH71" s="36" t="n"/>
      <c r="AJ71">
        <f>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  <c r="AX71">
        <f>AW71&amp;IF($Y71="","",", "&amp;$Y71)</f>
        <v/>
      </c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0">
        <f>IF($F72="","",COUNTIF($F$5:$F72,$F72))</f>
        <v/>
      </c>
      <c r="H72" s="33">
        <f>IF($F72="","",IFERROR(INDEX(사건마스터!$B$5:$B$64,MATCH($F72,사건마스터!$A$5:$A$64,0)),""))</f>
        <v/>
      </c>
      <c r="I72" s="34">
        <f>IF($F72="","",IFERROR(INDEX(사건마스터!$C$5:$C$64,MATCH($F72,사건마스터!$A$5:$A$64,0)),""))</f>
        <v/>
      </c>
      <c r="J72" s="35">
        <f>IF($F72="","",IFERROR(INDEX(사건마스터!$H$5:$H$64,MATCH($F72,사건마스터!$A$5:$A$64,0)),""))</f>
        <v/>
      </c>
      <c r="K72" s="35">
        <f>IF($F72="","",IFERROR(INDEX(사건마스터!$AH$5:$AH$64,MATCH($F72,사건마스터!$A$5:$A$64,0)),""))</f>
        <v/>
      </c>
      <c r="L72" s="35">
        <f>IF($F72="","",IFERROR(INDEX(사건마스터!$AI$5:$AI$64,MATCH($F72,사건마스터!$A$5:$A$64,0)),""))</f>
        <v/>
      </c>
      <c r="M72" s="35">
        <f>IF($F72="","",IFERROR(INDEX(사건마스터!$AJ$5:$AJ$64,MATCH($F72,사건마스터!$A$5:$A$64,0)),""))</f>
        <v/>
      </c>
      <c r="N72" s="35">
        <f>IF($F72="","",IFERROR(INDEX(사건마스터!$AK$5:$AK$64,MATCH($F72,사건마스터!$A$5:$A$64,0)),""))</f>
        <v/>
      </c>
      <c r="O72" s="35">
        <f>IF($F72="","",IFERROR(INDEX(사건마스터!$AL$5:$AL$64,MATCH($F72,사건마스터!$A$5:$A$64,0)),""))</f>
        <v/>
      </c>
      <c r="P72" s="35">
        <f>IF($F72="","",IFERROR(INDEX(사건마스터!$AM$5:$AM$64,MATCH($F72,사건마스터!$A$5:$A$64,0)),""))</f>
        <v/>
      </c>
      <c r="Q72" s="35">
        <f>IF($F72="","",IFERROR(INDEX(사건마스터!$AN$5:$AN$64,MATCH($F72,사건마스터!$A$5:$A$64,0)),""))</f>
        <v/>
      </c>
      <c r="R72" s="35">
        <f>IF($F72="","",IFERROR(INDEX(사건마스터!$AO$5:$AO$64,MATCH($F72,사건마스터!$A$5:$A$64,0)),""))</f>
        <v/>
      </c>
      <c r="S72" s="35">
        <f>IF($F72="","",IFERROR(INDEX(사건마스터!$AP$5:$AP$64,MATCH($F72,사건마스터!$A$5:$A$64,0)),""))</f>
        <v/>
      </c>
      <c r="T72" s="35">
        <f>IF($F72="","",IFERROR(INDEX(사건마스터!$AQ$5:$AQ$64,MATCH($F72,사건마스터!$A$5:$A$64,0)),""))</f>
        <v/>
      </c>
      <c r="U72" s="35">
        <f>IF($F72="","",IFERROR(INDEX(사건마스터!$AR$5:$AR$64,MATCH($F72,사건마스터!$A$5:$A$64,0)),""))</f>
        <v/>
      </c>
      <c r="V72" s="35">
        <f>IF($F72="","",IFERROR(INDEX(사건마스터!$AS$5:$AS$64,MATCH($F72,사건마스터!$A$5:$A$64,0)),""))</f>
        <v/>
      </c>
      <c r="W72" s="35">
        <f>IF($F72="","",IFERROR(INDEX(사건마스터!$AT$5:$AT$64,MATCH($F72,사건마스터!$A$5:$A$64,0)),""))</f>
        <v/>
      </c>
      <c r="X72" s="35">
        <f>IF($F72="","",IFERROR(INDEX(사건마스터!$AU$5:$AU$64,MATCH($F72,사건마스터!$A$5:$A$64,0)),""))</f>
        <v/>
      </c>
      <c r="Y72" s="35">
        <f>IF($F72="","",IFERROR(INDEX(사건마스터!$AV$5:$AV$64,MATCH($F72,사건마스터!$A$5:$A$64,0)),""))</f>
        <v/>
      </c>
      <c r="Z72" s="30">
        <f>IF(COUNTBLANK($J72:$Y72)=16,"",16-COUNTBLANK($J72:$Y72))</f>
        <v/>
      </c>
      <c r="AA72" s="33">
        <f>IF($J72="",MID($AX72,3,255),$J72&amp;$AX72)</f>
        <v/>
      </c>
      <c r="AB72" s="34">
        <f>IF($J72="","",IFERROR(INDEX(코드설정!$D$5:$D$24,MATCH($J72,코드설정!$C$5:$C$24,0)),""))</f>
        <v/>
      </c>
      <c r="AC72" s="36" t="n"/>
      <c r="AD72" s="37" t="n"/>
      <c r="AE72" s="38" t="n"/>
      <c r="AF72" s="30">
        <f>IF(OR($B72="",$C72=""),"",$C72-$B72+1)</f>
        <v/>
      </c>
      <c r="AG72" s="32" t="n"/>
      <c r="AH72" s="36" t="n"/>
      <c r="AJ72">
        <f>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  <c r="AX72">
        <f>AW72&amp;IF($Y72="","",", "&amp;$Y72)</f>
        <v/>
      </c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0">
        <f>IF($F73="","",COUNTIF($F$5:$F73,$F73))</f>
        <v/>
      </c>
      <c r="H73" s="33">
        <f>IF($F73="","",IFERROR(INDEX(사건마스터!$B$5:$B$64,MATCH($F73,사건마스터!$A$5:$A$64,0)),""))</f>
        <v/>
      </c>
      <c r="I73" s="34">
        <f>IF($F73="","",IFERROR(INDEX(사건마스터!$C$5:$C$64,MATCH($F73,사건마스터!$A$5:$A$64,0)),""))</f>
        <v/>
      </c>
      <c r="J73" s="35">
        <f>IF($F73="","",IFERROR(INDEX(사건마스터!$H$5:$H$64,MATCH($F73,사건마스터!$A$5:$A$64,0)),""))</f>
        <v/>
      </c>
      <c r="K73" s="35">
        <f>IF($F73="","",IFERROR(INDEX(사건마스터!$AH$5:$AH$64,MATCH($F73,사건마스터!$A$5:$A$64,0)),""))</f>
        <v/>
      </c>
      <c r="L73" s="35">
        <f>IF($F73="","",IFERROR(INDEX(사건마스터!$AI$5:$AI$64,MATCH($F73,사건마스터!$A$5:$A$64,0)),""))</f>
        <v/>
      </c>
      <c r="M73" s="35">
        <f>IF($F73="","",IFERROR(INDEX(사건마스터!$AJ$5:$AJ$64,MATCH($F73,사건마스터!$A$5:$A$64,0)),""))</f>
        <v/>
      </c>
      <c r="N73" s="35">
        <f>IF($F73="","",IFERROR(INDEX(사건마스터!$AK$5:$AK$64,MATCH($F73,사건마스터!$A$5:$A$64,0)),""))</f>
        <v/>
      </c>
      <c r="O73" s="35">
        <f>IF($F73="","",IFERROR(INDEX(사건마스터!$AL$5:$AL$64,MATCH($F73,사건마스터!$A$5:$A$64,0)),""))</f>
        <v/>
      </c>
      <c r="P73" s="35">
        <f>IF($F73="","",IFERROR(INDEX(사건마스터!$AM$5:$AM$64,MATCH($F73,사건마스터!$A$5:$A$64,0)),""))</f>
        <v/>
      </c>
      <c r="Q73" s="35">
        <f>IF($F73="","",IFERROR(INDEX(사건마스터!$AN$5:$AN$64,MATCH($F73,사건마스터!$A$5:$A$64,0)),""))</f>
        <v/>
      </c>
      <c r="R73" s="35">
        <f>IF($F73="","",IFERROR(INDEX(사건마스터!$AO$5:$AO$64,MATCH($F73,사건마스터!$A$5:$A$64,0)),""))</f>
        <v/>
      </c>
      <c r="S73" s="35">
        <f>IF($F73="","",IFERROR(INDEX(사건마스터!$AP$5:$AP$64,MATCH($F73,사건마스터!$A$5:$A$64,0)),""))</f>
        <v/>
      </c>
      <c r="T73" s="35">
        <f>IF($F73="","",IFERROR(INDEX(사건마스터!$AQ$5:$AQ$64,MATCH($F73,사건마스터!$A$5:$A$64,0)),""))</f>
        <v/>
      </c>
      <c r="U73" s="35">
        <f>IF($F73="","",IFERROR(INDEX(사건마스터!$AR$5:$AR$64,MATCH($F73,사건마스터!$A$5:$A$64,0)),""))</f>
        <v/>
      </c>
      <c r="V73" s="35">
        <f>IF($F73="","",IFERROR(INDEX(사건마스터!$AS$5:$AS$64,MATCH($F73,사건마스터!$A$5:$A$64,0)),""))</f>
        <v/>
      </c>
      <c r="W73" s="35">
        <f>IF($F73="","",IFERROR(INDEX(사건마스터!$AT$5:$AT$64,MATCH($F73,사건마스터!$A$5:$A$64,0)),""))</f>
        <v/>
      </c>
      <c r="X73" s="35">
        <f>IF($F73="","",IFERROR(INDEX(사건마스터!$AU$5:$AU$64,MATCH($F73,사건마스터!$A$5:$A$64,0)),""))</f>
        <v/>
      </c>
      <c r="Y73" s="35">
        <f>IF($F73="","",IFERROR(INDEX(사건마스터!$AV$5:$AV$64,MATCH($F73,사건마스터!$A$5:$A$64,0)),""))</f>
        <v/>
      </c>
      <c r="Z73" s="30">
        <f>IF(COUNTBLANK($J73:$Y73)=16,"",16-COUNTBLANK($J73:$Y73))</f>
        <v/>
      </c>
      <c r="AA73" s="33">
        <f>IF($J73="",MID($AX73,3,255),$J73&amp;$AX73)</f>
        <v/>
      </c>
      <c r="AB73" s="34">
        <f>IF($J73="","",IFERROR(INDEX(코드설정!$D$5:$D$24,MATCH($J73,코드설정!$C$5:$C$24,0)),""))</f>
        <v/>
      </c>
      <c r="AC73" s="36" t="n"/>
      <c r="AD73" s="37" t="n"/>
      <c r="AE73" s="38" t="n"/>
      <c r="AF73" s="30">
        <f>IF(OR($B73="",$C73=""),"",$C73-$B73+1)</f>
        <v/>
      </c>
      <c r="AG73" s="32" t="n"/>
      <c r="AH73" s="36" t="n"/>
      <c r="AJ73">
        <f>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  <c r="AX73">
        <f>AW73&amp;IF($Y73="","",", "&amp;$Y73)</f>
        <v/>
      </c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0">
        <f>IF($F74="","",COUNTIF($F$5:$F74,$F74))</f>
        <v/>
      </c>
      <c r="H74" s="33">
        <f>IF($F74="","",IFERROR(INDEX(사건마스터!$B$5:$B$64,MATCH($F74,사건마스터!$A$5:$A$64,0)),""))</f>
        <v/>
      </c>
      <c r="I74" s="34">
        <f>IF($F74="","",IFERROR(INDEX(사건마스터!$C$5:$C$64,MATCH($F74,사건마스터!$A$5:$A$64,0)),""))</f>
        <v/>
      </c>
      <c r="J74" s="35">
        <f>IF($F74="","",IFERROR(INDEX(사건마스터!$H$5:$H$64,MATCH($F74,사건마스터!$A$5:$A$64,0)),""))</f>
        <v/>
      </c>
      <c r="K74" s="35">
        <f>IF($F74="","",IFERROR(INDEX(사건마스터!$AH$5:$AH$64,MATCH($F74,사건마스터!$A$5:$A$64,0)),""))</f>
        <v/>
      </c>
      <c r="L74" s="35">
        <f>IF($F74="","",IFERROR(INDEX(사건마스터!$AI$5:$AI$64,MATCH($F74,사건마스터!$A$5:$A$64,0)),""))</f>
        <v/>
      </c>
      <c r="M74" s="35">
        <f>IF($F74="","",IFERROR(INDEX(사건마스터!$AJ$5:$AJ$64,MATCH($F74,사건마스터!$A$5:$A$64,0)),""))</f>
        <v/>
      </c>
      <c r="N74" s="35">
        <f>IF($F74="","",IFERROR(INDEX(사건마스터!$AK$5:$AK$64,MATCH($F74,사건마스터!$A$5:$A$64,0)),""))</f>
        <v/>
      </c>
      <c r="O74" s="35">
        <f>IF($F74="","",IFERROR(INDEX(사건마스터!$AL$5:$AL$64,MATCH($F74,사건마스터!$A$5:$A$64,0)),""))</f>
        <v/>
      </c>
      <c r="P74" s="35">
        <f>IF($F74="","",IFERROR(INDEX(사건마스터!$AM$5:$AM$64,MATCH($F74,사건마스터!$A$5:$A$64,0)),""))</f>
        <v/>
      </c>
      <c r="Q74" s="35">
        <f>IF($F74="","",IFERROR(INDEX(사건마스터!$AN$5:$AN$64,MATCH($F74,사건마스터!$A$5:$A$64,0)),""))</f>
        <v/>
      </c>
      <c r="R74" s="35">
        <f>IF($F74="","",IFERROR(INDEX(사건마스터!$AO$5:$AO$64,MATCH($F74,사건마스터!$A$5:$A$64,0)),""))</f>
        <v/>
      </c>
      <c r="S74" s="35">
        <f>IF($F74="","",IFERROR(INDEX(사건마스터!$AP$5:$AP$64,MATCH($F74,사건마스터!$A$5:$A$64,0)),""))</f>
        <v/>
      </c>
      <c r="T74" s="35">
        <f>IF($F74="","",IFERROR(INDEX(사건마스터!$AQ$5:$AQ$64,MATCH($F74,사건마스터!$A$5:$A$64,0)),""))</f>
        <v/>
      </c>
      <c r="U74" s="35">
        <f>IF($F74="","",IFERROR(INDEX(사건마스터!$AR$5:$AR$64,MATCH($F74,사건마스터!$A$5:$A$64,0)),""))</f>
        <v/>
      </c>
      <c r="V74" s="35">
        <f>IF($F74="","",IFERROR(INDEX(사건마스터!$AS$5:$AS$64,MATCH($F74,사건마스터!$A$5:$A$64,0)),""))</f>
        <v/>
      </c>
      <c r="W74" s="35">
        <f>IF($F74="","",IFERROR(INDEX(사건마스터!$AT$5:$AT$64,MATCH($F74,사건마스터!$A$5:$A$64,0)),""))</f>
        <v/>
      </c>
      <c r="X74" s="35">
        <f>IF($F74="","",IFERROR(INDEX(사건마스터!$AU$5:$AU$64,MATCH($F74,사건마스터!$A$5:$A$64,0)),""))</f>
        <v/>
      </c>
      <c r="Y74" s="35">
        <f>IF($F74="","",IFERROR(INDEX(사건마스터!$AV$5:$AV$64,MATCH($F74,사건마스터!$A$5:$A$64,0)),""))</f>
        <v/>
      </c>
      <c r="Z74" s="30">
        <f>IF(COUNTBLANK($J74:$Y74)=16,"",16-COUNTBLANK($J74:$Y74))</f>
        <v/>
      </c>
      <c r="AA74" s="33">
        <f>IF($J74="",MID($AX74,3,255),$J74&amp;$AX74)</f>
        <v/>
      </c>
      <c r="AB74" s="34">
        <f>IF($J74="","",IFERROR(INDEX(코드설정!$D$5:$D$24,MATCH($J74,코드설정!$C$5:$C$24,0)),""))</f>
        <v/>
      </c>
      <c r="AC74" s="36" t="n"/>
      <c r="AD74" s="37" t="n"/>
      <c r="AE74" s="38" t="n"/>
      <c r="AF74" s="30">
        <f>IF(OR($B74="",$C74=""),"",$C74-$B74+1)</f>
        <v/>
      </c>
      <c r="AG74" s="32" t="n"/>
      <c r="AH74" s="36" t="n"/>
      <c r="AJ74">
        <f>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  <c r="AX74">
        <f>AW74&amp;IF($Y74="","",", "&amp;$Y74)</f>
        <v/>
      </c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0">
        <f>IF($F75="","",COUNTIF($F$5:$F75,$F75))</f>
        <v/>
      </c>
      <c r="H75" s="33">
        <f>IF($F75="","",IFERROR(INDEX(사건마스터!$B$5:$B$64,MATCH($F75,사건마스터!$A$5:$A$64,0)),""))</f>
        <v/>
      </c>
      <c r="I75" s="34">
        <f>IF($F75="","",IFERROR(INDEX(사건마스터!$C$5:$C$64,MATCH($F75,사건마스터!$A$5:$A$64,0)),""))</f>
        <v/>
      </c>
      <c r="J75" s="35">
        <f>IF($F75="","",IFERROR(INDEX(사건마스터!$H$5:$H$64,MATCH($F75,사건마스터!$A$5:$A$64,0)),""))</f>
        <v/>
      </c>
      <c r="K75" s="35">
        <f>IF($F75="","",IFERROR(INDEX(사건마스터!$AH$5:$AH$64,MATCH($F75,사건마스터!$A$5:$A$64,0)),""))</f>
        <v/>
      </c>
      <c r="L75" s="35">
        <f>IF($F75="","",IFERROR(INDEX(사건마스터!$AI$5:$AI$64,MATCH($F75,사건마스터!$A$5:$A$64,0)),""))</f>
        <v/>
      </c>
      <c r="M75" s="35">
        <f>IF($F75="","",IFERROR(INDEX(사건마스터!$AJ$5:$AJ$64,MATCH($F75,사건마스터!$A$5:$A$64,0)),""))</f>
        <v/>
      </c>
      <c r="N75" s="35">
        <f>IF($F75="","",IFERROR(INDEX(사건마스터!$AK$5:$AK$64,MATCH($F75,사건마스터!$A$5:$A$64,0)),""))</f>
        <v/>
      </c>
      <c r="O75" s="35">
        <f>IF($F75="","",IFERROR(INDEX(사건마스터!$AL$5:$AL$64,MATCH($F75,사건마스터!$A$5:$A$64,0)),""))</f>
        <v/>
      </c>
      <c r="P75" s="35">
        <f>IF($F75="","",IFERROR(INDEX(사건마스터!$AM$5:$AM$64,MATCH($F75,사건마스터!$A$5:$A$64,0)),""))</f>
        <v/>
      </c>
      <c r="Q75" s="35">
        <f>IF($F75="","",IFERROR(INDEX(사건마스터!$AN$5:$AN$64,MATCH($F75,사건마스터!$A$5:$A$64,0)),""))</f>
        <v/>
      </c>
      <c r="R75" s="35">
        <f>IF($F75="","",IFERROR(INDEX(사건마스터!$AO$5:$AO$64,MATCH($F75,사건마스터!$A$5:$A$64,0)),""))</f>
        <v/>
      </c>
      <c r="S75" s="35">
        <f>IF($F75="","",IFERROR(INDEX(사건마스터!$AP$5:$AP$64,MATCH($F75,사건마스터!$A$5:$A$64,0)),""))</f>
        <v/>
      </c>
      <c r="T75" s="35">
        <f>IF($F75="","",IFERROR(INDEX(사건마스터!$AQ$5:$AQ$64,MATCH($F75,사건마스터!$A$5:$A$64,0)),""))</f>
        <v/>
      </c>
      <c r="U75" s="35">
        <f>IF($F75="","",IFERROR(INDEX(사건마스터!$AR$5:$AR$64,MATCH($F75,사건마스터!$A$5:$A$64,0)),""))</f>
        <v/>
      </c>
      <c r="V75" s="35">
        <f>IF($F75="","",IFERROR(INDEX(사건마스터!$AS$5:$AS$64,MATCH($F75,사건마스터!$A$5:$A$64,0)),""))</f>
        <v/>
      </c>
      <c r="W75" s="35">
        <f>IF($F75="","",IFERROR(INDEX(사건마스터!$AT$5:$AT$64,MATCH($F75,사건마스터!$A$5:$A$64,0)),""))</f>
        <v/>
      </c>
      <c r="X75" s="35">
        <f>IF($F75="","",IFERROR(INDEX(사건마스터!$AU$5:$AU$64,MATCH($F75,사건마스터!$A$5:$A$64,0)),""))</f>
        <v/>
      </c>
      <c r="Y75" s="35">
        <f>IF($F75="","",IFERROR(INDEX(사건마스터!$AV$5:$AV$64,MATCH($F75,사건마스터!$A$5:$A$64,0)),""))</f>
        <v/>
      </c>
      <c r="Z75" s="30">
        <f>IF(COUNTBLANK($J75:$Y75)=16,"",16-COUNTBLANK($J75:$Y75))</f>
        <v/>
      </c>
      <c r="AA75" s="33">
        <f>IF($J75="",MID($AX75,3,255),$J75&amp;$AX75)</f>
        <v/>
      </c>
      <c r="AB75" s="34">
        <f>IF($J75="","",IFERROR(INDEX(코드설정!$D$5:$D$24,MATCH($J75,코드설정!$C$5:$C$24,0)),""))</f>
        <v/>
      </c>
      <c r="AC75" s="36" t="n"/>
      <c r="AD75" s="37" t="n"/>
      <c r="AE75" s="38" t="n"/>
      <c r="AF75" s="30">
        <f>IF(OR($B75="",$C75=""),"",$C75-$B75+1)</f>
        <v/>
      </c>
      <c r="AG75" s="32" t="n"/>
      <c r="AH75" s="36" t="n"/>
      <c r="AJ75">
        <f>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  <c r="AX75">
        <f>AW75&amp;IF($Y75="","",", "&amp;$Y75)</f>
        <v/>
      </c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0">
        <f>IF($F76="","",COUNTIF($F$5:$F76,$F76))</f>
        <v/>
      </c>
      <c r="H76" s="33">
        <f>IF($F76="","",IFERROR(INDEX(사건마스터!$B$5:$B$64,MATCH($F76,사건마스터!$A$5:$A$64,0)),""))</f>
        <v/>
      </c>
      <c r="I76" s="34">
        <f>IF($F76="","",IFERROR(INDEX(사건마스터!$C$5:$C$64,MATCH($F76,사건마스터!$A$5:$A$64,0)),""))</f>
        <v/>
      </c>
      <c r="J76" s="35">
        <f>IF($F76="","",IFERROR(INDEX(사건마스터!$H$5:$H$64,MATCH($F76,사건마스터!$A$5:$A$64,0)),""))</f>
        <v/>
      </c>
      <c r="K76" s="35">
        <f>IF($F76="","",IFERROR(INDEX(사건마스터!$AH$5:$AH$64,MATCH($F76,사건마스터!$A$5:$A$64,0)),""))</f>
        <v/>
      </c>
      <c r="L76" s="35">
        <f>IF($F76="","",IFERROR(INDEX(사건마스터!$AI$5:$AI$64,MATCH($F76,사건마스터!$A$5:$A$64,0)),""))</f>
        <v/>
      </c>
      <c r="M76" s="35">
        <f>IF($F76="","",IFERROR(INDEX(사건마스터!$AJ$5:$AJ$64,MATCH($F76,사건마스터!$A$5:$A$64,0)),""))</f>
        <v/>
      </c>
      <c r="N76" s="35">
        <f>IF($F76="","",IFERROR(INDEX(사건마스터!$AK$5:$AK$64,MATCH($F76,사건마스터!$A$5:$A$64,0)),""))</f>
        <v/>
      </c>
      <c r="O76" s="35">
        <f>IF($F76="","",IFERROR(INDEX(사건마스터!$AL$5:$AL$64,MATCH($F76,사건마스터!$A$5:$A$64,0)),""))</f>
        <v/>
      </c>
      <c r="P76" s="35">
        <f>IF($F76="","",IFERROR(INDEX(사건마스터!$AM$5:$AM$64,MATCH($F76,사건마스터!$A$5:$A$64,0)),""))</f>
        <v/>
      </c>
      <c r="Q76" s="35">
        <f>IF($F76="","",IFERROR(INDEX(사건마스터!$AN$5:$AN$64,MATCH($F76,사건마스터!$A$5:$A$64,0)),""))</f>
        <v/>
      </c>
      <c r="R76" s="35">
        <f>IF($F76="","",IFERROR(INDEX(사건마스터!$AO$5:$AO$64,MATCH($F76,사건마스터!$A$5:$A$64,0)),""))</f>
        <v/>
      </c>
      <c r="S76" s="35">
        <f>IF($F76="","",IFERROR(INDEX(사건마스터!$AP$5:$AP$64,MATCH($F76,사건마스터!$A$5:$A$64,0)),""))</f>
        <v/>
      </c>
      <c r="T76" s="35">
        <f>IF($F76="","",IFERROR(INDEX(사건마스터!$AQ$5:$AQ$64,MATCH($F76,사건마스터!$A$5:$A$64,0)),""))</f>
        <v/>
      </c>
      <c r="U76" s="35">
        <f>IF($F76="","",IFERROR(INDEX(사건마스터!$AR$5:$AR$64,MATCH($F76,사건마스터!$A$5:$A$64,0)),""))</f>
        <v/>
      </c>
      <c r="V76" s="35">
        <f>IF($F76="","",IFERROR(INDEX(사건마스터!$AS$5:$AS$64,MATCH($F76,사건마스터!$A$5:$A$64,0)),""))</f>
        <v/>
      </c>
      <c r="W76" s="35">
        <f>IF($F76="","",IFERROR(INDEX(사건마스터!$AT$5:$AT$64,MATCH($F76,사건마스터!$A$5:$A$64,0)),""))</f>
        <v/>
      </c>
      <c r="X76" s="35">
        <f>IF($F76="","",IFERROR(INDEX(사건마스터!$AU$5:$AU$64,MATCH($F76,사건마스터!$A$5:$A$64,0)),""))</f>
        <v/>
      </c>
      <c r="Y76" s="35">
        <f>IF($F76="","",IFERROR(INDEX(사건마스터!$AV$5:$AV$64,MATCH($F76,사건마스터!$A$5:$A$64,0)),""))</f>
        <v/>
      </c>
      <c r="Z76" s="30">
        <f>IF(COUNTBLANK($J76:$Y76)=16,"",16-COUNTBLANK($J76:$Y76))</f>
        <v/>
      </c>
      <c r="AA76" s="33">
        <f>IF($J76="",MID($AX76,3,255),$J76&amp;$AX76)</f>
        <v/>
      </c>
      <c r="AB76" s="34">
        <f>IF($J76="","",IFERROR(INDEX(코드설정!$D$5:$D$24,MATCH($J76,코드설정!$C$5:$C$24,0)),""))</f>
        <v/>
      </c>
      <c r="AC76" s="36" t="n"/>
      <c r="AD76" s="37" t="n"/>
      <c r="AE76" s="38" t="n"/>
      <c r="AF76" s="30">
        <f>IF(OR($B76="",$C76=""),"",$C76-$B76+1)</f>
        <v/>
      </c>
      <c r="AG76" s="32" t="n"/>
      <c r="AH76" s="36" t="n"/>
      <c r="AJ76">
        <f>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  <c r="AX76">
        <f>AW76&amp;IF($Y76="","",", "&amp;$Y76)</f>
        <v/>
      </c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0">
        <f>IF($F77="","",COUNTIF($F$5:$F77,$F77))</f>
        <v/>
      </c>
      <c r="H77" s="33">
        <f>IF($F77="","",IFERROR(INDEX(사건마스터!$B$5:$B$64,MATCH($F77,사건마스터!$A$5:$A$64,0)),""))</f>
        <v/>
      </c>
      <c r="I77" s="34">
        <f>IF($F77="","",IFERROR(INDEX(사건마스터!$C$5:$C$64,MATCH($F77,사건마스터!$A$5:$A$64,0)),""))</f>
        <v/>
      </c>
      <c r="J77" s="35">
        <f>IF($F77="","",IFERROR(INDEX(사건마스터!$H$5:$H$64,MATCH($F77,사건마스터!$A$5:$A$64,0)),""))</f>
        <v/>
      </c>
      <c r="K77" s="35">
        <f>IF($F77="","",IFERROR(INDEX(사건마스터!$AH$5:$AH$64,MATCH($F77,사건마스터!$A$5:$A$64,0)),""))</f>
        <v/>
      </c>
      <c r="L77" s="35">
        <f>IF($F77="","",IFERROR(INDEX(사건마스터!$AI$5:$AI$64,MATCH($F77,사건마스터!$A$5:$A$64,0)),""))</f>
        <v/>
      </c>
      <c r="M77" s="35">
        <f>IF($F77="","",IFERROR(INDEX(사건마스터!$AJ$5:$AJ$64,MATCH($F77,사건마스터!$A$5:$A$64,0)),""))</f>
        <v/>
      </c>
      <c r="N77" s="35">
        <f>IF($F77="","",IFERROR(INDEX(사건마스터!$AK$5:$AK$64,MATCH($F77,사건마스터!$A$5:$A$64,0)),""))</f>
        <v/>
      </c>
      <c r="O77" s="35">
        <f>IF($F77="","",IFERROR(INDEX(사건마스터!$AL$5:$AL$64,MATCH($F77,사건마스터!$A$5:$A$64,0)),""))</f>
        <v/>
      </c>
      <c r="P77" s="35">
        <f>IF($F77="","",IFERROR(INDEX(사건마스터!$AM$5:$AM$64,MATCH($F77,사건마스터!$A$5:$A$64,0)),""))</f>
        <v/>
      </c>
      <c r="Q77" s="35">
        <f>IF($F77="","",IFERROR(INDEX(사건마스터!$AN$5:$AN$64,MATCH($F77,사건마스터!$A$5:$A$64,0)),""))</f>
        <v/>
      </c>
      <c r="R77" s="35">
        <f>IF($F77="","",IFERROR(INDEX(사건마스터!$AO$5:$AO$64,MATCH($F77,사건마스터!$A$5:$A$64,0)),""))</f>
        <v/>
      </c>
      <c r="S77" s="35">
        <f>IF($F77="","",IFERROR(INDEX(사건마스터!$AP$5:$AP$64,MATCH($F77,사건마스터!$A$5:$A$64,0)),""))</f>
        <v/>
      </c>
      <c r="T77" s="35">
        <f>IF($F77="","",IFERROR(INDEX(사건마스터!$AQ$5:$AQ$64,MATCH($F77,사건마스터!$A$5:$A$64,0)),""))</f>
        <v/>
      </c>
      <c r="U77" s="35">
        <f>IF($F77="","",IFERROR(INDEX(사건마스터!$AR$5:$AR$64,MATCH($F77,사건마스터!$A$5:$A$64,0)),""))</f>
        <v/>
      </c>
      <c r="V77" s="35">
        <f>IF($F77="","",IFERROR(INDEX(사건마스터!$AS$5:$AS$64,MATCH($F77,사건마스터!$A$5:$A$64,0)),""))</f>
        <v/>
      </c>
      <c r="W77" s="35">
        <f>IF($F77="","",IFERROR(INDEX(사건마스터!$AT$5:$AT$64,MATCH($F77,사건마스터!$A$5:$A$64,0)),""))</f>
        <v/>
      </c>
      <c r="X77" s="35">
        <f>IF($F77="","",IFERROR(INDEX(사건마스터!$AU$5:$AU$64,MATCH($F77,사건마스터!$A$5:$A$64,0)),""))</f>
        <v/>
      </c>
      <c r="Y77" s="35">
        <f>IF($F77="","",IFERROR(INDEX(사건마스터!$AV$5:$AV$64,MATCH($F77,사건마스터!$A$5:$A$64,0)),""))</f>
        <v/>
      </c>
      <c r="Z77" s="30">
        <f>IF(COUNTBLANK($J77:$Y77)=16,"",16-COUNTBLANK($J77:$Y77))</f>
        <v/>
      </c>
      <c r="AA77" s="33">
        <f>IF($J77="",MID($AX77,3,255),$J77&amp;$AX77)</f>
        <v/>
      </c>
      <c r="AB77" s="34">
        <f>IF($J77="","",IFERROR(INDEX(코드설정!$D$5:$D$24,MATCH($J77,코드설정!$C$5:$C$24,0)),""))</f>
        <v/>
      </c>
      <c r="AC77" s="36" t="n"/>
      <c r="AD77" s="37" t="n"/>
      <c r="AE77" s="38" t="n"/>
      <c r="AF77" s="30">
        <f>IF(OR($B77="",$C77=""),"",$C77-$B77+1)</f>
        <v/>
      </c>
      <c r="AG77" s="32" t="n"/>
      <c r="AH77" s="36" t="n"/>
      <c r="AJ77">
        <f>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  <c r="AX77">
        <f>AW77&amp;IF($Y77="","",", "&amp;$Y77)</f>
        <v/>
      </c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0">
        <f>IF($F78="","",COUNTIF($F$5:$F78,$F78))</f>
        <v/>
      </c>
      <c r="H78" s="33">
        <f>IF($F78="","",IFERROR(INDEX(사건마스터!$B$5:$B$64,MATCH($F78,사건마스터!$A$5:$A$64,0)),""))</f>
        <v/>
      </c>
      <c r="I78" s="34">
        <f>IF($F78="","",IFERROR(INDEX(사건마스터!$C$5:$C$64,MATCH($F78,사건마스터!$A$5:$A$64,0)),""))</f>
        <v/>
      </c>
      <c r="J78" s="35">
        <f>IF($F78="","",IFERROR(INDEX(사건마스터!$H$5:$H$64,MATCH($F78,사건마스터!$A$5:$A$64,0)),""))</f>
        <v/>
      </c>
      <c r="K78" s="35">
        <f>IF($F78="","",IFERROR(INDEX(사건마스터!$AH$5:$AH$64,MATCH($F78,사건마스터!$A$5:$A$64,0)),""))</f>
        <v/>
      </c>
      <c r="L78" s="35">
        <f>IF($F78="","",IFERROR(INDEX(사건마스터!$AI$5:$AI$64,MATCH($F78,사건마스터!$A$5:$A$64,0)),""))</f>
        <v/>
      </c>
      <c r="M78" s="35">
        <f>IF($F78="","",IFERROR(INDEX(사건마스터!$AJ$5:$AJ$64,MATCH($F78,사건마스터!$A$5:$A$64,0)),""))</f>
        <v/>
      </c>
      <c r="N78" s="35">
        <f>IF($F78="","",IFERROR(INDEX(사건마스터!$AK$5:$AK$64,MATCH($F78,사건마스터!$A$5:$A$64,0)),""))</f>
        <v/>
      </c>
      <c r="O78" s="35">
        <f>IF($F78="","",IFERROR(INDEX(사건마스터!$AL$5:$AL$64,MATCH($F78,사건마스터!$A$5:$A$64,0)),""))</f>
        <v/>
      </c>
      <c r="P78" s="35">
        <f>IF($F78="","",IFERROR(INDEX(사건마스터!$AM$5:$AM$64,MATCH($F78,사건마스터!$A$5:$A$64,0)),""))</f>
        <v/>
      </c>
      <c r="Q78" s="35">
        <f>IF($F78="","",IFERROR(INDEX(사건마스터!$AN$5:$AN$64,MATCH($F78,사건마스터!$A$5:$A$64,0)),""))</f>
        <v/>
      </c>
      <c r="R78" s="35">
        <f>IF($F78="","",IFERROR(INDEX(사건마스터!$AO$5:$AO$64,MATCH($F78,사건마스터!$A$5:$A$64,0)),""))</f>
        <v/>
      </c>
      <c r="S78" s="35">
        <f>IF($F78="","",IFERROR(INDEX(사건마스터!$AP$5:$AP$64,MATCH($F78,사건마스터!$A$5:$A$64,0)),""))</f>
        <v/>
      </c>
      <c r="T78" s="35">
        <f>IF($F78="","",IFERROR(INDEX(사건마스터!$AQ$5:$AQ$64,MATCH($F78,사건마스터!$A$5:$A$64,0)),""))</f>
        <v/>
      </c>
      <c r="U78" s="35">
        <f>IF($F78="","",IFERROR(INDEX(사건마스터!$AR$5:$AR$64,MATCH($F78,사건마스터!$A$5:$A$64,0)),""))</f>
        <v/>
      </c>
      <c r="V78" s="35">
        <f>IF($F78="","",IFERROR(INDEX(사건마스터!$AS$5:$AS$64,MATCH($F78,사건마스터!$A$5:$A$64,0)),""))</f>
        <v/>
      </c>
      <c r="W78" s="35">
        <f>IF($F78="","",IFERROR(INDEX(사건마스터!$AT$5:$AT$64,MATCH($F78,사건마스터!$A$5:$A$64,0)),""))</f>
        <v/>
      </c>
      <c r="X78" s="35">
        <f>IF($F78="","",IFERROR(INDEX(사건마스터!$AU$5:$AU$64,MATCH($F78,사건마스터!$A$5:$A$64,0)),""))</f>
        <v/>
      </c>
      <c r="Y78" s="35">
        <f>IF($F78="","",IFERROR(INDEX(사건마스터!$AV$5:$AV$64,MATCH($F78,사건마스터!$A$5:$A$64,0)),""))</f>
        <v/>
      </c>
      <c r="Z78" s="30">
        <f>IF(COUNTBLANK($J78:$Y78)=16,"",16-COUNTBLANK($J78:$Y78))</f>
        <v/>
      </c>
      <c r="AA78" s="33">
        <f>IF($J78="",MID($AX78,3,255),$J78&amp;$AX78)</f>
        <v/>
      </c>
      <c r="AB78" s="34">
        <f>IF($J78="","",IFERROR(INDEX(코드설정!$D$5:$D$24,MATCH($J78,코드설정!$C$5:$C$24,0)),""))</f>
        <v/>
      </c>
      <c r="AC78" s="36" t="n"/>
      <c r="AD78" s="37" t="n"/>
      <c r="AE78" s="38" t="n"/>
      <c r="AF78" s="30">
        <f>IF(OR($B78="",$C78=""),"",$C78-$B78+1)</f>
        <v/>
      </c>
      <c r="AG78" s="32" t="n"/>
      <c r="AH78" s="36" t="n"/>
      <c r="AJ78">
        <f>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  <c r="AX78">
        <f>AW78&amp;IF($Y78="","",", "&amp;$Y78)</f>
        <v/>
      </c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0">
        <f>IF($F79="","",COUNTIF($F$5:$F79,$F79))</f>
        <v/>
      </c>
      <c r="H79" s="33">
        <f>IF($F79="","",IFERROR(INDEX(사건마스터!$B$5:$B$64,MATCH($F79,사건마스터!$A$5:$A$64,0)),""))</f>
        <v/>
      </c>
      <c r="I79" s="34">
        <f>IF($F79="","",IFERROR(INDEX(사건마스터!$C$5:$C$64,MATCH($F79,사건마스터!$A$5:$A$64,0)),""))</f>
        <v/>
      </c>
      <c r="J79" s="35">
        <f>IF($F79="","",IFERROR(INDEX(사건마스터!$H$5:$H$64,MATCH($F79,사건마스터!$A$5:$A$64,0)),""))</f>
        <v/>
      </c>
      <c r="K79" s="35">
        <f>IF($F79="","",IFERROR(INDEX(사건마스터!$AH$5:$AH$64,MATCH($F79,사건마스터!$A$5:$A$64,0)),""))</f>
        <v/>
      </c>
      <c r="L79" s="35">
        <f>IF($F79="","",IFERROR(INDEX(사건마스터!$AI$5:$AI$64,MATCH($F79,사건마스터!$A$5:$A$64,0)),""))</f>
        <v/>
      </c>
      <c r="M79" s="35">
        <f>IF($F79="","",IFERROR(INDEX(사건마스터!$AJ$5:$AJ$64,MATCH($F79,사건마스터!$A$5:$A$64,0)),""))</f>
        <v/>
      </c>
      <c r="N79" s="35">
        <f>IF($F79="","",IFERROR(INDEX(사건마스터!$AK$5:$AK$64,MATCH($F79,사건마스터!$A$5:$A$64,0)),""))</f>
        <v/>
      </c>
      <c r="O79" s="35">
        <f>IF($F79="","",IFERROR(INDEX(사건마스터!$AL$5:$AL$64,MATCH($F79,사건마스터!$A$5:$A$64,0)),""))</f>
        <v/>
      </c>
      <c r="P79" s="35">
        <f>IF($F79="","",IFERROR(INDEX(사건마스터!$AM$5:$AM$64,MATCH($F79,사건마스터!$A$5:$A$64,0)),""))</f>
        <v/>
      </c>
      <c r="Q79" s="35">
        <f>IF($F79="","",IFERROR(INDEX(사건마스터!$AN$5:$AN$64,MATCH($F79,사건마스터!$A$5:$A$64,0)),""))</f>
        <v/>
      </c>
      <c r="R79" s="35">
        <f>IF($F79="","",IFERROR(INDEX(사건마스터!$AO$5:$AO$64,MATCH($F79,사건마스터!$A$5:$A$64,0)),""))</f>
        <v/>
      </c>
      <c r="S79" s="35">
        <f>IF($F79="","",IFERROR(INDEX(사건마스터!$AP$5:$AP$64,MATCH($F79,사건마스터!$A$5:$A$64,0)),""))</f>
        <v/>
      </c>
      <c r="T79" s="35">
        <f>IF($F79="","",IFERROR(INDEX(사건마스터!$AQ$5:$AQ$64,MATCH($F79,사건마스터!$A$5:$A$64,0)),""))</f>
        <v/>
      </c>
      <c r="U79" s="35">
        <f>IF($F79="","",IFERROR(INDEX(사건마스터!$AR$5:$AR$64,MATCH($F79,사건마스터!$A$5:$A$64,0)),""))</f>
        <v/>
      </c>
      <c r="V79" s="35">
        <f>IF($F79="","",IFERROR(INDEX(사건마스터!$AS$5:$AS$64,MATCH($F79,사건마스터!$A$5:$A$64,0)),""))</f>
        <v/>
      </c>
      <c r="W79" s="35">
        <f>IF($F79="","",IFERROR(INDEX(사건마스터!$AT$5:$AT$64,MATCH($F79,사건마스터!$A$5:$A$64,0)),""))</f>
        <v/>
      </c>
      <c r="X79" s="35">
        <f>IF($F79="","",IFERROR(INDEX(사건마스터!$AU$5:$AU$64,MATCH($F79,사건마스터!$A$5:$A$64,0)),""))</f>
        <v/>
      </c>
      <c r="Y79" s="35">
        <f>IF($F79="","",IFERROR(INDEX(사건마스터!$AV$5:$AV$64,MATCH($F79,사건마스터!$A$5:$A$64,0)),""))</f>
        <v/>
      </c>
      <c r="Z79" s="30">
        <f>IF(COUNTBLANK($J79:$Y79)=16,"",16-COUNTBLANK($J79:$Y79))</f>
        <v/>
      </c>
      <c r="AA79" s="33">
        <f>IF($J79="",MID($AX79,3,255),$J79&amp;$AX79)</f>
        <v/>
      </c>
      <c r="AB79" s="34">
        <f>IF($J79="","",IFERROR(INDEX(코드설정!$D$5:$D$24,MATCH($J79,코드설정!$C$5:$C$24,0)),""))</f>
        <v/>
      </c>
      <c r="AC79" s="36" t="n"/>
      <c r="AD79" s="37" t="n"/>
      <c r="AE79" s="38" t="n"/>
      <c r="AF79" s="30">
        <f>IF(OR($B79="",$C79=""),"",$C79-$B79+1)</f>
        <v/>
      </c>
      <c r="AG79" s="32" t="n"/>
      <c r="AH79" s="36" t="n"/>
      <c r="AJ79">
        <f>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  <c r="AX79">
        <f>AW79&amp;IF($Y79="","",", "&amp;$Y79)</f>
        <v/>
      </c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0">
        <f>IF($F80="","",COUNTIF($F$5:$F80,$F80))</f>
        <v/>
      </c>
      <c r="H80" s="33">
        <f>IF($F80="","",IFERROR(INDEX(사건마스터!$B$5:$B$64,MATCH($F80,사건마스터!$A$5:$A$64,0)),""))</f>
        <v/>
      </c>
      <c r="I80" s="34">
        <f>IF($F80="","",IFERROR(INDEX(사건마스터!$C$5:$C$64,MATCH($F80,사건마스터!$A$5:$A$64,0)),""))</f>
        <v/>
      </c>
      <c r="J80" s="35">
        <f>IF($F80="","",IFERROR(INDEX(사건마스터!$H$5:$H$64,MATCH($F80,사건마스터!$A$5:$A$64,0)),""))</f>
        <v/>
      </c>
      <c r="K80" s="35">
        <f>IF($F80="","",IFERROR(INDEX(사건마스터!$AH$5:$AH$64,MATCH($F80,사건마스터!$A$5:$A$64,0)),""))</f>
        <v/>
      </c>
      <c r="L80" s="35">
        <f>IF($F80="","",IFERROR(INDEX(사건마스터!$AI$5:$AI$64,MATCH($F80,사건마스터!$A$5:$A$64,0)),""))</f>
        <v/>
      </c>
      <c r="M80" s="35">
        <f>IF($F80="","",IFERROR(INDEX(사건마스터!$AJ$5:$AJ$64,MATCH($F80,사건마스터!$A$5:$A$64,0)),""))</f>
        <v/>
      </c>
      <c r="N80" s="35">
        <f>IF($F80="","",IFERROR(INDEX(사건마스터!$AK$5:$AK$64,MATCH($F80,사건마스터!$A$5:$A$64,0)),""))</f>
        <v/>
      </c>
      <c r="O80" s="35">
        <f>IF($F80="","",IFERROR(INDEX(사건마스터!$AL$5:$AL$64,MATCH($F80,사건마스터!$A$5:$A$64,0)),""))</f>
        <v/>
      </c>
      <c r="P80" s="35">
        <f>IF($F80="","",IFERROR(INDEX(사건마스터!$AM$5:$AM$64,MATCH($F80,사건마스터!$A$5:$A$64,0)),""))</f>
        <v/>
      </c>
      <c r="Q80" s="35">
        <f>IF($F80="","",IFERROR(INDEX(사건마스터!$AN$5:$AN$64,MATCH($F80,사건마스터!$A$5:$A$64,0)),""))</f>
        <v/>
      </c>
      <c r="R80" s="35">
        <f>IF($F80="","",IFERROR(INDEX(사건마스터!$AO$5:$AO$64,MATCH($F80,사건마스터!$A$5:$A$64,0)),""))</f>
        <v/>
      </c>
      <c r="S80" s="35">
        <f>IF($F80="","",IFERROR(INDEX(사건마스터!$AP$5:$AP$64,MATCH($F80,사건마스터!$A$5:$A$64,0)),""))</f>
        <v/>
      </c>
      <c r="T80" s="35">
        <f>IF($F80="","",IFERROR(INDEX(사건마스터!$AQ$5:$AQ$64,MATCH($F80,사건마스터!$A$5:$A$64,0)),""))</f>
        <v/>
      </c>
      <c r="U80" s="35">
        <f>IF($F80="","",IFERROR(INDEX(사건마스터!$AR$5:$AR$64,MATCH($F80,사건마스터!$A$5:$A$64,0)),""))</f>
        <v/>
      </c>
      <c r="V80" s="35">
        <f>IF($F80="","",IFERROR(INDEX(사건마스터!$AS$5:$AS$64,MATCH($F80,사건마스터!$A$5:$A$64,0)),""))</f>
        <v/>
      </c>
      <c r="W80" s="35">
        <f>IF($F80="","",IFERROR(INDEX(사건마스터!$AT$5:$AT$64,MATCH($F80,사건마스터!$A$5:$A$64,0)),""))</f>
        <v/>
      </c>
      <c r="X80" s="35">
        <f>IF($F80="","",IFERROR(INDEX(사건마스터!$AU$5:$AU$64,MATCH($F80,사건마스터!$A$5:$A$64,0)),""))</f>
        <v/>
      </c>
      <c r="Y80" s="35">
        <f>IF($F80="","",IFERROR(INDEX(사건마스터!$AV$5:$AV$64,MATCH($F80,사건마스터!$A$5:$A$64,0)),""))</f>
        <v/>
      </c>
      <c r="Z80" s="30">
        <f>IF(COUNTBLANK($J80:$Y80)=16,"",16-COUNTBLANK($J80:$Y80))</f>
        <v/>
      </c>
      <c r="AA80" s="33">
        <f>IF($J80="",MID($AX80,3,255),$J80&amp;$AX80)</f>
        <v/>
      </c>
      <c r="AB80" s="34">
        <f>IF($J80="","",IFERROR(INDEX(코드설정!$D$5:$D$24,MATCH($J80,코드설정!$C$5:$C$24,0)),""))</f>
        <v/>
      </c>
      <c r="AC80" s="36" t="n"/>
      <c r="AD80" s="37" t="n"/>
      <c r="AE80" s="38" t="n"/>
      <c r="AF80" s="30">
        <f>IF(OR($B80="",$C80=""),"",$C80-$B80+1)</f>
        <v/>
      </c>
      <c r="AG80" s="32" t="n"/>
      <c r="AH80" s="36" t="n"/>
      <c r="AJ80">
        <f>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  <c r="AX80">
        <f>AW80&amp;IF($Y80="","",", "&amp;$Y80)</f>
        <v/>
      </c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0">
        <f>IF($F81="","",COUNTIF($F$5:$F81,$F81))</f>
        <v/>
      </c>
      <c r="H81" s="33">
        <f>IF($F81="","",IFERROR(INDEX(사건마스터!$B$5:$B$64,MATCH($F81,사건마스터!$A$5:$A$64,0)),""))</f>
        <v/>
      </c>
      <c r="I81" s="34">
        <f>IF($F81="","",IFERROR(INDEX(사건마스터!$C$5:$C$64,MATCH($F81,사건마스터!$A$5:$A$64,0)),""))</f>
        <v/>
      </c>
      <c r="J81" s="35">
        <f>IF($F81="","",IFERROR(INDEX(사건마스터!$H$5:$H$64,MATCH($F81,사건마스터!$A$5:$A$64,0)),""))</f>
        <v/>
      </c>
      <c r="K81" s="35">
        <f>IF($F81="","",IFERROR(INDEX(사건마스터!$AH$5:$AH$64,MATCH($F81,사건마스터!$A$5:$A$64,0)),""))</f>
        <v/>
      </c>
      <c r="L81" s="35">
        <f>IF($F81="","",IFERROR(INDEX(사건마스터!$AI$5:$AI$64,MATCH($F81,사건마스터!$A$5:$A$64,0)),""))</f>
        <v/>
      </c>
      <c r="M81" s="35">
        <f>IF($F81="","",IFERROR(INDEX(사건마스터!$AJ$5:$AJ$64,MATCH($F81,사건마스터!$A$5:$A$64,0)),""))</f>
        <v/>
      </c>
      <c r="N81" s="35">
        <f>IF($F81="","",IFERROR(INDEX(사건마스터!$AK$5:$AK$64,MATCH($F81,사건마스터!$A$5:$A$64,0)),""))</f>
        <v/>
      </c>
      <c r="O81" s="35">
        <f>IF($F81="","",IFERROR(INDEX(사건마스터!$AL$5:$AL$64,MATCH($F81,사건마스터!$A$5:$A$64,0)),""))</f>
        <v/>
      </c>
      <c r="P81" s="35">
        <f>IF($F81="","",IFERROR(INDEX(사건마스터!$AM$5:$AM$64,MATCH($F81,사건마스터!$A$5:$A$64,0)),""))</f>
        <v/>
      </c>
      <c r="Q81" s="35">
        <f>IF($F81="","",IFERROR(INDEX(사건마스터!$AN$5:$AN$64,MATCH($F81,사건마스터!$A$5:$A$64,0)),""))</f>
        <v/>
      </c>
      <c r="R81" s="35">
        <f>IF($F81="","",IFERROR(INDEX(사건마스터!$AO$5:$AO$64,MATCH($F81,사건마스터!$A$5:$A$64,0)),""))</f>
        <v/>
      </c>
      <c r="S81" s="35">
        <f>IF($F81="","",IFERROR(INDEX(사건마스터!$AP$5:$AP$64,MATCH($F81,사건마스터!$A$5:$A$64,0)),""))</f>
        <v/>
      </c>
      <c r="T81" s="35">
        <f>IF($F81="","",IFERROR(INDEX(사건마스터!$AQ$5:$AQ$64,MATCH($F81,사건마스터!$A$5:$A$64,0)),""))</f>
        <v/>
      </c>
      <c r="U81" s="35">
        <f>IF($F81="","",IFERROR(INDEX(사건마스터!$AR$5:$AR$64,MATCH($F81,사건마스터!$A$5:$A$64,0)),""))</f>
        <v/>
      </c>
      <c r="V81" s="35">
        <f>IF($F81="","",IFERROR(INDEX(사건마스터!$AS$5:$AS$64,MATCH($F81,사건마스터!$A$5:$A$64,0)),""))</f>
        <v/>
      </c>
      <c r="W81" s="35">
        <f>IF($F81="","",IFERROR(INDEX(사건마스터!$AT$5:$AT$64,MATCH($F81,사건마스터!$A$5:$A$64,0)),""))</f>
        <v/>
      </c>
      <c r="X81" s="35">
        <f>IF($F81="","",IFERROR(INDEX(사건마스터!$AU$5:$AU$64,MATCH($F81,사건마스터!$A$5:$A$64,0)),""))</f>
        <v/>
      </c>
      <c r="Y81" s="35">
        <f>IF($F81="","",IFERROR(INDEX(사건마스터!$AV$5:$AV$64,MATCH($F81,사건마스터!$A$5:$A$64,0)),""))</f>
        <v/>
      </c>
      <c r="Z81" s="30">
        <f>IF(COUNTBLANK($J81:$Y81)=16,"",16-COUNTBLANK($J81:$Y81))</f>
        <v/>
      </c>
      <c r="AA81" s="33">
        <f>IF($J81="",MID($AX81,3,255),$J81&amp;$AX81)</f>
        <v/>
      </c>
      <c r="AB81" s="34">
        <f>IF($J81="","",IFERROR(INDEX(코드설정!$D$5:$D$24,MATCH($J81,코드설정!$C$5:$C$24,0)),""))</f>
        <v/>
      </c>
      <c r="AC81" s="36" t="n"/>
      <c r="AD81" s="37" t="n"/>
      <c r="AE81" s="38" t="n"/>
      <c r="AF81" s="30">
        <f>IF(OR($B81="",$C81=""),"",$C81-$B81+1)</f>
        <v/>
      </c>
      <c r="AG81" s="32" t="n"/>
      <c r="AH81" s="36" t="n"/>
      <c r="AJ81">
        <f>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  <c r="AX81">
        <f>AW81&amp;IF($Y81="","",", "&amp;$Y81)</f>
        <v/>
      </c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0">
        <f>IF($F82="","",COUNTIF($F$5:$F82,$F82))</f>
        <v/>
      </c>
      <c r="H82" s="33">
        <f>IF($F82="","",IFERROR(INDEX(사건마스터!$B$5:$B$64,MATCH($F82,사건마스터!$A$5:$A$64,0)),""))</f>
        <v/>
      </c>
      <c r="I82" s="34">
        <f>IF($F82="","",IFERROR(INDEX(사건마스터!$C$5:$C$64,MATCH($F82,사건마스터!$A$5:$A$64,0)),""))</f>
        <v/>
      </c>
      <c r="J82" s="35">
        <f>IF($F82="","",IFERROR(INDEX(사건마스터!$H$5:$H$64,MATCH($F82,사건마스터!$A$5:$A$64,0)),""))</f>
        <v/>
      </c>
      <c r="K82" s="35">
        <f>IF($F82="","",IFERROR(INDEX(사건마스터!$AH$5:$AH$64,MATCH($F82,사건마스터!$A$5:$A$64,0)),""))</f>
        <v/>
      </c>
      <c r="L82" s="35">
        <f>IF($F82="","",IFERROR(INDEX(사건마스터!$AI$5:$AI$64,MATCH($F82,사건마스터!$A$5:$A$64,0)),""))</f>
        <v/>
      </c>
      <c r="M82" s="35">
        <f>IF($F82="","",IFERROR(INDEX(사건마스터!$AJ$5:$AJ$64,MATCH($F82,사건마스터!$A$5:$A$64,0)),""))</f>
        <v/>
      </c>
      <c r="N82" s="35">
        <f>IF($F82="","",IFERROR(INDEX(사건마스터!$AK$5:$AK$64,MATCH($F82,사건마스터!$A$5:$A$64,0)),""))</f>
        <v/>
      </c>
      <c r="O82" s="35">
        <f>IF($F82="","",IFERROR(INDEX(사건마스터!$AL$5:$AL$64,MATCH($F82,사건마스터!$A$5:$A$64,0)),""))</f>
        <v/>
      </c>
      <c r="P82" s="35">
        <f>IF($F82="","",IFERROR(INDEX(사건마스터!$AM$5:$AM$64,MATCH($F82,사건마스터!$A$5:$A$64,0)),""))</f>
        <v/>
      </c>
      <c r="Q82" s="35">
        <f>IF($F82="","",IFERROR(INDEX(사건마스터!$AN$5:$AN$64,MATCH($F82,사건마스터!$A$5:$A$64,0)),""))</f>
        <v/>
      </c>
      <c r="R82" s="35">
        <f>IF($F82="","",IFERROR(INDEX(사건마스터!$AO$5:$AO$64,MATCH($F82,사건마스터!$A$5:$A$64,0)),""))</f>
        <v/>
      </c>
      <c r="S82" s="35">
        <f>IF($F82="","",IFERROR(INDEX(사건마스터!$AP$5:$AP$64,MATCH($F82,사건마스터!$A$5:$A$64,0)),""))</f>
        <v/>
      </c>
      <c r="T82" s="35">
        <f>IF($F82="","",IFERROR(INDEX(사건마스터!$AQ$5:$AQ$64,MATCH($F82,사건마스터!$A$5:$A$64,0)),""))</f>
        <v/>
      </c>
      <c r="U82" s="35">
        <f>IF($F82="","",IFERROR(INDEX(사건마스터!$AR$5:$AR$64,MATCH($F82,사건마스터!$A$5:$A$64,0)),""))</f>
        <v/>
      </c>
      <c r="V82" s="35">
        <f>IF($F82="","",IFERROR(INDEX(사건마스터!$AS$5:$AS$64,MATCH($F82,사건마스터!$A$5:$A$64,0)),""))</f>
        <v/>
      </c>
      <c r="W82" s="35">
        <f>IF($F82="","",IFERROR(INDEX(사건마스터!$AT$5:$AT$64,MATCH($F82,사건마스터!$A$5:$A$64,0)),""))</f>
        <v/>
      </c>
      <c r="X82" s="35">
        <f>IF($F82="","",IFERROR(INDEX(사건마스터!$AU$5:$AU$64,MATCH($F82,사건마스터!$A$5:$A$64,0)),""))</f>
        <v/>
      </c>
      <c r="Y82" s="35">
        <f>IF($F82="","",IFERROR(INDEX(사건마스터!$AV$5:$AV$64,MATCH($F82,사건마스터!$A$5:$A$64,0)),""))</f>
        <v/>
      </c>
      <c r="Z82" s="30">
        <f>IF(COUNTBLANK($J82:$Y82)=16,"",16-COUNTBLANK($J82:$Y82))</f>
        <v/>
      </c>
      <c r="AA82" s="33">
        <f>IF($J82="",MID($AX82,3,255),$J82&amp;$AX82)</f>
        <v/>
      </c>
      <c r="AB82" s="34">
        <f>IF($J82="","",IFERROR(INDEX(코드설정!$D$5:$D$24,MATCH($J82,코드설정!$C$5:$C$24,0)),""))</f>
        <v/>
      </c>
      <c r="AC82" s="36" t="n"/>
      <c r="AD82" s="37" t="n"/>
      <c r="AE82" s="38" t="n"/>
      <c r="AF82" s="30">
        <f>IF(OR($B82="",$C82=""),"",$C82-$B82+1)</f>
        <v/>
      </c>
      <c r="AG82" s="32" t="n"/>
      <c r="AH82" s="36" t="n"/>
      <c r="AJ82">
        <f>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  <c r="AX82">
        <f>AW82&amp;IF($Y82="","",", "&amp;$Y82)</f>
        <v/>
      </c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0">
        <f>IF($F83="","",COUNTIF($F$5:$F83,$F83))</f>
        <v/>
      </c>
      <c r="H83" s="33">
        <f>IF($F83="","",IFERROR(INDEX(사건마스터!$B$5:$B$64,MATCH($F83,사건마스터!$A$5:$A$64,0)),""))</f>
        <v/>
      </c>
      <c r="I83" s="34">
        <f>IF($F83="","",IFERROR(INDEX(사건마스터!$C$5:$C$64,MATCH($F83,사건마스터!$A$5:$A$64,0)),""))</f>
        <v/>
      </c>
      <c r="J83" s="35">
        <f>IF($F83="","",IFERROR(INDEX(사건마스터!$H$5:$H$64,MATCH($F83,사건마스터!$A$5:$A$64,0)),""))</f>
        <v/>
      </c>
      <c r="K83" s="35">
        <f>IF($F83="","",IFERROR(INDEX(사건마스터!$AH$5:$AH$64,MATCH($F83,사건마스터!$A$5:$A$64,0)),""))</f>
        <v/>
      </c>
      <c r="L83" s="35">
        <f>IF($F83="","",IFERROR(INDEX(사건마스터!$AI$5:$AI$64,MATCH($F83,사건마스터!$A$5:$A$64,0)),""))</f>
        <v/>
      </c>
      <c r="M83" s="35">
        <f>IF($F83="","",IFERROR(INDEX(사건마스터!$AJ$5:$AJ$64,MATCH($F83,사건마스터!$A$5:$A$64,0)),""))</f>
        <v/>
      </c>
      <c r="N83" s="35">
        <f>IF($F83="","",IFERROR(INDEX(사건마스터!$AK$5:$AK$64,MATCH($F83,사건마스터!$A$5:$A$64,0)),""))</f>
        <v/>
      </c>
      <c r="O83" s="35">
        <f>IF($F83="","",IFERROR(INDEX(사건마스터!$AL$5:$AL$64,MATCH($F83,사건마스터!$A$5:$A$64,0)),""))</f>
        <v/>
      </c>
      <c r="P83" s="35">
        <f>IF($F83="","",IFERROR(INDEX(사건마스터!$AM$5:$AM$64,MATCH($F83,사건마스터!$A$5:$A$64,0)),""))</f>
        <v/>
      </c>
      <c r="Q83" s="35">
        <f>IF($F83="","",IFERROR(INDEX(사건마스터!$AN$5:$AN$64,MATCH($F83,사건마스터!$A$5:$A$64,0)),""))</f>
        <v/>
      </c>
      <c r="R83" s="35">
        <f>IF($F83="","",IFERROR(INDEX(사건마스터!$AO$5:$AO$64,MATCH($F83,사건마스터!$A$5:$A$64,0)),""))</f>
        <v/>
      </c>
      <c r="S83" s="35">
        <f>IF($F83="","",IFERROR(INDEX(사건마스터!$AP$5:$AP$64,MATCH($F83,사건마스터!$A$5:$A$64,0)),""))</f>
        <v/>
      </c>
      <c r="T83" s="35">
        <f>IF($F83="","",IFERROR(INDEX(사건마스터!$AQ$5:$AQ$64,MATCH($F83,사건마스터!$A$5:$A$64,0)),""))</f>
        <v/>
      </c>
      <c r="U83" s="35">
        <f>IF($F83="","",IFERROR(INDEX(사건마스터!$AR$5:$AR$64,MATCH($F83,사건마스터!$A$5:$A$64,0)),""))</f>
        <v/>
      </c>
      <c r="V83" s="35">
        <f>IF($F83="","",IFERROR(INDEX(사건마스터!$AS$5:$AS$64,MATCH($F83,사건마스터!$A$5:$A$64,0)),""))</f>
        <v/>
      </c>
      <c r="W83" s="35">
        <f>IF($F83="","",IFERROR(INDEX(사건마스터!$AT$5:$AT$64,MATCH($F83,사건마스터!$A$5:$A$64,0)),""))</f>
        <v/>
      </c>
      <c r="X83" s="35">
        <f>IF($F83="","",IFERROR(INDEX(사건마스터!$AU$5:$AU$64,MATCH($F83,사건마스터!$A$5:$A$64,0)),""))</f>
        <v/>
      </c>
      <c r="Y83" s="35">
        <f>IF($F83="","",IFERROR(INDEX(사건마스터!$AV$5:$AV$64,MATCH($F83,사건마스터!$A$5:$A$64,0)),""))</f>
        <v/>
      </c>
      <c r="Z83" s="30">
        <f>IF(COUNTBLANK($J83:$Y83)=16,"",16-COUNTBLANK($J83:$Y83))</f>
        <v/>
      </c>
      <c r="AA83" s="33">
        <f>IF($J83="",MID($AX83,3,255),$J83&amp;$AX83)</f>
        <v/>
      </c>
      <c r="AB83" s="34">
        <f>IF($J83="","",IFERROR(INDEX(코드설정!$D$5:$D$24,MATCH($J83,코드설정!$C$5:$C$24,0)),""))</f>
        <v/>
      </c>
      <c r="AC83" s="36" t="n"/>
      <c r="AD83" s="37" t="n"/>
      <c r="AE83" s="38" t="n"/>
      <c r="AF83" s="30">
        <f>IF(OR($B83="",$C83=""),"",$C83-$B83+1)</f>
        <v/>
      </c>
      <c r="AG83" s="32" t="n"/>
      <c r="AH83" s="36" t="n"/>
      <c r="AJ83">
        <f>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  <c r="AX83">
        <f>AW83&amp;IF($Y83="","",", "&amp;$Y83)</f>
        <v/>
      </c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0">
        <f>IF($F84="","",COUNTIF($F$5:$F84,$F84))</f>
        <v/>
      </c>
      <c r="H84" s="33">
        <f>IF($F84="","",IFERROR(INDEX(사건마스터!$B$5:$B$64,MATCH($F84,사건마스터!$A$5:$A$64,0)),""))</f>
        <v/>
      </c>
      <c r="I84" s="34">
        <f>IF($F84="","",IFERROR(INDEX(사건마스터!$C$5:$C$64,MATCH($F84,사건마스터!$A$5:$A$64,0)),""))</f>
        <v/>
      </c>
      <c r="J84" s="35">
        <f>IF($F84="","",IFERROR(INDEX(사건마스터!$H$5:$H$64,MATCH($F84,사건마스터!$A$5:$A$64,0)),""))</f>
        <v/>
      </c>
      <c r="K84" s="35">
        <f>IF($F84="","",IFERROR(INDEX(사건마스터!$AH$5:$AH$64,MATCH($F84,사건마스터!$A$5:$A$64,0)),""))</f>
        <v/>
      </c>
      <c r="L84" s="35">
        <f>IF($F84="","",IFERROR(INDEX(사건마스터!$AI$5:$AI$64,MATCH($F84,사건마스터!$A$5:$A$64,0)),""))</f>
        <v/>
      </c>
      <c r="M84" s="35">
        <f>IF($F84="","",IFERROR(INDEX(사건마스터!$AJ$5:$AJ$64,MATCH($F84,사건마스터!$A$5:$A$64,0)),""))</f>
        <v/>
      </c>
      <c r="N84" s="35">
        <f>IF($F84="","",IFERROR(INDEX(사건마스터!$AK$5:$AK$64,MATCH($F84,사건마스터!$A$5:$A$64,0)),""))</f>
        <v/>
      </c>
      <c r="O84" s="35">
        <f>IF($F84="","",IFERROR(INDEX(사건마스터!$AL$5:$AL$64,MATCH($F84,사건마스터!$A$5:$A$64,0)),""))</f>
        <v/>
      </c>
      <c r="P84" s="35">
        <f>IF($F84="","",IFERROR(INDEX(사건마스터!$AM$5:$AM$64,MATCH($F84,사건마스터!$A$5:$A$64,0)),""))</f>
        <v/>
      </c>
      <c r="Q84" s="35">
        <f>IF($F84="","",IFERROR(INDEX(사건마스터!$AN$5:$AN$64,MATCH($F84,사건마스터!$A$5:$A$64,0)),""))</f>
        <v/>
      </c>
      <c r="R84" s="35">
        <f>IF($F84="","",IFERROR(INDEX(사건마스터!$AO$5:$AO$64,MATCH($F84,사건마스터!$A$5:$A$64,0)),""))</f>
        <v/>
      </c>
      <c r="S84" s="35">
        <f>IF($F84="","",IFERROR(INDEX(사건마스터!$AP$5:$AP$64,MATCH($F84,사건마스터!$A$5:$A$64,0)),""))</f>
        <v/>
      </c>
      <c r="T84" s="35">
        <f>IF($F84="","",IFERROR(INDEX(사건마스터!$AQ$5:$AQ$64,MATCH($F84,사건마스터!$A$5:$A$64,0)),""))</f>
        <v/>
      </c>
      <c r="U84" s="35">
        <f>IF($F84="","",IFERROR(INDEX(사건마스터!$AR$5:$AR$64,MATCH($F84,사건마스터!$A$5:$A$64,0)),""))</f>
        <v/>
      </c>
      <c r="V84" s="35">
        <f>IF($F84="","",IFERROR(INDEX(사건마스터!$AS$5:$AS$64,MATCH($F84,사건마스터!$A$5:$A$64,0)),""))</f>
        <v/>
      </c>
      <c r="W84" s="35">
        <f>IF($F84="","",IFERROR(INDEX(사건마스터!$AT$5:$AT$64,MATCH($F84,사건마스터!$A$5:$A$64,0)),""))</f>
        <v/>
      </c>
      <c r="X84" s="35">
        <f>IF($F84="","",IFERROR(INDEX(사건마스터!$AU$5:$AU$64,MATCH($F84,사건마스터!$A$5:$A$64,0)),""))</f>
        <v/>
      </c>
      <c r="Y84" s="35">
        <f>IF($F84="","",IFERROR(INDEX(사건마스터!$AV$5:$AV$64,MATCH($F84,사건마스터!$A$5:$A$64,0)),""))</f>
        <v/>
      </c>
      <c r="Z84" s="30">
        <f>IF(COUNTBLANK($J84:$Y84)=16,"",16-COUNTBLANK($J84:$Y84))</f>
        <v/>
      </c>
      <c r="AA84" s="33">
        <f>IF($J84="",MID($AX84,3,255),$J84&amp;$AX84)</f>
        <v/>
      </c>
      <c r="AB84" s="34">
        <f>IF($J84="","",IFERROR(INDEX(코드설정!$D$5:$D$24,MATCH($J84,코드설정!$C$5:$C$24,0)),""))</f>
        <v/>
      </c>
      <c r="AC84" s="36" t="n"/>
      <c r="AD84" s="37" t="n"/>
      <c r="AE84" s="38" t="n"/>
      <c r="AF84" s="30">
        <f>IF(OR($B84="",$C84=""),"",$C84-$B84+1)</f>
        <v/>
      </c>
      <c r="AG84" s="32" t="n"/>
      <c r="AH84" s="36" t="n"/>
      <c r="AJ84">
        <f>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  <c r="AX84">
        <f>AW84&amp;IF($Y84="","",", "&amp;$Y84)</f>
        <v/>
      </c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0">
        <f>IF($F85="","",COUNTIF($F$5:$F85,$F85))</f>
        <v/>
      </c>
      <c r="H85" s="33">
        <f>IF($F85="","",IFERROR(INDEX(사건마스터!$B$5:$B$64,MATCH($F85,사건마스터!$A$5:$A$64,0)),""))</f>
        <v/>
      </c>
      <c r="I85" s="34">
        <f>IF($F85="","",IFERROR(INDEX(사건마스터!$C$5:$C$64,MATCH($F85,사건마스터!$A$5:$A$64,0)),""))</f>
        <v/>
      </c>
      <c r="J85" s="35">
        <f>IF($F85="","",IFERROR(INDEX(사건마스터!$H$5:$H$64,MATCH($F85,사건마스터!$A$5:$A$64,0)),""))</f>
        <v/>
      </c>
      <c r="K85" s="35">
        <f>IF($F85="","",IFERROR(INDEX(사건마스터!$AH$5:$AH$64,MATCH($F85,사건마스터!$A$5:$A$64,0)),""))</f>
        <v/>
      </c>
      <c r="L85" s="35">
        <f>IF($F85="","",IFERROR(INDEX(사건마스터!$AI$5:$AI$64,MATCH($F85,사건마스터!$A$5:$A$64,0)),""))</f>
        <v/>
      </c>
      <c r="M85" s="35">
        <f>IF($F85="","",IFERROR(INDEX(사건마스터!$AJ$5:$AJ$64,MATCH($F85,사건마스터!$A$5:$A$64,0)),""))</f>
        <v/>
      </c>
      <c r="N85" s="35">
        <f>IF($F85="","",IFERROR(INDEX(사건마스터!$AK$5:$AK$64,MATCH($F85,사건마스터!$A$5:$A$64,0)),""))</f>
        <v/>
      </c>
      <c r="O85" s="35">
        <f>IF($F85="","",IFERROR(INDEX(사건마스터!$AL$5:$AL$64,MATCH($F85,사건마스터!$A$5:$A$64,0)),""))</f>
        <v/>
      </c>
      <c r="P85" s="35">
        <f>IF($F85="","",IFERROR(INDEX(사건마스터!$AM$5:$AM$64,MATCH($F85,사건마스터!$A$5:$A$64,0)),""))</f>
        <v/>
      </c>
      <c r="Q85" s="35">
        <f>IF($F85="","",IFERROR(INDEX(사건마스터!$AN$5:$AN$64,MATCH($F85,사건마스터!$A$5:$A$64,0)),""))</f>
        <v/>
      </c>
      <c r="R85" s="35">
        <f>IF($F85="","",IFERROR(INDEX(사건마스터!$AO$5:$AO$64,MATCH($F85,사건마스터!$A$5:$A$64,0)),""))</f>
        <v/>
      </c>
      <c r="S85" s="35">
        <f>IF($F85="","",IFERROR(INDEX(사건마스터!$AP$5:$AP$64,MATCH($F85,사건마스터!$A$5:$A$64,0)),""))</f>
        <v/>
      </c>
      <c r="T85" s="35">
        <f>IF($F85="","",IFERROR(INDEX(사건마스터!$AQ$5:$AQ$64,MATCH($F85,사건마스터!$A$5:$A$64,0)),""))</f>
        <v/>
      </c>
      <c r="U85" s="35">
        <f>IF($F85="","",IFERROR(INDEX(사건마스터!$AR$5:$AR$64,MATCH($F85,사건마스터!$A$5:$A$64,0)),""))</f>
        <v/>
      </c>
      <c r="V85" s="35">
        <f>IF($F85="","",IFERROR(INDEX(사건마스터!$AS$5:$AS$64,MATCH($F85,사건마스터!$A$5:$A$64,0)),""))</f>
        <v/>
      </c>
      <c r="W85" s="35">
        <f>IF($F85="","",IFERROR(INDEX(사건마스터!$AT$5:$AT$64,MATCH($F85,사건마스터!$A$5:$A$64,0)),""))</f>
        <v/>
      </c>
      <c r="X85" s="35">
        <f>IF($F85="","",IFERROR(INDEX(사건마스터!$AU$5:$AU$64,MATCH($F85,사건마스터!$A$5:$A$64,0)),""))</f>
        <v/>
      </c>
      <c r="Y85" s="35">
        <f>IF($F85="","",IFERROR(INDEX(사건마스터!$AV$5:$AV$64,MATCH($F85,사건마스터!$A$5:$A$64,0)),""))</f>
        <v/>
      </c>
      <c r="Z85" s="30">
        <f>IF(COUNTBLANK($J85:$Y85)=16,"",16-COUNTBLANK($J85:$Y85))</f>
        <v/>
      </c>
      <c r="AA85" s="33">
        <f>IF($J85="",MID($AX85,3,255),$J85&amp;$AX85)</f>
        <v/>
      </c>
      <c r="AB85" s="34">
        <f>IF($J85="","",IFERROR(INDEX(코드설정!$D$5:$D$24,MATCH($J85,코드설정!$C$5:$C$24,0)),""))</f>
        <v/>
      </c>
      <c r="AC85" s="36" t="n"/>
      <c r="AD85" s="37" t="n"/>
      <c r="AE85" s="38" t="n"/>
      <c r="AF85" s="30">
        <f>IF(OR($B85="",$C85=""),"",$C85-$B85+1)</f>
        <v/>
      </c>
      <c r="AG85" s="32" t="n"/>
      <c r="AH85" s="36" t="n"/>
      <c r="AJ85">
        <f>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  <c r="AX85">
        <f>AW85&amp;IF($Y85="","",", "&amp;$Y85)</f>
        <v/>
      </c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0">
        <f>IF($F86="","",COUNTIF($F$5:$F86,$F86))</f>
        <v/>
      </c>
      <c r="H86" s="33">
        <f>IF($F86="","",IFERROR(INDEX(사건마스터!$B$5:$B$64,MATCH($F86,사건마스터!$A$5:$A$64,0)),""))</f>
        <v/>
      </c>
      <c r="I86" s="34">
        <f>IF($F86="","",IFERROR(INDEX(사건마스터!$C$5:$C$64,MATCH($F86,사건마스터!$A$5:$A$64,0)),""))</f>
        <v/>
      </c>
      <c r="J86" s="35">
        <f>IF($F86="","",IFERROR(INDEX(사건마스터!$H$5:$H$64,MATCH($F86,사건마스터!$A$5:$A$64,0)),""))</f>
        <v/>
      </c>
      <c r="K86" s="35">
        <f>IF($F86="","",IFERROR(INDEX(사건마스터!$AH$5:$AH$64,MATCH($F86,사건마스터!$A$5:$A$64,0)),""))</f>
        <v/>
      </c>
      <c r="L86" s="35">
        <f>IF($F86="","",IFERROR(INDEX(사건마스터!$AI$5:$AI$64,MATCH($F86,사건마스터!$A$5:$A$64,0)),""))</f>
        <v/>
      </c>
      <c r="M86" s="35">
        <f>IF($F86="","",IFERROR(INDEX(사건마스터!$AJ$5:$AJ$64,MATCH($F86,사건마스터!$A$5:$A$64,0)),""))</f>
        <v/>
      </c>
      <c r="N86" s="35">
        <f>IF($F86="","",IFERROR(INDEX(사건마스터!$AK$5:$AK$64,MATCH($F86,사건마스터!$A$5:$A$64,0)),""))</f>
        <v/>
      </c>
      <c r="O86" s="35">
        <f>IF($F86="","",IFERROR(INDEX(사건마스터!$AL$5:$AL$64,MATCH($F86,사건마스터!$A$5:$A$64,0)),""))</f>
        <v/>
      </c>
      <c r="P86" s="35">
        <f>IF($F86="","",IFERROR(INDEX(사건마스터!$AM$5:$AM$64,MATCH($F86,사건마스터!$A$5:$A$64,0)),""))</f>
        <v/>
      </c>
      <c r="Q86" s="35">
        <f>IF($F86="","",IFERROR(INDEX(사건마스터!$AN$5:$AN$64,MATCH($F86,사건마스터!$A$5:$A$64,0)),""))</f>
        <v/>
      </c>
      <c r="R86" s="35">
        <f>IF($F86="","",IFERROR(INDEX(사건마스터!$AO$5:$AO$64,MATCH($F86,사건마스터!$A$5:$A$64,0)),""))</f>
        <v/>
      </c>
      <c r="S86" s="35">
        <f>IF($F86="","",IFERROR(INDEX(사건마스터!$AP$5:$AP$64,MATCH($F86,사건마스터!$A$5:$A$64,0)),""))</f>
        <v/>
      </c>
      <c r="T86" s="35">
        <f>IF($F86="","",IFERROR(INDEX(사건마스터!$AQ$5:$AQ$64,MATCH($F86,사건마스터!$A$5:$A$64,0)),""))</f>
        <v/>
      </c>
      <c r="U86" s="35">
        <f>IF($F86="","",IFERROR(INDEX(사건마스터!$AR$5:$AR$64,MATCH($F86,사건마스터!$A$5:$A$64,0)),""))</f>
        <v/>
      </c>
      <c r="V86" s="35">
        <f>IF($F86="","",IFERROR(INDEX(사건마스터!$AS$5:$AS$64,MATCH($F86,사건마스터!$A$5:$A$64,0)),""))</f>
        <v/>
      </c>
      <c r="W86" s="35">
        <f>IF($F86="","",IFERROR(INDEX(사건마스터!$AT$5:$AT$64,MATCH($F86,사건마스터!$A$5:$A$64,0)),""))</f>
        <v/>
      </c>
      <c r="X86" s="35">
        <f>IF($F86="","",IFERROR(INDEX(사건마스터!$AU$5:$AU$64,MATCH($F86,사건마스터!$A$5:$A$64,0)),""))</f>
        <v/>
      </c>
      <c r="Y86" s="35">
        <f>IF($F86="","",IFERROR(INDEX(사건마스터!$AV$5:$AV$64,MATCH($F86,사건마스터!$A$5:$A$64,0)),""))</f>
        <v/>
      </c>
      <c r="Z86" s="30">
        <f>IF(COUNTBLANK($J86:$Y86)=16,"",16-COUNTBLANK($J86:$Y86))</f>
        <v/>
      </c>
      <c r="AA86" s="33">
        <f>IF($J86="",MID($AX86,3,255),$J86&amp;$AX86)</f>
        <v/>
      </c>
      <c r="AB86" s="34">
        <f>IF($J86="","",IFERROR(INDEX(코드설정!$D$5:$D$24,MATCH($J86,코드설정!$C$5:$C$24,0)),""))</f>
        <v/>
      </c>
      <c r="AC86" s="36" t="n"/>
      <c r="AD86" s="37" t="n"/>
      <c r="AE86" s="38" t="n"/>
      <c r="AF86" s="30">
        <f>IF(OR($B86="",$C86=""),"",$C86-$B86+1)</f>
        <v/>
      </c>
      <c r="AG86" s="32" t="n"/>
      <c r="AH86" s="36" t="n"/>
      <c r="AJ86">
        <f>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  <c r="AX86">
        <f>AW86&amp;IF($Y86="","",", "&amp;$Y86)</f>
        <v/>
      </c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0">
        <f>IF($F87="","",COUNTIF($F$5:$F87,$F87))</f>
        <v/>
      </c>
      <c r="H87" s="33">
        <f>IF($F87="","",IFERROR(INDEX(사건마스터!$B$5:$B$64,MATCH($F87,사건마스터!$A$5:$A$64,0)),""))</f>
        <v/>
      </c>
      <c r="I87" s="34">
        <f>IF($F87="","",IFERROR(INDEX(사건마스터!$C$5:$C$64,MATCH($F87,사건마스터!$A$5:$A$64,0)),""))</f>
        <v/>
      </c>
      <c r="J87" s="35">
        <f>IF($F87="","",IFERROR(INDEX(사건마스터!$H$5:$H$64,MATCH($F87,사건마스터!$A$5:$A$64,0)),""))</f>
        <v/>
      </c>
      <c r="K87" s="35">
        <f>IF($F87="","",IFERROR(INDEX(사건마스터!$AH$5:$AH$64,MATCH($F87,사건마스터!$A$5:$A$64,0)),""))</f>
        <v/>
      </c>
      <c r="L87" s="35">
        <f>IF($F87="","",IFERROR(INDEX(사건마스터!$AI$5:$AI$64,MATCH($F87,사건마스터!$A$5:$A$64,0)),""))</f>
        <v/>
      </c>
      <c r="M87" s="35">
        <f>IF($F87="","",IFERROR(INDEX(사건마스터!$AJ$5:$AJ$64,MATCH($F87,사건마스터!$A$5:$A$64,0)),""))</f>
        <v/>
      </c>
      <c r="N87" s="35">
        <f>IF($F87="","",IFERROR(INDEX(사건마스터!$AK$5:$AK$64,MATCH($F87,사건마스터!$A$5:$A$64,0)),""))</f>
        <v/>
      </c>
      <c r="O87" s="35">
        <f>IF($F87="","",IFERROR(INDEX(사건마스터!$AL$5:$AL$64,MATCH($F87,사건마스터!$A$5:$A$64,0)),""))</f>
        <v/>
      </c>
      <c r="P87" s="35">
        <f>IF($F87="","",IFERROR(INDEX(사건마스터!$AM$5:$AM$64,MATCH($F87,사건마스터!$A$5:$A$64,0)),""))</f>
        <v/>
      </c>
      <c r="Q87" s="35">
        <f>IF($F87="","",IFERROR(INDEX(사건마스터!$AN$5:$AN$64,MATCH($F87,사건마스터!$A$5:$A$64,0)),""))</f>
        <v/>
      </c>
      <c r="R87" s="35">
        <f>IF($F87="","",IFERROR(INDEX(사건마스터!$AO$5:$AO$64,MATCH($F87,사건마스터!$A$5:$A$64,0)),""))</f>
        <v/>
      </c>
      <c r="S87" s="35">
        <f>IF($F87="","",IFERROR(INDEX(사건마스터!$AP$5:$AP$64,MATCH($F87,사건마스터!$A$5:$A$64,0)),""))</f>
        <v/>
      </c>
      <c r="T87" s="35">
        <f>IF($F87="","",IFERROR(INDEX(사건마스터!$AQ$5:$AQ$64,MATCH($F87,사건마스터!$A$5:$A$64,0)),""))</f>
        <v/>
      </c>
      <c r="U87" s="35">
        <f>IF($F87="","",IFERROR(INDEX(사건마스터!$AR$5:$AR$64,MATCH($F87,사건마스터!$A$5:$A$64,0)),""))</f>
        <v/>
      </c>
      <c r="V87" s="35">
        <f>IF($F87="","",IFERROR(INDEX(사건마스터!$AS$5:$AS$64,MATCH($F87,사건마스터!$A$5:$A$64,0)),""))</f>
        <v/>
      </c>
      <c r="W87" s="35">
        <f>IF($F87="","",IFERROR(INDEX(사건마스터!$AT$5:$AT$64,MATCH($F87,사건마스터!$A$5:$A$64,0)),""))</f>
        <v/>
      </c>
      <c r="X87" s="35">
        <f>IF($F87="","",IFERROR(INDEX(사건마스터!$AU$5:$AU$64,MATCH($F87,사건마스터!$A$5:$A$64,0)),""))</f>
        <v/>
      </c>
      <c r="Y87" s="35">
        <f>IF($F87="","",IFERROR(INDEX(사건마스터!$AV$5:$AV$64,MATCH($F87,사건마스터!$A$5:$A$64,0)),""))</f>
        <v/>
      </c>
      <c r="Z87" s="30">
        <f>IF(COUNTBLANK($J87:$Y87)=16,"",16-COUNTBLANK($J87:$Y87))</f>
        <v/>
      </c>
      <c r="AA87" s="33">
        <f>IF($J87="",MID($AX87,3,255),$J87&amp;$AX87)</f>
        <v/>
      </c>
      <c r="AB87" s="34">
        <f>IF($J87="","",IFERROR(INDEX(코드설정!$D$5:$D$24,MATCH($J87,코드설정!$C$5:$C$24,0)),""))</f>
        <v/>
      </c>
      <c r="AC87" s="36" t="n"/>
      <c r="AD87" s="37" t="n"/>
      <c r="AE87" s="38" t="n"/>
      <c r="AF87" s="30">
        <f>IF(OR($B87="",$C87=""),"",$C87-$B87+1)</f>
        <v/>
      </c>
      <c r="AG87" s="32" t="n"/>
      <c r="AH87" s="36" t="n"/>
      <c r="AJ87">
        <f>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  <c r="AX87">
        <f>AW87&amp;IF($Y87="","",", "&amp;$Y87)</f>
        <v/>
      </c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0">
        <f>IF($F88="","",COUNTIF($F$5:$F88,$F88))</f>
        <v/>
      </c>
      <c r="H88" s="33">
        <f>IF($F88="","",IFERROR(INDEX(사건마스터!$B$5:$B$64,MATCH($F88,사건마스터!$A$5:$A$64,0)),""))</f>
        <v/>
      </c>
      <c r="I88" s="34">
        <f>IF($F88="","",IFERROR(INDEX(사건마스터!$C$5:$C$64,MATCH($F88,사건마스터!$A$5:$A$64,0)),""))</f>
        <v/>
      </c>
      <c r="J88" s="35">
        <f>IF($F88="","",IFERROR(INDEX(사건마스터!$H$5:$H$64,MATCH($F88,사건마스터!$A$5:$A$64,0)),""))</f>
        <v/>
      </c>
      <c r="K88" s="35">
        <f>IF($F88="","",IFERROR(INDEX(사건마스터!$AH$5:$AH$64,MATCH($F88,사건마스터!$A$5:$A$64,0)),""))</f>
        <v/>
      </c>
      <c r="L88" s="35">
        <f>IF($F88="","",IFERROR(INDEX(사건마스터!$AI$5:$AI$64,MATCH($F88,사건마스터!$A$5:$A$64,0)),""))</f>
        <v/>
      </c>
      <c r="M88" s="35">
        <f>IF($F88="","",IFERROR(INDEX(사건마스터!$AJ$5:$AJ$64,MATCH($F88,사건마스터!$A$5:$A$64,0)),""))</f>
        <v/>
      </c>
      <c r="N88" s="35">
        <f>IF($F88="","",IFERROR(INDEX(사건마스터!$AK$5:$AK$64,MATCH($F88,사건마스터!$A$5:$A$64,0)),""))</f>
        <v/>
      </c>
      <c r="O88" s="35">
        <f>IF($F88="","",IFERROR(INDEX(사건마스터!$AL$5:$AL$64,MATCH($F88,사건마스터!$A$5:$A$64,0)),""))</f>
        <v/>
      </c>
      <c r="P88" s="35">
        <f>IF($F88="","",IFERROR(INDEX(사건마스터!$AM$5:$AM$64,MATCH($F88,사건마스터!$A$5:$A$64,0)),""))</f>
        <v/>
      </c>
      <c r="Q88" s="35">
        <f>IF($F88="","",IFERROR(INDEX(사건마스터!$AN$5:$AN$64,MATCH($F88,사건마스터!$A$5:$A$64,0)),""))</f>
        <v/>
      </c>
      <c r="R88" s="35">
        <f>IF($F88="","",IFERROR(INDEX(사건마스터!$AO$5:$AO$64,MATCH($F88,사건마스터!$A$5:$A$64,0)),""))</f>
        <v/>
      </c>
      <c r="S88" s="35">
        <f>IF($F88="","",IFERROR(INDEX(사건마스터!$AP$5:$AP$64,MATCH($F88,사건마스터!$A$5:$A$64,0)),""))</f>
        <v/>
      </c>
      <c r="T88" s="35">
        <f>IF($F88="","",IFERROR(INDEX(사건마스터!$AQ$5:$AQ$64,MATCH($F88,사건마스터!$A$5:$A$64,0)),""))</f>
        <v/>
      </c>
      <c r="U88" s="35">
        <f>IF($F88="","",IFERROR(INDEX(사건마스터!$AR$5:$AR$64,MATCH($F88,사건마스터!$A$5:$A$64,0)),""))</f>
        <v/>
      </c>
      <c r="V88" s="35">
        <f>IF($F88="","",IFERROR(INDEX(사건마스터!$AS$5:$AS$64,MATCH($F88,사건마스터!$A$5:$A$64,0)),""))</f>
        <v/>
      </c>
      <c r="W88" s="35">
        <f>IF($F88="","",IFERROR(INDEX(사건마스터!$AT$5:$AT$64,MATCH($F88,사건마스터!$A$5:$A$64,0)),""))</f>
        <v/>
      </c>
      <c r="X88" s="35">
        <f>IF($F88="","",IFERROR(INDEX(사건마스터!$AU$5:$AU$64,MATCH($F88,사건마스터!$A$5:$A$64,0)),""))</f>
        <v/>
      </c>
      <c r="Y88" s="35">
        <f>IF($F88="","",IFERROR(INDEX(사건마스터!$AV$5:$AV$64,MATCH($F88,사건마스터!$A$5:$A$64,0)),""))</f>
        <v/>
      </c>
      <c r="Z88" s="30">
        <f>IF(COUNTBLANK($J88:$Y88)=16,"",16-COUNTBLANK($J88:$Y88))</f>
        <v/>
      </c>
      <c r="AA88" s="33">
        <f>IF($J88="",MID($AX88,3,255),$J88&amp;$AX88)</f>
        <v/>
      </c>
      <c r="AB88" s="34">
        <f>IF($J88="","",IFERROR(INDEX(코드설정!$D$5:$D$24,MATCH($J88,코드설정!$C$5:$C$24,0)),""))</f>
        <v/>
      </c>
      <c r="AC88" s="36" t="n"/>
      <c r="AD88" s="37" t="n"/>
      <c r="AE88" s="38" t="n"/>
      <c r="AF88" s="30">
        <f>IF(OR($B88="",$C88=""),"",$C88-$B88+1)</f>
        <v/>
      </c>
      <c r="AG88" s="32" t="n"/>
      <c r="AH88" s="36" t="n"/>
      <c r="AJ88">
        <f>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  <c r="AX88">
        <f>AW88&amp;IF($Y88="","",", "&amp;$Y88)</f>
        <v/>
      </c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0">
        <f>IF($F89="","",COUNTIF($F$5:$F89,$F89))</f>
        <v/>
      </c>
      <c r="H89" s="33">
        <f>IF($F89="","",IFERROR(INDEX(사건마스터!$B$5:$B$64,MATCH($F89,사건마스터!$A$5:$A$64,0)),""))</f>
        <v/>
      </c>
      <c r="I89" s="34">
        <f>IF($F89="","",IFERROR(INDEX(사건마스터!$C$5:$C$64,MATCH($F89,사건마스터!$A$5:$A$64,0)),""))</f>
        <v/>
      </c>
      <c r="J89" s="35">
        <f>IF($F89="","",IFERROR(INDEX(사건마스터!$H$5:$H$64,MATCH($F89,사건마스터!$A$5:$A$64,0)),""))</f>
        <v/>
      </c>
      <c r="K89" s="35">
        <f>IF($F89="","",IFERROR(INDEX(사건마스터!$AH$5:$AH$64,MATCH($F89,사건마스터!$A$5:$A$64,0)),""))</f>
        <v/>
      </c>
      <c r="L89" s="35">
        <f>IF($F89="","",IFERROR(INDEX(사건마스터!$AI$5:$AI$64,MATCH($F89,사건마스터!$A$5:$A$64,0)),""))</f>
        <v/>
      </c>
      <c r="M89" s="35">
        <f>IF($F89="","",IFERROR(INDEX(사건마스터!$AJ$5:$AJ$64,MATCH($F89,사건마스터!$A$5:$A$64,0)),""))</f>
        <v/>
      </c>
      <c r="N89" s="35">
        <f>IF($F89="","",IFERROR(INDEX(사건마스터!$AK$5:$AK$64,MATCH($F89,사건마스터!$A$5:$A$64,0)),""))</f>
        <v/>
      </c>
      <c r="O89" s="35">
        <f>IF($F89="","",IFERROR(INDEX(사건마스터!$AL$5:$AL$64,MATCH($F89,사건마스터!$A$5:$A$64,0)),""))</f>
        <v/>
      </c>
      <c r="P89" s="35">
        <f>IF($F89="","",IFERROR(INDEX(사건마스터!$AM$5:$AM$64,MATCH($F89,사건마스터!$A$5:$A$64,0)),""))</f>
        <v/>
      </c>
      <c r="Q89" s="35">
        <f>IF($F89="","",IFERROR(INDEX(사건마스터!$AN$5:$AN$64,MATCH($F89,사건마스터!$A$5:$A$64,0)),""))</f>
        <v/>
      </c>
      <c r="R89" s="35">
        <f>IF($F89="","",IFERROR(INDEX(사건마스터!$AO$5:$AO$64,MATCH($F89,사건마스터!$A$5:$A$64,0)),""))</f>
        <v/>
      </c>
      <c r="S89" s="35">
        <f>IF($F89="","",IFERROR(INDEX(사건마스터!$AP$5:$AP$64,MATCH($F89,사건마스터!$A$5:$A$64,0)),""))</f>
        <v/>
      </c>
      <c r="T89" s="35">
        <f>IF($F89="","",IFERROR(INDEX(사건마스터!$AQ$5:$AQ$64,MATCH($F89,사건마스터!$A$5:$A$64,0)),""))</f>
        <v/>
      </c>
      <c r="U89" s="35">
        <f>IF($F89="","",IFERROR(INDEX(사건마스터!$AR$5:$AR$64,MATCH($F89,사건마스터!$A$5:$A$64,0)),""))</f>
        <v/>
      </c>
      <c r="V89" s="35">
        <f>IF($F89="","",IFERROR(INDEX(사건마스터!$AS$5:$AS$64,MATCH($F89,사건마스터!$A$5:$A$64,0)),""))</f>
        <v/>
      </c>
      <c r="W89" s="35">
        <f>IF($F89="","",IFERROR(INDEX(사건마스터!$AT$5:$AT$64,MATCH($F89,사건마스터!$A$5:$A$64,0)),""))</f>
        <v/>
      </c>
      <c r="X89" s="35">
        <f>IF($F89="","",IFERROR(INDEX(사건마스터!$AU$5:$AU$64,MATCH($F89,사건마스터!$A$5:$A$64,0)),""))</f>
        <v/>
      </c>
      <c r="Y89" s="35">
        <f>IF($F89="","",IFERROR(INDEX(사건마스터!$AV$5:$AV$64,MATCH($F89,사건마스터!$A$5:$A$64,0)),""))</f>
        <v/>
      </c>
      <c r="Z89" s="30">
        <f>IF(COUNTBLANK($J89:$Y89)=16,"",16-COUNTBLANK($J89:$Y89))</f>
        <v/>
      </c>
      <c r="AA89" s="33">
        <f>IF($J89="",MID($AX89,3,255),$J89&amp;$AX89)</f>
        <v/>
      </c>
      <c r="AB89" s="34">
        <f>IF($J89="","",IFERROR(INDEX(코드설정!$D$5:$D$24,MATCH($J89,코드설정!$C$5:$C$24,0)),""))</f>
        <v/>
      </c>
      <c r="AC89" s="36" t="n"/>
      <c r="AD89" s="37" t="n"/>
      <c r="AE89" s="38" t="n"/>
      <c r="AF89" s="30">
        <f>IF(OR($B89="",$C89=""),"",$C89-$B89+1)</f>
        <v/>
      </c>
      <c r="AG89" s="32" t="n"/>
      <c r="AH89" s="36" t="n"/>
      <c r="AJ89">
        <f>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  <c r="AX89">
        <f>AW89&amp;IF($Y89="","",", "&amp;$Y89)</f>
        <v/>
      </c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0">
        <f>IF($F90="","",COUNTIF($F$5:$F90,$F90))</f>
        <v/>
      </c>
      <c r="H90" s="33">
        <f>IF($F90="","",IFERROR(INDEX(사건마스터!$B$5:$B$64,MATCH($F90,사건마스터!$A$5:$A$64,0)),""))</f>
        <v/>
      </c>
      <c r="I90" s="34">
        <f>IF($F90="","",IFERROR(INDEX(사건마스터!$C$5:$C$64,MATCH($F90,사건마스터!$A$5:$A$64,0)),""))</f>
        <v/>
      </c>
      <c r="J90" s="35">
        <f>IF($F90="","",IFERROR(INDEX(사건마스터!$H$5:$H$64,MATCH($F90,사건마스터!$A$5:$A$64,0)),""))</f>
        <v/>
      </c>
      <c r="K90" s="35">
        <f>IF($F90="","",IFERROR(INDEX(사건마스터!$AH$5:$AH$64,MATCH($F90,사건마스터!$A$5:$A$64,0)),""))</f>
        <v/>
      </c>
      <c r="L90" s="35">
        <f>IF($F90="","",IFERROR(INDEX(사건마스터!$AI$5:$AI$64,MATCH($F90,사건마스터!$A$5:$A$64,0)),""))</f>
        <v/>
      </c>
      <c r="M90" s="35">
        <f>IF($F90="","",IFERROR(INDEX(사건마스터!$AJ$5:$AJ$64,MATCH($F90,사건마스터!$A$5:$A$64,0)),""))</f>
        <v/>
      </c>
      <c r="N90" s="35">
        <f>IF($F90="","",IFERROR(INDEX(사건마스터!$AK$5:$AK$64,MATCH($F90,사건마스터!$A$5:$A$64,0)),""))</f>
        <v/>
      </c>
      <c r="O90" s="35">
        <f>IF($F90="","",IFERROR(INDEX(사건마스터!$AL$5:$AL$64,MATCH($F90,사건마스터!$A$5:$A$64,0)),""))</f>
        <v/>
      </c>
      <c r="P90" s="35">
        <f>IF($F90="","",IFERROR(INDEX(사건마스터!$AM$5:$AM$64,MATCH($F90,사건마스터!$A$5:$A$64,0)),""))</f>
        <v/>
      </c>
      <c r="Q90" s="35">
        <f>IF($F90="","",IFERROR(INDEX(사건마스터!$AN$5:$AN$64,MATCH($F90,사건마스터!$A$5:$A$64,0)),""))</f>
        <v/>
      </c>
      <c r="R90" s="35">
        <f>IF($F90="","",IFERROR(INDEX(사건마스터!$AO$5:$AO$64,MATCH($F90,사건마스터!$A$5:$A$64,0)),""))</f>
        <v/>
      </c>
      <c r="S90" s="35">
        <f>IF($F90="","",IFERROR(INDEX(사건마스터!$AP$5:$AP$64,MATCH($F90,사건마스터!$A$5:$A$64,0)),""))</f>
        <v/>
      </c>
      <c r="T90" s="35">
        <f>IF($F90="","",IFERROR(INDEX(사건마스터!$AQ$5:$AQ$64,MATCH($F90,사건마스터!$A$5:$A$64,0)),""))</f>
        <v/>
      </c>
      <c r="U90" s="35">
        <f>IF($F90="","",IFERROR(INDEX(사건마스터!$AR$5:$AR$64,MATCH($F90,사건마스터!$A$5:$A$64,0)),""))</f>
        <v/>
      </c>
      <c r="V90" s="35">
        <f>IF($F90="","",IFERROR(INDEX(사건마스터!$AS$5:$AS$64,MATCH($F90,사건마스터!$A$5:$A$64,0)),""))</f>
        <v/>
      </c>
      <c r="W90" s="35">
        <f>IF($F90="","",IFERROR(INDEX(사건마스터!$AT$5:$AT$64,MATCH($F90,사건마스터!$A$5:$A$64,0)),""))</f>
        <v/>
      </c>
      <c r="X90" s="35">
        <f>IF($F90="","",IFERROR(INDEX(사건마스터!$AU$5:$AU$64,MATCH($F90,사건마스터!$A$5:$A$64,0)),""))</f>
        <v/>
      </c>
      <c r="Y90" s="35">
        <f>IF($F90="","",IFERROR(INDEX(사건마스터!$AV$5:$AV$64,MATCH($F90,사건마스터!$A$5:$A$64,0)),""))</f>
        <v/>
      </c>
      <c r="Z90" s="30">
        <f>IF(COUNTBLANK($J90:$Y90)=16,"",16-COUNTBLANK($J90:$Y90))</f>
        <v/>
      </c>
      <c r="AA90" s="33">
        <f>IF($J90="",MID($AX90,3,255),$J90&amp;$AX90)</f>
        <v/>
      </c>
      <c r="AB90" s="34">
        <f>IF($J90="","",IFERROR(INDEX(코드설정!$D$5:$D$24,MATCH($J90,코드설정!$C$5:$C$24,0)),""))</f>
        <v/>
      </c>
      <c r="AC90" s="36" t="n"/>
      <c r="AD90" s="37" t="n"/>
      <c r="AE90" s="38" t="n"/>
      <c r="AF90" s="30">
        <f>IF(OR($B90="",$C90=""),"",$C90-$B90+1)</f>
        <v/>
      </c>
      <c r="AG90" s="32" t="n"/>
      <c r="AH90" s="36" t="n"/>
      <c r="AJ90">
        <f>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  <c r="AX90">
        <f>AW90&amp;IF($Y90="","",", "&amp;$Y90)</f>
        <v/>
      </c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0">
        <f>IF($F91="","",COUNTIF($F$5:$F91,$F91))</f>
        <v/>
      </c>
      <c r="H91" s="33">
        <f>IF($F91="","",IFERROR(INDEX(사건마스터!$B$5:$B$64,MATCH($F91,사건마스터!$A$5:$A$64,0)),""))</f>
        <v/>
      </c>
      <c r="I91" s="34">
        <f>IF($F91="","",IFERROR(INDEX(사건마스터!$C$5:$C$64,MATCH($F91,사건마스터!$A$5:$A$64,0)),""))</f>
        <v/>
      </c>
      <c r="J91" s="35">
        <f>IF($F91="","",IFERROR(INDEX(사건마스터!$H$5:$H$64,MATCH($F91,사건마스터!$A$5:$A$64,0)),""))</f>
        <v/>
      </c>
      <c r="K91" s="35">
        <f>IF($F91="","",IFERROR(INDEX(사건마스터!$AH$5:$AH$64,MATCH($F91,사건마스터!$A$5:$A$64,0)),""))</f>
        <v/>
      </c>
      <c r="L91" s="35">
        <f>IF($F91="","",IFERROR(INDEX(사건마스터!$AI$5:$AI$64,MATCH($F91,사건마스터!$A$5:$A$64,0)),""))</f>
        <v/>
      </c>
      <c r="M91" s="35">
        <f>IF($F91="","",IFERROR(INDEX(사건마스터!$AJ$5:$AJ$64,MATCH($F91,사건마스터!$A$5:$A$64,0)),""))</f>
        <v/>
      </c>
      <c r="N91" s="35">
        <f>IF($F91="","",IFERROR(INDEX(사건마스터!$AK$5:$AK$64,MATCH($F91,사건마스터!$A$5:$A$64,0)),""))</f>
        <v/>
      </c>
      <c r="O91" s="35">
        <f>IF($F91="","",IFERROR(INDEX(사건마스터!$AL$5:$AL$64,MATCH($F91,사건마스터!$A$5:$A$64,0)),""))</f>
        <v/>
      </c>
      <c r="P91" s="35">
        <f>IF($F91="","",IFERROR(INDEX(사건마스터!$AM$5:$AM$64,MATCH($F91,사건마스터!$A$5:$A$64,0)),""))</f>
        <v/>
      </c>
      <c r="Q91" s="35">
        <f>IF($F91="","",IFERROR(INDEX(사건마스터!$AN$5:$AN$64,MATCH($F91,사건마스터!$A$5:$A$64,0)),""))</f>
        <v/>
      </c>
      <c r="R91" s="35">
        <f>IF($F91="","",IFERROR(INDEX(사건마스터!$AO$5:$AO$64,MATCH($F91,사건마스터!$A$5:$A$64,0)),""))</f>
        <v/>
      </c>
      <c r="S91" s="35">
        <f>IF($F91="","",IFERROR(INDEX(사건마스터!$AP$5:$AP$64,MATCH($F91,사건마스터!$A$5:$A$64,0)),""))</f>
        <v/>
      </c>
      <c r="T91" s="35">
        <f>IF($F91="","",IFERROR(INDEX(사건마스터!$AQ$5:$AQ$64,MATCH($F91,사건마스터!$A$5:$A$64,0)),""))</f>
        <v/>
      </c>
      <c r="U91" s="35">
        <f>IF($F91="","",IFERROR(INDEX(사건마스터!$AR$5:$AR$64,MATCH($F91,사건마스터!$A$5:$A$64,0)),""))</f>
        <v/>
      </c>
      <c r="V91" s="35">
        <f>IF($F91="","",IFERROR(INDEX(사건마스터!$AS$5:$AS$64,MATCH($F91,사건마스터!$A$5:$A$64,0)),""))</f>
        <v/>
      </c>
      <c r="W91" s="35">
        <f>IF($F91="","",IFERROR(INDEX(사건마스터!$AT$5:$AT$64,MATCH($F91,사건마스터!$A$5:$A$64,0)),""))</f>
        <v/>
      </c>
      <c r="X91" s="35">
        <f>IF($F91="","",IFERROR(INDEX(사건마스터!$AU$5:$AU$64,MATCH($F91,사건마스터!$A$5:$A$64,0)),""))</f>
        <v/>
      </c>
      <c r="Y91" s="35">
        <f>IF($F91="","",IFERROR(INDEX(사건마스터!$AV$5:$AV$64,MATCH($F91,사건마스터!$A$5:$A$64,0)),""))</f>
        <v/>
      </c>
      <c r="Z91" s="30">
        <f>IF(COUNTBLANK($J91:$Y91)=16,"",16-COUNTBLANK($J91:$Y91))</f>
        <v/>
      </c>
      <c r="AA91" s="33">
        <f>IF($J91="",MID($AX91,3,255),$J91&amp;$AX91)</f>
        <v/>
      </c>
      <c r="AB91" s="34">
        <f>IF($J91="","",IFERROR(INDEX(코드설정!$D$5:$D$24,MATCH($J91,코드설정!$C$5:$C$24,0)),""))</f>
        <v/>
      </c>
      <c r="AC91" s="36" t="n"/>
      <c r="AD91" s="37" t="n"/>
      <c r="AE91" s="38" t="n"/>
      <c r="AF91" s="30">
        <f>IF(OR($B91="",$C91=""),"",$C91-$B91+1)</f>
        <v/>
      </c>
      <c r="AG91" s="32" t="n"/>
      <c r="AH91" s="36" t="n"/>
      <c r="AJ91">
        <f>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  <c r="AX91">
        <f>AW91&amp;IF($Y91="","",", "&amp;$Y91)</f>
        <v/>
      </c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0">
        <f>IF($F92="","",COUNTIF($F$5:$F92,$F92))</f>
        <v/>
      </c>
      <c r="H92" s="33">
        <f>IF($F92="","",IFERROR(INDEX(사건마스터!$B$5:$B$64,MATCH($F92,사건마스터!$A$5:$A$64,0)),""))</f>
        <v/>
      </c>
      <c r="I92" s="34">
        <f>IF($F92="","",IFERROR(INDEX(사건마스터!$C$5:$C$64,MATCH($F92,사건마스터!$A$5:$A$64,0)),""))</f>
        <v/>
      </c>
      <c r="J92" s="35">
        <f>IF($F92="","",IFERROR(INDEX(사건마스터!$H$5:$H$64,MATCH($F92,사건마스터!$A$5:$A$64,0)),""))</f>
        <v/>
      </c>
      <c r="K92" s="35">
        <f>IF($F92="","",IFERROR(INDEX(사건마스터!$AH$5:$AH$64,MATCH($F92,사건마스터!$A$5:$A$64,0)),""))</f>
        <v/>
      </c>
      <c r="L92" s="35">
        <f>IF($F92="","",IFERROR(INDEX(사건마스터!$AI$5:$AI$64,MATCH($F92,사건마스터!$A$5:$A$64,0)),""))</f>
        <v/>
      </c>
      <c r="M92" s="35">
        <f>IF($F92="","",IFERROR(INDEX(사건마스터!$AJ$5:$AJ$64,MATCH($F92,사건마스터!$A$5:$A$64,0)),""))</f>
        <v/>
      </c>
      <c r="N92" s="35">
        <f>IF($F92="","",IFERROR(INDEX(사건마스터!$AK$5:$AK$64,MATCH($F92,사건마스터!$A$5:$A$64,0)),""))</f>
        <v/>
      </c>
      <c r="O92" s="35">
        <f>IF($F92="","",IFERROR(INDEX(사건마스터!$AL$5:$AL$64,MATCH($F92,사건마스터!$A$5:$A$64,0)),""))</f>
        <v/>
      </c>
      <c r="P92" s="35">
        <f>IF($F92="","",IFERROR(INDEX(사건마스터!$AM$5:$AM$64,MATCH($F92,사건마스터!$A$5:$A$64,0)),""))</f>
        <v/>
      </c>
      <c r="Q92" s="35">
        <f>IF($F92="","",IFERROR(INDEX(사건마스터!$AN$5:$AN$64,MATCH($F92,사건마스터!$A$5:$A$64,0)),""))</f>
        <v/>
      </c>
      <c r="R92" s="35">
        <f>IF($F92="","",IFERROR(INDEX(사건마스터!$AO$5:$AO$64,MATCH($F92,사건마스터!$A$5:$A$64,0)),""))</f>
        <v/>
      </c>
      <c r="S92" s="35">
        <f>IF($F92="","",IFERROR(INDEX(사건마스터!$AP$5:$AP$64,MATCH($F92,사건마스터!$A$5:$A$64,0)),""))</f>
        <v/>
      </c>
      <c r="T92" s="35">
        <f>IF($F92="","",IFERROR(INDEX(사건마스터!$AQ$5:$AQ$64,MATCH($F92,사건마스터!$A$5:$A$64,0)),""))</f>
        <v/>
      </c>
      <c r="U92" s="35">
        <f>IF($F92="","",IFERROR(INDEX(사건마스터!$AR$5:$AR$64,MATCH($F92,사건마스터!$A$5:$A$64,0)),""))</f>
        <v/>
      </c>
      <c r="V92" s="35">
        <f>IF($F92="","",IFERROR(INDEX(사건마스터!$AS$5:$AS$64,MATCH($F92,사건마스터!$A$5:$A$64,0)),""))</f>
        <v/>
      </c>
      <c r="W92" s="35">
        <f>IF($F92="","",IFERROR(INDEX(사건마스터!$AT$5:$AT$64,MATCH($F92,사건마스터!$A$5:$A$64,0)),""))</f>
        <v/>
      </c>
      <c r="X92" s="35">
        <f>IF($F92="","",IFERROR(INDEX(사건마스터!$AU$5:$AU$64,MATCH($F92,사건마스터!$A$5:$A$64,0)),""))</f>
        <v/>
      </c>
      <c r="Y92" s="35">
        <f>IF($F92="","",IFERROR(INDEX(사건마스터!$AV$5:$AV$64,MATCH($F92,사건마스터!$A$5:$A$64,0)),""))</f>
        <v/>
      </c>
      <c r="Z92" s="30">
        <f>IF(COUNTBLANK($J92:$Y92)=16,"",16-COUNTBLANK($J92:$Y92))</f>
        <v/>
      </c>
      <c r="AA92" s="33">
        <f>IF($J92="",MID($AX92,3,255),$J92&amp;$AX92)</f>
        <v/>
      </c>
      <c r="AB92" s="34">
        <f>IF($J92="","",IFERROR(INDEX(코드설정!$D$5:$D$24,MATCH($J92,코드설정!$C$5:$C$24,0)),""))</f>
        <v/>
      </c>
      <c r="AC92" s="36" t="n"/>
      <c r="AD92" s="37" t="n"/>
      <c r="AE92" s="38" t="n"/>
      <c r="AF92" s="30">
        <f>IF(OR($B92="",$C92=""),"",$C92-$B92+1)</f>
        <v/>
      </c>
      <c r="AG92" s="32" t="n"/>
      <c r="AH92" s="36" t="n"/>
      <c r="AJ92">
        <f>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  <c r="AX92">
        <f>AW92&amp;IF($Y92="","",", "&amp;$Y92)</f>
        <v/>
      </c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0">
        <f>IF($F93="","",COUNTIF($F$5:$F93,$F93))</f>
        <v/>
      </c>
      <c r="H93" s="33">
        <f>IF($F93="","",IFERROR(INDEX(사건마스터!$B$5:$B$64,MATCH($F93,사건마스터!$A$5:$A$64,0)),""))</f>
        <v/>
      </c>
      <c r="I93" s="34">
        <f>IF($F93="","",IFERROR(INDEX(사건마스터!$C$5:$C$64,MATCH($F93,사건마스터!$A$5:$A$64,0)),""))</f>
        <v/>
      </c>
      <c r="J93" s="35">
        <f>IF($F93="","",IFERROR(INDEX(사건마스터!$H$5:$H$64,MATCH($F93,사건마스터!$A$5:$A$64,0)),""))</f>
        <v/>
      </c>
      <c r="K93" s="35">
        <f>IF($F93="","",IFERROR(INDEX(사건마스터!$AH$5:$AH$64,MATCH($F93,사건마스터!$A$5:$A$64,0)),""))</f>
        <v/>
      </c>
      <c r="L93" s="35">
        <f>IF($F93="","",IFERROR(INDEX(사건마스터!$AI$5:$AI$64,MATCH($F93,사건마스터!$A$5:$A$64,0)),""))</f>
        <v/>
      </c>
      <c r="M93" s="35">
        <f>IF($F93="","",IFERROR(INDEX(사건마스터!$AJ$5:$AJ$64,MATCH($F93,사건마스터!$A$5:$A$64,0)),""))</f>
        <v/>
      </c>
      <c r="N93" s="35">
        <f>IF($F93="","",IFERROR(INDEX(사건마스터!$AK$5:$AK$64,MATCH($F93,사건마스터!$A$5:$A$64,0)),""))</f>
        <v/>
      </c>
      <c r="O93" s="35">
        <f>IF($F93="","",IFERROR(INDEX(사건마스터!$AL$5:$AL$64,MATCH($F93,사건마스터!$A$5:$A$64,0)),""))</f>
        <v/>
      </c>
      <c r="P93" s="35">
        <f>IF($F93="","",IFERROR(INDEX(사건마스터!$AM$5:$AM$64,MATCH($F93,사건마스터!$A$5:$A$64,0)),""))</f>
        <v/>
      </c>
      <c r="Q93" s="35">
        <f>IF($F93="","",IFERROR(INDEX(사건마스터!$AN$5:$AN$64,MATCH($F93,사건마스터!$A$5:$A$64,0)),""))</f>
        <v/>
      </c>
      <c r="R93" s="35">
        <f>IF($F93="","",IFERROR(INDEX(사건마스터!$AO$5:$AO$64,MATCH($F93,사건마스터!$A$5:$A$64,0)),""))</f>
        <v/>
      </c>
      <c r="S93" s="35">
        <f>IF($F93="","",IFERROR(INDEX(사건마스터!$AP$5:$AP$64,MATCH($F93,사건마스터!$A$5:$A$64,0)),""))</f>
        <v/>
      </c>
      <c r="T93" s="35">
        <f>IF($F93="","",IFERROR(INDEX(사건마스터!$AQ$5:$AQ$64,MATCH($F93,사건마스터!$A$5:$A$64,0)),""))</f>
        <v/>
      </c>
      <c r="U93" s="35">
        <f>IF($F93="","",IFERROR(INDEX(사건마스터!$AR$5:$AR$64,MATCH($F93,사건마스터!$A$5:$A$64,0)),""))</f>
        <v/>
      </c>
      <c r="V93" s="35">
        <f>IF($F93="","",IFERROR(INDEX(사건마스터!$AS$5:$AS$64,MATCH($F93,사건마스터!$A$5:$A$64,0)),""))</f>
        <v/>
      </c>
      <c r="W93" s="35">
        <f>IF($F93="","",IFERROR(INDEX(사건마스터!$AT$5:$AT$64,MATCH($F93,사건마스터!$A$5:$A$64,0)),""))</f>
        <v/>
      </c>
      <c r="X93" s="35">
        <f>IF($F93="","",IFERROR(INDEX(사건마스터!$AU$5:$AU$64,MATCH($F93,사건마스터!$A$5:$A$64,0)),""))</f>
        <v/>
      </c>
      <c r="Y93" s="35">
        <f>IF($F93="","",IFERROR(INDEX(사건마스터!$AV$5:$AV$64,MATCH($F93,사건마스터!$A$5:$A$64,0)),""))</f>
        <v/>
      </c>
      <c r="Z93" s="30">
        <f>IF(COUNTBLANK($J93:$Y93)=16,"",16-COUNTBLANK($J93:$Y93))</f>
        <v/>
      </c>
      <c r="AA93" s="33">
        <f>IF($J93="",MID($AX93,3,255),$J93&amp;$AX93)</f>
        <v/>
      </c>
      <c r="AB93" s="34">
        <f>IF($J93="","",IFERROR(INDEX(코드설정!$D$5:$D$24,MATCH($J93,코드설정!$C$5:$C$24,0)),""))</f>
        <v/>
      </c>
      <c r="AC93" s="36" t="n"/>
      <c r="AD93" s="37" t="n"/>
      <c r="AE93" s="38" t="n"/>
      <c r="AF93" s="30">
        <f>IF(OR($B93="",$C93=""),"",$C93-$B93+1)</f>
        <v/>
      </c>
      <c r="AG93" s="32" t="n"/>
      <c r="AH93" s="36" t="n"/>
      <c r="AJ93">
        <f>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  <c r="AX93">
        <f>AW93&amp;IF($Y93="","",", "&amp;$Y93)</f>
        <v/>
      </c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0">
        <f>IF($F94="","",COUNTIF($F$5:$F94,$F94))</f>
        <v/>
      </c>
      <c r="H94" s="33">
        <f>IF($F94="","",IFERROR(INDEX(사건마스터!$B$5:$B$64,MATCH($F94,사건마스터!$A$5:$A$64,0)),""))</f>
        <v/>
      </c>
      <c r="I94" s="34">
        <f>IF($F94="","",IFERROR(INDEX(사건마스터!$C$5:$C$64,MATCH($F94,사건마스터!$A$5:$A$64,0)),""))</f>
        <v/>
      </c>
      <c r="J94" s="35">
        <f>IF($F94="","",IFERROR(INDEX(사건마스터!$H$5:$H$64,MATCH($F94,사건마스터!$A$5:$A$64,0)),""))</f>
        <v/>
      </c>
      <c r="K94" s="35">
        <f>IF($F94="","",IFERROR(INDEX(사건마스터!$AH$5:$AH$64,MATCH($F94,사건마스터!$A$5:$A$64,0)),""))</f>
        <v/>
      </c>
      <c r="L94" s="35">
        <f>IF($F94="","",IFERROR(INDEX(사건마스터!$AI$5:$AI$64,MATCH($F94,사건마스터!$A$5:$A$64,0)),""))</f>
        <v/>
      </c>
      <c r="M94" s="35">
        <f>IF($F94="","",IFERROR(INDEX(사건마스터!$AJ$5:$AJ$64,MATCH($F94,사건마스터!$A$5:$A$64,0)),""))</f>
        <v/>
      </c>
      <c r="N94" s="35">
        <f>IF($F94="","",IFERROR(INDEX(사건마스터!$AK$5:$AK$64,MATCH($F94,사건마스터!$A$5:$A$64,0)),""))</f>
        <v/>
      </c>
      <c r="O94" s="35">
        <f>IF($F94="","",IFERROR(INDEX(사건마스터!$AL$5:$AL$64,MATCH($F94,사건마스터!$A$5:$A$64,0)),""))</f>
        <v/>
      </c>
      <c r="P94" s="35">
        <f>IF($F94="","",IFERROR(INDEX(사건마스터!$AM$5:$AM$64,MATCH($F94,사건마스터!$A$5:$A$64,0)),""))</f>
        <v/>
      </c>
      <c r="Q94" s="35">
        <f>IF($F94="","",IFERROR(INDEX(사건마스터!$AN$5:$AN$64,MATCH($F94,사건마스터!$A$5:$A$64,0)),""))</f>
        <v/>
      </c>
      <c r="R94" s="35">
        <f>IF($F94="","",IFERROR(INDEX(사건마스터!$AO$5:$AO$64,MATCH($F94,사건마스터!$A$5:$A$64,0)),""))</f>
        <v/>
      </c>
      <c r="S94" s="35">
        <f>IF($F94="","",IFERROR(INDEX(사건마스터!$AP$5:$AP$64,MATCH($F94,사건마스터!$A$5:$A$64,0)),""))</f>
        <v/>
      </c>
      <c r="T94" s="35">
        <f>IF($F94="","",IFERROR(INDEX(사건마스터!$AQ$5:$AQ$64,MATCH($F94,사건마스터!$A$5:$A$64,0)),""))</f>
        <v/>
      </c>
      <c r="U94" s="35">
        <f>IF($F94="","",IFERROR(INDEX(사건마스터!$AR$5:$AR$64,MATCH($F94,사건마스터!$A$5:$A$64,0)),""))</f>
        <v/>
      </c>
      <c r="V94" s="35">
        <f>IF($F94="","",IFERROR(INDEX(사건마스터!$AS$5:$AS$64,MATCH($F94,사건마스터!$A$5:$A$64,0)),""))</f>
        <v/>
      </c>
      <c r="W94" s="35">
        <f>IF($F94="","",IFERROR(INDEX(사건마스터!$AT$5:$AT$64,MATCH($F94,사건마스터!$A$5:$A$64,0)),""))</f>
        <v/>
      </c>
      <c r="X94" s="35">
        <f>IF($F94="","",IFERROR(INDEX(사건마스터!$AU$5:$AU$64,MATCH($F94,사건마스터!$A$5:$A$64,0)),""))</f>
        <v/>
      </c>
      <c r="Y94" s="35">
        <f>IF($F94="","",IFERROR(INDEX(사건마스터!$AV$5:$AV$64,MATCH($F94,사건마스터!$A$5:$A$64,0)),""))</f>
        <v/>
      </c>
      <c r="Z94" s="30">
        <f>IF(COUNTBLANK($J94:$Y94)=16,"",16-COUNTBLANK($J94:$Y94))</f>
        <v/>
      </c>
      <c r="AA94" s="33">
        <f>IF($J94="",MID($AX94,3,255),$J94&amp;$AX94)</f>
        <v/>
      </c>
      <c r="AB94" s="34">
        <f>IF($J94="","",IFERROR(INDEX(코드설정!$D$5:$D$24,MATCH($J94,코드설정!$C$5:$C$24,0)),""))</f>
        <v/>
      </c>
      <c r="AC94" s="36" t="n"/>
      <c r="AD94" s="37" t="n"/>
      <c r="AE94" s="38" t="n"/>
      <c r="AF94" s="30">
        <f>IF(OR($B94="",$C94=""),"",$C94-$B94+1)</f>
        <v/>
      </c>
      <c r="AG94" s="32" t="n"/>
      <c r="AH94" s="36" t="n"/>
      <c r="AJ94">
        <f>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  <c r="AX94">
        <f>AW94&amp;IF($Y94="","",", "&amp;$Y94)</f>
        <v/>
      </c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0">
        <f>IF($F95="","",COUNTIF($F$5:$F95,$F95))</f>
        <v/>
      </c>
      <c r="H95" s="33">
        <f>IF($F95="","",IFERROR(INDEX(사건마스터!$B$5:$B$64,MATCH($F95,사건마스터!$A$5:$A$64,0)),""))</f>
        <v/>
      </c>
      <c r="I95" s="34">
        <f>IF($F95="","",IFERROR(INDEX(사건마스터!$C$5:$C$64,MATCH($F95,사건마스터!$A$5:$A$64,0)),""))</f>
        <v/>
      </c>
      <c r="J95" s="35">
        <f>IF($F95="","",IFERROR(INDEX(사건마스터!$H$5:$H$64,MATCH($F95,사건마스터!$A$5:$A$64,0)),""))</f>
        <v/>
      </c>
      <c r="K95" s="35">
        <f>IF($F95="","",IFERROR(INDEX(사건마스터!$AH$5:$AH$64,MATCH($F95,사건마스터!$A$5:$A$64,0)),""))</f>
        <v/>
      </c>
      <c r="L95" s="35">
        <f>IF($F95="","",IFERROR(INDEX(사건마스터!$AI$5:$AI$64,MATCH($F95,사건마스터!$A$5:$A$64,0)),""))</f>
        <v/>
      </c>
      <c r="M95" s="35">
        <f>IF($F95="","",IFERROR(INDEX(사건마스터!$AJ$5:$AJ$64,MATCH($F95,사건마스터!$A$5:$A$64,0)),""))</f>
        <v/>
      </c>
      <c r="N95" s="35">
        <f>IF($F95="","",IFERROR(INDEX(사건마스터!$AK$5:$AK$64,MATCH($F95,사건마스터!$A$5:$A$64,0)),""))</f>
        <v/>
      </c>
      <c r="O95" s="35">
        <f>IF($F95="","",IFERROR(INDEX(사건마스터!$AL$5:$AL$64,MATCH($F95,사건마스터!$A$5:$A$64,0)),""))</f>
        <v/>
      </c>
      <c r="P95" s="35">
        <f>IF($F95="","",IFERROR(INDEX(사건마스터!$AM$5:$AM$64,MATCH($F95,사건마스터!$A$5:$A$64,0)),""))</f>
        <v/>
      </c>
      <c r="Q95" s="35">
        <f>IF($F95="","",IFERROR(INDEX(사건마스터!$AN$5:$AN$64,MATCH($F95,사건마스터!$A$5:$A$64,0)),""))</f>
        <v/>
      </c>
      <c r="R95" s="35">
        <f>IF($F95="","",IFERROR(INDEX(사건마스터!$AO$5:$AO$64,MATCH($F95,사건마스터!$A$5:$A$64,0)),""))</f>
        <v/>
      </c>
      <c r="S95" s="35">
        <f>IF($F95="","",IFERROR(INDEX(사건마스터!$AP$5:$AP$64,MATCH($F95,사건마스터!$A$5:$A$64,0)),""))</f>
        <v/>
      </c>
      <c r="T95" s="35">
        <f>IF($F95="","",IFERROR(INDEX(사건마스터!$AQ$5:$AQ$64,MATCH($F95,사건마스터!$A$5:$A$64,0)),""))</f>
        <v/>
      </c>
      <c r="U95" s="35">
        <f>IF($F95="","",IFERROR(INDEX(사건마스터!$AR$5:$AR$64,MATCH($F95,사건마스터!$A$5:$A$64,0)),""))</f>
        <v/>
      </c>
      <c r="V95" s="35">
        <f>IF($F95="","",IFERROR(INDEX(사건마스터!$AS$5:$AS$64,MATCH($F95,사건마스터!$A$5:$A$64,0)),""))</f>
        <v/>
      </c>
      <c r="W95" s="35">
        <f>IF($F95="","",IFERROR(INDEX(사건마스터!$AT$5:$AT$64,MATCH($F95,사건마스터!$A$5:$A$64,0)),""))</f>
        <v/>
      </c>
      <c r="X95" s="35">
        <f>IF($F95="","",IFERROR(INDEX(사건마스터!$AU$5:$AU$64,MATCH($F95,사건마스터!$A$5:$A$64,0)),""))</f>
        <v/>
      </c>
      <c r="Y95" s="35">
        <f>IF($F95="","",IFERROR(INDEX(사건마스터!$AV$5:$AV$64,MATCH($F95,사건마스터!$A$5:$A$64,0)),""))</f>
        <v/>
      </c>
      <c r="Z95" s="30">
        <f>IF(COUNTBLANK($J95:$Y95)=16,"",16-COUNTBLANK($J95:$Y95))</f>
        <v/>
      </c>
      <c r="AA95" s="33">
        <f>IF($J95="",MID($AX95,3,255),$J95&amp;$AX95)</f>
        <v/>
      </c>
      <c r="AB95" s="34">
        <f>IF($J95="","",IFERROR(INDEX(코드설정!$D$5:$D$24,MATCH($J95,코드설정!$C$5:$C$24,0)),""))</f>
        <v/>
      </c>
      <c r="AC95" s="36" t="n"/>
      <c r="AD95" s="37" t="n"/>
      <c r="AE95" s="38" t="n"/>
      <c r="AF95" s="30">
        <f>IF(OR($B95="",$C95=""),"",$C95-$B95+1)</f>
        <v/>
      </c>
      <c r="AG95" s="32" t="n"/>
      <c r="AH95" s="36" t="n"/>
      <c r="AJ95">
        <f>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  <c r="AX95">
        <f>AW95&amp;IF($Y95="","",", "&amp;$Y95)</f>
        <v/>
      </c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0">
        <f>IF($F96="","",COUNTIF($F$5:$F96,$F96))</f>
        <v/>
      </c>
      <c r="H96" s="33">
        <f>IF($F96="","",IFERROR(INDEX(사건마스터!$B$5:$B$64,MATCH($F96,사건마스터!$A$5:$A$64,0)),""))</f>
        <v/>
      </c>
      <c r="I96" s="34">
        <f>IF($F96="","",IFERROR(INDEX(사건마스터!$C$5:$C$64,MATCH($F96,사건마스터!$A$5:$A$64,0)),""))</f>
        <v/>
      </c>
      <c r="J96" s="35">
        <f>IF($F96="","",IFERROR(INDEX(사건마스터!$H$5:$H$64,MATCH($F96,사건마스터!$A$5:$A$64,0)),""))</f>
        <v/>
      </c>
      <c r="K96" s="35">
        <f>IF($F96="","",IFERROR(INDEX(사건마스터!$AH$5:$AH$64,MATCH($F96,사건마스터!$A$5:$A$64,0)),""))</f>
        <v/>
      </c>
      <c r="L96" s="35">
        <f>IF($F96="","",IFERROR(INDEX(사건마스터!$AI$5:$AI$64,MATCH($F96,사건마스터!$A$5:$A$64,0)),""))</f>
        <v/>
      </c>
      <c r="M96" s="35">
        <f>IF($F96="","",IFERROR(INDEX(사건마스터!$AJ$5:$AJ$64,MATCH($F96,사건마스터!$A$5:$A$64,0)),""))</f>
        <v/>
      </c>
      <c r="N96" s="35">
        <f>IF($F96="","",IFERROR(INDEX(사건마스터!$AK$5:$AK$64,MATCH($F96,사건마스터!$A$5:$A$64,0)),""))</f>
        <v/>
      </c>
      <c r="O96" s="35">
        <f>IF($F96="","",IFERROR(INDEX(사건마스터!$AL$5:$AL$64,MATCH($F96,사건마스터!$A$5:$A$64,0)),""))</f>
        <v/>
      </c>
      <c r="P96" s="35">
        <f>IF($F96="","",IFERROR(INDEX(사건마스터!$AM$5:$AM$64,MATCH($F96,사건마스터!$A$5:$A$64,0)),""))</f>
        <v/>
      </c>
      <c r="Q96" s="35">
        <f>IF($F96="","",IFERROR(INDEX(사건마스터!$AN$5:$AN$64,MATCH($F96,사건마스터!$A$5:$A$64,0)),""))</f>
        <v/>
      </c>
      <c r="R96" s="35">
        <f>IF($F96="","",IFERROR(INDEX(사건마스터!$AO$5:$AO$64,MATCH($F96,사건마스터!$A$5:$A$64,0)),""))</f>
        <v/>
      </c>
      <c r="S96" s="35">
        <f>IF($F96="","",IFERROR(INDEX(사건마스터!$AP$5:$AP$64,MATCH($F96,사건마스터!$A$5:$A$64,0)),""))</f>
        <v/>
      </c>
      <c r="T96" s="35">
        <f>IF($F96="","",IFERROR(INDEX(사건마스터!$AQ$5:$AQ$64,MATCH($F96,사건마스터!$A$5:$A$64,0)),""))</f>
        <v/>
      </c>
      <c r="U96" s="35">
        <f>IF($F96="","",IFERROR(INDEX(사건마스터!$AR$5:$AR$64,MATCH($F96,사건마스터!$A$5:$A$64,0)),""))</f>
        <v/>
      </c>
      <c r="V96" s="35">
        <f>IF($F96="","",IFERROR(INDEX(사건마스터!$AS$5:$AS$64,MATCH($F96,사건마스터!$A$5:$A$64,0)),""))</f>
        <v/>
      </c>
      <c r="W96" s="35">
        <f>IF($F96="","",IFERROR(INDEX(사건마스터!$AT$5:$AT$64,MATCH($F96,사건마스터!$A$5:$A$64,0)),""))</f>
        <v/>
      </c>
      <c r="X96" s="35">
        <f>IF($F96="","",IFERROR(INDEX(사건마스터!$AU$5:$AU$64,MATCH($F96,사건마스터!$A$5:$A$64,0)),""))</f>
        <v/>
      </c>
      <c r="Y96" s="35">
        <f>IF($F96="","",IFERROR(INDEX(사건마스터!$AV$5:$AV$64,MATCH($F96,사건마스터!$A$5:$A$64,0)),""))</f>
        <v/>
      </c>
      <c r="Z96" s="30">
        <f>IF(COUNTBLANK($J96:$Y96)=16,"",16-COUNTBLANK($J96:$Y96))</f>
        <v/>
      </c>
      <c r="AA96" s="33">
        <f>IF($J96="",MID($AX96,3,255),$J96&amp;$AX96)</f>
        <v/>
      </c>
      <c r="AB96" s="34">
        <f>IF($J96="","",IFERROR(INDEX(코드설정!$D$5:$D$24,MATCH($J96,코드설정!$C$5:$C$24,0)),""))</f>
        <v/>
      </c>
      <c r="AC96" s="36" t="n"/>
      <c r="AD96" s="37" t="n"/>
      <c r="AE96" s="38" t="n"/>
      <c r="AF96" s="30">
        <f>IF(OR($B96="",$C96=""),"",$C96-$B96+1)</f>
        <v/>
      </c>
      <c r="AG96" s="32" t="n"/>
      <c r="AH96" s="36" t="n"/>
      <c r="AJ96">
        <f>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  <c r="AX96">
        <f>AW96&amp;IF($Y96="","",", "&amp;$Y96)</f>
        <v/>
      </c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0">
        <f>IF($F97="","",COUNTIF($F$5:$F97,$F97))</f>
        <v/>
      </c>
      <c r="H97" s="33">
        <f>IF($F97="","",IFERROR(INDEX(사건마스터!$B$5:$B$64,MATCH($F97,사건마스터!$A$5:$A$64,0)),""))</f>
        <v/>
      </c>
      <c r="I97" s="34">
        <f>IF($F97="","",IFERROR(INDEX(사건마스터!$C$5:$C$64,MATCH($F97,사건마스터!$A$5:$A$64,0)),""))</f>
        <v/>
      </c>
      <c r="J97" s="35">
        <f>IF($F97="","",IFERROR(INDEX(사건마스터!$H$5:$H$64,MATCH($F97,사건마스터!$A$5:$A$64,0)),""))</f>
        <v/>
      </c>
      <c r="K97" s="35">
        <f>IF($F97="","",IFERROR(INDEX(사건마스터!$AH$5:$AH$64,MATCH($F97,사건마스터!$A$5:$A$64,0)),""))</f>
        <v/>
      </c>
      <c r="L97" s="35">
        <f>IF($F97="","",IFERROR(INDEX(사건마스터!$AI$5:$AI$64,MATCH($F97,사건마스터!$A$5:$A$64,0)),""))</f>
        <v/>
      </c>
      <c r="M97" s="35">
        <f>IF($F97="","",IFERROR(INDEX(사건마스터!$AJ$5:$AJ$64,MATCH($F97,사건마스터!$A$5:$A$64,0)),""))</f>
        <v/>
      </c>
      <c r="N97" s="35">
        <f>IF($F97="","",IFERROR(INDEX(사건마스터!$AK$5:$AK$64,MATCH($F97,사건마스터!$A$5:$A$64,0)),""))</f>
        <v/>
      </c>
      <c r="O97" s="35">
        <f>IF($F97="","",IFERROR(INDEX(사건마스터!$AL$5:$AL$64,MATCH($F97,사건마스터!$A$5:$A$64,0)),""))</f>
        <v/>
      </c>
      <c r="P97" s="35">
        <f>IF($F97="","",IFERROR(INDEX(사건마스터!$AM$5:$AM$64,MATCH($F97,사건마스터!$A$5:$A$64,0)),""))</f>
        <v/>
      </c>
      <c r="Q97" s="35">
        <f>IF($F97="","",IFERROR(INDEX(사건마스터!$AN$5:$AN$64,MATCH($F97,사건마스터!$A$5:$A$64,0)),""))</f>
        <v/>
      </c>
      <c r="R97" s="35">
        <f>IF($F97="","",IFERROR(INDEX(사건마스터!$AO$5:$AO$64,MATCH($F97,사건마스터!$A$5:$A$64,0)),""))</f>
        <v/>
      </c>
      <c r="S97" s="35">
        <f>IF($F97="","",IFERROR(INDEX(사건마스터!$AP$5:$AP$64,MATCH($F97,사건마스터!$A$5:$A$64,0)),""))</f>
        <v/>
      </c>
      <c r="T97" s="35">
        <f>IF($F97="","",IFERROR(INDEX(사건마스터!$AQ$5:$AQ$64,MATCH($F97,사건마스터!$A$5:$A$64,0)),""))</f>
        <v/>
      </c>
      <c r="U97" s="35">
        <f>IF($F97="","",IFERROR(INDEX(사건마스터!$AR$5:$AR$64,MATCH($F97,사건마스터!$A$5:$A$64,0)),""))</f>
        <v/>
      </c>
      <c r="V97" s="35">
        <f>IF($F97="","",IFERROR(INDEX(사건마스터!$AS$5:$AS$64,MATCH($F97,사건마스터!$A$5:$A$64,0)),""))</f>
        <v/>
      </c>
      <c r="W97" s="35">
        <f>IF($F97="","",IFERROR(INDEX(사건마스터!$AT$5:$AT$64,MATCH($F97,사건마스터!$A$5:$A$64,0)),""))</f>
        <v/>
      </c>
      <c r="X97" s="35">
        <f>IF($F97="","",IFERROR(INDEX(사건마스터!$AU$5:$AU$64,MATCH($F97,사건마스터!$A$5:$A$64,0)),""))</f>
        <v/>
      </c>
      <c r="Y97" s="35">
        <f>IF($F97="","",IFERROR(INDEX(사건마스터!$AV$5:$AV$64,MATCH($F97,사건마스터!$A$5:$A$64,0)),""))</f>
        <v/>
      </c>
      <c r="Z97" s="30">
        <f>IF(COUNTBLANK($J97:$Y97)=16,"",16-COUNTBLANK($J97:$Y97))</f>
        <v/>
      </c>
      <c r="AA97" s="33">
        <f>IF($J97="",MID($AX97,3,255),$J97&amp;$AX97)</f>
        <v/>
      </c>
      <c r="AB97" s="34">
        <f>IF($J97="","",IFERROR(INDEX(코드설정!$D$5:$D$24,MATCH($J97,코드설정!$C$5:$C$24,0)),""))</f>
        <v/>
      </c>
      <c r="AC97" s="36" t="n"/>
      <c r="AD97" s="37" t="n"/>
      <c r="AE97" s="38" t="n"/>
      <c r="AF97" s="30">
        <f>IF(OR($B97="",$C97=""),"",$C97-$B97+1)</f>
        <v/>
      </c>
      <c r="AG97" s="32" t="n"/>
      <c r="AH97" s="36" t="n"/>
      <c r="AJ97">
        <f>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  <c r="AX97">
        <f>AW97&amp;IF($Y97="","",", "&amp;$Y97)</f>
        <v/>
      </c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0">
        <f>IF($F98="","",COUNTIF($F$5:$F98,$F98))</f>
        <v/>
      </c>
      <c r="H98" s="33">
        <f>IF($F98="","",IFERROR(INDEX(사건마스터!$B$5:$B$64,MATCH($F98,사건마스터!$A$5:$A$64,0)),""))</f>
        <v/>
      </c>
      <c r="I98" s="34">
        <f>IF($F98="","",IFERROR(INDEX(사건마스터!$C$5:$C$64,MATCH($F98,사건마스터!$A$5:$A$64,0)),""))</f>
        <v/>
      </c>
      <c r="J98" s="35">
        <f>IF($F98="","",IFERROR(INDEX(사건마스터!$H$5:$H$64,MATCH($F98,사건마스터!$A$5:$A$64,0)),""))</f>
        <v/>
      </c>
      <c r="K98" s="35">
        <f>IF($F98="","",IFERROR(INDEX(사건마스터!$AH$5:$AH$64,MATCH($F98,사건마스터!$A$5:$A$64,0)),""))</f>
        <v/>
      </c>
      <c r="L98" s="35">
        <f>IF($F98="","",IFERROR(INDEX(사건마스터!$AI$5:$AI$64,MATCH($F98,사건마스터!$A$5:$A$64,0)),""))</f>
        <v/>
      </c>
      <c r="M98" s="35">
        <f>IF($F98="","",IFERROR(INDEX(사건마스터!$AJ$5:$AJ$64,MATCH($F98,사건마스터!$A$5:$A$64,0)),""))</f>
        <v/>
      </c>
      <c r="N98" s="35">
        <f>IF($F98="","",IFERROR(INDEX(사건마스터!$AK$5:$AK$64,MATCH($F98,사건마스터!$A$5:$A$64,0)),""))</f>
        <v/>
      </c>
      <c r="O98" s="35">
        <f>IF($F98="","",IFERROR(INDEX(사건마스터!$AL$5:$AL$64,MATCH($F98,사건마스터!$A$5:$A$64,0)),""))</f>
        <v/>
      </c>
      <c r="P98" s="35">
        <f>IF($F98="","",IFERROR(INDEX(사건마스터!$AM$5:$AM$64,MATCH($F98,사건마스터!$A$5:$A$64,0)),""))</f>
        <v/>
      </c>
      <c r="Q98" s="35">
        <f>IF($F98="","",IFERROR(INDEX(사건마스터!$AN$5:$AN$64,MATCH($F98,사건마스터!$A$5:$A$64,0)),""))</f>
        <v/>
      </c>
      <c r="R98" s="35">
        <f>IF($F98="","",IFERROR(INDEX(사건마스터!$AO$5:$AO$64,MATCH($F98,사건마스터!$A$5:$A$64,0)),""))</f>
        <v/>
      </c>
      <c r="S98" s="35">
        <f>IF($F98="","",IFERROR(INDEX(사건마스터!$AP$5:$AP$64,MATCH($F98,사건마스터!$A$5:$A$64,0)),""))</f>
        <v/>
      </c>
      <c r="T98" s="35">
        <f>IF($F98="","",IFERROR(INDEX(사건마스터!$AQ$5:$AQ$64,MATCH($F98,사건마스터!$A$5:$A$64,0)),""))</f>
        <v/>
      </c>
      <c r="U98" s="35">
        <f>IF($F98="","",IFERROR(INDEX(사건마스터!$AR$5:$AR$64,MATCH($F98,사건마스터!$A$5:$A$64,0)),""))</f>
        <v/>
      </c>
      <c r="V98" s="35">
        <f>IF($F98="","",IFERROR(INDEX(사건마스터!$AS$5:$AS$64,MATCH($F98,사건마스터!$A$5:$A$64,0)),""))</f>
        <v/>
      </c>
      <c r="W98" s="35">
        <f>IF($F98="","",IFERROR(INDEX(사건마스터!$AT$5:$AT$64,MATCH($F98,사건마스터!$A$5:$A$64,0)),""))</f>
        <v/>
      </c>
      <c r="X98" s="35">
        <f>IF($F98="","",IFERROR(INDEX(사건마스터!$AU$5:$AU$64,MATCH($F98,사건마스터!$A$5:$A$64,0)),""))</f>
        <v/>
      </c>
      <c r="Y98" s="35">
        <f>IF($F98="","",IFERROR(INDEX(사건마스터!$AV$5:$AV$64,MATCH($F98,사건마스터!$A$5:$A$64,0)),""))</f>
        <v/>
      </c>
      <c r="Z98" s="30">
        <f>IF(COUNTBLANK($J98:$Y98)=16,"",16-COUNTBLANK($J98:$Y98))</f>
        <v/>
      </c>
      <c r="AA98" s="33">
        <f>IF($J98="",MID($AX98,3,255),$J98&amp;$AX98)</f>
        <v/>
      </c>
      <c r="AB98" s="34">
        <f>IF($J98="","",IFERROR(INDEX(코드설정!$D$5:$D$24,MATCH($J98,코드설정!$C$5:$C$24,0)),""))</f>
        <v/>
      </c>
      <c r="AC98" s="36" t="n"/>
      <c r="AD98" s="37" t="n"/>
      <c r="AE98" s="38" t="n"/>
      <c r="AF98" s="30">
        <f>IF(OR($B98="",$C98=""),"",$C98-$B98+1)</f>
        <v/>
      </c>
      <c r="AG98" s="32" t="n"/>
      <c r="AH98" s="36" t="n"/>
      <c r="AJ98">
        <f>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  <c r="AX98">
        <f>AW98&amp;IF($Y98="","",", "&amp;$Y98)</f>
        <v/>
      </c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0">
        <f>IF($F99="","",COUNTIF($F$5:$F99,$F99))</f>
        <v/>
      </c>
      <c r="H99" s="33">
        <f>IF($F99="","",IFERROR(INDEX(사건마스터!$B$5:$B$64,MATCH($F99,사건마스터!$A$5:$A$64,0)),""))</f>
        <v/>
      </c>
      <c r="I99" s="34">
        <f>IF($F99="","",IFERROR(INDEX(사건마스터!$C$5:$C$64,MATCH($F99,사건마스터!$A$5:$A$64,0)),""))</f>
        <v/>
      </c>
      <c r="J99" s="35">
        <f>IF($F99="","",IFERROR(INDEX(사건마스터!$H$5:$H$64,MATCH($F99,사건마스터!$A$5:$A$64,0)),""))</f>
        <v/>
      </c>
      <c r="K99" s="35">
        <f>IF($F99="","",IFERROR(INDEX(사건마스터!$AH$5:$AH$64,MATCH($F99,사건마스터!$A$5:$A$64,0)),""))</f>
        <v/>
      </c>
      <c r="L99" s="35">
        <f>IF($F99="","",IFERROR(INDEX(사건마스터!$AI$5:$AI$64,MATCH($F99,사건마스터!$A$5:$A$64,0)),""))</f>
        <v/>
      </c>
      <c r="M99" s="35">
        <f>IF($F99="","",IFERROR(INDEX(사건마스터!$AJ$5:$AJ$64,MATCH($F99,사건마스터!$A$5:$A$64,0)),""))</f>
        <v/>
      </c>
      <c r="N99" s="35">
        <f>IF($F99="","",IFERROR(INDEX(사건마스터!$AK$5:$AK$64,MATCH($F99,사건마스터!$A$5:$A$64,0)),""))</f>
        <v/>
      </c>
      <c r="O99" s="35">
        <f>IF($F99="","",IFERROR(INDEX(사건마스터!$AL$5:$AL$64,MATCH($F99,사건마스터!$A$5:$A$64,0)),""))</f>
        <v/>
      </c>
      <c r="P99" s="35">
        <f>IF($F99="","",IFERROR(INDEX(사건마스터!$AM$5:$AM$64,MATCH($F99,사건마스터!$A$5:$A$64,0)),""))</f>
        <v/>
      </c>
      <c r="Q99" s="35">
        <f>IF($F99="","",IFERROR(INDEX(사건마스터!$AN$5:$AN$64,MATCH($F99,사건마스터!$A$5:$A$64,0)),""))</f>
        <v/>
      </c>
      <c r="R99" s="35">
        <f>IF($F99="","",IFERROR(INDEX(사건마스터!$AO$5:$AO$64,MATCH($F99,사건마스터!$A$5:$A$64,0)),""))</f>
        <v/>
      </c>
      <c r="S99" s="35">
        <f>IF($F99="","",IFERROR(INDEX(사건마스터!$AP$5:$AP$64,MATCH($F99,사건마스터!$A$5:$A$64,0)),""))</f>
        <v/>
      </c>
      <c r="T99" s="35">
        <f>IF($F99="","",IFERROR(INDEX(사건마스터!$AQ$5:$AQ$64,MATCH($F99,사건마스터!$A$5:$A$64,0)),""))</f>
        <v/>
      </c>
      <c r="U99" s="35">
        <f>IF($F99="","",IFERROR(INDEX(사건마스터!$AR$5:$AR$64,MATCH($F99,사건마스터!$A$5:$A$64,0)),""))</f>
        <v/>
      </c>
      <c r="V99" s="35">
        <f>IF($F99="","",IFERROR(INDEX(사건마스터!$AS$5:$AS$64,MATCH($F99,사건마스터!$A$5:$A$64,0)),""))</f>
        <v/>
      </c>
      <c r="W99" s="35">
        <f>IF($F99="","",IFERROR(INDEX(사건마스터!$AT$5:$AT$64,MATCH($F99,사건마스터!$A$5:$A$64,0)),""))</f>
        <v/>
      </c>
      <c r="X99" s="35">
        <f>IF($F99="","",IFERROR(INDEX(사건마스터!$AU$5:$AU$64,MATCH($F99,사건마스터!$A$5:$A$64,0)),""))</f>
        <v/>
      </c>
      <c r="Y99" s="35">
        <f>IF($F99="","",IFERROR(INDEX(사건마스터!$AV$5:$AV$64,MATCH($F99,사건마스터!$A$5:$A$64,0)),""))</f>
        <v/>
      </c>
      <c r="Z99" s="30">
        <f>IF(COUNTBLANK($J99:$Y99)=16,"",16-COUNTBLANK($J99:$Y99))</f>
        <v/>
      </c>
      <c r="AA99" s="33">
        <f>IF($J99="",MID($AX99,3,255),$J99&amp;$AX99)</f>
        <v/>
      </c>
      <c r="AB99" s="34">
        <f>IF($J99="","",IFERROR(INDEX(코드설정!$D$5:$D$24,MATCH($J99,코드설정!$C$5:$C$24,0)),""))</f>
        <v/>
      </c>
      <c r="AC99" s="36" t="n"/>
      <c r="AD99" s="37" t="n"/>
      <c r="AE99" s="38" t="n"/>
      <c r="AF99" s="30">
        <f>IF(OR($B99="",$C99=""),"",$C99-$B99+1)</f>
        <v/>
      </c>
      <c r="AG99" s="32" t="n"/>
      <c r="AH99" s="36" t="n"/>
      <c r="AJ99">
        <f>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  <c r="AX99">
        <f>AW99&amp;IF($Y99="","",", "&amp;$Y99)</f>
        <v/>
      </c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0">
        <f>IF($F100="","",COUNTIF($F$5:$F100,$F100))</f>
        <v/>
      </c>
      <c r="H100" s="33">
        <f>IF($F100="","",IFERROR(INDEX(사건마스터!$B$5:$B$64,MATCH($F100,사건마스터!$A$5:$A$64,0)),""))</f>
        <v/>
      </c>
      <c r="I100" s="34">
        <f>IF($F100="","",IFERROR(INDEX(사건마스터!$C$5:$C$64,MATCH($F100,사건마스터!$A$5:$A$64,0)),""))</f>
        <v/>
      </c>
      <c r="J100" s="35">
        <f>IF($F100="","",IFERROR(INDEX(사건마스터!$H$5:$H$64,MATCH($F100,사건마스터!$A$5:$A$64,0)),""))</f>
        <v/>
      </c>
      <c r="K100" s="35">
        <f>IF($F100="","",IFERROR(INDEX(사건마스터!$AH$5:$AH$64,MATCH($F100,사건마스터!$A$5:$A$64,0)),""))</f>
        <v/>
      </c>
      <c r="L100" s="35">
        <f>IF($F100="","",IFERROR(INDEX(사건마스터!$AI$5:$AI$64,MATCH($F100,사건마스터!$A$5:$A$64,0)),""))</f>
        <v/>
      </c>
      <c r="M100" s="35">
        <f>IF($F100="","",IFERROR(INDEX(사건마스터!$AJ$5:$AJ$64,MATCH($F100,사건마스터!$A$5:$A$64,0)),""))</f>
        <v/>
      </c>
      <c r="N100" s="35">
        <f>IF($F100="","",IFERROR(INDEX(사건마스터!$AK$5:$AK$64,MATCH($F100,사건마스터!$A$5:$A$64,0)),""))</f>
        <v/>
      </c>
      <c r="O100" s="35">
        <f>IF($F100="","",IFERROR(INDEX(사건마스터!$AL$5:$AL$64,MATCH($F100,사건마스터!$A$5:$A$64,0)),""))</f>
        <v/>
      </c>
      <c r="P100" s="35">
        <f>IF($F100="","",IFERROR(INDEX(사건마스터!$AM$5:$AM$64,MATCH($F100,사건마스터!$A$5:$A$64,0)),""))</f>
        <v/>
      </c>
      <c r="Q100" s="35">
        <f>IF($F100="","",IFERROR(INDEX(사건마스터!$AN$5:$AN$64,MATCH($F100,사건마스터!$A$5:$A$64,0)),""))</f>
        <v/>
      </c>
      <c r="R100" s="35">
        <f>IF($F100="","",IFERROR(INDEX(사건마스터!$AO$5:$AO$64,MATCH($F100,사건마스터!$A$5:$A$64,0)),""))</f>
        <v/>
      </c>
      <c r="S100" s="35">
        <f>IF($F100="","",IFERROR(INDEX(사건마스터!$AP$5:$AP$64,MATCH($F100,사건마스터!$A$5:$A$64,0)),""))</f>
        <v/>
      </c>
      <c r="T100" s="35">
        <f>IF($F100="","",IFERROR(INDEX(사건마스터!$AQ$5:$AQ$64,MATCH($F100,사건마스터!$A$5:$A$64,0)),""))</f>
        <v/>
      </c>
      <c r="U100" s="35">
        <f>IF($F100="","",IFERROR(INDEX(사건마스터!$AR$5:$AR$64,MATCH($F100,사건마스터!$A$5:$A$64,0)),""))</f>
        <v/>
      </c>
      <c r="V100" s="35">
        <f>IF($F100="","",IFERROR(INDEX(사건마스터!$AS$5:$AS$64,MATCH($F100,사건마스터!$A$5:$A$64,0)),""))</f>
        <v/>
      </c>
      <c r="W100" s="35">
        <f>IF($F100="","",IFERROR(INDEX(사건마스터!$AT$5:$AT$64,MATCH($F100,사건마스터!$A$5:$A$64,0)),""))</f>
        <v/>
      </c>
      <c r="X100" s="35">
        <f>IF($F100="","",IFERROR(INDEX(사건마스터!$AU$5:$AU$64,MATCH($F100,사건마스터!$A$5:$A$64,0)),""))</f>
        <v/>
      </c>
      <c r="Y100" s="35">
        <f>IF($F100="","",IFERROR(INDEX(사건마스터!$AV$5:$AV$64,MATCH($F100,사건마스터!$A$5:$A$64,0)),""))</f>
        <v/>
      </c>
      <c r="Z100" s="30">
        <f>IF(COUNTBLANK($J100:$Y100)=16,"",16-COUNTBLANK($J100:$Y100))</f>
        <v/>
      </c>
      <c r="AA100" s="33">
        <f>IF($J100="",MID($AX100,3,255),$J100&amp;$AX100)</f>
        <v/>
      </c>
      <c r="AB100" s="34">
        <f>IF($J100="","",IFERROR(INDEX(코드설정!$D$5:$D$24,MATCH($J100,코드설정!$C$5:$C$24,0)),""))</f>
        <v/>
      </c>
      <c r="AC100" s="36" t="n"/>
      <c r="AD100" s="37" t="n"/>
      <c r="AE100" s="38" t="n"/>
      <c r="AF100" s="30">
        <f>IF(OR($B100="",$C100=""),"",$C100-$B100+1)</f>
        <v/>
      </c>
      <c r="AG100" s="32" t="n"/>
      <c r="AH100" s="36" t="n"/>
      <c r="AJ100">
        <f>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  <c r="AX100">
        <f>AW100&amp;IF($Y100="","",", "&amp;$Y100)</f>
        <v/>
      </c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0">
        <f>IF($F101="","",COUNTIF($F$5:$F101,$F101))</f>
        <v/>
      </c>
      <c r="H101" s="33">
        <f>IF($F101="","",IFERROR(INDEX(사건마스터!$B$5:$B$64,MATCH($F101,사건마스터!$A$5:$A$64,0)),""))</f>
        <v/>
      </c>
      <c r="I101" s="34">
        <f>IF($F101="","",IFERROR(INDEX(사건마스터!$C$5:$C$64,MATCH($F101,사건마스터!$A$5:$A$64,0)),""))</f>
        <v/>
      </c>
      <c r="J101" s="35">
        <f>IF($F101="","",IFERROR(INDEX(사건마스터!$H$5:$H$64,MATCH($F101,사건마스터!$A$5:$A$64,0)),""))</f>
        <v/>
      </c>
      <c r="K101" s="35">
        <f>IF($F101="","",IFERROR(INDEX(사건마스터!$AH$5:$AH$64,MATCH($F101,사건마스터!$A$5:$A$64,0)),""))</f>
        <v/>
      </c>
      <c r="L101" s="35">
        <f>IF($F101="","",IFERROR(INDEX(사건마스터!$AI$5:$AI$64,MATCH($F101,사건마스터!$A$5:$A$64,0)),""))</f>
        <v/>
      </c>
      <c r="M101" s="35">
        <f>IF($F101="","",IFERROR(INDEX(사건마스터!$AJ$5:$AJ$64,MATCH($F101,사건마스터!$A$5:$A$64,0)),""))</f>
        <v/>
      </c>
      <c r="N101" s="35">
        <f>IF($F101="","",IFERROR(INDEX(사건마스터!$AK$5:$AK$64,MATCH($F101,사건마스터!$A$5:$A$64,0)),""))</f>
        <v/>
      </c>
      <c r="O101" s="35">
        <f>IF($F101="","",IFERROR(INDEX(사건마스터!$AL$5:$AL$64,MATCH($F101,사건마스터!$A$5:$A$64,0)),""))</f>
        <v/>
      </c>
      <c r="P101" s="35">
        <f>IF($F101="","",IFERROR(INDEX(사건마스터!$AM$5:$AM$64,MATCH($F101,사건마스터!$A$5:$A$64,0)),""))</f>
        <v/>
      </c>
      <c r="Q101" s="35">
        <f>IF($F101="","",IFERROR(INDEX(사건마스터!$AN$5:$AN$64,MATCH($F101,사건마스터!$A$5:$A$64,0)),""))</f>
        <v/>
      </c>
      <c r="R101" s="35">
        <f>IF($F101="","",IFERROR(INDEX(사건마스터!$AO$5:$AO$64,MATCH($F101,사건마스터!$A$5:$A$64,0)),""))</f>
        <v/>
      </c>
      <c r="S101" s="35">
        <f>IF($F101="","",IFERROR(INDEX(사건마스터!$AP$5:$AP$64,MATCH($F101,사건마스터!$A$5:$A$64,0)),""))</f>
        <v/>
      </c>
      <c r="T101" s="35">
        <f>IF($F101="","",IFERROR(INDEX(사건마스터!$AQ$5:$AQ$64,MATCH($F101,사건마스터!$A$5:$A$64,0)),""))</f>
        <v/>
      </c>
      <c r="U101" s="35">
        <f>IF($F101="","",IFERROR(INDEX(사건마스터!$AR$5:$AR$64,MATCH($F101,사건마스터!$A$5:$A$64,0)),""))</f>
        <v/>
      </c>
      <c r="V101" s="35">
        <f>IF($F101="","",IFERROR(INDEX(사건마스터!$AS$5:$AS$64,MATCH($F101,사건마스터!$A$5:$A$64,0)),""))</f>
        <v/>
      </c>
      <c r="W101" s="35">
        <f>IF($F101="","",IFERROR(INDEX(사건마스터!$AT$5:$AT$64,MATCH($F101,사건마스터!$A$5:$A$64,0)),""))</f>
        <v/>
      </c>
      <c r="X101" s="35">
        <f>IF($F101="","",IFERROR(INDEX(사건마스터!$AU$5:$AU$64,MATCH($F101,사건마스터!$A$5:$A$64,0)),""))</f>
        <v/>
      </c>
      <c r="Y101" s="35">
        <f>IF($F101="","",IFERROR(INDEX(사건마스터!$AV$5:$AV$64,MATCH($F101,사건마스터!$A$5:$A$64,0)),""))</f>
        <v/>
      </c>
      <c r="Z101" s="30">
        <f>IF(COUNTBLANK($J101:$Y101)=16,"",16-COUNTBLANK($J101:$Y101))</f>
        <v/>
      </c>
      <c r="AA101" s="33">
        <f>IF($J101="",MID($AX101,3,255),$J101&amp;$AX101)</f>
        <v/>
      </c>
      <c r="AB101" s="34">
        <f>IF($J101="","",IFERROR(INDEX(코드설정!$D$5:$D$24,MATCH($J101,코드설정!$C$5:$C$24,0)),""))</f>
        <v/>
      </c>
      <c r="AC101" s="36" t="n"/>
      <c r="AD101" s="37" t="n"/>
      <c r="AE101" s="38" t="n"/>
      <c r="AF101" s="30">
        <f>IF(OR($B101="",$C101=""),"",$C101-$B101+1)</f>
        <v/>
      </c>
      <c r="AG101" s="32" t="n"/>
      <c r="AH101" s="36" t="n"/>
      <c r="AJ101">
        <f>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  <c r="AX101">
        <f>AW101&amp;IF($Y101="","",", "&amp;$Y101)</f>
        <v/>
      </c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0">
        <f>IF($F102="","",COUNTIF($F$5:$F102,$F102))</f>
        <v/>
      </c>
      <c r="H102" s="33">
        <f>IF($F102="","",IFERROR(INDEX(사건마스터!$B$5:$B$64,MATCH($F102,사건마스터!$A$5:$A$64,0)),""))</f>
        <v/>
      </c>
      <c r="I102" s="34">
        <f>IF($F102="","",IFERROR(INDEX(사건마스터!$C$5:$C$64,MATCH($F102,사건마스터!$A$5:$A$64,0)),""))</f>
        <v/>
      </c>
      <c r="J102" s="35">
        <f>IF($F102="","",IFERROR(INDEX(사건마스터!$H$5:$H$64,MATCH($F102,사건마스터!$A$5:$A$64,0)),""))</f>
        <v/>
      </c>
      <c r="K102" s="35">
        <f>IF($F102="","",IFERROR(INDEX(사건마스터!$AH$5:$AH$64,MATCH($F102,사건마스터!$A$5:$A$64,0)),""))</f>
        <v/>
      </c>
      <c r="L102" s="35">
        <f>IF($F102="","",IFERROR(INDEX(사건마스터!$AI$5:$AI$64,MATCH($F102,사건마스터!$A$5:$A$64,0)),""))</f>
        <v/>
      </c>
      <c r="M102" s="35">
        <f>IF($F102="","",IFERROR(INDEX(사건마스터!$AJ$5:$AJ$64,MATCH($F102,사건마스터!$A$5:$A$64,0)),""))</f>
        <v/>
      </c>
      <c r="N102" s="35">
        <f>IF($F102="","",IFERROR(INDEX(사건마스터!$AK$5:$AK$64,MATCH($F102,사건마스터!$A$5:$A$64,0)),""))</f>
        <v/>
      </c>
      <c r="O102" s="35">
        <f>IF($F102="","",IFERROR(INDEX(사건마스터!$AL$5:$AL$64,MATCH($F102,사건마스터!$A$5:$A$64,0)),""))</f>
        <v/>
      </c>
      <c r="P102" s="35">
        <f>IF($F102="","",IFERROR(INDEX(사건마스터!$AM$5:$AM$64,MATCH($F102,사건마스터!$A$5:$A$64,0)),""))</f>
        <v/>
      </c>
      <c r="Q102" s="35">
        <f>IF($F102="","",IFERROR(INDEX(사건마스터!$AN$5:$AN$64,MATCH($F102,사건마스터!$A$5:$A$64,0)),""))</f>
        <v/>
      </c>
      <c r="R102" s="35">
        <f>IF($F102="","",IFERROR(INDEX(사건마스터!$AO$5:$AO$64,MATCH($F102,사건마스터!$A$5:$A$64,0)),""))</f>
        <v/>
      </c>
      <c r="S102" s="35">
        <f>IF($F102="","",IFERROR(INDEX(사건마스터!$AP$5:$AP$64,MATCH($F102,사건마스터!$A$5:$A$64,0)),""))</f>
        <v/>
      </c>
      <c r="T102" s="35">
        <f>IF($F102="","",IFERROR(INDEX(사건마스터!$AQ$5:$AQ$64,MATCH($F102,사건마스터!$A$5:$A$64,0)),""))</f>
        <v/>
      </c>
      <c r="U102" s="35">
        <f>IF($F102="","",IFERROR(INDEX(사건마스터!$AR$5:$AR$64,MATCH($F102,사건마스터!$A$5:$A$64,0)),""))</f>
        <v/>
      </c>
      <c r="V102" s="35">
        <f>IF($F102="","",IFERROR(INDEX(사건마스터!$AS$5:$AS$64,MATCH($F102,사건마스터!$A$5:$A$64,0)),""))</f>
        <v/>
      </c>
      <c r="W102" s="35">
        <f>IF($F102="","",IFERROR(INDEX(사건마스터!$AT$5:$AT$64,MATCH($F102,사건마스터!$A$5:$A$64,0)),""))</f>
        <v/>
      </c>
      <c r="X102" s="35">
        <f>IF($F102="","",IFERROR(INDEX(사건마스터!$AU$5:$AU$64,MATCH($F102,사건마스터!$A$5:$A$64,0)),""))</f>
        <v/>
      </c>
      <c r="Y102" s="35">
        <f>IF($F102="","",IFERROR(INDEX(사건마스터!$AV$5:$AV$64,MATCH($F102,사건마스터!$A$5:$A$64,0)),""))</f>
        <v/>
      </c>
      <c r="Z102" s="30">
        <f>IF(COUNTBLANK($J102:$Y102)=16,"",16-COUNTBLANK($J102:$Y102))</f>
        <v/>
      </c>
      <c r="AA102" s="33">
        <f>IF($J102="",MID($AX102,3,255),$J102&amp;$AX102)</f>
        <v/>
      </c>
      <c r="AB102" s="34">
        <f>IF($J102="","",IFERROR(INDEX(코드설정!$D$5:$D$24,MATCH($J102,코드설정!$C$5:$C$24,0)),""))</f>
        <v/>
      </c>
      <c r="AC102" s="36" t="n"/>
      <c r="AD102" s="37" t="n"/>
      <c r="AE102" s="38" t="n"/>
      <c r="AF102" s="30">
        <f>IF(OR($B102="",$C102=""),"",$C102-$B102+1)</f>
        <v/>
      </c>
      <c r="AG102" s="32" t="n"/>
      <c r="AH102" s="36" t="n"/>
      <c r="AJ102">
        <f>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  <c r="AX102">
        <f>AW102&amp;IF($Y102="","",", "&amp;$Y102)</f>
        <v/>
      </c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0">
        <f>IF($F103="","",COUNTIF($F$5:$F103,$F103))</f>
        <v/>
      </c>
      <c r="H103" s="33">
        <f>IF($F103="","",IFERROR(INDEX(사건마스터!$B$5:$B$64,MATCH($F103,사건마스터!$A$5:$A$64,0)),""))</f>
        <v/>
      </c>
      <c r="I103" s="34">
        <f>IF($F103="","",IFERROR(INDEX(사건마스터!$C$5:$C$64,MATCH($F103,사건마스터!$A$5:$A$64,0)),""))</f>
        <v/>
      </c>
      <c r="J103" s="35">
        <f>IF($F103="","",IFERROR(INDEX(사건마스터!$H$5:$H$64,MATCH($F103,사건마스터!$A$5:$A$64,0)),""))</f>
        <v/>
      </c>
      <c r="K103" s="35">
        <f>IF($F103="","",IFERROR(INDEX(사건마스터!$AH$5:$AH$64,MATCH($F103,사건마스터!$A$5:$A$64,0)),""))</f>
        <v/>
      </c>
      <c r="L103" s="35">
        <f>IF($F103="","",IFERROR(INDEX(사건마스터!$AI$5:$AI$64,MATCH($F103,사건마스터!$A$5:$A$64,0)),""))</f>
        <v/>
      </c>
      <c r="M103" s="35">
        <f>IF($F103="","",IFERROR(INDEX(사건마스터!$AJ$5:$AJ$64,MATCH($F103,사건마스터!$A$5:$A$64,0)),""))</f>
        <v/>
      </c>
      <c r="N103" s="35">
        <f>IF($F103="","",IFERROR(INDEX(사건마스터!$AK$5:$AK$64,MATCH($F103,사건마스터!$A$5:$A$64,0)),""))</f>
        <v/>
      </c>
      <c r="O103" s="35">
        <f>IF($F103="","",IFERROR(INDEX(사건마스터!$AL$5:$AL$64,MATCH($F103,사건마스터!$A$5:$A$64,0)),""))</f>
        <v/>
      </c>
      <c r="P103" s="35">
        <f>IF($F103="","",IFERROR(INDEX(사건마스터!$AM$5:$AM$64,MATCH($F103,사건마스터!$A$5:$A$64,0)),""))</f>
        <v/>
      </c>
      <c r="Q103" s="35">
        <f>IF($F103="","",IFERROR(INDEX(사건마스터!$AN$5:$AN$64,MATCH($F103,사건마스터!$A$5:$A$64,0)),""))</f>
        <v/>
      </c>
      <c r="R103" s="35">
        <f>IF($F103="","",IFERROR(INDEX(사건마스터!$AO$5:$AO$64,MATCH($F103,사건마스터!$A$5:$A$64,0)),""))</f>
        <v/>
      </c>
      <c r="S103" s="35">
        <f>IF($F103="","",IFERROR(INDEX(사건마스터!$AP$5:$AP$64,MATCH($F103,사건마스터!$A$5:$A$64,0)),""))</f>
        <v/>
      </c>
      <c r="T103" s="35">
        <f>IF($F103="","",IFERROR(INDEX(사건마스터!$AQ$5:$AQ$64,MATCH($F103,사건마스터!$A$5:$A$64,0)),""))</f>
        <v/>
      </c>
      <c r="U103" s="35">
        <f>IF($F103="","",IFERROR(INDEX(사건마스터!$AR$5:$AR$64,MATCH($F103,사건마스터!$A$5:$A$64,0)),""))</f>
        <v/>
      </c>
      <c r="V103" s="35">
        <f>IF($F103="","",IFERROR(INDEX(사건마스터!$AS$5:$AS$64,MATCH($F103,사건마스터!$A$5:$A$64,0)),""))</f>
        <v/>
      </c>
      <c r="W103" s="35">
        <f>IF($F103="","",IFERROR(INDEX(사건마스터!$AT$5:$AT$64,MATCH($F103,사건마스터!$A$5:$A$64,0)),""))</f>
        <v/>
      </c>
      <c r="X103" s="35">
        <f>IF($F103="","",IFERROR(INDEX(사건마스터!$AU$5:$AU$64,MATCH($F103,사건마스터!$A$5:$A$64,0)),""))</f>
        <v/>
      </c>
      <c r="Y103" s="35">
        <f>IF($F103="","",IFERROR(INDEX(사건마스터!$AV$5:$AV$64,MATCH($F103,사건마스터!$A$5:$A$64,0)),""))</f>
        <v/>
      </c>
      <c r="Z103" s="30">
        <f>IF(COUNTBLANK($J103:$Y103)=16,"",16-COUNTBLANK($J103:$Y103))</f>
        <v/>
      </c>
      <c r="AA103" s="33">
        <f>IF($J103="",MID($AX103,3,255),$J103&amp;$AX103)</f>
        <v/>
      </c>
      <c r="AB103" s="34">
        <f>IF($J103="","",IFERROR(INDEX(코드설정!$D$5:$D$24,MATCH($J103,코드설정!$C$5:$C$24,0)),""))</f>
        <v/>
      </c>
      <c r="AC103" s="36" t="n"/>
      <c r="AD103" s="37" t="n"/>
      <c r="AE103" s="38" t="n"/>
      <c r="AF103" s="30">
        <f>IF(OR($B103="",$C103=""),"",$C103-$B103+1)</f>
        <v/>
      </c>
      <c r="AG103" s="32" t="n"/>
      <c r="AH103" s="36" t="n"/>
      <c r="AJ103">
        <f>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  <c r="AX103">
        <f>AW103&amp;IF($Y103="","",", "&amp;$Y103)</f>
        <v/>
      </c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0">
        <f>IF($F104="","",COUNTIF($F$5:$F104,$F104))</f>
        <v/>
      </c>
      <c r="H104" s="33">
        <f>IF($F104="","",IFERROR(INDEX(사건마스터!$B$5:$B$64,MATCH($F104,사건마스터!$A$5:$A$64,0)),""))</f>
        <v/>
      </c>
      <c r="I104" s="34">
        <f>IF($F104="","",IFERROR(INDEX(사건마스터!$C$5:$C$64,MATCH($F104,사건마스터!$A$5:$A$64,0)),""))</f>
        <v/>
      </c>
      <c r="J104" s="35">
        <f>IF($F104="","",IFERROR(INDEX(사건마스터!$H$5:$H$64,MATCH($F104,사건마스터!$A$5:$A$64,0)),""))</f>
        <v/>
      </c>
      <c r="K104" s="35">
        <f>IF($F104="","",IFERROR(INDEX(사건마스터!$AH$5:$AH$64,MATCH($F104,사건마스터!$A$5:$A$64,0)),""))</f>
        <v/>
      </c>
      <c r="L104" s="35">
        <f>IF($F104="","",IFERROR(INDEX(사건마스터!$AI$5:$AI$64,MATCH($F104,사건마스터!$A$5:$A$64,0)),""))</f>
        <v/>
      </c>
      <c r="M104" s="35">
        <f>IF($F104="","",IFERROR(INDEX(사건마스터!$AJ$5:$AJ$64,MATCH($F104,사건마스터!$A$5:$A$64,0)),""))</f>
        <v/>
      </c>
      <c r="N104" s="35">
        <f>IF($F104="","",IFERROR(INDEX(사건마스터!$AK$5:$AK$64,MATCH($F104,사건마스터!$A$5:$A$64,0)),""))</f>
        <v/>
      </c>
      <c r="O104" s="35">
        <f>IF($F104="","",IFERROR(INDEX(사건마스터!$AL$5:$AL$64,MATCH($F104,사건마스터!$A$5:$A$64,0)),""))</f>
        <v/>
      </c>
      <c r="P104" s="35">
        <f>IF($F104="","",IFERROR(INDEX(사건마스터!$AM$5:$AM$64,MATCH($F104,사건마스터!$A$5:$A$64,0)),""))</f>
        <v/>
      </c>
      <c r="Q104" s="35">
        <f>IF($F104="","",IFERROR(INDEX(사건마스터!$AN$5:$AN$64,MATCH($F104,사건마스터!$A$5:$A$64,0)),""))</f>
        <v/>
      </c>
      <c r="R104" s="35">
        <f>IF($F104="","",IFERROR(INDEX(사건마스터!$AO$5:$AO$64,MATCH($F104,사건마스터!$A$5:$A$64,0)),""))</f>
        <v/>
      </c>
      <c r="S104" s="35">
        <f>IF($F104="","",IFERROR(INDEX(사건마스터!$AP$5:$AP$64,MATCH($F104,사건마스터!$A$5:$A$64,0)),""))</f>
        <v/>
      </c>
      <c r="T104" s="35">
        <f>IF($F104="","",IFERROR(INDEX(사건마스터!$AQ$5:$AQ$64,MATCH($F104,사건마스터!$A$5:$A$64,0)),""))</f>
        <v/>
      </c>
      <c r="U104" s="35">
        <f>IF($F104="","",IFERROR(INDEX(사건마스터!$AR$5:$AR$64,MATCH($F104,사건마스터!$A$5:$A$64,0)),""))</f>
        <v/>
      </c>
      <c r="V104" s="35">
        <f>IF($F104="","",IFERROR(INDEX(사건마스터!$AS$5:$AS$64,MATCH($F104,사건마스터!$A$5:$A$64,0)),""))</f>
        <v/>
      </c>
      <c r="W104" s="35">
        <f>IF($F104="","",IFERROR(INDEX(사건마스터!$AT$5:$AT$64,MATCH($F104,사건마스터!$A$5:$A$64,0)),""))</f>
        <v/>
      </c>
      <c r="X104" s="35">
        <f>IF($F104="","",IFERROR(INDEX(사건마스터!$AU$5:$AU$64,MATCH($F104,사건마스터!$A$5:$A$64,0)),""))</f>
        <v/>
      </c>
      <c r="Y104" s="35">
        <f>IF($F104="","",IFERROR(INDEX(사건마스터!$AV$5:$AV$64,MATCH($F104,사건마스터!$A$5:$A$64,0)),""))</f>
        <v/>
      </c>
      <c r="Z104" s="30">
        <f>IF(COUNTBLANK($J104:$Y104)=16,"",16-COUNTBLANK($J104:$Y104))</f>
        <v/>
      </c>
      <c r="AA104" s="33">
        <f>IF($J104="",MID($AX104,3,255),$J104&amp;$AX104)</f>
        <v/>
      </c>
      <c r="AB104" s="34">
        <f>IF($J104="","",IFERROR(INDEX(코드설정!$D$5:$D$24,MATCH($J104,코드설정!$C$5:$C$24,0)),""))</f>
        <v/>
      </c>
      <c r="AC104" s="36" t="n"/>
      <c r="AD104" s="37" t="n"/>
      <c r="AE104" s="38" t="n"/>
      <c r="AF104" s="30">
        <f>IF(OR($B104="",$C104=""),"",$C104-$B104+1)</f>
        <v/>
      </c>
      <c r="AG104" s="32" t="n"/>
      <c r="AH104" s="36" t="n"/>
      <c r="AJ104">
        <f>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  <c r="AX104">
        <f>AW104&amp;IF($Y104="","",", "&amp;$Y104)</f>
        <v/>
      </c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0">
        <f>IF($F105="","",COUNTIF($F$5:$F105,$F105))</f>
        <v/>
      </c>
      <c r="H105" s="33">
        <f>IF($F105="","",IFERROR(INDEX(사건마스터!$B$5:$B$64,MATCH($F105,사건마스터!$A$5:$A$64,0)),""))</f>
        <v/>
      </c>
      <c r="I105" s="34">
        <f>IF($F105="","",IFERROR(INDEX(사건마스터!$C$5:$C$64,MATCH($F105,사건마스터!$A$5:$A$64,0)),""))</f>
        <v/>
      </c>
      <c r="J105" s="35">
        <f>IF($F105="","",IFERROR(INDEX(사건마스터!$H$5:$H$64,MATCH($F105,사건마스터!$A$5:$A$64,0)),""))</f>
        <v/>
      </c>
      <c r="K105" s="35">
        <f>IF($F105="","",IFERROR(INDEX(사건마스터!$AH$5:$AH$64,MATCH($F105,사건마스터!$A$5:$A$64,0)),""))</f>
        <v/>
      </c>
      <c r="L105" s="35">
        <f>IF($F105="","",IFERROR(INDEX(사건마스터!$AI$5:$AI$64,MATCH($F105,사건마스터!$A$5:$A$64,0)),""))</f>
        <v/>
      </c>
      <c r="M105" s="35">
        <f>IF($F105="","",IFERROR(INDEX(사건마스터!$AJ$5:$AJ$64,MATCH($F105,사건마스터!$A$5:$A$64,0)),""))</f>
        <v/>
      </c>
      <c r="N105" s="35">
        <f>IF($F105="","",IFERROR(INDEX(사건마스터!$AK$5:$AK$64,MATCH($F105,사건마스터!$A$5:$A$64,0)),""))</f>
        <v/>
      </c>
      <c r="O105" s="35">
        <f>IF($F105="","",IFERROR(INDEX(사건마스터!$AL$5:$AL$64,MATCH($F105,사건마스터!$A$5:$A$64,0)),""))</f>
        <v/>
      </c>
      <c r="P105" s="35">
        <f>IF($F105="","",IFERROR(INDEX(사건마스터!$AM$5:$AM$64,MATCH($F105,사건마스터!$A$5:$A$64,0)),""))</f>
        <v/>
      </c>
      <c r="Q105" s="35">
        <f>IF($F105="","",IFERROR(INDEX(사건마스터!$AN$5:$AN$64,MATCH($F105,사건마스터!$A$5:$A$64,0)),""))</f>
        <v/>
      </c>
      <c r="R105" s="35">
        <f>IF($F105="","",IFERROR(INDEX(사건마스터!$AO$5:$AO$64,MATCH($F105,사건마스터!$A$5:$A$64,0)),""))</f>
        <v/>
      </c>
      <c r="S105" s="35">
        <f>IF($F105="","",IFERROR(INDEX(사건마스터!$AP$5:$AP$64,MATCH($F105,사건마스터!$A$5:$A$64,0)),""))</f>
        <v/>
      </c>
      <c r="T105" s="35">
        <f>IF($F105="","",IFERROR(INDEX(사건마스터!$AQ$5:$AQ$64,MATCH($F105,사건마스터!$A$5:$A$64,0)),""))</f>
        <v/>
      </c>
      <c r="U105" s="35">
        <f>IF($F105="","",IFERROR(INDEX(사건마스터!$AR$5:$AR$64,MATCH($F105,사건마스터!$A$5:$A$64,0)),""))</f>
        <v/>
      </c>
      <c r="V105" s="35">
        <f>IF($F105="","",IFERROR(INDEX(사건마스터!$AS$5:$AS$64,MATCH($F105,사건마스터!$A$5:$A$64,0)),""))</f>
        <v/>
      </c>
      <c r="W105" s="35">
        <f>IF($F105="","",IFERROR(INDEX(사건마스터!$AT$5:$AT$64,MATCH($F105,사건마스터!$A$5:$A$64,0)),""))</f>
        <v/>
      </c>
      <c r="X105" s="35">
        <f>IF($F105="","",IFERROR(INDEX(사건마스터!$AU$5:$AU$64,MATCH($F105,사건마스터!$A$5:$A$64,0)),""))</f>
        <v/>
      </c>
      <c r="Y105" s="35">
        <f>IF($F105="","",IFERROR(INDEX(사건마스터!$AV$5:$AV$64,MATCH($F105,사건마스터!$A$5:$A$64,0)),""))</f>
        <v/>
      </c>
      <c r="Z105" s="30">
        <f>IF(COUNTBLANK($J105:$Y105)=16,"",16-COUNTBLANK($J105:$Y105))</f>
        <v/>
      </c>
      <c r="AA105" s="33">
        <f>IF($J105="",MID($AX105,3,255),$J105&amp;$AX105)</f>
        <v/>
      </c>
      <c r="AB105" s="34">
        <f>IF($J105="","",IFERROR(INDEX(코드설정!$D$5:$D$24,MATCH($J105,코드설정!$C$5:$C$24,0)),""))</f>
        <v/>
      </c>
      <c r="AC105" s="36" t="n"/>
      <c r="AD105" s="37" t="n"/>
      <c r="AE105" s="38" t="n"/>
      <c r="AF105" s="30">
        <f>IF(OR($B105="",$C105=""),"",$C105-$B105+1)</f>
        <v/>
      </c>
      <c r="AG105" s="32" t="n"/>
      <c r="AH105" s="36" t="n"/>
      <c r="AJ105">
        <f>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  <c r="AX105">
        <f>AW105&amp;IF($Y105="","",", "&amp;$Y105)</f>
        <v/>
      </c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0">
        <f>IF($F106="","",COUNTIF($F$5:$F106,$F106))</f>
        <v/>
      </c>
      <c r="H106" s="33">
        <f>IF($F106="","",IFERROR(INDEX(사건마스터!$B$5:$B$64,MATCH($F106,사건마스터!$A$5:$A$64,0)),""))</f>
        <v/>
      </c>
      <c r="I106" s="34">
        <f>IF($F106="","",IFERROR(INDEX(사건마스터!$C$5:$C$64,MATCH($F106,사건마스터!$A$5:$A$64,0)),""))</f>
        <v/>
      </c>
      <c r="J106" s="35">
        <f>IF($F106="","",IFERROR(INDEX(사건마스터!$H$5:$H$64,MATCH($F106,사건마스터!$A$5:$A$64,0)),""))</f>
        <v/>
      </c>
      <c r="K106" s="35">
        <f>IF($F106="","",IFERROR(INDEX(사건마스터!$AH$5:$AH$64,MATCH($F106,사건마스터!$A$5:$A$64,0)),""))</f>
        <v/>
      </c>
      <c r="L106" s="35">
        <f>IF($F106="","",IFERROR(INDEX(사건마스터!$AI$5:$AI$64,MATCH($F106,사건마스터!$A$5:$A$64,0)),""))</f>
        <v/>
      </c>
      <c r="M106" s="35">
        <f>IF($F106="","",IFERROR(INDEX(사건마스터!$AJ$5:$AJ$64,MATCH($F106,사건마스터!$A$5:$A$64,0)),""))</f>
        <v/>
      </c>
      <c r="N106" s="35">
        <f>IF($F106="","",IFERROR(INDEX(사건마스터!$AK$5:$AK$64,MATCH($F106,사건마스터!$A$5:$A$64,0)),""))</f>
        <v/>
      </c>
      <c r="O106" s="35">
        <f>IF($F106="","",IFERROR(INDEX(사건마스터!$AL$5:$AL$64,MATCH($F106,사건마스터!$A$5:$A$64,0)),""))</f>
        <v/>
      </c>
      <c r="P106" s="35">
        <f>IF($F106="","",IFERROR(INDEX(사건마스터!$AM$5:$AM$64,MATCH($F106,사건마스터!$A$5:$A$64,0)),""))</f>
        <v/>
      </c>
      <c r="Q106" s="35">
        <f>IF($F106="","",IFERROR(INDEX(사건마스터!$AN$5:$AN$64,MATCH($F106,사건마스터!$A$5:$A$64,0)),""))</f>
        <v/>
      </c>
      <c r="R106" s="35">
        <f>IF($F106="","",IFERROR(INDEX(사건마스터!$AO$5:$AO$64,MATCH($F106,사건마스터!$A$5:$A$64,0)),""))</f>
        <v/>
      </c>
      <c r="S106" s="35">
        <f>IF($F106="","",IFERROR(INDEX(사건마스터!$AP$5:$AP$64,MATCH($F106,사건마스터!$A$5:$A$64,0)),""))</f>
        <v/>
      </c>
      <c r="T106" s="35">
        <f>IF($F106="","",IFERROR(INDEX(사건마스터!$AQ$5:$AQ$64,MATCH($F106,사건마스터!$A$5:$A$64,0)),""))</f>
        <v/>
      </c>
      <c r="U106" s="35">
        <f>IF($F106="","",IFERROR(INDEX(사건마스터!$AR$5:$AR$64,MATCH($F106,사건마스터!$A$5:$A$64,0)),""))</f>
        <v/>
      </c>
      <c r="V106" s="35">
        <f>IF($F106="","",IFERROR(INDEX(사건마스터!$AS$5:$AS$64,MATCH($F106,사건마스터!$A$5:$A$64,0)),""))</f>
        <v/>
      </c>
      <c r="W106" s="35">
        <f>IF($F106="","",IFERROR(INDEX(사건마스터!$AT$5:$AT$64,MATCH($F106,사건마스터!$A$5:$A$64,0)),""))</f>
        <v/>
      </c>
      <c r="X106" s="35">
        <f>IF($F106="","",IFERROR(INDEX(사건마스터!$AU$5:$AU$64,MATCH($F106,사건마스터!$A$5:$A$64,0)),""))</f>
        <v/>
      </c>
      <c r="Y106" s="35">
        <f>IF($F106="","",IFERROR(INDEX(사건마스터!$AV$5:$AV$64,MATCH($F106,사건마스터!$A$5:$A$64,0)),""))</f>
        <v/>
      </c>
      <c r="Z106" s="30">
        <f>IF(COUNTBLANK($J106:$Y106)=16,"",16-COUNTBLANK($J106:$Y106))</f>
        <v/>
      </c>
      <c r="AA106" s="33">
        <f>IF($J106="",MID($AX106,3,255),$J106&amp;$AX106)</f>
        <v/>
      </c>
      <c r="AB106" s="34">
        <f>IF($J106="","",IFERROR(INDEX(코드설정!$D$5:$D$24,MATCH($J106,코드설정!$C$5:$C$24,0)),""))</f>
        <v/>
      </c>
      <c r="AC106" s="36" t="n"/>
      <c r="AD106" s="37" t="n"/>
      <c r="AE106" s="38" t="n"/>
      <c r="AF106" s="30">
        <f>IF(OR($B106="",$C106=""),"",$C106-$B106+1)</f>
        <v/>
      </c>
      <c r="AG106" s="32" t="n"/>
      <c r="AH106" s="36" t="n"/>
      <c r="AJ106">
        <f>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  <c r="AX106">
        <f>AW106&amp;IF($Y106="","",", "&amp;$Y106)</f>
        <v/>
      </c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0">
        <f>IF($F107="","",COUNTIF($F$5:$F107,$F107))</f>
        <v/>
      </c>
      <c r="H107" s="33">
        <f>IF($F107="","",IFERROR(INDEX(사건마스터!$B$5:$B$64,MATCH($F107,사건마스터!$A$5:$A$64,0)),""))</f>
        <v/>
      </c>
      <c r="I107" s="34">
        <f>IF($F107="","",IFERROR(INDEX(사건마스터!$C$5:$C$64,MATCH($F107,사건마스터!$A$5:$A$64,0)),""))</f>
        <v/>
      </c>
      <c r="J107" s="35">
        <f>IF($F107="","",IFERROR(INDEX(사건마스터!$H$5:$H$64,MATCH($F107,사건마스터!$A$5:$A$64,0)),""))</f>
        <v/>
      </c>
      <c r="K107" s="35">
        <f>IF($F107="","",IFERROR(INDEX(사건마스터!$AH$5:$AH$64,MATCH($F107,사건마스터!$A$5:$A$64,0)),""))</f>
        <v/>
      </c>
      <c r="L107" s="35">
        <f>IF($F107="","",IFERROR(INDEX(사건마스터!$AI$5:$AI$64,MATCH($F107,사건마스터!$A$5:$A$64,0)),""))</f>
        <v/>
      </c>
      <c r="M107" s="35">
        <f>IF($F107="","",IFERROR(INDEX(사건마스터!$AJ$5:$AJ$64,MATCH($F107,사건마스터!$A$5:$A$64,0)),""))</f>
        <v/>
      </c>
      <c r="N107" s="35">
        <f>IF($F107="","",IFERROR(INDEX(사건마스터!$AK$5:$AK$64,MATCH($F107,사건마스터!$A$5:$A$64,0)),""))</f>
        <v/>
      </c>
      <c r="O107" s="35">
        <f>IF($F107="","",IFERROR(INDEX(사건마스터!$AL$5:$AL$64,MATCH($F107,사건마스터!$A$5:$A$64,0)),""))</f>
        <v/>
      </c>
      <c r="P107" s="35">
        <f>IF($F107="","",IFERROR(INDEX(사건마스터!$AM$5:$AM$64,MATCH($F107,사건마스터!$A$5:$A$64,0)),""))</f>
        <v/>
      </c>
      <c r="Q107" s="35">
        <f>IF($F107="","",IFERROR(INDEX(사건마스터!$AN$5:$AN$64,MATCH($F107,사건마스터!$A$5:$A$64,0)),""))</f>
        <v/>
      </c>
      <c r="R107" s="35">
        <f>IF($F107="","",IFERROR(INDEX(사건마스터!$AO$5:$AO$64,MATCH($F107,사건마스터!$A$5:$A$64,0)),""))</f>
        <v/>
      </c>
      <c r="S107" s="35">
        <f>IF($F107="","",IFERROR(INDEX(사건마스터!$AP$5:$AP$64,MATCH($F107,사건마스터!$A$5:$A$64,0)),""))</f>
        <v/>
      </c>
      <c r="T107" s="35">
        <f>IF($F107="","",IFERROR(INDEX(사건마스터!$AQ$5:$AQ$64,MATCH($F107,사건마스터!$A$5:$A$64,0)),""))</f>
        <v/>
      </c>
      <c r="U107" s="35">
        <f>IF($F107="","",IFERROR(INDEX(사건마스터!$AR$5:$AR$64,MATCH($F107,사건마스터!$A$5:$A$64,0)),""))</f>
        <v/>
      </c>
      <c r="V107" s="35">
        <f>IF($F107="","",IFERROR(INDEX(사건마스터!$AS$5:$AS$64,MATCH($F107,사건마스터!$A$5:$A$64,0)),""))</f>
        <v/>
      </c>
      <c r="W107" s="35">
        <f>IF($F107="","",IFERROR(INDEX(사건마스터!$AT$5:$AT$64,MATCH($F107,사건마스터!$A$5:$A$64,0)),""))</f>
        <v/>
      </c>
      <c r="X107" s="35">
        <f>IF($F107="","",IFERROR(INDEX(사건마스터!$AU$5:$AU$64,MATCH($F107,사건마스터!$A$5:$A$64,0)),""))</f>
        <v/>
      </c>
      <c r="Y107" s="35">
        <f>IF($F107="","",IFERROR(INDEX(사건마스터!$AV$5:$AV$64,MATCH($F107,사건마스터!$A$5:$A$64,0)),""))</f>
        <v/>
      </c>
      <c r="Z107" s="30">
        <f>IF(COUNTBLANK($J107:$Y107)=16,"",16-COUNTBLANK($J107:$Y107))</f>
        <v/>
      </c>
      <c r="AA107" s="33">
        <f>IF($J107="",MID($AX107,3,255),$J107&amp;$AX107)</f>
        <v/>
      </c>
      <c r="AB107" s="34">
        <f>IF($J107="","",IFERROR(INDEX(코드설정!$D$5:$D$24,MATCH($J107,코드설정!$C$5:$C$24,0)),""))</f>
        <v/>
      </c>
      <c r="AC107" s="36" t="n"/>
      <c r="AD107" s="37" t="n"/>
      <c r="AE107" s="38" t="n"/>
      <c r="AF107" s="30">
        <f>IF(OR($B107="",$C107=""),"",$C107-$B107+1)</f>
        <v/>
      </c>
      <c r="AG107" s="32" t="n"/>
      <c r="AH107" s="36" t="n"/>
      <c r="AJ107">
        <f>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  <c r="AX107">
        <f>AW107&amp;IF($Y107="","",", "&amp;$Y107)</f>
        <v/>
      </c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0">
        <f>IF($F108="","",COUNTIF($F$5:$F108,$F108))</f>
        <v/>
      </c>
      <c r="H108" s="33">
        <f>IF($F108="","",IFERROR(INDEX(사건마스터!$B$5:$B$64,MATCH($F108,사건마스터!$A$5:$A$64,0)),""))</f>
        <v/>
      </c>
      <c r="I108" s="34">
        <f>IF($F108="","",IFERROR(INDEX(사건마스터!$C$5:$C$64,MATCH($F108,사건마스터!$A$5:$A$64,0)),""))</f>
        <v/>
      </c>
      <c r="J108" s="35">
        <f>IF($F108="","",IFERROR(INDEX(사건마스터!$H$5:$H$64,MATCH($F108,사건마스터!$A$5:$A$64,0)),""))</f>
        <v/>
      </c>
      <c r="K108" s="35">
        <f>IF($F108="","",IFERROR(INDEX(사건마스터!$AH$5:$AH$64,MATCH($F108,사건마스터!$A$5:$A$64,0)),""))</f>
        <v/>
      </c>
      <c r="L108" s="35">
        <f>IF($F108="","",IFERROR(INDEX(사건마스터!$AI$5:$AI$64,MATCH($F108,사건마스터!$A$5:$A$64,0)),""))</f>
        <v/>
      </c>
      <c r="M108" s="35">
        <f>IF($F108="","",IFERROR(INDEX(사건마스터!$AJ$5:$AJ$64,MATCH($F108,사건마스터!$A$5:$A$64,0)),""))</f>
        <v/>
      </c>
      <c r="N108" s="35">
        <f>IF($F108="","",IFERROR(INDEX(사건마스터!$AK$5:$AK$64,MATCH($F108,사건마스터!$A$5:$A$64,0)),""))</f>
        <v/>
      </c>
      <c r="O108" s="35">
        <f>IF($F108="","",IFERROR(INDEX(사건마스터!$AL$5:$AL$64,MATCH($F108,사건마스터!$A$5:$A$64,0)),""))</f>
        <v/>
      </c>
      <c r="P108" s="35">
        <f>IF($F108="","",IFERROR(INDEX(사건마스터!$AM$5:$AM$64,MATCH($F108,사건마스터!$A$5:$A$64,0)),""))</f>
        <v/>
      </c>
      <c r="Q108" s="35">
        <f>IF($F108="","",IFERROR(INDEX(사건마스터!$AN$5:$AN$64,MATCH($F108,사건마스터!$A$5:$A$64,0)),""))</f>
        <v/>
      </c>
      <c r="R108" s="35">
        <f>IF($F108="","",IFERROR(INDEX(사건마스터!$AO$5:$AO$64,MATCH($F108,사건마스터!$A$5:$A$64,0)),""))</f>
        <v/>
      </c>
      <c r="S108" s="35">
        <f>IF($F108="","",IFERROR(INDEX(사건마스터!$AP$5:$AP$64,MATCH($F108,사건마스터!$A$5:$A$64,0)),""))</f>
        <v/>
      </c>
      <c r="T108" s="35">
        <f>IF($F108="","",IFERROR(INDEX(사건마스터!$AQ$5:$AQ$64,MATCH($F108,사건마스터!$A$5:$A$64,0)),""))</f>
        <v/>
      </c>
      <c r="U108" s="35">
        <f>IF($F108="","",IFERROR(INDEX(사건마스터!$AR$5:$AR$64,MATCH($F108,사건마스터!$A$5:$A$64,0)),""))</f>
        <v/>
      </c>
      <c r="V108" s="35">
        <f>IF($F108="","",IFERROR(INDEX(사건마스터!$AS$5:$AS$64,MATCH($F108,사건마스터!$A$5:$A$64,0)),""))</f>
        <v/>
      </c>
      <c r="W108" s="35">
        <f>IF($F108="","",IFERROR(INDEX(사건마스터!$AT$5:$AT$64,MATCH($F108,사건마스터!$A$5:$A$64,0)),""))</f>
        <v/>
      </c>
      <c r="X108" s="35">
        <f>IF($F108="","",IFERROR(INDEX(사건마스터!$AU$5:$AU$64,MATCH($F108,사건마스터!$A$5:$A$64,0)),""))</f>
        <v/>
      </c>
      <c r="Y108" s="35">
        <f>IF($F108="","",IFERROR(INDEX(사건마스터!$AV$5:$AV$64,MATCH($F108,사건마스터!$A$5:$A$64,0)),""))</f>
        <v/>
      </c>
      <c r="Z108" s="30">
        <f>IF(COUNTBLANK($J108:$Y108)=16,"",16-COUNTBLANK($J108:$Y108))</f>
        <v/>
      </c>
      <c r="AA108" s="33">
        <f>IF($J108="",MID($AX108,3,255),$J108&amp;$AX108)</f>
        <v/>
      </c>
      <c r="AB108" s="34">
        <f>IF($J108="","",IFERROR(INDEX(코드설정!$D$5:$D$24,MATCH($J108,코드설정!$C$5:$C$24,0)),""))</f>
        <v/>
      </c>
      <c r="AC108" s="36" t="n"/>
      <c r="AD108" s="37" t="n"/>
      <c r="AE108" s="38" t="n"/>
      <c r="AF108" s="30">
        <f>IF(OR($B108="",$C108=""),"",$C108-$B108+1)</f>
        <v/>
      </c>
      <c r="AG108" s="32" t="n"/>
      <c r="AH108" s="36" t="n"/>
      <c r="AJ108">
        <f>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  <c r="AX108">
        <f>AW108&amp;IF($Y108="","",", "&amp;$Y108)</f>
        <v/>
      </c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0">
        <f>IF($F109="","",COUNTIF($F$5:$F109,$F109))</f>
        <v/>
      </c>
      <c r="H109" s="33">
        <f>IF($F109="","",IFERROR(INDEX(사건마스터!$B$5:$B$64,MATCH($F109,사건마스터!$A$5:$A$64,0)),""))</f>
        <v/>
      </c>
      <c r="I109" s="34">
        <f>IF($F109="","",IFERROR(INDEX(사건마스터!$C$5:$C$64,MATCH($F109,사건마스터!$A$5:$A$64,0)),""))</f>
        <v/>
      </c>
      <c r="J109" s="35">
        <f>IF($F109="","",IFERROR(INDEX(사건마스터!$H$5:$H$64,MATCH($F109,사건마스터!$A$5:$A$64,0)),""))</f>
        <v/>
      </c>
      <c r="K109" s="35">
        <f>IF($F109="","",IFERROR(INDEX(사건마스터!$AH$5:$AH$64,MATCH($F109,사건마스터!$A$5:$A$64,0)),""))</f>
        <v/>
      </c>
      <c r="L109" s="35">
        <f>IF($F109="","",IFERROR(INDEX(사건마스터!$AI$5:$AI$64,MATCH($F109,사건마스터!$A$5:$A$64,0)),""))</f>
        <v/>
      </c>
      <c r="M109" s="35">
        <f>IF($F109="","",IFERROR(INDEX(사건마스터!$AJ$5:$AJ$64,MATCH($F109,사건마스터!$A$5:$A$64,0)),""))</f>
        <v/>
      </c>
      <c r="N109" s="35">
        <f>IF($F109="","",IFERROR(INDEX(사건마스터!$AK$5:$AK$64,MATCH($F109,사건마스터!$A$5:$A$64,0)),""))</f>
        <v/>
      </c>
      <c r="O109" s="35">
        <f>IF($F109="","",IFERROR(INDEX(사건마스터!$AL$5:$AL$64,MATCH($F109,사건마스터!$A$5:$A$64,0)),""))</f>
        <v/>
      </c>
      <c r="P109" s="35">
        <f>IF($F109="","",IFERROR(INDEX(사건마스터!$AM$5:$AM$64,MATCH($F109,사건마스터!$A$5:$A$64,0)),""))</f>
        <v/>
      </c>
      <c r="Q109" s="35">
        <f>IF($F109="","",IFERROR(INDEX(사건마스터!$AN$5:$AN$64,MATCH($F109,사건마스터!$A$5:$A$64,0)),""))</f>
        <v/>
      </c>
      <c r="R109" s="35">
        <f>IF($F109="","",IFERROR(INDEX(사건마스터!$AO$5:$AO$64,MATCH($F109,사건마스터!$A$5:$A$64,0)),""))</f>
        <v/>
      </c>
      <c r="S109" s="35">
        <f>IF($F109="","",IFERROR(INDEX(사건마스터!$AP$5:$AP$64,MATCH($F109,사건마스터!$A$5:$A$64,0)),""))</f>
        <v/>
      </c>
      <c r="T109" s="35">
        <f>IF($F109="","",IFERROR(INDEX(사건마스터!$AQ$5:$AQ$64,MATCH($F109,사건마스터!$A$5:$A$64,0)),""))</f>
        <v/>
      </c>
      <c r="U109" s="35">
        <f>IF($F109="","",IFERROR(INDEX(사건마스터!$AR$5:$AR$64,MATCH($F109,사건마스터!$A$5:$A$64,0)),""))</f>
        <v/>
      </c>
      <c r="V109" s="35">
        <f>IF($F109="","",IFERROR(INDEX(사건마스터!$AS$5:$AS$64,MATCH($F109,사건마스터!$A$5:$A$64,0)),""))</f>
        <v/>
      </c>
      <c r="W109" s="35">
        <f>IF($F109="","",IFERROR(INDEX(사건마스터!$AT$5:$AT$64,MATCH($F109,사건마스터!$A$5:$A$64,0)),""))</f>
        <v/>
      </c>
      <c r="X109" s="35">
        <f>IF($F109="","",IFERROR(INDEX(사건마스터!$AU$5:$AU$64,MATCH($F109,사건마스터!$A$5:$A$64,0)),""))</f>
        <v/>
      </c>
      <c r="Y109" s="35">
        <f>IF($F109="","",IFERROR(INDEX(사건마스터!$AV$5:$AV$64,MATCH($F109,사건마스터!$A$5:$A$64,0)),""))</f>
        <v/>
      </c>
      <c r="Z109" s="30">
        <f>IF(COUNTBLANK($J109:$Y109)=16,"",16-COUNTBLANK($J109:$Y109))</f>
        <v/>
      </c>
      <c r="AA109" s="33">
        <f>IF($J109="",MID($AX109,3,255),$J109&amp;$AX109)</f>
        <v/>
      </c>
      <c r="AB109" s="34">
        <f>IF($J109="","",IFERROR(INDEX(코드설정!$D$5:$D$24,MATCH($J109,코드설정!$C$5:$C$24,0)),""))</f>
        <v/>
      </c>
      <c r="AC109" s="36" t="n"/>
      <c r="AD109" s="37" t="n"/>
      <c r="AE109" s="38" t="n"/>
      <c r="AF109" s="30">
        <f>IF(OR($B109="",$C109=""),"",$C109-$B109+1)</f>
        <v/>
      </c>
      <c r="AG109" s="32" t="n"/>
      <c r="AH109" s="36" t="n"/>
      <c r="AJ109">
        <f>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  <c r="AX109">
        <f>AW109&amp;IF($Y109="","",", "&amp;$Y109)</f>
        <v/>
      </c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0">
        <f>IF($F110="","",COUNTIF($F$5:$F110,$F110))</f>
        <v/>
      </c>
      <c r="H110" s="33">
        <f>IF($F110="","",IFERROR(INDEX(사건마스터!$B$5:$B$64,MATCH($F110,사건마스터!$A$5:$A$64,0)),""))</f>
        <v/>
      </c>
      <c r="I110" s="34">
        <f>IF($F110="","",IFERROR(INDEX(사건마스터!$C$5:$C$64,MATCH($F110,사건마스터!$A$5:$A$64,0)),""))</f>
        <v/>
      </c>
      <c r="J110" s="35">
        <f>IF($F110="","",IFERROR(INDEX(사건마스터!$H$5:$H$64,MATCH($F110,사건마스터!$A$5:$A$64,0)),""))</f>
        <v/>
      </c>
      <c r="K110" s="35">
        <f>IF($F110="","",IFERROR(INDEX(사건마스터!$AH$5:$AH$64,MATCH($F110,사건마스터!$A$5:$A$64,0)),""))</f>
        <v/>
      </c>
      <c r="L110" s="35">
        <f>IF($F110="","",IFERROR(INDEX(사건마스터!$AI$5:$AI$64,MATCH($F110,사건마스터!$A$5:$A$64,0)),""))</f>
        <v/>
      </c>
      <c r="M110" s="35">
        <f>IF($F110="","",IFERROR(INDEX(사건마스터!$AJ$5:$AJ$64,MATCH($F110,사건마스터!$A$5:$A$64,0)),""))</f>
        <v/>
      </c>
      <c r="N110" s="35">
        <f>IF($F110="","",IFERROR(INDEX(사건마스터!$AK$5:$AK$64,MATCH($F110,사건마스터!$A$5:$A$64,0)),""))</f>
        <v/>
      </c>
      <c r="O110" s="35">
        <f>IF($F110="","",IFERROR(INDEX(사건마스터!$AL$5:$AL$64,MATCH($F110,사건마스터!$A$5:$A$64,0)),""))</f>
        <v/>
      </c>
      <c r="P110" s="35">
        <f>IF($F110="","",IFERROR(INDEX(사건마스터!$AM$5:$AM$64,MATCH($F110,사건마스터!$A$5:$A$64,0)),""))</f>
        <v/>
      </c>
      <c r="Q110" s="35">
        <f>IF($F110="","",IFERROR(INDEX(사건마스터!$AN$5:$AN$64,MATCH($F110,사건마스터!$A$5:$A$64,0)),""))</f>
        <v/>
      </c>
      <c r="R110" s="35">
        <f>IF($F110="","",IFERROR(INDEX(사건마스터!$AO$5:$AO$64,MATCH($F110,사건마스터!$A$5:$A$64,0)),""))</f>
        <v/>
      </c>
      <c r="S110" s="35">
        <f>IF($F110="","",IFERROR(INDEX(사건마스터!$AP$5:$AP$64,MATCH($F110,사건마스터!$A$5:$A$64,0)),""))</f>
        <v/>
      </c>
      <c r="T110" s="35">
        <f>IF($F110="","",IFERROR(INDEX(사건마스터!$AQ$5:$AQ$64,MATCH($F110,사건마스터!$A$5:$A$64,0)),""))</f>
        <v/>
      </c>
      <c r="U110" s="35">
        <f>IF($F110="","",IFERROR(INDEX(사건마스터!$AR$5:$AR$64,MATCH($F110,사건마스터!$A$5:$A$64,0)),""))</f>
        <v/>
      </c>
      <c r="V110" s="35">
        <f>IF($F110="","",IFERROR(INDEX(사건마스터!$AS$5:$AS$64,MATCH($F110,사건마스터!$A$5:$A$64,0)),""))</f>
        <v/>
      </c>
      <c r="W110" s="35">
        <f>IF($F110="","",IFERROR(INDEX(사건마스터!$AT$5:$AT$64,MATCH($F110,사건마스터!$A$5:$A$64,0)),""))</f>
        <v/>
      </c>
      <c r="X110" s="35">
        <f>IF($F110="","",IFERROR(INDEX(사건마스터!$AU$5:$AU$64,MATCH($F110,사건마스터!$A$5:$A$64,0)),""))</f>
        <v/>
      </c>
      <c r="Y110" s="35">
        <f>IF($F110="","",IFERROR(INDEX(사건마스터!$AV$5:$AV$64,MATCH($F110,사건마스터!$A$5:$A$64,0)),""))</f>
        <v/>
      </c>
      <c r="Z110" s="30">
        <f>IF(COUNTBLANK($J110:$Y110)=16,"",16-COUNTBLANK($J110:$Y110))</f>
        <v/>
      </c>
      <c r="AA110" s="33">
        <f>IF($J110="",MID($AX110,3,255),$J110&amp;$AX110)</f>
        <v/>
      </c>
      <c r="AB110" s="34">
        <f>IF($J110="","",IFERROR(INDEX(코드설정!$D$5:$D$24,MATCH($J110,코드설정!$C$5:$C$24,0)),""))</f>
        <v/>
      </c>
      <c r="AC110" s="36" t="n"/>
      <c r="AD110" s="37" t="n"/>
      <c r="AE110" s="38" t="n"/>
      <c r="AF110" s="30">
        <f>IF(OR($B110="",$C110=""),"",$C110-$B110+1)</f>
        <v/>
      </c>
      <c r="AG110" s="32" t="n"/>
      <c r="AH110" s="36" t="n"/>
      <c r="AJ110">
        <f>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  <c r="AX110">
        <f>AW110&amp;IF($Y110="","",", "&amp;$Y110)</f>
        <v/>
      </c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0">
        <f>IF($F111="","",COUNTIF($F$5:$F111,$F111))</f>
        <v/>
      </c>
      <c r="H111" s="33">
        <f>IF($F111="","",IFERROR(INDEX(사건마스터!$B$5:$B$64,MATCH($F111,사건마스터!$A$5:$A$64,0)),""))</f>
        <v/>
      </c>
      <c r="I111" s="34">
        <f>IF($F111="","",IFERROR(INDEX(사건마스터!$C$5:$C$64,MATCH($F111,사건마스터!$A$5:$A$64,0)),""))</f>
        <v/>
      </c>
      <c r="J111" s="35">
        <f>IF($F111="","",IFERROR(INDEX(사건마스터!$H$5:$H$64,MATCH($F111,사건마스터!$A$5:$A$64,0)),""))</f>
        <v/>
      </c>
      <c r="K111" s="35">
        <f>IF($F111="","",IFERROR(INDEX(사건마스터!$AH$5:$AH$64,MATCH($F111,사건마스터!$A$5:$A$64,0)),""))</f>
        <v/>
      </c>
      <c r="L111" s="35">
        <f>IF($F111="","",IFERROR(INDEX(사건마스터!$AI$5:$AI$64,MATCH($F111,사건마스터!$A$5:$A$64,0)),""))</f>
        <v/>
      </c>
      <c r="M111" s="35">
        <f>IF($F111="","",IFERROR(INDEX(사건마스터!$AJ$5:$AJ$64,MATCH($F111,사건마스터!$A$5:$A$64,0)),""))</f>
        <v/>
      </c>
      <c r="N111" s="35">
        <f>IF($F111="","",IFERROR(INDEX(사건마스터!$AK$5:$AK$64,MATCH($F111,사건마스터!$A$5:$A$64,0)),""))</f>
        <v/>
      </c>
      <c r="O111" s="35">
        <f>IF($F111="","",IFERROR(INDEX(사건마스터!$AL$5:$AL$64,MATCH($F111,사건마스터!$A$5:$A$64,0)),""))</f>
        <v/>
      </c>
      <c r="P111" s="35">
        <f>IF($F111="","",IFERROR(INDEX(사건마스터!$AM$5:$AM$64,MATCH($F111,사건마스터!$A$5:$A$64,0)),""))</f>
        <v/>
      </c>
      <c r="Q111" s="35">
        <f>IF($F111="","",IFERROR(INDEX(사건마스터!$AN$5:$AN$64,MATCH($F111,사건마스터!$A$5:$A$64,0)),""))</f>
        <v/>
      </c>
      <c r="R111" s="35">
        <f>IF($F111="","",IFERROR(INDEX(사건마스터!$AO$5:$AO$64,MATCH($F111,사건마스터!$A$5:$A$64,0)),""))</f>
        <v/>
      </c>
      <c r="S111" s="35">
        <f>IF($F111="","",IFERROR(INDEX(사건마스터!$AP$5:$AP$64,MATCH($F111,사건마스터!$A$5:$A$64,0)),""))</f>
        <v/>
      </c>
      <c r="T111" s="35">
        <f>IF($F111="","",IFERROR(INDEX(사건마스터!$AQ$5:$AQ$64,MATCH($F111,사건마스터!$A$5:$A$64,0)),""))</f>
        <v/>
      </c>
      <c r="U111" s="35">
        <f>IF($F111="","",IFERROR(INDEX(사건마스터!$AR$5:$AR$64,MATCH($F111,사건마스터!$A$5:$A$64,0)),""))</f>
        <v/>
      </c>
      <c r="V111" s="35">
        <f>IF($F111="","",IFERROR(INDEX(사건마스터!$AS$5:$AS$64,MATCH($F111,사건마스터!$A$5:$A$64,0)),""))</f>
        <v/>
      </c>
      <c r="W111" s="35">
        <f>IF($F111="","",IFERROR(INDEX(사건마스터!$AT$5:$AT$64,MATCH($F111,사건마스터!$A$5:$A$64,0)),""))</f>
        <v/>
      </c>
      <c r="X111" s="35">
        <f>IF($F111="","",IFERROR(INDEX(사건마스터!$AU$5:$AU$64,MATCH($F111,사건마스터!$A$5:$A$64,0)),""))</f>
        <v/>
      </c>
      <c r="Y111" s="35">
        <f>IF($F111="","",IFERROR(INDEX(사건마스터!$AV$5:$AV$64,MATCH($F111,사건마스터!$A$5:$A$64,0)),""))</f>
        <v/>
      </c>
      <c r="Z111" s="30">
        <f>IF(COUNTBLANK($J111:$Y111)=16,"",16-COUNTBLANK($J111:$Y111))</f>
        <v/>
      </c>
      <c r="AA111" s="33">
        <f>IF($J111="",MID($AX111,3,255),$J111&amp;$AX111)</f>
        <v/>
      </c>
      <c r="AB111" s="34">
        <f>IF($J111="","",IFERROR(INDEX(코드설정!$D$5:$D$24,MATCH($J111,코드설정!$C$5:$C$24,0)),""))</f>
        <v/>
      </c>
      <c r="AC111" s="36" t="n"/>
      <c r="AD111" s="37" t="n"/>
      <c r="AE111" s="38" t="n"/>
      <c r="AF111" s="30">
        <f>IF(OR($B111="",$C111=""),"",$C111-$B111+1)</f>
        <v/>
      </c>
      <c r="AG111" s="32" t="n"/>
      <c r="AH111" s="36" t="n"/>
      <c r="AJ111">
        <f>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  <c r="AX111">
        <f>AW111&amp;IF($Y111="","",", "&amp;$Y111)</f>
        <v/>
      </c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0">
        <f>IF($F112="","",COUNTIF($F$5:$F112,$F112))</f>
        <v/>
      </c>
      <c r="H112" s="33">
        <f>IF($F112="","",IFERROR(INDEX(사건마스터!$B$5:$B$64,MATCH($F112,사건마스터!$A$5:$A$64,0)),""))</f>
        <v/>
      </c>
      <c r="I112" s="34">
        <f>IF($F112="","",IFERROR(INDEX(사건마스터!$C$5:$C$64,MATCH($F112,사건마스터!$A$5:$A$64,0)),""))</f>
        <v/>
      </c>
      <c r="J112" s="35">
        <f>IF($F112="","",IFERROR(INDEX(사건마스터!$H$5:$H$64,MATCH($F112,사건마스터!$A$5:$A$64,0)),""))</f>
        <v/>
      </c>
      <c r="K112" s="35">
        <f>IF($F112="","",IFERROR(INDEX(사건마스터!$AH$5:$AH$64,MATCH($F112,사건마스터!$A$5:$A$64,0)),""))</f>
        <v/>
      </c>
      <c r="L112" s="35">
        <f>IF($F112="","",IFERROR(INDEX(사건마스터!$AI$5:$AI$64,MATCH($F112,사건마스터!$A$5:$A$64,0)),""))</f>
        <v/>
      </c>
      <c r="M112" s="35">
        <f>IF($F112="","",IFERROR(INDEX(사건마스터!$AJ$5:$AJ$64,MATCH($F112,사건마스터!$A$5:$A$64,0)),""))</f>
        <v/>
      </c>
      <c r="N112" s="35">
        <f>IF($F112="","",IFERROR(INDEX(사건마스터!$AK$5:$AK$64,MATCH($F112,사건마스터!$A$5:$A$64,0)),""))</f>
        <v/>
      </c>
      <c r="O112" s="35">
        <f>IF($F112="","",IFERROR(INDEX(사건마스터!$AL$5:$AL$64,MATCH($F112,사건마스터!$A$5:$A$64,0)),""))</f>
        <v/>
      </c>
      <c r="P112" s="35">
        <f>IF($F112="","",IFERROR(INDEX(사건마스터!$AM$5:$AM$64,MATCH($F112,사건마스터!$A$5:$A$64,0)),""))</f>
        <v/>
      </c>
      <c r="Q112" s="35">
        <f>IF($F112="","",IFERROR(INDEX(사건마스터!$AN$5:$AN$64,MATCH($F112,사건마스터!$A$5:$A$64,0)),""))</f>
        <v/>
      </c>
      <c r="R112" s="35">
        <f>IF($F112="","",IFERROR(INDEX(사건마스터!$AO$5:$AO$64,MATCH($F112,사건마스터!$A$5:$A$64,0)),""))</f>
        <v/>
      </c>
      <c r="S112" s="35">
        <f>IF($F112="","",IFERROR(INDEX(사건마스터!$AP$5:$AP$64,MATCH($F112,사건마스터!$A$5:$A$64,0)),""))</f>
        <v/>
      </c>
      <c r="T112" s="35">
        <f>IF($F112="","",IFERROR(INDEX(사건마스터!$AQ$5:$AQ$64,MATCH($F112,사건마스터!$A$5:$A$64,0)),""))</f>
        <v/>
      </c>
      <c r="U112" s="35">
        <f>IF($F112="","",IFERROR(INDEX(사건마스터!$AR$5:$AR$64,MATCH($F112,사건마스터!$A$5:$A$64,0)),""))</f>
        <v/>
      </c>
      <c r="V112" s="35">
        <f>IF($F112="","",IFERROR(INDEX(사건마스터!$AS$5:$AS$64,MATCH($F112,사건마스터!$A$5:$A$64,0)),""))</f>
        <v/>
      </c>
      <c r="W112" s="35">
        <f>IF($F112="","",IFERROR(INDEX(사건마스터!$AT$5:$AT$64,MATCH($F112,사건마스터!$A$5:$A$64,0)),""))</f>
        <v/>
      </c>
      <c r="X112" s="35">
        <f>IF($F112="","",IFERROR(INDEX(사건마스터!$AU$5:$AU$64,MATCH($F112,사건마스터!$A$5:$A$64,0)),""))</f>
        <v/>
      </c>
      <c r="Y112" s="35">
        <f>IF($F112="","",IFERROR(INDEX(사건마스터!$AV$5:$AV$64,MATCH($F112,사건마스터!$A$5:$A$64,0)),""))</f>
        <v/>
      </c>
      <c r="Z112" s="30">
        <f>IF(COUNTBLANK($J112:$Y112)=16,"",16-COUNTBLANK($J112:$Y112))</f>
        <v/>
      </c>
      <c r="AA112" s="33">
        <f>IF($J112="",MID($AX112,3,255),$J112&amp;$AX112)</f>
        <v/>
      </c>
      <c r="AB112" s="34">
        <f>IF($J112="","",IFERROR(INDEX(코드설정!$D$5:$D$24,MATCH($J112,코드설정!$C$5:$C$24,0)),""))</f>
        <v/>
      </c>
      <c r="AC112" s="36" t="n"/>
      <c r="AD112" s="37" t="n"/>
      <c r="AE112" s="38" t="n"/>
      <c r="AF112" s="30">
        <f>IF(OR($B112="",$C112=""),"",$C112-$B112+1)</f>
        <v/>
      </c>
      <c r="AG112" s="32" t="n"/>
      <c r="AH112" s="36" t="n"/>
      <c r="AJ112">
        <f>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  <c r="AX112">
        <f>AW112&amp;IF($Y112="","",", "&amp;$Y112)</f>
        <v/>
      </c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0">
        <f>IF($F113="","",COUNTIF($F$5:$F113,$F113))</f>
        <v/>
      </c>
      <c r="H113" s="33">
        <f>IF($F113="","",IFERROR(INDEX(사건마스터!$B$5:$B$64,MATCH($F113,사건마스터!$A$5:$A$64,0)),""))</f>
        <v/>
      </c>
      <c r="I113" s="34">
        <f>IF($F113="","",IFERROR(INDEX(사건마스터!$C$5:$C$64,MATCH($F113,사건마스터!$A$5:$A$64,0)),""))</f>
        <v/>
      </c>
      <c r="J113" s="35">
        <f>IF($F113="","",IFERROR(INDEX(사건마스터!$H$5:$H$64,MATCH($F113,사건마스터!$A$5:$A$64,0)),""))</f>
        <v/>
      </c>
      <c r="K113" s="35">
        <f>IF($F113="","",IFERROR(INDEX(사건마스터!$AH$5:$AH$64,MATCH($F113,사건마스터!$A$5:$A$64,0)),""))</f>
        <v/>
      </c>
      <c r="L113" s="35">
        <f>IF($F113="","",IFERROR(INDEX(사건마스터!$AI$5:$AI$64,MATCH($F113,사건마스터!$A$5:$A$64,0)),""))</f>
        <v/>
      </c>
      <c r="M113" s="35">
        <f>IF($F113="","",IFERROR(INDEX(사건마스터!$AJ$5:$AJ$64,MATCH($F113,사건마스터!$A$5:$A$64,0)),""))</f>
        <v/>
      </c>
      <c r="N113" s="35">
        <f>IF($F113="","",IFERROR(INDEX(사건마스터!$AK$5:$AK$64,MATCH($F113,사건마스터!$A$5:$A$64,0)),""))</f>
        <v/>
      </c>
      <c r="O113" s="35">
        <f>IF($F113="","",IFERROR(INDEX(사건마스터!$AL$5:$AL$64,MATCH($F113,사건마스터!$A$5:$A$64,0)),""))</f>
        <v/>
      </c>
      <c r="P113" s="35">
        <f>IF($F113="","",IFERROR(INDEX(사건마스터!$AM$5:$AM$64,MATCH($F113,사건마스터!$A$5:$A$64,0)),""))</f>
        <v/>
      </c>
      <c r="Q113" s="35">
        <f>IF($F113="","",IFERROR(INDEX(사건마스터!$AN$5:$AN$64,MATCH($F113,사건마스터!$A$5:$A$64,0)),""))</f>
        <v/>
      </c>
      <c r="R113" s="35">
        <f>IF($F113="","",IFERROR(INDEX(사건마스터!$AO$5:$AO$64,MATCH($F113,사건마스터!$A$5:$A$64,0)),""))</f>
        <v/>
      </c>
      <c r="S113" s="35">
        <f>IF($F113="","",IFERROR(INDEX(사건마스터!$AP$5:$AP$64,MATCH($F113,사건마스터!$A$5:$A$64,0)),""))</f>
        <v/>
      </c>
      <c r="T113" s="35">
        <f>IF($F113="","",IFERROR(INDEX(사건마스터!$AQ$5:$AQ$64,MATCH($F113,사건마스터!$A$5:$A$64,0)),""))</f>
        <v/>
      </c>
      <c r="U113" s="35">
        <f>IF($F113="","",IFERROR(INDEX(사건마스터!$AR$5:$AR$64,MATCH($F113,사건마스터!$A$5:$A$64,0)),""))</f>
        <v/>
      </c>
      <c r="V113" s="35">
        <f>IF($F113="","",IFERROR(INDEX(사건마스터!$AS$5:$AS$64,MATCH($F113,사건마스터!$A$5:$A$64,0)),""))</f>
        <v/>
      </c>
      <c r="W113" s="35">
        <f>IF($F113="","",IFERROR(INDEX(사건마스터!$AT$5:$AT$64,MATCH($F113,사건마스터!$A$5:$A$64,0)),""))</f>
        <v/>
      </c>
      <c r="X113" s="35">
        <f>IF($F113="","",IFERROR(INDEX(사건마스터!$AU$5:$AU$64,MATCH($F113,사건마스터!$A$5:$A$64,0)),""))</f>
        <v/>
      </c>
      <c r="Y113" s="35">
        <f>IF($F113="","",IFERROR(INDEX(사건마스터!$AV$5:$AV$64,MATCH($F113,사건마스터!$A$5:$A$64,0)),""))</f>
        <v/>
      </c>
      <c r="Z113" s="30">
        <f>IF(COUNTBLANK($J113:$Y113)=16,"",16-COUNTBLANK($J113:$Y113))</f>
        <v/>
      </c>
      <c r="AA113" s="33">
        <f>IF($J113="",MID($AX113,3,255),$J113&amp;$AX113)</f>
        <v/>
      </c>
      <c r="AB113" s="34">
        <f>IF($J113="","",IFERROR(INDEX(코드설정!$D$5:$D$24,MATCH($J113,코드설정!$C$5:$C$24,0)),""))</f>
        <v/>
      </c>
      <c r="AC113" s="36" t="n"/>
      <c r="AD113" s="37" t="n"/>
      <c r="AE113" s="38" t="n"/>
      <c r="AF113" s="30">
        <f>IF(OR($B113="",$C113=""),"",$C113-$B113+1)</f>
        <v/>
      </c>
      <c r="AG113" s="32" t="n"/>
      <c r="AH113" s="36" t="n"/>
      <c r="AJ113">
        <f>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  <c r="AX113">
        <f>AW113&amp;IF($Y113="","",", "&amp;$Y113)</f>
        <v/>
      </c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0">
        <f>IF($F114="","",COUNTIF($F$5:$F114,$F114))</f>
        <v/>
      </c>
      <c r="H114" s="33">
        <f>IF($F114="","",IFERROR(INDEX(사건마스터!$B$5:$B$64,MATCH($F114,사건마스터!$A$5:$A$64,0)),""))</f>
        <v/>
      </c>
      <c r="I114" s="34">
        <f>IF($F114="","",IFERROR(INDEX(사건마스터!$C$5:$C$64,MATCH($F114,사건마스터!$A$5:$A$64,0)),""))</f>
        <v/>
      </c>
      <c r="J114" s="35">
        <f>IF($F114="","",IFERROR(INDEX(사건마스터!$H$5:$H$64,MATCH($F114,사건마스터!$A$5:$A$64,0)),""))</f>
        <v/>
      </c>
      <c r="K114" s="35">
        <f>IF($F114="","",IFERROR(INDEX(사건마스터!$AH$5:$AH$64,MATCH($F114,사건마스터!$A$5:$A$64,0)),""))</f>
        <v/>
      </c>
      <c r="L114" s="35">
        <f>IF($F114="","",IFERROR(INDEX(사건마스터!$AI$5:$AI$64,MATCH($F114,사건마스터!$A$5:$A$64,0)),""))</f>
        <v/>
      </c>
      <c r="M114" s="35">
        <f>IF($F114="","",IFERROR(INDEX(사건마스터!$AJ$5:$AJ$64,MATCH($F114,사건마스터!$A$5:$A$64,0)),""))</f>
        <v/>
      </c>
      <c r="N114" s="35">
        <f>IF($F114="","",IFERROR(INDEX(사건마스터!$AK$5:$AK$64,MATCH($F114,사건마스터!$A$5:$A$64,0)),""))</f>
        <v/>
      </c>
      <c r="O114" s="35">
        <f>IF($F114="","",IFERROR(INDEX(사건마스터!$AL$5:$AL$64,MATCH($F114,사건마스터!$A$5:$A$64,0)),""))</f>
        <v/>
      </c>
      <c r="P114" s="35">
        <f>IF($F114="","",IFERROR(INDEX(사건마스터!$AM$5:$AM$64,MATCH($F114,사건마스터!$A$5:$A$64,0)),""))</f>
        <v/>
      </c>
      <c r="Q114" s="35">
        <f>IF($F114="","",IFERROR(INDEX(사건마스터!$AN$5:$AN$64,MATCH($F114,사건마스터!$A$5:$A$64,0)),""))</f>
        <v/>
      </c>
      <c r="R114" s="35">
        <f>IF($F114="","",IFERROR(INDEX(사건마스터!$AO$5:$AO$64,MATCH($F114,사건마스터!$A$5:$A$64,0)),""))</f>
        <v/>
      </c>
      <c r="S114" s="35">
        <f>IF($F114="","",IFERROR(INDEX(사건마스터!$AP$5:$AP$64,MATCH($F114,사건마스터!$A$5:$A$64,0)),""))</f>
        <v/>
      </c>
      <c r="T114" s="35">
        <f>IF($F114="","",IFERROR(INDEX(사건마스터!$AQ$5:$AQ$64,MATCH($F114,사건마스터!$A$5:$A$64,0)),""))</f>
        <v/>
      </c>
      <c r="U114" s="35">
        <f>IF($F114="","",IFERROR(INDEX(사건마스터!$AR$5:$AR$64,MATCH($F114,사건마스터!$A$5:$A$64,0)),""))</f>
        <v/>
      </c>
      <c r="V114" s="35">
        <f>IF($F114="","",IFERROR(INDEX(사건마스터!$AS$5:$AS$64,MATCH($F114,사건마스터!$A$5:$A$64,0)),""))</f>
        <v/>
      </c>
      <c r="W114" s="35">
        <f>IF($F114="","",IFERROR(INDEX(사건마스터!$AT$5:$AT$64,MATCH($F114,사건마스터!$A$5:$A$64,0)),""))</f>
        <v/>
      </c>
      <c r="X114" s="35">
        <f>IF($F114="","",IFERROR(INDEX(사건마스터!$AU$5:$AU$64,MATCH($F114,사건마스터!$A$5:$A$64,0)),""))</f>
        <v/>
      </c>
      <c r="Y114" s="35">
        <f>IF($F114="","",IFERROR(INDEX(사건마스터!$AV$5:$AV$64,MATCH($F114,사건마스터!$A$5:$A$64,0)),""))</f>
        <v/>
      </c>
      <c r="Z114" s="30">
        <f>IF(COUNTBLANK($J114:$Y114)=16,"",16-COUNTBLANK($J114:$Y114))</f>
        <v/>
      </c>
      <c r="AA114" s="33">
        <f>IF($J114="",MID($AX114,3,255),$J114&amp;$AX114)</f>
        <v/>
      </c>
      <c r="AB114" s="34">
        <f>IF($J114="","",IFERROR(INDEX(코드설정!$D$5:$D$24,MATCH($J114,코드설정!$C$5:$C$24,0)),""))</f>
        <v/>
      </c>
      <c r="AC114" s="36" t="n"/>
      <c r="AD114" s="37" t="n"/>
      <c r="AE114" s="38" t="n"/>
      <c r="AF114" s="30">
        <f>IF(OR($B114="",$C114=""),"",$C114-$B114+1)</f>
        <v/>
      </c>
      <c r="AG114" s="32" t="n"/>
      <c r="AH114" s="36" t="n"/>
      <c r="AJ114">
        <f>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  <c r="AX114">
        <f>AW114&amp;IF($Y114="","",", "&amp;$Y114)</f>
        <v/>
      </c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0">
        <f>IF($F115="","",COUNTIF($F$5:$F115,$F115))</f>
        <v/>
      </c>
      <c r="H115" s="33">
        <f>IF($F115="","",IFERROR(INDEX(사건마스터!$B$5:$B$64,MATCH($F115,사건마스터!$A$5:$A$64,0)),""))</f>
        <v/>
      </c>
      <c r="I115" s="34">
        <f>IF($F115="","",IFERROR(INDEX(사건마스터!$C$5:$C$64,MATCH($F115,사건마스터!$A$5:$A$64,0)),""))</f>
        <v/>
      </c>
      <c r="J115" s="35">
        <f>IF($F115="","",IFERROR(INDEX(사건마스터!$H$5:$H$64,MATCH($F115,사건마스터!$A$5:$A$64,0)),""))</f>
        <v/>
      </c>
      <c r="K115" s="35">
        <f>IF($F115="","",IFERROR(INDEX(사건마스터!$AH$5:$AH$64,MATCH($F115,사건마스터!$A$5:$A$64,0)),""))</f>
        <v/>
      </c>
      <c r="L115" s="35">
        <f>IF($F115="","",IFERROR(INDEX(사건마스터!$AI$5:$AI$64,MATCH($F115,사건마스터!$A$5:$A$64,0)),""))</f>
        <v/>
      </c>
      <c r="M115" s="35">
        <f>IF($F115="","",IFERROR(INDEX(사건마스터!$AJ$5:$AJ$64,MATCH($F115,사건마스터!$A$5:$A$64,0)),""))</f>
        <v/>
      </c>
      <c r="N115" s="35">
        <f>IF($F115="","",IFERROR(INDEX(사건마스터!$AK$5:$AK$64,MATCH($F115,사건마스터!$A$5:$A$64,0)),""))</f>
        <v/>
      </c>
      <c r="O115" s="35">
        <f>IF($F115="","",IFERROR(INDEX(사건마스터!$AL$5:$AL$64,MATCH($F115,사건마스터!$A$5:$A$64,0)),""))</f>
        <v/>
      </c>
      <c r="P115" s="35">
        <f>IF($F115="","",IFERROR(INDEX(사건마스터!$AM$5:$AM$64,MATCH($F115,사건마스터!$A$5:$A$64,0)),""))</f>
        <v/>
      </c>
      <c r="Q115" s="35">
        <f>IF($F115="","",IFERROR(INDEX(사건마스터!$AN$5:$AN$64,MATCH($F115,사건마스터!$A$5:$A$64,0)),""))</f>
        <v/>
      </c>
      <c r="R115" s="35">
        <f>IF($F115="","",IFERROR(INDEX(사건마스터!$AO$5:$AO$64,MATCH($F115,사건마스터!$A$5:$A$64,0)),""))</f>
        <v/>
      </c>
      <c r="S115" s="35">
        <f>IF($F115="","",IFERROR(INDEX(사건마스터!$AP$5:$AP$64,MATCH($F115,사건마스터!$A$5:$A$64,0)),""))</f>
        <v/>
      </c>
      <c r="T115" s="35">
        <f>IF($F115="","",IFERROR(INDEX(사건마스터!$AQ$5:$AQ$64,MATCH($F115,사건마스터!$A$5:$A$64,0)),""))</f>
        <v/>
      </c>
      <c r="U115" s="35">
        <f>IF($F115="","",IFERROR(INDEX(사건마스터!$AR$5:$AR$64,MATCH($F115,사건마스터!$A$5:$A$64,0)),""))</f>
        <v/>
      </c>
      <c r="V115" s="35">
        <f>IF($F115="","",IFERROR(INDEX(사건마스터!$AS$5:$AS$64,MATCH($F115,사건마스터!$A$5:$A$64,0)),""))</f>
        <v/>
      </c>
      <c r="W115" s="35">
        <f>IF($F115="","",IFERROR(INDEX(사건마스터!$AT$5:$AT$64,MATCH($F115,사건마스터!$A$5:$A$64,0)),""))</f>
        <v/>
      </c>
      <c r="X115" s="35">
        <f>IF($F115="","",IFERROR(INDEX(사건마스터!$AU$5:$AU$64,MATCH($F115,사건마스터!$A$5:$A$64,0)),""))</f>
        <v/>
      </c>
      <c r="Y115" s="35">
        <f>IF($F115="","",IFERROR(INDEX(사건마스터!$AV$5:$AV$64,MATCH($F115,사건마스터!$A$5:$A$64,0)),""))</f>
        <v/>
      </c>
      <c r="Z115" s="30">
        <f>IF(COUNTBLANK($J115:$Y115)=16,"",16-COUNTBLANK($J115:$Y115))</f>
        <v/>
      </c>
      <c r="AA115" s="33">
        <f>IF($J115="",MID($AX115,3,255),$J115&amp;$AX115)</f>
        <v/>
      </c>
      <c r="AB115" s="34">
        <f>IF($J115="","",IFERROR(INDEX(코드설정!$D$5:$D$24,MATCH($J115,코드설정!$C$5:$C$24,0)),""))</f>
        <v/>
      </c>
      <c r="AC115" s="36" t="n"/>
      <c r="AD115" s="37" t="n"/>
      <c r="AE115" s="38" t="n"/>
      <c r="AF115" s="30">
        <f>IF(OR($B115="",$C115=""),"",$C115-$B115+1)</f>
        <v/>
      </c>
      <c r="AG115" s="32" t="n"/>
      <c r="AH115" s="36" t="n"/>
      <c r="AJ115">
        <f>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  <c r="AX115">
        <f>AW115&amp;IF($Y115="","",", "&amp;$Y115)</f>
        <v/>
      </c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0">
        <f>IF($F116="","",COUNTIF($F$5:$F116,$F116))</f>
        <v/>
      </c>
      <c r="H116" s="33">
        <f>IF($F116="","",IFERROR(INDEX(사건마스터!$B$5:$B$64,MATCH($F116,사건마스터!$A$5:$A$64,0)),""))</f>
        <v/>
      </c>
      <c r="I116" s="34">
        <f>IF($F116="","",IFERROR(INDEX(사건마스터!$C$5:$C$64,MATCH($F116,사건마스터!$A$5:$A$64,0)),""))</f>
        <v/>
      </c>
      <c r="J116" s="35">
        <f>IF($F116="","",IFERROR(INDEX(사건마스터!$H$5:$H$64,MATCH($F116,사건마스터!$A$5:$A$64,0)),""))</f>
        <v/>
      </c>
      <c r="K116" s="35">
        <f>IF($F116="","",IFERROR(INDEX(사건마스터!$AH$5:$AH$64,MATCH($F116,사건마스터!$A$5:$A$64,0)),""))</f>
        <v/>
      </c>
      <c r="L116" s="35">
        <f>IF($F116="","",IFERROR(INDEX(사건마스터!$AI$5:$AI$64,MATCH($F116,사건마스터!$A$5:$A$64,0)),""))</f>
        <v/>
      </c>
      <c r="M116" s="35">
        <f>IF($F116="","",IFERROR(INDEX(사건마스터!$AJ$5:$AJ$64,MATCH($F116,사건마스터!$A$5:$A$64,0)),""))</f>
        <v/>
      </c>
      <c r="N116" s="35">
        <f>IF($F116="","",IFERROR(INDEX(사건마스터!$AK$5:$AK$64,MATCH($F116,사건마스터!$A$5:$A$64,0)),""))</f>
        <v/>
      </c>
      <c r="O116" s="35">
        <f>IF($F116="","",IFERROR(INDEX(사건마스터!$AL$5:$AL$64,MATCH($F116,사건마스터!$A$5:$A$64,0)),""))</f>
        <v/>
      </c>
      <c r="P116" s="35">
        <f>IF($F116="","",IFERROR(INDEX(사건마스터!$AM$5:$AM$64,MATCH($F116,사건마스터!$A$5:$A$64,0)),""))</f>
        <v/>
      </c>
      <c r="Q116" s="35">
        <f>IF($F116="","",IFERROR(INDEX(사건마스터!$AN$5:$AN$64,MATCH($F116,사건마스터!$A$5:$A$64,0)),""))</f>
        <v/>
      </c>
      <c r="R116" s="35">
        <f>IF($F116="","",IFERROR(INDEX(사건마스터!$AO$5:$AO$64,MATCH($F116,사건마스터!$A$5:$A$64,0)),""))</f>
        <v/>
      </c>
      <c r="S116" s="35">
        <f>IF($F116="","",IFERROR(INDEX(사건마스터!$AP$5:$AP$64,MATCH($F116,사건마스터!$A$5:$A$64,0)),""))</f>
        <v/>
      </c>
      <c r="T116" s="35">
        <f>IF($F116="","",IFERROR(INDEX(사건마스터!$AQ$5:$AQ$64,MATCH($F116,사건마스터!$A$5:$A$64,0)),""))</f>
        <v/>
      </c>
      <c r="U116" s="35">
        <f>IF($F116="","",IFERROR(INDEX(사건마스터!$AR$5:$AR$64,MATCH($F116,사건마스터!$A$5:$A$64,0)),""))</f>
        <v/>
      </c>
      <c r="V116" s="35">
        <f>IF($F116="","",IFERROR(INDEX(사건마스터!$AS$5:$AS$64,MATCH($F116,사건마스터!$A$5:$A$64,0)),""))</f>
        <v/>
      </c>
      <c r="W116" s="35">
        <f>IF($F116="","",IFERROR(INDEX(사건마스터!$AT$5:$AT$64,MATCH($F116,사건마스터!$A$5:$A$64,0)),""))</f>
        <v/>
      </c>
      <c r="X116" s="35">
        <f>IF($F116="","",IFERROR(INDEX(사건마스터!$AU$5:$AU$64,MATCH($F116,사건마스터!$A$5:$A$64,0)),""))</f>
        <v/>
      </c>
      <c r="Y116" s="35">
        <f>IF($F116="","",IFERROR(INDEX(사건마스터!$AV$5:$AV$64,MATCH($F116,사건마스터!$A$5:$A$64,0)),""))</f>
        <v/>
      </c>
      <c r="Z116" s="30">
        <f>IF(COUNTBLANK($J116:$Y116)=16,"",16-COUNTBLANK($J116:$Y116))</f>
        <v/>
      </c>
      <c r="AA116" s="33">
        <f>IF($J116="",MID($AX116,3,255),$J116&amp;$AX116)</f>
        <v/>
      </c>
      <c r="AB116" s="34">
        <f>IF($J116="","",IFERROR(INDEX(코드설정!$D$5:$D$24,MATCH($J116,코드설정!$C$5:$C$24,0)),""))</f>
        <v/>
      </c>
      <c r="AC116" s="36" t="n"/>
      <c r="AD116" s="37" t="n"/>
      <c r="AE116" s="38" t="n"/>
      <c r="AF116" s="30">
        <f>IF(OR($B116="",$C116=""),"",$C116-$B116+1)</f>
        <v/>
      </c>
      <c r="AG116" s="32" t="n"/>
      <c r="AH116" s="36" t="n"/>
      <c r="AJ116">
        <f>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  <c r="AX116">
        <f>AW116&amp;IF($Y116="","",", "&amp;$Y116)</f>
        <v/>
      </c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0">
        <f>IF($F117="","",COUNTIF($F$5:$F117,$F117))</f>
        <v/>
      </c>
      <c r="H117" s="33">
        <f>IF($F117="","",IFERROR(INDEX(사건마스터!$B$5:$B$64,MATCH($F117,사건마스터!$A$5:$A$64,0)),""))</f>
        <v/>
      </c>
      <c r="I117" s="34">
        <f>IF($F117="","",IFERROR(INDEX(사건마스터!$C$5:$C$64,MATCH($F117,사건마스터!$A$5:$A$64,0)),""))</f>
        <v/>
      </c>
      <c r="J117" s="35">
        <f>IF($F117="","",IFERROR(INDEX(사건마스터!$H$5:$H$64,MATCH($F117,사건마스터!$A$5:$A$64,0)),""))</f>
        <v/>
      </c>
      <c r="K117" s="35">
        <f>IF($F117="","",IFERROR(INDEX(사건마스터!$AH$5:$AH$64,MATCH($F117,사건마스터!$A$5:$A$64,0)),""))</f>
        <v/>
      </c>
      <c r="L117" s="35">
        <f>IF($F117="","",IFERROR(INDEX(사건마스터!$AI$5:$AI$64,MATCH($F117,사건마스터!$A$5:$A$64,0)),""))</f>
        <v/>
      </c>
      <c r="M117" s="35">
        <f>IF($F117="","",IFERROR(INDEX(사건마스터!$AJ$5:$AJ$64,MATCH($F117,사건마스터!$A$5:$A$64,0)),""))</f>
        <v/>
      </c>
      <c r="N117" s="35">
        <f>IF($F117="","",IFERROR(INDEX(사건마스터!$AK$5:$AK$64,MATCH($F117,사건마스터!$A$5:$A$64,0)),""))</f>
        <v/>
      </c>
      <c r="O117" s="35">
        <f>IF($F117="","",IFERROR(INDEX(사건마스터!$AL$5:$AL$64,MATCH($F117,사건마스터!$A$5:$A$64,0)),""))</f>
        <v/>
      </c>
      <c r="P117" s="35">
        <f>IF($F117="","",IFERROR(INDEX(사건마스터!$AM$5:$AM$64,MATCH($F117,사건마스터!$A$5:$A$64,0)),""))</f>
        <v/>
      </c>
      <c r="Q117" s="35">
        <f>IF($F117="","",IFERROR(INDEX(사건마스터!$AN$5:$AN$64,MATCH($F117,사건마스터!$A$5:$A$64,0)),""))</f>
        <v/>
      </c>
      <c r="R117" s="35">
        <f>IF($F117="","",IFERROR(INDEX(사건마스터!$AO$5:$AO$64,MATCH($F117,사건마스터!$A$5:$A$64,0)),""))</f>
        <v/>
      </c>
      <c r="S117" s="35">
        <f>IF($F117="","",IFERROR(INDEX(사건마스터!$AP$5:$AP$64,MATCH($F117,사건마스터!$A$5:$A$64,0)),""))</f>
        <v/>
      </c>
      <c r="T117" s="35">
        <f>IF($F117="","",IFERROR(INDEX(사건마스터!$AQ$5:$AQ$64,MATCH($F117,사건마스터!$A$5:$A$64,0)),""))</f>
        <v/>
      </c>
      <c r="U117" s="35">
        <f>IF($F117="","",IFERROR(INDEX(사건마스터!$AR$5:$AR$64,MATCH($F117,사건마스터!$A$5:$A$64,0)),""))</f>
        <v/>
      </c>
      <c r="V117" s="35">
        <f>IF($F117="","",IFERROR(INDEX(사건마스터!$AS$5:$AS$64,MATCH($F117,사건마스터!$A$5:$A$64,0)),""))</f>
        <v/>
      </c>
      <c r="W117" s="35">
        <f>IF($F117="","",IFERROR(INDEX(사건마스터!$AT$5:$AT$64,MATCH($F117,사건마스터!$A$5:$A$64,0)),""))</f>
        <v/>
      </c>
      <c r="X117" s="35">
        <f>IF($F117="","",IFERROR(INDEX(사건마스터!$AU$5:$AU$64,MATCH($F117,사건마스터!$A$5:$A$64,0)),""))</f>
        <v/>
      </c>
      <c r="Y117" s="35">
        <f>IF($F117="","",IFERROR(INDEX(사건마스터!$AV$5:$AV$64,MATCH($F117,사건마스터!$A$5:$A$64,0)),""))</f>
        <v/>
      </c>
      <c r="Z117" s="30">
        <f>IF(COUNTBLANK($J117:$Y117)=16,"",16-COUNTBLANK($J117:$Y117))</f>
        <v/>
      </c>
      <c r="AA117" s="33">
        <f>IF($J117="",MID($AX117,3,255),$J117&amp;$AX117)</f>
        <v/>
      </c>
      <c r="AB117" s="34">
        <f>IF($J117="","",IFERROR(INDEX(코드설정!$D$5:$D$24,MATCH($J117,코드설정!$C$5:$C$24,0)),""))</f>
        <v/>
      </c>
      <c r="AC117" s="36" t="n"/>
      <c r="AD117" s="37" t="n"/>
      <c r="AE117" s="38" t="n"/>
      <c r="AF117" s="30">
        <f>IF(OR($B117="",$C117=""),"",$C117-$B117+1)</f>
        <v/>
      </c>
      <c r="AG117" s="32" t="n"/>
      <c r="AH117" s="36" t="n"/>
      <c r="AJ117">
        <f>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  <c r="AX117">
        <f>AW117&amp;IF($Y117="","",", "&amp;$Y117)</f>
        <v/>
      </c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0">
        <f>IF($F118="","",COUNTIF($F$5:$F118,$F118))</f>
        <v/>
      </c>
      <c r="H118" s="33">
        <f>IF($F118="","",IFERROR(INDEX(사건마스터!$B$5:$B$64,MATCH($F118,사건마스터!$A$5:$A$64,0)),""))</f>
        <v/>
      </c>
      <c r="I118" s="34">
        <f>IF($F118="","",IFERROR(INDEX(사건마스터!$C$5:$C$64,MATCH($F118,사건마스터!$A$5:$A$64,0)),""))</f>
        <v/>
      </c>
      <c r="J118" s="35">
        <f>IF($F118="","",IFERROR(INDEX(사건마스터!$H$5:$H$64,MATCH($F118,사건마스터!$A$5:$A$64,0)),""))</f>
        <v/>
      </c>
      <c r="K118" s="35">
        <f>IF($F118="","",IFERROR(INDEX(사건마스터!$AH$5:$AH$64,MATCH($F118,사건마스터!$A$5:$A$64,0)),""))</f>
        <v/>
      </c>
      <c r="L118" s="35">
        <f>IF($F118="","",IFERROR(INDEX(사건마스터!$AI$5:$AI$64,MATCH($F118,사건마스터!$A$5:$A$64,0)),""))</f>
        <v/>
      </c>
      <c r="M118" s="35">
        <f>IF($F118="","",IFERROR(INDEX(사건마스터!$AJ$5:$AJ$64,MATCH($F118,사건마스터!$A$5:$A$64,0)),""))</f>
        <v/>
      </c>
      <c r="N118" s="35">
        <f>IF($F118="","",IFERROR(INDEX(사건마스터!$AK$5:$AK$64,MATCH($F118,사건마스터!$A$5:$A$64,0)),""))</f>
        <v/>
      </c>
      <c r="O118" s="35">
        <f>IF($F118="","",IFERROR(INDEX(사건마스터!$AL$5:$AL$64,MATCH($F118,사건마스터!$A$5:$A$64,0)),""))</f>
        <v/>
      </c>
      <c r="P118" s="35">
        <f>IF($F118="","",IFERROR(INDEX(사건마스터!$AM$5:$AM$64,MATCH($F118,사건마스터!$A$5:$A$64,0)),""))</f>
        <v/>
      </c>
      <c r="Q118" s="35">
        <f>IF($F118="","",IFERROR(INDEX(사건마스터!$AN$5:$AN$64,MATCH($F118,사건마스터!$A$5:$A$64,0)),""))</f>
        <v/>
      </c>
      <c r="R118" s="35">
        <f>IF($F118="","",IFERROR(INDEX(사건마스터!$AO$5:$AO$64,MATCH($F118,사건마스터!$A$5:$A$64,0)),""))</f>
        <v/>
      </c>
      <c r="S118" s="35">
        <f>IF($F118="","",IFERROR(INDEX(사건마스터!$AP$5:$AP$64,MATCH($F118,사건마스터!$A$5:$A$64,0)),""))</f>
        <v/>
      </c>
      <c r="T118" s="35">
        <f>IF($F118="","",IFERROR(INDEX(사건마스터!$AQ$5:$AQ$64,MATCH($F118,사건마스터!$A$5:$A$64,0)),""))</f>
        <v/>
      </c>
      <c r="U118" s="35">
        <f>IF($F118="","",IFERROR(INDEX(사건마스터!$AR$5:$AR$64,MATCH($F118,사건마스터!$A$5:$A$64,0)),""))</f>
        <v/>
      </c>
      <c r="V118" s="35">
        <f>IF($F118="","",IFERROR(INDEX(사건마스터!$AS$5:$AS$64,MATCH($F118,사건마스터!$A$5:$A$64,0)),""))</f>
        <v/>
      </c>
      <c r="W118" s="35">
        <f>IF($F118="","",IFERROR(INDEX(사건마스터!$AT$5:$AT$64,MATCH($F118,사건마스터!$A$5:$A$64,0)),""))</f>
        <v/>
      </c>
      <c r="X118" s="35">
        <f>IF($F118="","",IFERROR(INDEX(사건마스터!$AU$5:$AU$64,MATCH($F118,사건마스터!$A$5:$A$64,0)),""))</f>
        <v/>
      </c>
      <c r="Y118" s="35">
        <f>IF($F118="","",IFERROR(INDEX(사건마스터!$AV$5:$AV$64,MATCH($F118,사건마스터!$A$5:$A$64,0)),""))</f>
        <v/>
      </c>
      <c r="Z118" s="30">
        <f>IF(COUNTBLANK($J118:$Y118)=16,"",16-COUNTBLANK($J118:$Y118))</f>
        <v/>
      </c>
      <c r="AA118" s="33">
        <f>IF($J118="",MID($AX118,3,255),$J118&amp;$AX118)</f>
        <v/>
      </c>
      <c r="AB118" s="34">
        <f>IF($J118="","",IFERROR(INDEX(코드설정!$D$5:$D$24,MATCH($J118,코드설정!$C$5:$C$24,0)),""))</f>
        <v/>
      </c>
      <c r="AC118" s="36" t="n"/>
      <c r="AD118" s="37" t="n"/>
      <c r="AE118" s="38" t="n"/>
      <c r="AF118" s="30">
        <f>IF(OR($B118="",$C118=""),"",$C118-$B118+1)</f>
        <v/>
      </c>
      <c r="AG118" s="32" t="n"/>
      <c r="AH118" s="36" t="n"/>
      <c r="AJ118">
        <f>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  <c r="AX118">
        <f>AW118&amp;IF($Y118="","",", "&amp;$Y118)</f>
        <v/>
      </c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0">
        <f>IF($F119="","",COUNTIF($F$5:$F119,$F119))</f>
        <v/>
      </c>
      <c r="H119" s="33">
        <f>IF($F119="","",IFERROR(INDEX(사건마스터!$B$5:$B$64,MATCH($F119,사건마스터!$A$5:$A$64,0)),""))</f>
        <v/>
      </c>
      <c r="I119" s="34">
        <f>IF($F119="","",IFERROR(INDEX(사건마스터!$C$5:$C$64,MATCH($F119,사건마스터!$A$5:$A$64,0)),""))</f>
        <v/>
      </c>
      <c r="J119" s="35">
        <f>IF($F119="","",IFERROR(INDEX(사건마스터!$H$5:$H$64,MATCH($F119,사건마스터!$A$5:$A$64,0)),""))</f>
        <v/>
      </c>
      <c r="K119" s="35">
        <f>IF($F119="","",IFERROR(INDEX(사건마스터!$AH$5:$AH$64,MATCH($F119,사건마스터!$A$5:$A$64,0)),""))</f>
        <v/>
      </c>
      <c r="L119" s="35">
        <f>IF($F119="","",IFERROR(INDEX(사건마스터!$AI$5:$AI$64,MATCH($F119,사건마스터!$A$5:$A$64,0)),""))</f>
        <v/>
      </c>
      <c r="M119" s="35">
        <f>IF($F119="","",IFERROR(INDEX(사건마스터!$AJ$5:$AJ$64,MATCH($F119,사건마스터!$A$5:$A$64,0)),""))</f>
        <v/>
      </c>
      <c r="N119" s="35">
        <f>IF($F119="","",IFERROR(INDEX(사건마스터!$AK$5:$AK$64,MATCH($F119,사건마스터!$A$5:$A$64,0)),""))</f>
        <v/>
      </c>
      <c r="O119" s="35">
        <f>IF($F119="","",IFERROR(INDEX(사건마스터!$AL$5:$AL$64,MATCH($F119,사건마스터!$A$5:$A$64,0)),""))</f>
        <v/>
      </c>
      <c r="P119" s="35">
        <f>IF($F119="","",IFERROR(INDEX(사건마스터!$AM$5:$AM$64,MATCH($F119,사건마스터!$A$5:$A$64,0)),""))</f>
        <v/>
      </c>
      <c r="Q119" s="35">
        <f>IF($F119="","",IFERROR(INDEX(사건마스터!$AN$5:$AN$64,MATCH($F119,사건마스터!$A$5:$A$64,0)),""))</f>
        <v/>
      </c>
      <c r="R119" s="35">
        <f>IF($F119="","",IFERROR(INDEX(사건마스터!$AO$5:$AO$64,MATCH($F119,사건마스터!$A$5:$A$64,0)),""))</f>
        <v/>
      </c>
      <c r="S119" s="35">
        <f>IF($F119="","",IFERROR(INDEX(사건마스터!$AP$5:$AP$64,MATCH($F119,사건마스터!$A$5:$A$64,0)),""))</f>
        <v/>
      </c>
      <c r="T119" s="35">
        <f>IF($F119="","",IFERROR(INDEX(사건마스터!$AQ$5:$AQ$64,MATCH($F119,사건마스터!$A$5:$A$64,0)),""))</f>
        <v/>
      </c>
      <c r="U119" s="35">
        <f>IF($F119="","",IFERROR(INDEX(사건마스터!$AR$5:$AR$64,MATCH($F119,사건마스터!$A$5:$A$64,0)),""))</f>
        <v/>
      </c>
      <c r="V119" s="35">
        <f>IF($F119="","",IFERROR(INDEX(사건마스터!$AS$5:$AS$64,MATCH($F119,사건마스터!$A$5:$A$64,0)),""))</f>
        <v/>
      </c>
      <c r="W119" s="35">
        <f>IF($F119="","",IFERROR(INDEX(사건마스터!$AT$5:$AT$64,MATCH($F119,사건마스터!$A$5:$A$64,0)),""))</f>
        <v/>
      </c>
      <c r="X119" s="35">
        <f>IF($F119="","",IFERROR(INDEX(사건마스터!$AU$5:$AU$64,MATCH($F119,사건마스터!$A$5:$A$64,0)),""))</f>
        <v/>
      </c>
      <c r="Y119" s="35">
        <f>IF($F119="","",IFERROR(INDEX(사건마스터!$AV$5:$AV$64,MATCH($F119,사건마스터!$A$5:$A$64,0)),""))</f>
        <v/>
      </c>
      <c r="Z119" s="30">
        <f>IF(COUNTBLANK($J119:$Y119)=16,"",16-COUNTBLANK($J119:$Y119))</f>
        <v/>
      </c>
      <c r="AA119" s="33">
        <f>IF($J119="",MID($AX119,3,255),$J119&amp;$AX119)</f>
        <v/>
      </c>
      <c r="AB119" s="34">
        <f>IF($J119="","",IFERROR(INDEX(코드설정!$D$5:$D$24,MATCH($J119,코드설정!$C$5:$C$24,0)),""))</f>
        <v/>
      </c>
      <c r="AC119" s="36" t="n"/>
      <c r="AD119" s="37" t="n"/>
      <c r="AE119" s="38" t="n"/>
      <c r="AF119" s="30">
        <f>IF(OR($B119="",$C119=""),"",$C119-$B119+1)</f>
        <v/>
      </c>
      <c r="AG119" s="32" t="n"/>
      <c r="AH119" s="36" t="n"/>
      <c r="AJ119">
        <f>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  <c r="AX119">
        <f>AW119&amp;IF($Y119="","",", "&amp;$Y119)</f>
        <v/>
      </c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0">
        <f>IF($F120="","",COUNTIF($F$5:$F120,$F120))</f>
        <v/>
      </c>
      <c r="H120" s="33">
        <f>IF($F120="","",IFERROR(INDEX(사건마스터!$B$5:$B$64,MATCH($F120,사건마스터!$A$5:$A$64,0)),""))</f>
        <v/>
      </c>
      <c r="I120" s="34">
        <f>IF($F120="","",IFERROR(INDEX(사건마스터!$C$5:$C$64,MATCH($F120,사건마스터!$A$5:$A$64,0)),""))</f>
        <v/>
      </c>
      <c r="J120" s="35">
        <f>IF($F120="","",IFERROR(INDEX(사건마스터!$H$5:$H$64,MATCH($F120,사건마스터!$A$5:$A$64,0)),""))</f>
        <v/>
      </c>
      <c r="K120" s="35">
        <f>IF($F120="","",IFERROR(INDEX(사건마스터!$AH$5:$AH$64,MATCH($F120,사건마스터!$A$5:$A$64,0)),""))</f>
        <v/>
      </c>
      <c r="L120" s="35">
        <f>IF($F120="","",IFERROR(INDEX(사건마스터!$AI$5:$AI$64,MATCH($F120,사건마스터!$A$5:$A$64,0)),""))</f>
        <v/>
      </c>
      <c r="M120" s="35">
        <f>IF($F120="","",IFERROR(INDEX(사건마스터!$AJ$5:$AJ$64,MATCH($F120,사건마스터!$A$5:$A$64,0)),""))</f>
        <v/>
      </c>
      <c r="N120" s="35">
        <f>IF($F120="","",IFERROR(INDEX(사건마스터!$AK$5:$AK$64,MATCH($F120,사건마스터!$A$5:$A$64,0)),""))</f>
        <v/>
      </c>
      <c r="O120" s="35">
        <f>IF($F120="","",IFERROR(INDEX(사건마스터!$AL$5:$AL$64,MATCH($F120,사건마스터!$A$5:$A$64,0)),""))</f>
        <v/>
      </c>
      <c r="P120" s="35">
        <f>IF($F120="","",IFERROR(INDEX(사건마스터!$AM$5:$AM$64,MATCH($F120,사건마스터!$A$5:$A$64,0)),""))</f>
        <v/>
      </c>
      <c r="Q120" s="35">
        <f>IF($F120="","",IFERROR(INDEX(사건마스터!$AN$5:$AN$64,MATCH($F120,사건마스터!$A$5:$A$64,0)),""))</f>
        <v/>
      </c>
      <c r="R120" s="35">
        <f>IF($F120="","",IFERROR(INDEX(사건마스터!$AO$5:$AO$64,MATCH($F120,사건마스터!$A$5:$A$64,0)),""))</f>
        <v/>
      </c>
      <c r="S120" s="35">
        <f>IF($F120="","",IFERROR(INDEX(사건마스터!$AP$5:$AP$64,MATCH($F120,사건마스터!$A$5:$A$64,0)),""))</f>
        <v/>
      </c>
      <c r="T120" s="35">
        <f>IF($F120="","",IFERROR(INDEX(사건마스터!$AQ$5:$AQ$64,MATCH($F120,사건마스터!$A$5:$A$64,0)),""))</f>
        <v/>
      </c>
      <c r="U120" s="35">
        <f>IF($F120="","",IFERROR(INDEX(사건마스터!$AR$5:$AR$64,MATCH($F120,사건마스터!$A$5:$A$64,0)),""))</f>
        <v/>
      </c>
      <c r="V120" s="35">
        <f>IF($F120="","",IFERROR(INDEX(사건마스터!$AS$5:$AS$64,MATCH($F120,사건마스터!$A$5:$A$64,0)),""))</f>
        <v/>
      </c>
      <c r="W120" s="35">
        <f>IF($F120="","",IFERROR(INDEX(사건마스터!$AT$5:$AT$64,MATCH($F120,사건마스터!$A$5:$A$64,0)),""))</f>
        <v/>
      </c>
      <c r="X120" s="35">
        <f>IF($F120="","",IFERROR(INDEX(사건마스터!$AU$5:$AU$64,MATCH($F120,사건마스터!$A$5:$A$64,0)),""))</f>
        <v/>
      </c>
      <c r="Y120" s="35">
        <f>IF($F120="","",IFERROR(INDEX(사건마스터!$AV$5:$AV$64,MATCH($F120,사건마스터!$A$5:$A$64,0)),""))</f>
        <v/>
      </c>
      <c r="Z120" s="30">
        <f>IF(COUNTBLANK($J120:$Y120)=16,"",16-COUNTBLANK($J120:$Y120))</f>
        <v/>
      </c>
      <c r="AA120" s="33">
        <f>IF($J120="",MID($AX120,3,255),$J120&amp;$AX120)</f>
        <v/>
      </c>
      <c r="AB120" s="34">
        <f>IF($J120="","",IFERROR(INDEX(코드설정!$D$5:$D$24,MATCH($J120,코드설정!$C$5:$C$24,0)),""))</f>
        <v/>
      </c>
      <c r="AC120" s="36" t="n"/>
      <c r="AD120" s="37" t="n"/>
      <c r="AE120" s="38" t="n"/>
      <c r="AF120" s="30">
        <f>IF(OR($B120="",$C120=""),"",$C120-$B120+1)</f>
        <v/>
      </c>
      <c r="AG120" s="32" t="n"/>
      <c r="AH120" s="36" t="n"/>
      <c r="AJ120">
        <f>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  <c r="AX120">
        <f>AW120&amp;IF($Y120="","",", "&amp;$Y120)</f>
        <v/>
      </c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0">
        <f>IF($F121="","",COUNTIF($F$5:$F121,$F121))</f>
        <v/>
      </c>
      <c r="H121" s="33">
        <f>IF($F121="","",IFERROR(INDEX(사건마스터!$B$5:$B$64,MATCH($F121,사건마스터!$A$5:$A$64,0)),""))</f>
        <v/>
      </c>
      <c r="I121" s="34">
        <f>IF($F121="","",IFERROR(INDEX(사건마스터!$C$5:$C$64,MATCH($F121,사건마스터!$A$5:$A$64,0)),""))</f>
        <v/>
      </c>
      <c r="J121" s="35">
        <f>IF($F121="","",IFERROR(INDEX(사건마스터!$H$5:$H$64,MATCH($F121,사건마스터!$A$5:$A$64,0)),""))</f>
        <v/>
      </c>
      <c r="K121" s="35">
        <f>IF($F121="","",IFERROR(INDEX(사건마스터!$AH$5:$AH$64,MATCH($F121,사건마스터!$A$5:$A$64,0)),""))</f>
        <v/>
      </c>
      <c r="L121" s="35">
        <f>IF($F121="","",IFERROR(INDEX(사건마스터!$AI$5:$AI$64,MATCH($F121,사건마스터!$A$5:$A$64,0)),""))</f>
        <v/>
      </c>
      <c r="M121" s="35">
        <f>IF($F121="","",IFERROR(INDEX(사건마스터!$AJ$5:$AJ$64,MATCH($F121,사건마스터!$A$5:$A$64,0)),""))</f>
        <v/>
      </c>
      <c r="N121" s="35">
        <f>IF($F121="","",IFERROR(INDEX(사건마스터!$AK$5:$AK$64,MATCH($F121,사건마스터!$A$5:$A$64,0)),""))</f>
        <v/>
      </c>
      <c r="O121" s="35">
        <f>IF($F121="","",IFERROR(INDEX(사건마스터!$AL$5:$AL$64,MATCH($F121,사건마스터!$A$5:$A$64,0)),""))</f>
        <v/>
      </c>
      <c r="P121" s="35">
        <f>IF($F121="","",IFERROR(INDEX(사건마스터!$AM$5:$AM$64,MATCH($F121,사건마스터!$A$5:$A$64,0)),""))</f>
        <v/>
      </c>
      <c r="Q121" s="35">
        <f>IF($F121="","",IFERROR(INDEX(사건마스터!$AN$5:$AN$64,MATCH($F121,사건마스터!$A$5:$A$64,0)),""))</f>
        <v/>
      </c>
      <c r="R121" s="35">
        <f>IF($F121="","",IFERROR(INDEX(사건마스터!$AO$5:$AO$64,MATCH($F121,사건마스터!$A$5:$A$64,0)),""))</f>
        <v/>
      </c>
      <c r="S121" s="35">
        <f>IF($F121="","",IFERROR(INDEX(사건마스터!$AP$5:$AP$64,MATCH($F121,사건마스터!$A$5:$A$64,0)),""))</f>
        <v/>
      </c>
      <c r="T121" s="35">
        <f>IF($F121="","",IFERROR(INDEX(사건마스터!$AQ$5:$AQ$64,MATCH($F121,사건마스터!$A$5:$A$64,0)),""))</f>
        <v/>
      </c>
      <c r="U121" s="35">
        <f>IF($F121="","",IFERROR(INDEX(사건마스터!$AR$5:$AR$64,MATCH($F121,사건마스터!$A$5:$A$64,0)),""))</f>
        <v/>
      </c>
      <c r="V121" s="35">
        <f>IF($F121="","",IFERROR(INDEX(사건마스터!$AS$5:$AS$64,MATCH($F121,사건마스터!$A$5:$A$64,0)),""))</f>
        <v/>
      </c>
      <c r="W121" s="35">
        <f>IF($F121="","",IFERROR(INDEX(사건마스터!$AT$5:$AT$64,MATCH($F121,사건마스터!$A$5:$A$64,0)),""))</f>
        <v/>
      </c>
      <c r="X121" s="35">
        <f>IF($F121="","",IFERROR(INDEX(사건마스터!$AU$5:$AU$64,MATCH($F121,사건마스터!$A$5:$A$64,0)),""))</f>
        <v/>
      </c>
      <c r="Y121" s="35">
        <f>IF($F121="","",IFERROR(INDEX(사건마스터!$AV$5:$AV$64,MATCH($F121,사건마스터!$A$5:$A$64,0)),""))</f>
        <v/>
      </c>
      <c r="Z121" s="30">
        <f>IF(COUNTBLANK($J121:$Y121)=16,"",16-COUNTBLANK($J121:$Y121))</f>
        <v/>
      </c>
      <c r="AA121" s="33">
        <f>IF($J121="",MID($AX121,3,255),$J121&amp;$AX121)</f>
        <v/>
      </c>
      <c r="AB121" s="34">
        <f>IF($J121="","",IFERROR(INDEX(코드설정!$D$5:$D$24,MATCH($J121,코드설정!$C$5:$C$24,0)),""))</f>
        <v/>
      </c>
      <c r="AC121" s="36" t="n"/>
      <c r="AD121" s="37" t="n"/>
      <c r="AE121" s="38" t="n"/>
      <c r="AF121" s="30">
        <f>IF(OR($B121="",$C121=""),"",$C121-$B121+1)</f>
        <v/>
      </c>
      <c r="AG121" s="32" t="n"/>
      <c r="AH121" s="36" t="n"/>
      <c r="AJ121">
        <f>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  <c r="AX121">
        <f>AW121&amp;IF($Y121="","",", "&amp;$Y121)</f>
        <v/>
      </c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0">
        <f>IF($F122="","",COUNTIF($F$5:$F122,$F122))</f>
        <v/>
      </c>
      <c r="H122" s="33">
        <f>IF($F122="","",IFERROR(INDEX(사건마스터!$B$5:$B$64,MATCH($F122,사건마스터!$A$5:$A$64,0)),""))</f>
        <v/>
      </c>
      <c r="I122" s="34">
        <f>IF($F122="","",IFERROR(INDEX(사건마스터!$C$5:$C$64,MATCH($F122,사건마스터!$A$5:$A$64,0)),""))</f>
        <v/>
      </c>
      <c r="J122" s="35">
        <f>IF($F122="","",IFERROR(INDEX(사건마스터!$H$5:$H$64,MATCH($F122,사건마스터!$A$5:$A$64,0)),""))</f>
        <v/>
      </c>
      <c r="K122" s="35">
        <f>IF($F122="","",IFERROR(INDEX(사건마스터!$AH$5:$AH$64,MATCH($F122,사건마스터!$A$5:$A$64,0)),""))</f>
        <v/>
      </c>
      <c r="L122" s="35">
        <f>IF($F122="","",IFERROR(INDEX(사건마스터!$AI$5:$AI$64,MATCH($F122,사건마스터!$A$5:$A$64,0)),""))</f>
        <v/>
      </c>
      <c r="M122" s="35">
        <f>IF($F122="","",IFERROR(INDEX(사건마스터!$AJ$5:$AJ$64,MATCH($F122,사건마스터!$A$5:$A$64,0)),""))</f>
        <v/>
      </c>
      <c r="N122" s="35">
        <f>IF($F122="","",IFERROR(INDEX(사건마스터!$AK$5:$AK$64,MATCH($F122,사건마스터!$A$5:$A$64,0)),""))</f>
        <v/>
      </c>
      <c r="O122" s="35">
        <f>IF($F122="","",IFERROR(INDEX(사건마스터!$AL$5:$AL$64,MATCH($F122,사건마스터!$A$5:$A$64,0)),""))</f>
        <v/>
      </c>
      <c r="P122" s="35">
        <f>IF($F122="","",IFERROR(INDEX(사건마스터!$AM$5:$AM$64,MATCH($F122,사건마스터!$A$5:$A$64,0)),""))</f>
        <v/>
      </c>
      <c r="Q122" s="35">
        <f>IF($F122="","",IFERROR(INDEX(사건마스터!$AN$5:$AN$64,MATCH($F122,사건마스터!$A$5:$A$64,0)),""))</f>
        <v/>
      </c>
      <c r="R122" s="35">
        <f>IF($F122="","",IFERROR(INDEX(사건마스터!$AO$5:$AO$64,MATCH($F122,사건마스터!$A$5:$A$64,0)),""))</f>
        <v/>
      </c>
      <c r="S122" s="35">
        <f>IF($F122="","",IFERROR(INDEX(사건마스터!$AP$5:$AP$64,MATCH($F122,사건마스터!$A$5:$A$64,0)),""))</f>
        <v/>
      </c>
      <c r="T122" s="35">
        <f>IF($F122="","",IFERROR(INDEX(사건마스터!$AQ$5:$AQ$64,MATCH($F122,사건마스터!$A$5:$A$64,0)),""))</f>
        <v/>
      </c>
      <c r="U122" s="35">
        <f>IF($F122="","",IFERROR(INDEX(사건마스터!$AR$5:$AR$64,MATCH($F122,사건마스터!$A$5:$A$64,0)),""))</f>
        <v/>
      </c>
      <c r="V122" s="35">
        <f>IF($F122="","",IFERROR(INDEX(사건마스터!$AS$5:$AS$64,MATCH($F122,사건마스터!$A$5:$A$64,0)),""))</f>
        <v/>
      </c>
      <c r="W122" s="35">
        <f>IF($F122="","",IFERROR(INDEX(사건마스터!$AT$5:$AT$64,MATCH($F122,사건마스터!$A$5:$A$64,0)),""))</f>
        <v/>
      </c>
      <c r="X122" s="35">
        <f>IF($F122="","",IFERROR(INDEX(사건마스터!$AU$5:$AU$64,MATCH($F122,사건마스터!$A$5:$A$64,0)),""))</f>
        <v/>
      </c>
      <c r="Y122" s="35">
        <f>IF($F122="","",IFERROR(INDEX(사건마스터!$AV$5:$AV$64,MATCH($F122,사건마스터!$A$5:$A$64,0)),""))</f>
        <v/>
      </c>
      <c r="Z122" s="30">
        <f>IF(COUNTBLANK($J122:$Y122)=16,"",16-COUNTBLANK($J122:$Y122))</f>
        <v/>
      </c>
      <c r="AA122" s="33">
        <f>IF($J122="",MID($AX122,3,255),$J122&amp;$AX122)</f>
        <v/>
      </c>
      <c r="AB122" s="34">
        <f>IF($J122="","",IFERROR(INDEX(코드설정!$D$5:$D$24,MATCH($J122,코드설정!$C$5:$C$24,0)),""))</f>
        <v/>
      </c>
      <c r="AC122" s="36" t="n"/>
      <c r="AD122" s="37" t="n"/>
      <c r="AE122" s="38" t="n"/>
      <c r="AF122" s="30">
        <f>IF(OR($B122="",$C122=""),"",$C122-$B122+1)</f>
        <v/>
      </c>
      <c r="AG122" s="32" t="n"/>
      <c r="AH122" s="36" t="n"/>
      <c r="AJ122">
        <f>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  <c r="AX122">
        <f>AW122&amp;IF($Y122="","",", "&amp;$Y122)</f>
        <v/>
      </c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0">
        <f>IF($F123="","",COUNTIF($F$5:$F123,$F123))</f>
        <v/>
      </c>
      <c r="H123" s="33">
        <f>IF($F123="","",IFERROR(INDEX(사건마스터!$B$5:$B$64,MATCH($F123,사건마스터!$A$5:$A$64,0)),""))</f>
        <v/>
      </c>
      <c r="I123" s="34">
        <f>IF($F123="","",IFERROR(INDEX(사건마스터!$C$5:$C$64,MATCH($F123,사건마스터!$A$5:$A$64,0)),""))</f>
        <v/>
      </c>
      <c r="J123" s="35">
        <f>IF($F123="","",IFERROR(INDEX(사건마스터!$H$5:$H$64,MATCH($F123,사건마스터!$A$5:$A$64,0)),""))</f>
        <v/>
      </c>
      <c r="K123" s="35">
        <f>IF($F123="","",IFERROR(INDEX(사건마스터!$AH$5:$AH$64,MATCH($F123,사건마스터!$A$5:$A$64,0)),""))</f>
        <v/>
      </c>
      <c r="L123" s="35">
        <f>IF($F123="","",IFERROR(INDEX(사건마스터!$AI$5:$AI$64,MATCH($F123,사건마스터!$A$5:$A$64,0)),""))</f>
        <v/>
      </c>
      <c r="M123" s="35">
        <f>IF($F123="","",IFERROR(INDEX(사건마스터!$AJ$5:$AJ$64,MATCH($F123,사건마스터!$A$5:$A$64,0)),""))</f>
        <v/>
      </c>
      <c r="N123" s="35">
        <f>IF($F123="","",IFERROR(INDEX(사건마스터!$AK$5:$AK$64,MATCH($F123,사건마스터!$A$5:$A$64,0)),""))</f>
        <v/>
      </c>
      <c r="O123" s="35">
        <f>IF($F123="","",IFERROR(INDEX(사건마스터!$AL$5:$AL$64,MATCH($F123,사건마스터!$A$5:$A$64,0)),""))</f>
        <v/>
      </c>
      <c r="P123" s="35">
        <f>IF($F123="","",IFERROR(INDEX(사건마스터!$AM$5:$AM$64,MATCH($F123,사건마스터!$A$5:$A$64,0)),""))</f>
        <v/>
      </c>
      <c r="Q123" s="35">
        <f>IF($F123="","",IFERROR(INDEX(사건마스터!$AN$5:$AN$64,MATCH($F123,사건마스터!$A$5:$A$64,0)),""))</f>
        <v/>
      </c>
      <c r="R123" s="35">
        <f>IF($F123="","",IFERROR(INDEX(사건마스터!$AO$5:$AO$64,MATCH($F123,사건마스터!$A$5:$A$64,0)),""))</f>
        <v/>
      </c>
      <c r="S123" s="35">
        <f>IF($F123="","",IFERROR(INDEX(사건마스터!$AP$5:$AP$64,MATCH($F123,사건마스터!$A$5:$A$64,0)),""))</f>
        <v/>
      </c>
      <c r="T123" s="35">
        <f>IF($F123="","",IFERROR(INDEX(사건마스터!$AQ$5:$AQ$64,MATCH($F123,사건마스터!$A$5:$A$64,0)),""))</f>
        <v/>
      </c>
      <c r="U123" s="35">
        <f>IF($F123="","",IFERROR(INDEX(사건마스터!$AR$5:$AR$64,MATCH($F123,사건마스터!$A$5:$A$64,0)),""))</f>
        <v/>
      </c>
      <c r="V123" s="35">
        <f>IF($F123="","",IFERROR(INDEX(사건마스터!$AS$5:$AS$64,MATCH($F123,사건마스터!$A$5:$A$64,0)),""))</f>
        <v/>
      </c>
      <c r="W123" s="35">
        <f>IF($F123="","",IFERROR(INDEX(사건마스터!$AT$5:$AT$64,MATCH($F123,사건마스터!$A$5:$A$64,0)),""))</f>
        <v/>
      </c>
      <c r="X123" s="35">
        <f>IF($F123="","",IFERROR(INDEX(사건마스터!$AU$5:$AU$64,MATCH($F123,사건마스터!$A$5:$A$64,0)),""))</f>
        <v/>
      </c>
      <c r="Y123" s="35">
        <f>IF($F123="","",IFERROR(INDEX(사건마스터!$AV$5:$AV$64,MATCH($F123,사건마스터!$A$5:$A$64,0)),""))</f>
        <v/>
      </c>
      <c r="Z123" s="30">
        <f>IF(COUNTBLANK($J123:$Y123)=16,"",16-COUNTBLANK($J123:$Y123))</f>
        <v/>
      </c>
      <c r="AA123" s="33">
        <f>IF($J123="",MID($AX123,3,255),$J123&amp;$AX123)</f>
        <v/>
      </c>
      <c r="AB123" s="34">
        <f>IF($J123="","",IFERROR(INDEX(코드설정!$D$5:$D$24,MATCH($J123,코드설정!$C$5:$C$24,0)),""))</f>
        <v/>
      </c>
      <c r="AC123" s="36" t="n"/>
      <c r="AD123" s="37" t="n"/>
      <c r="AE123" s="38" t="n"/>
      <c r="AF123" s="30">
        <f>IF(OR($B123="",$C123=""),"",$C123-$B123+1)</f>
        <v/>
      </c>
      <c r="AG123" s="32" t="n"/>
      <c r="AH123" s="36" t="n"/>
      <c r="AJ123">
        <f>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  <c r="AX123">
        <f>AW123&amp;IF($Y123="","",", "&amp;$Y123)</f>
        <v/>
      </c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0">
        <f>IF($F124="","",COUNTIF($F$5:$F124,$F124))</f>
        <v/>
      </c>
      <c r="H124" s="33">
        <f>IF($F124="","",IFERROR(INDEX(사건마스터!$B$5:$B$64,MATCH($F124,사건마스터!$A$5:$A$64,0)),""))</f>
        <v/>
      </c>
      <c r="I124" s="34">
        <f>IF($F124="","",IFERROR(INDEX(사건마스터!$C$5:$C$64,MATCH($F124,사건마스터!$A$5:$A$64,0)),""))</f>
        <v/>
      </c>
      <c r="J124" s="35">
        <f>IF($F124="","",IFERROR(INDEX(사건마스터!$H$5:$H$64,MATCH($F124,사건마스터!$A$5:$A$64,0)),""))</f>
        <v/>
      </c>
      <c r="K124" s="35">
        <f>IF($F124="","",IFERROR(INDEX(사건마스터!$AH$5:$AH$64,MATCH($F124,사건마스터!$A$5:$A$64,0)),""))</f>
        <v/>
      </c>
      <c r="L124" s="35">
        <f>IF($F124="","",IFERROR(INDEX(사건마스터!$AI$5:$AI$64,MATCH($F124,사건마스터!$A$5:$A$64,0)),""))</f>
        <v/>
      </c>
      <c r="M124" s="35">
        <f>IF($F124="","",IFERROR(INDEX(사건마스터!$AJ$5:$AJ$64,MATCH($F124,사건마스터!$A$5:$A$64,0)),""))</f>
        <v/>
      </c>
      <c r="N124" s="35">
        <f>IF($F124="","",IFERROR(INDEX(사건마스터!$AK$5:$AK$64,MATCH($F124,사건마스터!$A$5:$A$64,0)),""))</f>
        <v/>
      </c>
      <c r="O124" s="35">
        <f>IF($F124="","",IFERROR(INDEX(사건마스터!$AL$5:$AL$64,MATCH($F124,사건마스터!$A$5:$A$64,0)),""))</f>
        <v/>
      </c>
      <c r="P124" s="35">
        <f>IF($F124="","",IFERROR(INDEX(사건마스터!$AM$5:$AM$64,MATCH($F124,사건마스터!$A$5:$A$64,0)),""))</f>
        <v/>
      </c>
      <c r="Q124" s="35">
        <f>IF($F124="","",IFERROR(INDEX(사건마스터!$AN$5:$AN$64,MATCH($F124,사건마스터!$A$5:$A$64,0)),""))</f>
        <v/>
      </c>
      <c r="R124" s="35">
        <f>IF($F124="","",IFERROR(INDEX(사건마스터!$AO$5:$AO$64,MATCH($F124,사건마스터!$A$5:$A$64,0)),""))</f>
        <v/>
      </c>
      <c r="S124" s="35">
        <f>IF($F124="","",IFERROR(INDEX(사건마스터!$AP$5:$AP$64,MATCH($F124,사건마스터!$A$5:$A$64,0)),""))</f>
        <v/>
      </c>
      <c r="T124" s="35">
        <f>IF($F124="","",IFERROR(INDEX(사건마스터!$AQ$5:$AQ$64,MATCH($F124,사건마스터!$A$5:$A$64,0)),""))</f>
        <v/>
      </c>
      <c r="U124" s="35">
        <f>IF($F124="","",IFERROR(INDEX(사건마스터!$AR$5:$AR$64,MATCH($F124,사건마스터!$A$5:$A$64,0)),""))</f>
        <v/>
      </c>
      <c r="V124" s="35">
        <f>IF($F124="","",IFERROR(INDEX(사건마스터!$AS$5:$AS$64,MATCH($F124,사건마스터!$A$5:$A$64,0)),""))</f>
        <v/>
      </c>
      <c r="W124" s="35">
        <f>IF($F124="","",IFERROR(INDEX(사건마스터!$AT$5:$AT$64,MATCH($F124,사건마스터!$A$5:$A$64,0)),""))</f>
        <v/>
      </c>
      <c r="X124" s="35">
        <f>IF($F124="","",IFERROR(INDEX(사건마스터!$AU$5:$AU$64,MATCH($F124,사건마스터!$A$5:$A$64,0)),""))</f>
        <v/>
      </c>
      <c r="Y124" s="35">
        <f>IF($F124="","",IFERROR(INDEX(사건마스터!$AV$5:$AV$64,MATCH($F124,사건마스터!$A$5:$A$64,0)),""))</f>
        <v/>
      </c>
      <c r="Z124" s="30">
        <f>IF(COUNTBLANK($J124:$Y124)=16,"",16-COUNTBLANK($J124:$Y124))</f>
        <v/>
      </c>
      <c r="AA124" s="33">
        <f>IF($J124="",MID($AX124,3,255),$J124&amp;$AX124)</f>
        <v/>
      </c>
      <c r="AB124" s="34">
        <f>IF($J124="","",IFERROR(INDEX(코드설정!$D$5:$D$24,MATCH($J124,코드설정!$C$5:$C$24,0)),""))</f>
        <v/>
      </c>
      <c r="AC124" s="36" t="n"/>
      <c r="AD124" s="37" t="n"/>
      <c r="AE124" s="38" t="n"/>
      <c r="AF124" s="30">
        <f>IF(OR($B124="",$C124=""),"",$C124-$B124+1)</f>
        <v/>
      </c>
      <c r="AG124" s="32" t="n"/>
      <c r="AH124" s="36" t="n"/>
      <c r="AJ124">
        <f>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  <c r="AX124">
        <f>AW124&amp;IF($Y124="","",", "&amp;$Y124)</f>
        <v/>
      </c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0">
        <f>IF($F125="","",COUNTIF($F$5:$F125,$F125))</f>
        <v/>
      </c>
      <c r="H125" s="33">
        <f>IF($F125="","",IFERROR(INDEX(사건마스터!$B$5:$B$64,MATCH($F125,사건마스터!$A$5:$A$64,0)),""))</f>
        <v/>
      </c>
      <c r="I125" s="34">
        <f>IF($F125="","",IFERROR(INDEX(사건마스터!$C$5:$C$64,MATCH($F125,사건마스터!$A$5:$A$64,0)),""))</f>
        <v/>
      </c>
      <c r="J125" s="35">
        <f>IF($F125="","",IFERROR(INDEX(사건마스터!$H$5:$H$64,MATCH($F125,사건마스터!$A$5:$A$64,0)),""))</f>
        <v/>
      </c>
      <c r="K125" s="35">
        <f>IF($F125="","",IFERROR(INDEX(사건마스터!$AH$5:$AH$64,MATCH($F125,사건마스터!$A$5:$A$64,0)),""))</f>
        <v/>
      </c>
      <c r="L125" s="35">
        <f>IF($F125="","",IFERROR(INDEX(사건마스터!$AI$5:$AI$64,MATCH($F125,사건마스터!$A$5:$A$64,0)),""))</f>
        <v/>
      </c>
      <c r="M125" s="35">
        <f>IF($F125="","",IFERROR(INDEX(사건마스터!$AJ$5:$AJ$64,MATCH($F125,사건마스터!$A$5:$A$64,0)),""))</f>
        <v/>
      </c>
      <c r="N125" s="35">
        <f>IF($F125="","",IFERROR(INDEX(사건마스터!$AK$5:$AK$64,MATCH($F125,사건마스터!$A$5:$A$64,0)),""))</f>
        <v/>
      </c>
      <c r="O125" s="35">
        <f>IF($F125="","",IFERROR(INDEX(사건마스터!$AL$5:$AL$64,MATCH($F125,사건마스터!$A$5:$A$64,0)),""))</f>
        <v/>
      </c>
      <c r="P125" s="35">
        <f>IF($F125="","",IFERROR(INDEX(사건마스터!$AM$5:$AM$64,MATCH($F125,사건마스터!$A$5:$A$64,0)),""))</f>
        <v/>
      </c>
      <c r="Q125" s="35">
        <f>IF($F125="","",IFERROR(INDEX(사건마스터!$AN$5:$AN$64,MATCH($F125,사건마스터!$A$5:$A$64,0)),""))</f>
        <v/>
      </c>
      <c r="R125" s="35">
        <f>IF($F125="","",IFERROR(INDEX(사건마스터!$AO$5:$AO$64,MATCH($F125,사건마스터!$A$5:$A$64,0)),""))</f>
        <v/>
      </c>
      <c r="S125" s="35">
        <f>IF($F125="","",IFERROR(INDEX(사건마스터!$AP$5:$AP$64,MATCH($F125,사건마스터!$A$5:$A$64,0)),""))</f>
        <v/>
      </c>
      <c r="T125" s="35">
        <f>IF($F125="","",IFERROR(INDEX(사건마스터!$AQ$5:$AQ$64,MATCH($F125,사건마스터!$A$5:$A$64,0)),""))</f>
        <v/>
      </c>
      <c r="U125" s="35">
        <f>IF($F125="","",IFERROR(INDEX(사건마스터!$AR$5:$AR$64,MATCH($F125,사건마스터!$A$5:$A$64,0)),""))</f>
        <v/>
      </c>
      <c r="V125" s="35">
        <f>IF($F125="","",IFERROR(INDEX(사건마스터!$AS$5:$AS$64,MATCH($F125,사건마스터!$A$5:$A$64,0)),""))</f>
        <v/>
      </c>
      <c r="W125" s="35">
        <f>IF($F125="","",IFERROR(INDEX(사건마스터!$AT$5:$AT$64,MATCH($F125,사건마스터!$A$5:$A$64,0)),""))</f>
        <v/>
      </c>
      <c r="X125" s="35">
        <f>IF($F125="","",IFERROR(INDEX(사건마스터!$AU$5:$AU$64,MATCH($F125,사건마스터!$A$5:$A$64,0)),""))</f>
        <v/>
      </c>
      <c r="Y125" s="35">
        <f>IF($F125="","",IFERROR(INDEX(사건마스터!$AV$5:$AV$64,MATCH($F125,사건마스터!$A$5:$A$64,0)),""))</f>
        <v/>
      </c>
      <c r="Z125" s="30">
        <f>IF(COUNTBLANK($J125:$Y125)=16,"",16-COUNTBLANK($J125:$Y125))</f>
        <v/>
      </c>
      <c r="AA125" s="33">
        <f>IF($J125="",MID($AX125,3,255),$J125&amp;$AX125)</f>
        <v/>
      </c>
      <c r="AB125" s="34">
        <f>IF($J125="","",IFERROR(INDEX(코드설정!$D$5:$D$24,MATCH($J125,코드설정!$C$5:$C$24,0)),""))</f>
        <v/>
      </c>
      <c r="AC125" s="36" t="n"/>
      <c r="AD125" s="37" t="n"/>
      <c r="AE125" s="38" t="n"/>
      <c r="AF125" s="30">
        <f>IF(OR($B125="",$C125=""),"",$C125-$B125+1)</f>
        <v/>
      </c>
      <c r="AG125" s="32" t="n"/>
      <c r="AH125" s="36" t="n"/>
      <c r="AJ125">
        <f>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  <c r="AX125">
        <f>AW125&amp;IF($Y125="","",", "&amp;$Y125)</f>
        <v/>
      </c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0">
        <f>IF($F126="","",COUNTIF($F$5:$F126,$F126))</f>
        <v/>
      </c>
      <c r="H126" s="33">
        <f>IF($F126="","",IFERROR(INDEX(사건마스터!$B$5:$B$64,MATCH($F126,사건마스터!$A$5:$A$64,0)),""))</f>
        <v/>
      </c>
      <c r="I126" s="34">
        <f>IF($F126="","",IFERROR(INDEX(사건마스터!$C$5:$C$64,MATCH($F126,사건마스터!$A$5:$A$64,0)),""))</f>
        <v/>
      </c>
      <c r="J126" s="35">
        <f>IF($F126="","",IFERROR(INDEX(사건마스터!$H$5:$H$64,MATCH($F126,사건마스터!$A$5:$A$64,0)),""))</f>
        <v/>
      </c>
      <c r="K126" s="35">
        <f>IF($F126="","",IFERROR(INDEX(사건마스터!$AH$5:$AH$64,MATCH($F126,사건마스터!$A$5:$A$64,0)),""))</f>
        <v/>
      </c>
      <c r="L126" s="35">
        <f>IF($F126="","",IFERROR(INDEX(사건마스터!$AI$5:$AI$64,MATCH($F126,사건마스터!$A$5:$A$64,0)),""))</f>
        <v/>
      </c>
      <c r="M126" s="35">
        <f>IF($F126="","",IFERROR(INDEX(사건마스터!$AJ$5:$AJ$64,MATCH($F126,사건마스터!$A$5:$A$64,0)),""))</f>
        <v/>
      </c>
      <c r="N126" s="35">
        <f>IF($F126="","",IFERROR(INDEX(사건마스터!$AK$5:$AK$64,MATCH($F126,사건마스터!$A$5:$A$64,0)),""))</f>
        <v/>
      </c>
      <c r="O126" s="35">
        <f>IF($F126="","",IFERROR(INDEX(사건마스터!$AL$5:$AL$64,MATCH($F126,사건마스터!$A$5:$A$64,0)),""))</f>
        <v/>
      </c>
      <c r="P126" s="35">
        <f>IF($F126="","",IFERROR(INDEX(사건마스터!$AM$5:$AM$64,MATCH($F126,사건마스터!$A$5:$A$64,0)),""))</f>
        <v/>
      </c>
      <c r="Q126" s="35">
        <f>IF($F126="","",IFERROR(INDEX(사건마스터!$AN$5:$AN$64,MATCH($F126,사건마스터!$A$5:$A$64,0)),""))</f>
        <v/>
      </c>
      <c r="R126" s="35">
        <f>IF($F126="","",IFERROR(INDEX(사건마스터!$AO$5:$AO$64,MATCH($F126,사건마스터!$A$5:$A$64,0)),""))</f>
        <v/>
      </c>
      <c r="S126" s="35">
        <f>IF($F126="","",IFERROR(INDEX(사건마스터!$AP$5:$AP$64,MATCH($F126,사건마스터!$A$5:$A$64,0)),""))</f>
        <v/>
      </c>
      <c r="T126" s="35">
        <f>IF($F126="","",IFERROR(INDEX(사건마스터!$AQ$5:$AQ$64,MATCH($F126,사건마스터!$A$5:$A$64,0)),""))</f>
        <v/>
      </c>
      <c r="U126" s="35">
        <f>IF($F126="","",IFERROR(INDEX(사건마스터!$AR$5:$AR$64,MATCH($F126,사건마스터!$A$5:$A$64,0)),""))</f>
        <v/>
      </c>
      <c r="V126" s="35">
        <f>IF($F126="","",IFERROR(INDEX(사건마스터!$AS$5:$AS$64,MATCH($F126,사건마스터!$A$5:$A$64,0)),""))</f>
        <v/>
      </c>
      <c r="W126" s="35">
        <f>IF($F126="","",IFERROR(INDEX(사건마스터!$AT$5:$AT$64,MATCH($F126,사건마스터!$A$5:$A$64,0)),""))</f>
        <v/>
      </c>
      <c r="X126" s="35">
        <f>IF($F126="","",IFERROR(INDEX(사건마스터!$AU$5:$AU$64,MATCH($F126,사건마스터!$A$5:$A$64,0)),""))</f>
        <v/>
      </c>
      <c r="Y126" s="35">
        <f>IF($F126="","",IFERROR(INDEX(사건마스터!$AV$5:$AV$64,MATCH($F126,사건마스터!$A$5:$A$64,0)),""))</f>
        <v/>
      </c>
      <c r="Z126" s="30">
        <f>IF(COUNTBLANK($J126:$Y126)=16,"",16-COUNTBLANK($J126:$Y126))</f>
        <v/>
      </c>
      <c r="AA126" s="33">
        <f>IF($J126="",MID($AX126,3,255),$J126&amp;$AX126)</f>
        <v/>
      </c>
      <c r="AB126" s="34">
        <f>IF($J126="","",IFERROR(INDEX(코드설정!$D$5:$D$24,MATCH($J126,코드설정!$C$5:$C$24,0)),""))</f>
        <v/>
      </c>
      <c r="AC126" s="36" t="n"/>
      <c r="AD126" s="37" t="n"/>
      <c r="AE126" s="38" t="n"/>
      <c r="AF126" s="30">
        <f>IF(OR($B126="",$C126=""),"",$C126-$B126+1)</f>
        <v/>
      </c>
      <c r="AG126" s="32" t="n"/>
      <c r="AH126" s="36" t="n"/>
      <c r="AJ126">
        <f>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  <c r="AX126">
        <f>AW126&amp;IF($Y126="","",", "&amp;$Y126)</f>
        <v/>
      </c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0">
        <f>IF($F127="","",COUNTIF($F$5:$F127,$F127))</f>
        <v/>
      </c>
      <c r="H127" s="33">
        <f>IF($F127="","",IFERROR(INDEX(사건마스터!$B$5:$B$64,MATCH($F127,사건마스터!$A$5:$A$64,0)),""))</f>
        <v/>
      </c>
      <c r="I127" s="34">
        <f>IF($F127="","",IFERROR(INDEX(사건마스터!$C$5:$C$64,MATCH($F127,사건마스터!$A$5:$A$64,0)),""))</f>
        <v/>
      </c>
      <c r="J127" s="35">
        <f>IF($F127="","",IFERROR(INDEX(사건마스터!$H$5:$H$64,MATCH($F127,사건마스터!$A$5:$A$64,0)),""))</f>
        <v/>
      </c>
      <c r="K127" s="35">
        <f>IF($F127="","",IFERROR(INDEX(사건마스터!$AH$5:$AH$64,MATCH($F127,사건마스터!$A$5:$A$64,0)),""))</f>
        <v/>
      </c>
      <c r="L127" s="35">
        <f>IF($F127="","",IFERROR(INDEX(사건마스터!$AI$5:$AI$64,MATCH($F127,사건마스터!$A$5:$A$64,0)),""))</f>
        <v/>
      </c>
      <c r="M127" s="35">
        <f>IF($F127="","",IFERROR(INDEX(사건마스터!$AJ$5:$AJ$64,MATCH($F127,사건마스터!$A$5:$A$64,0)),""))</f>
        <v/>
      </c>
      <c r="N127" s="35">
        <f>IF($F127="","",IFERROR(INDEX(사건마스터!$AK$5:$AK$64,MATCH($F127,사건마스터!$A$5:$A$64,0)),""))</f>
        <v/>
      </c>
      <c r="O127" s="35">
        <f>IF($F127="","",IFERROR(INDEX(사건마스터!$AL$5:$AL$64,MATCH($F127,사건마스터!$A$5:$A$64,0)),""))</f>
        <v/>
      </c>
      <c r="P127" s="35">
        <f>IF($F127="","",IFERROR(INDEX(사건마스터!$AM$5:$AM$64,MATCH($F127,사건마스터!$A$5:$A$64,0)),""))</f>
        <v/>
      </c>
      <c r="Q127" s="35">
        <f>IF($F127="","",IFERROR(INDEX(사건마스터!$AN$5:$AN$64,MATCH($F127,사건마스터!$A$5:$A$64,0)),""))</f>
        <v/>
      </c>
      <c r="R127" s="35">
        <f>IF($F127="","",IFERROR(INDEX(사건마스터!$AO$5:$AO$64,MATCH($F127,사건마스터!$A$5:$A$64,0)),""))</f>
        <v/>
      </c>
      <c r="S127" s="35">
        <f>IF($F127="","",IFERROR(INDEX(사건마스터!$AP$5:$AP$64,MATCH($F127,사건마스터!$A$5:$A$64,0)),""))</f>
        <v/>
      </c>
      <c r="T127" s="35">
        <f>IF($F127="","",IFERROR(INDEX(사건마스터!$AQ$5:$AQ$64,MATCH($F127,사건마스터!$A$5:$A$64,0)),""))</f>
        <v/>
      </c>
      <c r="U127" s="35">
        <f>IF($F127="","",IFERROR(INDEX(사건마스터!$AR$5:$AR$64,MATCH($F127,사건마스터!$A$5:$A$64,0)),""))</f>
        <v/>
      </c>
      <c r="V127" s="35">
        <f>IF($F127="","",IFERROR(INDEX(사건마스터!$AS$5:$AS$64,MATCH($F127,사건마스터!$A$5:$A$64,0)),""))</f>
        <v/>
      </c>
      <c r="W127" s="35">
        <f>IF($F127="","",IFERROR(INDEX(사건마스터!$AT$5:$AT$64,MATCH($F127,사건마스터!$A$5:$A$64,0)),""))</f>
        <v/>
      </c>
      <c r="X127" s="35">
        <f>IF($F127="","",IFERROR(INDEX(사건마스터!$AU$5:$AU$64,MATCH($F127,사건마스터!$A$5:$A$64,0)),""))</f>
        <v/>
      </c>
      <c r="Y127" s="35">
        <f>IF($F127="","",IFERROR(INDEX(사건마스터!$AV$5:$AV$64,MATCH($F127,사건마스터!$A$5:$A$64,0)),""))</f>
        <v/>
      </c>
      <c r="Z127" s="30">
        <f>IF(COUNTBLANK($J127:$Y127)=16,"",16-COUNTBLANK($J127:$Y127))</f>
        <v/>
      </c>
      <c r="AA127" s="33">
        <f>IF($J127="",MID($AX127,3,255),$J127&amp;$AX127)</f>
        <v/>
      </c>
      <c r="AB127" s="34">
        <f>IF($J127="","",IFERROR(INDEX(코드설정!$D$5:$D$24,MATCH($J127,코드설정!$C$5:$C$24,0)),""))</f>
        <v/>
      </c>
      <c r="AC127" s="36" t="n"/>
      <c r="AD127" s="37" t="n"/>
      <c r="AE127" s="38" t="n"/>
      <c r="AF127" s="30">
        <f>IF(OR($B127="",$C127=""),"",$C127-$B127+1)</f>
        <v/>
      </c>
      <c r="AG127" s="32" t="n"/>
      <c r="AH127" s="36" t="n"/>
      <c r="AJ127">
        <f>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  <c r="AX127">
        <f>AW127&amp;IF($Y127="","",", "&amp;$Y127)</f>
        <v/>
      </c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0">
        <f>IF($F128="","",COUNTIF($F$5:$F128,$F128))</f>
        <v/>
      </c>
      <c r="H128" s="33">
        <f>IF($F128="","",IFERROR(INDEX(사건마스터!$B$5:$B$64,MATCH($F128,사건마스터!$A$5:$A$64,0)),""))</f>
        <v/>
      </c>
      <c r="I128" s="34">
        <f>IF($F128="","",IFERROR(INDEX(사건마스터!$C$5:$C$64,MATCH($F128,사건마스터!$A$5:$A$64,0)),""))</f>
        <v/>
      </c>
      <c r="J128" s="35">
        <f>IF($F128="","",IFERROR(INDEX(사건마스터!$H$5:$H$64,MATCH($F128,사건마스터!$A$5:$A$64,0)),""))</f>
        <v/>
      </c>
      <c r="K128" s="35">
        <f>IF($F128="","",IFERROR(INDEX(사건마스터!$AH$5:$AH$64,MATCH($F128,사건마스터!$A$5:$A$64,0)),""))</f>
        <v/>
      </c>
      <c r="L128" s="35">
        <f>IF($F128="","",IFERROR(INDEX(사건마스터!$AI$5:$AI$64,MATCH($F128,사건마스터!$A$5:$A$64,0)),""))</f>
        <v/>
      </c>
      <c r="M128" s="35">
        <f>IF($F128="","",IFERROR(INDEX(사건마스터!$AJ$5:$AJ$64,MATCH($F128,사건마스터!$A$5:$A$64,0)),""))</f>
        <v/>
      </c>
      <c r="N128" s="35">
        <f>IF($F128="","",IFERROR(INDEX(사건마스터!$AK$5:$AK$64,MATCH($F128,사건마스터!$A$5:$A$64,0)),""))</f>
        <v/>
      </c>
      <c r="O128" s="35">
        <f>IF($F128="","",IFERROR(INDEX(사건마스터!$AL$5:$AL$64,MATCH($F128,사건마스터!$A$5:$A$64,0)),""))</f>
        <v/>
      </c>
      <c r="P128" s="35">
        <f>IF($F128="","",IFERROR(INDEX(사건마스터!$AM$5:$AM$64,MATCH($F128,사건마스터!$A$5:$A$64,0)),""))</f>
        <v/>
      </c>
      <c r="Q128" s="35">
        <f>IF($F128="","",IFERROR(INDEX(사건마스터!$AN$5:$AN$64,MATCH($F128,사건마스터!$A$5:$A$64,0)),""))</f>
        <v/>
      </c>
      <c r="R128" s="35">
        <f>IF($F128="","",IFERROR(INDEX(사건마스터!$AO$5:$AO$64,MATCH($F128,사건마스터!$A$5:$A$64,0)),""))</f>
        <v/>
      </c>
      <c r="S128" s="35">
        <f>IF($F128="","",IFERROR(INDEX(사건마스터!$AP$5:$AP$64,MATCH($F128,사건마스터!$A$5:$A$64,0)),""))</f>
        <v/>
      </c>
      <c r="T128" s="35">
        <f>IF($F128="","",IFERROR(INDEX(사건마스터!$AQ$5:$AQ$64,MATCH($F128,사건마스터!$A$5:$A$64,0)),""))</f>
        <v/>
      </c>
      <c r="U128" s="35">
        <f>IF($F128="","",IFERROR(INDEX(사건마스터!$AR$5:$AR$64,MATCH($F128,사건마스터!$A$5:$A$64,0)),""))</f>
        <v/>
      </c>
      <c r="V128" s="35">
        <f>IF($F128="","",IFERROR(INDEX(사건마스터!$AS$5:$AS$64,MATCH($F128,사건마스터!$A$5:$A$64,0)),""))</f>
        <v/>
      </c>
      <c r="W128" s="35">
        <f>IF($F128="","",IFERROR(INDEX(사건마스터!$AT$5:$AT$64,MATCH($F128,사건마스터!$A$5:$A$64,0)),""))</f>
        <v/>
      </c>
      <c r="X128" s="35">
        <f>IF($F128="","",IFERROR(INDEX(사건마스터!$AU$5:$AU$64,MATCH($F128,사건마스터!$A$5:$A$64,0)),""))</f>
        <v/>
      </c>
      <c r="Y128" s="35">
        <f>IF($F128="","",IFERROR(INDEX(사건마스터!$AV$5:$AV$64,MATCH($F128,사건마스터!$A$5:$A$64,0)),""))</f>
        <v/>
      </c>
      <c r="Z128" s="30">
        <f>IF(COUNTBLANK($J128:$Y128)=16,"",16-COUNTBLANK($J128:$Y128))</f>
        <v/>
      </c>
      <c r="AA128" s="33">
        <f>IF($J128="",MID($AX128,3,255),$J128&amp;$AX128)</f>
        <v/>
      </c>
      <c r="AB128" s="34">
        <f>IF($J128="","",IFERROR(INDEX(코드설정!$D$5:$D$24,MATCH($J128,코드설정!$C$5:$C$24,0)),""))</f>
        <v/>
      </c>
      <c r="AC128" s="36" t="n"/>
      <c r="AD128" s="37" t="n"/>
      <c r="AE128" s="38" t="n"/>
      <c r="AF128" s="30">
        <f>IF(OR($B128="",$C128=""),"",$C128-$B128+1)</f>
        <v/>
      </c>
      <c r="AG128" s="32" t="n"/>
      <c r="AH128" s="36" t="n"/>
      <c r="AJ128">
        <f>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  <c r="AX128">
        <f>AW128&amp;IF($Y128="","",", "&amp;$Y128)</f>
        <v/>
      </c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0">
        <f>IF($F129="","",COUNTIF($F$5:$F129,$F129))</f>
        <v/>
      </c>
      <c r="H129" s="33">
        <f>IF($F129="","",IFERROR(INDEX(사건마스터!$B$5:$B$64,MATCH($F129,사건마스터!$A$5:$A$64,0)),""))</f>
        <v/>
      </c>
      <c r="I129" s="34">
        <f>IF($F129="","",IFERROR(INDEX(사건마스터!$C$5:$C$64,MATCH($F129,사건마스터!$A$5:$A$64,0)),""))</f>
        <v/>
      </c>
      <c r="J129" s="35">
        <f>IF($F129="","",IFERROR(INDEX(사건마스터!$H$5:$H$64,MATCH($F129,사건마스터!$A$5:$A$64,0)),""))</f>
        <v/>
      </c>
      <c r="K129" s="35">
        <f>IF($F129="","",IFERROR(INDEX(사건마스터!$AH$5:$AH$64,MATCH($F129,사건마스터!$A$5:$A$64,0)),""))</f>
        <v/>
      </c>
      <c r="L129" s="35">
        <f>IF($F129="","",IFERROR(INDEX(사건마스터!$AI$5:$AI$64,MATCH($F129,사건마스터!$A$5:$A$64,0)),""))</f>
        <v/>
      </c>
      <c r="M129" s="35">
        <f>IF($F129="","",IFERROR(INDEX(사건마스터!$AJ$5:$AJ$64,MATCH($F129,사건마스터!$A$5:$A$64,0)),""))</f>
        <v/>
      </c>
      <c r="N129" s="35">
        <f>IF($F129="","",IFERROR(INDEX(사건마스터!$AK$5:$AK$64,MATCH($F129,사건마스터!$A$5:$A$64,0)),""))</f>
        <v/>
      </c>
      <c r="O129" s="35">
        <f>IF($F129="","",IFERROR(INDEX(사건마스터!$AL$5:$AL$64,MATCH($F129,사건마스터!$A$5:$A$64,0)),""))</f>
        <v/>
      </c>
      <c r="P129" s="35">
        <f>IF($F129="","",IFERROR(INDEX(사건마스터!$AM$5:$AM$64,MATCH($F129,사건마스터!$A$5:$A$64,0)),""))</f>
        <v/>
      </c>
      <c r="Q129" s="35">
        <f>IF($F129="","",IFERROR(INDEX(사건마스터!$AN$5:$AN$64,MATCH($F129,사건마스터!$A$5:$A$64,0)),""))</f>
        <v/>
      </c>
      <c r="R129" s="35">
        <f>IF($F129="","",IFERROR(INDEX(사건마스터!$AO$5:$AO$64,MATCH($F129,사건마스터!$A$5:$A$64,0)),""))</f>
        <v/>
      </c>
      <c r="S129" s="35">
        <f>IF($F129="","",IFERROR(INDEX(사건마스터!$AP$5:$AP$64,MATCH($F129,사건마스터!$A$5:$A$64,0)),""))</f>
        <v/>
      </c>
      <c r="T129" s="35">
        <f>IF($F129="","",IFERROR(INDEX(사건마스터!$AQ$5:$AQ$64,MATCH($F129,사건마스터!$A$5:$A$64,0)),""))</f>
        <v/>
      </c>
      <c r="U129" s="35">
        <f>IF($F129="","",IFERROR(INDEX(사건마스터!$AR$5:$AR$64,MATCH($F129,사건마스터!$A$5:$A$64,0)),""))</f>
        <v/>
      </c>
      <c r="V129" s="35">
        <f>IF($F129="","",IFERROR(INDEX(사건마스터!$AS$5:$AS$64,MATCH($F129,사건마스터!$A$5:$A$64,0)),""))</f>
        <v/>
      </c>
      <c r="W129" s="35">
        <f>IF($F129="","",IFERROR(INDEX(사건마스터!$AT$5:$AT$64,MATCH($F129,사건마스터!$A$5:$A$64,0)),""))</f>
        <v/>
      </c>
      <c r="X129" s="35">
        <f>IF($F129="","",IFERROR(INDEX(사건마스터!$AU$5:$AU$64,MATCH($F129,사건마스터!$A$5:$A$64,0)),""))</f>
        <v/>
      </c>
      <c r="Y129" s="35">
        <f>IF($F129="","",IFERROR(INDEX(사건마스터!$AV$5:$AV$64,MATCH($F129,사건마스터!$A$5:$A$64,0)),""))</f>
        <v/>
      </c>
      <c r="Z129" s="30">
        <f>IF(COUNTBLANK($J129:$Y129)=16,"",16-COUNTBLANK($J129:$Y129))</f>
        <v/>
      </c>
      <c r="AA129" s="33">
        <f>IF($J129="",MID($AX129,3,255),$J129&amp;$AX129)</f>
        <v/>
      </c>
      <c r="AB129" s="34">
        <f>IF($J129="","",IFERROR(INDEX(코드설정!$D$5:$D$24,MATCH($J129,코드설정!$C$5:$C$24,0)),""))</f>
        <v/>
      </c>
      <c r="AC129" s="36" t="n"/>
      <c r="AD129" s="37" t="n"/>
      <c r="AE129" s="38" t="n"/>
      <c r="AF129" s="30">
        <f>IF(OR($B129="",$C129=""),"",$C129-$B129+1)</f>
        <v/>
      </c>
      <c r="AG129" s="32" t="n"/>
      <c r="AH129" s="36" t="n"/>
      <c r="AJ129">
        <f>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  <c r="AX129">
        <f>AW129&amp;IF($Y129="","",", "&amp;$Y129)</f>
        <v/>
      </c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0">
        <f>IF($F130="","",COUNTIF($F$5:$F130,$F130))</f>
        <v/>
      </c>
      <c r="H130" s="33">
        <f>IF($F130="","",IFERROR(INDEX(사건마스터!$B$5:$B$64,MATCH($F130,사건마스터!$A$5:$A$64,0)),""))</f>
        <v/>
      </c>
      <c r="I130" s="34">
        <f>IF($F130="","",IFERROR(INDEX(사건마스터!$C$5:$C$64,MATCH($F130,사건마스터!$A$5:$A$64,0)),""))</f>
        <v/>
      </c>
      <c r="J130" s="35">
        <f>IF($F130="","",IFERROR(INDEX(사건마스터!$H$5:$H$64,MATCH($F130,사건마스터!$A$5:$A$64,0)),""))</f>
        <v/>
      </c>
      <c r="K130" s="35">
        <f>IF($F130="","",IFERROR(INDEX(사건마스터!$AH$5:$AH$64,MATCH($F130,사건마스터!$A$5:$A$64,0)),""))</f>
        <v/>
      </c>
      <c r="L130" s="35">
        <f>IF($F130="","",IFERROR(INDEX(사건마스터!$AI$5:$AI$64,MATCH($F130,사건마스터!$A$5:$A$64,0)),""))</f>
        <v/>
      </c>
      <c r="M130" s="35">
        <f>IF($F130="","",IFERROR(INDEX(사건마스터!$AJ$5:$AJ$64,MATCH($F130,사건마스터!$A$5:$A$64,0)),""))</f>
        <v/>
      </c>
      <c r="N130" s="35">
        <f>IF($F130="","",IFERROR(INDEX(사건마스터!$AK$5:$AK$64,MATCH($F130,사건마스터!$A$5:$A$64,0)),""))</f>
        <v/>
      </c>
      <c r="O130" s="35">
        <f>IF($F130="","",IFERROR(INDEX(사건마스터!$AL$5:$AL$64,MATCH($F130,사건마스터!$A$5:$A$64,0)),""))</f>
        <v/>
      </c>
      <c r="P130" s="35">
        <f>IF($F130="","",IFERROR(INDEX(사건마스터!$AM$5:$AM$64,MATCH($F130,사건마스터!$A$5:$A$64,0)),""))</f>
        <v/>
      </c>
      <c r="Q130" s="35">
        <f>IF($F130="","",IFERROR(INDEX(사건마스터!$AN$5:$AN$64,MATCH($F130,사건마스터!$A$5:$A$64,0)),""))</f>
        <v/>
      </c>
      <c r="R130" s="35">
        <f>IF($F130="","",IFERROR(INDEX(사건마스터!$AO$5:$AO$64,MATCH($F130,사건마스터!$A$5:$A$64,0)),""))</f>
        <v/>
      </c>
      <c r="S130" s="35">
        <f>IF($F130="","",IFERROR(INDEX(사건마스터!$AP$5:$AP$64,MATCH($F130,사건마스터!$A$5:$A$64,0)),""))</f>
        <v/>
      </c>
      <c r="T130" s="35">
        <f>IF($F130="","",IFERROR(INDEX(사건마스터!$AQ$5:$AQ$64,MATCH($F130,사건마스터!$A$5:$A$64,0)),""))</f>
        <v/>
      </c>
      <c r="U130" s="35">
        <f>IF($F130="","",IFERROR(INDEX(사건마스터!$AR$5:$AR$64,MATCH($F130,사건마스터!$A$5:$A$64,0)),""))</f>
        <v/>
      </c>
      <c r="V130" s="35">
        <f>IF($F130="","",IFERROR(INDEX(사건마스터!$AS$5:$AS$64,MATCH($F130,사건마스터!$A$5:$A$64,0)),""))</f>
        <v/>
      </c>
      <c r="W130" s="35">
        <f>IF($F130="","",IFERROR(INDEX(사건마스터!$AT$5:$AT$64,MATCH($F130,사건마스터!$A$5:$A$64,0)),""))</f>
        <v/>
      </c>
      <c r="X130" s="35">
        <f>IF($F130="","",IFERROR(INDEX(사건마스터!$AU$5:$AU$64,MATCH($F130,사건마스터!$A$5:$A$64,0)),""))</f>
        <v/>
      </c>
      <c r="Y130" s="35">
        <f>IF($F130="","",IFERROR(INDEX(사건마스터!$AV$5:$AV$64,MATCH($F130,사건마스터!$A$5:$A$64,0)),""))</f>
        <v/>
      </c>
      <c r="Z130" s="30">
        <f>IF(COUNTBLANK($J130:$Y130)=16,"",16-COUNTBLANK($J130:$Y130))</f>
        <v/>
      </c>
      <c r="AA130" s="33">
        <f>IF($J130="",MID($AX130,3,255),$J130&amp;$AX130)</f>
        <v/>
      </c>
      <c r="AB130" s="34">
        <f>IF($J130="","",IFERROR(INDEX(코드설정!$D$5:$D$24,MATCH($J130,코드설정!$C$5:$C$24,0)),""))</f>
        <v/>
      </c>
      <c r="AC130" s="36" t="n"/>
      <c r="AD130" s="37" t="n"/>
      <c r="AE130" s="38" t="n"/>
      <c r="AF130" s="30">
        <f>IF(OR($B130="",$C130=""),"",$C130-$B130+1)</f>
        <v/>
      </c>
      <c r="AG130" s="32" t="n"/>
      <c r="AH130" s="36" t="n"/>
      <c r="AJ130">
        <f>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  <c r="AX130">
        <f>AW130&amp;IF($Y130="","",", "&amp;$Y130)</f>
        <v/>
      </c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0">
        <f>IF($F131="","",COUNTIF($F$5:$F131,$F131))</f>
        <v/>
      </c>
      <c r="H131" s="33">
        <f>IF($F131="","",IFERROR(INDEX(사건마스터!$B$5:$B$64,MATCH($F131,사건마스터!$A$5:$A$64,0)),""))</f>
        <v/>
      </c>
      <c r="I131" s="34">
        <f>IF($F131="","",IFERROR(INDEX(사건마스터!$C$5:$C$64,MATCH($F131,사건마스터!$A$5:$A$64,0)),""))</f>
        <v/>
      </c>
      <c r="J131" s="35">
        <f>IF($F131="","",IFERROR(INDEX(사건마스터!$H$5:$H$64,MATCH($F131,사건마스터!$A$5:$A$64,0)),""))</f>
        <v/>
      </c>
      <c r="K131" s="35">
        <f>IF($F131="","",IFERROR(INDEX(사건마스터!$AH$5:$AH$64,MATCH($F131,사건마스터!$A$5:$A$64,0)),""))</f>
        <v/>
      </c>
      <c r="L131" s="35">
        <f>IF($F131="","",IFERROR(INDEX(사건마스터!$AI$5:$AI$64,MATCH($F131,사건마스터!$A$5:$A$64,0)),""))</f>
        <v/>
      </c>
      <c r="M131" s="35">
        <f>IF($F131="","",IFERROR(INDEX(사건마스터!$AJ$5:$AJ$64,MATCH($F131,사건마스터!$A$5:$A$64,0)),""))</f>
        <v/>
      </c>
      <c r="N131" s="35">
        <f>IF($F131="","",IFERROR(INDEX(사건마스터!$AK$5:$AK$64,MATCH($F131,사건마스터!$A$5:$A$64,0)),""))</f>
        <v/>
      </c>
      <c r="O131" s="35">
        <f>IF($F131="","",IFERROR(INDEX(사건마스터!$AL$5:$AL$64,MATCH($F131,사건마스터!$A$5:$A$64,0)),""))</f>
        <v/>
      </c>
      <c r="P131" s="35">
        <f>IF($F131="","",IFERROR(INDEX(사건마스터!$AM$5:$AM$64,MATCH($F131,사건마스터!$A$5:$A$64,0)),""))</f>
        <v/>
      </c>
      <c r="Q131" s="35">
        <f>IF($F131="","",IFERROR(INDEX(사건마스터!$AN$5:$AN$64,MATCH($F131,사건마스터!$A$5:$A$64,0)),""))</f>
        <v/>
      </c>
      <c r="R131" s="35">
        <f>IF($F131="","",IFERROR(INDEX(사건마스터!$AO$5:$AO$64,MATCH($F131,사건마스터!$A$5:$A$64,0)),""))</f>
        <v/>
      </c>
      <c r="S131" s="35">
        <f>IF($F131="","",IFERROR(INDEX(사건마스터!$AP$5:$AP$64,MATCH($F131,사건마스터!$A$5:$A$64,0)),""))</f>
        <v/>
      </c>
      <c r="T131" s="35">
        <f>IF($F131="","",IFERROR(INDEX(사건마스터!$AQ$5:$AQ$64,MATCH($F131,사건마스터!$A$5:$A$64,0)),""))</f>
        <v/>
      </c>
      <c r="U131" s="35">
        <f>IF($F131="","",IFERROR(INDEX(사건마스터!$AR$5:$AR$64,MATCH($F131,사건마스터!$A$5:$A$64,0)),""))</f>
        <v/>
      </c>
      <c r="V131" s="35">
        <f>IF($F131="","",IFERROR(INDEX(사건마스터!$AS$5:$AS$64,MATCH($F131,사건마스터!$A$5:$A$64,0)),""))</f>
        <v/>
      </c>
      <c r="W131" s="35">
        <f>IF($F131="","",IFERROR(INDEX(사건마스터!$AT$5:$AT$64,MATCH($F131,사건마스터!$A$5:$A$64,0)),""))</f>
        <v/>
      </c>
      <c r="X131" s="35">
        <f>IF($F131="","",IFERROR(INDEX(사건마스터!$AU$5:$AU$64,MATCH($F131,사건마스터!$A$5:$A$64,0)),""))</f>
        <v/>
      </c>
      <c r="Y131" s="35">
        <f>IF($F131="","",IFERROR(INDEX(사건마스터!$AV$5:$AV$64,MATCH($F131,사건마스터!$A$5:$A$64,0)),""))</f>
        <v/>
      </c>
      <c r="Z131" s="30">
        <f>IF(COUNTBLANK($J131:$Y131)=16,"",16-COUNTBLANK($J131:$Y131))</f>
        <v/>
      </c>
      <c r="AA131" s="33">
        <f>IF($J131="",MID($AX131,3,255),$J131&amp;$AX131)</f>
        <v/>
      </c>
      <c r="AB131" s="34">
        <f>IF($J131="","",IFERROR(INDEX(코드설정!$D$5:$D$24,MATCH($J131,코드설정!$C$5:$C$24,0)),""))</f>
        <v/>
      </c>
      <c r="AC131" s="36" t="n"/>
      <c r="AD131" s="37" t="n"/>
      <c r="AE131" s="38" t="n"/>
      <c r="AF131" s="30">
        <f>IF(OR($B131="",$C131=""),"",$C131-$B131+1)</f>
        <v/>
      </c>
      <c r="AG131" s="32" t="n"/>
      <c r="AH131" s="36" t="n"/>
      <c r="AJ131">
        <f>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  <c r="AX131">
        <f>AW131&amp;IF($Y131="","",", "&amp;$Y131)</f>
        <v/>
      </c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0">
        <f>IF($F132="","",COUNTIF($F$5:$F132,$F132))</f>
        <v/>
      </c>
      <c r="H132" s="33">
        <f>IF($F132="","",IFERROR(INDEX(사건마스터!$B$5:$B$64,MATCH($F132,사건마스터!$A$5:$A$64,0)),""))</f>
        <v/>
      </c>
      <c r="I132" s="34">
        <f>IF($F132="","",IFERROR(INDEX(사건마스터!$C$5:$C$64,MATCH($F132,사건마스터!$A$5:$A$64,0)),""))</f>
        <v/>
      </c>
      <c r="J132" s="35">
        <f>IF($F132="","",IFERROR(INDEX(사건마스터!$H$5:$H$64,MATCH($F132,사건마스터!$A$5:$A$64,0)),""))</f>
        <v/>
      </c>
      <c r="K132" s="35">
        <f>IF($F132="","",IFERROR(INDEX(사건마스터!$AH$5:$AH$64,MATCH($F132,사건마스터!$A$5:$A$64,0)),""))</f>
        <v/>
      </c>
      <c r="L132" s="35">
        <f>IF($F132="","",IFERROR(INDEX(사건마스터!$AI$5:$AI$64,MATCH($F132,사건마스터!$A$5:$A$64,0)),""))</f>
        <v/>
      </c>
      <c r="M132" s="35">
        <f>IF($F132="","",IFERROR(INDEX(사건마스터!$AJ$5:$AJ$64,MATCH($F132,사건마스터!$A$5:$A$64,0)),""))</f>
        <v/>
      </c>
      <c r="N132" s="35">
        <f>IF($F132="","",IFERROR(INDEX(사건마스터!$AK$5:$AK$64,MATCH($F132,사건마스터!$A$5:$A$64,0)),""))</f>
        <v/>
      </c>
      <c r="O132" s="35">
        <f>IF($F132="","",IFERROR(INDEX(사건마스터!$AL$5:$AL$64,MATCH($F132,사건마스터!$A$5:$A$64,0)),""))</f>
        <v/>
      </c>
      <c r="P132" s="35">
        <f>IF($F132="","",IFERROR(INDEX(사건마스터!$AM$5:$AM$64,MATCH($F132,사건마스터!$A$5:$A$64,0)),""))</f>
        <v/>
      </c>
      <c r="Q132" s="35">
        <f>IF($F132="","",IFERROR(INDEX(사건마스터!$AN$5:$AN$64,MATCH($F132,사건마스터!$A$5:$A$64,0)),""))</f>
        <v/>
      </c>
      <c r="R132" s="35">
        <f>IF($F132="","",IFERROR(INDEX(사건마스터!$AO$5:$AO$64,MATCH($F132,사건마스터!$A$5:$A$64,0)),""))</f>
        <v/>
      </c>
      <c r="S132" s="35">
        <f>IF($F132="","",IFERROR(INDEX(사건마스터!$AP$5:$AP$64,MATCH($F132,사건마스터!$A$5:$A$64,0)),""))</f>
        <v/>
      </c>
      <c r="T132" s="35">
        <f>IF($F132="","",IFERROR(INDEX(사건마스터!$AQ$5:$AQ$64,MATCH($F132,사건마스터!$A$5:$A$64,0)),""))</f>
        <v/>
      </c>
      <c r="U132" s="35">
        <f>IF($F132="","",IFERROR(INDEX(사건마스터!$AR$5:$AR$64,MATCH($F132,사건마스터!$A$5:$A$64,0)),""))</f>
        <v/>
      </c>
      <c r="V132" s="35">
        <f>IF($F132="","",IFERROR(INDEX(사건마스터!$AS$5:$AS$64,MATCH($F132,사건마스터!$A$5:$A$64,0)),""))</f>
        <v/>
      </c>
      <c r="W132" s="35">
        <f>IF($F132="","",IFERROR(INDEX(사건마스터!$AT$5:$AT$64,MATCH($F132,사건마스터!$A$5:$A$64,0)),""))</f>
        <v/>
      </c>
      <c r="X132" s="35">
        <f>IF($F132="","",IFERROR(INDEX(사건마스터!$AU$5:$AU$64,MATCH($F132,사건마스터!$A$5:$A$64,0)),""))</f>
        <v/>
      </c>
      <c r="Y132" s="35">
        <f>IF($F132="","",IFERROR(INDEX(사건마스터!$AV$5:$AV$64,MATCH($F132,사건마스터!$A$5:$A$64,0)),""))</f>
        <v/>
      </c>
      <c r="Z132" s="30">
        <f>IF(COUNTBLANK($J132:$Y132)=16,"",16-COUNTBLANK($J132:$Y132))</f>
        <v/>
      </c>
      <c r="AA132" s="33">
        <f>IF($J132="",MID($AX132,3,255),$J132&amp;$AX132)</f>
        <v/>
      </c>
      <c r="AB132" s="34">
        <f>IF($J132="","",IFERROR(INDEX(코드설정!$D$5:$D$24,MATCH($J132,코드설정!$C$5:$C$24,0)),""))</f>
        <v/>
      </c>
      <c r="AC132" s="36" t="n"/>
      <c r="AD132" s="37" t="n"/>
      <c r="AE132" s="38" t="n"/>
      <c r="AF132" s="30">
        <f>IF(OR($B132="",$C132=""),"",$C132-$B132+1)</f>
        <v/>
      </c>
      <c r="AG132" s="32" t="n"/>
      <c r="AH132" s="36" t="n"/>
      <c r="AJ132">
        <f>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  <c r="AX132">
        <f>AW132&amp;IF($Y132="","",", "&amp;$Y132)</f>
        <v/>
      </c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0">
        <f>IF($F133="","",COUNTIF($F$5:$F133,$F133))</f>
        <v/>
      </c>
      <c r="H133" s="33">
        <f>IF($F133="","",IFERROR(INDEX(사건마스터!$B$5:$B$64,MATCH($F133,사건마스터!$A$5:$A$64,0)),""))</f>
        <v/>
      </c>
      <c r="I133" s="34">
        <f>IF($F133="","",IFERROR(INDEX(사건마스터!$C$5:$C$64,MATCH($F133,사건마스터!$A$5:$A$64,0)),""))</f>
        <v/>
      </c>
      <c r="J133" s="35">
        <f>IF($F133="","",IFERROR(INDEX(사건마스터!$H$5:$H$64,MATCH($F133,사건마스터!$A$5:$A$64,0)),""))</f>
        <v/>
      </c>
      <c r="K133" s="35">
        <f>IF($F133="","",IFERROR(INDEX(사건마스터!$AH$5:$AH$64,MATCH($F133,사건마스터!$A$5:$A$64,0)),""))</f>
        <v/>
      </c>
      <c r="L133" s="35">
        <f>IF($F133="","",IFERROR(INDEX(사건마스터!$AI$5:$AI$64,MATCH($F133,사건마스터!$A$5:$A$64,0)),""))</f>
        <v/>
      </c>
      <c r="M133" s="35">
        <f>IF($F133="","",IFERROR(INDEX(사건마스터!$AJ$5:$AJ$64,MATCH($F133,사건마스터!$A$5:$A$64,0)),""))</f>
        <v/>
      </c>
      <c r="N133" s="35">
        <f>IF($F133="","",IFERROR(INDEX(사건마스터!$AK$5:$AK$64,MATCH($F133,사건마스터!$A$5:$A$64,0)),""))</f>
        <v/>
      </c>
      <c r="O133" s="35">
        <f>IF($F133="","",IFERROR(INDEX(사건마스터!$AL$5:$AL$64,MATCH($F133,사건마스터!$A$5:$A$64,0)),""))</f>
        <v/>
      </c>
      <c r="P133" s="35">
        <f>IF($F133="","",IFERROR(INDEX(사건마스터!$AM$5:$AM$64,MATCH($F133,사건마스터!$A$5:$A$64,0)),""))</f>
        <v/>
      </c>
      <c r="Q133" s="35">
        <f>IF($F133="","",IFERROR(INDEX(사건마스터!$AN$5:$AN$64,MATCH($F133,사건마스터!$A$5:$A$64,0)),""))</f>
        <v/>
      </c>
      <c r="R133" s="35">
        <f>IF($F133="","",IFERROR(INDEX(사건마스터!$AO$5:$AO$64,MATCH($F133,사건마스터!$A$5:$A$64,0)),""))</f>
        <v/>
      </c>
      <c r="S133" s="35">
        <f>IF($F133="","",IFERROR(INDEX(사건마스터!$AP$5:$AP$64,MATCH($F133,사건마스터!$A$5:$A$64,0)),""))</f>
        <v/>
      </c>
      <c r="T133" s="35">
        <f>IF($F133="","",IFERROR(INDEX(사건마스터!$AQ$5:$AQ$64,MATCH($F133,사건마스터!$A$5:$A$64,0)),""))</f>
        <v/>
      </c>
      <c r="U133" s="35">
        <f>IF($F133="","",IFERROR(INDEX(사건마스터!$AR$5:$AR$64,MATCH($F133,사건마스터!$A$5:$A$64,0)),""))</f>
        <v/>
      </c>
      <c r="V133" s="35">
        <f>IF($F133="","",IFERROR(INDEX(사건마스터!$AS$5:$AS$64,MATCH($F133,사건마스터!$A$5:$A$64,0)),""))</f>
        <v/>
      </c>
      <c r="W133" s="35">
        <f>IF($F133="","",IFERROR(INDEX(사건마스터!$AT$5:$AT$64,MATCH($F133,사건마스터!$A$5:$A$64,0)),""))</f>
        <v/>
      </c>
      <c r="X133" s="35">
        <f>IF($F133="","",IFERROR(INDEX(사건마스터!$AU$5:$AU$64,MATCH($F133,사건마스터!$A$5:$A$64,0)),""))</f>
        <v/>
      </c>
      <c r="Y133" s="35">
        <f>IF($F133="","",IFERROR(INDEX(사건마스터!$AV$5:$AV$64,MATCH($F133,사건마스터!$A$5:$A$64,0)),""))</f>
        <v/>
      </c>
      <c r="Z133" s="30">
        <f>IF(COUNTBLANK($J133:$Y133)=16,"",16-COUNTBLANK($J133:$Y133))</f>
        <v/>
      </c>
      <c r="AA133" s="33">
        <f>IF($J133="",MID($AX133,3,255),$J133&amp;$AX133)</f>
        <v/>
      </c>
      <c r="AB133" s="34">
        <f>IF($J133="","",IFERROR(INDEX(코드설정!$D$5:$D$24,MATCH($J133,코드설정!$C$5:$C$24,0)),""))</f>
        <v/>
      </c>
      <c r="AC133" s="36" t="n"/>
      <c r="AD133" s="37" t="n"/>
      <c r="AE133" s="38" t="n"/>
      <c r="AF133" s="30">
        <f>IF(OR($B133="",$C133=""),"",$C133-$B133+1)</f>
        <v/>
      </c>
      <c r="AG133" s="32" t="n"/>
      <c r="AH133" s="36" t="n"/>
      <c r="AJ133">
        <f>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  <c r="AX133">
        <f>AW133&amp;IF($Y133="","",", "&amp;$Y133)</f>
        <v/>
      </c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0">
        <f>IF($F134="","",COUNTIF($F$5:$F134,$F134))</f>
        <v/>
      </c>
      <c r="H134" s="33">
        <f>IF($F134="","",IFERROR(INDEX(사건마스터!$B$5:$B$64,MATCH($F134,사건마스터!$A$5:$A$64,0)),""))</f>
        <v/>
      </c>
      <c r="I134" s="34">
        <f>IF($F134="","",IFERROR(INDEX(사건마스터!$C$5:$C$64,MATCH($F134,사건마스터!$A$5:$A$64,0)),""))</f>
        <v/>
      </c>
      <c r="J134" s="35">
        <f>IF($F134="","",IFERROR(INDEX(사건마스터!$H$5:$H$64,MATCH($F134,사건마스터!$A$5:$A$64,0)),""))</f>
        <v/>
      </c>
      <c r="K134" s="35">
        <f>IF($F134="","",IFERROR(INDEX(사건마스터!$AH$5:$AH$64,MATCH($F134,사건마스터!$A$5:$A$64,0)),""))</f>
        <v/>
      </c>
      <c r="L134" s="35">
        <f>IF($F134="","",IFERROR(INDEX(사건마스터!$AI$5:$AI$64,MATCH($F134,사건마스터!$A$5:$A$64,0)),""))</f>
        <v/>
      </c>
      <c r="M134" s="35">
        <f>IF($F134="","",IFERROR(INDEX(사건마스터!$AJ$5:$AJ$64,MATCH($F134,사건마스터!$A$5:$A$64,0)),""))</f>
        <v/>
      </c>
      <c r="N134" s="35">
        <f>IF($F134="","",IFERROR(INDEX(사건마스터!$AK$5:$AK$64,MATCH($F134,사건마스터!$A$5:$A$64,0)),""))</f>
        <v/>
      </c>
      <c r="O134" s="35">
        <f>IF($F134="","",IFERROR(INDEX(사건마스터!$AL$5:$AL$64,MATCH($F134,사건마스터!$A$5:$A$64,0)),""))</f>
        <v/>
      </c>
      <c r="P134" s="35">
        <f>IF($F134="","",IFERROR(INDEX(사건마스터!$AM$5:$AM$64,MATCH($F134,사건마스터!$A$5:$A$64,0)),""))</f>
        <v/>
      </c>
      <c r="Q134" s="35">
        <f>IF($F134="","",IFERROR(INDEX(사건마스터!$AN$5:$AN$64,MATCH($F134,사건마스터!$A$5:$A$64,0)),""))</f>
        <v/>
      </c>
      <c r="R134" s="35">
        <f>IF($F134="","",IFERROR(INDEX(사건마스터!$AO$5:$AO$64,MATCH($F134,사건마스터!$A$5:$A$64,0)),""))</f>
        <v/>
      </c>
      <c r="S134" s="35">
        <f>IF($F134="","",IFERROR(INDEX(사건마스터!$AP$5:$AP$64,MATCH($F134,사건마스터!$A$5:$A$64,0)),""))</f>
        <v/>
      </c>
      <c r="T134" s="35">
        <f>IF($F134="","",IFERROR(INDEX(사건마스터!$AQ$5:$AQ$64,MATCH($F134,사건마스터!$A$5:$A$64,0)),""))</f>
        <v/>
      </c>
      <c r="U134" s="35">
        <f>IF($F134="","",IFERROR(INDEX(사건마스터!$AR$5:$AR$64,MATCH($F134,사건마스터!$A$5:$A$64,0)),""))</f>
        <v/>
      </c>
      <c r="V134" s="35">
        <f>IF($F134="","",IFERROR(INDEX(사건마스터!$AS$5:$AS$64,MATCH($F134,사건마스터!$A$5:$A$64,0)),""))</f>
        <v/>
      </c>
      <c r="W134" s="35">
        <f>IF($F134="","",IFERROR(INDEX(사건마스터!$AT$5:$AT$64,MATCH($F134,사건마스터!$A$5:$A$64,0)),""))</f>
        <v/>
      </c>
      <c r="X134" s="35">
        <f>IF($F134="","",IFERROR(INDEX(사건마스터!$AU$5:$AU$64,MATCH($F134,사건마스터!$A$5:$A$64,0)),""))</f>
        <v/>
      </c>
      <c r="Y134" s="35">
        <f>IF($F134="","",IFERROR(INDEX(사건마스터!$AV$5:$AV$64,MATCH($F134,사건마스터!$A$5:$A$64,0)),""))</f>
        <v/>
      </c>
      <c r="Z134" s="30">
        <f>IF(COUNTBLANK($J134:$Y134)=16,"",16-COUNTBLANK($J134:$Y134))</f>
        <v/>
      </c>
      <c r="AA134" s="33">
        <f>IF($J134="",MID($AX134,3,255),$J134&amp;$AX134)</f>
        <v/>
      </c>
      <c r="AB134" s="34">
        <f>IF($J134="","",IFERROR(INDEX(코드설정!$D$5:$D$24,MATCH($J134,코드설정!$C$5:$C$24,0)),""))</f>
        <v/>
      </c>
      <c r="AC134" s="36" t="n"/>
      <c r="AD134" s="37" t="n"/>
      <c r="AE134" s="38" t="n"/>
      <c r="AF134" s="30">
        <f>IF(OR($B134="",$C134=""),"",$C134-$B134+1)</f>
        <v/>
      </c>
      <c r="AG134" s="32" t="n"/>
      <c r="AH134" s="36" t="n"/>
      <c r="AJ134">
        <f>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  <c r="AX134">
        <f>AW134&amp;IF($Y134="","",", "&amp;$Y134)</f>
        <v/>
      </c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0">
        <f>IF($F135="","",COUNTIF($F$5:$F135,$F135))</f>
        <v/>
      </c>
      <c r="H135" s="33">
        <f>IF($F135="","",IFERROR(INDEX(사건마스터!$B$5:$B$64,MATCH($F135,사건마스터!$A$5:$A$64,0)),""))</f>
        <v/>
      </c>
      <c r="I135" s="34">
        <f>IF($F135="","",IFERROR(INDEX(사건마스터!$C$5:$C$64,MATCH($F135,사건마스터!$A$5:$A$64,0)),""))</f>
        <v/>
      </c>
      <c r="J135" s="35">
        <f>IF($F135="","",IFERROR(INDEX(사건마스터!$H$5:$H$64,MATCH($F135,사건마스터!$A$5:$A$64,0)),""))</f>
        <v/>
      </c>
      <c r="K135" s="35">
        <f>IF($F135="","",IFERROR(INDEX(사건마스터!$AH$5:$AH$64,MATCH($F135,사건마스터!$A$5:$A$64,0)),""))</f>
        <v/>
      </c>
      <c r="L135" s="35">
        <f>IF($F135="","",IFERROR(INDEX(사건마스터!$AI$5:$AI$64,MATCH($F135,사건마스터!$A$5:$A$64,0)),""))</f>
        <v/>
      </c>
      <c r="M135" s="35">
        <f>IF($F135="","",IFERROR(INDEX(사건마스터!$AJ$5:$AJ$64,MATCH($F135,사건마스터!$A$5:$A$64,0)),""))</f>
        <v/>
      </c>
      <c r="N135" s="35">
        <f>IF($F135="","",IFERROR(INDEX(사건마스터!$AK$5:$AK$64,MATCH($F135,사건마스터!$A$5:$A$64,0)),""))</f>
        <v/>
      </c>
      <c r="O135" s="35">
        <f>IF($F135="","",IFERROR(INDEX(사건마스터!$AL$5:$AL$64,MATCH($F135,사건마스터!$A$5:$A$64,0)),""))</f>
        <v/>
      </c>
      <c r="P135" s="35">
        <f>IF($F135="","",IFERROR(INDEX(사건마스터!$AM$5:$AM$64,MATCH($F135,사건마스터!$A$5:$A$64,0)),""))</f>
        <v/>
      </c>
      <c r="Q135" s="35">
        <f>IF($F135="","",IFERROR(INDEX(사건마스터!$AN$5:$AN$64,MATCH($F135,사건마스터!$A$5:$A$64,0)),""))</f>
        <v/>
      </c>
      <c r="R135" s="35">
        <f>IF($F135="","",IFERROR(INDEX(사건마스터!$AO$5:$AO$64,MATCH($F135,사건마스터!$A$5:$A$64,0)),""))</f>
        <v/>
      </c>
      <c r="S135" s="35">
        <f>IF($F135="","",IFERROR(INDEX(사건마스터!$AP$5:$AP$64,MATCH($F135,사건마스터!$A$5:$A$64,0)),""))</f>
        <v/>
      </c>
      <c r="T135" s="35">
        <f>IF($F135="","",IFERROR(INDEX(사건마스터!$AQ$5:$AQ$64,MATCH($F135,사건마스터!$A$5:$A$64,0)),""))</f>
        <v/>
      </c>
      <c r="U135" s="35">
        <f>IF($F135="","",IFERROR(INDEX(사건마스터!$AR$5:$AR$64,MATCH($F135,사건마스터!$A$5:$A$64,0)),""))</f>
        <v/>
      </c>
      <c r="V135" s="35">
        <f>IF($F135="","",IFERROR(INDEX(사건마스터!$AS$5:$AS$64,MATCH($F135,사건마스터!$A$5:$A$64,0)),""))</f>
        <v/>
      </c>
      <c r="W135" s="35">
        <f>IF($F135="","",IFERROR(INDEX(사건마스터!$AT$5:$AT$64,MATCH($F135,사건마스터!$A$5:$A$64,0)),""))</f>
        <v/>
      </c>
      <c r="X135" s="35">
        <f>IF($F135="","",IFERROR(INDEX(사건마스터!$AU$5:$AU$64,MATCH($F135,사건마스터!$A$5:$A$64,0)),""))</f>
        <v/>
      </c>
      <c r="Y135" s="35">
        <f>IF($F135="","",IFERROR(INDEX(사건마스터!$AV$5:$AV$64,MATCH($F135,사건마스터!$A$5:$A$64,0)),""))</f>
        <v/>
      </c>
      <c r="Z135" s="30">
        <f>IF(COUNTBLANK($J135:$Y135)=16,"",16-COUNTBLANK($J135:$Y135))</f>
        <v/>
      </c>
      <c r="AA135" s="33">
        <f>IF($J135="",MID($AX135,3,255),$J135&amp;$AX135)</f>
        <v/>
      </c>
      <c r="AB135" s="34">
        <f>IF($J135="","",IFERROR(INDEX(코드설정!$D$5:$D$24,MATCH($J135,코드설정!$C$5:$C$24,0)),""))</f>
        <v/>
      </c>
      <c r="AC135" s="36" t="n"/>
      <c r="AD135" s="37" t="n"/>
      <c r="AE135" s="38" t="n"/>
      <c r="AF135" s="30">
        <f>IF(OR($B135="",$C135=""),"",$C135-$B135+1)</f>
        <v/>
      </c>
      <c r="AG135" s="32" t="n"/>
      <c r="AH135" s="36" t="n"/>
      <c r="AJ135">
        <f>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  <c r="AX135">
        <f>AW135&amp;IF($Y135="","",", "&amp;$Y135)</f>
        <v/>
      </c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0">
        <f>IF($F136="","",COUNTIF($F$5:$F136,$F136))</f>
        <v/>
      </c>
      <c r="H136" s="33">
        <f>IF($F136="","",IFERROR(INDEX(사건마스터!$B$5:$B$64,MATCH($F136,사건마스터!$A$5:$A$64,0)),""))</f>
        <v/>
      </c>
      <c r="I136" s="34">
        <f>IF($F136="","",IFERROR(INDEX(사건마스터!$C$5:$C$64,MATCH($F136,사건마스터!$A$5:$A$64,0)),""))</f>
        <v/>
      </c>
      <c r="J136" s="35">
        <f>IF($F136="","",IFERROR(INDEX(사건마스터!$H$5:$H$64,MATCH($F136,사건마스터!$A$5:$A$64,0)),""))</f>
        <v/>
      </c>
      <c r="K136" s="35">
        <f>IF($F136="","",IFERROR(INDEX(사건마스터!$AH$5:$AH$64,MATCH($F136,사건마스터!$A$5:$A$64,0)),""))</f>
        <v/>
      </c>
      <c r="L136" s="35">
        <f>IF($F136="","",IFERROR(INDEX(사건마스터!$AI$5:$AI$64,MATCH($F136,사건마스터!$A$5:$A$64,0)),""))</f>
        <v/>
      </c>
      <c r="M136" s="35">
        <f>IF($F136="","",IFERROR(INDEX(사건마스터!$AJ$5:$AJ$64,MATCH($F136,사건마스터!$A$5:$A$64,0)),""))</f>
        <v/>
      </c>
      <c r="N136" s="35">
        <f>IF($F136="","",IFERROR(INDEX(사건마스터!$AK$5:$AK$64,MATCH($F136,사건마스터!$A$5:$A$64,0)),""))</f>
        <v/>
      </c>
      <c r="O136" s="35">
        <f>IF($F136="","",IFERROR(INDEX(사건마스터!$AL$5:$AL$64,MATCH($F136,사건마스터!$A$5:$A$64,0)),""))</f>
        <v/>
      </c>
      <c r="P136" s="35">
        <f>IF($F136="","",IFERROR(INDEX(사건마스터!$AM$5:$AM$64,MATCH($F136,사건마스터!$A$5:$A$64,0)),""))</f>
        <v/>
      </c>
      <c r="Q136" s="35">
        <f>IF($F136="","",IFERROR(INDEX(사건마스터!$AN$5:$AN$64,MATCH($F136,사건마스터!$A$5:$A$64,0)),""))</f>
        <v/>
      </c>
      <c r="R136" s="35">
        <f>IF($F136="","",IFERROR(INDEX(사건마스터!$AO$5:$AO$64,MATCH($F136,사건마스터!$A$5:$A$64,0)),""))</f>
        <v/>
      </c>
      <c r="S136" s="35">
        <f>IF($F136="","",IFERROR(INDEX(사건마스터!$AP$5:$AP$64,MATCH($F136,사건마스터!$A$5:$A$64,0)),""))</f>
        <v/>
      </c>
      <c r="T136" s="35">
        <f>IF($F136="","",IFERROR(INDEX(사건마스터!$AQ$5:$AQ$64,MATCH($F136,사건마스터!$A$5:$A$64,0)),""))</f>
        <v/>
      </c>
      <c r="U136" s="35">
        <f>IF($F136="","",IFERROR(INDEX(사건마스터!$AR$5:$AR$64,MATCH($F136,사건마스터!$A$5:$A$64,0)),""))</f>
        <v/>
      </c>
      <c r="V136" s="35">
        <f>IF($F136="","",IFERROR(INDEX(사건마스터!$AS$5:$AS$64,MATCH($F136,사건마스터!$A$5:$A$64,0)),""))</f>
        <v/>
      </c>
      <c r="W136" s="35">
        <f>IF($F136="","",IFERROR(INDEX(사건마스터!$AT$5:$AT$64,MATCH($F136,사건마스터!$A$5:$A$64,0)),""))</f>
        <v/>
      </c>
      <c r="X136" s="35">
        <f>IF($F136="","",IFERROR(INDEX(사건마스터!$AU$5:$AU$64,MATCH($F136,사건마스터!$A$5:$A$64,0)),""))</f>
        <v/>
      </c>
      <c r="Y136" s="35">
        <f>IF($F136="","",IFERROR(INDEX(사건마스터!$AV$5:$AV$64,MATCH($F136,사건마스터!$A$5:$A$64,0)),""))</f>
        <v/>
      </c>
      <c r="Z136" s="30">
        <f>IF(COUNTBLANK($J136:$Y136)=16,"",16-COUNTBLANK($J136:$Y136))</f>
        <v/>
      </c>
      <c r="AA136" s="33">
        <f>IF($J136="",MID($AX136,3,255),$J136&amp;$AX136)</f>
        <v/>
      </c>
      <c r="AB136" s="34">
        <f>IF($J136="","",IFERROR(INDEX(코드설정!$D$5:$D$24,MATCH($J136,코드설정!$C$5:$C$24,0)),""))</f>
        <v/>
      </c>
      <c r="AC136" s="36" t="n"/>
      <c r="AD136" s="37" t="n"/>
      <c r="AE136" s="38" t="n"/>
      <c r="AF136" s="30">
        <f>IF(OR($B136="",$C136=""),"",$C136-$B136+1)</f>
        <v/>
      </c>
      <c r="AG136" s="32" t="n"/>
      <c r="AH136" s="36" t="n"/>
      <c r="AJ136">
        <f>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  <c r="AX136">
        <f>AW136&amp;IF($Y136="","",", "&amp;$Y136)</f>
        <v/>
      </c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0">
        <f>IF($F137="","",COUNTIF($F$5:$F137,$F137))</f>
        <v/>
      </c>
      <c r="H137" s="33">
        <f>IF($F137="","",IFERROR(INDEX(사건마스터!$B$5:$B$64,MATCH($F137,사건마스터!$A$5:$A$64,0)),""))</f>
        <v/>
      </c>
      <c r="I137" s="34">
        <f>IF($F137="","",IFERROR(INDEX(사건마스터!$C$5:$C$64,MATCH($F137,사건마스터!$A$5:$A$64,0)),""))</f>
        <v/>
      </c>
      <c r="J137" s="35">
        <f>IF($F137="","",IFERROR(INDEX(사건마스터!$H$5:$H$64,MATCH($F137,사건마스터!$A$5:$A$64,0)),""))</f>
        <v/>
      </c>
      <c r="K137" s="35">
        <f>IF($F137="","",IFERROR(INDEX(사건마스터!$AH$5:$AH$64,MATCH($F137,사건마스터!$A$5:$A$64,0)),""))</f>
        <v/>
      </c>
      <c r="L137" s="35">
        <f>IF($F137="","",IFERROR(INDEX(사건마스터!$AI$5:$AI$64,MATCH($F137,사건마스터!$A$5:$A$64,0)),""))</f>
        <v/>
      </c>
      <c r="M137" s="35">
        <f>IF($F137="","",IFERROR(INDEX(사건마스터!$AJ$5:$AJ$64,MATCH($F137,사건마스터!$A$5:$A$64,0)),""))</f>
        <v/>
      </c>
      <c r="N137" s="35">
        <f>IF($F137="","",IFERROR(INDEX(사건마스터!$AK$5:$AK$64,MATCH($F137,사건마스터!$A$5:$A$64,0)),""))</f>
        <v/>
      </c>
      <c r="O137" s="35">
        <f>IF($F137="","",IFERROR(INDEX(사건마스터!$AL$5:$AL$64,MATCH($F137,사건마스터!$A$5:$A$64,0)),""))</f>
        <v/>
      </c>
      <c r="P137" s="35">
        <f>IF($F137="","",IFERROR(INDEX(사건마스터!$AM$5:$AM$64,MATCH($F137,사건마스터!$A$5:$A$64,0)),""))</f>
        <v/>
      </c>
      <c r="Q137" s="35">
        <f>IF($F137="","",IFERROR(INDEX(사건마스터!$AN$5:$AN$64,MATCH($F137,사건마스터!$A$5:$A$64,0)),""))</f>
        <v/>
      </c>
      <c r="R137" s="35">
        <f>IF($F137="","",IFERROR(INDEX(사건마스터!$AO$5:$AO$64,MATCH($F137,사건마스터!$A$5:$A$64,0)),""))</f>
        <v/>
      </c>
      <c r="S137" s="35">
        <f>IF($F137="","",IFERROR(INDEX(사건마스터!$AP$5:$AP$64,MATCH($F137,사건마스터!$A$5:$A$64,0)),""))</f>
        <v/>
      </c>
      <c r="T137" s="35">
        <f>IF($F137="","",IFERROR(INDEX(사건마스터!$AQ$5:$AQ$64,MATCH($F137,사건마스터!$A$5:$A$64,0)),""))</f>
        <v/>
      </c>
      <c r="U137" s="35">
        <f>IF($F137="","",IFERROR(INDEX(사건마스터!$AR$5:$AR$64,MATCH($F137,사건마스터!$A$5:$A$64,0)),""))</f>
        <v/>
      </c>
      <c r="V137" s="35">
        <f>IF($F137="","",IFERROR(INDEX(사건마스터!$AS$5:$AS$64,MATCH($F137,사건마스터!$A$5:$A$64,0)),""))</f>
        <v/>
      </c>
      <c r="W137" s="35">
        <f>IF($F137="","",IFERROR(INDEX(사건마스터!$AT$5:$AT$64,MATCH($F137,사건마스터!$A$5:$A$64,0)),""))</f>
        <v/>
      </c>
      <c r="X137" s="35">
        <f>IF($F137="","",IFERROR(INDEX(사건마스터!$AU$5:$AU$64,MATCH($F137,사건마스터!$A$5:$A$64,0)),""))</f>
        <v/>
      </c>
      <c r="Y137" s="35">
        <f>IF($F137="","",IFERROR(INDEX(사건마스터!$AV$5:$AV$64,MATCH($F137,사건마스터!$A$5:$A$64,0)),""))</f>
        <v/>
      </c>
      <c r="Z137" s="30">
        <f>IF(COUNTBLANK($J137:$Y137)=16,"",16-COUNTBLANK($J137:$Y137))</f>
        <v/>
      </c>
      <c r="AA137" s="33">
        <f>IF($J137="",MID($AX137,3,255),$J137&amp;$AX137)</f>
        <v/>
      </c>
      <c r="AB137" s="34">
        <f>IF($J137="","",IFERROR(INDEX(코드설정!$D$5:$D$24,MATCH($J137,코드설정!$C$5:$C$24,0)),""))</f>
        <v/>
      </c>
      <c r="AC137" s="36" t="n"/>
      <c r="AD137" s="37" t="n"/>
      <c r="AE137" s="38" t="n"/>
      <c r="AF137" s="30">
        <f>IF(OR($B137="",$C137=""),"",$C137-$B137+1)</f>
        <v/>
      </c>
      <c r="AG137" s="32" t="n"/>
      <c r="AH137" s="36" t="n"/>
      <c r="AJ137">
        <f>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  <c r="AX137">
        <f>AW137&amp;IF($Y137="","",", "&amp;$Y137)</f>
        <v/>
      </c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0">
        <f>IF($F138="","",COUNTIF($F$5:$F138,$F138))</f>
        <v/>
      </c>
      <c r="H138" s="33">
        <f>IF($F138="","",IFERROR(INDEX(사건마스터!$B$5:$B$64,MATCH($F138,사건마스터!$A$5:$A$64,0)),""))</f>
        <v/>
      </c>
      <c r="I138" s="34">
        <f>IF($F138="","",IFERROR(INDEX(사건마스터!$C$5:$C$64,MATCH($F138,사건마스터!$A$5:$A$64,0)),""))</f>
        <v/>
      </c>
      <c r="J138" s="35">
        <f>IF($F138="","",IFERROR(INDEX(사건마스터!$H$5:$H$64,MATCH($F138,사건마스터!$A$5:$A$64,0)),""))</f>
        <v/>
      </c>
      <c r="K138" s="35">
        <f>IF($F138="","",IFERROR(INDEX(사건마스터!$AH$5:$AH$64,MATCH($F138,사건마스터!$A$5:$A$64,0)),""))</f>
        <v/>
      </c>
      <c r="L138" s="35">
        <f>IF($F138="","",IFERROR(INDEX(사건마스터!$AI$5:$AI$64,MATCH($F138,사건마스터!$A$5:$A$64,0)),""))</f>
        <v/>
      </c>
      <c r="M138" s="35">
        <f>IF($F138="","",IFERROR(INDEX(사건마스터!$AJ$5:$AJ$64,MATCH($F138,사건마스터!$A$5:$A$64,0)),""))</f>
        <v/>
      </c>
      <c r="N138" s="35">
        <f>IF($F138="","",IFERROR(INDEX(사건마스터!$AK$5:$AK$64,MATCH($F138,사건마스터!$A$5:$A$64,0)),""))</f>
        <v/>
      </c>
      <c r="O138" s="35">
        <f>IF($F138="","",IFERROR(INDEX(사건마스터!$AL$5:$AL$64,MATCH($F138,사건마스터!$A$5:$A$64,0)),""))</f>
        <v/>
      </c>
      <c r="P138" s="35">
        <f>IF($F138="","",IFERROR(INDEX(사건마스터!$AM$5:$AM$64,MATCH($F138,사건마스터!$A$5:$A$64,0)),""))</f>
        <v/>
      </c>
      <c r="Q138" s="35">
        <f>IF($F138="","",IFERROR(INDEX(사건마스터!$AN$5:$AN$64,MATCH($F138,사건마스터!$A$5:$A$64,0)),""))</f>
        <v/>
      </c>
      <c r="R138" s="35">
        <f>IF($F138="","",IFERROR(INDEX(사건마스터!$AO$5:$AO$64,MATCH($F138,사건마스터!$A$5:$A$64,0)),""))</f>
        <v/>
      </c>
      <c r="S138" s="35">
        <f>IF($F138="","",IFERROR(INDEX(사건마스터!$AP$5:$AP$64,MATCH($F138,사건마스터!$A$5:$A$64,0)),""))</f>
        <v/>
      </c>
      <c r="T138" s="35">
        <f>IF($F138="","",IFERROR(INDEX(사건마스터!$AQ$5:$AQ$64,MATCH($F138,사건마스터!$A$5:$A$64,0)),""))</f>
        <v/>
      </c>
      <c r="U138" s="35">
        <f>IF($F138="","",IFERROR(INDEX(사건마스터!$AR$5:$AR$64,MATCH($F138,사건마스터!$A$5:$A$64,0)),""))</f>
        <v/>
      </c>
      <c r="V138" s="35">
        <f>IF($F138="","",IFERROR(INDEX(사건마스터!$AS$5:$AS$64,MATCH($F138,사건마스터!$A$5:$A$64,0)),""))</f>
        <v/>
      </c>
      <c r="W138" s="35">
        <f>IF($F138="","",IFERROR(INDEX(사건마스터!$AT$5:$AT$64,MATCH($F138,사건마스터!$A$5:$A$64,0)),""))</f>
        <v/>
      </c>
      <c r="X138" s="35">
        <f>IF($F138="","",IFERROR(INDEX(사건마스터!$AU$5:$AU$64,MATCH($F138,사건마스터!$A$5:$A$64,0)),""))</f>
        <v/>
      </c>
      <c r="Y138" s="35">
        <f>IF($F138="","",IFERROR(INDEX(사건마스터!$AV$5:$AV$64,MATCH($F138,사건마스터!$A$5:$A$64,0)),""))</f>
        <v/>
      </c>
      <c r="Z138" s="30">
        <f>IF(COUNTBLANK($J138:$Y138)=16,"",16-COUNTBLANK($J138:$Y138))</f>
        <v/>
      </c>
      <c r="AA138" s="33">
        <f>IF($J138="",MID($AX138,3,255),$J138&amp;$AX138)</f>
        <v/>
      </c>
      <c r="AB138" s="34">
        <f>IF($J138="","",IFERROR(INDEX(코드설정!$D$5:$D$24,MATCH($J138,코드설정!$C$5:$C$24,0)),""))</f>
        <v/>
      </c>
      <c r="AC138" s="36" t="n"/>
      <c r="AD138" s="37" t="n"/>
      <c r="AE138" s="38" t="n"/>
      <c r="AF138" s="30">
        <f>IF(OR($B138="",$C138=""),"",$C138-$B138+1)</f>
        <v/>
      </c>
      <c r="AG138" s="32" t="n"/>
      <c r="AH138" s="36" t="n"/>
      <c r="AJ138">
        <f>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  <c r="AX138">
        <f>AW138&amp;IF($Y138="","",", "&amp;$Y138)</f>
        <v/>
      </c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0">
        <f>IF($F139="","",COUNTIF($F$5:$F139,$F139))</f>
        <v/>
      </c>
      <c r="H139" s="33">
        <f>IF($F139="","",IFERROR(INDEX(사건마스터!$B$5:$B$64,MATCH($F139,사건마스터!$A$5:$A$64,0)),""))</f>
        <v/>
      </c>
      <c r="I139" s="34">
        <f>IF($F139="","",IFERROR(INDEX(사건마스터!$C$5:$C$64,MATCH($F139,사건마스터!$A$5:$A$64,0)),""))</f>
        <v/>
      </c>
      <c r="J139" s="35">
        <f>IF($F139="","",IFERROR(INDEX(사건마스터!$H$5:$H$64,MATCH($F139,사건마스터!$A$5:$A$64,0)),""))</f>
        <v/>
      </c>
      <c r="K139" s="35">
        <f>IF($F139="","",IFERROR(INDEX(사건마스터!$AH$5:$AH$64,MATCH($F139,사건마스터!$A$5:$A$64,0)),""))</f>
        <v/>
      </c>
      <c r="L139" s="35">
        <f>IF($F139="","",IFERROR(INDEX(사건마스터!$AI$5:$AI$64,MATCH($F139,사건마스터!$A$5:$A$64,0)),""))</f>
        <v/>
      </c>
      <c r="M139" s="35">
        <f>IF($F139="","",IFERROR(INDEX(사건마스터!$AJ$5:$AJ$64,MATCH($F139,사건마스터!$A$5:$A$64,0)),""))</f>
        <v/>
      </c>
      <c r="N139" s="35">
        <f>IF($F139="","",IFERROR(INDEX(사건마스터!$AK$5:$AK$64,MATCH($F139,사건마스터!$A$5:$A$64,0)),""))</f>
        <v/>
      </c>
      <c r="O139" s="35">
        <f>IF($F139="","",IFERROR(INDEX(사건마스터!$AL$5:$AL$64,MATCH($F139,사건마스터!$A$5:$A$64,0)),""))</f>
        <v/>
      </c>
      <c r="P139" s="35">
        <f>IF($F139="","",IFERROR(INDEX(사건마스터!$AM$5:$AM$64,MATCH($F139,사건마스터!$A$5:$A$64,0)),""))</f>
        <v/>
      </c>
      <c r="Q139" s="35">
        <f>IF($F139="","",IFERROR(INDEX(사건마스터!$AN$5:$AN$64,MATCH($F139,사건마스터!$A$5:$A$64,0)),""))</f>
        <v/>
      </c>
      <c r="R139" s="35">
        <f>IF($F139="","",IFERROR(INDEX(사건마스터!$AO$5:$AO$64,MATCH($F139,사건마스터!$A$5:$A$64,0)),""))</f>
        <v/>
      </c>
      <c r="S139" s="35">
        <f>IF($F139="","",IFERROR(INDEX(사건마스터!$AP$5:$AP$64,MATCH($F139,사건마스터!$A$5:$A$64,0)),""))</f>
        <v/>
      </c>
      <c r="T139" s="35">
        <f>IF($F139="","",IFERROR(INDEX(사건마스터!$AQ$5:$AQ$64,MATCH($F139,사건마스터!$A$5:$A$64,0)),""))</f>
        <v/>
      </c>
      <c r="U139" s="35">
        <f>IF($F139="","",IFERROR(INDEX(사건마스터!$AR$5:$AR$64,MATCH($F139,사건마스터!$A$5:$A$64,0)),""))</f>
        <v/>
      </c>
      <c r="V139" s="35">
        <f>IF($F139="","",IFERROR(INDEX(사건마스터!$AS$5:$AS$64,MATCH($F139,사건마스터!$A$5:$A$64,0)),""))</f>
        <v/>
      </c>
      <c r="W139" s="35">
        <f>IF($F139="","",IFERROR(INDEX(사건마스터!$AT$5:$AT$64,MATCH($F139,사건마스터!$A$5:$A$64,0)),""))</f>
        <v/>
      </c>
      <c r="X139" s="35">
        <f>IF($F139="","",IFERROR(INDEX(사건마스터!$AU$5:$AU$64,MATCH($F139,사건마스터!$A$5:$A$64,0)),""))</f>
        <v/>
      </c>
      <c r="Y139" s="35">
        <f>IF($F139="","",IFERROR(INDEX(사건마스터!$AV$5:$AV$64,MATCH($F139,사건마스터!$A$5:$A$64,0)),""))</f>
        <v/>
      </c>
      <c r="Z139" s="30">
        <f>IF(COUNTBLANK($J139:$Y139)=16,"",16-COUNTBLANK($J139:$Y139))</f>
        <v/>
      </c>
      <c r="AA139" s="33">
        <f>IF($J139="",MID($AX139,3,255),$J139&amp;$AX139)</f>
        <v/>
      </c>
      <c r="AB139" s="34">
        <f>IF($J139="","",IFERROR(INDEX(코드설정!$D$5:$D$24,MATCH($J139,코드설정!$C$5:$C$24,0)),""))</f>
        <v/>
      </c>
      <c r="AC139" s="36" t="n"/>
      <c r="AD139" s="37" t="n"/>
      <c r="AE139" s="38" t="n"/>
      <c r="AF139" s="30">
        <f>IF(OR($B139="",$C139=""),"",$C139-$B139+1)</f>
        <v/>
      </c>
      <c r="AG139" s="32" t="n"/>
      <c r="AH139" s="36" t="n"/>
      <c r="AJ139">
        <f>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  <c r="AX139">
        <f>AW139&amp;IF($Y139="","",", "&amp;$Y139)</f>
        <v/>
      </c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0">
        <f>IF($F140="","",COUNTIF($F$5:$F140,$F140))</f>
        <v/>
      </c>
      <c r="H140" s="33">
        <f>IF($F140="","",IFERROR(INDEX(사건마스터!$B$5:$B$64,MATCH($F140,사건마스터!$A$5:$A$64,0)),""))</f>
        <v/>
      </c>
      <c r="I140" s="34">
        <f>IF($F140="","",IFERROR(INDEX(사건마스터!$C$5:$C$64,MATCH($F140,사건마스터!$A$5:$A$64,0)),""))</f>
        <v/>
      </c>
      <c r="J140" s="35">
        <f>IF($F140="","",IFERROR(INDEX(사건마스터!$H$5:$H$64,MATCH($F140,사건마스터!$A$5:$A$64,0)),""))</f>
        <v/>
      </c>
      <c r="K140" s="35">
        <f>IF($F140="","",IFERROR(INDEX(사건마스터!$AH$5:$AH$64,MATCH($F140,사건마스터!$A$5:$A$64,0)),""))</f>
        <v/>
      </c>
      <c r="L140" s="35">
        <f>IF($F140="","",IFERROR(INDEX(사건마스터!$AI$5:$AI$64,MATCH($F140,사건마스터!$A$5:$A$64,0)),""))</f>
        <v/>
      </c>
      <c r="M140" s="35">
        <f>IF($F140="","",IFERROR(INDEX(사건마스터!$AJ$5:$AJ$64,MATCH($F140,사건마스터!$A$5:$A$64,0)),""))</f>
        <v/>
      </c>
      <c r="N140" s="35">
        <f>IF($F140="","",IFERROR(INDEX(사건마스터!$AK$5:$AK$64,MATCH($F140,사건마스터!$A$5:$A$64,0)),""))</f>
        <v/>
      </c>
      <c r="O140" s="35">
        <f>IF($F140="","",IFERROR(INDEX(사건마스터!$AL$5:$AL$64,MATCH($F140,사건마스터!$A$5:$A$64,0)),""))</f>
        <v/>
      </c>
      <c r="P140" s="35">
        <f>IF($F140="","",IFERROR(INDEX(사건마스터!$AM$5:$AM$64,MATCH($F140,사건마스터!$A$5:$A$64,0)),""))</f>
        <v/>
      </c>
      <c r="Q140" s="35">
        <f>IF($F140="","",IFERROR(INDEX(사건마스터!$AN$5:$AN$64,MATCH($F140,사건마스터!$A$5:$A$64,0)),""))</f>
        <v/>
      </c>
      <c r="R140" s="35">
        <f>IF($F140="","",IFERROR(INDEX(사건마스터!$AO$5:$AO$64,MATCH($F140,사건마스터!$A$5:$A$64,0)),""))</f>
        <v/>
      </c>
      <c r="S140" s="35">
        <f>IF($F140="","",IFERROR(INDEX(사건마스터!$AP$5:$AP$64,MATCH($F140,사건마스터!$A$5:$A$64,0)),""))</f>
        <v/>
      </c>
      <c r="T140" s="35">
        <f>IF($F140="","",IFERROR(INDEX(사건마스터!$AQ$5:$AQ$64,MATCH($F140,사건마스터!$A$5:$A$64,0)),""))</f>
        <v/>
      </c>
      <c r="U140" s="35">
        <f>IF($F140="","",IFERROR(INDEX(사건마스터!$AR$5:$AR$64,MATCH($F140,사건마스터!$A$5:$A$64,0)),""))</f>
        <v/>
      </c>
      <c r="V140" s="35">
        <f>IF($F140="","",IFERROR(INDEX(사건마스터!$AS$5:$AS$64,MATCH($F140,사건마스터!$A$5:$A$64,0)),""))</f>
        <v/>
      </c>
      <c r="W140" s="35">
        <f>IF($F140="","",IFERROR(INDEX(사건마스터!$AT$5:$AT$64,MATCH($F140,사건마스터!$A$5:$A$64,0)),""))</f>
        <v/>
      </c>
      <c r="X140" s="35">
        <f>IF($F140="","",IFERROR(INDEX(사건마스터!$AU$5:$AU$64,MATCH($F140,사건마스터!$A$5:$A$64,0)),""))</f>
        <v/>
      </c>
      <c r="Y140" s="35">
        <f>IF($F140="","",IFERROR(INDEX(사건마스터!$AV$5:$AV$64,MATCH($F140,사건마스터!$A$5:$A$64,0)),""))</f>
        <v/>
      </c>
      <c r="Z140" s="30">
        <f>IF(COUNTBLANK($J140:$Y140)=16,"",16-COUNTBLANK($J140:$Y140))</f>
        <v/>
      </c>
      <c r="AA140" s="33">
        <f>IF($J140="",MID($AX140,3,255),$J140&amp;$AX140)</f>
        <v/>
      </c>
      <c r="AB140" s="34">
        <f>IF($J140="","",IFERROR(INDEX(코드설정!$D$5:$D$24,MATCH($J140,코드설정!$C$5:$C$24,0)),""))</f>
        <v/>
      </c>
      <c r="AC140" s="36" t="n"/>
      <c r="AD140" s="37" t="n"/>
      <c r="AE140" s="38" t="n"/>
      <c r="AF140" s="30">
        <f>IF(OR($B140="",$C140=""),"",$C140-$B140+1)</f>
        <v/>
      </c>
      <c r="AG140" s="32" t="n"/>
      <c r="AH140" s="36" t="n"/>
      <c r="AJ140">
        <f>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  <c r="AX140">
        <f>AW140&amp;IF($Y140="","",", "&amp;$Y140)</f>
        <v/>
      </c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0">
        <f>IF($F141="","",COUNTIF($F$5:$F141,$F141))</f>
        <v/>
      </c>
      <c r="H141" s="33">
        <f>IF($F141="","",IFERROR(INDEX(사건마스터!$B$5:$B$64,MATCH($F141,사건마스터!$A$5:$A$64,0)),""))</f>
        <v/>
      </c>
      <c r="I141" s="34">
        <f>IF($F141="","",IFERROR(INDEX(사건마스터!$C$5:$C$64,MATCH($F141,사건마스터!$A$5:$A$64,0)),""))</f>
        <v/>
      </c>
      <c r="J141" s="35">
        <f>IF($F141="","",IFERROR(INDEX(사건마스터!$H$5:$H$64,MATCH($F141,사건마스터!$A$5:$A$64,0)),""))</f>
        <v/>
      </c>
      <c r="K141" s="35">
        <f>IF($F141="","",IFERROR(INDEX(사건마스터!$AH$5:$AH$64,MATCH($F141,사건마스터!$A$5:$A$64,0)),""))</f>
        <v/>
      </c>
      <c r="L141" s="35">
        <f>IF($F141="","",IFERROR(INDEX(사건마스터!$AI$5:$AI$64,MATCH($F141,사건마스터!$A$5:$A$64,0)),""))</f>
        <v/>
      </c>
      <c r="M141" s="35">
        <f>IF($F141="","",IFERROR(INDEX(사건마스터!$AJ$5:$AJ$64,MATCH($F141,사건마스터!$A$5:$A$64,0)),""))</f>
        <v/>
      </c>
      <c r="N141" s="35">
        <f>IF($F141="","",IFERROR(INDEX(사건마스터!$AK$5:$AK$64,MATCH($F141,사건마스터!$A$5:$A$64,0)),""))</f>
        <v/>
      </c>
      <c r="O141" s="35">
        <f>IF($F141="","",IFERROR(INDEX(사건마스터!$AL$5:$AL$64,MATCH($F141,사건마스터!$A$5:$A$64,0)),""))</f>
        <v/>
      </c>
      <c r="P141" s="35">
        <f>IF($F141="","",IFERROR(INDEX(사건마스터!$AM$5:$AM$64,MATCH($F141,사건마스터!$A$5:$A$64,0)),""))</f>
        <v/>
      </c>
      <c r="Q141" s="35">
        <f>IF($F141="","",IFERROR(INDEX(사건마스터!$AN$5:$AN$64,MATCH($F141,사건마스터!$A$5:$A$64,0)),""))</f>
        <v/>
      </c>
      <c r="R141" s="35">
        <f>IF($F141="","",IFERROR(INDEX(사건마스터!$AO$5:$AO$64,MATCH($F141,사건마스터!$A$5:$A$64,0)),""))</f>
        <v/>
      </c>
      <c r="S141" s="35">
        <f>IF($F141="","",IFERROR(INDEX(사건마스터!$AP$5:$AP$64,MATCH($F141,사건마스터!$A$5:$A$64,0)),""))</f>
        <v/>
      </c>
      <c r="T141" s="35">
        <f>IF($F141="","",IFERROR(INDEX(사건마스터!$AQ$5:$AQ$64,MATCH($F141,사건마스터!$A$5:$A$64,0)),""))</f>
        <v/>
      </c>
      <c r="U141" s="35">
        <f>IF($F141="","",IFERROR(INDEX(사건마스터!$AR$5:$AR$64,MATCH($F141,사건마스터!$A$5:$A$64,0)),""))</f>
        <v/>
      </c>
      <c r="V141" s="35">
        <f>IF($F141="","",IFERROR(INDEX(사건마스터!$AS$5:$AS$64,MATCH($F141,사건마스터!$A$5:$A$64,0)),""))</f>
        <v/>
      </c>
      <c r="W141" s="35">
        <f>IF($F141="","",IFERROR(INDEX(사건마스터!$AT$5:$AT$64,MATCH($F141,사건마스터!$A$5:$A$64,0)),""))</f>
        <v/>
      </c>
      <c r="X141" s="35">
        <f>IF($F141="","",IFERROR(INDEX(사건마스터!$AU$5:$AU$64,MATCH($F141,사건마스터!$A$5:$A$64,0)),""))</f>
        <v/>
      </c>
      <c r="Y141" s="35">
        <f>IF($F141="","",IFERROR(INDEX(사건마스터!$AV$5:$AV$64,MATCH($F141,사건마스터!$A$5:$A$64,0)),""))</f>
        <v/>
      </c>
      <c r="Z141" s="30">
        <f>IF(COUNTBLANK($J141:$Y141)=16,"",16-COUNTBLANK($J141:$Y141))</f>
        <v/>
      </c>
      <c r="AA141" s="33">
        <f>IF($J141="",MID($AX141,3,255),$J141&amp;$AX141)</f>
        <v/>
      </c>
      <c r="AB141" s="34">
        <f>IF($J141="","",IFERROR(INDEX(코드설정!$D$5:$D$24,MATCH($J141,코드설정!$C$5:$C$24,0)),""))</f>
        <v/>
      </c>
      <c r="AC141" s="36" t="n"/>
      <c r="AD141" s="37" t="n"/>
      <c r="AE141" s="38" t="n"/>
      <c r="AF141" s="30">
        <f>IF(OR($B141="",$C141=""),"",$C141-$B141+1)</f>
        <v/>
      </c>
      <c r="AG141" s="32" t="n"/>
      <c r="AH141" s="36" t="n"/>
      <c r="AJ141">
        <f>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  <c r="AX141">
        <f>AW141&amp;IF($Y141="","",", "&amp;$Y141)</f>
        <v/>
      </c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0">
        <f>IF($F142="","",COUNTIF($F$5:$F142,$F142))</f>
        <v/>
      </c>
      <c r="H142" s="33">
        <f>IF($F142="","",IFERROR(INDEX(사건마스터!$B$5:$B$64,MATCH($F142,사건마스터!$A$5:$A$64,0)),""))</f>
        <v/>
      </c>
      <c r="I142" s="34">
        <f>IF($F142="","",IFERROR(INDEX(사건마스터!$C$5:$C$64,MATCH($F142,사건마스터!$A$5:$A$64,0)),""))</f>
        <v/>
      </c>
      <c r="J142" s="35">
        <f>IF($F142="","",IFERROR(INDEX(사건마스터!$H$5:$H$64,MATCH($F142,사건마스터!$A$5:$A$64,0)),""))</f>
        <v/>
      </c>
      <c r="K142" s="35">
        <f>IF($F142="","",IFERROR(INDEX(사건마스터!$AH$5:$AH$64,MATCH($F142,사건마스터!$A$5:$A$64,0)),""))</f>
        <v/>
      </c>
      <c r="L142" s="35">
        <f>IF($F142="","",IFERROR(INDEX(사건마스터!$AI$5:$AI$64,MATCH($F142,사건마스터!$A$5:$A$64,0)),""))</f>
        <v/>
      </c>
      <c r="M142" s="35">
        <f>IF($F142="","",IFERROR(INDEX(사건마스터!$AJ$5:$AJ$64,MATCH($F142,사건마스터!$A$5:$A$64,0)),""))</f>
        <v/>
      </c>
      <c r="N142" s="35">
        <f>IF($F142="","",IFERROR(INDEX(사건마스터!$AK$5:$AK$64,MATCH($F142,사건마스터!$A$5:$A$64,0)),""))</f>
        <v/>
      </c>
      <c r="O142" s="35">
        <f>IF($F142="","",IFERROR(INDEX(사건마스터!$AL$5:$AL$64,MATCH($F142,사건마스터!$A$5:$A$64,0)),""))</f>
        <v/>
      </c>
      <c r="P142" s="35">
        <f>IF($F142="","",IFERROR(INDEX(사건마스터!$AM$5:$AM$64,MATCH($F142,사건마스터!$A$5:$A$64,0)),""))</f>
        <v/>
      </c>
      <c r="Q142" s="35">
        <f>IF($F142="","",IFERROR(INDEX(사건마스터!$AN$5:$AN$64,MATCH($F142,사건마스터!$A$5:$A$64,0)),""))</f>
        <v/>
      </c>
      <c r="R142" s="35">
        <f>IF($F142="","",IFERROR(INDEX(사건마스터!$AO$5:$AO$64,MATCH($F142,사건마스터!$A$5:$A$64,0)),""))</f>
        <v/>
      </c>
      <c r="S142" s="35">
        <f>IF($F142="","",IFERROR(INDEX(사건마스터!$AP$5:$AP$64,MATCH($F142,사건마스터!$A$5:$A$64,0)),""))</f>
        <v/>
      </c>
      <c r="T142" s="35">
        <f>IF($F142="","",IFERROR(INDEX(사건마스터!$AQ$5:$AQ$64,MATCH($F142,사건마스터!$A$5:$A$64,0)),""))</f>
        <v/>
      </c>
      <c r="U142" s="35">
        <f>IF($F142="","",IFERROR(INDEX(사건마스터!$AR$5:$AR$64,MATCH($F142,사건마스터!$A$5:$A$64,0)),""))</f>
        <v/>
      </c>
      <c r="V142" s="35">
        <f>IF($F142="","",IFERROR(INDEX(사건마스터!$AS$5:$AS$64,MATCH($F142,사건마스터!$A$5:$A$64,0)),""))</f>
        <v/>
      </c>
      <c r="W142" s="35">
        <f>IF($F142="","",IFERROR(INDEX(사건마스터!$AT$5:$AT$64,MATCH($F142,사건마스터!$A$5:$A$64,0)),""))</f>
        <v/>
      </c>
      <c r="X142" s="35">
        <f>IF($F142="","",IFERROR(INDEX(사건마스터!$AU$5:$AU$64,MATCH($F142,사건마스터!$A$5:$A$64,0)),""))</f>
        <v/>
      </c>
      <c r="Y142" s="35">
        <f>IF($F142="","",IFERROR(INDEX(사건마스터!$AV$5:$AV$64,MATCH($F142,사건마스터!$A$5:$A$64,0)),""))</f>
        <v/>
      </c>
      <c r="Z142" s="30">
        <f>IF(COUNTBLANK($J142:$Y142)=16,"",16-COUNTBLANK($J142:$Y142))</f>
        <v/>
      </c>
      <c r="AA142" s="33">
        <f>IF($J142="",MID($AX142,3,255),$J142&amp;$AX142)</f>
        <v/>
      </c>
      <c r="AB142" s="34">
        <f>IF($J142="","",IFERROR(INDEX(코드설정!$D$5:$D$24,MATCH($J142,코드설정!$C$5:$C$24,0)),""))</f>
        <v/>
      </c>
      <c r="AC142" s="36" t="n"/>
      <c r="AD142" s="37" t="n"/>
      <c r="AE142" s="38" t="n"/>
      <c r="AF142" s="30">
        <f>IF(OR($B142="",$C142=""),"",$C142-$B142+1)</f>
        <v/>
      </c>
      <c r="AG142" s="32" t="n"/>
      <c r="AH142" s="36" t="n"/>
      <c r="AJ142">
        <f>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  <c r="AX142">
        <f>AW142&amp;IF($Y142="","",", "&amp;$Y142)</f>
        <v/>
      </c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0">
        <f>IF($F143="","",COUNTIF($F$5:$F143,$F143))</f>
        <v/>
      </c>
      <c r="H143" s="33">
        <f>IF($F143="","",IFERROR(INDEX(사건마스터!$B$5:$B$64,MATCH($F143,사건마스터!$A$5:$A$64,0)),""))</f>
        <v/>
      </c>
      <c r="I143" s="34">
        <f>IF($F143="","",IFERROR(INDEX(사건마스터!$C$5:$C$64,MATCH($F143,사건마스터!$A$5:$A$64,0)),""))</f>
        <v/>
      </c>
      <c r="J143" s="35">
        <f>IF($F143="","",IFERROR(INDEX(사건마스터!$H$5:$H$64,MATCH($F143,사건마스터!$A$5:$A$64,0)),""))</f>
        <v/>
      </c>
      <c r="K143" s="35">
        <f>IF($F143="","",IFERROR(INDEX(사건마스터!$AH$5:$AH$64,MATCH($F143,사건마스터!$A$5:$A$64,0)),""))</f>
        <v/>
      </c>
      <c r="L143" s="35">
        <f>IF($F143="","",IFERROR(INDEX(사건마스터!$AI$5:$AI$64,MATCH($F143,사건마스터!$A$5:$A$64,0)),""))</f>
        <v/>
      </c>
      <c r="M143" s="35">
        <f>IF($F143="","",IFERROR(INDEX(사건마스터!$AJ$5:$AJ$64,MATCH($F143,사건마스터!$A$5:$A$64,0)),""))</f>
        <v/>
      </c>
      <c r="N143" s="35">
        <f>IF($F143="","",IFERROR(INDEX(사건마스터!$AK$5:$AK$64,MATCH($F143,사건마스터!$A$5:$A$64,0)),""))</f>
        <v/>
      </c>
      <c r="O143" s="35">
        <f>IF($F143="","",IFERROR(INDEX(사건마스터!$AL$5:$AL$64,MATCH($F143,사건마스터!$A$5:$A$64,0)),""))</f>
        <v/>
      </c>
      <c r="P143" s="35">
        <f>IF($F143="","",IFERROR(INDEX(사건마스터!$AM$5:$AM$64,MATCH($F143,사건마스터!$A$5:$A$64,0)),""))</f>
        <v/>
      </c>
      <c r="Q143" s="35">
        <f>IF($F143="","",IFERROR(INDEX(사건마스터!$AN$5:$AN$64,MATCH($F143,사건마스터!$A$5:$A$64,0)),""))</f>
        <v/>
      </c>
      <c r="R143" s="35">
        <f>IF($F143="","",IFERROR(INDEX(사건마스터!$AO$5:$AO$64,MATCH($F143,사건마스터!$A$5:$A$64,0)),""))</f>
        <v/>
      </c>
      <c r="S143" s="35">
        <f>IF($F143="","",IFERROR(INDEX(사건마스터!$AP$5:$AP$64,MATCH($F143,사건마스터!$A$5:$A$64,0)),""))</f>
        <v/>
      </c>
      <c r="T143" s="35">
        <f>IF($F143="","",IFERROR(INDEX(사건마스터!$AQ$5:$AQ$64,MATCH($F143,사건마스터!$A$5:$A$64,0)),""))</f>
        <v/>
      </c>
      <c r="U143" s="35">
        <f>IF($F143="","",IFERROR(INDEX(사건마스터!$AR$5:$AR$64,MATCH($F143,사건마스터!$A$5:$A$64,0)),""))</f>
        <v/>
      </c>
      <c r="V143" s="35">
        <f>IF($F143="","",IFERROR(INDEX(사건마스터!$AS$5:$AS$64,MATCH($F143,사건마스터!$A$5:$A$64,0)),""))</f>
        <v/>
      </c>
      <c r="W143" s="35">
        <f>IF($F143="","",IFERROR(INDEX(사건마스터!$AT$5:$AT$64,MATCH($F143,사건마스터!$A$5:$A$64,0)),""))</f>
        <v/>
      </c>
      <c r="X143" s="35">
        <f>IF($F143="","",IFERROR(INDEX(사건마스터!$AU$5:$AU$64,MATCH($F143,사건마스터!$A$5:$A$64,0)),""))</f>
        <v/>
      </c>
      <c r="Y143" s="35">
        <f>IF($F143="","",IFERROR(INDEX(사건마스터!$AV$5:$AV$64,MATCH($F143,사건마스터!$A$5:$A$64,0)),""))</f>
        <v/>
      </c>
      <c r="Z143" s="30">
        <f>IF(COUNTBLANK($J143:$Y143)=16,"",16-COUNTBLANK($J143:$Y143))</f>
        <v/>
      </c>
      <c r="AA143" s="33">
        <f>IF($J143="",MID($AX143,3,255),$J143&amp;$AX143)</f>
        <v/>
      </c>
      <c r="AB143" s="34">
        <f>IF($J143="","",IFERROR(INDEX(코드설정!$D$5:$D$24,MATCH($J143,코드설정!$C$5:$C$24,0)),""))</f>
        <v/>
      </c>
      <c r="AC143" s="36" t="n"/>
      <c r="AD143" s="37" t="n"/>
      <c r="AE143" s="38" t="n"/>
      <c r="AF143" s="30">
        <f>IF(OR($B143="",$C143=""),"",$C143-$B143+1)</f>
        <v/>
      </c>
      <c r="AG143" s="32" t="n"/>
      <c r="AH143" s="36" t="n"/>
      <c r="AJ143">
        <f>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  <c r="AX143">
        <f>AW143&amp;IF($Y143="","",", "&amp;$Y143)</f>
        <v/>
      </c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0">
        <f>IF($F144="","",COUNTIF($F$5:$F144,$F144))</f>
        <v/>
      </c>
      <c r="H144" s="33">
        <f>IF($F144="","",IFERROR(INDEX(사건마스터!$B$5:$B$64,MATCH($F144,사건마스터!$A$5:$A$64,0)),""))</f>
        <v/>
      </c>
      <c r="I144" s="34">
        <f>IF($F144="","",IFERROR(INDEX(사건마스터!$C$5:$C$64,MATCH($F144,사건마스터!$A$5:$A$64,0)),""))</f>
        <v/>
      </c>
      <c r="J144" s="35">
        <f>IF($F144="","",IFERROR(INDEX(사건마스터!$H$5:$H$64,MATCH($F144,사건마스터!$A$5:$A$64,0)),""))</f>
        <v/>
      </c>
      <c r="K144" s="35">
        <f>IF($F144="","",IFERROR(INDEX(사건마스터!$AH$5:$AH$64,MATCH($F144,사건마스터!$A$5:$A$64,0)),""))</f>
        <v/>
      </c>
      <c r="L144" s="35">
        <f>IF($F144="","",IFERROR(INDEX(사건마스터!$AI$5:$AI$64,MATCH($F144,사건마스터!$A$5:$A$64,0)),""))</f>
        <v/>
      </c>
      <c r="M144" s="35">
        <f>IF($F144="","",IFERROR(INDEX(사건마스터!$AJ$5:$AJ$64,MATCH($F144,사건마스터!$A$5:$A$64,0)),""))</f>
        <v/>
      </c>
      <c r="N144" s="35">
        <f>IF($F144="","",IFERROR(INDEX(사건마스터!$AK$5:$AK$64,MATCH($F144,사건마스터!$A$5:$A$64,0)),""))</f>
        <v/>
      </c>
      <c r="O144" s="35">
        <f>IF($F144="","",IFERROR(INDEX(사건마스터!$AL$5:$AL$64,MATCH($F144,사건마스터!$A$5:$A$64,0)),""))</f>
        <v/>
      </c>
      <c r="P144" s="35">
        <f>IF($F144="","",IFERROR(INDEX(사건마스터!$AM$5:$AM$64,MATCH($F144,사건마스터!$A$5:$A$64,0)),""))</f>
        <v/>
      </c>
      <c r="Q144" s="35">
        <f>IF($F144="","",IFERROR(INDEX(사건마스터!$AN$5:$AN$64,MATCH($F144,사건마스터!$A$5:$A$64,0)),""))</f>
        <v/>
      </c>
      <c r="R144" s="35">
        <f>IF($F144="","",IFERROR(INDEX(사건마스터!$AO$5:$AO$64,MATCH($F144,사건마스터!$A$5:$A$64,0)),""))</f>
        <v/>
      </c>
      <c r="S144" s="35">
        <f>IF($F144="","",IFERROR(INDEX(사건마스터!$AP$5:$AP$64,MATCH($F144,사건마스터!$A$5:$A$64,0)),""))</f>
        <v/>
      </c>
      <c r="T144" s="35">
        <f>IF($F144="","",IFERROR(INDEX(사건마스터!$AQ$5:$AQ$64,MATCH($F144,사건마스터!$A$5:$A$64,0)),""))</f>
        <v/>
      </c>
      <c r="U144" s="35">
        <f>IF($F144="","",IFERROR(INDEX(사건마스터!$AR$5:$AR$64,MATCH($F144,사건마스터!$A$5:$A$64,0)),""))</f>
        <v/>
      </c>
      <c r="V144" s="35">
        <f>IF($F144="","",IFERROR(INDEX(사건마스터!$AS$5:$AS$64,MATCH($F144,사건마스터!$A$5:$A$64,0)),""))</f>
        <v/>
      </c>
      <c r="W144" s="35">
        <f>IF($F144="","",IFERROR(INDEX(사건마스터!$AT$5:$AT$64,MATCH($F144,사건마스터!$A$5:$A$64,0)),""))</f>
        <v/>
      </c>
      <c r="X144" s="35">
        <f>IF($F144="","",IFERROR(INDEX(사건마스터!$AU$5:$AU$64,MATCH($F144,사건마스터!$A$5:$A$64,0)),""))</f>
        <v/>
      </c>
      <c r="Y144" s="35">
        <f>IF($F144="","",IFERROR(INDEX(사건마스터!$AV$5:$AV$64,MATCH($F144,사건마스터!$A$5:$A$64,0)),""))</f>
        <v/>
      </c>
      <c r="Z144" s="30">
        <f>IF(COUNTBLANK($J144:$Y144)=16,"",16-COUNTBLANK($J144:$Y144))</f>
        <v/>
      </c>
      <c r="AA144" s="33">
        <f>IF($J144="",MID($AX144,3,255),$J144&amp;$AX144)</f>
        <v/>
      </c>
      <c r="AB144" s="34">
        <f>IF($J144="","",IFERROR(INDEX(코드설정!$D$5:$D$24,MATCH($J144,코드설정!$C$5:$C$24,0)),""))</f>
        <v/>
      </c>
      <c r="AC144" s="36" t="n"/>
      <c r="AD144" s="37" t="n"/>
      <c r="AE144" s="38" t="n"/>
      <c r="AF144" s="30">
        <f>IF(OR($B144="",$C144=""),"",$C144-$B144+1)</f>
        <v/>
      </c>
      <c r="AG144" s="32" t="n"/>
      <c r="AH144" s="36" t="n"/>
      <c r="AJ144">
        <f>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  <c r="AX144">
        <f>AW144&amp;IF($Y144="","",", "&amp;$Y144)</f>
        <v/>
      </c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0">
        <f>IF($F145="","",COUNTIF($F$5:$F145,$F145))</f>
        <v/>
      </c>
      <c r="H145" s="33">
        <f>IF($F145="","",IFERROR(INDEX(사건마스터!$B$5:$B$64,MATCH($F145,사건마스터!$A$5:$A$64,0)),""))</f>
        <v/>
      </c>
      <c r="I145" s="34">
        <f>IF($F145="","",IFERROR(INDEX(사건마스터!$C$5:$C$64,MATCH($F145,사건마스터!$A$5:$A$64,0)),""))</f>
        <v/>
      </c>
      <c r="J145" s="35">
        <f>IF($F145="","",IFERROR(INDEX(사건마스터!$H$5:$H$64,MATCH($F145,사건마스터!$A$5:$A$64,0)),""))</f>
        <v/>
      </c>
      <c r="K145" s="35">
        <f>IF($F145="","",IFERROR(INDEX(사건마스터!$AH$5:$AH$64,MATCH($F145,사건마스터!$A$5:$A$64,0)),""))</f>
        <v/>
      </c>
      <c r="L145" s="35">
        <f>IF($F145="","",IFERROR(INDEX(사건마스터!$AI$5:$AI$64,MATCH($F145,사건마스터!$A$5:$A$64,0)),""))</f>
        <v/>
      </c>
      <c r="M145" s="35">
        <f>IF($F145="","",IFERROR(INDEX(사건마스터!$AJ$5:$AJ$64,MATCH($F145,사건마스터!$A$5:$A$64,0)),""))</f>
        <v/>
      </c>
      <c r="N145" s="35">
        <f>IF($F145="","",IFERROR(INDEX(사건마스터!$AK$5:$AK$64,MATCH($F145,사건마스터!$A$5:$A$64,0)),""))</f>
        <v/>
      </c>
      <c r="O145" s="35">
        <f>IF($F145="","",IFERROR(INDEX(사건마스터!$AL$5:$AL$64,MATCH($F145,사건마스터!$A$5:$A$64,0)),""))</f>
        <v/>
      </c>
      <c r="P145" s="35">
        <f>IF($F145="","",IFERROR(INDEX(사건마스터!$AM$5:$AM$64,MATCH($F145,사건마스터!$A$5:$A$64,0)),""))</f>
        <v/>
      </c>
      <c r="Q145" s="35">
        <f>IF($F145="","",IFERROR(INDEX(사건마스터!$AN$5:$AN$64,MATCH($F145,사건마스터!$A$5:$A$64,0)),""))</f>
        <v/>
      </c>
      <c r="R145" s="35">
        <f>IF($F145="","",IFERROR(INDEX(사건마스터!$AO$5:$AO$64,MATCH($F145,사건마스터!$A$5:$A$64,0)),""))</f>
        <v/>
      </c>
      <c r="S145" s="35">
        <f>IF($F145="","",IFERROR(INDEX(사건마스터!$AP$5:$AP$64,MATCH($F145,사건마스터!$A$5:$A$64,0)),""))</f>
        <v/>
      </c>
      <c r="T145" s="35">
        <f>IF($F145="","",IFERROR(INDEX(사건마스터!$AQ$5:$AQ$64,MATCH($F145,사건마스터!$A$5:$A$64,0)),""))</f>
        <v/>
      </c>
      <c r="U145" s="35">
        <f>IF($F145="","",IFERROR(INDEX(사건마스터!$AR$5:$AR$64,MATCH($F145,사건마스터!$A$5:$A$64,0)),""))</f>
        <v/>
      </c>
      <c r="V145" s="35">
        <f>IF($F145="","",IFERROR(INDEX(사건마스터!$AS$5:$AS$64,MATCH($F145,사건마스터!$A$5:$A$64,0)),""))</f>
        <v/>
      </c>
      <c r="W145" s="35">
        <f>IF($F145="","",IFERROR(INDEX(사건마스터!$AT$5:$AT$64,MATCH($F145,사건마스터!$A$5:$A$64,0)),""))</f>
        <v/>
      </c>
      <c r="X145" s="35">
        <f>IF($F145="","",IFERROR(INDEX(사건마스터!$AU$5:$AU$64,MATCH($F145,사건마스터!$A$5:$A$64,0)),""))</f>
        <v/>
      </c>
      <c r="Y145" s="35">
        <f>IF($F145="","",IFERROR(INDEX(사건마스터!$AV$5:$AV$64,MATCH($F145,사건마스터!$A$5:$A$64,0)),""))</f>
        <v/>
      </c>
      <c r="Z145" s="30">
        <f>IF(COUNTBLANK($J145:$Y145)=16,"",16-COUNTBLANK($J145:$Y145))</f>
        <v/>
      </c>
      <c r="AA145" s="33">
        <f>IF($J145="",MID($AX145,3,255),$J145&amp;$AX145)</f>
        <v/>
      </c>
      <c r="AB145" s="34">
        <f>IF($J145="","",IFERROR(INDEX(코드설정!$D$5:$D$24,MATCH($J145,코드설정!$C$5:$C$24,0)),""))</f>
        <v/>
      </c>
      <c r="AC145" s="36" t="n"/>
      <c r="AD145" s="37" t="n"/>
      <c r="AE145" s="38" t="n"/>
      <c r="AF145" s="30">
        <f>IF(OR($B145="",$C145=""),"",$C145-$B145+1)</f>
        <v/>
      </c>
      <c r="AG145" s="32" t="n"/>
      <c r="AH145" s="36" t="n"/>
      <c r="AJ145">
        <f>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  <c r="AX145">
        <f>AW145&amp;IF($Y145="","",", "&amp;$Y145)</f>
        <v/>
      </c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0">
        <f>IF($F146="","",COUNTIF($F$5:$F146,$F146))</f>
        <v/>
      </c>
      <c r="H146" s="33">
        <f>IF($F146="","",IFERROR(INDEX(사건마스터!$B$5:$B$64,MATCH($F146,사건마스터!$A$5:$A$64,0)),""))</f>
        <v/>
      </c>
      <c r="I146" s="34">
        <f>IF($F146="","",IFERROR(INDEX(사건마스터!$C$5:$C$64,MATCH($F146,사건마스터!$A$5:$A$64,0)),""))</f>
        <v/>
      </c>
      <c r="J146" s="35">
        <f>IF($F146="","",IFERROR(INDEX(사건마스터!$H$5:$H$64,MATCH($F146,사건마스터!$A$5:$A$64,0)),""))</f>
        <v/>
      </c>
      <c r="K146" s="35">
        <f>IF($F146="","",IFERROR(INDEX(사건마스터!$AH$5:$AH$64,MATCH($F146,사건마스터!$A$5:$A$64,0)),""))</f>
        <v/>
      </c>
      <c r="L146" s="35">
        <f>IF($F146="","",IFERROR(INDEX(사건마스터!$AI$5:$AI$64,MATCH($F146,사건마스터!$A$5:$A$64,0)),""))</f>
        <v/>
      </c>
      <c r="M146" s="35">
        <f>IF($F146="","",IFERROR(INDEX(사건마스터!$AJ$5:$AJ$64,MATCH($F146,사건마스터!$A$5:$A$64,0)),""))</f>
        <v/>
      </c>
      <c r="N146" s="35">
        <f>IF($F146="","",IFERROR(INDEX(사건마스터!$AK$5:$AK$64,MATCH($F146,사건마스터!$A$5:$A$64,0)),""))</f>
        <v/>
      </c>
      <c r="O146" s="35">
        <f>IF($F146="","",IFERROR(INDEX(사건마스터!$AL$5:$AL$64,MATCH($F146,사건마스터!$A$5:$A$64,0)),""))</f>
        <v/>
      </c>
      <c r="P146" s="35">
        <f>IF($F146="","",IFERROR(INDEX(사건마스터!$AM$5:$AM$64,MATCH($F146,사건마스터!$A$5:$A$64,0)),""))</f>
        <v/>
      </c>
      <c r="Q146" s="35">
        <f>IF($F146="","",IFERROR(INDEX(사건마스터!$AN$5:$AN$64,MATCH($F146,사건마스터!$A$5:$A$64,0)),""))</f>
        <v/>
      </c>
      <c r="R146" s="35">
        <f>IF($F146="","",IFERROR(INDEX(사건마스터!$AO$5:$AO$64,MATCH($F146,사건마스터!$A$5:$A$64,0)),""))</f>
        <v/>
      </c>
      <c r="S146" s="35">
        <f>IF($F146="","",IFERROR(INDEX(사건마스터!$AP$5:$AP$64,MATCH($F146,사건마스터!$A$5:$A$64,0)),""))</f>
        <v/>
      </c>
      <c r="T146" s="35">
        <f>IF($F146="","",IFERROR(INDEX(사건마스터!$AQ$5:$AQ$64,MATCH($F146,사건마스터!$A$5:$A$64,0)),""))</f>
        <v/>
      </c>
      <c r="U146" s="35">
        <f>IF($F146="","",IFERROR(INDEX(사건마스터!$AR$5:$AR$64,MATCH($F146,사건마스터!$A$5:$A$64,0)),""))</f>
        <v/>
      </c>
      <c r="V146" s="35">
        <f>IF($F146="","",IFERROR(INDEX(사건마스터!$AS$5:$AS$64,MATCH($F146,사건마스터!$A$5:$A$64,0)),""))</f>
        <v/>
      </c>
      <c r="W146" s="35">
        <f>IF($F146="","",IFERROR(INDEX(사건마스터!$AT$5:$AT$64,MATCH($F146,사건마스터!$A$5:$A$64,0)),""))</f>
        <v/>
      </c>
      <c r="X146" s="35">
        <f>IF($F146="","",IFERROR(INDEX(사건마스터!$AU$5:$AU$64,MATCH($F146,사건마스터!$A$5:$A$64,0)),""))</f>
        <v/>
      </c>
      <c r="Y146" s="35">
        <f>IF($F146="","",IFERROR(INDEX(사건마스터!$AV$5:$AV$64,MATCH($F146,사건마스터!$A$5:$A$64,0)),""))</f>
        <v/>
      </c>
      <c r="Z146" s="30">
        <f>IF(COUNTBLANK($J146:$Y146)=16,"",16-COUNTBLANK($J146:$Y146))</f>
        <v/>
      </c>
      <c r="AA146" s="33">
        <f>IF($J146="",MID($AX146,3,255),$J146&amp;$AX146)</f>
        <v/>
      </c>
      <c r="AB146" s="34">
        <f>IF($J146="","",IFERROR(INDEX(코드설정!$D$5:$D$24,MATCH($J146,코드설정!$C$5:$C$24,0)),""))</f>
        <v/>
      </c>
      <c r="AC146" s="36" t="n"/>
      <c r="AD146" s="37" t="n"/>
      <c r="AE146" s="38" t="n"/>
      <c r="AF146" s="30">
        <f>IF(OR($B146="",$C146=""),"",$C146-$B146+1)</f>
        <v/>
      </c>
      <c r="AG146" s="32" t="n"/>
      <c r="AH146" s="36" t="n"/>
      <c r="AJ146">
        <f>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  <c r="AX146">
        <f>AW146&amp;IF($Y146="","",", "&amp;$Y146)</f>
        <v/>
      </c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0">
        <f>IF($F147="","",COUNTIF($F$5:$F147,$F147))</f>
        <v/>
      </c>
      <c r="H147" s="33">
        <f>IF($F147="","",IFERROR(INDEX(사건마스터!$B$5:$B$64,MATCH($F147,사건마스터!$A$5:$A$64,0)),""))</f>
        <v/>
      </c>
      <c r="I147" s="34">
        <f>IF($F147="","",IFERROR(INDEX(사건마스터!$C$5:$C$64,MATCH($F147,사건마스터!$A$5:$A$64,0)),""))</f>
        <v/>
      </c>
      <c r="J147" s="35">
        <f>IF($F147="","",IFERROR(INDEX(사건마스터!$H$5:$H$64,MATCH($F147,사건마스터!$A$5:$A$64,0)),""))</f>
        <v/>
      </c>
      <c r="K147" s="35">
        <f>IF($F147="","",IFERROR(INDEX(사건마스터!$AH$5:$AH$64,MATCH($F147,사건마스터!$A$5:$A$64,0)),""))</f>
        <v/>
      </c>
      <c r="L147" s="35">
        <f>IF($F147="","",IFERROR(INDEX(사건마스터!$AI$5:$AI$64,MATCH($F147,사건마스터!$A$5:$A$64,0)),""))</f>
        <v/>
      </c>
      <c r="M147" s="35">
        <f>IF($F147="","",IFERROR(INDEX(사건마스터!$AJ$5:$AJ$64,MATCH($F147,사건마스터!$A$5:$A$64,0)),""))</f>
        <v/>
      </c>
      <c r="N147" s="35">
        <f>IF($F147="","",IFERROR(INDEX(사건마스터!$AK$5:$AK$64,MATCH($F147,사건마스터!$A$5:$A$64,0)),""))</f>
        <v/>
      </c>
      <c r="O147" s="35">
        <f>IF($F147="","",IFERROR(INDEX(사건마스터!$AL$5:$AL$64,MATCH($F147,사건마스터!$A$5:$A$64,0)),""))</f>
        <v/>
      </c>
      <c r="P147" s="35">
        <f>IF($F147="","",IFERROR(INDEX(사건마스터!$AM$5:$AM$64,MATCH($F147,사건마스터!$A$5:$A$64,0)),""))</f>
        <v/>
      </c>
      <c r="Q147" s="35">
        <f>IF($F147="","",IFERROR(INDEX(사건마스터!$AN$5:$AN$64,MATCH($F147,사건마스터!$A$5:$A$64,0)),""))</f>
        <v/>
      </c>
      <c r="R147" s="35">
        <f>IF($F147="","",IFERROR(INDEX(사건마스터!$AO$5:$AO$64,MATCH($F147,사건마스터!$A$5:$A$64,0)),""))</f>
        <v/>
      </c>
      <c r="S147" s="35">
        <f>IF($F147="","",IFERROR(INDEX(사건마스터!$AP$5:$AP$64,MATCH($F147,사건마스터!$A$5:$A$64,0)),""))</f>
        <v/>
      </c>
      <c r="T147" s="35">
        <f>IF($F147="","",IFERROR(INDEX(사건마스터!$AQ$5:$AQ$64,MATCH($F147,사건마스터!$A$5:$A$64,0)),""))</f>
        <v/>
      </c>
      <c r="U147" s="35">
        <f>IF($F147="","",IFERROR(INDEX(사건마스터!$AR$5:$AR$64,MATCH($F147,사건마스터!$A$5:$A$64,0)),""))</f>
        <v/>
      </c>
      <c r="V147" s="35">
        <f>IF($F147="","",IFERROR(INDEX(사건마스터!$AS$5:$AS$64,MATCH($F147,사건마스터!$A$5:$A$64,0)),""))</f>
        <v/>
      </c>
      <c r="W147" s="35">
        <f>IF($F147="","",IFERROR(INDEX(사건마스터!$AT$5:$AT$64,MATCH($F147,사건마스터!$A$5:$A$64,0)),""))</f>
        <v/>
      </c>
      <c r="X147" s="35">
        <f>IF($F147="","",IFERROR(INDEX(사건마스터!$AU$5:$AU$64,MATCH($F147,사건마스터!$A$5:$A$64,0)),""))</f>
        <v/>
      </c>
      <c r="Y147" s="35">
        <f>IF($F147="","",IFERROR(INDEX(사건마스터!$AV$5:$AV$64,MATCH($F147,사건마스터!$A$5:$A$64,0)),""))</f>
        <v/>
      </c>
      <c r="Z147" s="30">
        <f>IF(COUNTBLANK($J147:$Y147)=16,"",16-COUNTBLANK($J147:$Y147))</f>
        <v/>
      </c>
      <c r="AA147" s="33">
        <f>IF($J147="",MID($AX147,3,255),$J147&amp;$AX147)</f>
        <v/>
      </c>
      <c r="AB147" s="34">
        <f>IF($J147="","",IFERROR(INDEX(코드설정!$D$5:$D$24,MATCH($J147,코드설정!$C$5:$C$24,0)),""))</f>
        <v/>
      </c>
      <c r="AC147" s="36" t="n"/>
      <c r="AD147" s="37" t="n"/>
      <c r="AE147" s="38" t="n"/>
      <c r="AF147" s="30">
        <f>IF(OR($B147="",$C147=""),"",$C147-$B147+1)</f>
        <v/>
      </c>
      <c r="AG147" s="32" t="n"/>
      <c r="AH147" s="36" t="n"/>
      <c r="AJ147">
        <f>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  <c r="AX147">
        <f>AW147&amp;IF($Y147="","",", "&amp;$Y147)</f>
        <v/>
      </c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0">
        <f>IF($F148="","",COUNTIF($F$5:$F148,$F148))</f>
        <v/>
      </c>
      <c r="H148" s="33">
        <f>IF($F148="","",IFERROR(INDEX(사건마스터!$B$5:$B$64,MATCH($F148,사건마스터!$A$5:$A$64,0)),""))</f>
        <v/>
      </c>
      <c r="I148" s="34">
        <f>IF($F148="","",IFERROR(INDEX(사건마스터!$C$5:$C$64,MATCH($F148,사건마스터!$A$5:$A$64,0)),""))</f>
        <v/>
      </c>
      <c r="J148" s="35">
        <f>IF($F148="","",IFERROR(INDEX(사건마스터!$H$5:$H$64,MATCH($F148,사건마스터!$A$5:$A$64,0)),""))</f>
        <v/>
      </c>
      <c r="K148" s="35">
        <f>IF($F148="","",IFERROR(INDEX(사건마스터!$AH$5:$AH$64,MATCH($F148,사건마스터!$A$5:$A$64,0)),""))</f>
        <v/>
      </c>
      <c r="L148" s="35">
        <f>IF($F148="","",IFERROR(INDEX(사건마스터!$AI$5:$AI$64,MATCH($F148,사건마스터!$A$5:$A$64,0)),""))</f>
        <v/>
      </c>
      <c r="M148" s="35">
        <f>IF($F148="","",IFERROR(INDEX(사건마스터!$AJ$5:$AJ$64,MATCH($F148,사건마스터!$A$5:$A$64,0)),""))</f>
        <v/>
      </c>
      <c r="N148" s="35">
        <f>IF($F148="","",IFERROR(INDEX(사건마스터!$AK$5:$AK$64,MATCH($F148,사건마스터!$A$5:$A$64,0)),""))</f>
        <v/>
      </c>
      <c r="O148" s="35">
        <f>IF($F148="","",IFERROR(INDEX(사건마스터!$AL$5:$AL$64,MATCH($F148,사건마스터!$A$5:$A$64,0)),""))</f>
        <v/>
      </c>
      <c r="P148" s="35">
        <f>IF($F148="","",IFERROR(INDEX(사건마스터!$AM$5:$AM$64,MATCH($F148,사건마스터!$A$5:$A$64,0)),""))</f>
        <v/>
      </c>
      <c r="Q148" s="35">
        <f>IF($F148="","",IFERROR(INDEX(사건마스터!$AN$5:$AN$64,MATCH($F148,사건마스터!$A$5:$A$64,0)),""))</f>
        <v/>
      </c>
      <c r="R148" s="35">
        <f>IF($F148="","",IFERROR(INDEX(사건마스터!$AO$5:$AO$64,MATCH($F148,사건마스터!$A$5:$A$64,0)),""))</f>
        <v/>
      </c>
      <c r="S148" s="35">
        <f>IF($F148="","",IFERROR(INDEX(사건마스터!$AP$5:$AP$64,MATCH($F148,사건마스터!$A$5:$A$64,0)),""))</f>
        <v/>
      </c>
      <c r="T148" s="35">
        <f>IF($F148="","",IFERROR(INDEX(사건마스터!$AQ$5:$AQ$64,MATCH($F148,사건마스터!$A$5:$A$64,0)),""))</f>
        <v/>
      </c>
      <c r="U148" s="35">
        <f>IF($F148="","",IFERROR(INDEX(사건마스터!$AR$5:$AR$64,MATCH($F148,사건마스터!$A$5:$A$64,0)),""))</f>
        <v/>
      </c>
      <c r="V148" s="35">
        <f>IF($F148="","",IFERROR(INDEX(사건마스터!$AS$5:$AS$64,MATCH($F148,사건마스터!$A$5:$A$64,0)),""))</f>
        <v/>
      </c>
      <c r="W148" s="35">
        <f>IF($F148="","",IFERROR(INDEX(사건마스터!$AT$5:$AT$64,MATCH($F148,사건마스터!$A$5:$A$64,0)),""))</f>
        <v/>
      </c>
      <c r="X148" s="35">
        <f>IF($F148="","",IFERROR(INDEX(사건마스터!$AU$5:$AU$64,MATCH($F148,사건마스터!$A$5:$A$64,0)),""))</f>
        <v/>
      </c>
      <c r="Y148" s="35">
        <f>IF($F148="","",IFERROR(INDEX(사건마스터!$AV$5:$AV$64,MATCH($F148,사건마스터!$A$5:$A$64,0)),""))</f>
        <v/>
      </c>
      <c r="Z148" s="30">
        <f>IF(COUNTBLANK($J148:$Y148)=16,"",16-COUNTBLANK($J148:$Y148))</f>
        <v/>
      </c>
      <c r="AA148" s="33">
        <f>IF($J148="",MID($AX148,3,255),$J148&amp;$AX148)</f>
        <v/>
      </c>
      <c r="AB148" s="34">
        <f>IF($J148="","",IFERROR(INDEX(코드설정!$D$5:$D$24,MATCH($J148,코드설정!$C$5:$C$24,0)),""))</f>
        <v/>
      </c>
      <c r="AC148" s="36" t="n"/>
      <c r="AD148" s="37" t="n"/>
      <c r="AE148" s="38" t="n"/>
      <c r="AF148" s="30">
        <f>IF(OR($B148="",$C148=""),"",$C148-$B148+1)</f>
        <v/>
      </c>
      <c r="AG148" s="32" t="n"/>
      <c r="AH148" s="36" t="n"/>
      <c r="AJ148">
        <f>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  <c r="AX148">
        <f>AW148&amp;IF($Y148="","",", "&amp;$Y148)</f>
        <v/>
      </c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0">
        <f>IF($F149="","",COUNTIF($F$5:$F149,$F149))</f>
        <v/>
      </c>
      <c r="H149" s="33">
        <f>IF($F149="","",IFERROR(INDEX(사건마스터!$B$5:$B$64,MATCH($F149,사건마스터!$A$5:$A$64,0)),""))</f>
        <v/>
      </c>
      <c r="I149" s="34">
        <f>IF($F149="","",IFERROR(INDEX(사건마스터!$C$5:$C$64,MATCH($F149,사건마스터!$A$5:$A$64,0)),""))</f>
        <v/>
      </c>
      <c r="J149" s="35">
        <f>IF($F149="","",IFERROR(INDEX(사건마스터!$H$5:$H$64,MATCH($F149,사건마스터!$A$5:$A$64,0)),""))</f>
        <v/>
      </c>
      <c r="K149" s="35">
        <f>IF($F149="","",IFERROR(INDEX(사건마스터!$AH$5:$AH$64,MATCH($F149,사건마스터!$A$5:$A$64,0)),""))</f>
        <v/>
      </c>
      <c r="L149" s="35">
        <f>IF($F149="","",IFERROR(INDEX(사건마스터!$AI$5:$AI$64,MATCH($F149,사건마스터!$A$5:$A$64,0)),""))</f>
        <v/>
      </c>
      <c r="M149" s="35">
        <f>IF($F149="","",IFERROR(INDEX(사건마스터!$AJ$5:$AJ$64,MATCH($F149,사건마스터!$A$5:$A$64,0)),""))</f>
        <v/>
      </c>
      <c r="N149" s="35">
        <f>IF($F149="","",IFERROR(INDEX(사건마스터!$AK$5:$AK$64,MATCH($F149,사건마스터!$A$5:$A$64,0)),""))</f>
        <v/>
      </c>
      <c r="O149" s="35">
        <f>IF($F149="","",IFERROR(INDEX(사건마스터!$AL$5:$AL$64,MATCH($F149,사건마스터!$A$5:$A$64,0)),""))</f>
        <v/>
      </c>
      <c r="P149" s="35">
        <f>IF($F149="","",IFERROR(INDEX(사건마스터!$AM$5:$AM$64,MATCH($F149,사건마스터!$A$5:$A$64,0)),""))</f>
        <v/>
      </c>
      <c r="Q149" s="35">
        <f>IF($F149="","",IFERROR(INDEX(사건마스터!$AN$5:$AN$64,MATCH($F149,사건마스터!$A$5:$A$64,0)),""))</f>
        <v/>
      </c>
      <c r="R149" s="35">
        <f>IF($F149="","",IFERROR(INDEX(사건마스터!$AO$5:$AO$64,MATCH($F149,사건마스터!$A$5:$A$64,0)),""))</f>
        <v/>
      </c>
      <c r="S149" s="35">
        <f>IF($F149="","",IFERROR(INDEX(사건마스터!$AP$5:$AP$64,MATCH($F149,사건마스터!$A$5:$A$64,0)),""))</f>
        <v/>
      </c>
      <c r="T149" s="35">
        <f>IF($F149="","",IFERROR(INDEX(사건마스터!$AQ$5:$AQ$64,MATCH($F149,사건마스터!$A$5:$A$64,0)),""))</f>
        <v/>
      </c>
      <c r="U149" s="35">
        <f>IF($F149="","",IFERROR(INDEX(사건마스터!$AR$5:$AR$64,MATCH($F149,사건마스터!$A$5:$A$64,0)),""))</f>
        <v/>
      </c>
      <c r="V149" s="35">
        <f>IF($F149="","",IFERROR(INDEX(사건마스터!$AS$5:$AS$64,MATCH($F149,사건마스터!$A$5:$A$64,0)),""))</f>
        <v/>
      </c>
      <c r="W149" s="35">
        <f>IF($F149="","",IFERROR(INDEX(사건마스터!$AT$5:$AT$64,MATCH($F149,사건마스터!$A$5:$A$64,0)),""))</f>
        <v/>
      </c>
      <c r="X149" s="35">
        <f>IF($F149="","",IFERROR(INDEX(사건마스터!$AU$5:$AU$64,MATCH($F149,사건마스터!$A$5:$A$64,0)),""))</f>
        <v/>
      </c>
      <c r="Y149" s="35">
        <f>IF($F149="","",IFERROR(INDEX(사건마스터!$AV$5:$AV$64,MATCH($F149,사건마스터!$A$5:$A$64,0)),""))</f>
        <v/>
      </c>
      <c r="Z149" s="30">
        <f>IF(COUNTBLANK($J149:$Y149)=16,"",16-COUNTBLANK($J149:$Y149))</f>
        <v/>
      </c>
      <c r="AA149" s="33">
        <f>IF($J149="",MID($AX149,3,255),$J149&amp;$AX149)</f>
        <v/>
      </c>
      <c r="AB149" s="34">
        <f>IF($J149="","",IFERROR(INDEX(코드설정!$D$5:$D$24,MATCH($J149,코드설정!$C$5:$C$24,0)),""))</f>
        <v/>
      </c>
      <c r="AC149" s="36" t="n"/>
      <c r="AD149" s="37" t="n"/>
      <c r="AE149" s="38" t="n"/>
      <c r="AF149" s="30">
        <f>IF(OR($B149="",$C149=""),"",$C149-$B149+1)</f>
        <v/>
      </c>
      <c r="AG149" s="32" t="n"/>
      <c r="AH149" s="36" t="n"/>
      <c r="AJ149">
        <f>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  <c r="AX149">
        <f>AW149&amp;IF($Y149="","",", "&amp;$Y149)</f>
        <v/>
      </c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0">
        <f>IF($F150="","",COUNTIF($F$5:$F150,$F150))</f>
        <v/>
      </c>
      <c r="H150" s="33">
        <f>IF($F150="","",IFERROR(INDEX(사건마스터!$B$5:$B$64,MATCH($F150,사건마스터!$A$5:$A$64,0)),""))</f>
        <v/>
      </c>
      <c r="I150" s="34">
        <f>IF($F150="","",IFERROR(INDEX(사건마스터!$C$5:$C$64,MATCH($F150,사건마스터!$A$5:$A$64,0)),""))</f>
        <v/>
      </c>
      <c r="J150" s="35">
        <f>IF($F150="","",IFERROR(INDEX(사건마스터!$H$5:$H$64,MATCH($F150,사건마스터!$A$5:$A$64,0)),""))</f>
        <v/>
      </c>
      <c r="K150" s="35">
        <f>IF($F150="","",IFERROR(INDEX(사건마스터!$AH$5:$AH$64,MATCH($F150,사건마스터!$A$5:$A$64,0)),""))</f>
        <v/>
      </c>
      <c r="L150" s="35">
        <f>IF($F150="","",IFERROR(INDEX(사건마스터!$AI$5:$AI$64,MATCH($F150,사건마스터!$A$5:$A$64,0)),""))</f>
        <v/>
      </c>
      <c r="M150" s="35">
        <f>IF($F150="","",IFERROR(INDEX(사건마스터!$AJ$5:$AJ$64,MATCH($F150,사건마스터!$A$5:$A$64,0)),""))</f>
        <v/>
      </c>
      <c r="N150" s="35">
        <f>IF($F150="","",IFERROR(INDEX(사건마스터!$AK$5:$AK$64,MATCH($F150,사건마스터!$A$5:$A$64,0)),""))</f>
        <v/>
      </c>
      <c r="O150" s="35">
        <f>IF($F150="","",IFERROR(INDEX(사건마스터!$AL$5:$AL$64,MATCH($F150,사건마스터!$A$5:$A$64,0)),""))</f>
        <v/>
      </c>
      <c r="P150" s="35">
        <f>IF($F150="","",IFERROR(INDEX(사건마스터!$AM$5:$AM$64,MATCH($F150,사건마스터!$A$5:$A$64,0)),""))</f>
        <v/>
      </c>
      <c r="Q150" s="35">
        <f>IF($F150="","",IFERROR(INDEX(사건마스터!$AN$5:$AN$64,MATCH($F150,사건마스터!$A$5:$A$64,0)),""))</f>
        <v/>
      </c>
      <c r="R150" s="35">
        <f>IF($F150="","",IFERROR(INDEX(사건마스터!$AO$5:$AO$64,MATCH($F150,사건마스터!$A$5:$A$64,0)),""))</f>
        <v/>
      </c>
      <c r="S150" s="35">
        <f>IF($F150="","",IFERROR(INDEX(사건마스터!$AP$5:$AP$64,MATCH($F150,사건마스터!$A$5:$A$64,0)),""))</f>
        <v/>
      </c>
      <c r="T150" s="35">
        <f>IF($F150="","",IFERROR(INDEX(사건마스터!$AQ$5:$AQ$64,MATCH($F150,사건마스터!$A$5:$A$64,0)),""))</f>
        <v/>
      </c>
      <c r="U150" s="35">
        <f>IF($F150="","",IFERROR(INDEX(사건마스터!$AR$5:$AR$64,MATCH($F150,사건마스터!$A$5:$A$64,0)),""))</f>
        <v/>
      </c>
      <c r="V150" s="35">
        <f>IF($F150="","",IFERROR(INDEX(사건마스터!$AS$5:$AS$64,MATCH($F150,사건마스터!$A$5:$A$64,0)),""))</f>
        <v/>
      </c>
      <c r="W150" s="35">
        <f>IF($F150="","",IFERROR(INDEX(사건마스터!$AT$5:$AT$64,MATCH($F150,사건마스터!$A$5:$A$64,0)),""))</f>
        <v/>
      </c>
      <c r="X150" s="35">
        <f>IF($F150="","",IFERROR(INDEX(사건마스터!$AU$5:$AU$64,MATCH($F150,사건마스터!$A$5:$A$64,0)),""))</f>
        <v/>
      </c>
      <c r="Y150" s="35">
        <f>IF($F150="","",IFERROR(INDEX(사건마스터!$AV$5:$AV$64,MATCH($F150,사건마스터!$A$5:$A$64,0)),""))</f>
        <v/>
      </c>
      <c r="Z150" s="30">
        <f>IF(COUNTBLANK($J150:$Y150)=16,"",16-COUNTBLANK($J150:$Y150))</f>
        <v/>
      </c>
      <c r="AA150" s="33">
        <f>IF($J150="",MID($AX150,3,255),$J150&amp;$AX150)</f>
        <v/>
      </c>
      <c r="AB150" s="34">
        <f>IF($J150="","",IFERROR(INDEX(코드설정!$D$5:$D$24,MATCH($J150,코드설정!$C$5:$C$24,0)),""))</f>
        <v/>
      </c>
      <c r="AC150" s="36" t="n"/>
      <c r="AD150" s="37" t="n"/>
      <c r="AE150" s="38" t="n"/>
      <c r="AF150" s="30">
        <f>IF(OR($B150="",$C150=""),"",$C150-$B150+1)</f>
        <v/>
      </c>
      <c r="AG150" s="32" t="n"/>
      <c r="AH150" s="36" t="n"/>
      <c r="AJ150">
        <f>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  <c r="AX150">
        <f>AW150&amp;IF($Y150="","",", "&amp;$Y150)</f>
        <v/>
      </c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0">
        <f>IF($F151="","",COUNTIF($F$5:$F151,$F151))</f>
        <v/>
      </c>
      <c r="H151" s="33">
        <f>IF($F151="","",IFERROR(INDEX(사건마스터!$B$5:$B$64,MATCH($F151,사건마스터!$A$5:$A$64,0)),""))</f>
        <v/>
      </c>
      <c r="I151" s="34">
        <f>IF($F151="","",IFERROR(INDEX(사건마스터!$C$5:$C$64,MATCH($F151,사건마스터!$A$5:$A$64,0)),""))</f>
        <v/>
      </c>
      <c r="J151" s="35">
        <f>IF($F151="","",IFERROR(INDEX(사건마스터!$H$5:$H$64,MATCH($F151,사건마스터!$A$5:$A$64,0)),""))</f>
        <v/>
      </c>
      <c r="K151" s="35">
        <f>IF($F151="","",IFERROR(INDEX(사건마스터!$AH$5:$AH$64,MATCH($F151,사건마스터!$A$5:$A$64,0)),""))</f>
        <v/>
      </c>
      <c r="L151" s="35">
        <f>IF($F151="","",IFERROR(INDEX(사건마스터!$AI$5:$AI$64,MATCH($F151,사건마스터!$A$5:$A$64,0)),""))</f>
        <v/>
      </c>
      <c r="M151" s="35">
        <f>IF($F151="","",IFERROR(INDEX(사건마스터!$AJ$5:$AJ$64,MATCH($F151,사건마스터!$A$5:$A$64,0)),""))</f>
        <v/>
      </c>
      <c r="N151" s="35">
        <f>IF($F151="","",IFERROR(INDEX(사건마스터!$AK$5:$AK$64,MATCH($F151,사건마스터!$A$5:$A$64,0)),""))</f>
        <v/>
      </c>
      <c r="O151" s="35">
        <f>IF($F151="","",IFERROR(INDEX(사건마스터!$AL$5:$AL$64,MATCH($F151,사건마스터!$A$5:$A$64,0)),""))</f>
        <v/>
      </c>
      <c r="P151" s="35">
        <f>IF($F151="","",IFERROR(INDEX(사건마스터!$AM$5:$AM$64,MATCH($F151,사건마스터!$A$5:$A$64,0)),""))</f>
        <v/>
      </c>
      <c r="Q151" s="35">
        <f>IF($F151="","",IFERROR(INDEX(사건마스터!$AN$5:$AN$64,MATCH($F151,사건마스터!$A$5:$A$64,0)),""))</f>
        <v/>
      </c>
      <c r="R151" s="35">
        <f>IF($F151="","",IFERROR(INDEX(사건마스터!$AO$5:$AO$64,MATCH($F151,사건마스터!$A$5:$A$64,0)),""))</f>
        <v/>
      </c>
      <c r="S151" s="35">
        <f>IF($F151="","",IFERROR(INDEX(사건마스터!$AP$5:$AP$64,MATCH($F151,사건마스터!$A$5:$A$64,0)),""))</f>
        <v/>
      </c>
      <c r="T151" s="35">
        <f>IF($F151="","",IFERROR(INDEX(사건마스터!$AQ$5:$AQ$64,MATCH($F151,사건마스터!$A$5:$A$64,0)),""))</f>
        <v/>
      </c>
      <c r="U151" s="35">
        <f>IF($F151="","",IFERROR(INDEX(사건마스터!$AR$5:$AR$64,MATCH($F151,사건마스터!$A$5:$A$64,0)),""))</f>
        <v/>
      </c>
      <c r="V151" s="35">
        <f>IF($F151="","",IFERROR(INDEX(사건마스터!$AS$5:$AS$64,MATCH($F151,사건마스터!$A$5:$A$64,0)),""))</f>
        <v/>
      </c>
      <c r="W151" s="35">
        <f>IF($F151="","",IFERROR(INDEX(사건마스터!$AT$5:$AT$64,MATCH($F151,사건마스터!$A$5:$A$64,0)),""))</f>
        <v/>
      </c>
      <c r="X151" s="35">
        <f>IF($F151="","",IFERROR(INDEX(사건마스터!$AU$5:$AU$64,MATCH($F151,사건마스터!$A$5:$A$64,0)),""))</f>
        <v/>
      </c>
      <c r="Y151" s="35">
        <f>IF($F151="","",IFERROR(INDEX(사건마스터!$AV$5:$AV$64,MATCH($F151,사건마스터!$A$5:$A$64,0)),""))</f>
        <v/>
      </c>
      <c r="Z151" s="30">
        <f>IF(COUNTBLANK($J151:$Y151)=16,"",16-COUNTBLANK($J151:$Y151))</f>
        <v/>
      </c>
      <c r="AA151" s="33">
        <f>IF($J151="",MID($AX151,3,255),$J151&amp;$AX151)</f>
        <v/>
      </c>
      <c r="AB151" s="34">
        <f>IF($J151="","",IFERROR(INDEX(코드설정!$D$5:$D$24,MATCH($J151,코드설정!$C$5:$C$24,0)),""))</f>
        <v/>
      </c>
      <c r="AC151" s="36" t="n"/>
      <c r="AD151" s="37" t="n"/>
      <c r="AE151" s="38" t="n"/>
      <c r="AF151" s="30">
        <f>IF(OR($B151="",$C151=""),"",$C151-$B151+1)</f>
        <v/>
      </c>
      <c r="AG151" s="32" t="n"/>
      <c r="AH151" s="36" t="n"/>
      <c r="AJ151">
        <f>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  <c r="AX151">
        <f>AW151&amp;IF($Y151="","",", "&amp;$Y151)</f>
        <v/>
      </c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0">
        <f>IF($F152="","",COUNTIF($F$5:$F152,$F152))</f>
        <v/>
      </c>
      <c r="H152" s="33">
        <f>IF($F152="","",IFERROR(INDEX(사건마스터!$B$5:$B$64,MATCH($F152,사건마스터!$A$5:$A$64,0)),""))</f>
        <v/>
      </c>
      <c r="I152" s="34">
        <f>IF($F152="","",IFERROR(INDEX(사건마스터!$C$5:$C$64,MATCH($F152,사건마스터!$A$5:$A$64,0)),""))</f>
        <v/>
      </c>
      <c r="J152" s="35">
        <f>IF($F152="","",IFERROR(INDEX(사건마스터!$H$5:$H$64,MATCH($F152,사건마스터!$A$5:$A$64,0)),""))</f>
        <v/>
      </c>
      <c r="K152" s="35">
        <f>IF($F152="","",IFERROR(INDEX(사건마스터!$AH$5:$AH$64,MATCH($F152,사건마스터!$A$5:$A$64,0)),""))</f>
        <v/>
      </c>
      <c r="L152" s="35">
        <f>IF($F152="","",IFERROR(INDEX(사건마스터!$AI$5:$AI$64,MATCH($F152,사건마스터!$A$5:$A$64,0)),""))</f>
        <v/>
      </c>
      <c r="M152" s="35">
        <f>IF($F152="","",IFERROR(INDEX(사건마스터!$AJ$5:$AJ$64,MATCH($F152,사건마스터!$A$5:$A$64,0)),""))</f>
        <v/>
      </c>
      <c r="N152" s="35">
        <f>IF($F152="","",IFERROR(INDEX(사건마스터!$AK$5:$AK$64,MATCH($F152,사건마스터!$A$5:$A$64,0)),""))</f>
        <v/>
      </c>
      <c r="O152" s="35">
        <f>IF($F152="","",IFERROR(INDEX(사건마스터!$AL$5:$AL$64,MATCH($F152,사건마스터!$A$5:$A$64,0)),""))</f>
        <v/>
      </c>
      <c r="P152" s="35">
        <f>IF($F152="","",IFERROR(INDEX(사건마스터!$AM$5:$AM$64,MATCH($F152,사건마스터!$A$5:$A$64,0)),""))</f>
        <v/>
      </c>
      <c r="Q152" s="35">
        <f>IF($F152="","",IFERROR(INDEX(사건마스터!$AN$5:$AN$64,MATCH($F152,사건마스터!$A$5:$A$64,0)),""))</f>
        <v/>
      </c>
      <c r="R152" s="35">
        <f>IF($F152="","",IFERROR(INDEX(사건마스터!$AO$5:$AO$64,MATCH($F152,사건마스터!$A$5:$A$64,0)),""))</f>
        <v/>
      </c>
      <c r="S152" s="35">
        <f>IF($F152="","",IFERROR(INDEX(사건마스터!$AP$5:$AP$64,MATCH($F152,사건마스터!$A$5:$A$64,0)),""))</f>
        <v/>
      </c>
      <c r="T152" s="35">
        <f>IF($F152="","",IFERROR(INDEX(사건마스터!$AQ$5:$AQ$64,MATCH($F152,사건마스터!$A$5:$A$64,0)),""))</f>
        <v/>
      </c>
      <c r="U152" s="35">
        <f>IF($F152="","",IFERROR(INDEX(사건마스터!$AR$5:$AR$64,MATCH($F152,사건마스터!$A$5:$A$64,0)),""))</f>
        <v/>
      </c>
      <c r="V152" s="35">
        <f>IF($F152="","",IFERROR(INDEX(사건마스터!$AS$5:$AS$64,MATCH($F152,사건마스터!$A$5:$A$64,0)),""))</f>
        <v/>
      </c>
      <c r="W152" s="35">
        <f>IF($F152="","",IFERROR(INDEX(사건마스터!$AT$5:$AT$64,MATCH($F152,사건마스터!$A$5:$A$64,0)),""))</f>
        <v/>
      </c>
      <c r="X152" s="35">
        <f>IF($F152="","",IFERROR(INDEX(사건마스터!$AU$5:$AU$64,MATCH($F152,사건마스터!$A$5:$A$64,0)),""))</f>
        <v/>
      </c>
      <c r="Y152" s="35">
        <f>IF($F152="","",IFERROR(INDEX(사건마스터!$AV$5:$AV$64,MATCH($F152,사건마스터!$A$5:$A$64,0)),""))</f>
        <v/>
      </c>
      <c r="Z152" s="30">
        <f>IF(COUNTBLANK($J152:$Y152)=16,"",16-COUNTBLANK($J152:$Y152))</f>
        <v/>
      </c>
      <c r="AA152" s="33">
        <f>IF($J152="",MID($AX152,3,255),$J152&amp;$AX152)</f>
        <v/>
      </c>
      <c r="AB152" s="34">
        <f>IF($J152="","",IFERROR(INDEX(코드설정!$D$5:$D$24,MATCH($J152,코드설정!$C$5:$C$24,0)),""))</f>
        <v/>
      </c>
      <c r="AC152" s="36" t="n"/>
      <c r="AD152" s="37" t="n"/>
      <c r="AE152" s="38" t="n"/>
      <c r="AF152" s="30">
        <f>IF(OR($B152="",$C152=""),"",$C152-$B152+1)</f>
        <v/>
      </c>
      <c r="AG152" s="32" t="n"/>
      <c r="AH152" s="36" t="n"/>
      <c r="AJ152">
        <f>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  <c r="AX152">
        <f>AW152&amp;IF($Y152="","",", "&amp;$Y152)</f>
        <v/>
      </c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0">
        <f>IF($F153="","",COUNTIF($F$5:$F153,$F153))</f>
        <v/>
      </c>
      <c r="H153" s="33">
        <f>IF($F153="","",IFERROR(INDEX(사건마스터!$B$5:$B$64,MATCH($F153,사건마스터!$A$5:$A$64,0)),""))</f>
        <v/>
      </c>
      <c r="I153" s="34">
        <f>IF($F153="","",IFERROR(INDEX(사건마스터!$C$5:$C$64,MATCH($F153,사건마스터!$A$5:$A$64,0)),""))</f>
        <v/>
      </c>
      <c r="J153" s="35">
        <f>IF($F153="","",IFERROR(INDEX(사건마스터!$H$5:$H$64,MATCH($F153,사건마스터!$A$5:$A$64,0)),""))</f>
        <v/>
      </c>
      <c r="K153" s="35">
        <f>IF($F153="","",IFERROR(INDEX(사건마스터!$AH$5:$AH$64,MATCH($F153,사건마스터!$A$5:$A$64,0)),""))</f>
        <v/>
      </c>
      <c r="L153" s="35">
        <f>IF($F153="","",IFERROR(INDEX(사건마스터!$AI$5:$AI$64,MATCH($F153,사건마스터!$A$5:$A$64,0)),""))</f>
        <v/>
      </c>
      <c r="M153" s="35">
        <f>IF($F153="","",IFERROR(INDEX(사건마스터!$AJ$5:$AJ$64,MATCH($F153,사건마스터!$A$5:$A$64,0)),""))</f>
        <v/>
      </c>
      <c r="N153" s="35">
        <f>IF($F153="","",IFERROR(INDEX(사건마스터!$AK$5:$AK$64,MATCH($F153,사건마스터!$A$5:$A$64,0)),""))</f>
        <v/>
      </c>
      <c r="O153" s="35">
        <f>IF($F153="","",IFERROR(INDEX(사건마스터!$AL$5:$AL$64,MATCH($F153,사건마스터!$A$5:$A$64,0)),""))</f>
        <v/>
      </c>
      <c r="P153" s="35">
        <f>IF($F153="","",IFERROR(INDEX(사건마스터!$AM$5:$AM$64,MATCH($F153,사건마스터!$A$5:$A$64,0)),""))</f>
        <v/>
      </c>
      <c r="Q153" s="35">
        <f>IF($F153="","",IFERROR(INDEX(사건마스터!$AN$5:$AN$64,MATCH($F153,사건마스터!$A$5:$A$64,0)),""))</f>
        <v/>
      </c>
      <c r="R153" s="35">
        <f>IF($F153="","",IFERROR(INDEX(사건마스터!$AO$5:$AO$64,MATCH($F153,사건마스터!$A$5:$A$64,0)),""))</f>
        <v/>
      </c>
      <c r="S153" s="35">
        <f>IF($F153="","",IFERROR(INDEX(사건마스터!$AP$5:$AP$64,MATCH($F153,사건마스터!$A$5:$A$64,0)),""))</f>
        <v/>
      </c>
      <c r="T153" s="35">
        <f>IF($F153="","",IFERROR(INDEX(사건마스터!$AQ$5:$AQ$64,MATCH($F153,사건마스터!$A$5:$A$64,0)),""))</f>
        <v/>
      </c>
      <c r="U153" s="35">
        <f>IF($F153="","",IFERROR(INDEX(사건마스터!$AR$5:$AR$64,MATCH($F153,사건마스터!$A$5:$A$64,0)),""))</f>
        <v/>
      </c>
      <c r="V153" s="35">
        <f>IF($F153="","",IFERROR(INDEX(사건마스터!$AS$5:$AS$64,MATCH($F153,사건마스터!$A$5:$A$64,0)),""))</f>
        <v/>
      </c>
      <c r="W153" s="35">
        <f>IF($F153="","",IFERROR(INDEX(사건마스터!$AT$5:$AT$64,MATCH($F153,사건마스터!$A$5:$A$64,0)),""))</f>
        <v/>
      </c>
      <c r="X153" s="35">
        <f>IF($F153="","",IFERROR(INDEX(사건마스터!$AU$5:$AU$64,MATCH($F153,사건마스터!$A$5:$A$64,0)),""))</f>
        <v/>
      </c>
      <c r="Y153" s="35">
        <f>IF($F153="","",IFERROR(INDEX(사건마스터!$AV$5:$AV$64,MATCH($F153,사건마스터!$A$5:$A$64,0)),""))</f>
        <v/>
      </c>
      <c r="Z153" s="30">
        <f>IF(COUNTBLANK($J153:$Y153)=16,"",16-COUNTBLANK($J153:$Y153))</f>
        <v/>
      </c>
      <c r="AA153" s="33">
        <f>IF($J153="",MID($AX153,3,255),$J153&amp;$AX153)</f>
        <v/>
      </c>
      <c r="AB153" s="34">
        <f>IF($J153="","",IFERROR(INDEX(코드설정!$D$5:$D$24,MATCH($J153,코드설정!$C$5:$C$24,0)),""))</f>
        <v/>
      </c>
      <c r="AC153" s="36" t="n"/>
      <c r="AD153" s="37" t="n"/>
      <c r="AE153" s="38" t="n"/>
      <c r="AF153" s="30">
        <f>IF(OR($B153="",$C153=""),"",$C153-$B153+1)</f>
        <v/>
      </c>
      <c r="AG153" s="32" t="n"/>
      <c r="AH153" s="36" t="n"/>
      <c r="AJ153">
        <f>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  <c r="AX153">
        <f>AW153&amp;IF($Y153="","",", "&amp;$Y153)</f>
        <v/>
      </c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0">
        <f>IF($F154="","",COUNTIF($F$5:$F154,$F154))</f>
        <v/>
      </c>
      <c r="H154" s="33">
        <f>IF($F154="","",IFERROR(INDEX(사건마스터!$B$5:$B$64,MATCH($F154,사건마스터!$A$5:$A$64,0)),""))</f>
        <v/>
      </c>
      <c r="I154" s="34">
        <f>IF($F154="","",IFERROR(INDEX(사건마스터!$C$5:$C$64,MATCH($F154,사건마스터!$A$5:$A$64,0)),""))</f>
        <v/>
      </c>
      <c r="J154" s="35">
        <f>IF($F154="","",IFERROR(INDEX(사건마스터!$H$5:$H$64,MATCH($F154,사건마스터!$A$5:$A$64,0)),""))</f>
        <v/>
      </c>
      <c r="K154" s="35">
        <f>IF($F154="","",IFERROR(INDEX(사건마스터!$AH$5:$AH$64,MATCH($F154,사건마스터!$A$5:$A$64,0)),""))</f>
        <v/>
      </c>
      <c r="L154" s="35">
        <f>IF($F154="","",IFERROR(INDEX(사건마스터!$AI$5:$AI$64,MATCH($F154,사건마스터!$A$5:$A$64,0)),""))</f>
        <v/>
      </c>
      <c r="M154" s="35">
        <f>IF($F154="","",IFERROR(INDEX(사건마스터!$AJ$5:$AJ$64,MATCH($F154,사건마스터!$A$5:$A$64,0)),""))</f>
        <v/>
      </c>
      <c r="N154" s="35">
        <f>IF($F154="","",IFERROR(INDEX(사건마스터!$AK$5:$AK$64,MATCH($F154,사건마스터!$A$5:$A$64,0)),""))</f>
        <v/>
      </c>
      <c r="O154" s="35">
        <f>IF($F154="","",IFERROR(INDEX(사건마스터!$AL$5:$AL$64,MATCH($F154,사건마스터!$A$5:$A$64,0)),""))</f>
        <v/>
      </c>
      <c r="P154" s="35">
        <f>IF($F154="","",IFERROR(INDEX(사건마스터!$AM$5:$AM$64,MATCH($F154,사건마스터!$A$5:$A$64,0)),""))</f>
        <v/>
      </c>
      <c r="Q154" s="35">
        <f>IF($F154="","",IFERROR(INDEX(사건마스터!$AN$5:$AN$64,MATCH($F154,사건마스터!$A$5:$A$64,0)),""))</f>
        <v/>
      </c>
      <c r="R154" s="35">
        <f>IF($F154="","",IFERROR(INDEX(사건마스터!$AO$5:$AO$64,MATCH($F154,사건마스터!$A$5:$A$64,0)),""))</f>
        <v/>
      </c>
      <c r="S154" s="35">
        <f>IF($F154="","",IFERROR(INDEX(사건마스터!$AP$5:$AP$64,MATCH($F154,사건마스터!$A$5:$A$64,0)),""))</f>
        <v/>
      </c>
      <c r="T154" s="35">
        <f>IF($F154="","",IFERROR(INDEX(사건마스터!$AQ$5:$AQ$64,MATCH($F154,사건마스터!$A$5:$A$64,0)),""))</f>
        <v/>
      </c>
      <c r="U154" s="35">
        <f>IF($F154="","",IFERROR(INDEX(사건마스터!$AR$5:$AR$64,MATCH($F154,사건마스터!$A$5:$A$64,0)),""))</f>
        <v/>
      </c>
      <c r="V154" s="35">
        <f>IF($F154="","",IFERROR(INDEX(사건마스터!$AS$5:$AS$64,MATCH($F154,사건마스터!$A$5:$A$64,0)),""))</f>
        <v/>
      </c>
      <c r="W154" s="35">
        <f>IF($F154="","",IFERROR(INDEX(사건마스터!$AT$5:$AT$64,MATCH($F154,사건마스터!$A$5:$A$64,0)),""))</f>
        <v/>
      </c>
      <c r="X154" s="35">
        <f>IF($F154="","",IFERROR(INDEX(사건마스터!$AU$5:$AU$64,MATCH($F154,사건마스터!$A$5:$A$64,0)),""))</f>
        <v/>
      </c>
      <c r="Y154" s="35">
        <f>IF($F154="","",IFERROR(INDEX(사건마스터!$AV$5:$AV$64,MATCH($F154,사건마스터!$A$5:$A$64,0)),""))</f>
        <v/>
      </c>
      <c r="Z154" s="30">
        <f>IF(COUNTBLANK($J154:$Y154)=16,"",16-COUNTBLANK($J154:$Y154))</f>
        <v/>
      </c>
      <c r="AA154" s="33">
        <f>IF($J154="",MID($AX154,3,255),$J154&amp;$AX154)</f>
        <v/>
      </c>
      <c r="AB154" s="34">
        <f>IF($J154="","",IFERROR(INDEX(코드설정!$D$5:$D$24,MATCH($J154,코드설정!$C$5:$C$24,0)),""))</f>
        <v/>
      </c>
      <c r="AC154" s="36" t="n"/>
      <c r="AD154" s="37" t="n"/>
      <c r="AE154" s="38" t="n"/>
      <c r="AF154" s="30">
        <f>IF(OR($B154="",$C154=""),"",$C154-$B154+1)</f>
        <v/>
      </c>
      <c r="AG154" s="32" t="n"/>
      <c r="AH154" s="36" t="n"/>
      <c r="AJ154">
        <f>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  <c r="AX154">
        <f>AW154&amp;IF($Y154="","",", "&amp;$Y154)</f>
        <v/>
      </c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0">
        <f>IF($F155="","",COUNTIF($F$5:$F155,$F155))</f>
        <v/>
      </c>
      <c r="H155" s="33">
        <f>IF($F155="","",IFERROR(INDEX(사건마스터!$B$5:$B$64,MATCH($F155,사건마스터!$A$5:$A$64,0)),""))</f>
        <v/>
      </c>
      <c r="I155" s="34">
        <f>IF($F155="","",IFERROR(INDEX(사건마스터!$C$5:$C$64,MATCH($F155,사건마스터!$A$5:$A$64,0)),""))</f>
        <v/>
      </c>
      <c r="J155" s="35">
        <f>IF($F155="","",IFERROR(INDEX(사건마스터!$H$5:$H$64,MATCH($F155,사건마스터!$A$5:$A$64,0)),""))</f>
        <v/>
      </c>
      <c r="K155" s="35">
        <f>IF($F155="","",IFERROR(INDEX(사건마스터!$AH$5:$AH$64,MATCH($F155,사건마스터!$A$5:$A$64,0)),""))</f>
        <v/>
      </c>
      <c r="L155" s="35">
        <f>IF($F155="","",IFERROR(INDEX(사건마스터!$AI$5:$AI$64,MATCH($F155,사건마스터!$A$5:$A$64,0)),""))</f>
        <v/>
      </c>
      <c r="M155" s="35">
        <f>IF($F155="","",IFERROR(INDEX(사건마스터!$AJ$5:$AJ$64,MATCH($F155,사건마스터!$A$5:$A$64,0)),""))</f>
        <v/>
      </c>
      <c r="N155" s="35">
        <f>IF($F155="","",IFERROR(INDEX(사건마스터!$AK$5:$AK$64,MATCH($F155,사건마스터!$A$5:$A$64,0)),""))</f>
        <v/>
      </c>
      <c r="O155" s="35">
        <f>IF($F155="","",IFERROR(INDEX(사건마스터!$AL$5:$AL$64,MATCH($F155,사건마스터!$A$5:$A$64,0)),""))</f>
        <v/>
      </c>
      <c r="P155" s="35">
        <f>IF($F155="","",IFERROR(INDEX(사건마스터!$AM$5:$AM$64,MATCH($F155,사건마스터!$A$5:$A$64,0)),""))</f>
        <v/>
      </c>
      <c r="Q155" s="35">
        <f>IF($F155="","",IFERROR(INDEX(사건마스터!$AN$5:$AN$64,MATCH($F155,사건마스터!$A$5:$A$64,0)),""))</f>
        <v/>
      </c>
      <c r="R155" s="35">
        <f>IF($F155="","",IFERROR(INDEX(사건마스터!$AO$5:$AO$64,MATCH($F155,사건마스터!$A$5:$A$64,0)),""))</f>
        <v/>
      </c>
      <c r="S155" s="35">
        <f>IF($F155="","",IFERROR(INDEX(사건마스터!$AP$5:$AP$64,MATCH($F155,사건마스터!$A$5:$A$64,0)),""))</f>
        <v/>
      </c>
      <c r="T155" s="35">
        <f>IF($F155="","",IFERROR(INDEX(사건마스터!$AQ$5:$AQ$64,MATCH($F155,사건마스터!$A$5:$A$64,0)),""))</f>
        <v/>
      </c>
      <c r="U155" s="35">
        <f>IF($F155="","",IFERROR(INDEX(사건마스터!$AR$5:$AR$64,MATCH($F155,사건마스터!$A$5:$A$64,0)),""))</f>
        <v/>
      </c>
      <c r="V155" s="35">
        <f>IF($F155="","",IFERROR(INDEX(사건마스터!$AS$5:$AS$64,MATCH($F155,사건마스터!$A$5:$A$64,0)),""))</f>
        <v/>
      </c>
      <c r="W155" s="35">
        <f>IF($F155="","",IFERROR(INDEX(사건마스터!$AT$5:$AT$64,MATCH($F155,사건마스터!$A$5:$A$64,0)),""))</f>
        <v/>
      </c>
      <c r="X155" s="35">
        <f>IF($F155="","",IFERROR(INDEX(사건마스터!$AU$5:$AU$64,MATCH($F155,사건마스터!$A$5:$A$64,0)),""))</f>
        <v/>
      </c>
      <c r="Y155" s="35">
        <f>IF($F155="","",IFERROR(INDEX(사건마스터!$AV$5:$AV$64,MATCH($F155,사건마스터!$A$5:$A$64,0)),""))</f>
        <v/>
      </c>
      <c r="Z155" s="30">
        <f>IF(COUNTBLANK($J155:$Y155)=16,"",16-COUNTBLANK($J155:$Y155))</f>
        <v/>
      </c>
      <c r="AA155" s="33">
        <f>IF($J155="",MID($AX155,3,255),$J155&amp;$AX155)</f>
        <v/>
      </c>
      <c r="AB155" s="34">
        <f>IF($J155="","",IFERROR(INDEX(코드설정!$D$5:$D$24,MATCH($J155,코드설정!$C$5:$C$24,0)),""))</f>
        <v/>
      </c>
      <c r="AC155" s="36" t="n"/>
      <c r="AD155" s="37" t="n"/>
      <c r="AE155" s="38" t="n"/>
      <c r="AF155" s="30">
        <f>IF(OR($B155="",$C155=""),"",$C155-$B155+1)</f>
        <v/>
      </c>
      <c r="AG155" s="32" t="n"/>
      <c r="AH155" s="36" t="n"/>
      <c r="AJ155">
        <f>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  <c r="AX155">
        <f>AW155&amp;IF($Y155="","",", "&amp;$Y155)</f>
        <v/>
      </c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0">
        <f>IF($F156="","",COUNTIF($F$5:$F156,$F156))</f>
        <v/>
      </c>
      <c r="H156" s="33">
        <f>IF($F156="","",IFERROR(INDEX(사건마스터!$B$5:$B$64,MATCH($F156,사건마스터!$A$5:$A$64,0)),""))</f>
        <v/>
      </c>
      <c r="I156" s="34">
        <f>IF($F156="","",IFERROR(INDEX(사건마스터!$C$5:$C$64,MATCH($F156,사건마스터!$A$5:$A$64,0)),""))</f>
        <v/>
      </c>
      <c r="J156" s="35">
        <f>IF($F156="","",IFERROR(INDEX(사건마스터!$H$5:$H$64,MATCH($F156,사건마스터!$A$5:$A$64,0)),""))</f>
        <v/>
      </c>
      <c r="K156" s="35">
        <f>IF($F156="","",IFERROR(INDEX(사건마스터!$AH$5:$AH$64,MATCH($F156,사건마스터!$A$5:$A$64,0)),""))</f>
        <v/>
      </c>
      <c r="L156" s="35">
        <f>IF($F156="","",IFERROR(INDEX(사건마스터!$AI$5:$AI$64,MATCH($F156,사건마스터!$A$5:$A$64,0)),""))</f>
        <v/>
      </c>
      <c r="M156" s="35">
        <f>IF($F156="","",IFERROR(INDEX(사건마스터!$AJ$5:$AJ$64,MATCH($F156,사건마스터!$A$5:$A$64,0)),""))</f>
        <v/>
      </c>
      <c r="N156" s="35">
        <f>IF($F156="","",IFERROR(INDEX(사건마스터!$AK$5:$AK$64,MATCH($F156,사건마스터!$A$5:$A$64,0)),""))</f>
        <v/>
      </c>
      <c r="O156" s="35">
        <f>IF($F156="","",IFERROR(INDEX(사건마스터!$AL$5:$AL$64,MATCH($F156,사건마스터!$A$5:$A$64,0)),""))</f>
        <v/>
      </c>
      <c r="P156" s="35">
        <f>IF($F156="","",IFERROR(INDEX(사건마스터!$AM$5:$AM$64,MATCH($F156,사건마스터!$A$5:$A$64,0)),""))</f>
        <v/>
      </c>
      <c r="Q156" s="35">
        <f>IF($F156="","",IFERROR(INDEX(사건마스터!$AN$5:$AN$64,MATCH($F156,사건마스터!$A$5:$A$64,0)),""))</f>
        <v/>
      </c>
      <c r="R156" s="35">
        <f>IF($F156="","",IFERROR(INDEX(사건마스터!$AO$5:$AO$64,MATCH($F156,사건마스터!$A$5:$A$64,0)),""))</f>
        <v/>
      </c>
      <c r="S156" s="35">
        <f>IF($F156="","",IFERROR(INDEX(사건마스터!$AP$5:$AP$64,MATCH($F156,사건마스터!$A$5:$A$64,0)),""))</f>
        <v/>
      </c>
      <c r="T156" s="35">
        <f>IF($F156="","",IFERROR(INDEX(사건마스터!$AQ$5:$AQ$64,MATCH($F156,사건마스터!$A$5:$A$64,0)),""))</f>
        <v/>
      </c>
      <c r="U156" s="35">
        <f>IF($F156="","",IFERROR(INDEX(사건마스터!$AR$5:$AR$64,MATCH($F156,사건마스터!$A$5:$A$64,0)),""))</f>
        <v/>
      </c>
      <c r="V156" s="35">
        <f>IF($F156="","",IFERROR(INDEX(사건마스터!$AS$5:$AS$64,MATCH($F156,사건마스터!$A$5:$A$64,0)),""))</f>
        <v/>
      </c>
      <c r="W156" s="35">
        <f>IF($F156="","",IFERROR(INDEX(사건마스터!$AT$5:$AT$64,MATCH($F156,사건마스터!$A$5:$A$64,0)),""))</f>
        <v/>
      </c>
      <c r="X156" s="35">
        <f>IF($F156="","",IFERROR(INDEX(사건마스터!$AU$5:$AU$64,MATCH($F156,사건마스터!$A$5:$A$64,0)),""))</f>
        <v/>
      </c>
      <c r="Y156" s="35">
        <f>IF($F156="","",IFERROR(INDEX(사건마스터!$AV$5:$AV$64,MATCH($F156,사건마스터!$A$5:$A$64,0)),""))</f>
        <v/>
      </c>
      <c r="Z156" s="30">
        <f>IF(COUNTBLANK($J156:$Y156)=16,"",16-COUNTBLANK($J156:$Y156))</f>
        <v/>
      </c>
      <c r="AA156" s="33">
        <f>IF($J156="",MID($AX156,3,255),$J156&amp;$AX156)</f>
        <v/>
      </c>
      <c r="AB156" s="34">
        <f>IF($J156="","",IFERROR(INDEX(코드설정!$D$5:$D$24,MATCH($J156,코드설정!$C$5:$C$24,0)),""))</f>
        <v/>
      </c>
      <c r="AC156" s="36" t="n"/>
      <c r="AD156" s="37" t="n"/>
      <c r="AE156" s="38" t="n"/>
      <c r="AF156" s="30">
        <f>IF(OR($B156="",$C156=""),"",$C156-$B156+1)</f>
        <v/>
      </c>
      <c r="AG156" s="32" t="n"/>
      <c r="AH156" s="36" t="n"/>
      <c r="AJ156">
        <f>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  <c r="AX156">
        <f>AW156&amp;IF($Y156="","",", "&amp;$Y156)</f>
        <v/>
      </c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0">
        <f>IF($F157="","",COUNTIF($F$5:$F157,$F157))</f>
        <v/>
      </c>
      <c r="H157" s="33">
        <f>IF($F157="","",IFERROR(INDEX(사건마스터!$B$5:$B$64,MATCH($F157,사건마스터!$A$5:$A$64,0)),""))</f>
        <v/>
      </c>
      <c r="I157" s="34">
        <f>IF($F157="","",IFERROR(INDEX(사건마스터!$C$5:$C$64,MATCH($F157,사건마스터!$A$5:$A$64,0)),""))</f>
        <v/>
      </c>
      <c r="J157" s="35">
        <f>IF($F157="","",IFERROR(INDEX(사건마스터!$H$5:$H$64,MATCH($F157,사건마스터!$A$5:$A$64,0)),""))</f>
        <v/>
      </c>
      <c r="K157" s="35">
        <f>IF($F157="","",IFERROR(INDEX(사건마스터!$AH$5:$AH$64,MATCH($F157,사건마스터!$A$5:$A$64,0)),""))</f>
        <v/>
      </c>
      <c r="L157" s="35">
        <f>IF($F157="","",IFERROR(INDEX(사건마스터!$AI$5:$AI$64,MATCH($F157,사건마스터!$A$5:$A$64,0)),""))</f>
        <v/>
      </c>
      <c r="M157" s="35">
        <f>IF($F157="","",IFERROR(INDEX(사건마스터!$AJ$5:$AJ$64,MATCH($F157,사건마스터!$A$5:$A$64,0)),""))</f>
        <v/>
      </c>
      <c r="N157" s="35">
        <f>IF($F157="","",IFERROR(INDEX(사건마스터!$AK$5:$AK$64,MATCH($F157,사건마스터!$A$5:$A$64,0)),""))</f>
        <v/>
      </c>
      <c r="O157" s="35">
        <f>IF($F157="","",IFERROR(INDEX(사건마스터!$AL$5:$AL$64,MATCH($F157,사건마스터!$A$5:$A$64,0)),""))</f>
        <v/>
      </c>
      <c r="P157" s="35">
        <f>IF($F157="","",IFERROR(INDEX(사건마스터!$AM$5:$AM$64,MATCH($F157,사건마스터!$A$5:$A$64,0)),""))</f>
        <v/>
      </c>
      <c r="Q157" s="35">
        <f>IF($F157="","",IFERROR(INDEX(사건마스터!$AN$5:$AN$64,MATCH($F157,사건마스터!$A$5:$A$64,0)),""))</f>
        <v/>
      </c>
      <c r="R157" s="35">
        <f>IF($F157="","",IFERROR(INDEX(사건마스터!$AO$5:$AO$64,MATCH($F157,사건마스터!$A$5:$A$64,0)),""))</f>
        <v/>
      </c>
      <c r="S157" s="35">
        <f>IF($F157="","",IFERROR(INDEX(사건마스터!$AP$5:$AP$64,MATCH($F157,사건마스터!$A$5:$A$64,0)),""))</f>
        <v/>
      </c>
      <c r="T157" s="35">
        <f>IF($F157="","",IFERROR(INDEX(사건마스터!$AQ$5:$AQ$64,MATCH($F157,사건마스터!$A$5:$A$64,0)),""))</f>
        <v/>
      </c>
      <c r="U157" s="35">
        <f>IF($F157="","",IFERROR(INDEX(사건마스터!$AR$5:$AR$64,MATCH($F157,사건마스터!$A$5:$A$64,0)),""))</f>
        <v/>
      </c>
      <c r="V157" s="35">
        <f>IF($F157="","",IFERROR(INDEX(사건마스터!$AS$5:$AS$64,MATCH($F157,사건마스터!$A$5:$A$64,0)),""))</f>
        <v/>
      </c>
      <c r="W157" s="35">
        <f>IF($F157="","",IFERROR(INDEX(사건마스터!$AT$5:$AT$64,MATCH($F157,사건마스터!$A$5:$A$64,0)),""))</f>
        <v/>
      </c>
      <c r="X157" s="35">
        <f>IF($F157="","",IFERROR(INDEX(사건마스터!$AU$5:$AU$64,MATCH($F157,사건마스터!$A$5:$A$64,0)),""))</f>
        <v/>
      </c>
      <c r="Y157" s="35">
        <f>IF($F157="","",IFERROR(INDEX(사건마스터!$AV$5:$AV$64,MATCH($F157,사건마스터!$A$5:$A$64,0)),""))</f>
        <v/>
      </c>
      <c r="Z157" s="30">
        <f>IF(COUNTBLANK($J157:$Y157)=16,"",16-COUNTBLANK($J157:$Y157))</f>
        <v/>
      </c>
      <c r="AA157" s="33">
        <f>IF($J157="",MID($AX157,3,255),$J157&amp;$AX157)</f>
        <v/>
      </c>
      <c r="AB157" s="34">
        <f>IF($J157="","",IFERROR(INDEX(코드설정!$D$5:$D$24,MATCH($J157,코드설정!$C$5:$C$24,0)),""))</f>
        <v/>
      </c>
      <c r="AC157" s="36" t="n"/>
      <c r="AD157" s="37" t="n"/>
      <c r="AE157" s="38" t="n"/>
      <c r="AF157" s="30">
        <f>IF(OR($B157="",$C157=""),"",$C157-$B157+1)</f>
        <v/>
      </c>
      <c r="AG157" s="32" t="n"/>
      <c r="AH157" s="36" t="n"/>
      <c r="AJ157">
        <f>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  <c r="AX157">
        <f>AW157&amp;IF($Y157="","",", "&amp;$Y157)</f>
        <v/>
      </c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0">
        <f>IF($F158="","",COUNTIF($F$5:$F158,$F158))</f>
        <v/>
      </c>
      <c r="H158" s="33">
        <f>IF($F158="","",IFERROR(INDEX(사건마스터!$B$5:$B$64,MATCH($F158,사건마스터!$A$5:$A$64,0)),""))</f>
        <v/>
      </c>
      <c r="I158" s="34">
        <f>IF($F158="","",IFERROR(INDEX(사건마스터!$C$5:$C$64,MATCH($F158,사건마스터!$A$5:$A$64,0)),""))</f>
        <v/>
      </c>
      <c r="J158" s="35">
        <f>IF($F158="","",IFERROR(INDEX(사건마스터!$H$5:$H$64,MATCH($F158,사건마스터!$A$5:$A$64,0)),""))</f>
        <v/>
      </c>
      <c r="K158" s="35">
        <f>IF($F158="","",IFERROR(INDEX(사건마스터!$AH$5:$AH$64,MATCH($F158,사건마스터!$A$5:$A$64,0)),""))</f>
        <v/>
      </c>
      <c r="L158" s="35">
        <f>IF($F158="","",IFERROR(INDEX(사건마스터!$AI$5:$AI$64,MATCH($F158,사건마스터!$A$5:$A$64,0)),""))</f>
        <v/>
      </c>
      <c r="M158" s="35">
        <f>IF($F158="","",IFERROR(INDEX(사건마스터!$AJ$5:$AJ$64,MATCH($F158,사건마스터!$A$5:$A$64,0)),""))</f>
        <v/>
      </c>
      <c r="N158" s="35">
        <f>IF($F158="","",IFERROR(INDEX(사건마스터!$AK$5:$AK$64,MATCH($F158,사건마스터!$A$5:$A$64,0)),""))</f>
        <v/>
      </c>
      <c r="O158" s="35">
        <f>IF($F158="","",IFERROR(INDEX(사건마스터!$AL$5:$AL$64,MATCH($F158,사건마스터!$A$5:$A$64,0)),""))</f>
        <v/>
      </c>
      <c r="P158" s="35">
        <f>IF($F158="","",IFERROR(INDEX(사건마스터!$AM$5:$AM$64,MATCH($F158,사건마스터!$A$5:$A$64,0)),""))</f>
        <v/>
      </c>
      <c r="Q158" s="35">
        <f>IF($F158="","",IFERROR(INDEX(사건마스터!$AN$5:$AN$64,MATCH($F158,사건마스터!$A$5:$A$64,0)),""))</f>
        <v/>
      </c>
      <c r="R158" s="35">
        <f>IF($F158="","",IFERROR(INDEX(사건마스터!$AO$5:$AO$64,MATCH($F158,사건마스터!$A$5:$A$64,0)),""))</f>
        <v/>
      </c>
      <c r="S158" s="35">
        <f>IF($F158="","",IFERROR(INDEX(사건마스터!$AP$5:$AP$64,MATCH($F158,사건마스터!$A$5:$A$64,0)),""))</f>
        <v/>
      </c>
      <c r="T158" s="35">
        <f>IF($F158="","",IFERROR(INDEX(사건마스터!$AQ$5:$AQ$64,MATCH($F158,사건마스터!$A$5:$A$64,0)),""))</f>
        <v/>
      </c>
      <c r="U158" s="35">
        <f>IF($F158="","",IFERROR(INDEX(사건마스터!$AR$5:$AR$64,MATCH($F158,사건마스터!$A$5:$A$64,0)),""))</f>
        <v/>
      </c>
      <c r="V158" s="35">
        <f>IF($F158="","",IFERROR(INDEX(사건마스터!$AS$5:$AS$64,MATCH($F158,사건마스터!$A$5:$A$64,0)),""))</f>
        <v/>
      </c>
      <c r="W158" s="35">
        <f>IF($F158="","",IFERROR(INDEX(사건마스터!$AT$5:$AT$64,MATCH($F158,사건마스터!$A$5:$A$64,0)),""))</f>
        <v/>
      </c>
      <c r="X158" s="35">
        <f>IF($F158="","",IFERROR(INDEX(사건마스터!$AU$5:$AU$64,MATCH($F158,사건마스터!$A$5:$A$64,0)),""))</f>
        <v/>
      </c>
      <c r="Y158" s="35">
        <f>IF($F158="","",IFERROR(INDEX(사건마스터!$AV$5:$AV$64,MATCH($F158,사건마스터!$A$5:$A$64,0)),""))</f>
        <v/>
      </c>
      <c r="Z158" s="30">
        <f>IF(COUNTBLANK($J158:$Y158)=16,"",16-COUNTBLANK($J158:$Y158))</f>
        <v/>
      </c>
      <c r="AA158" s="33">
        <f>IF($J158="",MID($AX158,3,255),$J158&amp;$AX158)</f>
        <v/>
      </c>
      <c r="AB158" s="34">
        <f>IF($J158="","",IFERROR(INDEX(코드설정!$D$5:$D$24,MATCH($J158,코드설정!$C$5:$C$24,0)),""))</f>
        <v/>
      </c>
      <c r="AC158" s="36" t="n"/>
      <c r="AD158" s="37" t="n"/>
      <c r="AE158" s="38" t="n"/>
      <c r="AF158" s="30">
        <f>IF(OR($B158="",$C158=""),"",$C158-$B158+1)</f>
        <v/>
      </c>
      <c r="AG158" s="32" t="n"/>
      <c r="AH158" s="36" t="n"/>
      <c r="AJ158">
        <f>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  <c r="AX158">
        <f>AW158&amp;IF($Y158="","",", "&amp;$Y158)</f>
        <v/>
      </c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0">
        <f>IF($F159="","",COUNTIF($F$5:$F159,$F159))</f>
        <v/>
      </c>
      <c r="H159" s="33">
        <f>IF($F159="","",IFERROR(INDEX(사건마스터!$B$5:$B$64,MATCH($F159,사건마스터!$A$5:$A$64,0)),""))</f>
        <v/>
      </c>
      <c r="I159" s="34">
        <f>IF($F159="","",IFERROR(INDEX(사건마스터!$C$5:$C$64,MATCH($F159,사건마스터!$A$5:$A$64,0)),""))</f>
        <v/>
      </c>
      <c r="J159" s="35">
        <f>IF($F159="","",IFERROR(INDEX(사건마스터!$H$5:$H$64,MATCH($F159,사건마스터!$A$5:$A$64,0)),""))</f>
        <v/>
      </c>
      <c r="K159" s="35">
        <f>IF($F159="","",IFERROR(INDEX(사건마스터!$AH$5:$AH$64,MATCH($F159,사건마스터!$A$5:$A$64,0)),""))</f>
        <v/>
      </c>
      <c r="L159" s="35">
        <f>IF($F159="","",IFERROR(INDEX(사건마스터!$AI$5:$AI$64,MATCH($F159,사건마스터!$A$5:$A$64,0)),""))</f>
        <v/>
      </c>
      <c r="M159" s="35">
        <f>IF($F159="","",IFERROR(INDEX(사건마스터!$AJ$5:$AJ$64,MATCH($F159,사건마스터!$A$5:$A$64,0)),""))</f>
        <v/>
      </c>
      <c r="N159" s="35">
        <f>IF($F159="","",IFERROR(INDEX(사건마스터!$AK$5:$AK$64,MATCH($F159,사건마스터!$A$5:$A$64,0)),""))</f>
        <v/>
      </c>
      <c r="O159" s="35">
        <f>IF($F159="","",IFERROR(INDEX(사건마스터!$AL$5:$AL$64,MATCH($F159,사건마스터!$A$5:$A$64,0)),""))</f>
        <v/>
      </c>
      <c r="P159" s="35">
        <f>IF($F159="","",IFERROR(INDEX(사건마스터!$AM$5:$AM$64,MATCH($F159,사건마스터!$A$5:$A$64,0)),""))</f>
        <v/>
      </c>
      <c r="Q159" s="35">
        <f>IF($F159="","",IFERROR(INDEX(사건마스터!$AN$5:$AN$64,MATCH($F159,사건마스터!$A$5:$A$64,0)),""))</f>
        <v/>
      </c>
      <c r="R159" s="35">
        <f>IF($F159="","",IFERROR(INDEX(사건마스터!$AO$5:$AO$64,MATCH($F159,사건마스터!$A$5:$A$64,0)),""))</f>
        <v/>
      </c>
      <c r="S159" s="35">
        <f>IF($F159="","",IFERROR(INDEX(사건마스터!$AP$5:$AP$64,MATCH($F159,사건마스터!$A$5:$A$64,0)),""))</f>
        <v/>
      </c>
      <c r="T159" s="35">
        <f>IF($F159="","",IFERROR(INDEX(사건마스터!$AQ$5:$AQ$64,MATCH($F159,사건마스터!$A$5:$A$64,0)),""))</f>
        <v/>
      </c>
      <c r="U159" s="35">
        <f>IF($F159="","",IFERROR(INDEX(사건마스터!$AR$5:$AR$64,MATCH($F159,사건마스터!$A$5:$A$64,0)),""))</f>
        <v/>
      </c>
      <c r="V159" s="35">
        <f>IF($F159="","",IFERROR(INDEX(사건마스터!$AS$5:$AS$64,MATCH($F159,사건마스터!$A$5:$A$64,0)),""))</f>
        <v/>
      </c>
      <c r="W159" s="35">
        <f>IF($F159="","",IFERROR(INDEX(사건마스터!$AT$5:$AT$64,MATCH($F159,사건마스터!$A$5:$A$64,0)),""))</f>
        <v/>
      </c>
      <c r="X159" s="35">
        <f>IF($F159="","",IFERROR(INDEX(사건마스터!$AU$5:$AU$64,MATCH($F159,사건마스터!$A$5:$A$64,0)),""))</f>
        <v/>
      </c>
      <c r="Y159" s="35">
        <f>IF($F159="","",IFERROR(INDEX(사건마스터!$AV$5:$AV$64,MATCH($F159,사건마스터!$A$5:$A$64,0)),""))</f>
        <v/>
      </c>
      <c r="Z159" s="30">
        <f>IF(COUNTBLANK($J159:$Y159)=16,"",16-COUNTBLANK($J159:$Y159))</f>
        <v/>
      </c>
      <c r="AA159" s="33">
        <f>IF($J159="",MID($AX159,3,255),$J159&amp;$AX159)</f>
        <v/>
      </c>
      <c r="AB159" s="34">
        <f>IF($J159="","",IFERROR(INDEX(코드설정!$D$5:$D$24,MATCH($J159,코드설정!$C$5:$C$24,0)),""))</f>
        <v/>
      </c>
      <c r="AC159" s="36" t="n"/>
      <c r="AD159" s="37" t="n"/>
      <c r="AE159" s="38" t="n"/>
      <c r="AF159" s="30">
        <f>IF(OR($B159="",$C159=""),"",$C159-$B159+1)</f>
        <v/>
      </c>
      <c r="AG159" s="32" t="n"/>
      <c r="AH159" s="36" t="n"/>
      <c r="AJ159">
        <f>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  <c r="AX159">
        <f>AW159&amp;IF($Y159="","",", "&amp;$Y159)</f>
        <v/>
      </c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0">
        <f>IF($F160="","",COUNTIF($F$5:$F160,$F160))</f>
        <v/>
      </c>
      <c r="H160" s="33">
        <f>IF($F160="","",IFERROR(INDEX(사건마스터!$B$5:$B$64,MATCH($F160,사건마스터!$A$5:$A$64,0)),""))</f>
        <v/>
      </c>
      <c r="I160" s="34">
        <f>IF($F160="","",IFERROR(INDEX(사건마스터!$C$5:$C$64,MATCH($F160,사건마스터!$A$5:$A$64,0)),""))</f>
        <v/>
      </c>
      <c r="J160" s="35">
        <f>IF($F160="","",IFERROR(INDEX(사건마스터!$H$5:$H$64,MATCH($F160,사건마스터!$A$5:$A$64,0)),""))</f>
        <v/>
      </c>
      <c r="K160" s="35">
        <f>IF($F160="","",IFERROR(INDEX(사건마스터!$AH$5:$AH$64,MATCH($F160,사건마스터!$A$5:$A$64,0)),""))</f>
        <v/>
      </c>
      <c r="L160" s="35">
        <f>IF($F160="","",IFERROR(INDEX(사건마스터!$AI$5:$AI$64,MATCH($F160,사건마스터!$A$5:$A$64,0)),""))</f>
        <v/>
      </c>
      <c r="M160" s="35">
        <f>IF($F160="","",IFERROR(INDEX(사건마스터!$AJ$5:$AJ$64,MATCH($F160,사건마스터!$A$5:$A$64,0)),""))</f>
        <v/>
      </c>
      <c r="N160" s="35">
        <f>IF($F160="","",IFERROR(INDEX(사건마스터!$AK$5:$AK$64,MATCH($F160,사건마스터!$A$5:$A$64,0)),""))</f>
        <v/>
      </c>
      <c r="O160" s="35">
        <f>IF($F160="","",IFERROR(INDEX(사건마스터!$AL$5:$AL$64,MATCH($F160,사건마스터!$A$5:$A$64,0)),""))</f>
        <v/>
      </c>
      <c r="P160" s="35">
        <f>IF($F160="","",IFERROR(INDEX(사건마스터!$AM$5:$AM$64,MATCH($F160,사건마스터!$A$5:$A$64,0)),""))</f>
        <v/>
      </c>
      <c r="Q160" s="35">
        <f>IF($F160="","",IFERROR(INDEX(사건마스터!$AN$5:$AN$64,MATCH($F160,사건마스터!$A$5:$A$64,0)),""))</f>
        <v/>
      </c>
      <c r="R160" s="35">
        <f>IF($F160="","",IFERROR(INDEX(사건마스터!$AO$5:$AO$64,MATCH($F160,사건마스터!$A$5:$A$64,0)),""))</f>
        <v/>
      </c>
      <c r="S160" s="35">
        <f>IF($F160="","",IFERROR(INDEX(사건마스터!$AP$5:$AP$64,MATCH($F160,사건마스터!$A$5:$A$64,0)),""))</f>
        <v/>
      </c>
      <c r="T160" s="35">
        <f>IF($F160="","",IFERROR(INDEX(사건마스터!$AQ$5:$AQ$64,MATCH($F160,사건마스터!$A$5:$A$64,0)),""))</f>
        <v/>
      </c>
      <c r="U160" s="35">
        <f>IF($F160="","",IFERROR(INDEX(사건마스터!$AR$5:$AR$64,MATCH($F160,사건마스터!$A$5:$A$64,0)),""))</f>
        <v/>
      </c>
      <c r="V160" s="35">
        <f>IF($F160="","",IFERROR(INDEX(사건마스터!$AS$5:$AS$64,MATCH($F160,사건마스터!$A$5:$A$64,0)),""))</f>
        <v/>
      </c>
      <c r="W160" s="35">
        <f>IF($F160="","",IFERROR(INDEX(사건마스터!$AT$5:$AT$64,MATCH($F160,사건마스터!$A$5:$A$64,0)),""))</f>
        <v/>
      </c>
      <c r="X160" s="35">
        <f>IF($F160="","",IFERROR(INDEX(사건마스터!$AU$5:$AU$64,MATCH($F160,사건마스터!$A$5:$A$64,0)),""))</f>
        <v/>
      </c>
      <c r="Y160" s="35">
        <f>IF($F160="","",IFERROR(INDEX(사건마스터!$AV$5:$AV$64,MATCH($F160,사건마스터!$A$5:$A$64,0)),""))</f>
        <v/>
      </c>
      <c r="Z160" s="30">
        <f>IF(COUNTBLANK($J160:$Y160)=16,"",16-COUNTBLANK($J160:$Y160))</f>
        <v/>
      </c>
      <c r="AA160" s="33">
        <f>IF($J160="",MID($AX160,3,255),$J160&amp;$AX160)</f>
        <v/>
      </c>
      <c r="AB160" s="34">
        <f>IF($J160="","",IFERROR(INDEX(코드설정!$D$5:$D$24,MATCH($J160,코드설정!$C$5:$C$24,0)),""))</f>
        <v/>
      </c>
      <c r="AC160" s="36" t="n"/>
      <c r="AD160" s="37" t="n"/>
      <c r="AE160" s="38" t="n"/>
      <c r="AF160" s="30">
        <f>IF(OR($B160="",$C160=""),"",$C160-$B160+1)</f>
        <v/>
      </c>
      <c r="AG160" s="32" t="n"/>
      <c r="AH160" s="36" t="n"/>
      <c r="AJ160">
        <f>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  <c r="AX160">
        <f>AW160&amp;IF($Y160="","",", "&amp;$Y160)</f>
        <v/>
      </c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0">
        <f>IF($F161="","",COUNTIF($F$5:$F161,$F161))</f>
        <v/>
      </c>
      <c r="H161" s="33">
        <f>IF($F161="","",IFERROR(INDEX(사건마스터!$B$5:$B$64,MATCH($F161,사건마스터!$A$5:$A$64,0)),""))</f>
        <v/>
      </c>
      <c r="I161" s="34">
        <f>IF($F161="","",IFERROR(INDEX(사건마스터!$C$5:$C$64,MATCH($F161,사건마스터!$A$5:$A$64,0)),""))</f>
        <v/>
      </c>
      <c r="J161" s="35">
        <f>IF($F161="","",IFERROR(INDEX(사건마스터!$H$5:$H$64,MATCH($F161,사건마스터!$A$5:$A$64,0)),""))</f>
        <v/>
      </c>
      <c r="K161" s="35">
        <f>IF($F161="","",IFERROR(INDEX(사건마스터!$AH$5:$AH$64,MATCH($F161,사건마스터!$A$5:$A$64,0)),""))</f>
        <v/>
      </c>
      <c r="L161" s="35">
        <f>IF($F161="","",IFERROR(INDEX(사건마스터!$AI$5:$AI$64,MATCH($F161,사건마스터!$A$5:$A$64,0)),""))</f>
        <v/>
      </c>
      <c r="M161" s="35">
        <f>IF($F161="","",IFERROR(INDEX(사건마스터!$AJ$5:$AJ$64,MATCH($F161,사건마스터!$A$5:$A$64,0)),""))</f>
        <v/>
      </c>
      <c r="N161" s="35">
        <f>IF($F161="","",IFERROR(INDEX(사건마스터!$AK$5:$AK$64,MATCH($F161,사건마스터!$A$5:$A$64,0)),""))</f>
        <v/>
      </c>
      <c r="O161" s="35">
        <f>IF($F161="","",IFERROR(INDEX(사건마스터!$AL$5:$AL$64,MATCH($F161,사건마스터!$A$5:$A$64,0)),""))</f>
        <v/>
      </c>
      <c r="P161" s="35">
        <f>IF($F161="","",IFERROR(INDEX(사건마스터!$AM$5:$AM$64,MATCH($F161,사건마스터!$A$5:$A$64,0)),""))</f>
        <v/>
      </c>
      <c r="Q161" s="35">
        <f>IF($F161="","",IFERROR(INDEX(사건마스터!$AN$5:$AN$64,MATCH($F161,사건마스터!$A$5:$A$64,0)),""))</f>
        <v/>
      </c>
      <c r="R161" s="35">
        <f>IF($F161="","",IFERROR(INDEX(사건마스터!$AO$5:$AO$64,MATCH($F161,사건마스터!$A$5:$A$64,0)),""))</f>
        <v/>
      </c>
      <c r="S161" s="35">
        <f>IF($F161="","",IFERROR(INDEX(사건마스터!$AP$5:$AP$64,MATCH($F161,사건마스터!$A$5:$A$64,0)),""))</f>
        <v/>
      </c>
      <c r="T161" s="35">
        <f>IF($F161="","",IFERROR(INDEX(사건마스터!$AQ$5:$AQ$64,MATCH($F161,사건마스터!$A$5:$A$64,0)),""))</f>
        <v/>
      </c>
      <c r="U161" s="35">
        <f>IF($F161="","",IFERROR(INDEX(사건마스터!$AR$5:$AR$64,MATCH($F161,사건마스터!$A$5:$A$64,0)),""))</f>
        <v/>
      </c>
      <c r="V161" s="35">
        <f>IF($F161="","",IFERROR(INDEX(사건마스터!$AS$5:$AS$64,MATCH($F161,사건마스터!$A$5:$A$64,0)),""))</f>
        <v/>
      </c>
      <c r="W161" s="35">
        <f>IF($F161="","",IFERROR(INDEX(사건마스터!$AT$5:$AT$64,MATCH($F161,사건마스터!$A$5:$A$64,0)),""))</f>
        <v/>
      </c>
      <c r="X161" s="35">
        <f>IF($F161="","",IFERROR(INDEX(사건마스터!$AU$5:$AU$64,MATCH($F161,사건마스터!$A$5:$A$64,0)),""))</f>
        <v/>
      </c>
      <c r="Y161" s="35">
        <f>IF($F161="","",IFERROR(INDEX(사건마스터!$AV$5:$AV$64,MATCH($F161,사건마스터!$A$5:$A$64,0)),""))</f>
        <v/>
      </c>
      <c r="Z161" s="30">
        <f>IF(COUNTBLANK($J161:$Y161)=16,"",16-COUNTBLANK($J161:$Y161))</f>
        <v/>
      </c>
      <c r="AA161" s="33">
        <f>IF($J161="",MID($AX161,3,255),$J161&amp;$AX161)</f>
        <v/>
      </c>
      <c r="AB161" s="34">
        <f>IF($J161="","",IFERROR(INDEX(코드설정!$D$5:$D$24,MATCH($J161,코드설정!$C$5:$C$24,0)),""))</f>
        <v/>
      </c>
      <c r="AC161" s="36" t="n"/>
      <c r="AD161" s="37" t="n"/>
      <c r="AE161" s="38" t="n"/>
      <c r="AF161" s="30">
        <f>IF(OR($B161="",$C161=""),"",$C161-$B161+1)</f>
        <v/>
      </c>
      <c r="AG161" s="32" t="n"/>
      <c r="AH161" s="36" t="n"/>
      <c r="AJ161">
        <f>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  <c r="AX161">
        <f>AW161&amp;IF($Y161="","",", "&amp;$Y161)</f>
        <v/>
      </c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0">
        <f>IF($F162="","",COUNTIF($F$5:$F162,$F162))</f>
        <v/>
      </c>
      <c r="H162" s="33">
        <f>IF($F162="","",IFERROR(INDEX(사건마스터!$B$5:$B$64,MATCH($F162,사건마스터!$A$5:$A$64,0)),""))</f>
        <v/>
      </c>
      <c r="I162" s="34">
        <f>IF($F162="","",IFERROR(INDEX(사건마스터!$C$5:$C$64,MATCH($F162,사건마스터!$A$5:$A$64,0)),""))</f>
        <v/>
      </c>
      <c r="J162" s="35">
        <f>IF($F162="","",IFERROR(INDEX(사건마스터!$H$5:$H$64,MATCH($F162,사건마스터!$A$5:$A$64,0)),""))</f>
        <v/>
      </c>
      <c r="K162" s="35">
        <f>IF($F162="","",IFERROR(INDEX(사건마스터!$AH$5:$AH$64,MATCH($F162,사건마스터!$A$5:$A$64,0)),""))</f>
        <v/>
      </c>
      <c r="L162" s="35">
        <f>IF($F162="","",IFERROR(INDEX(사건마스터!$AI$5:$AI$64,MATCH($F162,사건마스터!$A$5:$A$64,0)),""))</f>
        <v/>
      </c>
      <c r="M162" s="35">
        <f>IF($F162="","",IFERROR(INDEX(사건마스터!$AJ$5:$AJ$64,MATCH($F162,사건마스터!$A$5:$A$64,0)),""))</f>
        <v/>
      </c>
      <c r="N162" s="35">
        <f>IF($F162="","",IFERROR(INDEX(사건마스터!$AK$5:$AK$64,MATCH($F162,사건마스터!$A$5:$A$64,0)),""))</f>
        <v/>
      </c>
      <c r="O162" s="35">
        <f>IF($F162="","",IFERROR(INDEX(사건마스터!$AL$5:$AL$64,MATCH($F162,사건마스터!$A$5:$A$64,0)),""))</f>
        <v/>
      </c>
      <c r="P162" s="35">
        <f>IF($F162="","",IFERROR(INDEX(사건마스터!$AM$5:$AM$64,MATCH($F162,사건마스터!$A$5:$A$64,0)),""))</f>
        <v/>
      </c>
      <c r="Q162" s="35">
        <f>IF($F162="","",IFERROR(INDEX(사건마스터!$AN$5:$AN$64,MATCH($F162,사건마스터!$A$5:$A$64,0)),""))</f>
        <v/>
      </c>
      <c r="R162" s="35">
        <f>IF($F162="","",IFERROR(INDEX(사건마스터!$AO$5:$AO$64,MATCH($F162,사건마스터!$A$5:$A$64,0)),""))</f>
        <v/>
      </c>
      <c r="S162" s="35">
        <f>IF($F162="","",IFERROR(INDEX(사건마스터!$AP$5:$AP$64,MATCH($F162,사건마스터!$A$5:$A$64,0)),""))</f>
        <v/>
      </c>
      <c r="T162" s="35">
        <f>IF($F162="","",IFERROR(INDEX(사건마스터!$AQ$5:$AQ$64,MATCH($F162,사건마스터!$A$5:$A$64,0)),""))</f>
        <v/>
      </c>
      <c r="U162" s="35">
        <f>IF($F162="","",IFERROR(INDEX(사건마스터!$AR$5:$AR$64,MATCH($F162,사건마스터!$A$5:$A$64,0)),""))</f>
        <v/>
      </c>
      <c r="V162" s="35">
        <f>IF($F162="","",IFERROR(INDEX(사건마스터!$AS$5:$AS$64,MATCH($F162,사건마스터!$A$5:$A$64,0)),""))</f>
        <v/>
      </c>
      <c r="W162" s="35">
        <f>IF($F162="","",IFERROR(INDEX(사건마스터!$AT$5:$AT$64,MATCH($F162,사건마스터!$A$5:$A$64,0)),""))</f>
        <v/>
      </c>
      <c r="X162" s="35">
        <f>IF($F162="","",IFERROR(INDEX(사건마스터!$AU$5:$AU$64,MATCH($F162,사건마스터!$A$5:$A$64,0)),""))</f>
        <v/>
      </c>
      <c r="Y162" s="35">
        <f>IF($F162="","",IFERROR(INDEX(사건마스터!$AV$5:$AV$64,MATCH($F162,사건마스터!$A$5:$A$64,0)),""))</f>
        <v/>
      </c>
      <c r="Z162" s="30">
        <f>IF(COUNTBLANK($J162:$Y162)=16,"",16-COUNTBLANK($J162:$Y162))</f>
        <v/>
      </c>
      <c r="AA162" s="33">
        <f>IF($J162="",MID($AX162,3,255),$J162&amp;$AX162)</f>
        <v/>
      </c>
      <c r="AB162" s="34">
        <f>IF($J162="","",IFERROR(INDEX(코드설정!$D$5:$D$24,MATCH($J162,코드설정!$C$5:$C$24,0)),""))</f>
        <v/>
      </c>
      <c r="AC162" s="36" t="n"/>
      <c r="AD162" s="37" t="n"/>
      <c r="AE162" s="38" t="n"/>
      <c r="AF162" s="30">
        <f>IF(OR($B162="",$C162=""),"",$C162-$B162+1)</f>
        <v/>
      </c>
      <c r="AG162" s="32" t="n"/>
      <c r="AH162" s="36" t="n"/>
      <c r="AJ162">
        <f>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  <c r="AX162">
        <f>AW162&amp;IF($Y162="","",", "&amp;$Y162)</f>
        <v/>
      </c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0">
        <f>IF($F163="","",COUNTIF($F$5:$F163,$F163))</f>
        <v/>
      </c>
      <c r="H163" s="33">
        <f>IF($F163="","",IFERROR(INDEX(사건마스터!$B$5:$B$64,MATCH($F163,사건마스터!$A$5:$A$64,0)),""))</f>
        <v/>
      </c>
      <c r="I163" s="34">
        <f>IF($F163="","",IFERROR(INDEX(사건마스터!$C$5:$C$64,MATCH($F163,사건마스터!$A$5:$A$64,0)),""))</f>
        <v/>
      </c>
      <c r="J163" s="35">
        <f>IF($F163="","",IFERROR(INDEX(사건마스터!$H$5:$H$64,MATCH($F163,사건마스터!$A$5:$A$64,0)),""))</f>
        <v/>
      </c>
      <c r="K163" s="35">
        <f>IF($F163="","",IFERROR(INDEX(사건마스터!$AH$5:$AH$64,MATCH($F163,사건마스터!$A$5:$A$64,0)),""))</f>
        <v/>
      </c>
      <c r="L163" s="35">
        <f>IF($F163="","",IFERROR(INDEX(사건마스터!$AI$5:$AI$64,MATCH($F163,사건마스터!$A$5:$A$64,0)),""))</f>
        <v/>
      </c>
      <c r="M163" s="35">
        <f>IF($F163="","",IFERROR(INDEX(사건마스터!$AJ$5:$AJ$64,MATCH($F163,사건마스터!$A$5:$A$64,0)),""))</f>
        <v/>
      </c>
      <c r="N163" s="35">
        <f>IF($F163="","",IFERROR(INDEX(사건마스터!$AK$5:$AK$64,MATCH($F163,사건마스터!$A$5:$A$64,0)),""))</f>
        <v/>
      </c>
      <c r="O163" s="35">
        <f>IF($F163="","",IFERROR(INDEX(사건마스터!$AL$5:$AL$64,MATCH($F163,사건마스터!$A$5:$A$64,0)),""))</f>
        <v/>
      </c>
      <c r="P163" s="35">
        <f>IF($F163="","",IFERROR(INDEX(사건마스터!$AM$5:$AM$64,MATCH($F163,사건마스터!$A$5:$A$64,0)),""))</f>
        <v/>
      </c>
      <c r="Q163" s="35">
        <f>IF($F163="","",IFERROR(INDEX(사건마스터!$AN$5:$AN$64,MATCH($F163,사건마스터!$A$5:$A$64,0)),""))</f>
        <v/>
      </c>
      <c r="R163" s="35">
        <f>IF($F163="","",IFERROR(INDEX(사건마스터!$AO$5:$AO$64,MATCH($F163,사건마스터!$A$5:$A$64,0)),""))</f>
        <v/>
      </c>
      <c r="S163" s="35">
        <f>IF($F163="","",IFERROR(INDEX(사건마스터!$AP$5:$AP$64,MATCH($F163,사건마스터!$A$5:$A$64,0)),""))</f>
        <v/>
      </c>
      <c r="T163" s="35">
        <f>IF($F163="","",IFERROR(INDEX(사건마스터!$AQ$5:$AQ$64,MATCH($F163,사건마스터!$A$5:$A$64,0)),""))</f>
        <v/>
      </c>
      <c r="U163" s="35">
        <f>IF($F163="","",IFERROR(INDEX(사건마스터!$AR$5:$AR$64,MATCH($F163,사건마스터!$A$5:$A$64,0)),""))</f>
        <v/>
      </c>
      <c r="V163" s="35">
        <f>IF($F163="","",IFERROR(INDEX(사건마스터!$AS$5:$AS$64,MATCH($F163,사건마스터!$A$5:$A$64,0)),""))</f>
        <v/>
      </c>
      <c r="W163" s="35">
        <f>IF($F163="","",IFERROR(INDEX(사건마스터!$AT$5:$AT$64,MATCH($F163,사건마스터!$A$5:$A$64,0)),""))</f>
        <v/>
      </c>
      <c r="X163" s="35">
        <f>IF($F163="","",IFERROR(INDEX(사건마스터!$AU$5:$AU$64,MATCH($F163,사건마스터!$A$5:$A$64,0)),""))</f>
        <v/>
      </c>
      <c r="Y163" s="35">
        <f>IF($F163="","",IFERROR(INDEX(사건마스터!$AV$5:$AV$64,MATCH($F163,사건마스터!$A$5:$A$64,0)),""))</f>
        <v/>
      </c>
      <c r="Z163" s="30">
        <f>IF(COUNTBLANK($J163:$Y163)=16,"",16-COUNTBLANK($J163:$Y163))</f>
        <v/>
      </c>
      <c r="AA163" s="33">
        <f>IF($J163="",MID($AX163,3,255),$J163&amp;$AX163)</f>
        <v/>
      </c>
      <c r="AB163" s="34">
        <f>IF($J163="","",IFERROR(INDEX(코드설정!$D$5:$D$24,MATCH($J163,코드설정!$C$5:$C$24,0)),""))</f>
        <v/>
      </c>
      <c r="AC163" s="36" t="n"/>
      <c r="AD163" s="37" t="n"/>
      <c r="AE163" s="38" t="n"/>
      <c r="AF163" s="30">
        <f>IF(OR($B163="",$C163=""),"",$C163-$B163+1)</f>
        <v/>
      </c>
      <c r="AG163" s="32" t="n"/>
      <c r="AH163" s="36" t="n"/>
      <c r="AJ163">
        <f>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  <c r="AX163">
        <f>AW163&amp;IF($Y163="","",", "&amp;$Y163)</f>
        <v/>
      </c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0">
        <f>IF($F164="","",COUNTIF($F$5:$F164,$F164))</f>
        <v/>
      </c>
      <c r="H164" s="33">
        <f>IF($F164="","",IFERROR(INDEX(사건마스터!$B$5:$B$64,MATCH($F164,사건마스터!$A$5:$A$64,0)),""))</f>
        <v/>
      </c>
      <c r="I164" s="34">
        <f>IF($F164="","",IFERROR(INDEX(사건마스터!$C$5:$C$64,MATCH($F164,사건마스터!$A$5:$A$64,0)),""))</f>
        <v/>
      </c>
      <c r="J164" s="35">
        <f>IF($F164="","",IFERROR(INDEX(사건마스터!$H$5:$H$64,MATCH($F164,사건마스터!$A$5:$A$64,0)),""))</f>
        <v/>
      </c>
      <c r="K164" s="35">
        <f>IF($F164="","",IFERROR(INDEX(사건마스터!$AH$5:$AH$64,MATCH($F164,사건마스터!$A$5:$A$64,0)),""))</f>
        <v/>
      </c>
      <c r="L164" s="35">
        <f>IF($F164="","",IFERROR(INDEX(사건마스터!$AI$5:$AI$64,MATCH($F164,사건마스터!$A$5:$A$64,0)),""))</f>
        <v/>
      </c>
      <c r="M164" s="35">
        <f>IF($F164="","",IFERROR(INDEX(사건마스터!$AJ$5:$AJ$64,MATCH($F164,사건마스터!$A$5:$A$64,0)),""))</f>
        <v/>
      </c>
      <c r="N164" s="35">
        <f>IF($F164="","",IFERROR(INDEX(사건마스터!$AK$5:$AK$64,MATCH($F164,사건마스터!$A$5:$A$64,0)),""))</f>
        <v/>
      </c>
      <c r="O164" s="35">
        <f>IF($F164="","",IFERROR(INDEX(사건마스터!$AL$5:$AL$64,MATCH($F164,사건마스터!$A$5:$A$64,0)),""))</f>
        <v/>
      </c>
      <c r="P164" s="35">
        <f>IF($F164="","",IFERROR(INDEX(사건마스터!$AM$5:$AM$64,MATCH($F164,사건마스터!$A$5:$A$64,0)),""))</f>
        <v/>
      </c>
      <c r="Q164" s="35">
        <f>IF($F164="","",IFERROR(INDEX(사건마스터!$AN$5:$AN$64,MATCH($F164,사건마스터!$A$5:$A$64,0)),""))</f>
        <v/>
      </c>
      <c r="R164" s="35">
        <f>IF($F164="","",IFERROR(INDEX(사건마스터!$AO$5:$AO$64,MATCH($F164,사건마스터!$A$5:$A$64,0)),""))</f>
        <v/>
      </c>
      <c r="S164" s="35">
        <f>IF($F164="","",IFERROR(INDEX(사건마스터!$AP$5:$AP$64,MATCH($F164,사건마스터!$A$5:$A$64,0)),""))</f>
        <v/>
      </c>
      <c r="T164" s="35">
        <f>IF($F164="","",IFERROR(INDEX(사건마스터!$AQ$5:$AQ$64,MATCH($F164,사건마스터!$A$5:$A$64,0)),""))</f>
        <v/>
      </c>
      <c r="U164" s="35">
        <f>IF($F164="","",IFERROR(INDEX(사건마스터!$AR$5:$AR$64,MATCH($F164,사건마스터!$A$5:$A$64,0)),""))</f>
        <v/>
      </c>
      <c r="V164" s="35">
        <f>IF($F164="","",IFERROR(INDEX(사건마스터!$AS$5:$AS$64,MATCH($F164,사건마스터!$A$5:$A$64,0)),""))</f>
        <v/>
      </c>
      <c r="W164" s="35">
        <f>IF($F164="","",IFERROR(INDEX(사건마스터!$AT$5:$AT$64,MATCH($F164,사건마스터!$A$5:$A$64,0)),""))</f>
        <v/>
      </c>
      <c r="X164" s="35">
        <f>IF($F164="","",IFERROR(INDEX(사건마스터!$AU$5:$AU$64,MATCH($F164,사건마스터!$A$5:$A$64,0)),""))</f>
        <v/>
      </c>
      <c r="Y164" s="35">
        <f>IF($F164="","",IFERROR(INDEX(사건마스터!$AV$5:$AV$64,MATCH($F164,사건마스터!$A$5:$A$64,0)),""))</f>
        <v/>
      </c>
      <c r="Z164" s="30">
        <f>IF(COUNTBLANK($J164:$Y164)=16,"",16-COUNTBLANK($J164:$Y164))</f>
        <v/>
      </c>
      <c r="AA164" s="33">
        <f>IF($J164="",MID($AX164,3,255),$J164&amp;$AX164)</f>
        <v/>
      </c>
      <c r="AB164" s="34">
        <f>IF($J164="","",IFERROR(INDEX(코드설정!$D$5:$D$24,MATCH($J164,코드설정!$C$5:$C$24,0)),""))</f>
        <v/>
      </c>
      <c r="AC164" s="36" t="n"/>
      <c r="AD164" s="37" t="n"/>
      <c r="AE164" s="38" t="n"/>
      <c r="AF164" s="30">
        <f>IF(OR($B164="",$C164=""),"",$C164-$B164+1)</f>
        <v/>
      </c>
      <c r="AG164" s="32" t="n"/>
      <c r="AH164" s="36" t="n"/>
      <c r="AJ164">
        <f>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  <c r="AX164">
        <f>AW164&amp;IF($Y164="","",", "&amp;$Y164)</f>
        <v/>
      </c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0">
        <f>IF($F165="","",COUNTIF($F$5:$F165,$F165))</f>
        <v/>
      </c>
      <c r="H165" s="33">
        <f>IF($F165="","",IFERROR(INDEX(사건마스터!$B$5:$B$64,MATCH($F165,사건마스터!$A$5:$A$64,0)),""))</f>
        <v/>
      </c>
      <c r="I165" s="34">
        <f>IF($F165="","",IFERROR(INDEX(사건마스터!$C$5:$C$64,MATCH($F165,사건마스터!$A$5:$A$64,0)),""))</f>
        <v/>
      </c>
      <c r="J165" s="35">
        <f>IF($F165="","",IFERROR(INDEX(사건마스터!$H$5:$H$64,MATCH($F165,사건마스터!$A$5:$A$64,0)),""))</f>
        <v/>
      </c>
      <c r="K165" s="35">
        <f>IF($F165="","",IFERROR(INDEX(사건마스터!$AH$5:$AH$64,MATCH($F165,사건마스터!$A$5:$A$64,0)),""))</f>
        <v/>
      </c>
      <c r="L165" s="35">
        <f>IF($F165="","",IFERROR(INDEX(사건마스터!$AI$5:$AI$64,MATCH($F165,사건마스터!$A$5:$A$64,0)),""))</f>
        <v/>
      </c>
      <c r="M165" s="35">
        <f>IF($F165="","",IFERROR(INDEX(사건마스터!$AJ$5:$AJ$64,MATCH($F165,사건마스터!$A$5:$A$64,0)),""))</f>
        <v/>
      </c>
      <c r="N165" s="35">
        <f>IF($F165="","",IFERROR(INDEX(사건마스터!$AK$5:$AK$64,MATCH($F165,사건마스터!$A$5:$A$64,0)),""))</f>
        <v/>
      </c>
      <c r="O165" s="35">
        <f>IF($F165="","",IFERROR(INDEX(사건마스터!$AL$5:$AL$64,MATCH($F165,사건마스터!$A$5:$A$64,0)),""))</f>
        <v/>
      </c>
      <c r="P165" s="35">
        <f>IF($F165="","",IFERROR(INDEX(사건마스터!$AM$5:$AM$64,MATCH($F165,사건마스터!$A$5:$A$64,0)),""))</f>
        <v/>
      </c>
      <c r="Q165" s="35">
        <f>IF($F165="","",IFERROR(INDEX(사건마스터!$AN$5:$AN$64,MATCH($F165,사건마스터!$A$5:$A$64,0)),""))</f>
        <v/>
      </c>
      <c r="R165" s="35">
        <f>IF($F165="","",IFERROR(INDEX(사건마스터!$AO$5:$AO$64,MATCH($F165,사건마스터!$A$5:$A$64,0)),""))</f>
        <v/>
      </c>
      <c r="S165" s="35">
        <f>IF($F165="","",IFERROR(INDEX(사건마스터!$AP$5:$AP$64,MATCH($F165,사건마스터!$A$5:$A$64,0)),""))</f>
        <v/>
      </c>
      <c r="T165" s="35">
        <f>IF($F165="","",IFERROR(INDEX(사건마스터!$AQ$5:$AQ$64,MATCH($F165,사건마스터!$A$5:$A$64,0)),""))</f>
        <v/>
      </c>
      <c r="U165" s="35">
        <f>IF($F165="","",IFERROR(INDEX(사건마스터!$AR$5:$AR$64,MATCH($F165,사건마스터!$A$5:$A$64,0)),""))</f>
        <v/>
      </c>
      <c r="V165" s="35">
        <f>IF($F165="","",IFERROR(INDEX(사건마스터!$AS$5:$AS$64,MATCH($F165,사건마스터!$A$5:$A$64,0)),""))</f>
        <v/>
      </c>
      <c r="W165" s="35">
        <f>IF($F165="","",IFERROR(INDEX(사건마스터!$AT$5:$AT$64,MATCH($F165,사건마스터!$A$5:$A$64,0)),""))</f>
        <v/>
      </c>
      <c r="X165" s="35">
        <f>IF($F165="","",IFERROR(INDEX(사건마스터!$AU$5:$AU$64,MATCH($F165,사건마스터!$A$5:$A$64,0)),""))</f>
        <v/>
      </c>
      <c r="Y165" s="35">
        <f>IF($F165="","",IFERROR(INDEX(사건마스터!$AV$5:$AV$64,MATCH($F165,사건마스터!$A$5:$A$64,0)),""))</f>
        <v/>
      </c>
      <c r="Z165" s="30">
        <f>IF(COUNTBLANK($J165:$Y165)=16,"",16-COUNTBLANK($J165:$Y165))</f>
        <v/>
      </c>
      <c r="AA165" s="33">
        <f>IF($J165="",MID($AX165,3,255),$J165&amp;$AX165)</f>
        <v/>
      </c>
      <c r="AB165" s="34">
        <f>IF($J165="","",IFERROR(INDEX(코드설정!$D$5:$D$24,MATCH($J165,코드설정!$C$5:$C$24,0)),""))</f>
        <v/>
      </c>
      <c r="AC165" s="36" t="n"/>
      <c r="AD165" s="37" t="n"/>
      <c r="AE165" s="38" t="n"/>
      <c r="AF165" s="30">
        <f>IF(OR($B165="",$C165=""),"",$C165-$B165+1)</f>
        <v/>
      </c>
      <c r="AG165" s="32" t="n"/>
      <c r="AH165" s="36" t="n"/>
      <c r="AJ165">
        <f>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  <c r="AX165">
        <f>AW165&amp;IF($Y165="","",", "&amp;$Y165)</f>
        <v/>
      </c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0">
        <f>IF($F166="","",COUNTIF($F$5:$F166,$F166))</f>
        <v/>
      </c>
      <c r="H166" s="33">
        <f>IF($F166="","",IFERROR(INDEX(사건마스터!$B$5:$B$64,MATCH($F166,사건마스터!$A$5:$A$64,0)),""))</f>
        <v/>
      </c>
      <c r="I166" s="34">
        <f>IF($F166="","",IFERROR(INDEX(사건마스터!$C$5:$C$64,MATCH($F166,사건마스터!$A$5:$A$64,0)),""))</f>
        <v/>
      </c>
      <c r="J166" s="35">
        <f>IF($F166="","",IFERROR(INDEX(사건마스터!$H$5:$H$64,MATCH($F166,사건마스터!$A$5:$A$64,0)),""))</f>
        <v/>
      </c>
      <c r="K166" s="35">
        <f>IF($F166="","",IFERROR(INDEX(사건마스터!$AH$5:$AH$64,MATCH($F166,사건마스터!$A$5:$A$64,0)),""))</f>
        <v/>
      </c>
      <c r="L166" s="35">
        <f>IF($F166="","",IFERROR(INDEX(사건마스터!$AI$5:$AI$64,MATCH($F166,사건마스터!$A$5:$A$64,0)),""))</f>
        <v/>
      </c>
      <c r="M166" s="35">
        <f>IF($F166="","",IFERROR(INDEX(사건마스터!$AJ$5:$AJ$64,MATCH($F166,사건마스터!$A$5:$A$64,0)),""))</f>
        <v/>
      </c>
      <c r="N166" s="35">
        <f>IF($F166="","",IFERROR(INDEX(사건마스터!$AK$5:$AK$64,MATCH($F166,사건마스터!$A$5:$A$64,0)),""))</f>
        <v/>
      </c>
      <c r="O166" s="35">
        <f>IF($F166="","",IFERROR(INDEX(사건마스터!$AL$5:$AL$64,MATCH($F166,사건마스터!$A$5:$A$64,0)),""))</f>
        <v/>
      </c>
      <c r="P166" s="35">
        <f>IF($F166="","",IFERROR(INDEX(사건마스터!$AM$5:$AM$64,MATCH($F166,사건마스터!$A$5:$A$64,0)),""))</f>
        <v/>
      </c>
      <c r="Q166" s="35">
        <f>IF($F166="","",IFERROR(INDEX(사건마스터!$AN$5:$AN$64,MATCH($F166,사건마스터!$A$5:$A$64,0)),""))</f>
        <v/>
      </c>
      <c r="R166" s="35">
        <f>IF($F166="","",IFERROR(INDEX(사건마스터!$AO$5:$AO$64,MATCH($F166,사건마스터!$A$5:$A$64,0)),""))</f>
        <v/>
      </c>
      <c r="S166" s="35">
        <f>IF($F166="","",IFERROR(INDEX(사건마스터!$AP$5:$AP$64,MATCH($F166,사건마스터!$A$5:$A$64,0)),""))</f>
        <v/>
      </c>
      <c r="T166" s="35">
        <f>IF($F166="","",IFERROR(INDEX(사건마스터!$AQ$5:$AQ$64,MATCH($F166,사건마스터!$A$5:$A$64,0)),""))</f>
        <v/>
      </c>
      <c r="U166" s="35">
        <f>IF($F166="","",IFERROR(INDEX(사건마스터!$AR$5:$AR$64,MATCH($F166,사건마스터!$A$5:$A$64,0)),""))</f>
        <v/>
      </c>
      <c r="V166" s="35">
        <f>IF($F166="","",IFERROR(INDEX(사건마스터!$AS$5:$AS$64,MATCH($F166,사건마스터!$A$5:$A$64,0)),""))</f>
        <v/>
      </c>
      <c r="W166" s="35">
        <f>IF($F166="","",IFERROR(INDEX(사건마스터!$AT$5:$AT$64,MATCH($F166,사건마스터!$A$5:$A$64,0)),""))</f>
        <v/>
      </c>
      <c r="X166" s="35">
        <f>IF($F166="","",IFERROR(INDEX(사건마스터!$AU$5:$AU$64,MATCH($F166,사건마스터!$A$5:$A$64,0)),""))</f>
        <v/>
      </c>
      <c r="Y166" s="35">
        <f>IF($F166="","",IFERROR(INDEX(사건마스터!$AV$5:$AV$64,MATCH($F166,사건마스터!$A$5:$A$64,0)),""))</f>
        <v/>
      </c>
      <c r="Z166" s="30">
        <f>IF(COUNTBLANK($J166:$Y166)=16,"",16-COUNTBLANK($J166:$Y166))</f>
        <v/>
      </c>
      <c r="AA166" s="33">
        <f>IF($J166="",MID($AX166,3,255),$J166&amp;$AX166)</f>
        <v/>
      </c>
      <c r="AB166" s="34">
        <f>IF($J166="","",IFERROR(INDEX(코드설정!$D$5:$D$24,MATCH($J166,코드설정!$C$5:$C$24,0)),""))</f>
        <v/>
      </c>
      <c r="AC166" s="36" t="n"/>
      <c r="AD166" s="37" t="n"/>
      <c r="AE166" s="38" t="n"/>
      <c r="AF166" s="30">
        <f>IF(OR($B166="",$C166=""),"",$C166-$B166+1)</f>
        <v/>
      </c>
      <c r="AG166" s="32" t="n"/>
      <c r="AH166" s="36" t="n"/>
      <c r="AJ166">
        <f>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  <c r="AX166">
        <f>AW166&amp;IF($Y166="","",", "&amp;$Y166)</f>
        <v/>
      </c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0">
        <f>IF($F167="","",COUNTIF($F$5:$F167,$F167))</f>
        <v/>
      </c>
      <c r="H167" s="33">
        <f>IF($F167="","",IFERROR(INDEX(사건마스터!$B$5:$B$64,MATCH($F167,사건마스터!$A$5:$A$64,0)),""))</f>
        <v/>
      </c>
      <c r="I167" s="34">
        <f>IF($F167="","",IFERROR(INDEX(사건마스터!$C$5:$C$64,MATCH($F167,사건마스터!$A$5:$A$64,0)),""))</f>
        <v/>
      </c>
      <c r="J167" s="35">
        <f>IF($F167="","",IFERROR(INDEX(사건마스터!$H$5:$H$64,MATCH($F167,사건마스터!$A$5:$A$64,0)),""))</f>
        <v/>
      </c>
      <c r="K167" s="35">
        <f>IF($F167="","",IFERROR(INDEX(사건마스터!$AH$5:$AH$64,MATCH($F167,사건마스터!$A$5:$A$64,0)),""))</f>
        <v/>
      </c>
      <c r="L167" s="35">
        <f>IF($F167="","",IFERROR(INDEX(사건마스터!$AI$5:$AI$64,MATCH($F167,사건마스터!$A$5:$A$64,0)),""))</f>
        <v/>
      </c>
      <c r="M167" s="35">
        <f>IF($F167="","",IFERROR(INDEX(사건마스터!$AJ$5:$AJ$64,MATCH($F167,사건마스터!$A$5:$A$64,0)),""))</f>
        <v/>
      </c>
      <c r="N167" s="35">
        <f>IF($F167="","",IFERROR(INDEX(사건마스터!$AK$5:$AK$64,MATCH($F167,사건마스터!$A$5:$A$64,0)),""))</f>
        <v/>
      </c>
      <c r="O167" s="35">
        <f>IF($F167="","",IFERROR(INDEX(사건마스터!$AL$5:$AL$64,MATCH($F167,사건마스터!$A$5:$A$64,0)),""))</f>
        <v/>
      </c>
      <c r="P167" s="35">
        <f>IF($F167="","",IFERROR(INDEX(사건마스터!$AM$5:$AM$64,MATCH($F167,사건마스터!$A$5:$A$64,0)),""))</f>
        <v/>
      </c>
      <c r="Q167" s="35">
        <f>IF($F167="","",IFERROR(INDEX(사건마스터!$AN$5:$AN$64,MATCH($F167,사건마스터!$A$5:$A$64,0)),""))</f>
        <v/>
      </c>
      <c r="R167" s="35">
        <f>IF($F167="","",IFERROR(INDEX(사건마스터!$AO$5:$AO$64,MATCH($F167,사건마스터!$A$5:$A$64,0)),""))</f>
        <v/>
      </c>
      <c r="S167" s="35">
        <f>IF($F167="","",IFERROR(INDEX(사건마스터!$AP$5:$AP$64,MATCH($F167,사건마스터!$A$5:$A$64,0)),""))</f>
        <v/>
      </c>
      <c r="T167" s="35">
        <f>IF($F167="","",IFERROR(INDEX(사건마스터!$AQ$5:$AQ$64,MATCH($F167,사건마스터!$A$5:$A$64,0)),""))</f>
        <v/>
      </c>
      <c r="U167" s="35">
        <f>IF($F167="","",IFERROR(INDEX(사건마스터!$AR$5:$AR$64,MATCH($F167,사건마스터!$A$5:$A$64,0)),""))</f>
        <v/>
      </c>
      <c r="V167" s="35">
        <f>IF($F167="","",IFERROR(INDEX(사건마스터!$AS$5:$AS$64,MATCH($F167,사건마스터!$A$5:$A$64,0)),""))</f>
        <v/>
      </c>
      <c r="W167" s="35">
        <f>IF($F167="","",IFERROR(INDEX(사건마스터!$AT$5:$AT$64,MATCH($F167,사건마스터!$A$5:$A$64,0)),""))</f>
        <v/>
      </c>
      <c r="X167" s="35">
        <f>IF($F167="","",IFERROR(INDEX(사건마스터!$AU$5:$AU$64,MATCH($F167,사건마스터!$A$5:$A$64,0)),""))</f>
        <v/>
      </c>
      <c r="Y167" s="35">
        <f>IF($F167="","",IFERROR(INDEX(사건마스터!$AV$5:$AV$64,MATCH($F167,사건마스터!$A$5:$A$64,0)),""))</f>
        <v/>
      </c>
      <c r="Z167" s="30">
        <f>IF(COUNTBLANK($J167:$Y167)=16,"",16-COUNTBLANK($J167:$Y167))</f>
        <v/>
      </c>
      <c r="AA167" s="33">
        <f>IF($J167="",MID($AX167,3,255),$J167&amp;$AX167)</f>
        <v/>
      </c>
      <c r="AB167" s="34">
        <f>IF($J167="","",IFERROR(INDEX(코드설정!$D$5:$D$24,MATCH($J167,코드설정!$C$5:$C$24,0)),""))</f>
        <v/>
      </c>
      <c r="AC167" s="36" t="n"/>
      <c r="AD167" s="37" t="n"/>
      <c r="AE167" s="38" t="n"/>
      <c r="AF167" s="30">
        <f>IF(OR($B167="",$C167=""),"",$C167-$B167+1)</f>
        <v/>
      </c>
      <c r="AG167" s="32" t="n"/>
      <c r="AH167" s="36" t="n"/>
      <c r="AJ167">
        <f>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  <c r="AX167">
        <f>AW167&amp;IF($Y167="","",", "&amp;$Y167)</f>
        <v/>
      </c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0">
        <f>IF($F168="","",COUNTIF($F$5:$F168,$F168))</f>
        <v/>
      </c>
      <c r="H168" s="33">
        <f>IF($F168="","",IFERROR(INDEX(사건마스터!$B$5:$B$64,MATCH($F168,사건마스터!$A$5:$A$64,0)),""))</f>
        <v/>
      </c>
      <c r="I168" s="34">
        <f>IF($F168="","",IFERROR(INDEX(사건마스터!$C$5:$C$64,MATCH($F168,사건마스터!$A$5:$A$64,0)),""))</f>
        <v/>
      </c>
      <c r="J168" s="35">
        <f>IF($F168="","",IFERROR(INDEX(사건마스터!$H$5:$H$64,MATCH($F168,사건마스터!$A$5:$A$64,0)),""))</f>
        <v/>
      </c>
      <c r="K168" s="35">
        <f>IF($F168="","",IFERROR(INDEX(사건마스터!$AH$5:$AH$64,MATCH($F168,사건마스터!$A$5:$A$64,0)),""))</f>
        <v/>
      </c>
      <c r="L168" s="35">
        <f>IF($F168="","",IFERROR(INDEX(사건마스터!$AI$5:$AI$64,MATCH($F168,사건마스터!$A$5:$A$64,0)),""))</f>
        <v/>
      </c>
      <c r="M168" s="35">
        <f>IF($F168="","",IFERROR(INDEX(사건마스터!$AJ$5:$AJ$64,MATCH($F168,사건마스터!$A$5:$A$64,0)),""))</f>
        <v/>
      </c>
      <c r="N168" s="35">
        <f>IF($F168="","",IFERROR(INDEX(사건마스터!$AK$5:$AK$64,MATCH($F168,사건마스터!$A$5:$A$64,0)),""))</f>
        <v/>
      </c>
      <c r="O168" s="35">
        <f>IF($F168="","",IFERROR(INDEX(사건마스터!$AL$5:$AL$64,MATCH($F168,사건마스터!$A$5:$A$64,0)),""))</f>
        <v/>
      </c>
      <c r="P168" s="35">
        <f>IF($F168="","",IFERROR(INDEX(사건마스터!$AM$5:$AM$64,MATCH($F168,사건마스터!$A$5:$A$64,0)),""))</f>
        <v/>
      </c>
      <c r="Q168" s="35">
        <f>IF($F168="","",IFERROR(INDEX(사건마스터!$AN$5:$AN$64,MATCH($F168,사건마스터!$A$5:$A$64,0)),""))</f>
        <v/>
      </c>
      <c r="R168" s="35">
        <f>IF($F168="","",IFERROR(INDEX(사건마스터!$AO$5:$AO$64,MATCH($F168,사건마스터!$A$5:$A$64,0)),""))</f>
        <v/>
      </c>
      <c r="S168" s="35">
        <f>IF($F168="","",IFERROR(INDEX(사건마스터!$AP$5:$AP$64,MATCH($F168,사건마스터!$A$5:$A$64,0)),""))</f>
        <v/>
      </c>
      <c r="T168" s="35">
        <f>IF($F168="","",IFERROR(INDEX(사건마스터!$AQ$5:$AQ$64,MATCH($F168,사건마스터!$A$5:$A$64,0)),""))</f>
        <v/>
      </c>
      <c r="U168" s="35">
        <f>IF($F168="","",IFERROR(INDEX(사건마스터!$AR$5:$AR$64,MATCH($F168,사건마스터!$A$5:$A$64,0)),""))</f>
        <v/>
      </c>
      <c r="V168" s="35">
        <f>IF($F168="","",IFERROR(INDEX(사건마스터!$AS$5:$AS$64,MATCH($F168,사건마스터!$A$5:$A$64,0)),""))</f>
        <v/>
      </c>
      <c r="W168" s="35">
        <f>IF($F168="","",IFERROR(INDEX(사건마스터!$AT$5:$AT$64,MATCH($F168,사건마스터!$A$5:$A$64,0)),""))</f>
        <v/>
      </c>
      <c r="X168" s="35">
        <f>IF($F168="","",IFERROR(INDEX(사건마스터!$AU$5:$AU$64,MATCH($F168,사건마스터!$A$5:$A$64,0)),""))</f>
        <v/>
      </c>
      <c r="Y168" s="35">
        <f>IF($F168="","",IFERROR(INDEX(사건마스터!$AV$5:$AV$64,MATCH($F168,사건마스터!$A$5:$A$64,0)),""))</f>
        <v/>
      </c>
      <c r="Z168" s="30">
        <f>IF(COUNTBLANK($J168:$Y168)=16,"",16-COUNTBLANK($J168:$Y168))</f>
        <v/>
      </c>
      <c r="AA168" s="33">
        <f>IF($J168="",MID($AX168,3,255),$J168&amp;$AX168)</f>
        <v/>
      </c>
      <c r="AB168" s="34">
        <f>IF($J168="","",IFERROR(INDEX(코드설정!$D$5:$D$24,MATCH($J168,코드설정!$C$5:$C$24,0)),""))</f>
        <v/>
      </c>
      <c r="AC168" s="36" t="n"/>
      <c r="AD168" s="37" t="n"/>
      <c r="AE168" s="38" t="n"/>
      <c r="AF168" s="30">
        <f>IF(OR($B168="",$C168=""),"",$C168-$B168+1)</f>
        <v/>
      </c>
      <c r="AG168" s="32" t="n"/>
      <c r="AH168" s="36" t="n"/>
      <c r="AJ168">
        <f>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  <c r="AX168">
        <f>AW168&amp;IF($Y168="","",", "&amp;$Y168)</f>
        <v/>
      </c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0">
        <f>IF($F169="","",COUNTIF($F$5:$F169,$F169))</f>
        <v/>
      </c>
      <c r="H169" s="33">
        <f>IF($F169="","",IFERROR(INDEX(사건마스터!$B$5:$B$64,MATCH($F169,사건마스터!$A$5:$A$64,0)),""))</f>
        <v/>
      </c>
      <c r="I169" s="34">
        <f>IF($F169="","",IFERROR(INDEX(사건마스터!$C$5:$C$64,MATCH($F169,사건마스터!$A$5:$A$64,0)),""))</f>
        <v/>
      </c>
      <c r="J169" s="35">
        <f>IF($F169="","",IFERROR(INDEX(사건마스터!$H$5:$H$64,MATCH($F169,사건마스터!$A$5:$A$64,0)),""))</f>
        <v/>
      </c>
      <c r="K169" s="35">
        <f>IF($F169="","",IFERROR(INDEX(사건마스터!$AH$5:$AH$64,MATCH($F169,사건마스터!$A$5:$A$64,0)),""))</f>
        <v/>
      </c>
      <c r="L169" s="35">
        <f>IF($F169="","",IFERROR(INDEX(사건마스터!$AI$5:$AI$64,MATCH($F169,사건마스터!$A$5:$A$64,0)),""))</f>
        <v/>
      </c>
      <c r="M169" s="35">
        <f>IF($F169="","",IFERROR(INDEX(사건마스터!$AJ$5:$AJ$64,MATCH($F169,사건마스터!$A$5:$A$64,0)),""))</f>
        <v/>
      </c>
      <c r="N169" s="35">
        <f>IF($F169="","",IFERROR(INDEX(사건마스터!$AK$5:$AK$64,MATCH($F169,사건마스터!$A$5:$A$64,0)),""))</f>
        <v/>
      </c>
      <c r="O169" s="35">
        <f>IF($F169="","",IFERROR(INDEX(사건마스터!$AL$5:$AL$64,MATCH($F169,사건마스터!$A$5:$A$64,0)),""))</f>
        <v/>
      </c>
      <c r="P169" s="35">
        <f>IF($F169="","",IFERROR(INDEX(사건마스터!$AM$5:$AM$64,MATCH($F169,사건마스터!$A$5:$A$64,0)),""))</f>
        <v/>
      </c>
      <c r="Q169" s="35">
        <f>IF($F169="","",IFERROR(INDEX(사건마스터!$AN$5:$AN$64,MATCH($F169,사건마스터!$A$5:$A$64,0)),""))</f>
        <v/>
      </c>
      <c r="R169" s="35">
        <f>IF($F169="","",IFERROR(INDEX(사건마스터!$AO$5:$AO$64,MATCH($F169,사건마스터!$A$5:$A$64,0)),""))</f>
        <v/>
      </c>
      <c r="S169" s="35">
        <f>IF($F169="","",IFERROR(INDEX(사건마스터!$AP$5:$AP$64,MATCH($F169,사건마스터!$A$5:$A$64,0)),""))</f>
        <v/>
      </c>
      <c r="T169" s="35">
        <f>IF($F169="","",IFERROR(INDEX(사건마스터!$AQ$5:$AQ$64,MATCH($F169,사건마스터!$A$5:$A$64,0)),""))</f>
        <v/>
      </c>
      <c r="U169" s="35">
        <f>IF($F169="","",IFERROR(INDEX(사건마스터!$AR$5:$AR$64,MATCH($F169,사건마스터!$A$5:$A$64,0)),""))</f>
        <v/>
      </c>
      <c r="V169" s="35">
        <f>IF($F169="","",IFERROR(INDEX(사건마스터!$AS$5:$AS$64,MATCH($F169,사건마스터!$A$5:$A$64,0)),""))</f>
        <v/>
      </c>
      <c r="W169" s="35">
        <f>IF($F169="","",IFERROR(INDEX(사건마스터!$AT$5:$AT$64,MATCH($F169,사건마스터!$A$5:$A$64,0)),""))</f>
        <v/>
      </c>
      <c r="X169" s="35">
        <f>IF($F169="","",IFERROR(INDEX(사건마스터!$AU$5:$AU$64,MATCH($F169,사건마스터!$A$5:$A$64,0)),""))</f>
        <v/>
      </c>
      <c r="Y169" s="35">
        <f>IF($F169="","",IFERROR(INDEX(사건마스터!$AV$5:$AV$64,MATCH($F169,사건마스터!$A$5:$A$64,0)),""))</f>
        <v/>
      </c>
      <c r="Z169" s="30">
        <f>IF(COUNTBLANK($J169:$Y169)=16,"",16-COUNTBLANK($J169:$Y169))</f>
        <v/>
      </c>
      <c r="AA169" s="33">
        <f>IF($J169="",MID($AX169,3,255),$J169&amp;$AX169)</f>
        <v/>
      </c>
      <c r="AB169" s="34">
        <f>IF($J169="","",IFERROR(INDEX(코드설정!$D$5:$D$24,MATCH($J169,코드설정!$C$5:$C$24,0)),""))</f>
        <v/>
      </c>
      <c r="AC169" s="36" t="n"/>
      <c r="AD169" s="37" t="n"/>
      <c r="AE169" s="38" t="n"/>
      <c r="AF169" s="30">
        <f>IF(OR($B169="",$C169=""),"",$C169-$B169+1)</f>
        <v/>
      </c>
      <c r="AG169" s="32" t="n"/>
      <c r="AH169" s="36" t="n"/>
      <c r="AJ169">
        <f>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  <c r="AX169">
        <f>AW169&amp;IF($Y169="","",", "&amp;$Y169)</f>
        <v/>
      </c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0">
        <f>IF($F170="","",COUNTIF($F$5:$F170,$F170))</f>
        <v/>
      </c>
      <c r="H170" s="33">
        <f>IF($F170="","",IFERROR(INDEX(사건마스터!$B$5:$B$64,MATCH($F170,사건마스터!$A$5:$A$64,0)),""))</f>
        <v/>
      </c>
      <c r="I170" s="34">
        <f>IF($F170="","",IFERROR(INDEX(사건마스터!$C$5:$C$64,MATCH($F170,사건마스터!$A$5:$A$64,0)),""))</f>
        <v/>
      </c>
      <c r="J170" s="35">
        <f>IF($F170="","",IFERROR(INDEX(사건마스터!$H$5:$H$64,MATCH($F170,사건마스터!$A$5:$A$64,0)),""))</f>
        <v/>
      </c>
      <c r="K170" s="35">
        <f>IF($F170="","",IFERROR(INDEX(사건마스터!$AH$5:$AH$64,MATCH($F170,사건마스터!$A$5:$A$64,0)),""))</f>
        <v/>
      </c>
      <c r="L170" s="35">
        <f>IF($F170="","",IFERROR(INDEX(사건마스터!$AI$5:$AI$64,MATCH($F170,사건마스터!$A$5:$A$64,0)),""))</f>
        <v/>
      </c>
      <c r="M170" s="35">
        <f>IF($F170="","",IFERROR(INDEX(사건마스터!$AJ$5:$AJ$64,MATCH($F170,사건마스터!$A$5:$A$64,0)),""))</f>
        <v/>
      </c>
      <c r="N170" s="35">
        <f>IF($F170="","",IFERROR(INDEX(사건마스터!$AK$5:$AK$64,MATCH($F170,사건마스터!$A$5:$A$64,0)),""))</f>
        <v/>
      </c>
      <c r="O170" s="35">
        <f>IF($F170="","",IFERROR(INDEX(사건마스터!$AL$5:$AL$64,MATCH($F170,사건마스터!$A$5:$A$64,0)),""))</f>
        <v/>
      </c>
      <c r="P170" s="35">
        <f>IF($F170="","",IFERROR(INDEX(사건마스터!$AM$5:$AM$64,MATCH($F170,사건마스터!$A$5:$A$64,0)),""))</f>
        <v/>
      </c>
      <c r="Q170" s="35">
        <f>IF($F170="","",IFERROR(INDEX(사건마스터!$AN$5:$AN$64,MATCH($F170,사건마스터!$A$5:$A$64,0)),""))</f>
        <v/>
      </c>
      <c r="R170" s="35">
        <f>IF($F170="","",IFERROR(INDEX(사건마스터!$AO$5:$AO$64,MATCH($F170,사건마스터!$A$5:$A$64,0)),""))</f>
        <v/>
      </c>
      <c r="S170" s="35">
        <f>IF($F170="","",IFERROR(INDEX(사건마스터!$AP$5:$AP$64,MATCH($F170,사건마스터!$A$5:$A$64,0)),""))</f>
        <v/>
      </c>
      <c r="T170" s="35">
        <f>IF($F170="","",IFERROR(INDEX(사건마스터!$AQ$5:$AQ$64,MATCH($F170,사건마스터!$A$5:$A$64,0)),""))</f>
        <v/>
      </c>
      <c r="U170" s="35">
        <f>IF($F170="","",IFERROR(INDEX(사건마스터!$AR$5:$AR$64,MATCH($F170,사건마스터!$A$5:$A$64,0)),""))</f>
        <v/>
      </c>
      <c r="V170" s="35">
        <f>IF($F170="","",IFERROR(INDEX(사건마스터!$AS$5:$AS$64,MATCH($F170,사건마스터!$A$5:$A$64,0)),""))</f>
        <v/>
      </c>
      <c r="W170" s="35">
        <f>IF($F170="","",IFERROR(INDEX(사건마스터!$AT$5:$AT$64,MATCH($F170,사건마스터!$A$5:$A$64,0)),""))</f>
        <v/>
      </c>
      <c r="X170" s="35">
        <f>IF($F170="","",IFERROR(INDEX(사건마스터!$AU$5:$AU$64,MATCH($F170,사건마스터!$A$5:$A$64,0)),""))</f>
        <v/>
      </c>
      <c r="Y170" s="35">
        <f>IF($F170="","",IFERROR(INDEX(사건마스터!$AV$5:$AV$64,MATCH($F170,사건마스터!$A$5:$A$64,0)),""))</f>
        <v/>
      </c>
      <c r="Z170" s="30">
        <f>IF(COUNTBLANK($J170:$Y170)=16,"",16-COUNTBLANK($J170:$Y170))</f>
        <v/>
      </c>
      <c r="AA170" s="33">
        <f>IF($J170="",MID($AX170,3,255),$J170&amp;$AX170)</f>
        <v/>
      </c>
      <c r="AB170" s="34">
        <f>IF($J170="","",IFERROR(INDEX(코드설정!$D$5:$D$24,MATCH($J170,코드설정!$C$5:$C$24,0)),""))</f>
        <v/>
      </c>
      <c r="AC170" s="36" t="n"/>
      <c r="AD170" s="37" t="n"/>
      <c r="AE170" s="38" t="n"/>
      <c r="AF170" s="30">
        <f>IF(OR($B170="",$C170=""),"",$C170-$B170+1)</f>
        <v/>
      </c>
      <c r="AG170" s="32" t="n"/>
      <c r="AH170" s="36" t="n"/>
      <c r="AJ170">
        <f>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  <c r="AX170">
        <f>AW170&amp;IF($Y170="","",", "&amp;$Y170)</f>
        <v/>
      </c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0">
        <f>IF($F171="","",COUNTIF($F$5:$F171,$F171))</f>
        <v/>
      </c>
      <c r="H171" s="33">
        <f>IF($F171="","",IFERROR(INDEX(사건마스터!$B$5:$B$64,MATCH($F171,사건마스터!$A$5:$A$64,0)),""))</f>
        <v/>
      </c>
      <c r="I171" s="34">
        <f>IF($F171="","",IFERROR(INDEX(사건마스터!$C$5:$C$64,MATCH($F171,사건마스터!$A$5:$A$64,0)),""))</f>
        <v/>
      </c>
      <c r="J171" s="35">
        <f>IF($F171="","",IFERROR(INDEX(사건마스터!$H$5:$H$64,MATCH($F171,사건마스터!$A$5:$A$64,0)),""))</f>
        <v/>
      </c>
      <c r="K171" s="35">
        <f>IF($F171="","",IFERROR(INDEX(사건마스터!$AH$5:$AH$64,MATCH($F171,사건마스터!$A$5:$A$64,0)),""))</f>
        <v/>
      </c>
      <c r="L171" s="35">
        <f>IF($F171="","",IFERROR(INDEX(사건마스터!$AI$5:$AI$64,MATCH($F171,사건마스터!$A$5:$A$64,0)),""))</f>
        <v/>
      </c>
      <c r="M171" s="35">
        <f>IF($F171="","",IFERROR(INDEX(사건마스터!$AJ$5:$AJ$64,MATCH($F171,사건마스터!$A$5:$A$64,0)),""))</f>
        <v/>
      </c>
      <c r="N171" s="35">
        <f>IF($F171="","",IFERROR(INDEX(사건마스터!$AK$5:$AK$64,MATCH($F171,사건마스터!$A$5:$A$64,0)),""))</f>
        <v/>
      </c>
      <c r="O171" s="35">
        <f>IF($F171="","",IFERROR(INDEX(사건마스터!$AL$5:$AL$64,MATCH($F171,사건마스터!$A$5:$A$64,0)),""))</f>
        <v/>
      </c>
      <c r="P171" s="35">
        <f>IF($F171="","",IFERROR(INDEX(사건마스터!$AM$5:$AM$64,MATCH($F171,사건마스터!$A$5:$A$64,0)),""))</f>
        <v/>
      </c>
      <c r="Q171" s="35">
        <f>IF($F171="","",IFERROR(INDEX(사건마스터!$AN$5:$AN$64,MATCH($F171,사건마스터!$A$5:$A$64,0)),""))</f>
        <v/>
      </c>
      <c r="R171" s="35">
        <f>IF($F171="","",IFERROR(INDEX(사건마스터!$AO$5:$AO$64,MATCH($F171,사건마스터!$A$5:$A$64,0)),""))</f>
        <v/>
      </c>
      <c r="S171" s="35">
        <f>IF($F171="","",IFERROR(INDEX(사건마스터!$AP$5:$AP$64,MATCH($F171,사건마스터!$A$5:$A$64,0)),""))</f>
        <v/>
      </c>
      <c r="T171" s="35">
        <f>IF($F171="","",IFERROR(INDEX(사건마스터!$AQ$5:$AQ$64,MATCH($F171,사건마스터!$A$5:$A$64,0)),""))</f>
        <v/>
      </c>
      <c r="U171" s="35">
        <f>IF($F171="","",IFERROR(INDEX(사건마스터!$AR$5:$AR$64,MATCH($F171,사건마스터!$A$5:$A$64,0)),""))</f>
        <v/>
      </c>
      <c r="V171" s="35">
        <f>IF($F171="","",IFERROR(INDEX(사건마스터!$AS$5:$AS$64,MATCH($F171,사건마스터!$A$5:$A$64,0)),""))</f>
        <v/>
      </c>
      <c r="W171" s="35">
        <f>IF($F171="","",IFERROR(INDEX(사건마스터!$AT$5:$AT$64,MATCH($F171,사건마스터!$A$5:$A$64,0)),""))</f>
        <v/>
      </c>
      <c r="X171" s="35">
        <f>IF($F171="","",IFERROR(INDEX(사건마스터!$AU$5:$AU$64,MATCH($F171,사건마스터!$A$5:$A$64,0)),""))</f>
        <v/>
      </c>
      <c r="Y171" s="35">
        <f>IF($F171="","",IFERROR(INDEX(사건마스터!$AV$5:$AV$64,MATCH($F171,사건마스터!$A$5:$A$64,0)),""))</f>
        <v/>
      </c>
      <c r="Z171" s="30">
        <f>IF(COUNTBLANK($J171:$Y171)=16,"",16-COUNTBLANK($J171:$Y171))</f>
        <v/>
      </c>
      <c r="AA171" s="33">
        <f>IF($J171="",MID($AX171,3,255),$J171&amp;$AX171)</f>
        <v/>
      </c>
      <c r="AB171" s="34">
        <f>IF($J171="","",IFERROR(INDEX(코드설정!$D$5:$D$24,MATCH($J171,코드설정!$C$5:$C$24,0)),""))</f>
        <v/>
      </c>
      <c r="AC171" s="36" t="n"/>
      <c r="AD171" s="37" t="n"/>
      <c r="AE171" s="38" t="n"/>
      <c r="AF171" s="30">
        <f>IF(OR($B171="",$C171=""),"",$C171-$B171+1)</f>
        <v/>
      </c>
      <c r="AG171" s="32" t="n"/>
      <c r="AH171" s="36" t="n"/>
      <c r="AJ171">
        <f>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  <c r="AX171">
        <f>AW171&amp;IF($Y171="","",", "&amp;$Y171)</f>
        <v/>
      </c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0">
        <f>IF($F172="","",COUNTIF($F$5:$F172,$F172))</f>
        <v/>
      </c>
      <c r="H172" s="33">
        <f>IF($F172="","",IFERROR(INDEX(사건마스터!$B$5:$B$64,MATCH($F172,사건마스터!$A$5:$A$64,0)),""))</f>
        <v/>
      </c>
      <c r="I172" s="34">
        <f>IF($F172="","",IFERROR(INDEX(사건마스터!$C$5:$C$64,MATCH($F172,사건마스터!$A$5:$A$64,0)),""))</f>
        <v/>
      </c>
      <c r="J172" s="35">
        <f>IF($F172="","",IFERROR(INDEX(사건마스터!$H$5:$H$64,MATCH($F172,사건마스터!$A$5:$A$64,0)),""))</f>
        <v/>
      </c>
      <c r="K172" s="35">
        <f>IF($F172="","",IFERROR(INDEX(사건마스터!$AH$5:$AH$64,MATCH($F172,사건마스터!$A$5:$A$64,0)),""))</f>
        <v/>
      </c>
      <c r="L172" s="35">
        <f>IF($F172="","",IFERROR(INDEX(사건마스터!$AI$5:$AI$64,MATCH($F172,사건마스터!$A$5:$A$64,0)),""))</f>
        <v/>
      </c>
      <c r="M172" s="35">
        <f>IF($F172="","",IFERROR(INDEX(사건마스터!$AJ$5:$AJ$64,MATCH($F172,사건마스터!$A$5:$A$64,0)),""))</f>
        <v/>
      </c>
      <c r="N172" s="35">
        <f>IF($F172="","",IFERROR(INDEX(사건마스터!$AK$5:$AK$64,MATCH($F172,사건마스터!$A$5:$A$64,0)),""))</f>
        <v/>
      </c>
      <c r="O172" s="35">
        <f>IF($F172="","",IFERROR(INDEX(사건마스터!$AL$5:$AL$64,MATCH($F172,사건마스터!$A$5:$A$64,0)),""))</f>
        <v/>
      </c>
      <c r="P172" s="35">
        <f>IF($F172="","",IFERROR(INDEX(사건마스터!$AM$5:$AM$64,MATCH($F172,사건마스터!$A$5:$A$64,0)),""))</f>
        <v/>
      </c>
      <c r="Q172" s="35">
        <f>IF($F172="","",IFERROR(INDEX(사건마스터!$AN$5:$AN$64,MATCH($F172,사건마스터!$A$5:$A$64,0)),""))</f>
        <v/>
      </c>
      <c r="R172" s="35">
        <f>IF($F172="","",IFERROR(INDEX(사건마스터!$AO$5:$AO$64,MATCH($F172,사건마스터!$A$5:$A$64,0)),""))</f>
        <v/>
      </c>
      <c r="S172" s="35">
        <f>IF($F172="","",IFERROR(INDEX(사건마스터!$AP$5:$AP$64,MATCH($F172,사건마스터!$A$5:$A$64,0)),""))</f>
        <v/>
      </c>
      <c r="T172" s="35">
        <f>IF($F172="","",IFERROR(INDEX(사건마스터!$AQ$5:$AQ$64,MATCH($F172,사건마스터!$A$5:$A$64,0)),""))</f>
        <v/>
      </c>
      <c r="U172" s="35">
        <f>IF($F172="","",IFERROR(INDEX(사건마스터!$AR$5:$AR$64,MATCH($F172,사건마스터!$A$5:$A$64,0)),""))</f>
        <v/>
      </c>
      <c r="V172" s="35">
        <f>IF($F172="","",IFERROR(INDEX(사건마스터!$AS$5:$AS$64,MATCH($F172,사건마스터!$A$5:$A$64,0)),""))</f>
        <v/>
      </c>
      <c r="W172" s="35">
        <f>IF($F172="","",IFERROR(INDEX(사건마스터!$AT$5:$AT$64,MATCH($F172,사건마스터!$A$5:$A$64,0)),""))</f>
        <v/>
      </c>
      <c r="X172" s="35">
        <f>IF($F172="","",IFERROR(INDEX(사건마스터!$AU$5:$AU$64,MATCH($F172,사건마스터!$A$5:$A$64,0)),""))</f>
        <v/>
      </c>
      <c r="Y172" s="35">
        <f>IF($F172="","",IFERROR(INDEX(사건마스터!$AV$5:$AV$64,MATCH($F172,사건마스터!$A$5:$A$64,0)),""))</f>
        <v/>
      </c>
      <c r="Z172" s="30">
        <f>IF(COUNTBLANK($J172:$Y172)=16,"",16-COUNTBLANK($J172:$Y172))</f>
        <v/>
      </c>
      <c r="AA172" s="33">
        <f>IF($J172="",MID($AX172,3,255),$J172&amp;$AX172)</f>
        <v/>
      </c>
      <c r="AB172" s="34">
        <f>IF($J172="","",IFERROR(INDEX(코드설정!$D$5:$D$24,MATCH($J172,코드설정!$C$5:$C$24,0)),""))</f>
        <v/>
      </c>
      <c r="AC172" s="36" t="n"/>
      <c r="AD172" s="37" t="n"/>
      <c r="AE172" s="38" t="n"/>
      <c r="AF172" s="30">
        <f>IF(OR($B172="",$C172=""),"",$C172-$B172+1)</f>
        <v/>
      </c>
      <c r="AG172" s="32" t="n"/>
      <c r="AH172" s="36" t="n"/>
      <c r="AJ172">
        <f>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  <c r="AX172">
        <f>AW172&amp;IF($Y172="","",", "&amp;$Y172)</f>
        <v/>
      </c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0">
        <f>IF($F173="","",COUNTIF($F$5:$F173,$F173))</f>
        <v/>
      </c>
      <c r="H173" s="33">
        <f>IF($F173="","",IFERROR(INDEX(사건마스터!$B$5:$B$64,MATCH($F173,사건마스터!$A$5:$A$64,0)),""))</f>
        <v/>
      </c>
      <c r="I173" s="34">
        <f>IF($F173="","",IFERROR(INDEX(사건마스터!$C$5:$C$64,MATCH($F173,사건마스터!$A$5:$A$64,0)),""))</f>
        <v/>
      </c>
      <c r="J173" s="35">
        <f>IF($F173="","",IFERROR(INDEX(사건마스터!$H$5:$H$64,MATCH($F173,사건마스터!$A$5:$A$64,0)),""))</f>
        <v/>
      </c>
      <c r="K173" s="35">
        <f>IF($F173="","",IFERROR(INDEX(사건마스터!$AH$5:$AH$64,MATCH($F173,사건마스터!$A$5:$A$64,0)),""))</f>
        <v/>
      </c>
      <c r="L173" s="35">
        <f>IF($F173="","",IFERROR(INDEX(사건마스터!$AI$5:$AI$64,MATCH($F173,사건마스터!$A$5:$A$64,0)),""))</f>
        <v/>
      </c>
      <c r="M173" s="35">
        <f>IF($F173="","",IFERROR(INDEX(사건마스터!$AJ$5:$AJ$64,MATCH($F173,사건마스터!$A$5:$A$64,0)),""))</f>
        <v/>
      </c>
      <c r="N173" s="35">
        <f>IF($F173="","",IFERROR(INDEX(사건마스터!$AK$5:$AK$64,MATCH($F173,사건마스터!$A$5:$A$64,0)),""))</f>
        <v/>
      </c>
      <c r="O173" s="35">
        <f>IF($F173="","",IFERROR(INDEX(사건마스터!$AL$5:$AL$64,MATCH($F173,사건마스터!$A$5:$A$64,0)),""))</f>
        <v/>
      </c>
      <c r="P173" s="35">
        <f>IF($F173="","",IFERROR(INDEX(사건마스터!$AM$5:$AM$64,MATCH($F173,사건마스터!$A$5:$A$64,0)),""))</f>
        <v/>
      </c>
      <c r="Q173" s="35">
        <f>IF($F173="","",IFERROR(INDEX(사건마스터!$AN$5:$AN$64,MATCH($F173,사건마스터!$A$5:$A$64,0)),""))</f>
        <v/>
      </c>
      <c r="R173" s="35">
        <f>IF($F173="","",IFERROR(INDEX(사건마스터!$AO$5:$AO$64,MATCH($F173,사건마스터!$A$5:$A$64,0)),""))</f>
        <v/>
      </c>
      <c r="S173" s="35">
        <f>IF($F173="","",IFERROR(INDEX(사건마스터!$AP$5:$AP$64,MATCH($F173,사건마스터!$A$5:$A$64,0)),""))</f>
        <v/>
      </c>
      <c r="T173" s="35">
        <f>IF($F173="","",IFERROR(INDEX(사건마스터!$AQ$5:$AQ$64,MATCH($F173,사건마스터!$A$5:$A$64,0)),""))</f>
        <v/>
      </c>
      <c r="U173" s="35">
        <f>IF($F173="","",IFERROR(INDEX(사건마스터!$AR$5:$AR$64,MATCH($F173,사건마스터!$A$5:$A$64,0)),""))</f>
        <v/>
      </c>
      <c r="V173" s="35">
        <f>IF($F173="","",IFERROR(INDEX(사건마스터!$AS$5:$AS$64,MATCH($F173,사건마스터!$A$5:$A$64,0)),""))</f>
        <v/>
      </c>
      <c r="W173" s="35">
        <f>IF($F173="","",IFERROR(INDEX(사건마스터!$AT$5:$AT$64,MATCH($F173,사건마스터!$A$5:$A$64,0)),""))</f>
        <v/>
      </c>
      <c r="X173" s="35">
        <f>IF($F173="","",IFERROR(INDEX(사건마스터!$AU$5:$AU$64,MATCH($F173,사건마스터!$A$5:$A$64,0)),""))</f>
        <v/>
      </c>
      <c r="Y173" s="35">
        <f>IF($F173="","",IFERROR(INDEX(사건마스터!$AV$5:$AV$64,MATCH($F173,사건마스터!$A$5:$A$64,0)),""))</f>
        <v/>
      </c>
      <c r="Z173" s="30">
        <f>IF(COUNTBLANK($J173:$Y173)=16,"",16-COUNTBLANK($J173:$Y173))</f>
        <v/>
      </c>
      <c r="AA173" s="33">
        <f>IF($J173="",MID($AX173,3,255),$J173&amp;$AX173)</f>
        <v/>
      </c>
      <c r="AB173" s="34">
        <f>IF($J173="","",IFERROR(INDEX(코드설정!$D$5:$D$24,MATCH($J173,코드설정!$C$5:$C$24,0)),""))</f>
        <v/>
      </c>
      <c r="AC173" s="36" t="n"/>
      <c r="AD173" s="37" t="n"/>
      <c r="AE173" s="38" t="n"/>
      <c r="AF173" s="30">
        <f>IF(OR($B173="",$C173=""),"",$C173-$B173+1)</f>
        <v/>
      </c>
      <c r="AG173" s="32" t="n"/>
      <c r="AH173" s="36" t="n"/>
      <c r="AJ173">
        <f>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  <c r="AX173">
        <f>AW173&amp;IF($Y173="","",", "&amp;$Y173)</f>
        <v/>
      </c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0">
        <f>IF($F174="","",COUNTIF($F$5:$F174,$F174))</f>
        <v/>
      </c>
      <c r="H174" s="33">
        <f>IF($F174="","",IFERROR(INDEX(사건마스터!$B$5:$B$64,MATCH($F174,사건마스터!$A$5:$A$64,0)),""))</f>
        <v/>
      </c>
      <c r="I174" s="34">
        <f>IF($F174="","",IFERROR(INDEX(사건마스터!$C$5:$C$64,MATCH($F174,사건마스터!$A$5:$A$64,0)),""))</f>
        <v/>
      </c>
      <c r="J174" s="35">
        <f>IF($F174="","",IFERROR(INDEX(사건마스터!$H$5:$H$64,MATCH($F174,사건마스터!$A$5:$A$64,0)),""))</f>
        <v/>
      </c>
      <c r="K174" s="35">
        <f>IF($F174="","",IFERROR(INDEX(사건마스터!$AH$5:$AH$64,MATCH($F174,사건마스터!$A$5:$A$64,0)),""))</f>
        <v/>
      </c>
      <c r="L174" s="35">
        <f>IF($F174="","",IFERROR(INDEX(사건마스터!$AI$5:$AI$64,MATCH($F174,사건마스터!$A$5:$A$64,0)),""))</f>
        <v/>
      </c>
      <c r="M174" s="35">
        <f>IF($F174="","",IFERROR(INDEX(사건마스터!$AJ$5:$AJ$64,MATCH($F174,사건마스터!$A$5:$A$64,0)),""))</f>
        <v/>
      </c>
      <c r="N174" s="35">
        <f>IF($F174="","",IFERROR(INDEX(사건마스터!$AK$5:$AK$64,MATCH($F174,사건마스터!$A$5:$A$64,0)),""))</f>
        <v/>
      </c>
      <c r="O174" s="35">
        <f>IF($F174="","",IFERROR(INDEX(사건마스터!$AL$5:$AL$64,MATCH($F174,사건마스터!$A$5:$A$64,0)),""))</f>
        <v/>
      </c>
      <c r="P174" s="35">
        <f>IF($F174="","",IFERROR(INDEX(사건마스터!$AM$5:$AM$64,MATCH($F174,사건마스터!$A$5:$A$64,0)),""))</f>
        <v/>
      </c>
      <c r="Q174" s="35">
        <f>IF($F174="","",IFERROR(INDEX(사건마스터!$AN$5:$AN$64,MATCH($F174,사건마스터!$A$5:$A$64,0)),""))</f>
        <v/>
      </c>
      <c r="R174" s="35">
        <f>IF($F174="","",IFERROR(INDEX(사건마스터!$AO$5:$AO$64,MATCH($F174,사건마스터!$A$5:$A$64,0)),""))</f>
        <v/>
      </c>
      <c r="S174" s="35">
        <f>IF($F174="","",IFERROR(INDEX(사건마스터!$AP$5:$AP$64,MATCH($F174,사건마스터!$A$5:$A$64,0)),""))</f>
        <v/>
      </c>
      <c r="T174" s="35">
        <f>IF($F174="","",IFERROR(INDEX(사건마스터!$AQ$5:$AQ$64,MATCH($F174,사건마스터!$A$5:$A$64,0)),""))</f>
        <v/>
      </c>
      <c r="U174" s="35">
        <f>IF($F174="","",IFERROR(INDEX(사건마스터!$AR$5:$AR$64,MATCH($F174,사건마스터!$A$5:$A$64,0)),""))</f>
        <v/>
      </c>
      <c r="V174" s="35">
        <f>IF($F174="","",IFERROR(INDEX(사건마스터!$AS$5:$AS$64,MATCH($F174,사건마스터!$A$5:$A$64,0)),""))</f>
        <v/>
      </c>
      <c r="W174" s="35">
        <f>IF($F174="","",IFERROR(INDEX(사건마스터!$AT$5:$AT$64,MATCH($F174,사건마스터!$A$5:$A$64,0)),""))</f>
        <v/>
      </c>
      <c r="X174" s="35">
        <f>IF($F174="","",IFERROR(INDEX(사건마스터!$AU$5:$AU$64,MATCH($F174,사건마스터!$A$5:$A$64,0)),""))</f>
        <v/>
      </c>
      <c r="Y174" s="35">
        <f>IF($F174="","",IFERROR(INDEX(사건마스터!$AV$5:$AV$64,MATCH($F174,사건마스터!$A$5:$A$64,0)),""))</f>
        <v/>
      </c>
      <c r="Z174" s="30">
        <f>IF(COUNTBLANK($J174:$Y174)=16,"",16-COUNTBLANK($J174:$Y174))</f>
        <v/>
      </c>
      <c r="AA174" s="33">
        <f>IF($J174="",MID($AX174,3,255),$J174&amp;$AX174)</f>
        <v/>
      </c>
      <c r="AB174" s="34">
        <f>IF($J174="","",IFERROR(INDEX(코드설정!$D$5:$D$24,MATCH($J174,코드설정!$C$5:$C$24,0)),""))</f>
        <v/>
      </c>
      <c r="AC174" s="36" t="n"/>
      <c r="AD174" s="37" t="n"/>
      <c r="AE174" s="38" t="n"/>
      <c r="AF174" s="30">
        <f>IF(OR($B174="",$C174=""),"",$C174-$B174+1)</f>
        <v/>
      </c>
      <c r="AG174" s="32" t="n"/>
      <c r="AH174" s="36" t="n"/>
      <c r="AJ174">
        <f>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  <c r="AX174">
        <f>AW174&amp;IF($Y174="","",", "&amp;$Y174)</f>
        <v/>
      </c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0">
        <f>IF($F175="","",COUNTIF($F$5:$F175,$F175))</f>
        <v/>
      </c>
      <c r="H175" s="33">
        <f>IF($F175="","",IFERROR(INDEX(사건마스터!$B$5:$B$64,MATCH($F175,사건마스터!$A$5:$A$64,0)),""))</f>
        <v/>
      </c>
      <c r="I175" s="34">
        <f>IF($F175="","",IFERROR(INDEX(사건마스터!$C$5:$C$64,MATCH($F175,사건마스터!$A$5:$A$64,0)),""))</f>
        <v/>
      </c>
      <c r="J175" s="35">
        <f>IF($F175="","",IFERROR(INDEX(사건마스터!$H$5:$H$64,MATCH($F175,사건마스터!$A$5:$A$64,0)),""))</f>
        <v/>
      </c>
      <c r="K175" s="35">
        <f>IF($F175="","",IFERROR(INDEX(사건마스터!$AH$5:$AH$64,MATCH($F175,사건마스터!$A$5:$A$64,0)),""))</f>
        <v/>
      </c>
      <c r="L175" s="35">
        <f>IF($F175="","",IFERROR(INDEX(사건마스터!$AI$5:$AI$64,MATCH($F175,사건마스터!$A$5:$A$64,0)),""))</f>
        <v/>
      </c>
      <c r="M175" s="35">
        <f>IF($F175="","",IFERROR(INDEX(사건마스터!$AJ$5:$AJ$64,MATCH($F175,사건마스터!$A$5:$A$64,0)),""))</f>
        <v/>
      </c>
      <c r="N175" s="35">
        <f>IF($F175="","",IFERROR(INDEX(사건마스터!$AK$5:$AK$64,MATCH($F175,사건마스터!$A$5:$A$64,0)),""))</f>
        <v/>
      </c>
      <c r="O175" s="35">
        <f>IF($F175="","",IFERROR(INDEX(사건마스터!$AL$5:$AL$64,MATCH($F175,사건마스터!$A$5:$A$64,0)),""))</f>
        <v/>
      </c>
      <c r="P175" s="35">
        <f>IF($F175="","",IFERROR(INDEX(사건마스터!$AM$5:$AM$64,MATCH($F175,사건마스터!$A$5:$A$64,0)),""))</f>
        <v/>
      </c>
      <c r="Q175" s="35">
        <f>IF($F175="","",IFERROR(INDEX(사건마스터!$AN$5:$AN$64,MATCH($F175,사건마스터!$A$5:$A$64,0)),""))</f>
        <v/>
      </c>
      <c r="R175" s="35">
        <f>IF($F175="","",IFERROR(INDEX(사건마스터!$AO$5:$AO$64,MATCH($F175,사건마스터!$A$5:$A$64,0)),""))</f>
        <v/>
      </c>
      <c r="S175" s="35">
        <f>IF($F175="","",IFERROR(INDEX(사건마스터!$AP$5:$AP$64,MATCH($F175,사건마스터!$A$5:$A$64,0)),""))</f>
        <v/>
      </c>
      <c r="T175" s="35">
        <f>IF($F175="","",IFERROR(INDEX(사건마스터!$AQ$5:$AQ$64,MATCH($F175,사건마스터!$A$5:$A$64,0)),""))</f>
        <v/>
      </c>
      <c r="U175" s="35">
        <f>IF($F175="","",IFERROR(INDEX(사건마스터!$AR$5:$AR$64,MATCH($F175,사건마스터!$A$5:$A$64,0)),""))</f>
        <v/>
      </c>
      <c r="V175" s="35">
        <f>IF($F175="","",IFERROR(INDEX(사건마스터!$AS$5:$AS$64,MATCH($F175,사건마스터!$A$5:$A$64,0)),""))</f>
        <v/>
      </c>
      <c r="W175" s="35">
        <f>IF($F175="","",IFERROR(INDEX(사건마스터!$AT$5:$AT$64,MATCH($F175,사건마스터!$A$5:$A$64,0)),""))</f>
        <v/>
      </c>
      <c r="X175" s="35">
        <f>IF($F175="","",IFERROR(INDEX(사건마스터!$AU$5:$AU$64,MATCH($F175,사건마스터!$A$5:$A$64,0)),""))</f>
        <v/>
      </c>
      <c r="Y175" s="35">
        <f>IF($F175="","",IFERROR(INDEX(사건마스터!$AV$5:$AV$64,MATCH($F175,사건마스터!$A$5:$A$64,0)),""))</f>
        <v/>
      </c>
      <c r="Z175" s="30">
        <f>IF(COUNTBLANK($J175:$Y175)=16,"",16-COUNTBLANK($J175:$Y175))</f>
        <v/>
      </c>
      <c r="AA175" s="33">
        <f>IF($J175="",MID($AX175,3,255),$J175&amp;$AX175)</f>
        <v/>
      </c>
      <c r="AB175" s="34">
        <f>IF($J175="","",IFERROR(INDEX(코드설정!$D$5:$D$24,MATCH($J175,코드설정!$C$5:$C$24,0)),""))</f>
        <v/>
      </c>
      <c r="AC175" s="36" t="n"/>
      <c r="AD175" s="37" t="n"/>
      <c r="AE175" s="38" t="n"/>
      <c r="AF175" s="30">
        <f>IF(OR($B175="",$C175=""),"",$C175-$B175+1)</f>
        <v/>
      </c>
      <c r="AG175" s="32" t="n"/>
      <c r="AH175" s="36" t="n"/>
      <c r="AJ175">
        <f>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  <c r="AX175">
        <f>AW175&amp;IF($Y175="","",", "&amp;$Y175)</f>
        <v/>
      </c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0">
        <f>IF($F176="","",COUNTIF($F$5:$F176,$F176))</f>
        <v/>
      </c>
      <c r="H176" s="33">
        <f>IF($F176="","",IFERROR(INDEX(사건마스터!$B$5:$B$64,MATCH($F176,사건마스터!$A$5:$A$64,0)),""))</f>
        <v/>
      </c>
      <c r="I176" s="34">
        <f>IF($F176="","",IFERROR(INDEX(사건마스터!$C$5:$C$64,MATCH($F176,사건마스터!$A$5:$A$64,0)),""))</f>
        <v/>
      </c>
      <c r="J176" s="35">
        <f>IF($F176="","",IFERROR(INDEX(사건마스터!$H$5:$H$64,MATCH($F176,사건마스터!$A$5:$A$64,0)),""))</f>
        <v/>
      </c>
      <c r="K176" s="35">
        <f>IF($F176="","",IFERROR(INDEX(사건마스터!$AH$5:$AH$64,MATCH($F176,사건마스터!$A$5:$A$64,0)),""))</f>
        <v/>
      </c>
      <c r="L176" s="35">
        <f>IF($F176="","",IFERROR(INDEX(사건마스터!$AI$5:$AI$64,MATCH($F176,사건마스터!$A$5:$A$64,0)),""))</f>
        <v/>
      </c>
      <c r="M176" s="35">
        <f>IF($F176="","",IFERROR(INDEX(사건마스터!$AJ$5:$AJ$64,MATCH($F176,사건마스터!$A$5:$A$64,0)),""))</f>
        <v/>
      </c>
      <c r="N176" s="35">
        <f>IF($F176="","",IFERROR(INDEX(사건마스터!$AK$5:$AK$64,MATCH($F176,사건마스터!$A$5:$A$64,0)),""))</f>
        <v/>
      </c>
      <c r="O176" s="35">
        <f>IF($F176="","",IFERROR(INDEX(사건마스터!$AL$5:$AL$64,MATCH($F176,사건마스터!$A$5:$A$64,0)),""))</f>
        <v/>
      </c>
      <c r="P176" s="35">
        <f>IF($F176="","",IFERROR(INDEX(사건마스터!$AM$5:$AM$64,MATCH($F176,사건마스터!$A$5:$A$64,0)),""))</f>
        <v/>
      </c>
      <c r="Q176" s="35">
        <f>IF($F176="","",IFERROR(INDEX(사건마스터!$AN$5:$AN$64,MATCH($F176,사건마스터!$A$5:$A$64,0)),""))</f>
        <v/>
      </c>
      <c r="R176" s="35">
        <f>IF($F176="","",IFERROR(INDEX(사건마스터!$AO$5:$AO$64,MATCH($F176,사건마스터!$A$5:$A$64,0)),""))</f>
        <v/>
      </c>
      <c r="S176" s="35">
        <f>IF($F176="","",IFERROR(INDEX(사건마스터!$AP$5:$AP$64,MATCH($F176,사건마스터!$A$5:$A$64,0)),""))</f>
        <v/>
      </c>
      <c r="T176" s="35">
        <f>IF($F176="","",IFERROR(INDEX(사건마스터!$AQ$5:$AQ$64,MATCH($F176,사건마스터!$A$5:$A$64,0)),""))</f>
        <v/>
      </c>
      <c r="U176" s="35">
        <f>IF($F176="","",IFERROR(INDEX(사건마스터!$AR$5:$AR$64,MATCH($F176,사건마스터!$A$5:$A$64,0)),""))</f>
        <v/>
      </c>
      <c r="V176" s="35">
        <f>IF($F176="","",IFERROR(INDEX(사건마스터!$AS$5:$AS$64,MATCH($F176,사건마스터!$A$5:$A$64,0)),""))</f>
        <v/>
      </c>
      <c r="W176" s="35">
        <f>IF($F176="","",IFERROR(INDEX(사건마스터!$AT$5:$AT$64,MATCH($F176,사건마스터!$A$5:$A$64,0)),""))</f>
        <v/>
      </c>
      <c r="X176" s="35">
        <f>IF($F176="","",IFERROR(INDEX(사건마스터!$AU$5:$AU$64,MATCH($F176,사건마스터!$A$5:$A$64,0)),""))</f>
        <v/>
      </c>
      <c r="Y176" s="35">
        <f>IF($F176="","",IFERROR(INDEX(사건마스터!$AV$5:$AV$64,MATCH($F176,사건마스터!$A$5:$A$64,0)),""))</f>
        <v/>
      </c>
      <c r="Z176" s="30">
        <f>IF(COUNTBLANK($J176:$Y176)=16,"",16-COUNTBLANK($J176:$Y176))</f>
        <v/>
      </c>
      <c r="AA176" s="33">
        <f>IF($J176="",MID($AX176,3,255),$J176&amp;$AX176)</f>
        <v/>
      </c>
      <c r="AB176" s="34">
        <f>IF($J176="","",IFERROR(INDEX(코드설정!$D$5:$D$24,MATCH($J176,코드설정!$C$5:$C$24,0)),""))</f>
        <v/>
      </c>
      <c r="AC176" s="36" t="n"/>
      <c r="AD176" s="37" t="n"/>
      <c r="AE176" s="38" t="n"/>
      <c r="AF176" s="30">
        <f>IF(OR($B176="",$C176=""),"",$C176-$B176+1)</f>
        <v/>
      </c>
      <c r="AG176" s="32" t="n"/>
      <c r="AH176" s="36" t="n"/>
      <c r="AJ176">
        <f>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  <c r="AX176">
        <f>AW176&amp;IF($Y176="","",", "&amp;$Y176)</f>
        <v/>
      </c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0">
        <f>IF($F177="","",COUNTIF($F$5:$F177,$F177))</f>
        <v/>
      </c>
      <c r="H177" s="33">
        <f>IF($F177="","",IFERROR(INDEX(사건마스터!$B$5:$B$64,MATCH($F177,사건마스터!$A$5:$A$64,0)),""))</f>
        <v/>
      </c>
      <c r="I177" s="34">
        <f>IF($F177="","",IFERROR(INDEX(사건마스터!$C$5:$C$64,MATCH($F177,사건마스터!$A$5:$A$64,0)),""))</f>
        <v/>
      </c>
      <c r="J177" s="35">
        <f>IF($F177="","",IFERROR(INDEX(사건마스터!$H$5:$H$64,MATCH($F177,사건마스터!$A$5:$A$64,0)),""))</f>
        <v/>
      </c>
      <c r="K177" s="35">
        <f>IF($F177="","",IFERROR(INDEX(사건마스터!$AH$5:$AH$64,MATCH($F177,사건마스터!$A$5:$A$64,0)),""))</f>
        <v/>
      </c>
      <c r="L177" s="35">
        <f>IF($F177="","",IFERROR(INDEX(사건마스터!$AI$5:$AI$64,MATCH($F177,사건마스터!$A$5:$A$64,0)),""))</f>
        <v/>
      </c>
      <c r="M177" s="35">
        <f>IF($F177="","",IFERROR(INDEX(사건마스터!$AJ$5:$AJ$64,MATCH($F177,사건마스터!$A$5:$A$64,0)),""))</f>
        <v/>
      </c>
      <c r="N177" s="35">
        <f>IF($F177="","",IFERROR(INDEX(사건마스터!$AK$5:$AK$64,MATCH($F177,사건마스터!$A$5:$A$64,0)),""))</f>
        <v/>
      </c>
      <c r="O177" s="35">
        <f>IF($F177="","",IFERROR(INDEX(사건마스터!$AL$5:$AL$64,MATCH($F177,사건마스터!$A$5:$A$64,0)),""))</f>
        <v/>
      </c>
      <c r="P177" s="35">
        <f>IF($F177="","",IFERROR(INDEX(사건마스터!$AM$5:$AM$64,MATCH($F177,사건마스터!$A$5:$A$64,0)),""))</f>
        <v/>
      </c>
      <c r="Q177" s="35">
        <f>IF($F177="","",IFERROR(INDEX(사건마스터!$AN$5:$AN$64,MATCH($F177,사건마스터!$A$5:$A$64,0)),""))</f>
        <v/>
      </c>
      <c r="R177" s="35">
        <f>IF($F177="","",IFERROR(INDEX(사건마스터!$AO$5:$AO$64,MATCH($F177,사건마스터!$A$5:$A$64,0)),""))</f>
        <v/>
      </c>
      <c r="S177" s="35">
        <f>IF($F177="","",IFERROR(INDEX(사건마스터!$AP$5:$AP$64,MATCH($F177,사건마스터!$A$5:$A$64,0)),""))</f>
        <v/>
      </c>
      <c r="T177" s="35">
        <f>IF($F177="","",IFERROR(INDEX(사건마스터!$AQ$5:$AQ$64,MATCH($F177,사건마스터!$A$5:$A$64,0)),""))</f>
        <v/>
      </c>
      <c r="U177" s="35">
        <f>IF($F177="","",IFERROR(INDEX(사건마스터!$AR$5:$AR$64,MATCH($F177,사건마스터!$A$5:$A$64,0)),""))</f>
        <v/>
      </c>
      <c r="V177" s="35">
        <f>IF($F177="","",IFERROR(INDEX(사건마스터!$AS$5:$AS$64,MATCH($F177,사건마스터!$A$5:$A$64,0)),""))</f>
        <v/>
      </c>
      <c r="W177" s="35">
        <f>IF($F177="","",IFERROR(INDEX(사건마스터!$AT$5:$AT$64,MATCH($F177,사건마스터!$A$5:$A$64,0)),""))</f>
        <v/>
      </c>
      <c r="X177" s="35">
        <f>IF($F177="","",IFERROR(INDEX(사건마스터!$AU$5:$AU$64,MATCH($F177,사건마스터!$A$5:$A$64,0)),""))</f>
        <v/>
      </c>
      <c r="Y177" s="35">
        <f>IF($F177="","",IFERROR(INDEX(사건마스터!$AV$5:$AV$64,MATCH($F177,사건마스터!$A$5:$A$64,0)),""))</f>
        <v/>
      </c>
      <c r="Z177" s="30">
        <f>IF(COUNTBLANK($J177:$Y177)=16,"",16-COUNTBLANK($J177:$Y177))</f>
        <v/>
      </c>
      <c r="AA177" s="33">
        <f>IF($J177="",MID($AX177,3,255),$J177&amp;$AX177)</f>
        <v/>
      </c>
      <c r="AB177" s="34">
        <f>IF($J177="","",IFERROR(INDEX(코드설정!$D$5:$D$24,MATCH($J177,코드설정!$C$5:$C$24,0)),""))</f>
        <v/>
      </c>
      <c r="AC177" s="36" t="n"/>
      <c r="AD177" s="37" t="n"/>
      <c r="AE177" s="38" t="n"/>
      <c r="AF177" s="30">
        <f>IF(OR($B177="",$C177=""),"",$C177-$B177+1)</f>
        <v/>
      </c>
      <c r="AG177" s="32" t="n"/>
      <c r="AH177" s="36" t="n"/>
      <c r="AJ177">
        <f>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  <c r="AX177">
        <f>AW177&amp;IF($Y177="","",", "&amp;$Y177)</f>
        <v/>
      </c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0">
        <f>IF($F178="","",COUNTIF($F$5:$F178,$F178))</f>
        <v/>
      </c>
      <c r="H178" s="33">
        <f>IF($F178="","",IFERROR(INDEX(사건마스터!$B$5:$B$64,MATCH($F178,사건마스터!$A$5:$A$64,0)),""))</f>
        <v/>
      </c>
      <c r="I178" s="34">
        <f>IF($F178="","",IFERROR(INDEX(사건마스터!$C$5:$C$64,MATCH($F178,사건마스터!$A$5:$A$64,0)),""))</f>
        <v/>
      </c>
      <c r="J178" s="35">
        <f>IF($F178="","",IFERROR(INDEX(사건마스터!$H$5:$H$64,MATCH($F178,사건마스터!$A$5:$A$64,0)),""))</f>
        <v/>
      </c>
      <c r="K178" s="35">
        <f>IF($F178="","",IFERROR(INDEX(사건마스터!$AH$5:$AH$64,MATCH($F178,사건마스터!$A$5:$A$64,0)),""))</f>
        <v/>
      </c>
      <c r="L178" s="35">
        <f>IF($F178="","",IFERROR(INDEX(사건마스터!$AI$5:$AI$64,MATCH($F178,사건마스터!$A$5:$A$64,0)),""))</f>
        <v/>
      </c>
      <c r="M178" s="35">
        <f>IF($F178="","",IFERROR(INDEX(사건마스터!$AJ$5:$AJ$64,MATCH($F178,사건마스터!$A$5:$A$64,0)),""))</f>
        <v/>
      </c>
      <c r="N178" s="35">
        <f>IF($F178="","",IFERROR(INDEX(사건마스터!$AK$5:$AK$64,MATCH($F178,사건마스터!$A$5:$A$64,0)),""))</f>
        <v/>
      </c>
      <c r="O178" s="35">
        <f>IF($F178="","",IFERROR(INDEX(사건마스터!$AL$5:$AL$64,MATCH($F178,사건마스터!$A$5:$A$64,0)),""))</f>
        <v/>
      </c>
      <c r="P178" s="35">
        <f>IF($F178="","",IFERROR(INDEX(사건마스터!$AM$5:$AM$64,MATCH($F178,사건마스터!$A$5:$A$64,0)),""))</f>
        <v/>
      </c>
      <c r="Q178" s="35">
        <f>IF($F178="","",IFERROR(INDEX(사건마스터!$AN$5:$AN$64,MATCH($F178,사건마스터!$A$5:$A$64,0)),""))</f>
        <v/>
      </c>
      <c r="R178" s="35">
        <f>IF($F178="","",IFERROR(INDEX(사건마스터!$AO$5:$AO$64,MATCH($F178,사건마스터!$A$5:$A$64,0)),""))</f>
        <v/>
      </c>
      <c r="S178" s="35">
        <f>IF($F178="","",IFERROR(INDEX(사건마스터!$AP$5:$AP$64,MATCH($F178,사건마스터!$A$5:$A$64,0)),""))</f>
        <v/>
      </c>
      <c r="T178" s="35">
        <f>IF($F178="","",IFERROR(INDEX(사건마스터!$AQ$5:$AQ$64,MATCH($F178,사건마스터!$A$5:$A$64,0)),""))</f>
        <v/>
      </c>
      <c r="U178" s="35">
        <f>IF($F178="","",IFERROR(INDEX(사건마스터!$AR$5:$AR$64,MATCH($F178,사건마스터!$A$5:$A$64,0)),""))</f>
        <v/>
      </c>
      <c r="V178" s="35">
        <f>IF($F178="","",IFERROR(INDEX(사건마스터!$AS$5:$AS$64,MATCH($F178,사건마스터!$A$5:$A$64,0)),""))</f>
        <v/>
      </c>
      <c r="W178" s="35">
        <f>IF($F178="","",IFERROR(INDEX(사건마스터!$AT$5:$AT$64,MATCH($F178,사건마스터!$A$5:$A$64,0)),""))</f>
        <v/>
      </c>
      <c r="X178" s="35">
        <f>IF($F178="","",IFERROR(INDEX(사건마스터!$AU$5:$AU$64,MATCH($F178,사건마스터!$A$5:$A$64,0)),""))</f>
        <v/>
      </c>
      <c r="Y178" s="35">
        <f>IF($F178="","",IFERROR(INDEX(사건마스터!$AV$5:$AV$64,MATCH($F178,사건마스터!$A$5:$A$64,0)),""))</f>
        <v/>
      </c>
      <c r="Z178" s="30">
        <f>IF(COUNTBLANK($J178:$Y178)=16,"",16-COUNTBLANK($J178:$Y178))</f>
        <v/>
      </c>
      <c r="AA178" s="33">
        <f>IF($J178="",MID($AX178,3,255),$J178&amp;$AX178)</f>
        <v/>
      </c>
      <c r="AB178" s="34">
        <f>IF($J178="","",IFERROR(INDEX(코드설정!$D$5:$D$24,MATCH($J178,코드설정!$C$5:$C$24,0)),""))</f>
        <v/>
      </c>
      <c r="AC178" s="36" t="n"/>
      <c r="AD178" s="37" t="n"/>
      <c r="AE178" s="38" t="n"/>
      <c r="AF178" s="30">
        <f>IF(OR($B178="",$C178=""),"",$C178-$B178+1)</f>
        <v/>
      </c>
      <c r="AG178" s="32" t="n"/>
      <c r="AH178" s="36" t="n"/>
      <c r="AJ178">
        <f>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  <c r="AX178">
        <f>AW178&amp;IF($Y178="","",", "&amp;$Y178)</f>
        <v/>
      </c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0">
        <f>IF($F179="","",COUNTIF($F$5:$F179,$F179))</f>
        <v/>
      </c>
      <c r="H179" s="33">
        <f>IF($F179="","",IFERROR(INDEX(사건마스터!$B$5:$B$64,MATCH($F179,사건마스터!$A$5:$A$64,0)),""))</f>
        <v/>
      </c>
      <c r="I179" s="34">
        <f>IF($F179="","",IFERROR(INDEX(사건마스터!$C$5:$C$64,MATCH($F179,사건마스터!$A$5:$A$64,0)),""))</f>
        <v/>
      </c>
      <c r="J179" s="35">
        <f>IF($F179="","",IFERROR(INDEX(사건마스터!$H$5:$H$64,MATCH($F179,사건마스터!$A$5:$A$64,0)),""))</f>
        <v/>
      </c>
      <c r="K179" s="35">
        <f>IF($F179="","",IFERROR(INDEX(사건마스터!$AH$5:$AH$64,MATCH($F179,사건마스터!$A$5:$A$64,0)),""))</f>
        <v/>
      </c>
      <c r="L179" s="35">
        <f>IF($F179="","",IFERROR(INDEX(사건마스터!$AI$5:$AI$64,MATCH($F179,사건마스터!$A$5:$A$64,0)),""))</f>
        <v/>
      </c>
      <c r="M179" s="35">
        <f>IF($F179="","",IFERROR(INDEX(사건마스터!$AJ$5:$AJ$64,MATCH($F179,사건마스터!$A$5:$A$64,0)),""))</f>
        <v/>
      </c>
      <c r="N179" s="35">
        <f>IF($F179="","",IFERROR(INDEX(사건마스터!$AK$5:$AK$64,MATCH($F179,사건마스터!$A$5:$A$64,0)),""))</f>
        <v/>
      </c>
      <c r="O179" s="35">
        <f>IF($F179="","",IFERROR(INDEX(사건마스터!$AL$5:$AL$64,MATCH($F179,사건마스터!$A$5:$A$64,0)),""))</f>
        <v/>
      </c>
      <c r="P179" s="35">
        <f>IF($F179="","",IFERROR(INDEX(사건마스터!$AM$5:$AM$64,MATCH($F179,사건마스터!$A$5:$A$64,0)),""))</f>
        <v/>
      </c>
      <c r="Q179" s="35">
        <f>IF($F179="","",IFERROR(INDEX(사건마스터!$AN$5:$AN$64,MATCH($F179,사건마스터!$A$5:$A$64,0)),""))</f>
        <v/>
      </c>
      <c r="R179" s="35">
        <f>IF($F179="","",IFERROR(INDEX(사건마스터!$AO$5:$AO$64,MATCH($F179,사건마스터!$A$5:$A$64,0)),""))</f>
        <v/>
      </c>
      <c r="S179" s="35">
        <f>IF($F179="","",IFERROR(INDEX(사건마스터!$AP$5:$AP$64,MATCH($F179,사건마스터!$A$5:$A$64,0)),""))</f>
        <v/>
      </c>
      <c r="T179" s="35">
        <f>IF($F179="","",IFERROR(INDEX(사건마스터!$AQ$5:$AQ$64,MATCH($F179,사건마스터!$A$5:$A$64,0)),""))</f>
        <v/>
      </c>
      <c r="U179" s="35">
        <f>IF($F179="","",IFERROR(INDEX(사건마스터!$AR$5:$AR$64,MATCH($F179,사건마스터!$A$5:$A$64,0)),""))</f>
        <v/>
      </c>
      <c r="V179" s="35">
        <f>IF($F179="","",IFERROR(INDEX(사건마스터!$AS$5:$AS$64,MATCH($F179,사건마스터!$A$5:$A$64,0)),""))</f>
        <v/>
      </c>
      <c r="W179" s="35">
        <f>IF($F179="","",IFERROR(INDEX(사건마스터!$AT$5:$AT$64,MATCH($F179,사건마스터!$A$5:$A$64,0)),""))</f>
        <v/>
      </c>
      <c r="X179" s="35">
        <f>IF($F179="","",IFERROR(INDEX(사건마스터!$AU$5:$AU$64,MATCH($F179,사건마스터!$A$5:$A$64,0)),""))</f>
        <v/>
      </c>
      <c r="Y179" s="35">
        <f>IF($F179="","",IFERROR(INDEX(사건마스터!$AV$5:$AV$64,MATCH($F179,사건마스터!$A$5:$A$64,0)),""))</f>
        <v/>
      </c>
      <c r="Z179" s="30">
        <f>IF(COUNTBLANK($J179:$Y179)=16,"",16-COUNTBLANK($J179:$Y179))</f>
        <v/>
      </c>
      <c r="AA179" s="33">
        <f>IF($J179="",MID($AX179,3,255),$J179&amp;$AX179)</f>
        <v/>
      </c>
      <c r="AB179" s="34">
        <f>IF($J179="","",IFERROR(INDEX(코드설정!$D$5:$D$24,MATCH($J179,코드설정!$C$5:$C$24,0)),""))</f>
        <v/>
      </c>
      <c r="AC179" s="36" t="n"/>
      <c r="AD179" s="37" t="n"/>
      <c r="AE179" s="38" t="n"/>
      <c r="AF179" s="30">
        <f>IF(OR($B179="",$C179=""),"",$C179-$B179+1)</f>
        <v/>
      </c>
      <c r="AG179" s="32" t="n"/>
      <c r="AH179" s="36" t="n"/>
      <c r="AJ179">
        <f>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  <c r="AX179">
        <f>AW179&amp;IF($Y179="","",", "&amp;$Y179)</f>
        <v/>
      </c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0">
        <f>IF($F180="","",COUNTIF($F$5:$F180,$F180))</f>
        <v/>
      </c>
      <c r="H180" s="33">
        <f>IF($F180="","",IFERROR(INDEX(사건마스터!$B$5:$B$64,MATCH($F180,사건마스터!$A$5:$A$64,0)),""))</f>
        <v/>
      </c>
      <c r="I180" s="34">
        <f>IF($F180="","",IFERROR(INDEX(사건마스터!$C$5:$C$64,MATCH($F180,사건마스터!$A$5:$A$64,0)),""))</f>
        <v/>
      </c>
      <c r="J180" s="35">
        <f>IF($F180="","",IFERROR(INDEX(사건마스터!$H$5:$H$64,MATCH($F180,사건마스터!$A$5:$A$64,0)),""))</f>
        <v/>
      </c>
      <c r="K180" s="35">
        <f>IF($F180="","",IFERROR(INDEX(사건마스터!$AH$5:$AH$64,MATCH($F180,사건마스터!$A$5:$A$64,0)),""))</f>
        <v/>
      </c>
      <c r="L180" s="35">
        <f>IF($F180="","",IFERROR(INDEX(사건마스터!$AI$5:$AI$64,MATCH($F180,사건마스터!$A$5:$A$64,0)),""))</f>
        <v/>
      </c>
      <c r="M180" s="35">
        <f>IF($F180="","",IFERROR(INDEX(사건마스터!$AJ$5:$AJ$64,MATCH($F180,사건마스터!$A$5:$A$64,0)),""))</f>
        <v/>
      </c>
      <c r="N180" s="35">
        <f>IF($F180="","",IFERROR(INDEX(사건마스터!$AK$5:$AK$64,MATCH($F180,사건마스터!$A$5:$A$64,0)),""))</f>
        <v/>
      </c>
      <c r="O180" s="35">
        <f>IF($F180="","",IFERROR(INDEX(사건마스터!$AL$5:$AL$64,MATCH($F180,사건마스터!$A$5:$A$64,0)),""))</f>
        <v/>
      </c>
      <c r="P180" s="35">
        <f>IF($F180="","",IFERROR(INDEX(사건마스터!$AM$5:$AM$64,MATCH($F180,사건마스터!$A$5:$A$64,0)),""))</f>
        <v/>
      </c>
      <c r="Q180" s="35">
        <f>IF($F180="","",IFERROR(INDEX(사건마스터!$AN$5:$AN$64,MATCH($F180,사건마스터!$A$5:$A$64,0)),""))</f>
        <v/>
      </c>
      <c r="R180" s="35">
        <f>IF($F180="","",IFERROR(INDEX(사건마스터!$AO$5:$AO$64,MATCH($F180,사건마스터!$A$5:$A$64,0)),""))</f>
        <v/>
      </c>
      <c r="S180" s="35">
        <f>IF($F180="","",IFERROR(INDEX(사건마스터!$AP$5:$AP$64,MATCH($F180,사건마스터!$A$5:$A$64,0)),""))</f>
        <v/>
      </c>
      <c r="T180" s="35">
        <f>IF($F180="","",IFERROR(INDEX(사건마스터!$AQ$5:$AQ$64,MATCH($F180,사건마스터!$A$5:$A$64,0)),""))</f>
        <v/>
      </c>
      <c r="U180" s="35">
        <f>IF($F180="","",IFERROR(INDEX(사건마스터!$AR$5:$AR$64,MATCH($F180,사건마스터!$A$5:$A$64,0)),""))</f>
        <v/>
      </c>
      <c r="V180" s="35">
        <f>IF($F180="","",IFERROR(INDEX(사건마스터!$AS$5:$AS$64,MATCH($F180,사건마스터!$A$5:$A$64,0)),""))</f>
        <v/>
      </c>
      <c r="W180" s="35">
        <f>IF($F180="","",IFERROR(INDEX(사건마스터!$AT$5:$AT$64,MATCH($F180,사건마스터!$A$5:$A$64,0)),""))</f>
        <v/>
      </c>
      <c r="X180" s="35">
        <f>IF($F180="","",IFERROR(INDEX(사건마스터!$AU$5:$AU$64,MATCH($F180,사건마스터!$A$5:$A$64,0)),""))</f>
        <v/>
      </c>
      <c r="Y180" s="35">
        <f>IF($F180="","",IFERROR(INDEX(사건마스터!$AV$5:$AV$64,MATCH($F180,사건마스터!$A$5:$A$64,0)),""))</f>
        <v/>
      </c>
      <c r="Z180" s="30">
        <f>IF(COUNTBLANK($J180:$Y180)=16,"",16-COUNTBLANK($J180:$Y180))</f>
        <v/>
      </c>
      <c r="AA180" s="33">
        <f>IF($J180="",MID($AX180,3,255),$J180&amp;$AX180)</f>
        <v/>
      </c>
      <c r="AB180" s="34">
        <f>IF($J180="","",IFERROR(INDEX(코드설정!$D$5:$D$24,MATCH($J180,코드설정!$C$5:$C$24,0)),""))</f>
        <v/>
      </c>
      <c r="AC180" s="36" t="n"/>
      <c r="AD180" s="37" t="n"/>
      <c r="AE180" s="38" t="n"/>
      <c r="AF180" s="30">
        <f>IF(OR($B180="",$C180=""),"",$C180-$B180+1)</f>
        <v/>
      </c>
      <c r="AG180" s="32" t="n"/>
      <c r="AH180" s="36" t="n"/>
      <c r="AJ180">
        <f>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  <c r="AX180">
        <f>AW180&amp;IF($Y180="","",", "&amp;$Y180)</f>
        <v/>
      </c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0">
        <f>IF($F181="","",COUNTIF($F$5:$F181,$F181))</f>
        <v/>
      </c>
      <c r="H181" s="33">
        <f>IF($F181="","",IFERROR(INDEX(사건마스터!$B$5:$B$64,MATCH($F181,사건마스터!$A$5:$A$64,0)),""))</f>
        <v/>
      </c>
      <c r="I181" s="34">
        <f>IF($F181="","",IFERROR(INDEX(사건마스터!$C$5:$C$64,MATCH($F181,사건마스터!$A$5:$A$64,0)),""))</f>
        <v/>
      </c>
      <c r="J181" s="35">
        <f>IF($F181="","",IFERROR(INDEX(사건마스터!$H$5:$H$64,MATCH($F181,사건마스터!$A$5:$A$64,0)),""))</f>
        <v/>
      </c>
      <c r="K181" s="35">
        <f>IF($F181="","",IFERROR(INDEX(사건마스터!$AH$5:$AH$64,MATCH($F181,사건마스터!$A$5:$A$64,0)),""))</f>
        <v/>
      </c>
      <c r="L181" s="35">
        <f>IF($F181="","",IFERROR(INDEX(사건마스터!$AI$5:$AI$64,MATCH($F181,사건마스터!$A$5:$A$64,0)),""))</f>
        <v/>
      </c>
      <c r="M181" s="35">
        <f>IF($F181="","",IFERROR(INDEX(사건마스터!$AJ$5:$AJ$64,MATCH($F181,사건마스터!$A$5:$A$64,0)),""))</f>
        <v/>
      </c>
      <c r="N181" s="35">
        <f>IF($F181="","",IFERROR(INDEX(사건마스터!$AK$5:$AK$64,MATCH($F181,사건마스터!$A$5:$A$64,0)),""))</f>
        <v/>
      </c>
      <c r="O181" s="35">
        <f>IF($F181="","",IFERROR(INDEX(사건마스터!$AL$5:$AL$64,MATCH($F181,사건마스터!$A$5:$A$64,0)),""))</f>
        <v/>
      </c>
      <c r="P181" s="35">
        <f>IF($F181="","",IFERROR(INDEX(사건마스터!$AM$5:$AM$64,MATCH($F181,사건마스터!$A$5:$A$64,0)),""))</f>
        <v/>
      </c>
      <c r="Q181" s="35">
        <f>IF($F181="","",IFERROR(INDEX(사건마스터!$AN$5:$AN$64,MATCH($F181,사건마스터!$A$5:$A$64,0)),""))</f>
        <v/>
      </c>
      <c r="R181" s="35">
        <f>IF($F181="","",IFERROR(INDEX(사건마스터!$AO$5:$AO$64,MATCH($F181,사건마스터!$A$5:$A$64,0)),""))</f>
        <v/>
      </c>
      <c r="S181" s="35">
        <f>IF($F181="","",IFERROR(INDEX(사건마스터!$AP$5:$AP$64,MATCH($F181,사건마스터!$A$5:$A$64,0)),""))</f>
        <v/>
      </c>
      <c r="T181" s="35">
        <f>IF($F181="","",IFERROR(INDEX(사건마스터!$AQ$5:$AQ$64,MATCH($F181,사건마스터!$A$5:$A$64,0)),""))</f>
        <v/>
      </c>
      <c r="U181" s="35">
        <f>IF($F181="","",IFERROR(INDEX(사건마스터!$AR$5:$AR$64,MATCH($F181,사건마스터!$A$5:$A$64,0)),""))</f>
        <v/>
      </c>
      <c r="V181" s="35">
        <f>IF($F181="","",IFERROR(INDEX(사건마스터!$AS$5:$AS$64,MATCH($F181,사건마스터!$A$5:$A$64,0)),""))</f>
        <v/>
      </c>
      <c r="W181" s="35">
        <f>IF($F181="","",IFERROR(INDEX(사건마스터!$AT$5:$AT$64,MATCH($F181,사건마스터!$A$5:$A$64,0)),""))</f>
        <v/>
      </c>
      <c r="X181" s="35">
        <f>IF($F181="","",IFERROR(INDEX(사건마스터!$AU$5:$AU$64,MATCH($F181,사건마스터!$A$5:$A$64,0)),""))</f>
        <v/>
      </c>
      <c r="Y181" s="35">
        <f>IF($F181="","",IFERROR(INDEX(사건마스터!$AV$5:$AV$64,MATCH($F181,사건마스터!$A$5:$A$64,0)),""))</f>
        <v/>
      </c>
      <c r="Z181" s="30">
        <f>IF(COUNTBLANK($J181:$Y181)=16,"",16-COUNTBLANK($J181:$Y181))</f>
        <v/>
      </c>
      <c r="AA181" s="33">
        <f>IF($J181="",MID($AX181,3,255),$J181&amp;$AX181)</f>
        <v/>
      </c>
      <c r="AB181" s="34">
        <f>IF($J181="","",IFERROR(INDEX(코드설정!$D$5:$D$24,MATCH($J181,코드설정!$C$5:$C$24,0)),""))</f>
        <v/>
      </c>
      <c r="AC181" s="36" t="n"/>
      <c r="AD181" s="37" t="n"/>
      <c r="AE181" s="38" t="n"/>
      <c r="AF181" s="30">
        <f>IF(OR($B181="",$C181=""),"",$C181-$B181+1)</f>
        <v/>
      </c>
      <c r="AG181" s="32" t="n"/>
      <c r="AH181" s="36" t="n"/>
      <c r="AJ181">
        <f>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  <c r="AX181">
        <f>AW181&amp;IF($Y181="","",", "&amp;$Y181)</f>
        <v/>
      </c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0">
        <f>IF($F182="","",COUNTIF($F$5:$F182,$F182))</f>
        <v/>
      </c>
      <c r="H182" s="33">
        <f>IF($F182="","",IFERROR(INDEX(사건마스터!$B$5:$B$64,MATCH($F182,사건마스터!$A$5:$A$64,0)),""))</f>
        <v/>
      </c>
      <c r="I182" s="34">
        <f>IF($F182="","",IFERROR(INDEX(사건마스터!$C$5:$C$64,MATCH($F182,사건마스터!$A$5:$A$64,0)),""))</f>
        <v/>
      </c>
      <c r="J182" s="35">
        <f>IF($F182="","",IFERROR(INDEX(사건마스터!$H$5:$H$64,MATCH($F182,사건마스터!$A$5:$A$64,0)),""))</f>
        <v/>
      </c>
      <c r="K182" s="35">
        <f>IF($F182="","",IFERROR(INDEX(사건마스터!$AH$5:$AH$64,MATCH($F182,사건마스터!$A$5:$A$64,0)),""))</f>
        <v/>
      </c>
      <c r="L182" s="35">
        <f>IF($F182="","",IFERROR(INDEX(사건마스터!$AI$5:$AI$64,MATCH($F182,사건마스터!$A$5:$A$64,0)),""))</f>
        <v/>
      </c>
      <c r="M182" s="35">
        <f>IF($F182="","",IFERROR(INDEX(사건마스터!$AJ$5:$AJ$64,MATCH($F182,사건마스터!$A$5:$A$64,0)),""))</f>
        <v/>
      </c>
      <c r="N182" s="35">
        <f>IF($F182="","",IFERROR(INDEX(사건마스터!$AK$5:$AK$64,MATCH($F182,사건마스터!$A$5:$A$64,0)),""))</f>
        <v/>
      </c>
      <c r="O182" s="35">
        <f>IF($F182="","",IFERROR(INDEX(사건마스터!$AL$5:$AL$64,MATCH($F182,사건마스터!$A$5:$A$64,0)),""))</f>
        <v/>
      </c>
      <c r="P182" s="35">
        <f>IF($F182="","",IFERROR(INDEX(사건마스터!$AM$5:$AM$64,MATCH($F182,사건마스터!$A$5:$A$64,0)),""))</f>
        <v/>
      </c>
      <c r="Q182" s="35">
        <f>IF($F182="","",IFERROR(INDEX(사건마스터!$AN$5:$AN$64,MATCH($F182,사건마스터!$A$5:$A$64,0)),""))</f>
        <v/>
      </c>
      <c r="R182" s="35">
        <f>IF($F182="","",IFERROR(INDEX(사건마스터!$AO$5:$AO$64,MATCH($F182,사건마스터!$A$5:$A$64,0)),""))</f>
        <v/>
      </c>
      <c r="S182" s="35">
        <f>IF($F182="","",IFERROR(INDEX(사건마스터!$AP$5:$AP$64,MATCH($F182,사건마스터!$A$5:$A$64,0)),""))</f>
        <v/>
      </c>
      <c r="T182" s="35">
        <f>IF($F182="","",IFERROR(INDEX(사건마스터!$AQ$5:$AQ$64,MATCH($F182,사건마스터!$A$5:$A$64,0)),""))</f>
        <v/>
      </c>
      <c r="U182" s="35">
        <f>IF($F182="","",IFERROR(INDEX(사건마스터!$AR$5:$AR$64,MATCH($F182,사건마스터!$A$5:$A$64,0)),""))</f>
        <v/>
      </c>
      <c r="V182" s="35">
        <f>IF($F182="","",IFERROR(INDEX(사건마스터!$AS$5:$AS$64,MATCH($F182,사건마스터!$A$5:$A$64,0)),""))</f>
        <v/>
      </c>
      <c r="W182" s="35">
        <f>IF($F182="","",IFERROR(INDEX(사건마스터!$AT$5:$AT$64,MATCH($F182,사건마스터!$A$5:$A$64,0)),""))</f>
        <v/>
      </c>
      <c r="X182" s="35">
        <f>IF($F182="","",IFERROR(INDEX(사건마스터!$AU$5:$AU$64,MATCH($F182,사건마스터!$A$5:$A$64,0)),""))</f>
        <v/>
      </c>
      <c r="Y182" s="35">
        <f>IF($F182="","",IFERROR(INDEX(사건마스터!$AV$5:$AV$64,MATCH($F182,사건마스터!$A$5:$A$64,0)),""))</f>
        <v/>
      </c>
      <c r="Z182" s="30">
        <f>IF(COUNTBLANK($J182:$Y182)=16,"",16-COUNTBLANK($J182:$Y182))</f>
        <v/>
      </c>
      <c r="AA182" s="33">
        <f>IF($J182="",MID($AX182,3,255),$J182&amp;$AX182)</f>
        <v/>
      </c>
      <c r="AB182" s="34">
        <f>IF($J182="","",IFERROR(INDEX(코드설정!$D$5:$D$24,MATCH($J182,코드설정!$C$5:$C$24,0)),""))</f>
        <v/>
      </c>
      <c r="AC182" s="36" t="n"/>
      <c r="AD182" s="37" t="n"/>
      <c r="AE182" s="38" t="n"/>
      <c r="AF182" s="30">
        <f>IF(OR($B182="",$C182=""),"",$C182-$B182+1)</f>
        <v/>
      </c>
      <c r="AG182" s="32" t="n"/>
      <c r="AH182" s="36" t="n"/>
      <c r="AJ182">
        <f>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  <c r="AX182">
        <f>AW182&amp;IF($Y182="","",", "&amp;$Y182)</f>
        <v/>
      </c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0">
        <f>IF($F183="","",COUNTIF($F$5:$F183,$F183))</f>
        <v/>
      </c>
      <c r="H183" s="33">
        <f>IF($F183="","",IFERROR(INDEX(사건마스터!$B$5:$B$64,MATCH($F183,사건마스터!$A$5:$A$64,0)),""))</f>
        <v/>
      </c>
      <c r="I183" s="34">
        <f>IF($F183="","",IFERROR(INDEX(사건마스터!$C$5:$C$64,MATCH($F183,사건마스터!$A$5:$A$64,0)),""))</f>
        <v/>
      </c>
      <c r="J183" s="35">
        <f>IF($F183="","",IFERROR(INDEX(사건마스터!$H$5:$H$64,MATCH($F183,사건마스터!$A$5:$A$64,0)),""))</f>
        <v/>
      </c>
      <c r="K183" s="35">
        <f>IF($F183="","",IFERROR(INDEX(사건마스터!$AH$5:$AH$64,MATCH($F183,사건마스터!$A$5:$A$64,0)),""))</f>
        <v/>
      </c>
      <c r="L183" s="35">
        <f>IF($F183="","",IFERROR(INDEX(사건마스터!$AI$5:$AI$64,MATCH($F183,사건마스터!$A$5:$A$64,0)),""))</f>
        <v/>
      </c>
      <c r="M183" s="35">
        <f>IF($F183="","",IFERROR(INDEX(사건마스터!$AJ$5:$AJ$64,MATCH($F183,사건마스터!$A$5:$A$64,0)),""))</f>
        <v/>
      </c>
      <c r="N183" s="35">
        <f>IF($F183="","",IFERROR(INDEX(사건마스터!$AK$5:$AK$64,MATCH($F183,사건마스터!$A$5:$A$64,0)),""))</f>
        <v/>
      </c>
      <c r="O183" s="35">
        <f>IF($F183="","",IFERROR(INDEX(사건마스터!$AL$5:$AL$64,MATCH($F183,사건마스터!$A$5:$A$64,0)),""))</f>
        <v/>
      </c>
      <c r="P183" s="35">
        <f>IF($F183="","",IFERROR(INDEX(사건마스터!$AM$5:$AM$64,MATCH($F183,사건마스터!$A$5:$A$64,0)),""))</f>
        <v/>
      </c>
      <c r="Q183" s="35">
        <f>IF($F183="","",IFERROR(INDEX(사건마스터!$AN$5:$AN$64,MATCH($F183,사건마스터!$A$5:$A$64,0)),""))</f>
        <v/>
      </c>
      <c r="R183" s="35">
        <f>IF($F183="","",IFERROR(INDEX(사건마스터!$AO$5:$AO$64,MATCH($F183,사건마스터!$A$5:$A$64,0)),""))</f>
        <v/>
      </c>
      <c r="S183" s="35">
        <f>IF($F183="","",IFERROR(INDEX(사건마스터!$AP$5:$AP$64,MATCH($F183,사건마스터!$A$5:$A$64,0)),""))</f>
        <v/>
      </c>
      <c r="T183" s="35">
        <f>IF($F183="","",IFERROR(INDEX(사건마스터!$AQ$5:$AQ$64,MATCH($F183,사건마스터!$A$5:$A$64,0)),""))</f>
        <v/>
      </c>
      <c r="U183" s="35">
        <f>IF($F183="","",IFERROR(INDEX(사건마스터!$AR$5:$AR$64,MATCH($F183,사건마스터!$A$5:$A$64,0)),""))</f>
        <v/>
      </c>
      <c r="V183" s="35">
        <f>IF($F183="","",IFERROR(INDEX(사건마스터!$AS$5:$AS$64,MATCH($F183,사건마스터!$A$5:$A$64,0)),""))</f>
        <v/>
      </c>
      <c r="W183" s="35">
        <f>IF($F183="","",IFERROR(INDEX(사건마스터!$AT$5:$AT$64,MATCH($F183,사건마스터!$A$5:$A$64,0)),""))</f>
        <v/>
      </c>
      <c r="X183" s="35">
        <f>IF($F183="","",IFERROR(INDEX(사건마스터!$AU$5:$AU$64,MATCH($F183,사건마스터!$A$5:$A$64,0)),""))</f>
        <v/>
      </c>
      <c r="Y183" s="35">
        <f>IF($F183="","",IFERROR(INDEX(사건마스터!$AV$5:$AV$64,MATCH($F183,사건마스터!$A$5:$A$64,0)),""))</f>
        <v/>
      </c>
      <c r="Z183" s="30">
        <f>IF(COUNTBLANK($J183:$Y183)=16,"",16-COUNTBLANK($J183:$Y183))</f>
        <v/>
      </c>
      <c r="AA183" s="33">
        <f>IF($J183="",MID($AX183,3,255),$J183&amp;$AX183)</f>
        <v/>
      </c>
      <c r="AB183" s="34">
        <f>IF($J183="","",IFERROR(INDEX(코드설정!$D$5:$D$24,MATCH($J183,코드설정!$C$5:$C$24,0)),""))</f>
        <v/>
      </c>
      <c r="AC183" s="36" t="n"/>
      <c r="AD183" s="37" t="n"/>
      <c r="AE183" s="38" t="n"/>
      <c r="AF183" s="30">
        <f>IF(OR($B183="",$C183=""),"",$C183-$B183+1)</f>
        <v/>
      </c>
      <c r="AG183" s="32" t="n"/>
      <c r="AH183" s="36" t="n"/>
      <c r="AJ183">
        <f>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  <c r="AX183">
        <f>AW183&amp;IF($Y183="","",", "&amp;$Y183)</f>
        <v/>
      </c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0">
        <f>IF($F184="","",COUNTIF($F$5:$F184,$F184))</f>
        <v/>
      </c>
      <c r="H184" s="33">
        <f>IF($F184="","",IFERROR(INDEX(사건마스터!$B$5:$B$64,MATCH($F184,사건마스터!$A$5:$A$64,0)),""))</f>
        <v/>
      </c>
      <c r="I184" s="34">
        <f>IF($F184="","",IFERROR(INDEX(사건마스터!$C$5:$C$64,MATCH($F184,사건마스터!$A$5:$A$64,0)),""))</f>
        <v/>
      </c>
      <c r="J184" s="35">
        <f>IF($F184="","",IFERROR(INDEX(사건마스터!$H$5:$H$64,MATCH($F184,사건마스터!$A$5:$A$64,0)),""))</f>
        <v/>
      </c>
      <c r="K184" s="35">
        <f>IF($F184="","",IFERROR(INDEX(사건마스터!$AH$5:$AH$64,MATCH($F184,사건마스터!$A$5:$A$64,0)),""))</f>
        <v/>
      </c>
      <c r="L184" s="35">
        <f>IF($F184="","",IFERROR(INDEX(사건마스터!$AI$5:$AI$64,MATCH($F184,사건마스터!$A$5:$A$64,0)),""))</f>
        <v/>
      </c>
      <c r="M184" s="35">
        <f>IF($F184="","",IFERROR(INDEX(사건마스터!$AJ$5:$AJ$64,MATCH($F184,사건마스터!$A$5:$A$64,0)),""))</f>
        <v/>
      </c>
      <c r="N184" s="35">
        <f>IF($F184="","",IFERROR(INDEX(사건마스터!$AK$5:$AK$64,MATCH($F184,사건마스터!$A$5:$A$64,0)),""))</f>
        <v/>
      </c>
      <c r="O184" s="35">
        <f>IF($F184="","",IFERROR(INDEX(사건마스터!$AL$5:$AL$64,MATCH($F184,사건마스터!$A$5:$A$64,0)),""))</f>
        <v/>
      </c>
      <c r="P184" s="35">
        <f>IF($F184="","",IFERROR(INDEX(사건마스터!$AM$5:$AM$64,MATCH($F184,사건마스터!$A$5:$A$64,0)),""))</f>
        <v/>
      </c>
      <c r="Q184" s="35">
        <f>IF($F184="","",IFERROR(INDEX(사건마스터!$AN$5:$AN$64,MATCH($F184,사건마스터!$A$5:$A$64,0)),""))</f>
        <v/>
      </c>
      <c r="R184" s="35">
        <f>IF($F184="","",IFERROR(INDEX(사건마스터!$AO$5:$AO$64,MATCH($F184,사건마스터!$A$5:$A$64,0)),""))</f>
        <v/>
      </c>
      <c r="S184" s="35">
        <f>IF($F184="","",IFERROR(INDEX(사건마스터!$AP$5:$AP$64,MATCH($F184,사건마스터!$A$5:$A$64,0)),""))</f>
        <v/>
      </c>
      <c r="T184" s="35">
        <f>IF($F184="","",IFERROR(INDEX(사건마스터!$AQ$5:$AQ$64,MATCH($F184,사건마스터!$A$5:$A$64,0)),""))</f>
        <v/>
      </c>
      <c r="U184" s="35">
        <f>IF($F184="","",IFERROR(INDEX(사건마스터!$AR$5:$AR$64,MATCH($F184,사건마스터!$A$5:$A$64,0)),""))</f>
        <v/>
      </c>
      <c r="V184" s="35">
        <f>IF($F184="","",IFERROR(INDEX(사건마스터!$AS$5:$AS$64,MATCH($F184,사건마스터!$A$5:$A$64,0)),""))</f>
        <v/>
      </c>
      <c r="W184" s="35">
        <f>IF($F184="","",IFERROR(INDEX(사건마스터!$AT$5:$AT$64,MATCH($F184,사건마스터!$A$5:$A$64,0)),""))</f>
        <v/>
      </c>
      <c r="X184" s="35">
        <f>IF($F184="","",IFERROR(INDEX(사건마스터!$AU$5:$AU$64,MATCH($F184,사건마스터!$A$5:$A$64,0)),""))</f>
        <v/>
      </c>
      <c r="Y184" s="35">
        <f>IF($F184="","",IFERROR(INDEX(사건마스터!$AV$5:$AV$64,MATCH($F184,사건마스터!$A$5:$A$64,0)),""))</f>
        <v/>
      </c>
      <c r="Z184" s="30">
        <f>IF(COUNTBLANK($J184:$Y184)=16,"",16-COUNTBLANK($J184:$Y184))</f>
        <v/>
      </c>
      <c r="AA184" s="33">
        <f>IF($J184="",MID($AX184,3,255),$J184&amp;$AX184)</f>
        <v/>
      </c>
      <c r="AB184" s="34">
        <f>IF($J184="","",IFERROR(INDEX(코드설정!$D$5:$D$24,MATCH($J184,코드설정!$C$5:$C$24,0)),""))</f>
        <v/>
      </c>
      <c r="AC184" s="36" t="n"/>
      <c r="AD184" s="37" t="n"/>
      <c r="AE184" s="38" t="n"/>
      <c r="AF184" s="30">
        <f>IF(OR($B184="",$C184=""),"",$C184-$B184+1)</f>
        <v/>
      </c>
      <c r="AG184" s="32" t="n"/>
      <c r="AH184" s="36" t="n"/>
      <c r="AJ184">
        <f>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  <c r="AX184">
        <f>AW184&amp;IF($Y184="","",", "&amp;$Y184)</f>
        <v/>
      </c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0">
        <f>IF($F185="","",COUNTIF($F$5:$F185,$F185))</f>
        <v/>
      </c>
      <c r="H185" s="33">
        <f>IF($F185="","",IFERROR(INDEX(사건마스터!$B$5:$B$64,MATCH($F185,사건마스터!$A$5:$A$64,0)),""))</f>
        <v/>
      </c>
      <c r="I185" s="34">
        <f>IF($F185="","",IFERROR(INDEX(사건마스터!$C$5:$C$64,MATCH($F185,사건마스터!$A$5:$A$64,0)),""))</f>
        <v/>
      </c>
      <c r="J185" s="35">
        <f>IF($F185="","",IFERROR(INDEX(사건마스터!$H$5:$H$64,MATCH($F185,사건마스터!$A$5:$A$64,0)),""))</f>
        <v/>
      </c>
      <c r="K185" s="35">
        <f>IF($F185="","",IFERROR(INDEX(사건마스터!$AH$5:$AH$64,MATCH($F185,사건마스터!$A$5:$A$64,0)),""))</f>
        <v/>
      </c>
      <c r="L185" s="35">
        <f>IF($F185="","",IFERROR(INDEX(사건마스터!$AI$5:$AI$64,MATCH($F185,사건마스터!$A$5:$A$64,0)),""))</f>
        <v/>
      </c>
      <c r="M185" s="35">
        <f>IF($F185="","",IFERROR(INDEX(사건마스터!$AJ$5:$AJ$64,MATCH($F185,사건마스터!$A$5:$A$64,0)),""))</f>
        <v/>
      </c>
      <c r="N185" s="35">
        <f>IF($F185="","",IFERROR(INDEX(사건마스터!$AK$5:$AK$64,MATCH($F185,사건마스터!$A$5:$A$64,0)),""))</f>
        <v/>
      </c>
      <c r="O185" s="35">
        <f>IF($F185="","",IFERROR(INDEX(사건마스터!$AL$5:$AL$64,MATCH($F185,사건마스터!$A$5:$A$64,0)),""))</f>
        <v/>
      </c>
      <c r="P185" s="35">
        <f>IF($F185="","",IFERROR(INDEX(사건마스터!$AM$5:$AM$64,MATCH($F185,사건마스터!$A$5:$A$64,0)),""))</f>
        <v/>
      </c>
      <c r="Q185" s="35">
        <f>IF($F185="","",IFERROR(INDEX(사건마스터!$AN$5:$AN$64,MATCH($F185,사건마스터!$A$5:$A$64,0)),""))</f>
        <v/>
      </c>
      <c r="R185" s="35">
        <f>IF($F185="","",IFERROR(INDEX(사건마스터!$AO$5:$AO$64,MATCH($F185,사건마스터!$A$5:$A$64,0)),""))</f>
        <v/>
      </c>
      <c r="S185" s="35">
        <f>IF($F185="","",IFERROR(INDEX(사건마스터!$AP$5:$AP$64,MATCH($F185,사건마스터!$A$5:$A$64,0)),""))</f>
        <v/>
      </c>
      <c r="T185" s="35">
        <f>IF($F185="","",IFERROR(INDEX(사건마스터!$AQ$5:$AQ$64,MATCH($F185,사건마스터!$A$5:$A$64,0)),""))</f>
        <v/>
      </c>
      <c r="U185" s="35">
        <f>IF($F185="","",IFERROR(INDEX(사건마스터!$AR$5:$AR$64,MATCH($F185,사건마스터!$A$5:$A$64,0)),""))</f>
        <v/>
      </c>
      <c r="V185" s="35">
        <f>IF($F185="","",IFERROR(INDEX(사건마스터!$AS$5:$AS$64,MATCH($F185,사건마스터!$A$5:$A$64,0)),""))</f>
        <v/>
      </c>
      <c r="W185" s="35">
        <f>IF($F185="","",IFERROR(INDEX(사건마스터!$AT$5:$AT$64,MATCH($F185,사건마스터!$A$5:$A$64,0)),""))</f>
        <v/>
      </c>
      <c r="X185" s="35">
        <f>IF($F185="","",IFERROR(INDEX(사건마스터!$AU$5:$AU$64,MATCH($F185,사건마스터!$A$5:$A$64,0)),""))</f>
        <v/>
      </c>
      <c r="Y185" s="35">
        <f>IF($F185="","",IFERROR(INDEX(사건마스터!$AV$5:$AV$64,MATCH($F185,사건마스터!$A$5:$A$64,0)),""))</f>
        <v/>
      </c>
      <c r="Z185" s="30">
        <f>IF(COUNTBLANK($J185:$Y185)=16,"",16-COUNTBLANK($J185:$Y185))</f>
        <v/>
      </c>
      <c r="AA185" s="33">
        <f>IF($J185="",MID($AX185,3,255),$J185&amp;$AX185)</f>
        <v/>
      </c>
      <c r="AB185" s="34">
        <f>IF($J185="","",IFERROR(INDEX(코드설정!$D$5:$D$24,MATCH($J185,코드설정!$C$5:$C$24,0)),""))</f>
        <v/>
      </c>
      <c r="AC185" s="36" t="n"/>
      <c r="AD185" s="37" t="n"/>
      <c r="AE185" s="38" t="n"/>
      <c r="AF185" s="30">
        <f>IF(OR($B185="",$C185=""),"",$C185-$B185+1)</f>
        <v/>
      </c>
      <c r="AG185" s="32" t="n"/>
      <c r="AH185" s="36" t="n"/>
      <c r="AJ185">
        <f>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  <c r="AX185">
        <f>AW185&amp;IF($Y185="","",", "&amp;$Y185)</f>
        <v/>
      </c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0">
        <f>IF($F186="","",COUNTIF($F$5:$F186,$F186))</f>
        <v/>
      </c>
      <c r="H186" s="33">
        <f>IF($F186="","",IFERROR(INDEX(사건마스터!$B$5:$B$64,MATCH($F186,사건마스터!$A$5:$A$64,0)),""))</f>
        <v/>
      </c>
      <c r="I186" s="34">
        <f>IF($F186="","",IFERROR(INDEX(사건마스터!$C$5:$C$64,MATCH($F186,사건마스터!$A$5:$A$64,0)),""))</f>
        <v/>
      </c>
      <c r="J186" s="35">
        <f>IF($F186="","",IFERROR(INDEX(사건마스터!$H$5:$H$64,MATCH($F186,사건마스터!$A$5:$A$64,0)),""))</f>
        <v/>
      </c>
      <c r="K186" s="35">
        <f>IF($F186="","",IFERROR(INDEX(사건마스터!$AH$5:$AH$64,MATCH($F186,사건마스터!$A$5:$A$64,0)),""))</f>
        <v/>
      </c>
      <c r="L186" s="35">
        <f>IF($F186="","",IFERROR(INDEX(사건마스터!$AI$5:$AI$64,MATCH($F186,사건마스터!$A$5:$A$64,0)),""))</f>
        <v/>
      </c>
      <c r="M186" s="35">
        <f>IF($F186="","",IFERROR(INDEX(사건마스터!$AJ$5:$AJ$64,MATCH($F186,사건마스터!$A$5:$A$64,0)),""))</f>
        <v/>
      </c>
      <c r="N186" s="35">
        <f>IF($F186="","",IFERROR(INDEX(사건마스터!$AK$5:$AK$64,MATCH($F186,사건마스터!$A$5:$A$64,0)),""))</f>
        <v/>
      </c>
      <c r="O186" s="35">
        <f>IF($F186="","",IFERROR(INDEX(사건마스터!$AL$5:$AL$64,MATCH($F186,사건마스터!$A$5:$A$64,0)),""))</f>
        <v/>
      </c>
      <c r="P186" s="35">
        <f>IF($F186="","",IFERROR(INDEX(사건마스터!$AM$5:$AM$64,MATCH($F186,사건마스터!$A$5:$A$64,0)),""))</f>
        <v/>
      </c>
      <c r="Q186" s="35">
        <f>IF($F186="","",IFERROR(INDEX(사건마스터!$AN$5:$AN$64,MATCH($F186,사건마스터!$A$5:$A$64,0)),""))</f>
        <v/>
      </c>
      <c r="R186" s="35">
        <f>IF($F186="","",IFERROR(INDEX(사건마스터!$AO$5:$AO$64,MATCH($F186,사건마스터!$A$5:$A$64,0)),""))</f>
        <v/>
      </c>
      <c r="S186" s="35">
        <f>IF($F186="","",IFERROR(INDEX(사건마스터!$AP$5:$AP$64,MATCH($F186,사건마스터!$A$5:$A$64,0)),""))</f>
        <v/>
      </c>
      <c r="T186" s="35">
        <f>IF($F186="","",IFERROR(INDEX(사건마스터!$AQ$5:$AQ$64,MATCH($F186,사건마스터!$A$5:$A$64,0)),""))</f>
        <v/>
      </c>
      <c r="U186" s="35">
        <f>IF($F186="","",IFERROR(INDEX(사건마스터!$AR$5:$AR$64,MATCH($F186,사건마스터!$A$5:$A$64,0)),""))</f>
        <v/>
      </c>
      <c r="V186" s="35">
        <f>IF($F186="","",IFERROR(INDEX(사건마스터!$AS$5:$AS$64,MATCH($F186,사건마스터!$A$5:$A$64,0)),""))</f>
        <v/>
      </c>
      <c r="W186" s="35">
        <f>IF($F186="","",IFERROR(INDEX(사건마스터!$AT$5:$AT$64,MATCH($F186,사건마스터!$A$5:$A$64,0)),""))</f>
        <v/>
      </c>
      <c r="X186" s="35">
        <f>IF($F186="","",IFERROR(INDEX(사건마스터!$AU$5:$AU$64,MATCH($F186,사건마스터!$A$5:$A$64,0)),""))</f>
        <v/>
      </c>
      <c r="Y186" s="35">
        <f>IF($F186="","",IFERROR(INDEX(사건마스터!$AV$5:$AV$64,MATCH($F186,사건마스터!$A$5:$A$64,0)),""))</f>
        <v/>
      </c>
      <c r="Z186" s="30">
        <f>IF(COUNTBLANK($J186:$Y186)=16,"",16-COUNTBLANK($J186:$Y186))</f>
        <v/>
      </c>
      <c r="AA186" s="33">
        <f>IF($J186="",MID($AX186,3,255),$J186&amp;$AX186)</f>
        <v/>
      </c>
      <c r="AB186" s="34">
        <f>IF($J186="","",IFERROR(INDEX(코드설정!$D$5:$D$24,MATCH($J186,코드설정!$C$5:$C$24,0)),""))</f>
        <v/>
      </c>
      <c r="AC186" s="36" t="n"/>
      <c r="AD186" s="37" t="n"/>
      <c r="AE186" s="38" t="n"/>
      <c r="AF186" s="30">
        <f>IF(OR($B186="",$C186=""),"",$C186-$B186+1)</f>
        <v/>
      </c>
      <c r="AG186" s="32" t="n"/>
      <c r="AH186" s="36" t="n"/>
      <c r="AJ186">
        <f>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  <c r="AX186">
        <f>AW186&amp;IF($Y186="","",", "&amp;$Y186)</f>
        <v/>
      </c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0">
        <f>IF($F187="","",COUNTIF($F$5:$F187,$F187))</f>
        <v/>
      </c>
      <c r="H187" s="33">
        <f>IF($F187="","",IFERROR(INDEX(사건마스터!$B$5:$B$64,MATCH($F187,사건마스터!$A$5:$A$64,0)),""))</f>
        <v/>
      </c>
      <c r="I187" s="34">
        <f>IF($F187="","",IFERROR(INDEX(사건마스터!$C$5:$C$64,MATCH($F187,사건마스터!$A$5:$A$64,0)),""))</f>
        <v/>
      </c>
      <c r="J187" s="35">
        <f>IF($F187="","",IFERROR(INDEX(사건마스터!$H$5:$H$64,MATCH($F187,사건마스터!$A$5:$A$64,0)),""))</f>
        <v/>
      </c>
      <c r="K187" s="35">
        <f>IF($F187="","",IFERROR(INDEX(사건마스터!$AH$5:$AH$64,MATCH($F187,사건마스터!$A$5:$A$64,0)),""))</f>
        <v/>
      </c>
      <c r="L187" s="35">
        <f>IF($F187="","",IFERROR(INDEX(사건마스터!$AI$5:$AI$64,MATCH($F187,사건마스터!$A$5:$A$64,0)),""))</f>
        <v/>
      </c>
      <c r="M187" s="35">
        <f>IF($F187="","",IFERROR(INDEX(사건마스터!$AJ$5:$AJ$64,MATCH($F187,사건마스터!$A$5:$A$64,0)),""))</f>
        <v/>
      </c>
      <c r="N187" s="35">
        <f>IF($F187="","",IFERROR(INDEX(사건마스터!$AK$5:$AK$64,MATCH($F187,사건마스터!$A$5:$A$64,0)),""))</f>
        <v/>
      </c>
      <c r="O187" s="35">
        <f>IF($F187="","",IFERROR(INDEX(사건마스터!$AL$5:$AL$64,MATCH($F187,사건마스터!$A$5:$A$64,0)),""))</f>
        <v/>
      </c>
      <c r="P187" s="35">
        <f>IF($F187="","",IFERROR(INDEX(사건마스터!$AM$5:$AM$64,MATCH($F187,사건마스터!$A$5:$A$64,0)),""))</f>
        <v/>
      </c>
      <c r="Q187" s="35">
        <f>IF($F187="","",IFERROR(INDEX(사건마스터!$AN$5:$AN$64,MATCH($F187,사건마스터!$A$5:$A$64,0)),""))</f>
        <v/>
      </c>
      <c r="R187" s="35">
        <f>IF($F187="","",IFERROR(INDEX(사건마스터!$AO$5:$AO$64,MATCH($F187,사건마스터!$A$5:$A$64,0)),""))</f>
        <v/>
      </c>
      <c r="S187" s="35">
        <f>IF($F187="","",IFERROR(INDEX(사건마스터!$AP$5:$AP$64,MATCH($F187,사건마스터!$A$5:$A$64,0)),""))</f>
        <v/>
      </c>
      <c r="T187" s="35">
        <f>IF($F187="","",IFERROR(INDEX(사건마스터!$AQ$5:$AQ$64,MATCH($F187,사건마스터!$A$5:$A$64,0)),""))</f>
        <v/>
      </c>
      <c r="U187" s="35">
        <f>IF($F187="","",IFERROR(INDEX(사건마스터!$AR$5:$AR$64,MATCH($F187,사건마스터!$A$5:$A$64,0)),""))</f>
        <v/>
      </c>
      <c r="V187" s="35">
        <f>IF($F187="","",IFERROR(INDEX(사건마스터!$AS$5:$AS$64,MATCH($F187,사건마스터!$A$5:$A$64,0)),""))</f>
        <v/>
      </c>
      <c r="W187" s="35">
        <f>IF($F187="","",IFERROR(INDEX(사건마스터!$AT$5:$AT$64,MATCH($F187,사건마스터!$A$5:$A$64,0)),""))</f>
        <v/>
      </c>
      <c r="X187" s="35">
        <f>IF($F187="","",IFERROR(INDEX(사건마스터!$AU$5:$AU$64,MATCH($F187,사건마스터!$A$5:$A$64,0)),""))</f>
        <v/>
      </c>
      <c r="Y187" s="35">
        <f>IF($F187="","",IFERROR(INDEX(사건마스터!$AV$5:$AV$64,MATCH($F187,사건마스터!$A$5:$A$64,0)),""))</f>
        <v/>
      </c>
      <c r="Z187" s="30">
        <f>IF(COUNTBLANK($J187:$Y187)=16,"",16-COUNTBLANK($J187:$Y187))</f>
        <v/>
      </c>
      <c r="AA187" s="33">
        <f>IF($J187="",MID($AX187,3,255),$J187&amp;$AX187)</f>
        <v/>
      </c>
      <c r="AB187" s="34">
        <f>IF($J187="","",IFERROR(INDEX(코드설정!$D$5:$D$24,MATCH($J187,코드설정!$C$5:$C$24,0)),""))</f>
        <v/>
      </c>
      <c r="AC187" s="36" t="n"/>
      <c r="AD187" s="37" t="n"/>
      <c r="AE187" s="38" t="n"/>
      <c r="AF187" s="30">
        <f>IF(OR($B187="",$C187=""),"",$C187-$B187+1)</f>
        <v/>
      </c>
      <c r="AG187" s="32" t="n"/>
      <c r="AH187" s="36" t="n"/>
      <c r="AJ187">
        <f>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  <c r="AX187">
        <f>AW187&amp;IF($Y187="","",", "&amp;$Y187)</f>
        <v/>
      </c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0">
        <f>IF($F188="","",COUNTIF($F$5:$F188,$F188))</f>
        <v/>
      </c>
      <c r="H188" s="33">
        <f>IF($F188="","",IFERROR(INDEX(사건마스터!$B$5:$B$64,MATCH($F188,사건마스터!$A$5:$A$64,0)),""))</f>
        <v/>
      </c>
      <c r="I188" s="34">
        <f>IF($F188="","",IFERROR(INDEX(사건마스터!$C$5:$C$64,MATCH($F188,사건마스터!$A$5:$A$64,0)),""))</f>
        <v/>
      </c>
      <c r="J188" s="35">
        <f>IF($F188="","",IFERROR(INDEX(사건마스터!$H$5:$H$64,MATCH($F188,사건마스터!$A$5:$A$64,0)),""))</f>
        <v/>
      </c>
      <c r="K188" s="35">
        <f>IF($F188="","",IFERROR(INDEX(사건마스터!$AH$5:$AH$64,MATCH($F188,사건마스터!$A$5:$A$64,0)),""))</f>
        <v/>
      </c>
      <c r="L188" s="35">
        <f>IF($F188="","",IFERROR(INDEX(사건마스터!$AI$5:$AI$64,MATCH($F188,사건마스터!$A$5:$A$64,0)),""))</f>
        <v/>
      </c>
      <c r="M188" s="35">
        <f>IF($F188="","",IFERROR(INDEX(사건마스터!$AJ$5:$AJ$64,MATCH($F188,사건마스터!$A$5:$A$64,0)),""))</f>
        <v/>
      </c>
      <c r="N188" s="35">
        <f>IF($F188="","",IFERROR(INDEX(사건마스터!$AK$5:$AK$64,MATCH($F188,사건마스터!$A$5:$A$64,0)),""))</f>
        <v/>
      </c>
      <c r="O188" s="35">
        <f>IF($F188="","",IFERROR(INDEX(사건마스터!$AL$5:$AL$64,MATCH($F188,사건마스터!$A$5:$A$64,0)),""))</f>
        <v/>
      </c>
      <c r="P188" s="35">
        <f>IF($F188="","",IFERROR(INDEX(사건마스터!$AM$5:$AM$64,MATCH($F188,사건마스터!$A$5:$A$64,0)),""))</f>
        <v/>
      </c>
      <c r="Q188" s="35">
        <f>IF($F188="","",IFERROR(INDEX(사건마스터!$AN$5:$AN$64,MATCH($F188,사건마스터!$A$5:$A$64,0)),""))</f>
        <v/>
      </c>
      <c r="R188" s="35">
        <f>IF($F188="","",IFERROR(INDEX(사건마스터!$AO$5:$AO$64,MATCH($F188,사건마스터!$A$5:$A$64,0)),""))</f>
        <v/>
      </c>
      <c r="S188" s="35">
        <f>IF($F188="","",IFERROR(INDEX(사건마스터!$AP$5:$AP$64,MATCH($F188,사건마스터!$A$5:$A$64,0)),""))</f>
        <v/>
      </c>
      <c r="T188" s="35">
        <f>IF($F188="","",IFERROR(INDEX(사건마스터!$AQ$5:$AQ$64,MATCH($F188,사건마스터!$A$5:$A$64,0)),""))</f>
        <v/>
      </c>
      <c r="U188" s="35">
        <f>IF($F188="","",IFERROR(INDEX(사건마스터!$AR$5:$AR$64,MATCH($F188,사건마스터!$A$5:$A$64,0)),""))</f>
        <v/>
      </c>
      <c r="V188" s="35">
        <f>IF($F188="","",IFERROR(INDEX(사건마스터!$AS$5:$AS$64,MATCH($F188,사건마스터!$A$5:$A$64,0)),""))</f>
        <v/>
      </c>
      <c r="W188" s="35">
        <f>IF($F188="","",IFERROR(INDEX(사건마스터!$AT$5:$AT$64,MATCH($F188,사건마스터!$A$5:$A$64,0)),""))</f>
        <v/>
      </c>
      <c r="X188" s="35">
        <f>IF($F188="","",IFERROR(INDEX(사건마스터!$AU$5:$AU$64,MATCH($F188,사건마스터!$A$5:$A$64,0)),""))</f>
        <v/>
      </c>
      <c r="Y188" s="35">
        <f>IF($F188="","",IFERROR(INDEX(사건마스터!$AV$5:$AV$64,MATCH($F188,사건마스터!$A$5:$A$64,0)),""))</f>
        <v/>
      </c>
      <c r="Z188" s="30">
        <f>IF(COUNTBLANK($J188:$Y188)=16,"",16-COUNTBLANK($J188:$Y188))</f>
        <v/>
      </c>
      <c r="AA188" s="33">
        <f>IF($J188="",MID($AX188,3,255),$J188&amp;$AX188)</f>
        <v/>
      </c>
      <c r="AB188" s="34">
        <f>IF($J188="","",IFERROR(INDEX(코드설정!$D$5:$D$24,MATCH($J188,코드설정!$C$5:$C$24,0)),""))</f>
        <v/>
      </c>
      <c r="AC188" s="36" t="n"/>
      <c r="AD188" s="37" t="n"/>
      <c r="AE188" s="38" t="n"/>
      <c r="AF188" s="30">
        <f>IF(OR($B188="",$C188=""),"",$C188-$B188+1)</f>
        <v/>
      </c>
      <c r="AG188" s="32" t="n"/>
      <c r="AH188" s="36" t="n"/>
      <c r="AJ188">
        <f>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  <c r="AX188">
        <f>AW188&amp;IF($Y188="","",", "&amp;$Y188)</f>
        <v/>
      </c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0">
        <f>IF($F189="","",COUNTIF($F$5:$F189,$F189))</f>
        <v/>
      </c>
      <c r="H189" s="33">
        <f>IF($F189="","",IFERROR(INDEX(사건마스터!$B$5:$B$64,MATCH($F189,사건마스터!$A$5:$A$64,0)),""))</f>
        <v/>
      </c>
      <c r="I189" s="34">
        <f>IF($F189="","",IFERROR(INDEX(사건마스터!$C$5:$C$64,MATCH($F189,사건마스터!$A$5:$A$64,0)),""))</f>
        <v/>
      </c>
      <c r="J189" s="35">
        <f>IF($F189="","",IFERROR(INDEX(사건마스터!$H$5:$H$64,MATCH($F189,사건마스터!$A$5:$A$64,0)),""))</f>
        <v/>
      </c>
      <c r="K189" s="35">
        <f>IF($F189="","",IFERROR(INDEX(사건마스터!$AH$5:$AH$64,MATCH($F189,사건마스터!$A$5:$A$64,0)),""))</f>
        <v/>
      </c>
      <c r="L189" s="35">
        <f>IF($F189="","",IFERROR(INDEX(사건마스터!$AI$5:$AI$64,MATCH($F189,사건마스터!$A$5:$A$64,0)),""))</f>
        <v/>
      </c>
      <c r="M189" s="35">
        <f>IF($F189="","",IFERROR(INDEX(사건마스터!$AJ$5:$AJ$64,MATCH($F189,사건마스터!$A$5:$A$64,0)),""))</f>
        <v/>
      </c>
      <c r="N189" s="35">
        <f>IF($F189="","",IFERROR(INDEX(사건마스터!$AK$5:$AK$64,MATCH($F189,사건마스터!$A$5:$A$64,0)),""))</f>
        <v/>
      </c>
      <c r="O189" s="35">
        <f>IF($F189="","",IFERROR(INDEX(사건마스터!$AL$5:$AL$64,MATCH($F189,사건마스터!$A$5:$A$64,0)),""))</f>
        <v/>
      </c>
      <c r="P189" s="35">
        <f>IF($F189="","",IFERROR(INDEX(사건마스터!$AM$5:$AM$64,MATCH($F189,사건마스터!$A$5:$A$64,0)),""))</f>
        <v/>
      </c>
      <c r="Q189" s="35">
        <f>IF($F189="","",IFERROR(INDEX(사건마스터!$AN$5:$AN$64,MATCH($F189,사건마스터!$A$5:$A$64,0)),""))</f>
        <v/>
      </c>
      <c r="R189" s="35">
        <f>IF($F189="","",IFERROR(INDEX(사건마스터!$AO$5:$AO$64,MATCH($F189,사건마스터!$A$5:$A$64,0)),""))</f>
        <v/>
      </c>
      <c r="S189" s="35">
        <f>IF($F189="","",IFERROR(INDEX(사건마스터!$AP$5:$AP$64,MATCH($F189,사건마스터!$A$5:$A$64,0)),""))</f>
        <v/>
      </c>
      <c r="T189" s="35">
        <f>IF($F189="","",IFERROR(INDEX(사건마스터!$AQ$5:$AQ$64,MATCH($F189,사건마스터!$A$5:$A$64,0)),""))</f>
        <v/>
      </c>
      <c r="U189" s="35">
        <f>IF($F189="","",IFERROR(INDEX(사건마스터!$AR$5:$AR$64,MATCH($F189,사건마스터!$A$5:$A$64,0)),""))</f>
        <v/>
      </c>
      <c r="V189" s="35">
        <f>IF($F189="","",IFERROR(INDEX(사건마스터!$AS$5:$AS$64,MATCH($F189,사건마스터!$A$5:$A$64,0)),""))</f>
        <v/>
      </c>
      <c r="W189" s="35">
        <f>IF($F189="","",IFERROR(INDEX(사건마스터!$AT$5:$AT$64,MATCH($F189,사건마스터!$A$5:$A$64,0)),""))</f>
        <v/>
      </c>
      <c r="X189" s="35">
        <f>IF($F189="","",IFERROR(INDEX(사건마스터!$AU$5:$AU$64,MATCH($F189,사건마스터!$A$5:$A$64,0)),""))</f>
        <v/>
      </c>
      <c r="Y189" s="35">
        <f>IF($F189="","",IFERROR(INDEX(사건마스터!$AV$5:$AV$64,MATCH($F189,사건마스터!$A$5:$A$64,0)),""))</f>
        <v/>
      </c>
      <c r="Z189" s="30">
        <f>IF(COUNTBLANK($J189:$Y189)=16,"",16-COUNTBLANK($J189:$Y189))</f>
        <v/>
      </c>
      <c r="AA189" s="33">
        <f>IF($J189="",MID($AX189,3,255),$J189&amp;$AX189)</f>
        <v/>
      </c>
      <c r="AB189" s="34">
        <f>IF($J189="","",IFERROR(INDEX(코드설정!$D$5:$D$24,MATCH($J189,코드설정!$C$5:$C$24,0)),""))</f>
        <v/>
      </c>
      <c r="AC189" s="36" t="n"/>
      <c r="AD189" s="37" t="n"/>
      <c r="AE189" s="38" t="n"/>
      <c r="AF189" s="30">
        <f>IF(OR($B189="",$C189=""),"",$C189-$B189+1)</f>
        <v/>
      </c>
      <c r="AG189" s="32" t="n"/>
      <c r="AH189" s="36" t="n"/>
      <c r="AJ189">
        <f>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  <c r="AX189">
        <f>AW189&amp;IF($Y189="","",", "&amp;$Y189)</f>
        <v/>
      </c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0">
        <f>IF($F190="","",COUNTIF($F$5:$F190,$F190))</f>
        <v/>
      </c>
      <c r="H190" s="33">
        <f>IF($F190="","",IFERROR(INDEX(사건마스터!$B$5:$B$64,MATCH($F190,사건마스터!$A$5:$A$64,0)),""))</f>
        <v/>
      </c>
      <c r="I190" s="34">
        <f>IF($F190="","",IFERROR(INDEX(사건마스터!$C$5:$C$64,MATCH($F190,사건마스터!$A$5:$A$64,0)),""))</f>
        <v/>
      </c>
      <c r="J190" s="35">
        <f>IF($F190="","",IFERROR(INDEX(사건마스터!$H$5:$H$64,MATCH($F190,사건마스터!$A$5:$A$64,0)),""))</f>
        <v/>
      </c>
      <c r="K190" s="35">
        <f>IF($F190="","",IFERROR(INDEX(사건마스터!$AH$5:$AH$64,MATCH($F190,사건마스터!$A$5:$A$64,0)),""))</f>
        <v/>
      </c>
      <c r="L190" s="35">
        <f>IF($F190="","",IFERROR(INDEX(사건마스터!$AI$5:$AI$64,MATCH($F190,사건마스터!$A$5:$A$64,0)),""))</f>
        <v/>
      </c>
      <c r="M190" s="35">
        <f>IF($F190="","",IFERROR(INDEX(사건마스터!$AJ$5:$AJ$64,MATCH($F190,사건마스터!$A$5:$A$64,0)),""))</f>
        <v/>
      </c>
      <c r="N190" s="35">
        <f>IF($F190="","",IFERROR(INDEX(사건마스터!$AK$5:$AK$64,MATCH($F190,사건마스터!$A$5:$A$64,0)),""))</f>
        <v/>
      </c>
      <c r="O190" s="35">
        <f>IF($F190="","",IFERROR(INDEX(사건마스터!$AL$5:$AL$64,MATCH($F190,사건마스터!$A$5:$A$64,0)),""))</f>
        <v/>
      </c>
      <c r="P190" s="35">
        <f>IF($F190="","",IFERROR(INDEX(사건마스터!$AM$5:$AM$64,MATCH($F190,사건마스터!$A$5:$A$64,0)),""))</f>
        <v/>
      </c>
      <c r="Q190" s="35">
        <f>IF($F190="","",IFERROR(INDEX(사건마스터!$AN$5:$AN$64,MATCH($F190,사건마스터!$A$5:$A$64,0)),""))</f>
        <v/>
      </c>
      <c r="R190" s="35">
        <f>IF($F190="","",IFERROR(INDEX(사건마스터!$AO$5:$AO$64,MATCH($F190,사건마스터!$A$5:$A$64,0)),""))</f>
        <v/>
      </c>
      <c r="S190" s="35">
        <f>IF($F190="","",IFERROR(INDEX(사건마스터!$AP$5:$AP$64,MATCH($F190,사건마스터!$A$5:$A$64,0)),""))</f>
        <v/>
      </c>
      <c r="T190" s="35">
        <f>IF($F190="","",IFERROR(INDEX(사건마스터!$AQ$5:$AQ$64,MATCH($F190,사건마스터!$A$5:$A$64,0)),""))</f>
        <v/>
      </c>
      <c r="U190" s="35">
        <f>IF($F190="","",IFERROR(INDEX(사건마스터!$AR$5:$AR$64,MATCH($F190,사건마스터!$A$5:$A$64,0)),""))</f>
        <v/>
      </c>
      <c r="V190" s="35">
        <f>IF($F190="","",IFERROR(INDEX(사건마스터!$AS$5:$AS$64,MATCH($F190,사건마스터!$A$5:$A$64,0)),""))</f>
        <v/>
      </c>
      <c r="W190" s="35">
        <f>IF($F190="","",IFERROR(INDEX(사건마스터!$AT$5:$AT$64,MATCH($F190,사건마스터!$A$5:$A$64,0)),""))</f>
        <v/>
      </c>
      <c r="X190" s="35">
        <f>IF($F190="","",IFERROR(INDEX(사건마스터!$AU$5:$AU$64,MATCH($F190,사건마스터!$A$5:$A$64,0)),""))</f>
        <v/>
      </c>
      <c r="Y190" s="35">
        <f>IF($F190="","",IFERROR(INDEX(사건마스터!$AV$5:$AV$64,MATCH($F190,사건마스터!$A$5:$A$64,0)),""))</f>
        <v/>
      </c>
      <c r="Z190" s="30">
        <f>IF(COUNTBLANK($J190:$Y190)=16,"",16-COUNTBLANK($J190:$Y190))</f>
        <v/>
      </c>
      <c r="AA190" s="33">
        <f>IF($J190="",MID($AX190,3,255),$J190&amp;$AX190)</f>
        <v/>
      </c>
      <c r="AB190" s="34">
        <f>IF($J190="","",IFERROR(INDEX(코드설정!$D$5:$D$24,MATCH($J190,코드설정!$C$5:$C$24,0)),""))</f>
        <v/>
      </c>
      <c r="AC190" s="36" t="n"/>
      <c r="AD190" s="37" t="n"/>
      <c r="AE190" s="38" t="n"/>
      <c r="AF190" s="30">
        <f>IF(OR($B190="",$C190=""),"",$C190-$B190+1)</f>
        <v/>
      </c>
      <c r="AG190" s="32" t="n"/>
      <c r="AH190" s="36" t="n"/>
      <c r="AJ190">
        <f>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  <c r="AX190">
        <f>AW190&amp;IF($Y190="","",", "&amp;$Y190)</f>
        <v/>
      </c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0">
        <f>IF($F191="","",COUNTIF($F$5:$F191,$F191))</f>
        <v/>
      </c>
      <c r="H191" s="33">
        <f>IF($F191="","",IFERROR(INDEX(사건마스터!$B$5:$B$64,MATCH($F191,사건마스터!$A$5:$A$64,0)),""))</f>
        <v/>
      </c>
      <c r="I191" s="34">
        <f>IF($F191="","",IFERROR(INDEX(사건마스터!$C$5:$C$64,MATCH($F191,사건마스터!$A$5:$A$64,0)),""))</f>
        <v/>
      </c>
      <c r="J191" s="35">
        <f>IF($F191="","",IFERROR(INDEX(사건마스터!$H$5:$H$64,MATCH($F191,사건마스터!$A$5:$A$64,0)),""))</f>
        <v/>
      </c>
      <c r="K191" s="35">
        <f>IF($F191="","",IFERROR(INDEX(사건마스터!$AH$5:$AH$64,MATCH($F191,사건마스터!$A$5:$A$64,0)),""))</f>
        <v/>
      </c>
      <c r="L191" s="35">
        <f>IF($F191="","",IFERROR(INDEX(사건마스터!$AI$5:$AI$64,MATCH($F191,사건마스터!$A$5:$A$64,0)),""))</f>
        <v/>
      </c>
      <c r="M191" s="35">
        <f>IF($F191="","",IFERROR(INDEX(사건마스터!$AJ$5:$AJ$64,MATCH($F191,사건마스터!$A$5:$A$64,0)),""))</f>
        <v/>
      </c>
      <c r="N191" s="35">
        <f>IF($F191="","",IFERROR(INDEX(사건마스터!$AK$5:$AK$64,MATCH($F191,사건마스터!$A$5:$A$64,0)),""))</f>
        <v/>
      </c>
      <c r="O191" s="35">
        <f>IF($F191="","",IFERROR(INDEX(사건마스터!$AL$5:$AL$64,MATCH($F191,사건마스터!$A$5:$A$64,0)),""))</f>
        <v/>
      </c>
      <c r="P191" s="35">
        <f>IF($F191="","",IFERROR(INDEX(사건마스터!$AM$5:$AM$64,MATCH($F191,사건마스터!$A$5:$A$64,0)),""))</f>
        <v/>
      </c>
      <c r="Q191" s="35">
        <f>IF($F191="","",IFERROR(INDEX(사건마스터!$AN$5:$AN$64,MATCH($F191,사건마스터!$A$5:$A$64,0)),""))</f>
        <v/>
      </c>
      <c r="R191" s="35">
        <f>IF($F191="","",IFERROR(INDEX(사건마스터!$AO$5:$AO$64,MATCH($F191,사건마스터!$A$5:$A$64,0)),""))</f>
        <v/>
      </c>
      <c r="S191" s="35">
        <f>IF($F191="","",IFERROR(INDEX(사건마스터!$AP$5:$AP$64,MATCH($F191,사건마스터!$A$5:$A$64,0)),""))</f>
        <v/>
      </c>
      <c r="T191" s="35">
        <f>IF($F191="","",IFERROR(INDEX(사건마스터!$AQ$5:$AQ$64,MATCH($F191,사건마스터!$A$5:$A$64,0)),""))</f>
        <v/>
      </c>
      <c r="U191" s="35">
        <f>IF($F191="","",IFERROR(INDEX(사건마스터!$AR$5:$AR$64,MATCH($F191,사건마스터!$A$5:$A$64,0)),""))</f>
        <v/>
      </c>
      <c r="V191" s="35">
        <f>IF($F191="","",IFERROR(INDEX(사건마스터!$AS$5:$AS$64,MATCH($F191,사건마스터!$A$5:$A$64,0)),""))</f>
        <v/>
      </c>
      <c r="W191" s="35">
        <f>IF($F191="","",IFERROR(INDEX(사건마스터!$AT$5:$AT$64,MATCH($F191,사건마스터!$A$5:$A$64,0)),""))</f>
        <v/>
      </c>
      <c r="X191" s="35">
        <f>IF($F191="","",IFERROR(INDEX(사건마스터!$AU$5:$AU$64,MATCH($F191,사건마스터!$A$5:$A$64,0)),""))</f>
        <v/>
      </c>
      <c r="Y191" s="35">
        <f>IF($F191="","",IFERROR(INDEX(사건마스터!$AV$5:$AV$64,MATCH($F191,사건마스터!$A$5:$A$64,0)),""))</f>
        <v/>
      </c>
      <c r="Z191" s="30">
        <f>IF(COUNTBLANK($J191:$Y191)=16,"",16-COUNTBLANK($J191:$Y191))</f>
        <v/>
      </c>
      <c r="AA191" s="33">
        <f>IF($J191="",MID($AX191,3,255),$J191&amp;$AX191)</f>
        <v/>
      </c>
      <c r="AB191" s="34">
        <f>IF($J191="","",IFERROR(INDEX(코드설정!$D$5:$D$24,MATCH($J191,코드설정!$C$5:$C$24,0)),""))</f>
        <v/>
      </c>
      <c r="AC191" s="36" t="n"/>
      <c r="AD191" s="37" t="n"/>
      <c r="AE191" s="38" t="n"/>
      <c r="AF191" s="30">
        <f>IF(OR($B191="",$C191=""),"",$C191-$B191+1)</f>
        <v/>
      </c>
      <c r="AG191" s="32" t="n"/>
      <c r="AH191" s="36" t="n"/>
      <c r="AJ191">
        <f>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  <c r="AX191">
        <f>AW191&amp;IF($Y191="","",", "&amp;$Y191)</f>
        <v/>
      </c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0">
        <f>IF($F192="","",COUNTIF($F$5:$F192,$F192))</f>
        <v/>
      </c>
      <c r="H192" s="33">
        <f>IF($F192="","",IFERROR(INDEX(사건마스터!$B$5:$B$64,MATCH($F192,사건마스터!$A$5:$A$64,0)),""))</f>
        <v/>
      </c>
      <c r="I192" s="34">
        <f>IF($F192="","",IFERROR(INDEX(사건마스터!$C$5:$C$64,MATCH($F192,사건마스터!$A$5:$A$64,0)),""))</f>
        <v/>
      </c>
      <c r="J192" s="35">
        <f>IF($F192="","",IFERROR(INDEX(사건마스터!$H$5:$H$64,MATCH($F192,사건마스터!$A$5:$A$64,0)),""))</f>
        <v/>
      </c>
      <c r="K192" s="35">
        <f>IF($F192="","",IFERROR(INDEX(사건마스터!$AH$5:$AH$64,MATCH($F192,사건마스터!$A$5:$A$64,0)),""))</f>
        <v/>
      </c>
      <c r="L192" s="35">
        <f>IF($F192="","",IFERROR(INDEX(사건마스터!$AI$5:$AI$64,MATCH($F192,사건마스터!$A$5:$A$64,0)),""))</f>
        <v/>
      </c>
      <c r="M192" s="35">
        <f>IF($F192="","",IFERROR(INDEX(사건마스터!$AJ$5:$AJ$64,MATCH($F192,사건마스터!$A$5:$A$64,0)),""))</f>
        <v/>
      </c>
      <c r="N192" s="35">
        <f>IF($F192="","",IFERROR(INDEX(사건마스터!$AK$5:$AK$64,MATCH($F192,사건마스터!$A$5:$A$64,0)),""))</f>
        <v/>
      </c>
      <c r="O192" s="35">
        <f>IF($F192="","",IFERROR(INDEX(사건마스터!$AL$5:$AL$64,MATCH($F192,사건마스터!$A$5:$A$64,0)),""))</f>
        <v/>
      </c>
      <c r="P192" s="35">
        <f>IF($F192="","",IFERROR(INDEX(사건마스터!$AM$5:$AM$64,MATCH($F192,사건마스터!$A$5:$A$64,0)),""))</f>
        <v/>
      </c>
      <c r="Q192" s="35">
        <f>IF($F192="","",IFERROR(INDEX(사건마스터!$AN$5:$AN$64,MATCH($F192,사건마스터!$A$5:$A$64,0)),""))</f>
        <v/>
      </c>
      <c r="R192" s="35">
        <f>IF($F192="","",IFERROR(INDEX(사건마스터!$AO$5:$AO$64,MATCH($F192,사건마스터!$A$5:$A$64,0)),""))</f>
        <v/>
      </c>
      <c r="S192" s="35">
        <f>IF($F192="","",IFERROR(INDEX(사건마스터!$AP$5:$AP$64,MATCH($F192,사건마스터!$A$5:$A$64,0)),""))</f>
        <v/>
      </c>
      <c r="T192" s="35">
        <f>IF($F192="","",IFERROR(INDEX(사건마스터!$AQ$5:$AQ$64,MATCH($F192,사건마스터!$A$5:$A$64,0)),""))</f>
        <v/>
      </c>
      <c r="U192" s="35">
        <f>IF($F192="","",IFERROR(INDEX(사건마스터!$AR$5:$AR$64,MATCH($F192,사건마스터!$A$5:$A$64,0)),""))</f>
        <v/>
      </c>
      <c r="V192" s="35">
        <f>IF($F192="","",IFERROR(INDEX(사건마스터!$AS$5:$AS$64,MATCH($F192,사건마스터!$A$5:$A$64,0)),""))</f>
        <v/>
      </c>
      <c r="W192" s="35">
        <f>IF($F192="","",IFERROR(INDEX(사건마스터!$AT$5:$AT$64,MATCH($F192,사건마스터!$A$5:$A$64,0)),""))</f>
        <v/>
      </c>
      <c r="X192" s="35">
        <f>IF($F192="","",IFERROR(INDEX(사건마스터!$AU$5:$AU$64,MATCH($F192,사건마스터!$A$5:$A$64,0)),""))</f>
        <v/>
      </c>
      <c r="Y192" s="35">
        <f>IF($F192="","",IFERROR(INDEX(사건마스터!$AV$5:$AV$64,MATCH($F192,사건마스터!$A$5:$A$64,0)),""))</f>
        <v/>
      </c>
      <c r="Z192" s="30">
        <f>IF(COUNTBLANK($J192:$Y192)=16,"",16-COUNTBLANK($J192:$Y192))</f>
        <v/>
      </c>
      <c r="AA192" s="33">
        <f>IF($J192="",MID($AX192,3,255),$J192&amp;$AX192)</f>
        <v/>
      </c>
      <c r="AB192" s="34">
        <f>IF($J192="","",IFERROR(INDEX(코드설정!$D$5:$D$24,MATCH($J192,코드설정!$C$5:$C$24,0)),""))</f>
        <v/>
      </c>
      <c r="AC192" s="36" t="n"/>
      <c r="AD192" s="37" t="n"/>
      <c r="AE192" s="38" t="n"/>
      <c r="AF192" s="30">
        <f>IF(OR($B192="",$C192=""),"",$C192-$B192+1)</f>
        <v/>
      </c>
      <c r="AG192" s="32" t="n"/>
      <c r="AH192" s="36" t="n"/>
      <c r="AJ192">
        <f>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  <c r="AX192">
        <f>AW192&amp;IF($Y192="","",", "&amp;$Y192)</f>
        <v/>
      </c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0">
        <f>IF($F193="","",COUNTIF($F$5:$F193,$F193))</f>
        <v/>
      </c>
      <c r="H193" s="33">
        <f>IF($F193="","",IFERROR(INDEX(사건마스터!$B$5:$B$64,MATCH($F193,사건마스터!$A$5:$A$64,0)),""))</f>
        <v/>
      </c>
      <c r="I193" s="34">
        <f>IF($F193="","",IFERROR(INDEX(사건마스터!$C$5:$C$64,MATCH($F193,사건마스터!$A$5:$A$64,0)),""))</f>
        <v/>
      </c>
      <c r="J193" s="35">
        <f>IF($F193="","",IFERROR(INDEX(사건마스터!$H$5:$H$64,MATCH($F193,사건마스터!$A$5:$A$64,0)),""))</f>
        <v/>
      </c>
      <c r="K193" s="35">
        <f>IF($F193="","",IFERROR(INDEX(사건마스터!$AH$5:$AH$64,MATCH($F193,사건마스터!$A$5:$A$64,0)),""))</f>
        <v/>
      </c>
      <c r="L193" s="35">
        <f>IF($F193="","",IFERROR(INDEX(사건마스터!$AI$5:$AI$64,MATCH($F193,사건마스터!$A$5:$A$64,0)),""))</f>
        <v/>
      </c>
      <c r="M193" s="35">
        <f>IF($F193="","",IFERROR(INDEX(사건마스터!$AJ$5:$AJ$64,MATCH($F193,사건마스터!$A$5:$A$64,0)),""))</f>
        <v/>
      </c>
      <c r="N193" s="35">
        <f>IF($F193="","",IFERROR(INDEX(사건마스터!$AK$5:$AK$64,MATCH($F193,사건마스터!$A$5:$A$64,0)),""))</f>
        <v/>
      </c>
      <c r="O193" s="35">
        <f>IF($F193="","",IFERROR(INDEX(사건마스터!$AL$5:$AL$64,MATCH($F193,사건마스터!$A$5:$A$64,0)),""))</f>
        <v/>
      </c>
      <c r="P193" s="35">
        <f>IF($F193="","",IFERROR(INDEX(사건마스터!$AM$5:$AM$64,MATCH($F193,사건마스터!$A$5:$A$64,0)),""))</f>
        <v/>
      </c>
      <c r="Q193" s="35">
        <f>IF($F193="","",IFERROR(INDEX(사건마스터!$AN$5:$AN$64,MATCH($F193,사건마스터!$A$5:$A$64,0)),""))</f>
        <v/>
      </c>
      <c r="R193" s="35">
        <f>IF($F193="","",IFERROR(INDEX(사건마스터!$AO$5:$AO$64,MATCH($F193,사건마스터!$A$5:$A$64,0)),""))</f>
        <v/>
      </c>
      <c r="S193" s="35">
        <f>IF($F193="","",IFERROR(INDEX(사건마스터!$AP$5:$AP$64,MATCH($F193,사건마스터!$A$5:$A$64,0)),""))</f>
        <v/>
      </c>
      <c r="T193" s="35">
        <f>IF($F193="","",IFERROR(INDEX(사건마스터!$AQ$5:$AQ$64,MATCH($F193,사건마스터!$A$5:$A$64,0)),""))</f>
        <v/>
      </c>
      <c r="U193" s="35">
        <f>IF($F193="","",IFERROR(INDEX(사건마스터!$AR$5:$AR$64,MATCH($F193,사건마스터!$A$5:$A$64,0)),""))</f>
        <v/>
      </c>
      <c r="V193" s="35">
        <f>IF($F193="","",IFERROR(INDEX(사건마스터!$AS$5:$AS$64,MATCH($F193,사건마스터!$A$5:$A$64,0)),""))</f>
        <v/>
      </c>
      <c r="W193" s="35">
        <f>IF($F193="","",IFERROR(INDEX(사건마스터!$AT$5:$AT$64,MATCH($F193,사건마스터!$A$5:$A$64,0)),""))</f>
        <v/>
      </c>
      <c r="X193" s="35">
        <f>IF($F193="","",IFERROR(INDEX(사건마스터!$AU$5:$AU$64,MATCH($F193,사건마스터!$A$5:$A$64,0)),""))</f>
        <v/>
      </c>
      <c r="Y193" s="35">
        <f>IF($F193="","",IFERROR(INDEX(사건마스터!$AV$5:$AV$64,MATCH($F193,사건마스터!$A$5:$A$64,0)),""))</f>
        <v/>
      </c>
      <c r="Z193" s="30">
        <f>IF(COUNTBLANK($J193:$Y193)=16,"",16-COUNTBLANK($J193:$Y193))</f>
        <v/>
      </c>
      <c r="AA193" s="33">
        <f>IF($J193="",MID($AX193,3,255),$J193&amp;$AX193)</f>
        <v/>
      </c>
      <c r="AB193" s="34">
        <f>IF($J193="","",IFERROR(INDEX(코드설정!$D$5:$D$24,MATCH($J193,코드설정!$C$5:$C$24,0)),""))</f>
        <v/>
      </c>
      <c r="AC193" s="36" t="n"/>
      <c r="AD193" s="37" t="n"/>
      <c r="AE193" s="38" t="n"/>
      <c r="AF193" s="30">
        <f>IF(OR($B193="",$C193=""),"",$C193-$B193+1)</f>
        <v/>
      </c>
      <c r="AG193" s="32" t="n"/>
      <c r="AH193" s="36" t="n"/>
      <c r="AJ193">
        <f>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  <c r="AX193">
        <f>AW193&amp;IF($Y193="","",", "&amp;$Y193)</f>
        <v/>
      </c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0">
        <f>IF($F194="","",COUNTIF($F$5:$F194,$F194))</f>
        <v/>
      </c>
      <c r="H194" s="33">
        <f>IF($F194="","",IFERROR(INDEX(사건마스터!$B$5:$B$64,MATCH($F194,사건마스터!$A$5:$A$64,0)),""))</f>
        <v/>
      </c>
      <c r="I194" s="34">
        <f>IF($F194="","",IFERROR(INDEX(사건마스터!$C$5:$C$64,MATCH($F194,사건마스터!$A$5:$A$64,0)),""))</f>
        <v/>
      </c>
      <c r="J194" s="35">
        <f>IF($F194="","",IFERROR(INDEX(사건마스터!$H$5:$H$64,MATCH($F194,사건마스터!$A$5:$A$64,0)),""))</f>
        <v/>
      </c>
      <c r="K194" s="35">
        <f>IF($F194="","",IFERROR(INDEX(사건마스터!$AH$5:$AH$64,MATCH($F194,사건마스터!$A$5:$A$64,0)),""))</f>
        <v/>
      </c>
      <c r="L194" s="35">
        <f>IF($F194="","",IFERROR(INDEX(사건마스터!$AI$5:$AI$64,MATCH($F194,사건마스터!$A$5:$A$64,0)),""))</f>
        <v/>
      </c>
      <c r="M194" s="35">
        <f>IF($F194="","",IFERROR(INDEX(사건마스터!$AJ$5:$AJ$64,MATCH($F194,사건마스터!$A$5:$A$64,0)),""))</f>
        <v/>
      </c>
      <c r="N194" s="35">
        <f>IF($F194="","",IFERROR(INDEX(사건마스터!$AK$5:$AK$64,MATCH($F194,사건마스터!$A$5:$A$64,0)),""))</f>
        <v/>
      </c>
      <c r="O194" s="35">
        <f>IF($F194="","",IFERROR(INDEX(사건마스터!$AL$5:$AL$64,MATCH($F194,사건마스터!$A$5:$A$64,0)),""))</f>
        <v/>
      </c>
      <c r="P194" s="35">
        <f>IF($F194="","",IFERROR(INDEX(사건마스터!$AM$5:$AM$64,MATCH($F194,사건마스터!$A$5:$A$64,0)),""))</f>
        <v/>
      </c>
      <c r="Q194" s="35">
        <f>IF($F194="","",IFERROR(INDEX(사건마스터!$AN$5:$AN$64,MATCH($F194,사건마스터!$A$5:$A$64,0)),""))</f>
        <v/>
      </c>
      <c r="R194" s="35">
        <f>IF($F194="","",IFERROR(INDEX(사건마스터!$AO$5:$AO$64,MATCH($F194,사건마스터!$A$5:$A$64,0)),""))</f>
        <v/>
      </c>
      <c r="S194" s="35">
        <f>IF($F194="","",IFERROR(INDEX(사건마스터!$AP$5:$AP$64,MATCH($F194,사건마스터!$A$5:$A$64,0)),""))</f>
        <v/>
      </c>
      <c r="T194" s="35">
        <f>IF($F194="","",IFERROR(INDEX(사건마스터!$AQ$5:$AQ$64,MATCH($F194,사건마스터!$A$5:$A$64,0)),""))</f>
        <v/>
      </c>
      <c r="U194" s="35">
        <f>IF($F194="","",IFERROR(INDEX(사건마스터!$AR$5:$AR$64,MATCH($F194,사건마스터!$A$5:$A$64,0)),""))</f>
        <v/>
      </c>
      <c r="V194" s="35">
        <f>IF($F194="","",IFERROR(INDEX(사건마스터!$AS$5:$AS$64,MATCH($F194,사건마스터!$A$5:$A$64,0)),""))</f>
        <v/>
      </c>
      <c r="W194" s="35">
        <f>IF($F194="","",IFERROR(INDEX(사건마스터!$AT$5:$AT$64,MATCH($F194,사건마스터!$A$5:$A$64,0)),""))</f>
        <v/>
      </c>
      <c r="X194" s="35">
        <f>IF($F194="","",IFERROR(INDEX(사건마스터!$AU$5:$AU$64,MATCH($F194,사건마스터!$A$5:$A$64,0)),""))</f>
        <v/>
      </c>
      <c r="Y194" s="35">
        <f>IF($F194="","",IFERROR(INDEX(사건마스터!$AV$5:$AV$64,MATCH($F194,사건마스터!$A$5:$A$64,0)),""))</f>
        <v/>
      </c>
      <c r="Z194" s="30">
        <f>IF(COUNTBLANK($J194:$Y194)=16,"",16-COUNTBLANK($J194:$Y194))</f>
        <v/>
      </c>
      <c r="AA194" s="33">
        <f>IF($J194="",MID($AX194,3,255),$J194&amp;$AX194)</f>
        <v/>
      </c>
      <c r="AB194" s="34">
        <f>IF($J194="","",IFERROR(INDEX(코드설정!$D$5:$D$24,MATCH($J194,코드설정!$C$5:$C$24,0)),""))</f>
        <v/>
      </c>
      <c r="AC194" s="36" t="n"/>
      <c r="AD194" s="37" t="n"/>
      <c r="AE194" s="38" t="n"/>
      <c r="AF194" s="30">
        <f>IF(OR($B194="",$C194=""),"",$C194-$B194+1)</f>
        <v/>
      </c>
      <c r="AG194" s="32" t="n"/>
      <c r="AH194" s="36" t="n"/>
      <c r="AJ194">
        <f>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  <c r="AX194">
        <f>AW194&amp;IF($Y194="","",", "&amp;$Y194)</f>
        <v/>
      </c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0">
        <f>IF($F195="","",COUNTIF($F$5:$F195,$F195))</f>
        <v/>
      </c>
      <c r="H195" s="33">
        <f>IF($F195="","",IFERROR(INDEX(사건마스터!$B$5:$B$64,MATCH($F195,사건마스터!$A$5:$A$64,0)),""))</f>
        <v/>
      </c>
      <c r="I195" s="34">
        <f>IF($F195="","",IFERROR(INDEX(사건마스터!$C$5:$C$64,MATCH($F195,사건마스터!$A$5:$A$64,0)),""))</f>
        <v/>
      </c>
      <c r="J195" s="35">
        <f>IF($F195="","",IFERROR(INDEX(사건마스터!$H$5:$H$64,MATCH($F195,사건마스터!$A$5:$A$64,0)),""))</f>
        <v/>
      </c>
      <c r="K195" s="35">
        <f>IF($F195="","",IFERROR(INDEX(사건마스터!$AH$5:$AH$64,MATCH($F195,사건마스터!$A$5:$A$64,0)),""))</f>
        <v/>
      </c>
      <c r="L195" s="35">
        <f>IF($F195="","",IFERROR(INDEX(사건마스터!$AI$5:$AI$64,MATCH($F195,사건마스터!$A$5:$A$64,0)),""))</f>
        <v/>
      </c>
      <c r="M195" s="35">
        <f>IF($F195="","",IFERROR(INDEX(사건마스터!$AJ$5:$AJ$64,MATCH($F195,사건마스터!$A$5:$A$64,0)),""))</f>
        <v/>
      </c>
      <c r="N195" s="35">
        <f>IF($F195="","",IFERROR(INDEX(사건마스터!$AK$5:$AK$64,MATCH($F195,사건마스터!$A$5:$A$64,0)),""))</f>
        <v/>
      </c>
      <c r="O195" s="35">
        <f>IF($F195="","",IFERROR(INDEX(사건마스터!$AL$5:$AL$64,MATCH($F195,사건마스터!$A$5:$A$64,0)),""))</f>
        <v/>
      </c>
      <c r="P195" s="35">
        <f>IF($F195="","",IFERROR(INDEX(사건마스터!$AM$5:$AM$64,MATCH($F195,사건마스터!$A$5:$A$64,0)),""))</f>
        <v/>
      </c>
      <c r="Q195" s="35">
        <f>IF($F195="","",IFERROR(INDEX(사건마스터!$AN$5:$AN$64,MATCH($F195,사건마스터!$A$5:$A$64,0)),""))</f>
        <v/>
      </c>
      <c r="R195" s="35">
        <f>IF($F195="","",IFERROR(INDEX(사건마스터!$AO$5:$AO$64,MATCH($F195,사건마스터!$A$5:$A$64,0)),""))</f>
        <v/>
      </c>
      <c r="S195" s="35">
        <f>IF($F195="","",IFERROR(INDEX(사건마스터!$AP$5:$AP$64,MATCH($F195,사건마스터!$A$5:$A$64,0)),""))</f>
        <v/>
      </c>
      <c r="T195" s="35">
        <f>IF($F195="","",IFERROR(INDEX(사건마스터!$AQ$5:$AQ$64,MATCH($F195,사건마스터!$A$5:$A$64,0)),""))</f>
        <v/>
      </c>
      <c r="U195" s="35">
        <f>IF($F195="","",IFERROR(INDEX(사건마스터!$AR$5:$AR$64,MATCH($F195,사건마스터!$A$5:$A$64,0)),""))</f>
        <v/>
      </c>
      <c r="V195" s="35">
        <f>IF($F195="","",IFERROR(INDEX(사건마스터!$AS$5:$AS$64,MATCH($F195,사건마스터!$A$5:$A$64,0)),""))</f>
        <v/>
      </c>
      <c r="W195" s="35">
        <f>IF($F195="","",IFERROR(INDEX(사건마스터!$AT$5:$AT$64,MATCH($F195,사건마스터!$A$5:$A$64,0)),""))</f>
        <v/>
      </c>
      <c r="X195" s="35">
        <f>IF($F195="","",IFERROR(INDEX(사건마스터!$AU$5:$AU$64,MATCH($F195,사건마스터!$A$5:$A$64,0)),""))</f>
        <v/>
      </c>
      <c r="Y195" s="35">
        <f>IF($F195="","",IFERROR(INDEX(사건마스터!$AV$5:$AV$64,MATCH($F195,사건마스터!$A$5:$A$64,0)),""))</f>
        <v/>
      </c>
      <c r="Z195" s="30">
        <f>IF(COUNTBLANK($J195:$Y195)=16,"",16-COUNTBLANK($J195:$Y195))</f>
        <v/>
      </c>
      <c r="AA195" s="33">
        <f>IF($J195="",MID($AX195,3,255),$J195&amp;$AX195)</f>
        <v/>
      </c>
      <c r="AB195" s="34">
        <f>IF($J195="","",IFERROR(INDEX(코드설정!$D$5:$D$24,MATCH($J195,코드설정!$C$5:$C$24,0)),""))</f>
        <v/>
      </c>
      <c r="AC195" s="36" t="n"/>
      <c r="AD195" s="37" t="n"/>
      <c r="AE195" s="38" t="n"/>
      <c r="AF195" s="30">
        <f>IF(OR($B195="",$C195=""),"",$C195-$B195+1)</f>
        <v/>
      </c>
      <c r="AG195" s="32" t="n"/>
      <c r="AH195" s="36" t="n"/>
      <c r="AJ195">
        <f>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  <c r="AX195">
        <f>AW195&amp;IF($Y195="","",", "&amp;$Y195)</f>
        <v/>
      </c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0">
        <f>IF($F196="","",COUNTIF($F$5:$F196,$F196))</f>
        <v/>
      </c>
      <c r="H196" s="33">
        <f>IF($F196="","",IFERROR(INDEX(사건마스터!$B$5:$B$64,MATCH($F196,사건마스터!$A$5:$A$64,0)),""))</f>
        <v/>
      </c>
      <c r="I196" s="34">
        <f>IF($F196="","",IFERROR(INDEX(사건마스터!$C$5:$C$64,MATCH($F196,사건마스터!$A$5:$A$64,0)),""))</f>
        <v/>
      </c>
      <c r="J196" s="35">
        <f>IF($F196="","",IFERROR(INDEX(사건마스터!$H$5:$H$64,MATCH($F196,사건마스터!$A$5:$A$64,0)),""))</f>
        <v/>
      </c>
      <c r="K196" s="35">
        <f>IF($F196="","",IFERROR(INDEX(사건마스터!$AH$5:$AH$64,MATCH($F196,사건마스터!$A$5:$A$64,0)),""))</f>
        <v/>
      </c>
      <c r="L196" s="35">
        <f>IF($F196="","",IFERROR(INDEX(사건마스터!$AI$5:$AI$64,MATCH($F196,사건마스터!$A$5:$A$64,0)),""))</f>
        <v/>
      </c>
      <c r="M196" s="35">
        <f>IF($F196="","",IFERROR(INDEX(사건마스터!$AJ$5:$AJ$64,MATCH($F196,사건마스터!$A$5:$A$64,0)),""))</f>
        <v/>
      </c>
      <c r="N196" s="35">
        <f>IF($F196="","",IFERROR(INDEX(사건마스터!$AK$5:$AK$64,MATCH($F196,사건마스터!$A$5:$A$64,0)),""))</f>
        <v/>
      </c>
      <c r="O196" s="35">
        <f>IF($F196="","",IFERROR(INDEX(사건마스터!$AL$5:$AL$64,MATCH($F196,사건마스터!$A$5:$A$64,0)),""))</f>
        <v/>
      </c>
      <c r="P196" s="35">
        <f>IF($F196="","",IFERROR(INDEX(사건마스터!$AM$5:$AM$64,MATCH($F196,사건마스터!$A$5:$A$64,0)),""))</f>
        <v/>
      </c>
      <c r="Q196" s="35">
        <f>IF($F196="","",IFERROR(INDEX(사건마스터!$AN$5:$AN$64,MATCH($F196,사건마스터!$A$5:$A$64,0)),""))</f>
        <v/>
      </c>
      <c r="R196" s="35">
        <f>IF($F196="","",IFERROR(INDEX(사건마스터!$AO$5:$AO$64,MATCH($F196,사건마스터!$A$5:$A$64,0)),""))</f>
        <v/>
      </c>
      <c r="S196" s="35">
        <f>IF($F196="","",IFERROR(INDEX(사건마스터!$AP$5:$AP$64,MATCH($F196,사건마스터!$A$5:$A$64,0)),""))</f>
        <v/>
      </c>
      <c r="T196" s="35">
        <f>IF($F196="","",IFERROR(INDEX(사건마스터!$AQ$5:$AQ$64,MATCH($F196,사건마스터!$A$5:$A$64,0)),""))</f>
        <v/>
      </c>
      <c r="U196" s="35">
        <f>IF($F196="","",IFERROR(INDEX(사건마스터!$AR$5:$AR$64,MATCH($F196,사건마스터!$A$5:$A$64,0)),""))</f>
        <v/>
      </c>
      <c r="V196" s="35">
        <f>IF($F196="","",IFERROR(INDEX(사건마스터!$AS$5:$AS$64,MATCH($F196,사건마스터!$A$5:$A$64,0)),""))</f>
        <v/>
      </c>
      <c r="W196" s="35">
        <f>IF($F196="","",IFERROR(INDEX(사건마스터!$AT$5:$AT$64,MATCH($F196,사건마스터!$A$5:$A$64,0)),""))</f>
        <v/>
      </c>
      <c r="X196" s="35">
        <f>IF($F196="","",IFERROR(INDEX(사건마스터!$AU$5:$AU$64,MATCH($F196,사건마스터!$A$5:$A$64,0)),""))</f>
        <v/>
      </c>
      <c r="Y196" s="35">
        <f>IF($F196="","",IFERROR(INDEX(사건마스터!$AV$5:$AV$64,MATCH($F196,사건마스터!$A$5:$A$64,0)),""))</f>
        <v/>
      </c>
      <c r="Z196" s="30">
        <f>IF(COUNTBLANK($J196:$Y196)=16,"",16-COUNTBLANK($J196:$Y196))</f>
        <v/>
      </c>
      <c r="AA196" s="33">
        <f>IF($J196="",MID($AX196,3,255),$J196&amp;$AX196)</f>
        <v/>
      </c>
      <c r="AB196" s="34">
        <f>IF($J196="","",IFERROR(INDEX(코드설정!$D$5:$D$24,MATCH($J196,코드설정!$C$5:$C$24,0)),""))</f>
        <v/>
      </c>
      <c r="AC196" s="36" t="n"/>
      <c r="AD196" s="37" t="n"/>
      <c r="AE196" s="38" t="n"/>
      <c r="AF196" s="30">
        <f>IF(OR($B196="",$C196=""),"",$C196-$B196+1)</f>
        <v/>
      </c>
      <c r="AG196" s="32" t="n"/>
      <c r="AH196" s="36" t="n"/>
      <c r="AJ196">
        <f>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  <c r="AX196">
        <f>AW196&amp;IF($Y196="","",", "&amp;$Y196)</f>
        <v/>
      </c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0">
        <f>IF($F197="","",COUNTIF($F$5:$F197,$F197))</f>
        <v/>
      </c>
      <c r="H197" s="33">
        <f>IF($F197="","",IFERROR(INDEX(사건마스터!$B$5:$B$64,MATCH($F197,사건마스터!$A$5:$A$64,0)),""))</f>
        <v/>
      </c>
      <c r="I197" s="34">
        <f>IF($F197="","",IFERROR(INDEX(사건마스터!$C$5:$C$64,MATCH($F197,사건마스터!$A$5:$A$64,0)),""))</f>
        <v/>
      </c>
      <c r="J197" s="35">
        <f>IF($F197="","",IFERROR(INDEX(사건마스터!$H$5:$H$64,MATCH($F197,사건마스터!$A$5:$A$64,0)),""))</f>
        <v/>
      </c>
      <c r="K197" s="35">
        <f>IF($F197="","",IFERROR(INDEX(사건마스터!$AH$5:$AH$64,MATCH($F197,사건마스터!$A$5:$A$64,0)),""))</f>
        <v/>
      </c>
      <c r="L197" s="35">
        <f>IF($F197="","",IFERROR(INDEX(사건마스터!$AI$5:$AI$64,MATCH($F197,사건마스터!$A$5:$A$64,0)),""))</f>
        <v/>
      </c>
      <c r="M197" s="35">
        <f>IF($F197="","",IFERROR(INDEX(사건마스터!$AJ$5:$AJ$64,MATCH($F197,사건마스터!$A$5:$A$64,0)),""))</f>
        <v/>
      </c>
      <c r="N197" s="35">
        <f>IF($F197="","",IFERROR(INDEX(사건마스터!$AK$5:$AK$64,MATCH($F197,사건마스터!$A$5:$A$64,0)),""))</f>
        <v/>
      </c>
      <c r="O197" s="35">
        <f>IF($F197="","",IFERROR(INDEX(사건마스터!$AL$5:$AL$64,MATCH($F197,사건마스터!$A$5:$A$64,0)),""))</f>
        <v/>
      </c>
      <c r="P197" s="35">
        <f>IF($F197="","",IFERROR(INDEX(사건마스터!$AM$5:$AM$64,MATCH($F197,사건마스터!$A$5:$A$64,0)),""))</f>
        <v/>
      </c>
      <c r="Q197" s="35">
        <f>IF($F197="","",IFERROR(INDEX(사건마스터!$AN$5:$AN$64,MATCH($F197,사건마스터!$A$5:$A$64,0)),""))</f>
        <v/>
      </c>
      <c r="R197" s="35">
        <f>IF($F197="","",IFERROR(INDEX(사건마스터!$AO$5:$AO$64,MATCH($F197,사건마스터!$A$5:$A$64,0)),""))</f>
        <v/>
      </c>
      <c r="S197" s="35">
        <f>IF($F197="","",IFERROR(INDEX(사건마스터!$AP$5:$AP$64,MATCH($F197,사건마스터!$A$5:$A$64,0)),""))</f>
        <v/>
      </c>
      <c r="T197" s="35">
        <f>IF($F197="","",IFERROR(INDEX(사건마스터!$AQ$5:$AQ$64,MATCH($F197,사건마스터!$A$5:$A$64,0)),""))</f>
        <v/>
      </c>
      <c r="U197" s="35">
        <f>IF($F197="","",IFERROR(INDEX(사건마스터!$AR$5:$AR$64,MATCH($F197,사건마스터!$A$5:$A$64,0)),""))</f>
        <v/>
      </c>
      <c r="V197" s="35">
        <f>IF($F197="","",IFERROR(INDEX(사건마스터!$AS$5:$AS$64,MATCH($F197,사건마스터!$A$5:$A$64,0)),""))</f>
        <v/>
      </c>
      <c r="W197" s="35">
        <f>IF($F197="","",IFERROR(INDEX(사건마스터!$AT$5:$AT$64,MATCH($F197,사건마스터!$A$5:$A$64,0)),""))</f>
        <v/>
      </c>
      <c r="X197" s="35">
        <f>IF($F197="","",IFERROR(INDEX(사건마스터!$AU$5:$AU$64,MATCH($F197,사건마스터!$A$5:$A$64,0)),""))</f>
        <v/>
      </c>
      <c r="Y197" s="35">
        <f>IF($F197="","",IFERROR(INDEX(사건마스터!$AV$5:$AV$64,MATCH($F197,사건마스터!$A$5:$A$64,0)),""))</f>
        <v/>
      </c>
      <c r="Z197" s="30">
        <f>IF(COUNTBLANK($J197:$Y197)=16,"",16-COUNTBLANK($J197:$Y197))</f>
        <v/>
      </c>
      <c r="AA197" s="33">
        <f>IF($J197="",MID($AX197,3,255),$J197&amp;$AX197)</f>
        <v/>
      </c>
      <c r="AB197" s="34">
        <f>IF($J197="","",IFERROR(INDEX(코드설정!$D$5:$D$24,MATCH($J197,코드설정!$C$5:$C$24,0)),""))</f>
        <v/>
      </c>
      <c r="AC197" s="36" t="n"/>
      <c r="AD197" s="37" t="n"/>
      <c r="AE197" s="38" t="n"/>
      <c r="AF197" s="30">
        <f>IF(OR($B197="",$C197=""),"",$C197-$B197+1)</f>
        <v/>
      </c>
      <c r="AG197" s="32" t="n"/>
      <c r="AH197" s="36" t="n"/>
      <c r="AJ197">
        <f>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  <c r="AX197">
        <f>AW197&amp;IF($Y197="","",", "&amp;$Y197)</f>
        <v/>
      </c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0">
        <f>IF($F198="","",COUNTIF($F$5:$F198,$F198))</f>
        <v/>
      </c>
      <c r="H198" s="33">
        <f>IF($F198="","",IFERROR(INDEX(사건마스터!$B$5:$B$64,MATCH($F198,사건마스터!$A$5:$A$64,0)),""))</f>
        <v/>
      </c>
      <c r="I198" s="34">
        <f>IF($F198="","",IFERROR(INDEX(사건마스터!$C$5:$C$64,MATCH($F198,사건마스터!$A$5:$A$64,0)),""))</f>
        <v/>
      </c>
      <c r="J198" s="35">
        <f>IF($F198="","",IFERROR(INDEX(사건마스터!$H$5:$H$64,MATCH($F198,사건마스터!$A$5:$A$64,0)),""))</f>
        <v/>
      </c>
      <c r="K198" s="35">
        <f>IF($F198="","",IFERROR(INDEX(사건마스터!$AH$5:$AH$64,MATCH($F198,사건마스터!$A$5:$A$64,0)),""))</f>
        <v/>
      </c>
      <c r="L198" s="35">
        <f>IF($F198="","",IFERROR(INDEX(사건마스터!$AI$5:$AI$64,MATCH($F198,사건마스터!$A$5:$A$64,0)),""))</f>
        <v/>
      </c>
      <c r="M198" s="35">
        <f>IF($F198="","",IFERROR(INDEX(사건마스터!$AJ$5:$AJ$64,MATCH($F198,사건마스터!$A$5:$A$64,0)),""))</f>
        <v/>
      </c>
      <c r="N198" s="35">
        <f>IF($F198="","",IFERROR(INDEX(사건마스터!$AK$5:$AK$64,MATCH($F198,사건마스터!$A$5:$A$64,0)),""))</f>
        <v/>
      </c>
      <c r="O198" s="35">
        <f>IF($F198="","",IFERROR(INDEX(사건마스터!$AL$5:$AL$64,MATCH($F198,사건마스터!$A$5:$A$64,0)),""))</f>
        <v/>
      </c>
      <c r="P198" s="35">
        <f>IF($F198="","",IFERROR(INDEX(사건마스터!$AM$5:$AM$64,MATCH($F198,사건마스터!$A$5:$A$64,0)),""))</f>
        <v/>
      </c>
      <c r="Q198" s="35">
        <f>IF($F198="","",IFERROR(INDEX(사건마스터!$AN$5:$AN$64,MATCH($F198,사건마스터!$A$5:$A$64,0)),""))</f>
        <v/>
      </c>
      <c r="R198" s="35">
        <f>IF($F198="","",IFERROR(INDEX(사건마스터!$AO$5:$AO$64,MATCH($F198,사건마스터!$A$5:$A$64,0)),""))</f>
        <v/>
      </c>
      <c r="S198" s="35">
        <f>IF($F198="","",IFERROR(INDEX(사건마스터!$AP$5:$AP$64,MATCH($F198,사건마스터!$A$5:$A$64,0)),""))</f>
        <v/>
      </c>
      <c r="T198" s="35">
        <f>IF($F198="","",IFERROR(INDEX(사건마스터!$AQ$5:$AQ$64,MATCH($F198,사건마스터!$A$5:$A$64,0)),""))</f>
        <v/>
      </c>
      <c r="U198" s="35">
        <f>IF($F198="","",IFERROR(INDEX(사건마스터!$AR$5:$AR$64,MATCH($F198,사건마스터!$A$5:$A$64,0)),""))</f>
        <v/>
      </c>
      <c r="V198" s="35">
        <f>IF($F198="","",IFERROR(INDEX(사건마스터!$AS$5:$AS$64,MATCH($F198,사건마스터!$A$5:$A$64,0)),""))</f>
        <v/>
      </c>
      <c r="W198" s="35">
        <f>IF($F198="","",IFERROR(INDEX(사건마스터!$AT$5:$AT$64,MATCH($F198,사건마스터!$A$5:$A$64,0)),""))</f>
        <v/>
      </c>
      <c r="X198" s="35">
        <f>IF($F198="","",IFERROR(INDEX(사건마스터!$AU$5:$AU$64,MATCH($F198,사건마스터!$A$5:$A$64,0)),""))</f>
        <v/>
      </c>
      <c r="Y198" s="35">
        <f>IF($F198="","",IFERROR(INDEX(사건마스터!$AV$5:$AV$64,MATCH($F198,사건마스터!$A$5:$A$64,0)),""))</f>
        <v/>
      </c>
      <c r="Z198" s="30">
        <f>IF(COUNTBLANK($J198:$Y198)=16,"",16-COUNTBLANK($J198:$Y198))</f>
        <v/>
      </c>
      <c r="AA198" s="33">
        <f>IF($J198="",MID($AX198,3,255),$J198&amp;$AX198)</f>
        <v/>
      </c>
      <c r="AB198" s="34">
        <f>IF($J198="","",IFERROR(INDEX(코드설정!$D$5:$D$24,MATCH($J198,코드설정!$C$5:$C$24,0)),""))</f>
        <v/>
      </c>
      <c r="AC198" s="36" t="n"/>
      <c r="AD198" s="37" t="n"/>
      <c r="AE198" s="38" t="n"/>
      <c r="AF198" s="30">
        <f>IF(OR($B198="",$C198=""),"",$C198-$B198+1)</f>
        <v/>
      </c>
      <c r="AG198" s="32" t="n"/>
      <c r="AH198" s="36" t="n"/>
      <c r="AJ198">
        <f>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  <c r="AX198">
        <f>AW198&amp;IF($Y198="","",", "&amp;$Y198)</f>
        <v/>
      </c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0">
        <f>IF($F199="","",COUNTIF($F$5:$F199,$F199))</f>
        <v/>
      </c>
      <c r="H199" s="33">
        <f>IF($F199="","",IFERROR(INDEX(사건마스터!$B$5:$B$64,MATCH($F199,사건마스터!$A$5:$A$64,0)),""))</f>
        <v/>
      </c>
      <c r="I199" s="34">
        <f>IF($F199="","",IFERROR(INDEX(사건마스터!$C$5:$C$64,MATCH($F199,사건마스터!$A$5:$A$64,0)),""))</f>
        <v/>
      </c>
      <c r="J199" s="35">
        <f>IF($F199="","",IFERROR(INDEX(사건마스터!$H$5:$H$64,MATCH($F199,사건마스터!$A$5:$A$64,0)),""))</f>
        <v/>
      </c>
      <c r="K199" s="35">
        <f>IF($F199="","",IFERROR(INDEX(사건마스터!$AH$5:$AH$64,MATCH($F199,사건마스터!$A$5:$A$64,0)),""))</f>
        <v/>
      </c>
      <c r="L199" s="35">
        <f>IF($F199="","",IFERROR(INDEX(사건마스터!$AI$5:$AI$64,MATCH($F199,사건마스터!$A$5:$A$64,0)),""))</f>
        <v/>
      </c>
      <c r="M199" s="35">
        <f>IF($F199="","",IFERROR(INDEX(사건마스터!$AJ$5:$AJ$64,MATCH($F199,사건마스터!$A$5:$A$64,0)),""))</f>
        <v/>
      </c>
      <c r="N199" s="35">
        <f>IF($F199="","",IFERROR(INDEX(사건마스터!$AK$5:$AK$64,MATCH($F199,사건마스터!$A$5:$A$64,0)),""))</f>
        <v/>
      </c>
      <c r="O199" s="35">
        <f>IF($F199="","",IFERROR(INDEX(사건마스터!$AL$5:$AL$64,MATCH($F199,사건마스터!$A$5:$A$64,0)),""))</f>
        <v/>
      </c>
      <c r="P199" s="35">
        <f>IF($F199="","",IFERROR(INDEX(사건마스터!$AM$5:$AM$64,MATCH($F199,사건마스터!$A$5:$A$64,0)),""))</f>
        <v/>
      </c>
      <c r="Q199" s="35">
        <f>IF($F199="","",IFERROR(INDEX(사건마스터!$AN$5:$AN$64,MATCH($F199,사건마스터!$A$5:$A$64,0)),""))</f>
        <v/>
      </c>
      <c r="R199" s="35">
        <f>IF($F199="","",IFERROR(INDEX(사건마스터!$AO$5:$AO$64,MATCH($F199,사건마스터!$A$5:$A$64,0)),""))</f>
        <v/>
      </c>
      <c r="S199" s="35">
        <f>IF($F199="","",IFERROR(INDEX(사건마스터!$AP$5:$AP$64,MATCH($F199,사건마스터!$A$5:$A$64,0)),""))</f>
        <v/>
      </c>
      <c r="T199" s="35">
        <f>IF($F199="","",IFERROR(INDEX(사건마스터!$AQ$5:$AQ$64,MATCH($F199,사건마스터!$A$5:$A$64,0)),""))</f>
        <v/>
      </c>
      <c r="U199" s="35">
        <f>IF($F199="","",IFERROR(INDEX(사건마스터!$AR$5:$AR$64,MATCH($F199,사건마스터!$A$5:$A$64,0)),""))</f>
        <v/>
      </c>
      <c r="V199" s="35">
        <f>IF($F199="","",IFERROR(INDEX(사건마스터!$AS$5:$AS$64,MATCH($F199,사건마스터!$A$5:$A$64,0)),""))</f>
        <v/>
      </c>
      <c r="W199" s="35">
        <f>IF($F199="","",IFERROR(INDEX(사건마스터!$AT$5:$AT$64,MATCH($F199,사건마스터!$A$5:$A$64,0)),""))</f>
        <v/>
      </c>
      <c r="X199" s="35">
        <f>IF($F199="","",IFERROR(INDEX(사건마스터!$AU$5:$AU$64,MATCH($F199,사건마스터!$A$5:$A$64,0)),""))</f>
        <v/>
      </c>
      <c r="Y199" s="35">
        <f>IF($F199="","",IFERROR(INDEX(사건마스터!$AV$5:$AV$64,MATCH($F199,사건마스터!$A$5:$A$64,0)),""))</f>
        <v/>
      </c>
      <c r="Z199" s="30">
        <f>IF(COUNTBLANK($J199:$Y199)=16,"",16-COUNTBLANK($J199:$Y199))</f>
        <v/>
      </c>
      <c r="AA199" s="33">
        <f>IF($J199="",MID($AX199,3,255),$J199&amp;$AX199)</f>
        <v/>
      </c>
      <c r="AB199" s="34">
        <f>IF($J199="","",IFERROR(INDEX(코드설정!$D$5:$D$24,MATCH($J199,코드설정!$C$5:$C$24,0)),""))</f>
        <v/>
      </c>
      <c r="AC199" s="36" t="n"/>
      <c r="AD199" s="37" t="n"/>
      <c r="AE199" s="38" t="n"/>
      <c r="AF199" s="30">
        <f>IF(OR($B199="",$C199=""),"",$C199-$B199+1)</f>
        <v/>
      </c>
      <c r="AG199" s="32" t="n"/>
      <c r="AH199" s="36" t="n"/>
      <c r="AJ199">
        <f>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  <c r="AX199">
        <f>AW199&amp;IF($Y199="","",", "&amp;$Y199)</f>
        <v/>
      </c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0">
        <f>IF($F200="","",COUNTIF($F$5:$F200,$F200))</f>
        <v/>
      </c>
      <c r="H200" s="33">
        <f>IF($F200="","",IFERROR(INDEX(사건마스터!$B$5:$B$64,MATCH($F200,사건마스터!$A$5:$A$64,0)),""))</f>
        <v/>
      </c>
      <c r="I200" s="34">
        <f>IF($F200="","",IFERROR(INDEX(사건마스터!$C$5:$C$64,MATCH($F200,사건마스터!$A$5:$A$64,0)),""))</f>
        <v/>
      </c>
      <c r="J200" s="35">
        <f>IF($F200="","",IFERROR(INDEX(사건마스터!$H$5:$H$64,MATCH($F200,사건마스터!$A$5:$A$64,0)),""))</f>
        <v/>
      </c>
      <c r="K200" s="35">
        <f>IF($F200="","",IFERROR(INDEX(사건마스터!$AH$5:$AH$64,MATCH($F200,사건마스터!$A$5:$A$64,0)),""))</f>
        <v/>
      </c>
      <c r="L200" s="35">
        <f>IF($F200="","",IFERROR(INDEX(사건마스터!$AI$5:$AI$64,MATCH($F200,사건마스터!$A$5:$A$64,0)),""))</f>
        <v/>
      </c>
      <c r="M200" s="35">
        <f>IF($F200="","",IFERROR(INDEX(사건마스터!$AJ$5:$AJ$64,MATCH($F200,사건마스터!$A$5:$A$64,0)),""))</f>
        <v/>
      </c>
      <c r="N200" s="35">
        <f>IF($F200="","",IFERROR(INDEX(사건마스터!$AK$5:$AK$64,MATCH($F200,사건마스터!$A$5:$A$64,0)),""))</f>
        <v/>
      </c>
      <c r="O200" s="35">
        <f>IF($F200="","",IFERROR(INDEX(사건마스터!$AL$5:$AL$64,MATCH($F200,사건마스터!$A$5:$A$64,0)),""))</f>
        <v/>
      </c>
      <c r="P200" s="35">
        <f>IF($F200="","",IFERROR(INDEX(사건마스터!$AM$5:$AM$64,MATCH($F200,사건마스터!$A$5:$A$64,0)),""))</f>
        <v/>
      </c>
      <c r="Q200" s="35">
        <f>IF($F200="","",IFERROR(INDEX(사건마스터!$AN$5:$AN$64,MATCH($F200,사건마스터!$A$5:$A$64,0)),""))</f>
        <v/>
      </c>
      <c r="R200" s="35">
        <f>IF($F200="","",IFERROR(INDEX(사건마스터!$AO$5:$AO$64,MATCH($F200,사건마스터!$A$5:$A$64,0)),""))</f>
        <v/>
      </c>
      <c r="S200" s="35">
        <f>IF($F200="","",IFERROR(INDEX(사건마스터!$AP$5:$AP$64,MATCH($F200,사건마스터!$A$5:$A$64,0)),""))</f>
        <v/>
      </c>
      <c r="T200" s="35">
        <f>IF($F200="","",IFERROR(INDEX(사건마스터!$AQ$5:$AQ$64,MATCH($F200,사건마스터!$A$5:$A$64,0)),""))</f>
        <v/>
      </c>
      <c r="U200" s="35">
        <f>IF($F200="","",IFERROR(INDEX(사건마스터!$AR$5:$AR$64,MATCH($F200,사건마스터!$A$5:$A$64,0)),""))</f>
        <v/>
      </c>
      <c r="V200" s="35">
        <f>IF($F200="","",IFERROR(INDEX(사건마스터!$AS$5:$AS$64,MATCH($F200,사건마스터!$A$5:$A$64,0)),""))</f>
        <v/>
      </c>
      <c r="W200" s="35">
        <f>IF($F200="","",IFERROR(INDEX(사건마스터!$AT$5:$AT$64,MATCH($F200,사건마스터!$A$5:$A$64,0)),""))</f>
        <v/>
      </c>
      <c r="X200" s="35">
        <f>IF($F200="","",IFERROR(INDEX(사건마스터!$AU$5:$AU$64,MATCH($F200,사건마스터!$A$5:$A$64,0)),""))</f>
        <v/>
      </c>
      <c r="Y200" s="35">
        <f>IF($F200="","",IFERROR(INDEX(사건마스터!$AV$5:$AV$64,MATCH($F200,사건마스터!$A$5:$A$64,0)),""))</f>
        <v/>
      </c>
      <c r="Z200" s="30">
        <f>IF(COUNTBLANK($J200:$Y200)=16,"",16-COUNTBLANK($J200:$Y200))</f>
        <v/>
      </c>
      <c r="AA200" s="33">
        <f>IF($J200="",MID($AX200,3,255),$J200&amp;$AX200)</f>
        <v/>
      </c>
      <c r="AB200" s="34">
        <f>IF($J200="","",IFERROR(INDEX(코드설정!$D$5:$D$24,MATCH($J200,코드설정!$C$5:$C$24,0)),""))</f>
        <v/>
      </c>
      <c r="AC200" s="36" t="n"/>
      <c r="AD200" s="37" t="n"/>
      <c r="AE200" s="38" t="n"/>
      <c r="AF200" s="30">
        <f>IF(OR($B200="",$C200=""),"",$C200-$B200+1)</f>
        <v/>
      </c>
      <c r="AG200" s="32" t="n"/>
      <c r="AH200" s="36" t="n"/>
      <c r="AJ200">
        <f>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  <c r="AX200">
        <f>AW200&amp;IF($Y200="","",", "&amp;$Y200)</f>
        <v/>
      </c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0">
        <f>IF($F201="","",COUNTIF($F$5:$F201,$F201))</f>
        <v/>
      </c>
      <c r="H201" s="33">
        <f>IF($F201="","",IFERROR(INDEX(사건마스터!$B$5:$B$64,MATCH($F201,사건마스터!$A$5:$A$64,0)),""))</f>
        <v/>
      </c>
      <c r="I201" s="34">
        <f>IF($F201="","",IFERROR(INDEX(사건마스터!$C$5:$C$64,MATCH($F201,사건마스터!$A$5:$A$64,0)),""))</f>
        <v/>
      </c>
      <c r="J201" s="35">
        <f>IF($F201="","",IFERROR(INDEX(사건마스터!$H$5:$H$64,MATCH($F201,사건마스터!$A$5:$A$64,0)),""))</f>
        <v/>
      </c>
      <c r="K201" s="35">
        <f>IF($F201="","",IFERROR(INDEX(사건마스터!$AH$5:$AH$64,MATCH($F201,사건마스터!$A$5:$A$64,0)),""))</f>
        <v/>
      </c>
      <c r="L201" s="35">
        <f>IF($F201="","",IFERROR(INDEX(사건마스터!$AI$5:$AI$64,MATCH($F201,사건마스터!$A$5:$A$64,0)),""))</f>
        <v/>
      </c>
      <c r="M201" s="35">
        <f>IF($F201="","",IFERROR(INDEX(사건마스터!$AJ$5:$AJ$64,MATCH($F201,사건마스터!$A$5:$A$64,0)),""))</f>
        <v/>
      </c>
      <c r="N201" s="35">
        <f>IF($F201="","",IFERROR(INDEX(사건마스터!$AK$5:$AK$64,MATCH($F201,사건마스터!$A$5:$A$64,0)),""))</f>
        <v/>
      </c>
      <c r="O201" s="35">
        <f>IF($F201="","",IFERROR(INDEX(사건마스터!$AL$5:$AL$64,MATCH($F201,사건마스터!$A$5:$A$64,0)),""))</f>
        <v/>
      </c>
      <c r="P201" s="35">
        <f>IF($F201="","",IFERROR(INDEX(사건마스터!$AM$5:$AM$64,MATCH($F201,사건마스터!$A$5:$A$64,0)),""))</f>
        <v/>
      </c>
      <c r="Q201" s="35">
        <f>IF($F201="","",IFERROR(INDEX(사건마스터!$AN$5:$AN$64,MATCH($F201,사건마스터!$A$5:$A$64,0)),""))</f>
        <v/>
      </c>
      <c r="R201" s="35">
        <f>IF($F201="","",IFERROR(INDEX(사건마스터!$AO$5:$AO$64,MATCH($F201,사건마스터!$A$5:$A$64,0)),""))</f>
        <v/>
      </c>
      <c r="S201" s="35">
        <f>IF($F201="","",IFERROR(INDEX(사건마스터!$AP$5:$AP$64,MATCH($F201,사건마스터!$A$5:$A$64,0)),""))</f>
        <v/>
      </c>
      <c r="T201" s="35">
        <f>IF($F201="","",IFERROR(INDEX(사건마스터!$AQ$5:$AQ$64,MATCH($F201,사건마스터!$A$5:$A$64,0)),""))</f>
        <v/>
      </c>
      <c r="U201" s="35">
        <f>IF($F201="","",IFERROR(INDEX(사건마스터!$AR$5:$AR$64,MATCH($F201,사건마스터!$A$5:$A$64,0)),""))</f>
        <v/>
      </c>
      <c r="V201" s="35">
        <f>IF($F201="","",IFERROR(INDEX(사건마스터!$AS$5:$AS$64,MATCH($F201,사건마스터!$A$5:$A$64,0)),""))</f>
        <v/>
      </c>
      <c r="W201" s="35">
        <f>IF($F201="","",IFERROR(INDEX(사건마스터!$AT$5:$AT$64,MATCH($F201,사건마스터!$A$5:$A$64,0)),""))</f>
        <v/>
      </c>
      <c r="X201" s="35">
        <f>IF($F201="","",IFERROR(INDEX(사건마스터!$AU$5:$AU$64,MATCH($F201,사건마스터!$A$5:$A$64,0)),""))</f>
        <v/>
      </c>
      <c r="Y201" s="35">
        <f>IF($F201="","",IFERROR(INDEX(사건마스터!$AV$5:$AV$64,MATCH($F201,사건마스터!$A$5:$A$64,0)),""))</f>
        <v/>
      </c>
      <c r="Z201" s="30">
        <f>IF(COUNTBLANK($J201:$Y201)=16,"",16-COUNTBLANK($J201:$Y201))</f>
        <v/>
      </c>
      <c r="AA201" s="33">
        <f>IF($J201="",MID($AX201,3,255),$J201&amp;$AX201)</f>
        <v/>
      </c>
      <c r="AB201" s="34">
        <f>IF($J201="","",IFERROR(INDEX(코드설정!$D$5:$D$24,MATCH($J201,코드설정!$C$5:$C$24,0)),""))</f>
        <v/>
      </c>
      <c r="AC201" s="36" t="n"/>
      <c r="AD201" s="37" t="n"/>
      <c r="AE201" s="38" t="n"/>
      <c r="AF201" s="30">
        <f>IF(OR($B201="",$C201=""),"",$C201-$B201+1)</f>
        <v/>
      </c>
      <c r="AG201" s="32" t="n"/>
      <c r="AH201" s="36" t="n"/>
      <c r="AJ201">
        <f>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  <c r="AX201">
        <f>AW201&amp;IF($Y201="","",", "&amp;$Y201)</f>
        <v/>
      </c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0">
        <f>IF($F202="","",COUNTIF($F$5:$F202,$F202))</f>
        <v/>
      </c>
      <c r="H202" s="33">
        <f>IF($F202="","",IFERROR(INDEX(사건마스터!$B$5:$B$64,MATCH($F202,사건마스터!$A$5:$A$64,0)),""))</f>
        <v/>
      </c>
      <c r="I202" s="34">
        <f>IF($F202="","",IFERROR(INDEX(사건마스터!$C$5:$C$64,MATCH($F202,사건마스터!$A$5:$A$64,0)),""))</f>
        <v/>
      </c>
      <c r="J202" s="35">
        <f>IF($F202="","",IFERROR(INDEX(사건마스터!$H$5:$H$64,MATCH($F202,사건마스터!$A$5:$A$64,0)),""))</f>
        <v/>
      </c>
      <c r="K202" s="35">
        <f>IF($F202="","",IFERROR(INDEX(사건마스터!$AH$5:$AH$64,MATCH($F202,사건마스터!$A$5:$A$64,0)),""))</f>
        <v/>
      </c>
      <c r="L202" s="35">
        <f>IF($F202="","",IFERROR(INDEX(사건마스터!$AI$5:$AI$64,MATCH($F202,사건마스터!$A$5:$A$64,0)),""))</f>
        <v/>
      </c>
      <c r="M202" s="35">
        <f>IF($F202="","",IFERROR(INDEX(사건마스터!$AJ$5:$AJ$64,MATCH($F202,사건마스터!$A$5:$A$64,0)),""))</f>
        <v/>
      </c>
      <c r="N202" s="35">
        <f>IF($F202="","",IFERROR(INDEX(사건마스터!$AK$5:$AK$64,MATCH($F202,사건마스터!$A$5:$A$64,0)),""))</f>
        <v/>
      </c>
      <c r="O202" s="35">
        <f>IF($F202="","",IFERROR(INDEX(사건마스터!$AL$5:$AL$64,MATCH($F202,사건마스터!$A$5:$A$64,0)),""))</f>
        <v/>
      </c>
      <c r="P202" s="35">
        <f>IF($F202="","",IFERROR(INDEX(사건마스터!$AM$5:$AM$64,MATCH($F202,사건마스터!$A$5:$A$64,0)),""))</f>
        <v/>
      </c>
      <c r="Q202" s="35">
        <f>IF($F202="","",IFERROR(INDEX(사건마스터!$AN$5:$AN$64,MATCH($F202,사건마스터!$A$5:$A$64,0)),""))</f>
        <v/>
      </c>
      <c r="R202" s="35">
        <f>IF($F202="","",IFERROR(INDEX(사건마스터!$AO$5:$AO$64,MATCH($F202,사건마스터!$A$5:$A$64,0)),""))</f>
        <v/>
      </c>
      <c r="S202" s="35">
        <f>IF($F202="","",IFERROR(INDEX(사건마스터!$AP$5:$AP$64,MATCH($F202,사건마스터!$A$5:$A$64,0)),""))</f>
        <v/>
      </c>
      <c r="T202" s="35">
        <f>IF($F202="","",IFERROR(INDEX(사건마스터!$AQ$5:$AQ$64,MATCH($F202,사건마스터!$A$5:$A$64,0)),""))</f>
        <v/>
      </c>
      <c r="U202" s="35">
        <f>IF($F202="","",IFERROR(INDEX(사건마스터!$AR$5:$AR$64,MATCH($F202,사건마스터!$A$5:$A$64,0)),""))</f>
        <v/>
      </c>
      <c r="V202" s="35">
        <f>IF($F202="","",IFERROR(INDEX(사건마스터!$AS$5:$AS$64,MATCH($F202,사건마스터!$A$5:$A$64,0)),""))</f>
        <v/>
      </c>
      <c r="W202" s="35">
        <f>IF($F202="","",IFERROR(INDEX(사건마스터!$AT$5:$AT$64,MATCH($F202,사건마스터!$A$5:$A$64,0)),""))</f>
        <v/>
      </c>
      <c r="X202" s="35">
        <f>IF($F202="","",IFERROR(INDEX(사건마스터!$AU$5:$AU$64,MATCH($F202,사건마스터!$A$5:$A$64,0)),""))</f>
        <v/>
      </c>
      <c r="Y202" s="35">
        <f>IF($F202="","",IFERROR(INDEX(사건마스터!$AV$5:$AV$64,MATCH($F202,사건마스터!$A$5:$A$64,0)),""))</f>
        <v/>
      </c>
      <c r="Z202" s="30">
        <f>IF(COUNTBLANK($J202:$Y202)=16,"",16-COUNTBLANK($J202:$Y202))</f>
        <v/>
      </c>
      <c r="AA202" s="33">
        <f>IF($J202="",MID($AX202,3,255),$J202&amp;$AX202)</f>
        <v/>
      </c>
      <c r="AB202" s="34">
        <f>IF($J202="","",IFERROR(INDEX(코드설정!$D$5:$D$24,MATCH($J202,코드설정!$C$5:$C$24,0)),""))</f>
        <v/>
      </c>
      <c r="AC202" s="36" t="n"/>
      <c r="AD202" s="37" t="n"/>
      <c r="AE202" s="38" t="n"/>
      <c r="AF202" s="30">
        <f>IF(OR($B202="",$C202=""),"",$C202-$B202+1)</f>
        <v/>
      </c>
      <c r="AG202" s="32" t="n"/>
      <c r="AH202" s="36" t="n"/>
      <c r="AJ202">
        <f>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  <c r="AX202">
        <f>AW202&amp;IF($Y202="","",", "&amp;$Y202)</f>
        <v/>
      </c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0">
        <f>IF($F203="","",COUNTIF($F$5:$F203,$F203))</f>
        <v/>
      </c>
      <c r="H203" s="33">
        <f>IF($F203="","",IFERROR(INDEX(사건마스터!$B$5:$B$64,MATCH($F203,사건마스터!$A$5:$A$64,0)),""))</f>
        <v/>
      </c>
      <c r="I203" s="34">
        <f>IF($F203="","",IFERROR(INDEX(사건마스터!$C$5:$C$64,MATCH($F203,사건마스터!$A$5:$A$64,0)),""))</f>
        <v/>
      </c>
      <c r="J203" s="35">
        <f>IF($F203="","",IFERROR(INDEX(사건마스터!$H$5:$H$64,MATCH($F203,사건마스터!$A$5:$A$64,0)),""))</f>
        <v/>
      </c>
      <c r="K203" s="35">
        <f>IF($F203="","",IFERROR(INDEX(사건마스터!$AH$5:$AH$64,MATCH($F203,사건마스터!$A$5:$A$64,0)),""))</f>
        <v/>
      </c>
      <c r="L203" s="35">
        <f>IF($F203="","",IFERROR(INDEX(사건마스터!$AI$5:$AI$64,MATCH($F203,사건마스터!$A$5:$A$64,0)),""))</f>
        <v/>
      </c>
      <c r="M203" s="35">
        <f>IF($F203="","",IFERROR(INDEX(사건마스터!$AJ$5:$AJ$64,MATCH($F203,사건마스터!$A$5:$A$64,0)),""))</f>
        <v/>
      </c>
      <c r="N203" s="35">
        <f>IF($F203="","",IFERROR(INDEX(사건마스터!$AK$5:$AK$64,MATCH($F203,사건마스터!$A$5:$A$64,0)),""))</f>
        <v/>
      </c>
      <c r="O203" s="35">
        <f>IF($F203="","",IFERROR(INDEX(사건마스터!$AL$5:$AL$64,MATCH($F203,사건마스터!$A$5:$A$64,0)),""))</f>
        <v/>
      </c>
      <c r="P203" s="35">
        <f>IF($F203="","",IFERROR(INDEX(사건마스터!$AM$5:$AM$64,MATCH($F203,사건마스터!$A$5:$A$64,0)),""))</f>
        <v/>
      </c>
      <c r="Q203" s="35">
        <f>IF($F203="","",IFERROR(INDEX(사건마스터!$AN$5:$AN$64,MATCH($F203,사건마스터!$A$5:$A$64,0)),""))</f>
        <v/>
      </c>
      <c r="R203" s="35">
        <f>IF($F203="","",IFERROR(INDEX(사건마스터!$AO$5:$AO$64,MATCH($F203,사건마스터!$A$5:$A$64,0)),""))</f>
        <v/>
      </c>
      <c r="S203" s="35">
        <f>IF($F203="","",IFERROR(INDEX(사건마스터!$AP$5:$AP$64,MATCH($F203,사건마스터!$A$5:$A$64,0)),""))</f>
        <v/>
      </c>
      <c r="T203" s="35">
        <f>IF($F203="","",IFERROR(INDEX(사건마스터!$AQ$5:$AQ$64,MATCH($F203,사건마스터!$A$5:$A$64,0)),""))</f>
        <v/>
      </c>
      <c r="U203" s="35">
        <f>IF($F203="","",IFERROR(INDEX(사건마스터!$AR$5:$AR$64,MATCH($F203,사건마스터!$A$5:$A$64,0)),""))</f>
        <v/>
      </c>
      <c r="V203" s="35">
        <f>IF($F203="","",IFERROR(INDEX(사건마스터!$AS$5:$AS$64,MATCH($F203,사건마스터!$A$5:$A$64,0)),""))</f>
        <v/>
      </c>
      <c r="W203" s="35">
        <f>IF($F203="","",IFERROR(INDEX(사건마스터!$AT$5:$AT$64,MATCH($F203,사건마스터!$A$5:$A$64,0)),""))</f>
        <v/>
      </c>
      <c r="X203" s="35">
        <f>IF($F203="","",IFERROR(INDEX(사건마스터!$AU$5:$AU$64,MATCH($F203,사건마스터!$A$5:$A$64,0)),""))</f>
        <v/>
      </c>
      <c r="Y203" s="35">
        <f>IF($F203="","",IFERROR(INDEX(사건마스터!$AV$5:$AV$64,MATCH($F203,사건마스터!$A$5:$A$64,0)),""))</f>
        <v/>
      </c>
      <c r="Z203" s="30">
        <f>IF(COUNTBLANK($J203:$Y203)=16,"",16-COUNTBLANK($J203:$Y203))</f>
        <v/>
      </c>
      <c r="AA203" s="33">
        <f>IF($J203="",MID($AX203,3,255),$J203&amp;$AX203)</f>
        <v/>
      </c>
      <c r="AB203" s="34">
        <f>IF($J203="","",IFERROR(INDEX(코드설정!$D$5:$D$24,MATCH($J203,코드설정!$C$5:$C$24,0)),""))</f>
        <v/>
      </c>
      <c r="AC203" s="36" t="n"/>
      <c r="AD203" s="37" t="n"/>
      <c r="AE203" s="38" t="n"/>
      <c r="AF203" s="30">
        <f>IF(OR($B203="",$C203=""),"",$C203-$B203+1)</f>
        <v/>
      </c>
      <c r="AG203" s="32" t="n"/>
      <c r="AH203" s="36" t="n"/>
      <c r="AJ203">
        <f>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  <c r="AX203">
        <f>AW203&amp;IF($Y203="","",", "&amp;$Y203)</f>
        <v/>
      </c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0">
        <f>IF($F204="","",COUNTIF($F$5:$F204,$F204))</f>
        <v/>
      </c>
      <c r="H204" s="33">
        <f>IF($F204="","",IFERROR(INDEX(사건마스터!$B$5:$B$64,MATCH($F204,사건마스터!$A$5:$A$64,0)),""))</f>
        <v/>
      </c>
      <c r="I204" s="34">
        <f>IF($F204="","",IFERROR(INDEX(사건마스터!$C$5:$C$64,MATCH($F204,사건마스터!$A$5:$A$64,0)),""))</f>
        <v/>
      </c>
      <c r="J204" s="35">
        <f>IF($F204="","",IFERROR(INDEX(사건마스터!$H$5:$H$64,MATCH($F204,사건마스터!$A$5:$A$64,0)),""))</f>
        <v/>
      </c>
      <c r="K204" s="35">
        <f>IF($F204="","",IFERROR(INDEX(사건마스터!$AH$5:$AH$64,MATCH($F204,사건마스터!$A$5:$A$64,0)),""))</f>
        <v/>
      </c>
      <c r="L204" s="35">
        <f>IF($F204="","",IFERROR(INDEX(사건마스터!$AI$5:$AI$64,MATCH($F204,사건마스터!$A$5:$A$64,0)),""))</f>
        <v/>
      </c>
      <c r="M204" s="35">
        <f>IF($F204="","",IFERROR(INDEX(사건마스터!$AJ$5:$AJ$64,MATCH($F204,사건마스터!$A$5:$A$64,0)),""))</f>
        <v/>
      </c>
      <c r="N204" s="35">
        <f>IF($F204="","",IFERROR(INDEX(사건마스터!$AK$5:$AK$64,MATCH($F204,사건마스터!$A$5:$A$64,0)),""))</f>
        <v/>
      </c>
      <c r="O204" s="35">
        <f>IF($F204="","",IFERROR(INDEX(사건마스터!$AL$5:$AL$64,MATCH($F204,사건마스터!$A$5:$A$64,0)),""))</f>
        <v/>
      </c>
      <c r="P204" s="35">
        <f>IF($F204="","",IFERROR(INDEX(사건마스터!$AM$5:$AM$64,MATCH($F204,사건마스터!$A$5:$A$64,0)),""))</f>
        <v/>
      </c>
      <c r="Q204" s="35">
        <f>IF($F204="","",IFERROR(INDEX(사건마스터!$AN$5:$AN$64,MATCH($F204,사건마스터!$A$5:$A$64,0)),""))</f>
        <v/>
      </c>
      <c r="R204" s="35">
        <f>IF($F204="","",IFERROR(INDEX(사건마스터!$AO$5:$AO$64,MATCH($F204,사건마스터!$A$5:$A$64,0)),""))</f>
        <v/>
      </c>
      <c r="S204" s="35">
        <f>IF($F204="","",IFERROR(INDEX(사건마스터!$AP$5:$AP$64,MATCH($F204,사건마스터!$A$5:$A$64,0)),""))</f>
        <v/>
      </c>
      <c r="T204" s="35">
        <f>IF($F204="","",IFERROR(INDEX(사건마스터!$AQ$5:$AQ$64,MATCH($F204,사건마스터!$A$5:$A$64,0)),""))</f>
        <v/>
      </c>
      <c r="U204" s="35">
        <f>IF($F204="","",IFERROR(INDEX(사건마스터!$AR$5:$AR$64,MATCH($F204,사건마스터!$A$5:$A$64,0)),""))</f>
        <v/>
      </c>
      <c r="V204" s="35">
        <f>IF($F204="","",IFERROR(INDEX(사건마스터!$AS$5:$AS$64,MATCH($F204,사건마스터!$A$5:$A$64,0)),""))</f>
        <v/>
      </c>
      <c r="W204" s="35">
        <f>IF($F204="","",IFERROR(INDEX(사건마스터!$AT$5:$AT$64,MATCH($F204,사건마스터!$A$5:$A$64,0)),""))</f>
        <v/>
      </c>
      <c r="X204" s="35">
        <f>IF($F204="","",IFERROR(INDEX(사건마스터!$AU$5:$AU$64,MATCH($F204,사건마스터!$A$5:$A$64,0)),""))</f>
        <v/>
      </c>
      <c r="Y204" s="35">
        <f>IF($F204="","",IFERROR(INDEX(사건마스터!$AV$5:$AV$64,MATCH($F204,사건마스터!$A$5:$A$64,0)),""))</f>
        <v/>
      </c>
      <c r="Z204" s="30">
        <f>IF(COUNTBLANK($J204:$Y204)=16,"",16-COUNTBLANK($J204:$Y204))</f>
        <v/>
      </c>
      <c r="AA204" s="33">
        <f>IF($J204="",MID($AX204,3,255),$J204&amp;$AX204)</f>
        <v/>
      </c>
      <c r="AB204" s="34">
        <f>IF($J204="","",IFERROR(INDEX(코드설정!$D$5:$D$24,MATCH($J204,코드설정!$C$5:$C$24,0)),""))</f>
        <v/>
      </c>
      <c r="AC204" s="36" t="n"/>
      <c r="AD204" s="37" t="n"/>
      <c r="AE204" s="38" t="n"/>
      <c r="AF204" s="30">
        <f>IF(OR($B204="",$C204=""),"",$C204-$B204+1)</f>
        <v/>
      </c>
      <c r="AG204" s="32" t="n"/>
      <c r="AH204" s="36" t="n"/>
      <c r="AJ204">
        <f>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  <c r="AX204">
        <f>AW204&amp;IF($Y204="","",", "&amp;$Y204)</f>
        <v/>
      </c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0">
        <f>IF($F205="","",COUNTIF($F$5:$F205,$F205))</f>
        <v/>
      </c>
      <c r="H205" s="33">
        <f>IF($F205="","",IFERROR(INDEX(사건마스터!$B$5:$B$64,MATCH($F205,사건마스터!$A$5:$A$64,0)),""))</f>
        <v/>
      </c>
      <c r="I205" s="34">
        <f>IF($F205="","",IFERROR(INDEX(사건마스터!$C$5:$C$64,MATCH($F205,사건마스터!$A$5:$A$64,0)),""))</f>
        <v/>
      </c>
      <c r="J205" s="35">
        <f>IF($F205="","",IFERROR(INDEX(사건마스터!$H$5:$H$64,MATCH($F205,사건마스터!$A$5:$A$64,0)),""))</f>
        <v/>
      </c>
      <c r="K205" s="35">
        <f>IF($F205="","",IFERROR(INDEX(사건마스터!$AH$5:$AH$64,MATCH($F205,사건마스터!$A$5:$A$64,0)),""))</f>
        <v/>
      </c>
      <c r="L205" s="35">
        <f>IF($F205="","",IFERROR(INDEX(사건마스터!$AI$5:$AI$64,MATCH($F205,사건마스터!$A$5:$A$64,0)),""))</f>
        <v/>
      </c>
      <c r="M205" s="35">
        <f>IF($F205="","",IFERROR(INDEX(사건마스터!$AJ$5:$AJ$64,MATCH($F205,사건마스터!$A$5:$A$64,0)),""))</f>
        <v/>
      </c>
      <c r="N205" s="35">
        <f>IF($F205="","",IFERROR(INDEX(사건마스터!$AK$5:$AK$64,MATCH($F205,사건마스터!$A$5:$A$64,0)),""))</f>
        <v/>
      </c>
      <c r="O205" s="35">
        <f>IF($F205="","",IFERROR(INDEX(사건마스터!$AL$5:$AL$64,MATCH($F205,사건마스터!$A$5:$A$64,0)),""))</f>
        <v/>
      </c>
      <c r="P205" s="35">
        <f>IF($F205="","",IFERROR(INDEX(사건마스터!$AM$5:$AM$64,MATCH($F205,사건마스터!$A$5:$A$64,0)),""))</f>
        <v/>
      </c>
      <c r="Q205" s="35">
        <f>IF($F205="","",IFERROR(INDEX(사건마스터!$AN$5:$AN$64,MATCH($F205,사건마스터!$A$5:$A$64,0)),""))</f>
        <v/>
      </c>
      <c r="R205" s="35">
        <f>IF($F205="","",IFERROR(INDEX(사건마스터!$AO$5:$AO$64,MATCH($F205,사건마스터!$A$5:$A$64,0)),""))</f>
        <v/>
      </c>
      <c r="S205" s="35">
        <f>IF($F205="","",IFERROR(INDEX(사건마스터!$AP$5:$AP$64,MATCH($F205,사건마스터!$A$5:$A$64,0)),""))</f>
        <v/>
      </c>
      <c r="T205" s="35">
        <f>IF($F205="","",IFERROR(INDEX(사건마스터!$AQ$5:$AQ$64,MATCH($F205,사건마스터!$A$5:$A$64,0)),""))</f>
        <v/>
      </c>
      <c r="U205" s="35">
        <f>IF($F205="","",IFERROR(INDEX(사건마스터!$AR$5:$AR$64,MATCH($F205,사건마스터!$A$5:$A$64,0)),""))</f>
        <v/>
      </c>
      <c r="V205" s="35">
        <f>IF($F205="","",IFERROR(INDEX(사건마스터!$AS$5:$AS$64,MATCH($F205,사건마스터!$A$5:$A$64,0)),""))</f>
        <v/>
      </c>
      <c r="W205" s="35">
        <f>IF($F205="","",IFERROR(INDEX(사건마스터!$AT$5:$AT$64,MATCH($F205,사건마스터!$A$5:$A$64,0)),""))</f>
        <v/>
      </c>
      <c r="X205" s="35">
        <f>IF($F205="","",IFERROR(INDEX(사건마스터!$AU$5:$AU$64,MATCH($F205,사건마스터!$A$5:$A$64,0)),""))</f>
        <v/>
      </c>
      <c r="Y205" s="35">
        <f>IF($F205="","",IFERROR(INDEX(사건마스터!$AV$5:$AV$64,MATCH($F205,사건마스터!$A$5:$A$64,0)),""))</f>
        <v/>
      </c>
      <c r="Z205" s="30">
        <f>IF(COUNTBLANK($J205:$Y205)=16,"",16-COUNTBLANK($J205:$Y205))</f>
        <v/>
      </c>
      <c r="AA205" s="33">
        <f>IF($J205="",MID($AX205,3,255),$J205&amp;$AX205)</f>
        <v/>
      </c>
      <c r="AB205" s="34">
        <f>IF($J205="","",IFERROR(INDEX(코드설정!$D$5:$D$24,MATCH($J205,코드설정!$C$5:$C$24,0)),""))</f>
        <v/>
      </c>
      <c r="AC205" s="36" t="n"/>
      <c r="AD205" s="37" t="n"/>
      <c r="AE205" s="38" t="n"/>
      <c r="AF205" s="30">
        <f>IF(OR($B205="",$C205=""),"",$C205-$B205+1)</f>
        <v/>
      </c>
      <c r="AG205" s="32" t="n"/>
      <c r="AH205" s="36" t="n"/>
      <c r="AJ205">
        <f>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  <c r="AX205">
        <f>AW205&amp;IF($Y205="","",", "&amp;$Y205)</f>
        <v/>
      </c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0">
        <f>IF($F206="","",COUNTIF($F$5:$F206,$F206))</f>
        <v/>
      </c>
      <c r="H206" s="33">
        <f>IF($F206="","",IFERROR(INDEX(사건마스터!$B$5:$B$64,MATCH($F206,사건마스터!$A$5:$A$64,0)),""))</f>
        <v/>
      </c>
      <c r="I206" s="34">
        <f>IF($F206="","",IFERROR(INDEX(사건마스터!$C$5:$C$64,MATCH($F206,사건마스터!$A$5:$A$64,0)),""))</f>
        <v/>
      </c>
      <c r="J206" s="35">
        <f>IF($F206="","",IFERROR(INDEX(사건마스터!$H$5:$H$64,MATCH($F206,사건마스터!$A$5:$A$64,0)),""))</f>
        <v/>
      </c>
      <c r="K206" s="35">
        <f>IF($F206="","",IFERROR(INDEX(사건마스터!$AH$5:$AH$64,MATCH($F206,사건마스터!$A$5:$A$64,0)),""))</f>
        <v/>
      </c>
      <c r="L206" s="35">
        <f>IF($F206="","",IFERROR(INDEX(사건마스터!$AI$5:$AI$64,MATCH($F206,사건마스터!$A$5:$A$64,0)),""))</f>
        <v/>
      </c>
      <c r="M206" s="35">
        <f>IF($F206="","",IFERROR(INDEX(사건마스터!$AJ$5:$AJ$64,MATCH($F206,사건마스터!$A$5:$A$64,0)),""))</f>
        <v/>
      </c>
      <c r="N206" s="35">
        <f>IF($F206="","",IFERROR(INDEX(사건마스터!$AK$5:$AK$64,MATCH($F206,사건마스터!$A$5:$A$64,0)),""))</f>
        <v/>
      </c>
      <c r="O206" s="35">
        <f>IF($F206="","",IFERROR(INDEX(사건마스터!$AL$5:$AL$64,MATCH($F206,사건마스터!$A$5:$A$64,0)),""))</f>
        <v/>
      </c>
      <c r="P206" s="35">
        <f>IF($F206="","",IFERROR(INDEX(사건마스터!$AM$5:$AM$64,MATCH($F206,사건마스터!$A$5:$A$64,0)),""))</f>
        <v/>
      </c>
      <c r="Q206" s="35">
        <f>IF($F206="","",IFERROR(INDEX(사건마스터!$AN$5:$AN$64,MATCH($F206,사건마스터!$A$5:$A$64,0)),""))</f>
        <v/>
      </c>
      <c r="R206" s="35">
        <f>IF($F206="","",IFERROR(INDEX(사건마스터!$AO$5:$AO$64,MATCH($F206,사건마스터!$A$5:$A$64,0)),""))</f>
        <v/>
      </c>
      <c r="S206" s="35">
        <f>IF($F206="","",IFERROR(INDEX(사건마스터!$AP$5:$AP$64,MATCH($F206,사건마스터!$A$5:$A$64,0)),""))</f>
        <v/>
      </c>
      <c r="T206" s="35">
        <f>IF($F206="","",IFERROR(INDEX(사건마스터!$AQ$5:$AQ$64,MATCH($F206,사건마스터!$A$5:$A$64,0)),""))</f>
        <v/>
      </c>
      <c r="U206" s="35">
        <f>IF($F206="","",IFERROR(INDEX(사건마스터!$AR$5:$AR$64,MATCH($F206,사건마스터!$A$5:$A$64,0)),""))</f>
        <v/>
      </c>
      <c r="V206" s="35">
        <f>IF($F206="","",IFERROR(INDEX(사건마스터!$AS$5:$AS$64,MATCH($F206,사건마스터!$A$5:$A$64,0)),""))</f>
        <v/>
      </c>
      <c r="W206" s="35">
        <f>IF($F206="","",IFERROR(INDEX(사건마스터!$AT$5:$AT$64,MATCH($F206,사건마스터!$A$5:$A$64,0)),""))</f>
        <v/>
      </c>
      <c r="X206" s="35">
        <f>IF($F206="","",IFERROR(INDEX(사건마스터!$AU$5:$AU$64,MATCH($F206,사건마스터!$A$5:$A$64,0)),""))</f>
        <v/>
      </c>
      <c r="Y206" s="35">
        <f>IF($F206="","",IFERROR(INDEX(사건마스터!$AV$5:$AV$64,MATCH($F206,사건마스터!$A$5:$A$64,0)),""))</f>
        <v/>
      </c>
      <c r="Z206" s="30">
        <f>IF(COUNTBLANK($J206:$Y206)=16,"",16-COUNTBLANK($J206:$Y206))</f>
        <v/>
      </c>
      <c r="AA206" s="33">
        <f>IF($J206="",MID($AX206,3,255),$J206&amp;$AX206)</f>
        <v/>
      </c>
      <c r="AB206" s="34">
        <f>IF($J206="","",IFERROR(INDEX(코드설정!$D$5:$D$24,MATCH($J206,코드설정!$C$5:$C$24,0)),""))</f>
        <v/>
      </c>
      <c r="AC206" s="36" t="n"/>
      <c r="AD206" s="37" t="n"/>
      <c r="AE206" s="38" t="n"/>
      <c r="AF206" s="30">
        <f>IF(OR($B206="",$C206=""),"",$C206-$B206+1)</f>
        <v/>
      </c>
      <c r="AG206" s="32" t="n"/>
      <c r="AH206" s="36" t="n"/>
      <c r="AJ206">
        <f>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  <c r="AX206">
        <f>AW206&amp;IF($Y206="","",", "&amp;$Y206)</f>
        <v/>
      </c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0">
        <f>IF($F207="","",COUNTIF($F$5:$F207,$F207))</f>
        <v/>
      </c>
      <c r="H207" s="33">
        <f>IF($F207="","",IFERROR(INDEX(사건마스터!$B$5:$B$64,MATCH($F207,사건마스터!$A$5:$A$64,0)),""))</f>
        <v/>
      </c>
      <c r="I207" s="34">
        <f>IF($F207="","",IFERROR(INDEX(사건마스터!$C$5:$C$64,MATCH($F207,사건마스터!$A$5:$A$64,0)),""))</f>
        <v/>
      </c>
      <c r="J207" s="35">
        <f>IF($F207="","",IFERROR(INDEX(사건마스터!$H$5:$H$64,MATCH($F207,사건마스터!$A$5:$A$64,0)),""))</f>
        <v/>
      </c>
      <c r="K207" s="35">
        <f>IF($F207="","",IFERROR(INDEX(사건마스터!$AH$5:$AH$64,MATCH($F207,사건마스터!$A$5:$A$64,0)),""))</f>
        <v/>
      </c>
      <c r="L207" s="35">
        <f>IF($F207="","",IFERROR(INDEX(사건마스터!$AI$5:$AI$64,MATCH($F207,사건마스터!$A$5:$A$64,0)),""))</f>
        <v/>
      </c>
      <c r="M207" s="35">
        <f>IF($F207="","",IFERROR(INDEX(사건마스터!$AJ$5:$AJ$64,MATCH($F207,사건마스터!$A$5:$A$64,0)),""))</f>
        <v/>
      </c>
      <c r="N207" s="35">
        <f>IF($F207="","",IFERROR(INDEX(사건마스터!$AK$5:$AK$64,MATCH($F207,사건마스터!$A$5:$A$64,0)),""))</f>
        <v/>
      </c>
      <c r="O207" s="35">
        <f>IF($F207="","",IFERROR(INDEX(사건마스터!$AL$5:$AL$64,MATCH($F207,사건마스터!$A$5:$A$64,0)),""))</f>
        <v/>
      </c>
      <c r="P207" s="35">
        <f>IF($F207="","",IFERROR(INDEX(사건마스터!$AM$5:$AM$64,MATCH($F207,사건마스터!$A$5:$A$64,0)),""))</f>
        <v/>
      </c>
      <c r="Q207" s="35">
        <f>IF($F207="","",IFERROR(INDEX(사건마스터!$AN$5:$AN$64,MATCH($F207,사건마스터!$A$5:$A$64,0)),""))</f>
        <v/>
      </c>
      <c r="R207" s="35">
        <f>IF($F207="","",IFERROR(INDEX(사건마스터!$AO$5:$AO$64,MATCH($F207,사건마스터!$A$5:$A$64,0)),""))</f>
        <v/>
      </c>
      <c r="S207" s="35">
        <f>IF($F207="","",IFERROR(INDEX(사건마스터!$AP$5:$AP$64,MATCH($F207,사건마스터!$A$5:$A$64,0)),""))</f>
        <v/>
      </c>
      <c r="T207" s="35">
        <f>IF($F207="","",IFERROR(INDEX(사건마스터!$AQ$5:$AQ$64,MATCH($F207,사건마스터!$A$5:$A$64,0)),""))</f>
        <v/>
      </c>
      <c r="U207" s="35">
        <f>IF($F207="","",IFERROR(INDEX(사건마스터!$AR$5:$AR$64,MATCH($F207,사건마스터!$A$5:$A$64,0)),""))</f>
        <v/>
      </c>
      <c r="V207" s="35">
        <f>IF($F207="","",IFERROR(INDEX(사건마스터!$AS$5:$AS$64,MATCH($F207,사건마스터!$A$5:$A$64,0)),""))</f>
        <v/>
      </c>
      <c r="W207" s="35">
        <f>IF($F207="","",IFERROR(INDEX(사건마스터!$AT$5:$AT$64,MATCH($F207,사건마스터!$A$5:$A$64,0)),""))</f>
        <v/>
      </c>
      <c r="X207" s="35">
        <f>IF($F207="","",IFERROR(INDEX(사건마스터!$AU$5:$AU$64,MATCH($F207,사건마스터!$A$5:$A$64,0)),""))</f>
        <v/>
      </c>
      <c r="Y207" s="35">
        <f>IF($F207="","",IFERROR(INDEX(사건마스터!$AV$5:$AV$64,MATCH($F207,사건마스터!$A$5:$A$64,0)),""))</f>
        <v/>
      </c>
      <c r="Z207" s="30">
        <f>IF(COUNTBLANK($J207:$Y207)=16,"",16-COUNTBLANK($J207:$Y207))</f>
        <v/>
      </c>
      <c r="AA207" s="33">
        <f>IF($J207="",MID($AX207,3,255),$J207&amp;$AX207)</f>
        <v/>
      </c>
      <c r="AB207" s="34">
        <f>IF($J207="","",IFERROR(INDEX(코드설정!$D$5:$D$24,MATCH($J207,코드설정!$C$5:$C$24,0)),""))</f>
        <v/>
      </c>
      <c r="AC207" s="36" t="n"/>
      <c r="AD207" s="37" t="n"/>
      <c r="AE207" s="38" t="n"/>
      <c r="AF207" s="30">
        <f>IF(OR($B207="",$C207=""),"",$C207-$B207+1)</f>
        <v/>
      </c>
      <c r="AG207" s="32" t="n"/>
      <c r="AH207" s="36" t="n"/>
      <c r="AJ207">
        <f>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  <c r="AX207">
        <f>AW207&amp;IF($Y207="","",", "&amp;$Y207)</f>
        <v/>
      </c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0">
        <f>IF($F208="","",COUNTIF($F$5:$F208,$F208))</f>
        <v/>
      </c>
      <c r="H208" s="33">
        <f>IF($F208="","",IFERROR(INDEX(사건마스터!$B$5:$B$64,MATCH($F208,사건마스터!$A$5:$A$64,0)),""))</f>
        <v/>
      </c>
      <c r="I208" s="34">
        <f>IF($F208="","",IFERROR(INDEX(사건마스터!$C$5:$C$64,MATCH($F208,사건마스터!$A$5:$A$64,0)),""))</f>
        <v/>
      </c>
      <c r="J208" s="35">
        <f>IF($F208="","",IFERROR(INDEX(사건마스터!$H$5:$H$64,MATCH($F208,사건마스터!$A$5:$A$64,0)),""))</f>
        <v/>
      </c>
      <c r="K208" s="35">
        <f>IF($F208="","",IFERROR(INDEX(사건마스터!$AH$5:$AH$64,MATCH($F208,사건마스터!$A$5:$A$64,0)),""))</f>
        <v/>
      </c>
      <c r="L208" s="35">
        <f>IF($F208="","",IFERROR(INDEX(사건마스터!$AI$5:$AI$64,MATCH($F208,사건마스터!$A$5:$A$64,0)),""))</f>
        <v/>
      </c>
      <c r="M208" s="35">
        <f>IF($F208="","",IFERROR(INDEX(사건마스터!$AJ$5:$AJ$64,MATCH($F208,사건마스터!$A$5:$A$64,0)),""))</f>
        <v/>
      </c>
      <c r="N208" s="35">
        <f>IF($F208="","",IFERROR(INDEX(사건마스터!$AK$5:$AK$64,MATCH($F208,사건마스터!$A$5:$A$64,0)),""))</f>
        <v/>
      </c>
      <c r="O208" s="35">
        <f>IF($F208="","",IFERROR(INDEX(사건마스터!$AL$5:$AL$64,MATCH($F208,사건마스터!$A$5:$A$64,0)),""))</f>
        <v/>
      </c>
      <c r="P208" s="35">
        <f>IF($F208="","",IFERROR(INDEX(사건마스터!$AM$5:$AM$64,MATCH($F208,사건마스터!$A$5:$A$64,0)),""))</f>
        <v/>
      </c>
      <c r="Q208" s="35">
        <f>IF($F208="","",IFERROR(INDEX(사건마스터!$AN$5:$AN$64,MATCH($F208,사건마스터!$A$5:$A$64,0)),""))</f>
        <v/>
      </c>
      <c r="R208" s="35">
        <f>IF($F208="","",IFERROR(INDEX(사건마스터!$AO$5:$AO$64,MATCH($F208,사건마스터!$A$5:$A$64,0)),""))</f>
        <v/>
      </c>
      <c r="S208" s="35">
        <f>IF($F208="","",IFERROR(INDEX(사건마스터!$AP$5:$AP$64,MATCH($F208,사건마스터!$A$5:$A$64,0)),""))</f>
        <v/>
      </c>
      <c r="T208" s="35">
        <f>IF($F208="","",IFERROR(INDEX(사건마스터!$AQ$5:$AQ$64,MATCH($F208,사건마스터!$A$5:$A$64,0)),""))</f>
        <v/>
      </c>
      <c r="U208" s="35">
        <f>IF($F208="","",IFERROR(INDEX(사건마스터!$AR$5:$AR$64,MATCH($F208,사건마스터!$A$5:$A$64,0)),""))</f>
        <v/>
      </c>
      <c r="V208" s="35">
        <f>IF($F208="","",IFERROR(INDEX(사건마스터!$AS$5:$AS$64,MATCH($F208,사건마스터!$A$5:$A$64,0)),""))</f>
        <v/>
      </c>
      <c r="W208" s="35">
        <f>IF($F208="","",IFERROR(INDEX(사건마스터!$AT$5:$AT$64,MATCH($F208,사건마스터!$A$5:$A$64,0)),""))</f>
        <v/>
      </c>
      <c r="X208" s="35">
        <f>IF($F208="","",IFERROR(INDEX(사건마스터!$AU$5:$AU$64,MATCH($F208,사건마스터!$A$5:$A$64,0)),""))</f>
        <v/>
      </c>
      <c r="Y208" s="35">
        <f>IF($F208="","",IFERROR(INDEX(사건마스터!$AV$5:$AV$64,MATCH($F208,사건마스터!$A$5:$A$64,0)),""))</f>
        <v/>
      </c>
      <c r="Z208" s="30">
        <f>IF(COUNTBLANK($J208:$Y208)=16,"",16-COUNTBLANK($J208:$Y208))</f>
        <v/>
      </c>
      <c r="AA208" s="33">
        <f>IF($J208="",MID($AX208,3,255),$J208&amp;$AX208)</f>
        <v/>
      </c>
      <c r="AB208" s="34">
        <f>IF($J208="","",IFERROR(INDEX(코드설정!$D$5:$D$24,MATCH($J208,코드설정!$C$5:$C$24,0)),""))</f>
        <v/>
      </c>
      <c r="AC208" s="36" t="n"/>
      <c r="AD208" s="37" t="n"/>
      <c r="AE208" s="38" t="n"/>
      <c r="AF208" s="30">
        <f>IF(OR($B208="",$C208=""),"",$C208-$B208+1)</f>
        <v/>
      </c>
      <c r="AG208" s="32" t="n"/>
      <c r="AH208" s="36" t="n"/>
      <c r="AJ208">
        <f>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  <c r="AX208">
        <f>AW208&amp;IF($Y208="","",", "&amp;$Y208)</f>
        <v/>
      </c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0">
        <f>IF($F209="","",COUNTIF($F$5:$F209,$F209))</f>
        <v/>
      </c>
      <c r="H209" s="33">
        <f>IF($F209="","",IFERROR(INDEX(사건마스터!$B$5:$B$64,MATCH($F209,사건마스터!$A$5:$A$64,0)),""))</f>
        <v/>
      </c>
      <c r="I209" s="34">
        <f>IF($F209="","",IFERROR(INDEX(사건마스터!$C$5:$C$64,MATCH($F209,사건마스터!$A$5:$A$64,0)),""))</f>
        <v/>
      </c>
      <c r="J209" s="35">
        <f>IF($F209="","",IFERROR(INDEX(사건마스터!$H$5:$H$64,MATCH($F209,사건마스터!$A$5:$A$64,0)),""))</f>
        <v/>
      </c>
      <c r="K209" s="35">
        <f>IF($F209="","",IFERROR(INDEX(사건마스터!$AH$5:$AH$64,MATCH($F209,사건마스터!$A$5:$A$64,0)),""))</f>
        <v/>
      </c>
      <c r="L209" s="35">
        <f>IF($F209="","",IFERROR(INDEX(사건마스터!$AI$5:$AI$64,MATCH($F209,사건마스터!$A$5:$A$64,0)),""))</f>
        <v/>
      </c>
      <c r="M209" s="35">
        <f>IF($F209="","",IFERROR(INDEX(사건마스터!$AJ$5:$AJ$64,MATCH($F209,사건마스터!$A$5:$A$64,0)),""))</f>
        <v/>
      </c>
      <c r="N209" s="35">
        <f>IF($F209="","",IFERROR(INDEX(사건마스터!$AK$5:$AK$64,MATCH($F209,사건마스터!$A$5:$A$64,0)),""))</f>
        <v/>
      </c>
      <c r="O209" s="35">
        <f>IF($F209="","",IFERROR(INDEX(사건마스터!$AL$5:$AL$64,MATCH($F209,사건마스터!$A$5:$A$64,0)),""))</f>
        <v/>
      </c>
      <c r="P209" s="35">
        <f>IF($F209="","",IFERROR(INDEX(사건마스터!$AM$5:$AM$64,MATCH($F209,사건마스터!$A$5:$A$64,0)),""))</f>
        <v/>
      </c>
      <c r="Q209" s="35">
        <f>IF($F209="","",IFERROR(INDEX(사건마스터!$AN$5:$AN$64,MATCH($F209,사건마스터!$A$5:$A$64,0)),""))</f>
        <v/>
      </c>
      <c r="R209" s="35">
        <f>IF($F209="","",IFERROR(INDEX(사건마스터!$AO$5:$AO$64,MATCH($F209,사건마스터!$A$5:$A$64,0)),""))</f>
        <v/>
      </c>
      <c r="S209" s="35">
        <f>IF($F209="","",IFERROR(INDEX(사건마스터!$AP$5:$AP$64,MATCH($F209,사건마스터!$A$5:$A$64,0)),""))</f>
        <v/>
      </c>
      <c r="T209" s="35">
        <f>IF($F209="","",IFERROR(INDEX(사건마스터!$AQ$5:$AQ$64,MATCH($F209,사건마스터!$A$5:$A$64,0)),""))</f>
        <v/>
      </c>
      <c r="U209" s="35">
        <f>IF($F209="","",IFERROR(INDEX(사건마스터!$AR$5:$AR$64,MATCH($F209,사건마스터!$A$5:$A$64,0)),""))</f>
        <v/>
      </c>
      <c r="V209" s="35">
        <f>IF($F209="","",IFERROR(INDEX(사건마스터!$AS$5:$AS$64,MATCH($F209,사건마스터!$A$5:$A$64,0)),""))</f>
        <v/>
      </c>
      <c r="W209" s="35">
        <f>IF($F209="","",IFERROR(INDEX(사건마스터!$AT$5:$AT$64,MATCH($F209,사건마스터!$A$5:$A$64,0)),""))</f>
        <v/>
      </c>
      <c r="X209" s="35">
        <f>IF($F209="","",IFERROR(INDEX(사건마스터!$AU$5:$AU$64,MATCH($F209,사건마스터!$A$5:$A$64,0)),""))</f>
        <v/>
      </c>
      <c r="Y209" s="35">
        <f>IF($F209="","",IFERROR(INDEX(사건마스터!$AV$5:$AV$64,MATCH($F209,사건마스터!$A$5:$A$64,0)),""))</f>
        <v/>
      </c>
      <c r="Z209" s="30">
        <f>IF(COUNTBLANK($J209:$Y209)=16,"",16-COUNTBLANK($J209:$Y209))</f>
        <v/>
      </c>
      <c r="AA209" s="33">
        <f>IF($J209="",MID($AX209,3,255),$J209&amp;$AX209)</f>
        <v/>
      </c>
      <c r="AB209" s="34">
        <f>IF($J209="","",IFERROR(INDEX(코드설정!$D$5:$D$24,MATCH($J209,코드설정!$C$5:$C$24,0)),""))</f>
        <v/>
      </c>
      <c r="AC209" s="36" t="n"/>
      <c r="AD209" s="37" t="n"/>
      <c r="AE209" s="38" t="n"/>
      <c r="AF209" s="30">
        <f>IF(OR($B209="",$C209=""),"",$C209-$B209+1)</f>
        <v/>
      </c>
      <c r="AG209" s="32" t="n"/>
      <c r="AH209" s="36" t="n"/>
      <c r="AJ209">
        <f>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  <c r="AX209">
        <f>AW209&amp;IF($Y209="","",", "&amp;$Y209)</f>
        <v/>
      </c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0">
        <f>IF($F210="","",COUNTIF($F$5:$F210,$F210))</f>
        <v/>
      </c>
      <c r="H210" s="33">
        <f>IF($F210="","",IFERROR(INDEX(사건마스터!$B$5:$B$64,MATCH($F210,사건마스터!$A$5:$A$64,0)),""))</f>
        <v/>
      </c>
      <c r="I210" s="34">
        <f>IF($F210="","",IFERROR(INDEX(사건마스터!$C$5:$C$64,MATCH($F210,사건마스터!$A$5:$A$64,0)),""))</f>
        <v/>
      </c>
      <c r="J210" s="35">
        <f>IF($F210="","",IFERROR(INDEX(사건마스터!$H$5:$H$64,MATCH($F210,사건마스터!$A$5:$A$64,0)),""))</f>
        <v/>
      </c>
      <c r="K210" s="35">
        <f>IF($F210="","",IFERROR(INDEX(사건마스터!$AH$5:$AH$64,MATCH($F210,사건마스터!$A$5:$A$64,0)),""))</f>
        <v/>
      </c>
      <c r="L210" s="35">
        <f>IF($F210="","",IFERROR(INDEX(사건마스터!$AI$5:$AI$64,MATCH($F210,사건마스터!$A$5:$A$64,0)),""))</f>
        <v/>
      </c>
      <c r="M210" s="35">
        <f>IF($F210="","",IFERROR(INDEX(사건마스터!$AJ$5:$AJ$64,MATCH($F210,사건마스터!$A$5:$A$64,0)),""))</f>
        <v/>
      </c>
      <c r="N210" s="35">
        <f>IF($F210="","",IFERROR(INDEX(사건마스터!$AK$5:$AK$64,MATCH($F210,사건마스터!$A$5:$A$64,0)),""))</f>
        <v/>
      </c>
      <c r="O210" s="35">
        <f>IF($F210="","",IFERROR(INDEX(사건마스터!$AL$5:$AL$64,MATCH($F210,사건마스터!$A$5:$A$64,0)),""))</f>
        <v/>
      </c>
      <c r="P210" s="35">
        <f>IF($F210="","",IFERROR(INDEX(사건마스터!$AM$5:$AM$64,MATCH($F210,사건마스터!$A$5:$A$64,0)),""))</f>
        <v/>
      </c>
      <c r="Q210" s="35">
        <f>IF($F210="","",IFERROR(INDEX(사건마스터!$AN$5:$AN$64,MATCH($F210,사건마스터!$A$5:$A$64,0)),""))</f>
        <v/>
      </c>
      <c r="R210" s="35">
        <f>IF($F210="","",IFERROR(INDEX(사건마스터!$AO$5:$AO$64,MATCH($F210,사건마스터!$A$5:$A$64,0)),""))</f>
        <v/>
      </c>
      <c r="S210" s="35">
        <f>IF($F210="","",IFERROR(INDEX(사건마스터!$AP$5:$AP$64,MATCH($F210,사건마스터!$A$5:$A$64,0)),""))</f>
        <v/>
      </c>
      <c r="T210" s="35">
        <f>IF($F210="","",IFERROR(INDEX(사건마스터!$AQ$5:$AQ$64,MATCH($F210,사건마스터!$A$5:$A$64,0)),""))</f>
        <v/>
      </c>
      <c r="U210" s="35">
        <f>IF($F210="","",IFERROR(INDEX(사건마스터!$AR$5:$AR$64,MATCH($F210,사건마스터!$A$5:$A$64,0)),""))</f>
        <v/>
      </c>
      <c r="V210" s="35">
        <f>IF($F210="","",IFERROR(INDEX(사건마스터!$AS$5:$AS$64,MATCH($F210,사건마스터!$A$5:$A$64,0)),""))</f>
        <v/>
      </c>
      <c r="W210" s="35">
        <f>IF($F210="","",IFERROR(INDEX(사건마스터!$AT$5:$AT$64,MATCH($F210,사건마스터!$A$5:$A$64,0)),""))</f>
        <v/>
      </c>
      <c r="X210" s="35">
        <f>IF($F210="","",IFERROR(INDEX(사건마스터!$AU$5:$AU$64,MATCH($F210,사건마스터!$A$5:$A$64,0)),""))</f>
        <v/>
      </c>
      <c r="Y210" s="35">
        <f>IF($F210="","",IFERROR(INDEX(사건마스터!$AV$5:$AV$64,MATCH($F210,사건마스터!$A$5:$A$64,0)),""))</f>
        <v/>
      </c>
      <c r="Z210" s="30">
        <f>IF(COUNTBLANK($J210:$Y210)=16,"",16-COUNTBLANK($J210:$Y210))</f>
        <v/>
      </c>
      <c r="AA210" s="33">
        <f>IF($J210="",MID($AX210,3,255),$J210&amp;$AX210)</f>
        <v/>
      </c>
      <c r="AB210" s="34">
        <f>IF($J210="","",IFERROR(INDEX(코드설정!$D$5:$D$24,MATCH($J210,코드설정!$C$5:$C$24,0)),""))</f>
        <v/>
      </c>
      <c r="AC210" s="36" t="n"/>
      <c r="AD210" s="37" t="n"/>
      <c r="AE210" s="38" t="n"/>
      <c r="AF210" s="30">
        <f>IF(OR($B210="",$C210=""),"",$C210-$B210+1)</f>
        <v/>
      </c>
      <c r="AG210" s="32" t="n"/>
      <c r="AH210" s="36" t="n"/>
      <c r="AJ210">
        <f>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  <c r="AX210">
        <f>AW210&amp;IF($Y210="","",", "&amp;$Y210)</f>
        <v/>
      </c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0">
        <f>IF($F211="","",COUNTIF($F$5:$F211,$F211))</f>
        <v/>
      </c>
      <c r="H211" s="33">
        <f>IF($F211="","",IFERROR(INDEX(사건마스터!$B$5:$B$64,MATCH($F211,사건마스터!$A$5:$A$64,0)),""))</f>
        <v/>
      </c>
      <c r="I211" s="34">
        <f>IF($F211="","",IFERROR(INDEX(사건마스터!$C$5:$C$64,MATCH($F211,사건마스터!$A$5:$A$64,0)),""))</f>
        <v/>
      </c>
      <c r="J211" s="35">
        <f>IF($F211="","",IFERROR(INDEX(사건마스터!$H$5:$H$64,MATCH($F211,사건마스터!$A$5:$A$64,0)),""))</f>
        <v/>
      </c>
      <c r="K211" s="35">
        <f>IF($F211="","",IFERROR(INDEX(사건마스터!$AH$5:$AH$64,MATCH($F211,사건마스터!$A$5:$A$64,0)),""))</f>
        <v/>
      </c>
      <c r="L211" s="35">
        <f>IF($F211="","",IFERROR(INDEX(사건마스터!$AI$5:$AI$64,MATCH($F211,사건마스터!$A$5:$A$64,0)),""))</f>
        <v/>
      </c>
      <c r="M211" s="35">
        <f>IF($F211="","",IFERROR(INDEX(사건마스터!$AJ$5:$AJ$64,MATCH($F211,사건마스터!$A$5:$A$64,0)),""))</f>
        <v/>
      </c>
      <c r="N211" s="35">
        <f>IF($F211="","",IFERROR(INDEX(사건마스터!$AK$5:$AK$64,MATCH($F211,사건마스터!$A$5:$A$64,0)),""))</f>
        <v/>
      </c>
      <c r="O211" s="35">
        <f>IF($F211="","",IFERROR(INDEX(사건마스터!$AL$5:$AL$64,MATCH($F211,사건마스터!$A$5:$A$64,0)),""))</f>
        <v/>
      </c>
      <c r="P211" s="35">
        <f>IF($F211="","",IFERROR(INDEX(사건마스터!$AM$5:$AM$64,MATCH($F211,사건마스터!$A$5:$A$64,0)),""))</f>
        <v/>
      </c>
      <c r="Q211" s="35">
        <f>IF($F211="","",IFERROR(INDEX(사건마스터!$AN$5:$AN$64,MATCH($F211,사건마스터!$A$5:$A$64,0)),""))</f>
        <v/>
      </c>
      <c r="R211" s="35">
        <f>IF($F211="","",IFERROR(INDEX(사건마스터!$AO$5:$AO$64,MATCH($F211,사건마스터!$A$5:$A$64,0)),""))</f>
        <v/>
      </c>
      <c r="S211" s="35">
        <f>IF($F211="","",IFERROR(INDEX(사건마스터!$AP$5:$AP$64,MATCH($F211,사건마스터!$A$5:$A$64,0)),""))</f>
        <v/>
      </c>
      <c r="T211" s="35">
        <f>IF($F211="","",IFERROR(INDEX(사건마스터!$AQ$5:$AQ$64,MATCH($F211,사건마스터!$A$5:$A$64,0)),""))</f>
        <v/>
      </c>
      <c r="U211" s="35">
        <f>IF($F211="","",IFERROR(INDEX(사건마스터!$AR$5:$AR$64,MATCH($F211,사건마스터!$A$5:$A$64,0)),""))</f>
        <v/>
      </c>
      <c r="V211" s="35">
        <f>IF($F211="","",IFERROR(INDEX(사건마스터!$AS$5:$AS$64,MATCH($F211,사건마스터!$A$5:$A$64,0)),""))</f>
        <v/>
      </c>
      <c r="W211" s="35">
        <f>IF($F211="","",IFERROR(INDEX(사건마스터!$AT$5:$AT$64,MATCH($F211,사건마스터!$A$5:$A$64,0)),""))</f>
        <v/>
      </c>
      <c r="X211" s="35">
        <f>IF($F211="","",IFERROR(INDEX(사건마스터!$AU$5:$AU$64,MATCH($F211,사건마스터!$A$5:$A$64,0)),""))</f>
        <v/>
      </c>
      <c r="Y211" s="35">
        <f>IF($F211="","",IFERROR(INDEX(사건마스터!$AV$5:$AV$64,MATCH($F211,사건마스터!$A$5:$A$64,0)),""))</f>
        <v/>
      </c>
      <c r="Z211" s="30">
        <f>IF(COUNTBLANK($J211:$Y211)=16,"",16-COUNTBLANK($J211:$Y211))</f>
        <v/>
      </c>
      <c r="AA211" s="33">
        <f>IF($J211="",MID($AX211,3,255),$J211&amp;$AX211)</f>
        <v/>
      </c>
      <c r="AB211" s="34">
        <f>IF($J211="","",IFERROR(INDEX(코드설정!$D$5:$D$24,MATCH($J211,코드설정!$C$5:$C$24,0)),""))</f>
        <v/>
      </c>
      <c r="AC211" s="36" t="n"/>
      <c r="AD211" s="37" t="n"/>
      <c r="AE211" s="38" t="n"/>
      <c r="AF211" s="30">
        <f>IF(OR($B211="",$C211=""),"",$C211-$B211+1)</f>
        <v/>
      </c>
      <c r="AG211" s="32" t="n"/>
      <c r="AH211" s="36" t="n"/>
      <c r="AJ211">
        <f>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  <c r="AX211">
        <f>AW211&amp;IF($Y211="","",", "&amp;$Y211)</f>
        <v/>
      </c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0">
        <f>IF($F212="","",COUNTIF($F$5:$F212,$F212))</f>
        <v/>
      </c>
      <c r="H212" s="33">
        <f>IF($F212="","",IFERROR(INDEX(사건마스터!$B$5:$B$64,MATCH($F212,사건마스터!$A$5:$A$64,0)),""))</f>
        <v/>
      </c>
      <c r="I212" s="34">
        <f>IF($F212="","",IFERROR(INDEX(사건마스터!$C$5:$C$64,MATCH($F212,사건마스터!$A$5:$A$64,0)),""))</f>
        <v/>
      </c>
      <c r="J212" s="35">
        <f>IF($F212="","",IFERROR(INDEX(사건마스터!$H$5:$H$64,MATCH($F212,사건마스터!$A$5:$A$64,0)),""))</f>
        <v/>
      </c>
      <c r="K212" s="35">
        <f>IF($F212="","",IFERROR(INDEX(사건마스터!$AH$5:$AH$64,MATCH($F212,사건마스터!$A$5:$A$64,0)),""))</f>
        <v/>
      </c>
      <c r="L212" s="35">
        <f>IF($F212="","",IFERROR(INDEX(사건마스터!$AI$5:$AI$64,MATCH($F212,사건마스터!$A$5:$A$64,0)),""))</f>
        <v/>
      </c>
      <c r="M212" s="35">
        <f>IF($F212="","",IFERROR(INDEX(사건마스터!$AJ$5:$AJ$64,MATCH($F212,사건마스터!$A$5:$A$64,0)),""))</f>
        <v/>
      </c>
      <c r="N212" s="35">
        <f>IF($F212="","",IFERROR(INDEX(사건마스터!$AK$5:$AK$64,MATCH($F212,사건마스터!$A$5:$A$64,0)),""))</f>
        <v/>
      </c>
      <c r="O212" s="35">
        <f>IF($F212="","",IFERROR(INDEX(사건마스터!$AL$5:$AL$64,MATCH($F212,사건마스터!$A$5:$A$64,0)),""))</f>
        <v/>
      </c>
      <c r="P212" s="35">
        <f>IF($F212="","",IFERROR(INDEX(사건마스터!$AM$5:$AM$64,MATCH($F212,사건마스터!$A$5:$A$64,0)),""))</f>
        <v/>
      </c>
      <c r="Q212" s="35">
        <f>IF($F212="","",IFERROR(INDEX(사건마스터!$AN$5:$AN$64,MATCH($F212,사건마스터!$A$5:$A$64,0)),""))</f>
        <v/>
      </c>
      <c r="R212" s="35">
        <f>IF($F212="","",IFERROR(INDEX(사건마스터!$AO$5:$AO$64,MATCH($F212,사건마스터!$A$5:$A$64,0)),""))</f>
        <v/>
      </c>
      <c r="S212" s="35">
        <f>IF($F212="","",IFERROR(INDEX(사건마스터!$AP$5:$AP$64,MATCH($F212,사건마스터!$A$5:$A$64,0)),""))</f>
        <v/>
      </c>
      <c r="T212" s="35">
        <f>IF($F212="","",IFERROR(INDEX(사건마스터!$AQ$5:$AQ$64,MATCH($F212,사건마스터!$A$5:$A$64,0)),""))</f>
        <v/>
      </c>
      <c r="U212" s="35">
        <f>IF($F212="","",IFERROR(INDEX(사건마스터!$AR$5:$AR$64,MATCH($F212,사건마스터!$A$5:$A$64,0)),""))</f>
        <v/>
      </c>
      <c r="V212" s="35">
        <f>IF($F212="","",IFERROR(INDEX(사건마스터!$AS$5:$AS$64,MATCH($F212,사건마스터!$A$5:$A$64,0)),""))</f>
        <v/>
      </c>
      <c r="W212" s="35">
        <f>IF($F212="","",IFERROR(INDEX(사건마스터!$AT$5:$AT$64,MATCH($F212,사건마스터!$A$5:$A$64,0)),""))</f>
        <v/>
      </c>
      <c r="X212" s="35">
        <f>IF($F212="","",IFERROR(INDEX(사건마스터!$AU$5:$AU$64,MATCH($F212,사건마스터!$A$5:$A$64,0)),""))</f>
        <v/>
      </c>
      <c r="Y212" s="35">
        <f>IF($F212="","",IFERROR(INDEX(사건마스터!$AV$5:$AV$64,MATCH($F212,사건마스터!$A$5:$A$64,0)),""))</f>
        <v/>
      </c>
      <c r="Z212" s="30">
        <f>IF(COUNTBLANK($J212:$Y212)=16,"",16-COUNTBLANK($J212:$Y212))</f>
        <v/>
      </c>
      <c r="AA212" s="33">
        <f>IF($J212="",MID($AX212,3,255),$J212&amp;$AX212)</f>
        <v/>
      </c>
      <c r="AB212" s="34">
        <f>IF($J212="","",IFERROR(INDEX(코드설정!$D$5:$D$24,MATCH($J212,코드설정!$C$5:$C$24,0)),""))</f>
        <v/>
      </c>
      <c r="AC212" s="36" t="n"/>
      <c r="AD212" s="37" t="n"/>
      <c r="AE212" s="38" t="n"/>
      <c r="AF212" s="30">
        <f>IF(OR($B212="",$C212=""),"",$C212-$B212+1)</f>
        <v/>
      </c>
      <c r="AG212" s="32" t="n"/>
      <c r="AH212" s="36" t="n"/>
      <c r="AJ212">
        <f>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  <c r="AX212">
        <f>AW212&amp;IF($Y212="","",", "&amp;$Y212)</f>
        <v/>
      </c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0">
        <f>IF($F213="","",COUNTIF($F$5:$F213,$F213))</f>
        <v/>
      </c>
      <c r="H213" s="33">
        <f>IF($F213="","",IFERROR(INDEX(사건마스터!$B$5:$B$64,MATCH($F213,사건마스터!$A$5:$A$64,0)),""))</f>
        <v/>
      </c>
      <c r="I213" s="34">
        <f>IF($F213="","",IFERROR(INDEX(사건마스터!$C$5:$C$64,MATCH($F213,사건마스터!$A$5:$A$64,0)),""))</f>
        <v/>
      </c>
      <c r="J213" s="35">
        <f>IF($F213="","",IFERROR(INDEX(사건마스터!$H$5:$H$64,MATCH($F213,사건마스터!$A$5:$A$64,0)),""))</f>
        <v/>
      </c>
      <c r="K213" s="35">
        <f>IF($F213="","",IFERROR(INDEX(사건마스터!$AH$5:$AH$64,MATCH($F213,사건마스터!$A$5:$A$64,0)),""))</f>
        <v/>
      </c>
      <c r="L213" s="35">
        <f>IF($F213="","",IFERROR(INDEX(사건마스터!$AI$5:$AI$64,MATCH($F213,사건마스터!$A$5:$A$64,0)),""))</f>
        <v/>
      </c>
      <c r="M213" s="35">
        <f>IF($F213="","",IFERROR(INDEX(사건마스터!$AJ$5:$AJ$64,MATCH($F213,사건마스터!$A$5:$A$64,0)),""))</f>
        <v/>
      </c>
      <c r="N213" s="35">
        <f>IF($F213="","",IFERROR(INDEX(사건마스터!$AK$5:$AK$64,MATCH($F213,사건마스터!$A$5:$A$64,0)),""))</f>
        <v/>
      </c>
      <c r="O213" s="35">
        <f>IF($F213="","",IFERROR(INDEX(사건마스터!$AL$5:$AL$64,MATCH($F213,사건마스터!$A$5:$A$64,0)),""))</f>
        <v/>
      </c>
      <c r="P213" s="35">
        <f>IF($F213="","",IFERROR(INDEX(사건마스터!$AM$5:$AM$64,MATCH($F213,사건마스터!$A$5:$A$64,0)),""))</f>
        <v/>
      </c>
      <c r="Q213" s="35">
        <f>IF($F213="","",IFERROR(INDEX(사건마스터!$AN$5:$AN$64,MATCH($F213,사건마스터!$A$5:$A$64,0)),""))</f>
        <v/>
      </c>
      <c r="R213" s="35">
        <f>IF($F213="","",IFERROR(INDEX(사건마스터!$AO$5:$AO$64,MATCH($F213,사건마스터!$A$5:$A$64,0)),""))</f>
        <v/>
      </c>
      <c r="S213" s="35">
        <f>IF($F213="","",IFERROR(INDEX(사건마스터!$AP$5:$AP$64,MATCH($F213,사건마스터!$A$5:$A$64,0)),""))</f>
        <v/>
      </c>
      <c r="T213" s="35">
        <f>IF($F213="","",IFERROR(INDEX(사건마스터!$AQ$5:$AQ$64,MATCH($F213,사건마스터!$A$5:$A$64,0)),""))</f>
        <v/>
      </c>
      <c r="U213" s="35">
        <f>IF($F213="","",IFERROR(INDEX(사건마스터!$AR$5:$AR$64,MATCH($F213,사건마스터!$A$5:$A$64,0)),""))</f>
        <v/>
      </c>
      <c r="V213" s="35">
        <f>IF($F213="","",IFERROR(INDEX(사건마스터!$AS$5:$AS$64,MATCH($F213,사건마스터!$A$5:$A$64,0)),""))</f>
        <v/>
      </c>
      <c r="W213" s="35">
        <f>IF($F213="","",IFERROR(INDEX(사건마스터!$AT$5:$AT$64,MATCH($F213,사건마스터!$A$5:$A$64,0)),""))</f>
        <v/>
      </c>
      <c r="X213" s="35">
        <f>IF($F213="","",IFERROR(INDEX(사건마스터!$AU$5:$AU$64,MATCH($F213,사건마스터!$A$5:$A$64,0)),""))</f>
        <v/>
      </c>
      <c r="Y213" s="35">
        <f>IF($F213="","",IFERROR(INDEX(사건마스터!$AV$5:$AV$64,MATCH($F213,사건마스터!$A$5:$A$64,0)),""))</f>
        <v/>
      </c>
      <c r="Z213" s="30">
        <f>IF(COUNTBLANK($J213:$Y213)=16,"",16-COUNTBLANK($J213:$Y213))</f>
        <v/>
      </c>
      <c r="AA213" s="33">
        <f>IF($J213="",MID($AX213,3,255),$J213&amp;$AX213)</f>
        <v/>
      </c>
      <c r="AB213" s="34">
        <f>IF($J213="","",IFERROR(INDEX(코드설정!$D$5:$D$24,MATCH($J213,코드설정!$C$5:$C$24,0)),""))</f>
        <v/>
      </c>
      <c r="AC213" s="36" t="n"/>
      <c r="AD213" s="37" t="n"/>
      <c r="AE213" s="38" t="n"/>
      <c r="AF213" s="30">
        <f>IF(OR($B213="",$C213=""),"",$C213-$B213+1)</f>
        <v/>
      </c>
      <c r="AG213" s="32" t="n"/>
      <c r="AH213" s="36" t="n"/>
      <c r="AJ213">
        <f>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  <c r="AX213">
        <f>AW213&amp;IF($Y213="","",", "&amp;$Y213)</f>
        <v/>
      </c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0">
        <f>IF($F214="","",COUNTIF($F$5:$F214,$F214))</f>
        <v/>
      </c>
      <c r="H214" s="33">
        <f>IF($F214="","",IFERROR(INDEX(사건마스터!$B$5:$B$64,MATCH($F214,사건마스터!$A$5:$A$64,0)),""))</f>
        <v/>
      </c>
      <c r="I214" s="34">
        <f>IF($F214="","",IFERROR(INDEX(사건마스터!$C$5:$C$64,MATCH($F214,사건마스터!$A$5:$A$64,0)),""))</f>
        <v/>
      </c>
      <c r="J214" s="35">
        <f>IF($F214="","",IFERROR(INDEX(사건마스터!$H$5:$H$64,MATCH($F214,사건마스터!$A$5:$A$64,0)),""))</f>
        <v/>
      </c>
      <c r="K214" s="35">
        <f>IF($F214="","",IFERROR(INDEX(사건마스터!$AH$5:$AH$64,MATCH($F214,사건마스터!$A$5:$A$64,0)),""))</f>
        <v/>
      </c>
      <c r="L214" s="35">
        <f>IF($F214="","",IFERROR(INDEX(사건마스터!$AI$5:$AI$64,MATCH($F214,사건마스터!$A$5:$A$64,0)),""))</f>
        <v/>
      </c>
      <c r="M214" s="35">
        <f>IF($F214="","",IFERROR(INDEX(사건마스터!$AJ$5:$AJ$64,MATCH($F214,사건마스터!$A$5:$A$64,0)),""))</f>
        <v/>
      </c>
      <c r="N214" s="35">
        <f>IF($F214="","",IFERROR(INDEX(사건마스터!$AK$5:$AK$64,MATCH($F214,사건마스터!$A$5:$A$64,0)),""))</f>
        <v/>
      </c>
      <c r="O214" s="35">
        <f>IF($F214="","",IFERROR(INDEX(사건마스터!$AL$5:$AL$64,MATCH($F214,사건마스터!$A$5:$A$64,0)),""))</f>
        <v/>
      </c>
      <c r="P214" s="35">
        <f>IF($F214="","",IFERROR(INDEX(사건마스터!$AM$5:$AM$64,MATCH($F214,사건마스터!$A$5:$A$64,0)),""))</f>
        <v/>
      </c>
      <c r="Q214" s="35">
        <f>IF($F214="","",IFERROR(INDEX(사건마스터!$AN$5:$AN$64,MATCH($F214,사건마스터!$A$5:$A$64,0)),""))</f>
        <v/>
      </c>
      <c r="R214" s="35">
        <f>IF($F214="","",IFERROR(INDEX(사건마스터!$AO$5:$AO$64,MATCH($F214,사건마스터!$A$5:$A$64,0)),""))</f>
        <v/>
      </c>
      <c r="S214" s="35">
        <f>IF($F214="","",IFERROR(INDEX(사건마스터!$AP$5:$AP$64,MATCH($F214,사건마스터!$A$5:$A$64,0)),""))</f>
        <v/>
      </c>
      <c r="T214" s="35">
        <f>IF($F214="","",IFERROR(INDEX(사건마스터!$AQ$5:$AQ$64,MATCH($F214,사건마스터!$A$5:$A$64,0)),""))</f>
        <v/>
      </c>
      <c r="U214" s="35">
        <f>IF($F214="","",IFERROR(INDEX(사건마스터!$AR$5:$AR$64,MATCH($F214,사건마스터!$A$5:$A$64,0)),""))</f>
        <v/>
      </c>
      <c r="V214" s="35">
        <f>IF($F214="","",IFERROR(INDEX(사건마스터!$AS$5:$AS$64,MATCH($F214,사건마스터!$A$5:$A$64,0)),""))</f>
        <v/>
      </c>
      <c r="W214" s="35">
        <f>IF($F214="","",IFERROR(INDEX(사건마스터!$AT$5:$AT$64,MATCH($F214,사건마스터!$A$5:$A$64,0)),""))</f>
        <v/>
      </c>
      <c r="X214" s="35">
        <f>IF($F214="","",IFERROR(INDEX(사건마스터!$AU$5:$AU$64,MATCH($F214,사건마스터!$A$5:$A$64,0)),""))</f>
        <v/>
      </c>
      <c r="Y214" s="35">
        <f>IF($F214="","",IFERROR(INDEX(사건마스터!$AV$5:$AV$64,MATCH($F214,사건마스터!$A$5:$A$64,0)),""))</f>
        <v/>
      </c>
      <c r="Z214" s="30">
        <f>IF(COUNTBLANK($J214:$Y214)=16,"",16-COUNTBLANK($J214:$Y214))</f>
        <v/>
      </c>
      <c r="AA214" s="33">
        <f>IF($J214="",MID($AX214,3,255),$J214&amp;$AX214)</f>
        <v/>
      </c>
      <c r="AB214" s="34">
        <f>IF($J214="","",IFERROR(INDEX(코드설정!$D$5:$D$24,MATCH($J214,코드설정!$C$5:$C$24,0)),""))</f>
        <v/>
      </c>
      <c r="AC214" s="36" t="n"/>
      <c r="AD214" s="37" t="n"/>
      <c r="AE214" s="38" t="n"/>
      <c r="AF214" s="30">
        <f>IF(OR($B214="",$C214=""),"",$C214-$B214+1)</f>
        <v/>
      </c>
      <c r="AG214" s="32" t="n"/>
      <c r="AH214" s="36" t="n"/>
      <c r="AJ214">
        <f>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  <c r="AX214">
        <f>AW214&amp;IF($Y214="","",", "&amp;$Y214)</f>
        <v/>
      </c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0">
        <f>IF($F215="","",COUNTIF($F$5:$F215,$F215))</f>
        <v/>
      </c>
      <c r="H215" s="33">
        <f>IF($F215="","",IFERROR(INDEX(사건마스터!$B$5:$B$64,MATCH($F215,사건마스터!$A$5:$A$64,0)),""))</f>
        <v/>
      </c>
      <c r="I215" s="34">
        <f>IF($F215="","",IFERROR(INDEX(사건마스터!$C$5:$C$64,MATCH($F215,사건마스터!$A$5:$A$64,0)),""))</f>
        <v/>
      </c>
      <c r="J215" s="35">
        <f>IF($F215="","",IFERROR(INDEX(사건마스터!$H$5:$H$64,MATCH($F215,사건마스터!$A$5:$A$64,0)),""))</f>
        <v/>
      </c>
      <c r="K215" s="35">
        <f>IF($F215="","",IFERROR(INDEX(사건마스터!$AH$5:$AH$64,MATCH($F215,사건마스터!$A$5:$A$64,0)),""))</f>
        <v/>
      </c>
      <c r="L215" s="35">
        <f>IF($F215="","",IFERROR(INDEX(사건마스터!$AI$5:$AI$64,MATCH($F215,사건마스터!$A$5:$A$64,0)),""))</f>
        <v/>
      </c>
      <c r="M215" s="35">
        <f>IF($F215="","",IFERROR(INDEX(사건마스터!$AJ$5:$AJ$64,MATCH($F215,사건마스터!$A$5:$A$64,0)),""))</f>
        <v/>
      </c>
      <c r="N215" s="35">
        <f>IF($F215="","",IFERROR(INDEX(사건마스터!$AK$5:$AK$64,MATCH($F215,사건마스터!$A$5:$A$64,0)),""))</f>
        <v/>
      </c>
      <c r="O215" s="35">
        <f>IF($F215="","",IFERROR(INDEX(사건마스터!$AL$5:$AL$64,MATCH($F215,사건마스터!$A$5:$A$64,0)),""))</f>
        <v/>
      </c>
      <c r="P215" s="35">
        <f>IF($F215="","",IFERROR(INDEX(사건마스터!$AM$5:$AM$64,MATCH($F215,사건마스터!$A$5:$A$64,0)),""))</f>
        <v/>
      </c>
      <c r="Q215" s="35">
        <f>IF($F215="","",IFERROR(INDEX(사건마스터!$AN$5:$AN$64,MATCH($F215,사건마스터!$A$5:$A$64,0)),""))</f>
        <v/>
      </c>
      <c r="R215" s="35">
        <f>IF($F215="","",IFERROR(INDEX(사건마스터!$AO$5:$AO$64,MATCH($F215,사건마스터!$A$5:$A$64,0)),""))</f>
        <v/>
      </c>
      <c r="S215" s="35">
        <f>IF($F215="","",IFERROR(INDEX(사건마스터!$AP$5:$AP$64,MATCH($F215,사건마스터!$A$5:$A$64,0)),""))</f>
        <v/>
      </c>
      <c r="T215" s="35">
        <f>IF($F215="","",IFERROR(INDEX(사건마스터!$AQ$5:$AQ$64,MATCH($F215,사건마스터!$A$5:$A$64,0)),""))</f>
        <v/>
      </c>
      <c r="U215" s="35">
        <f>IF($F215="","",IFERROR(INDEX(사건마스터!$AR$5:$AR$64,MATCH($F215,사건마스터!$A$5:$A$64,0)),""))</f>
        <v/>
      </c>
      <c r="V215" s="35">
        <f>IF($F215="","",IFERROR(INDEX(사건마스터!$AS$5:$AS$64,MATCH($F215,사건마스터!$A$5:$A$64,0)),""))</f>
        <v/>
      </c>
      <c r="W215" s="35">
        <f>IF($F215="","",IFERROR(INDEX(사건마스터!$AT$5:$AT$64,MATCH($F215,사건마스터!$A$5:$A$64,0)),""))</f>
        <v/>
      </c>
      <c r="X215" s="35">
        <f>IF($F215="","",IFERROR(INDEX(사건마스터!$AU$5:$AU$64,MATCH($F215,사건마스터!$A$5:$A$64,0)),""))</f>
        <v/>
      </c>
      <c r="Y215" s="35">
        <f>IF($F215="","",IFERROR(INDEX(사건마스터!$AV$5:$AV$64,MATCH($F215,사건마스터!$A$5:$A$64,0)),""))</f>
        <v/>
      </c>
      <c r="Z215" s="30">
        <f>IF(COUNTBLANK($J215:$Y215)=16,"",16-COUNTBLANK($J215:$Y215))</f>
        <v/>
      </c>
      <c r="AA215" s="33">
        <f>IF($J215="",MID($AX215,3,255),$J215&amp;$AX215)</f>
        <v/>
      </c>
      <c r="AB215" s="34">
        <f>IF($J215="","",IFERROR(INDEX(코드설정!$D$5:$D$24,MATCH($J215,코드설정!$C$5:$C$24,0)),""))</f>
        <v/>
      </c>
      <c r="AC215" s="36" t="n"/>
      <c r="AD215" s="37" t="n"/>
      <c r="AE215" s="38" t="n"/>
      <c r="AF215" s="30">
        <f>IF(OR($B215="",$C215=""),"",$C215-$B215+1)</f>
        <v/>
      </c>
      <c r="AG215" s="32" t="n"/>
      <c r="AH215" s="36" t="n"/>
      <c r="AJ215">
        <f>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  <c r="AX215">
        <f>AW215&amp;IF($Y215="","",", "&amp;$Y215)</f>
        <v/>
      </c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0">
        <f>IF($F216="","",COUNTIF($F$5:$F216,$F216))</f>
        <v/>
      </c>
      <c r="H216" s="33">
        <f>IF($F216="","",IFERROR(INDEX(사건마스터!$B$5:$B$64,MATCH($F216,사건마스터!$A$5:$A$64,0)),""))</f>
        <v/>
      </c>
      <c r="I216" s="34">
        <f>IF($F216="","",IFERROR(INDEX(사건마스터!$C$5:$C$64,MATCH($F216,사건마스터!$A$5:$A$64,0)),""))</f>
        <v/>
      </c>
      <c r="J216" s="35">
        <f>IF($F216="","",IFERROR(INDEX(사건마스터!$H$5:$H$64,MATCH($F216,사건마스터!$A$5:$A$64,0)),""))</f>
        <v/>
      </c>
      <c r="K216" s="35">
        <f>IF($F216="","",IFERROR(INDEX(사건마스터!$AH$5:$AH$64,MATCH($F216,사건마스터!$A$5:$A$64,0)),""))</f>
        <v/>
      </c>
      <c r="L216" s="35">
        <f>IF($F216="","",IFERROR(INDEX(사건마스터!$AI$5:$AI$64,MATCH($F216,사건마스터!$A$5:$A$64,0)),""))</f>
        <v/>
      </c>
      <c r="M216" s="35">
        <f>IF($F216="","",IFERROR(INDEX(사건마스터!$AJ$5:$AJ$64,MATCH($F216,사건마스터!$A$5:$A$64,0)),""))</f>
        <v/>
      </c>
      <c r="N216" s="35">
        <f>IF($F216="","",IFERROR(INDEX(사건마스터!$AK$5:$AK$64,MATCH($F216,사건마스터!$A$5:$A$64,0)),""))</f>
        <v/>
      </c>
      <c r="O216" s="35">
        <f>IF($F216="","",IFERROR(INDEX(사건마스터!$AL$5:$AL$64,MATCH($F216,사건마스터!$A$5:$A$64,0)),""))</f>
        <v/>
      </c>
      <c r="P216" s="35">
        <f>IF($F216="","",IFERROR(INDEX(사건마스터!$AM$5:$AM$64,MATCH($F216,사건마스터!$A$5:$A$64,0)),""))</f>
        <v/>
      </c>
      <c r="Q216" s="35">
        <f>IF($F216="","",IFERROR(INDEX(사건마스터!$AN$5:$AN$64,MATCH($F216,사건마스터!$A$5:$A$64,0)),""))</f>
        <v/>
      </c>
      <c r="R216" s="35">
        <f>IF($F216="","",IFERROR(INDEX(사건마스터!$AO$5:$AO$64,MATCH($F216,사건마스터!$A$5:$A$64,0)),""))</f>
        <v/>
      </c>
      <c r="S216" s="35">
        <f>IF($F216="","",IFERROR(INDEX(사건마스터!$AP$5:$AP$64,MATCH($F216,사건마스터!$A$5:$A$64,0)),""))</f>
        <v/>
      </c>
      <c r="T216" s="35">
        <f>IF($F216="","",IFERROR(INDEX(사건마스터!$AQ$5:$AQ$64,MATCH($F216,사건마스터!$A$5:$A$64,0)),""))</f>
        <v/>
      </c>
      <c r="U216" s="35">
        <f>IF($F216="","",IFERROR(INDEX(사건마스터!$AR$5:$AR$64,MATCH($F216,사건마스터!$A$5:$A$64,0)),""))</f>
        <v/>
      </c>
      <c r="V216" s="35">
        <f>IF($F216="","",IFERROR(INDEX(사건마스터!$AS$5:$AS$64,MATCH($F216,사건마스터!$A$5:$A$64,0)),""))</f>
        <v/>
      </c>
      <c r="W216" s="35">
        <f>IF($F216="","",IFERROR(INDEX(사건마스터!$AT$5:$AT$64,MATCH($F216,사건마스터!$A$5:$A$64,0)),""))</f>
        <v/>
      </c>
      <c r="X216" s="35">
        <f>IF($F216="","",IFERROR(INDEX(사건마스터!$AU$5:$AU$64,MATCH($F216,사건마스터!$A$5:$A$64,0)),""))</f>
        <v/>
      </c>
      <c r="Y216" s="35">
        <f>IF($F216="","",IFERROR(INDEX(사건마스터!$AV$5:$AV$64,MATCH($F216,사건마스터!$A$5:$A$64,0)),""))</f>
        <v/>
      </c>
      <c r="Z216" s="30">
        <f>IF(COUNTBLANK($J216:$Y216)=16,"",16-COUNTBLANK($J216:$Y216))</f>
        <v/>
      </c>
      <c r="AA216" s="33">
        <f>IF($J216="",MID($AX216,3,255),$J216&amp;$AX216)</f>
        <v/>
      </c>
      <c r="AB216" s="34">
        <f>IF($J216="","",IFERROR(INDEX(코드설정!$D$5:$D$24,MATCH($J216,코드설정!$C$5:$C$24,0)),""))</f>
        <v/>
      </c>
      <c r="AC216" s="36" t="n"/>
      <c r="AD216" s="37" t="n"/>
      <c r="AE216" s="38" t="n"/>
      <c r="AF216" s="30">
        <f>IF(OR($B216="",$C216=""),"",$C216-$B216+1)</f>
        <v/>
      </c>
      <c r="AG216" s="32" t="n"/>
      <c r="AH216" s="36" t="n"/>
      <c r="AJ216">
        <f>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  <c r="AX216">
        <f>AW216&amp;IF($Y216="","",", "&amp;$Y216)</f>
        <v/>
      </c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0">
        <f>IF($F217="","",COUNTIF($F$5:$F217,$F217))</f>
        <v/>
      </c>
      <c r="H217" s="33">
        <f>IF($F217="","",IFERROR(INDEX(사건마스터!$B$5:$B$64,MATCH($F217,사건마스터!$A$5:$A$64,0)),""))</f>
        <v/>
      </c>
      <c r="I217" s="34">
        <f>IF($F217="","",IFERROR(INDEX(사건마스터!$C$5:$C$64,MATCH($F217,사건마스터!$A$5:$A$64,0)),""))</f>
        <v/>
      </c>
      <c r="J217" s="35">
        <f>IF($F217="","",IFERROR(INDEX(사건마스터!$H$5:$H$64,MATCH($F217,사건마스터!$A$5:$A$64,0)),""))</f>
        <v/>
      </c>
      <c r="K217" s="35">
        <f>IF($F217="","",IFERROR(INDEX(사건마스터!$AH$5:$AH$64,MATCH($F217,사건마스터!$A$5:$A$64,0)),""))</f>
        <v/>
      </c>
      <c r="L217" s="35">
        <f>IF($F217="","",IFERROR(INDEX(사건마스터!$AI$5:$AI$64,MATCH($F217,사건마스터!$A$5:$A$64,0)),""))</f>
        <v/>
      </c>
      <c r="M217" s="35">
        <f>IF($F217="","",IFERROR(INDEX(사건마스터!$AJ$5:$AJ$64,MATCH($F217,사건마스터!$A$5:$A$64,0)),""))</f>
        <v/>
      </c>
      <c r="N217" s="35">
        <f>IF($F217="","",IFERROR(INDEX(사건마스터!$AK$5:$AK$64,MATCH($F217,사건마스터!$A$5:$A$64,0)),""))</f>
        <v/>
      </c>
      <c r="O217" s="35">
        <f>IF($F217="","",IFERROR(INDEX(사건마스터!$AL$5:$AL$64,MATCH($F217,사건마스터!$A$5:$A$64,0)),""))</f>
        <v/>
      </c>
      <c r="P217" s="35">
        <f>IF($F217="","",IFERROR(INDEX(사건마스터!$AM$5:$AM$64,MATCH($F217,사건마스터!$A$5:$A$64,0)),""))</f>
        <v/>
      </c>
      <c r="Q217" s="35">
        <f>IF($F217="","",IFERROR(INDEX(사건마스터!$AN$5:$AN$64,MATCH($F217,사건마스터!$A$5:$A$64,0)),""))</f>
        <v/>
      </c>
      <c r="R217" s="35">
        <f>IF($F217="","",IFERROR(INDEX(사건마스터!$AO$5:$AO$64,MATCH($F217,사건마스터!$A$5:$A$64,0)),""))</f>
        <v/>
      </c>
      <c r="S217" s="35">
        <f>IF($F217="","",IFERROR(INDEX(사건마스터!$AP$5:$AP$64,MATCH($F217,사건마스터!$A$5:$A$64,0)),""))</f>
        <v/>
      </c>
      <c r="T217" s="35">
        <f>IF($F217="","",IFERROR(INDEX(사건마스터!$AQ$5:$AQ$64,MATCH($F217,사건마스터!$A$5:$A$64,0)),""))</f>
        <v/>
      </c>
      <c r="U217" s="35">
        <f>IF($F217="","",IFERROR(INDEX(사건마스터!$AR$5:$AR$64,MATCH($F217,사건마스터!$A$5:$A$64,0)),""))</f>
        <v/>
      </c>
      <c r="V217" s="35">
        <f>IF($F217="","",IFERROR(INDEX(사건마스터!$AS$5:$AS$64,MATCH($F217,사건마스터!$A$5:$A$64,0)),""))</f>
        <v/>
      </c>
      <c r="W217" s="35">
        <f>IF($F217="","",IFERROR(INDEX(사건마스터!$AT$5:$AT$64,MATCH($F217,사건마스터!$A$5:$A$64,0)),""))</f>
        <v/>
      </c>
      <c r="X217" s="35">
        <f>IF($F217="","",IFERROR(INDEX(사건마스터!$AU$5:$AU$64,MATCH($F217,사건마스터!$A$5:$A$64,0)),""))</f>
        <v/>
      </c>
      <c r="Y217" s="35">
        <f>IF($F217="","",IFERROR(INDEX(사건마스터!$AV$5:$AV$64,MATCH($F217,사건마스터!$A$5:$A$64,0)),""))</f>
        <v/>
      </c>
      <c r="Z217" s="30">
        <f>IF(COUNTBLANK($J217:$Y217)=16,"",16-COUNTBLANK($J217:$Y217))</f>
        <v/>
      </c>
      <c r="AA217" s="33">
        <f>IF($J217="",MID($AX217,3,255),$J217&amp;$AX217)</f>
        <v/>
      </c>
      <c r="AB217" s="34">
        <f>IF($J217="","",IFERROR(INDEX(코드설정!$D$5:$D$24,MATCH($J217,코드설정!$C$5:$C$24,0)),""))</f>
        <v/>
      </c>
      <c r="AC217" s="36" t="n"/>
      <c r="AD217" s="37" t="n"/>
      <c r="AE217" s="38" t="n"/>
      <c r="AF217" s="30">
        <f>IF(OR($B217="",$C217=""),"",$C217-$B217+1)</f>
        <v/>
      </c>
      <c r="AG217" s="32" t="n"/>
      <c r="AH217" s="36" t="n"/>
      <c r="AJ217">
        <f>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  <c r="AX217">
        <f>AW217&amp;IF($Y217="","",", "&amp;$Y217)</f>
        <v/>
      </c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0">
        <f>IF($F218="","",COUNTIF($F$5:$F218,$F218))</f>
        <v/>
      </c>
      <c r="H218" s="33">
        <f>IF($F218="","",IFERROR(INDEX(사건마스터!$B$5:$B$64,MATCH($F218,사건마스터!$A$5:$A$64,0)),""))</f>
        <v/>
      </c>
      <c r="I218" s="34">
        <f>IF($F218="","",IFERROR(INDEX(사건마스터!$C$5:$C$64,MATCH($F218,사건마스터!$A$5:$A$64,0)),""))</f>
        <v/>
      </c>
      <c r="J218" s="35">
        <f>IF($F218="","",IFERROR(INDEX(사건마스터!$H$5:$H$64,MATCH($F218,사건마스터!$A$5:$A$64,0)),""))</f>
        <v/>
      </c>
      <c r="K218" s="35">
        <f>IF($F218="","",IFERROR(INDEX(사건마스터!$AH$5:$AH$64,MATCH($F218,사건마스터!$A$5:$A$64,0)),""))</f>
        <v/>
      </c>
      <c r="L218" s="35">
        <f>IF($F218="","",IFERROR(INDEX(사건마스터!$AI$5:$AI$64,MATCH($F218,사건마스터!$A$5:$A$64,0)),""))</f>
        <v/>
      </c>
      <c r="M218" s="35">
        <f>IF($F218="","",IFERROR(INDEX(사건마스터!$AJ$5:$AJ$64,MATCH($F218,사건마스터!$A$5:$A$64,0)),""))</f>
        <v/>
      </c>
      <c r="N218" s="35">
        <f>IF($F218="","",IFERROR(INDEX(사건마스터!$AK$5:$AK$64,MATCH($F218,사건마스터!$A$5:$A$64,0)),""))</f>
        <v/>
      </c>
      <c r="O218" s="35">
        <f>IF($F218="","",IFERROR(INDEX(사건마스터!$AL$5:$AL$64,MATCH($F218,사건마스터!$A$5:$A$64,0)),""))</f>
        <v/>
      </c>
      <c r="P218" s="35">
        <f>IF($F218="","",IFERROR(INDEX(사건마스터!$AM$5:$AM$64,MATCH($F218,사건마스터!$A$5:$A$64,0)),""))</f>
        <v/>
      </c>
      <c r="Q218" s="35">
        <f>IF($F218="","",IFERROR(INDEX(사건마스터!$AN$5:$AN$64,MATCH($F218,사건마스터!$A$5:$A$64,0)),""))</f>
        <v/>
      </c>
      <c r="R218" s="35">
        <f>IF($F218="","",IFERROR(INDEX(사건마스터!$AO$5:$AO$64,MATCH($F218,사건마스터!$A$5:$A$64,0)),""))</f>
        <v/>
      </c>
      <c r="S218" s="35">
        <f>IF($F218="","",IFERROR(INDEX(사건마스터!$AP$5:$AP$64,MATCH($F218,사건마스터!$A$5:$A$64,0)),""))</f>
        <v/>
      </c>
      <c r="T218" s="35">
        <f>IF($F218="","",IFERROR(INDEX(사건마스터!$AQ$5:$AQ$64,MATCH($F218,사건마스터!$A$5:$A$64,0)),""))</f>
        <v/>
      </c>
      <c r="U218" s="35">
        <f>IF($F218="","",IFERROR(INDEX(사건마스터!$AR$5:$AR$64,MATCH($F218,사건마스터!$A$5:$A$64,0)),""))</f>
        <v/>
      </c>
      <c r="V218" s="35">
        <f>IF($F218="","",IFERROR(INDEX(사건마스터!$AS$5:$AS$64,MATCH($F218,사건마스터!$A$5:$A$64,0)),""))</f>
        <v/>
      </c>
      <c r="W218" s="35">
        <f>IF($F218="","",IFERROR(INDEX(사건마스터!$AT$5:$AT$64,MATCH($F218,사건마스터!$A$5:$A$64,0)),""))</f>
        <v/>
      </c>
      <c r="X218" s="35">
        <f>IF($F218="","",IFERROR(INDEX(사건마스터!$AU$5:$AU$64,MATCH($F218,사건마스터!$A$5:$A$64,0)),""))</f>
        <v/>
      </c>
      <c r="Y218" s="35">
        <f>IF($F218="","",IFERROR(INDEX(사건마스터!$AV$5:$AV$64,MATCH($F218,사건마스터!$A$5:$A$64,0)),""))</f>
        <v/>
      </c>
      <c r="Z218" s="30">
        <f>IF(COUNTBLANK($J218:$Y218)=16,"",16-COUNTBLANK($J218:$Y218))</f>
        <v/>
      </c>
      <c r="AA218" s="33">
        <f>IF($J218="",MID($AX218,3,255),$J218&amp;$AX218)</f>
        <v/>
      </c>
      <c r="AB218" s="34">
        <f>IF($J218="","",IFERROR(INDEX(코드설정!$D$5:$D$24,MATCH($J218,코드설정!$C$5:$C$24,0)),""))</f>
        <v/>
      </c>
      <c r="AC218" s="36" t="n"/>
      <c r="AD218" s="37" t="n"/>
      <c r="AE218" s="38" t="n"/>
      <c r="AF218" s="30">
        <f>IF(OR($B218="",$C218=""),"",$C218-$B218+1)</f>
        <v/>
      </c>
      <c r="AG218" s="32" t="n"/>
      <c r="AH218" s="36" t="n"/>
      <c r="AJ218">
        <f>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  <c r="AX218">
        <f>AW218&amp;IF($Y218="","",", "&amp;$Y218)</f>
        <v/>
      </c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0">
        <f>IF($F219="","",COUNTIF($F$5:$F219,$F219))</f>
        <v/>
      </c>
      <c r="H219" s="33">
        <f>IF($F219="","",IFERROR(INDEX(사건마스터!$B$5:$B$64,MATCH($F219,사건마스터!$A$5:$A$64,0)),""))</f>
        <v/>
      </c>
      <c r="I219" s="34">
        <f>IF($F219="","",IFERROR(INDEX(사건마스터!$C$5:$C$64,MATCH($F219,사건마스터!$A$5:$A$64,0)),""))</f>
        <v/>
      </c>
      <c r="J219" s="35">
        <f>IF($F219="","",IFERROR(INDEX(사건마스터!$H$5:$H$64,MATCH($F219,사건마스터!$A$5:$A$64,0)),""))</f>
        <v/>
      </c>
      <c r="K219" s="35">
        <f>IF($F219="","",IFERROR(INDEX(사건마스터!$AH$5:$AH$64,MATCH($F219,사건마스터!$A$5:$A$64,0)),""))</f>
        <v/>
      </c>
      <c r="L219" s="35">
        <f>IF($F219="","",IFERROR(INDEX(사건마스터!$AI$5:$AI$64,MATCH($F219,사건마스터!$A$5:$A$64,0)),""))</f>
        <v/>
      </c>
      <c r="M219" s="35">
        <f>IF($F219="","",IFERROR(INDEX(사건마스터!$AJ$5:$AJ$64,MATCH($F219,사건마스터!$A$5:$A$64,0)),""))</f>
        <v/>
      </c>
      <c r="N219" s="35">
        <f>IF($F219="","",IFERROR(INDEX(사건마스터!$AK$5:$AK$64,MATCH($F219,사건마스터!$A$5:$A$64,0)),""))</f>
        <v/>
      </c>
      <c r="O219" s="35">
        <f>IF($F219="","",IFERROR(INDEX(사건마스터!$AL$5:$AL$64,MATCH($F219,사건마스터!$A$5:$A$64,0)),""))</f>
        <v/>
      </c>
      <c r="P219" s="35">
        <f>IF($F219="","",IFERROR(INDEX(사건마스터!$AM$5:$AM$64,MATCH($F219,사건마스터!$A$5:$A$64,0)),""))</f>
        <v/>
      </c>
      <c r="Q219" s="35">
        <f>IF($F219="","",IFERROR(INDEX(사건마스터!$AN$5:$AN$64,MATCH($F219,사건마스터!$A$5:$A$64,0)),""))</f>
        <v/>
      </c>
      <c r="R219" s="35">
        <f>IF($F219="","",IFERROR(INDEX(사건마스터!$AO$5:$AO$64,MATCH($F219,사건마스터!$A$5:$A$64,0)),""))</f>
        <v/>
      </c>
      <c r="S219" s="35">
        <f>IF($F219="","",IFERROR(INDEX(사건마스터!$AP$5:$AP$64,MATCH($F219,사건마스터!$A$5:$A$64,0)),""))</f>
        <v/>
      </c>
      <c r="T219" s="35">
        <f>IF($F219="","",IFERROR(INDEX(사건마스터!$AQ$5:$AQ$64,MATCH($F219,사건마스터!$A$5:$A$64,0)),""))</f>
        <v/>
      </c>
      <c r="U219" s="35">
        <f>IF($F219="","",IFERROR(INDEX(사건마스터!$AR$5:$AR$64,MATCH($F219,사건마스터!$A$5:$A$64,0)),""))</f>
        <v/>
      </c>
      <c r="V219" s="35">
        <f>IF($F219="","",IFERROR(INDEX(사건마스터!$AS$5:$AS$64,MATCH($F219,사건마스터!$A$5:$A$64,0)),""))</f>
        <v/>
      </c>
      <c r="W219" s="35">
        <f>IF($F219="","",IFERROR(INDEX(사건마스터!$AT$5:$AT$64,MATCH($F219,사건마스터!$A$5:$A$64,0)),""))</f>
        <v/>
      </c>
      <c r="X219" s="35">
        <f>IF($F219="","",IFERROR(INDEX(사건마스터!$AU$5:$AU$64,MATCH($F219,사건마스터!$A$5:$A$64,0)),""))</f>
        <v/>
      </c>
      <c r="Y219" s="35">
        <f>IF($F219="","",IFERROR(INDEX(사건마스터!$AV$5:$AV$64,MATCH($F219,사건마스터!$A$5:$A$64,0)),""))</f>
        <v/>
      </c>
      <c r="Z219" s="30">
        <f>IF(COUNTBLANK($J219:$Y219)=16,"",16-COUNTBLANK($J219:$Y219))</f>
        <v/>
      </c>
      <c r="AA219" s="33">
        <f>IF($J219="",MID($AX219,3,255),$J219&amp;$AX219)</f>
        <v/>
      </c>
      <c r="AB219" s="34">
        <f>IF($J219="","",IFERROR(INDEX(코드설정!$D$5:$D$24,MATCH($J219,코드설정!$C$5:$C$24,0)),""))</f>
        <v/>
      </c>
      <c r="AC219" s="36" t="n"/>
      <c r="AD219" s="37" t="n"/>
      <c r="AE219" s="38" t="n"/>
      <c r="AF219" s="30">
        <f>IF(OR($B219="",$C219=""),"",$C219-$B219+1)</f>
        <v/>
      </c>
      <c r="AG219" s="32" t="n"/>
      <c r="AH219" s="36" t="n"/>
      <c r="AJ219">
        <f>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  <c r="AX219">
        <f>AW219&amp;IF($Y219="","",", "&amp;$Y219)</f>
        <v/>
      </c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0">
        <f>IF($F220="","",COUNTIF($F$5:$F220,$F220))</f>
        <v/>
      </c>
      <c r="H220" s="33">
        <f>IF($F220="","",IFERROR(INDEX(사건마스터!$B$5:$B$64,MATCH($F220,사건마스터!$A$5:$A$64,0)),""))</f>
        <v/>
      </c>
      <c r="I220" s="34">
        <f>IF($F220="","",IFERROR(INDEX(사건마스터!$C$5:$C$64,MATCH($F220,사건마스터!$A$5:$A$64,0)),""))</f>
        <v/>
      </c>
      <c r="J220" s="35">
        <f>IF($F220="","",IFERROR(INDEX(사건마스터!$H$5:$H$64,MATCH($F220,사건마스터!$A$5:$A$64,0)),""))</f>
        <v/>
      </c>
      <c r="K220" s="35">
        <f>IF($F220="","",IFERROR(INDEX(사건마스터!$AH$5:$AH$64,MATCH($F220,사건마스터!$A$5:$A$64,0)),""))</f>
        <v/>
      </c>
      <c r="L220" s="35">
        <f>IF($F220="","",IFERROR(INDEX(사건마스터!$AI$5:$AI$64,MATCH($F220,사건마스터!$A$5:$A$64,0)),""))</f>
        <v/>
      </c>
      <c r="M220" s="35">
        <f>IF($F220="","",IFERROR(INDEX(사건마스터!$AJ$5:$AJ$64,MATCH($F220,사건마스터!$A$5:$A$64,0)),""))</f>
        <v/>
      </c>
      <c r="N220" s="35">
        <f>IF($F220="","",IFERROR(INDEX(사건마스터!$AK$5:$AK$64,MATCH($F220,사건마스터!$A$5:$A$64,0)),""))</f>
        <v/>
      </c>
      <c r="O220" s="35">
        <f>IF($F220="","",IFERROR(INDEX(사건마스터!$AL$5:$AL$64,MATCH($F220,사건마스터!$A$5:$A$64,0)),""))</f>
        <v/>
      </c>
      <c r="P220" s="35">
        <f>IF($F220="","",IFERROR(INDEX(사건마스터!$AM$5:$AM$64,MATCH($F220,사건마스터!$A$5:$A$64,0)),""))</f>
        <v/>
      </c>
      <c r="Q220" s="35">
        <f>IF($F220="","",IFERROR(INDEX(사건마스터!$AN$5:$AN$64,MATCH($F220,사건마스터!$A$5:$A$64,0)),""))</f>
        <v/>
      </c>
      <c r="R220" s="35">
        <f>IF($F220="","",IFERROR(INDEX(사건마스터!$AO$5:$AO$64,MATCH($F220,사건마스터!$A$5:$A$64,0)),""))</f>
        <v/>
      </c>
      <c r="S220" s="35">
        <f>IF($F220="","",IFERROR(INDEX(사건마스터!$AP$5:$AP$64,MATCH($F220,사건마스터!$A$5:$A$64,0)),""))</f>
        <v/>
      </c>
      <c r="T220" s="35">
        <f>IF($F220="","",IFERROR(INDEX(사건마스터!$AQ$5:$AQ$64,MATCH($F220,사건마스터!$A$5:$A$64,0)),""))</f>
        <v/>
      </c>
      <c r="U220" s="35">
        <f>IF($F220="","",IFERROR(INDEX(사건마스터!$AR$5:$AR$64,MATCH($F220,사건마스터!$A$5:$A$64,0)),""))</f>
        <v/>
      </c>
      <c r="V220" s="35">
        <f>IF($F220="","",IFERROR(INDEX(사건마스터!$AS$5:$AS$64,MATCH($F220,사건마스터!$A$5:$A$64,0)),""))</f>
        <v/>
      </c>
      <c r="W220" s="35">
        <f>IF($F220="","",IFERROR(INDEX(사건마스터!$AT$5:$AT$64,MATCH($F220,사건마스터!$A$5:$A$64,0)),""))</f>
        <v/>
      </c>
      <c r="X220" s="35">
        <f>IF($F220="","",IFERROR(INDEX(사건마스터!$AU$5:$AU$64,MATCH($F220,사건마스터!$A$5:$A$64,0)),""))</f>
        <v/>
      </c>
      <c r="Y220" s="35">
        <f>IF($F220="","",IFERROR(INDEX(사건마스터!$AV$5:$AV$64,MATCH($F220,사건마스터!$A$5:$A$64,0)),""))</f>
        <v/>
      </c>
      <c r="Z220" s="30">
        <f>IF(COUNTBLANK($J220:$Y220)=16,"",16-COUNTBLANK($J220:$Y220))</f>
        <v/>
      </c>
      <c r="AA220" s="33">
        <f>IF($J220="",MID($AX220,3,255),$J220&amp;$AX220)</f>
        <v/>
      </c>
      <c r="AB220" s="34">
        <f>IF($J220="","",IFERROR(INDEX(코드설정!$D$5:$D$24,MATCH($J220,코드설정!$C$5:$C$24,0)),""))</f>
        <v/>
      </c>
      <c r="AC220" s="36" t="n"/>
      <c r="AD220" s="37" t="n"/>
      <c r="AE220" s="38" t="n"/>
      <c r="AF220" s="30">
        <f>IF(OR($B220="",$C220=""),"",$C220-$B220+1)</f>
        <v/>
      </c>
      <c r="AG220" s="32" t="n"/>
      <c r="AH220" s="36" t="n"/>
      <c r="AJ220">
        <f>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  <c r="AX220">
        <f>AW220&amp;IF($Y220="","",", "&amp;$Y220)</f>
        <v/>
      </c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0">
        <f>IF($F221="","",COUNTIF($F$5:$F221,$F221))</f>
        <v/>
      </c>
      <c r="H221" s="33">
        <f>IF($F221="","",IFERROR(INDEX(사건마스터!$B$5:$B$64,MATCH($F221,사건마스터!$A$5:$A$64,0)),""))</f>
        <v/>
      </c>
      <c r="I221" s="34">
        <f>IF($F221="","",IFERROR(INDEX(사건마스터!$C$5:$C$64,MATCH($F221,사건마스터!$A$5:$A$64,0)),""))</f>
        <v/>
      </c>
      <c r="J221" s="35">
        <f>IF($F221="","",IFERROR(INDEX(사건마스터!$H$5:$H$64,MATCH($F221,사건마스터!$A$5:$A$64,0)),""))</f>
        <v/>
      </c>
      <c r="K221" s="35">
        <f>IF($F221="","",IFERROR(INDEX(사건마스터!$AH$5:$AH$64,MATCH($F221,사건마스터!$A$5:$A$64,0)),""))</f>
        <v/>
      </c>
      <c r="L221" s="35">
        <f>IF($F221="","",IFERROR(INDEX(사건마스터!$AI$5:$AI$64,MATCH($F221,사건마스터!$A$5:$A$64,0)),""))</f>
        <v/>
      </c>
      <c r="M221" s="35">
        <f>IF($F221="","",IFERROR(INDEX(사건마스터!$AJ$5:$AJ$64,MATCH($F221,사건마스터!$A$5:$A$64,0)),""))</f>
        <v/>
      </c>
      <c r="N221" s="35">
        <f>IF($F221="","",IFERROR(INDEX(사건마스터!$AK$5:$AK$64,MATCH($F221,사건마스터!$A$5:$A$64,0)),""))</f>
        <v/>
      </c>
      <c r="O221" s="35">
        <f>IF($F221="","",IFERROR(INDEX(사건마스터!$AL$5:$AL$64,MATCH($F221,사건마스터!$A$5:$A$64,0)),""))</f>
        <v/>
      </c>
      <c r="P221" s="35">
        <f>IF($F221="","",IFERROR(INDEX(사건마스터!$AM$5:$AM$64,MATCH($F221,사건마스터!$A$5:$A$64,0)),""))</f>
        <v/>
      </c>
      <c r="Q221" s="35">
        <f>IF($F221="","",IFERROR(INDEX(사건마스터!$AN$5:$AN$64,MATCH($F221,사건마스터!$A$5:$A$64,0)),""))</f>
        <v/>
      </c>
      <c r="R221" s="35">
        <f>IF($F221="","",IFERROR(INDEX(사건마스터!$AO$5:$AO$64,MATCH($F221,사건마스터!$A$5:$A$64,0)),""))</f>
        <v/>
      </c>
      <c r="S221" s="35">
        <f>IF($F221="","",IFERROR(INDEX(사건마스터!$AP$5:$AP$64,MATCH($F221,사건마스터!$A$5:$A$64,0)),""))</f>
        <v/>
      </c>
      <c r="T221" s="35">
        <f>IF($F221="","",IFERROR(INDEX(사건마스터!$AQ$5:$AQ$64,MATCH($F221,사건마스터!$A$5:$A$64,0)),""))</f>
        <v/>
      </c>
      <c r="U221" s="35">
        <f>IF($F221="","",IFERROR(INDEX(사건마스터!$AR$5:$AR$64,MATCH($F221,사건마스터!$A$5:$A$64,0)),""))</f>
        <v/>
      </c>
      <c r="V221" s="35">
        <f>IF($F221="","",IFERROR(INDEX(사건마스터!$AS$5:$AS$64,MATCH($F221,사건마스터!$A$5:$A$64,0)),""))</f>
        <v/>
      </c>
      <c r="W221" s="35">
        <f>IF($F221="","",IFERROR(INDEX(사건마스터!$AT$5:$AT$64,MATCH($F221,사건마스터!$A$5:$A$64,0)),""))</f>
        <v/>
      </c>
      <c r="X221" s="35">
        <f>IF($F221="","",IFERROR(INDEX(사건마스터!$AU$5:$AU$64,MATCH($F221,사건마스터!$A$5:$A$64,0)),""))</f>
        <v/>
      </c>
      <c r="Y221" s="35">
        <f>IF($F221="","",IFERROR(INDEX(사건마스터!$AV$5:$AV$64,MATCH($F221,사건마스터!$A$5:$A$64,0)),""))</f>
        <v/>
      </c>
      <c r="Z221" s="30">
        <f>IF(COUNTBLANK($J221:$Y221)=16,"",16-COUNTBLANK($J221:$Y221))</f>
        <v/>
      </c>
      <c r="AA221" s="33">
        <f>IF($J221="",MID($AX221,3,255),$J221&amp;$AX221)</f>
        <v/>
      </c>
      <c r="AB221" s="34">
        <f>IF($J221="","",IFERROR(INDEX(코드설정!$D$5:$D$24,MATCH($J221,코드설정!$C$5:$C$24,0)),""))</f>
        <v/>
      </c>
      <c r="AC221" s="36" t="n"/>
      <c r="AD221" s="37" t="n"/>
      <c r="AE221" s="38" t="n"/>
      <c r="AF221" s="30">
        <f>IF(OR($B221="",$C221=""),"",$C221-$B221+1)</f>
        <v/>
      </c>
      <c r="AG221" s="32" t="n"/>
      <c r="AH221" s="36" t="n"/>
      <c r="AJ221">
        <f>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  <c r="AX221">
        <f>AW221&amp;IF($Y221="","",", "&amp;$Y221)</f>
        <v/>
      </c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0">
        <f>IF($F222="","",COUNTIF($F$5:$F222,$F222))</f>
        <v/>
      </c>
      <c r="H222" s="33">
        <f>IF($F222="","",IFERROR(INDEX(사건마스터!$B$5:$B$64,MATCH($F222,사건마스터!$A$5:$A$64,0)),""))</f>
        <v/>
      </c>
      <c r="I222" s="34">
        <f>IF($F222="","",IFERROR(INDEX(사건마스터!$C$5:$C$64,MATCH($F222,사건마스터!$A$5:$A$64,0)),""))</f>
        <v/>
      </c>
      <c r="J222" s="35">
        <f>IF($F222="","",IFERROR(INDEX(사건마스터!$H$5:$H$64,MATCH($F222,사건마스터!$A$5:$A$64,0)),""))</f>
        <v/>
      </c>
      <c r="K222" s="35">
        <f>IF($F222="","",IFERROR(INDEX(사건마스터!$AH$5:$AH$64,MATCH($F222,사건마스터!$A$5:$A$64,0)),""))</f>
        <v/>
      </c>
      <c r="L222" s="35">
        <f>IF($F222="","",IFERROR(INDEX(사건마스터!$AI$5:$AI$64,MATCH($F222,사건마스터!$A$5:$A$64,0)),""))</f>
        <v/>
      </c>
      <c r="M222" s="35">
        <f>IF($F222="","",IFERROR(INDEX(사건마스터!$AJ$5:$AJ$64,MATCH($F222,사건마스터!$A$5:$A$64,0)),""))</f>
        <v/>
      </c>
      <c r="N222" s="35">
        <f>IF($F222="","",IFERROR(INDEX(사건마스터!$AK$5:$AK$64,MATCH($F222,사건마스터!$A$5:$A$64,0)),""))</f>
        <v/>
      </c>
      <c r="O222" s="35">
        <f>IF($F222="","",IFERROR(INDEX(사건마스터!$AL$5:$AL$64,MATCH($F222,사건마스터!$A$5:$A$64,0)),""))</f>
        <v/>
      </c>
      <c r="P222" s="35">
        <f>IF($F222="","",IFERROR(INDEX(사건마스터!$AM$5:$AM$64,MATCH($F222,사건마스터!$A$5:$A$64,0)),""))</f>
        <v/>
      </c>
      <c r="Q222" s="35">
        <f>IF($F222="","",IFERROR(INDEX(사건마스터!$AN$5:$AN$64,MATCH($F222,사건마스터!$A$5:$A$64,0)),""))</f>
        <v/>
      </c>
      <c r="R222" s="35">
        <f>IF($F222="","",IFERROR(INDEX(사건마스터!$AO$5:$AO$64,MATCH($F222,사건마스터!$A$5:$A$64,0)),""))</f>
        <v/>
      </c>
      <c r="S222" s="35">
        <f>IF($F222="","",IFERROR(INDEX(사건마스터!$AP$5:$AP$64,MATCH($F222,사건마스터!$A$5:$A$64,0)),""))</f>
        <v/>
      </c>
      <c r="T222" s="35">
        <f>IF($F222="","",IFERROR(INDEX(사건마스터!$AQ$5:$AQ$64,MATCH($F222,사건마스터!$A$5:$A$64,0)),""))</f>
        <v/>
      </c>
      <c r="U222" s="35">
        <f>IF($F222="","",IFERROR(INDEX(사건마스터!$AR$5:$AR$64,MATCH($F222,사건마스터!$A$5:$A$64,0)),""))</f>
        <v/>
      </c>
      <c r="V222" s="35">
        <f>IF($F222="","",IFERROR(INDEX(사건마스터!$AS$5:$AS$64,MATCH($F222,사건마스터!$A$5:$A$64,0)),""))</f>
        <v/>
      </c>
      <c r="W222" s="35">
        <f>IF($F222="","",IFERROR(INDEX(사건마스터!$AT$5:$AT$64,MATCH($F222,사건마스터!$A$5:$A$64,0)),""))</f>
        <v/>
      </c>
      <c r="X222" s="35">
        <f>IF($F222="","",IFERROR(INDEX(사건마스터!$AU$5:$AU$64,MATCH($F222,사건마스터!$A$5:$A$64,0)),""))</f>
        <v/>
      </c>
      <c r="Y222" s="35">
        <f>IF($F222="","",IFERROR(INDEX(사건마스터!$AV$5:$AV$64,MATCH($F222,사건마스터!$A$5:$A$64,0)),""))</f>
        <v/>
      </c>
      <c r="Z222" s="30">
        <f>IF(COUNTBLANK($J222:$Y222)=16,"",16-COUNTBLANK($J222:$Y222))</f>
        <v/>
      </c>
      <c r="AA222" s="33">
        <f>IF($J222="",MID($AX222,3,255),$J222&amp;$AX222)</f>
        <v/>
      </c>
      <c r="AB222" s="34">
        <f>IF($J222="","",IFERROR(INDEX(코드설정!$D$5:$D$24,MATCH($J222,코드설정!$C$5:$C$24,0)),""))</f>
        <v/>
      </c>
      <c r="AC222" s="36" t="n"/>
      <c r="AD222" s="37" t="n"/>
      <c r="AE222" s="38" t="n"/>
      <c r="AF222" s="30">
        <f>IF(OR($B222="",$C222=""),"",$C222-$B222+1)</f>
        <v/>
      </c>
      <c r="AG222" s="32" t="n"/>
      <c r="AH222" s="36" t="n"/>
      <c r="AJ222">
        <f>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  <c r="AX222">
        <f>AW222&amp;IF($Y222="","",", "&amp;$Y222)</f>
        <v/>
      </c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0">
        <f>IF($F223="","",COUNTIF($F$5:$F223,$F223))</f>
        <v/>
      </c>
      <c r="H223" s="33">
        <f>IF($F223="","",IFERROR(INDEX(사건마스터!$B$5:$B$64,MATCH($F223,사건마스터!$A$5:$A$64,0)),""))</f>
        <v/>
      </c>
      <c r="I223" s="34">
        <f>IF($F223="","",IFERROR(INDEX(사건마스터!$C$5:$C$64,MATCH($F223,사건마스터!$A$5:$A$64,0)),""))</f>
        <v/>
      </c>
      <c r="J223" s="35">
        <f>IF($F223="","",IFERROR(INDEX(사건마스터!$H$5:$H$64,MATCH($F223,사건마스터!$A$5:$A$64,0)),""))</f>
        <v/>
      </c>
      <c r="K223" s="35">
        <f>IF($F223="","",IFERROR(INDEX(사건마스터!$AH$5:$AH$64,MATCH($F223,사건마스터!$A$5:$A$64,0)),""))</f>
        <v/>
      </c>
      <c r="L223" s="35">
        <f>IF($F223="","",IFERROR(INDEX(사건마스터!$AI$5:$AI$64,MATCH($F223,사건마스터!$A$5:$A$64,0)),""))</f>
        <v/>
      </c>
      <c r="M223" s="35">
        <f>IF($F223="","",IFERROR(INDEX(사건마스터!$AJ$5:$AJ$64,MATCH($F223,사건마스터!$A$5:$A$64,0)),""))</f>
        <v/>
      </c>
      <c r="N223" s="35">
        <f>IF($F223="","",IFERROR(INDEX(사건마스터!$AK$5:$AK$64,MATCH($F223,사건마스터!$A$5:$A$64,0)),""))</f>
        <v/>
      </c>
      <c r="O223" s="35">
        <f>IF($F223="","",IFERROR(INDEX(사건마스터!$AL$5:$AL$64,MATCH($F223,사건마스터!$A$5:$A$64,0)),""))</f>
        <v/>
      </c>
      <c r="P223" s="35">
        <f>IF($F223="","",IFERROR(INDEX(사건마스터!$AM$5:$AM$64,MATCH($F223,사건마스터!$A$5:$A$64,0)),""))</f>
        <v/>
      </c>
      <c r="Q223" s="35">
        <f>IF($F223="","",IFERROR(INDEX(사건마스터!$AN$5:$AN$64,MATCH($F223,사건마스터!$A$5:$A$64,0)),""))</f>
        <v/>
      </c>
      <c r="R223" s="35">
        <f>IF($F223="","",IFERROR(INDEX(사건마스터!$AO$5:$AO$64,MATCH($F223,사건마스터!$A$5:$A$64,0)),""))</f>
        <v/>
      </c>
      <c r="S223" s="35">
        <f>IF($F223="","",IFERROR(INDEX(사건마스터!$AP$5:$AP$64,MATCH($F223,사건마스터!$A$5:$A$64,0)),""))</f>
        <v/>
      </c>
      <c r="T223" s="35">
        <f>IF($F223="","",IFERROR(INDEX(사건마스터!$AQ$5:$AQ$64,MATCH($F223,사건마스터!$A$5:$A$64,0)),""))</f>
        <v/>
      </c>
      <c r="U223" s="35">
        <f>IF($F223="","",IFERROR(INDEX(사건마스터!$AR$5:$AR$64,MATCH($F223,사건마스터!$A$5:$A$64,0)),""))</f>
        <v/>
      </c>
      <c r="V223" s="35">
        <f>IF($F223="","",IFERROR(INDEX(사건마스터!$AS$5:$AS$64,MATCH($F223,사건마스터!$A$5:$A$64,0)),""))</f>
        <v/>
      </c>
      <c r="W223" s="35">
        <f>IF($F223="","",IFERROR(INDEX(사건마스터!$AT$5:$AT$64,MATCH($F223,사건마스터!$A$5:$A$64,0)),""))</f>
        <v/>
      </c>
      <c r="X223" s="35">
        <f>IF($F223="","",IFERROR(INDEX(사건마스터!$AU$5:$AU$64,MATCH($F223,사건마스터!$A$5:$A$64,0)),""))</f>
        <v/>
      </c>
      <c r="Y223" s="35">
        <f>IF($F223="","",IFERROR(INDEX(사건마스터!$AV$5:$AV$64,MATCH($F223,사건마스터!$A$5:$A$64,0)),""))</f>
        <v/>
      </c>
      <c r="Z223" s="30">
        <f>IF(COUNTBLANK($J223:$Y223)=16,"",16-COUNTBLANK($J223:$Y223))</f>
        <v/>
      </c>
      <c r="AA223" s="33">
        <f>IF($J223="",MID($AX223,3,255),$J223&amp;$AX223)</f>
        <v/>
      </c>
      <c r="AB223" s="34">
        <f>IF($J223="","",IFERROR(INDEX(코드설정!$D$5:$D$24,MATCH($J223,코드설정!$C$5:$C$24,0)),""))</f>
        <v/>
      </c>
      <c r="AC223" s="36" t="n"/>
      <c r="AD223" s="37" t="n"/>
      <c r="AE223" s="38" t="n"/>
      <c r="AF223" s="30">
        <f>IF(OR($B223="",$C223=""),"",$C223-$B223+1)</f>
        <v/>
      </c>
      <c r="AG223" s="32" t="n"/>
      <c r="AH223" s="36" t="n"/>
      <c r="AJ223">
        <f>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  <c r="AX223">
        <f>AW223&amp;IF($Y223="","",", "&amp;$Y223)</f>
        <v/>
      </c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0">
        <f>IF($F224="","",COUNTIF($F$5:$F224,$F224))</f>
        <v/>
      </c>
      <c r="H224" s="33">
        <f>IF($F224="","",IFERROR(INDEX(사건마스터!$B$5:$B$64,MATCH($F224,사건마스터!$A$5:$A$64,0)),""))</f>
        <v/>
      </c>
      <c r="I224" s="34">
        <f>IF($F224="","",IFERROR(INDEX(사건마스터!$C$5:$C$64,MATCH($F224,사건마스터!$A$5:$A$64,0)),""))</f>
        <v/>
      </c>
      <c r="J224" s="35">
        <f>IF($F224="","",IFERROR(INDEX(사건마스터!$H$5:$H$64,MATCH($F224,사건마스터!$A$5:$A$64,0)),""))</f>
        <v/>
      </c>
      <c r="K224" s="35">
        <f>IF($F224="","",IFERROR(INDEX(사건마스터!$AH$5:$AH$64,MATCH($F224,사건마스터!$A$5:$A$64,0)),""))</f>
        <v/>
      </c>
      <c r="L224" s="35">
        <f>IF($F224="","",IFERROR(INDEX(사건마스터!$AI$5:$AI$64,MATCH($F224,사건마스터!$A$5:$A$64,0)),""))</f>
        <v/>
      </c>
      <c r="M224" s="35">
        <f>IF($F224="","",IFERROR(INDEX(사건마스터!$AJ$5:$AJ$64,MATCH($F224,사건마스터!$A$5:$A$64,0)),""))</f>
        <v/>
      </c>
      <c r="N224" s="35">
        <f>IF($F224="","",IFERROR(INDEX(사건마스터!$AK$5:$AK$64,MATCH($F224,사건마스터!$A$5:$A$64,0)),""))</f>
        <v/>
      </c>
      <c r="O224" s="35">
        <f>IF($F224="","",IFERROR(INDEX(사건마스터!$AL$5:$AL$64,MATCH($F224,사건마스터!$A$5:$A$64,0)),""))</f>
        <v/>
      </c>
      <c r="P224" s="35">
        <f>IF($F224="","",IFERROR(INDEX(사건마스터!$AM$5:$AM$64,MATCH($F224,사건마스터!$A$5:$A$64,0)),""))</f>
        <v/>
      </c>
      <c r="Q224" s="35">
        <f>IF($F224="","",IFERROR(INDEX(사건마스터!$AN$5:$AN$64,MATCH($F224,사건마스터!$A$5:$A$64,0)),""))</f>
        <v/>
      </c>
      <c r="R224" s="35">
        <f>IF($F224="","",IFERROR(INDEX(사건마스터!$AO$5:$AO$64,MATCH($F224,사건마스터!$A$5:$A$64,0)),""))</f>
        <v/>
      </c>
      <c r="S224" s="35">
        <f>IF($F224="","",IFERROR(INDEX(사건마스터!$AP$5:$AP$64,MATCH($F224,사건마스터!$A$5:$A$64,0)),""))</f>
        <v/>
      </c>
      <c r="T224" s="35">
        <f>IF($F224="","",IFERROR(INDEX(사건마스터!$AQ$5:$AQ$64,MATCH($F224,사건마스터!$A$5:$A$64,0)),""))</f>
        <v/>
      </c>
      <c r="U224" s="35">
        <f>IF($F224="","",IFERROR(INDEX(사건마스터!$AR$5:$AR$64,MATCH($F224,사건마스터!$A$5:$A$64,0)),""))</f>
        <v/>
      </c>
      <c r="V224" s="35">
        <f>IF($F224="","",IFERROR(INDEX(사건마스터!$AS$5:$AS$64,MATCH($F224,사건마스터!$A$5:$A$64,0)),""))</f>
        <v/>
      </c>
      <c r="W224" s="35">
        <f>IF($F224="","",IFERROR(INDEX(사건마스터!$AT$5:$AT$64,MATCH($F224,사건마스터!$A$5:$A$64,0)),""))</f>
        <v/>
      </c>
      <c r="X224" s="35">
        <f>IF($F224="","",IFERROR(INDEX(사건마스터!$AU$5:$AU$64,MATCH($F224,사건마스터!$A$5:$A$64,0)),""))</f>
        <v/>
      </c>
      <c r="Y224" s="35">
        <f>IF($F224="","",IFERROR(INDEX(사건마스터!$AV$5:$AV$64,MATCH($F224,사건마스터!$A$5:$A$64,0)),""))</f>
        <v/>
      </c>
      <c r="Z224" s="30">
        <f>IF(COUNTBLANK($J224:$Y224)=16,"",16-COUNTBLANK($J224:$Y224))</f>
        <v/>
      </c>
      <c r="AA224" s="33">
        <f>IF($J224="",MID($AX224,3,255),$J224&amp;$AX224)</f>
        <v/>
      </c>
      <c r="AB224" s="34">
        <f>IF($J224="","",IFERROR(INDEX(코드설정!$D$5:$D$24,MATCH($J224,코드설정!$C$5:$C$24,0)),""))</f>
        <v/>
      </c>
      <c r="AC224" s="36" t="n"/>
      <c r="AD224" s="37" t="n"/>
      <c r="AE224" s="38" t="n"/>
      <c r="AF224" s="30">
        <f>IF(OR($B224="",$C224=""),"",$C224-$B224+1)</f>
        <v/>
      </c>
      <c r="AG224" s="32" t="n"/>
      <c r="AH224" s="36" t="n"/>
      <c r="AJ224">
        <f>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  <c r="AX224">
        <f>AW224&amp;IF($Y224="","",", "&amp;$Y224)</f>
        <v/>
      </c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0">
        <f>IF($F225="","",COUNTIF($F$5:$F225,$F225))</f>
        <v/>
      </c>
      <c r="H225" s="33">
        <f>IF($F225="","",IFERROR(INDEX(사건마스터!$B$5:$B$64,MATCH($F225,사건마스터!$A$5:$A$64,0)),""))</f>
        <v/>
      </c>
      <c r="I225" s="34">
        <f>IF($F225="","",IFERROR(INDEX(사건마스터!$C$5:$C$64,MATCH($F225,사건마스터!$A$5:$A$64,0)),""))</f>
        <v/>
      </c>
      <c r="J225" s="35">
        <f>IF($F225="","",IFERROR(INDEX(사건마스터!$H$5:$H$64,MATCH($F225,사건마스터!$A$5:$A$64,0)),""))</f>
        <v/>
      </c>
      <c r="K225" s="35">
        <f>IF($F225="","",IFERROR(INDEX(사건마스터!$AH$5:$AH$64,MATCH($F225,사건마스터!$A$5:$A$64,0)),""))</f>
        <v/>
      </c>
      <c r="L225" s="35">
        <f>IF($F225="","",IFERROR(INDEX(사건마스터!$AI$5:$AI$64,MATCH($F225,사건마스터!$A$5:$A$64,0)),""))</f>
        <v/>
      </c>
      <c r="M225" s="35">
        <f>IF($F225="","",IFERROR(INDEX(사건마스터!$AJ$5:$AJ$64,MATCH($F225,사건마스터!$A$5:$A$64,0)),""))</f>
        <v/>
      </c>
      <c r="N225" s="35">
        <f>IF($F225="","",IFERROR(INDEX(사건마스터!$AK$5:$AK$64,MATCH($F225,사건마스터!$A$5:$A$64,0)),""))</f>
        <v/>
      </c>
      <c r="O225" s="35">
        <f>IF($F225="","",IFERROR(INDEX(사건마스터!$AL$5:$AL$64,MATCH($F225,사건마스터!$A$5:$A$64,0)),""))</f>
        <v/>
      </c>
      <c r="P225" s="35">
        <f>IF($F225="","",IFERROR(INDEX(사건마스터!$AM$5:$AM$64,MATCH($F225,사건마스터!$A$5:$A$64,0)),""))</f>
        <v/>
      </c>
      <c r="Q225" s="35">
        <f>IF($F225="","",IFERROR(INDEX(사건마스터!$AN$5:$AN$64,MATCH($F225,사건마스터!$A$5:$A$64,0)),""))</f>
        <v/>
      </c>
      <c r="R225" s="35">
        <f>IF($F225="","",IFERROR(INDEX(사건마스터!$AO$5:$AO$64,MATCH($F225,사건마스터!$A$5:$A$64,0)),""))</f>
        <v/>
      </c>
      <c r="S225" s="35">
        <f>IF($F225="","",IFERROR(INDEX(사건마스터!$AP$5:$AP$64,MATCH($F225,사건마스터!$A$5:$A$64,0)),""))</f>
        <v/>
      </c>
      <c r="T225" s="35">
        <f>IF($F225="","",IFERROR(INDEX(사건마스터!$AQ$5:$AQ$64,MATCH($F225,사건마스터!$A$5:$A$64,0)),""))</f>
        <v/>
      </c>
      <c r="U225" s="35">
        <f>IF($F225="","",IFERROR(INDEX(사건마스터!$AR$5:$AR$64,MATCH($F225,사건마스터!$A$5:$A$64,0)),""))</f>
        <v/>
      </c>
      <c r="V225" s="35">
        <f>IF($F225="","",IFERROR(INDEX(사건마스터!$AS$5:$AS$64,MATCH($F225,사건마스터!$A$5:$A$64,0)),""))</f>
        <v/>
      </c>
      <c r="W225" s="35">
        <f>IF($F225="","",IFERROR(INDEX(사건마스터!$AT$5:$AT$64,MATCH($F225,사건마스터!$A$5:$A$64,0)),""))</f>
        <v/>
      </c>
      <c r="X225" s="35">
        <f>IF($F225="","",IFERROR(INDEX(사건마스터!$AU$5:$AU$64,MATCH($F225,사건마스터!$A$5:$A$64,0)),""))</f>
        <v/>
      </c>
      <c r="Y225" s="35">
        <f>IF($F225="","",IFERROR(INDEX(사건마스터!$AV$5:$AV$64,MATCH($F225,사건마스터!$A$5:$A$64,0)),""))</f>
        <v/>
      </c>
      <c r="Z225" s="30">
        <f>IF(COUNTBLANK($J225:$Y225)=16,"",16-COUNTBLANK($J225:$Y225))</f>
        <v/>
      </c>
      <c r="AA225" s="33">
        <f>IF($J225="",MID($AX225,3,255),$J225&amp;$AX225)</f>
        <v/>
      </c>
      <c r="AB225" s="34">
        <f>IF($J225="","",IFERROR(INDEX(코드설정!$D$5:$D$24,MATCH($J225,코드설정!$C$5:$C$24,0)),""))</f>
        <v/>
      </c>
      <c r="AC225" s="36" t="n"/>
      <c r="AD225" s="37" t="n"/>
      <c r="AE225" s="38" t="n"/>
      <c r="AF225" s="30">
        <f>IF(OR($B225="",$C225=""),"",$C225-$B225+1)</f>
        <v/>
      </c>
      <c r="AG225" s="32" t="n"/>
      <c r="AH225" s="36" t="n"/>
      <c r="AJ225">
        <f>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  <c r="AX225">
        <f>AW225&amp;IF($Y225="","",", "&amp;$Y225)</f>
        <v/>
      </c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0">
        <f>IF($F226="","",COUNTIF($F$5:$F226,$F226))</f>
        <v/>
      </c>
      <c r="H226" s="33">
        <f>IF($F226="","",IFERROR(INDEX(사건마스터!$B$5:$B$64,MATCH($F226,사건마스터!$A$5:$A$64,0)),""))</f>
        <v/>
      </c>
      <c r="I226" s="34">
        <f>IF($F226="","",IFERROR(INDEX(사건마스터!$C$5:$C$64,MATCH($F226,사건마스터!$A$5:$A$64,0)),""))</f>
        <v/>
      </c>
      <c r="J226" s="35">
        <f>IF($F226="","",IFERROR(INDEX(사건마스터!$H$5:$H$64,MATCH($F226,사건마스터!$A$5:$A$64,0)),""))</f>
        <v/>
      </c>
      <c r="K226" s="35">
        <f>IF($F226="","",IFERROR(INDEX(사건마스터!$AH$5:$AH$64,MATCH($F226,사건마스터!$A$5:$A$64,0)),""))</f>
        <v/>
      </c>
      <c r="L226" s="35">
        <f>IF($F226="","",IFERROR(INDEX(사건마스터!$AI$5:$AI$64,MATCH($F226,사건마스터!$A$5:$A$64,0)),""))</f>
        <v/>
      </c>
      <c r="M226" s="35">
        <f>IF($F226="","",IFERROR(INDEX(사건마스터!$AJ$5:$AJ$64,MATCH($F226,사건마스터!$A$5:$A$64,0)),""))</f>
        <v/>
      </c>
      <c r="N226" s="35">
        <f>IF($F226="","",IFERROR(INDEX(사건마스터!$AK$5:$AK$64,MATCH($F226,사건마스터!$A$5:$A$64,0)),""))</f>
        <v/>
      </c>
      <c r="O226" s="35">
        <f>IF($F226="","",IFERROR(INDEX(사건마스터!$AL$5:$AL$64,MATCH($F226,사건마스터!$A$5:$A$64,0)),""))</f>
        <v/>
      </c>
      <c r="P226" s="35">
        <f>IF($F226="","",IFERROR(INDEX(사건마스터!$AM$5:$AM$64,MATCH($F226,사건마스터!$A$5:$A$64,0)),""))</f>
        <v/>
      </c>
      <c r="Q226" s="35">
        <f>IF($F226="","",IFERROR(INDEX(사건마스터!$AN$5:$AN$64,MATCH($F226,사건마스터!$A$5:$A$64,0)),""))</f>
        <v/>
      </c>
      <c r="R226" s="35">
        <f>IF($F226="","",IFERROR(INDEX(사건마스터!$AO$5:$AO$64,MATCH($F226,사건마스터!$A$5:$A$64,0)),""))</f>
        <v/>
      </c>
      <c r="S226" s="35">
        <f>IF($F226="","",IFERROR(INDEX(사건마스터!$AP$5:$AP$64,MATCH($F226,사건마스터!$A$5:$A$64,0)),""))</f>
        <v/>
      </c>
      <c r="T226" s="35">
        <f>IF($F226="","",IFERROR(INDEX(사건마스터!$AQ$5:$AQ$64,MATCH($F226,사건마스터!$A$5:$A$64,0)),""))</f>
        <v/>
      </c>
      <c r="U226" s="35">
        <f>IF($F226="","",IFERROR(INDEX(사건마스터!$AR$5:$AR$64,MATCH($F226,사건마스터!$A$5:$A$64,0)),""))</f>
        <v/>
      </c>
      <c r="V226" s="35">
        <f>IF($F226="","",IFERROR(INDEX(사건마스터!$AS$5:$AS$64,MATCH($F226,사건마스터!$A$5:$A$64,0)),""))</f>
        <v/>
      </c>
      <c r="W226" s="35">
        <f>IF($F226="","",IFERROR(INDEX(사건마스터!$AT$5:$AT$64,MATCH($F226,사건마스터!$A$5:$A$64,0)),""))</f>
        <v/>
      </c>
      <c r="X226" s="35">
        <f>IF($F226="","",IFERROR(INDEX(사건마스터!$AU$5:$AU$64,MATCH($F226,사건마스터!$A$5:$A$64,0)),""))</f>
        <v/>
      </c>
      <c r="Y226" s="35">
        <f>IF($F226="","",IFERROR(INDEX(사건마스터!$AV$5:$AV$64,MATCH($F226,사건마스터!$A$5:$A$64,0)),""))</f>
        <v/>
      </c>
      <c r="Z226" s="30">
        <f>IF(COUNTBLANK($J226:$Y226)=16,"",16-COUNTBLANK($J226:$Y226))</f>
        <v/>
      </c>
      <c r="AA226" s="33">
        <f>IF($J226="",MID($AX226,3,255),$J226&amp;$AX226)</f>
        <v/>
      </c>
      <c r="AB226" s="34">
        <f>IF($J226="","",IFERROR(INDEX(코드설정!$D$5:$D$24,MATCH($J226,코드설정!$C$5:$C$24,0)),""))</f>
        <v/>
      </c>
      <c r="AC226" s="36" t="n"/>
      <c r="AD226" s="37" t="n"/>
      <c r="AE226" s="38" t="n"/>
      <c r="AF226" s="30">
        <f>IF(OR($B226="",$C226=""),"",$C226-$B226+1)</f>
        <v/>
      </c>
      <c r="AG226" s="32" t="n"/>
      <c r="AH226" s="36" t="n"/>
      <c r="AJ226">
        <f>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  <c r="AX226">
        <f>AW226&amp;IF($Y226="","",", "&amp;$Y226)</f>
        <v/>
      </c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0">
        <f>IF($F227="","",COUNTIF($F$5:$F227,$F227))</f>
        <v/>
      </c>
      <c r="H227" s="33">
        <f>IF($F227="","",IFERROR(INDEX(사건마스터!$B$5:$B$64,MATCH($F227,사건마스터!$A$5:$A$64,0)),""))</f>
        <v/>
      </c>
      <c r="I227" s="34">
        <f>IF($F227="","",IFERROR(INDEX(사건마스터!$C$5:$C$64,MATCH($F227,사건마스터!$A$5:$A$64,0)),""))</f>
        <v/>
      </c>
      <c r="J227" s="35">
        <f>IF($F227="","",IFERROR(INDEX(사건마스터!$H$5:$H$64,MATCH($F227,사건마스터!$A$5:$A$64,0)),""))</f>
        <v/>
      </c>
      <c r="K227" s="35">
        <f>IF($F227="","",IFERROR(INDEX(사건마스터!$AH$5:$AH$64,MATCH($F227,사건마스터!$A$5:$A$64,0)),""))</f>
        <v/>
      </c>
      <c r="L227" s="35">
        <f>IF($F227="","",IFERROR(INDEX(사건마스터!$AI$5:$AI$64,MATCH($F227,사건마스터!$A$5:$A$64,0)),""))</f>
        <v/>
      </c>
      <c r="M227" s="35">
        <f>IF($F227="","",IFERROR(INDEX(사건마스터!$AJ$5:$AJ$64,MATCH($F227,사건마스터!$A$5:$A$64,0)),""))</f>
        <v/>
      </c>
      <c r="N227" s="35">
        <f>IF($F227="","",IFERROR(INDEX(사건마스터!$AK$5:$AK$64,MATCH($F227,사건마스터!$A$5:$A$64,0)),""))</f>
        <v/>
      </c>
      <c r="O227" s="35">
        <f>IF($F227="","",IFERROR(INDEX(사건마스터!$AL$5:$AL$64,MATCH($F227,사건마스터!$A$5:$A$64,0)),""))</f>
        <v/>
      </c>
      <c r="P227" s="35">
        <f>IF($F227="","",IFERROR(INDEX(사건마스터!$AM$5:$AM$64,MATCH($F227,사건마스터!$A$5:$A$64,0)),""))</f>
        <v/>
      </c>
      <c r="Q227" s="35">
        <f>IF($F227="","",IFERROR(INDEX(사건마스터!$AN$5:$AN$64,MATCH($F227,사건마스터!$A$5:$A$64,0)),""))</f>
        <v/>
      </c>
      <c r="R227" s="35">
        <f>IF($F227="","",IFERROR(INDEX(사건마스터!$AO$5:$AO$64,MATCH($F227,사건마스터!$A$5:$A$64,0)),""))</f>
        <v/>
      </c>
      <c r="S227" s="35">
        <f>IF($F227="","",IFERROR(INDEX(사건마스터!$AP$5:$AP$64,MATCH($F227,사건마스터!$A$5:$A$64,0)),""))</f>
        <v/>
      </c>
      <c r="T227" s="35">
        <f>IF($F227="","",IFERROR(INDEX(사건마스터!$AQ$5:$AQ$64,MATCH($F227,사건마스터!$A$5:$A$64,0)),""))</f>
        <v/>
      </c>
      <c r="U227" s="35">
        <f>IF($F227="","",IFERROR(INDEX(사건마스터!$AR$5:$AR$64,MATCH($F227,사건마스터!$A$5:$A$64,0)),""))</f>
        <v/>
      </c>
      <c r="V227" s="35">
        <f>IF($F227="","",IFERROR(INDEX(사건마스터!$AS$5:$AS$64,MATCH($F227,사건마스터!$A$5:$A$64,0)),""))</f>
        <v/>
      </c>
      <c r="W227" s="35">
        <f>IF($F227="","",IFERROR(INDEX(사건마스터!$AT$5:$AT$64,MATCH($F227,사건마스터!$A$5:$A$64,0)),""))</f>
        <v/>
      </c>
      <c r="X227" s="35">
        <f>IF($F227="","",IFERROR(INDEX(사건마스터!$AU$5:$AU$64,MATCH($F227,사건마스터!$A$5:$A$64,0)),""))</f>
        <v/>
      </c>
      <c r="Y227" s="35">
        <f>IF($F227="","",IFERROR(INDEX(사건마스터!$AV$5:$AV$64,MATCH($F227,사건마스터!$A$5:$A$64,0)),""))</f>
        <v/>
      </c>
      <c r="Z227" s="30">
        <f>IF(COUNTBLANK($J227:$Y227)=16,"",16-COUNTBLANK($J227:$Y227))</f>
        <v/>
      </c>
      <c r="AA227" s="33">
        <f>IF($J227="",MID($AX227,3,255),$J227&amp;$AX227)</f>
        <v/>
      </c>
      <c r="AB227" s="34">
        <f>IF($J227="","",IFERROR(INDEX(코드설정!$D$5:$D$24,MATCH($J227,코드설정!$C$5:$C$24,0)),""))</f>
        <v/>
      </c>
      <c r="AC227" s="36" t="n"/>
      <c r="AD227" s="37" t="n"/>
      <c r="AE227" s="38" t="n"/>
      <c r="AF227" s="30">
        <f>IF(OR($B227="",$C227=""),"",$C227-$B227+1)</f>
        <v/>
      </c>
      <c r="AG227" s="32" t="n"/>
      <c r="AH227" s="36" t="n"/>
      <c r="AJ227">
        <f>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  <c r="AX227">
        <f>AW227&amp;IF($Y227="","",", "&amp;$Y227)</f>
        <v/>
      </c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0">
        <f>IF($F228="","",COUNTIF($F$5:$F228,$F228))</f>
        <v/>
      </c>
      <c r="H228" s="33">
        <f>IF($F228="","",IFERROR(INDEX(사건마스터!$B$5:$B$64,MATCH($F228,사건마스터!$A$5:$A$64,0)),""))</f>
        <v/>
      </c>
      <c r="I228" s="34">
        <f>IF($F228="","",IFERROR(INDEX(사건마스터!$C$5:$C$64,MATCH($F228,사건마스터!$A$5:$A$64,0)),""))</f>
        <v/>
      </c>
      <c r="J228" s="35">
        <f>IF($F228="","",IFERROR(INDEX(사건마스터!$H$5:$H$64,MATCH($F228,사건마스터!$A$5:$A$64,0)),""))</f>
        <v/>
      </c>
      <c r="K228" s="35">
        <f>IF($F228="","",IFERROR(INDEX(사건마스터!$AH$5:$AH$64,MATCH($F228,사건마스터!$A$5:$A$64,0)),""))</f>
        <v/>
      </c>
      <c r="L228" s="35">
        <f>IF($F228="","",IFERROR(INDEX(사건마스터!$AI$5:$AI$64,MATCH($F228,사건마스터!$A$5:$A$64,0)),""))</f>
        <v/>
      </c>
      <c r="M228" s="35">
        <f>IF($F228="","",IFERROR(INDEX(사건마스터!$AJ$5:$AJ$64,MATCH($F228,사건마스터!$A$5:$A$64,0)),""))</f>
        <v/>
      </c>
      <c r="N228" s="35">
        <f>IF($F228="","",IFERROR(INDEX(사건마스터!$AK$5:$AK$64,MATCH($F228,사건마스터!$A$5:$A$64,0)),""))</f>
        <v/>
      </c>
      <c r="O228" s="35">
        <f>IF($F228="","",IFERROR(INDEX(사건마스터!$AL$5:$AL$64,MATCH($F228,사건마스터!$A$5:$A$64,0)),""))</f>
        <v/>
      </c>
      <c r="P228" s="35">
        <f>IF($F228="","",IFERROR(INDEX(사건마스터!$AM$5:$AM$64,MATCH($F228,사건마스터!$A$5:$A$64,0)),""))</f>
        <v/>
      </c>
      <c r="Q228" s="35">
        <f>IF($F228="","",IFERROR(INDEX(사건마스터!$AN$5:$AN$64,MATCH($F228,사건마스터!$A$5:$A$64,0)),""))</f>
        <v/>
      </c>
      <c r="R228" s="35">
        <f>IF($F228="","",IFERROR(INDEX(사건마스터!$AO$5:$AO$64,MATCH($F228,사건마스터!$A$5:$A$64,0)),""))</f>
        <v/>
      </c>
      <c r="S228" s="35">
        <f>IF($F228="","",IFERROR(INDEX(사건마스터!$AP$5:$AP$64,MATCH($F228,사건마스터!$A$5:$A$64,0)),""))</f>
        <v/>
      </c>
      <c r="T228" s="35">
        <f>IF($F228="","",IFERROR(INDEX(사건마스터!$AQ$5:$AQ$64,MATCH($F228,사건마스터!$A$5:$A$64,0)),""))</f>
        <v/>
      </c>
      <c r="U228" s="35">
        <f>IF($F228="","",IFERROR(INDEX(사건마스터!$AR$5:$AR$64,MATCH($F228,사건마스터!$A$5:$A$64,0)),""))</f>
        <v/>
      </c>
      <c r="V228" s="35">
        <f>IF($F228="","",IFERROR(INDEX(사건마스터!$AS$5:$AS$64,MATCH($F228,사건마스터!$A$5:$A$64,0)),""))</f>
        <v/>
      </c>
      <c r="W228" s="35">
        <f>IF($F228="","",IFERROR(INDEX(사건마스터!$AT$5:$AT$64,MATCH($F228,사건마스터!$A$5:$A$64,0)),""))</f>
        <v/>
      </c>
      <c r="X228" s="35">
        <f>IF($F228="","",IFERROR(INDEX(사건마스터!$AU$5:$AU$64,MATCH($F228,사건마스터!$A$5:$A$64,0)),""))</f>
        <v/>
      </c>
      <c r="Y228" s="35">
        <f>IF($F228="","",IFERROR(INDEX(사건마스터!$AV$5:$AV$64,MATCH($F228,사건마스터!$A$5:$A$64,0)),""))</f>
        <v/>
      </c>
      <c r="Z228" s="30">
        <f>IF(COUNTBLANK($J228:$Y228)=16,"",16-COUNTBLANK($J228:$Y228))</f>
        <v/>
      </c>
      <c r="AA228" s="33">
        <f>IF($J228="",MID($AX228,3,255),$J228&amp;$AX228)</f>
        <v/>
      </c>
      <c r="AB228" s="34">
        <f>IF($J228="","",IFERROR(INDEX(코드설정!$D$5:$D$24,MATCH($J228,코드설정!$C$5:$C$24,0)),""))</f>
        <v/>
      </c>
      <c r="AC228" s="36" t="n"/>
      <c r="AD228" s="37" t="n"/>
      <c r="AE228" s="38" t="n"/>
      <c r="AF228" s="30">
        <f>IF(OR($B228="",$C228=""),"",$C228-$B228+1)</f>
        <v/>
      </c>
      <c r="AG228" s="32" t="n"/>
      <c r="AH228" s="36" t="n"/>
      <c r="AJ228">
        <f>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  <c r="AX228">
        <f>AW228&amp;IF($Y228="","",", "&amp;$Y228)</f>
        <v/>
      </c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0">
        <f>IF($F229="","",COUNTIF($F$5:$F229,$F229))</f>
        <v/>
      </c>
      <c r="H229" s="33">
        <f>IF($F229="","",IFERROR(INDEX(사건마스터!$B$5:$B$64,MATCH($F229,사건마스터!$A$5:$A$64,0)),""))</f>
        <v/>
      </c>
      <c r="I229" s="34">
        <f>IF($F229="","",IFERROR(INDEX(사건마스터!$C$5:$C$64,MATCH($F229,사건마스터!$A$5:$A$64,0)),""))</f>
        <v/>
      </c>
      <c r="J229" s="35">
        <f>IF($F229="","",IFERROR(INDEX(사건마스터!$H$5:$H$64,MATCH($F229,사건마스터!$A$5:$A$64,0)),""))</f>
        <v/>
      </c>
      <c r="K229" s="35">
        <f>IF($F229="","",IFERROR(INDEX(사건마스터!$AH$5:$AH$64,MATCH($F229,사건마스터!$A$5:$A$64,0)),""))</f>
        <v/>
      </c>
      <c r="L229" s="35">
        <f>IF($F229="","",IFERROR(INDEX(사건마스터!$AI$5:$AI$64,MATCH($F229,사건마스터!$A$5:$A$64,0)),""))</f>
        <v/>
      </c>
      <c r="M229" s="35">
        <f>IF($F229="","",IFERROR(INDEX(사건마스터!$AJ$5:$AJ$64,MATCH($F229,사건마스터!$A$5:$A$64,0)),""))</f>
        <v/>
      </c>
      <c r="N229" s="35">
        <f>IF($F229="","",IFERROR(INDEX(사건마스터!$AK$5:$AK$64,MATCH($F229,사건마스터!$A$5:$A$64,0)),""))</f>
        <v/>
      </c>
      <c r="O229" s="35">
        <f>IF($F229="","",IFERROR(INDEX(사건마스터!$AL$5:$AL$64,MATCH($F229,사건마스터!$A$5:$A$64,0)),""))</f>
        <v/>
      </c>
      <c r="P229" s="35">
        <f>IF($F229="","",IFERROR(INDEX(사건마스터!$AM$5:$AM$64,MATCH($F229,사건마스터!$A$5:$A$64,0)),""))</f>
        <v/>
      </c>
      <c r="Q229" s="35">
        <f>IF($F229="","",IFERROR(INDEX(사건마스터!$AN$5:$AN$64,MATCH($F229,사건마스터!$A$5:$A$64,0)),""))</f>
        <v/>
      </c>
      <c r="R229" s="35">
        <f>IF($F229="","",IFERROR(INDEX(사건마스터!$AO$5:$AO$64,MATCH($F229,사건마스터!$A$5:$A$64,0)),""))</f>
        <v/>
      </c>
      <c r="S229" s="35">
        <f>IF($F229="","",IFERROR(INDEX(사건마스터!$AP$5:$AP$64,MATCH($F229,사건마스터!$A$5:$A$64,0)),""))</f>
        <v/>
      </c>
      <c r="T229" s="35">
        <f>IF($F229="","",IFERROR(INDEX(사건마스터!$AQ$5:$AQ$64,MATCH($F229,사건마스터!$A$5:$A$64,0)),""))</f>
        <v/>
      </c>
      <c r="U229" s="35">
        <f>IF($F229="","",IFERROR(INDEX(사건마스터!$AR$5:$AR$64,MATCH($F229,사건마스터!$A$5:$A$64,0)),""))</f>
        <v/>
      </c>
      <c r="V229" s="35">
        <f>IF($F229="","",IFERROR(INDEX(사건마스터!$AS$5:$AS$64,MATCH($F229,사건마스터!$A$5:$A$64,0)),""))</f>
        <v/>
      </c>
      <c r="W229" s="35">
        <f>IF($F229="","",IFERROR(INDEX(사건마스터!$AT$5:$AT$64,MATCH($F229,사건마스터!$A$5:$A$64,0)),""))</f>
        <v/>
      </c>
      <c r="X229" s="35">
        <f>IF($F229="","",IFERROR(INDEX(사건마스터!$AU$5:$AU$64,MATCH($F229,사건마스터!$A$5:$A$64,0)),""))</f>
        <v/>
      </c>
      <c r="Y229" s="35">
        <f>IF($F229="","",IFERROR(INDEX(사건마스터!$AV$5:$AV$64,MATCH($F229,사건마스터!$A$5:$A$64,0)),""))</f>
        <v/>
      </c>
      <c r="Z229" s="30">
        <f>IF(COUNTBLANK($J229:$Y229)=16,"",16-COUNTBLANK($J229:$Y229))</f>
        <v/>
      </c>
      <c r="AA229" s="33">
        <f>IF($J229="",MID($AX229,3,255),$J229&amp;$AX229)</f>
        <v/>
      </c>
      <c r="AB229" s="34">
        <f>IF($J229="","",IFERROR(INDEX(코드설정!$D$5:$D$24,MATCH($J229,코드설정!$C$5:$C$24,0)),""))</f>
        <v/>
      </c>
      <c r="AC229" s="36" t="n"/>
      <c r="AD229" s="37" t="n"/>
      <c r="AE229" s="38" t="n"/>
      <c r="AF229" s="30">
        <f>IF(OR($B229="",$C229=""),"",$C229-$B229+1)</f>
        <v/>
      </c>
      <c r="AG229" s="32" t="n"/>
      <c r="AH229" s="36" t="n"/>
      <c r="AJ229">
        <f>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  <c r="AX229">
        <f>AW229&amp;IF($Y229="","",", "&amp;$Y229)</f>
        <v/>
      </c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0">
        <f>IF($F230="","",COUNTIF($F$5:$F230,$F230))</f>
        <v/>
      </c>
      <c r="H230" s="33">
        <f>IF($F230="","",IFERROR(INDEX(사건마스터!$B$5:$B$64,MATCH($F230,사건마스터!$A$5:$A$64,0)),""))</f>
        <v/>
      </c>
      <c r="I230" s="34">
        <f>IF($F230="","",IFERROR(INDEX(사건마스터!$C$5:$C$64,MATCH($F230,사건마스터!$A$5:$A$64,0)),""))</f>
        <v/>
      </c>
      <c r="J230" s="35">
        <f>IF($F230="","",IFERROR(INDEX(사건마스터!$H$5:$H$64,MATCH($F230,사건마스터!$A$5:$A$64,0)),""))</f>
        <v/>
      </c>
      <c r="K230" s="35">
        <f>IF($F230="","",IFERROR(INDEX(사건마스터!$AH$5:$AH$64,MATCH($F230,사건마스터!$A$5:$A$64,0)),""))</f>
        <v/>
      </c>
      <c r="L230" s="35">
        <f>IF($F230="","",IFERROR(INDEX(사건마스터!$AI$5:$AI$64,MATCH($F230,사건마스터!$A$5:$A$64,0)),""))</f>
        <v/>
      </c>
      <c r="M230" s="35">
        <f>IF($F230="","",IFERROR(INDEX(사건마스터!$AJ$5:$AJ$64,MATCH($F230,사건마스터!$A$5:$A$64,0)),""))</f>
        <v/>
      </c>
      <c r="N230" s="35">
        <f>IF($F230="","",IFERROR(INDEX(사건마스터!$AK$5:$AK$64,MATCH($F230,사건마스터!$A$5:$A$64,0)),""))</f>
        <v/>
      </c>
      <c r="O230" s="35">
        <f>IF($F230="","",IFERROR(INDEX(사건마스터!$AL$5:$AL$64,MATCH($F230,사건마스터!$A$5:$A$64,0)),""))</f>
        <v/>
      </c>
      <c r="P230" s="35">
        <f>IF($F230="","",IFERROR(INDEX(사건마스터!$AM$5:$AM$64,MATCH($F230,사건마스터!$A$5:$A$64,0)),""))</f>
        <v/>
      </c>
      <c r="Q230" s="35">
        <f>IF($F230="","",IFERROR(INDEX(사건마스터!$AN$5:$AN$64,MATCH($F230,사건마스터!$A$5:$A$64,0)),""))</f>
        <v/>
      </c>
      <c r="R230" s="35">
        <f>IF($F230="","",IFERROR(INDEX(사건마스터!$AO$5:$AO$64,MATCH($F230,사건마스터!$A$5:$A$64,0)),""))</f>
        <v/>
      </c>
      <c r="S230" s="35">
        <f>IF($F230="","",IFERROR(INDEX(사건마스터!$AP$5:$AP$64,MATCH($F230,사건마스터!$A$5:$A$64,0)),""))</f>
        <v/>
      </c>
      <c r="T230" s="35">
        <f>IF($F230="","",IFERROR(INDEX(사건마스터!$AQ$5:$AQ$64,MATCH($F230,사건마스터!$A$5:$A$64,0)),""))</f>
        <v/>
      </c>
      <c r="U230" s="35">
        <f>IF($F230="","",IFERROR(INDEX(사건마스터!$AR$5:$AR$64,MATCH($F230,사건마스터!$A$5:$A$64,0)),""))</f>
        <v/>
      </c>
      <c r="V230" s="35">
        <f>IF($F230="","",IFERROR(INDEX(사건마스터!$AS$5:$AS$64,MATCH($F230,사건마스터!$A$5:$A$64,0)),""))</f>
        <v/>
      </c>
      <c r="W230" s="35">
        <f>IF($F230="","",IFERROR(INDEX(사건마스터!$AT$5:$AT$64,MATCH($F230,사건마스터!$A$5:$A$64,0)),""))</f>
        <v/>
      </c>
      <c r="X230" s="35">
        <f>IF($F230="","",IFERROR(INDEX(사건마스터!$AU$5:$AU$64,MATCH($F230,사건마스터!$A$5:$A$64,0)),""))</f>
        <v/>
      </c>
      <c r="Y230" s="35">
        <f>IF($F230="","",IFERROR(INDEX(사건마스터!$AV$5:$AV$64,MATCH($F230,사건마스터!$A$5:$A$64,0)),""))</f>
        <v/>
      </c>
      <c r="Z230" s="30">
        <f>IF(COUNTBLANK($J230:$Y230)=16,"",16-COUNTBLANK($J230:$Y230))</f>
        <v/>
      </c>
      <c r="AA230" s="33">
        <f>IF($J230="",MID($AX230,3,255),$J230&amp;$AX230)</f>
        <v/>
      </c>
      <c r="AB230" s="34">
        <f>IF($J230="","",IFERROR(INDEX(코드설정!$D$5:$D$24,MATCH($J230,코드설정!$C$5:$C$24,0)),""))</f>
        <v/>
      </c>
      <c r="AC230" s="36" t="n"/>
      <c r="AD230" s="37" t="n"/>
      <c r="AE230" s="38" t="n"/>
      <c r="AF230" s="30">
        <f>IF(OR($B230="",$C230=""),"",$C230-$B230+1)</f>
        <v/>
      </c>
      <c r="AG230" s="32" t="n"/>
      <c r="AH230" s="36" t="n"/>
      <c r="AJ230">
        <f>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  <c r="AX230">
        <f>AW230&amp;IF($Y230="","",", "&amp;$Y230)</f>
        <v/>
      </c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0">
        <f>IF($F231="","",COUNTIF($F$5:$F231,$F231))</f>
        <v/>
      </c>
      <c r="H231" s="33">
        <f>IF($F231="","",IFERROR(INDEX(사건마스터!$B$5:$B$64,MATCH($F231,사건마스터!$A$5:$A$64,0)),""))</f>
        <v/>
      </c>
      <c r="I231" s="34">
        <f>IF($F231="","",IFERROR(INDEX(사건마스터!$C$5:$C$64,MATCH($F231,사건마스터!$A$5:$A$64,0)),""))</f>
        <v/>
      </c>
      <c r="J231" s="35">
        <f>IF($F231="","",IFERROR(INDEX(사건마스터!$H$5:$H$64,MATCH($F231,사건마스터!$A$5:$A$64,0)),""))</f>
        <v/>
      </c>
      <c r="K231" s="35">
        <f>IF($F231="","",IFERROR(INDEX(사건마스터!$AH$5:$AH$64,MATCH($F231,사건마스터!$A$5:$A$64,0)),""))</f>
        <v/>
      </c>
      <c r="L231" s="35">
        <f>IF($F231="","",IFERROR(INDEX(사건마스터!$AI$5:$AI$64,MATCH($F231,사건마스터!$A$5:$A$64,0)),""))</f>
        <v/>
      </c>
      <c r="M231" s="35">
        <f>IF($F231="","",IFERROR(INDEX(사건마스터!$AJ$5:$AJ$64,MATCH($F231,사건마스터!$A$5:$A$64,0)),""))</f>
        <v/>
      </c>
      <c r="N231" s="35">
        <f>IF($F231="","",IFERROR(INDEX(사건마스터!$AK$5:$AK$64,MATCH($F231,사건마스터!$A$5:$A$64,0)),""))</f>
        <v/>
      </c>
      <c r="O231" s="35">
        <f>IF($F231="","",IFERROR(INDEX(사건마스터!$AL$5:$AL$64,MATCH($F231,사건마스터!$A$5:$A$64,0)),""))</f>
        <v/>
      </c>
      <c r="P231" s="35">
        <f>IF($F231="","",IFERROR(INDEX(사건마스터!$AM$5:$AM$64,MATCH($F231,사건마스터!$A$5:$A$64,0)),""))</f>
        <v/>
      </c>
      <c r="Q231" s="35">
        <f>IF($F231="","",IFERROR(INDEX(사건마스터!$AN$5:$AN$64,MATCH($F231,사건마스터!$A$5:$A$64,0)),""))</f>
        <v/>
      </c>
      <c r="R231" s="35">
        <f>IF($F231="","",IFERROR(INDEX(사건마스터!$AO$5:$AO$64,MATCH($F231,사건마스터!$A$5:$A$64,0)),""))</f>
        <v/>
      </c>
      <c r="S231" s="35">
        <f>IF($F231="","",IFERROR(INDEX(사건마스터!$AP$5:$AP$64,MATCH($F231,사건마스터!$A$5:$A$64,0)),""))</f>
        <v/>
      </c>
      <c r="T231" s="35">
        <f>IF($F231="","",IFERROR(INDEX(사건마스터!$AQ$5:$AQ$64,MATCH($F231,사건마스터!$A$5:$A$64,0)),""))</f>
        <v/>
      </c>
      <c r="U231" s="35">
        <f>IF($F231="","",IFERROR(INDEX(사건마스터!$AR$5:$AR$64,MATCH($F231,사건마스터!$A$5:$A$64,0)),""))</f>
        <v/>
      </c>
      <c r="V231" s="35">
        <f>IF($F231="","",IFERROR(INDEX(사건마스터!$AS$5:$AS$64,MATCH($F231,사건마스터!$A$5:$A$64,0)),""))</f>
        <v/>
      </c>
      <c r="W231" s="35">
        <f>IF($F231="","",IFERROR(INDEX(사건마스터!$AT$5:$AT$64,MATCH($F231,사건마스터!$A$5:$A$64,0)),""))</f>
        <v/>
      </c>
      <c r="X231" s="35">
        <f>IF($F231="","",IFERROR(INDEX(사건마스터!$AU$5:$AU$64,MATCH($F231,사건마스터!$A$5:$A$64,0)),""))</f>
        <v/>
      </c>
      <c r="Y231" s="35">
        <f>IF($F231="","",IFERROR(INDEX(사건마스터!$AV$5:$AV$64,MATCH($F231,사건마스터!$A$5:$A$64,0)),""))</f>
        <v/>
      </c>
      <c r="Z231" s="30">
        <f>IF(COUNTBLANK($J231:$Y231)=16,"",16-COUNTBLANK($J231:$Y231))</f>
        <v/>
      </c>
      <c r="AA231" s="33">
        <f>IF($J231="",MID($AX231,3,255),$J231&amp;$AX231)</f>
        <v/>
      </c>
      <c r="AB231" s="34">
        <f>IF($J231="","",IFERROR(INDEX(코드설정!$D$5:$D$24,MATCH($J231,코드설정!$C$5:$C$24,0)),""))</f>
        <v/>
      </c>
      <c r="AC231" s="36" t="n"/>
      <c r="AD231" s="37" t="n"/>
      <c r="AE231" s="38" t="n"/>
      <c r="AF231" s="30">
        <f>IF(OR($B231="",$C231=""),"",$C231-$B231+1)</f>
        <v/>
      </c>
      <c r="AG231" s="32" t="n"/>
      <c r="AH231" s="36" t="n"/>
      <c r="AJ231">
        <f>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  <c r="AX231">
        <f>AW231&amp;IF($Y231="","",", "&amp;$Y231)</f>
        <v/>
      </c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0">
        <f>IF($F232="","",COUNTIF($F$5:$F232,$F232))</f>
        <v/>
      </c>
      <c r="H232" s="33">
        <f>IF($F232="","",IFERROR(INDEX(사건마스터!$B$5:$B$64,MATCH($F232,사건마스터!$A$5:$A$64,0)),""))</f>
        <v/>
      </c>
      <c r="I232" s="34">
        <f>IF($F232="","",IFERROR(INDEX(사건마스터!$C$5:$C$64,MATCH($F232,사건마스터!$A$5:$A$64,0)),""))</f>
        <v/>
      </c>
      <c r="J232" s="35">
        <f>IF($F232="","",IFERROR(INDEX(사건마스터!$H$5:$H$64,MATCH($F232,사건마스터!$A$5:$A$64,0)),""))</f>
        <v/>
      </c>
      <c r="K232" s="35">
        <f>IF($F232="","",IFERROR(INDEX(사건마스터!$AH$5:$AH$64,MATCH($F232,사건마스터!$A$5:$A$64,0)),""))</f>
        <v/>
      </c>
      <c r="L232" s="35">
        <f>IF($F232="","",IFERROR(INDEX(사건마스터!$AI$5:$AI$64,MATCH($F232,사건마스터!$A$5:$A$64,0)),""))</f>
        <v/>
      </c>
      <c r="M232" s="35">
        <f>IF($F232="","",IFERROR(INDEX(사건마스터!$AJ$5:$AJ$64,MATCH($F232,사건마스터!$A$5:$A$64,0)),""))</f>
        <v/>
      </c>
      <c r="N232" s="35">
        <f>IF($F232="","",IFERROR(INDEX(사건마스터!$AK$5:$AK$64,MATCH($F232,사건마스터!$A$5:$A$64,0)),""))</f>
        <v/>
      </c>
      <c r="O232" s="35">
        <f>IF($F232="","",IFERROR(INDEX(사건마스터!$AL$5:$AL$64,MATCH($F232,사건마스터!$A$5:$A$64,0)),""))</f>
        <v/>
      </c>
      <c r="P232" s="35">
        <f>IF($F232="","",IFERROR(INDEX(사건마스터!$AM$5:$AM$64,MATCH($F232,사건마스터!$A$5:$A$64,0)),""))</f>
        <v/>
      </c>
      <c r="Q232" s="35">
        <f>IF($F232="","",IFERROR(INDEX(사건마스터!$AN$5:$AN$64,MATCH($F232,사건마스터!$A$5:$A$64,0)),""))</f>
        <v/>
      </c>
      <c r="R232" s="35">
        <f>IF($F232="","",IFERROR(INDEX(사건마스터!$AO$5:$AO$64,MATCH($F232,사건마스터!$A$5:$A$64,0)),""))</f>
        <v/>
      </c>
      <c r="S232" s="35">
        <f>IF($F232="","",IFERROR(INDEX(사건마스터!$AP$5:$AP$64,MATCH($F232,사건마스터!$A$5:$A$64,0)),""))</f>
        <v/>
      </c>
      <c r="T232" s="35">
        <f>IF($F232="","",IFERROR(INDEX(사건마스터!$AQ$5:$AQ$64,MATCH($F232,사건마스터!$A$5:$A$64,0)),""))</f>
        <v/>
      </c>
      <c r="U232" s="35">
        <f>IF($F232="","",IFERROR(INDEX(사건마스터!$AR$5:$AR$64,MATCH($F232,사건마스터!$A$5:$A$64,0)),""))</f>
        <v/>
      </c>
      <c r="V232" s="35">
        <f>IF($F232="","",IFERROR(INDEX(사건마스터!$AS$5:$AS$64,MATCH($F232,사건마스터!$A$5:$A$64,0)),""))</f>
        <v/>
      </c>
      <c r="W232" s="35">
        <f>IF($F232="","",IFERROR(INDEX(사건마스터!$AT$5:$AT$64,MATCH($F232,사건마스터!$A$5:$A$64,0)),""))</f>
        <v/>
      </c>
      <c r="X232" s="35">
        <f>IF($F232="","",IFERROR(INDEX(사건마스터!$AU$5:$AU$64,MATCH($F232,사건마스터!$A$5:$A$64,0)),""))</f>
        <v/>
      </c>
      <c r="Y232" s="35">
        <f>IF($F232="","",IFERROR(INDEX(사건마스터!$AV$5:$AV$64,MATCH($F232,사건마스터!$A$5:$A$64,0)),""))</f>
        <v/>
      </c>
      <c r="Z232" s="30">
        <f>IF(COUNTBLANK($J232:$Y232)=16,"",16-COUNTBLANK($J232:$Y232))</f>
        <v/>
      </c>
      <c r="AA232" s="33">
        <f>IF($J232="",MID($AX232,3,255),$J232&amp;$AX232)</f>
        <v/>
      </c>
      <c r="AB232" s="34">
        <f>IF($J232="","",IFERROR(INDEX(코드설정!$D$5:$D$24,MATCH($J232,코드설정!$C$5:$C$24,0)),""))</f>
        <v/>
      </c>
      <c r="AC232" s="36" t="n"/>
      <c r="AD232" s="37" t="n"/>
      <c r="AE232" s="38" t="n"/>
      <c r="AF232" s="30">
        <f>IF(OR($B232="",$C232=""),"",$C232-$B232+1)</f>
        <v/>
      </c>
      <c r="AG232" s="32" t="n"/>
      <c r="AH232" s="36" t="n"/>
      <c r="AJ232">
        <f>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  <c r="AX232">
        <f>AW232&amp;IF($Y232="","",", "&amp;$Y232)</f>
        <v/>
      </c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0">
        <f>IF($F233="","",COUNTIF($F$5:$F233,$F233))</f>
        <v/>
      </c>
      <c r="H233" s="33">
        <f>IF($F233="","",IFERROR(INDEX(사건마스터!$B$5:$B$64,MATCH($F233,사건마스터!$A$5:$A$64,0)),""))</f>
        <v/>
      </c>
      <c r="I233" s="34">
        <f>IF($F233="","",IFERROR(INDEX(사건마스터!$C$5:$C$64,MATCH($F233,사건마스터!$A$5:$A$64,0)),""))</f>
        <v/>
      </c>
      <c r="J233" s="35">
        <f>IF($F233="","",IFERROR(INDEX(사건마스터!$H$5:$H$64,MATCH($F233,사건마스터!$A$5:$A$64,0)),""))</f>
        <v/>
      </c>
      <c r="K233" s="35">
        <f>IF($F233="","",IFERROR(INDEX(사건마스터!$AH$5:$AH$64,MATCH($F233,사건마스터!$A$5:$A$64,0)),""))</f>
        <v/>
      </c>
      <c r="L233" s="35">
        <f>IF($F233="","",IFERROR(INDEX(사건마스터!$AI$5:$AI$64,MATCH($F233,사건마스터!$A$5:$A$64,0)),""))</f>
        <v/>
      </c>
      <c r="M233" s="35">
        <f>IF($F233="","",IFERROR(INDEX(사건마스터!$AJ$5:$AJ$64,MATCH($F233,사건마스터!$A$5:$A$64,0)),""))</f>
        <v/>
      </c>
      <c r="N233" s="35">
        <f>IF($F233="","",IFERROR(INDEX(사건마스터!$AK$5:$AK$64,MATCH($F233,사건마스터!$A$5:$A$64,0)),""))</f>
        <v/>
      </c>
      <c r="O233" s="35">
        <f>IF($F233="","",IFERROR(INDEX(사건마스터!$AL$5:$AL$64,MATCH($F233,사건마스터!$A$5:$A$64,0)),""))</f>
        <v/>
      </c>
      <c r="P233" s="35">
        <f>IF($F233="","",IFERROR(INDEX(사건마스터!$AM$5:$AM$64,MATCH($F233,사건마스터!$A$5:$A$64,0)),""))</f>
        <v/>
      </c>
      <c r="Q233" s="35">
        <f>IF($F233="","",IFERROR(INDEX(사건마스터!$AN$5:$AN$64,MATCH($F233,사건마스터!$A$5:$A$64,0)),""))</f>
        <v/>
      </c>
      <c r="R233" s="35">
        <f>IF($F233="","",IFERROR(INDEX(사건마스터!$AO$5:$AO$64,MATCH($F233,사건마스터!$A$5:$A$64,0)),""))</f>
        <v/>
      </c>
      <c r="S233" s="35">
        <f>IF($F233="","",IFERROR(INDEX(사건마스터!$AP$5:$AP$64,MATCH($F233,사건마스터!$A$5:$A$64,0)),""))</f>
        <v/>
      </c>
      <c r="T233" s="35">
        <f>IF($F233="","",IFERROR(INDEX(사건마스터!$AQ$5:$AQ$64,MATCH($F233,사건마스터!$A$5:$A$64,0)),""))</f>
        <v/>
      </c>
      <c r="U233" s="35">
        <f>IF($F233="","",IFERROR(INDEX(사건마스터!$AR$5:$AR$64,MATCH($F233,사건마스터!$A$5:$A$64,0)),""))</f>
        <v/>
      </c>
      <c r="V233" s="35">
        <f>IF($F233="","",IFERROR(INDEX(사건마스터!$AS$5:$AS$64,MATCH($F233,사건마스터!$A$5:$A$64,0)),""))</f>
        <v/>
      </c>
      <c r="W233" s="35">
        <f>IF($F233="","",IFERROR(INDEX(사건마스터!$AT$5:$AT$64,MATCH($F233,사건마스터!$A$5:$A$64,0)),""))</f>
        <v/>
      </c>
      <c r="X233" s="35">
        <f>IF($F233="","",IFERROR(INDEX(사건마스터!$AU$5:$AU$64,MATCH($F233,사건마스터!$A$5:$A$64,0)),""))</f>
        <v/>
      </c>
      <c r="Y233" s="35">
        <f>IF($F233="","",IFERROR(INDEX(사건마스터!$AV$5:$AV$64,MATCH($F233,사건마스터!$A$5:$A$64,0)),""))</f>
        <v/>
      </c>
      <c r="Z233" s="30">
        <f>IF(COUNTBLANK($J233:$Y233)=16,"",16-COUNTBLANK($J233:$Y233))</f>
        <v/>
      </c>
      <c r="AA233" s="33">
        <f>IF($J233="",MID($AX233,3,255),$J233&amp;$AX233)</f>
        <v/>
      </c>
      <c r="AB233" s="34">
        <f>IF($J233="","",IFERROR(INDEX(코드설정!$D$5:$D$24,MATCH($J233,코드설정!$C$5:$C$24,0)),""))</f>
        <v/>
      </c>
      <c r="AC233" s="36" t="n"/>
      <c r="AD233" s="37" t="n"/>
      <c r="AE233" s="38" t="n"/>
      <c r="AF233" s="30">
        <f>IF(OR($B233="",$C233=""),"",$C233-$B233+1)</f>
        <v/>
      </c>
      <c r="AG233" s="32" t="n"/>
      <c r="AH233" s="36" t="n"/>
      <c r="AJ233">
        <f>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  <c r="AX233">
        <f>AW233&amp;IF($Y233="","",", "&amp;$Y233)</f>
        <v/>
      </c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0">
        <f>IF($F234="","",COUNTIF($F$5:$F234,$F234))</f>
        <v/>
      </c>
      <c r="H234" s="33">
        <f>IF($F234="","",IFERROR(INDEX(사건마스터!$B$5:$B$64,MATCH($F234,사건마스터!$A$5:$A$64,0)),""))</f>
        <v/>
      </c>
      <c r="I234" s="34">
        <f>IF($F234="","",IFERROR(INDEX(사건마스터!$C$5:$C$64,MATCH($F234,사건마스터!$A$5:$A$64,0)),""))</f>
        <v/>
      </c>
      <c r="J234" s="35">
        <f>IF($F234="","",IFERROR(INDEX(사건마스터!$H$5:$H$64,MATCH($F234,사건마스터!$A$5:$A$64,0)),""))</f>
        <v/>
      </c>
      <c r="K234" s="35">
        <f>IF($F234="","",IFERROR(INDEX(사건마스터!$AH$5:$AH$64,MATCH($F234,사건마스터!$A$5:$A$64,0)),""))</f>
        <v/>
      </c>
      <c r="L234" s="35">
        <f>IF($F234="","",IFERROR(INDEX(사건마스터!$AI$5:$AI$64,MATCH($F234,사건마스터!$A$5:$A$64,0)),""))</f>
        <v/>
      </c>
      <c r="M234" s="35">
        <f>IF($F234="","",IFERROR(INDEX(사건마스터!$AJ$5:$AJ$64,MATCH($F234,사건마스터!$A$5:$A$64,0)),""))</f>
        <v/>
      </c>
      <c r="N234" s="35">
        <f>IF($F234="","",IFERROR(INDEX(사건마스터!$AK$5:$AK$64,MATCH($F234,사건마스터!$A$5:$A$64,0)),""))</f>
        <v/>
      </c>
      <c r="O234" s="35">
        <f>IF($F234="","",IFERROR(INDEX(사건마스터!$AL$5:$AL$64,MATCH($F234,사건마스터!$A$5:$A$64,0)),""))</f>
        <v/>
      </c>
      <c r="P234" s="35">
        <f>IF($F234="","",IFERROR(INDEX(사건마스터!$AM$5:$AM$64,MATCH($F234,사건마스터!$A$5:$A$64,0)),""))</f>
        <v/>
      </c>
      <c r="Q234" s="35">
        <f>IF($F234="","",IFERROR(INDEX(사건마스터!$AN$5:$AN$64,MATCH($F234,사건마스터!$A$5:$A$64,0)),""))</f>
        <v/>
      </c>
      <c r="R234" s="35">
        <f>IF($F234="","",IFERROR(INDEX(사건마스터!$AO$5:$AO$64,MATCH($F234,사건마스터!$A$5:$A$64,0)),""))</f>
        <v/>
      </c>
      <c r="S234" s="35">
        <f>IF($F234="","",IFERROR(INDEX(사건마스터!$AP$5:$AP$64,MATCH($F234,사건마스터!$A$5:$A$64,0)),""))</f>
        <v/>
      </c>
      <c r="T234" s="35">
        <f>IF($F234="","",IFERROR(INDEX(사건마스터!$AQ$5:$AQ$64,MATCH($F234,사건마스터!$A$5:$A$64,0)),""))</f>
        <v/>
      </c>
      <c r="U234" s="35">
        <f>IF($F234="","",IFERROR(INDEX(사건마스터!$AR$5:$AR$64,MATCH($F234,사건마스터!$A$5:$A$64,0)),""))</f>
        <v/>
      </c>
      <c r="V234" s="35">
        <f>IF($F234="","",IFERROR(INDEX(사건마스터!$AS$5:$AS$64,MATCH($F234,사건마스터!$A$5:$A$64,0)),""))</f>
        <v/>
      </c>
      <c r="W234" s="35">
        <f>IF($F234="","",IFERROR(INDEX(사건마스터!$AT$5:$AT$64,MATCH($F234,사건마스터!$A$5:$A$64,0)),""))</f>
        <v/>
      </c>
      <c r="X234" s="35">
        <f>IF($F234="","",IFERROR(INDEX(사건마스터!$AU$5:$AU$64,MATCH($F234,사건마스터!$A$5:$A$64,0)),""))</f>
        <v/>
      </c>
      <c r="Y234" s="35">
        <f>IF($F234="","",IFERROR(INDEX(사건마스터!$AV$5:$AV$64,MATCH($F234,사건마스터!$A$5:$A$64,0)),""))</f>
        <v/>
      </c>
      <c r="Z234" s="30">
        <f>IF(COUNTBLANK($J234:$Y234)=16,"",16-COUNTBLANK($J234:$Y234))</f>
        <v/>
      </c>
      <c r="AA234" s="33">
        <f>IF($J234="",MID($AX234,3,255),$J234&amp;$AX234)</f>
        <v/>
      </c>
      <c r="AB234" s="34">
        <f>IF($J234="","",IFERROR(INDEX(코드설정!$D$5:$D$24,MATCH($J234,코드설정!$C$5:$C$24,0)),""))</f>
        <v/>
      </c>
      <c r="AC234" s="36" t="n"/>
      <c r="AD234" s="37" t="n"/>
      <c r="AE234" s="38" t="n"/>
      <c r="AF234" s="30">
        <f>IF(OR($B234="",$C234=""),"",$C234-$B234+1)</f>
        <v/>
      </c>
      <c r="AG234" s="32" t="n"/>
      <c r="AH234" s="36" t="n"/>
      <c r="AJ234">
        <f>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  <c r="AX234">
        <f>AW234&amp;IF($Y234="","",", "&amp;$Y234)</f>
        <v/>
      </c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0">
        <f>IF($F235="","",COUNTIF($F$5:$F235,$F235))</f>
        <v/>
      </c>
      <c r="H235" s="33">
        <f>IF($F235="","",IFERROR(INDEX(사건마스터!$B$5:$B$64,MATCH($F235,사건마스터!$A$5:$A$64,0)),""))</f>
        <v/>
      </c>
      <c r="I235" s="34">
        <f>IF($F235="","",IFERROR(INDEX(사건마스터!$C$5:$C$64,MATCH($F235,사건마스터!$A$5:$A$64,0)),""))</f>
        <v/>
      </c>
      <c r="J235" s="35">
        <f>IF($F235="","",IFERROR(INDEX(사건마스터!$H$5:$H$64,MATCH($F235,사건마스터!$A$5:$A$64,0)),""))</f>
        <v/>
      </c>
      <c r="K235" s="35">
        <f>IF($F235="","",IFERROR(INDEX(사건마스터!$AH$5:$AH$64,MATCH($F235,사건마스터!$A$5:$A$64,0)),""))</f>
        <v/>
      </c>
      <c r="L235" s="35">
        <f>IF($F235="","",IFERROR(INDEX(사건마스터!$AI$5:$AI$64,MATCH($F235,사건마스터!$A$5:$A$64,0)),""))</f>
        <v/>
      </c>
      <c r="M235" s="35">
        <f>IF($F235="","",IFERROR(INDEX(사건마스터!$AJ$5:$AJ$64,MATCH($F235,사건마스터!$A$5:$A$64,0)),""))</f>
        <v/>
      </c>
      <c r="N235" s="35">
        <f>IF($F235="","",IFERROR(INDEX(사건마스터!$AK$5:$AK$64,MATCH($F235,사건마스터!$A$5:$A$64,0)),""))</f>
        <v/>
      </c>
      <c r="O235" s="35">
        <f>IF($F235="","",IFERROR(INDEX(사건마스터!$AL$5:$AL$64,MATCH($F235,사건마스터!$A$5:$A$64,0)),""))</f>
        <v/>
      </c>
      <c r="P235" s="35">
        <f>IF($F235="","",IFERROR(INDEX(사건마스터!$AM$5:$AM$64,MATCH($F235,사건마스터!$A$5:$A$64,0)),""))</f>
        <v/>
      </c>
      <c r="Q235" s="35">
        <f>IF($F235="","",IFERROR(INDEX(사건마스터!$AN$5:$AN$64,MATCH($F235,사건마스터!$A$5:$A$64,0)),""))</f>
        <v/>
      </c>
      <c r="R235" s="35">
        <f>IF($F235="","",IFERROR(INDEX(사건마스터!$AO$5:$AO$64,MATCH($F235,사건마스터!$A$5:$A$64,0)),""))</f>
        <v/>
      </c>
      <c r="S235" s="35">
        <f>IF($F235="","",IFERROR(INDEX(사건마스터!$AP$5:$AP$64,MATCH($F235,사건마스터!$A$5:$A$64,0)),""))</f>
        <v/>
      </c>
      <c r="T235" s="35">
        <f>IF($F235="","",IFERROR(INDEX(사건마스터!$AQ$5:$AQ$64,MATCH($F235,사건마스터!$A$5:$A$64,0)),""))</f>
        <v/>
      </c>
      <c r="U235" s="35">
        <f>IF($F235="","",IFERROR(INDEX(사건마스터!$AR$5:$AR$64,MATCH($F235,사건마스터!$A$5:$A$64,0)),""))</f>
        <v/>
      </c>
      <c r="V235" s="35">
        <f>IF($F235="","",IFERROR(INDEX(사건마스터!$AS$5:$AS$64,MATCH($F235,사건마스터!$A$5:$A$64,0)),""))</f>
        <v/>
      </c>
      <c r="W235" s="35">
        <f>IF($F235="","",IFERROR(INDEX(사건마스터!$AT$5:$AT$64,MATCH($F235,사건마스터!$A$5:$A$64,0)),""))</f>
        <v/>
      </c>
      <c r="X235" s="35">
        <f>IF($F235="","",IFERROR(INDEX(사건마스터!$AU$5:$AU$64,MATCH($F235,사건마스터!$A$5:$A$64,0)),""))</f>
        <v/>
      </c>
      <c r="Y235" s="35">
        <f>IF($F235="","",IFERROR(INDEX(사건마스터!$AV$5:$AV$64,MATCH($F235,사건마스터!$A$5:$A$64,0)),""))</f>
        <v/>
      </c>
      <c r="Z235" s="30">
        <f>IF(COUNTBLANK($J235:$Y235)=16,"",16-COUNTBLANK($J235:$Y235))</f>
        <v/>
      </c>
      <c r="AA235" s="33">
        <f>IF($J235="",MID($AX235,3,255),$J235&amp;$AX235)</f>
        <v/>
      </c>
      <c r="AB235" s="34">
        <f>IF($J235="","",IFERROR(INDEX(코드설정!$D$5:$D$24,MATCH($J235,코드설정!$C$5:$C$24,0)),""))</f>
        <v/>
      </c>
      <c r="AC235" s="36" t="n"/>
      <c r="AD235" s="37" t="n"/>
      <c r="AE235" s="38" t="n"/>
      <c r="AF235" s="30">
        <f>IF(OR($B235="",$C235=""),"",$C235-$B235+1)</f>
        <v/>
      </c>
      <c r="AG235" s="32" t="n"/>
      <c r="AH235" s="36" t="n"/>
      <c r="AJ235">
        <f>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  <c r="AX235">
        <f>AW235&amp;IF($Y235="","",", "&amp;$Y235)</f>
        <v/>
      </c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0">
        <f>IF($F236="","",COUNTIF($F$5:$F236,$F236))</f>
        <v/>
      </c>
      <c r="H236" s="33">
        <f>IF($F236="","",IFERROR(INDEX(사건마스터!$B$5:$B$64,MATCH($F236,사건마스터!$A$5:$A$64,0)),""))</f>
        <v/>
      </c>
      <c r="I236" s="34">
        <f>IF($F236="","",IFERROR(INDEX(사건마스터!$C$5:$C$64,MATCH($F236,사건마스터!$A$5:$A$64,0)),""))</f>
        <v/>
      </c>
      <c r="J236" s="35">
        <f>IF($F236="","",IFERROR(INDEX(사건마스터!$H$5:$H$64,MATCH($F236,사건마스터!$A$5:$A$64,0)),""))</f>
        <v/>
      </c>
      <c r="K236" s="35">
        <f>IF($F236="","",IFERROR(INDEX(사건마스터!$AH$5:$AH$64,MATCH($F236,사건마스터!$A$5:$A$64,0)),""))</f>
        <v/>
      </c>
      <c r="L236" s="35">
        <f>IF($F236="","",IFERROR(INDEX(사건마스터!$AI$5:$AI$64,MATCH($F236,사건마스터!$A$5:$A$64,0)),""))</f>
        <v/>
      </c>
      <c r="M236" s="35">
        <f>IF($F236="","",IFERROR(INDEX(사건마스터!$AJ$5:$AJ$64,MATCH($F236,사건마스터!$A$5:$A$64,0)),""))</f>
        <v/>
      </c>
      <c r="N236" s="35">
        <f>IF($F236="","",IFERROR(INDEX(사건마스터!$AK$5:$AK$64,MATCH($F236,사건마스터!$A$5:$A$64,0)),""))</f>
        <v/>
      </c>
      <c r="O236" s="35">
        <f>IF($F236="","",IFERROR(INDEX(사건마스터!$AL$5:$AL$64,MATCH($F236,사건마스터!$A$5:$A$64,0)),""))</f>
        <v/>
      </c>
      <c r="P236" s="35">
        <f>IF($F236="","",IFERROR(INDEX(사건마스터!$AM$5:$AM$64,MATCH($F236,사건마스터!$A$5:$A$64,0)),""))</f>
        <v/>
      </c>
      <c r="Q236" s="35">
        <f>IF($F236="","",IFERROR(INDEX(사건마스터!$AN$5:$AN$64,MATCH($F236,사건마스터!$A$5:$A$64,0)),""))</f>
        <v/>
      </c>
      <c r="R236" s="35">
        <f>IF($F236="","",IFERROR(INDEX(사건마스터!$AO$5:$AO$64,MATCH($F236,사건마스터!$A$5:$A$64,0)),""))</f>
        <v/>
      </c>
      <c r="S236" s="35">
        <f>IF($F236="","",IFERROR(INDEX(사건마스터!$AP$5:$AP$64,MATCH($F236,사건마스터!$A$5:$A$64,0)),""))</f>
        <v/>
      </c>
      <c r="T236" s="35">
        <f>IF($F236="","",IFERROR(INDEX(사건마스터!$AQ$5:$AQ$64,MATCH($F236,사건마스터!$A$5:$A$64,0)),""))</f>
        <v/>
      </c>
      <c r="U236" s="35">
        <f>IF($F236="","",IFERROR(INDEX(사건마스터!$AR$5:$AR$64,MATCH($F236,사건마스터!$A$5:$A$64,0)),""))</f>
        <v/>
      </c>
      <c r="V236" s="35">
        <f>IF($F236="","",IFERROR(INDEX(사건마스터!$AS$5:$AS$64,MATCH($F236,사건마스터!$A$5:$A$64,0)),""))</f>
        <v/>
      </c>
      <c r="W236" s="35">
        <f>IF($F236="","",IFERROR(INDEX(사건마스터!$AT$5:$AT$64,MATCH($F236,사건마스터!$A$5:$A$64,0)),""))</f>
        <v/>
      </c>
      <c r="X236" s="35">
        <f>IF($F236="","",IFERROR(INDEX(사건마스터!$AU$5:$AU$64,MATCH($F236,사건마스터!$A$5:$A$64,0)),""))</f>
        <v/>
      </c>
      <c r="Y236" s="35">
        <f>IF($F236="","",IFERROR(INDEX(사건마스터!$AV$5:$AV$64,MATCH($F236,사건마스터!$A$5:$A$64,0)),""))</f>
        <v/>
      </c>
      <c r="Z236" s="30">
        <f>IF(COUNTBLANK($J236:$Y236)=16,"",16-COUNTBLANK($J236:$Y236))</f>
        <v/>
      </c>
      <c r="AA236" s="33">
        <f>IF($J236="",MID($AX236,3,255),$J236&amp;$AX236)</f>
        <v/>
      </c>
      <c r="AB236" s="34">
        <f>IF($J236="","",IFERROR(INDEX(코드설정!$D$5:$D$24,MATCH($J236,코드설정!$C$5:$C$24,0)),""))</f>
        <v/>
      </c>
      <c r="AC236" s="36" t="n"/>
      <c r="AD236" s="37" t="n"/>
      <c r="AE236" s="38" t="n"/>
      <c r="AF236" s="30">
        <f>IF(OR($B236="",$C236=""),"",$C236-$B236+1)</f>
        <v/>
      </c>
      <c r="AG236" s="32" t="n"/>
      <c r="AH236" s="36" t="n"/>
      <c r="AJ236">
        <f>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  <c r="AX236">
        <f>AW236&amp;IF($Y236="","",", "&amp;$Y236)</f>
        <v/>
      </c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0">
        <f>IF($F237="","",COUNTIF($F$5:$F237,$F237))</f>
        <v/>
      </c>
      <c r="H237" s="33">
        <f>IF($F237="","",IFERROR(INDEX(사건마스터!$B$5:$B$64,MATCH($F237,사건마스터!$A$5:$A$64,0)),""))</f>
        <v/>
      </c>
      <c r="I237" s="34">
        <f>IF($F237="","",IFERROR(INDEX(사건마스터!$C$5:$C$64,MATCH($F237,사건마스터!$A$5:$A$64,0)),""))</f>
        <v/>
      </c>
      <c r="J237" s="35">
        <f>IF($F237="","",IFERROR(INDEX(사건마스터!$H$5:$H$64,MATCH($F237,사건마스터!$A$5:$A$64,0)),""))</f>
        <v/>
      </c>
      <c r="K237" s="35">
        <f>IF($F237="","",IFERROR(INDEX(사건마스터!$AH$5:$AH$64,MATCH($F237,사건마스터!$A$5:$A$64,0)),""))</f>
        <v/>
      </c>
      <c r="L237" s="35">
        <f>IF($F237="","",IFERROR(INDEX(사건마스터!$AI$5:$AI$64,MATCH($F237,사건마스터!$A$5:$A$64,0)),""))</f>
        <v/>
      </c>
      <c r="M237" s="35">
        <f>IF($F237="","",IFERROR(INDEX(사건마스터!$AJ$5:$AJ$64,MATCH($F237,사건마스터!$A$5:$A$64,0)),""))</f>
        <v/>
      </c>
      <c r="N237" s="35">
        <f>IF($F237="","",IFERROR(INDEX(사건마스터!$AK$5:$AK$64,MATCH($F237,사건마스터!$A$5:$A$64,0)),""))</f>
        <v/>
      </c>
      <c r="O237" s="35">
        <f>IF($F237="","",IFERROR(INDEX(사건마스터!$AL$5:$AL$64,MATCH($F237,사건마스터!$A$5:$A$64,0)),""))</f>
        <v/>
      </c>
      <c r="P237" s="35">
        <f>IF($F237="","",IFERROR(INDEX(사건마스터!$AM$5:$AM$64,MATCH($F237,사건마스터!$A$5:$A$64,0)),""))</f>
        <v/>
      </c>
      <c r="Q237" s="35">
        <f>IF($F237="","",IFERROR(INDEX(사건마스터!$AN$5:$AN$64,MATCH($F237,사건마스터!$A$5:$A$64,0)),""))</f>
        <v/>
      </c>
      <c r="R237" s="35">
        <f>IF($F237="","",IFERROR(INDEX(사건마스터!$AO$5:$AO$64,MATCH($F237,사건마스터!$A$5:$A$64,0)),""))</f>
        <v/>
      </c>
      <c r="S237" s="35">
        <f>IF($F237="","",IFERROR(INDEX(사건마스터!$AP$5:$AP$64,MATCH($F237,사건마스터!$A$5:$A$64,0)),""))</f>
        <v/>
      </c>
      <c r="T237" s="35">
        <f>IF($F237="","",IFERROR(INDEX(사건마스터!$AQ$5:$AQ$64,MATCH($F237,사건마스터!$A$5:$A$64,0)),""))</f>
        <v/>
      </c>
      <c r="U237" s="35">
        <f>IF($F237="","",IFERROR(INDEX(사건마스터!$AR$5:$AR$64,MATCH($F237,사건마스터!$A$5:$A$64,0)),""))</f>
        <v/>
      </c>
      <c r="V237" s="35">
        <f>IF($F237="","",IFERROR(INDEX(사건마스터!$AS$5:$AS$64,MATCH($F237,사건마스터!$A$5:$A$64,0)),""))</f>
        <v/>
      </c>
      <c r="W237" s="35">
        <f>IF($F237="","",IFERROR(INDEX(사건마스터!$AT$5:$AT$64,MATCH($F237,사건마스터!$A$5:$A$64,0)),""))</f>
        <v/>
      </c>
      <c r="X237" s="35">
        <f>IF($F237="","",IFERROR(INDEX(사건마스터!$AU$5:$AU$64,MATCH($F237,사건마스터!$A$5:$A$64,0)),""))</f>
        <v/>
      </c>
      <c r="Y237" s="35">
        <f>IF($F237="","",IFERROR(INDEX(사건마스터!$AV$5:$AV$64,MATCH($F237,사건마스터!$A$5:$A$64,0)),""))</f>
        <v/>
      </c>
      <c r="Z237" s="30">
        <f>IF(COUNTBLANK($J237:$Y237)=16,"",16-COUNTBLANK($J237:$Y237))</f>
        <v/>
      </c>
      <c r="AA237" s="33">
        <f>IF($J237="",MID($AX237,3,255),$J237&amp;$AX237)</f>
        <v/>
      </c>
      <c r="AB237" s="34">
        <f>IF($J237="","",IFERROR(INDEX(코드설정!$D$5:$D$24,MATCH($J237,코드설정!$C$5:$C$24,0)),""))</f>
        <v/>
      </c>
      <c r="AC237" s="36" t="n"/>
      <c r="AD237" s="37" t="n"/>
      <c r="AE237" s="38" t="n"/>
      <c r="AF237" s="30">
        <f>IF(OR($B237="",$C237=""),"",$C237-$B237+1)</f>
        <v/>
      </c>
      <c r="AG237" s="32" t="n"/>
      <c r="AH237" s="36" t="n"/>
      <c r="AJ237">
        <f>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  <c r="AX237">
        <f>AW237&amp;IF($Y237="","",", "&amp;$Y237)</f>
        <v/>
      </c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0">
        <f>IF($F238="","",COUNTIF($F$5:$F238,$F238))</f>
        <v/>
      </c>
      <c r="H238" s="33">
        <f>IF($F238="","",IFERROR(INDEX(사건마스터!$B$5:$B$64,MATCH($F238,사건마스터!$A$5:$A$64,0)),""))</f>
        <v/>
      </c>
      <c r="I238" s="34">
        <f>IF($F238="","",IFERROR(INDEX(사건마스터!$C$5:$C$64,MATCH($F238,사건마스터!$A$5:$A$64,0)),""))</f>
        <v/>
      </c>
      <c r="J238" s="35">
        <f>IF($F238="","",IFERROR(INDEX(사건마스터!$H$5:$H$64,MATCH($F238,사건마스터!$A$5:$A$64,0)),""))</f>
        <v/>
      </c>
      <c r="K238" s="35">
        <f>IF($F238="","",IFERROR(INDEX(사건마스터!$AH$5:$AH$64,MATCH($F238,사건마스터!$A$5:$A$64,0)),""))</f>
        <v/>
      </c>
      <c r="L238" s="35">
        <f>IF($F238="","",IFERROR(INDEX(사건마스터!$AI$5:$AI$64,MATCH($F238,사건마스터!$A$5:$A$64,0)),""))</f>
        <v/>
      </c>
      <c r="M238" s="35">
        <f>IF($F238="","",IFERROR(INDEX(사건마스터!$AJ$5:$AJ$64,MATCH($F238,사건마스터!$A$5:$A$64,0)),""))</f>
        <v/>
      </c>
      <c r="N238" s="35">
        <f>IF($F238="","",IFERROR(INDEX(사건마스터!$AK$5:$AK$64,MATCH($F238,사건마스터!$A$5:$A$64,0)),""))</f>
        <v/>
      </c>
      <c r="O238" s="35">
        <f>IF($F238="","",IFERROR(INDEX(사건마스터!$AL$5:$AL$64,MATCH($F238,사건마스터!$A$5:$A$64,0)),""))</f>
        <v/>
      </c>
      <c r="P238" s="35">
        <f>IF($F238="","",IFERROR(INDEX(사건마스터!$AM$5:$AM$64,MATCH($F238,사건마스터!$A$5:$A$64,0)),""))</f>
        <v/>
      </c>
      <c r="Q238" s="35">
        <f>IF($F238="","",IFERROR(INDEX(사건마스터!$AN$5:$AN$64,MATCH($F238,사건마스터!$A$5:$A$64,0)),""))</f>
        <v/>
      </c>
      <c r="R238" s="35">
        <f>IF($F238="","",IFERROR(INDEX(사건마스터!$AO$5:$AO$64,MATCH($F238,사건마스터!$A$5:$A$64,0)),""))</f>
        <v/>
      </c>
      <c r="S238" s="35">
        <f>IF($F238="","",IFERROR(INDEX(사건마스터!$AP$5:$AP$64,MATCH($F238,사건마스터!$A$5:$A$64,0)),""))</f>
        <v/>
      </c>
      <c r="T238" s="35">
        <f>IF($F238="","",IFERROR(INDEX(사건마스터!$AQ$5:$AQ$64,MATCH($F238,사건마스터!$A$5:$A$64,0)),""))</f>
        <v/>
      </c>
      <c r="U238" s="35">
        <f>IF($F238="","",IFERROR(INDEX(사건마스터!$AR$5:$AR$64,MATCH($F238,사건마스터!$A$5:$A$64,0)),""))</f>
        <v/>
      </c>
      <c r="V238" s="35">
        <f>IF($F238="","",IFERROR(INDEX(사건마스터!$AS$5:$AS$64,MATCH($F238,사건마스터!$A$5:$A$64,0)),""))</f>
        <v/>
      </c>
      <c r="W238" s="35">
        <f>IF($F238="","",IFERROR(INDEX(사건마스터!$AT$5:$AT$64,MATCH($F238,사건마스터!$A$5:$A$64,0)),""))</f>
        <v/>
      </c>
      <c r="X238" s="35">
        <f>IF($F238="","",IFERROR(INDEX(사건마스터!$AU$5:$AU$64,MATCH($F238,사건마스터!$A$5:$A$64,0)),""))</f>
        <v/>
      </c>
      <c r="Y238" s="35">
        <f>IF($F238="","",IFERROR(INDEX(사건마스터!$AV$5:$AV$64,MATCH($F238,사건마스터!$A$5:$A$64,0)),""))</f>
        <v/>
      </c>
      <c r="Z238" s="30">
        <f>IF(COUNTBLANK($J238:$Y238)=16,"",16-COUNTBLANK($J238:$Y238))</f>
        <v/>
      </c>
      <c r="AA238" s="33">
        <f>IF($J238="",MID($AX238,3,255),$J238&amp;$AX238)</f>
        <v/>
      </c>
      <c r="AB238" s="34">
        <f>IF($J238="","",IFERROR(INDEX(코드설정!$D$5:$D$24,MATCH($J238,코드설정!$C$5:$C$24,0)),""))</f>
        <v/>
      </c>
      <c r="AC238" s="36" t="n"/>
      <c r="AD238" s="37" t="n"/>
      <c r="AE238" s="38" t="n"/>
      <c r="AF238" s="30">
        <f>IF(OR($B238="",$C238=""),"",$C238-$B238+1)</f>
        <v/>
      </c>
      <c r="AG238" s="32" t="n"/>
      <c r="AH238" s="36" t="n"/>
      <c r="AJ238">
        <f>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  <c r="AX238">
        <f>AW238&amp;IF($Y238="","",", "&amp;$Y238)</f>
        <v/>
      </c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0">
        <f>IF($F239="","",COUNTIF($F$5:$F239,$F239))</f>
        <v/>
      </c>
      <c r="H239" s="33">
        <f>IF($F239="","",IFERROR(INDEX(사건마스터!$B$5:$B$64,MATCH($F239,사건마스터!$A$5:$A$64,0)),""))</f>
        <v/>
      </c>
      <c r="I239" s="34">
        <f>IF($F239="","",IFERROR(INDEX(사건마스터!$C$5:$C$64,MATCH($F239,사건마스터!$A$5:$A$64,0)),""))</f>
        <v/>
      </c>
      <c r="J239" s="35">
        <f>IF($F239="","",IFERROR(INDEX(사건마스터!$H$5:$H$64,MATCH($F239,사건마스터!$A$5:$A$64,0)),""))</f>
        <v/>
      </c>
      <c r="K239" s="35">
        <f>IF($F239="","",IFERROR(INDEX(사건마스터!$AH$5:$AH$64,MATCH($F239,사건마스터!$A$5:$A$64,0)),""))</f>
        <v/>
      </c>
      <c r="L239" s="35">
        <f>IF($F239="","",IFERROR(INDEX(사건마스터!$AI$5:$AI$64,MATCH($F239,사건마스터!$A$5:$A$64,0)),""))</f>
        <v/>
      </c>
      <c r="M239" s="35">
        <f>IF($F239="","",IFERROR(INDEX(사건마스터!$AJ$5:$AJ$64,MATCH($F239,사건마스터!$A$5:$A$64,0)),""))</f>
        <v/>
      </c>
      <c r="N239" s="35">
        <f>IF($F239="","",IFERROR(INDEX(사건마스터!$AK$5:$AK$64,MATCH($F239,사건마스터!$A$5:$A$64,0)),""))</f>
        <v/>
      </c>
      <c r="O239" s="35">
        <f>IF($F239="","",IFERROR(INDEX(사건마스터!$AL$5:$AL$64,MATCH($F239,사건마스터!$A$5:$A$64,0)),""))</f>
        <v/>
      </c>
      <c r="P239" s="35">
        <f>IF($F239="","",IFERROR(INDEX(사건마스터!$AM$5:$AM$64,MATCH($F239,사건마스터!$A$5:$A$64,0)),""))</f>
        <v/>
      </c>
      <c r="Q239" s="35">
        <f>IF($F239="","",IFERROR(INDEX(사건마스터!$AN$5:$AN$64,MATCH($F239,사건마스터!$A$5:$A$64,0)),""))</f>
        <v/>
      </c>
      <c r="R239" s="35">
        <f>IF($F239="","",IFERROR(INDEX(사건마스터!$AO$5:$AO$64,MATCH($F239,사건마스터!$A$5:$A$64,0)),""))</f>
        <v/>
      </c>
      <c r="S239" s="35">
        <f>IF($F239="","",IFERROR(INDEX(사건마스터!$AP$5:$AP$64,MATCH($F239,사건마스터!$A$5:$A$64,0)),""))</f>
        <v/>
      </c>
      <c r="T239" s="35">
        <f>IF($F239="","",IFERROR(INDEX(사건마스터!$AQ$5:$AQ$64,MATCH($F239,사건마스터!$A$5:$A$64,0)),""))</f>
        <v/>
      </c>
      <c r="U239" s="35">
        <f>IF($F239="","",IFERROR(INDEX(사건마스터!$AR$5:$AR$64,MATCH($F239,사건마스터!$A$5:$A$64,0)),""))</f>
        <v/>
      </c>
      <c r="V239" s="35">
        <f>IF($F239="","",IFERROR(INDEX(사건마스터!$AS$5:$AS$64,MATCH($F239,사건마스터!$A$5:$A$64,0)),""))</f>
        <v/>
      </c>
      <c r="W239" s="35">
        <f>IF($F239="","",IFERROR(INDEX(사건마스터!$AT$5:$AT$64,MATCH($F239,사건마스터!$A$5:$A$64,0)),""))</f>
        <v/>
      </c>
      <c r="X239" s="35">
        <f>IF($F239="","",IFERROR(INDEX(사건마스터!$AU$5:$AU$64,MATCH($F239,사건마스터!$A$5:$A$64,0)),""))</f>
        <v/>
      </c>
      <c r="Y239" s="35">
        <f>IF($F239="","",IFERROR(INDEX(사건마스터!$AV$5:$AV$64,MATCH($F239,사건마스터!$A$5:$A$64,0)),""))</f>
        <v/>
      </c>
      <c r="Z239" s="30">
        <f>IF(COUNTBLANK($J239:$Y239)=16,"",16-COUNTBLANK($J239:$Y239))</f>
        <v/>
      </c>
      <c r="AA239" s="33">
        <f>IF($J239="",MID($AX239,3,255),$J239&amp;$AX239)</f>
        <v/>
      </c>
      <c r="AB239" s="34">
        <f>IF($J239="","",IFERROR(INDEX(코드설정!$D$5:$D$24,MATCH($J239,코드설정!$C$5:$C$24,0)),""))</f>
        <v/>
      </c>
      <c r="AC239" s="36" t="n"/>
      <c r="AD239" s="37" t="n"/>
      <c r="AE239" s="38" t="n"/>
      <c r="AF239" s="30">
        <f>IF(OR($B239="",$C239=""),"",$C239-$B239+1)</f>
        <v/>
      </c>
      <c r="AG239" s="32" t="n"/>
      <c r="AH239" s="36" t="n"/>
      <c r="AJ239">
        <f>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  <c r="AX239">
        <f>AW239&amp;IF($Y239="","",", "&amp;$Y239)</f>
        <v/>
      </c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0">
        <f>IF($F240="","",COUNTIF($F$5:$F240,$F240))</f>
        <v/>
      </c>
      <c r="H240" s="33">
        <f>IF($F240="","",IFERROR(INDEX(사건마스터!$B$5:$B$64,MATCH($F240,사건마스터!$A$5:$A$64,0)),""))</f>
        <v/>
      </c>
      <c r="I240" s="34">
        <f>IF($F240="","",IFERROR(INDEX(사건마스터!$C$5:$C$64,MATCH($F240,사건마스터!$A$5:$A$64,0)),""))</f>
        <v/>
      </c>
      <c r="J240" s="35">
        <f>IF($F240="","",IFERROR(INDEX(사건마스터!$H$5:$H$64,MATCH($F240,사건마스터!$A$5:$A$64,0)),""))</f>
        <v/>
      </c>
      <c r="K240" s="35">
        <f>IF($F240="","",IFERROR(INDEX(사건마스터!$AH$5:$AH$64,MATCH($F240,사건마스터!$A$5:$A$64,0)),""))</f>
        <v/>
      </c>
      <c r="L240" s="35">
        <f>IF($F240="","",IFERROR(INDEX(사건마스터!$AI$5:$AI$64,MATCH($F240,사건마스터!$A$5:$A$64,0)),""))</f>
        <v/>
      </c>
      <c r="M240" s="35">
        <f>IF($F240="","",IFERROR(INDEX(사건마스터!$AJ$5:$AJ$64,MATCH($F240,사건마스터!$A$5:$A$64,0)),""))</f>
        <v/>
      </c>
      <c r="N240" s="35">
        <f>IF($F240="","",IFERROR(INDEX(사건마스터!$AK$5:$AK$64,MATCH($F240,사건마스터!$A$5:$A$64,0)),""))</f>
        <v/>
      </c>
      <c r="O240" s="35">
        <f>IF($F240="","",IFERROR(INDEX(사건마스터!$AL$5:$AL$64,MATCH($F240,사건마스터!$A$5:$A$64,0)),""))</f>
        <v/>
      </c>
      <c r="P240" s="35">
        <f>IF($F240="","",IFERROR(INDEX(사건마스터!$AM$5:$AM$64,MATCH($F240,사건마스터!$A$5:$A$64,0)),""))</f>
        <v/>
      </c>
      <c r="Q240" s="35">
        <f>IF($F240="","",IFERROR(INDEX(사건마스터!$AN$5:$AN$64,MATCH($F240,사건마스터!$A$5:$A$64,0)),""))</f>
        <v/>
      </c>
      <c r="R240" s="35">
        <f>IF($F240="","",IFERROR(INDEX(사건마스터!$AO$5:$AO$64,MATCH($F240,사건마스터!$A$5:$A$64,0)),""))</f>
        <v/>
      </c>
      <c r="S240" s="35">
        <f>IF($F240="","",IFERROR(INDEX(사건마스터!$AP$5:$AP$64,MATCH($F240,사건마스터!$A$5:$A$64,0)),""))</f>
        <v/>
      </c>
      <c r="T240" s="35">
        <f>IF($F240="","",IFERROR(INDEX(사건마스터!$AQ$5:$AQ$64,MATCH($F240,사건마스터!$A$5:$A$64,0)),""))</f>
        <v/>
      </c>
      <c r="U240" s="35">
        <f>IF($F240="","",IFERROR(INDEX(사건마스터!$AR$5:$AR$64,MATCH($F240,사건마스터!$A$5:$A$64,0)),""))</f>
        <v/>
      </c>
      <c r="V240" s="35">
        <f>IF($F240="","",IFERROR(INDEX(사건마스터!$AS$5:$AS$64,MATCH($F240,사건마스터!$A$5:$A$64,0)),""))</f>
        <v/>
      </c>
      <c r="W240" s="35">
        <f>IF($F240="","",IFERROR(INDEX(사건마스터!$AT$5:$AT$64,MATCH($F240,사건마스터!$A$5:$A$64,0)),""))</f>
        <v/>
      </c>
      <c r="X240" s="35">
        <f>IF($F240="","",IFERROR(INDEX(사건마스터!$AU$5:$AU$64,MATCH($F240,사건마스터!$A$5:$A$64,0)),""))</f>
        <v/>
      </c>
      <c r="Y240" s="35">
        <f>IF($F240="","",IFERROR(INDEX(사건마스터!$AV$5:$AV$64,MATCH($F240,사건마스터!$A$5:$A$64,0)),""))</f>
        <v/>
      </c>
      <c r="Z240" s="30">
        <f>IF(COUNTBLANK($J240:$Y240)=16,"",16-COUNTBLANK($J240:$Y240))</f>
        <v/>
      </c>
      <c r="AA240" s="33">
        <f>IF($J240="",MID($AX240,3,255),$J240&amp;$AX240)</f>
        <v/>
      </c>
      <c r="AB240" s="34">
        <f>IF($J240="","",IFERROR(INDEX(코드설정!$D$5:$D$24,MATCH($J240,코드설정!$C$5:$C$24,0)),""))</f>
        <v/>
      </c>
      <c r="AC240" s="36" t="n"/>
      <c r="AD240" s="37" t="n"/>
      <c r="AE240" s="38" t="n"/>
      <c r="AF240" s="30">
        <f>IF(OR($B240="",$C240=""),"",$C240-$B240+1)</f>
        <v/>
      </c>
      <c r="AG240" s="32" t="n"/>
      <c r="AH240" s="36" t="n"/>
      <c r="AJ240">
        <f>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  <c r="AX240">
        <f>AW240&amp;IF($Y240="","",", "&amp;$Y240)</f>
        <v/>
      </c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0">
        <f>IF($F241="","",COUNTIF($F$5:$F241,$F241))</f>
        <v/>
      </c>
      <c r="H241" s="33">
        <f>IF($F241="","",IFERROR(INDEX(사건마스터!$B$5:$B$64,MATCH($F241,사건마스터!$A$5:$A$64,0)),""))</f>
        <v/>
      </c>
      <c r="I241" s="34">
        <f>IF($F241="","",IFERROR(INDEX(사건마스터!$C$5:$C$64,MATCH($F241,사건마스터!$A$5:$A$64,0)),""))</f>
        <v/>
      </c>
      <c r="J241" s="35">
        <f>IF($F241="","",IFERROR(INDEX(사건마스터!$H$5:$H$64,MATCH($F241,사건마스터!$A$5:$A$64,0)),""))</f>
        <v/>
      </c>
      <c r="K241" s="35">
        <f>IF($F241="","",IFERROR(INDEX(사건마스터!$AH$5:$AH$64,MATCH($F241,사건마스터!$A$5:$A$64,0)),""))</f>
        <v/>
      </c>
      <c r="L241" s="35">
        <f>IF($F241="","",IFERROR(INDEX(사건마스터!$AI$5:$AI$64,MATCH($F241,사건마스터!$A$5:$A$64,0)),""))</f>
        <v/>
      </c>
      <c r="M241" s="35">
        <f>IF($F241="","",IFERROR(INDEX(사건마스터!$AJ$5:$AJ$64,MATCH($F241,사건마스터!$A$5:$A$64,0)),""))</f>
        <v/>
      </c>
      <c r="N241" s="35">
        <f>IF($F241="","",IFERROR(INDEX(사건마스터!$AK$5:$AK$64,MATCH($F241,사건마스터!$A$5:$A$64,0)),""))</f>
        <v/>
      </c>
      <c r="O241" s="35">
        <f>IF($F241="","",IFERROR(INDEX(사건마스터!$AL$5:$AL$64,MATCH($F241,사건마스터!$A$5:$A$64,0)),""))</f>
        <v/>
      </c>
      <c r="P241" s="35">
        <f>IF($F241="","",IFERROR(INDEX(사건마스터!$AM$5:$AM$64,MATCH($F241,사건마스터!$A$5:$A$64,0)),""))</f>
        <v/>
      </c>
      <c r="Q241" s="35">
        <f>IF($F241="","",IFERROR(INDEX(사건마스터!$AN$5:$AN$64,MATCH($F241,사건마스터!$A$5:$A$64,0)),""))</f>
        <v/>
      </c>
      <c r="R241" s="35">
        <f>IF($F241="","",IFERROR(INDEX(사건마스터!$AO$5:$AO$64,MATCH($F241,사건마스터!$A$5:$A$64,0)),""))</f>
        <v/>
      </c>
      <c r="S241" s="35">
        <f>IF($F241="","",IFERROR(INDEX(사건마스터!$AP$5:$AP$64,MATCH($F241,사건마스터!$A$5:$A$64,0)),""))</f>
        <v/>
      </c>
      <c r="T241" s="35">
        <f>IF($F241="","",IFERROR(INDEX(사건마스터!$AQ$5:$AQ$64,MATCH($F241,사건마스터!$A$5:$A$64,0)),""))</f>
        <v/>
      </c>
      <c r="U241" s="35">
        <f>IF($F241="","",IFERROR(INDEX(사건마스터!$AR$5:$AR$64,MATCH($F241,사건마스터!$A$5:$A$64,0)),""))</f>
        <v/>
      </c>
      <c r="V241" s="35">
        <f>IF($F241="","",IFERROR(INDEX(사건마스터!$AS$5:$AS$64,MATCH($F241,사건마스터!$A$5:$A$64,0)),""))</f>
        <v/>
      </c>
      <c r="W241" s="35">
        <f>IF($F241="","",IFERROR(INDEX(사건마스터!$AT$5:$AT$64,MATCH($F241,사건마스터!$A$5:$A$64,0)),""))</f>
        <v/>
      </c>
      <c r="X241" s="35">
        <f>IF($F241="","",IFERROR(INDEX(사건마스터!$AU$5:$AU$64,MATCH($F241,사건마스터!$A$5:$A$64,0)),""))</f>
        <v/>
      </c>
      <c r="Y241" s="35">
        <f>IF($F241="","",IFERROR(INDEX(사건마스터!$AV$5:$AV$64,MATCH($F241,사건마스터!$A$5:$A$64,0)),""))</f>
        <v/>
      </c>
      <c r="Z241" s="30">
        <f>IF(COUNTBLANK($J241:$Y241)=16,"",16-COUNTBLANK($J241:$Y241))</f>
        <v/>
      </c>
      <c r="AA241" s="33">
        <f>IF($J241="",MID($AX241,3,255),$J241&amp;$AX241)</f>
        <v/>
      </c>
      <c r="AB241" s="34">
        <f>IF($J241="","",IFERROR(INDEX(코드설정!$D$5:$D$24,MATCH($J241,코드설정!$C$5:$C$24,0)),""))</f>
        <v/>
      </c>
      <c r="AC241" s="36" t="n"/>
      <c r="AD241" s="37" t="n"/>
      <c r="AE241" s="38" t="n"/>
      <c r="AF241" s="30">
        <f>IF(OR($B241="",$C241=""),"",$C241-$B241+1)</f>
        <v/>
      </c>
      <c r="AG241" s="32" t="n"/>
      <c r="AH241" s="36" t="n"/>
      <c r="AJ241">
        <f>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  <c r="AX241">
        <f>AW241&amp;IF($Y241="","",", "&amp;$Y241)</f>
        <v/>
      </c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0">
        <f>IF($F242="","",COUNTIF($F$5:$F242,$F242))</f>
        <v/>
      </c>
      <c r="H242" s="33">
        <f>IF($F242="","",IFERROR(INDEX(사건마스터!$B$5:$B$64,MATCH($F242,사건마스터!$A$5:$A$64,0)),""))</f>
        <v/>
      </c>
      <c r="I242" s="34">
        <f>IF($F242="","",IFERROR(INDEX(사건마스터!$C$5:$C$64,MATCH($F242,사건마스터!$A$5:$A$64,0)),""))</f>
        <v/>
      </c>
      <c r="J242" s="35">
        <f>IF($F242="","",IFERROR(INDEX(사건마스터!$H$5:$H$64,MATCH($F242,사건마스터!$A$5:$A$64,0)),""))</f>
        <v/>
      </c>
      <c r="K242" s="35">
        <f>IF($F242="","",IFERROR(INDEX(사건마스터!$AH$5:$AH$64,MATCH($F242,사건마스터!$A$5:$A$64,0)),""))</f>
        <v/>
      </c>
      <c r="L242" s="35">
        <f>IF($F242="","",IFERROR(INDEX(사건마스터!$AI$5:$AI$64,MATCH($F242,사건마스터!$A$5:$A$64,0)),""))</f>
        <v/>
      </c>
      <c r="M242" s="35">
        <f>IF($F242="","",IFERROR(INDEX(사건마스터!$AJ$5:$AJ$64,MATCH($F242,사건마스터!$A$5:$A$64,0)),""))</f>
        <v/>
      </c>
      <c r="N242" s="35">
        <f>IF($F242="","",IFERROR(INDEX(사건마스터!$AK$5:$AK$64,MATCH($F242,사건마스터!$A$5:$A$64,0)),""))</f>
        <v/>
      </c>
      <c r="O242" s="35">
        <f>IF($F242="","",IFERROR(INDEX(사건마스터!$AL$5:$AL$64,MATCH($F242,사건마스터!$A$5:$A$64,0)),""))</f>
        <v/>
      </c>
      <c r="P242" s="35">
        <f>IF($F242="","",IFERROR(INDEX(사건마스터!$AM$5:$AM$64,MATCH($F242,사건마스터!$A$5:$A$64,0)),""))</f>
        <v/>
      </c>
      <c r="Q242" s="35">
        <f>IF($F242="","",IFERROR(INDEX(사건마스터!$AN$5:$AN$64,MATCH($F242,사건마스터!$A$5:$A$64,0)),""))</f>
        <v/>
      </c>
      <c r="R242" s="35">
        <f>IF($F242="","",IFERROR(INDEX(사건마스터!$AO$5:$AO$64,MATCH($F242,사건마스터!$A$5:$A$64,0)),""))</f>
        <v/>
      </c>
      <c r="S242" s="35">
        <f>IF($F242="","",IFERROR(INDEX(사건마스터!$AP$5:$AP$64,MATCH($F242,사건마스터!$A$5:$A$64,0)),""))</f>
        <v/>
      </c>
      <c r="T242" s="35">
        <f>IF($F242="","",IFERROR(INDEX(사건마스터!$AQ$5:$AQ$64,MATCH($F242,사건마스터!$A$5:$A$64,0)),""))</f>
        <v/>
      </c>
      <c r="U242" s="35">
        <f>IF($F242="","",IFERROR(INDEX(사건마스터!$AR$5:$AR$64,MATCH($F242,사건마스터!$A$5:$A$64,0)),""))</f>
        <v/>
      </c>
      <c r="V242" s="35">
        <f>IF($F242="","",IFERROR(INDEX(사건마스터!$AS$5:$AS$64,MATCH($F242,사건마스터!$A$5:$A$64,0)),""))</f>
        <v/>
      </c>
      <c r="W242" s="35">
        <f>IF($F242="","",IFERROR(INDEX(사건마스터!$AT$5:$AT$64,MATCH($F242,사건마스터!$A$5:$A$64,0)),""))</f>
        <v/>
      </c>
      <c r="X242" s="35">
        <f>IF($F242="","",IFERROR(INDEX(사건마스터!$AU$5:$AU$64,MATCH($F242,사건마스터!$A$5:$A$64,0)),""))</f>
        <v/>
      </c>
      <c r="Y242" s="35">
        <f>IF($F242="","",IFERROR(INDEX(사건마스터!$AV$5:$AV$64,MATCH($F242,사건마스터!$A$5:$A$64,0)),""))</f>
        <v/>
      </c>
      <c r="Z242" s="30">
        <f>IF(COUNTBLANK($J242:$Y242)=16,"",16-COUNTBLANK($J242:$Y242))</f>
        <v/>
      </c>
      <c r="AA242" s="33">
        <f>IF($J242="",MID($AX242,3,255),$J242&amp;$AX242)</f>
        <v/>
      </c>
      <c r="AB242" s="34">
        <f>IF($J242="","",IFERROR(INDEX(코드설정!$D$5:$D$24,MATCH($J242,코드설정!$C$5:$C$24,0)),""))</f>
        <v/>
      </c>
      <c r="AC242" s="36" t="n"/>
      <c r="AD242" s="37" t="n"/>
      <c r="AE242" s="38" t="n"/>
      <c r="AF242" s="30">
        <f>IF(OR($B242="",$C242=""),"",$C242-$B242+1)</f>
        <v/>
      </c>
      <c r="AG242" s="32" t="n"/>
      <c r="AH242" s="36" t="n"/>
      <c r="AJ242">
        <f>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  <c r="AX242">
        <f>AW242&amp;IF($Y242="","",", "&amp;$Y242)</f>
        <v/>
      </c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0">
        <f>IF($F243="","",COUNTIF($F$5:$F243,$F243))</f>
        <v/>
      </c>
      <c r="H243" s="33">
        <f>IF($F243="","",IFERROR(INDEX(사건마스터!$B$5:$B$64,MATCH($F243,사건마스터!$A$5:$A$64,0)),""))</f>
        <v/>
      </c>
      <c r="I243" s="34">
        <f>IF($F243="","",IFERROR(INDEX(사건마스터!$C$5:$C$64,MATCH($F243,사건마스터!$A$5:$A$64,0)),""))</f>
        <v/>
      </c>
      <c r="J243" s="35">
        <f>IF($F243="","",IFERROR(INDEX(사건마스터!$H$5:$H$64,MATCH($F243,사건마스터!$A$5:$A$64,0)),""))</f>
        <v/>
      </c>
      <c r="K243" s="35">
        <f>IF($F243="","",IFERROR(INDEX(사건마스터!$AH$5:$AH$64,MATCH($F243,사건마스터!$A$5:$A$64,0)),""))</f>
        <v/>
      </c>
      <c r="L243" s="35">
        <f>IF($F243="","",IFERROR(INDEX(사건마스터!$AI$5:$AI$64,MATCH($F243,사건마스터!$A$5:$A$64,0)),""))</f>
        <v/>
      </c>
      <c r="M243" s="35">
        <f>IF($F243="","",IFERROR(INDEX(사건마스터!$AJ$5:$AJ$64,MATCH($F243,사건마스터!$A$5:$A$64,0)),""))</f>
        <v/>
      </c>
      <c r="N243" s="35">
        <f>IF($F243="","",IFERROR(INDEX(사건마스터!$AK$5:$AK$64,MATCH($F243,사건마스터!$A$5:$A$64,0)),""))</f>
        <v/>
      </c>
      <c r="O243" s="35">
        <f>IF($F243="","",IFERROR(INDEX(사건마스터!$AL$5:$AL$64,MATCH($F243,사건마스터!$A$5:$A$64,0)),""))</f>
        <v/>
      </c>
      <c r="P243" s="35">
        <f>IF($F243="","",IFERROR(INDEX(사건마스터!$AM$5:$AM$64,MATCH($F243,사건마스터!$A$5:$A$64,0)),""))</f>
        <v/>
      </c>
      <c r="Q243" s="35">
        <f>IF($F243="","",IFERROR(INDEX(사건마스터!$AN$5:$AN$64,MATCH($F243,사건마스터!$A$5:$A$64,0)),""))</f>
        <v/>
      </c>
      <c r="R243" s="35">
        <f>IF($F243="","",IFERROR(INDEX(사건마스터!$AO$5:$AO$64,MATCH($F243,사건마스터!$A$5:$A$64,0)),""))</f>
        <v/>
      </c>
      <c r="S243" s="35">
        <f>IF($F243="","",IFERROR(INDEX(사건마스터!$AP$5:$AP$64,MATCH($F243,사건마스터!$A$5:$A$64,0)),""))</f>
        <v/>
      </c>
      <c r="T243" s="35">
        <f>IF($F243="","",IFERROR(INDEX(사건마스터!$AQ$5:$AQ$64,MATCH($F243,사건마스터!$A$5:$A$64,0)),""))</f>
        <v/>
      </c>
      <c r="U243" s="35">
        <f>IF($F243="","",IFERROR(INDEX(사건마스터!$AR$5:$AR$64,MATCH($F243,사건마스터!$A$5:$A$64,0)),""))</f>
        <v/>
      </c>
      <c r="V243" s="35">
        <f>IF($F243="","",IFERROR(INDEX(사건마스터!$AS$5:$AS$64,MATCH($F243,사건마스터!$A$5:$A$64,0)),""))</f>
        <v/>
      </c>
      <c r="W243" s="35">
        <f>IF($F243="","",IFERROR(INDEX(사건마스터!$AT$5:$AT$64,MATCH($F243,사건마스터!$A$5:$A$64,0)),""))</f>
        <v/>
      </c>
      <c r="X243" s="35">
        <f>IF($F243="","",IFERROR(INDEX(사건마스터!$AU$5:$AU$64,MATCH($F243,사건마스터!$A$5:$A$64,0)),""))</f>
        <v/>
      </c>
      <c r="Y243" s="35">
        <f>IF($F243="","",IFERROR(INDEX(사건마스터!$AV$5:$AV$64,MATCH($F243,사건마스터!$A$5:$A$64,0)),""))</f>
        <v/>
      </c>
      <c r="Z243" s="30">
        <f>IF(COUNTBLANK($J243:$Y243)=16,"",16-COUNTBLANK($J243:$Y243))</f>
        <v/>
      </c>
      <c r="AA243" s="33">
        <f>IF($J243="",MID($AX243,3,255),$J243&amp;$AX243)</f>
        <v/>
      </c>
      <c r="AB243" s="34">
        <f>IF($J243="","",IFERROR(INDEX(코드설정!$D$5:$D$24,MATCH($J243,코드설정!$C$5:$C$24,0)),""))</f>
        <v/>
      </c>
      <c r="AC243" s="36" t="n"/>
      <c r="AD243" s="37" t="n"/>
      <c r="AE243" s="38" t="n"/>
      <c r="AF243" s="30">
        <f>IF(OR($B243="",$C243=""),"",$C243-$B243+1)</f>
        <v/>
      </c>
      <c r="AG243" s="32" t="n"/>
      <c r="AH243" s="36" t="n"/>
      <c r="AJ243">
        <f>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  <c r="AX243">
        <f>AW243&amp;IF($Y243="","",", "&amp;$Y243)</f>
        <v/>
      </c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0">
        <f>IF($F244="","",COUNTIF($F$5:$F244,$F244))</f>
        <v/>
      </c>
      <c r="H244" s="33">
        <f>IF($F244="","",IFERROR(INDEX(사건마스터!$B$5:$B$64,MATCH($F244,사건마스터!$A$5:$A$64,0)),""))</f>
        <v/>
      </c>
      <c r="I244" s="34">
        <f>IF($F244="","",IFERROR(INDEX(사건마스터!$C$5:$C$64,MATCH($F244,사건마스터!$A$5:$A$64,0)),""))</f>
        <v/>
      </c>
      <c r="J244" s="35">
        <f>IF($F244="","",IFERROR(INDEX(사건마스터!$H$5:$H$64,MATCH($F244,사건마스터!$A$5:$A$64,0)),""))</f>
        <v/>
      </c>
      <c r="K244" s="35">
        <f>IF($F244="","",IFERROR(INDEX(사건마스터!$AH$5:$AH$64,MATCH($F244,사건마스터!$A$5:$A$64,0)),""))</f>
        <v/>
      </c>
      <c r="L244" s="35">
        <f>IF($F244="","",IFERROR(INDEX(사건마스터!$AI$5:$AI$64,MATCH($F244,사건마스터!$A$5:$A$64,0)),""))</f>
        <v/>
      </c>
      <c r="M244" s="35">
        <f>IF($F244="","",IFERROR(INDEX(사건마스터!$AJ$5:$AJ$64,MATCH($F244,사건마스터!$A$5:$A$64,0)),""))</f>
        <v/>
      </c>
      <c r="N244" s="35">
        <f>IF($F244="","",IFERROR(INDEX(사건마스터!$AK$5:$AK$64,MATCH($F244,사건마스터!$A$5:$A$64,0)),""))</f>
        <v/>
      </c>
      <c r="O244" s="35">
        <f>IF($F244="","",IFERROR(INDEX(사건마스터!$AL$5:$AL$64,MATCH($F244,사건마스터!$A$5:$A$64,0)),""))</f>
        <v/>
      </c>
      <c r="P244" s="35">
        <f>IF($F244="","",IFERROR(INDEX(사건마스터!$AM$5:$AM$64,MATCH($F244,사건마스터!$A$5:$A$64,0)),""))</f>
        <v/>
      </c>
      <c r="Q244" s="35">
        <f>IF($F244="","",IFERROR(INDEX(사건마스터!$AN$5:$AN$64,MATCH($F244,사건마스터!$A$5:$A$64,0)),""))</f>
        <v/>
      </c>
      <c r="R244" s="35">
        <f>IF($F244="","",IFERROR(INDEX(사건마스터!$AO$5:$AO$64,MATCH($F244,사건마스터!$A$5:$A$64,0)),""))</f>
        <v/>
      </c>
      <c r="S244" s="35">
        <f>IF($F244="","",IFERROR(INDEX(사건마스터!$AP$5:$AP$64,MATCH($F244,사건마스터!$A$5:$A$64,0)),""))</f>
        <v/>
      </c>
      <c r="T244" s="35">
        <f>IF($F244="","",IFERROR(INDEX(사건마스터!$AQ$5:$AQ$64,MATCH($F244,사건마스터!$A$5:$A$64,0)),""))</f>
        <v/>
      </c>
      <c r="U244" s="35">
        <f>IF($F244="","",IFERROR(INDEX(사건마스터!$AR$5:$AR$64,MATCH($F244,사건마스터!$A$5:$A$64,0)),""))</f>
        <v/>
      </c>
      <c r="V244" s="35">
        <f>IF($F244="","",IFERROR(INDEX(사건마스터!$AS$5:$AS$64,MATCH($F244,사건마스터!$A$5:$A$64,0)),""))</f>
        <v/>
      </c>
      <c r="W244" s="35">
        <f>IF($F244="","",IFERROR(INDEX(사건마스터!$AT$5:$AT$64,MATCH($F244,사건마스터!$A$5:$A$64,0)),""))</f>
        <v/>
      </c>
      <c r="X244" s="35">
        <f>IF($F244="","",IFERROR(INDEX(사건마스터!$AU$5:$AU$64,MATCH($F244,사건마스터!$A$5:$A$64,0)),""))</f>
        <v/>
      </c>
      <c r="Y244" s="35">
        <f>IF($F244="","",IFERROR(INDEX(사건마스터!$AV$5:$AV$64,MATCH($F244,사건마스터!$A$5:$A$64,0)),""))</f>
        <v/>
      </c>
      <c r="Z244" s="30">
        <f>IF(COUNTBLANK($J244:$Y244)=16,"",16-COUNTBLANK($J244:$Y244))</f>
        <v/>
      </c>
      <c r="AA244" s="33">
        <f>IF($J244="",MID($AX244,3,255),$J244&amp;$AX244)</f>
        <v/>
      </c>
      <c r="AB244" s="34">
        <f>IF($J244="","",IFERROR(INDEX(코드설정!$D$5:$D$24,MATCH($J244,코드설정!$C$5:$C$24,0)),""))</f>
        <v/>
      </c>
      <c r="AC244" s="36" t="n"/>
      <c r="AD244" s="37" t="n"/>
      <c r="AE244" s="38" t="n"/>
      <c r="AF244" s="30">
        <f>IF(OR($B244="",$C244=""),"",$C244-$B244+1)</f>
        <v/>
      </c>
      <c r="AG244" s="32" t="n"/>
      <c r="AH244" s="36" t="n"/>
      <c r="AJ244">
        <f>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  <c r="AX244">
        <f>AW244&amp;IF($Y244="","",", "&amp;$Y244)</f>
        <v/>
      </c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0">
        <f>IF($F245="","",COUNTIF($F$5:$F245,$F245))</f>
        <v/>
      </c>
      <c r="H245" s="33">
        <f>IF($F245="","",IFERROR(INDEX(사건마스터!$B$5:$B$64,MATCH($F245,사건마스터!$A$5:$A$64,0)),""))</f>
        <v/>
      </c>
      <c r="I245" s="34">
        <f>IF($F245="","",IFERROR(INDEX(사건마스터!$C$5:$C$64,MATCH($F245,사건마스터!$A$5:$A$64,0)),""))</f>
        <v/>
      </c>
      <c r="J245" s="35">
        <f>IF($F245="","",IFERROR(INDEX(사건마스터!$H$5:$H$64,MATCH($F245,사건마스터!$A$5:$A$64,0)),""))</f>
        <v/>
      </c>
      <c r="K245" s="35">
        <f>IF($F245="","",IFERROR(INDEX(사건마스터!$AH$5:$AH$64,MATCH($F245,사건마스터!$A$5:$A$64,0)),""))</f>
        <v/>
      </c>
      <c r="L245" s="35">
        <f>IF($F245="","",IFERROR(INDEX(사건마스터!$AI$5:$AI$64,MATCH($F245,사건마스터!$A$5:$A$64,0)),""))</f>
        <v/>
      </c>
      <c r="M245" s="35">
        <f>IF($F245="","",IFERROR(INDEX(사건마스터!$AJ$5:$AJ$64,MATCH($F245,사건마스터!$A$5:$A$64,0)),""))</f>
        <v/>
      </c>
      <c r="N245" s="35">
        <f>IF($F245="","",IFERROR(INDEX(사건마스터!$AK$5:$AK$64,MATCH($F245,사건마스터!$A$5:$A$64,0)),""))</f>
        <v/>
      </c>
      <c r="O245" s="35">
        <f>IF($F245="","",IFERROR(INDEX(사건마스터!$AL$5:$AL$64,MATCH($F245,사건마스터!$A$5:$A$64,0)),""))</f>
        <v/>
      </c>
      <c r="P245" s="35">
        <f>IF($F245="","",IFERROR(INDEX(사건마스터!$AM$5:$AM$64,MATCH($F245,사건마스터!$A$5:$A$64,0)),""))</f>
        <v/>
      </c>
      <c r="Q245" s="35">
        <f>IF($F245="","",IFERROR(INDEX(사건마스터!$AN$5:$AN$64,MATCH($F245,사건마스터!$A$5:$A$64,0)),""))</f>
        <v/>
      </c>
      <c r="R245" s="35">
        <f>IF($F245="","",IFERROR(INDEX(사건마스터!$AO$5:$AO$64,MATCH($F245,사건마스터!$A$5:$A$64,0)),""))</f>
        <v/>
      </c>
      <c r="S245" s="35">
        <f>IF($F245="","",IFERROR(INDEX(사건마스터!$AP$5:$AP$64,MATCH($F245,사건마스터!$A$5:$A$64,0)),""))</f>
        <v/>
      </c>
      <c r="T245" s="35">
        <f>IF($F245="","",IFERROR(INDEX(사건마스터!$AQ$5:$AQ$64,MATCH($F245,사건마스터!$A$5:$A$64,0)),""))</f>
        <v/>
      </c>
      <c r="U245" s="35">
        <f>IF($F245="","",IFERROR(INDEX(사건마스터!$AR$5:$AR$64,MATCH($F245,사건마스터!$A$5:$A$64,0)),""))</f>
        <v/>
      </c>
      <c r="V245" s="35">
        <f>IF($F245="","",IFERROR(INDEX(사건마스터!$AS$5:$AS$64,MATCH($F245,사건마스터!$A$5:$A$64,0)),""))</f>
        <v/>
      </c>
      <c r="W245" s="35">
        <f>IF($F245="","",IFERROR(INDEX(사건마스터!$AT$5:$AT$64,MATCH($F245,사건마스터!$A$5:$A$64,0)),""))</f>
        <v/>
      </c>
      <c r="X245" s="35">
        <f>IF($F245="","",IFERROR(INDEX(사건마스터!$AU$5:$AU$64,MATCH($F245,사건마스터!$A$5:$A$64,0)),""))</f>
        <v/>
      </c>
      <c r="Y245" s="35">
        <f>IF($F245="","",IFERROR(INDEX(사건마스터!$AV$5:$AV$64,MATCH($F245,사건마스터!$A$5:$A$64,0)),""))</f>
        <v/>
      </c>
      <c r="Z245" s="30">
        <f>IF(COUNTBLANK($J245:$Y245)=16,"",16-COUNTBLANK($J245:$Y245))</f>
        <v/>
      </c>
      <c r="AA245" s="33">
        <f>IF($J245="",MID($AX245,3,255),$J245&amp;$AX245)</f>
        <v/>
      </c>
      <c r="AB245" s="34">
        <f>IF($J245="","",IFERROR(INDEX(코드설정!$D$5:$D$24,MATCH($J245,코드설정!$C$5:$C$24,0)),""))</f>
        <v/>
      </c>
      <c r="AC245" s="36" t="n"/>
      <c r="AD245" s="37" t="n"/>
      <c r="AE245" s="38" t="n"/>
      <c r="AF245" s="30">
        <f>IF(OR($B245="",$C245=""),"",$C245-$B245+1)</f>
        <v/>
      </c>
      <c r="AG245" s="32" t="n"/>
      <c r="AH245" s="36" t="n"/>
      <c r="AJ245">
        <f>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  <c r="AX245">
        <f>AW245&amp;IF($Y245="","",", "&amp;$Y245)</f>
        <v/>
      </c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0">
        <f>IF($F246="","",COUNTIF($F$5:$F246,$F246))</f>
        <v/>
      </c>
      <c r="H246" s="33">
        <f>IF($F246="","",IFERROR(INDEX(사건마스터!$B$5:$B$64,MATCH($F246,사건마스터!$A$5:$A$64,0)),""))</f>
        <v/>
      </c>
      <c r="I246" s="34">
        <f>IF($F246="","",IFERROR(INDEX(사건마스터!$C$5:$C$64,MATCH($F246,사건마스터!$A$5:$A$64,0)),""))</f>
        <v/>
      </c>
      <c r="J246" s="35">
        <f>IF($F246="","",IFERROR(INDEX(사건마스터!$H$5:$H$64,MATCH($F246,사건마스터!$A$5:$A$64,0)),""))</f>
        <v/>
      </c>
      <c r="K246" s="35">
        <f>IF($F246="","",IFERROR(INDEX(사건마스터!$AH$5:$AH$64,MATCH($F246,사건마스터!$A$5:$A$64,0)),""))</f>
        <v/>
      </c>
      <c r="L246" s="35">
        <f>IF($F246="","",IFERROR(INDEX(사건마스터!$AI$5:$AI$64,MATCH($F246,사건마스터!$A$5:$A$64,0)),""))</f>
        <v/>
      </c>
      <c r="M246" s="35">
        <f>IF($F246="","",IFERROR(INDEX(사건마스터!$AJ$5:$AJ$64,MATCH($F246,사건마스터!$A$5:$A$64,0)),""))</f>
        <v/>
      </c>
      <c r="N246" s="35">
        <f>IF($F246="","",IFERROR(INDEX(사건마스터!$AK$5:$AK$64,MATCH($F246,사건마스터!$A$5:$A$64,0)),""))</f>
        <v/>
      </c>
      <c r="O246" s="35">
        <f>IF($F246="","",IFERROR(INDEX(사건마스터!$AL$5:$AL$64,MATCH($F246,사건마스터!$A$5:$A$64,0)),""))</f>
        <v/>
      </c>
      <c r="P246" s="35">
        <f>IF($F246="","",IFERROR(INDEX(사건마스터!$AM$5:$AM$64,MATCH($F246,사건마스터!$A$5:$A$64,0)),""))</f>
        <v/>
      </c>
      <c r="Q246" s="35">
        <f>IF($F246="","",IFERROR(INDEX(사건마스터!$AN$5:$AN$64,MATCH($F246,사건마스터!$A$5:$A$64,0)),""))</f>
        <v/>
      </c>
      <c r="R246" s="35">
        <f>IF($F246="","",IFERROR(INDEX(사건마스터!$AO$5:$AO$64,MATCH($F246,사건마스터!$A$5:$A$64,0)),""))</f>
        <v/>
      </c>
      <c r="S246" s="35">
        <f>IF($F246="","",IFERROR(INDEX(사건마스터!$AP$5:$AP$64,MATCH($F246,사건마스터!$A$5:$A$64,0)),""))</f>
        <v/>
      </c>
      <c r="T246" s="35">
        <f>IF($F246="","",IFERROR(INDEX(사건마스터!$AQ$5:$AQ$64,MATCH($F246,사건마스터!$A$5:$A$64,0)),""))</f>
        <v/>
      </c>
      <c r="U246" s="35">
        <f>IF($F246="","",IFERROR(INDEX(사건마스터!$AR$5:$AR$64,MATCH($F246,사건마스터!$A$5:$A$64,0)),""))</f>
        <v/>
      </c>
      <c r="V246" s="35">
        <f>IF($F246="","",IFERROR(INDEX(사건마스터!$AS$5:$AS$64,MATCH($F246,사건마스터!$A$5:$A$64,0)),""))</f>
        <v/>
      </c>
      <c r="W246" s="35">
        <f>IF($F246="","",IFERROR(INDEX(사건마스터!$AT$5:$AT$64,MATCH($F246,사건마스터!$A$5:$A$64,0)),""))</f>
        <v/>
      </c>
      <c r="X246" s="35">
        <f>IF($F246="","",IFERROR(INDEX(사건마스터!$AU$5:$AU$64,MATCH($F246,사건마스터!$A$5:$A$64,0)),""))</f>
        <v/>
      </c>
      <c r="Y246" s="35">
        <f>IF($F246="","",IFERROR(INDEX(사건마스터!$AV$5:$AV$64,MATCH($F246,사건마스터!$A$5:$A$64,0)),""))</f>
        <v/>
      </c>
      <c r="Z246" s="30">
        <f>IF(COUNTBLANK($J246:$Y246)=16,"",16-COUNTBLANK($J246:$Y246))</f>
        <v/>
      </c>
      <c r="AA246" s="33">
        <f>IF($J246="",MID($AX246,3,255),$J246&amp;$AX246)</f>
        <v/>
      </c>
      <c r="AB246" s="34">
        <f>IF($J246="","",IFERROR(INDEX(코드설정!$D$5:$D$24,MATCH($J246,코드설정!$C$5:$C$24,0)),""))</f>
        <v/>
      </c>
      <c r="AC246" s="36" t="n"/>
      <c r="AD246" s="37" t="n"/>
      <c r="AE246" s="38" t="n"/>
      <c r="AF246" s="30">
        <f>IF(OR($B246="",$C246=""),"",$C246-$B246+1)</f>
        <v/>
      </c>
      <c r="AG246" s="32" t="n"/>
      <c r="AH246" s="36" t="n"/>
      <c r="AJ246">
        <f>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  <c r="AX246">
        <f>AW246&amp;IF($Y246="","",", "&amp;$Y246)</f>
        <v/>
      </c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0">
        <f>IF($F247="","",COUNTIF($F$5:$F247,$F247))</f>
        <v/>
      </c>
      <c r="H247" s="33">
        <f>IF($F247="","",IFERROR(INDEX(사건마스터!$B$5:$B$64,MATCH($F247,사건마스터!$A$5:$A$64,0)),""))</f>
        <v/>
      </c>
      <c r="I247" s="34">
        <f>IF($F247="","",IFERROR(INDEX(사건마스터!$C$5:$C$64,MATCH($F247,사건마스터!$A$5:$A$64,0)),""))</f>
        <v/>
      </c>
      <c r="J247" s="35">
        <f>IF($F247="","",IFERROR(INDEX(사건마스터!$H$5:$H$64,MATCH($F247,사건마스터!$A$5:$A$64,0)),""))</f>
        <v/>
      </c>
      <c r="K247" s="35">
        <f>IF($F247="","",IFERROR(INDEX(사건마스터!$AH$5:$AH$64,MATCH($F247,사건마스터!$A$5:$A$64,0)),""))</f>
        <v/>
      </c>
      <c r="L247" s="35">
        <f>IF($F247="","",IFERROR(INDEX(사건마스터!$AI$5:$AI$64,MATCH($F247,사건마스터!$A$5:$A$64,0)),""))</f>
        <v/>
      </c>
      <c r="M247" s="35">
        <f>IF($F247="","",IFERROR(INDEX(사건마스터!$AJ$5:$AJ$64,MATCH($F247,사건마스터!$A$5:$A$64,0)),""))</f>
        <v/>
      </c>
      <c r="N247" s="35">
        <f>IF($F247="","",IFERROR(INDEX(사건마스터!$AK$5:$AK$64,MATCH($F247,사건마스터!$A$5:$A$64,0)),""))</f>
        <v/>
      </c>
      <c r="O247" s="35">
        <f>IF($F247="","",IFERROR(INDEX(사건마스터!$AL$5:$AL$64,MATCH($F247,사건마스터!$A$5:$A$64,0)),""))</f>
        <v/>
      </c>
      <c r="P247" s="35">
        <f>IF($F247="","",IFERROR(INDEX(사건마스터!$AM$5:$AM$64,MATCH($F247,사건마스터!$A$5:$A$64,0)),""))</f>
        <v/>
      </c>
      <c r="Q247" s="35">
        <f>IF($F247="","",IFERROR(INDEX(사건마스터!$AN$5:$AN$64,MATCH($F247,사건마스터!$A$5:$A$64,0)),""))</f>
        <v/>
      </c>
      <c r="R247" s="35">
        <f>IF($F247="","",IFERROR(INDEX(사건마스터!$AO$5:$AO$64,MATCH($F247,사건마스터!$A$5:$A$64,0)),""))</f>
        <v/>
      </c>
      <c r="S247" s="35">
        <f>IF($F247="","",IFERROR(INDEX(사건마스터!$AP$5:$AP$64,MATCH($F247,사건마스터!$A$5:$A$64,0)),""))</f>
        <v/>
      </c>
      <c r="T247" s="35">
        <f>IF($F247="","",IFERROR(INDEX(사건마스터!$AQ$5:$AQ$64,MATCH($F247,사건마스터!$A$5:$A$64,0)),""))</f>
        <v/>
      </c>
      <c r="U247" s="35">
        <f>IF($F247="","",IFERROR(INDEX(사건마스터!$AR$5:$AR$64,MATCH($F247,사건마스터!$A$5:$A$64,0)),""))</f>
        <v/>
      </c>
      <c r="V247" s="35">
        <f>IF($F247="","",IFERROR(INDEX(사건마스터!$AS$5:$AS$64,MATCH($F247,사건마스터!$A$5:$A$64,0)),""))</f>
        <v/>
      </c>
      <c r="W247" s="35">
        <f>IF($F247="","",IFERROR(INDEX(사건마스터!$AT$5:$AT$64,MATCH($F247,사건마스터!$A$5:$A$64,0)),""))</f>
        <v/>
      </c>
      <c r="X247" s="35">
        <f>IF($F247="","",IFERROR(INDEX(사건마스터!$AU$5:$AU$64,MATCH($F247,사건마스터!$A$5:$A$64,0)),""))</f>
        <v/>
      </c>
      <c r="Y247" s="35">
        <f>IF($F247="","",IFERROR(INDEX(사건마스터!$AV$5:$AV$64,MATCH($F247,사건마스터!$A$5:$A$64,0)),""))</f>
        <v/>
      </c>
      <c r="Z247" s="30">
        <f>IF(COUNTBLANK($J247:$Y247)=16,"",16-COUNTBLANK($J247:$Y247))</f>
        <v/>
      </c>
      <c r="AA247" s="33">
        <f>IF($J247="",MID($AX247,3,255),$J247&amp;$AX247)</f>
        <v/>
      </c>
      <c r="AB247" s="34">
        <f>IF($J247="","",IFERROR(INDEX(코드설정!$D$5:$D$24,MATCH($J247,코드설정!$C$5:$C$24,0)),""))</f>
        <v/>
      </c>
      <c r="AC247" s="36" t="n"/>
      <c r="AD247" s="37" t="n"/>
      <c r="AE247" s="38" t="n"/>
      <c r="AF247" s="30">
        <f>IF(OR($B247="",$C247=""),"",$C247-$B247+1)</f>
        <v/>
      </c>
      <c r="AG247" s="32" t="n"/>
      <c r="AH247" s="36" t="n"/>
      <c r="AJ247">
        <f>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  <c r="AX247">
        <f>AW247&amp;IF($Y247="","",", "&amp;$Y247)</f>
        <v/>
      </c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0">
        <f>IF($F248="","",COUNTIF($F$5:$F248,$F248))</f>
        <v/>
      </c>
      <c r="H248" s="33">
        <f>IF($F248="","",IFERROR(INDEX(사건마스터!$B$5:$B$64,MATCH($F248,사건마스터!$A$5:$A$64,0)),""))</f>
        <v/>
      </c>
      <c r="I248" s="34">
        <f>IF($F248="","",IFERROR(INDEX(사건마스터!$C$5:$C$64,MATCH($F248,사건마스터!$A$5:$A$64,0)),""))</f>
        <v/>
      </c>
      <c r="J248" s="35">
        <f>IF($F248="","",IFERROR(INDEX(사건마스터!$H$5:$H$64,MATCH($F248,사건마스터!$A$5:$A$64,0)),""))</f>
        <v/>
      </c>
      <c r="K248" s="35">
        <f>IF($F248="","",IFERROR(INDEX(사건마스터!$AH$5:$AH$64,MATCH($F248,사건마스터!$A$5:$A$64,0)),""))</f>
        <v/>
      </c>
      <c r="L248" s="35">
        <f>IF($F248="","",IFERROR(INDEX(사건마스터!$AI$5:$AI$64,MATCH($F248,사건마스터!$A$5:$A$64,0)),""))</f>
        <v/>
      </c>
      <c r="M248" s="35">
        <f>IF($F248="","",IFERROR(INDEX(사건마스터!$AJ$5:$AJ$64,MATCH($F248,사건마스터!$A$5:$A$64,0)),""))</f>
        <v/>
      </c>
      <c r="N248" s="35">
        <f>IF($F248="","",IFERROR(INDEX(사건마스터!$AK$5:$AK$64,MATCH($F248,사건마스터!$A$5:$A$64,0)),""))</f>
        <v/>
      </c>
      <c r="O248" s="35">
        <f>IF($F248="","",IFERROR(INDEX(사건마스터!$AL$5:$AL$64,MATCH($F248,사건마스터!$A$5:$A$64,0)),""))</f>
        <v/>
      </c>
      <c r="P248" s="35">
        <f>IF($F248="","",IFERROR(INDEX(사건마스터!$AM$5:$AM$64,MATCH($F248,사건마스터!$A$5:$A$64,0)),""))</f>
        <v/>
      </c>
      <c r="Q248" s="35">
        <f>IF($F248="","",IFERROR(INDEX(사건마스터!$AN$5:$AN$64,MATCH($F248,사건마스터!$A$5:$A$64,0)),""))</f>
        <v/>
      </c>
      <c r="R248" s="35">
        <f>IF($F248="","",IFERROR(INDEX(사건마스터!$AO$5:$AO$64,MATCH($F248,사건마스터!$A$5:$A$64,0)),""))</f>
        <v/>
      </c>
      <c r="S248" s="35">
        <f>IF($F248="","",IFERROR(INDEX(사건마스터!$AP$5:$AP$64,MATCH($F248,사건마스터!$A$5:$A$64,0)),""))</f>
        <v/>
      </c>
      <c r="T248" s="35">
        <f>IF($F248="","",IFERROR(INDEX(사건마스터!$AQ$5:$AQ$64,MATCH($F248,사건마스터!$A$5:$A$64,0)),""))</f>
        <v/>
      </c>
      <c r="U248" s="35">
        <f>IF($F248="","",IFERROR(INDEX(사건마스터!$AR$5:$AR$64,MATCH($F248,사건마스터!$A$5:$A$64,0)),""))</f>
        <v/>
      </c>
      <c r="V248" s="35">
        <f>IF($F248="","",IFERROR(INDEX(사건마스터!$AS$5:$AS$64,MATCH($F248,사건마스터!$A$5:$A$64,0)),""))</f>
        <v/>
      </c>
      <c r="W248" s="35">
        <f>IF($F248="","",IFERROR(INDEX(사건마스터!$AT$5:$AT$64,MATCH($F248,사건마스터!$A$5:$A$64,0)),""))</f>
        <v/>
      </c>
      <c r="X248" s="35">
        <f>IF($F248="","",IFERROR(INDEX(사건마스터!$AU$5:$AU$64,MATCH($F248,사건마스터!$A$5:$A$64,0)),""))</f>
        <v/>
      </c>
      <c r="Y248" s="35">
        <f>IF($F248="","",IFERROR(INDEX(사건마스터!$AV$5:$AV$64,MATCH($F248,사건마스터!$A$5:$A$64,0)),""))</f>
        <v/>
      </c>
      <c r="Z248" s="30">
        <f>IF(COUNTBLANK($J248:$Y248)=16,"",16-COUNTBLANK($J248:$Y248))</f>
        <v/>
      </c>
      <c r="AA248" s="33">
        <f>IF($J248="",MID($AX248,3,255),$J248&amp;$AX248)</f>
        <v/>
      </c>
      <c r="AB248" s="34">
        <f>IF($J248="","",IFERROR(INDEX(코드설정!$D$5:$D$24,MATCH($J248,코드설정!$C$5:$C$24,0)),""))</f>
        <v/>
      </c>
      <c r="AC248" s="36" t="n"/>
      <c r="AD248" s="37" t="n"/>
      <c r="AE248" s="38" t="n"/>
      <c r="AF248" s="30">
        <f>IF(OR($B248="",$C248=""),"",$C248-$B248+1)</f>
        <v/>
      </c>
      <c r="AG248" s="32" t="n"/>
      <c r="AH248" s="36" t="n"/>
      <c r="AJ248">
        <f>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  <c r="AX248">
        <f>AW248&amp;IF($Y248="","",", "&amp;$Y248)</f>
        <v/>
      </c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0">
        <f>IF($F249="","",COUNTIF($F$5:$F249,$F249))</f>
        <v/>
      </c>
      <c r="H249" s="33">
        <f>IF($F249="","",IFERROR(INDEX(사건마스터!$B$5:$B$64,MATCH($F249,사건마스터!$A$5:$A$64,0)),""))</f>
        <v/>
      </c>
      <c r="I249" s="34">
        <f>IF($F249="","",IFERROR(INDEX(사건마스터!$C$5:$C$64,MATCH($F249,사건마스터!$A$5:$A$64,0)),""))</f>
        <v/>
      </c>
      <c r="J249" s="35">
        <f>IF($F249="","",IFERROR(INDEX(사건마스터!$H$5:$H$64,MATCH($F249,사건마스터!$A$5:$A$64,0)),""))</f>
        <v/>
      </c>
      <c r="K249" s="35">
        <f>IF($F249="","",IFERROR(INDEX(사건마스터!$AH$5:$AH$64,MATCH($F249,사건마스터!$A$5:$A$64,0)),""))</f>
        <v/>
      </c>
      <c r="L249" s="35">
        <f>IF($F249="","",IFERROR(INDEX(사건마스터!$AI$5:$AI$64,MATCH($F249,사건마스터!$A$5:$A$64,0)),""))</f>
        <v/>
      </c>
      <c r="M249" s="35">
        <f>IF($F249="","",IFERROR(INDEX(사건마스터!$AJ$5:$AJ$64,MATCH($F249,사건마스터!$A$5:$A$64,0)),""))</f>
        <v/>
      </c>
      <c r="N249" s="35">
        <f>IF($F249="","",IFERROR(INDEX(사건마스터!$AK$5:$AK$64,MATCH($F249,사건마스터!$A$5:$A$64,0)),""))</f>
        <v/>
      </c>
      <c r="O249" s="35">
        <f>IF($F249="","",IFERROR(INDEX(사건마스터!$AL$5:$AL$64,MATCH($F249,사건마스터!$A$5:$A$64,0)),""))</f>
        <v/>
      </c>
      <c r="P249" s="35">
        <f>IF($F249="","",IFERROR(INDEX(사건마스터!$AM$5:$AM$64,MATCH($F249,사건마스터!$A$5:$A$64,0)),""))</f>
        <v/>
      </c>
      <c r="Q249" s="35">
        <f>IF($F249="","",IFERROR(INDEX(사건마스터!$AN$5:$AN$64,MATCH($F249,사건마스터!$A$5:$A$64,0)),""))</f>
        <v/>
      </c>
      <c r="R249" s="35">
        <f>IF($F249="","",IFERROR(INDEX(사건마스터!$AO$5:$AO$64,MATCH($F249,사건마스터!$A$5:$A$64,0)),""))</f>
        <v/>
      </c>
      <c r="S249" s="35">
        <f>IF($F249="","",IFERROR(INDEX(사건마스터!$AP$5:$AP$64,MATCH($F249,사건마스터!$A$5:$A$64,0)),""))</f>
        <v/>
      </c>
      <c r="T249" s="35">
        <f>IF($F249="","",IFERROR(INDEX(사건마스터!$AQ$5:$AQ$64,MATCH($F249,사건마스터!$A$5:$A$64,0)),""))</f>
        <v/>
      </c>
      <c r="U249" s="35">
        <f>IF($F249="","",IFERROR(INDEX(사건마스터!$AR$5:$AR$64,MATCH($F249,사건마스터!$A$5:$A$64,0)),""))</f>
        <v/>
      </c>
      <c r="V249" s="35">
        <f>IF($F249="","",IFERROR(INDEX(사건마스터!$AS$5:$AS$64,MATCH($F249,사건마스터!$A$5:$A$64,0)),""))</f>
        <v/>
      </c>
      <c r="W249" s="35">
        <f>IF($F249="","",IFERROR(INDEX(사건마스터!$AT$5:$AT$64,MATCH($F249,사건마스터!$A$5:$A$64,0)),""))</f>
        <v/>
      </c>
      <c r="X249" s="35">
        <f>IF($F249="","",IFERROR(INDEX(사건마스터!$AU$5:$AU$64,MATCH($F249,사건마스터!$A$5:$A$64,0)),""))</f>
        <v/>
      </c>
      <c r="Y249" s="35">
        <f>IF($F249="","",IFERROR(INDEX(사건마스터!$AV$5:$AV$64,MATCH($F249,사건마스터!$A$5:$A$64,0)),""))</f>
        <v/>
      </c>
      <c r="Z249" s="30">
        <f>IF(COUNTBLANK($J249:$Y249)=16,"",16-COUNTBLANK($J249:$Y249))</f>
        <v/>
      </c>
      <c r="AA249" s="33">
        <f>IF($J249="",MID($AX249,3,255),$J249&amp;$AX249)</f>
        <v/>
      </c>
      <c r="AB249" s="34">
        <f>IF($J249="","",IFERROR(INDEX(코드설정!$D$5:$D$24,MATCH($J249,코드설정!$C$5:$C$24,0)),""))</f>
        <v/>
      </c>
      <c r="AC249" s="36" t="n"/>
      <c r="AD249" s="37" t="n"/>
      <c r="AE249" s="38" t="n"/>
      <c r="AF249" s="30">
        <f>IF(OR($B249="",$C249=""),"",$C249-$B249+1)</f>
        <v/>
      </c>
      <c r="AG249" s="32" t="n"/>
      <c r="AH249" s="36" t="n"/>
      <c r="AJ249">
        <f>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  <c r="AX249">
        <f>AW249&amp;IF($Y249="","",", "&amp;$Y249)</f>
        <v/>
      </c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0">
        <f>IF($F250="","",COUNTIF($F$5:$F250,$F250))</f>
        <v/>
      </c>
      <c r="H250" s="33">
        <f>IF($F250="","",IFERROR(INDEX(사건마스터!$B$5:$B$64,MATCH($F250,사건마스터!$A$5:$A$64,0)),""))</f>
        <v/>
      </c>
      <c r="I250" s="34">
        <f>IF($F250="","",IFERROR(INDEX(사건마스터!$C$5:$C$64,MATCH($F250,사건마스터!$A$5:$A$64,0)),""))</f>
        <v/>
      </c>
      <c r="J250" s="35">
        <f>IF($F250="","",IFERROR(INDEX(사건마스터!$H$5:$H$64,MATCH($F250,사건마스터!$A$5:$A$64,0)),""))</f>
        <v/>
      </c>
      <c r="K250" s="35">
        <f>IF($F250="","",IFERROR(INDEX(사건마스터!$AH$5:$AH$64,MATCH($F250,사건마스터!$A$5:$A$64,0)),""))</f>
        <v/>
      </c>
      <c r="L250" s="35">
        <f>IF($F250="","",IFERROR(INDEX(사건마스터!$AI$5:$AI$64,MATCH($F250,사건마스터!$A$5:$A$64,0)),""))</f>
        <v/>
      </c>
      <c r="M250" s="35">
        <f>IF($F250="","",IFERROR(INDEX(사건마스터!$AJ$5:$AJ$64,MATCH($F250,사건마스터!$A$5:$A$64,0)),""))</f>
        <v/>
      </c>
      <c r="N250" s="35">
        <f>IF($F250="","",IFERROR(INDEX(사건마스터!$AK$5:$AK$64,MATCH($F250,사건마스터!$A$5:$A$64,0)),""))</f>
        <v/>
      </c>
      <c r="O250" s="35">
        <f>IF($F250="","",IFERROR(INDEX(사건마스터!$AL$5:$AL$64,MATCH($F250,사건마스터!$A$5:$A$64,0)),""))</f>
        <v/>
      </c>
      <c r="P250" s="35">
        <f>IF($F250="","",IFERROR(INDEX(사건마스터!$AM$5:$AM$64,MATCH($F250,사건마스터!$A$5:$A$64,0)),""))</f>
        <v/>
      </c>
      <c r="Q250" s="35">
        <f>IF($F250="","",IFERROR(INDEX(사건마스터!$AN$5:$AN$64,MATCH($F250,사건마스터!$A$5:$A$64,0)),""))</f>
        <v/>
      </c>
      <c r="R250" s="35">
        <f>IF($F250="","",IFERROR(INDEX(사건마스터!$AO$5:$AO$64,MATCH($F250,사건마스터!$A$5:$A$64,0)),""))</f>
        <v/>
      </c>
      <c r="S250" s="35">
        <f>IF($F250="","",IFERROR(INDEX(사건마스터!$AP$5:$AP$64,MATCH($F250,사건마스터!$A$5:$A$64,0)),""))</f>
        <v/>
      </c>
      <c r="T250" s="35">
        <f>IF($F250="","",IFERROR(INDEX(사건마스터!$AQ$5:$AQ$64,MATCH($F250,사건마스터!$A$5:$A$64,0)),""))</f>
        <v/>
      </c>
      <c r="U250" s="35">
        <f>IF($F250="","",IFERROR(INDEX(사건마스터!$AR$5:$AR$64,MATCH($F250,사건마스터!$A$5:$A$64,0)),""))</f>
        <v/>
      </c>
      <c r="V250" s="35">
        <f>IF($F250="","",IFERROR(INDEX(사건마스터!$AS$5:$AS$64,MATCH($F250,사건마스터!$A$5:$A$64,0)),""))</f>
        <v/>
      </c>
      <c r="W250" s="35">
        <f>IF($F250="","",IFERROR(INDEX(사건마스터!$AT$5:$AT$64,MATCH($F250,사건마스터!$A$5:$A$64,0)),""))</f>
        <v/>
      </c>
      <c r="X250" s="35">
        <f>IF($F250="","",IFERROR(INDEX(사건마스터!$AU$5:$AU$64,MATCH($F250,사건마스터!$A$5:$A$64,0)),""))</f>
        <v/>
      </c>
      <c r="Y250" s="35">
        <f>IF($F250="","",IFERROR(INDEX(사건마스터!$AV$5:$AV$64,MATCH($F250,사건마스터!$A$5:$A$64,0)),""))</f>
        <v/>
      </c>
      <c r="Z250" s="30">
        <f>IF(COUNTBLANK($J250:$Y250)=16,"",16-COUNTBLANK($J250:$Y250))</f>
        <v/>
      </c>
      <c r="AA250" s="33">
        <f>IF($J250="",MID($AX250,3,255),$J250&amp;$AX250)</f>
        <v/>
      </c>
      <c r="AB250" s="34">
        <f>IF($J250="","",IFERROR(INDEX(코드설정!$D$5:$D$24,MATCH($J250,코드설정!$C$5:$C$24,0)),""))</f>
        <v/>
      </c>
      <c r="AC250" s="36" t="n"/>
      <c r="AD250" s="37" t="n"/>
      <c r="AE250" s="38" t="n"/>
      <c r="AF250" s="30">
        <f>IF(OR($B250="",$C250=""),"",$C250-$B250+1)</f>
        <v/>
      </c>
      <c r="AG250" s="32" t="n"/>
      <c r="AH250" s="36" t="n"/>
      <c r="AJ250">
        <f>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  <c r="AX250">
        <f>AW250&amp;IF($Y250="","",", "&amp;$Y250)</f>
        <v/>
      </c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0">
        <f>IF($F251="","",COUNTIF($F$5:$F251,$F251))</f>
        <v/>
      </c>
      <c r="H251" s="33">
        <f>IF($F251="","",IFERROR(INDEX(사건마스터!$B$5:$B$64,MATCH($F251,사건마스터!$A$5:$A$64,0)),""))</f>
        <v/>
      </c>
      <c r="I251" s="34">
        <f>IF($F251="","",IFERROR(INDEX(사건마스터!$C$5:$C$64,MATCH($F251,사건마스터!$A$5:$A$64,0)),""))</f>
        <v/>
      </c>
      <c r="J251" s="35">
        <f>IF($F251="","",IFERROR(INDEX(사건마스터!$H$5:$H$64,MATCH($F251,사건마스터!$A$5:$A$64,0)),""))</f>
        <v/>
      </c>
      <c r="K251" s="35">
        <f>IF($F251="","",IFERROR(INDEX(사건마스터!$AH$5:$AH$64,MATCH($F251,사건마스터!$A$5:$A$64,0)),""))</f>
        <v/>
      </c>
      <c r="L251" s="35">
        <f>IF($F251="","",IFERROR(INDEX(사건마스터!$AI$5:$AI$64,MATCH($F251,사건마스터!$A$5:$A$64,0)),""))</f>
        <v/>
      </c>
      <c r="M251" s="35">
        <f>IF($F251="","",IFERROR(INDEX(사건마스터!$AJ$5:$AJ$64,MATCH($F251,사건마스터!$A$5:$A$64,0)),""))</f>
        <v/>
      </c>
      <c r="N251" s="35">
        <f>IF($F251="","",IFERROR(INDEX(사건마스터!$AK$5:$AK$64,MATCH($F251,사건마스터!$A$5:$A$64,0)),""))</f>
        <v/>
      </c>
      <c r="O251" s="35">
        <f>IF($F251="","",IFERROR(INDEX(사건마스터!$AL$5:$AL$64,MATCH($F251,사건마스터!$A$5:$A$64,0)),""))</f>
        <v/>
      </c>
      <c r="P251" s="35">
        <f>IF($F251="","",IFERROR(INDEX(사건마스터!$AM$5:$AM$64,MATCH($F251,사건마스터!$A$5:$A$64,0)),""))</f>
        <v/>
      </c>
      <c r="Q251" s="35">
        <f>IF($F251="","",IFERROR(INDEX(사건마스터!$AN$5:$AN$64,MATCH($F251,사건마스터!$A$5:$A$64,0)),""))</f>
        <v/>
      </c>
      <c r="R251" s="35">
        <f>IF($F251="","",IFERROR(INDEX(사건마스터!$AO$5:$AO$64,MATCH($F251,사건마스터!$A$5:$A$64,0)),""))</f>
        <v/>
      </c>
      <c r="S251" s="35">
        <f>IF($F251="","",IFERROR(INDEX(사건마스터!$AP$5:$AP$64,MATCH($F251,사건마스터!$A$5:$A$64,0)),""))</f>
        <v/>
      </c>
      <c r="T251" s="35">
        <f>IF($F251="","",IFERROR(INDEX(사건마스터!$AQ$5:$AQ$64,MATCH($F251,사건마스터!$A$5:$A$64,0)),""))</f>
        <v/>
      </c>
      <c r="U251" s="35">
        <f>IF($F251="","",IFERROR(INDEX(사건마스터!$AR$5:$AR$64,MATCH($F251,사건마스터!$A$5:$A$64,0)),""))</f>
        <v/>
      </c>
      <c r="V251" s="35">
        <f>IF($F251="","",IFERROR(INDEX(사건마스터!$AS$5:$AS$64,MATCH($F251,사건마스터!$A$5:$A$64,0)),""))</f>
        <v/>
      </c>
      <c r="W251" s="35">
        <f>IF($F251="","",IFERROR(INDEX(사건마스터!$AT$5:$AT$64,MATCH($F251,사건마스터!$A$5:$A$64,0)),""))</f>
        <v/>
      </c>
      <c r="X251" s="35">
        <f>IF($F251="","",IFERROR(INDEX(사건마스터!$AU$5:$AU$64,MATCH($F251,사건마스터!$A$5:$A$64,0)),""))</f>
        <v/>
      </c>
      <c r="Y251" s="35">
        <f>IF($F251="","",IFERROR(INDEX(사건마스터!$AV$5:$AV$64,MATCH($F251,사건마스터!$A$5:$A$64,0)),""))</f>
        <v/>
      </c>
      <c r="Z251" s="30">
        <f>IF(COUNTBLANK($J251:$Y251)=16,"",16-COUNTBLANK($J251:$Y251))</f>
        <v/>
      </c>
      <c r="AA251" s="33">
        <f>IF($J251="",MID($AX251,3,255),$J251&amp;$AX251)</f>
        <v/>
      </c>
      <c r="AB251" s="34">
        <f>IF($J251="","",IFERROR(INDEX(코드설정!$D$5:$D$24,MATCH($J251,코드설정!$C$5:$C$24,0)),""))</f>
        <v/>
      </c>
      <c r="AC251" s="36" t="n"/>
      <c r="AD251" s="37" t="n"/>
      <c r="AE251" s="38" t="n"/>
      <c r="AF251" s="30">
        <f>IF(OR($B251="",$C251=""),"",$C251-$B251+1)</f>
        <v/>
      </c>
      <c r="AG251" s="32" t="n"/>
      <c r="AH251" s="36" t="n"/>
      <c r="AJ251">
        <f>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  <c r="AX251">
        <f>AW251&amp;IF($Y251="","",", "&amp;$Y251)</f>
        <v/>
      </c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0">
        <f>IF($F252="","",COUNTIF($F$5:$F252,$F252))</f>
        <v/>
      </c>
      <c r="H252" s="33">
        <f>IF($F252="","",IFERROR(INDEX(사건마스터!$B$5:$B$64,MATCH($F252,사건마스터!$A$5:$A$64,0)),""))</f>
        <v/>
      </c>
      <c r="I252" s="34">
        <f>IF($F252="","",IFERROR(INDEX(사건마스터!$C$5:$C$64,MATCH($F252,사건마스터!$A$5:$A$64,0)),""))</f>
        <v/>
      </c>
      <c r="J252" s="35">
        <f>IF($F252="","",IFERROR(INDEX(사건마스터!$H$5:$H$64,MATCH($F252,사건마스터!$A$5:$A$64,0)),""))</f>
        <v/>
      </c>
      <c r="K252" s="35">
        <f>IF($F252="","",IFERROR(INDEX(사건마스터!$AH$5:$AH$64,MATCH($F252,사건마스터!$A$5:$A$64,0)),""))</f>
        <v/>
      </c>
      <c r="L252" s="35">
        <f>IF($F252="","",IFERROR(INDEX(사건마스터!$AI$5:$AI$64,MATCH($F252,사건마스터!$A$5:$A$64,0)),""))</f>
        <v/>
      </c>
      <c r="M252" s="35">
        <f>IF($F252="","",IFERROR(INDEX(사건마스터!$AJ$5:$AJ$64,MATCH($F252,사건마스터!$A$5:$A$64,0)),""))</f>
        <v/>
      </c>
      <c r="N252" s="35">
        <f>IF($F252="","",IFERROR(INDEX(사건마스터!$AK$5:$AK$64,MATCH($F252,사건마스터!$A$5:$A$64,0)),""))</f>
        <v/>
      </c>
      <c r="O252" s="35">
        <f>IF($F252="","",IFERROR(INDEX(사건마스터!$AL$5:$AL$64,MATCH($F252,사건마스터!$A$5:$A$64,0)),""))</f>
        <v/>
      </c>
      <c r="P252" s="35">
        <f>IF($F252="","",IFERROR(INDEX(사건마스터!$AM$5:$AM$64,MATCH($F252,사건마스터!$A$5:$A$64,0)),""))</f>
        <v/>
      </c>
      <c r="Q252" s="35">
        <f>IF($F252="","",IFERROR(INDEX(사건마스터!$AN$5:$AN$64,MATCH($F252,사건마스터!$A$5:$A$64,0)),""))</f>
        <v/>
      </c>
      <c r="R252" s="35">
        <f>IF($F252="","",IFERROR(INDEX(사건마스터!$AO$5:$AO$64,MATCH($F252,사건마스터!$A$5:$A$64,0)),""))</f>
        <v/>
      </c>
      <c r="S252" s="35">
        <f>IF($F252="","",IFERROR(INDEX(사건마스터!$AP$5:$AP$64,MATCH($F252,사건마스터!$A$5:$A$64,0)),""))</f>
        <v/>
      </c>
      <c r="T252" s="35">
        <f>IF($F252="","",IFERROR(INDEX(사건마스터!$AQ$5:$AQ$64,MATCH($F252,사건마스터!$A$5:$A$64,0)),""))</f>
        <v/>
      </c>
      <c r="U252" s="35">
        <f>IF($F252="","",IFERROR(INDEX(사건마스터!$AR$5:$AR$64,MATCH($F252,사건마스터!$A$5:$A$64,0)),""))</f>
        <v/>
      </c>
      <c r="V252" s="35">
        <f>IF($F252="","",IFERROR(INDEX(사건마스터!$AS$5:$AS$64,MATCH($F252,사건마스터!$A$5:$A$64,0)),""))</f>
        <v/>
      </c>
      <c r="W252" s="35">
        <f>IF($F252="","",IFERROR(INDEX(사건마스터!$AT$5:$AT$64,MATCH($F252,사건마스터!$A$5:$A$64,0)),""))</f>
        <v/>
      </c>
      <c r="X252" s="35">
        <f>IF($F252="","",IFERROR(INDEX(사건마스터!$AU$5:$AU$64,MATCH($F252,사건마스터!$A$5:$A$64,0)),""))</f>
        <v/>
      </c>
      <c r="Y252" s="35">
        <f>IF($F252="","",IFERROR(INDEX(사건마스터!$AV$5:$AV$64,MATCH($F252,사건마스터!$A$5:$A$64,0)),""))</f>
        <v/>
      </c>
      <c r="Z252" s="30">
        <f>IF(COUNTBLANK($J252:$Y252)=16,"",16-COUNTBLANK($J252:$Y252))</f>
        <v/>
      </c>
      <c r="AA252" s="33">
        <f>IF($J252="",MID($AX252,3,255),$J252&amp;$AX252)</f>
        <v/>
      </c>
      <c r="AB252" s="34">
        <f>IF($J252="","",IFERROR(INDEX(코드설정!$D$5:$D$24,MATCH($J252,코드설정!$C$5:$C$24,0)),""))</f>
        <v/>
      </c>
      <c r="AC252" s="36" t="n"/>
      <c r="AD252" s="37" t="n"/>
      <c r="AE252" s="38" t="n"/>
      <c r="AF252" s="30">
        <f>IF(OR($B252="",$C252=""),"",$C252-$B252+1)</f>
        <v/>
      </c>
      <c r="AG252" s="32" t="n"/>
      <c r="AH252" s="36" t="n"/>
      <c r="AJ252">
        <f>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  <c r="AX252">
        <f>AW252&amp;IF($Y252="","",", "&amp;$Y252)</f>
        <v/>
      </c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0">
        <f>IF($F253="","",COUNTIF($F$5:$F253,$F253))</f>
        <v/>
      </c>
      <c r="H253" s="33">
        <f>IF($F253="","",IFERROR(INDEX(사건마스터!$B$5:$B$64,MATCH($F253,사건마스터!$A$5:$A$64,0)),""))</f>
        <v/>
      </c>
      <c r="I253" s="34">
        <f>IF($F253="","",IFERROR(INDEX(사건마스터!$C$5:$C$64,MATCH($F253,사건마스터!$A$5:$A$64,0)),""))</f>
        <v/>
      </c>
      <c r="J253" s="35">
        <f>IF($F253="","",IFERROR(INDEX(사건마스터!$H$5:$H$64,MATCH($F253,사건마스터!$A$5:$A$64,0)),""))</f>
        <v/>
      </c>
      <c r="K253" s="35">
        <f>IF($F253="","",IFERROR(INDEX(사건마스터!$AH$5:$AH$64,MATCH($F253,사건마스터!$A$5:$A$64,0)),""))</f>
        <v/>
      </c>
      <c r="L253" s="35">
        <f>IF($F253="","",IFERROR(INDEX(사건마스터!$AI$5:$AI$64,MATCH($F253,사건마스터!$A$5:$A$64,0)),""))</f>
        <v/>
      </c>
      <c r="M253" s="35">
        <f>IF($F253="","",IFERROR(INDEX(사건마스터!$AJ$5:$AJ$64,MATCH($F253,사건마스터!$A$5:$A$64,0)),""))</f>
        <v/>
      </c>
      <c r="N253" s="35">
        <f>IF($F253="","",IFERROR(INDEX(사건마스터!$AK$5:$AK$64,MATCH($F253,사건마스터!$A$5:$A$64,0)),""))</f>
        <v/>
      </c>
      <c r="O253" s="35">
        <f>IF($F253="","",IFERROR(INDEX(사건마스터!$AL$5:$AL$64,MATCH($F253,사건마스터!$A$5:$A$64,0)),""))</f>
        <v/>
      </c>
      <c r="P253" s="35">
        <f>IF($F253="","",IFERROR(INDEX(사건마스터!$AM$5:$AM$64,MATCH($F253,사건마스터!$A$5:$A$64,0)),""))</f>
        <v/>
      </c>
      <c r="Q253" s="35">
        <f>IF($F253="","",IFERROR(INDEX(사건마스터!$AN$5:$AN$64,MATCH($F253,사건마스터!$A$5:$A$64,0)),""))</f>
        <v/>
      </c>
      <c r="R253" s="35">
        <f>IF($F253="","",IFERROR(INDEX(사건마스터!$AO$5:$AO$64,MATCH($F253,사건마스터!$A$5:$A$64,0)),""))</f>
        <v/>
      </c>
      <c r="S253" s="35">
        <f>IF($F253="","",IFERROR(INDEX(사건마스터!$AP$5:$AP$64,MATCH($F253,사건마스터!$A$5:$A$64,0)),""))</f>
        <v/>
      </c>
      <c r="T253" s="35">
        <f>IF($F253="","",IFERROR(INDEX(사건마스터!$AQ$5:$AQ$64,MATCH($F253,사건마스터!$A$5:$A$64,0)),""))</f>
        <v/>
      </c>
      <c r="U253" s="35">
        <f>IF($F253="","",IFERROR(INDEX(사건마스터!$AR$5:$AR$64,MATCH($F253,사건마스터!$A$5:$A$64,0)),""))</f>
        <v/>
      </c>
      <c r="V253" s="35">
        <f>IF($F253="","",IFERROR(INDEX(사건마스터!$AS$5:$AS$64,MATCH($F253,사건마스터!$A$5:$A$64,0)),""))</f>
        <v/>
      </c>
      <c r="W253" s="35">
        <f>IF($F253="","",IFERROR(INDEX(사건마스터!$AT$5:$AT$64,MATCH($F253,사건마스터!$A$5:$A$64,0)),""))</f>
        <v/>
      </c>
      <c r="X253" s="35">
        <f>IF($F253="","",IFERROR(INDEX(사건마스터!$AU$5:$AU$64,MATCH($F253,사건마스터!$A$5:$A$64,0)),""))</f>
        <v/>
      </c>
      <c r="Y253" s="35">
        <f>IF($F253="","",IFERROR(INDEX(사건마스터!$AV$5:$AV$64,MATCH($F253,사건마스터!$A$5:$A$64,0)),""))</f>
        <v/>
      </c>
      <c r="Z253" s="30">
        <f>IF(COUNTBLANK($J253:$Y253)=16,"",16-COUNTBLANK($J253:$Y253))</f>
        <v/>
      </c>
      <c r="AA253" s="33">
        <f>IF($J253="",MID($AX253,3,255),$J253&amp;$AX253)</f>
        <v/>
      </c>
      <c r="AB253" s="34">
        <f>IF($J253="","",IFERROR(INDEX(코드설정!$D$5:$D$24,MATCH($J253,코드설정!$C$5:$C$24,0)),""))</f>
        <v/>
      </c>
      <c r="AC253" s="36" t="n"/>
      <c r="AD253" s="37" t="n"/>
      <c r="AE253" s="38" t="n"/>
      <c r="AF253" s="30">
        <f>IF(OR($B253="",$C253=""),"",$C253-$B253+1)</f>
        <v/>
      </c>
      <c r="AG253" s="32" t="n"/>
      <c r="AH253" s="36" t="n"/>
      <c r="AJ253">
        <f>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  <c r="AX253">
        <f>AW253&amp;IF($Y253="","",", "&amp;$Y253)</f>
        <v/>
      </c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0">
        <f>IF($F254="","",COUNTIF($F$5:$F254,$F254))</f>
        <v/>
      </c>
      <c r="H254" s="33">
        <f>IF($F254="","",IFERROR(INDEX(사건마스터!$B$5:$B$64,MATCH($F254,사건마스터!$A$5:$A$64,0)),""))</f>
        <v/>
      </c>
      <c r="I254" s="34">
        <f>IF($F254="","",IFERROR(INDEX(사건마스터!$C$5:$C$64,MATCH($F254,사건마스터!$A$5:$A$64,0)),""))</f>
        <v/>
      </c>
      <c r="J254" s="35">
        <f>IF($F254="","",IFERROR(INDEX(사건마스터!$H$5:$H$64,MATCH($F254,사건마스터!$A$5:$A$64,0)),""))</f>
        <v/>
      </c>
      <c r="K254" s="35">
        <f>IF($F254="","",IFERROR(INDEX(사건마스터!$AH$5:$AH$64,MATCH($F254,사건마스터!$A$5:$A$64,0)),""))</f>
        <v/>
      </c>
      <c r="L254" s="35">
        <f>IF($F254="","",IFERROR(INDEX(사건마스터!$AI$5:$AI$64,MATCH($F254,사건마스터!$A$5:$A$64,0)),""))</f>
        <v/>
      </c>
      <c r="M254" s="35">
        <f>IF($F254="","",IFERROR(INDEX(사건마스터!$AJ$5:$AJ$64,MATCH($F254,사건마스터!$A$5:$A$64,0)),""))</f>
        <v/>
      </c>
      <c r="N254" s="35">
        <f>IF($F254="","",IFERROR(INDEX(사건마스터!$AK$5:$AK$64,MATCH($F254,사건마스터!$A$5:$A$64,0)),""))</f>
        <v/>
      </c>
      <c r="O254" s="35">
        <f>IF($F254="","",IFERROR(INDEX(사건마스터!$AL$5:$AL$64,MATCH($F254,사건마스터!$A$5:$A$64,0)),""))</f>
        <v/>
      </c>
      <c r="P254" s="35">
        <f>IF($F254="","",IFERROR(INDEX(사건마스터!$AM$5:$AM$64,MATCH($F254,사건마스터!$A$5:$A$64,0)),""))</f>
        <v/>
      </c>
      <c r="Q254" s="35">
        <f>IF($F254="","",IFERROR(INDEX(사건마스터!$AN$5:$AN$64,MATCH($F254,사건마스터!$A$5:$A$64,0)),""))</f>
        <v/>
      </c>
      <c r="R254" s="35">
        <f>IF($F254="","",IFERROR(INDEX(사건마스터!$AO$5:$AO$64,MATCH($F254,사건마스터!$A$5:$A$64,0)),""))</f>
        <v/>
      </c>
      <c r="S254" s="35">
        <f>IF($F254="","",IFERROR(INDEX(사건마스터!$AP$5:$AP$64,MATCH($F254,사건마스터!$A$5:$A$64,0)),""))</f>
        <v/>
      </c>
      <c r="T254" s="35">
        <f>IF($F254="","",IFERROR(INDEX(사건마스터!$AQ$5:$AQ$64,MATCH($F254,사건마스터!$A$5:$A$64,0)),""))</f>
        <v/>
      </c>
      <c r="U254" s="35">
        <f>IF($F254="","",IFERROR(INDEX(사건마스터!$AR$5:$AR$64,MATCH($F254,사건마스터!$A$5:$A$64,0)),""))</f>
        <v/>
      </c>
      <c r="V254" s="35">
        <f>IF($F254="","",IFERROR(INDEX(사건마스터!$AS$5:$AS$64,MATCH($F254,사건마스터!$A$5:$A$64,0)),""))</f>
        <v/>
      </c>
      <c r="W254" s="35">
        <f>IF($F254="","",IFERROR(INDEX(사건마스터!$AT$5:$AT$64,MATCH($F254,사건마스터!$A$5:$A$64,0)),""))</f>
        <v/>
      </c>
      <c r="X254" s="35">
        <f>IF($F254="","",IFERROR(INDEX(사건마스터!$AU$5:$AU$64,MATCH($F254,사건마스터!$A$5:$A$64,0)),""))</f>
        <v/>
      </c>
      <c r="Y254" s="35">
        <f>IF($F254="","",IFERROR(INDEX(사건마스터!$AV$5:$AV$64,MATCH($F254,사건마스터!$A$5:$A$64,0)),""))</f>
        <v/>
      </c>
      <c r="Z254" s="30">
        <f>IF(COUNTBLANK($J254:$Y254)=16,"",16-COUNTBLANK($J254:$Y254))</f>
        <v/>
      </c>
      <c r="AA254" s="33">
        <f>IF($J254="",MID($AX254,3,255),$J254&amp;$AX254)</f>
        <v/>
      </c>
      <c r="AB254" s="34">
        <f>IF($J254="","",IFERROR(INDEX(코드설정!$D$5:$D$24,MATCH($J254,코드설정!$C$5:$C$24,0)),""))</f>
        <v/>
      </c>
      <c r="AC254" s="36" t="n"/>
      <c r="AD254" s="37" t="n"/>
      <c r="AE254" s="38" t="n"/>
      <c r="AF254" s="30">
        <f>IF(OR($B254="",$C254=""),"",$C254-$B254+1)</f>
        <v/>
      </c>
      <c r="AG254" s="32" t="n"/>
      <c r="AH254" s="36" t="n"/>
      <c r="AJ254">
        <f>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  <c r="AX254">
        <f>AW254&amp;IF($Y254="","",", "&amp;$Y254)</f>
        <v/>
      </c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0">
        <f>IF($F255="","",COUNTIF($F$5:$F255,$F255))</f>
        <v/>
      </c>
      <c r="H255" s="33">
        <f>IF($F255="","",IFERROR(INDEX(사건마스터!$B$5:$B$64,MATCH($F255,사건마스터!$A$5:$A$64,0)),""))</f>
        <v/>
      </c>
      <c r="I255" s="34">
        <f>IF($F255="","",IFERROR(INDEX(사건마스터!$C$5:$C$64,MATCH($F255,사건마스터!$A$5:$A$64,0)),""))</f>
        <v/>
      </c>
      <c r="J255" s="35">
        <f>IF($F255="","",IFERROR(INDEX(사건마스터!$H$5:$H$64,MATCH($F255,사건마스터!$A$5:$A$64,0)),""))</f>
        <v/>
      </c>
      <c r="K255" s="35">
        <f>IF($F255="","",IFERROR(INDEX(사건마스터!$AH$5:$AH$64,MATCH($F255,사건마스터!$A$5:$A$64,0)),""))</f>
        <v/>
      </c>
      <c r="L255" s="35">
        <f>IF($F255="","",IFERROR(INDEX(사건마스터!$AI$5:$AI$64,MATCH($F255,사건마스터!$A$5:$A$64,0)),""))</f>
        <v/>
      </c>
      <c r="M255" s="35">
        <f>IF($F255="","",IFERROR(INDEX(사건마스터!$AJ$5:$AJ$64,MATCH($F255,사건마스터!$A$5:$A$64,0)),""))</f>
        <v/>
      </c>
      <c r="N255" s="35">
        <f>IF($F255="","",IFERROR(INDEX(사건마스터!$AK$5:$AK$64,MATCH($F255,사건마스터!$A$5:$A$64,0)),""))</f>
        <v/>
      </c>
      <c r="O255" s="35">
        <f>IF($F255="","",IFERROR(INDEX(사건마스터!$AL$5:$AL$64,MATCH($F255,사건마스터!$A$5:$A$64,0)),""))</f>
        <v/>
      </c>
      <c r="P255" s="35">
        <f>IF($F255="","",IFERROR(INDEX(사건마스터!$AM$5:$AM$64,MATCH($F255,사건마스터!$A$5:$A$64,0)),""))</f>
        <v/>
      </c>
      <c r="Q255" s="35">
        <f>IF($F255="","",IFERROR(INDEX(사건마스터!$AN$5:$AN$64,MATCH($F255,사건마스터!$A$5:$A$64,0)),""))</f>
        <v/>
      </c>
      <c r="R255" s="35">
        <f>IF($F255="","",IFERROR(INDEX(사건마스터!$AO$5:$AO$64,MATCH($F255,사건마스터!$A$5:$A$64,0)),""))</f>
        <v/>
      </c>
      <c r="S255" s="35">
        <f>IF($F255="","",IFERROR(INDEX(사건마스터!$AP$5:$AP$64,MATCH($F255,사건마스터!$A$5:$A$64,0)),""))</f>
        <v/>
      </c>
      <c r="T255" s="35">
        <f>IF($F255="","",IFERROR(INDEX(사건마스터!$AQ$5:$AQ$64,MATCH($F255,사건마스터!$A$5:$A$64,0)),""))</f>
        <v/>
      </c>
      <c r="U255" s="35">
        <f>IF($F255="","",IFERROR(INDEX(사건마스터!$AR$5:$AR$64,MATCH($F255,사건마스터!$A$5:$A$64,0)),""))</f>
        <v/>
      </c>
      <c r="V255" s="35">
        <f>IF($F255="","",IFERROR(INDEX(사건마스터!$AS$5:$AS$64,MATCH($F255,사건마스터!$A$5:$A$64,0)),""))</f>
        <v/>
      </c>
      <c r="W255" s="35">
        <f>IF($F255="","",IFERROR(INDEX(사건마스터!$AT$5:$AT$64,MATCH($F255,사건마스터!$A$5:$A$64,0)),""))</f>
        <v/>
      </c>
      <c r="X255" s="35">
        <f>IF($F255="","",IFERROR(INDEX(사건마스터!$AU$5:$AU$64,MATCH($F255,사건마스터!$A$5:$A$64,0)),""))</f>
        <v/>
      </c>
      <c r="Y255" s="35">
        <f>IF($F255="","",IFERROR(INDEX(사건마스터!$AV$5:$AV$64,MATCH($F255,사건마스터!$A$5:$A$64,0)),""))</f>
        <v/>
      </c>
      <c r="Z255" s="30">
        <f>IF(COUNTBLANK($J255:$Y255)=16,"",16-COUNTBLANK($J255:$Y255))</f>
        <v/>
      </c>
      <c r="AA255" s="33">
        <f>IF($J255="",MID($AX255,3,255),$J255&amp;$AX255)</f>
        <v/>
      </c>
      <c r="AB255" s="34">
        <f>IF($J255="","",IFERROR(INDEX(코드설정!$D$5:$D$24,MATCH($J255,코드설정!$C$5:$C$24,0)),""))</f>
        <v/>
      </c>
      <c r="AC255" s="36" t="n"/>
      <c r="AD255" s="37" t="n"/>
      <c r="AE255" s="38" t="n"/>
      <c r="AF255" s="30">
        <f>IF(OR($B255="",$C255=""),"",$C255-$B255+1)</f>
        <v/>
      </c>
      <c r="AG255" s="32" t="n"/>
      <c r="AH255" s="36" t="n"/>
      <c r="AJ255">
        <f>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  <c r="AX255">
        <f>AW255&amp;IF($Y255="","",", "&amp;$Y255)</f>
        <v/>
      </c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0">
        <f>IF($F256="","",COUNTIF($F$5:$F256,$F256))</f>
        <v/>
      </c>
      <c r="H256" s="33">
        <f>IF($F256="","",IFERROR(INDEX(사건마스터!$B$5:$B$64,MATCH($F256,사건마스터!$A$5:$A$64,0)),""))</f>
        <v/>
      </c>
      <c r="I256" s="34">
        <f>IF($F256="","",IFERROR(INDEX(사건마스터!$C$5:$C$64,MATCH($F256,사건마스터!$A$5:$A$64,0)),""))</f>
        <v/>
      </c>
      <c r="J256" s="35">
        <f>IF($F256="","",IFERROR(INDEX(사건마스터!$H$5:$H$64,MATCH($F256,사건마스터!$A$5:$A$64,0)),""))</f>
        <v/>
      </c>
      <c r="K256" s="35">
        <f>IF($F256="","",IFERROR(INDEX(사건마스터!$AH$5:$AH$64,MATCH($F256,사건마스터!$A$5:$A$64,0)),""))</f>
        <v/>
      </c>
      <c r="L256" s="35">
        <f>IF($F256="","",IFERROR(INDEX(사건마스터!$AI$5:$AI$64,MATCH($F256,사건마스터!$A$5:$A$64,0)),""))</f>
        <v/>
      </c>
      <c r="M256" s="35">
        <f>IF($F256="","",IFERROR(INDEX(사건마스터!$AJ$5:$AJ$64,MATCH($F256,사건마스터!$A$5:$A$64,0)),""))</f>
        <v/>
      </c>
      <c r="N256" s="35">
        <f>IF($F256="","",IFERROR(INDEX(사건마스터!$AK$5:$AK$64,MATCH($F256,사건마스터!$A$5:$A$64,0)),""))</f>
        <v/>
      </c>
      <c r="O256" s="35">
        <f>IF($F256="","",IFERROR(INDEX(사건마스터!$AL$5:$AL$64,MATCH($F256,사건마스터!$A$5:$A$64,0)),""))</f>
        <v/>
      </c>
      <c r="P256" s="35">
        <f>IF($F256="","",IFERROR(INDEX(사건마스터!$AM$5:$AM$64,MATCH($F256,사건마스터!$A$5:$A$64,0)),""))</f>
        <v/>
      </c>
      <c r="Q256" s="35">
        <f>IF($F256="","",IFERROR(INDEX(사건마스터!$AN$5:$AN$64,MATCH($F256,사건마스터!$A$5:$A$64,0)),""))</f>
        <v/>
      </c>
      <c r="R256" s="35">
        <f>IF($F256="","",IFERROR(INDEX(사건마스터!$AO$5:$AO$64,MATCH($F256,사건마스터!$A$5:$A$64,0)),""))</f>
        <v/>
      </c>
      <c r="S256" s="35">
        <f>IF($F256="","",IFERROR(INDEX(사건마스터!$AP$5:$AP$64,MATCH($F256,사건마스터!$A$5:$A$64,0)),""))</f>
        <v/>
      </c>
      <c r="T256" s="35">
        <f>IF($F256="","",IFERROR(INDEX(사건마스터!$AQ$5:$AQ$64,MATCH($F256,사건마스터!$A$5:$A$64,0)),""))</f>
        <v/>
      </c>
      <c r="U256" s="35">
        <f>IF($F256="","",IFERROR(INDEX(사건마스터!$AR$5:$AR$64,MATCH($F256,사건마스터!$A$5:$A$64,0)),""))</f>
        <v/>
      </c>
      <c r="V256" s="35">
        <f>IF($F256="","",IFERROR(INDEX(사건마스터!$AS$5:$AS$64,MATCH($F256,사건마스터!$A$5:$A$64,0)),""))</f>
        <v/>
      </c>
      <c r="W256" s="35">
        <f>IF($F256="","",IFERROR(INDEX(사건마스터!$AT$5:$AT$64,MATCH($F256,사건마스터!$A$5:$A$64,0)),""))</f>
        <v/>
      </c>
      <c r="X256" s="35">
        <f>IF($F256="","",IFERROR(INDEX(사건마스터!$AU$5:$AU$64,MATCH($F256,사건마스터!$A$5:$A$64,0)),""))</f>
        <v/>
      </c>
      <c r="Y256" s="35">
        <f>IF($F256="","",IFERROR(INDEX(사건마스터!$AV$5:$AV$64,MATCH($F256,사건마스터!$A$5:$A$64,0)),""))</f>
        <v/>
      </c>
      <c r="Z256" s="30">
        <f>IF(COUNTBLANK($J256:$Y256)=16,"",16-COUNTBLANK($J256:$Y256))</f>
        <v/>
      </c>
      <c r="AA256" s="33">
        <f>IF($J256="",MID($AX256,3,255),$J256&amp;$AX256)</f>
        <v/>
      </c>
      <c r="AB256" s="34">
        <f>IF($J256="","",IFERROR(INDEX(코드설정!$D$5:$D$24,MATCH($J256,코드설정!$C$5:$C$24,0)),""))</f>
        <v/>
      </c>
      <c r="AC256" s="36" t="n"/>
      <c r="AD256" s="37" t="n"/>
      <c r="AE256" s="38" t="n"/>
      <c r="AF256" s="30">
        <f>IF(OR($B256="",$C256=""),"",$C256-$B256+1)</f>
        <v/>
      </c>
      <c r="AG256" s="32" t="n"/>
      <c r="AH256" s="36" t="n"/>
      <c r="AJ256">
        <f>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  <c r="AX256">
        <f>AW256&amp;IF($Y256="","",", "&amp;$Y256)</f>
        <v/>
      </c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0">
        <f>IF($F257="","",COUNTIF($F$5:$F257,$F257))</f>
        <v/>
      </c>
      <c r="H257" s="33">
        <f>IF($F257="","",IFERROR(INDEX(사건마스터!$B$5:$B$64,MATCH($F257,사건마스터!$A$5:$A$64,0)),""))</f>
        <v/>
      </c>
      <c r="I257" s="34">
        <f>IF($F257="","",IFERROR(INDEX(사건마스터!$C$5:$C$64,MATCH($F257,사건마스터!$A$5:$A$64,0)),""))</f>
        <v/>
      </c>
      <c r="J257" s="35">
        <f>IF($F257="","",IFERROR(INDEX(사건마스터!$H$5:$H$64,MATCH($F257,사건마스터!$A$5:$A$64,0)),""))</f>
        <v/>
      </c>
      <c r="K257" s="35">
        <f>IF($F257="","",IFERROR(INDEX(사건마스터!$AH$5:$AH$64,MATCH($F257,사건마스터!$A$5:$A$64,0)),""))</f>
        <v/>
      </c>
      <c r="L257" s="35">
        <f>IF($F257="","",IFERROR(INDEX(사건마스터!$AI$5:$AI$64,MATCH($F257,사건마스터!$A$5:$A$64,0)),""))</f>
        <v/>
      </c>
      <c r="M257" s="35">
        <f>IF($F257="","",IFERROR(INDEX(사건마스터!$AJ$5:$AJ$64,MATCH($F257,사건마스터!$A$5:$A$64,0)),""))</f>
        <v/>
      </c>
      <c r="N257" s="35">
        <f>IF($F257="","",IFERROR(INDEX(사건마스터!$AK$5:$AK$64,MATCH($F257,사건마스터!$A$5:$A$64,0)),""))</f>
        <v/>
      </c>
      <c r="O257" s="35">
        <f>IF($F257="","",IFERROR(INDEX(사건마스터!$AL$5:$AL$64,MATCH($F257,사건마스터!$A$5:$A$64,0)),""))</f>
        <v/>
      </c>
      <c r="P257" s="35">
        <f>IF($F257="","",IFERROR(INDEX(사건마스터!$AM$5:$AM$64,MATCH($F257,사건마스터!$A$5:$A$64,0)),""))</f>
        <v/>
      </c>
      <c r="Q257" s="35">
        <f>IF($F257="","",IFERROR(INDEX(사건마스터!$AN$5:$AN$64,MATCH($F257,사건마스터!$A$5:$A$64,0)),""))</f>
        <v/>
      </c>
      <c r="R257" s="35">
        <f>IF($F257="","",IFERROR(INDEX(사건마스터!$AO$5:$AO$64,MATCH($F257,사건마스터!$A$5:$A$64,0)),""))</f>
        <v/>
      </c>
      <c r="S257" s="35">
        <f>IF($F257="","",IFERROR(INDEX(사건마스터!$AP$5:$AP$64,MATCH($F257,사건마스터!$A$5:$A$64,0)),""))</f>
        <v/>
      </c>
      <c r="T257" s="35">
        <f>IF($F257="","",IFERROR(INDEX(사건마스터!$AQ$5:$AQ$64,MATCH($F257,사건마스터!$A$5:$A$64,0)),""))</f>
        <v/>
      </c>
      <c r="U257" s="35">
        <f>IF($F257="","",IFERROR(INDEX(사건마스터!$AR$5:$AR$64,MATCH($F257,사건마스터!$A$5:$A$64,0)),""))</f>
        <v/>
      </c>
      <c r="V257" s="35">
        <f>IF($F257="","",IFERROR(INDEX(사건마스터!$AS$5:$AS$64,MATCH($F257,사건마스터!$A$5:$A$64,0)),""))</f>
        <v/>
      </c>
      <c r="W257" s="35">
        <f>IF($F257="","",IFERROR(INDEX(사건마스터!$AT$5:$AT$64,MATCH($F257,사건마스터!$A$5:$A$64,0)),""))</f>
        <v/>
      </c>
      <c r="X257" s="35">
        <f>IF($F257="","",IFERROR(INDEX(사건마스터!$AU$5:$AU$64,MATCH($F257,사건마스터!$A$5:$A$64,0)),""))</f>
        <v/>
      </c>
      <c r="Y257" s="35">
        <f>IF($F257="","",IFERROR(INDEX(사건마스터!$AV$5:$AV$64,MATCH($F257,사건마스터!$A$5:$A$64,0)),""))</f>
        <v/>
      </c>
      <c r="Z257" s="30">
        <f>IF(COUNTBLANK($J257:$Y257)=16,"",16-COUNTBLANK($J257:$Y257))</f>
        <v/>
      </c>
      <c r="AA257" s="33">
        <f>IF($J257="",MID($AX257,3,255),$J257&amp;$AX257)</f>
        <v/>
      </c>
      <c r="AB257" s="34">
        <f>IF($J257="","",IFERROR(INDEX(코드설정!$D$5:$D$24,MATCH($J257,코드설정!$C$5:$C$24,0)),""))</f>
        <v/>
      </c>
      <c r="AC257" s="36" t="n"/>
      <c r="AD257" s="37" t="n"/>
      <c r="AE257" s="38" t="n"/>
      <c r="AF257" s="30">
        <f>IF(OR($B257="",$C257=""),"",$C257-$B257+1)</f>
        <v/>
      </c>
      <c r="AG257" s="32" t="n"/>
      <c r="AH257" s="36" t="n"/>
      <c r="AJ257">
        <f>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  <c r="AX257">
        <f>AW257&amp;IF($Y257="","",", "&amp;$Y257)</f>
        <v/>
      </c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0">
        <f>IF($F258="","",COUNTIF($F$5:$F258,$F258))</f>
        <v/>
      </c>
      <c r="H258" s="33">
        <f>IF($F258="","",IFERROR(INDEX(사건마스터!$B$5:$B$64,MATCH($F258,사건마스터!$A$5:$A$64,0)),""))</f>
        <v/>
      </c>
      <c r="I258" s="34">
        <f>IF($F258="","",IFERROR(INDEX(사건마스터!$C$5:$C$64,MATCH($F258,사건마스터!$A$5:$A$64,0)),""))</f>
        <v/>
      </c>
      <c r="J258" s="35">
        <f>IF($F258="","",IFERROR(INDEX(사건마스터!$H$5:$H$64,MATCH($F258,사건마스터!$A$5:$A$64,0)),""))</f>
        <v/>
      </c>
      <c r="K258" s="35">
        <f>IF($F258="","",IFERROR(INDEX(사건마스터!$AH$5:$AH$64,MATCH($F258,사건마스터!$A$5:$A$64,0)),""))</f>
        <v/>
      </c>
      <c r="L258" s="35">
        <f>IF($F258="","",IFERROR(INDEX(사건마스터!$AI$5:$AI$64,MATCH($F258,사건마스터!$A$5:$A$64,0)),""))</f>
        <v/>
      </c>
      <c r="M258" s="35">
        <f>IF($F258="","",IFERROR(INDEX(사건마스터!$AJ$5:$AJ$64,MATCH($F258,사건마스터!$A$5:$A$64,0)),""))</f>
        <v/>
      </c>
      <c r="N258" s="35">
        <f>IF($F258="","",IFERROR(INDEX(사건마스터!$AK$5:$AK$64,MATCH($F258,사건마스터!$A$5:$A$64,0)),""))</f>
        <v/>
      </c>
      <c r="O258" s="35">
        <f>IF($F258="","",IFERROR(INDEX(사건마스터!$AL$5:$AL$64,MATCH($F258,사건마스터!$A$5:$A$64,0)),""))</f>
        <v/>
      </c>
      <c r="P258" s="35">
        <f>IF($F258="","",IFERROR(INDEX(사건마스터!$AM$5:$AM$64,MATCH($F258,사건마스터!$A$5:$A$64,0)),""))</f>
        <v/>
      </c>
      <c r="Q258" s="35">
        <f>IF($F258="","",IFERROR(INDEX(사건마스터!$AN$5:$AN$64,MATCH($F258,사건마스터!$A$5:$A$64,0)),""))</f>
        <v/>
      </c>
      <c r="R258" s="35">
        <f>IF($F258="","",IFERROR(INDEX(사건마스터!$AO$5:$AO$64,MATCH($F258,사건마스터!$A$5:$A$64,0)),""))</f>
        <v/>
      </c>
      <c r="S258" s="35">
        <f>IF($F258="","",IFERROR(INDEX(사건마스터!$AP$5:$AP$64,MATCH($F258,사건마스터!$A$5:$A$64,0)),""))</f>
        <v/>
      </c>
      <c r="T258" s="35">
        <f>IF($F258="","",IFERROR(INDEX(사건마스터!$AQ$5:$AQ$64,MATCH($F258,사건마스터!$A$5:$A$64,0)),""))</f>
        <v/>
      </c>
      <c r="U258" s="35">
        <f>IF($F258="","",IFERROR(INDEX(사건마스터!$AR$5:$AR$64,MATCH($F258,사건마스터!$A$5:$A$64,0)),""))</f>
        <v/>
      </c>
      <c r="V258" s="35">
        <f>IF($F258="","",IFERROR(INDEX(사건마스터!$AS$5:$AS$64,MATCH($F258,사건마스터!$A$5:$A$64,0)),""))</f>
        <v/>
      </c>
      <c r="W258" s="35">
        <f>IF($F258="","",IFERROR(INDEX(사건마스터!$AT$5:$AT$64,MATCH($F258,사건마스터!$A$5:$A$64,0)),""))</f>
        <v/>
      </c>
      <c r="X258" s="35">
        <f>IF($F258="","",IFERROR(INDEX(사건마스터!$AU$5:$AU$64,MATCH($F258,사건마스터!$A$5:$A$64,0)),""))</f>
        <v/>
      </c>
      <c r="Y258" s="35">
        <f>IF($F258="","",IFERROR(INDEX(사건마스터!$AV$5:$AV$64,MATCH($F258,사건마스터!$A$5:$A$64,0)),""))</f>
        <v/>
      </c>
      <c r="Z258" s="30">
        <f>IF(COUNTBLANK($J258:$Y258)=16,"",16-COUNTBLANK($J258:$Y258))</f>
        <v/>
      </c>
      <c r="AA258" s="33">
        <f>IF($J258="",MID($AX258,3,255),$J258&amp;$AX258)</f>
        <v/>
      </c>
      <c r="AB258" s="34">
        <f>IF($J258="","",IFERROR(INDEX(코드설정!$D$5:$D$24,MATCH($J258,코드설정!$C$5:$C$24,0)),""))</f>
        <v/>
      </c>
      <c r="AC258" s="36" t="n"/>
      <c r="AD258" s="37" t="n"/>
      <c r="AE258" s="38" t="n"/>
      <c r="AF258" s="30">
        <f>IF(OR($B258="",$C258=""),"",$C258-$B258+1)</f>
        <v/>
      </c>
      <c r="AG258" s="32" t="n"/>
      <c r="AH258" s="36" t="n"/>
      <c r="AJ258">
        <f>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  <c r="AX258">
        <f>AW258&amp;IF($Y258="","",", "&amp;$Y258)</f>
        <v/>
      </c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0">
        <f>IF($F259="","",COUNTIF($F$5:$F259,$F259))</f>
        <v/>
      </c>
      <c r="H259" s="33">
        <f>IF($F259="","",IFERROR(INDEX(사건마스터!$B$5:$B$64,MATCH($F259,사건마스터!$A$5:$A$64,0)),""))</f>
        <v/>
      </c>
      <c r="I259" s="34">
        <f>IF($F259="","",IFERROR(INDEX(사건마스터!$C$5:$C$64,MATCH($F259,사건마스터!$A$5:$A$64,0)),""))</f>
        <v/>
      </c>
      <c r="J259" s="35">
        <f>IF($F259="","",IFERROR(INDEX(사건마스터!$H$5:$H$64,MATCH($F259,사건마스터!$A$5:$A$64,0)),""))</f>
        <v/>
      </c>
      <c r="K259" s="35">
        <f>IF($F259="","",IFERROR(INDEX(사건마스터!$AH$5:$AH$64,MATCH($F259,사건마스터!$A$5:$A$64,0)),""))</f>
        <v/>
      </c>
      <c r="L259" s="35">
        <f>IF($F259="","",IFERROR(INDEX(사건마스터!$AI$5:$AI$64,MATCH($F259,사건마스터!$A$5:$A$64,0)),""))</f>
        <v/>
      </c>
      <c r="M259" s="35">
        <f>IF($F259="","",IFERROR(INDEX(사건마스터!$AJ$5:$AJ$64,MATCH($F259,사건마스터!$A$5:$A$64,0)),""))</f>
        <v/>
      </c>
      <c r="N259" s="35">
        <f>IF($F259="","",IFERROR(INDEX(사건마스터!$AK$5:$AK$64,MATCH($F259,사건마스터!$A$5:$A$64,0)),""))</f>
        <v/>
      </c>
      <c r="O259" s="35">
        <f>IF($F259="","",IFERROR(INDEX(사건마스터!$AL$5:$AL$64,MATCH($F259,사건마스터!$A$5:$A$64,0)),""))</f>
        <v/>
      </c>
      <c r="P259" s="35">
        <f>IF($F259="","",IFERROR(INDEX(사건마스터!$AM$5:$AM$64,MATCH($F259,사건마스터!$A$5:$A$64,0)),""))</f>
        <v/>
      </c>
      <c r="Q259" s="35">
        <f>IF($F259="","",IFERROR(INDEX(사건마스터!$AN$5:$AN$64,MATCH($F259,사건마스터!$A$5:$A$64,0)),""))</f>
        <v/>
      </c>
      <c r="R259" s="35">
        <f>IF($F259="","",IFERROR(INDEX(사건마스터!$AO$5:$AO$64,MATCH($F259,사건마스터!$A$5:$A$64,0)),""))</f>
        <v/>
      </c>
      <c r="S259" s="35">
        <f>IF($F259="","",IFERROR(INDEX(사건마스터!$AP$5:$AP$64,MATCH($F259,사건마스터!$A$5:$A$64,0)),""))</f>
        <v/>
      </c>
      <c r="T259" s="35">
        <f>IF($F259="","",IFERROR(INDEX(사건마스터!$AQ$5:$AQ$64,MATCH($F259,사건마스터!$A$5:$A$64,0)),""))</f>
        <v/>
      </c>
      <c r="U259" s="35">
        <f>IF($F259="","",IFERROR(INDEX(사건마스터!$AR$5:$AR$64,MATCH($F259,사건마스터!$A$5:$A$64,0)),""))</f>
        <v/>
      </c>
      <c r="V259" s="35">
        <f>IF($F259="","",IFERROR(INDEX(사건마스터!$AS$5:$AS$64,MATCH($F259,사건마스터!$A$5:$A$64,0)),""))</f>
        <v/>
      </c>
      <c r="W259" s="35">
        <f>IF($F259="","",IFERROR(INDEX(사건마스터!$AT$5:$AT$64,MATCH($F259,사건마스터!$A$5:$A$64,0)),""))</f>
        <v/>
      </c>
      <c r="X259" s="35">
        <f>IF($F259="","",IFERROR(INDEX(사건마스터!$AU$5:$AU$64,MATCH($F259,사건마스터!$A$5:$A$64,0)),""))</f>
        <v/>
      </c>
      <c r="Y259" s="35">
        <f>IF($F259="","",IFERROR(INDEX(사건마스터!$AV$5:$AV$64,MATCH($F259,사건마스터!$A$5:$A$64,0)),""))</f>
        <v/>
      </c>
      <c r="Z259" s="30">
        <f>IF(COUNTBLANK($J259:$Y259)=16,"",16-COUNTBLANK($J259:$Y259))</f>
        <v/>
      </c>
      <c r="AA259" s="33">
        <f>IF($J259="",MID($AX259,3,255),$J259&amp;$AX259)</f>
        <v/>
      </c>
      <c r="AB259" s="34">
        <f>IF($J259="","",IFERROR(INDEX(코드설정!$D$5:$D$24,MATCH($J259,코드설정!$C$5:$C$24,0)),""))</f>
        <v/>
      </c>
      <c r="AC259" s="36" t="n"/>
      <c r="AD259" s="37" t="n"/>
      <c r="AE259" s="38" t="n"/>
      <c r="AF259" s="30">
        <f>IF(OR($B259="",$C259=""),"",$C259-$B259+1)</f>
        <v/>
      </c>
      <c r="AG259" s="32" t="n"/>
      <c r="AH259" s="36" t="n"/>
      <c r="AJ259">
        <f>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  <c r="AX259">
        <f>AW259&amp;IF($Y259="","",", "&amp;$Y259)</f>
        <v/>
      </c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0">
        <f>IF($F260="","",COUNTIF($F$5:$F260,$F260))</f>
        <v/>
      </c>
      <c r="H260" s="33">
        <f>IF($F260="","",IFERROR(INDEX(사건마스터!$B$5:$B$64,MATCH($F260,사건마스터!$A$5:$A$64,0)),""))</f>
        <v/>
      </c>
      <c r="I260" s="34">
        <f>IF($F260="","",IFERROR(INDEX(사건마스터!$C$5:$C$64,MATCH($F260,사건마스터!$A$5:$A$64,0)),""))</f>
        <v/>
      </c>
      <c r="J260" s="35">
        <f>IF($F260="","",IFERROR(INDEX(사건마스터!$H$5:$H$64,MATCH($F260,사건마스터!$A$5:$A$64,0)),""))</f>
        <v/>
      </c>
      <c r="K260" s="35">
        <f>IF($F260="","",IFERROR(INDEX(사건마스터!$AH$5:$AH$64,MATCH($F260,사건마스터!$A$5:$A$64,0)),""))</f>
        <v/>
      </c>
      <c r="L260" s="35">
        <f>IF($F260="","",IFERROR(INDEX(사건마스터!$AI$5:$AI$64,MATCH($F260,사건마스터!$A$5:$A$64,0)),""))</f>
        <v/>
      </c>
      <c r="M260" s="35">
        <f>IF($F260="","",IFERROR(INDEX(사건마스터!$AJ$5:$AJ$64,MATCH($F260,사건마스터!$A$5:$A$64,0)),""))</f>
        <v/>
      </c>
      <c r="N260" s="35">
        <f>IF($F260="","",IFERROR(INDEX(사건마스터!$AK$5:$AK$64,MATCH($F260,사건마스터!$A$5:$A$64,0)),""))</f>
        <v/>
      </c>
      <c r="O260" s="35">
        <f>IF($F260="","",IFERROR(INDEX(사건마스터!$AL$5:$AL$64,MATCH($F260,사건마스터!$A$5:$A$64,0)),""))</f>
        <v/>
      </c>
      <c r="P260" s="35">
        <f>IF($F260="","",IFERROR(INDEX(사건마스터!$AM$5:$AM$64,MATCH($F260,사건마스터!$A$5:$A$64,0)),""))</f>
        <v/>
      </c>
      <c r="Q260" s="35">
        <f>IF($F260="","",IFERROR(INDEX(사건마스터!$AN$5:$AN$64,MATCH($F260,사건마스터!$A$5:$A$64,0)),""))</f>
        <v/>
      </c>
      <c r="R260" s="35">
        <f>IF($F260="","",IFERROR(INDEX(사건마스터!$AO$5:$AO$64,MATCH($F260,사건마스터!$A$5:$A$64,0)),""))</f>
        <v/>
      </c>
      <c r="S260" s="35">
        <f>IF($F260="","",IFERROR(INDEX(사건마스터!$AP$5:$AP$64,MATCH($F260,사건마스터!$A$5:$A$64,0)),""))</f>
        <v/>
      </c>
      <c r="T260" s="35">
        <f>IF($F260="","",IFERROR(INDEX(사건마스터!$AQ$5:$AQ$64,MATCH($F260,사건마스터!$A$5:$A$64,0)),""))</f>
        <v/>
      </c>
      <c r="U260" s="35">
        <f>IF($F260="","",IFERROR(INDEX(사건마스터!$AR$5:$AR$64,MATCH($F260,사건마스터!$A$5:$A$64,0)),""))</f>
        <v/>
      </c>
      <c r="V260" s="35">
        <f>IF($F260="","",IFERROR(INDEX(사건마스터!$AS$5:$AS$64,MATCH($F260,사건마스터!$A$5:$A$64,0)),""))</f>
        <v/>
      </c>
      <c r="W260" s="35">
        <f>IF($F260="","",IFERROR(INDEX(사건마스터!$AT$5:$AT$64,MATCH($F260,사건마스터!$A$5:$A$64,0)),""))</f>
        <v/>
      </c>
      <c r="X260" s="35">
        <f>IF($F260="","",IFERROR(INDEX(사건마스터!$AU$5:$AU$64,MATCH($F260,사건마스터!$A$5:$A$64,0)),""))</f>
        <v/>
      </c>
      <c r="Y260" s="35">
        <f>IF($F260="","",IFERROR(INDEX(사건마스터!$AV$5:$AV$64,MATCH($F260,사건마스터!$A$5:$A$64,0)),""))</f>
        <v/>
      </c>
      <c r="Z260" s="30">
        <f>IF(COUNTBLANK($J260:$Y260)=16,"",16-COUNTBLANK($J260:$Y260))</f>
        <v/>
      </c>
      <c r="AA260" s="33">
        <f>IF($J260="",MID($AX260,3,255),$J260&amp;$AX260)</f>
        <v/>
      </c>
      <c r="AB260" s="34">
        <f>IF($J260="","",IFERROR(INDEX(코드설정!$D$5:$D$24,MATCH($J260,코드설정!$C$5:$C$24,0)),""))</f>
        <v/>
      </c>
      <c r="AC260" s="36" t="n"/>
      <c r="AD260" s="37" t="n"/>
      <c r="AE260" s="38" t="n"/>
      <c r="AF260" s="30">
        <f>IF(OR($B260="",$C260=""),"",$C260-$B260+1)</f>
        <v/>
      </c>
      <c r="AG260" s="32" t="n"/>
      <c r="AH260" s="36" t="n"/>
      <c r="AJ260">
        <f>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  <c r="AX260">
        <f>AW260&amp;IF($Y260="","",", "&amp;$Y260)</f>
        <v/>
      </c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0">
        <f>IF($F261="","",COUNTIF($F$5:$F261,$F261))</f>
        <v/>
      </c>
      <c r="H261" s="33">
        <f>IF($F261="","",IFERROR(INDEX(사건마스터!$B$5:$B$64,MATCH($F261,사건마스터!$A$5:$A$64,0)),""))</f>
        <v/>
      </c>
      <c r="I261" s="34">
        <f>IF($F261="","",IFERROR(INDEX(사건마스터!$C$5:$C$64,MATCH($F261,사건마스터!$A$5:$A$64,0)),""))</f>
        <v/>
      </c>
      <c r="J261" s="35">
        <f>IF($F261="","",IFERROR(INDEX(사건마스터!$H$5:$H$64,MATCH($F261,사건마스터!$A$5:$A$64,0)),""))</f>
        <v/>
      </c>
      <c r="K261" s="35">
        <f>IF($F261="","",IFERROR(INDEX(사건마스터!$AH$5:$AH$64,MATCH($F261,사건마스터!$A$5:$A$64,0)),""))</f>
        <v/>
      </c>
      <c r="L261" s="35">
        <f>IF($F261="","",IFERROR(INDEX(사건마스터!$AI$5:$AI$64,MATCH($F261,사건마스터!$A$5:$A$64,0)),""))</f>
        <v/>
      </c>
      <c r="M261" s="35">
        <f>IF($F261="","",IFERROR(INDEX(사건마스터!$AJ$5:$AJ$64,MATCH($F261,사건마스터!$A$5:$A$64,0)),""))</f>
        <v/>
      </c>
      <c r="N261" s="35">
        <f>IF($F261="","",IFERROR(INDEX(사건마스터!$AK$5:$AK$64,MATCH($F261,사건마스터!$A$5:$A$64,0)),""))</f>
        <v/>
      </c>
      <c r="O261" s="35">
        <f>IF($F261="","",IFERROR(INDEX(사건마스터!$AL$5:$AL$64,MATCH($F261,사건마스터!$A$5:$A$64,0)),""))</f>
        <v/>
      </c>
      <c r="P261" s="35">
        <f>IF($F261="","",IFERROR(INDEX(사건마스터!$AM$5:$AM$64,MATCH($F261,사건마스터!$A$5:$A$64,0)),""))</f>
        <v/>
      </c>
      <c r="Q261" s="35">
        <f>IF($F261="","",IFERROR(INDEX(사건마스터!$AN$5:$AN$64,MATCH($F261,사건마스터!$A$5:$A$64,0)),""))</f>
        <v/>
      </c>
      <c r="R261" s="35">
        <f>IF($F261="","",IFERROR(INDEX(사건마스터!$AO$5:$AO$64,MATCH($F261,사건마스터!$A$5:$A$64,0)),""))</f>
        <v/>
      </c>
      <c r="S261" s="35">
        <f>IF($F261="","",IFERROR(INDEX(사건마스터!$AP$5:$AP$64,MATCH($F261,사건마스터!$A$5:$A$64,0)),""))</f>
        <v/>
      </c>
      <c r="T261" s="35">
        <f>IF($F261="","",IFERROR(INDEX(사건마스터!$AQ$5:$AQ$64,MATCH($F261,사건마스터!$A$5:$A$64,0)),""))</f>
        <v/>
      </c>
      <c r="U261" s="35">
        <f>IF($F261="","",IFERROR(INDEX(사건마스터!$AR$5:$AR$64,MATCH($F261,사건마스터!$A$5:$A$64,0)),""))</f>
        <v/>
      </c>
      <c r="V261" s="35">
        <f>IF($F261="","",IFERROR(INDEX(사건마스터!$AS$5:$AS$64,MATCH($F261,사건마스터!$A$5:$A$64,0)),""))</f>
        <v/>
      </c>
      <c r="W261" s="35">
        <f>IF($F261="","",IFERROR(INDEX(사건마스터!$AT$5:$AT$64,MATCH($F261,사건마스터!$A$5:$A$64,0)),""))</f>
        <v/>
      </c>
      <c r="X261" s="35">
        <f>IF($F261="","",IFERROR(INDEX(사건마스터!$AU$5:$AU$64,MATCH($F261,사건마스터!$A$5:$A$64,0)),""))</f>
        <v/>
      </c>
      <c r="Y261" s="35">
        <f>IF($F261="","",IFERROR(INDEX(사건마스터!$AV$5:$AV$64,MATCH($F261,사건마스터!$A$5:$A$64,0)),""))</f>
        <v/>
      </c>
      <c r="Z261" s="30">
        <f>IF(COUNTBLANK($J261:$Y261)=16,"",16-COUNTBLANK($J261:$Y261))</f>
        <v/>
      </c>
      <c r="AA261" s="33">
        <f>IF($J261="",MID($AX261,3,255),$J261&amp;$AX261)</f>
        <v/>
      </c>
      <c r="AB261" s="34">
        <f>IF($J261="","",IFERROR(INDEX(코드설정!$D$5:$D$24,MATCH($J261,코드설정!$C$5:$C$24,0)),""))</f>
        <v/>
      </c>
      <c r="AC261" s="36" t="n"/>
      <c r="AD261" s="37" t="n"/>
      <c r="AE261" s="38" t="n"/>
      <c r="AF261" s="30">
        <f>IF(OR($B261="",$C261=""),"",$C261-$B261+1)</f>
        <v/>
      </c>
      <c r="AG261" s="32" t="n"/>
      <c r="AH261" s="36" t="n"/>
      <c r="AJ261">
        <f>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  <c r="AX261">
        <f>AW261&amp;IF($Y261="","",", "&amp;$Y261)</f>
        <v/>
      </c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0">
        <f>IF($F262="","",COUNTIF($F$5:$F262,$F262))</f>
        <v/>
      </c>
      <c r="H262" s="33">
        <f>IF($F262="","",IFERROR(INDEX(사건마스터!$B$5:$B$64,MATCH($F262,사건마스터!$A$5:$A$64,0)),""))</f>
        <v/>
      </c>
      <c r="I262" s="34">
        <f>IF($F262="","",IFERROR(INDEX(사건마스터!$C$5:$C$64,MATCH($F262,사건마스터!$A$5:$A$64,0)),""))</f>
        <v/>
      </c>
      <c r="J262" s="35">
        <f>IF($F262="","",IFERROR(INDEX(사건마스터!$H$5:$H$64,MATCH($F262,사건마스터!$A$5:$A$64,0)),""))</f>
        <v/>
      </c>
      <c r="K262" s="35">
        <f>IF($F262="","",IFERROR(INDEX(사건마스터!$AH$5:$AH$64,MATCH($F262,사건마스터!$A$5:$A$64,0)),""))</f>
        <v/>
      </c>
      <c r="L262" s="35">
        <f>IF($F262="","",IFERROR(INDEX(사건마스터!$AI$5:$AI$64,MATCH($F262,사건마스터!$A$5:$A$64,0)),""))</f>
        <v/>
      </c>
      <c r="M262" s="35">
        <f>IF($F262="","",IFERROR(INDEX(사건마스터!$AJ$5:$AJ$64,MATCH($F262,사건마스터!$A$5:$A$64,0)),""))</f>
        <v/>
      </c>
      <c r="N262" s="35">
        <f>IF($F262="","",IFERROR(INDEX(사건마스터!$AK$5:$AK$64,MATCH($F262,사건마스터!$A$5:$A$64,0)),""))</f>
        <v/>
      </c>
      <c r="O262" s="35">
        <f>IF($F262="","",IFERROR(INDEX(사건마스터!$AL$5:$AL$64,MATCH($F262,사건마스터!$A$5:$A$64,0)),""))</f>
        <v/>
      </c>
      <c r="P262" s="35">
        <f>IF($F262="","",IFERROR(INDEX(사건마스터!$AM$5:$AM$64,MATCH($F262,사건마스터!$A$5:$A$64,0)),""))</f>
        <v/>
      </c>
      <c r="Q262" s="35">
        <f>IF($F262="","",IFERROR(INDEX(사건마스터!$AN$5:$AN$64,MATCH($F262,사건마스터!$A$5:$A$64,0)),""))</f>
        <v/>
      </c>
      <c r="R262" s="35">
        <f>IF($F262="","",IFERROR(INDEX(사건마스터!$AO$5:$AO$64,MATCH($F262,사건마스터!$A$5:$A$64,0)),""))</f>
        <v/>
      </c>
      <c r="S262" s="35">
        <f>IF($F262="","",IFERROR(INDEX(사건마스터!$AP$5:$AP$64,MATCH($F262,사건마스터!$A$5:$A$64,0)),""))</f>
        <v/>
      </c>
      <c r="T262" s="35">
        <f>IF($F262="","",IFERROR(INDEX(사건마스터!$AQ$5:$AQ$64,MATCH($F262,사건마스터!$A$5:$A$64,0)),""))</f>
        <v/>
      </c>
      <c r="U262" s="35">
        <f>IF($F262="","",IFERROR(INDEX(사건마스터!$AR$5:$AR$64,MATCH($F262,사건마스터!$A$5:$A$64,0)),""))</f>
        <v/>
      </c>
      <c r="V262" s="35">
        <f>IF($F262="","",IFERROR(INDEX(사건마스터!$AS$5:$AS$64,MATCH($F262,사건마스터!$A$5:$A$64,0)),""))</f>
        <v/>
      </c>
      <c r="W262" s="35">
        <f>IF($F262="","",IFERROR(INDEX(사건마스터!$AT$5:$AT$64,MATCH($F262,사건마스터!$A$5:$A$64,0)),""))</f>
        <v/>
      </c>
      <c r="X262" s="35">
        <f>IF($F262="","",IFERROR(INDEX(사건마스터!$AU$5:$AU$64,MATCH($F262,사건마스터!$A$5:$A$64,0)),""))</f>
        <v/>
      </c>
      <c r="Y262" s="35">
        <f>IF($F262="","",IFERROR(INDEX(사건마스터!$AV$5:$AV$64,MATCH($F262,사건마스터!$A$5:$A$64,0)),""))</f>
        <v/>
      </c>
      <c r="Z262" s="30">
        <f>IF(COUNTBLANK($J262:$Y262)=16,"",16-COUNTBLANK($J262:$Y262))</f>
        <v/>
      </c>
      <c r="AA262" s="33">
        <f>IF($J262="",MID($AX262,3,255),$J262&amp;$AX262)</f>
        <v/>
      </c>
      <c r="AB262" s="34">
        <f>IF($J262="","",IFERROR(INDEX(코드설정!$D$5:$D$24,MATCH($J262,코드설정!$C$5:$C$24,0)),""))</f>
        <v/>
      </c>
      <c r="AC262" s="36" t="n"/>
      <c r="AD262" s="37" t="n"/>
      <c r="AE262" s="38" t="n"/>
      <c r="AF262" s="30">
        <f>IF(OR($B262="",$C262=""),"",$C262-$B262+1)</f>
        <v/>
      </c>
      <c r="AG262" s="32" t="n"/>
      <c r="AH262" s="36" t="n"/>
      <c r="AJ262">
        <f>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  <c r="AX262">
        <f>AW262&amp;IF($Y262="","",", "&amp;$Y262)</f>
        <v/>
      </c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0">
        <f>IF($F263="","",COUNTIF($F$5:$F263,$F263))</f>
        <v/>
      </c>
      <c r="H263" s="33">
        <f>IF($F263="","",IFERROR(INDEX(사건마스터!$B$5:$B$64,MATCH($F263,사건마스터!$A$5:$A$64,0)),""))</f>
        <v/>
      </c>
      <c r="I263" s="34">
        <f>IF($F263="","",IFERROR(INDEX(사건마스터!$C$5:$C$64,MATCH($F263,사건마스터!$A$5:$A$64,0)),""))</f>
        <v/>
      </c>
      <c r="J263" s="35">
        <f>IF($F263="","",IFERROR(INDEX(사건마스터!$H$5:$H$64,MATCH($F263,사건마스터!$A$5:$A$64,0)),""))</f>
        <v/>
      </c>
      <c r="K263" s="35">
        <f>IF($F263="","",IFERROR(INDEX(사건마스터!$AH$5:$AH$64,MATCH($F263,사건마스터!$A$5:$A$64,0)),""))</f>
        <v/>
      </c>
      <c r="L263" s="35">
        <f>IF($F263="","",IFERROR(INDEX(사건마스터!$AI$5:$AI$64,MATCH($F263,사건마스터!$A$5:$A$64,0)),""))</f>
        <v/>
      </c>
      <c r="M263" s="35">
        <f>IF($F263="","",IFERROR(INDEX(사건마스터!$AJ$5:$AJ$64,MATCH($F263,사건마스터!$A$5:$A$64,0)),""))</f>
        <v/>
      </c>
      <c r="N263" s="35">
        <f>IF($F263="","",IFERROR(INDEX(사건마스터!$AK$5:$AK$64,MATCH($F263,사건마스터!$A$5:$A$64,0)),""))</f>
        <v/>
      </c>
      <c r="O263" s="35">
        <f>IF($F263="","",IFERROR(INDEX(사건마스터!$AL$5:$AL$64,MATCH($F263,사건마스터!$A$5:$A$64,0)),""))</f>
        <v/>
      </c>
      <c r="P263" s="35">
        <f>IF($F263="","",IFERROR(INDEX(사건마스터!$AM$5:$AM$64,MATCH($F263,사건마스터!$A$5:$A$64,0)),""))</f>
        <v/>
      </c>
      <c r="Q263" s="35">
        <f>IF($F263="","",IFERROR(INDEX(사건마스터!$AN$5:$AN$64,MATCH($F263,사건마스터!$A$5:$A$64,0)),""))</f>
        <v/>
      </c>
      <c r="R263" s="35">
        <f>IF($F263="","",IFERROR(INDEX(사건마스터!$AO$5:$AO$64,MATCH($F263,사건마스터!$A$5:$A$64,0)),""))</f>
        <v/>
      </c>
      <c r="S263" s="35">
        <f>IF($F263="","",IFERROR(INDEX(사건마스터!$AP$5:$AP$64,MATCH($F263,사건마스터!$A$5:$A$64,0)),""))</f>
        <v/>
      </c>
      <c r="T263" s="35">
        <f>IF($F263="","",IFERROR(INDEX(사건마스터!$AQ$5:$AQ$64,MATCH($F263,사건마스터!$A$5:$A$64,0)),""))</f>
        <v/>
      </c>
      <c r="U263" s="35">
        <f>IF($F263="","",IFERROR(INDEX(사건마스터!$AR$5:$AR$64,MATCH($F263,사건마스터!$A$5:$A$64,0)),""))</f>
        <v/>
      </c>
      <c r="V263" s="35">
        <f>IF($F263="","",IFERROR(INDEX(사건마스터!$AS$5:$AS$64,MATCH($F263,사건마스터!$A$5:$A$64,0)),""))</f>
        <v/>
      </c>
      <c r="W263" s="35">
        <f>IF($F263="","",IFERROR(INDEX(사건마스터!$AT$5:$AT$64,MATCH($F263,사건마스터!$A$5:$A$64,0)),""))</f>
        <v/>
      </c>
      <c r="X263" s="35">
        <f>IF($F263="","",IFERROR(INDEX(사건마스터!$AU$5:$AU$64,MATCH($F263,사건마스터!$A$5:$A$64,0)),""))</f>
        <v/>
      </c>
      <c r="Y263" s="35">
        <f>IF($F263="","",IFERROR(INDEX(사건마스터!$AV$5:$AV$64,MATCH($F263,사건마스터!$A$5:$A$64,0)),""))</f>
        <v/>
      </c>
      <c r="Z263" s="30">
        <f>IF(COUNTBLANK($J263:$Y263)=16,"",16-COUNTBLANK($J263:$Y263))</f>
        <v/>
      </c>
      <c r="AA263" s="33">
        <f>IF($J263="",MID($AX263,3,255),$J263&amp;$AX263)</f>
        <v/>
      </c>
      <c r="AB263" s="34">
        <f>IF($J263="","",IFERROR(INDEX(코드설정!$D$5:$D$24,MATCH($J263,코드설정!$C$5:$C$24,0)),""))</f>
        <v/>
      </c>
      <c r="AC263" s="36" t="n"/>
      <c r="AD263" s="37" t="n"/>
      <c r="AE263" s="38" t="n"/>
      <c r="AF263" s="30">
        <f>IF(OR($B263="",$C263=""),"",$C263-$B263+1)</f>
        <v/>
      </c>
      <c r="AG263" s="32" t="n"/>
      <c r="AH263" s="36" t="n"/>
      <c r="AJ263">
        <f>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  <c r="AX263">
        <f>AW263&amp;IF($Y263="","",", "&amp;$Y263)</f>
        <v/>
      </c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0">
        <f>IF($F264="","",COUNTIF($F$5:$F264,$F264))</f>
        <v/>
      </c>
      <c r="H264" s="33">
        <f>IF($F264="","",IFERROR(INDEX(사건마스터!$B$5:$B$64,MATCH($F264,사건마스터!$A$5:$A$64,0)),""))</f>
        <v/>
      </c>
      <c r="I264" s="34">
        <f>IF($F264="","",IFERROR(INDEX(사건마스터!$C$5:$C$64,MATCH($F264,사건마스터!$A$5:$A$64,0)),""))</f>
        <v/>
      </c>
      <c r="J264" s="35">
        <f>IF($F264="","",IFERROR(INDEX(사건마스터!$H$5:$H$64,MATCH($F264,사건마스터!$A$5:$A$64,0)),""))</f>
        <v/>
      </c>
      <c r="K264" s="35">
        <f>IF($F264="","",IFERROR(INDEX(사건마스터!$AH$5:$AH$64,MATCH($F264,사건마스터!$A$5:$A$64,0)),""))</f>
        <v/>
      </c>
      <c r="L264" s="35">
        <f>IF($F264="","",IFERROR(INDEX(사건마스터!$AI$5:$AI$64,MATCH($F264,사건마스터!$A$5:$A$64,0)),""))</f>
        <v/>
      </c>
      <c r="M264" s="35">
        <f>IF($F264="","",IFERROR(INDEX(사건마스터!$AJ$5:$AJ$64,MATCH($F264,사건마스터!$A$5:$A$64,0)),""))</f>
        <v/>
      </c>
      <c r="N264" s="35">
        <f>IF($F264="","",IFERROR(INDEX(사건마스터!$AK$5:$AK$64,MATCH($F264,사건마스터!$A$5:$A$64,0)),""))</f>
        <v/>
      </c>
      <c r="O264" s="35">
        <f>IF($F264="","",IFERROR(INDEX(사건마스터!$AL$5:$AL$64,MATCH($F264,사건마스터!$A$5:$A$64,0)),""))</f>
        <v/>
      </c>
      <c r="P264" s="35">
        <f>IF($F264="","",IFERROR(INDEX(사건마스터!$AM$5:$AM$64,MATCH($F264,사건마스터!$A$5:$A$64,0)),""))</f>
        <v/>
      </c>
      <c r="Q264" s="35">
        <f>IF($F264="","",IFERROR(INDEX(사건마스터!$AN$5:$AN$64,MATCH($F264,사건마스터!$A$5:$A$64,0)),""))</f>
        <v/>
      </c>
      <c r="R264" s="35">
        <f>IF($F264="","",IFERROR(INDEX(사건마스터!$AO$5:$AO$64,MATCH($F264,사건마스터!$A$5:$A$64,0)),""))</f>
        <v/>
      </c>
      <c r="S264" s="35">
        <f>IF($F264="","",IFERROR(INDEX(사건마스터!$AP$5:$AP$64,MATCH($F264,사건마스터!$A$5:$A$64,0)),""))</f>
        <v/>
      </c>
      <c r="T264" s="35">
        <f>IF($F264="","",IFERROR(INDEX(사건마스터!$AQ$5:$AQ$64,MATCH($F264,사건마스터!$A$5:$A$64,0)),""))</f>
        <v/>
      </c>
      <c r="U264" s="35">
        <f>IF($F264="","",IFERROR(INDEX(사건마스터!$AR$5:$AR$64,MATCH($F264,사건마스터!$A$5:$A$64,0)),""))</f>
        <v/>
      </c>
      <c r="V264" s="35">
        <f>IF($F264="","",IFERROR(INDEX(사건마스터!$AS$5:$AS$64,MATCH($F264,사건마스터!$A$5:$A$64,0)),""))</f>
        <v/>
      </c>
      <c r="W264" s="35">
        <f>IF($F264="","",IFERROR(INDEX(사건마스터!$AT$5:$AT$64,MATCH($F264,사건마스터!$A$5:$A$64,0)),""))</f>
        <v/>
      </c>
      <c r="X264" s="35">
        <f>IF($F264="","",IFERROR(INDEX(사건마스터!$AU$5:$AU$64,MATCH($F264,사건마스터!$A$5:$A$64,0)),""))</f>
        <v/>
      </c>
      <c r="Y264" s="35">
        <f>IF($F264="","",IFERROR(INDEX(사건마스터!$AV$5:$AV$64,MATCH($F264,사건마스터!$A$5:$A$64,0)),""))</f>
        <v/>
      </c>
      <c r="Z264" s="30">
        <f>IF(COUNTBLANK($J264:$Y264)=16,"",16-COUNTBLANK($J264:$Y264))</f>
        <v/>
      </c>
      <c r="AA264" s="33">
        <f>IF($J264="",MID($AX264,3,255),$J264&amp;$AX264)</f>
        <v/>
      </c>
      <c r="AB264" s="34">
        <f>IF($J264="","",IFERROR(INDEX(코드설정!$D$5:$D$24,MATCH($J264,코드설정!$C$5:$C$24,0)),""))</f>
        <v/>
      </c>
      <c r="AC264" s="36" t="n"/>
      <c r="AD264" s="37" t="n"/>
      <c r="AE264" s="38" t="n"/>
      <c r="AF264" s="30">
        <f>IF(OR($B264="",$C264=""),"",$C264-$B264+1)</f>
        <v/>
      </c>
      <c r="AG264" s="32" t="n"/>
      <c r="AH264" s="36" t="n"/>
      <c r="AJ264">
        <f>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  <c r="AX264">
        <f>AW264&amp;IF($Y264="","",", "&amp;$Y264)</f>
        <v/>
      </c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0">
        <f>IF($F265="","",COUNTIF($F$5:$F265,$F265))</f>
        <v/>
      </c>
      <c r="H265" s="33">
        <f>IF($F265="","",IFERROR(INDEX(사건마스터!$B$5:$B$64,MATCH($F265,사건마스터!$A$5:$A$64,0)),""))</f>
        <v/>
      </c>
      <c r="I265" s="34">
        <f>IF($F265="","",IFERROR(INDEX(사건마스터!$C$5:$C$64,MATCH($F265,사건마스터!$A$5:$A$64,0)),""))</f>
        <v/>
      </c>
      <c r="J265" s="35">
        <f>IF($F265="","",IFERROR(INDEX(사건마스터!$H$5:$H$64,MATCH($F265,사건마스터!$A$5:$A$64,0)),""))</f>
        <v/>
      </c>
      <c r="K265" s="35">
        <f>IF($F265="","",IFERROR(INDEX(사건마스터!$AH$5:$AH$64,MATCH($F265,사건마스터!$A$5:$A$64,0)),""))</f>
        <v/>
      </c>
      <c r="L265" s="35">
        <f>IF($F265="","",IFERROR(INDEX(사건마스터!$AI$5:$AI$64,MATCH($F265,사건마스터!$A$5:$A$64,0)),""))</f>
        <v/>
      </c>
      <c r="M265" s="35">
        <f>IF($F265="","",IFERROR(INDEX(사건마스터!$AJ$5:$AJ$64,MATCH($F265,사건마스터!$A$5:$A$64,0)),""))</f>
        <v/>
      </c>
      <c r="N265" s="35">
        <f>IF($F265="","",IFERROR(INDEX(사건마스터!$AK$5:$AK$64,MATCH($F265,사건마스터!$A$5:$A$64,0)),""))</f>
        <v/>
      </c>
      <c r="O265" s="35">
        <f>IF($F265="","",IFERROR(INDEX(사건마스터!$AL$5:$AL$64,MATCH($F265,사건마스터!$A$5:$A$64,0)),""))</f>
        <v/>
      </c>
      <c r="P265" s="35">
        <f>IF($F265="","",IFERROR(INDEX(사건마스터!$AM$5:$AM$64,MATCH($F265,사건마스터!$A$5:$A$64,0)),""))</f>
        <v/>
      </c>
      <c r="Q265" s="35">
        <f>IF($F265="","",IFERROR(INDEX(사건마스터!$AN$5:$AN$64,MATCH($F265,사건마스터!$A$5:$A$64,0)),""))</f>
        <v/>
      </c>
      <c r="R265" s="35">
        <f>IF($F265="","",IFERROR(INDEX(사건마스터!$AO$5:$AO$64,MATCH($F265,사건마스터!$A$5:$A$64,0)),""))</f>
        <v/>
      </c>
      <c r="S265" s="35">
        <f>IF($F265="","",IFERROR(INDEX(사건마스터!$AP$5:$AP$64,MATCH($F265,사건마스터!$A$5:$A$64,0)),""))</f>
        <v/>
      </c>
      <c r="T265" s="35">
        <f>IF($F265="","",IFERROR(INDEX(사건마스터!$AQ$5:$AQ$64,MATCH($F265,사건마스터!$A$5:$A$64,0)),""))</f>
        <v/>
      </c>
      <c r="U265" s="35">
        <f>IF($F265="","",IFERROR(INDEX(사건마스터!$AR$5:$AR$64,MATCH($F265,사건마스터!$A$5:$A$64,0)),""))</f>
        <v/>
      </c>
      <c r="V265" s="35">
        <f>IF($F265="","",IFERROR(INDEX(사건마스터!$AS$5:$AS$64,MATCH($F265,사건마스터!$A$5:$A$64,0)),""))</f>
        <v/>
      </c>
      <c r="W265" s="35">
        <f>IF($F265="","",IFERROR(INDEX(사건마스터!$AT$5:$AT$64,MATCH($F265,사건마스터!$A$5:$A$64,0)),""))</f>
        <v/>
      </c>
      <c r="X265" s="35">
        <f>IF($F265="","",IFERROR(INDEX(사건마스터!$AU$5:$AU$64,MATCH($F265,사건마스터!$A$5:$A$64,0)),""))</f>
        <v/>
      </c>
      <c r="Y265" s="35">
        <f>IF($F265="","",IFERROR(INDEX(사건마스터!$AV$5:$AV$64,MATCH($F265,사건마스터!$A$5:$A$64,0)),""))</f>
        <v/>
      </c>
      <c r="Z265" s="30">
        <f>IF(COUNTBLANK($J265:$Y265)=16,"",16-COUNTBLANK($J265:$Y265))</f>
        <v/>
      </c>
      <c r="AA265" s="33">
        <f>IF($J265="",MID($AX265,3,255),$J265&amp;$AX265)</f>
        <v/>
      </c>
      <c r="AB265" s="34">
        <f>IF($J265="","",IFERROR(INDEX(코드설정!$D$5:$D$24,MATCH($J265,코드설정!$C$5:$C$24,0)),""))</f>
        <v/>
      </c>
      <c r="AC265" s="36" t="n"/>
      <c r="AD265" s="37" t="n"/>
      <c r="AE265" s="38" t="n"/>
      <c r="AF265" s="30">
        <f>IF(OR($B265="",$C265=""),"",$C265-$B265+1)</f>
        <v/>
      </c>
      <c r="AG265" s="32" t="n"/>
      <c r="AH265" s="36" t="n"/>
      <c r="AJ265">
        <f>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  <c r="AX265">
        <f>AW265&amp;IF($Y265="","",", "&amp;$Y265)</f>
        <v/>
      </c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0">
        <f>IF($F266="","",COUNTIF($F$5:$F266,$F266))</f>
        <v/>
      </c>
      <c r="H266" s="33">
        <f>IF($F266="","",IFERROR(INDEX(사건마스터!$B$5:$B$64,MATCH($F266,사건마스터!$A$5:$A$64,0)),""))</f>
        <v/>
      </c>
      <c r="I266" s="34">
        <f>IF($F266="","",IFERROR(INDEX(사건마스터!$C$5:$C$64,MATCH($F266,사건마스터!$A$5:$A$64,0)),""))</f>
        <v/>
      </c>
      <c r="J266" s="35">
        <f>IF($F266="","",IFERROR(INDEX(사건마스터!$H$5:$H$64,MATCH($F266,사건마스터!$A$5:$A$64,0)),""))</f>
        <v/>
      </c>
      <c r="K266" s="35">
        <f>IF($F266="","",IFERROR(INDEX(사건마스터!$AH$5:$AH$64,MATCH($F266,사건마스터!$A$5:$A$64,0)),""))</f>
        <v/>
      </c>
      <c r="L266" s="35">
        <f>IF($F266="","",IFERROR(INDEX(사건마스터!$AI$5:$AI$64,MATCH($F266,사건마스터!$A$5:$A$64,0)),""))</f>
        <v/>
      </c>
      <c r="M266" s="35">
        <f>IF($F266="","",IFERROR(INDEX(사건마스터!$AJ$5:$AJ$64,MATCH($F266,사건마스터!$A$5:$A$64,0)),""))</f>
        <v/>
      </c>
      <c r="N266" s="35">
        <f>IF($F266="","",IFERROR(INDEX(사건마스터!$AK$5:$AK$64,MATCH($F266,사건마스터!$A$5:$A$64,0)),""))</f>
        <v/>
      </c>
      <c r="O266" s="35">
        <f>IF($F266="","",IFERROR(INDEX(사건마스터!$AL$5:$AL$64,MATCH($F266,사건마스터!$A$5:$A$64,0)),""))</f>
        <v/>
      </c>
      <c r="P266" s="35">
        <f>IF($F266="","",IFERROR(INDEX(사건마스터!$AM$5:$AM$64,MATCH($F266,사건마스터!$A$5:$A$64,0)),""))</f>
        <v/>
      </c>
      <c r="Q266" s="35">
        <f>IF($F266="","",IFERROR(INDEX(사건마스터!$AN$5:$AN$64,MATCH($F266,사건마스터!$A$5:$A$64,0)),""))</f>
        <v/>
      </c>
      <c r="R266" s="35">
        <f>IF($F266="","",IFERROR(INDEX(사건마스터!$AO$5:$AO$64,MATCH($F266,사건마스터!$A$5:$A$64,0)),""))</f>
        <v/>
      </c>
      <c r="S266" s="35">
        <f>IF($F266="","",IFERROR(INDEX(사건마스터!$AP$5:$AP$64,MATCH($F266,사건마스터!$A$5:$A$64,0)),""))</f>
        <v/>
      </c>
      <c r="T266" s="35">
        <f>IF($F266="","",IFERROR(INDEX(사건마스터!$AQ$5:$AQ$64,MATCH($F266,사건마스터!$A$5:$A$64,0)),""))</f>
        <v/>
      </c>
      <c r="U266" s="35">
        <f>IF($F266="","",IFERROR(INDEX(사건마스터!$AR$5:$AR$64,MATCH($F266,사건마스터!$A$5:$A$64,0)),""))</f>
        <v/>
      </c>
      <c r="V266" s="35">
        <f>IF($F266="","",IFERROR(INDEX(사건마스터!$AS$5:$AS$64,MATCH($F266,사건마스터!$A$5:$A$64,0)),""))</f>
        <v/>
      </c>
      <c r="W266" s="35">
        <f>IF($F266="","",IFERROR(INDEX(사건마스터!$AT$5:$AT$64,MATCH($F266,사건마스터!$A$5:$A$64,0)),""))</f>
        <v/>
      </c>
      <c r="X266" s="35">
        <f>IF($F266="","",IFERROR(INDEX(사건마스터!$AU$5:$AU$64,MATCH($F266,사건마스터!$A$5:$A$64,0)),""))</f>
        <v/>
      </c>
      <c r="Y266" s="35">
        <f>IF($F266="","",IFERROR(INDEX(사건마스터!$AV$5:$AV$64,MATCH($F266,사건마스터!$A$5:$A$64,0)),""))</f>
        <v/>
      </c>
      <c r="Z266" s="30">
        <f>IF(COUNTBLANK($J266:$Y266)=16,"",16-COUNTBLANK($J266:$Y266))</f>
        <v/>
      </c>
      <c r="AA266" s="33">
        <f>IF($J266="",MID($AX266,3,255),$J266&amp;$AX266)</f>
        <v/>
      </c>
      <c r="AB266" s="34">
        <f>IF($J266="","",IFERROR(INDEX(코드설정!$D$5:$D$24,MATCH($J266,코드설정!$C$5:$C$24,0)),""))</f>
        <v/>
      </c>
      <c r="AC266" s="36" t="n"/>
      <c r="AD266" s="37" t="n"/>
      <c r="AE266" s="38" t="n"/>
      <c r="AF266" s="30">
        <f>IF(OR($B266="",$C266=""),"",$C266-$B266+1)</f>
        <v/>
      </c>
      <c r="AG266" s="32" t="n"/>
      <c r="AH266" s="36" t="n"/>
      <c r="AJ266">
        <f>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  <c r="AX266">
        <f>AW266&amp;IF($Y266="","",", "&amp;$Y266)</f>
        <v/>
      </c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0">
        <f>IF($F267="","",COUNTIF($F$5:$F267,$F267))</f>
        <v/>
      </c>
      <c r="H267" s="33">
        <f>IF($F267="","",IFERROR(INDEX(사건마스터!$B$5:$B$64,MATCH($F267,사건마스터!$A$5:$A$64,0)),""))</f>
        <v/>
      </c>
      <c r="I267" s="34">
        <f>IF($F267="","",IFERROR(INDEX(사건마스터!$C$5:$C$64,MATCH($F267,사건마스터!$A$5:$A$64,0)),""))</f>
        <v/>
      </c>
      <c r="J267" s="35">
        <f>IF($F267="","",IFERROR(INDEX(사건마스터!$H$5:$H$64,MATCH($F267,사건마스터!$A$5:$A$64,0)),""))</f>
        <v/>
      </c>
      <c r="K267" s="35">
        <f>IF($F267="","",IFERROR(INDEX(사건마스터!$AH$5:$AH$64,MATCH($F267,사건마스터!$A$5:$A$64,0)),""))</f>
        <v/>
      </c>
      <c r="L267" s="35">
        <f>IF($F267="","",IFERROR(INDEX(사건마스터!$AI$5:$AI$64,MATCH($F267,사건마스터!$A$5:$A$64,0)),""))</f>
        <v/>
      </c>
      <c r="M267" s="35">
        <f>IF($F267="","",IFERROR(INDEX(사건마스터!$AJ$5:$AJ$64,MATCH($F267,사건마스터!$A$5:$A$64,0)),""))</f>
        <v/>
      </c>
      <c r="N267" s="35">
        <f>IF($F267="","",IFERROR(INDEX(사건마스터!$AK$5:$AK$64,MATCH($F267,사건마스터!$A$5:$A$64,0)),""))</f>
        <v/>
      </c>
      <c r="O267" s="35">
        <f>IF($F267="","",IFERROR(INDEX(사건마스터!$AL$5:$AL$64,MATCH($F267,사건마스터!$A$5:$A$64,0)),""))</f>
        <v/>
      </c>
      <c r="P267" s="35">
        <f>IF($F267="","",IFERROR(INDEX(사건마스터!$AM$5:$AM$64,MATCH($F267,사건마스터!$A$5:$A$64,0)),""))</f>
        <v/>
      </c>
      <c r="Q267" s="35">
        <f>IF($F267="","",IFERROR(INDEX(사건마스터!$AN$5:$AN$64,MATCH($F267,사건마스터!$A$5:$A$64,0)),""))</f>
        <v/>
      </c>
      <c r="R267" s="35">
        <f>IF($F267="","",IFERROR(INDEX(사건마스터!$AO$5:$AO$64,MATCH($F267,사건마스터!$A$5:$A$64,0)),""))</f>
        <v/>
      </c>
      <c r="S267" s="35">
        <f>IF($F267="","",IFERROR(INDEX(사건마스터!$AP$5:$AP$64,MATCH($F267,사건마스터!$A$5:$A$64,0)),""))</f>
        <v/>
      </c>
      <c r="T267" s="35">
        <f>IF($F267="","",IFERROR(INDEX(사건마스터!$AQ$5:$AQ$64,MATCH($F267,사건마스터!$A$5:$A$64,0)),""))</f>
        <v/>
      </c>
      <c r="U267" s="35">
        <f>IF($F267="","",IFERROR(INDEX(사건마스터!$AR$5:$AR$64,MATCH($F267,사건마스터!$A$5:$A$64,0)),""))</f>
        <v/>
      </c>
      <c r="V267" s="35">
        <f>IF($F267="","",IFERROR(INDEX(사건마스터!$AS$5:$AS$64,MATCH($F267,사건마스터!$A$5:$A$64,0)),""))</f>
        <v/>
      </c>
      <c r="W267" s="35">
        <f>IF($F267="","",IFERROR(INDEX(사건마스터!$AT$5:$AT$64,MATCH($F267,사건마스터!$A$5:$A$64,0)),""))</f>
        <v/>
      </c>
      <c r="X267" s="35">
        <f>IF($F267="","",IFERROR(INDEX(사건마스터!$AU$5:$AU$64,MATCH($F267,사건마스터!$A$5:$A$64,0)),""))</f>
        <v/>
      </c>
      <c r="Y267" s="35">
        <f>IF($F267="","",IFERROR(INDEX(사건마스터!$AV$5:$AV$64,MATCH($F267,사건마스터!$A$5:$A$64,0)),""))</f>
        <v/>
      </c>
      <c r="Z267" s="30">
        <f>IF(COUNTBLANK($J267:$Y267)=16,"",16-COUNTBLANK($J267:$Y267))</f>
        <v/>
      </c>
      <c r="AA267" s="33">
        <f>IF($J267="",MID($AX267,3,255),$J267&amp;$AX267)</f>
        <v/>
      </c>
      <c r="AB267" s="34">
        <f>IF($J267="","",IFERROR(INDEX(코드설정!$D$5:$D$24,MATCH($J267,코드설정!$C$5:$C$24,0)),""))</f>
        <v/>
      </c>
      <c r="AC267" s="36" t="n"/>
      <c r="AD267" s="37" t="n"/>
      <c r="AE267" s="38" t="n"/>
      <c r="AF267" s="30">
        <f>IF(OR($B267="",$C267=""),"",$C267-$B267+1)</f>
        <v/>
      </c>
      <c r="AG267" s="32" t="n"/>
      <c r="AH267" s="36" t="n"/>
      <c r="AJ267">
        <f>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  <c r="AX267">
        <f>AW267&amp;IF($Y267="","",", "&amp;$Y267)</f>
        <v/>
      </c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0">
        <f>IF($F268="","",COUNTIF($F$5:$F268,$F268))</f>
        <v/>
      </c>
      <c r="H268" s="33">
        <f>IF($F268="","",IFERROR(INDEX(사건마스터!$B$5:$B$64,MATCH($F268,사건마스터!$A$5:$A$64,0)),""))</f>
        <v/>
      </c>
      <c r="I268" s="34">
        <f>IF($F268="","",IFERROR(INDEX(사건마스터!$C$5:$C$64,MATCH($F268,사건마스터!$A$5:$A$64,0)),""))</f>
        <v/>
      </c>
      <c r="J268" s="35">
        <f>IF($F268="","",IFERROR(INDEX(사건마스터!$H$5:$H$64,MATCH($F268,사건마스터!$A$5:$A$64,0)),""))</f>
        <v/>
      </c>
      <c r="K268" s="35">
        <f>IF($F268="","",IFERROR(INDEX(사건마스터!$AH$5:$AH$64,MATCH($F268,사건마스터!$A$5:$A$64,0)),""))</f>
        <v/>
      </c>
      <c r="L268" s="35">
        <f>IF($F268="","",IFERROR(INDEX(사건마스터!$AI$5:$AI$64,MATCH($F268,사건마스터!$A$5:$A$64,0)),""))</f>
        <v/>
      </c>
      <c r="M268" s="35">
        <f>IF($F268="","",IFERROR(INDEX(사건마스터!$AJ$5:$AJ$64,MATCH($F268,사건마스터!$A$5:$A$64,0)),""))</f>
        <v/>
      </c>
      <c r="N268" s="35">
        <f>IF($F268="","",IFERROR(INDEX(사건마스터!$AK$5:$AK$64,MATCH($F268,사건마스터!$A$5:$A$64,0)),""))</f>
        <v/>
      </c>
      <c r="O268" s="35">
        <f>IF($F268="","",IFERROR(INDEX(사건마스터!$AL$5:$AL$64,MATCH($F268,사건마스터!$A$5:$A$64,0)),""))</f>
        <v/>
      </c>
      <c r="P268" s="35">
        <f>IF($F268="","",IFERROR(INDEX(사건마스터!$AM$5:$AM$64,MATCH($F268,사건마스터!$A$5:$A$64,0)),""))</f>
        <v/>
      </c>
      <c r="Q268" s="35">
        <f>IF($F268="","",IFERROR(INDEX(사건마스터!$AN$5:$AN$64,MATCH($F268,사건마스터!$A$5:$A$64,0)),""))</f>
        <v/>
      </c>
      <c r="R268" s="35">
        <f>IF($F268="","",IFERROR(INDEX(사건마스터!$AO$5:$AO$64,MATCH($F268,사건마스터!$A$5:$A$64,0)),""))</f>
        <v/>
      </c>
      <c r="S268" s="35">
        <f>IF($F268="","",IFERROR(INDEX(사건마스터!$AP$5:$AP$64,MATCH($F268,사건마스터!$A$5:$A$64,0)),""))</f>
        <v/>
      </c>
      <c r="T268" s="35">
        <f>IF($F268="","",IFERROR(INDEX(사건마스터!$AQ$5:$AQ$64,MATCH($F268,사건마스터!$A$5:$A$64,0)),""))</f>
        <v/>
      </c>
      <c r="U268" s="35">
        <f>IF($F268="","",IFERROR(INDEX(사건마스터!$AR$5:$AR$64,MATCH($F268,사건마스터!$A$5:$A$64,0)),""))</f>
        <v/>
      </c>
      <c r="V268" s="35">
        <f>IF($F268="","",IFERROR(INDEX(사건마스터!$AS$5:$AS$64,MATCH($F268,사건마스터!$A$5:$A$64,0)),""))</f>
        <v/>
      </c>
      <c r="W268" s="35">
        <f>IF($F268="","",IFERROR(INDEX(사건마스터!$AT$5:$AT$64,MATCH($F268,사건마스터!$A$5:$A$64,0)),""))</f>
        <v/>
      </c>
      <c r="X268" s="35">
        <f>IF($F268="","",IFERROR(INDEX(사건마스터!$AU$5:$AU$64,MATCH($F268,사건마스터!$A$5:$A$64,0)),""))</f>
        <v/>
      </c>
      <c r="Y268" s="35">
        <f>IF($F268="","",IFERROR(INDEX(사건마스터!$AV$5:$AV$64,MATCH($F268,사건마스터!$A$5:$A$64,0)),""))</f>
        <v/>
      </c>
      <c r="Z268" s="30">
        <f>IF(COUNTBLANK($J268:$Y268)=16,"",16-COUNTBLANK($J268:$Y268))</f>
        <v/>
      </c>
      <c r="AA268" s="33">
        <f>IF($J268="",MID($AX268,3,255),$J268&amp;$AX268)</f>
        <v/>
      </c>
      <c r="AB268" s="34">
        <f>IF($J268="","",IFERROR(INDEX(코드설정!$D$5:$D$24,MATCH($J268,코드설정!$C$5:$C$24,0)),""))</f>
        <v/>
      </c>
      <c r="AC268" s="36" t="n"/>
      <c r="AD268" s="37" t="n"/>
      <c r="AE268" s="38" t="n"/>
      <c r="AF268" s="30">
        <f>IF(OR($B268="",$C268=""),"",$C268-$B268+1)</f>
        <v/>
      </c>
      <c r="AG268" s="32" t="n"/>
      <c r="AH268" s="36" t="n"/>
      <c r="AJ268">
        <f>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  <c r="AX268">
        <f>AW268&amp;IF($Y268="","",", "&amp;$Y268)</f>
        <v/>
      </c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0">
        <f>IF($F269="","",COUNTIF($F$5:$F269,$F269))</f>
        <v/>
      </c>
      <c r="H269" s="33">
        <f>IF($F269="","",IFERROR(INDEX(사건마스터!$B$5:$B$64,MATCH($F269,사건마스터!$A$5:$A$64,0)),""))</f>
        <v/>
      </c>
      <c r="I269" s="34">
        <f>IF($F269="","",IFERROR(INDEX(사건마스터!$C$5:$C$64,MATCH($F269,사건마스터!$A$5:$A$64,0)),""))</f>
        <v/>
      </c>
      <c r="J269" s="35">
        <f>IF($F269="","",IFERROR(INDEX(사건마스터!$H$5:$H$64,MATCH($F269,사건마스터!$A$5:$A$64,0)),""))</f>
        <v/>
      </c>
      <c r="K269" s="35">
        <f>IF($F269="","",IFERROR(INDEX(사건마스터!$AH$5:$AH$64,MATCH($F269,사건마스터!$A$5:$A$64,0)),""))</f>
        <v/>
      </c>
      <c r="L269" s="35">
        <f>IF($F269="","",IFERROR(INDEX(사건마스터!$AI$5:$AI$64,MATCH($F269,사건마스터!$A$5:$A$64,0)),""))</f>
        <v/>
      </c>
      <c r="M269" s="35">
        <f>IF($F269="","",IFERROR(INDEX(사건마스터!$AJ$5:$AJ$64,MATCH($F269,사건마스터!$A$5:$A$64,0)),""))</f>
        <v/>
      </c>
      <c r="N269" s="35">
        <f>IF($F269="","",IFERROR(INDEX(사건마스터!$AK$5:$AK$64,MATCH($F269,사건마스터!$A$5:$A$64,0)),""))</f>
        <v/>
      </c>
      <c r="O269" s="35">
        <f>IF($F269="","",IFERROR(INDEX(사건마스터!$AL$5:$AL$64,MATCH($F269,사건마스터!$A$5:$A$64,0)),""))</f>
        <v/>
      </c>
      <c r="P269" s="35">
        <f>IF($F269="","",IFERROR(INDEX(사건마스터!$AM$5:$AM$64,MATCH($F269,사건마스터!$A$5:$A$64,0)),""))</f>
        <v/>
      </c>
      <c r="Q269" s="35">
        <f>IF($F269="","",IFERROR(INDEX(사건마스터!$AN$5:$AN$64,MATCH($F269,사건마스터!$A$5:$A$64,0)),""))</f>
        <v/>
      </c>
      <c r="R269" s="35">
        <f>IF($F269="","",IFERROR(INDEX(사건마스터!$AO$5:$AO$64,MATCH($F269,사건마스터!$A$5:$A$64,0)),""))</f>
        <v/>
      </c>
      <c r="S269" s="35">
        <f>IF($F269="","",IFERROR(INDEX(사건마스터!$AP$5:$AP$64,MATCH($F269,사건마스터!$A$5:$A$64,0)),""))</f>
        <v/>
      </c>
      <c r="T269" s="35">
        <f>IF($F269="","",IFERROR(INDEX(사건마스터!$AQ$5:$AQ$64,MATCH($F269,사건마스터!$A$5:$A$64,0)),""))</f>
        <v/>
      </c>
      <c r="U269" s="35">
        <f>IF($F269="","",IFERROR(INDEX(사건마스터!$AR$5:$AR$64,MATCH($F269,사건마스터!$A$5:$A$64,0)),""))</f>
        <v/>
      </c>
      <c r="V269" s="35">
        <f>IF($F269="","",IFERROR(INDEX(사건마스터!$AS$5:$AS$64,MATCH($F269,사건마스터!$A$5:$A$64,0)),""))</f>
        <v/>
      </c>
      <c r="W269" s="35">
        <f>IF($F269="","",IFERROR(INDEX(사건마스터!$AT$5:$AT$64,MATCH($F269,사건마스터!$A$5:$A$64,0)),""))</f>
        <v/>
      </c>
      <c r="X269" s="35">
        <f>IF($F269="","",IFERROR(INDEX(사건마스터!$AU$5:$AU$64,MATCH($F269,사건마스터!$A$5:$A$64,0)),""))</f>
        <v/>
      </c>
      <c r="Y269" s="35">
        <f>IF($F269="","",IFERROR(INDEX(사건마스터!$AV$5:$AV$64,MATCH($F269,사건마스터!$A$5:$A$64,0)),""))</f>
        <v/>
      </c>
      <c r="Z269" s="30">
        <f>IF(COUNTBLANK($J269:$Y269)=16,"",16-COUNTBLANK($J269:$Y269))</f>
        <v/>
      </c>
      <c r="AA269" s="33">
        <f>IF($J269="",MID($AX269,3,255),$J269&amp;$AX269)</f>
        <v/>
      </c>
      <c r="AB269" s="34">
        <f>IF($J269="","",IFERROR(INDEX(코드설정!$D$5:$D$24,MATCH($J269,코드설정!$C$5:$C$24,0)),""))</f>
        <v/>
      </c>
      <c r="AC269" s="36" t="n"/>
      <c r="AD269" s="37" t="n"/>
      <c r="AE269" s="38" t="n"/>
      <c r="AF269" s="30">
        <f>IF(OR($B269="",$C269=""),"",$C269-$B269+1)</f>
        <v/>
      </c>
      <c r="AG269" s="32" t="n"/>
      <c r="AH269" s="36" t="n"/>
      <c r="AJ269">
        <f>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  <c r="AX269">
        <f>AW269&amp;IF($Y269="","",", "&amp;$Y269)</f>
        <v/>
      </c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0">
        <f>IF($F270="","",COUNTIF($F$5:$F270,$F270))</f>
        <v/>
      </c>
      <c r="H270" s="33">
        <f>IF($F270="","",IFERROR(INDEX(사건마스터!$B$5:$B$64,MATCH($F270,사건마스터!$A$5:$A$64,0)),""))</f>
        <v/>
      </c>
      <c r="I270" s="34">
        <f>IF($F270="","",IFERROR(INDEX(사건마스터!$C$5:$C$64,MATCH($F270,사건마스터!$A$5:$A$64,0)),""))</f>
        <v/>
      </c>
      <c r="J270" s="35">
        <f>IF($F270="","",IFERROR(INDEX(사건마스터!$H$5:$H$64,MATCH($F270,사건마스터!$A$5:$A$64,0)),""))</f>
        <v/>
      </c>
      <c r="K270" s="35">
        <f>IF($F270="","",IFERROR(INDEX(사건마스터!$AH$5:$AH$64,MATCH($F270,사건마스터!$A$5:$A$64,0)),""))</f>
        <v/>
      </c>
      <c r="L270" s="35">
        <f>IF($F270="","",IFERROR(INDEX(사건마스터!$AI$5:$AI$64,MATCH($F270,사건마스터!$A$5:$A$64,0)),""))</f>
        <v/>
      </c>
      <c r="M270" s="35">
        <f>IF($F270="","",IFERROR(INDEX(사건마스터!$AJ$5:$AJ$64,MATCH($F270,사건마스터!$A$5:$A$64,0)),""))</f>
        <v/>
      </c>
      <c r="N270" s="35">
        <f>IF($F270="","",IFERROR(INDEX(사건마스터!$AK$5:$AK$64,MATCH($F270,사건마스터!$A$5:$A$64,0)),""))</f>
        <v/>
      </c>
      <c r="O270" s="35">
        <f>IF($F270="","",IFERROR(INDEX(사건마스터!$AL$5:$AL$64,MATCH($F270,사건마스터!$A$5:$A$64,0)),""))</f>
        <v/>
      </c>
      <c r="P270" s="35">
        <f>IF($F270="","",IFERROR(INDEX(사건마스터!$AM$5:$AM$64,MATCH($F270,사건마스터!$A$5:$A$64,0)),""))</f>
        <v/>
      </c>
      <c r="Q270" s="35">
        <f>IF($F270="","",IFERROR(INDEX(사건마스터!$AN$5:$AN$64,MATCH($F270,사건마스터!$A$5:$A$64,0)),""))</f>
        <v/>
      </c>
      <c r="R270" s="35">
        <f>IF($F270="","",IFERROR(INDEX(사건마스터!$AO$5:$AO$64,MATCH($F270,사건마스터!$A$5:$A$64,0)),""))</f>
        <v/>
      </c>
      <c r="S270" s="35">
        <f>IF($F270="","",IFERROR(INDEX(사건마스터!$AP$5:$AP$64,MATCH($F270,사건마스터!$A$5:$A$64,0)),""))</f>
        <v/>
      </c>
      <c r="T270" s="35">
        <f>IF($F270="","",IFERROR(INDEX(사건마스터!$AQ$5:$AQ$64,MATCH($F270,사건마스터!$A$5:$A$64,0)),""))</f>
        <v/>
      </c>
      <c r="U270" s="35">
        <f>IF($F270="","",IFERROR(INDEX(사건마스터!$AR$5:$AR$64,MATCH($F270,사건마스터!$A$5:$A$64,0)),""))</f>
        <v/>
      </c>
      <c r="V270" s="35">
        <f>IF($F270="","",IFERROR(INDEX(사건마스터!$AS$5:$AS$64,MATCH($F270,사건마스터!$A$5:$A$64,0)),""))</f>
        <v/>
      </c>
      <c r="W270" s="35">
        <f>IF($F270="","",IFERROR(INDEX(사건마스터!$AT$5:$AT$64,MATCH($F270,사건마스터!$A$5:$A$64,0)),""))</f>
        <v/>
      </c>
      <c r="X270" s="35">
        <f>IF($F270="","",IFERROR(INDEX(사건마스터!$AU$5:$AU$64,MATCH($F270,사건마스터!$A$5:$A$64,0)),""))</f>
        <v/>
      </c>
      <c r="Y270" s="35">
        <f>IF($F270="","",IFERROR(INDEX(사건마스터!$AV$5:$AV$64,MATCH($F270,사건마스터!$A$5:$A$64,0)),""))</f>
        <v/>
      </c>
      <c r="Z270" s="30">
        <f>IF(COUNTBLANK($J270:$Y270)=16,"",16-COUNTBLANK($J270:$Y270))</f>
        <v/>
      </c>
      <c r="AA270" s="33">
        <f>IF($J270="",MID($AX270,3,255),$J270&amp;$AX270)</f>
        <v/>
      </c>
      <c r="AB270" s="34">
        <f>IF($J270="","",IFERROR(INDEX(코드설정!$D$5:$D$24,MATCH($J270,코드설정!$C$5:$C$24,0)),""))</f>
        <v/>
      </c>
      <c r="AC270" s="36" t="n"/>
      <c r="AD270" s="37" t="n"/>
      <c r="AE270" s="38" t="n"/>
      <c r="AF270" s="30">
        <f>IF(OR($B270="",$C270=""),"",$C270-$B270+1)</f>
        <v/>
      </c>
      <c r="AG270" s="32" t="n"/>
      <c r="AH270" s="36" t="n"/>
      <c r="AJ270">
        <f>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  <c r="AX270">
        <f>AW270&amp;IF($Y270="","",", "&amp;$Y270)</f>
        <v/>
      </c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0">
        <f>IF($F271="","",COUNTIF($F$5:$F271,$F271))</f>
        <v/>
      </c>
      <c r="H271" s="33">
        <f>IF($F271="","",IFERROR(INDEX(사건마스터!$B$5:$B$64,MATCH($F271,사건마스터!$A$5:$A$64,0)),""))</f>
        <v/>
      </c>
      <c r="I271" s="34">
        <f>IF($F271="","",IFERROR(INDEX(사건마스터!$C$5:$C$64,MATCH($F271,사건마스터!$A$5:$A$64,0)),""))</f>
        <v/>
      </c>
      <c r="J271" s="35">
        <f>IF($F271="","",IFERROR(INDEX(사건마스터!$H$5:$H$64,MATCH($F271,사건마스터!$A$5:$A$64,0)),""))</f>
        <v/>
      </c>
      <c r="K271" s="35">
        <f>IF($F271="","",IFERROR(INDEX(사건마스터!$AH$5:$AH$64,MATCH($F271,사건마스터!$A$5:$A$64,0)),""))</f>
        <v/>
      </c>
      <c r="L271" s="35">
        <f>IF($F271="","",IFERROR(INDEX(사건마스터!$AI$5:$AI$64,MATCH($F271,사건마스터!$A$5:$A$64,0)),""))</f>
        <v/>
      </c>
      <c r="M271" s="35">
        <f>IF($F271="","",IFERROR(INDEX(사건마스터!$AJ$5:$AJ$64,MATCH($F271,사건마스터!$A$5:$A$64,0)),""))</f>
        <v/>
      </c>
      <c r="N271" s="35">
        <f>IF($F271="","",IFERROR(INDEX(사건마스터!$AK$5:$AK$64,MATCH($F271,사건마스터!$A$5:$A$64,0)),""))</f>
        <v/>
      </c>
      <c r="O271" s="35">
        <f>IF($F271="","",IFERROR(INDEX(사건마스터!$AL$5:$AL$64,MATCH($F271,사건마스터!$A$5:$A$64,0)),""))</f>
        <v/>
      </c>
      <c r="P271" s="35">
        <f>IF($F271="","",IFERROR(INDEX(사건마스터!$AM$5:$AM$64,MATCH($F271,사건마스터!$A$5:$A$64,0)),""))</f>
        <v/>
      </c>
      <c r="Q271" s="35">
        <f>IF($F271="","",IFERROR(INDEX(사건마스터!$AN$5:$AN$64,MATCH($F271,사건마스터!$A$5:$A$64,0)),""))</f>
        <v/>
      </c>
      <c r="R271" s="35">
        <f>IF($F271="","",IFERROR(INDEX(사건마스터!$AO$5:$AO$64,MATCH($F271,사건마스터!$A$5:$A$64,0)),""))</f>
        <v/>
      </c>
      <c r="S271" s="35">
        <f>IF($F271="","",IFERROR(INDEX(사건마스터!$AP$5:$AP$64,MATCH($F271,사건마스터!$A$5:$A$64,0)),""))</f>
        <v/>
      </c>
      <c r="T271" s="35">
        <f>IF($F271="","",IFERROR(INDEX(사건마스터!$AQ$5:$AQ$64,MATCH($F271,사건마스터!$A$5:$A$64,0)),""))</f>
        <v/>
      </c>
      <c r="U271" s="35">
        <f>IF($F271="","",IFERROR(INDEX(사건마스터!$AR$5:$AR$64,MATCH($F271,사건마스터!$A$5:$A$64,0)),""))</f>
        <v/>
      </c>
      <c r="V271" s="35">
        <f>IF($F271="","",IFERROR(INDEX(사건마스터!$AS$5:$AS$64,MATCH($F271,사건마스터!$A$5:$A$64,0)),""))</f>
        <v/>
      </c>
      <c r="W271" s="35">
        <f>IF($F271="","",IFERROR(INDEX(사건마스터!$AT$5:$AT$64,MATCH($F271,사건마스터!$A$5:$A$64,0)),""))</f>
        <v/>
      </c>
      <c r="X271" s="35">
        <f>IF($F271="","",IFERROR(INDEX(사건마스터!$AU$5:$AU$64,MATCH($F271,사건마스터!$A$5:$A$64,0)),""))</f>
        <v/>
      </c>
      <c r="Y271" s="35">
        <f>IF($F271="","",IFERROR(INDEX(사건마스터!$AV$5:$AV$64,MATCH($F271,사건마스터!$A$5:$A$64,0)),""))</f>
        <v/>
      </c>
      <c r="Z271" s="30">
        <f>IF(COUNTBLANK($J271:$Y271)=16,"",16-COUNTBLANK($J271:$Y271))</f>
        <v/>
      </c>
      <c r="AA271" s="33">
        <f>IF($J271="",MID($AX271,3,255),$J271&amp;$AX271)</f>
        <v/>
      </c>
      <c r="AB271" s="34">
        <f>IF($J271="","",IFERROR(INDEX(코드설정!$D$5:$D$24,MATCH($J271,코드설정!$C$5:$C$24,0)),""))</f>
        <v/>
      </c>
      <c r="AC271" s="36" t="n"/>
      <c r="AD271" s="37" t="n"/>
      <c r="AE271" s="38" t="n"/>
      <c r="AF271" s="30">
        <f>IF(OR($B271="",$C271=""),"",$C271-$B271+1)</f>
        <v/>
      </c>
      <c r="AG271" s="32" t="n"/>
      <c r="AH271" s="36" t="n"/>
      <c r="AJ271">
        <f>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  <c r="AX271">
        <f>AW271&amp;IF($Y271="","",", "&amp;$Y271)</f>
        <v/>
      </c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0">
        <f>IF($F272="","",COUNTIF($F$5:$F272,$F272))</f>
        <v/>
      </c>
      <c r="H272" s="33">
        <f>IF($F272="","",IFERROR(INDEX(사건마스터!$B$5:$B$64,MATCH($F272,사건마스터!$A$5:$A$64,0)),""))</f>
        <v/>
      </c>
      <c r="I272" s="34">
        <f>IF($F272="","",IFERROR(INDEX(사건마스터!$C$5:$C$64,MATCH($F272,사건마스터!$A$5:$A$64,0)),""))</f>
        <v/>
      </c>
      <c r="J272" s="35">
        <f>IF($F272="","",IFERROR(INDEX(사건마스터!$H$5:$H$64,MATCH($F272,사건마스터!$A$5:$A$64,0)),""))</f>
        <v/>
      </c>
      <c r="K272" s="35">
        <f>IF($F272="","",IFERROR(INDEX(사건마스터!$AH$5:$AH$64,MATCH($F272,사건마스터!$A$5:$A$64,0)),""))</f>
        <v/>
      </c>
      <c r="L272" s="35">
        <f>IF($F272="","",IFERROR(INDEX(사건마스터!$AI$5:$AI$64,MATCH($F272,사건마스터!$A$5:$A$64,0)),""))</f>
        <v/>
      </c>
      <c r="M272" s="35">
        <f>IF($F272="","",IFERROR(INDEX(사건마스터!$AJ$5:$AJ$64,MATCH($F272,사건마스터!$A$5:$A$64,0)),""))</f>
        <v/>
      </c>
      <c r="N272" s="35">
        <f>IF($F272="","",IFERROR(INDEX(사건마스터!$AK$5:$AK$64,MATCH($F272,사건마스터!$A$5:$A$64,0)),""))</f>
        <v/>
      </c>
      <c r="O272" s="35">
        <f>IF($F272="","",IFERROR(INDEX(사건마스터!$AL$5:$AL$64,MATCH($F272,사건마스터!$A$5:$A$64,0)),""))</f>
        <v/>
      </c>
      <c r="P272" s="35">
        <f>IF($F272="","",IFERROR(INDEX(사건마스터!$AM$5:$AM$64,MATCH($F272,사건마스터!$A$5:$A$64,0)),""))</f>
        <v/>
      </c>
      <c r="Q272" s="35">
        <f>IF($F272="","",IFERROR(INDEX(사건마스터!$AN$5:$AN$64,MATCH($F272,사건마스터!$A$5:$A$64,0)),""))</f>
        <v/>
      </c>
      <c r="R272" s="35">
        <f>IF($F272="","",IFERROR(INDEX(사건마스터!$AO$5:$AO$64,MATCH($F272,사건마스터!$A$5:$A$64,0)),""))</f>
        <v/>
      </c>
      <c r="S272" s="35">
        <f>IF($F272="","",IFERROR(INDEX(사건마스터!$AP$5:$AP$64,MATCH($F272,사건마스터!$A$5:$A$64,0)),""))</f>
        <v/>
      </c>
      <c r="T272" s="35">
        <f>IF($F272="","",IFERROR(INDEX(사건마스터!$AQ$5:$AQ$64,MATCH($F272,사건마스터!$A$5:$A$64,0)),""))</f>
        <v/>
      </c>
      <c r="U272" s="35">
        <f>IF($F272="","",IFERROR(INDEX(사건마스터!$AR$5:$AR$64,MATCH($F272,사건마스터!$A$5:$A$64,0)),""))</f>
        <v/>
      </c>
      <c r="V272" s="35">
        <f>IF($F272="","",IFERROR(INDEX(사건마스터!$AS$5:$AS$64,MATCH($F272,사건마스터!$A$5:$A$64,0)),""))</f>
        <v/>
      </c>
      <c r="W272" s="35">
        <f>IF($F272="","",IFERROR(INDEX(사건마스터!$AT$5:$AT$64,MATCH($F272,사건마스터!$A$5:$A$64,0)),""))</f>
        <v/>
      </c>
      <c r="X272" s="35">
        <f>IF($F272="","",IFERROR(INDEX(사건마스터!$AU$5:$AU$64,MATCH($F272,사건마스터!$A$5:$A$64,0)),""))</f>
        <v/>
      </c>
      <c r="Y272" s="35">
        <f>IF($F272="","",IFERROR(INDEX(사건마스터!$AV$5:$AV$64,MATCH($F272,사건마스터!$A$5:$A$64,0)),""))</f>
        <v/>
      </c>
      <c r="Z272" s="30">
        <f>IF(COUNTBLANK($J272:$Y272)=16,"",16-COUNTBLANK($J272:$Y272))</f>
        <v/>
      </c>
      <c r="AA272" s="33">
        <f>IF($J272="",MID($AX272,3,255),$J272&amp;$AX272)</f>
        <v/>
      </c>
      <c r="AB272" s="34">
        <f>IF($J272="","",IFERROR(INDEX(코드설정!$D$5:$D$24,MATCH($J272,코드설정!$C$5:$C$24,0)),""))</f>
        <v/>
      </c>
      <c r="AC272" s="36" t="n"/>
      <c r="AD272" s="37" t="n"/>
      <c r="AE272" s="38" t="n"/>
      <c r="AF272" s="30">
        <f>IF(OR($B272="",$C272=""),"",$C272-$B272+1)</f>
        <v/>
      </c>
      <c r="AG272" s="32" t="n"/>
      <c r="AH272" s="36" t="n"/>
      <c r="AJ272">
        <f>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  <c r="AX272">
        <f>AW272&amp;IF($Y272="","",", "&amp;$Y272)</f>
        <v/>
      </c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0">
        <f>IF($F273="","",COUNTIF($F$5:$F273,$F273))</f>
        <v/>
      </c>
      <c r="H273" s="33">
        <f>IF($F273="","",IFERROR(INDEX(사건마스터!$B$5:$B$64,MATCH($F273,사건마스터!$A$5:$A$64,0)),""))</f>
        <v/>
      </c>
      <c r="I273" s="34">
        <f>IF($F273="","",IFERROR(INDEX(사건마스터!$C$5:$C$64,MATCH($F273,사건마스터!$A$5:$A$64,0)),""))</f>
        <v/>
      </c>
      <c r="J273" s="35">
        <f>IF($F273="","",IFERROR(INDEX(사건마스터!$H$5:$H$64,MATCH($F273,사건마스터!$A$5:$A$64,0)),""))</f>
        <v/>
      </c>
      <c r="K273" s="35">
        <f>IF($F273="","",IFERROR(INDEX(사건마스터!$AH$5:$AH$64,MATCH($F273,사건마스터!$A$5:$A$64,0)),""))</f>
        <v/>
      </c>
      <c r="L273" s="35">
        <f>IF($F273="","",IFERROR(INDEX(사건마스터!$AI$5:$AI$64,MATCH($F273,사건마스터!$A$5:$A$64,0)),""))</f>
        <v/>
      </c>
      <c r="M273" s="35">
        <f>IF($F273="","",IFERROR(INDEX(사건마스터!$AJ$5:$AJ$64,MATCH($F273,사건마스터!$A$5:$A$64,0)),""))</f>
        <v/>
      </c>
      <c r="N273" s="35">
        <f>IF($F273="","",IFERROR(INDEX(사건마스터!$AK$5:$AK$64,MATCH($F273,사건마스터!$A$5:$A$64,0)),""))</f>
        <v/>
      </c>
      <c r="O273" s="35">
        <f>IF($F273="","",IFERROR(INDEX(사건마스터!$AL$5:$AL$64,MATCH($F273,사건마스터!$A$5:$A$64,0)),""))</f>
        <v/>
      </c>
      <c r="P273" s="35">
        <f>IF($F273="","",IFERROR(INDEX(사건마스터!$AM$5:$AM$64,MATCH($F273,사건마스터!$A$5:$A$64,0)),""))</f>
        <v/>
      </c>
      <c r="Q273" s="35">
        <f>IF($F273="","",IFERROR(INDEX(사건마스터!$AN$5:$AN$64,MATCH($F273,사건마스터!$A$5:$A$64,0)),""))</f>
        <v/>
      </c>
      <c r="R273" s="35">
        <f>IF($F273="","",IFERROR(INDEX(사건마스터!$AO$5:$AO$64,MATCH($F273,사건마스터!$A$5:$A$64,0)),""))</f>
        <v/>
      </c>
      <c r="S273" s="35">
        <f>IF($F273="","",IFERROR(INDEX(사건마스터!$AP$5:$AP$64,MATCH($F273,사건마스터!$A$5:$A$64,0)),""))</f>
        <v/>
      </c>
      <c r="T273" s="35">
        <f>IF($F273="","",IFERROR(INDEX(사건마스터!$AQ$5:$AQ$64,MATCH($F273,사건마스터!$A$5:$A$64,0)),""))</f>
        <v/>
      </c>
      <c r="U273" s="35">
        <f>IF($F273="","",IFERROR(INDEX(사건마스터!$AR$5:$AR$64,MATCH($F273,사건마스터!$A$5:$A$64,0)),""))</f>
        <v/>
      </c>
      <c r="V273" s="35">
        <f>IF($F273="","",IFERROR(INDEX(사건마스터!$AS$5:$AS$64,MATCH($F273,사건마스터!$A$5:$A$64,0)),""))</f>
        <v/>
      </c>
      <c r="W273" s="35">
        <f>IF($F273="","",IFERROR(INDEX(사건마스터!$AT$5:$AT$64,MATCH($F273,사건마스터!$A$5:$A$64,0)),""))</f>
        <v/>
      </c>
      <c r="X273" s="35">
        <f>IF($F273="","",IFERROR(INDEX(사건마스터!$AU$5:$AU$64,MATCH($F273,사건마스터!$A$5:$A$64,0)),""))</f>
        <v/>
      </c>
      <c r="Y273" s="35">
        <f>IF($F273="","",IFERROR(INDEX(사건마스터!$AV$5:$AV$64,MATCH($F273,사건마스터!$A$5:$A$64,0)),""))</f>
        <v/>
      </c>
      <c r="Z273" s="30">
        <f>IF(COUNTBLANK($J273:$Y273)=16,"",16-COUNTBLANK($J273:$Y273))</f>
        <v/>
      </c>
      <c r="AA273" s="33">
        <f>IF($J273="",MID($AX273,3,255),$J273&amp;$AX273)</f>
        <v/>
      </c>
      <c r="AB273" s="34">
        <f>IF($J273="","",IFERROR(INDEX(코드설정!$D$5:$D$24,MATCH($J273,코드설정!$C$5:$C$24,0)),""))</f>
        <v/>
      </c>
      <c r="AC273" s="36" t="n"/>
      <c r="AD273" s="37" t="n"/>
      <c r="AE273" s="38" t="n"/>
      <c r="AF273" s="30">
        <f>IF(OR($B273="",$C273=""),"",$C273-$B273+1)</f>
        <v/>
      </c>
      <c r="AG273" s="32" t="n"/>
      <c r="AH273" s="36" t="n"/>
      <c r="AJ273">
        <f>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  <c r="AX273">
        <f>AW273&amp;IF($Y273="","",", "&amp;$Y273)</f>
        <v/>
      </c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0">
        <f>IF($F274="","",COUNTIF($F$5:$F274,$F274))</f>
        <v/>
      </c>
      <c r="H274" s="33">
        <f>IF($F274="","",IFERROR(INDEX(사건마스터!$B$5:$B$64,MATCH($F274,사건마스터!$A$5:$A$64,0)),""))</f>
        <v/>
      </c>
      <c r="I274" s="34">
        <f>IF($F274="","",IFERROR(INDEX(사건마스터!$C$5:$C$64,MATCH($F274,사건마스터!$A$5:$A$64,0)),""))</f>
        <v/>
      </c>
      <c r="J274" s="35">
        <f>IF($F274="","",IFERROR(INDEX(사건마스터!$H$5:$H$64,MATCH($F274,사건마스터!$A$5:$A$64,0)),""))</f>
        <v/>
      </c>
      <c r="K274" s="35">
        <f>IF($F274="","",IFERROR(INDEX(사건마스터!$AH$5:$AH$64,MATCH($F274,사건마스터!$A$5:$A$64,0)),""))</f>
        <v/>
      </c>
      <c r="L274" s="35">
        <f>IF($F274="","",IFERROR(INDEX(사건마스터!$AI$5:$AI$64,MATCH($F274,사건마스터!$A$5:$A$64,0)),""))</f>
        <v/>
      </c>
      <c r="M274" s="35">
        <f>IF($F274="","",IFERROR(INDEX(사건마스터!$AJ$5:$AJ$64,MATCH($F274,사건마스터!$A$5:$A$64,0)),""))</f>
        <v/>
      </c>
      <c r="N274" s="35">
        <f>IF($F274="","",IFERROR(INDEX(사건마스터!$AK$5:$AK$64,MATCH($F274,사건마스터!$A$5:$A$64,0)),""))</f>
        <v/>
      </c>
      <c r="O274" s="35">
        <f>IF($F274="","",IFERROR(INDEX(사건마스터!$AL$5:$AL$64,MATCH($F274,사건마스터!$A$5:$A$64,0)),""))</f>
        <v/>
      </c>
      <c r="P274" s="35">
        <f>IF($F274="","",IFERROR(INDEX(사건마스터!$AM$5:$AM$64,MATCH($F274,사건마스터!$A$5:$A$64,0)),""))</f>
        <v/>
      </c>
      <c r="Q274" s="35">
        <f>IF($F274="","",IFERROR(INDEX(사건마스터!$AN$5:$AN$64,MATCH($F274,사건마스터!$A$5:$A$64,0)),""))</f>
        <v/>
      </c>
      <c r="R274" s="35">
        <f>IF($F274="","",IFERROR(INDEX(사건마스터!$AO$5:$AO$64,MATCH($F274,사건마스터!$A$5:$A$64,0)),""))</f>
        <v/>
      </c>
      <c r="S274" s="35">
        <f>IF($F274="","",IFERROR(INDEX(사건마스터!$AP$5:$AP$64,MATCH($F274,사건마스터!$A$5:$A$64,0)),""))</f>
        <v/>
      </c>
      <c r="T274" s="35">
        <f>IF($F274="","",IFERROR(INDEX(사건마스터!$AQ$5:$AQ$64,MATCH($F274,사건마스터!$A$5:$A$64,0)),""))</f>
        <v/>
      </c>
      <c r="U274" s="35">
        <f>IF($F274="","",IFERROR(INDEX(사건마스터!$AR$5:$AR$64,MATCH($F274,사건마스터!$A$5:$A$64,0)),""))</f>
        <v/>
      </c>
      <c r="V274" s="35">
        <f>IF($F274="","",IFERROR(INDEX(사건마스터!$AS$5:$AS$64,MATCH($F274,사건마스터!$A$5:$A$64,0)),""))</f>
        <v/>
      </c>
      <c r="W274" s="35">
        <f>IF($F274="","",IFERROR(INDEX(사건마스터!$AT$5:$AT$64,MATCH($F274,사건마스터!$A$5:$A$64,0)),""))</f>
        <v/>
      </c>
      <c r="X274" s="35">
        <f>IF($F274="","",IFERROR(INDEX(사건마스터!$AU$5:$AU$64,MATCH($F274,사건마스터!$A$5:$A$64,0)),""))</f>
        <v/>
      </c>
      <c r="Y274" s="35">
        <f>IF($F274="","",IFERROR(INDEX(사건마스터!$AV$5:$AV$64,MATCH($F274,사건마스터!$A$5:$A$64,0)),""))</f>
        <v/>
      </c>
      <c r="Z274" s="30">
        <f>IF(COUNTBLANK($J274:$Y274)=16,"",16-COUNTBLANK($J274:$Y274))</f>
        <v/>
      </c>
      <c r="AA274" s="33">
        <f>IF($J274="",MID($AX274,3,255),$J274&amp;$AX274)</f>
        <v/>
      </c>
      <c r="AB274" s="34">
        <f>IF($J274="","",IFERROR(INDEX(코드설정!$D$5:$D$24,MATCH($J274,코드설정!$C$5:$C$24,0)),""))</f>
        <v/>
      </c>
      <c r="AC274" s="36" t="n"/>
      <c r="AD274" s="37" t="n"/>
      <c r="AE274" s="38" t="n"/>
      <c r="AF274" s="30">
        <f>IF(OR($B274="",$C274=""),"",$C274-$B274+1)</f>
        <v/>
      </c>
      <c r="AG274" s="32" t="n"/>
      <c r="AH274" s="36" t="n"/>
      <c r="AJ274">
        <f>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  <c r="AX274">
        <f>AW274&amp;IF($Y274="","",", "&amp;$Y274)</f>
        <v/>
      </c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0">
        <f>IF($F275="","",COUNTIF($F$5:$F275,$F275))</f>
        <v/>
      </c>
      <c r="H275" s="33">
        <f>IF($F275="","",IFERROR(INDEX(사건마스터!$B$5:$B$64,MATCH($F275,사건마스터!$A$5:$A$64,0)),""))</f>
        <v/>
      </c>
      <c r="I275" s="34">
        <f>IF($F275="","",IFERROR(INDEX(사건마스터!$C$5:$C$64,MATCH($F275,사건마스터!$A$5:$A$64,0)),""))</f>
        <v/>
      </c>
      <c r="J275" s="35">
        <f>IF($F275="","",IFERROR(INDEX(사건마스터!$H$5:$H$64,MATCH($F275,사건마스터!$A$5:$A$64,0)),""))</f>
        <v/>
      </c>
      <c r="K275" s="35">
        <f>IF($F275="","",IFERROR(INDEX(사건마스터!$AH$5:$AH$64,MATCH($F275,사건마스터!$A$5:$A$64,0)),""))</f>
        <v/>
      </c>
      <c r="L275" s="35">
        <f>IF($F275="","",IFERROR(INDEX(사건마스터!$AI$5:$AI$64,MATCH($F275,사건마스터!$A$5:$A$64,0)),""))</f>
        <v/>
      </c>
      <c r="M275" s="35">
        <f>IF($F275="","",IFERROR(INDEX(사건마스터!$AJ$5:$AJ$64,MATCH($F275,사건마스터!$A$5:$A$64,0)),""))</f>
        <v/>
      </c>
      <c r="N275" s="35">
        <f>IF($F275="","",IFERROR(INDEX(사건마스터!$AK$5:$AK$64,MATCH($F275,사건마스터!$A$5:$A$64,0)),""))</f>
        <v/>
      </c>
      <c r="O275" s="35">
        <f>IF($F275="","",IFERROR(INDEX(사건마스터!$AL$5:$AL$64,MATCH($F275,사건마스터!$A$5:$A$64,0)),""))</f>
        <v/>
      </c>
      <c r="P275" s="35">
        <f>IF($F275="","",IFERROR(INDEX(사건마스터!$AM$5:$AM$64,MATCH($F275,사건마스터!$A$5:$A$64,0)),""))</f>
        <v/>
      </c>
      <c r="Q275" s="35">
        <f>IF($F275="","",IFERROR(INDEX(사건마스터!$AN$5:$AN$64,MATCH($F275,사건마스터!$A$5:$A$64,0)),""))</f>
        <v/>
      </c>
      <c r="R275" s="35">
        <f>IF($F275="","",IFERROR(INDEX(사건마스터!$AO$5:$AO$64,MATCH($F275,사건마스터!$A$5:$A$64,0)),""))</f>
        <v/>
      </c>
      <c r="S275" s="35">
        <f>IF($F275="","",IFERROR(INDEX(사건마스터!$AP$5:$AP$64,MATCH($F275,사건마스터!$A$5:$A$64,0)),""))</f>
        <v/>
      </c>
      <c r="T275" s="35">
        <f>IF($F275="","",IFERROR(INDEX(사건마스터!$AQ$5:$AQ$64,MATCH($F275,사건마스터!$A$5:$A$64,0)),""))</f>
        <v/>
      </c>
      <c r="U275" s="35">
        <f>IF($F275="","",IFERROR(INDEX(사건마스터!$AR$5:$AR$64,MATCH($F275,사건마스터!$A$5:$A$64,0)),""))</f>
        <v/>
      </c>
      <c r="V275" s="35">
        <f>IF($F275="","",IFERROR(INDEX(사건마스터!$AS$5:$AS$64,MATCH($F275,사건마스터!$A$5:$A$64,0)),""))</f>
        <v/>
      </c>
      <c r="W275" s="35">
        <f>IF($F275="","",IFERROR(INDEX(사건마스터!$AT$5:$AT$64,MATCH($F275,사건마스터!$A$5:$A$64,0)),""))</f>
        <v/>
      </c>
      <c r="X275" s="35">
        <f>IF($F275="","",IFERROR(INDEX(사건마스터!$AU$5:$AU$64,MATCH($F275,사건마스터!$A$5:$A$64,0)),""))</f>
        <v/>
      </c>
      <c r="Y275" s="35">
        <f>IF($F275="","",IFERROR(INDEX(사건마스터!$AV$5:$AV$64,MATCH($F275,사건마스터!$A$5:$A$64,0)),""))</f>
        <v/>
      </c>
      <c r="Z275" s="30">
        <f>IF(COUNTBLANK($J275:$Y275)=16,"",16-COUNTBLANK($J275:$Y275))</f>
        <v/>
      </c>
      <c r="AA275" s="33">
        <f>IF($J275="",MID($AX275,3,255),$J275&amp;$AX275)</f>
        <v/>
      </c>
      <c r="AB275" s="34">
        <f>IF($J275="","",IFERROR(INDEX(코드설정!$D$5:$D$24,MATCH($J275,코드설정!$C$5:$C$24,0)),""))</f>
        <v/>
      </c>
      <c r="AC275" s="36" t="n"/>
      <c r="AD275" s="37" t="n"/>
      <c r="AE275" s="38" t="n"/>
      <c r="AF275" s="30">
        <f>IF(OR($B275="",$C275=""),"",$C275-$B275+1)</f>
        <v/>
      </c>
      <c r="AG275" s="32" t="n"/>
      <c r="AH275" s="36" t="n"/>
      <c r="AJ275">
        <f>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  <c r="AX275">
        <f>AW275&amp;IF($Y275="","",", "&amp;$Y275)</f>
        <v/>
      </c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0">
        <f>IF($F276="","",COUNTIF($F$5:$F276,$F276))</f>
        <v/>
      </c>
      <c r="H276" s="33">
        <f>IF($F276="","",IFERROR(INDEX(사건마스터!$B$5:$B$64,MATCH($F276,사건마스터!$A$5:$A$64,0)),""))</f>
        <v/>
      </c>
      <c r="I276" s="34">
        <f>IF($F276="","",IFERROR(INDEX(사건마스터!$C$5:$C$64,MATCH($F276,사건마스터!$A$5:$A$64,0)),""))</f>
        <v/>
      </c>
      <c r="J276" s="35">
        <f>IF($F276="","",IFERROR(INDEX(사건마스터!$H$5:$H$64,MATCH($F276,사건마스터!$A$5:$A$64,0)),""))</f>
        <v/>
      </c>
      <c r="K276" s="35">
        <f>IF($F276="","",IFERROR(INDEX(사건마스터!$AH$5:$AH$64,MATCH($F276,사건마스터!$A$5:$A$64,0)),""))</f>
        <v/>
      </c>
      <c r="L276" s="35">
        <f>IF($F276="","",IFERROR(INDEX(사건마스터!$AI$5:$AI$64,MATCH($F276,사건마스터!$A$5:$A$64,0)),""))</f>
        <v/>
      </c>
      <c r="M276" s="35">
        <f>IF($F276="","",IFERROR(INDEX(사건마스터!$AJ$5:$AJ$64,MATCH($F276,사건마스터!$A$5:$A$64,0)),""))</f>
        <v/>
      </c>
      <c r="N276" s="35">
        <f>IF($F276="","",IFERROR(INDEX(사건마스터!$AK$5:$AK$64,MATCH($F276,사건마스터!$A$5:$A$64,0)),""))</f>
        <v/>
      </c>
      <c r="O276" s="35">
        <f>IF($F276="","",IFERROR(INDEX(사건마스터!$AL$5:$AL$64,MATCH($F276,사건마스터!$A$5:$A$64,0)),""))</f>
        <v/>
      </c>
      <c r="P276" s="35">
        <f>IF($F276="","",IFERROR(INDEX(사건마스터!$AM$5:$AM$64,MATCH($F276,사건마스터!$A$5:$A$64,0)),""))</f>
        <v/>
      </c>
      <c r="Q276" s="35">
        <f>IF($F276="","",IFERROR(INDEX(사건마스터!$AN$5:$AN$64,MATCH($F276,사건마스터!$A$5:$A$64,0)),""))</f>
        <v/>
      </c>
      <c r="R276" s="35">
        <f>IF($F276="","",IFERROR(INDEX(사건마스터!$AO$5:$AO$64,MATCH($F276,사건마스터!$A$5:$A$64,0)),""))</f>
        <v/>
      </c>
      <c r="S276" s="35">
        <f>IF($F276="","",IFERROR(INDEX(사건마스터!$AP$5:$AP$64,MATCH($F276,사건마스터!$A$5:$A$64,0)),""))</f>
        <v/>
      </c>
      <c r="T276" s="35">
        <f>IF($F276="","",IFERROR(INDEX(사건마스터!$AQ$5:$AQ$64,MATCH($F276,사건마스터!$A$5:$A$64,0)),""))</f>
        <v/>
      </c>
      <c r="U276" s="35">
        <f>IF($F276="","",IFERROR(INDEX(사건마스터!$AR$5:$AR$64,MATCH($F276,사건마스터!$A$5:$A$64,0)),""))</f>
        <v/>
      </c>
      <c r="V276" s="35">
        <f>IF($F276="","",IFERROR(INDEX(사건마스터!$AS$5:$AS$64,MATCH($F276,사건마스터!$A$5:$A$64,0)),""))</f>
        <v/>
      </c>
      <c r="W276" s="35">
        <f>IF($F276="","",IFERROR(INDEX(사건마스터!$AT$5:$AT$64,MATCH($F276,사건마스터!$A$5:$A$64,0)),""))</f>
        <v/>
      </c>
      <c r="X276" s="35">
        <f>IF($F276="","",IFERROR(INDEX(사건마스터!$AU$5:$AU$64,MATCH($F276,사건마스터!$A$5:$A$64,0)),""))</f>
        <v/>
      </c>
      <c r="Y276" s="35">
        <f>IF($F276="","",IFERROR(INDEX(사건마스터!$AV$5:$AV$64,MATCH($F276,사건마스터!$A$5:$A$64,0)),""))</f>
        <v/>
      </c>
      <c r="Z276" s="30">
        <f>IF(COUNTBLANK($J276:$Y276)=16,"",16-COUNTBLANK($J276:$Y276))</f>
        <v/>
      </c>
      <c r="AA276" s="33">
        <f>IF($J276="",MID($AX276,3,255),$J276&amp;$AX276)</f>
        <v/>
      </c>
      <c r="AB276" s="34">
        <f>IF($J276="","",IFERROR(INDEX(코드설정!$D$5:$D$24,MATCH($J276,코드설정!$C$5:$C$24,0)),""))</f>
        <v/>
      </c>
      <c r="AC276" s="36" t="n"/>
      <c r="AD276" s="37" t="n"/>
      <c r="AE276" s="38" t="n"/>
      <c r="AF276" s="30">
        <f>IF(OR($B276="",$C276=""),"",$C276-$B276+1)</f>
        <v/>
      </c>
      <c r="AG276" s="32" t="n"/>
      <c r="AH276" s="36" t="n"/>
      <c r="AJ276">
        <f>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  <c r="AX276">
        <f>AW276&amp;IF($Y276="","",", "&amp;$Y276)</f>
        <v/>
      </c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0">
        <f>IF($F277="","",COUNTIF($F$5:$F277,$F277))</f>
        <v/>
      </c>
      <c r="H277" s="33">
        <f>IF($F277="","",IFERROR(INDEX(사건마스터!$B$5:$B$64,MATCH($F277,사건마스터!$A$5:$A$64,0)),""))</f>
        <v/>
      </c>
      <c r="I277" s="34">
        <f>IF($F277="","",IFERROR(INDEX(사건마스터!$C$5:$C$64,MATCH($F277,사건마스터!$A$5:$A$64,0)),""))</f>
        <v/>
      </c>
      <c r="J277" s="35">
        <f>IF($F277="","",IFERROR(INDEX(사건마스터!$H$5:$H$64,MATCH($F277,사건마스터!$A$5:$A$64,0)),""))</f>
        <v/>
      </c>
      <c r="K277" s="35">
        <f>IF($F277="","",IFERROR(INDEX(사건마스터!$AH$5:$AH$64,MATCH($F277,사건마스터!$A$5:$A$64,0)),""))</f>
        <v/>
      </c>
      <c r="L277" s="35">
        <f>IF($F277="","",IFERROR(INDEX(사건마스터!$AI$5:$AI$64,MATCH($F277,사건마스터!$A$5:$A$64,0)),""))</f>
        <v/>
      </c>
      <c r="M277" s="35">
        <f>IF($F277="","",IFERROR(INDEX(사건마스터!$AJ$5:$AJ$64,MATCH($F277,사건마스터!$A$5:$A$64,0)),""))</f>
        <v/>
      </c>
      <c r="N277" s="35">
        <f>IF($F277="","",IFERROR(INDEX(사건마스터!$AK$5:$AK$64,MATCH($F277,사건마스터!$A$5:$A$64,0)),""))</f>
        <v/>
      </c>
      <c r="O277" s="35">
        <f>IF($F277="","",IFERROR(INDEX(사건마스터!$AL$5:$AL$64,MATCH($F277,사건마스터!$A$5:$A$64,0)),""))</f>
        <v/>
      </c>
      <c r="P277" s="35">
        <f>IF($F277="","",IFERROR(INDEX(사건마스터!$AM$5:$AM$64,MATCH($F277,사건마스터!$A$5:$A$64,0)),""))</f>
        <v/>
      </c>
      <c r="Q277" s="35">
        <f>IF($F277="","",IFERROR(INDEX(사건마스터!$AN$5:$AN$64,MATCH($F277,사건마스터!$A$5:$A$64,0)),""))</f>
        <v/>
      </c>
      <c r="R277" s="35">
        <f>IF($F277="","",IFERROR(INDEX(사건마스터!$AO$5:$AO$64,MATCH($F277,사건마스터!$A$5:$A$64,0)),""))</f>
        <v/>
      </c>
      <c r="S277" s="35">
        <f>IF($F277="","",IFERROR(INDEX(사건마스터!$AP$5:$AP$64,MATCH($F277,사건마스터!$A$5:$A$64,0)),""))</f>
        <v/>
      </c>
      <c r="T277" s="35">
        <f>IF($F277="","",IFERROR(INDEX(사건마스터!$AQ$5:$AQ$64,MATCH($F277,사건마스터!$A$5:$A$64,0)),""))</f>
        <v/>
      </c>
      <c r="U277" s="35">
        <f>IF($F277="","",IFERROR(INDEX(사건마스터!$AR$5:$AR$64,MATCH($F277,사건마스터!$A$5:$A$64,0)),""))</f>
        <v/>
      </c>
      <c r="V277" s="35">
        <f>IF($F277="","",IFERROR(INDEX(사건마스터!$AS$5:$AS$64,MATCH($F277,사건마스터!$A$5:$A$64,0)),""))</f>
        <v/>
      </c>
      <c r="W277" s="35">
        <f>IF($F277="","",IFERROR(INDEX(사건마스터!$AT$5:$AT$64,MATCH($F277,사건마스터!$A$5:$A$64,0)),""))</f>
        <v/>
      </c>
      <c r="X277" s="35">
        <f>IF($F277="","",IFERROR(INDEX(사건마스터!$AU$5:$AU$64,MATCH($F277,사건마스터!$A$5:$A$64,0)),""))</f>
        <v/>
      </c>
      <c r="Y277" s="35">
        <f>IF($F277="","",IFERROR(INDEX(사건마스터!$AV$5:$AV$64,MATCH($F277,사건마스터!$A$5:$A$64,0)),""))</f>
        <v/>
      </c>
      <c r="Z277" s="30">
        <f>IF(COUNTBLANK($J277:$Y277)=16,"",16-COUNTBLANK($J277:$Y277))</f>
        <v/>
      </c>
      <c r="AA277" s="33">
        <f>IF($J277="",MID($AX277,3,255),$J277&amp;$AX277)</f>
        <v/>
      </c>
      <c r="AB277" s="34">
        <f>IF($J277="","",IFERROR(INDEX(코드설정!$D$5:$D$24,MATCH($J277,코드설정!$C$5:$C$24,0)),""))</f>
        <v/>
      </c>
      <c r="AC277" s="36" t="n"/>
      <c r="AD277" s="37" t="n"/>
      <c r="AE277" s="38" t="n"/>
      <c r="AF277" s="30">
        <f>IF(OR($B277="",$C277=""),"",$C277-$B277+1)</f>
        <v/>
      </c>
      <c r="AG277" s="32" t="n"/>
      <c r="AH277" s="36" t="n"/>
      <c r="AJ277">
        <f>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  <c r="AX277">
        <f>AW277&amp;IF($Y277="","",", "&amp;$Y277)</f>
        <v/>
      </c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0">
        <f>IF($F278="","",COUNTIF($F$5:$F278,$F278))</f>
        <v/>
      </c>
      <c r="H278" s="33">
        <f>IF($F278="","",IFERROR(INDEX(사건마스터!$B$5:$B$64,MATCH($F278,사건마스터!$A$5:$A$64,0)),""))</f>
        <v/>
      </c>
      <c r="I278" s="34">
        <f>IF($F278="","",IFERROR(INDEX(사건마스터!$C$5:$C$64,MATCH($F278,사건마스터!$A$5:$A$64,0)),""))</f>
        <v/>
      </c>
      <c r="J278" s="35">
        <f>IF($F278="","",IFERROR(INDEX(사건마스터!$H$5:$H$64,MATCH($F278,사건마스터!$A$5:$A$64,0)),""))</f>
        <v/>
      </c>
      <c r="K278" s="35">
        <f>IF($F278="","",IFERROR(INDEX(사건마스터!$AH$5:$AH$64,MATCH($F278,사건마스터!$A$5:$A$64,0)),""))</f>
        <v/>
      </c>
      <c r="L278" s="35">
        <f>IF($F278="","",IFERROR(INDEX(사건마스터!$AI$5:$AI$64,MATCH($F278,사건마스터!$A$5:$A$64,0)),""))</f>
        <v/>
      </c>
      <c r="M278" s="35">
        <f>IF($F278="","",IFERROR(INDEX(사건마스터!$AJ$5:$AJ$64,MATCH($F278,사건마스터!$A$5:$A$64,0)),""))</f>
        <v/>
      </c>
      <c r="N278" s="35">
        <f>IF($F278="","",IFERROR(INDEX(사건마스터!$AK$5:$AK$64,MATCH($F278,사건마스터!$A$5:$A$64,0)),""))</f>
        <v/>
      </c>
      <c r="O278" s="35">
        <f>IF($F278="","",IFERROR(INDEX(사건마스터!$AL$5:$AL$64,MATCH($F278,사건마스터!$A$5:$A$64,0)),""))</f>
        <v/>
      </c>
      <c r="P278" s="35">
        <f>IF($F278="","",IFERROR(INDEX(사건마스터!$AM$5:$AM$64,MATCH($F278,사건마스터!$A$5:$A$64,0)),""))</f>
        <v/>
      </c>
      <c r="Q278" s="35">
        <f>IF($F278="","",IFERROR(INDEX(사건마스터!$AN$5:$AN$64,MATCH($F278,사건마스터!$A$5:$A$64,0)),""))</f>
        <v/>
      </c>
      <c r="R278" s="35">
        <f>IF($F278="","",IFERROR(INDEX(사건마스터!$AO$5:$AO$64,MATCH($F278,사건마스터!$A$5:$A$64,0)),""))</f>
        <v/>
      </c>
      <c r="S278" s="35">
        <f>IF($F278="","",IFERROR(INDEX(사건마스터!$AP$5:$AP$64,MATCH($F278,사건마스터!$A$5:$A$64,0)),""))</f>
        <v/>
      </c>
      <c r="T278" s="35">
        <f>IF($F278="","",IFERROR(INDEX(사건마스터!$AQ$5:$AQ$64,MATCH($F278,사건마스터!$A$5:$A$64,0)),""))</f>
        <v/>
      </c>
      <c r="U278" s="35">
        <f>IF($F278="","",IFERROR(INDEX(사건마스터!$AR$5:$AR$64,MATCH($F278,사건마스터!$A$5:$A$64,0)),""))</f>
        <v/>
      </c>
      <c r="V278" s="35">
        <f>IF($F278="","",IFERROR(INDEX(사건마스터!$AS$5:$AS$64,MATCH($F278,사건마스터!$A$5:$A$64,0)),""))</f>
        <v/>
      </c>
      <c r="W278" s="35">
        <f>IF($F278="","",IFERROR(INDEX(사건마스터!$AT$5:$AT$64,MATCH($F278,사건마스터!$A$5:$A$64,0)),""))</f>
        <v/>
      </c>
      <c r="X278" s="35">
        <f>IF($F278="","",IFERROR(INDEX(사건마스터!$AU$5:$AU$64,MATCH($F278,사건마스터!$A$5:$A$64,0)),""))</f>
        <v/>
      </c>
      <c r="Y278" s="35">
        <f>IF($F278="","",IFERROR(INDEX(사건마스터!$AV$5:$AV$64,MATCH($F278,사건마스터!$A$5:$A$64,0)),""))</f>
        <v/>
      </c>
      <c r="Z278" s="30">
        <f>IF(COUNTBLANK($J278:$Y278)=16,"",16-COUNTBLANK($J278:$Y278))</f>
        <v/>
      </c>
      <c r="AA278" s="33">
        <f>IF($J278="",MID($AX278,3,255),$J278&amp;$AX278)</f>
        <v/>
      </c>
      <c r="AB278" s="34">
        <f>IF($J278="","",IFERROR(INDEX(코드설정!$D$5:$D$24,MATCH($J278,코드설정!$C$5:$C$24,0)),""))</f>
        <v/>
      </c>
      <c r="AC278" s="36" t="n"/>
      <c r="AD278" s="37" t="n"/>
      <c r="AE278" s="38" t="n"/>
      <c r="AF278" s="30">
        <f>IF(OR($B278="",$C278=""),"",$C278-$B278+1)</f>
        <v/>
      </c>
      <c r="AG278" s="32" t="n"/>
      <c r="AH278" s="36" t="n"/>
      <c r="AJ278">
        <f>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  <c r="AX278">
        <f>AW278&amp;IF($Y278="","",", "&amp;$Y278)</f>
        <v/>
      </c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0">
        <f>IF($F279="","",COUNTIF($F$5:$F279,$F279))</f>
        <v/>
      </c>
      <c r="H279" s="33">
        <f>IF($F279="","",IFERROR(INDEX(사건마스터!$B$5:$B$64,MATCH($F279,사건마스터!$A$5:$A$64,0)),""))</f>
        <v/>
      </c>
      <c r="I279" s="34">
        <f>IF($F279="","",IFERROR(INDEX(사건마스터!$C$5:$C$64,MATCH($F279,사건마스터!$A$5:$A$64,0)),""))</f>
        <v/>
      </c>
      <c r="J279" s="35">
        <f>IF($F279="","",IFERROR(INDEX(사건마스터!$H$5:$H$64,MATCH($F279,사건마스터!$A$5:$A$64,0)),""))</f>
        <v/>
      </c>
      <c r="K279" s="35">
        <f>IF($F279="","",IFERROR(INDEX(사건마스터!$AH$5:$AH$64,MATCH($F279,사건마스터!$A$5:$A$64,0)),""))</f>
        <v/>
      </c>
      <c r="L279" s="35">
        <f>IF($F279="","",IFERROR(INDEX(사건마스터!$AI$5:$AI$64,MATCH($F279,사건마스터!$A$5:$A$64,0)),""))</f>
        <v/>
      </c>
      <c r="M279" s="35">
        <f>IF($F279="","",IFERROR(INDEX(사건마스터!$AJ$5:$AJ$64,MATCH($F279,사건마스터!$A$5:$A$64,0)),""))</f>
        <v/>
      </c>
      <c r="N279" s="35">
        <f>IF($F279="","",IFERROR(INDEX(사건마스터!$AK$5:$AK$64,MATCH($F279,사건마스터!$A$5:$A$64,0)),""))</f>
        <v/>
      </c>
      <c r="O279" s="35">
        <f>IF($F279="","",IFERROR(INDEX(사건마스터!$AL$5:$AL$64,MATCH($F279,사건마스터!$A$5:$A$64,0)),""))</f>
        <v/>
      </c>
      <c r="P279" s="35">
        <f>IF($F279="","",IFERROR(INDEX(사건마스터!$AM$5:$AM$64,MATCH($F279,사건마스터!$A$5:$A$64,0)),""))</f>
        <v/>
      </c>
      <c r="Q279" s="35">
        <f>IF($F279="","",IFERROR(INDEX(사건마스터!$AN$5:$AN$64,MATCH($F279,사건마스터!$A$5:$A$64,0)),""))</f>
        <v/>
      </c>
      <c r="R279" s="35">
        <f>IF($F279="","",IFERROR(INDEX(사건마스터!$AO$5:$AO$64,MATCH($F279,사건마스터!$A$5:$A$64,0)),""))</f>
        <v/>
      </c>
      <c r="S279" s="35">
        <f>IF($F279="","",IFERROR(INDEX(사건마스터!$AP$5:$AP$64,MATCH($F279,사건마스터!$A$5:$A$64,0)),""))</f>
        <v/>
      </c>
      <c r="T279" s="35">
        <f>IF($F279="","",IFERROR(INDEX(사건마스터!$AQ$5:$AQ$64,MATCH($F279,사건마스터!$A$5:$A$64,0)),""))</f>
        <v/>
      </c>
      <c r="U279" s="35">
        <f>IF($F279="","",IFERROR(INDEX(사건마스터!$AR$5:$AR$64,MATCH($F279,사건마스터!$A$5:$A$64,0)),""))</f>
        <v/>
      </c>
      <c r="V279" s="35">
        <f>IF($F279="","",IFERROR(INDEX(사건마스터!$AS$5:$AS$64,MATCH($F279,사건마스터!$A$5:$A$64,0)),""))</f>
        <v/>
      </c>
      <c r="W279" s="35">
        <f>IF($F279="","",IFERROR(INDEX(사건마스터!$AT$5:$AT$64,MATCH($F279,사건마스터!$A$5:$A$64,0)),""))</f>
        <v/>
      </c>
      <c r="X279" s="35">
        <f>IF($F279="","",IFERROR(INDEX(사건마스터!$AU$5:$AU$64,MATCH($F279,사건마스터!$A$5:$A$64,0)),""))</f>
        <v/>
      </c>
      <c r="Y279" s="35">
        <f>IF($F279="","",IFERROR(INDEX(사건마스터!$AV$5:$AV$64,MATCH($F279,사건마스터!$A$5:$A$64,0)),""))</f>
        <v/>
      </c>
      <c r="Z279" s="30">
        <f>IF(COUNTBLANK($J279:$Y279)=16,"",16-COUNTBLANK($J279:$Y279))</f>
        <v/>
      </c>
      <c r="AA279" s="33">
        <f>IF($J279="",MID($AX279,3,255),$J279&amp;$AX279)</f>
        <v/>
      </c>
      <c r="AB279" s="34">
        <f>IF($J279="","",IFERROR(INDEX(코드설정!$D$5:$D$24,MATCH($J279,코드설정!$C$5:$C$24,0)),""))</f>
        <v/>
      </c>
      <c r="AC279" s="36" t="n"/>
      <c r="AD279" s="37" t="n"/>
      <c r="AE279" s="38" t="n"/>
      <c r="AF279" s="30">
        <f>IF(OR($B279="",$C279=""),"",$C279-$B279+1)</f>
        <v/>
      </c>
      <c r="AG279" s="32" t="n"/>
      <c r="AH279" s="36" t="n"/>
      <c r="AJ279">
        <f>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  <c r="AX279">
        <f>AW279&amp;IF($Y279="","",", "&amp;$Y279)</f>
        <v/>
      </c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0">
        <f>IF($F280="","",COUNTIF($F$5:$F280,$F280))</f>
        <v/>
      </c>
      <c r="H280" s="33">
        <f>IF($F280="","",IFERROR(INDEX(사건마스터!$B$5:$B$64,MATCH($F280,사건마스터!$A$5:$A$64,0)),""))</f>
        <v/>
      </c>
      <c r="I280" s="34">
        <f>IF($F280="","",IFERROR(INDEX(사건마스터!$C$5:$C$64,MATCH($F280,사건마스터!$A$5:$A$64,0)),""))</f>
        <v/>
      </c>
      <c r="J280" s="35">
        <f>IF($F280="","",IFERROR(INDEX(사건마스터!$H$5:$H$64,MATCH($F280,사건마스터!$A$5:$A$64,0)),""))</f>
        <v/>
      </c>
      <c r="K280" s="35">
        <f>IF($F280="","",IFERROR(INDEX(사건마스터!$AH$5:$AH$64,MATCH($F280,사건마스터!$A$5:$A$64,0)),""))</f>
        <v/>
      </c>
      <c r="L280" s="35">
        <f>IF($F280="","",IFERROR(INDEX(사건마스터!$AI$5:$AI$64,MATCH($F280,사건마스터!$A$5:$A$64,0)),""))</f>
        <v/>
      </c>
      <c r="M280" s="35">
        <f>IF($F280="","",IFERROR(INDEX(사건마스터!$AJ$5:$AJ$64,MATCH($F280,사건마스터!$A$5:$A$64,0)),""))</f>
        <v/>
      </c>
      <c r="N280" s="35">
        <f>IF($F280="","",IFERROR(INDEX(사건마스터!$AK$5:$AK$64,MATCH($F280,사건마스터!$A$5:$A$64,0)),""))</f>
        <v/>
      </c>
      <c r="O280" s="35">
        <f>IF($F280="","",IFERROR(INDEX(사건마스터!$AL$5:$AL$64,MATCH($F280,사건마스터!$A$5:$A$64,0)),""))</f>
        <v/>
      </c>
      <c r="P280" s="35">
        <f>IF($F280="","",IFERROR(INDEX(사건마스터!$AM$5:$AM$64,MATCH($F280,사건마스터!$A$5:$A$64,0)),""))</f>
        <v/>
      </c>
      <c r="Q280" s="35">
        <f>IF($F280="","",IFERROR(INDEX(사건마스터!$AN$5:$AN$64,MATCH($F280,사건마스터!$A$5:$A$64,0)),""))</f>
        <v/>
      </c>
      <c r="R280" s="35">
        <f>IF($F280="","",IFERROR(INDEX(사건마스터!$AO$5:$AO$64,MATCH($F280,사건마스터!$A$5:$A$64,0)),""))</f>
        <v/>
      </c>
      <c r="S280" s="35">
        <f>IF($F280="","",IFERROR(INDEX(사건마스터!$AP$5:$AP$64,MATCH($F280,사건마스터!$A$5:$A$64,0)),""))</f>
        <v/>
      </c>
      <c r="T280" s="35">
        <f>IF($F280="","",IFERROR(INDEX(사건마스터!$AQ$5:$AQ$64,MATCH($F280,사건마스터!$A$5:$A$64,0)),""))</f>
        <v/>
      </c>
      <c r="U280" s="35">
        <f>IF($F280="","",IFERROR(INDEX(사건마스터!$AR$5:$AR$64,MATCH($F280,사건마스터!$A$5:$A$64,0)),""))</f>
        <v/>
      </c>
      <c r="V280" s="35">
        <f>IF($F280="","",IFERROR(INDEX(사건마스터!$AS$5:$AS$64,MATCH($F280,사건마스터!$A$5:$A$64,0)),""))</f>
        <v/>
      </c>
      <c r="W280" s="35">
        <f>IF($F280="","",IFERROR(INDEX(사건마스터!$AT$5:$AT$64,MATCH($F280,사건마스터!$A$5:$A$64,0)),""))</f>
        <v/>
      </c>
      <c r="X280" s="35">
        <f>IF($F280="","",IFERROR(INDEX(사건마스터!$AU$5:$AU$64,MATCH($F280,사건마스터!$A$5:$A$64,0)),""))</f>
        <v/>
      </c>
      <c r="Y280" s="35">
        <f>IF($F280="","",IFERROR(INDEX(사건마스터!$AV$5:$AV$64,MATCH($F280,사건마스터!$A$5:$A$64,0)),""))</f>
        <v/>
      </c>
      <c r="Z280" s="30">
        <f>IF(COUNTBLANK($J280:$Y280)=16,"",16-COUNTBLANK($J280:$Y280))</f>
        <v/>
      </c>
      <c r="AA280" s="33">
        <f>IF($J280="",MID($AX280,3,255),$J280&amp;$AX280)</f>
        <v/>
      </c>
      <c r="AB280" s="34">
        <f>IF($J280="","",IFERROR(INDEX(코드설정!$D$5:$D$24,MATCH($J280,코드설정!$C$5:$C$24,0)),""))</f>
        <v/>
      </c>
      <c r="AC280" s="36" t="n"/>
      <c r="AD280" s="37" t="n"/>
      <c r="AE280" s="38" t="n"/>
      <c r="AF280" s="30">
        <f>IF(OR($B280="",$C280=""),"",$C280-$B280+1)</f>
        <v/>
      </c>
      <c r="AG280" s="32" t="n"/>
      <c r="AH280" s="36" t="n"/>
      <c r="AJ280">
        <f>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  <c r="AX280">
        <f>AW280&amp;IF($Y280="","",", "&amp;$Y280)</f>
        <v/>
      </c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0">
        <f>IF($F281="","",COUNTIF($F$5:$F281,$F281))</f>
        <v/>
      </c>
      <c r="H281" s="33">
        <f>IF($F281="","",IFERROR(INDEX(사건마스터!$B$5:$B$64,MATCH($F281,사건마스터!$A$5:$A$64,0)),""))</f>
        <v/>
      </c>
      <c r="I281" s="34">
        <f>IF($F281="","",IFERROR(INDEX(사건마스터!$C$5:$C$64,MATCH($F281,사건마스터!$A$5:$A$64,0)),""))</f>
        <v/>
      </c>
      <c r="J281" s="35">
        <f>IF($F281="","",IFERROR(INDEX(사건마스터!$H$5:$H$64,MATCH($F281,사건마스터!$A$5:$A$64,0)),""))</f>
        <v/>
      </c>
      <c r="K281" s="35">
        <f>IF($F281="","",IFERROR(INDEX(사건마스터!$AH$5:$AH$64,MATCH($F281,사건마스터!$A$5:$A$64,0)),""))</f>
        <v/>
      </c>
      <c r="L281" s="35">
        <f>IF($F281="","",IFERROR(INDEX(사건마스터!$AI$5:$AI$64,MATCH($F281,사건마스터!$A$5:$A$64,0)),""))</f>
        <v/>
      </c>
      <c r="M281" s="35">
        <f>IF($F281="","",IFERROR(INDEX(사건마스터!$AJ$5:$AJ$64,MATCH($F281,사건마스터!$A$5:$A$64,0)),""))</f>
        <v/>
      </c>
      <c r="N281" s="35">
        <f>IF($F281="","",IFERROR(INDEX(사건마스터!$AK$5:$AK$64,MATCH($F281,사건마스터!$A$5:$A$64,0)),""))</f>
        <v/>
      </c>
      <c r="O281" s="35">
        <f>IF($F281="","",IFERROR(INDEX(사건마스터!$AL$5:$AL$64,MATCH($F281,사건마스터!$A$5:$A$64,0)),""))</f>
        <v/>
      </c>
      <c r="P281" s="35">
        <f>IF($F281="","",IFERROR(INDEX(사건마스터!$AM$5:$AM$64,MATCH($F281,사건마스터!$A$5:$A$64,0)),""))</f>
        <v/>
      </c>
      <c r="Q281" s="35">
        <f>IF($F281="","",IFERROR(INDEX(사건마스터!$AN$5:$AN$64,MATCH($F281,사건마스터!$A$5:$A$64,0)),""))</f>
        <v/>
      </c>
      <c r="R281" s="35">
        <f>IF($F281="","",IFERROR(INDEX(사건마스터!$AO$5:$AO$64,MATCH($F281,사건마스터!$A$5:$A$64,0)),""))</f>
        <v/>
      </c>
      <c r="S281" s="35">
        <f>IF($F281="","",IFERROR(INDEX(사건마스터!$AP$5:$AP$64,MATCH($F281,사건마스터!$A$5:$A$64,0)),""))</f>
        <v/>
      </c>
      <c r="T281" s="35">
        <f>IF($F281="","",IFERROR(INDEX(사건마스터!$AQ$5:$AQ$64,MATCH($F281,사건마스터!$A$5:$A$64,0)),""))</f>
        <v/>
      </c>
      <c r="U281" s="35">
        <f>IF($F281="","",IFERROR(INDEX(사건마스터!$AR$5:$AR$64,MATCH($F281,사건마스터!$A$5:$A$64,0)),""))</f>
        <v/>
      </c>
      <c r="V281" s="35">
        <f>IF($F281="","",IFERROR(INDEX(사건마스터!$AS$5:$AS$64,MATCH($F281,사건마스터!$A$5:$A$64,0)),""))</f>
        <v/>
      </c>
      <c r="W281" s="35">
        <f>IF($F281="","",IFERROR(INDEX(사건마스터!$AT$5:$AT$64,MATCH($F281,사건마스터!$A$5:$A$64,0)),""))</f>
        <v/>
      </c>
      <c r="X281" s="35">
        <f>IF($F281="","",IFERROR(INDEX(사건마스터!$AU$5:$AU$64,MATCH($F281,사건마스터!$A$5:$A$64,0)),""))</f>
        <v/>
      </c>
      <c r="Y281" s="35">
        <f>IF($F281="","",IFERROR(INDEX(사건마스터!$AV$5:$AV$64,MATCH($F281,사건마스터!$A$5:$A$64,0)),""))</f>
        <v/>
      </c>
      <c r="Z281" s="30">
        <f>IF(COUNTBLANK($J281:$Y281)=16,"",16-COUNTBLANK($J281:$Y281))</f>
        <v/>
      </c>
      <c r="AA281" s="33">
        <f>IF($J281="",MID($AX281,3,255),$J281&amp;$AX281)</f>
        <v/>
      </c>
      <c r="AB281" s="34">
        <f>IF($J281="","",IFERROR(INDEX(코드설정!$D$5:$D$24,MATCH($J281,코드설정!$C$5:$C$24,0)),""))</f>
        <v/>
      </c>
      <c r="AC281" s="36" t="n"/>
      <c r="AD281" s="37" t="n"/>
      <c r="AE281" s="38" t="n"/>
      <c r="AF281" s="30">
        <f>IF(OR($B281="",$C281=""),"",$C281-$B281+1)</f>
        <v/>
      </c>
      <c r="AG281" s="32" t="n"/>
      <c r="AH281" s="36" t="n"/>
      <c r="AJ281">
        <f>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  <c r="AX281">
        <f>AW281&amp;IF($Y281="","",", "&amp;$Y281)</f>
        <v/>
      </c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0">
        <f>IF($F282="","",COUNTIF($F$5:$F282,$F282))</f>
        <v/>
      </c>
      <c r="H282" s="33">
        <f>IF($F282="","",IFERROR(INDEX(사건마스터!$B$5:$B$64,MATCH($F282,사건마스터!$A$5:$A$64,0)),""))</f>
        <v/>
      </c>
      <c r="I282" s="34">
        <f>IF($F282="","",IFERROR(INDEX(사건마스터!$C$5:$C$64,MATCH($F282,사건마스터!$A$5:$A$64,0)),""))</f>
        <v/>
      </c>
      <c r="J282" s="35">
        <f>IF($F282="","",IFERROR(INDEX(사건마스터!$H$5:$H$64,MATCH($F282,사건마스터!$A$5:$A$64,0)),""))</f>
        <v/>
      </c>
      <c r="K282" s="35">
        <f>IF($F282="","",IFERROR(INDEX(사건마스터!$AH$5:$AH$64,MATCH($F282,사건마스터!$A$5:$A$64,0)),""))</f>
        <v/>
      </c>
      <c r="L282" s="35">
        <f>IF($F282="","",IFERROR(INDEX(사건마스터!$AI$5:$AI$64,MATCH($F282,사건마스터!$A$5:$A$64,0)),""))</f>
        <v/>
      </c>
      <c r="M282" s="35">
        <f>IF($F282="","",IFERROR(INDEX(사건마스터!$AJ$5:$AJ$64,MATCH($F282,사건마스터!$A$5:$A$64,0)),""))</f>
        <v/>
      </c>
      <c r="N282" s="35">
        <f>IF($F282="","",IFERROR(INDEX(사건마스터!$AK$5:$AK$64,MATCH($F282,사건마스터!$A$5:$A$64,0)),""))</f>
        <v/>
      </c>
      <c r="O282" s="35">
        <f>IF($F282="","",IFERROR(INDEX(사건마스터!$AL$5:$AL$64,MATCH($F282,사건마스터!$A$5:$A$64,0)),""))</f>
        <v/>
      </c>
      <c r="P282" s="35">
        <f>IF($F282="","",IFERROR(INDEX(사건마스터!$AM$5:$AM$64,MATCH($F282,사건마스터!$A$5:$A$64,0)),""))</f>
        <v/>
      </c>
      <c r="Q282" s="35">
        <f>IF($F282="","",IFERROR(INDEX(사건마스터!$AN$5:$AN$64,MATCH($F282,사건마스터!$A$5:$A$64,0)),""))</f>
        <v/>
      </c>
      <c r="R282" s="35">
        <f>IF($F282="","",IFERROR(INDEX(사건마스터!$AO$5:$AO$64,MATCH($F282,사건마스터!$A$5:$A$64,0)),""))</f>
        <v/>
      </c>
      <c r="S282" s="35">
        <f>IF($F282="","",IFERROR(INDEX(사건마스터!$AP$5:$AP$64,MATCH($F282,사건마스터!$A$5:$A$64,0)),""))</f>
        <v/>
      </c>
      <c r="T282" s="35">
        <f>IF($F282="","",IFERROR(INDEX(사건마스터!$AQ$5:$AQ$64,MATCH($F282,사건마스터!$A$5:$A$64,0)),""))</f>
        <v/>
      </c>
      <c r="U282" s="35">
        <f>IF($F282="","",IFERROR(INDEX(사건마스터!$AR$5:$AR$64,MATCH($F282,사건마스터!$A$5:$A$64,0)),""))</f>
        <v/>
      </c>
      <c r="V282" s="35">
        <f>IF($F282="","",IFERROR(INDEX(사건마스터!$AS$5:$AS$64,MATCH($F282,사건마스터!$A$5:$A$64,0)),""))</f>
        <v/>
      </c>
      <c r="W282" s="35">
        <f>IF($F282="","",IFERROR(INDEX(사건마스터!$AT$5:$AT$64,MATCH($F282,사건마스터!$A$5:$A$64,0)),""))</f>
        <v/>
      </c>
      <c r="X282" s="35">
        <f>IF($F282="","",IFERROR(INDEX(사건마스터!$AU$5:$AU$64,MATCH($F282,사건마스터!$A$5:$A$64,0)),""))</f>
        <v/>
      </c>
      <c r="Y282" s="35">
        <f>IF($F282="","",IFERROR(INDEX(사건마스터!$AV$5:$AV$64,MATCH($F282,사건마스터!$A$5:$A$64,0)),""))</f>
        <v/>
      </c>
      <c r="Z282" s="30">
        <f>IF(COUNTBLANK($J282:$Y282)=16,"",16-COUNTBLANK($J282:$Y282))</f>
        <v/>
      </c>
      <c r="AA282" s="33">
        <f>IF($J282="",MID($AX282,3,255),$J282&amp;$AX282)</f>
        <v/>
      </c>
      <c r="AB282" s="34">
        <f>IF($J282="","",IFERROR(INDEX(코드설정!$D$5:$D$24,MATCH($J282,코드설정!$C$5:$C$24,0)),""))</f>
        <v/>
      </c>
      <c r="AC282" s="36" t="n"/>
      <c r="AD282" s="37" t="n"/>
      <c r="AE282" s="38" t="n"/>
      <c r="AF282" s="30">
        <f>IF(OR($B282="",$C282=""),"",$C282-$B282+1)</f>
        <v/>
      </c>
      <c r="AG282" s="32" t="n"/>
      <c r="AH282" s="36" t="n"/>
      <c r="AJ282">
        <f>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  <c r="AX282">
        <f>AW282&amp;IF($Y282="","",", "&amp;$Y282)</f>
        <v/>
      </c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0">
        <f>IF($F283="","",COUNTIF($F$5:$F283,$F283))</f>
        <v/>
      </c>
      <c r="H283" s="33">
        <f>IF($F283="","",IFERROR(INDEX(사건마스터!$B$5:$B$64,MATCH($F283,사건마스터!$A$5:$A$64,0)),""))</f>
        <v/>
      </c>
      <c r="I283" s="34">
        <f>IF($F283="","",IFERROR(INDEX(사건마스터!$C$5:$C$64,MATCH($F283,사건마스터!$A$5:$A$64,0)),""))</f>
        <v/>
      </c>
      <c r="J283" s="35">
        <f>IF($F283="","",IFERROR(INDEX(사건마스터!$H$5:$H$64,MATCH($F283,사건마스터!$A$5:$A$64,0)),""))</f>
        <v/>
      </c>
      <c r="K283" s="35">
        <f>IF($F283="","",IFERROR(INDEX(사건마스터!$AH$5:$AH$64,MATCH($F283,사건마스터!$A$5:$A$64,0)),""))</f>
        <v/>
      </c>
      <c r="L283" s="35">
        <f>IF($F283="","",IFERROR(INDEX(사건마스터!$AI$5:$AI$64,MATCH($F283,사건마스터!$A$5:$A$64,0)),""))</f>
        <v/>
      </c>
      <c r="M283" s="35">
        <f>IF($F283="","",IFERROR(INDEX(사건마스터!$AJ$5:$AJ$64,MATCH($F283,사건마스터!$A$5:$A$64,0)),""))</f>
        <v/>
      </c>
      <c r="N283" s="35">
        <f>IF($F283="","",IFERROR(INDEX(사건마스터!$AK$5:$AK$64,MATCH($F283,사건마스터!$A$5:$A$64,0)),""))</f>
        <v/>
      </c>
      <c r="O283" s="35">
        <f>IF($F283="","",IFERROR(INDEX(사건마스터!$AL$5:$AL$64,MATCH($F283,사건마스터!$A$5:$A$64,0)),""))</f>
        <v/>
      </c>
      <c r="P283" s="35">
        <f>IF($F283="","",IFERROR(INDEX(사건마스터!$AM$5:$AM$64,MATCH($F283,사건마스터!$A$5:$A$64,0)),""))</f>
        <v/>
      </c>
      <c r="Q283" s="35">
        <f>IF($F283="","",IFERROR(INDEX(사건마스터!$AN$5:$AN$64,MATCH($F283,사건마스터!$A$5:$A$64,0)),""))</f>
        <v/>
      </c>
      <c r="R283" s="35">
        <f>IF($F283="","",IFERROR(INDEX(사건마스터!$AO$5:$AO$64,MATCH($F283,사건마스터!$A$5:$A$64,0)),""))</f>
        <v/>
      </c>
      <c r="S283" s="35">
        <f>IF($F283="","",IFERROR(INDEX(사건마스터!$AP$5:$AP$64,MATCH($F283,사건마스터!$A$5:$A$64,0)),""))</f>
        <v/>
      </c>
      <c r="T283" s="35">
        <f>IF($F283="","",IFERROR(INDEX(사건마스터!$AQ$5:$AQ$64,MATCH($F283,사건마스터!$A$5:$A$64,0)),""))</f>
        <v/>
      </c>
      <c r="U283" s="35">
        <f>IF($F283="","",IFERROR(INDEX(사건마스터!$AR$5:$AR$64,MATCH($F283,사건마스터!$A$5:$A$64,0)),""))</f>
        <v/>
      </c>
      <c r="V283" s="35">
        <f>IF($F283="","",IFERROR(INDEX(사건마스터!$AS$5:$AS$64,MATCH($F283,사건마스터!$A$5:$A$64,0)),""))</f>
        <v/>
      </c>
      <c r="W283" s="35">
        <f>IF($F283="","",IFERROR(INDEX(사건마스터!$AT$5:$AT$64,MATCH($F283,사건마스터!$A$5:$A$64,0)),""))</f>
        <v/>
      </c>
      <c r="X283" s="35">
        <f>IF($F283="","",IFERROR(INDEX(사건마스터!$AU$5:$AU$64,MATCH($F283,사건마스터!$A$5:$A$64,0)),""))</f>
        <v/>
      </c>
      <c r="Y283" s="35">
        <f>IF($F283="","",IFERROR(INDEX(사건마스터!$AV$5:$AV$64,MATCH($F283,사건마스터!$A$5:$A$64,0)),""))</f>
        <v/>
      </c>
      <c r="Z283" s="30">
        <f>IF(COUNTBLANK($J283:$Y283)=16,"",16-COUNTBLANK($J283:$Y283))</f>
        <v/>
      </c>
      <c r="AA283" s="33">
        <f>IF($J283="",MID($AX283,3,255),$J283&amp;$AX283)</f>
        <v/>
      </c>
      <c r="AB283" s="34">
        <f>IF($J283="","",IFERROR(INDEX(코드설정!$D$5:$D$24,MATCH($J283,코드설정!$C$5:$C$24,0)),""))</f>
        <v/>
      </c>
      <c r="AC283" s="36" t="n"/>
      <c r="AD283" s="37" t="n"/>
      <c r="AE283" s="38" t="n"/>
      <c r="AF283" s="30">
        <f>IF(OR($B283="",$C283=""),"",$C283-$B283+1)</f>
        <v/>
      </c>
      <c r="AG283" s="32" t="n"/>
      <c r="AH283" s="36" t="n"/>
      <c r="AJ283">
        <f>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  <c r="AX283">
        <f>AW283&amp;IF($Y283="","",", "&amp;$Y283)</f>
        <v/>
      </c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0">
        <f>IF($F284="","",COUNTIF($F$5:$F284,$F284))</f>
        <v/>
      </c>
      <c r="H284" s="33">
        <f>IF($F284="","",IFERROR(INDEX(사건마스터!$B$5:$B$64,MATCH($F284,사건마스터!$A$5:$A$64,0)),""))</f>
        <v/>
      </c>
      <c r="I284" s="34">
        <f>IF($F284="","",IFERROR(INDEX(사건마스터!$C$5:$C$64,MATCH($F284,사건마스터!$A$5:$A$64,0)),""))</f>
        <v/>
      </c>
      <c r="J284" s="35">
        <f>IF($F284="","",IFERROR(INDEX(사건마스터!$H$5:$H$64,MATCH($F284,사건마스터!$A$5:$A$64,0)),""))</f>
        <v/>
      </c>
      <c r="K284" s="35">
        <f>IF($F284="","",IFERROR(INDEX(사건마스터!$AH$5:$AH$64,MATCH($F284,사건마스터!$A$5:$A$64,0)),""))</f>
        <v/>
      </c>
      <c r="L284" s="35">
        <f>IF($F284="","",IFERROR(INDEX(사건마스터!$AI$5:$AI$64,MATCH($F284,사건마스터!$A$5:$A$64,0)),""))</f>
        <v/>
      </c>
      <c r="M284" s="35">
        <f>IF($F284="","",IFERROR(INDEX(사건마스터!$AJ$5:$AJ$64,MATCH($F284,사건마스터!$A$5:$A$64,0)),""))</f>
        <v/>
      </c>
      <c r="N284" s="35">
        <f>IF($F284="","",IFERROR(INDEX(사건마스터!$AK$5:$AK$64,MATCH($F284,사건마스터!$A$5:$A$64,0)),""))</f>
        <v/>
      </c>
      <c r="O284" s="35">
        <f>IF($F284="","",IFERROR(INDEX(사건마스터!$AL$5:$AL$64,MATCH($F284,사건마스터!$A$5:$A$64,0)),""))</f>
        <v/>
      </c>
      <c r="P284" s="35">
        <f>IF($F284="","",IFERROR(INDEX(사건마스터!$AM$5:$AM$64,MATCH($F284,사건마스터!$A$5:$A$64,0)),""))</f>
        <v/>
      </c>
      <c r="Q284" s="35">
        <f>IF($F284="","",IFERROR(INDEX(사건마스터!$AN$5:$AN$64,MATCH($F284,사건마스터!$A$5:$A$64,0)),""))</f>
        <v/>
      </c>
      <c r="R284" s="35">
        <f>IF($F284="","",IFERROR(INDEX(사건마스터!$AO$5:$AO$64,MATCH($F284,사건마스터!$A$5:$A$64,0)),""))</f>
        <v/>
      </c>
      <c r="S284" s="35">
        <f>IF($F284="","",IFERROR(INDEX(사건마스터!$AP$5:$AP$64,MATCH($F284,사건마스터!$A$5:$A$64,0)),""))</f>
        <v/>
      </c>
      <c r="T284" s="35">
        <f>IF($F284="","",IFERROR(INDEX(사건마스터!$AQ$5:$AQ$64,MATCH($F284,사건마스터!$A$5:$A$64,0)),""))</f>
        <v/>
      </c>
      <c r="U284" s="35">
        <f>IF($F284="","",IFERROR(INDEX(사건마스터!$AR$5:$AR$64,MATCH($F284,사건마스터!$A$5:$A$64,0)),""))</f>
        <v/>
      </c>
      <c r="V284" s="35">
        <f>IF($F284="","",IFERROR(INDEX(사건마스터!$AS$5:$AS$64,MATCH($F284,사건마스터!$A$5:$A$64,0)),""))</f>
        <v/>
      </c>
      <c r="W284" s="35">
        <f>IF($F284="","",IFERROR(INDEX(사건마스터!$AT$5:$AT$64,MATCH($F284,사건마스터!$A$5:$A$64,0)),""))</f>
        <v/>
      </c>
      <c r="X284" s="35">
        <f>IF($F284="","",IFERROR(INDEX(사건마스터!$AU$5:$AU$64,MATCH($F284,사건마스터!$A$5:$A$64,0)),""))</f>
        <v/>
      </c>
      <c r="Y284" s="35">
        <f>IF($F284="","",IFERROR(INDEX(사건마스터!$AV$5:$AV$64,MATCH($F284,사건마스터!$A$5:$A$64,0)),""))</f>
        <v/>
      </c>
      <c r="Z284" s="30">
        <f>IF(COUNTBLANK($J284:$Y284)=16,"",16-COUNTBLANK($J284:$Y284))</f>
        <v/>
      </c>
      <c r="AA284" s="33">
        <f>IF($J284="",MID($AX284,3,255),$J284&amp;$AX284)</f>
        <v/>
      </c>
      <c r="AB284" s="34">
        <f>IF($J284="","",IFERROR(INDEX(코드설정!$D$5:$D$24,MATCH($J284,코드설정!$C$5:$C$24,0)),""))</f>
        <v/>
      </c>
      <c r="AC284" s="36" t="n"/>
      <c r="AD284" s="37" t="n"/>
      <c r="AE284" s="38" t="n"/>
      <c r="AF284" s="30">
        <f>IF(OR($B284="",$C284=""),"",$C284-$B284+1)</f>
        <v/>
      </c>
      <c r="AG284" s="32" t="n"/>
      <c r="AH284" s="36" t="n"/>
      <c r="AJ284">
        <f>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  <c r="AX284">
        <f>AW284&amp;IF($Y284="","",", "&amp;$Y284)</f>
        <v/>
      </c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0">
        <f>IF($F285="","",COUNTIF($F$5:$F285,$F285))</f>
        <v/>
      </c>
      <c r="H285" s="33">
        <f>IF($F285="","",IFERROR(INDEX(사건마스터!$B$5:$B$64,MATCH($F285,사건마스터!$A$5:$A$64,0)),""))</f>
        <v/>
      </c>
      <c r="I285" s="34">
        <f>IF($F285="","",IFERROR(INDEX(사건마스터!$C$5:$C$64,MATCH($F285,사건마스터!$A$5:$A$64,0)),""))</f>
        <v/>
      </c>
      <c r="J285" s="35">
        <f>IF($F285="","",IFERROR(INDEX(사건마스터!$H$5:$H$64,MATCH($F285,사건마스터!$A$5:$A$64,0)),""))</f>
        <v/>
      </c>
      <c r="K285" s="35">
        <f>IF($F285="","",IFERROR(INDEX(사건마스터!$AH$5:$AH$64,MATCH($F285,사건마스터!$A$5:$A$64,0)),""))</f>
        <v/>
      </c>
      <c r="L285" s="35">
        <f>IF($F285="","",IFERROR(INDEX(사건마스터!$AI$5:$AI$64,MATCH($F285,사건마스터!$A$5:$A$64,0)),""))</f>
        <v/>
      </c>
      <c r="M285" s="35">
        <f>IF($F285="","",IFERROR(INDEX(사건마스터!$AJ$5:$AJ$64,MATCH($F285,사건마스터!$A$5:$A$64,0)),""))</f>
        <v/>
      </c>
      <c r="N285" s="35">
        <f>IF($F285="","",IFERROR(INDEX(사건마스터!$AK$5:$AK$64,MATCH($F285,사건마스터!$A$5:$A$64,0)),""))</f>
        <v/>
      </c>
      <c r="O285" s="35">
        <f>IF($F285="","",IFERROR(INDEX(사건마스터!$AL$5:$AL$64,MATCH($F285,사건마스터!$A$5:$A$64,0)),""))</f>
        <v/>
      </c>
      <c r="P285" s="35">
        <f>IF($F285="","",IFERROR(INDEX(사건마스터!$AM$5:$AM$64,MATCH($F285,사건마스터!$A$5:$A$64,0)),""))</f>
        <v/>
      </c>
      <c r="Q285" s="35">
        <f>IF($F285="","",IFERROR(INDEX(사건마스터!$AN$5:$AN$64,MATCH($F285,사건마스터!$A$5:$A$64,0)),""))</f>
        <v/>
      </c>
      <c r="R285" s="35">
        <f>IF($F285="","",IFERROR(INDEX(사건마스터!$AO$5:$AO$64,MATCH($F285,사건마스터!$A$5:$A$64,0)),""))</f>
        <v/>
      </c>
      <c r="S285" s="35">
        <f>IF($F285="","",IFERROR(INDEX(사건마스터!$AP$5:$AP$64,MATCH($F285,사건마스터!$A$5:$A$64,0)),""))</f>
        <v/>
      </c>
      <c r="T285" s="35">
        <f>IF($F285="","",IFERROR(INDEX(사건마스터!$AQ$5:$AQ$64,MATCH($F285,사건마스터!$A$5:$A$64,0)),""))</f>
        <v/>
      </c>
      <c r="U285" s="35">
        <f>IF($F285="","",IFERROR(INDEX(사건마스터!$AR$5:$AR$64,MATCH($F285,사건마스터!$A$5:$A$64,0)),""))</f>
        <v/>
      </c>
      <c r="V285" s="35">
        <f>IF($F285="","",IFERROR(INDEX(사건마스터!$AS$5:$AS$64,MATCH($F285,사건마스터!$A$5:$A$64,0)),""))</f>
        <v/>
      </c>
      <c r="W285" s="35">
        <f>IF($F285="","",IFERROR(INDEX(사건마스터!$AT$5:$AT$64,MATCH($F285,사건마스터!$A$5:$A$64,0)),""))</f>
        <v/>
      </c>
      <c r="X285" s="35">
        <f>IF($F285="","",IFERROR(INDEX(사건마스터!$AU$5:$AU$64,MATCH($F285,사건마스터!$A$5:$A$64,0)),""))</f>
        <v/>
      </c>
      <c r="Y285" s="35">
        <f>IF($F285="","",IFERROR(INDEX(사건마스터!$AV$5:$AV$64,MATCH($F285,사건마스터!$A$5:$A$64,0)),""))</f>
        <v/>
      </c>
      <c r="Z285" s="30">
        <f>IF(COUNTBLANK($J285:$Y285)=16,"",16-COUNTBLANK($J285:$Y285))</f>
        <v/>
      </c>
      <c r="AA285" s="33">
        <f>IF($J285="",MID($AX285,3,255),$J285&amp;$AX285)</f>
        <v/>
      </c>
      <c r="AB285" s="34">
        <f>IF($J285="","",IFERROR(INDEX(코드설정!$D$5:$D$24,MATCH($J285,코드설정!$C$5:$C$24,0)),""))</f>
        <v/>
      </c>
      <c r="AC285" s="36" t="n"/>
      <c r="AD285" s="37" t="n"/>
      <c r="AE285" s="38" t="n"/>
      <c r="AF285" s="30">
        <f>IF(OR($B285="",$C285=""),"",$C285-$B285+1)</f>
        <v/>
      </c>
      <c r="AG285" s="32" t="n"/>
      <c r="AH285" s="36" t="n"/>
      <c r="AJ285">
        <f>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  <c r="AX285">
        <f>AW285&amp;IF($Y285="","",", "&amp;$Y285)</f>
        <v/>
      </c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0">
        <f>IF($F286="","",COUNTIF($F$5:$F286,$F286))</f>
        <v/>
      </c>
      <c r="H286" s="33">
        <f>IF($F286="","",IFERROR(INDEX(사건마스터!$B$5:$B$64,MATCH($F286,사건마스터!$A$5:$A$64,0)),""))</f>
        <v/>
      </c>
      <c r="I286" s="34">
        <f>IF($F286="","",IFERROR(INDEX(사건마스터!$C$5:$C$64,MATCH($F286,사건마스터!$A$5:$A$64,0)),""))</f>
        <v/>
      </c>
      <c r="J286" s="35">
        <f>IF($F286="","",IFERROR(INDEX(사건마스터!$H$5:$H$64,MATCH($F286,사건마스터!$A$5:$A$64,0)),""))</f>
        <v/>
      </c>
      <c r="K286" s="35">
        <f>IF($F286="","",IFERROR(INDEX(사건마스터!$AH$5:$AH$64,MATCH($F286,사건마스터!$A$5:$A$64,0)),""))</f>
        <v/>
      </c>
      <c r="L286" s="35">
        <f>IF($F286="","",IFERROR(INDEX(사건마스터!$AI$5:$AI$64,MATCH($F286,사건마스터!$A$5:$A$64,0)),""))</f>
        <v/>
      </c>
      <c r="M286" s="35">
        <f>IF($F286="","",IFERROR(INDEX(사건마스터!$AJ$5:$AJ$64,MATCH($F286,사건마스터!$A$5:$A$64,0)),""))</f>
        <v/>
      </c>
      <c r="N286" s="35">
        <f>IF($F286="","",IFERROR(INDEX(사건마스터!$AK$5:$AK$64,MATCH($F286,사건마스터!$A$5:$A$64,0)),""))</f>
        <v/>
      </c>
      <c r="O286" s="35">
        <f>IF($F286="","",IFERROR(INDEX(사건마스터!$AL$5:$AL$64,MATCH($F286,사건마스터!$A$5:$A$64,0)),""))</f>
        <v/>
      </c>
      <c r="P286" s="35">
        <f>IF($F286="","",IFERROR(INDEX(사건마스터!$AM$5:$AM$64,MATCH($F286,사건마스터!$A$5:$A$64,0)),""))</f>
        <v/>
      </c>
      <c r="Q286" s="35">
        <f>IF($F286="","",IFERROR(INDEX(사건마스터!$AN$5:$AN$64,MATCH($F286,사건마스터!$A$5:$A$64,0)),""))</f>
        <v/>
      </c>
      <c r="R286" s="35">
        <f>IF($F286="","",IFERROR(INDEX(사건마스터!$AO$5:$AO$64,MATCH($F286,사건마스터!$A$5:$A$64,0)),""))</f>
        <v/>
      </c>
      <c r="S286" s="35">
        <f>IF($F286="","",IFERROR(INDEX(사건마스터!$AP$5:$AP$64,MATCH($F286,사건마스터!$A$5:$A$64,0)),""))</f>
        <v/>
      </c>
      <c r="T286" s="35">
        <f>IF($F286="","",IFERROR(INDEX(사건마스터!$AQ$5:$AQ$64,MATCH($F286,사건마스터!$A$5:$A$64,0)),""))</f>
        <v/>
      </c>
      <c r="U286" s="35">
        <f>IF($F286="","",IFERROR(INDEX(사건마스터!$AR$5:$AR$64,MATCH($F286,사건마스터!$A$5:$A$64,0)),""))</f>
        <v/>
      </c>
      <c r="V286" s="35">
        <f>IF($F286="","",IFERROR(INDEX(사건마스터!$AS$5:$AS$64,MATCH($F286,사건마스터!$A$5:$A$64,0)),""))</f>
        <v/>
      </c>
      <c r="W286" s="35">
        <f>IF($F286="","",IFERROR(INDEX(사건마스터!$AT$5:$AT$64,MATCH($F286,사건마스터!$A$5:$A$64,0)),""))</f>
        <v/>
      </c>
      <c r="X286" s="35">
        <f>IF($F286="","",IFERROR(INDEX(사건마스터!$AU$5:$AU$64,MATCH($F286,사건마스터!$A$5:$A$64,0)),""))</f>
        <v/>
      </c>
      <c r="Y286" s="35">
        <f>IF($F286="","",IFERROR(INDEX(사건마스터!$AV$5:$AV$64,MATCH($F286,사건마스터!$A$5:$A$64,0)),""))</f>
        <v/>
      </c>
      <c r="Z286" s="30">
        <f>IF(COUNTBLANK($J286:$Y286)=16,"",16-COUNTBLANK($J286:$Y286))</f>
        <v/>
      </c>
      <c r="AA286" s="33">
        <f>IF($J286="",MID($AX286,3,255),$J286&amp;$AX286)</f>
        <v/>
      </c>
      <c r="AB286" s="34">
        <f>IF($J286="","",IFERROR(INDEX(코드설정!$D$5:$D$24,MATCH($J286,코드설정!$C$5:$C$24,0)),""))</f>
        <v/>
      </c>
      <c r="AC286" s="36" t="n"/>
      <c r="AD286" s="37" t="n"/>
      <c r="AE286" s="38" t="n"/>
      <c r="AF286" s="30">
        <f>IF(OR($B286="",$C286=""),"",$C286-$B286+1)</f>
        <v/>
      </c>
      <c r="AG286" s="32" t="n"/>
      <c r="AH286" s="36" t="n"/>
      <c r="AJ286">
        <f>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  <c r="AX286">
        <f>AW286&amp;IF($Y286="","",", "&amp;$Y286)</f>
        <v/>
      </c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0">
        <f>IF($F287="","",COUNTIF($F$5:$F287,$F287))</f>
        <v/>
      </c>
      <c r="H287" s="33">
        <f>IF($F287="","",IFERROR(INDEX(사건마스터!$B$5:$B$64,MATCH($F287,사건마스터!$A$5:$A$64,0)),""))</f>
        <v/>
      </c>
      <c r="I287" s="34">
        <f>IF($F287="","",IFERROR(INDEX(사건마스터!$C$5:$C$64,MATCH($F287,사건마스터!$A$5:$A$64,0)),""))</f>
        <v/>
      </c>
      <c r="J287" s="35">
        <f>IF($F287="","",IFERROR(INDEX(사건마스터!$H$5:$H$64,MATCH($F287,사건마스터!$A$5:$A$64,0)),""))</f>
        <v/>
      </c>
      <c r="K287" s="35">
        <f>IF($F287="","",IFERROR(INDEX(사건마스터!$AH$5:$AH$64,MATCH($F287,사건마스터!$A$5:$A$64,0)),""))</f>
        <v/>
      </c>
      <c r="L287" s="35">
        <f>IF($F287="","",IFERROR(INDEX(사건마스터!$AI$5:$AI$64,MATCH($F287,사건마스터!$A$5:$A$64,0)),""))</f>
        <v/>
      </c>
      <c r="M287" s="35">
        <f>IF($F287="","",IFERROR(INDEX(사건마스터!$AJ$5:$AJ$64,MATCH($F287,사건마스터!$A$5:$A$64,0)),""))</f>
        <v/>
      </c>
      <c r="N287" s="35">
        <f>IF($F287="","",IFERROR(INDEX(사건마스터!$AK$5:$AK$64,MATCH($F287,사건마스터!$A$5:$A$64,0)),""))</f>
        <v/>
      </c>
      <c r="O287" s="35">
        <f>IF($F287="","",IFERROR(INDEX(사건마스터!$AL$5:$AL$64,MATCH($F287,사건마스터!$A$5:$A$64,0)),""))</f>
        <v/>
      </c>
      <c r="P287" s="35">
        <f>IF($F287="","",IFERROR(INDEX(사건마스터!$AM$5:$AM$64,MATCH($F287,사건마스터!$A$5:$A$64,0)),""))</f>
        <v/>
      </c>
      <c r="Q287" s="35">
        <f>IF($F287="","",IFERROR(INDEX(사건마스터!$AN$5:$AN$64,MATCH($F287,사건마스터!$A$5:$A$64,0)),""))</f>
        <v/>
      </c>
      <c r="R287" s="35">
        <f>IF($F287="","",IFERROR(INDEX(사건마스터!$AO$5:$AO$64,MATCH($F287,사건마스터!$A$5:$A$64,0)),""))</f>
        <v/>
      </c>
      <c r="S287" s="35">
        <f>IF($F287="","",IFERROR(INDEX(사건마스터!$AP$5:$AP$64,MATCH($F287,사건마스터!$A$5:$A$64,0)),""))</f>
        <v/>
      </c>
      <c r="T287" s="35">
        <f>IF($F287="","",IFERROR(INDEX(사건마스터!$AQ$5:$AQ$64,MATCH($F287,사건마스터!$A$5:$A$64,0)),""))</f>
        <v/>
      </c>
      <c r="U287" s="35">
        <f>IF($F287="","",IFERROR(INDEX(사건마스터!$AR$5:$AR$64,MATCH($F287,사건마스터!$A$5:$A$64,0)),""))</f>
        <v/>
      </c>
      <c r="V287" s="35">
        <f>IF($F287="","",IFERROR(INDEX(사건마스터!$AS$5:$AS$64,MATCH($F287,사건마스터!$A$5:$A$64,0)),""))</f>
        <v/>
      </c>
      <c r="W287" s="35">
        <f>IF($F287="","",IFERROR(INDEX(사건마스터!$AT$5:$AT$64,MATCH($F287,사건마스터!$A$5:$A$64,0)),""))</f>
        <v/>
      </c>
      <c r="X287" s="35">
        <f>IF($F287="","",IFERROR(INDEX(사건마스터!$AU$5:$AU$64,MATCH($F287,사건마스터!$A$5:$A$64,0)),""))</f>
        <v/>
      </c>
      <c r="Y287" s="35">
        <f>IF($F287="","",IFERROR(INDEX(사건마스터!$AV$5:$AV$64,MATCH($F287,사건마스터!$A$5:$A$64,0)),""))</f>
        <v/>
      </c>
      <c r="Z287" s="30">
        <f>IF(COUNTBLANK($J287:$Y287)=16,"",16-COUNTBLANK($J287:$Y287))</f>
        <v/>
      </c>
      <c r="AA287" s="33">
        <f>IF($J287="",MID($AX287,3,255),$J287&amp;$AX287)</f>
        <v/>
      </c>
      <c r="AB287" s="34">
        <f>IF($J287="","",IFERROR(INDEX(코드설정!$D$5:$D$24,MATCH($J287,코드설정!$C$5:$C$24,0)),""))</f>
        <v/>
      </c>
      <c r="AC287" s="36" t="n"/>
      <c r="AD287" s="37" t="n"/>
      <c r="AE287" s="38" t="n"/>
      <c r="AF287" s="30">
        <f>IF(OR($B287="",$C287=""),"",$C287-$B287+1)</f>
        <v/>
      </c>
      <c r="AG287" s="32" t="n"/>
      <c r="AH287" s="36" t="n"/>
      <c r="AJ287">
        <f>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  <c r="AX287">
        <f>AW287&amp;IF($Y287="","",", "&amp;$Y287)</f>
        <v/>
      </c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0">
        <f>IF($F288="","",COUNTIF($F$5:$F288,$F288))</f>
        <v/>
      </c>
      <c r="H288" s="33">
        <f>IF($F288="","",IFERROR(INDEX(사건마스터!$B$5:$B$64,MATCH($F288,사건마스터!$A$5:$A$64,0)),""))</f>
        <v/>
      </c>
      <c r="I288" s="34">
        <f>IF($F288="","",IFERROR(INDEX(사건마스터!$C$5:$C$64,MATCH($F288,사건마스터!$A$5:$A$64,0)),""))</f>
        <v/>
      </c>
      <c r="J288" s="35">
        <f>IF($F288="","",IFERROR(INDEX(사건마스터!$H$5:$H$64,MATCH($F288,사건마스터!$A$5:$A$64,0)),""))</f>
        <v/>
      </c>
      <c r="K288" s="35">
        <f>IF($F288="","",IFERROR(INDEX(사건마스터!$AH$5:$AH$64,MATCH($F288,사건마스터!$A$5:$A$64,0)),""))</f>
        <v/>
      </c>
      <c r="L288" s="35">
        <f>IF($F288="","",IFERROR(INDEX(사건마스터!$AI$5:$AI$64,MATCH($F288,사건마스터!$A$5:$A$64,0)),""))</f>
        <v/>
      </c>
      <c r="M288" s="35">
        <f>IF($F288="","",IFERROR(INDEX(사건마스터!$AJ$5:$AJ$64,MATCH($F288,사건마스터!$A$5:$A$64,0)),""))</f>
        <v/>
      </c>
      <c r="N288" s="35">
        <f>IF($F288="","",IFERROR(INDEX(사건마스터!$AK$5:$AK$64,MATCH($F288,사건마스터!$A$5:$A$64,0)),""))</f>
        <v/>
      </c>
      <c r="O288" s="35">
        <f>IF($F288="","",IFERROR(INDEX(사건마스터!$AL$5:$AL$64,MATCH($F288,사건마스터!$A$5:$A$64,0)),""))</f>
        <v/>
      </c>
      <c r="P288" s="35">
        <f>IF($F288="","",IFERROR(INDEX(사건마스터!$AM$5:$AM$64,MATCH($F288,사건마스터!$A$5:$A$64,0)),""))</f>
        <v/>
      </c>
      <c r="Q288" s="35">
        <f>IF($F288="","",IFERROR(INDEX(사건마스터!$AN$5:$AN$64,MATCH($F288,사건마스터!$A$5:$A$64,0)),""))</f>
        <v/>
      </c>
      <c r="R288" s="35">
        <f>IF($F288="","",IFERROR(INDEX(사건마스터!$AO$5:$AO$64,MATCH($F288,사건마스터!$A$5:$A$64,0)),""))</f>
        <v/>
      </c>
      <c r="S288" s="35">
        <f>IF($F288="","",IFERROR(INDEX(사건마스터!$AP$5:$AP$64,MATCH($F288,사건마스터!$A$5:$A$64,0)),""))</f>
        <v/>
      </c>
      <c r="T288" s="35">
        <f>IF($F288="","",IFERROR(INDEX(사건마스터!$AQ$5:$AQ$64,MATCH($F288,사건마스터!$A$5:$A$64,0)),""))</f>
        <v/>
      </c>
      <c r="U288" s="35">
        <f>IF($F288="","",IFERROR(INDEX(사건마스터!$AR$5:$AR$64,MATCH($F288,사건마스터!$A$5:$A$64,0)),""))</f>
        <v/>
      </c>
      <c r="V288" s="35">
        <f>IF($F288="","",IFERROR(INDEX(사건마스터!$AS$5:$AS$64,MATCH($F288,사건마스터!$A$5:$A$64,0)),""))</f>
        <v/>
      </c>
      <c r="W288" s="35">
        <f>IF($F288="","",IFERROR(INDEX(사건마스터!$AT$5:$AT$64,MATCH($F288,사건마스터!$A$5:$A$64,0)),""))</f>
        <v/>
      </c>
      <c r="X288" s="35">
        <f>IF($F288="","",IFERROR(INDEX(사건마스터!$AU$5:$AU$64,MATCH($F288,사건마스터!$A$5:$A$64,0)),""))</f>
        <v/>
      </c>
      <c r="Y288" s="35">
        <f>IF($F288="","",IFERROR(INDEX(사건마스터!$AV$5:$AV$64,MATCH($F288,사건마스터!$A$5:$A$64,0)),""))</f>
        <v/>
      </c>
      <c r="Z288" s="30">
        <f>IF(COUNTBLANK($J288:$Y288)=16,"",16-COUNTBLANK($J288:$Y288))</f>
        <v/>
      </c>
      <c r="AA288" s="33">
        <f>IF($J288="",MID($AX288,3,255),$J288&amp;$AX288)</f>
        <v/>
      </c>
      <c r="AB288" s="34">
        <f>IF($J288="","",IFERROR(INDEX(코드설정!$D$5:$D$24,MATCH($J288,코드설정!$C$5:$C$24,0)),""))</f>
        <v/>
      </c>
      <c r="AC288" s="36" t="n"/>
      <c r="AD288" s="37" t="n"/>
      <c r="AE288" s="38" t="n"/>
      <c r="AF288" s="30">
        <f>IF(OR($B288="",$C288=""),"",$C288-$B288+1)</f>
        <v/>
      </c>
      <c r="AG288" s="32" t="n"/>
      <c r="AH288" s="36" t="n"/>
      <c r="AJ288">
        <f>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  <c r="AX288">
        <f>AW288&amp;IF($Y288="","",", "&amp;$Y288)</f>
        <v/>
      </c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0">
        <f>IF($F289="","",COUNTIF($F$5:$F289,$F289))</f>
        <v/>
      </c>
      <c r="H289" s="33">
        <f>IF($F289="","",IFERROR(INDEX(사건마스터!$B$5:$B$64,MATCH($F289,사건마스터!$A$5:$A$64,0)),""))</f>
        <v/>
      </c>
      <c r="I289" s="34">
        <f>IF($F289="","",IFERROR(INDEX(사건마스터!$C$5:$C$64,MATCH($F289,사건마스터!$A$5:$A$64,0)),""))</f>
        <v/>
      </c>
      <c r="J289" s="35">
        <f>IF($F289="","",IFERROR(INDEX(사건마스터!$H$5:$H$64,MATCH($F289,사건마스터!$A$5:$A$64,0)),""))</f>
        <v/>
      </c>
      <c r="K289" s="35">
        <f>IF($F289="","",IFERROR(INDEX(사건마스터!$AH$5:$AH$64,MATCH($F289,사건마스터!$A$5:$A$64,0)),""))</f>
        <v/>
      </c>
      <c r="L289" s="35">
        <f>IF($F289="","",IFERROR(INDEX(사건마스터!$AI$5:$AI$64,MATCH($F289,사건마스터!$A$5:$A$64,0)),""))</f>
        <v/>
      </c>
      <c r="M289" s="35">
        <f>IF($F289="","",IFERROR(INDEX(사건마스터!$AJ$5:$AJ$64,MATCH($F289,사건마스터!$A$5:$A$64,0)),""))</f>
        <v/>
      </c>
      <c r="N289" s="35">
        <f>IF($F289="","",IFERROR(INDEX(사건마스터!$AK$5:$AK$64,MATCH($F289,사건마스터!$A$5:$A$64,0)),""))</f>
        <v/>
      </c>
      <c r="O289" s="35">
        <f>IF($F289="","",IFERROR(INDEX(사건마스터!$AL$5:$AL$64,MATCH($F289,사건마스터!$A$5:$A$64,0)),""))</f>
        <v/>
      </c>
      <c r="P289" s="35">
        <f>IF($F289="","",IFERROR(INDEX(사건마스터!$AM$5:$AM$64,MATCH($F289,사건마스터!$A$5:$A$64,0)),""))</f>
        <v/>
      </c>
      <c r="Q289" s="35">
        <f>IF($F289="","",IFERROR(INDEX(사건마스터!$AN$5:$AN$64,MATCH($F289,사건마스터!$A$5:$A$64,0)),""))</f>
        <v/>
      </c>
      <c r="R289" s="35">
        <f>IF($F289="","",IFERROR(INDEX(사건마스터!$AO$5:$AO$64,MATCH($F289,사건마스터!$A$5:$A$64,0)),""))</f>
        <v/>
      </c>
      <c r="S289" s="35">
        <f>IF($F289="","",IFERROR(INDEX(사건마스터!$AP$5:$AP$64,MATCH($F289,사건마스터!$A$5:$A$64,0)),""))</f>
        <v/>
      </c>
      <c r="T289" s="35">
        <f>IF($F289="","",IFERROR(INDEX(사건마스터!$AQ$5:$AQ$64,MATCH($F289,사건마스터!$A$5:$A$64,0)),""))</f>
        <v/>
      </c>
      <c r="U289" s="35">
        <f>IF($F289="","",IFERROR(INDEX(사건마스터!$AR$5:$AR$64,MATCH($F289,사건마스터!$A$5:$A$64,0)),""))</f>
        <v/>
      </c>
      <c r="V289" s="35">
        <f>IF($F289="","",IFERROR(INDEX(사건마스터!$AS$5:$AS$64,MATCH($F289,사건마스터!$A$5:$A$64,0)),""))</f>
        <v/>
      </c>
      <c r="W289" s="35">
        <f>IF($F289="","",IFERROR(INDEX(사건마스터!$AT$5:$AT$64,MATCH($F289,사건마스터!$A$5:$A$64,0)),""))</f>
        <v/>
      </c>
      <c r="X289" s="35">
        <f>IF($F289="","",IFERROR(INDEX(사건마스터!$AU$5:$AU$64,MATCH($F289,사건마스터!$A$5:$A$64,0)),""))</f>
        <v/>
      </c>
      <c r="Y289" s="35">
        <f>IF($F289="","",IFERROR(INDEX(사건마스터!$AV$5:$AV$64,MATCH($F289,사건마스터!$A$5:$A$64,0)),""))</f>
        <v/>
      </c>
      <c r="Z289" s="30">
        <f>IF(COUNTBLANK($J289:$Y289)=16,"",16-COUNTBLANK($J289:$Y289))</f>
        <v/>
      </c>
      <c r="AA289" s="33">
        <f>IF($J289="",MID($AX289,3,255),$J289&amp;$AX289)</f>
        <v/>
      </c>
      <c r="AB289" s="34">
        <f>IF($J289="","",IFERROR(INDEX(코드설정!$D$5:$D$24,MATCH($J289,코드설정!$C$5:$C$24,0)),""))</f>
        <v/>
      </c>
      <c r="AC289" s="36" t="n"/>
      <c r="AD289" s="37" t="n"/>
      <c r="AE289" s="38" t="n"/>
      <c r="AF289" s="30">
        <f>IF(OR($B289="",$C289=""),"",$C289-$B289+1)</f>
        <v/>
      </c>
      <c r="AG289" s="32" t="n"/>
      <c r="AH289" s="36" t="n"/>
      <c r="AJ289">
        <f>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  <c r="AX289">
        <f>AW289&amp;IF($Y289="","",", "&amp;$Y289)</f>
        <v/>
      </c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0">
        <f>IF($F290="","",COUNTIF($F$5:$F290,$F290))</f>
        <v/>
      </c>
      <c r="H290" s="33">
        <f>IF($F290="","",IFERROR(INDEX(사건마스터!$B$5:$B$64,MATCH($F290,사건마스터!$A$5:$A$64,0)),""))</f>
        <v/>
      </c>
      <c r="I290" s="34">
        <f>IF($F290="","",IFERROR(INDEX(사건마스터!$C$5:$C$64,MATCH($F290,사건마스터!$A$5:$A$64,0)),""))</f>
        <v/>
      </c>
      <c r="J290" s="35">
        <f>IF($F290="","",IFERROR(INDEX(사건마스터!$H$5:$H$64,MATCH($F290,사건마스터!$A$5:$A$64,0)),""))</f>
        <v/>
      </c>
      <c r="K290" s="35">
        <f>IF($F290="","",IFERROR(INDEX(사건마스터!$AH$5:$AH$64,MATCH($F290,사건마스터!$A$5:$A$64,0)),""))</f>
        <v/>
      </c>
      <c r="L290" s="35">
        <f>IF($F290="","",IFERROR(INDEX(사건마스터!$AI$5:$AI$64,MATCH($F290,사건마스터!$A$5:$A$64,0)),""))</f>
        <v/>
      </c>
      <c r="M290" s="35">
        <f>IF($F290="","",IFERROR(INDEX(사건마스터!$AJ$5:$AJ$64,MATCH($F290,사건마스터!$A$5:$A$64,0)),""))</f>
        <v/>
      </c>
      <c r="N290" s="35">
        <f>IF($F290="","",IFERROR(INDEX(사건마스터!$AK$5:$AK$64,MATCH($F290,사건마스터!$A$5:$A$64,0)),""))</f>
        <v/>
      </c>
      <c r="O290" s="35">
        <f>IF($F290="","",IFERROR(INDEX(사건마스터!$AL$5:$AL$64,MATCH($F290,사건마스터!$A$5:$A$64,0)),""))</f>
        <v/>
      </c>
      <c r="P290" s="35">
        <f>IF($F290="","",IFERROR(INDEX(사건마스터!$AM$5:$AM$64,MATCH($F290,사건마스터!$A$5:$A$64,0)),""))</f>
        <v/>
      </c>
      <c r="Q290" s="35">
        <f>IF($F290="","",IFERROR(INDEX(사건마스터!$AN$5:$AN$64,MATCH($F290,사건마스터!$A$5:$A$64,0)),""))</f>
        <v/>
      </c>
      <c r="R290" s="35">
        <f>IF($F290="","",IFERROR(INDEX(사건마스터!$AO$5:$AO$64,MATCH($F290,사건마스터!$A$5:$A$64,0)),""))</f>
        <v/>
      </c>
      <c r="S290" s="35">
        <f>IF($F290="","",IFERROR(INDEX(사건마스터!$AP$5:$AP$64,MATCH($F290,사건마스터!$A$5:$A$64,0)),""))</f>
        <v/>
      </c>
      <c r="T290" s="35">
        <f>IF($F290="","",IFERROR(INDEX(사건마스터!$AQ$5:$AQ$64,MATCH($F290,사건마스터!$A$5:$A$64,0)),""))</f>
        <v/>
      </c>
      <c r="U290" s="35">
        <f>IF($F290="","",IFERROR(INDEX(사건마스터!$AR$5:$AR$64,MATCH($F290,사건마스터!$A$5:$A$64,0)),""))</f>
        <v/>
      </c>
      <c r="V290" s="35">
        <f>IF($F290="","",IFERROR(INDEX(사건마스터!$AS$5:$AS$64,MATCH($F290,사건마스터!$A$5:$A$64,0)),""))</f>
        <v/>
      </c>
      <c r="W290" s="35">
        <f>IF($F290="","",IFERROR(INDEX(사건마스터!$AT$5:$AT$64,MATCH($F290,사건마스터!$A$5:$A$64,0)),""))</f>
        <v/>
      </c>
      <c r="X290" s="35">
        <f>IF($F290="","",IFERROR(INDEX(사건마스터!$AU$5:$AU$64,MATCH($F290,사건마스터!$A$5:$A$64,0)),""))</f>
        <v/>
      </c>
      <c r="Y290" s="35">
        <f>IF($F290="","",IFERROR(INDEX(사건마스터!$AV$5:$AV$64,MATCH($F290,사건마스터!$A$5:$A$64,0)),""))</f>
        <v/>
      </c>
      <c r="Z290" s="30">
        <f>IF(COUNTBLANK($J290:$Y290)=16,"",16-COUNTBLANK($J290:$Y290))</f>
        <v/>
      </c>
      <c r="AA290" s="33">
        <f>IF($J290="",MID($AX290,3,255),$J290&amp;$AX290)</f>
        <v/>
      </c>
      <c r="AB290" s="34">
        <f>IF($J290="","",IFERROR(INDEX(코드설정!$D$5:$D$24,MATCH($J290,코드설정!$C$5:$C$24,0)),""))</f>
        <v/>
      </c>
      <c r="AC290" s="36" t="n"/>
      <c r="AD290" s="37" t="n"/>
      <c r="AE290" s="38" t="n"/>
      <c r="AF290" s="30">
        <f>IF(OR($B290="",$C290=""),"",$C290-$B290+1)</f>
        <v/>
      </c>
      <c r="AG290" s="32" t="n"/>
      <c r="AH290" s="36" t="n"/>
      <c r="AJ290">
        <f>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  <c r="AX290">
        <f>AW290&amp;IF($Y290="","",", "&amp;$Y290)</f>
        <v/>
      </c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0">
        <f>IF($F291="","",COUNTIF($F$5:$F291,$F291))</f>
        <v/>
      </c>
      <c r="H291" s="33">
        <f>IF($F291="","",IFERROR(INDEX(사건마스터!$B$5:$B$64,MATCH($F291,사건마스터!$A$5:$A$64,0)),""))</f>
        <v/>
      </c>
      <c r="I291" s="34">
        <f>IF($F291="","",IFERROR(INDEX(사건마스터!$C$5:$C$64,MATCH($F291,사건마스터!$A$5:$A$64,0)),""))</f>
        <v/>
      </c>
      <c r="J291" s="35">
        <f>IF($F291="","",IFERROR(INDEX(사건마스터!$H$5:$H$64,MATCH($F291,사건마스터!$A$5:$A$64,0)),""))</f>
        <v/>
      </c>
      <c r="K291" s="35">
        <f>IF($F291="","",IFERROR(INDEX(사건마스터!$AH$5:$AH$64,MATCH($F291,사건마스터!$A$5:$A$64,0)),""))</f>
        <v/>
      </c>
      <c r="L291" s="35">
        <f>IF($F291="","",IFERROR(INDEX(사건마스터!$AI$5:$AI$64,MATCH($F291,사건마스터!$A$5:$A$64,0)),""))</f>
        <v/>
      </c>
      <c r="M291" s="35">
        <f>IF($F291="","",IFERROR(INDEX(사건마스터!$AJ$5:$AJ$64,MATCH($F291,사건마스터!$A$5:$A$64,0)),""))</f>
        <v/>
      </c>
      <c r="N291" s="35">
        <f>IF($F291="","",IFERROR(INDEX(사건마스터!$AK$5:$AK$64,MATCH($F291,사건마스터!$A$5:$A$64,0)),""))</f>
        <v/>
      </c>
      <c r="O291" s="35">
        <f>IF($F291="","",IFERROR(INDEX(사건마스터!$AL$5:$AL$64,MATCH($F291,사건마스터!$A$5:$A$64,0)),""))</f>
        <v/>
      </c>
      <c r="P291" s="35">
        <f>IF($F291="","",IFERROR(INDEX(사건마스터!$AM$5:$AM$64,MATCH($F291,사건마스터!$A$5:$A$64,0)),""))</f>
        <v/>
      </c>
      <c r="Q291" s="35">
        <f>IF($F291="","",IFERROR(INDEX(사건마스터!$AN$5:$AN$64,MATCH($F291,사건마스터!$A$5:$A$64,0)),""))</f>
        <v/>
      </c>
      <c r="R291" s="35">
        <f>IF($F291="","",IFERROR(INDEX(사건마스터!$AO$5:$AO$64,MATCH($F291,사건마스터!$A$5:$A$64,0)),""))</f>
        <v/>
      </c>
      <c r="S291" s="35">
        <f>IF($F291="","",IFERROR(INDEX(사건마스터!$AP$5:$AP$64,MATCH($F291,사건마스터!$A$5:$A$64,0)),""))</f>
        <v/>
      </c>
      <c r="T291" s="35">
        <f>IF($F291="","",IFERROR(INDEX(사건마스터!$AQ$5:$AQ$64,MATCH($F291,사건마스터!$A$5:$A$64,0)),""))</f>
        <v/>
      </c>
      <c r="U291" s="35">
        <f>IF($F291="","",IFERROR(INDEX(사건마스터!$AR$5:$AR$64,MATCH($F291,사건마스터!$A$5:$A$64,0)),""))</f>
        <v/>
      </c>
      <c r="V291" s="35">
        <f>IF($F291="","",IFERROR(INDEX(사건마스터!$AS$5:$AS$64,MATCH($F291,사건마스터!$A$5:$A$64,0)),""))</f>
        <v/>
      </c>
      <c r="W291" s="35">
        <f>IF($F291="","",IFERROR(INDEX(사건마스터!$AT$5:$AT$64,MATCH($F291,사건마스터!$A$5:$A$64,0)),""))</f>
        <v/>
      </c>
      <c r="X291" s="35">
        <f>IF($F291="","",IFERROR(INDEX(사건마스터!$AU$5:$AU$64,MATCH($F291,사건마스터!$A$5:$A$64,0)),""))</f>
        <v/>
      </c>
      <c r="Y291" s="35">
        <f>IF($F291="","",IFERROR(INDEX(사건마스터!$AV$5:$AV$64,MATCH($F291,사건마스터!$A$5:$A$64,0)),""))</f>
        <v/>
      </c>
      <c r="Z291" s="30">
        <f>IF(COUNTBLANK($J291:$Y291)=16,"",16-COUNTBLANK($J291:$Y291))</f>
        <v/>
      </c>
      <c r="AA291" s="33">
        <f>IF($J291="",MID($AX291,3,255),$J291&amp;$AX291)</f>
        <v/>
      </c>
      <c r="AB291" s="34">
        <f>IF($J291="","",IFERROR(INDEX(코드설정!$D$5:$D$24,MATCH($J291,코드설정!$C$5:$C$24,0)),""))</f>
        <v/>
      </c>
      <c r="AC291" s="36" t="n"/>
      <c r="AD291" s="37" t="n"/>
      <c r="AE291" s="38" t="n"/>
      <c r="AF291" s="30">
        <f>IF(OR($B291="",$C291=""),"",$C291-$B291+1)</f>
        <v/>
      </c>
      <c r="AG291" s="32" t="n"/>
      <c r="AH291" s="36" t="n"/>
      <c r="AJ291">
        <f>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  <c r="AX291">
        <f>AW291&amp;IF($Y291="","",", "&amp;$Y291)</f>
        <v/>
      </c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0">
        <f>IF($F292="","",COUNTIF($F$5:$F292,$F292))</f>
        <v/>
      </c>
      <c r="H292" s="33">
        <f>IF($F292="","",IFERROR(INDEX(사건마스터!$B$5:$B$64,MATCH($F292,사건마스터!$A$5:$A$64,0)),""))</f>
        <v/>
      </c>
      <c r="I292" s="34">
        <f>IF($F292="","",IFERROR(INDEX(사건마스터!$C$5:$C$64,MATCH($F292,사건마스터!$A$5:$A$64,0)),""))</f>
        <v/>
      </c>
      <c r="J292" s="35">
        <f>IF($F292="","",IFERROR(INDEX(사건마스터!$H$5:$H$64,MATCH($F292,사건마스터!$A$5:$A$64,0)),""))</f>
        <v/>
      </c>
      <c r="K292" s="35">
        <f>IF($F292="","",IFERROR(INDEX(사건마스터!$AH$5:$AH$64,MATCH($F292,사건마스터!$A$5:$A$64,0)),""))</f>
        <v/>
      </c>
      <c r="L292" s="35">
        <f>IF($F292="","",IFERROR(INDEX(사건마스터!$AI$5:$AI$64,MATCH($F292,사건마스터!$A$5:$A$64,0)),""))</f>
        <v/>
      </c>
      <c r="M292" s="35">
        <f>IF($F292="","",IFERROR(INDEX(사건마스터!$AJ$5:$AJ$64,MATCH($F292,사건마스터!$A$5:$A$64,0)),""))</f>
        <v/>
      </c>
      <c r="N292" s="35">
        <f>IF($F292="","",IFERROR(INDEX(사건마스터!$AK$5:$AK$64,MATCH($F292,사건마스터!$A$5:$A$64,0)),""))</f>
        <v/>
      </c>
      <c r="O292" s="35">
        <f>IF($F292="","",IFERROR(INDEX(사건마스터!$AL$5:$AL$64,MATCH($F292,사건마스터!$A$5:$A$64,0)),""))</f>
        <v/>
      </c>
      <c r="P292" s="35">
        <f>IF($F292="","",IFERROR(INDEX(사건마스터!$AM$5:$AM$64,MATCH($F292,사건마스터!$A$5:$A$64,0)),""))</f>
        <v/>
      </c>
      <c r="Q292" s="35">
        <f>IF($F292="","",IFERROR(INDEX(사건마스터!$AN$5:$AN$64,MATCH($F292,사건마스터!$A$5:$A$64,0)),""))</f>
        <v/>
      </c>
      <c r="R292" s="35">
        <f>IF($F292="","",IFERROR(INDEX(사건마스터!$AO$5:$AO$64,MATCH($F292,사건마스터!$A$5:$A$64,0)),""))</f>
        <v/>
      </c>
      <c r="S292" s="35">
        <f>IF($F292="","",IFERROR(INDEX(사건마스터!$AP$5:$AP$64,MATCH($F292,사건마스터!$A$5:$A$64,0)),""))</f>
        <v/>
      </c>
      <c r="T292" s="35">
        <f>IF($F292="","",IFERROR(INDEX(사건마스터!$AQ$5:$AQ$64,MATCH($F292,사건마스터!$A$5:$A$64,0)),""))</f>
        <v/>
      </c>
      <c r="U292" s="35">
        <f>IF($F292="","",IFERROR(INDEX(사건마스터!$AR$5:$AR$64,MATCH($F292,사건마스터!$A$5:$A$64,0)),""))</f>
        <v/>
      </c>
      <c r="V292" s="35">
        <f>IF($F292="","",IFERROR(INDEX(사건마스터!$AS$5:$AS$64,MATCH($F292,사건마스터!$A$5:$A$64,0)),""))</f>
        <v/>
      </c>
      <c r="W292" s="35">
        <f>IF($F292="","",IFERROR(INDEX(사건마스터!$AT$5:$AT$64,MATCH($F292,사건마스터!$A$5:$A$64,0)),""))</f>
        <v/>
      </c>
      <c r="X292" s="35">
        <f>IF($F292="","",IFERROR(INDEX(사건마스터!$AU$5:$AU$64,MATCH($F292,사건마스터!$A$5:$A$64,0)),""))</f>
        <v/>
      </c>
      <c r="Y292" s="35">
        <f>IF($F292="","",IFERROR(INDEX(사건마스터!$AV$5:$AV$64,MATCH($F292,사건마스터!$A$5:$A$64,0)),""))</f>
        <v/>
      </c>
      <c r="Z292" s="30">
        <f>IF(COUNTBLANK($J292:$Y292)=16,"",16-COUNTBLANK($J292:$Y292))</f>
        <v/>
      </c>
      <c r="AA292" s="33">
        <f>IF($J292="",MID($AX292,3,255),$J292&amp;$AX292)</f>
        <v/>
      </c>
      <c r="AB292" s="34">
        <f>IF($J292="","",IFERROR(INDEX(코드설정!$D$5:$D$24,MATCH($J292,코드설정!$C$5:$C$24,0)),""))</f>
        <v/>
      </c>
      <c r="AC292" s="36" t="n"/>
      <c r="AD292" s="37" t="n"/>
      <c r="AE292" s="38" t="n"/>
      <c r="AF292" s="30">
        <f>IF(OR($B292="",$C292=""),"",$C292-$B292+1)</f>
        <v/>
      </c>
      <c r="AG292" s="32" t="n"/>
      <c r="AH292" s="36" t="n"/>
      <c r="AJ292">
        <f>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  <c r="AX292">
        <f>AW292&amp;IF($Y292="","",", "&amp;$Y292)</f>
        <v/>
      </c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0">
        <f>IF($F293="","",COUNTIF($F$5:$F293,$F293))</f>
        <v/>
      </c>
      <c r="H293" s="33">
        <f>IF($F293="","",IFERROR(INDEX(사건마스터!$B$5:$B$64,MATCH($F293,사건마스터!$A$5:$A$64,0)),""))</f>
        <v/>
      </c>
      <c r="I293" s="34">
        <f>IF($F293="","",IFERROR(INDEX(사건마스터!$C$5:$C$64,MATCH($F293,사건마스터!$A$5:$A$64,0)),""))</f>
        <v/>
      </c>
      <c r="J293" s="35">
        <f>IF($F293="","",IFERROR(INDEX(사건마스터!$H$5:$H$64,MATCH($F293,사건마스터!$A$5:$A$64,0)),""))</f>
        <v/>
      </c>
      <c r="K293" s="35">
        <f>IF($F293="","",IFERROR(INDEX(사건마스터!$AH$5:$AH$64,MATCH($F293,사건마스터!$A$5:$A$64,0)),""))</f>
        <v/>
      </c>
      <c r="L293" s="35">
        <f>IF($F293="","",IFERROR(INDEX(사건마스터!$AI$5:$AI$64,MATCH($F293,사건마스터!$A$5:$A$64,0)),""))</f>
        <v/>
      </c>
      <c r="M293" s="35">
        <f>IF($F293="","",IFERROR(INDEX(사건마스터!$AJ$5:$AJ$64,MATCH($F293,사건마스터!$A$5:$A$64,0)),""))</f>
        <v/>
      </c>
      <c r="N293" s="35">
        <f>IF($F293="","",IFERROR(INDEX(사건마스터!$AK$5:$AK$64,MATCH($F293,사건마스터!$A$5:$A$64,0)),""))</f>
        <v/>
      </c>
      <c r="O293" s="35">
        <f>IF($F293="","",IFERROR(INDEX(사건마스터!$AL$5:$AL$64,MATCH($F293,사건마스터!$A$5:$A$64,0)),""))</f>
        <v/>
      </c>
      <c r="P293" s="35">
        <f>IF($F293="","",IFERROR(INDEX(사건마스터!$AM$5:$AM$64,MATCH($F293,사건마스터!$A$5:$A$64,0)),""))</f>
        <v/>
      </c>
      <c r="Q293" s="35">
        <f>IF($F293="","",IFERROR(INDEX(사건마스터!$AN$5:$AN$64,MATCH($F293,사건마스터!$A$5:$A$64,0)),""))</f>
        <v/>
      </c>
      <c r="R293" s="35">
        <f>IF($F293="","",IFERROR(INDEX(사건마스터!$AO$5:$AO$64,MATCH($F293,사건마스터!$A$5:$A$64,0)),""))</f>
        <v/>
      </c>
      <c r="S293" s="35">
        <f>IF($F293="","",IFERROR(INDEX(사건마스터!$AP$5:$AP$64,MATCH($F293,사건마스터!$A$5:$A$64,0)),""))</f>
        <v/>
      </c>
      <c r="T293" s="35">
        <f>IF($F293="","",IFERROR(INDEX(사건마스터!$AQ$5:$AQ$64,MATCH($F293,사건마스터!$A$5:$A$64,0)),""))</f>
        <v/>
      </c>
      <c r="U293" s="35">
        <f>IF($F293="","",IFERROR(INDEX(사건마스터!$AR$5:$AR$64,MATCH($F293,사건마스터!$A$5:$A$64,0)),""))</f>
        <v/>
      </c>
      <c r="V293" s="35">
        <f>IF($F293="","",IFERROR(INDEX(사건마스터!$AS$5:$AS$64,MATCH($F293,사건마스터!$A$5:$A$64,0)),""))</f>
        <v/>
      </c>
      <c r="W293" s="35">
        <f>IF($F293="","",IFERROR(INDEX(사건마스터!$AT$5:$AT$64,MATCH($F293,사건마스터!$A$5:$A$64,0)),""))</f>
        <v/>
      </c>
      <c r="X293" s="35">
        <f>IF($F293="","",IFERROR(INDEX(사건마스터!$AU$5:$AU$64,MATCH($F293,사건마스터!$A$5:$A$64,0)),""))</f>
        <v/>
      </c>
      <c r="Y293" s="35">
        <f>IF($F293="","",IFERROR(INDEX(사건마스터!$AV$5:$AV$64,MATCH($F293,사건마스터!$A$5:$A$64,0)),""))</f>
        <v/>
      </c>
      <c r="Z293" s="30">
        <f>IF(COUNTBLANK($J293:$Y293)=16,"",16-COUNTBLANK($J293:$Y293))</f>
        <v/>
      </c>
      <c r="AA293" s="33">
        <f>IF($J293="",MID($AX293,3,255),$J293&amp;$AX293)</f>
        <v/>
      </c>
      <c r="AB293" s="34">
        <f>IF($J293="","",IFERROR(INDEX(코드설정!$D$5:$D$24,MATCH($J293,코드설정!$C$5:$C$24,0)),""))</f>
        <v/>
      </c>
      <c r="AC293" s="36" t="n"/>
      <c r="AD293" s="37" t="n"/>
      <c r="AE293" s="38" t="n"/>
      <c r="AF293" s="30">
        <f>IF(OR($B293="",$C293=""),"",$C293-$B293+1)</f>
        <v/>
      </c>
      <c r="AG293" s="32" t="n"/>
      <c r="AH293" s="36" t="n"/>
      <c r="AJ293">
        <f>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  <c r="AX293">
        <f>AW293&amp;IF($Y293="","",", "&amp;$Y293)</f>
        <v/>
      </c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0">
        <f>IF($F294="","",COUNTIF($F$5:$F294,$F294))</f>
        <v/>
      </c>
      <c r="H294" s="33">
        <f>IF($F294="","",IFERROR(INDEX(사건마스터!$B$5:$B$64,MATCH($F294,사건마스터!$A$5:$A$64,0)),""))</f>
        <v/>
      </c>
      <c r="I294" s="34">
        <f>IF($F294="","",IFERROR(INDEX(사건마스터!$C$5:$C$64,MATCH($F294,사건마스터!$A$5:$A$64,0)),""))</f>
        <v/>
      </c>
      <c r="J294" s="35">
        <f>IF($F294="","",IFERROR(INDEX(사건마스터!$H$5:$H$64,MATCH($F294,사건마스터!$A$5:$A$64,0)),""))</f>
        <v/>
      </c>
      <c r="K294" s="35">
        <f>IF($F294="","",IFERROR(INDEX(사건마스터!$AH$5:$AH$64,MATCH($F294,사건마스터!$A$5:$A$64,0)),""))</f>
        <v/>
      </c>
      <c r="L294" s="35">
        <f>IF($F294="","",IFERROR(INDEX(사건마스터!$AI$5:$AI$64,MATCH($F294,사건마스터!$A$5:$A$64,0)),""))</f>
        <v/>
      </c>
      <c r="M294" s="35">
        <f>IF($F294="","",IFERROR(INDEX(사건마스터!$AJ$5:$AJ$64,MATCH($F294,사건마스터!$A$5:$A$64,0)),""))</f>
        <v/>
      </c>
      <c r="N294" s="35">
        <f>IF($F294="","",IFERROR(INDEX(사건마스터!$AK$5:$AK$64,MATCH($F294,사건마스터!$A$5:$A$64,0)),""))</f>
        <v/>
      </c>
      <c r="O294" s="35">
        <f>IF($F294="","",IFERROR(INDEX(사건마스터!$AL$5:$AL$64,MATCH($F294,사건마스터!$A$5:$A$64,0)),""))</f>
        <v/>
      </c>
      <c r="P294" s="35">
        <f>IF($F294="","",IFERROR(INDEX(사건마스터!$AM$5:$AM$64,MATCH($F294,사건마스터!$A$5:$A$64,0)),""))</f>
        <v/>
      </c>
      <c r="Q294" s="35">
        <f>IF($F294="","",IFERROR(INDEX(사건마스터!$AN$5:$AN$64,MATCH($F294,사건마스터!$A$5:$A$64,0)),""))</f>
        <v/>
      </c>
      <c r="R294" s="35">
        <f>IF($F294="","",IFERROR(INDEX(사건마스터!$AO$5:$AO$64,MATCH($F294,사건마스터!$A$5:$A$64,0)),""))</f>
        <v/>
      </c>
      <c r="S294" s="35">
        <f>IF($F294="","",IFERROR(INDEX(사건마스터!$AP$5:$AP$64,MATCH($F294,사건마스터!$A$5:$A$64,0)),""))</f>
        <v/>
      </c>
      <c r="T294" s="35">
        <f>IF($F294="","",IFERROR(INDEX(사건마스터!$AQ$5:$AQ$64,MATCH($F294,사건마스터!$A$5:$A$64,0)),""))</f>
        <v/>
      </c>
      <c r="U294" s="35">
        <f>IF($F294="","",IFERROR(INDEX(사건마스터!$AR$5:$AR$64,MATCH($F294,사건마스터!$A$5:$A$64,0)),""))</f>
        <v/>
      </c>
      <c r="V294" s="35">
        <f>IF($F294="","",IFERROR(INDEX(사건마스터!$AS$5:$AS$64,MATCH($F294,사건마스터!$A$5:$A$64,0)),""))</f>
        <v/>
      </c>
      <c r="W294" s="35">
        <f>IF($F294="","",IFERROR(INDEX(사건마스터!$AT$5:$AT$64,MATCH($F294,사건마스터!$A$5:$A$64,0)),""))</f>
        <v/>
      </c>
      <c r="X294" s="35">
        <f>IF($F294="","",IFERROR(INDEX(사건마스터!$AU$5:$AU$64,MATCH($F294,사건마스터!$A$5:$A$64,0)),""))</f>
        <v/>
      </c>
      <c r="Y294" s="35">
        <f>IF($F294="","",IFERROR(INDEX(사건마스터!$AV$5:$AV$64,MATCH($F294,사건마스터!$A$5:$A$64,0)),""))</f>
        <v/>
      </c>
      <c r="Z294" s="30">
        <f>IF(COUNTBLANK($J294:$Y294)=16,"",16-COUNTBLANK($J294:$Y294))</f>
        <v/>
      </c>
      <c r="AA294" s="33">
        <f>IF($J294="",MID($AX294,3,255),$J294&amp;$AX294)</f>
        <v/>
      </c>
      <c r="AB294" s="34">
        <f>IF($J294="","",IFERROR(INDEX(코드설정!$D$5:$D$24,MATCH($J294,코드설정!$C$5:$C$24,0)),""))</f>
        <v/>
      </c>
      <c r="AC294" s="36" t="n"/>
      <c r="AD294" s="37" t="n"/>
      <c r="AE294" s="38" t="n"/>
      <c r="AF294" s="30">
        <f>IF(OR($B294="",$C294=""),"",$C294-$B294+1)</f>
        <v/>
      </c>
      <c r="AG294" s="32" t="n"/>
      <c r="AH294" s="36" t="n"/>
      <c r="AJ294">
        <f>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  <c r="AX294">
        <f>AW294&amp;IF($Y294="","",", "&amp;$Y294)</f>
        <v/>
      </c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0">
        <f>IF($F295="","",COUNTIF($F$5:$F295,$F295))</f>
        <v/>
      </c>
      <c r="H295" s="33">
        <f>IF($F295="","",IFERROR(INDEX(사건마스터!$B$5:$B$64,MATCH($F295,사건마스터!$A$5:$A$64,0)),""))</f>
        <v/>
      </c>
      <c r="I295" s="34">
        <f>IF($F295="","",IFERROR(INDEX(사건마스터!$C$5:$C$64,MATCH($F295,사건마스터!$A$5:$A$64,0)),""))</f>
        <v/>
      </c>
      <c r="J295" s="35">
        <f>IF($F295="","",IFERROR(INDEX(사건마스터!$H$5:$H$64,MATCH($F295,사건마스터!$A$5:$A$64,0)),""))</f>
        <v/>
      </c>
      <c r="K295" s="35">
        <f>IF($F295="","",IFERROR(INDEX(사건마스터!$AH$5:$AH$64,MATCH($F295,사건마스터!$A$5:$A$64,0)),""))</f>
        <v/>
      </c>
      <c r="L295" s="35">
        <f>IF($F295="","",IFERROR(INDEX(사건마스터!$AI$5:$AI$64,MATCH($F295,사건마스터!$A$5:$A$64,0)),""))</f>
        <v/>
      </c>
      <c r="M295" s="35">
        <f>IF($F295="","",IFERROR(INDEX(사건마스터!$AJ$5:$AJ$64,MATCH($F295,사건마스터!$A$5:$A$64,0)),""))</f>
        <v/>
      </c>
      <c r="N295" s="35">
        <f>IF($F295="","",IFERROR(INDEX(사건마스터!$AK$5:$AK$64,MATCH($F295,사건마스터!$A$5:$A$64,0)),""))</f>
        <v/>
      </c>
      <c r="O295" s="35">
        <f>IF($F295="","",IFERROR(INDEX(사건마스터!$AL$5:$AL$64,MATCH($F295,사건마스터!$A$5:$A$64,0)),""))</f>
        <v/>
      </c>
      <c r="P295" s="35">
        <f>IF($F295="","",IFERROR(INDEX(사건마스터!$AM$5:$AM$64,MATCH($F295,사건마스터!$A$5:$A$64,0)),""))</f>
        <v/>
      </c>
      <c r="Q295" s="35">
        <f>IF($F295="","",IFERROR(INDEX(사건마스터!$AN$5:$AN$64,MATCH($F295,사건마스터!$A$5:$A$64,0)),""))</f>
        <v/>
      </c>
      <c r="R295" s="35">
        <f>IF($F295="","",IFERROR(INDEX(사건마스터!$AO$5:$AO$64,MATCH($F295,사건마스터!$A$5:$A$64,0)),""))</f>
        <v/>
      </c>
      <c r="S295" s="35">
        <f>IF($F295="","",IFERROR(INDEX(사건마스터!$AP$5:$AP$64,MATCH($F295,사건마스터!$A$5:$A$64,0)),""))</f>
        <v/>
      </c>
      <c r="T295" s="35">
        <f>IF($F295="","",IFERROR(INDEX(사건마스터!$AQ$5:$AQ$64,MATCH($F295,사건마스터!$A$5:$A$64,0)),""))</f>
        <v/>
      </c>
      <c r="U295" s="35">
        <f>IF($F295="","",IFERROR(INDEX(사건마스터!$AR$5:$AR$64,MATCH($F295,사건마스터!$A$5:$A$64,0)),""))</f>
        <v/>
      </c>
      <c r="V295" s="35">
        <f>IF($F295="","",IFERROR(INDEX(사건마스터!$AS$5:$AS$64,MATCH($F295,사건마스터!$A$5:$A$64,0)),""))</f>
        <v/>
      </c>
      <c r="W295" s="35">
        <f>IF($F295="","",IFERROR(INDEX(사건마스터!$AT$5:$AT$64,MATCH($F295,사건마스터!$A$5:$A$64,0)),""))</f>
        <v/>
      </c>
      <c r="X295" s="35">
        <f>IF($F295="","",IFERROR(INDEX(사건마스터!$AU$5:$AU$64,MATCH($F295,사건마스터!$A$5:$A$64,0)),""))</f>
        <v/>
      </c>
      <c r="Y295" s="35">
        <f>IF($F295="","",IFERROR(INDEX(사건마스터!$AV$5:$AV$64,MATCH($F295,사건마스터!$A$5:$A$64,0)),""))</f>
        <v/>
      </c>
      <c r="Z295" s="30">
        <f>IF(COUNTBLANK($J295:$Y295)=16,"",16-COUNTBLANK($J295:$Y295))</f>
        <v/>
      </c>
      <c r="AA295" s="33">
        <f>IF($J295="",MID($AX295,3,255),$J295&amp;$AX295)</f>
        <v/>
      </c>
      <c r="AB295" s="34">
        <f>IF($J295="","",IFERROR(INDEX(코드설정!$D$5:$D$24,MATCH($J295,코드설정!$C$5:$C$24,0)),""))</f>
        <v/>
      </c>
      <c r="AC295" s="36" t="n"/>
      <c r="AD295" s="37" t="n"/>
      <c r="AE295" s="38" t="n"/>
      <c r="AF295" s="30">
        <f>IF(OR($B295="",$C295=""),"",$C295-$B295+1)</f>
        <v/>
      </c>
      <c r="AG295" s="32" t="n"/>
      <c r="AH295" s="36" t="n"/>
      <c r="AJ295">
        <f>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  <c r="AX295">
        <f>AW295&amp;IF($Y295="","",", "&amp;$Y295)</f>
        <v/>
      </c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0">
        <f>IF($F296="","",COUNTIF($F$5:$F296,$F296))</f>
        <v/>
      </c>
      <c r="H296" s="33">
        <f>IF($F296="","",IFERROR(INDEX(사건마스터!$B$5:$B$64,MATCH($F296,사건마스터!$A$5:$A$64,0)),""))</f>
        <v/>
      </c>
      <c r="I296" s="34">
        <f>IF($F296="","",IFERROR(INDEX(사건마스터!$C$5:$C$64,MATCH($F296,사건마스터!$A$5:$A$64,0)),""))</f>
        <v/>
      </c>
      <c r="J296" s="35">
        <f>IF($F296="","",IFERROR(INDEX(사건마스터!$H$5:$H$64,MATCH($F296,사건마스터!$A$5:$A$64,0)),""))</f>
        <v/>
      </c>
      <c r="K296" s="35">
        <f>IF($F296="","",IFERROR(INDEX(사건마스터!$AH$5:$AH$64,MATCH($F296,사건마스터!$A$5:$A$64,0)),""))</f>
        <v/>
      </c>
      <c r="L296" s="35">
        <f>IF($F296="","",IFERROR(INDEX(사건마스터!$AI$5:$AI$64,MATCH($F296,사건마스터!$A$5:$A$64,0)),""))</f>
        <v/>
      </c>
      <c r="M296" s="35">
        <f>IF($F296="","",IFERROR(INDEX(사건마스터!$AJ$5:$AJ$64,MATCH($F296,사건마스터!$A$5:$A$64,0)),""))</f>
        <v/>
      </c>
      <c r="N296" s="35">
        <f>IF($F296="","",IFERROR(INDEX(사건마스터!$AK$5:$AK$64,MATCH($F296,사건마스터!$A$5:$A$64,0)),""))</f>
        <v/>
      </c>
      <c r="O296" s="35">
        <f>IF($F296="","",IFERROR(INDEX(사건마스터!$AL$5:$AL$64,MATCH($F296,사건마스터!$A$5:$A$64,0)),""))</f>
        <v/>
      </c>
      <c r="P296" s="35">
        <f>IF($F296="","",IFERROR(INDEX(사건마스터!$AM$5:$AM$64,MATCH($F296,사건마스터!$A$5:$A$64,0)),""))</f>
        <v/>
      </c>
      <c r="Q296" s="35">
        <f>IF($F296="","",IFERROR(INDEX(사건마스터!$AN$5:$AN$64,MATCH($F296,사건마스터!$A$5:$A$64,0)),""))</f>
        <v/>
      </c>
      <c r="R296" s="35">
        <f>IF($F296="","",IFERROR(INDEX(사건마스터!$AO$5:$AO$64,MATCH($F296,사건마스터!$A$5:$A$64,0)),""))</f>
        <v/>
      </c>
      <c r="S296" s="35">
        <f>IF($F296="","",IFERROR(INDEX(사건마스터!$AP$5:$AP$64,MATCH($F296,사건마스터!$A$5:$A$64,0)),""))</f>
        <v/>
      </c>
      <c r="T296" s="35">
        <f>IF($F296="","",IFERROR(INDEX(사건마스터!$AQ$5:$AQ$64,MATCH($F296,사건마스터!$A$5:$A$64,0)),""))</f>
        <v/>
      </c>
      <c r="U296" s="35">
        <f>IF($F296="","",IFERROR(INDEX(사건마스터!$AR$5:$AR$64,MATCH($F296,사건마스터!$A$5:$A$64,0)),""))</f>
        <v/>
      </c>
      <c r="V296" s="35">
        <f>IF($F296="","",IFERROR(INDEX(사건마스터!$AS$5:$AS$64,MATCH($F296,사건마스터!$A$5:$A$64,0)),""))</f>
        <v/>
      </c>
      <c r="W296" s="35">
        <f>IF($F296="","",IFERROR(INDEX(사건마스터!$AT$5:$AT$64,MATCH($F296,사건마스터!$A$5:$A$64,0)),""))</f>
        <v/>
      </c>
      <c r="X296" s="35">
        <f>IF($F296="","",IFERROR(INDEX(사건마스터!$AU$5:$AU$64,MATCH($F296,사건마스터!$A$5:$A$64,0)),""))</f>
        <v/>
      </c>
      <c r="Y296" s="35">
        <f>IF($F296="","",IFERROR(INDEX(사건마스터!$AV$5:$AV$64,MATCH($F296,사건마스터!$A$5:$A$64,0)),""))</f>
        <v/>
      </c>
      <c r="Z296" s="30">
        <f>IF(COUNTBLANK($J296:$Y296)=16,"",16-COUNTBLANK($J296:$Y296))</f>
        <v/>
      </c>
      <c r="AA296" s="33">
        <f>IF($J296="",MID($AX296,3,255),$J296&amp;$AX296)</f>
        <v/>
      </c>
      <c r="AB296" s="34">
        <f>IF($J296="","",IFERROR(INDEX(코드설정!$D$5:$D$24,MATCH($J296,코드설정!$C$5:$C$24,0)),""))</f>
        <v/>
      </c>
      <c r="AC296" s="36" t="n"/>
      <c r="AD296" s="37" t="n"/>
      <c r="AE296" s="38" t="n"/>
      <c r="AF296" s="30">
        <f>IF(OR($B296="",$C296=""),"",$C296-$B296+1)</f>
        <v/>
      </c>
      <c r="AG296" s="32" t="n"/>
      <c r="AH296" s="36" t="n"/>
      <c r="AJ296">
        <f>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  <c r="AX296">
        <f>AW296&amp;IF($Y296="","",", "&amp;$Y296)</f>
        <v/>
      </c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0">
        <f>IF($F297="","",COUNTIF($F$5:$F297,$F297))</f>
        <v/>
      </c>
      <c r="H297" s="33">
        <f>IF($F297="","",IFERROR(INDEX(사건마스터!$B$5:$B$64,MATCH($F297,사건마스터!$A$5:$A$64,0)),""))</f>
        <v/>
      </c>
      <c r="I297" s="34">
        <f>IF($F297="","",IFERROR(INDEX(사건마스터!$C$5:$C$64,MATCH($F297,사건마스터!$A$5:$A$64,0)),""))</f>
        <v/>
      </c>
      <c r="J297" s="35">
        <f>IF($F297="","",IFERROR(INDEX(사건마스터!$H$5:$H$64,MATCH($F297,사건마스터!$A$5:$A$64,0)),""))</f>
        <v/>
      </c>
      <c r="K297" s="35">
        <f>IF($F297="","",IFERROR(INDEX(사건마스터!$AH$5:$AH$64,MATCH($F297,사건마스터!$A$5:$A$64,0)),""))</f>
        <v/>
      </c>
      <c r="L297" s="35">
        <f>IF($F297="","",IFERROR(INDEX(사건마스터!$AI$5:$AI$64,MATCH($F297,사건마스터!$A$5:$A$64,0)),""))</f>
        <v/>
      </c>
      <c r="M297" s="35">
        <f>IF($F297="","",IFERROR(INDEX(사건마스터!$AJ$5:$AJ$64,MATCH($F297,사건마스터!$A$5:$A$64,0)),""))</f>
        <v/>
      </c>
      <c r="N297" s="35">
        <f>IF($F297="","",IFERROR(INDEX(사건마스터!$AK$5:$AK$64,MATCH($F297,사건마스터!$A$5:$A$64,0)),""))</f>
        <v/>
      </c>
      <c r="O297" s="35">
        <f>IF($F297="","",IFERROR(INDEX(사건마스터!$AL$5:$AL$64,MATCH($F297,사건마스터!$A$5:$A$64,0)),""))</f>
        <v/>
      </c>
      <c r="P297" s="35">
        <f>IF($F297="","",IFERROR(INDEX(사건마스터!$AM$5:$AM$64,MATCH($F297,사건마스터!$A$5:$A$64,0)),""))</f>
        <v/>
      </c>
      <c r="Q297" s="35">
        <f>IF($F297="","",IFERROR(INDEX(사건마스터!$AN$5:$AN$64,MATCH($F297,사건마스터!$A$5:$A$64,0)),""))</f>
        <v/>
      </c>
      <c r="R297" s="35">
        <f>IF($F297="","",IFERROR(INDEX(사건마스터!$AO$5:$AO$64,MATCH($F297,사건마스터!$A$5:$A$64,0)),""))</f>
        <v/>
      </c>
      <c r="S297" s="35">
        <f>IF($F297="","",IFERROR(INDEX(사건마스터!$AP$5:$AP$64,MATCH($F297,사건마스터!$A$5:$A$64,0)),""))</f>
        <v/>
      </c>
      <c r="T297" s="35">
        <f>IF($F297="","",IFERROR(INDEX(사건마스터!$AQ$5:$AQ$64,MATCH($F297,사건마스터!$A$5:$A$64,0)),""))</f>
        <v/>
      </c>
      <c r="U297" s="35">
        <f>IF($F297="","",IFERROR(INDEX(사건마스터!$AR$5:$AR$64,MATCH($F297,사건마스터!$A$5:$A$64,0)),""))</f>
        <v/>
      </c>
      <c r="V297" s="35">
        <f>IF($F297="","",IFERROR(INDEX(사건마스터!$AS$5:$AS$64,MATCH($F297,사건마스터!$A$5:$A$64,0)),""))</f>
        <v/>
      </c>
      <c r="W297" s="35">
        <f>IF($F297="","",IFERROR(INDEX(사건마스터!$AT$5:$AT$64,MATCH($F297,사건마스터!$A$5:$A$64,0)),""))</f>
        <v/>
      </c>
      <c r="X297" s="35">
        <f>IF($F297="","",IFERROR(INDEX(사건마스터!$AU$5:$AU$64,MATCH($F297,사건마스터!$A$5:$A$64,0)),""))</f>
        <v/>
      </c>
      <c r="Y297" s="35">
        <f>IF($F297="","",IFERROR(INDEX(사건마스터!$AV$5:$AV$64,MATCH($F297,사건마스터!$A$5:$A$64,0)),""))</f>
        <v/>
      </c>
      <c r="Z297" s="30">
        <f>IF(COUNTBLANK($J297:$Y297)=16,"",16-COUNTBLANK($J297:$Y297))</f>
        <v/>
      </c>
      <c r="AA297" s="33">
        <f>IF($J297="",MID($AX297,3,255),$J297&amp;$AX297)</f>
        <v/>
      </c>
      <c r="AB297" s="34">
        <f>IF($J297="","",IFERROR(INDEX(코드설정!$D$5:$D$24,MATCH($J297,코드설정!$C$5:$C$24,0)),""))</f>
        <v/>
      </c>
      <c r="AC297" s="36" t="n"/>
      <c r="AD297" s="37" t="n"/>
      <c r="AE297" s="38" t="n"/>
      <c r="AF297" s="30">
        <f>IF(OR($B297="",$C297=""),"",$C297-$B297+1)</f>
        <v/>
      </c>
      <c r="AG297" s="32" t="n"/>
      <c r="AH297" s="36" t="n"/>
      <c r="AJ297">
        <f>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  <c r="AX297">
        <f>AW297&amp;IF($Y297="","",", "&amp;$Y297)</f>
        <v/>
      </c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0">
        <f>IF($F298="","",COUNTIF($F$5:$F298,$F298))</f>
        <v/>
      </c>
      <c r="H298" s="33">
        <f>IF($F298="","",IFERROR(INDEX(사건마스터!$B$5:$B$64,MATCH($F298,사건마스터!$A$5:$A$64,0)),""))</f>
        <v/>
      </c>
      <c r="I298" s="34">
        <f>IF($F298="","",IFERROR(INDEX(사건마스터!$C$5:$C$64,MATCH($F298,사건마스터!$A$5:$A$64,0)),""))</f>
        <v/>
      </c>
      <c r="J298" s="35">
        <f>IF($F298="","",IFERROR(INDEX(사건마스터!$H$5:$H$64,MATCH($F298,사건마스터!$A$5:$A$64,0)),""))</f>
        <v/>
      </c>
      <c r="K298" s="35">
        <f>IF($F298="","",IFERROR(INDEX(사건마스터!$AH$5:$AH$64,MATCH($F298,사건마스터!$A$5:$A$64,0)),""))</f>
        <v/>
      </c>
      <c r="L298" s="35">
        <f>IF($F298="","",IFERROR(INDEX(사건마스터!$AI$5:$AI$64,MATCH($F298,사건마스터!$A$5:$A$64,0)),""))</f>
        <v/>
      </c>
      <c r="M298" s="35">
        <f>IF($F298="","",IFERROR(INDEX(사건마스터!$AJ$5:$AJ$64,MATCH($F298,사건마스터!$A$5:$A$64,0)),""))</f>
        <v/>
      </c>
      <c r="N298" s="35">
        <f>IF($F298="","",IFERROR(INDEX(사건마스터!$AK$5:$AK$64,MATCH($F298,사건마스터!$A$5:$A$64,0)),""))</f>
        <v/>
      </c>
      <c r="O298" s="35">
        <f>IF($F298="","",IFERROR(INDEX(사건마스터!$AL$5:$AL$64,MATCH($F298,사건마스터!$A$5:$A$64,0)),""))</f>
        <v/>
      </c>
      <c r="P298" s="35">
        <f>IF($F298="","",IFERROR(INDEX(사건마스터!$AM$5:$AM$64,MATCH($F298,사건마스터!$A$5:$A$64,0)),""))</f>
        <v/>
      </c>
      <c r="Q298" s="35">
        <f>IF($F298="","",IFERROR(INDEX(사건마스터!$AN$5:$AN$64,MATCH($F298,사건마스터!$A$5:$A$64,0)),""))</f>
        <v/>
      </c>
      <c r="R298" s="35">
        <f>IF($F298="","",IFERROR(INDEX(사건마스터!$AO$5:$AO$64,MATCH($F298,사건마스터!$A$5:$A$64,0)),""))</f>
        <v/>
      </c>
      <c r="S298" s="35">
        <f>IF($F298="","",IFERROR(INDEX(사건마스터!$AP$5:$AP$64,MATCH($F298,사건마스터!$A$5:$A$64,0)),""))</f>
        <v/>
      </c>
      <c r="T298" s="35">
        <f>IF($F298="","",IFERROR(INDEX(사건마스터!$AQ$5:$AQ$64,MATCH($F298,사건마스터!$A$5:$A$64,0)),""))</f>
        <v/>
      </c>
      <c r="U298" s="35">
        <f>IF($F298="","",IFERROR(INDEX(사건마스터!$AR$5:$AR$64,MATCH($F298,사건마스터!$A$5:$A$64,0)),""))</f>
        <v/>
      </c>
      <c r="V298" s="35">
        <f>IF($F298="","",IFERROR(INDEX(사건마스터!$AS$5:$AS$64,MATCH($F298,사건마스터!$A$5:$A$64,0)),""))</f>
        <v/>
      </c>
      <c r="W298" s="35">
        <f>IF($F298="","",IFERROR(INDEX(사건마스터!$AT$5:$AT$64,MATCH($F298,사건마스터!$A$5:$A$64,0)),""))</f>
        <v/>
      </c>
      <c r="X298" s="35">
        <f>IF($F298="","",IFERROR(INDEX(사건마스터!$AU$5:$AU$64,MATCH($F298,사건마스터!$A$5:$A$64,0)),""))</f>
        <v/>
      </c>
      <c r="Y298" s="35">
        <f>IF($F298="","",IFERROR(INDEX(사건마스터!$AV$5:$AV$64,MATCH($F298,사건마스터!$A$5:$A$64,0)),""))</f>
        <v/>
      </c>
      <c r="Z298" s="30">
        <f>IF(COUNTBLANK($J298:$Y298)=16,"",16-COUNTBLANK($J298:$Y298))</f>
        <v/>
      </c>
      <c r="AA298" s="33">
        <f>IF($J298="",MID($AX298,3,255),$J298&amp;$AX298)</f>
        <v/>
      </c>
      <c r="AB298" s="34">
        <f>IF($J298="","",IFERROR(INDEX(코드설정!$D$5:$D$24,MATCH($J298,코드설정!$C$5:$C$24,0)),""))</f>
        <v/>
      </c>
      <c r="AC298" s="36" t="n"/>
      <c r="AD298" s="37" t="n"/>
      <c r="AE298" s="38" t="n"/>
      <c r="AF298" s="30">
        <f>IF(OR($B298="",$C298=""),"",$C298-$B298+1)</f>
        <v/>
      </c>
      <c r="AG298" s="32" t="n"/>
      <c r="AH298" s="36" t="n"/>
      <c r="AJ298">
        <f>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  <c r="AX298">
        <f>AW298&amp;IF($Y298="","",", "&amp;$Y298)</f>
        <v/>
      </c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0">
        <f>IF($F299="","",COUNTIF($F$5:$F299,$F299))</f>
        <v/>
      </c>
      <c r="H299" s="33">
        <f>IF($F299="","",IFERROR(INDEX(사건마스터!$B$5:$B$64,MATCH($F299,사건마스터!$A$5:$A$64,0)),""))</f>
        <v/>
      </c>
      <c r="I299" s="34">
        <f>IF($F299="","",IFERROR(INDEX(사건마스터!$C$5:$C$64,MATCH($F299,사건마스터!$A$5:$A$64,0)),""))</f>
        <v/>
      </c>
      <c r="J299" s="35">
        <f>IF($F299="","",IFERROR(INDEX(사건마스터!$H$5:$H$64,MATCH($F299,사건마스터!$A$5:$A$64,0)),""))</f>
        <v/>
      </c>
      <c r="K299" s="35">
        <f>IF($F299="","",IFERROR(INDEX(사건마스터!$AH$5:$AH$64,MATCH($F299,사건마스터!$A$5:$A$64,0)),""))</f>
        <v/>
      </c>
      <c r="L299" s="35">
        <f>IF($F299="","",IFERROR(INDEX(사건마스터!$AI$5:$AI$64,MATCH($F299,사건마스터!$A$5:$A$64,0)),""))</f>
        <v/>
      </c>
      <c r="M299" s="35">
        <f>IF($F299="","",IFERROR(INDEX(사건마스터!$AJ$5:$AJ$64,MATCH($F299,사건마스터!$A$5:$A$64,0)),""))</f>
        <v/>
      </c>
      <c r="N299" s="35">
        <f>IF($F299="","",IFERROR(INDEX(사건마스터!$AK$5:$AK$64,MATCH($F299,사건마스터!$A$5:$A$64,0)),""))</f>
        <v/>
      </c>
      <c r="O299" s="35">
        <f>IF($F299="","",IFERROR(INDEX(사건마스터!$AL$5:$AL$64,MATCH($F299,사건마스터!$A$5:$A$64,0)),""))</f>
        <v/>
      </c>
      <c r="P299" s="35">
        <f>IF($F299="","",IFERROR(INDEX(사건마스터!$AM$5:$AM$64,MATCH($F299,사건마스터!$A$5:$A$64,0)),""))</f>
        <v/>
      </c>
      <c r="Q299" s="35">
        <f>IF($F299="","",IFERROR(INDEX(사건마스터!$AN$5:$AN$64,MATCH($F299,사건마스터!$A$5:$A$64,0)),""))</f>
        <v/>
      </c>
      <c r="R299" s="35">
        <f>IF($F299="","",IFERROR(INDEX(사건마스터!$AO$5:$AO$64,MATCH($F299,사건마스터!$A$5:$A$64,0)),""))</f>
        <v/>
      </c>
      <c r="S299" s="35">
        <f>IF($F299="","",IFERROR(INDEX(사건마스터!$AP$5:$AP$64,MATCH($F299,사건마스터!$A$5:$A$64,0)),""))</f>
        <v/>
      </c>
      <c r="T299" s="35">
        <f>IF($F299="","",IFERROR(INDEX(사건마스터!$AQ$5:$AQ$64,MATCH($F299,사건마스터!$A$5:$A$64,0)),""))</f>
        <v/>
      </c>
      <c r="U299" s="35">
        <f>IF($F299="","",IFERROR(INDEX(사건마스터!$AR$5:$AR$64,MATCH($F299,사건마스터!$A$5:$A$64,0)),""))</f>
        <v/>
      </c>
      <c r="V299" s="35">
        <f>IF($F299="","",IFERROR(INDEX(사건마스터!$AS$5:$AS$64,MATCH($F299,사건마스터!$A$5:$A$64,0)),""))</f>
        <v/>
      </c>
      <c r="W299" s="35">
        <f>IF($F299="","",IFERROR(INDEX(사건마스터!$AT$5:$AT$64,MATCH($F299,사건마스터!$A$5:$A$64,0)),""))</f>
        <v/>
      </c>
      <c r="X299" s="35">
        <f>IF($F299="","",IFERROR(INDEX(사건마스터!$AU$5:$AU$64,MATCH($F299,사건마스터!$A$5:$A$64,0)),""))</f>
        <v/>
      </c>
      <c r="Y299" s="35">
        <f>IF($F299="","",IFERROR(INDEX(사건마스터!$AV$5:$AV$64,MATCH($F299,사건마스터!$A$5:$A$64,0)),""))</f>
        <v/>
      </c>
      <c r="Z299" s="30">
        <f>IF(COUNTBLANK($J299:$Y299)=16,"",16-COUNTBLANK($J299:$Y299))</f>
        <v/>
      </c>
      <c r="AA299" s="33">
        <f>IF($J299="",MID($AX299,3,255),$J299&amp;$AX299)</f>
        <v/>
      </c>
      <c r="AB299" s="34">
        <f>IF($J299="","",IFERROR(INDEX(코드설정!$D$5:$D$24,MATCH($J299,코드설정!$C$5:$C$24,0)),""))</f>
        <v/>
      </c>
      <c r="AC299" s="36" t="n"/>
      <c r="AD299" s="37" t="n"/>
      <c r="AE299" s="38" t="n"/>
      <c r="AF299" s="30">
        <f>IF(OR($B299="",$C299=""),"",$C299-$B299+1)</f>
        <v/>
      </c>
      <c r="AG299" s="32" t="n"/>
      <c r="AH299" s="36" t="n"/>
      <c r="AJ299">
        <f>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  <c r="AX299">
        <f>AW299&amp;IF($Y299="","",", "&amp;$Y299)</f>
        <v/>
      </c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0">
        <f>IF($F300="","",COUNTIF($F$5:$F300,$F300))</f>
        <v/>
      </c>
      <c r="H300" s="33">
        <f>IF($F300="","",IFERROR(INDEX(사건마스터!$B$5:$B$64,MATCH($F300,사건마스터!$A$5:$A$64,0)),""))</f>
        <v/>
      </c>
      <c r="I300" s="34">
        <f>IF($F300="","",IFERROR(INDEX(사건마스터!$C$5:$C$64,MATCH($F300,사건마스터!$A$5:$A$64,0)),""))</f>
        <v/>
      </c>
      <c r="J300" s="35">
        <f>IF($F300="","",IFERROR(INDEX(사건마스터!$H$5:$H$64,MATCH($F300,사건마스터!$A$5:$A$64,0)),""))</f>
        <v/>
      </c>
      <c r="K300" s="35">
        <f>IF($F300="","",IFERROR(INDEX(사건마스터!$AH$5:$AH$64,MATCH($F300,사건마스터!$A$5:$A$64,0)),""))</f>
        <v/>
      </c>
      <c r="L300" s="35">
        <f>IF($F300="","",IFERROR(INDEX(사건마스터!$AI$5:$AI$64,MATCH($F300,사건마스터!$A$5:$A$64,0)),""))</f>
        <v/>
      </c>
      <c r="M300" s="35">
        <f>IF($F300="","",IFERROR(INDEX(사건마스터!$AJ$5:$AJ$64,MATCH($F300,사건마스터!$A$5:$A$64,0)),""))</f>
        <v/>
      </c>
      <c r="N300" s="35">
        <f>IF($F300="","",IFERROR(INDEX(사건마스터!$AK$5:$AK$64,MATCH($F300,사건마스터!$A$5:$A$64,0)),""))</f>
        <v/>
      </c>
      <c r="O300" s="35">
        <f>IF($F300="","",IFERROR(INDEX(사건마스터!$AL$5:$AL$64,MATCH($F300,사건마스터!$A$5:$A$64,0)),""))</f>
        <v/>
      </c>
      <c r="P300" s="35">
        <f>IF($F300="","",IFERROR(INDEX(사건마스터!$AM$5:$AM$64,MATCH($F300,사건마스터!$A$5:$A$64,0)),""))</f>
        <v/>
      </c>
      <c r="Q300" s="35">
        <f>IF($F300="","",IFERROR(INDEX(사건마스터!$AN$5:$AN$64,MATCH($F300,사건마스터!$A$5:$A$64,0)),""))</f>
        <v/>
      </c>
      <c r="R300" s="35">
        <f>IF($F300="","",IFERROR(INDEX(사건마스터!$AO$5:$AO$64,MATCH($F300,사건마스터!$A$5:$A$64,0)),""))</f>
        <v/>
      </c>
      <c r="S300" s="35">
        <f>IF($F300="","",IFERROR(INDEX(사건마스터!$AP$5:$AP$64,MATCH($F300,사건마스터!$A$5:$A$64,0)),""))</f>
        <v/>
      </c>
      <c r="T300" s="35">
        <f>IF($F300="","",IFERROR(INDEX(사건마스터!$AQ$5:$AQ$64,MATCH($F300,사건마스터!$A$5:$A$64,0)),""))</f>
        <v/>
      </c>
      <c r="U300" s="35">
        <f>IF($F300="","",IFERROR(INDEX(사건마스터!$AR$5:$AR$64,MATCH($F300,사건마스터!$A$5:$A$64,0)),""))</f>
        <v/>
      </c>
      <c r="V300" s="35">
        <f>IF($F300="","",IFERROR(INDEX(사건마스터!$AS$5:$AS$64,MATCH($F300,사건마스터!$A$5:$A$64,0)),""))</f>
        <v/>
      </c>
      <c r="W300" s="35">
        <f>IF($F300="","",IFERROR(INDEX(사건마스터!$AT$5:$AT$64,MATCH($F300,사건마스터!$A$5:$A$64,0)),""))</f>
        <v/>
      </c>
      <c r="X300" s="35">
        <f>IF($F300="","",IFERROR(INDEX(사건마스터!$AU$5:$AU$64,MATCH($F300,사건마스터!$A$5:$A$64,0)),""))</f>
        <v/>
      </c>
      <c r="Y300" s="35">
        <f>IF($F300="","",IFERROR(INDEX(사건마스터!$AV$5:$AV$64,MATCH($F300,사건마스터!$A$5:$A$64,0)),""))</f>
        <v/>
      </c>
      <c r="Z300" s="30">
        <f>IF(COUNTBLANK($J300:$Y300)=16,"",16-COUNTBLANK($J300:$Y300))</f>
        <v/>
      </c>
      <c r="AA300" s="33">
        <f>IF($J300="",MID($AX300,3,255),$J300&amp;$AX300)</f>
        <v/>
      </c>
      <c r="AB300" s="34">
        <f>IF($J300="","",IFERROR(INDEX(코드설정!$D$5:$D$24,MATCH($J300,코드설정!$C$5:$C$24,0)),""))</f>
        <v/>
      </c>
      <c r="AC300" s="36" t="n"/>
      <c r="AD300" s="37" t="n"/>
      <c r="AE300" s="38" t="n"/>
      <c r="AF300" s="30">
        <f>IF(OR($B300="",$C300=""),"",$C300-$B300+1)</f>
        <v/>
      </c>
      <c r="AG300" s="32" t="n"/>
      <c r="AH300" s="36" t="n"/>
      <c r="AJ300">
        <f>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  <c r="AX300">
        <f>AW300&amp;IF($Y300="","",", "&amp;$Y300)</f>
        <v/>
      </c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0">
        <f>IF($F301="","",COUNTIF($F$5:$F301,$F301))</f>
        <v/>
      </c>
      <c r="H301" s="33">
        <f>IF($F301="","",IFERROR(INDEX(사건마스터!$B$5:$B$64,MATCH($F301,사건마스터!$A$5:$A$64,0)),""))</f>
        <v/>
      </c>
      <c r="I301" s="34">
        <f>IF($F301="","",IFERROR(INDEX(사건마스터!$C$5:$C$64,MATCH($F301,사건마스터!$A$5:$A$64,0)),""))</f>
        <v/>
      </c>
      <c r="J301" s="35">
        <f>IF($F301="","",IFERROR(INDEX(사건마스터!$H$5:$H$64,MATCH($F301,사건마스터!$A$5:$A$64,0)),""))</f>
        <v/>
      </c>
      <c r="K301" s="35">
        <f>IF($F301="","",IFERROR(INDEX(사건마스터!$AH$5:$AH$64,MATCH($F301,사건마스터!$A$5:$A$64,0)),""))</f>
        <v/>
      </c>
      <c r="L301" s="35">
        <f>IF($F301="","",IFERROR(INDEX(사건마스터!$AI$5:$AI$64,MATCH($F301,사건마스터!$A$5:$A$64,0)),""))</f>
        <v/>
      </c>
      <c r="M301" s="35">
        <f>IF($F301="","",IFERROR(INDEX(사건마스터!$AJ$5:$AJ$64,MATCH($F301,사건마스터!$A$5:$A$64,0)),""))</f>
        <v/>
      </c>
      <c r="N301" s="35">
        <f>IF($F301="","",IFERROR(INDEX(사건마스터!$AK$5:$AK$64,MATCH($F301,사건마스터!$A$5:$A$64,0)),""))</f>
        <v/>
      </c>
      <c r="O301" s="35">
        <f>IF($F301="","",IFERROR(INDEX(사건마스터!$AL$5:$AL$64,MATCH($F301,사건마스터!$A$5:$A$64,0)),""))</f>
        <v/>
      </c>
      <c r="P301" s="35">
        <f>IF($F301="","",IFERROR(INDEX(사건마스터!$AM$5:$AM$64,MATCH($F301,사건마스터!$A$5:$A$64,0)),""))</f>
        <v/>
      </c>
      <c r="Q301" s="35">
        <f>IF($F301="","",IFERROR(INDEX(사건마스터!$AN$5:$AN$64,MATCH($F301,사건마스터!$A$5:$A$64,0)),""))</f>
        <v/>
      </c>
      <c r="R301" s="35">
        <f>IF($F301="","",IFERROR(INDEX(사건마스터!$AO$5:$AO$64,MATCH($F301,사건마스터!$A$5:$A$64,0)),""))</f>
        <v/>
      </c>
      <c r="S301" s="35">
        <f>IF($F301="","",IFERROR(INDEX(사건마스터!$AP$5:$AP$64,MATCH($F301,사건마스터!$A$5:$A$64,0)),""))</f>
        <v/>
      </c>
      <c r="T301" s="35">
        <f>IF($F301="","",IFERROR(INDEX(사건마스터!$AQ$5:$AQ$64,MATCH($F301,사건마스터!$A$5:$A$64,0)),""))</f>
        <v/>
      </c>
      <c r="U301" s="35">
        <f>IF($F301="","",IFERROR(INDEX(사건마스터!$AR$5:$AR$64,MATCH($F301,사건마스터!$A$5:$A$64,0)),""))</f>
        <v/>
      </c>
      <c r="V301" s="35">
        <f>IF($F301="","",IFERROR(INDEX(사건마스터!$AS$5:$AS$64,MATCH($F301,사건마스터!$A$5:$A$64,0)),""))</f>
        <v/>
      </c>
      <c r="W301" s="35">
        <f>IF($F301="","",IFERROR(INDEX(사건마스터!$AT$5:$AT$64,MATCH($F301,사건마스터!$A$5:$A$64,0)),""))</f>
        <v/>
      </c>
      <c r="X301" s="35">
        <f>IF($F301="","",IFERROR(INDEX(사건마스터!$AU$5:$AU$64,MATCH($F301,사건마스터!$A$5:$A$64,0)),""))</f>
        <v/>
      </c>
      <c r="Y301" s="35">
        <f>IF($F301="","",IFERROR(INDEX(사건마스터!$AV$5:$AV$64,MATCH($F301,사건마스터!$A$5:$A$64,0)),""))</f>
        <v/>
      </c>
      <c r="Z301" s="30">
        <f>IF(COUNTBLANK($J301:$Y301)=16,"",16-COUNTBLANK($J301:$Y301))</f>
        <v/>
      </c>
      <c r="AA301" s="33">
        <f>IF($J301="",MID($AX301,3,255),$J301&amp;$AX301)</f>
        <v/>
      </c>
      <c r="AB301" s="34">
        <f>IF($J301="","",IFERROR(INDEX(코드설정!$D$5:$D$24,MATCH($J301,코드설정!$C$5:$C$24,0)),""))</f>
        <v/>
      </c>
      <c r="AC301" s="36" t="n"/>
      <c r="AD301" s="37" t="n"/>
      <c r="AE301" s="38" t="n"/>
      <c r="AF301" s="30">
        <f>IF(OR($B301="",$C301=""),"",$C301-$B301+1)</f>
        <v/>
      </c>
      <c r="AG301" s="32" t="n"/>
      <c r="AH301" s="36" t="n"/>
      <c r="AJ301">
        <f>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  <c r="AX301">
        <f>AW301&amp;IF($Y301="","",", "&amp;$Y301)</f>
        <v/>
      </c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0">
        <f>IF($F302="","",COUNTIF($F$5:$F302,$F302))</f>
        <v/>
      </c>
      <c r="H302" s="33">
        <f>IF($F302="","",IFERROR(INDEX(사건마스터!$B$5:$B$64,MATCH($F302,사건마스터!$A$5:$A$64,0)),""))</f>
        <v/>
      </c>
      <c r="I302" s="34">
        <f>IF($F302="","",IFERROR(INDEX(사건마스터!$C$5:$C$64,MATCH($F302,사건마스터!$A$5:$A$64,0)),""))</f>
        <v/>
      </c>
      <c r="J302" s="35">
        <f>IF($F302="","",IFERROR(INDEX(사건마스터!$H$5:$H$64,MATCH($F302,사건마스터!$A$5:$A$64,0)),""))</f>
        <v/>
      </c>
      <c r="K302" s="35">
        <f>IF($F302="","",IFERROR(INDEX(사건마스터!$AH$5:$AH$64,MATCH($F302,사건마스터!$A$5:$A$64,0)),""))</f>
        <v/>
      </c>
      <c r="L302" s="35">
        <f>IF($F302="","",IFERROR(INDEX(사건마스터!$AI$5:$AI$64,MATCH($F302,사건마스터!$A$5:$A$64,0)),""))</f>
        <v/>
      </c>
      <c r="M302" s="35">
        <f>IF($F302="","",IFERROR(INDEX(사건마스터!$AJ$5:$AJ$64,MATCH($F302,사건마스터!$A$5:$A$64,0)),""))</f>
        <v/>
      </c>
      <c r="N302" s="35">
        <f>IF($F302="","",IFERROR(INDEX(사건마스터!$AK$5:$AK$64,MATCH($F302,사건마스터!$A$5:$A$64,0)),""))</f>
        <v/>
      </c>
      <c r="O302" s="35">
        <f>IF($F302="","",IFERROR(INDEX(사건마스터!$AL$5:$AL$64,MATCH($F302,사건마스터!$A$5:$A$64,0)),""))</f>
        <v/>
      </c>
      <c r="P302" s="35">
        <f>IF($F302="","",IFERROR(INDEX(사건마스터!$AM$5:$AM$64,MATCH($F302,사건마스터!$A$5:$A$64,0)),""))</f>
        <v/>
      </c>
      <c r="Q302" s="35">
        <f>IF($F302="","",IFERROR(INDEX(사건마스터!$AN$5:$AN$64,MATCH($F302,사건마스터!$A$5:$A$64,0)),""))</f>
        <v/>
      </c>
      <c r="R302" s="35">
        <f>IF($F302="","",IFERROR(INDEX(사건마스터!$AO$5:$AO$64,MATCH($F302,사건마스터!$A$5:$A$64,0)),""))</f>
        <v/>
      </c>
      <c r="S302" s="35">
        <f>IF($F302="","",IFERROR(INDEX(사건마스터!$AP$5:$AP$64,MATCH($F302,사건마스터!$A$5:$A$64,0)),""))</f>
        <v/>
      </c>
      <c r="T302" s="35">
        <f>IF($F302="","",IFERROR(INDEX(사건마스터!$AQ$5:$AQ$64,MATCH($F302,사건마스터!$A$5:$A$64,0)),""))</f>
        <v/>
      </c>
      <c r="U302" s="35">
        <f>IF($F302="","",IFERROR(INDEX(사건마스터!$AR$5:$AR$64,MATCH($F302,사건마스터!$A$5:$A$64,0)),""))</f>
        <v/>
      </c>
      <c r="V302" s="35">
        <f>IF($F302="","",IFERROR(INDEX(사건마스터!$AS$5:$AS$64,MATCH($F302,사건마스터!$A$5:$A$64,0)),""))</f>
        <v/>
      </c>
      <c r="W302" s="35">
        <f>IF($F302="","",IFERROR(INDEX(사건마스터!$AT$5:$AT$64,MATCH($F302,사건마스터!$A$5:$A$64,0)),""))</f>
        <v/>
      </c>
      <c r="X302" s="35">
        <f>IF($F302="","",IFERROR(INDEX(사건마스터!$AU$5:$AU$64,MATCH($F302,사건마스터!$A$5:$A$64,0)),""))</f>
        <v/>
      </c>
      <c r="Y302" s="35">
        <f>IF($F302="","",IFERROR(INDEX(사건마스터!$AV$5:$AV$64,MATCH($F302,사건마스터!$A$5:$A$64,0)),""))</f>
        <v/>
      </c>
      <c r="Z302" s="30">
        <f>IF(COUNTBLANK($J302:$Y302)=16,"",16-COUNTBLANK($J302:$Y302))</f>
        <v/>
      </c>
      <c r="AA302" s="33">
        <f>IF($J302="",MID($AX302,3,255),$J302&amp;$AX302)</f>
        <v/>
      </c>
      <c r="AB302" s="34">
        <f>IF($J302="","",IFERROR(INDEX(코드설정!$D$5:$D$24,MATCH($J302,코드설정!$C$5:$C$24,0)),""))</f>
        <v/>
      </c>
      <c r="AC302" s="36" t="n"/>
      <c r="AD302" s="37" t="n"/>
      <c r="AE302" s="38" t="n"/>
      <c r="AF302" s="30">
        <f>IF(OR($B302="",$C302=""),"",$C302-$B302+1)</f>
        <v/>
      </c>
      <c r="AG302" s="32" t="n"/>
      <c r="AH302" s="36" t="n"/>
      <c r="AJ302">
        <f>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  <c r="AX302">
        <f>AW302&amp;IF($Y302="","",", "&amp;$Y302)</f>
        <v/>
      </c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0">
        <f>IF($F303="","",COUNTIF($F$5:$F303,$F303))</f>
        <v/>
      </c>
      <c r="H303" s="33">
        <f>IF($F303="","",IFERROR(INDEX(사건마스터!$B$5:$B$64,MATCH($F303,사건마스터!$A$5:$A$64,0)),""))</f>
        <v/>
      </c>
      <c r="I303" s="34">
        <f>IF($F303="","",IFERROR(INDEX(사건마스터!$C$5:$C$64,MATCH($F303,사건마스터!$A$5:$A$64,0)),""))</f>
        <v/>
      </c>
      <c r="J303" s="35">
        <f>IF($F303="","",IFERROR(INDEX(사건마스터!$H$5:$H$64,MATCH($F303,사건마스터!$A$5:$A$64,0)),""))</f>
        <v/>
      </c>
      <c r="K303" s="35">
        <f>IF($F303="","",IFERROR(INDEX(사건마스터!$AH$5:$AH$64,MATCH($F303,사건마스터!$A$5:$A$64,0)),""))</f>
        <v/>
      </c>
      <c r="L303" s="35">
        <f>IF($F303="","",IFERROR(INDEX(사건마스터!$AI$5:$AI$64,MATCH($F303,사건마스터!$A$5:$A$64,0)),""))</f>
        <v/>
      </c>
      <c r="M303" s="35">
        <f>IF($F303="","",IFERROR(INDEX(사건마스터!$AJ$5:$AJ$64,MATCH($F303,사건마스터!$A$5:$A$64,0)),""))</f>
        <v/>
      </c>
      <c r="N303" s="35">
        <f>IF($F303="","",IFERROR(INDEX(사건마스터!$AK$5:$AK$64,MATCH($F303,사건마스터!$A$5:$A$64,0)),""))</f>
        <v/>
      </c>
      <c r="O303" s="35">
        <f>IF($F303="","",IFERROR(INDEX(사건마스터!$AL$5:$AL$64,MATCH($F303,사건마스터!$A$5:$A$64,0)),""))</f>
        <v/>
      </c>
      <c r="P303" s="35">
        <f>IF($F303="","",IFERROR(INDEX(사건마스터!$AM$5:$AM$64,MATCH($F303,사건마스터!$A$5:$A$64,0)),""))</f>
        <v/>
      </c>
      <c r="Q303" s="35">
        <f>IF($F303="","",IFERROR(INDEX(사건마스터!$AN$5:$AN$64,MATCH($F303,사건마스터!$A$5:$A$64,0)),""))</f>
        <v/>
      </c>
      <c r="R303" s="35">
        <f>IF($F303="","",IFERROR(INDEX(사건마스터!$AO$5:$AO$64,MATCH($F303,사건마스터!$A$5:$A$64,0)),""))</f>
        <v/>
      </c>
      <c r="S303" s="35">
        <f>IF($F303="","",IFERROR(INDEX(사건마스터!$AP$5:$AP$64,MATCH($F303,사건마스터!$A$5:$A$64,0)),""))</f>
        <v/>
      </c>
      <c r="T303" s="35">
        <f>IF($F303="","",IFERROR(INDEX(사건마스터!$AQ$5:$AQ$64,MATCH($F303,사건마스터!$A$5:$A$64,0)),""))</f>
        <v/>
      </c>
      <c r="U303" s="35">
        <f>IF($F303="","",IFERROR(INDEX(사건마스터!$AR$5:$AR$64,MATCH($F303,사건마스터!$A$5:$A$64,0)),""))</f>
        <v/>
      </c>
      <c r="V303" s="35">
        <f>IF($F303="","",IFERROR(INDEX(사건마스터!$AS$5:$AS$64,MATCH($F303,사건마스터!$A$5:$A$64,0)),""))</f>
        <v/>
      </c>
      <c r="W303" s="35">
        <f>IF($F303="","",IFERROR(INDEX(사건마스터!$AT$5:$AT$64,MATCH($F303,사건마스터!$A$5:$A$64,0)),""))</f>
        <v/>
      </c>
      <c r="X303" s="35">
        <f>IF($F303="","",IFERROR(INDEX(사건마스터!$AU$5:$AU$64,MATCH($F303,사건마스터!$A$5:$A$64,0)),""))</f>
        <v/>
      </c>
      <c r="Y303" s="35">
        <f>IF($F303="","",IFERROR(INDEX(사건마스터!$AV$5:$AV$64,MATCH($F303,사건마스터!$A$5:$A$64,0)),""))</f>
        <v/>
      </c>
      <c r="Z303" s="30">
        <f>IF(COUNTBLANK($J303:$Y303)=16,"",16-COUNTBLANK($J303:$Y303))</f>
        <v/>
      </c>
      <c r="AA303" s="33">
        <f>IF($J303="",MID($AX303,3,255),$J303&amp;$AX303)</f>
        <v/>
      </c>
      <c r="AB303" s="34">
        <f>IF($J303="","",IFERROR(INDEX(코드설정!$D$5:$D$24,MATCH($J303,코드설정!$C$5:$C$24,0)),""))</f>
        <v/>
      </c>
      <c r="AC303" s="36" t="n"/>
      <c r="AD303" s="37" t="n"/>
      <c r="AE303" s="38" t="n"/>
      <c r="AF303" s="30">
        <f>IF(OR($B303="",$C303=""),"",$C303-$B303+1)</f>
        <v/>
      </c>
      <c r="AG303" s="32" t="n"/>
      <c r="AH303" s="36" t="n"/>
      <c r="AJ303">
        <f>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  <c r="AX303">
        <f>AW303&amp;IF($Y303="","",", "&amp;$Y303)</f>
        <v/>
      </c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0">
        <f>IF($F304="","",COUNTIF($F$5:$F304,$F304))</f>
        <v/>
      </c>
      <c r="H304" s="33">
        <f>IF($F304="","",IFERROR(INDEX(사건마스터!$B$5:$B$64,MATCH($F304,사건마스터!$A$5:$A$64,0)),""))</f>
        <v/>
      </c>
      <c r="I304" s="34">
        <f>IF($F304="","",IFERROR(INDEX(사건마스터!$C$5:$C$64,MATCH($F304,사건마스터!$A$5:$A$64,0)),""))</f>
        <v/>
      </c>
      <c r="J304" s="35">
        <f>IF($F304="","",IFERROR(INDEX(사건마스터!$H$5:$H$64,MATCH($F304,사건마스터!$A$5:$A$64,0)),""))</f>
        <v/>
      </c>
      <c r="K304" s="35">
        <f>IF($F304="","",IFERROR(INDEX(사건마스터!$AH$5:$AH$64,MATCH($F304,사건마스터!$A$5:$A$64,0)),""))</f>
        <v/>
      </c>
      <c r="L304" s="35">
        <f>IF($F304="","",IFERROR(INDEX(사건마스터!$AI$5:$AI$64,MATCH($F304,사건마스터!$A$5:$A$64,0)),""))</f>
        <v/>
      </c>
      <c r="M304" s="35">
        <f>IF($F304="","",IFERROR(INDEX(사건마스터!$AJ$5:$AJ$64,MATCH($F304,사건마스터!$A$5:$A$64,0)),""))</f>
        <v/>
      </c>
      <c r="N304" s="35">
        <f>IF($F304="","",IFERROR(INDEX(사건마스터!$AK$5:$AK$64,MATCH($F304,사건마스터!$A$5:$A$64,0)),""))</f>
        <v/>
      </c>
      <c r="O304" s="35">
        <f>IF($F304="","",IFERROR(INDEX(사건마스터!$AL$5:$AL$64,MATCH($F304,사건마스터!$A$5:$A$64,0)),""))</f>
        <v/>
      </c>
      <c r="P304" s="35">
        <f>IF($F304="","",IFERROR(INDEX(사건마스터!$AM$5:$AM$64,MATCH($F304,사건마스터!$A$5:$A$64,0)),""))</f>
        <v/>
      </c>
      <c r="Q304" s="35">
        <f>IF($F304="","",IFERROR(INDEX(사건마스터!$AN$5:$AN$64,MATCH($F304,사건마스터!$A$5:$A$64,0)),""))</f>
        <v/>
      </c>
      <c r="R304" s="35">
        <f>IF($F304="","",IFERROR(INDEX(사건마스터!$AO$5:$AO$64,MATCH($F304,사건마스터!$A$5:$A$64,0)),""))</f>
        <v/>
      </c>
      <c r="S304" s="35">
        <f>IF($F304="","",IFERROR(INDEX(사건마스터!$AP$5:$AP$64,MATCH($F304,사건마스터!$A$5:$A$64,0)),""))</f>
        <v/>
      </c>
      <c r="T304" s="35">
        <f>IF($F304="","",IFERROR(INDEX(사건마스터!$AQ$5:$AQ$64,MATCH($F304,사건마스터!$A$5:$A$64,0)),""))</f>
        <v/>
      </c>
      <c r="U304" s="35">
        <f>IF($F304="","",IFERROR(INDEX(사건마스터!$AR$5:$AR$64,MATCH($F304,사건마스터!$A$5:$A$64,0)),""))</f>
        <v/>
      </c>
      <c r="V304" s="35">
        <f>IF($F304="","",IFERROR(INDEX(사건마스터!$AS$5:$AS$64,MATCH($F304,사건마스터!$A$5:$A$64,0)),""))</f>
        <v/>
      </c>
      <c r="W304" s="35">
        <f>IF($F304="","",IFERROR(INDEX(사건마스터!$AT$5:$AT$64,MATCH($F304,사건마스터!$A$5:$A$64,0)),""))</f>
        <v/>
      </c>
      <c r="X304" s="35">
        <f>IF($F304="","",IFERROR(INDEX(사건마스터!$AU$5:$AU$64,MATCH($F304,사건마스터!$A$5:$A$64,0)),""))</f>
        <v/>
      </c>
      <c r="Y304" s="35">
        <f>IF($F304="","",IFERROR(INDEX(사건마스터!$AV$5:$AV$64,MATCH($F304,사건마스터!$A$5:$A$64,0)),""))</f>
        <v/>
      </c>
      <c r="Z304" s="30">
        <f>IF(COUNTBLANK($J304:$Y304)=16,"",16-COUNTBLANK($J304:$Y304))</f>
        <v/>
      </c>
      <c r="AA304" s="33">
        <f>IF($J304="",MID($AX304,3,255),$J304&amp;$AX304)</f>
        <v/>
      </c>
      <c r="AB304" s="34">
        <f>IF($J304="","",IFERROR(INDEX(코드설정!$D$5:$D$24,MATCH($J304,코드설정!$C$5:$C$24,0)),""))</f>
        <v/>
      </c>
      <c r="AC304" s="36" t="n"/>
      <c r="AD304" s="37" t="n"/>
      <c r="AE304" s="38" t="n"/>
      <c r="AF304" s="30">
        <f>IF(OR($B304="",$C304=""),"",$C304-$B304+1)</f>
        <v/>
      </c>
      <c r="AG304" s="32" t="n"/>
      <c r="AH304" s="36" t="n"/>
      <c r="AJ304">
        <f>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  <c r="AX304">
        <f>AW304&amp;IF($Y304="","",", "&amp;$Y304)</f>
        <v/>
      </c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0">
        <f>IF($F305="","",COUNTIF($F$5:$F305,$F305))</f>
        <v/>
      </c>
      <c r="H305" s="33">
        <f>IF($F305="","",IFERROR(INDEX(사건마스터!$B$5:$B$64,MATCH($F305,사건마스터!$A$5:$A$64,0)),""))</f>
        <v/>
      </c>
      <c r="I305" s="34">
        <f>IF($F305="","",IFERROR(INDEX(사건마스터!$C$5:$C$64,MATCH($F305,사건마스터!$A$5:$A$64,0)),""))</f>
        <v/>
      </c>
      <c r="J305" s="35">
        <f>IF($F305="","",IFERROR(INDEX(사건마스터!$H$5:$H$64,MATCH($F305,사건마스터!$A$5:$A$64,0)),""))</f>
        <v/>
      </c>
      <c r="K305" s="35">
        <f>IF($F305="","",IFERROR(INDEX(사건마스터!$AH$5:$AH$64,MATCH($F305,사건마스터!$A$5:$A$64,0)),""))</f>
        <v/>
      </c>
      <c r="L305" s="35">
        <f>IF($F305="","",IFERROR(INDEX(사건마스터!$AI$5:$AI$64,MATCH($F305,사건마스터!$A$5:$A$64,0)),""))</f>
        <v/>
      </c>
      <c r="M305" s="35">
        <f>IF($F305="","",IFERROR(INDEX(사건마스터!$AJ$5:$AJ$64,MATCH($F305,사건마스터!$A$5:$A$64,0)),""))</f>
        <v/>
      </c>
      <c r="N305" s="35">
        <f>IF($F305="","",IFERROR(INDEX(사건마스터!$AK$5:$AK$64,MATCH($F305,사건마스터!$A$5:$A$64,0)),""))</f>
        <v/>
      </c>
      <c r="O305" s="35">
        <f>IF($F305="","",IFERROR(INDEX(사건마스터!$AL$5:$AL$64,MATCH($F305,사건마스터!$A$5:$A$64,0)),""))</f>
        <v/>
      </c>
      <c r="P305" s="35">
        <f>IF($F305="","",IFERROR(INDEX(사건마스터!$AM$5:$AM$64,MATCH($F305,사건마스터!$A$5:$A$64,0)),""))</f>
        <v/>
      </c>
      <c r="Q305" s="35">
        <f>IF($F305="","",IFERROR(INDEX(사건마스터!$AN$5:$AN$64,MATCH($F305,사건마스터!$A$5:$A$64,0)),""))</f>
        <v/>
      </c>
      <c r="R305" s="35">
        <f>IF($F305="","",IFERROR(INDEX(사건마스터!$AO$5:$AO$64,MATCH($F305,사건마스터!$A$5:$A$64,0)),""))</f>
        <v/>
      </c>
      <c r="S305" s="35">
        <f>IF($F305="","",IFERROR(INDEX(사건마스터!$AP$5:$AP$64,MATCH($F305,사건마스터!$A$5:$A$64,0)),""))</f>
        <v/>
      </c>
      <c r="T305" s="35">
        <f>IF($F305="","",IFERROR(INDEX(사건마스터!$AQ$5:$AQ$64,MATCH($F305,사건마스터!$A$5:$A$64,0)),""))</f>
        <v/>
      </c>
      <c r="U305" s="35">
        <f>IF($F305="","",IFERROR(INDEX(사건마스터!$AR$5:$AR$64,MATCH($F305,사건마스터!$A$5:$A$64,0)),""))</f>
        <v/>
      </c>
      <c r="V305" s="35">
        <f>IF($F305="","",IFERROR(INDEX(사건마스터!$AS$5:$AS$64,MATCH($F305,사건마스터!$A$5:$A$64,0)),""))</f>
        <v/>
      </c>
      <c r="W305" s="35">
        <f>IF($F305="","",IFERROR(INDEX(사건마스터!$AT$5:$AT$64,MATCH($F305,사건마스터!$A$5:$A$64,0)),""))</f>
        <v/>
      </c>
      <c r="X305" s="35">
        <f>IF($F305="","",IFERROR(INDEX(사건마스터!$AU$5:$AU$64,MATCH($F305,사건마스터!$A$5:$A$64,0)),""))</f>
        <v/>
      </c>
      <c r="Y305" s="35">
        <f>IF($F305="","",IFERROR(INDEX(사건마스터!$AV$5:$AV$64,MATCH($F305,사건마스터!$A$5:$A$64,0)),""))</f>
        <v/>
      </c>
      <c r="Z305" s="30">
        <f>IF(COUNTBLANK($J305:$Y305)=16,"",16-COUNTBLANK($J305:$Y305))</f>
        <v/>
      </c>
      <c r="AA305" s="33">
        <f>IF($J305="",MID($AX305,3,255),$J305&amp;$AX305)</f>
        <v/>
      </c>
      <c r="AB305" s="34">
        <f>IF($J305="","",IFERROR(INDEX(코드설정!$D$5:$D$24,MATCH($J305,코드설정!$C$5:$C$24,0)),""))</f>
        <v/>
      </c>
      <c r="AC305" s="36" t="n"/>
      <c r="AD305" s="37" t="n"/>
      <c r="AE305" s="38" t="n"/>
      <c r="AF305" s="30">
        <f>IF(OR($B305="",$C305=""),"",$C305-$B305+1)</f>
        <v/>
      </c>
      <c r="AG305" s="32" t="n"/>
      <c r="AH305" s="36" t="n"/>
      <c r="AJ305">
        <f>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  <c r="AX305">
        <f>AW305&amp;IF($Y305="","",", "&amp;$Y305)</f>
        <v/>
      </c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0">
        <f>IF($F306="","",COUNTIF($F$5:$F306,$F306))</f>
        <v/>
      </c>
      <c r="H306" s="33">
        <f>IF($F306="","",IFERROR(INDEX(사건마스터!$B$5:$B$64,MATCH($F306,사건마스터!$A$5:$A$64,0)),""))</f>
        <v/>
      </c>
      <c r="I306" s="34">
        <f>IF($F306="","",IFERROR(INDEX(사건마스터!$C$5:$C$64,MATCH($F306,사건마스터!$A$5:$A$64,0)),""))</f>
        <v/>
      </c>
      <c r="J306" s="35">
        <f>IF($F306="","",IFERROR(INDEX(사건마스터!$H$5:$H$64,MATCH($F306,사건마스터!$A$5:$A$64,0)),""))</f>
        <v/>
      </c>
      <c r="K306" s="35">
        <f>IF($F306="","",IFERROR(INDEX(사건마스터!$AH$5:$AH$64,MATCH($F306,사건마스터!$A$5:$A$64,0)),""))</f>
        <v/>
      </c>
      <c r="L306" s="35">
        <f>IF($F306="","",IFERROR(INDEX(사건마스터!$AI$5:$AI$64,MATCH($F306,사건마스터!$A$5:$A$64,0)),""))</f>
        <v/>
      </c>
      <c r="M306" s="35">
        <f>IF($F306="","",IFERROR(INDEX(사건마스터!$AJ$5:$AJ$64,MATCH($F306,사건마스터!$A$5:$A$64,0)),""))</f>
        <v/>
      </c>
      <c r="N306" s="35">
        <f>IF($F306="","",IFERROR(INDEX(사건마스터!$AK$5:$AK$64,MATCH($F306,사건마스터!$A$5:$A$64,0)),""))</f>
        <v/>
      </c>
      <c r="O306" s="35">
        <f>IF($F306="","",IFERROR(INDEX(사건마스터!$AL$5:$AL$64,MATCH($F306,사건마스터!$A$5:$A$64,0)),""))</f>
        <v/>
      </c>
      <c r="P306" s="35">
        <f>IF($F306="","",IFERROR(INDEX(사건마스터!$AM$5:$AM$64,MATCH($F306,사건마스터!$A$5:$A$64,0)),""))</f>
        <v/>
      </c>
      <c r="Q306" s="35">
        <f>IF($F306="","",IFERROR(INDEX(사건마스터!$AN$5:$AN$64,MATCH($F306,사건마스터!$A$5:$A$64,0)),""))</f>
        <v/>
      </c>
      <c r="R306" s="35">
        <f>IF($F306="","",IFERROR(INDEX(사건마스터!$AO$5:$AO$64,MATCH($F306,사건마스터!$A$5:$A$64,0)),""))</f>
        <v/>
      </c>
      <c r="S306" s="35">
        <f>IF($F306="","",IFERROR(INDEX(사건마스터!$AP$5:$AP$64,MATCH($F306,사건마스터!$A$5:$A$64,0)),""))</f>
        <v/>
      </c>
      <c r="T306" s="35">
        <f>IF($F306="","",IFERROR(INDEX(사건마스터!$AQ$5:$AQ$64,MATCH($F306,사건마스터!$A$5:$A$64,0)),""))</f>
        <v/>
      </c>
      <c r="U306" s="35">
        <f>IF($F306="","",IFERROR(INDEX(사건마스터!$AR$5:$AR$64,MATCH($F306,사건마스터!$A$5:$A$64,0)),""))</f>
        <v/>
      </c>
      <c r="V306" s="35">
        <f>IF($F306="","",IFERROR(INDEX(사건마스터!$AS$5:$AS$64,MATCH($F306,사건마스터!$A$5:$A$64,0)),""))</f>
        <v/>
      </c>
      <c r="W306" s="35">
        <f>IF($F306="","",IFERROR(INDEX(사건마스터!$AT$5:$AT$64,MATCH($F306,사건마스터!$A$5:$A$64,0)),""))</f>
        <v/>
      </c>
      <c r="X306" s="35">
        <f>IF($F306="","",IFERROR(INDEX(사건마스터!$AU$5:$AU$64,MATCH($F306,사건마스터!$A$5:$A$64,0)),""))</f>
        <v/>
      </c>
      <c r="Y306" s="35">
        <f>IF($F306="","",IFERROR(INDEX(사건마스터!$AV$5:$AV$64,MATCH($F306,사건마스터!$A$5:$A$64,0)),""))</f>
        <v/>
      </c>
      <c r="Z306" s="30">
        <f>IF(COUNTBLANK($J306:$Y306)=16,"",16-COUNTBLANK($J306:$Y306))</f>
        <v/>
      </c>
      <c r="AA306" s="33">
        <f>IF($J306="",MID($AX306,3,255),$J306&amp;$AX306)</f>
        <v/>
      </c>
      <c r="AB306" s="34">
        <f>IF($J306="","",IFERROR(INDEX(코드설정!$D$5:$D$24,MATCH($J306,코드설정!$C$5:$C$24,0)),""))</f>
        <v/>
      </c>
      <c r="AC306" s="36" t="n"/>
      <c r="AD306" s="37" t="n"/>
      <c r="AE306" s="38" t="n"/>
      <c r="AF306" s="30">
        <f>IF(OR($B306="",$C306=""),"",$C306-$B306+1)</f>
        <v/>
      </c>
      <c r="AG306" s="32" t="n"/>
      <c r="AH306" s="36" t="n"/>
      <c r="AJ306">
        <f>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  <c r="AX306">
        <f>AW306&amp;IF($Y306="","",", "&amp;$Y306)</f>
        <v/>
      </c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0">
        <f>IF($F307="","",COUNTIF($F$5:$F307,$F307))</f>
        <v/>
      </c>
      <c r="H307" s="33">
        <f>IF($F307="","",IFERROR(INDEX(사건마스터!$B$5:$B$64,MATCH($F307,사건마스터!$A$5:$A$64,0)),""))</f>
        <v/>
      </c>
      <c r="I307" s="34">
        <f>IF($F307="","",IFERROR(INDEX(사건마스터!$C$5:$C$64,MATCH($F307,사건마스터!$A$5:$A$64,0)),""))</f>
        <v/>
      </c>
      <c r="J307" s="35">
        <f>IF($F307="","",IFERROR(INDEX(사건마스터!$H$5:$H$64,MATCH($F307,사건마스터!$A$5:$A$64,0)),""))</f>
        <v/>
      </c>
      <c r="K307" s="35">
        <f>IF($F307="","",IFERROR(INDEX(사건마스터!$AH$5:$AH$64,MATCH($F307,사건마스터!$A$5:$A$64,0)),""))</f>
        <v/>
      </c>
      <c r="L307" s="35">
        <f>IF($F307="","",IFERROR(INDEX(사건마스터!$AI$5:$AI$64,MATCH($F307,사건마스터!$A$5:$A$64,0)),""))</f>
        <v/>
      </c>
      <c r="M307" s="35">
        <f>IF($F307="","",IFERROR(INDEX(사건마스터!$AJ$5:$AJ$64,MATCH($F307,사건마스터!$A$5:$A$64,0)),""))</f>
        <v/>
      </c>
      <c r="N307" s="35">
        <f>IF($F307="","",IFERROR(INDEX(사건마스터!$AK$5:$AK$64,MATCH($F307,사건마스터!$A$5:$A$64,0)),""))</f>
        <v/>
      </c>
      <c r="O307" s="35">
        <f>IF($F307="","",IFERROR(INDEX(사건마스터!$AL$5:$AL$64,MATCH($F307,사건마스터!$A$5:$A$64,0)),""))</f>
        <v/>
      </c>
      <c r="P307" s="35">
        <f>IF($F307="","",IFERROR(INDEX(사건마스터!$AM$5:$AM$64,MATCH($F307,사건마스터!$A$5:$A$64,0)),""))</f>
        <v/>
      </c>
      <c r="Q307" s="35">
        <f>IF($F307="","",IFERROR(INDEX(사건마스터!$AN$5:$AN$64,MATCH($F307,사건마스터!$A$5:$A$64,0)),""))</f>
        <v/>
      </c>
      <c r="R307" s="35">
        <f>IF($F307="","",IFERROR(INDEX(사건마스터!$AO$5:$AO$64,MATCH($F307,사건마스터!$A$5:$A$64,0)),""))</f>
        <v/>
      </c>
      <c r="S307" s="35">
        <f>IF($F307="","",IFERROR(INDEX(사건마스터!$AP$5:$AP$64,MATCH($F307,사건마스터!$A$5:$A$64,0)),""))</f>
        <v/>
      </c>
      <c r="T307" s="35">
        <f>IF($F307="","",IFERROR(INDEX(사건마스터!$AQ$5:$AQ$64,MATCH($F307,사건마스터!$A$5:$A$64,0)),""))</f>
        <v/>
      </c>
      <c r="U307" s="35">
        <f>IF($F307="","",IFERROR(INDEX(사건마스터!$AR$5:$AR$64,MATCH($F307,사건마스터!$A$5:$A$64,0)),""))</f>
        <v/>
      </c>
      <c r="V307" s="35">
        <f>IF($F307="","",IFERROR(INDEX(사건마스터!$AS$5:$AS$64,MATCH($F307,사건마스터!$A$5:$A$64,0)),""))</f>
        <v/>
      </c>
      <c r="W307" s="35">
        <f>IF($F307="","",IFERROR(INDEX(사건마스터!$AT$5:$AT$64,MATCH($F307,사건마스터!$A$5:$A$64,0)),""))</f>
        <v/>
      </c>
      <c r="X307" s="35">
        <f>IF($F307="","",IFERROR(INDEX(사건마스터!$AU$5:$AU$64,MATCH($F307,사건마스터!$A$5:$A$64,0)),""))</f>
        <v/>
      </c>
      <c r="Y307" s="35">
        <f>IF($F307="","",IFERROR(INDEX(사건마스터!$AV$5:$AV$64,MATCH($F307,사건마스터!$A$5:$A$64,0)),""))</f>
        <v/>
      </c>
      <c r="Z307" s="30">
        <f>IF(COUNTBLANK($J307:$Y307)=16,"",16-COUNTBLANK($J307:$Y307))</f>
        <v/>
      </c>
      <c r="AA307" s="33">
        <f>IF($J307="",MID($AX307,3,255),$J307&amp;$AX307)</f>
        <v/>
      </c>
      <c r="AB307" s="34">
        <f>IF($J307="","",IFERROR(INDEX(코드설정!$D$5:$D$24,MATCH($J307,코드설정!$C$5:$C$24,0)),""))</f>
        <v/>
      </c>
      <c r="AC307" s="36" t="n"/>
      <c r="AD307" s="37" t="n"/>
      <c r="AE307" s="38" t="n"/>
      <c r="AF307" s="30">
        <f>IF(OR($B307="",$C307=""),"",$C307-$B307+1)</f>
        <v/>
      </c>
      <c r="AG307" s="32" t="n"/>
      <c r="AH307" s="36" t="n"/>
      <c r="AJ307">
        <f>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  <c r="AX307">
        <f>AW307&amp;IF($Y307="","",", "&amp;$Y307)</f>
        <v/>
      </c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0">
        <f>IF($F308="","",COUNTIF($F$5:$F308,$F308))</f>
        <v/>
      </c>
      <c r="H308" s="33">
        <f>IF($F308="","",IFERROR(INDEX(사건마스터!$B$5:$B$64,MATCH($F308,사건마스터!$A$5:$A$64,0)),""))</f>
        <v/>
      </c>
      <c r="I308" s="34">
        <f>IF($F308="","",IFERROR(INDEX(사건마스터!$C$5:$C$64,MATCH($F308,사건마스터!$A$5:$A$64,0)),""))</f>
        <v/>
      </c>
      <c r="J308" s="35">
        <f>IF($F308="","",IFERROR(INDEX(사건마스터!$H$5:$H$64,MATCH($F308,사건마스터!$A$5:$A$64,0)),""))</f>
        <v/>
      </c>
      <c r="K308" s="35">
        <f>IF($F308="","",IFERROR(INDEX(사건마스터!$AH$5:$AH$64,MATCH($F308,사건마스터!$A$5:$A$64,0)),""))</f>
        <v/>
      </c>
      <c r="L308" s="35">
        <f>IF($F308="","",IFERROR(INDEX(사건마스터!$AI$5:$AI$64,MATCH($F308,사건마스터!$A$5:$A$64,0)),""))</f>
        <v/>
      </c>
      <c r="M308" s="35">
        <f>IF($F308="","",IFERROR(INDEX(사건마스터!$AJ$5:$AJ$64,MATCH($F308,사건마스터!$A$5:$A$64,0)),""))</f>
        <v/>
      </c>
      <c r="N308" s="35">
        <f>IF($F308="","",IFERROR(INDEX(사건마스터!$AK$5:$AK$64,MATCH($F308,사건마스터!$A$5:$A$64,0)),""))</f>
        <v/>
      </c>
      <c r="O308" s="35">
        <f>IF($F308="","",IFERROR(INDEX(사건마스터!$AL$5:$AL$64,MATCH($F308,사건마스터!$A$5:$A$64,0)),""))</f>
        <v/>
      </c>
      <c r="P308" s="35">
        <f>IF($F308="","",IFERROR(INDEX(사건마스터!$AM$5:$AM$64,MATCH($F308,사건마스터!$A$5:$A$64,0)),""))</f>
        <v/>
      </c>
      <c r="Q308" s="35">
        <f>IF($F308="","",IFERROR(INDEX(사건마스터!$AN$5:$AN$64,MATCH($F308,사건마스터!$A$5:$A$64,0)),""))</f>
        <v/>
      </c>
      <c r="R308" s="35">
        <f>IF($F308="","",IFERROR(INDEX(사건마스터!$AO$5:$AO$64,MATCH($F308,사건마스터!$A$5:$A$64,0)),""))</f>
        <v/>
      </c>
      <c r="S308" s="35">
        <f>IF($F308="","",IFERROR(INDEX(사건마스터!$AP$5:$AP$64,MATCH($F308,사건마스터!$A$5:$A$64,0)),""))</f>
        <v/>
      </c>
      <c r="T308" s="35">
        <f>IF($F308="","",IFERROR(INDEX(사건마스터!$AQ$5:$AQ$64,MATCH($F308,사건마스터!$A$5:$A$64,0)),""))</f>
        <v/>
      </c>
      <c r="U308" s="35">
        <f>IF($F308="","",IFERROR(INDEX(사건마스터!$AR$5:$AR$64,MATCH($F308,사건마스터!$A$5:$A$64,0)),""))</f>
        <v/>
      </c>
      <c r="V308" s="35">
        <f>IF($F308="","",IFERROR(INDEX(사건마스터!$AS$5:$AS$64,MATCH($F308,사건마스터!$A$5:$A$64,0)),""))</f>
        <v/>
      </c>
      <c r="W308" s="35">
        <f>IF($F308="","",IFERROR(INDEX(사건마스터!$AT$5:$AT$64,MATCH($F308,사건마스터!$A$5:$A$64,0)),""))</f>
        <v/>
      </c>
      <c r="X308" s="35">
        <f>IF($F308="","",IFERROR(INDEX(사건마스터!$AU$5:$AU$64,MATCH($F308,사건마스터!$A$5:$A$64,0)),""))</f>
        <v/>
      </c>
      <c r="Y308" s="35">
        <f>IF($F308="","",IFERROR(INDEX(사건마스터!$AV$5:$AV$64,MATCH($F308,사건마스터!$A$5:$A$64,0)),""))</f>
        <v/>
      </c>
      <c r="Z308" s="30">
        <f>IF(COUNTBLANK($J308:$Y308)=16,"",16-COUNTBLANK($J308:$Y308))</f>
        <v/>
      </c>
      <c r="AA308" s="33">
        <f>IF($J308="",MID($AX308,3,255),$J308&amp;$AX308)</f>
        <v/>
      </c>
      <c r="AB308" s="34">
        <f>IF($J308="","",IFERROR(INDEX(코드설정!$D$5:$D$24,MATCH($J308,코드설정!$C$5:$C$24,0)),""))</f>
        <v/>
      </c>
      <c r="AC308" s="36" t="n"/>
      <c r="AD308" s="37" t="n"/>
      <c r="AE308" s="38" t="n"/>
      <c r="AF308" s="30">
        <f>IF(OR($B308="",$C308=""),"",$C308-$B308+1)</f>
        <v/>
      </c>
      <c r="AG308" s="32" t="n"/>
      <c r="AH308" s="36" t="n"/>
      <c r="AJ308">
        <f>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  <c r="AX308">
        <f>AW308&amp;IF($Y308="","",", "&amp;$Y308)</f>
        <v/>
      </c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0">
        <f>IF($F309="","",COUNTIF($F$5:$F309,$F309))</f>
        <v/>
      </c>
      <c r="H309" s="33">
        <f>IF($F309="","",IFERROR(INDEX(사건마스터!$B$5:$B$64,MATCH($F309,사건마스터!$A$5:$A$64,0)),""))</f>
        <v/>
      </c>
      <c r="I309" s="34">
        <f>IF($F309="","",IFERROR(INDEX(사건마스터!$C$5:$C$64,MATCH($F309,사건마스터!$A$5:$A$64,0)),""))</f>
        <v/>
      </c>
      <c r="J309" s="35">
        <f>IF($F309="","",IFERROR(INDEX(사건마스터!$H$5:$H$64,MATCH($F309,사건마스터!$A$5:$A$64,0)),""))</f>
        <v/>
      </c>
      <c r="K309" s="35">
        <f>IF($F309="","",IFERROR(INDEX(사건마스터!$AH$5:$AH$64,MATCH($F309,사건마스터!$A$5:$A$64,0)),""))</f>
        <v/>
      </c>
      <c r="L309" s="35">
        <f>IF($F309="","",IFERROR(INDEX(사건마스터!$AI$5:$AI$64,MATCH($F309,사건마스터!$A$5:$A$64,0)),""))</f>
        <v/>
      </c>
      <c r="M309" s="35">
        <f>IF($F309="","",IFERROR(INDEX(사건마스터!$AJ$5:$AJ$64,MATCH($F309,사건마스터!$A$5:$A$64,0)),""))</f>
        <v/>
      </c>
      <c r="N309" s="35">
        <f>IF($F309="","",IFERROR(INDEX(사건마스터!$AK$5:$AK$64,MATCH($F309,사건마스터!$A$5:$A$64,0)),""))</f>
        <v/>
      </c>
      <c r="O309" s="35">
        <f>IF($F309="","",IFERROR(INDEX(사건마스터!$AL$5:$AL$64,MATCH($F309,사건마스터!$A$5:$A$64,0)),""))</f>
        <v/>
      </c>
      <c r="P309" s="35">
        <f>IF($F309="","",IFERROR(INDEX(사건마스터!$AM$5:$AM$64,MATCH($F309,사건마스터!$A$5:$A$64,0)),""))</f>
        <v/>
      </c>
      <c r="Q309" s="35">
        <f>IF($F309="","",IFERROR(INDEX(사건마스터!$AN$5:$AN$64,MATCH($F309,사건마스터!$A$5:$A$64,0)),""))</f>
        <v/>
      </c>
      <c r="R309" s="35">
        <f>IF($F309="","",IFERROR(INDEX(사건마스터!$AO$5:$AO$64,MATCH($F309,사건마스터!$A$5:$A$64,0)),""))</f>
        <v/>
      </c>
      <c r="S309" s="35">
        <f>IF($F309="","",IFERROR(INDEX(사건마스터!$AP$5:$AP$64,MATCH($F309,사건마스터!$A$5:$A$64,0)),""))</f>
        <v/>
      </c>
      <c r="T309" s="35">
        <f>IF($F309="","",IFERROR(INDEX(사건마스터!$AQ$5:$AQ$64,MATCH($F309,사건마스터!$A$5:$A$64,0)),""))</f>
        <v/>
      </c>
      <c r="U309" s="35">
        <f>IF($F309="","",IFERROR(INDEX(사건마스터!$AR$5:$AR$64,MATCH($F309,사건마스터!$A$5:$A$64,0)),""))</f>
        <v/>
      </c>
      <c r="V309" s="35">
        <f>IF($F309="","",IFERROR(INDEX(사건마스터!$AS$5:$AS$64,MATCH($F309,사건마스터!$A$5:$A$64,0)),""))</f>
        <v/>
      </c>
      <c r="W309" s="35">
        <f>IF($F309="","",IFERROR(INDEX(사건마스터!$AT$5:$AT$64,MATCH($F309,사건마스터!$A$5:$A$64,0)),""))</f>
        <v/>
      </c>
      <c r="X309" s="35">
        <f>IF($F309="","",IFERROR(INDEX(사건마스터!$AU$5:$AU$64,MATCH($F309,사건마스터!$A$5:$A$64,0)),""))</f>
        <v/>
      </c>
      <c r="Y309" s="35">
        <f>IF($F309="","",IFERROR(INDEX(사건마스터!$AV$5:$AV$64,MATCH($F309,사건마스터!$A$5:$A$64,0)),""))</f>
        <v/>
      </c>
      <c r="Z309" s="30">
        <f>IF(COUNTBLANK($J309:$Y309)=16,"",16-COUNTBLANK($J309:$Y309))</f>
        <v/>
      </c>
      <c r="AA309" s="33">
        <f>IF($J309="",MID($AX309,3,255),$J309&amp;$AX309)</f>
        <v/>
      </c>
      <c r="AB309" s="34">
        <f>IF($J309="","",IFERROR(INDEX(코드설정!$D$5:$D$24,MATCH($J309,코드설정!$C$5:$C$24,0)),""))</f>
        <v/>
      </c>
      <c r="AC309" s="36" t="n"/>
      <c r="AD309" s="37" t="n"/>
      <c r="AE309" s="38" t="n"/>
      <c r="AF309" s="30">
        <f>IF(OR($B309="",$C309=""),"",$C309-$B309+1)</f>
        <v/>
      </c>
      <c r="AG309" s="32" t="n"/>
      <c r="AH309" s="36" t="n"/>
      <c r="AJ309">
        <f>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  <c r="AX309">
        <f>AW309&amp;IF($Y309="","",", "&amp;$Y309)</f>
        <v/>
      </c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0">
        <f>IF($F310="","",COUNTIF($F$5:$F310,$F310))</f>
        <v/>
      </c>
      <c r="H310" s="33">
        <f>IF($F310="","",IFERROR(INDEX(사건마스터!$B$5:$B$64,MATCH($F310,사건마스터!$A$5:$A$64,0)),""))</f>
        <v/>
      </c>
      <c r="I310" s="34">
        <f>IF($F310="","",IFERROR(INDEX(사건마스터!$C$5:$C$64,MATCH($F310,사건마스터!$A$5:$A$64,0)),""))</f>
        <v/>
      </c>
      <c r="J310" s="35">
        <f>IF($F310="","",IFERROR(INDEX(사건마스터!$H$5:$H$64,MATCH($F310,사건마스터!$A$5:$A$64,0)),""))</f>
        <v/>
      </c>
      <c r="K310" s="35">
        <f>IF($F310="","",IFERROR(INDEX(사건마스터!$AH$5:$AH$64,MATCH($F310,사건마스터!$A$5:$A$64,0)),""))</f>
        <v/>
      </c>
      <c r="L310" s="35">
        <f>IF($F310="","",IFERROR(INDEX(사건마스터!$AI$5:$AI$64,MATCH($F310,사건마스터!$A$5:$A$64,0)),""))</f>
        <v/>
      </c>
      <c r="M310" s="35">
        <f>IF($F310="","",IFERROR(INDEX(사건마스터!$AJ$5:$AJ$64,MATCH($F310,사건마스터!$A$5:$A$64,0)),""))</f>
        <v/>
      </c>
      <c r="N310" s="35">
        <f>IF($F310="","",IFERROR(INDEX(사건마스터!$AK$5:$AK$64,MATCH($F310,사건마스터!$A$5:$A$64,0)),""))</f>
        <v/>
      </c>
      <c r="O310" s="35">
        <f>IF($F310="","",IFERROR(INDEX(사건마스터!$AL$5:$AL$64,MATCH($F310,사건마스터!$A$5:$A$64,0)),""))</f>
        <v/>
      </c>
      <c r="P310" s="35">
        <f>IF($F310="","",IFERROR(INDEX(사건마스터!$AM$5:$AM$64,MATCH($F310,사건마스터!$A$5:$A$64,0)),""))</f>
        <v/>
      </c>
      <c r="Q310" s="35">
        <f>IF($F310="","",IFERROR(INDEX(사건마스터!$AN$5:$AN$64,MATCH($F310,사건마스터!$A$5:$A$64,0)),""))</f>
        <v/>
      </c>
      <c r="R310" s="35">
        <f>IF($F310="","",IFERROR(INDEX(사건마스터!$AO$5:$AO$64,MATCH($F310,사건마스터!$A$5:$A$64,0)),""))</f>
        <v/>
      </c>
      <c r="S310" s="35">
        <f>IF($F310="","",IFERROR(INDEX(사건마스터!$AP$5:$AP$64,MATCH($F310,사건마스터!$A$5:$A$64,0)),""))</f>
        <v/>
      </c>
      <c r="T310" s="35">
        <f>IF($F310="","",IFERROR(INDEX(사건마스터!$AQ$5:$AQ$64,MATCH($F310,사건마스터!$A$5:$A$64,0)),""))</f>
        <v/>
      </c>
      <c r="U310" s="35">
        <f>IF($F310="","",IFERROR(INDEX(사건마스터!$AR$5:$AR$64,MATCH($F310,사건마스터!$A$5:$A$64,0)),""))</f>
        <v/>
      </c>
      <c r="V310" s="35">
        <f>IF($F310="","",IFERROR(INDEX(사건마스터!$AS$5:$AS$64,MATCH($F310,사건마스터!$A$5:$A$64,0)),""))</f>
        <v/>
      </c>
      <c r="W310" s="35">
        <f>IF($F310="","",IFERROR(INDEX(사건마스터!$AT$5:$AT$64,MATCH($F310,사건마스터!$A$5:$A$64,0)),""))</f>
        <v/>
      </c>
      <c r="X310" s="35">
        <f>IF($F310="","",IFERROR(INDEX(사건마스터!$AU$5:$AU$64,MATCH($F310,사건마스터!$A$5:$A$64,0)),""))</f>
        <v/>
      </c>
      <c r="Y310" s="35">
        <f>IF($F310="","",IFERROR(INDEX(사건마스터!$AV$5:$AV$64,MATCH($F310,사건마스터!$A$5:$A$64,0)),""))</f>
        <v/>
      </c>
      <c r="Z310" s="30">
        <f>IF(COUNTBLANK($J310:$Y310)=16,"",16-COUNTBLANK($J310:$Y310))</f>
        <v/>
      </c>
      <c r="AA310" s="33">
        <f>IF($J310="",MID($AX310,3,255),$J310&amp;$AX310)</f>
        <v/>
      </c>
      <c r="AB310" s="34">
        <f>IF($J310="","",IFERROR(INDEX(코드설정!$D$5:$D$24,MATCH($J310,코드설정!$C$5:$C$24,0)),""))</f>
        <v/>
      </c>
      <c r="AC310" s="36" t="n"/>
      <c r="AD310" s="37" t="n"/>
      <c r="AE310" s="38" t="n"/>
      <c r="AF310" s="30">
        <f>IF(OR($B310="",$C310=""),"",$C310-$B310+1)</f>
        <v/>
      </c>
      <c r="AG310" s="32" t="n"/>
      <c r="AH310" s="36" t="n"/>
      <c r="AJ310">
        <f>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  <c r="AX310">
        <f>AW310&amp;IF($Y310="","",", "&amp;$Y310)</f>
        <v/>
      </c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0">
        <f>IF($F311="","",COUNTIF($F$5:$F311,$F311))</f>
        <v/>
      </c>
      <c r="H311" s="33">
        <f>IF($F311="","",IFERROR(INDEX(사건마스터!$B$5:$B$64,MATCH($F311,사건마스터!$A$5:$A$64,0)),""))</f>
        <v/>
      </c>
      <c r="I311" s="34">
        <f>IF($F311="","",IFERROR(INDEX(사건마스터!$C$5:$C$64,MATCH($F311,사건마스터!$A$5:$A$64,0)),""))</f>
        <v/>
      </c>
      <c r="J311" s="35">
        <f>IF($F311="","",IFERROR(INDEX(사건마스터!$H$5:$H$64,MATCH($F311,사건마스터!$A$5:$A$64,0)),""))</f>
        <v/>
      </c>
      <c r="K311" s="35">
        <f>IF($F311="","",IFERROR(INDEX(사건마스터!$AH$5:$AH$64,MATCH($F311,사건마스터!$A$5:$A$64,0)),""))</f>
        <v/>
      </c>
      <c r="L311" s="35">
        <f>IF($F311="","",IFERROR(INDEX(사건마스터!$AI$5:$AI$64,MATCH($F311,사건마스터!$A$5:$A$64,0)),""))</f>
        <v/>
      </c>
      <c r="M311" s="35">
        <f>IF($F311="","",IFERROR(INDEX(사건마스터!$AJ$5:$AJ$64,MATCH($F311,사건마스터!$A$5:$A$64,0)),""))</f>
        <v/>
      </c>
      <c r="N311" s="35">
        <f>IF($F311="","",IFERROR(INDEX(사건마스터!$AK$5:$AK$64,MATCH($F311,사건마스터!$A$5:$A$64,0)),""))</f>
        <v/>
      </c>
      <c r="O311" s="35">
        <f>IF($F311="","",IFERROR(INDEX(사건마스터!$AL$5:$AL$64,MATCH($F311,사건마스터!$A$5:$A$64,0)),""))</f>
        <v/>
      </c>
      <c r="P311" s="35">
        <f>IF($F311="","",IFERROR(INDEX(사건마스터!$AM$5:$AM$64,MATCH($F311,사건마스터!$A$5:$A$64,0)),""))</f>
        <v/>
      </c>
      <c r="Q311" s="35">
        <f>IF($F311="","",IFERROR(INDEX(사건마스터!$AN$5:$AN$64,MATCH($F311,사건마스터!$A$5:$A$64,0)),""))</f>
        <v/>
      </c>
      <c r="R311" s="35">
        <f>IF($F311="","",IFERROR(INDEX(사건마스터!$AO$5:$AO$64,MATCH($F311,사건마스터!$A$5:$A$64,0)),""))</f>
        <v/>
      </c>
      <c r="S311" s="35">
        <f>IF($F311="","",IFERROR(INDEX(사건마스터!$AP$5:$AP$64,MATCH($F311,사건마스터!$A$5:$A$64,0)),""))</f>
        <v/>
      </c>
      <c r="T311" s="35">
        <f>IF($F311="","",IFERROR(INDEX(사건마스터!$AQ$5:$AQ$64,MATCH($F311,사건마스터!$A$5:$A$64,0)),""))</f>
        <v/>
      </c>
      <c r="U311" s="35">
        <f>IF($F311="","",IFERROR(INDEX(사건마스터!$AR$5:$AR$64,MATCH($F311,사건마스터!$A$5:$A$64,0)),""))</f>
        <v/>
      </c>
      <c r="V311" s="35">
        <f>IF($F311="","",IFERROR(INDEX(사건마스터!$AS$5:$AS$64,MATCH($F311,사건마스터!$A$5:$A$64,0)),""))</f>
        <v/>
      </c>
      <c r="W311" s="35">
        <f>IF($F311="","",IFERROR(INDEX(사건마스터!$AT$5:$AT$64,MATCH($F311,사건마스터!$A$5:$A$64,0)),""))</f>
        <v/>
      </c>
      <c r="X311" s="35">
        <f>IF($F311="","",IFERROR(INDEX(사건마스터!$AU$5:$AU$64,MATCH($F311,사건마스터!$A$5:$A$64,0)),""))</f>
        <v/>
      </c>
      <c r="Y311" s="35">
        <f>IF($F311="","",IFERROR(INDEX(사건마스터!$AV$5:$AV$64,MATCH($F311,사건마스터!$A$5:$A$64,0)),""))</f>
        <v/>
      </c>
      <c r="Z311" s="30">
        <f>IF(COUNTBLANK($J311:$Y311)=16,"",16-COUNTBLANK($J311:$Y311))</f>
        <v/>
      </c>
      <c r="AA311" s="33">
        <f>IF($J311="",MID($AX311,3,255),$J311&amp;$AX311)</f>
        <v/>
      </c>
      <c r="AB311" s="34">
        <f>IF($J311="","",IFERROR(INDEX(코드설정!$D$5:$D$24,MATCH($J311,코드설정!$C$5:$C$24,0)),""))</f>
        <v/>
      </c>
      <c r="AC311" s="36" t="n"/>
      <c r="AD311" s="37" t="n"/>
      <c r="AE311" s="38" t="n"/>
      <c r="AF311" s="30">
        <f>IF(OR($B311="",$C311=""),"",$C311-$B311+1)</f>
        <v/>
      </c>
      <c r="AG311" s="32" t="n"/>
      <c r="AH311" s="36" t="n"/>
      <c r="AJ311">
        <f>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  <c r="AX311">
        <f>AW311&amp;IF($Y311="","",", "&amp;$Y311)</f>
        <v/>
      </c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0">
        <f>IF($F312="","",COUNTIF($F$5:$F312,$F312))</f>
        <v/>
      </c>
      <c r="H312" s="33">
        <f>IF($F312="","",IFERROR(INDEX(사건마스터!$B$5:$B$64,MATCH($F312,사건마스터!$A$5:$A$64,0)),""))</f>
        <v/>
      </c>
      <c r="I312" s="34">
        <f>IF($F312="","",IFERROR(INDEX(사건마스터!$C$5:$C$64,MATCH($F312,사건마스터!$A$5:$A$64,0)),""))</f>
        <v/>
      </c>
      <c r="J312" s="35">
        <f>IF($F312="","",IFERROR(INDEX(사건마스터!$H$5:$H$64,MATCH($F312,사건마스터!$A$5:$A$64,0)),""))</f>
        <v/>
      </c>
      <c r="K312" s="35">
        <f>IF($F312="","",IFERROR(INDEX(사건마스터!$AH$5:$AH$64,MATCH($F312,사건마스터!$A$5:$A$64,0)),""))</f>
        <v/>
      </c>
      <c r="L312" s="35">
        <f>IF($F312="","",IFERROR(INDEX(사건마스터!$AI$5:$AI$64,MATCH($F312,사건마스터!$A$5:$A$64,0)),""))</f>
        <v/>
      </c>
      <c r="M312" s="35">
        <f>IF($F312="","",IFERROR(INDEX(사건마스터!$AJ$5:$AJ$64,MATCH($F312,사건마스터!$A$5:$A$64,0)),""))</f>
        <v/>
      </c>
      <c r="N312" s="35">
        <f>IF($F312="","",IFERROR(INDEX(사건마스터!$AK$5:$AK$64,MATCH($F312,사건마스터!$A$5:$A$64,0)),""))</f>
        <v/>
      </c>
      <c r="O312" s="35">
        <f>IF($F312="","",IFERROR(INDEX(사건마스터!$AL$5:$AL$64,MATCH($F312,사건마스터!$A$5:$A$64,0)),""))</f>
        <v/>
      </c>
      <c r="P312" s="35">
        <f>IF($F312="","",IFERROR(INDEX(사건마스터!$AM$5:$AM$64,MATCH($F312,사건마스터!$A$5:$A$64,0)),""))</f>
        <v/>
      </c>
      <c r="Q312" s="35">
        <f>IF($F312="","",IFERROR(INDEX(사건마스터!$AN$5:$AN$64,MATCH($F312,사건마스터!$A$5:$A$64,0)),""))</f>
        <v/>
      </c>
      <c r="R312" s="35">
        <f>IF($F312="","",IFERROR(INDEX(사건마스터!$AO$5:$AO$64,MATCH($F312,사건마스터!$A$5:$A$64,0)),""))</f>
        <v/>
      </c>
      <c r="S312" s="35">
        <f>IF($F312="","",IFERROR(INDEX(사건마스터!$AP$5:$AP$64,MATCH($F312,사건마스터!$A$5:$A$64,0)),""))</f>
        <v/>
      </c>
      <c r="T312" s="35">
        <f>IF($F312="","",IFERROR(INDEX(사건마스터!$AQ$5:$AQ$64,MATCH($F312,사건마스터!$A$5:$A$64,0)),""))</f>
        <v/>
      </c>
      <c r="U312" s="35">
        <f>IF($F312="","",IFERROR(INDEX(사건마스터!$AR$5:$AR$64,MATCH($F312,사건마스터!$A$5:$A$64,0)),""))</f>
        <v/>
      </c>
      <c r="V312" s="35">
        <f>IF($F312="","",IFERROR(INDEX(사건마스터!$AS$5:$AS$64,MATCH($F312,사건마스터!$A$5:$A$64,0)),""))</f>
        <v/>
      </c>
      <c r="W312" s="35">
        <f>IF($F312="","",IFERROR(INDEX(사건마스터!$AT$5:$AT$64,MATCH($F312,사건마스터!$A$5:$A$64,0)),""))</f>
        <v/>
      </c>
      <c r="X312" s="35">
        <f>IF($F312="","",IFERROR(INDEX(사건마스터!$AU$5:$AU$64,MATCH($F312,사건마스터!$A$5:$A$64,0)),""))</f>
        <v/>
      </c>
      <c r="Y312" s="35">
        <f>IF($F312="","",IFERROR(INDEX(사건마스터!$AV$5:$AV$64,MATCH($F312,사건마스터!$A$5:$A$64,0)),""))</f>
        <v/>
      </c>
      <c r="Z312" s="30">
        <f>IF(COUNTBLANK($J312:$Y312)=16,"",16-COUNTBLANK($J312:$Y312))</f>
        <v/>
      </c>
      <c r="AA312" s="33">
        <f>IF($J312="",MID($AX312,3,255),$J312&amp;$AX312)</f>
        <v/>
      </c>
      <c r="AB312" s="34">
        <f>IF($J312="","",IFERROR(INDEX(코드설정!$D$5:$D$24,MATCH($J312,코드설정!$C$5:$C$24,0)),""))</f>
        <v/>
      </c>
      <c r="AC312" s="36" t="n"/>
      <c r="AD312" s="37" t="n"/>
      <c r="AE312" s="38" t="n"/>
      <c r="AF312" s="30">
        <f>IF(OR($B312="",$C312=""),"",$C312-$B312+1)</f>
        <v/>
      </c>
      <c r="AG312" s="32" t="n"/>
      <c r="AH312" s="36" t="n"/>
      <c r="AJ312">
        <f>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  <c r="AX312">
        <f>AW312&amp;IF($Y312="","",", "&amp;$Y312)</f>
        <v/>
      </c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0">
        <f>IF($F313="","",COUNTIF($F$5:$F313,$F313))</f>
        <v/>
      </c>
      <c r="H313" s="33">
        <f>IF($F313="","",IFERROR(INDEX(사건마스터!$B$5:$B$64,MATCH($F313,사건마스터!$A$5:$A$64,0)),""))</f>
        <v/>
      </c>
      <c r="I313" s="34">
        <f>IF($F313="","",IFERROR(INDEX(사건마스터!$C$5:$C$64,MATCH($F313,사건마스터!$A$5:$A$64,0)),""))</f>
        <v/>
      </c>
      <c r="J313" s="35">
        <f>IF($F313="","",IFERROR(INDEX(사건마스터!$H$5:$H$64,MATCH($F313,사건마스터!$A$5:$A$64,0)),""))</f>
        <v/>
      </c>
      <c r="K313" s="35">
        <f>IF($F313="","",IFERROR(INDEX(사건마스터!$AH$5:$AH$64,MATCH($F313,사건마스터!$A$5:$A$64,0)),""))</f>
        <v/>
      </c>
      <c r="L313" s="35">
        <f>IF($F313="","",IFERROR(INDEX(사건마스터!$AI$5:$AI$64,MATCH($F313,사건마스터!$A$5:$A$64,0)),""))</f>
        <v/>
      </c>
      <c r="M313" s="35">
        <f>IF($F313="","",IFERROR(INDEX(사건마스터!$AJ$5:$AJ$64,MATCH($F313,사건마스터!$A$5:$A$64,0)),""))</f>
        <v/>
      </c>
      <c r="N313" s="35">
        <f>IF($F313="","",IFERROR(INDEX(사건마스터!$AK$5:$AK$64,MATCH($F313,사건마스터!$A$5:$A$64,0)),""))</f>
        <v/>
      </c>
      <c r="O313" s="35">
        <f>IF($F313="","",IFERROR(INDEX(사건마스터!$AL$5:$AL$64,MATCH($F313,사건마스터!$A$5:$A$64,0)),""))</f>
        <v/>
      </c>
      <c r="P313" s="35">
        <f>IF($F313="","",IFERROR(INDEX(사건마스터!$AM$5:$AM$64,MATCH($F313,사건마스터!$A$5:$A$64,0)),""))</f>
        <v/>
      </c>
      <c r="Q313" s="35">
        <f>IF($F313="","",IFERROR(INDEX(사건마스터!$AN$5:$AN$64,MATCH($F313,사건마스터!$A$5:$A$64,0)),""))</f>
        <v/>
      </c>
      <c r="R313" s="35">
        <f>IF($F313="","",IFERROR(INDEX(사건마스터!$AO$5:$AO$64,MATCH($F313,사건마스터!$A$5:$A$64,0)),""))</f>
        <v/>
      </c>
      <c r="S313" s="35">
        <f>IF($F313="","",IFERROR(INDEX(사건마스터!$AP$5:$AP$64,MATCH($F313,사건마스터!$A$5:$A$64,0)),""))</f>
        <v/>
      </c>
      <c r="T313" s="35">
        <f>IF($F313="","",IFERROR(INDEX(사건마스터!$AQ$5:$AQ$64,MATCH($F313,사건마스터!$A$5:$A$64,0)),""))</f>
        <v/>
      </c>
      <c r="U313" s="35">
        <f>IF($F313="","",IFERROR(INDEX(사건마스터!$AR$5:$AR$64,MATCH($F313,사건마스터!$A$5:$A$64,0)),""))</f>
        <v/>
      </c>
      <c r="V313" s="35">
        <f>IF($F313="","",IFERROR(INDEX(사건마스터!$AS$5:$AS$64,MATCH($F313,사건마스터!$A$5:$A$64,0)),""))</f>
        <v/>
      </c>
      <c r="W313" s="35">
        <f>IF($F313="","",IFERROR(INDEX(사건마스터!$AT$5:$AT$64,MATCH($F313,사건마스터!$A$5:$A$64,0)),""))</f>
        <v/>
      </c>
      <c r="X313" s="35">
        <f>IF($F313="","",IFERROR(INDEX(사건마스터!$AU$5:$AU$64,MATCH($F313,사건마스터!$A$5:$A$64,0)),""))</f>
        <v/>
      </c>
      <c r="Y313" s="35">
        <f>IF($F313="","",IFERROR(INDEX(사건마스터!$AV$5:$AV$64,MATCH($F313,사건마스터!$A$5:$A$64,0)),""))</f>
        <v/>
      </c>
      <c r="Z313" s="30">
        <f>IF(COUNTBLANK($J313:$Y313)=16,"",16-COUNTBLANK($J313:$Y313))</f>
        <v/>
      </c>
      <c r="AA313" s="33">
        <f>IF($J313="",MID($AX313,3,255),$J313&amp;$AX313)</f>
        <v/>
      </c>
      <c r="AB313" s="34">
        <f>IF($J313="","",IFERROR(INDEX(코드설정!$D$5:$D$24,MATCH($J313,코드설정!$C$5:$C$24,0)),""))</f>
        <v/>
      </c>
      <c r="AC313" s="36" t="n"/>
      <c r="AD313" s="37" t="n"/>
      <c r="AE313" s="38" t="n"/>
      <c r="AF313" s="30">
        <f>IF(OR($B313="",$C313=""),"",$C313-$B313+1)</f>
        <v/>
      </c>
      <c r="AG313" s="32" t="n"/>
      <c r="AH313" s="36" t="n"/>
      <c r="AJ313">
        <f>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  <c r="AX313">
        <f>AW313&amp;IF($Y313="","",", "&amp;$Y313)</f>
        <v/>
      </c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0">
        <f>IF($F314="","",COUNTIF($F$5:$F314,$F314))</f>
        <v/>
      </c>
      <c r="H314" s="33">
        <f>IF($F314="","",IFERROR(INDEX(사건마스터!$B$5:$B$64,MATCH($F314,사건마스터!$A$5:$A$64,0)),""))</f>
        <v/>
      </c>
      <c r="I314" s="34">
        <f>IF($F314="","",IFERROR(INDEX(사건마스터!$C$5:$C$64,MATCH($F314,사건마스터!$A$5:$A$64,0)),""))</f>
        <v/>
      </c>
      <c r="J314" s="35">
        <f>IF($F314="","",IFERROR(INDEX(사건마스터!$H$5:$H$64,MATCH($F314,사건마스터!$A$5:$A$64,0)),""))</f>
        <v/>
      </c>
      <c r="K314" s="35">
        <f>IF($F314="","",IFERROR(INDEX(사건마스터!$AH$5:$AH$64,MATCH($F314,사건마스터!$A$5:$A$64,0)),""))</f>
        <v/>
      </c>
      <c r="L314" s="35">
        <f>IF($F314="","",IFERROR(INDEX(사건마스터!$AI$5:$AI$64,MATCH($F314,사건마스터!$A$5:$A$64,0)),""))</f>
        <v/>
      </c>
      <c r="M314" s="35">
        <f>IF($F314="","",IFERROR(INDEX(사건마스터!$AJ$5:$AJ$64,MATCH($F314,사건마스터!$A$5:$A$64,0)),""))</f>
        <v/>
      </c>
      <c r="N314" s="35">
        <f>IF($F314="","",IFERROR(INDEX(사건마스터!$AK$5:$AK$64,MATCH($F314,사건마스터!$A$5:$A$64,0)),""))</f>
        <v/>
      </c>
      <c r="O314" s="35">
        <f>IF($F314="","",IFERROR(INDEX(사건마스터!$AL$5:$AL$64,MATCH($F314,사건마스터!$A$5:$A$64,0)),""))</f>
        <v/>
      </c>
      <c r="P314" s="35">
        <f>IF($F314="","",IFERROR(INDEX(사건마스터!$AM$5:$AM$64,MATCH($F314,사건마스터!$A$5:$A$64,0)),""))</f>
        <v/>
      </c>
      <c r="Q314" s="35">
        <f>IF($F314="","",IFERROR(INDEX(사건마스터!$AN$5:$AN$64,MATCH($F314,사건마스터!$A$5:$A$64,0)),""))</f>
        <v/>
      </c>
      <c r="R314" s="35">
        <f>IF($F314="","",IFERROR(INDEX(사건마스터!$AO$5:$AO$64,MATCH($F314,사건마스터!$A$5:$A$64,0)),""))</f>
        <v/>
      </c>
      <c r="S314" s="35">
        <f>IF($F314="","",IFERROR(INDEX(사건마스터!$AP$5:$AP$64,MATCH($F314,사건마스터!$A$5:$A$64,0)),""))</f>
        <v/>
      </c>
      <c r="T314" s="35">
        <f>IF($F314="","",IFERROR(INDEX(사건마스터!$AQ$5:$AQ$64,MATCH($F314,사건마스터!$A$5:$A$64,0)),""))</f>
        <v/>
      </c>
      <c r="U314" s="35">
        <f>IF($F314="","",IFERROR(INDEX(사건마스터!$AR$5:$AR$64,MATCH($F314,사건마스터!$A$5:$A$64,0)),""))</f>
        <v/>
      </c>
      <c r="V314" s="35">
        <f>IF($F314="","",IFERROR(INDEX(사건마스터!$AS$5:$AS$64,MATCH($F314,사건마스터!$A$5:$A$64,0)),""))</f>
        <v/>
      </c>
      <c r="W314" s="35">
        <f>IF($F314="","",IFERROR(INDEX(사건마스터!$AT$5:$AT$64,MATCH($F314,사건마스터!$A$5:$A$64,0)),""))</f>
        <v/>
      </c>
      <c r="X314" s="35">
        <f>IF($F314="","",IFERROR(INDEX(사건마스터!$AU$5:$AU$64,MATCH($F314,사건마스터!$A$5:$A$64,0)),""))</f>
        <v/>
      </c>
      <c r="Y314" s="35">
        <f>IF($F314="","",IFERROR(INDEX(사건마스터!$AV$5:$AV$64,MATCH($F314,사건마스터!$A$5:$A$64,0)),""))</f>
        <v/>
      </c>
      <c r="Z314" s="30">
        <f>IF(COUNTBLANK($J314:$Y314)=16,"",16-COUNTBLANK($J314:$Y314))</f>
        <v/>
      </c>
      <c r="AA314" s="33">
        <f>IF($J314="",MID($AX314,3,255),$J314&amp;$AX314)</f>
        <v/>
      </c>
      <c r="AB314" s="34">
        <f>IF($J314="","",IFERROR(INDEX(코드설정!$D$5:$D$24,MATCH($J314,코드설정!$C$5:$C$24,0)),""))</f>
        <v/>
      </c>
      <c r="AC314" s="36" t="n"/>
      <c r="AD314" s="37" t="n"/>
      <c r="AE314" s="38" t="n"/>
      <c r="AF314" s="30">
        <f>IF(OR($B314="",$C314=""),"",$C314-$B314+1)</f>
        <v/>
      </c>
      <c r="AG314" s="32" t="n"/>
      <c r="AH314" s="36" t="n"/>
      <c r="AJ314">
        <f>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  <c r="AX314">
        <f>AW314&amp;IF($Y314="","",", "&amp;$Y314)</f>
        <v/>
      </c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0">
        <f>IF($F315="","",COUNTIF($F$5:$F315,$F315))</f>
        <v/>
      </c>
      <c r="H315" s="33">
        <f>IF($F315="","",IFERROR(INDEX(사건마스터!$B$5:$B$64,MATCH($F315,사건마스터!$A$5:$A$64,0)),""))</f>
        <v/>
      </c>
      <c r="I315" s="34">
        <f>IF($F315="","",IFERROR(INDEX(사건마스터!$C$5:$C$64,MATCH($F315,사건마스터!$A$5:$A$64,0)),""))</f>
        <v/>
      </c>
      <c r="J315" s="35">
        <f>IF($F315="","",IFERROR(INDEX(사건마스터!$H$5:$H$64,MATCH($F315,사건마스터!$A$5:$A$64,0)),""))</f>
        <v/>
      </c>
      <c r="K315" s="35">
        <f>IF($F315="","",IFERROR(INDEX(사건마스터!$AH$5:$AH$64,MATCH($F315,사건마스터!$A$5:$A$64,0)),""))</f>
        <v/>
      </c>
      <c r="L315" s="35">
        <f>IF($F315="","",IFERROR(INDEX(사건마스터!$AI$5:$AI$64,MATCH($F315,사건마스터!$A$5:$A$64,0)),""))</f>
        <v/>
      </c>
      <c r="M315" s="35">
        <f>IF($F315="","",IFERROR(INDEX(사건마스터!$AJ$5:$AJ$64,MATCH($F315,사건마스터!$A$5:$A$64,0)),""))</f>
        <v/>
      </c>
      <c r="N315" s="35">
        <f>IF($F315="","",IFERROR(INDEX(사건마스터!$AK$5:$AK$64,MATCH($F315,사건마스터!$A$5:$A$64,0)),""))</f>
        <v/>
      </c>
      <c r="O315" s="35">
        <f>IF($F315="","",IFERROR(INDEX(사건마스터!$AL$5:$AL$64,MATCH($F315,사건마스터!$A$5:$A$64,0)),""))</f>
        <v/>
      </c>
      <c r="P315" s="35">
        <f>IF($F315="","",IFERROR(INDEX(사건마스터!$AM$5:$AM$64,MATCH($F315,사건마스터!$A$5:$A$64,0)),""))</f>
        <v/>
      </c>
      <c r="Q315" s="35">
        <f>IF($F315="","",IFERROR(INDEX(사건마스터!$AN$5:$AN$64,MATCH($F315,사건마스터!$A$5:$A$64,0)),""))</f>
        <v/>
      </c>
      <c r="R315" s="35">
        <f>IF($F315="","",IFERROR(INDEX(사건마스터!$AO$5:$AO$64,MATCH($F315,사건마스터!$A$5:$A$64,0)),""))</f>
        <v/>
      </c>
      <c r="S315" s="35">
        <f>IF($F315="","",IFERROR(INDEX(사건마스터!$AP$5:$AP$64,MATCH($F315,사건마스터!$A$5:$A$64,0)),""))</f>
        <v/>
      </c>
      <c r="T315" s="35">
        <f>IF($F315="","",IFERROR(INDEX(사건마스터!$AQ$5:$AQ$64,MATCH($F315,사건마스터!$A$5:$A$64,0)),""))</f>
        <v/>
      </c>
      <c r="U315" s="35">
        <f>IF($F315="","",IFERROR(INDEX(사건마스터!$AR$5:$AR$64,MATCH($F315,사건마스터!$A$5:$A$64,0)),""))</f>
        <v/>
      </c>
      <c r="V315" s="35">
        <f>IF($F315="","",IFERROR(INDEX(사건마스터!$AS$5:$AS$64,MATCH($F315,사건마스터!$A$5:$A$64,0)),""))</f>
        <v/>
      </c>
      <c r="W315" s="35">
        <f>IF($F315="","",IFERROR(INDEX(사건마스터!$AT$5:$AT$64,MATCH($F315,사건마스터!$A$5:$A$64,0)),""))</f>
        <v/>
      </c>
      <c r="X315" s="35">
        <f>IF($F315="","",IFERROR(INDEX(사건마스터!$AU$5:$AU$64,MATCH($F315,사건마스터!$A$5:$A$64,0)),""))</f>
        <v/>
      </c>
      <c r="Y315" s="35">
        <f>IF($F315="","",IFERROR(INDEX(사건마스터!$AV$5:$AV$64,MATCH($F315,사건마스터!$A$5:$A$64,0)),""))</f>
        <v/>
      </c>
      <c r="Z315" s="30">
        <f>IF(COUNTBLANK($J315:$Y315)=16,"",16-COUNTBLANK($J315:$Y315))</f>
        <v/>
      </c>
      <c r="AA315" s="33">
        <f>IF($J315="",MID($AX315,3,255),$J315&amp;$AX315)</f>
        <v/>
      </c>
      <c r="AB315" s="34">
        <f>IF($J315="","",IFERROR(INDEX(코드설정!$D$5:$D$24,MATCH($J315,코드설정!$C$5:$C$24,0)),""))</f>
        <v/>
      </c>
      <c r="AC315" s="36" t="n"/>
      <c r="AD315" s="37" t="n"/>
      <c r="AE315" s="38" t="n"/>
      <c r="AF315" s="30">
        <f>IF(OR($B315="",$C315=""),"",$C315-$B315+1)</f>
        <v/>
      </c>
      <c r="AG315" s="32" t="n"/>
      <c r="AH315" s="36" t="n"/>
      <c r="AJ315">
        <f>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  <c r="AX315">
        <f>AW315&amp;IF($Y315="","",", "&amp;$Y315)</f>
        <v/>
      </c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0">
        <f>IF($F316="","",COUNTIF($F$5:$F316,$F316))</f>
        <v/>
      </c>
      <c r="H316" s="33">
        <f>IF($F316="","",IFERROR(INDEX(사건마스터!$B$5:$B$64,MATCH($F316,사건마스터!$A$5:$A$64,0)),""))</f>
        <v/>
      </c>
      <c r="I316" s="34">
        <f>IF($F316="","",IFERROR(INDEX(사건마스터!$C$5:$C$64,MATCH($F316,사건마스터!$A$5:$A$64,0)),""))</f>
        <v/>
      </c>
      <c r="J316" s="35">
        <f>IF($F316="","",IFERROR(INDEX(사건마스터!$H$5:$H$64,MATCH($F316,사건마스터!$A$5:$A$64,0)),""))</f>
        <v/>
      </c>
      <c r="K316" s="35">
        <f>IF($F316="","",IFERROR(INDEX(사건마스터!$AH$5:$AH$64,MATCH($F316,사건마스터!$A$5:$A$64,0)),""))</f>
        <v/>
      </c>
      <c r="L316" s="35">
        <f>IF($F316="","",IFERROR(INDEX(사건마스터!$AI$5:$AI$64,MATCH($F316,사건마스터!$A$5:$A$64,0)),""))</f>
        <v/>
      </c>
      <c r="M316" s="35">
        <f>IF($F316="","",IFERROR(INDEX(사건마스터!$AJ$5:$AJ$64,MATCH($F316,사건마스터!$A$5:$A$64,0)),""))</f>
        <v/>
      </c>
      <c r="N316" s="35">
        <f>IF($F316="","",IFERROR(INDEX(사건마스터!$AK$5:$AK$64,MATCH($F316,사건마스터!$A$5:$A$64,0)),""))</f>
        <v/>
      </c>
      <c r="O316" s="35">
        <f>IF($F316="","",IFERROR(INDEX(사건마스터!$AL$5:$AL$64,MATCH($F316,사건마스터!$A$5:$A$64,0)),""))</f>
        <v/>
      </c>
      <c r="P316" s="35">
        <f>IF($F316="","",IFERROR(INDEX(사건마스터!$AM$5:$AM$64,MATCH($F316,사건마스터!$A$5:$A$64,0)),""))</f>
        <v/>
      </c>
      <c r="Q316" s="35">
        <f>IF($F316="","",IFERROR(INDEX(사건마스터!$AN$5:$AN$64,MATCH($F316,사건마스터!$A$5:$A$64,0)),""))</f>
        <v/>
      </c>
      <c r="R316" s="35">
        <f>IF($F316="","",IFERROR(INDEX(사건마스터!$AO$5:$AO$64,MATCH($F316,사건마스터!$A$5:$A$64,0)),""))</f>
        <v/>
      </c>
      <c r="S316" s="35">
        <f>IF($F316="","",IFERROR(INDEX(사건마스터!$AP$5:$AP$64,MATCH($F316,사건마스터!$A$5:$A$64,0)),""))</f>
        <v/>
      </c>
      <c r="T316" s="35">
        <f>IF($F316="","",IFERROR(INDEX(사건마스터!$AQ$5:$AQ$64,MATCH($F316,사건마스터!$A$5:$A$64,0)),""))</f>
        <v/>
      </c>
      <c r="U316" s="35">
        <f>IF($F316="","",IFERROR(INDEX(사건마스터!$AR$5:$AR$64,MATCH($F316,사건마스터!$A$5:$A$64,0)),""))</f>
        <v/>
      </c>
      <c r="V316" s="35">
        <f>IF($F316="","",IFERROR(INDEX(사건마스터!$AS$5:$AS$64,MATCH($F316,사건마스터!$A$5:$A$64,0)),""))</f>
        <v/>
      </c>
      <c r="W316" s="35">
        <f>IF($F316="","",IFERROR(INDEX(사건마스터!$AT$5:$AT$64,MATCH($F316,사건마스터!$A$5:$A$64,0)),""))</f>
        <v/>
      </c>
      <c r="X316" s="35">
        <f>IF($F316="","",IFERROR(INDEX(사건마스터!$AU$5:$AU$64,MATCH($F316,사건마스터!$A$5:$A$64,0)),""))</f>
        <v/>
      </c>
      <c r="Y316" s="35">
        <f>IF($F316="","",IFERROR(INDEX(사건마스터!$AV$5:$AV$64,MATCH($F316,사건마스터!$A$5:$A$64,0)),""))</f>
        <v/>
      </c>
      <c r="Z316" s="30">
        <f>IF(COUNTBLANK($J316:$Y316)=16,"",16-COUNTBLANK($J316:$Y316))</f>
        <v/>
      </c>
      <c r="AA316" s="33">
        <f>IF($J316="",MID($AX316,3,255),$J316&amp;$AX316)</f>
        <v/>
      </c>
      <c r="AB316" s="34">
        <f>IF($J316="","",IFERROR(INDEX(코드설정!$D$5:$D$24,MATCH($J316,코드설정!$C$5:$C$24,0)),""))</f>
        <v/>
      </c>
      <c r="AC316" s="36" t="n"/>
      <c r="AD316" s="37" t="n"/>
      <c r="AE316" s="38" t="n"/>
      <c r="AF316" s="30">
        <f>IF(OR($B316="",$C316=""),"",$C316-$B316+1)</f>
        <v/>
      </c>
      <c r="AG316" s="32" t="n"/>
      <c r="AH316" s="36" t="n"/>
      <c r="AJ316">
        <f>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  <c r="AX316">
        <f>AW316&amp;IF($Y316="","",", "&amp;$Y316)</f>
        <v/>
      </c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0">
        <f>IF($F317="","",COUNTIF($F$5:$F317,$F317))</f>
        <v/>
      </c>
      <c r="H317" s="33">
        <f>IF($F317="","",IFERROR(INDEX(사건마스터!$B$5:$B$64,MATCH($F317,사건마스터!$A$5:$A$64,0)),""))</f>
        <v/>
      </c>
      <c r="I317" s="34">
        <f>IF($F317="","",IFERROR(INDEX(사건마스터!$C$5:$C$64,MATCH($F317,사건마스터!$A$5:$A$64,0)),""))</f>
        <v/>
      </c>
      <c r="J317" s="35">
        <f>IF($F317="","",IFERROR(INDEX(사건마스터!$H$5:$H$64,MATCH($F317,사건마스터!$A$5:$A$64,0)),""))</f>
        <v/>
      </c>
      <c r="K317" s="35">
        <f>IF($F317="","",IFERROR(INDEX(사건마스터!$AH$5:$AH$64,MATCH($F317,사건마스터!$A$5:$A$64,0)),""))</f>
        <v/>
      </c>
      <c r="L317" s="35">
        <f>IF($F317="","",IFERROR(INDEX(사건마스터!$AI$5:$AI$64,MATCH($F317,사건마스터!$A$5:$A$64,0)),""))</f>
        <v/>
      </c>
      <c r="M317" s="35">
        <f>IF($F317="","",IFERROR(INDEX(사건마스터!$AJ$5:$AJ$64,MATCH($F317,사건마스터!$A$5:$A$64,0)),""))</f>
        <v/>
      </c>
      <c r="N317" s="35">
        <f>IF($F317="","",IFERROR(INDEX(사건마스터!$AK$5:$AK$64,MATCH($F317,사건마스터!$A$5:$A$64,0)),""))</f>
        <v/>
      </c>
      <c r="O317" s="35">
        <f>IF($F317="","",IFERROR(INDEX(사건마스터!$AL$5:$AL$64,MATCH($F317,사건마스터!$A$5:$A$64,0)),""))</f>
        <v/>
      </c>
      <c r="P317" s="35">
        <f>IF($F317="","",IFERROR(INDEX(사건마스터!$AM$5:$AM$64,MATCH($F317,사건마스터!$A$5:$A$64,0)),""))</f>
        <v/>
      </c>
      <c r="Q317" s="35">
        <f>IF($F317="","",IFERROR(INDEX(사건마스터!$AN$5:$AN$64,MATCH($F317,사건마스터!$A$5:$A$64,0)),""))</f>
        <v/>
      </c>
      <c r="R317" s="35">
        <f>IF($F317="","",IFERROR(INDEX(사건마스터!$AO$5:$AO$64,MATCH($F317,사건마스터!$A$5:$A$64,0)),""))</f>
        <v/>
      </c>
      <c r="S317" s="35">
        <f>IF($F317="","",IFERROR(INDEX(사건마스터!$AP$5:$AP$64,MATCH($F317,사건마스터!$A$5:$A$64,0)),""))</f>
        <v/>
      </c>
      <c r="T317" s="35">
        <f>IF($F317="","",IFERROR(INDEX(사건마스터!$AQ$5:$AQ$64,MATCH($F317,사건마스터!$A$5:$A$64,0)),""))</f>
        <v/>
      </c>
      <c r="U317" s="35">
        <f>IF($F317="","",IFERROR(INDEX(사건마스터!$AR$5:$AR$64,MATCH($F317,사건마스터!$A$5:$A$64,0)),""))</f>
        <v/>
      </c>
      <c r="V317" s="35">
        <f>IF($F317="","",IFERROR(INDEX(사건마스터!$AS$5:$AS$64,MATCH($F317,사건마스터!$A$5:$A$64,0)),""))</f>
        <v/>
      </c>
      <c r="W317" s="35">
        <f>IF($F317="","",IFERROR(INDEX(사건마스터!$AT$5:$AT$64,MATCH($F317,사건마스터!$A$5:$A$64,0)),""))</f>
        <v/>
      </c>
      <c r="X317" s="35">
        <f>IF($F317="","",IFERROR(INDEX(사건마스터!$AU$5:$AU$64,MATCH($F317,사건마스터!$A$5:$A$64,0)),""))</f>
        <v/>
      </c>
      <c r="Y317" s="35">
        <f>IF($F317="","",IFERROR(INDEX(사건마스터!$AV$5:$AV$64,MATCH($F317,사건마스터!$A$5:$A$64,0)),""))</f>
        <v/>
      </c>
      <c r="Z317" s="30">
        <f>IF(COUNTBLANK($J317:$Y317)=16,"",16-COUNTBLANK($J317:$Y317))</f>
        <v/>
      </c>
      <c r="AA317" s="33">
        <f>IF($J317="",MID($AX317,3,255),$J317&amp;$AX317)</f>
        <v/>
      </c>
      <c r="AB317" s="34">
        <f>IF($J317="","",IFERROR(INDEX(코드설정!$D$5:$D$24,MATCH($J317,코드설정!$C$5:$C$24,0)),""))</f>
        <v/>
      </c>
      <c r="AC317" s="36" t="n"/>
      <c r="AD317" s="37" t="n"/>
      <c r="AE317" s="38" t="n"/>
      <c r="AF317" s="30">
        <f>IF(OR($B317="",$C317=""),"",$C317-$B317+1)</f>
        <v/>
      </c>
      <c r="AG317" s="32" t="n"/>
      <c r="AH317" s="36" t="n"/>
      <c r="AJ317">
        <f>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  <c r="AX317">
        <f>AW317&amp;IF($Y317="","",", "&amp;$Y317)</f>
        <v/>
      </c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0">
        <f>IF($F318="","",COUNTIF($F$5:$F318,$F318))</f>
        <v/>
      </c>
      <c r="H318" s="33">
        <f>IF($F318="","",IFERROR(INDEX(사건마스터!$B$5:$B$64,MATCH($F318,사건마스터!$A$5:$A$64,0)),""))</f>
        <v/>
      </c>
      <c r="I318" s="34">
        <f>IF($F318="","",IFERROR(INDEX(사건마스터!$C$5:$C$64,MATCH($F318,사건마스터!$A$5:$A$64,0)),""))</f>
        <v/>
      </c>
      <c r="J318" s="35">
        <f>IF($F318="","",IFERROR(INDEX(사건마스터!$H$5:$H$64,MATCH($F318,사건마스터!$A$5:$A$64,0)),""))</f>
        <v/>
      </c>
      <c r="K318" s="35">
        <f>IF($F318="","",IFERROR(INDEX(사건마스터!$AH$5:$AH$64,MATCH($F318,사건마스터!$A$5:$A$64,0)),""))</f>
        <v/>
      </c>
      <c r="L318" s="35">
        <f>IF($F318="","",IFERROR(INDEX(사건마스터!$AI$5:$AI$64,MATCH($F318,사건마스터!$A$5:$A$64,0)),""))</f>
        <v/>
      </c>
      <c r="M318" s="35">
        <f>IF($F318="","",IFERROR(INDEX(사건마스터!$AJ$5:$AJ$64,MATCH($F318,사건마스터!$A$5:$A$64,0)),""))</f>
        <v/>
      </c>
      <c r="N318" s="35">
        <f>IF($F318="","",IFERROR(INDEX(사건마스터!$AK$5:$AK$64,MATCH($F318,사건마스터!$A$5:$A$64,0)),""))</f>
        <v/>
      </c>
      <c r="O318" s="35">
        <f>IF($F318="","",IFERROR(INDEX(사건마스터!$AL$5:$AL$64,MATCH($F318,사건마스터!$A$5:$A$64,0)),""))</f>
        <v/>
      </c>
      <c r="P318" s="35">
        <f>IF($F318="","",IFERROR(INDEX(사건마스터!$AM$5:$AM$64,MATCH($F318,사건마스터!$A$5:$A$64,0)),""))</f>
        <v/>
      </c>
      <c r="Q318" s="35">
        <f>IF($F318="","",IFERROR(INDEX(사건마스터!$AN$5:$AN$64,MATCH($F318,사건마스터!$A$5:$A$64,0)),""))</f>
        <v/>
      </c>
      <c r="R318" s="35">
        <f>IF($F318="","",IFERROR(INDEX(사건마스터!$AO$5:$AO$64,MATCH($F318,사건마스터!$A$5:$A$64,0)),""))</f>
        <v/>
      </c>
      <c r="S318" s="35">
        <f>IF($F318="","",IFERROR(INDEX(사건마스터!$AP$5:$AP$64,MATCH($F318,사건마스터!$A$5:$A$64,0)),""))</f>
        <v/>
      </c>
      <c r="T318" s="35">
        <f>IF($F318="","",IFERROR(INDEX(사건마스터!$AQ$5:$AQ$64,MATCH($F318,사건마스터!$A$5:$A$64,0)),""))</f>
        <v/>
      </c>
      <c r="U318" s="35">
        <f>IF($F318="","",IFERROR(INDEX(사건마스터!$AR$5:$AR$64,MATCH($F318,사건마스터!$A$5:$A$64,0)),""))</f>
        <v/>
      </c>
      <c r="V318" s="35">
        <f>IF($F318="","",IFERROR(INDEX(사건마스터!$AS$5:$AS$64,MATCH($F318,사건마스터!$A$5:$A$64,0)),""))</f>
        <v/>
      </c>
      <c r="W318" s="35">
        <f>IF($F318="","",IFERROR(INDEX(사건마스터!$AT$5:$AT$64,MATCH($F318,사건마스터!$A$5:$A$64,0)),""))</f>
        <v/>
      </c>
      <c r="X318" s="35">
        <f>IF($F318="","",IFERROR(INDEX(사건마스터!$AU$5:$AU$64,MATCH($F318,사건마스터!$A$5:$A$64,0)),""))</f>
        <v/>
      </c>
      <c r="Y318" s="35">
        <f>IF($F318="","",IFERROR(INDEX(사건마스터!$AV$5:$AV$64,MATCH($F318,사건마스터!$A$5:$A$64,0)),""))</f>
        <v/>
      </c>
      <c r="Z318" s="30">
        <f>IF(COUNTBLANK($J318:$Y318)=16,"",16-COUNTBLANK($J318:$Y318))</f>
        <v/>
      </c>
      <c r="AA318" s="33">
        <f>IF($J318="",MID($AX318,3,255),$J318&amp;$AX318)</f>
        <v/>
      </c>
      <c r="AB318" s="34">
        <f>IF($J318="","",IFERROR(INDEX(코드설정!$D$5:$D$24,MATCH($J318,코드설정!$C$5:$C$24,0)),""))</f>
        <v/>
      </c>
      <c r="AC318" s="36" t="n"/>
      <c r="AD318" s="37" t="n"/>
      <c r="AE318" s="38" t="n"/>
      <c r="AF318" s="30">
        <f>IF(OR($B318="",$C318=""),"",$C318-$B318+1)</f>
        <v/>
      </c>
      <c r="AG318" s="32" t="n"/>
      <c r="AH318" s="36" t="n"/>
      <c r="AJ318">
        <f>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  <c r="AX318">
        <f>AW318&amp;IF($Y318="","",", "&amp;$Y318)</f>
        <v/>
      </c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0">
        <f>IF($F319="","",COUNTIF($F$5:$F319,$F319))</f>
        <v/>
      </c>
      <c r="H319" s="33">
        <f>IF($F319="","",IFERROR(INDEX(사건마스터!$B$5:$B$64,MATCH($F319,사건마스터!$A$5:$A$64,0)),""))</f>
        <v/>
      </c>
      <c r="I319" s="34">
        <f>IF($F319="","",IFERROR(INDEX(사건마스터!$C$5:$C$64,MATCH($F319,사건마스터!$A$5:$A$64,0)),""))</f>
        <v/>
      </c>
      <c r="J319" s="35">
        <f>IF($F319="","",IFERROR(INDEX(사건마스터!$H$5:$H$64,MATCH($F319,사건마스터!$A$5:$A$64,0)),""))</f>
        <v/>
      </c>
      <c r="K319" s="35">
        <f>IF($F319="","",IFERROR(INDEX(사건마스터!$AH$5:$AH$64,MATCH($F319,사건마스터!$A$5:$A$64,0)),""))</f>
        <v/>
      </c>
      <c r="L319" s="35">
        <f>IF($F319="","",IFERROR(INDEX(사건마스터!$AI$5:$AI$64,MATCH($F319,사건마스터!$A$5:$A$64,0)),""))</f>
        <v/>
      </c>
      <c r="M319" s="35">
        <f>IF($F319="","",IFERROR(INDEX(사건마스터!$AJ$5:$AJ$64,MATCH($F319,사건마스터!$A$5:$A$64,0)),""))</f>
        <v/>
      </c>
      <c r="N319" s="35">
        <f>IF($F319="","",IFERROR(INDEX(사건마스터!$AK$5:$AK$64,MATCH($F319,사건마스터!$A$5:$A$64,0)),""))</f>
        <v/>
      </c>
      <c r="O319" s="35">
        <f>IF($F319="","",IFERROR(INDEX(사건마스터!$AL$5:$AL$64,MATCH($F319,사건마스터!$A$5:$A$64,0)),""))</f>
        <v/>
      </c>
      <c r="P319" s="35">
        <f>IF($F319="","",IFERROR(INDEX(사건마스터!$AM$5:$AM$64,MATCH($F319,사건마스터!$A$5:$A$64,0)),""))</f>
        <v/>
      </c>
      <c r="Q319" s="35">
        <f>IF($F319="","",IFERROR(INDEX(사건마스터!$AN$5:$AN$64,MATCH($F319,사건마스터!$A$5:$A$64,0)),""))</f>
        <v/>
      </c>
      <c r="R319" s="35">
        <f>IF($F319="","",IFERROR(INDEX(사건마스터!$AO$5:$AO$64,MATCH($F319,사건마스터!$A$5:$A$64,0)),""))</f>
        <v/>
      </c>
      <c r="S319" s="35">
        <f>IF($F319="","",IFERROR(INDEX(사건마스터!$AP$5:$AP$64,MATCH($F319,사건마스터!$A$5:$A$64,0)),""))</f>
        <v/>
      </c>
      <c r="T319" s="35">
        <f>IF($F319="","",IFERROR(INDEX(사건마스터!$AQ$5:$AQ$64,MATCH($F319,사건마스터!$A$5:$A$64,0)),""))</f>
        <v/>
      </c>
      <c r="U319" s="35">
        <f>IF($F319="","",IFERROR(INDEX(사건마스터!$AR$5:$AR$64,MATCH($F319,사건마스터!$A$5:$A$64,0)),""))</f>
        <v/>
      </c>
      <c r="V319" s="35">
        <f>IF($F319="","",IFERROR(INDEX(사건마스터!$AS$5:$AS$64,MATCH($F319,사건마스터!$A$5:$A$64,0)),""))</f>
        <v/>
      </c>
      <c r="W319" s="35">
        <f>IF($F319="","",IFERROR(INDEX(사건마스터!$AT$5:$AT$64,MATCH($F319,사건마스터!$A$5:$A$64,0)),""))</f>
        <v/>
      </c>
      <c r="X319" s="35">
        <f>IF($F319="","",IFERROR(INDEX(사건마스터!$AU$5:$AU$64,MATCH($F319,사건마스터!$A$5:$A$64,0)),""))</f>
        <v/>
      </c>
      <c r="Y319" s="35">
        <f>IF($F319="","",IFERROR(INDEX(사건마스터!$AV$5:$AV$64,MATCH($F319,사건마스터!$A$5:$A$64,0)),""))</f>
        <v/>
      </c>
      <c r="Z319" s="30">
        <f>IF(COUNTBLANK($J319:$Y319)=16,"",16-COUNTBLANK($J319:$Y319))</f>
        <v/>
      </c>
      <c r="AA319" s="33">
        <f>IF($J319="",MID($AX319,3,255),$J319&amp;$AX319)</f>
        <v/>
      </c>
      <c r="AB319" s="34">
        <f>IF($J319="","",IFERROR(INDEX(코드설정!$D$5:$D$24,MATCH($J319,코드설정!$C$5:$C$24,0)),""))</f>
        <v/>
      </c>
      <c r="AC319" s="36" t="n"/>
      <c r="AD319" s="37" t="n"/>
      <c r="AE319" s="38" t="n"/>
      <c r="AF319" s="30">
        <f>IF(OR($B319="",$C319=""),"",$C319-$B319+1)</f>
        <v/>
      </c>
      <c r="AG319" s="32" t="n"/>
      <c r="AH319" s="36" t="n"/>
      <c r="AJ319">
        <f>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  <c r="AX319">
        <f>AW319&amp;IF($Y319="","",", "&amp;$Y319)</f>
        <v/>
      </c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0">
        <f>IF($F320="","",COUNTIF($F$5:$F320,$F320))</f>
        <v/>
      </c>
      <c r="H320" s="33">
        <f>IF($F320="","",IFERROR(INDEX(사건마스터!$B$5:$B$64,MATCH($F320,사건마스터!$A$5:$A$64,0)),""))</f>
        <v/>
      </c>
      <c r="I320" s="34">
        <f>IF($F320="","",IFERROR(INDEX(사건마스터!$C$5:$C$64,MATCH($F320,사건마스터!$A$5:$A$64,0)),""))</f>
        <v/>
      </c>
      <c r="J320" s="35">
        <f>IF($F320="","",IFERROR(INDEX(사건마스터!$H$5:$H$64,MATCH($F320,사건마스터!$A$5:$A$64,0)),""))</f>
        <v/>
      </c>
      <c r="K320" s="35">
        <f>IF($F320="","",IFERROR(INDEX(사건마스터!$AH$5:$AH$64,MATCH($F320,사건마스터!$A$5:$A$64,0)),""))</f>
        <v/>
      </c>
      <c r="L320" s="35">
        <f>IF($F320="","",IFERROR(INDEX(사건마스터!$AI$5:$AI$64,MATCH($F320,사건마스터!$A$5:$A$64,0)),""))</f>
        <v/>
      </c>
      <c r="M320" s="35">
        <f>IF($F320="","",IFERROR(INDEX(사건마스터!$AJ$5:$AJ$64,MATCH($F320,사건마스터!$A$5:$A$64,0)),""))</f>
        <v/>
      </c>
      <c r="N320" s="35">
        <f>IF($F320="","",IFERROR(INDEX(사건마스터!$AK$5:$AK$64,MATCH($F320,사건마스터!$A$5:$A$64,0)),""))</f>
        <v/>
      </c>
      <c r="O320" s="35">
        <f>IF($F320="","",IFERROR(INDEX(사건마스터!$AL$5:$AL$64,MATCH($F320,사건마스터!$A$5:$A$64,0)),""))</f>
        <v/>
      </c>
      <c r="P320" s="35">
        <f>IF($F320="","",IFERROR(INDEX(사건마스터!$AM$5:$AM$64,MATCH($F320,사건마스터!$A$5:$A$64,0)),""))</f>
        <v/>
      </c>
      <c r="Q320" s="35">
        <f>IF($F320="","",IFERROR(INDEX(사건마스터!$AN$5:$AN$64,MATCH($F320,사건마스터!$A$5:$A$64,0)),""))</f>
        <v/>
      </c>
      <c r="R320" s="35">
        <f>IF($F320="","",IFERROR(INDEX(사건마스터!$AO$5:$AO$64,MATCH($F320,사건마스터!$A$5:$A$64,0)),""))</f>
        <v/>
      </c>
      <c r="S320" s="35">
        <f>IF($F320="","",IFERROR(INDEX(사건마스터!$AP$5:$AP$64,MATCH($F320,사건마스터!$A$5:$A$64,0)),""))</f>
        <v/>
      </c>
      <c r="T320" s="35">
        <f>IF($F320="","",IFERROR(INDEX(사건마스터!$AQ$5:$AQ$64,MATCH($F320,사건마스터!$A$5:$A$64,0)),""))</f>
        <v/>
      </c>
      <c r="U320" s="35">
        <f>IF($F320="","",IFERROR(INDEX(사건마스터!$AR$5:$AR$64,MATCH($F320,사건마스터!$A$5:$A$64,0)),""))</f>
        <v/>
      </c>
      <c r="V320" s="35">
        <f>IF($F320="","",IFERROR(INDEX(사건마스터!$AS$5:$AS$64,MATCH($F320,사건마스터!$A$5:$A$64,0)),""))</f>
        <v/>
      </c>
      <c r="W320" s="35">
        <f>IF($F320="","",IFERROR(INDEX(사건마스터!$AT$5:$AT$64,MATCH($F320,사건마스터!$A$5:$A$64,0)),""))</f>
        <v/>
      </c>
      <c r="X320" s="35">
        <f>IF($F320="","",IFERROR(INDEX(사건마스터!$AU$5:$AU$64,MATCH($F320,사건마스터!$A$5:$A$64,0)),""))</f>
        <v/>
      </c>
      <c r="Y320" s="35">
        <f>IF($F320="","",IFERROR(INDEX(사건마스터!$AV$5:$AV$64,MATCH($F320,사건마스터!$A$5:$A$64,0)),""))</f>
        <v/>
      </c>
      <c r="Z320" s="30">
        <f>IF(COUNTBLANK($J320:$Y320)=16,"",16-COUNTBLANK($J320:$Y320))</f>
        <v/>
      </c>
      <c r="AA320" s="33">
        <f>IF($J320="",MID($AX320,3,255),$J320&amp;$AX320)</f>
        <v/>
      </c>
      <c r="AB320" s="34">
        <f>IF($J320="","",IFERROR(INDEX(코드설정!$D$5:$D$24,MATCH($J320,코드설정!$C$5:$C$24,0)),""))</f>
        <v/>
      </c>
      <c r="AC320" s="36" t="n"/>
      <c r="AD320" s="37" t="n"/>
      <c r="AE320" s="38" t="n"/>
      <c r="AF320" s="30">
        <f>IF(OR($B320="",$C320=""),"",$C320-$B320+1)</f>
        <v/>
      </c>
      <c r="AG320" s="32" t="n"/>
      <c r="AH320" s="36" t="n"/>
      <c r="AJ320">
        <f>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  <c r="AX320">
        <f>AW320&amp;IF($Y320="","",", "&amp;$Y320)</f>
        <v/>
      </c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0">
        <f>IF($F321="","",COUNTIF($F$5:$F321,$F321))</f>
        <v/>
      </c>
      <c r="H321" s="33">
        <f>IF($F321="","",IFERROR(INDEX(사건마스터!$B$5:$B$64,MATCH($F321,사건마스터!$A$5:$A$64,0)),""))</f>
        <v/>
      </c>
      <c r="I321" s="34">
        <f>IF($F321="","",IFERROR(INDEX(사건마스터!$C$5:$C$64,MATCH($F321,사건마스터!$A$5:$A$64,0)),""))</f>
        <v/>
      </c>
      <c r="J321" s="35">
        <f>IF($F321="","",IFERROR(INDEX(사건마스터!$H$5:$H$64,MATCH($F321,사건마스터!$A$5:$A$64,0)),""))</f>
        <v/>
      </c>
      <c r="K321" s="35">
        <f>IF($F321="","",IFERROR(INDEX(사건마스터!$AH$5:$AH$64,MATCH($F321,사건마스터!$A$5:$A$64,0)),""))</f>
        <v/>
      </c>
      <c r="L321" s="35">
        <f>IF($F321="","",IFERROR(INDEX(사건마스터!$AI$5:$AI$64,MATCH($F321,사건마스터!$A$5:$A$64,0)),""))</f>
        <v/>
      </c>
      <c r="M321" s="35">
        <f>IF($F321="","",IFERROR(INDEX(사건마스터!$AJ$5:$AJ$64,MATCH($F321,사건마스터!$A$5:$A$64,0)),""))</f>
        <v/>
      </c>
      <c r="N321" s="35">
        <f>IF($F321="","",IFERROR(INDEX(사건마스터!$AK$5:$AK$64,MATCH($F321,사건마스터!$A$5:$A$64,0)),""))</f>
        <v/>
      </c>
      <c r="O321" s="35">
        <f>IF($F321="","",IFERROR(INDEX(사건마스터!$AL$5:$AL$64,MATCH($F321,사건마스터!$A$5:$A$64,0)),""))</f>
        <v/>
      </c>
      <c r="P321" s="35">
        <f>IF($F321="","",IFERROR(INDEX(사건마스터!$AM$5:$AM$64,MATCH($F321,사건마스터!$A$5:$A$64,0)),""))</f>
        <v/>
      </c>
      <c r="Q321" s="35">
        <f>IF($F321="","",IFERROR(INDEX(사건마스터!$AN$5:$AN$64,MATCH($F321,사건마스터!$A$5:$A$64,0)),""))</f>
        <v/>
      </c>
      <c r="R321" s="35">
        <f>IF($F321="","",IFERROR(INDEX(사건마스터!$AO$5:$AO$64,MATCH($F321,사건마스터!$A$5:$A$64,0)),""))</f>
        <v/>
      </c>
      <c r="S321" s="35">
        <f>IF($F321="","",IFERROR(INDEX(사건마스터!$AP$5:$AP$64,MATCH($F321,사건마스터!$A$5:$A$64,0)),""))</f>
        <v/>
      </c>
      <c r="T321" s="35">
        <f>IF($F321="","",IFERROR(INDEX(사건마스터!$AQ$5:$AQ$64,MATCH($F321,사건마스터!$A$5:$A$64,0)),""))</f>
        <v/>
      </c>
      <c r="U321" s="35">
        <f>IF($F321="","",IFERROR(INDEX(사건마스터!$AR$5:$AR$64,MATCH($F321,사건마스터!$A$5:$A$64,0)),""))</f>
        <v/>
      </c>
      <c r="V321" s="35">
        <f>IF($F321="","",IFERROR(INDEX(사건마스터!$AS$5:$AS$64,MATCH($F321,사건마스터!$A$5:$A$64,0)),""))</f>
        <v/>
      </c>
      <c r="W321" s="35">
        <f>IF($F321="","",IFERROR(INDEX(사건마스터!$AT$5:$AT$64,MATCH($F321,사건마스터!$A$5:$A$64,0)),""))</f>
        <v/>
      </c>
      <c r="X321" s="35">
        <f>IF($F321="","",IFERROR(INDEX(사건마스터!$AU$5:$AU$64,MATCH($F321,사건마스터!$A$5:$A$64,0)),""))</f>
        <v/>
      </c>
      <c r="Y321" s="35">
        <f>IF($F321="","",IFERROR(INDEX(사건마스터!$AV$5:$AV$64,MATCH($F321,사건마스터!$A$5:$A$64,0)),""))</f>
        <v/>
      </c>
      <c r="Z321" s="30">
        <f>IF(COUNTBLANK($J321:$Y321)=16,"",16-COUNTBLANK($J321:$Y321))</f>
        <v/>
      </c>
      <c r="AA321" s="33">
        <f>IF($J321="",MID($AX321,3,255),$J321&amp;$AX321)</f>
        <v/>
      </c>
      <c r="AB321" s="34">
        <f>IF($J321="","",IFERROR(INDEX(코드설정!$D$5:$D$24,MATCH($J321,코드설정!$C$5:$C$24,0)),""))</f>
        <v/>
      </c>
      <c r="AC321" s="36" t="n"/>
      <c r="AD321" s="37" t="n"/>
      <c r="AE321" s="38" t="n"/>
      <c r="AF321" s="30">
        <f>IF(OR($B321="",$C321=""),"",$C321-$B321+1)</f>
        <v/>
      </c>
      <c r="AG321" s="32" t="n"/>
      <c r="AH321" s="36" t="n"/>
      <c r="AJ321">
        <f>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  <c r="AX321">
        <f>AW321&amp;IF($Y321="","",", "&amp;$Y321)</f>
        <v/>
      </c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0">
        <f>IF($F322="","",COUNTIF($F$5:$F322,$F322))</f>
        <v/>
      </c>
      <c r="H322" s="33">
        <f>IF($F322="","",IFERROR(INDEX(사건마스터!$B$5:$B$64,MATCH($F322,사건마스터!$A$5:$A$64,0)),""))</f>
        <v/>
      </c>
      <c r="I322" s="34">
        <f>IF($F322="","",IFERROR(INDEX(사건마스터!$C$5:$C$64,MATCH($F322,사건마스터!$A$5:$A$64,0)),""))</f>
        <v/>
      </c>
      <c r="J322" s="35">
        <f>IF($F322="","",IFERROR(INDEX(사건마스터!$H$5:$H$64,MATCH($F322,사건마스터!$A$5:$A$64,0)),""))</f>
        <v/>
      </c>
      <c r="K322" s="35">
        <f>IF($F322="","",IFERROR(INDEX(사건마스터!$AH$5:$AH$64,MATCH($F322,사건마스터!$A$5:$A$64,0)),""))</f>
        <v/>
      </c>
      <c r="L322" s="35">
        <f>IF($F322="","",IFERROR(INDEX(사건마스터!$AI$5:$AI$64,MATCH($F322,사건마스터!$A$5:$A$64,0)),""))</f>
        <v/>
      </c>
      <c r="M322" s="35">
        <f>IF($F322="","",IFERROR(INDEX(사건마스터!$AJ$5:$AJ$64,MATCH($F322,사건마스터!$A$5:$A$64,0)),""))</f>
        <v/>
      </c>
      <c r="N322" s="35">
        <f>IF($F322="","",IFERROR(INDEX(사건마스터!$AK$5:$AK$64,MATCH($F322,사건마스터!$A$5:$A$64,0)),""))</f>
        <v/>
      </c>
      <c r="O322" s="35">
        <f>IF($F322="","",IFERROR(INDEX(사건마스터!$AL$5:$AL$64,MATCH($F322,사건마스터!$A$5:$A$64,0)),""))</f>
        <v/>
      </c>
      <c r="P322" s="35">
        <f>IF($F322="","",IFERROR(INDEX(사건마스터!$AM$5:$AM$64,MATCH($F322,사건마스터!$A$5:$A$64,0)),""))</f>
        <v/>
      </c>
      <c r="Q322" s="35">
        <f>IF($F322="","",IFERROR(INDEX(사건마스터!$AN$5:$AN$64,MATCH($F322,사건마스터!$A$5:$A$64,0)),""))</f>
        <v/>
      </c>
      <c r="R322" s="35">
        <f>IF($F322="","",IFERROR(INDEX(사건마스터!$AO$5:$AO$64,MATCH($F322,사건마스터!$A$5:$A$64,0)),""))</f>
        <v/>
      </c>
      <c r="S322" s="35">
        <f>IF($F322="","",IFERROR(INDEX(사건마스터!$AP$5:$AP$64,MATCH($F322,사건마스터!$A$5:$A$64,0)),""))</f>
        <v/>
      </c>
      <c r="T322" s="35">
        <f>IF($F322="","",IFERROR(INDEX(사건마스터!$AQ$5:$AQ$64,MATCH($F322,사건마스터!$A$5:$A$64,0)),""))</f>
        <v/>
      </c>
      <c r="U322" s="35">
        <f>IF($F322="","",IFERROR(INDEX(사건마스터!$AR$5:$AR$64,MATCH($F322,사건마스터!$A$5:$A$64,0)),""))</f>
        <v/>
      </c>
      <c r="V322" s="35">
        <f>IF($F322="","",IFERROR(INDEX(사건마스터!$AS$5:$AS$64,MATCH($F322,사건마스터!$A$5:$A$64,0)),""))</f>
        <v/>
      </c>
      <c r="W322" s="35">
        <f>IF($F322="","",IFERROR(INDEX(사건마스터!$AT$5:$AT$64,MATCH($F322,사건마스터!$A$5:$A$64,0)),""))</f>
        <v/>
      </c>
      <c r="X322" s="35">
        <f>IF($F322="","",IFERROR(INDEX(사건마스터!$AU$5:$AU$64,MATCH($F322,사건마스터!$A$5:$A$64,0)),""))</f>
        <v/>
      </c>
      <c r="Y322" s="35">
        <f>IF($F322="","",IFERROR(INDEX(사건마스터!$AV$5:$AV$64,MATCH($F322,사건마스터!$A$5:$A$64,0)),""))</f>
        <v/>
      </c>
      <c r="Z322" s="30">
        <f>IF(COUNTBLANK($J322:$Y322)=16,"",16-COUNTBLANK($J322:$Y322))</f>
        <v/>
      </c>
      <c r="AA322" s="33">
        <f>IF($J322="",MID($AX322,3,255),$J322&amp;$AX322)</f>
        <v/>
      </c>
      <c r="AB322" s="34">
        <f>IF($J322="","",IFERROR(INDEX(코드설정!$D$5:$D$24,MATCH($J322,코드설정!$C$5:$C$24,0)),""))</f>
        <v/>
      </c>
      <c r="AC322" s="36" t="n"/>
      <c r="AD322" s="37" t="n"/>
      <c r="AE322" s="38" t="n"/>
      <c r="AF322" s="30">
        <f>IF(OR($B322="",$C322=""),"",$C322-$B322+1)</f>
        <v/>
      </c>
      <c r="AG322" s="32" t="n"/>
      <c r="AH322" s="36" t="n"/>
      <c r="AJ322">
        <f>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  <c r="AX322">
        <f>AW322&amp;IF($Y322="","",", "&amp;$Y322)</f>
        <v/>
      </c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0">
        <f>IF($F323="","",COUNTIF($F$5:$F323,$F323))</f>
        <v/>
      </c>
      <c r="H323" s="33">
        <f>IF($F323="","",IFERROR(INDEX(사건마스터!$B$5:$B$64,MATCH($F323,사건마스터!$A$5:$A$64,0)),""))</f>
        <v/>
      </c>
      <c r="I323" s="34">
        <f>IF($F323="","",IFERROR(INDEX(사건마스터!$C$5:$C$64,MATCH($F323,사건마스터!$A$5:$A$64,0)),""))</f>
        <v/>
      </c>
      <c r="J323" s="35">
        <f>IF($F323="","",IFERROR(INDEX(사건마스터!$H$5:$H$64,MATCH($F323,사건마스터!$A$5:$A$64,0)),""))</f>
        <v/>
      </c>
      <c r="K323" s="35">
        <f>IF($F323="","",IFERROR(INDEX(사건마스터!$AH$5:$AH$64,MATCH($F323,사건마스터!$A$5:$A$64,0)),""))</f>
        <v/>
      </c>
      <c r="L323" s="35">
        <f>IF($F323="","",IFERROR(INDEX(사건마스터!$AI$5:$AI$64,MATCH($F323,사건마스터!$A$5:$A$64,0)),""))</f>
        <v/>
      </c>
      <c r="M323" s="35">
        <f>IF($F323="","",IFERROR(INDEX(사건마스터!$AJ$5:$AJ$64,MATCH($F323,사건마스터!$A$5:$A$64,0)),""))</f>
        <v/>
      </c>
      <c r="N323" s="35">
        <f>IF($F323="","",IFERROR(INDEX(사건마스터!$AK$5:$AK$64,MATCH($F323,사건마스터!$A$5:$A$64,0)),""))</f>
        <v/>
      </c>
      <c r="O323" s="35">
        <f>IF($F323="","",IFERROR(INDEX(사건마스터!$AL$5:$AL$64,MATCH($F323,사건마스터!$A$5:$A$64,0)),""))</f>
        <v/>
      </c>
      <c r="P323" s="35">
        <f>IF($F323="","",IFERROR(INDEX(사건마스터!$AM$5:$AM$64,MATCH($F323,사건마스터!$A$5:$A$64,0)),""))</f>
        <v/>
      </c>
      <c r="Q323" s="35">
        <f>IF($F323="","",IFERROR(INDEX(사건마스터!$AN$5:$AN$64,MATCH($F323,사건마스터!$A$5:$A$64,0)),""))</f>
        <v/>
      </c>
      <c r="R323" s="35">
        <f>IF($F323="","",IFERROR(INDEX(사건마스터!$AO$5:$AO$64,MATCH($F323,사건마스터!$A$5:$A$64,0)),""))</f>
        <v/>
      </c>
      <c r="S323" s="35">
        <f>IF($F323="","",IFERROR(INDEX(사건마스터!$AP$5:$AP$64,MATCH($F323,사건마스터!$A$5:$A$64,0)),""))</f>
        <v/>
      </c>
      <c r="T323" s="35">
        <f>IF($F323="","",IFERROR(INDEX(사건마스터!$AQ$5:$AQ$64,MATCH($F323,사건마스터!$A$5:$A$64,0)),""))</f>
        <v/>
      </c>
      <c r="U323" s="35">
        <f>IF($F323="","",IFERROR(INDEX(사건마스터!$AR$5:$AR$64,MATCH($F323,사건마스터!$A$5:$A$64,0)),""))</f>
        <v/>
      </c>
      <c r="V323" s="35">
        <f>IF($F323="","",IFERROR(INDEX(사건마스터!$AS$5:$AS$64,MATCH($F323,사건마스터!$A$5:$A$64,0)),""))</f>
        <v/>
      </c>
      <c r="W323" s="35">
        <f>IF($F323="","",IFERROR(INDEX(사건마스터!$AT$5:$AT$64,MATCH($F323,사건마스터!$A$5:$A$64,0)),""))</f>
        <v/>
      </c>
      <c r="X323" s="35">
        <f>IF($F323="","",IFERROR(INDEX(사건마스터!$AU$5:$AU$64,MATCH($F323,사건마스터!$A$5:$A$64,0)),""))</f>
        <v/>
      </c>
      <c r="Y323" s="35">
        <f>IF($F323="","",IFERROR(INDEX(사건마스터!$AV$5:$AV$64,MATCH($F323,사건마스터!$A$5:$A$64,0)),""))</f>
        <v/>
      </c>
      <c r="Z323" s="30">
        <f>IF(COUNTBLANK($J323:$Y323)=16,"",16-COUNTBLANK($J323:$Y323))</f>
        <v/>
      </c>
      <c r="AA323" s="33">
        <f>IF($J323="",MID($AX323,3,255),$J323&amp;$AX323)</f>
        <v/>
      </c>
      <c r="AB323" s="34">
        <f>IF($J323="","",IFERROR(INDEX(코드설정!$D$5:$D$24,MATCH($J323,코드설정!$C$5:$C$24,0)),""))</f>
        <v/>
      </c>
      <c r="AC323" s="36" t="n"/>
      <c r="AD323" s="37" t="n"/>
      <c r="AE323" s="38" t="n"/>
      <c r="AF323" s="30">
        <f>IF(OR($B323="",$C323=""),"",$C323-$B323+1)</f>
        <v/>
      </c>
      <c r="AG323" s="32" t="n"/>
      <c r="AH323" s="36" t="n"/>
      <c r="AJ323">
        <f>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  <c r="AX323">
        <f>AW323&amp;IF($Y323="","",", "&amp;$Y323)</f>
        <v/>
      </c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0">
        <f>IF($F324="","",COUNTIF($F$5:$F324,$F324))</f>
        <v/>
      </c>
      <c r="H324" s="33">
        <f>IF($F324="","",IFERROR(INDEX(사건마스터!$B$5:$B$64,MATCH($F324,사건마스터!$A$5:$A$64,0)),""))</f>
        <v/>
      </c>
      <c r="I324" s="34">
        <f>IF($F324="","",IFERROR(INDEX(사건마스터!$C$5:$C$64,MATCH($F324,사건마스터!$A$5:$A$64,0)),""))</f>
        <v/>
      </c>
      <c r="J324" s="35">
        <f>IF($F324="","",IFERROR(INDEX(사건마스터!$H$5:$H$64,MATCH($F324,사건마스터!$A$5:$A$64,0)),""))</f>
        <v/>
      </c>
      <c r="K324" s="35">
        <f>IF($F324="","",IFERROR(INDEX(사건마스터!$AH$5:$AH$64,MATCH($F324,사건마스터!$A$5:$A$64,0)),""))</f>
        <v/>
      </c>
      <c r="L324" s="35">
        <f>IF($F324="","",IFERROR(INDEX(사건마스터!$AI$5:$AI$64,MATCH($F324,사건마스터!$A$5:$A$64,0)),""))</f>
        <v/>
      </c>
      <c r="M324" s="35">
        <f>IF($F324="","",IFERROR(INDEX(사건마스터!$AJ$5:$AJ$64,MATCH($F324,사건마스터!$A$5:$A$64,0)),""))</f>
        <v/>
      </c>
      <c r="N324" s="35">
        <f>IF($F324="","",IFERROR(INDEX(사건마스터!$AK$5:$AK$64,MATCH($F324,사건마스터!$A$5:$A$64,0)),""))</f>
        <v/>
      </c>
      <c r="O324" s="35">
        <f>IF($F324="","",IFERROR(INDEX(사건마스터!$AL$5:$AL$64,MATCH($F324,사건마스터!$A$5:$A$64,0)),""))</f>
        <v/>
      </c>
      <c r="P324" s="35">
        <f>IF($F324="","",IFERROR(INDEX(사건마스터!$AM$5:$AM$64,MATCH($F324,사건마스터!$A$5:$A$64,0)),""))</f>
        <v/>
      </c>
      <c r="Q324" s="35">
        <f>IF($F324="","",IFERROR(INDEX(사건마스터!$AN$5:$AN$64,MATCH($F324,사건마스터!$A$5:$A$64,0)),""))</f>
        <v/>
      </c>
      <c r="R324" s="35">
        <f>IF($F324="","",IFERROR(INDEX(사건마스터!$AO$5:$AO$64,MATCH($F324,사건마스터!$A$5:$A$64,0)),""))</f>
        <v/>
      </c>
      <c r="S324" s="35">
        <f>IF($F324="","",IFERROR(INDEX(사건마스터!$AP$5:$AP$64,MATCH($F324,사건마스터!$A$5:$A$64,0)),""))</f>
        <v/>
      </c>
      <c r="T324" s="35">
        <f>IF($F324="","",IFERROR(INDEX(사건마스터!$AQ$5:$AQ$64,MATCH($F324,사건마스터!$A$5:$A$64,0)),""))</f>
        <v/>
      </c>
      <c r="U324" s="35">
        <f>IF($F324="","",IFERROR(INDEX(사건마스터!$AR$5:$AR$64,MATCH($F324,사건마스터!$A$5:$A$64,0)),""))</f>
        <v/>
      </c>
      <c r="V324" s="35">
        <f>IF($F324="","",IFERROR(INDEX(사건마스터!$AS$5:$AS$64,MATCH($F324,사건마스터!$A$5:$A$64,0)),""))</f>
        <v/>
      </c>
      <c r="W324" s="35">
        <f>IF($F324="","",IFERROR(INDEX(사건마스터!$AT$5:$AT$64,MATCH($F324,사건마스터!$A$5:$A$64,0)),""))</f>
        <v/>
      </c>
      <c r="X324" s="35">
        <f>IF($F324="","",IFERROR(INDEX(사건마스터!$AU$5:$AU$64,MATCH($F324,사건마스터!$A$5:$A$64,0)),""))</f>
        <v/>
      </c>
      <c r="Y324" s="35">
        <f>IF($F324="","",IFERROR(INDEX(사건마스터!$AV$5:$AV$64,MATCH($F324,사건마스터!$A$5:$A$64,0)),""))</f>
        <v/>
      </c>
      <c r="Z324" s="30">
        <f>IF(COUNTBLANK($J324:$Y324)=16,"",16-COUNTBLANK($J324:$Y324))</f>
        <v/>
      </c>
      <c r="AA324" s="33">
        <f>IF($J324="",MID($AX324,3,255),$J324&amp;$AX324)</f>
        <v/>
      </c>
      <c r="AB324" s="34">
        <f>IF($J324="","",IFERROR(INDEX(코드설정!$D$5:$D$24,MATCH($J324,코드설정!$C$5:$C$24,0)),""))</f>
        <v/>
      </c>
      <c r="AC324" s="36" t="n"/>
      <c r="AD324" s="37" t="n"/>
      <c r="AE324" s="38" t="n"/>
      <c r="AF324" s="30">
        <f>IF(OR($B324="",$C324=""),"",$C324-$B324+1)</f>
        <v/>
      </c>
      <c r="AG324" s="32" t="n"/>
      <c r="AH324" s="36" t="n"/>
      <c r="AJ324">
        <f>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  <c r="AX324">
        <f>AW324&amp;IF($Y324="","",", "&amp;$Y324)</f>
        <v/>
      </c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0">
        <f>IF($F325="","",COUNTIF($F$5:$F325,$F325))</f>
        <v/>
      </c>
      <c r="H325" s="33">
        <f>IF($F325="","",IFERROR(INDEX(사건마스터!$B$5:$B$64,MATCH($F325,사건마스터!$A$5:$A$64,0)),""))</f>
        <v/>
      </c>
      <c r="I325" s="34">
        <f>IF($F325="","",IFERROR(INDEX(사건마스터!$C$5:$C$64,MATCH($F325,사건마스터!$A$5:$A$64,0)),""))</f>
        <v/>
      </c>
      <c r="J325" s="35">
        <f>IF($F325="","",IFERROR(INDEX(사건마스터!$H$5:$H$64,MATCH($F325,사건마스터!$A$5:$A$64,0)),""))</f>
        <v/>
      </c>
      <c r="K325" s="35">
        <f>IF($F325="","",IFERROR(INDEX(사건마스터!$AH$5:$AH$64,MATCH($F325,사건마스터!$A$5:$A$64,0)),""))</f>
        <v/>
      </c>
      <c r="L325" s="35">
        <f>IF($F325="","",IFERROR(INDEX(사건마스터!$AI$5:$AI$64,MATCH($F325,사건마스터!$A$5:$A$64,0)),""))</f>
        <v/>
      </c>
      <c r="M325" s="35">
        <f>IF($F325="","",IFERROR(INDEX(사건마스터!$AJ$5:$AJ$64,MATCH($F325,사건마스터!$A$5:$A$64,0)),""))</f>
        <v/>
      </c>
      <c r="N325" s="35">
        <f>IF($F325="","",IFERROR(INDEX(사건마스터!$AK$5:$AK$64,MATCH($F325,사건마스터!$A$5:$A$64,0)),""))</f>
        <v/>
      </c>
      <c r="O325" s="35">
        <f>IF($F325="","",IFERROR(INDEX(사건마스터!$AL$5:$AL$64,MATCH($F325,사건마스터!$A$5:$A$64,0)),""))</f>
        <v/>
      </c>
      <c r="P325" s="35">
        <f>IF($F325="","",IFERROR(INDEX(사건마스터!$AM$5:$AM$64,MATCH($F325,사건마스터!$A$5:$A$64,0)),""))</f>
        <v/>
      </c>
      <c r="Q325" s="35">
        <f>IF($F325="","",IFERROR(INDEX(사건마스터!$AN$5:$AN$64,MATCH($F325,사건마스터!$A$5:$A$64,0)),""))</f>
        <v/>
      </c>
      <c r="R325" s="35">
        <f>IF($F325="","",IFERROR(INDEX(사건마스터!$AO$5:$AO$64,MATCH($F325,사건마스터!$A$5:$A$64,0)),""))</f>
        <v/>
      </c>
      <c r="S325" s="35">
        <f>IF($F325="","",IFERROR(INDEX(사건마스터!$AP$5:$AP$64,MATCH($F325,사건마스터!$A$5:$A$64,0)),""))</f>
        <v/>
      </c>
      <c r="T325" s="35">
        <f>IF($F325="","",IFERROR(INDEX(사건마스터!$AQ$5:$AQ$64,MATCH($F325,사건마스터!$A$5:$A$64,0)),""))</f>
        <v/>
      </c>
      <c r="U325" s="35">
        <f>IF($F325="","",IFERROR(INDEX(사건마스터!$AR$5:$AR$64,MATCH($F325,사건마스터!$A$5:$A$64,0)),""))</f>
        <v/>
      </c>
      <c r="V325" s="35">
        <f>IF($F325="","",IFERROR(INDEX(사건마스터!$AS$5:$AS$64,MATCH($F325,사건마스터!$A$5:$A$64,0)),""))</f>
        <v/>
      </c>
      <c r="W325" s="35">
        <f>IF($F325="","",IFERROR(INDEX(사건마스터!$AT$5:$AT$64,MATCH($F325,사건마스터!$A$5:$A$64,0)),""))</f>
        <v/>
      </c>
      <c r="X325" s="35">
        <f>IF($F325="","",IFERROR(INDEX(사건마스터!$AU$5:$AU$64,MATCH($F325,사건마스터!$A$5:$A$64,0)),""))</f>
        <v/>
      </c>
      <c r="Y325" s="35">
        <f>IF($F325="","",IFERROR(INDEX(사건마스터!$AV$5:$AV$64,MATCH($F325,사건마스터!$A$5:$A$64,0)),""))</f>
        <v/>
      </c>
      <c r="Z325" s="30">
        <f>IF(COUNTBLANK($J325:$Y325)=16,"",16-COUNTBLANK($J325:$Y325))</f>
        <v/>
      </c>
      <c r="AA325" s="33">
        <f>IF($J325="",MID($AX325,3,255),$J325&amp;$AX325)</f>
        <v/>
      </c>
      <c r="AB325" s="34">
        <f>IF($J325="","",IFERROR(INDEX(코드설정!$D$5:$D$24,MATCH($J325,코드설정!$C$5:$C$24,0)),""))</f>
        <v/>
      </c>
      <c r="AC325" s="36" t="n"/>
      <c r="AD325" s="37" t="n"/>
      <c r="AE325" s="38" t="n"/>
      <c r="AF325" s="30">
        <f>IF(OR($B325="",$C325=""),"",$C325-$B325+1)</f>
        <v/>
      </c>
      <c r="AG325" s="32" t="n"/>
      <c r="AH325" s="36" t="n"/>
      <c r="AJ325">
        <f>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  <c r="AX325">
        <f>AW325&amp;IF($Y325="","",", "&amp;$Y325)</f>
        <v/>
      </c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0">
        <f>IF($F326="","",COUNTIF($F$5:$F326,$F326))</f>
        <v/>
      </c>
      <c r="H326" s="33">
        <f>IF($F326="","",IFERROR(INDEX(사건마스터!$B$5:$B$64,MATCH($F326,사건마스터!$A$5:$A$64,0)),""))</f>
        <v/>
      </c>
      <c r="I326" s="34">
        <f>IF($F326="","",IFERROR(INDEX(사건마스터!$C$5:$C$64,MATCH($F326,사건마스터!$A$5:$A$64,0)),""))</f>
        <v/>
      </c>
      <c r="J326" s="35">
        <f>IF($F326="","",IFERROR(INDEX(사건마스터!$H$5:$H$64,MATCH($F326,사건마스터!$A$5:$A$64,0)),""))</f>
        <v/>
      </c>
      <c r="K326" s="35">
        <f>IF($F326="","",IFERROR(INDEX(사건마스터!$AH$5:$AH$64,MATCH($F326,사건마스터!$A$5:$A$64,0)),""))</f>
        <v/>
      </c>
      <c r="L326" s="35">
        <f>IF($F326="","",IFERROR(INDEX(사건마스터!$AI$5:$AI$64,MATCH($F326,사건마스터!$A$5:$A$64,0)),""))</f>
        <v/>
      </c>
      <c r="M326" s="35">
        <f>IF($F326="","",IFERROR(INDEX(사건마스터!$AJ$5:$AJ$64,MATCH($F326,사건마스터!$A$5:$A$64,0)),""))</f>
        <v/>
      </c>
      <c r="N326" s="35">
        <f>IF($F326="","",IFERROR(INDEX(사건마스터!$AK$5:$AK$64,MATCH($F326,사건마스터!$A$5:$A$64,0)),""))</f>
        <v/>
      </c>
      <c r="O326" s="35">
        <f>IF($F326="","",IFERROR(INDEX(사건마스터!$AL$5:$AL$64,MATCH($F326,사건마스터!$A$5:$A$64,0)),""))</f>
        <v/>
      </c>
      <c r="P326" s="35">
        <f>IF($F326="","",IFERROR(INDEX(사건마스터!$AM$5:$AM$64,MATCH($F326,사건마스터!$A$5:$A$64,0)),""))</f>
        <v/>
      </c>
      <c r="Q326" s="35">
        <f>IF($F326="","",IFERROR(INDEX(사건마스터!$AN$5:$AN$64,MATCH($F326,사건마스터!$A$5:$A$64,0)),""))</f>
        <v/>
      </c>
      <c r="R326" s="35">
        <f>IF($F326="","",IFERROR(INDEX(사건마스터!$AO$5:$AO$64,MATCH($F326,사건마스터!$A$5:$A$64,0)),""))</f>
        <v/>
      </c>
      <c r="S326" s="35">
        <f>IF($F326="","",IFERROR(INDEX(사건마스터!$AP$5:$AP$64,MATCH($F326,사건마스터!$A$5:$A$64,0)),""))</f>
        <v/>
      </c>
      <c r="T326" s="35">
        <f>IF($F326="","",IFERROR(INDEX(사건마스터!$AQ$5:$AQ$64,MATCH($F326,사건마스터!$A$5:$A$64,0)),""))</f>
        <v/>
      </c>
      <c r="U326" s="35">
        <f>IF($F326="","",IFERROR(INDEX(사건마스터!$AR$5:$AR$64,MATCH($F326,사건마스터!$A$5:$A$64,0)),""))</f>
        <v/>
      </c>
      <c r="V326" s="35">
        <f>IF($F326="","",IFERROR(INDEX(사건마스터!$AS$5:$AS$64,MATCH($F326,사건마스터!$A$5:$A$64,0)),""))</f>
        <v/>
      </c>
      <c r="W326" s="35">
        <f>IF($F326="","",IFERROR(INDEX(사건마스터!$AT$5:$AT$64,MATCH($F326,사건마스터!$A$5:$A$64,0)),""))</f>
        <v/>
      </c>
      <c r="X326" s="35">
        <f>IF($F326="","",IFERROR(INDEX(사건마스터!$AU$5:$AU$64,MATCH($F326,사건마스터!$A$5:$A$64,0)),""))</f>
        <v/>
      </c>
      <c r="Y326" s="35">
        <f>IF($F326="","",IFERROR(INDEX(사건마스터!$AV$5:$AV$64,MATCH($F326,사건마스터!$A$5:$A$64,0)),""))</f>
        <v/>
      </c>
      <c r="Z326" s="30">
        <f>IF(COUNTBLANK($J326:$Y326)=16,"",16-COUNTBLANK($J326:$Y326))</f>
        <v/>
      </c>
      <c r="AA326" s="33">
        <f>IF($J326="",MID($AX326,3,255),$J326&amp;$AX326)</f>
        <v/>
      </c>
      <c r="AB326" s="34">
        <f>IF($J326="","",IFERROR(INDEX(코드설정!$D$5:$D$24,MATCH($J326,코드설정!$C$5:$C$24,0)),""))</f>
        <v/>
      </c>
      <c r="AC326" s="36" t="n"/>
      <c r="AD326" s="37" t="n"/>
      <c r="AE326" s="38" t="n"/>
      <c r="AF326" s="30">
        <f>IF(OR($B326="",$C326=""),"",$C326-$B326+1)</f>
        <v/>
      </c>
      <c r="AG326" s="32" t="n"/>
      <c r="AH326" s="36" t="n"/>
      <c r="AJ326">
        <f>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  <c r="AX326">
        <f>AW326&amp;IF($Y326="","",", "&amp;$Y326)</f>
        <v/>
      </c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0">
        <f>IF($F327="","",COUNTIF($F$5:$F327,$F327))</f>
        <v/>
      </c>
      <c r="H327" s="33">
        <f>IF($F327="","",IFERROR(INDEX(사건마스터!$B$5:$B$64,MATCH($F327,사건마스터!$A$5:$A$64,0)),""))</f>
        <v/>
      </c>
      <c r="I327" s="34">
        <f>IF($F327="","",IFERROR(INDEX(사건마스터!$C$5:$C$64,MATCH($F327,사건마스터!$A$5:$A$64,0)),""))</f>
        <v/>
      </c>
      <c r="J327" s="35">
        <f>IF($F327="","",IFERROR(INDEX(사건마스터!$H$5:$H$64,MATCH($F327,사건마스터!$A$5:$A$64,0)),""))</f>
        <v/>
      </c>
      <c r="K327" s="35">
        <f>IF($F327="","",IFERROR(INDEX(사건마스터!$AH$5:$AH$64,MATCH($F327,사건마스터!$A$5:$A$64,0)),""))</f>
        <v/>
      </c>
      <c r="L327" s="35">
        <f>IF($F327="","",IFERROR(INDEX(사건마스터!$AI$5:$AI$64,MATCH($F327,사건마스터!$A$5:$A$64,0)),""))</f>
        <v/>
      </c>
      <c r="M327" s="35">
        <f>IF($F327="","",IFERROR(INDEX(사건마스터!$AJ$5:$AJ$64,MATCH($F327,사건마스터!$A$5:$A$64,0)),""))</f>
        <v/>
      </c>
      <c r="N327" s="35">
        <f>IF($F327="","",IFERROR(INDEX(사건마스터!$AK$5:$AK$64,MATCH($F327,사건마스터!$A$5:$A$64,0)),""))</f>
        <v/>
      </c>
      <c r="O327" s="35">
        <f>IF($F327="","",IFERROR(INDEX(사건마스터!$AL$5:$AL$64,MATCH($F327,사건마스터!$A$5:$A$64,0)),""))</f>
        <v/>
      </c>
      <c r="P327" s="35">
        <f>IF($F327="","",IFERROR(INDEX(사건마스터!$AM$5:$AM$64,MATCH($F327,사건마스터!$A$5:$A$64,0)),""))</f>
        <v/>
      </c>
      <c r="Q327" s="35">
        <f>IF($F327="","",IFERROR(INDEX(사건마스터!$AN$5:$AN$64,MATCH($F327,사건마스터!$A$5:$A$64,0)),""))</f>
        <v/>
      </c>
      <c r="R327" s="35">
        <f>IF($F327="","",IFERROR(INDEX(사건마스터!$AO$5:$AO$64,MATCH($F327,사건마스터!$A$5:$A$64,0)),""))</f>
        <v/>
      </c>
      <c r="S327" s="35">
        <f>IF($F327="","",IFERROR(INDEX(사건마스터!$AP$5:$AP$64,MATCH($F327,사건마스터!$A$5:$A$64,0)),""))</f>
        <v/>
      </c>
      <c r="T327" s="35">
        <f>IF($F327="","",IFERROR(INDEX(사건마스터!$AQ$5:$AQ$64,MATCH($F327,사건마스터!$A$5:$A$64,0)),""))</f>
        <v/>
      </c>
      <c r="U327" s="35">
        <f>IF($F327="","",IFERROR(INDEX(사건마스터!$AR$5:$AR$64,MATCH($F327,사건마스터!$A$5:$A$64,0)),""))</f>
        <v/>
      </c>
      <c r="V327" s="35">
        <f>IF($F327="","",IFERROR(INDEX(사건마스터!$AS$5:$AS$64,MATCH($F327,사건마스터!$A$5:$A$64,0)),""))</f>
        <v/>
      </c>
      <c r="W327" s="35">
        <f>IF($F327="","",IFERROR(INDEX(사건마스터!$AT$5:$AT$64,MATCH($F327,사건마스터!$A$5:$A$64,0)),""))</f>
        <v/>
      </c>
      <c r="X327" s="35">
        <f>IF($F327="","",IFERROR(INDEX(사건마스터!$AU$5:$AU$64,MATCH($F327,사건마스터!$A$5:$A$64,0)),""))</f>
        <v/>
      </c>
      <c r="Y327" s="35">
        <f>IF($F327="","",IFERROR(INDEX(사건마스터!$AV$5:$AV$64,MATCH($F327,사건마스터!$A$5:$A$64,0)),""))</f>
        <v/>
      </c>
      <c r="Z327" s="30">
        <f>IF(COUNTBLANK($J327:$Y327)=16,"",16-COUNTBLANK($J327:$Y327))</f>
        <v/>
      </c>
      <c r="AA327" s="33">
        <f>IF($J327="",MID($AX327,3,255),$J327&amp;$AX327)</f>
        <v/>
      </c>
      <c r="AB327" s="34">
        <f>IF($J327="","",IFERROR(INDEX(코드설정!$D$5:$D$24,MATCH($J327,코드설정!$C$5:$C$24,0)),""))</f>
        <v/>
      </c>
      <c r="AC327" s="36" t="n"/>
      <c r="AD327" s="37" t="n"/>
      <c r="AE327" s="38" t="n"/>
      <c r="AF327" s="30">
        <f>IF(OR($B327="",$C327=""),"",$C327-$B327+1)</f>
        <v/>
      </c>
      <c r="AG327" s="32" t="n"/>
      <c r="AH327" s="36" t="n"/>
      <c r="AJ327">
        <f>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  <c r="AX327">
        <f>AW327&amp;IF($Y327="","",", "&amp;$Y327)</f>
        <v/>
      </c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0">
        <f>IF($F328="","",COUNTIF($F$5:$F328,$F328))</f>
        <v/>
      </c>
      <c r="H328" s="33">
        <f>IF($F328="","",IFERROR(INDEX(사건마스터!$B$5:$B$64,MATCH($F328,사건마스터!$A$5:$A$64,0)),""))</f>
        <v/>
      </c>
      <c r="I328" s="34">
        <f>IF($F328="","",IFERROR(INDEX(사건마스터!$C$5:$C$64,MATCH($F328,사건마스터!$A$5:$A$64,0)),""))</f>
        <v/>
      </c>
      <c r="J328" s="35">
        <f>IF($F328="","",IFERROR(INDEX(사건마스터!$H$5:$H$64,MATCH($F328,사건마스터!$A$5:$A$64,0)),""))</f>
        <v/>
      </c>
      <c r="K328" s="35">
        <f>IF($F328="","",IFERROR(INDEX(사건마스터!$AH$5:$AH$64,MATCH($F328,사건마스터!$A$5:$A$64,0)),""))</f>
        <v/>
      </c>
      <c r="L328" s="35">
        <f>IF($F328="","",IFERROR(INDEX(사건마스터!$AI$5:$AI$64,MATCH($F328,사건마스터!$A$5:$A$64,0)),""))</f>
        <v/>
      </c>
      <c r="M328" s="35">
        <f>IF($F328="","",IFERROR(INDEX(사건마스터!$AJ$5:$AJ$64,MATCH($F328,사건마스터!$A$5:$A$64,0)),""))</f>
        <v/>
      </c>
      <c r="N328" s="35">
        <f>IF($F328="","",IFERROR(INDEX(사건마스터!$AK$5:$AK$64,MATCH($F328,사건마스터!$A$5:$A$64,0)),""))</f>
        <v/>
      </c>
      <c r="O328" s="35">
        <f>IF($F328="","",IFERROR(INDEX(사건마스터!$AL$5:$AL$64,MATCH($F328,사건마스터!$A$5:$A$64,0)),""))</f>
        <v/>
      </c>
      <c r="P328" s="35">
        <f>IF($F328="","",IFERROR(INDEX(사건마스터!$AM$5:$AM$64,MATCH($F328,사건마스터!$A$5:$A$64,0)),""))</f>
        <v/>
      </c>
      <c r="Q328" s="35">
        <f>IF($F328="","",IFERROR(INDEX(사건마스터!$AN$5:$AN$64,MATCH($F328,사건마스터!$A$5:$A$64,0)),""))</f>
        <v/>
      </c>
      <c r="R328" s="35">
        <f>IF($F328="","",IFERROR(INDEX(사건마스터!$AO$5:$AO$64,MATCH($F328,사건마스터!$A$5:$A$64,0)),""))</f>
        <v/>
      </c>
      <c r="S328" s="35">
        <f>IF($F328="","",IFERROR(INDEX(사건마스터!$AP$5:$AP$64,MATCH($F328,사건마스터!$A$5:$A$64,0)),""))</f>
        <v/>
      </c>
      <c r="T328" s="35">
        <f>IF($F328="","",IFERROR(INDEX(사건마스터!$AQ$5:$AQ$64,MATCH($F328,사건마스터!$A$5:$A$64,0)),""))</f>
        <v/>
      </c>
      <c r="U328" s="35">
        <f>IF($F328="","",IFERROR(INDEX(사건마스터!$AR$5:$AR$64,MATCH($F328,사건마스터!$A$5:$A$64,0)),""))</f>
        <v/>
      </c>
      <c r="V328" s="35">
        <f>IF($F328="","",IFERROR(INDEX(사건마스터!$AS$5:$AS$64,MATCH($F328,사건마스터!$A$5:$A$64,0)),""))</f>
        <v/>
      </c>
      <c r="W328" s="35">
        <f>IF($F328="","",IFERROR(INDEX(사건마스터!$AT$5:$AT$64,MATCH($F328,사건마스터!$A$5:$A$64,0)),""))</f>
        <v/>
      </c>
      <c r="X328" s="35">
        <f>IF($F328="","",IFERROR(INDEX(사건마스터!$AU$5:$AU$64,MATCH($F328,사건마스터!$A$5:$A$64,0)),""))</f>
        <v/>
      </c>
      <c r="Y328" s="35">
        <f>IF($F328="","",IFERROR(INDEX(사건마스터!$AV$5:$AV$64,MATCH($F328,사건마스터!$A$5:$A$64,0)),""))</f>
        <v/>
      </c>
      <c r="Z328" s="30">
        <f>IF(COUNTBLANK($J328:$Y328)=16,"",16-COUNTBLANK($J328:$Y328))</f>
        <v/>
      </c>
      <c r="AA328" s="33">
        <f>IF($J328="",MID($AX328,3,255),$J328&amp;$AX328)</f>
        <v/>
      </c>
      <c r="AB328" s="34">
        <f>IF($J328="","",IFERROR(INDEX(코드설정!$D$5:$D$24,MATCH($J328,코드설정!$C$5:$C$24,0)),""))</f>
        <v/>
      </c>
      <c r="AC328" s="36" t="n"/>
      <c r="AD328" s="37" t="n"/>
      <c r="AE328" s="38" t="n"/>
      <c r="AF328" s="30">
        <f>IF(OR($B328="",$C328=""),"",$C328-$B328+1)</f>
        <v/>
      </c>
      <c r="AG328" s="32" t="n"/>
      <c r="AH328" s="36" t="n"/>
      <c r="AJ328">
        <f>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  <c r="AX328">
        <f>AW328&amp;IF($Y328="","",", "&amp;$Y328)</f>
        <v/>
      </c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0">
        <f>IF($F329="","",COUNTIF($F$5:$F329,$F329))</f>
        <v/>
      </c>
      <c r="H329" s="33">
        <f>IF($F329="","",IFERROR(INDEX(사건마스터!$B$5:$B$64,MATCH($F329,사건마스터!$A$5:$A$64,0)),""))</f>
        <v/>
      </c>
      <c r="I329" s="34">
        <f>IF($F329="","",IFERROR(INDEX(사건마스터!$C$5:$C$64,MATCH($F329,사건마스터!$A$5:$A$64,0)),""))</f>
        <v/>
      </c>
      <c r="J329" s="35">
        <f>IF($F329="","",IFERROR(INDEX(사건마스터!$H$5:$H$64,MATCH($F329,사건마스터!$A$5:$A$64,0)),""))</f>
        <v/>
      </c>
      <c r="K329" s="35">
        <f>IF($F329="","",IFERROR(INDEX(사건마스터!$AH$5:$AH$64,MATCH($F329,사건마스터!$A$5:$A$64,0)),""))</f>
        <v/>
      </c>
      <c r="L329" s="35">
        <f>IF($F329="","",IFERROR(INDEX(사건마스터!$AI$5:$AI$64,MATCH($F329,사건마스터!$A$5:$A$64,0)),""))</f>
        <v/>
      </c>
      <c r="M329" s="35">
        <f>IF($F329="","",IFERROR(INDEX(사건마스터!$AJ$5:$AJ$64,MATCH($F329,사건마스터!$A$5:$A$64,0)),""))</f>
        <v/>
      </c>
      <c r="N329" s="35">
        <f>IF($F329="","",IFERROR(INDEX(사건마스터!$AK$5:$AK$64,MATCH($F329,사건마스터!$A$5:$A$64,0)),""))</f>
        <v/>
      </c>
      <c r="O329" s="35">
        <f>IF($F329="","",IFERROR(INDEX(사건마스터!$AL$5:$AL$64,MATCH($F329,사건마스터!$A$5:$A$64,0)),""))</f>
        <v/>
      </c>
      <c r="P329" s="35">
        <f>IF($F329="","",IFERROR(INDEX(사건마스터!$AM$5:$AM$64,MATCH($F329,사건마스터!$A$5:$A$64,0)),""))</f>
        <v/>
      </c>
      <c r="Q329" s="35">
        <f>IF($F329="","",IFERROR(INDEX(사건마스터!$AN$5:$AN$64,MATCH($F329,사건마스터!$A$5:$A$64,0)),""))</f>
        <v/>
      </c>
      <c r="R329" s="35">
        <f>IF($F329="","",IFERROR(INDEX(사건마스터!$AO$5:$AO$64,MATCH($F329,사건마스터!$A$5:$A$64,0)),""))</f>
        <v/>
      </c>
      <c r="S329" s="35">
        <f>IF($F329="","",IFERROR(INDEX(사건마스터!$AP$5:$AP$64,MATCH($F329,사건마스터!$A$5:$A$64,0)),""))</f>
        <v/>
      </c>
      <c r="T329" s="35">
        <f>IF($F329="","",IFERROR(INDEX(사건마스터!$AQ$5:$AQ$64,MATCH($F329,사건마스터!$A$5:$A$64,0)),""))</f>
        <v/>
      </c>
      <c r="U329" s="35">
        <f>IF($F329="","",IFERROR(INDEX(사건마스터!$AR$5:$AR$64,MATCH($F329,사건마스터!$A$5:$A$64,0)),""))</f>
        <v/>
      </c>
      <c r="V329" s="35">
        <f>IF($F329="","",IFERROR(INDEX(사건마스터!$AS$5:$AS$64,MATCH($F329,사건마스터!$A$5:$A$64,0)),""))</f>
        <v/>
      </c>
      <c r="W329" s="35">
        <f>IF($F329="","",IFERROR(INDEX(사건마스터!$AT$5:$AT$64,MATCH($F329,사건마스터!$A$5:$A$64,0)),""))</f>
        <v/>
      </c>
      <c r="X329" s="35">
        <f>IF($F329="","",IFERROR(INDEX(사건마스터!$AU$5:$AU$64,MATCH($F329,사건마스터!$A$5:$A$64,0)),""))</f>
        <v/>
      </c>
      <c r="Y329" s="35">
        <f>IF($F329="","",IFERROR(INDEX(사건마스터!$AV$5:$AV$64,MATCH($F329,사건마스터!$A$5:$A$64,0)),""))</f>
        <v/>
      </c>
      <c r="Z329" s="30">
        <f>IF(COUNTBLANK($J329:$Y329)=16,"",16-COUNTBLANK($J329:$Y329))</f>
        <v/>
      </c>
      <c r="AA329" s="33">
        <f>IF($J329="",MID($AX329,3,255),$J329&amp;$AX329)</f>
        <v/>
      </c>
      <c r="AB329" s="34">
        <f>IF($J329="","",IFERROR(INDEX(코드설정!$D$5:$D$24,MATCH($J329,코드설정!$C$5:$C$24,0)),""))</f>
        <v/>
      </c>
      <c r="AC329" s="36" t="n"/>
      <c r="AD329" s="37" t="n"/>
      <c r="AE329" s="38" t="n"/>
      <c r="AF329" s="30">
        <f>IF(OR($B329="",$C329=""),"",$C329-$B329+1)</f>
        <v/>
      </c>
      <c r="AG329" s="32" t="n"/>
      <c r="AH329" s="36" t="n"/>
      <c r="AJ329">
        <f>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  <c r="AX329">
        <f>AW329&amp;IF($Y329="","",", "&amp;$Y329)</f>
        <v/>
      </c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0">
        <f>IF($F330="","",COUNTIF($F$5:$F330,$F330))</f>
        <v/>
      </c>
      <c r="H330" s="33">
        <f>IF($F330="","",IFERROR(INDEX(사건마스터!$B$5:$B$64,MATCH($F330,사건마스터!$A$5:$A$64,0)),""))</f>
        <v/>
      </c>
      <c r="I330" s="34">
        <f>IF($F330="","",IFERROR(INDEX(사건마스터!$C$5:$C$64,MATCH($F330,사건마스터!$A$5:$A$64,0)),""))</f>
        <v/>
      </c>
      <c r="J330" s="35">
        <f>IF($F330="","",IFERROR(INDEX(사건마스터!$H$5:$H$64,MATCH($F330,사건마스터!$A$5:$A$64,0)),""))</f>
        <v/>
      </c>
      <c r="K330" s="35">
        <f>IF($F330="","",IFERROR(INDEX(사건마스터!$AH$5:$AH$64,MATCH($F330,사건마스터!$A$5:$A$64,0)),""))</f>
        <v/>
      </c>
      <c r="L330" s="35">
        <f>IF($F330="","",IFERROR(INDEX(사건마스터!$AI$5:$AI$64,MATCH($F330,사건마스터!$A$5:$A$64,0)),""))</f>
        <v/>
      </c>
      <c r="M330" s="35">
        <f>IF($F330="","",IFERROR(INDEX(사건마스터!$AJ$5:$AJ$64,MATCH($F330,사건마스터!$A$5:$A$64,0)),""))</f>
        <v/>
      </c>
      <c r="N330" s="35">
        <f>IF($F330="","",IFERROR(INDEX(사건마스터!$AK$5:$AK$64,MATCH($F330,사건마스터!$A$5:$A$64,0)),""))</f>
        <v/>
      </c>
      <c r="O330" s="35">
        <f>IF($F330="","",IFERROR(INDEX(사건마스터!$AL$5:$AL$64,MATCH($F330,사건마스터!$A$5:$A$64,0)),""))</f>
        <v/>
      </c>
      <c r="P330" s="35">
        <f>IF($F330="","",IFERROR(INDEX(사건마스터!$AM$5:$AM$64,MATCH($F330,사건마스터!$A$5:$A$64,0)),""))</f>
        <v/>
      </c>
      <c r="Q330" s="35">
        <f>IF($F330="","",IFERROR(INDEX(사건마스터!$AN$5:$AN$64,MATCH($F330,사건마스터!$A$5:$A$64,0)),""))</f>
        <v/>
      </c>
      <c r="R330" s="35">
        <f>IF($F330="","",IFERROR(INDEX(사건마스터!$AO$5:$AO$64,MATCH($F330,사건마스터!$A$5:$A$64,0)),""))</f>
        <v/>
      </c>
      <c r="S330" s="35">
        <f>IF($F330="","",IFERROR(INDEX(사건마스터!$AP$5:$AP$64,MATCH($F330,사건마스터!$A$5:$A$64,0)),""))</f>
        <v/>
      </c>
      <c r="T330" s="35">
        <f>IF($F330="","",IFERROR(INDEX(사건마스터!$AQ$5:$AQ$64,MATCH($F330,사건마스터!$A$5:$A$64,0)),""))</f>
        <v/>
      </c>
      <c r="U330" s="35">
        <f>IF($F330="","",IFERROR(INDEX(사건마스터!$AR$5:$AR$64,MATCH($F330,사건마스터!$A$5:$A$64,0)),""))</f>
        <v/>
      </c>
      <c r="V330" s="35">
        <f>IF($F330="","",IFERROR(INDEX(사건마스터!$AS$5:$AS$64,MATCH($F330,사건마스터!$A$5:$A$64,0)),""))</f>
        <v/>
      </c>
      <c r="W330" s="35">
        <f>IF($F330="","",IFERROR(INDEX(사건마스터!$AT$5:$AT$64,MATCH($F330,사건마스터!$A$5:$A$64,0)),""))</f>
        <v/>
      </c>
      <c r="X330" s="35">
        <f>IF($F330="","",IFERROR(INDEX(사건마스터!$AU$5:$AU$64,MATCH($F330,사건마스터!$A$5:$A$64,0)),""))</f>
        <v/>
      </c>
      <c r="Y330" s="35">
        <f>IF($F330="","",IFERROR(INDEX(사건마스터!$AV$5:$AV$64,MATCH($F330,사건마스터!$A$5:$A$64,0)),""))</f>
        <v/>
      </c>
      <c r="Z330" s="30">
        <f>IF(COUNTBLANK($J330:$Y330)=16,"",16-COUNTBLANK($J330:$Y330))</f>
        <v/>
      </c>
      <c r="AA330" s="33">
        <f>IF($J330="",MID($AX330,3,255),$J330&amp;$AX330)</f>
        <v/>
      </c>
      <c r="AB330" s="34">
        <f>IF($J330="","",IFERROR(INDEX(코드설정!$D$5:$D$24,MATCH($J330,코드설정!$C$5:$C$24,0)),""))</f>
        <v/>
      </c>
      <c r="AC330" s="36" t="n"/>
      <c r="AD330" s="37" t="n"/>
      <c r="AE330" s="38" t="n"/>
      <c r="AF330" s="30">
        <f>IF(OR($B330="",$C330=""),"",$C330-$B330+1)</f>
        <v/>
      </c>
      <c r="AG330" s="32" t="n"/>
      <c r="AH330" s="36" t="n"/>
      <c r="AJ330">
        <f>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  <c r="AX330">
        <f>AW330&amp;IF($Y330="","",", "&amp;$Y330)</f>
        <v/>
      </c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0">
        <f>IF($F331="","",COUNTIF($F$5:$F331,$F331))</f>
        <v/>
      </c>
      <c r="H331" s="33">
        <f>IF($F331="","",IFERROR(INDEX(사건마스터!$B$5:$B$64,MATCH($F331,사건마스터!$A$5:$A$64,0)),""))</f>
        <v/>
      </c>
      <c r="I331" s="34">
        <f>IF($F331="","",IFERROR(INDEX(사건마스터!$C$5:$C$64,MATCH($F331,사건마스터!$A$5:$A$64,0)),""))</f>
        <v/>
      </c>
      <c r="J331" s="35">
        <f>IF($F331="","",IFERROR(INDEX(사건마스터!$H$5:$H$64,MATCH($F331,사건마스터!$A$5:$A$64,0)),""))</f>
        <v/>
      </c>
      <c r="K331" s="35">
        <f>IF($F331="","",IFERROR(INDEX(사건마스터!$AH$5:$AH$64,MATCH($F331,사건마스터!$A$5:$A$64,0)),""))</f>
        <v/>
      </c>
      <c r="L331" s="35">
        <f>IF($F331="","",IFERROR(INDEX(사건마스터!$AI$5:$AI$64,MATCH($F331,사건마스터!$A$5:$A$64,0)),""))</f>
        <v/>
      </c>
      <c r="M331" s="35">
        <f>IF($F331="","",IFERROR(INDEX(사건마스터!$AJ$5:$AJ$64,MATCH($F331,사건마스터!$A$5:$A$64,0)),""))</f>
        <v/>
      </c>
      <c r="N331" s="35">
        <f>IF($F331="","",IFERROR(INDEX(사건마스터!$AK$5:$AK$64,MATCH($F331,사건마스터!$A$5:$A$64,0)),""))</f>
        <v/>
      </c>
      <c r="O331" s="35">
        <f>IF($F331="","",IFERROR(INDEX(사건마스터!$AL$5:$AL$64,MATCH($F331,사건마스터!$A$5:$A$64,0)),""))</f>
        <v/>
      </c>
      <c r="P331" s="35">
        <f>IF($F331="","",IFERROR(INDEX(사건마스터!$AM$5:$AM$64,MATCH($F331,사건마스터!$A$5:$A$64,0)),""))</f>
        <v/>
      </c>
      <c r="Q331" s="35">
        <f>IF($F331="","",IFERROR(INDEX(사건마스터!$AN$5:$AN$64,MATCH($F331,사건마스터!$A$5:$A$64,0)),""))</f>
        <v/>
      </c>
      <c r="R331" s="35">
        <f>IF($F331="","",IFERROR(INDEX(사건마스터!$AO$5:$AO$64,MATCH($F331,사건마스터!$A$5:$A$64,0)),""))</f>
        <v/>
      </c>
      <c r="S331" s="35">
        <f>IF($F331="","",IFERROR(INDEX(사건마스터!$AP$5:$AP$64,MATCH($F331,사건마스터!$A$5:$A$64,0)),""))</f>
        <v/>
      </c>
      <c r="T331" s="35">
        <f>IF($F331="","",IFERROR(INDEX(사건마스터!$AQ$5:$AQ$64,MATCH($F331,사건마스터!$A$5:$A$64,0)),""))</f>
        <v/>
      </c>
      <c r="U331" s="35">
        <f>IF($F331="","",IFERROR(INDEX(사건마스터!$AR$5:$AR$64,MATCH($F331,사건마스터!$A$5:$A$64,0)),""))</f>
        <v/>
      </c>
      <c r="V331" s="35">
        <f>IF($F331="","",IFERROR(INDEX(사건마스터!$AS$5:$AS$64,MATCH($F331,사건마스터!$A$5:$A$64,0)),""))</f>
        <v/>
      </c>
      <c r="W331" s="35">
        <f>IF($F331="","",IFERROR(INDEX(사건마스터!$AT$5:$AT$64,MATCH($F331,사건마스터!$A$5:$A$64,0)),""))</f>
        <v/>
      </c>
      <c r="X331" s="35">
        <f>IF($F331="","",IFERROR(INDEX(사건마스터!$AU$5:$AU$64,MATCH($F331,사건마스터!$A$5:$A$64,0)),""))</f>
        <v/>
      </c>
      <c r="Y331" s="35">
        <f>IF($F331="","",IFERROR(INDEX(사건마스터!$AV$5:$AV$64,MATCH($F331,사건마스터!$A$5:$A$64,0)),""))</f>
        <v/>
      </c>
      <c r="Z331" s="30">
        <f>IF(COUNTBLANK($J331:$Y331)=16,"",16-COUNTBLANK($J331:$Y331))</f>
        <v/>
      </c>
      <c r="AA331" s="33">
        <f>IF($J331="",MID($AX331,3,255),$J331&amp;$AX331)</f>
        <v/>
      </c>
      <c r="AB331" s="34">
        <f>IF($J331="","",IFERROR(INDEX(코드설정!$D$5:$D$24,MATCH($J331,코드설정!$C$5:$C$24,0)),""))</f>
        <v/>
      </c>
      <c r="AC331" s="36" t="n"/>
      <c r="AD331" s="37" t="n"/>
      <c r="AE331" s="38" t="n"/>
      <c r="AF331" s="30">
        <f>IF(OR($B331="",$C331=""),"",$C331-$B331+1)</f>
        <v/>
      </c>
      <c r="AG331" s="32" t="n"/>
      <c r="AH331" s="36" t="n"/>
      <c r="AJ331">
        <f>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  <c r="AX331">
        <f>AW331&amp;IF($Y331="","",", "&amp;$Y331)</f>
        <v/>
      </c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0">
        <f>IF($F332="","",COUNTIF($F$5:$F332,$F332))</f>
        <v/>
      </c>
      <c r="H332" s="33">
        <f>IF($F332="","",IFERROR(INDEX(사건마스터!$B$5:$B$64,MATCH($F332,사건마스터!$A$5:$A$64,0)),""))</f>
        <v/>
      </c>
      <c r="I332" s="34">
        <f>IF($F332="","",IFERROR(INDEX(사건마스터!$C$5:$C$64,MATCH($F332,사건마스터!$A$5:$A$64,0)),""))</f>
        <v/>
      </c>
      <c r="J332" s="35">
        <f>IF($F332="","",IFERROR(INDEX(사건마스터!$H$5:$H$64,MATCH($F332,사건마스터!$A$5:$A$64,0)),""))</f>
        <v/>
      </c>
      <c r="K332" s="35">
        <f>IF($F332="","",IFERROR(INDEX(사건마스터!$AH$5:$AH$64,MATCH($F332,사건마스터!$A$5:$A$64,0)),""))</f>
        <v/>
      </c>
      <c r="L332" s="35">
        <f>IF($F332="","",IFERROR(INDEX(사건마스터!$AI$5:$AI$64,MATCH($F332,사건마스터!$A$5:$A$64,0)),""))</f>
        <v/>
      </c>
      <c r="M332" s="35">
        <f>IF($F332="","",IFERROR(INDEX(사건마스터!$AJ$5:$AJ$64,MATCH($F332,사건마스터!$A$5:$A$64,0)),""))</f>
        <v/>
      </c>
      <c r="N332" s="35">
        <f>IF($F332="","",IFERROR(INDEX(사건마스터!$AK$5:$AK$64,MATCH($F332,사건마스터!$A$5:$A$64,0)),""))</f>
        <v/>
      </c>
      <c r="O332" s="35">
        <f>IF($F332="","",IFERROR(INDEX(사건마스터!$AL$5:$AL$64,MATCH($F332,사건마스터!$A$5:$A$64,0)),""))</f>
        <v/>
      </c>
      <c r="P332" s="35">
        <f>IF($F332="","",IFERROR(INDEX(사건마스터!$AM$5:$AM$64,MATCH($F332,사건마스터!$A$5:$A$64,0)),""))</f>
        <v/>
      </c>
      <c r="Q332" s="35">
        <f>IF($F332="","",IFERROR(INDEX(사건마스터!$AN$5:$AN$64,MATCH($F332,사건마스터!$A$5:$A$64,0)),""))</f>
        <v/>
      </c>
      <c r="R332" s="35">
        <f>IF($F332="","",IFERROR(INDEX(사건마스터!$AO$5:$AO$64,MATCH($F332,사건마스터!$A$5:$A$64,0)),""))</f>
        <v/>
      </c>
      <c r="S332" s="35">
        <f>IF($F332="","",IFERROR(INDEX(사건마스터!$AP$5:$AP$64,MATCH($F332,사건마스터!$A$5:$A$64,0)),""))</f>
        <v/>
      </c>
      <c r="T332" s="35">
        <f>IF($F332="","",IFERROR(INDEX(사건마스터!$AQ$5:$AQ$64,MATCH($F332,사건마스터!$A$5:$A$64,0)),""))</f>
        <v/>
      </c>
      <c r="U332" s="35">
        <f>IF($F332="","",IFERROR(INDEX(사건마스터!$AR$5:$AR$64,MATCH($F332,사건마스터!$A$5:$A$64,0)),""))</f>
        <v/>
      </c>
      <c r="V332" s="35">
        <f>IF($F332="","",IFERROR(INDEX(사건마스터!$AS$5:$AS$64,MATCH($F332,사건마스터!$A$5:$A$64,0)),""))</f>
        <v/>
      </c>
      <c r="W332" s="35">
        <f>IF($F332="","",IFERROR(INDEX(사건마스터!$AT$5:$AT$64,MATCH($F332,사건마스터!$A$5:$A$64,0)),""))</f>
        <v/>
      </c>
      <c r="X332" s="35">
        <f>IF($F332="","",IFERROR(INDEX(사건마스터!$AU$5:$AU$64,MATCH($F332,사건마스터!$A$5:$A$64,0)),""))</f>
        <v/>
      </c>
      <c r="Y332" s="35">
        <f>IF($F332="","",IFERROR(INDEX(사건마스터!$AV$5:$AV$64,MATCH($F332,사건마스터!$A$5:$A$64,0)),""))</f>
        <v/>
      </c>
      <c r="Z332" s="30">
        <f>IF(COUNTBLANK($J332:$Y332)=16,"",16-COUNTBLANK($J332:$Y332))</f>
        <v/>
      </c>
      <c r="AA332" s="33">
        <f>IF($J332="",MID($AX332,3,255),$J332&amp;$AX332)</f>
        <v/>
      </c>
      <c r="AB332" s="34">
        <f>IF($J332="","",IFERROR(INDEX(코드설정!$D$5:$D$24,MATCH($J332,코드설정!$C$5:$C$24,0)),""))</f>
        <v/>
      </c>
      <c r="AC332" s="36" t="n"/>
      <c r="AD332" s="37" t="n"/>
      <c r="AE332" s="38" t="n"/>
      <c r="AF332" s="30">
        <f>IF(OR($B332="",$C332=""),"",$C332-$B332+1)</f>
        <v/>
      </c>
      <c r="AG332" s="32" t="n"/>
      <c r="AH332" s="36" t="n"/>
      <c r="AJ332">
        <f>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  <c r="AX332">
        <f>AW332&amp;IF($Y332="","",", "&amp;$Y332)</f>
        <v/>
      </c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0">
        <f>IF($F333="","",COUNTIF($F$5:$F333,$F333))</f>
        <v/>
      </c>
      <c r="H333" s="33">
        <f>IF($F333="","",IFERROR(INDEX(사건마스터!$B$5:$B$64,MATCH($F333,사건마스터!$A$5:$A$64,0)),""))</f>
        <v/>
      </c>
      <c r="I333" s="34">
        <f>IF($F333="","",IFERROR(INDEX(사건마스터!$C$5:$C$64,MATCH($F333,사건마스터!$A$5:$A$64,0)),""))</f>
        <v/>
      </c>
      <c r="J333" s="35">
        <f>IF($F333="","",IFERROR(INDEX(사건마스터!$H$5:$H$64,MATCH($F333,사건마스터!$A$5:$A$64,0)),""))</f>
        <v/>
      </c>
      <c r="K333" s="35">
        <f>IF($F333="","",IFERROR(INDEX(사건마스터!$AH$5:$AH$64,MATCH($F333,사건마스터!$A$5:$A$64,0)),""))</f>
        <v/>
      </c>
      <c r="L333" s="35">
        <f>IF($F333="","",IFERROR(INDEX(사건마스터!$AI$5:$AI$64,MATCH($F333,사건마스터!$A$5:$A$64,0)),""))</f>
        <v/>
      </c>
      <c r="M333" s="35">
        <f>IF($F333="","",IFERROR(INDEX(사건마스터!$AJ$5:$AJ$64,MATCH($F333,사건마스터!$A$5:$A$64,0)),""))</f>
        <v/>
      </c>
      <c r="N333" s="35">
        <f>IF($F333="","",IFERROR(INDEX(사건마스터!$AK$5:$AK$64,MATCH($F333,사건마스터!$A$5:$A$64,0)),""))</f>
        <v/>
      </c>
      <c r="O333" s="35">
        <f>IF($F333="","",IFERROR(INDEX(사건마스터!$AL$5:$AL$64,MATCH($F333,사건마스터!$A$5:$A$64,0)),""))</f>
        <v/>
      </c>
      <c r="P333" s="35">
        <f>IF($F333="","",IFERROR(INDEX(사건마스터!$AM$5:$AM$64,MATCH($F333,사건마스터!$A$5:$A$64,0)),""))</f>
        <v/>
      </c>
      <c r="Q333" s="35">
        <f>IF($F333="","",IFERROR(INDEX(사건마스터!$AN$5:$AN$64,MATCH($F333,사건마스터!$A$5:$A$64,0)),""))</f>
        <v/>
      </c>
      <c r="R333" s="35">
        <f>IF($F333="","",IFERROR(INDEX(사건마스터!$AO$5:$AO$64,MATCH($F333,사건마스터!$A$5:$A$64,0)),""))</f>
        <v/>
      </c>
      <c r="S333" s="35">
        <f>IF($F333="","",IFERROR(INDEX(사건마스터!$AP$5:$AP$64,MATCH($F333,사건마스터!$A$5:$A$64,0)),""))</f>
        <v/>
      </c>
      <c r="T333" s="35">
        <f>IF($F333="","",IFERROR(INDEX(사건마스터!$AQ$5:$AQ$64,MATCH($F333,사건마스터!$A$5:$A$64,0)),""))</f>
        <v/>
      </c>
      <c r="U333" s="35">
        <f>IF($F333="","",IFERROR(INDEX(사건마스터!$AR$5:$AR$64,MATCH($F333,사건마스터!$A$5:$A$64,0)),""))</f>
        <v/>
      </c>
      <c r="V333" s="35">
        <f>IF($F333="","",IFERROR(INDEX(사건마스터!$AS$5:$AS$64,MATCH($F333,사건마스터!$A$5:$A$64,0)),""))</f>
        <v/>
      </c>
      <c r="W333" s="35">
        <f>IF($F333="","",IFERROR(INDEX(사건마스터!$AT$5:$AT$64,MATCH($F333,사건마스터!$A$5:$A$64,0)),""))</f>
        <v/>
      </c>
      <c r="X333" s="35">
        <f>IF($F333="","",IFERROR(INDEX(사건마스터!$AU$5:$AU$64,MATCH($F333,사건마스터!$A$5:$A$64,0)),""))</f>
        <v/>
      </c>
      <c r="Y333" s="35">
        <f>IF($F333="","",IFERROR(INDEX(사건마스터!$AV$5:$AV$64,MATCH($F333,사건마스터!$A$5:$A$64,0)),""))</f>
        <v/>
      </c>
      <c r="Z333" s="30">
        <f>IF(COUNTBLANK($J333:$Y333)=16,"",16-COUNTBLANK($J333:$Y333))</f>
        <v/>
      </c>
      <c r="AA333" s="33">
        <f>IF($J333="",MID($AX333,3,255),$J333&amp;$AX333)</f>
        <v/>
      </c>
      <c r="AB333" s="34">
        <f>IF($J333="","",IFERROR(INDEX(코드설정!$D$5:$D$24,MATCH($J333,코드설정!$C$5:$C$24,0)),""))</f>
        <v/>
      </c>
      <c r="AC333" s="36" t="n"/>
      <c r="AD333" s="37" t="n"/>
      <c r="AE333" s="38" t="n"/>
      <c r="AF333" s="30">
        <f>IF(OR($B333="",$C333=""),"",$C333-$B333+1)</f>
        <v/>
      </c>
      <c r="AG333" s="32" t="n"/>
      <c r="AH333" s="36" t="n"/>
      <c r="AJ333">
        <f>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  <c r="AX333">
        <f>AW333&amp;IF($Y333="","",", "&amp;$Y333)</f>
        <v/>
      </c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0">
        <f>IF($F334="","",COUNTIF($F$5:$F334,$F334))</f>
        <v/>
      </c>
      <c r="H334" s="33">
        <f>IF($F334="","",IFERROR(INDEX(사건마스터!$B$5:$B$64,MATCH($F334,사건마스터!$A$5:$A$64,0)),""))</f>
        <v/>
      </c>
      <c r="I334" s="34">
        <f>IF($F334="","",IFERROR(INDEX(사건마스터!$C$5:$C$64,MATCH($F334,사건마스터!$A$5:$A$64,0)),""))</f>
        <v/>
      </c>
      <c r="J334" s="35">
        <f>IF($F334="","",IFERROR(INDEX(사건마스터!$H$5:$H$64,MATCH($F334,사건마스터!$A$5:$A$64,0)),""))</f>
        <v/>
      </c>
      <c r="K334" s="35">
        <f>IF($F334="","",IFERROR(INDEX(사건마스터!$AH$5:$AH$64,MATCH($F334,사건마스터!$A$5:$A$64,0)),""))</f>
        <v/>
      </c>
      <c r="L334" s="35">
        <f>IF($F334="","",IFERROR(INDEX(사건마스터!$AI$5:$AI$64,MATCH($F334,사건마스터!$A$5:$A$64,0)),""))</f>
        <v/>
      </c>
      <c r="M334" s="35">
        <f>IF($F334="","",IFERROR(INDEX(사건마스터!$AJ$5:$AJ$64,MATCH($F334,사건마스터!$A$5:$A$64,0)),""))</f>
        <v/>
      </c>
      <c r="N334" s="35">
        <f>IF($F334="","",IFERROR(INDEX(사건마스터!$AK$5:$AK$64,MATCH($F334,사건마스터!$A$5:$A$64,0)),""))</f>
        <v/>
      </c>
      <c r="O334" s="35">
        <f>IF($F334="","",IFERROR(INDEX(사건마스터!$AL$5:$AL$64,MATCH($F334,사건마스터!$A$5:$A$64,0)),""))</f>
        <v/>
      </c>
      <c r="P334" s="35">
        <f>IF($F334="","",IFERROR(INDEX(사건마스터!$AM$5:$AM$64,MATCH($F334,사건마스터!$A$5:$A$64,0)),""))</f>
        <v/>
      </c>
      <c r="Q334" s="35">
        <f>IF($F334="","",IFERROR(INDEX(사건마스터!$AN$5:$AN$64,MATCH($F334,사건마스터!$A$5:$A$64,0)),""))</f>
        <v/>
      </c>
      <c r="R334" s="35">
        <f>IF($F334="","",IFERROR(INDEX(사건마스터!$AO$5:$AO$64,MATCH($F334,사건마스터!$A$5:$A$64,0)),""))</f>
        <v/>
      </c>
      <c r="S334" s="35">
        <f>IF($F334="","",IFERROR(INDEX(사건마스터!$AP$5:$AP$64,MATCH($F334,사건마스터!$A$5:$A$64,0)),""))</f>
        <v/>
      </c>
      <c r="T334" s="35">
        <f>IF($F334="","",IFERROR(INDEX(사건마스터!$AQ$5:$AQ$64,MATCH($F334,사건마스터!$A$5:$A$64,0)),""))</f>
        <v/>
      </c>
      <c r="U334" s="35">
        <f>IF($F334="","",IFERROR(INDEX(사건마스터!$AR$5:$AR$64,MATCH($F334,사건마스터!$A$5:$A$64,0)),""))</f>
        <v/>
      </c>
      <c r="V334" s="35">
        <f>IF($F334="","",IFERROR(INDEX(사건마스터!$AS$5:$AS$64,MATCH($F334,사건마스터!$A$5:$A$64,0)),""))</f>
        <v/>
      </c>
      <c r="W334" s="35">
        <f>IF($F334="","",IFERROR(INDEX(사건마스터!$AT$5:$AT$64,MATCH($F334,사건마스터!$A$5:$A$64,0)),""))</f>
        <v/>
      </c>
      <c r="X334" s="35">
        <f>IF($F334="","",IFERROR(INDEX(사건마스터!$AU$5:$AU$64,MATCH($F334,사건마스터!$A$5:$A$64,0)),""))</f>
        <v/>
      </c>
      <c r="Y334" s="35">
        <f>IF($F334="","",IFERROR(INDEX(사건마스터!$AV$5:$AV$64,MATCH($F334,사건마스터!$A$5:$A$64,0)),""))</f>
        <v/>
      </c>
      <c r="Z334" s="30">
        <f>IF(COUNTBLANK($J334:$Y334)=16,"",16-COUNTBLANK($J334:$Y334))</f>
        <v/>
      </c>
      <c r="AA334" s="33">
        <f>IF($J334="",MID($AX334,3,255),$J334&amp;$AX334)</f>
        <v/>
      </c>
      <c r="AB334" s="34">
        <f>IF($J334="","",IFERROR(INDEX(코드설정!$D$5:$D$24,MATCH($J334,코드설정!$C$5:$C$24,0)),""))</f>
        <v/>
      </c>
      <c r="AC334" s="36" t="n"/>
      <c r="AD334" s="37" t="n"/>
      <c r="AE334" s="38" t="n"/>
      <c r="AF334" s="30">
        <f>IF(OR($B334="",$C334=""),"",$C334-$B334+1)</f>
        <v/>
      </c>
      <c r="AG334" s="32" t="n"/>
      <c r="AH334" s="36" t="n"/>
      <c r="AJ334">
        <f>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  <c r="AX334">
        <f>AW334&amp;IF($Y334="","",", "&amp;$Y334)</f>
        <v/>
      </c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0">
        <f>IF($F335="","",COUNTIF($F$5:$F335,$F335))</f>
        <v/>
      </c>
      <c r="H335" s="33">
        <f>IF($F335="","",IFERROR(INDEX(사건마스터!$B$5:$B$64,MATCH($F335,사건마스터!$A$5:$A$64,0)),""))</f>
        <v/>
      </c>
      <c r="I335" s="34">
        <f>IF($F335="","",IFERROR(INDEX(사건마스터!$C$5:$C$64,MATCH($F335,사건마스터!$A$5:$A$64,0)),""))</f>
        <v/>
      </c>
      <c r="J335" s="35">
        <f>IF($F335="","",IFERROR(INDEX(사건마스터!$H$5:$H$64,MATCH($F335,사건마스터!$A$5:$A$64,0)),""))</f>
        <v/>
      </c>
      <c r="K335" s="35">
        <f>IF($F335="","",IFERROR(INDEX(사건마스터!$AH$5:$AH$64,MATCH($F335,사건마스터!$A$5:$A$64,0)),""))</f>
        <v/>
      </c>
      <c r="L335" s="35">
        <f>IF($F335="","",IFERROR(INDEX(사건마스터!$AI$5:$AI$64,MATCH($F335,사건마스터!$A$5:$A$64,0)),""))</f>
        <v/>
      </c>
      <c r="M335" s="35">
        <f>IF($F335="","",IFERROR(INDEX(사건마스터!$AJ$5:$AJ$64,MATCH($F335,사건마스터!$A$5:$A$64,0)),""))</f>
        <v/>
      </c>
      <c r="N335" s="35">
        <f>IF($F335="","",IFERROR(INDEX(사건마스터!$AK$5:$AK$64,MATCH($F335,사건마스터!$A$5:$A$64,0)),""))</f>
        <v/>
      </c>
      <c r="O335" s="35">
        <f>IF($F335="","",IFERROR(INDEX(사건마스터!$AL$5:$AL$64,MATCH($F335,사건마스터!$A$5:$A$64,0)),""))</f>
        <v/>
      </c>
      <c r="P335" s="35">
        <f>IF($F335="","",IFERROR(INDEX(사건마스터!$AM$5:$AM$64,MATCH($F335,사건마스터!$A$5:$A$64,0)),""))</f>
        <v/>
      </c>
      <c r="Q335" s="35">
        <f>IF($F335="","",IFERROR(INDEX(사건마스터!$AN$5:$AN$64,MATCH($F335,사건마스터!$A$5:$A$64,0)),""))</f>
        <v/>
      </c>
      <c r="R335" s="35">
        <f>IF($F335="","",IFERROR(INDEX(사건마스터!$AO$5:$AO$64,MATCH($F335,사건마스터!$A$5:$A$64,0)),""))</f>
        <v/>
      </c>
      <c r="S335" s="35">
        <f>IF($F335="","",IFERROR(INDEX(사건마스터!$AP$5:$AP$64,MATCH($F335,사건마스터!$A$5:$A$64,0)),""))</f>
        <v/>
      </c>
      <c r="T335" s="35">
        <f>IF($F335="","",IFERROR(INDEX(사건마스터!$AQ$5:$AQ$64,MATCH($F335,사건마스터!$A$5:$A$64,0)),""))</f>
        <v/>
      </c>
      <c r="U335" s="35">
        <f>IF($F335="","",IFERROR(INDEX(사건마스터!$AR$5:$AR$64,MATCH($F335,사건마스터!$A$5:$A$64,0)),""))</f>
        <v/>
      </c>
      <c r="V335" s="35">
        <f>IF($F335="","",IFERROR(INDEX(사건마스터!$AS$5:$AS$64,MATCH($F335,사건마스터!$A$5:$A$64,0)),""))</f>
        <v/>
      </c>
      <c r="W335" s="35">
        <f>IF($F335="","",IFERROR(INDEX(사건마스터!$AT$5:$AT$64,MATCH($F335,사건마스터!$A$5:$A$64,0)),""))</f>
        <v/>
      </c>
      <c r="X335" s="35">
        <f>IF($F335="","",IFERROR(INDEX(사건마스터!$AU$5:$AU$64,MATCH($F335,사건마스터!$A$5:$A$64,0)),""))</f>
        <v/>
      </c>
      <c r="Y335" s="35">
        <f>IF($F335="","",IFERROR(INDEX(사건마스터!$AV$5:$AV$64,MATCH($F335,사건마스터!$A$5:$A$64,0)),""))</f>
        <v/>
      </c>
      <c r="Z335" s="30">
        <f>IF(COUNTBLANK($J335:$Y335)=16,"",16-COUNTBLANK($J335:$Y335))</f>
        <v/>
      </c>
      <c r="AA335" s="33">
        <f>IF($J335="",MID($AX335,3,255),$J335&amp;$AX335)</f>
        <v/>
      </c>
      <c r="AB335" s="34">
        <f>IF($J335="","",IFERROR(INDEX(코드설정!$D$5:$D$24,MATCH($J335,코드설정!$C$5:$C$24,0)),""))</f>
        <v/>
      </c>
      <c r="AC335" s="36" t="n"/>
      <c r="AD335" s="37" t="n"/>
      <c r="AE335" s="38" t="n"/>
      <c r="AF335" s="30">
        <f>IF(OR($B335="",$C335=""),"",$C335-$B335+1)</f>
        <v/>
      </c>
      <c r="AG335" s="32" t="n"/>
      <c r="AH335" s="36" t="n"/>
      <c r="AJ335">
        <f>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  <c r="AX335">
        <f>AW335&amp;IF($Y335="","",", "&amp;$Y335)</f>
        <v/>
      </c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0">
        <f>IF($F336="","",COUNTIF($F$5:$F336,$F336))</f>
        <v/>
      </c>
      <c r="H336" s="33">
        <f>IF($F336="","",IFERROR(INDEX(사건마스터!$B$5:$B$64,MATCH($F336,사건마스터!$A$5:$A$64,0)),""))</f>
        <v/>
      </c>
      <c r="I336" s="34">
        <f>IF($F336="","",IFERROR(INDEX(사건마스터!$C$5:$C$64,MATCH($F336,사건마스터!$A$5:$A$64,0)),""))</f>
        <v/>
      </c>
      <c r="J336" s="35">
        <f>IF($F336="","",IFERROR(INDEX(사건마스터!$H$5:$H$64,MATCH($F336,사건마스터!$A$5:$A$64,0)),""))</f>
        <v/>
      </c>
      <c r="K336" s="35">
        <f>IF($F336="","",IFERROR(INDEX(사건마스터!$AH$5:$AH$64,MATCH($F336,사건마스터!$A$5:$A$64,0)),""))</f>
        <v/>
      </c>
      <c r="L336" s="35">
        <f>IF($F336="","",IFERROR(INDEX(사건마스터!$AI$5:$AI$64,MATCH($F336,사건마스터!$A$5:$A$64,0)),""))</f>
        <v/>
      </c>
      <c r="M336" s="35">
        <f>IF($F336="","",IFERROR(INDEX(사건마스터!$AJ$5:$AJ$64,MATCH($F336,사건마스터!$A$5:$A$64,0)),""))</f>
        <v/>
      </c>
      <c r="N336" s="35">
        <f>IF($F336="","",IFERROR(INDEX(사건마스터!$AK$5:$AK$64,MATCH($F336,사건마스터!$A$5:$A$64,0)),""))</f>
        <v/>
      </c>
      <c r="O336" s="35">
        <f>IF($F336="","",IFERROR(INDEX(사건마스터!$AL$5:$AL$64,MATCH($F336,사건마스터!$A$5:$A$64,0)),""))</f>
        <v/>
      </c>
      <c r="P336" s="35">
        <f>IF($F336="","",IFERROR(INDEX(사건마스터!$AM$5:$AM$64,MATCH($F336,사건마스터!$A$5:$A$64,0)),""))</f>
        <v/>
      </c>
      <c r="Q336" s="35">
        <f>IF($F336="","",IFERROR(INDEX(사건마스터!$AN$5:$AN$64,MATCH($F336,사건마스터!$A$5:$A$64,0)),""))</f>
        <v/>
      </c>
      <c r="R336" s="35">
        <f>IF($F336="","",IFERROR(INDEX(사건마스터!$AO$5:$AO$64,MATCH($F336,사건마스터!$A$5:$A$64,0)),""))</f>
        <v/>
      </c>
      <c r="S336" s="35">
        <f>IF($F336="","",IFERROR(INDEX(사건마스터!$AP$5:$AP$64,MATCH($F336,사건마스터!$A$5:$A$64,0)),""))</f>
        <v/>
      </c>
      <c r="T336" s="35">
        <f>IF($F336="","",IFERROR(INDEX(사건마스터!$AQ$5:$AQ$64,MATCH($F336,사건마스터!$A$5:$A$64,0)),""))</f>
        <v/>
      </c>
      <c r="U336" s="35">
        <f>IF($F336="","",IFERROR(INDEX(사건마스터!$AR$5:$AR$64,MATCH($F336,사건마스터!$A$5:$A$64,0)),""))</f>
        <v/>
      </c>
      <c r="V336" s="35">
        <f>IF($F336="","",IFERROR(INDEX(사건마스터!$AS$5:$AS$64,MATCH($F336,사건마스터!$A$5:$A$64,0)),""))</f>
        <v/>
      </c>
      <c r="W336" s="35">
        <f>IF($F336="","",IFERROR(INDEX(사건마스터!$AT$5:$AT$64,MATCH($F336,사건마스터!$A$5:$A$64,0)),""))</f>
        <v/>
      </c>
      <c r="X336" s="35">
        <f>IF($F336="","",IFERROR(INDEX(사건마스터!$AU$5:$AU$64,MATCH($F336,사건마스터!$A$5:$A$64,0)),""))</f>
        <v/>
      </c>
      <c r="Y336" s="35">
        <f>IF($F336="","",IFERROR(INDEX(사건마스터!$AV$5:$AV$64,MATCH($F336,사건마스터!$A$5:$A$64,0)),""))</f>
        <v/>
      </c>
      <c r="Z336" s="30">
        <f>IF(COUNTBLANK($J336:$Y336)=16,"",16-COUNTBLANK($J336:$Y336))</f>
        <v/>
      </c>
      <c r="AA336" s="33">
        <f>IF($J336="",MID($AX336,3,255),$J336&amp;$AX336)</f>
        <v/>
      </c>
      <c r="AB336" s="34">
        <f>IF($J336="","",IFERROR(INDEX(코드설정!$D$5:$D$24,MATCH($J336,코드설정!$C$5:$C$24,0)),""))</f>
        <v/>
      </c>
      <c r="AC336" s="36" t="n"/>
      <c r="AD336" s="37" t="n"/>
      <c r="AE336" s="38" t="n"/>
      <c r="AF336" s="30">
        <f>IF(OR($B336="",$C336=""),"",$C336-$B336+1)</f>
        <v/>
      </c>
      <c r="AG336" s="32" t="n"/>
      <c r="AH336" s="36" t="n"/>
      <c r="AJ336">
        <f>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  <c r="AX336">
        <f>AW336&amp;IF($Y336="","",", "&amp;$Y336)</f>
        <v/>
      </c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0">
        <f>IF($F337="","",COUNTIF($F$5:$F337,$F337))</f>
        <v/>
      </c>
      <c r="H337" s="33">
        <f>IF($F337="","",IFERROR(INDEX(사건마스터!$B$5:$B$64,MATCH($F337,사건마스터!$A$5:$A$64,0)),""))</f>
        <v/>
      </c>
      <c r="I337" s="34">
        <f>IF($F337="","",IFERROR(INDEX(사건마스터!$C$5:$C$64,MATCH($F337,사건마스터!$A$5:$A$64,0)),""))</f>
        <v/>
      </c>
      <c r="J337" s="35">
        <f>IF($F337="","",IFERROR(INDEX(사건마스터!$H$5:$H$64,MATCH($F337,사건마스터!$A$5:$A$64,0)),""))</f>
        <v/>
      </c>
      <c r="K337" s="35">
        <f>IF($F337="","",IFERROR(INDEX(사건마스터!$AH$5:$AH$64,MATCH($F337,사건마스터!$A$5:$A$64,0)),""))</f>
        <v/>
      </c>
      <c r="L337" s="35">
        <f>IF($F337="","",IFERROR(INDEX(사건마스터!$AI$5:$AI$64,MATCH($F337,사건마스터!$A$5:$A$64,0)),""))</f>
        <v/>
      </c>
      <c r="M337" s="35">
        <f>IF($F337="","",IFERROR(INDEX(사건마스터!$AJ$5:$AJ$64,MATCH($F337,사건마스터!$A$5:$A$64,0)),""))</f>
        <v/>
      </c>
      <c r="N337" s="35">
        <f>IF($F337="","",IFERROR(INDEX(사건마스터!$AK$5:$AK$64,MATCH($F337,사건마스터!$A$5:$A$64,0)),""))</f>
        <v/>
      </c>
      <c r="O337" s="35">
        <f>IF($F337="","",IFERROR(INDEX(사건마스터!$AL$5:$AL$64,MATCH($F337,사건마스터!$A$5:$A$64,0)),""))</f>
        <v/>
      </c>
      <c r="P337" s="35">
        <f>IF($F337="","",IFERROR(INDEX(사건마스터!$AM$5:$AM$64,MATCH($F337,사건마스터!$A$5:$A$64,0)),""))</f>
        <v/>
      </c>
      <c r="Q337" s="35">
        <f>IF($F337="","",IFERROR(INDEX(사건마스터!$AN$5:$AN$64,MATCH($F337,사건마스터!$A$5:$A$64,0)),""))</f>
        <v/>
      </c>
      <c r="R337" s="35">
        <f>IF($F337="","",IFERROR(INDEX(사건마스터!$AO$5:$AO$64,MATCH($F337,사건마스터!$A$5:$A$64,0)),""))</f>
        <v/>
      </c>
      <c r="S337" s="35">
        <f>IF($F337="","",IFERROR(INDEX(사건마스터!$AP$5:$AP$64,MATCH($F337,사건마스터!$A$5:$A$64,0)),""))</f>
        <v/>
      </c>
      <c r="T337" s="35">
        <f>IF($F337="","",IFERROR(INDEX(사건마스터!$AQ$5:$AQ$64,MATCH($F337,사건마스터!$A$5:$A$64,0)),""))</f>
        <v/>
      </c>
      <c r="U337" s="35">
        <f>IF($F337="","",IFERROR(INDEX(사건마스터!$AR$5:$AR$64,MATCH($F337,사건마스터!$A$5:$A$64,0)),""))</f>
        <v/>
      </c>
      <c r="V337" s="35">
        <f>IF($F337="","",IFERROR(INDEX(사건마스터!$AS$5:$AS$64,MATCH($F337,사건마스터!$A$5:$A$64,0)),""))</f>
        <v/>
      </c>
      <c r="W337" s="35">
        <f>IF($F337="","",IFERROR(INDEX(사건마스터!$AT$5:$AT$64,MATCH($F337,사건마스터!$A$5:$A$64,0)),""))</f>
        <v/>
      </c>
      <c r="X337" s="35">
        <f>IF($F337="","",IFERROR(INDEX(사건마스터!$AU$5:$AU$64,MATCH($F337,사건마스터!$A$5:$A$64,0)),""))</f>
        <v/>
      </c>
      <c r="Y337" s="35">
        <f>IF($F337="","",IFERROR(INDEX(사건마스터!$AV$5:$AV$64,MATCH($F337,사건마스터!$A$5:$A$64,0)),""))</f>
        <v/>
      </c>
      <c r="Z337" s="30">
        <f>IF(COUNTBLANK($J337:$Y337)=16,"",16-COUNTBLANK($J337:$Y337))</f>
        <v/>
      </c>
      <c r="AA337" s="33">
        <f>IF($J337="",MID($AX337,3,255),$J337&amp;$AX337)</f>
        <v/>
      </c>
      <c r="AB337" s="34">
        <f>IF($J337="","",IFERROR(INDEX(코드설정!$D$5:$D$24,MATCH($J337,코드설정!$C$5:$C$24,0)),""))</f>
        <v/>
      </c>
      <c r="AC337" s="36" t="n"/>
      <c r="AD337" s="37" t="n"/>
      <c r="AE337" s="38" t="n"/>
      <c r="AF337" s="30">
        <f>IF(OR($B337="",$C337=""),"",$C337-$B337+1)</f>
        <v/>
      </c>
      <c r="AG337" s="32" t="n"/>
      <c r="AH337" s="36" t="n"/>
      <c r="AJ337">
        <f>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  <c r="AX337">
        <f>AW337&amp;IF($Y337="","",", "&amp;$Y337)</f>
        <v/>
      </c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0">
        <f>IF($F338="","",COUNTIF($F$5:$F338,$F338))</f>
        <v/>
      </c>
      <c r="H338" s="33">
        <f>IF($F338="","",IFERROR(INDEX(사건마스터!$B$5:$B$64,MATCH($F338,사건마스터!$A$5:$A$64,0)),""))</f>
        <v/>
      </c>
      <c r="I338" s="34">
        <f>IF($F338="","",IFERROR(INDEX(사건마스터!$C$5:$C$64,MATCH($F338,사건마스터!$A$5:$A$64,0)),""))</f>
        <v/>
      </c>
      <c r="J338" s="35">
        <f>IF($F338="","",IFERROR(INDEX(사건마스터!$H$5:$H$64,MATCH($F338,사건마스터!$A$5:$A$64,0)),""))</f>
        <v/>
      </c>
      <c r="K338" s="35">
        <f>IF($F338="","",IFERROR(INDEX(사건마스터!$AH$5:$AH$64,MATCH($F338,사건마스터!$A$5:$A$64,0)),""))</f>
        <v/>
      </c>
      <c r="L338" s="35">
        <f>IF($F338="","",IFERROR(INDEX(사건마스터!$AI$5:$AI$64,MATCH($F338,사건마스터!$A$5:$A$64,0)),""))</f>
        <v/>
      </c>
      <c r="M338" s="35">
        <f>IF($F338="","",IFERROR(INDEX(사건마스터!$AJ$5:$AJ$64,MATCH($F338,사건마스터!$A$5:$A$64,0)),""))</f>
        <v/>
      </c>
      <c r="N338" s="35">
        <f>IF($F338="","",IFERROR(INDEX(사건마스터!$AK$5:$AK$64,MATCH($F338,사건마스터!$A$5:$A$64,0)),""))</f>
        <v/>
      </c>
      <c r="O338" s="35">
        <f>IF($F338="","",IFERROR(INDEX(사건마스터!$AL$5:$AL$64,MATCH($F338,사건마스터!$A$5:$A$64,0)),""))</f>
        <v/>
      </c>
      <c r="P338" s="35">
        <f>IF($F338="","",IFERROR(INDEX(사건마스터!$AM$5:$AM$64,MATCH($F338,사건마스터!$A$5:$A$64,0)),""))</f>
        <v/>
      </c>
      <c r="Q338" s="35">
        <f>IF($F338="","",IFERROR(INDEX(사건마스터!$AN$5:$AN$64,MATCH($F338,사건마스터!$A$5:$A$64,0)),""))</f>
        <v/>
      </c>
      <c r="R338" s="35">
        <f>IF($F338="","",IFERROR(INDEX(사건마스터!$AO$5:$AO$64,MATCH($F338,사건마스터!$A$5:$A$64,0)),""))</f>
        <v/>
      </c>
      <c r="S338" s="35">
        <f>IF($F338="","",IFERROR(INDEX(사건마스터!$AP$5:$AP$64,MATCH($F338,사건마스터!$A$5:$A$64,0)),""))</f>
        <v/>
      </c>
      <c r="T338" s="35">
        <f>IF($F338="","",IFERROR(INDEX(사건마스터!$AQ$5:$AQ$64,MATCH($F338,사건마스터!$A$5:$A$64,0)),""))</f>
        <v/>
      </c>
      <c r="U338" s="35">
        <f>IF($F338="","",IFERROR(INDEX(사건마스터!$AR$5:$AR$64,MATCH($F338,사건마스터!$A$5:$A$64,0)),""))</f>
        <v/>
      </c>
      <c r="V338" s="35">
        <f>IF($F338="","",IFERROR(INDEX(사건마스터!$AS$5:$AS$64,MATCH($F338,사건마스터!$A$5:$A$64,0)),""))</f>
        <v/>
      </c>
      <c r="W338" s="35">
        <f>IF($F338="","",IFERROR(INDEX(사건마스터!$AT$5:$AT$64,MATCH($F338,사건마스터!$A$5:$A$64,0)),""))</f>
        <v/>
      </c>
      <c r="X338" s="35">
        <f>IF($F338="","",IFERROR(INDEX(사건마스터!$AU$5:$AU$64,MATCH($F338,사건마스터!$A$5:$A$64,0)),""))</f>
        <v/>
      </c>
      <c r="Y338" s="35">
        <f>IF($F338="","",IFERROR(INDEX(사건마스터!$AV$5:$AV$64,MATCH($F338,사건마스터!$A$5:$A$64,0)),""))</f>
        <v/>
      </c>
      <c r="Z338" s="30">
        <f>IF(COUNTBLANK($J338:$Y338)=16,"",16-COUNTBLANK($J338:$Y338))</f>
        <v/>
      </c>
      <c r="AA338" s="33">
        <f>IF($J338="",MID($AX338,3,255),$J338&amp;$AX338)</f>
        <v/>
      </c>
      <c r="AB338" s="34">
        <f>IF($J338="","",IFERROR(INDEX(코드설정!$D$5:$D$24,MATCH($J338,코드설정!$C$5:$C$24,0)),""))</f>
        <v/>
      </c>
      <c r="AC338" s="36" t="n"/>
      <c r="AD338" s="37" t="n"/>
      <c r="AE338" s="38" t="n"/>
      <c r="AF338" s="30">
        <f>IF(OR($B338="",$C338=""),"",$C338-$B338+1)</f>
        <v/>
      </c>
      <c r="AG338" s="32" t="n"/>
      <c r="AH338" s="36" t="n"/>
      <c r="AJ338">
        <f>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  <c r="AX338">
        <f>AW338&amp;IF($Y338="","",", "&amp;$Y338)</f>
        <v/>
      </c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0">
        <f>IF($F339="","",COUNTIF($F$5:$F339,$F339))</f>
        <v/>
      </c>
      <c r="H339" s="33">
        <f>IF($F339="","",IFERROR(INDEX(사건마스터!$B$5:$B$64,MATCH($F339,사건마스터!$A$5:$A$64,0)),""))</f>
        <v/>
      </c>
      <c r="I339" s="34">
        <f>IF($F339="","",IFERROR(INDEX(사건마스터!$C$5:$C$64,MATCH($F339,사건마스터!$A$5:$A$64,0)),""))</f>
        <v/>
      </c>
      <c r="J339" s="35">
        <f>IF($F339="","",IFERROR(INDEX(사건마스터!$H$5:$H$64,MATCH($F339,사건마스터!$A$5:$A$64,0)),""))</f>
        <v/>
      </c>
      <c r="K339" s="35">
        <f>IF($F339="","",IFERROR(INDEX(사건마스터!$AH$5:$AH$64,MATCH($F339,사건마스터!$A$5:$A$64,0)),""))</f>
        <v/>
      </c>
      <c r="L339" s="35">
        <f>IF($F339="","",IFERROR(INDEX(사건마스터!$AI$5:$AI$64,MATCH($F339,사건마스터!$A$5:$A$64,0)),""))</f>
        <v/>
      </c>
      <c r="M339" s="35">
        <f>IF($F339="","",IFERROR(INDEX(사건마스터!$AJ$5:$AJ$64,MATCH($F339,사건마스터!$A$5:$A$64,0)),""))</f>
        <v/>
      </c>
      <c r="N339" s="35">
        <f>IF($F339="","",IFERROR(INDEX(사건마스터!$AK$5:$AK$64,MATCH($F339,사건마스터!$A$5:$A$64,0)),""))</f>
        <v/>
      </c>
      <c r="O339" s="35">
        <f>IF($F339="","",IFERROR(INDEX(사건마스터!$AL$5:$AL$64,MATCH($F339,사건마스터!$A$5:$A$64,0)),""))</f>
        <v/>
      </c>
      <c r="P339" s="35">
        <f>IF($F339="","",IFERROR(INDEX(사건마스터!$AM$5:$AM$64,MATCH($F339,사건마스터!$A$5:$A$64,0)),""))</f>
        <v/>
      </c>
      <c r="Q339" s="35">
        <f>IF($F339="","",IFERROR(INDEX(사건마스터!$AN$5:$AN$64,MATCH($F339,사건마스터!$A$5:$A$64,0)),""))</f>
        <v/>
      </c>
      <c r="R339" s="35">
        <f>IF($F339="","",IFERROR(INDEX(사건마스터!$AO$5:$AO$64,MATCH($F339,사건마스터!$A$5:$A$64,0)),""))</f>
        <v/>
      </c>
      <c r="S339" s="35">
        <f>IF($F339="","",IFERROR(INDEX(사건마스터!$AP$5:$AP$64,MATCH($F339,사건마스터!$A$5:$A$64,0)),""))</f>
        <v/>
      </c>
      <c r="T339" s="35">
        <f>IF($F339="","",IFERROR(INDEX(사건마스터!$AQ$5:$AQ$64,MATCH($F339,사건마스터!$A$5:$A$64,0)),""))</f>
        <v/>
      </c>
      <c r="U339" s="35">
        <f>IF($F339="","",IFERROR(INDEX(사건마스터!$AR$5:$AR$64,MATCH($F339,사건마스터!$A$5:$A$64,0)),""))</f>
        <v/>
      </c>
      <c r="V339" s="35">
        <f>IF($F339="","",IFERROR(INDEX(사건마스터!$AS$5:$AS$64,MATCH($F339,사건마스터!$A$5:$A$64,0)),""))</f>
        <v/>
      </c>
      <c r="W339" s="35">
        <f>IF($F339="","",IFERROR(INDEX(사건마스터!$AT$5:$AT$64,MATCH($F339,사건마스터!$A$5:$A$64,0)),""))</f>
        <v/>
      </c>
      <c r="X339" s="35">
        <f>IF($F339="","",IFERROR(INDEX(사건마스터!$AU$5:$AU$64,MATCH($F339,사건마스터!$A$5:$A$64,0)),""))</f>
        <v/>
      </c>
      <c r="Y339" s="35">
        <f>IF($F339="","",IFERROR(INDEX(사건마스터!$AV$5:$AV$64,MATCH($F339,사건마스터!$A$5:$A$64,0)),""))</f>
        <v/>
      </c>
      <c r="Z339" s="30">
        <f>IF(COUNTBLANK($J339:$Y339)=16,"",16-COUNTBLANK($J339:$Y339))</f>
        <v/>
      </c>
      <c r="AA339" s="33">
        <f>IF($J339="",MID($AX339,3,255),$J339&amp;$AX339)</f>
        <v/>
      </c>
      <c r="AB339" s="34">
        <f>IF($J339="","",IFERROR(INDEX(코드설정!$D$5:$D$24,MATCH($J339,코드설정!$C$5:$C$24,0)),""))</f>
        <v/>
      </c>
      <c r="AC339" s="36" t="n"/>
      <c r="AD339" s="37" t="n"/>
      <c r="AE339" s="38" t="n"/>
      <c r="AF339" s="30">
        <f>IF(OR($B339="",$C339=""),"",$C339-$B339+1)</f>
        <v/>
      </c>
      <c r="AG339" s="32" t="n"/>
      <c r="AH339" s="36" t="n"/>
      <c r="AJ339">
        <f>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  <c r="AX339">
        <f>AW339&amp;IF($Y339="","",", "&amp;$Y339)</f>
        <v/>
      </c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0">
        <f>IF($F340="","",COUNTIF($F$5:$F340,$F340))</f>
        <v/>
      </c>
      <c r="H340" s="33">
        <f>IF($F340="","",IFERROR(INDEX(사건마스터!$B$5:$B$64,MATCH($F340,사건마스터!$A$5:$A$64,0)),""))</f>
        <v/>
      </c>
      <c r="I340" s="34">
        <f>IF($F340="","",IFERROR(INDEX(사건마스터!$C$5:$C$64,MATCH($F340,사건마스터!$A$5:$A$64,0)),""))</f>
        <v/>
      </c>
      <c r="J340" s="35">
        <f>IF($F340="","",IFERROR(INDEX(사건마스터!$H$5:$H$64,MATCH($F340,사건마스터!$A$5:$A$64,0)),""))</f>
        <v/>
      </c>
      <c r="K340" s="35">
        <f>IF($F340="","",IFERROR(INDEX(사건마스터!$AH$5:$AH$64,MATCH($F340,사건마스터!$A$5:$A$64,0)),""))</f>
        <v/>
      </c>
      <c r="L340" s="35">
        <f>IF($F340="","",IFERROR(INDEX(사건마스터!$AI$5:$AI$64,MATCH($F340,사건마스터!$A$5:$A$64,0)),""))</f>
        <v/>
      </c>
      <c r="M340" s="35">
        <f>IF($F340="","",IFERROR(INDEX(사건마스터!$AJ$5:$AJ$64,MATCH($F340,사건마스터!$A$5:$A$64,0)),""))</f>
        <v/>
      </c>
      <c r="N340" s="35">
        <f>IF($F340="","",IFERROR(INDEX(사건마스터!$AK$5:$AK$64,MATCH($F340,사건마스터!$A$5:$A$64,0)),""))</f>
        <v/>
      </c>
      <c r="O340" s="35">
        <f>IF($F340="","",IFERROR(INDEX(사건마스터!$AL$5:$AL$64,MATCH($F340,사건마스터!$A$5:$A$64,0)),""))</f>
        <v/>
      </c>
      <c r="P340" s="35">
        <f>IF($F340="","",IFERROR(INDEX(사건마스터!$AM$5:$AM$64,MATCH($F340,사건마스터!$A$5:$A$64,0)),""))</f>
        <v/>
      </c>
      <c r="Q340" s="35">
        <f>IF($F340="","",IFERROR(INDEX(사건마스터!$AN$5:$AN$64,MATCH($F340,사건마스터!$A$5:$A$64,0)),""))</f>
        <v/>
      </c>
      <c r="R340" s="35">
        <f>IF($F340="","",IFERROR(INDEX(사건마스터!$AO$5:$AO$64,MATCH($F340,사건마스터!$A$5:$A$64,0)),""))</f>
        <v/>
      </c>
      <c r="S340" s="35">
        <f>IF($F340="","",IFERROR(INDEX(사건마스터!$AP$5:$AP$64,MATCH($F340,사건마스터!$A$5:$A$64,0)),""))</f>
        <v/>
      </c>
      <c r="T340" s="35">
        <f>IF($F340="","",IFERROR(INDEX(사건마스터!$AQ$5:$AQ$64,MATCH($F340,사건마스터!$A$5:$A$64,0)),""))</f>
        <v/>
      </c>
      <c r="U340" s="35">
        <f>IF($F340="","",IFERROR(INDEX(사건마스터!$AR$5:$AR$64,MATCH($F340,사건마스터!$A$5:$A$64,0)),""))</f>
        <v/>
      </c>
      <c r="V340" s="35">
        <f>IF($F340="","",IFERROR(INDEX(사건마스터!$AS$5:$AS$64,MATCH($F340,사건마스터!$A$5:$A$64,0)),""))</f>
        <v/>
      </c>
      <c r="W340" s="35">
        <f>IF($F340="","",IFERROR(INDEX(사건마스터!$AT$5:$AT$64,MATCH($F340,사건마스터!$A$5:$A$64,0)),""))</f>
        <v/>
      </c>
      <c r="X340" s="35">
        <f>IF($F340="","",IFERROR(INDEX(사건마스터!$AU$5:$AU$64,MATCH($F340,사건마스터!$A$5:$A$64,0)),""))</f>
        <v/>
      </c>
      <c r="Y340" s="35">
        <f>IF($F340="","",IFERROR(INDEX(사건마스터!$AV$5:$AV$64,MATCH($F340,사건마스터!$A$5:$A$64,0)),""))</f>
        <v/>
      </c>
      <c r="Z340" s="30">
        <f>IF(COUNTBLANK($J340:$Y340)=16,"",16-COUNTBLANK($J340:$Y340))</f>
        <v/>
      </c>
      <c r="AA340" s="33">
        <f>IF($J340="",MID($AX340,3,255),$J340&amp;$AX340)</f>
        <v/>
      </c>
      <c r="AB340" s="34">
        <f>IF($J340="","",IFERROR(INDEX(코드설정!$D$5:$D$24,MATCH($J340,코드설정!$C$5:$C$24,0)),""))</f>
        <v/>
      </c>
      <c r="AC340" s="36" t="n"/>
      <c r="AD340" s="37" t="n"/>
      <c r="AE340" s="38" t="n"/>
      <c r="AF340" s="30">
        <f>IF(OR($B340="",$C340=""),"",$C340-$B340+1)</f>
        <v/>
      </c>
      <c r="AG340" s="32" t="n"/>
      <c r="AH340" s="36" t="n"/>
      <c r="AJ340">
        <f>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  <c r="AX340">
        <f>AW340&amp;IF($Y340="","",", "&amp;$Y340)</f>
        <v/>
      </c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0">
        <f>IF($F341="","",COUNTIF($F$5:$F341,$F341))</f>
        <v/>
      </c>
      <c r="H341" s="33">
        <f>IF($F341="","",IFERROR(INDEX(사건마스터!$B$5:$B$64,MATCH($F341,사건마스터!$A$5:$A$64,0)),""))</f>
        <v/>
      </c>
      <c r="I341" s="34">
        <f>IF($F341="","",IFERROR(INDEX(사건마스터!$C$5:$C$64,MATCH($F341,사건마스터!$A$5:$A$64,0)),""))</f>
        <v/>
      </c>
      <c r="J341" s="35">
        <f>IF($F341="","",IFERROR(INDEX(사건마스터!$H$5:$H$64,MATCH($F341,사건마스터!$A$5:$A$64,0)),""))</f>
        <v/>
      </c>
      <c r="K341" s="35">
        <f>IF($F341="","",IFERROR(INDEX(사건마스터!$AH$5:$AH$64,MATCH($F341,사건마스터!$A$5:$A$64,0)),""))</f>
        <v/>
      </c>
      <c r="L341" s="35">
        <f>IF($F341="","",IFERROR(INDEX(사건마스터!$AI$5:$AI$64,MATCH($F341,사건마스터!$A$5:$A$64,0)),""))</f>
        <v/>
      </c>
      <c r="M341" s="35">
        <f>IF($F341="","",IFERROR(INDEX(사건마스터!$AJ$5:$AJ$64,MATCH($F341,사건마스터!$A$5:$A$64,0)),""))</f>
        <v/>
      </c>
      <c r="N341" s="35">
        <f>IF($F341="","",IFERROR(INDEX(사건마스터!$AK$5:$AK$64,MATCH($F341,사건마스터!$A$5:$A$64,0)),""))</f>
        <v/>
      </c>
      <c r="O341" s="35">
        <f>IF($F341="","",IFERROR(INDEX(사건마스터!$AL$5:$AL$64,MATCH($F341,사건마스터!$A$5:$A$64,0)),""))</f>
        <v/>
      </c>
      <c r="P341" s="35">
        <f>IF($F341="","",IFERROR(INDEX(사건마스터!$AM$5:$AM$64,MATCH($F341,사건마스터!$A$5:$A$64,0)),""))</f>
        <v/>
      </c>
      <c r="Q341" s="35">
        <f>IF($F341="","",IFERROR(INDEX(사건마스터!$AN$5:$AN$64,MATCH($F341,사건마스터!$A$5:$A$64,0)),""))</f>
        <v/>
      </c>
      <c r="R341" s="35">
        <f>IF($F341="","",IFERROR(INDEX(사건마스터!$AO$5:$AO$64,MATCH($F341,사건마스터!$A$5:$A$64,0)),""))</f>
        <v/>
      </c>
      <c r="S341" s="35">
        <f>IF($F341="","",IFERROR(INDEX(사건마스터!$AP$5:$AP$64,MATCH($F341,사건마스터!$A$5:$A$64,0)),""))</f>
        <v/>
      </c>
      <c r="T341" s="35">
        <f>IF($F341="","",IFERROR(INDEX(사건마스터!$AQ$5:$AQ$64,MATCH($F341,사건마스터!$A$5:$A$64,0)),""))</f>
        <v/>
      </c>
      <c r="U341" s="35">
        <f>IF($F341="","",IFERROR(INDEX(사건마스터!$AR$5:$AR$64,MATCH($F341,사건마스터!$A$5:$A$64,0)),""))</f>
        <v/>
      </c>
      <c r="V341" s="35">
        <f>IF($F341="","",IFERROR(INDEX(사건마스터!$AS$5:$AS$64,MATCH($F341,사건마스터!$A$5:$A$64,0)),""))</f>
        <v/>
      </c>
      <c r="W341" s="35">
        <f>IF($F341="","",IFERROR(INDEX(사건마스터!$AT$5:$AT$64,MATCH($F341,사건마스터!$A$5:$A$64,0)),""))</f>
        <v/>
      </c>
      <c r="X341" s="35">
        <f>IF($F341="","",IFERROR(INDEX(사건마스터!$AU$5:$AU$64,MATCH($F341,사건마스터!$A$5:$A$64,0)),""))</f>
        <v/>
      </c>
      <c r="Y341" s="35">
        <f>IF($F341="","",IFERROR(INDEX(사건마스터!$AV$5:$AV$64,MATCH($F341,사건마스터!$A$5:$A$64,0)),""))</f>
        <v/>
      </c>
      <c r="Z341" s="30">
        <f>IF(COUNTBLANK($J341:$Y341)=16,"",16-COUNTBLANK($J341:$Y341))</f>
        <v/>
      </c>
      <c r="AA341" s="33">
        <f>IF($J341="",MID($AX341,3,255),$J341&amp;$AX341)</f>
        <v/>
      </c>
      <c r="AB341" s="34">
        <f>IF($J341="","",IFERROR(INDEX(코드설정!$D$5:$D$24,MATCH($J341,코드설정!$C$5:$C$24,0)),""))</f>
        <v/>
      </c>
      <c r="AC341" s="36" t="n"/>
      <c r="AD341" s="37" t="n"/>
      <c r="AE341" s="38" t="n"/>
      <c r="AF341" s="30">
        <f>IF(OR($B341="",$C341=""),"",$C341-$B341+1)</f>
        <v/>
      </c>
      <c r="AG341" s="32" t="n"/>
      <c r="AH341" s="36" t="n"/>
      <c r="AJ341">
        <f>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  <c r="AX341">
        <f>AW341&amp;IF($Y341="","",", "&amp;$Y341)</f>
        <v/>
      </c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0">
        <f>IF($F342="","",COUNTIF($F$5:$F342,$F342))</f>
        <v/>
      </c>
      <c r="H342" s="33">
        <f>IF($F342="","",IFERROR(INDEX(사건마스터!$B$5:$B$64,MATCH($F342,사건마스터!$A$5:$A$64,0)),""))</f>
        <v/>
      </c>
      <c r="I342" s="34">
        <f>IF($F342="","",IFERROR(INDEX(사건마스터!$C$5:$C$64,MATCH($F342,사건마스터!$A$5:$A$64,0)),""))</f>
        <v/>
      </c>
      <c r="J342" s="35">
        <f>IF($F342="","",IFERROR(INDEX(사건마스터!$H$5:$H$64,MATCH($F342,사건마스터!$A$5:$A$64,0)),""))</f>
        <v/>
      </c>
      <c r="K342" s="35">
        <f>IF($F342="","",IFERROR(INDEX(사건마스터!$AH$5:$AH$64,MATCH($F342,사건마스터!$A$5:$A$64,0)),""))</f>
        <v/>
      </c>
      <c r="L342" s="35">
        <f>IF($F342="","",IFERROR(INDEX(사건마스터!$AI$5:$AI$64,MATCH($F342,사건마스터!$A$5:$A$64,0)),""))</f>
        <v/>
      </c>
      <c r="M342" s="35">
        <f>IF($F342="","",IFERROR(INDEX(사건마스터!$AJ$5:$AJ$64,MATCH($F342,사건마스터!$A$5:$A$64,0)),""))</f>
        <v/>
      </c>
      <c r="N342" s="35">
        <f>IF($F342="","",IFERROR(INDEX(사건마스터!$AK$5:$AK$64,MATCH($F342,사건마스터!$A$5:$A$64,0)),""))</f>
        <v/>
      </c>
      <c r="O342" s="35">
        <f>IF($F342="","",IFERROR(INDEX(사건마스터!$AL$5:$AL$64,MATCH($F342,사건마스터!$A$5:$A$64,0)),""))</f>
        <v/>
      </c>
      <c r="P342" s="35">
        <f>IF($F342="","",IFERROR(INDEX(사건마스터!$AM$5:$AM$64,MATCH($F342,사건마스터!$A$5:$A$64,0)),""))</f>
        <v/>
      </c>
      <c r="Q342" s="35">
        <f>IF($F342="","",IFERROR(INDEX(사건마스터!$AN$5:$AN$64,MATCH($F342,사건마스터!$A$5:$A$64,0)),""))</f>
        <v/>
      </c>
      <c r="R342" s="35">
        <f>IF($F342="","",IFERROR(INDEX(사건마스터!$AO$5:$AO$64,MATCH($F342,사건마스터!$A$5:$A$64,0)),""))</f>
        <v/>
      </c>
      <c r="S342" s="35">
        <f>IF($F342="","",IFERROR(INDEX(사건마스터!$AP$5:$AP$64,MATCH($F342,사건마스터!$A$5:$A$64,0)),""))</f>
        <v/>
      </c>
      <c r="T342" s="35">
        <f>IF($F342="","",IFERROR(INDEX(사건마스터!$AQ$5:$AQ$64,MATCH($F342,사건마스터!$A$5:$A$64,0)),""))</f>
        <v/>
      </c>
      <c r="U342" s="35">
        <f>IF($F342="","",IFERROR(INDEX(사건마스터!$AR$5:$AR$64,MATCH($F342,사건마스터!$A$5:$A$64,0)),""))</f>
        <v/>
      </c>
      <c r="V342" s="35">
        <f>IF($F342="","",IFERROR(INDEX(사건마스터!$AS$5:$AS$64,MATCH($F342,사건마스터!$A$5:$A$64,0)),""))</f>
        <v/>
      </c>
      <c r="W342" s="35">
        <f>IF($F342="","",IFERROR(INDEX(사건마스터!$AT$5:$AT$64,MATCH($F342,사건마스터!$A$5:$A$64,0)),""))</f>
        <v/>
      </c>
      <c r="X342" s="35">
        <f>IF($F342="","",IFERROR(INDEX(사건마스터!$AU$5:$AU$64,MATCH($F342,사건마스터!$A$5:$A$64,0)),""))</f>
        <v/>
      </c>
      <c r="Y342" s="35">
        <f>IF($F342="","",IFERROR(INDEX(사건마스터!$AV$5:$AV$64,MATCH($F342,사건마스터!$A$5:$A$64,0)),""))</f>
        <v/>
      </c>
      <c r="Z342" s="30">
        <f>IF(COUNTBLANK($J342:$Y342)=16,"",16-COUNTBLANK($J342:$Y342))</f>
        <v/>
      </c>
      <c r="AA342" s="33">
        <f>IF($J342="",MID($AX342,3,255),$J342&amp;$AX342)</f>
        <v/>
      </c>
      <c r="AB342" s="34">
        <f>IF($J342="","",IFERROR(INDEX(코드설정!$D$5:$D$24,MATCH($J342,코드설정!$C$5:$C$24,0)),""))</f>
        <v/>
      </c>
      <c r="AC342" s="36" t="n"/>
      <c r="AD342" s="37" t="n"/>
      <c r="AE342" s="38" t="n"/>
      <c r="AF342" s="30">
        <f>IF(OR($B342="",$C342=""),"",$C342-$B342+1)</f>
        <v/>
      </c>
      <c r="AG342" s="32" t="n"/>
      <c r="AH342" s="36" t="n"/>
      <c r="AJ342">
        <f>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  <c r="AX342">
        <f>AW342&amp;IF($Y342="","",", "&amp;$Y342)</f>
        <v/>
      </c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0">
        <f>IF($F343="","",COUNTIF($F$5:$F343,$F343))</f>
        <v/>
      </c>
      <c r="H343" s="33">
        <f>IF($F343="","",IFERROR(INDEX(사건마스터!$B$5:$B$64,MATCH($F343,사건마스터!$A$5:$A$64,0)),""))</f>
        <v/>
      </c>
      <c r="I343" s="34">
        <f>IF($F343="","",IFERROR(INDEX(사건마스터!$C$5:$C$64,MATCH($F343,사건마스터!$A$5:$A$64,0)),""))</f>
        <v/>
      </c>
      <c r="J343" s="35">
        <f>IF($F343="","",IFERROR(INDEX(사건마스터!$H$5:$H$64,MATCH($F343,사건마스터!$A$5:$A$64,0)),""))</f>
        <v/>
      </c>
      <c r="K343" s="35">
        <f>IF($F343="","",IFERROR(INDEX(사건마스터!$AH$5:$AH$64,MATCH($F343,사건마스터!$A$5:$A$64,0)),""))</f>
        <v/>
      </c>
      <c r="L343" s="35">
        <f>IF($F343="","",IFERROR(INDEX(사건마스터!$AI$5:$AI$64,MATCH($F343,사건마스터!$A$5:$A$64,0)),""))</f>
        <v/>
      </c>
      <c r="M343" s="35">
        <f>IF($F343="","",IFERROR(INDEX(사건마스터!$AJ$5:$AJ$64,MATCH($F343,사건마스터!$A$5:$A$64,0)),""))</f>
        <v/>
      </c>
      <c r="N343" s="35">
        <f>IF($F343="","",IFERROR(INDEX(사건마스터!$AK$5:$AK$64,MATCH($F343,사건마스터!$A$5:$A$64,0)),""))</f>
        <v/>
      </c>
      <c r="O343" s="35">
        <f>IF($F343="","",IFERROR(INDEX(사건마스터!$AL$5:$AL$64,MATCH($F343,사건마스터!$A$5:$A$64,0)),""))</f>
        <v/>
      </c>
      <c r="P343" s="35">
        <f>IF($F343="","",IFERROR(INDEX(사건마스터!$AM$5:$AM$64,MATCH($F343,사건마스터!$A$5:$A$64,0)),""))</f>
        <v/>
      </c>
      <c r="Q343" s="35">
        <f>IF($F343="","",IFERROR(INDEX(사건마스터!$AN$5:$AN$64,MATCH($F343,사건마스터!$A$5:$A$64,0)),""))</f>
        <v/>
      </c>
      <c r="R343" s="35">
        <f>IF($F343="","",IFERROR(INDEX(사건마스터!$AO$5:$AO$64,MATCH($F343,사건마스터!$A$5:$A$64,0)),""))</f>
        <v/>
      </c>
      <c r="S343" s="35">
        <f>IF($F343="","",IFERROR(INDEX(사건마스터!$AP$5:$AP$64,MATCH($F343,사건마스터!$A$5:$A$64,0)),""))</f>
        <v/>
      </c>
      <c r="T343" s="35">
        <f>IF($F343="","",IFERROR(INDEX(사건마스터!$AQ$5:$AQ$64,MATCH($F343,사건마스터!$A$5:$A$64,0)),""))</f>
        <v/>
      </c>
      <c r="U343" s="35">
        <f>IF($F343="","",IFERROR(INDEX(사건마스터!$AR$5:$AR$64,MATCH($F343,사건마스터!$A$5:$A$64,0)),""))</f>
        <v/>
      </c>
      <c r="V343" s="35">
        <f>IF($F343="","",IFERROR(INDEX(사건마스터!$AS$5:$AS$64,MATCH($F343,사건마스터!$A$5:$A$64,0)),""))</f>
        <v/>
      </c>
      <c r="W343" s="35">
        <f>IF($F343="","",IFERROR(INDEX(사건마스터!$AT$5:$AT$64,MATCH($F343,사건마스터!$A$5:$A$64,0)),""))</f>
        <v/>
      </c>
      <c r="X343" s="35">
        <f>IF($F343="","",IFERROR(INDEX(사건마스터!$AU$5:$AU$64,MATCH($F343,사건마스터!$A$5:$A$64,0)),""))</f>
        <v/>
      </c>
      <c r="Y343" s="35">
        <f>IF($F343="","",IFERROR(INDEX(사건마스터!$AV$5:$AV$64,MATCH($F343,사건마스터!$A$5:$A$64,0)),""))</f>
        <v/>
      </c>
      <c r="Z343" s="30">
        <f>IF(COUNTBLANK($J343:$Y343)=16,"",16-COUNTBLANK($J343:$Y343))</f>
        <v/>
      </c>
      <c r="AA343" s="33">
        <f>IF($J343="",MID($AX343,3,255),$J343&amp;$AX343)</f>
        <v/>
      </c>
      <c r="AB343" s="34">
        <f>IF($J343="","",IFERROR(INDEX(코드설정!$D$5:$D$24,MATCH($J343,코드설정!$C$5:$C$24,0)),""))</f>
        <v/>
      </c>
      <c r="AC343" s="36" t="n"/>
      <c r="AD343" s="37" t="n"/>
      <c r="AE343" s="38" t="n"/>
      <c r="AF343" s="30">
        <f>IF(OR($B343="",$C343=""),"",$C343-$B343+1)</f>
        <v/>
      </c>
      <c r="AG343" s="32" t="n"/>
      <c r="AH343" s="36" t="n"/>
      <c r="AJ343">
        <f>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  <c r="AX343">
        <f>AW343&amp;IF($Y343="","",", "&amp;$Y343)</f>
        <v/>
      </c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0">
        <f>IF($F344="","",COUNTIF($F$5:$F344,$F344))</f>
        <v/>
      </c>
      <c r="H344" s="33">
        <f>IF($F344="","",IFERROR(INDEX(사건마스터!$B$5:$B$64,MATCH($F344,사건마스터!$A$5:$A$64,0)),""))</f>
        <v/>
      </c>
      <c r="I344" s="34">
        <f>IF($F344="","",IFERROR(INDEX(사건마스터!$C$5:$C$64,MATCH($F344,사건마스터!$A$5:$A$64,0)),""))</f>
        <v/>
      </c>
      <c r="J344" s="35">
        <f>IF($F344="","",IFERROR(INDEX(사건마스터!$H$5:$H$64,MATCH($F344,사건마스터!$A$5:$A$64,0)),""))</f>
        <v/>
      </c>
      <c r="K344" s="35">
        <f>IF($F344="","",IFERROR(INDEX(사건마스터!$AH$5:$AH$64,MATCH($F344,사건마스터!$A$5:$A$64,0)),""))</f>
        <v/>
      </c>
      <c r="L344" s="35">
        <f>IF($F344="","",IFERROR(INDEX(사건마스터!$AI$5:$AI$64,MATCH($F344,사건마스터!$A$5:$A$64,0)),""))</f>
        <v/>
      </c>
      <c r="M344" s="35">
        <f>IF($F344="","",IFERROR(INDEX(사건마스터!$AJ$5:$AJ$64,MATCH($F344,사건마스터!$A$5:$A$64,0)),""))</f>
        <v/>
      </c>
      <c r="N344" s="35">
        <f>IF($F344="","",IFERROR(INDEX(사건마스터!$AK$5:$AK$64,MATCH($F344,사건마스터!$A$5:$A$64,0)),""))</f>
        <v/>
      </c>
      <c r="O344" s="35">
        <f>IF($F344="","",IFERROR(INDEX(사건마스터!$AL$5:$AL$64,MATCH($F344,사건마스터!$A$5:$A$64,0)),""))</f>
        <v/>
      </c>
      <c r="P344" s="35">
        <f>IF($F344="","",IFERROR(INDEX(사건마스터!$AM$5:$AM$64,MATCH($F344,사건마스터!$A$5:$A$64,0)),""))</f>
        <v/>
      </c>
      <c r="Q344" s="35">
        <f>IF($F344="","",IFERROR(INDEX(사건마스터!$AN$5:$AN$64,MATCH($F344,사건마스터!$A$5:$A$64,0)),""))</f>
        <v/>
      </c>
      <c r="R344" s="35">
        <f>IF($F344="","",IFERROR(INDEX(사건마스터!$AO$5:$AO$64,MATCH($F344,사건마스터!$A$5:$A$64,0)),""))</f>
        <v/>
      </c>
      <c r="S344" s="35">
        <f>IF($F344="","",IFERROR(INDEX(사건마스터!$AP$5:$AP$64,MATCH($F344,사건마스터!$A$5:$A$64,0)),""))</f>
        <v/>
      </c>
      <c r="T344" s="35">
        <f>IF($F344="","",IFERROR(INDEX(사건마스터!$AQ$5:$AQ$64,MATCH($F344,사건마스터!$A$5:$A$64,0)),""))</f>
        <v/>
      </c>
      <c r="U344" s="35">
        <f>IF($F344="","",IFERROR(INDEX(사건마스터!$AR$5:$AR$64,MATCH($F344,사건마스터!$A$5:$A$64,0)),""))</f>
        <v/>
      </c>
      <c r="V344" s="35">
        <f>IF($F344="","",IFERROR(INDEX(사건마스터!$AS$5:$AS$64,MATCH($F344,사건마스터!$A$5:$A$64,0)),""))</f>
        <v/>
      </c>
      <c r="W344" s="35">
        <f>IF($F344="","",IFERROR(INDEX(사건마스터!$AT$5:$AT$64,MATCH($F344,사건마스터!$A$5:$A$64,0)),""))</f>
        <v/>
      </c>
      <c r="X344" s="35">
        <f>IF($F344="","",IFERROR(INDEX(사건마스터!$AU$5:$AU$64,MATCH($F344,사건마스터!$A$5:$A$64,0)),""))</f>
        <v/>
      </c>
      <c r="Y344" s="35">
        <f>IF($F344="","",IFERROR(INDEX(사건마스터!$AV$5:$AV$64,MATCH($F344,사건마스터!$A$5:$A$64,0)),""))</f>
        <v/>
      </c>
      <c r="Z344" s="30">
        <f>IF(COUNTBLANK($J344:$Y344)=16,"",16-COUNTBLANK($J344:$Y344))</f>
        <v/>
      </c>
      <c r="AA344" s="33">
        <f>IF($J344="",MID($AX344,3,255),$J344&amp;$AX344)</f>
        <v/>
      </c>
      <c r="AB344" s="34">
        <f>IF($J344="","",IFERROR(INDEX(코드설정!$D$5:$D$24,MATCH($J344,코드설정!$C$5:$C$24,0)),""))</f>
        <v/>
      </c>
      <c r="AC344" s="36" t="n"/>
      <c r="AD344" s="37" t="n"/>
      <c r="AE344" s="38" t="n"/>
      <c r="AF344" s="30">
        <f>IF(OR($B344="",$C344=""),"",$C344-$B344+1)</f>
        <v/>
      </c>
      <c r="AG344" s="32" t="n"/>
      <c r="AH344" s="36" t="n"/>
      <c r="AJ344">
        <f>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  <c r="AX344">
        <f>AW344&amp;IF($Y344="","",", "&amp;$Y344)</f>
        <v/>
      </c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0">
        <f>IF($F345="","",COUNTIF($F$5:$F345,$F345))</f>
        <v/>
      </c>
      <c r="H345" s="33">
        <f>IF($F345="","",IFERROR(INDEX(사건마스터!$B$5:$B$64,MATCH($F345,사건마스터!$A$5:$A$64,0)),""))</f>
        <v/>
      </c>
      <c r="I345" s="34">
        <f>IF($F345="","",IFERROR(INDEX(사건마스터!$C$5:$C$64,MATCH($F345,사건마스터!$A$5:$A$64,0)),""))</f>
        <v/>
      </c>
      <c r="J345" s="35">
        <f>IF($F345="","",IFERROR(INDEX(사건마스터!$H$5:$H$64,MATCH($F345,사건마스터!$A$5:$A$64,0)),""))</f>
        <v/>
      </c>
      <c r="K345" s="35">
        <f>IF($F345="","",IFERROR(INDEX(사건마스터!$AH$5:$AH$64,MATCH($F345,사건마스터!$A$5:$A$64,0)),""))</f>
        <v/>
      </c>
      <c r="L345" s="35">
        <f>IF($F345="","",IFERROR(INDEX(사건마스터!$AI$5:$AI$64,MATCH($F345,사건마스터!$A$5:$A$64,0)),""))</f>
        <v/>
      </c>
      <c r="M345" s="35">
        <f>IF($F345="","",IFERROR(INDEX(사건마스터!$AJ$5:$AJ$64,MATCH($F345,사건마스터!$A$5:$A$64,0)),""))</f>
        <v/>
      </c>
      <c r="N345" s="35">
        <f>IF($F345="","",IFERROR(INDEX(사건마스터!$AK$5:$AK$64,MATCH($F345,사건마스터!$A$5:$A$64,0)),""))</f>
        <v/>
      </c>
      <c r="O345" s="35">
        <f>IF($F345="","",IFERROR(INDEX(사건마스터!$AL$5:$AL$64,MATCH($F345,사건마스터!$A$5:$A$64,0)),""))</f>
        <v/>
      </c>
      <c r="P345" s="35">
        <f>IF($F345="","",IFERROR(INDEX(사건마스터!$AM$5:$AM$64,MATCH($F345,사건마스터!$A$5:$A$64,0)),""))</f>
        <v/>
      </c>
      <c r="Q345" s="35">
        <f>IF($F345="","",IFERROR(INDEX(사건마스터!$AN$5:$AN$64,MATCH($F345,사건마스터!$A$5:$A$64,0)),""))</f>
        <v/>
      </c>
      <c r="R345" s="35">
        <f>IF($F345="","",IFERROR(INDEX(사건마스터!$AO$5:$AO$64,MATCH($F345,사건마스터!$A$5:$A$64,0)),""))</f>
        <v/>
      </c>
      <c r="S345" s="35">
        <f>IF($F345="","",IFERROR(INDEX(사건마스터!$AP$5:$AP$64,MATCH($F345,사건마스터!$A$5:$A$64,0)),""))</f>
        <v/>
      </c>
      <c r="T345" s="35">
        <f>IF($F345="","",IFERROR(INDEX(사건마스터!$AQ$5:$AQ$64,MATCH($F345,사건마스터!$A$5:$A$64,0)),""))</f>
        <v/>
      </c>
      <c r="U345" s="35">
        <f>IF($F345="","",IFERROR(INDEX(사건마스터!$AR$5:$AR$64,MATCH($F345,사건마스터!$A$5:$A$64,0)),""))</f>
        <v/>
      </c>
      <c r="V345" s="35">
        <f>IF($F345="","",IFERROR(INDEX(사건마스터!$AS$5:$AS$64,MATCH($F345,사건마스터!$A$5:$A$64,0)),""))</f>
        <v/>
      </c>
      <c r="W345" s="35">
        <f>IF($F345="","",IFERROR(INDEX(사건마스터!$AT$5:$AT$64,MATCH($F345,사건마스터!$A$5:$A$64,0)),""))</f>
        <v/>
      </c>
      <c r="X345" s="35">
        <f>IF($F345="","",IFERROR(INDEX(사건마스터!$AU$5:$AU$64,MATCH($F345,사건마스터!$A$5:$A$64,0)),""))</f>
        <v/>
      </c>
      <c r="Y345" s="35">
        <f>IF($F345="","",IFERROR(INDEX(사건마스터!$AV$5:$AV$64,MATCH($F345,사건마스터!$A$5:$A$64,0)),""))</f>
        <v/>
      </c>
      <c r="Z345" s="30">
        <f>IF(COUNTBLANK($J345:$Y345)=16,"",16-COUNTBLANK($J345:$Y345))</f>
        <v/>
      </c>
      <c r="AA345" s="33">
        <f>IF($J345="",MID($AX345,3,255),$J345&amp;$AX345)</f>
        <v/>
      </c>
      <c r="AB345" s="34">
        <f>IF($J345="","",IFERROR(INDEX(코드설정!$D$5:$D$24,MATCH($J345,코드설정!$C$5:$C$24,0)),""))</f>
        <v/>
      </c>
      <c r="AC345" s="36" t="n"/>
      <c r="AD345" s="37" t="n"/>
      <c r="AE345" s="38" t="n"/>
      <c r="AF345" s="30">
        <f>IF(OR($B345="",$C345=""),"",$C345-$B345+1)</f>
        <v/>
      </c>
      <c r="AG345" s="32" t="n"/>
      <c r="AH345" s="36" t="n"/>
      <c r="AJ345">
        <f>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  <c r="AX345">
        <f>AW345&amp;IF($Y345="","",", "&amp;$Y345)</f>
        <v/>
      </c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0">
        <f>IF($F346="","",COUNTIF($F$5:$F346,$F346))</f>
        <v/>
      </c>
      <c r="H346" s="33">
        <f>IF($F346="","",IFERROR(INDEX(사건마스터!$B$5:$B$64,MATCH($F346,사건마스터!$A$5:$A$64,0)),""))</f>
        <v/>
      </c>
      <c r="I346" s="34">
        <f>IF($F346="","",IFERROR(INDEX(사건마스터!$C$5:$C$64,MATCH($F346,사건마스터!$A$5:$A$64,0)),""))</f>
        <v/>
      </c>
      <c r="J346" s="35">
        <f>IF($F346="","",IFERROR(INDEX(사건마스터!$H$5:$H$64,MATCH($F346,사건마스터!$A$5:$A$64,0)),""))</f>
        <v/>
      </c>
      <c r="K346" s="35">
        <f>IF($F346="","",IFERROR(INDEX(사건마스터!$AH$5:$AH$64,MATCH($F346,사건마스터!$A$5:$A$64,0)),""))</f>
        <v/>
      </c>
      <c r="L346" s="35">
        <f>IF($F346="","",IFERROR(INDEX(사건마스터!$AI$5:$AI$64,MATCH($F346,사건마스터!$A$5:$A$64,0)),""))</f>
        <v/>
      </c>
      <c r="M346" s="35">
        <f>IF($F346="","",IFERROR(INDEX(사건마스터!$AJ$5:$AJ$64,MATCH($F346,사건마스터!$A$5:$A$64,0)),""))</f>
        <v/>
      </c>
      <c r="N346" s="35">
        <f>IF($F346="","",IFERROR(INDEX(사건마스터!$AK$5:$AK$64,MATCH($F346,사건마스터!$A$5:$A$64,0)),""))</f>
        <v/>
      </c>
      <c r="O346" s="35">
        <f>IF($F346="","",IFERROR(INDEX(사건마스터!$AL$5:$AL$64,MATCH($F346,사건마스터!$A$5:$A$64,0)),""))</f>
        <v/>
      </c>
      <c r="P346" s="35">
        <f>IF($F346="","",IFERROR(INDEX(사건마스터!$AM$5:$AM$64,MATCH($F346,사건마스터!$A$5:$A$64,0)),""))</f>
        <v/>
      </c>
      <c r="Q346" s="35">
        <f>IF($F346="","",IFERROR(INDEX(사건마스터!$AN$5:$AN$64,MATCH($F346,사건마스터!$A$5:$A$64,0)),""))</f>
        <v/>
      </c>
      <c r="R346" s="35">
        <f>IF($F346="","",IFERROR(INDEX(사건마스터!$AO$5:$AO$64,MATCH($F346,사건마스터!$A$5:$A$64,0)),""))</f>
        <v/>
      </c>
      <c r="S346" s="35">
        <f>IF($F346="","",IFERROR(INDEX(사건마스터!$AP$5:$AP$64,MATCH($F346,사건마스터!$A$5:$A$64,0)),""))</f>
        <v/>
      </c>
      <c r="T346" s="35">
        <f>IF($F346="","",IFERROR(INDEX(사건마스터!$AQ$5:$AQ$64,MATCH($F346,사건마스터!$A$5:$A$64,0)),""))</f>
        <v/>
      </c>
      <c r="U346" s="35">
        <f>IF($F346="","",IFERROR(INDEX(사건마스터!$AR$5:$AR$64,MATCH($F346,사건마스터!$A$5:$A$64,0)),""))</f>
        <v/>
      </c>
      <c r="V346" s="35">
        <f>IF($F346="","",IFERROR(INDEX(사건마스터!$AS$5:$AS$64,MATCH($F346,사건마스터!$A$5:$A$64,0)),""))</f>
        <v/>
      </c>
      <c r="W346" s="35">
        <f>IF($F346="","",IFERROR(INDEX(사건마스터!$AT$5:$AT$64,MATCH($F346,사건마스터!$A$5:$A$64,0)),""))</f>
        <v/>
      </c>
      <c r="X346" s="35">
        <f>IF($F346="","",IFERROR(INDEX(사건마스터!$AU$5:$AU$64,MATCH($F346,사건마스터!$A$5:$A$64,0)),""))</f>
        <v/>
      </c>
      <c r="Y346" s="35">
        <f>IF($F346="","",IFERROR(INDEX(사건마스터!$AV$5:$AV$64,MATCH($F346,사건마스터!$A$5:$A$64,0)),""))</f>
        <v/>
      </c>
      <c r="Z346" s="30">
        <f>IF(COUNTBLANK($J346:$Y346)=16,"",16-COUNTBLANK($J346:$Y346))</f>
        <v/>
      </c>
      <c r="AA346" s="33">
        <f>IF($J346="",MID($AX346,3,255),$J346&amp;$AX346)</f>
        <v/>
      </c>
      <c r="AB346" s="34">
        <f>IF($J346="","",IFERROR(INDEX(코드설정!$D$5:$D$24,MATCH($J346,코드설정!$C$5:$C$24,0)),""))</f>
        <v/>
      </c>
      <c r="AC346" s="36" t="n"/>
      <c r="AD346" s="37" t="n"/>
      <c r="AE346" s="38" t="n"/>
      <c r="AF346" s="30">
        <f>IF(OR($B346="",$C346=""),"",$C346-$B346+1)</f>
        <v/>
      </c>
      <c r="AG346" s="32" t="n"/>
      <c r="AH346" s="36" t="n"/>
      <c r="AJ346">
        <f>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  <c r="AX346">
        <f>AW346&amp;IF($Y346="","",", "&amp;$Y346)</f>
        <v/>
      </c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0">
        <f>IF($F347="","",COUNTIF($F$5:$F347,$F347))</f>
        <v/>
      </c>
      <c r="H347" s="33">
        <f>IF($F347="","",IFERROR(INDEX(사건마스터!$B$5:$B$64,MATCH($F347,사건마스터!$A$5:$A$64,0)),""))</f>
        <v/>
      </c>
      <c r="I347" s="34">
        <f>IF($F347="","",IFERROR(INDEX(사건마스터!$C$5:$C$64,MATCH($F347,사건마스터!$A$5:$A$64,0)),""))</f>
        <v/>
      </c>
      <c r="J347" s="35">
        <f>IF($F347="","",IFERROR(INDEX(사건마스터!$H$5:$H$64,MATCH($F347,사건마스터!$A$5:$A$64,0)),""))</f>
        <v/>
      </c>
      <c r="K347" s="35">
        <f>IF($F347="","",IFERROR(INDEX(사건마스터!$AH$5:$AH$64,MATCH($F347,사건마스터!$A$5:$A$64,0)),""))</f>
        <v/>
      </c>
      <c r="L347" s="35">
        <f>IF($F347="","",IFERROR(INDEX(사건마스터!$AI$5:$AI$64,MATCH($F347,사건마스터!$A$5:$A$64,0)),""))</f>
        <v/>
      </c>
      <c r="M347" s="35">
        <f>IF($F347="","",IFERROR(INDEX(사건마스터!$AJ$5:$AJ$64,MATCH($F347,사건마스터!$A$5:$A$64,0)),""))</f>
        <v/>
      </c>
      <c r="N347" s="35">
        <f>IF($F347="","",IFERROR(INDEX(사건마스터!$AK$5:$AK$64,MATCH($F347,사건마스터!$A$5:$A$64,0)),""))</f>
        <v/>
      </c>
      <c r="O347" s="35">
        <f>IF($F347="","",IFERROR(INDEX(사건마스터!$AL$5:$AL$64,MATCH($F347,사건마스터!$A$5:$A$64,0)),""))</f>
        <v/>
      </c>
      <c r="P347" s="35">
        <f>IF($F347="","",IFERROR(INDEX(사건마스터!$AM$5:$AM$64,MATCH($F347,사건마스터!$A$5:$A$64,0)),""))</f>
        <v/>
      </c>
      <c r="Q347" s="35">
        <f>IF($F347="","",IFERROR(INDEX(사건마스터!$AN$5:$AN$64,MATCH($F347,사건마스터!$A$5:$A$64,0)),""))</f>
        <v/>
      </c>
      <c r="R347" s="35">
        <f>IF($F347="","",IFERROR(INDEX(사건마스터!$AO$5:$AO$64,MATCH($F347,사건마스터!$A$5:$A$64,0)),""))</f>
        <v/>
      </c>
      <c r="S347" s="35">
        <f>IF($F347="","",IFERROR(INDEX(사건마스터!$AP$5:$AP$64,MATCH($F347,사건마스터!$A$5:$A$64,0)),""))</f>
        <v/>
      </c>
      <c r="T347" s="35">
        <f>IF($F347="","",IFERROR(INDEX(사건마스터!$AQ$5:$AQ$64,MATCH($F347,사건마스터!$A$5:$A$64,0)),""))</f>
        <v/>
      </c>
      <c r="U347" s="35">
        <f>IF($F347="","",IFERROR(INDEX(사건마스터!$AR$5:$AR$64,MATCH($F347,사건마스터!$A$5:$A$64,0)),""))</f>
        <v/>
      </c>
      <c r="V347" s="35">
        <f>IF($F347="","",IFERROR(INDEX(사건마스터!$AS$5:$AS$64,MATCH($F347,사건마스터!$A$5:$A$64,0)),""))</f>
        <v/>
      </c>
      <c r="W347" s="35">
        <f>IF($F347="","",IFERROR(INDEX(사건마스터!$AT$5:$AT$64,MATCH($F347,사건마스터!$A$5:$A$64,0)),""))</f>
        <v/>
      </c>
      <c r="X347" s="35">
        <f>IF($F347="","",IFERROR(INDEX(사건마스터!$AU$5:$AU$64,MATCH($F347,사건마스터!$A$5:$A$64,0)),""))</f>
        <v/>
      </c>
      <c r="Y347" s="35">
        <f>IF($F347="","",IFERROR(INDEX(사건마스터!$AV$5:$AV$64,MATCH($F347,사건마스터!$A$5:$A$64,0)),""))</f>
        <v/>
      </c>
      <c r="Z347" s="30">
        <f>IF(COUNTBLANK($J347:$Y347)=16,"",16-COUNTBLANK($J347:$Y347))</f>
        <v/>
      </c>
      <c r="AA347" s="33">
        <f>IF($J347="",MID($AX347,3,255),$J347&amp;$AX347)</f>
        <v/>
      </c>
      <c r="AB347" s="34">
        <f>IF($J347="","",IFERROR(INDEX(코드설정!$D$5:$D$24,MATCH($J347,코드설정!$C$5:$C$24,0)),""))</f>
        <v/>
      </c>
      <c r="AC347" s="36" t="n"/>
      <c r="AD347" s="37" t="n"/>
      <c r="AE347" s="38" t="n"/>
      <c r="AF347" s="30">
        <f>IF(OR($B347="",$C347=""),"",$C347-$B347+1)</f>
        <v/>
      </c>
      <c r="AG347" s="32" t="n"/>
      <c r="AH347" s="36" t="n"/>
      <c r="AJ347">
        <f>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  <c r="AX347">
        <f>AW347&amp;IF($Y347="","",", "&amp;$Y347)</f>
        <v/>
      </c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0">
        <f>IF($F348="","",COUNTIF($F$5:$F348,$F348))</f>
        <v/>
      </c>
      <c r="H348" s="33">
        <f>IF($F348="","",IFERROR(INDEX(사건마스터!$B$5:$B$64,MATCH($F348,사건마스터!$A$5:$A$64,0)),""))</f>
        <v/>
      </c>
      <c r="I348" s="34">
        <f>IF($F348="","",IFERROR(INDEX(사건마스터!$C$5:$C$64,MATCH($F348,사건마스터!$A$5:$A$64,0)),""))</f>
        <v/>
      </c>
      <c r="J348" s="35">
        <f>IF($F348="","",IFERROR(INDEX(사건마스터!$H$5:$H$64,MATCH($F348,사건마스터!$A$5:$A$64,0)),""))</f>
        <v/>
      </c>
      <c r="K348" s="35">
        <f>IF($F348="","",IFERROR(INDEX(사건마스터!$AH$5:$AH$64,MATCH($F348,사건마스터!$A$5:$A$64,0)),""))</f>
        <v/>
      </c>
      <c r="L348" s="35">
        <f>IF($F348="","",IFERROR(INDEX(사건마스터!$AI$5:$AI$64,MATCH($F348,사건마스터!$A$5:$A$64,0)),""))</f>
        <v/>
      </c>
      <c r="M348" s="35">
        <f>IF($F348="","",IFERROR(INDEX(사건마스터!$AJ$5:$AJ$64,MATCH($F348,사건마스터!$A$5:$A$64,0)),""))</f>
        <v/>
      </c>
      <c r="N348" s="35">
        <f>IF($F348="","",IFERROR(INDEX(사건마스터!$AK$5:$AK$64,MATCH($F348,사건마스터!$A$5:$A$64,0)),""))</f>
        <v/>
      </c>
      <c r="O348" s="35">
        <f>IF($F348="","",IFERROR(INDEX(사건마스터!$AL$5:$AL$64,MATCH($F348,사건마스터!$A$5:$A$64,0)),""))</f>
        <v/>
      </c>
      <c r="P348" s="35">
        <f>IF($F348="","",IFERROR(INDEX(사건마스터!$AM$5:$AM$64,MATCH($F348,사건마스터!$A$5:$A$64,0)),""))</f>
        <v/>
      </c>
      <c r="Q348" s="35">
        <f>IF($F348="","",IFERROR(INDEX(사건마스터!$AN$5:$AN$64,MATCH($F348,사건마스터!$A$5:$A$64,0)),""))</f>
        <v/>
      </c>
      <c r="R348" s="35">
        <f>IF($F348="","",IFERROR(INDEX(사건마스터!$AO$5:$AO$64,MATCH($F348,사건마스터!$A$5:$A$64,0)),""))</f>
        <v/>
      </c>
      <c r="S348" s="35">
        <f>IF($F348="","",IFERROR(INDEX(사건마스터!$AP$5:$AP$64,MATCH($F348,사건마스터!$A$5:$A$64,0)),""))</f>
        <v/>
      </c>
      <c r="T348" s="35">
        <f>IF($F348="","",IFERROR(INDEX(사건마스터!$AQ$5:$AQ$64,MATCH($F348,사건마스터!$A$5:$A$64,0)),""))</f>
        <v/>
      </c>
      <c r="U348" s="35">
        <f>IF($F348="","",IFERROR(INDEX(사건마스터!$AR$5:$AR$64,MATCH($F348,사건마스터!$A$5:$A$64,0)),""))</f>
        <v/>
      </c>
      <c r="V348" s="35">
        <f>IF($F348="","",IFERROR(INDEX(사건마스터!$AS$5:$AS$64,MATCH($F348,사건마스터!$A$5:$A$64,0)),""))</f>
        <v/>
      </c>
      <c r="W348" s="35">
        <f>IF($F348="","",IFERROR(INDEX(사건마스터!$AT$5:$AT$64,MATCH($F348,사건마스터!$A$5:$A$64,0)),""))</f>
        <v/>
      </c>
      <c r="X348" s="35">
        <f>IF($F348="","",IFERROR(INDEX(사건마스터!$AU$5:$AU$64,MATCH($F348,사건마스터!$A$5:$A$64,0)),""))</f>
        <v/>
      </c>
      <c r="Y348" s="35">
        <f>IF($F348="","",IFERROR(INDEX(사건마스터!$AV$5:$AV$64,MATCH($F348,사건마스터!$A$5:$A$64,0)),""))</f>
        <v/>
      </c>
      <c r="Z348" s="30">
        <f>IF(COUNTBLANK($J348:$Y348)=16,"",16-COUNTBLANK($J348:$Y348))</f>
        <v/>
      </c>
      <c r="AA348" s="33">
        <f>IF($J348="",MID($AX348,3,255),$J348&amp;$AX348)</f>
        <v/>
      </c>
      <c r="AB348" s="34">
        <f>IF($J348="","",IFERROR(INDEX(코드설정!$D$5:$D$24,MATCH($J348,코드설정!$C$5:$C$24,0)),""))</f>
        <v/>
      </c>
      <c r="AC348" s="36" t="n"/>
      <c r="AD348" s="37" t="n"/>
      <c r="AE348" s="38" t="n"/>
      <c r="AF348" s="30">
        <f>IF(OR($B348="",$C348=""),"",$C348-$B348+1)</f>
        <v/>
      </c>
      <c r="AG348" s="32" t="n"/>
      <c r="AH348" s="36" t="n"/>
      <c r="AJ348">
        <f>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  <c r="AX348">
        <f>AW348&amp;IF($Y348="","",", "&amp;$Y348)</f>
        <v/>
      </c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0">
        <f>IF($F349="","",COUNTIF($F$5:$F349,$F349))</f>
        <v/>
      </c>
      <c r="H349" s="33">
        <f>IF($F349="","",IFERROR(INDEX(사건마스터!$B$5:$B$64,MATCH($F349,사건마스터!$A$5:$A$64,0)),""))</f>
        <v/>
      </c>
      <c r="I349" s="34">
        <f>IF($F349="","",IFERROR(INDEX(사건마스터!$C$5:$C$64,MATCH($F349,사건마스터!$A$5:$A$64,0)),""))</f>
        <v/>
      </c>
      <c r="J349" s="35">
        <f>IF($F349="","",IFERROR(INDEX(사건마스터!$H$5:$H$64,MATCH($F349,사건마스터!$A$5:$A$64,0)),""))</f>
        <v/>
      </c>
      <c r="K349" s="35">
        <f>IF($F349="","",IFERROR(INDEX(사건마스터!$AH$5:$AH$64,MATCH($F349,사건마스터!$A$5:$A$64,0)),""))</f>
        <v/>
      </c>
      <c r="L349" s="35">
        <f>IF($F349="","",IFERROR(INDEX(사건마스터!$AI$5:$AI$64,MATCH($F349,사건마스터!$A$5:$A$64,0)),""))</f>
        <v/>
      </c>
      <c r="M349" s="35">
        <f>IF($F349="","",IFERROR(INDEX(사건마스터!$AJ$5:$AJ$64,MATCH($F349,사건마스터!$A$5:$A$64,0)),""))</f>
        <v/>
      </c>
      <c r="N349" s="35">
        <f>IF($F349="","",IFERROR(INDEX(사건마스터!$AK$5:$AK$64,MATCH($F349,사건마스터!$A$5:$A$64,0)),""))</f>
        <v/>
      </c>
      <c r="O349" s="35">
        <f>IF($F349="","",IFERROR(INDEX(사건마스터!$AL$5:$AL$64,MATCH($F349,사건마스터!$A$5:$A$64,0)),""))</f>
        <v/>
      </c>
      <c r="P349" s="35">
        <f>IF($F349="","",IFERROR(INDEX(사건마스터!$AM$5:$AM$64,MATCH($F349,사건마스터!$A$5:$A$64,0)),""))</f>
        <v/>
      </c>
      <c r="Q349" s="35">
        <f>IF($F349="","",IFERROR(INDEX(사건마스터!$AN$5:$AN$64,MATCH($F349,사건마스터!$A$5:$A$64,0)),""))</f>
        <v/>
      </c>
      <c r="R349" s="35">
        <f>IF($F349="","",IFERROR(INDEX(사건마스터!$AO$5:$AO$64,MATCH($F349,사건마스터!$A$5:$A$64,0)),""))</f>
        <v/>
      </c>
      <c r="S349" s="35">
        <f>IF($F349="","",IFERROR(INDEX(사건마스터!$AP$5:$AP$64,MATCH($F349,사건마스터!$A$5:$A$64,0)),""))</f>
        <v/>
      </c>
      <c r="T349" s="35">
        <f>IF($F349="","",IFERROR(INDEX(사건마스터!$AQ$5:$AQ$64,MATCH($F349,사건마스터!$A$5:$A$64,0)),""))</f>
        <v/>
      </c>
      <c r="U349" s="35">
        <f>IF($F349="","",IFERROR(INDEX(사건마스터!$AR$5:$AR$64,MATCH($F349,사건마스터!$A$5:$A$64,0)),""))</f>
        <v/>
      </c>
      <c r="V349" s="35">
        <f>IF($F349="","",IFERROR(INDEX(사건마스터!$AS$5:$AS$64,MATCH($F349,사건마스터!$A$5:$A$64,0)),""))</f>
        <v/>
      </c>
      <c r="W349" s="35">
        <f>IF($F349="","",IFERROR(INDEX(사건마스터!$AT$5:$AT$64,MATCH($F349,사건마스터!$A$5:$A$64,0)),""))</f>
        <v/>
      </c>
      <c r="X349" s="35">
        <f>IF($F349="","",IFERROR(INDEX(사건마스터!$AU$5:$AU$64,MATCH($F349,사건마스터!$A$5:$A$64,0)),""))</f>
        <v/>
      </c>
      <c r="Y349" s="35">
        <f>IF($F349="","",IFERROR(INDEX(사건마스터!$AV$5:$AV$64,MATCH($F349,사건마스터!$A$5:$A$64,0)),""))</f>
        <v/>
      </c>
      <c r="Z349" s="30">
        <f>IF(COUNTBLANK($J349:$Y349)=16,"",16-COUNTBLANK($J349:$Y349))</f>
        <v/>
      </c>
      <c r="AA349" s="33">
        <f>IF($J349="",MID($AX349,3,255),$J349&amp;$AX349)</f>
        <v/>
      </c>
      <c r="AB349" s="34">
        <f>IF($J349="","",IFERROR(INDEX(코드설정!$D$5:$D$24,MATCH($J349,코드설정!$C$5:$C$24,0)),""))</f>
        <v/>
      </c>
      <c r="AC349" s="36" t="n"/>
      <c r="AD349" s="37" t="n"/>
      <c r="AE349" s="38" t="n"/>
      <c r="AF349" s="30">
        <f>IF(OR($B349="",$C349=""),"",$C349-$B349+1)</f>
        <v/>
      </c>
      <c r="AG349" s="32" t="n"/>
      <c r="AH349" s="36" t="n"/>
      <c r="AJ349">
        <f>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  <c r="AX349">
        <f>AW349&amp;IF($Y349="","",", "&amp;$Y349)</f>
        <v/>
      </c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0">
        <f>IF($F350="","",COUNTIF($F$5:$F350,$F350))</f>
        <v/>
      </c>
      <c r="H350" s="33">
        <f>IF($F350="","",IFERROR(INDEX(사건마스터!$B$5:$B$64,MATCH($F350,사건마스터!$A$5:$A$64,0)),""))</f>
        <v/>
      </c>
      <c r="I350" s="34">
        <f>IF($F350="","",IFERROR(INDEX(사건마스터!$C$5:$C$64,MATCH($F350,사건마스터!$A$5:$A$64,0)),""))</f>
        <v/>
      </c>
      <c r="J350" s="35">
        <f>IF($F350="","",IFERROR(INDEX(사건마스터!$H$5:$H$64,MATCH($F350,사건마스터!$A$5:$A$64,0)),""))</f>
        <v/>
      </c>
      <c r="K350" s="35">
        <f>IF($F350="","",IFERROR(INDEX(사건마스터!$AH$5:$AH$64,MATCH($F350,사건마스터!$A$5:$A$64,0)),""))</f>
        <v/>
      </c>
      <c r="L350" s="35">
        <f>IF($F350="","",IFERROR(INDEX(사건마스터!$AI$5:$AI$64,MATCH($F350,사건마스터!$A$5:$A$64,0)),""))</f>
        <v/>
      </c>
      <c r="M350" s="35">
        <f>IF($F350="","",IFERROR(INDEX(사건마스터!$AJ$5:$AJ$64,MATCH($F350,사건마스터!$A$5:$A$64,0)),""))</f>
        <v/>
      </c>
      <c r="N350" s="35">
        <f>IF($F350="","",IFERROR(INDEX(사건마스터!$AK$5:$AK$64,MATCH($F350,사건마스터!$A$5:$A$64,0)),""))</f>
        <v/>
      </c>
      <c r="O350" s="35">
        <f>IF($F350="","",IFERROR(INDEX(사건마스터!$AL$5:$AL$64,MATCH($F350,사건마스터!$A$5:$A$64,0)),""))</f>
        <v/>
      </c>
      <c r="P350" s="35">
        <f>IF($F350="","",IFERROR(INDEX(사건마스터!$AM$5:$AM$64,MATCH($F350,사건마스터!$A$5:$A$64,0)),""))</f>
        <v/>
      </c>
      <c r="Q350" s="35">
        <f>IF($F350="","",IFERROR(INDEX(사건마스터!$AN$5:$AN$64,MATCH($F350,사건마스터!$A$5:$A$64,0)),""))</f>
        <v/>
      </c>
      <c r="R350" s="35">
        <f>IF($F350="","",IFERROR(INDEX(사건마스터!$AO$5:$AO$64,MATCH($F350,사건마스터!$A$5:$A$64,0)),""))</f>
        <v/>
      </c>
      <c r="S350" s="35">
        <f>IF($F350="","",IFERROR(INDEX(사건마스터!$AP$5:$AP$64,MATCH($F350,사건마스터!$A$5:$A$64,0)),""))</f>
        <v/>
      </c>
      <c r="T350" s="35">
        <f>IF($F350="","",IFERROR(INDEX(사건마스터!$AQ$5:$AQ$64,MATCH($F350,사건마스터!$A$5:$A$64,0)),""))</f>
        <v/>
      </c>
      <c r="U350" s="35">
        <f>IF($F350="","",IFERROR(INDEX(사건마스터!$AR$5:$AR$64,MATCH($F350,사건마스터!$A$5:$A$64,0)),""))</f>
        <v/>
      </c>
      <c r="V350" s="35">
        <f>IF($F350="","",IFERROR(INDEX(사건마스터!$AS$5:$AS$64,MATCH($F350,사건마스터!$A$5:$A$64,0)),""))</f>
        <v/>
      </c>
      <c r="W350" s="35">
        <f>IF($F350="","",IFERROR(INDEX(사건마스터!$AT$5:$AT$64,MATCH($F350,사건마스터!$A$5:$A$64,0)),""))</f>
        <v/>
      </c>
      <c r="X350" s="35">
        <f>IF($F350="","",IFERROR(INDEX(사건마스터!$AU$5:$AU$64,MATCH($F350,사건마스터!$A$5:$A$64,0)),""))</f>
        <v/>
      </c>
      <c r="Y350" s="35">
        <f>IF($F350="","",IFERROR(INDEX(사건마스터!$AV$5:$AV$64,MATCH($F350,사건마스터!$A$5:$A$64,0)),""))</f>
        <v/>
      </c>
      <c r="Z350" s="30">
        <f>IF(COUNTBLANK($J350:$Y350)=16,"",16-COUNTBLANK($J350:$Y350))</f>
        <v/>
      </c>
      <c r="AA350" s="33">
        <f>IF($J350="",MID($AX350,3,255),$J350&amp;$AX350)</f>
        <v/>
      </c>
      <c r="AB350" s="34">
        <f>IF($J350="","",IFERROR(INDEX(코드설정!$D$5:$D$24,MATCH($J350,코드설정!$C$5:$C$24,0)),""))</f>
        <v/>
      </c>
      <c r="AC350" s="36" t="n"/>
      <c r="AD350" s="37" t="n"/>
      <c r="AE350" s="38" t="n"/>
      <c r="AF350" s="30">
        <f>IF(OR($B350="",$C350=""),"",$C350-$B350+1)</f>
        <v/>
      </c>
      <c r="AG350" s="32" t="n"/>
      <c r="AH350" s="36" t="n"/>
      <c r="AJ350">
        <f>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  <c r="AX350">
        <f>AW350&amp;IF($Y350="","",", "&amp;$Y350)</f>
        <v/>
      </c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0">
        <f>IF($F351="","",COUNTIF($F$5:$F351,$F351))</f>
        <v/>
      </c>
      <c r="H351" s="33">
        <f>IF($F351="","",IFERROR(INDEX(사건마스터!$B$5:$B$64,MATCH($F351,사건마스터!$A$5:$A$64,0)),""))</f>
        <v/>
      </c>
      <c r="I351" s="34">
        <f>IF($F351="","",IFERROR(INDEX(사건마스터!$C$5:$C$64,MATCH($F351,사건마스터!$A$5:$A$64,0)),""))</f>
        <v/>
      </c>
      <c r="J351" s="35">
        <f>IF($F351="","",IFERROR(INDEX(사건마스터!$H$5:$H$64,MATCH($F351,사건마스터!$A$5:$A$64,0)),""))</f>
        <v/>
      </c>
      <c r="K351" s="35">
        <f>IF($F351="","",IFERROR(INDEX(사건마스터!$AH$5:$AH$64,MATCH($F351,사건마스터!$A$5:$A$64,0)),""))</f>
        <v/>
      </c>
      <c r="L351" s="35">
        <f>IF($F351="","",IFERROR(INDEX(사건마스터!$AI$5:$AI$64,MATCH($F351,사건마스터!$A$5:$A$64,0)),""))</f>
        <v/>
      </c>
      <c r="M351" s="35">
        <f>IF($F351="","",IFERROR(INDEX(사건마스터!$AJ$5:$AJ$64,MATCH($F351,사건마스터!$A$5:$A$64,0)),""))</f>
        <v/>
      </c>
      <c r="N351" s="35">
        <f>IF($F351="","",IFERROR(INDEX(사건마스터!$AK$5:$AK$64,MATCH($F351,사건마스터!$A$5:$A$64,0)),""))</f>
        <v/>
      </c>
      <c r="O351" s="35">
        <f>IF($F351="","",IFERROR(INDEX(사건마스터!$AL$5:$AL$64,MATCH($F351,사건마스터!$A$5:$A$64,0)),""))</f>
        <v/>
      </c>
      <c r="P351" s="35">
        <f>IF($F351="","",IFERROR(INDEX(사건마스터!$AM$5:$AM$64,MATCH($F351,사건마스터!$A$5:$A$64,0)),""))</f>
        <v/>
      </c>
      <c r="Q351" s="35">
        <f>IF($F351="","",IFERROR(INDEX(사건마스터!$AN$5:$AN$64,MATCH($F351,사건마스터!$A$5:$A$64,0)),""))</f>
        <v/>
      </c>
      <c r="R351" s="35">
        <f>IF($F351="","",IFERROR(INDEX(사건마스터!$AO$5:$AO$64,MATCH($F351,사건마스터!$A$5:$A$64,0)),""))</f>
        <v/>
      </c>
      <c r="S351" s="35">
        <f>IF($F351="","",IFERROR(INDEX(사건마스터!$AP$5:$AP$64,MATCH($F351,사건마스터!$A$5:$A$64,0)),""))</f>
        <v/>
      </c>
      <c r="T351" s="35">
        <f>IF($F351="","",IFERROR(INDEX(사건마스터!$AQ$5:$AQ$64,MATCH($F351,사건마스터!$A$5:$A$64,0)),""))</f>
        <v/>
      </c>
      <c r="U351" s="35">
        <f>IF($F351="","",IFERROR(INDEX(사건마스터!$AR$5:$AR$64,MATCH($F351,사건마스터!$A$5:$A$64,0)),""))</f>
        <v/>
      </c>
      <c r="V351" s="35">
        <f>IF($F351="","",IFERROR(INDEX(사건마스터!$AS$5:$AS$64,MATCH($F351,사건마스터!$A$5:$A$64,0)),""))</f>
        <v/>
      </c>
      <c r="W351" s="35">
        <f>IF($F351="","",IFERROR(INDEX(사건마스터!$AT$5:$AT$64,MATCH($F351,사건마스터!$A$5:$A$64,0)),""))</f>
        <v/>
      </c>
      <c r="X351" s="35">
        <f>IF($F351="","",IFERROR(INDEX(사건마스터!$AU$5:$AU$64,MATCH($F351,사건마스터!$A$5:$A$64,0)),""))</f>
        <v/>
      </c>
      <c r="Y351" s="35">
        <f>IF($F351="","",IFERROR(INDEX(사건마스터!$AV$5:$AV$64,MATCH($F351,사건마스터!$A$5:$A$64,0)),""))</f>
        <v/>
      </c>
      <c r="Z351" s="30">
        <f>IF(COUNTBLANK($J351:$Y351)=16,"",16-COUNTBLANK($J351:$Y351))</f>
        <v/>
      </c>
      <c r="AA351" s="33">
        <f>IF($J351="",MID($AX351,3,255),$J351&amp;$AX351)</f>
        <v/>
      </c>
      <c r="AB351" s="34">
        <f>IF($J351="","",IFERROR(INDEX(코드설정!$D$5:$D$24,MATCH($J351,코드설정!$C$5:$C$24,0)),""))</f>
        <v/>
      </c>
      <c r="AC351" s="36" t="n"/>
      <c r="AD351" s="37" t="n"/>
      <c r="AE351" s="38" t="n"/>
      <c r="AF351" s="30">
        <f>IF(OR($B351="",$C351=""),"",$C351-$B351+1)</f>
        <v/>
      </c>
      <c r="AG351" s="32" t="n"/>
      <c r="AH351" s="36" t="n"/>
      <c r="AJ351">
        <f>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  <c r="AX351">
        <f>AW351&amp;IF($Y351="","",", "&amp;$Y351)</f>
        <v/>
      </c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0">
        <f>IF($F352="","",COUNTIF($F$5:$F352,$F352))</f>
        <v/>
      </c>
      <c r="H352" s="33">
        <f>IF($F352="","",IFERROR(INDEX(사건마스터!$B$5:$B$64,MATCH($F352,사건마스터!$A$5:$A$64,0)),""))</f>
        <v/>
      </c>
      <c r="I352" s="34">
        <f>IF($F352="","",IFERROR(INDEX(사건마스터!$C$5:$C$64,MATCH($F352,사건마스터!$A$5:$A$64,0)),""))</f>
        <v/>
      </c>
      <c r="J352" s="35">
        <f>IF($F352="","",IFERROR(INDEX(사건마스터!$H$5:$H$64,MATCH($F352,사건마스터!$A$5:$A$64,0)),""))</f>
        <v/>
      </c>
      <c r="K352" s="35">
        <f>IF($F352="","",IFERROR(INDEX(사건마스터!$AH$5:$AH$64,MATCH($F352,사건마스터!$A$5:$A$64,0)),""))</f>
        <v/>
      </c>
      <c r="L352" s="35">
        <f>IF($F352="","",IFERROR(INDEX(사건마스터!$AI$5:$AI$64,MATCH($F352,사건마스터!$A$5:$A$64,0)),""))</f>
        <v/>
      </c>
      <c r="M352" s="35">
        <f>IF($F352="","",IFERROR(INDEX(사건마스터!$AJ$5:$AJ$64,MATCH($F352,사건마스터!$A$5:$A$64,0)),""))</f>
        <v/>
      </c>
      <c r="N352" s="35">
        <f>IF($F352="","",IFERROR(INDEX(사건마스터!$AK$5:$AK$64,MATCH($F352,사건마스터!$A$5:$A$64,0)),""))</f>
        <v/>
      </c>
      <c r="O352" s="35">
        <f>IF($F352="","",IFERROR(INDEX(사건마스터!$AL$5:$AL$64,MATCH($F352,사건마스터!$A$5:$A$64,0)),""))</f>
        <v/>
      </c>
      <c r="P352" s="35">
        <f>IF($F352="","",IFERROR(INDEX(사건마스터!$AM$5:$AM$64,MATCH($F352,사건마스터!$A$5:$A$64,0)),""))</f>
        <v/>
      </c>
      <c r="Q352" s="35">
        <f>IF($F352="","",IFERROR(INDEX(사건마스터!$AN$5:$AN$64,MATCH($F352,사건마스터!$A$5:$A$64,0)),""))</f>
        <v/>
      </c>
      <c r="R352" s="35">
        <f>IF($F352="","",IFERROR(INDEX(사건마스터!$AO$5:$AO$64,MATCH($F352,사건마스터!$A$5:$A$64,0)),""))</f>
        <v/>
      </c>
      <c r="S352" s="35">
        <f>IF($F352="","",IFERROR(INDEX(사건마스터!$AP$5:$AP$64,MATCH($F352,사건마스터!$A$5:$A$64,0)),""))</f>
        <v/>
      </c>
      <c r="T352" s="35">
        <f>IF($F352="","",IFERROR(INDEX(사건마스터!$AQ$5:$AQ$64,MATCH($F352,사건마스터!$A$5:$A$64,0)),""))</f>
        <v/>
      </c>
      <c r="U352" s="35">
        <f>IF($F352="","",IFERROR(INDEX(사건마스터!$AR$5:$AR$64,MATCH($F352,사건마스터!$A$5:$A$64,0)),""))</f>
        <v/>
      </c>
      <c r="V352" s="35">
        <f>IF($F352="","",IFERROR(INDEX(사건마스터!$AS$5:$AS$64,MATCH($F352,사건마스터!$A$5:$A$64,0)),""))</f>
        <v/>
      </c>
      <c r="W352" s="35">
        <f>IF($F352="","",IFERROR(INDEX(사건마스터!$AT$5:$AT$64,MATCH($F352,사건마스터!$A$5:$A$64,0)),""))</f>
        <v/>
      </c>
      <c r="X352" s="35">
        <f>IF($F352="","",IFERROR(INDEX(사건마스터!$AU$5:$AU$64,MATCH($F352,사건마스터!$A$5:$A$64,0)),""))</f>
        <v/>
      </c>
      <c r="Y352" s="35">
        <f>IF($F352="","",IFERROR(INDEX(사건마스터!$AV$5:$AV$64,MATCH($F352,사건마스터!$A$5:$A$64,0)),""))</f>
        <v/>
      </c>
      <c r="Z352" s="30">
        <f>IF(COUNTBLANK($J352:$Y352)=16,"",16-COUNTBLANK($J352:$Y352))</f>
        <v/>
      </c>
      <c r="AA352" s="33">
        <f>IF($J352="",MID($AX352,3,255),$J352&amp;$AX352)</f>
        <v/>
      </c>
      <c r="AB352" s="34">
        <f>IF($J352="","",IFERROR(INDEX(코드설정!$D$5:$D$24,MATCH($J352,코드설정!$C$5:$C$24,0)),""))</f>
        <v/>
      </c>
      <c r="AC352" s="36" t="n"/>
      <c r="AD352" s="37" t="n"/>
      <c r="AE352" s="38" t="n"/>
      <c r="AF352" s="30">
        <f>IF(OR($B352="",$C352=""),"",$C352-$B352+1)</f>
        <v/>
      </c>
      <c r="AG352" s="32" t="n"/>
      <c r="AH352" s="36" t="n"/>
      <c r="AJ352">
        <f>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  <c r="AX352">
        <f>AW352&amp;IF($Y352="","",", "&amp;$Y352)</f>
        <v/>
      </c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0">
        <f>IF($F353="","",COUNTIF($F$5:$F353,$F353))</f>
        <v/>
      </c>
      <c r="H353" s="33">
        <f>IF($F353="","",IFERROR(INDEX(사건마스터!$B$5:$B$64,MATCH($F353,사건마스터!$A$5:$A$64,0)),""))</f>
        <v/>
      </c>
      <c r="I353" s="34">
        <f>IF($F353="","",IFERROR(INDEX(사건마스터!$C$5:$C$64,MATCH($F353,사건마스터!$A$5:$A$64,0)),""))</f>
        <v/>
      </c>
      <c r="J353" s="35">
        <f>IF($F353="","",IFERROR(INDEX(사건마스터!$H$5:$H$64,MATCH($F353,사건마스터!$A$5:$A$64,0)),""))</f>
        <v/>
      </c>
      <c r="K353" s="35">
        <f>IF($F353="","",IFERROR(INDEX(사건마스터!$AH$5:$AH$64,MATCH($F353,사건마스터!$A$5:$A$64,0)),""))</f>
        <v/>
      </c>
      <c r="L353" s="35">
        <f>IF($F353="","",IFERROR(INDEX(사건마스터!$AI$5:$AI$64,MATCH($F353,사건마스터!$A$5:$A$64,0)),""))</f>
        <v/>
      </c>
      <c r="M353" s="35">
        <f>IF($F353="","",IFERROR(INDEX(사건마스터!$AJ$5:$AJ$64,MATCH($F353,사건마스터!$A$5:$A$64,0)),""))</f>
        <v/>
      </c>
      <c r="N353" s="35">
        <f>IF($F353="","",IFERROR(INDEX(사건마스터!$AK$5:$AK$64,MATCH($F353,사건마스터!$A$5:$A$64,0)),""))</f>
        <v/>
      </c>
      <c r="O353" s="35">
        <f>IF($F353="","",IFERROR(INDEX(사건마스터!$AL$5:$AL$64,MATCH($F353,사건마스터!$A$5:$A$64,0)),""))</f>
        <v/>
      </c>
      <c r="P353" s="35">
        <f>IF($F353="","",IFERROR(INDEX(사건마스터!$AM$5:$AM$64,MATCH($F353,사건마스터!$A$5:$A$64,0)),""))</f>
        <v/>
      </c>
      <c r="Q353" s="35">
        <f>IF($F353="","",IFERROR(INDEX(사건마스터!$AN$5:$AN$64,MATCH($F353,사건마스터!$A$5:$A$64,0)),""))</f>
        <v/>
      </c>
      <c r="R353" s="35">
        <f>IF($F353="","",IFERROR(INDEX(사건마스터!$AO$5:$AO$64,MATCH($F353,사건마스터!$A$5:$A$64,0)),""))</f>
        <v/>
      </c>
      <c r="S353" s="35">
        <f>IF($F353="","",IFERROR(INDEX(사건마스터!$AP$5:$AP$64,MATCH($F353,사건마스터!$A$5:$A$64,0)),""))</f>
        <v/>
      </c>
      <c r="T353" s="35">
        <f>IF($F353="","",IFERROR(INDEX(사건마스터!$AQ$5:$AQ$64,MATCH($F353,사건마스터!$A$5:$A$64,0)),""))</f>
        <v/>
      </c>
      <c r="U353" s="35">
        <f>IF($F353="","",IFERROR(INDEX(사건마스터!$AR$5:$AR$64,MATCH($F353,사건마스터!$A$5:$A$64,0)),""))</f>
        <v/>
      </c>
      <c r="V353" s="35">
        <f>IF($F353="","",IFERROR(INDEX(사건마스터!$AS$5:$AS$64,MATCH($F353,사건마스터!$A$5:$A$64,0)),""))</f>
        <v/>
      </c>
      <c r="W353" s="35">
        <f>IF($F353="","",IFERROR(INDEX(사건마스터!$AT$5:$AT$64,MATCH($F353,사건마스터!$A$5:$A$64,0)),""))</f>
        <v/>
      </c>
      <c r="X353" s="35">
        <f>IF($F353="","",IFERROR(INDEX(사건마스터!$AU$5:$AU$64,MATCH($F353,사건마스터!$A$5:$A$64,0)),""))</f>
        <v/>
      </c>
      <c r="Y353" s="35">
        <f>IF($F353="","",IFERROR(INDEX(사건마스터!$AV$5:$AV$64,MATCH($F353,사건마스터!$A$5:$A$64,0)),""))</f>
        <v/>
      </c>
      <c r="Z353" s="30">
        <f>IF(COUNTBLANK($J353:$Y353)=16,"",16-COUNTBLANK($J353:$Y353))</f>
        <v/>
      </c>
      <c r="AA353" s="33">
        <f>IF($J353="",MID($AX353,3,255),$J353&amp;$AX353)</f>
        <v/>
      </c>
      <c r="AB353" s="34">
        <f>IF($J353="","",IFERROR(INDEX(코드설정!$D$5:$D$24,MATCH($J353,코드설정!$C$5:$C$24,0)),""))</f>
        <v/>
      </c>
      <c r="AC353" s="36" t="n"/>
      <c r="AD353" s="37" t="n"/>
      <c r="AE353" s="38" t="n"/>
      <c r="AF353" s="30">
        <f>IF(OR($B353="",$C353=""),"",$C353-$B353+1)</f>
        <v/>
      </c>
      <c r="AG353" s="32" t="n"/>
      <c r="AH353" s="36" t="n"/>
      <c r="AJ353">
        <f>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  <c r="AX353">
        <f>AW353&amp;IF($Y353="","",", "&amp;$Y353)</f>
        <v/>
      </c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0">
        <f>IF($F354="","",COUNTIF($F$5:$F354,$F354))</f>
        <v/>
      </c>
      <c r="H354" s="33">
        <f>IF($F354="","",IFERROR(INDEX(사건마스터!$B$5:$B$64,MATCH($F354,사건마스터!$A$5:$A$64,0)),""))</f>
        <v/>
      </c>
      <c r="I354" s="34">
        <f>IF($F354="","",IFERROR(INDEX(사건마스터!$C$5:$C$64,MATCH($F354,사건마스터!$A$5:$A$64,0)),""))</f>
        <v/>
      </c>
      <c r="J354" s="35">
        <f>IF($F354="","",IFERROR(INDEX(사건마스터!$H$5:$H$64,MATCH($F354,사건마스터!$A$5:$A$64,0)),""))</f>
        <v/>
      </c>
      <c r="K354" s="35">
        <f>IF($F354="","",IFERROR(INDEX(사건마스터!$AH$5:$AH$64,MATCH($F354,사건마스터!$A$5:$A$64,0)),""))</f>
        <v/>
      </c>
      <c r="L354" s="35">
        <f>IF($F354="","",IFERROR(INDEX(사건마스터!$AI$5:$AI$64,MATCH($F354,사건마스터!$A$5:$A$64,0)),""))</f>
        <v/>
      </c>
      <c r="M354" s="35">
        <f>IF($F354="","",IFERROR(INDEX(사건마스터!$AJ$5:$AJ$64,MATCH($F354,사건마스터!$A$5:$A$64,0)),""))</f>
        <v/>
      </c>
      <c r="N354" s="35">
        <f>IF($F354="","",IFERROR(INDEX(사건마스터!$AK$5:$AK$64,MATCH($F354,사건마스터!$A$5:$A$64,0)),""))</f>
        <v/>
      </c>
      <c r="O354" s="35">
        <f>IF($F354="","",IFERROR(INDEX(사건마스터!$AL$5:$AL$64,MATCH($F354,사건마스터!$A$5:$A$64,0)),""))</f>
        <v/>
      </c>
      <c r="P354" s="35">
        <f>IF($F354="","",IFERROR(INDEX(사건마스터!$AM$5:$AM$64,MATCH($F354,사건마스터!$A$5:$A$64,0)),""))</f>
        <v/>
      </c>
      <c r="Q354" s="35">
        <f>IF($F354="","",IFERROR(INDEX(사건마스터!$AN$5:$AN$64,MATCH($F354,사건마스터!$A$5:$A$64,0)),""))</f>
        <v/>
      </c>
      <c r="R354" s="35">
        <f>IF($F354="","",IFERROR(INDEX(사건마스터!$AO$5:$AO$64,MATCH($F354,사건마스터!$A$5:$A$64,0)),""))</f>
        <v/>
      </c>
      <c r="S354" s="35">
        <f>IF($F354="","",IFERROR(INDEX(사건마스터!$AP$5:$AP$64,MATCH($F354,사건마스터!$A$5:$A$64,0)),""))</f>
        <v/>
      </c>
      <c r="T354" s="35">
        <f>IF($F354="","",IFERROR(INDEX(사건마스터!$AQ$5:$AQ$64,MATCH($F354,사건마스터!$A$5:$A$64,0)),""))</f>
        <v/>
      </c>
      <c r="U354" s="35">
        <f>IF($F354="","",IFERROR(INDEX(사건마스터!$AR$5:$AR$64,MATCH($F354,사건마스터!$A$5:$A$64,0)),""))</f>
        <v/>
      </c>
      <c r="V354" s="35">
        <f>IF($F354="","",IFERROR(INDEX(사건마스터!$AS$5:$AS$64,MATCH($F354,사건마스터!$A$5:$A$64,0)),""))</f>
        <v/>
      </c>
      <c r="W354" s="35">
        <f>IF($F354="","",IFERROR(INDEX(사건마스터!$AT$5:$AT$64,MATCH($F354,사건마스터!$A$5:$A$64,0)),""))</f>
        <v/>
      </c>
      <c r="X354" s="35">
        <f>IF($F354="","",IFERROR(INDEX(사건마스터!$AU$5:$AU$64,MATCH($F354,사건마스터!$A$5:$A$64,0)),""))</f>
        <v/>
      </c>
      <c r="Y354" s="35">
        <f>IF($F354="","",IFERROR(INDEX(사건마스터!$AV$5:$AV$64,MATCH($F354,사건마스터!$A$5:$A$64,0)),""))</f>
        <v/>
      </c>
      <c r="Z354" s="30">
        <f>IF(COUNTBLANK($J354:$Y354)=16,"",16-COUNTBLANK($J354:$Y354))</f>
        <v/>
      </c>
      <c r="AA354" s="33">
        <f>IF($J354="",MID($AX354,3,255),$J354&amp;$AX354)</f>
        <v/>
      </c>
      <c r="AB354" s="34">
        <f>IF($J354="","",IFERROR(INDEX(코드설정!$D$5:$D$24,MATCH($J354,코드설정!$C$5:$C$24,0)),""))</f>
        <v/>
      </c>
      <c r="AC354" s="36" t="n"/>
      <c r="AD354" s="37" t="n"/>
      <c r="AE354" s="38" t="n"/>
      <c r="AF354" s="30">
        <f>IF(OR($B354="",$C354=""),"",$C354-$B354+1)</f>
        <v/>
      </c>
      <c r="AG354" s="32" t="n"/>
      <c r="AH354" s="36" t="n"/>
      <c r="AJ354">
        <f>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  <c r="AX354">
        <f>AW354&amp;IF($Y354="","",", "&amp;$Y354)</f>
        <v/>
      </c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0">
        <f>IF($F355="","",COUNTIF($F$5:$F355,$F355))</f>
        <v/>
      </c>
      <c r="H355" s="33">
        <f>IF($F355="","",IFERROR(INDEX(사건마스터!$B$5:$B$64,MATCH($F355,사건마스터!$A$5:$A$64,0)),""))</f>
        <v/>
      </c>
      <c r="I355" s="34">
        <f>IF($F355="","",IFERROR(INDEX(사건마스터!$C$5:$C$64,MATCH($F355,사건마스터!$A$5:$A$64,0)),""))</f>
        <v/>
      </c>
      <c r="J355" s="35">
        <f>IF($F355="","",IFERROR(INDEX(사건마스터!$H$5:$H$64,MATCH($F355,사건마스터!$A$5:$A$64,0)),""))</f>
        <v/>
      </c>
      <c r="K355" s="35">
        <f>IF($F355="","",IFERROR(INDEX(사건마스터!$AH$5:$AH$64,MATCH($F355,사건마스터!$A$5:$A$64,0)),""))</f>
        <v/>
      </c>
      <c r="L355" s="35">
        <f>IF($F355="","",IFERROR(INDEX(사건마스터!$AI$5:$AI$64,MATCH($F355,사건마스터!$A$5:$A$64,0)),""))</f>
        <v/>
      </c>
      <c r="M355" s="35">
        <f>IF($F355="","",IFERROR(INDEX(사건마스터!$AJ$5:$AJ$64,MATCH($F355,사건마스터!$A$5:$A$64,0)),""))</f>
        <v/>
      </c>
      <c r="N355" s="35">
        <f>IF($F355="","",IFERROR(INDEX(사건마스터!$AK$5:$AK$64,MATCH($F355,사건마스터!$A$5:$A$64,0)),""))</f>
        <v/>
      </c>
      <c r="O355" s="35">
        <f>IF($F355="","",IFERROR(INDEX(사건마스터!$AL$5:$AL$64,MATCH($F355,사건마스터!$A$5:$A$64,0)),""))</f>
        <v/>
      </c>
      <c r="P355" s="35">
        <f>IF($F355="","",IFERROR(INDEX(사건마스터!$AM$5:$AM$64,MATCH($F355,사건마스터!$A$5:$A$64,0)),""))</f>
        <v/>
      </c>
      <c r="Q355" s="35">
        <f>IF($F355="","",IFERROR(INDEX(사건마스터!$AN$5:$AN$64,MATCH($F355,사건마스터!$A$5:$A$64,0)),""))</f>
        <v/>
      </c>
      <c r="R355" s="35">
        <f>IF($F355="","",IFERROR(INDEX(사건마스터!$AO$5:$AO$64,MATCH($F355,사건마스터!$A$5:$A$64,0)),""))</f>
        <v/>
      </c>
      <c r="S355" s="35">
        <f>IF($F355="","",IFERROR(INDEX(사건마스터!$AP$5:$AP$64,MATCH($F355,사건마스터!$A$5:$A$64,0)),""))</f>
        <v/>
      </c>
      <c r="T355" s="35">
        <f>IF($F355="","",IFERROR(INDEX(사건마스터!$AQ$5:$AQ$64,MATCH($F355,사건마스터!$A$5:$A$64,0)),""))</f>
        <v/>
      </c>
      <c r="U355" s="35">
        <f>IF($F355="","",IFERROR(INDEX(사건마스터!$AR$5:$AR$64,MATCH($F355,사건마스터!$A$5:$A$64,0)),""))</f>
        <v/>
      </c>
      <c r="V355" s="35">
        <f>IF($F355="","",IFERROR(INDEX(사건마스터!$AS$5:$AS$64,MATCH($F355,사건마스터!$A$5:$A$64,0)),""))</f>
        <v/>
      </c>
      <c r="W355" s="35">
        <f>IF($F355="","",IFERROR(INDEX(사건마스터!$AT$5:$AT$64,MATCH($F355,사건마스터!$A$5:$A$64,0)),""))</f>
        <v/>
      </c>
      <c r="X355" s="35">
        <f>IF($F355="","",IFERROR(INDEX(사건마스터!$AU$5:$AU$64,MATCH($F355,사건마스터!$A$5:$A$64,0)),""))</f>
        <v/>
      </c>
      <c r="Y355" s="35">
        <f>IF($F355="","",IFERROR(INDEX(사건마스터!$AV$5:$AV$64,MATCH($F355,사건마스터!$A$5:$A$64,0)),""))</f>
        <v/>
      </c>
      <c r="Z355" s="30">
        <f>IF(COUNTBLANK($J355:$Y355)=16,"",16-COUNTBLANK($J355:$Y355))</f>
        <v/>
      </c>
      <c r="AA355" s="33">
        <f>IF($J355="",MID($AX355,3,255),$J355&amp;$AX355)</f>
        <v/>
      </c>
      <c r="AB355" s="34">
        <f>IF($J355="","",IFERROR(INDEX(코드설정!$D$5:$D$24,MATCH($J355,코드설정!$C$5:$C$24,0)),""))</f>
        <v/>
      </c>
      <c r="AC355" s="36" t="n"/>
      <c r="AD355" s="37" t="n"/>
      <c r="AE355" s="38" t="n"/>
      <c r="AF355" s="30">
        <f>IF(OR($B355="",$C355=""),"",$C355-$B355+1)</f>
        <v/>
      </c>
      <c r="AG355" s="32" t="n"/>
      <c r="AH355" s="36" t="n"/>
      <c r="AJ355">
        <f>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  <c r="AX355">
        <f>AW355&amp;IF($Y355="","",", "&amp;$Y355)</f>
        <v/>
      </c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0">
        <f>IF($F356="","",COUNTIF($F$5:$F356,$F356))</f>
        <v/>
      </c>
      <c r="H356" s="33">
        <f>IF($F356="","",IFERROR(INDEX(사건마스터!$B$5:$B$64,MATCH($F356,사건마스터!$A$5:$A$64,0)),""))</f>
        <v/>
      </c>
      <c r="I356" s="34">
        <f>IF($F356="","",IFERROR(INDEX(사건마스터!$C$5:$C$64,MATCH($F356,사건마스터!$A$5:$A$64,0)),""))</f>
        <v/>
      </c>
      <c r="J356" s="35">
        <f>IF($F356="","",IFERROR(INDEX(사건마스터!$H$5:$H$64,MATCH($F356,사건마스터!$A$5:$A$64,0)),""))</f>
        <v/>
      </c>
      <c r="K356" s="35">
        <f>IF($F356="","",IFERROR(INDEX(사건마스터!$AH$5:$AH$64,MATCH($F356,사건마스터!$A$5:$A$64,0)),""))</f>
        <v/>
      </c>
      <c r="L356" s="35">
        <f>IF($F356="","",IFERROR(INDEX(사건마스터!$AI$5:$AI$64,MATCH($F356,사건마스터!$A$5:$A$64,0)),""))</f>
        <v/>
      </c>
      <c r="M356" s="35">
        <f>IF($F356="","",IFERROR(INDEX(사건마스터!$AJ$5:$AJ$64,MATCH($F356,사건마스터!$A$5:$A$64,0)),""))</f>
        <v/>
      </c>
      <c r="N356" s="35">
        <f>IF($F356="","",IFERROR(INDEX(사건마스터!$AK$5:$AK$64,MATCH($F356,사건마스터!$A$5:$A$64,0)),""))</f>
        <v/>
      </c>
      <c r="O356" s="35">
        <f>IF($F356="","",IFERROR(INDEX(사건마스터!$AL$5:$AL$64,MATCH($F356,사건마스터!$A$5:$A$64,0)),""))</f>
        <v/>
      </c>
      <c r="P356" s="35">
        <f>IF($F356="","",IFERROR(INDEX(사건마스터!$AM$5:$AM$64,MATCH($F356,사건마스터!$A$5:$A$64,0)),""))</f>
        <v/>
      </c>
      <c r="Q356" s="35">
        <f>IF($F356="","",IFERROR(INDEX(사건마스터!$AN$5:$AN$64,MATCH($F356,사건마스터!$A$5:$A$64,0)),""))</f>
        <v/>
      </c>
      <c r="R356" s="35">
        <f>IF($F356="","",IFERROR(INDEX(사건마스터!$AO$5:$AO$64,MATCH($F356,사건마스터!$A$5:$A$64,0)),""))</f>
        <v/>
      </c>
      <c r="S356" s="35">
        <f>IF($F356="","",IFERROR(INDEX(사건마스터!$AP$5:$AP$64,MATCH($F356,사건마스터!$A$5:$A$64,0)),""))</f>
        <v/>
      </c>
      <c r="T356" s="35">
        <f>IF($F356="","",IFERROR(INDEX(사건마스터!$AQ$5:$AQ$64,MATCH($F356,사건마스터!$A$5:$A$64,0)),""))</f>
        <v/>
      </c>
      <c r="U356" s="35">
        <f>IF($F356="","",IFERROR(INDEX(사건마스터!$AR$5:$AR$64,MATCH($F356,사건마스터!$A$5:$A$64,0)),""))</f>
        <v/>
      </c>
      <c r="V356" s="35">
        <f>IF($F356="","",IFERROR(INDEX(사건마스터!$AS$5:$AS$64,MATCH($F356,사건마스터!$A$5:$A$64,0)),""))</f>
        <v/>
      </c>
      <c r="W356" s="35">
        <f>IF($F356="","",IFERROR(INDEX(사건마스터!$AT$5:$AT$64,MATCH($F356,사건마스터!$A$5:$A$64,0)),""))</f>
        <v/>
      </c>
      <c r="X356" s="35">
        <f>IF($F356="","",IFERROR(INDEX(사건마스터!$AU$5:$AU$64,MATCH($F356,사건마스터!$A$5:$A$64,0)),""))</f>
        <v/>
      </c>
      <c r="Y356" s="35">
        <f>IF($F356="","",IFERROR(INDEX(사건마스터!$AV$5:$AV$64,MATCH($F356,사건마스터!$A$5:$A$64,0)),""))</f>
        <v/>
      </c>
      <c r="Z356" s="30">
        <f>IF(COUNTBLANK($J356:$Y356)=16,"",16-COUNTBLANK($J356:$Y356))</f>
        <v/>
      </c>
      <c r="AA356" s="33">
        <f>IF($J356="",MID($AX356,3,255),$J356&amp;$AX356)</f>
        <v/>
      </c>
      <c r="AB356" s="34">
        <f>IF($J356="","",IFERROR(INDEX(코드설정!$D$5:$D$24,MATCH($J356,코드설정!$C$5:$C$24,0)),""))</f>
        <v/>
      </c>
      <c r="AC356" s="36" t="n"/>
      <c r="AD356" s="37" t="n"/>
      <c r="AE356" s="38" t="n"/>
      <c r="AF356" s="30">
        <f>IF(OR($B356="",$C356=""),"",$C356-$B356+1)</f>
        <v/>
      </c>
      <c r="AG356" s="32" t="n"/>
      <c r="AH356" s="36" t="n"/>
      <c r="AJ356">
        <f>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  <c r="AX356">
        <f>AW356&amp;IF($Y356="","",", "&amp;$Y356)</f>
        <v/>
      </c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0">
        <f>IF($F357="","",COUNTIF($F$5:$F357,$F357))</f>
        <v/>
      </c>
      <c r="H357" s="33">
        <f>IF($F357="","",IFERROR(INDEX(사건마스터!$B$5:$B$64,MATCH($F357,사건마스터!$A$5:$A$64,0)),""))</f>
        <v/>
      </c>
      <c r="I357" s="34">
        <f>IF($F357="","",IFERROR(INDEX(사건마스터!$C$5:$C$64,MATCH($F357,사건마스터!$A$5:$A$64,0)),""))</f>
        <v/>
      </c>
      <c r="J357" s="35">
        <f>IF($F357="","",IFERROR(INDEX(사건마스터!$H$5:$H$64,MATCH($F357,사건마스터!$A$5:$A$64,0)),""))</f>
        <v/>
      </c>
      <c r="K357" s="35">
        <f>IF($F357="","",IFERROR(INDEX(사건마스터!$AH$5:$AH$64,MATCH($F357,사건마스터!$A$5:$A$64,0)),""))</f>
        <v/>
      </c>
      <c r="L357" s="35">
        <f>IF($F357="","",IFERROR(INDEX(사건마스터!$AI$5:$AI$64,MATCH($F357,사건마스터!$A$5:$A$64,0)),""))</f>
        <v/>
      </c>
      <c r="M357" s="35">
        <f>IF($F357="","",IFERROR(INDEX(사건마스터!$AJ$5:$AJ$64,MATCH($F357,사건마스터!$A$5:$A$64,0)),""))</f>
        <v/>
      </c>
      <c r="N357" s="35">
        <f>IF($F357="","",IFERROR(INDEX(사건마스터!$AK$5:$AK$64,MATCH($F357,사건마스터!$A$5:$A$64,0)),""))</f>
        <v/>
      </c>
      <c r="O357" s="35">
        <f>IF($F357="","",IFERROR(INDEX(사건마스터!$AL$5:$AL$64,MATCH($F357,사건마스터!$A$5:$A$64,0)),""))</f>
        <v/>
      </c>
      <c r="P357" s="35">
        <f>IF($F357="","",IFERROR(INDEX(사건마스터!$AM$5:$AM$64,MATCH($F357,사건마스터!$A$5:$A$64,0)),""))</f>
        <v/>
      </c>
      <c r="Q357" s="35">
        <f>IF($F357="","",IFERROR(INDEX(사건마스터!$AN$5:$AN$64,MATCH($F357,사건마스터!$A$5:$A$64,0)),""))</f>
        <v/>
      </c>
      <c r="R357" s="35">
        <f>IF($F357="","",IFERROR(INDEX(사건마스터!$AO$5:$AO$64,MATCH($F357,사건마스터!$A$5:$A$64,0)),""))</f>
        <v/>
      </c>
      <c r="S357" s="35">
        <f>IF($F357="","",IFERROR(INDEX(사건마스터!$AP$5:$AP$64,MATCH($F357,사건마스터!$A$5:$A$64,0)),""))</f>
        <v/>
      </c>
      <c r="T357" s="35">
        <f>IF($F357="","",IFERROR(INDEX(사건마스터!$AQ$5:$AQ$64,MATCH($F357,사건마스터!$A$5:$A$64,0)),""))</f>
        <v/>
      </c>
      <c r="U357" s="35">
        <f>IF($F357="","",IFERROR(INDEX(사건마스터!$AR$5:$AR$64,MATCH($F357,사건마스터!$A$5:$A$64,0)),""))</f>
        <v/>
      </c>
      <c r="V357" s="35">
        <f>IF($F357="","",IFERROR(INDEX(사건마스터!$AS$5:$AS$64,MATCH($F357,사건마스터!$A$5:$A$64,0)),""))</f>
        <v/>
      </c>
      <c r="W357" s="35">
        <f>IF($F357="","",IFERROR(INDEX(사건마스터!$AT$5:$AT$64,MATCH($F357,사건마스터!$A$5:$A$64,0)),""))</f>
        <v/>
      </c>
      <c r="X357" s="35">
        <f>IF($F357="","",IFERROR(INDEX(사건마스터!$AU$5:$AU$64,MATCH($F357,사건마스터!$A$5:$A$64,0)),""))</f>
        <v/>
      </c>
      <c r="Y357" s="35">
        <f>IF($F357="","",IFERROR(INDEX(사건마스터!$AV$5:$AV$64,MATCH($F357,사건마스터!$A$5:$A$64,0)),""))</f>
        <v/>
      </c>
      <c r="Z357" s="30">
        <f>IF(COUNTBLANK($J357:$Y357)=16,"",16-COUNTBLANK($J357:$Y357))</f>
        <v/>
      </c>
      <c r="AA357" s="33">
        <f>IF($J357="",MID($AX357,3,255),$J357&amp;$AX357)</f>
        <v/>
      </c>
      <c r="AB357" s="34">
        <f>IF($J357="","",IFERROR(INDEX(코드설정!$D$5:$D$24,MATCH($J357,코드설정!$C$5:$C$24,0)),""))</f>
        <v/>
      </c>
      <c r="AC357" s="36" t="n"/>
      <c r="AD357" s="37" t="n"/>
      <c r="AE357" s="38" t="n"/>
      <c r="AF357" s="30">
        <f>IF(OR($B357="",$C357=""),"",$C357-$B357+1)</f>
        <v/>
      </c>
      <c r="AG357" s="32" t="n"/>
      <c r="AH357" s="36" t="n"/>
      <c r="AJ357">
        <f>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  <c r="AX357">
        <f>AW357&amp;IF($Y357="","",", "&amp;$Y357)</f>
        <v/>
      </c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0">
        <f>IF($F358="","",COUNTIF($F$5:$F358,$F358))</f>
        <v/>
      </c>
      <c r="H358" s="33">
        <f>IF($F358="","",IFERROR(INDEX(사건마스터!$B$5:$B$64,MATCH($F358,사건마스터!$A$5:$A$64,0)),""))</f>
        <v/>
      </c>
      <c r="I358" s="34">
        <f>IF($F358="","",IFERROR(INDEX(사건마스터!$C$5:$C$64,MATCH($F358,사건마스터!$A$5:$A$64,0)),""))</f>
        <v/>
      </c>
      <c r="J358" s="35">
        <f>IF($F358="","",IFERROR(INDEX(사건마스터!$H$5:$H$64,MATCH($F358,사건마스터!$A$5:$A$64,0)),""))</f>
        <v/>
      </c>
      <c r="K358" s="35">
        <f>IF($F358="","",IFERROR(INDEX(사건마스터!$AH$5:$AH$64,MATCH($F358,사건마스터!$A$5:$A$64,0)),""))</f>
        <v/>
      </c>
      <c r="L358" s="35">
        <f>IF($F358="","",IFERROR(INDEX(사건마스터!$AI$5:$AI$64,MATCH($F358,사건마스터!$A$5:$A$64,0)),""))</f>
        <v/>
      </c>
      <c r="M358" s="35">
        <f>IF($F358="","",IFERROR(INDEX(사건마스터!$AJ$5:$AJ$64,MATCH($F358,사건마스터!$A$5:$A$64,0)),""))</f>
        <v/>
      </c>
      <c r="N358" s="35">
        <f>IF($F358="","",IFERROR(INDEX(사건마스터!$AK$5:$AK$64,MATCH($F358,사건마스터!$A$5:$A$64,0)),""))</f>
        <v/>
      </c>
      <c r="O358" s="35">
        <f>IF($F358="","",IFERROR(INDEX(사건마스터!$AL$5:$AL$64,MATCH($F358,사건마스터!$A$5:$A$64,0)),""))</f>
        <v/>
      </c>
      <c r="P358" s="35">
        <f>IF($F358="","",IFERROR(INDEX(사건마스터!$AM$5:$AM$64,MATCH($F358,사건마스터!$A$5:$A$64,0)),""))</f>
        <v/>
      </c>
      <c r="Q358" s="35">
        <f>IF($F358="","",IFERROR(INDEX(사건마스터!$AN$5:$AN$64,MATCH($F358,사건마스터!$A$5:$A$64,0)),""))</f>
        <v/>
      </c>
      <c r="R358" s="35">
        <f>IF($F358="","",IFERROR(INDEX(사건마스터!$AO$5:$AO$64,MATCH($F358,사건마스터!$A$5:$A$64,0)),""))</f>
        <v/>
      </c>
      <c r="S358" s="35">
        <f>IF($F358="","",IFERROR(INDEX(사건마스터!$AP$5:$AP$64,MATCH($F358,사건마스터!$A$5:$A$64,0)),""))</f>
        <v/>
      </c>
      <c r="T358" s="35">
        <f>IF($F358="","",IFERROR(INDEX(사건마스터!$AQ$5:$AQ$64,MATCH($F358,사건마스터!$A$5:$A$64,0)),""))</f>
        <v/>
      </c>
      <c r="U358" s="35">
        <f>IF($F358="","",IFERROR(INDEX(사건마스터!$AR$5:$AR$64,MATCH($F358,사건마스터!$A$5:$A$64,0)),""))</f>
        <v/>
      </c>
      <c r="V358" s="35">
        <f>IF($F358="","",IFERROR(INDEX(사건마스터!$AS$5:$AS$64,MATCH($F358,사건마스터!$A$5:$A$64,0)),""))</f>
        <v/>
      </c>
      <c r="W358" s="35">
        <f>IF($F358="","",IFERROR(INDEX(사건마스터!$AT$5:$AT$64,MATCH($F358,사건마스터!$A$5:$A$64,0)),""))</f>
        <v/>
      </c>
      <c r="X358" s="35">
        <f>IF($F358="","",IFERROR(INDEX(사건마스터!$AU$5:$AU$64,MATCH($F358,사건마스터!$A$5:$A$64,0)),""))</f>
        <v/>
      </c>
      <c r="Y358" s="35">
        <f>IF($F358="","",IFERROR(INDEX(사건마스터!$AV$5:$AV$64,MATCH($F358,사건마스터!$A$5:$A$64,0)),""))</f>
        <v/>
      </c>
      <c r="Z358" s="30">
        <f>IF(COUNTBLANK($J358:$Y358)=16,"",16-COUNTBLANK($J358:$Y358))</f>
        <v/>
      </c>
      <c r="AA358" s="33">
        <f>IF($J358="",MID($AX358,3,255),$J358&amp;$AX358)</f>
        <v/>
      </c>
      <c r="AB358" s="34">
        <f>IF($J358="","",IFERROR(INDEX(코드설정!$D$5:$D$24,MATCH($J358,코드설정!$C$5:$C$24,0)),""))</f>
        <v/>
      </c>
      <c r="AC358" s="36" t="n"/>
      <c r="AD358" s="37" t="n"/>
      <c r="AE358" s="38" t="n"/>
      <c r="AF358" s="30">
        <f>IF(OR($B358="",$C358=""),"",$C358-$B358+1)</f>
        <v/>
      </c>
      <c r="AG358" s="32" t="n"/>
      <c r="AH358" s="36" t="n"/>
      <c r="AJ358">
        <f>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  <c r="AX358">
        <f>AW358&amp;IF($Y358="","",", "&amp;$Y358)</f>
        <v/>
      </c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0">
        <f>IF($F359="","",COUNTIF($F$5:$F359,$F359))</f>
        <v/>
      </c>
      <c r="H359" s="33">
        <f>IF($F359="","",IFERROR(INDEX(사건마스터!$B$5:$B$64,MATCH($F359,사건마스터!$A$5:$A$64,0)),""))</f>
        <v/>
      </c>
      <c r="I359" s="34">
        <f>IF($F359="","",IFERROR(INDEX(사건마스터!$C$5:$C$64,MATCH($F359,사건마스터!$A$5:$A$64,0)),""))</f>
        <v/>
      </c>
      <c r="J359" s="35">
        <f>IF($F359="","",IFERROR(INDEX(사건마스터!$H$5:$H$64,MATCH($F359,사건마스터!$A$5:$A$64,0)),""))</f>
        <v/>
      </c>
      <c r="K359" s="35">
        <f>IF($F359="","",IFERROR(INDEX(사건마스터!$AH$5:$AH$64,MATCH($F359,사건마스터!$A$5:$A$64,0)),""))</f>
        <v/>
      </c>
      <c r="L359" s="35">
        <f>IF($F359="","",IFERROR(INDEX(사건마스터!$AI$5:$AI$64,MATCH($F359,사건마스터!$A$5:$A$64,0)),""))</f>
        <v/>
      </c>
      <c r="M359" s="35">
        <f>IF($F359="","",IFERROR(INDEX(사건마스터!$AJ$5:$AJ$64,MATCH($F359,사건마스터!$A$5:$A$64,0)),""))</f>
        <v/>
      </c>
      <c r="N359" s="35">
        <f>IF($F359="","",IFERROR(INDEX(사건마스터!$AK$5:$AK$64,MATCH($F359,사건마스터!$A$5:$A$64,0)),""))</f>
        <v/>
      </c>
      <c r="O359" s="35">
        <f>IF($F359="","",IFERROR(INDEX(사건마스터!$AL$5:$AL$64,MATCH($F359,사건마스터!$A$5:$A$64,0)),""))</f>
        <v/>
      </c>
      <c r="P359" s="35">
        <f>IF($F359="","",IFERROR(INDEX(사건마스터!$AM$5:$AM$64,MATCH($F359,사건마스터!$A$5:$A$64,0)),""))</f>
        <v/>
      </c>
      <c r="Q359" s="35">
        <f>IF($F359="","",IFERROR(INDEX(사건마스터!$AN$5:$AN$64,MATCH($F359,사건마스터!$A$5:$A$64,0)),""))</f>
        <v/>
      </c>
      <c r="R359" s="35">
        <f>IF($F359="","",IFERROR(INDEX(사건마스터!$AO$5:$AO$64,MATCH($F359,사건마스터!$A$5:$A$64,0)),""))</f>
        <v/>
      </c>
      <c r="S359" s="35">
        <f>IF($F359="","",IFERROR(INDEX(사건마스터!$AP$5:$AP$64,MATCH($F359,사건마스터!$A$5:$A$64,0)),""))</f>
        <v/>
      </c>
      <c r="T359" s="35">
        <f>IF($F359="","",IFERROR(INDEX(사건마스터!$AQ$5:$AQ$64,MATCH($F359,사건마스터!$A$5:$A$64,0)),""))</f>
        <v/>
      </c>
      <c r="U359" s="35">
        <f>IF($F359="","",IFERROR(INDEX(사건마스터!$AR$5:$AR$64,MATCH($F359,사건마스터!$A$5:$A$64,0)),""))</f>
        <v/>
      </c>
      <c r="V359" s="35">
        <f>IF($F359="","",IFERROR(INDEX(사건마스터!$AS$5:$AS$64,MATCH($F359,사건마스터!$A$5:$A$64,0)),""))</f>
        <v/>
      </c>
      <c r="W359" s="35">
        <f>IF($F359="","",IFERROR(INDEX(사건마스터!$AT$5:$AT$64,MATCH($F359,사건마스터!$A$5:$A$64,0)),""))</f>
        <v/>
      </c>
      <c r="X359" s="35">
        <f>IF($F359="","",IFERROR(INDEX(사건마스터!$AU$5:$AU$64,MATCH($F359,사건마스터!$A$5:$A$64,0)),""))</f>
        <v/>
      </c>
      <c r="Y359" s="35">
        <f>IF($F359="","",IFERROR(INDEX(사건마스터!$AV$5:$AV$64,MATCH($F359,사건마스터!$A$5:$A$64,0)),""))</f>
        <v/>
      </c>
      <c r="Z359" s="30">
        <f>IF(COUNTBLANK($J359:$Y359)=16,"",16-COUNTBLANK($J359:$Y359))</f>
        <v/>
      </c>
      <c r="AA359" s="33">
        <f>IF($J359="",MID($AX359,3,255),$J359&amp;$AX359)</f>
        <v/>
      </c>
      <c r="AB359" s="34">
        <f>IF($J359="","",IFERROR(INDEX(코드설정!$D$5:$D$24,MATCH($J359,코드설정!$C$5:$C$24,0)),""))</f>
        <v/>
      </c>
      <c r="AC359" s="36" t="n"/>
      <c r="AD359" s="37" t="n"/>
      <c r="AE359" s="38" t="n"/>
      <c r="AF359" s="30">
        <f>IF(OR($B359="",$C359=""),"",$C359-$B359+1)</f>
        <v/>
      </c>
      <c r="AG359" s="32" t="n"/>
      <c r="AH359" s="36" t="n"/>
      <c r="AJ359">
        <f>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  <c r="AX359">
        <f>AW359&amp;IF($Y359="","",", "&amp;$Y359)</f>
        <v/>
      </c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0">
        <f>IF($F360="","",COUNTIF($F$5:$F360,$F360))</f>
        <v/>
      </c>
      <c r="H360" s="33">
        <f>IF($F360="","",IFERROR(INDEX(사건마스터!$B$5:$B$64,MATCH($F360,사건마스터!$A$5:$A$64,0)),""))</f>
        <v/>
      </c>
      <c r="I360" s="34">
        <f>IF($F360="","",IFERROR(INDEX(사건마스터!$C$5:$C$64,MATCH($F360,사건마스터!$A$5:$A$64,0)),""))</f>
        <v/>
      </c>
      <c r="J360" s="35">
        <f>IF($F360="","",IFERROR(INDEX(사건마스터!$H$5:$H$64,MATCH($F360,사건마스터!$A$5:$A$64,0)),""))</f>
        <v/>
      </c>
      <c r="K360" s="35">
        <f>IF($F360="","",IFERROR(INDEX(사건마스터!$AH$5:$AH$64,MATCH($F360,사건마스터!$A$5:$A$64,0)),""))</f>
        <v/>
      </c>
      <c r="L360" s="35">
        <f>IF($F360="","",IFERROR(INDEX(사건마스터!$AI$5:$AI$64,MATCH($F360,사건마스터!$A$5:$A$64,0)),""))</f>
        <v/>
      </c>
      <c r="M360" s="35">
        <f>IF($F360="","",IFERROR(INDEX(사건마스터!$AJ$5:$AJ$64,MATCH($F360,사건마스터!$A$5:$A$64,0)),""))</f>
        <v/>
      </c>
      <c r="N360" s="35">
        <f>IF($F360="","",IFERROR(INDEX(사건마스터!$AK$5:$AK$64,MATCH($F360,사건마스터!$A$5:$A$64,0)),""))</f>
        <v/>
      </c>
      <c r="O360" s="35">
        <f>IF($F360="","",IFERROR(INDEX(사건마스터!$AL$5:$AL$64,MATCH($F360,사건마스터!$A$5:$A$64,0)),""))</f>
        <v/>
      </c>
      <c r="P360" s="35">
        <f>IF($F360="","",IFERROR(INDEX(사건마스터!$AM$5:$AM$64,MATCH($F360,사건마스터!$A$5:$A$64,0)),""))</f>
        <v/>
      </c>
      <c r="Q360" s="35">
        <f>IF($F360="","",IFERROR(INDEX(사건마스터!$AN$5:$AN$64,MATCH($F360,사건마스터!$A$5:$A$64,0)),""))</f>
        <v/>
      </c>
      <c r="R360" s="35">
        <f>IF($F360="","",IFERROR(INDEX(사건마스터!$AO$5:$AO$64,MATCH($F360,사건마스터!$A$5:$A$64,0)),""))</f>
        <v/>
      </c>
      <c r="S360" s="35">
        <f>IF($F360="","",IFERROR(INDEX(사건마스터!$AP$5:$AP$64,MATCH($F360,사건마스터!$A$5:$A$64,0)),""))</f>
        <v/>
      </c>
      <c r="T360" s="35">
        <f>IF($F360="","",IFERROR(INDEX(사건마스터!$AQ$5:$AQ$64,MATCH($F360,사건마스터!$A$5:$A$64,0)),""))</f>
        <v/>
      </c>
      <c r="U360" s="35">
        <f>IF($F360="","",IFERROR(INDEX(사건마스터!$AR$5:$AR$64,MATCH($F360,사건마스터!$A$5:$A$64,0)),""))</f>
        <v/>
      </c>
      <c r="V360" s="35">
        <f>IF($F360="","",IFERROR(INDEX(사건마스터!$AS$5:$AS$64,MATCH($F360,사건마스터!$A$5:$A$64,0)),""))</f>
        <v/>
      </c>
      <c r="W360" s="35">
        <f>IF($F360="","",IFERROR(INDEX(사건마스터!$AT$5:$AT$64,MATCH($F360,사건마스터!$A$5:$A$64,0)),""))</f>
        <v/>
      </c>
      <c r="X360" s="35">
        <f>IF($F360="","",IFERROR(INDEX(사건마스터!$AU$5:$AU$64,MATCH($F360,사건마스터!$A$5:$A$64,0)),""))</f>
        <v/>
      </c>
      <c r="Y360" s="35">
        <f>IF($F360="","",IFERROR(INDEX(사건마스터!$AV$5:$AV$64,MATCH($F360,사건마스터!$A$5:$A$64,0)),""))</f>
        <v/>
      </c>
      <c r="Z360" s="30">
        <f>IF(COUNTBLANK($J360:$Y360)=16,"",16-COUNTBLANK($J360:$Y360))</f>
        <v/>
      </c>
      <c r="AA360" s="33">
        <f>IF($J360="",MID($AX360,3,255),$J360&amp;$AX360)</f>
        <v/>
      </c>
      <c r="AB360" s="34">
        <f>IF($J360="","",IFERROR(INDEX(코드설정!$D$5:$D$24,MATCH($J360,코드설정!$C$5:$C$24,0)),""))</f>
        <v/>
      </c>
      <c r="AC360" s="36" t="n"/>
      <c r="AD360" s="37" t="n"/>
      <c r="AE360" s="38" t="n"/>
      <c r="AF360" s="30">
        <f>IF(OR($B360="",$C360=""),"",$C360-$B360+1)</f>
        <v/>
      </c>
      <c r="AG360" s="32" t="n"/>
      <c r="AH360" s="36" t="n"/>
      <c r="AJ360">
        <f>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  <c r="AX360">
        <f>AW360&amp;IF($Y360="","",", "&amp;$Y360)</f>
        <v/>
      </c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0">
        <f>IF($F361="","",COUNTIF($F$5:$F361,$F361))</f>
        <v/>
      </c>
      <c r="H361" s="33">
        <f>IF($F361="","",IFERROR(INDEX(사건마스터!$B$5:$B$64,MATCH($F361,사건마스터!$A$5:$A$64,0)),""))</f>
        <v/>
      </c>
      <c r="I361" s="34">
        <f>IF($F361="","",IFERROR(INDEX(사건마스터!$C$5:$C$64,MATCH($F361,사건마스터!$A$5:$A$64,0)),""))</f>
        <v/>
      </c>
      <c r="J361" s="35">
        <f>IF($F361="","",IFERROR(INDEX(사건마스터!$H$5:$H$64,MATCH($F361,사건마스터!$A$5:$A$64,0)),""))</f>
        <v/>
      </c>
      <c r="K361" s="35">
        <f>IF($F361="","",IFERROR(INDEX(사건마스터!$AH$5:$AH$64,MATCH($F361,사건마스터!$A$5:$A$64,0)),""))</f>
        <v/>
      </c>
      <c r="L361" s="35">
        <f>IF($F361="","",IFERROR(INDEX(사건마스터!$AI$5:$AI$64,MATCH($F361,사건마스터!$A$5:$A$64,0)),""))</f>
        <v/>
      </c>
      <c r="M361" s="35">
        <f>IF($F361="","",IFERROR(INDEX(사건마스터!$AJ$5:$AJ$64,MATCH($F361,사건마스터!$A$5:$A$64,0)),""))</f>
        <v/>
      </c>
      <c r="N361" s="35">
        <f>IF($F361="","",IFERROR(INDEX(사건마스터!$AK$5:$AK$64,MATCH($F361,사건마스터!$A$5:$A$64,0)),""))</f>
        <v/>
      </c>
      <c r="O361" s="35">
        <f>IF($F361="","",IFERROR(INDEX(사건마스터!$AL$5:$AL$64,MATCH($F361,사건마스터!$A$5:$A$64,0)),""))</f>
        <v/>
      </c>
      <c r="P361" s="35">
        <f>IF($F361="","",IFERROR(INDEX(사건마스터!$AM$5:$AM$64,MATCH($F361,사건마스터!$A$5:$A$64,0)),""))</f>
        <v/>
      </c>
      <c r="Q361" s="35">
        <f>IF($F361="","",IFERROR(INDEX(사건마스터!$AN$5:$AN$64,MATCH($F361,사건마스터!$A$5:$A$64,0)),""))</f>
        <v/>
      </c>
      <c r="R361" s="35">
        <f>IF($F361="","",IFERROR(INDEX(사건마스터!$AO$5:$AO$64,MATCH($F361,사건마스터!$A$5:$A$64,0)),""))</f>
        <v/>
      </c>
      <c r="S361" s="35">
        <f>IF($F361="","",IFERROR(INDEX(사건마스터!$AP$5:$AP$64,MATCH($F361,사건마스터!$A$5:$A$64,0)),""))</f>
        <v/>
      </c>
      <c r="T361" s="35">
        <f>IF($F361="","",IFERROR(INDEX(사건마스터!$AQ$5:$AQ$64,MATCH($F361,사건마스터!$A$5:$A$64,0)),""))</f>
        <v/>
      </c>
      <c r="U361" s="35">
        <f>IF($F361="","",IFERROR(INDEX(사건마스터!$AR$5:$AR$64,MATCH($F361,사건마스터!$A$5:$A$64,0)),""))</f>
        <v/>
      </c>
      <c r="V361" s="35">
        <f>IF($F361="","",IFERROR(INDEX(사건마스터!$AS$5:$AS$64,MATCH($F361,사건마스터!$A$5:$A$64,0)),""))</f>
        <v/>
      </c>
      <c r="W361" s="35">
        <f>IF($F361="","",IFERROR(INDEX(사건마스터!$AT$5:$AT$64,MATCH($F361,사건마스터!$A$5:$A$64,0)),""))</f>
        <v/>
      </c>
      <c r="X361" s="35">
        <f>IF($F361="","",IFERROR(INDEX(사건마스터!$AU$5:$AU$64,MATCH($F361,사건마스터!$A$5:$A$64,0)),""))</f>
        <v/>
      </c>
      <c r="Y361" s="35">
        <f>IF($F361="","",IFERROR(INDEX(사건마스터!$AV$5:$AV$64,MATCH($F361,사건마스터!$A$5:$A$64,0)),""))</f>
        <v/>
      </c>
      <c r="Z361" s="30">
        <f>IF(COUNTBLANK($J361:$Y361)=16,"",16-COUNTBLANK($J361:$Y361))</f>
        <v/>
      </c>
      <c r="AA361" s="33">
        <f>IF($J361="",MID($AX361,3,255),$J361&amp;$AX361)</f>
        <v/>
      </c>
      <c r="AB361" s="34">
        <f>IF($J361="","",IFERROR(INDEX(코드설정!$D$5:$D$24,MATCH($J361,코드설정!$C$5:$C$24,0)),""))</f>
        <v/>
      </c>
      <c r="AC361" s="36" t="n"/>
      <c r="AD361" s="37" t="n"/>
      <c r="AE361" s="38" t="n"/>
      <c r="AF361" s="30">
        <f>IF(OR($B361="",$C361=""),"",$C361-$B361+1)</f>
        <v/>
      </c>
      <c r="AG361" s="32" t="n"/>
      <c r="AH361" s="36" t="n"/>
      <c r="AJ361">
        <f>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  <c r="AX361">
        <f>AW361&amp;IF($Y361="","",", "&amp;$Y361)</f>
        <v/>
      </c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0">
        <f>IF($F362="","",COUNTIF($F$5:$F362,$F362))</f>
        <v/>
      </c>
      <c r="H362" s="33">
        <f>IF($F362="","",IFERROR(INDEX(사건마스터!$B$5:$B$64,MATCH($F362,사건마스터!$A$5:$A$64,0)),""))</f>
        <v/>
      </c>
      <c r="I362" s="34">
        <f>IF($F362="","",IFERROR(INDEX(사건마스터!$C$5:$C$64,MATCH($F362,사건마스터!$A$5:$A$64,0)),""))</f>
        <v/>
      </c>
      <c r="J362" s="35">
        <f>IF($F362="","",IFERROR(INDEX(사건마스터!$H$5:$H$64,MATCH($F362,사건마스터!$A$5:$A$64,0)),""))</f>
        <v/>
      </c>
      <c r="K362" s="35">
        <f>IF($F362="","",IFERROR(INDEX(사건마스터!$AH$5:$AH$64,MATCH($F362,사건마스터!$A$5:$A$64,0)),""))</f>
        <v/>
      </c>
      <c r="L362" s="35">
        <f>IF($F362="","",IFERROR(INDEX(사건마스터!$AI$5:$AI$64,MATCH($F362,사건마스터!$A$5:$A$64,0)),""))</f>
        <v/>
      </c>
      <c r="M362" s="35">
        <f>IF($F362="","",IFERROR(INDEX(사건마스터!$AJ$5:$AJ$64,MATCH($F362,사건마스터!$A$5:$A$64,0)),""))</f>
        <v/>
      </c>
      <c r="N362" s="35">
        <f>IF($F362="","",IFERROR(INDEX(사건마스터!$AK$5:$AK$64,MATCH($F362,사건마스터!$A$5:$A$64,0)),""))</f>
        <v/>
      </c>
      <c r="O362" s="35">
        <f>IF($F362="","",IFERROR(INDEX(사건마스터!$AL$5:$AL$64,MATCH($F362,사건마스터!$A$5:$A$64,0)),""))</f>
        <v/>
      </c>
      <c r="P362" s="35">
        <f>IF($F362="","",IFERROR(INDEX(사건마스터!$AM$5:$AM$64,MATCH($F362,사건마스터!$A$5:$A$64,0)),""))</f>
        <v/>
      </c>
      <c r="Q362" s="35">
        <f>IF($F362="","",IFERROR(INDEX(사건마스터!$AN$5:$AN$64,MATCH($F362,사건마스터!$A$5:$A$64,0)),""))</f>
        <v/>
      </c>
      <c r="R362" s="35">
        <f>IF($F362="","",IFERROR(INDEX(사건마스터!$AO$5:$AO$64,MATCH($F362,사건마스터!$A$5:$A$64,0)),""))</f>
        <v/>
      </c>
      <c r="S362" s="35">
        <f>IF($F362="","",IFERROR(INDEX(사건마스터!$AP$5:$AP$64,MATCH($F362,사건마스터!$A$5:$A$64,0)),""))</f>
        <v/>
      </c>
      <c r="T362" s="35">
        <f>IF($F362="","",IFERROR(INDEX(사건마스터!$AQ$5:$AQ$64,MATCH($F362,사건마스터!$A$5:$A$64,0)),""))</f>
        <v/>
      </c>
      <c r="U362" s="35">
        <f>IF($F362="","",IFERROR(INDEX(사건마스터!$AR$5:$AR$64,MATCH($F362,사건마스터!$A$5:$A$64,0)),""))</f>
        <v/>
      </c>
      <c r="V362" s="35">
        <f>IF($F362="","",IFERROR(INDEX(사건마스터!$AS$5:$AS$64,MATCH($F362,사건마스터!$A$5:$A$64,0)),""))</f>
        <v/>
      </c>
      <c r="W362" s="35">
        <f>IF($F362="","",IFERROR(INDEX(사건마스터!$AT$5:$AT$64,MATCH($F362,사건마스터!$A$5:$A$64,0)),""))</f>
        <v/>
      </c>
      <c r="X362" s="35">
        <f>IF($F362="","",IFERROR(INDEX(사건마스터!$AU$5:$AU$64,MATCH($F362,사건마스터!$A$5:$A$64,0)),""))</f>
        <v/>
      </c>
      <c r="Y362" s="35">
        <f>IF($F362="","",IFERROR(INDEX(사건마스터!$AV$5:$AV$64,MATCH($F362,사건마스터!$A$5:$A$64,0)),""))</f>
        <v/>
      </c>
      <c r="Z362" s="30">
        <f>IF(COUNTBLANK($J362:$Y362)=16,"",16-COUNTBLANK($J362:$Y362))</f>
        <v/>
      </c>
      <c r="AA362" s="33">
        <f>IF($J362="",MID($AX362,3,255),$J362&amp;$AX362)</f>
        <v/>
      </c>
      <c r="AB362" s="34">
        <f>IF($J362="","",IFERROR(INDEX(코드설정!$D$5:$D$24,MATCH($J362,코드설정!$C$5:$C$24,0)),""))</f>
        <v/>
      </c>
      <c r="AC362" s="36" t="n"/>
      <c r="AD362" s="37" t="n"/>
      <c r="AE362" s="38" t="n"/>
      <c r="AF362" s="30">
        <f>IF(OR($B362="",$C362=""),"",$C362-$B362+1)</f>
        <v/>
      </c>
      <c r="AG362" s="32" t="n"/>
      <c r="AH362" s="36" t="n"/>
      <c r="AJ362">
        <f>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  <c r="AX362">
        <f>AW362&amp;IF($Y362="","",", "&amp;$Y362)</f>
        <v/>
      </c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0">
        <f>IF($F363="","",COUNTIF($F$5:$F363,$F363))</f>
        <v/>
      </c>
      <c r="H363" s="33">
        <f>IF($F363="","",IFERROR(INDEX(사건마스터!$B$5:$B$64,MATCH($F363,사건마스터!$A$5:$A$64,0)),""))</f>
        <v/>
      </c>
      <c r="I363" s="34">
        <f>IF($F363="","",IFERROR(INDEX(사건마스터!$C$5:$C$64,MATCH($F363,사건마스터!$A$5:$A$64,0)),""))</f>
        <v/>
      </c>
      <c r="J363" s="35">
        <f>IF($F363="","",IFERROR(INDEX(사건마스터!$H$5:$H$64,MATCH($F363,사건마스터!$A$5:$A$64,0)),""))</f>
        <v/>
      </c>
      <c r="K363" s="35">
        <f>IF($F363="","",IFERROR(INDEX(사건마스터!$AH$5:$AH$64,MATCH($F363,사건마스터!$A$5:$A$64,0)),""))</f>
        <v/>
      </c>
      <c r="L363" s="35">
        <f>IF($F363="","",IFERROR(INDEX(사건마스터!$AI$5:$AI$64,MATCH($F363,사건마스터!$A$5:$A$64,0)),""))</f>
        <v/>
      </c>
      <c r="M363" s="35">
        <f>IF($F363="","",IFERROR(INDEX(사건마스터!$AJ$5:$AJ$64,MATCH($F363,사건마스터!$A$5:$A$64,0)),""))</f>
        <v/>
      </c>
      <c r="N363" s="35">
        <f>IF($F363="","",IFERROR(INDEX(사건마스터!$AK$5:$AK$64,MATCH($F363,사건마스터!$A$5:$A$64,0)),""))</f>
        <v/>
      </c>
      <c r="O363" s="35">
        <f>IF($F363="","",IFERROR(INDEX(사건마스터!$AL$5:$AL$64,MATCH($F363,사건마스터!$A$5:$A$64,0)),""))</f>
        <v/>
      </c>
      <c r="P363" s="35">
        <f>IF($F363="","",IFERROR(INDEX(사건마스터!$AM$5:$AM$64,MATCH($F363,사건마스터!$A$5:$A$64,0)),""))</f>
        <v/>
      </c>
      <c r="Q363" s="35">
        <f>IF($F363="","",IFERROR(INDEX(사건마스터!$AN$5:$AN$64,MATCH($F363,사건마스터!$A$5:$A$64,0)),""))</f>
        <v/>
      </c>
      <c r="R363" s="35">
        <f>IF($F363="","",IFERROR(INDEX(사건마스터!$AO$5:$AO$64,MATCH($F363,사건마스터!$A$5:$A$64,0)),""))</f>
        <v/>
      </c>
      <c r="S363" s="35">
        <f>IF($F363="","",IFERROR(INDEX(사건마스터!$AP$5:$AP$64,MATCH($F363,사건마스터!$A$5:$A$64,0)),""))</f>
        <v/>
      </c>
      <c r="T363" s="35">
        <f>IF($F363="","",IFERROR(INDEX(사건마스터!$AQ$5:$AQ$64,MATCH($F363,사건마스터!$A$5:$A$64,0)),""))</f>
        <v/>
      </c>
      <c r="U363" s="35">
        <f>IF($F363="","",IFERROR(INDEX(사건마스터!$AR$5:$AR$64,MATCH($F363,사건마스터!$A$5:$A$64,0)),""))</f>
        <v/>
      </c>
      <c r="V363" s="35">
        <f>IF($F363="","",IFERROR(INDEX(사건마스터!$AS$5:$AS$64,MATCH($F363,사건마스터!$A$5:$A$64,0)),""))</f>
        <v/>
      </c>
      <c r="W363" s="35">
        <f>IF($F363="","",IFERROR(INDEX(사건마스터!$AT$5:$AT$64,MATCH($F363,사건마스터!$A$5:$A$64,0)),""))</f>
        <v/>
      </c>
      <c r="X363" s="35">
        <f>IF($F363="","",IFERROR(INDEX(사건마스터!$AU$5:$AU$64,MATCH($F363,사건마스터!$A$5:$A$64,0)),""))</f>
        <v/>
      </c>
      <c r="Y363" s="35">
        <f>IF($F363="","",IFERROR(INDEX(사건마스터!$AV$5:$AV$64,MATCH($F363,사건마스터!$A$5:$A$64,0)),""))</f>
        <v/>
      </c>
      <c r="Z363" s="30">
        <f>IF(COUNTBLANK($J363:$Y363)=16,"",16-COUNTBLANK($J363:$Y363))</f>
        <v/>
      </c>
      <c r="AA363" s="33">
        <f>IF($J363="",MID($AX363,3,255),$J363&amp;$AX363)</f>
        <v/>
      </c>
      <c r="AB363" s="34">
        <f>IF($J363="","",IFERROR(INDEX(코드설정!$D$5:$D$24,MATCH($J363,코드설정!$C$5:$C$24,0)),""))</f>
        <v/>
      </c>
      <c r="AC363" s="36" t="n"/>
      <c r="AD363" s="37" t="n"/>
      <c r="AE363" s="38" t="n"/>
      <c r="AF363" s="30">
        <f>IF(OR($B363="",$C363=""),"",$C363-$B363+1)</f>
        <v/>
      </c>
      <c r="AG363" s="32" t="n"/>
      <c r="AH363" s="36" t="n"/>
      <c r="AJ363">
        <f>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  <c r="AX363">
        <f>AW363&amp;IF($Y363="","",", "&amp;$Y363)</f>
        <v/>
      </c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0">
        <f>IF($F364="","",COUNTIF($F$5:$F364,$F364))</f>
        <v/>
      </c>
      <c r="H364" s="33">
        <f>IF($F364="","",IFERROR(INDEX(사건마스터!$B$5:$B$64,MATCH($F364,사건마스터!$A$5:$A$64,0)),""))</f>
        <v/>
      </c>
      <c r="I364" s="34">
        <f>IF($F364="","",IFERROR(INDEX(사건마스터!$C$5:$C$64,MATCH($F364,사건마스터!$A$5:$A$64,0)),""))</f>
        <v/>
      </c>
      <c r="J364" s="35">
        <f>IF($F364="","",IFERROR(INDEX(사건마스터!$H$5:$H$64,MATCH($F364,사건마스터!$A$5:$A$64,0)),""))</f>
        <v/>
      </c>
      <c r="K364" s="35">
        <f>IF($F364="","",IFERROR(INDEX(사건마스터!$AH$5:$AH$64,MATCH($F364,사건마스터!$A$5:$A$64,0)),""))</f>
        <v/>
      </c>
      <c r="L364" s="35">
        <f>IF($F364="","",IFERROR(INDEX(사건마스터!$AI$5:$AI$64,MATCH($F364,사건마스터!$A$5:$A$64,0)),""))</f>
        <v/>
      </c>
      <c r="M364" s="35">
        <f>IF($F364="","",IFERROR(INDEX(사건마스터!$AJ$5:$AJ$64,MATCH($F364,사건마스터!$A$5:$A$64,0)),""))</f>
        <v/>
      </c>
      <c r="N364" s="35">
        <f>IF($F364="","",IFERROR(INDEX(사건마스터!$AK$5:$AK$64,MATCH($F364,사건마스터!$A$5:$A$64,0)),""))</f>
        <v/>
      </c>
      <c r="O364" s="35">
        <f>IF($F364="","",IFERROR(INDEX(사건마스터!$AL$5:$AL$64,MATCH($F364,사건마스터!$A$5:$A$64,0)),""))</f>
        <v/>
      </c>
      <c r="P364" s="35">
        <f>IF($F364="","",IFERROR(INDEX(사건마스터!$AM$5:$AM$64,MATCH($F364,사건마스터!$A$5:$A$64,0)),""))</f>
        <v/>
      </c>
      <c r="Q364" s="35">
        <f>IF($F364="","",IFERROR(INDEX(사건마스터!$AN$5:$AN$64,MATCH($F364,사건마스터!$A$5:$A$64,0)),""))</f>
        <v/>
      </c>
      <c r="R364" s="35">
        <f>IF($F364="","",IFERROR(INDEX(사건마스터!$AO$5:$AO$64,MATCH($F364,사건마스터!$A$5:$A$64,0)),""))</f>
        <v/>
      </c>
      <c r="S364" s="35">
        <f>IF($F364="","",IFERROR(INDEX(사건마스터!$AP$5:$AP$64,MATCH($F364,사건마스터!$A$5:$A$64,0)),""))</f>
        <v/>
      </c>
      <c r="T364" s="35">
        <f>IF($F364="","",IFERROR(INDEX(사건마스터!$AQ$5:$AQ$64,MATCH($F364,사건마스터!$A$5:$A$64,0)),""))</f>
        <v/>
      </c>
      <c r="U364" s="35">
        <f>IF($F364="","",IFERROR(INDEX(사건마스터!$AR$5:$AR$64,MATCH($F364,사건마스터!$A$5:$A$64,0)),""))</f>
        <v/>
      </c>
      <c r="V364" s="35">
        <f>IF($F364="","",IFERROR(INDEX(사건마스터!$AS$5:$AS$64,MATCH($F364,사건마스터!$A$5:$A$64,0)),""))</f>
        <v/>
      </c>
      <c r="W364" s="35">
        <f>IF($F364="","",IFERROR(INDEX(사건마스터!$AT$5:$AT$64,MATCH($F364,사건마스터!$A$5:$A$64,0)),""))</f>
        <v/>
      </c>
      <c r="X364" s="35">
        <f>IF($F364="","",IFERROR(INDEX(사건마스터!$AU$5:$AU$64,MATCH($F364,사건마스터!$A$5:$A$64,0)),""))</f>
        <v/>
      </c>
      <c r="Y364" s="35">
        <f>IF($F364="","",IFERROR(INDEX(사건마스터!$AV$5:$AV$64,MATCH($F364,사건마스터!$A$5:$A$64,0)),""))</f>
        <v/>
      </c>
      <c r="Z364" s="30">
        <f>IF(COUNTBLANK($J364:$Y364)=16,"",16-COUNTBLANK($J364:$Y364))</f>
        <v/>
      </c>
      <c r="AA364" s="33">
        <f>IF($J364="",MID($AX364,3,255),$J364&amp;$AX364)</f>
        <v/>
      </c>
      <c r="AB364" s="34">
        <f>IF($J364="","",IFERROR(INDEX(코드설정!$D$5:$D$24,MATCH($J364,코드설정!$C$5:$C$24,0)),""))</f>
        <v/>
      </c>
      <c r="AC364" s="36" t="n"/>
      <c r="AD364" s="37" t="n"/>
      <c r="AE364" s="38" t="n"/>
      <c r="AF364" s="30">
        <f>IF(OR($B364="",$C364=""),"",$C364-$B364+1)</f>
        <v/>
      </c>
      <c r="AG364" s="32" t="n"/>
      <c r="AH364" s="36" t="n"/>
      <c r="AJ364">
        <f>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  <c r="AX364">
        <f>AW364&amp;IF($Y364="","",", "&amp;$Y364)</f>
        <v/>
      </c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0">
        <f>IF($F365="","",COUNTIF($F$5:$F365,$F365))</f>
        <v/>
      </c>
      <c r="H365" s="33">
        <f>IF($F365="","",IFERROR(INDEX(사건마스터!$B$5:$B$64,MATCH($F365,사건마스터!$A$5:$A$64,0)),""))</f>
        <v/>
      </c>
      <c r="I365" s="34">
        <f>IF($F365="","",IFERROR(INDEX(사건마스터!$C$5:$C$64,MATCH($F365,사건마스터!$A$5:$A$64,0)),""))</f>
        <v/>
      </c>
      <c r="J365" s="35">
        <f>IF($F365="","",IFERROR(INDEX(사건마스터!$H$5:$H$64,MATCH($F365,사건마스터!$A$5:$A$64,0)),""))</f>
        <v/>
      </c>
      <c r="K365" s="35">
        <f>IF($F365="","",IFERROR(INDEX(사건마스터!$AH$5:$AH$64,MATCH($F365,사건마스터!$A$5:$A$64,0)),""))</f>
        <v/>
      </c>
      <c r="L365" s="35">
        <f>IF($F365="","",IFERROR(INDEX(사건마스터!$AI$5:$AI$64,MATCH($F365,사건마스터!$A$5:$A$64,0)),""))</f>
        <v/>
      </c>
      <c r="M365" s="35">
        <f>IF($F365="","",IFERROR(INDEX(사건마스터!$AJ$5:$AJ$64,MATCH($F365,사건마스터!$A$5:$A$64,0)),""))</f>
        <v/>
      </c>
      <c r="N365" s="35">
        <f>IF($F365="","",IFERROR(INDEX(사건마스터!$AK$5:$AK$64,MATCH($F365,사건마스터!$A$5:$A$64,0)),""))</f>
        <v/>
      </c>
      <c r="O365" s="35">
        <f>IF($F365="","",IFERROR(INDEX(사건마스터!$AL$5:$AL$64,MATCH($F365,사건마스터!$A$5:$A$64,0)),""))</f>
        <v/>
      </c>
      <c r="P365" s="35">
        <f>IF($F365="","",IFERROR(INDEX(사건마스터!$AM$5:$AM$64,MATCH($F365,사건마스터!$A$5:$A$64,0)),""))</f>
        <v/>
      </c>
      <c r="Q365" s="35">
        <f>IF($F365="","",IFERROR(INDEX(사건마스터!$AN$5:$AN$64,MATCH($F365,사건마스터!$A$5:$A$64,0)),""))</f>
        <v/>
      </c>
      <c r="R365" s="35">
        <f>IF($F365="","",IFERROR(INDEX(사건마스터!$AO$5:$AO$64,MATCH($F365,사건마스터!$A$5:$A$64,0)),""))</f>
        <v/>
      </c>
      <c r="S365" s="35">
        <f>IF($F365="","",IFERROR(INDEX(사건마스터!$AP$5:$AP$64,MATCH($F365,사건마스터!$A$5:$A$64,0)),""))</f>
        <v/>
      </c>
      <c r="T365" s="35">
        <f>IF($F365="","",IFERROR(INDEX(사건마스터!$AQ$5:$AQ$64,MATCH($F365,사건마스터!$A$5:$A$64,0)),""))</f>
        <v/>
      </c>
      <c r="U365" s="35">
        <f>IF($F365="","",IFERROR(INDEX(사건마스터!$AR$5:$AR$64,MATCH($F365,사건마스터!$A$5:$A$64,0)),""))</f>
        <v/>
      </c>
      <c r="V365" s="35">
        <f>IF($F365="","",IFERROR(INDEX(사건마스터!$AS$5:$AS$64,MATCH($F365,사건마스터!$A$5:$A$64,0)),""))</f>
        <v/>
      </c>
      <c r="W365" s="35">
        <f>IF($F365="","",IFERROR(INDEX(사건마스터!$AT$5:$AT$64,MATCH($F365,사건마스터!$A$5:$A$64,0)),""))</f>
        <v/>
      </c>
      <c r="X365" s="35">
        <f>IF($F365="","",IFERROR(INDEX(사건마스터!$AU$5:$AU$64,MATCH($F365,사건마스터!$A$5:$A$64,0)),""))</f>
        <v/>
      </c>
      <c r="Y365" s="35">
        <f>IF($F365="","",IFERROR(INDEX(사건마스터!$AV$5:$AV$64,MATCH($F365,사건마스터!$A$5:$A$64,0)),""))</f>
        <v/>
      </c>
      <c r="Z365" s="30">
        <f>IF(COUNTBLANK($J365:$Y365)=16,"",16-COUNTBLANK($J365:$Y365))</f>
        <v/>
      </c>
      <c r="AA365" s="33">
        <f>IF($J365="",MID($AX365,3,255),$J365&amp;$AX365)</f>
        <v/>
      </c>
      <c r="AB365" s="34">
        <f>IF($J365="","",IFERROR(INDEX(코드설정!$D$5:$D$24,MATCH($J365,코드설정!$C$5:$C$24,0)),""))</f>
        <v/>
      </c>
      <c r="AC365" s="36" t="n"/>
      <c r="AD365" s="37" t="n"/>
      <c r="AE365" s="38" t="n"/>
      <c r="AF365" s="30">
        <f>IF(OR($B365="",$C365=""),"",$C365-$B365+1)</f>
        <v/>
      </c>
      <c r="AG365" s="32" t="n"/>
      <c r="AH365" s="36" t="n"/>
      <c r="AJ365">
        <f>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  <c r="AX365">
        <f>AW365&amp;IF($Y365="","",", "&amp;$Y365)</f>
        <v/>
      </c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0">
        <f>IF($F366="","",COUNTIF($F$5:$F366,$F366))</f>
        <v/>
      </c>
      <c r="H366" s="33">
        <f>IF($F366="","",IFERROR(INDEX(사건마스터!$B$5:$B$64,MATCH($F366,사건마스터!$A$5:$A$64,0)),""))</f>
        <v/>
      </c>
      <c r="I366" s="34">
        <f>IF($F366="","",IFERROR(INDEX(사건마스터!$C$5:$C$64,MATCH($F366,사건마스터!$A$5:$A$64,0)),""))</f>
        <v/>
      </c>
      <c r="J366" s="35">
        <f>IF($F366="","",IFERROR(INDEX(사건마스터!$H$5:$H$64,MATCH($F366,사건마스터!$A$5:$A$64,0)),""))</f>
        <v/>
      </c>
      <c r="K366" s="35">
        <f>IF($F366="","",IFERROR(INDEX(사건마스터!$AH$5:$AH$64,MATCH($F366,사건마스터!$A$5:$A$64,0)),""))</f>
        <v/>
      </c>
      <c r="L366" s="35">
        <f>IF($F366="","",IFERROR(INDEX(사건마스터!$AI$5:$AI$64,MATCH($F366,사건마스터!$A$5:$A$64,0)),""))</f>
        <v/>
      </c>
      <c r="M366" s="35">
        <f>IF($F366="","",IFERROR(INDEX(사건마스터!$AJ$5:$AJ$64,MATCH($F366,사건마스터!$A$5:$A$64,0)),""))</f>
        <v/>
      </c>
      <c r="N366" s="35">
        <f>IF($F366="","",IFERROR(INDEX(사건마스터!$AK$5:$AK$64,MATCH($F366,사건마스터!$A$5:$A$64,0)),""))</f>
        <v/>
      </c>
      <c r="O366" s="35">
        <f>IF($F366="","",IFERROR(INDEX(사건마스터!$AL$5:$AL$64,MATCH($F366,사건마스터!$A$5:$A$64,0)),""))</f>
        <v/>
      </c>
      <c r="P366" s="35">
        <f>IF($F366="","",IFERROR(INDEX(사건마스터!$AM$5:$AM$64,MATCH($F366,사건마스터!$A$5:$A$64,0)),""))</f>
        <v/>
      </c>
      <c r="Q366" s="35">
        <f>IF($F366="","",IFERROR(INDEX(사건마스터!$AN$5:$AN$64,MATCH($F366,사건마스터!$A$5:$A$64,0)),""))</f>
        <v/>
      </c>
      <c r="R366" s="35">
        <f>IF($F366="","",IFERROR(INDEX(사건마스터!$AO$5:$AO$64,MATCH($F366,사건마스터!$A$5:$A$64,0)),""))</f>
        <v/>
      </c>
      <c r="S366" s="35">
        <f>IF($F366="","",IFERROR(INDEX(사건마스터!$AP$5:$AP$64,MATCH($F366,사건마스터!$A$5:$A$64,0)),""))</f>
        <v/>
      </c>
      <c r="T366" s="35">
        <f>IF($F366="","",IFERROR(INDEX(사건마스터!$AQ$5:$AQ$64,MATCH($F366,사건마스터!$A$5:$A$64,0)),""))</f>
        <v/>
      </c>
      <c r="U366" s="35">
        <f>IF($F366="","",IFERROR(INDEX(사건마스터!$AR$5:$AR$64,MATCH($F366,사건마스터!$A$5:$A$64,0)),""))</f>
        <v/>
      </c>
      <c r="V366" s="35">
        <f>IF($F366="","",IFERROR(INDEX(사건마스터!$AS$5:$AS$64,MATCH($F366,사건마스터!$A$5:$A$64,0)),""))</f>
        <v/>
      </c>
      <c r="W366" s="35">
        <f>IF($F366="","",IFERROR(INDEX(사건마스터!$AT$5:$AT$64,MATCH($F366,사건마스터!$A$5:$A$64,0)),""))</f>
        <v/>
      </c>
      <c r="X366" s="35">
        <f>IF($F366="","",IFERROR(INDEX(사건마스터!$AU$5:$AU$64,MATCH($F366,사건마스터!$A$5:$A$64,0)),""))</f>
        <v/>
      </c>
      <c r="Y366" s="35">
        <f>IF($F366="","",IFERROR(INDEX(사건마스터!$AV$5:$AV$64,MATCH($F366,사건마스터!$A$5:$A$64,0)),""))</f>
        <v/>
      </c>
      <c r="Z366" s="30">
        <f>IF(COUNTBLANK($J366:$Y366)=16,"",16-COUNTBLANK($J366:$Y366))</f>
        <v/>
      </c>
      <c r="AA366" s="33">
        <f>IF($J366="",MID($AX366,3,255),$J366&amp;$AX366)</f>
        <v/>
      </c>
      <c r="AB366" s="34">
        <f>IF($J366="","",IFERROR(INDEX(코드설정!$D$5:$D$24,MATCH($J366,코드설정!$C$5:$C$24,0)),""))</f>
        <v/>
      </c>
      <c r="AC366" s="36" t="n"/>
      <c r="AD366" s="37" t="n"/>
      <c r="AE366" s="38" t="n"/>
      <c r="AF366" s="30">
        <f>IF(OR($B366="",$C366=""),"",$C366-$B366+1)</f>
        <v/>
      </c>
      <c r="AG366" s="32" t="n"/>
      <c r="AH366" s="36" t="n"/>
      <c r="AJ366">
        <f>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  <c r="AX366">
        <f>AW366&amp;IF($Y366="","",", "&amp;$Y366)</f>
        <v/>
      </c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0">
        <f>IF($F367="","",COUNTIF($F$5:$F367,$F367))</f>
        <v/>
      </c>
      <c r="H367" s="33">
        <f>IF($F367="","",IFERROR(INDEX(사건마스터!$B$5:$B$64,MATCH($F367,사건마스터!$A$5:$A$64,0)),""))</f>
        <v/>
      </c>
      <c r="I367" s="34">
        <f>IF($F367="","",IFERROR(INDEX(사건마스터!$C$5:$C$64,MATCH($F367,사건마스터!$A$5:$A$64,0)),""))</f>
        <v/>
      </c>
      <c r="J367" s="35">
        <f>IF($F367="","",IFERROR(INDEX(사건마스터!$H$5:$H$64,MATCH($F367,사건마스터!$A$5:$A$64,0)),""))</f>
        <v/>
      </c>
      <c r="K367" s="35">
        <f>IF($F367="","",IFERROR(INDEX(사건마스터!$AH$5:$AH$64,MATCH($F367,사건마스터!$A$5:$A$64,0)),""))</f>
        <v/>
      </c>
      <c r="L367" s="35">
        <f>IF($F367="","",IFERROR(INDEX(사건마스터!$AI$5:$AI$64,MATCH($F367,사건마스터!$A$5:$A$64,0)),""))</f>
        <v/>
      </c>
      <c r="M367" s="35">
        <f>IF($F367="","",IFERROR(INDEX(사건마스터!$AJ$5:$AJ$64,MATCH($F367,사건마스터!$A$5:$A$64,0)),""))</f>
        <v/>
      </c>
      <c r="N367" s="35">
        <f>IF($F367="","",IFERROR(INDEX(사건마스터!$AK$5:$AK$64,MATCH($F367,사건마스터!$A$5:$A$64,0)),""))</f>
        <v/>
      </c>
      <c r="O367" s="35">
        <f>IF($F367="","",IFERROR(INDEX(사건마스터!$AL$5:$AL$64,MATCH($F367,사건마스터!$A$5:$A$64,0)),""))</f>
        <v/>
      </c>
      <c r="P367" s="35">
        <f>IF($F367="","",IFERROR(INDEX(사건마스터!$AM$5:$AM$64,MATCH($F367,사건마스터!$A$5:$A$64,0)),""))</f>
        <v/>
      </c>
      <c r="Q367" s="35">
        <f>IF($F367="","",IFERROR(INDEX(사건마스터!$AN$5:$AN$64,MATCH($F367,사건마스터!$A$5:$A$64,0)),""))</f>
        <v/>
      </c>
      <c r="R367" s="35">
        <f>IF($F367="","",IFERROR(INDEX(사건마스터!$AO$5:$AO$64,MATCH($F367,사건마스터!$A$5:$A$64,0)),""))</f>
        <v/>
      </c>
      <c r="S367" s="35">
        <f>IF($F367="","",IFERROR(INDEX(사건마스터!$AP$5:$AP$64,MATCH($F367,사건마스터!$A$5:$A$64,0)),""))</f>
        <v/>
      </c>
      <c r="T367" s="35">
        <f>IF($F367="","",IFERROR(INDEX(사건마스터!$AQ$5:$AQ$64,MATCH($F367,사건마스터!$A$5:$A$64,0)),""))</f>
        <v/>
      </c>
      <c r="U367" s="35">
        <f>IF($F367="","",IFERROR(INDEX(사건마스터!$AR$5:$AR$64,MATCH($F367,사건마스터!$A$5:$A$64,0)),""))</f>
        <v/>
      </c>
      <c r="V367" s="35">
        <f>IF($F367="","",IFERROR(INDEX(사건마스터!$AS$5:$AS$64,MATCH($F367,사건마스터!$A$5:$A$64,0)),""))</f>
        <v/>
      </c>
      <c r="W367" s="35">
        <f>IF($F367="","",IFERROR(INDEX(사건마스터!$AT$5:$AT$64,MATCH($F367,사건마스터!$A$5:$A$64,0)),""))</f>
        <v/>
      </c>
      <c r="X367" s="35">
        <f>IF($F367="","",IFERROR(INDEX(사건마스터!$AU$5:$AU$64,MATCH($F367,사건마스터!$A$5:$A$64,0)),""))</f>
        <v/>
      </c>
      <c r="Y367" s="35">
        <f>IF($F367="","",IFERROR(INDEX(사건마스터!$AV$5:$AV$64,MATCH($F367,사건마스터!$A$5:$A$64,0)),""))</f>
        <v/>
      </c>
      <c r="Z367" s="30">
        <f>IF(COUNTBLANK($J367:$Y367)=16,"",16-COUNTBLANK($J367:$Y367))</f>
        <v/>
      </c>
      <c r="AA367" s="33">
        <f>IF($J367="",MID($AX367,3,255),$J367&amp;$AX367)</f>
        <v/>
      </c>
      <c r="AB367" s="34">
        <f>IF($J367="","",IFERROR(INDEX(코드설정!$D$5:$D$24,MATCH($J367,코드설정!$C$5:$C$24,0)),""))</f>
        <v/>
      </c>
      <c r="AC367" s="36" t="n"/>
      <c r="AD367" s="37" t="n"/>
      <c r="AE367" s="38" t="n"/>
      <c r="AF367" s="30">
        <f>IF(OR($B367="",$C367=""),"",$C367-$B367+1)</f>
        <v/>
      </c>
      <c r="AG367" s="32" t="n"/>
      <c r="AH367" s="36" t="n"/>
      <c r="AJ367">
        <f>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  <c r="AX367">
        <f>AW367&amp;IF($Y367="","",", "&amp;$Y367)</f>
        <v/>
      </c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0">
        <f>IF($F368="","",COUNTIF($F$5:$F368,$F368))</f>
        <v/>
      </c>
      <c r="H368" s="33">
        <f>IF($F368="","",IFERROR(INDEX(사건마스터!$B$5:$B$64,MATCH($F368,사건마스터!$A$5:$A$64,0)),""))</f>
        <v/>
      </c>
      <c r="I368" s="34">
        <f>IF($F368="","",IFERROR(INDEX(사건마스터!$C$5:$C$64,MATCH($F368,사건마스터!$A$5:$A$64,0)),""))</f>
        <v/>
      </c>
      <c r="J368" s="35">
        <f>IF($F368="","",IFERROR(INDEX(사건마스터!$H$5:$H$64,MATCH($F368,사건마스터!$A$5:$A$64,0)),""))</f>
        <v/>
      </c>
      <c r="K368" s="35">
        <f>IF($F368="","",IFERROR(INDEX(사건마스터!$AH$5:$AH$64,MATCH($F368,사건마스터!$A$5:$A$64,0)),""))</f>
        <v/>
      </c>
      <c r="L368" s="35">
        <f>IF($F368="","",IFERROR(INDEX(사건마스터!$AI$5:$AI$64,MATCH($F368,사건마스터!$A$5:$A$64,0)),""))</f>
        <v/>
      </c>
      <c r="M368" s="35">
        <f>IF($F368="","",IFERROR(INDEX(사건마스터!$AJ$5:$AJ$64,MATCH($F368,사건마스터!$A$5:$A$64,0)),""))</f>
        <v/>
      </c>
      <c r="N368" s="35">
        <f>IF($F368="","",IFERROR(INDEX(사건마스터!$AK$5:$AK$64,MATCH($F368,사건마스터!$A$5:$A$64,0)),""))</f>
        <v/>
      </c>
      <c r="O368" s="35">
        <f>IF($F368="","",IFERROR(INDEX(사건마스터!$AL$5:$AL$64,MATCH($F368,사건마스터!$A$5:$A$64,0)),""))</f>
        <v/>
      </c>
      <c r="P368" s="35">
        <f>IF($F368="","",IFERROR(INDEX(사건마스터!$AM$5:$AM$64,MATCH($F368,사건마스터!$A$5:$A$64,0)),""))</f>
        <v/>
      </c>
      <c r="Q368" s="35">
        <f>IF($F368="","",IFERROR(INDEX(사건마스터!$AN$5:$AN$64,MATCH($F368,사건마스터!$A$5:$A$64,0)),""))</f>
        <v/>
      </c>
      <c r="R368" s="35">
        <f>IF($F368="","",IFERROR(INDEX(사건마스터!$AO$5:$AO$64,MATCH($F368,사건마스터!$A$5:$A$64,0)),""))</f>
        <v/>
      </c>
      <c r="S368" s="35">
        <f>IF($F368="","",IFERROR(INDEX(사건마스터!$AP$5:$AP$64,MATCH($F368,사건마스터!$A$5:$A$64,0)),""))</f>
        <v/>
      </c>
      <c r="T368" s="35">
        <f>IF($F368="","",IFERROR(INDEX(사건마스터!$AQ$5:$AQ$64,MATCH($F368,사건마스터!$A$5:$A$64,0)),""))</f>
        <v/>
      </c>
      <c r="U368" s="35">
        <f>IF($F368="","",IFERROR(INDEX(사건마스터!$AR$5:$AR$64,MATCH($F368,사건마스터!$A$5:$A$64,0)),""))</f>
        <v/>
      </c>
      <c r="V368" s="35">
        <f>IF($F368="","",IFERROR(INDEX(사건마스터!$AS$5:$AS$64,MATCH($F368,사건마스터!$A$5:$A$64,0)),""))</f>
        <v/>
      </c>
      <c r="W368" s="35">
        <f>IF($F368="","",IFERROR(INDEX(사건마스터!$AT$5:$AT$64,MATCH($F368,사건마스터!$A$5:$A$64,0)),""))</f>
        <v/>
      </c>
      <c r="X368" s="35">
        <f>IF($F368="","",IFERROR(INDEX(사건마스터!$AU$5:$AU$64,MATCH($F368,사건마스터!$A$5:$A$64,0)),""))</f>
        <v/>
      </c>
      <c r="Y368" s="35">
        <f>IF($F368="","",IFERROR(INDEX(사건마스터!$AV$5:$AV$64,MATCH($F368,사건마스터!$A$5:$A$64,0)),""))</f>
        <v/>
      </c>
      <c r="Z368" s="30">
        <f>IF(COUNTBLANK($J368:$Y368)=16,"",16-COUNTBLANK($J368:$Y368))</f>
        <v/>
      </c>
      <c r="AA368" s="33">
        <f>IF($J368="",MID($AX368,3,255),$J368&amp;$AX368)</f>
        <v/>
      </c>
      <c r="AB368" s="34">
        <f>IF($J368="","",IFERROR(INDEX(코드설정!$D$5:$D$24,MATCH($J368,코드설정!$C$5:$C$24,0)),""))</f>
        <v/>
      </c>
      <c r="AC368" s="36" t="n"/>
      <c r="AD368" s="37" t="n"/>
      <c r="AE368" s="38" t="n"/>
      <c r="AF368" s="30">
        <f>IF(OR($B368="",$C368=""),"",$C368-$B368+1)</f>
        <v/>
      </c>
      <c r="AG368" s="32" t="n"/>
      <c r="AH368" s="36" t="n"/>
      <c r="AJ368">
        <f>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  <c r="AX368">
        <f>AW368&amp;IF($Y368="","",", "&amp;$Y368)</f>
        <v/>
      </c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0">
        <f>IF($F369="","",COUNTIF($F$5:$F369,$F369))</f>
        <v/>
      </c>
      <c r="H369" s="33">
        <f>IF($F369="","",IFERROR(INDEX(사건마스터!$B$5:$B$64,MATCH($F369,사건마스터!$A$5:$A$64,0)),""))</f>
        <v/>
      </c>
      <c r="I369" s="34">
        <f>IF($F369="","",IFERROR(INDEX(사건마스터!$C$5:$C$64,MATCH($F369,사건마스터!$A$5:$A$64,0)),""))</f>
        <v/>
      </c>
      <c r="J369" s="35">
        <f>IF($F369="","",IFERROR(INDEX(사건마스터!$H$5:$H$64,MATCH($F369,사건마스터!$A$5:$A$64,0)),""))</f>
        <v/>
      </c>
      <c r="K369" s="35">
        <f>IF($F369="","",IFERROR(INDEX(사건마스터!$AH$5:$AH$64,MATCH($F369,사건마스터!$A$5:$A$64,0)),""))</f>
        <v/>
      </c>
      <c r="L369" s="35">
        <f>IF($F369="","",IFERROR(INDEX(사건마스터!$AI$5:$AI$64,MATCH($F369,사건마스터!$A$5:$A$64,0)),""))</f>
        <v/>
      </c>
      <c r="M369" s="35">
        <f>IF($F369="","",IFERROR(INDEX(사건마스터!$AJ$5:$AJ$64,MATCH($F369,사건마스터!$A$5:$A$64,0)),""))</f>
        <v/>
      </c>
      <c r="N369" s="35">
        <f>IF($F369="","",IFERROR(INDEX(사건마스터!$AK$5:$AK$64,MATCH($F369,사건마스터!$A$5:$A$64,0)),""))</f>
        <v/>
      </c>
      <c r="O369" s="35">
        <f>IF($F369="","",IFERROR(INDEX(사건마스터!$AL$5:$AL$64,MATCH($F369,사건마스터!$A$5:$A$64,0)),""))</f>
        <v/>
      </c>
      <c r="P369" s="35">
        <f>IF($F369="","",IFERROR(INDEX(사건마스터!$AM$5:$AM$64,MATCH($F369,사건마스터!$A$5:$A$64,0)),""))</f>
        <v/>
      </c>
      <c r="Q369" s="35">
        <f>IF($F369="","",IFERROR(INDEX(사건마스터!$AN$5:$AN$64,MATCH($F369,사건마스터!$A$5:$A$64,0)),""))</f>
        <v/>
      </c>
      <c r="R369" s="35">
        <f>IF($F369="","",IFERROR(INDEX(사건마스터!$AO$5:$AO$64,MATCH($F369,사건마스터!$A$5:$A$64,0)),""))</f>
        <v/>
      </c>
      <c r="S369" s="35">
        <f>IF($F369="","",IFERROR(INDEX(사건마스터!$AP$5:$AP$64,MATCH($F369,사건마스터!$A$5:$A$64,0)),""))</f>
        <v/>
      </c>
      <c r="T369" s="35">
        <f>IF($F369="","",IFERROR(INDEX(사건마스터!$AQ$5:$AQ$64,MATCH($F369,사건마스터!$A$5:$A$64,0)),""))</f>
        <v/>
      </c>
      <c r="U369" s="35">
        <f>IF($F369="","",IFERROR(INDEX(사건마스터!$AR$5:$AR$64,MATCH($F369,사건마스터!$A$5:$A$64,0)),""))</f>
        <v/>
      </c>
      <c r="V369" s="35">
        <f>IF($F369="","",IFERROR(INDEX(사건마스터!$AS$5:$AS$64,MATCH($F369,사건마스터!$A$5:$A$64,0)),""))</f>
        <v/>
      </c>
      <c r="W369" s="35">
        <f>IF($F369="","",IFERROR(INDEX(사건마스터!$AT$5:$AT$64,MATCH($F369,사건마스터!$A$5:$A$64,0)),""))</f>
        <v/>
      </c>
      <c r="X369" s="35">
        <f>IF($F369="","",IFERROR(INDEX(사건마스터!$AU$5:$AU$64,MATCH($F369,사건마스터!$A$5:$A$64,0)),""))</f>
        <v/>
      </c>
      <c r="Y369" s="35">
        <f>IF($F369="","",IFERROR(INDEX(사건마스터!$AV$5:$AV$64,MATCH($F369,사건마스터!$A$5:$A$64,0)),""))</f>
        <v/>
      </c>
      <c r="Z369" s="30">
        <f>IF(COUNTBLANK($J369:$Y369)=16,"",16-COUNTBLANK($J369:$Y369))</f>
        <v/>
      </c>
      <c r="AA369" s="33">
        <f>IF($J369="",MID($AX369,3,255),$J369&amp;$AX369)</f>
        <v/>
      </c>
      <c r="AB369" s="34">
        <f>IF($J369="","",IFERROR(INDEX(코드설정!$D$5:$D$24,MATCH($J369,코드설정!$C$5:$C$24,0)),""))</f>
        <v/>
      </c>
      <c r="AC369" s="36" t="n"/>
      <c r="AD369" s="37" t="n"/>
      <c r="AE369" s="38" t="n"/>
      <c r="AF369" s="30">
        <f>IF(OR($B369="",$C369=""),"",$C369-$B369+1)</f>
        <v/>
      </c>
      <c r="AG369" s="32" t="n"/>
      <c r="AH369" s="36" t="n"/>
      <c r="AJ369">
        <f>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  <c r="AX369">
        <f>AW369&amp;IF($Y369="","",", "&amp;$Y369)</f>
        <v/>
      </c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0">
        <f>IF($F370="","",COUNTIF($F$5:$F370,$F370))</f>
        <v/>
      </c>
      <c r="H370" s="33">
        <f>IF($F370="","",IFERROR(INDEX(사건마스터!$B$5:$B$64,MATCH($F370,사건마스터!$A$5:$A$64,0)),""))</f>
        <v/>
      </c>
      <c r="I370" s="34">
        <f>IF($F370="","",IFERROR(INDEX(사건마스터!$C$5:$C$64,MATCH($F370,사건마스터!$A$5:$A$64,0)),""))</f>
        <v/>
      </c>
      <c r="J370" s="35">
        <f>IF($F370="","",IFERROR(INDEX(사건마스터!$H$5:$H$64,MATCH($F370,사건마스터!$A$5:$A$64,0)),""))</f>
        <v/>
      </c>
      <c r="K370" s="35">
        <f>IF($F370="","",IFERROR(INDEX(사건마스터!$AH$5:$AH$64,MATCH($F370,사건마스터!$A$5:$A$64,0)),""))</f>
        <v/>
      </c>
      <c r="L370" s="35">
        <f>IF($F370="","",IFERROR(INDEX(사건마스터!$AI$5:$AI$64,MATCH($F370,사건마스터!$A$5:$A$64,0)),""))</f>
        <v/>
      </c>
      <c r="M370" s="35">
        <f>IF($F370="","",IFERROR(INDEX(사건마스터!$AJ$5:$AJ$64,MATCH($F370,사건마스터!$A$5:$A$64,0)),""))</f>
        <v/>
      </c>
      <c r="N370" s="35">
        <f>IF($F370="","",IFERROR(INDEX(사건마스터!$AK$5:$AK$64,MATCH($F370,사건마스터!$A$5:$A$64,0)),""))</f>
        <v/>
      </c>
      <c r="O370" s="35">
        <f>IF($F370="","",IFERROR(INDEX(사건마스터!$AL$5:$AL$64,MATCH($F370,사건마스터!$A$5:$A$64,0)),""))</f>
        <v/>
      </c>
      <c r="P370" s="35">
        <f>IF($F370="","",IFERROR(INDEX(사건마스터!$AM$5:$AM$64,MATCH($F370,사건마스터!$A$5:$A$64,0)),""))</f>
        <v/>
      </c>
      <c r="Q370" s="35">
        <f>IF($F370="","",IFERROR(INDEX(사건마스터!$AN$5:$AN$64,MATCH($F370,사건마스터!$A$5:$A$64,0)),""))</f>
        <v/>
      </c>
      <c r="R370" s="35">
        <f>IF($F370="","",IFERROR(INDEX(사건마스터!$AO$5:$AO$64,MATCH($F370,사건마스터!$A$5:$A$64,0)),""))</f>
        <v/>
      </c>
      <c r="S370" s="35">
        <f>IF($F370="","",IFERROR(INDEX(사건마스터!$AP$5:$AP$64,MATCH($F370,사건마스터!$A$5:$A$64,0)),""))</f>
        <v/>
      </c>
      <c r="T370" s="35">
        <f>IF($F370="","",IFERROR(INDEX(사건마스터!$AQ$5:$AQ$64,MATCH($F370,사건마스터!$A$5:$A$64,0)),""))</f>
        <v/>
      </c>
      <c r="U370" s="35">
        <f>IF($F370="","",IFERROR(INDEX(사건마스터!$AR$5:$AR$64,MATCH($F370,사건마스터!$A$5:$A$64,0)),""))</f>
        <v/>
      </c>
      <c r="V370" s="35">
        <f>IF($F370="","",IFERROR(INDEX(사건마스터!$AS$5:$AS$64,MATCH($F370,사건마스터!$A$5:$A$64,0)),""))</f>
        <v/>
      </c>
      <c r="W370" s="35">
        <f>IF($F370="","",IFERROR(INDEX(사건마스터!$AT$5:$AT$64,MATCH($F370,사건마스터!$A$5:$A$64,0)),""))</f>
        <v/>
      </c>
      <c r="X370" s="35">
        <f>IF($F370="","",IFERROR(INDEX(사건마스터!$AU$5:$AU$64,MATCH($F370,사건마스터!$A$5:$A$64,0)),""))</f>
        <v/>
      </c>
      <c r="Y370" s="35">
        <f>IF($F370="","",IFERROR(INDEX(사건마스터!$AV$5:$AV$64,MATCH($F370,사건마스터!$A$5:$A$64,0)),""))</f>
        <v/>
      </c>
      <c r="Z370" s="30">
        <f>IF(COUNTBLANK($J370:$Y370)=16,"",16-COUNTBLANK($J370:$Y370))</f>
        <v/>
      </c>
      <c r="AA370" s="33">
        <f>IF($J370="",MID($AX370,3,255),$J370&amp;$AX370)</f>
        <v/>
      </c>
      <c r="AB370" s="34">
        <f>IF($J370="","",IFERROR(INDEX(코드설정!$D$5:$D$24,MATCH($J370,코드설정!$C$5:$C$24,0)),""))</f>
        <v/>
      </c>
      <c r="AC370" s="36" t="n"/>
      <c r="AD370" s="37" t="n"/>
      <c r="AE370" s="38" t="n"/>
      <c r="AF370" s="30">
        <f>IF(OR($B370="",$C370=""),"",$C370-$B370+1)</f>
        <v/>
      </c>
      <c r="AG370" s="32" t="n"/>
      <c r="AH370" s="36" t="n"/>
      <c r="AJ370">
        <f>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  <c r="AX370">
        <f>AW370&amp;IF($Y370="","",", "&amp;$Y370)</f>
        <v/>
      </c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0">
        <f>IF($F371="","",COUNTIF($F$5:$F371,$F371))</f>
        <v/>
      </c>
      <c r="H371" s="33">
        <f>IF($F371="","",IFERROR(INDEX(사건마스터!$B$5:$B$64,MATCH($F371,사건마스터!$A$5:$A$64,0)),""))</f>
        <v/>
      </c>
      <c r="I371" s="34">
        <f>IF($F371="","",IFERROR(INDEX(사건마스터!$C$5:$C$64,MATCH($F371,사건마스터!$A$5:$A$64,0)),""))</f>
        <v/>
      </c>
      <c r="J371" s="35">
        <f>IF($F371="","",IFERROR(INDEX(사건마스터!$H$5:$H$64,MATCH($F371,사건마스터!$A$5:$A$64,0)),""))</f>
        <v/>
      </c>
      <c r="K371" s="35">
        <f>IF($F371="","",IFERROR(INDEX(사건마스터!$AH$5:$AH$64,MATCH($F371,사건마스터!$A$5:$A$64,0)),""))</f>
        <v/>
      </c>
      <c r="L371" s="35">
        <f>IF($F371="","",IFERROR(INDEX(사건마스터!$AI$5:$AI$64,MATCH($F371,사건마스터!$A$5:$A$64,0)),""))</f>
        <v/>
      </c>
      <c r="M371" s="35">
        <f>IF($F371="","",IFERROR(INDEX(사건마스터!$AJ$5:$AJ$64,MATCH($F371,사건마스터!$A$5:$A$64,0)),""))</f>
        <v/>
      </c>
      <c r="N371" s="35">
        <f>IF($F371="","",IFERROR(INDEX(사건마스터!$AK$5:$AK$64,MATCH($F371,사건마스터!$A$5:$A$64,0)),""))</f>
        <v/>
      </c>
      <c r="O371" s="35">
        <f>IF($F371="","",IFERROR(INDEX(사건마스터!$AL$5:$AL$64,MATCH($F371,사건마스터!$A$5:$A$64,0)),""))</f>
        <v/>
      </c>
      <c r="P371" s="35">
        <f>IF($F371="","",IFERROR(INDEX(사건마스터!$AM$5:$AM$64,MATCH($F371,사건마스터!$A$5:$A$64,0)),""))</f>
        <v/>
      </c>
      <c r="Q371" s="35">
        <f>IF($F371="","",IFERROR(INDEX(사건마스터!$AN$5:$AN$64,MATCH($F371,사건마스터!$A$5:$A$64,0)),""))</f>
        <v/>
      </c>
      <c r="R371" s="35">
        <f>IF($F371="","",IFERROR(INDEX(사건마스터!$AO$5:$AO$64,MATCH($F371,사건마스터!$A$5:$A$64,0)),""))</f>
        <v/>
      </c>
      <c r="S371" s="35">
        <f>IF($F371="","",IFERROR(INDEX(사건마스터!$AP$5:$AP$64,MATCH($F371,사건마스터!$A$5:$A$64,0)),""))</f>
        <v/>
      </c>
      <c r="T371" s="35">
        <f>IF($F371="","",IFERROR(INDEX(사건마스터!$AQ$5:$AQ$64,MATCH($F371,사건마스터!$A$5:$A$64,0)),""))</f>
        <v/>
      </c>
      <c r="U371" s="35">
        <f>IF($F371="","",IFERROR(INDEX(사건마스터!$AR$5:$AR$64,MATCH($F371,사건마스터!$A$5:$A$64,0)),""))</f>
        <v/>
      </c>
      <c r="V371" s="35">
        <f>IF($F371="","",IFERROR(INDEX(사건마스터!$AS$5:$AS$64,MATCH($F371,사건마스터!$A$5:$A$64,0)),""))</f>
        <v/>
      </c>
      <c r="W371" s="35">
        <f>IF($F371="","",IFERROR(INDEX(사건마스터!$AT$5:$AT$64,MATCH($F371,사건마스터!$A$5:$A$64,0)),""))</f>
        <v/>
      </c>
      <c r="X371" s="35">
        <f>IF($F371="","",IFERROR(INDEX(사건마스터!$AU$5:$AU$64,MATCH($F371,사건마스터!$A$5:$A$64,0)),""))</f>
        <v/>
      </c>
      <c r="Y371" s="35">
        <f>IF($F371="","",IFERROR(INDEX(사건마스터!$AV$5:$AV$64,MATCH($F371,사건마스터!$A$5:$A$64,0)),""))</f>
        <v/>
      </c>
      <c r="Z371" s="30">
        <f>IF(COUNTBLANK($J371:$Y371)=16,"",16-COUNTBLANK($J371:$Y371))</f>
        <v/>
      </c>
      <c r="AA371" s="33">
        <f>IF($J371="",MID($AX371,3,255),$J371&amp;$AX371)</f>
        <v/>
      </c>
      <c r="AB371" s="34">
        <f>IF($J371="","",IFERROR(INDEX(코드설정!$D$5:$D$24,MATCH($J371,코드설정!$C$5:$C$24,0)),""))</f>
        <v/>
      </c>
      <c r="AC371" s="36" t="n"/>
      <c r="AD371" s="37" t="n"/>
      <c r="AE371" s="38" t="n"/>
      <c r="AF371" s="30">
        <f>IF(OR($B371="",$C371=""),"",$C371-$B371+1)</f>
        <v/>
      </c>
      <c r="AG371" s="32" t="n"/>
      <c r="AH371" s="36" t="n"/>
      <c r="AJ371">
        <f>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  <c r="AX371">
        <f>AW371&amp;IF($Y371="","",", "&amp;$Y371)</f>
        <v/>
      </c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0">
        <f>IF($F372="","",COUNTIF($F$5:$F372,$F372))</f>
        <v/>
      </c>
      <c r="H372" s="33">
        <f>IF($F372="","",IFERROR(INDEX(사건마스터!$B$5:$B$64,MATCH($F372,사건마스터!$A$5:$A$64,0)),""))</f>
        <v/>
      </c>
      <c r="I372" s="34">
        <f>IF($F372="","",IFERROR(INDEX(사건마스터!$C$5:$C$64,MATCH($F372,사건마스터!$A$5:$A$64,0)),""))</f>
        <v/>
      </c>
      <c r="J372" s="35">
        <f>IF($F372="","",IFERROR(INDEX(사건마스터!$H$5:$H$64,MATCH($F372,사건마스터!$A$5:$A$64,0)),""))</f>
        <v/>
      </c>
      <c r="K372" s="35">
        <f>IF($F372="","",IFERROR(INDEX(사건마스터!$AH$5:$AH$64,MATCH($F372,사건마스터!$A$5:$A$64,0)),""))</f>
        <v/>
      </c>
      <c r="L372" s="35">
        <f>IF($F372="","",IFERROR(INDEX(사건마스터!$AI$5:$AI$64,MATCH($F372,사건마스터!$A$5:$A$64,0)),""))</f>
        <v/>
      </c>
      <c r="M372" s="35">
        <f>IF($F372="","",IFERROR(INDEX(사건마스터!$AJ$5:$AJ$64,MATCH($F372,사건마스터!$A$5:$A$64,0)),""))</f>
        <v/>
      </c>
      <c r="N372" s="35">
        <f>IF($F372="","",IFERROR(INDEX(사건마스터!$AK$5:$AK$64,MATCH($F372,사건마스터!$A$5:$A$64,0)),""))</f>
        <v/>
      </c>
      <c r="O372" s="35">
        <f>IF($F372="","",IFERROR(INDEX(사건마스터!$AL$5:$AL$64,MATCH($F372,사건마스터!$A$5:$A$64,0)),""))</f>
        <v/>
      </c>
      <c r="P372" s="35">
        <f>IF($F372="","",IFERROR(INDEX(사건마스터!$AM$5:$AM$64,MATCH($F372,사건마스터!$A$5:$A$64,0)),""))</f>
        <v/>
      </c>
      <c r="Q372" s="35">
        <f>IF($F372="","",IFERROR(INDEX(사건마스터!$AN$5:$AN$64,MATCH($F372,사건마스터!$A$5:$A$64,0)),""))</f>
        <v/>
      </c>
      <c r="R372" s="35">
        <f>IF($F372="","",IFERROR(INDEX(사건마스터!$AO$5:$AO$64,MATCH($F372,사건마스터!$A$5:$A$64,0)),""))</f>
        <v/>
      </c>
      <c r="S372" s="35">
        <f>IF($F372="","",IFERROR(INDEX(사건마스터!$AP$5:$AP$64,MATCH($F372,사건마스터!$A$5:$A$64,0)),""))</f>
        <v/>
      </c>
      <c r="T372" s="35">
        <f>IF($F372="","",IFERROR(INDEX(사건마스터!$AQ$5:$AQ$64,MATCH($F372,사건마스터!$A$5:$A$64,0)),""))</f>
        <v/>
      </c>
      <c r="U372" s="35">
        <f>IF($F372="","",IFERROR(INDEX(사건마스터!$AR$5:$AR$64,MATCH($F372,사건마스터!$A$5:$A$64,0)),""))</f>
        <v/>
      </c>
      <c r="V372" s="35">
        <f>IF($F372="","",IFERROR(INDEX(사건마스터!$AS$5:$AS$64,MATCH($F372,사건마스터!$A$5:$A$64,0)),""))</f>
        <v/>
      </c>
      <c r="W372" s="35">
        <f>IF($F372="","",IFERROR(INDEX(사건마스터!$AT$5:$AT$64,MATCH($F372,사건마스터!$A$5:$A$64,0)),""))</f>
        <v/>
      </c>
      <c r="X372" s="35">
        <f>IF($F372="","",IFERROR(INDEX(사건마스터!$AU$5:$AU$64,MATCH($F372,사건마스터!$A$5:$A$64,0)),""))</f>
        <v/>
      </c>
      <c r="Y372" s="35">
        <f>IF($F372="","",IFERROR(INDEX(사건마스터!$AV$5:$AV$64,MATCH($F372,사건마스터!$A$5:$A$64,0)),""))</f>
        <v/>
      </c>
      <c r="Z372" s="30">
        <f>IF(COUNTBLANK($J372:$Y372)=16,"",16-COUNTBLANK($J372:$Y372))</f>
        <v/>
      </c>
      <c r="AA372" s="33">
        <f>IF($J372="",MID($AX372,3,255),$J372&amp;$AX372)</f>
        <v/>
      </c>
      <c r="AB372" s="34">
        <f>IF($J372="","",IFERROR(INDEX(코드설정!$D$5:$D$24,MATCH($J372,코드설정!$C$5:$C$24,0)),""))</f>
        <v/>
      </c>
      <c r="AC372" s="36" t="n"/>
      <c r="AD372" s="37" t="n"/>
      <c r="AE372" s="38" t="n"/>
      <c r="AF372" s="30">
        <f>IF(OR($B372="",$C372=""),"",$C372-$B372+1)</f>
        <v/>
      </c>
      <c r="AG372" s="32" t="n"/>
      <c r="AH372" s="36" t="n"/>
      <c r="AJ372">
        <f>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  <c r="AX372">
        <f>AW372&amp;IF($Y372="","",", "&amp;$Y372)</f>
        <v/>
      </c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0">
        <f>IF($F373="","",COUNTIF($F$5:$F373,$F373))</f>
        <v/>
      </c>
      <c r="H373" s="33">
        <f>IF($F373="","",IFERROR(INDEX(사건마스터!$B$5:$B$64,MATCH($F373,사건마스터!$A$5:$A$64,0)),""))</f>
        <v/>
      </c>
      <c r="I373" s="34">
        <f>IF($F373="","",IFERROR(INDEX(사건마스터!$C$5:$C$64,MATCH($F373,사건마스터!$A$5:$A$64,0)),""))</f>
        <v/>
      </c>
      <c r="J373" s="35">
        <f>IF($F373="","",IFERROR(INDEX(사건마스터!$H$5:$H$64,MATCH($F373,사건마스터!$A$5:$A$64,0)),""))</f>
        <v/>
      </c>
      <c r="K373" s="35">
        <f>IF($F373="","",IFERROR(INDEX(사건마스터!$AH$5:$AH$64,MATCH($F373,사건마스터!$A$5:$A$64,0)),""))</f>
        <v/>
      </c>
      <c r="L373" s="35">
        <f>IF($F373="","",IFERROR(INDEX(사건마스터!$AI$5:$AI$64,MATCH($F373,사건마스터!$A$5:$A$64,0)),""))</f>
        <v/>
      </c>
      <c r="M373" s="35">
        <f>IF($F373="","",IFERROR(INDEX(사건마스터!$AJ$5:$AJ$64,MATCH($F373,사건마스터!$A$5:$A$64,0)),""))</f>
        <v/>
      </c>
      <c r="N373" s="35">
        <f>IF($F373="","",IFERROR(INDEX(사건마스터!$AK$5:$AK$64,MATCH($F373,사건마스터!$A$5:$A$64,0)),""))</f>
        <v/>
      </c>
      <c r="O373" s="35">
        <f>IF($F373="","",IFERROR(INDEX(사건마스터!$AL$5:$AL$64,MATCH($F373,사건마스터!$A$5:$A$64,0)),""))</f>
        <v/>
      </c>
      <c r="P373" s="35">
        <f>IF($F373="","",IFERROR(INDEX(사건마스터!$AM$5:$AM$64,MATCH($F373,사건마스터!$A$5:$A$64,0)),""))</f>
        <v/>
      </c>
      <c r="Q373" s="35">
        <f>IF($F373="","",IFERROR(INDEX(사건마스터!$AN$5:$AN$64,MATCH($F373,사건마스터!$A$5:$A$64,0)),""))</f>
        <v/>
      </c>
      <c r="R373" s="35">
        <f>IF($F373="","",IFERROR(INDEX(사건마스터!$AO$5:$AO$64,MATCH($F373,사건마스터!$A$5:$A$64,0)),""))</f>
        <v/>
      </c>
      <c r="S373" s="35">
        <f>IF($F373="","",IFERROR(INDEX(사건마스터!$AP$5:$AP$64,MATCH($F373,사건마스터!$A$5:$A$64,0)),""))</f>
        <v/>
      </c>
      <c r="T373" s="35">
        <f>IF($F373="","",IFERROR(INDEX(사건마스터!$AQ$5:$AQ$64,MATCH($F373,사건마스터!$A$5:$A$64,0)),""))</f>
        <v/>
      </c>
      <c r="U373" s="35">
        <f>IF($F373="","",IFERROR(INDEX(사건마스터!$AR$5:$AR$64,MATCH($F373,사건마스터!$A$5:$A$64,0)),""))</f>
        <v/>
      </c>
      <c r="V373" s="35">
        <f>IF($F373="","",IFERROR(INDEX(사건마스터!$AS$5:$AS$64,MATCH($F373,사건마스터!$A$5:$A$64,0)),""))</f>
        <v/>
      </c>
      <c r="W373" s="35">
        <f>IF($F373="","",IFERROR(INDEX(사건마스터!$AT$5:$AT$64,MATCH($F373,사건마스터!$A$5:$A$64,0)),""))</f>
        <v/>
      </c>
      <c r="X373" s="35">
        <f>IF($F373="","",IFERROR(INDEX(사건마스터!$AU$5:$AU$64,MATCH($F373,사건마스터!$A$5:$A$64,0)),""))</f>
        <v/>
      </c>
      <c r="Y373" s="35">
        <f>IF($F373="","",IFERROR(INDEX(사건마스터!$AV$5:$AV$64,MATCH($F373,사건마스터!$A$5:$A$64,0)),""))</f>
        <v/>
      </c>
      <c r="Z373" s="30">
        <f>IF(COUNTBLANK($J373:$Y373)=16,"",16-COUNTBLANK($J373:$Y373))</f>
        <v/>
      </c>
      <c r="AA373" s="33">
        <f>IF($J373="",MID($AX373,3,255),$J373&amp;$AX373)</f>
        <v/>
      </c>
      <c r="AB373" s="34">
        <f>IF($J373="","",IFERROR(INDEX(코드설정!$D$5:$D$24,MATCH($J373,코드설정!$C$5:$C$24,0)),""))</f>
        <v/>
      </c>
      <c r="AC373" s="36" t="n"/>
      <c r="AD373" s="37" t="n"/>
      <c r="AE373" s="38" t="n"/>
      <c r="AF373" s="30">
        <f>IF(OR($B373="",$C373=""),"",$C373-$B373+1)</f>
        <v/>
      </c>
      <c r="AG373" s="32" t="n"/>
      <c r="AH373" s="36" t="n"/>
      <c r="AJ373">
        <f>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  <c r="AX373">
        <f>AW373&amp;IF($Y373="","",", "&amp;$Y373)</f>
        <v/>
      </c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0">
        <f>IF($F374="","",COUNTIF($F$5:$F374,$F374))</f>
        <v/>
      </c>
      <c r="H374" s="33">
        <f>IF($F374="","",IFERROR(INDEX(사건마스터!$B$5:$B$64,MATCH($F374,사건마스터!$A$5:$A$64,0)),""))</f>
        <v/>
      </c>
      <c r="I374" s="34">
        <f>IF($F374="","",IFERROR(INDEX(사건마스터!$C$5:$C$64,MATCH($F374,사건마스터!$A$5:$A$64,0)),""))</f>
        <v/>
      </c>
      <c r="J374" s="35">
        <f>IF($F374="","",IFERROR(INDEX(사건마스터!$H$5:$H$64,MATCH($F374,사건마스터!$A$5:$A$64,0)),""))</f>
        <v/>
      </c>
      <c r="K374" s="35">
        <f>IF($F374="","",IFERROR(INDEX(사건마스터!$AH$5:$AH$64,MATCH($F374,사건마스터!$A$5:$A$64,0)),""))</f>
        <v/>
      </c>
      <c r="L374" s="35">
        <f>IF($F374="","",IFERROR(INDEX(사건마스터!$AI$5:$AI$64,MATCH($F374,사건마스터!$A$5:$A$64,0)),""))</f>
        <v/>
      </c>
      <c r="M374" s="35">
        <f>IF($F374="","",IFERROR(INDEX(사건마스터!$AJ$5:$AJ$64,MATCH($F374,사건마스터!$A$5:$A$64,0)),""))</f>
        <v/>
      </c>
      <c r="N374" s="35">
        <f>IF($F374="","",IFERROR(INDEX(사건마스터!$AK$5:$AK$64,MATCH($F374,사건마스터!$A$5:$A$64,0)),""))</f>
        <v/>
      </c>
      <c r="O374" s="35">
        <f>IF($F374="","",IFERROR(INDEX(사건마스터!$AL$5:$AL$64,MATCH($F374,사건마스터!$A$5:$A$64,0)),""))</f>
        <v/>
      </c>
      <c r="P374" s="35">
        <f>IF($F374="","",IFERROR(INDEX(사건마스터!$AM$5:$AM$64,MATCH($F374,사건마스터!$A$5:$A$64,0)),""))</f>
        <v/>
      </c>
      <c r="Q374" s="35">
        <f>IF($F374="","",IFERROR(INDEX(사건마스터!$AN$5:$AN$64,MATCH($F374,사건마스터!$A$5:$A$64,0)),""))</f>
        <v/>
      </c>
      <c r="R374" s="35">
        <f>IF($F374="","",IFERROR(INDEX(사건마스터!$AO$5:$AO$64,MATCH($F374,사건마스터!$A$5:$A$64,0)),""))</f>
        <v/>
      </c>
      <c r="S374" s="35">
        <f>IF($F374="","",IFERROR(INDEX(사건마스터!$AP$5:$AP$64,MATCH($F374,사건마스터!$A$5:$A$64,0)),""))</f>
        <v/>
      </c>
      <c r="T374" s="35">
        <f>IF($F374="","",IFERROR(INDEX(사건마스터!$AQ$5:$AQ$64,MATCH($F374,사건마스터!$A$5:$A$64,0)),""))</f>
        <v/>
      </c>
      <c r="U374" s="35">
        <f>IF($F374="","",IFERROR(INDEX(사건마스터!$AR$5:$AR$64,MATCH($F374,사건마스터!$A$5:$A$64,0)),""))</f>
        <v/>
      </c>
      <c r="V374" s="35">
        <f>IF($F374="","",IFERROR(INDEX(사건마스터!$AS$5:$AS$64,MATCH($F374,사건마스터!$A$5:$A$64,0)),""))</f>
        <v/>
      </c>
      <c r="W374" s="35">
        <f>IF($F374="","",IFERROR(INDEX(사건마스터!$AT$5:$AT$64,MATCH($F374,사건마스터!$A$5:$A$64,0)),""))</f>
        <v/>
      </c>
      <c r="X374" s="35">
        <f>IF($F374="","",IFERROR(INDEX(사건마스터!$AU$5:$AU$64,MATCH($F374,사건마스터!$A$5:$A$64,0)),""))</f>
        <v/>
      </c>
      <c r="Y374" s="35">
        <f>IF($F374="","",IFERROR(INDEX(사건마스터!$AV$5:$AV$64,MATCH($F374,사건마스터!$A$5:$A$64,0)),""))</f>
        <v/>
      </c>
      <c r="Z374" s="30">
        <f>IF(COUNTBLANK($J374:$Y374)=16,"",16-COUNTBLANK($J374:$Y374))</f>
        <v/>
      </c>
      <c r="AA374" s="33">
        <f>IF($J374="",MID($AX374,3,255),$J374&amp;$AX374)</f>
        <v/>
      </c>
      <c r="AB374" s="34">
        <f>IF($J374="","",IFERROR(INDEX(코드설정!$D$5:$D$24,MATCH($J374,코드설정!$C$5:$C$24,0)),""))</f>
        <v/>
      </c>
      <c r="AC374" s="36" t="n"/>
      <c r="AD374" s="37" t="n"/>
      <c r="AE374" s="38" t="n"/>
      <c r="AF374" s="30">
        <f>IF(OR($B374="",$C374=""),"",$C374-$B374+1)</f>
        <v/>
      </c>
      <c r="AG374" s="32" t="n"/>
      <c r="AH374" s="36" t="n"/>
      <c r="AJ374">
        <f>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  <c r="AX374">
        <f>AW374&amp;IF($Y374="","",", "&amp;$Y374)</f>
        <v/>
      </c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0">
        <f>IF($F375="","",COUNTIF($F$5:$F375,$F375))</f>
        <v/>
      </c>
      <c r="H375" s="33">
        <f>IF($F375="","",IFERROR(INDEX(사건마스터!$B$5:$B$64,MATCH($F375,사건마스터!$A$5:$A$64,0)),""))</f>
        <v/>
      </c>
      <c r="I375" s="34">
        <f>IF($F375="","",IFERROR(INDEX(사건마스터!$C$5:$C$64,MATCH($F375,사건마스터!$A$5:$A$64,0)),""))</f>
        <v/>
      </c>
      <c r="J375" s="35">
        <f>IF($F375="","",IFERROR(INDEX(사건마스터!$H$5:$H$64,MATCH($F375,사건마스터!$A$5:$A$64,0)),""))</f>
        <v/>
      </c>
      <c r="K375" s="35">
        <f>IF($F375="","",IFERROR(INDEX(사건마스터!$AH$5:$AH$64,MATCH($F375,사건마스터!$A$5:$A$64,0)),""))</f>
        <v/>
      </c>
      <c r="L375" s="35">
        <f>IF($F375="","",IFERROR(INDEX(사건마스터!$AI$5:$AI$64,MATCH($F375,사건마스터!$A$5:$A$64,0)),""))</f>
        <v/>
      </c>
      <c r="M375" s="35">
        <f>IF($F375="","",IFERROR(INDEX(사건마스터!$AJ$5:$AJ$64,MATCH($F375,사건마스터!$A$5:$A$64,0)),""))</f>
        <v/>
      </c>
      <c r="N375" s="35">
        <f>IF($F375="","",IFERROR(INDEX(사건마스터!$AK$5:$AK$64,MATCH($F375,사건마스터!$A$5:$A$64,0)),""))</f>
        <v/>
      </c>
      <c r="O375" s="35">
        <f>IF($F375="","",IFERROR(INDEX(사건마스터!$AL$5:$AL$64,MATCH($F375,사건마스터!$A$5:$A$64,0)),""))</f>
        <v/>
      </c>
      <c r="P375" s="35">
        <f>IF($F375="","",IFERROR(INDEX(사건마스터!$AM$5:$AM$64,MATCH($F375,사건마스터!$A$5:$A$64,0)),""))</f>
        <v/>
      </c>
      <c r="Q375" s="35">
        <f>IF($F375="","",IFERROR(INDEX(사건마스터!$AN$5:$AN$64,MATCH($F375,사건마스터!$A$5:$A$64,0)),""))</f>
        <v/>
      </c>
      <c r="R375" s="35">
        <f>IF($F375="","",IFERROR(INDEX(사건마스터!$AO$5:$AO$64,MATCH($F375,사건마스터!$A$5:$A$64,0)),""))</f>
        <v/>
      </c>
      <c r="S375" s="35">
        <f>IF($F375="","",IFERROR(INDEX(사건마스터!$AP$5:$AP$64,MATCH($F375,사건마스터!$A$5:$A$64,0)),""))</f>
        <v/>
      </c>
      <c r="T375" s="35">
        <f>IF($F375="","",IFERROR(INDEX(사건마스터!$AQ$5:$AQ$64,MATCH($F375,사건마스터!$A$5:$A$64,0)),""))</f>
        <v/>
      </c>
      <c r="U375" s="35">
        <f>IF($F375="","",IFERROR(INDEX(사건마스터!$AR$5:$AR$64,MATCH($F375,사건마스터!$A$5:$A$64,0)),""))</f>
        <v/>
      </c>
      <c r="V375" s="35">
        <f>IF($F375="","",IFERROR(INDEX(사건마스터!$AS$5:$AS$64,MATCH($F375,사건마스터!$A$5:$A$64,0)),""))</f>
        <v/>
      </c>
      <c r="W375" s="35">
        <f>IF($F375="","",IFERROR(INDEX(사건마스터!$AT$5:$AT$64,MATCH($F375,사건마스터!$A$5:$A$64,0)),""))</f>
        <v/>
      </c>
      <c r="X375" s="35">
        <f>IF($F375="","",IFERROR(INDEX(사건마스터!$AU$5:$AU$64,MATCH($F375,사건마스터!$A$5:$A$64,0)),""))</f>
        <v/>
      </c>
      <c r="Y375" s="35">
        <f>IF($F375="","",IFERROR(INDEX(사건마스터!$AV$5:$AV$64,MATCH($F375,사건마스터!$A$5:$A$64,0)),""))</f>
        <v/>
      </c>
      <c r="Z375" s="30">
        <f>IF(COUNTBLANK($J375:$Y375)=16,"",16-COUNTBLANK($J375:$Y375))</f>
        <v/>
      </c>
      <c r="AA375" s="33">
        <f>IF($J375="",MID($AX375,3,255),$J375&amp;$AX375)</f>
        <v/>
      </c>
      <c r="AB375" s="34">
        <f>IF($J375="","",IFERROR(INDEX(코드설정!$D$5:$D$24,MATCH($J375,코드설정!$C$5:$C$24,0)),""))</f>
        <v/>
      </c>
      <c r="AC375" s="36" t="n"/>
      <c r="AD375" s="37" t="n"/>
      <c r="AE375" s="38" t="n"/>
      <c r="AF375" s="30">
        <f>IF(OR($B375="",$C375=""),"",$C375-$B375+1)</f>
        <v/>
      </c>
      <c r="AG375" s="32" t="n"/>
      <c r="AH375" s="36" t="n"/>
      <c r="AJ375">
        <f>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  <c r="AX375">
        <f>AW375&amp;IF($Y375="","",", "&amp;$Y375)</f>
        <v/>
      </c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0">
        <f>IF($F376="","",COUNTIF($F$5:$F376,$F376))</f>
        <v/>
      </c>
      <c r="H376" s="33">
        <f>IF($F376="","",IFERROR(INDEX(사건마스터!$B$5:$B$64,MATCH($F376,사건마스터!$A$5:$A$64,0)),""))</f>
        <v/>
      </c>
      <c r="I376" s="34">
        <f>IF($F376="","",IFERROR(INDEX(사건마스터!$C$5:$C$64,MATCH($F376,사건마스터!$A$5:$A$64,0)),""))</f>
        <v/>
      </c>
      <c r="J376" s="35">
        <f>IF($F376="","",IFERROR(INDEX(사건마스터!$H$5:$H$64,MATCH($F376,사건마스터!$A$5:$A$64,0)),""))</f>
        <v/>
      </c>
      <c r="K376" s="35">
        <f>IF($F376="","",IFERROR(INDEX(사건마스터!$AH$5:$AH$64,MATCH($F376,사건마스터!$A$5:$A$64,0)),""))</f>
        <v/>
      </c>
      <c r="L376" s="35">
        <f>IF($F376="","",IFERROR(INDEX(사건마스터!$AI$5:$AI$64,MATCH($F376,사건마스터!$A$5:$A$64,0)),""))</f>
        <v/>
      </c>
      <c r="M376" s="35">
        <f>IF($F376="","",IFERROR(INDEX(사건마스터!$AJ$5:$AJ$64,MATCH($F376,사건마스터!$A$5:$A$64,0)),""))</f>
        <v/>
      </c>
      <c r="N376" s="35">
        <f>IF($F376="","",IFERROR(INDEX(사건마스터!$AK$5:$AK$64,MATCH($F376,사건마스터!$A$5:$A$64,0)),""))</f>
        <v/>
      </c>
      <c r="O376" s="35">
        <f>IF($F376="","",IFERROR(INDEX(사건마스터!$AL$5:$AL$64,MATCH($F376,사건마스터!$A$5:$A$64,0)),""))</f>
        <v/>
      </c>
      <c r="P376" s="35">
        <f>IF($F376="","",IFERROR(INDEX(사건마스터!$AM$5:$AM$64,MATCH($F376,사건마스터!$A$5:$A$64,0)),""))</f>
        <v/>
      </c>
      <c r="Q376" s="35">
        <f>IF($F376="","",IFERROR(INDEX(사건마스터!$AN$5:$AN$64,MATCH($F376,사건마스터!$A$5:$A$64,0)),""))</f>
        <v/>
      </c>
      <c r="R376" s="35">
        <f>IF($F376="","",IFERROR(INDEX(사건마스터!$AO$5:$AO$64,MATCH($F376,사건마스터!$A$5:$A$64,0)),""))</f>
        <v/>
      </c>
      <c r="S376" s="35">
        <f>IF($F376="","",IFERROR(INDEX(사건마스터!$AP$5:$AP$64,MATCH($F376,사건마스터!$A$5:$A$64,0)),""))</f>
        <v/>
      </c>
      <c r="T376" s="35">
        <f>IF($F376="","",IFERROR(INDEX(사건마스터!$AQ$5:$AQ$64,MATCH($F376,사건마스터!$A$5:$A$64,0)),""))</f>
        <v/>
      </c>
      <c r="U376" s="35">
        <f>IF($F376="","",IFERROR(INDEX(사건마스터!$AR$5:$AR$64,MATCH($F376,사건마스터!$A$5:$A$64,0)),""))</f>
        <v/>
      </c>
      <c r="V376" s="35">
        <f>IF($F376="","",IFERROR(INDEX(사건마스터!$AS$5:$AS$64,MATCH($F376,사건마스터!$A$5:$A$64,0)),""))</f>
        <v/>
      </c>
      <c r="W376" s="35">
        <f>IF($F376="","",IFERROR(INDEX(사건마스터!$AT$5:$AT$64,MATCH($F376,사건마스터!$A$5:$A$64,0)),""))</f>
        <v/>
      </c>
      <c r="X376" s="35">
        <f>IF($F376="","",IFERROR(INDEX(사건마스터!$AU$5:$AU$64,MATCH($F376,사건마스터!$A$5:$A$64,0)),""))</f>
        <v/>
      </c>
      <c r="Y376" s="35">
        <f>IF($F376="","",IFERROR(INDEX(사건마스터!$AV$5:$AV$64,MATCH($F376,사건마스터!$A$5:$A$64,0)),""))</f>
        <v/>
      </c>
      <c r="Z376" s="30">
        <f>IF(COUNTBLANK($J376:$Y376)=16,"",16-COUNTBLANK($J376:$Y376))</f>
        <v/>
      </c>
      <c r="AA376" s="33">
        <f>IF($J376="",MID($AX376,3,255),$J376&amp;$AX376)</f>
        <v/>
      </c>
      <c r="AB376" s="34">
        <f>IF($J376="","",IFERROR(INDEX(코드설정!$D$5:$D$24,MATCH($J376,코드설정!$C$5:$C$24,0)),""))</f>
        <v/>
      </c>
      <c r="AC376" s="36" t="n"/>
      <c r="AD376" s="37" t="n"/>
      <c r="AE376" s="38" t="n"/>
      <c r="AF376" s="30">
        <f>IF(OR($B376="",$C376=""),"",$C376-$B376+1)</f>
        <v/>
      </c>
      <c r="AG376" s="32" t="n"/>
      <c r="AH376" s="36" t="n"/>
      <c r="AJ376">
        <f>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  <c r="AX376">
        <f>AW376&amp;IF($Y376="","",", "&amp;$Y376)</f>
        <v/>
      </c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0">
        <f>IF($F377="","",COUNTIF($F$5:$F377,$F377))</f>
        <v/>
      </c>
      <c r="H377" s="33">
        <f>IF($F377="","",IFERROR(INDEX(사건마스터!$B$5:$B$64,MATCH($F377,사건마스터!$A$5:$A$64,0)),""))</f>
        <v/>
      </c>
      <c r="I377" s="34">
        <f>IF($F377="","",IFERROR(INDEX(사건마스터!$C$5:$C$64,MATCH($F377,사건마스터!$A$5:$A$64,0)),""))</f>
        <v/>
      </c>
      <c r="J377" s="35">
        <f>IF($F377="","",IFERROR(INDEX(사건마스터!$H$5:$H$64,MATCH($F377,사건마스터!$A$5:$A$64,0)),""))</f>
        <v/>
      </c>
      <c r="K377" s="35">
        <f>IF($F377="","",IFERROR(INDEX(사건마스터!$AH$5:$AH$64,MATCH($F377,사건마스터!$A$5:$A$64,0)),""))</f>
        <v/>
      </c>
      <c r="L377" s="35">
        <f>IF($F377="","",IFERROR(INDEX(사건마스터!$AI$5:$AI$64,MATCH($F377,사건마스터!$A$5:$A$64,0)),""))</f>
        <v/>
      </c>
      <c r="M377" s="35">
        <f>IF($F377="","",IFERROR(INDEX(사건마스터!$AJ$5:$AJ$64,MATCH($F377,사건마스터!$A$5:$A$64,0)),""))</f>
        <v/>
      </c>
      <c r="N377" s="35">
        <f>IF($F377="","",IFERROR(INDEX(사건마스터!$AK$5:$AK$64,MATCH($F377,사건마스터!$A$5:$A$64,0)),""))</f>
        <v/>
      </c>
      <c r="O377" s="35">
        <f>IF($F377="","",IFERROR(INDEX(사건마스터!$AL$5:$AL$64,MATCH($F377,사건마스터!$A$5:$A$64,0)),""))</f>
        <v/>
      </c>
      <c r="P377" s="35">
        <f>IF($F377="","",IFERROR(INDEX(사건마스터!$AM$5:$AM$64,MATCH($F377,사건마스터!$A$5:$A$64,0)),""))</f>
        <v/>
      </c>
      <c r="Q377" s="35">
        <f>IF($F377="","",IFERROR(INDEX(사건마스터!$AN$5:$AN$64,MATCH($F377,사건마스터!$A$5:$A$64,0)),""))</f>
        <v/>
      </c>
      <c r="R377" s="35">
        <f>IF($F377="","",IFERROR(INDEX(사건마스터!$AO$5:$AO$64,MATCH($F377,사건마스터!$A$5:$A$64,0)),""))</f>
        <v/>
      </c>
      <c r="S377" s="35">
        <f>IF($F377="","",IFERROR(INDEX(사건마스터!$AP$5:$AP$64,MATCH($F377,사건마스터!$A$5:$A$64,0)),""))</f>
        <v/>
      </c>
      <c r="T377" s="35">
        <f>IF($F377="","",IFERROR(INDEX(사건마스터!$AQ$5:$AQ$64,MATCH($F377,사건마스터!$A$5:$A$64,0)),""))</f>
        <v/>
      </c>
      <c r="U377" s="35">
        <f>IF($F377="","",IFERROR(INDEX(사건마스터!$AR$5:$AR$64,MATCH($F377,사건마스터!$A$5:$A$64,0)),""))</f>
        <v/>
      </c>
      <c r="V377" s="35">
        <f>IF($F377="","",IFERROR(INDEX(사건마스터!$AS$5:$AS$64,MATCH($F377,사건마스터!$A$5:$A$64,0)),""))</f>
        <v/>
      </c>
      <c r="W377" s="35">
        <f>IF($F377="","",IFERROR(INDEX(사건마스터!$AT$5:$AT$64,MATCH($F377,사건마스터!$A$5:$A$64,0)),""))</f>
        <v/>
      </c>
      <c r="X377" s="35">
        <f>IF($F377="","",IFERROR(INDEX(사건마스터!$AU$5:$AU$64,MATCH($F377,사건마스터!$A$5:$A$64,0)),""))</f>
        <v/>
      </c>
      <c r="Y377" s="35">
        <f>IF($F377="","",IFERROR(INDEX(사건마스터!$AV$5:$AV$64,MATCH($F377,사건마스터!$A$5:$A$64,0)),""))</f>
        <v/>
      </c>
      <c r="Z377" s="30">
        <f>IF(COUNTBLANK($J377:$Y377)=16,"",16-COUNTBLANK($J377:$Y377))</f>
        <v/>
      </c>
      <c r="AA377" s="33">
        <f>IF($J377="",MID($AX377,3,255),$J377&amp;$AX377)</f>
        <v/>
      </c>
      <c r="AB377" s="34">
        <f>IF($J377="","",IFERROR(INDEX(코드설정!$D$5:$D$24,MATCH($J377,코드설정!$C$5:$C$24,0)),""))</f>
        <v/>
      </c>
      <c r="AC377" s="36" t="n"/>
      <c r="AD377" s="37" t="n"/>
      <c r="AE377" s="38" t="n"/>
      <c r="AF377" s="30">
        <f>IF(OR($B377="",$C377=""),"",$C377-$B377+1)</f>
        <v/>
      </c>
      <c r="AG377" s="32" t="n"/>
      <c r="AH377" s="36" t="n"/>
      <c r="AJ377">
        <f>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  <c r="AX377">
        <f>AW377&amp;IF($Y377="","",", "&amp;$Y377)</f>
        <v/>
      </c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0">
        <f>IF($F378="","",COUNTIF($F$5:$F378,$F378))</f>
        <v/>
      </c>
      <c r="H378" s="33">
        <f>IF($F378="","",IFERROR(INDEX(사건마스터!$B$5:$B$64,MATCH($F378,사건마스터!$A$5:$A$64,0)),""))</f>
        <v/>
      </c>
      <c r="I378" s="34">
        <f>IF($F378="","",IFERROR(INDEX(사건마스터!$C$5:$C$64,MATCH($F378,사건마스터!$A$5:$A$64,0)),""))</f>
        <v/>
      </c>
      <c r="J378" s="35">
        <f>IF($F378="","",IFERROR(INDEX(사건마스터!$H$5:$H$64,MATCH($F378,사건마스터!$A$5:$A$64,0)),""))</f>
        <v/>
      </c>
      <c r="K378" s="35">
        <f>IF($F378="","",IFERROR(INDEX(사건마스터!$AH$5:$AH$64,MATCH($F378,사건마스터!$A$5:$A$64,0)),""))</f>
        <v/>
      </c>
      <c r="L378" s="35">
        <f>IF($F378="","",IFERROR(INDEX(사건마스터!$AI$5:$AI$64,MATCH($F378,사건마스터!$A$5:$A$64,0)),""))</f>
        <v/>
      </c>
      <c r="M378" s="35">
        <f>IF($F378="","",IFERROR(INDEX(사건마스터!$AJ$5:$AJ$64,MATCH($F378,사건마스터!$A$5:$A$64,0)),""))</f>
        <v/>
      </c>
      <c r="N378" s="35">
        <f>IF($F378="","",IFERROR(INDEX(사건마스터!$AK$5:$AK$64,MATCH($F378,사건마스터!$A$5:$A$64,0)),""))</f>
        <v/>
      </c>
      <c r="O378" s="35">
        <f>IF($F378="","",IFERROR(INDEX(사건마스터!$AL$5:$AL$64,MATCH($F378,사건마스터!$A$5:$A$64,0)),""))</f>
        <v/>
      </c>
      <c r="P378" s="35">
        <f>IF($F378="","",IFERROR(INDEX(사건마스터!$AM$5:$AM$64,MATCH($F378,사건마스터!$A$5:$A$64,0)),""))</f>
        <v/>
      </c>
      <c r="Q378" s="35">
        <f>IF($F378="","",IFERROR(INDEX(사건마스터!$AN$5:$AN$64,MATCH($F378,사건마스터!$A$5:$A$64,0)),""))</f>
        <v/>
      </c>
      <c r="R378" s="35">
        <f>IF($F378="","",IFERROR(INDEX(사건마스터!$AO$5:$AO$64,MATCH($F378,사건마스터!$A$5:$A$64,0)),""))</f>
        <v/>
      </c>
      <c r="S378" s="35">
        <f>IF($F378="","",IFERROR(INDEX(사건마스터!$AP$5:$AP$64,MATCH($F378,사건마스터!$A$5:$A$64,0)),""))</f>
        <v/>
      </c>
      <c r="T378" s="35">
        <f>IF($F378="","",IFERROR(INDEX(사건마스터!$AQ$5:$AQ$64,MATCH($F378,사건마스터!$A$5:$A$64,0)),""))</f>
        <v/>
      </c>
      <c r="U378" s="35">
        <f>IF($F378="","",IFERROR(INDEX(사건마스터!$AR$5:$AR$64,MATCH($F378,사건마스터!$A$5:$A$64,0)),""))</f>
        <v/>
      </c>
      <c r="V378" s="35">
        <f>IF($F378="","",IFERROR(INDEX(사건마스터!$AS$5:$AS$64,MATCH($F378,사건마스터!$A$5:$A$64,0)),""))</f>
        <v/>
      </c>
      <c r="W378" s="35">
        <f>IF($F378="","",IFERROR(INDEX(사건마스터!$AT$5:$AT$64,MATCH($F378,사건마스터!$A$5:$A$64,0)),""))</f>
        <v/>
      </c>
      <c r="X378" s="35">
        <f>IF($F378="","",IFERROR(INDEX(사건마스터!$AU$5:$AU$64,MATCH($F378,사건마스터!$A$5:$A$64,0)),""))</f>
        <v/>
      </c>
      <c r="Y378" s="35">
        <f>IF($F378="","",IFERROR(INDEX(사건마스터!$AV$5:$AV$64,MATCH($F378,사건마스터!$A$5:$A$64,0)),""))</f>
        <v/>
      </c>
      <c r="Z378" s="30">
        <f>IF(COUNTBLANK($J378:$Y378)=16,"",16-COUNTBLANK($J378:$Y378))</f>
        <v/>
      </c>
      <c r="AA378" s="33">
        <f>IF($J378="",MID($AX378,3,255),$J378&amp;$AX378)</f>
        <v/>
      </c>
      <c r="AB378" s="34">
        <f>IF($J378="","",IFERROR(INDEX(코드설정!$D$5:$D$24,MATCH($J378,코드설정!$C$5:$C$24,0)),""))</f>
        <v/>
      </c>
      <c r="AC378" s="36" t="n"/>
      <c r="AD378" s="37" t="n"/>
      <c r="AE378" s="38" t="n"/>
      <c r="AF378" s="30">
        <f>IF(OR($B378="",$C378=""),"",$C378-$B378+1)</f>
        <v/>
      </c>
      <c r="AG378" s="32" t="n"/>
      <c r="AH378" s="36" t="n"/>
      <c r="AJ378">
        <f>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  <c r="AX378">
        <f>AW378&amp;IF($Y378="","",", "&amp;$Y378)</f>
        <v/>
      </c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0">
        <f>IF($F379="","",COUNTIF($F$5:$F379,$F379))</f>
        <v/>
      </c>
      <c r="H379" s="33">
        <f>IF($F379="","",IFERROR(INDEX(사건마스터!$B$5:$B$64,MATCH($F379,사건마스터!$A$5:$A$64,0)),""))</f>
        <v/>
      </c>
      <c r="I379" s="34">
        <f>IF($F379="","",IFERROR(INDEX(사건마스터!$C$5:$C$64,MATCH($F379,사건마스터!$A$5:$A$64,0)),""))</f>
        <v/>
      </c>
      <c r="J379" s="35">
        <f>IF($F379="","",IFERROR(INDEX(사건마스터!$H$5:$H$64,MATCH($F379,사건마스터!$A$5:$A$64,0)),""))</f>
        <v/>
      </c>
      <c r="K379" s="35">
        <f>IF($F379="","",IFERROR(INDEX(사건마스터!$AH$5:$AH$64,MATCH($F379,사건마스터!$A$5:$A$64,0)),""))</f>
        <v/>
      </c>
      <c r="L379" s="35">
        <f>IF($F379="","",IFERROR(INDEX(사건마스터!$AI$5:$AI$64,MATCH($F379,사건마스터!$A$5:$A$64,0)),""))</f>
        <v/>
      </c>
      <c r="M379" s="35">
        <f>IF($F379="","",IFERROR(INDEX(사건마스터!$AJ$5:$AJ$64,MATCH($F379,사건마스터!$A$5:$A$64,0)),""))</f>
        <v/>
      </c>
      <c r="N379" s="35">
        <f>IF($F379="","",IFERROR(INDEX(사건마스터!$AK$5:$AK$64,MATCH($F379,사건마스터!$A$5:$A$64,0)),""))</f>
        <v/>
      </c>
      <c r="O379" s="35">
        <f>IF($F379="","",IFERROR(INDEX(사건마스터!$AL$5:$AL$64,MATCH($F379,사건마스터!$A$5:$A$64,0)),""))</f>
        <v/>
      </c>
      <c r="P379" s="35">
        <f>IF($F379="","",IFERROR(INDEX(사건마스터!$AM$5:$AM$64,MATCH($F379,사건마스터!$A$5:$A$64,0)),""))</f>
        <v/>
      </c>
      <c r="Q379" s="35">
        <f>IF($F379="","",IFERROR(INDEX(사건마스터!$AN$5:$AN$64,MATCH($F379,사건마스터!$A$5:$A$64,0)),""))</f>
        <v/>
      </c>
      <c r="R379" s="35">
        <f>IF($F379="","",IFERROR(INDEX(사건마스터!$AO$5:$AO$64,MATCH($F379,사건마스터!$A$5:$A$64,0)),""))</f>
        <v/>
      </c>
      <c r="S379" s="35">
        <f>IF($F379="","",IFERROR(INDEX(사건마스터!$AP$5:$AP$64,MATCH($F379,사건마스터!$A$5:$A$64,0)),""))</f>
        <v/>
      </c>
      <c r="T379" s="35">
        <f>IF($F379="","",IFERROR(INDEX(사건마스터!$AQ$5:$AQ$64,MATCH($F379,사건마스터!$A$5:$A$64,0)),""))</f>
        <v/>
      </c>
      <c r="U379" s="35">
        <f>IF($F379="","",IFERROR(INDEX(사건마스터!$AR$5:$AR$64,MATCH($F379,사건마스터!$A$5:$A$64,0)),""))</f>
        <v/>
      </c>
      <c r="V379" s="35">
        <f>IF($F379="","",IFERROR(INDEX(사건마스터!$AS$5:$AS$64,MATCH($F379,사건마스터!$A$5:$A$64,0)),""))</f>
        <v/>
      </c>
      <c r="W379" s="35">
        <f>IF($F379="","",IFERROR(INDEX(사건마스터!$AT$5:$AT$64,MATCH($F379,사건마스터!$A$5:$A$64,0)),""))</f>
        <v/>
      </c>
      <c r="X379" s="35">
        <f>IF($F379="","",IFERROR(INDEX(사건마스터!$AU$5:$AU$64,MATCH($F379,사건마스터!$A$5:$A$64,0)),""))</f>
        <v/>
      </c>
      <c r="Y379" s="35">
        <f>IF($F379="","",IFERROR(INDEX(사건마스터!$AV$5:$AV$64,MATCH($F379,사건마스터!$A$5:$A$64,0)),""))</f>
        <v/>
      </c>
      <c r="Z379" s="30">
        <f>IF(COUNTBLANK($J379:$Y379)=16,"",16-COUNTBLANK($J379:$Y379))</f>
        <v/>
      </c>
      <c r="AA379" s="33">
        <f>IF($J379="",MID($AX379,3,255),$J379&amp;$AX379)</f>
        <v/>
      </c>
      <c r="AB379" s="34">
        <f>IF($J379="","",IFERROR(INDEX(코드설정!$D$5:$D$24,MATCH($J379,코드설정!$C$5:$C$24,0)),""))</f>
        <v/>
      </c>
      <c r="AC379" s="36" t="n"/>
      <c r="AD379" s="37" t="n"/>
      <c r="AE379" s="38" t="n"/>
      <c r="AF379" s="30">
        <f>IF(OR($B379="",$C379=""),"",$C379-$B379+1)</f>
        <v/>
      </c>
      <c r="AG379" s="32" t="n"/>
      <c r="AH379" s="36" t="n"/>
      <c r="AJ379">
        <f>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  <c r="AX379">
        <f>AW379&amp;IF($Y379="","",", "&amp;$Y379)</f>
        <v/>
      </c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0">
        <f>IF($F380="","",COUNTIF($F$5:$F380,$F380))</f>
        <v/>
      </c>
      <c r="H380" s="33">
        <f>IF($F380="","",IFERROR(INDEX(사건마스터!$B$5:$B$64,MATCH($F380,사건마스터!$A$5:$A$64,0)),""))</f>
        <v/>
      </c>
      <c r="I380" s="34">
        <f>IF($F380="","",IFERROR(INDEX(사건마스터!$C$5:$C$64,MATCH($F380,사건마스터!$A$5:$A$64,0)),""))</f>
        <v/>
      </c>
      <c r="J380" s="35">
        <f>IF($F380="","",IFERROR(INDEX(사건마스터!$H$5:$H$64,MATCH($F380,사건마스터!$A$5:$A$64,0)),""))</f>
        <v/>
      </c>
      <c r="K380" s="35">
        <f>IF($F380="","",IFERROR(INDEX(사건마스터!$AH$5:$AH$64,MATCH($F380,사건마스터!$A$5:$A$64,0)),""))</f>
        <v/>
      </c>
      <c r="L380" s="35">
        <f>IF($F380="","",IFERROR(INDEX(사건마스터!$AI$5:$AI$64,MATCH($F380,사건마스터!$A$5:$A$64,0)),""))</f>
        <v/>
      </c>
      <c r="M380" s="35">
        <f>IF($F380="","",IFERROR(INDEX(사건마스터!$AJ$5:$AJ$64,MATCH($F380,사건마스터!$A$5:$A$64,0)),""))</f>
        <v/>
      </c>
      <c r="N380" s="35">
        <f>IF($F380="","",IFERROR(INDEX(사건마스터!$AK$5:$AK$64,MATCH($F380,사건마스터!$A$5:$A$64,0)),""))</f>
        <v/>
      </c>
      <c r="O380" s="35">
        <f>IF($F380="","",IFERROR(INDEX(사건마스터!$AL$5:$AL$64,MATCH($F380,사건마스터!$A$5:$A$64,0)),""))</f>
        <v/>
      </c>
      <c r="P380" s="35">
        <f>IF($F380="","",IFERROR(INDEX(사건마스터!$AM$5:$AM$64,MATCH($F380,사건마스터!$A$5:$A$64,0)),""))</f>
        <v/>
      </c>
      <c r="Q380" s="35">
        <f>IF($F380="","",IFERROR(INDEX(사건마스터!$AN$5:$AN$64,MATCH($F380,사건마스터!$A$5:$A$64,0)),""))</f>
        <v/>
      </c>
      <c r="R380" s="35">
        <f>IF($F380="","",IFERROR(INDEX(사건마스터!$AO$5:$AO$64,MATCH($F380,사건마스터!$A$5:$A$64,0)),""))</f>
        <v/>
      </c>
      <c r="S380" s="35">
        <f>IF($F380="","",IFERROR(INDEX(사건마스터!$AP$5:$AP$64,MATCH($F380,사건마스터!$A$5:$A$64,0)),""))</f>
        <v/>
      </c>
      <c r="T380" s="35">
        <f>IF($F380="","",IFERROR(INDEX(사건마스터!$AQ$5:$AQ$64,MATCH($F380,사건마스터!$A$5:$A$64,0)),""))</f>
        <v/>
      </c>
      <c r="U380" s="35">
        <f>IF($F380="","",IFERROR(INDEX(사건마스터!$AR$5:$AR$64,MATCH($F380,사건마스터!$A$5:$A$64,0)),""))</f>
        <v/>
      </c>
      <c r="V380" s="35">
        <f>IF($F380="","",IFERROR(INDEX(사건마스터!$AS$5:$AS$64,MATCH($F380,사건마스터!$A$5:$A$64,0)),""))</f>
        <v/>
      </c>
      <c r="W380" s="35">
        <f>IF($F380="","",IFERROR(INDEX(사건마스터!$AT$5:$AT$64,MATCH($F380,사건마스터!$A$5:$A$64,0)),""))</f>
        <v/>
      </c>
      <c r="X380" s="35">
        <f>IF($F380="","",IFERROR(INDEX(사건마스터!$AU$5:$AU$64,MATCH($F380,사건마스터!$A$5:$A$64,0)),""))</f>
        <v/>
      </c>
      <c r="Y380" s="35">
        <f>IF($F380="","",IFERROR(INDEX(사건마스터!$AV$5:$AV$64,MATCH($F380,사건마스터!$A$5:$A$64,0)),""))</f>
        <v/>
      </c>
      <c r="Z380" s="30">
        <f>IF(COUNTBLANK($J380:$Y380)=16,"",16-COUNTBLANK($J380:$Y380))</f>
        <v/>
      </c>
      <c r="AA380" s="33">
        <f>IF($J380="",MID($AX380,3,255),$J380&amp;$AX380)</f>
        <v/>
      </c>
      <c r="AB380" s="34">
        <f>IF($J380="","",IFERROR(INDEX(코드설정!$D$5:$D$24,MATCH($J380,코드설정!$C$5:$C$24,0)),""))</f>
        <v/>
      </c>
      <c r="AC380" s="36" t="n"/>
      <c r="AD380" s="37" t="n"/>
      <c r="AE380" s="38" t="n"/>
      <c r="AF380" s="30">
        <f>IF(OR($B380="",$C380=""),"",$C380-$B380+1)</f>
        <v/>
      </c>
      <c r="AG380" s="32" t="n"/>
      <c r="AH380" s="36" t="n"/>
      <c r="AJ380">
        <f>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  <c r="AX380">
        <f>AW380&amp;IF($Y380="","",", "&amp;$Y380)</f>
        <v/>
      </c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0">
        <f>IF($F381="","",COUNTIF($F$5:$F381,$F381))</f>
        <v/>
      </c>
      <c r="H381" s="33">
        <f>IF($F381="","",IFERROR(INDEX(사건마스터!$B$5:$B$64,MATCH($F381,사건마스터!$A$5:$A$64,0)),""))</f>
        <v/>
      </c>
      <c r="I381" s="34">
        <f>IF($F381="","",IFERROR(INDEX(사건마스터!$C$5:$C$64,MATCH($F381,사건마스터!$A$5:$A$64,0)),""))</f>
        <v/>
      </c>
      <c r="J381" s="35">
        <f>IF($F381="","",IFERROR(INDEX(사건마스터!$H$5:$H$64,MATCH($F381,사건마스터!$A$5:$A$64,0)),""))</f>
        <v/>
      </c>
      <c r="K381" s="35">
        <f>IF($F381="","",IFERROR(INDEX(사건마스터!$AH$5:$AH$64,MATCH($F381,사건마스터!$A$5:$A$64,0)),""))</f>
        <v/>
      </c>
      <c r="L381" s="35">
        <f>IF($F381="","",IFERROR(INDEX(사건마스터!$AI$5:$AI$64,MATCH($F381,사건마스터!$A$5:$A$64,0)),""))</f>
        <v/>
      </c>
      <c r="M381" s="35">
        <f>IF($F381="","",IFERROR(INDEX(사건마스터!$AJ$5:$AJ$64,MATCH($F381,사건마스터!$A$5:$A$64,0)),""))</f>
        <v/>
      </c>
      <c r="N381" s="35">
        <f>IF($F381="","",IFERROR(INDEX(사건마스터!$AK$5:$AK$64,MATCH($F381,사건마스터!$A$5:$A$64,0)),""))</f>
        <v/>
      </c>
      <c r="O381" s="35">
        <f>IF($F381="","",IFERROR(INDEX(사건마스터!$AL$5:$AL$64,MATCH($F381,사건마스터!$A$5:$A$64,0)),""))</f>
        <v/>
      </c>
      <c r="P381" s="35">
        <f>IF($F381="","",IFERROR(INDEX(사건마스터!$AM$5:$AM$64,MATCH($F381,사건마스터!$A$5:$A$64,0)),""))</f>
        <v/>
      </c>
      <c r="Q381" s="35">
        <f>IF($F381="","",IFERROR(INDEX(사건마스터!$AN$5:$AN$64,MATCH($F381,사건마스터!$A$5:$A$64,0)),""))</f>
        <v/>
      </c>
      <c r="R381" s="35">
        <f>IF($F381="","",IFERROR(INDEX(사건마스터!$AO$5:$AO$64,MATCH($F381,사건마스터!$A$5:$A$64,0)),""))</f>
        <v/>
      </c>
      <c r="S381" s="35">
        <f>IF($F381="","",IFERROR(INDEX(사건마스터!$AP$5:$AP$64,MATCH($F381,사건마스터!$A$5:$A$64,0)),""))</f>
        <v/>
      </c>
      <c r="T381" s="35">
        <f>IF($F381="","",IFERROR(INDEX(사건마스터!$AQ$5:$AQ$64,MATCH($F381,사건마스터!$A$5:$A$64,0)),""))</f>
        <v/>
      </c>
      <c r="U381" s="35">
        <f>IF($F381="","",IFERROR(INDEX(사건마스터!$AR$5:$AR$64,MATCH($F381,사건마스터!$A$5:$A$64,0)),""))</f>
        <v/>
      </c>
      <c r="V381" s="35">
        <f>IF($F381="","",IFERROR(INDEX(사건마스터!$AS$5:$AS$64,MATCH($F381,사건마스터!$A$5:$A$64,0)),""))</f>
        <v/>
      </c>
      <c r="W381" s="35">
        <f>IF($F381="","",IFERROR(INDEX(사건마스터!$AT$5:$AT$64,MATCH($F381,사건마스터!$A$5:$A$64,0)),""))</f>
        <v/>
      </c>
      <c r="X381" s="35">
        <f>IF($F381="","",IFERROR(INDEX(사건마스터!$AU$5:$AU$64,MATCH($F381,사건마스터!$A$5:$A$64,0)),""))</f>
        <v/>
      </c>
      <c r="Y381" s="35">
        <f>IF($F381="","",IFERROR(INDEX(사건마스터!$AV$5:$AV$64,MATCH($F381,사건마스터!$A$5:$A$64,0)),""))</f>
        <v/>
      </c>
      <c r="Z381" s="30">
        <f>IF(COUNTBLANK($J381:$Y381)=16,"",16-COUNTBLANK($J381:$Y381))</f>
        <v/>
      </c>
      <c r="AA381" s="33">
        <f>IF($J381="",MID($AX381,3,255),$J381&amp;$AX381)</f>
        <v/>
      </c>
      <c r="AB381" s="34">
        <f>IF($J381="","",IFERROR(INDEX(코드설정!$D$5:$D$24,MATCH($J381,코드설정!$C$5:$C$24,0)),""))</f>
        <v/>
      </c>
      <c r="AC381" s="36" t="n"/>
      <c r="AD381" s="37" t="n"/>
      <c r="AE381" s="38" t="n"/>
      <c r="AF381" s="30">
        <f>IF(OR($B381="",$C381=""),"",$C381-$B381+1)</f>
        <v/>
      </c>
      <c r="AG381" s="32" t="n"/>
      <c r="AH381" s="36" t="n"/>
      <c r="AJ381">
        <f>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  <c r="AX381">
        <f>AW381&amp;IF($Y381="","",", "&amp;$Y381)</f>
        <v/>
      </c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0">
        <f>IF($F382="","",COUNTIF($F$5:$F382,$F382))</f>
        <v/>
      </c>
      <c r="H382" s="33">
        <f>IF($F382="","",IFERROR(INDEX(사건마스터!$B$5:$B$64,MATCH($F382,사건마스터!$A$5:$A$64,0)),""))</f>
        <v/>
      </c>
      <c r="I382" s="34">
        <f>IF($F382="","",IFERROR(INDEX(사건마스터!$C$5:$C$64,MATCH($F382,사건마스터!$A$5:$A$64,0)),""))</f>
        <v/>
      </c>
      <c r="J382" s="35">
        <f>IF($F382="","",IFERROR(INDEX(사건마스터!$H$5:$H$64,MATCH($F382,사건마스터!$A$5:$A$64,0)),""))</f>
        <v/>
      </c>
      <c r="K382" s="35">
        <f>IF($F382="","",IFERROR(INDEX(사건마스터!$AH$5:$AH$64,MATCH($F382,사건마스터!$A$5:$A$64,0)),""))</f>
        <v/>
      </c>
      <c r="L382" s="35">
        <f>IF($F382="","",IFERROR(INDEX(사건마스터!$AI$5:$AI$64,MATCH($F382,사건마스터!$A$5:$A$64,0)),""))</f>
        <v/>
      </c>
      <c r="M382" s="35">
        <f>IF($F382="","",IFERROR(INDEX(사건마스터!$AJ$5:$AJ$64,MATCH($F382,사건마스터!$A$5:$A$64,0)),""))</f>
        <v/>
      </c>
      <c r="N382" s="35">
        <f>IF($F382="","",IFERROR(INDEX(사건마스터!$AK$5:$AK$64,MATCH($F382,사건마스터!$A$5:$A$64,0)),""))</f>
        <v/>
      </c>
      <c r="O382" s="35">
        <f>IF($F382="","",IFERROR(INDEX(사건마스터!$AL$5:$AL$64,MATCH($F382,사건마스터!$A$5:$A$64,0)),""))</f>
        <v/>
      </c>
      <c r="P382" s="35">
        <f>IF($F382="","",IFERROR(INDEX(사건마스터!$AM$5:$AM$64,MATCH($F382,사건마스터!$A$5:$A$64,0)),""))</f>
        <v/>
      </c>
      <c r="Q382" s="35">
        <f>IF($F382="","",IFERROR(INDEX(사건마스터!$AN$5:$AN$64,MATCH($F382,사건마스터!$A$5:$A$64,0)),""))</f>
        <v/>
      </c>
      <c r="R382" s="35">
        <f>IF($F382="","",IFERROR(INDEX(사건마스터!$AO$5:$AO$64,MATCH($F382,사건마스터!$A$5:$A$64,0)),""))</f>
        <v/>
      </c>
      <c r="S382" s="35">
        <f>IF($F382="","",IFERROR(INDEX(사건마스터!$AP$5:$AP$64,MATCH($F382,사건마스터!$A$5:$A$64,0)),""))</f>
        <v/>
      </c>
      <c r="T382" s="35">
        <f>IF($F382="","",IFERROR(INDEX(사건마스터!$AQ$5:$AQ$64,MATCH($F382,사건마스터!$A$5:$A$64,0)),""))</f>
        <v/>
      </c>
      <c r="U382" s="35">
        <f>IF($F382="","",IFERROR(INDEX(사건마스터!$AR$5:$AR$64,MATCH($F382,사건마스터!$A$5:$A$64,0)),""))</f>
        <v/>
      </c>
      <c r="V382" s="35">
        <f>IF($F382="","",IFERROR(INDEX(사건마스터!$AS$5:$AS$64,MATCH($F382,사건마스터!$A$5:$A$64,0)),""))</f>
        <v/>
      </c>
      <c r="W382" s="35">
        <f>IF($F382="","",IFERROR(INDEX(사건마스터!$AT$5:$AT$64,MATCH($F382,사건마스터!$A$5:$A$64,0)),""))</f>
        <v/>
      </c>
      <c r="X382" s="35">
        <f>IF($F382="","",IFERROR(INDEX(사건마스터!$AU$5:$AU$64,MATCH($F382,사건마스터!$A$5:$A$64,0)),""))</f>
        <v/>
      </c>
      <c r="Y382" s="35">
        <f>IF($F382="","",IFERROR(INDEX(사건마스터!$AV$5:$AV$64,MATCH($F382,사건마스터!$A$5:$A$64,0)),""))</f>
        <v/>
      </c>
      <c r="Z382" s="30">
        <f>IF(COUNTBLANK($J382:$Y382)=16,"",16-COUNTBLANK($J382:$Y382))</f>
        <v/>
      </c>
      <c r="AA382" s="33">
        <f>IF($J382="",MID($AX382,3,255),$J382&amp;$AX382)</f>
        <v/>
      </c>
      <c r="AB382" s="34">
        <f>IF($J382="","",IFERROR(INDEX(코드설정!$D$5:$D$24,MATCH($J382,코드설정!$C$5:$C$24,0)),""))</f>
        <v/>
      </c>
      <c r="AC382" s="36" t="n"/>
      <c r="AD382" s="37" t="n"/>
      <c r="AE382" s="38" t="n"/>
      <c r="AF382" s="30">
        <f>IF(OR($B382="",$C382=""),"",$C382-$B382+1)</f>
        <v/>
      </c>
      <c r="AG382" s="32" t="n"/>
      <c r="AH382" s="36" t="n"/>
      <c r="AJ382">
        <f>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  <c r="AX382">
        <f>AW382&amp;IF($Y382="","",", "&amp;$Y382)</f>
        <v/>
      </c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0">
        <f>IF($F383="","",COUNTIF($F$5:$F383,$F383))</f>
        <v/>
      </c>
      <c r="H383" s="33">
        <f>IF($F383="","",IFERROR(INDEX(사건마스터!$B$5:$B$64,MATCH($F383,사건마스터!$A$5:$A$64,0)),""))</f>
        <v/>
      </c>
      <c r="I383" s="34">
        <f>IF($F383="","",IFERROR(INDEX(사건마스터!$C$5:$C$64,MATCH($F383,사건마스터!$A$5:$A$64,0)),""))</f>
        <v/>
      </c>
      <c r="J383" s="35">
        <f>IF($F383="","",IFERROR(INDEX(사건마스터!$H$5:$H$64,MATCH($F383,사건마스터!$A$5:$A$64,0)),""))</f>
        <v/>
      </c>
      <c r="K383" s="35">
        <f>IF($F383="","",IFERROR(INDEX(사건마스터!$AH$5:$AH$64,MATCH($F383,사건마스터!$A$5:$A$64,0)),""))</f>
        <v/>
      </c>
      <c r="L383" s="35">
        <f>IF($F383="","",IFERROR(INDEX(사건마스터!$AI$5:$AI$64,MATCH($F383,사건마스터!$A$5:$A$64,0)),""))</f>
        <v/>
      </c>
      <c r="M383" s="35">
        <f>IF($F383="","",IFERROR(INDEX(사건마스터!$AJ$5:$AJ$64,MATCH($F383,사건마스터!$A$5:$A$64,0)),""))</f>
        <v/>
      </c>
      <c r="N383" s="35">
        <f>IF($F383="","",IFERROR(INDEX(사건마스터!$AK$5:$AK$64,MATCH($F383,사건마스터!$A$5:$A$64,0)),""))</f>
        <v/>
      </c>
      <c r="O383" s="35">
        <f>IF($F383="","",IFERROR(INDEX(사건마스터!$AL$5:$AL$64,MATCH($F383,사건마스터!$A$5:$A$64,0)),""))</f>
        <v/>
      </c>
      <c r="P383" s="35">
        <f>IF($F383="","",IFERROR(INDEX(사건마스터!$AM$5:$AM$64,MATCH($F383,사건마스터!$A$5:$A$64,0)),""))</f>
        <v/>
      </c>
      <c r="Q383" s="35">
        <f>IF($F383="","",IFERROR(INDEX(사건마스터!$AN$5:$AN$64,MATCH($F383,사건마스터!$A$5:$A$64,0)),""))</f>
        <v/>
      </c>
      <c r="R383" s="35">
        <f>IF($F383="","",IFERROR(INDEX(사건마스터!$AO$5:$AO$64,MATCH($F383,사건마스터!$A$5:$A$64,0)),""))</f>
        <v/>
      </c>
      <c r="S383" s="35">
        <f>IF($F383="","",IFERROR(INDEX(사건마스터!$AP$5:$AP$64,MATCH($F383,사건마스터!$A$5:$A$64,0)),""))</f>
        <v/>
      </c>
      <c r="T383" s="35">
        <f>IF($F383="","",IFERROR(INDEX(사건마스터!$AQ$5:$AQ$64,MATCH($F383,사건마스터!$A$5:$A$64,0)),""))</f>
        <v/>
      </c>
      <c r="U383" s="35">
        <f>IF($F383="","",IFERROR(INDEX(사건마스터!$AR$5:$AR$64,MATCH($F383,사건마스터!$A$5:$A$64,0)),""))</f>
        <v/>
      </c>
      <c r="V383" s="35">
        <f>IF($F383="","",IFERROR(INDEX(사건마스터!$AS$5:$AS$64,MATCH($F383,사건마스터!$A$5:$A$64,0)),""))</f>
        <v/>
      </c>
      <c r="W383" s="35">
        <f>IF($F383="","",IFERROR(INDEX(사건마스터!$AT$5:$AT$64,MATCH($F383,사건마스터!$A$5:$A$64,0)),""))</f>
        <v/>
      </c>
      <c r="X383" s="35">
        <f>IF($F383="","",IFERROR(INDEX(사건마스터!$AU$5:$AU$64,MATCH($F383,사건마스터!$A$5:$A$64,0)),""))</f>
        <v/>
      </c>
      <c r="Y383" s="35">
        <f>IF($F383="","",IFERROR(INDEX(사건마스터!$AV$5:$AV$64,MATCH($F383,사건마스터!$A$5:$A$64,0)),""))</f>
        <v/>
      </c>
      <c r="Z383" s="30">
        <f>IF(COUNTBLANK($J383:$Y383)=16,"",16-COUNTBLANK($J383:$Y383))</f>
        <v/>
      </c>
      <c r="AA383" s="33">
        <f>IF($J383="",MID($AX383,3,255),$J383&amp;$AX383)</f>
        <v/>
      </c>
      <c r="AB383" s="34">
        <f>IF($J383="","",IFERROR(INDEX(코드설정!$D$5:$D$24,MATCH($J383,코드설정!$C$5:$C$24,0)),""))</f>
        <v/>
      </c>
      <c r="AC383" s="36" t="n"/>
      <c r="AD383" s="37" t="n"/>
      <c r="AE383" s="38" t="n"/>
      <c r="AF383" s="30">
        <f>IF(OR($B383="",$C383=""),"",$C383-$B383+1)</f>
        <v/>
      </c>
      <c r="AG383" s="32" t="n"/>
      <c r="AH383" s="36" t="n"/>
      <c r="AJ383">
        <f>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  <c r="AX383">
        <f>AW383&amp;IF($Y383="","",", "&amp;$Y383)</f>
        <v/>
      </c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0">
        <f>IF($F384="","",COUNTIF($F$5:$F384,$F384))</f>
        <v/>
      </c>
      <c r="H384" s="33">
        <f>IF($F384="","",IFERROR(INDEX(사건마스터!$B$5:$B$64,MATCH($F384,사건마스터!$A$5:$A$64,0)),""))</f>
        <v/>
      </c>
      <c r="I384" s="34">
        <f>IF($F384="","",IFERROR(INDEX(사건마스터!$C$5:$C$64,MATCH($F384,사건마스터!$A$5:$A$64,0)),""))</f>
        <v/>
      </c>
      <c r="J384" s="35">
        <f>IF($F384="","",IFERROR(INDEX(사건마스터!$H$5:$H$64,MATCH($F384,사건마스터!$A$5:$A$64,0)),""))</f>
        <v/>
      </c>
      <c r="K384" s="35">
        <f>IF($F384="","",IFERROR(INDEX(사건마스터!$AH$5:$AH$64,MATCH($F384,사건마스터!$A$5:$A$64,0)),""))</f>
        <v/>
      </c>
      <c r="L384" s="35">
        <f>IF($F384="","",IFERROR(INDEX(사건마스터!$AI$5:$AI$64,MATCH($F384,사건마스터!$A$5:$A$64,0)),""))</f>
        <v/>
      </c>
      <c r="M384" s="35">
        <f>IF($F384="","",IFERROR(INDEX(사건마스터!$AJ$5:$AJ$64,MATCH($F384,사건마스터!$A$5:$A$64,0)),""))</f>
        <v/>
      </c>
      <c r="N384" s="35">
        <f>IF($F384="","",IFERROR(INDEX(사건마스터!$AK$5:$AK$64,MATCH($F384,사건마스터!$A$5:$A$64,0)),""))</f>
        <v/>
      </c>
      <c r="O384" s="35">
        <f>IF($F384="","",IFERROR(INDEX(사건마스터!$AL$5:$AL$64,MATCH($F384,사건마스터!$A$5:$A$64,0)),""))</f>
        <v/>
      </c>
      <c r="P384" s="35">
        <f>IF($F384="","",IFERROR(INDEX(사건마스터!$AM$5:$AM$64,MATCH($F384,사건마스터!$A$5:$A$64,0)),""))</f>
        <v/>
      </c>
      <c r="Q384" s="35">
        <f>IF($F384="","",IFERROR(INDEX(사건마스터!$AN$5:$AN$64,MATCH($F384,사건마스터!$A$5:$A$64,0)),""))</f>
        <v/>
      </c>
      <c r="R384" s="35">
        <f>IF($F384="","",IFERROR(INDEX(사건마스터!$AO$5:$AO$64,MATCH($F384,사건마스터!$A$5:$A$64,0)),""))</f>
        <v/>
      </c>
      <c r="S384" s="35">
        <f>IF($F384="","",IFERROR(INDEX(사건마스터!$AP$5:$AP$64,MATCH($F384,사건마스터!$A$5:$A$64,0)),""))</f>
        <v/>
      </c>
      <c r="T384" s="35">
        <f>IF($F384="","",IFERROR(INDEX(사건마스터!$AQ$5:$AQ$64,MATCH($F384,사건마스터!$A$5:$A$64,0)),""))</f>
        <v/>
      </c>
      <c r="U384" s="35">
        <f>IF($F384="","",IFERROR(INDEX(사건마스터!$AR$5:$AR$64,MATCH($F384,사건마스터!$A$5:$A$64,0)),""))</f>
        <v/>
      </c>
      <c r="V384" s="35">
        <f>IF($F384="","",IFERROR(INDEX(사건마스터!$AS$5:$AS$64,MATCH($F384,사건마스터!$A$5:$A$64,0)),""))</f>
        <v/>
      </c>
      <c r="W384" s="35">
        <f>IF($F384="","",IFERROR(INDEX(사건마스터!$AT$5:$AT$64,MATCH($F384,사건마스터!$A$5:$A$64,0)),""))</f>
        <v/>
      </c>
      <c r="X384" s="35">
        <f>IF($F384="","",IFERROR(INDEX(사건마스터!$AU$5:$AU$64,MATCH($F384,사건마스터!$A$5:$A$64,0)),""))</f>
        <v/>
      </c>
      <c r="Y384" s="35">
        <f>IF($F384="","",IFERROR(INDEX(사건마스터!$AV$5:$AV$64,MATCH($F384,사건마스터!$A$5:$A$64,0)),""))</f>
        <v/>
      </c>
      <c r="Z384" s="30">
        <f>IF(COUNTBLANK($J384:$Y384)=16,"",16-COUNTBLANK($J384:$Y384))</f>
        <v/>
      </c>
      <c r="AA384" s="33">
        <f>IF($J384="",MID($AX384,3,255),$J384&amp;$AX384)</f>
        <v/>
      </c>
      <c r="AB384" s="34">
        <f>IF($J384="","",IFERROR(INDEX(코드설정!$D$5:$D$24,MATCH($J384,코드설정!$C$5:$C$24,0)),""))</f>
        <v/>
      </c>
      <c r="AC384" s="36" t="n"/>
      <c r="AD384" s="37" t="n"/>
      <c r="AE384" s="38" t="n"/>
      <c r="AF384" s="30">
        <f>IF(OR($B384="",$C384=""),"",$C384-$B384+1)</f>
        <v/>
      </c>
      <c r="AG384" s="32" t="n"/>
      <c r="AH384" s="36" t="n"/>
      <c r="AJ384">
        <f>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  <c r="AX384">
        <f>AW384&amp;IF($Y384="","",", "&amp;$Y384)</f>
        <v/>
      </c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0">
        <f>IF($F385="","",COUNTIF($F$5:$F385,$F385))</f>
        <v/>
      </c>
      <c r="H385" s="33">
        <f>IF($F385="","",IFERROR(INDEX(사건마스터!$B$5:$B$64,MATCH($F385,사건마스터!$A$5:$A$64,0)),""))</f>
        <v/>
      </c>
      <c r="I385" s="34">
        <f>IF($F385="","",IFERROR(INDEX(사건마스터!$C$5:$C$64,MATCH($F385,사건마스터!$A$5:$A$64,0)),""))</f>
        <v/>
      </c>
      <c r="J385" s="35">
        <f>IF($F385="","",IFERROR(INDEX(사건마스터!$H$5:$H$64,MATCH($F385,사건마스터!$A$5:$A$64,0)),""))</f>
        <v/>
      </c>
      <c r="K385" s="35">
        <f>IF($F385="","",IFERROR(INDEX(사건마스터!$AH$5:$AH$64,MATCH($F385,사건마스터!$A$5:$A$64,0)),""))</f>
        <v/>
      </c>
      <c r="L385" s="35">
        <f>IF($F385="","",IFERROR(INDEX(사건마스터!$AI$5:$AI$64,MATCH($F385,사건마스터!$A$5:$A$64,0)),""))</f>
        <v/>
      </c>
      <c r="M385" s="35">
        <f>IF($F385="","",IFERROR(INDEX(사건마스터!$AJ$5:$AJ$64,MATCH($F385,사건마스터!$A$5:$A$64,0)),""))</f>
        <v/>
      </c>
      <c r="N385" s="35">
        <f>IF($F385="","",IFERROR(INDEX(사건마스터!$AK$5:$AK$64,MATCH($F385,사건마스터!$A$5:$A$64,0)),""))</f>
        <v/>
      </c>
      <c r="O385" s="35">
        <f>IF($F385="","",IFERROR(INDEX(사건마스터!$AL$5:$AL$64,MATCH($F385,사건마스터!$A$5:$A$64,0)),""))</f>
        <v/>
      </c>
      <c r="P385" s="35">
        <f>IF($F385="","",IFERROR(INDEX(사건마스터!$AM$5:$AM$64,MATCH($F385,사건마스터!$A$5:$A$64,0)),""))</f>
        <v/>
      </c>
      <c r="Q385" s="35">
        <f>IF($F385="","",IFERROR(INDEX(사건마스터!$AN$5:$AN$64,MATCH($F385,사건마스터!$A$5:$A$64,0)),""))</f>
        <v/>
      </c>
      <c r="R385" s="35">
        <f>IF($F385="","",IFERROR(INDEX(사건마스터!$AO$5:$AO$64,MATCH($F385,사건마스터!$A$5:$A$64,0)),""))</f>
        <v/>
      </c>
      <c r="S385" s="35">
        <f>IF($F385="","",IFERROR(INDEX(사건마스터!$AP$5:$AP$64,MATCH($F385,사건마스터!$A$5:$A$64,0)),""))</f>
        <v/>
      </c>
      <c r="T385" s="35">
        <f>IF($F385="","",IFERROR(INDEX(사건마스터!$AQ$5:$AQ$64,MATCH($F385,사건마스터!$A$5:$A$64,0)),""))</f>
        <v/>
      </c>
      <c r="U385" s="35">
        <f>IF($F385="","",IFERROR(INDEX(사건마스터!$AR$5:$AR$64,MATCH($F385,사건마스터!$A$5:$A$64,0)),""))</f>
        <v/>
      </c>
      <c r="V385" s="35">
        <f>IF($F385="","",IFERROR(INDEX(사건마스터!$AS$5:$AS$64,MATCH($F385,사건마스터!$A$5:$A$64,0)),""))</f>
        <v/>
      </c>
      <c r="W385" s="35">
        <f>IF($F385="","",IFERROR(INDEX(사건마스터!$AT$5:$AT$64,MATCH($F385,사건마스터!$A$5:$A$64,0)),""))</f>
        <v/>
      </c>
      <c r="X385" s="35">
        <f>IF($F385="","",IFERROR(INDEX(사건마스터!$AU$5:$AU$64,MATCH($F385,사건마스터!$A$5:$A$64,0)),""))</f>
        <v/>
      </c>
      <c r="Y385" s="35">
        <f>IF($F385="","",IFERROR(INDEX(사건마스터!$AV$5:$AV$64,MATCH($F385,사건마스터!$A$5:$A$64,0)),""))</f>
        <v/>
      </c>
      <c r="Z385" s="30">
        <f>IF(COUNTBLANK($J385:$Y385)=16,"",16-COUNTBLANK($J385:$Y385))</f>
        <v/>
      </c>
      <c r="AA385" s="33">
        <f>IF($J385="",MID($AX385,3,255),$J385&amp;$AX385)</f>
        <v/>
      </c>
      <c r="AB385" s="34">
        <f>IF($J385="","",IFERROR(INDEX(코드설정!$D$5:$D$24,MATCH($J385,코드설정!$C$5:$C$24,0)),""))</f>
        <v/>
      </c>
      <c r="AC385" s="36" t="n"/>
      <c r="AD385" s="37" t="n"/>
      <c r="AE385" s="38" t="n"/>
      <c r="AF385" s="30">
        <f>IF(OR($B385="",$C385=""),"",$C385-$B385+1)</f>
        <v/>
      </c>
      <c r="AG385" s="32" t="n"/>
      <c r="AH385" s="36" t="n"/>
      <c r="AJ385">
        <f>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  <c r="AX385">
        <f>AW385&amp;IF($Y385="","",", "&amp;$Y385)</f>
        <v/>
      </c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0">
        <f>IF($F386="","",COUNTIF($F$5:$F386,$F386))</f>
        <v/>
      </c>
      <c r="H386" s="33">
        <f>IF($F386="","",IFERROR(INDEX(사건마스터!$B$5:$B$64,MATCH($F386,사건마스터!$A$5:$A$64,0)),""))</f>
        <v/>
      </c>
      <c r="I386" s="34">
        <f>IF($F386="","",IFERROR(INDEX(사건마스터!$C$5:$C$64,MATCH($F386,사건마스터!$A$5:$A$64,0)),""))</f>
        <v/>
      </c>
      <c r="J386" s="35">
        <f>IF($F386="","",IFERROR(INDEX(사건마스터!$H$5:$H$64,MATCH($F386,사건마스터!$A$5:$A$64,0)),""))</f>
        <v/>
      </c>
      <c r="K386" s="35">
        <f>IF($F386="","",IFERROR(INDEX(사건마스터!$AH$5:$AH$64,MATCH($F386,사건마스터!$A$5:$A$64,0)),""))</f>
        <v/>
      </c>
      <c r="L386" s="35">
        <f>IF($F386="","",IFERROR(INDEX(사건마스터!$AI$5:$AI$64,MATCH($F386,사건마스터!$A$5:$A$64,0)),""))</f>
        <v/>
      </c>
      <c r="M386" s="35">
        <f>IF($F386="","",IFERROR(INDEX(사건마스터!$AJ$5:$AJ$64,MATCH($F386,사건마스터!$A$5:$A$64,0)),""))</f>
        <v/>
      </c>
      <c r="N386" s="35">
        <f>IF($F386="","",IFERROR(INDEX(사건마스터!$AK$5:$AK$64,MATCH($F386,사건마스터!$A$5:$A$64,0)),""))</f>
        <v/>
      </c>
      <c r="O386" s="35">
        <f>IF($F386="","",IFERROR(INDEX(사건마스터!$AL$5:$AL$64,MATCH($F386,사건마스터!$A$5:$A$64,0)),""))</f>
        <v/>
      </c>
      <c r="P386" s="35">
        <f>IF($F386="","",IFERROR(INDEX(사건마스터!$AM$5:$AM$64,MATCH($F386,사건마스터!$A$5:$A$64,0)),""))</f>
        <v/>
      </c>
      <c r="Q386" s="35">
        <f>IF($F386="","",IFERROR(INDEX(사건마스터!$AN$5:$AN$64,MATCH($F386,사건마스터!$A$5:$A$64,0)),""))</f>
        <v/>
      </c>
      <c r="R386" s="35">
        <f>IF($F386="","",IFERROR(INDEX(사건마스터!$AO$5:$AO$64,MATCH($F386,사건마스터!$A$5:$A$64,0)),""))</f>
        <v/>
      </c>
      <c r="S386" s="35">
        <f>IF($F386="","",IFERROR(INDEX(사건마스터!$AP$5:$AP$64,MATCH($F386,사건마스터!$A$5:$A$64,0)),""))</f>
        <v/>
      </c>
      <c r="T386" s="35">
        <f>IF($F386="","",IFERROR(INDEX(사건마스터!$AQ$5:$AQ$64,MATCH($F386,사건마스터!$A$5:$A$64,0)),""))</f>
        <v/>
      </c>
      <c r="U386" s="35">
        <f>IF($F386="","",IFERROR(INDEX(사건마스터!$AR$5:$AR$64,MATCH($F386,사건마스터!$A$5:$A$64,0)),""))</f>
        <v/>
      </c>
      <c r="V386" s="35">
        <f>IF($F386="","",IFERROR(INDEX(사건마스터!$AS$5:$AS$64,MATCH($F386,사건마스터!$A$5:$A$64,0)),""))</f>
        <v/>
      </c>
      <c r="W386" s="35">
        <f>IF($F386="","",IFERROR(INDEX(사건마스터!$AT$5:$AT$64,MATCH($F386,사건마스터!$A$5:$A$64,0)),""))</f>
        <v/>
      </c>
      <c r="X386" s="35">
        <f>IF($F386="","",IFERROR(INDEX(사건마스터!$AU$5:$AU$64,MATCH($F386,사건마스터!$A$5:$A$64,0)),""))</f>
        <v/>
      </c>
      <c r="Y386" s="35">
        <f>IF($F386="","",IFERROR(INDEX(사건마스터!$AV$5:$AV$64,MATCH($F386,사건마스터!$A$5:$A$64,0)),""))</f>
        <v/>
      </c>
      <c r="Z386" s="30">
        <f>IF(COUNTBLANK($J386:$Y386)=16,"",16-COUNTBLANK($J386:$Y386))</f>
        <v/>
      </c>
      <c r="AA386" s="33">
        <f>IF($J386="",MID($AX386,3,255),$J386&amp;$AX386)</f>
        <v/>
      </c>
      <c r="AB386" s="34">
        <f>IF($J386="","",IFERROR(INDEX(코드설정!$D$5:$D$24,MATCH($J386,코드설정!$C$5:$C$24,0)),""))</f>
        <v/>
      </c>
      <c r="AC386" s="36" t="n"/>
      <c r="AD386" s="37" t="n"/>
      <c r="AE386" s="38" t="n"/>
      <c r="AF386" s="30">
        <f>IF(OR($B386="",$C386=""),"",$C386-$B386+1)</f>
        <v/>
      </c>
      <c r="AG386" s="32" t="n"/>
      <c r="AH386" s="36" t="n"/>
      <c r="AJ386">
        <f>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  <c r="AX386">
        <f>AW386&amp;IF($Y386="","",", "&amp;$Y386)</f>
        <v/>
      </c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0">
        <f>IF($F387="","",COUNTIF($F$5:$F387,$F387))</f>
        <v/>
      </c>
      <c r="H387" s="33">
        <f>IF($F387="","",IFERROR(INDEX(사건마스터!$B$5:$B$64,MATCH($F387,사건마스터!$A$5:$A$64,0)),""))</f>
        <v/>
      </c>
      <c r="I387" s="34">
        <f>IF($F387="","",IFERROR(INDEX(사건마스터!$C$5:$C$64,MATCH($F387,사건마스터!$A$5:$A$64,0)),""))</f>
        <v/>
      </c>
      <c r="J387" s="35">
        <f>IF($F387="","",IFERROR(INDEX(사건마스터!$H$5:$H$64,MATCH($F387,사건마스터!$A$5:$A$64,0)),""))</f>
        <v/>
      </c>
      <c r="K387" s="35">
        <f>IF($F387="","",IFERROR(INDEX(사건마스터!$AH$5:$AH$64,MATCH($F387,사건마스터!$A$5:$A$64,0)),""))</f>
        <v/>
      </c>
      <c r="L387" s="35">
        <f>IF($F387="","",IFERROR(INDEX(사건마스터!$AI$5:$AI$64,MATCH($F387,사건마스터!$A$5:$A$64,0)),""))</f>
        <v/>
      </c>
      <c r="M387" s="35">
        <f>IF($F387="","",IFERROR(INDEX(사건마스터!$AJ$5:$AJ$64,MATCH($F387,사건마스터!$A$5:$A$64,0)),""))</f>
        <v/>
      </c>
      <c r="N387" s="35">
        <f>IF($F387="","",IFERROR(INDEX(사건마스터!$AK$5:$AK$64,MATCH($F387,사건마스터!$A$5:$A$64,0)),""))</f>
        <v/>
      </c>
      <c r="O387" s="35">
        <f>IF($F387="","",IFERROR(INDEX(사건마스터!$AL$5:$AL$64,MATCH($F387,사건마스터!$A$5:$A$64,0)),""))</f>
        <v/>
      </c>
      <c r="P387" s="35">
        <f>IF($F387="","",IFERROR(INDEX(사건마스터!$AM$5:$AM$64,MATCH($F387,사건마스터!$A$5:$A$64,0)),""))</f>
        <v/>
      </c>
      <c r="Q387" s="35">
        <f>IF($F387="","",IFERROR(INDEX(사건마스터!$AN$5:$AN$64,MATCH($F387,사건마스터!$A$5:$A$64,0)),""))</f>
        <v/>
      </c>
      <c r="R387" s="35">
        <f>IF($F387="","",IFERROR(INDEX(사건마스터!$AO$5:$AO$64,MATCH($F387,사건마스터!$A$5:$A$64,0)),""))</f>
        <v/>
      </c>
      <c r="S387" s="35">
        <f>IF($F387="","",IFERROR(INDEX(사건마스터!$AP$5:$AP$64,MATCH($F387,사건마스터!$A$5:$A$64,0)),""))</f>
        <v/>
      </c>
      <c r="T387" s="35">
        <f>IF($F387="","",IFERROR(INDEX(사건마스터!$AQ$5:$AQ$64,MATCH($F387,사건마스터!$A$5:$A$64,0)),""))</f>
        <v/>
      </c>
      <c r="U387" s="35">
        <f>IF($F387="","",IFERROR(INDEX(사건마스터!$AR$5:$AR$64,MATCH($F387,사건마스터!$A$5:$A$64,0)),""))</f>
        <v/>
      </c>
      <c r="V387" s="35">
        <f>IF($F387="","",IFERROR(INDEX(사건마스터!$AS$5:$AS$64,MATCH($F387,사건마스터!$A$5:$A$64,0)),""))</f>
        <v/>
      </c>
      <c r="W387" s="35">
        <f>IF($F387="","",IFERROR(INDEX(사건마스터!$AT$5:$AT$64,MATCH($F387,사건마스터!$A$5:$A$64,0)),""))</f>
        <v/>
      </c>
      <c r="X387" s="35">
        <f>IF($F387="","",IFERROR(INDEX(사건마스터!$AU$5:$AU$64,MATCH($F387,사건마스터!$A$5:$A$64,0)),""))</f>
        <v/>
      </c>
      <c r="Y387" s="35">
        <f>IF($F387="","",IFERROR(INDEX(사건마스터!$AV$5:$AV$64,MATCH($F387,사건마스터!$A$5:$A$64,0)),""))</f>
        <v/>
      </c>
      <c r="Z387" s="30">
        <f>IF(COUNTBLANK($J387:$Y387)=16,"",16-COUNTBLANK($J387:$Y387))</f>
        <v/>
      </c>
      <c r="AA387" s="33">
        <f>IF($J387="",MID($AX387,3,255),$J387&amp;$AX387)</f>
        <v/>
      </c>
      <c r="AB387" s="34">
        <f>IF($J387="","",IFERROR(INDEX(코드설정!$D$5:$D$24,MATCH($J387,코드설정!$C$5:$C$24,0)),""))</f>
        <v/>
      </c>
      <c r="AC387" s="36" t="n"/>
      <c r="AD387" s="37" t="n"/>
      <c r="AE387" s="38" t="n"/>
      <c r="AF387" s="30">
        <f>IF(OR($B387="",$C387=""),"",$C387-$B387+1)</f>
        <v/>
      </c>
      <c r="AG387" s="32" t="n"/>
      <c r="AH387" s="36" t="n"/>
      <c r="AJ387">
        <f>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  <c r="AX387">
        <f>AW387&amp;IF($Y387="","",", "&amp;$Y387)</f>
        <v/>
      </c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0">
        <f>IF($F388="","",COUNTIF($F$5:$F388,$F388))</f>
        <v/>
      </c>
      <c r="H388" s="33">
        <f>IF($F388="","",IFERROR(INDEX(사건마스터!$B$5:$B$64,MATCH($F388,사건마스터!$A$5:$A$64,0)),""))</f>
        <v/>
      </c>
      <c r="I388" s="34">
        <f>IF($F388="","",IFERROR(INDEX(사건마스터!$C$5:$C$64,MATCH($F388,사건마스터!$A$5:$A$64,0)),""))</f>
        <v/>
      </c>
      <c r="J388" s="35">
        <f>IF($F388="","",IFERROR(INDEX(사건마스터!$H$5:$H$64,MATCH($F388,사건마스터!$A$5:$A$64,0)),""))</f>
        <v/>
      </c>
      <c r="K388" s="35">
        <f>IF($F388="","",IFERROR(INDEX(사건마스터!$AH$5:$AH$64,MATCH($F388,사건마스터!$A$5:$A$64,0)),""))</f>
        <v/>
      </c>
      <c r="L388" s="35">
        <f>IF($F388="","",IFERROR(INDEX(사건마스터!$AI$5:$AI$64,MATCH($F388,사건마스터!$A$5:$A$64,0)),""))</f>
        <v/>
      </c>
      <c r="M388" s="35">
        <f>IF($F388="","",IFERROR(INDEX(사건마스터!$AJ$5:$AJ$64,MATCH($F388,사건마스터!$A$5:$A$64,0)),""))</f>
        <v/>
      </c>
      <c r="N388" s="35">
        <f>IF($F388="","",IFERROR(INDEX(사건마스터!$AK$5:$AK$64,MATCH($F388,사건마스터!$A$5:$A$64,0)),""))</f>
        <v/>
      </c>
      <c r="O388" s="35">
        <f>IF($F388="","",IFERROR(INDEX(사건마스터!$AL$5:$AL$64,MATCH($F388,사건마스터!$A$5:$A$64,0)),""))</f>
        <v/>
      </c>
      <c r="P388" s="35">
        <f>IF($F388="","",IFERROR(INDEX(사건마스터!$AM$5:$AM$64,MATCH($F388,사건마스터!$A$5:$A$64,0)),""))</f>
        <v/>
      </c>
      <c r="Q388" s="35">
        <f>IF($F388="","",IFERROR(INDEX(사건마스터!$AN$5:$AN$64,MATCH($F388,사건마스터!$A$5:$A$64,0)),""))</f>
        <v/>
      </c>
      <c r="R388" s="35">
        <f>IF($F388="","",IFERROR(INDEX(사건마스터!$AO$5:$AO$64,MATCH($F388,사건마스터!$A$5:$A$64,0)),""))</f>
        <v/>
      </c>
      <c r="S388" s="35">
        <f>IF($F388="","",IFERROR(INDEX(사건마스터!$AP$5:$AP$64,MATCH($F388,사건마스터!$A$5:$A$64,0)),""))</f>
        <v/>
      </c>
      <c r="T388" s="35">
        <f>IF($F388="","",IFERROR(INDEX(사건마스터!$AQ$5:$AQ$64,MATCH($F388,사건마스터!$A$5:$A$64,0)),""))</f>
        <v/>
      </c>
      <c r="U388" s="35">
        <f>IF($F388="","",IFERROR(INDEX(사건마스터!$AR$5:$AR$64,MATCH($F388,사건마스터!$A$5:$A$64,0)),""))</f>
        <v/>
      </c>
      <c r="V388" s="35">
        <f>IF($F388="","",IFERROR(INDEX(사건마스터!$AS$5:$AS$64,MATCH($F388,사건마스터!$A$5:$A$64,0)),""))</f>
        <v/>
      </c>
      <c r="W388" s="35">
        <f>IF($F388="","",IFERROR(INDEX(사건마스터!$AT$5:$AT$64,MATCH($F388,사건마스터!$A$5:$A$64,0)),""))</f>
        <v/>
      </c>
      <c r="X388" s="35">
        <f>IF($F388="","",IFERROR(INDEX(사건마스터!$AU$5:$AU$64,MATCH($F388,사건마스터!$A$5:$A$64,0)),""))</f>
        <v/>
      </c>
      <c r="Y388" s="35">
        <f>IF($F388="","",IFERROR(INDEX(사건마스터!$AV$5:$AV$64,MATCH($F388,사건마스터!$A$5:$A$64,0)),""))</f>
        <v/>
      </c>
      <c r="Z388" s="30">
        <f>IF(COUNTBLANK($J388:$Y388)=16,"",16-COUNTBLANK($J388:$Y388))</f>
        <v/>
      </c>
      <c r="AA388" s="33">
        <f>IF($J388="",MID($AX388,3,255),$J388&amp;$AX388)</f>
        <v/>
      </c>
      <c r="AB388" s="34">
        <f>IF($J388="","",IFERROR(INDEX(코드설정!$D$5:$D$24,MATCH($J388,코드설정!$C$5:$C$24,0)),""))</f>
        <v/>
      </c>
      <c r="AC388" s="36" t="n"/>
      <c r="AD388" s="37" t="n"/>
      <c r="AE388" s="38" t="n"/>
      <c r="AF388" s="30">
        <f>IF(OR($B388="",$C388=""),"",$C388-$B388+1)</f>
        <v/>
      </c>
      <c r="AG388" s="32" t="n"/>
      <c r="AH388" s="36" t="n"/>
      <c r="AJ388">
        <f>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  <c r="AX388">
        <f>AW388&amp;IF($Y388="","",", "&amp;$Y388)</f>
        <v/>
      </c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0">
        <f>IF($F389="","",COUNTIF($F$5:$F389,$F389))</f>
        <v/>
      </c>
      <c r="H389" s="33">
        <f>IF($F389="","",IFERROR(INDEX(사건마스터!$B$5:$B$64,MATCH($F389,사건마스터!$A$5:$A$64,0)),""))</f>
        <v/>
      </c>
      <c r="I389" s="34">
        <f>IF($F389="","",IFERROR(INDEX(사건마스터!$C$5:$C$64,MATCH($F389,사건마스터!$A$5:$A$64,0)),""))</f>
        <v/>
      </c>
      <c r="J389" s="35">
        <f>IF($F389="","",IFERROR(INDEX(사건마스터!$H$5:$H$64,MATCH($F389,사건마스터!$A$5:$A$64,0)),""))</f>
        <v/>
      </c>
      <c r="K389" s="35">
        <f>IF($F389="","",IFERROR(INDEX(사건마스터!$AH$5:$AH$64,MATCH($F389,사건마스터!$A$5:$A$64,0)),""))</f>
        <v/>
      </c>
      <c r="L389" s="35">
        <f>IF($F389="","",IFERROR(INDEX(사건마스터!$AI$5:$AI$64,MATCH($F389,사건마스터!$A$5:$A$64,0)),""))</f>
        <v/>
      </c>
      <c r="M389" s="35">
        <f>IF($F389="","",IFERROR(INDEX(사건마스터!$AJ$5:$AJ$64,MATCH($F389,사건마스터!$A$5:$A$64,0)),""))</f>
        <v/>
      </c>
      <c r="N389" s="35">
        <f>IF($F389="","",IFERROR(INDEX(사건마스터!$AK$5:$AK$64,MATCH($F389,사건마스터!$A$5:$A$64,0)),""))</f>
        <v/>
      </c>
      <c r="O389" s="35">
        <f>IF($F389="","",IFERROR(INDEX(사건마스터!$AL$5:$AL$64,MATCH($F389,사건마스터!$A$5:$A$64,0)),""))</f>
        <v/>
      </c>
      <c r="P389" s="35">
        <f>IF($F389="","",IFERROR(INDEX(사건마스터!$AM$5:$AM$64,MATCH($F389,사건마스터!$A$5:$A$64,0)),""))</f>
        <v/>
      </c>
      <c r="Q389" s="35">
        <f>IF($F389="","",IFERROR(INDEX(사건마스터!$AN$5:$AN$64,MATCH($F389,사건마스터!$A$5:$A$64,0)),""))</f>
        <v/>
      </c>
      <c r="R389" s="35">
        <f>IF($F389="","",IFERROR(INDEX(사건마스터!$AO$5:$AO$64,MATCH($F389,사건마스터!$A$5:$A$64,0)),""))</f>
        <v/>
      </c>
      <c r="S389" s="35">
        <f>IF($F389="","",IFERROR(INDEX(사건마스터!$AP$5:$AP$64,MATCH($F389,사건마스터!$A$5:$A$64,0)),""))</f>
        <v/>
      </c>
      <c r="T389" s="35">
        <f>IF($F389="","",IFERROR(INDEX(사건마스터!$AQ$5:$AQ$64,MATCH($F389,사건마스터!$A$5:$A$64,0)),""))</f>
        <v/>
      </c>
      <c r="U389" s="35">
        <f>IF($F389="","",IFERROR(INDEX(사건마스터!$AR$5:$AR$64,MATCH($F389,사건마스터!$A$5:$A$64,0)),""))</f>
        <v/>
      </c>
      <c r="V389" s="35">
        <f>IF($F389="","",IFERROR(INDEX(사건마스터!$AS$5:$AS$64,MATCH($F389,사건마스터!$A$5:$A$64,0)),""))</f>
        <v/>
      </c>
      <c r="W389" s="35">
        <f>IF($F389="","",IFERROR(INDEX(사건마스터!$AT$5:$AT$64,MATCH($F389,사건마스터!$A$5:$A$64,0)),""))</f>
        <v/>
      </c>
      <c r="X389" s="35">
        <f>IF($F389="","",IFERROR(INDEX(사건마스터!$AU$5:$AU$64,MATCH($F389,사건마스터!$A$5:$A$64,0)),""))</f>
        <v/>
      </c>
      <c r="Y389" s="35">
        <f>IF($F389="","",IFERROR(INDEX(사건마스터!$AV$5:$AV$64,MATCH($F389,사건마스터!$A$5:$A$64,0)),""))</f>
        <v/>
      </c>
      <c r="Z389" s="30">
        <f>IF(COUNTBLANK($J389:$Y389)=16,"",16-COUNTBLANK($J389:$Y389))</f>
        <v/>
      </c>
      <c r="AA389" s="33">
        <f>IF($J389="",MID($AX389,3,255),$J389&amp;$AX389)</f>
        <v/>
      </c>
      <c r="AB389" s="34">
        <f>IF($J389="","",IFERROR(INDEX(코드설정!$D$5:$D$24,MATCH($J389,코드설정!$C$5:$C$24,0)),""))</f>
        <v/>
      </c>
      <c r="AC389" s="36" t="n"/>
      <c r="AD389" s="37" t="n"/>
      <c r="AE389" s="38" t="n"/>
      <c r="AF389" s="30">
        <f>IF(OR($B389="",$C389=""),"",$C389-$B389+1)</f>
        <v/>
      </c>
      <c r="AG389" s="32" t="n"/>
      <c r="AH389" s="36" t="n"/>
      <c r="AJ389">
        <f>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  <c r="AX389">
        <f>AW389&amp;IF($Y389="","",", "&amp;$Y389)</f>
        <v/>
      </c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0">
        <f>IF($F390="","",COUNTIF($F$5:$F390,$F390))</f>
        <v/>
      </c>
      <c r="H390" s="33">
        <f>IF($F390="","",IFERROR(INDEX(사건마스터!$B$5:$B$64,MATCH($F390,사건마스터!$A$5:$A$64,0)),""))</f>
        <v/>
      </c>
      <c r="I390" s="34">
        <f>IF($F390="","",IFERROR(INDEX(사건마스터!$C$5:$C$64,MATCH($F390,사건마스터!$A$5:$A$64,0)),""))</f>
        <v/>
      </c>
      <c r="J390" s="35">
        <f>IF($F390="","",IFERROR(INDEX(사건마스터!$H$5:$H$64,MATCH($F390,사건마스터!$A$5:$A$64,0)),""))</f>
        <v/>
      </c>
      <c r="K390" s="35">
        <f>IF($F390="","",IFERROR(INDEX(사건마스터!$AH$5:$AH$64,MATCH($F390,사건마스터!$A$5:$A$64,0)),""))</f>
        <v/>
      </c>
      <c r="L390" s="35">
        <f>IF($F390="","",IFERROR(INDEX(사건마스터!$AI$5:$AI$64,MATCH($F390,사건마스터!$A$5:$A$64,0)),""))</f>
        <v/>
      </c>
      <c r="M390" s="35">
        <f>IF($F390="","",IFERROR(INDEX(사건마스터!$AJ$5:$AJ$64,MATCH($F390,사건마스터!$A$5:$A$64,0)),""))</f>
        <v/>
      </c>
      <c r="N390" s="35">
        <f>IF($F390="","",IFERROR(INDEX(사건마스터!$AK$5:$AK$64,MATCH($F390,사건마스터!$A$5:$A$64,0)),""))</f>
        <v/>
      </c>
      <c r="O390" s="35">
        <f>IF($F390="","",IFERROR(INDEX(사건마스터!$AL$5:$AL$64,MATCH($F390,사건마스터!$A$5:$A$64,0)),""))</f>
        <v/>
      </c>
      <c r="P390" s="35">
        <f>IF($F390="","",IFERROR(INDEX(사건마스터!$AM$5:$AM$64,MATCH($F390,사건마스터!$A$5:$A$64,0)),""))</f>
        <v/>
      </c>
      <c r="Q390" s="35">
        <f>IF($F390="","",IFERROR(INDEX(사건마스터!$AN$5:$AN$64,MATCH($F390,사건마스터!$A$5:$A$64,0)),""))</f>
        <v/>
      </c>
      <c r="R390" s="35">
        <f>IF($F390="","",IFERROR(INDEX(사건마스터!$AO$5:$AO$64,MATCH($F390,사건마스터!$A$5:$A$64,0)),""))</f>
        <v/>
      </c>
      <c r="S390" s="35">
        <f>IF($F390="","",IFERROR(INDEX(사건마스터!$AP$5:$AP$64,MATCH($F390,사건마스터!$A$5:$A$64,0)),""))</f>
        <v/>
      </c>
      <c r="T390" s="35">
        <f>IF($F390="","",IFERROR(INDEX(사건마스터!$AQ$5:$AQ$64,MATCH($F390,사건마스터!$A$5:$A$64,0)),""))</f>
        <v/>
      </c>
      <c r="U390" s="35">
        <f>IF($F390="","",IFERROR(INDEX(사건마스터!$AR$5:$AR$64,MATCH($F390,사건마스터!$A$5:$A$64,0)),""))</f>
        <v/>
      </c>
      <c r="V390" s="35">
        <f>IF($F390="","",IFERROR(INDEX(사건마스터!$AS$5:$AS$64,MATCH($F390,사건마스터!$A$5:$A$64,0)),""))</f>
        <v/>
      </c>
      <c r="W390" s="35">
        <f>IF($F390="","",IFERROR(INDEX(사건마스터!$AT$5:$AT$64,MATCH($F390,사건마스터!$A$5:$A$64,0)),""))</f>
        <v/>
      </c>
      <c r="X390" s="35">
        <f>IF($F390="","",IFERROR(INDEX(사건마스터!$AU$5:$AU$64,MATCH($F390,사건마스터!$A$5:$A$64,0)),""))</f>
        <v/>
      </c>
      <c r="Y390" s="35">
        <f>IF($F390="","",IFERROR(INDEX(사건마스터!$AV$5:$AV$64,MATCH($F390,사건마스터!$A$5:$A$64,0)),""))</f>
        <v/>
      </c>
      <c r="Z390" s="30">
        <f>IF(COUNTBLANK($J390:$Y390)=16,"",16-COUNTBLANK($J390:$Y390))</f>
        <v/>
      </c>
      <c r="AA390" s="33">
        <f>IF($J390="",MID($AX390,3,255),$J390&amp;$AX390)</f>
        <v/>
      </c>
      <c r="AB390" s="34">
        <f>IF($J390="","",IFERROR(INDEX(코드설정!$D$5:$D$24,MATCH($J390,코드설정!$C$5:$C$24,0)),""))</f>
        <v/>
      </c>
      <c r="AC390" s="36" t="n"/>
      <c r="AD390" s="37" t="n"/>
      <c r="AE390" s="38" t="n"/>
      <c r="AF390" s="30">
        <f>IF(OR($B390="",$C390=""),"",$C390-$B390+1)</f>
        <v/>
      </c>
      <c r="AG390" s="32" t="n"/>
      <c r="AH390" s="36" t="n"/>
      <c r="AJ390">
        <f>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  <c r="AX390">
        <f>AW390&amp;IF($Y390="","",", "&amp;$Y390)</f>
        <v/>
      </c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0">
        <f>IF($F391="","",COUNTIF($F$5:$F391,$F391))</f>
        <v/>
      </c>
      <c r="H391" s="33">
        <f>IF($F391="","",IFERROR(INDEX(사건마스터!$B$5:$B$64,MATCH($F391,사건마스터!$A$5:$A$64,0)),""))</f>
        <v/>
      </c>
      <c r="I391" s="34">
        <f>IF($F391="","",IFERROR(INDEX(사건마스터!$C$5:$C$64,MATCH($F391,사건마스터!$A$5:$A$64,0)),""))</f>
        <v/>
      </c>
      <c r="J391" s="35">
        <f>IF($F391="","",IFERROR(INDEX(사건마스터!$H$5:$H$64,MATCH($F391,사건마스터!$A$5:$A$64,0)),""))</f>
        <v/>
      </c>
      <c r="K391" s="35">
        <f>IF($F391="","",IFERROR(INDEX(사건마스터!$AH$5:$AH$64,MATCH($F391,사건마스터!$A$5:$A$64,0)),""))</f>
        <v/>
      </c>
      <c r="L391" s="35">
        <f>IF($F391="","",IFERROR(INDEX(사건마스터!$AI$5:$AI$64,MATCH($F391,사건마스터!$A$5:$A$64,0)),""))</f>
        <v/>
      </c>
      <c r="M391" s="35">
        <f>IF($F391="","",IFERROR(INDEX(사건마스터!$AJ$5:$AJ$64,MATCH($F391,사건마스터!$A$5:$A$64,0)),""))</f>
        <v/>
      </c>
      <c r="N391" s="35">
        <f>IF($F391="","",IFERROR(INDEX(사건마스터!$AK$5:$AK$64,MATCH($F391,사건마스터!$A$5:$A$64,0)),""))</f>
        <v/>
      </c>
      <c r="O391" s="35">
        <f>IF($F391="","",IFERROR(INDEX(사건마스터!$AL$5:$AL$64,MATCH($F391,사건마스터!$A$5:$A$64,0)),""))</f>
        <v/>
      </c>
      <c r="P391" s="35">
        <f>IF($F391="","",IFERROR(INDEX(사건마스터!$AM$5:$AM$64,MATCH($F391,사건마스터!$A$5:$A$64,0)),""))</f>
        <v/>
      </c>
      <c r="Q391" s="35">
        <f>IF($F391="","",IFERROR(INDEX(사건마스터!$AN$5:$AN$64,MATCH($F391,사건마스터!$A$5:$A$64,0)),""))</f>
        <v/>
      </c>
      <c r="R391" s="35">
        <f>IF($F391="","",IFERROR(INDEX(사건마스터!$AO$5:$AO$64,MATCH($F391,사건마스터!$A$5:$A$64,0)),""))</f>
        <v/>
      </c>
      <c r="S391" s="35">
        <f>IF($F391="","",IFERROR(INDEX(사건마스터!$AP$5:$AP$64,MATCH($F391,사건마스터!$A$5:$A$64,0)),""))</f>
        <v/>
      </c>
      <c r="T391" s="35">
        <f>IF($F391="","",IFERROR(INDEX(사건마스터!$AQ$5:$AQ$64,MATCH($F391,사건마스터!$A$5:$A$64,0)),""))</f>
        <v/>
      </c>
      <c r="U391" s="35">
        <f>IF($F391="","",IFERROR(INDEX(사건마스터!$AR$5:$AR$64,MATCH($F391,사건마스터!$A$5:$A$64,0)),""))</f>
        <v/>
      </c>
      <c r="V391" s="35">
        <f>IF($F391="","",IFERROR(INDEX(사건마스터!$AS$5:$AS$64,MATCH($F391,사건마스터!$A$5:$A$64,0)),""))</f>
        <v/>
      </c>
      <c r="W391" s="35">
        <f>IF($F391="","",IFERROR(INDEX(사건마스터!$AT$5:$AT$64,MATCH($F391,사건마스터!$A$5:$A$64,0)),""))</f>
        <v/>
      </c>
      <c r="X391" s="35">
        <f>IF($F391="","",IFERROR(INDEX(사건마스터!$AU$5:$AU$64,MATCH($F391,사건마스터!$A$5:$A$64,0)),""))</f>
        <v/>
      </c>
      <c r="Y391" s="35">
        <f>IF($F391="","",IFERROR(INDEX(사건마스터!$AV$5:$AV$64,MATCH($F391,사건마스터!$A$5:$A$64,0)),""))</f>
        <v/>
      </c>
      <c r="Z391" s="30">
        <f>IF(COUNTBLANK($J391:$Y391)=16,"",16-COUNTBLANK($J391:$Y391))</f>
        <v/>
      </c>
      <c r="AA391" s="33">
        <f>IF($J391="",MID($AX391,3,255),$J391&amp;$AX391)</f>
        <v/>
      </c>
      <c r="AB391" s="34">
        <f>IF($J391="","",IFERROR(INDEX(코드설정!$D$5:$D$24,MATCH($J391,코드설정!$C$5:$C$24,0)),""))</f>
        <v/>
      </c>
      <c r="AC391" s="36" t="n"/>
      <c r="AD391" s="37" t="n"/>
      <c r="AE391" s="38" t="n"/>
      <c r="AF391" s="30">
        <f>IF(OR($B391="",$C391=""),"",$C391-$B391+1)</f>
        <v/>
      </c>
      <c r="AG391" s="32" t="n"/>
      <c r="AH391" s="36" t="n"/>
      <c r="AJ391">
        <f>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  <c r="AX391">
        <f>AW391&amp;IF($Y391="","",", "&amp;$Y391)</f>
        <v/>
      </c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0">
        <f>IF($F392="","",COUNTIF($F$5:$F392,$F392))</f>
        <v/>
      </c>
      <c r="H392" s="33">
        <f>IF($F392="","",IFERROR(INDEX(사건마스터!$B$5:$B$64,MATCH($F392,사건마스터!$A$5:$A$64,0)),""))</f>
        <v/>
      </c>
      <c r="I392" s="34">
        <f>IF($F392="","",IFERROR(INDEX(사건마스터!$C$5:$C$64,MATCH($F392,사건마스터!$A$5:$A$64,0)),""))</f>
        <v/>
      </c>
      <c r="J392" s="35">
        <f>IF($F392="","",IFERROR(INDEX(사건마스터!$H$5:$H$64,MATCH($F392,사건마스터!$A$5:$A$64,0)),""))</f>
        <v/>
      </c>
      <c r="K392" s="35">
        <f>IF($F392="","",IFERROR(INDEX(사건마스터!$AH$5:$AH$64,MATCH($F392,사건마스터!$A$5:$A$64,0)),""))</f>
        <v/>
      </c>
      <c r="L392" s="35">
        <f>IF($F392="","",IFERROR(INDEX(사건마스터!$AI$5:$AI$64,MATCH($F392,사건마스터!$A$5:$A$64,0)),""))</f>
        <v/>
      </c>
      <c r="M392" s="35">
        <f>IF($F392="","",IFERROR(INDEX(사건마스터!$AJ$5:$AJ$64,MATCH($F392,사건마스터!$A$5:$A$64,0)),""))</f>
        <v/>
      </c>
      <c r="N392" s="35">
        <f>IF($F392="","",IFERROR(INDEX(사건마스터!$AK$5:$AK$64,MATCH($F392,사건마스터!$A$5:$A$64,0)),""))</f>
        <v/>
      </c>
      <c r="O392" s="35">
        <f>IF($F392="","",IFERROR(INDEX(사건마스터!$AL$5:$AL$64,MATCH($F392,사건마스터!$A$5:$A$64,0)),""))</f>
        <v/>
      </c>
      <c r="P392" s="35">
        <f>IF($F392="","",IFERROR(INDEX(사건마스터!$AM$5:$AM$64,MATCH($F392,사건마스터!$A$5:$A$64,0)),""))</f>
        <v/>
      </c>
      <c r="Q392" s="35">
        <f>IF($F392="","",IFERROR(INDEX(사건마스터!$AN$5:$AN$64,MATCH($F392,사건마스터!$A$5:$A$64,0)),""))</f>
        <v/>
      </c>
      <c r="R392" s="35">
        <f>IF($F392="","",IFERROR(INDEX(사건마스터!$AO$5:$AO$64,MATCH($F392,사건마스터!$A$5:$A$64,0)),""))</f>
        <v/>
      </c>
      <c r="S392" s="35">
        <f>IF($F392="","",IFERROR(INDEX(사건마스터!$AP$5:$AP$64,MATCH($F392,사건마스터!$A$5:$A$64,0)),""))</f>
        <v/>
      </c>
      <c r="T392" s="35">
        <f>IF($F392="","",IFERROR(INDEX(사건마스터!$AQ$5:$AQ$64,MATCH($F392,사건마스터!$A$5:$A$64,0)),""))</f>
        <v/>
      </c>
      <c r="U392" s="35">
        <f>IF($F392="","",IFERROR(INDEX(사건마스터!$AR$5:$AR$64,MATCH($F392,사건마스터!$A$5:$A$64,0)),""))</f>
        <v/>
      </c>
      <c r="V392" s="35">
        <f>IF($F392="","",IFERROR(INDEX(사건마스터!$AS$5:$AS$64,MATCH($F392,사건마스터!$A$5:$A$64,0)),""))</f>
        <v/>
      </c>
      <c r="W392" s="35">
        <f>IF($F392="","",IFERROR(INDEX(사건마스터!$AT$5:$AT$64,MATCH($F392,사건마스터!$A$5:$A$64,0)),""))</f>
        <v/>
      </c>
      <c r="X392" s="35">
        <f>IF($F392="","",IFERROR(INDEX(사건마스터!$AU$5:$AU$64,MATCH($F392,사건마스터!$A$5:$A$64,0)),""))</f>
        <v/>
      </c>
      <c r="Y392" s="35">
        <f>IF($F392="","",IFERROR(INDEX(사건마스터!$AV$5:$AV$64,MATCH($F392,사건마스터!$A$5:$A$64,0)),""))</f>
        <v/>
      </c>
      <c r="Z392" s="30">
        <f>IF(COUNTBLANK($J392:$Y392)=16,"",16-COUNTBLANK($J392:$Y392))</f>
        <v/>
      </c>
      <c r="AA392" s="33">
        <f>IF($J392="",MID($AX392,3,255),$J392&amp;$AX392)</f>
        <v/>
      </c>
      <c r="AB392" s="34">
        <f>IF($J392="","",IFERROR(INDEX(코드설정!$D$5:$D$24,MATCH($J392,코드설정!$C$5:$C$24,0)),""))</f>
        <v/>
      </c>
      <c r="AC392" s="36" t="n"/>
      <c r="AD392" s="37" t="n"/>
      <c r="AE392" s="38" t="n"/>
      <c r="AF392" s="30">
        <f>IF(OR($B392="",$C392=""),"",$C392-$B392+1)</f>
        <v/>
      </c>
      <c r="AG392" s="32" t="n"/>
      <c r="AH392" s="36" t="n"/>
      <c r="AJ392">
        <f>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  <c r="AX392">
        <f>AW392&amp;IF($Y392="","",", "&amp;$Y392)</f>
        <v/>
      </c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0">
        <f>IF($F393="","",COUNTIF($F$5:$F393,$F393))</f>
        <v/>
      </c>
      <c r="H393" s="33">
        <f>IF($F393="","",IFERROR(INDEX(사건마스터!$B$5:$B$64,MATCH($F393,사건마스터!$A$5:$A$64,0)),""))</f>
        <v/>
      </c>
      <c r="I393" s="34">
        <f>IF($F393="","",IFERROR(INDEX(사건마스터!$C$5:$C$64,MATCH($F393,사건마스터!$A$5:$A$64,0)),""))</f>
        <v/>
      </c>
      <c r="J393" s="35">
        <f>IF($F393="","",IFERROR(INDEX(사건마스터!$H$5:$H$64,MATCH($F393,사건마스터!$A$5:$A$64,0)),""))</f>
        <v/>
      </c>
      <c r="K393" s="35">
        <f>IF($F393="","",IFERROR(INDEX(사건마스터!$AH$5:$AH$64,MATCH($F393,사건마스터!$A$5:$A$64,0)),""))</f>
        <v/>
      </c>
      <c r="L393" s="35">
        <f>IF($F393="","",IFERROR(INDEX(사건마스터!$AI$5:$AI$64,MATCH($F393,사건마스터!$A$5:$A$64,0)),""))</f>
        <v/>
      </c>
      <c r="M393" s="35">
        <f>IF($F393="","",IFERROR(INDEX(사건마스터!$AJ$5:$AJ$64,MATCH($F393,사건마스터!$A$5:$A$64,0)),""))</f>
        <v/>
      </c>
      <c r="N393" s="35">
        <f>IF($F393="","",IFERROR(INDEX(사건마스터!$AK$5:$AK$64,MATCH($F393,사건마스터!$A$5:$A$64,0)),""))</f>
        <v/>
      </c>
      <c r="O393" s="35">
        <f>IF($F393="","",IFERROR(INDEX(사건마스터!$AL$5:$AL$64,MATCH($F393,사건마스터!$A$5:$A$64,0)),""))</f>
        <v/>
      </c>
      <c r="P393" s="35">
        <f>IF($F393="","",IFERROR(INDEX(사건마스터!$AM$5:$AM$64,MATCH($F393,사건마스터!$A$5:$A$64,0)),""))</f>
        <v/>
      </c>
      <c r="Q393" s="35">
        <f>IF($F393="","",IFERROR(INDEX(사건마스터!$AN$5:$AN$64,MATCH($F393,사건마스터!$A$5:$A$64,0)),""))</f>
        <v/>
      </c>
      <c r="R393" s="35">
        <f>IF($F393="","",IFERROR(INDEX(사건마스터!$AO$5:$AO$64,MATCH($F393,사건마스터!$A$5:$A$64,0)),""))</f>
        <v/>
      </c>
      <c r="S393" s="35">
        <f>IF($F393="","",IFERROR(INDEX(사건마스터!$AP$5:$AP$64,MATCH($F393,사건마스터!$A$5:$A$64,0)),""))</f>
        <v/>
      </c>
      <c r="T393" s="35">
        <f>IF($F393="","",IFERROR(INDEX(사건마스터!$AQ$5:$AQ$64,MATCH($F393,사건마스터!$A$5:$A$64,0)),""))</f>
        <v/>
      </c>
      <c r="U393" s="35">
        <f>IF($F393="","",IFERROR(INDEX(사건마스터!$AR$5:$AR$64,MATCH($F393,사건마스터!$A$5:$A$64,0)),""))</f>
        <v/>
      </c>
      <c r="V393" s="35">
        <f>IF($F393="","",IFERROR(INDEX(사건마스터!$AS$5:$AS$64,MATCH($F393,사건마스터!$A$5:$A$64,0)),""))</f>
        <v/>
      </c>
      <c r="W393" s="35">
        <f>IF($F393="","",IFERROR(INDEX(사건마스터!$AT$5:$AT$64,MATCH($F393,사건마스터!$A$5:$A$64,0)),""))</f>
        <v/>
      </c>
      <c r="X393" s="35">
        <f>IF($F393="","",IFERROR(INDEX(사건마스터!$AU$5:$AU$64,MATCH($F393,사건마스터!$A$5:$A$64,0)),""))</f>
        <v/>
      </c>
      <c r="Y393" s="35">
        <f>IF($F393="","",IFERROR(INDEX(사건마스터!$AV$5:$AV$64,MATCH($F393,사건마스터!$A$5:$A$64,0)),""))</f>
        <v/>
      </c>
      <c r="Z393" s="30">
        <f>IF(COUNTBLANK($J393:$Y393)=16,"",16-COUNTBLANK($J393:$Y393))</f>
        <v/>
      </c>
      <c r="AA393" s="33">
        <f>IF($J393="",MID($AX393,3,255),$J393&amp;$AX393)</f>
        <v/>
      </c>
      <c r="AB393" s="34">
        <f>IF($J393="","",IFERROR(INDEX(코드설정!$D$5:$D$24,MATCH($J393,코드설정!$C$5:$C$24,0)),""))</f>
        <v/>
      </c>
      <c r="AC393" s="36" t="n"/>
      <c r="AD393" s="37" t="n"/>
      <c r="AE393" s="38" t="n"/>
      <c r="AF393" s="30">
        <f>IF(OR($B393="",$C393=""),"",$C393-$B393+1)</f>
        <v/>
      </c>
      <c r="AG393" s="32" t="n"/>
      <c r="AH393" s="36" t="n"/>
      <c r="AJ393">
        <f>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  <c r="AX393">
        <f>AW393&amp;IF($Y393="","",", "&amp;$Y393)</f>
        <v/>
      </c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0">
        <f>IF($F394="","",COUNTIF($F$5:$F394,$F394))</f>
        <v/>
      </c>
      <c r="H394" s="33">
        <f>IF($F394="","",IFERROR(INDEX(사건마스터!$B$5:$B$64,MATCH($F394,사건마스터!$A$5:$A$64,0)),""))</f>
        <v/>
      </c>
      <c r="I394" s="34">
        <f>IF($F394="","",IFERROR(INDEX(사건마스터!$C$5:$C$64,MATCH($F394,사건마스터!$A$5:$A$64,0)),""))</f>
        <v/>
      </c>
      <c r="J394" s="35">
        <f>IF($F394="","",IFERROR(INDEX(사건마스터!$H$5:$H$64,MATCH($F394,사건마스터!$A$5:$A$64,0)),""))</f>
        <v/>
      </c>
      <c r="K394" s="35">
        <f>IF($F394="","",IFERROR(INDEX(사건마스터!$AH$5:$AH$64,MATCH($F394,사건마스터!$A$5:$A$64,0)),""))</f>
        <v/>
      </c>
      <c r="L394" s="35">
        <f>IF($F394="","",IFERROR(INDEX(사건마스터!$AI$5:$AI$64,MATCH($F394,사건마스터!$A$5:$A$64,0)),""))</f>
        <v/>
      </c>
      <c r="M394" s="35">
        <f>IF($F394="","",IFERROR(INDEX(사건마스터!$AJ$5:$AJ$64,MATCH($F394,사건마스터!$A$5:$A$64,0)),""))</f>
        <v/>
      </c>
      <c r="N394" s="35">
        <f>IF($F394="","",IFERROR(INDEX(사건마스터!$AK$5:$AK$64,MATCH($F394,사건마스터!$A$5:$A$64,0)),""))</f>
        <v/>
      </c>
      <c r="O394" s="35">
        <f>IF($F394="","",IFERROR(INDEX(사건마스터!$AL$5:$AL$64,MATCH($F394,사건마스터!$A$5:$A$64,0)),""))</f>
        <v/>
      </c>
      <c r="P394" s="35">
        <f>IF($F394="","",IFERROR(INDEX(사건마스터!$AM$5:$AM$64,MATCH($F394,사건마스터!$A$5:$A$64,0)),""))</f>
        <v/>
      </c>
      <c r="Q394" s="35">
        <f>IF($F394="","",IFERROR(INDEX(사건마스터!$AN$5:$AN$64,MATCH($F394,사건마스터!$A$5:$A$64,0)),""))</f>
        <v/>
      </c>
      <c r="R394" s="35">
        <f>IF($F394="","",IFERROR(INDEX(사건마스터!$AO$5:$AO$64,MATCH($F394,사건마스터!$A$5:$A$64,0)),""))</f>
        <v/>
      </c>
      <c r="S394" s="35">
        <f>IF($F394="","",IFERROR(INDEX(사건마스터!$AP$5:$AP$64,MATCH($F394,사건마스터!$A$5:$A$64,0)),""))</f>
        <v/>
      </c>
      <c r="T394" s="35">
        <f>IF($F394="","",IFERROR(INDEX(사건마스터!$AQ$5:$AQ$64,MATCH($F394,사건마스터!$A$5:$A$64,0)),""))</f>
        <v/>
      </c>
      <c r="U394" s="35">
        <f>IF($F394="","",IFERROR(INDEX(사건마스터!$AR$5:$AR$64,MATCH($F394,사건마스터!$A$5:$A$64,0)),""))</f>
        <v/>
      </c>
      <c r="V394" s="35">
        <f>IF($F394="","",IFERROR(INDEX(사건마스터!$AS$5:$AS$64,MATCH($F394,사건마스터!$A$5:$A$64,0)),""))</f>
        <v/>
      </c>
      <c r="W394" s="35">
        <f>IF($F394="","",IFERROR(INDEX(사건마스터!$AT$5:$AT$64,MATCH($F394,사건마스터!$A$5:$A$64,0)),""))</f>
        <v/>
      </c>
      <c r="X394" s="35">
        <f>IF($F394="","",IFERROR(INDEX(사건마스터!$AU$5:$AU$64,MATCH($F394,사건마스터!$A$5:$A$64,0)),""))</f>
        <v/>
      </c>
      <c r="Y394" s="35">
        <f>IF($F394="","",IFERROR(INDEX(사건마스터!$AV$5:$AV$64,MATCH($F394,사건마스터!$A$5:$A$64,0)),""))</f>
        <v/>
      </c>
      <c r="Z394" s="30">
        <f>IF(COUNTBLANK($J394:$Y394)=16,"",16-COUNTBLANK($J394:$Y394))</f>
        <v/>
      </c>
      <c r="AA394" s="33">
        <f>IF($J394="",MID($AX394,3,255),$J394&amp;$AX394)</f>
        <v/>
      </c>
      <c r="AB394" s="34">
        <f>IF($J394="","",IFERROR(INDEX(코드설정!$D$5:$D$24,MATCH($J394,코드설정!$C$5:$C$24,0)),""))</f>
        <v/>
      </c>
      <c r="AC394" s="36" t="n"/>
      <c r="AD394" s="37" t="n"/>
      <c r="AE394" s="38" t="n"/>
      <c r="AF394" s="30">
        <f>IF(OR($B394="",$C394=""),"",$C394-$B394+1)</f>
        <v/>
      </c>
      <c r="AG394" s="32" t="n"/>
      <c r="AH394" s="36" t="n"/>
      <c r="AJ394">
        <f>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  <c r="AX394">
        <f>AW394&amp;IF($Y394="","",", "&amp;$Y394)</f>
        <v/>
      </c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0">
        <f>IF($F395="","",COUNTIF($F$5:$F395,$F395))</f>
        <v/>
      </c>
      <c r="H395" s="33">
        <f>IF($F395="","",IFERROR(INDEX(사건마스터!$B$5:$B$64,MATCH($F395,사건마스터!$A$5:$A$64,0)),""))</f>
        <v/>
      </c>
      <c r="I395" s="34">
        <f>IF($F395="","",IFERROR(INDEX(사건마스터!$C$5:$C$64,MATCH($F395,사건마스터!$A$5:$A$64,0)),""))</f>
        <v/>
      </c>
      <c r="J395" s="35">
        <f>IF($F395="","",IFERROR(INDEX(사건마스터!$H$5:$H$64,MATCH($F395,사건마스터!$A$5:$A$64,0)),""))</f>
        <v/>
      </c>
      <c r="K395" s="35">
        <f>IF($F395="","",IFERROR(INDEX(사건마스터!$AH$5:$AH$64,MATCH($F395,사건마스터!$A$5:$A$64,0)),""))</f>
        <v/>
      </c>
      <c r="L395" s="35">
        <f>IF($F395="","",IFERROR(INDEX(사건마스터!$AI$5:$AI$64,MATCH($F395,사건마스터!$A$5:$A$64,0)),""))</f>
        <v/>
      </c>
      <c r="M395" s="35">
        <f>IF($F395="","",IFERROR(INDEX(사건마스터!$AJ$5:$AJ$64,MATCH($F395,사건마스터!$A$5:$A$64,0)),""))</f>
        <v/>
      </c>
      <c r="N395" s="35">
        <f>IF($F395="","",IFERROR(INDEX(사건마스터!$AK$5:$AK$64,MATCH($F395,사건마스터!$A$5:$A$64,0)),""))</f>
        <v/>
      </c>
      <c r="O395" s="35">
        <f>IF($F395="","",IFERROR(INDEX(사건마스터!$AL$5:$AL$64,MATCH($F395,사건마스터!$A$5:$A$64,0)),""))</f>
        <v/>
      </c>
      <c r="P395" s="35">
        <f>IF($F395="","",IFERROR(INDEX(사건마스터!$AM$5:$AM$64,MATCH($F395,사건마스터!$A$5:$A$64,0)),""))</f>
        <v/>
      </c>
      <c r="Q395" s="35">
        <f>IF($F395="","",IFERROR(INDEX(사건마스터!$AN$5:$AN$64,MATCH($F395,사건마스터!$A$5:$A$64,0)),""))</f>
        <v/>
      </c>
      <c r="R395" s="35">
        <f>IF($F395="","",IFERROR(INDEX(사건마스터!$AO$5:$AO$64,MATCH($F395,사건마스터!$A$5:$A$64,0)),""))</f>
        <v/>
      </c>
      <c r="S395" s="35">
        <f>IF($F395="","",IFERROR(INDEX(사건마스터!$AP$5:$AP$64,MATCH($F395,사건마스터!$A$5:$A$64,0)),""))</f>
        <v/>
      </c>
      <c r="T395" s="35">
        <f>IF($F395="","",IFERROR(INDEX(사건마스터!$AQ$5:$AQ$64,MATCH($F395,사건마스터!$A$5:$A$64,0)),""))</f>
        <v/>
      </c>
      <c r="U395" s="35">
        <f>IF($F395="","",IFERROR(INDEX(사건마스터!$AR$5:$AR$64,MATCH($F395,사건마스터!$A$5:$A$64,0)),""))</f>
        <v/>
      </c>
      <c r="V395" s="35">
        <f>IF($F395="","",IFERROR(INDEX(사건마스터!$AS$5:$AS$64,MATCH($F395,사건마스터!$A$5:$A$64,0)),""))</f>
        <v/>
      </c>
      <c r="W395" s="35">
        <f>IF($F395="","",IFERROR(INDEX(사건마스터!$AT$5:$AT$64,MATCH($F395,사건마스터!$A$5:$A$64,0)),""))</f>
        <v/>
      </c>
      <c r="X395" s="35">
        <f>IF($F395="","",IFERROR(INDEX(사건마스터!$AU$5:$AU$64,MATCH($F395,사건마스터!$A$5:$A$64,0)),""))</f>
        <v/>
      </c>
      <c r="Y395" s="35">
        <f>IF($F395="","",IFERROR(INDEX(사건마스터!$AV$5:$AV$64,MATCH($F395,사건마스터!$A$5:$A$64,0)),""))</f>
        <v/>
      </c>
      <c r="Z395" s="30">
        <f>IF(COUNTBLANK($J395:$Y395)=16,"",16-COUNTBLANK($J395:$Y395))</f>
        <v/>
      </c>
      <c r="AA395" s="33">
        <f>IF($J395="",MID($AX395,3,255),$J395&amp;$AX395)</f>
        <v/>
      </c>
      <c r="AB395" s="34">
        <f>IF($J395="","",IFERROR(INDEX(코드설정!$D$5:$D$24,MATCH($J395,코드설정!$C$5:$C$24,0)),""))</f>
        <v/>
      </c>
      <c r="AC395" s="36" t="n"/>
      <c r="AD395" s="37" t="n"/>
      <c r="AE395" s="38" t="n"/>
      <c r="AF395" s="30">
        <f>IF(OR($B395="",$C395=""),"",$C395-$B395+1)</f>
        <v/>
      </c>
      <c r="AG395" s="32" t="n"/>
      <c r="AH395" s="36" t="n"/>
      <c r="AJ395">
        <f>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  <c r="AX395">
        <f>AW395&amp;IF($Y395="","",", "&amp;$Y395)</f>
        <v/>
      </c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0">
        <f>IF($F396="","",COUNTIF($F$5:$F396,$F396))</f>
        <v/>
      </c>
      <c r="H396" s="33">
        <f>IF($F396="","",IFERROR(INDEX(사건마스터!$B$5:$B$64,MATCH($F396,사건마스터!$A$5:$A$64,0)),""))</f>
        <v/>
      </c>
      <c r="I396" s="34">
        <f>IF($F396="","",IFERROR(INDEX(사건마스터!$C$5:$C$64,MATCH($F396,사건마스터!$A$5:$A$64,0)),""))</f>
        <v/>
      </c>
      <c r="J396" s="35">
        <f>IF($F396="","",IFERROR(INDEX(사건마스터!$H$5:$H$64,MATCH($F396,사건마스터!$A$5:$A$64,0)),""))</f>
        <v/>
      </c>
      <c r="K396" s="35">
        <f>IF($F396="","",IFERROR(INDEX(사건마스터!$AH$5:$AH$64,MATCH($F396,사건마스터!$A$5:$A$64,0)),""))</f>
        <v/>
      </c>
      <c r="L396" s="35">
        <f>IF($F396="","",IFERROR(INDEX(사건마스터!$AI$5:$AI$64,MATCH($F396,사건마스터!$A$5:$A$64,0)),""))</f>
        <v/>
      </c>
      <c r="M396" s="35">
        <f>IF($F396="","",IFERROR(INDEX(사건마스터!$AJ$5:$AJ$64,MATCH($F396,사건마스터!$A$5:$A$64,0)),""))</f>
        <v/>
      </c>
      <c r="N396" s="35">
        <f>IF($F396="","",IFERROR(INDEX(사건마스터!$AK$5:$AK$64,MATCH($F396,사건마스터!$A$5:$A$64,0)),""))</f>
        <v/>
      </c>
      <c r="O396" s="35">
        <f>IF($F396="","",IFERROR(INDEX(사건마스터!$AL$5:$AL$64,MATCH($F396,사건마스터!$A$5:$A$64,0)),""))</f>
        <v/>
      </c>
      <c r="P396" s="35">
        <f>IF($F396="","",IFERROR(INDEX(사건마스터!$AM$5:$AM$64,MATCH($F396,사건마스터!$A$5:$A$64,0)),""))</f>
        <v/>
      </c>
      <c r="Q396" s="35">
        <f>IF($F396="","",IFERROR(INDEX(사건마스터!$AN$5:$AN$64,MATCH($F396,사건마스터!$A$5:$A$64,0)),""))</f>
        <v/>
      </c>
      <c r="R396" s="35">
        <f>IF($F396="","",IFERROR(INDEX(사건마스터!$AO$5:$AO$64,MATCH($F396,사건마스터!$A$5:$A$64,0)),""))</f>
        <v/>
      </c>
      <c r="S396" s="35">
        <f>IF($F396="","",IFERROR(INDEX(사건마스터!$AP$5:$AP$64,MATCH($F396,사건마스터!$A$5:$A$64,0)),""))</f>
        <v/>
      </c>
      <c r="T396" s="35">
        <f>IF($F396="","",IFERROR(INDEX(사건마스터!$AQ$5:$AQ$64,MATCH($F396,사건마스터!$A$5:$A$64,0)),""))</f>
        <v/>
      </c>
      <c r="U396" s="35">
        <f>IF($F396="","",IFERROR(INDEX(사건마스터!$AR$5:$AR$64,MATCH($F396,사건마스터!$A$5:$A$64,0)),""))</f>
        <v/>
      </c>
      <c r="V396" s="35">
        <f>IF($F396="","",IFERROR(INDEX(사건마스터!$AS$5:$AS$64,MATCH($F396,사건마스터!$A$5:$A$64,0)),""))</f>
        <v/>
      </c>
      <c r="W396" s="35">
        <f>IF($F396="","",IFERROR(INDEX(사건마스터!$AT$5:$AT$64,MATCH($F396,사건마스터!$A$5:$A$64,0)),""))</f>
        <v/>
      </c>
      <c r="X396" s="35">
        <f>IF($F396="","",IFERROR(INDEX(사건마스터!$AU$5:$AU$64,MATCH($F396,사건마스터!$A$5:$A$64,0)),""))</f>
        <v/>
      </c>
      <c r="Y396" s="35">
        <f>IF($F396="","",IFERROR(INDEX(사건마스터!$AV$5:$AV$64,MATCH($F396,사건마스터!$A$5:$A$64,0)),""))</f>
        <v/>
      </c>
      <c r="Z396" s="30">
        <f>IF(COUNTBLANK($J396:$Y396)=16,"",16-COUNTBLANK($J396:$Y396))</f>
        <v/>
      </c>
      <c r="AA396" s="33">
        <f>IF($J396="",MID($AX396,3,255),$J396&amp;$AX396)</f>
        <v/>
      </c>
      <c r="AB396" s="34">
        <f>IF($J396="","",IFERROR(INDEX(코드설정!$D$5:$D$24,MATCH($J396,코드설정!$C$5:$C$24,0)),""))</f>
        <v/>
      </c>
      <c r="AC396" s="36" t="n"/>
      <c r="AD396" s="37" t="n"/>
      <c r="AE396" s="38" t="n"/>
      <c r="AF396" s="30">
        <f>IF(OR($B396="",$C396=""),"",$C396-$B396+1)</f>
        <v/>
      </c>
      <c r="AG396" s="32" t="n"/>
      <c r="AH396" s="36" t="n"/>
      <c r="AJ396">
        <f>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  <c r="AX396">
        <f>AW396&amp;IF($Y396="","",", "&amp;$Y396)</f>
        <v/>
      </c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0">
        <f>IF($F397="","",COUNTIF($F$5:$F397,$F397))</f>
        <v/>
      </c>
      <c r="H397" s="33">
        <f>IF($F397="","",IFERROR(INDEX(사건마스터!$B$5:$B$64,MATCH($F397,사건마스터!$A$5:$A$64,0)),""))</f>
        <v/>
      </c>
      <c r="I397" s="34">
        <f>IF($F397="","",IFERROR(INDEX(사건마스터!$C$5:$C$64,MATCH($F397,사건마스터!$A$5:$A$64,0)),""))</f>
        <v/>
      </c>
      <c r="J397" s="35">
        <f>IF($F397="","",IFERROR(INDEX(사건마스터!$H$5:$H$64,MATCH($F397,사건마스터!$A$5:$A$64,0)),""))</f>
        <v/>
      </c>
      <c r="K397" s="35">
        <f>IF($F397="","",IFERROR(INDEX(사건마스터!$AH$5:$AH$64,MATCH($F397,사건마스터!$A$5:$A$64,0)),""))</f>
        <v/>
      </c>
      <c r="L397" s="35">
        <f>IF($F397="","",IFERROR(INDEX(사건마스터!$AI$5:$AI$64,MATCH($F397,사건마스터!$A$5:$A$64,0)),""))</f>
        <v/>
      </c>
      <c r="M397" s="35">
        <f>IF($F397="","",IFERROR(INDEX(사건마스터!$AJ$5:$AJ$64,MATCH($F397,사건마스터!$A$5:$A$64,0)),""))</f>
        <v/>
      </c>
      <c r="N397" s="35">
        <f>IF($F397="","",IFERROR(INDEX(사건마스터!$AK$5:$AK$64,MATCH($F397,사건마스터!$A$5:$A$64,0)),""))</f>
        <v/>
      </c>
      <c r="O397" s="35">
        <f>IF($F397="","",IFERROR(INDEX(사건마스터!$AL$5:$AL$64,MATCH($F397,사건마스터!$A$5:$A$64,0)),""))</f>
        <v/>
      </c>
      <c r="P397" s="35">
        <f>IF($F397="","",IFERROR(INDEX(사건마스터!$AM$5:$AM$64,MATCH($F397,사건마스터!$A$5:$A$64,0)),""))</f>
        <v/>
      </c>
      <c r="Q397" s="35">
        <f>IF($F397="","",IFERROR(INDEX(사건마스터!$AN$5:$AN$64,MATCH($F397,사건마스터!$A$5:$A$64,0)),""))</f>
        <v/>
      </c>
      <c r="R397" s="35">
        <f>IF($F397="","",IFERROR(INDEX(사건마스터!$AO$5:$AO$64,MATCH($F397,사건마스터!$A$5:$A$64,0)),""))</f>
        <v/>
      </c>
      <c r="S397" s="35">
        <f>IF($F397="","",IFERROR(INDEX(사건마스터!$AP$5:$AP$64,MATCH($F397,사건마스터!$A$5:$A$64,0)),""))</f>
        <v/>
      </c>
      <c r="T397" s="35">
        <f>IF($F397="","",IFERROR(INDEX(사건마스터!$AQ$5:$AQ$64,MATCH($F397,사건마스터!$A$5:$A$64,0)),""))</f>
        <v/>
      </c>
      <c r="U397" s="35">
        <f>IF($F397="","",IFERROR(INDEX(사건마스터!$AR$5:$AR$64,MATCH($F397,사건마스터!$A$5:$A$64,0)),""))</f>
        <v/>
      </c>
      <c r="V397" s="35">
        <f>IF($F397="","",IFERROR(INDEX(사건마스터!$AS$5:$AS$64,MATCH($F397,사건마스터!$A$5:$A$64,0)),""))</f>
        <v/>
      </c>
      <c r="W397" s="35">
        <f>IF($F397="","",IFERROR(INDEX(사건마스터!$AT$5:$AT$64,MATCH($F397,사건마스터!$A$5:$A$64,0)),""))</f>
        <v/>
      </c>
      <c r="X397" s="35">
        <f>IF($F397="","",IFERROR(INDEX(사건마스터!$AU$5:$AU$64,MATCH($F397,사건마스터!$A$5:$A$64,0)),""))</f>
        <v/>
      </c>
      <c r="Y397" s="35">
        <f>IF($F397="","",IFERROR(INDEX(사건마스터!$AV$5:$AV$64,MATCH($F397,사건마스터!$A$5:$A$64,0)),""))</f>
        <v/>
      </c>
      <c r="Z397" s="30">
        <f>IF(COUNTBLANK($J397:$Y397)=16,"",16-COUNTBLANK($J397:$Y397))</f>
        <v/>
      </c>
      <c r="AA397" s="33">
        <f>IF($J397="",MID($AX397,3,255),$J397&amp;$AX397)</f>
        <v/>
      </c>
      <c r="AB397" s="34">
        <f>IF($J397="","",IFERROR(INDEX(코드설정!$D$5:$D$24,MATCH($J397,코드설정!$C$5:$C$24,0)),""))</f>
        <v/>
      </c>
      <c r="AC397" s="36" t="n"/>
      <c r="AD397" s="37" t="n"/>
      <c r="AE397" s="38" t="n"/>
      <c r="AF397" s="30">
        <f>IF(OR($B397="",$C397=""),"",$C397-$B397+1)</f>
        <v/>
      </c>
      <c r="AG397" s="32" t="n"/>
      <c r="AH397" s="36" t="n"/>
      <c r="AJ397">
        <f>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  <c r="AX397">
        <f>AW397&amp;IF($Y397="","",", "&amp;$Y397)</f>
        <v/>
      </c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0">
        <f>IF($F398="","",COUNTIF($F$5:$F398,$F398))</f>
        <v/>
      </c>
      <c r="H398" s="33">
        <f>IF($F398="","",IFERROR(INDEX(사건마스터!$B$5:$B$64,MATCH($F398,사건마스터!$A$5:$A$64,0)),""))</f>
        <v/>
      </c>
      <c r="I398" s="34">
        <f>IF($F398="","",IFERROR(INDEX(사건마스터!$C$5:$C$64,MATCH($F398,사건마스터!$A$5:$A$64,0)),""))</f>
        <v/>
      </c>
      <c r="J398" s="35">
        <f>IF($F398="","",IFERROR(INDEX(사건마스터!$H$5:$H$64,MATCH($F398,사건마스터!$A$5:$A$64,0)),""))</f>
        <v/>
      </c>
      <c r="K398" s="35">
        <f>IF($F398="","",IFERROR(INDEX(사건마스터!$AH$5:$AH$64,MATCH($F398,사건마스터!$A$5:$A$64,0)),""))</f>
        <v/>
      </c>
      <c r="L398" s="35">
        <f>IF($F398="","",IFERROR(INDEX(사건마스터!$AI$5:$AI$64,MATCH($F398,사건마스터!$A$5:$A$64,0)),""))</f>
        <v/>
      </c>
      <c r="M398" s="35">
        <f>IF($F398="","",IFERROR(INDEX(사건마스터!$AJ$5:$AJ$64,MATCH($F398,사건마스터!$A$5:$A$64,0)),""))</f>
        <v/>
      </c>
      <c r="N398" s="35">
        <f>IF($F398="","",IFERROR(INDEX(사건마스터!$AK$5:$AK$64,MATCH($F398,사건마스터!$A$5:$A$64,0)),""))</f>
        <v/>
      </c>
      <c r="O398" s="35">
        <f>IF($F398="","",IFERROR(INDEX(사건마스터!$AL$5:$AL$64,MATCH($F398,사건마스터!$A$5:$A$64,0)),""))</f>
        <v/>
      </c>
      <c r="P398" s="35">
        <f>IF($F398="","",IFERROR(INDEX(사건마스터!$AM$5:$AM$64,MATCH($F398,사건마스터!$A$5:$A$64,0)),""))</f>
        <v/>
      </c>
      <c r="Q398" s="35">
        <f>IF($F398="","",IFERROR(INDEX(사건마스터!$AN$5:$AN$64,MATCH($F398,사건마스터!$A$5:$A$64,0)),""))</f>
        <v/>
      </c>
      <c r="R398" s="35">
        <f>IF($F398="","",IFERROR(INDEX(사건마스터!$AO$5:$AO$64,MATCH($F398,사건마스터!$A$5:$A$64,0)),""))</f>
        <v/>
      </c>
      <c r="S398" s="35">
        <f>IF($F398="","",IFERROR(INDEX(사건마스터!$AP$5:$AP$64,MATCH($F398,사건마스터!$A$5:$A$64,0)),""))</f>
        <v/>
      </c>
      <c r="T398" s="35">
        <f>IF($F398="","",IFERROR(INDEX(사건마스터!$AQ$5:$AQ$64,MATCH($F398,사건마스터!$A$5:$A$64,0)),""))</f>
        <v/>
      </c>
      <c r="U398" s="35">
        <f>IF($F398="","",IFERROR(INDEX(사건마스터!$AR$5:$AR$64,MATCH($F398,사건마스터!$A$5:$A$64,0)),""))</f>
        <v/>
      </c>
      <c r="V398" s="35">
        <f>IF($F398="","",IFERROR(INDEX(사건마스터!$AS$5:$AS$64,MATCH($F398,사건마스터!$A$5:$A$64,0)),""))</f>
        <v/>
      </c>
      <c r="W398" s="35">
        <f>IF($F398="","",IFERROR(INDEX(사건마스터!$AT$5:$AT$64,MATCH($F398,사건마스터!$A$5:$A$64,0)),""))</f>
        <v/>
      </c>
      <c r="X398" s="35">
        <f>IF($F398="","",IFERROR(INDEX(사건마스터!$AU$5:$AU$64,MATCH($F398,사건마스터!$A$5:$A$64,0)),""))</f>
        <v/>
      </c>
      <c r="Y398" s="35">
        <f>IF($F398="","",IFERROR(INDEX(사건마스터!$AV$5:$AV$64,MATCH($F398,사건마스터!$A$5:$A$64,0)),""))</f>
        <v/>
      </c>
      <c r="Z398" s="30">
        <f>IF(COUNTBLANK($J398:$Y398)=16,"",16-COUNTBLANK($J398:$Y398))</f>
        <v/>
      </c>
      <c r="AA398" s="33">
        <f>IF($J398="",MID($AX398,3,255),$J398&amp;$AX398)</f>
        <v/>
      </c>
      <c r="AB398" s="34">
        <f>IF($J398="","",IFERROR(INDEX(코드설정!$D$5:$D$24,MATCH($J398,코드설정!$C$5:$C$24,0)),""))</f>
        <v/>
      </c>
      <c r="AC398" s="36" t="n"/>
      <c r="AD398" s="37" t="n"/>
      <c r="AE398" s="38" t="n"/>
      <c r="AF398" s="30">
        <f>IF(OR($B398="",$C398=""),"",$C398-$B398+1)</f>
        <v/>
      </c>
      <c r="AG398" s="32" t="n"/>
      <c r="AH398" s="36" t="n"/>
      <c r="AJ398">
        <f>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  <c r="AX398">
        <f>AW398&amp;IF($Y398="","",", "&amp;$Y398)</f>
        <v/>
      </c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0">
        <f>IF($F399="","",COUNTIF($F$5:$F399,$F399))</f>
        <v/>
      </c>
      <c r="H399" s="33">
        <f>IF($F399="","",IFERROR(INDEX(사건마스터!$B$5:$B$64,MATCH($F399,사건마스터!$A$5:$A$64,0)),""))</f>
        <v/>
      </c>
      <c r="I399" s="34">
        <f>IF($F399="","",IFERROR(INDEX(사건마스터!$C$5:$C$64,MATCH($F399,사건마스터!$A$5:$A$64,0)),""))</f>
        <v/>
      </c>
      <c r="J399" s="35">
        <f>IF($F399="","",IFERROR(INDEX(사건마스터!$H$5:$H$64,MATCH($F399,사건마스터!$A$5:$A$64,0)),""))</f>
        <v/>
      </c>
      <c r="K399" s="35">
        <f>IF($F399="","",IFERROR(INDEX(사건마스터!$AH$5:$AH$64,MATCH($F399,사건마스터!$A$5:$A$64,0)),""))</f>
        <v/>
      </c>
      <c r="L399" s="35">
        <f>IF($F399="","",IFERROR(INDEX(사건마스터!$AI$5:$AI$64,MATCH($F399,사건마스터!$A$5:$A$64,0)),""))</f>
        <v/>
      </c>
      <c r="M399" s="35">
        <f>IF($F399="","",IFERROR(INDEX(사건마스터!$AJ$5:$AJ$64,MATCH($F399,사건마스터!$A$5:$A$64,0)),""))</f>
        <v/>
      </c>
      <c r="N399" s="35">
        <f>IF($F399="","",IFERROR(INDEX(사건마스터!$AK$5:$AK$64,MATCH($F399,사건마스터!$A$5:$A$64,0)),""))</f>
        <v/>
      </c>
      <c r="O399" s="35">
        <f>IF($F399="","",IFERROR(INDEX(사건마스터!$AL$5:$AL$64,MATCH($F399,사건마스터!$A$5:$A$64,0)),""))</f>
        <v/>
      </c>
      <c r="P399" s="35">
        <f>IF($F399="","",IFERROR(INDEX(사건마스터!$AM$5:$AM$64,MATCH($F399,사건마스터!$A$5:$A$64,0)),""))</f>
        <v/>
      </c>
      <c r="Q399" s="35">
        <f>IF($F399="","",IFERROR(INDEX(사건마스터!$AN$5:$AN$64,MATCH($F399,사건마스터!$A$5:$A$64,0)),""))</f>
        <v/>
      </c>
      <c r="R399" s="35">
        <f>IF($F399="","",IFERROR(INDEX(사건마스터!$AO$5:$AO$64,MATCH($F399,사건마스터!$A$5:$A$64,0)),""))</f>
        <v/>
      </c>
      <c r="S399" s="35">
        <f>IF($F399="","",IFERROR(INDEX(사건마스터!$AP$5:$AP$64,MATCH($F399,사건마스터!$A$5:$A$64,0)),""))</f>
        <v/>
      </c>
      <c r="T399" s="35">
        <f>IF($F399="","",IFERROR(INDEX(사건마스터!$AQ$5:$AQ$64,MATCH($F399,사건마스터!$A$5:$A$64,0)),""))</f>
        <v/>
      </c>
      <c r="U399" s="35">
        <f>IF($F399="","",IFERROR(INDEX(사건마스터!$AR$5:$AR$64,MATCH($F399,사건마스터!$A$5:$A$64,0)),""))</f>
        <v/>
      </c>
      <c r="V399" s="35">
        <f>IF($F399="","",IFERROR(INDEX(사건마스터!$AS$5:$AS$64,MATCH($F399,사건마스터!$A$5:$A$64,0)),""))</f>
        <v/>
      </c>
      <c r="W399" s="35">
        <f>IF($F399="","",IFERROR(INDEX(사건마스터!$AT$5:$AT$64,MATCH($F399,사건마스터!$A$5:$A$64,0)),""))</f>
        <v/>
      </c>
      <c r="X399" s="35">
        <f>IF($F399="","",IFERROR(INDEX(사건마스터!$AU$5:$AU$64,MATCH($F399,사건마스터!$A$5:$A$64,0)),""))</f>
        <v/>
      </c>
      <c r="Y399" s="35">
        <f>IF($F399="","",IFERROR(INDEX(사건마스터!$AV$5:$AV$64,MATCH($F399,사건마스터!$A$5:$A$64,0)),""))</f>
        <v/>
      </c>
      <c r="Z399" s="30">
        <f>IF(COUNTBLANK($J399:$Y399)=16,"",16-COUNTBLANK($J399:$Y399))</f>
        <v/>
      </c>
      <c r="AA399" s="33">
        <f>IF($J399="",MID($AX399,3,255),$J399&amp;$AX399)</f>
        <v/>
      </c>
      <c r="AB399" s="34">
        <f>IF($J399="","",IFERROR(INDEX(코드설정!$D$5:$D$24,MATCH($J399,코드설정!$C$5:$C$24,0)),""))</f>
        <v/>
      </c>
      <c r="AC399" s="36" t="n"/>
      <c r="AD399" s="37" t="n"/>
      <c r="AE399" s="38" t="n"/>
      <c r="AF399" s="30">
        <f>IF(OR($B399="",$C399=""),"",$C399-$B399+1)</f>
        <v/>
      </c>
      <c r="AG399" s="32" t="n"/>
      <c r="AH399" s="36" t="n"/>
      <c r="AJ399">
        <f>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  <c r="AX399">
        <f>AW399&amp;IF($Y399="","",", "&amp;$Y399)</f>
        <v/>
      </c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0">
        <f>IF($F400="","",COUNTIF($F$5:$F400,$F400))</f>
        <v/>
      </c>
      <c r="H400" s="33">
        <f>IF($F400="","",IFERROR(INDEX(사건마스터!$B$5:$B$64,MATCH($F400,사건마스터!$A$5:$A$64,0)),""))</f>
        <v/>
      </c>
      <c r="I400" s="34">
        <f>IF($F400="","",IFERROR(INDEX(사건마스터!$C$5:$C$64,MATCH($F400,사건마스터!$A$5:$A$64,0)),""))</f>
        <v/>
      </c>
      <c r="J400" s="35">
        <f>IF($F400="","",IFERROR(INDEX(사건마스터!$H$5:$H$64,MATCH($F400,사건마스터!$A$5:$A$64,0)),""))</f>
        <v/>
      </c>
      <c r="K400" s="35">
        <f>IF($F400="","",IFERROR(INDEX(사건마스터!$AH$5:$AH$64,MATCH($F400,사건마스터!$A$5:$A$64,0)),""))</f>
        <v/>
      </c>
      <c r="L400" s="35">
        <f>IF($F400="","",IFERROR(INDEX(사건마스터!$AI$5:$AI$64,MATCH($F400,사건마스터!$A$5:$A$64,0)),""))</f>
        <v/>
      </c>
      <c r="M400" s="35">
        <f>IF($F400="","",IFERROR(INDEX(사건마스터!$AJ$5:$AJ$64,MATCH($F400,사건마스터!$A$5:$A$64,0)),""))</f>
        <v/>
      </c>
      <c r="N400" s="35">
        <f>IF($F400="","",IFERROR(INDEX(사건마스터!$AK$5:$AK$64,MATCH($F400,사건마스터!$A$5:$A$64,0)),""))</f>
        <v/>
      </c>
      <c r="O400" s="35">
        <f>IF($F400="","",IFERROR(INDEX(사건마스터!$AL$5:$AL$64,MATCH($F400,사건마스터!$A$5:$A$64,0)),""))</f>
        <v/>
      </c>
      <c r="P400" s="35">
        <f>IF($F400="","",IFERROR(INDEX(사건마스터!$AM$5:$AM$64,MATCH($F400,사건마스터!$A$5:$A$64,0)),""))</f>
        <v/>
      </c>
      <c r="Q400" s="35">
        <f>IF($F400="","",IFERROR(INDEX(사건마스터!$AN$5:$AN$64,MATCH($F400,사건마스터!$A$5:$A$64,0)),""))</f>
        <v/>
      </c>
      <c r="R400" s="35">
        <f>IF($F400="","",IFERROR(INDEX(사건마스터!$AO$5:$AO$64,MATCH($F400,사건마스터!$A$5:$A$64,0)),""))</f>
        <v/>
      </c>
      <c r="S400" s="35">
        <f>IF($F400="","",IFERROR(INDEX(사건마스터!$AP$5:$AP$64,MATCH($F400,사건마스터!$A$5:$A$64,0)),""))</f>
        <v/>
      </c>
      <c r="T400" s="35">
        <f>IF($F400="","",IFERROR(INDEX(사건마스터!$AQ$5:$AQ$64,MATCH($F400,사건마스터!$A$5:$A$64,0)),""))</f>
        <v/>
      </c>
      <c r="U400" s="35">
        <f>IF($F400="","",IFERROR(INDEX(사건마스터!$AR$5:$AR$64,MATCH($F400,사건마스터!$A$5:$A$64,0)),""))</f>
        <v/>
      </c>
      <c r="V400" s="35">
        <f>IF($F400="","",IFERROR(INDEX(사건마스터!$AS$5:$AS$64,MATCH($F400,사건마스터!$A$5:$A$64,0)),""))</f>
        <v/>
      </c>
      <c r="W400" s="35">
        <f>IF($F400="","",IFERROR(INDEX(사건마스터!$AT$5:$AT$64,MATCH($F400,사건마스터!$A$5:$A$64,0)),""))</f>
        <v/>
      </c>
      <c r="X400" s="35">
        <f>IF($F400="","",IFERROR(INDEX(사건마스터!$AU$5:$AU$64,MATCH($F400,사건마스터!$A$5:$A$64,0)),""))</f>
        <v/>
      </c>
      <c r="Y400" s="35">
        <f>IF($F400="","",IFERROR(INDEX(사건마스터!$AV$5:$AV$64,MATCH($F400,사건마스터!$A$5:$A$64,0)),""))</f>
        <v/>
      </c>
      <c r="Z400" s="30">
        <f>IF(COUNTBLANK($J400:$Y400)=16,"",16-COUNTBLANK($J400:$Y400))</f>
        <v/>
      </c>
      <c r="AA400" s="33">
        <f>IF($J400="",MID($AX400,3,255),$J400&amp;$AX400)</f>
        <v/>
      </c>
      <c r="AB400" s="34">
        <f>IF($J400="","",IFERROR(INDEX(코드설정!$D$5:$D$24,MATCH($J400,코드설정!$C$5:$C$24,0)),""))</f>
        <v/>
      </c>
      <c r="AC400" s="36" t="n"/>
      <c r="AD400" s="37" t="n"/>
      <c r="AE400" s="38" t="n"/>
      <c r="AF400" s="30">
        <f>IF(OR($B400="",$C400=""),"",$C400-$B400+1)</f>
        <v/>
      </c>
      <c r="AG400" s="32" t="n"/>
      <c r="AH400" s="36" t="n"/>
      <c r="AJ400">
        <f>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  <c r="AX400">
        <f>AW400&amp;IF($Y400="","",", "&amp;$Y400)</f>
        <v/>
      </c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0">
        <f>IF($F401="","",COUNTIF($F$5:$F401,$F401))</f>
        <v/>
      </c>
      <c r="H401" s="33">
        <f>IF($F401="","",IFERROR(INDEX(사건마스터!$B$5:$B$64,MATCH($F401,사건마스터!$A$5:$A$64,0)),""))</f>
        <v/>
      </c>
      <c r="I401" s="34">
        <f>IF($F401="","",IFERROR(INDEX(사건마스터!$C$5:$C$64,MATCH($F401,사건마스터!$A$5:$A$64,0)),""))</f>
        <v/>
      </c>
      <c r="J401" s="35">
        <f>IF($F401="","",IFERROR(INDEX(사건마스터!$H$5:$H$64,MATCH($F401,사건마스터!$A$5:$A$64,0)),""))</f>
        <v/>
      </c>
      <c r="K401" s="35">
        <f>IF($F401="","",IFERROR(INDEX(사건마스터!$AH$5:$AH$64,MATCH($F401,사건마스터!$A$5:$A$64,0)),""))</f>
        <v/>
      </c>
      <c r="L401" s="35">
        <f>IF($F401="","",IFERROR(INDEX(사건마스터!$AI$5:$AI$64,MATCH($F401,사건마스터!$A$5:$A$64,0)),""))</f>
        <v/>
      </c>
      <c r="M401" s="35">
        <f>IF($F401="","",IFERROR(INDEX(사건마스터!$AJ$5:$AJ$64,MATCH($F401,사건마스터!$A$5:$A$64,0)),""))</f>
        <v/>
      </c>
      <c r="N401" s="35">
        <f>IF($F401="","",IFERROR(INDEX(사건마스터!$AK$5:$AK$64,MATCH($F401,사건마스터!$A$5:$A$64,0)),""))</f>
        <v/>
      </c>
      <c r="O401" s="35">
        <f>IF($F401="","",IFERROR(INDEX(사건마스터!$AL$5:$AL$64,MATCH($F401,사건마스터!$A$5:$A$64,0)),""))</f>
        <v/>
      </c>
      <c r="P401" s="35">
        <f>IF($F401="","",IFERROR(INDEX(사건마스터!$AM$5:$AM$64,MATCH($F401,사건마스터!$A$5:$A$64,0)),""))</f>
        <v/>
      </c>
      <c r="Q401" s="35">
        <f>IF($F401="","",IFERROR(INDEX(사건마스터!$AN$5:$AN$64,MATCH($F401,사건마스터!$A$5:$A$64,0)),""))</f>
        <v/>
      </c>
      <c r="R401" s="35">
        <f>IF($F401="","",IFERROR(INDEX(사건마스터!$AO$5:$AO$64,MATCH($F401,사건마스터!$A$5:$A$64,0)),""))</f>
        <v/>
      </c>
      <c r="S401" s="35">
        <f>IF($F401="","",IFERROR(INDEX(사건마스터!$AP$5:$AP$64,MATCH($F401,사건마스터!$A$5:$A$64,0)),""))</f>
        <v/>
      </c>
      <c r="T401" s="35">
        <f>IF($F401="","",IFERROR(INDEX(사건마스터!$AQ$5:$AQ$64,MATCH($F401,사건마스터!$A$5:$A$64,0)),""))</f>
        <v/>
      </c>
      <c r="U401" s="35">
        <f>IF($F401="","",IFERROR(INDEX(사건마스터!$AR$5:$AR$64,MATCH($F401,사건마스터!$A$5:$A$64,0)),""))</f>
        <v/>
      </c>
      <c r="V401" s="35">
        <f>IF($F401="","",IFERROR(INDEX(사건마스터!$AS$5:$AS$64,MATCH($F401,사건마스터!$A$5:$A$64,0)),""))</f>
        <v/>
      </c>
      <c r="W401" s="35">
        <f>IF($F401="","",IFERROR(INDEX(사건마스터!$AT$5:$AT$64,MATCH($F401,사건마스터!$A$5:$A$64,0)),""))</f>
        <v/>
      </c>
      <c r="X401" s="35">
        <f>IF($F401="","",IFERROR(INDEX(사건마스터!$AU$5:$AU$64,MATCH($F401,사건마스터!$A$5:$A$64,0)),""))</f>
        <v/>
      </c>
      <c r="Y401" s="35">
        <f>IF($F401="","",IFERROR(INDEX(사건마스터!$AV$5:$AV$64,MATCH($F401,사건마스터!$A$5:$A$64,0)),""))</f>
        <v/>
      </c>
      <c r="Z401" s="30">
        <f>IF(COUNTBLANK($J401:$Y401)=16,"",16-COUNTBLANK($J401:$Y401))</f>
        <v/>
      </c>
      <c r="AA401" s="33">
        <f>IF($J401="",MID($AX401,3,255),$J401&amp;$AX401)</f>
        <v/>
      </c>
      <c r="AB401" s="34">
        <f>IF($J401="","",IFERROR(INDEX(코드설정!$D$5:$D$24,MATCH($J401,코드설정!$C$5:$C$24,0)),""))</f>
        <v/>
      </c>
      <c r="AC401" s="36" t="n"/>
      <c r="AD401" s="37" t="n"/>
      <c r="AE401" s="38" t="n"/>
      <c r="AF401" s="30">
        <f>IF(OR($B401="",$C401=""),"",$C401-$B401+1)</f>
        <v/>
      </c>
      <c r="AG401" s="32" t="n"/>
      <c r="AH401" s="36" t="n"/>
      <c r="AJ401">
        <f>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  <c r="AX401">
        <f>AW401&amp;IF($Y401="","",", "&amp;$Y401)</f>
        <v/>
      </c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0">
        <f>IF($F402="","",COUNTIF($F$5:$F402,$F402))</f>
        <v/>
      </c>
      <c r="H402" s="33">
        <f>IF($F402="","",IFERROR(INDEX(사건마스터!$B$5:$B$64,MATCH($F402,사건마스터!$A$5:$A$64,0)),""))</f>
        <v/>
      </c>
      <c r="I402" s="34">
        <f>IF($F402="","",IFERROR(INDEX(사건마스터!$C$5:$C$64,MATCH($F402,사건마스터!$A$5:$A$64,0)),""))</f>
        <v/>
      </c>
      <c r="J402" s="35">
        <f>IF($F402="","",IFERROR(INDEX(사건마스터!$H$5:$H$64,MATCH($F402,사건마스터!$A$5:$A$64,0)),""))</f>
        <v/>
      </c>
      <c r="K402" s="35">
        <f>IF($F402="","",IFERROR(INDEX(사건마스터!$AH$5:$AH$64,MATCH($F402,사건마스터!$A$5:$A$64,0)),""))</f>
        <v/>
      </c>
      <c r="L402" s="35">
        <f>IF($F402="","",IFERROR(INDEX(사건마스터!$AI$5:$AI$64,MATCH($F402,사건마스터!$A$5:$A$64,0)),""))</f>
        <v/>
      </c>
      <c r="M402" s="35">
        <f>IF($F402="","",IFERROR(INDEX(사건마스터!$AJ$5:$AJ$64,MATCH($F402,사건마스터!$A$5:$A$64,0)),""))</f>
        <v/>
      </c>
      <c r="N402" s="35">
        <f>IF($F402="","",IFERROR(INDEX(사건마스터!$AK$5:$AK$64,MATCH($F402,사건마스터!$A$5:$A$64,0)),""))</f>
        <v/>
      </c>
      <c r="O402" s="35">
        <f>IF($F402="","",IFERROR(INDEX(사건마스터!$AL$5:$AL$64,MATCH($F402,사건마스터!$A$5:$A$64,0)),""))</f>
        <v/>
      </c>
      <c r="P402" s="35">
        <f>IF($F402="","",IFERROR(INDEX(사건마스터!$AM$5:$AM$64,MATCH($F402,사건마스터!$A$5:$A$64,0)),""))</f>
        <v/>
      </c>
      <c r="Q402" s="35">
        <f>IF($F402="","",IFERROR(INDEX(사건마스터!$AN$5:$AN$64,MATCH($F402,사건마스터!$A$5:$A$64,0)),""))</f>
        <v/>
      </c>
      <c r="R402" s="35">
        <f>IF($F402="","",IFERROR(INDEX(사건마스터!$AO$5:$AO$64,MATCH($F402,사건마스터!$A$5:$A$64,0)),""))</f>
        <v/>
      </c>
      <c r="S402" s="35">
        <f>IF($F402="","",IFERROR(INDEX(사건마스터!$AP$5:$AP$64,MATCH($F402,사건마스터!$A$5:$A$64,0)),""))</f>
        <v/>
      </c>
      <c r="T402" s="35">
        <f>IF($F402="","",IFERROR(INDEX(사건마스터!$AQ$5:$AQ$64,MATCH($F402,사건마스터!$A$5:$A$64,0)),""))</f>
        <v/>
      </c>
      <c r="U402" s="35">
        <f>IF($F402="","",IFERROR(INDEX(사건마스터!$AR$5:$AR$64,MATCH($F402,사건마스터!$A$5:$A$64,0)),""))</f>
        <v/>
      </c>
      <c r="V402" s="35">
        <f>IF($F402="","",IFERROR(INDEX(사건마스터!$AS$5:$AS$64,MATCH($F402,사건마스터!$A$5:$A$64,0)),""))</f>
        <v/>
      </c>
      <c r="W402" s="35">
        <f>IF($F402="","",IFERROR(INDEX(사건마스터!$AT$5:$AT$64,MATCH($F402,사건마스터!$A$5:$A$64,0)),""))</f>
        <v/>
      </c>
      <c r="X402" s="35">
        <f>IF($F402="","",IFERROR(INDEX(사건마스터!$AU$5:$AU$64,MATCH($F402,사건마스터!$A$5:$A$64,0)),""))</f>
        <v/>
      </c>
      <c r="Y402" s="35">
        <f>IF($F402="","",IFERROR(INDEX(사건마스터!$AV$5:$AV$64,MATCH($F402,사건마스터!$A$5:$A$64,0)),""))</f>
        <v/>
      </c>
      <c r="Z402" s="30">
        <f>IF(COUNTBLANK($J402:$Y402)=16,"",16-COUNTBLANK($J402:$Y402))</f>
        <v/>
      </c>
      <c r="AA402" s="33">
        <f>IF($J402="",MID($AX402,3,255),$J402&amp;$AX402)</f>
        <v/>
      </c>
      <c r="AB402" s="34">
        <f>IF($J402="","",IFERROR(INDEX(코드설정!$D$5:$D$24,MATCH($J402,코드설정!$C$5:$C$24,0)),""))</f>
        <v/>
      </c>
      <c r="AC402" s="36" t="n"/>
      <c r="AD402" s="37" t="n"/>
      <c r="AE402" s="38" t="n"/>
      <c r="AF402" s="30">
        <f>IF(OR($B402="",$C402=""),"",$C402-$B402+1)</f>
        <v/>
      </c>
      <c r="AG402" s="32" t="n"/>
      <c r="AH402" s="36" t="n"/>
      <c r="AJ402">
        <f>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  <c r="AX402">
        <f>AW402&amp;IF($Y402="","",", "&amp;$Y402)</f>
        <v/>
      </c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0">
        <f>IF($F403="","",COUNTIF($F$5:$F403,$F403))</f>
        <v/>
      </c>
      <c r="H403" s="33">
        <f>IF($F403="","",IFERROR(INDEX(사건마스터!$B$5:$B$64,MATCH($F403,사건마스터!$A$5:$A$64,0)),""))</f>
        <v/>
      </c>
      <c r="I403" s="34">
        <f>IF($F403="","",IFERROR(INDEX(사건마스터!$C$5:$C$64,MATCH($F403,사건마스터!$A$5:$A$64,0)),""))</f>
        <v/>
      </c>
      <c r="J403" s="35">
        <f>IF($F403="","",IFERROR(INDEX(사건마스터!$H$5:$H$64,MATCH($F403,사건마스터!$A$5:$A$64,0)),""))</f>
        <v/>
      </c>
      <c r="K403" s="35">
        <f>IF($F403="","",IFERROR(INDEX(사건마스터!$AH$5:$AH$64,MATCH($F403,사건마스터!$A$5:$A$64,0)),""))</f>
        <v/>
      </c>
      <c r="L403" s="35">
        <f>IF($F403="","",IFERROR(INDEX(사건마스터!$AI$5:$AI$64,MATCH($F403,사건마스터!$A$5:$A$64,0)),""))</f>
        <v/>
      </c>
      <c r="M403" s="35">
        <f>IF($F403="","",IFERROR(INDEX(사건마스터!$AJ$5:$AJ$64,MATCH($F403,사건마스터!$A$5:$A$64,0)),""))</f>
        <v/>
      </c>
      <c r="N403" s="35">
        <f>IF($F403="","",IFERROR(INDEX(사건마스터!$AK$5:$AK$64,MATCH($F403,사건마스터!$A$5:$A$64,0)),""))</f>
        <v/>
      </c>
      <c r="O403" s="35">
        <f>IF($F403="","",IFERROR(INDEX(사건마스터!$AL$5:$AL$64,MATCH($F403,사건마스터!$A$5:$A$64,0)),""))</f>
        <v/>
      </c>
      <c r="P403" s="35">
        <f>IF($F403="","",IFERROR(INDEX(사건마스터!$AM$5:$AM$64,MATCH($F403,사건마스터!$A$5:$A$64,0)),""))</f>
        <v/>
      </c>
      <c r="Q403" s="35">
        <f>IF($F403="","",IFERROR(INDEX(사건마스터!$AN$5:$AN$64,MATCH($F403,사건마스터!$A$5:$A$64,0)),""))</f>
        <v/>
      </c>
      <c r="R403" s="35">
        <f>IF($F403="","",IFERROR(INDEX(사건마스터!$AO$5:$AO$64,MATCH($F403,사건마스터!$A$5:$A$64,0)),""))</f>
        <v/>
      </c>
      <c r="S403" s="35">
        <f>IF($F403="","",IFERROR(INDEX(사건마스터!$AP$5:$AP$64,MATCH($F403,사건마스터!$A$5:$A$64,0)),""))</f>
        <v/>
      </c>
      <c r="T403" s="35">
        <f>IF($F403="","",IFERROR(INDEX(사건마스터!$AQ$5:$AQ$64,MATCH($F403,사건마스터!$A$5:$A$64,0)),""))</f>
        <v/>
      </c>
      <c r="U403" s="35">
        <f>IF($F403="","",IFERROR(INDEX(사건마스터!$AR$5:$AR$64,MATCH($F403,사건마스터!$A$5:$A$64,0)),""))</f>
        <v/>
      </c>
      <c r="V403" s="35">
        <f>IF($F403="","",IFERROR(INDEX(사건마스터!$AS$5:$AS$64,MATCH($F403,사건마스터!$A$5:$A$64,0)),""))</f>
        <v/>
      </c>
      <c r="W403" s="35">
        <f>IF($F403="","",IFERROR(INDEX(사건마스터!$AT$5:$AT$64,MATCH($F403,사건마스터!$A$5:$A$64,0)),""))</f>
        <v/>
      </c>
      <c r="X403" s="35">
        <f>IF($F403="","",IFERROR(INDEX(사건마스터!$AU$5:$AU$64,MATCH($F403,사건마스터!$A$5:$A$64,0)),""))</f>
        <v/>
      </c>
      <c r="Y403" s="35">
        <f>IF($F403="","",IFERROR(INDEX(사건마스터!$AV$5:$AV$64,MATCH($F403,사건마스터!$A$5:$A$64,0)),""))</f>
        <v/>
      </c>
      <c r="Z403" s="30">
        <f>IF(COUNTBLANK($J403:$Y403)=16,"",16-COUNTBLANK($J403:$Y403))</f>
        <v/>
      </c>
      <c r="AA403" s="33">
        <f>IF($J403="",MID($AX403,3,255),$J403&amp;$AX403)</f>
        <v/>
      </c>
      <c r="AB403" s="34">
        <f>IF($J403="","",IFERROR(INDEX(코드설정!$D$5:$D$24,MATCH($J403,코드설정!$C$5:$C$24,0)),""))</f>
        <v/>
      </c>
      <c r="AC403" s="36" t="n"/>
      <c r="AD403" s="37" t="n"/>
      <c r="AE403" s="38" t="n"/>
      <c r="AF403" s="30">
        <f>IF(OR($B403="",$C403=""),"",$C403-$B403+1)</f>
        <v/>
      </c>
      <c r="AG403" s="32" t="n"/>
      <c r="AH403" s="36" t="n"/>
      <c r="AJ403">
        <f>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  <c r="AX403">
        <f>AW403&amp;IF($Y403="","",", "&amp;$Y403)</f>
        <v/>
      </c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0">
        <f>IF($F404="","",COUNTIF($F$5:$F404,$F404))</f>
        <v/>
      </c>
      <c r="H404" s="33">
        <f>IF($F404="","",IFERROR(INDEX(사건마스터!$B$5:$B$64,MATCH($F404,사건마스터!$A$5:$A$64,0)),""))</f>
        <v/>
      </c>
      <c r="I404" s="34">
        <f>IF($F404="","",IFERROR(INDEX(사건마스터!$C$5:$C$64,MATCH($F404,사건마스터!$A$5:$A$64,0)),""))</f>
        <v/>
      </c>
      <c r="J404" s="35">
        <f>IF($F404="","",IFERROR(INDEX(사건마스터!$H$5:$H$64,MATCH($F404,사건마스터!$A$5:$A$64,0)),""))</f>
        <v/>
      </c>
      <c r="K404" s="35">
        <f>IF($F404="","",IFERROR(INDEX(사건마스터!$AH$5:$AH$64,MATCH($F404,사건마스터!$A$5:$A$64,0)),""))</f>
        <v/>
      </c>
      <c r="L404" s="35">
        <f>IF($F404="","",IFERROR(INDEX(사건마스터!$AI$5:$AI$64,MATCH($F404,사건마스터!$A$5:$A$64,0)),""))</f>
        <v/>
      </c>
      <c r="M404" s="35">
        <f>IF($F404="","",IFERROR(INDEX(사건마스터!$AJ$5:$AJ$64,MATCH($F404,사건마스터!$A$5:$A$64,0)),""))</f>
        <v/>
      </c>
      <c r="N404" s="35">
        <f>IF($F404="","",IFERROR(INDEX(사건마스터!$AK$5:$AK$64,MATCH($F404,사건마스터!$A$5:$A$64,0)),""))</f>
        <v/>
      </c>
      <c r="O404" s="35">
        <f>IF($F404="","",IFERROR(INDEX(사건마스터!$AL$5:$AL$64,MATCH($F404,사건마스터!$A$5:$A$64,0)),""))</f>
        <v/>
      </c>
      <c r="P404" s="35">
        <f>IF($F404="","",IFERROR(INDEX(사건마스터!$AM$5:$AM$64,MATCH($F404,사건마스터!$A$5:$A$64,0)),""))</f>
        <v/>
      </c>
      <c r="Q404" s="35">
        <f>IF($F404="","",IFERROR(INDEX(사건마스터!$AN$5:$AN$64,MATCH($F404,사건마스터!$A$5:$A$64,0)),""))</f>
        <v/>
      </c>
      <c r="R404" s="35">
        <f>IF($F404="","",IFERROR(INDEX(사건마스터!$AO$5:$AO$64,MATCH($F404,사건마스터!$A$5:$A$64,0)),""))</f>
        <v/>
      </c>
      <c r="S404" s="35">
        <f>IF($F404="","",IFERROR(INDEX(사건마스터!$AP$5:$AP$64,MATCH($F404,사건마스터!$A$5:$A$64,0)),""))</f>
        <v/>
      </c>
      <c r="T404" s="35">
        <f>IF($F404="","",IFERROR(INDEX(사건마스터!$AQ$5:$AQ$64,MATCH($F404,사건마스터!$A$5:$A$64,0)),""))</f>
        <v/>
      </c>
      <c r="U404" s="35">
        <f>IF($F404="","",IFERROR(INDEX(사건마스터!$AR$5:$AR$64,MATCH($F404,사건마스터!$A$5:$A$64,0)),""))</f>
        <v/>
      </c>
      <c r="V404" s="35">
        <f>IF($F404="","",IFERROR(INDEX(사건마스터!$AS$5:$AS$64,MATCH($F404,사건마스터!$A$5:$A$64,0)),""))</f>
        <v/>
      </c>
      <c r="W404" s="35">
        <f>IF($F404="","",IFERROR(INDEX(사건마스터!$AT$5:$AT$64,MATCH($F404,사건마스터!$A$5:$A$64,0)),""))</f>
        <v/>
      </c>
      <c r="X404" s="35">
        <f>IF($F404="","",IFERROR(INDEX(사건마스터!$AU$5:$AU$64,MATCH($F404,사건마스터!$A$5:$A$64,0)),""))</f>
        <v/>
      </c>
      <c r="Y404" s="35">
        <f>IF($F404="","",IFERROR(INDEX(사건마스터!$AV$5:$AV$64,MATCH($F404,사건마스터!$A$5:$A$64,0)),""))</f>
        <v/>
      </c>
      <c r="Z404" s="30">
        <f>IF(COUNTBLANK($J404:$Y404)=16,"",16-COUNTBLANK($J404:$Y404))</f>
        <v/>
      </c>
      <c r="AA404" s="33">
        <f>IF($J404="",MID($AX404,3,255),$J404&amp;$AX404)</f>
        <v/>
      </c>
      <c r="AB404" s="34">
        <f>IF($J404="","",IFERROR(INDEX(코드설정!$D$5:$D$24,MATCH($J404,코드설정!$C$5:$C$24,0)),""))</f>
        <v/>
      </c>
      <c r="AC404" s="36" t="n"/>
      <c r="AD404" s="37" t="n"/>
      <c r="AE404" s="38" t="n"/>
      <c r="AF404" s="30">
        <f>IF(OR($B404="",$C404=""),"",$C404-$B404+1)</f>
        <v/>
      </c>
      <c r="AG404" s="32" t="n"/>
      <c r="AH404" s="36" t="n"/>
      <c r="AJ404">
        <f>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  <c r="AX404">
        <f>AW404&amp;IF($Y404="","",", "&amp;$Y404)</f>
        <v/>
      </c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0">
        <f>IF($F405="","",COUNTIF($F$5:$F405,$F405))</f>
        <v/>
      </c>
      <c r="H405" s="33">
        <f>IF($F405="","",IFERROR(INDEX(사건마스터!$B$5:$B$64,MATCH($F405,사건마스터!$A$5:$A$64,0)),""))</f>
        <v/>
      </c>
      <c r="I405" s="34">
        <f>IF($F405="","",IFERROR(INDEX(사건마스터!$C$5:$C$64,MATCH($F405,사건마스터!$A$5:$A$64,0)),""))</f>
        <v/>
      </c>
      <c r="J405" s="35">
        <f>IF($F405="","",IFERROR(INDEX(사건마스터!$H$5:$H$64,MATCH($F405,사건마스터!$A$5:$A$64,0)),""))</f>
        <v/>
      </c>
      <c r="K405" s="35">
        <f>IF($F405="","",IFERROR(INDEX(사건마스터!$AH$5:$AH$64,MATCH($F405,사건마스터!$A$5:$A$64,0)),""))</f>
        <v/>
      </c>
      <c r="L405" s="35">
        <f>IF($F405="","",IFERROR(INDEX(사건마스터!$AI$5:$AI$64,MATCH($F405,사건마스터!$A$5:$A$64,0)),""))</f>
        <v/>
      </c>
      <c r="M405" s="35">
        <f>IF($F405="","",IFERROR(INDEX(사건마스터!$AJ$5:$AJ$64,MATCH($F405,사건마스터!$A$5:$A$64,0)),""))</f>
        <v/>
      </c>
      <c r="N405" s="35">
        <f>IF($F405="","",IFERROR(INDEX(사건마스터!$AK$5:$AK$64,MATCH($F405,사건마스터!$A$5:$A$64,0)),""))</f>
        <v/>
      </c>
      <c r="O405" s="35">
        <f>IF($F405="","",IFERROR(INDEX(사건마스터!$AL$5:$AL$64,MATCH($F405,사건마스터!$A$5:$A$64,0)),""))</f>
        <v/>
      </c>
      <c r="P405" s="35">
        <f>IF($F405="","",IFERROR(INDEX(사건마스터!$AM$5:$AM$64,MATCH($F405,사건마스터!$A$5:$A$64,0)),""))</f>
        <v/>
      </c>
      <c r="Q405" s="35">
        <f>IF($F405="","",IFERROR(INDEX(사건마스터!$AN$5:$AN$64,MATCH($F405,사건마스터!$A$5:$A$64,0)),""))</f>
        <v/>
      </c>
      <c r="R405" s="35">
        <f>IF($F405="","",IFERROR(INDEX(사건마스터!$AO$5:$AO$64,MATCH($F405,사건마스터!$A$5:$A$64,0)),""))</f>
        <v/>
      </c>
      <c r="S405" s="35">
        <f>IF($F405="","",IFERROR(INDEX(사건마스터!$AP$5:$AP$64,MATCH($F405,사건마스터!$A$5:$A$64,0)),""))</f>
        <v/>
      </c>
      <c r="T405" s="35">
        <f>IF($F405="","",IFERROR(INDEX(사건마스터!$AQ$5:$AQ$64,MATCH($F405,사건마스터!$A$5:$A$64,0)),""))</f>
        <v/>
      </c>
      <c r="U405" s="35">
        <f>IF($F405="","",IFERROR(INDEX(사건마스터!$AR$5:$AR$64,MATCH($F405,사건마스터!$A$5:$A$64,0)),""))</f>
        <v/>
      </c>
      <c r="V405" s="35">
        <f>IF($F405="","",IFERROR(INDEX(사건마스터!$AS$5:$AS$64,MATCH($F405,사건마스터!$A$5:$A$64,0)),""))</f>
        <v/>
      </c>
      <c r="W405" s="35">
        <f>IF($F405="","",IFERROR(INDEX(사건마스터!$AT$5:$AT$64,MATCH($F405,사건마스터!$A$5:$A$64,0)),""))</f>
        <v/>
      </c>
      <c r="X405" s="35">
        <f>IF($F405="","",IFERROR(INDEX(사건마스터!$AU$5:$AU$64,MATCH($F405,사건마스터!$A$5:$A$64,0)),""))</f>
        <v/>
      </c>
      <c r="Y405" s="35">
        <f>IF($F405="","",IFERROR(INDEX(사건마스터!$AV$5:$AV$64,MATCH($F405,사건마스터!$A$5:$A$64,0)),""))</f>
        <v/>
      </c>
      <c r="Z405" s="30">
        <f>IF(COUNTBLANK($J405:$Y405)=16,"",16-COUNTBLANK($J405:$Y405))</f>
        <v/>
      </c>
      <c r="AA405" s="33">
        <f>IF($J405="",MID($AX405,3,255),$J405&amp;$AX405)</f>
        <v/>
      </c>
      <c r="AB405" s="34">
        <f>IF($J405="","",IFERROR(INDEX(코드설정!$D$5:$D$24,MATCH($J405,코드설정!$C$5:$C$24,0)),""))</f>
        <v/>
      </c>
      <c r="AC405" s="36" t="n"/>
      <c r="AD405" s="37" t="n"/>
      <c r="AE405" s="38" t="n"/>
      <c r="AF405" s="30">
        <f>IF(OR($B405="",$C405=""),"",$C405-$B405+1)</f>
        <v/>
      </c>
      <c r="AG405" s="32" t="n"/>
      <c r="AH405" s="36" t="n"/>
      <c r="AJ405">
        <f>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  <c r="AX405">
        <f>AW405&amp;IF($Y405="","",", "&amp;$Y405)</f>
        <v/>
      </c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0">
        <f>IF($F406="","",COUNTIF($F$5:$F406,$F406))</f>
        <v/>
      </c>
      <c r="H406" s="33">
        <f>IF($F406="","",IFERROR(INDEX(사건마스터!$B$5:$B$64,MATCH($F406,사건마스터!$A$5:$A$64,0)),""))</f>
        <v/>
      </c>
      <c r="I406" s="34">
        <f>IF($F406="","",IFERROR(INDEX(사건마스터!$C$5:$C$64,MATCH($F406,사건마스터!$A$5:$A$64,0)),""))</f>
        <v/>
      </c>
      <c r="J406" s="35">
        <f>IF($F406="","",IFERROR(INDEX(사건마스터!$H$5:$H$64,MATCH($F406,사건마스터!$A$5:$A$64,0)),""))</f>
        <v/>
      </c>
      <c r="K406" s="35">
        <f>IF($F406="","",IFERROR(INDEX(사건마스터!$AH$5:$AH$64,MATCH($F406,사건마스터!$A$5:$A$64,0)),""))</f>
        <v/>
      </c>
      <c r="L406" s="35">
        <f>IF($F406="","",IFERROR(INDEX(사건마스터!$AI$5:$AI$64,MATCH($F406,사건마스터!$A$5:$A$64,0)),""))</f>
        <v/>
      </c>
      <c r="M406" s="35">
        <f>IF($F406="","",IFERROR(INDEX(사건마스터!$AJ$5:$AJ$64,MATCH($F406,사건마스터!$A$5:$A$64,0)),""))</f>
        <v/>
      </c>
      <c r="N406" s="35">
        <f>IF($F406="","",IFERROR(INDEX(사건마스터!$AK$5:$AK$64,MATCH($F406,사건마스터!$A$5:$A$64,0)),""))</f>
        <v/>
      </c>
      <c r="O406" s="35">
        <f>IF($F406="","",IFERROR(INDEX(사건마스터!$AL$5:$AL$64,MATCH($F406,사건마스터!$A$5:$A$64,0)),""))</f>
        <v/>
      </c>
      <c r="P406" s="35">
        <f>IF($F406="","",IFERROR(INDEX(사건마스터!$AM$5:$AM$64,MATCH($F406,사건마스터!$A$5:$A$64,0)),""))</f>
        <v/>
      </c>
      <c r="Q406" s="35">
        <f>IF($F406="","",IFERROR(INDEX(사건마스터!$AN$5:$AN$64,MATCH($F406,사건마스터!$A$5:$A$64,0)),""))</f>
        <v/>
      </c>
      <c r="R406" s="35">
        <f>IF($F406="","",IFERROR(INDEX(사건마스터!$AO$5:$AO$64,MATCH($F406,사건마스터!$A$5:$A$64,0)),""))</f>
        <v/>
      </c>
      <c r="S406" s="35">
        <f>IF($F406="","",IFERROR(INDEX(사건마스터!$AP$5:$AP$64,MATCH($F406,사건마스터!$A$5:$A$64,0)),""))</f>
        <v/>
      </c>
      <c r="T406" s="35">
        <f>IF($F406="","",IFERROR(INDEX(사건마스터!$AQ$5:$AQ$64,MATCH($F406,사건마스터!$A$5:$A$64,0)),""))</f>
        <v/>
      </c>
      <c r="U406" s="35">
        <f>IF($F406="","",IFERROR(INDEX(사건마스터!$AR$5:$AR$64,MATCH($F406,사건마스터!$A$5:$A$64,0)),""))</f>
        <v/>
      </c>
      <c r="V406" s="35">
        <f>IF($F406="","",IFERROR(INDEX(사건마스터!$AS$5:$AS$64,MATCH($F406,사건마스터!$A$5:$A$64,0)),""))</f>
        <v/>
      </c>
      <c r="W406" s="35">
        <f>IF($F406="","",IFERROR(INDEX(사건마스터!$AT$5:$AT$64,MATCH($F406,사건마스터!$A$5:$A$64,0)),""))</f>
        <v/>
      </c>
      <c r="X406" s="35">
        <f>IF($F406="","",IFERROR(INDEX(사건마스터!$AU$5:$AU$64,MATCH($F406,사건마스터!$A$5:$A$64,0)),""))</f>
        <v/>
      </c>
      <c r="Y406" s="35">
        <f>IF($F406="","",IFERROR(INDEX(사건마스터!$AV$5:$AV$64,MATCH($F406,사건마스터!$A$5:$A$64,0)),""))</f>
        <v/>
      </c>
      <c r="Z406" s="30">
        <f>IF(COUNTBLANK($J406:$Y406)=16,"",16-COUNTBLANK($J406:$Y406))</f>
        <v/>
      </c>
      <c r="AA406" s="33">
        <f>IF($J406="",MID($AX406,3,255),$J406&amp;$AX406)</f>
        <v/>
      </c>
      <c r="AB406" s="34">
        <f>IF($J406="","",IFERROR(INDEX(코드설정!$D$5:$D$24,MATCH($J406,코드설정!$C$5:$C$24,0)),""))</f>
        <v/>
      </c>
      <c r="AC406" s="36" t="n"/>
      <c r="AD406" s="37" t="n"/>
      <c r="AE406" s="38" t="n"/>
      <c r="AF406" s="30">
        <f>IF(OR($B406="",$C406=""),"",$C406-$B406+1)</f>
        <v/>
      </c>
      <c r="AG406" s="32" t="n"/>
      <c r="AH406" s="36" t="n"/>
      <c r="AJ406">
        <f>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  <c r="AX406">
        <f>AW406&amp;IF($Y406="","",", "&amp;$Y406)</f>
        <v/>
      </c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0">
        <f>IF($F407="","",COUNTIF($F$5:$F407,$F407))</f>
        <v/>
      </c>
      <c r="H407" s="33">
        <f>IF($F407="","",IFERROR(INDEX(사건마스터!$B$5:$B$64,MATCH($F407,사건마스터!$A$5:$A$64,0)),""))</f>
        <v/>
      </c>
      <c r="I407" s="34">
        <f>IF($F407="","",IFERROR(INDEX(사건마스터!$C$5:$C$64,MATCH($F407,사건마스터!$A$5:$A$64,0)),""))</f>
        <v/>
      </c>
      <c r="J407" s="35">
        <f>IF($F407="","",IFERROR(INDEX(사건마스터!$H$5:$H$64,MATCH($F407,사건마스터!$A$5:$A$64,0)),""))</f>
        <v/>
      </c>
      <c r="K407" s="35">
        <f>IF($F407="","",IFERROR(INDEX(사건마스터!$AH$5:$AH$64,MATCH($F407,사건마스터!$A$5:$A$64,0)),""))</f>
        <v/>
      </c>
      <c r="L407" s="35">
        <f>IF($F407="","",IFERROR(INDEX(사건마스터!$AI$5:$AI$64,MATCH($F407,사건마스터!$A$5:$A$64,0)),""))</f>
        <v/>
      </c>
      <c r="M407" s="35">
        <f>IF($F407="","",IFERROR(INDEX(사건마스터!$AJ$5:$AJ$64,MATCH($F407,사건마스터!$A$5:$A$64,0)),""))</f>
        <v/>
      </c>
      <c r="N407" s="35">
        <f>IF($F407="","",IFERROR(INDEX(사건마스터!$AK$5:$AK$64,MATCH($F407,사건마스터!$A$5:$A$64,0)),""))</f>
        <v/>
      </c>
      <c r="O407" s="35">
        <f>IF($F407="","",IFERROR(INDEX(사건마스터!$AL$5:$AL$64,MATCH($F407,사건마스터!$A$5:$A$64,0)),""))</f>
        <v/>
      </c>
      <c r="P407" s="35">
        <f>IF($F407="","",IFERROR(INDEX(사건마스터!$AM$5:$AM$64,MATCH($F407,사건마스터!$A$5:$A$64,0)),""))</f>
        <v/>
      </c>
      <c r="Q407" s="35">
        <f>IF($F407="","",IFERROR(INDEX(사건마스터!$AN$5:$AN$64,MATCH($F407,사건마스터!$A$5:$A$64,0)),""))</f>
        <v/>
      </c>
      <c r="R407" s="35">
        <f>IF($F407="","",IFERROR(INDEX(사건마스터!$AO$5:$AO$64,MATCH($F407,사건마스터!$A$5:$A$64,0)),""))</f>
        <v/>
      </c>
      <c r="S407" s="35">
        <f>IF($F407="","",IFERROR(INDEX(사건마스터!$AP$5:$AP$64,MATCH($F407,사건마스터!$A$5:$A$64,0)),""))</f>
        <v/>
      </c>
      <c r="T407" s="35">
        <f>IF($F407="","",IFERROR(INDEX(사건마스터!$AQ$5:$AQ$64,MATCH($F407,사건마스터!$A$5:$A$64,0)),""))</f>
        <v/>
      </c>
      <c r="U407" s="35">
        <f>IF($F407="","",IFERROR(INDEX(사건마스터!$AR$5:$AR$64,MATCH($F407,사건마스터!$A$5:$A$64,0)),""))</f>
        <v/>
      </c>
      <c r="V407" s="35">
        <f>IF($F407="","",IFERROR(INDEX(사건마스터!$AS$5:$AS$64,MATCH($F407,사건마스터!$A$5:$A$64,0)),""))</f>
        <v/>
      </c>
      <c r="W407" s="35">
        <f>IF($F407="","",IFERROR(INDEX(사건마스터!$AT$5:$AT$64,MATCH($F407,사건마스터!$A$5:$A$64,0)),""))</f>
        <v/>
      </c>
      <c r="X407" s="35">
        <f>IF($F407="","",IFERROR(INDEX(사건마스터!$AU$5:$AU$64,MATCH($F407,사건마스터!$A$5:$A$64,0)),""))</f>
        <v/>
      </c>
      <c r="Y407" s="35">
        <f>IF($F407="","",IFERROR(INDEX(사건마스터!$AV$5:$AV$64,MATCH($F407,사건마스터!$A$5:$A$64,0)),""))</f>
        <v/>
      </c>
      <c r="Z407" s="30">
        <f>IF(COUNTBLANK($J407:$Y407)=16,"",16-COUNTBLANK($J407:$Y407))</f>
        <v/>
      </c>
      <c r="AA407" s="33">
        <f>IF($J407="",MID($AX407,3,255),$J407&amp;$AX407)</f>
        <v/>
      </c>
      <c r="AB407" s="34">
        <f>IF($J407="","",IFERROR(INDEX(코드설정!$D$5:$D$24,MATCH($J407,코드설정!$C$5:$C$24,0)),""))</f>
        <v/>
      </c>
      <c r="AC407" s="36" t="n"/>
      <c r="AD407" s="37" t="n"/>
      <c r="AE407" s="38" t="n"/>
      <c r="AF407" s="30">
        <f>IF(OR($B407="",$C407=""),"",$C407-$B407+1)</f>
        <v/>
      </c>
      <c r="AG407" s="32" t="n"/>
      <c r="AH407" s="36" t="n"/>
      <c r="AJ407">
        <f>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  <c r="AX407">
        <f>AW407&amp;IF($Y407="","",", "&amp;$Y407)</f>
        <v/>
      </c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0">
        <f>IF($F408="","",COUNTIF($F$5:$F408,$F408))</f>
        <v/>
      </c>
      <c r="H408" s="33">
        <f>IF($F408="","",IFERROR(INDEX(사건마스터!$B$5:$B$64,MATCH($F408,사건마스터!$A$5:$A$64,0)),""))</f>
        <v/>
      </c>
      <c r="I408" s="34">
        <f>IF($F408="","",IFERROR(INDEX(사건마스터!$C$5:$C$64,MATCH($F408,사건마스터!$A$5:$A$64,0)),""))</f>
        <v/>
      </c>
      <c r="J408" s="35">
        <f>IF($F408="","",IFERROR(INDEX(사건마스터!$H$5:$H$64,MATCH($F408,사건마스터!$A$5:$A$64,0)),""))</f>
        <v/>
      </c>
      <c r="K408" s="35">
        <f>IF($F408="","",IFERROR(INDEX(사건마스터!$AH$5:$AH$64,MATCH($F408,사건마스터!$A$5:$A$64,0)),""))</f>
        <v/>
      </c>
      <c r="L408" s="35">
        <f>IF($F408="","",IFERROR(INDEX(사건마스터!$AI$5:$AI$64,MATCH($F408,사건마스터!$A$5:$A$64,0)),""))</f>
        <v/>
      </c>
      <c r="M408" s="35">
        <f>IF($F408="","",IFERROR(INDEX(사건마스터!$AJ$5:$AJ$64,MATCH($F408,사건마스터!$A$5:$A$64,0)),""))</f>
        <v/>
      </c>
      <c r="N408" s="35">
        <f>IF($F408="","",IFERROR(INDEX(사건마스터!$AK$5:$AK$64,MATCH($F408,사건마스터!$A$5:$A$64,0)),""))</f>
        <v/>
      </c>
      <c r="O408" s="35">
        <f>IF($F408="","",IFERROR(INDEX(사건마스터!$AL$5:$AL$64,MATCH($F408,사건마스터!$A$5:$A$64,0)),""))</f>
        <v/>
      </c>
      <c r="P408" s="35">
        <f>IF($F408="","",IFERROR(INDEX(사건마스터!$AM$5:$AM$64,MATCH($F408,사건마스터!$A$5:$A$64,0)),""))</f>
        <v/>
      </c>
      <c r="Q408" s="35">
        <f>IF($F408="","",IFERROR(INDEX(사건마스터!$AN$5:$AN$64,MATCH($F408,사건마스터!$A$5:$A$64,0)),""))</f>
        <v/>
      </c>
      <c r="R408" s="35">
        <f>IF($F408="","",IFERROR(INDEX(사건마스터!$AO$5:$AO$64,MATCH($F408,사건마스터!$A$5:$A$64,0)),""))</f>
        <v/>
      </c>
      <c r="S408" s="35">
        <f>IF($F408="","",IFERROR(INDEX(사건마스터!$AP$5:$AP$64,MATCH($F408,사건마스터!$A$5:$A$64,0)),""))</f>
        <v/>
      </c>
      <c r="T408" s="35">
        <f>IF($F408="","",IFERROR(INDEX(사건마스터!$AQ$5:$AQ$64,MATCH($F408,사건마스터!$A$5:$A$64,0)),""))</f>
        <v/>
      </c>
      <c r="U408" s="35">
        <f>IF($F408="","",IFERROR(INDEX(사건마스터!$AR$5:$AR$64,MATCH($F408,사건마스터!$A$5:$A$64,0)),""))</f>
        <v/>
      </c>
      <c r="V408" s="35">
        <f>IF($F408="","",IFERROR(INDEX(사건마스터!$AS$5:$AS$64,MATCH($F408,사건마스터!$A$5:$A$64,0)),""))</f>
        <v/>
      </c>
      <c r="W408" s="35">
        <f>IF($F408="","",IFERROR(INDEX(사건마스터!$AT$5:$AT$64,MATCH($F408,사건마스터!$A$5:$A$64,0)),""))</f>
        <v/>
      </c>
      <c r="X408" s="35">
        <f>IF($F408="","",IFERROR(INDEX(사건마스터!$AU$5:$AU$64,MATCH($F408,사건마스터!$A$5:$A$64,0)),""))</f>
        <v/>
      </c>
      <c r="Y408" s="35">
        <f>IF($F408="","",IFERROR(INDEX(사건마스터!$AV$5:$AV$64,MATCH($F408,사건마스터!$A$5:$A$64,0)),""))</f>
        <v/>
      </c>
      <c r="Z408" s="30">
        <f>IF(COUNTBLANK($J408:$Y408)=16,"",16-COUNTBLANK($J408:$Y408))</f>
        <v/>
      </c>
      <c r="AA408" s="33">
        <f>IF($J408="",MID($AX408,3,255),$J408&amp;$AX408)</f>
        <v/>
      </c>
      <c r="AB408" s="34">
        <f>IF($J408="","",IFERROR(INDEX(코드설정!$D$5:$D$24,MATCH($J408,코드설정!$C$5:$C$24,0)),""))</f>
        <v/>
      </c>
      <c r="AC408" s="36" t="n"/>
      <c r="AD408" s="37" t="n"/>
      <c r="AE408" s="38" t="n"/>
      <c r="AF408" s="30">
        <f>IF(OR($B408="",$C408=""),"",$C408-$B408+1)</f>
        <v/>
      </c>
      <c r="AG408" s="32" t="n"/>
      <c r="AH408" s="36" t="n"/>
      <c r="AJ408">
        <f>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  <c r="AX408">
        <f>AW408&amp;IF($Y408="","",", "&amp;$Y408)</f>
        <v/>
      </c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0">
        <f>IF($F409="","",COUNTIF($F$5:$F409,$F409))</f>
        <v/>
      </c>
      <c r="H409" s="33">
        <f>IF($F409="","",IFERROR(INDEX(사건마스터!$B$5:$B$64,MATCH($F409,사건마스터!$A$5:$A$64,0)),""))</f>
        <v/>
      </c>
      <c r="I409" s="34">
        <f>IF($F409="","",IFERROR(INDEX(사건마스터!$C$5:$C$64,MATCH($F409,사건마스터!$A$5:$A$64,0)),""))</f>
        <v/>
      </c>
      <c r="J409" s="35">
        <f>IF($F409="","",IFERROR(INDEX(사건마스터!$H$5:$H$64,MATCH($F409,사건마스터!$A$5:$A$64,0)),""))</f>
        <v/>
      </c>
      <c r="K409" s="35">
        <f>IF($F409="","",IFERROR(INDEX(사건마스터!$AH$5:$AH$64,MATCH($F409,사건마스터!$A$5:$A$64,0)),""))</f>
        <v/>
      </c>
      <c r="L409" s="35">
        <f>IF($F409="","",IFERROR(INDEX(사건마스터!$AI$5:$AI$64,MATCH($F409,사건마스터!$A$5:$A$64,0)),""))</f>
        <v/>
      </c>
      <c r="M409" s="35">
        <f>IF($F409="","",IFERROR(INDEX(사건마스터!$AJ$5:$AJ$64,MATCH($F409,사건마스터!$A$5:$A$64,0)),""))</f>
        <v/>
      </c>
      <c r="N409" s="35">
        <f>IF($F409="","",IFERROR(INDEX(사건마스터!$AK$5:$AK$64,MATCH($F409,사건마스터!$A$5:$A$64,0)),""))</f>
        <v/>
      </c>
      <c r="O409" s="35">
        <f>IF($F409="","",IFERROR(INDEX(사건마스터!$AL$5:$AL$64,MATCH($F409,사건마스터!$A$5:$A$64,0)),""))</f>
        <v/>
      </c>
      <c r="P409" s="35">
        <f>IF($F409="","",IFERROR(INDEX(사건마스터!$AM$5:$AM$64,MATCH($F409,사건마스터!$A$5:$A$64,0)),""))</f>
        <v/>
      </c>
      <c r="Q409" s="35">
        <f>IF($F409="","",IFERROR(INDEX(사건마스터!$AN$5:$AN$64,MATCH($F409,사건마스터!$A$5:$A$64,0)),""))</f>
        <v/>
      </c>
      <c r="R409" s="35">
        <f>IF($F409="","",IFERROR(INDEX(사건마스터!$AO$5:$AO$64,MATCH($F409,사건마스터!$A$5:$A$64,0)),""))</f>
        <v/>
      </c>
      <c r="S409" s="35">
        <f>IF($F409="","",IFERROR(INDEX(사건마스터!$AP$5:$AP$64,MATCH($F409,사건마스터!$A$5:$A$64,0)),""))</f>
        <v/>
      </c>
      <c r="T409" s="35">
        <f>IF($F409="","",IFERROR(INDEX(사건마스터!$AQ$5:$AQ$64,MATCH($F409,사건마스터!$A$5:$A$64,0)),""))</f>
        <v/>
      </c>
      <c r="U409" s="35">
        <f>IF($F409="","",IFERROR(INDEX(사건마스터!$AR$5:$AR$64,MATCH($F409,사건마스터!$A$5:$A$64,0)),""))</f>
        <v/>
      </c>
      <c r="V409" s="35">
        <f>IF($F409="","",IFERROR(INDEX(사건마스터!$AS$5:$AS$64,MATCH($F409,사건마스터!$A$5:$A$64,0)),""))</f>
        <v/>
      </c>
      <c r="W409" s="35">
        <f>IF($F409="","",IFERROR(INDEX(사건마스터!$AT$5:$AT$64,MATCH($F409,사건마스터!$A$5:$A$64,0)),""))</f>
        <v/>
      </c>
      <c r="X409" s="35">
        <f>IF($F409="","",IFERROR(INDEX(사건마스터!$AU$5:$AU$64,MATCH($F409,사건마스터!$A$5:$A$64,0)),""))</f>
        <v/>
      </c>
      <c r="Y409" s="35">
        <f>IF($F409="","",IFERROR(INDEX(사건마스터!$AV$5:$AV$64,MATCH($F409,사건마스터!$A$5:$A$64,0)),""))</f>
        <v/>
      </c>
      <c r="Z409" s="30">
        <f>IF(COUNTBLANK($J409:$Y409)=16,"",16-COUNTBLANK($J409:$Y409))</f>
        <v/>
      </c>
      <c r="AA409" s="33">
        <f>IF($J409="",MID($AX409,3,255),$J409&amp;$AX409)</f>
        <v/>
      </c>
      <c r="AB409" s="34">
        <f>IF($J409="","",IFERROR(INDEX(코드설정!$D$5:$D$24,MATCH($J409,코드설정!$C$5:$C$24,0)),""))</f>
        <v/>
      </c>
      <c r="AC409" s="36" t="n"/>
      <c r="AD409" s="37" t="n"/>
      <c r="AE409" s="38" t="n"/>
      <c r="AF409" s="30">
        <f>IF(OR($B409="",$C409=""),"",$C409-$B409+1)</f>
        <v/>
      </c>
      <c r="AG409" s="32" t="n"/>
      <c r="AH409" s="36" t="n"/>
      <c r="AJ409">
        <f>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  <c r="AX409">
        <f>AW409&amp;IF($Y409="","",", "&amp;$Y409)</f>
        <v/>
      </c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0">
        <f>IF($F410="","",COUNTIF($F$5:$F410,$F410))</f>
        <v/>
      </c>
      <c r="H410" s="33">
        <f>IF($F410="","",IFERROR(INDEX(사건마스터!$B$5:$B$64,MATCH($F410,사건마스터!$A$5:$A$64,0)),""))</f>
        <v/>
      </c>
      <c r="I410" s="34">
        <f>IF($F410="","",IFERROR(INDEX(사건마스터!$C$5:$C$64,MATCH($F410,사건마스터!$A$5:$A$64,0)),""))</f>
        <v/>
      </c>
      <c r="J410" s="35">
        <f>IF($F410="","",IFERROR(INDEX(사건마스터!$H$5:$H$64,MATCH($F410,사건마스터!$A$5:$A$64,0)),""))</f>
        <v/>
      </c>
      <c r="K410" s="35">
        <f>IF($F410="","",IFERROR(INDEX(사건마스터!$AH$5:$AH$64,MATCH($F410,사건마스터!$A$5:$A$64,0)),""))</f>
        <v/>
      </c>
      <c r="L410" s="35">
        <f>IF($F410="","",IFERROR(INDEX(사건마스터!$AI$5:$AI$64,MATCH($F410,사건마스터!$A$5:$A$64,0)),""))</f>
        <v/>
      </c>
      <c r="M410" s="35">
        <f>IF($F410="","",IFERROR(INDEX(사건마스터!$AJ$5:$AJ$64,MATCH($F410,사건마스터!$A$5:$A$64,0)),""))</f>
        <v/>
      </c>
      <c r="N410" s="35">
        <f>IF($F410="","",IFERROR(INDEX(사건마스터!$AK$5:$AK$64,MATCH($F410,사건마스터!$A$5:$A$64,0)),""))</f>
        <v/>
      </c>
      <c r="O410" s="35">
        <f>IF($F410="","",IFERROR(INDEX(사건마스터!$AL$5:$AL$64,MATCH($F410,사건마스터!$A$5:$A$64,0)),""))</f>
        <v/>
      </c>
      <c r="P410" s="35">
        <f>IF($F410="","",IFERROR(INDEX(사건마스터!$AM$5:$AM$64,MATCH($F410,사건마스터!$A$5:$A$64,0)),""))</f>
        <v/>
      </c>
      <c r="Q410" s="35">
        <f>IF($F410="","",IFERROR(INDEX(사건마스터!$AN$5:$AN$64,MATCH($F410,사건마스터!$A$5:$A$64,0)),""))</f>
        <v/>
      </c>
      <c r="R410" s="35">
        <f>IF($F410="","",IFERROR(INDEX(사건마스터!$AO$5:$AO$64,MATCH($F410,사건마스터!$A$5:$A$64,0)),""))</f>
        <v/>
      </c>
      <c r="S410" s="35">
        <f>IF($F410="","",IFERROR(INDEX(사건마스터!$AP$5:$AP$64,MATCH($F410,사건마스터!$A$5:$A$64,0)),""))</f>
        <v/>
      </c>
      <c r="T410" s="35">
        <f>IF($F410="","",IFERROR(INDEX(사건마스터!$AQ$5:$AQ$64,MATCH($F410,사건마스터!$A$5:$A$64,0)),""))</f>
        <v/>
      </c>
      <c r="U410" s="35">
        <f>IF($F410="","",IFERROR(INDEX(사건마스터!$AR$5:$AR$64,MATCH($F410,사건마스터!$A$5:$A$64,0)),""))</f>
        <v/>
      </c>
      <c r="V410" s="35">
        <f>IF($F410="","",IFERROR(INDEX(사건마스터!$AS$5:$AS$64,MATCH($F410,사건마스터!$A$5:$A$64,0)),""))</f>
        <v/>
      </c>
      <c r="W410" s="35">
        <f>IF($F410="","",IFERROR(INDEX(사건마스터!$AT$5:$AT$64,MATCH($F410,사건마스터!$A$5:$A$64,0)),""))</f>
        <v/>
      </c>
      <c r="X410" s="35">
        <f>IF($F410="","",IFERROR(INDEX(사건마스터!$AU$5:$AU$64,MATCH($F410,사건마스터!$A$5:$A$64,0)),""))</f>
        <v/>
      </c>
      <c r="Y410" s="35">
        <f>IF($F410="","",IFERROR(INDEX(사건마스터!$AV$5:$AV$64,MATCH($F410,사건마스터!$A$5:$A$64,0)),""))</f>
        <v/>
      </c>
      <c r="Z410" s="30">
        <f>IF(COUNTBLANK($J410:$Y410)=16,"",16-COUNTBLANK($J410:$Y410))</f>
        <v/>
      </c>
      <c r="AA410" s="33">
        <f>IF($J410="",MID($AX410,3,255),$J410&amp;$AX410)</f>
        <v/>
      </c>
      <c r="AB410" s="34">
        <f>IF($J410="","",IFERROR(INDEX(코드설정!$D$5:$D$24,MATCH($J410,코드설정!$C$5:$C$24,0)),""))</f>
        <v/>
      </c>
      <c r="AC410" s="36" t="n"/>
      <c r="AD410" s="37" t="n"/>
      <c r="AE410" s="38" t="n"/>
      <c r="AF410" s="30">
        <f>IF(OR($B410="",$C410=""),"",$C410-$B410+1)</f>
        <v/>
      </c>
      <c r="AG410" s="32" t="n"/>
      <c r="AH410" s="36" t="n"/>
      <c r="AJ410">
        <f>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  <c r="AX410">
        <f>AW410&amp;IF($Y410="","",", "&amp;$Y410)</f>
        <v/>
      </c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0">
        <f>IF($F411="","",COUNTIF($F$5:$F411,$F411))</f>
        <v/>
      </c>
      <c r="H411" s="33">
        <f>IF($F411="","",IFERROR(INDEX(사건마스터!$B$5:$B$64,MATCH($F411,사건마스터!$A$5:$A$64,0)),""))</f>
        <v/>
      </c>
      <c r="I411" s="34">
        <f>IF($F411="","",IFERROR(INDEX(사건마스터!$C$5:$C$64,MATCH($F411,사건마스터!$A$5:$A$64,0)),""))</f>
        <v/>
      </c>
      <c r="J411" s="35">
        <f>IF($F411="","",IFERROR(INDEX(사건마스터!$H$5:$H$64,MATCH($F411,사건마스터!$A$5:$A$64,0)),""))</f>
        <v/>
      </c>
      <c r="K411" s="35">
        <f>IF($F411="","",IFERROR(INDEX(사건마스터!$AH$5:$AH$64,MATCH($F411,사건마스터!$A$5:$A$64,0)),""))</f>
        <v/>
      </c>
      <c r="L411" s="35">
        <f>IF($F411="","",IFERROR(INDEX(사건마스터!$AI$5:$AI$64,MATCH($F411,사건마스터!$A$5:$A$64,0)),""))</f>
        <v/>
      </c>
      <c r="M411" s="35">
        <f>IF($F411="","",IFERROR(INDEX(사건마스터!$AJ$5:$AJ$64,MATCH($F411,사건마스터!$A$5:$A$64,0)),""))</f>
        <v/>
      </c>
      <c r="N411" s="35">
        <f>IF($F411="","",IFERROR(INDEX(사건마스터!$AK$5:$AK$64,MATCH($F411,사건마스터!$A$5:$A$64,0)),""))</f>
        <v/>
      </c>
      <c r="O411" s="35">
        <f>IF($F411="","",IFERROR(INDEX(사건마스터!$AL$5:$AL$64,MATCH($F411,사건마스터!$A$5:$A$64,0)),""))</f>
        <v/>
      </c>
      <c r="P411" s="35">
        <f>IF($F411="","",IFERROR(INDEX(사건마스터!$AM$5:$AM$64,MATCH($F411,사건마스터!$A$5:$A$64,0)),""))</f>
        <v/>
      </c>
      <c r="Q411" s="35">
        <f>IF($F411="","",IFERROR(INDEX(사건마스터!$AN$5:$AN$64,MATCH($F411,사건마스터!$A$5:$A$64,0)),""))</f>
        <v/>
      </c>
      <c r="R411" s="35">
        <f>IF($F411="","",IFERROR(INDEX(사건마스터!$AO$5:$AO$64,MATCH($F411,사건마스터!$A$5:$A$64,0)),""))</f>
        <v/>
      </c>
      <c r="S411" s="35">
        <f>IF($F411="","",IFERROR(INDEX(사건마스터!$AP$5:$AP$64,MATCH($F411,사건마스터!$A$5:$A$64,0)),""))</f>
        <v/>
      </c>
      <c r="T411" s="35">
        <f>IF($F411="","",IFERROR(INDEX(사건마스터!$AQ$5:$AQ$64,MATCH($F411,사건마스터!$A$5:$A$64,0)),""))</f>
        <v/>
      </c>
      <c r="U411" s="35">
        <f>IF($F411="","",IFERROR(INDEX(사건마스터!$AR$5:$AR$64,MATCH($F411,사건마스터!$A$5:$A$64,0)),""))</f>
        <v/>
      </c>
      <c r="V411" s="35">
        <f>IF($F411="","",IFERROR(INDEX(사건마스터!$AS$5:$AS$64,MATCH($F411,사건마스터!$A$5:$A$64,0)),""))</f>
        <v/>
      </c>
      <c r="W411" s="35">
        <f>IF($F411="","",IFERROR(INDEX(사건마스터!$AT$5:$AT$64,MATCH($F411,사건마스터!$A$5:$A$64,0)),""))</f>
        <v/>
      </c>
      <c r="X411" s="35">
        <f>IF($F411="","",IFERROR(INDEX(사건마스터!$AU$5:$AU$64,MATCH($F411,사건마스터!$A$5:$A$64,0)),""))</f>
        <v/>
      </c>
      <c r="Y411" s="35">
        <f>IF($F411="","",IFERROR(INDEX(사건마스터!$AV$5:$AV$64,MATCH($F411,사건마스터!$A$5:$A$64,0)),""))</f>
        <v/>
      </c>
      <c r="Z411" s="30">
        <f>IF(COUNTBLANK($J411:$Y411)=16,"",16-COUNTBLANK($J411:$Y411))</f>
        <v/>
      </c>
      <c r="AA411" s="33">
        <f>IF($J411="",MID($AX411,3,255),$J411&amp;$AX411)</f>
        <v/>
      </c>
      <c r="AB411" s="34">
        <f>IF($J411="","",IFERROR(INDEX(코드설정!$D$5:$D$24,MATCH($J411,코드설정!$C$5:$C$24,0)),""))</f>
        <v/>
      </c>
      <c r="AC411" s="36" t="n"/>
      <c r="AD411" s="37" t="n"/>
      <c r="AE411" s="38" t="n"/>
      <c r="AF411" s="30">
        <f>IF(OR($B411="",$C411=""),"",$C411-$B411+1)</f>
        <v/>
      </c>
      <c r="AG411" s="32" t="n"/>
      <c r="AH411" s="36" t="n"/>
      <c r="AJ411">
        <f>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  <c r="AX411">
        <f>AW411&amp;IF($Y411="","",", "&amp;$Y411)</f>
        <v/>
      </c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0">
        <f>IF($F412="","",COUNTIF($F$5:$F412,$F412))</f>
        <v/>
      </c>
      <c r="H412" s="33">
        <f>IF($F412="","",IFERROR(INDEX(사건마스터!$B$5:$B$64,MATCH($F412,사건마스터!$A$5:$A$64,0)),""))</f>
        <v/>
      </c>
      <c r="I412" s="34">
        <f>IF($F412="","",IFERROR(INDEX(사건마스터!$C$5:$C$64,MATCH($F412,사건마스터!$A$5:$A$64,0)),""))</f>
        <v/>
      </c>
      <c r="J412" s="35">
        <f>IF($F412="","",IFERROR(INDEX(사건마스터!$H$5:$H$64,MATCH($F412,사건마스터!$A$5:$A$64,0)),""))</f>
        <v/>
      </c>
      <c r="K412" s="35">
        <f>IF($F412="","",IFERROR(INDEX(사건마스터!$AH$5:$AH$64,MATCH($F412,사건마스터!$A$5:$A$64,0)),""))</f>
        <v/>
      </c>
      <c r="L412" s="35">
        <f>IF($F412="","",IFERROR(INDEX(사건마스터!$AI$5:$AI$64,MATCH($F412,사건마스터!$A$5:$A$64,0)),""))</f>
        <v/>
      </c>
      <c r="M412" s="35">
        <f>IF($F412="","",IFERROR(INDEX(사건마스터!$AJ$5:$AJ$64,MATCH($F412,사건마스터!$A$5:$A$64,0)),""))</f>
        <v/>
      </c>
      <c r="N412" s="35">
        <f>IF($F412="","",IFERROR(INDEX(사건마스터!$AK$5:$AK$64,MATCH($F412,사건마스터!$A$5:$A$64,0)),""))</f>
        <v/>
      </c>
      <c r="O412" s="35">
        <f>IF($F412="","",IFERROR(INDEX(사건마스터!$AL$5:$AL$64,MATCH($F412,사건마스터!$A$5:$A$64,0)),""))</f>
        <v/>
      </c>
      <c r="P412" s="35">
        <f>IF($F412="","",IFERROR(INDEX(사건마스터!$AM$5:$AM$64,MATCH($F412,사건마스터!$A$5:$A$64,0)),""))</f>
        <v/>
      </c>
      <c r="Q412" s="35">
        <f>IF($F412="","",IFERROR(INDEX(사건마스터!$AN$5:$AN$64,MATCH($F412,사건마스터!$A$5:$A$64,0)),""))</f>
        <v/>
      </c>
      <c r="R412" s="35">
        <f>IF($F412="","",IFERROR(INDEX(사건마스터!$AO$5:$AO$64,MATCH($F412,사건마스터!$A$5:$A$64,0)),""))</f>
        <v/>
      </c>
      <c r="S412" s="35">
        <f>IF($F412="","",IFERROR(INDEX(사건마스터!$AP$5:$AP$64,MATCH($F412,사건마스터!$A$5:$A$64,0)),""))</f>
        <v/>
      </c>
      <c r="T412" s="35">
        <f>IF($F412="","",IFERROR(INDEX(사건마스터!$AQ$5:$AQ$64,MATCH($F412,사건마스터!$A$5:$A$64,0)),""))</f>
        <v/>
      </c>
      <c r="U412" s="35">
        <f>IF($F412="","",IFERROR(INDEX(사건마스터!$AR$5:$AR$64,MATCH($F412,사건마스터!$A$5:$A$64,0)),""))</f>
        <v/>
      </c>
      <c r="V412" s="35">
        <f>IF($F412="","",IFERROR(INDEX(사건마스터!$AS$5:$AS$64,MATCH($F412,사건마스터!$A$5:$A$64,0)),""))</f>
        <v/>
      </c>
      <c r="W412" s="35">
        <f>IF($F412="","",IFERROR(INDEX(사건마스터!$AT$5:$AT$64,MATCH($F412,사건마스터!$A$5:$A$64,0)),""))</f>
        <v/>
      </c>
      <c r="X412" s="35">
        <f>IF($F412="","",IFERROR(INDEX(사건마스터!$AU$5:$AU$64,MATCH($F412,사건마스터!$A$5:$A$64,0)),""))</f>
        <v/>
      </c>
      <c r="Y412" s="35">
        <f>IF($F412="","",IFERROR(INDEX(사건마스터!$AV$5:$AV$64,MATCH($F412,사건마스터!$A$5:$A$64,0)),""))</f>
        <v/>
      </c>
      <c r="Z412" s="30">
        <f>IF(COUNTBLANK($J412:$Y412)=16,"",16-COUNTBLANK($J412:$Y412))</f>
        <v/>
      </c>
      <c r="AA412" s="33">
        <f>IF($J412="",MID($AX412,3,255),$J412&amp;$AX412)</f>
        <v/>
      </c>
      <c r="AB412" s="34">
        <f>IF($J412="","",IFERROR(INDEX(코드설정!$D$5:$D$24,MATCH($J412,코드설정!$C$5:$C$24,0)),""))</f>
        <v/>
      </c>
      <c r="AC412" s="36" t="n"/>
      <c r="AD412" s="37" t="n"/>
      <c r="AE412" s="38" t="n"/>
      <c r="AF412" s="30">
        <f>IF(OR($B412="",$C412=""),"",$C412-$B412+1)</f>
        <v/>
      </c>
      <c r="AG412" s="32" t="n"/>
      <c r="AH412" s="36" t="n"/>
      <c r="AJ412">
        <f>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  <c r="AX412">
        <f>AW412&amp;IF($Y412="","",", "&amp;$Y412)</f>
        <v/>
      </c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0">
        <f>IF($F413="","",COUNTIF($F$5:$F413,$F413))</f>
        <v/>
      </c>
      <c r="H413" s="33">
        <f>IF($F413="","",IFERROR(INDEX(사건마스터!$B$5:$B$64,MATCH($F413,사건마스터!$A$5:$A$64,0)),""))</f>
        <v/>
      </c>
      <c r="I413" s="34">
        <f>IF($F413="","",IFERROR(INDEX(사건마스터!$C$5:$C$64,MATCH($F413,사건마스터!$A$5:$A$64,0)),""))</f>
        <v/>
      </c>
      <c r="J413" s="35">
        <f>IF($F413="","",IFERROR(INDEX(사건마스터!$H$5:$H$64,MATCH($F413,사건마스터!$A$5:$A$64,0)),""))</f>
        <v/>
      </c>
      <c r="K413" s="35">
        <f>IF($F413="","",IFERROR(INDEX(사건마스터!$AH$5:$AH$64,MATCH($F413,사건마스터!$A$5:$A$64,0)),""))</f>
        <v/>
      </c>
      <c r="L413" s="35">
        <f>IF($F413="","",IFERROR(INDEX(사건마스터!$AI$5:$AI$64,MATCH($F413,사건마스터!$A$5:$A$64,0)),""))</f>
        <v/>
      </c>
      <c r="M413" s="35">
        <f>IF($F413="","",IFERROR(INDEX(사건마스터!$AJ$5:$AJ$64,MATCH($F413,사건마스터!$A$5:$A$64,0)),""))</f>
        <v/>
      </c>
      <c r="N413" s="35">
        <f>IF($F413="","",IFERROR(INDEX(사건마스터!$AK$5:$AK$64,MATCH($F413,사건마스터!$A$5:$A$64,0)),""))</f>
        <v/>
      </c>
      <c r="O413" s="35">
        <f>IF($F413="","",IFERROR(INDEX(사건마스터!$AL$5:$AL$64,MATCH($F413,사건마스터!$A$5:$A$64,0)),""))</f>
        <v/>
      </c>
      <c r="P413" s="35">
        <f>IF($F413="","",IFERROR(INDEX(사건마스터!$AM$5:$AM$64,MATCH($F413,사건마스터!$A$5:$A$64,0)),""))</f>
        <v/>
      </c>
      <c r="Q413" s="35">
        <f>IF($F413="","",IFERROR(INDEX(사건마스터!$AN$5:$AN$64,MATCH($F413,사건마스터!$A$5:$A$64,0)),""))</f>
        <v/>
      </c>
      <c r="R413" s="35">
        <f>IF($F413="","",IFERROR(INDEX(사건마스터!$AO$5:$AO$64,MATCH($F413,사건마스터!$A$5:$A$64,0)),""))</f>
        <v/>
      </c>
      <c r="S413" s="35">
        <f>IF($F413="","",IFERROR(INDEX(사건마스터!$AP$5:$AP$64,MATCH($F413,사건마스터!$A$5:$A$64,0)),""))</f>
        <v/>
      </c>
      <c r="T413" s="35">
        <f>IF($F413="","",IFERROR(INDEX(사건마스터!$AQ$5:$AQ$64,MATCH($F413,사건마스터!$A$5:$A$64,0)),""))</f>
        <v/>
      </c>
      <c r="U413" s="35">
        <f>IF($F413="","",IFERROR(INDEX(사건마스터!$AR$5:$AR$64,MATCH($F413,사건마스터!$A$5:$A$64,0)),""))</f>
        <v/>
      </c>
      <c r="V413" s="35">
        <f>IF($F413="","",IFERROR(INDEX(사건마스터!$AS$5:$AS$64,MATCH($F413,사건마스터!$A$5:$A$64,0)),""))</f>
        <v/>
      </c>
      <c r="W413" s="35">
        <f>IF($F413="","",IFERROR(INDEX(사건마스터!$AT$5:$AT$64,MATCH($F413,사건마스터!$A$5:$A$64,0)),""))</f>
        <v/>
      </c>
      <c r="X413" s="35">
        <f>IF($F413="","",IFERROR(INDEX(사건마스터!$AU$5:$AU$64,MATCH($F413,사건마스터!$A$5:$A$64,0)),""))</f>
        <v/>
      </c>
      <c r="Y413" s="35">
        <f>IF($F413="","",IFERROR(INDEX(사건마스터!$AV$5:$AV$64,MATCH($F413,사건마스터!$A$5:$A$64,0)),""))</f>
        <v/>
      </c>
      <c r="Z413" s="30">
        <f>IF(COUNTBLANK($J413:$Y413)=16,"",16-COUNTBLANK($J413:$Y413))</f>
        <v/>
      </c>
      <c r="AA413" s="33">
        <f>IF($J413="",MID($AX413,3,255),$J413&amp;$AX413)</f>
        <v/>
      </c>
      <c r="AB413" s="34">
        <f>IF($J413="","",IFERROR(INDEX(코드설정!$D$5:$D$24,MATCH($J413,코드설정!$C$5:$C$24,0)),""))</f>
        <v/>
      </c>
      <c r="AC413" s="36" t="n"/>
      <c r="AD413" s="37" t="n"/>
      <c r="AE413" s="38" t="n"/>
      <c r="AF413" s="30">
        <f>IF(OR($B413="",$C413=""),"",$C413-$B413+1)</f>
        <v/>
      </c>
      <c r="AG413" s="32" t="n"/>
      <c r="AH413" s="36" t="n"/>
      <c r="AJ413">
        <f>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  <c r="AX413">
        <f>AW413&amp;IF($Y413="","",", "&amp;$Y413)</f>
        <v/>
      </c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0">
        <f>IF($F414="","",COUNTIF($F$5:$F414,$F414))</f>
        <v/>
      </c>
      <c r="H414" s="33">
        <f>IF($F414="","",IFERROR(INDEX(사건마스터!$B$5:$B$64,MATCH($F414,사건마스터!$A$5:$A$64,0)),""))</f>
        <v/>
      </c>
      <c r="I414" s="34">
        <f>IF($F414="","",IFERROR(INDEX(사건마스터!$C$5:$C$64,MATCH($F414,사건마스터!$A$5:$A$64,0)),""))</f>
        <v/>
      </c>
      <c r="J414" s="35">
        <f>IF($F414="","",IFERROR(INDEX(사건마스터!$H$5:$H$64,MATCH($F414,사건마스터!$A$5:$A$64,0)),""))</f>
        <v/>
      </c>
      <c r="K414" s="35">
        <f>IF($F414="","",IFERROR(INDEX(사건마스터!$AH$5:$AH$64,MATCH($F414,사건마스터!$A$5:$A$64,0)),""))</f>
        <v/>
      </c>
      <c r="L414" s="35">
        <f>IF($F414="","",IFERROR(INDEX(사건마스터!$AI$5:$AI$64,MATCH($F414,사건마스터!$A$5:$A$64,0)),""))</f>
        <v/>
      </c>
      <c r="M414" s="35">
        <f>IF($F414="","",IFERROR(INDEX(사건마스터!$AJ$5:$AJ$64,MATCH($F414,사건마스터!$A$5:$A$64,0)),""))</f>
        <v/>
      </c>
      <c r="N414" s="35">
        <f>IF($F414="","",IFERROR(INDEX(사건마스터!$AK$5:$AK$64,MATCH($F414,사건마스터!$A$5:$A$64,0)),""))</f>
        <v/>
      </c>
      <c r="O414" s="35">
        <f>IF($F414="","",IFERROR(INDEX(사건마스터!$AL$5:$AL$64,MATCH($F414,사건마스터!$A$5:$A$64,0)),""))</f>
        <v/>
      </c>
      <c r="P414" s="35">
        <f>IF($F414="","",IFERROR(INDEX(사건마스터!$AM$5:$AM$64,MATCH($F414,사건마스터!$A$5:$A$64,0)),""))</f>
        <v/>
      </c>
      <c r="Q414" s="35">
        <f>IF($F414="","",IFERROR(INDEX(사건마스터!$AN$5:$AN$64,MATCH($F414,사건마스터!$A$5:$A$64,0)),""))</f>
        <v/>
      </c>
      <c r="R414" s="35">
        <f>IF($F414="","",IFERROR(INDEX(사건마스터!$AO$5:$AO$64,MATCH($F414,사건마스터!$A$5:$A$64,0)),""))</f>
        <v/>
      </c>
      <c r="S414" s="35">
        <f>IF($F414="","",IFERROR(INDEX(사건마스터!$AP$5:$AP$64,MATCH($F414,사건마스터!$A$5:$A$64,0)),""))</f>
        <v/>
      </c>
      <c r="T414" s="35">
        <f>IF($F414="","",IFERROR(INDEX(사건마스터!$AQ$5:$AQ$64,MATCH($F414,사건마스터!$A$5:$A$64,0)),""))</f>
        <v/>
      </c>
      <c r="U414" s="35">
        <f>IF($F414="","",IFERROR(INDEX(사건마스터!$AR$5:$AR$64,MATCH($F414,사건마스터!$A$5:$A$64,0)),""))</f>
        <v/>
      </c>
      <c r="V414" s="35">
        <f>IF($F414="","",IFERROR(INDEX(사건마스터!$AS$5:$AS$64,MATCH($F414,사건마스터!$A$5:$A$64,0)),""))</f>
        <v/>
      </c>
      <c r="W414" s="35">
        <f>IF($F414="","",IFERROR(INDEX(사건마스터!$AT$5:$AT$64,MATCH($F414,사건마스터!$A$5:$A$64,0)),""))</f>
        <v/>
      </c>
      <c r="X414" s="35">
        <f>IF($F414="","",IFERROR(INDEX(사건마스터!$AU$5:$AU$64,MATCH($F414,사건마스터!$A$5:$A$64,0)),""))</f>
        <v/>
      </c>
      <c r="Y414" s="35">
        <f>IF($F414="","",IFERROR(INDEX(사건마스터!$AV$5:$AV$64,MATCH($F414,사건마스터!$A$5:$A$64,0)),""))</f>
        <v/>
      </c>
      <c r="Z414" s="30">
        <f>IF(COUNTBLANK($J414:$Y414)=16,"",16-COUNTBLANK($J414:$Y414))</f>
        <v/>
      </c>
      <c r="AA414" s="33">
        <f>IF($J414="",MID($AX414,3,255),$J414&amp;$AX414)</f>
        <v/>
      </c>
      <c r="AB414" s="34">
        <f>IF($J414="","",IFERROR(INDEX(코드설정!$D$5:$D$24,MATCH($J414,코드설정!$C$5:$C$24,0)),""))</f>
        <v/>
      </c>
      <c r="AC414" s="36" t="n"/>
      <c r="AD414" s="37" t="n"/>
      <c r="AE414" s="38" t="n"/>
      <c r="AF414" s="30">
        <f>IF(OR($B414="",$C414=""),"",$C414-$B414+1)</f>
        <v/>
      </c>
      <c r="AG414" s="32" t="n"/>
      <c r="AH414" s="36" t="n"/>
      <c r="AJ414">
        <f>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  <c r="AX414">
        <f>AW414&amp;IF($Y414="","",", "&amp;$Y414)</f>
        <v/>
      </c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0">
        <f>IF($F415="","",COUNTIF($F$5:$F415,$F415))</f>
        <v/>
      </c>
      <c r="H415" s="33">
        <f>IF($F415="","",IFERROR(INDEX(사건마스터!$B$5:$B$64,MATCH($F415,사건마스터!$A$5:$A$64,0)),""))</f>
        <v/>
      </c>
      <c r="I415" s="34">
        <f>IF($F415="","",IFERROR(INDEX(사건마스터!$C$5:$C$64,MATCH($F415,사건마스터!$A$5:$A$64,0)),""))</f>
        <v/>
      </c>
      <c r="J415" s="35">
        <f>IF($F415="","",IFERROR(INDEX(사건마스터!$H$5:$H$64,MATCH($F415,사건마스터!$A$5:$A$64,0)),""))</f>
        <v/>
      </c>
      <c r="K415" s="35">
        <f>IF($F415="","",IFERROR(INDEX(사건마스터!$AH$5:$AH$64,MATCH($F415,사건마스터!$A$5:$A$64,0)),""))</f>
        <v/>
      </c>
      <c r="L415" s="35">
        <f>IF($F415="","",IFERROR(INDEX(사건마스터!$AI$5:$AI$64,MATCH($F415,사건마스터!$A$5:$A$64,0)),""))</f>
        <v/>
      </c>
      <c r="M415" s="35">
        <f>IF($F415="","",IFERROR(INDEX(사건마스터!$AJ$5:$AJ$64,MATCH($F415,사건마스터!$A$5:$A$64,0)),""))</f>
        <v/>
      </c>
      <c r="N415" s="35">
        <f>IF($F415="","",IFERROR(INDEX(사건마스터!$AK$5:$AK$64,MATCH($F415,사건마스터!$A$5:$A$64,0)),""))</f>
        <v/>
      </c>
      <c r="O415" s="35">
        <f>IF($F415="","",IFERROR(INDEX(사건마스터!$AL$5:$AL$64,MATCH($F415,사건마스터!$A$5:$A$64,0)),""))</f>
        <v/>
      </c>
      <c r="P415" s="35">
        <f>IF($F415="","",IFERROR(INDEX(사건마스터!$AM$5:$AM$64,MATCH($F415,사건마스터!$A$5:$A$64,0)),""))</f>
        <v/>
      </c>
      <c r="Q415" s="35">
        <f>IF($F415="","",IFERROR(INDEX(사건마스터!$AN$5:$AN$64,MATCH($F415,사건마스터!$A$5:$A$64,0)),""))</f>
        <v/>
      </c>
      <c r="R415" s="35">
        <f>IF($F415="","",IFERROR(INDEX(사건마스터!$AO$5:$AO$64,MATCH($F415,사건마스터!$A$5:$A$64,0)),""))</f>
        <v/>
      </c>
      <c r="S415" s="35">
        <f>IF($F415="","",IFERROR(INDEX(사건마스터!$AP$5:$AP$64,MATCH($F415,사건마스터!$A$5:$A$64,0)),""))</f>
        <v/>
      </c>
      <c r="T415" s="35">
        <f>IF($F415="","",IFERROR(INDEX(사건마스터!$AQ$5:$AQ$64,MATCH($F415,사건마스터!$A$5:$A$64,0)),""))</f>
        <v/>
      </c>
      <c r="U415" s="35">
        <f>IF($F415="","",IFERROR(INDEX(사건마스터!$AR$5:$AR$64,MATCH($F415,사건마스터!$A$5:$A$64,0)),""))</f>
        <v/>
      </c>
      <c r="V415" s="35">
        <f>IF($F415="","",IFERROR(INDEX(사건마스터!$AS$5:$AS$64,MATCH($F415,사건마스터!$A$5:$A$64,0)),""))</f>
        <v/>
      </c>
      <c r="W415" s="35">
        <f>IF($F415="","",IFERROR(INDEX(사건마스터!$AT$5:$AT$64,MATCH($F415,사건마스터!$A$5:$A$64,0)),""))</f>
        <v/>
      </c>
      <c r="X415" s="35">
        <f>IF($F415="","",IFERROR(INDEX(사건마스터!$AU$5:$AU$64,MATCH($F415,사건마스터!$A$5:$A$64,0)),""))</f>
        <v/>
      </c>
      <c r="Y415" s="35">
        <f>IF($F415="","",IFERROR(INDEX(사건마스터!$AV$5:$AV$64,MATCH($F415,사건마스터!$A$5:$A$64,0)),""))</f>
        <v/>
      </c>
      <c r="Z415" s="30">
        <f>IF(COUNTBLANK($J415:$Y415)=16,"",16-COUNTBLANK($J415:$Y415))</f>
        <v/>
      </c>
      <c r="AA415" s="33">
        <f>IF($J415="",MID($AX415,3,255),$J415&amp;$AX415)</f>
        <v/>
      </c>
      <c r="AB415" s="34">
        <f>IF($J415="","",IFERROR(INDEX(코드설정!$D$5:$D$24,MATCH($J415,코드설정!$C$5:$C$24,0)),""))</f>
        <v/>
      </c>
      <c r="AC415" s="36" t="n"/>
      <c r="AD415" s="37" t="n"/>
      <c r="AE415" s="38" t="n"/>
      <c r="AF415" s="30">
        <f>IF(OR($B415="",$C415=""),"",$C415-$B415+1)</f>
        <v/>
      </c>
      <c r="AG415" s="32" t="n"/>
      <c r="AH415" s="36" t="n"/>
      <c r="AJ415">
        <f>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  <c r="AX415">
        <f>AW415&amp;IF($Y415="","",", "&amp;$Y415)</f>
        <v/>
      </c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0">
        <f>IF($F416="","",COUNTIF($F$5:$F416,$F416))</f>
        <v/>
      </c>
      <c r="H416" s="33">
        <f>IF($F416="","",IFERROR(INDEX(사건마스터!$B$5:$B$64,MATCH($F416,사건마스터!$A$5:$A$64,0)),""))</f>
        <v/>
      </c>
      <c r="I416" s="34">
        <f>IF($F416="","",IFERROR(INDEX(사건마스터!$C$5:$C$64,MATCH($F416,사건마스터!$A$5:$A$64,0)),""))</f>
        <v/>
      </c>
      <c r="J416" s="35">
        <f>IF($F416="","",IFERROR(INDEX(사건마스터!$H$5:$H$64,MATCH($F416,사건마스터!$A$5:$A$64,0)),""))</f>
        <v/>
      </c>
      <c r="K416" s="35">
        <f>IF($F416="","",IFERROR(INDEX(사건마스터!$AH$5:$AH$64,MATCH($F416,사건마스터!$A$5:$A$64,0)),""))</f>
        <v/>
      </c>
      <c r="L416" s="35">
        <f>IF($F416="","",IFERROR(INDEX(사건마스터!$AI$5:$AI$64,MATCH($F416,사건마스터!$A$5:$A$64,0)),""))</f>
        <v/>
      </c>
      <c r="M416" s="35">
        <f>IF($F416="","",IFERROR(INDEX(사건마스터!$AJ$5:$AJ$64,MATCH($F416,사건마스터!$A$5:$A$64,0)),""))</f>
        <v/>
      </c>
      <c r="N416" s="35">
        <f>IF($F416="","",IFERROR(INDEX(사건마스터!$AK$5:$AK$64,MATCH($F416,사건마스터!$A$5:$A$64,0)),""))</f>
        <v/>
      </c>
      <c r="O416" s="35">
        <f>IF($F416="","",IFERROR(INDEX(사건마스터!$AL$5:$AL$64,MATCH($F416,사건마스터!$A$5:$A$64,0)),""))</f>
        <v/>
      </c>
      <c r="P416" s="35">
        <f>IF($F416="","",IFERROR(INDEX(사건마스터!$AM$5:$AM$64,MATCH($F416,사건마스터!$A$5:$A$64,0)),""))</f>
        <v/>
      </c>
      <c r="Q416" s="35">
        <f>IF($F416="","",IFERROR(INDEX(사건마스터!$AN$5:$AN$64,MATCH($F416,사건마스터!$A$5:$A$64,0)),""))</f>
        <v/>
      </c>
      <c r="R416" s="35">
        <f>IF($F416="","",IFERROR(INDEX(사건마스터!$AO$5:$AO$64,MATCH($F416,사건마스터!$A$5:$A$64,0)),""))</f>
        <v/>
      </c>
      <c r="S416" s="35">
        <f>IF($F416="","",IFERROR(INDEX(사건마스터!$AP$5:$AP$64,MATCH($F416,사건마스터!$A$5:$A$64,0)),""))</f>
        <v/>
      </c>
      <c r="T416" s="35">
        <f>IF($F416="","",IFERROR(INDEX(사건마스터!$AQ$5:$AQ$64,MATCH($F416,사건마스터!$A$5:$A$64,0)),""))</f>
        <v/>
      </c>
      <c r="U416" s="35">
        <f>IF($F416="","",IFERROR(INDEX(사건마스터!$AR$5:$AR$64,MATCH($F416,사건마스터!$A$5:$A$64,0)),""))</f>
        <v/>
      </c>
      <c r="V416" s="35">
        <f>IF($F416="","",IFERROR(INDEX(사건마스터!$AS$5:$AS$64,MATCH($F416,사건마스터!$A$5:$A$64,0)),""))</f>
        <v/>
      </c>
      <c r="W416" s="35">
        <f>IF($F416="","",IFERROR(INDEX(사건마스터!$AT$5:$AT$64,MATCH($F416,사건마스터!$A$5:$A$64,0)),""))</f>
        <v/>
      </c>
      <c r="X416" s="35">
        <f>IF($F416="","",IFERROR(INDEX(사건마스터!$AU$5:$AU$64,MATCH($F416,사건마스터!$A$5:$A$64,0)),""))</f>
        <v/>
      </c>
      <c r="Y416" s="35">
        <f>IF($F416="","",IFERROR(INDEX(사건마스터!$AV$5:$AV$64,MATCH($F416,사건마스터!$A$5:$A$64,0)),""))</f>
        <v/>
      </c>
      <c r="Z416" s="30">
        <f>IF(COUNTBLANK($J416:$Y416)=16,"",16-COUNTBLANK($J416:$Y416))</f>
        <v/>
      </c>
      <c r="AA416" s="33">
        <f>IF($J416="",MID($AX416,3,255),$J416&amp;$AX416)</f>
        <v/>
      </c>
      <c r="AB416" s="34">
        <f>IF($J416="","",IFERROR(INDEX(코드설정!$D$5:$D$24,MATCH($J416,코드설정!$C$5:$C$24,0)),""))</f>
        <v/>
      </c>
      <c r="AC416" s="36" t="n"/>
      <c r="AD416" s="37" t="n"/>
      <c r="AE416" s="38" t="n"/>
      <c r="AF416" s="30">
        <f>IF(OR($B416="",$C416=""),"",$C416-$B416+1)</f>
        <v/>
      </c>
      <c r="AG416" s="32" t="n"/>
      <c r="AH416" s="36" t="n"/>
      <c r="AJ416">
        <f>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  <c r="AX416">
        <f>AW416&amp;IF($Y416="","",", "&amp;$Y416)</f>
        <v/>
      </c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0">
        <f>IF($F417="","",COUNTIF($F$5:$F417,$F417))</f>
        <v/>
      </c>
      <c r="H417" s="33">
        <f>IF($F417="","",IFERROR(INDEX(사건마스터!$B$5:$B$64,MATCH($F417,사건마스터!$A$5:$A$64,0)),""))</f>
        <v/>
      </c>
      <c r="I417" s="34">
        <f>IF($F417="","",IFERROR(INDEX(사건마스터!$C$5:$C$64,MATCH($F417,사건마스터!$A$5:$A$64,0)),""))</f>
        <v/>
      </c>
      <c r="J417" s="35">
        <f>IF($F417="","",IFERROR(INDEX(사건마스터!$H$5:$H$64,MATCH($F417,사건마스터!$A$5:$A$64,0)),""))</f>
        <v/>
      </c>
      <c r="K417" s="35">
        <f>IF($F417="","",IFERROR(INDEX(사건마스터!$AH$5:$AH$64,MATCH($F417,사건마스터!$A$5:$A$64,0)),""))</f>
        <v/>
      </c>
      <c r="L417" s="35">
        <f>IF($F417="","",IFERROR(INDEX(사건마스터!$AI$5:$AI$64,MATCH($F417,사건마스터!$A$5:$A$64,0)),""))</f>
        <v/>
      </c>
      <c r="M417" s="35">
        <f>IF($F417="","",IFERROR(INDEX(사건마스터!$AJ$5:$AJ$64,MATCH($F417,사건마스터!$A$5:$A$64,0)),""))</f>
        <v/>
      </c>
      <c r="N417" s="35">
        <f>IF($F417="","",IFERROR(INDEX(사건마스터!$AK$5:$AK$64,MATCH($F417,사건마스터!$A$5:$A$64,0)),""))</f>
        <v/>
      </c>
      <c r="O417" s="35">
        <f>IF($F417="","",IFERROR(INDEX(사건마스터!$AL$5:$AL$64,MATCH($F417,사건마스터!$A$5:$A$64,0)),""))</f>
        <v/>
      </c>
      <c r="P417" s="35">
        <f>IF($F417="","",IFERROR(INDEX(사건마스터!$AM$5:$AM$64,MATCH($F417,사건마스터!$A$5:$A$64,0)),""))</f>
        <v/>
      </c>
      <c r="Q417" s="35">
        <f>IF($F417="","",IFERROR(INDEX(사건마스터!$AN$5:$AN$64,MATCH($F417,사건마스터!$A$5:$A$64,0)),""))</f>
        <v/>
      </c>
      <c r="R417" s="35">
        <f>IF($F417="","",IFERROR(INDEX(사건마스터!$AO$5:$AO$64,MATCH($F417,사건마스터!$A$5:$A$64,0)),""))</f>
        <v/>
      </c>
      <c r="S417" s="35">
        <f>IF($F417="","",IFERROR(INDEX(사건마스터!$AP$5:$AP$64,MATCH($F417,사건마스터!$A$5:$A$64,0)),""))</f>
        <v/>
      </c>
      <c r="T417" s="35">
        <f>IF($F417="","",IFERROR(INDEX(사건마스터!$AQ$5:$AQ$64,MATCH($F417,사건마스터!$A$5:$A$64,0)),""))</f>
        <v/>
      </c>
      <c r="U417" s="35">
        <f>IF($F417="","",IFERROR(INDEX(사건마스터!$AR$5:$AR$64,MATCH($F417,사건마스터!$A$5:$A$64,0)),""))</f>
        <v/>
      </c>
      <c r="V417" s="35">
        <f>IF($F417="","",IFERROR(INDEX(사건마스터!$AS$5:$AS$64,MATCH($F417,사건마스터!$A$5:$A$64,0)),""))</f>
        <v/>
      </c>
      <c r="W417" s="35">
        <f>IF($F417="","",IFERROR(INDEX(사건마스터!$AT$5:$AT$64,MATCH($F417,사건마스터!$A$5:$A$64,0)),""))</f>
        <v/>
      </c>
      <c r="X417" s="35">
        <f>IF($F417="","",IFERROR(INDEX(사건마스터!$AU$5:$AU$64,MATCH($F417,사건마스터!$A$5:$A$64,0)),""))</f>
        <v/>
      </c>
      <c r="Y417" s="35">
        <f>IF($F417="","",IFERROR(INDEX(사건마스터!$AV$5:$AV$64,MATCH($F417,사건마스터!$A$5:$A$64,0)),""))</f>
        <v/>
      </c>
      <c r="Z417" s="30">
        <f>IF(COUNTBLANK($J417:$Y417)=16,"",16-COUNTBLANK($J417:$Y417))</f>
        <v/>
      </c>
      <c r="AA417" s="33">
        <f>IF($J417="",MID($AX417,3,255),$J417&amp;$AX417)</f>
        <v/>
      </c>
      <c r="AB417" s="34">
        <f>IF($J417="","",IFERROR(INDEX(코드설정!$D$5:$D$24,MATCH($J417,코드설정!$C$5:$C$24,0)),""))</f>
        <v/>
      </c>
      <c r="AC417" s="36" t="n"/>
      <c r="AD417" s="37" t="n"/>
      <c r="AE417" s="38" t="n"/>
      <c r="AF417" s="30">
        <f>IF(OR($B417="",$C417=""),"",$C417-$B417+1)</f>
        <v/>
      </c>
      <c r="AG417" s="32" t="n"/>
      <c r="AH417" s="36" t="n"/>
      <c r="AJ417">
        <f>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  <c r="AX417">
        <f>AW417&amp;IF($Y417="","",", "&amp;$Y417)</f>
        <v/>
      </c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0">
        <f>IF($F418="","",COUNTIF($F$5:$F418,$F418))</f>
        <v/>
      </c>
      <c r="H418" s="33">
        <f>IF($F418="","",IFERROR(INDEX(사건마스터!$B$5:$B$64,MATCH($F418,사건마스터!$A$5:$A$64,0)),""))</f>
        <v/>
      </c>
      <c r="I418" s="34">
        <f>IF($F418="","",IFERROR(INDEX(사건마스터!$C$5:$C$64,MATCH($F418,사건마스터!$A$5:$A$64,0)),""))</f>
        <v/>
      </c>
      <c r="J418" s="35">
        <f>IF($F418="","",IFERROR(INDEX(사건마스터!$H$5:$H$64,MATCH($F418,사건마스터!$A$5:$A$64,0)),""))</f>
        <v/>
      </c>
      <c r="K418" s="35">
        <f>IF($F418="","",IFERROR(INDEX(사건마스터!$AH$5:$AH$64,MATCH($F418,사건마스터!$A$5:$A$64,0)),""))</f>
        <v/>
      </c>
      <c r="L418" s="35">
        <f>IF($F418="","",IFERROR(INDEX(사건마스터!$AI$5:$AI$64,MATCH($F418,사건마스터!$A$5:$A$64,0)),""))</f>
        <v/>
      </c>
      <c r="M418" s="35">
        <f>IF($F418="","",IFERROR(INDEX(사건마스터!$AJ$5:$AJ$64,MATCH($F418,사건마스터!$A$5:$A$64,0)),""))</f>
        <v/>
      </c>
      <c r="N418" s="35">
        <f>IF($F418="","",IFERROR(INDEX(사건마스터!$AK$5:$AK$64,MATCH($F418,사건마스터!$A$5:$A$64,0)),""))</f>
        <v/>
      </c>
      <c r="O418" s="35">
        <f>IF($F418="","",IFERROR(INDEX(사건마스터!$AL$5:$AL$64,MATCH($F418,사건마스터!$A$5:$A$64,0)),""))</f>
        <v/>
      </c>
      <c r="P418" s="35">
        <f>IF($F418="","",IFERROR(INDEX(사건마스터!$AM$5:$AM$64,MATCH($F418,사건마스터!$A$5:$A$64,0)),""))</f>
        <v/>
      </c>
      <c r="Q418" s="35">
        <f>IF($F418="","",IFERROR(INDEX(사건마스터!$AN$5:$AN$64,MATCH($F418,사건마스터!$A$5:$A$64,0)),""))</f>
        <v/>
      </c>
      <c r="R418" s="35">
        <f>IF($F418="","",IFERROR(INDEX(사건마스터!$AO$5:$AO$64,MATCH($F418,사건마스터!$A$5:$A$64,0)),""))</f>
        <v/>
      </c>
      <c r="S418" s="35">
        <f>IF($F418="","",IFERROR(INDEX(사건마스터!$AP$5:$AP$64,MATCH($F418,사건마스터!$A$5:$A$64,0)),""))</f>
        <v/>
      </c>
      <c r="T418" s="35">
        <f>IF($F418="","",IFERROR(INDEX(사건마스터!$AQ$5:$AQ$64,MATCH($F418,사건마스터!$A$5:$A$64,0)),""))</f>
        <v/>
      </c>
      <c r="U418" s="35">
        <f>IF($F418="","",IFERROR(INDEX(사건마스터!$AR$5:$AR$64,MATCH($F418,사건마스터!$A$5:$A$64,0)),""))</f>
        <v/>
      </c>
      <c r="V418" s="35">
        <f>IF($F418="","",IFERROR(INDEX(사건마스터!$AS$5:$AS$64,MATCH($F418,사건마스터!$A$5:$A$64,0)),""))</f>
        <v/>
      </c>
      <c r="W418" s="35">
        <f>IF($F418="","",IFERROR(INDEX(사건마스터!$AT$5:$AT$64,MATCH($F418,사건마스터!$A$5:$A$64,0)),""))</f>
        <v/>
      </c>
      <c r="X418" s="35">
        <f>IF($F418="","",IFERROR(INDEX(사건마스터!$AU$5:$AU$64,MATCH($F418,사건마스터!$A$5:$A$64,0)),""))</f>
        <v/>
      </c>
      <c r="Y418" s="35">
        <f>IF($F418="","",IFERROR(INDEX(사건마스터!$AV$5:$AV$64,MATCH($F418,사건마스터!$A$5:$A$64,0)),""))</f>
        <v/>
      </c>
      <c r="Z418" s="30">
        <f>IF(COUNTBLANK($J418:$Y418)=16,"",16-COUNTBLANK($J418:$Y418))</f>
        <v/>
      </c>
      <c r="AA418" s="33">
        <f>IF($J418="",MID($AX418,3,255),$J418&amp;$AX418)</f>
        <v/>
      </c>
      <c r="AB418" s="34">
        <f>IF($J418="","",IFERROR(INDEX(코드설정!$D$5:$D$24,MATCH($J418,코드설정!$C$5:$C$24,0)),""))</f>
        <v/>
      </c>
      <c r="AC418" s="36" t="n"/>
      <c r="AD418" s="37" t="n"/>
      <c r="AE418" s="38" t="n"/>
      <c r="AF418" s="30">
        <f>IF(OR($B418="",$C418=""),"",$C418-$B418+1)</f>
        <v/>
      </c>
      <c r="AG418" s="32" t="n"/>
      <c r="AH418" s="36" t="n"/>
      <c r="AJ418">
        <f>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  <c r="AX418">
        <f>AW418&amp;IF($Y418="","",", "&amp;$Y418)</f>
        <v/>
      </c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0">
        <f>IF($F419="","",COUNTIF($F$5:$F419,$F419))</f>
        <v/>
      </c>
      <c r="H419" s="33">
        <f>IF($F419="","",IFERROR(INDEX(사건마스터!$B$5:$B$64,MATCH($F419,사건마스터!$A$5:$A$64,0)),""))</f>
        <v/>
      </c>
      <c r="I419" s="34">
        <f>IF($F419="","",IFERROR(INDEX(사건마스터!$C$5:$C$64,MATCH($F419,사건마스터!$A$5:$A$64,0)),""))</f>
        <v/>
      </c>
      <c r="J419" s="35">
        <f>IF($F419="","",IFERROR(INDEX(사건마스터!$H$5:$H$64,MATCH($F419,사건마스터!$A$5:$A$64,0)),""))</f>
        <v/>
      </c>
      <c r="K419" s="35">
        <f>IF($F419="","",IFERROR(INDEX(사건마스터!$AH$5:$AH$64,MATCH($F419,사건마스터!$A$5:$A$64,0)),""))</f>
        <v/>
      </c>
      <c r="L419" s="35">
        <f>IF($F419="","",IFERROR(INDEX(사건마스터!$AI$5:$AI$64,MATCH($F419,사건마스터!$A$5:$A$64,0)),""))</f>
        <v/>
      </c>
      <c r="M419" s="35">
        <f>IF($F419="","",IFERROR(INDEX(사건마스터!$AJ$5:$AJ$64,MATCH($F419,사건마스터!$A$5:$A$64,0)),""))</f>
        <v/>
      </c>
      <c r="N419" s="35">
        <f>IF($F419="","",IFERROR(INDEX(사건마스터!$AK$5:$AK$64,MATCH($F419,사건마스터!$A$5:$A$64,0)),""))</f>
        <v/>
      </c>
      <c r="O419" s="35">
        <f>IF($F419="","",IFERROR(INDEX(사건마스터!$AL$5:$AL$64,MATCH($F419,사건마스터!$A$5:$A$64,0)),""))</f>
        <v/>
      </c>
      <c r="P419" s="35">
        <f>IF($F419="","",IFERROR(INDEX(사건마스터!$AM$5:$AM$64,MATCH($F419,사건마스터!$A$5:$A$64,0)),""))</f>
        <v/>
      </c>
      <c r="Q419" s="35">
        <f>IF($F419="","",IFERROR(INDEX(사건마스터!$AN$5:$AN$64,MATCH($F419,사건마스터!$A$5:$A$64,0)),""))</f>
        <v/>
      </c>
      <c r="R419" s="35">
        <f>IF($F419="","",IFERROR(INDEX(사건마스터!$AO$5:$AO$64,MATCH($F419,사건마스터!$A$5:$A$64,0)),""))</f>
        <v/>
      </c>
      <c r="S419" s="35">
        <f>IF($F419="","",IFERROR(INDEX(사건마스터!$AP$5:$AP$64,MATCH($F419,사건마스터!$A$5:$A$64,0)),""))</f>
        <v/>
      </c>
      <c r="T419" s="35">
        <f>IF($F419="","",IFERROR(INDEX(사건마스터!$AQ$5:$AQ$64,MATCH($F419,사건마스터!$A$5:$A$64,0)),""))</f>
        <v/>
      </c>
      <c r="U419" s="35">
        <f>IF($F419="","",IFERROR(INDEX(사건마스터!$AR$5:$AR$64,MATCH($F419,사건마스터!$A$5:$A$64,0)),""))</f>
        <v/>
      </c>
      <c r="V419" s="35">
        <f>IF($F419="","",IFERROR(INDEX(사건마스터!$AS$5:$AS$64,MATCH($F419,사건마스터!$A$5:$A$64,0)),""))</f>
        <v/>
      </c>
      <c r="W419" s="35">
        <f>IF($F419="","",IFERROR(INDEX(사건마스터!$AT$5:$AT$64,MATCH($F419,사건마스터!$A$5:$A$64,0)),""))</f>
        <v/>
      </c>
      <c r="X419" s="35">
        <f>IF($F419="","",IFERROR(INDEX(사건마스터!$AU$5:$AU$64,MATCH($F419,사건마스터!$A$5:$A$64,0)),""))</f>
        <v/>
      </c>
      <c r="Y419" s="35">
        <f>IF($F419="","",IFERROR(INDEX(사건마스터!$AV$5:$AV$64,MATCH($F419,사건마스터!$A$5:$A$64,0)),""))</f>
        <v/>
      </c>
      <c r="Z419" s="30">
        <f>IF(COUNTBLANK($J419:$Y419)=16,"",16-COUNTBLANK($J419:$Y419))</f>
        <v/>
      </c>
      <c r="AA419" s="33">
        <f>IF($J419="",MID($AX419,3,255),$J419&amp;$AX419)</f>
        <v/>
      </c>
      <c r="AB419" s="34">
        <f>IF($J419="","",IFERROR(INDEX(코드설정!$D$5:$D$24,MATCH($J419,코드설정!$C$5:$C$24,0)),""))</f>
        <v/>
      </c>
      <c r="AC419" s="36" t="n"/>
      <c r="AD419" s="37" t="n"/>
      <c r="AE419" s="38" t="n"/>
      <c r="AF419" s="30">
        <f>IF(OR($B419="",$C419=""),"",$C419-$B419+1)</f>
        <v/>
      </c>
      <c r="AG419" s="32" t="n"/>
      <c r="AH419" s="36" t="n"/>
      <c r="AJ419">
        <f>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  <c r="AX419">
        <f>AW419&amp;IF($Y419="","",", "&amp;$Y419)</f>
        <v/>
      </c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0">
        <f>IF($F420="","",COUNTIF($F$5:$F420,$F420))</f>
        <v/>
      </c>
      <c r="H420" s="33">
        <f>IF($F420="","",IFERROR(INDEX(사건마스터!$B$5:$B$64,MATCH($F420,사건마스터!$A$5:$A$64,0)),""))</f>
        <v/>
      </c>
      <c r="I420" s="34">
        <f>IF($F420="","",IFERROR(INDEX(사건마스터!$C$5:$C$64,MATCH($F420,사건마스터!$A$5:$A$64,0)),""))</f>
        <v/>
      </c>
      <c r="J420" s="35">
        <f>IF($F420="","",IFERROR(INDEX(사건마스터!$H$5:$H$64,MATCH($F420,사건마스터!$A$5:$A$64,0)),""))</f>
        <v/>
      </c>
      <c r="K420" s="35">
        <f>IF($F420="","",IFERROR(INDEX(사건마스터!$AH$5:$AH$64,MATCH($F420,사건마스터!$A$5:$A$64,0)),""))</f>
        <v/>
      </c>
      <c r="L420" s="35">
        <f>IF($F420="","",IFERROR(INDEX(사건마스터!$AI$5:$AI$64,MATCH($F420,사건마스터!$A$5:$A$64,0)),""))</f>
        <v/>
      </c>
      <c r="M420" s="35">
        <f>IF($F420="","",IFERROR(INDEX(사건마스터!$AJ$5:$AJ$64,MATCH($F420,사건마스터!$A$5:$A$64,0)),""))</f>
        <v/>
      </c>
      <c r="N420" s="35">
        <f>IF($F420="","",IFERROR(INDEX(사건마스터!$AK$5:$AK$64,MATCH($F420,사건마스터!$A$5:$A$64,0)),""))</f>
        <v/>
      </c>
      <c r="O420" s="35">
        <f>IF($F420="","",IFERROR(INDEX(사건마스터!$AL$5:$AL$64,MATCH($F420,사건마스터!$A$5:$A$64,0)),""))</f>
        <v/>
      </c>
      <c r="P420" s="35">
        <f>IF($F420="","",IFERROR(INDEX(사건마스터!$AM$5:$AM$64,MATCH($F420,사건마스터!$A$5:$A$64,0)),""))</f>
        <v/>
      </c>
      <c r="Q420" s="35">
        <f>IF($F420="","",IFERROR(INDEX(사건마스터!$AN$5:$AN$64,MATCH($F420,사건마스터!$A$5:$A$64,0)),""))</f>
        <v/>
      </c>
      <c r="R420" s="35">
        <f>IF($F420="","",IFERROR(INDEX(사건마스터!$AO$5:$AO$64,MATCH($F420,사건마스터!$A$5:$A$64,0)),""))</f>
        <v/>
      </c>
      <c r="S420" s="35">
        <f>IF($F420="","",IFERROR(INDEX(사건마스터!$AP$5:$AP$64,MATCH($F420,사건마스터!$A$5:$A$64,0)),""))</f>
        <v/>
      </c>
      <c r="T420" s="35">
        <f>IF($F420="","",IFERROR(INDEX(사건마스터!$AQ$5:$AQ$64,MATCH($F420,사건마스터!$A$5:$A$64,0)),""))</f>
        <v/>
      </c>
      <c r="U420" s="35">
        <f>IF($F420="","",IFERROR(INDEX(사건마스터!$AR$5:$AR$64,MATCH($F420,사건마스터!$A$5:$A$64,0)),""))</f>
        <v/>
      </c>
      <c r="V420" s="35">
        <f>IF($F420="","",IFERROR(INDEX(사건마스터!$AS$5:$AS$64,MATCH($F420,사건마스터!$A$5:$A$64,0)),""))</f>
        <v/>
      </c>
      <c r="W420" s="35">
        <f>IF($F420="","",IFERROR(INDEX(사건마스터!$AT$5:$AT$64,MATCH($F420,사건마스터!$A$5:$A$64,0)),""))</f>
        <v/>
      </c>
      <c r="X420" s="35">
        <f>IF($F420="","",IFERROR(INDEX(사건마스터!$AU$5:$AU$64,MATCH($F420,사건마스터!$A$5:$A$64,0)),""))</f>
        <v/>
      </c>
      <c r="Y420" s="35">
        <f>IF($F420="","",IFERROR(INDEX(사건마스터!$AV$5:$AV$64,MATCH($F420,사건마스터!$A$5:$A$64,0)),""))</f>
        <v/>
      </c>
      <c r="Z420" s="30">
        <f>IF(COUNTBLANK($J420:$Y420)=16,"",16-COUNTBLANK($J420:$Y420))</f>
        <v/>
      </c>
      <c r="AA420" s="33">
        <f>IF($J420="",MID($AX420,3,255),$J420&amp;$AX420)</f>
        <v/>
      </c>
      <c r="AB420" s="34">
        <f>IF($J420="","",IFERROR(INDEX(코드설정!$D$5:$D$24,MATCH($J420,코드설정!$C$5:$C$24,0)),""))</f>
        <v/>
      </c>
      <c r="AC420" s="36" t="n"/>
      <c r="AD420" s="37" t="n"/>
      <c r="AE420" s="38" t="n"/>
      <c r="AF420" s="30">
        <f>IF(OR($B420="",$C420=""),"",$C420-$B420+1)</f>
        <v/>
      </c>
      <c r="AG420" s="32" t="n"/>
      <c r="AH420" s="36" t="n"/>
      <c r="AJ420">
        <f>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  <c r="AX420">
        <f>AW420&amp;IF($Y420="","",", "&amp;$Y420)</f>
        <v/>
      </c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0">
        <f>IF($F421="","",COUNTIF($F$5:$F421,$F421))</f>
        <v/>
      </c>
      <c r="H421" s="33">
        <f>IF($F421="","",IFERROR(INDEX(사건마스터!$B$5:$B$64,MATCH($F421,사건마스터!$A$5:$A$64,0)),""))</f>
        <v/>
      </c>
      <c r="I421" s="34">
        <f>IF($F421="","",IFERROR(INDEX(사건마스터!$C$5:$C$64,MATCH($F421,사건마스터!$A$5:$A$64,0)),""))</f>
        <v/>
      </c>
      <c r="J421" s="35">
        <f>IF($F421="","",IFERROR(INDEX(사건마스터!$H$5:$H$64,MATCH($F421,사건마스터!$A$5:$A$64,0)),""))</f>
        <v/>
      </c>
      <c r="K421" s="35">
        <f>IF($F421="","",IFERROR(INDEX(사건마스터!$AH$5:$AH$64,MATCH($F421,사건마스터!$A$5:$A$64,0)),""))</f>
        <v/>
      </c>
      <c r="L421" s="35">
        <f>IF($F421="","",IFERROR(INDEX(사건마스터!$AI$5:$AI$64,MATCH($F421,사건마스터!$A$5:$A$64,0)),""))</f>
        <v/>
      </c>
      <c r="M421" s="35">
        <f>IF($F421="","",IFERROR(INDEX(사건마스터!$AJ$5:$AJ$64,MATCH($F421,사건마스터!$A$5:$A$64,0)),""))</f>
        <v/>
      </c>
      <c r="N421" s="35">
        <f>IF($F421="","",IFERROR(INDEX(사건마스터!$AK$5:$AK$64,MATCH($F421,사건마스터!$A$5:$A$64,0)),""))</f>
        <v/>
      </c>
      <c r="O421" s="35">
        <f>IF($F421="","",IFERROR(INDEX(사건마스터!$AL$5:$AL$64,MATCH($F421,사건마스터!$A$5:$A$64,0)),""))</f>
        <v/>
      </c>
      <c r="P421" s="35">
        <f>IF($F421="","",IFERROR(INDEX(사건마스터!$AM$5:$AM$64,MATCH($F421,사건마스터!$A$5:$A$64,0)),""))</f>
        <v/>
      </c>
      <c r="Q421" s="35">
        <f>IF($F421="","",IFERROR(INDEX(사건마스터!$AN$5:$AN$64,MATCH($F421,사건마스터!$A$5:$A$64,0)),""))</f>
        <v/>
      </c>
      <c r="R421" s="35">
        <f>IF($F421="","",IFERROR(INDEX(사건마스터!$AO$5:$AO$64,MATCH($F421,사건마스터!$A$5:$A$64,0)),""))</f>
        <v/>
      </c>
      <c r="S421" s="35">
        <f>IF($F421="","",IFERROR(INDEX(사건마스터!$AP$5:$AP$64,MATCH($F421,사건마스터!$A$5:$A$64,0)),""))</f>
        <v/>
      </c>
      <c r="T421" s="35">
        <f>IF($F421="","",IFERROR(INDEX(사건마스터!$AQ$5:$AQ$64,MATCH($F421,사건마스터!$A$5:$A$64,0)),""))</f>
        <v/>
      </c>
      <c r="U421" s="35">
        <f>IF($F421="","",IFERROR(INDEX(사건마스터!$AR$5:$AR$64,MATCH($F421,사건마스터!$A$5:$A$64,0)),""))</f>
        <v/>
      </c>
      <c r="V421" s="35">
        <f>IF($F421="","",IFERROR(INDEX(사건마스터!$AS$5:$AS$64,MATCH($F421,사건마스터!$A$5:$A$64,0)),""))</f>
        <v/>
      </c>
      <c r="W421" s="35">
        <f>IF($F421="","",IFERROR(INDEX(사건마스터!$AT$5:$AT$64,MATCH($F421,사건마스터!$A$5:$A$64,0)),""))</f>
        <v/>
      </c>
      <c r="X421" s="35">
        <f>IF($F421="","",IFERROR(INDEX(사건마스터!$AU$5:$AU$64,MATCH($F421,사건마스터!$A$5:$A$64,0)),""))</f>
        <v/>
      </c>
      <c r="Y421" s="35">
        <f>IF($F421="","",IFERROR(INDEX(사건마스터!$AV$5:$AV$64,MATCH($F421,사건마스터!$A$5:$A$64,0)),""))</f>
        <v/>
      </c>
      <c r="Z421" s="30">
        <f>IF(COUNTBLANK($J421:$Y421)=16,"",16-COUNTBLANK($J421:$Y421))</f>
        <v/>
      </c>
      <c r="AA421" s="33">
        <f>IF($J421="",MID($AX421,3,255),$J421&amp;$AX421)</f>
        <v/>
      </c>
      <c r="AB421" s="34">
        <f>IF($J421="","",IFERROR(INDEX(코드설정!$D$5:$D$24,MATCH($J421,코드설정!$C$5:$C$24,0)),""))</f>
        <v/>
      </c>
      <c r="AC421" s="36" t="n"/>
      <c r="AD421" s="37" t="n"/>
      <c r="AE421" s="38" t="n"/>
      <c r="AF421" s="30">
        <f>IF(OR($B421="",$C421=""),"",$C421-$B421+1)</f>
        <v/>
      </c>
      <c r="AG421" s="32" t="n"/>
      <c r="AH421" s="36" t="n"/>
      <c r="AJ421">
        <f>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  <c r="AX421">
        <f>AW421&amp;IF($Y421="","",", "&amp;$Y421)</f>
        <v/>
      </c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0">
        <f>IF($F422="","",COUNTIF($F$5:$F422,$F422))</f>
        <v/>
      </c>
      <c r="H422" s="33">
        <f>IF($F422="","",IFERROR(INDEX(사건마스터!$B$5:$B$64,MATCH($F422,사건마스터!$A$5:$A$64,0)),""))</f>
        <v/>
      </c>
      <c r="I422" s="34">
        <f>IF($F422="","",IFERROR(INDEX(사건마스터!$C$5:$C$64,MATCH($F422,사건마스터!$A$5:$A$64,0)),""))</f>
        <v/>
      </c>
      <c r="J422" s="35">
        <f>IF($F422="","",IFERROR(INDEX(사건마스터!$H$5:$H$64,MATCH($F422,사건마스터!$A$5:$A$64,0)),""))</f>
        <v/>
      </c>
      <c r="K422" s="35">
        <f>IF($F422="","",IFERROR(INDEX(사건마스터!$AH$5:$AH$64,MATCH($F422,사건마스터!$A$5:$A$64,0)),""))</f>
        <v/>
      </c>
      <c r="L422" s="35">
        <f>IF($F422="","",IFERROR(INDEX(사건마스터!$AI$5:$AI$64,MATCH($F422,사건마스터!$A$5:$A$64,0)),""))</f>
        <v/>
      </c>
      <c r="M422" s="35">
        <f>IF($F422="","",IFERROR(INDEX(사건마스터!$AJ$5:$AJ$64,MATCH($F422,사건마스터!$A$5:$A$64,0)),""))</f>
        <v/>
      </c>
      <c r="N422" s="35">
        <f>IF($F422="","",IFERROR(INDEX(사건마스터!$AK$5:$AK$64,MATCH($F422,사건마스터!$A$5:$A$64,0)),""))</f>
        <v/>
      </c>
      <c r="O422" s="35">
        <f>IF($F422="","",IFERROR(INDEX(사건마스터!$AL$5:$AL$64,MATCH($F422,사건마스터!$A$5:$A$64,0)),""))</f>
        <v/>
      </c>
      <c r="P422" s="35">
        <f>IF($F422="","",IFERROR(INDEX(사건마스터!$AM$5:$AM$64,MATCH($F422,사건마스터!$A$5:$A$64,0)),""))</f>
        <v/>
      </c>
      <c r="Q422" s="35">
        <f>IF($F422="","",IFERROR(INDEX(사건마스터!$AN$5:$AN$64,MATCH($F422,사건마스터!$A$5:$A$64,0)),""))</f>
        <v/>
      </c>
      <c r="R422" s="35">
        <f>IF($F422="","",IFERROR(INDEX(사건마스터!$AO$5:$AO$64,MATCH($F422,사건마스터!$A$5:$A$64,0)),""))</f>
        <v/>
      </c>
      <c r="S422" s="35">
        <f>IF($F422="","",IFERROR(INDEX(사건마스터!$AP$5:$AP$64,MATCH($F422,사건마스터!$A$5:$A$64,0)),""))</f>
        <v/>
      </c>
      <c r="T422" s="35">
        <f>IF($F422="","",IFERROR(INDEX(사건마스터!$AQ$5:$AQ$64,MATCH($F422,사건마스터!$A$5:$A$64,0)),""))</f>
        <v/>
      </c>
      <c r="U422" s="35">
        <f>IF($F422="","",IFERROR(INDEX(사건마스터!$AR$5:$AR$64,MATCH($F422,사건마스터!$A$5:$A$64,0)),""))</f>
        <v/>
      </c>
      <c r="V422" s="35">
        <f>IF($F422="","",IFERROR(INDEX(사건마스터!$AS$5:$AS$64,MATCH($F422,사건마스터!$A$5:$A$64,0)),""))</f>
        <v/>
      </c>
      <c r="W422" s="35">
        <f>IF($F422="","",IFERROR(INDEX(사건마스터!$AT$5:$AT$64,MATCH($F422,사건마스터!$A$5:$A$64,0)),""))</f>
        <v/>
      </c>
      <c r="X422" s="35">
        <f>IF($F422="","",IFERROR(INDEX(사건마스터!$AU$5:$AU$64,MATCH($F422,사건마스터!$A$5:$A$64,0)),""))</f>
        <v/>
      </c>
      <c r="Y422" s="35">
        <f>IF($F422="","",IFERROR(INDEX(사건마스터!$AV$5:$AV$64,MATCH($F422,사건마스터!$A$5:$A$64,0)),""))</f>
        <v/>
      </c>
      <c r="Z422" s="30">
        <f>IF(COUNTBLANK($J422:$Y422)=16,"",16-COUNTBLANK($J422:$Y422))</f>
        <v/>
      </c>
      <c r="AA422" s="33">
        <f>IF($J422="",MID($AX422,3,255),$J422&amp;$AX422)</f>
        <v/>
      </c>
      <c r="AB422" s="34">
        <f>IF($J422="","",IFERROR(INDEX(코드설정!$D$5:$D$24,MATCH($J422,코드설정!$C$5:$C$24,0)),""))</f>
        <v/>
      </c>
      <c r="AC422" s="36" t="n"/>
      <c r="AD422" s="37" t="n"/>
      <c r="AE422" s="38" t="n"/>
      <c r="AF422" s="30">
        <f>IF(OR($B422="",$C422=""),"",$C422-$B422+1)</f>
        <v/>
      </c>
      <c r="AG422" s="32" t="n"/>
      <c r="AH422" s="36" t="n"/>
      <c r="AJ422">
        <f>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  <c r="AX422">
        <f>AW422&amp;IF($Y422="","",", "&amp;$Y422)</f>
        <v/>
      </c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0">
        <f>IF($F423="","",COUNTIF($F$5:$F423,$F423))</f>
        <v/>
      </c>
      <c r="H423" s="33">
        <f>IF($F423="","",IFERROR(INDEX(사건마스터!$B$5:$B$64,MATCH($F423,사건마스터!$A$5:$A$64,0)),""))</f>
        <v/>
      </c>
      <c r="I423" s="34">
        <f>IF($F423="","",IFERROR(INDEX(사건마스터!$C$5:$C$64,MATCH($F423,사건마스터!$A$5:$A$64,0)),""))</f>
        <v/>
      </c>
      <c r="J423" s="35">
        <f>IF($F423="","",IFERROR(INDEX(사건마스터!$H$5:$H$64,MATCH($F423,사건마스터!$A$5:$A$64,0)),""))</f>
        <v/>
      </c>
      <c r="K423" s="35">
        <f>IF($F423="","",IFERROR(INDEX(사건마스터!$AH$5:$AH$64,MATCH($F423,사건마스터!$A$5:$A$64,0)),""))</f>
        <v/>
      </c>
      <c r="L423" s="35">
        <f>IF($F423="","",IFERROR(INDEX(사건마스터!$AI$5:$AI$64,MATCH($F423,사건마스터!$A$5:$A$64,0)),""))</f>
        <v/>
      </c>
      <c r="M423" s="35">
        <f>IF($F423="","",IFERROR(INDEX(사건마스터!$AJ$5:$AJ$64,MATCH($F423,사건마스터!$A$5:$A$64,0)),""))</f>
        <v/>
      </c>
      <c r="N423" s="35">
        <f>IF($F423="","",IFERROR(INDEX(사건마스터!$AK$5:$AK$64,MATCH($F423,사건마스터!$A$5:$A$64,0)),""))</f>
        <v/>
      </c>
      <c r="O423" s="35">
        <f>IF($F423="","",IFERROR(INDEX(사건마스터!$AL$5:$AL$64,MATCH($F423,사건마스터!$A$5:$A$64,0)),""))</f>
        <v/>
      </c>
      <c r="P423" s="35">
        <f>IF($F423="","",IFERROR(INDEX(사건마스터!$AM$5:$AM$64,MATCH($F423,사건마스터!$A$5:$A$64,0)),""))</f>
        <v/>
      </c>
      <c r="Q423" s="35">
        <f>IF($F423="","",IFERROR(INDEX(사건마스터!$AN$5:$AN$64,MATCH($F423,사건마스터!$A$5:$A$64,0)),""))</f>
        <v/>
      </c>
      <c r="R423" s="35">
        <f>IF($F423="","",IFERROR(INDEX(사건마스터!$AO$5:$AO$64,MATCH($F423,사건마스터!$A$5:$A$64,0)),""))</f>
        <v/>
      </c>
      <c r="S423" s="35">
        <f>IF($F423="","",IFERROR(INDEX(사건마스터!$AP$5:$AP$64,MATCH($F423,사건마스터!$A$5:$A$64,0)),""))</f>
        <v/>
      </c>
      <c r="T423" s="35">
        <f>IF($F423="","",IFERROR(INDEX(사건마스터!$AQ$5:$AQ$64,MATCH($F423,사건마스터!$A$5:$A$64,0)),""))</f>
        <v/>
      </c>
      <c r="U423" s="35">
        <f>IF($F423="","",IFERROR(INDEX(사건마스터!$AR$5:$AR$64,MATCH($F423,사건마스터!$A$5:$A$64,0)),""))</f>
        <v/>
      </c>
      <c r="V423" s="35">
        <f>IF($F423="","",IFERROR(INDEX(사건마스터!$AS$5:$AS$64,MATCH($F423,사건마스터!$A$5:$A$64,0)),""))</f>
        <v/>
      </c>
      <c r="W423" s="35">
        <f>IF($F423="","",IFERROR(INDEX(사건마스터!$AT$5:$AT$64,MATCH($F423,사건마스터!$A$5:$A$64,0)),""))</f>
        <v/>
      </c>
      <c r="X423" s="35">
        <f>IF($F423="","",IFERROR(INDEX(사건마스터!$AU$5:$AU$64,MATCH($F423,사건마스터!$A$5:$A$64,0)),""))</f>
        <v/>
      </c>
      <c r="Y423" s="35">
        <f>IF($F423="","",IFERROR(INDEX(사건마스터!$AV$5:$AV$64,MATCH($F423,사건마스터!$A$5:$A$64,0)),""))</f>
        <v/>
      </c>
      <c r="Z423" s="30">
        <f>IF(COUNTBLANK($J423:$Y423)=16,"",16-COUNTBLANK($J423:$Y423))</f>
        <v/>
      </c>
      <c r="AA423" s="33">
        <f>IF($J423="",MID($AX423,3,255),$J423&amp;$AX423)</f>
        <v/>
      </c>
      <c r="AB423" s="34">
        <f>IF($J423="","",IFERROR(INDEX(코드설정!$D$5:$D$24,MATCH($J423,코드설정!$C$5:$C$24,0)),""))</f>
        <v/>
      </c>
      <c r="AC423" s="36" t="n"/>
      <c r="AD423" s="37" t="n"/>
      <c r="AE423" s="38" t="n"/>
      <c r="AF423" s="30">
        <f>IF(OR($B423="",$C423=""),"",$C423-$B423+1)</f>
        <v/>
      </c>
      <c r="AG423" s="32" t="n"/>
      <c r="AH423" s="36" t="n"/>
      <c r="AJ423">
        <f>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  <c r="AX423">
        <f>AW423&amp;IF($Y423="","",", "&amp;$Y423)</f>
        <v/>
      </c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0">
        <f>IF($F424="","",COUNTIF($F$5:$F424,$F424))</f>
        <v/>
      </c>
      <c r="H424" s="33">
        <f>IF($F424="","",IFERROR(INDEX(사건마스터!$B$5:$B$64,MATCH($F424,사건마스터!$A$5:$A$64,0)),""))</f>
        <v/>
      </c>
      <c r="I424" s="34">
        <f>IF($F424="","",IFERROR(INDEX(사건마스터!$C$5:$C$64,MATCH($F424,사건마스터!$A$5:$A$64,0)),""))</f>
        <v/>
      </c>
      <c r="J424" s="35">
        <f>IF($F424="","",IFERROR(INDEX(사건마스터!$H$5:$H$64,MATCH($F424,사건마스터!$A$5:$A$64,0)),""))</f>
        <v/>
      </c>
      <c r="K424" s="35">
        <f>IF($F424="","",IFERROR(INDEX(사건마스터!$AH$5:$AH$64,MATCH($F424,사건마스터!$A$5:$A$64,0)),""))</f>
        <v/>
      </c>
      <c r="L424" s="35">
        <f>IF($F424="","",IFERROR(INDEX(사건마스터!$AI$5:$AI$64,MATCH($F424,사건마스터!$A$5:$A$64,0)),""))</f>
        <v/>
      </c>
      <c r="M424" s="35">
        <f>IF($F424="","",IFERROR(INDEX(사건마스터!$AJ$5:$AJ$64,MATCH($F424,사건마스터!$A$5:$A$64,0)),""))</f>
        <v/>
      </c>
      <c r="N424" s="35">
        <f>IF($F424="","",IFERROR(INDEX(사건마스터!$AK$5:$AK$64,MATCH($F424,사건마스터!$A$5:$A$64,0)),""))</f>
        <v/>
      </c>
      <c r="O424" s="35">
        <f>IF($F424="","",IFERROR(INDEX(사건마스터!$AL$5:$AL$64,MATCH($F424,사건마스터!$A$5:$A$64,0)),""))</f>
        <v/>
      </c>
      <c r="P424" s="35">
        <f>IF($F424="","",IFERROR(INDEX(사건마스터!$AM$5:$AM$64,MATCH($F424,사건마스터!$A$5:$A$64,0)),""))</f>
        <v/>
      </c>
      <c r="Q424" s="35">
        <f>IF($F424="","",IFERROR(INDEX(사건마스터!$AN$5:$AN$64,MATCH($F424,사건마스터!$A$5:$A$64,0)),""))</f>
        <v/>
      </c>
      <c r="R424" s="35">
        <f>IF($F424="","",IFERROR(INDEX(사건마스터!$AO$5:$AO$64,MATCH($F424,사건마스터!$A$5:$A$64,0)),""))</f>
        <v/>
      </c>
      <c r="S424" s="35">
        <f>IF($F424="","",IFERROR(INDEX(사건마스터!$AP$5:$AP$64,MATCH($F424,사건마스터!$A$5:$A$64,0)),""))</f>
        <v/>
      </c>
      <c r="T424" s="35">
        <f>IF($F424="","",IFERROR(INDEX(사건마스터!$AQ$5:$AQ$64,MATCH($F424,사건마스터!$A$5:$A$64,0)),""))</f>
        <v/>
      </c>
      <c r="U424" s="35">
        <f>IF($F424="","",IFERROR(INDEX(사건마스터!$AR$5:$AR$64,MATCH($F424,사건마스터!$A$5:$A$64,0)),""))</f>
        <v/>
      </c>
      <c r="V424" s="35">
        <f>IF($F424="","",IFERROR(INDEX(사건마스터!$AS$5:$AS$64,MATCH($F424,사건마스터!$A$5:$A$64,0)),""))</f>
        <v/>
      </c>
      <c r="W424" s="35">
        <f>IF($F424="","",IFERROR(INDEX(사건마스터!$AT$5:$AT$64,MATCH($F424,사건마스터!$A$5:$A$64,0)),""))</f>
        <v/>
      </c>
      <c r="X424" s="35">
        <f>IF($F424="","",IFERROR(INDEX(사건마스터!$AU$5:$AU$64,MATCH($F424,사건마스터!$A$5:$A$64,0)),""))</f>
        <v/>
      </c>
      <c r="Y424" s="35">
        <f>IF($F424="","",IFERROR(INDEX(사건마스터!$AV$5:$AV$64,MATCH($F424,사건마스터!$A$5:$A$64,0)),""))</f>
        <v/>
      </c>
      <c r="Z424" s="30">
        <f>IF(COUNTBLANK($J424:$Y424)=16,"",16-COUNTBLANK($J424:$Y424))</f>
        <v/>
      </c>
      <c r="AA424" s="33">
        <f>IF($J424="",MID($AX424,3,255),$J424&amp;$AX424)</f>
        <v/>
      </c>
      <c r="AB424" s="34">
        <f>IF($J424="","",IFERROR(INDEX(코드설정!$D$5:$D$24,MATCH($J424,코드설정!$C$5:$C$24,0)),""))</f>
        <v/>
      </c>
      <c r="AC424" s="36" t="n"/>
      <c r="AD424" s="37" t="n"/>
      <c r="AE424" s="38" t="n"/>
      <c r="AF424" s="30">
        <f>IF(OR($B424="",$C424=""),"",$C424-$B424+1)</f>
        <v/>
      </c>
      <c r="AG424" s="32" t="n"/>
      <c r="AH424" s="36" t="n"/>
      <c r="AJ424">
        <f>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  <c r="AX424">
        <f>AW424&amp;IF($Y424="","",", "&amp;$Y424)</f>
        <v/>
      </c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0">
        <f>IF($F425="","",COUNTIF($F$5:$F425,$F425))</f>
        <v/>
      </c>
      <c r="H425" s="33">
        <f>IF($F425="","",IFERROR(INDEX(사건마스터!$B$5:$B$64,MATCH($F425,사건마스터!$A$5:$A$64,0)),""))</f>
        <v/>
      </c>
      <c r="I425" s="34">
        <f>IF($F425="","",IFERROR(INDEX(사건마스터!$C$5:$C$64,MATCH($F425,사건마스터!$A$5:$A$64,0)),""))</f>
        <v/>
      </c>
      <c r="J425" s="35">
        <f>IF($F425="","",IFERROR(INDEX(사건마스터!$H$5:$H$64,MATCH($F425,사건마스터!$A$5:$A$64,0)),""))</f>
        <v/>
      </c>
      <c r="K425" s="35">
        <f>IF($F425="","",IFERROR(INDEX(사건마스터!$AH$5:$AH$64,MATCH($F425,사건마스터!$A$5:$A$64,0)),""))</f>
        <v/>
      </c>
      <c r="L425" s="35">
        <f>IF($F425="","",IFERROR(INDEX(사건마스터!$AI$5:$AI$64,MATCH($F425,사건마스터!$A$5:$A$64,0)),""))</f>
        <v/>
      </c>
      <c r="M425" s="35">
        <f>IF($F425="","",IFERROR(INDEX(사건마스터!$AJ$5:$AJ$64,MATCH($F425,사건마스터!$A$5:$A$64,0)),""))</f>
        <v/>
      </c>
      <c r="N425" s="35">
        <f>IF($F425="","",IFERROR(INDEX(사건마스터!$AK$5:$AK$64,MATCH($F425,사건마스터!$A$5:$A$64,0)),""))</f>
        <v/>
      </c>
      <c r="O425" s="35">
        <f>IF($F425="","",IFERROR(INDEX(사건마스터!$AL$5:$AL$64,MATCH($F425,사건마스터!$A$5:$A$64,0)),""))</f>
        <v/>
      </c>
      <c r="P425" s="35">
        <f>IF($F425="","",IFERROR(INDEX(사건마스터!$AM$5:$AM$64,MATCH($F425,사건마스터!$A$5:$A$64,0)),""))</f>
        <v/>
      </c>
      <c r="Q425" s="35">
        <f>IF($F425="","",IFERROR(INDEX(사건마스터!$AN$5:$AN$64,MATCH($F425,사건마스터!$A$5:$A$64,0)),""))</f>
        <v/>
      </c>
      <c r="R425" s="35">
        <f>IF($F425="","",IFERROR(INDEX(사건마스터!$AO$5:$AO$64,MATCH($F425,사건마스터!$A$5:$A$64,0)),""))</f>
        <v/>
      </c>
      <c r="S425" s="35">
        <f>IF($F425="","",IFERROR(INDEX(사건마스터!$AP$5:$AP$64,MATCH($F425,사건마스터!$A$5:$A$64,0)),""))</f>
        <v/>
      </c>
      <c r="T425" s="35">
        <f>IF($F425="","",IFERROR(INDEX(사건마스터!$AQ$5:$AQ$64,MATCH($F425,사건마스터!$A$5:$A$64,0)),""))</f>
        <v/>
      </c>
      <c r="U425" s="35">
        <f>IF($F425="","",IFERROR(INDEX(사건마스터!$AR$5:$AR$64,MATCH($F425,사건마스터!$A$5:$A$64,0)),""))</f>
        <v/>
      </c>
      <c r="V425" s="35">
        <f>IF($F425="","",IFERROR(INDEX(사건마스터!$AS$5:$AS$64,MATCH($F425,사건마스터!$A$5:$A$64,0)),""))</f>
        <v/>
      </c>
      <c r="W425" s="35">
        <f>IF($F425="","",IFERROR(INDEX(사건마스터!$AT$5:$AT$64,MATCH($F425,사건마스터!$A$5:$A$64,0)),""))</f>
        <v/>
      </c>
      <c r="X425" s="35">
        <f>IF($F425="","",IFERROR(INDEX(사건마스터!$AU$5:$AU$64,MATCH($F425,사건마스터!$A$5:$A$64,0)),""))</f>
        <v/>
      </c>
      <c r="Y425" s="35">
        <f>IF($F425="","",IFERROR(INDEX(사건마스터!$AV$5:$AV$64,MATCH($F425,사건마스터!$A$5:$A$64,0)),""))</f>
        <v/>
      </c>
      <c r="Z425" s="30">
        <f>IF(COUNTBLANK($J425:$Y425)=16,"",16-COUNTBLANK($J425:$Y425))</f>
        <v/>
      </c>
      <c r="AA425" s="33">
        <f>IF($J425="",MID($AX425,3,255),$J425&amp;$AX425)</f>
        <v/>
      </c>
      <c r="AB425" s="34">
        <f>IF($J425="","",IFERROR(INDEX(코드설정!$D$5:$D$24,MATCH($J425,코드설정!$C$5:$C$24,0)),""))</f>
        <v/>
      </c>
      <c r="AC425" s="36" t="n"/>
      <c r="AD425" s="37" t="n"/>
      <c r="AE425" s="38" t="n"/>
      <c r="AF425" s="30">
        <f>IF(OR($B425="",$C425=""),"",$C425-$B425+1)</f>
        <v/>
      </c>
      <c r="AG425" s="32" t="n"/>
      <c r="AH425" s="36" t="n"/>
      <c r="AJ425">
        <f>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  <c r="AX425">
        <f>AW425&amp;IF($Y425="","",", "&amp;$Y425)</f>
        <v/>
      </c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0">
        <f>IF($F426="","",COUNTIF($F$5:$F426,$F426))</f>
        <v/>
      </c>
      <c r="H426" s="33">
        <f>IF($F426="","",IFERROR(INDEX(사건마스터!$B$5:$B$64,MATCH($F426,사건마스터!$A$5:$A$64,0)),""))</f>
        <v/>
      </c>
      <c r="I426" s="34">
        <f>IF($F426="","",IFERROR(INDEX(사건마스터!$C$5:$C$64,MATCH($F426,사건마스터!$A$5:$A$64,0)),""))</f>
        <v/>
      </c>
      <c r="J426" s="35">
        <f>IF($F426="","",IFERROR(INDEX(사건마스터!$H$5:$H$64,MATCH($F426,사건마스터!$A$5:$A$64,0)),""))</f>
        <v/>
      </c>
      <c r="K426" s="35">
        <f>IF($F426="","",IFERROR(INDEX(사건마스터!$AH$5:$AH$64,MATCH($F426,사건마스터!$A$5:$A$64,0)),""))</f>
        <v/>
      </c>
      <c r="L426" s="35">
        <f>IF($F426="","",IFERROR(INDEX(사건마스터!$AI$5:$AI$64,MATCH($F426,사건마스터!$A$5:$A$64,0)),""))</f>
        <v/>
      </c>
      <c r="M426" s="35">
        <f>IF($F426="","",IFERROR(INDEX(사건마스터!$AJ$5:$AJ$64,MATCH($F426,사건마스터!$A$5:$A$64,0)),""))</f>
        <v/>
      </c>
      <c r="N426" s="35">
        <f>IF($F426="","",IFERROR(INDEX(사건마스터!$AK$5:$AK$64,MATCH($F426,사건마스터!$A$5:$A$64,0)),""))</f>
        <v/>
      </c>
      <c r="O426" s="35">
        <f>IF($F426="","",IFERROR(INDEX(사건마스터!$AL$5:$AL$64,MATCH($F426,사건마스터!$A$5:$A$64,0)),""))</f>
        <v/>
      </c>
      <c r="P426" s="35">
        <f>IF($F426="","",IFERROR(INDEX(사건마스터!$AM$5:$AM$64,MATCH($F426,사건마스터!$A$5:$A$64,0)),""))</f>
        <v/>
      </c>
      <c r="Q426" s="35">
        <f>IF($F426="","",IFERROR(INDEX(사건마스터!$AN$5:$AN$64,MATCH($F426,사건마스터!$A$5:$A$64,0)),""))</f>
        <v/>
      </c>
      <c r="R426" s="35">
        <f>IF($F426="","",IFERROR(INDEX(사건마스터!$AO$5:$AO$64,MATCH($F426,사건마스터!$A$5:$A$64,0)),""))</f>
        <v/>
      </c>
      <c r="S426" s="35">
        <f>IF($F426="","",IFERROR(INDEX(사건마스터!$AP$5:$AP$64,MATCH($F426,사건마스터!$A$5:$A$64,0)),""))</f>
        <v/>
      </c>
      <c r="T426" s="35">
        <f>IF($F426="","",IFERROR(INDEX(사건마스터!$AQ$5:$AQ$64,MATCH($F426,사건마스터!$A$5:$A$64,0)),""))</f>
        <v/>
      </c>
      <c r="U426" s="35">
        <f>IF($F426="","",IFERROR(INDEX(사건마스터!$AR$5:$AR$64,MATCH($F426,사건마스터!$A$5:$A$64,0)),""))</f>
        <v/>
      </c>
      <c r="V426" s="35">
        <f>IF($F426="","",IFERROR(INDEX(사건마스터!$AS$5:$AS$64,MATCH($F426,사건마스터!$A$5:$A$64,0)),""))</f>
        <v/>
      </c>
      <c r="W426" s="35">
        <f>IF($F426="","",IFERROR(INDEX(사건마스터!$AT$5:$AT$64,MATCH($F426,사건마스터!$A$5:$A$64,0)),""))</f>
        <v/>
      </c>
      <c r="X426" s="35">
        <f>IF($F426="","",IFERROR(INDEX(사건마스터!$AU$5:$AU$64,MATCH($F426,사건마스터!$A$5:$A$64,0)),""))</f>
        <v/>
      </c>
      <c r="Y426" s="35">
        <f>IF($F426="","",IFERROR(INDEX(사건마스터!$AV$5:$AV$64,MATCH($F426,사건마스터!$A$5:$A$64,0)),""))</f>
        <v/>
      </c>
      <c r="Z426" s="30">
        <f>IF(COUNTBLANK($J426:$Y426)=16,"",16-COUNTBLANK($J426:$Y426))</f>
        <v/>
      </c>
      <c r="AA426" s="33">
        <f>IF($J426="",MID($AX426,3,255),$J426&amp;$AX426)</f>
        <v/>
      </c>
      <c r="AB426" s="34">
        <f>IF($J426="","",IFERROR(INDEX(코드설정!$D$5:$D$24,MATCH($J426,코드설정!$C$5:$C$24,0)),""))</f>
        <v/>
      </c>
      <c r="AC426" s="36" t="n"/>
      <c r="AD426" s="37" t="n"/>
      <c r="AE426" s="38" t="n"/>
      <c r="AF426" s="30">
        <f>IF(OR($B426="",$C426=""),"",$C426-$B426+1)</f>
        <v/>
      </c>
      <c r="AG426" s="32" t="n"/>
      <c r="AH426" s="36" t="n"/>
      <c r="AJ426">
        <f>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  <c r="AX426">
        <f>AW426&amp;IF($Y426="","",", "&amp;$Y426)</f>
        <v/>
      </c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0">
        <f>IF($F427="","",COUNTIF($F$5:$F427,$F427))</f>
        <v/>
      </c>
      <c r="H427" s="33">
        <f>IF($F427="","",IFERROR(INDEX(사건마스터!$B$5:$B$64,MATCH($F427,사건마스터!$A$5:$A$64,0)),""))</f>
        <v/>
      </c>
      <c r="I427" s="34">
        <f>IF($F427="","",IFERROR(INDEX(사건마스터!$C$5:$C$64,MATCH($F427,사건마스터!$A$5:$A$64,0)),""))</f>
        <v/>
      </c>
      <c r="J427" s="35">
        <f>IF($F427="","",IFERROR(INDEX(사건마스터!$H$5:$H$64,MATCH($F427,사건마스터!$A$5:$A$64,0)),""))</f>
        <v/>
      </c>
      <c r="K427" s="35">
        <f>IF($F427="","",IFERROR(INDEX(사건마스터!$AH$5:$AH$64,MATCH($F427,사건마스터!$A$5:$A$64,0)),""))</f>
        <v/>
      </c>
      <c r="L427" s="35">
        <f>IF($F427="","",IFERROR(INDEX(사건마스터!$AI$5:$AI$64,MATCH($F427,사건마스터!$A$5:$A$64,0)),""))</f>
        <v/>
      </c>
      <c r="M427" s="35">
        <f>IF($F427="","",IFERROR(INDEX(사건마스터!$AJ$5:$AJ$64,MATCH($F427,사건마스터!$A$5:$A$64,0)),""))</f>
        <v/>
      </c>
      <c r="N427" s="35">
        <f>IF($F427="","",IFERROR(INDEX(사건마스터!$AK$5:$AK$64,MATCH($F427,사건마스터!$A$5:$A$64,0)),""))</f>
        <v/>
      </c>
      <c r="O427" s="35">
        <f>IF($F427="","",IFERROR(INDEX(사건마스터!$AL$5:$AL$64,MATCH($F427,사건마스터!$A$5:$A$64,0)),""))</f>
        <v/>
      </c>
      <c r="P427" s="35">
        <f>IF($F427="","",IFERROR(INDEX(사건마스터!$AM$5:$AM$64,MATCH($F427,사건마스터!$A$5:$A$64,0)),""))</f>
        <v/>
      </c>
      <c r="Q427" s="35">
        <f>IF($F427="","",IFERROR(INDEX(사건마스터!$AN$5:$AN$64,MATCH($F427,사건마스터!$A$5:$A$64,0)),""))</f>
        <v/>
      </c>
      <c r="R427" s="35">
        <f>IF($F427="","",IFERROR(INDEX(사건마스터!$AO$5:$AO$64,MATCH($F427,사건마스터!$A$5:$A$64,0)),""))</f>
        <v/>
      </c>
      <c r="S427" s="35">
        <f>IF($F427="","",IFERROR(INDEX(사건마스터!$AP$5:$AP$64,MATCH($F427,사건마스터!$A$5:$A$64,0)),""))</f>
        <v/>
      </c>
      <c r="T427" s="35">
        <f>IF($F427="","",IFERROR(INDEX(사건마스터!$AQ$5:$AQ$64,MATCH($F427,사건마스터!$A$5:$A$64,0)),""))</f>
        <v/>
      </c>
      <c r="U427" s="35">
        <f>IF($F427="","",IFERROR(INDEX(사건마스터!$AR$5:$AR$64,MATCH($F427,사건마스터!$A$5:$A$64,0)),""))</f>
        <v/>
      </c>
      <c r="V427" s="35">
        <f>IF($F427="","",IFERROR(INDEX(사건마스터!$AS$5:$AS$64,MATCH($F427,사건마스터!$A$5:$A$64,0)),""))</f>
        <v/>
      </c>
      <c r="W427" s="35">
        <f>IF($F427="","",IFERROR(INDEX(사건마스터!$AT$5:$AT$64,MATCH($F427,사건마스터!$A$5:$A$64,0)),""))</f>
        <v/>
      </c>
      <c r="X427" s="35">
        <f>IF($F427="","",IFERROR(INDEX(사건마스터!$AU$5:$AU$64,MATCH($F427,사건마스터!$A$5:$A$64,0)),""))</f>
        <v/>
      </c>
      <c r="Y427" s="35">
        <f>IF($F427="","",IFERROR(INDEX(사건마스터!$AV$5:$AV$64,MATCH($F427,사건마스터!$A$5:$A$64,0)),""))</f>
        <v/>
      </c>
      <c r="Z427" s="30">
        <f>IF(COUNTBLANK($J427:$Y427)=16,"",16-COUNTBLANK($J427:$Y427))</f>
        <v/>
      </c>
      <c r="AA427" s="33">
        <f>IF($J427="",MID($AX427,3,255),$J427&amp;$AX427)</f>
        <v/>
      </c>
      <c r="AB427" s="34">
        <f>IF($J427="","",IFERROR(INDEX(코드설정!$D$5:$D$24,MATCH($J427,코드설정!$C$5:$C$24,0)),""))</f>
        <v/>
      </c>
      <c r="AC427" s="36" t="n"/>
      <c r="AD427" s="37" t="n"/>
      <c r="AE427" s="38" t="n"/>
      <c r="AF427" s="30">
        <f>IF(OR($B427="",$C427=""),"",$C427-$B427+1)</f>
        <v/>
      </c>
      <c r="AG427" s="32" t="n"/>
      <c r="AH427" s="36" t="n"/>
      <c r="AJ427">
        <f>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  <c r="AX427">
        <f>AW427&amp;IF($Y427="","",", "&amp;$Y427)</f>
        <v/>
      </c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0">
        <f>IF($F428="","",COUNTIF($F$5:$F428,$F428))</f>
        <v/>
      </c>
      <c r="H428" s="33">
        <f>IF($F428="","",IFERROR(INDEX(사건마스터!$B$5:$B$64,MATCH($F428,사건마스터!$A$5:$A$64,0)),""))</f>
        <v/>
      </c>
      <c r="I428" s="34">
        <f>IF($F428="","",IFERROR(INDEX(사건마스터!$C$5:$C$64,MATCH($F428,사건마스터!$A$5:$A$64,0)),""))</f>
        <v/>
      </c>
      <c r="J428" s="35">
        <f>IF($F428="","",IFERROR(INDEX(사건마스터!$H$5:$H$64,MATCH($F428,사건마스터!$A$5:$A$64,0)),""))</f>
        <v/>
      </c>
      <c r="K428" s="35">
        <f>IF($F428="","",IFERROR(INDEX(사건마스터!$AH$5:$AH$64,MATCH($F428,사건마스터!$A$5:$A$64,0)),""))</f>
        <v/>
      </c>
      <c r="L428" s="35">
        <f>IF($F428="","",IFERROR(INDEX(사건마스터!$AI$5:$AI$64,MATCH($F428,사건마스터!$A$5:$A$64,0)),""))</f>
        <v/>
      </c>
      <c r="M428" s="35">
        <f>IF($F428="","",IFERROR(INDEX(사건마스터!$AJ$5:$AJ$64,MATCH($F428,사건마스터!$A$5:$A$64,0)),""))</f>
        <v/>
      </c>
      <c r="N428" s="35">
        <f>IF($F428="","",IFERROR(INDEX(사건마스터!$AK$5:$AK$64,MATCH($F428,사건마스터!$A$5:$A$64,0)),""))</f>
        <v/>
      </c>
      <c r="O428" s="35">
        <f>IF($F428="","",IFERROR(INDEX(사건마스터!$AL$5:$AL$64,MATCH($F428,사건마스터!$A$5:$A$64,0)),""))</f>
        <v/>
      </c>
      <c r="P428" s="35">
        <f>IF($F428="","",IFERROR(INDEX(사건마스터!$AM$5:$AM$64,MATCH($F428,사건마스터!$A$5:$A$64,0)),""))</f>
        <v/>
      </c>
      <c r="Q428" s="35">
        <f>IF($F428="","",IFERROR(INDEX(사건마스터!$AN$5:$AN$64,MATCH($F428,사건마스터!$A$5:$A$64,0)),""))</f>
        <v/>
      </c>
      <c r="R428" s="35">
        <f>IF($F428="","",IFERROR(INDEX(사건마스터!$AO$5:$AO$64,MATCH($F428,사건마스터!$A$5:$A$64,0)),""))</f>
        <v/>
      </c>
      <c r="S428" s="35">
        <f>IF($F428="","",IFERROR(INDEX(사건마스터!$AP$5:$AP$64,MATCH($F428,사건마스터!$A$5:$A$64,0)),""))</f>
        <v/>
      </c>
      <c r="T428" s="35">
        <f>IF($F428="","",IFERROR(INDEX(사건마스터!$AQ$5:$AQ$64,MATCH($F428,사건마스터!$A$5:$A$64,0)),""))</f>
        <v/>
      </c>
      <c r="U428" s="35">
        <f>IF($F428="","",IFERROR(INDEX(사건마스터!$AR$5:$AR$64,MATCH($F428,사건마스터!$A$5:$A$64,0)),""))</f>
        <v/>
      </c>
      <c r="V428" s="35">
        <f>IF($F428="","",IFERROR(INDEX(사건마스터!$AS$5:$AS$64,MATCH($F428,사건마스터!$A$5:$A$64,0)),""))</f>
        <v/>
      </c>
      <c r="W428" s="35">
        <f>IF($F428="","",IFERROR(INDEX(사건마스터!$AT$5:$AT$64,MATCH($F428,사건마스터!$A$5:$A$64,0)),""))</f>
        <v/>
      </c>
      <c r="X428" s="35">
        <f>IF($F428="","",IFERROR(INDEX(사건마스터!$AU$5:$AU$64,MATCH($F428,사건마스터!$A$5:$A$64,0)),""))</f>
        <v/>
      </c>
      <c r="Y428" s="35">
        <f>IF($F428="","",IFERROR(INDEX(사건마스터!$AV$5:$AV$64,MATCH($F428,사건마스터!$A$5:$A$64,0)),""))</f>
        <v/>
      </c>
      <c r="Z428" s="30">
        <f>IF(COUNTBLANK($J428:$Y428)=16,"",16-COUNTBLANK($J428:$Y428))</f>
        <v/>
      </c>
      <c r="AA428" s="33">
        <f>IF($J428="",MID($AX428,3,255),$J428&amp;$AX428)</f>
        <v/>
      </c>
      <c r="AB428" s="34">
        <f>IF($J428="","",IFERROR(INDEX(코드설정!$D$5:$D$24,MATCH($J428,코드설정!$C$5:$C$24,0)),""))</f>
        <v/>
      </c>
      <c r="AC428" s="36" t="n"/>
      <c r="AD428" s="37" t="n"/>
      <c r="AE428" s="38" t="n"/>
      <c r="AF428" s="30">
        <f>IF(OR($B428="",$C428=""),"",$C428-$B428+1)</f>
        <v/>
      </c>
      <c r="AG428" s="32" t="n"/>
      <c r="AH428" s="36" t="n"/>
      <c r="AJ428">
        <f>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  <c r="AX428">
        <f>AW428&amp;IF($Y428="","",", "&amp;$Y428)</f>
        <v/>
      </c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0">
        <f>IF($F429="","",COUNTIF($F$5:$F429,$F429))</f>
        <v/>
      </c>
      <c r="H429" s="33">
        <f>IF($F429="","",IFERROR(INDEX(사건마스터!$B$5:$B$64,MATCH($F429,사건마스터!$A$5:$A$64,0)),""))</f>
        <v/>
      </c>
      <c r="I429" s="34">
        <f>IF($F429="","",IFERROR(INDEX(사건마스터!$C$5:$C$64,MATCH($F429,사건마스터!$A$5:$A$64,0)),""))</f>
        <v/>
      </c>
      <c r="J429" s="35">
        <f>IF($F429="","",IFERROR(INDEX(사건마스터!$H$5:$H$64,MATCH($F429,사건마스터!$A$5:$A$64,0)),""))</f>
        <v/>
      </c>
      <c r="K429" s="35">
        <f>IF($F429="","",IFERROR(INDEX(사건마스터!$AH$5:$AH$64,MATCH($F429,사건마스터!$A$5:$A$64,0)),""))</f>
        <v/>
      </c>
      <c r="L429" s="35">
        <f>IF($F429="","",IFERROR(INDEX(사건마스터!$AI$5:$AI$64,MATCH($F429,사건마스터!$A$5:$A$64,0)),""))</f>
        <v/>
      </c>
      <c r="M429" s="35">
        <f>IF($F429="","",IFERROR(INDEX(사건마스터!$AJ$5:$AJ$64,MATCH($F429,사건마스터!$A$5:$A$64,0)),""))</f>
        <v/>
      </c>
      <c r="N429" s="35">
        <f>IF($F429="","",IFERROR(INDEX(사건마스터!$AK$5:$AK$64,MATCH($F429,사건마스터!$A$5:$A$64,0)),""))</f>
        <v/>
      </c>
      <c r="O429" s="35">
        <f>IF($F429="","",IFERROR(INDEX(사건마스터!$AL$5:$AL$64,MATCH($F429,사건마스터!$A$5:$A$64,0)),""))</f>
        <v/>
      </c>
      <c r="P429" s="35">
        <f>IF($F429="","",IFERROR(INDEX(사건마스터!$AM$5:$AM$64,MATCH($F429,사건마스터!$A$5:$A$64,0)),""))</f>
        <v/>
      </c>
      <c r="Q429" s="35">
        <f>IF($F429="","",IFERROR(INDEX(사건마스터!$AN$5:$AN$64,MATCH($F429,사건마스터!$A$5:$A$64,0)),""))</f>
        <v/>
      </c>
      <c r="R429" s="35">
        <f>IF($F429="","",IFERROR(INDEX(사건마스터!$AO$5:$AO$64,MATCH($F429,사건마스터!$A$5:$A$64,0)),""))</f>
        <v/>
      </c>
      <c r="S429" s="35">
        <f>IF($F429="","",IFERROR(INDEX(사건마스터!$AP$5:$AP$64,MATCH($F429,사건마스터!$A$5:$A$64,0)),""))</f>
        <v/>
      </c>
      <c r="T429" s="35">
        <f>IF($F429="","",IFERROR(INDEX(사건마스터!$AQ$5:$AQ$64,MATCH($F429,사건마스터!$A$5:$A$64,0)),""))</f>
        <v/>
      </c>
      <c r="U429" s="35">
        <f>IF($F429="","",IFERROR(INDEX(사건마스터!$AR$5:$AR$64,MATCH($F429,사건마스터!$A$5:$A$64,0)),""))</f>
        <v/>
      </c>
      <c r="V429" s="35">
        <f>IF($F429="","",IFERROR(INDEX(사건마스터!$AS$5:$AS$64,MATCH($F429,사건마스터!$A$5:$A$64,0)),""))</f>
        <v/>
      </c>
      <c r="W429" s="35">
        <f>IF($F429="","",IFERROR(INDEX(사건마스터!$AT$5:$AT$64,MATCH($F429,사건마스터!$A$5:$A$64,0)),""))</f>
        <v/>
      </c>
      <c r="X429" s="35">
        <f>IF($F429="","",IFERROR(INDEX(사건마스터!$AU$5:$AU$64,MATCH($F429,사건마스터!$A$5:$A$64,0)),""))</f>
        <v/>
      </c>
      <c r="Y429" s="35">
        <f>IF($F429="","",IFERROR(INDEX(사건마스터!$AV$5:$AV$64,MATCH($F429,사건마스터!$A$5:$A$64,0)),""))</f>
        <v/>
      </c>
      <c r="Z429" s="30">
        <f>IF(COUNTBLANK($J429:$Y429)=16,"",16-COUNTBLANK($J429:$Y429))</f>
        <v/>
      </c>
      <c r="AA429" s="33">
        <f>IF($J429="",MID($AX429,3,255),$J429&amp;$AX429)</f>
        <v/>
      </c>
      <c r="AB429" s="34">
        <f>IF($J429="","",IFERROR(INDEX(코드설정!$D$5:$D$24,MATCH($J429,코드설정!$C$5:$C$24,0)),""))</f>
        <v/>
      </c>
      <c r="AC429" s="36" t="n"/>
      <c r="AD429" s="37" t="n"/>
      <c r="AE429" s="38" t="n"/>
      <c r="AF429" s="30">
        <f>IF(OR($B429="",$C429=""),"",$C429-$B429+1)</f>
        <v/>
      </c>
      <c r="AG429" s="32" t="n"/>
      <c r="AH429" s="36" t="n"/>
      <c r="AJ429">
        <f>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  <c r="AX429">
        <f>AW429&amp;IF($Y429="","",", "&amp;$Y429)</f>
        <v/>
      </c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0">
        <f>IF($F430="","",COUNTIF($F$5:$F430,$F430))</f>
        <v/>
      </c>
      <c r="H430" s="33">
        <f>IF($F430="","",IFERROR(INDEX(사건마스터!$B$5:$B$64,MATCH($F430,사건마스터!$A$5:$A$64,0)),""))</f>
        <v/>
      </c>
      <c r="I430" s="34">
        <f>IF($F430="","",IFERROR(INDEX(사건마스터!$C$5:$C$64,MATCH($F430,사건마스터!$A$5:$A$64,0)),""))</f>
        <v/>
      </c>
      <c r="J430" s="35">
        <f>IF($F430="","",IFERROR(INDEX(사건마스터!$H$5:$H$64,MATCH($F430,사건마스터!$A$5:$A$64,0)),""))</f>
        <v/>
      </c>
      <c r="K430" s="35">
        <f>IF($F430="","",IFERROR(INDEX(사건마스터!$AH$5:$AH$64,MATCH($F430,사건마스터!$A$5:$A$64,0)),""))</f>
        <v/>
      </c>
      <c r="L430" s="35">
        <f>IF($F430="","",IFERROR(INDEX(사건마스터!$AI$5:$AI$64,MATCH($F430,사건마스터!$A$5:$A$64,0)),""))</f>
        <v/>
      </c>
      <c r="M430" s="35">
        <f>IF($F430="","",IFERROR(INDEX(사건마스터!$AJ$5:$AJ$64,MATCH($F430,사건마스터!$A$5:$A$64,0)),""))</f>
        <v/>
      </c>
      <c r="N430" s="35">
        <f>IF($F430="","",IFERROR(INDEX(사건마스터!$AK$5:$AK$64,MATCH($F430,사건마스터!$A$5:$A$64,0)),""))</f>
        <v/>
      </c>
      <c r="O430" s="35">
        <f>IF($F430="","",IFERROR(INDEX(사건마스터!$AL$5:$AL$64,MATCH($F430,사건마스터!$A$5:$A$64,0)),""))</f>
        <v/>
      </c>
      <c r="P430" s="35">
        <f>IF($F430="","",IFERROR(INDEX(사건마스터!$AM$5:$AM$64,MATCH($F430,사건마스터!$A$5:$A$64,0)),""))</f>
        <v/>
      </c>
      <c r="Q430" s="35">
        <f>IF($F430="","",IFERROR(INDEX(사건마스터!$AN$5:$AN$64,MATCH($F430,사건마스터!$A$5:$A$64,0)),""))</f>
        <v/>
      </c>
      <c r="R430" s="35">
        <f>IF($F430="","",IFERROR(INDEX(사건마스터!$AO$5:$AO$64,MATCH($F430,사건마스터!$A$5:$A$64,0)),""))</f>
        <v/>
      </c>
      <c r="S430" s="35">
        <f>IF($F430="","",IFERROR(INDEX(사건마스터!$AP$5:$AP$64,MATCH($F430,사건마스터!$A$5:$A$64,0)),""))</f>
        <v/>
      </c>
      <c r="T430" s="35">
        <f>IF($F430="","",IFERROR(INDEX(사건마스터!$AQ$5:$AQ$64,MATCH($F430,사건마스터!$A$5:$A$64,0)),""))</f>
        <v/>
      </c>
      <c r="U430" s="35">
        <f>IF($F430="","",IFERROR(INDEX(사건마스터!$AR$5:$AR$64,MATCH($F430,사건마스터!$A$5:$A$64,0)),""))</f>
        <v/>
      </c>
      <c r="V430" s="35">
        <f>IF($F430="","",IFERROR(INDEX(사건마스터!$AS$5:$AS$64,MATCH($F430,사건마스터!$A$5:$A$64,0)),""))</f>
        <v/>
      </c>
      <c r="W430" s="35">
        <f>IF($F430="","",IFERROR(INDEX(사건마스터!$AT$5:$AT$64,MATCH($F430,사건마스터!$A$5:$A$64,0)),""))</f>
        <v/>
      </c>
      <c r="X430" s="35">
        <f>IF($F430="","",IFERROR(INDEX(사건마스터!$AU$5:$AU$64,MATCH($F430,사건마스터!$A$5:$A$64,0)),""))</f>
        <v/>
      </c>
      <c r="Y430" s="35">
        <f>IF($F430="","",IFERROR(INDEX(사건마스터!$AV$5:$AV$64,MATCH($F430,사건마스터!$A$5:$A$64,0)),""))</f>
        <v/>
      </c>
      <c r="Z430" s="30">
        <f>IF(COUNTBLANK($J430:$Y430)=16,"",16-COUNTBLANK($J430:$Y430))</f>
        <v/>
      </c>
      <c r="AA430" s="33">
        <f>IF($J430="",MID($AX430,3,255),$J430&amp;$AX430)</f>
        <v/>
      </c>
      <c r="AB430" s="34">
        <f>IF($J430="","",IFERROR(INDEX(코드설정!$D$5:$D$24,MATCH($J430,코드설정!$C$5:$C$24,0)),""))</f>
        <v/>
      </c>
      <c r="AC430" s="36" t="n"/>
      <c r="AD430" s="37" t="n"/>
      <c r="AE430" s="38" t="n"/>
      <c r="AF430" s="30">
        <f>IF(OR($B430="",$C430=""),"",$C430-$B430+1)</f>
        <v/>
      </c>
      <c r="AG430" s="32" t="n"/>
      <c r="AH430" s="36" t="n"/>
      <c r="AJ430">
        <f>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  <c r="AX430">
        <f>AW430&amp;IF($Y430="","",", "&amp;$Y430)</f>
        <v/>
      </c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0">
        <f>IF($F431="","",COUNTIF($F$5:$F431,$F431))</f>
        <v/>
      </c>
      <c r="H431" s="33">
        <f>IF($F431="","",IFERROR(INDEX(사건마스터!$B$5:$B$64,MATCH($F431,사건마스터!$A$5:$A$64,0)),""))</f>
        <v/>
      </c>
      <c r="I431" s="34">
        <f>IF($F431="","",IFERROR(INDEX(사건마스터!$C$5:$C$64,MATCH($F431,사건마스터!$A$5:$A$64,0)),""))</f>
        <v/>
      </c>
      <c r="J431" s="35">
        <f>IF($F431="","",IFERROR(INDEX(사건마스터!$H$5:$H$64,MATCH($F431,사건마스터!$A$5:$A$64,0)),""))</f>
        <v/>
      </c>
      <c r="K431" s="35">
        <f>IF($F431="","",IFERROR(INDEX(사건마스터!$AH$5:$AH$64,MATCH($F431,사건마스터!$A$5:$A$64,0)),""))</f>
        <v/>
      </c>
      <c r="L431" s="35">
        <f>IF($F431="","",IFERROR(INDEX(사건마스터!$AI$5:$AI$64,MATCH($F431,사건마스터!$A$5:$A$64,0)),""))</f>
        <v/>
      </c>
      <c r="M431" s="35">
        <f>IF($F431="","",IFERROR(INDEX(사건마스터!$AJ$5:$AJ$64,MATCH($F431,사건마스터!$A$5:$A$64,0)),""))</f>
        <v/>
      </c>
      <c r="N431" s="35">
        <f>IF($F431="","",IFERROR(INDEX(사건마스터!$AK$5:$AK$64,MATCH($F431,사건마스터!$A$5:$A$64,0)),""))</f>
        <v/>
      </c>
      <c r="O431" s="35">
        <f>IF($F431="","",IFERROR(INDEX(사건마스터!$AL$5:$AL$64,MATCH($F431,사건마스터!$A$5:$A$64,0)),""))</f>
        <v/>
      </c>
      <c r="P431" s="35">
        <f>IF($F431="","",IFERROR(INDEX(사건마스터!$AM$5:$AM$64,MATCH($F431,사건마스터!$A$5:$A$64,0)),""))</f>
        <v/>
      </c>
      <c r="Q431" s="35">
        <f>IF($F431="","",IFERROR(INDEX(사건마스터!$AN$5:$AN$64,MATCH($F431,사건마스터!$A$5:$A$64,0)),""))</f>
        <v/>
      </c>
      <c r="R431" s="35">
        <f>IF($F431="","",IFERROR(INDEX(사건마스터!$AO$5:$AO$64,MATCH($F431,사건마스터!$A$5:$A$64,0)),""))</f>
        <v/>
      </c>
      <c r="S431" s="35">
        <f>IF($F431="","",IFERROR(INDEX(사건마스터!$AP$5:$AP$64,MATCH($F431,사건마스터!$A$5:$A$64,0)),""))</f>
        <v/>
      </c>
      <c r="T431" s="35">
        <f>IF($F431="","",IFERROR(INDEX(사건마스터!$AQ$5:$AQ$64,MATCH($F431,사건마스터!$A$5:$A$64,0)),""))</f>
        <v/>
      </c>
      <c r="U431" s="35">
        <f>IF($F431="","",IFERROR(INDEX(사건마스터!$AR$5:$AR$64,MATCH($F431,사건마스터!$A$5:$A$64,0)),""))</f>
        <v/>
      </c>
      <c r="V431" s="35">
        <f>IF($F431="","",IFERROR(INDEX(사건마스터!$AS$5:$AS$64,MATCH($F431,사건마스터!$A$5:$A$64,0)),""))</f>
        <v/>
      </c>
      <c r="W431" s="35">
        <f>IF($F431="","",IFERROR(INDEX(사건마스터!$AT$5:$AT$64,MATCH($F431,사건마스터!$A$5:$A$64,0)),""))</f>
        <v/>
      </c>
      <c r="X431" s="35">
        <f>IF($F431="","",IFERROR(INDEX(사건마스터!$AU$5:$AU$64,MATCH($F431,사건마스터!$A$5:$A$64,0)),""))</f>
        <v/>
      </c>
      <c r="Y431" s="35">
        <f>IF($F431="","",IFERROR(INDEX(사건마스터!$AV$5:$AV$64,MATCH($F431,사건마스터!$A$5:$A$64,0)),""))</f>
        <v/>
      </c>
      <c r="Z431" s="30">
        <f>IF(COUNTBLANK($J431:$Y431)=16,"",16-COUNTBLANK($J431:$Y431))</f>
        <v/>
      </c>
      <c r="AA431" s="33">
        <f>IF($J431="",MID($AX431,3,255),$J431&amp;$AX431)</f>
        <v/>
      </c>
      <c r="AB431" s="34">
        <f>IF($J431="","",IFERROR(INDEX(코드설정!$D$5:$D$24,MATCH($J431,코드설정!$C$5:$C$24,0)),""))</f>
        <v/>
      </c>
      <c r="AC431" s="36" t="n"/>
      <c r="AD431" s="37" t="n"/>
      <c r="AE431" s="38" t="n"/>
      <c r="AF431" s="30">
        <f>IF(OR($B431="",$C431=""),"",$C431-$B431+1)</f>
        <v/>
      </c>
      <c r="AG431" s="32" t="n"/>
      <c r="AH431" s="36" t="n"/>
      <c r="AJ431">
        <f>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  <c r="AX431">
        <f>AW431&amp;IF($Y431="","",", "&amp;$Y431)</f>
        <v/>
      </c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0">
        <f>IF($F432="","",COUNTIF($F$5:$F432,$F432))</f>
        <v/>
      </c>
      <c r="H432" s="33">
        <f>IF($F432="","",IFERROR(INDEX(사건마스터!$B$5:$B$64,MATCH($F432,사건마스터!$A$5:$A$64,0)),""))</f>
        <v/>
      </c>
      <c r="I432" s="34">
        <f>IF($F432="","",IFERROR(INDEX(사건마스터!$C$5:$C$64,MATCH($F432,사건마스터!$A$5:$A$64,0)),""))</f>
        <v/>
      </c>
      <c r="J432" s="35">
        <f>IF($F432="","",IFERROR(INDEX(사건마스터!$H$5:$H$64,MATCH($F432,사건마스터!$A$5:$A$64,0)),""))</f>
        <v/>
      </c>
      <c r="K432" s="35">
        <f>IF($F432="","",IFERROR(INDEX(사건마스터!$AH$5:$AH$64,MATCH($F432,사건마스터!$A$5:$A$64,0)),""))</f>
        <v/>
      </c>
      <c r="L432" s="35">
        <f>IF($F432="","",IFERROR(INDEX(사건마스터!$AI$5:$AI$64,MATCH($F432,사건마스터!$A$5:$A$64,0)),""))</f>
        <v/>
      </c>
      <c r="M432" s="35">
        <f>IF($F432="","",IFERROR(INDEX(사건마스터!$AJ$5:$AJ$64,MATCH($F432,사건마스터!$A$5:$A$64,0)),""))</f>
        <v/>
      </c>
      <c r="N432" s="35">
        <f>IF($F432="","",IFERROR(INDEX(사건마스터!$AK$5:$AK$64,MATCH($F432,사건마스터!$A$5:$A$64,0)),""))</f>
        <v/>
      </c>
      <c r="O432" s="35">
        <f>IF($F432="","",IFERROR(INDEX(사건마스터!$AL$5:$AL$64,MATCH($F432,사건마스터!$A$5:$A$64,0)),""))</f>
        <v/>
      </c>
      <c r="P432" s="35">
        <f>IF($F432="","",IFERROR(INDEX(사건마스터!$AM$5:$AM$64,MATCH($F432,사건마스터!$A$5:$A$64,0)),""))</f>
        <v/>
      </c>
      <c r="Q432" s="35">
        <f>IF($F432="","",IFERROR(INDEX(사건마스터!$AN$5:$AN$64,MATCH($F432,사건마스터!$A$5:$A$64,0)),""))</f>
        <v/>
      </c>
      <c r="R432" s="35">
        <f>IF($F432="","",IFERROR(INDEX(사건마스터!$AO$5:$AO$64,MATCH($F432,사건마스터!$A$5:$A$64,0)),""))</f>
        <v/>
      </c>
      <c r="S432" s="35">
        <f>IF($F432="","",IFERROR(INDEX(사건마스터!$AP$5:$AP$64,MATCH($F432,사건마스터!$A$5:$A$64,0)),""))</f>
        <v/>
      </c>
      <c r="T432" s="35">
        <f>IF($F432="","",IFERROR(INDEX(사건마스터!$AQ$5:$AQ$64,MATCH($F432,사건마스터!$A$5:$A$64,0)),""))</f>
        <v/>
      </c>
      <c r="U432" s="35">
        <f>IF($F432="","",IFERROR(INDEX(사건마스터!$AR$5:$AR$64,MATCH($F432,사건마스터!$A$5:$A$64,0)),""))</f>
        <v/>
      </c>
      <c r="V432" s="35">
        <f>IF($F432="","",IFERROR(INDEX(사건마스터!$AS$5:$AS$64,MATCH($F432,사건마스터!$A$5:$A$64,0)),""))</f>
        <v/>
      </c>
      <c r="W432" s="35">
        <f>IF($F432="","",IFERROR(INDEX(사건마스터!$AT$5:$AT$64,MATCH($F432,사건마스터!$A$5:$A$64,0)),""))</f>
        <v/>
      </c>
      <c r="X432" s="35">
        <f>IF($F432="","",IFERROR(INDEX(사건마스터!$AU$5:$AU$64,MATCH($F432,사건마스터!$A$5:$A$64,0)),""))</f>
        <v/>
      </c>
      <c r="Y432" s="35">
        <f>IF($F432="","",IFERROR(INDEX(사건마스터!$AV$5:$AV$64,MATCH($F432,사건마스터!$A$5:$A$64,0)),""))</f>
        <v/>
      </c>
      <c r="Z432" s="30">
        <f>IF(COUNTBLANK($J432:$Y432)=16,"",16-COUNTBLANK($J432:$Y432))</f>
        <v/>
      </c>
      <c r="AA432" s="33">
        <f>IF($J432="",MID($AX432,3,255),$J432&amp;$AX432)</f>
        <v/>
      </c>
      <c r="AB432" s="34">
        <f>IF($J432="","",IFERROR(INDEX(코드설정!$D$5:$D$24,MATCH($J432,코드설정!$C$5:$C$24,0)),""))</f>
        <v/>
      </c>
      <c r="AC432" s="36" t="n"/>
      <c r="AD432" s="37" t="n"/>
      <c r="AE432" s="38" t="n"/>
      <c r="AF432" s="30">
        <f>IF(OR($B432="",$C432=""),"",$C432-$B432+1)</f>
        <v/>
      </c>
      <c r="AG432" s="32" t="n"/>
      <c r="AH432" s="36" t="n"/>
      <c r="AJ432">
        <f>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  <c r="AX432">
        <f>AW432&amp;IF($Y432="","",", "&amp;$Y432)</f>
        <v/>
      </c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0">
        <f>IF($F433="","",COUNTIF($F$5:$F433,$F433))</f>
        <v/>
      </c>
      <c r="H433" s="33">
        <f>IF($F433="","",IFERROR(INDEX(사건마스터!$B$5:$B$64,MATCH($F433,사건마스터!$A$5:$A$64,0)),""))</f>
        <v/>
      </c>
      <c r="I433" s="34">
        <f>IF($F433="","",IFERROR(INDEX(사건마스터!$C$5:$C$64,MATCH($F433,사건마스터!$A$5:$A$64,0)),""))</f>
        <v/>
      </c>
      <c r="J433" s="35">
        <f>IF($F433="","",IFERROR(INDEX(사건마스터!$H$5:$H$64,MATCH($F433,사건마스터!$A$5:$A$64,0)),""))</f>
        <v/>
      </c>
      <c r="K433" s="35">
        <f>IF($F433="","",IFERROR(INDEX(사건마스터!$AH$5:$AH$64,MATCH($F433,사건마스터!$A$5:$A$64,0)),""))</f>
        <v/>
      </c>
      <c r="L433" s="35">
        <f>IF($F433="","",IFERROR(INDEX(사건마스터!$AI$5:$AI$64,MATCH($F433,사건마스터!$A$5:$A$64,0)),""))</f>
        <v/>
      </c>
      <c r="M433" s="35">
        <f>IF($F433="","",IFERROR(INDEX(사건마스터!$AJ$5:$AJ$64,MATCH($F433,사건마스터!$A$5:$A$64,0)),""))</f>
        <v/>
      </c>
      <c r="N433" s="35">
        <f>IF($F433="","",IFERROR(INDEX(사건마스터!$AK$5:$AK$64,MATCH($F433,사건마스터!$A$5:$A$64,0)),""))</f>
        <v/>
      </c>
      <c r="O433" s="35">
        <f>IF($F433="","",IFERROR(INDEX(사건마스터!$AL$5:$AL$64,MATCH($F433,사건마스터!$A$5:$A$64,0)),""))</f>
        <v/>
      </c>
      <c r="P433" s="35">
        <f>IF($F433="","",IFERROR(INDEX(사건마스터!$AM$5:$AM$64,MATCH($F433,사건마스터!$A$5:$A$64,0)),""))</f>
        <v/>
      </c>
      <c r="Q433" s="35">
        <f>IF($F433="","",IFERROR(INDEX(사건마스터!$AN$5:$AN$64,MATCH($F433,사건마스터!$A$5:$A$64,0)),""))</f>
        <v/>
      </c>
      <c r="R433" s="35">
        <f>IF($F433="","",IFERROR(INDEX(사건마스터!$AO$5:$AO$64,MATCH($F433,사건마스터!$A$5:$A$64,0)),""))</f>
        <v/>
      </c>
      <c r="S433" s="35">
        <f>IF($F433="","",IFERROR(INDEX(사건마스터!$AP$5:$AP$64,MATCH($F433,사건마스터!$A$5:$A$64,0)),""))</f>
        <v/>
      </c>
      <c r="T433" s="35">
        <f>IF($F433="","",IFERROR(INDEX(사건마스터!$AQ$5:$AQ$64,MATCH($F433,사건마스터!$A$5:$A$64,0)),""))</f>
        <v/>
      </c>
      <c r="U433" s="35">
        <f>IF($F433="","",IFERROR(INDEX(사건마스터!$AR$5:$AR$64,MATCH($F433,사건마스터!$A$5:$A$64,0)),""))</f>
        <v/>
      </c>
      <c r="V433" s="35">
        <f>IF($F433="","",IFERROR(INDEX(사건마스터!$AS$5:$AS$64,MATCH($F433,사건마스터!$A$5:$A$64,0)),""))</f>
        <v/>
      </c>
      <c r="W433" s="35">
        <f>IF($F433="","",IFERROR(INDEX(사건마스터!$AT$5:$AT$64,MATCH($F433,사건마스터!$A$5:$A$64,0)),""))</f>
        <v/>
      </c>
      <c r="X433" s="35">
        <f>IF($F433="","",IFERROR(INDEX(사건마스터!$AU$5:$AU$64,MATCH($F433,사건마스터!$A$5:$A$64,0)),""))</f>
        <v/>
      </c>
      <c r="Y433" s="35">
        <f>IF($F433="","",IFERROR(INDEX(사건마스터!$AV$5:$AV$64,MATCH($F433,사건마스터!$A$5:$A$64,0)),""))</f>
        <v/>
      </c>
      <c r="Z433" s="30">
        <f>IF(COUNTBLANK($J433:$Y433)=16,"",16-COUNTBLANK($J433:$Y433))</f>
        <v/>
      </c>
      <c r="AA433" s="33">
        <f>IF($J433="",MID($AX433,3,255),$J433&amp;$AX433)</f>
        <v/>
      </c>
      <c r="AB433" s="34">
        <f>IF($J433="","",IFERROR(INDEX(코드설정!$D$5:$D$24,MATCH($J433,코드설정!$C$5:$C$24,0)),""))</f>
        <v/>
      </c>
      <c r="AC433" s="36" t="n"/>
      <c r="AD433" s="37" t="n"/>
      <c r="AE433" s="38" t="n"/>
      <c r="AF433" s="30">
        <f>IF(OR($B433="",$C433=""),"",$C433-$B433+1)</f>
        <v/>
      </c>
      <c r="AG433" s="32" t="n"/>
      <c r="AH433" s="36" t="n"/>
      <c r="AJ433">
        <f>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  <c r="AX433">
        <f>AW433&amp;IF($Y433="","",", "&amp;$Y433)</f>
        <v/>
      </c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0">
        <f>IF($F434="","",COUNTIF($F$5:$F434,$F434))</f>
        <v/>
      </c>
      <c r="H434" s="33">
        <f>IF($F434="","",IFERROR(INDEX(사건마스터!$B$5:$B$64,MATCH($F434,사건마스터!$A$5:$A$64,0)),""))</f>
        <v/>
      </c>
      <c r="I434" s="34">
        <f>IF($F434="","",IFERROR(INDEX(사건마스터!$C$5:$C$64,MATCH($F434,사건마스터!$A$5:$A$64,0)),""))</f>
        <v/>
      </c>
      <c r="J434" s="35">
        <f>IF($F434="","",IFERROR(INDEX(사건마스터!$H$5:$H$64,MATCH($F434,사건마스터!$A$5:$A$64,0)),""))</f>
        <v/>
      </c>
      <c r="K434" s="35">
        <f>IF($F434="","",IFERROR(INDEX(사건마스터!$AH$5:$AH$64,MATCH($F434,사건마스터!$A$5:$A$64,0)),""))</f>
        <v/>
      </c>
      <c r="L434" s="35">
        <f>IF($F434="","",IFERROR(INDEX(사건마스터!$AI$5:$AI$64,MATCH($F434,사건마스터!$A$5:$A$64,0)),""))</f>
        <v/>
      </c>
      <c r="M434" s="35">
        <f>IF($F434="","",IFERROR(INDEX(사건마스터!$AJ$5:$AJ$64,MATCH($F434,사건마스터!$A$5:$A$64,0)),""))</f>
        <v/>
      </c>
      <c r="N434" s="35">
        <f>IF($F434="","",IFERROR(INDEX(사건마스터!$AK$5:$AK$64,MATCH($F434,사건마스터!$A$5:$A$64,0)),""))</f>
        <v/>
      </c>
      <c r="O434" s="35">
        <f>IF($F434="","",IFERROR(INDEX(사건마스터!$AL$5:$AL$64,MATCH($F434,사건마스터!$A$5:$A$64,0)),""))</f>
        <v/>
      </c>
      <c r="P434" s="35">
        <f>IF($F434="","",IFERROR(INDEX(사건마스터!$AM$5:$AM$64,MATCH($F434,사건마스터!$A$5:$A$64,0)),""))</f>
        <v/>
      </c>
      <c r="Q434" s="35">
        <f>IF($F434="","",IFERROR(INDEX(사건마스터!$AN$5:$AN$64,MATCH($F434,사건마스터!$A$5:$A$64,0)),""))</f>
        <v/>
      </c>
      <c r="R434" s="35">
        <f>IF($F434="","",IFERROR(INDEX(사건마스터!$AO$5:$AO$64,MATCH($F434,사건마스터!$A$5:$A$64,0)),""))</f>
        <v/>
      </c>
      <c r="S434" s="35">
        <f>IF($F434="","",IFERROR(INDEX(사건마스터!$AP$5:$AP$64,MATCH($F434,사건마스터!$A$5:$A$64,0)),""))</f>
        <v/>
      </c>
      <c r="T434" s="35">
        <f>IF($F434="","",IFERROR(INDEX(사건마스터!$AQ$5:$AQ$64,MATCH($F434,사건마스터!$A$5:$A$64,0)),""))</f>
        <v/>
      </c>
      <c r="U434" s="35">
        <f>IF($F434="","",IFERROR(INDEX(사건마스터!$AR$5:$AR$64,MATCH($F434,사건마스터!$A$5:$A$64,0)),""))</f>
        <v/>
      </c>
      <c r="V434" s="35">
        <f>IF($F434="","",IFERROR(INDEX(사건마스터!$AS$5:$AS$64,MATCH($F434,사건마스터!$A$5:$A$64,0)),""))</f>
        <v/>
      </c>
      <c r="W434" s="35">
        <f>IF($F434="","",IFERROR(INDEX(사건마스터!$AT$5:$AT$64,MATCH($F434,사건마스터!$A$5:$A$64,0)),""))</f>
        <v/>
      </c>
      <c r="X434" s="35">
        <f>IF($F434="","",IFERROR(INDEX(사건마스터!$AU$5:$AU$64,MATCH($F434,사건마스터!$A$5:$A$64,0)),""))</f>
        <v/>
      </c>
      <c r="Y434" s="35">
        <f>IF($F434="","",IFERROR(INDEX(사건마스터!$AV$5:$AV$64,MATCH($F434,사건마스터!$A$5:$A$64,0)),""))</f>
        <v/>
      </c>
      <c r="Z434" s="30">
        <f>IF(COUNTBLANK($J434:$Y434)=16,"",16-COUNTBLANK($J434:$Y434))</f>
        <v/>
      </c>
      <c r="AA434" s="33">
        <f>IF($J434="",MID($AX434,3,255),$J434&amp;$AX434)</f>
        <v/>
      </c>
      <c r="AB434" s="34">
        <f>IF($J434="","",IFERROR(INDEX(코드설정!$D$5:$D$24,MATCH($J434,코드설정!$C$5:$C$24,0)),""))</f>
        <v/>
      </c>
      <c r="AC434" s="36" t="n"/>
      <c r="AD434" s="37" t="n"/>
      <c r="AE434" s="38" t="n"/>
      <c r="AF434" s="30">
        <f>IF(OR($B434="",$C434=""),"",$C434-$B434+1)</f>
        <v/>
      </c>
      <c r="AG434" s="32" t="n"/>
      <c r="AH434" s="36" t="n"/>
      <c r="AJ434">
        <f>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  <c r="AX434">
        <f>AW434&amp;IF($Y434="","",", "&amp;$Y434)</f>
        <v/>
      </c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0">
        <f>IF($F435="","",COUNTIF($F$5:$F435,$F435))</f>
        <v/>
      </c>
      <c r="H435" s="33">
        <f>IF($F435="","",IFERROR(INDEX(사건마스터!$B$5:$B$64,MATCH($F435,사건마스터!$A$5:$A$64,0)),""))</f>
        <v/>
      </c>
      <c r="I435" s="34">
        <f>IF($F435="","",IFERROR(INDEX(사건마스터!$C$5:$C$64,MATCH($F435,사건마스터!$A$5:$A$64,0)),""))</f>
        <v/>
      </c>
      <c r="J435" s="35">
        <f>IF($F435="","",IFERROR(INDEX(사건마스터!$H$5:$H$64,MATCH($F435,사건마스터!$A$5:$A$64,0)),""))</f>
        <v/>
      </c>
      <c r="K435" s="35">
        <f>IF($F435="","",IFERROR(INDEX(사건마스터!$AH$5:$AH$64,MATCH($F435,사건마스터!$A$5:$A$64,0)),""))</f>
        <v/>
      </c>
      <c r="L435" s="35">
        <f>IF($F435="","",IFERROR(INDEX(사건마스터!$AI$5:$AI$64,MATCH($F435,사건마스터!$A$5:$A$64,0)),""))</f>
        <v/>
      </c>
      <c r="M435" s="35">
        <f>IF($F435="","",IFERROR(INDEX(사건마스터!$AJ$5:$AJ$64,MATCH($F435,사건마스터!$A$5:$A$64,0)),""))</f>
        <v/>
      </c>
      <c r="N435" s="35">
        <f>IF($F435="","",IFERROR(INDEX(사건마스터!$AK$5:$AK$64,MATCH($F435,사건마스터!$A$5:$A$64,0)),""))</f>
        <v/>
      </c>
      <c r="O435" s="35">
        <f>IF($F435="","",IFERROR(INDEX(사건마스터!$AL$5:$AL$64,MATCH($F435,사건마스터!$A$5:$A$64,0)),""))</f>
        <v/>
      </c>
      <c r="P435" s="35">
        <f>IF($F435="","",IFERROR(INDEX(사건마스터!$AM$5:$AM$64,MATCH($F435,사건마스터!$A$5:$A$64,0)),""))</f>
        <v/>
      </c>
      <c r="Q435" s="35">
        <f>IF($F435="","",IFERROR(INDEX(사건마스터!$AN$5:$AN$64,MATCH($F435,사건마스터!$A$5:$A$64,0)),""))</f>
        <v/>
      </c>
      <c r="R435" s="35">
        <f>IF($F435="","",IFERROR(INDEX(사건마스터!$AO$5:$AO$64,MATCH($F435,사건마스터!$A$5:$A$64,0)),""))</f>
        <v/>
      </c>
      <c r="S435" s="35">
        <f>IF($F435="","",IFERROR(INDEX(사건마스터!$AP$5:$AP$64,MATCH($F435,사건마스터!$A$5:$A$64,0)),""))</f>
        <v/>
      </c>
      <c r="T435" s="35">
        <f>IF($F435="","",IFERROR(INDEX(사건마스터!$AQ$5:$AQ$64,MATCH($F435,사건마스터!$A$5:$A$64,0)),""))</f>
        <v/>
      </c>
      <c r="U435" s="35">
        <f>IF($F435="","",IFERROR(INDEX(사건마스터!$AR$5:$AR$64,MATCH($F435,사건마스터!$A$5:$A$64,0)),""))</f>
        <v/>
      </c>
      <c r="V435" s="35">
        <f>IF($F435="","",IFERROR(INDEX(사건마스터!$AS$5:$AS$64,MATCH($F435,사건마스터!$A$5:$A$64,0)),""))</f>
        <v/>
      </c>
      <c r="W435" s="35">
        <f>IF($F435="","",IFERROR(INDEX(사건마스터!$AT$5:$AT$64,MATCH($F435,사건마스터!$A$5:$A$64,0)),""))</f>
        <v/>
      </c>
      <c r="X435" s="35">
        <f>IF($F435="","",IFERROR(INDEX(사건마스터!$AU$5:$AU$64,MATCH($F435,사건마스터!$A$5:$A$64,0)),""))</f>
        <v/>
      </c>
      <c r="Y435" s="35">
        <f>IF($F435="","",IFERROR(INDEX(사건마스터!$AV$5:$AV$64,MATCH($F435,사건마스터!$A$5:$A$64,0)),""))</f>
        <v/>
      </c>
      <c r="Z435" s="30">
        <f>IF(COUNTBLANK($J435:$Y435)=16,"",16-COUNTBLANK($J435:$Y435))</f>
        <v/>
      </c>
      <c r="AA435" s="33">
        <f>IF($J435="",MID($AX435,3,255),$J435&amp;$AX435)</f>
        <v/>
      </c>
      <c r="AB435" s="34">
        <f>IF($J435="","",IFERROR(INDEX(코드설정!$D$5:$D$24,MATCH($J435,코드설정!$C$5:$C$24,0)),""))</f>
        <v/>
      </c>
      <c r="AC435" s="36" t="n"/>
      <c r="AD435" s="37" t="n"/>
      <c r="AE435" s="38" t="n"/>
      <c r="AF435" s="30">
        <f>IF(OR($B435="",$C435=""),"",$C435-$B435+1)</f>
        <v/>
      </c>
      <c r="AG435" s="32" t="n"/>
      <c r="AH435" s="36" t="n"/>
      <c r="AJ435">
        <f>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  <c r="AX435">
        <f>AW435&amp;IF($Y435="","",", "&amp;$Y435)</f>
        <v/>
      </c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0">
        <f>IF($F436="","",COUNTIF($F$5:$F436,$F436))</f>
        <v/>
      </c>
      <c r="H436" s="33">
        <f>IF($F436="","",IFERROR(INDEX(사건마스터!$B$5:$B$64,MATCH($F436,사건마스터!$A$5:$A$64,0)),""))</f>
        <v/>
      </c>
      <c r="I436" s="34">
        <f>IF($F436="","",IFERROR(INDEX(사건마스터!$C$5:$C$64,MATCH($F436,사건마스터!$A$5:$A$64,0)),""))</f>
        <v/>
      </c>
      <c r="J436" s="35">
        <f>IF($F436="","",IFERROR(INDEX(사건마스터!$H$5:$H$64,MATCH($F436,사건마스터!$A$5:$A$64,0)),""))</f>
        <v/>
      </c>
      <c r="K436" s="35">
        <f>IF($F436="","",IFERROR(INDEX(사건마스터!$AH$5:$AH$64,MATCH($F436,사건마스터!$A$5:$A$64,0)),""))</f>
        <v/>
      </c>
      <c r="L436" s="35">
        <f>IF($F436="","",IFERROR(INDEX(사건마스터!$AI$5:$AI$64,MATCH($F436,사건마스터!$A$5:$A$64,0)),""))</f>
        <v/>
      </c>
      <c r="M436" s="35">
        <f>IF($F436="","",IFERROR(INDEX(사건마스터!$AJ$5:$AJ$64,MATCH($F436,사건마스터!$A$5:$A$64,0)),""))</f>
        <v/>
      </c>
      <c r="N436" s="35">
        <f>IF($F436="","",IFERROR(INDEX(사건마스터!$AK$5:$AK$64,MATCH($F436,사건마스터!$A$5:$A$64,0)),""))</f>
        <v/>
      </c>
      <c r="O436" s="35">
        <f>IF($F436="","",IFERROR(INDEX(사건마스터!$AL$5:$AL$64,MATCH($F436,사건마스터!$A$5:$A$64,0)),""))</f>
        <v/>
      </c>
      <c r="P436" s="35">
        <f>IF($F436="","",IFERROR(INDEX(사건마스터!$AM$5:$AM$64,MATCH($F436,사건마스터!$A$5:$A$64,0)),""))</f>
        <v/>
      </c>
      <c r="Q436" s="35">
        <f>IF($F436="","",IFERROR(INDEX(사건마스터!$AN$5:$AN$64,MATCH($F436,사건마스터!$A$5:$A$64,0)),""))</f>
        <v/>
      </c>
      <c r="R436" s="35">
        <f>IF($F436="","",IFERROR(INDEX(사건마스터!$AO$5:$AO$64,MATCH($F436,사건마스터!$A$5:$A$64,0)),""))</f>
        <v/>
      </c>
      <c r="S436" s="35">
        <f>IF($F436="","",IFERROR(INDEX(사건마스터!$AP$5:$AP$64,MATCH($F436,사건마스터!$A$5:$A$64,0)),""))</f>
        <v/>
      </c>
      <c r="T436" s="35">
        <f>IF($F436="","",IFERROR(INDEX(사건마스터!$AQ$5:$AQ$64,MATCH($F436,사건마스터!$A$5:$A$64,0)),""))</f>
        <v/>
      </c>
      <c r="U436" s="35">
        <f>IF($F436="","",IFERROR(INDEX(사건마스터!$AR$5:$AR$64,MATCH($F436,사건마스터!$A$5:$A$64,0)),""))</f>
        <v/>
      </c>
      <c r="V436" s="35">
        <f>IF($F436="","",IFERROR(INDEX(사건마스터!$AS$5:$AS$64,MATCH($F436,사건마스터!$A$5:$A$64,0)),""))</f>
        <v/>
      </c>
      <c r="W436" s="35">
        <f>IF($F436="","",IFERROR(INDEX(사건마스터!$AT$5:$AT$64,MATCH($F436,사건마스터!$A$5:$A$64,0)),""))</f>
        <v/>
      </c>
      <c r="X436" s="35">
        <f>IF($F436="","",IFERROR(INDEX(사건마스터!$AU$5:$AU$64,MATCH($F436,사건마스터!$A$5:$A$64,0)),""))</f>
        <v/>
      </c>
      <c r="Y436" s="35">
        <f>IF($F436="","",IFERROR(INDEX(사건마스터!$AV$5:$AV$64,MATCH($F436,사건마스터!$A$5:$A$64,0)),""))</f>
        <v/>
      </c>
      <c r="Z436" s="30">
        <f>IF(COUNTBLANK($J436:$Y436)=16,"",16-COUNTBLANK($J436:$Y436))</f>
        <v/>
      </c>
      <c r="AA436" s="33">
        <f>IF($J436="",MID($AX436,3,255),$J436&amp;$AX436)</f>
        <v/>
      </c>
      <c r="AB436" s="34">
        <f>IF($J436="","",IFERROR(INDEX(코드설정!$D$5:$D$24,MATCH($J436,코드설정!$C$5:$C$24,0)),""))</f>
        <v/>
      </c>
      <c r="AC436" s="36" t="n"/>
      <c r="AD436" s="37" t="n"/>
      <c r="AE436" s="38" t="n"/>
      <c r="AF436" s="30">
        <f>IF(OR($B436="",$C436=""),"",$C436-$B436+1)</f>
        <v/>
      </c>
      <c r="AG436" s="32" t="n"/>
      <c r="AH436" s="36" t="n"/>
      <c r="AJ436">
        <f>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  <c r="AX436">
        <f>AW436&amp;IF($Y436="","",", "&amp;$Y436)</f>
        <v/>
      </c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0">
        <f>IF($F437="","",COUNTIF($F$5:$F437,$F437))</f>
        <v/>
      </c>
      <c r="H437" s="33">
        <f>IF($F437="","",IFERROR(INDEX(사건마스터!$B$5:$B$64,MATCH($F437,사건마스터!$A$5:$A$64,0)),""))</f>
        <v/>
      </c>
      <c r="I437" s="34">
        <f>IF($F437="","",IFERROR(INDEX(사건마스터!$C$5:$C$64,MATCH($F437,사건마스터!$A$5:$A$64,0)),""))</f>
        <v/>
      </c>
      <c r="J437" s="35">
        <f>IF($F437="","",IFERROR(INDEX(사건마스터!$H$5:$H$64,MATCH($F437,사건마스터!$A$5:$A$64,0)),""))</f>
        <v/>
      </c>
      <c r="K437" s="35">
        <f>IF($F437="","",IFERROR(INDEX(사건마스터!$AH$5:$AH$64,MATCH($F437,사건마스터!$A$5:$A$64,0)),""))</f>
        <v/>
      </c>
      <c r="L437" s="35">
        <f>IF($F437="","",IFERROR(INDEX(사건마스터!$AI$5:$AI$64,MATCH($F437,사건마스터!$A$5:$A$64,0)),""))</f>
        <v/>
      </c>
      <c r="M437" s="35">
        <f>IF($F437="","",IFERROR(INDEX(사건마스터!$AJ$5:$AJ$64,MATCH($F437,사건마스터!$A$5:$A$64,0)),""))</f>
        <v/>
      </c>
      <c r="N437" s="35">
        <f>IF($F437="","",IFERROR(INDEX(사건마스터!$AK$5:$AK$64,MATCH($F437,사건마스터!$A$5:$A$64,0)),""))</f>
        <v/>
      </c>
      <c r="O437" s="35">
        <f>IF($F437="","",IFERROR(INDEX(사건마스터!$AL$5:$AL$64,MATCH($F437,사건마스터!$A$5:$A$64,0)),""))</f>
        <v/>
      </c>
      <c r="P437" s="35">
        <f>IF($F437="","",IFERROR(INDEX(사건마스터!$AM$5:$AM$64,MATCH($F437,사건마스터!$A$5:$A$64,0)),""))</f>
        <v/>
      </c>
      <c r="Q437" s="35">
        <f>IF($F437="","",IFERROR(INDEX(사건마스터!$AN$5:$AN$64,MATCH($F437,사건마스터!$A$5:$A$64,0)),""))</f>
        <v/>
      </c>
      <c r="R437" s="35">
        <f>IF($F437="","",IFERROR(INDEX(사건마스터!$AO$5:$AO$64,MATCH($F437,사건마스터!$A$5:$A$64,0)),""))</f>
        <v/>
      </c>
      <c r="S437" s="35">
        <f>IF($F437="","",IFERROR(INDEX(사건마스터!$AP$5:$AP$64,MATCH($F437,사건마스터!$A$5:$A$64,0)),""))</f>
        <v/>
      </c>
      <c r="T437" s="35">
        <f>IF($F437="","",IFERROR(INDEX(사건마스터!$AQ$5:$AQ$64,MATCH($F437,사건마스터!$A$5:$A$64,0)),""))</f>
        <v/>
      </c>
      <c r="U437" s="35">
        <f>IF($F437="","",IFERROR(INDEX(사건마스터!$AR$5:$AR$64,MATCH($F437,사건마스터!$A$5:$A$64,0)),""))</f>
        <v/>
      </c>
      <c r="V437" s="35">
        <f>IF($F437="","",IFERROR(INDEX(사건마스터!$AS$5:$AS$64,MATCH($F437,사건마스터!$A$5:$A$64,0)),""))</f>
        <v/>
      </c>
      <c r="W437" s="35">
        <f>IF($F437="","",IFERROR(INDEX(사건마스터!$AT$5:$AT$64,MATCH($F437,사건마스터!$A$5:$A$64,0)),""))</f>
        <v/>
      </c>
      <c r="X437" s="35">
        <f>IF($F437="","",IFERROR(INDEX(사건마스터!$AU$5:$AU$64,MATCH($F437,사건마스터!$A$5:$A$64,0)),""))</f>
        <v/>
      </c>
      <c r="Y437" s="35">
        <f>IF($F437="","",IFERROR(INDEX(사건마스터!$AV$5:$AV$64,MATCH($F437,사건마스터!$A$5:$A$64,0)),""))</f>
        <v/>
      </c>
      <c r="Z437" s="30">
        <f>IF(COUNTBLANK($J437:$Y437)=16,"",16-COUNTBLANK($J437:$Y437))</f>
        <v/>
      </c>
      <c r="AA437" s="33">
        <f>IF($J437="",MID($AX437,3,255),$J437&amp;$AX437)</f>
        <v/>
      </c>
      <c r="AB437" s="34">
        <f>IF($J437="","",IFERROR(INDEX(코드설정!$D$5:$D$24,MATCH($J437,코드설정!$C$5:$C$24,0)),""))</f>
        <v/>
      </c>
      <c r="AC437" s="36" t="n"/>
      <c r="AD437" s="37" t="n"/>
      <c r="AE437" s="38" t="n"/>
      <c r="AF437" s="30">
        <f>IF(OR($B437="",$C437=""),"",$C437-$B437+1)</f>
        <v/>
      </c>
      <c r="AG437" s="32" t="n"/>
      <c r="AH437" s="36" t="n"/>
      <c r="AJ437">
        <f>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  <c r="AX437">
        <f>AW437&amp;IF($Y437="","",", "&amp;$Y437)</f>
        <v/>
      </c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0">
        <f>IF($F438="","",COUNTIF($F$5:$F438,$F438))</f>
        <v/>
      </c>
      <c r="H438" s="33">
        <f>IF($F438="","",IFERROR(INDEX(사건마스터!$B$5:$B$64,MATCH($F438,사건마스터!$A$5:$A$64,0)),""))</f>
        <v/>
      </c>
      <c r="I438" s="34">
        <f>IF($F438="","",IFERROR(INDEX(사건마스터!$C$5:$C$64,MATCH($F438,사건마스터!$A$5:$A$64,0)),""))</f>
        <v/>
      </c>
      <c r="J438" s="35">
        <f>IF($F438="","",IFERROR(INDEX(사건마스터!$H$5:$H$64,MATCH($F438,사건마스터!$A$5:$A$64,0)),""))</f>
        <v/>
      </c>
      <c r="K438" s="35">
        <f>IF($F438="","",IFERROR(INDEX(사건마스터!$AH$5:$AH$64,MATCH($F438,사건마스터!$A$5:$A$64,0)),""))</f>
        <v/>
      </c>
      <c r="L438" s="35">
        <f>IF($F438="","",IFERROR(INDEX(사건마스터!$AI$5:$AI$64,MATCH($F438,사건마스터!$A$5:$A$64,0)),""))</f>
        <v/>
      </c>
      <c r="M438" s="35">
        <f>IF($F438="","",IFERROR(INDEX(사건마스터!$AJ$5:$AJ$64,MATCH($F438,사건마스터!$A$5:$A$64,0)),""))</f>
        <v/>
      </c>
      <c r="N438" s="35">
        <f>IF($F438="","",IFERROR(INDEX(사건마스터!$AK$5:$AK$64,MATCH($F438,사건마스터!$A$5:$A$64,0)),""))</f>
        <v/>
      </c>
      <c r="O438" s="35">
        <f>IF($F438="","",IFERROR(INDEX(사건마스터!$AL$5:$AL$64,MATCH($F438,사건마스터!$A$5:$A$64,0)),""))</f>
        <v/>
      </c>
      <c r="P438" s="35">
        <f>IF($F438="","",IFERROR(INDEX(사건마스터!$AM$5:$AM$64,MATCH($F438,사건마스터!$A$5:$A$64,0)),""))</f>
        <v/>
      </c>
      <c r="Q438" s="35">
        <f>IF($F438="","",IFERROR(INDEX(사건마스터!$AN$5:$AN$64,MATCH($F438,사건마스터!$A$5:$A$64,0)),""))</f>
        <v/>
      </c>
      <c r="R438" s="35">
        <f>IF($F438="","",IFERROR(INDEX(사건마스터!$AO$5:$AO$64,MATCH($F438,사건마스터!$A$5:$A$64,0)),""))</f>
        <v/>
      </c>
      <c r="S438" s="35">
        <f>IF($F438="","",IFERROR(INDEX(사건마스터!$AP$5:$AP$64,MATCH($F438,사건마스터!$A$5:$A$64,0)),""))</f>
        <v/>
      </c>
      <c r="T438" s="35">
        <f>IF($F438="","",IFERROR(INDEX(사건마스터!$AQ$5:$AQ$64,MATCH($F438,사건마스터!$A$5:$A$64,0)),""))</f>
        <v/>
      </c>
      <c r="U438" s="35">
        <f>IF($F438="","",IFERROR(INDEX(사건마스터!$AR$5:$AR$64,MATCH($F438,사건마스터!$A$5:$A$64,0)),""))</f>
        <v/>
      </c>
      <c r="V438" s="35">
        <f>IF($F438="","",IFERROR(INDEX(사건마스터!$AS$5:$AS$64,MATCH($F438,사건마스터!$A$5:$A$64,0)),""))</f>
        <v/>
      </c>
      <c r="W438" s="35">
        <f>IF($F438="","",IFERROR(INDEX(사건마스터!$AT$5:$AT$64,MATCH($F438,사건마스터!$A$5:$A$64,0)),""))</f>
        <v/>
      </c>
      <c r="X438" s="35">
        <f>IF($F438="","",IFERROR(INDEX(사건마스터!$AU$5:$AU$64,MATCH($F438,사건마스터!$A$5:$A$64,0)),""))</f>
        <v/>
      </c>
      <c r="Y438" s="35">
        <f>IF($F438="","",IFERROR(INDEX(사건마스터!$AV$5:$AV$64,MATCH($F438,사건마스터!$A$5:$A$64,0)),""))</f>
        <v/>
      </c>
      <c r="Z438" s="30">
        <f>IF(COUNTBLANK($J438:$Y438)=16,"",16-COUNTBLANK($J438:$Y438))</f>
        <v/>
      </c>
      <c r="AA438" s="33">
        <f>IF($J438="",MID($AX438,3,255),$J438&amp;$AX438)</f>
        <v/>
      </c>
      <c r="AB438" s="34">
        <f>IF($J438="","",IFERROR(INDEX(코드설정!$D$5:$D$24,MATCH($J438,코드설정!$C$5:$C$24,0)),""))</f>
        <v/>
      </c>
      <c r="AC438" s="36" t="n"/>
      <c r="AD438" s="37" t="n"/>
      <c r="AE438" s="38" t="n"/>
      <c r="AF438" s="30">
        <f>IF(OR($B438="",$C438=""),"",$C438-$B438+1)</f>
        <v/>
      </c>
      <c r="AG438" s="32" t="n"/>
      <c r="AH438" s="36" t="n"/>
      <c r="AJ438">
        <f>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  <c r="AX438">
        <f>AW438&amp;IF($Y438="","",", "&amp;$Y438)</f>
        <v/>
      </c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0">
        <f>IF($F439="","",COUNTIF($F$5:$F439,$F439))</f>
        <v/>
      </c>
      <c r="H439" s="33">
        <f>IF($F439="","",IFERROR(INDEX(사건마스터!$B$5:$B$64,MATCH($F439,사건마스터!$A$5:$A$64,0)),""))</f>
        <v/>
      </c>
      <c r="I439" s="34">
        <f>IF($F439="","",IFERROR(INDEX(사건마스터!$C$5:$C$64,MATCH($F439,사건마스터!$A$5:$A$64,0)),""))</f>
        <v/>
      </c>
      <c r="J439" s="35">
        <f>IF($F439="","",IFERROR(INDEX(사건마스터!$H$5:$H$64,MATCH($F439,사건마스터!$A$5:$A$64,0)),""))</f>
        <v/>
      </c>
      <c r="K439" s="35">
        <f>IF($F439="","",IFERROR(INDEX(사건마스터!$AH$5:$AH$64,MATCH($F439,사건마스터!$A$5:$A$64,0)),""))</f>
        <v/>
      </c>
      <c r="L439" s="35">
        <f>IF($F439="","",IFERROR(INDEX(사건마스터!$AI$5:$AI$64,MATCH($F439,사건마스터!$A$5:$A$64,0)),""))</f>
        <v/>
      </c>
      <c r="M439" s="35">
        <f>IF($F439="","",IFERROR(INDEX(사건마스터!$AJ$5:$AJ$64,MATCH($F439,사건마스터!$A$5:$A$64,0)),""))</f>
        <v/>
      </c>
      <c r="N439" s="35">
        <f>IF($F439="","",IFERROR(INDEX(사건마스터!$AK$5:$AK$64,MATCH($F439,사건마스터!$A$5:$A$64,0)),""))</f>
        <v/>
      </c>
      <c r="O439" s="35">
        <f>IF($F439="","",IFERROR(INDEX(사건마스터!$AL$5:$AL$64,MATCH($F439,사건마스터!$A$5:$A$64,0)),""))</f>
        <v/>
      </c>
      <c r="P439" s="35">
        <f>IF($F439="","",IFERROR(INDEX(사건마스터!$AM$5:$AM$64,MATCH($F439,사건마스터!$A$5:$A$64,0)),""))</f>
        <v/>
      </c>
      <c r="Q439" s="35">
        <f>IF($F439="","",IFERROR(INDEX(사건마스터!$AN$5:$AN$64,MATCH($F439,사건마스터!$A$5:$A$64,0)),""))</f>
        <v/>
      </c>
      <c r="R439" s="35">
        <f>IF($F439="","",IFERROR(INDEX(사건마스터!$AO$5:$AO$64,MATCH($F439,사건마스터!$A$5:$A$64,0)),""))</f>
        <v/>
      </c>
      <c r="S439" s="35">
        <f>IF($F439="","",IFERROR(INDEX(사건마스터!$AP$5:$AP$64,MATCH($F439,사건마스터!$A$5:$A$64,0)),""))</f>
        <v/>
      </c>
      <c r="T439" s="35">
        <f>IF($F439="","",IFERROR(INDEX(사건마스터!$AQ$5:$AQ$64,MATCH($F439,사건마스터!$A$5:$A$64,0)),""))</f>
        <v/>
      </c>
      <c r="U439" s="35">
        <f>IF($F439="","",IFERROR(INDEX(사건마스터!$AR$5:$AR$64,MATCH($F439,사건마스터!$A$5:$A$64,0)),""))</f>
        <v/>
      </c>
      <c r="V439" s="35">
        <f>IF($F439="","",IFERROR(INDEX(사건마스터!$AS$5:$AS$64,MATCH($F439,사건마스터!$A$5:$A$64,0)),""))</f>
        <v/>
      </c>
      <c r="W439" s="35">
        <f>IF($F439="","",IFERROR(INDEX(사건마스터!$AT$5:$AT$64,MATCH($F439,사건마스터!$A$5:$A$64,0)),""))</f>
        <v/>
      </c>
      <c r="X439" s="35">
        <f>IF($F439="","",IFERROR(INDEX(사건마스터!$AU$5:$AU$64,MATCH($F439,사건마스터!$A$5:$A$64,0)),""))</f>
        <v/>
      </c>
      <c r="Y439" s="35">
        <f>IF($F439="","",IFERROR(INDEX(사건마스터!$AV$5:$AV$64,MATCH($F439,사건마스터!$A$5:$A$64,0)),""))</f>
        <v/>
      </c>
      <c r="Z439" s="30">
        <f>IF(COUNTBLANK($J439:$Y439)=16,"",16-COUNTBLANK($J439:$Y439))</f>
        <v/>
      </c>
      <c r="AA439" s="33">
        <f>IF($J439="",MID($AX439,3,255),$J439&amp;$AX439)</f>
        <v/>
      </c>
      <c r="AB439" s="34">
        <f>IF($J439="","",IFERROR(INDEX(코드설정!$D$5:$D$24,MATCH($J439,코드설정!$C$5:$C$24,0)),""))</f>
        <v/>
      </c>
      <c r="AC439" s="36" t="n"/>
      <c r="AD439" s="37" t="n"/>
      <c r="AE439" s="38" t="n"/>
      <c r="AF439" s="30">
        <f>IF(OR($B439="",$C439=""),"",$C439-$B439+1)</f>
        <v/>
      </c>
      <c r="AG439" s="32" t="n"/>
      <c r="AH439" s="36" t="n"/>
      <c r="AJ439">
        <f>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  <c r="AX439">
        <f>AW439&amp;IF($Y439="","",", "&amp;$Y439)</f>
        <v/>
      </c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0">
        <f>IF($F440="","",COUNTIF($F$5:$F440,$F440))</f>
        <v/>
      </c>
      <c r="H440" s="33">
        <f>IF($F440="","",IFERROR(INDEX(사건마스터!$B$5:$B$64,MATCH($F440,사건마스터!$A$5:$A$64,0)),""))</f>
        <v/>
      </c>
      <c r="I440" s="34">
        <f>IF($F440="","",IFERROR(INDEX(사건마스터!$C$5:$C$64,MATCH($F440,사건마스터!$A$5:$A$64,0)),""))</f>
        <v/>
      </c>
      <c r="J440" s="35">
        <f>IF($F440="","",IFERROR(INDEX(사건마스터!$H$5:$H$64,MATCH($F440,사건마스터!$A$5:$A$64,0)),""))</f>
        <v/>
      </c>
      <c r="K440" s="35">
        <f>IF($F440="","",IFERROR(INDEX(사건마스터!$AH$5:$AH$64,MATCH($F440,사건마스터!$A$5:$A$64,0)),""))</f>
        <v/>
      </c>
      <c r="L440" s="35">
        <f>IF($F440="","",IFERROR(INDEX(사건마스터!$AI$5:$AI$64,MATCH($F440,사건마스터!$A$5:$A$64,0)),""))</f>
        <v/>
      </c>
      <c r="M440" s="35">
        <f>IF($F440="","",IFERROR(INDEX(사건마스터!$AJ$5:$AJ$64,MATCH($F440,사건마스터!$A$5:$A$64,0)),""))</f>
        <v/>
      </c>
      <c r="N440" s="35">
        <f>IF($F440="","",IFERROR(INDEX(사건마스터!$AK$5:$AK$64,MATCH($F440,사건마스터!$A$5:$A$64,0)),""))</f>
        <v/>
      </c>
      <c r="O440" s="35">
        <f>IF($F440="","",IFERROR(INDEX(사건마스터!$AL$5:$AL$64,MATCH($F440,사건마스터!$A$5:$A$64,0)),""))</f>
        <v/>
      </c>
      <c r="P440" s="35">
        <f>IF($F440="","",IFERROR(INDEX(사건마스터!$AM$5:$AM$64,MATCH($F440,사건마스터!$A$5:$A$64,0)),""))</f>
        <v/>
      </c>
      <c r="Q440" s="35">
        <f>IF($F440="","",IFERROR(INDEX(사건마스터!$AN$5:$AN$64,MATCH($F440,사건마스터!$A$5:$A$64,0)),""))</f>
        <v/>
      </c>
      <c r="R440" s="35">
        <f>IF($F440="","",IFERROR(INDEX(사건마스터!$AO$5:$AO$64,MATCH($F440,사건마스터!$A$5:$A$64,0)),""))</f>
        <v/>
      </c>
      <c r="S440" s="35">
        <f>IF($F440="","",IFERROR(INDEX(사건마스터!$AP$5:$AP$64,MATCH($F440,사건마스터!$A$5:$A$64,0)),""))</f>
        <v/>
      </c>
      <c r="T440" s="35">
        <f>IF($F440="","",IFERROR(INDEX(사건마스터!$AQ$5:$AQ$64,MATCH($F440,사건마스터!$A$5:$A$64,0)),""))</f>
        <v/>
      </c>
      <c r="U440" s="35">
        <f>IF($F440="","",IFERROR(INDEX(사건마스터!$AR$5:$AR$64,MATCH($F440,사건마스터!$A$5:$A$64,0)),""))</f>
        <v/>
      </c>
      <c r="V440" s="35">
        <f>IF($F440="","",IFERROR(INDEX(사건마스터!$AS$5:$AS$64,MATCH($F440,사건마스터!$A$5:$A$64,0)),""))</f>
        <v/>
      </c>
      <c r="W440" s="35">
        <f>IF($F440="","",IFERROR(INDEX(사건마스터!$AT$5:$AT$64,MATCH($F440,사건마스터!$A$5:$A$64,0)),""))</f>
        <v/>
      </c>
      <c r="X440" s="35">
        <f>IF($F440="","",IFERROR(INDEX(사건마스터!$AU$5:$AU$64,MATCH($F440,사건마스터!$A$5:$A$64,0)),""))</f>
        <v/>
      </c>
      <c r="Y440" s="35">
        <f>IF($F440="","",IFERROR(INDEX(사건마스터!$AV$5:$AV$64,MATCH($F440,사건마스터!$A$5:$A$64,0)),""))</f>
        <v/>
      </c>
      <c r="Z440" s="30">
        <f>IF(COUNTBLANK($J440:$Y440)=16,"",16-COUNTBLANK($J440:$Y440))</f>
        <v/>
      </c>
      <c r="AA440" s="33">
        <f>IF($J440="",MID($AX440,3,255),$J440&amp;$AX440)</f>
        <v/>
      </c>
      <c r="AB440" s="34">
        <f>IF($J440="","",IFERROR(INDEX(코드설정!$D$5:$D$24,MATCH($J440,코드설정!$C$5:$C$24,0)),""))</f>
        <v/>
      </c>
      <c r="AC440" s="36" t="n"/>
      <c r="AD440" s="37" t="n"/>
      <c r="AE440" s="38" t="n"/>
      <c r="AF440" s="30">
        <f>IF(OR($B440="",$C440=""),"",$C440-$B440+1)</f>
        <v/>
      </c>
      <c r="AG440" s="32" t="n"/>
      <c r="AH440" s="36" t="n"/>
      <c r="AJ440">
        <f>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  <c r="AX440">
        <f>AW440&amp;IF($Y440="","",", "&amp;$Y440)</f>
        <v/>
      </c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0">
        <f>IF($F441="","",COUNTIF($F$5:$F441,$F441))</f>
        <v/>
      </c>
      <c r="H441" s="33">
        <f>IF($F441="","",IFERROR(INDEX(사건마스터!$B$5:$B$64,MATCH($F441,사건마스터!$A$5:$A$64,0)),""))</f>
        <v/>
      </c>
      <c r="I441" s="34">
        <f>IF($F441="","",IFERROR(INDEX(사건마스터!$C$5:$C$64,MATCH($F441,사건마스터!$A$5:$A$64,0)),""))</f>
        <v/>
      </c>
      <c r="J441" s="35">
        <f>IF($F441="","",IFERROR(INDEX(사건마스터!$H$5:$H$64,MATCH($F441,사건마스터!$A$5:$A$64,0)),""))</f>
        <v/>
      </c>
      <c r="K441" s="35">
        <f>IF($F441="","",IFERROR(INDEX(사건마스터!$AH$5:$AH$64,MATCH($F441,사건마스터!$A$5:$A$64,0)),""))</f>
        <v/>
      </c>
      <c r="L441" s="35">
        <f>IF($F441="","",IFERROR(INDEX(사건마스터!$AI$5:$AI$64,MATCH($F441,사건마스터!$A$5:$A$64,0)),""))</f>
        <v/>
      </c>
      <c r="M441" s="35">
        <f>IF($F441="","",IFERROR(INDEX(사건마스터!$AJ$5:$AJ$64,MATCH($F441,사건마스터!$A$5:$A$64,0)),""))</f>
        <v/>
      </c>
      <c r="N441" s="35">
        <f>IF($F441="","",IFERROR(INDEX(사건마스터!$AK$5:$AK$64,MATCH($F441,사건마스터!$A$5:$A$64,0)),""))</f>
        <v/>
      </c>
      <c r="O441" s="35">
        <f>IF($F441="","",IFERROR(INDEX(사건마스터!$AL$5:$AL$64,MATCH($F441,사건마스터!$A$5:$A$64,0)),""))</f>
        <v/>
      </c>
      <c r="P441" s="35">
        <f>IF($F441="","",IFERROR(INDEX(사건마스터!$AM$5:$AM$64,MATCH($F441,사건마스터!$A$5:$A$64,0)),""))</f>
        <v/>
      </c>
      <c r="Q441" s="35">
        <f>IF($F441="","",IFERROR(INDEX(사건마스터!$AN$5:$AN$64,MATCH($F441,사건마스터!$A$5:$A$64,0)),""))</f>
        <v/>
      </c>
      <c r="R441" s="35">
        <f>IF($F441="","",IFERROR(INDEX(사건마스터!$AO$5:$AO$64,MATCH($F441,사건마스터!$A$5:$A$64,0)),""))</f>
        <v/>
      </c>
      <c r="S441" s="35">
        <f>IF($F441="","",IFERROR(INDEX(사건마스터!$AP$5:$AP$64,MATCH($F441,사건마스터!$A$5:$A$64,0)),""))</f>
        <v/>
      </c>
      <c r="T441" s="35">
        <f>IF($F441="","",IFERROR(INDEX(사건마스터!$AQ$5:$AQ$64,MATCH($F441,사건마스터!$A$5:$A$64,0)),""))</f>
        <v/>
      </c>
      <c r="U441" s="35">
        <f>IF($F441="","",IFERROR(INDEX(사건마스터!$AR$5:$AR$64,MATCH($F441,사건마스터!$A$5:$A$64,0)),""))</f>
        <v/>
      </c>
      <c r="V441" s="35">
        <f>IF($F441="","",IFERROR(INDEX(사건마스터!$AS$5:$AS$64,MATCH($F441,사건마스터!$A$5:$A$64,0)),""))</f>
        <v/>
      </c>
      <c r="W441" s="35">
        <f>IF($F441="","",IFERROR(INDEX(사건마스터!$AT$5:$AT$64,MATCH($F441,사건마스터!$A$5:$A$64,0)),""))</f>
        <v/>
      </c>
      <c r="X441" s="35">
        <f>IF($F441="","",IFERROR(INDEX(사건마스터!$AU$5:$AU$64,MATCH($F441,사건마스터!$A$5:$A$64,0)),""))</f>
        <v/>
      </c>
      <c r="Y441" s="35">
        <f>IF($F441="","",IFERROR(INDEX(사건마스터!$AV$5:$AV$64,MATCH($F441,사건마스터!$A$5:$A$64,0)),""))</f>
        <v/>
      </c>
      <c r="Z441" s="30">
        <f>IF(COUNTBLANK($J441:$Y441)=16,"",16-COUNTBLANK($J441:$Y441))</f>
        <v/>
      </c>
      <c r="AA441" s="33">
        <f>IF($J441="",MID($AX441,3,255),$J441&amp;$AX441)</f>
        <v/>
      </c>
      <c r="AB441" s="34">
        <f>IF($J441="","",IFERROR(INDEX(코드설정!$D$5:$D$24,MATCH($J441,코드설정!$C$5:$C$24,0)),""))</f>
        <v/>
      </c>
      <c r="AC441" s="36" t="n"/>
      <c r="AD441" s="37" t="n"/>
      <c r="AE441" s="38" t="n"/>
      <c r="AF441" s="30">
        <f>IF(OR($B441="",$C441=""),"",$C441-$B441+1)</f>
        <v/>
      </c>
      <c r="AG441" s="32" t="n"/>
      <c r="AH441" s="36" t="n"/>
      <c r="AJ441">
        <f>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  <c r="AX441">
        <f>AW441&amp;IF($Y441="","",", "&amp;$Y441)</f>
        <v/>
      </c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0">
        <f>IF($F442="","",COUNTIF($F$5:$F442,$F442))</f>
        <v/>
      </c>
      <c r="H442" s="33">
        <f>IF($F442="","",IFERROR(INDEX(사건마스터!$B$5:$B$64,MATCH($F442,사건마스터!$A$5:$A$64,0)),""))</f>
        <v/>
      </c>
      <c r="I442" s="34">
        <f>IF($F442="","",IFERROR(INDEX(사건마스터!$C$5:$C$64,MATCH($F442,사건마스터!$A$5:$A$64,0)),""))</f>
        <v/>
      </c>
      <c r="J442" s="35">
        <f>IF($F442="","",IFERROR(INDEX(사건마스터!$H$5:$H$64,MATCH($F442,사건마스터!$A$5:$A$64,0)),""))</f>
        <v/>
      </c>
      <c r="K442" s="35">
        <f>IF($F442="","",IFERROR(INDEX(사건마스터!$AH$5:$AH$64,MATCH($F442,사건마스터!$A$5:$A$64,0)),""))</f>
        <v/>
      </c>
      <c r="L442" s="35">
        <f>IF($F442="","",IFERROR(INDEX(사건마스터!$AI$5:$AI$64,MATCH($F442,사건마스터!$A$5:$A$64,0)),""))</f>
        <v/>
      </c>
      <c r="M442" s="35">
        <f>IF($F442="","",IFERROR(INDEX(사건마스터!$AJ$5:$AJ$64,MATCH($F442,사건마스터!$A$5:$A$64,0)),""))</f>
        <v/>
      </c>
      <c r="N442" s="35">
        <f>IF($F442="","",IFERROR(INDEX(사건마스터!$AK$5:$AK$64,MATCH($F442,사건마스터!$A$5:$A$64,0)),""))</f>
        <v/>
      </c>
      <c r="O442" s="35">
        <f>IF($F442="","",IFERROR(INDEX(사건마스터!$AL$5:$AL$64,MATCH($F442,사건마스터!$A$5:$A$64,0)),""))</f>
        <v/>
      </c>
      <c r="P442" s="35">
        <f>IF($F442="","",IFERROR(INDEX(사건마스터!$AM$5:$AM$64,MATCH($F442,사건마스터!$A$5:$A$64,0)),""))</f>
        <v/>
      </c>
      <c r="Q442" s="35">
        <f>IF($F442="","",IFERROR(INDEX(사건마스터!$AN$5:$AN$64,MATCH($F442,사건마스터!$A$5:$A$64,0)),""))</f>
        <v/>
      </c>
      <c r="R442" s="35">
        <f>IF($F442="","",IFERROR(INDEX(사건마스터!$AO$5:$AO$64,MATCH($F442,사건마스터!$A$5:$A$64,0)),""))</f>
        <v/>
      </c>
      <c r="S442" s="35">
        <f>IF($F442="","",IFERROR(INDEX(사건마스터!$AP$5:$AP$64,MATCH($F442,사건마스터!$A$5:$A$64,0)),""))</f>
        <v/>
      </c>
      <c r="T442" s="35">
        <f>IF($F442="","",IFERROR(INDEX(사건마스터!$AQ$5:$AQ$64,MATCH($F442,사건마스터!$A$5:$A$64,0)),""))</f>
        <v/>
      </c>
      <c r="U442" s="35">
        <f>IF($F442="","",IFERROR(INDEX(사건마스터!$AR$5:$AR$64,MATCH($F442,사건마스터!$A$5:$A$64,0)),""))</f>
        <v/>
      </c>
      <c r="V442" s="35">
        <f>IF($F442="","",IFERROR(INDEX(사건마스터!$AS$5:$AS$64,MATCH($F442,사건마스터!$A$5:$A$64,0)),""))</f>
        <v/>
      </c>
      <c r="W442" s="35">
        <f>IF($F442="","",IFERROR(INDEX(사건마스터!$AT$5:$AT$64,MATCH($F442,사건마스터!$A$5:$A$64,0)),""))</f>
        <v/>
      </c>
      <c r="X442" s="35">
        <f>IF($F442="","",IFERROR(INDEX(사건마스터!$AU$5:$AU$64,MATCH($F442,사건마스터!$A$5:$A$64,0)),""))</f>
        <v/>
      </c>
      <c r="Y442" s="35">
        <f>IF($F442="","",IFERROR(INDEX(사건마스터!$AV$5:$AV$64,MATCH($F442,사건마스터!$A$5:$A$64,0)),""))</f>
        <v/>
      </c>
      <c r="Z442" s="30">
        <f>IF(COUNTBLANK($J442:$Y442)=16,"",16-COUNTBLANK($J442:$Y442))</f>
        <v/>
      </c>
      <c r="AA442" s="33">
        <f>IF($J442="",MID($AX442,3,255),$J442&amp;$AX442)</f>
        <v/>
      </c>
      <c r="AB442" s="34">
        <f>IF($J442="","",IFERROR(INDEX(코드설정!$D$5:$D$24,MATCH($J442,코드설정!$C$5:$C$24,0)),""))</f>
        <v/>
      </c>
      <c r="AC442" s="36" t="n"/>
      <c r="AD442" s="37" t="n"/>
      <c r="AE442" s="38" t="n"/>
      <c r="AF442" s="30">
        <f>IF(OR($B442="",$C442=""),"",$C442-$B442+1)</f>
        <v/>
      </c>
      <c r="AG442" s="32" t="n"/>
      <c r="AH442" s="36" t="n"/>
      <c r="AJ442">
        <f>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  <c r="AX442">
        <f>AW442&amp;IF($Y442="","",", "&amp;$Y442)</f>
        <v/>
      </c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0">
        <f>IF($F443="","",COUNTIF($F$5:$F443,$F443))</f>
        <v/>
      </c>
      <c r="H443" s="33">
        <f>IF($F443="","",IFERROR(INDEX(사건마스터!$B$5:$B$64,MATCH($F443,사건마스터!$A$5:$A$64,0)),""))</f>
        <v/>
      </c>
      <c r="I443" s="34">
        <f>IF($F443="","",IFERROR(INDEX(사건마스터!$C$5:$C$64,MATCH($F443,사건마스터!$A$5:$A$64,0)),""))</f>
        <v/>
      </c>
      <c r="J443" s="35">
        <f>IF($F443="","",IFERROR(INDEX(사건마스터!$H$5:$H$64,MATCH($F443,사건마스터!$A$5:$A$64,0)),""))</f>
        <v/>
      </c>
      <c r="K443" s="35">
        <f>IF($F443="","",IFERROR(INDEX(사건마스터!$AH$5:$AH$64,MATCH($F443,사건마스터!$A$5:$A$64,0)),""))</f>
        <v/>
      </c>
      <c r="L443" s="35">
        <f>IF($F443="","",IFERROR(INDEX(사건마스터!$AI$5:$AI$64,MATCH($F443,사건마스터!$A$5:$A$64,0)),""))</f>
        <v/>
      </c>
      <c r="M443" s="35">
        <f>IF($F443="","",IFERROR(INDEX(사건마스터!$AJ$5:$AJ$64,MATCH($F443,사건마스터!$A$5:$A$64,0)),""))</f>
        <v/>
      </c>
      <c r="N443" s="35">
        <f>IF($F443="","",IFERROR(INDEX(사건마스터!$AK$5:$AK$64,MATCH($F443,사건마스터!$A$5:$A$64,0)),""))</f>
        <v/>
      </c>
      <c r="O443" s="35">
        <f>IF($F443="","",IFERROR(INDEX(사건마스터!$AL$5:$AL$64,MATCH($F443,사건마스터!$A$5:$A$64,0)),""))</f>
        <v/>
      </c>
      <c r="P443" s="35">
        <f>IF($F443="","",IFERROR(INDEX(사건마스터!$AM$5:$AM$64,MATCH($F443,사건마스터!$A$5:$A$64,0)),""))</f>
        <v/>
      </c>
      <c r="Q443" s="35">
        <f>IF($F443="","",IFERROR(INDEX(사건마스터!$AN$5:$AN$64,MATCH($F443,사건마스터!$A$5:$A$64,0)),""))</f>
        <v/>
      </c>
      <c r="R443" s="35">
        <f>IF($F443="","",IFERROR(INDEX(사건마스터!$AO$5:$AO$64,MATCH($F443,사건마스터!$A$5:$A$64,0)),""))</f>
        <v/>
      </c>
      <c r="S443" s="35">
        <f>IF($F443="","",IFERROR(INDEX(사건마스터!$AP$5:$AP$64,MATCH($F443,사건마스터!$A$5:$A$64,0)),""))</f>
        <v/>
      </c>
      <c r="T443" s="35">
        <f>IF($F443="","",IFERROR(INDEX(사건마스터!$AQ$5:$AQ$64,MATCH($F443,사건마스터!$A$5:$A$64,0)),""))</f>
        <v/>
      </c>
      <c r="U443" s="35">
        <f>IF($F443="","",IFERROR(INDEX(사건마스터!$AR$5:$AR$64,MATCH($F443,사건마스터!$A$5:$A$64,0)),""))</f>
        <v/>
      </c>
      <c r="V443" s="35">
        <f>IF($F443="","",IFERROR(INDEX(사건마스터!$AS$5:$AS$64,MATCH($F443,사건마스터!$A$5:$A$64,0)),""))</f>
        <v/>
      </c>
      <c r="W443" s="35">
        <f>IF($F443="","",IFERROR(INDEX(사건마스터!$AT$5:$AT$64,MATCH($F443,사건마스터!$A$5:$A$64,0)),""))</f>
        <v/>
      </c>
      <c r="X443" s="35">
        <f>IF($F443="","",IFERROR(INDEX(사건마스터!$AU$5:$AU$64,MATCH($F443,사건마스터!$A$5:$A$64,0)),""))</f>
        <v/>
      </c>
      <c r="Y443" s="35">
        <f>IF($F443="","",IFERROR(INDEX(사건마스터!$AV$5:$AV$64,MATCH($F443,사건마스터!$A$5:$A$64,0)),""))</f>
        <v/>
      </c>
      <c r="Z443" s="30">
        <f>IF(COUNTBLANK($J443:$Y443)=16,"",16-COUNTBLANK($J443:$Y443))</f>
        <v/>
      </c>
      <c r="AA443" s="33">
        <f>IF($J443="",MID($AX443,3,255),$J443&amp;$AX443)</f>
        <v/>
      </c>
      <c r="AB443" s="34">
        <f>IF($J443="","",IFERROR(INDEX(코드설정!$D$5:$D$24,MATCH($J443,코드설정!$C$5:$C$24,0)),""))</f>
        <v/>
      </c>
      <c r="AC443" s="36" t="n"/>
      <c r="AD443" s="37" t="n"/>
      <c r="AE443" s="38" t="n"/>
      <c r="AF443" s="30">
        <f>IF(OR($B443="",$C443=""),"",$C443-$B443+1)</f>
        <v/>
      </c>
      <c r="AG443" s="32" t="n"/>
      <c r="AH443" s="36" t="n"/>
      <c r="AJ443">
        <f>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  <c r="AX443">
        <f>AW443&amp;IF($Y443="","",", "&amp;$Y443)</f>
        <v/>
      </c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0">
        <f>IF($F444="","",COUNTIF($F$5:$F444,$F444))</f>
        <v/>
      </c>
      <c r="H444" s="33">
        <f>IF($F444="","",IFERROR(INDEX(사건마스터!$B$5:$B$64,MATCH($F444,사건마스터!$A$5:$A$64,0)),""))</f>
        <v/>
      </c>
      <c r="I444" s="34">
        <f>IF($F444="","",IFERROR(INDEX(사건마스터!$C$5:$C$64,MATCH($F444,사건마스터!$A$5:$A$64,0)),""))</f>
        <v/>
      </c>
      <c r="J444" s="35">
        <f>IF($F444="","",IFERROR(INDEX(사건마스터!$H$5:$H$64,MATCH($F444,사건마스터!$A$5:$A$64,0)),""))</f>
        <v/>
      </c>
      <c r="K444" s="35">
        <f>IF($F444="","",IFERROR(INDEX(사건마스터!$AH$5:$AH$64,MATCH($F444,사건마스터!$A$5:$A$64,0)),""))</f>
        <v/>
      </c>
      <c r="L444" s="35">
        <f>IF($F444="","",IFERROR(INDEX(사건마스터!$AI$5:$AI$64,MATCH($F444,사건마스터!$A$5:$A$64,0)),""))</f>
        <v/>
      </c>
      <c r="M444" s="35">
        <f>IF($F444="","",IFERROR(INDEX(사건마스터!$AJ$5:$AJ$64,MATCH($F444,사건마스터!$A$5:$A$64,0)),""))</f>
        <v/>
      </c>
      <c r="N444" s="35">
        <f>IF($F444="","",IFERROR(INDEX(사건마스터!$AK$5:$AK$64,MATCH($F444,사건마스터!$A$5:$A$64,0)),""))</f>
        <v/>
      </c>
      <c r="O444" s="35">
        <f>IF($F444="","",IFERROR(INDEX(사건마스터!$AL$5:$AL$64,MATCH($F444,사건마스터!$A$5:$A$64,0)),""))</f>
        <v/>
      </c>
      <c r="P444" s="35">
        <f>IF($F444="","",IFERROR(INDEX(사건마스터!$AM$5:$AM$64,MATCH($F444,사건마스터!$A$5:$A$64,0)),""))</f>
        <v/>
      </c>
      <c r="Q444" s="35">
        <f>IF($F444="","",IFERROR(INDEX(사건마스터!$AN$5:$AN$64,MATCH($F444,사건마스터!$A$5:$A$64,0)),""))</f>
        <v/>
      </c>
      <c r="R444" s="35">
        <f>IF($F444="","",IFERROR(INDEX(사건마스터!$AO$5:$AO$64,MATCH($F444,사건마스터!$A$5:$A$64,0)),""))</f>
        <v/>
      </c>
      <c r="S444" s="35">
        <f>IF($F444="","",IFERROR(INDEX(사건마스터!$AP$5:$AP$64,MATCH($F444,사건마스터!$A$5:$A$64,0)),""))</f>
        <v/>
      </c>
      <c r="T444" s="35">
        <f>IF($F444="","",IFERROR(INDEX(사건마스터!$AQ$5:$AQ$64,MATCH($F444,사건마스터!$A$5:$A$64,0)),""))</f>
        <v/>
      </c>
      <c r="U444" s="35">
        <f>IF($F444="","",IFERROR(INDEX(사건마스터!$AR$5:$AR$64,MATCH($F444,사건마스터!$A$5:$A$64,0)),""))</f>
        <v/>
      </c>
      <c r="V444" s="35">
        <f>IF($F444="","",IFERROR(INDEX(사건마스터!$AS$5:$AS$64,MATCH($F444,사건마스터!$A$5:$A$64,0)),""))</f>
        <v/>
      </c>
      <c r="W444" s="35">
        <f>IF($F444="","",IFERROR(INDEX(사건마스터!$AT$5:$AT$64,MATCH($F444,사건마스터!$A$5:$A$64,0)),""))</f>
        <v/>
      </c>
      <c r="X444" s="35">
        <f>IF($F444="","",IFERROR(INDEX(사건마스터!$AU$5:$AU$64,MATCH($F444,사건마스터!$A$5:$A$64,0)),""))</f>
        <v/>
      </c>
      <c r="Y444" s="35">
        <f>IF($F444="","",IFERROR(INDEX(사건마스터!$AV$5:$AV$64,MATCH($F444,사건마스터!$A$5:$A$64,0)),""))</f>
        <v/>
      </c>
      <c r="Z444" s="30">
        <f>IF(COUNTBLANK($J444:$Y444)=16,"",16-COUNTBLANK($J444:$Y444))</f>
        <v/>
      </c>
      <c r="AA444" s="33">
        <f>IF($J444="",MID($AX444,3,255),$J444&amp;$AX444)</f>
        <v/>
      </c>
      <c r="AB444" s="34">
        <f>IF($J444="","",IFERROR(INDEX(코드설정!$D$5:$D$24,MATCH($J444,코드설정!$C$5:$C$24,0)),""))</f>
        <v/>
      </c>
      <c r="AC444" s="36" t="n"/>
      <c r="AD444" s="37" t="n"/>
      <c r="AE444" s="38" t="n"/>
      <c r="AF444" s="30">
        <f>IF(OR($B444="",$C444=""),"",$C444-$B444+1)</f>
        <v/>
      </c>
      <c r="AG444" s="32" t="n"/>
      <c r="AH444" s="36" t="n"/>
      <c r="AJ444">
        <f>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  <c r="AX444">
        <f>AW444&amp;IF($Y444="","",", "&amp;$Y444)</f>
        <v/>
      </c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0">
        <f>IF($F445="","",COUNTIF($F$5:$F445,$F445))</f>
        <v/>
      </c>
      <c r="H445" s="33">
        <f>IF($F445="","",IFERROR(INDEX(사건마스터!$B$5:$B$64,MATCH($F445,사건마스터!$A$5:$A$64,0)),""))</f>
        <v/>
      </c>
      <c r="I445" s="34">
        <f>IF($F445="","",IFERROR(INDEX(사건마스터!$C$5:$C$64,MATCH($F445,사건마스터!$A$5:$A$64,0)),""))</f>
        <v/>
      </c>
      <c r="J445" s="35">
        <f>IF($F445="","",IFERROR(INDEX(사건마스터!$H$5:$H$64,MATCH($F445,사건마스터!$A$5:$A$64,0)),""))</f>
        <v/>
      </c>
      <c r="K445" s="35">
        <f>IF($F445="","",IFERROR(INDEX(사건마스터!$AH$5:$AH$64,MATCH($F445,사건마스터!$A$5:$A$64,0)),""))</f>
        <v/>
      </c>
      <c r="L445" s="35">
        <f>IF($F445="","",IFERROR(INDEX(사건마스터!$AI$5:$AI$64,MATCH($F445,사건마스터!$A$5:$A$64,0)),""))</f>
        <v/>
      </c>
      <c r="M445" s="35">
        <f>IF($F445="","",IFERROR(INDEX(사건마스터!$AJ$5:$AJ$64,MATCH($F445,사건마스터!$A$5:$A$64,0)),""))</f>
        <v/>
      </c>
      <c r="N445" s="35">
        <f>IF($F445="","",IFERROR(INDEX(사건마스터!$AK$5:$AK$64,MATCH($F445,사건마스터!$A$5:$A$64,0)),""))</f>
        <v/>
      </c>
      <c r="O445" s="35">
        <f>IF($F445="","",IFERROR(INDEX(사건마스터!$AL$5:$AL$64,MATCH($F445,사건마스터!$A$5:$A$64,0)),""))</f>
        <v/>
      </c>
      <c r="P445" s="35">
        <f>IF($F445="","",IFERROR(INDEX(사건마스터!$AM$5:$AM$64,MATCH($F445,사건마스터!$A$5:$A$64,0)),""))</f>
        <v/>
      </c>
      <c r="Q445" s="35">
        <f>IF($F445="","",IFERROR(INDEX(사건마스터!$AN$5:$AN$64,MATCH($F445,사건마스터!$A$5:$A$64,0)),""))</f>
        <v/>
      </c>
      <c r="R445" s="35">
        <f>IF($F445="","",IFERROR(INDEX(사건마스터!$AO$5:$AO$64,MATCH($F445,사건마스터!$A$5:$A$64,0)),""))</f>
        <v/>
      </c>
      <c r="S445" s="35">
        <f>IF($F445="","",IFERROR(INDEX(사건마스터!$AP$5:$AP$64,MATCH($F445,사건마스터!$A$5:$A$64,0)),""))</f>
        <v/>
      </c>
      <c r="T445" s="35">
        <f>IF($F445="","",IFERROR(INDEX(사건마스터!$AQ$5:$AQ$64,MATCH($F445,사건마스터!$A$5:$A$64,0)),""))</f>
        <v/>
      </c>
      <c r="U445" s="35">
        <f>IF($F445="","",IFERROR(INDEX(사건마스터!$AR$5:$AR$64,MATCH($F445,사건마스터!$A$5:$A$64,0)),""))</f>
        <v/>
      </c>
      <c r="V445" s="35">
        <f>IF($F445="","",IFERROR(INDEX(사건마스터!$AS$5:$AS$64,MATCH($F445,사건마스터!$A$5:$A$64,0)),""))</f>
        <v/>
      </c>
      <c r="W445" s="35">
        <f>IF($F445="","",IFERROR(INDEX(사건마스터!$AT$5:$AT$64,MATCH($F445,사건마스터!$A$5:$A$64,0)),""))</f>
        <v/>
      </c>
      <c r="X445" s="35">
        <f>IF($F445="","",IFERROR(INDEX(사건마스터!$AU$5:$AU$64,MATCH($F445,사건마스터!$A$5:$A$64,0)),""))</f>
        <v/>
      </c>
      <c r="Y445" s="35">
        <f>IF($F445="","",IFERROR(INDEX(사건마스터!$AV$5:$AV$64,MATCH($F445,사건마스터!$A$5:$A$64,0)),""))</f>
        <v/>
      </c>
      <c r="Z445" s="30">
        <f>IF(COUNTBLANK($J445:$Y445)=16,"",16-COUNTBLANK($J445:$Y445))</f>
        <v/>
      </c>
      <c r="AA445" s="33">
        <f>IF($J445="",MID($AX445,3,255),$J445&amp;$AX445)</f>
        <v/>
      </c>
      <c r="AB445" s="34">
        <f>IF($J445="","",IFERROR(INDEX(코드설정!$D$5:$D$24,MATCH($J445,코드설정!$C$5:$C$24,0)),""))</f>
        <v/>
      </c>
      <c r="AC445" s="36" t="n"/>
      <c r="AD445" s="37" t="n"/>
      <c r="AE445" s="38" t="n"/>
      <c r="AF445" s="30">
        <f>IF(OR($B445="",$C445=""),"",$C445-$B445+1)</f>
        <v/>
      </c>
      <c r="AG445" s="32" t="n"/>
      <c r="AH445" s="36" t="n"/>
      <c r="AJ445">
        <f>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  <c r="AX445">
        <f>AW445&amp;IF($Y445="","",", "&amp;$Y445)</f>
        <v/>
      </c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0">
        <f>IF($F446="","",COUNTIF($F$5:$F446,$F446))</f>
        <v/>
      </c>
      <c r="H446" s="33">
        <f>IF($F446="","",IFERROR(INDEX(사건마스터!$B$5:$B$64,MATCH($F446,사건마스터!$A$5:$A$64,0)),""))</f>
        <v/>
      </c>
      <c r="I446" s="34">
        <f>IF($F446="","",IFERROR(INDEX(사건마스터!$C$5:$C$64,MATCH($F446,사건마스터!$A$5:$A$64,0)),""))</f>
        <v/>
      </c>
      <c r="J446" s="35">
        <f>IF($F446="","",IFERROR(INDEX(사건마스터!$H$5:$H$64,MATCH($F446,사건마스터!$A$5:$A$64,0)),""))</f>
        <v/>
      </c>
      <c r="K446" s="35">
        <f>IF($F446="","",IFERROR(INDEX(사건마스터!$AH$5:$AH$64,MATCH($F446,사건마스터!$A$5:$A$64,0)),""))</f>
        <v/>
      </c>
      <c r="L446" s="35">
        <f>IF($F446="","",IFERROR(INDEX(사건마스터!$AI$5:$AI$64,MATCH($F446,사건마스터!$A$5:$A$64,0)),""))</f>
        <v/>
      </c>
      <c r="M446" s="35">
        <f>IF($F446="","",IFERROR(INDEX(사건마스터!$AJ$5:$AJ$64,MATCH($F446,사건마스터!$A$5:$A$64,0)),""))</f>
        <v/>
      </c>
      <c r="N446" s="35">
        <f>IF($F446="","",IFERROR(INDEX(사건마스터!$AK$5:$AK$64,MATCH($F446,사건마스터!$A$5:$A$64,0)),""))</f>
        <v/>
      </c>
      <c r="O446" s="35">
        <f>IF($F446="","",IFERROR(INDEX(사건마스터!$AL$5:$AL$64,MATCH($F446,사건마스터!$A$5:$A$64,0)),""))</f>
        <v/>
      </c>
      <c r="P446" s="35">
        <f>IF($F446="","",IFERROR(INDEX(사건마스터!$AM$5:$AM$64,MATCH($F446,사건마스터!$A$5:$A$64,0)),""))</f>
        <v/>
      </c>
      <c r="Q446" s="35">
        <f>IF($F446="","",IFERROR(INDEX(사건마스터!$AN$5:$AN$64,MATCH($F446,사건마스터!$A$5:$A$64,0)),""))</f>
        <v/>
      </c>
      <c r="R446" s="35">
        <f>IF($F446="","",IFERROR(INDEX(사건마스터!$AO$5:$AO$64,MATCH($F446,사건마스터!$A$5:$A$64,0)),""))</f>
        <v/>
      </c>
      <c r="S446" s="35">
        <f>IF($F446="","",IFERROR(INDEX(사건마스터!$AP$5:$AP$64,MATCH($F446,사건마스터!$A$5:$A$64,0)),""))</f>
        <v/>
      </c>
      <c r="T446" s="35">
        <f>IF($F446="","",IFERROR(INDEX(사건마스터!$AQ$5:$AQ$64,MATCH($F446,사건마스터!$A$5:$A$64,0)),""))</f>
        <v/>
      </c>
      <c r="U446" s="35">
        <f>IF($F446="","",IFERROR(INDEX(사건마스터!$AR$5:$AR$64,MATCH($F446,사건마스터!$A$5:$A$64,0)),""))</f>
        <v/>
      </c>
      <c r="V446" s="35">
        <f>IF($F446="","",IFERROR(INDEX(사건마스터!$AS$5:$AS$64,MATCH($F446,사건마스터!$A$5:$A$64,0)),""))</f>
        <v/>
      </c>
      <c r="W446" s="35">
        <f>IF($F446="","",IFERROR(INDEX(사건마스터!$AT$5:$AT$64,MATCH($F446,사건마스터!$A$5:$A$64,0)),""))</f>
        <v/>
      </c>
      <c r="X446" s="35">
        <f>IF($F446="","",IFERROR(INDEX(사건마스터!$AU$5:$AU$64,MATCH($F446,사건마스터!$A$5:$A$64,0)),""))</f>
        <v/>
      </c>
      <c r="Y446" s="35">
        <f>IF($F446="","",IFERROR(INDEX(사건마스터!$AV$5:$AV$64,MATCH($F446,사건마스터!$A$5:$A$64,0)),""))</f>
        <v/>
      </c>
      <c r="Z446" s="30">
        <f>IF(COUNTBLANK($J446:$Y446)=16,"",16-COUNTBLANK($J446:$Y446))</f>
        <v/>
      </c>
      <c r="AA446" s="33">
        <f>IF($J446="",MID($AX446,3,255),$J446&amp;$AX446)</f>
        <v/>
      </c>
      <c r="AB446" s="34">
        <f>IF($J446="","",IFERROR(INDEX(코드설정!$D$5:$D$24,MATCH($J446,코드설정!$C$5:$C$24,0)),""))</f>
        <v/>
      </c>
      <c r="AC446" s="36" t="n"/>
      <c r="AD446" s="37" t="n"/>
      <c r="AE446" s="38" t="n"/>
      <c r="AF446" s="30">
        <f>IF(OR($B446="",$C446=""),"",$C446-$B446+1)</f>
        <v/>
      </c>
      <c r="AG446" s="32" t="n"/>
      <c r="AH446" s="36" t="n"/>
      <c r="AJ446">
        <f>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  <c r="AX446">
        <f>AW446&amp;IF($Y446="","",", "&amp;$Y446)</f>
        <v/>
      </c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0">
        <f>IF($F447="","",COUNTIF($F$5:$F447,$F447))</f>
        <v/>
      </c>
      <c r="H447" s="33">
        <f>IF($F447="","",IFERROR(INDEX(사건마스터!$B$5:$B$64,MATCH($F447,사건마스터!$A$5:$A$64,0)),""))</f>
        <v/>
      </c>
      <c r="I447" s="34">
        <f>IF($F447="","",IFERROR(INDEX(사건마스터!$C$5:$C$64,MATCH($F447,사건마스터!$A$5:$A$64,0)),""))</f>
        <v/>
      </c>
      <c r="J447" s="35">
        <f>IF($F447="","",IFERROR(INDEX(사건마스터!$H$5:$H$64,MATCH($F447,사건마스터!$A$5:$A$64,0)),""))</f>
        <v/>
      </c>
      <c r="K447" s="35">
        <f>IF($F447="","",IFERROR(INDEX(사건마스터!$AH$5:$AH$64,MATCH($F447,사건마스터!$A$5:$A$64,0)),""))</f>
        <v/>
      </c>
      <c r="L447" s="35">
        <f>IF($F447="","",IFERROR(INDEX(사건마스터!$AI$5:$AI$64,MATCH($F447,사건마스터!$A$5:$A$64,0)),""))</f>
        <v/>
      </c>
      <c r="M447" s="35">
        <f>IF($F447="","",IFERROR(INDEX(사건마스터!$AJ$5:$AJ$64,MATCH($F447,사건마스터!$A$5:$A$64,0)),""))</f>
        <v/>
      </c>
      <c r="N447" s="35">
        <f>IF($F447="","",IFERROR(INDEX(사건마스터!$AK$5:$AK$64,MATCH($F447,사건마스터!$A$5:$A$64,0)),""))</f>
        <v/>
      </c>
      <c r="O447" s="35">
        <f>IF($F447="","",IFERROR(INDEX(사건마스터!$AL$5:$AL$64,MATCH($F447,사건마스터!$A$5:$A$64,0)),""))</f>
        <v/>
      </c>
      <c r="P447" s="35">
        <f>IF($F447="","",IFERROR(INDEX(사건마스터!$AM$5:$AM$64,MATCH($F447,사건마스터!$A$5:$A$64,0)),""))</f>
        <v/>
      </c>
      <c r="Q447" s="35">
        <f>IF($F447="","",IFERROR(INDEX(사건마스터!$AN$5:$AN$64,MATCH($F447,사건마스터!$A$5:$A$64,0)),""))</f>
        <v/>
      </c>
      <c r="R447" s="35">
        <f>IF($F447="","",IFERROR(INDEX(사건마스터!$AO$5:$AO$64,MATCH($F447,사건마스터!$A$5:$A$64,0)),""))</f>
        <v/>
      </c>
      <c r="S447" s="35">
        <f>IF($F447="","",IFERROR(INDEX(사건마스터!$AP$5:$AP$64,MATCH($F447,사건마스터!$A$5:$A$64,0)),""))</f>
        <v/>
      </c>
      <c r="T447" s="35">
        <f>IF($F447="","",IFERROR(INDEX(사건마스터!$AQ$5:$AQ$64,MATCH($F447,사건마스터!$A$5:$A$64,0)),""))</f>
        <v/>
      </c>
      <c r="U447" s="35">
        <f>IF($F447="","",IFERROR(INDEX(사건마스터!$AR$5:$AR$64,MATCH($F447,사건마스터!$A$5:$A$64,0)),""))</f>
        <v/>
      </c>
      <c r="V447" s="35">
        <f>IF($F447="","",IFERROR(INDEX(사건마스터!$AS$5:$AS$64,MATCH($F447,사건마스터!$A$5:$A$64,0)),""))</f>
        <v/>
      </c>
      <c r="W447" s="35">
        <f>IF($F447="","",IFERROR(INDEX(사건마스터!$AT$5:$AT$64,MATCH($F447,사건마스터!$A$5:$A$64,0)),""))</f>
        <v/>
      </c>
      <c r="X447" s="35">
        <f>IF($F447="","",IFERROR(INDEX(사건마스터!$AU$5:$AU$64,MATCH($F447,사건마스터!$A$5:$A$64,0)),""))</f>
        <v/>
      </c>
      <c r="Y447" s="35">
        <f>IF($F447="","",IFERROR(INDEX(사건마스터!$AV$5:$AV$64,MATCH($F447,사건마스터!$A$5:$A$64,0)),""))</f>
        <v/>
      </c>
      <c r="Z447" s="30">
        <f>IF(COUNTBLANK($J447:$Y447)=16,"",16-COUNTBLANK($J447:$Y447))</f>
        <v/>
      </c>
      <c r="AA447" s="33">
        <f>IF($J447="",MID($AX447,3,255),$J447&amp;$AX447)</f>
        <v/>
      </c>
      <c r="AB447" s="34">
        <f>IF($J447="","",IFERROR(INDEX(코드설정!$D$5:$D$24,MATCH($J447,코드설정!$C$5:$C$24,0)),""))</f>
        <v/>
      </c>
      <c r="AC447" s="36" t="n"/>
      <c r="AD447" s="37" t="n"/>
      <c r="AE447" s="38" t="n"/>
      <c r="AF447" s="30">
        <f>IF(OR($B447="",$C447=""),"",$C447-$B447+1)</f>
        <v/>
      </c>
      <c r="AG447" s="32" t="n"/>
      <c r="AH447" s="36" t="n"/>
      <c r="AJ447">
        <f>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  <c r="AX447">
        <f>AW447&amp;IF($Y447="","",", "&amp;$Y447)</f>
        <v/>
      </c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0">
        <f>IF($F448="","",COUNTIF($F$5:$F448,$F448))</f>
        <v/>
      </c>
      <c r="H448" s="33">
        <f>IF($F448="","",IFERROR(INDEX(사건마스터!$B$5:$B$64,MATCH($F448,사건마스터!$A$5:$A$64,0)),""))</f>
        <v/>
      </c>
      <c r="I448" s="34">
        <f>IF($F448="","",IFERROR(INDEX(사건마스터!$C$5:$C$64,MATCH($F448,사건마스터!$A$5:$A$64,0)),""))</f>
        <v/>
      </c>
      <c r="J448" s="35">
        <f>IF($F448="","",IFERROR(INDEX(사건마스터!$H$5:$H$64,MATCH($F448,사건마스터!$A$5:$A$64,0)),""))</f>
        <v/>
      </c>
      <c r="K448" s="35">
        <f>IF($F448="","",IFERROR(INDEX(사건마스터!$AH$5:$AH$64,MATCH($F448,사건마스터!$A$5:$A$64,0)),""))</f>
        <v/>
      </c>
      <c r="L448" s="35">
        <f>IF($F448="","",IFERROR(INDEX(사건마스터!$AI$5:$AI$64,MATCH($F448,사건마스터!$A$5:$A$64,0)),""))</f>
        <v/>
      </c>
      <c r="M448" s="35">
        <f>IF($F448="","",IFERROR(INDEX(사건마스터!$AJ$5:$AJ$64,MATCH($F448,사건마스터!$A$5:$A$64,0)),""))</f>
        <v/>
      </c>
      <c r="N448" s="35">
        <f>IF($F448="","",IFERROR(INDEX(사건마스터!$AK$5:$AK$64,MATCH($F448,사건마스터!$A$5:$A$64,0)),""))</f>
        <v/>
      </c>
      <c r="O448" s="35">
        <f>IF($F448="","",IFERROR(INDEX(사건마스터!$AL$5:$AL$64,MATCH($F448,사건마스터!$A$5:$A$64,0)),""))</f>
        <v/>
      </c>
      <c r="P448" s="35">
        <f>IF($F448="","",IFERROR(INDEX(사건마스터!$AM$5:$AM$64,MATCH($F448,사건마스터!$A$5:$A$64,0)),""))</f>
        <v/>
      </c>
      <c r="Q448" s="35">
        <f>IF($F448="","",IFERROR(INDEX(사건마스터!$AN$5:$AN$64,MATCH($F448,사건마스터!$A$5:$A$64,0)),""))</f>
        <v/>
      </c>
      <c r="R448" s="35">
        <f>IF($F448="","",IFERROR(INDEX(사건마스터!$AO$5:$AO$64,MATCH($F448,사건마스터!$A$5:$A$64,0)),""))</f>
        <v/>
      </c>
      <c r="S448" s="35">
        <f>IF($F448="","",IFERROR(INDEX(사건마스터!$AP$5:$AP$64,MATCH($F448,사건마스터!$A$5:$A$64,0)),""))</f>
        <v/>
      </c>
      <c r="T448" s="35">
        <f>IF($F448="","",IFERROR(INDEX(사건마스터!$AQ$5:$AQ$64,MATCH($F448,사건마스터!$A$5:$A$64,0)),""))</f>
        <v/>
      </c>
      <c r="U448" s="35">
        <f>IF($F448="","",IFERROR(INDEX(사건마스터!$AR$5:$AR$64,MATCH($F448,사건마스터!$A$5:$A$64,0)),""))</f>
        <v/>
      </c>
      <c r="V448" s="35">
        <f>IF($F448="","",IFERROR(INDEX(사건마스터!$AS$5:$AS$64,MATCH($F448,사건마스터!$A$5:$A$64,0)),""))</f>
        <v/>
      </c>
      <c r="W448" s="35">
        <f>IF($F448="","",IFERROR(INDEX(사건마스터!$AT$5:$AT$64,MATCH($F448,사건마스터!$A$5:$A$64,0)),""))</f>
        <v/>
      </c>
      <c r="X448" s="35">
        <f>IF($F448="","",IFERROR(INDEX(사건마스터!$AU$5:$AU$64,MATCH($F448,사건마스터!$A$5:$A$64,0)),""))</f>
        <v/>
      </c>
      <c r="Y448" s="35">
        <f>IF($F448="","",IFERROR(INDEX(사건마스터!$AV$5:$AV$64,MATCH($F448,사건마스터!$A$5:$A$64,0)),""))</f>
        <v/>
      </c>
      <c r="Z448" s="30">
        <f>IF(COUNTBLANK($J448:$Y448)=16,"",16-COUNTBLANK($J448:$Y448))</f>
        <v/>
      </c>
      <c r="AA448" s="33">
        <f>IF($J448="",MID($AX448,3,255),$J448&amp;$AX448)</f>
        <v/>
      </c>
      <c r="AB448" s="34">
        <f>IF($J448="","",IFERROR(INDEX(코드설정!$D$5:$D$24,MATCH($J448,코드설정!$C$5:$C$24,0)),""))</f>
        <v/>
      </c>
      <c r="AC448" s="36" t="n"/>
      <c r="AD448" s="37" t="n"/>
      <c r="AE448" s="38" t="n"/>
      <c r="AF448" s="30">
        <f>IF(OR($B448="",$C448=""),"",$C448-$B448+1)</f>
        <v/>
      </c>
      <c r="AG448" s="32" t="n"/>
      <c r="AH448" s="36" t="n"/>
      <c r="AJ448">
        <f>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  <c r="AX448">
        <f>AW448&amp;IF($Y448="","",", "&amp;$Y448)</f>
        <v/>
      </c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0">
        <f>IF($F449="","",COUNTIF($F$5:$F449,$F449))</f>
        <v/>
      </c>
      <c r="H449" s="33">
        <f>IF($F449="","",IFERROR(INDEX(사건마스터!$B$5:$B$64,MATCH($F449,사건마스터!$A$5:$A$64,0)),""))</f>
        <v/>
      </c>
      <c r="I449" s="34">
        <f>IF($F449="","",IFERROR(INDEX(사건마스터!$C$5:$C$64,MATCH($F449,사건마스터!$A$5:$A$64,0)),""))</f>
        <v/>
      </c>
      <c r="J449" s="35">
        <f>IF($F449="","",IFERROR(INDEX(사건마스터!$H$5:$H$64,MATCH($F449,사건마스터!$A$5:$A$64,0)),""))</f>
        <v/>
      </c>
      <c r="K449" s="35">
        <f>IF($F449="","",IFERROR(INDEX(사건마스터!$AH$5:$AH$64,MATCH($F449,사건마스터!$A$5:$A$64,0)),""))</f>
        <v/>
      </c>
      <c r="L449" s="35">
        <f>IF($F449="","",IFERROR(INDEX(사건마스터!$AI$5:$AI$64,MATCH($F449,사건마스터!$A$5:$A$64,0)),""))</f>
        <v/>
      </c>
      <c r="M449" s="35">
        <f>IF($F449="","",IFERROR(INDEX(사건마스터!$AJ$5:$AJ$64,MATCH($F449,사건마스터!$A$5:$A$64,0)),""))</f>
        <v/>
      </c>
      <c r="N449" s="35">
        <f>IF($F449="","",IFERROR(INDEX(사건마스터!$AK$5:$AK$64,MATCH($F449,사건마스터!$A$5:$A$64,0)),""))</f>
        <v/>
      </c>
      <c r="O449" s="35">
        <f>IF($F449="","",IFERROR(INDEX(사건마스터!$AL$5:$AL$64,MATCH($F449,사건마스터!$A$5:$A$64,0)),""))</f>
        <v/>
      </c>
      <c r="P449" s="35">
        <f>IF($F449="","",IFERROR(INDEX(사건마스터!$AM$5:$AM$64,MATCH($F449,사건마스터!$A$5:$A$64,0)),""))</f>
        <v/>
      </c>
      <c r="Q449" s="35">
        <f>IF($F449="","",IFERROR(INDEX(사건마스터!$AN$5:$AN$64,MATCH($F449,사건마스터!$A$5:$A$64,0)),""))</f>
        <v/>
      </c>
      <c r="R449" s="35">
        <f>IF($F449="","",IFERROR(INDEX(사건마스터!$AO$5:$AO$64,MATCH($F449,사건마스터!$A$5:$A$64,0)),""))</f>
        <v/>
      </c>
      <c r="S449" s="35">
        <f>IF($F449="","",IFERROR(INDEX(사건마스터!$AP$5:$AP$64,MATCH($F449,사건마스터!$A$5:$A$64,0)),""))</f>
        <v/>
      </c>
      <c r="T449" s="35">
        <f>IF($F449="","",IFERROR(INDEX(사건마스터!$AQ$5:$AQ$64,MATCH($F449,사건마스터!$A$5:$A$64,0)),""))</f>
        <v/>
      </c>
      <c r="U449" s="35">
        <f>IF($F449="","",IFERROR(INDEX(사건마스터!$AR$5:$AR$64,MATCH($F449,사건마스터!$A$5:$A$64,0)),""))</f>
        <v/>
      </c>
      <c r="V449" s="35">
        <f>IF($F449="","",IFERROR(INDEX(사건마스터!$AS$5:$AS$64,MATCH($F449,사건마스터!$A$5:$A$64,0)),""))</f>
        <v/>
      </c>
      <c r="W449" s="35">
        <f>IF($F449="","",IFERROR(INDEX(사건마스터!$AT$5:$AT$64,MATCH($F449,사건마스터!$A$5:$A$64,0)),""))</f>
        <v/>
      </c>
      <c r="X449" s="35">
        <f>IF($F449="","",IFERROR(INDEX(사건마스터!$AU$5:$AU$64,MATCH($F449,사건마스터!$A$5:$A$64,0)),""))</f>
        <v/>
      </c>
      <c r="Y449" s="35">
        <f>IF($F449="","",IFERROR(INDEX(사건마스터!$AV$5:$AV$64,MATCH($F449,사건마스터!$A$5:$A$64,0)),""))</f>
        <v/>
      </c>
      <c r="Z449" s="30">
        <f>IF(COUNTBLANK($J449:$Y449)=16,"",16-COUNTBLANK($J449:$Y449))</f>
        <v/>
      </c>
      <c r="AA449" s="33">
        <f>IF($J449="",MID($AX449,3,255),$J449&amp;$AX449)</f>
        <v/>
      </c>
      <c r="AB449" s="34">
        <f>IF($J449="","",IFERROR(INDEX(코드설정!$D$5:$D$24,MATCH($J449,코드설정!$C$5:$C$24,0)),""))</f>
        <v/>
      </c>
      <c r="AC449" s="36" t="n"/>
      <c r="AD449" s="37" t="n"/>
      <c r="AE449" s="38" t="n"/>
      <c r="AF449" s="30">
        <f>IF(OR($B449="",$C449=""),"",$C449-$B449+1)</f>
        <v/>
      </c>
      <c r="AG449" s="32" t="n"/>
      <c r="AH449" s="36" t="n"/>
      <c r="AJ449">
        <f>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  <c r="AX449">
        <f>AW449&amp;IF($Y449="","",", "&amp;$Y449)</f>
        <v/>
      </c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0">
        <f>IF($F450="","",COUNTIF($F$5:$F450,$F450))</f>
        <v/>
      </c>
      <c r="H450" s="33">
        <f>IF($F450="","",IFERROR(INDEX(사건마스터!$B$5:$B$64,MATCH($F450,사건마스터!$A$5:$A$64,0)),""))</f>
        <v/>
      </c>
      <c r="I450" s="34">
        <f>IF($F450="","",IFERROR(INDEX(사건마스터!$C$5:$C$64,MATCH($F450,사건마스터!$A$5:$A$64,0)),""))</f>
        <v/>
      </c>
      <c r="J450" s="35">
        <f>IF($F450="","",IFERROR(INDEX(사건마스터!$H$5:$H$64,MATCH($F450,사건마스터!$A$5:$A$64,0)),""))</f>
        <v/>
      </c>
      <c r="K450" s="35">
        <f>IF($F450="","",IFERROR(INDEX(사건마스터!$AH$5:$AH$64,MATCH($F450,사건마스터!$A$5:$A$64,0)),""))</f>
        <v/>
      </c>
      <c r="L450" s="35">
        <f>IF($F450="","",IFERROR(INDEX(사건마스터!$AI$5:$AI$64,MATCH($F450,사건마스터!$A$5:$A$64,0)),""))</f>
        <v/>
      </c>
      <c r="M450" s="35">
        <f>IF($F450="","",IFERROR(INDEX(사건마스터!$AJ$5:$AJ$64,MATCH($F450,사건마스터!$A$5:$A$64,0)),""))</f>
        <v/>
      </c>
      <c r="N450" s="35">
        <f>IF($F450="","",IFERROR(INDEX(사건마스터!$AK$5:$AK$64,MATCH($F450,사건마스터!$A$5:$A$64,0)),""))</f>
        <v/>
      </c>
      <c r="O450" s="35">
        <f>IF($F450="","",IFERROR(INDEX(사건마스터!$AL$5:$AL$64,MATCH($F450,사건마스터!$A$5:$A$64,0)),""))</f>
        <v/>
      </c>
      <c r="P450" s="35">
        <f>IF($F450="","",IFERROR(INDEX(사건마스터!$AM$5:$AM$64,MATCH($F450,사건마스터!$A$5:$A$64,0)),""))</f>
        <v/>
      </c>
      <c r="Q450" s="35">
        <f>IF($F450="","",IFERROR(INDEX(사건마스터!$AN$5:$AN$64,MATCH($F450,사건마스터!$A$5:$A$64,0)),""))</f>
        <v/>
      </c>
      <c r="R450" s="35">
        <f>IF($F450="","",IFERROR(INDEX(사건마스터!$AO$5:$AO$64,MATCH($F450,사건마스터!$A$5:$A$64,0)),""))</f>
        <v/>
      </c>
      <c r="S450" s="35">
        <f>IF($F450="","",IFERROR(INDEX(사건마스터!$AP$5:$AP$64,MATCH($F450,사건마스터!$A$5:$A$64,0)),""))</f>
        <v/>
      </c>
      <c r="T450" s="35">
        <f>IF($F450="","",IFERROR(INDEX(사건마스터!$AQ$5:$AQ$64,MATCH($F450,사건마스터!$A$5:$A$64,0)),""))</f>
        <v/>
      </c>
      <c r="U450" s="35">
        <f>IF($F450="","",IFERROR(INDEX(사건마스터!$AR$5:$AR$64,MATCH($F450,사건마스터!$A$5:$A$64,0)),""))</f>
        <v/>
      </c>
      <c r="V450" s="35">
        <f>IF($F450="","",IFERROR(INDEX(사건마스터!$AS$5:$AS$64,MATCH($F450,사건마스터!$A$5:$A$64,0)),""))</f>
        <v/>
      </c>
      <c r="W450" s="35">
        <f>IF($F450="","",IFERROR(INDEX(사건마스터!$AT$5:$AT$64,MATCH($F450,사건마스터!$A$5:$A$64,0)),""))</f>
        <v/>
      </c>
      <c r="X450" s="35">
        <f>IF($F450="","",IFERROR(INDEX(사건마스터!$AU$5:$AU$64,MATCH($F450,사건마스터!$A$5:$A$64,0)),""))</f>
        <v/>
      </c>
      <c r="Y450" s="35">
        <f>IF($F450="","",IFERROR(INDEX(사건마스터!$AV$5:$AV$64,MATCH($F450,사건마스터!$A$5:$A$64,0)),""))</f>
        <v/>
      </c>
      <c r="Z450" s="30">
        <f>IF(COUNTBLANK($J450:$Y450)=16,"",16-COUNTBLANK($J450:$Y450))</f>
        <v/>
      </c>
      <c r="AA450" s="33">
        <f>IF($J450="",MID($AX450,3,255),$J450&amp;$AX450)</f>
        <v/>
      </c>
      <c r="AB450" s="34">
        <f>IF($J450="","",IFERROR(INDEX(코드설정!$D$5:$D$24,MATCH($J450,코드설정!$C$5:$C$24,0)),""))</f>
        <v/>
      </c>
      <c r="AC450" s="36" t="n"/>
      <c r="AD450" s="37" t="n"/>
      <c r="AE450" s="38" t="n"/>
      <c r="AF450" s="30">
        <f>IF(OR($B450="",$C450=""),"",$C450-$B450+1)</f>
        <v/>
      </c>
      <c r="AG450" s="32" t="n"/>
      <c r="AH450" s="36" t="n"/>
      <c r="AJ450">
        <f>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  <c r="AX450">
        <f>AW450&amp;IF($Y450="","",", "&amp;$Y450)</f>
        <v/>
      </c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0">
        <f>IF($F451="","",COUNTIF($F$5:$F451,$F451))</f>
        <v/>
      </c>
      <c r="H451" s="33">
        <f>IF($F451="","",IFERROR(INDEX(사건마스터!$B$5:$B$64,MATCH($F451,사건마스터!$A$5:$A$64,0)),""))</f>
        <v/>
      </c>
      <c r="I451" s="34">
        <f>IF($F451="","",IFERROR(INDEX(사건마스터!$C$5:$C$64,MATCH($F451,사건마스터!$A$5:$A$64,0)),""))</f>
        <v/>
      </c>
      <c r="J451" s="35">
        <f>IF($F451="","",IFERROR(INDEX(사건마스터!$H$5:$H$64,MATCH($F451,사건마스터!$A$5:$A$64,0)),""))</f>
        <v/>
      </c>
      <c r="K451" s="35">
        <f>IF($F451="","",IFERROR(INDEX(사건마스터!$AH$5:$AH$64,MATCH($F451,사건마스터!$A$5:$A$64,0)),""))</f>
        <v/>
      </c>
      <c r="L451" s="35">
        <f>IF($F451="","",IFERROR(INDEX(사건마스터!$AI$5:$AI$64,MATCH($F451,사건마스터!$A$5:$A$64,0)),""))</f>
        <v/>
      </c>
      <c r="M451" s="35">
        <f>IF($F451="","",IFERROR(INDEX(사건마스터!$AJ$5:$AJ$64,MATCH($F451,사건마스터!$A$5:$A$64,0)),""))</f>
        <v/>
      </c>
      <c r="N451" s="35">
        <f>IF($F451="","",IFERROR(INDEX(사건마스터!$AK$5:$AK$64,MATCH($F451,사건마스터!$A$5:$A$64,0)),""))</f>
        <v/>
      </c>
      <c r="O451" s="35">
        <f>IF($F451="","",IFERROR(INDEX(사건마스터!$AL$5:$AL$64,MATCH($F451,사건마스터!$A$5:$A$64,0)),""))</f>
        <v/>
      </c>
      <c r="P451" s="35">
        <f>IF($F451="","",IFERROR(INDEX(사건마스터!$AM$5:$AM$64,MATCH($F451,사건마스터!$A$5:$A$64,0)),""))</f>
        <v/>
      </c>
      <c r="Q451" s="35">
        <f>IF($F451="","",IFERROR(INDEX(사건마스터!$AN$5:$AN$64,MATCH($F451,사건마스터!$A$5:$A$64,0)),""))</f>
        <v/>
      </c>
      <c r="R451" s="35">
        <f>IF($F451="","",IFERROR(INDEX(사건마스터!$AO$5:$AO$64,MATCH($F451,사건마스터!$A$5:$A$64,0)),""))</f>
        <v/>
      </c>
      <c r="S451" s="35">
        <f>IF($F451="","",IFERROR(INDEX(사건마스터!$AP$5:$AP$64,MATCH($F451,사건마스터!$A$5:$A$64,0)),""))</f>
        <v/>
      </c>
      <c r="T451" s="35">
        <f>IF($F451="","",IFERROR(INDEX(사건마스터!$AQ$5:$AQ$64,MATCH($F451,사건마스터!$A$5:$A$64,0)),""))</f>
        <v/>
      </c>
      <c r="U451" s="35">
        <f>IF($F451="","",IFERROR(INDEX(사건마스터!$AR$5:$AR$64,MATCH($F451,사건마스터!$A$5:$A$64,0)),""))</f>
        <v/>
      </c>
      <c r="V451" s="35">
        <f>IF($F451="","",IFERROR(INDEX(사건마스터!$AS$5:$AS$64,MATCH($F451,사건마스터!$A$5:$A$64,0)),""))</f>
        <v/>
      </c>
      <c r="W451" s="35">
        <f>IF($F451="","",IFERROR(INDEX(사건마스터!$AT$5:$AT$64,MATCH($F451,사건마스터!$A$5:$A$64,0)),""))</f>
        <v/>
      </c>
      <c r="X451" s="35">
        <f>IF($F451="","",IFERROR(INDEX(사건마스터!$AU$5:$AU$64,MATCH($F451,사건마스터!$A$5:$A$64,0)),""))</f>
        <v/>
      </c>
      <c r="Y451" s="35">
        <f>IF($F451="","",IFERROR(INDEX(사건마스터!$AV$5:$AV$64,MATCH($F451,사건마스터!$A$5:$A$64,0)),""))</f>
        <v/>
      </c>
      <c r="Z451" s="30">
        <f>IF(COUNTBLANK($J451:$Y451)=16,"",16-COUNTBLANK($J451:$Y451))</f>
        <v/>
      </c>
      <c r="AA451" s="33">
        <f>IF($J451="",MID($AX451,3,255),$J451&amp;$AX451)</f>
        <v/>
      </c>
      <c r="AB451" s="34">
        <f>IF($J451="","",IFERROR(INDEX(코드설정!$D$5:$D$24,MATCH($J451,코드설정!$C$5:$C$24,0)),""))</f>
        <v/>
      </c>
      <c r="AC451" s="36" t="n"/>
      <c r="AD451" s="37" t="n"/>
      <c r="AE451" s="38" t="n"/>
      <c r="AF451" s="30">
        <f>IF(OR($B451="",$C451=""),"",$C451-$B451+1)</f>
        <v/>
      </c>
      <c r="AG451" s="32" t="n"/>
      <c r="AH451" s="36" t="n"/>
      <c r="AJ451">
        <f>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  <c r="AX451">
        <f>AW451&amp;IF($Y451="","",", "&amp;$Y451)</f>
        <v/>
      </c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0">
        <f>IF($F452="","",COUNTIF($F$5:$F452,$F452))</f>
        <v/>
      </c>
      <c r="H452" s="33">
        <f>IF($F452="","",IFERROR(INDEX(사건마스터!$B$5:$B$64,MATCH($F452,사건마스터!$A$5:$A$64,0)),""))</f>
        <v/>
      </c>
      <c r="I452" s="34">
        <f>IF($F452="","",IFERROR(INDEX(사건마스터!$C$5:$C$64,MATCH($F452,사건마스터!$A$5:$A$64,0)),""))</f>
        <v/>
      </c>
      <c r="J452" s="35">
        <f>IF($F452="","",IFERROR(INDEX(사건마스터!$H$5:$H$64,MATCH($F452,사건마스터!$A$5:$A$64,0)),""))</f>
        <v/>
      </c>
      <c r="K452" s="35">
        <f>IF($F452="","",IFERROR(INDEX(사건마스터!$AH$5:$AH$64,MATCH($F452,사건마스터!$A$5:$A$64,0)),""))</f>
        <v/>
      </c>
      <c r="L452" s="35">
        <f>IF($F452="","",IFERROR(INDEX(사건마스터!$AI$5:$AI$64,MATCH($F452,사건마스터!$A$5:$A$64,0)),""))</f>
        <v/>
      </c>
      <c r="M452" s="35">
        <f>IF($F452="","",IFERROR(INDEX(사건마스터!$AJ$5:$AJ$64,MATCH($F452,사건마스터!$A$5:$A$64,0)),""))</f>
        <v/>
      </c>
      <c r="N452" s="35">
        <f>IF($F452="","",IFERROR(INDEX(사건마스터!$AK$5:$AK$64,MATCH($F452,사건마스터!$A$5:$A$64,0)),""))</f>
        <v/>
      </c>
      <c r="O452" s="35">
        <f>IF($F452="","",IFERROR(INDEX(사건마스터!$AL$5:$AL$64,MATCH($F452,사건마스터!$A$5:$A$64,0)),""))</f>
        <v/>
      </c>
      <c r="P452" s="35">
        <f>IF($F452="","",IFERROR(INDEX(사건마스터!$AM$5:$AM$64,MATCH($F452,사건마스터!$A$5:$A$64,0)),""))</f>
        <v/>
      </c>
      <c r="Q452" s="35">
        <f>IF($F452="","",IFERROR(INDEX(사건마스터!$AN$5:$AN$64,MATCH($F452,사건마스터!$A$5:$A$64,0)),""))</f>
        <v/>
      </c>
      <c r="R452" s="35">
        <f>IF($F452="","",IFERROR(INDEX(사건마스터!$AO$5:$AO$64,MATCH($F452,사건마스터!$A$5:$A$64,0)),""))</f>
        <v/>
      </c>
      <c r="S452" s="35">
        <f>IF($F452="","",IFERROR(INDEX(사건마스터!$AP$5:$AP$64,MATCH($F452,사건마스터!$A$5:$A$64,0)),""))</f>
        <v/>
      </c>
      <c r="T452" s="35">
        <f>IF($F452="","",IFERROR(INDEX(사건마스터!$AQ$5:$AQ$64,MATCH($F452,사건마스터!$A$5:$A$64,0)),""))</f>
        <v/>
      </c>
      <c r="U452" s="35">
        <f>IF($F452="","",IFERROR(INDEX(사건마스터!$AR$5:$AR$64,MATCH($F452,사건마스터!$A$5:$A$64,0)),""))</f>
        <v/>
      </c>
      <c r="V452" s="35">
        <f>IF($F452="","",IFERROR(INDEX(사건마스터!$AS$5:$AS$64,MATCH($F452,사건마스터!$A$5:$A$64,0)),""))</f>
        <v/>
      </c>
      <c r="W452" s="35">
        <f>IF($F452="","",IFERROR(INDEX(사건마스터!$AT$5:$AT$64,MATCH($F452,사건마스터!$A$5:$A$64,0)),""))</f>
        <v/>
      </c>
      <c r="X452" s="35">
        <f>IF($F452="","",IFERROR(INDEX(사건마스터!$AU$5:$AU$64,MATCH($F452,사건마스터!$A$5:$A$64,0)),""))</f>
        <v/>
      </c>
      <c r="Y452" s="35">
        <f>IF($F452="","",IFERROR(INDEX(사건마스터!$AV$5:$AV$64,MATCH($F452,사건마스터!$A$5:$A$64,0)),""))</f>
        <v/>
      </c>
      <c r="Z452" s="30">
        <f>IF(COUNTBLANK($J452:$Y452)=16,"",16-COUNTBLANK($J452:$Y452))</f>
        <v/>
      </c>
      <c r="AA452" s="33">
        <f>IF($J452="",MID($AX452,3,255),$J452&amp;$AX452)</f>
        <v/>
      </c>
      <c r="AB452" s="34">
        <f>IF($J452="","",IFERROR(INDEX(코드설정!$D$5:$D$24,MATCH($J452,코드설정!$C$5:$C$24,0)),""))</f>
        <v/>
      </c>
      <c r="AC452" s="36" t="n"/>
      <c r="AD452" s="37" t="n"/>
      <c r="AE452" s="38" t="n"/>
      <c r="AF452" s="30">
        <f>IF(OR($B452="",$C452=""),"",$C452-$B452+1)</f>
        <v/>
      </c>
      <c r="AG452" s="32" t="n"/>
      <c r="AH452" s="36" t="n"/>
      <c r="AJ452">
        <f>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  <c r="AX452">
        <f>AW452&amp;IF($Y452="","",", "&amp;$Y452)</f>
        <v/>
      </c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0">
        <f>IF($F453="","",COUNTIF($F$5:$F453,$F453))</f>
        <v/>
      </c>
      <c r="H453" s="33">
        <f>IF($F453="","",IFERROR(INDEX(사건마스터!$B$5:$B$64,MATCH($F453,사건마스터!$A$5:$A$64,0)),""))</f>
        <v/>
      </c>
      <c r="I453" s="34">
        <f>IF($F453="","",IFERROR(INDEX(사건마스터!$C$5:$C$64,MATCH($F453,사건마스터!$A$5:$A$64,0)),""))</f>
        <v/>
      </c>
      <c r="J453" s="35">
        <f>IF($F453="","",IFERROR(INDEX(사건마스터!$H$5:$H$64,MATCH($F453,사건마스터!$A$5:$A$64,0)),""))</f>
        <v/>
      </c>
      <c r="K453" s="35">
        <f>IF($F453="","",IFERROR(INDEX(사건마스터!$AH$5:$AH$64,MATCH($F453,사건마스터!$A$5:$A$64,0)),""))</f>
        <v/>
      </c>
      <c r="L453" s="35">
        <f>IF($F453="","",IFERROR(INDEX(사건마스터!$AI$5:$AI$64,MATCH($F453,사건마스터!$A$5:$A$64,0)),""))</f>
        <v/>
      </c>
      <c r="M453" s="35">
        <f>IF($F453="","",IFERROR(INDEX(사건마스터!$AJ$5:$AJ$64,MATCH($F453,사건마스터!$A$5:$A$64,0)),""))</f>
        <v/>
      </c>
      <c r="N453" s="35">
        <f>IF($F453="","",IFERROR(INDEX(사건마스터!$AK$5:$AK$64,MATCH($F453,사건마스터!$A$5:$A$64,0)),""))</f>
        <v/>
      </c>
      <c r="O453" s="35">
        <f>IF($F453="","",IFERROR(INDEX(사건마스터!$AL$5:$AL$64,MATCH($F453,사건마스터!$A$5:$A$64,0)),""))</f>
        <v/>
      </c>
      <c r="P453" s="35">
        <f>IF($F453="","",IFERROR(INDEX(사건마스터!$AM$5:$AM$64,MATCH($F453,사건마스터!$A$5:$A$64,0)),""))</f>
        <v/>
      </c>
      <c r="Q453" s="35">
        <f>IF($F453="","",IFERROR(INDEX(사건마스터!$AN$5:$AN$64,MATCH($F453,사건마스터!$A$5:$A$64,0)),""))</f>
        <v/>
      </c>
      <c r="R453" s="35">
        <f>IF($F453="","",IFERROR(INDEX(사건마스터!$AO$5:$AO$64,MATCH($F453,사건마스터!$A$5:$A$64,0)),""))</f>
        <v/>
      </c>
      <c r="S453" s="35">
        <f>IF($F453="","",IFERROR(INDEX(사건마스터!$AP$5:$AP$64,MATCH($F453,사건마스터!$A$5:$A$64,0)),""))</f>
        <v/>
      </c>
      <c r="T453" s="35">
        <f>IF($F453="","",IFERROR(INDEX(사건마스터!$AQ$5:$AQ$64,MATCH($F453,사건마스터!$A$5:$A$64,0)),""))</f>
        <v/>
      </c>
      <c r="U453" s="35">
        <f>IF($F453="","",IFERROR(INDEX(사건마스터!$AR$5:$AR$64,MATCH($F453,사건마스터!$A$5:$A$64,0)),""))</f>
        <v/>
      </c>
      <c r="V453" s="35">
        <f>IF($F453="","",IFERROR(INDEX(사건마스터!$AS$5:$AS$64,MATCH($F453,사건마스터!$A$5:$A$64,0)),""))</f>
        <v/>
      </c>
      <c r="W453" s="35">
        <f>IF($F453="","",IFERROR(INDEX(사건마스터!$AT$5:$AT$64,MATCH($F453,사건마스터!$A$5:$A$64,0)),""))</f>
        <v/>
      </c>
      <c r="X453" s="35">
        <f>IF($F453="","",IFERROR(INDEX(사건마스터!$AU$5:$AU$64,MATCH($F453,사건마스터!$A$5:$A$64,0)),""))</f>
        <v/>
      </c>
      <c r="Y453" s="35">
        <f>IF($F453="","",IFERROR(INDEX(사건마스터!$AV$5:$AV$64,MATCH($F453,사건마스터!$A$5:$A$64,0)),""))</f>
        <v/>
      </c>
      <c r="Z453" s="30">
        <f>IF(COUNTBLANK($J453:$Y453)=16,"",16-COUNTBLANK($J453:$Y453))</f>
        <v/>
      </c>
      <c r="AA453" s="33">
        <f>IF($J453="",MID($AX453,3,255),$J453&amp;$AX453)</f>
        <v/>
      </c>
      <c r="AB453" s="34">
        <f>IF($J453="","",IFERROR(INDEX(코드설정!$D$5:$D$24,MATCH($J453,코드설정!$C$5:$C$24,0)),""))</f>
        <v/>
      </c>
      <c r="AC453" s="36" t="n"/>
      <c r="AD453" s="37" t="n"/>
      <c r="AE453" s="38" t="n"/>
      <c r="AF453" s="30">
        <f>IF(OR($B453="",$C453=""),"",$C453-$B453+1)</f>
        <v/>
      </c>
      <c r="AG453" s="32" t="n"/>
      <c r="AH453" s="36" t="n"/>
      <c r="AJ453">
        <f>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  <c r="AX453">
        <f>AW453&amp;IF($Y453="","",", "&amp;$Y453)</f>
        <v/>
      </c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0">
        <f>IF($F454="","",COUNTIF($F$5:$F454,$F454))</f>
        <v/>
      </c>
      <c r="H454" s="33">
        <f>IF($F454="","",IFERROR(INDEX(사건마스터!$B$5:$B$64,MATCH($F454,사건마스터!$A$5:$A$64,0)),""))</f>
        <v/>
      </c>
      <c r="I454" s="34">
        <f>IF($F454="","",IFERROR(INDEX(사건마스터!$C$5:$C$64,MATCH($F454,사건마스터!$A$5:$A$64,0)),""))</f>
        <v/>
      </c>
      <c r="J454" s="35">
        <f>IF($F454="","",IFERROR(INDEX(사건마스터!$H$5:$H$64,MATCH($F454,사건마스터!$A$5:$A$64,0)),""))</f>
        <v/>
      </c>
      <c r="K454" s="35">
        <f>IF($F454="","",IFERROR(INDEX(사건마스터!$AH$5:$AH$64,MATCH($F454,사건마스터!$A$5:$A$64,0)),""))</f>
        <v/>
      </c>
      <c r="L454" s="35">
        <f>IF($F454="","",IFERROR(INDEX(사건마스터!$AI$5:$AI$64,MATCH($F454,사건마스터!$A$5:$A$64,0)),""))</f>
        <v/>
      </c>
      <c r="M454" s="35">
        <f>IF($F454="","",IFERROR(INDEX(사건마스터!$AJ$5:$AJ$64,MATCH($F454,사건마스터!$A$5:$A$64,0)),""))</f>
        <v/>
      </c>
      <c r="N454" s="35">
        <f>IF($F454="","",IFERROR(INDEX(사건마스터!$AK$5:$AK$64,MATCH($F454,사건마스터!$A$5:$A$64,0)),""))</f>
        <v/>
      </c>
      <c r="O454" s="35">
        <f>IF($F454="","",IFERROR(INDEX(사건마스터!$AL$5:$AL$64,MATCH($F454,사건마스터!$A$5:$A$64,0)),""))</f>
        <v/>
      </c>
      <c r="P454" s="35">
        <f>IF($F454="","",IFERROR(INDEX(사건마스터!$AM$5:$AM$64,MATCH($F454,사건마스터!$A$5:$A$64,0)),""))</f>
        <v/>
      </c>
      <c r="Q454" s="35">
        <f>IF($F454="","",IFERROR(INDEX(사건마스터!$AN$5:$AN$64,MATCH($F454,사건마스터!$A$5:$A$64,0)),""))</f>
        <v/>
      </c>
      <c r="R454" s="35">
        <f>IF($F454="","",IFERROR(INDEX(사건마스터!$AO$5:$AO$64,MATCH($F454,사건마스터!$A$5:$A$64,0)),""))</f>
        <v/>
      </c>
      <c r="S454" s="35">
        <f>IF($F454="","",IFERROR(INDEX(사건마스터!$AP$5:$AP$64,MATCH($F454,사건마스터!$A$5:$A$64,0)),""))</f>
        <v/>
      </c>
      <c r="T454" s="35">
        <f>IF($F454="","",IFERROR(INDEX(사건마스터!$AQ$5:$AQ$64,MATCH($F454,사건마스터!$A$5:$A$64,0)),""))</f>
        <v/>
      </c>
      <c r="U454" s="35">
        <f>IF($F454="","",IFERROR(INDEX(사건마스터!$AR$5:$AR$64,MATCH($F454,사건마스터!$A$5:$A$64,0)),""))</f>
        <v/>
      </c>
      <c r="V454" s="35">
        <f>IF($F454="","",IFERROR(INDEX(사건마스터!$AS$5:$AS$64,MATCH($F454,사건마스터!$A$5:$A$64,0)),""))</f>
        <v/>
      </c>
      <c r="W454" s="35">
        <f>IF($F454="","",IFERROR(INDEX(사건마스터!$AT$5:$AT$64,MATCH($F454,사건마스터!$A$5:$A$64,0)),""))</f>
        <v/>
      </c>
      <c r="X454" s="35">
        <f>IF($F454="","",IFERROR(INDEX(사건마스터!$AU$5:$AU$64,MATCH($F454,사건마스터!$A$5:$A$64,0)),""))</f>
        <v/>
      </c>
      <c r="Y454" s="35">
        <f>IF($F454="","",IFERROR(INDEX(사건마스터!$AV$5:$AV$64,MATCH($F454,사건마스터!$A$5:$A$64,0)),""))</f>
        <v/>
      </c>
      <c r="Z454" s="30">
        <f>IF(COUNTBLANK($J454:$Y454)=16,"",16-COUNTBLANK($J454:$Y454))</f>
        <v/>
      </c>
      <c r="AA454" s="33">
        <f>IF($J454="",MID($AX454,3,255),$J454&amp;$AX454)</f>
        <v/>
      </c>
      <c r="AB454" s="34">
        <f>IF($J454="","",IFERROR(INDEX(코드설정!$D$5:$D$24,MATCH($J454,코드설정!$C$5:$C$24,0)),""))</f>
        <v/>
      </c>
      <c r="AC454" s="36" t="n"/>
      <c r="AD454" s="37" t="n"/>
      <c r="AE454" s="38" t="n"/>
      <c r="AF454" s="30">
        <f>IF(OR($B454="",$C454=""),"",$C454-$B454+1)</f>
        <v/>
      </c>
      <c r="AG454" s="32" t="n"/>
      <c r="AH454" s="36" t="n"/>
      <c r="AJ454">
        <f>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  <c r="AX454">
        <f>AW454&amp;IF($Y454="","",", "&amp;$Y454)</f>
        <v/>
      </c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0">
        <f>IF($F455="","",COUNTIF($F$5:$F455,$F455))</f>
        <v/>
      </c>
      <c r="H455" s="33">
        <f>IF($F455="","",IFERROR(INDEX(사건마스터!$B$5:$B$64,MATCH($F455,사건마스터!$A$5:$A$64,0)),""))</f>
        <v/>
      </c>
      <c r="I455" s="34">
        <f>IF($F455="","",IFERROR(INDEX(사건마스터!$C$5:$C$64,MATCH($F455,사건마스터!$A$5:$A$64,0)),""))</f>
        <v/>
      </c>
      <c r="J455" s="35">
        <f>IF($F455="","",IFERROR(INDEX(사건마스터!$H$5:$H$64,MATCH($F455,사건마스터!$A$5:$A$64,0)),""))</f>
        <v/>
      </c>
      <c r="K455" s="35">
        <f>IF($F455="","",IFERROR(INDEX(사건마스터!$AH$5:$AH$64,MATCH($F455,사건마스터!$A$5:$A$64,0)),""))</f>
        <v/>
      </c>
      <c r="L455" s="35">
        <f>IF($F455="","",IFERROR(INDEX(사건마스터!$AI$5:$AI$64,MATCH($F455,사건마스터!$A$5:$A$64,0)),""))</f>
        <v/>
      </c>
      <c r="M455" s="35">
        <f>IF($F455="","",IFERROR(INDEX(사건마스터!$AJ$5:$AJ$64,MATCH($F455,사건마스터!$A$5:$A$64,0)),""))</f>
        <v/>
      </c>
      <c r="N455" s="35">
        <f>IF($F455="","",IFERROR(INDEX(사건마스터!$AK$5:$AK$64,MATCH($F455,사건마스터!$A$5:$A$64,0)),""))</f>
        <v/>
      </c>
      <c r="O455" s="35">
        <f>IF($F455="","",IFERROR(INDEX(사건마스터!$AL$5:$AL$64,MATCH($F455,사건마스터!$A$5:$A$64,0)),""))</f>
        <v/>
      </c>
      <c r="P455" s="35">
        <f>IF($F455="","",IFERROR(INDEX(사건마스터!$AM$5:$AM$64,MATCH($F455,사건마스터!$A$5:$A$64,0)),""))</f>
        <v/>
      </c>
      <c r="Q455" s="35">
        <f>IF($F455="","",IFERROR(INDEX(사건마스터!$AN$5:$AN$64,MATCH($F455,사건마스터!$A$5:$A$64,0)),""))</f>
        <v/>
      </c>
      <c r="R455" s="35">
        <f>IF($F455="","",IFERROR(INDEX(사건마스터!$AO$5:$AO$64,MATCH($F455,사건마스터!$A$5:$A$64,0)),""))</f>
        <v/>
      </c>
      <c r="S455" s="35">
        <f>IF($F455="","",IFERROR(INDEX(사건마스터!$AP$5:$AP$64,MATCH($F455,사건마스터!$A$5:$A$64,0)),""))</f>
        <v/>
      </c>
      <c r="T455" s="35">
        <f>IF($F455="","",IFERROR(INDEX(사건마스터!$AQ$5:$AQ$64,MATCH($F455,사건마스터!$A$5:$A$64,0)),""))</f>
        <v/>
      </c>
      <c r="U455" s="35">
        <f>IF($F455="","",IFERROR(INDEX(사건마스터!$AR$5:$AR$64,MATCH($F455,사건마스터!$A$5:$A$64,0)),""))</f>
        <v/>
      </c>
      <c r="V455" s="35">
        <f>IF($F455="","",IFERROR(INDEX(사건마스터!$AS$5:$AS$64,MATCH($F455,사건마스터!$A$5:$A$64,0)),""))</f>
        <v/>
      </c>
      <c r="W455" s="35">
        <f>IF($F455="","",IFERROR(INDEX(사건마스터!$AT$5:$AT$64,MATCH($F455,사건마스터!$A$5:$A$64,0)),""))</f>
        <v/>
      </c>
      <c r="X455" s="35">
        <f>IF($F455="","",IFERROR(INDEX(사건마스터!$AU$5:$AU$64,MATCH($F455,사건마스터!$A$5:$A$64,0)),""))</f>
        <v/>
      </c>
      <c r="Y455" s="35">
        <f>IF($F455="","",IFERROR(INDEX(사건마스터!$AV$5:$AV$64,MATCH($F455,사건마스터!$A$5:$A$64,0)),""))</f>
        <v/>
      </c>
      <c r="Z455" s="30">
        <f>IF(COUNTBLANK($J455:$Y455)=16,"",16-COUNTBLANK($J455:$Y455))</f>
        <v/>
      </c>
      <c r="AA455" s="33">
        <f>IF($J455="",MID($AX455,3,255),$J455&amp;$AX455)</f>
        <v/>
      </c>
      <c r="AB455" s="34">
        <f>IF($J455="","",IFERROR(INDEX(코드설정!$D$5:$D$24,MATCH($J455,코드설정!$C$5:$C$24,0)),""))</f>
        <v/>
      </c>
      <c r="AC455" s="36" t="n"/>
      <c r="AD455" s="37" t="n"/>
      <c r="AE455" s="38" t="n"/>
      <c r="AF455" s="30">
        <f>IF(OR($B455="",$C455=""),"",$C455-$B455+1)</f>
        <v/>
      </c>
      <c r="AG455" s="32" t="n"/>
      <c r="AH455" s="36" t="n"/>
      <c r="AJ455">
        <f>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  <c r="AX455">
        <f>AW455&amp;IF($Y455="","",", "&amp;$Y455)</f>
        <v/>
      </c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0">
        <f>IF($F456="","",COUNTIF($F$5:$F456,$F456))</f>
        <v/>
      </c>
      <c r="H456" s="33">
        <f>IF($F456="","",IFERROR(INDEX(사건마스터!$B$5:$B$64,MATCH($F456,사건마스터!$A$5:$A$64,0)),""))</f>
        <v/>
      </c>
      <c r="I456" s="34">
        <f>IF($F456="","",IFERROR(INDEX(사건마스터!$C$5:$C$64,MATCH($F456,사건마스터!$A$5:$A$64,0)),""))</f>
        <v/>
      </c>
      <c r="J456" s="35">
        <f>IF($F456="","",IFERROR(INDEX(사건마스터!$H$5:$H$64,MATCH($F456,사건마스터!$A$5:$A$64,0)),""))</f>
        <v/>
      </c>
      <c r="K456" s="35">
        <f>IF($F456="","",IFERROR(INDEX(사건마스터!$AH$5:$AH$64,MATCH($F456,사건마스터!$A$5:$A$64,0)),""))</f>
        <v/>
      </c>
      <c r="L456" s="35">
        <f>IF($F456="","",IFERROR(INDEX(사건마스터!$AI$5:$AI$64,MATCH($F456,사건마스터!$A$5:$A$64,0)),""))</f>
        <v/>
      </c>
      <c r="M456" s="35">
        <f>IF($F456="","",IFERROR(INDEX(사건마스터!$AJ$5:$AJ$64,MATCH($F456,사건마스터!$A$5:$A$64,0)),""))</f>
        <v/>
      </c>
      <c r="N456" s="35">
        <f>IF($F456="","",IFERROR(INDEX(사건마스터!$AK$5:$AK$64,MATCH($F456,사건마스터!$A$5:$A$64,0)),""))</f>
        <v/>
      </c>
      <c r="O456" s="35">
        <f>IF($F456="","",IFERROR(INDEX(사건마스터!$AL$5:$AL$64,MATCH($F456,사건마스터!$A$5:$A$64,0)),""))</f>
        <v/>
      </c>
      <c r="P456" s="35">
        <f>IF($F456="","",IFERROR(INDEX(사건마스터!$AM$5:$AM$64,MATCH($F456,사건마스터!$A$5:$A$64,0)),""))</f>
        <v/>
      </c>
      <c r="Q456" s="35">
        <f>IF($F456="","",IFERROR(INDEX(사건마스터!$AN$5:$AN$64,MATCH($F456,사건마스터!$A$5:$A$64,0)),""))</f>
        <v/>
      </c>
      <c r="R456" s="35">
        <f>IF($F456="","",IFERROR(INDEX(사건마스터!$AO$5:$AO$64,MATCH($F456,사건마스터!$A$5:$A$64,0)),""))</f>
        <v/>
      </c>
      <c r="S456" s="35">
        <f>IF($F456="","",IFERROR(INDEX(사건마스터!$AP$5:$AP$64,MATCH($F456,사건마스터!$A$5:$A$64,0)),""))</f>
        <v/>
      </c>
      <c r="T456" s="35">
        <f>IF($F456="","",IFERROR(INDEX(사건마스터!$AQ$5:$AQ$64,MATCH($F456,사건마스터!$A$5:$A$64,0)),""))</f>
        <v/>
      </c>
      <c r="U456" s="35">
        <f>IF($F456="","",IFERROR(INDEX(사건마스터!$AR$5:$AR$64,MATCH($F456,사건마스터!$A$5:$A$64,0)),""))</f>
        <v/>
      </c>
      <c r="V456" s="35">
        <f>IF($F456="","",IFERROR(INDEX(사건마스터!$AS$5:$AS$64,MATCH($F456,사건마스터!$A$5:$A$64,0)),""))</f>
        <v/>
      </c>
      <c r="W456" s="35">
        <f>IF($F456="","",IFERROR(INDEX(사건마스터!$AT$5:$AT$64,MATCH($F456,사건마스터!$A$5:$A$64,0)),""))</f>
        <v/>
      </c>
      <c r="X456" s="35">
        <f>IF($F456="","",IFERROR(INDEX(사건마스터!$AU$5:$AU$64,MATCH($F456,사건마스터!$A$5:$A$64,0)),""))</f>
        <v/>
      </c>
      <c r="Y456" s="35">
        <f>IF($F456="","",IFERROR(INDEX(사건마스터!$AV$5:$AV$64,MATCH($F456,사건마스터!$A$5:$A$64,0)),""))</f>
        <v/>
      </c>
      <c r="Z456" s="30">
        <f>IF(COUNTBLANK($J456:$Y456)=16,"",16-COUNTBLANK($J456:$Y456))</f>
        <v/>
      </c>
      <c r="AA456" s="33">
        <f>IF($J456="",MID($AX456,3,255),$J456&amp;$AX456)</f>
        <v/>
      </c>
      <c r="AB456" s="34">
        <f>IF($J456="","",IFERROR(INDEX(코드설정!$D$5:$D$24,MATCH($J456,코드설정!$C$5:$C$24,0)),""))</f>
        <v/>
      </c>
      <c r="AC456" s="36" t="n"/>
      <c r="AD456" s="37" t="n"/>
      <c r="AE456" s="38" t="n"/>
      <c r="AF456" s="30">
        <f>IF(OR($B456="",$C456=""),"",$C456-$B456+1)</f>
        <v/>
      </c>
      <c r="AG456" s="32" t="n"/>
      <c r="AH456" s="36" t="n"/>
      <c r="AJ456">
        <f>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  <c r="AX456">
        <f>AW456&amp;IF($Y456="","",", "&amp;$Y456)</f>
        <v/>
      </c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0">
        <f>IF($F457="","",COUNTIF($F$5:$F457,$F457))</f>
        <v/>
      </c>
      <c r="H457" s="33">
        <f>IF($F457="","",IFERROR(INDEX(사건마스터!$B$5:$B$64,MATCH($F457,사건마스터!$A$5:$A$64,0)),""))</f>
        <v/>
      </c>
      <c r="I457" s="34">
        <f>IF($F457="","",IFERROR(INDEX(사건마스터!$C$5:$C$64,MATCH($F457,사건마스터!$A$5:$A$64,0)),""))</f>
        <v/>
      </c>
      <c r="J457" s="35">
        <f>IF($F457="","",IFERROR(INDEX(사건마스터!$H$5:$H$64,MATCH($F457,사건마스터!$A$5:$A$64,0)),""))</f>
        <v/>
      </c>
      <c r="K457" s="35">
        <f>IF($F457="","",IFERROR(INDEX(사건마스터!$AH$5:$AH$64,MATCH($F457,사건마스터!$A$5:$A$64,0)),""))</f>
        <v/>
      </c>
      <c r="L457" s="35">
        <f>IF($F457="","",IFERROR(INDEX(사건마스터!$AI$5:$AI$64,MATCH($F457,사건마스터!$A$5:$A$64,0)),""))</f>
        <v/>
      </c>
      <c r="M457" s="35">
        <f>IF($F457="","",IFERROR(INDEX(사건마스터!$AJ$5:$AJ$64,MATCH($F457,사건마스터!$A$5:$A$64,0)),""))</f>
        <v/>
      </c>
      <c r="N457" s="35">
        <f>IF($F457="","",IFERROR(INDEX(사건마스터!$AK$5:$AK$64,MATCH($F457,사건마스터!$A$5:$A$64,0)),""))</f>
        <v/>
      </c>
      <c r="O457" s="35">
        <f>IF($F457="","",IFERROR(INDEX(사건마스터!$AL$5:$AL$64,MATCH($F457,사건마스터!$A$5:$A$64,0)),""))</f>
        <v/>
      </c>
      <c r="P457" s="35">
        <f>IF($F457="","",IFERROR(INDEX(사건마스터!$AM$5:$AM$64,MATCH($F457,사건마스터!$A$5:$A$64,0)),""))</f>
        <v/>
      </c>
      <c r="Q457" s="35">
        <f>IF($F457="","",IFERROR(INDEX(사건마스터!$AN$5:$AN$64,MATCH($F457,사건마스터!$A$5:$A$64,0)),""))</f>
        <v/>
      </c>
      <c r="R457" s="35">
        <f>IF($F457="","",IFERROR(INDEX(사건마스터!$AO$5:$AO$64,MATCH($F457,사건마스터!$A$5:$A$64,0)),""))</f>
        <v/>
      </c>
      <c r="S457" s="35">
        <f>IF($F457="","",IFERROR(INDEX(사건마스터!$AP$5:$AP$64,MATCH($F457,사건마스터!$A$5:$A$64,0)),""))</f>
        <v/>
      </c>
      <c r="T457" s="35">
        <f>IF($F457="","",IFERROR(INDEX(사건마스터!$AQ$5:$AQ$64,MATCH($F457,사건마스터!$A$5:$A$64,0)),""))</f>
        <v/>
      </c>
      <c r="U457" s="35">
        <f>IF($F457="","",IFERROR(INDEX(사건마스터!$AR$5:$AR$64,MATCH($F457,사건마스터!$A$5:$A$64,0)),""))</f>
        <v/>
      </c>
      <c r="V457" s="35">
        <f>IF($F457="","",IFERROR(INDEX(사건마스터!$AS$5:$AS$64,MATCH($F457,사건마스터!$A$5:$A$64,0)),""))</f>
        <v/>
      </c>
      <c r="W457" s="35">
        <f>IF($F457="","",IFERROR(INDEX(사건마스터!$AT$5:$AT$64,MATCH($F457,사건마스터!$A$5:$A$64,0)),""))</f>
        <v/>
      </c>
      <c r="X457" s="35">
        <f>IF($F457="","",IFERROR(INDEX(사건마스터!$AU$5:$AU$64,MATCH($F457,사건마스터!$A$5:$A$64,0)),""))</f>
        <v/>
      </c>
      <c r="Y457" s="35">
        <f>IF($F457="","",IFERROR(INDEX(사건마스터!$AV$5:$AV$64,MATCH($F457,사건마스터!$A$5:$A$64,0)),""))</f>
        <v/>
      </c>
      <c r="Z457" s="30">
        <f>IF(COUNTBLANK($J457:$Y457)=16,"",16-COUNTBLANK($J457:$Y457))</f>
        <v/>
      </c>
      <c r="AA457" s="33">
        <f>IF($J457="",MID($AX457,3,255),$J457&amp;$AX457)</f>
        <v/>
      </c>
      <c r="AB457" s="34">
        <f>IF($J457="","",IFERROR(INDEX(코드설정!$D$5:$D$24,MATCH($J457,코드설정!$C$5:$C$24,0)),""))</f>
        <v/>
      </c>
      <c r="AC457" s="36" t="n"/>
      <c r="AD457" s="37" t="n"/>
      <c r="AE457" s="38" t="n"/>
      <c r="AF457" s="30">
        <f>IF(OR($B457="",$C457=""),"",$C457-$B457+1)</f>
        <v/>
      </c>
      <c r="AG457" s="32" t="n"/>
      <c r="AH457" s="36" t="n"/>
      <c r="AJ457">
        <f>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  <c r="AX457">
        <f>AW457&amp;IF($Y457="","",", "&amp;$Y457)</f>
        <v/>
      </c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0">
        <f>IF($F458="","",COUNTIF($F$5:$F458,$F458))</f>
        <v/>
      </c>
      <c r="H458" s="33">
        <f>IF($F458="","",IFERROR(INDEX(사건마스터!$B$5:$B$64,MATCH($F458,사건마스터!$A$5:$A$64,0)),""))</f>
        <v/>
      </c>
      <c r="I458" s="34">
        <f>IF($F458="","",IFERROR(INDEX(사건마스터!$C$5:$C$64,MATCH($F458,사건마스터!$A$5:$A$64,0)),""))</f>
        <v/>
      </c>
      <c r="J458" s="35">
        <f>IF($F458="","",IFERROR(INDEX(사건마스터!$H$5:$H$64,MATCH($F458,사건마스터!$A$5:$A$64,0)),""))</f>
        <v/>
      </c>
      <c r="K458" s="35">
        <f>IF($F458="","",IFERROR(INDEX(사건마스터!$AH$5:$AH$64,MATCH($F458,사건마스터!$A$5:$A$64,0)),""))</f>
        <v/>
      </c>
      <c r="L458" s="35">
        <f>IF($F458="","",IFERROR(INDEX(사건마스터!$AI$5:$AI$64,MATCH($F458,사건마스터!$A$5:$A$64,0)),""))</f>
        <v/>
      </c>
      <c r="M458" s="35">
        <f>IF($F458="","",IFERROR(INDEX(사건마스터!$AJ$5:$AJ$64,MATCH($F458,사건마스터!$A$5:$A$64,0)),""))</f>
        <v/>
      </c>
      <c r="N458" s="35">
        <f>IF($F458="","",IFERROR(INDEX(사건마스터!$AK$5:$AK$64,MATCH($F458,사건마스터!$A$5:$A$64,0)),""))</f>
        <v/>
      </c>
      <c r="O458" s="35">
        <f>IF($F458="","",IFERROR(INDEX(사건마스터!$AL$5:$AL$64,MATCH($F458,사건마스터!$A$5:$A$64,0)),""))</f>
        <v/>
      </c>
      <c r="P458" s="35">
        <f>IF($F458="","",IFERROR(INDEX(사건마스터!$AM$5:$AM$64,MATCH($F458,사건마스터!$A$5:$A$64,0)),""))</f>
        <v/>
      </c>
      <c r="Q458" s="35">
        <f>IF($F458="","",IFERROR(INDEX(사건마스터!$AN$5:$AN$64,MATCH($F458,사건마스터!$A$5:$A$64,0)),""))</f>
        <v/>
      </c>
      <c r="R458" s="35">
        <f>IF($F458="","",IFERROR(INDEX(사건마스터!$AO$5:$AO$64,MATCH($F458,사건마스터!$A$5:$A$64,0)),""))</f>
        <v/>
      </c>
      <c r="S458" s="35">
        <f>IF($F458="","",IFERROR(INDEX(사건마스터!$AP$5:$AP$64,MATCH($F458,사건마스터!$A$5:$A$64,0)),""))</f>
        <v/>
      </c>
      <c r="T458" s="35">
        <f>IF($F458="","",IFERROR(INDEX(사건마스터!$AQ$5:$AQ$64,MATCH($F458,사건마스터!$A$5:$A$64,0)),""))</f>
        <v/>
      </c>
      <c r="U458" s="35">
        <f>IF($F458="","",IFERROR(INDEX(사건마스터!$AR$5:$AR$64,MATCH($F458,사건마스터!$A$5:$A$64,0)),""))</f>
        <v/>
      </c>
      <c r="V458" s="35">
        <f>IF($F458="","",IFERROR(INDEX(사건마스터!$AS$5:$AS$64,MATCH($F458,사건마스터!$A$5:$A$64,0)),""))</f>
        <v/>
      </c>
      <c r="W458" s="35">
        <f>IF($F458="","",IFERROR(INDEX(사건마스터!$AT$5:$AT$64,MATCH($F458,사건마스터!$A$5:$A$64,0)),""))</f>
        <v/>
      </c>
      <c r="X458" s="35">
        <f>IF($F458="","",IFERROR(INDEX(사건마스터!$AU$5:$AU$64,MATCH($F458,사건마스터!$A$5:$A$64,0)),""))</f>
        <v/>
      </c>
      <c r="Y458" s="35">
        <f>IF($F458="","",IFERROR(INDEX(사건마스터!$AV$5:$AV$64,MATCH($F458,사건마스터!$A$5:$A$64,0)),""))</f>
        <v/>
      </c>
      <c r="Z458" s="30">
        <f>IF(COUNTBLANK($J458:$Y458)=16,"",16-COUNTBLANK($J458:$Y458))</f>
        <v/>
      </c>
      <c r="AA458" s="33">
        <f>IF($J458="",MID($AX458,3,255),$J458&amp;$AX458)</f>
        <v/>
      </c>
      <c r="AB458" s="34">
        <f>IF($J458="","",IFERROR(INDEX(코드설정!$D$5:$D$24,MATCH($J458,코드설정!$C$5:$C$24,0)),""))</f>
        <v/>
      </c>
      <c r="AC458" s="36" t="n"/>
      <c r="AD458" s="37" t="n"/>
      <c r="AE458" s="38" t="n"/>
      <c r="AF458" s="30">
        <f>IF(OR($B458="",$C458=""),"",$C458-$B458+1)</f>
        <v/>
      </c>
      <c r="AG458" s="32" t="n"/>
      <c r="AH458" s="36" t="n"/>
      <c r="AJ458">
        <f>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  <c r="AX458">
        <f>AW458&amp;IF($Y458="","",", "&amp;$Y458)</f>
        <v/>
      </c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0">
        <f>IF($F459="","",COUNTIF($F$5:$F459,$F459))</f>
        <v/>
      </c>
      <c r="H459" s="33">
        <f>IF($F459="","",IFERROR(INDEX(사건마스터!$B$5:$B$64,MATCH($F459,사건마스터!$A$5:$A$64,0)),""))</f>
        <v/>
      </c>
      <c r="I459" s="34">
        <f>IF($F459="","",IFERROR(INDEX(사건마스터!$C$5:$C$64,MATCH($F459,사건마스터!$A$5:$A$64,0)),""))</f>
        <v/>
      </c>
      <c r="J459" s="35">
        <f>IF($F459="","",IFERROR(INDEX(사건마스터!$H$5:$H$64,MATCH($F459,사건마스터!$A$5:$A$64,0)),""))</f>
        <v/>
      </c>
      <c r="K459" s="35">
        <f>IF($F459="","",IFERROR(INDEX(사건마스터!$AH$5:$AH$64,MATCH($F459,사건마스터!$A$5:$A$64,0)),""))</f>
        <v/>
      </c>
      <c r="L459" s="35">
        <f>IF($F459="","",IFERROR(INDEX(사건마스터!$AI$5:$AI$64,MATCH($F459,사건마스터!$A$5:$A$64,0)),""))</f>
        <v/>
      </c>
      <c r="M459" s="35">
        <f>IF($F459="","",IFERROR(INDEX(사건마스터!$AJ$5:$AJ$64,MATCH($F459,사건마스터!$A$5:$A$64,0)),""))</f>
        <v/>
      </c>
      <c r="N459" s="35">
        <f>IF($F459="","",IFERROR(INDEX(사건마스터!$AK$5:$AK$64,MATCH($F459,사건마스터!$A$5:$A$64,0)),""))</f>
        <v/>
      </c>
      <c r="O459" s="35">
        <f>IF($F459="","",IFERROR(INDEX(사건마스터!$AL$5:$AL$64,MATCH($F459,사건마스터!$A$5:$A$64,0)),""))</f>
        <v/>
      </c>
      <c r="P459" s="35">
        <f>IF($F459="","",IFERROR(INDEX(사건마스터!$AM$5:$AM$64,MATCH($F459,사건마스터!$A$5:$A$64,0)),""))</f>
        <v/>
      </c>
      <c r="Q459" s="35">
        <f>IF($F459="","",IFERROR(INDEX(사건마스터!$AN$5:$AN$64,MATCH($F459,사건마스터!$A$5:$A$64,0)),""))</f>
        <v/>
      </c>
      <c r="R459" s="35">
        <f>IF($F459="","",IFERROR(INDEX(사건마스터!$AO$5:$AO$64,MATCH($F459,사건마스터!$A$5:$A$64,0)),""))</f>
        <v/>
      </c>
      <c r="S459" s="35">
        <f>IF($F459="","",IFERROR(INDEX(사건마스터!$AP$5:$AP$64,MATCH($F459,사건마스터!$A$5:$A$64,0)),""))</f>
        <v/>
      </c>
      <c r="T459" s="35">
        <f>IF($F459="","",IFERROR(INDEX(사건마스터!$AQ$5:$AQ$64,MATCH($F459,사건마스터!$A$5:$A$64,0)),""))</f>
        <v/>
      </c>
      <c r="U459" s="35">
        <f>IF($F459="","",IFERROR(INDEX(사건마스터!$AR$5:$AR$64,MATCH($F459,사건마스터!$A$5:$A$64,0)),""))</f>
        <v/>
      </c>
      <c r="V459" s="35">
        <f>IF($F459="","",IFERROR(INDEX(사건마스터!$AS$5:$AS$64,MATCH($F459,사건마스터!$A$5:$A$64,0)),""))</f>
        <v/>
      </c>
      <c r="W459" s="35">
        <f>IF($F459="","",IFERROR(INDEX(사건마스터!$AT$5:$AT$64,MATCH($F459,사건마스터!$A$5:$A$64,0)),""))</f>
        <v/>
      </c>
      <c r="X459" s="35">
        <f>IF($F459="","",IFERROR(INDEX(사건마스터!$AU$5:$AU$64,MATCH($F459,사건마스터!$A$5:$A$64,0)),""))</f>
        <v/>
      </c>
      <c r="Y459" s="35">
        <f>IF($F459="","",IFERROR(INDEX(사건마스터!$AV$5:$AV$64,MATCH($F459,사건마스터!$A$5:$A$64,0)),""))</f>
        <v/>
      </c>
      <c r="Z459" s="30">
        <f>IF(COUNTBLANK($J459:$Y459)=16,"",16-COUNTBLANK($J459:$Y459))</f>
        <v/>
      </c>
      <c r="AA459" s="33">
        <f>IF($J459="",MID($AX459,3,255),$J459&amp;$AX459)</f>
        <v/>
      </c>
      <c r="AB459" s="34">
        <f>IF($J459="","",IFERROR(INDEX(코드설정!$D$5:$D$24,MATCH($J459,코드설정!$C$5:$C$24,0)),""))</f>
        <v/>
      </c>
      <c r="AC459" s="36" t="n"/>
      <c r="AD459" s="37" t="n"/>
      <c r="AE459" s="38" t="n"/>
      <c r="AF459" s="30">
        <f>IF(OR($B459="",$C459=""),"",$C459-$B459+1)</f>
        <v/>
      </c>
      <c r="AG459" s="32" t="n"/>
      <c r="AH459" s="36" t="n"/>
      <c r="AJ459">
        <f>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  <c r="AX459">
        <f>AW459&amp;IF($Y459="","",", "&amp;$Y459)</f>
        <v/>
      </c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0">
        <f>IF($F460="","",COUNTIF($F$5:$F460,$F460))</f>
        <v/>
      </c>
      <c r="H460" s="33">
        <f>IF($F460="","",IFERROR(INDEX(사건마스터!$B$5:$B$64,MATCH($F460,사건마스터!$A$5:$A$64,0)),""))</f>
        <v/>
      </c>
      <c r="I460" s="34">
        <f>IF($F460="","",IFERROR(INDEX(사건마스터!$C$5:$C$64,MATCH($F460,사건마스터!$A$5:$A$64,0)),""))</f>
        <v/>
      </c>
      <c r="J460" s="35">
        <f>IF($F460="","",IFERROR(INDEX(사건마스터!$H$5:$H$64,MATCH($F460,사건마스터!$A$5:$A$64,0)),""))</f>
        <v/>
      </c>
      <c r="K460" s="35">
        <f>IF($F460="","",IFERROR(INDEX(사건마스터!$AH$5:$AH$64,MATCH($F460,사건마스터!$A$5:$A$64,0)),""))</f>
        <v/>
      </c>
      <c r="L460" s="35">
        <f>IF($F460="","",IFERROR(INDEX(사건마스터!$AI$5:$AI$64,MATCH($F460,사건마스터!$A$5:$A$64,0)),""))</f>
        <v/>
      </c>
      <c r="M460" s="35">
        <f>IF($F460="","",IFERROR(INDEX(사건마스터!$AJ$5:$AJ$64,MATCH($F460,사건마스터!$A$5:$A$64,0)),""))</f>
        <v/>
      </c>
      <c r="N460" s="35">
        <f>IF($F460="","",IFERROR(INDEX(사건마스터!$AK$5:$AK$64,MATCH($F460,사건마스터!$A$5:$A$64,0)),""))</f>
        <v/>
      </c>
      <c r="O460" s="35">
        <f>IF($F460="","",IFERROR(INDEX(사건마스터!$AL$5:$AL$64,MATCH($F460,사건마스터!$A$5:$A$64,0)),""))</f>
        <v/>
      </c>
      <c r="P460" s="35">
        <f>IF($F460="","",IFERROR(INDEX(사건마스터!$AM$5:$AM$64,MATCH($F460,사건마스터!$A$5:$A$64,0)),""))</f>
        <v/>
      </c>
      <c r="Q460" s="35">
        <f>IF($F460="","",IFERROR(INDEX(사건마스터!$AN$5:$AN$64,MATCH($F460,사건마스터!$A$5:$A$64,0)),""))</f>
        <v/>
      </c>
      <c r="R460" s="35">
        <f>IF($F460="","",IFERROR(INDEX(사건마스터!$AO$5:$AO$64,MATCH($F460,사건마스터!$A$5:$A$64,0)),""))</f>
        <v/>
      </c>
      <c r="S460" s="35">
        <f>IF($F460="","",IFERROR(INDEX(사건마스터!$AP$5:$AP$64,MATCH($F460,사건마스터!$A$5:$A$64,0)),""))</f>
        <v/>
      </c>
      <c r="T460" s="35">
        <f>IF($F460="","",IFERROR(INDEX(사건마스터!$AQ$5:$AQ$64,MATCH($F460,사건마스터!$A$5:$A$64,0)),""))</f>
        <v/>
      </c>
      <c r="U460" s="35">
        <f>IF($F460="","",IFERROR(INDEX(사건마스터!$AR$5:$AR$64,MATCH($F460,사건마스터!$A$5:$A$64,0)),""))</f>
        <v/>
      </c>
      <c r="V460" s="35">
        <f>IF($F460="","",IFERROR(INDEX(사건마스터!$AS$5:$AS$64,MATCH($F460,사건마스터!$A$5:$A$64,0)),""))</f>
        <v/>
      </c>
      <c r="W460" s="35">
        <f>IF($F460="","",IFERROR(INDEX(사건마스터!$AT$5:$AT$64,MATCH($F460,사건마스터!$A$5:$A$64,0)),""))</f>
        <v/>
      </c>
      <c r="X460" s="35">
        <f>IF($F460="","",IFERROR(INDEX(사건마스터!$AU$5:$AU$64,MATCH($F460,사건마스터!$A$5:$A$64,0)),""))</f>
        <v/>
      </c>
      <c r="Y460" s="35">
        <f>IF($F460="","",IFERROR(INDEX(사건마스터!$AV$5:$AV$64,MATCH($F460,사건마스터!$A$5:$A$64,0)),""))</f>
        <v/>
      </c>
      <c r="Z460" s="30">
        <f>IF(COUNTBLANK($J460:$Y460)=16,"",16-COUNTBLANK($J460:$Y460))</f>
        <v/>
      </c>
      <c r="AA460" s="33">
        <f>IF($J460="",MID($AX460,3,255),$J460&amp;$AX460)</f>
        <v/>
      </c>
      <c r="AB460" s="34">
        <f>IF($J460="","",IFERROR(INDEX(코드설정!$D$5:$D$24,MATCH($J460,코드설정!$C$5:$C$24,0)),""))</f>
        <v/>
      </c>
      <c r="AC460" s="36" t="n"/>
      <c r="AD460" s="37" t="n"/>
      <c r="AE460" s="38" t="n"/>
      <c r="AF460" s="30">
        <f>IF(OR($B460="",$C460=""),"",$C460-$B460+1)</f>
        <v/>
      </c>
      <c r="AG460" s="32" t="n"/>
      <c r="AH460" s="36" t="n"/>
      <c r="AJ460">
        <f>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  <c r="AX460">
        <f>AW460&amp;IF($Y460="","",", "&amp;$Y460)</f>
        <v/>
      </c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0">
        <f>IF($F461="","",COUNTIF($F$5:$F461,$F461))</f>
        <v/>
      </c>
      <c r="H461" s="33">
        <f>IF($F461="","",IFERROR(INDEX(사건마스터!$B$5:$B$64,MATCH($F461,사건마스터!$A$5:$A$64,0)),""))</f>
        <v/>
      </c>
      <c r="I461" s="34">
        <f>IF($F461="","",IFERROR(INDEX(사건마스터!$C$5:$C$64,MATCH($F461,사건마스터!$A$5:$A$64,0)),""))</f>
        <v/>
      </c>
      <c r="J461" s="35">
        <f>IF($F461="","",IFERROR(INDEX(사건마스터!$H$5:$H$64,MATCH($F461,사건마스터!$A$5:$A$64,0)),""))</f>
        <v/>
      </c>
      <c r="K461" s="35">
        <f>IF($F461="","",IFERROR(INDEX(사건마스터!$AH$5:$AH$64,MATCH($F461,사건마스터!$A$5:$A$64,0)),""))</f>
        <v/>
      </c>
      <c r="L461" s="35">
        <f>IF($F461="","",IFERROR(INDEX(사건마스터!$AI$5:$AI$64,MATCH($F461,사건마스터!$A$5:$A$64,0)),""))</f>
        <v/>
      </c>
      <c r="M461" s="35">
        <f>IF($F461="","",IFERROR(INDEX(사건마스터!$AJ$5:$AJ$64,MATCH($F461,사건마스터!$A$5:$A$64,0)),""))</f>
        <v/>
      </c>
      <c r="N461" s="35">
        <f>IF($F461="","",IFERROR(INDEX(사건마스터!$AK$5:$AK$64,MATCH($F461,사건마스터!$A$5:$A$64,0)),""))</f>
        <v/>
      </c>
      <c r="O461" s="35">
        <f>IF($F461="","",IFERROR(INDEX(사건마스터!$AL$5:$AL$64,MATCH($F461,사건마스터!$A$5:$A$64,0)),""))</f>
        <v/>
      </c>
      <c r="P461" s="35">
        <f>IF($F461="","",IFERROR(INDEX(사건마스터!$AM$5:$AM$64,MATCH($F461,사건마스터!$A$5:$A$64,0)),""))</f>
        <v/>
      </c>
      <c r="Q461" s="35">
        <f>IF($F461="","",IFERROR(INDEX(사건마스터!$AN$5:$AN$64,MATCH($F461,사건마스터!$A$5:$A$64,0)),""))</f>
        <v/>
      </c>
      <c r="R461" s="35">
        <f>IF($F461="","",IFERROR(INDEX(사건마스터!$AO$5:$AO$64,MATCH($F461,사건마스터!$A$5:$A$64,0)),""))</f>
        <v/>
      </c>
      <c r="S461" s="35">
        <f>IF($F461="","",IFERROR(INDEX(사건마스터!$AP$5:$AP$64,MATCH($F461,사건마스터!$A$5:$A$64,0)),""))</f>
        <v/>
      </c>
      <c r="T461" s="35">
        <f>IF($F461="","",IFERROR(INDEX(사건마스터!$AQ$5:$AQ$64,MATCH($F461,사건마스터!$A$5:$A$64,0)),""))</f>
        <v/>
      </c>
      <c r="U461" s="35">
        <f>IF($F461="","",IFERROR(INDEX(사건마스터!$AR$5:$AR$64,MATCH($F461,사건마스터!$A$5:$A$64,0)),""))</f>
        <v/>
      </c>
      <c r="V461" s="35">
        <f>IF($F461="","",IFERROR(INDEX(사건마스터!$AS$5:$AS$64,MATCH($F461,사건마스터!$A$5:$A$64,0)),""))</f>
        <v/>
      </c>
      <c r="W461" s="35">
        <f>IF($F461="","",IFERROR(INDEX(사건마스터!$AT$5:$AT$64,MATCH($F461,사건마스터!$A$5:$A$64,0)),""))</f>
        <v/>
      </c>
      <c r="X461" s="35">
        <f>IF($F461="","",IFERROR(INDEX(사건마스터!$AU$5:$AU$64,MATCH($F461,사건마스터!$A$5:$A$64,0)),""))</f>
        <v/>
      </c>
      <c r="Y461" s="35">
        <f>IF($F461="","",IFERROR(INDEX(사건마스터!$AV$5:$AV$64,MATCH($F461,사건마스터!$A$5:$A$64,0)),""))</f>
        <v/>
      </c>
      <c r="Z461" s="30">
        <f>IF(COUNTBLANK($J461:$Y461)=16,"",16-COUNTBLANK($J461:$Y461))</f>
        <v/>
      </c>
      <c r="AA461" s="33">
        <f>IF($J461="",MID($AX461,3,255),$J461&amp;$AX461)</f>
        <v/>
      </c>
      <c r="AB461" s="34">
        <f>IF($J461="","",IFERROR(INDEX(코드설정!$D$5:$D$24,MATCH($J461,코드설정!$C$5:$C$24,0)),""))</f>
        <v/>
      </c>
      <c r="AC461" s="36" t="n"/>
      <c r="AD461" s="37" t="n"/>
      <c r="AE461" s="38" t="n"/>
      <c r="AF461" s="30">
        <f>IF(OR($B461="",$C461=""),"",$C461-$B461+1)</f>
        <v/>
      </c>
      <c r="AG461" s="32" t="n"/>
      <c r="AH461" s="36" t="n"/>
      <c r="AJ461">
        <f>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  <c r="AX461">
        <f>AW461&amp;IF($Y461="","",", "&amp;$Y461)</f>
        <v/>
      </c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0">
        <f>IF($F462="","",COUNTIF($F$5:$F462,$F462))</f>
        <v/>
      </c>
      <c r="H462" s="33">
        <f>IF($F462="","",IFERROR(INDEX(사건마스터!$B$5:$B$64,MATCH($F462,사건마스터!$A$5:$A$64,0)),""))</f>
        <v/>
      </c>
      <c r="I462" s="34">
        <f>IF($F462="","",IFERROR(INDEX(사건마스터!$C$5:$C$64,MATCH($F462,사건마스터!$A$5:$A$64,0)),""))</f>
        <v/>
      </c>
      <c r="J462" s="35">
        <f>IF($F462="","",IFERROR(INDEX(사건마스터!$H$5:$H$64,MATCH($F462,사건마스터!$A$5:$A$64,0)),""))</f>
        <v/>
      </c>
      <c r="K462" s="35">
        <f>IF($F462="","",IFERROR(INDEX(사건마스터!$AH$5:$AH$64,MATCH($F462,사건마스터!$A$5:$A$64,0)),""))</f>
        <v/>
      </c>
      <c r="L462" s="35">
        <f>IF($F462="","",IFERROR(INDEX(사건마스터!$AI$5:$AI$64,MATCH($F462,사건마스터!$A$5:$A$64,0)),""))</f>
        <v/>
      </c>
      <c r="M462" s="35">
        <f>IF($F462="","",IFERROR(INDEX(사건마스터!$AJ$5:$AJ$64,MATCH($F462,사건마스터!$A$5:$A$64,0)),""))</f>
        <v/>
      </c>
      <c r="N462" s="35">
        <f>IF($F462="","",IFERROR(INDEX(사건마스터!$AK$5:$AK$64,MATCH($F462,사건마스터!$A$5:$A$64,0)),""))</f>
        <v/>
      </c>
      <c r="O462" s="35">
        <f>IF($F462="","",IFERROR(INDEX(사건마스터!$AL$5:$AL$64,MATCH($F462,사건마스터!$A$5:$A$64,0)),""))</f>
        <v/>
      </c>
      <c r="P462" s="35">
        <f>IF($F462="","",IFERROR(INDEX(사건마스터!$AM$5:$AM$64,MATCH($F462,사건마스터!$A$5:$A$64,0)),""))</f>
        <v/>
      </c>
      <c r="Q462" s="35">
        <f>IF($F462="","",IFERROR(INDEX(사건마스터!$AN$5:$AN$64,MATCH($F462,사건마스터!$A$5:$A$64,0)),""))</f>
        <v/>
      </c>
      <c r="R462" s="35">
        <f>IF($F462="","",IFERROR(INDEX(사건마스터!$AO$5:$AO$64,MATCH($F462,사건마스터!$A$5:$A$64,0)),""))</f>
        <v/>
      </c>
      <c r="S462" s="35">
        <f>IF($F462="","",IFERROR(INDEX(사건마스터!$AP$5:$AP$64,MATCH($F462,사건마스터!$A$5:$A$64,0)),""))</f>
        <v/>
      </c>
      <c r="T462" s="35">
        <f>IF($F462="","",IFERROR(INDEX(사건마스터!$AQ$5:$AQ$64,MATCH($F462,사건마스터!$A$5:$A$64,0)),""))</f>
        <v/>
      </c>
      <c r="U462" s="35">
        <f>IF($F462="","",IFERROR(INDEX(사건마스터!$AR$5:$AR$64,MATCH($F462,사건마스터!$A$5:$A$64,0)),""))</f>
        <v/>
      </c>
      <c r="V462" s="35">
        <f>IF($F462="","",IFERROR(INDEX(사건마스터!$AS$5:$AS$64,MATCH($F462,사건마스터!$A$5:$A$64,0)),""))</f>
        <v/>
      </c>
      <c r="W462" s="35">
        <f>IF($F462="","",IFERROR(INDEX(사건마스터!$AT$5:$AT$64,MATCH($F462,사건마스터!$A$5:$A$64,0)),""))</f>
        <v/>
      </c>
      <c r="X462" s="35">
        <f>IF($F462="","",IFERROR(INDEX(사건마스터!$AU$5:$AU$64,MATCH($F462,사건마스터!$A$5:$A$64,0)),""))</f>
        <v/>
      </c>
      <c r="Y462" s="35">
        <f>IF($F462="","",IFERROR(INDEX(사건마스터!$AV$5:$AV$64,MATCH($F462,사건마스터!$A$5:$A$64,0)),""))</f>
        <v/>
      </c>
      <c r="Z462" s="30">
        <f>IF(COUNTBLANK($J462:$Y462)=16,"",16-COUNTBLANK($J462:$Y462))</f>
        <v/>
      </c>
      <c r="AA462" s="33">
        <f>IF($J462="",MID($AX462,3,255),$J462&amp;$AX462)</f>
        <v/>
      </c>
      <c r="AB462" s="34">
        <f>IF($J462="","",IFERROR(INDEX(코드설정!$D$5:$D$24,MATCH($J462,코드설정!$C$5:$C$24,0)),""))</f>
        <v/>
      </c>
      <c r="AC462" s="36" t="n"/>
      <c r="AD462" s="37" t="n"/>
      <c r="AE462" s="38" t="n"/>
      <c r="AF462" s="30">
        <f>IF(OR($B462="",$C462=""),"",$C462-$B462+1)</f>
        <v/>
      </c>
      <c r="AG462" s="32" t="n"/>
      <c r="AH462" s="36" t="n"/>
      <c r="AJ462">
        <f>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  <c r="AX462">
        <f>AW462&amp;IF($Y462="","",", "&amp;$Y462)</f>
        <v/>
      </c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0">
        <f>IF($F463="","",COUNTIF($F$5:$F463,$F463))</f>
        <v/>
      </c>
      <c r="H463" s="33">
        <f>IF($F463="","",IFERROR(INDEX(사건마스터!$B$5:$B$64,MATCH($F463,사건마스터!$A$5:$A$64,0)),""))</f>
        <v/>
      </c>
      <c r="I463" s="34">
        <f>IF($F463="","",IFERROR(INDEX(사건마스터!$C$5:$C$64,MATCH($F463,사건마스터!$A$5:$A$64,0)),""))</f>
        <v/>
      </c>
      <c r="J463" s="35">
        <f>IF($F463="","",IFERROR(INDEX(사건마스터!$H$5:$H$64,MATCH($F463,사건마스터!$A$5:$A$64,0)),""))</f>
        <v/>
      </c>
      <c r="K463" s="35">
        <f>IF($F463="","",IFERROR(INDEX(사건마스터!$AH$5:$AH$64,MATCH($F463,사건마스터!$A$5:$A$64,0)),""))</f>
        <v/>
      </c>
      <c r="L463" s="35">
        <f>IF($F463="","",IFERROR(INDEX(사건마스터!$AI$5:$AI$64,MATCH($F463,사건마스터!$A$5:$A$64,0)),""))</f>
        <v/>
      </c>
      <c r="M463" s="35">
        <f>IF($F463="","",IFERROR(INDEX(사건마스터!$AJ$5:$AJ$64,MATCH($F463,사건마스터!$A$5:$A$64,0)),""))</f>
        <v/>
      </c>
      <c r="N463" s="35">
        <f>IF($F463="","",IFERROR(INDEX(사건마스터!$AK$5:$AK$64,MATCH($F463,사건마스터!$A$5:$A$64,0)),""))</f>
        <v/>
      </c>
      <c r="O463" s="35">
        <f>IF($F463="","",IFERROR(INDEX(사건마스터!$AL$5:$AL$64,MATCH($F463,사건마스터!$A$5:$A$64,0)),""))</f>
        <v/>
      </c>
      <c r="P463" s="35">
        <f>IF($F463="","",IFERROR(INDEX(사건마스터!$AM$5:$AM$64,MATCH($F463,사건마스터!$A$5:$A$64,0)),""))</f>
        <v/>
      </c>
      <c r="Q463" s="35">
        <f>IF($F463="","",IFERROR(INDEX(사건마스터!$AN$5:$AN$64,MATCH($F463,사건마스터!$A$5:$A$64,0)),""))</f>
        <v/>
      </c>
      <c r="R463" s="35">
        <f>IF($F463="","",IFERROR(INDEX(사건마스터!$AO$5:$AO$64,MATCH($F463,사건마스터!$A$5:$A$64,0)),""))</f>
        <v/>
      </c>
      <c r="S463" s="35">
        <f>IF($F463="","",IFERROR(INDEX(사건마스터!$AP$5:$AP$64,MATCH($F463,사건마스터!$A$5:$A$64,0)),""))</f>
        <v/>
      </c>
      <c r="T463" s="35">
        <f>IF($F463="","",IFERROR(INDEX(사건마스터!$AQ$5:$AQ$64,MATCH($F463,사건마스터!$A$5:$A$64,0)),""))</f>
        <v/>
      </c>
      <c r="U463" s="35">
        <f>IF($F463="","",IFERROR(INDEX(사건마스터!$AR$5:$AR$64,MATCH($F463,사건마스터!$A$5:$A$64,0)),""))</f>
        <v/>
      </c>
      <c r="V463" s="35">
        <f>IF($F463="","",IFERROR(INDEX(사건마스터!$AS$5:$AS$64,MATCH($F463,사건마스터!$A$5:$A$64,0)),""))</f>
        <v/>
      </c>
      <c r="W463" s="35">
        <f>IF($F463="","",IFERROR(INDEX(사건마스터!$AT$5:$AT$64,MATCH($F463,사건마스터!$A$5:$A$64,0)),""))</f>
        <v/>
      </c>
      <c r="X463" s="35">
        <f>IF($F463="","",IFERROR(INDEX(사건마스터!$AU$5:$AU$64,MATCH($F463,사건마스터!$A$5:$A$64,0)),""))</f>
        <v/>
      </c>
      <c r="Y463" s="35">
        <f>IF($F463="","",IFERROR(INDEX(사건마스터!$AV$5:$AV$64,MATCH($F463,사건마스터!$A$5:$A$64,0)),""))</f>
        <v/>
      </c>
      <c r="Z463" s="30">
        <f>IF(COUNTBLANK($J463:$Y463)=16,"",16-COUNTBLANK($J463:$Y463))</f>
        <v/>
      </c>
      <c r="AA463" s="33">
        <f>IF($J463="",MID($AX463,3,255),$J463&amp;$AX463)</f>
        <v/>
      </c>
      <c r="AB463" s="34">
        <f>IF($J463="","",IFERROR(INDEX(코드설정!$D$5:$D$24,MATCH($J463,코드설정!$C$5:$C$24,0)),""))</f>
        <v/>
      </c>
      <c r="AC463" s="36" t="n"/>
      <c r="AD463" s="37" t="n"/>
      <c r="AE463" s="38" t="n"/>
      <c r="AF463" s="30">
        <f>IF(OR($B463="",$C463=""),"",$C463-$B463+1)</f>
        <v/>
      </c>
      <c r="AG463" s="32" t="n"/>
      <c r="AH463" s="36" t="n"/>
      <c r="AJ463">
        <f>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  <c r="AX463">
        <f>AW463&amp;IF($Y463="","",", "&amp;$Y463)</f>
        <v/>
      </c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0">
        <f>IF($F464="","",COUNTIF($F$5:$F464,$F464))</f>
        <v/>
      </c>
      <c r="H464" s="33">
        <f>IF($F464="","",IFERROR(INDEX(사건마스터!$B$5:$B$64,MATCH($F464,사건마스터!$A$5:$A$64,0)),""))</f>
        <v/>
      </c>
      <c r="I464" s="34">
        <f>IF($F464="","",IFERROR(INDEX(사건마스터!$C$5:$C$64,MATCH($F464,사건마스터!$A$5:$A$64,0)),""))</f>
        <v/>
      </c>
      <c r="J464" s="35">
        <f>IF($F464="","",IFERROR(INDEX(사건마스터!$H$5:$H$64,MATCH($F464,사건마스터!$A$5:$A$64,0)),""))</f>
        <v/>
      </c>
      <c r="K464" s="35">
        <f>IF($F464="","",IFERROR(INDEX(사건마스터!$AH$5:$AH$64,MATCH($F464,사건마스터!$A$5:$A$64,0)),""))</f>
        <v/>
      </c>
      <c r="L464" s="35">
        <f>IF($F464="","",IFERROR(INDEX(사건마스터!$AI$5:$AI$64,MATCH($F464,사건마스터!$A$5:$A$64,0)),""))</f>
        <v/>
      </c>
      <c r="M464" s="35">
        <f>IF($F464="","",IFERROR(INDEX(사건마스터!$AJ$5:$AJ$64,MATCH($F464,사건마스터!$A$5:$A$64,0)),""))</f>
        <v/>
      </c>
      <c r="N464" s="35">
        <f>IF($F464="","",IFERROR(INDEX(사건마스터!$AK$5:$AK$64,MATCH($F464,사건마스터!$A$5:$A$64,0)),""))</f>
        <v/>
      </c>
      <c r="O464" s="35">
        <f>IF($F464="","",IFERROR(INDEX(사건마스터!$AL$5:$AL$64,MATCH($F464,사건마스터!$A$5:$A$64,0)),""))</f>
        <v/>
      </c>
      <c r="P464" s="35">
        <f>IF($F464="","",IFERROR(INDEX(사건마스터!$AM$5:$AM$64,MATCH($F464,사건마스터!$A$5:$A$64,0)),""))</f>
        <v/>
      </c>
      <c r="Q464" s="35">
        <f>IF($F464="","",IFERROR(INDEX(사건마스터!$AN$5:$AN$64,MATCH($F464,사건마스터!$A$5:$A$64,0)),""))</f>
        <v/>
      </c>
      <c r="R464" s="35">
        <f>IF($F464="","",IFERROR(INDEX(사건마스터!$AO$5:$AO$64,MATCH($F464,사건마스터!$A$5:$A$64,0)),""))</f>
        <v/>
      </c>
      <c r="S464" s="35">
        <f>IF($F464="","",IFERROR(INDEX(사건마스터!$AP$5:$AP$64,MATCH($F464,사건마스터!$A$5:$A$64,0)),""))</f>
        <v/>
      </c>
      <c r="T464" s="35">
        <f>IF($F464="","",IFERROR(INDEX(사건마스터!$AQ$5:$AQ$64,MATCH($F464,사건마스터!$A$5:$A$64,0)),""))</f>
        <v/>
      </c>
      <c r="U464" s="35">
        <f>IF($F464="","",IFERROR(INDEX(사건마스터!$AR$5:$AR$64,MATCH($F464,사건마스터!$A$5:$A$64,0)),""))</f>
        <v/>
      </c>
      <c r="V464" s="35">
        <f>IF($F464="","",IFERROR(INDEX(사건마스터!$AS$5:$AS$64,MATCH($F464,사건마스터!$A$5:$A$64,0)),""))</f>
        <v/>
      </c>
      <c r="W464" s="35">
        <f>IF($F464="","",IFERROR(INDEX(사건마스터!$AT$5:$AT$64,MATCH($F464,사건마스터!$A$5:$A$64,0)),""))</f>
        <v/>
      </c>
      <c r="X464" s="35">
        <f>IF($F464="","",IFERROR(INDEX(사건마스터!$AU$5:$AU$64,MATCH($F464,사건마스터!$A$5:$A$64,0)),""))</f>
        <v/>
      </c>
      <c r="Y464" s="35">
        <f>IF($F464="","",IFERROR(INDEX(사건마스터!$AV$5:$AV$64,MATCH($F464,사건마스터!$A$5:$A$64,0)),""))</f>
        <v/>
      </c>
      <c r="Z464" s="30">
        <f>IF(COUNTBLANK($J464:$Y464)=16,"",16-COUNTBLANK($J464:$Y464))</f>
        <v/>
      </c>
      <c r="AA464" s="33">
        <f>IF($J464="",MID($AX464,3,255),$J464&amp;$AX464)</f>
        <v/>
      </c>
      <c r="AB464" s="34">
        <f>IF($J464="","",IFERROR(INDEX(코드설정!$D$5:$D$24,MATCH($J464,코드설정!$C$5:$C$24,0)),""))</f>
        <v/>
      </c>
      <c r="AC464" s="36" t="n"/>
      <c r="AD464" s="37" t="n"/>
      <c r="AE464" s="38" t="n"/>
      <c r="AF464" s="30">
        <f>IF(OR($B464="",$C464=""),"",$C464-$B464+1)</f>
        <v/>
      </c>
      <c r="AG464" s="32" t="n"/>
      <c r="AH464" s="36" t="n"/>
      <c r="AJ464">
        <f>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  <c r="AX464">
        <f>AW464&amp;IF($Y464="","",", "&amp;$Y464)</f>
        <v/>
      </c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0">
        <f>IF($F465="","",COUNTIF($F$5:$F465,$F465))</f>
        <v/>
      </c>
      <c r="H465" s="33">
        <f>IF($F465="","",IFERROR(INDEX(사건마스터!$B$5:$B$64,MATCH($F465,사건마스터!$A$5:$A$64,0)),""))</f>
        <v/>
      </c>
      <c r="I465" s="34">
        <f>IF($F465="","",IFERROR(INDEX(사건마스터!$C$5:$C$64,MATCH($F465,사건마스터!$A$5:$A$64,0)),""))</f>
        <v/>
      </c>
      <c r="J465" s="35">
        <f>IF($F465="","",IFERROR(INDEX(사건마스터!$H$5:$H$64,MATCH($F465,사건마스터!$A$5:$A$64,0)),""))</f>
        <v/>
      </c>
      <c r="K465" s="35">
        <f>IF($F465="","",IFERROR(INDEX(사건마스터!$AH$5:$AH$64,MATCH($F465,사건마스터!$A$5:$A$64,0)),""))</f>
        <v/>
      </c>
      <c r="L465" s="35">
        <f>IF($F465="","",IFERROR(INDEX(사건마스터!$AI$5:$AI$64,MATCH($F465,사건마스터!$A$5:$A$64,0)),""))</f>
        <v/>
      </c>
      <c r="M465" s="35">
        <f>IF($F465="","",IFERROR(INDEX(사건마스터!$AJ$5:$AJ$64,MATCH($F465,사건마스터!$A$5:$A$64,0)),""))</f>
        <v/>
      </c>
      <c r="N465" s="35">
        <f>IF($F465="","",IFERROR(INDEX(사건마스터!$AK$5:$AK$64,MATCH($F465,사건마스터!$A$5:$A$64,0)),""))</f>
        <v/>
      </c>
      <c r="O465" s="35">
        <f>IF($F465="","",IFERROR(INDEX(사건마스터!$AL$5:$AL$64,MATCH($F465,사건마스터!$A$5:$A$64,0)),""))</f>
        <v/>
      </c>
      <c r="P465" s="35">
        <f>IF($F465="","",IFERROR(INDEX(사건마스터!$AM$5:$AM$64,MATCH($F465,사건마스터!$A$5:$A$64,0)),""))</f>
        <v/>
      </c>
      <c r="Q465" s="35">
        <f>IF($F465="","",IFERROR(INDEX(사건마스터!$AN$5:$AN$64,MATCH($F465,사건마스터!$A$5:$A$64,0)),""))</f>
        <v/>
      </c>
      <c r="R465" s="35">
        <f>IF($F465="","",IFERROR(INDEX(사건마스터!$AO$5:$AO$64,MATCH($F465,사건마스터!$A$5:$A$64,0)),""))</f>
        <v/>
      </c>
      <c r="S465" s="35">
        <f>IF($F465="","",IFERROR(INDEX(사건마스터!$AP$5:$AP$64,MATCH($F465,사건마스터!$A$5:$A$64,0)),""))</f>
        <v/>
      </c>
      <c r="T465" s="35">
        <f>IF($F465="","",IFERROR(INDEX(사건마스터!$AQ$5:$AQ$64,MATCH($F465,사건마스터!$A$5:$A$64,0)),""))</f>
        <v/>
      </c>
      <c r="U465" s="35">
        <f>IF($F465="","",IFERROR(INDEX(사건마스터!$AR$5:$AR$64,MATCH($F465,사건마스터!$A$5:$A$64,0)),""))</f>
        <v/>
      </c>
      <c r="V465" s="35">
        <f>IF($F465="","",IFERROR(INDEX(사건마스터!$AS$5:$AS$64,MATCH($F465,사건마스터!$A$5:$A$64,0)),""))</f>
        <v/>
      </c>
      <c r="W465" s="35">
        <f>IF($F465="","",IFERROR(INDEX(사건마스터!$AT$5:$AT$64,MATCH($F465,사건마스터!$A$5:$A$64,0)),""))</f>
        <v/>
      </c>
      <c r="X465" s="35">
        <f>IF($F465="","",IFERROR(INDEX(사건마스터!$AU$5:$AU$64,MATCH($F465,사건마스터!$A$5:$A$64,0)),""))</f>
        <v/>
      </c>
      <c r="Y465" s="35">
        <f>IF($F465="","",IFERROR(INDEX(사건마스터!$AV$5:$AV$64,MATCH($F465,사건마스터!$A$5:$A$64,0)),""))</f>
        <v/>
      </c>
      <c r="Z465" s="30">
        <f>IF(COUNTBLANK($J465:$Y465)=16,"",16-COUNTBLANK($J465:$Y465))</f>
        <v/>
      </c>
      <c r="AA465" s="33">
        <f>IF($J465="",MID($AX465,3,255),$J465&amp;$AX465)</f>
        <v/>
      </c>
      <c r="AB465" s="34">
        <f>IF($J465="","",IFERROR(INDEX(코드설정!$D$5:$D$24,MATCH($J465,코드설정!$C$5:$C$24,0)),""))</f>
        <v/>
      </c>
      <c r="AC465" s="36" t="n"/>
      <c r="AD465" s="37" t="n"/>
      <c r="AE465" s="38" t="n"/>
      <c r="AF465" s="30">
        <f>IF(OR($B465="",$C465=""),"",$C465-$B465+1)</f>
        <v/>
      </c>
      <c r="AG465" s="32" t="n"/>
      <c r="AH465" s="36" t="n"/>
      <c r="AJ465">
        <f>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  <c r="AX465">
        <f>AW465&amp;IF($Y465="","",", "&amp;$Y465)</f>
        <v/>
      </c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0">
        <f>IF($F466="","",COUNTIF($F$5:$F466,$F466))</f>
        <v/>
      </c>
      <c r="H466" s="33">
        <f>IF($F466="","",IFERROR(INDEX(사건마스터!$B$5:$B$64,MATCH($F466,사건마스터!$A$5:$A$64,0)),""))</f>
        <v/>
      </c>
      <c r="I466" s="34">
        <f>IF($F466="","",IFERROR(INDEX(사건마스터!$C$5:$C$64,MATCH($F466,사건마스터!$A$5:$A$64,0)),""))</f>
        <v/>
      </c>
      <c r="J466" s="35">
        <f>IF($F466="","",IFERROR(INDEX(사건마스터!$H$5:$H$64,MATCH($F466,사건마스터!$A$5:$A$64,0)),""))</f>
        <v/>
      </c>
      <c r="K466" s="35">
        <f>IF($F466="","",IFERROR(INDEX(사건마스터!$AH$5:$AH$64,MATCH($F466,사건마스터!$A$5:$A$64,0)),""))</f>
        <v/>
      </c>
      <c r="L466" s="35">
        <f>IF($F466="","",IFERROR(INDEX(사건마스터!$AI$5:$AI$64,MATCH($F466,사건마스터!$A$5:$A$64,0)),""))</f>
        <v/>
      </c>
      <c r="M466" s="35">
        <f>IF($F466="","",IFERROR(INDEX(사건마스터!$AJ$5:$AJ$64,MATCH($F466,사건마스터!$A$5:$A$64,0)),""))</f>
        <v/>
      </c>
      <c r="N466" s="35">
        <f>IF($F466="","",IFERROR(INDEX(사건마스터!$AK$5:$AK$64,MATCH($F466,사건마스터!$A$5:$A$64,0)),""))</f>
        <v/>
      </c>
      <c r="O466" s="35">
        <f>IF($F466="","",IFERROR(INDEX(사건마스터!$AL$5:$AL$64,MATCH($F466,사건마스터!$A$5:$A$64,0)),""))</f>
        <v/>
      </c>
      <c r="P466" s="35">
        <f>IF($F466="","",IFERROR(INDEX(사건마스터!$AM$5:$AM$64,MATCH($F466,사건마스터!$A$5:$A$64,0)),""))</f>
        <v/>
      </c>
      <c r="Q466" s="35">
        <f>IF($F466="","",IFERROR(INDEX(사건마스터!$AN$5:$AN$64,MATCH($F466,사건마스터!$A$5:$A$64,0)),""))</f>
        <v/>
      </c>
      <c r="R466" s="35">
        <f>IF($F466="","",IFERROR(INDEX(사건마스터!$AO$5:$AO$64,MATCH($F466,사건마스터!$A$5:$A$64,0)),""))</f>
        <v/>
      </c>
      <c r="S466" s="35">
        <f>IF($F466="","",IFERROR(INDEX(사건마스터!$AP$5:$AP$64,MATCH($F466,사건마스터!$A$5:$A$64,0)),""))</f>
        <v/>
      </c>
      <c r="T466" s="35">
        <f>IF($F466="","",IFERROR(INDEX(사건마스터!$AQ$5:$AQ$64,MATCH($F466,사건마스터!$A$5:$A$64,0)),""))</f>
        <v/>
      </c>
      <c r="U466" s="35">
        <f>IF($F466="","",IFERROR(INDEX(사건마스터!$AR$5:$AR$64,MATCH($F466,사건마스터!$A$5:$A$64,0)),""))</f>
        <v/>
      </c>
      <c r="V466" s="35">
        <f>IF($F466="","",IFERROR(INDEX(사건마스터!$AS$5:$AS$64,MATCH($F466,사건마스터!$A$5:$A$64,0)),""))</f>
        <v/>
      </c>
      <c r="W466" s="35">
        <f>IF($F466="","",IFERROR(INDEX(사건마스터!$AT$5:$AT$64,MATCH($F466,사건마스터!$A$5:$A$64,0)),""))</f>
        <v/>
      </c>
      <c r="X466" s="35">
        <f>IF($F466="","",IFERROR(INDEX(사건마스터!$AU$5:$AU$64,MATCH($F466,사건마스터!$A$5:$A$64,0)),""))</f>
        <v/>
      </c>
      <c r="Y466" s="35">
        <f>IF($F466="","",IFERROR(INDEX(사건마스터!$AV$5:$AV$64,MATCH($F466,사건마스터!$A$5:$A$64,0)),""))</f>
        <v/>
      </c>
      <c r="Z466" s="30">
        <f>IF(COUNTBLANK($J466:$Y466)=16,"",16-COUNTBLANK($J466:$Y466))</f>
        <v/>
      </c>
      <c r="AA466" s="33">
        <f>IF($J466="",MID($AX466,3,255),$J466&amp;$AX466)</f>
        <v/>
      </c>
      <c r="AB466" s="34">
        <f>IF($J466="","",IFERROR(INDEX(코드설정!$D$5:$D$24,MATCH($J466,코드설정!$C$5:$C$24,0)),""))</f>
        <v/>
      </c>
      <c r="AC466" s="36" t="n"/>
      <c r="AD466" s="37" t="n"/>
      <c r="AE466" s="38" t="n"/>
      <c r="AF466" s="30">
        <f>IF(OR($B466="",$C466=""),"",$C466-$B466+1)</f>
        <v/>
      </c>
      <c r="AG466" s="32" t="n"/>
      <c r="AH466" s="36" t="n"/>
      <c r="AJ466">
        <f>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  <c r="AX466">
        <f>AW466&amp;IF($Y466="","",", "&amp;$Y466)</f>
        <v/>
      </c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0">
        <f>IF($F467="","",COUNTIF($F$5:$F467,$F467))</f>
        <v/>
      </c>
      <c r="H467" s="33">
        <f>IF($F467="","",IFERROR(INDEX(사건마스터!$B$5:$B$64,MATCH($F467,사건마스터!$A$5:$A$64,0)),""))</f>
        <v/>
      </c>
      <c r="I467" s="34">
        <f>IF($F467="","",IFERROR(INDEX(사건마스터!$C$5:$C$64,MATCH($F467,사건마스터!$A$5:$A$64,0)),""))</f>
        <v/>
      </c>
      <c r="J467" s="35">
        <f>IF($F467="","",IFERROR(INDEX(사건마스터!$H$5:$H$64,MATCH($F467,사건마스터!$A$5:$A$64,0)),""))</f>
        <v/>
      </c>
      <c r="K467" s="35">
        <f>IF($F467="","",IFERROR(INDEX(사건마스터!$AH$5:$AH$64,MATCH($F467,사건마스터!$A$5:$A$64,0)),""))</f>
        <v/>
      </c>
      <c r="L467" s="35">
        <f>IF($F467="","",IFERROR(INDEX(사건마스터!$AI$5:$AI$64,MATCH($F467,사건마스터!$A$5:$A$64,0)),""))</f>
        <v/>
      </c>
      <c r="M467" s="35">
        <f>IF($F467="","",IFERROR(INDEX(사건마스터!$AJ$5:$AJ$64,MATCH($F467,사건마스터!$A$5:$A$64,0)),""))</f>
        <v/>
      </c>
      <c r="N467" s="35">
        <f>IF($F467="","",IFERROR(INDEX(사건마스터!$AK$5:$AK$64,MATCH($F467,사건마스터!$A$5:$A$64,0)),""))</f>
        <v/>
      </c>
      <c r="O467" s="35">
        <f>IF($F467="","",IFERROR(INDEX(사건마스터!$AL$5:$AL$64,MATCH($F467,사건마스터!$A$5:$A$64,0)),""))</f>
        <v/>
      </c>
      <c r="P467" s="35">
        <f>IF($F467="","",IFERROR(INDEX(사건마스터!$AM$5:$AM$64,MATCH($F467,사건마스터!$A$5:$A$64,0)),""))</f>
        <v/>
      </c>
      <c r="Q467" s="35">
        <f>IF($F467="","",IFERROR(INDEX(사건마스터!$AN$5:$AN$64,MATCH($F467,사건마스터!$A$5:$A$64,0)),""))</f>
        <v/>
      </c>
      <c r="R467" s="35">
        <f>IF($F467="","",IFERROR(INDEX(사건마스터!$AO$5:$AO$64,MATCH($F467,사건마스터!$A$5:$A$64,0)),""))</f>
        <v/>
      </c>
      <c r="S467" s="35">
        <f>IF($F467="","",IFERROR(INDEX(사건마스터!$AP$5:$AP$64,MATCH($F467,사건마스터!$A$5:$A$64,0)),""))</f>
        <v/>
      </c>
      <c r="T467" s="35">
        <f>IF($F467="","",IFERROR(INDEX(사건마스터!$AQ$5:$AQ$64,MATCH($F467,사건마스터!$A$5:$A$64,0)),""))</f>
        <v/>
      </c>
      <c r="U467" s="35">
        <f>IF($F467="","",IFERROR(INDEX(사건마스터!$AR$5:$AR$64,MATCH($F467,사건마스터!$A$5:$A$64,0)),""))</f>
        <v/>
      </c>
      <c r="V467" s="35">
        <f>IF($F467="","",IFERROR(INDEX(사건마스터!$AS$5:$AS$64,MATCH($F467,사건마스터!$A$5:$A$64,0)),""))</f>
        <v/>
      </c>
      <c r="W467" s="35">
        <f>IF($F467="","",IFERROR(INDEX(사건마스터!$AT$5:$AT$64,MATCH($F467,사건마스터!$A$5:$A$64,0)),""))</f>
        <v/>
      </c>
      <c r="X467" s="35">
        <f>IF($F467="","",IFERROR(INDEX(사건마스터!$AU$5:$AU$64,MATCH($F467,사건마스터!$A$5:$A$64,0)),""))</f>
        <v/>
      </c>
      <c r="Y467" s="35">
        <f>IF($F467="","",IFERROR(INDEX(사건마스터!$AV$5:$AV$64,MATCH($F467,사건마스터!$A$5:$A$64,0)),""))</f>
        <v/>
      </c>
      <c r="Z467" s="30">
        <f>IF(COUNTBLANK($J467:$Y467)=16,"",16-COUNTBLANK($J467:$Y467))</f>
        <v/>
      </c>
      <c r="AA467" s="33">
        <f>IF($J467="",MID($AX467,3,255),$J467&amp;$AX467)</f>
        <v/>
      </c>
      <c r="AB467" s="34">
        <f>IF($J467="","",IFERROR(INDEX(코드설정!$D$5:$D$24,MATCH($J467,코드설정!$C$5:$C$24,0)),""))</f>
        <v/>
      </c>
      <c r="AC467" s="36" t="n"/>
      <c r="AD467" s="37" t="n"/>
      <c r="AE467" s="38" t="n"/>
      <c r="AF467" s="30">
        <f>IF(OR($B467="",$C467=""),"",$C467-$B467+1)</f>
        <v/>
      </c>
      <c r="AG467" s="32" t="n"/>
      <c r="AH467" s="36" t="n"/>
      <c r="AJ467">
        <f>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  <c r="AX467">
        <f>AW467&amp;IF($Y467="","",", "&amp;$Y467)</f>
        <v/>
      </c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0">
        <f>IF($F468="","",COUNTIF($F$5:$F468,$F468))</f>
        <v/>
      </c>
      <c r="H468" s="33">
        <f>IF($F468="","",IFERROR(INDEX(사건마스터!$B$5:$B$64,MATCH($F468,사건마스터!$A$5:$A$64,0)),""))</f>
        <v/>
      </c>
      <c r="I468" s="34">
        <f>IF($F468="","",IFERROR(INDEX(사건마스터!$C$5:$C$64,MATCH($F468,사건마스터!$A$5:$A$64,0)),""))</f>
        <v/>
      </c>
      <c r="J468" s="35">
        <f>IF($F468="","",IFERROR(INDEX(사건마스터!$H$5:$H$64,MATCH($F468,사건마스터!$A$5:$A$64,0)),""))</f>
        <v/>
      </c>
      <c r="K468" s="35">
        <f>IF($F468="","",IFERROR(INDEX(사건마스터!$AH$5:$AH$64,MATCH($F468,사건마스터!$A$5:$A$64,0)),""))</f>
        <v/>
      </c>
      <c r="L468" s="35">
        <f>IF($F468="","",IFERROR(INDEX(사건마스터!$AI$5:$AI$64,MATCH($F468,사건마스터!$A$5:$A$64,0)),""))</f>
        <v/>
      </c>
      <c r="M468" s="35">
        <f>IF($F468="","",IFERROR(INDEX(사건마스터!$AJ$5:$AJ$64,MATCH($F468,사건마스터!$A$5:$A$64,0)),""))</f>
        <v/>
      </c>
      <c r="N468" s="35">
        <f>IF($F468="","",IFERROR(INDEX(사건마스터!$AK$5:$AK$64,MATCH($F468,사건마스터!$A$5:$A$64,0)),""))</f>
        <v/>
      </c>
      <c r="O468" s="35">
        <f>IF($F468="","",IFERROR(INDEX(사건마스터!$AL$5:$AL$64,MATCH($F468,사건마스터!$A$5:$A$64,0)),""))</f>
        <v/>
      </c>
      <c r="P468" s="35">
        <f>IF($F468="","",IFERROR(INDEX(사건마스터!$AM$5:$AM$64,MATCH($F468,사건마스터!$A$5:$A$64,0)),""))</f>
        <v/>
      </c>
      <c r="Q468" s="35">
        <f>IF($F468="","",IFERROR(INDEX(사건마스터!$AN$5:$AN$64,MATCH($F468,사건마스터!$A$5:$A$64,0)),""))</f>
        <v/>
      </c>
      <c r="R468" s="35">
        <f>IF($F468="","",IFERROR(INDEX(사건마스터!$AO$5:$AO$64,MATCH($F468,사건마스터!$A$5:$A$64,0)),""))</f>
        <v/>
      </c>
      <c r="S468" s="35">
        <f>IF($F468="","",IFERROR(INDEX(사건마스터!$AP$5:$AP$64,MATCH($F468,사건마스터!$A$5:$A$64,0)),""))</f>
        <v/>
      </c>
      <c r="T468" s="35">
        <f>IF($F468="","",IFERROR(INDEX(사건마스터!$AQ$5:$AQ$64,MATCH($F468,사건마스터!$A$5:$A$64,0)),""))</f>
        <v/>
      </c>
      <c r="U468" s="35">
        <f>IF($F468="","",IFERROR(INDEX(사건마스터!$AR$5:$AR$64,MATCH($F468,사건마스터!$A$5:$A$64,0)),""))</f>
        <v/>
      </c>
      <c r="V468" s="35">
        <f>IF($F468="","",IFERROR(INDEX(사건마스터!$AS$5:$AS$64,MATCH($F468,사건마스터!$A$5:$A$64,0)),""))</f>
        <v/>
      </c>
      <c r="W468" s="35">
        <f>IF($F468="","",IFERROR(INDEX(사건마스터!$AT$5:$AT$64,MATCH($F468,사건마스터!$A$5:$A$64,0)),""))</f>
        <v/>
      </c>
      <c r="X468" s="35">
        <f>IF($F468="","",IFERROR(INDEX(사건마스터!$AU$5:$AU$64,MATCH($F468,사건마스터!$A$5:$A$64,0)),""))</f>
        <v/>
      </c>
      <c r="Y468" s="35">
        <f>IF($F468="","",IFERROR(INDEX(사건마스터!$AV$5:$AV$64,MATCH($F468,사건마스터!$A$5:$A$64,0)),""))</f>
        <v/>
      </c>
      <c r="Z468" s="30">
        <f>IF(COUNTBLANK($J468:$Y468)=16,"",16-COUNTBLANK($J468:$Y468))</f>
        <v/>
      </c>
      <c r="AA468" s="33">
        <f>IF($J468="",MID($AX468,3,255),$J468&amp;$AX468)</f>
        <v/>
      </c>
      <c r="AB468" s="34">
        <f>IF($J468="","",IFERROR(INDEX(코드설정!$D$5:$D$24,MATCH($J468,코드설정!$C$5:$C$24,0)),""))</f>
        <v/>
      </c>
      <c r="AC468" s="36" t="n"/>
      <c r="AD468" s="37" t="n"/>
      <c r="AE468" s="38" t="n"/>
      <c r="AF468" s="30">
        <f>IF(OR($B468="",$C468=""),"",$C468-$B468+1)</f>
        <v/>
      </c>
      <c r="AG468" s="32" t="n"/>
      <c r="AH468" s="36" t="n"/>
      <c r="AJ468">
        <f>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  <c r="AX468">
        <f>AW468&amp;IF($Y468="","",", "&amp;$Y468)</f>
        <v/>
      </c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0">
        <f>IF($F469="","",COUNTIF($F$5:$F469,$F469))</f>
        <v/>
      </c>
      <c r="H469" s="33">
        <f>IF($F469="","",IFERROR(INDEX(사건마스터!$B$5:$B$64,MATCH($F469,사건마스터!$A$5:$A$64,0)),""))</f>
        <v/>
      </c>
      <c r="I469" s="34">
        <f>IF($F469="","",IFERROR(INDEX(사건마스터!$C$5:$C$64,MATCH($F469,사건마스터!$A$5:$A$64,0)),""))</f>
        <v/>
      </c>
      <c r="J469" s="35">
        <f>IF($F469="","",IFERROR(INDEX(사건마스터!$H$5:$H$64,MATCH($F469,사건마스터!$A$5:$A$64,0)),""))</f>
        <v/>
      </c>
      <c r="K469" s="35">
        <f>IF($F469="","",IFERROR(INDEX(사건마스터!$AH$5:$AH$64,MATCH($F469,사건마스터!$A$5:$A$64,0)),""))</f>
        <v/>
      </c>
      <c r="L469" s="35">
        <f>IF($F469="","",IFERROR(INDEX(사건마스터!$AI$5:$AI$64,MATCH($F469,사건마스터!$A$5:$A$64,0)),""))</f>
        <v/>
      </c>
      <c r="M469" s="35">
        <f>IF($F469="","",IFERROR(INDEX(사건마스터!$AJ$5:$AJ$64,MATCH($F469,사건마스터!$A$5:$A$64,0)),""))</f>
        <v/>
      </c>
      <c r="N469" s="35">
        <f>IF($F469="","",IFERROR(INDEX(사건마스터!$AK$5:$AK$64,MATCH($F469,사건마스터!$A$5:$A$64,0)),""))</f>
        <v/>
      </c>
      <c r="O469" s="35">
        <f>IF($F469="","",IFERROR(INDEX(사건마스터!$AL$5:$AL$64,MATCH($F469,사건마스터!$A$5:$A$64,0)),""))</f>
        <v/>
      </c>
      <c r="P469" s="35">
        <f>IF($F469="","",IFERROR(INDEX(사건마스터!$AM$5:$AM$64,MATCH($F469,사건마스터!$A$5:$A$64,0)),""))</f>
        <v/>
      </c>
      <c r="Q469" s="35">
        <f>IF($F469="","",IFERROR(INDEX(사건마스터!$AN$5:$AN$64,MATCH($F469,사건마스터!$A$5:$A$64,0)),""))</f>
        <v/>
      </c>
      <c r="R469" s="35">
        <f>IF($F469="","",IFERROR(INDEX(사건마스터!$AO$5:$AO$64,MATCH($F469,사건마스터!$A$5:$A$64,0)),""))</f>
        <v/>
      </c>
      <c r="S469" s="35">
        <f>IF($F469="","",IFERROR(INDEX(사건마스터!$AP$5:$AP$64,MATCH($F469,사건마스터!$A$5:$A$64,0)),""))</f>
        <v/>
      </c>
      <c r="T469" s="35">
        <f>IF($F469="","",IFERROR(INDEX(사건마스터!$AQ$5:$AQ$64,MATCH($F469,사건마스터!$A$5:$A$64,0)),""))</f>
        <v/>
      </c>
      <c r="U469" s="35">
        <f>IF($F469="","",IFERROR(INDEX(사건마스터!$AR$5:$AR$64,MATCH($F469,사건마스터!$A$5:$A$64,0)),""))</f>
        <v/>
      </c>
      <c r="V469" s="35">
        <f>IF($F469="","",IFERROR(INDEX(사건마스터!$AS$5:$AS$64,MATCH($F469,사건마스터!$A$5:$A$64,0)),""))</f>
        <v/>
      </c>
      <c r="W469" s="35">
        <f>IF($F469="","",IFERROR(INDEX(사건마스터!$AT$5:$AT$64,MATCH($F469,사건마스터!$A$5:$A$64,0)),""))</f>
        <v/>
      </c>
      <c r="X469" s="35">
        <f>IF($F469="","",IFERROR(INDEX(사건마스터!$AU$5:$AU$64,MATCH($F469,사건마스터!$A$5:$A$64,0)),""))</f>
        <v/>
      </c>
      <c r="Y469" s="35">
        <f>IF($F469="","",IFERROR(INDEX(사건마스터!$AV$5:$AV$64,MATCH($F469,사건마스터!$A$5:$A$64,0)),""))</f>
        <v/>
      </c>
      <c r="Z469" s="30">
        <f>IF(COUNTBLANK($J469:$Y469)=16,"",16-COUNTBLANK($J469:$Y469))</f>
        <v/>
      </c>
      <c r="AA469" s="33">
        <f>IF($J469="",MID($AX469,3,255),$J469&amp;$AX469)</f>
        <v/>
      </c>
      <c r="AB469" s="34">
        <f>IF($J469="","",IFERROR(INDEX(코드설정!$D$5:$D$24,MATCH($J469,코드설정!$C$5:$C$24,0)),""))</f>
        <v/>
      </c>
      <c r="AC469" s="36" t="n"/>
      <c r="AD469" s="37" t="n"/>
      <c r="AE469" s="38" t="n"/>
      <c r="AF469" s="30">
        <f>IF(OR($B469="",$C469=""),"",$C469-$B469+1)</f>
        <v/>
      </c>
      <c r="AG469" s="32" t="n"/>
      <c r="AH469" s="36" t="n"/>
      <c r="AJ469">
        <f>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  <c r="AX469">
        <f>AW469&amp;IF($Y469="","",", "&amp;$Y469)</f>
        <v/>
      </c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0">
        <f>IF($F470="","",COUNTIF($F$5:$F470,$F470))</f>
        <v/>
      </c>
      <c r="H470" s="33">
        <f>IF($F470="","",IFERROR(INDEX(사건마스터!$B$5:$B$64,MATCH($F470,사건마스터!$A$5:$A$64,0)),""))</f>
        <v/>
      </c>
      <c r="I470" s="34">
        <f>IF($F470="","",IFERROR(INDEX(사건마스터!$C$5:$C$64,MATCH($F470,사건마스터!$A$5:$A$64,0)),""))</f>
        <v/>
      </c>
      <c r="J470" s="35">
        <f>IF($F470="","",IFERROR(INDEX(사건마스터!$H$5:$H$64,MATCH($F470,사건마스터!$A$5:$A$64,0)),""))</f>
        <v/>
      </c>
      <c r="K470" s="35">
        <f>IF($F470="","",IFERROR(INDEX(사건마스터!$AH$5:$AH$64,MATCH($F470,사건마스터!$A$5:$A$64,0)),""))</f>
        <v/>
      </c>
      <c r="L470" s="35">
        <f>IF($F470="","",IFERROR(INDEX(사건마스터!$AI$5:$AI$64,MATCH($F470,사건마스터!$A$5:$A$64,0)),""))</f>
        <v/>
      </c>
      <c r="M470" s="35">
        <f>IF($F470="","",IFERROR(INDEX(사건마스터!$AJ$5:$AJ$64,MATCH($F470,사건마스터!$A$5:$A$64,0)),""))</f>
        <v/>
      </c>
      <c r="N470" s="35">
        <f>IF($F470="","",IFERROR(INDEX(사건마스터!$AK$5:$AK$64,MATCH($F470,사건마스터!$A$5:$A$64,0)),""))</f>
        <v/>
      </c>
      <c r="O470" s="35">
        <f>IF($F470="","",IFERROR(INDEX(사건마스터!$AL$5:$AL$64,MATCH($F470,사건마스터!$A$5:$A$64,0)),""))</f>
        <v/>
      </c>
      <c r="P470" s="35">
        <f>IF($F470="","",IFERROR(INDEX(사건마스터!$AM$5:$AM$64,MATCH($F470,사건마스터!$A$5:$A$64,0)),""))</f>
        <v/>
      </c>
      <c r="Q470" s="35">
        <f>IF($F470="","",IFERROR(INDEX(사건마스터!$AN$5:$AN$64,MATCH($F470,사건마스터!$A$5:$A$64,0)),""))</f>
        <v/>
      </c>
      <c r="R470" s="35">
        <f>IF($F470="","",IFERROR(INDEX(사건마스터!$AO$5:$AO$64,MATCH($F470,사건마스터!$A$5:$A$64,0)),""))</f>
        <v/>
      </c>
      <c r="S470" s="35">
        <f>IF($F470="","",IFERROR(INDEX(사건마스터!$AP$5:$AP$64,MATCH($F470,사건마스터!$A$5:$A$64,0)),""))</f>
        <v/>
      </c>
      <c r="T470" s="35">
        <f>IF($F470="","",IFERROR(INDEX(사건마스터!$AQ$5:$AQ$64,MATCH($F470,사건마스터!$A$5:$A$64,0)),""))</f>
        <v/>
      </c>
      <c r="U470" s="35">
        <f>IF($F470="","",IFERROR(INDEX(사건마스터!$AR$5:$AR$64,MATCH($F470,사건마스터!$A$5:$A$64,0)),""))</f>
        <v/>
      </c>
      <c r="V470" s="35">
        <f>IF($F470="","",IFERROR(INDEX(사건마스터!$AS$5:$AS$64,MATCH($F470,사건마스터!$A$5:$A$64,0)),""))</f>
        <v/>
      </c>
      <c r="W470" s="35">
        <f>IF($F470="","",IFERROR(INDEX(사건마스터!$AT$5:$AT$64,MATCH($F470,사건마스터!$A$5:$A$64,0)),""))</f>
        <v/>
      </c>
      <c r="X470" s="35">
        <f>IF($F470="","",IFERROR(INDEX(사건마스터!$AU$5:$AU$64,MATCH($F470,사건마스터!$A$5:$A$64,0)),""))</f>
        <v/>
      </c>
      <c r="Y470" s="35">
        <f>IF($F470="","",IFERROR(INDEX(사건마스터!$AV$5:$AV$64,MATCH($F470,사건마스터!$A$5:$A$64,0)),""))</f>
        <v/>
      </c>
      <c r="Z470" s="30">
        <f>IF(COUNTBLANK($J470:$Y470)=16,"",16-COUNTBLANK($J470:$Y470))</f>
        <v/>
      </c>
      <c r="AA470" s="33">
        <f>IF($J470="",MID($AX470,3,255),$J470&amp;$AX470)</f>
        <v/>
      </c>
      <c r="AB470" s="34">
        <f>IF($J470="","",IFERROR(INDEX(코드설정!$D$5:$D$24,MATCH($J470,코드설정!$C$5:$C$24,0)),""))</f>
        <v/>
      </c>
      <c r="AC470" s="36" t="n"/>
      <c r="AD470" s="37" t="n"/>
      <c r="AE470" s="38" t="n"/>
      <c r="AF470" s="30">
        <f>IF(OR($B470="",$C470=""),"",$C470-$B470+1)</f>
        <v/>
      </c>
      <c r="AG470" s="32" t="n"/>
      <c r="AH470" s="36" t="n"/>
      <c r="AJ470">
        <f>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  <c r="AX470">
        <f>AW470&amp;IF($Y470="","",", "&amp;$Y470)</f>
        <v/>
      </c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0">
        <f>IF($F471="","",COUNTIF($F$5:$F471,$F471))</f>
        <v/>
      </c>
      <c r="H471" s="33">
        <f>IF($F471="","",IFERROR(INDEX(사건마스터!$B$5:$B$64,MATCH($F471,사건마스터!$A$5:$A$64,0)),""))</f>
        <v/>
      </c>
      <c r="I471" s="34">
        <f>IF($F471="","",IFERROR(INDEX(사건마스터!$C$5:$C$64,MATCH($F471,사건마스터!$A$5:$A$64,0)),""))</f>
        <v/>
      </c>
      <c r="J471" s="35">
        <f>IF($F471="","",IFERROR(INDEX(사건마스터!$H$5:$H$64,MATCH($F471,사건마스터!$A$5:$A$64,0)),""))</f>
        <v/>
      </c>
      <c r="K471" s="35">
        <f>IF($F471="","",IFERROR(INDEX(사건마스터!$AH$5:$AH$64,MATCH($F471,사건마스터!$A$5:$A$64,0)),""))</f>
        <v/>
      </c>
      <c r="L471" s="35">
        <f>IF($F471="","",IFERROR(INDEX(사건마스터!$AI$5:$AI$64,MATCH($F471,사건마스터!$A$5:$A$64,0)),""))</f>
        <v/>
      </c>
      <c r="M471" s="35">
        <f>IF($F471="","",IFERROR(INDEX(사건마스터!$AJ$5:$AJ$64,MATCH($F471,사건마스터!$A$5:$A$64,0)),""))</f>
        <v/>
      </c>
      <c r="N471" s="35">
        <f>IF($F471="","",IFERROR(INDEX(사건마스터!$AK$5:$AK$64,MATCH($F471,사건마스터!$A$5:$A$64,0)),""))</f>
        <v/>
      </c>
      <c r="O471" s="35">
        <f>IF($F471="","",IFERROR(INDEX(사건마스터!$AL$5:$AL$64,MATCH($F471,사건마스터!$A$5:$A$64,0)),""))</f>
        <v/>
      </c>
      <c r="P471" s="35">
        <f>IF($F471="","",IFERROR(INDEX(사건마스터!$AM$5:$AM$64,MATCH($F471,사건마스터!$A$5:$A$64,0)),""))</f>
        <v/>
      </c>
      <c r="Q471" s="35">
        <f>IF($F471="","",IFERROR(INDEX(사건마스터!$AN$5:$AN$64,MATCH($F471,사건마스터!$A$5:$A$64,0)),""))</f>
        <v/>
      </c>
      <c r="R471" s="35">
        <f>IF($F471="","",IFERROR(INDEX(사건마스터!$AO$5:$AO$64,MATCH($F471,사건마스터!$A$5:$A$64,0)),""))</f>
        <v/>
      </c>
      <c r="S471" s="35">
        <f>IF($F471="","",IFERROR(INDEX(사건마스터!$AP$5:$AP$64,MATCH($F471,사건마스터!$A$5:$A$64,0)),""))</f>
        <v/>
      </c>
      <c r="T471" s="35">
        <f>IF($F471="","",IFERROR(INDEX(사건마스터!$AQ$5:$AQ$64,MATCH($F471,사건마스터!$A$5:$A$64,0)),""))</f>
        <v/>
      </c>
      <c r="U471" s="35">
        <f>IF($F471="","",IFERROR(INDEX(사건마스터!$AR$5:$AR$64,MATCH($F471,사건마스터!$A$5:$A$64,0)),""))</f>
        <v/>
      </c>
      <c r="V471" s="35">
        <f>IF($F471="","",IFERROR(INDEX(사건마스터!$AS$5:$AS$64,MATCH($F471,사건마스터!$A$5:$A$64,0)),""))</f>
        <v/>
      </c>
      <c r="W471" s="35">
        <f>IF($F471="","",IFERROR(INDEX(사건마스터!$AT$5:$AT$64,MATCH($F471,사건마스터!$A$5:$A$64,0)),""))</f>
        <v/>
      </c>
      <c r="X471" s="35">
        <f>IF($F471="","",IFERROR(INDEX(사건마스터!$AU$5:$AU$64,MATCH($F471,사건마스터!$A$5:$A$64,0)),""))</f>
        <v/>
      </c>
      <c r="Y471" s="35">
        <f>IF($F471="","",IFERROR(INDEX(사건마스터!$AV$5:$AV$64,MATCH($F471,사건마스터!$A$5:$A$64,0)),""))</f>
        <v/>
      </c>
      <c r="Z471" s="30">
        <f>IF(COUNTBLANK($J471:$Y471)=16,"",16-COUNTBLANK($J471:$Y471))</f>
        <v/>
      </c>
      <c r="AA471" s="33">
        <f>IF($J471="",MID($AX471,3,255),$J471&amp;$AX471)</f>
        <v/>
      </c>
      <c r="AB471" s="34">
        <f>IF($J471="","",IFERROR(INDEX(코드설정!$D$5:$D$24,MATCH($J471,코드설정!$C$5:$C$24,0)),""))</f>
        <v/>
      </c>
      <c r="AC471" s="36" t="n"/>
      <c r="AD471" s="37" t="n"/>
      <c r="AE471" s="38" t="n"/>
      <c r="AF471" s="30">
        <f>IF(OR($B471="",$C471=""),"",$C471-$B471+1)</f>
        <v/>
      </c>
      <c r="AG471" s="32" t="n"/>
      <c r="AH471" s="36" t="n"/>
      <c r="AJ471">
        <f>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  <c r="AX471">
        <f>AW471&amp;IF($Y471="","",", "&amp;$Y471)</f>
        <v/>
      </c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0">
        <f>IF($F472="","",COUNTIF($F$5:$F472,$F472))</f>
        <v/>
      </c>
      <c r="H472" s="33">
        <f>IF($F472="","",IFERROR(INDEX(사건마스터!$B$5:$B$64,MATCH($F472,사건마스터!$A$5:$A$64,0)),""))</f>
        <v/>
      </c>
      <c r="I472" s="34">
        <f>IF($F472="","",IFERROR(INDEX(사건마스터!$C$5:$C$64,MATCH($F472,사건마스터!$A$5:$A$64,0)),""))</f>
        <v/>
      </c>
      <c r="J472" s="35">
        <f>IF($F472="","",IFERROR(INDEX(사건마스터!$H$5:$H$64,MATCH($F472,사건마스터!$A$5:$A$64,0)),""))</f>
        <v/>
      </c>
      <c r="K472" s="35">
        <f>IF($F472="","",IFERROR(INDEX(사건마스터!$AH$5:$AH$64,MATCH($F472,사건마스터!$A$5:$A$64,0)),""))</f>
        <v/>
      </c>
      <c r="L472" s="35">
        <f>IF($F472="","",IFERROR(INDEX(사건마스터!$AI$5:$AI$64,MATCH($F472,사건마스터!$A$5:$A$64,0)),""))</f>
        <v/>
      </c>
      <c r="M472" s="35">
        <f>IF($F472="","",IFERROR(INDEX(사건마스터!$AJ$5:$AJ$64,MATCH($F472,사건마스터!$A$5:$A$64,0)),""))</f>
        <v/>
      </c>
      <c r="N472" s="35">
        <f>IF($F472="","",IFERROR(INDEX(사건마스터!$AK$5:$AK$64,MATCH($F472,사건마스터!$A$5:$A$64,0)),""))</f>
        <v/>
      </c>
      <c r="O472" s="35">
        <f>IF($F472="","",IFERROR(INDEX(사건마스터!$AL$5:$AL$64,MATCH($F472,사건마스터!$A$5:$A$64,0)),""))</f>
        <v/>
      </c>
      <c r="P472" s="35">
        <f>IF($F472="","",IFERROR(INDEX(사건마스터!$AM$5:$AM$64,MATCH($F472,사건마스터!$A$5:$A$64,0)),""))</f>
        <v/>
      </c>
      <c r="Q472" s="35">
        <f>IF($F472="","",IFERROR(INDEX(사건마스터!$AN$5:$AN$64,MATCH($F472,사건마스터!$A$5:$A$64,0)),""))</f>
        <v/>
      </c>
      <c r="R472" s="35">
        <f>IF($F472="","",IFERROR(INDEX(사건마스터!$AO$5:$AO$64,MATCH($F472,사건마스터!$A$5:$A$64,0)),""))</f>
        <v/>
      </c>
      <c r="S472" s="35">
        <f>IF($F472="","",IFERROR(INDEX(사건마스터!$AP$5:$AP$64,MATCH($F472,사건마스터!$A$5:$A$64,0)),""))</f>
        <v/>
      </c>
      <c r="T472" s="35">
        <f>IF($F472="","",IFERROR(INDEX(사건마스터!$AQ$5:$AQ$64,MATCH($F472,사건마스터!$A$5:$A$64,0)),""))</f>
        <v/>
      </c>
      <c r="U472" s="35">
        <f>IF($F472="","",IFERROR(INDEX(사건마스터!$AR$5:$AR$64,MATCH($F472,사건마스터!$A$5:$A$64,0)),""))</f>
        <v/>
      </c>
      <c r="V472" s="35">
        <f>IF($F472="","",IFERROR(INDEX(사건마스터!$AS$5:$AS$64,MATCH($F472,사건마스터!$A$5:$A$64,0)),""))</f>
        <v/>
      </c>
      <c r="W472" s="35">
        <f>IF($F472="","",IFERROR(INDEX(사건마스터!$AT$5:$AT$64,MATCH($F472,사건마스터!$A$5:$A$64,0)),""))</f>
        <v/>
      </c>
      <c r="X472" s="35">
        <f>IF($F472="","",IFERROR(INDEX(사건마스터!$AU$5:$AU$64,MATCH($F472,사건마스터!$A$5:$A$64,0)),""))</f>
        <v/>
      </c>
      <c r="Y472" s="35">
        <f>IF($F472="","",IFERROR(INDEX(사건마스터!$AV$5:$AV$64,MATCH($F472,사건마스터!$A$5:$A$64,0)),""))</f>
        <v/>
      </c>
      <c r="Z472" s="30">
        <f>IF(COUNTBLANK($J472:$Y472)=16,"",16-COUNTBLANK($J472:$Y472))</f>
        <v/>
      </c>
      <c r="AA472" s="33">
        <f>IF($J472="",MID($AX472,3,255),$J472&amp;$AX472)</f>
        <v/>
      </c>
      <c r="AB472" s="34">
        <f>IF($J472="","",IFERROR(INDEX(코드설정!$D$5:$D$24,MATCH($J472,코드설정!$C$5:$C$24,0)),""))</f>
        <v/>
      </c>
      <c r="AC472" s="36" t="n"/>
      <c r="AD472" s="37" t="n"/>
      <c r="AE472" s="38" t="n"/>
      <c r="AF472" s="30">
        <f>IF(OR($B472="",$C472=""),"",$C472-$B472+1)</f>
        <v/>
      </c>
      <c r="AG472" s="32" t="n"/>
      <c r="AH472" s="36" t="n"/>
      <c r="AJ472">
        <f>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  <c r="AX472">
        <f>AW472&amp;IF($Y472="","",", "&amp;$Y472)</f>
        <v/>
      </c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0">
        <f>IF($F473="","",COUNTIF($F$5:$F473,$F473))</f>
        <v/>
      </c>
      <c r="H473" s="33">
        <f>IF($F473="","",IFERROR(INDEX(사건마스터!$B$5:$B$64,MATCH($F473,사건마스터!$A$5:$A$64,0)),""))</f>
        <v/>
      </c>
      <c r="I473" s="34">
        <f>IF($F473="","",IFERROR(INDEX(사건마스터!$C$5:$C$64,MATCH($F473,사건마스터!$A$5:$A$64,0)),""))</f>
        <v/>
      </c>
      <c r="J473" s="35">
        <f>IF($F473="","",IFERROR(INDEX(사건마스터!$H$5:$H$64,MATCH($F473,사건마스터!$A$5:$A$64,0)),""))</f>
        <v/>
      </c>
      <c r="K473" s="35">
        <f>IF($F473="","",IFERROR(INDEX(사건마스터!$AH$5:$AH$64,MATCH($F473,사건마스터!$A$5:$A$64,0)),""))</f>
        <v/>
      </c>
      <c r="L473" s="35">
        <f>IF($F473="","",IFERROR(INDEX(사건마스터!$AI$5:$AI$64,MATCH($F473,사건마스터!$A$5:$A$64,0)),""))</f>
        <v/>
      </c>
      <c r="M473" s="35">
        <f>IF($F473="","",IFERROR(INDEX(사건마스터!$AJ$5:$AJ$64,MATCH($F473,사건마스터!$A$5:$A$64,0)),""))</f>
        <v/>
      </c>
      <c r="N473" s="35">
        <f>IF($F473="","",IFERROR(INDEX(사건마스터!$AK$5:$AK$64,MATCH($F473,사건마스터!$A$5:$A$64,0)),""))</f>
        <v/>
      </c>
      <c r="O473" s="35">
        <f>IF($F473="","",IFERROR(INDEX(사건마스터!$AL$5:$AL$64,MATCH($F473,사건마스터!$A$5:$A$64,0)),""))</f>
        <v/>
      </c>
      <c r="P473" s="35">
        <f>IF($F473="","",IFERROR(INDEX(사건마스터!$AM$5:$AM$64,MATCH($F473,사건마스터!$A$5:$A$64,0)),""))</f>
        <v/>
      </c>
      <c r="Q473" s="35">
        <f>IF($F473="","",IFERROR(INDEX(사건마스터!$AN$5:$AN$64,MATCH($F473,사건마스터!$A$5:$A$64,0)),""))</f>
        <v/>
      </c>
      <c r="R473" s="35">
        <f>IF($F473="","",IFERROR(INDEX(사건마스터!$AO$5:$AO$64,MATCH($F473,사건마스터!$A$5:$A$64,0)),""))</f>
        <v/>
      </c>
      <c r="S473" s="35">
        <f>IF($F473="","",IFERROR(INDEX(사건마스터!$AP$5:$AP$64,MATCH($F473,사건마스터!$A$5:$A$64,0)),""))</f>
        <v/>
      </c>
      <c r="T473" s="35">
        <f>IF($F473="","",IFERROR(INDEX(사건마스터!$AQ$5:$AQ$64,MATCH($F473,사건마스터!$A$5:$A$64,0)),""))</f>
        <v/>
      </c>
      <c r="U473" s="35">
        <f>IF($F473="","",IFERROR(INDEX(사건마스터!$AR$5:$AR$64,MATCH($F473,사건마스터!$A$5:$A$64,0)),""))</f>
        <v/>
      </c>
      <c r="V473" s="35">
        <f>IF($F473="","",IFERROR(INDEX(사건마스터!$AS$5:$AS$64,MATCH($F473,사건마스터!$A$5:$A$64,0)),""))</f>
        <v/>
      </c>
      <c r="W473" s="35">
        <f>IF($F473="","",IFERROR(INDEX(사건마스터!$AT$5:$AT$64,MATCH($F473,사건마스터!$A$5:$A$64,0)),""))</f>
        <v/>
      </c>
      <c r="X473" s="35">
        <f>IF($F473="","",IFERROR(INDEX(사건마스터!$AU$5:$AU$64,MATCH($F473,사건마스터!$A$5:$A$64,0)),""))</f>
        <v/>
      </c>
      <c r="Y473" s="35">
        <f>IF($F473="","",IFERROR(INDEX(사건마스터!$AV$5:$AV$64,MATCH($F473,사건마스터!$A$5:$A$64,0)),""))</f>
        <v/>
      </c>
      <c r="Z473" s="30">
        <f>IF(COUNTBLANK($J473:$Y473)=16,"",16-COUNTBLANK($J473:$Y473))</f>
        <v/>
      </c>
      <c r="AA473" s="33">
        <f>IF($J473="",MID($AX473,3,255),$J473&amp;$AX473)</f>
        <v/>
      </c>
      <c r="AB473" s="34">
        <f>IF($J473="","",IFERROR(INDEX(코드설정!$D$5:$D$24,MATCH($J473,코드설정!$C$5:$C$24,0)),""))</f>
        <v/>
      </c>
      <c r="AC473" s="36" t="n"/>
      <c r="AD473" s="37" t="n"/>
      <c r="AE473" s="38" t="n"/>
      <c r="AF473" s="30">
        <f>IF(OR($B473="",$C473=""),"",$C473-$B473+1)</f>
        <v/>
      </c>
      <c r="AG473" s="32" t="n"/>
      <c r="AH473" s="36" t="n"/>
      <c r="AJ473">
        <f>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  <c r="AX473">
        <f>AW473&amp;IF($Y473="","",", "&amp;$Y473)</f>
        <v/>
      </c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0">
        <f>IF($F474="","",COUNTIF($F$5:$F474,$F474))</f>
        <v/>
      </c>
      <c r="H474" s="33">
        <f>IF($F474="","",IFERROR(INDEX(사건마스터!$B$5:$B$64,MATCH($F474,사건마스터!$A$5:$A$64,0)),""))</f>
        <v/>
      </c>
      <c r="I474" s="34">
        <f>IF($F474="","",IFERROR(INDEX(사건마스터!$C$5:$C$64,MATCH($F474,사건마스터!$A$5:$A$64,0)),""))</f>
        <v/>
      </c>
      <c r="J474" s="35">
        <f>IF($F474="","",IFERROR(INDEX(사건마스터!$H$5:$H$64,MATCH($F474,사건마스터!$A$5:$A$64,0)),""))</f>
        <v/>
      </c>
      <c r="K474" s="35">
        <f>IF($F474="","",IFERROR(INDEX(사건마스터!$AH$5:$AH$64,MATCH($F474,사건마스터!$A$5:$A$64,0)),""))</f>
        <v/>
      </c>
      <c r="L474" s="35">
        <f>IF($F474="","",IFERROR(INDEX(사건마스터!$AI$5:$AI$64,MATCH($F474,사건마스터!$A$5:$A$64,0)),""))</f>
        <v/>
      </c>
      <c r="M474" s="35">
        <f>IF($F474="","",IFERROR(INDEX(사건마스터!$AJ$5:$AJ$64,MATCH($F474,사건마스터!$A$5:$A$64,0)),""))</f>
        <v/>
      </c>
      <c r="N474" s="35">
        <f>IF($F474="","",IFERROR(INDEX(사건마스터!$AK$5:$AK$64,MATCH($F474,사건마스터!$A$5:$A$64,0)),""))</f>
        <v/>
      </c>
      <c r="O474" s="35">
        <f>IF($F474="","",IFERROR(INDEX(사건마스터!$AL$5:$AL$64,MATCH($F474,사건마스터!$A$5:$A$64,0)),""))</f>
        <v/>
      </c>
      <c r="P474" s="35">
        <f>IF($F474="","",IFERROR(INDEX(사건마스터!$AM$5:$AM$64,MATCH($F474,사건마스터!$A$5:$A$64,0)),""))</f>
        <v/>
      </c>
      <c r="Q474" s="35">
        <f>IF($F474="","",IFERROR(INDEX(사건마스터!$AN$5:$AN$64,MATCH($F474,사건마스터!$A$5:$A$64,0)),""))</f>
        <v/>
      </c>
      <c r="R474" s="35">
        <f>IF($F474="","",IFERROR(INDEX(사건마스터!$AO$5:$AO$64,MATCH($F474,사건마스터!$A$5:$A$64,0)),""))</f>
        <v/>
      </c>
      <c r="S474" s="35">
        <f>IF($F474="","",IFERROR(INDEX(사건마스터!$AP$5:$AP$64,MATCH($F474,사건마스터!$A$5:$A$64,0)),""))</f>
        <v/>
      </c>
      <c r="T474" s="35">
        <f>IF($F474="","",IFERROR(INDEX(사건마스터!$AQ$5:$AQ$64,MATCH($F474,사건마스터!$A$5:$A$64,0)),""))</f>
        <v/>
      </c>
      <c r="U474" s="35">
        <f>IF($F474="","",IFERROR(INDEX(사건마스터!$AR$5:$AR$64,MATCH($F474,사건마스터!$A$5:$A$64,0)),""))</f>
        <v/>
      </c>
      <c r="V474" s="35">
        <f>IF($F474="","",IFERROR(INDEX(사건마스터!$AS$5:$AS$64,MATCH($F474,사건마스터!$A$5:$A$64,0)),""))</f>
        <v/>
      </c>
      <c r="W474" s="35">
        <f>IF($F474="","",IFERROR(INDEX(사건마스터!$AT$5:$AT$64,MATCH($F474,사건마스터!$A$5:$A$64,0)),""))</f>
        <v/>
      </c>
      <c r="X474" s="35">
        <f>IF($F474="","",IFERROR(INDEX(사건마스터!$AU$5:$AU$64,MATCH($F474,사건마스터!$A$5:$A$64,0)),""))</f>
        <v/>
      </c>
      <c r="Y474" s="35">
        <f>IF($F474="","",IFERROR(INDEX(사건마스터!$AV$5:$AV$64,MATCH($F474,사건마스터!$A$5:$A$64,0)),""))</f>
        <v/>
      </c>
      <c r="Z474" s="30">
        <f>IF(COUNTBLANK($J474:$Y474)=16,"",16-COUNTBLANK($J474:$Y474))</f>
        <v/>
      </c>
      <c r="AA474" s="33">
        <f>IF($J474="",MID($AX474,3,255),$J474&amp;$AX474)</f>
        <v/>
      </c>
      <c r="AB474" s="34">
        <f>IF($J474="","",IFERROR(INDEX(코드설정!$D$5:$D$24,MATCH($J474,코드설정!$C$5:$C$24,0)),""))</f>
        <v/>
      </c>
      <c r="AC474" s="36" t="n"/>
      <c r="AD474" s="37" t="n"/>
      <c r="AE474" s="38" t="n"/>
      <c r="AF474" s="30">
        <f>IF(OR($B474="",$C474=""),"",$C474-$B474+1)</f>
        <v/>
      </c>
      <c r="AG474" s="32" t="n"/>
      <c r="AH474" s="36" t="n"/>
      <c r="AJ474">
        <f>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  <c r="AX474">
        <f>AW474&amp;IF($Y474="","",", "&amp;$Y474)</f>
        <v/>
      </c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0">
        <f>IF($F475="","",COUNTIF($F$5:$F475,$F475))</f>
        <v/>
      </c>
      <c r="H475" s="33">
        <f>IF($F475="","",IFERROR(INDEX(사건마스터!$B$5:$B$64,MATCH($F475,사건마스터!$A$5:$A$64,0)),""))</f>
        <v/>
      </c>
      <c r="I475" s="34">
        <f>IF($F475="","",IFERROR(INDEX(사건마스터!$C$5:$C$64,MATCH($F475,사건마스터!$A$5:$A$64,0)),""))</f>
        <v/>
      </c>
      <c r="J475" s="35">
        <f>IF($F475="","",IFERROR(INDEX(사건마스터!$H$5:$H$64,MATCH($F475,사건마스터!$A$5:$A$64,0)),""))</f>
        <v/>
      </c>
      <c r="K475" s="35">
        <f>IF($F475="","",IFERROR(INDEX(사건마스터!$AH$5:$AH$64,MATCH($F475,사건마스터!$A$5:$A$64,0)),""))</f>
        <v/>
      </c>
      <c r="L475" s="35">
        <f>IF($F475="","",IFERROR(INDEX(사건마스터!$AI$5:$AI$64,MATCH($F475,사건마스터!$A$5:$A$64,0)),""))</f>
        <v/>
      </c>
      <c r="M475" s="35">
        <f>IF($F475="","",IFERROR(INDEX(사건마스터!$AJ$5:$AJ$64,MATCH($F475,사건마스터!$A$5:$A$64,0)),""))</f>
        <v/>
      </c>
      <c r="N475" s="35">
        <f>IF($F475="","",IFERROR(INDEX(사건마스터!$AK$5:$AK$64,MATCH($F475,사건마스터!$A$5:$A$64,0)),""))</f>
        <v/>
      </c>
      <c r="O475" s="35">
        <f>IF($F475="","",IFERROR(INDEX(사건마스터!$AL$5:$AL$64,MATCH($F475,사건마스터!$A$5:$A$64,0)),""))</f>
        <v/>
      </c>
      <c r="P475" s="35">
        <f>IF($F475="","",IFERROR(INDEX(사건마스터!$AM$5:$AM$64,MATCH($F475,사건마스터!$A$5:$A$64,0)),""))</f>
        <v/>
      </c>
      <c r="Q475" s="35">
        <f>IF($F475="","",IFERROR(INDEX(사건마스터!$AN$5:$AN$64,MATCH($F475,사건마스터!$A$5:$A$64,0)),""))</f>
        <v/>
      </c>
      <c r="R475" s="35">
        <f>IF($F475="","",IFERROR(INDEX(사건마스터!$AO$5:$AO$64,MATCH($F475,사건마스터!$A$5:$A$64,0)),""))</f>
        <v/>
      </c>
      <c r="S475" s="35">
        <f>IF($F475="","",IFERROR(INDEX(사건마스터!$AP$5:$AP$64,MATCH($F475,사건마스터!$A$5:$A$64,0)),""))</f>
        <v/>
      </c>
      <c r="T475" s="35">
        <f>IF($F475="","",IFERROR(INDEX(사건마스터!$AQ$5:$AQ$64,MATCH($F475,사건마스터!$A$5:$A$64,0)),""))</f>
        <v/>
      </c>
      <c r="U475" s="35">
        <f>IF($F475="","",IFERROR(INDEX(사건마스터!$AR$5:$AR$64,MATCH($F475,사건마스터!$A$5:$A$64,0)),""))</f>
        <v/>
      </c>
      <c r="V475" s="35">
        <f>IF($F475="","",IFERROR(INDEX(사건마스터!$AS$5:$AS$64,MATCH($F475,사건마스터!$A$5:$A$64,0)),""))</f>
        <v/>
      </c>
      <c r="W475" s="35">
        <f>IF($F475="","",IFERROR(INDEX(사건마스터!$AT$5:$AT$64,MATCH($F475,사건마스터!$A$5:$A$64,0)),""))</f>
        <v/>
      </c>
      <c r="X475" s="35">
        <f>IF($F475="","",IFERROR(INDEX(사건마스터!$AU$5:$AU$64,MATCH($F475,사건마스터!$A$5:$A$64,0)),""))</f>
        <v/>
      </c>
      <c r="Y475" s="35">
        <f>IF($F475="","",IFERROR(INDEX(사건마스터!$AV$5:$AV$64,MATCH($F475,사건마스터!$A$5:$A$64,0)),""))</f>
        <v/>
      </c>
      <c r="Z475" s="30">
        <f>IF(COUNTBLANK($J475:$Y475)=16,"",16-COUNTBLANK($J475:$Y475))</f>
        <v/>
      </c>
      <c r="AA475" s="33">
        <f>IF($J475="",MID($AX475,3,255),$J475&amp;$AX475)</f>
        <v/>
      </c>
      <c r="AB475" s="34">
        <f>IF($J475="","",IFERROR(INDEX(코드설정!$D$5:$D$24,MATCH($J475,코드설정!$C$5:$C$24,0)),""))</f>
        <v/>
      </c>
      <c r="AC475" s="36" t="n"/>
      <c r="AD475" s="37" t="n"/>
      <c r="AE475" s="38" t="n"/>
      <c r="AF475" s="30">
        <f>IF(OR($B475="",$C475=""),"",$C475-$B475+1)</f>
        <v/>
      </c>
      <c r="AG475" s="32" t="n"/>
      <c r="AH475" s="36" t="n"/>
      <c r="AJ475">
        <f>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  <c r="AX475">
        <f>AW475&amp;IF($Y475="","",", "&amp;$Y475)</f>
        <v/>
      </c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0">
        <f>IF($F476="","",COUNTIF($F$5:$F476,$F476))</f>
        <v/>
      </c>
      <c r="H476" s="33">
        <f>IF($F476="","",IFERROR(INDEX(사건마스터!$B$5:$B$64,MATCH($F476,사건마스터!$A$5:$A$64,0)),""))</f>
        <v/>
      </c>
      <c r="I476" s="34">
        <f>IF($F476="","",IFERROR(INDEX(사건마스터!$C$5:$C$64,MATCH($F476,사건마스터!$A$5:$A$64,0)),""))</f>
        <v/>
      </c>
      <c r="J476" s="35">
        <f>IF($F476="","",IFERROR(INDEX(사건마스터!$H$5:$H$64,MATCH($F476,사건마스터!$A$5:$A$64,0)),""))</f>
        <v/>
      </c>
      <c r="K476" s="35">
        <f>IF($F476="","",IFERROR(INDEX(사건마스터!$AH$5:$AH$64,MATCH($F476,사건마스터!$A$5:$A$64,0)),""))</f>
        <v/>
      </c>
      <c r="L476" s="35">
        <f>IF($F476="","",IFERROR(INDEX(사건마스터!$AI$5:$AI$64,MATCH($F476,사건마스터!$A$5:$A$64,0)),""))</f>
        <v/>
      </c>
      <c r="M476" s="35">
        <f>IF($F476="","",IFERROR(INDEX(사건마스터!$AJ$5:$AJ$64,MATCH($F476,사건마스터!$A$5:$A$64,0)),""))</f>
        <v/>
      </c>
      <c r="N476" s="35">
        <f>IF($F476="","",IFERROR(INDEX(사건마스터!$AK$5:$AK$64,MATCH($F476,사건마스터!$A$5:$A$64,0)),""))</f>
        <v/>
      </c>
      <c r="O476" s="35">
        <f>IF($F476="","",IFERROR(INDEX(사건마스터!$AL$5:$AL$64,MATCH($F476,사건마스터!$A$5:$A$64,0)),""))</f>
        <v/>
      </c>
      <c r="P476" s="35">
        <f>IF($F476="","",IFERROR(INDEX(사건마스터!$AM$5:$AM$64,MATCH($F476,사건마스터!$A$5:$A$64,0)),""))</f>
        <v/>
      </c>
      <c r="Q476" s="35">
        <f>IF($F476="","",IFERROR(INDEX(사건마스터!$AN$5:$AN$64,MATCH($F476,사건마스터!$A$5:$A$64,0)),""))</f>
        <v/>
      </c>
      <c r="R476" s="35">
        <f>IF($F476="","",IFERROR(INDEX(사건마스터!$AO$5:$AO$64,MATCH($F476,사건마스터!$A$5:$A$64,0)),""))</f>
        <v/>
      </c>
      <c r="S476" s="35">
        <f>IF($F476="","",IFERROR(INDEX(사건마스터!$AP$5:$AP$64,MATCH($F476,사건마스터!$A$5:$A$64,0)),""))</f>
        <v/>
      </c>
      <c r="T476" s="35">
        <f>IF($F476="","",IFERROR(INDEX(사건마스터!$AQ$5:$AQ$64,MATCH($F476,사건마스터!$A$5:$A$64,0)),""))</f>
        <v/>
      </c>
      <c r="U476" s="35">
        <f>IF($F476="","",IFERROR(INDEX(사건마스터!$AR$5:$AR$64,MATCH($F476,사건마스터!$A$5:$A$64,0)),""))</f>
        <v/>
      </c>
      <c r="V476" s="35">
        <f>IF($F476="","",IFERROR(INDEX(사건마스터!$AS$5:$AS$64,MATCH($F476,사건마스터!$A$5:$A$64,0)),""))</f>
        <v/>
      </c>
      <c r="W476" s="35">
        <f>IF($F476="","",IFERROR(INDEX(사건마스터!$AT$5:$AT$64,MATCH($F476,사건마스터!$A$5:$A$64,0)),""))</f>
        <v/>
      </c>
      <c r="X476" s="35">
        <f>IF($F476="","",IFERROR(INDEX(사건마스터!$AU$5:$AU$64,MATCH($F476,사건마스터!$A$5:$A$64,0)),""))</f>
        <v/>
      </c>
      <c r="Y476" s="35">
        <f>IF($F476="","",IFERROR(INDEX(사건마스터!$AV$5:$AV$64,MATCH($F476,사건마스터!$A$5:$A$64,0)),""))</f>
        <v/>
      </c>
      <c r="Z476" s="30">
        <f>IF(COUNTBLANK($J476:$Y476)=16,"",16-COUNTBLANK($J476:$Y476))</f>
        <v/>
      </c>
      <c r="AA476" s="33">
        <f>IF($J476="",MID($AX476,3,255),$J476&amp;$AX476)</f>
        <v/>
      </c>
      <c r="AB476" s="34">
        <f>IF($J476="","",IFERROR(INDEX(코드설정!$D$5:$D$24,MATCH($J476,코드설정!$C$5:$C$24,0)),""))</f>
        <v/>
      </c>
      <c r="AC476" s="36" t="n"/>
      <c r="AD476" s="37" t="n"/>
      <c r="AE476" s="38" t="n"/>
      <c r="AF476" s="30">
        <f>IF(OR($B476="",$C476=""),"",$C476-$B476+1)</f>
        <v/>
      </c>
      <c r="AG476" s="32" t="n"/>
      <c r="AH476" s="36" t="n"/>
      <c r="AJ476">
        <f>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  <c r="AX476">
        <f>AW476&amp;IF($Y476="","",", "&amp;$Y476)</f>
        <v/>
      </c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0">
        <f>IF($F477="","",COUNTIF($F$5:$F477,$F477))</f>
        <v/>
      </c>
      <c r="H477" s="33">
        <f>IF($F477="","",IFERROR(INDEX(사건마스터!$B$5:$B$64,MATCH($F477,사건마스터!$A$5:$A$64,0)),""))</f>
        <v/>
      </c>
      <c r="I477" s="34">
        <f>IF($F477="","",IFERROR(INDEX(사건마스터!$C$5:$C$64,MATCH($F477,사건마스터!$A$5:$A$64,0)),""))</f>
        <v/>
      </c>
      <c r="J477" s="35">
        <f>IF($F477="","",IFERROR(INDEX(사건마스터!$H$5:$H$64,MATCH($F477,사건마스터!$A$5:$A$64,0)),""))</f>
        <v/>
      </c>
      <c r="K477" s="35">
        <f>IF($F477="","",IFERROR(INDEX(사건마스터!$AH$5:$AH$64,MATCH($F477,사건마스터!$A$5:$A$64,0)),""))</f>
        <v/>
      </c>
      <c r="L477" s="35">
        <f>IF($F477="","",IFERROR(INDEX(사건마스터!$AI$5:$AI$64,MATCH($F477,사건마스터!$A$5:$A$64,0)),""))</f>
        <v/>
      </c>
      <c r="M477" s="35">
        <f>IF($F477="","",IFERROR(INDEX(사건마스터!$AJ$5:$AJ$64,MATCH($F477,사건마스터!$A$5:$A$64,0)),""))</f>
        <v/>
      </c>
      <c r="N477" s="35">
        <f>IF($F477="","",IFERROR(INDEX(사건마스터!$AK$5:$AK$64,MATCH($F477,사건마스터!$A$5:$A$64,0)),""))</f>
        <v/>
      </c>
      <c r="O477" s="35">
        <f>IF($F477="","",IFERROR(INDEX(사건마스터!$AL$5:$AL$64,MATCH($F477,사건마스터!$A$5:$A$64,0)),""))</f>
        <v/>
      </c>
      <c r="P477" s="35">
        <f>IF($F477="","",IFERROR(INDEX(사건마스터!$AM$5:$AM$64,MATCH($F477,사건마스터!$A$5:$A$64,0)),""))</f>
        <v/>
      </c>
      <c r="Q477" s="35">
        <f>IF($F477="","",IFERROR(INDEX(사건마스터!$AN$5:$AN$64,MATCH($F477,사건마스터!$A$5:$A$64,0)),""))</f>
        <v/>
      </c>
      <c r="R477" s="35">
        <f>IF($F477="","",IFERROR(INDEX(사건마스터!$AO$5:$AO$64,MATCH($F477,사건마스터!$A$5:$A$64,0)),""))</f>
        <v/>
      </c>
      <c r="S477" s="35">
        <f>IF($F477="","",IFERROR(INDEX(사건마스터!$AP$5:$AP$64,MATCH($F477,사건마스터!$A$5:$A$64,0)),""))</f>
        <v/>
      </c>
      <c r="T477" s="35">
        <f>IF($F477="","",IFERROR(INDEX(사건마스터!$AQ$5:$AQ$64,MATCH($F477,사건마스터!$A$5:$A$64,0)),""))</f>
        <v/>
      </c>
      <c r="U477" s="35">
        <f>IF($F477="","",IFERROR(INDEX(사건마스터!$AR$5:$AR$64,MATCH($F477,사건마스터!$A$5:$A$64,0)),""))</f>
        <v/>
      </c>
      <c r="V477" s="35">
        <f>IF($F477="","",IFERROR(INDEX(사건마스터!$AS$5:$AS$64,MATCH($F477,사건마스터!$A$5:$A$64,0)),""))</f>
        <v/>
      </c>
      <c r="W477" s="35">
        <f>IF($F477="","",IFERROR(INDEX(사건마스터!$AT$5:$AT$64,MATCH($F477,사건마스터!$A$5:$A$64,0)),""))</f>
        <v/>
      </c>
      <c r="X477" s="35">
        <f>IF($F477="","",IFERROR(INDEX(사건마스터!$AU$5:$AU$64,MATCH($F477,사건마스터!$A$5:$A$64,0)),""))</f>
        <v/>
      </c>
      <c r="Y477" s="35">
        <f>IF($F477="","",IFERROR(INDEX(사건마스터!$AV$5:$AV$64,MATCH($F477,사건마스터!$A$5:$A$64,0)),""))</f>
        <v/>
      </c>
      <c r="Z477" s="30">
        <f>IF(COUNTBLANK($J477:$Y477)=16,"",16-COUNTBLANK($J477:$Y477))</f>
        <v/>
      </c>
      <c r="AA477" s="33">
        <f>IF($J477="",MID($AX477,3,255),$J477&amp;$AX477)</f>
        <v/>
      </c>
      <c r="AB477" s="34">
        <f>IF($J477="","",IFERROR(INDEX(코드설정!$D$5:$D$24,MATCH($J477,코드설정!$C$5:$C$24,0)),""))</f>
        <v/>
      </c>
      <c r="AC477" s="36" t="n"/>
      <c r="AD477" s="37" t="n"/>
      <c r="AE477" s="38" t="n"/>
      <c r="AF477" s="30">
        <f>IF(OR($B477="",$C477=""),"",$C477-$B477+1)</f>
        <v/>
      </c>
      <c r="AG477" s="32" t="n"/>
      <c r="AH477" s="36" t="n"/>
      <c r="AJ477">
        <f>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  <c r="AX477">
        <f>AW477&amp;IF($Y477="","",", "&amp;$Y477)</f>
        <v/>
      </c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0">
        <f>IF($F478="","",COUNTIF($F$5:$F478,$F478))</f>
        <v/>
      </c>
      <c r="H478" s="33">
        <f>IF($F478="","",IFERROR(INDEX(사건마스터!$B$5:$B$64,MATCH($F478,사건마스터!$A$5:$A$64,0)),""))</f>
        <v/>
      </c>
      <c r="I478" s="34">
        <f>IF($F478="","",IFERROR(INDEX(사건마스터!$C$5:$C$64,MATCH($F478,사건마스터!$A$5:$A$64,0)),""))</f>
        <v/>
      </c>
      <c r="J478" s="35">
        <f>IF($F478="","",IFERROR(INDEX(사건마스터!$H$5:$H$64,MATCH($F478,사건마스터!$A$5:$A$64,0)),""))</f>
        <v/>
      </c>
      <c r="K478" s="35">
        <f>IF($F478="","",IFERROR(INDEX(사건마스터!$AH$5:$AH$64,MATCH($F478,사건마스터!$A$5:$A$64,0)),""))</f>
        <v/>
      </c>
      <c r="L478" s="35">
        <f>IF($F478="","",IFERROR(INDEX(사건마스터!$AI$5:$AI$64,MATCH($F478,사건마스터!$A$5:$A$64,0)),""))</f>
        <v/>
      </c>
      <c r="M478" s="35">
        <f>IF($F478="","",IFERROR(INDEX(사건마스터!$AJ$5:$AJ$64,MATCH($F478,사건마스터!$A$5:$A$64,0)),""))</f>
        <v/>
      </c>
      <c r="N478" s="35">
        <f>IF($F478="","",IFERROR(INDEX(사건마스터!$AK$5:$AK$64,MATCH($F478,사건마스터!$A$5:$A$64,0)),""))</f>
        <v/>
      </c>
      <c r="O478" s="35">
        <f>IF($F478="","",IFERROR(INDEX(사건마스터!$AL$5:$AL$64,MATCH($F478,사건마스터!$A$5:$A$64,0)),""))</f>
        <v/>
      </c>
      <c r="P478" s="35">
        <f>IF($F478="","",IFERROR(INDEX(사건마스터!$AM$5:$AM$64,MATCH($F478,사건마스터!$A$5:$A$64,0)),""))</f>
        <v/>
      </c>
      <c r="Q478" s="35">
        <f>IF($F478="","",IFERROR(INDEX(사건마스터!$AN$5:$AN$64,MATCH($F478,사건마스터!$A$5:$A$64,0)),""))</f>
        <v/>
      </c>
      <c r="R478" s="35">
        <f>IF($F478="","",IFERROR(INDEX(사건마스터!$AO$5:$AO$64,MATCH($F478,사건마스터!$A$5:$A$64,0)),""))</f>
        <v/>
      </c>
      <c r="S478" s="35">
        <f>IF($F478="","",IFERROR(INDEX(사건마스터!$AP$5:$AP$64,MATCH($F478,사건마스터!$A$5:$A$64,0)),""))</f>
        <v/>
      </c>
      <c r="T478" s="35">
        <f>IF($F478="","",IFERROR(INDEX(사건마스터!$AQ$5:$AQ$64,MATCH($F478,사건마스터!$A$5:$A$64,0)),""))</f>
        <v/>
      </c>
      <c r="U478" s="35">
        <f>IF($F478="","",IFERROR(INDEX(사건마스터!$AR$5:$AR$64,MATCH($F478,사건마스터!$A$5:$A$64,0)),""))</f>
        <v/>
      </c>
      <c r="V478" s="35">
        <f>IF($F478="","",IFERROR(INDEX(사건마스터!$AS$5:$AS$64,MATCH($F478,사건마스터!$A$5:$A$64,0)),""))</f>
        <v/>
      </c>
      <c r="W478" s="35">
        <f>IF($F478="","",IFERROR(INDEX(사건마스터!$AT$5:$AT$64,MATCH($F478,사건마스터!$A$5:$A$64,0)),""))</f>
        <v/>
      </c>
      <c r="X478" s="35">
        <f>IF($F478="","",IFERROR(INDEX(사건마스터!$AU$5:$AU$64,MATCH($F478,사건마스터!$A$5:$A$64,0)),""))</f>
        <v/>
      </c>
      <c r="Y478" s="35">
        <f>IF($F478="","",IFERROR(INDEX(사건마스터!$AV$5:$AV$64,MATCH($F478,사건마스터!$A$5:$A$64,0)),""))</f>
        <v/>
      </c>
      <c r="Z478" s="30">
        <f>IF(COUNTBLANK($J478:$Y478)=16,"",16-COUNTBLANK($J478:$Y478))</f>
        <v/>
      </c>
      <c r="AA478" s="33">
        <f>IF($J478="",MID($AX478,3,255),$J478&amp;$AX478)</f>
        <v/>
      </c>
      <c r="AB478" s="34">
        <f>IF($J478="","",IFERROR(INDEX(코드설정!$D$5:$D$24,MATCH($J478,코드설정!$C$5:$C$24,0)),""))</f>
        <v/>
      </c>
      <c r="AC478" s="36" t="n"/>
      <c r="AD478" s="37" t="n"/>
      <c r="AE478" s="38" t="n"/>
      <c r="AF478" s="30">
        <f>IF(OR($B478="",$C478=""),"",$C478-$B478+1)</f>
        <v/>
      </c>
      <c r="AG478" s="32" t="n"/>
      <c r="AH478" s="36" t="n"/>
      <c r="AJ478">
        <f>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  <c r="AX478">
        <f>AW478&amp;IF($Y478="","",", "&amp;$Y478)</f>
        <v/>
      </c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0">
        <f>IF($F479="","",COUNTIF($F$5:$F479,$F479))</f>
        <v/>
      </c>
      <c r="H479" s="33">
        <f>IF($F479="","",IFERROR(INDEX(사건마스터!$B$5:$B$64,MATCH($F479,사건마스터!$A$5:$A$64,0)),""))</f>
        <v/>
      </c>
      <c r="I479" s="34">
        <f>IF($F479="","",IFERROR(INDEX(사건마스터!$C$5:$C$64,MATCH($F479,사건마스터!$A$5:$A$64,0)),""))</f>
        <v/>
      </c>
      <c r="J479" s="35">
        <f>IF($F479="","",IFERROR(INDEX(사건마스터!$H$5:$H$64,MATCH($F479,사건마스터!$A$5:$A$64,0)),""))</f>
        <v/>
      </c>
      <c r="K479" s="35">
        <f>IF($F479="","",IFERROR(INDEX(사건마스터!$AH$5:$AH$64,MATCH($F479,사건마스터!$A$5:$A$64,0)),""))</f>
        <v/>
      </c>
      <c r="L479" s="35">
        <f>IF($F479="","",IFERROR(INDEX(사건마스터!$AI$5:$AI$64,MATCH($F479,사건마스터!$A$5:$A$64,0)),""))</f>
        <v/>
      </c>
      <c r="M479" s="35">
        <f>IF($F479="","",IFERROR(INDEX(사건마스터!$AJ$5:$AJ$64,MATCH($F479,사건마스터!$A$5:$A$64,0)),""))</f>
        <v/>
      </c>
      <c r="N479" s="35">
        <f>IF($F479="","",IFERROR(INDEX(사건마스터!$AK$5:$AK$64,MATCH($F479,사건마스터!$A$5:$A$64,0)),""))</f>
        <v/>
      </c>
      <c r="O479" s="35">
        <f>IF($F479="","",IFERROR(INDEX(사건마스터!$AL$5:$AL$64,MATCH($F479,사건마스터!$A$5:$A$64,0)),""))</f>
        <v/>
      </c>
      <c r="P479" s="35">
        <f>IF($F479="","",IFERROR(INDEX(사건마스터!$AM$5:$AM$64,MATCH($F479,사건마스터!$A$5:$A$64,0)),""))</f>
        <v/>
      </c>
      <c r="Q479" s="35">
        <f>IF($F479="","",IFERROR(INDEX(사건마스터!$AN$5:$AN$64,MATCH($F479,사건마스터!$A$5:$A$64,0)),""))</f>
        <v/>
      </c>
      <c r="R479" s="35">
        <f>IF($F479="","",IFERROR(INDEX(사건마스터!$AO$5:$AO$64,MATCH($F479,사건마스터!$A$5:$A$64,0)),""))</f>
        <v/>
      </c>
      <c r="S479" s="35">
        <f>IF($F479="","",IFERROR(INDEX(사건마스터!$AP$5:$AP$64,MATCH($F479,사건마스터!$A$5:$A$64,0)),""))</f>
        <v/>
      </c>
      <c r="T479" s="35">
        <f>IF($F479="","",IFERROR(INDEX(사건마스터!$AQ$5:$AQ$64,MATCH($F479,사건마스터!$A$5:$A$64,0)),""))</f>
        <v/>
      </c>
      <c r="U479" s="35">
        <f>IF($F479="","",IFERROR(INDEX(사건마스터!$AR$5:$AR$64,MATCH($F479,사건마스터!$A$5:$A$64,0)),""))</f>
        <v/>
      </c>
      <c r="V479" s="35">
        <f>IF($F479="","",IFERROR(INDEX(사건마스터!$AS$5:$AS$64,MATCH($F479,사건마스터!$A$5:$A$64,0)),""))</f>
        <v/>
      </c>
      <c r="W479" s="35">
        <f>IF($F479="","",IFERROR(INDEX(사건마스터!$AT$5:$AT$64,MATCH($F479,사건마스터!$A$5:$A$64,0)),""))</f>
        <v/>
      </c>
      <c r="X479" s="35">
        <f>IF($F479="","",IFERROR(INDEX(사건마스터!$AU$5:$AU$64,MATCH($F479,사건마스터!$A$5:$A$64,0)),""))</f>
        <v/>
      </c>
      <c r="Y479" s="35">
        <f>IF($F479="","",IFERROR(INDEX(사건마스터!$AV$5:$AV$64,MATCH($F479,사건마스터!$A$5:$A$64,0)),""))</f>
        <v/>
      </c>
      <c r="Z479" s="30">
        <f>IF(COUNTBLANK($J479:$Y479)=16,"",16-COUNTBLANK($J479:$Y479))</f>
        <v/>
      </c>
      <c r="AA479" s="33">
        <f>IF($J479="",MID($AX479,3,255),$J479&amp;$AX479)</f>
        <v/>
      </c>
      <c r="AB479" s="34">
        <f>IF($J479="","",IFERROR(INDEX(코드설정!$D$5:$D$24,MATCH($J479,코드설정!$C$5:$C$24,0)),""))</f>
        <v/>
      </c>
      <c r="AC479" s="36" t="n"/>
      <c r="AD479" s="37" t="n"/>
      <c r="AE479" s="38" t="n"/>
      <c r="AF479" s="30">
        <f>IF(OR($B479="",$C479=""),"",$C479-$B479+1)</f>
        <v/>
      </c>
      <c r="AG479" s="32" t="n"/>
      <c r="AH479" s="36" t="n"/>
      <c r="AJ479">
        <f>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  <c r="AX479">
        <f>AW479&amp;IF($Y479="","",", "&amp;$Y479)</f>
        <v/>
      </c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0">
        <f>IF($F480="","",COUNTIF($F$5:$F480,$F480))</f>
        <v/>
      </c>
      <c r="H480" s="33">
        <f>IF($F480="","",IFERROR(INDEX(사건마스터!$B$5:$B$64,MATCH($F480,사건마스터!$A$5:$A$64,0)),""))</f>
        <v/>
      </c>
      <c r="I480" s="34">
        <f>IF($F480="","",IFERROR(INDEX(사건마스터!$C$5:$C$64,MATCH($F480,사건마스터!$A$5:$A$64,0)),""))</f>
        <v/>
      </c>
      <c r="J480" s="35">
        <f>IF($F480="","",IFERROR(INDEX(사건마스터!$H$5:$H$64,MATCH($F480,사건마스터!$A$5:$A$64,0)),""))</f>
        <v/>
      </c>
      <c r="K480" s="35">
        <f>IF($F480="","",IFERROR(INDEX(사건마스터!$AH$5:$AH$64,MATCH($F480,사건마스터!$A$5:$A$64,0)),""))</f>
        <v/>
      </c>
      <c r="L480" s="35">
        <f>IF($F480="","",IFERROR(INDEX(사건마스터!$AI$5:$AI$64,MATCH($F480,사건마스터!$A$5:$A$64,0)),""))</f>
        <v/>
      </c>
      <c r="M480" s="35">
        <f>IF($F480="","",IFERROR(INDEX(사건마스터!$AJ$5:$AJ$64,MATCH($F480,사건마스터!$A$5:$A$64,0)),""))</f>
        <v/>
      </c>
      <c r="N480" s="35">
        <f>IF($F480="","",IFERROR(INDEX(사건마스터!$AK$5:$AK$64,MATCH($F480,사건마스터!$A$5:$A$64,0)),""))</f>
        <v/>
      </c>
      <c r="O480" s="35">
        <f>IF($F480="","",IFERROR(INDEX(사건마스터!$AL$5:$AL$64,MATCH($F480,사건마스터!$A$5:$A$64,0)),""))</f>
        <v/>
      </c>
      <c r="P480" s="35">
        <f>IF($F480="","",IFERROR(INDEX(사건마스터!$AM$5:$AM$64,MATCH($F480,사건마스터!$A$5:$A$64,0)),""))</f>
        <v/>
      </c>
      <c r="Q480" s="35">
        <f>IF($F480="","",IFERROR(INDEX(사건마스터!$AN$5:$AN$64,MATCH($F480,사건마스터!$A$5:$A$64,0)),""))</f>
        <v/>
      </c>
      <c r="R480" s="35">
        <f>IF($F480="","",IFERROR(INDEX(사건마스터!$AO$5:$AO$64,MATCH($F480,사건마스터!$A$5:$A$64,0)),""))</f>
        <v/>
      </c>
      <c r="S480" s="35">
        <f>IF($F480="","",IFERROR(INDEX(사건마스터!$AP$5:$AP$64,MATCH($F480,사건마스터!$A$5:$A$64,0)),""))</f>
        <v/>
      </c>
      <c r="T480" s="35">
        <f>IF($F480="","",IFERROR(INDEX(사건마스터!$AQ$5:$AQ$64,MATCH($F480,사건마스터!$A$5:$A$64,0)),""))</f>
        <v/>
      </c>
      <c r="U480" s="35">
        <f>IF($F480="","",IFERROR(INDEX(사건마스터!$AR$5:$AR$64,MATCH($F480,사건마스터!$A$5:$A$64,0)),""))</f>
        <v/>
      </c>
      <c r="V480" s="35">
        <f>IF($F480="","",IFERROR(INDEX(사건마스터!$AS$5:$AS$64,MATCH($F480,사건마스터!$A$5:$A$64,0)),""))</f>
        <v/>
      </c>
      <c r="W480" s="35">
        <f>IF($F480="","",IFERROR(INDEX(사건마스터!$AT$5:$AT$64,MATCH($F480,사건마스터!$A$5:$A$64,0)),""))</f>
        <v/>
      </c>
      <c r="X480" s="35">
        <f>IF($F480="","",IFERROR(INDEX(사건마스터!$AU$5:$AU$64,MATCH($F480,사건마스터!$A$5:$A$64,0)),""))</f>
        <v/>
      </c>
      <c r="Y480" s="35">
        <f>IF($F480="","",IFERROR(INDEX(사건마스터!$AV$5:$AV$64,MATCH($F480,사건마스터!$A$5:$A$64,0)),""))</f>
        <v/>
      </c>
      <c r="Z480" s="30">
        <f>IF(COUNTBLANK($J480:$Y480)=16,"",16-COUNTBLANK($J480:$Y480))</f>
        <v/>
      </c>
      <c r="AA480" s="33">
        <f>IF($J480="",MID($AX480,3,255),$J480&amp;$AX480)</f>
        <v/>
      </c>
      <c r="AB480" s="34">
        <f>IF($J480="","",IFERROR(INDEX(코드설정!$D$5:$D$24,MATCH($J480,코드설정!$C$5:$C$24,0)),""))</f>
        <v/>
      </c>
      <c r="AC480" s="36" t="n"/>
      <c r="AD480" s="37" t="n"/>
      <c r="AE480" s="38" t="n"/>
      <c r="AF480" s="30">
        <f>IF(OR($B480="",$C480=""),"",$C480-$B480+1)</f>
        <v/>
      </c>
      <c r="AG480" s="32" t="n"/>
      <c r="AH480" s="36" t="n"/>
      <c r="AJ480">
        <f>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  <c r="AX480">
        <f>AW480&amp;IF($Y480="","",", "&amp;$Y480)</f>
        <v/>
      </c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0">
        <f>IF($F481="","",COUNTIF($F$5:$F481,$F481))</f>
        <v/>
      </c>
      <c r="H481" s="33">
        <f>IF($F481="","",IFERROR(INDEX(사건마스터!$B$5:$B$64,MATCH($F481,사건마스터!$A$5:$A$64,0)),""))</f>
        <v/>
      </c>
      <c r="I481" s="34">
        <f>IF($F481="","",IFERROR(INDEX(사건마스터!$C$5:$C$64,MATCH($F481,사건마스터!$A$5:$A$64,0)),""))</f>
        <v/>
      </c>
      <c r="J481" s="35">
        <f>IF($F481="","",IFERROR(INDEX(사건마스터!$H$5:$H$64,MATCH($F481,사건마스터!$A$5:$A$64,0)),""))</f>
        <v/>
      </c>
      <c r="K481" s="35">
        <f>IF($F481="","",IFERROR(INDEX(사건마스터!$AH$5:$AH$64,MATCH($F481,사건마스터!$A$5:$A$64,0)),""))</f>
        <v/>
      </c>
      <c r="L481" s="35">
        <f>IF($F481="","",IFERROR(INDEX(사건마스터!$AI$5:$AI$64,MATCH($F481,사건마스터!$A$5:$A$64,0)),""))</f>
        <v/>
      </c>
      <c r="M481" s="35">
        <f>IF($F481="","",IFERROR(INDEX(사건마스터!$AJ$5:$AJ$64,MATCH($F481,사건마스터!$A$5:$A$64,0)),""))</f>
        <v/>
      </c>
      <c r="N481" s="35">
        <f>IF($F481="","",IFERROR(INDEX(사건마스터!$AK$5:$AK$64,MATCH($F481,사건마스터!$A$5:$A$64,0)),""))</f>
        <v/>
      </c>
      <c r="O481" s="35">
        <f>IF($F481="","",IFERROR(INDEX(사건마스터!$AL$5:$AL$64,MATCH($F481,사건마스터!$A$5:$A$64,0)),""))</f>
        <v/>
      </c>
      <c r="P481" s="35">
        <f>IF($F481="","",IFERROR(INDEX(사건마스터!$AM$5:$AM$64,MATCH($F481,사건마스터!$A$5:$A$64,0)),""))</f>
        <v/>
      </c>
      <c r="Q481" s="35">
        <f>IF($F481="","",IFERROR(INDEX(사건마스터!$AN$5:$AN$64,MATCH($F481,사건마스터!$A$5:$A$64,0)),""))</f>
        <v/>
      </c>
      <c r="R481" s="35">
        <f>IF($F481="","",IFERROR(INDEX(사건마스터!$AO$5:$AO$64,MATCH($F481,사건마스터!$A$5:$A$64,0)),""))</f>
        <v/>
      </c>
      <c r="S481" s="35">
        <f>IF($F481="","",IFERROR(INDEX(사건마스터!$AP$5:$AP$64,MATCH($F481,사건마스터!$A$5:$A$64,0)),""))</f>
        <v/>
      </c>
      <c r="T481" s="35">
        <f>IF($F481="","",IFERROR(INDEX(사건마스터!$AQ$5:$AQ$64,MATCH($F481,사건마스터!$A$5:$A$64,0)),""))</f>
        <v/>
      </c>
      <c r="U481" s="35">
        <f>IF($F481="","",IFERROR(INDEX(사건마스터!$AR$5:$AR$64,MATCH($F481,사건마스터!$A$5:$A$64,0)),""))</f>
        <v/>
      </c>
      <c r="V481" s="35">
        <f>IF($F481="","",IFERROR(INDEX(사건마스터!$AS$5:$AS$64,MATCH($F481,사건마스터!$A$5:$A$64,0)),""))</f>
        <v/>
      </c>
      <c r="W481" s="35">
        <f>IF($F481="","",IFERROR(INDEX(사건마스터!$AT$5:$AT$64,MATCH($F481,사건마스터!$A$5:$A$64,0)),""))</f>
        <v/>
      </c>
      <c r="X481" s="35">
        <f>IF($F481="","",IFERROR(INDEX(사건마스터!$AU$5:$AU$64,MATCH($F481,사건마스터!$A$5:$A$64,0)),""))</f>
        <v/>
      </c>
      <c r="Y481" s="35">
        <f>IF($F481="","",IFERROR(INDEX(사건마스터!$AV$5:$AV$64,MATCH($F481,사건마스터!$A$5:$A$64,0)),""))</f>
        <v/>
      </c>
      <c r="Z481" s="30">
        <f>IF(COUNTBLANK($J481:$Y481)=16,"",16-COUNTBLANK($J481:$Y481))</f>
        <v/>
      </c>
      <c r="AA481" s="33">
        <f>IF($J481="",MID($AX481,3,255),$J481&amp;$AX481)</f>
        <v/>
      </c>
      <c r="AB481" s="34">
        <f>IF($J481="","",IFERROR(INDEX(코드설정!$D$5:$D$24,MATCH($J481,코드설정!$C$5:$C$24,0)),""))</f>
        <v/>
      </c>
      <c r="AC481" s="36" t="n"/>
      <c r="AD481" s="37" t="n"/>
      <c r="AE481" s="38" t="n"/>
      <c r="AF481" s="30">
        <f>IF(OR($B481="",$C481=""),"",$C481-$B481+1)</f>
        <v/>
      </c>
      <c r="AG481" s="32" t="n"/>
      <c r="AH481" s="36" t="n"/>
      <c r="AJ481">
        <f>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  <c r="AX481">
        <f>AW481&amp;IF($Y481="","",", "&amp;$Y481)</f>
        <v/>
      </c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0">
        <f>IF($F482="","",COUNTIF($F$5:$F482,$F482))</f>
        <v/>
      </c>
      <c r="H482" s="33">
        <f>IF($F482="","",IFERROR(INDEX(사건마스터!$B$5:$B$64,MATCH($F482,사건마스터!$A$5:$A$64,0)),""))</f>
        <v/>
      </c>
      <c r="I482" s="34">
        <f>IF($F482="","",IFERROR(INDEX(사건마스터!$C$5:$C$64,MATCH($F482,사건마스터!$A$5:$A$64,0)),""))</f>
        <v/>
      </c>
      <c r="J482" s="35">
        <f>IF($F482="","",IFERROR(INDEX(사건마스터!$H$5:$H$64,MATCH($F482,사건마스터!$A$5:$A$64,0)),""))</f>
        <v/>
      </c>
      <c r="K482" s="35">
        <f>IF($F482="","",IFERROR(INDEX(사건마스터!$AH$5:$AH$64,MATCH($F482,사건마스터!$A$5:$A$64,0)),""))</f>
        <v/>
      </c>
      <c r="L482" s="35">
        <f>IF($F482="","",IFERROR(INDEX(사건마스터!$AI$5:$AI$64,MATCH($F482,사건마스터!$A$5:$A$64,0)),""))</f>
        <v/>
      </c>
      <c r="M482" s="35">
        <f>IF($F482="","",IFERROR(INDEX(사건마스터!$AJ$5:$AJ$64,MATCH($F482,사건마스터!$A$5:$A$64,0)),""))</f>
        <v/>
      </c>
      <c r="N482" s="35">
        <f>IF($F482="","",IFERROR(INDEX(사건마스터!$AK$5:$AK$64,MATCH($F482,사건마스터!$A$5:$A$64,0)),""))</f>
        <v/>
      </c>
      <c r="O482" s="35">
        <f>IF($F482="","",IFERROR(INDEX(사건마스터!$AL$5:$AL$64,MATCH($F482,사건마스터!$A$5:$A$64,0)),""))</f>
        <v/>
      </c>
      <c r="P482" s="35">
        <f>IF($F482="","",IFERROR(INDEX(사건마스터!$AM$5:$AM$64,MATCH($F482,사건마스터!$A$5:$A$64,0)),""))</f>
        <v/>
      </c>
      <c r="Q482" s="35">
        <f>IF($F482="","",IFERROR(INDEX(사건마스터!$AN$5:$AN$64,MATCH($F482,사건마스터!$A$5:$A$64,0)),""))</f>
        <v/>
      </c>
      <c r="R482" s="35">
        <f>IF($F482="","",IFERROR(INDEX(사건마스터!$AO$5:$AO$64,MATCH($F482,사건마스터!$A$5:$A$64,0)),""))</f>
        <v/>
      </c>
      <c r="S482" s="35">
        <f>IF($F482="","",IFERROR(INDEX(사건마스터!$AP$5:$AP$64,MATCH($F482,사건마스터!$A$5:$A$64,0)),""))</f>
        <v/>
      </c>
      <c r="T482" s="35">
        <f>IF($F482="","",IFERROR(INDEX(사건마스터!$AQ$5:$AQ$64,MATCH($F482,사건마스터!$A$5:$A$64,0)),""))</f>
        <v/>
      </c>
      <c r="U482" s="35">
        <f>IF($F482="","",IFERROR(INDEX(사건마스터!$AR$5:$AR$64,MATCH($F482,사건마스터!$A$5:$A$64,0)),""))</f>
        <v/>
      </c>
      <c r="V482" s="35">
        <f>IF($F482="","",IFERROR(INDEX(사건마스터!$AS$5:$AS$64,MATCH($F482,사건마스터!$A$5:$A$64,0)),""))</f>
        <v/>
      </c>
      <c r="W482" s="35">
        <f>IF($F482="","",IFERROR(INDEX(사건마스터!$AT$5:$AT$64,MATCH($F482,사건마스터!$A$5:$A$64,0)),""))</f>
        <v/>
      </c>
      <c r="X482" s="35">
        <f>IF($F482="","",IFERROR(INDEX(사건마스터!$AU$5:$AU$64,MATCH($F482,사건마스터!$A$5:$A$64,0)),""))</f>
        <v/>
      </c>
      <c r="Y482" s="35">
        <f>IF($F482="","",IFERROR(INDEX(사건마스터!$AV$5:$AV$64,MATCH($F482,사건마스터!$A$5:$A$64,0)),""))</f>
        <v/>
      </c>
      <c r="Z482" s="30">
        <f>IF(COUNTBLANK($J482:$Y482)=16,"",16-COUNTBLANK($J482:$Y482))</f>
        <v/>
      </c>
      <c r="AA482" s="33">
        <f>IF($J482="",MID($AX482,3,255),$J482&amp;$AX482)</f>
        <v/>
      </c>
      <c r="AB482" s="34">
        <f>IF($J482="","",IFERROR(INDEX(코드설정!$D$5:$D$24,MATCH($J482,코드설정!$C$5:$C$24,0)),""))</f>
        <v/>
      </c>
      <c r="AC482" s="36" t="n"/>
      <c r="AD482" s="37" t="n"/>
      <c r="AE482" s="38" t="n"/>
      <c r="AF482" s="30">
        <f>IF(OR($B482="",$C482=""),"",$C482-$B482+1)</f>
        <v/>
      </c>
      <c r="AG482" s="32" t="n"/>
      <c r="AH482" s="36" t="n"/>
      <c r="AJ482">
        <f>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  <c r="AX482">
        <f>AW482&amp;IF($Y482="","",", "&amp;$Y482)</f>
        <v/>
      </c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0">
        <f>IF($F483="","",COUNTIF($F$5:$F483,$F483))</f>
        <v/>
      </c>
      <c r="H483" s="33">
        <f>IF($F483="","",IFERROR(INDEX(사건마스터!$B$5:$B$64,MATCH($F483,사건마스터!$A$5:$A$64,0)),""))</f>
        <v/>
      </c>
      <c r="I483" s="34">
        <f>IF($F483="","",IFERROR(INDEX(사건마스터!$C$5:$C$64,MATCH($F483,사건마스터!$A$5:$A$64,0)),""))</f>
        <v/>
      </c>
      <c r="J483" s="35">
        <f>IF($F483="","",IFERROR(INDEX(사건마스터!$H$5:$H$64,MATCH($F483,사건마스터!$A$5:$A$64,0)),""))</f>
        <v/>
      </c>
      <c r="K483" s="35">
        <f>IF($F483="","",IFERROR(INDEX(사건마스터!$AH$5:$AH$64,MATCH($F483,사건마스터!$A$5:$A$64,0)),""))</f>
        <v/>
      </c>
      <c r="L483" s="35">
        <f>IF($F483="","",IFERROR(INDEX(사건마스터!$AI$5:$AI$64,MATCH($F483,사건마스터!$A$5:$A$64,0)),""))</f>
        <v/>
      </c>
      <c r="M483" s="35">
        <f>IF($F483="","",IFERROR(INDEX(사건마스터!$AJ$5:$AJ$64,MATCH($F483,사건마스터!$A$5:$A$64,0)),""))</f>
        <v/>
      </c>
      <c r="N483" s="35">
        <f>IF($F483="","",IFERROR(INDEX(사건마스터!$AK$5:$AK$64,MATCH($F483,사건마스터!$A$5:$A$64,0)),""))</f>
        <v/>
      </c>
      <c r="O483" s="35">
        <f>IF($F483="","",IFERROR(INDEX(사건마스터!$AL$5:$AL$64,MATCH($F483,사건마스터!$A$5:$A$64,0)),""))</f>
        <v/>
      </c>
      <c r="P483" s="35">
        <f>IF($F483="","",IFERROR(INDEX(사건마스터!$AM$5:$AM$64,MATCH($F483,사건마스터!$A$5:$A$64,0)),""))</f>
        <v/>
      </c>
      <c r="Q483" s="35">
        <f>IF($F483="","",IFERROR(INDEX(사건마스터!$AN$5:$AN$64,MATCH($F483,사건마스터!$A$5:$A$64,0)),""))</f>
        <v/>
      </c>
      <c r="R483" s="35">
        <f>IF($F483="","",IFERROR(INDEX(사건마스터!$AO$5:$AO$64,MATCH($F483,사건마스터!$A$5:$A$64,0)),""))</f>
        <v/>
      </c>
      <c r="S483" s="35">
        <f>IF($F483="","",IFERROR(INDEX(사건마스터!$AP$5:$AP$64,MATCH($F483,사건마스터!$A$5:$A$64,0)),""))</f>
        <v/>
      </c>
      <c r="T483" s="35">
        <f>IF($F483="","",IFERROR(INDEX(사건마스터!$AQ$5:$AQ$64,MATCH($F483,사건마스터!$A$5:$A$64,0)),""))</f>
        <v/>
      </c>
      <c r="U483" s="35">
        <f>IF($F483="","",IFERROR(INDEX(사건마스터!$AR$5:$AR$64,MATCH($F483,사건마스터!$A$5:$A$64,0)),""))</f>
        <v/>
      </c>
      <c r="V483" s="35">
        <f>IF($F483="","",IFERROR(INDEX(사건마스터!$AS$5:$AS$64,MATCH($F483,사건마스터!$A$5:$A$64,0)),""))</f>
        <v/>
      </c>
      <c r="W483" s="35">
        <f>IF($F483="","",IFERROR(INDEX(사건마스터!$AT$5:$AT$64,MATCH($F483,사건마스터!$A$5:$A$64,0)),""))</f>
        <v/>
      </c>
      <c r="X483" s="35">
        <f>IF($F483="","",IFERROR(INDEX(사건마스터!$AU$5:$AU$64,MATCH($F483,사건마스터!$A$5:$A$64,0)),""))</f>
        <v/>
      </c>
      <c r="Y483" s="35">
        <f>IF($F483="","",IFERROR(INDEX(사건마스터!$AV$5:$AV$64,MATCH($F483,사건마스터!$A$5:$A$64,0)),""))</f>
        <v/>
      </c>
      <c r="Z483" s="30">
        <f>IF(COUNTBLANK($J483:$Y483)=16,"",16-COUNTBLANK($J483:$Y483))</f>
        <v/>
      </c>
      <c r="AA483" s="33">
        <f>IF($J483="",MID($AX483,3,255),$J483&amp;$AX483)</f>
        <v/>
      </c>
      <c r="AB483" s="34">
        <f>IF($J483="","",IFERROR(INDEX(코드설정!$D$5:$D$24,MATCH($J483,코드설정!$C$5:$C$24,0)),""))</f>
        <v/>
      </c>
      <c r="AC483" s="36" t="n"/>
      <c r="AD483" s="37" t="n"/>
      <c r="AE483" s="38" t="n"/>
      <c r="AF483" s="30">
        <f>IF(OR($B483="",$C483=""),"",$C483-$B483+1)</f>
        <v/>
      </c>
      <c r="AG483" s="32" t="n"/>
      <c r="AH483" s="36" t="n"/>
      <c r="AJ483">
        <f>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  <c r="AX483">
        <f>AW483&amp;IF($Y483="","",", "&amp;$Y483)</f>
        <v/>
      </c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0">
        <f>IF($F484="","",COUNTIF($F$5:$F484,$F484))</f>
        <v/>
      </c>
      <c r="H484" s="33">
        <f>IF($F484="","",IFERROR(INDEX(사건마스터!$B$5:$B$64,MATCH($F484,사건마스터!$A$5:$A$64,0)),""))</f>
        <v/>
      </c>
      <c r="I484" s="34">
        <f>IF($F484="","",IFERROR(INDEX(사건마스터!$C$5:$C$64,MATCH($F484,사건마스터!$A$5:$A$64,0)),""))</f>
        <v/>
      </c>
      <c r="J484" s="35">
        <f>IF($F484="","",IFERROR(INDEX(사건마스터!$H$5:$H$64,MATCH($F484,사건마스터!$A$5:$A$64,0)),""))</f>
        <v/>
      </c>
      <c r="K484" s="35">
        <f>IF($F484="","",IFERROR(INDEX(사건마스터!$AH$5:$AH$64,MATCH($F484,사건마스터!$A$5:$A$64,0)),""))</f>
        <v/>
      </c>
      <c r="L484" s="35">
        <f>IF($F484="","",IFERROR(INDEX(사건마스터!$AI$5:$AI$64,MATCH($F484,사건마스터!$A$5:$A$64,0)),""))</f>
        <v/>
      </c>
      <c r="M484" s="35">
        <f>IF($F484="","",IFERROR(INDEX(사건마스터!$AJ$5:$AJ$64,MATCH($F484,사건마스터!$A$5:$A$64,0)),""))</f>
        <v/>
      </c>
      <c r="N484" s="35">
        <f>IF($F484="","",IFERROR(INDEX(사건마스터!$AK$5:$AK$64,MATCH($F484,사건마스터!$A$5:$A$64,0)),""))</f>
        <v/>
      </c>
      <c r="O484" s="35">
        <f>IF($F484="","",IFERROR(INDEX(사건마스터!$AL$5:$AL$64,MATCH($F484,사건마스터!$A$5:$A$64,0)),""))</f>
        <v/>
      </c>
      <c r="P484" s="35">
        <f>IF($F484="","",IFERROR(INDEX(사건마스터!$AM$5:$AM$64,MATCH($F484,사건마스터!$A$5:$A$64,0)),""))</f>
        <v/>
      </c>
      <c r="Q484" s="35">
        <f>IF($F484="","",IFERROR(INDEX(사건마스터!$AN$5:$AN$64,MATCH($F484,사건마스터!$A$5:$A$64,0)),""))</f>
        <v/>
      </c>
      <c r="R484" s="35">
        <f>IF($F484="","",IFERROR(INDEX(사건마스터!$AO$5:$AO$64,MATCH($F484,사건마스터!$A$5:$A$64,0)),""))</f>
        <v/>
      </c>
      <c r="S484" s="35">
        <f>IF($F484="","",IFERROR(INDEX(사건마스터!$AP$5:$AP$64,MATCH($F484,사건마스터!$A$5:$A$64,0)),""))</f>
        <v/>
      </c>
      <c r="T484" s="35">
        <f>IF($F484="","",IFERROR(INDEX(사건마스터!$AQ$5:$AQ$64,MATCH($F484,사건마스터!$A$5:$A$64,0)),""))</f>
        <v/>
      </c>
      <c r="U484" s="35">
        <f>IF($F484="","",IFERROR(INDEX(사건마스터!$AR$5:$AR$64,MATCH($F484,사건마스터!$A$5:$A$64,0)),""))</f>
        <v/>
      </c>
      <c r="V484" s="35">
        <f>IF($F484="","",IFERROR(INDEX(사건마스터!$AS$5:$AS$64,MATCH($F484,사건마스터!$A$5:$A$64,0)),""))</f>
        <v/>
      </c>
      <c r="W484" s="35">
        <f>IF($F484="","",IFERROR(INDEX(사건마스터!$AT$5:$AT$64,MATCH($F484,사건마스터!$A$5:$A$64,0)),""))</f>
        <v/>
      </c>
      <c r="X484" s="35">
        <f>IF($F484="","",IFERROR(INDEX(사건마스터!$AU$5:$AU$64,MATCH($F484,사건마스터!$A$5:$A$64,0)),""))</f>
        <v/>
      </c>
      <c r="Y484" s="35">
        <f>IF($F484="","",IFERROR(INDEX(사건마스터!$AV$5:$AV$64,MATCH($F484,사건마스터!$A$5:$A$64,0)),""))</f>
        <v/>
      </c>
      <c r="Z484" s="30">
        <f>IF(COUNTBLANK($J484:$Y484)=16,"",16-COUNTBLANK($J484:$Y484))</f>
        <v/>
      </c>
      <c r="AA484" s="33">
        <f>IF($J484="",MID($AX484,3,255),$J484&amp;$AX484)</f>
        <v/>
      </c>
      <c r="AB484" s="34">
        <f>IF($J484="","",IFERROR(INDEX(코드설정!$D$5:$D$24,MATCH($J484,코드설정!$C$5:$C$24,0)),""))</f>
        <v/>
      </c>
      <c r="AC484" s="36" t="n"/>
      <c r="AD484" s="37" t="n"/>
      <c r="AE484" s="38" t="n"/>
      <c r="AF484" s="30">
        <f>IF(OR($B484="",$C484=""),"",$C484-$B484+1)</f>
        <v/>
      </c>
      <c r="AG484" s="32" t="n"/>
      <c r="AH484" s="36" t="n"/>
      <c r="AJ484">
        <f>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  <c r="AX484">
        <f>AW484&amp;IF($Y484="","",", "&amp;$Y484)</f>
        <v/>
      </c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0">
        <f>IF($F485="","",COUNTIF($F$5:$F485,$F485))</f>
        <v/>
      </c>
      <c r="H485" s="33">
        <f>IF($F485="","",IFERROR(INDEX(사건마스터!$B$5:$B$64,MATCH($F485,사건마스터!$A$5:$A$64,0)),""))</f>
        <v/>
      </c>
      <c r="I485" s="34">
        <f>IF($F485="","",IFERROR(INDEX(사건마스터!$C$5:$C$64,MATCH($F485,사건마스터!$A$5:$A$64,0)),""))</f>
        <v/>
      </c>
      <c r="J485" s="35">
        <f>IF($F485="","",IFERROR(INDEX(사건마스터!$H$5:$H$64,MATCH($F485,사건마스터!$A$5:$A$64,0)),""))</f>
        <v/>
      </c>
      <c r="K485" s="35">
        <f>IF($F485="","",IFERROR(INDEX(사건마스터!$AH$5:$AH$64,MATCH($F485,사건마스터!$A$5:$A$64,0)),""))</f>
        <v/>
      </c>
      <c r="L485" s="35">
        <f>IF($F485="","",IFERROR(INDEX(사건마스터!$AI$5:$AI$64,MATCH($F485,사건마스터!$A$5:$A$64,0)),""))</f>
        <v/>
      </c>
      <c r="M485" s="35">
        <f>IF($F485="","",IFERROR(INDEX(사건마스터!$AJ$5:$AJ$64,MATCH($F485,사건마스터!$A$5:$A$64,0)),""))</f>
        <v/>
      </c>
      <c r="N485" s="35">
        <f>IF($F485="","",IFERROR(INDEX(사건마스터!$AK$5:$AK$64,MATCH($F485,사건마스터!$A$5:$A$64,0)),""))</f>
        <v/>
      </c>
      <c r="O485" s="35">
        <f>IF($F485="","",IFERROR(INDEX(사건마스터!$AL$5:$AL$64,MATCH($F485,사건마스터!$A$5:$A$64,0)),""))</f>
        <v/>
      </c>
      <c r="P485" s="35">
        <f>IF($F485="","",IFERROR(INDEX(사건마스터!$AM$5:$AM$64,MATCH($F485,사건마스터!$A$5:$A$64,0)),""))</f>
        <v/>
      </c>
      <c r="Q485" s="35">
        <f>IF($F485="","",IFERROR(INDEX(사건마스터!$AN$5:$AN$64,MATCH($F485,사건마스터!$A$5:$A$64,0)),""))</f>
        <v/>
      </c>
      <c r="R485" s="35">
        <f>IF($F485="","",IFERROR(INDEX(사건마스터!$AO$5:$AO$64,MATCH($F485,사건마스터!$A$5:$A$64,0)),""))</f>
        <v/>
      </c>
      <c r="S485" s="35">
        <f>IF($F485="","",IFERROR(INDEX(사건마스터!$AP$5:$AP$64,MATCH($F485,사건마스터!$A$5:$A$64,0)),""))</f>
        <v/>
      </c>
      <c r="T485" s="35">
        <f>IF($F485="","",IFERROR(INDEX(사건마스터!$AQ$5:$AQ$64,MATCH($F485,사건마스터!$A$5:$A$64,0)),""))</f>
        <v/>
      </c>
      <c r="U485" s="35">
        <f>IF($F485="","",IFERROR(INDEX(사건마스터!$AR$5:$AR$64,MATCH($F485,사건마스터!$A$5:$A$64,0)),""))</f>
        <v/>
      </c>
      <c r="V485" s="35">
        <f>IF($F485="","",IFERROR(INDEX(사건마스터!$AS$5:$AS$64,MATCH($F485,사건마스터!$A$5:$A$64,0)),""))</f>
        <v/>
      </c>
      <c r="W485" s="35">
        <f>IF($F485="","",IFERROR(INDEX(사건마스터!$AT$5:$AT$64,MATCH($F485,사건마스터!$A$5:$A$64,0)),""))</f>
        <v/>
      </c>
      <c r="X485" s="35">
        <f>IF($F485="","",IFERROR(INDEX(사건마스터!$AU$5:$AU$64,MATCH($F485,사건마스터!$A$5:$A$64,0)),""))</f>
        <v/>
      </c>
      <c r="Y485" s="35">
        <f>IF($F485="","",IFERROR(INDEX(사건마스터!$AV$5:$AV$64,MATCH($F485,사건마스터!$A$5:$A$64,0)),""))</f>
        <v/>
      </c>
      <c r="Z485" s="30">
        <f>IF(COUNTBLANK($J485:$Y485)=16,"",16-COUNTBLANK($J485:$Y485))</f>
        <v/>
      </c>
      <c r="AA485" s="33">
        <f>IF($J485="",MID($AX485,3,255),$J485&amp;$AX485)</f>
        <v/>
      </c>
      <c r="AB485" s="34">
        <f>IF($J485="","",IFERROR(INDEX(코드설정!$D$5:$D$24,MATCH($J485,코드설정!$C$5:$C$24,0)),""))</f>
        <v/>
      </c>
      <c r="AC485" s="36" t="n"/>
      <c r="AD485" s="37" t="n"/>
      <c r="AE485" s="38" t="n"/>
      <c r="AF485" s="30">
        <f>IF(OR($B485="",$C485=""),"",$C485-$B485+1)</f>
        <v/>
      </c>
      <c r="AG485" s="32" t="n"/>
      <c r="AH485" s="36" t="n"/>
      <c r="AJ485">
        <f>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  <c r="AX485">
        <f>AW485&amp;IF($Y485="","",", "&amp;$Y485)</f>
        <v/>
      </c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0">
        <f>IF($F486="","",COUNTIF($F$5:$F486,$F486))</f>
        <v/>
      </c>
      <c r="H486" s="33">
        <f>IF($F486="","",IFERROR(INDEX(사건마스터!$B$5:$B$64,MATCH($F486,사건마스터!$A$5:$A$64,0)),""))</f>
        <v/>
      </c>
      <c r="I486" s="34">
        <f>IF($F486="","",IFERROR(INDEX(사건마스터!$C$5:$C$64,MATCH($F486,사건마스터!$A$5:$A$64,0)),""))</f>
        <v/>
      </c>
      <c r="J486" s="35">
        <f>IF($F486="","",IFERROR(INDEX(사건마스터!$H$5:$H$64,MATCH($F486,사건마스터!$A$5:$A$64,0)),""))</f>
        <v/>
      </c>
      <c r="K486" s="35">
        <f>IF($F486="","",IFERROR(INDEX(사건마스터!$AH$5:$AH$64,MATCH($F486,사건마스터!$A$5:$A$64,0)),""))</f>
        <v/>
      </c>
      <c r="L486" s="35">
        <f>IF($F486="","",IFERROR(INDEX(사건마스터!$AI$5:$AI$64,MATCH($F486,사건마스터!$A$5:$A$64,0)),""))</f>
        <v/>
      </c>
      <c r="M486" s="35">
        <f>IF($F486="","",IFERROR(INDEX(사건마스터!$AJ$5:$AJ$64,MATCH($F486,사건마스터!$A$5:$A$64,0)),""))</f>
        <v/>
      </c>
      <c r="N486" s="35">
        <f>IF($F486="","",IFERROR(INDEX(사건마스터!$AK$5:$AK$64,MATCH($F486,사건마스터!$A$5:$A$64,0)),""))</f>
        <v/>
      </c>
      <c r="O486" s="35">
        <f>IF($F486="","",IFERROR(INDEX(사건마스터!$AL$5:$AL$64,MATCH($F486,사건마스터!$A$5:$A$64,0)),""))</f>
        <v/>
      </c>
      <c r="P486" s="35">
        <f>IF($F486="","",IFERROR(INDEX(사건마스터!$AM$5:$AM$64,MATCH($F486,사건마스터!$A$5:$A$64,0)),""))</f>
        <v/>
      </c>
      <c r="Q486" s="35">
        <f>IF($F486="","",IFERROR(INDEX(사건마스터!$AN$5:$AN$64,MATCH($F486,사건마스터!$A$5:$A$64,0)),""))</f>
        <v/>
      </c>
      <c r="R486" s="35">
        <f>IF($F486="","",IFERROR(INDEX(사건마스터!$AO$5:$AO$64,MATCH($F486,사건마스터!$A$5:$A$64,0)),""))</f>
        <v/>
      </c>
      <c r="S486" s="35">
        <f>IF($F486="","",IFERROR(INDEX(사건마스터!$AP$5:$AP$64,MATCH($F486,사건마스터!$A$5:$A$64,0)),""))</f>
        <v/>
      </c>
      <c r="T486" s="35">
        <f>IF($F486="","",IFERROR(INDEX(사건마스터!$AQ$5:$AQ$64,MATCH($F486,사건마스터!$A$5:$A$64,0)),""))</f>
        <v/>
      </c>
      <c r="U486" s="35">
        <f>IF($F486="","",IFERROR(INDEX(사건마스터!$AR$5:$AR$64,MATCH($F486,사건마스터!$A$5:$A$64,0)),""))</f>
        <v/>
      </c>
      <c r="V486" s="35">
        <f>IF($F486="","",IFERROR(INDEX(사건마스터!$AS$5:$AS$64,MATCH($F486,사건마스터!$A$5:$A$64,0)),""))</f>
        <v/>
      </c>
      <c r="W486" s="35">
        <f>IF($F486="","",IFERROR(INDEX(사건마스터!$AT$5:$AT$64,MATCH($F486,사건마스터!$A$5:$A$64,0)),""))</f>
        <v/>
      </c>
      <c r="X486" s="35">
        <f>IF($F486="","",IFERROR(INDEX(사건마스터!$AU$5:$AU$64,MATCH($F486,사건마스터!$A$5:$A$64,0)),""))</f>
        <v/>
      </c>
      <c r="Y486" s="35">
        <f>IF($F486="","",IFERROR(INDEX(사건마스터!$AV$5:$AV$64,MATCH($F486,사건마스터!$A$5:$A$64,0)),""))</f>
        <v/>
      </c>
      <c r="Z486" s="30">
        <f>IF(COUNTBLANK($J486:$Y486)=16,"",16-COUNTBLANK($J486:$Y486))</f>
        <v/>
      </c>
      <c r="AA486" s="33">
        <f>IF($J486="",MID($AX486,3,255),$J486&amp;$AX486)</f>
        <v/>
      </c>
      <c r="AB486" s="34">
        <f>IF($J486="","",IFERROR(INDEX(코드설정!$D$5:$D$24,MATCH($J486,코드설정!$C$5:$C$24,0)),""))</f>
        <v/>
      </c>
      <c r="AC486" s="36" t="n"/>
      <c r="AD486" s="37" t="n"/>
      <c r="AE486" s="38" t="n"/>
      <c r="AF486" s="30">
        <f>IF(OR($B486="",$C486=""),"",$C486-$B486+1)</f>
        <v/>
      </c>
      <c r="AG486" s="32" t="n"/>
      <c r="AH486" s="36" t="n"/>
      <c r="AJ486">
        <f>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  <c r="AX486">
        <f>AW486&amp;IF($Y486="","",", "&amp;$Y486)</f>
        <v/>
      </c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0">
        <f>IF($F487="","",COUNTIF($F$5:$F487,$F487))</f>
        <v/>
      </c>
      <c r="H487" s="33">
        <f>IF($F487="","",IFERROR(INDEX(사건마스터!$B$5:$B$64,MATCH($F487,사건마스터!$A$5:$A$64,0)),""))</f>
        <v/>
      </c>
      <c r="I487" s="34">
        <f>IF($F487="","",IFERROR(INDEX(사건마스터!$C$5:$C$64,MATCH($F487,사건마스터!$A$5:$A$64,0)),""))</f>
        <v/>
      </c>
      <c r="J487" s="35">
        <f>IF($F487="","",IFERROR(INDEX(사건마스터!$H$5:$H$64,MATCH($F487,사건마스터!$A$5:$A$64,0)),""))</f>
        <v/>
      </c>
      <c r="K487" s="35">
        <f>IF($F487="","",IFERROR(INDEX(사건마스터!$AH$5:$AH$64,MATCH($F487,사건마스터!$A$5:$A$64,0)),""))</f>
        <v/>
      </c>
      <c r="L487" s="35">
        <f>IF($F487="","",IFERROR(INDEX(사건마스터!$AI$5:$AI$64,MATCH($F487,사건마스터!$A$5:$A$64,0)),""))</f>
        <v/>
      </c>
      <c r="M487" s="35">
        <f>IF($F487="","",IFERROR(INDEX(사건마스터!$AJ$5:$AJ$64,MATCH($F487,사건마스터!$A$5:$A$64,0)),""))</f>
        <v/>
      </c>
      <c r="N487" s="35">
        <f>IF($F487="","",IFERROR(INDEX(사건마스터!$AK$5:$AK$64,MATCH($F487,사건마스터!$A$5:$A$64,0)),""))</f>
        <v/>
      </c>
      <c r="O487" s="35">
        <f>IF($F487="","",IFERROR(INDEX(사건마스터!$AL$5:$AL$64,MATCH($F487,사건마스터!$A$5:$A$64,0)),""))</f>
        <v/>
      </c>
      <c r="P487" s="35">
        <f>IF($F487="","",IFERROR(INDEX(사건마스터!$AM$5:$AM$64,MATCH($F487,사건마스터!$A$5:$A$64,0)),""))</f>
        <v/>
      </c>
      <c r="Q487" s="35">
        <f>IF($F487="","",IFERROR(INDEX(사건마스터!$AN$5:$AN$64,MATCH($F487,사건마스터!$A$5:$A$64,0)),""))</f>
        <v/>
      </c>
      <c r="R487" s="35">
        <f>IF($F487="","",IFERROR(INDEX(사건마스터!$AO$5:$AO$64,MATCH($F487,사건마스터!$A$5:$A$64,0)),""))</f>
        <v/>
      </c>
      <c r="S487" s="35">
        <f>IF($F487="","",IFERROR(INDEX(사건마스터!$AP$5:$AP$64,MATCH($F487,사건마스터!$A$5:$A$64,0)),""))</f>
        <v/>
      </c>
      <c r="T487" s="35">
        <f>IF($F487="","",IFERROR(INDEX(사건마스터!$AQ$5:$AQ$64,MATCH($F487,사건마스터!$A$5:$A$64,0)),""))</f>
        <v/>
      </c>
      <c r="U487" s="35">
        <f>IF($F487="","",IFERROR(INDEX(사건마스터!$AR$5:$AR$64,MATCH($F487,사건마스터!$A$5:$A$64,0)),""))</f>
        <v/>
      </c>
      <c r="V487" s="35">
        <f>IF($F487="","",IFERROR(INDEX(사건마스터!$AS$5:$AS$64,MATCH($F487,사건마스터!$A$5:$A$64,0)),""))</f>
        <v/>
      </c>
      <c r="W487" s="35">
        <f>IF($F487="","",IFERROR(INDEX(사건마스터!$AT$5:$AT$64,MATCH($F487,사건마스터!$A$5:$A$64,0)),""))</f>
        <v/>
      </c>
      <c r="X487" s="35">
        <f>IF($F487="","",IFERROR(INDEX(사건마스터!$AU$5:$AU$64,MATCH($F487,사건마스터!$A$5:$A$64,0)),""))</f>
        <v/>
      </c>
      <c r="Y487" s="35">
        <f>IF($F487="","",IFERROR(INDEX(사건마스터!$AV$5:$AV$64,MATCH($F487,사건마스터!$A$5:$A$64,0)),""))</f>
        <v/>
      </c>
      <c r="Z487" s="30">
        <f>IF(COUNTBLANK($J487:$Y487)=16,"",16-COUNTBLANK($J487:$Y487))</f>
        <v/>
      </c>
      <c r="AA487" s="33">
        <f>IF($J487="",MID($AX487,3,255),$J487&amp;$AX487)</f>
        <v/>
      </c>
      <c r="AB487" s="34">
        <f>IF($J487="","",IFERROR(INDEX(코드설정!$D$5:$D$24,MATCH($J487,코드설정!$C$5:$C$24,0)),""))</f>
        <v/>
      </c>
      <c r="AC487" s="36" t="n"/>
      <c r="AD487" s="37" t="n"/>
      <c r="AE487" s="38" t="n"/>
      <c r="AF487" s="30">
        <f>IF(OR($B487="",$C487=""),"",$C487-$B487+1)</f>
        <v/>
      </c>
      <c r="AG487" s="32" t="n"/>
      <c r="AH487" s="36" t="n"/>
      <c r="AJ487">
        <f>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  <c r="AX487">
        <f>AW487&amp;IF($Y487="","",", "&amp;$Y487)</f>
        <v/>
      </c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0">
        <f>IF($F488="","",COUNTIF($F$5:$F488,$F488))</f>
        <v/>
      </c>
      <c r="H488" s="33">
        <f>IF($F488="","",IFERROR(INDEX(사건마스터!$B$5:$B$64,MATCH($F488,사건마스터!$A$5:$A$64,0)),""))</f>
        <v/>
      </c>
      <c r="I488" s="34">
        <f>IF($F488="","",IFERROR(INDEX(사건마스터!$C$5:$C$64,MATCH($F488,사건마스터!$A$5:$A$64,0)),""))</f>
        <v/>
      </c>
      <c r="J488" s="35">
        <f>IF($F488="","",IFERROR(INDEX(사건마스터!$H$5:$H$64,MATCH($F488,사건마스터!$A$5:$A$64,0)),""))</f>
        <v/>
      </c>
      <c r="K488" s="35">
        <f>IF($F488="","",IFERROR(INDEX(사건마스터!$AH$5:$AH$64,MATCH($F488,사건마스터!$A$5:$A$64,0)),""))</f>
        <v/>
      </c>
      <c r="L488" s="35">
        <f>IF($F488="","",IFERROR(INDEX(사건마스터!$AI$5:$AI$64,MATCH($F488,사건마스터!$A$5:$A$64,0)),""))</f>
        <v/>
      </c>
      <c r="M488" s="35">
        <f>IF($F488="","",IFERROR(INDEX(사건마스터!$AJ$5:$AJ$64,MATCH($F488,사건마스터!$A$5:$A$64,0)),""))</f>
        <v/>
      </c>
      <c r="N488" s="35">
        <f>IF($F488="","",IFERROR(INDEX(사건마스터!$AK$5:$AK$64,MATCH($F488,사건마스터!$A$5:$A$64,0)),""))</f>
        <v/>
      </c>
      <c r="O488" s="35">
        <f>IF($F488="","",IFERROR(INDEX(사건마스터!$AL$5:$AL$64,MATCH($F488,사건마스터!$A$5:$A$64,0)),""))</f>
        <v/>
      </c>
      <c r="P488" s="35">
        <f>IF($F488="","",IFERROR(INDEX(사건마스터!$AM$5:$AM$64,MATCH($F488,사건마스터!$A$5:$A$64,0)),""))</f>
        <v/>
      </c>
      <c r="Q488" s="35">
        <f>IF($F488="","",IFERROR(INDEX(사건마스터!$AN$5:$AN$64,MATCH($F488,사건마스터!$A$5:$A$64,0)),""))</f>
        <v/>
      </c>
      <c r="R488" s="35">
        <f>IF($F488="","",IFERROR(INDEX(사건마스터!$AO$5:$AO$64,MATCH($F488,사건마스터!$A$5:$A$64,0)),""))</f>
        <v/>
      </c>
      <c r="S488" s="35">
        <f>IF($F488="","",IFERROR(INDEX(사건마스터!$AP$5:$AP$64,MATCH($F488,사건마스터!$A$5:$A$64,0)),""))</f>
        <v/>
      </c>
      <c r="T488" s="35">
        <f>IF($F488="","",IFERROR(INDEX(사건마스터!$AQ$5:$AQ$64,MATCH($F488,사건마스터!$A$5:$A$64,0)),""))</f>
        <v/>
      </c>
      <c r="U488" s="35">
        <f>IF($F488="","",IFERROR(INDEX(사건마스터!$AR$5:$AR$64,MATCH($F488,사건마스터!$A$5:$A$64,0)),""))</f>
        <v/>
      </c>
      <c r="V488" s="35">
        <f>IF($F488="","",IFERROR(INDEX(사건마스터!$AS$5:$AS$64,MATCH($F488,사건마스터!$A$5:$A$64,0)),""))</f>
        <v/>
      </c>
      <c r="W488" s="35">
        <f>IF($F488="","",IFERROR(INDEX(사건마스터!$AT$5:$AT$64,MATCH($F488,사건마스터!$A$5:$A$64,0)),""))</f>
        <v/>
      </c>
      <c r="X488" s="35">
        <f>IF($F488="","",IFERROR(INDEX(사건마스터!$AU$5:$AU$64,MATCH($F488,사건마스터!$A$5:$A$64,0)),""))</f>
        <v/>
      </c>
      <c r="Y488" s="35">
        <f>IF($F488="","",IFERROR(INDEX(사건마스터!$AV$5:$AV$64,MATCH($F488,사건마스터!$A$5:$A$64,0)),""))</f>
        <v/>
      </c>
      <c r="Z488" s="30">
        <f>IF(COUNTBLANK($J488:$Y488)=16,"",16-COUNTBLANK($J488:$Y488))</f>
        <v/>
      </c>
      <c r="AA488" s="33">
        <f>IF($J488="",MID($AX488,3,255),$J488&amp;$AX488)</f>
        <v/>
      </c>
      <c r="AB488" s="34">
        <f>IF($J488="","",IFERROR(INDEX(코드설정!$D$5:$D$24,MATCH($J488,코드설정!$C$5:$C$24,0)),""))</f>
        <v/>
      </c>
      <c r="AC488" s="36" t="n"/>
      <c r="AD488" s="37" t="n"/>
      <c r="AE488" s="38" t="n"/>
      <c r="AF488" s="30">
        <f>IF(OR($B488="",$C488=""),"",$C488-$B488+1)</f>
        <v/>
      </c>
      <c r="AG488" s="32" t="n"/>
      <c r="AH488" s="36" t="n"/>
      <c r="AJ488">
        <f>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  <c r="AX488">
        <f>AW488&amp;IF($Y488="","",", "&amp;$Y488)</f>
        <v/>
      </c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0">
        <f>IF($F489="","",COUNTIF($F$5:$F489,$F489))</f>
        <v/>
      </c>
      <c r="H489" s="33">
        <f>IF($F489="","",IFERROR(INDEX(사건마스터!$B$5:$B$64,MATCH($F489,사건마스터!$A$5:$A$64,0)),""))</f>
        <v/>
      </c>
      <c r="I489" s="34">
        <f>IF($F489="","",IFERROR(INDEX(사건마스터!$C$5:$C$64,MATCH($F489,사건마스터!$A$5:$A$64,0)),""))</f>
        <v/>
      </c>
      <c r="J489" s="35">
        <f>IF($F489="","",IFERROR(INDEX(사건마스터!$H$5:$H$64,MATCH($F489,사건마스터!$A$5:$A$64,0)),""))</f>
        <v/>
      </c>
      <c r="K489" s="35">
        <f>IF($F489="","",IFERROR(INDEX(사건마스터!$AH$5:$AH$64,MATCH($F489,사건마스터!$A$5:$A$64,0)),""))</f>
        <v/>
      </c>
      <c r="L489" s="35">
        <f>IF($F489="","",IFERROR(INDEX(사건마스터!$AI$5:$AI$64,MATCH($F489,사건마스터!$A$5:$A$64,0)),""))</f>
        <v/>
      </c>
      <c r="M489" s="35">
        <f>IF($F489="","",IFERROR(INDEX(사건마스터!$AJ$5:$AJ$64,MATCH($F489,사건마스터!$A$5:$A$64,0)),""))</f>
        <v/>
      </c>
      <c r="N489" s="35">
        <f>IF($F489="","",IFERROR(INDEX(사건마스터!$AK$5:$AK$64,MATCH($F489,사건마스터!$A$5:$A$64,0)),""))</f>
        <v/>
      </c>
      <c r="O489" s="35">
        <f>IF($F489="","",IFERROR(INDEX(사건마스터!$AL$5:$AL$64,MATCH($F489,사건마스터!$A$5:$A$64,0)),""))</f>
        <v/>
      </c>
      <c r="P489" s="35">
        <f>IF($F489="","",IFERROR(INDEX(사건마스터!$AM$5:$AM$64,MATCH($F489,사건마스터!$A$5:$A$64,0)),""))</f>
        <v/>
      </c>
      <c r="Q489" s="35">
        <f>IF($F489="","",IFERROR(INDEX(사건마스터!$AN$5:$AN$64,MATCH($F489,사건마스터!$A$5:$A$64,0)),""))</f>
        <v/>
      </c>
      <c r="R489" s="35">
        <f>IF($F489="","",IFERROR(INDEX(사건마스터!$AO$5:$AO$64,MATCH($F489,사건마스터!$A$5:$A$64,0)),""))</f>
        <v/>
      </c>
      <c r="S489" s="35">
        <f>IF($F489="","",IFERROR(INDEX(사건마스터!$AP$5:$AP$64,MATCH($F489,사건마스터!$A$5:$A$64,0)),""))</f>
        <v/>
      </c>
      <c r="T489" s="35">
        <f>IF($F489="","",IFERROR(INDEX(사건마스터!$AQ$5:$AQ$64,MATCH($F489,사건마스터!$A$5:$A$64,0)),""))</f>
        <v/>
      </c>
      <c r="U489" s="35">
        <f>IF($F489="","",IFERROR(INDEX(사건마스터!$AR$5:$AR$64,MATCH($F489,사건마스터!$A$5:$A$64,0)),""))</f>
        <v/>
      </c>
      <c r="V489" s="35">
        <f>IF($F489="","",IFERROR(INDEX(사건마스터!$AS$5:$AS$64,MATCH($F489,사건마스터!$A$5:$A$64,0)),""))</f>
        <v/>
      </c>
      <c r="W489" s="35">
        <f>IF($F489="","",IFERROR(INDEX(사건마스터!$AT$5:$AT$64,MATCH($F489,사건마스터!$A$5:$A$64,0)),""))</f>
        <v/>
      </c>
      <c r="X489" s="35">
        <f>IF($F489="","",IFERROR(INDEX(사건마스터!$AU$5:$AU$64,MATCH($F489,사건마스터!$A$5:$A$64,0)),""))</f>
        <v/>
      </c>
      <c r="Y489" s="35">
        <f>IF($F489="","",IFERROR(INDEX(사건마스터!$AV$5:$AV$64,MATCH($F489,사건마스터!$A$5:$A$64,0)),""))</f>
        <v/>
      </c>
      <c r="Z489" s="30">
        <f>IF(COUNTBLANK($J489:$Y489)=16,"",16-COUNTBLANK($J489:$Y489))</f>
        <v/>
      </c>
      <c r="AA489" s="33">
        <f>IF($J489="",MID($AX489,3,255),$J489&amp;$AX489)</f>
        <v/>
      </c>
      <c r="AB489" s="34">
        <f>IF($J489="","",IFERROR(INDEX(코드설정!$D$5:$D$24,MATCH($J489,코드설정!$C$5:$C$24,0)),""))</f>
        <v/>
      </c>
      <c r="AC489" s="36" t="n"/>
      <c r="AD489" s="37" t="n"/>
      <c r="AE489" s="38" t="n"/>
      <c r="AF489" s="30">
        <f>IF(OR($B489="",$C489=""),"",$C489-$B489+1)</f>
        <v/>
      </c>
      <c r="AG489" s="32" t="n"/>
      <c r="AH489" s="36" t="n"/>
      <c r="AJ489">
        <f>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  <c r="AX489">
        <f>AW489&amp;IF($Y489="","",", "&amp;$Y489)</f>
        <v/>
      </c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0">
        <f>IF($F490="","",COUNTIF($F$5:$F490,$F490))</f>
        <v/>
      </c>
      <c r="H490" s="33">
        <f>IF($F490="","",IFERROR(INDEX(사건마스터!$B$5:$B$64,MATCH($F490,사건마스터!$A$5:$A$64,0)),""))</f>
        <v/>
      </c>
      <c r="I490" s="34">
        <f>IF($F490="","",IFERROR(INDEX(사건마스터!$C$5:$C$64,MATCH($F490,사건마스터!$A$5:$A$64,0)),""))</f>
        <v/>
      </c>
      <c r="J490" s="35">
        <f>IF($F490="","",IFERROR(INDEX(사건마스터!$H$5:$H$64,MATCH($F490,사건마스터!$A$5:$A$64,0)),""))</f>
        <v/>
      </c>
      <c r="K490" s="35">
        <f>IF($F490="","",IFERROR(INDEX(사건마스터!$AH$5:$AH$64,MATCH($F490,사건마스터!$A$5:$A$64,0)),""))</f>
        <v/>
      </c>
      <c r="L490" s="35">
        <f>IF($F490="","",IFERROR(INDEX(사건마스터!$AI$5:$AI$64,MATCH($F490,사건마스터!$A$5:$A$64,0)),""))</f>
        <v/>
      </c>
      <c r="M490" s="35">
        <f>IF($F490="","",IFERROR(INDEX(사건마스터!$AJ$5:$AJ$64,MATCH($F490,사건마스터!$A$5:$A$64,0)),""))</f>
        <v/>
      </c>
      <c r="N490" s="35">
        <f>IF($F490="","",IFERROR(INDEX(사건마스터!$AK$5:$AK$64,MATCH($F490,사건마스터!$A$5:$A$64,0)),""))</f>
        <v/>
      </c>
      <c r="O490" s="35">
        <f>IF($F490="","",IFERROR(INDEX(사건마스터!$AL$5:$AL$64,MATCH($F490,사건마스터!$A$5:$A$64,0)),""))</f>
        <v/>
      </c>
      <c r="P490" s="35">
        <f>IF($F490="","",IFERROR(INDEX(사건마스터!$AM$5:$AM$64,MATCH($F490,사건마스터!$A$5:$A$64,0)),""))</f>
        <v/>
      </c>
      <c r="Q490" s="35">
        <f>IF($F490="","",IFERROR(INDEX(사건마스터!$AN$5:$AN$64,MATCH($F490,사건마스터!$A$5:$A$64,0)),""))</f>
        <v/>
      </c>
      <c r="R490" s="35">
        <f>IF($F490="","",IFERROR(INDEX(사건마스터!$AO$5:$AO$64,MATCH($F490,사건마스터!$A$5:$A$64,0)),""))</f>
        <v/>
      </c>
      <c r="S490" s="35">
        <f>IF($F490="","",IFERROR(INDEX(사건마스터!$AP$5:$AP$64,MATCH($F490,사건마스터!$A$5:$A$64,0)),""))</f>
        <v/>
      </c>
      <c r="T490" s="35">
        <f>IF($F490="","",IFERROR(INDEX(사건마스터!$AQ$5:$AQ$64,MATCH($F490,사건마스터!$A$5:$A$64,0)),""))</f>
        <v/>
      </c>
      <c r="U490" s="35">
        <f>IF($F490="","",IFERROR(INDEX(사건마스터!$AR$5:$AR$64,MATCH($F490,사건마스터!$A$5:$A$64,0)),""))</f>
        <v/>
      </c>
      <c r="V490" s="35">
        <f>IF($F490="","",IFERROR(INDEX(사건마스터!$AS$5:$AS$64,MATCH($F490,사건마스터!$A$5:$A$64,0)),""))</f>
        <v/>
      </c>
      <c r="W490" s="35">
        <f>IF($F490="","",IFERROR(INDEX(사건마스터!$AT$5:$AT$64,MATCH($F490,사건마스터!$A$5:$A$64,0)),""))</f>
        <v/>
      </c>
      <c r="X490" s="35">
        <f>IF($F490="","",IFERROR(INDEX(사건마스터!$AU$5:$AU$64,MATCH($F490,사건마스터!$A$5:$A$64,0)),""))</f>
        <v/>
      </c>
      <c r="Y490" s="35">
        <f>IF($F490="","",IFERROR(INDEX(사건마스터!$AV$5:$AV$64,MATCH($F490,사건마스터!$A$5:$A$64,0)),""))</f>
        <v/>
      </c>
      <c r="Z490" s="30">
        <f>IF(COUNTBLANK($J490:$Y490)=16,"",16-COUNTBLANK($J490:$Y490))</f>
        <v/>
      </c>
      <c r="AA490" s="33">
        <f>IF($J490="",MID($AX490,3,255),$J490&amp;$AX490)</f>
        <v/>
      </c>
      <c r="AB490" s="34">
        <f>IF($J490="","",IFERROR(INDEX(코드설정!$D$5:$D$24,MATCH($J490,코드설정!$C$5:$C$24,0)),""))</f>
        <v/>
      </c>
      <c r="AC490" s="36" t="n"/>
      <c r="AD490" s="37" t="n"/>
      <c r="AE490" s="38" t="n"/>
      <c r="AF490" s="30">
        <f>IF(OR($B490="",$C490=""),"",$C490-$B490+1)</f>
        <v/>
      </c>
      <c r="AG490" s="32" t="n"/>
      <c r="AH490" s="36" t="n"/>
      <c r="AJ490">
        <f>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  <c r="AX490">
        <f>AW490&amp;IF($Y490="","",", "&amp;$Y490)</f>
        <v/>
      </c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0">
        <f>IF($F491="","",COUNTIF($F$5:$F491,$F491))</f>
        <v/>
      </c>
      <c r="H491" s="33">
        <f>IF($F491="","",IFERROR(INDEX(사건마스터!$B$5:$B$64,MATCH($F491,사건마스터!$A$5:$A$64,0)),""))</f>
        <v/>
      </c>
      <c r="I491" s="34">
        <f>IF($F491="","",IFERROR(INDEX(사건마스터!$C$5:$C$64,MATCH($F491,사건마스터!$A$5:$A$64,0)),""))</f>
        <v/>
      </c>
      <c r="J491" s="35">
        <f>IF($F491="","",IFERROR(INDEX(사건마스터!$H$5:$H$64,MATCH($F491,사건마스터!$A$5:$A$64,0)),""))</f>
        <v/>
      </c>
      <c r="K491" s="35">
        <f>IF($F491="","",IFERROR(INDEX(사건마스터!$AH$5:$AH$64,MATCH($F491,사건마스터!$A$5:$A$64,0)),""))</f>
        <v/>
      </c>
      <c r="L491" s="35">
        <f>IF($F491="","",IFERROR(INDEX(사건마스터!$AI$5:$AI$64,MATCH($F491,사건마스터!$A$5:$A$64,0)),""))</f>
        <v/>
      </c>
      <c r="M491" s="35">
        <f>IF($F491="","",IFERROR(INDEX(사건마스터!$AJ$5:$AJ$64,MATCH($F491,사건마스터!$A$5:$A$64,0)),""))</f>
        <v/>
      </c>
      <c r="N491" s="35">
        <f>IF($F491="","",IFERROR(INDEX(사건마스터!$AK$5:$AK$64,MATCH($F491,사건마스터!$A$5:$A$64,0)),""))</f>
        <v/>
      </c>
      <c r="O491" s="35">
        <f>IF($F491="","",IFERROR(INDEX(사건마스터!$AL$5:$AL$64,MATCH($F491,사건마스터!$A$5:$A$64,0)),""))</f>
        <v/>
      </c>
      <c r="P491" s="35">
        <f>IF($F491="","",IFERROR(INDEX(사건마스터!$AM$5:$AM$64,MATCH($F491,사건마스터!$A$5:$A$64,0)),""))</f>
        <v/>
      </c>
      <c r="Q491" s="35">
        <f>IF($F491="","",IFERROR(INDEX(사건마스터!$AN$5:$AN$64,MATCH($F491,사건마스터!$A$5:$A$64,0)),""))</f>
        <v/>
      </c>
      <c r="R491" s="35">
        <f>IF($F491="","",IFERROR(INDEX(사건마스터!$AO$5:$AO$64,MATCH($F491,사건마스터!$A$5:$A$64,0)),""))</f>
        <v/>
      </c>
      <c r="S491" s="35">
        <f>IF($F491="","",IFERROR(INDEX(사건마스터!$AP$5:$AP$64,MATCH($F491,사건마스터!$A$5:$A$64,0)),""))</f>
        <v/>
      </c>
      <c r="T491" s="35">
        <f>IF($F491="","",IFERROR(INDEX(사건마스터!$AQ$5:$AQ$64,MATCH($F491,사건마스터!$A$5:$A$64,0)),""))</f>
        <v/>
      </c>
      <c r="U491" s="35">
        <f>IF($F491="","",IFERROR(INDEX(사건마스터!$AR$5:$AR$64,MATCH($F491,사건마스터!$A$5:$A$64,0)),""))</f>
        <v/>
      </c>
      <c r="V491" s="35">
        <f>IF($F491="","",IFERROR(INDEX(사건마스터!$AS$5:$AS$64,MATCH($F491,사건마스터!$A$5:$A$64,0)),""))</f>
        <v/>
      </c>
      <c r="W491" s="35">
        <f>IF($F491="","",IFERROR(INDEX(사건마스터!$AT$5:$AT$64,MATCH($F491,사건마스터!$A$5:$A$64,0)),""))</f>
        <v/>
      </c>
      <c r="X491" s="35">
        <f>IF($F491="","",IFERROR(INDEX(사건마스터!$AU$5:$AU$64,MATCH($F491,사건마스터!$A$5:$A$64,0)),""))</f>
        <v/>
      </c>
      <c r="Y491" s="35">
        <f>IF($F491="","",IFERROR(INDEX(사건마스터!$AV$5:$AV$64,MATCH($F491,사건마스터!$A$5:$A$64,0)),""))</f>
        <v/>
      </c>
      <c r="Z491" s="30">
        <f>IF(COUNTBLANK($J491:$Y491)=16,"",16-COUNTBLANK($J491:$Y491))</f>
        <v/>
      </c>
      <c r="AA491" s="33">
        <f>IF($J491="",MID($AX491,3,255),$J491&amp;$AX491)</f>
        <v/>
      </c>
      <c r="AB491" s="34">
        <f>IF($J491="","",IFERROR(INDEX(코드설정!$D$5:$D$24,MATCH($J491,코드설정!$C$5:$C$24,0)),""))</f>
        <v/>
      </c>
      <c r="AC491" s="36" t="n"/>
      <c r="AD491" s="37" t="n"/>
      <c r="AE491" s="38" t="n"/>
      <c r="AF491" s="30">
        <f>IF(OR($B491="",$C491=""),"",$C491-$B491+1)</f>
        <v/>
      </c>
      <c r="AG491" s="32" t="n"/>
      <c r="AH491" s="36" t="n"/>
      <c r="AJ491">
        <f>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  <c r="AX491">
        <f>AW491&amp;IF($Y491="","",", "&amp;$Y491)</f>
        <v/>
      </c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0">
        <f>IF($F492="","",COUNTIF($F$5:$F492,$F492))</f>
        <v/>
      </c>
      <c r="H492" s="33">
        <f>IF($F492="","",IFERROR(INDEX(사건마스터!$B$5:$B$64,MATCH($F492,사건마스터!$A$5:$A$64,0)),""))</f>
        <v/>
      </c>
      <c r="I492" s="34">
        <f>IF($F492="","",IFERROR(INDEX(사건마스터!$C$5:$C$64,MATCH($F492,사건마스터!$A$5:$A$64,0)),""))</f>
        <v/>
      </c>
      <c r="J492" s="35">
        <f>IF($F492="","",IFERROR(INDEX(사건마스터!$H$5:$H$64,MATCH($F492,사건마스터!$A$5:$A$64,0)),""))</f>
        <v/>
      </c>
      <c r="K492" s="35">
        <f>IF($F492="","",IFERROR(INDEX(사건마스터!$AH$5:$AH$64,MATCH($F492,사건마스터!$A$5:$A$64,0)),""))</f>
        <v/>
      </c>
      <c r="L492" s="35">
        <f>IF($F492="","",IFERROR(INDEX(사건마스터!$AI$5:$AI$64,MATCH($F492,사건마스터!$A$5:$A$64,0)),""))</f>
        <v/>
      </c>
      <c r="M492" s="35">
        <f>IF($F492="","",IFERROR(INDEX(사건마스터!$AJ$5:$AJ$64,MATCH($F492,사건마스터!$A$5:$A$64,0)),""))</f>
        <v/>
      </c>
      <c r="N492" s="35">
        <f>IF($F492="","",IFERROR(INDEX(사건마스터!$AK$5:$AK$64,MATCH($F492,사건마스터!$A$5:$A$64,0)),""))</f>
        <v/>
      </c>
      <c r="O492" s="35">
        <f>IF($F492="","",IFERROR(INDEX(사건마스터!$AL$5:$AL$64,MATCH($F492,사건마스터!$A$5:$A$64,0)),""))</f>
        <v/>
      </c>
      <c r="P492" s="35">
        <f>IF($F492="","",IFERROR(INDEX(사건마스터!$AM$5:$AM$64,MATCH($F492,사건마스터!$A$5:$A$64,0)),""))</f>
        <v/>
      </c>
      <c r="Q492" s="35">
        <f>IF($F492="","",IFERROR(INDEX(사건마스터!$AN$5:$AN$64,MATCH($F492,사건마스터!$A$5:$A$64,0)),""))</f>
        <v/>
      </c>
      <c r="R492" s="35">
        <f>IF($F492="","",IFERROR(INDEX(사건마스터!$AO$5:$AO$64,MATCH($F492,사건마스터!$A$5:$A$64,0)),""))</f>
        <v/>
      </c>
      <c r="S492" s="35">
        <f>IF($F492="","",IFERROR(INDEX(사건마스터!$AP$5:$AP$64,MATCH($F492,사건마스터!$A$5:$A$64,0)),""))</f>
        <v/>
      </c>
      <c r="T492" s="35">
        <f>IF($F492="","",IFERROR(INDEX(사건마스터!$AQ$5:$AQ$64,MATCH($F492,사건마스터!$A$5:$A$64,0)),""))</f>
        <v/>
      </c>
      <c r="U492" s="35">
        <f>IF($F492="","",IFERROR(INDEX(사건마스터!$AR$5:$AR$64,MATCH($F492,사건마스터!$A$5:$A$64,0)),""))</f>
        <v/>
      </c>
      <c r="V492" s="35">
        <f>IF($F492="","",IFERROR(INDEX(사건마스터!$AS$5:$AS$64,MATCH($F492,사건마스터!$A$5:$A$64,0)),""))</f>
        <v/>
      </c>
      <c r="W492" s="35">
        <f>IF($F492="","",IFERROR(INDEX(사건마스터!$AT$5:$AT$64,MATCH($F492,사건마스터!$A$5:$A$64,0)),""))</f>
        <v/>
      </c>
      <c r="X492" s="35">
        <f>IF($F492="","",IFERROR(INDEX(사건마스터!$AU$5:$AU$64,MATCH($F492,사건마스터!$A$5:$A$64,0)),""))</f>
        <v/>
      </c>
      <c r="Y492" s="35">
        <f>IF($F492="","",IFERROR(INDEX(사건마스터!$AV$5:$AV$64,MATCH($F492,사건마스터!$A$5:$A$64,0)),""))</f>
        <v/>
      </c>
      <c r="Z492" s="30">
        <f>IF(COUNTBLANK($J492:$Y492)=16,"",16-COUNTBLANK($J492:$Y492))</f>
        <v/>
      </c>
      <c r="AA492" s="33">
        <f>IF($J492="",MID($AX492,3,255),$J492&amp;$AX492)</f>
        <v/>
      </c>
      <c r="AB492" s="34">
        <f>IF($J492="","",IFERROR(INDEX(코드설정!$D$5:$D$24,MATCH($J492,코드설정!$C$5:$C$24,0)),""))</f>
        <v/>
      </c>
      <c r="AC492" s="36" t="n"/>
      <c r="AD492" s="37" t="n"/>
      <c r="AE492" s="38" t="n"/>
      <c r="AF492" s="30">
        <f>IF(OR($B492="",$C492=""),"",$C492-$B492+1)</f>
        <v/>
      </c>
      <c r="AG492" s="32" t="n"/>
      <c r="AH492" s="36" t="n"/>
      <c r="AJ492">
        <f>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  <c r="AX492">
        <f>AW492&amp;IF($Y492="","",", "&amp;$Y492)</f>
        <v/>
      </c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0">
        <f>IF($F493="","",COUNTIF($F$5:$F493,$F493))</f>
        <v/>
      </c>
      <c r="H493" s="33">
        <f>IF($F493="","",IFERROR(INDEX(사건마스터!$B$5:$B$64,MATCH($F493,사건마스터!$A$5:$A$64,0)),""))</f>
        <v/>
      </c>
      <c r="I493" s="34">
        <f>IF($F493="","",IFERROR(INDEX(사건마스터!$C$5:$C$64,MATCH($F493,사건마스터!$A$5:$A$64,0)),""))</f>
        <v/>
      </c>
      <c r="J493" s="35">
        <f>IF($F493="","",IFERROR(INDEX(사건마스터!$H$5:$H$64,MATCH($F493,사건마스터!$A$5:$A$64,0)),""))</f>
        <v/>
      </c>
      <c r="K493" s="35">
        <f>IF($F493="","",IFERROR(INDEX(사건마스터!$AH$5:$AH$64,MATCH($F493,사건마스터!$A$5:$A$64,0)),""))</f>
        <v/>
      </c>
      <c r="L493" s="35">
        <f>IF($F493="","",IFERROR(INDEX(사건마스터!$AI$5:$AI$64,MATCH($F493,사건마스터!$A$5:$A$64,0)),""))</f>
        <v/>
      </c>
      <c r="M493" s="35">
        <f>IF($F493="","",IFERROR(INDEX(사건마스터!$AJ$5:$AJ$64,MATCH($F493,사건마스터!$A$5:$A$64,0)),""))</f>
        <v/>
      </c>
      <c r="N493" s="35">
        <f>IF($F493="","",IFERROR(INDEX(사건마스터!$AK$5:$AK$64,MATCH($F493,사건마스터!$A$5:$A$64,0)),""))</f>
        <v/>
      </c>
      <c r="O493" s="35">
        <f>IF($F493="","",IFERROR(INDEX(사건마스터!$AL$5:$AL$64,MATCH($F493,사건마스터!$A$5:$A$64,0)),""))</f>
        <v/>
      </c>
      <c r="P493" s="35">
        <f>IF($F493="","",IFERROR(INDEX(사건마스터!$AM$5:$AM$64,MATCH($F493,사건마스터!$A$5:$A$64,0)),""))</f>
        <v/>
      </c>
      <c r="Q493" s="35">
        <f>IF($F493="","",IFERROR(INDEX(사건마스터!$AN$5:$AN$64,MATCH($F493,사건마스터!$A$5:$A$64,0)),""))</f>
        <v/>
      </c>
      <c r="R493" s="35">
        <f>IF($F493="","",IFERROR(INDEX(사건마스터!$AO$5:$AO$64,MATCH($F493,사건마스터!$A$5:$A$64,0)),""))</f>
        <v/>
      </c>
      <c r="S493" s="35">
        <f>IF($F493="","",IFERROR(INDEX(사건마스터!$AP$5:$AP$64,MATCH($F493,사건마스터!$A$5:$A$64,0)),""))</f>
        <v/>
      </c>
      <c r="T493" s="35">
        <f>IF($F493="","",IFERROR(INDEX(사건마스터!$AQ$5:$AQ$64,MATCH($F493,사건마스터!$A$5:$A$64,0)),""))</f>
        <v/>
      </c>
      <c r="U493" s="35">
        <f>IF($F493="","",IFERROR(INDEX(사건마스터!$AR$5:$AR$64,MATCH($F493,사건마스터!$A$5:$A$64,0)),""))</f>
        <v/>
      </c>
      <c r="V493" s="35">
        <f>IF($F493="","",IFERROR(INDEX(사건마스터!$AS$5:$AS$64,MATCH($F493,사건마스터!$A$5:$A$64,0)),""))</f>
        <v/>
      </c>
      <c r="W493" s="35">
        <f>IF($F493="","",IFERROR(INDEX(사건마스터!$AT$5:$AT$64,MATCH($F493,사건마스터!$A$5:$A$64,0)),""))</f>
        <v/>
      </c>
      <c r="X493" s="35">
        <f>IF($F493="","",IFERROR(INDEX(사건마스터!$AU$5:$AU$64,MATCH($F493,사건마스터!$A$5:$A$64,0)),""))</f>
        <v/>
      </c>
      <c r="Y493" s="35">
        <f>IF($F493="","",IFERROR(INDEX(사건마스터!$AV$5:$AV$64,MATCH($F493,사건마스터!$A$5:$A$64,0)),""))</f>
        <v/>
      </c>
      <c r="Z493" s="30">
        <f>IF(COUNTBLANK($J493:$Y493)=16,"",16-COUNTBLANK($J493:$Y493))</f>
        <v/>
      </c>
      <c r="AA493" s="33">
        <f>IF($J493="",MID($AX493,3,255),$J493&amp;$AX493)</f>
        <v/>
      </c>
      <c r="AB493" s="34">
        <f>IF($J493="","",IFERROR(INDEX(코드설정!$D$5:$D$24,MATCH($J493,코드설정!$C$5:$C$24,0)),""))</f>
        <v/>
      </c>
      <c r="AC493" s="36" t="n"/>
      <c r="AD493" s="37" t="n"/>
      <c r="AE493" s="38" t="n"/>
      <c r="AF493" s="30">
        <f>IF(OR($B493="",$C493=""),"",$C493-$B493+1)</f>
        <v/>
      </c>
      <c r="AG493" s="32" t="n"/>
      <c r="AH493" s="36" t="n"/>
      <c r="AJ493">
        <f>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  <c r="AX493">
        <f>AW493&amp;IF($Y493="","",", "&amp;$Y493)</f>
        <v/>
      </c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0">
        <f>IF($F494="","",COUNTIF($F$5:$F494,$F494))</f>
        <v/>
      </c>
      <c r="H494" s="33">
        <f>IF($F494="","",IFERROR(INDEX(사건마스터!$B$5:$B$64,MATCH($F494,사건마스터!$A$5:$A$64,0)),""))</f>
        <v/>
      </c>
      <c r="I494" s="34">
        <f>IF($F494="","",IFERROR(INDEX(사건마스터!$C$5:$C$64,MATCH($F494,사건마스터!$A$5:$A$64,0)),""))</f>
        <v/>
      </c>
      <c r="J494" s="35">
        <f>IF($F494="","",IFERROR(INDEX(사건마스터!$H$5:$H$64,MATCH($F494,사건마스터!$A$5:$A$64,0)),""))</f>
        <v/>
      </c>
      <c r="K494" s="35">
        <f>IF($F494="","",IFERROR(INDEX(사건마스터!$AH$5:$AH$64,MATCH($F494,사건마스터!$A$5:$A$64,0)),""))</f>
        <v/>
      </c>
      <c r="L494" s="35">
        <f>IF($F494="","",IFERROR(INDEX(사건마스터!$AI$5:$AI$64,MATCH($F494,사건마스터!$A$5:$A$64,0)),""))</f>
        <v/>
      </c>
      <c r="M494" s="35">
        <f>IF($F494="","",IFERROR(INDEX(사건마스터!$AJ$5:$AJ$64,MATCH($F494,사건마스터!$A$5:$A$64,0)),""))</f>
        <v/>
      </c>
      <c r="N494" s="35">
        <f>IF($F494="","",IFERROR(INDEX(사건마스터!$AK$5:$AK$64,MATCH($F494,사건마스터!$A$5:$A$64,0)),""))</f>
        <v/>
      </c>
      <c r="O494" s="35">
        <f>IF($F494="","",IFERROR(INDEX(사건마스터!$AL$5:$AL$64,MATCH($F494,사건마스터!$A$5:$A$64,0)),""))</f>
        <v/>
      </c>
      <c r="P494" s="35">
        <f>IF($F494="","",IFERROR(INDEX(사건마스터!$AM$5:$AM$64,MATCH($F494,사건마스터!$A$5:$A$64,0)),""))</f>
        <v/>
      </c>
      <c r="Q494" s="35">
        <f>IF($F494="","",IFERROR(INDEX(사건마스터!$AN$5:$AN$64,MATCH($F494,사건마스터!$A$5:$A$64,0)),""))</f>
        <v/>
      </c>
      <c r="R494" s="35">
        <f>IF($F494="","",IFERROR(INDEX(사건마스터!$AO$5:$AO$64,MATCH($F494,사건마스터!$A$5:$A$64,0)),""))</f>
        <v/>
      </c>
      <c r="S494" s="35">
        <f>IF($F494="","",IFERROR(INDEX(사건마스터!$AP$5:$AP$64,MATCH($F494,사건마스터!$A$5:$A$64,0)),""))</f>
        <v/>
      </c>
      <c r="T494" s="35">
        <f>IF($F494="","",IFERROR(INDEX(사건마스터!$AQ$5:$AQ$64,MATCH($F494,사건마스터!$A$5:$A$64,0)),""))</f>
        <v/>
      </c>
      <c r="U494" s="35">
        <f>IF($F494="","",IFERROR(INDEX(사건마스터!$AR$5:$AR$64,MATCH($F494,사건마스터!$A$5:$A$64,0)),""))</f>
        <v/>
      </c>
      <c r="V494" s="35">
        <f>IF($F494="","",IFERROR(INDEX(사건마스터!$AS$5:$AS$64,MATCH($F494,사건마스터!$A$5:$A$64,0)),""))</f>
        <v/>
      </c>
      <c r="W494" s="35">
        <f>IF($F494="","",IFERROR(INDEX(사건마스터!$AT$5:$AT$64,MATCH($F494,사건마스터!$A$5:$A$64,0)),""))</f>
        <v/>
      </c>
      <c r="X494" s="35">
        <f>IF($F494="","",IFERROR(INDEX(사건마스터!$AU$5:$AU$64,MATCH($F494,사건마스터!$A$5:$A$64,0)),""))</f>
        <v/>
      </c>
      <c r="Y494" s="35">
        <f>IF($F494="","",IFERROR(INDEX(사건마스터!$AV$5:$AV$64,MATCH($F494,사건마스터!$A$5:$A$64,0)),""))</f>
        <v/>
      </c>
      <c r="Z494" s="30">
        <f>IF(COUNTBLANK($J494:$Y494)=16,"",16-COUNTBLANK($J494:$Y494))</f>
        <v/>
      </c>
      <c r="AA494" s="33">
        <f>IF($J494="",MID($AX494,3,255),$J494&amp;$AX494)</f>
        <v/>
      </c>
      <c r="AB494" s="34">
        <f>IF($J494="","",IFERROR(INDEX(코드설정!$D$5:$D$24,MATCH($J494,코드설정!$C$5:$C$24,0)),""))</f>
        <v/>
      </c>
      <c r="AC494" s="36" t="n"/>
      <c r="AD494" s="37" t="n"/>
      <c r="AE494" s="38" t="n"/>
      <c r="AF494" s="30">
        <f>IF(OR($B494="",$C494=""),"",$C494-$B494+1)</f>
        <v/>
      </c>
      <c r="AG494" s="32" t="n"/>
      <c r="AH494" s="36" t="n"/>
      <c r="AJ494">
        <f>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  <c r="AX494">
        <f>AW494&amp;IF($Y494="","",", "&amp;$Y494)</f>
        <v/>
      </c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0">
        <f>IF($F495="","",COUNTIF($F$5:$F495,$F495))</f>
        <v/>
      </c>
      <c r="H495" s="33">
        <f>IF($F495="","",IFERROR(INDEX(사건마스터!$B$5:$B$64,MATCH($F495,사건마스터!$A$5:$A$64,0)),""))</f>
        <v/>
      </c>
      <c r="I495" s="34">
        <f>IF($F495="","",IFERROR(INDEX(사건마스터!$C$5:$C$64,MATCH($F495,사건마스터!$A$5:$A$64,0)),""))</f>
        <v/>
      </c>
      <c r="J495" s="35">
        <f>IF($F495="","",IFERROR(INDEX(사건마스터!$H$5:$H$64,MATCH($F495,사건마스터!$A$5:$A$64,0)),""))</f>
        <v/>
      </c>
      <c r="K495" s="35">
        <f>IF($F495="","",IFERROR(INDEX(사건마스터!$AH$5:$AH$64,MATCH($F495,사건마스터!$A$5:$A$64,0)),""))</f>
        <v/>
      </c>
      <c r="L495" s="35">
        <f>IF($F495="","",IFERROR(INDEX(사건마스터!$AI$5:$AI$64,MATCH($F495,사건마스터!$A$5:$A$64,0)),""))</f>
        <v/>
      </c>
      <c r="M495" s="35">
        <f>IF($F495="","",IFERROR(INDEX(사건마스터!$AJ$5:$AJ$64,MATCH($F495,사건마스터!$A$5:$A$64,0)),""))</f>
        <v/>
      </c>
      <c r="N495" s="35">
        <f>IF($F495="","",IFERROR(INDEX(사건마스터!$AK$5:$AK$64,MATCH($F495,사건마스터!$A$5:$A$64,0)),""))</f>
        <v/>
      </c>
      <c r="O495" s="35">
        <f>IF($F495="","",IFERROR(INDEX(사건마스터!$AL$5:$AL$64,MATCH($F495,사건마스터!$A$5:$A$64,0)),""))</f>
        <v/>
      </c>
      <c r="P495" s="35">
        <f>IF($F495="","",IFERROR(INDEX(사건마스터!$AM$5:$AM$64,MATCH($F495,사건마스터!$A$5:$A$64,0)),""))</f>
        <v/>
      </c>
      <c r="Q495" s="35">
        <f>IF($F495="","",IFERROR(INDEX(사건마스터!$AN$5:$AN$64,MATCH($F495,사건마스터!$A$5:$A$64,0)),""))</f>
        <v/>
      </c>
      <c r="R495" s="35">
        <f>IF($F495="","",IFERROR(INDEX(사건마스터!$AO$5:$AO$64,MATCH($F495,사건마스터!$A$5:$A$64,0)),""))</f>
        <v/>
      </c>
      <c r="S495" s="35">
        <f>IF($F495="","",IFERROR(INDEX(사건마스터!$AP$5:$AP$64,MATCH($F495,사건마스터!$A$5:$A$64,0)),""))</f>
        <v/>
      </c>
      <c r="T495" s="35">
        <f>IF($F495="","",IFERROR(INDEX(사건마스터!$AQ$5:$AQ$64,MATCH($F495,사건마스터!$A$5:$A$64,0)),""))</f>
        <v/>
      </c>
      <c r="U495" s="35">
        <f>IF($F495="","",IFERROR(INDEX(사건마스터!$AR$5:$AR$64,MATCH($F495,사건마스터!$A$5:$A$64,0)),""))</f>
        <v/>
      </c>
      <c r="V495" s="35">
        <f>IF($F495="","",IFERROR(INDEX(사건마스터!$AS$5:$AS$64,MATCH($F495,사건마스터!$A$5:$A$64,0)),""))</f>
        <v/>
      </c>
      <c r="W495" s="35">
        <f>IF($F495="","",IFERROR(INDEX(사건마스터!$AT$5:$AT$64,MATCH($F495,사건마스터!$A$5:$A$64,0)),""))</f>
        <v/>
      </c>
      <c r="X495" s="35">
        <f>IF($F495="","",IFERROR(INDEX(사건마스터!$AU$5:$AU$64,MATCH($F495,사건마스터!$A$5:$A$64,0)),""))</f>
        <v/>
      </c>
      <c r="Y495" s="35">
        <f>IF($F495="","",IFERROR(INDEX(사건마스터!$AV$5:$AV$64,MATCH($F495,사건마스터!$A$5:$A$64,0)),""))</f>
        <v/>
      </c>
      <c r="Z495" s="30">
        <f>IF(COUNTBLANK($J495:$Y495)=16,"",16-COUNTBLANK($J495:$Y495))</f>
        <v/>
      </c>
      <c r="AA495" s="33">
        <f>IF($J495="",MID($AX495,3,255),$J495&amp;$AX495)</f>
        <v/>
      </c>
      <c r="AB495" s="34">
        <f>IF($J495="","",IFERROR(INDEX(코드설정!$D$5:$D$24,MATCH($J495,코드설정!$C$5:$C$24,0)),""))</f>
        <v/>
      </c>
      <c r="AC495" s="36" t="n"/>
      <c r="AD495" s="37" t="n"/>
      <c r="AE495" s="38" t="n"/>
      <c r="AF495" s="30">
        <f>IF(OR($B495="",$C495=""),"",$C495-$B495+1)</f>
        <v/>
      </c>
      <c r="AG495" s="32" t="n"/>
      <c r="AH495" s="36" t="n"/>
      <c r="AJ495">
        <f>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  <c r="AX495">
        <f>AW495&amp;IF($Y495="","",", "&amp;$Y495)</f>
        <v/>
      </c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0">
        <f>IF($F496="","",COUNTIF($F$5:$F496,$F496))</f>
        <v/>
      </c>
      <c r="H496" s="33">
        <f>IF($F496="","",IFERROR(INDEX(사건마스터!$B$5:$B$64,MATCH($F496,사건마스터!$A$5:$A$64,0)),""))</f>
        <v/>
      </c>
      <c r="I496" s="34">
        <f>IF($F496="","",IFERROR(INDEX(사건마스터!$C$5:$C$64,MATCH($F496,사건마스터!$A$5:$A$64,0)),""))</f>
        <v/>
      </c>
      <c r="J496" s="35">
        <f>IF($F496="","",IFERROR(INDEX(사건마스터!$H$5:$H$64,MATCH($F496,사건마스터!$A$5:$A$64,0)),""))</f>
        <v/>
      </c>
      <c r="K496" s="35">
        <f>IF($F496="","",IFERROR(INDEX(사건마스터!$AH$5:$AH$64,MATCH($F496,사건마스터!$A$5:$A$64,0)),""))</f>
        <v/>
      </c>
      <c r="L496" s="35">
        <f>IF($F496="","",IFERROR(INDEX(사건마스터!$AI$5:$AI$64,MATCH($F496,사건마스터!$A$5:$A$64,0)),""))</f>
        <v/>
      </c>
      <c r="M496" s="35">
        <f>IF($F496="","",IFERROR(INDEX(사건마스터!$AJ$5:$AJ$64,MATCH($F496,사건마스터!$A$5:$A$64,0)),""))</f>
        <v/>
      </c>
      <c r="N496" s="35">
        <f>IF($F496="","",IFERROR(INDEX(사건마스터!$AK$5:$AK$64,MATCH($F496,사건마스터!$A$5:$A$64,0)),""))</f>
        <v/>
      </c>
      <c r="O496" s="35">
        <f>IF($F496="","",IFERROR(INDEX(사건마스터!$AL$5:$AL$64,MATCH($F496,사건마스터!$A$5:$A$64,0)),""))</f>
        <v/>
      </c>
      <c r="P496" s="35">
        <f>IF($F496="","",IFERROR(INDEX(사건마스터!$AM$5:$AM$64,MATCH($F496,사건마스터!$A$5:$A$64,0)),""))</f>
        <v/>
      </c>
      <c r="Q496" s="35">
        <f>IF($F496="","",IFERROR(INDEX(사건마스터!$AN$5:$AN$64,MATCH($F496,사건마스터!$A$5:$A$64,0)),""))</f>
        <v/>
      </c>
      <c r="R496" s="35">
        <f>IF($F496="","",IFERROR(INDEX(사건마스터!$AO$5:$AO$64,MATCH($F496,사건마스터!$A$5:$A$64,0)),""))</f>
        <v/>
      </c>
      <c r="S496" s="35">
        <f>IF($F496="","",IFERROR(INDEX(사건마스터!$AP$5:$AP$64,MATCH($F496,사건마스터!$A$5:$A$64,0)),""))</f>
        <v/>
      </c>
      <c r="T496" s="35">
        <f>IF($F496="","",IFERROR(INDEX(사건마스터!$AQ$5:$AQ$64,MATCH($F496,사건마스터!$A$5:$A$64,0)),""))</f>
        <v/>
      </c>
      <c r="U496" s="35">
        <f>IF($F496="","",IFERROR(INDEX(사건마스터!$AR$5:$AR$64,MATCH($F496,사건마스터!$A$5:$A$64,0)),""))</f>
        <v/>
      </c>
      <c r="V496" s="35">
        <f>IF($F496="","",IFERROR(INDEX(사건마스터!$AS$5:$AS$64,MATCH($F496,사건마스터!$A$5:$A$64,0)),""))</f>
        <v/>
      </c>
      <c r="W496" s="35">
        <f>IF($F496="","",IFERROR(INDEX(사건마스터!$AT$5:$AT$64,MATCH($F496,사건마스터!$A$5:$A$64,0)),""))</f>
        <v/>
      </c>
      <c r="X496" s="35">
        <f>IF($F496="","",IFERROR(INDEX(사건마스터!$AU$5:$AU$64,MATCH($F496,사건마스터!$A$5:$A$64,0)),""))</f>
        <v/>
      </c>
      <c r="Y496" s="35">
        <f>IF($F496="","",IFERROR(INDEX(사건마스터!$AV$5:$AV$64,MATCH($F496,사건마스터!$A$5:$A$64,0)),""))</f>
        <v/>
      </c>
      <c r="Z496" s="30">
        <f>IF(COUNTBLANK($J496:$Y496)=16,"",16-COUNTBLANK($J496:$Y496))</f>
        <v/>
      </c>
      <c r="AA496" s="33">
        <f>IF($J496="",MID($AX496,3,255),$J496&amp;$AX496)</f>
        <v/>
      </c>
      <c r="AB496" s="34">
        <f>IF($J496="","",IFERROR(INDEX(코드설정!$D$5:$D$24,MATCH($J496,코드설정!$C$5:$C$24,0)),""))</f>
        <v/>
      </c>
      <c r="AC496" s="36" t="n"/>
      <c r="AD496" s="37" t="n"/>
      <c r="AE496" s="38" t="n"/>
      <c r="AF496" s="30">
        <f>IF(OR($B496="",$C496=""),"",$C496-$B496+1)</f>
        <v/>
      </c>
      <c r="AG496" s="32" t="n"/>
      <c r="AH496" s="36" t="n"/>
      <c r="AJ496">
        <f>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  <c r="AX496">
        <f>AW496&amp;IF($Y496="","",", "&amp;$Y496)</f>
        <v/>
      </c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0">
        <f>IF($F497="","",COUNTIF($F$5:$F497,$F497))</f>
        <v/>
      </c>
      <c r="H497" s="33">
        <f>IF($F497="","",IFERROR(INDEX(사건마스터!$B$5:$B$64,MATCH($F497,사건마스터!$A$5:$A$64,0)),""))</f>
        <v/>
      </c>
      <c r="I497" s="34">
        <f>IF($F497="","",IFERROR(INDEX(사건마스터!$C$5:$C$64,MATCH($F497,사건마스터!$A$5:$A$64,0)),""))</f>
        <v/>
      </c>
      <c r="J497" s="35">
        <f>IF($F497="","",IFERROR(INDEX(사건마스터!$H$5:$H$64,MATCH($F497,사건마스터!$A$5:$A$64,0)),""))</f>
        <v/>
      </c>
      <c r="K497" s="35">
        <f>IF($F497="","",IFERROR(INDEX(사건마스터!$AH$5:$AH$64,MATCH($F497,사건마스터!$A$5:$A$64,0)),""))</f>
        <v/>
      </c>
      <c r="L497" s="35">
        <f>IF($F497="","",IFERROR(INDEX(사건마스터!$AI$5:$AI$64,MATCH($F497,사건마스터!$A$5:$A$64,0)),""))</f>
        <v/>
      </c>
      <c r="M497" s="35">
        <f>IF($F497="","",IFERROR(INDEX(사건마스터!$AJ$5:$AJ$64,MATCH($F497,사건마스터!$A$5:$A$64,0)),""))</f>
        <v/>
      </c>
      <c r="N497" s="35">
        <f>IF($F497="","",IFERROR(INDEX(사건마스터!$AK$5:$AK$64,MATCH($F497,사건마스터!$A$5:$A$64,0)),""))</f>
        <v/>
      </c>
      <c r="O497" s="35">
        <f>IF($F497="","",IFERROR(INDEX(사건마스터!$AL$5:$AL$64,MATCH($F497,사건마스터!$A$5:$A$64,0)),""))</f>
        <v/>
      </c>
      <c r="P497" s="35">
        <f>IF($F497="","",IFERROR(INDEX(사건마스터!$AM$5:$AM$64,MATCH($F497,사건마스터!$A$5:$A$64,0)),""))</f>
        <v/>
      </c>
      <c r="Q497" s="35">
        <f>IF($F497="","",IFERROR(INDEX(사건마스터!$AN$5:$AN$64,MATCH($F497,사건마스터!$A$5:$A$64,0)),""))</f>
        <v/>
      </c>
      <c r="R497" s="35">
        <f>IF($F497="","",IFERROR(INDEX(사건마스터!$AO$5:$AO$64,MATCH($F497,사건마스터!$A$5:$A$64,0)),""))</f>
        <v/>
      </c>
      <c r="S497" s="35">
        <f>IF($F497="","",IFERROR(INDEX(사건마스터!$AP$5:$AP$64,MATCH($F497,사건마스터!$A$5:$A$64,0)),""))</f>
        <v/>
      </c>
      <c r="T497" s="35">
        <f>IF($F497="","",IFERROR(INDEX(사건마스터!$AQ$5:$AQ$64,MATCH($F497,사건마스터!$A$5:$A$64,0)),""))</f>
        <v/>
      </c>
      <c r="U497" s="35">
        <f>IF($F497="","",IFERROR(INDEX(사건마스터!$AR$5:$AR$64,MATCH($F497,사건마스터!$A$5:$A$64,0)),""))</f>
        <v/>
      </c>
      <c r="V497" s="35">
        <f>IF($F497="","",IFERROR(INDEX(사건마스터!$AS$5:$AS$64,MATCH($F497,사건마스터!$A$5:$A$64,0)),""))</f>
        <v/>
      </c>
      <c r="W497" s="35">
        <f>IF($F497="","",IFERROR(INDEX(사건마스터!$AT$5:$AT$64,MATCH($F497,사건마스터!$A$5:$A$64,0)),""))</f>
        <v/>
      </c>
      <c r="X497" s="35">
        <f>IF($F497="","",IFERROR(INDEX(사건마스터!$AU$5:$AU$64,MATCH($F497,사건마스터!$A$5:$A$64,0)),""))</f>
        <v/>
      </c>
      <c r="Y497" s="35">
        <f>IF($F497="","",IFERROR(INDEX(사건마스터!$AV$5:$AV$64,MATCH($F497,사건마스터!$A$5:$A$64,0)),""))</f>
        <v/>
      </c>
      <c r="Z497" s="30">
        <f>IF(COUNTBLANK($J497:$Y497)=16,"",16-COUNTBLANK($J497:$Y497))</f>
        <v/>
      </c>
      <c r="AA497" s="33">
        <f>IF($J497="",MID($AX497,3,255),$J497&amp;$AX497)</f>
        <v/>
      </c>
      <c r="AB497" s="34">
        <f>IF($J497="","",IFERROR(INDEX(코드설정!$D$5:$D$24,MATCH($J497,코드설정!$C$5:$C$24,0)),""))</f>
        <v/>
      </c>
      <c r="AC497" s="36" t="n"/>
      <c r="AD497" s="37" t="n"/>
      <c r="AE497" s="38" t="n"/>
      <c r="AF497" s="30">
        <f>IF(OR($B497="",$C497=""),"",$C497-$B497+1)</f>
        <v/>
      </c>
      <c r="AG497" s="32" t="n"/>
      <c r="AH497" s="36" t="n"/>
      <c r="AJ497">
        <f>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  <c r="AX497">
        <f>AW497&amp;IF($Y497="","",", "&amp;$Y497)</f>
        <v/>
      </c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0">
        <f>IF($F498="","",COUNTIF($F$5:$F498,$F498))</f>
        <v/>
      </c>
      <c r="H498" s="33">
        <f>IF($F498="","",IFERROR(INDEX(사건마스터!$B$5:$B$64,MATCH($F498,사건마스터!$A$5:$A$64,0)),""))</f>
        <v/>
      </c>
      <c r="I498" s="34">
        <f>IF($F498="","",IFERROR(INDEX(사건마스터!$C$5:$C$64,MATCH($F498,사건마스터!$A$5:$A$64,0)),""))</f>
        <v/>
      </c>
      <c r="J498" s="35">
        <f>IF($F498="","",IFERROR(INDEX(사건마스터!$H$5:$H$64,MATCH($F498,사건마스터!$A$5:$A$64,0)),""))</f>
        <v/>
      </c>
      <c r="K498" s="35">
        <f>IF($F498="","",IFERROR(INDEX(사건마스터!$AH$5:$AH$64,MATCH($F498,사건마스터!$A$5:$A$64,0)),""))</f>
        <v/>
      </c>
      <c r="L498" s="35">
        <f>IF($F498="","",IFERROR(INDEX(사건마스터!$AI$5:$AI$64,MATCH($F498,사건마스터!$A$5:$A$64,0)),""))</f>
        <v/>
      </c>
      <c r="M498" s="35">
        <f>IF($F498="","",IFERROR(INDEX(사건마스터!$AJ$5:$AJ$64,MATCH($F498,사건마스터!$A$5:$A$64,0)),""))</f>
        <v/>
      </c>
      <c r="N498" s="35">
        <f>IF($F498="","",IFERROR(INDEX(사건마스터!$AK$5:$AK$64,MATCH($F498,사건마스터!$A$5:$A$64,0)),""))</f>
        <v/>
      </c>
      <c r="O498" s="35">
        <f>IF($F498="","",IFERROR(INDEX(사건마스터!$AL$5:$AL$64,MATCH($F498,사건마스터!$A$5:$A$64,0)),""))</f>
        <v/>
      </c>
      <c r="P498" s="35">
        <f>IF($F498="","",IFERROR(INDEX(사건마스터!$AM$5:$AM$64,MATCH($F498,사건마스터!$A$5:$A$64,0)),""))</f>
        <v/>
      </c>
      <c r="Q498" s="35">
        <f>IF($F498="","",IFERROR(INDEX(사건마스터!$AN$5:$AN$64,MATCH($F498,사건마스터!$A$5:$A$64,0)),""))</f>
        <v/>
      </c>
      <c r="R498" s="35">
        <f>IF($F498="","",IFERROR(INDEX(사건마스터!$AO$5:$AO$64,MATCH($F498,사건마스터!$A$5:$A$64,0)),""))</f>
        <v/>
      </c>
      <c r="S498" s="35">
        <f>IF($F498="","",IFERROR(INDEX(사건마스터!$AP$5:$AP$64,MATCH($F498,사건마스터!$A$5:$A$64,0)),""))</f>
        <v/>
      </c>
      <c r="T498" s="35">
        <f>IF($F498="","",IFERROR(INDEX(사건마스터!$AQ$5:$AQ$64,MATCH($F498,사건마스터!$A$5:$A$64,0)),""))</f>
        <v/>
      </c>
      <c r="U498" s="35">
        <f>IF($F498="","",IFERROR(INDEX(사건마스터!$AR$5:$AR$64,MATCH($F498,사건마스터!$A$5:$A$64,0)),""))</f>
        <v/>
      </c>
      <c r="V498" s="35">
        <f>IF($F498="","",IFERROR(INDEX(사건마스터!$AS$5:$AS$64,MATCH($F498,사건마스터!$A$5:$A$64,0)),""))</f>
        <v/>
      </c>
      <c r="W498" s="35">
        <f>IF($F498="","",IFERROR(INDEX(사건마스터!$AT$5:$AT$64,MATCH($F498,사건마스터!$A$5:$A$64,0)),""))</f>
        <v/>
      </c>
      <c r="X498" s="35">
        <f>IF($F498="","",IFERROR(INDEX(사건마스터!$AU$5:$AU$64,MATCH($F498,사건마스터!$A$5:$A$64,0)),""))</f>
        <v/>
      </c>
      <c r="Y498" s="35">
        <f>IF($F498="","",IFERROR(INDEX(사건마스터!$AV$5:$AV$64,MATCH($F498,사건마스터!$A$5:$A$64,0)),""))</f>
        <v/>
      </c>
      <c r="Z498" s="30">
        <f>IF(COUNTBLANK($J498:$Y498)=16,"",16-COUNTBLANK($J498:$Y498))</f>
        <v/>
      </c>
      <c r="AA498" s="33">
        <f>IF($J498="",MID($AX498,3,255),$J498&amp;$AX498)</f>
        <v/>
      </c>
      <c r="AB498" s="34">
        <f>IF($J498="","",IFERROR(INDEX(코드설정!$D$5:$D$24,MATCH($J498,코드설정!$C$5:$C$24,0)),""))</f>
        <v/>
      </c>
      <c r="AC498" s="36" t="n"/>
      <c r="AD498" s="37" t="n"/>
      <c r="AE498" s="38" t="n"/>
      <c r="AF498" s="30">
        <f>IF(OR($B498="",$C498=""),"",$C498-$B498+1)</f>
        <v/>
      </c>
      <c r="AG498" s="32" t="n"/>
      <c r="AH498" s="36" t="n"/>
      <c r="AJ498">
        <f>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  <c r="AX498">
        <f>AW498&amp;IF($Y498="","",", "&amp;$Y498)</f>
        <v/>
      </c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0">
        <f>IF($F499="","",COUNTIF($F$5:$F499,$F499))</f>
        <v/>
      </c>
      <c r="H499" s="33">
        <f>IF($F499="","",IFERROR(INDEX(사건마스터!$B$5:$B$64,MATCH($F499,사건마스터!$A$5:$A$64,0)),""))</f>
        <v/>
      </c>
      <c r="I499" s="34">
        <f>IF($F499="","",IFERROR(INDEX(사건마스터!$C$5:$C$64,MATCH($F499,사건마스터!$A$5:$A$64,0)),""))</f>
        <v/>
      </c>
      <c r="J499" s="35">
        <f>IF($F499="","",IFERROR(INDEX(사건마스터!$H$5:$H$64,MATCH($F499,사건마스터!$A$5:$A$64,0)),""))</f>
        <v/>
      </c>
      <c r="K499" s="35">
        <f>IF($F499="","",IFERROR(INDEX(사건마스터!$AH$5:$AH$64,MATCH($F499,사건마스터!$A$5:$A$64,0)),""))</f>
        <v/>
      </c>
      <c r="L499" s="35">
        <f>IF($F499="","",IFERROR(INDEX(사건마스터!$AI$5:$AI$64,MATCH($F499,사건마스터!$A$5:$A$64,0)),""))</f>
        <v/>
      </c>
      <c r="M499" s="35">
        <f>IF($F499="","",IFERROR(INDEX(사건마스터!$AJ$5:$AJ$64,MATCH($F499,사건마스터!$A$5:$A$64,0)),""))</f>
        <v/>
      </c>
      <c r="N499" s="35">
        <f>IF($F499="","",IFERROR(INDEX(사건마스터!$AK$5:$AK$64,MATCH($F499,사건마스터!$A$5:$A$64,0)),""))</f>
        <v/>
      </c>
      <c r="O499" s="35">
        <f>IF($F499="","",IFERROR(INDEX(사건마스터!$AL$5:$AL$64,MATCH($F499,사건마스터!$A$5:$A$64,0)),""))</f>
        <v/>
      </c>
      <c r="P499" s="35">
        <f>IF($F499="","",IFERROR(INDEX(사건마스터!$AM$5:$AM$64,MATCH($F499,사건마스터!$A$5:$A$64,0)),""))</f>
        <v/>
      </c>
      <c r="Q499" s="35">
        <f>IF($F499="","",IFERROR(INDEX(사건마스터!$AN$5:$AN$64,MATCH($F499,사건마스터!$A$5:$A$64,0)),""))</f>
        <v/>
      </c>
      <c r="R499" s="35">
        <f>IF($F499="","",IFERROR(INDEX(사건마스터!$AO$5:$AO$64,MATCH($F499,사건마스터!$A$5:$A$64,0)),""))</f>
        <v/>
      </c>
      <c r="S499" s="35">
        <f>IF($F499="","",IFERROR(INDEX(사건마스터!$AP$5:$AP$64,MATCH($F499,사건마스터!$A$5:$A$64,0)),""))</f>
        <v/>
      </c>
      <c r="T499" s="35">
        <f>IF($F499="","",IFERROR(INDEX(사건마스터!$AQ$5:$AQ$64,MATCH($F499,사건마스터!$A$5:$A$64,0)),""))</f>
        <v/>
      </c>
      <c r="U499" s="35">
        <f>IF($F499="","",IFERROR(INDEX(사건마스터!$AR$5:$AR$64,MATCH($F499,사건마스터!$A$5:$A$64,0)),""))</f>
        <v/>
      </c>
      <c r="V499" s="35">
        <f>IF($F499="","",IFERROR(INDEX(사건마스터!$AS$5:$AS$64,MATCH($F499,사건마스터!$A$5:$A$64,0)),""))</f>
        <v/>
      </c>
      <c r="W499" s="35">
        <f>IF($F499="","",IFERROR(INDEX(사건마스터!$AT$5:$AT$64,MATCH($F499,사건마스터!$A$5:$A$64,0)),""))</f>
        <v/>
      </c>
      <c r="X499" s="35">
        <f>IF($F499="","",IFERROR(INDEX(사건마스터!$AU$5:$AU$64,MATCH($F499,사건마스터!$A$5:$A$64,0)),""))</f>
        <v/>
      </c>
      <c r="Y499" s="35">
        <f>IF($F499="","",IFERROR(INDEX(사건마스터!$AV$5:$AV$64,MATCH($F499,사건마스터!$A$5:$A$64,0)),""))</f>
        <v/>
      </c>
      <c r="Z499" s="30">
        <f>IF(COUNTBLANK($J499:$Y499)=16,"",16-COUNTBLANK($J499:$Y499))</f>
        <v/>
      </c>
      <c r="AA499" s="33">
        <f>IF($J499="",MID($AX499,3,255),$J499&amp;$AX499)</f>
        <v/>
      </c>
      <c r="AB499" s="34">
        <f>IF($J499="","",IFERROR(INDEX(코드설정!$D$5:$D$24,MATCH($J499,코드설정!$C$5:$C$24,0)),""))</f>
        <v/>
      </c>
      <c r="AC499" s="36" t="n"/>
      <c r="AD499" s="37" t="n"/>
      <c r="AE499" s="38" t="n"/>
      <c r="AF499" s="30">
        <f>IF(OR($B499="",$C499=""),"",$C499-$B499+1)</f>
        <v/>
      </c>
      <c r="AG499" s="32" t="n"/>
      <c r="AH499" s="36" t="n"/>
      <c r="AJ499">
        <f>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  <c r="AX499">
        <f>AW499&amp;IF($Y499="","",", "&amp;$Y499)</f>
        <v/>
      </c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0">
        <f>IF($F500="","",COUNTIF($F$5:$F500,$F500))</f>
        <v/>
      </c>
      <c r="H500" s="33">
        <f>IF($F500="","",IFERROR(INDEX(사건마스터!$B$5:$B$64,MATCH($F500,사건마스터!$A$5:$A$64,0)),""))</f>
        <v/>
      </c>
      <c r="I500" s="34">
        <f>IF($F500="","",IFERROR(INDEX(사건마스터!$C$5:$C$64,MATCH($F500,사건마스터!$A$5:$A$64,0)),""))</f>
        <v/>
      </c>
      <c r="J500" s="35">
        <f>IF($F500="","",IFERROR(INDEX(사건마스터!$H$5:$H$64,MATCH($F500,사건마스터!$A$5:$A$64,0)),""))</f>
        <v/>
      </c>
      <c r="K500" s="35">
        <f>IF($F500="","",IFERROR(INDEX(사건마스터!$AH$5:$AH$64,MATCH($F500,사건마스터!$A$5:$A$64,0)),""))</f>
        <v/>
      </c>
      <c r="L500" s="35">
        <f>IF($F500="","",IFERROR(INDEX(사건마스터!$AI$5:$AI$64,MATCH($F500,사건마스터!$A$5:$A$64,0)),""))</f>
        <v/>
      </c>
      <c r="M500" s="35">
        <f>IF($F500="","",IFERROR(INDEX(사건마스터!$AJ$5:$AJ$64,MATCH($F500,사건마스터!$A$5:$A$64,0)),""))</f>
        <v/>
      </c>
      <c r="N500" s="35">
        <f>IF($F500="","",IFERROR(INDEX(사건마스터!$AK$5:$AK$64,MATCH($F500,사건마스터!$A$5:$A$64,0)),""))</f>
        <v/>
      </c>
      <c r="O500" s="35">
        <f>IF($F500="","",IFERROR(INDEX(사건마스터!$AL$5:$AL$64,MATCH($F500,사건마스터!$A$5:$A$64,0)),""))</f>
        <v/>
      </c>
      <c r="P500" s="35">
        <f>IF($F500="","",IFERROR(INDEX(사건마스터!$AM$5:$AM$64,MATCH($F500,사건마스터!$A$5:$A$64,0)),""))</f>
        <v/>
      </c>
      <c r="Q500" s="35">
        <f>IF($F500="","",IFERROR(INDEX(사건마스터!$AN$5:$AN$64,MATCH($F500,사건마스터!$A$5:$A$64,0)),""))</f>
        <v/>
      </c>
      <c r="R500" s="35">
        <f>IF($F500="","",IFERROR(INDEX(사건마스터!$AO$5:$AO$64,MATCH($F500,사건마스터!$A$5:$A$64,0)),""))</f>
        <v/>
      </c>
      <c r="S500" s="35">
        <f>IF($F500="","",IFERROR(INDEX(사건마스터!$AP$5:$AP$64,MATCH($F500,사건마스터!$A$5:$A$64,0)),""))</f>
        <v/>
      </c>
      <c r="T500" s="35">
        <f>IF($F500="","",IFERROR(INDEX(사건마스터!$AQ$5:$AQ$64,MATCH($F500,사건마스터!$A$5:$A$64,0)),""))</f>
        <v/>
      </c>
      <c r="U500" s="35">
        <f>IF($F500="","",IFERROR(INDEX(사건마스터!$AR$5:$AR$64,MATCH($F500,사건마스터!$A$5:$A$64,0)),""))</f>
        <v/>
      </c>
      <c r="V500" s="35">
        <f>IF($F500="","",IFERROR(INDEX(사건마스터!$AS$5:$AS$64,MATCH($F500,사건마스터!$A$5:$A$64,0)),""))</f>
        <v/>
      </c>
      <c r="W500" s="35">
        <f>IF($F500="","",IFERROR(INDEX(사건마스터!$AT$5:$AT$64,MATCH($F500,사건마스터!$A$5:$A$64,0)),""))</f>
        <v/>
      </c>
      <c r="X500" s="35">
        <f>IF($F500="","",IFERROR(INDEX(사건마스터!$AU$5:$AU$64,MATCH($F500,사건마스터!$A$5:$A$64,0)),""))</f>
        <v/>
      </c>
      <c r="Y500" s="35">
        <f>IF($F500="","",IFERROR(INDEX(사건마스터!$AV$5:$AV$64,MATCH($F500,사건마스터!$A$5:$A$64,0)),""))</f>
        <v/>
      </c>
      <c r="Z500" s="30">
        <f>IF(COUNTBLANK($J500:$Y500)=16,"",16-COUNTBLANK($J500:$Y500))</f>
        <v/>
      </c>
      <c r="AA500" s="33">
        <f>IF($J500="",MID($AX500,3,255),$J500&amp;$AX500)</f>
        <v/>
      </c>
      <c r="AB500" s="34">
        <f>IF($J500="","",IFERROR(INDEX(코드설정!$D$5:$D$24,MATCH($J500,코드설정!$C$5:$C$24,0)),""))</f>
        <v/>
      </c>
      <c r="AC500" s="36" t="n"/>
      <c r="AD500" s="37" t="n"/>
      <c r="AE500" s="38" t="n"/>
      <c r="AF500" s="30">
        <f>IF(OR($B500="",$C500=""),"",$C500-$B500+1)</f>
        <v/>
      </c>
      <c r="AG500" s="32" t="n"/>
      <c r="AH500" s="36" t="n"/>
      <c r="AJ500">
        <f>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  <c r="AX500">
        <f>AW500&amp;IF($Y500="","",", "&amp;$Y500)</f>
        <v/>
      </c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0">
        <f>IF($F501="","",COUNTIF($F$5:$F501,$F501))</f>
        <v/>
      </c>
      <c r="H501" s="33">
        <f>IF($F501="","",IFERROR(INDEX(사건마스터!$B$5:$B$64,MATCH($F501,사건마스터!$A$5:$A$64,0)),""))</f>
        <v/>
      </c>
      <c r="I501" s="34">
        <f>IF($F501="","",IFERROR(INDEX(사건마스터!$C$5:$C$64,MATCH($F501,사건마스터!$A$5:$A$64,0)),""))</f>
        <v/>
      </c>
      <c r="J501" s="35">
        <f>IF($F501="","",IFERROR(INDEX(사건마스터!$H$5:$H$64,MATCH($F501,사건마스터!$A$5:$A$64,0)),""))</f>
        <v/>
      </c>
      <c r="K501" s="35">
        <f>IF($F501="","",IFERROR(INDEX(사건마스터!$AH$5:$AH$64,MATCH($F501,사건마스터!$A$5:$A$64,0)),""))</f>
        <v/>
      </c>
      <c r="L501" s="35">
        <f>IF($F501="","",IFERROR(INDEX(사건마스터!$AI$5:$AI$64,MATCH($F501,사건마스터!$A$5:$A$64,0)),""))</f>
        <v/>
      </c>
      <c r="M501" s="35">
        <f>IF($F501="","",IFERROR(INDEX(사건마스터!$AJ$5:$AJ$64,MATCH($F501,사건마스터!$A$5:$A$64,0)),""))</f>
        <v/>
      </c>
      <c r="N501" s="35">
        <f>IF($F501="","",IFERROR(INDEX(사건마스터!$AK$5:$AK$64,MATCH($F501,사건마스터!$A$5:$A$64,0)),""))</f>
        <v/>
      </c>
      <c r="O501" s="35">
        <f>IF($F501="","",IFERROR(INDEX(사건마스터!$AL$5:$AL$64,MATCH($F501,사건마스터!$A$5:$A$64,0)),""))</f>
        <v/>
      </c>
      <c r="P501" s="35">
        <f>IF($F501="","",IFERROR(INDEX(사건마스터!$AM$5:$AM$64,MATCH($F501,사건마스터!$A$5:$A$64,0)),""))</f>
        <v/>
      </c>
      <c r="Q501" s="35">
        <f>IF($F501="","",IFERROR(INDEX(사건마스터!$AN$5:$AN$64,MATCH($F501,사건마스터!$A$5:$A$64,0)),""))</f>
        <v/>
      </c>
      <c r="R501" s="35">
        <f>IF($F501="","",IFERROR(INDEX(사건마스터!$AO$5:$AO$64,MATCH($F501,사건마스터!$A$5:$A$64,0)),""))</f>
        <v/>
      </c>
      <c r="S501" s="35">
        <f>IF($F501="","",IFERROR(INDEX(사건마스터!$AP$5:$AP$64,MATCH($F501,사건마스터!$A$5:$A$64,0)),""))</f>
        <v/>
      </c>
      <c r="T501" s="35">
        <f>IF($F501="","",IFERROR(INDEX(사건마스터!$AQ$5:$AQ$64,MATCH($F501,사건마스터!$A$5:$A$64,0)),""))</f>
        <v/>
      </c>
      <c r="U501" s="35">
        <f>IF($F501="","",IFERROR(INDEX(사건마스터!$AR$5:$AR$64,MATCH($F501,사건마스터!$A$5:$A$64,0)),""))</f>
        <v/>
      </c>
      <c r="V501" s="35">
        <f>IF($F501="","",IFERROR(INDEX(사건마스터!$AS$5:$AS$64,MATCH($F501,사건마스터!$A$5:$A$64,0)),""))</f>
        <v/>
      </c>
      <c r="W501" s="35">
        <f>IF($F501="","",IFERROR(INDEX(사건마스터!$AT$5:$AT$64,MATCH($F501,사건마스터!$A$5:$A$64,0)),""))</f>
        <v/>
      </c>
      <c r="X501" s="35">
        <f>IF($F501="","",IFERROR(INDEX(사건마스터!$AU$5:$AU$64,MATCH($F501,사건마스터!$A$5:$A$64,0)),""))</f>
        <v/>
      </c>
      <c r="Y501" s="35">
        <f>IF($F501="","",IFERROR(INDEX(사건마스터!$AV$5:$AV$64,MATCH($F501,사건마스터!$A$5:$A$64,0)),""))</f>
        <v/>
      </c>
      <c r="Z501" s="30">
        <f>IF(COUNTBLANK($J501:$Y501)=16,"",16-COUNTBLANK($J501:$Y501))</f>
        <v/>
      </c>
      <c r="AA501" s="33">
        <f>IF($J501="",MID($AX501,3,255),$J501&amp;$AX501)</f>
        <v/>
      </c>
      <c r="AB501" s="34">
        <f>IF($J501="","",IFERROR(INDEX(코드설정!$D$5:$D$24,MATCH($J501,코드설정!$C$5:$C$24,0)),""))</f>
        <v/>
      </c>
      <c r="AC501" s="36" t="n"/>
      <c r="AD501" s="37" t="n"/>
      <c r="AE501" s="38" t="n"/>
      <c r="AF501" s="30">
        <f>IF(OR($B501="",$C501=""),"",$C501-$B501+1)</f>
        <v/>
      </c>
      <c r="AG501" s="32" t="n"/>
      <c r="AH501" s="36" t="n"/>
      <c r="AJ501">
        <f>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  <c r="AX501">
        <f>AW501&amp;IF($Y501="","",", "&amp;$Y501)</f>
        <v/>
      </c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0">
        <f>IF($F502="","",COUNTIF($F$5:$F502,$F502))</f>
        <v/>
      </c>
      <c r="H502" s="33">
        <f>IF($F502="","",IFERROR(INDEX(사건마스터!$B$5:$B$64,MATCH($F502,사건마스터!$A$5:$A$64,0)),""))</f>
        <v/>
      </c>
      <c r="I502" s="34">
        <f>IF($F502="","",IFERROR(INDEX(사건마스터!$C$5:$C$64,MATCH($F502,사건마스터!$A$5:$A$64,0)),""))</f>
        <v/>
      </c>
      <c r="J502" s="35">
        <f>IF($F502="","",IFERROR(INDEX(사건마스터!$H$5:$H$64,MATCH($F502,사건마스터!$A$5:$A$64,0)),""))</f>
        <v/>
      </c>
      <c r="K502" s="35">
        <f>IF($F502="","",IFERROR(INDEX(사건마스터!$AH$5:$AH$64,MATCH($F502,사건마스터!$A$5:$A$64,0)),""))</f>
        <v/>
      </c>
      <c r="L502" s="35">
        <f>IF($F502="","",IFERROR(INDEX(사건마스터!$AI$5:$AI$64,MATCH($F502,사건마스터!$A$5:$A$64,0)),""))</f>
        <v/>
      </c>
      <c r="M502" s="35">
        <f>IF($F502="","",IFERROR(INDEX(사건마스터!$AJ$5:$AJ$64,MATCH($F502,사건마스터!$A$5:$A$64,0)),""))</f>
        <v/>
      </c>
      <c r="N502" s="35">
        <f>IF($F502="","",IFERROR(INDEX(사건마스터!$AK$5:$AK$64,MATCH($F502,사건마스터!$A$5:$A$64,0)),""))</f>
        <v/>
      </c>
      <c r="O502" s="35">
        <f>IF($F502="","",IFERROR(INDEX(사건마스터!$AL$5:$AL$64,MATCH($F502,사건마스터!$A$5:$A$64,0)),""))</f>
        <v/>
      </c>
      <c r="P502" s="35">
        <f>IF($F502="","",IFERROR(INDEX(사건마스터!$AM$5:$AM$64,MATCH($F502,사건마스터!$A$5:$A$64,0)),""))</f>
        <v/>
      </c>
      <c r="Q502" s="35">
        <f>IF($F502="","",IFERROR(INDEX(사건마스터!$AN$5:$AN$64,MATCH($F502,사건마스터!$A$5:$A$64,0)),""))</f>
        <v/>
      </c>
      <c r="R502" s="35">
        <f>IF($F502="","",IFERROR(INDEX(사건마스터!$AO$5:$AO$64,MATCH($F502,사건마스터!$A$5:$A$64,0)),""))</f>
        <v/>
      </c>
      <c r="S502" s="35">
        <f>IF($F502="","",IFERROR(INDEX(사건마스터!$AP$5:$AP$64,MATCH($F502,사건마스터!$A$5:$A$64,0)),""))</f>
        <v/>
      </c>
      <c r="T502" s="35">
        <f>IF($F502="","",IFERROR(INDEX(사건마스터!$AQ$5:$AQ$64,MATCH($F502,사건마스터!$A$5:$A$64,0)),""))</f>
        <v/>
      </c>
      <c r="U502" s="35">
        <f>IF($F502="","",IFERROR(INDEX(사건마스터!$AR$5:$AR$64,MATCH($F502,사건마스터!$A$5:$A$64,0)),""))</f>
        <v/>
      </c>
      <c r="V502" s="35">
        <f>IF($F502="","",IFERROR(INDEX(사건마스터!$AS$5:$AS$64,MATCH($F502,사건마스터!$A$5:$A$64,0)),""))</f>
        <v/>
      </c>
      <c r="W502" s="35">
        <f>IF($F502="","",IFERROR(INDEX(사건마스터!$AT$5:$AT$64,MATCH($F502,사건마스터!$A$5:$A$64,0)),""))</f>
        <v/>
      </c>
      <c r="X502" s="35">
        <f>IF($F502="","",IFERROR(INDEX(사건마스터!$AU$5:$AU$64,MATCH($F502,사건마스터!$A$5:$A$64,0)),""))</f>
        <v/>
      </c>
      <c r="Y502" s="35">
        <f>IF($F502="","",IFERROR(INDEX(사건마스터!$AV$5:$AV$64,MATCH($F502,사건마스터!$A$5:$A$64,0)),""))</f>
        <v/>
      </c>
      <c r="Z502" s="30">
        <f>IF(COUNTBLANK($J502:$Y502)=16,"",16-COUNTBLANK($J502:$Y502))</f>
        <v/>
      </c>
      <c r="AA502" s="33">
        <f>IF($J502="",MID($AX502,3,255),$J502&amp;$AX502)</f>
        <v/>
      </c>
      <c r="AB502" s="34">
        <f>IF($J502="","",IFERROR(INDEX(코드설정!$D$5:$D$24,MATCH($J502,코드설정!$C$5:$C$24,0)),""))</f>
        <v/>
      </c>
      <c r="AC502" s="36" t="n"/>
      <c r="AD502" s="37" t="n"/>
      <c r="AE502" s="38" t="n"/>
      <c r="AF502" s="30">
        <f>IF(OR($B502="",$C502=""),"",$C502-$B502+1)</f>
        <v/>
      </c>
      <c r="AG502" s="32" t="n"/>
      <c r="AH502" s="36" t="n"/>
      <c r="AJ502">
        <f>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  <c r="AX502">
        <f>AW502&amp;IF($Y502="","",", "&amp;$Y502)</f>
        <v/>
      </c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0">
        <f>IF($F503="","",COUNTIF($F$5:$F503,$F503))</f>
        <v/>
      </c>
      <c r="H503" s="33">
        <f>IF($F503="","",IFERROR(INDEX(사건마스터!$B$5:$B$64,MATCH($F503,사건마스터!$A$5:$A$64,0)),""))</f>
        <v/>
      </c>
      <c r="I503" s="34">
        <f>IF($F503="","",IFERROR(INDEX(사건마스터!$C$5:$C$64,MATCH($F503,사건마스터!$A$5:$A$64,0)),""))</f>
        <v/>
      </c>
      <c r="J503" s="35">
        <f>IF($F503="","",IFERROR(INDEX(사건마스터!$H$5:$H$64,MATCH($F503,사건마스터!$A$5:$A$64,0)),""))</f>
        <v/>
      </c>
      <c r="K503" s="35">
        <f>IF($F503="","",IFERROR(INDEX(사건마스터!$AH$5:$AH$64,MATCH($F503,사건마스터!$A$5:$A$64,0)),""))</f>
        <v/>
      </c>
      <c r="L503" s="35">
        <f>IF($F503="","",IFERROR(INDEX(사건마스터!$AI$5:$AI$64,MATCH($F503,사건마스터!$A$5:$A$64,0)),""))</f>
        <v/>
      </c>
      <c r="M503" s="35">
        <f>IF($F503="","",IFERROR(INDEX(사건마스터!$AJ$5:$AJ$64,MATCH($F503,사건마스터!$A$5:$A$64,0)),""))</f>
        <v/>
      </c>
      <c r="N503" s="35">
        <f>IF($F503="","",IFERROR(INDEX(사건마스터!$AK$5:$AK$64,MATCH($F503,사건마스터!$A$5:$A$64,0)),""))</f>
        <v/>
      </c>
      <c r="O503" s="35">
        <f>IF($F503="","",IFERROR(INDEX(사건마스터!$AL$5:$AL$64,MATCH($F503,사건마스터!$A$5:$A$64,0)),""))</f>
        <v/>
      </c>
      <c r="P503" s="35">
        <f>IF($F503="","",IFERROR(INDEX(사건마스터!$AM$5:$AM$64,MATCH($F503,사건마스터!$A$5:$A$64,0)),""))</f>
        <v/>
      </c>
      <c r="Q503" s="35">
        <f>IF($F503="","",IFERROR(INDEX(사건마스터!$AN$5:$AN$64,MATCH($F503,사건마스터!$A$5:$A$64,0)),""))</f>
        <v/>
      </c>
      <c r="R503" s="35">
        <f>IF($F503="","",IFERROR(INDEX(사건마스터!$AO$5:$AO$64,MATCH($F503,사건마스터!$A$5:$A$64,0)),""))</f>
        <v/>
      </c>
      <c r="S503" s="35">
        <f>IF($F503="","",IFERROR(INDEX(사건마스터!$AP$5:$AP$64,MATCH($F503,사건마스터!$A$5:$A$64,0)),""))</f>
        <v/>
      </c>
      <c r="T503" s="35">
        <f>IF($F503="","",IFERROR(INDEX(사건마스터!$AQ$5:$AQ$64,MATCH($F503,사건마스터!$A$5:$A$64,0)),""))</f>
        <v/>
      </c>
      <c r="U503" s="35">
        <f>IF($F503="","",IFERROR(INDEX(사건마스터!$AR$5:$AR$64,MATCH($F503,사건마스터!$A$5:$A$64,0)),""))</f>
        <v/>
      </c>
      <c r="V503" s="35">
        <f>IF($F503="","",IFERROR(INDEX(사건마스터!$AS$5:$AS$64,MATCH($F503,사건마스터!$A$5:$A$64,0)),""))</f>
        <v/>
      </c>
      <c r="W503" s="35">
        <f>IF($F503="","",IFERROR(INDEX(사건마스터!$AT$5:$AT$64,MATCH($F503,사건마스터!$A$5:$A$64,0)),""))</f>
        <v/>
      </c>
      <c r="X503" s="35">
        <f>IF($F503="","",IFERROR(INDEX(사건마스터!$AU$5:$AU$64,MATCH($F503,사건마스터!$A$5:$A$64,0)),""))</f>
        <v/>
      </c>
      <c r="Y503" s="35">
        <f>IF($F503="","",IFERROR(INDEX(사건마스터!$AV$5:$AV$64,MATCH($F503,사건마스터!$A$5:$A$64,0)),""))</f>
        <v/>
      </c>
      <c r="Z503" s="30">
        <f>IF(COUNTBLANK($J503:$Y503)=16,"",16-COUNTBLANK($J503:$Y503))</f>
        <v/>
      </c>
      <c r="AA503" s="33">
        <f>IF($J503="",MID($AX503,3,255),$J503&amp;$AX503)</f>
        <v/>
      </c>
      <c r="AB503" s="34">
        <f>IF($J503="","",IFERROR(INDEX(코드설정!$D$5:$D$24,MATCH($J503,코드설정!$C$5:$C$24,0)),""))</f>
        <v/>
      </c>
      <c r="AC503" s="36" t="n"/>
      <c r="AD503" s="37" t="n"/>
      <c r="AE503" s="38" t="n"/>
      <c r="AF503" s="30">
        <f>IF(OR($B503="",$C503=""),"",$C503-$B503+1)</f>
        <v/>
      </c>
      <c r="AG503" s="32" t="n"/>
      <c r="AH503" s="36" t="n"/>
      <c r="AJ503">
        <f>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  <c r="AX503">
        <f>AW503&amp;IF($Y503="","",", "&amp;$Y503)</f>
        <v/>
      </c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0">
        <f>IF($F504="","",COUNTIF($F$5:$F504,$F504))</f>
        <v/>
      </c>
      <c r="H504" s="33">
        <f>IF($F504="","",IFERROR(INDEX(사건마스터!$B$5:$B$64,MATCH($F504,사건마스터!$A$5:$A$64,0)),""))</f>
        <v/>
      </c>
      <c r="I504" s="34">
        <f>IF($F504="","",IFERROR(INDEX(사건마스터!$C$5:$C$64,MATCH($F504,사건마스터!$A$5:$A$64,0)),""))</f>
        <v/>
      </c>
      <c r="J504" s="35">
        <f>IF($F504="","",IFERROR(INDEX(사건마스터!$H$5:$H$64,MATCH($F504,사건마스터!$A$5:$A$64,0)),""))</f>
        <v/>
      </c>
      <c r="K504" s="35">
        <f>IF($F504="","",IFERROR(INDEX(사건마스터!$AH$5:$AH$64,MATCH($F504,사건마스터!$A$5:$A$64,0)),""))</f>
        <v/>
      </c>
      <c r="L504" s="35">
        <f>IF($F504="","",IFERROR(INDEX(사건마스터!$AI$5:$AI$64,MATCH($F504,사건마스터!$A$5:$A$64,0)),""))</f>
        <v/>
      </c>
      <c r="M504" s="35">
        <f>IF($F504="","",IFERROR(INDEX(사건마스터!$AJ$5:$AJ$64,MATCH($F504,사건마스터!$A$5:$A$64,0)),""))</f>
        <v/>
      </c>
      <c r="N504" s="35">
        <f>IF($F504="","",IFERROR(INDEX(사건마스터!$AK$5:$AK$64,MATCH($F504,사건마스터!$A$5:$A$64,0)),""))</f>
        <v/>
      </c>
      <c r="O504" s="35">
        <f>IF($F504="","",IFERROR(INDEX(사건마스터!$AL$5:$AL$64,MATCH($F504,사건마스터!$A$5:$A$64,0)),""))</f>
        <v/>
      </c>
      <c r="P504" s="35">
        <f>IF($F504="","",IFERROR(INDEX(사건마스터!$AM$5:$AM$64,MATCH($F504,사건마스터!$A$5:$A$64,0)),""))</f>
        <v/>
      </c>
      <c r="Q504" s="35">
        <f>IF($F504="","",IFERROR(INDEX(사건마스터!$AN$5:$AN$64,MATCH($F504,사건마스터!$A$5:$A$64,0)),""))</f>
        <v/>
      </c>
      <c r="R504" s="35">
        <f>IF($F504="","",IFERROR(INDEX(사건마스터!$AO$5:$AO$64,MATCH($F504,사건마스터!$A$5:$A$64,0)),""))</f>
        <v/>
      </c>
      <c r="S504" s="35">
        <f>IF($F504="","",IFERROR(INDEX(사건마스터!$AP$5:$AP$64,MATCH($F504,사건마스터!$A$5:$A$64,0)),""))</f>
        <v/>
      </c>
      <c r="T504" s="35">
        <f>IF($F504="","",IFERROR(INDEX(사건마스터!$AQ$5:$AQ$64,MATCH($F504,사건마스터!$A$5:$A$64,0)),""))</f>
        <v/>
      </c>
      <c r="U504" s="35">
        <f>IF($F504="","",IFERROR(INDEX(사건마스터!$AR$5:$AR$64,MATCH($F504,사건마스터!$A$5:$A$64,0)),""))</f>
        <v/>
      </c>
      <c r="V504" s="35">
        <f>IF($F504="","",IFERROR(INDEX(사건마스터!$AS$5:$AS$64,MATCH($F504,사건마스터!$A$5:$A$64,0)),""))</f>
        <v/>
      </c>
      <c r="W504" s="35">
        <f>IF($F504="","",IFERROR(INDEX(사건마스터!$AT$5:$AT$64,MATCH($F504,사건마스터!$A$5:$A$64,0)),""))</f>
        <v/>
      </c>
      <c r="X504" s="35">
        <f>IF($F504="","",IFERROR(INDEX(사건마스터!$AU$5:$AU$64,MATCH($F504,사건마스터!$A$5:$A$64,0)),""))</f>
        <v/>
      </c>
      <c r="Y504" s="35">
        <f>IF($F504="","",IFERROR(INDEX(사건마스터!$AV$5:$AV$64,MATCH($F504,사건마스터!$A$5:$A$64,0)),""))</f>
        <v/>
      </c>
      <c r="Z504" s="30">
        <f>IF(COUNTBLANK($J504:$Y504)=16,"",16-COUNTBLANK($J504:$Y504))</f>
        <v/>
      </c>
      <c r="AA504" s="33">
        <f>IF($J504="",MID($AX504,3,255),$J504&amp;$AX504)</f>
        <v/>
      </c>
      <c r="AB504" s="34">
        <f>IF($J504="","",IFERROR(INDEX(코드설정!$D$5:$D$24,MATCH($J504,코드설정!$C$5:$C$24,0)),""))</f>
        <v/>
      </c>
      <c r="AC504" s="36" t="n"/>
      <c r="AD504" s="37" t="n"/>
      <c r="AE504" s="38" t="n"/>
      <c r="AF504" s="30">
        <f>IF(OR($B504="",$C504=""),"",$C504-$B504+1)</f>
        <v/>
      </c>
      <c r="AG504" s="32" t="n"/>
      <c r="AH504" s="36" t="n"/>
      <c r="AJ504">
        <f>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  <c r="AX504">
        <f>AW504&amp;IF($Y504="","",", "&amp;$Y504)</f>
        <v/>
      </c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0">
        <f>IF($F505="","",COUNTIF($F$5:$F505,$F505))</f>
        <v/>
      </c>
      <c r="H505" s="33">
        <f>IF($F505="","",IFERROR(INDEX(사건마스터!$B$5:$B$64,MATCH($F505,사건마스터!$A$5:$A$64,0)),""))</f>
        <v/>
      </c>
      <c r="I505" s="34">
        <f>IF($F505="","",IFERROR(INDEX(사건마스터!$C$5:$C$64,MATCH($F505,사건마스터!$A$5:$A$64,0)),""))</f>
        <v/>
      </c>
      <c r="J505" s="35">
        <f>IF($F505="","",IFERROR(INDEX(사건마스터!$H$5:$H$64,MATCH($F505,사건마스터!$A$5:$A$64,0)),""))</f>
        <v/>
      </c>
      <c r="K505" s="35">
        <f>IF($F505="","",IFERROR(INDEX(사건마스터!$AH$5:$AH$64,MATCH($F505,사건마스터!$A$5:$A$64,0)),""))</f>
        <v/>
      </c>
      <c r="L505" s="35">
        <f>IF($F505="","",IFERROR(INDEX(사건마스터!$AI$5:$AI$64,MATCH($F505,사건마스터!$A$5:$A$64,0)),""))</f>
        <v/>
      </c>
      <c r="M505" s="35">
        <f>IF($F505="","",IFERROR(INDEX(사건마스터!$AJ$5:$AJ$64,MATCH($F505,사건마스터!$A$5:$A$64,0)),""))</f>
        <v/>
      </c>
      <c r="N505" s="35">
        <f>IF($F505="","",IFERROR(INDEX(사건마스터!$AK$5:$AK$64,MATCH($F505,사건마스터!$A$5:$A$64,0)),""))</f>
        <v/>
      </c>
      <c r="O505" s="35">
        <f>IF($F505="","",IFERROR(INDEX(사건마스터!$AL$5:$AL$64,MATCH($F505,사건마스터!$A$5:$A$64,0)),""))</f>
        <v/>
      </c>
      <c r="P505" s="35">
        <f>IF($F505="","",IFERROR(INDEX(사건마스터!$AM$5:$AM$64,MATCH($F505,사건마스터!$A$5:$A$64,0)),""))</f>
        <v/>
      </c>
      <c r="Q505" s="35">
        <f>IF($F505="","",IFERROR(INDEX(사건마스터!$AN$5:$AN$64,MATCH($F505,사건마스터!$A$5:$A$64,0)),""))</f>
        <v/>
      </c>
      <c r="R505" s="35">
        <f>IF($F505="","",IFERROR(INDEX(사건마스터!$AO$5:$AO$64,MATCH($F505,사건마스터!$A$5:$A$64,0)),""))</f>
        <v/>
      </c>
      <c r="S505" s="35">
        <f>IF($F505="","",IFERROR(INDEX(사건마스터!$AP$5:$AP$64,MATCH($F505,사건마스터!$A$5:$A$64,0)),""))</f>
        <v/>
      </c>
      <c r="T505" s="35">
        <f>IF($F505="","",IFERROR(INDEX(사건마스터!$AQ$5:$AQ$64,MATCH($F505,사건마스터!$A$5:$A$64,0)),""))</f>
        <v/>
      </c>
      <c r="U505" s="35">
        <f>IF($F505="","",IFERROR(INDEX(사건마스터!$AR$5:$AR$64,MATCH($F505,사건마스터!$A$5:$A$64,0)),""))</f>
        <v/>
      </c>
      <c r="V505" s="35">
        <f>IF($F505="","",IFERROR(INDEX(사건마스터!$AS$5:$AS$64,MATCH($F505,사건마스터!$A$5:$A$64,0)),""))</f>
        <v/>
      </c>
      <c r="W505" s="35">
        <f>IF($F505="","",IFERROR(INDEX(사건마스터!$AT$5:$AT$64,MATCH($F505,사건마스터!$A$5:$A$64,0)),""))</f>
        <v/>
      </c>
      <c r="X505" s="35">
        <f>IF($F505="","",IFERROR(INDEX(사건마스터!$AU$5:$AU$64,MATCH($F505,사건마스터!$A$5:$A$64,0)),""))</f>
        <v/>
      </c>
      <c r="Y505" s="35">
        <f>IF($F505="","",IFERROR(INDEX(사건마스터!$AV$5:$AV$64,MATCH($F505,사건마스터!$A$5:$A$64,0)),""))</f>
        <v/>
      </c>
      <c r="Z505" s="30">
        <f>IF(COUNTBLANK($J505:$Y505)=16,"",16-COUNTBLANK($J505:$Y505))</f>
        <v/>
      </c>
      <c r="AA505" s="33">
        <f>IF($J505="",MID($AX505,3,255),$J505&amp;$AX505)</f>
        <v/>
      </c>
      <c r="AB505" s="34">
        <f>IF($J505="","",IFERROR(INDEX(코드설정!$D$5:$D$24,MATCH($J505,코드설정!$C$5:$C$24,0)),""))</f>
        <v/>
      </c>
      <c r="AC505" s="36" t="n"/>
      <c r="AD505" s="37" t="n"/>
      <c r="AE505" s="38" t="n"/>
      <c r="AF505" s="30">
        <f>IF(OR($B505="",$C505=""),"",$C505-$B505+1)</f>
        <v/>
      </c>
      <c r="AG505" s="32" t="n"/>
      <c r="AH505" s="36" t="n"/>
      <c r="AJ505">
        <f>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  <c r="AX505">
        <f>AW505&amp;IF($Y505="","",", "&amp;$Y505)</f>
        <v/>
      </c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0">
        <f>IF($F506="","",COUNTIF($F$5:$F506,$F506))</f>
        <v/>
      </c>
      <c r="H506" s="33">
        <f>IF($F506="","",IFERROR(INDEX(사건마스터!$B$5:$B$64,MATCH($F506,사건마스터!$A$5:$A$64,0)),""))</f>
        <v/>
      </c>
      <c r="I506" s="34">
        <f>IF($F506="","",IFERROR(INDEX(사건마스터!$C$5:$C$64,MATCH($F506,사건마스터!$A$5:$A$64,0)),""))</f>
        <v/>
      </c>
      <c r="J506" s="35">
        <f>IF($F506="","",IFERROR(INDEX(사건마스터!$H$5:$H$64,MATCH($F506,사건마스터!$A$5:$A$64,0)),""))</f>
        <v/>
      </c>
      <c r="K506" s="35">
        <f>IF($F506="","",IFERROR(INDEX(사건마스터!$AH$5:$AH$64,MATCH($F506,사건마스터!$A$5:$A$64,0)),""))</f>
        <v/>
      </c>
      <c r="L506" s="35">
        <f>IF($F506="","",IFERROR(INDEX(사건마스터!$AI$5:$AI$64,MATCH($F506,사건마스터!$A$5:$A$64,0)),""))</f>
        <v/>
      </c>
      <c r="M506" s="35">
        <f>IF($F506="","",IFERROR(INDEX(사건마스터!$AJ$5:$AJ$64,MATCH($F506,사건마스터!$A$5:$A$64,0)),""))</f>
        <v/>
      </c>
      <c r="N506" s="35">
        <f>IF($F506="","",IFERROR(INDEX(사건마스터!$AK$5:$AK$64,MATCH($F506,사건마스터!$A$5:$A$64,0)),""))</f>
        <v/>
      </c>
      <c r="O506" s="35">
        <f>IF($F506="","",IFERROR(INDEX(사건마스터!$AL$5:$AL$64,MATCH($F506,사건마스터!$A$5:$A$64,0)),""))</f>
        <v/>
      </c>
      <c r="P506" s="35">
        <f>IF($F506="","",IFERROR(INDEX(사건마스터!$AM$5:$AM$64,MATCH($F506,사건마스터!$A$5:$A$64,0)),""))</f>
        <v/>
      </c>
      <c r="Q506" s="35">
        <f>IF($F506="","",IFERROR(INDEX(사건마스터!$AN$5:$AN$64,MATCH($F506,사건마스터!$A$5:$A$64,0)),""))</f>
        <v/>
      </c>
      <c r="R506" s="35">
        <f>IF($F506="","",IFERROR(INDEX(사건마스터!$AO$5:$AO$64,MATCH($F506,사건마스터!$A$5:$A$64,0)),""))</f>
        <v/>
      </c>
      <c r="S506" s="35">
        <f>IF($F506="","",IFERROR(INDEX(사건마스터!$AP$5:$AP$64,MATCH($F506,사건마스터!$A$5:$A$64,0)),""))</f>
        <v/>
      </c>
      <c r="T506" s="35">
        <f>IF($F506="","",IFERROR(INDEX(사건마스터!$AQ$5:$AQ$64,MATCH($F506,사건마스터!$A$5:$A$64,0)),""))</f>
        <v/>
      </c>
      <c r="U506" s="35">
        <f>IF($F506="","",IFERROR(INDEX(사건마스터!$AR$5:$AR$64,MATCH($F506,사건마스터!$A$5:$A$64,0)),""))</f>
        <v/>
      </c>
      <c r="V506" s="35">
        <f>IF($F506="","",IFERROR(INDEX(사건마스터!$AS$5:$AS$64,MATCH($F506,사건마스터!$A$5:$A$64,0)),""))</f>
        <v/>
      </c>
      <c r="W506" s="35">
        <f>IF($F506="","",IFERROR(INDEX(사건마스터!$AT$5:$AT$64,MATCH($F506,사건마스터!$A$5:$A$64,0)),""))</f>
        <v/>
      </c>
      <c r="X506" s="35">
        <f>IF($F506="","",IFERROR(INDEX(사건마스터!$AU$5:$AU$64,MATCH($F506,사건마스터!$A$5:$A$64,0)),""))</f>
        <v/>
      </c>
      <c r="Y506" s="35">
        <f>IF($F506="","",IFERROR(INDEX(사건마스터!$AV$5:$AV$64,MATCH($F506,사건마스터!$A$5:$A$64,0)),""))</f>
        <v/>
      </c>
      <c r="Z506" s="30">
        <f>IF(COUNTBLANK($J506:$Y506)=16,"",16-COUNTBLANK($J506:$Y506))</f>
        <v/>
      </c>
      <c r="AA506" s="33">
        <f>IF($J506="",MID($AX506,3,255),$J506&amp;$AX506)</f>
        <v/>
      </c>
      <c r="AB506" s="34">
        <f>IF($J506="","",IFERROR(INDEX(코드설정!$D$5:$D$24,MATCH($J506,코드설정!$C$5:$C$24,0)),""))</f>
        <v/>
      </c>
      <c r="AC506" s="36" t="n"/>
      <c r="AD506" s="37" t="n"/>
      <c r="AE506" s="38" t="n"/>
      <c r="AF506" s="30">
        <f>IF(OR($B506="",$C506=""),"",$C506-$B506+1)</f>
        <v/>
      </c>
      <c r="AG506" s="32" t="n"/>
      <c r="AH506" s="36" t="n"/>
      <c r="AJ506">
        <f>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  <c r="AX506">
        <f>AW506&amp;IF($Y506="","",", "&amp;$Y506)</f>
        <v/>
      </c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0">
        <f>IF($F507="","",COUNTIF($F$5:$F507,$F507))</f>
        <v/>
      </c>
      <c r="H507" s="33">
        <f>IF($F507="","",IFERROR(INDEX(사건마스터!$B$5:$B$64,MATCH($F507,사건마스터!$A$5:$A$64,0)),""))</f>
        <v/>
      </c>
      <c r="I507" s="34">
        <f>IF($F507="","",IFERROR(INDEX(사건마스터!$C$5:$C$64,MATCH($F507,사건마스터!$A$5:$A$64,0)),""))</f>
        <v/>
      </c>
      <c r="J507" s="35">
        <f>IF($F507="","",IFERROR(INDEX(사건마스터!$H$5:$H$64,MATCH($F507,사건마스터!$A$5:$A$64,0)),""))</f>
        <v/>
      </c>
      <c r="K507" s="35">
        <f>IF($F507="","",IFERROR(INDEX(사건마스터!$AH$5:$AH$64,MATCH($F507,사건마스터!$A$5:$A$64,0)),""))</f>
        <v/>
      </c>
      <c r="L507" s="35">
        <f>IF($F507="","",IFERROR(INDEX(사건마스터!$AI$5:$AI$64,MATCH($F507,사건마스터!$A$5:$A$64,0)),""))</f>
        <v/>
      </c>
      <c r="M507" s="35">
        <f>IF($F507="","",IFERROR(INDEX(사건마스터!$AJ$5:$AJ$64,MATCH($F507,사건마스터!$A$5:$A$64,0)),""))</f>
        <v/>
      </c>
      <c r="N507" s="35">
        <f>IF($F507="","",IFERROR(INDEX(사건마스터!$AK$5:$AK$64,MATCH($F507,사건마스터!$A$5:$A$64,0)),""))</f>
        <v/>
      </c>
      <c r="O507" s="35">
        <f>IF($F507="","",IFERROR(INDEX(사건마스터!$AL$5:$AL$64,MATCH($F507,사건마스터!$A$5:$A$64,0)),""))</f>
        <v/>
      </c>
      <c r="P507" s="35">
        <f>IF($F507="","",IFERROR(INDEX(사건마스터!$AM$5:$AM$64,MATCH($F507,사건마스터!$A$5:$A$64,0)),""))</f>
        <v/>
      </c>
      <c r="Q507" s="35">
        <f>IF($F507="","",IFERROR(INDEX(사건마스터!$AN$5:$AN$64,MATCH($F507,사건마스터!$A$5:$A$64,0)),""))</f>
        <v/>
      </c>
      <c r="R507" s="35">
        <f>IF($F507="","",IFERROR(INDEX(사건마스터!$AO$5:$AO$64,MATCH($F507,사건마스터!$A$5:$A$64,0)),""))</f>
        <v/>
      </c>
      <c r="S507" s="35">
        <f>IF($F507="","",IFERROR(INDEX(사건마스터!$AP$5:$AP$64,MATCH($F507,사건마스터!$A$5:$A$64,0)),""))</f>
        <v/>
      </c>
      <c r="T507" s="35">
        <f>IF($F507="","",IFERROR(INDEX(사건마스터!$AQ$5:$AQ$64,MATCH($F507,사건마스터!$A$5:$A$64,0)),""))</f>
        <v/>
      </c>
      <c r="U507" s="35">
        <f>IF($F507="","",IFERROR(INDEX(사건마스터!$AR$5:$AR$64,MATCH($F507,사건마스터!$A$5:$A$64,0)),""))</f>
        <v/>
      </c>
      <c r="V507" s="35">
        <f>IF($F507="","",IFERROR(INDEX(사건마스터!$AS$5:$AS$64,MATCH($F507,사건마스터!$A$5:$A$64,0)),""))</f>
        <v/>
      </c>
      <c r="W507" s="35">
        <f>IF($F507="","",IFERROR(INDEX(사건마스터!$AT$5:$AT$64,MATCH($F507,사건마스터!$A$5:$A$64,0)),""))</f>
        <v/>
      </c>
      <c r="X507" s="35">
        <f>IF($F507="","",IFERROR(INDEX(사건마스터!$AU$5:$AU$64,MATCH($F507,사건마스터!$A$5:$A$64,0)),""))</f>
        <v/>
      </c>
      <c r="Y507" s="35">
        <f>IF($F507="","",IFERROR(INDEX(사건마스터!$AV$5:$AV$64,MATCH($F507,사건마스터!$A$5:$A$64,0)),""))</f>
        <v/>
      </c>
      <c r="Z507" s="30">
        <f>IF(COUNTBLANK($J507:$Y507)=16,"",16-COUNTBLANK($J507:$Y507))</f>
        <v/>
      </c>
      <c r="AA507" s="33">
        <f>IF($J507="",MID($AX507,3,255),$J507&amp;$AX507)</f>
        <v/>
      </c>
      <c r="AB507" s="34">
        <f>IF($J507="","",IFERROR(INDEX(코드설정!$D$5:$D$24,MATCH($J507,코드설정!$C$5:$C$24,0)),""))</f>
        <v/>
      </c>
      <c r="AC507" s="36" t="n"/>
      <c r="AD507" s="37" t="n"/>
      <c r="AE507" s="38" t="n"/>
      <c r="AF507" s="30">
        <f>IF(OR($B507="",$C507=""),"",$C507-$B507+1)</f>
        <v/>
      </c>
      <c r="AG507" s="32" t="n"/>
      <c r="AH507" s="36" t="n"/>
      <c r="AJ507">
        <f>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  <c r="AX507">
        <f>AW507&amp;IF($Y507="","",", "&amp;$Y507)</f>
        <v/>
      </c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0">
        <f>IF($F508="","",COUNTIF($F$5:$F508,$F508))</f>
        <v/>
      </c>
      <c r="H508" s="33">
        <f>IF($F508="","",IFERROR(INDEX(사건마스터!$B$5:$B$64,MATCH($F508,사건마스터!$A$5:$A$64,0)),""))</f>
        <v/>
      </c>
      <c r="I508" s="34">
        <f>IF($F508="","",IFERROR(INDEX(사건마스터!$C$5:$C$64,MATCH($F508,사건마스터!$A$5:$A$64,0)),""))</f>
        <v/>
      </c>
      <c r="J508" s="35">
        <f>IF($F508="","",IFERROR(INDEX(사건마스터!$H$5:$H$64,MATCH($F508,사건마스터!$A$5:$A$64,0)),""))</f>
        <v/>
      </c>
      <c r="K508" s="35">
        <f>IF($F508="","",IFERROR(INDEX(사건마스터!$AH$5:$AH$64,MATCH($F508,사건마스터!$A$5:$A$64,0)),""))</f>
        <v/>
      </c>
      <c r="L508" s="35">
        <f>IF($F508="","",IFERROR(INDEX(사건마스터!$AI$5:$AI$64,MATCH($F508,사건마스터!$A$5:$A$64,0)),""))</f>
        <v/>
      </c>
      <c r="M508" s="35">
        <f>IF($F508="","",IFERROR(INDEX(사건마스터!$AJ$5:$AJ$64,MATCH($F508,사건마스터!$A$5:$A$64,0)),""))</f>
        <v/>
      </c>
      <c r="N508" s="35">
        <f>IF($F508="","",IFERROR(INDEX(사건마스터!$AK$5:$AK$64,MATCH($F508,사건마스터!$A$5:$A$64,0)),""))</f>
        <v/>
      </c>
      <c r="O508" s="35">
        <f>IF($F508="","",IFERROR(INDEX(사건마스터!$AL$5:$AL$64,MATCH($F508,사건마스터!$A$5:$A$64,0)),""))</f>
        <v/>
      </c>
      <c r="P508" s="35">
        <f>IF($F508="","",IFERROR(INDEX(사건마스터!$AM$5:$AM$64,MATCH($F508,사건마스터!$A$5:$A$64,0)),""))</f>
        <v/>
      </c>
      <c r="Q508" s="35">
        <f>IF($F508="","",IFERROR(INDEX(사건마스터!$AN$5:$AN$64,MATCH($F508,사건마스터!$A$5:$A$64,0)),""))</f>
        <v/>
      </c>
      <c r="R508" s="35">
        <f>IF($F508="","",IFERROR(INDEX(사건마스터!$AO$5:$AO$64,MATCH($F508,사건마스터!$A$5:$A$64,0)),""))</f>
        <v/>
      </c>
      <c r="S508" s="35">
        <f>IF($F508="","",IFERROR(INDEX(사건마스터!$AP$5:$AP$64,MATCH($F508,사건마스터!$A$5:$A$64,0)),""))</f>
        <v/>
      </c>
      <c r="T508" s="35">
        <f>IF($F508="","",IFERROR(INDEX(사건마스터!$AQ$5:$AQ$64,MATCH($F508,사건마스터!$A$5:$A$64,0)),""))</f>
        <v/>
      </c>
      <c r="U508" s="35">
        <f>IF($F508="","",IFERROR(INDEX(사건마스터!$AR$5:$AR$64,MATCH($F508,사건마스터!$A$5:$A$64,0)),""))</f>
        <v/>
      </c>
      <c r="V508" s="35">
        <f>IF($F508="","",IFERROR(INDEX(사건마스터!$AS$5:$AS$64,MATCH($F508,사건마스터!$A$5:$A$64,0)),""))</f>
        <v/>
      </c>
      <c r="W508" s="35">
        <f>IF($F508="","",IFERROR(INDEX(사건마스터!$AT$5:$AT$64,MATCH($F508,사건마스터!$A$5:$A$64,0)),""))</f>
        <v/>
      </c>
      <c r="X508" s="35">
        <f>IF($F508="","",IFERROR(INDEX(사건마스터!$AU$5:$AU$64,MATCH($F508,사건마스터!$A$5:$A$64,0)),""))</f>
        <v/>
      </c>
      <c r="Y508" s="35">
        <f>IF($F508="","",IFERROR(INDEX(사건마스터!$AV$5:$AV$64,MATCH($F508,사건마스터!$A$5:$A$64,0)),""))</f>
        <v/>
      </c>
      <c r="Z508" s="30">
        <f>IF(COUNTBLANK($J508:$Y508)=16,"",16-COUNTBLANK($J508:$Y508))</f>
        <v/>
      </c>
      <c r="AA508" s="33">
        <f>IF($J508="",MID($AX508,3,255),$J508&amp;$AX508)</f>
        <v/>
      </c>
      <c r="AB508" s="34">
        <f>IF($J508="","",IFERROR(INDEX(코드설정!$D$5:$D$24,MATCH($J508,코드설정!$C$5:$C$24,0)),""))</f>
        <v/>
      </c>
      <c r="AC508" s="36" t="n"/>
      <c r="AD508" s="37" t="n"/>
      <c r="AE508" s="38" t="n"/>
      <c r="AF508" s="30">
        <f>IF(OR($B508="",$C508=""),"",$C508-$B508+1)</f>
        <v/>
      </c>
      <c r="AG508" s="32" t="n"/>
      <c r="AH508" s="36" t="n"/>
      <c r="AJ508">
        <f>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  <c r="AX508">
        <f>AW508&amp;IF($Y508="","",", "&amp;$Y508)</f>
        <v/>
      </c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0">
        <f>IF($F509="","",COUNTIF($F$5:$F509,$F509))</f>
        <v/>
      </c>
      <c r="H509" s="33">
        <f>IF($F509="","",IFERROR(INDEX(사건마스터!$B$5:$B$64,MATCH($F509,사건마스터!$A$5:$A$64,0)),""))</f>
        <v/>
      </c>
      <c r="I509" s="34">
        <f>IF($F509="","",IFERROR(INDEX(사건마스터!$C$5:$C$64,MATCH($F509,사건마스터!$A$5:$A$64,0)),""))</f>
        <v/>
      </c>
      <c r="J509" s="35">
        <f>IF($F509="","",IFERROR(INDEX(사건마스터!$H$5:$H$64,MATCH($F509,사건마스터!$A$5:$A$64,0)),""))</f>
        <v/>
      </c>
      <c r="K509" s="35">
        <f>IF($F509="","",IFERROR(INDEX(사건마스터!$AH$5:$AH$64,MATCH($F509,사건마스터!$A$5:$A$64,0)),""))</f>
        <v/>
      </c>
      <c r="L509" s="35">
        <f>IF($F509="","",IFERROR(INDEX(사건마스터!$AI$5:$AI$64,MATCH($F509,사건마스터!$A$5:$A$64,0)),""))</f>
        <v/>
      </c>
      <c r="M509" s="35">
        <f>IF($F509="","",IFERROR(INDEX(사건마스터!$AJ$5:$AJ$64,MATCH($F509,사건마스터!$A$5:$A$64,0)),""))</f>
        <v/>
      </c>
      <c r="N509" s="35">
        <f>IF($F509="","",IFERROR(INDEX(사건마스터!$AK$5:$AK$64,MATCH($F509,사건마스터!$A$5:$A$64,0)),""))</f>
        <v/>
      </c>
      <c r="O509" s="35">
        <f>IF($F509="","",IFERROR(INDEX(사건마스터!$AL$5:$AL$64,MATCH($F509,사건마스터!$A$5:$A$64,0)),""))</f>
        <v/>
      </c>
      <c r="P509" s="35">
        <f>IF($F509="","",IFERROR(INDEX(사건마스터!$AM$5:$AM$64,MATCH($F509,사건마스터!$A$5:$A$64,0)),""))</f>
        <v/>
      </c>
      <c r="Q509" s="35">
        <f>IF($F509="","",IFERROR(INDEX(사건마스터!$AN$5:$AN$64,MATCH($F509,사건마스터!$A$5:$A$64,0)),""))</f>
        <v/>
      </c>
      <c r="R509" s="35">
        <f>IF($F509="","",IFERROR(INDEX(사건마스터!$AO$5:$AO$64,MATCH($F509,사건마스터!$A$5:$A$64,0)),""))</f>
        <v/>
      </c>
      <c r="S509" s="35">
        <f>IF($F509="","",IFERROR(INDEX(사건마스터!$AP$5:$AP$64,MATCH($F509,사건마스터!$A$5:$A$64,0)),""))</f>
        <v/>
      </c>
      <c r="T509" s="35">
        <f>IF($F509="","",IFERROR(INDEX(사건마스터!$AQ$5:$AQ$64,MATCH($F509,사건마스터!$A$5:$A$64,0)),""))</f>
        <v/>
      </c>
      <c r="U509" s="35">
        <f>IF($F509="","",IFERROR(INDEX(사건마스터!$AR$5:$AR$64,MATCH($F509,사건마스터!$A$5:$A$64,0)),""))</f>
        <v/>
      </c>
      <c r="V509" s="35">
        <f>IF($F509="","",IFERROR(INDEX(사건마스터!$AS$5:$AS$64,MATCH($F509,사건마스터!$A$5:$A$64,0)),""))</f>
        <v/>
      </c>
      <c r="W509" s="35">
        <f>IF($F509="","",IFERROR(INDEX(사건마스터!$AT$5:$AT$64,MATCH($F509,사건마스터!$A$5:$A$64,0)),""))</f>
        <v/>
      </c>
      <c r="X509" s="35">
        <f>IF($F509="","",IFERROR(INDEX(사건마스터!$AU$5:$AU$64,MATCH($F509,사건마스터!$A$5:$A$64,0)),""))</f>
        <v/>
      </c>
      <c r="Y509" s="35">
        <f>IF($F509="","",IFERROR(INDEX(사건마스터!$AV$5:$AV$64,MATCH($F509,사건마스터!$A$5:$A$64,0)),""))</f>
        <v/>
      </c>
      <c r="Z509" s="30">
        <f>IF(COUNTBLANK($J509:$Y509)=16,"",16-COUNTBLANK($J509:$Y509))</f>
        <v/>
      </c>
      <c r="AA509" s="33">
        <f>IF($J509="",MID($AX509,3,255),$J509&amp;$AX509)</f>
        <v/>
      </c>
      <c r="AB509" s="34">
        <f>IF($J509="","",IFERROR(INDEX(코드설정!$D$5:$D$24,MATCH($J509,코드설정!$C$5:$C$24,0)),""))</f>
        <v/>
      </c>
      <c r="AC509" s="36" t="n"/>
      <c r="AD509" s="37" t="n"/>
      <c r="AE509" s="38" t="n"/>
      <c r="AF509" s="30">
        <f>IF(OR($B509="",$C509=""),"",$C509-$B509+1)</f>
        <v/>
      </c>
      <c r="AG509" s="32" t="n"/>
      <c r="AH509" s="36" t="n"/>
      <c r="AJ509">
        <f>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  <c r="AX509">
        <f>AW509&amp;IF($Y509="","",", "&amp;$Y509)</f>
        <v/>
      </c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0">
        <f>IF($F510="","",COUNTIF($F$5:$F510,$F510))</f>
        <v/>
      </c>
      <c r="H510" s="33">
        <f>IF($F510="","",IFERROR(INDEX(사건마스터!$B$5:$B$64,MATCH($F510,사건마스터!$A$5:$A$64,0)),""))</f>
        <v/>
      </c>
      <c r="I510" s="34">
        <f>IF($F510="","",IFERROR(INDEX(사건마스터!$C$5:$C$64,MATCH($F510,사건마스터!$A$5:$A$64,0)),""))</f>
        <v/>
      </c>
      <c r="J510" s="35">
        <f>IF($F510="","",IFERROR(INDEX(사건마스터!$H$5:$H$64,MATCH($F510,사건마스터!$A$5:$A$64,0)),""))</f>
        <v/>
      </c>
      <c r="K510" s="35">
        <f>IF($F510="","",IFERROR(INDEX(사건마스터!$AH$5:$AH$64,MATCH($F510,사건마스터!$A$5:$A$64,0)),""))</f>
        <v/>
      </c>
      <c r="L510" s="35">
        <f>IF($F510="","",IFERROR(INDEX(사건마스터!$AI$5:$AI$64,MATCH($F510,사건마스터!$A$5:$A$64,0)),""))</f>
        <v/>
      </c>
      <c r="M510" s="35">
        <f>IF($F510="","",IFERROR(INDEX(사건마스터!$AJ$5:$AJ$64,MATCH($F510,사건마스터!$A$5:$A$64,0)),""))</f>
        <v/>
      </c>
      <c r="N510" s="35">
        <f>IF($F510="","",IFERROR(INDEX(사건마스터!$AK$5:$AK$64,MATCH($F510,사건마스터!$A$5:$A$64,0)),""))</f>
        <v/>
      </c>
      <c r="O510" s="35">
        <f>IF($F510="","",IFERROR(INDEX(사건마스터!$AL$5:$AL$64,MATCH($F510,사건마스터!$A$5:$A$64,0)),""))</f>
        <v/>
      </c>
      <c r="P510" s="35">
        <f>IF($F510="","",IFERROR(INDEX(사건마스터!$AM$5:$AM$64,MATCH($F510,사건마스터!$A$5:$A$64,0)),""))</f>
        <v/>
      </c>
      <c r="Q510" s="35">
        <f>IF($F510="","",IFERROR(INDEX(사건마스터!$AN$5:$AN$64,MATCH($F510,사건마스터!$A$5:$A$64,0)),""))</f>
        <v/>
      </c>
      <c r="R510" s="35">
        <f>IF($F510="","",IFERROR(INDEX(사건마스터!$AO$5:$AO$64,MATCH($F510,사건마스터!$A$5:$A$64,0)),""))</f>
        <v/>
      </c>
      <c r="S510" s="35">
        <f>IF($F510="","",IFERROR(INDEX(사건마스터!$AP$5:$AP$64,MATCH($F510,사건마스터!$A$5:$A$64,0)),""))</f>
        <v/>
      </c>
      <c r="T510" s="35">
        <f>IF($F510="","",IFERROR(INDEX(사건마스터!$AQ$5:$AQ$64,MATCH($F510,사건마스터!$A$5:$A$64,0)),""))</f>
        <v/>
      </c>
      <c r="U510" s="35">
        <f>IF($F510="","",IFERROR(INDEX(사건마스터!$AR$5:$AR$64,MATCH($F510,사건마스터!$A$5:$A$64,0)),""))</f>
        <v/>
      </c>
      <c r="V510" s="35">
        <f>IF($F510="","",IFERROR(INDEX(사건마스터!$AS$5:$AS$64,MATCH($F510,사건마스터!$A$5:$A$64,0)),""))</f>
        <v/>
      </c>
      <c r="W510" s="35">
        <f>IF($F510="","",IFERROR(INDEX(사건마스터!$AT$5:$AT$64,MATCH($F510,사건마스터!$A$5:$A$64,0)),""))</f>
        <v/>
      </c>
      <c r="X510" s="35">
        <f>IF($F510="","",IFERROR(INDEX(사건마스터!$AU$5:$AU$64,MATCH($F510,사건마스터!$A$5:$A$64,0)),""))</f>
        <v/>
      </c>
      <c r="Y510" s="35">
        <f>IF($F510="","",IFERROR(INDEX(사건마스터!$AV$5:$AV$64,MATCH($F510,사건마스터!$A$5:$A$64,0)),""))</f>
        <v/>
      </c>
      <c r="Z510" s="30">
        <f>IF(COUNTBLANK($J510:$Y510)=16,"",16-COUNTBLANK($J510:$Y510))</f>
        <v/>
      </c>
      <c r="AA510" s="33">
        <f>IF($J510="",MID($AX510,3,255),$J510&amp;$AX510)</f>
        <v/>
      </c>
      <c r="AB510" s="34">
        <f>IF($J510="","",IFERROR(INDEX(코드설정!$D$5:$D$24,MATCH($J510,코드설정!$C$5:$C$24,0)),""))</f>
        <v/>
      </c>
      <c r="AC510" s="36" t="n"/>
      <c r="AD510" s="37" t="n"/>
      <c r="AE510" s="38" t="n"/>
      <c r="AF510" s="30">
        <f>IF(OR($B510="",$C510=""),"",$C510-$B510+1)</f>
        <v/>
      </c>
      <c r="AG510" s="32" t="n"/>
      <c r="AH510" s="36" t="n"/>
      <c r="AJ510">
        <f>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  <c r="AX510">
        <f>AW510&amp;IF($Y510="","",", "&amp;$Y510)</f>
        <v/>
      </c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0">
        <f>IF($F511="","",COUNTIF($F$5:$F511,$F511))</f>
        <v/>
      </c>
      <c r="H511" s="33">
        <f>IF($F511="","",IFERROR(INDEX(사건마스터!$B$5:$B$64,MATCH($F511,사건마스터!$A$5:$A$64,0)),""))</f>
        <v/>
      </c>
      <c r="I511" s="34">
        <f>IF($F511="","",IFERROR(INDEX(사건마스터!$C$5:$C$64,MATCH($F511,사건마스터!$A$5:$A$64,0)),""))</f>
        <v/>
      </c>
      <c r="J511" s="35">
        <f>IF($F511="","",IFERROR(INDEX(사건마스터!$H$5:$H$64,MATCH($F511,사건마스터!$A$5:$A$64,0)),""))</f>
        <v/>
      </c>
      <c r="K511" s="35">
        <f>IF($F511="","",IFERROR(INDEX(사건마스터!$AH$5:$AH$64,MATCH($F511,사건마스터!$A$5:$A$64,0)),""))</f>
        <v/>
      </c>
      <c r="L511" s="35">
        <f>IF($F511="","",IFERROR(INDEX(사건마스터!$AI$5:$AI$64,MATCH($F511,사건마스터!$A$5:$A$64,0)),""))</f>
        <v/>
      </c>
      <c r="M511" s="35">
        <f>IF($F511="","",IFERROR(INDEX(사건마스터!$AJ$5:$AJ$64,MATCH($F511,사건마스터!$A$5:$A$64,0)),""))</f>
        <v/>
      </c>
      <c r="N511" s="35">
        <f>IF($F511="","",IFERROR(INDEX(사건마스터!$AK$5:$AK$64,MATCH($F511,사건마스터!$A$5:$A$64,0)),""))</f>
        <v/>
      </c>
      <c r="O511" s="35">
        <f>IF($F511="","",IFERROR(INDEX(사건마스터!$AL$5:$AL$64,MATCH($F511,사건마스터!$A$5:$A$64,0)),""))</f>
        <v/>
      </c>
      <c r="P511" s="35">
        <f>IF($F511="","",IFERROR(INDEX(사건마스터!$AM$5:$AM$64,MATCH($F511,사건마스터!$A$5:$A$64,0)),""))</f>
        <v/>
      </c>
      <c r="Q511" s="35">
        <f>IF($F511="","",IFERROR(INDEX(사건마스터!$AN$5:$AN$64,MATCH($F511,사건마스터!$A$5:$A$64,0)),""))</f>
        <v/>
      </c>
      <c r="R511" s="35">
        <f>IF($F511="","",IFERROR(INDEX(사건마스터!$AO$5:$AO$64,MATCH($F511,사건마스터!$A$5:$A$64,0)),""))</f>
        <v/>
      </c>
      <c r="S511" s="35">
        <f>IF($F511="","",IFERROR(INDEX(사건마스터!$AP$5:$AP$64,MATCH($F511,사건마스터!$A$5:$A$64,0)),""))</f>
        <v/>
      </c>
      <c r="T511" s="35">
        <f>IF($F511="","",IFERROR(INDEX(사건마스터!$AQ$5:$AQ$64,MATCH($F511,사건마스터!$A$5:$A$64,0)),""))</f>
        <v/>
      </c>
      <c r="U511" s="35">
        <f>IF($F511="","",IFERROR(INDEX(사건마스터!$AR$5:$AR$64,MATCH($F511,사건마스터!$A$5:$A$64,0)),""))</f>
        <v/>
      </c>
      <c r="V511" s="35">
        <f>IF($F511="","",IFERROR(INDEX(사건마스터!$AS$5:$AS$64,MATCH($F511,사건마스터!$A$5:$A$64,0)),""))</f>
        <v/>
      </c>
      <c r="W511" s="35">
        <f>IF($F511="","",IFERROR(INDEX(사건마스터!$AT$5:$AT$64,MATCH($F511,사건마스터!$A$5:$A$64,0)),""))</f>
        <v/>
      </c>
      <c r="X511" s="35">
        <f>IF($F511="","",IFERROR(INDEX(사건마스터!$AU$5:$AU$64,MATCH($F511,사건마스터!$A$5:$A$64,0)),""))</f>
        <v/>
      </c>
      <c r="Y511" s="35">
        <f>IF($F511="","",IFERROR(INDEX(사건마스터!$AV$5:$AV$64,MATCH($F511,사건마스터!$A$5:$A$64,0)),""))</f>
        <v/>
      </c>
      <c r="Z511" s="30">
        <f>IF(COUNTBLANK($J511:$Y511)=16,"",16-COUNTBLANK($J511:$Y511))</f>
        <v/>
      </c>
      <c r="AA511" s="33">
        <f>IF($J511="",MID($AX511,3,255),$J511&amp;$AX511)</f>
        <v/>
      </c>
      <c r="AB511" s="34">
        <f>IF($J511="","",IFERROR(INDEX(코드설정!$D$5:$D$24,MATCH($J511,코드설정!$C$5:$C$24,0)),""))</f>
        <v/>
      </c>
      <c r="AC511" s="36" t="n"/>
      <c r="AD511" s="37" t="n"/>
      <c r="AE511" s="38" t="n"/>
      <c r="AF511" s="30">
        <f>IF(OR($B511="",$C511=""),"",$C511-$B511+1)</f>
        <v/>
      </c>
      <c r="AG511" s="32" t="n"/>
      <c r="AH511" s="36" t="n"/>
      <c r="AJ511">
        <f>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  <c r="AX511">
        <f>AW511&amp;IF($Y511="","",", "&amp;$Y511)</f>
        <v/>
      </c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0">
        <f>IF($F512="","",COUNTIF($F$5:$F512,$F512))</f>
        <v/>
      </c>
      <c r="H512" s="33">
        <f>IF($F512="","",IFERROR(INDEX(사건마스터!$B$5:$B$64,MATCH($F512,사건마스터!$A$5:$A$64,0)),""))</f>
        <v/>
      </c>
      <c r="I512" s="34">
        <f>IF($F512="","",IFERROR(INDEX(사건마스터!$C$5:$C$64,MATCH($F512,사건마스터!$A$5:$A$64,0)),""))</f>
        <v/>
      </c>
      <c r="J512" s="35">
        <f>IF($F512="","",IFERROR(INDEX(사건마스터!$H$5:$H$64,MATCH($F512,사건마스터!$A$5:$A$64,0)),""))</f>
        <v/>
      </c>
      <c r="K512" s="35">
        <f>IF($F512="","",IFERROR(INDEX(사건마스터!$AH$5:$AH$64,MATCH($F512,사건마스터!$A$5:$A$64,0)),""))</f>
        <v/>
      </c>
      <c r="L512" s="35">
        <f>IF($F512="","",IFERROR(INDEX(사건마스터!$AI$5:$AI$64,MATCH($F512,사건마스터!$A$5:$A$64,0)),""))</f>
        <v/>
      </c>
      <c r="M512" s="35">
        <f>IF($F512="","",IFERROR(INDEX(사건마스터!$AJ$5:$AJ$64,MATCH($F512,사건마스터!$A$5:$A$64,0)),""))</f>
        <v/>
      </c>
      <c r="N512" s="35">
        <f>IF($F512="","",IFERROR(INDEX(사건마스터!$AK$5:$AK$64,MATCH($F512,사건마스터!$A$5:$A$64,0)),""))</f>
        <v/>
      </c>
      <c r="O512" s="35">
        <f>IF($F512="","",IFERROR(INDEX(사건마스터!$AL$5:$AL$64,MATCH($F512,사건마스터!$A$5:$A$64,0)),""))</f>
        <v/>
      </c>
      <c r="P512" s="35">
        <f>IF($F512="","",IFERROR(INDEX(사건마스터!$AM$5:$AM$64,MATCH($F512,사건마스터!$A$5:$A$64,0)),""))</f>
        <v/>
      </c>
      <c r="Q512" s="35">
        <f>IF($F512="","",IFERROR(INDEX(사건마스터!$AN$5:$AN$64,MATCH($F512,사건마스터!$A$5:$A$64,0)),""))</f>
        <v/>
      </c>
      <c r="R512" s="35">
        <f>IF($F512="","",IFERROR(INDEX(사건마스터!$AO$5:$AO$64,MATCH($F512,사건마스터!$A$5:$A$64,0)),""))</f>
        <v/>
      </c>
      <c r="S512" s="35">
        <f>IF($F512="","",IFERROR(INDEX(사건마스터!$AP$5:$AP$64,MATCH($F512,사건마스터!$A$5:$A$64,0)),""))</f>
        <v/>
      </c>
      <c r="T512" s="35">
        <f>IF($F512="","",IFERROR(INDEX(사건마스터!$AQ$5:$AQ$64,MATCH($F512,사건마스터!$A$5:$A$64,0)),""))</f>
        <v/>
      </c>
      <c r="U512" s="35">
        <f>IF($F512="","",IFERROR(INDEX(사건마스터!$AR$5:$AR$64,MATCH($F512,사건마스터!$A$5:$A$64,0)),""))</f>
        <v/>
      </c>
      <c r="V512" s="35">
        <f>IF($F512="","",IFERROR(INDEX(사건마스터!$AS$5:$AS$64,MATCH($F512,사건마스터!$A$5:$A$64,0)),""))</f>
        <v/>
      </c>
      <c r="W512" s="35">
        <f>IF($F512="","",IFERROR(INDEX(사건마스터!$AT$5:$AT$64,MATCH($F512,사건마스터!$A$5:$A$64,0)),""))</f>
        <v/>
      </c>
      <c r="X512" s="35">
        <f>IF($F512="","",IFERROR(INDEX(사건마스터!$AU$5:$AU$64,MATCH($F512,사건마스터!$A$5:$A$64,0)),""))</f>
        <v/>
      </c>
      <c r="Y512" s="35">
        <f>IF($F512="","",IFERROR(INDEX(사건마스터!$AV$5:$AV$64,MATCH($F512,사건마스터!$A$5:$A$64,0)),""))</f>
        <v/>
      </c>
      <c r="Z512" s="30">
        <f>IF(COUNTBLANK($J512:$Y512)=16,"",16-COUNTBLANK($J512:$Y512))</f>
        <v/>
      </c>
      <c r="AA512" s="33">
        <f>IF($J512="",MID($AX512,3,255),$J512&amp;$AX512)</f>
        <v/>
      </c>
      <c r="AB512" s="34">
        <f>IF($J512="","",IFERROR(INDEX(코드설정!$D$5:$D$24,MATCH($J512,코드설정!$C$5:$C$24,0)),""))</f>
        <v/>
      </c>
      <c r="AC512" s="36" t="n"/>
      <c r="AD512" s="37" t="n"/>
      <c r="AE512" s="38" t="n"/>
      <c r="AF512" s="30">
        <f>IF(OR($B512="",$C512=""),"",$C512-$B512+1)</f>
        <v/>
      </c>
      <c r="AG512" s="32" t="n"/>
      <c r="AH512" s="36" t="n"/>
      <c r="AJ512">
        <f>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  <c r="AX512">
        <f>AW512&amp;IF($Y512="","",", "&amp;$Y512)</f>
        <v/>
      </c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0">
        <f>IF($F513="","",COUNTIF($F$5:$F513,$F513))</f>
        <v/>
      </c>
      <c r="H513" s="33">
        <f>IF($F513="","",IFERROR(INDEX(사건마스터!$B$5:$B$64,MATCH($F513,사건마스터!$A$5:$A$64,0)),""))</f>
        <v/>
      </c>
      <c r="I513" s="34">
        <f>IF($F513="","",IFERROR(INDEX(사건마스터!$C$5:$C$64,MATCH($F513,사건마스터!$A$5:$A$64,0)),""))</f>
        <v/>
      </c>
      <c r="J513" s="35">
        <f>IF($F513="","",IFERROR(INDEX(사건마스터!$H$5:$H$64,MATCH($F513,사건마스터!$A$5:$A$64,0)),""))</f>
        <v/>
      </c>
      <c r="K513" s="35">
        <f>IF($F513="","",IFERROR(INDEX(사건마스터!$AH$5:$AH$64,MATCH($F513,사건마스터!$A$5:$A$64,0)),""))</f>
        <v/>
      </c>
      <c r="L513" s="35">
        <f>IF($F513="","",IFERROR(INDEX(사건마스터!$AI$5:$AI$64,MATCH($F513,사건마스터!$A$5:$A$64,0)),""))</f>
        <v/>
      </c>
      <c r="M513" s="35">
        <f>IF($F513="","",IFERROR(INDEX(사건마스터!$AJ$5:$AJ$64,MATCH($F513,사건마스터!$A$5:$A$64,0)),""))</f>
        <v/>
      </c>
      <c r="N513" s="35">
        <f>IF($F513="","",IFERROR(INDEX(사건마스터!$AK$5:$AK$64,MATCH($F513,사건마스터!$A$5:$A$64,0)),""))</f>
        <v/>
      </c>
      <c r="O513" s="35">
        <f>IF($F513="","",IFERROR(INDEX(사건마스터!$AL$5:$AL$64,MATCH($F513,사건마스터!$A$5:$A$64,0)),""))</f>
        <v/>
      </c>
      <c r="P513" s="35">
        <f>IF($F513="","",IFERROR(INDEX(사건마스터!$AM$5:$AM$64,MATCH($F513,사건마스터!$A$5:$A$64,0)),""))</f>
        <v/>
      </c>
      <c r="Q513" s="35">
        <f>IF($F513="","",IFERROR(INDEX(사건마스터!$AN$5:$AN$64,MATCH($F513,사건마스터!$A$5:$A$64,0)),""))</f>
        <v/>
      </c>
      <c r="R513" s="35">
        <f>IF($F513="","",IFERROR(INDEX(사건마스터!$AO$5:$AO$64,MATCH($F513,사건마스터!$A$5:$A$64,0)),""))</f>
        <v/>
      </c>
      <c r="S513" s="35">
        <f>IF($F513="","",IFERROR(INDEX(사건마스터!$AP$5:$AP$64,MATCH($F513,사건마스터!$A$5:$A$64,0)),""))</f>
        <v/>
      </c>
      <c r="T513" s="35">
        <f>IF($F513="","",IFERROR(INDEX(사건마스터!$AQ$5:$AQ$64,MATCH($F513,사건마스터!$A$5:$A$64,0)),""))</f>
        <v/>
      </c>
      <c r="U513" s="35">
        <f>IF($F513="","",IFERROR(INDEX(사건마스터!$AR$5:$AR$64,MATCH($F513,사건마스터!$A$5:$A$64,0)),""))</f>
        <v/>
      </c>
      <c r="V513" s="35">
        <f>IF($F513="","",IFERROR(INDEX(사건마스터!$AS$5:$AS$64,MATCH($F513,사건마스터!$A$5:$A$64,0)),""))</f>
        <v/>
      </c>
      <c r="W513" s="35">
        <f>IF($F513="","",IFERROR(INDEX(사건마스터!$AT$5:$AT$64,MATCH($F513,사건마스터!$A$5:$A$64,0)),""))</f>
        <v/>
      </c>
      <c r="X513" s="35">
        <f>IF($F513="","",IFERROR(INDEX(사건마스터!$AU$5:$AU$64,MATCH($F513,사건마스터!$A$5:$A$64,0)),""))</f>
        <v/>
      </c>
      <c r="Y513" s="35">
        <f>IF($F513="","",IFERROR(INDEX(사건마스터!$AV$5:$AV$64,MATCH($F513,사건마스터!$A$5:$A$64,0)),""))</f>
        <v/>
      </c>
      <c r="Z513" s="30">
        <f>IF(COUNTBLANK($J513:$Y513)=16,"",16-COUNTBLANK($J513:$Y513))</f>
        <v/>
      </c>
      <c r="AA513" s="33">
        <f>IF($J513="",MID($AX513,3,255),$J513&amp;$AX513)</f>
        <v/>
      </c>
      <c r="AB513" s="34">
        <f>IF($J513="","",IFERROR(INDEX(코드설정!$D$5:$D$24,MATCH($J513,코드설정!$C$5:$C$24,0)),""))</f>
        <v/>
      </c>
      <c r="AC513" s="36" t="n"/>
      <c r="AD513" s="37" t="n"/>
      <c r="AE513" s="38" t="n"/>
      <c r="AF513" s="30">
        <f>IF(OR($B513="",$C513=""),"",$C513-$B513+1)</f>
        <v/>
      </c>
      <c r="AG513" s="32" t="n"/>
      <c r="AH513" s="36" t="n"/>
      <c r="AJ513">
        <f>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  <c r="AX513">
        <f>AW513&amp;IF($Y513="","",", "&amp;$Y513)</f>
        <v/>
      </c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0">
        <f>IF($F514="","",COUNTIF($F$5:$F514,$F514))</f>
        <v/>
      </c>
      <c r="H514" s="33">
        <f>IF($F514="","",IFERROR(INDEX(사건마스터!$B$5:$B$64,MATCH($F514,사건마스터!$A$5:$A$64,0)),""))</f>
        <v/>
      </c>
      <c r="I514" s="34">
        <f>IF($F514="","",IFERROR(INDEX(사건마스터!$C$5:$C$64,MATCH($F514,사건마스터!$A$5:$A$64,0)),""))</f>
        <v/>
      </c>
      <c r="J514" s="35">
        <f>IF($F514="","",IFERROR(INDEX(사건마스터!$H$5:$H$64,MATCH($F514,사건마스터!$A$5:$A$64,0)),""))</f>
        <v/>
      </c>
      <c r="K514" s="35">
        <f>IF($F514="","",IFERROR(INDEX(사건마스터!$AH$5:$AH$64,MATCH($F514,사건마스터!$A$5:$A$64,0)),""))</f>
        <v/>
      </c>
      <c r="L514" s="35">
        <f>IF($F514="","",IFERROR(INDEX(사건마스터!$AI$5:$AI$64,MATCH($F514,사건마스터!$A$5:$A$64,0)),""))</f>
        <v/>
      </c>
      <c r="M514" s="35">
        <f>IF($F514="","",IFERROR(INDEX(사건마스터!$AJ$5:$AJ$64,MATCH($F514,사건마스터!$A$5:$A$64,0)),""))</f>
        <v/>
      </c>
      <c r="N514" s="35">
        <f>IF($F514="","",IFERROR(INDEX(사건마스터!$AK$5:$AK$64,MATCH($F514,사건마스터!$A$5:$A$64,0)),""))</f>
        <v/>
      </c>
      <c r="O514" s="35">
        <f>IF($F514="","",IFERROR(INDEX(사건마스터!$AL$5:$AL$64,MATCH($F514,사건마스터!$A$5:$A$64,0)),""))</f>
        <v/>
      </c>
      <c r="P514" s="35">
        <f>IF($F514="","",IFERROR(INDEX(사건마스터!$AM$5:$AM$64,MATCH($F514,사건마스터!$A$5:$A$64,0)),""))</f>
        <v/>
      </c>
      <c r="Q514" s="35">
        <f>IF($F514="","",IFERROR(INDEX(사건마스터!$AN$5:$AN$64,MATCH($F514,사건마스터!$A$5:$A$64,0)),""))</f>
        <v/>
      </c>
      <c r="R514" s="35">
        <f>IF($F514="","",IFERROR(INDEX(사건마스터!$AO$5:$AO$64,MATCH($F514,사건마스터!$A$5:$A$64,0)),""))</f>
        <v/>
      </c>
      <c r="S514" s="35">
        <f>IF($F514="","",IFERROR(INDEX(사건마스터!$AP$5:$AP$64,MATCH($F514,사건마스터!$A$5:$A$64,0)),""))</f>
        <v/>
      </c>
      <c r="T514" s="35">
        <f>IF($F514="","",IFERROR(INDEX(사건마스터!$AQ$5:$AQ$64,MATCH($F514,사건마스터!$A$5:$A$64,0)),""))</f>
        <v/>
      </c>
      <c r="U514" s="35">
        <f>IF($F514="","",IFERROR(INDEX(사건마스터!$AR$5:$AR$64,MATCH($F514,사건마스터!$A$5:$A$64,0)),""))</f>
        <v/>
      </c>
      <c r="V514" s="35">
        <f>IF($F514="","",IFERROR(INDEX(사건마스터!$AS$5:$AS$64,MATCH($F514,사건마스터!$A$5:$A$64,0)),""))</f>
        <v/>
      </c>
      <c r="W514" s="35">
        <f>IF($F514="","",IFERROR(INDEX(사건마스터!$AT$5:$AT$64,MATCH($F514,사건마스터!$A$5:$A$64,0)),""))</f>
        <v/>
      </c>
      <c r="X514" s="35">
        <f>IF($F514="","",IFERROR(INDEX(사건마스터!$AU$5:$AU$64,MATCH($F514,사건마스터!$A$5:$A$64,0)),""))</f>
        <v/>
      </c>
      <c r="Y514" s="35">
        <f>IF($F514="","",IFERROR(INDEX(사건마스터!$AV$5:$AV$64,MATCH($F514,사건마스터!$A$5:$A$64,0)),""))</f>
        <v/>
      </c>
      <c r="Z514" s="30">
        <f>IF(COUNTBLANK($J514:$Y514)=16,"",16-COUNTBLANK($J514:$Y514))</f>
        <v/>
      </c>
      <c r="AA514" s="33">
        <f>IF($J514="",MID($AX514,3,255),$J514&amp;$AX514)</f>
        <v/>
      </c>
      <c r="AB514" s="34">
        <f>IF($J514="","",IFERROR(INDEX(코드설정!$D$5:$D$24,MATCH($J514,코드설정!$C$5:$C$24,0)),""))</f>
        <v/>
      </c>
      <c r="AC514" s="36" t="n"/>
      <c r="AD514" s="37" t="n"/>
      <c r="AE514" s="38" t="n"/>
      <c r="AF514" s="30">
        <f>IF(OR($B514="",$C514=""),"",$C514-$B514+1)</f>
        <v/>
      </c>
      <c r="AG514" s="32" t="n"/>
      <c r="AH514" s="36" t="n"/>
      <c r="AJ514">
        <f>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  <c r="AX514">
        <f>AW514&amp;IF($Y514="","",", "&amp;$Y514)</f>
        <v/>
      </c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0">
        <f>IF($F515="","",COUNTIF($F$5:$F515,$F515))</f>
        <v/>
      </c>
      <c r="H515" s="33">
        <f>IF($F515="","",IFERROR(INDEX(사건마스터!$B$5:$B$64,MATCH($F515,사건마스터!$A$5:$A$64,0)),""))</f>
        <v/>
      </c>
      <c r="I515" s="34">
        <f>IF($F515="","",IFERROR(INDEX(사건마스터!$C$5:$C$64,MATCH($F515,사건마스터!$A$5:$A$64,0)),""))</f>
        <v/>
      </c>
      <c r="J515" s="35">
        <f>IF($F515="","",IFERROR(INDEX(사건마스터!$H$5:$H$64,MATCH($F515,사건마스터!$A$5:$A$64,0)),""))</f>
        <v/>
      </c>
      <c r="K515" s="35">
        <f>IF($F515="","",IFERROR(INDEX(사건마스터!$AH$5:$AH$64,MATCH($F515,사건마스터!$A$5:$A$64,0)),""))</f>
        <v/>
      </c>
      <c r="L515" s="35">
        <f>IF($F515="","",IFERROR(INDEX(사건마스터!$AI$5:$AI$64,MATCH($F515,사건마스터!$A$5:$A$64,0)),""))</f>
        <v/>
      </c>
      <c r="M515" s="35">
        <f>IF($F515="","",IFERROR(INDEX(사건마스터!$AJ$5:$AJ$64,MATCH($F515,사건마스터!$A$5:$A$64,0)),""))</f>
        <v/>
      </c>
      <c r="N515" s="35">
        <f>IF($F515="","",IFERROR(INDEX(사건마스터!$AK$5:$AK$64,MATCH($F515,사건마스터!$A$5:$A$64,0)),""))</f>
        <v/>
      </c>
      <c r="O515" s="35">
        <f>IF($F515="","",IFERROR(INDEX(사건마스터!$AL$5:$AL$64,MATCH($F515,사건마스터!$A$5:$A$64,0)),""))</f>
        <v/>
      </c>
      <c r="P515" s="35">
        <f>IF($F515="","",IFERROR(INDEX(사건마스터!$AM$5:$AM$64,MATCH($F515,사건마스터!$A$5:$A$64,0)),""))</f>
        <v/>
      </c>
      <c r="Q515" s="35">
        <f>IF($F515="","",IFERROR(INDEX(사건마스터!$AN$5:$AN$64,MATCH($F515,사건마스터!$A$5:$A$64,0)),""))</f>
        <v/>
      </c>
      <c r="R515" s="35">
        <f>IF($F515="","",IFERROR(INDEX(사건마스터!$AO$5:$AO$64,MATCH($F515,사건마스터!$A$5:$A$64,0)),""))</f>
        <v/>
      </c>
      <c r="S515" s="35">
        <f>IF($F515="","",IFERROR(INDEX(사건마스터!$AP$5:$AP$64,MATCH($F515,사건마스터!$A$5:$A$64,0)),""))</f>
        <v/>
      </c>
      <c r="T515" s="35">
        <f>IF($F515="","",IFERROR(INDEX(사건마스터!$AQ$5:$AQ$64,MATCH($F515,사건마스터!$A$5:$A$64,0)),""))</f>
        <v/>
      </c>
      <c r="U515" s="35">
        <f>IF($F515="","",IFERROR(INDEX(사건마스터!$AR$5:$AR$64,MATCH($F515,사건마스터!$A$5:$A$64,0)),""))</f>
        <v/>
      </c>
      <c r="V515" s="35">
        <f>IF($F515="","",IFERROR(INDEX(사건마스터!$AS$5:$AS$64,MATCH($F515,사건마스터!$A$5:$A$64,0)),""))</f>
        <v/>
      </c>
      <c r="W515" s="35">
        <f>IF($F515="","",IFERROR(INDEX(사건마스터!$AT$5:$AT$64,MATCH($F515,사건마스터!$A$5:$A$64,0)),""))</f>
        <v/>
      </c>
      <c r="X515" s="35">
        <f>IF($F515="","",IFERROR(INDEX(사건마스터!$AU$5:$AU$64,MATCH($F515,사건마스터!$A$5:$A$64,0)),""))</f>
        <v/>
      </c>
      <c r="Y515" s="35">
        <f>IF($F515="","",IFERROR(INDEX(사건마스터!$AV$5:$AV$64,MATCH($F515,사건마스터!$A$5:$A$64,0)),""))</f>
        <v/>
      </c>
      <c r="Z515" s="30">
        <f>IF(COUNTBLANK($J515:$Y515)=16,"",16-COUNTBLANK($J515:$Y515))</f>
        <v/>
      </c>
      <c r="AA515" s="33">
        <f>IF($J515="",MID($AX515,3,255),$J515&amp;$AX515)</f>
        <v/>
      </c>
      <c r="AB515" s="34">
        <f>IF($J515="","",IFERROR(INDEX(코드설정!$D$5:$D$24,MATCH($J515,코드설정!$C$5:$C$24,0)),""))</f>
        <v/>
      </c>
      <c r="AC515" s="36" t="n"/>
      <c r="AD515" s="37" t="n"/>
      <c r="AE515" s="38" t="n"/>
      <c r="AF515" s="30">
        <f>IF(OR($B515="",$C515=""),"",$C515-$B515+1)</f>
        <v/>
      </c>
      <c r="AG515" s="32" t="n"/>
      <c r="AH515" s="36" t="n"/>
      <c r="AJ515">
        <f>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  <c r="AX515">
        <f>AW515&amp;IF($Y515="","",", "&amp;$Y515)</f>
        <v/>
      </c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0">
        <f>IF($F516="","",COUNTIF($F$5:$F516,$F516))</f>
        <v/>
      </c>
      <c r="H516" s="33">
        <f>IF($F516="","",IFERROR(INDEX(사건마스터!$B$5:$B$64,MATCH($F516,사건마스터!$A$5:$A$64,0)),""))</f>
        <v/>
      </c>
      <c r="I516" s="34">
        <f>IF($F516="","",IFERROR(INDEX(사건마스터!$C$5:$C$64,MATCH($F516,사건마스터!$A$5:$A$64,0)),""))</f>
        <v/>
      </c>
      <c r="J516" s="35">
        <f>IF($F516="","",IFERROR(INDEX(사건마스터!$H$5:$H$64,MATCH($F516,사건마스터!$A$5:$A$64,0)),""))</f>
        <v/>
      </c>
      <c r="K516" s="35">
        <f>IF($F516="","",IFERROR(INDEX(사건마스터!$AH$5:$AH$64,MATCH($F516,사건마스터!$A$5:$A$64,0)),""))</f>
        <v/>
      </c>
      <c r="L516" s="35">
        <f>IF($F516="","",IFERROR(INDEX(사건마스터!$AI$5:$AI$64,MATCH($F516,사건마스터!$A$5:$A$64,0)),""))</f>
        <v/>
      </c>
      <c r="M516" s="35">
        <f>IF($F516="","",IFERROR(INDEX(사건마스터!$AJ$5:$AJ$64,MATCH($F516,사건마스터!$A$5:$A$64,0)),""))</f>
        <v/>
      </c>
      <c r="N516" s="35">
        <f>IF($F516="","",IFERROR(INDEX(사건마스터!$AK$5:$AK$64,MATCH($F516,사건마스터!$A$5:$A$64,0)),""))</f>
        <v/>
      </c>
      <c r="O516" s="35">
        <f>IF($F516="","",IFERROR(INDEX(사건마스터!$AL$5:$AL$64,MATCH($F516,사건마스터!$A$5:$A$64,0)),""))</f>
        <v/>
      </c>
      <c r="P516" s="35">
        <f>IF($F516="","",IFERROR(INDEX(사건마스터!$AM$5:$AM$64,MATCH($F516,사건마스터!$A$5:$A$64,0)),""))</f>
        <v/>
      </c>
      <c r="Q516" s="35">
        <f>IF($F516="","",IFERROR(INDEX(사건마스터!$AN$5:$AN$64,MATCH($F516,사건마스터!$A$5:$A$64,0)),""))</f>
        <v/>
      </c>
      <c r="R516" s="35">
        <f>IF($F516="","",IFERROR(INDEX(사건마스터!$AO$5:$AO$64,MATCH($F516,사건마스터!$A$5:$A$64,0)),""))</f>
        <v/>
      </c>
      <c r="S516" s="35">
        <f>IF($F516="","",IFERROR(INDEX(사건마스터!$AP$5:$AP$64,MATCH($F516,사건마스터!$A$5:$A$64,0)),""))</f>
        <v/>
      </c>
      <c r="T516" s="35">
        <f>IF($F516="","",IFERROR(INDEX(사건마스터!$AQ$5:$AQ$64,MATCH($F516,사건마스터!$A$5:$A$64,0)),""))</f>
        <v/>
      </c>
      <c r="U516" s="35">
        <f>IF($F516="","",IFERROR(INDEX(사건마스터!$AR$5:$AR$64,MATCH($F516,사건마스터!$A$5:$A$64,0)),""))</f>
        <v/>
      </c>
      <c r="V516" s="35">
        <f>IF($F516="","",IFERROR(INDEX(사건마스터!$AS$5:$AS$64,MATCH($F516,사건마스터!$A$5:$A$64,0)),""))</f>
        <v/>
      </c>
      <c r="W516" s="35">
        <f>IF($F516="","",IFERROR(INDEX(사건마스터!$AT$5:$AT$64,MATCH($F516,사건마스터!$A$5:$A$64,0)),""))</f>
        <v/>
      </c>
      <c r="X516" s="35">
        <f>IF($F516="","",IFERROR(INDEX(사건마스터!$AU$5:$AU$64,MATCH($F516,사건마스터!$A$5:$A$64,0)),""))</f>
        <v/>
      </c>
      <c r="Y516" s="35">
        <f>IF($F516="","",IFERROR(INDEX(사건마스터!$AV$5:$AV$64,MATCH($F516,사건마스터!$A$5:$A$64,0)),""))</f>
        <v/>
      </c>
      <c r="Z516" s="30">
        <f>IF(COUNTBLANK($J516:$Y516)=16,"",16-COUNTBLANK($J516:$Y516))</f>
        <v/>
      </c>
      <c r="AA516" s="33">
        <f>IF($J516="",MID($AX516,3,255),$J516&amp;$AX516)</f>
        <v/>
      </c>
      <c r="AB516" s="34">
        <f>IF($J516="","",IFERROR(INDEX(코드설정!$D$5:$D$24,MATCH($J516,코드설정!$C$5:$C$24,0)),""))</f>
        <v/>
      </c>
      <c r="AC516" s="36" t="n"/>
      <c r="AD516" s="37" t="n"/>
      <c r="AE516" s="38" t="n"/>
      <c r="AF516" s="30">
        <f>IF(OR($B516="",$C516=""),"",$C516-$B516+1)</f>
        <v/>
      </c>
      <c r="AG516" s="32" t="n"/>
      <c r="AH516" s="36" t="n"/>
      <c r="AJ516">
        <f>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  <c r="AX516">
        <f>AW516&amp;IF($Y516="","",", "&amp;$Y516)</f>
        <v/>
      </c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0">
        <f>IF($F517="","",COUNTIF($F$5:$F517,$F517))</f>
        <v/>
      </c>
      <c r="H517" s="33">
        <f>IF($F517="","",IFERROR(INDEX(사건마스터!$B$5:$B$64,MATCH($F517,사건마스터!$A$5:$A$64,0)),""))</f>
        <v/>
      </c>
      <c r="I517" s="34">
        <f>IF($F517="","",IFERROR(INDEX(사건마스터!$C$5:$C$64,MATCH($F517,사건마스터!$A$5:$A$64,0)),""))</f>
        <v/>
      </c>
      <c r="J517" s="35">
        <f>IF($F517="","",IFERROR(INDEX(사건마스터!$H$5:$H$64,MATCH($F517,사건마스터!$A$5:$A$64,0)),""))</f>
        <v/>
      </c>
      <c r="K517" s="35">
        <f>IF($F517="","",IFERROR(INDEX(사건마스터!$AH$5:$AH$64,MATCH($F517,사건마스터!$A$5:$A$64,0)),""))</f>
        <v/>
      </c>
      <c r="L517" s="35">
        <f>IF($F517="","",IFERROR(INDEX(사건마스터!$AI$5:$AI$64,MATCH($F517,사건마스터!$A$5:$A$64,0)),""))</f>
        <v/>
      </c>
      <c r="M517" s="35">
        <f>IF($F517="","",IFERROR(INDEX(사건마스터!$AJ$5:$AJ$64,MATCH($F517,사건마스터!$A$5:$A$64,0)),""))</f>
        <v/>
      </c>
      <c r="N517" s="35">
        <f>IF($F517="","",IFERROR(INDEX(사건마스터!$AK$5:$AK$64,MATCH($F517,사건마스터!$A$5:$A$64,0)),""))</f>
        <v/>
      </c>
      <c r="O517" s="35">
        <f>IF($F517="","",IFERROR(INDEX(사건마스터!$AL$5:$AL$64,MATCH($F517,사건마스터!$A$5:$A$64,0)),""))</f>
        <v/>
      </c>
      <c r="P517" s="35">
        <f>IF($F517="","",IFERROR(INDEX(사건마스터!$AM$5:$AM$64,MATCH($F517,사건마스터!$A$5:$A$64,0)),""))</f>
        <v/>
      </c>
      <c r="Q517" s="35">
        <f>IF($F517="","",IFERROR(INDEX(사건마스터!$AN$5:$AN$64,MATCH($F517,사건마스터!$A$5:$A$64,0)),""))</f>
        <v/>
      </c>
      <c r="R517" s="35">
        <f>IF($F517="","",IFERROR(INDEX(사건마스터!$AO$5:$AO$64,MATCH($F517,사건마스터!$A$5:$A$64,0)),""))</f>
        <v/>
      </c>
      <c r="S517" s="35">
        <f>IF($F517="","",IFERROR(INDEX(사건마스터!$AP$5:$AP$64,MATCH($F517,사건마스터!$A$5:$A$64,0)),""))</f>
        <v/>
      </c>
      <c r="T517" s="35">
        <f>IF($F517="","",IFERROR(INDEX(사건마스터!$AQ$5:$AQ$64,MATCH($F517,사건마스터!$A$5:$A$64,0)),""))</f>
        <v/>
      </c>
      <c r="U517" s="35">
        <f>IF($F517="","",IFERROR(INDEX(사건마스터!$AR$5:$AR$64,MATCH($F517,사건마스터!$A$5:$A$64,0)),""))</f>
        <v/>
      </c>
      <c r="V517" s="35">
        <f>IF($F517="","",IFERROR(INDEX(사건마스터!$AS$5:$AS$64,MATCH($F517,사건마스터!$A$5:$A$64,0)),""))</f>
        <v/>
      </c>
      <c r="W517" s="35">
        <f>IF($F517="","",IFERROR(INDEX(사건마스터!$AT$5:$AT$64,MATCH($F517,사건마스터!$A$5:$A$64,0)),""))</f>
        <v/>
      </c>
      <c r="X517" s="35">
        <f>IF($F517="","",IFERROR(INDEX(사건마스터!$AU$5:$AU$64,MATCH($F517,사건마스터!$A$5:$A$64,0)),""))</f>
        <v/>
      </c>
      <c r="Y517" s="35">
        <f>IF($F517="","",IFERROR(INDEX(사건마스터!$AV$5:$AV$64,MATCH($F517,사건마스터!$A$5:$A$64,0)),""))</f>
        <v/>
      </c>
      <c r="Z517" s="30">
        <f>IF(COUNTBLANK($J517:$Y517)=16,"",16-COUNTBLANK($J517:$Y517))</f>
        <v/>
      </c>
      <c r="AA517" s="33">
        <f>IF($J517="",MID($AX517,3,255),$J517&amp;$AX517)</f>
        <v/>
      </c>
      <c r="AB517" s="34">
        <f>IF($J517="","",IFERROR(INDEX(코드설정!$D$5:$D$24,MATCH($J517,코드설정!$C$5:$C$24,0)),""))</f>
        <v/>
      </c>
      <c r="AC517" s="36" t="n"/>
      <c r="AD517" s="37" t="n"/>
      <c r="AE517" s="38" t="n"/>
      <c r="AF517" s="30">
        <f>IF(OR($B517="",$C517=""),"",$C517-$B517+1)</f>
        <v/>
      </c>
      <c r="AG517" s="32" t="n"/>
      <c r="AH517" s="36" t="n"/>
      <c r="AJ517">
        <f>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  <c r="AX517">
        <f>AW517&amp;IF($Y517="","",", "&amp;$Y517)</f>
        <v/>
      </c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0">
        <f>IF($F518="","",COUNTIF($F$5:$F518,$F518))</f>
        <v/>
      </c>
      <c r="H518" s="33">
        <f>IF($F518="","",IFERROR(INDEX(사건마스터!$B$5:$B$64,MATCH($F518,사건마스터!$A$5:$A$64,0)),""))</f>
        <v/>
      </c>
      <c r="I518" s="34">
        <f>IF($F518="","",IFERROR(INDEX(사건마스터!$C$5:$C$64,MATCH($F518,사건마스터!$A$5:$A$64,0)),""))</f>
        <v/>
      </c>
      <c r="J518" s="35">
        <f>IF($F518="","",IFERROR(INDEX(사건마스터!$H$5:$H$64,MATCH($F518,사건마스터!$A$5:$A$64,0)),""))</f>
        <v/>
      </c>
      <c r="K518" s="35">
        <f>IF($F518="","",IFERROR(INDEX(사건마스터!$AH$5:$AH$64,MATCH($F518,사건마스터!$A$5:$A$64,0)),""))</f>
        <v/>
      </c>
      <c r="L518" s="35">
        <f>IF($F518="","",IFERROR(INDEX(사건마스터!$AI$5:$AI$64,MATCH($F518,사건마스터!$A$5:$A$64,0)),""))</f>
        <v/>
      </c>
      <c r="M518" s="35">
        <f>IF($F518="","",IFERROR(INDEX(사건마스터!$AJ$5:$AJ$64,MATCH($F518,사건마스터!$A$5:$A$64,0)),""))</f>
        <v/>
      </c>
      <c r="N518" s="35">
        <f>IF($F518="","",IFERROR(INDEX(사건마스터!$AK$5:$AK$64,MATCH($F518,사건마스터!$A$5:$A$64,0)),""))</f>
        <v/>
      </c>
      <c r="O518" s="35">
        <f>IF($F518="","",IFERROR(INDEX(사건마스터!$AL$5:$AL$64,MATCH($F518,사건마스터!$A$5:$A$64,0)),""))</f>
        <v/>
      </c>
      <c r="P518" s="35">
        <f>IF($F518="","",IFERROR(INDEX(사건마스터!$AM$5:$AM$64,MATCH($F518,사건마스터!$A$5:$A$64,0)),""))</f>
        <v/>
      </c>
      <c r="Q518" s="35">
        <f>IF($F518="","",IFERROR(INDEX(사건마스터!$AN$5:$AN$64,MATCH($F518,사건마스터!$A$5:$A$64,0)),""))</f>
        <v/>
      </c>
      <c r="R518" s="35">
        <f>IF($F518="","",IFERROR(INDEX(사건마스터!$AO$5:$AO$64,MATCH($F518,사건마스터!$A$5:$A$64,0)),""))</f>
        <v/>
      </c>
      <c r="S518" s="35">
        <f>IF($F518="","",IFERROR(INDEX(사건마스터!$AP$5:$AP$64,MATCH($F518,사건마스터!$A$5:$A$64,0)),""))</f>
        <v/>
      </c>
      <c r="T518" s="35">
        <f>IF($F518="","",IFERROR(INDEX(사건마스터!$AQ$5:$AQ$64,MATCH($F518,사건마스터!$A$5:$A$64,0)),""))</f>
        <v/>
      </c>
      <c r="U518" s="35">
        <f>IF($F518="","",IFERROR(INDEX(사건마스터!$AR$5:$AR$64,MATCH($F518,사건마스터!$A$5:$A$64,0)),""))</f>
        <v/>
      </c>
      <c r="V518" s="35">
        <f>IF($F518="","",IFERROR(INDEX(사건마스터!$AS$5:$AS$64,MATCH($F518,사건마스터!$A$5:$A$64,0)),""))</f>
        <v/>
      </c>
      <c r="W518" s="35">
        <f>IF($F518="","",IFERROR(INDEX(사건마스터!$AT$5:$AT$64,MATCH($F518,사건마스터!$A$5:$A$64,0)),""))</f>
        <v/>
      </c>
      <c r="X518" s="35">
        <f>IF($F518="","",IFERROR(INDEX(사건마스터!$AU$5:$AU$64,MATCH($F518,사건마스터!$A$5:$A$64,0)),""))</f>
        <v/>
      </c>
      <c r="Y518" s="35">
        <f>IF($F518="","",IFERROR(INDEX(사건마스터!$AV$5:$AV$64,MATCH($F518,사건마스터!$A$5:$A$64,0)),""))</f>
        <v/>
      </c>
      <c r="Z518" s="30">
        <f>IF(COUNTBLANK($J518:$Y518)=16,"",16-COUNTBLANK($J518:$Y518))</f>
        <v/>
      </c>
      <c r="AA518" s="33">
        <f>IF($J518="",MID($AX518,3,255),$J518&amp;$AX518)</f>
        <v/>
      </c>
      <c r="AB518" s="34">
        <f>IF($J518="","",IFERROR(INDEX(코드설정!$D$5:$D$24,MATCH($J518,코드설정!$C$5:$C$24,0)),""))</f>
        <v/>
      </c>
      <c r="AC518" s="36" t="n"/>
      <c r="AD518" s="37" t="n"/>
      <c r="AE518" s="38" t="n"/>
      <c r="AF518" s="30">
        <f>IF(OR($B518="",$C518=""),"",$C518-$B518+1)</f>
        <v/>
      </c>
      <c r="AG518" s="32" t="n"/>
      <c r="AH518" s="36" t="n"/>
      <c r="AJ518">
        <f>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  <c r="AX518">
        <f>AW518&amp;IF($Y518="","",", "&amp;$Y518)</f>
        <v/>
      </c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0">
        <f>IF($F519="","",COUNTIF($F$5:$F519,$F519))</f>
        <v/>
      </c>
      <c r="H519" s="33">
        <f>IF($F519="","",IFERROR(INDEX(사건마스터!$B$5:$B$64,MATCH($F519,사건마스터!$A$5:$A$64,0)),""))</f>
        <v/>
      </c>
      <c r="I519" s="34">
        <f>IF($F519="","",IFERROR(INDEX(사건마스터!$C$5:$C$64,MATCH($F519,사건마스터!$A$5:$A$64,0)),""))</f>
        <v/>
      </c>
      <c r="J519" s="35">
        <f>IF($F519="","",IFERROR(INDEX(사건마스터!$H$5:$H$64,MATCH($F519,사건마스터!$A$5:$A$64,0)),""))</f>
        <v/>
      </c>
      <c r="K519" s="35">
        <f>IF($F519="","",IFERROR(INDEX(사건마스터!$AH$5:$AH$64,MATCH($F519,사건마스터!$A$5:$A$64,0)),""))</f>
        <v/>
      </c>
      <c r="L519" s="35">
        <f>IF($F519="","",IFERROR(INDEX(사건마스터!$AI$5:$AI$64,MATCH($F519,사건마스터!$A$5:$A$64,0)),""))</f>
        <v/>
      </c>
      <c r="M519" s="35">
        <f>IF($F519="","",IFERROR(INDEX(사건마스터!$AJ$5:$AJ$64,MATCH($F519,사건마스터!$A$5:$A$64,0)),""))</f>
        <v/>
      </c>
      <c r="N519" s="35">
        <f>IF($F519="","",IFERROR(INDEX(사건마스터!$AK$5:$AK$64,MATCH($F519,사건마스터!$A$5:$A$64,0)),""))</f>
        <v/>
      </c>
      <c r="O519" s="35">
        <f>IF($F519="","",IFERROR(INDEX(사건마스터!$AL$5:$AL$64,MATCH($F519,사건마스터!$A$5:$A$64,0)),""))</f>
        <v/>
      </c>
      <c r="P519" s="35">
        <f>IF($F519="","",IFERROR(INDEX(사건마스터!$AM$5:$AM$64,MATCH($F519,사건마스터!$A$5:$A$64,0)),""))</f>
        <v/>
      </c>
      <c r="Q519" s="35">
        <f>IF($F519="","",IFERROR(INDEX(사건마스터!$AN$5:$AN$64,MATCH($F519,사건마스터!$A$5:$A$64,0)),""))</f>
        <v/>
      </c>
      <c r="R519" s="35">
        <f>IF($F519="","",IFERROR(INDEX(사건마스터!$AO$5:$AO$64,MATCH($F519,사건마스터!$A$5:$A$64,0)),""))</f>
        <v/>
      </c>
      <c r="S519" s="35">
        <f>IF($F519="","",IFERROR(INDEX(사건마스터!$AP$5:$AP$64,MATCH($F519,사건마스터!$A$5:$A$64,0)),""))</f>
        <v/>
      </c>
      <c r="T519" s="35">
        <f>IF($F519="","",IFERROR(INDEX(사건마스터!$AQ$5:$AQ$64,MATCH($F519,사건마스터!$A$5:$A$64,0)),""))</f>
        <v/>
      </c>
      <c r="U519" s="35">
        <f>IF($F519="","",IFERROR(INDEX(사건마스터!$AR$5:$AR$64,MATCH($F519,사건마스터!$A$5:$A$64,0)),""))</f>
        <v/>
      </c>
      <c r="V519" s="35">
        <f>IF($F519="","",IFERROR(INDEX(사건마스터!$AS$5:$AS$64,MATCH($F519,사건마스터!$A$5:$A$64,0)),""))</f>
        <v/>
      </c>
      <c r="W519" s="35">
        <f>IF($F519="","",IFERROR(INDEX(사건마스터!$AT$5:$AT$64,MATCH($F519,사건마스터!$A$5:$A$64,0)),""))</f>
        <v/>
      </c>
      <c r="X519" s="35">
        <f>IF($F519="","",IFERROR(INDEX(사건마스터!$AU$5:$AU$64,MATCH($F519,사건마스터!$A$5:$A$64,0)),""))</f>
        <v/>
      </c>
      <c r="Y519" s="35">
        <f>IF($F519="","",IFERROR(INDEX(사건마스터!$AV$5:$AV$64,MATCH($F519,사건마스터!$A$5:$A$64,0)),""))</f>
        <v/>
      </c>
      <c r="Z519" s="30">
        <f>IF(COUNTBLANK($J519:$Y519)=16,"",16-COUNTBLANK($J519:$Y519))</f>
        <v/>
      </c>
      <c r="AA519" s="33">
        <f>IF($J519="",MID($AX519,3,255),$J519&amp;$AX519)</f>
        <v/>
      </c>
      <c r="AB519" s="34">
        <f>IF($J519="","",IFERROR(INDEX(코드설정!$D$5:$D$24,MATCH($J519,코드설정!$C$5:$C$24,0)),""))</f>
        <v/>
      </c>
      <c r="AC519" s="36" t="n"/>
      <c r="AD519" s="37" t="n"/>
      <c r="AE519" s="38" t="n"/>
      <c r="AF519" s="30">
        <f>IF(OR($B519="",$C519=""),"",$C519-$B519+1)</f>
        <v/>
      </c>
      <c r="AG519" s="32" t="n"/>
      <c r="AH519" s="36" t="n"/>
      <c r="AJ519">
        <f>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  <c r="AX519">
        <f>AW519&amp;IF($Y519="","",", "&amp;$Y519)</f>
        <v/>
      </c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0">
        <f>IF($F520="","",COUNTIF($F$5:$F520,$F520))</f>
        <v/>
      </c>
      <c r="H520" s="33">
        <f>IF($F520="","",IFERROR(INDEX(사건마스터!$B$5:$B$64,MATCH($F520,사건마스터!$A$5:$A$64,0)),""))</f>
        <v/>
      </c>
      <c r="I520" s="34">
        <f>IF($F520="","",IFERROR(INDEX(사건마스터!$C$5:$C$64,MATCH($F520,사건마스터!$A$5:$A$64,0)),""))</f>
        <v/>
      </c>
      <c r="J520" s="35">
        <f>IF($F520="","",IFERROR(INDEX(사건마스터!$H$5:$H$64,MATCH($F520,사건마스터!$A$5:$A$64,0)),""))</f>
        <v/>
      </c>
      <c r="K520" s="35">
        <f>IF($F520="","",IFERROR(INDEX(사건마스터!$AH$5:$AH$64,MATCH($F520,사건마스터!$A$5:$A$64,0)),""))</f>
        <v/>
      </c>
      <c r="L520" s="35">
        <f>IF($F520="","",IFERROR(INDEX(사건마스터!$AI$5:$AI$64,MATCH($F520,사건마스터!$A$5:$A$64,0)),""))</f>
        <v/>
      </c>
      <c r="M520" s="35">
        <f>IF($F520="","",IFERROR(INDEX(사건마스터!$AJ$5:$AJ$64,MATCH($F520,사건마스터!$A$5:$A$64,0)),""))</f>
        <v/>
      </c>
      <c r="N520" s="35">
        <f>IF($F520="","",IFERROR(INDEX(사건마스터!$AK$5:$AK$64,MATCH($F520,사건마스터!$A$5:$A$64,0)),""))</f>
        <v/>
      </c>
      <c r="O520" s="35">
        <f>IF($F520="","",IFERROR(INDEX(사건마스터!$AL$5:$AL$64,MATCH($F520,사건마스터!$A$5:$A$64,0)),""))</f>
        <v/>
      </c>
      <c r="P520" s="35">
        <f>IF($F520="","",IFERROR(INDEX(사건마스터!$AM$5:$AM$64,MATCH($F520,사건마스터!$A$5:$A$64,0)),""))</f>
        <v/>
      </c>
      <c r="Q520" s="35">
        <f>IF($F520="","",IFERROR(INDEX(사건마스터!$AN$5:$AN$64,MATCH($F520,사건마스터!$A$5:$A$64,0)),""))</f>
        <v/>
      </c>
      <c r="R520" s="35">
        <f>IF($F520="","",IFERROR(INDEX(사건마스터!$AO$5:$AO$64,MATCH($F520,사건마스터!$A$5:$A$64,0)),""))</f>
        <v/>
      </c>
      <c r="S520" s="35">
        <f>IF($F520="","",IFERROR(INDEX(사건마스터!$AP$5:$AP$64,MATCH($F520,사건마스터!$A$5:$A$64,0)),""))</f>
        <v/>
      </c>
      <c r="T520" s="35">
        <f>IF($F520="","",IFERROR(INDEX(사건마스터!$AQ$5:$AQ$64,MATCH($F520,사건마스터!$A$5:$A$64,0)),""))</f>
        <v/>
      </c>
      <c r="U520" s="35">
        <f>IF($F520="","",IFERROR(INDEX(사건마스터!$AR$5:$AR$64,MATCH($F520,사건마스터!$A$5:$A$64,0)),""))</f>
        <v/>
      </c>
      <c r="V520" s="35">
        <f>IF($F520="","",IFERROR(INDEX(사건마스터!$AS$5:$AS$64,MATCH($F520,사건마스터!$A$5:$A$64,0)),""))</f>
        <v/>
      </c>
      <c r="W520" s="35">
        <f>IF($F520="","",IFERROR(INDEX(사건마스터!$AT$5:$AT$64,MATCH($F520,사건마스터!$A$5:$A$64,0)),""))</f>
        <v/>
      </c>
      <c r="X520" s="35">
        <f>IF($F520="","",IFERROR(INDEX(사건마스터!$AU$5:$AU$64,MATCH($F520,사건마스터!$A$5:$A$64,0)),""))</f>
        <v/>
      </c>
      <c r="Y520" s="35">
        <f>IF($F520="","",IFERROR(INDEX(사건마스터!$AV$5:$AV$64,MATCH($F520,사건마스터!$A$5:$A$64,0)),""))</f>
        <v/>
      </c>
      <c r="Z520" s="30">
        <f>IF(COUNTBLANK($J520:$Y520)=16,"",16-COUNTBLANK($J520:$Y520))</f>
        <v/>
      </c>
      <c r="AA520" s="33">
        <f>IF($J520="",MID($AX520,3,255),$J520&amp;$AX520)</f>
        <v/>
      </c>
      <c r="AB520" s="34">
        <f>IF($J520="","",IFERROR(INDEX(코드설정!$D$5:$D$24,MATCH($J520,코드설정!$C$5:$C$24,0)),""))</f>
        <v/>
      </c>
      <c r="AC520" s="36" t="n"/>
      <c r="AD520" s="37" t="n"/>
      <c r="AE520" s="38" t="n"/>
      <c r="AF520" s="30">
        <f>IF(OR($B520="",$C520=""),"",$C520-$B520+1)</f>
        <v/>
      </c>
      <c r="AG520" s="32" t="n"/>
      <c r="AH520" s="36" t="n"/>
      <c r="AJ520">
        <f>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  <c r="AX520">
        <f>AW520&amp;IF($Y520="","",", "&amp;$Y520)</f>
        <v/>
      </c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0">
        <f>IF($F521="","",COUNTIF($F$5:$F521,$F521))</f>
        <v/>
      </c>
      <c r="H521" s="33">
        <f>IF($F521="","",IFERROR(INDEX(사건마스터!$B$5:$B$64,MATCH($F521,사건마스터!$A$5:$A$64,0)),""))</f>
        <v/>
      </c>
      <c r="I521" s="34">
        <f>IF($F521="","",IFERROR(INDEX(사건마스터!$C$5:$C$64,MATCH($F521,사건마스터!$A$5:$A$64,0)),""))</f>
        <v/>
      </c>
      <c r="J521" s="35">
        <f>IF($F521="","",IFERROR(INDEX(사건마스터!$H$5:$H$64,MATCH($F521,사건마스터!$A$5:$A$64,0)),""))</f>
        <v/>
      </c>
      <c r="K521" s="35">
        <f>IF($F521="","",IFERROR(INDEX(사건마스터!$AH$5:$AH$64,MATCH($F521,사건마스터!$A$5:$A$64,0)),""))</f>
        <v/>
      </c>
      <c r="L521" s="35">
        <f>IF($F521="","",IFERROR(INDEX(사건마스터!$AI$5:$AI$64,MATCH($F521,사건마스터!$A$5:$A$64,0)),""))</f>
        <v/>
      </c>
      <c r="M521" s="35">
        <f>IF($F521="","",IFERROR(INDEX(사건마스터!$AJ$5:$AJ$64,MATCH($F521,사건마스터!$A$5:$A$64,0)),""))</f>
        <v/>
      </c>
      <c r="N521" s="35">
        <f>IF($F521="","",IFERROR(INDEX(사건마스터!$AK$5:$AK$64,MATCH($F521,사건마스터!$A$5:$A$64,0)),""))</f>
        <v/>
      </c>
      <c r="O521" s="35">
        <f>IF($F521="","",IFERROR(INDEX(사건마스터!$AL$5:$AL$64,MATCH($F521,사건마스터!$A$5:$A$64,0)),""))</f>
        <v/>
      </c>
      <c r="P521" s="35">
        <f>IF($F521="","",IFERROR(INDEX(사건마스터!$AM$5:$AM$64,MATCH($F521,사건마스터!$A$5:$A$64,0)),""))</f>
        <v/>
      </c>
      <c r="Q521" s="35">
        <f>IF($F521="","",IFERROR(INDEX(사건마스터!$AN$5:$AN$64,MATCH($F521,사건마스터!$A$5:$A$64,0)),""))</f>
        <v/>
      </c>
      <c r="R521" s="35">
        <f>IF($F521="","",IFERROR(INDEX(사건마스터!$AO$5:$AO$64,MATCH($F521,사건마스터!$A$5:$A$64,0)),""))</f>
        <v/>
      </c>
      <c r="S521" s="35">
        <f>IF($F521="","",IFERROR(INDEX(사건마스터!$AP$5:$AP$64,MATCH($F521,사건마스터!$A$5:$A$64,0)),""))</f>
        <v/>
      </c>
      <c r="T521" s="35">
        <f>IF($F521="","",IFERROR(INDEX(사건마스터!$AQ$5:$AQ$64,MATCH($F521,사건마스터!$A$5:$A$64,0)),""))</f>
        <v/>
      </c>
      <c r="U521" s="35">
        <f>IF($F521="","",IFERROR(INDEX(사건마스터!$AR$5:$AR$64,MATCH($F521,사건마스터!$A$5:$A$64,0)),""))</f>
        <v/>
      </c>
      <c r="V521" s="35">
        <f>IF($F521="","",IFERROR(INDEX(사건마스터!$AS$5:$AS$64,MATCH($F521,사건마스터!$A$5:$A$64,0)),""))</f>
        <v/>
      </c>
      <c r="W521" s="35">
        <f>IF($F521="","",IFERROR(INDEX(사건마스터!$AT$5:$AT$64,MATCH($F521,사건마스터!$A$5:$A$64,0)),""))</f>
        <v/>
      </c>
      <c r="X521" s="35">
        <f>IF($F521="","",IFERROR(INDEX(사건마스터!$AU$5:$AU$64,MATCH($F521,사건마스터!$A$5:$A$64,0)),""))</f>
        <v/>
      </c>
      <c r="Y521" s="35">
        <f>IF($F521="","",IFERROR(INDEX(사건마스터!$AV$5:$AV$64,MATCH($F521,사건마스터!$A$5:$A$64,0)),""))</f>
        <v/>
      </c>
      <c r="Z521" s="30">
        <f>IF(COUNTBLANK($J521:$Y521)=16,"",16-COUNTBLANK($J521:$Y521))</f>
        <v/>
      </c>
      <c r="AA521" s="33">
        <f>IF($J521="",MID($AX521,3,255),$J521&amp;$AX521)</f>
        <v/>
      </c>
      <c r="AB521" s="34">
        <f>IF($J521="","",IFERROR(INDEX(코드설정!$D$5:$D$24,MATCH($J521,코드설정!$C$5:$C$24,0)),""))</f>
        <v/>
      </c>
      <c r="AC521" s="36" t="n"/>
      <c r="AD521" s="37" t="n"/>
      <c r="AE521" s="38" t="n"/>
      <c r="AF521" s="30">
        <f>IF(OR($B521="",$C521=""),"",$C521-$B521+1)</f>
        <v/>
      </c>
      <c r="AG521" s="32" t="n"/>
      <c r="AH521" s="36" t="n"/>
      <c r="AJ521">
        <f>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  <c r="AX521">
        <f>AW521&amp;IF($Y521="","",", "&amp;$Y521)</f>
        <v/>
      </c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0">
        <f>IF($F522="","",COUNTIF($F$5:$F522,$F522))</f>
        <v/>
      </c>
      <c r="H522" s="33">
        <f>IF($F522="","",IFERROR(INDEX(사건마스터!$B$5:$B$64,MATCH($F522,사건마스터!$A$5:$A$64,0)),""))</f>
        <v/>
      </c>
      <c r="I522" s="34">
        <f>IF($F522="","",IFERROR(INDEX(사건마스터!$C$5:$C$64,MATCH($F522,사건마스터!$A$5:$A$64,0)),""))</f>
        <v/>
      </c>
      <c r="J522" s="35">
        <f>IF($F522="","",IFERROR(INDEX(사건마스터!$H$5:$H$64,MATCH($F522,사건마스터!$A$5:$A$64,0)),""))</f>
        <v/>
      </c>
      <c r="K522" s="35">
        <f>IF($F522="","",IFERROR(INDEX(사건마스터!$AH$5:$AH$64,MATCH($F522,사건마스터!$A$5:$A$64,0)),""))</f>
        <v/>
      </c>
      <c r="L522" s="35">
        <f>IF($F522="","",IFERROR(INDEX(사건마스터!$AI$5:$AI$64,MATCH($F522,사건마스터!$A$5:$A$64,0)),""))</f>
        <v/>
      </c>
      <c r="M522" s="35">
        <f>IF($F522="","",IFERROR(INDEX(사건마스터!$AJ$5:$AJ$64,MATCH($F522,사건마스터!$A$5:$A$64,0)),""))</f>
        <v/>
      </c>
      <c r="N522" s="35">
        <f>IF($F522="","",IFERROR(INDEX(사건마스터!$AK$5:$AK$64,MATCH($F522,사건마스터!$A$5:$A$64,0)),""))</f>
        <v/>
      </c>
      <c r="O522" s="35">
        <f>IF($F522="","",IFERROR(INDEX(사건마스터!$AL$5:$AL$64,MATCH($F522,사건마스터!$A$5:$A$64,0)),""))</f>
        <v/>
      </c>
      <c r="P522" s="35">
        <f>IF($F522="","",IFERROR(INDEX(사건마스터!$AM$5:$AM$64,MATCH($F522,사건마스터!$A$5:$A$64,0)),""))</f>
        <v/>
      </c>
      <c r="Q522" s="35">
        <f>IF($F522="","",IFERROR(INDEX(사건마스터!$AN$5:$AN$64,MATCH($F522,사건마스터!$A$5:$A$64,0)),""))</f>
        <v/>
      </c>
      <c r="R522" s="35">
        <f>IF($F522="","",IFERROR(INDEX(사건마스터!$AO$5:$AO$64,MATCH($F522,사건마스터!$A$5:$A$64,0)),""))</f>
        <v/>
      </c>
      <c r="S522" s="35">
        <f>IF($F522="","",IFERROR(INDEX(사건마스터!$AP$5:$AP$64,MATCH($F522,사건마스터!$A$5:$A$64,0)),""))</f>
        <v/>
      </c>
      <c r="T522" s="35">
        <f>IF($F522="","",IFERROR(INDEX(사건마스터!$AQ$5:$AQ$64,MATCH($F522,사건마스터!$A$5:$A$64,0)),""))</f>
        <v/>
      </c>
      <c r="U522" s="35">
        <f>IF($F522="","",IFERROR(INDEX(사건마스터!$AR$5:$AR$64,MATCH($F522,사건마스터!$A$5:$A$64,0)),""))</f>
        <v/>
      </c>
      <c r="V522" s="35">
        <f>IF($F522="","",IFERROR(INDEX(사건마스터!$AS$5:$AS$64,MATCH($F522,사건마스터!$A$5:$A$64,0)),""))</f>
        <v/>
      </c>
      <c r="W522" s="35">
        <f>IF($F522="","",IFERROR(INDEX(사건마스터!$AT$5:$AT$64,MATCH($F522,사건마스터!$A$5:$A$64,0)),""))</f>
        <v/>
      </c>
      <c r="X522" s="35">
        <f>IF($F522="","",IFERROR(INDEX(사건마스터!$AU$5:$AU$64,MATCH($F522,사건마스터!$A$5:$A$64,0)),""))</f>
        <v/>
      </c>
      <c r="Y522" s="35">
        <f>IF($F522="","",IFERROR(INDEX(사건마스터!$AV$5:$AV$64,MATCH($F522,사건마스터!$A$5:$A$64,0)),""))</f>
        <v/>
      </c>
      <c r="Z522" s="30">
        <f>IF(COUNTBLANK($J522:$Y522)=16,"",16-COUNTBLANK($J522:$Y522))</f>
        <v/>
      </c>
      <c r="AA522" s="33">
        <f>IF($J522="",MID($AX522,3,255),$J522&amp;$AX522)</f>
        <v/>
      </c>
      <c r="AB522" s="34">
        <f>IF($J522="","",IFERROR(INDEX(코드설정!$D$5:$D$24,MATCH($J522,코드설정!$C$5:$C$24,0)),""))</f>
        <v/>
      </c>
      <c r="AC522" s="36" t="n"/>
      <c r="AD522" s="37" t="n"/>
      <c r="AE522" s="38" t="n"/>
      <c r="AF522" s="30">
        <f>IF(OR($B522="",$C522=""),"",$C522-$B522+1)</f>
        <v/>
      </c>
      <c r="AG522" s="32" t="n"/>
      <c r="AH522" s="36" t="n"/>
      <c r="AJ522">
        <f>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  <c r="AX522">
        <f>AW522&amp;IF($Y522="","",", "&amp;$Y522)</f>
        <v/>
      </c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0">
        <f>IF($F523="","",COUNTIF($F$5:$F523,$F523))</f>
        <v/>
      </c>
      <c r="H523" s="33">
        <f>IF($F523="","",IFERROR(INDEX(사건마스터!$B$5:$B$64,MATCH($F523,사건마스터!$A$5:$A$64,0)),""))</f>
        <v/>
      </c>
      <c r="I523" s="34">
        <f>IF($F523="","",IFERROR(INDEX(사건마스터!$C$5:$C$64,MATCH($F523,사건마스터!$A$5:$A$64,0)),""))</f>
        <v/>
      </c>
      <c r="J523" s="35">
        <f>IF($F523="","",IFERROR(INDEX(사건마스터!$H$5:$H$64,MATCH($F523,사건마스터!$A$5:$A$64,0)),""))</f>
        <v/>
      </c>
      <c r="K523" s="35">
        <f>IF($F523="","",IFERROR(INDEX(사건마스터!$AH$5:$AH$64,MATCH($F523,사건마스터!$A$5:$A$64,0)),""))</f>
        <v/>
      </c>
      <c r="L523" s="35">
        <f>IF($F523="","",IFERROR(INDEX(사건마스터!$AI$5:$AI$64,MATCH($F523,사건마스터!$A$5:$A$64,0)),""))</f>
        <v/>
      </c>
      <c r="M523" s="35">
        <f>IF($F523="","",IFERROR(INDEX(사건마스터!$AJ$5:$AJ$64,MATCH($F523,사건마스터!$A$5:$A$64,0)),""))</f>
        <v/>
      </c>
      <c r="N523" s="35">
        <f>IF($F523="","",IFERROR(INDEX(사건마스터!$AK$5:$AK$64,MATCH($F523,사건마스터!$A$5:$A$64,0)),""))</f>
        <v/>
      </c>
      <c r="O523" s="35">
        <f>IF($F523="","",IFERROR(INDEX(사건마스터!$AL$5:$AL$64,MATCH($F523,사건마스터!$A$5:$A$64,0)),""))</f>
        <v/>
      </c>
      <c r="P523" s="35">
        <f>IF($F523="","",IFERROR(INDEX(사건마스터!$AM$5:$AM$64,MATCH($F523,사건마스터!$A$5:$A$64,0)),""))</f>
        <v/>
      </c>
      <c r="Q523" s="35">
        <f>IF($F523="","",IFERROR(INDEX(사건마스터!$AN$5:$AN$64,MATCH($F523,사건마스터!$A$5:$A$64,0)),""))</f>
        <v/>
      </c>
      <c r="R523" s="35">
        <f>IF($F523="","",IFERROR(INDEX(사건마스터!$AO$5:$AO$64,MATCH($F523,사건마스터!$A$5:$A$64,0)),""))</f>
        <v/>
      </c>
      <c r="S523" s="35">
        <f>IF($F523="","",IFERROR(INDEX(사건마스터!$AP$5:$AP$64,MATCH($F523,사건마스터!$A$5:$A$64,0)),""))</f>
        <v/>
      </c>
      <c r="T523" s="35">
        <f>IF($F523="","",IFERROR(INDEX(사건마스터!$AQ$5:$AQ$64,MATCH($F523,사건마스터!$A$5:$A$64,0)),""))</f>
        <v/>
      </c>
      <c r="U523" s="35">
        <f>IF($F523="","",IFERROR(INDEX(사건마스터!$AR$5:$AR$64,MATCH($F523,사건마스터!$A$5:$A$64,0)),""))</f>
        <v/>
      </c>
      <c r="V523" s="35">
        <f>IF($F523="","",IFERROR(INDEX(사건마스터!$AS$5:$AS$64,MATCH($F523,사건마스터!$A$5:$A$64,0)),""))</f>
        <v/>
      </c>
      <c r="W523" s="35">
        <f>IF($F523="","",IFERROR(INDEX(사건마스터!$AT$5:$AT$64,MATCH($F523,사건마스터!$A$5:$A$64,0)),""))</f>
        <v/>
      </c>
      <c r="X523" s="35">
        <f>IF($F523="","",IFERROR(INDEX(사건마스터!$AU$5:$AU$64,MATCH($F523,사건마스터!$A$5:$A$64,0)),""))</f>
        <v/>
      </c>
      <c r="Y523" s="35">
        <f>IF($F523="","",IFERROR(INDEX(사건마스터!$AV$5:$AV$64,MATCH($F523,사건마스터!$A$5:$A$64,0)),""))</f>
        <v/>
      </c>
      <c r="Z523" s="30">
        <f>IF(COUNTBLANK($J523:$Y523)=16,"",16-COUNTBLANK($J523:$Y523))</f>
        <v/>
      </c>
      <c r="AA523" s="33">
        <f>IF($J523="",MID($AX523,3,255),$J523&amp;$AX523)</f>
        <v/>
      </c>
      <c r="AB523" s="34">
        <f>IF($J523="","",IFERROR(INDEX(코드설정!$D$5:$D$24,MATCH($J523,코드설정!$C$5:$C$24,0)),""))</f>
        <v/>
      </c>
      <c r="AC523" s="36" t="n"/>
      <c r="AD523" s="37" t="n"/>
      <c r="AE523" s="38" t="n"/>
      <c r="AF523" s="30">
        <f>IF(OR($B523="",$C523=""),"",$C523-$B523+1)</f>
        <v/>
      </c>
      <c r="AG523" s="32" t="n"/>
      <c r="AH523" s="36" t="n"/>
      <c r="AJ523">
        <f>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  <c r="AX523">
        <f>AW523&amp;IF($Y523="","",", "&amp;$Y523)</f>
        <v/>
      </c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0">
        <f>IF($F524="","",COUNTIF($F$5:$F524,$F524))</f>
        <v/>
      </c>
      <c r="H524" s="33">
        <f>IF($F524="","",IFERROR(INDEX(사건마스터!$B$5:$B$64,MATCH($F524,사건마스터!$A$5:$A$64,0)),""))</f>
        <v/>
      </c>
      <c r="I524" s="34">
        <f>IF($F524="","",IFERROR(INDEX(사건마스터!$C$5:$C$64,MATCH($F524,사건마스터!$A$5:$A$64,0)),""))</f>
        <v/>
      </c>
      <c r="J524" s="35">
        <f>IF($F524="","",IFERROR(INDEX(사건마스터!$H$5:$H$64,MATCH($F524,사건마스터!$A$5:$A$64,0)),""))</f>
        <v/>
      </c>
      <c r="K524" s="35">
        <f>IF($F524="","",IFERROR(INDEX(사건마스터!$AH$5:$AH$64,MATCH($F524,사건마스터!$A$5:$A$64,0)),""))</f>
        <v/>
      </c>
      <c r="L524" s="35">
        <f>IF($F524="","",IFERROR(INDEX(사건마스터!$AI$5:$AI$64,MATCH($F524,사건마스터!$A$5:$A$64,0)),""))</f>
        <v/>
      </c>
      <c r="M524" s="35">
        <f>IF($F524="","",IFERROR(INDEX(사건마스터!$AJ$5:$AJ$64,MATCH($F524,사건마스터!$A$5:$A$64,0)),""))</f>
        <v/>
      </c>
      <c r="N524" s="35">
        <f>IF($F524="","",IFERROR(INDEX(사건마스터!$AK$5:$AK$64,MATCH($F524,사건마스터!$A$5:$A$64,0)),""))</f>
        <v/>
      </c>
      <c r="O524" s="35">
        <f>IF($F524="","",IFERROR(INDEX(사건마스터!$AL$5:$AL$64,MATCH($F524,사건마스터!$A$5:$A$64,0)),""))</f>
        <v/>
      </c>
      <c r="P524" s="35">
        <f>IF($F524="","",IFERROR(INDEX(사건마스터!$AM$5:$AM$64,MATCH($F524,사건마스터!$A$5:$A$64,0)),""))</f>
        <v/>
      </c>
      <c r="Q524" s="35">
        <f>IF($F524="","",IFERROR(INDEX(사건마스터!$AN$5:$AN$64,MATCH($F524,사건마스터!$A$5:$A$64,0)),""))</f>
        <v/>
      </c>
      <c r="R524" s="35">
        <f>IF($F524="","",IFERROR(INDEX(사건마스터!$AO$5:$AO$64,MATCH($F524,사건마스터!$A$5:$A$64,0)),""))</f>
        <v/>
      </c>
      <c r="S524" s="35">
        <f>IF($F524="","",IFERROR(INDEX(사건마스터!$AP$5:$AP$64,MATCH($F524,사건마스터!$A$5:$A$64,0)),""))</f>
        <v/>
      </c>
      <c r="T524" s="35">
        <f>IF($F524="","",IFERROR(INDEX(사건마스터!$AQ$5:$AQ$64,MATCH($F524,사건마스터!$A$5:$A$64,0)),""))</f>
        <v/>
      </c>
      <c r="U524" s="35">
        <f>IF($F524="","",IFERROR(INDEX(사건마스터!$AR$5:$AR$64,MATCH($F524,사건마스터!$A$5:$A$64,0)),""))</f>
        <v/>
      </c>
      <c r="V524" s="35">
        <f>IF($F524="","",IFERROR(INDEX(사건마스터!$AS$5:$AS$64,MATCH($F524,사건마스터!$A$5:$A$64,0)),""))</f>
        <v/>
      </c>
      <c r="W524" s="35">
        <f>IF($F524="","",IFERROR(INDEX(사건마스터!$AT$5:$AT$64,MATCH($F524,사건마스터!$A$5:$A$64,0)),""))</f>
        <v/>
      </c>
      <c r="X524" s="35">
        <f>IF($F524="","",IFERROR(INDEX(사건마스터!$AU$5:$AU$64,MATCH($F524,사건마스터!$A$5:$A$64,0)),""))</f>
        <v/>
      </c>
      <c r="Y524" s="35">
        <f>IF($F524="","",IFERROR(INDEX(사건마스터!$AV$5:$AV$64,MATCH($F524,사건마스터!$A$5:$A$64,0)),""))</f>
        <v/>
      </c>
      <c r="Z524" s="30">
        <f>IF(COUNTBLANK($J524:$Y524)=16,"",16-COUNTBLANK($J524:$Y524))</f>
        <v/>
      </c>
      <c r="AA524" s="33">
        <f>IF($J524="",MID($AX524,3,255),$J524&amp;$AX524)</f>
        <v/>
      </c>
      <c r="AB524" s="34">
        <f>IF($J524="","",IFERROR(INDEX(코드설정!$D$5:$D$24,MATCH($J524,코드설정!$C$5:$C$24,0)),""))</f>
        <v/>
      </c>
      <c r="AC524" s="36" t="n"/>
      <c r="AD524" s="37" t="n"/>
      <c r="AE524" s="38" t="n"/>
      <c r="AF524" s="30">
        <f>IF(OR($B524="",$C524=""),"",$C524-$B524+1)</f>
        <v/>
      </c>
      <c r="AG524" s="32" t="n"/>
      <c r="AH524" s="36" t="n"/>
      <c r="AJ524">
        <f>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  <c r="AX524">
        <f>AW524&amp;IF($Y524="","",", "&amp;$Y524)</f>
        <v/>
      </c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0">
        <f>IF($F525="","",COUNTIF($F$5:$F525,$F525))</f>
        <v/>
      </c>
      <c r="H525" s="33">
        <f>IF($F525="","",IFERROR(INDEX(사건마스터!$B$5:$B$64,MATCH($F525,사건마스터!$A$5:$A$64,0)),""))</f>
        <v/>
      </c>
      <c r="I525" s="34">
        <f>IF($F525="","",IFERROR(INDEX(사건마스터!$C$5:$C$64,MATCH($F525,사건마스터!$A$5:$A$64,0)),""))</f>
        <v/>
      </c>
      <c r="J525" s="35">
        <f>IF($F525="","",IFERROR(INDEX(사건마스터!$H$5:$H$64,MATCH($F525,사건마스터!$A$5:$A$64,0)),""))</f>
        <v/>
      </c>
      <c r="K525" s="35">
        <f>IF($F525="","",IFERROR(INDEX(사건마스터!$AH$5:$AH$64,MATCH($F525,사건마스터!$A$5:$A$64,0)),""))</f>
        <v/>
      </c>
      <c r="L525" s="35">
        <f>IF($F525="","",IFERROR(INDEX(사건마스터!$AI$5:$AI$64,MATCH($F525,사건마스터!$A$5:$A$64,0)),""))</f>
        <v/>
      </c>
      <c r="M525" s="35">
        <f>IF($F525="","",IFERROR(INDEX(사건마스터!$AJ$5:$AJ$64,MATCH($F525,사건마스터!$A$5:$A$64,0)),""))</f>
        <v/>
      </c>
      <c r="N525" s="35">
        <f>IF($F525="","",IFERROR(INDEX(사건마스터!$AK$5:$AK$64,MATCH($F525,사건마스터!$A$5:$A$64,0)),""))</f>
        <v/>
      </c>
      <c r="O525" s="35">
        <f>IF($F525="","",IFERROR(INDEX(사건마스터!$AL$5:$AL$64,MATCH($F525,사건마스터!$A$5:$A$64,0)),""))</f>
        <v/>
      </c>
      <c r="P525" s="35">
        <f>IF($F525="","",IFERROR(INDEX(사건마스터!$AM$5:$AM$64,MATCH($F525,사건마스터!$A$5:$A$64,0)),""))</f>
        <v/>
      </c>
      <c r="Q525" s="35">
        <f>IF($F525="","",IFERROR(INDEX(사건마스터!$AN$5:$AN$64,MATCH($F525,사건마스터!$A$5:$A$64,0)),""))</f>
        <v/>
      </c>
      <c r="R525" s="35">
        <f>IF($F525="","",IFERROR(INDEX(사건마스터!$AO$5:$AO$64,MATCH($F525,사건마스터!$A$5:$A$64,0)),""))</f>
        <v/>
      </c>
      <c r="S525" s="35">
        <f>IF($F525="","",IFERROR(INDEX(사건마스터!$AP$5:$AP$64,MATCH($F525,사건마스터!$A$5:$A$64,0)),""))</f>
        <v/>
      </c>
      <c r="T525" s="35">
        <f>IF($F525="","",IFERROR(INDEX(사건마스터!$AQ$5:$AQ$64,MATCH($F525,사건마스터!$A$5:$A$64,0)),""))</f>
        <v/>
      </c>
      <c r="U525" s="35">
        <f>IF($F525="","",IFERROR(INDEX(사건마스터!$AR$5:$AR$64,MATCH($F525,사건마스터!$A$5:$A$64,0)),""))</f>
        <v/>
      </c>
      <c r="V525" s="35">
        <f>IF($F525="","",IFERROR(INDEX(사건마스터!$AS$5:$AS$64,MATCH($F525,사건마스터!$A$5:$A$64,0)),""))</f>
        <v/>
      </c>
      <c r="W525" s="35">
        <f>IF($F525="","",IFERROR(INDEX(사건마스터!$AT$5:$AT$64,MATCH($F525,사건마스터!$A$5:$A$64,0)),""))</f>
        <v/>
      </c>
      <c r="X525" s="35">
        <f>IF($F525="","",IFERROR(INDEX(사건마스터!$AU$5:$AU$64,MATCH($F525,사건마스터!$A$5:$A$64,0)),""))</f>
        <v/>
      </c>
      <c r="Y525" s="35">
        <f>IF($F525="","",IFERROR(INDEX(사건마스터!$AV$5:$AV$64,MATCH($F525,사건마스터!$A$5:$A$64,0)),""))</f>
        <v/>
      </c>
      <c r="Z525" s="30">
        <f>IF(COUNTBLANK($J525:$Y525)=16,"",16-COUNTBLANK($J525:$Y525))</f>
        <v/>
      </c>
      <c r="AA525" s="33">
        <f>IF($J525="",MID($AX525,3,255),$J525&amp;$AX525)</f>
        <v/>
      </c>
      <c r="AB525" s="34">
        <f>IF($J525="","",IFERROR(INDEX(코드설정!$D$5:$D$24,MATCH($J525,코드설정!$C$5:$C$24,0)),""))</f>
        <v/>
      </c>
      <c r="AC525" s="36" t="n"/>
      <c r="AD525" s="37" t="n"/>
      <c r="AE525" s="38" t="n"/>
      <c r="AF525" s="30">
        <f>IF(OR($B525="",$C525=""),"",$C525-$B525+1)</f>
        <v/>
      </c>
      <c r="AG525" s="32" t="n"/>
      <c r="AH525" s="36" t="n"/>
      <c r="AJ525">
        <f>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  <c r="AX525">
        <f>AW525&amp;IF($Y525="","",", "&amp;$Y525)</f>
        <v/>
      </c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0">
        <f>IF($F526="","",COUNTIF($F$5:$F526,$F526))</f>
        <v/>
      </c>
      <c r="H526" s="33">
        <f>IF($F526="","",IFERROR(INDEX(사건마스터!$B$5:$B$64,MATCH($F526,사건마스터!$A$5:$A$64,0)),""))</f>
        <v/>
      </c>
      <c r="I526" s="34">
        <f>IF($F526="","",IFERROR(INDEX(사건마스터!$C$5:$C$64,MATCH($F526,사건마스터!$A$5:$A$64,0)),""))</f>
        <v/>
      </c>
      <c r="J526" s="35">
        <f>IF($F526="","",IFERROR(INDEX(사건마스터!$H$5:$H$64,MATCH($F526,사건마스터!$A$5:$A$64,0)),""))</f>
        <v/>
      </c>
      <c r="K526" s="35">
        <f>IF($F526="","",IFERROR(INDEX(사건마스터!$AH$5:$AH$64,MATCH($F526,사건마스터!$A$5:$A$64,0)),""))</f>
        <v/>
      </c>
      <c r="L526" s="35">
        <f>IF($F526="","",IFERROR(INDEX(사건마스터!$AI$5:$AI$64,MATCH($F526,사건마스터!$A$5:$A$64,0)),""))</f>
        <v/>
      </c>
      <c r="M526" s="35">
        <f>IF($F526="","",IFERROR(INDEX(사건마스터!$AJ$5:$AJ$64,MATCH($F526,사건마스터!$A$5:$A$64,0)),""))</f>
        <v/>
      </c>
      <c r="N526" s="35">
        <f>IF($F526="","",IFERROR(INDEX(사건마스터!$AK$5:$AK$64,MATCH($F526,사건마스터!$A$5:$A$64,0)),""))</f>
        <v/>
      </c>
      <c r="O526" s="35">
        <f>IF($F526="","",IFERROR(INDEX(사건마스터!$AL$5:$AL$64,MATCH($F526,사건마스터!$A$5:$A$64,0)),""))</f>
        <v/>
      </c>
      <c r="P526" s="35">
        <f>IF($F526="","",IFERROR(INDEX(사건마스터!$AM$5:$AM$64,MATCH($F526,사건마스터!$A$5:$A$64,0)),""))</f>
        <v/>
      </c>
      <c r="Q526" s="35">
        <f>IF($F526="","",IFERROR(INDEX(사건마스터!$AN$5:$AN$64,MATCH($F526,사건마스터!$A$5:$A$64,0)),""))</f>
        <v/>
      </c>
      <c r="R526" s="35">
        <f>IF($F526="","",IFERROR(INDEX(사건마스터!$AO$5:$AO$64,MATCH($F526,사건마스터!$A$5:$A$64,0)),""))</f>
        <v/>
      </c>
      <c r="S526" s="35">
        <f>IF($F526="","",IFERROR(INDEX(사건마스터!$AP$5:$AP$64,MATCH($F526,사건마스터!$A$5:$A$64,0)),""))</f>
        <v/>
      </c>
      <c r="T526" s="35">
        <f>IF($F526="","",IFERROR(INDEX(사건마스터!$AQ$5:$AQ$64,MATCH($F526,사건마스터!$A$5:$A$64,0)),""))</f>
        <v/>
      </c>
      <c r="U526" s="35">
        <f>IF($F526="","",IFERROR(INDEX(사건마스터!$AR$5:$AR$64,MATCH($F526,사건마스터!$A$5:$A$64,0)),""))</f>
        <v/>
      </c>
      <c r="V526" s="35">
        <f>IF($F526="","",IFERROR(INDEX(사건마스터!$AS$5:$AS$64,MATCH($F526,사건마스터!$A$5:$A$64,0)),""))</f>
        <v/>
      </c>
      <c r="W526" s="35">
        <f>IF($F526="","",IFERROR(INDEX(사건마스터!$AT$5:$AT$64,MATCH($F526,사건마스터!$A$5:$A$64,0)),""))</f>
        <v/>
      </c>
      <c r="X526" s="35">
        <f>IF($F526="","",IFERROR(INDEX(사건마스터!$AU$5:$AU$64,MATCH($F526,사건마스터!$A$5:$A$64,0)),""))</f>
        <v/>
      </c>
      <c r="Y526" s="35">
        <f>IF($F526="","",IFERROR(INDEX(사건마스터!$AV$5:$AV$64,MATCH($F526,사건마스터!$A$5:$A$64,0)),""))</f>
        <v/>
      </c>
      <c r="Z526" s="30">
        <f>IF(COUNTBLANK($J526:$Y526)=16,"",16-COUNTBLANK($J526:$Y526))</f>
        <v/>
      </c>
      <c r="AA526" s="33">
        <f>IF($J526="",MID($AX526,3,255),$J526&amp;$AX526)</f>
        <v/>
      </c>
      <c r="AB526" s="34">
        <f>IF($J526="","",IFERROR(INDEX(코드설정!$D$5:$D$24,MATCH($J526,코드설정!$C$5:$C$24,0)),""))</f>
        <v/>
      </c>
      <c r="AC526" s="36" t="n"/>
      <c r="AD526" s="37" t="n"/>
      <c r="AE526" s="38" t="n"/>
      <c r="AF526" s="30">
        <f>IF(OR($B526="",$C526=""),"",$C526-$B526+1)</f>
        <v/>
      </c>
      <c r="AG526" s="32" t="n"/>
      <c r="AH526" s="36" t="n"/>
      <c r="AJ526">
        <f>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  <c r="AX526">
        <f>AW526&amp;IF($Y526="","",", "&amp;$Y526)</f>
        <v/>
      </c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0">
        <f>IF($F527="","",COUNTIF($F$5:$F527,$F527))</f>
        <v/>
      </c>
      <c r="H527" s="33">
        <f>IF($F527="","",IFERROR(INDEX(사건마스터!$B$5:$B$64,MATCH($F527,사건마스터!$A$5:$A$64,0)),""))</f>
        <v/>
      </c>
      <c r="I527" s="34">
        <f>IF($F527="","",IFERROR(INDEX(사건마스터!$C$5:$C$64,MATCH($F527,사건마스터!$A$5:$A$64,0)),""))</f>
        <v/>
      </c>
      <c r="J527" s="35">
        <f>IF($F527="","",IFERROR(INDEX(사건마스터!$H$5:$H$64,MATCH($F527,사건마스터!$A$5:$A$64,0)),""))</f>
        <v/>
      </c>
      <c r="K527" s="35">
        <f>IF($F527="","",IFERROR(INDEX(사건마스터!$AH$5:$AH$64,MATCH($F527,사건마스터!$A$5:$A$64,0)),""))</f>
        <v/>
      </c>
      <c r="L527" s="35">
        <f>IF($F527="","",IFERROR(INDEX(사건마스터!$AI$5:$AI$64,MATCH($F527,사건마스터!$A$5:$A$64,0)),""))</f>
        <v/>
      </c>
      <c r="M527" s="35">
        <f>IF($F527="","",IFERROR(INDEX(사건마스터!$AJ$5:$AJ$64,MATCH($F527,사건마스터!$A$5:$A$64,0)),""))</f>
        <v/>
      </c>
      <c r="N527" s="35">
        <f>IF($F527="","",IFERROR(INDEX(사건마스터!$AK$5:$AK$64,MATCH($F527,사건마스터!$A$5:$A$64,0)),""))</f>
        <v/>
      </c>
      <c r="O527" s="35">
        <f>IF($F527="","",IFERROR(INDEX(사건마스터!$AL$5:$AL$64,MATCH($F527,사건마스터!$A$5:$A$64,0)),""))</f>
        <v/>
      </c>
      <c r="P527" s="35">
        <f>IF($F527="","",IFERROR(INDEX(사건마스터!$AM$5:$AM$64,MATCH($F527,사건마스터!$A$5:$A$64,0)),""))</f>
        <v/>
      </c>
      <c r="Q527" s="35">
        <f>IF($F527="","",IFERROR(INDEX(사건마스터!$AN$5:$AN$64,MATCH($F527,사건마스터!$A$5:$A$64,0)),""))</f>
        <v/>
      </c>
      <c r="R527" s="35">
        <f>IF($F527="","",IFERROR(INDEX(사건마스터!$AO$5:$AO$64,MATCH($F527,사건마스터!$A$5:$A$64,0)),""))</f>
        <v/>
      </c>
      <c r="S527" s="35">
        <f>IF($F527="","",IFERROR(INDEX(사건마스터!$AP$5:$AP$64,MATCH($F527,사건마스터!$A$5:$A$64,0)),""))</f>
        <v/>
      </c>
      <c r="T527" s="35">
        <f>IF($F527="","",IFERROR(INDEX(사건마스터!$AQ$5:$AQ$64,MATCH($F527,사건마스터!$A$5:$A$64,0)),""))</f>
        <v/>
      </c>
      <c r="U527" s="35">
        <f>IF($F527="","",IFERROR(INDEX(사건마스터!$AR$5:$AR$64,MATCH($F527,사건마스터!$A$5:$A$64,0)),""))</f>
        <v/>
      </c>
      <c r="V527" s="35">
        <f>IF($F527="","",IFERROR(INDEX(사건마스터!$AS$5:$AS$64,MATCH($F527,사건마스터!$A$5:$A$64,0)),""))</f>
        <v/>
      </c>
      <c r="W527" s="35">
        <f>IF($F527="","",IFERROR(INDEX(사건마스터!$AT$5:$AT$64,MATCH($F527,사건마스터!$A$5:$A$64,0)),""))</f>
        <v/>
      </c>
      <c r="X527" s="35">
        <f>IF($F527="","",IFERROR(INDEX(사건마스터!$AU$5:$AU$64,MATCH($F527,사건마스터!$A$5:$A$64,0)),""))</f>
        <v/>
      </c>
      <c r="Y527" s="35">
        <f>IF($F527="","",IFERROR(INDEX(사건마스터!$AV$5:$AV$64,MATCH($F527,사건마스터!$A$5:$A$64,0)),""))</f>
        <v/>
      </c>
      <c r="Z527" s="30">
        <f>IF(COUNTBLANK($J527:$Y527)=16,"",16-COUNTBLANK($J527:$Y527))</f>
        <v/>
      </c>
      <c r="AA527" s="33">
        <f>IF($J527="",MID($AX527,3,255),$J527&amp;$AX527)</f>
        <v/>
      </c>
      <c r="AB527" s="34">
        <f>IF($J527="","",IFERROR(INDEX(코드설정!$D$5:$D$24,MATCH($J527,코드설정!$C$5:$C$24,0)),""))</f>
        <v/>
      </c>
      <c r="AC527" s="36" t="n"/>
      <c r="AD527" s="37" t="n"/>
      <c r="AE527" s="38" t="n"/>
      <c r="AF527" s="30">
        <f>IF(OR($B527="",$C527=""),"",$C527-$B527+1)</f>
        <v/>
      </c>
      <c r="AG527" s="32" t="n"/>
      <c r="AH527" s="36" t="n"/>
      <c r="AJ527">
        <f>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  <c r="AX527">
        <f>AW527&amp;IF($Y527="","",", "&amp;$Y527)</f>
        <v/>
      </c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0">
        <f>IF($F528="","",COUNTIF($F$5:$F528,$F528))</f>
        <v/>
      </c>
      <c r="H528" s="33">
        <f>IF($F528="","",IFERROR(INDEX(사건마스터!$B$5:$B$64,MATCH($F528,사건마스터!$A$5:$A$64,0)),""))</f>
        <v/>
      </c>
      <c r="I528" s="34">
        <f>IF($F528="","",IFERROR(INDEX(사건마스터!$C$5:$C$64,MATCH($F528,사건마스터!$A$5:$A$64,0)),""))</f>
        <v/>
      </c>
      <c r="J528" s="35">
        <f>IF($F528="","",IFERROR(INDEX(사건마스터!$H$5:$H$64,MATCH($F528,사건마스터!$A$5:$A$64,0)),""))</f>
        <v/>
      </c>
      <c r="K528" s="35">
        <f>IF($F528="","",IFERROR(INDEX(사건마스터!$AH$5:$AH$64,MATCH($F528,사건마스터!$A$5:$A$64,0)),""))</f>
        <v/>
      </c>
      <c r="L528" s="35">
        <f>IF($F528="","",IFERROR(INDEX(사건마스터!$AI$5:$AI$64,MATCH($F528,사건마스터!$A$5:$A$64,0)),""))</f>
        <v/>
      </c>
      <c r="M528" s="35">
        <f>IF($F528="","",IFERROR(INDEX(사건마스터!$AJ$5:$AJ$64,MATCH($F528,사건마스터!$A$5:$A$64,0)),""))</f>
        <v/>
      </c>
      <c r="N528" s="35">
        <f>IF($F528="","",IFERROR(INDEX(사건마스터!$AK$5:$AK$64,MATCH($F528,사건마스터!$A$5:$A$64,0)),""))</f>
        <v/>
      </c>
      <c r="O528" s="35">
        <f>IF($F528="","",IFERROR(INDEX(사건마스터!$AL$5:$AL$64,MATCH($F528,사건마스터!$A$5:$A$64,0)),""))</f>
        <v/>
      </c>
      <c r="P528" s="35">
        <f>IF($F528="","",IFERROR(INDEX(사건마스터!$AM$5:$AM$64,MATCH($F528,사건마스터!$A$5:$A$64,0)),""))</f>
        <v/>
      </c>
      <c r="Q528" s="35">
        <f>IF($F528="","",IFERROR(INDEX(사건마스터!$AN$5:$AN$64,MATCH($F528,사건마스터!$A$5:$A$64,0)),""))</f>
        <v/>
      </c>
      <c r="R528" s="35">
        <f>IF($F528="","",IFERROR(INDEX(사건마스터!$AO$5:$AO$64,MATCH($F528,사건마스터!$A$5:$A$64,0)),""))</f>
        <v/>
      </c>
      <c r="S528" s="35">
        <f>IF($F528="","",IFERROR(INDEX(사건마스터!$AP$5:$AP$64,MATCH($F528,사건마스터!$A$5:$A$64,0)),""))</f>
        <v/>
      </c>
      <c r="T528" s="35">
        <f>IF($F528="","",IFERROR(INDEX(사건마스터!$AQ$5:$AQ$64,MATCH($F528,사건마스터!$A$5:$A$64,0)),""))</f>
        <v/>
      </c>
      <c r="U528" s="35">
        <f>IF($F528="","",IFERROR(INDEX(사건마스터!$AR$5:$AR$64,MATCH($F528,사건마스터!$A$5:$A$64,0)),""))</f>
        <v/>
      </c>
      <c r="V528" s="35">
        <f>IF($F528="","",IFERROR(INDEX(사건마스터!$AS$5:$AS$64,MATCH($F528,사건마스터!$A$5:$A$64,0)),""))</f>
        <v/>
      </c>
      <c r="W528" s="35">
        <f>IF($F528="","",IFERROR(INDEX(사건마스터!$AT$5:$AT$64,MATCH($F528,사건마스터!$A$5:$A$64,0)),""))</f>
        <v/>
      </c>
      <c r="X528" s="35">
        <f>IF($F528="","",IFERROR(INDEX(사건마스터!$AU$5:$AU$64,MATCH($F528,사건마스터!$A$5:$A$64,0)),""))</f>
        <v/>
      </c>
      <c r="Y528" s="35">
        <f>IF($F528="","",IFERROR(INDEX(사건마스터!$AV$5:$AV$64,MATCH($F528,사건마스터!$A$5:$A$64,0)),""))</f>
        <v/>
      </c>
      <c r="Z528" s="30">
        <f>IF(COUNTBLANK($J528:$Y528)=16,"",16-COUNTBLANK($J528:$Y528))</f>
        <v/>
      </c>
      <c r="AA528" s="33">
        <f>IF($J528="",MID($AX528,3,255),$J528&amp;$AX528)</f>
        <v/>
      </c>
      <c r="AB528" s="34">
        <f>IF($J528="","",IFERROR(INDEX(코드설정!$D$5:$D$24,MATCH($J528,코드설정!$C$5:$C$24,0)),""))</f>
        <v/>
      </c>
      <c r="AC528" s="36" t="n"/>
      <c r="AD528" s="37" t="n"/>
      <c r="AE528" s="38" t="n"/>
      <c r="AF528" s="30">
        <f>IF(OR($B528="",$C528=""),"",$C528-$B528+1)</f>
        <v/>
      </c>
      <c r="AG528" s="32" t="n"/>
      <c r="AH528" s="36" t="n"/>
      <c r="AJ528">
        <f>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  <c r="AX528">
        <f>AW528&amp;IF($Y528="","",", "&amp;$Y528)</f>
        <v/>
      </c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0">
        <f>IF($F529="","",COUNTIF($F$5:$F529,$F529))</f>
        <v/>
      </c>
      <c r="H529" s="33">
        <f>IF($F529="","",IFERROR(INDEX(사건마스터!$B$5:$B$64,MATCH($F529,사건마스터!$A$5:$A$64,0)),""))</f>
        <v/>
      </c>
      <c r="I529" s="34">
        <f>IF($F529="","",IFERROR(INDEX(사건마스터!$C$5:$C$64,MATCH($F529,사건마스터!$A$5:$A$64,0)),""))</f>
        <v/>
      </c>
      <c r="J529" s="35">
        <f>IF($F529="","",IFERROR(INDEX(사건마스터!$H$5:$H$64,MATCH($F529,사건마스터!$A$5:$A$64,0)),""))</f>
        <v/>
      </c>
      <c r="K529" s="35">
        <f>IF($F529="","",IFERROR(INDEX(사건마스터!$AH$5:$AH$64,MATCH($F529,사건마스터!$A$5:$A$64,0)),""))</f>
        <v/>
      </c>
      <c r="L529" s="35">
        <f>IF($F529="","",IFERROR(INDEX(사건마스터!$AI$5:$AI$64,MATCH($F529,사건마스터!$A$5:$A$64,0)),""))</f>
        <v/>
      </c>
      <c r="M529" s="35">
        <f>IF($F529="","",IFERROR(INDEX(사건마스터!$AJ$5:$AJ$64,MATCH($F529,사건마스터!$A$5:$A$64,0)),""))</f>
        <v/>
      </c>
      <c r="N529" s="35">
        <f>IF($F529="","",IFERROR(INDEX(사건마스터!$AK$5:$AK$64,MATCH($F529,사건마스터!$A$5:$A$64,0)),""))</f>
        <v/>
      </c>
      <c r="O529" s="35">
        <f>IF($F529="","",IFERROR(INDEX(사건마스터!$AL$5:$AL$64,MATCH($F529,사건마스터!$A$5:$A$64,0)),""))</f>
        <v/>
      </c>
      <c r="P529" s="35">
        <f>IF($F529="","",IFERROR(INDEX(사건마스터!$AM$5:$AM$64,MATCH($F529,사건마스터!$A$5:$A$64,0)),""))</f>
        <v/>
      </c>
      <c r="Q529" s="35">
        <f>IF($F529="","",IFERROR(INDEX(사건마스터!$AN$5:$AN$64,MATCH($F529,사건마스터!$A$5:$A$64,0)),""))</f>
        <v/>
      </c>
      <c r="R529" s="35">
        <f>IF($F529="","",IFERROR(INDEX(사건마스터!$AO$5:$AO$64,MATCH($F529,사건마스터!$A$5:$A$64,0)),""))</f>
        <v/>
      </c>
      <c r="S529" s="35">
        <f>IF($F529="","",IFERROR(INDEX(사건마스터!$AP$5:$AP$64,MATCH($F529,사건마스터!$A$5:$A$64,0)),""))</f>
        <v/>
      </c>
      <c r="T529" s="35">
        <f>IF($F529="","",IFERROR(INDEX(사건마스터!$AQ$5:$AQ$64,MATCH($F529,사건마스터!$A$5:$A$64,0)),""))</f>
        <v/>
      </c>
      <c r="U529" s="35">
        <f>IF($F529="","",IFERROR(INDEX(사건마스터!$AR$5:$AR$64,MATCH($F529,사건마스터!$A$5:$A$64,0)),""))</f>
        <v/>
      </c>
      <c r="V529" s="35">
        <f>IF($F529="","",IFERROR(INDEX(사건마스터!$AS$5:$AS$64,MATCH($F529,사건마스터!$A$5:$A$64,0)),""))</f>
        <v/>
      </c>
      <c r="W529" s="35">
        <f>IF($F529="","",IFERROR(INDEX(사건마스터!$AT$5:$AT$64,MATCH($F529,사건마스터!$A$5:$A$64,0)),""))</f>
        <v/>
      </c>
      <c r="X529" s="35">
        <f>IF($F529="","",IFERROR(INDEX(사건마스터!$AU$5:$AU$64,MATCH($F529,사건마스터!$A$5:$A$64,0)),""))</f>
        <v/>
      </c>
      <c r="Y529" s="35">
        <f>IF($F529="","",IFERROR(INDEX(사건마스터!$AV$5:$AV$64,MATCH($F529,사건마스터!$A$5:$A$64,0)),""))</f>
        <v/>
      </c>
      <c r="Z529" s="30">
        <f>IF(COUNTBLANK($J529:$Y529)=16,"",16-COUNTBLANK($J529:$Y529))</f>
        <v/>
      </c>
      <c r="AA529" s="33">
        <f>IF($J529="",MID($AX529,3,255),$J529&amp;$AX529)</f>
        <v/>
      </c>
      <c r="AB529" s="34">
        <f>IF($J529="","",IFERROR(INDEX(코드설정!$D$5:$D$24,MATCH($J529,코드설정!$C$5:$C$24,0)),""))</f>
        <v/>
      </c>
      <c r="AC529" s="36" t="n"/>
      <c r="AD529" s="37" t="n"/>
      <c r="AE529" s="38" t="n"/>
      <c r="AF529" s="30">
        <f>IF(OR($B529="",$C529=""),"",$C529-$B529+1)</f>
        <v/>
      </c>
      <c r="AG529" s="32" t="n"/>
      <c r="AH529" s="36" t="n"/>
      <c r="AJ529">
        <f>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  <c r="AX529">
        <f>AW529&amp;IF($Y529="","",", "&amp;$Y529)</f>
        <v/>
      </c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0">
        <f>IF($F530="","",COUNTIF($F$5:$F530,$F530))</f>
        <v/>
      </c>
      <c r="H530" s="33">
        <f>IF($F530="","",IFERROR(INDEX(사건마스터!$B$5:$B$64,MATCH($F530,사건마스터!$A$5:$A$64,0)),""))</f>
        <v/>
      </c>
      <c r="I530" s="34">
        <f>IF($F530="","",IFERROR(INDEX(사건마스터!$C$5:$C$64,MATCH($F530,사건마스터!$A$5:$A$64,0)),""))</f>
        <v/>
      </c>
      <c r="J530" s="35">
        <f>IF($F530="","",IFERROR(INDEX(사건마스터!$H$5:$H$64,MATCH($F530,사건마스터!$A$5:$A$64,0)),""))</f>
        <v/>
      </c>
      <c r="K530" s="35">
        <f>IF($F530="","",IFERROR(INDEX(사건마스터!$AH$5:$AH$64,MATCH($F530,사건마스터!$A$5:$A$64,0)),""))</f>
        <v/>
      </c>
      <c r="L530" s="35">
        <f>IF($F530="","",IFERROR(INDEX(사건마스터!$AI$5:$AI$64,MATCH($F530,사건마스터!$A$5:$A$64,0)),""))</f>
        <v/>
      </c>
      <c r="M530" s="35">
        <f>IF($F530="","",IFERROR(INDEX(사건마스터!$AJ$5:$AJ$64,MATCH($F530,사건마스터!$A$5:$A$64,0)),""))</f>
        <v/>
      </c>
      <c r="N530" s="35">
        <f>IF($F530="","",IFERROR(INDEX(사건마스터!$AK$5:$AK$64,MATCH($F530,사건마스터!$A$5:$A$64,0)),""))</f>
        <v/>
      </c>
      <c r="O530" s="35">
        <f>IF($F530="","",IFERROR(INDEX(사건마스터!$AL$5:$AL$64,MATCH($F530,사건마스터!$A$5:$A$64,0)),""))</f>
        <v/>
      </c>
      <c r="P530" s="35">
        <f>IF($F530="","",IFERROR(INDEX(사건마스터!$AM$5:$AM$64,MATCH($F530,사건마스터!$A$5:$A$64,0)),""))</f>
        <v/>
      </c>
      <c r="Q530" s="35">
        <f>IF($F530="","",IFERROR(INDEX(사건마스터!$AN$5:$AN$64,MATCH($F530,사건마스터!$A$5:$A$64,0)),""))</f>
        <v/>
      </c>
      <c r="R530" s="35">
        <f>IF($F530="","",IFERROR(INDEX(사건마스터!$AO$5:$AO$64,MATCH($F530,사건마스터!$A$5:$A$64,0)),""))</f>
        <v/>
      </c>
      <c r="S530" s="35">
        <f>IF($F530="","",IFERROR(INDEX(사건마스터!$AP$5:$AP$64,MATCH($F530,사건마스터!$A$5:$A$64,0)),""))</f>
        <v/>
      </c>
      <c r="T530" s="35">
        <f>IF($F530="","",IFERROR(INDEX(사건마스터!$AQ$5:$AQ$64,MATCH($F530,사건마스터!$A$5:$A$64,0)),""))</f>
        <v/>
      </c>
      <c r="U530" s="35">
        <f>IF($F530="","",IFERROR(INDEX(사건마스터!$AR$5:$AR$64,MATCH($F530,사건마스터!$A$5:$A$64,0)),""))</f>
        <v/>
      </c>
      <c r="V530" s="35">
        <f>IF($F530="","",IFERROR(INDEX(사건마스터!$AS$5:$AS$64,MATCH($F530,사건마스터!$A$5:$A$64,0)),""))</f>
        <v/>
      </c>
      <c r="W530" s="35">
        <f>IF($F530="","",IFERROR(INDEX(사건마스터!$AT$5:$AT$64,MATCH($F530,사건마스터!$A$5:$A$64,0)),""))</f>
        <v/>
      </c>
      <c r="X530" s="35">
        <f>IF($F530="","",IFERROR(INDEX(사건마스터!$AU$5:$AU$64,MATCH($F530,사건마스터!$A$5:$A$64,0)),""))</f>
        <v/>
      </c>
      <c r="Y530" s="35">
        <f>IF($F530="","",IFERROR(INDEX(사건마스터!$AV$5:$AV$64,MATCH($F530,사건마스터!$A$5:$A$64,0)),""))</f>
        <v/>
      </c>
      <c r="Z530" s="30">
        <f>IF(COUNTBLANK($J530:$Y530)=16,"",16-COUNTBLANK($J530:$Y530))</f>
        <v/>
      </c>
      <c r="AA530" s="33">
        <f>IF($J530="",MID($AX530,3,255),$J530&amp;$AX530)</f>
        <v/>
      </c>
      <c r="AB530" s="34">
        <f>IF($J530="","",IFERROR(INDEX(코드설정!$D$5:$D$24,MATCH($J530,코드설정!$C$5:$C$24,0)),""))</f>
        <v/>
      </c>
      <c r="AC530" s="36" t="n"/>
      <c r="AD530" s="37" t="n"/>
      <c r="AE530" s="38" t="n"/>
      <c r="AF530" s="30">
        <f>IF(OR($B530="",$C530=""),"",$C530-$B530+1)</f>
        <v/>
      </c>
      <c r="AG530" s="32" t="n"/>
      <c r="AH530" s="36" t="n"/>
      <c r="AJ530">
        <f>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  <c r="AX530">
        <f>AW530&amp;IF($Y530="","",", "&amp;$Y530)</f>
        <v/>
      </c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0">
        <f>IF($F531="","",COUNTIF($F$5:$F531,$F531))</f>
        <v/>
      </c>
      <c r="H531" s="33">
        <f>IF($F531="","",IFERROR(INDEX(사건마스터!$B$5:$B$64,MATCH($F531,사건마스터!$A$5:$A$64,0)),""))</f>
        <v/>
      </c>
      <c r="I531" s="34">
        <f>IF($F531="","",IFERROR(INDEX(사건마스터!$C$5:$C$64,MATCH($F531,사건마스터!$A$5:$A$64,0)),""))</f>
        <v/>
      </c>
      <c r="J531" s="35">
        <f>IF($F531="","",IFERROR(INDEX(사건마스터!$H$5:$H$64,MATCH($F531,사건마스터!$A$5:$A$64,0)),""))</f>
        <v/>
      </c>
      <c r="K531" s="35">
        <f>IF($F531="","",IFERROR(INDEX(사건마스터!$AH$5:$AH$64,MATCH($F531,사건마스터!$A$5:$A$64,0)),""))</f>
        <v/>
      </c>
      <c r="L531" s="35">
        <f>IF($F531="","",IFERROR(INDEX(사건마스터!$AI$5:$AI$64,MATCH($F531,사건마스터!$A$5:$A$64,0)),""))</f>
        <v/>
      </c>
      <c r="M531" s="35">
        <f>IF($F531="","",IFERROR(INDEX(사건마스터!$AJ$5:$AJ$64,MATCH($F531,사건마스터!$A$5:$A$64,0)),""))</f>
        <v/>
      </c>
      <c r="N531" s="35">
        <f>IF($F531="","",IFERROR(INDEX(사건마스터!$AK$5:$AK$64,MATCH($F531,사건마스터!$A$5:$A$64,0)),""))</f>
        <v/>
      </c>
      <c r="O531" s="35">
        <f>IF($F531="","",IFERROR(INDEX(사건마스터!$AL$5:$AL$64,MATCH($F531,사건마스터!$A$5:$A$64,0)),""))</f>
        <v/>
      </c>
      <c r="P531" s="35">
        <f>IF($F531="","",IFERROR(INDEX(사건마스터!$AM$5:$AM$64,MATCH($F531,사건마스터!$A$5:$A$64,0)),""))</f>
        <v/>
      </c>
      <c r="Q531" s="35">
        <f>IF($F531="","",IFERROR(INDEX(사건마스터!$AN$5:$AN$64,MATCH($F531,사건마스터!$A$5:$A$64,0)),""))</f>
        <v/>
      </c>
      <c r="R531" s="35">
        <f>IF($F531="","",IFERROR(INDEX(사건마스터!$AO$5:$AO$64,MATCH($F531,사건마스터!$A$5:$A$64,0)),""))</f>
        <v/>
      </c>
      <c r="S531" s="35">
        <f>IF($F531="","",IFERROR(INDEX(사건마스터!$AP$5:$AP$64,MATCH($F531,사건마스터!$A$5:$A$64,0)),""))</f>
        <v/>
      </c>
      <c r="T531" s="35">
        <f>IF($F531="","",IFERROR(INDEX(사건마스터!$AQ$5:$AQ$64,MATCH($F531,사건마스터!$A$5:$A$64,0)),""))</f>
        <v/>
      </c>
      <c r="U531" s="35">
        <f>IF($F531="","",IFERROR(INDEX(사건마스터!$AR$5:$AR$64,MATCH($F531,사건마스터!$A$5:$A$64,0)),""))</f>
        <v/>
      </c>
      <c r="V531" s="35">
        <f>IF($F531="","",IFERROR(INDEX(사건마스터!$AS$5:$AS$64,MATCH($F531,사건마스터!$A$5:$A$64,0)),""))</f>
        <v/>
      </c>
      <c r="W531" s="35">
        <f>IF($F531="","",IFERROR(INDEX(사건마스터!$AT$5:$AT$64,MATCH($F531,사건마스터!$A$5:$A$64,0)),""))</f>
        <v/>
      </c>
      <c r="X531" s="35">
        <f>IF($F531="","",IFERROR(INDEX(사건마스터!$AU$5:$AU$64,MATCH($F531,사건마스터!$A$5:$A$64,0)),""))</f>
        <v/>
      </c>
      <c r="Y531" s="35">
        <f>IF($F531="","",IFERROR(INDEX(사건마스터!$AV$5:$AV$64,MATCH($F531,사건마스터!$A$5:$A$64,0)),""))</f>
        <v/>
      </c>
      <c r="Z531" s="30">
        <f>IF(COUNTBLANK($J531:$Y531)=16,"",16-COUNTBLANK($J531:$Y531))</f>
        <v/>
      </c>
      <c r="AA531" s="33">
        <f>IF($J531="",MID($AX531,3,255),$J531&amp;$AX531)</f>
        <v/>
      </c>
      <c r="AB531" s="34">
        <f>IF($J531="","",IFERROR(INDEX(코드설정!$D$5:$D$24,MATCH($J531,코드설정!$C$5:$C$24,0)),""))</f>
        <v/>
      </c>
      <c r="AC531" s="36" t="n"/>
      <c r="AD531" s="37" t="n"/>
      <c r="AE531" s="38" t="n"/>
      <c r="AF531" s="30">
        <f>IF(OR($B531="",$C531=""),"",$C531-$B531+1)</f>
        <v/>
      </c>
      <c r="AG531" s="32" t="n"/>
      <c r="AH531" s="36" t="n"/>
      <c r="AJ531">
        <f>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  <c r="AX531">
        <f>AW531&amp;IF($Y531="","",", "&amp;$Y531)</f>
        <v/>
      </c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0">
        <f>IF($F532="","",COUNTIF($F$5:$F532,$F532))</f>
        <v/>
      </c>
      <c r="H532" s="33">
        <f>IF($F532="","",IFERROR(INDEX(사건마스터!$B$5:$B$64,MATCH($F532,사건마스터!$A$5:$A$64,0)),""))</f>
        <v/>
      </c>
      <c r="I532" s="34">
        <f>IF($F532="","",IFERROR(INDEX(사건마스터!$C$5:$C$64,MATCH($F532,사건마스터!$A$5:$A$64,0)),""))</f>
        <v/>
      </c>
      <c r="J532" s="35">
        <f>IF($F532="","",IFERROR(INDEX(사건마스터!$H$5:$H$64,MATCH($F532,사건마스터!$A$5:$A$64,0)),""))</f>
        <v/>
      </c>
      <c r="K532" s="35">
        <f>IF($F532="","",IFERROR(INDEX(사건마스터!$AH$5:$AH$64,MATCH($F532,사건마스터!$A$5:$A$64,0)),""))</f>
        <v/>
      </c>
      <c r="L532" s="35">
        <f>IF($F532="","",IFERROR(INDEX(사건마스터!$AI$5:$AI$64,MATCH($F532,사건마스터!$A$5:$A$64,0)),""))</f>
        <v/>
      </c>
      <c r="M532" s="35">
        <f>IF($F532="","",IFERROR(INDEX(사건마스터!$AJ$5:$AJ$64,MATCH($F532,사건마스터!$A$5:$A$64,0)),""))</f>
        <v/>
      </c>
      <c r="N532" s="35">
        <f>IF($F532="","",IFERROR(INDEX(사건마스터!$AK$5:$AK$64,MATCH($F532,사건마스터!$A$5:$A$64,0)),""))</f>
        <v/>
      </c>
      <c r="O532" s="35">
        <f>IF($F532="","",IFERROR(INDEX(사건마스터!$AL$5:$AL$64,MATCH($F532,사건마스터!$A$5:$A$64,0)),""))</f>
        <v/>
      </c>
      <c r="P532" s="35">
        <f>IF($F532="","",IFERROR(INDEX(사건마스터!$AM$5:$AM$64,MATCH($F532,사건마스터!$A$5:$A$64,0)),""))</f>
        <v/>
      </c>
      <c r="Q532" s="35">
        <f>IF($F532="","",IFERROR(INDEX(사건마스터!$AN$5:$AN$64,MATCH($F532,사건마스터!$A$5:$A$64,0)),""))</f>
        <v/>
      </c>
      <c r="R532" s="35">
        <f>IF($F532="","",IFERROR(INDEX(사건마스터!$AO$5:$AO$64,MATCH($F532,사건마스터!$A$5:$A$64,0)),""))</f>
        <v/>
      </c>
      <c r="S532" s="35">
        <f>IF($F532="","",IFERROR(INDEX(사건마스터!$AP$5:$AP$64,MATCH($F532,사건마스터!$A$5:$A$64,0)),""))</f>
        <v/>
      </c>
      <c r="T532" s="35">
        <f>IF($F532="","",IFERROR(INDEX(사건마스터!$AQ$5:$AQ$64,MATCH($F532,사건마스터!$A$5:$A$64,0)),""))</f>
        <v/>
      </c>
      <c r="U532" s="35">
        <f>IF($F532="","",IFERROR(INDEX(사건마스터!$AR$5:$AR$64,MATCH($F532,사건마스터!$A$5:$A$64,0)),""))</f>
        <v/>
      </c>
      <c r="V532" s="35">
        <f>IF($F532="","",IFERROR(INDEX(사건마스터!$AS$5:$AS$64,MATCH($F532,사건마스터!$A$5:$A$64,0)),""))</f>
        <v/>
      </c>
      <c r="W532" s="35">
        <f>IF($F532="","",IFERROR(INDEX(사건마스터!$AT$5:$AT$64,MATCH($F532,사건마스터!$A$5:$A$64,0)),""))</f>
        <v/>
      </c>
      <c r="X532" s="35">
        <f>IF($F532="","",IFERROR(INDEX(사건마스터!$AU$5:$AU$64,MATCH($F532,사건마스터!$A$5:$A$64,0)),""))</f>
        <v/>
      </c>
      <c r="Y532" s="35">
        <f>IF($F532="","",IFERROR(INDEX(사건마스터!$AV$5:$AV$64,MATCH($F532,사건마스터!$A$5:$A$64,0)),""))</f>
        <v/>
      </c>
      <c r="Z532" s="30">
        <f>IF(COUNTBLANK($J532:$Y532)=16,"",16-COUNTBLANK($J532:$Y532))</f>
        <v/>
      </c>
      <c r="AA532" s="33">
        <f>IF($J532="",MID($AX532,3,255),$J532&amp;$AX532)</f>
        <v/>
      </c>
      <c r="AB532" s="34">
        <f>IF($J532="","",IFERROR(INDEX(코드설정!$D$5:$D$24,MATCH($J532,코드설정!$C$5:$C$24,0)),""))</f>
        <v/>
      </c>
      <c r="AC532" s="36" t="n"/>
      <c r="AD532" s="37" t="n"/>
      <c r="AE532" s="38" t="n"/>
      <c r="AF532" s="30">
        <f>IF(OR($B532="",$C532=""),"",$C532-$B532+1)</f>
        <v/>
      </c>
      <c r="AG532" s="32" t="n"/>
      <c r="AH532" s="36" t="n"/>
      <c r="AJ532">
        <f>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  <c r="AX532">
        <f>AW532&amp;IF($Y532="","",", "&amp;$Y532)</f>
        <v/>
      </c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0">
        <f>IF($F533="","",COUNTIF($F$5:$F533,$F533))</f>
        <v/>
      </c>
      <c r="H533" s="33">
        <f>IF($F533="","",IFERROR(INDEX(사건마스터!$B$5:$B$64,MATCH($F533,사건마스터!$A$5:$A$64,0)),""))</f>
        <v/>
      </c>
      <c r="I533" s="34">
        <f>IF($F533="","",IFERROR(INDEX(사건마스터!$C$5:$C$64,MATCH($F533,사건마스터!$A$5:$A$64,0)),""))</f>
        <v/>
      </c>
      <c r="J533" s="35">
        <f>IF($F533="","",IFERROR(INDEX(사건마스터!$H$5:$H$64,MATCH($F533,사건마스터!$A$5:$A$64,0)),""))</f>
        <v/>
      </c>
      <c r="K533" s="35">
        <f>IF($F533="","",IFERROR(INDEX(사건마스터!$AH$5:$AH$64,MATCH($F533,사건마스터!$A$5:$A$64,0)),""))</f>
        <v/>
      </c>
      <c r="L533" s="35">
        <f>IF($F533="","",IFERROR(INDEX(사건마스터!$AI$5:$AI$64,MATCH($F533,사건마스터!$A$5:$A$64,0)),""))</f>
        <v/>
      </c>
      <c r="M533" s="35">
        <f>IF($F533="","",IFERROR(INDEX(사건마스터!$AJ$5:$AJ$64,MATCH($F533,사건마스터!$A$5:$A$64,0)),""))</f>
        <v/>
      </c>
      <c r="N533" s="35">
        <f>IF($F533="","",IFERROR(INDEX(사건마스터!$AK$5:$AK$64,MATCH($F533,사건마스터!$A$5:$A$64,0)),""))</f>
        <v/>
      </c>
      <c r="O533" s="35">
        <f>IF($F533="","",IFERROR(INDEX(사건마스터!$AL$5:$AL$64,MATCH($F533,사건마스터!$A$5:$A$64,0)),""))</f>
        <v/>
      </c>
      <c r="P533" s="35">
        <f>IF($F533="","",IFERROR(INDEX(사건마스터!$AM$5:$AM$64,MATCH($F533,사건마스터!$A$5:$A$64,0)),""))</f>
        <v/>
      </c>
      <c r="Q533" s="35">
        <f>IF($F533="","",IFERROR(INDEX(사건마스터!$AN$5:$AN$64,MATCH($F533,사건마스터!$A$5:$A$64,0)),""))</f>
        <v/>
      </c>
      <c r="R533" s="35">
        <f>IF($F533="","",IFERROR(INDEX(사건마스터!$AO$5:$AO$64,MATCH($F533,사건마스터!$A$5:$A$64,0)),""))</f>
        <v/>
      </c>
      <c r="S533" s="35">
        <f>IF($F533="","",IFERROR(INDEX(사건마스터!$AP$5:$AP$64,MATCH($F533,사건마스터!$A$5:$A$64,0)),""))</f>
        <v/>
      </c>
      <c r="T533" s="35">
        <f>IF($F533="","",IFERROR(INDEX(사건마스터!$AQ$5:$AQ$64,MATCH($F533,사건마스터!$A$5:$A$64,0)),""))</f>
        <v/>
      </c>
      <c r="U533" s="35">
        <f>IF($F533="","",IFERROR(INDEX(사건마스터!$AR$5:$AR$64,MATCH($F533,사건마스터!$A$5:$A$64,0)),""))</f>
        <v/>
      </c>
      <c r="V533" s="35">
        <f>IF($F533="","",IFERROR(INDEX(사건마스터!$AS$5:$AS$64,MATCH($F533,사건마스터!$A$5:$A$64,0)),""))</f>
        <v/>
      </c>
      <c r="W533" s="35">
        <f>IF($F533="","",IFERROR(INDEX(사건마스터!$AT$5:$AT$64,MATCH($F533,사건마스터!$A$5:$A$64,0)),""))</f>
        <v/>
      </c>
      <c r="X533" s="35">
        <f>IF($F533="","",IFERROR(INDEX(사건마스터!$AU$5:$AU$64,MATCH($F533,사건마스터!$A$5:$A$64,0)),""))</f>
        <v/>
      </c>
      <c r="Y533" s="35">
        <f>IF($F533="","",IFERROR(INDEX(사건마스터!$AV$5:$AV$64,MATCH($F533,사건마스터!$A$5:$A$64,0)),""))</f>
        <v/>
      </c>
      <c r="Z533" s="30">
        <f>IF(COUNTBLANK($J533:$Y533)=16,"",16-COUNTBLANK($J533:$Y533))</f>
        <v/>
      </c>
      <c r="AA533" s="33">
        <f>IF($J533="",MID($AX533,3,255),$J533&amp;$AX533)</f>
        <v/>
      </c>
      <c r="AB533" s="34">
        <f>IF($J533="","",IFERROR(INDEX(코드설정!$D$5:$D$24,MATCH($J533,코드설정!$C$5:$C$24,0)),""))</f>
        <v/>
      </c>
      <c r="AC533" s="36" t="n"/>
      <c r="AD533" s="37" t="n"/>
      <c r="AE533" s="38" t="n"/>
      <c r="AF533" s="30">
        <f>IF(OR($B533="",$C533=""),"",$C533-$B533+1)</f>
        <v/>
      </c>
      <c r="AG533" s="32" t="n"/>
      <c r="AH533" s="36" t="n"/>
      <c r="AJ533">
        <f>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  <c r="AX533">
        <f>AW533&amp;IF($Y533="","",", "&amp;$Y533)</f>
        <v/>
      </c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0">
        <f>IF($F534="","",COUNTIF($F$5:$F534,$F534))</f>
        <v/>
      </c>
      <c r="H534" s="33">
        <f>IF($F534="","",IFERROR(INDEX(사건마스터!$B$5:$B$64,MATCH($F534,사건마스터!$A$5:$A$64,0)),""))</f>
        <v/>
      </c>
      <c r="I534" s="34">
        <f>IF($F534="","",IFERROR(INDEX(사건마스터!$C$5:$C$64,MATCH($F534,사건마스터!$A$5:$A$64,0)),""))</f>
        <v/>
      </c>
      <c r="J534" s="35">
        <f>IF($F534="","",IFERROR(INDEX(사건마스터!$H$5:$H$64,MATCH($F534,사건마스터!$A$5:$A$64,0)),""))</f>
        <v/>
      </c>
      <c r="K534" s="35">
        <f>IF($F534="","",IFERROR(INDEX(사건마스터!$AH$5:$AH$64,MATCH($F534,사건마스터!$A$5:$A$64,0)),""))</f>
        <v/>
      </c>
      <c r="L534" s="35">
        <f>IF($F534="","",IFERROR(INDEX(사건마스터!$AI$5:$AI$64,MATCH($F534,사건마스터!$A$5:$A$64,0)),""))</f>
        <v/>
      </c>
      <c r="M534" s="35">
        <f>IF($F534="","",IFERROR(INDEX(사건마스터!$AJ$5:$AJ$64,MATCH($F534,사건마스터!$A$5:$A$64,0)),""))</f>
        <v/>
      </c>
      <c r="N534" s="35">
        <f>IF($F534="","",IFERROR(INDEX(사건마스터!$AK$5:$AK$64,MATCH($F534,사건마스터!$A$5:$A$64,0)),""))</f>
        <v/>
      </c>
      <c r="O534" s="35">
        <f>IF($F534="","",IFERROR(INDEX(사건마스터!$AL$5:$AL$64,MATCH($F534,사건마스터!$A$5:$A$64,0)),""))</f>
        <v/>
      </c>
      <c r="P534" s="35">
        <f>IF($F534="","",IFERROR(INDEX(사건마스터!$AM$5:$AM$64,MATCH($F534,사건마스터!$A$5:$A$64,0)),""))</f>
        <v/>
      </c>
      <c r="Q534" s="35">
        <f>IF($F534="","",IFERROR(INDEX(사건마스터!$AN$5:$AN$64,MATCH($F534,사건마스터!$A$5:$A$64,0)),""))</f>
        <v/>
      </c>
      <c r="R534" s="35">
        <f>IF($F534="","",IFERROR(INDEX(사건마스터!$AO$5:$AO$64,MATCH($F534,사건마스터!$A$5:$A$64,0)),""))</f>
        <v/>
      </c>
      <c r="S534" s="35">
        <f>IF($F534="","",IFERROR(INDEX(사건마스터!$AP$5:$AP$64,MATCH($F534,사건마스터!$A$5:$A$64,0)),""))</f>
        <v/>
      </c>
      <c r="T534" s="35">
        <f>IF($F534="","",IFERROR(INDEX(사건마스터!$AQ$5:$AQ$64,MATCH($F534,사건마스터!$A$5:$A$64,0)),""))</f>
        <v/>
      </c>
      <c r="U534" s="35">
        <f>IF($F534="","",IFERROR(INDEX(사건마스터!$AR$5:$AR$64,MATCH($F534,사건마스터!$A$5:$A$64,0)),""))</f>
        <v/>
      </c>
      <c r="V534" s="35">
        <f>IF($F534="","",IFERROR(INDEX(사건마스터!$AS$5:$AS$64,MATCH($F534,사건마스터!$A$5:$A$64,0)),""))</f>
        <v/>
      </c>
      <c r="W534" s="35">
        <f>IF($F534="","",IFERROR(INDEX(사건마스터!$AT$5:$AT$64,MATCH($F534,사건마스터!$A$5:$A$64,0)),""))</f>
        <v/>
      </c>
      <c r="X534" s="35">
        <f>IF($F534="","",IFERROR(INDEX(사건마스터!$AU$5:$AU$64,MATCH($F534,사건마스터!$A$5:$A$64,0)),""))</f>
        <v/>
      </c>
      <c r="Y534" s="35">
        <f>IF($F534="","",IFERROR(INDEX(사건마스터!$AV$5:$AV$64,MATCH($F534,사건마스터!$A$5:$A$64,0)),""))</f>
        <v/>
      </c>
      <c r="Z534" s="30">
        <f>IF(COUNTBLANK($J534:$Y534)=16,"",16-COUNTBLANK($J534:$Y534))</f>
        <v/>
      </c>
      <c r="AA534" s="33">
        <f>IF($J534="",MID($AX534,3,255),$J534&amp;$AX534)</f>
        <v/>
      </c>
      <c r="AB534" s="34">
        <f>IF($J534="","",IFERROR(INDEX(코드설정!$D$5:$D$24,MATCH($J534,코드설정!$C$5:$C$24,0)),""))</f>
        <v/>
      </c>
      <c r="AC534" s="36" t="n"/>
      <c r="AD534" s="37" t="n"/>
      <c r="AE534" s="38" t="n"/>
      <c r="AF534" s="30">
        <f>IF(OR($B534="",$C534=""),"",$C534-$B534+1)</f>
        <v/>
      </c>
      <c r="AG534" s="32" t="n"/>
      <c r="AH534" s="36" t="n"/>
      <c r="AJ534">
        <f>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  <c r="AX534">
        <f>AW534&amp;IF($Y534="","",", "&amp;$Y534)</f>
        <v/>
      </c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0">
        <f>IF($F535="","",COUNTIF($F$5:$F535,$F535))</f>
        <v/>
      </c>
      <c r="H535" s="33">
        <f>IF($F535="","",IFERROR(INDEX(사건마스터!$B$5:$B$64,MATCH($F535,사건마스터!$A$5:$A$64,0)),""))</f>
        <v/>
      </c>
      <c r="I535" s="34">
        <f>IF($F535="","",IFERROR(INDEX(사건마스터!$C$5:$C$64,MATCH($F535,사건마스터!$A$5:$A$64,0)),""))</f>
        <v/>
      </c>
      <c r="J535" s="35">
        <f>IF($F535="","",IFERROR(INDEX(사건마스터!$H$5:$H$64,MATCH($F535,사건마스터!$A$5:$A$64,0)),""))</f>
        <v/>
      </c>
      <c r="K535" s="35">
        <f>IF($F535="","",IFERROR(INDEX(사건마스터!$AH$5:$AH$64,MATCH($F535,사건마스터!$A$5:$A$64,0)),""))</f>
        <v/>
      </c>
      <c r="L535" s="35">
        <f>IF($F535="","",IFERROR(INDEX(사건마스터!$AI$5:$AI$64,MATCH($F535,사건마스터!$A$5:$A$64,0)),""))</f>
        <v/>
      </c>
      <c r="M535" s="35">
        <f>IF($F535="","",IFERROR(INDEX(사건마스터!$AJ$5:$AJ$64,MATCH($F535,사건마스터!$A$5:$A$64,0)),""))</f>
        <v/>
      </c>
      <c r="N535" s="35">
        <f>IF($F535="","",IFERROR(INDEX(사건마스터!$AK$5:$AK$64,MATCH($F535,사건마스터!$A$5:$A$64,0)),""))</f>
        <v/>
      </c>
      <c r="O535" s="35">
        <f>IF($F535="","",IFERROR(INDEX(사건마스터!$AL$5:$AL$64,MATCH($F535,사건마스터!$A$5:$A$64,0)),""))</f>
        <v/>
      </c>
      <c r="P535" s="35">
        <f>IF($F535="","",IFERROR(INDEX(사건마스터!$AM$5:$AM$64,MATCH($F535,사건마스터!$A$5:$A$64,0)),""))</f>
        <v/>
      </c>
      <c r="Q535" s="35">
        <f>IF($F535="","",IFERROR(INDEX(사건마스터!$AN$5:$AN$64,MATCH($F535,사건마스터!$A$5:$A$64,0)),""))</f>
        <v/>
      </c>
      <c r="R535" s="35">
        <f>IF($F535="","",IFERROR(INDEX(사건마스터!$AO$5:$AO$64,MATCH($F535,사건마스터!$A$5:$A$64,0)),""))</f>
        <v/>
      </c>
      <c r="S535" s="35">
        <f>IF($F535="","",IFERROR(INDEX(사건마스터!$AP$5:$AP$64,MATCH($F535,사건마스터!$A$5:$A$64,0)),""))</f>
        <v/>
      </c>
      <c r="T535" s="35">
        <f>IF($F535="","",IFERROR(INDEX(사건마스터!$AQ$5:$AQ$64,MATCH($F535,사건마스터!$A$5:$A$64,0)),""))</f>
        <v/>
      </c>
      <c r="U535" s="35">
        <f>IF($F535="","",IFERROR(INDEX(사건마스터!$AR$5:$AR$64,MATCH($F535,사건마스터!$A$5:$A$64,0)),""))</f>
        <v/>
      </c>
      <c r="V535" s="35">
        <f>IF($F535="","",IFERROR(INDEX(사건마스터!$AS$5:$AS$64,MATCH($F535,사건마스터!$A$5:$A$64,0)),""))</f>
        <v/>
      </c>
      <c r="W535" s="35">
        <f>IF($F535="","",IFERROR(INDEX(사건마스터!$AT$5:$AT$64,MATCH($F535,사건마스터!$A$5:$A$64,0)),""))</f>
        <v/>
      </c>
      <c r="X535" s="35">
        <f>IF($F535="","",IFERROR(INDEX(사건마스터!$AU$5:$AU$64,MATCH($F535,사건마스터!$A$5:$A$64,0)),""))</f>
        <v/>
      </c>
      <c r="Y535" s="35">
        <f>IF($F535="","",IFERROR(INDEX(사건마스터!$AV$5:$AV$64,MATCH($F535,사건마스터!$A$5:$A$64,0)),""))</f>
        <v/>
      </c>
      <c r="Z535" s="30">
        <f>IF(COUNTBLANK($J535:$Y535)=16,"",16-COUNTBLANK($J535:$Y535))</f>
        <v/>
      </c>
      <c r="AA535" s="33">
        <f>IF($J535="",MID($AX535,3,255),$J535&amp;$AX535)</f>
        <v/>
      </c>
      <c r="AB535" s="34">
        <f>IF($J535="","",IFERROR(INDEX(코드설정!$D$5:$D$24,MATCH($J535,코드설정!$C$5:$C$24,0)),""))</f>
        <v/>
      </c>
      <c r="AC535" s="36" t="n"/>
      <c r="AD535" s="37" t="n"/>
      <c r="AE535" s="38" t="n"/>
      <c r="AF535" s="30">
        <f>IF(OR($B535="",$C535=""),"",$C535-$B535+1)</f>
        <v/>
      </c>
      <c r="AG535" s="32" t="n"/>
      <c r="AH535" s="36" t="n"/>
      <c r="AJ535">
        <f>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  <c r="AX535">
        <f>AW535&amp;IF($Y535="","",", "&amp;$Y535)</f>
        <v/>
      </c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0">
        <f>IF($F536="","",COUNTIF($F$5:$F536,$F536))</f>
        <v/>
      </c>
      <c r="H536" s="33">
        <f>IF($F536="","",IFERROR(INDEX(사건마스터!$B$5:$B$64,MATCH($F536,사건마스터!$A$5:$A$64,0)),""))</f>
        <v/>
      </c>
      <c r="I536" s="34">
        <f>IF($F536="","",IFERROR(INDEX(사건마스터!$C$5:$C$64,MATCH($F536,사건마스터!$A$5:$A$64,0)),""))</f>
        <v/>
      </c>
      <c r="J536" s="35">
        <f>IF($F536="","",IFERROR(INDEX(사건마스터!$H$5:$H$64,MATCH($F536,사건마스터!$A$5:$A$64,0)),""))</f>
        <v/>
      </c>
      <c r="K536" s="35">
        <f>IF($F536="","",IFERROR(INDEX(사건마스터!$AH$5:$AH$64,MATCH($F536,사건마스터!$A$5:$A$64,0)),""))</f>
        <v/>
      </c>
      <c r="L536" s="35">
        <f>IF($F536="","",IFERROR(INDEX(사건마스터!$AI$5:$AI$64,MATCH($F536,사건마스터!$A$5:$A$64,0)),""))</f>
        <v/>
      </c>
      <c r="M536" s="35">
        <f>IF($F536="","",IFERROR(INDEX(사건마스터!$AJ$5:$AJ$64,MATCH($F536,사건마스터!$A$5:$A$64,0)),""))</f>
        <v/>
      </c>
      <c r="N536" s="35">
        <f>IF($F536="","",IFERROR(INDEX(사건마스터!$AK$5:$AK$64,MATCH($F536,사건마스터!$A$5:$A$64,0)),""))</f>
        <v/>
      </c>
      <c r="O536" s="35">
        <f>IF($F536="","",IFERROR(INDEX(사건마스터!$AL$5:$AL$64,MATCH($F536,사건마스터!$A$5:$A$64,0)),""))</f>
        <v/>
      </c>
      <c r="P536" s="35">
        <f>IF($F536="","",IFERROR(INDEX(사건마스터!$AM$5:$AM$64,MATCH($F536,사건마스터!$A$5:$A$64,0)),""))</f>
        <v/>
      </c>
      <c r="Q536" s="35">
        <f>IF($F536="","",IFERROR(INDEX(사건마스터!$AN$5:$AN$64,MATCH($F536,사건마스터!$A$5:$A$64,0)),""))</f>
        <v/>
      </c>
      <c r="R536" s="35">
        <f>IF($F536="","",IFERROR(INDEX(사건마스터!$AO$5:$AO$64,MATCH($F536,사건마스터!$A$5:$A$64,0)),""))</f>
        <v/>
      </c>
      <c r="S536" s="35">
        <f>IF($F536="","",IFERROR(INDEX(사건마스터!$AP$5:$AP$64,MATCH($F536,사건마스터!$A$5:$A$64,0)),""))</f>
        <v/>
      </c>
      <c r="T536" s="35">
        <f>IF($F536="","",IFERROR(INDEX(사건마스터!$AQ$5:$AQ$64,MATCH($F536,사건마스터!$A$5:$A$64,0)),""))</f>
        <v/>
      </c>
      <c r="U536" s="35">
        <f>IF($F536="","",IFERROR(INDEX(사건마스터!$AR$5:$AR$64,MATCH($F536,사건마스터!$A$5:$A$64,0)),""))</f>
        <v/>
      </c>
      <c r="V536" s="35">
        <f>IF($F536="","",IFERROR(INDEX(사건마스터!$AS$5:$AS$64,MATCH($F536,사건마스터!$A$5:$A$64,0)),""))</f>
        <v/>
      </c>
      <c r="W536" s="35">
        <f>IF($F536="","",IFERROR(INDEX(사건마스터!$AT$5:$AT$64,MATCH($F536,사건마스터!$A$5:$A$64,0)),""))</f>
        <v/>
      </c>
      <c r="X536" s="35">
        <f>IF($F536="","",IFERROR(INDEX(사건마스터!$AU$5:$AU$64,MATCH($F536,사건마스터!$A$5:$A$64,0)),""))</f>
        <v/>
      </c>
      <c r="Y536" s="35">
        <f>IF($F536="","",IFERROR(INDEX(사건마스터!$AV$5:$AV$64,MATCH($F536,사건마스터!$A$5:$A$64,0)),""))</f>
        <v/>
      </c>
      <c r="Z536" s="30">
        <f>IF(COUNTBLANK($J536:$Y536)=16,"",16-COUNTBLANK($J536:$Y536))</f>
        <v/>
      </c>
      <c r="AA536" s="33">
        <f>IF($J536="",MID($AX536,3,255),$J536&amp;$AX536)</f>
        <v/>
      </c>
      <c r="AB536" s="34">
        <f>IF($J536="","",IFERROR(INDEX(코드설정!$D$5:$D$24,MATCH($J536,코드설정!$C$5:$C$24,0)),""))</f>
        <v/>
      </c>
      <c r="AC536" s="36" t="n"/>
      <c r="AD536" s="37" t="n"/>
      <c r="AE536" s="38" t="n"/>
      <c r="AF536" s="30">
        <f>IF(OR($B536="",$C536=""),"",$C536-$B536+1)</f>
        <v/>
      </c>
      <c r="AG536" s="32" t="n"/>
      <c r="AH536" s="36" t="n"/>
      <c r="AJ536">
        <f>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  <c r="AX536">
        <f>AW536&amp;IF($Y536="","",", "&amp;$Y536)</f>
        <v/>
      </c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0">
        <f>IF($F537="","",COUNTIF($F$5:$F537,$F537))</f>
        <v/>
      </c>
      <c r="H537" s="33">
        <f>IF($F537="","",IFERROR(INDEX(사건마스터!$B$5:$B$64,MATCH($F537,사건마스터!$A$5:$A$64,0)),""))</f>
        <v/>
      </c>
      <c r="I537" s="34">
        <f>IF($F537="","",IFERROR(INDEX(사건마스터!$C$5:$C$64,MATCH($F537,사건마스터!$A$5:$A$64,0)),""))</f>
        <v/>
      </c>
      <c r="J537" s="35">
        <f>IF($F537="","",IFERROR(INDEX(사건마스터!$H$5:$H$64,MATCH($F537,사건마스터!$A$5:$A$64,0)),""))</f>
        <v/>
      </c>
      <c r="K537" s="35">
        <f>IF($F537="","",IFERROR(INDEX(사건마스터!$AH$5:$AH$64,MATCH($F537,사건마스터!$A$5:$A$64,0)),""))</f>
        <v/>
      </c>
      <c r="L537" s="35">
        <f>IF($F537="","",IFERROR(INDEX(사건마스터!$AI$5:$AI$64,MATCH($F537,사건마스터!$A$5:$A$64,0)),""))</f>
        <v/>
      </c>
      <c r="M537" s="35">
        <f>IF($F537="","",IFERROR(INDEX(사건마스터!$AJ$5:$AJ$64,MATCH($F537,사건마스터!$A$5:$A$64,0)),""))</f>
        <v/>
      </c>
      <c r="N537" s="35">
        <f>IF($F537="","",IFERROR(INDEX(사건마스터!$AK$5:$AK$64,MATCH($F537,사건마스터!$A$5:$A$64,0)),""))</f>
        <v/>
      </c>
      <c r="O537" s="35">
        <f>IF($F537="","",IFERROR(INDEX(사건마스터!$AL$5:$AL$64,MATCH($F537,사건마스터!$A$5:$A$64,0)),""))</f>
        <v/>
      </c>
      <c r="P537" s="35">
        <f>IF($F537="","",IFERROR(INDEX(사건마스터!$AM$5:$AM$64,MATCH($F537,사건마스터!$A$5:$A$64,0)),""))</f>
        <v/>
      </c>
      <c r="Q537" s="35">
        <f>IF($F537="","",IFERROR(INDEX(사건마스터!$AN$5:$AN$64,MATCH($F537,사건마스터!$A$5:$A$64,0)),""))</f>
        <v/>
      </c>
      <c r="R537" s="35">
        <f>IF($F537="","",IFERROR(INDEX(사건마스터!$AO$5:$AO$64,MATCH($F537,사건마스터!$A$5:$A$64,0)),""))</f>
        <v/>
      </c>
      <c r="S537" s="35">
        <f>IF($F537="","",IFERROR(INDEX(사건마스터!$AP$5:$AP$64,MATCH($F537,사건마스터!$A$5:$A$64,0)),""))</f>
        <v/>
      </c>
      <c r="T537" s="35">
        <f>IF($F537="","",IFERROR(INDEX(사건마스터!$AQ$5:$AQ$64,MATCH($F537,사건마스터!$A$5:$A$64,0)),""))</f>
        <v/>
      </c>
      <c r="U537" s="35">
        <f>IF($F537="","",IFERROR(INDEX(사건마스터!$AR$5:$AR$64,MATCH($F537,사건마스터!$A$5:$A$64,0)),""))</f>
        <v/>
      </c>
      <c r="V537" s="35">
        <f>IF($F537="","",IFERROR(INDEX(사건마스터!$AS$5:$AS$64,MATCH($F537,사건마스터!$A$5:$A$64,0)),""))</f>
        <v/>
      </c>
      <c r="W537" s="35">
        <f>IF($F537="","",IFERROR(INDEX(사건마스터!$AT$5:$AT$64,MATCH($F537,사건마스터!$A$5:$A$64,0)),""))</f>
        <v/>
      </c>
      <c r="X537" s="35">
        <f>IF($F537="","",IFERROR(INDEX(사건마스터!$AU$5:$AU$64,MATCH($F537,사건마스터!$A$5:$A$64,0)),""))</f>
        <v/>
      </c>
      <c r="Y537" s="35">
        <f>IF($F537="","",IFERROR(INDEX(사건마스터!$AV$5:$AV$64,MATCH($F537,사건마스터!$A$5:$A$64,0)),""))</f>
        <v/>
      </c>
      <c r="Z537" s="30">
        <f>IF(COUNTBLANK($J537:$Y537)=16,"",16-COUNTBLANK($J537:$Y537))</f>
        <v/>
      </c>
      <c r="AA537" s="33">
        <f>IF($J537="",MID($AX537,3,255),$J537&amp;$AX537)</f>
        <v/>
      </c>
      <c r="AB537" s="34">
        <f>IF($J537="","",IFERROR(INDEX(코드설정!$D$5:$D$24,MATCH($J537,코드설정!$C$5:$C$24,0)),""))</f>
        <v/>
      </c>
      <c r="AC537" s="36" t="n"/>
      <c r="AD537" s="37" t="n"/>
      <c r="AE537" s="38" t="n"/>
      <c r="AF537" s="30">
        <f>IF(OR($B537="",$C537=""),"",$C537-$B537+1)</f>
        <v/>
      </c>
      <c r="AG537" s="32" t="n"/>
      <c r="AH537" s="36" t="n"/>
      <c r="AJ537">
        <f>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  <c r="AX537">
        <f>AW537&amp;IF($Y537="","",", "&amp;$Y537)</f>
        <v/>
      </c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0">
        <f>IF($F538="","",COUNTIF($F$5:$F538,$F538))</f>
        <v/>
      </c>
      <c r="H538" s="33">
        <f>IF($F538="","",IFERROR(INDEX(사건마스터!$B$5:$B$64,MATCH($F538,사건마스터!$A$5:$A$64,0)),""))</f>
        <v/>
      </c>
      <c r="I538" s="34">
        <f>IF($F538="","",IFERROR(INDEX(사건마스터!$C$5:$C$64,MATCH($F538,사건마스터!$A$5:$A$64,0)),""))</f>
        <v/>
      </c>
      <c r="J538" s="35">
        <f>IF($F538="","",IFERROR(INDEX(사건마스터!$H$5:$H$64,MATCH($F538,사건마스터!$A$5:$A$64,0)),""))</f>
        <v/>
      </c>
      <c r="K538" s="35">
        <f>IF($F538="","",IFERROR(INDEX(사건마스터!$AH$5:$AH$64,MATCH($F538,사건마스터!$A$5:$A$64,0)),""))</f>
        <v/>
      </c>
      <c r="L538" s="35">
        <f>IF($F538="","",IFERROR(INDEX(사건마스터!$AI$5:$AI$64,MATCH($F538,사건마스터!$A$5:$A$64,0)),""))</f>
        <v/>
      </c>
      <c r="M538" s="35">
        <f>IF($F538="","",IFERROR(INDEX(사건마스터!$AJ$5:$AJ$64,MATCH($F538,사건마스터!$A$5:$A$64,0)),""))</f>
        <v/>
      </c>
      <c r="N538" s="35">
        <f>IF($F538="","",IFERROR(INDEX(사건마스터!$AK$5:$AK$64,MATCH($F538,사건마스터!$A$5:$A$64,0)),""))</f>
        <v/>
      </c>
      <c r="O538" s="35">
        <f>IF($F538="","",IFERROR(INDEX(사건마스터!$AL$5:$AL$64,MATCH($F538,사건마스터!$A$5:$A$64,0)),""))</f>
        <v/>
      </c>
      <c r="P538" s="35">
        <f>IF($F538="","",IFERROR(INDEX(사건마스터!$AM$5:$AM$64,MATCH($F538,사건마스터!$A$5:$A$64,0)),""))</f>
        <v/>
      </c>
      <c r="Q538" s="35">
        <f>IF($F538="","",IFERROR(INDEX(사건마스터!$AN$5:$AN$64,MATCH($F538,사건마스터!$A$5:$A$64,0)),""))</f>
        <v/>
      </c>
      <c r="R538" s="35">
        <f>IF($F538="","",IFERROR(INDEX(사건마스터!$AO$5:$AO$64,MATCH($F538,사건마스터!$A$5:$A$64,0)),""))</f>
        <v/>
      </c>
      <c r="S538" s="35">
        <f>IF($F538="","",IFERROR(INDEX(사건마스터!$AP$5:$AP$64,MATCH($F538,사건마스터!$A$5:$A$64,0)),""))</f>
        <v/>
      </c>
      <c r="T538" s="35">
        <f>IF($F538="","",IFERROR(INDEX(사건마스터!$AQ$5:$AQ$64,MATCH($F538,사건마스터!$A$5:$A$64,0)),""))</f>
        <v/>
      </c>
      <c r="U538" s="35">
        <f>IF($F538="","",IFERROR(INDEX(사건마스터!$AR$5:$AR$64,MATCH($F538,사건마스터!$A$5:$A$64,0)),""))</f>
        <v/>
      </c>
      <c r="V538" s="35">
        <f>IF($F538="","",IFERROR(INDEX(사건마스터!$AS$5:$AS$64,MATCH($F538,사건마스터!$A$5:$A$64,0)),""))</f>
        <v/>
      </c>
      <c r="W538" s="35">
        <f>IF($F538="","",IFERROR(INDEX(사건마스터!$AT$5:$AT$64,MATCH($F538,사건마스터!$A$5:$A$64,0)),""))</f>
        <v/>
      </c>
      <c r="X538" s="35">
        <f>IF($F538="","",IFERROR(INDEX(사건마스터!$AU$5:$AU$64,MATCH($F538,사건마스터!$A$5:$A$64,0)),""))</f>
        <v/>
      </c>
      <c r="Y538" s="35">
        <f>IF($F538="","",IFERROR(INDEX(사건마스터!$AV$5:$AV$64,MATCH($F538,사건마스터!$A$5:$A$64,0)),""))</f>
        <v/>
      </c>
      <c r="Z538" s="30">
        <f>IF(COUNTBLANK($J538:$Y538)=16,"",16-COUNTBLANK($J538:$Y538))</f>
        <v/>
      </c>
      <c r="AA538" s="33">
        <f>IF($J538="",MID($AX538,3,255),$J538&amp;$AX538)</f>
        <v/>
      </c>
      <c r="AB538" s="34">
        <f>IF($J538="","",IFERROR(INDEX(코드설정!$D$5:$D$24,MATCH($J538,코드설정!$C$5:$C$24,0)),""))</f>
        <v/>
      </c>
      <c r="AC538" s="36" t="n"/>
      <c r="AD538" s="37" t="n"/>
      <c r="AE538" s="38" t="n"/>
      <c r="AF538" s="30">
        <f>IF(OR($B538="",$C538=""),"",$C538-$B538+1)</f>
        <v/>
      </c>
      <c r="AG538" s="32" t="n"/>
      <c r="AH538" s="36" t="n"/>
      <c r="AJ538">
        <f>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  <c r="AX538">
        <f>AW538&amp;IF($Y538="","",", "&amp;$Y538)</f>
        <v/>
      </c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0">
        <f>IF($F539="","",COUNTIF($F$5:$F539,$F539))</f>
        <v/>
      </c>
      <c r="H539" s="33">
        <f>IF($F539="","",IFERROR(INDEX(사건마스터!$B$5:$B$64,MATCH($F539,사건마스터!$A$5:$A$64,0)),""))</f>
        <v/>
      </c>
      <c r="I539" s="34">
        <f>IF($F539="","",IFERROR(INDEX(사건마스터!$C$5:$C$64,MATCH($F539,사건마스터!$A$5:$A$64,0)),""))</f>
        <v/>
      </c>
      <c r="J539" s="35">
        <f>IF($F539="","",IFERROR(INDEX(사건마스터!$H$5:$H$64,MATCH($F539,사건마스터!$A$5:$A$64,0)),""))</f>
        <v/>
      </c>
      <c r="K539" s="35">
        <f>IF($F539="","",IFERROR(INDEX(사건마스터!$AH$5:$AH$64,MATCH($F539,사건마스터!$A$5:$A$64,0)),""))</f>
        <v/>
      </c>
      <c r="L539" s="35">
        <f>IF($F539="","",IFERROR(INDEX(사건마스터!$AI$5:$AI$64,MATCH($F539,사건마스터!$A$5:$A$64,0)),""))</f>
        <v/>
      </c>
      <c r="M539" s="35">
        <f>IF($F539="","",IFERROR(INDEX(사건마스터!$AJ$5:$AJ$64,MATCH($F539,사건마스터!$A$5:$A$64,0)),""))</f>
        <v/>
      </c>
      <c r="N539" s="35">
        <f>IF($F539="","",IFERROR(INDEX(사건마스터!$AK$5:$AK$64,MATCH($F539,사건마스터!$A$5:$A$64,0)),""))</f>
        <v/>
      </c>
      <c r="O539" s="35">
        <f>IF($F539="","",IFERROR(INDEX(사건마스터!$AL$5:$AL$64,MATCH($F539,사건마스터!$A$5:$A$64,0)),""))</f>
        <v/>
      </c>
      <c r="P539" s="35">
        <f>IF($F539="","",IFERROR(INDEX(사건마스터!$AM$5:$AM$64,MATCH($F539,사건마스터!$A$5:$A$64,0)),""))</f>
        <v/>
      </c>
      <c r="Q539" s="35">
        <f>IF($F539="","",IFERROR(INDEX(사건마스터!$AN$5:$AN$64,MATCH($F539,사건마스터!$A$5:$A$64,0)),""))</f>
        <v/>
      </c>
      <c r="R539" s="35">
        <f>IF($F539="","",IFERROR(INDEX(사건마스터!$AO$5:$AO$64,MATCH($F539,사건마스터!$A$5:$A$64,0)),""))</f>
        <v/>
      </c>
      <c r="S539" s="35">
        <f>IF($F539="","",IFERROR(INDEX(사건마스터!$AP$5:$AP$64,MATCH($F539,사건마스터!$A$5:$A$64,0)),""))</f>
        <v/>
      </c>
      <c r="T539" s="35">
        <f>IF($F539="","",IFERROR(INDEX(사건마스터!$AQ$5:$AQ$64,MATCH($F539,사건마스터!$A$5:$A$64,0)),""))</f>
        <v/>
      </c>
      <c r="U539" s="35">
        <f>IF($F539="","",IFERROR(INDEX(사건마스터!$AR$5:$AR$64,MATCH($F539,사건마스터!$A$5:$A$64,0)),""))</f>
        <v/>
      </c>
      <c r="V539" s="35">
        <f>IF($F539="","",IFERROR(INDEX(사건마스터!$AS$5:$AS$64,MATCH($F539,사건마스터!$A$5:$A$64,0)),""))</f>
        <v/>
      </c>
      <c r="W539" s="35">
        <f>IF($F539="","",IFERROR(INDEX(사건마스터!$AT$5:$AT$64,MATCH($F539,사건마스터!$A$5:$A$64,0)),""))</f>
        <v/>
      </c>
      <c r="X539" s="35">
        <f>IF($F539="","",IFERROR(INDEX(사건마스터!$AU$5:$AU$64,MATCH($F539,사건마스터!$A$5:$A$64,0)),""))</f>
        <v/>
      </c>
      <c r="Y539" s="35">
        <f>IF($F539="","",IFERROR(INDEX(사건마스터!$AV$5:$AV$64,MATCH($F539,사건마스터!$A$5:$A$64,0)),""))</f>
        <v/>
      </c>
      <c r="Z539" s="30">
        <f>IF(COUNTBLANK($J539:$Y539)=16,"",16-COUNTBLANK($J539:$Y539))</f>
        <v/>
      </c>
      <c r="AA539" s="33">
        <f>IF($J539="",MID($AX539,3,255),$J539&amp;$AX539)</f>
        <v/>
      </c>
      <c r="AB539" s="34">
        <f>IF($J539="","",IFERROR(INDEX(코드설정!$D$5:$D$24,MATCH($J539,코드설정!$C$5:$C$24,0)),""))</f>
        <v/>
      </c>
      <c r="AC539" s="36" t="n"/>
      <c r="AD539" s="37" t="n"/>
      <c r="AE539" s="38" t="n"/>
      <c r="AF539" s="30">
        <f>IF(OR($B539="",$C539=""),"",$C539-$B539+1)</f>
        <v/>
      </c>
      <c r="AG539" s="32" t="n"/>
      <c r="AH539" s="36" t="n"/>
      <c r="AJ539">
        <f>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  <c r="AX539">
        <f>AW539&amp;IF($Y539="","",", "&amp;$Y539)</f>
        <v/>
      </c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0">
        <f>IF($F540="","",COUNTIF($F$5:$F540,$F540))</f>
        <v/>
      </c>
      <c r="H540" s="33">
        <f>IF($F540="","",IFERROR(INDEX(사건마스터!$B$5:$B$64,MATCH($F540,사건마스터!$A$5:$A$64,0)),""))</f>
        <v/>
      </c>
      <c r="I540" s="34">
        <f>IF($F540="","",IFERROR(INDEX(사건마스터!$C$5:$C$64,MATCH($F540,사건마스터!$A$5:$A$64,0)),""))</f>
        <v/>
      </c>
      <c r="J540" s="35">
        <f>IF($F540="","",IFERROR(INDEX(사건마스터!$H$5:$H$64,MATCH($F540,사건마스터!$A$5:$A$64,0)),""))</f>
        <v/>
      </c>
      <c r="K540" s="35">
        <f>IF($F540="","",IFERROR(INDEX(사건마스터!$AH$5:$AH$64,MATCH($F540,사건마스터!$A$5:$A$64,0)),""))</f>
        <v/>
      </c>
      <c r="L540" s="35">
        <f>IF($F540="","",IFERROR(INDEX(사건마스터!$AI$5:$AI$64,MATCH($F540,사건마스터!$A$5:$A$64,0)),""))</f>
        <v/>
      </c>
      <c r="M540" s="35">
        <f>IF($F540="","",IFERROR(INDEX(사건마스터!$AJ$5:$AJ$64,MATCH($F540,사건마스터!$A$5:$A$64,0)),""))</f>
        <v/>
      </c>
      <c r="N540" s="35">
        <f>IF($F540="","",IFERROR(INDEX(사건마스터!$AK$5:$AK$64,MATCH($F540,사건마스터!$A$5:$A$64,0)),""))</f>
        <v/>
      </c>
      <c r="O540" s="35">
        <f>IF($F540="","",IFERROR(INDEX(사건마스터!$AL$5:$AL$64,MATCH($F540,사건마스터!$A$5:$A$64,0)),""))</f>
        <v/>
      </c>
      <c r="P540" s="35">
        <f>IF($F540="","",IFERROR(INDEX(사건마스터!$AM$5:$AM$64,MATCH($F540,사건마스터!$A$5:$A$64,0)),""))</f>
        <v/>
      </c>
      <c r="Q540" s="35">
        <f>IF($F540="","",IFERROR(INDEX(사건마스터!$AN$5:$AN$64,MATCH($F540,사건마스터!$A$5:$A$64,0)),""))</f>
        <v/>
      </c>
      <c r="R540" s="35">
        <f>IF($F540="","",IFERROR(INDEX(사건마스터!$AO$5:$AO$64,MATCH($F540,사건마스터!$A$5:$A$64,0)),""))</f>
        <v/>
      </c>
      <c r="S540" s="35">
        <f>IF($F540="","",IFERROR(INDEX(사건마스터!$AP$5:$AP$64,MATCH($F540,사건마스터!$A$5:$A$64,0)),""))</f>
        <v/>
      </c>
      <c r="T540" s="35">
        <f>IF($F540="","",IFERROR(INDEX(사건마스터!$AQ$5:$AQ$64,MATCH($F540,사건마스터!$A$5:$A$64,0)),""))</f>
        <v/>
      </c>
      <c r="U540" s="35">
        <f>IF($F540="","",IFERROR(INDEX(사건마스터!$AR$5:$AR$64,MATCH($F540,사건마스터!$A$5:$A$64,0)),""))</f>
        <v/>
      </c>
      <c r="V540" s="35">
        <f>IF($F540="","",IFERROR(INDEX(사건마스터!$AS$5:$AS$64,MATCH($F540,사건마스터!$A$5:$A$64,0)),""))</f>
        <v/>
      </c>
      <c r="W540" s="35">
        <f>IF($F540="","",IFERROR(INDEX(사건마스터!$AT$5:$AT$64,MATCH($F540,사건마스터!$A$5:$A$64,0)),""))</f>
        <v/>
      </c>
      <c r="X540" s="35">
        <f>IF($F540="","",IFERROR(INDEX(사건마스터!$AU$5:$AU$64,MATCH($F540,사건마스터!$A$5:$A$64,0)),""))</f>
        <v/>
      </c>
      <c r="Y540" s="35">
        <f>IF($F540="","",IFERROR(INDEX(사건마스터!$AV$5:$AV$64,MATCH($F540,사건마스터!$A$5:$A$64,0)),""))</f>
        <v/>
      </c>
      <c r="Z540" s="30">
        <f>IF(COUNTBLANK($J540:$Y540)=16,"",16-COUNTBLANK($J540:$Y540))</f>
        <v/>
      </c>
      <c r="AA540" s="33">
        <f>IF($J540="",MID($AX540,3,255),$J540&amp;$AX540)</f>
        <v/>
      </c>
      <c r="AB540" s="34">
        <f>IF($J540="","",IFERROR(INDEX(코드설정!$D$5:$D$24,MATCH($J540,코드설정!$C$5:$C$24,0)),""))</f>
        <v/>
      </c>
      <c r="AC540" s="36" t="n"/>
      <c r="AD540" s="37" t="n"/>
      <c r="AE540" s="38" t="n"/>
      <c r="AF540" s="30">
        <f>IF(OR($B540="",$C540=""),"",$C540-$B540+1)</f>
        <v/>
      </c>
      <c r="AG540" s="32" t="n"/>
      <c r="AH540" s="36" t="n"/>
      <c r="AJ540">
        <f>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  <c r="AX540">
        <f>AW540&amp;IF($Y540="","",", "&amp;$Y540)</f>
        <v/>
      </c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0">
        <f>IF($F541="","",COUNTIF($F$5:$F541,$F541))</f>
        <v/>
      </c>
      <c r="H541" s="33">
        <f>IF($F541="","",IFERROR(INDEX(사건마스터!$B$5:$B$64,MATCH($F541,사건마스터!$A$5:$A$64,0)),""))</f>
        <v/>
      </c>
      <c r="I541" s="34">
        <f>IF($F541="","",IFERROR(INDEX(사건마스터!$C$5:$C$64,MATCH($F541,사건마스터!$A$5:$A$64,0)),""))</f>
        <v/>
      </c>
      <c r="J541" s="35">
        <f>IF($F541="","",IFERROR(INDEX(사건마스터!$H$5:$H$64,MATCH($F541,사건마스터!$A$5:$A$64,0)),""))</f>
        <v/>
      </c>
      <c r="K541" s="35">
        <f>IF($F541="","",IFERROR(INDEX(사건마스터!$AH$5:$AH$64,MATCH($F541,사건마스터!$A$5:$A$64,0)),""))</f>
        <v/>
      </c>
      <c r="L541" s="35">
        <f>IF($F541="","",IFERROR(INDEX(사건마스터!$AI$5:$AI$64,MATCH($F541,사건마스터!$A$5:$A$64,0)),""))</f>
        <v/>
      </c>
      <c r="M541" s="35">
        <f>IF($F541="","",IFERROR(INDEX(사건마스터!$AJ$5:$AJ$64,MATCH($F541,사건마스터!$A$5:$A$64,0)),""))</f>
        <v/>
      </c>
      <c r="N541" s="35">
        <f>IF($F541="","",IFERROR(INDEX(사건마스터!$AK$5:$AK$64,MATCH($F541,사건마스터!$A$5:$A$64,0)),""))</f>
        <v/>
      </c>
      <c r="O541" s="35">
        <f>IF($F541="","",IFERROR(INDEX(사건마스터!$AL$5:$AL$64,MATCH($F541,사건마스터!$A$5:$A$64,0)),""))</f>
        <v/>
      </c>
      <c r="P541" s="35">
        <f>IF($F541="","",IFERROR(INDEX(사건마스터!$AM$5:$AM$64,MATCH($F541,사건마스터!$A$5:$A$64,0)),""))</f>
        <v/>
      </c>
      <c r="Q541" s="35">
        <f>IF($F541="","",IFERROR(INDEX(사건마스터!$AN$5:$AN$64,MATCH($F541,사건마스터!$A$5:$A$64,0)),""))</f>
        <v/>
      </c>
      <c r="R541" s="35">
        <f>IF($F541="","",IFERROR(INDEX(사건마스터!$AO$5:$AO$64,MATCH($F541,사건마스터!$A$5:$A$64,0)),""))</f>
        <v/>
      </c>
      <c r="S541" s="35">
        <f>IF($F541="","",IFERROR(INDEX(사건마스터!$AP$5:$AP$64,MATCH($F541,사건마스터!$A$5:$A$64,0)),""))</f>
        <v/>
      </c>
      <c r="T541" s="35">
        <f>IF($F541="","",IFERROR(INDEX(사건마스터!$AQ$5:$AQ$64,MATCH($F541,사건마스터!$A$5:$A$64,0)),""))</f>
        <v/>
      </c>
      <c r="U541" s="35">
        <f>IF($F541="","",IFERROR(INDEX(사건마스터!$AR$5:$AR$64,MATCH($F541,사건마스터!$A$5:$A$64,0)),""))</f>
        <v/>
      </c>
      <c r="V541" s="35">
        <f>IF($F541="","",IFERROR(INDEX(사건마스터!$AS$5:$AS$64,MATCH($F541,사건마스터!$A$5:$A$64,0)),""))</f>
        <v/>
      </c>
      <c r="W541" s="35">
        <f>IF($F541="","",IFERROR(INDEX(사건마스터!$AT$5:$AT$64,MATCH($F541,사건마스터!$A$5:$A$64,0)),""))</f>
        <v/>
      </c>
      <c r="X541" s="35">
        <f>IF($F541="","",IFERROR(INDEX(사건마스터!$AU$5:$AU$64,MATCH($F541,사건마스터!$A$5:$A$64,0)),""))</f>
        <v/>
      </c>
      <c r="Y541" s="35">
        <f>IF($F541="","",IFERROR(INDEX(사건마스터!$AV$5:$AV$64,MATCH($F541,사건마스터!$A$5:$A$64,0)),""))</f>
        <v/>
      </c>
      <c r="Z541" s="30">
        <f>IF(COUNTBLANK($J541:$Y541)=16,"",16-COUNTBLANK($J541:$Y541))</f>
        <v/>
      </c>
      <c r="AA541" s="33">
        <f>IF($J541="",MID($AX541,3,255),$J541&amp;$AX541)</f>
        <v/>
      </c>
      <c r="AB541" s="34">
        <f>IF($J541="","",IFERROR(INDEX(코드설정!$D$5:$D$24,MATCH($J541,코드설정!$C$5:$C$24,0)),""))</f>
        <v/>
      </c>
      <c r="AC541" s="36" t="n"/>
      <c r="AD541" s="37" t="n"/>
      <c r="AE541" s="38" t="n"/>
      <c r="AF541" s="30">
        <f>IF(OR($B541="",$C541=""),"",$C541-$B541+1)</f>
        <v/>
      </c>
      <c r="AG541" s="32" t="n"/>
      <c r="AH541" s="36" t="n"/>
      <c r="AJ541">
        <f>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  <c r="AX541">
        <f>AW541&amp;IF($Y541="","",", "&amp;$Y541)</f>
        <v/>
      </c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0">
        <f>IF($F542="","",COUNTIF($F$5:$F542,$F542))</f>
        <v/>
      </c>
      <c r="H542" s="33">
        <f>IF($F542="","",IFERROR(INDEX(사건마스터!$B$5:$B$64,MATCH($F542,사건마스터!$A$5:$A$64,0)),""))</f>
        <v/>
      </c>
      <c r="I542" s="34">
        <f>IF($F542="","",IFERROR(INDEX(사건마스터!$C$5:$C$64,MATCH($F542,사건마스터!$A$5:$A$64,0)),""))</f>
        <v/>
      </c>
      <c r="J542" s="35">
        <f>IF($F542="","",IFERROR(INDEX(사건마스터!$H$5:$H$64,MATCH($F542,사건마스터!$A$5:$A$64,0)),""))</f>
        <v/>
      </c>
      <c r="K542" s="35">
        <f>IF($F542="","",IFERROR(INDEX(사건마스터!$AH$5:$AH$64,MATCH($F542,사건마스터!$A$5:$A$64,0)),""))</f>
        <v/>
      </c>
      <c r="L542" s="35">
        <f>IF($F542="","",IFERROR(INDEX(사건마스터!$AI$5:$AI$64,MATCH($F542,사건마스터!$A$5:$A$64,0)),""))</f>
        <v/>
      </c>
      <c r="M542" s="35">
        <f>IF($F542="","",IFERROR(INDEX(사건마스터!$AJ$5:$AJ$64,MATCH($F542,사건마스터!$A$5:$A$64,0)),""))</f>
        <v/>
      </c>
      <c r="N542" s="35">
        <f>IF($F542="","",IFERROR(INDEX(사건마스터!$AK$5:$AK$64,MATCH($F542,사건마스터!$A$5:$A$64,0)),""))</f>
        <v/>
      </c>
      <c r="O542" s="35">
        <f>IF($F542="","",IFERROR(INDEX(사건마스터!$AL$5:$AL$64,MATCH($F542,사건마스터!$A$5:$A$64,0)),""))</f>
        <v/>
      </c>
      <c r="P542" s="35">
        <f>IF($F542="","",IFERROR(INDEX(사건마스터!$AM$5:$AM$64,MATCH($F542,사건마스터!$A$5:$A$64,0)),""))</f>
        <v/>
      </c>
      <c r="Q542" s="35">
        <f>IF($F542="","",IFERROR(INDEX(사건마스터!$AN$5:$AN$64,MATCH($F542,사건마스터!$A$5:$A$64,0)),""))</f>
        <v/>
      </c>
      <c r="R542" s="35">
        <f>IF($F542="","",IFERROR(INDEX(사건마스터!$AO$5:$AO$64,MATCH($F542,사건마스터!$A$5:$A$64,0)),""))</f>
        <v/>
      </c>
      <c r="S542" s="35">
        <f>IF($F542="","",IFERROR(INDEX(사건마스터!$AP$5:$AP$64,MATCH($F542,사건마스터!$A$5:$A$64,0)),""))</f>
        <v/>
      </c>
      <c r="T542" s="35">
        <f>IF($F542="","",IFERROR(INDEX(사건마스터!$AQ$5:$AQ$64,MATCH($F542,사건마스터!$A$5:$A$64,0)),""))</f>
        <v/>
      </c>
      <c r="U542" s="35">
        <f>IF($F542="","",IFERROR(INDEX(사건마스터!$AR$5:$AR$64,MATCH($F542,사건마스터!$A$5:$A$64,0)),""))</f>
        <v/>
      </c>
      <c r="V542" s="35">
        <f>IF($F542="","",IFERROR(INDEX(사건마스터!$AS$5:$AS$64,MATCH($F542,사건마스터!$A$5:$A$64,0)),""))</f>
        <v/>
      </c>
      <c r="W542" s="35">
        <f>IF($F542="","",IFERROR(INDEX(사건마스터!$AT$5:$AT$64,MATCH($F542,사건마스터!$A$5:$A$64,0)),""))</f>
        <v/>
      </c>
      <c r="X542" s="35">
        <f>IF($F542="","",IFERROR(INDEX(사건마스터!$AU$5:$AU$64,MATCH($F542,사건마스터!$A$5:$A$64,0)),""))</f>
        <v/>
      </c>
      <c r="Y542" s="35">
        <f>IF($F542="","",IFERROR(INDEX(사건마스터!$AV$5:$AV$64,MATCH($F542,사건마스터!$A$5:$A$64,0)),""))</f>
        <v/>
      </c>
      <c r="Z542" s="30">
        <f>IF(COUNTBLANK($J542:$Y542)=16,"",16-COUNTBLANK($J542:$Y542))</f>
        <v/>
      </c>
      <c r="AA542" s="33">
        <f>IF($J542="",MID($AX542,3,255),$J542&amp;$AX542)</f>
        <v/>
      </c>
      <c r="AB542" s="34">
        <f>IF($J542="","",IFERROR(INDEX(코드설정!$D$5:$D$24,MATCH($J542,코드설정!$C$5:$C$24,0)),""))</f>
        <v/>
      </c>
      <c r="AC542" s="36" t="n"/>
      <c r="AD542" s="37" t="n"/>
      <c r="AE542" s="38" t="n"/>
      <c r="AF542" s="30">
        <f>IF(OR($B542="",$C542=""),"",$C542-$B542+1)</f>
        <v/>
      </c>
      <c r="AG542" s="32" t="n"/>
      <c r="AH542" s="36" t="n"/>
      <c r="AJ542">
        <f>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  <c r="AX542">
        <f>AW542&amp;IF($Y542="","",", "&amp;$Y542)</f>
        <v/>
      </c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0">
        <f>IF($F543="","",COUNTIF($F$5:$F543,$F543))</f>
        <v/>
      </c>
      <c r="H543" s="33">
        <f>IF($F543="","",IFERROR(INDEX(사건마스터!$B$5:$B$64,MATCH($F543,사건마스터!$A$5:$A$64,0)),""))</f>
        <v/>
      </c>
      <c r="I543" s="34">
        <f>IF($F543="","",IFERROR(INDEX(사건마스터!$C$5:$C$64,MATCH($F543,사건마스터!$A$5:$A$64,0)),""))</f>
        <v/>
      </c>
      <c r="J543" s="35">
        <f>IF($F543="","",IFERROR(INDEX(사건마스터!$H$5:$H$64,MATCH($F543,사건마스터!$A$5:$A$64,0)),""))</f>
        <v/>
      </c>
      <c r="K543" s="35">
        <f>IF($F543="","",IFERROR(INDEX(사건마스터!$AH$5:$AH$64,MATCH($F543,사건마스터!$A$5:$A$64,0)),""))</f>
        <v/>
      </c>
      <c r="L543" s="35">
        <f>IF($F543="","",IFERROR(INDEX(사건마스터!$AI$5:$AI$64,MATCH($F543,사건마스터!$A$5:$A$64,0)),""))</f>
        <v/>
      </c>
      <c r="M543" s="35">
        <f>IF($F543="","",IFERROR(INDEX(사건마스터!$AJ$5:$AJ$64,MATCH($F543,사건마스터!$A$5:$A$64,0)),""))</f>
        <v/>
      </c>
      <c r="N543" s="35">
        <f>IF($F543="","",IFERROR(INDEX(사건마스터!$AK$5:$AK$64,MATCH($F543,사건마스터!$A$5:$A$64,0)),""))</f>
        <v/>
      </c>
      <c r="O543" s="35">
        <f>IF($F543="","",IFERROR(INDEX(사건마스터!$AL$5:$AL$64,MATCH($F543,사건마스터!$A$5:$A$64,0)),""))</f>
        <v/>
      </c>
      <c r="P543" s="35">
        <f>IF($F543="","",IFERROR(INDEX(사건마스터!$AM$5:$AM$64,MATCH($F543,사건마스터!$A$5:$A$64,0)),""))</f>
        <v/>
      </c>
      <c r="Q543" s="35">
        <f>IF($F543="","",IFERROR(INDEX(사건마스터!$AN$5:$AN$64,MATCH($F543,사건마스터!$A$5:$A$64,0)),""))</f>
        <v/>
      </c>
      <c r="R543" s="35">
        <f>IF($F543="","",IFERROR(INDEX(사건마스터!$AO$5:$AO$64,MATCH($F543,사건마스터!$A$5:$A$64,0)),""))</f>
        <v/>
      </c>
      <c r="S543" s="35">
        <f>IF($F543="","",IFERROR(INDEX(사건마스터!$AP$5:$AP$64,MATCH($F543,사건마스터!$A$5:$A$64,0)),""))</f>
        <v/>
      </c>
      <c r="T543" s="35">
        <f>IF($F543="","",IFERROR(INDEX(사건마스터!$AQ$5:$AQ$64,MATCH($F543,사건마스터!$A$5:$A$64,0)),""))</f>
        <v/>
      </c>
      <c r="U543" s="35">
        <f>IF($F543="","",IFERROR(INDEX(사건마스터!$AR$5:$AR$64,MATCH($F543,사건마스터!$A$5:$A$64,0)),""))</f>
        <v/>
      </c>
      <c r="V543" s="35">
        <f>IF($F543="","",IFERROR(INDEX(사건마스터!$AS$5:$AS$64,MATCH($F543,사건마스터!$A$5:$A$64,0)),""))</f>
        <v/>
      </c>
      <c r="W543" s="35">
        <f>IF($F543="","",IFERROR(INDEX(사건마스터!$AT$5:$AT$64,MATCH($F543,사건마스터!$A$5:$A$64,0)),""))</f>
        <v/>
      </c>
      <c r="X543" s="35">
        <f>IF($F543="","",IFERROR(INDEX(사건마스터!$AU$5:$AU$64,MATCH($F543,사건마스터!$A$5:$A$64,0)),""))</f>
        <v/>
      </c>
      <c r="Y543" s="35">
        <f>IF($F543="","",IFERROR(INDEX(사건마스터!$AV$5:$AV$64,MATCH($F543,사건마스터!$A$5:$A$64,0)),""))</f>
        <v/>
      </c>
      <c r="Z543" s="30">
        <f>IF(COUNTBLANK($J543:$Y543)=16,"",16-COUNTBLANK($J543:$Y543))</f>
        <v/>
      </c>
      <c r="AA543" s="33">
        <f>IF($J543="",MID($AX543,3,255),$J543&amp;$AX543)</f>
        <v/>
      </c>
      <c r="AB543" s="34">
        <f>IF($J543="","",IFERROR(INDEX(코드설정!$D$5:$D$24,MATCH($J543,코드설정!$C$5:$C$24,0)),""))</f>
        <v/>
      </c>
      <c r="AC543" s="36" t="n"/>
      <c r="AD543" s="37" t="n"/>
      <c r="AE543" s="38" t="n"/>
      <c r="AF543" s="30">
        <f>IF(OR($B543="",$C543=""),"",$C543-$B543+1)</f>
        <v/>
      </c>
      <c r="AG543" s="32" t="n"/>
      <c r="AH543" s="36" t="n"/>
      <c r="AJ543">
        <f>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  <c r="AX543">
        <f>AW543&amp;IF($Y543="","",", "&amp;$Y543)</f>
        <v/>
      </c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0">
        <f>IF($F544="","",COUNTIF($F$5:$F544,$F544))</f>
        <v/>
      </c>
      <c r="H544" s="33">
        <f>IF($F544="","",IFERROR(INDEX(사건마스터!$B$5:$B$64,MATCH($F544,사건마스터!$A$5:$A$64,0)),""))</f>
        <v/>
      </c>
      <c r="I544" s="34">
        <f>IF($F544="","",IFERROR(INDEX(사건마스터!$C$5:$C$64,MATCH($F544,사건마스터!$A$5:$A$64,0)),""))</f>
        <v/>
      </c>
      <c r="J544" s="35">
        <f>IF($F544="","",IFERROR(INDEX(사건마스터!$H$5:$H$64,MATCH($F544,사건마스터!$A$5:$A$64,0)),""))</f>
        <v/>
      </c>
      <c r="K544" s="35">
        <f>IF($F544="","",IFERROR(INDEX(사건마스터!$AH$5:$AH$64,MATCH($F544,사건마스터!$A$5:$A$64,0)),""))</f>
        <v/>
      </c>
      <c r="L544" s="35">
        <f>IF($F544="","",IFERROR(INDEX(사건마스터!$AI$5:$AI$64,MATCH($F544,사건마스터!$A$5:$A$64,0)),""))</f>
        <v/>
      </c>
      <c r="M544" s="35">
        <f>IF($F544="","",IFERROR(INDEX(사건마스터!$AJ$5:$AJ$64,MATCH($F544,사건마스터!$A$5:$A$64,0)),""))</f>
        <v/>
      </c>
      <c r="N544" s="35">
        <f>IF($F544="","",IFERROR(INDEX(사건마스터!$AK$5:$AK$64,MATCH($F544,사건마스터!$A$5:$A$64,0)),""))</f>
        <v/>
      </c>
      <c r="O544" s="35">
        <f>IF($F544="","",IFERROR(INDEX(사건마스터!$AL$5:$AL$64,MATCH($F544,사건마스터!$A$5:$A$64,0)),""))</f>
        <v/>
      </c>
      <c r="P544" s="35">
        <f>IF($F544="","",IFERROR(INDEX(사건마스터!$AM$5:$AM$64,MATCH($F544,사건마스터!$A$5:$A$64,0)),""))</f>
        <v/>
      </c>
      <c r="Q544" s="35">
        <f>IF($F544="","",IFERROR(INDEX(사건마스터!$AN$5:$AN$64,MATCH($F544,사건마스터!$A$5:$A$64,0)),""))</f>
        <v/>
      </c>
      <c r="R544" s="35">
        <f>IF($F544="","",IFERROR(INDEX(사건마스터!$AO$5:$AO$64,MATCH($F544,사건마스터!$A$5:$A$64,0)),""))</f>
        <v/>
      </c>
      <c r="S544" s="35">
        <f>IF($F544="","",IFERROR(INDEX(사건마스터!$AP$5:$AP$64,MATCH($F544,사건마스터!$A$5:$A$64,0)),""))</f>
        <v/>
      </c>
      <c r="T544" s="35">
        <f>IF($F544="","",IFERROR(INDEX(사건마스터!$AQ$5:$AQ$64,MATCH($F544,사건마스터!$A$5:$A$64,0)),""))</f>
        <v/>
      </c>
      <c r="U544" s="35">
        <f>IF($F544="","",IFERROR(INDEX(사건마스터!$AR$5:$AR$64,MATCH($F544,사건마스터!$A$5:$A$64,0)),""))</f>
        <v/>
      </c>
      <c r="V544" s="35">
        <f>IF($F544="","",IFERROR(INDEX(사건마스터!$AS$5:$AS$64,MATCH($F544,사건마스터!$A$5:$A$64,0)),""))</f>
        <v/>
      </c>
      <c r="W544" s="35">
        <f>IF($F544="","",IFERROR(INDEX(사건마스터!$AT$5:$AT$64,MATCH($F544,사건마스터!$A$5:$A$64,0)),""))</f>
        <v/>
      </c>
      <c r="X544" s="35">
        <f>IF($F544="","",IFERROR(INDEX(사건마스터!$AU$5:$AU$64,MATCH($F544,사건마스터!$A$5:$A$64,0)),""))</f>
        <v/>
      </c>
      <c r="Y544" s="35">
        <f>IF($F544="","",IFERROR(INDEX(사건마스터!$AV$5:$AV$64,MATCH($F544,사건마스터!$A$5:$A$64,0)),""))</f>
        <v/>
      </c>
      <c r="Z544" s="30">
        <f>IF(COUNTBLANK($J544:$Y544)=16,"",16-COUNTBLANK($J544:$Y544))</f>
        <v/>
      </c>
      <c r="AA544" s="33">
        <f>IF($J544="",MID($AX544,3,255),$J544&amp;$AX544)</f>
        <v/>
      </c>
      <c r="AB544" s="34">
        <f>IF($J544="","",IFERROR(INDEX(코드설정!$D$5:$D$24,MATCH($J544,코드설정!$C$5:$C$24,0)),""))</f>
        <v/>
      </c>
      <c r="AC544" s="36" t="n"/>
      <c r="AD544" s="37" t="n"/>
      <c r="AE544" s="38" t="n"/>
      <c r="AF544" s="30">
        <f>IF(OR($B544="",$C544=""),"",$C544-$B544+1)</f>
        <v/>
      </c>
      <c r="AG544" s="32" t="n"/>
      <c r="AH544" s="36" t="n"/>
      <c r="AJ544">
        <f>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  <c r="AX544">
        <f>AW544&amp;IF($Y544="","",", "&amp;$Y544)</f>
        <v/>
      </c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0">
        <f>IF($F545="","",COUNTIF($F$5:$F545,$F545))</f>
        <v/>
      </c>
      <c r="H545" s="33">
        <f>IF($F545="","",IFERROR(INDEX(사건마스터!$B$5:$B$64,MATCH($F545,사건마스터!$A$5:$A$64,0)),""))</f>
        <v/>
      </c>
      <c r="I545" s="34">
        <f>IF($F545="","",IFERROR(INDEX(사건마스터!$C$5:$C$64,MATCH($F545,사건마스터!$A$5:$A$64,0)),""))</f>
        <v/>
      </c>
      <c r="J545" s="35">
        <f>IF($F545="","",IFERROR(INDEX(사건마스터!$H$5:$H$64,MATCH($F545,사건마스터!$A$5:$A$64,0)),""))</f>
        <v/>
      </c>
      <c r="K545" s="35">
        <f>IF($F545="","",IFERROR(INDEX(사건마스터!$AH$5:$AH$64,MATCH($F545,사건마스터!$A$5:$A$64,0)),""))</f>
        <v/>
      </c>
      <c r="L545" s="35">
        <f>IF($F545="","",IFERROR(INDEX(사건마스터!$AI$5:$AI$64,MATCH($F545,사건마스터!$A$5:$A$64,0)),""))</f>
        <v/>
      </c>
      <c r="M545" s="35">
        <f>IF($F545="","",IFERROR(INDEX(사건마스터!$AJ$5:$AJ$64,MATCH($F545,사건마스터!$A$5:$A$64,0)),""))</f>
        <v/>
      </c>
      <c r="N545" s="35">
        <f>IF($F545="","",IFERROR(INDEX(사건마스터!$AK$5:$AK$64,MATCH($F545,사건마스터!$A$5:$A$64,0)),""))</f>
        <v/>
      </c>
      <c r="O545" s="35">
        <f>IF($F545="","",IFERROR(INDEX(사건마스터!$AL$5:$AL$64,MATCH($F545,사건마스터!$A$5:$A$64,0)),""))</f>
        <v/>
      </c>
      <c r="P545" s="35">
        <f>IF($F545="","",IFERROR(INDEX(사건마스터!$AM$5:$AM$64,MATCH($F545,사건마스터!$A$5:$A$64,0)),""))</f>
        <v/>
      </c>
      <c r="Q545" s="35">
        <f>IF($F545="","",IFERROR(INDEX(사건마스터!$AN$5:$AN$64,MATCH($F545,사건마스터!$A$5:$A$64,0)),""))</f>
        <v/>
      </c>
      <c r="R545" s="35">
        <f>IF($F545="","",IFERROR(INDEX(사건마스터!$AO$5:$AO$64,MATCH($F545,사건마스터!$A$5:$A$64,0)),""))</f>
        <v/>
      </c>
      <c r="S545" s="35">
        <f>IF($F545="","",IFERROR(INDEX(사건마스터!$AP$5:$AP$64,MATCH($F545,사건마스터!$A$5:$A$64,0)),""))</f>
        <v/>
      </c>
      <c r="T545" s="35">
        <f>IF($F545="","",IFERROR(INDEX(사건마스터!$AQ$5:$AQ$64,MATCH($F545,사건마스터!$A$5:$A$64,0)),""))</f>
        <v/>
      </c>
      <c r="U545" s="35">
        <f>IF($F545="","",IFERROR(INDEX(사건마스터!$AR$5:$AR$64,MATCH($F545,사건마스터!$A$5:$A$64,0)),""))</f>
        <v/>
      </c>
      <c r="V545" s="35">
        <f>IF($F545="","",IFERROR(INDEX(사건마스터!$AS$5:$AS$64,MATCH($F545,사건마스터!$A$5:$A$64,0)),""))</f>
        <v/>
      </c>
      <c r="W545" s="35">
        <f>IF($F545="","",IFERROR(INDEX(사건마스터!$AT$5:$AT$64,MATCH($F545,사건마스터!$A$5:$A$64,0)),""))</f>
        <v/>
      </c>
      <c r="X545" s="35">
        <f>IF($F545="","",IFERROR(INDEX(사건마스터!$AU$5:$AU$64,MATCH($F545,사건마스터!$A$5:$A$64,0)),""))</f>
        <v/>
      </c>
      <c r="Y545" s="35">
        <f>IF($F545="","",IFERROR(INDEX(사건마스터!$AV$5:$AV$64,MATCH($F545,사건마스터!$A$5:$A$64,0)),""))</f>
        <v/>
      </c>
      <c r="Z545" s="30">
        <f>IF(COUNTBLANK($J545:$Y545)=16,"",16-COUNTBLANK($J545:$Y545))</f>
        <v/>
      </c>
      <c r="AA545" s="33">
        <f>IF($J545="",MID($AX545,3,255),$J545&amp;$AX545)</f>
        <v/>
      </c>
      <c r="AB545" s="34">
        <f>IF($J545="","",IFERROR(INDEX(코드설정!$D$5:$D$24,MATCH($J545,코드설정!$C$5:$C$24,0)),""))</f>
        <v/>
      </c>
      <c r="AC545" s="36" t="n"/>
      <c r="AD545" s="37" t="n"/>
      <c r="AE545" s="38" t="n"/>
      <c r="AF545" s="30">
        <f>IF(OR($B545="",$C545=""),"",$C545-$B545+1)</f>
        <v/>
      </c>
      <c r="AG545" s="32" t="n"/>
      <c r="AH545" s="36" t="n"/>
      <c r="AJ545">
        <f>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  <c r="AX545">
        <f>AW545&amp;IF($Y545="","",", "&amp;$Y545)</f>
        <v/>
      </c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0">
        <f>IF($F546="","",COUNTIF($F$5:$F546,$F546))</f>
        <v/>
      </c>
      <c r="H546" s="33">
        <f>IF($F546="","",IFERROR(INDEX(사건마스터!$B$5:$B$64,MATCH($F546,사건마스터!$A$5:$A$64,0)),""))</f>
        <v/>
      </c>
      <c r="I546" s="34">
        <f>IF($F546="","",IFERROR(INDEX(사건마스터!$C$5:$C$64,MATCH($F546,사건마스터!$A$5:$A$64,0)),""))</f>
        <v/>
      </c>
      <c r="J546" s="35">
        <f>IF($F546="","",IFERROR(INDEX(사건마스터!$H$5:$H$64,MATCH($F546,사건마스터!$A$5:$A$64,0)),""))</f>
        <v/>
      </c>
      <c r="K546" s="35">
        <f>IF($F546="","",IFERROR(INDEX(사건마스터!$AH$5:$AH$64,MATCH($F546,사건마스터!$A$5:$A$64,0)),""))</f>
        <v/>
      </c>
      <c r="L546" s="35">
        <f>IF($F546="","",IFERROR(INDEX(사건마스터!$AI$5:$AI$64,MATCH($F546,사건마스터!$A$5:$A$64,0)),""))</f>
        <v/>
      </c>
      <c r="M546" s="35">
        <f>IF($F546="","",IFERROR(INDEX(사건마스터!$AJ$5:$AJ$64,MATCH($F546,사건마스터!$A$5:$A$64,0)),""))</f>
        <v/>
      </c>
      <c r="N546" s="35">
        <f>IF($F546="","",IFERROR(INDEX(사건마스터!$AK$5:$AK$64,MATCH($F546,사건마스터!$A$5:$A$64,0)),""))</f>
        <v/>
      </c>
      <c r="O546" s="35">
        <f>IF($F546="","",IFERROR(INDEX(사건마스터!$AL$5:$AL$64,MATCH($F546,사건마스터!$A$5:$A$64,0)),""))</f>
        <v/>
      </c>
      <c r="P546" s="35">
        <f>IF($F546="","",IFERROR(INDEX(사건마스터!$AM$5:$AM$64,MATCH($F546,사건마스터!$A$5:$A$64,0)),""))</f>
        <v/>
      </c>
      <c r="Q546" s="35">
        <f>IF($F546="","",IFERROR(INDEX(사건마스터!$AN$5:$AN$64,MATCH($F546,사건마스터!$A$5:$A$64,0)),""))</f>
        <v/>
      </c>
      <c r="R546" s="35">
        <f>IF($F546="","",IFERROR(INDEX(사건마스터!$AO$5:$AO$64,MATCH($F546,사건마스터!$A$5:$A$64,0)),""))</f>
        <v/>
      </c>
      <c r="S546" s="35">
        <f>IF($F546="","",IFERROR(INDEX(사건마스터!$AP$5:$AP$64,MATCH($F546,사건마스터!$A$5:$A$64,0)),""))</f>
        <v/>
      </c>
      <c r="T546" s="35">
        <f>IF($F546="","",IFERROR(INDEX(사건마스터!$AQ$5:$AQ$64,MATCH($F546,사건마스터!$A$5:$A$64,0)),""))</f>
        <v/>
      </c>
      <c r="U546" s="35">
        <f>IF($F546="","",IFERROR(INDEX(사건마스터!$AR$5:$AR$64,MATCH($F546,사건마스터!$A$5:$A$64,0)),""))</f>
        <v/>
      </c>
      <c r="V546" s="35">
        <f>IF($F546="","",IFERROR(INDEX(사건마스터!$AS$5:$AS$64,MATCH($F546,사건마스터!$A$5:$A$64,0)),""))</f>
        <v/>
      </c>
      <c r="W546" s="35">
        <f>IF($F546="","",IFERROR(INDEX(사건마스터!$AT$5:$AT$64,MATCH($F546,사건마스터!$A$5:$A$64,0)),""))</f>
        <v/>
      </c>
      <c r="X546" s="35">
        <f>IF($F546="","",IFERROR(INDEX(사건마스터!$AU$5:$AU$64,MATCH($F546,사건마스터!$A$5:$A$64,0)),""))</f>
        <v/>
      </c>
      <c r="Y546" s="35">
        <f>IF($F546="","",IFERROR(INDEX(사건마스터!$AV$5:$AV$64,MATCH($F546,사건마스터!$A$5:$A$64,0)),""))</f>
        <v/>
      </c>
      <c r="Z546" s="30">
        <f>IF(COUNTBLANK($J546:$Y546)=16,"",16-COUNTBLANK($J546:$Y546))</f>
        <v/>
      </c>
      <c r="AA546" s="33">
        <f>IF($J546="",MID($AX546,3,255),$J546&amp;$AX546)</f>
        <v/>
      </c>
      <c r="AB546" s="34">
        <f>IF($J546="","",IFERROR(INDEX(코드설정!$D$5:$D$24,MATCH($J546,코드설정!$C$5:$C$24,0)),""))</f>
        <v/>
      </c>
      <c r="AC546" s="36" t="n"/>
      <c r="AD546" s="37" t="n"/>
      <c r="AE546" s="38" t="n"/>
      <c r="AF546" s="30">
        <f>IF(OR($B546="",$C546=""),"",$C546-$B546+1)</f>
        <v/>
      </c>
      <c r="AG546" s="32" t="n"/>
      <c r="AH546" s="36" t="n"/>
      <c r="AJ546">
        <f>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  <c r="AX546">
        <f>AW546&amp;IF($Y546="","",", "&amp;$Y546)</f>
        <v/>
      </c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0">
        <f>IF($F547="","",COUNTIF($F$5:$F547,$F547))</f>
        <v/>
      </c>
      <c r="H547" s="33">
        <f>IF($F547="","",IFERROR(INDEX(사건마스터!$B$5:$B$64,MATCH($F547,사건마스터!$A$5:$A$64,0)),""))</f>
        <v/>
      </c>
      <c r="I547" s="34">
        <f>IF($F547="","",IFERROR(INDEX(사건마스터!$C$5:$C$64,MATCH($F547,사건마스터!$A$5:$A$64,0)),""))</f>
        <v/>
      </c>
      <c r="J547" s="35">
        <f>IF($F547="","",IFERROR(INDEX(사건마스터!$H$5:$H$64,MATCH($F547,사건마스터!$A$5:$A$64,0)),""))</f>
        <v/>
      </c>
      <c r="K547" s="35">
        <f>IF($F547="","",IFERROR(INDEX(사건마스터!$AH$5:$AH$64,MATCH($F547,사건마스터!$A$5:$A$64,0)),""))</f>
        <v/>
      </c>
      <c r="L547" s="35">
        <f>IF($F547="","",IFERROR(INDEX(사건마스터!$AI$5:$AI$64,MATCH($F547,사건마스터!$A$5:$A$64,0)),""))</f>
        <v/>
      </c>
      <c r="M547" s="35">
        <f>IF($F547="","",IFERROR(INDEX(사건마스터!$AJ$5:$AJ$64,MATCH($F547,사건마스터!$A$5:$A$64,0)),""))</f>
        <v/>
      </c>
      <c r="N547" s="35">
        <f>IF($F547="","",IFERROR(INDEX(사건마스터!$AK$5:$AK$64,MATCH($F547,사건마스터!$A$5:$A$64,0)),""))</f>
        <v/>
      </c>
      <c r="O547" s="35">
        <f>IF($F547="","",IFERROR(INDEX(사건마스터!$AL$5:$AL$64,MATCH($F547,사건마스터!$A$5:$A$64,0)),""))</f>
        <v/>
      </c>
      <c r="P547" s="35">
        <f>IF($F547="","",IFERROR(INDEX(사건마스터!$AM$5:$AM$64,MATCH($F547,사건마스터!$A$5:$A$64,0)),""))</f>
        <v/>
      </c>
      <c r="Q547" s="35">
        <f>IF($F547="","",IFERROR(INDEX(사건마스터!$AN$5:$AN$64,MATCH($F547,사건마스터!$A$5:$A$64,0)),""))</f>
        <v/>
      </c>
      <c r="R547" s="35">
        <f>IF($F547="","",IFERROR(INDEX(사건마스터!$AO$5:$AO$64,MATCH($F547,사건마스터!$A$5:$A$64,0)),""))</f>
        <v/>
      </c>
      <c r="S547" s="35">
        <f>IF($F547="","",IFERROR(INDEX(사건마스터!$AP$5:$AP$64,MATCH($F547,사건마스터!$A$5:$A$64,0)),""))</f>
        <v/>
      </c>
      <c r="T547" s="35">
        <f>IF($F547="","",IFERROR(INDEX(사건마스터!$AQ$5:$AQ$64,MATCH($F547,사건마스터!$A$5:$A$64,0)),""))</f>
        <v/>
      </c>
      <c r="U547" s="35">
        <f>IF($F547="","",IFERROR(INDEX(사건마스터!$AR$5:$AR$64,MATCH($F547,사건마스터!$A$5:$A$64,0)),""))</f>
        <v/>
      </c>
      <c r="V547" s="35">
        <f>IF($F547="","",IFERROR(INDEX(사건마스터!$AS$5:$AS$64,MATCH($F547,사건마스터!$A$5:$A$64,0)),""))</f>
        <v/>
      </c>
      <c r="W547" s="35">
        <f>IF($F547="","",IFERROR(INDEX(사건마스터!$AT$5:$AT$64,MATCH($F547,사건마스터!$A$5:$A$64,0)),""))</f>
        <v/>
      </c>
      <c r="X547" s="35">
        <f>IF($F547="","",IFERROR(INDEX(사건마스터!$AU$5:$AU$64,MATCH($F547,사건마스터!$A$5:$A$64,0)),""))</f>
        <v/>
      </c>
      <c r="Y547" s="35">
        <f>IF($F547="","",IFERROR(INDEX(사건마스터!$AV$5:$AV$64,MATCH($F547,사건마스터!$A$5:$A$64,0)),""))</f>
        <v/>
      </c>
      <c r="Z547" s="30">
        <f>IF(COUNTBLANK($J547:$Y547)=16,"",16-COUNTBLANK($J547:$Y547))</f>
        <v/>
      </c>
      <c r="AA547" s="33">
        <f>IF($J547="",MID($AX547,3,255),$J547&amp;$AX547)</f>
        <v/>
      </c>
      <c r="AB547" s="34">
        <f>IF($J547="","",IFERROR(INDEX(코드설정!$D$5:$D$24,MATCH($J547,코드설정!$C$5:$C$24,0)),""))</f>
        <v/>
      </c>
      <c r="AC547" s="36" t="n"/>
      <c r="AD547" s="37" t="n"/>
      <c r="AE547" s="38" t="n"/>
      <c r="AF547" s="30">
        <f>IF(OR($B547="",$C547=""),"",$C547-$B547+1)</f>
        <v/>
      </c>
      <c r="AG547" s="32" t="n"/>
      <c r="AH547" s="36" t="n"/>
      <c r="AJ547">
        <f>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  <c r="AX547">
        <f>AW547&amp;IF($Y547="","",", "&amp;$Y547)</f>
        <v/>
      </c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0">
        <f>IF($F548="","",COUNTIF($F$5:$F548,$F548))</f>
        <v/>
      </c>
      <c r="H548" s="33">
        <f>IF($F548="","",IFERROR(INDEX(사건마스터!$B$5:$B$64,MATCH($F548,사건마스터!$A$5:$A$64,0)),""))</f>
        <v/>
      </c>
      <c r="I548" s="34">
        <f>IF($F548="","",IFERROR(INDEX(사건마스터!$C$5:$C$64,MATCH($F548,사건마스터!$A$5:$A$64,0)),""))</f>
        <v/>
      </c>
      <c r="J548" s="35">
        <f>IF($F548="","",IFERROR(INDEX(사건마스터!$H$5:$H$64,MATCH($F548,사건마스터!$A$5:$A$64,0)),""))</f>
        <v/>
      </c>
      <c r="K548" s="35">
        <f>IF($F548="","",IFERROR(INDEX(사건마스터!$AH$5:$AH$64,MATCH($F548,사건마스터!$A$5:$A$64,0)),""))</f>
        <v/>
      </c>
      <c r="L548" s="35">
        <f>IF($F548="","",IFERROR(INDEX(사건마스터!$AI$5:$AI$64,MATCH($F548,사건마스터!$A$5:$A$64,0)),""))</f>
        <v/>
      </c>
      <c r="M548" s="35">
        <f>IF($F548="","",IFERROR(INDEX(사건마스터!$AJ$5:$AJ$64,MATCH($F548,사건마스터!$A$5:$A$64,0)),""))</f>
        <v/>
      </c>
      <c r="N548" s="35">
        <f>IF($F548="","",IFERROR(INDEX(사건마스터!$AK$5:$AK$64,MATCH($F548,사건마스터!$A$5:$A$64,0)),""))</f>
        <v/>
      </c>
      <c r="O548" s="35">
        <f>IF($F548="","",IFERROR(INDEX(사건마스터!$AL$5:$AL$64,MATCH($F548,사건마스터!$A$5:$A$64,0)),""))</f>
        <v/>
      </c>
      <c r="P548" s="35">
        <f>IF($F548="","",IFERROR(INDEX(사건마스터!$AM$5:$AM$64,MATCH($F548,사건마스터!$A$5:$A$64,0)),""))</f>
        <v/>
      </c>
      <c r="Q548" s="35">
        <f>IF($F548="","",IFERROR(INDEX(사건마스터!$AN$5:$AN$64,MATCH($F548,사건마스터!$A$5:$A$64,0)),""))</f>
        <v/>
      </c>
      <c r="R548" s="35">
        <f>IF($F548="","",IFERROR(INDEX(사건마스터!$AO$5:$AO$64,MATCH($F548,사건마스터!$A$5:$A$64,0)),""))</f>
        <v/>
      </c>
      <c r="S548" s="35">
        <f>IF($F548="","",IFERROR(INDEX(사건마스터!$AP$5:$AP$64,MATCH($F548,사건마스터!$A$5:$A$64,0)),""))</f>
        <v/>
      </c>
      <c r="T548" s="35">
        <f>IF($F548="","",IFERROR(INDEX(사건마스터!$AQ$5:$AQ$64,MATCH($F548,사건마스터!$A$5:$A$64,0)),""))</f>
        <v/>
      </c>
      <c r="U548" s="35">
        <f>IF($F548="","",IFERROR(INDEX(사건마스터!$AR$5:$AR$64,MATCH($F548,사건마스터!$A$5:$A$64,0)),""))</f>
        <v/>
      </c>
      <c r="V548" s="35">
        <f>IF($F548="","",IFERROR(INDEX(사건마스터!$AS$5:$AS$64,MATCH($F548,사건마스터!$A$5:$A$64,0)),""))</f>
        <v/>
      </c>
      <c r="W548" s="35">
        <f>IF($F548="","",IFERROR(INDEX(사건마스터!$AT$5:$AT$64,MATCH($F548,사건마스터!$A$5:$A$64,0)),""))</f>
        <v/>
      </c>
      <c r="X548" s="35">
        <f>IF($F548="","",IFERROR(INDEX(사건마스터!$AU$5:$AU$64,MATCH($F548,사건마스터!$A$5:$A$64,0)),""))</f>
        <v/>
      </c>
      <c r="Y548" s="35">
        <f>IF($F548="","",IFERROR(INDEX(사건마스터!$AV$5:$AV$64,MATCH($F548,사건마스터!$A$5:$A$64,0)),""))</f>
        <v/>
      </c>
      <c r="Z548" s="30">
        <f>IF(COUNTBLANK($J548:$Y548)=16,"",16-COUNTBLANK($J548:$Y548))</f>
        <v/>
      </c>
      <c r="AA548" s="33">
        <f>IF($J548="",MID($AX548,3,255),$J548&amp;$AX548)</f>
        <v/>
      </c>
      <c r="AB548" s="34">
        <f>IF($J548="","",IFERROR(INDEX(코드설정!$D$5:$D$24,MATCH($J548,코드설정!$C$5:$C$24,0)),""))</f>
        <v/>
      </c>
      <c r="AC548" s="36" t="n"/>
      <c r="AD548" s="37" t="n"/>
      <c r="AE548" s="38" t="n"/>
      <c r="AF548" s="30">
        <f>IF(OR($B548="",$C548=""),"",$C548-$B548+1)</f>
        <v/>
      </c>
      <c r="AG548" s="32" t="n"/>
      <c r="AH548" s="36" t="n"/>
      <c r="AJ548">
        <f>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  <c r="AX548">
        <f>AW548&amp;IF($Y548="","",", "&amp;$Y548)</f>
        <v/>
      </c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0">
        <f>IF($F549="","",COUNTIF($F$5:$F549,$F549))</f>
        <v/>
      </c>
      <c r="H549" s="33">
        <f>IF($F549="","",IFERROR(INDEX(사건마스터!$B$5:$B$64,MATCH($F549,사건마스터!$A$5:$A$64,0)),""))</f>
        <v/>
      </c>
      <c r="I549" s="34">
        <f>IF($F549="","",IFERROR(INDEX(사건마스터!$C$5:$C$64,MATCH($F549,사건마스터!$A$5:$A$64,0)),""))</f>
        <v/>
      </c>
      <c r="J549" s="35">
        <f>IF($F549="","",IFERROR(INDEX(사건마스터!$H$5:$H$64,MATCH($F549,사건마스터!$A$5:$A$64,0)),""))</f>
        <v/>
      </c>
      <c r="K549" s="35">
        <f>IF($F549="","",IFERROR(INDEX(사건마스터!$AH$5:$AH$64,MATCH($F549,사건마스터!$A$5:$A$64,0)),""))</f>
        <v/>
      </c>
      <c r="L549" s="35">
        <f>IF($F549="","",IFERROR(INDEX(사건마스터!$AI$5:$AI$64,MATCH($F549,사건마스터!$A$5:$A$64,0)),""))</f>
        <v/>
      </c>
      <c r="M549" s="35">
        <f>IF($F549="","",IFERROR(INDEX(사건마스터!$AJ$5:$AJ$64,MATCH($F549,사건마스터!$A$5:$A$64,0)),""))</f>
        <v/>
      </c>
      <c r="N549" s="35">
        <f>IF($F549="","",IFERROR(INDEX(사건마스터!$AK$5:$AK$64,MATCH($F549,사건마스터!$A$5:$A$64,0)),""))</f>
        <v/>
      </c>
      <c r="O549" s="35">
        <f>IF($F549="","",IFERROR(INDEX(사건마스터!$AL$5:$AL$64,MATCH($F549,사건마스터!$A$5:$A$64,0)),""))</f>
        <v/>
      </c>
      <c r="P549" s="35">
        <f>IF($F549="","",IFERROR(INDEX(사건마스터!$AM$5:$AM$64,MATCH($F549,사건마스터!$A$5:$A$64,0)),""))</f>
        <v/>
      </c>
      <c r="Q549" s="35">
        <f>IF($F549="","",IFERROR(INDEX(사건마스터!$AN$5:$AN$64,MATCH($F549,사건마스터!$A$5:$A$64,0)),""))</f>
        <v/>
      </c>
      <c r="R549" s="35">
        <f>IF($F549="","",IFERROR(INDEX(사건마스터!$AO$5:$AO$64,MATCH($F549,사건마스터!$A$5:$A$64,0)),""))</f>
        <v/>
      </c>
      <c r="S549" s="35">
        <f>IF($F549="","",IFERROR(INDEX(사건마스터!$AP$5:$AP$64,MATCH($F549,사건마스터!$A$5:$A$64,0)),""))</f>
        <v/>
      </c>
      <c r="T549" s="35">
        <f>IF($F549="","",IFERROR(INDEX(사건마스터!$AQ$5:$AQ$64,MATCH($F549,사건마스터!$A$5:$A$64,0)),""))</f>
        <v/>
      </c>
      <c r="U549" s="35">
        <f>IF($F549="","",IFERROR(INDEX(사건마스터!$AR$5:$AR$64,MATCH($F549,사건마스터!$A$5:$A$64,0)),""))</f>
        <v/>
      </c>
      <c r="V549" s="35">
        <f>IF($F549="","",IFERROR(INDEX(사건마스터!$AS$5:$AS$64,MATCH($F549,사건마스터!$A$5:$A$64,0)),""))</f>
        <v/>
      </c>
      <c r="W549" s="35">
        <f>IF($F549="","",IFERROR(INDEX(사건마스터!$AT$5:$AT$64,MATCH($F549,사건마스터!$A$5:$A$64,0)),""))</f>
        <v/>
      </c>
      <c r="X549" s="35">
        <f>IF($F549="","",IFERROR(INDEX(사건마스터!$AU$5:$AU$64,MATCH($F549,사건마스터!$A$5:$A$64,0)),""))</f>
        <v/>
      </c>
      <c r="Y549" s="35">
        <f>IF($F549="","",IFERROR(INDEX(사건마스터!$AV$5:$AV$64,MATCH($F549,사건마스터!$A$5:$A$64,0)),""))</f>
        <v/>
      </c>
      <c r="Z549" s="30">
        <f>IF(COUNTBLANK($J549:$Y549)=16,"",16-COUNTBLANK($J549:$Y549))</f>
        <v/>
      </c>
      <c r="AA549" s="33">
        <f>IF($J549="",MID($AX549,3,255),$J549&amp;$AX549)</f>
        <v/>
      </c>
      <c r="AB549" s="34">
        <f>IF($J549="","",IFERROR(INDEX(코드설정!$D$5:$D$24,MATCH($J549,코드설정!$C$5:$C$24,0)),""))</f>
        <v/>
      </c>
      <c r="AC549" s="36" t="n"/>
      <c r="AD549" s="37" t="n"/>
      <c r="AE549" s="38" t="n"/>
      <c r="AF549" s="30">
        <f>IF(OR($B549="",$C549=""),"",$C549-$B549+1)</f>
        <v/>
      </c>
      <c r="AG549" s="32" t="n"/>
      <c r="AH549" s="36" t="n"/>
      <c r="AJ549">
        <f>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  <c r="AX549">
        <f>AW549&amp;IF($Y549="","",", "&amp;$Y549)</f>
        <v/>
      </c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0">
        <f>IF($F550="","",COUNTIF($F$5:$F550,$F550))</f>
        <v/>
      </c>
      <c r="H550" s="33">
        <f>IF($F550="","",IFERROR(INDEX(사건마스터!$B$5:$B$64,MATCH($F550,사건마스터!$A$5:$A$64,0)),""))</f>
        <v/>
      </c>
      <c r="I550" s="34">
        <f>IF($F550="","",IFERROR(INDEX(사건마스터!$C$5:$C$64,MATCH($F550,사건마스터!$A$5:$A$64,0)),""))</f>
        <v/>
      </c>
      <c r="J550" s="35">
        <f>IF($F550="","",IFERROR(INDEX(사건마스터!$H$5:$H$64,MATCH($F550,사건마스터!$A$5:$A$64,0)),""))</f>
        <v/>
      </c>
      <c r="K550" s="35">
        <f>IF($F550="","",IFERROR(INDEX(사건마스터!$AH$5:$AH$64,MATCH($F550,사건마스터!$A$5:$A$64,0)),""))</f>
        <v/>
      </c>
      <c r="L550" s="35">
        <f>IF($F550="","",IFERROR(INDEX(사건마스터!$AI$5:$AI$64,MATCH($F550,사건마스터!$A$5:$A$64,0)),""))</f>
        <v/>
      </c>
      <c r="M550" s="35">
        <f>IF($F550="","",IFERROR(INDEX(사건마스터!$AJ$5:$AJ$64,MATCH($F550,사건마스터!$A$5:$A$64,0)),""))</f>
        <v/>
      </c>
      <c r="N550" s="35">
        <f>IF($F550="","",IFERROR(INDEX(사건마스터!$AK$5:$AK$64,MATCH($F550,사건마스터!$A$5:$A$64,0)),""))</f>
        <v/>
      </c>
      <c r="O550" s="35">
        <f>IF($F550="","",IFERROR(INDEX(사건마스터!$AL$5:$AL$64,MATCH($F550,사건마스터!$A$5:$A$64,0)),""))</f>
        <v/>
      </c>
      <c r="P550" s="35">
        <f>IF($F550="","",IFERROR(INDEX(사건마스터!$AM$5:$AM$64,MATCH($F550,사건마스터!$A$5:$A$64,0)),""))</f>
        <v/>
      </c>
      <c r="Q550" s="35">
        <f>IF($F550="","",IFERROR(INDEX(사건마스터!$AN$5:$AN$64,MATCH($F550,사건마스터!$A$5:$A$64,0)),""))</f>
        <v/>
      </c>
      <c r="R550" s="35">
        <f>IF($F550="","",IFERROR(INDEX(사건마스터!$AO$5:$AO$64,MATCH($F550,사건마스터!$A$5:$A$64,0)),""))</f>
        <v/>
      </c>
      <c r="S550" s="35">
        <f>IF($F550="","",IFERROR(INDEX(사건마스터!$AP$5:$AP$64,MATCH($F550,사건마스터!$A$5:$A$64,0)),""))</f>
        <v/>
      </c>
      <c r="T550" s="35">
        <f>IF($F550="","",IFERROR(INDEX(사건마스터!$AQ$5:$AQ$64,MATCH($F550,사건마스터!$A$5:$A$64,0)),""))</f>
        <v/>
      </c>
      <c r="U550" s="35">
        <f>IF($F550="","",IFERROR(INDEX(사건마스터!$AR$5:$AR$64,MATCH($F550,사건마스터!$A$5:$A$64,0)),""))</f>
        <v/>
      </c>
      <c r="V550" s="35">
        <f>IF($F550="","",IFERROR(INDEX(사건마스터!$AS$5:$AS$64,MATCH($F550,사건마스터!$A$5:$A$64,0)),""))</f>
        <v/>
      </c>
      <c r="W550" s="35">
        <f>IF($F550="","",IFERROR(INDEX(사건마스터!$AT$5:$AT$64,MATCH($F550,사건마스터!$A$5:$A$64,0)),""))</f>
        <v/>
      </c>
      <c r="X550" s="35">
        <f>IF($F550="","",IFERROR(INDEX(사건마스터!$AU$5:$AU$64,MATCH($F550,사건마스터!$A$5:$A$64,0)),""))</f>
        <v/>
      </c>
      <c r="Y550" s="35">
        <f>IF($F550="","",IFERROR(INDEX(사건마스터!$AV$5:$AV$64,MATCH($F550,사건마스터!$A$5:$A$64,0)),""))</f>
        <v/>
      </c>
      <c r="Z550" s="30">
        <f>IF(COUNTBLANK($J550:$Y550)=16,"",16-COUNTBLANK($J550:$Y550))</f>
        <v/>
      </c>
      <c r="AA550" s="33">
        <f>IF($J550="",MID($AX550,3,255),$J550&amp;$AX550)</f>
        <v/>
      </c>
      <c r="AB550" s="34">
        <f>IF($J550="","",IFERROR(INDEX(코드설정!$D$5:$D$24,MATCH($J550,코드설정!$C$5:$C$24,0)),""))</f>
        <v/>
      </c>
      <c r="AC550" s="36" t="n"/>
      <c r="AD550" s="37" t="n"/>
      <c r="AE550" s="38" t="n"/>
      <c r="AF550" s="30">
        <f>IF(OR($B550="",$C550=""),"",$C550-$B550+1)</f>
        <v/>
      </c>
      <c r="AG550" s="32" t="n"/>
      <c r="AH550" s="36" t="n"/>
      <c r="AJ550">
        <f>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  <c r="AX550">
        <f>AW550&amp;IF($Y550="","",", "&amp;$Y550)</f>
        <v/>
      </c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0">
        <f>IF($F551="","",COUNTIF($F$5:$F551,$F551))</f>
        <v/>
      </c>
      <c r="H551" s="33">
        <f>IF($F551="","",IFERROR(INDEX(사건마스터!$B$5:$B$64,MATCH($F551,사건마스터!$A$5:$A$64,0)),""))</f>
        <v/>
      </c>
      <c r="I551" s="34">
        <f>IF($F551="","",IFERROR(INDEX(사건마스터!$C$5:$C$64,MATCH($F551,사건마스터!$A$5:$A$64,0)),""))</f>
        <v/>
      </c>
      <c r="J551" s="35">
        <f>IF($F551="","",IFERROR(INDEX(사건마스터!$H$5:$H$64,MATCH($F551,사건마스터!$A$5:$A$64,0)),""))</f>
        <v/>
      </c>
      <c r="K551" s="35">
        <f>IF($F551="","",IFERROR(INDEX(사건마스터!$AH$5:$AH$64,MATCH($F551,사건마스터!$A$5:$A$64,0)),""))</f>
        <v/>
      </c>
      <c r="L551" s="35">
        <f>IF($F551="","",IFERROR(INDEX(사건마스터!$AI$5:$AI$64,MATCH($F551,사건마스터!$A$5:$A$64,0)),""))</f>
        <v/>
      </c>
      <c r="M551" s="35">
        <f>IF($F551="","",IFERROR(INDEX(사건마스터!$AJ$5:$AJ$64,MATCH($F551,사건마스터!$A$5:$A$64,0)),""))</f>
        <v/>
      </c>
      <c r="N551" s="35">
        <f>IF($F551="","",IFERROR(INDEX(사건마스터!$AK$5:$AK$64,MATCH($F551,사건마스터!$A$5:$A$64,0)),""))</f>
        <v/>
      </c>
      <c r="O551" s="35">
        <f>IF($F551="","",IFERROR(INDEX(사건마스터!$AL$5:$AL$64,MATCH($F551,사건마스터!$A$5:$A$64,0)),""))</f>
        <v/>
      </c>
      <c r="P551" s="35">
        <f>IF($F551="","",IFERROR(INDEX(사건마스터!$AM$5:$AM$64,MATCH($F551,사건마스터!$A$5:$A$64,0)),""))</f>
        <v/>
      </c>
      <c r="Q551" s="35">
        <f>IF($F551="","",IFERROR(INDEX(사건마스터!$AN$5:$AN$64,MATCH($F551,사건마스터!$A$5:$A$64,0)),""))</f>
        <v/>
      </c>
      <c r="R551" s="35">
        <f>IF($F551="","",IFERROR(INDEX(사건마스터!$AO$5:$AO$64,MATCH($F551,사건마스터!$A$5:$A$64,0)),""))</f>
        <v/>
      </c>
      <c r="S551" s="35">
        <f>IF($F551="","",IFERROR(INDEX(사건마스터!$AP$5:$AP$64,MATCH($F551,사건마스터!$A$5:$A$64,0)),""))</f>
        <v/>
      </c>
      <c r="T551" s="35">
        <f>IF($F551="","",IFERROR(INDEX(사건마스터!$AQ$5:$AQ$64,MATCH($F551,사건마스터!$A$5:$A$64,0)),""))</f>
        <v/>
      </c>
      <c r="U551" s="35">
        <f>IF($F551="","",IFERROR(INDEX(사건마스터!$AR$5:$AR$64,MATCH($F551,사건마스터!$A$5:$A$64,0)),""))</f>
        <v/>
      </c>
      <c r="V551" s="35">
        <f>IF($F551="","",IFERROR(INDEX(사건마스터!$AS$5:$AS$64,MATCH($F551,사건마스터!$A$5:$A$64,0)),""))</f>
        <v/>
      </c>
      <c r="W551" s="35">
        <f>IF($F551="","",IFERROR(INDEX(사건마스터!$AT$5:$AT$64,MATCH($F551,사건마스터!$A$5:$A$64,0)),""))</f>
        <v/>
      </c>
      <c r="X551" s="35">
        <f>IF($F551="","",IFERROR(INDEX(사건마스터!$AU$5:$AU$64,MATCH($F551,사건마스터!$A$5:$A$64,0)),""))</f>
        <v/>
      </c>
      <c r="Y551" s="35">
        <f>IF($F551="","",IFERROR(INDEX(사건마스터!$AV$5:$AV$64,MATCH($F551,사건마스터!$A$5:$A$64,0)),""))</f>
        <v/>
      </c>
      <c r="Z551" s="30">
        <f>IF(COUNTBLANK($J551:$Y551)=16,"",16-COUNTBLANK($J551:$Y551))</f>
        <v/>
      </c>
      <c r="AA551" s="33">
        <f>IF($J551="",MID($AX551,3,255),$J551&amp;$AX551)</f>
        <v/>
      </c>
      <c r="AB551" s="34">
        <f>IF($J551="","",IFERROR(INDEX(코드설정!$D$5:$D$24,MATCH($J551,코드설정!$C$5:$C$24,0)),""))</f>
        <v/>
      </c>
      <c r="AC551" s="36" t="n"/>
      <c r="AD551" s="37" t="n"/>
      <c r="AE551" s="38" t="n"/>
      <c r="AF551" s="30">
        <f>IF(OR($B551="",$C551=""),"",$C551-$B551+1)</f>
        <v/>
      </c>
      <c r="AG551" s="32" t="n"/>
      <c r="AH551" s="36" t="n"/>
      <c r="AJ551">
        <f>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  <c r="AX551">
        <f>AW551&amp;IF($Y551="","",", "&amp;$Y551)</f>
        <v/>
      </c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0">
        <f>IF($F552="","",COUNTIF($F$5:$F552,$F552))</f>
        <v/>
      </c>
      <c r="H552" s="33">
        <f>IF($F552="","",IFERROR(INDEX(사건마스터!$B$5:$B$64,MATCH($F552,사건마스터!$A$5:$A$64,0)),""))</f>
        <v/>
      </c>
      <c r="I552" s="34">
        <f>IF($F552="","",IFERROR(INDEX(사건마스터!$C$5:$C$64,MATCH($F552,사건마스터!$A$5:$A$64,0)),""))</f>
        <v/>
      </c>
      <c r="J552" s="35">
        <f>IF($F552="","",IFERROR(INDEX(사건마스터!$H$5:$H$64,MATCH($F552,사건마스터!$A$5:$A$64,0)),""))</f>
        <v/>
      </c>
      <c r="K552" s="35">
        <f>IF($F552="","",IFERROR(INDEX(사건마스터!$AH$5:$AH$64,MATCH($F552,사건마스터!$A$5:$A$64,0)),""))</f>
        <v/>
      </c>
      <c r="L552" s="35">
        <f>IF($F552="","",IFERROR(INDEX(사건마스터!$AI$5:$AI$64,MATCH($F552,사건마스터!$A$5:$A$64,0)),""))</f>
        <v/>
      </c>
      <c r="M552" s="35">
        <f>IF($F552="","",IFERROR(INDEX(사건마스터!$AJ$5:$AJ$64,MATCH($F552,사건마스터!$A$5:$A$64,0)),""))</f>
        <v/>
      </c>
      <c r="N552" s="35">
        <f>IF($F552="","",IFERROR(INDEX(사건마스터!$AK$5:$AK$64,MATCH($F552,사건마스터!$A$5:$A$64,0)),""))</f>
        <v/>
      </c>
      <c r="O552" s="35">
        <f>IF($F552="","",IFERROR(INDEX(사건마스터!$AL$5:$AL$64,MATCH($F552,사건마스터!$A$5:$A$64,0)),""))</f>
        <v/>
      </c>
      <c r="P552" s="35">
        <f>IF($F552="","",IFERROR(INDEX(사건마스터!$AM$5:$AM$64,MATCH($F552,사건마스터!$A$5:$A$64,0)),""))</f>
        <v/>
      </c>
      <c r="Q552" s="35">
        <f>IF($F552="","",IFERROR(INDEX(사건마스터!$AN$5:$AN$64,MATCH($F552,사건마스터!$A$5:$A$64,0)),""))</f>
        <v/>
      </c>
      <c r="R552" s="35">
        <f>IF($F552="","",IFERROR(INDEX(사건마스터!$AO$5:$AO$64,MATCH($F552,사건마스터!$A$5:$A$64,0)),""))</f>
        <v/>
      </c>
      <c r="S552" s="35">
        <f>IF($F552="","",IFERROR(INDEX(사건마스터!$AP$5:$AP$64,MATCH($F552,사건마스터!$A$5:$A$64,0)),""))</f>
        <v/>
      </c>
      <c r="T552" s="35">
        <f>IF($F552="","",IFERROR(INDEX(사건마스터!$AQ$5:$AQ$64,MATCH($F552,사건마스터!$A$5:$A$64,0)),""))</f>
        <v/>
      </c>
      <c r="U552" s="35">
        <f>IF($F552="","",IFERROR(INDEX(사건마스터!$AR$5:$AR$64,MATCH($F552,사건마스터!$A$5:$A$64,0)),""))</f>
        <v/>
      </c>
      <c r="V552" s="35">
        <f>IF($F552="","",IFERROR(INDEX(사건마스터!$AS$5:$AS$64,MATCH($F552,사건마스터!$A$5:$A$64,0)),""))</f>
        <v/>
      </c>
      <c r="W552" s="35">
        <f>IF($F552="","",IFERROR(INDEX(사건마스터!$AT$5:$AT$64,MATCH($F552,사건마스터!$A$5:$A$64,0)),""))</f>
        <v/>
      </c>
      <c r="X552" s="35">
        <f>IF($F552="","",IFERROR(INDEX(사건마스터!$AU$5:$AU$64,MATCH($F552,사건마스터!$A$5:$A$64,0)),""))</f>
        <v/>
      </c>
      <c r="Y552" s="35">
        <f>IF($F552="","",IFERROR(INDEX(사건마스터!$AV$5:$AV$64,MATCH($F552,사건마스터!$A$5:$A$64,0)),""))</f>
        <v/>
      </c>
      <c r="Z552" s="30">
        <f>IF(COUNTBLANK($J552:$Y552)=16,"",16-COUNTBLANK($J552:$Y552))</f>
        <v/>
      </c>
      <c r="AA552" s="33">
        <f>IF($J552="",MID($AX552,3,255),$J552&amp;$AX552)</f>
        <v/>
      </c>
      <c r="AB552" s="34">
        <f>IF($J552="","",IFERROR(INDEX(코드설정!$D$5:$D$24,MATCH($J552,코드설정!$C$5:$C$24,0)),""))</f>
        <v/>
      </c>
      <c r="AC552" s="36" t="n"/>
      <c r="AD552" s="37" t="n"/>
      <c r="AE552" s="38" t="n"/>
      <c r="AF552" s="30">
        <f>IF(OR($B552="",$C552=""),"",$C552-$B552+1)</f>
        <v/>
      </c>
      <c r="AG552" s="32" t="n"/>
      <c r="AH552" s="36" t="n"/>
      <c r="AJ552">
        <f>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  <c r="AX552">
        <f>AW552&amp;IF($Y552="","",", "&amp;$Y552)</f>
        <v/>
      </c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0">
        <f>IF($F553="","",COUNTIF($F$5:$F553,$F553))</f>
        <v/>
      </c>
      <c r="H553" s="33">
        <f>IF($F553="","",IFERROR(INDEX(사건마스터!$B$5:$B$64,MATCH($F553,사건마스터!$A$5:$A$64,0)),""))</f>
        <v/>
      </c>
      <c r="I553" s="34">
        <f>IF($F553="","",IFERROR(INDEX(사건마스터!$C$5:$C$64,MATCH($F553,사건마스터!$A$5:$A$64,0)),""))</f>
        <v/>
      </c>
      <c r="J553" s="35">
        <f>IF($F553="","",IFERROR(INDEX(사건마스터!$H$5:$H$64,MATCH($F553,사건마스터!$A$5:$A$64,0)),""))</f>
        <v/>
      </c>
      <c r="K553" s="35">
        <f>IF($F553="","",IFERROR(INDEX(사건마스터!$AH$5:$AH$64,MATCH($F553,사건마스터!$A$5:$A$64,0)),""))</f>
        <v/>
      </c>
      <c r="L553" s="35">
        <f>IF($F553="","",IFERROR(INDEX(사건마스터!$AI$5:$AI$64,MATCH($F553,사건마스터!$A$5:$A$64,0)),""))</f>
        <v/>
      </c>
      <c r="M553" s="35">
        <f>IF($F553="","",IFERROR(INDEX(사건마스터!$AJ$5:$AJ$64,MATCH($F553,사건마스터!$A$5:$A$64,0)),""))</f>
        <v/>
      </c>
      <c r="N553" s="35">
        <f>IF($F553="","",IFERROR(INDEX(사건마스터!$AK$5:$AK$64,MATCH($F553,사건마스터!$A$5:$A$64,0)),""))</f>
        <v/>
      </c>
      <c r="O553" s="35">
        <f>IF($F553="","",IFERROR(INDEX(사건마스터!$AL$5:$AL$64,MATCH($F553,사건마스터!$A$5:$A$64,0)),""))</f>
        <v/>
      </c>
      <c r="P553" s="35">
        <f>IF($F553="","",IFERROR(INDEX(사건마스터!$AM$5:$AM$64,MATCH($F553,사건마스터!$A$5:$A$64,0)),""))</f>
        <v/>
      </c>
      <c r="Q553" s="35">
        <f>IF($F553="","",IFERROR(INDEX(사건마스터!$AN$5:$AN$64,MATCH($F553,사건마스터!$A$5:$A$64,0)),""))</f>
        <v/>
      </c>
      <c r="R553" s="35">
        <f>IF($F553="","",IFERROR(INDEX(사건마스터!$AO$5:$AO$64,MATCH($F553,사건마스터!$A$5:$A$64,0)),""))</f>
        <v/>
      </c>
      <c r="S553" s="35">
        <f>IF($F553="","",IFERROR(INDEX(사건마스터!$AP$5:$AP$64,MATCH($F553,사건마스터!$A$5:$A$64,0)),""))</f>
        <v/>
      </c>
      <c r="T553" s="35">
        <f>IF($F553="","",IFERROR(INDEX(사건마스터!$AQ$5:$AQ$64,MATCH($F553,사건마스터!$A$5:$A$64,0)),""))</f>
        <v/>
      </c>
      <c r="U553" s="35">
        <f>IF($F553="","",IFERROR(INDEX(사건마스터!$AR$5:$AR$64,MATCH($F553,사건마스터!$A$5:$A$64,0)),""))</f>
        <v/>
      </c>
      <c r="V553" s="35">
        <f>IF($F553="","",IFERROR(INDEX(사건마스터!$AS$5:$AS$64,MATCH($F553,사건마스터!$A$5:$A$64,0)),""))</f>
        <v/>
      </c>
      <c r="W553" s="35">
        <f>IF($F553="","",IFERROR(INDEX(사건마스터!$AT$5:$AT$64,MATCH($F553,사건마스터!$A$5:$A$64,0)),""))</f>
        <v/>
      </c>
      <c r="X553" s="35">
        <f>IF($F553="","",IFERROR(INDEX(사건마스터!$AU$5:$AU$64,MATCH($F553,사건마스터!$A$5:$A$64,0)),""))</f>
        <v/>
      </c>
      <c r="Y553" s="35">
        <f>IF($F553="","",IFERROR(INDEX(사건마스터!$AV$5:$AV$64,MATCH($F553,사건마스터!$A$5:$A$64,0)),""))</f>
        <v/>
      </c>
      <c r="Z553" s="30">
        <f>IF(COUNTBLANK($J553:$Y553)=16,"",16-COUNTBLANK($J553:$Y553))</f>
        <v/>
      </c>
      <c r="AA553" s="33">
        <f>IF($J553="",MID($AX553,3,255),$J553&amp;$AX553)</f>
        <v/>
      </c>
      <c r="AB553" s="34">
        <f>IF($J553="","",IFERROR(INDEX(코드설정!$D$5:$D$24,MATCH($J553,코드설정!$C$5:$C$24,0)),""))</f>
        <v/>
      </c>
      <c r="AC553" s="36" t="n"/>
      <c r="AD553" s="37" t="n"/>
      <c r="AE553" s="38" t="n"/>
      <c r="AF553" s="30">
        <f>IF(OR($B553="",$C553=""),"",$C553-$B553+1)</f>
        <v/>
      </c>
      <c r="AG553" s="32" t="n"/>
      <c r="AH553" s="36" t="n"/>
      <c r="AJ553">
        <f>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  <c r="AX553">
        <f>AW553&amp;IF($Y553="","",", "&amp;$Y553)</f>
        <v/>
      </c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0">
        <f>IF($F554="","",COUNTIF($F$5:$F554,$F554))</f>
        <v/>
      </c>
      <c r="H554" s="33">
        <f>IF($F554="","",IFERROR(INDEX(사건마스터!$B$5:$B$64,MATCH($F554,사건마스터!$A$5:$A$64,0)),""))</f>
        <v/>
      </c>
      <c r="I554" s="34">
        <f>IF($F554="","",IFERROR(INDEX(사건마스터!$C$5:$C$64,MATCH($F554,사건마스터!$A$5:$A$64,0)),""))</f>
        <v/>
      </c>
      <c r="J554" s="35">
        <f>IF($F554="","",IFERROR(INDEX(사건마스터!$H$5:$H$64,MATCH($F554,사건마스터!$A$5:$A$64,0)),""))</f>
        <v/>
      </c>
      <c r="K554" s="35">
        <f>IF($F554="","",IFERROR(INDEX(사건마스터!$AH$5:$AH$64,MATCH($F554,사건마스터!$A$5:$A$64,0)),""))</f>
        <v/>
      </c>
      <c r="L554" s="35">
        <f>IF($F554="","",IFERROR(INDEX(사건마스터!$AI$5:$AI$64,MATCH($F554,사건마스터!$A$5:$A$64,0)),""))</f>
        <v/>
      </c>
      <c r="M554" s="35">
        <f>IF($F554="","",IFERROR(INDEX(사건마스터!$AJ$5:$AJ$64,MATCH($F554,사건마스터!$A$5:$A$64,0)),""))</f>
        <v/>
      </c>
      <c r="N554" s="35">
        <f>IF($F554="","",IFERROR(INDEX(사건마스터!$AK$5:$AK$64,MATCH($F554,사건마스터!$A$5:$A$64,0)),""))</f>
        <v/>
      </c>
      <c r="O554" s="35">
        <f>IF($F554="","",IFERROR(INDEX(사건마스터!$AL$5:$AL$64,MATCH($F554,사건마스터!$A$5:$A$64,0)),""))</f>
        <v/>
      </c>
      <c r="P554" s="35">
        <f>IF($F554="","",IFERROR(INDEX(사건마스터!$AM$5:$AM$64,MATCH($F554,사건마스터!$A$5:$A$64,0)),""))</f>
        <v/>
      </c>
      <c r="Q554" s="35">
        <f>IF($F554="","",IFERROR(INDEX(사건마스터!$AN$5:$AN$64,MATCH($F554,사건마스터!$A$5:$A$64,0)),""))</f>
        <v/>
      </c>
      <c r="R554" s="35">
        <f>IF($F554="","",IFERROR(INDEX(사건마스터!$AO$5:$AO$64,MATCH($F554,사건마스터!$A$5:$A$64,0)),""))</f>
        <v/>
      </c>
      <c r="S554" s="35">
        <f>IF($F554="","",IFERROR(INDEX(사건마스터!$AP$5:$AP$64,MATCH($F554,사건마스터!$A$5:$A$64,0)),""))</f>
        <v/>
      </c>
      <c r="T554" s="35">
        <f>IF($F554="","",IFERROR(INDEX(사건마스터!$AQ$5:$AQ$64,MATCH($F554,사건마스터!$A$5:$A$64,0)),""))</f>
        <v/>
      </c>
      <c r="U554" s="35">
        <f>IF($F554="","",IFERROR(INDEX(사건마스터!$AR$5:$AR$64,MATCH($F554,사건마스터!$A$5:$A$64,0)),""))</f>
        <v/>
      </c>
      <c r="V554" s="35">
        <f>IF($F554="","",IFERROR(INDEX(사건마스터!$AS$5:$AS$64,MATCH($F554,사건마스터!$A$5:$A$64,0)),""))</f>
        <v/>
      </c>
      <c r="W554" s="35">
        <f>IF($F554="","",IFERROR(INDEX(사건마스터!$AT$5:$AT$64,MATCH($F554,사건마스터!$A$5:$A$64,0)),""))</f>
        <v/>
      </c>
      <c r="X554" s="35">
        <f>IF($F554="","",IFERROR(INDEX(사건마스터!$AU$5:$AU$64,MATCH($F554,사건마스터!$A$5:$A$64,0)),""))</f>
        <v/>
      </c>
      <c r="Y554" s="35">
        <f>IF($F554="","",IFERROR(INDEX(사건마스터!$AV$5:$AV$64,MATCH($F554,사건마스터!$A$5:$A$64,0)),""))</f>
        <v/>
      </c>
      <c r="Z554" s="30">
        <f>IF(COUNTBLANK($J554:$Y554)=16,"",16-COUNTBLANK($J554:$Y554))</f>
        <v/>
      </c>
      <c r="AA554" s="33">
        <f>IF($J554="",MID($AX554,3,255),$J554&amp;$AX554)</f>
        <v/>
      </c>
      <c r="AB554" s="34">
        <f>IF($J554="","",IFERROR(INDEX(코드설정!$D$5:$D$24,MATCH($J554,코드설정!$C$5:$C$24,0)),""))</f>
        <v/>
      </c>
      <c r="AC554" s="36" t="n"/>
      <c r="AD554" s="37" t="n"/>
      <c r="AE554" s="38" t="n"/>
      <c r="AF554" s="30">
        <f>IF(OR($B554="",$C554=""),"",$C554-$B554+1)</f>
        <v/>
      </c>
      <c r="AG554" s="32" t="n"/>
      <c r="AH554" s="36" t="n"/>
      <c r="AJ554">
        <f>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  <c r="AX554">
        <f>AW554&amp;IF($Y554="","",", "&amp;$Y554)</f>
        <v/>
      </c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0">
        <f>IF($F555="","",COUNTIF($F$5:$F555,$F555))</f>
        <v/>
      </c>
      <c r="H555" s="33">
        <f>IF($F555="","",IFERROR(INDEX(사건마스터!$B$5:$B$64,MATCH($F555,사건마스터!$A$5:$A$64,0)),""))</f>
        <v/>
      </c>
      <c r="I555" s="34">
        <f>IF($F555="","",IFERROR(INDEX(사건마스터!$C$5:$C$64,MATCH($F555,사건마스터!$A$5:$A$64,0)),""))</f>
        <v/>
      </c>
      <c r="J555" s="35">
        <f>IF($F555="","",IFERROR(INDEX(사건마스터!$H$5:$H$64,MATCH($F555,사건마스터!$A$5:$A$64,0)),""))</f>
        <v/>
      </c>
      <c r="K555" s="35">
        <f>IF($F555="","",IFERROR(INDEX(사건마스터!$AH$5:$AH$64,MATCH($F555,사건마스터!$A$5:$A$64,0)),""))</f>
        <v/>
      </c>
      <c r="L555" s="35">
        <f>IF($F555="","",IFERROR(INDEX(사건마스터!$AI$5:$AI$64,MATCH($F555,사건마스터!$A$5:$A$64,0)),""))</f>
        <v/>
      </c>
      <c r="M555" s="35">
        <f>IF($F555="","",IFERROR(INDEX(사건마스터!$AJ$5:$AJ$64,MATCH($F555,사건마스터!$A$5:$A$64,0)),""))</f>
        <v/>
      </c>
      <c r="N555" s="35">
        <f>IF($F555="","",IFERROR(INDEX(사건마스터!$AK$5:$AK$64,MATCH($F555,사건마스터!$A$5:$A$64,0)),""))</f>
        <v/>
      </c>
      <c r="O555" s="35">
        <f>IF($F555="","",IFERROR(INDEX(사건마스터!$AL$5:$AL$64,MATCH($F555,사건마스터!$A$5:$A$64,0)),""))</f>
        <v/>
      </c>
      <c r="P555" s="35">
        <f>IF($F555="","",IFERROR(INDEX(사건마스터!$AM$5:$AM$64,MATCH($F555,사건마스터!$A$5:$A$64,0)),""))</f>
        <v/>
      </c>
      <c r="Q555" s="35">
        <f>IF($F555="","",IFERROR(INDEX(사건마스터!$AN$5:$AN$64,MATCH($F555,사건마스터!$A$5:$A$64,0)),""))</f>
        <v/>
      </c>
      <c r="R555" s="35">
        <f>IF($F555="","",IFERROR(INDEX(사건마스터!$AO$5:$AO$64,MATCH($F555,사건마스터!$A$5:$A$64,0)),""))</f>
        <v/>
      </c>
      <c r="S555" s="35">
        <f>IF($F555="","",IFERROR(INDEX(사건마스터!$AP$5:$AP$64,MATCH($F555,사건마스터!$A$5:$A$64,0)),""))</f>
        <v/>
      </c>
      <c r="T555" s="35">
        <f>IF($F555="","",IFERROR(INDEX(사건마스터!$AQ$5:$AQ$64,MATCH($F555,사건마스터!$A$5:$A$64,0)),""))</f>
        <v/>
      </c>
      <c r="U555" s="35">
        <f>IF($F555="","",IFERROR(INDEX(사건마스터!$AR$5:$AR$64,MATCH($F555,사건마스터!$A$5:$A$64,0)),""))</f>
        <v/>
      </c>
      <c r="V555" s="35">
        <f>IF($F555="","",IFERROR(INDEX(사건마스터!$AS$5:$AS$64,MATCH($F555,사건마스터!$A$5:$A$64,0)),""))</f>
        <v/>
      </c>
      <c r="W555" s="35">
        <f>IF($F555="","",IFERROR(INDEX(사건마스터!$AT$5:$AT$64,MATCH($F555,사건마스터!$A$5:$A$64,0)),""))</f>
        <v/>
      </c>
      <c r="X555" s="35">
        <f>IF($F555="","",IFERROR(INDEX(사건마스터!$AU$5:$AU$64,MATCH($F555,사건마스터!$A$5:$A$64,0)),""))</f>
        <v/>
      </c>
      <c r="Y555" s="35">
        <f>IF($F555="","",IFERROR(INDEX(사건마스터!$AV$5:$AV$64,MATCH($F555,사건마스터!$A$5:$A$64,0)),""))</f>
        <v/>
      </c>
      <c r="Z555" s="30">
        <f>IF(COUNTBLANK($J555:$Y555)=16,"",16-COUNTBLANK($J555:$Y555))</f>
        <v/>
      </c>
      <c r="AA555" s="33">
        <f>IF($J555="",MID($AX555,3,255),$J555&amp;$AX555)</f>
        <v/>
      </c>
      <c r="AB555" s="34">
        <f>IF($J555="","",IFERROR(INDEX(코드설정!$D$5:$D$24,MATCH($J555,코드설정!$C$5:$C$24,0)),""))</f>
        <v/>
      </c>
      <c r="AC555" s="36" t="n"/>
      <c r="AD555" s="37" t="n"/>
      <c r="AE555" s="38" t="n"/>
      <c r="AF555" s="30">
        <f>IF(OR($B555="",$C555=""),"",$C555-$B555+1)</f>
        <v/>
      </c>
      <c r="AG555" s="32" t="n"/>
      <c r="AH555" s="36" t="n"/>
      <c r="AJ555">
        <f>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  <c r="AX555">
        <f>AW555&amp;IF($Y555="","",", "&amp;$Y555)</f>
        <v/>
      </c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0">
        <f>IF($F556="","",COUNTIF($F$5:$F556,$F556))</f>
        <v/>
      </c>
      <c r="H556" s="33">
        <f>IF($F556="","",IFERROR(INDEX(사건마스터!$B$5:$B$64,MATCH($F556,사건마스터!$A$5:$A$64,0)),""))</f>
        <v/>
      </c>
      <c r="I556" s="34">
        <f>IF($F556="","",IFERROR(INDEX(사건마스터!$C$5:$C$64,MATCH($F556,사건마스터!$A$5:$A$64,0)),""))</f>
        <v/>
      </c>
      <c r="J556" s="35">
        <f>IF($F556="","",IFERROR(INDEX(사건마스터!$H$5:$H$64,MATCH($F556,사건마스터!$A$5:$A$64,0)),""))</f>
        <v/>
      </c>
      <c r="K556" s="35">
        <f>IF($F556="","",IFERROR(INDEX(사건마스터!$AH$5:$AH$64,MATCH($F556,사건마스터!$A$5:$A$64,0)),""))</f>
        <v/>
      </c>
      <c r="L556" s="35">
        <f>IF($F556="","",IFERROR(INDEX(사건마스터!$AI$5:$AI$64,MATCH($F556,사건마스터!$A$5:$A$64,0)),""))</f>
        <v/>
      </c>
      <c r="M556" s="35">
        <f>IF($F556="","",IFERROR(INDEX(사건마스터!$AJ$5:$AJ$64,MATCH($F556,사건마스터!$A$5:$A$64,0)),""))</f>
        <v/>
      </c>
      <c r="N556" s="35">
        <f>IF($F556="","",IFERROR(INDEX(사건마스터!$AK$5:$AK$64,MATCH($F556,사건마스터!$A$5:$A$64,0)),""))</f>
        <v/>
      </c>
      <c r="O556" s="35">
        <f>IF($F556="","",IFERROR(INDEX(사건마스터!$AL$5:$AL$64,MATCH($F556,사건마스터!$A$5:$A$64,0)),""))</f>
        <v/>
      </c>
      <c r="P556" s="35">
        <f>IF($F556="","",IFERROR(INDEX(사건마스터!$AM$5:$AM$64,MATCH($F556,사건마스터!$A$5:$A$64,0)),""))</f>
        <v/>
      </c>
      <c r="Q556" s="35">
        <f>IF($F556="","",IFERROR(INDEX(사건마스터!$AN$5:$AN$64,MATCH($F556,사건마스터!$A$5:$A$64,0)),""))</f>
        <v/>
      </c>
      <c r="R556" s="35">
        <f>IF($F556="","",IFERROR(INDEX(사건마스터!$AO$5:$AO$64,MATCH($F556,사건마스터!$A$5:$A$64,0)),""))</f>
        <v/>
      </c>
      <c r="S556" s="35">
        <f>IF($F556="","",IFERROR(INDEX(사건마스터!$AP$5:$AP$64,MATCH($F556,사건마스터!$A$5:$A$64,0)),""))</f>
        <v/>
      </c>
      <c r="T556" s="35">
        <f>IF($F556="","",IFERROR(INDEX(사건마스터!$AQ$5:$AQ$64,MATCH($F556,사건마스터!$A$5:$A$64,0)),""))</f>
        <v/>
      </c>
      <c r="U556" s="35">
        <f>IF($F556="","",IFERROR(INDEX(사건마스터!$AR$5:$AR$64,MATCH($F556,사건마스터!$A$5:$A$64,0)),""))</f>
        <v/>
      </c>
      <c r="V556" s="35">
        <f>IF($F556="","",IFERROR(INDEX(사건마스터!$AS$5:$AS$64,MATCH($F556,사건마스터!$A$5:$A$64,0)),""))</f>
        <v/>
      </c>
      <c r="W556" s="35">
        <f>IF($F556="","",IFERROR(INDEX(사건마스터!$AT$5:$AT$64,MATCH($F556,사건마스터!$A$5:$A$64,0)),""))</f>
        <v/>
      </c>
      <c r="X556" s="35">
        <f>IF($F556="","",IFERROR(INDEX(사건마스터!$AU$5:$AU$64,MATCH($F556,사건마스터!$A$5:$A$64,0)),""))</f>
        <v/>
      </c>
      <c r="Y556" s="35">
        <f>IF($F556="","",IFERROR(INDEX(사건마스터!$AV$5:$AV$64,MATCH($F556,사건마스터!$A$5:$A$64,0)),""))</f>
        <v/>
      </c>
      <c r="Z556" s="30">
        <f>IF(COUNTBLANK($J556:$Y556)=16,"",16-COUNTBLANK($J556:$Y556))</f>
        <v/>
      </c>
      <c r="AA556" s="33">
        <f>IF($J556="",MID($AX556,3,255),$J556&amp;$AX556)</f>
        <v/>
      </c>
      <c r="AB556" s="34">
        <f>IF($J556="","",IFERROR(INDEX(코드설정!$D$5:$D$24,MATCH($J556,코드설정!$C$5:$C$24,0)),""))</f>
        <v/>
      </c>
      <c r="AC556" s="36" t="n"/>
      <c r="AD556" s="37" t="n"/>
      <c r="AE556" s="38" t="n"/>
      <c r="AF556" s="30">
        <f>IF(OR($B556="",$C556=""),"",$C556-$B556+1)</f>
        <v/>
      </c>
      <c r="AG556" s="32" t="n"/>
      <c r="AH556" s="36" t="n"/>
      <c r="AJ556">
        <f>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  <c r="AX556">
        <f>AW556&amp;IF($Y556="","",", "&amp;$Y556)</f>
        <v/>
      </c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0">
        <f>IF($F557="","",COUNTIF($F$5:$F557,$F557))</f>
        <v/>
      </c>
      <c r="H557" s="33">
        <f>IF($F557="","",IFERROR(INDEX(사건마스터!$B$5:$B$64,MATCH($F557,사건마스터!$A$5:$A$64,0)),""))</f>
        <v/>
      </c>
      <c r="I557" s="34">
        <f>IF($F557="","",IFERROR(INDEX(사건마스터!$C$5:$C$64,MATCH($F557,사건마스터!$A$5:$A$64,0)),""))</f>
        <v/>
      </c>
      <c r="J557" s="35">
        <f>IF($F557="","",IFERROR(INDEX(사건마스터!$H$5:$H$64,MATCH($F557,사건마스터!$A$5:$A$64,0)),""))</f>
        <v/>
      </c>
      <c r="K557" s="35">
        <f>IF($F557="","",IFERROR(INDEX(사건마스터!$AH$5:$AH$64,MATCH($F557,사건마스터!$A$5:$A$64,0)),""))</f>
        <v/>
      </c>
      <c r="L557" s="35">
        <f>IF($F557="","",IFERROR(INDEX(사건마스터!$AI$5:$AI$64,MATCH($F557,사건마스터!$A$5:$A$64,0)),""))</f>
        <v/>
      </c>
      <c r="M557" s="35">
        <f>IF($F557="","",IFERROR(INDEX(사건마스터!$AJ$5:$AJ$64,MATCH($F557,사건마스터!$A$5:$A$64,0)),""))</f>
        <v/>
      </c>
      <c r="N557" s="35">
        <f>IF($F557="","",IFERROR(INDEX(사건마스터!$AK$5:$AK$64,MATCH($F557,사건마스터!$A$5:$A$64,0)),""))</f>
        <v/>
      </c>
      <c r="O557" s="35">
        <f>IF($F557="","",IFERROR(INDEX(사건마스터!$AL$5:$AL$64,MATCH($F557,사건마스터!$A$5:$A$64,0)),""))</f>
        <v/>
      </c>
      <c r="P557" s="35">
        <f>IF($F557="","",IFERROR(INDEX(사건마스터!$AM$5:$AM$64,MATCH($F557,사건마스터!$A$5:$A$64,0)),""))</f>
        <v/>
      </c>
      <c r="Q557" s="35">
        <f>IF($F557="","",IFERROR(INDEX(사건마스터!$AN$5:$AN$64,MATCH($F557,사건마스터!$A$5:$A$64,0)),""))</f>
        <v/>
      </c>
      <c r="R557" s="35">
        <f>IF($F557="","",IFERROR(INDEX(사건마스터!$AO$5:$AO$64,MATCH($F557,사건마스터!$A$5:$A$64,0)),""))</f>
        <v/>
      </c>
      <c r="S557" s="35">
        <f>IF($F557="","",IFERROR(INDEX(사건마스터!$AP$5:$AP$64,MATCH($F557,사건마스터!$A$5:$A$64,0)),""))</f>
        <v/>
      </c>
      <c r="T557" s="35">
        <f>IF($F557="","",IFERROR(INDEX(사건마스터!$AQ$5:$AQ$64,MATCH($F557,사건마스터!$A$5:$A$64,0)),""))</f>
        <v/>
      </c>
      <c r="U557" s="35">
        <f>IF($F557="","",IFERROR(INDEX(사건마스터!$AR$5:$AR$64,MATCH($F557,사건마스터!$A$5:$A$64,0)),""))</f>
        <v/>
      </c>
      <c r="V557" s="35">
        <f>IF($F557="","",IFERROR(INDEX(사건마스터!$AS$5:$AS$64,MATCH($F557,사건마스터!$A$5:$A$64,0)),""))</f>
        <v/>
      </c>
      <c r="W557" s="35">
        <f>IF($F557="","",IFERROR(INDEX(사건마스터!$AT$5:$AT$64,MATCH($F557,사건마스터!$A$5:$A$64,0)),""))</f>
        <v/>
      </c>
      <c r="X557" s="35">
        <f>IF($F557="","",IFERROR(INDEX(사건마스터!$AU$5:$AU$64,MATCH($F557,사건마스터!$A$5:$A$64,0)),""))</f>
        <v/>
      </c>
      <c r="Y557" s="35">
        <f>IF($F557="","",IFERROR(INDEX(사건마스터!$AV$5:$AV$64,MATCH($F557,사건마스터!$A$5:$A$64,0)),""))</f>
        <v/>
      </c>
      <c r="Z557" s="30">
        <f>IF(COUNTBLANK($J557:$Y557)=16,"",16-COUNTBLANK($J557:$Y557))</f>
        <v/>
      </c>
      <c r="AA557" s="33">
        <f>IF($J557="",MID($AX557,3,255),$J557&amp;$AX557)</f>
        <v/>
      </c>
      <c r="AB557" s="34">
        <f>IF($J557="","",IFERROR(INDEX(코드설정!$D$5:$D$24,MATCH($J557,코드설정!$C$5:$C$24,0)),""))</f>
        <v/>
      </c>
      <c r="AC557" s="36" t="n"/>
      <c r="AD557" s="37" t="n"/>
      <c r="AE557" s="38" t="n"/>
      <c r="AF557" s="30">
        <f>IF(OR($B557="",$C557=""),"",$C557-$B557+1)</f>
        <v/>
      </c>
      <c r="AG557" s="32" t="n"/>
      <c r="AH557" s="36" t="n"/>
      <c r="AJ557">
        <f>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  <c r="AX557">
        <f>AW557&amp;IF($Y557="","",", "&amp;$Y557)</f>
        <v/>
      </c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0">
        <f>IF($F558="","",COUNTIF($F$5:$F558,$F558))</f>
        <v/>
      </c>
      <c r="H558" s="33">
        <f>IF($F558="","",IFERROR(INDEX(사건마스터!$B$5:$B$64,MATCH($F558,사건마스터!$A$5:$A$64,0)),""))</f>
        <v/>
      </c>
      <c r="I558" s="34">
        <f>IF($F558="","",IFERROR(INDEX(사건마스터!$C$5:$C$64,MATCH($F558,사건마스터!$A$5:$A$64,0)),""))</f>
        <v/>
      </c>
      <c r="J558" s="35">
        <f>IF($F558="","",IFERROR(INDEX(사건마스터!$H$5:$H$64,MATCH($F558,사건마스터!$A$5:$A$64,0)),""))</f>
        <v/>
      </c>
      <c r="K558" s="35">
        <f>IF($F558="","",IFERROR(INDEX(사건마스터!$AH$5:$AH$64,MATCH($F558,사건마스터!$A$5:$A$64,0)),""))</f>
        <v/>
      </c>
      <c r="L558" s="35">
        <f>IF($F558="","",IFERROR(INDEX(사건마스터!$AI$5:$AI$64,MATCH($F558,사건마스터!$A$5:$A$64,0)),""))</f>
        <v/>
      </c>
      <c r="M558" s="35">
        <f>IF($F558="","",IFERROR(INDEX(사건마스터!$AJ$5:$AJ$64,MATCH($F558,사건마스터!$A$5:$A$64,0)),""))</f>
        <v/>
      </c>
      <c r="N558" s="35">
        <f>IF($F558="","",IFERROR(INDEX(사건마스터!$AK$5:$AK$64,MATCH($F558,사건마스터!$A$5:$A$64,0)),""))</f>
        <v/>
      </c>
      <c r="O558" s="35">
        <f>IF($F558="","",IFERROR(INDEX(사건마스터!$AL$5:$AL$64,MATCH($F558,사건마스터!$A$5:$A$64,0)),""))</f>
        <v/>
      </c>
      <c r="P558" s="35">
        <f>IF($F558="","",IFERROR(INDEX(사건마스터!$AM$5:$AM$64,MATCH($F558,사건마스터!$A$5:$A$64,0)),""))</f>
        <v/>
      </c>
      <c r="Q558" s="35">
        <f>IF($F558="","",IFERROR(INDEX(사건마스터!$AN$5:$AN$64,MATCH($F558,사건마스터!$A$5:$A$64,0)),""))</f>
        <v/>
      </c>
      <c r="R558" s="35">
        <f>IF($F558="","",IFERROR(INDEX(사건마스터!$AO$5:$AO$64,MATCH($F558,사건마스터!$A$5:$A$64,0)),""))</f>
        <v/>
      </c>
      <c r="S558" s="35">
        <f>IF($F558="","",IFERROR(INDEX(사건마스터!$AP$5:$AP$64,MATCH($F558,사건마스터!$A$5:$A$64,0)),""))</f>
        <v/>
      </c>
      <c r="T558" s="35">
        <f>IF($F558="","",IFERROR(INDEX(사건마스터!$AQ$5:$AQ$64,MATCH($F558,사건마스터!$A$5:$A$64,0)),""))</f>
        <v/>
      </c>
      <c r="U558" s="35">
        <f>IF($F558="","",IFERROR(INDEX(사건마스터!$AR$5:$AR$64,MATCH($F558,사건마스터!$A$5:$A$64,0)),""))</f>
        <v/>
      </c>
      <c r="V558" s="35">
        <f>IF($F558="","",IFERROR(INDEX(사건마스터!$AS$5:$AS$64,MATCH($F558,사건마스터!$A$5:$A$64,0)),""))</f>
        <v/>
      </c>
      <c r="W558" s="35">
        <f>IF($F558="","",IFERROR(INDEX(사건마스터!$AT$5:$AT$64,MATCH($F558,사건마스터!$A$5:$A$64,0)),""))</f>
        <v/>
      </c>
      <c r="X558" s="35">
        <f>IF($F558="","",IFERROR(INDEX(사건마스터!$AU$5:$AU$64,MATCH($F558,사건마스터!$A$5:$A$64,0)),""))</f>
        <v/>
      </c>
      <c r="Y558" s="35">
        <f>IF($F558="","",IFERROR(INDEX(사건마스터!$AV$5:$AV$64,MATCH($F558,사건마스터!$A$5:$A$64,0)),""))</f>
        <v/>
      </c>
      <c r="Z558" s="30">
        <f>IF(COUNTBLANK($J558:$Y558)=16,"",16-COUNTBLANK($J558:$Y558))</f>
        <v/>
      </c>
      <c r="AA558" s="33">
        <f>IF($J558="",MID($AX558,3,255),$J558&amp;$AX558)</f>
        <v/>
      </c>
      <c r="AB558" s="34">
        <f>IF($J558="","",IFERROR(INDEX(코드설정!$D$5:$D$24,MATCH($J558,코드설정!$C$5:$C$24,0)),""))</f>
        <v/>
      </c>
      <c r="AC558" s="36" t="n"/>
      <c r="AD558" s="37" t="n"/>
      <c r="AE558" s="38" t="n"/>
      <c r="AF558" s="30">
        <f>IF(OR($B558="",$C558=""),"",$C558-$B558+1)</f>
        <v/>
      </c>
      <c r="AG558" s="32" t="n"/>
      <c r="AH558" s="36" t="n"/>
      <c r="AJ558">
        <f>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  <c r="AX558">
        <f>AW558&amp;IF($Y558="","",", "&amp;$Y558)</f>
        <v/>
      </c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0">
        <f>IF($F559="","",COUNTIF($F$5:$F559,$F559))</f>
        <v/>
      </c>
      <c r="H559" s="33">
        <f>IF($F559="","",IFERROR(INDEX(사건마스터!$B$5:$B$64,MATCH($F559,사건마스터!$A$5:$A$64,0)),""))</f>
        <v/>
      </c>
      <c r="I559" s="34">
        <f>IF($F559="","",IFERROR(INDEX(사건마스터!$C$5:$C$64,MATCH($F559,사건마스터!$A$5:$A$64,0)),""))</f>
        <v/>
      </c>
      <c r="J559" s="35">
        <f>IF($F559="","",IFERROR(INDEX(사건마스터!$H$5:$H$64,MATCH($F559,사건마스터!$A$5:$A$64,0)),""))</f>
        <v/>
      </c>
      <c r="K559" s="35">
        <f>IF($F559="","",IFERROR(INDEX(사건마스터!$AH$5:$AH$64,MATCH($F559,사건마스터!$A$5:$A$64,0)),""))</f>
        <v/>
      </c>
      <c r="L559" s="35">
        <f>IF($F559="","",IFERROR(INDEX(사건마스터!$AI$5:$AI$64,MATCH($F559,사건마스터!$A$5:$A$64,0)),""))</f>
        <v/>
      </c>
      <c r="M559" s="35">
        <f>IF($F559="","",IFERROR(INDEX(사건마스터!$AJ$5:$AJ$64,MATCH($F559,사건마스터!$A$5:$A$64,0)),""))</f>
        <v/>
      </c>
      <c r="N559" s="35">
        <f>IF($F559="","",IFERROR(INDEX(사건마스터!$AK$5:$AK$64,MATCH($F559,사건마스터!$A$5:$A$64,0)),""))</f>
        <v/>
      </c>
      <c r="O559" s="35">
        <f>IF($F559="","",IFERROR(INDEX(사건마스터!$AL$5:$AL$64,MATCH($F559,사건마스터!$A$5:$A$64,0)),""))</f>
        <v/>
      </c>
      <c r="P559" s="35">
        <f>IF($F559="","",IFERROR(INDEX(사건마스터!$AM$5:$AM$64,MATCH($F559,사건마스터!$A$5:$A$64,0)),""))</f>
        <v/>
      </c>
      <c r="Q559" s="35">
        <f>IF($F559="","",IFERROR(INDEX(사건마스터!$AN$5:$AN$64,MATCH($F559,사건마스터!$A$5:$A$64,0)),""))</f>
        <v/>
      </c>
      <c r="R559" s="35">
        <f>IF($F559="","",IFERROR(INDEX(사건마스터!$AO$5:$AO$64,MATCH($F559,사건마스터!$A$5:$A$64,0)),""))</f>
        <v/>
      </c>
      <c r="S559" s="35">
        <f>IF($F559="","",IFERROR(INDEX(사건마스터!$AP$5:$AP$64,MATCH($F559,사건마스터!$A$5:$A$64,0)),""))</f>
        <v/>
      </c>
      <c r="T559" s="35">
        <f>IF($F559="","",IFERROR(INDEX(사건마스터!$AQ$5:$AQ$64,MATCH($F559,사건마스터!$A$5:$A$64,0)),""))</f>
        <v/>
      </c>
      <c r="U559" s="35">
        <f>IF($F559="","",IFERROR(INDEX(사건마스터!$AR$5:$AR$64,MATCH($F559,사건마스터!$A$5:$A$64,0)),""))</f>
        <v/>
      </c>
      <c r="V559" s="35">
        <f>IF($F559="","",IFERROR(INDEX(사건마스터!$AS$5:$AS$64,MATCH($F559,사건마스터!$A$5:$A$64,0)),""))</f>
        <v/>
      </c>
      <c r="W559" s="35">
        <f>IF($F559="","",IFERROR(INDEX(사건마스터!$AT$5:$AT$64,MATCH($F559,사건마스터!$A$5:$A$64,0)),""))</f>
        <v/>
      </c>
      <c r="X559" s="35">
        <f>IF($F559="","",IFERROR(INDEX(사건마스터!$AU$5:$AU$64,MATCH($F559,사건마스터!$A$5:$A$64,0)),""))</f>
        <v/>
      </c>
      <c r="Y559" s="35">
        <f>IF($F559="","",IFERROR(INDEX(사건마스터!$AV$5:$AV$64,MATCH($F559,사건마스터!$A$5:$A$64,0)),""))</f>
        <v/>
      </c>
      <c r="Z559" s="30">
        <f>IF(COUNTBLANK($J559:$Y559)=16,"",16-COUNTBLANK($J559:$Y559))</f>
        <v/>
      </c>
      <c r="AA559" s="33">
        <f>IF($J559="",MID($AX559,3,255),$J559&amp;$AX559)</f>
        <v/>
      </c>
      <c r="AB559" s="34">
        <f>IF($J559="","",IFERROR(INDEX(코드설정!$D$5:$D$24,MATCH($J559,코드설정!$C$5:$C$24,0)),""))</f>
        <v/>
      </c>
      <c r="AC559" s="36" t="n"/>
      <c r="AD559" s="37" t="n"/>
      <c r="AE559" s="38" t="n"/>
      <c r="AF559" s="30">
        <f>IF(OR($B559="",$C559=""),"",$C559-$B559+1)</f>
        <v/>
      </c>
      <c r="AG559" s="32" t="n"/>
      <c r="AH559" s="36" t="n"/>
      <c r="AJ559">
        <f>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  <c r="AX559">
        <f>AW559&amp;IF($Y559="","",", "&amp;$Y559)</f>
        <v/>
      </c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0">
        <f>IF($F560="","",COUNTIF($F$5:$F560,$F560))</f>
        <v/>
      </c>
      <c r="H560" s="33">
        <f>IF($F560="","",IFERROR(INDEX(사건마스터!$B$5:$B$64,MATCH($F560,사건마스터!$A$5:$A$64,0)),""))</f>
        <v/>
      </c>
      <c r="I560" s="34">
        <f>IF($F560="","",IFERROR(INDEX(사건마스터!$C$5:$C$64,MATCH($F560,사건마스터!$A$5:$A$64,0)),""))</f>
        <v/>
      </c>
      <c r="J560" s="35">
        <f>IF($F560="","",IFERROR(INDEX(사건마스터!$H$5:$H$64,MATCH($F560,사건마스터!$A$5:$A$64,0)),""))</f>
        <v/>
      </c>
      <c r="K560" s="35">
        <f>IF($F560="","",IFERROR(INDEX(사건마스터!$AH$5:$AH$64,MATCH($F560,사건마스터!$A$5:$A$64,0)),""))</f>
        <v/>
      </c>
      <c r="L560" s="35">
        <f>IF($F560="","",IFERROR(INDEX(사건마스터!$AI$5:$AI$64,MATCH($F560,사건마스터!$A$5:$A$64,0)),""))</f>
        <v/>
      </c>
      <c r="M560" s="35">
        <f>IF($F560="","",IFERROR(INDEX(사건마스터!$AJ$5:$AJ$64,MATCH($F560,사건마스터!$A$5:$A$64,0)),""))</f>
        <v/>
      </c>
      <c r="N560" s="35">
        <f>IF($F560="","",IFERROR(INDEX(사건마스터!$AK$5:$AK$64,MATCH($F560,사건마스터!$A$5:$A$64,0)),""))</f>
        <v/>
      </c>
      <c r="O560" s="35">
        <f>IF($F560="","",IFERROR(INDEX(사건마스터!$AL$5:$AL$64,MATCH($F560,사건마스터!$A$5:$A$64,0)),""))</f>
        <v/>
      </c>
      <c r="P560" s="35">
        <f>IF($F560="","",IFERROR(INDEX(사건마스터!$AM$5:$AM$64,MATCH($F560,사건마스터!$A$5:$A$64,0)),""))</f>
        <v/>
      </c>
      <c r="Q560" s="35">
        <f>IF($F560="","",IFERROR(INDEX(사건마스터!$AN$5:$AN$64,MATCH($F560,사건마스터!$A$5:$A$64,0)),""))</f>
        <v/>
      </c>
      <c r="R560" s="35">
        <f>IF($F560="","",IFERROR(INDEX(사건마스터!$AO$5:$AO$64,MATCH($F560,사건마스터!$A$5:$A$64,0)),""))</f>
        <v/>
      </c>
      <c r="S560" s="35">
        <f>IF($F560="","",IFERROR(INDEX(사건마스터!$AP$5:$AP$64,MATCH($F560,사건마스터!$A$5:$A$64,0)),""))</f>
        <v/>
      </c>
      <c r="T560" s="35">
        <f>IF($F560="","",IFERROR(INDEX(사건마스터!$AQ$5:$AQ$64,MATCH($F560,사건마스터!$A$5:$A$64,0)),""))</f>
        <v/>
      </c>
      <c r="U560" s="35">
        <f>IF($F560="","",IFERROR(INDEX(사건마스터!$AR$5:$AR$64,MATCH($F560,사건마스터!$A$5:$A$64,0)),""))</f>
        <v/>
      </c>
      <c r="V560" s="35">
        <f>IF($F560="","",IFERROR(INDEX(사건마스터!$AS$5:$AS$64,MATCH($F560,사건마스터!$A$5:$A$64,0)),""))</f>
        <v/>
      </c>
      <c r="W560" s="35">
        <f>IF($F560="","",IFERROR(INDEX(사건마스터!$AT$5:$AT$64,MATCH($F560,사건마스터!$A$5:$A$64,0)),""))</f>
        <v/>
      </c>
      <c r="X560" s="35">
        <f>IF($F560="","",IFERROR(INDEX(사건마스터!$AU$5:$AU$64,MATCH($F560,사건마스터!$A$5:$A$64,0)),""))</f>
        <v/>
      </c>
      <c r="Y560" s="35">
        <f>IF($F560="","",IFERROR(INDEX(사건마스터!$AV$5:$AV$64,MATCH($F560,사건마스터!$A$5:$A$64,0)),""))</f>
        <v/>
      </c>
      <c r="Z560" s="30">
        <f>IF(COUNTBLANK($J560:$Y560)=16,"",16-COUNTBLANK($J560:$Y560))</f>
        <v/>
      </c>
      <c r="AA560" s="33">
        <f>IF($J560="",MID($AX560,3,255),$J560&amp;$AX560)</f>
        <v/>
      </c>
      <c r="AB560" s="34">
        <f>IF($J560="","",IFERROR(INDEX(코드설정!$D$5:$D$24,MATCH($J560,코드설정!$C$5:$C$24,0)),""))</f>
        <v/>
      </c>
      <c r="AC560" s="36" t="n"/>
      <c r="AD560" s="37" t="n"/>
      <c r="AE560" s="38" t="n"/>
      <c r="AF560" s="30">
        <f>IF(OR($B560="",$C560=""),"",$C560-$B560+1)</f>
        <v/>
      </c>
      <c r="AG560" s="32" t="n"/>
      <c r="AH560" s="36" t="n"/>
      <c r="AJ560">
        <f>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  <c r="AX560">
        <f>AW560&amp;IF($Y560="","",", "&amp;$Y560)</f>
        <v/>
      </c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0">
        <f>IF($F561="","",COUNTIF($F$5:$F561,$F561))</f>
        <v/>
      </c>
      <c r="H561" s="33">
        <f>IF($F561="","",IFERROR(INDEX(사건마스터!$B$5:$B$64,MATCH($F561,사건마스터!$A$5:$A$64,0)),""))</f>
        <v/>
      </c>
      <c r="I561" s="34">
        <f>IF($F561="","",IFERROR(INDEX(사건마스터!$C$5:$C$64,MATCH($F561,사건마스터!$A$5:$A$64,0)),""))</f>
        <v/>
      </c>
      <c r="J561" s="35">
        <f>IF($F561="","",IFERROR(INDEX(사건마스터!$H$5:$H$64,MATCH($F561,사건마스터!$A$5:$A$64,0)),""))</f>
        <v/>
      </c>
      <c r="K561" s="35">
        <f>IF($F561="","",IFERROR(INDEX(사건마스터!$AH$5:$AH$64,MATCH($F561,사건마스터!$A$5:$A$64,0)),""))</f>
        <v/>
      </c>
      <c r="L561" s="35">
        <f>IF($F561="","",IFERROR(INDEX(사건마스터!$AI$5:$AI$64,MATCH($F561,사건마스터!$A$5:$A$64,0)),""))</f>
        <v/>
      </c>
      <c r="M561" s="35">
        <f>IF($F561="","",IFERROR(INDEX(사건마스터!$AJ$5:$AJ$64,MATCH($F561,사건마스터!$A$5:$A$64,0)),""))</f>
        <v/>
      </c>
      <c r="N561" s="35">
        <f>IF($F561="","",IFERROR(INDEX(사건마스터!$AK$5:$AK$64,MATCH($F561,사건마스터!$A$5:$A$64,0)),""))</f>
        <v/>
      </c>
      <c r="O561" s="35">
        <f>IF($F561="","",IFERROR(INDEX(사건마스터!$AL$5:$AL$64,MATCH($F561,사건마스터!$A$5:$A$64,0)),""))</f>
        <v/>
      </c>
      <c r="P561" s="35">
        <f>IF($F561="","",IFERROR(INDEX(사건마스터!$AM$5:$AM$64,MATCH($F561,사건마스터!$A$5:$A$64,0)),""))</f>
        <v/>
      </c>
      <c r="Q561" s="35">
        <f>IF($F561="","",IFERROR(INDEX(사건마스터!$AN$5:$AN$64,MATCH($F561,사건마스터!$A$5:$A$64,0)),""))</f>
        <v/>
      </c>
      <c r="R561" s="35">
        <f>IF($F561="","",IFERROR(INDEX(사건마스터!$AO$5:$AO$64,MATCH($F561,사건마스터!$A$5:$A$64,0)),""))</f>
        <v/>
      </c>
      <c r="S561" s="35">
        <f>IF($F561="","",IFERROR(INDEX(사건마스터!$AP$5:$AP$64,MATCH($F561,사건마스터!$A$5:$A$64,0)),""))</f>
        <v/>
      </c>
      <c r="T561" s="35">
        <f>IF($F561="","",IFERROR(INDEX(사건마스터!$AQ$5:$AQ$64,MATCH($F561,사건마스터!$A$5:$A$64,0)),""))</f>
        <v/>
      </c>
      <c r="U561" s="35">
        <f>IF($F561="","",IFERROR(INDEX(사건마스터!$AR$5:$AR$64,MATCH($F561,사건마스터!$A$5:$A$64,0)),""))</f>
        <v/>
      </c>
      <c r="V561" s="35">
        <f>IF($F561="","",IFERROR(INDEX(사건마스터!$AS$5:$AS$64,MATCH($F561,사건마스터!$A$5:$A$64,0)),""))</f>
        <v/>
      </c>
      <c r="W561" s="35">
        <f>IF($F561="","",IFERROR(INDEX(사건마스터!$AT$5:$AT$64,MATCH($F561,사건마스터!$A$5:$A$64,0)),""))</f>
        <v/>
      </c>
      <c r="X561" s="35">
        <f>IF($F561="","",IFERROR(INDEX(사건마스터!$AU$5:$AU$64,MATCH($F561,사건마스터!$A$5:$A$64,0)),""))</f>
        <v/>
      </c>
      <c r="Y561" s="35">
        <f>IF($F561="","",IFERROR(INDEX(사건마스터!$AV$5:$AV$64,MATCH($F561,사건마스터!$A$5:$A$64,0)),""))</f>
        <v/>
      </c>
      <c r="Z561" s="30">
        <f>IF(COUNTBLANK($J561:$Y561)=16,"",16-COUNTBLANK($J561:$Y561))</f>
        <v/>
      </c>
      <c r="AA561" s="33">
        <f>IF($J561="",MID($AX561,3,255),$J561&amp;$AX561)</f>
        <v/>
      </c>
      <c r="AB561" s="34">
        <f>IF($J561="","",IFERROR(INDEX(코드설정!$D$5:$D$24,MATCH($J561,코드설정!$C$5:$C$24,0)),""))</f>
        <v/>
      </c>
      <c r="AC561" s="36" t="n"/>
      <c r="AD561" s="37" t="n"/>
      <c r="AE561" s="38" t="n"/>
      <c r="AF561" s="30">
        <f>IF(OR($B561="",$C561=""),"",$C561-$B561+1)</f>
        <v/>
      </c>
      <c r="AG561" s="32" t="n"/>
      <c r="AH561" s="36" t="n"/>
      <c r="AJ561">
        <f>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  <c r="AX561">
        <f>AW561&amp;IF($Y561="","",", "&amp;$Y561)</f>
        <v/>
      </c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0">
        <f>IF($F562="","",COUNTIF($F$5:$F562,$F562))</f>
        <v/>
      </c>
      <c r="H562" s="33">
        <f>IF($F562="","",IFERROR(INDEX(사건마스터!$B$5:$B$64,MATCH($F562,사건마스터!$A$5:$A$64,0)),""))</f>
        <v/>
      </c>
      <c r="I562" s="34">
        <f>IF($F562="","",IFERROR(INDEX(사건마스터!$C$5:$C$64,MATCH($F562,사건마스터!$A$5:$A$64,0)),""))</f>
        <v/>
      </c>
      <c r="J562" s="35">
        <f>IF($F562="","",IFERROR(INDEX(사건마스터!$H$5:$H$64,MATCH($F562,사건마스터!$A$5:$A$64,0)),""))</f>
        <v/>
      </c>
      <c r="K562" s="35">
        <f>IF($F562="","",IFERROR(INDEX(사건마스터!$AH$5:$AH$64,MATCH($F562,사건마스터!$A$5:$A$64,0)),""))</f>
        <v/>
      </c>
      <c r="L562" s="35">
        <f>IF($F562="","",IFERROR(INDEX(사건마스터!$AI$5:$AI$64,MATCH($F562,사건마스터!$A$5:$A$64,0)),""))</f>
        <v/>
      </c>
      <c r="M562" s="35">
        <f>IF($F562="","",IFERROR(INDEX(사건마스터!$AJ$5:$AJ$64,MATCH($F562,사건마스터!$A$5:$A$64,0)),""))</f>
        <v/>
      </c>
      <c r="N562" s="35">
        <f>IF($F562="","",IFERROR(INDEX(사건마스터!$AK$5:$AK$64,MATCH($F562,사건마스터!$A$5:$A$64,0)),""))</f>
        <v/>
      </c>
      <c r="O562" s="35">
        <f>IF($F562="","",IFERROR(INDEX(사건마스터!$AL$5:$AL$64,MATCH($F562,사건마스터!$A$5:$A$64,0)),""))</f>
        <v/>
      </c>
      <c r="P562" s="35">
        <f>IF($F562="","",IFERROR(INDEX(사건마스터!$AM$5:$AM$64,MATCH($F562,사건마스터!$A$5:$A$64,0)),""))</f>
        <v/>
      </c>
      <c r="Q562" s="35">
        <f>IF($F562="","",IFERROR(INDEX(사건마스터!$AN$5:$AN$64,MATCH($F562,사건마스터!$A$5:$A$64,0)),""))</f>
        <v/>
      </c>
      <c r="R562" s="35">
        <f>IF($F562="","",IFERROR(INDEX(사건마스터!$AO$5:$AO$64,MATCH($F562,사건마스터!$A$5:$A$64,0)),""))</f>
        <v/>
      </c>
      <c r="S562" s="35">
        <f>IF($F562="","",IFERROR(INDEX(사건마스터!$AP$5:$AP$64,MATCH($F562,사건마스터!$A$5:$A$64,0)),""))</f>
        <v/>
      </c>
      <c r="T562" s="35">
        <f>IF($F562="","",IFERROR(INDEX(사건마스터!$AQ$5:$AQ$64,MATCH($F562,사건마스터!$A$5:$A$64,0)),""))</f>
        <v/>
      </c>
      <c r="U562" s="35">
        <f>IF($F562="","",IFERROR(INDEX(사건마스터!$AR$5:$AR$64,MATCH($F562,사건마스터!$A$5:$A$64,0)),""))</f>
        <v/>
      </c>
      <c r="V562" s="35">
        <f>IF($F562="","",IFERROR(INDEX(사건마스터!$AS$5:$AS$64,MATCH($F562,사건마스터!$A$5:$A$64,0)),""))</f>
        <v/>
      </c>
      <c r="W562" s="35">
        <f>IF($F562="","",IFERROR(INDEX(사건마스터!$AT$5:$AT$64,MATCH($F562,사건마스터!$A$5:$A$64,0)),""))</f>
        <v/>
      </c>
      <c r="X562" s="35">
        <f>IF($F562="","",IFERROR(INDEX(사건마스터!$AU$5:$AU$64,MATCH($F562,사건마스터!$A$5:$A$64,0)),""))</f>
        <v/>
      </c>
      <c r="Y562" s="35">
        <f>IF($F562="","",IFERROR(INDEX(사건마스터!$AV$5:$AV$64,MATCH($F562,사건마스터!$A$5:$A$64,0)),""))</f>
        <v/>
      </c>
      <c r="Z562" s="30">
        <f>IF(COUNTBLANK($J562:$Y562)=16,"",16-COUNTBLANK($J562:$Y562))</f>
        <v/>
      </c>
      <c r="AA562" s="33">
        <f>IF($J562="",MID($AX562,3,255),$J562&amp;$AX562)</f>
        <v/>
      </c>
      <c r="AB562" s="34">
        <f>IF($J562="","",IFERROR(INDEX(코드설정!$D$5:$D$24,MATCH($J562,코드설정!$C$5:$C$24,0)),""))</f>
        <v/>
      </c>
      <c r="AC562" s="36" t="n"/>
      <c r="AD562" s="37" t="n"/>
      <c r="AE562" s="38" t="n"/>
      <c r="AF562" s="30">
        <f>IF(OR($B562="",$C562=""),"",$C562-$B562+1)</f>
        <v/>
      </c>
      <c r="AG562" s="32" t="n"/>
      <c r="AH562" s="36" t="n"/>
      <c r="AJ562">
        <f>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  <c r="AX562">
        <f>AW562&amp;IF($Y562="","",", "&amp;$Y562)</f>
        <v/>
      </c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0">
        <f>IF($F563="","",COUNTIF($F$5:$F563,$F563))</f>
        <v/>
      </c>
      <c r="H563" s="33">
        <f>IF($F563="","",IFERROR(INDEX(사건마스터!$B$5:$B$64,MATCH($F563,사건마스터!$A$5:$A$64,0)),""))</f>
        <v/>
      </c>
      <c r="I563" s="34">
        <f>IF($F563="","",IFERROR(INDEX(사건마스터!$C$5:$C$64,MATCH($F563,사건마스터!$A$5:$A$64,0)),""))</f>
        <v/>
      </c>
      <c r="J563" s="35">
        <f>IF($F563="","",IFERROR(INDEX(사건마스터!$H$5:$H$64,MATCH($F563,사건마스터!$A$5:$A$64,0)),""))</f>
        <v/>
      </c>
      <c r="K563" s="35">
        <f>IF($F563="","",IFERROR(INDEX(사건마스터!$AH$5:$AH$64,MATCH($F563,사건마스터!$A$5:$A$64,0)),""))</f>
        <v/>
      </c>
      <c r="L563" s="35">
        <f>IF($F563="","",IFERROR(INDEX(사건마스터!$AI$5:$AI$64,MATCH($F563,사건마스터!$A$5:$A$64,0)),""))</f>
        <v/>
      </c>
      <c r="M563" s="35">
        <f>IF($F563="","",IFERROR(INDEX(사건마스터!$AJ$5:$AJ$64,MATCH($F563,사건마스터!$A$5:$A$64,0)),""))</f>
        <v/>
      </c>
      <c r="N563" s="35">
        <f>IF($F563="","",IFERROR(INDEX(사건마스터!$AK$5:$AK$64,MATCH($F563,사건마스터!$A$5:$A$64,0)),""))</f>
        <v/>
      </c>
      <c r="O563" s="35">
        <f>IF($F563="","",IFERROR(INDEX(사건마스터!$AL$5:$AL$64,MATCH($F563,사건마스터!$A$5:$A$64,0)),""))</f>
        <v/>
      </c>
      <c r="P563" s="35">
        <f>IF($F563="","",IFERROR(INDEX(사건마스터!$AM$5:$AM$64,MATCH($F563,사건마스터!$A$5:$A$64,0)),""))</f>
        <v/>
      </c>
      <c r="Q563" s="35">
        <f>IF($F563="","",IFERROR(INDEX(사건마스터!$AN$5:$AN$64,MATCH($F563,사건마스터!$A$5:$A$64,0)),""))</f>
        <v/>
      </c>
      <c r="R563" s="35">
        <f>IF($F563="","",IFERROR(INDEX(사건마스터!$AO$5:$AO$64,MATCH($F563,사건마스터!$A$5:$A$64,0)),""))</f>
        <v/>
      </c>
      <c r="S563" s="35">
        <f>IF($F563="","",IFERROR(INDEX(사건마스터!$AP$5:$AP$64,MATCH($F563,사건마스터!$A$5:$A$64,0)),""))</f>
        <v/>
      </c>
      <c r="T563" s="35">
        <f>IF($F563="","",IFERROR(INDEX(사건마스터!$AQ$5:$AQ$64,MATCH($F563,사건마스터!$A$5:$A$64,0)),""))</f>
        <v/>
      </c>
      <c r="U563" s="35">
        <f>IF($F563="","",IFERROR(INDEX(사건마스터!$AR$5:$AR$64,MATCH($F563,사건마스터!$A$5:$A$64,0)),""))</f>
        <v/>
      </c>
      <c r="V563" s="35">
        <f>IF($F563="","",IFERROR(INDEX(사건마스터!$AS$5:$AS$64,MATCH($F563,사건마스터!$A$5:$A$64,0)),""))</f>
        <v/>
      </c>
      <c r="W563" s="35">
        <f>IF($F563="","",IFERROR(INDEX(사건마스터!$AT$5:$AT$64,MATCH($F563,사건마스터!$A$5:$A$64,0)),""))</f>
        <v/>
      </c>
      <c r="X563" s="35">
        <f>IF($F563="","",IFERROR(INDEX(사건마스터!$AU$5:$AU$64,MATCH($F563,사건마스터!$A$5:$A$64,0)),""))</f>
        <v/>
      </c>
      <c r="Y563" s="35">
        <f>IF($F563="","",IFERROR(INDEX(사건마스터!$AV$5:$AV$64,MATCH($F563,사건마스터!$A$5:$A$64,0)),""))</f>
        <v/>
      </c>
      <c r="Z563" s="30">
        <f>IF(COUNTBLANK($J563:$Y563)=16,"",16-COUNTBLANK($J563:$Y563))</f>
        <v/>
      </c>
      <c r="AA563" s="33">
        <f>IF($J563="",MID($AX563,3,255),$J563&amp;$AX563)</f>
        <v/>
      </c>
      <c r="AB563" s="34">
        <f>IF($J563="","",IFERROR(INDEX(코드설정!$D$5:$D$24,MATCH($J563,코드설정!$C$5:$C$24,0)),""))</f>
        <v/>
      </c>
      <c r="AC563" s="36" t="n"/>
      <c r="AD563" s="37" t="n"/>
      <c r="AE563" s="38" t="n"/>
      <c r="AF563" s="30">
        <f>IF(OR($B563="",$C563=""),"",$C563-$B563+1)</f>
        <v/>
      </c>
      <c r="AG563" s="32" t="n"/>
      <c r="AH563" s="36" t="n"/>
      <c r="AJ563">
        <f>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  <c r="AX563">
        <f>AW563&amp;IF($Y563="","",", "&amp;$Y563)</f>
        <v/>
      </c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0">
        <f>IF($F564="","",COUNTIF($F$5:$F564,$F564))</f>
        <v/>
      </c>
      <c r="H564" s="33">
        <f>IF($F564="","",IFERROR(INDEX(사건마스터!$B$5:$B$64,MATCH($F564,사건마스터!$A$5:$A$64,0)),""))</f>
        <v/>
      </c>
      <c r="I564" s="34">
        <f>IF($F564="","",IFERROR(INDEX(사건마스터!$C$5:$C$64,MATCH($F564,사건마스터!$A$5:$A$64,0)),""))</f>
        <v/>
      </c>
      <c r="J564" s="35">
        <f>IF($F564="","",IFERROR(INDEX(사건마스터!$H$5:$H$64,MATCH($F564,사건마스터!$A$5:$A$64,0)),""))</f>
        <v/>
      </c>
      <c r="K564" s="35">
        <f>IF($F564="","",IFERROR(INDEX(사건마스터!$AH$5:$AH$64,MATCH($F564,사건마스터!$A$5:$A$64,0)),""))</f>
        <v/>
      </c>
      <c r="L564" s="35">
        <f>IF($F564="","",IFERROR(INDEX(사건마스터!$AI$5:$AI$64,MATCH($F564,사건마스터!$A$5:$A$64,0)),""))</f>
        <v/>
      </c>
      <c r="M564" s="35">
        <f>IF($F564="","",IFERROR(INDEX(사건마스터!$AJ$5:$AJ$64,MATCH($F564,사건마스터!$A$5:$A$64,0)),""))</f>
        <v/>
      </c>
      <c r="N564" s="35">
        <f>IF($F564="","",IFERROR(INDEX(사건마스터!$AK$5:$AK$64,MATCH($F564,사건마스터!$A$5:$A$64,0)),""))</f>
        <v/>
      </c>
      <c r="O564" s="35">
        <f>IF($F564="","",IFERROR(INDEX(사건마스터!$AL$5:$AL$64,MATCH($F564,사건마스터!$A$5:$A$64,0)),""))</f>
        <v/>
      </c>
      <c r="P564" s="35">
        <f>IF($F564="","",IFERROR(INDEX(사건마스터!$AM$5:$AM$64,MATCH($F564,사건마스터!$A$5:$A$64,0)),""))</f>
        <v/>
      </c>
      <c r="Q564" s="35">
        <f>IF($F564="","",IFERROR(INDEX(사건마스터!$AN$5:$AN$64,MATCH($F564,사건마스터!$A$5:$A$64,0)),""))</f>
        <v/>
      </c>
      <c r="R564" s="35">
        <f>IF($F564="","",IFERROR(INDEX(사건마스터!$AO$5:$AO$64,MATCH($F564,사건마스터!$A$5:$A$64,0)),""))</f>
        <v/>
      </c>
      <c r="S564" s="35">
        <f>IF($F564="","",IFERROR(INDEX(사건마스터!$AP$5:$AP$64,MATCH($F564,사건마스터!$A$5:$A$64,0)),""))</f>
        <v/>
      </c>
      <c r="T564" s="35">
        <f>IF($F564="","",IFERROR(INDEX(사건마스터!$AQ$5:$AQ$64,MATCH($F564,사건마스터!$A$5:$A$64,0)),""))</f>
        <v/>
      </c>
      <c r="U564" s="35">
        <f>IF($F564="","",IFERROR(INDEX(사건마스터!$AR$5:$AR$64,MATCH($F564,사건마스터!$A$5:$A$64,0)),""))</f>
        <v/>
      </c>
      <c r="V564" s="35">
        <f>IF($F564="","",IFERROR(INDEX(사건마스터!$AS$5:$AS$64,MATCH($F564,사건마스터!$A$5:$A$64,0)),""))</f>
        <v/>
      </c>
      <c r="W564" s="35">
        <f>IF($F564="","",IFERROR(INDEX(사건마스터!$AT$5:$AT$64,MATCH($F564,사건마스터!$A$5:$A$64,0)),""))</f>
        <v/>
      </c>
      <c r="X564" s="35">
        <f>IF($F564="","",IFERROR(INDEX(사건마스터!$AU$5:$AU$64,MATCH($F564,사건마스터!$A$5:$A$64,0)),""))</f>
        <v/>
      </c>
      <c r="Y564" s="35">
        <f>IF($F564="","",IFERROR(INDEX(사건마스터!$AV$5:$AV$64,MATCH($F564,사건마스터!$A$5:$A$64,0)),""))</f>
        <v/>
      </c>
      <c r="Z564" s="30">
        <f>IF(COUNTBLANK($J564:$Y564)=16,"",16-COUNTBLANK($J564:$Y564))</f>
        <v/>
      </c>
      <c r="AA564" s="33">
        <f>IF($J564="",MID($AX564,3,255),$J564&amp;$AX564)</f>
        <v/>
      </c>
      <c r="AB564" s="34">
        <f>IF($J564="","",IFERROR(INDEX(코드설정!$D$5:$D$24,MATCH($J564,코드설정!$C$5:$C$24,0)),""))</f>
        <v/>
      </c>
      <c r="AC564" s="36" t="n"/>
      <c r="AD564" s="37" t="n"/>
      <c r="AE564" s="38" t="n"/>
      <c r="AF564" s="30">
        <f>IF(OR($B564="",$C564=""),"",$C564-$B564+1)</f>
        <v/>
      </c>
      <c r="AG564" s="32" t="n"/>
      <c r="AH564" s="36" t="n"/>
      <c r="AJ564">
        <f>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  <c r="AX564">
        <f>AW564&amp;IF($Y564="","",", "&amp;$Y564)</f>
        <v/>
      </c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0">
        <f>IF($F565="","",COUNTIF($F$5:$F565,$F565))</f>
        <v/>
      </c>
      <c r="H565" s="33">
        <f>IF($F565="","",IFERROR(INDEX(사건마스터!$B$5:$B$64,MATCH($F565,사건마스터!$A$5:$A$64,0)),""))</f>
        <v/>
      </c>
      <c r="I565" s="34">
        <f>IF($F565="","",IFERROR(INDEX(사건마스터!$C$5:$C$64,MATCH($F565,사건마스터!$A$5:$A$64,0)),""))</f>
        <v/>
      </c>
      <c r="J565" s="35">
        <f>IF($F565="","",IFERROR(INDEX(사건마스터!$H$5:$H$64,MATCH($F565,사건마스터!$A$5:$A$64,0)),""))</f>
        <v/>
      </c>
      <c r="K565" s="35">
        <f>IF($F565="","",IFERROR(INDEX(사건마스터!$AH$5:$AH$64,MATCH($F565,사건마스터!$A$5:$A$64,0)),""))</f>
        <v/>
      </c>
      <c r="L565" s="35">
        <f>IF($F565="","",IFERROR(INDEX(사건마스터!$AI$5:$AI$64,MATCH($F565,사건마스터!$A$5:$A$64,0)),""))</f>
        <v/>
      </c>
      <c r="M565" s="35">
        <f>IF($F565="","",IFERROR(INDEX(사건마스터!$AJ$5:$AJ$64,MATCH($F565,사건마스터!$A$5:$A$64,0)),""))</f>
        <v/>
      </c>
      <c r="N565" s="35">
        <f>IF($F565="","",IFERROR(INDEX(사건마스터!$AK$5:$AK$64,MATCH($F565,사건마스터!$A$5:$A$64,0)),""))</f>
        <v/>
      </c>
      <c r="O565" s="35">
        <f>IF($F565="","",IFERROR(INDEX(사건마스터!$AL$5:$AL$64,MATCH($F565,사건마스터!$A$5:$A$64,0)),""))</f>
        <v/>
      </c>
      <c r="P565" s="35">
        <f>IF($F565="","",IFERROR(INDEX(사건마스터!$AM$5:$AM$64,MATCH($F565,사건마스터!$A$5:$A$64,0)),""))</f>
        <v/>
      </c>
      <c r="Q565" s="35">
        <f>IF($F565="","",IFERROR(INDEX(사건마스터!$AN$5:$AN$64,MATCH($F565,사건마스터!$A$5:$A$64,0)),""))</f>
        <v/>
      </c>
      <c r="R565" s="35">
        <f>IF($F565="","",IFERROR(INDEX(사건마스터!$AO$5:$AO$64,MATCH($F565,사건마스터!$A$5:$A$64,0)),""))</f>
        <v/>
      </c>
      <c r="S565" s="35">
        <f>IF($F565="","",IFERROR(INDEX(사건마스터!$AP$5:$AP$64,MATCH($F565,사건마스터!$A$5:$A$64,0)),""))</f>
        <v/>
      </c>
      <c r="T565" s="35">
        <f>IF($F565="","",IFERROR(INDEX(사건마스터!$AQ$5:$AQ$64,MATCH($F565,사건마스터!$A$5:$A$64,0)),""))</f>
        <v/>
      </c>
      <c r="U565" s="35">
        <f>IF($F565="","",IFERROR(INDEX(사건마스터!$AR$5:$AR$64,MATCH($F565,사건마스터!$A$5:$A$64,0)),""))</f>
        <v/>
      </c>
      <c r="V565" s="35">
        <f>IF($F565="","",IFERROR(INDEX(사건마스터!$AS$5:$AS$64,MATCH($F565,사건마스터!$A$5:$A$64,0)),""))</f>
        <v/>
      </c>
      <c r="W565" s="35">
        <f>IF($F565="","",IFERROR(INDEX(사건마스터!$AT$5:$AT$64,MATCH($F565,사건마스터!$A$5:$A$64,0)),""))</f>
        <v/>
      </c>
      <c r="X565" s="35">
        <f>IF($F565="","",IFERROR(INDEX(사건마스터!$AU$5:$AU$64,MATCH($F565,사건마스터!$A$5:$A$64,0)),""))</f>
        <v/>
      </c>
      <c r="Y565" s="35">
        <f>IF($F565="","",IFERROR(INDEX(사건마스터!$AV$5:$AV$64,MATCH($F565,사건마스터!$A$5:$A$64,0)),""))</f>
        <v/>
      </c>
      <c r="Z565" s="30">
        <f>IF(COUNTBLANK($J565:$Y565)=16,"",16-COUNTBLANK($J565:$Y565))</f>
        <v/>
      </c>
      <c r="AA565" s="33">
        <f>IF($J565="",MID($AX565,3,255),$J565&amp;$AX565)</f>
        <v/>
      </c>
      <c r="AB565" s="34">
        <f>IF($J565="","",IFERROR(INDEX(코드설정!$D$5:$D$24,MATCH($J565,코드설정!$C$5:$C$24,0)),""))</f>
        <v/>
      </c>
      <c r="AC565" s="36" t="n"/>
      <c r="AD565" s="37" t="n"/>
      <c r="AE565" s="38" t="n"/>
      <c r="AF565" s="30">
        <f>IF(OR($B565="",$C565=""),"",$C565-$B565+1)</f>
        <v/>
      </c>
      <c r="AG565" s="32" t="n"/>
      <c r="AH565" s="36" t="n"/>
      <c r="AJ565">
        <f>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  <c r="AX565">
        <f>AW565&amp;IF($Y565="","",", "&amp;$Y565)</f>
        <v/>
      </c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0">
        <f>IF($F566="","",COUNTIF($F$5:$F566,$F566))</f>
        <v/>
      </c>
      <c r="H566" s="33">
        <f>IF($F566="","",IFERROR(INDEX(사건마스터!$B$5:$B$64,MATCH($F566,사건마스터!$A$5:$A$64,0)),""))</f>
        <v/>
      </c>
      <c r="I566" s="34">
        <f>IF($F566="","",IFERROR(INDEX(사건마스터!$C$5:$C$64,MATCH($F566,사건마스터!$A$5:$A$64,0)),""))</f>
        <v/>
      </c>
      <c r="J566" s="35">
        <f>IF($F566="","",IFERROR(INDEX(사건마스터!$H$5:$H$64,MATCH($F566,사건마스터!$A$5:$A$64,0)),""))</f>
        <v/>
      </c>
      <c r="K566" s="35">
        <f>IF($F566="","",IFERROR(INDEX(사건마스터!$AH$5:$AH$64,MATCH($F566,사건마스터!$A$5:$A$64,0)),""))</f>
        <v/>
      </c>
      <c r="L566" s="35">
        <f>IF($F566="","",IFERROR(INDEX(사건마스터!$AI$5:$AI$64,MATCH($F566,사건마스터!$A$5:$A$64,0)),""))</f>
        <v/>
      </c>
      <c r="M566" s="35">
        <f>IF($F566="","",IFERROR(INDEX(사건마스터!$AJ$5:$AJ$64,MATCH($F566,사건마스터!$A$5:$A$64,0)),""))</f>
        <v/>
      </c>
      <c r="N566" s="35">
        <f>IF($F566="","",IFERROR(INDEX(사건마스터!$AK$5:$AK$64,MATCH($F566,사건마스터!$A$5:$A$64,0)),""))</f>
        <v/>
      </c>
      <c r="O566" s="35">
        <f>IF($F566="","",IFERROR(INDEX(사건마스터!$AL$5:$AL$64,MATCH($F566,사건마스터!$A$5:$A$64,0)),""))</f>
        <v/>
      </c>
      <c r="P566" s="35">
        <f>IF($F566="","",IFERROR(INDEX(사건마스터!$AM$5:$AM$64,MATCH($F566,사건마스터!$A$5:$A$64,0)),""))</f>
        <v/>
      </c>
      <c r="Q566" s="35">
        <f>IF($F566="","",IFERROR(INDEX(사건마스터!$AN$5:$AN$64,MATCH($F566,사건마스터!$A$5:$A$64,0)),""))</f>
        <v/>
      </c>
      <c r="R566" s="35">
        <f>IF($F566="","",IFERROR(INDEX(사건마스터!$AO$5:$AO$64,MATCH($F566,사건마스터!$A$5:$A$64,0)),""))</f>
        <v/>
      </c>
      <c r="S566" s="35">
        <f>IF($F566="","",IFERROR(INDEX(사건마스터!$AP$5:$AP$64,MATCH($F566,사건마스터!$A$5:$A$64,0)),""))</f>
        <v/>
      </c>
      <c r="T566" s="35">
        <f>IF($F566="","",IFERROR(INDEX(사건마스터!$AQ$5:$AQ$64,MATCH($F566,사건마스터!$A$5:$A$64,0)),""))</f>
        <v/>
      </c>
      <c r="U566" s="35">
        <f>IF($F566="","",IFERROR(INDEX(사건마스터!$AR$5:$AR$64,MATCH($F566,사건마스터!$A$5:$A$64,0)),""))</f>
        <v/>
      </c>
      <c r="V566" s="35">
        <f>IF($F566="","",IFERROR(INDEX(사건마스터!$AS$5:$AS$64,MATCH($F566,사건마스터!$A$5:$A$64,0)),""))</f>
        <v/>
      </c>
      <c r="W566" s="35">
        <f>IF($F566="","",IFERROR(INDEX(사건마스터!$AT$5:$AT$64,MATCH($F566,사건마스터!$A$5:$A$64,0)),""))</f>
        <v/>
      </c>
      <c r="X566" s="35">
        <f>IF($F566="","",IFERROR(INDEX(사건마스터!$AU$5:$AU$64,MATCH($F566,사건마스터!$A$5:$A$64,0)),""))</f>
        <v/>
      </c>
      <c r="Y566" s="35">
        <f>IF($F566="","",IFERROR(INDEX(사건마스터!$AV$5:$AV$64,MATCH($F566,사건마스터!$A$5:$A$64,0)),""))</f>
        <v/>
      </c>
      <c r="Z566" s="30">
        <f>IF(COUNTBLANK($J566:$Y566)=16,"",16-COUNTBLANK($J566:$Y566))</f>
        <v/>
      </c>
      <c r="AA566" s="33">
        <f>IF($J566="",MID($AX566,3,255),$J566&amp;$AX566)</f>
        <v/>
      </c>
      <c r="AB566" s="34">
        <f>IF($J566="","",IFERROR(INDEX(코드설정!$D$5:$D$24,MATCH($J566,코드설정!$C$5:$C$24,0)),""))</f>
        <v/>
      </c>
      <c r="AC566" s="36" t="n"/>
      <c r="AD566" s="37" t="n"/>
      <c r="AE566" s="38" t="n"/>
      <c r="AF566" s="30">
        <f>IF(OR($B566="",$C566=""),"",$C566-$B566+1)</f>
        <v/>
      </c>
      <c r="AG566" s="32" t="n"/>
      <c r="AH566" s="36" t="n"/>
      <c r="AJ566">
        <f>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  <c r="AX566">
        <f>AW566&amp;IF($Y566="","",", "&amp;$Y566)</f>
        <v/>
      </c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0">
        <f>IF($F567="","",COUNTIF($F$5:$F567,$F567))</f>
        <v/>
      </c>
      <c r="H567" s="33">
        <f>IF($F567="","",IFERROR(INDEX(사건마스터!$B$5:$B$64,MATCH($F567,사건마스터!$A$5:$A$64,0)),""))</f>
        <v/>
      </c>
      <c r="I567" s="34">
        <f>IF($F567="","",IFERROR(INDEX(사건마스터!$C$5:$C$64,MATCH($F567,사건마스터!$A$5:$A$64,0)),""))</f>
        <v/>
      </c>
      <c r="J567" s="35">
        <f>IF($F567="","",IFERROR(INDEX(사건마스터!$H$5:$H$64,MATCH($F567,사건마스터!$A$5:$A$64,0)),""))</f>
        <v/>
      </c>
      <c r="K567" s="35">
        <f>IF($F567="","",IFERROR(INDEX(사건마스터!$AH$5:$AH$64,MATCH($F567,사건마스터!$A$5:$A$64,0)),""))</f>
        <v/>
      </c>
      <c r="L567" s="35">
        <f>IF($F567="","",IFERROR(INDEX(사건마스터!$AI$5:$AI$64,MATCH($F567,사건마스터!$A$5:$A$64,0)),""))</f>
        <v/>
      </c>
      <c r="M567" s="35">
        <f>IF($F567="","",IFERROR(INDEX(사건마스터!$AJ$5:$AJ$64,MATCH($F567,사건마스터!$A$5:$A$64,0)),""))</f>
        <v/>
      </c>
      <c r="N567" s="35">
        <f>IF($F567="","",IFERROR(INDEX(사건마스터!$AK$5:$AK$64,MATCH($F567,사건마스터!$A$5:$A$64,0)),""))</f>
        <v/>
      </c>
      <c r="O567" s="35">
        <f>IF($F567="","",IFERROR(INDEX(사건마스터!$AL$5:$AL$64,MATCH($F567,사건마스터!$A$5:$A$64,0)),""))</f>
        <v/>
      </c>
      <c r="P567" s="35">
        <f>IF($F567="","",IFERROR(INDEX(사건마스터!$AM$5:$AM$64,MATCH($F567,사건마스터!$A$5:$A$64,0)),""))</f>
        <v/>
      </c>
      <c r="Q567" s="35">
        <f>IF($F567="","",IFERROR(INDEX(사건마스터!$AN$5:$AN$64,MATCH($F567,사건마스터!$A$5:$A$64,0)),""))</f>
        <v/>
      </c>
      <c r="R567" s="35">
        <f>IF($F567="","",IFERROR(INDEX(사건마스터!$AO$5:$AO$64,MATCH($F567,사건마스터!$A$5:$A$64,0)),""))</f>
        <v/>
      </c>
      <c r="S567" s="35">
        <f>IF($F567="","",IFERROR(INDEX(사건마스터!$AP$5:$AP$64,MATCH($F567,사건마스터!$A$5:$A$64,0)),""))</f>
        <v/>
      </c>
      <c r="T567" s="35">
        <f>IF($F567="","",IFERROR(INDEX(사건마스터!$AQ$5:$AQ$64,MATCH($F567,사건마스터!$A$5:$A$64,0)),""))</f>
        <v/>
      </c>
      <c r="U567" s="35">
        <f>IF($F567="","",IFERROR(INDEX(사건마스터!$AR$5:$AR$64,MATCH($F567,사건마스터!$A$5:$A$64,0)),""))</f>
        <v/>
      </c>
      <c r="V567" s="35">
        <f>IF($F567="","",IFERROR(INDEX(사건마스터!$AS$5:$AS$64,MATCH($F567,사건마스터!$A$5:$A$64,0)),""))</f>
        <v/>
      </c>
      <c r="W567" s="35">
        <f>IF($F567="","",IFERROR(INDEX(사건마스터!$AT$5:$AT$64,MATCH($F567,사건마스터!$A$5:$A$64,0)),""))</f>
        <v/>
      </c>
      <c r="X567" s="35">
        <f>IF($F567="","",IFERROR(INDEX(사건마스터!$AU$5:$AU$64,MATCH($F567,사건마스터!$A$5:$A$64,0)),""))</f>
        <v/>
      </c>
      <c r="Y567" s="35">
        <f>IF($F567="","",IFERROR(INDEX(사건마스터!$AV$5:$AV$64,MATCH($F567,사건마스터!$A$5:$A$64,0)),""))</f>
        <v/>
      </c>
      <c r="Z567" s="30">
        <f>IF(COUNTBLANK($J567:$Y567)=16,"",16-COUNTBLANK($J567:$Y567))</f>
        <v/>
      </c>
      <c r="AA567" s="33">
        <f>IF($J567="",MID($AX567,3,255),$J567&amp;$AX567)</f>
        <v/>
      </c>
      <c r="AB567" s="34">
        <f>IF($J567="","",IFERROR(INDEX(코드설정!$D$5:$D$24,MATCH($J567,코드설정!$C$5:$C$24,0)),""))</f>
        <v/>
      </c>
      <c r="AC567" s="36" t="n"/>
      <c r="AD567" s="37" t="n"/>
      <c r="AE567" s="38" t="n"/>
      <c r="AF567" s="30">
        <f>IF(OR($B567="",$C567=""),"",$C567-$B567+1)</f>
        <v/>
      </c>
      <c r="AG567" s="32" t="n"/>
      <c r="AH567" s="36" t="n"/>
      <c r="AJ567">
        <f>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  <c r="AX567">
        <f>AW567&amp;IF($Y567="","",", "&amp;$Y567)</f>
        <v/>
      </c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0">
        <f>IF($F568="","",COUNTIF($F$5:$F568,$F568))</f>
        <v/>
      </c>
      <c r="H568" s="33">
        <f>IF($F568="","",IFERROR(INDEX(사건마스터!$B$5:$B$64,MATCH($F568,사건마스터!$A$5:$A$64,0)),""))</f>
        <v/>
      </c>
      <c r="I568" s="34">
        <f>IF($F568="","",IFERROR(INDEX(사건마스터!$C$5:$C$64,MATCH($F568,사건마스터!$A$5:$A$64,0)),""))</f>
        <v/>
      </c>
      <c r="J568" s="35">
        <f>IF($F568="","",IFERROR(INDEX(사건마스터!$H$5:$H$64,MATCH($F568,사건마스터!$A$5:$A$64,0)),""))</f>
        <v/>
      </c>
      <c r="K568" s="35">
        <f>IF($F568="","",IFERROR(INDEX(사건마스터!$AH$5:$AH$64,MATCH($F568,사건마스터!$A$5:$A$64,0)),""))</f>
        <v/>
      </c>
      <c r="L568" s="35">
        <f>IF($F568="","",IFERROR(INDEX(사건마스터!$AI$5:$AI$64,MATCH($F568,사건마스터!$A$5:$A$64,0)),""))</f>
        <v/>
      </c>
      <c r="M568" s="35">
        <f>IF($F568="","",IFERROR(INDEX(사건마스터!$AJ$5:$AJ$64,MATCH($F568,사건마스터!$A$5:$A$64,0)),""))</f>
        <v/>
      </c>
      <c r="N568" s="35">
        <f>IF($F568="","",IFERROR(INDEX(사건마스터!$AK$5:$AK$64,MATCH($F568,사건마스터!$A$5:$A$64,0)),""))</f>
        <v/>
      </c>
      <c r="O568" s="35">
        <f>IF($F568="","",IFERROR(INDEX(사건마스터!$AL$5:$AL$64,MATCH($F568,사건마스터!$A$5:$A$64,0)),""))</f>
        <v/>
      </c>
      <c r="P568" s="35">
        <f>IF($F568="","",IFERROR(INDEX(사건마스터!$AM$5:$AM$64,MATCH($F568,사건마스터!$A$5:$A$64,0)),""))</f>
        <v/>
      </c>
      <c r="Q568" s="35">
        <f>IF($F568="","",IFERROR(INDEX(사건마스터!$AN$5:$AN$64,MATCH($F568,사건마스터!$A$5:$A$64,0)),""))</f>
        <v/>
      </c>
      <c r="R568" s="35">
        <f>IF($F568="","",IFERROR(INDEX(사건마스터!$AO$5:$AO$64,MATCH($F568,사건마스터!$A$5:$A$64,0)),""))</f>
        <v/>
      </c>
      <c r="S568" s="35">
        <f>IF($F568="","",IFERROR(INDEX(사건마스터!$AP$5:$AP$64,MATCH($F568,사건마스터!$A$5:$A$64,0)),""))</f>
        <v/>
      </c>
      <c r="T568" s="35">
        <f>IF($F568="","",IFERROR(INDEX(사건마스터!$AQ$5:$AQ$64,MATCH($F568,사건마스터!$A$5:$A$64,0)),""))</f>
        <v/>
      </c>
      <c r="U568" s="35">
        <f>IF($F568="","",IFERROR(INDEX(사건마스터!$AR$5:$AR$64,MATCH($F568,사건마스터!$A$5:$A$64,0)),""))</f>
        <v/>
      </c>
      <c r="V568" s="35">
        <f>IF($F568="","",IFERROR(INDEX(사건마스터!$AS$5:$AS$64,MATCH($F568,사건마스터!$A$5:$A$64,0)),""))</f>
        <v/>
      </c>
      <c r="W568" s="35">
        <f>IF($F568="","",IFERROR(INDEX(사건마스터!$AT$5:$AT$64,MATCH($F568,사건마스터!$A$5:$A$64,0)),""))</f>
        <v/>
      </c>
      <c r="X568" s="35">
        <f>IF($F568="","",IFERROR(INDEX(사건마스터!$AU$5:$AU$64,MATCH($F568,사건마스터!$A$5:$A$64,0)),""))</f>
        <v/>
      </c>
      <c r="Y568" s="35">
        <f>IF($F568="","",IFERROR(INDEX(사건마스터!$AV$5:$AV$64,MATCH($F568,사건마스터!$A$5:$A$64,0)),""))</f>
        <v/>
      </c>
      <c r="Z568" s="30">
        <f>IF(COUNTBLANK($J568:$Y568)=16,"",16-COUNTBLANK($J568:$Y568))</f>
        <v/>
      </c>
      <c r="AA568" s="33">
        <f>IF($J568="",MID($AX568,3,255),$J568&amp;$AX568)</f>
        <v/>
      </c>
      <c r="AB568" s="34">
        <f>IF($J568="","",IFERROR(INDEX(코드설정!$D$5:$D$24,MATCH($J568,코드설정!$C$5:$C$24,0)),""))</f>
        <v/>
      </c>
      <c r="AC568" s="36" t="n"/>
      <c r="AD568" s="37" t="n"/>
      <c r="AE568" s="38" t="n"/>
      <c r="AF568" s="30">
        <f>IF(OR($B568="",$C568=""),"",$C568-$B568+1)</f>
        <v/>
      </c>
      <c r="AG568" s="32" t="n"/>
      <c r="AH568" s="36" t="n"/>
      <c r="AJ568">
        <f>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  <c r="AX568">
        <f>AW568&amp;IF($Y568="","",", "&amp;$Y568)</f>
        <v/>
      </c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0">
        <f>IF($F569="","",COUNTIF($F$5:$F569,$F569))</f>
        <v/>
      </c>
      <c r="H569" s="33">
        <f>IF($F569="","",IFERROR(INDEX(사건마스터!$B$5:$B$64,MATCH($F569,사건마스터!$A$5:$A$64,0)),""))</f>
        <v/>
      </c>
      <c r="I569" s="34">
        <f>IF($F569="","",IFERROR(INDEX(사건마스터!$C$5:$C$64,MATCH($F569,사건마스터!$A$5:$A$64,0)),""))</f>
        <v/>
      </c>
      <c r="J569" s="35">
        <f>IF($F569="","",IFERROR(INDEX(사건마스터!$H$5:$H$64,MATCH($F569,사건마스터!$A$5:$A$64,0)),""))</f>
        <v/>
      </c>
      <c r="K569" s="35">
        <f>IF($F569="","",IFERROR(INDEX(사건마스터!$AH$5:$AH$64,MATCH($F569,사건마스터!$A$5:$A$64,0)),""))</f>
        <v/>
      </c>
      <c r="L569" s="35">
        <f>IF($F569="","",IFERROR(INDEX(사건마스터!$AI$5:$AI$64,MATCH($F569,사건마스터!$A$5:$A$64,0)),""))</f>
        <v/>
      </c>
      <c r="M569" s="35">
        <f>IF($F569="","",IFERROR(INDEX(사건마스터!$AJ$5:$AJ$64,MATCH($F569,사건마스터!$A$5:$A$64,0)),""))</f>
        <v/>
      </c>
      <c r="N569" s="35">
        <f>IF($F569="","",IFERROR(INDEX(사건마스터!$AK$5:$AK$64,MATCH($F569,사건마스터!$A$5:$A$64,0)),""))</f>
        <v/>
      </c>
      <c r="O569" s="35">
        <f>IF($F569="","",IFERROR(INDEX(사건마스터!$AL$5:$AL$64,MATCH($F569,사건마스터!$A$5:$A$64,0)),""))</f>
        <v/>
      </c>
      <c r="P569" s="35">
        <f>IF($F569="","",IFERROR(INDEX(사건마스터!$AM$5:$AM$64,MATCH($F569,사건마스터!$A$5:$A$64,0)),""))</f>
        <v/>
      </c>
      <c r="Q569" s="35">
        <f>IF($F569="","",IFERROR(INDEX(사건마스터!$AN$5:$AN$64,MATCH($F569,사건마스터!$A$5:$A$64,0)),""))</f>
        <v/>
      </c>
      <c r="R569" s="35">
        <f>IF($F569="","",IFERROR(INDEX(사건마스터!$AO$5:$AO$64,MATCH($F569,사건마스터!$A$5:$A$64,0)),""))</f>
        <v/>
      </c>
      <c r="S569" s="35">
        <f>IF($F569="","",IFERROR(INDEX(사건마스터!$AP$5:$AP$64,MATCH($F569,사건마스터!$A$5:$A$64,0)),""))</f>
        <v/>
      </c>
      <c r="T569" s="35">
        <f>IF($F569="","",IFERROR(INDEX(사건마스터!$AQ$5:$AQ$64,MATCH($F569,사건마스터!$A$5:$A$64,0)),""))</f>
        <v/>
      </c>
      <c r="U569" s="35">
        <f>IF($F569="","",IFERROR(INDEX(사건마스터!$AR$5:$AR$64,MATCH($F569,사건마스터!$A$5:$A$64,0)),""))</f>
        <v/>
      </c>
      <c r="V569" s="35">
        <f>IF($F569="","",IFERROR(INDEX(사건마스터!$AS$5:$AS$64,MATCH($F569,사건마스터!$A$5:$A$64,0)),""))</f>
        <v/>
      </c>
      <c r="W569" s="35">
        <f>IF($F569="","",IFERROR(INDEX(사건마스터!$AT$5:$AT$64,MATCH($F569,사건마스터!$A$5:$A$64,0)),""))</f>
        <v/>
      </c>
      <c r="X569" s="35">
        <f>IF($F569="","",IFERROR(INDEX(사건마스터!$AU$5:$AU$64,MATCH($F569,사건마스터!$A$5:$A$64,0)),""))</f>
        <v/>
      </c>
      <c r="Y569" s="35">
        <f>IF($F569="","",IFERROR(INDEX(사건마스터!$AV$5:$AV$64,MATCH($F569,사건마스터!$A$5:$A$64,0)),""))</f>
        <v/>
      </c>
      <c r="Z569" s="30">
        <f>IF(COUNTBLANK($J569:$Y569)=16,"",16-COUNTBLANK($J569:$Y569))</f>
        <v/>
      </c>
      <c r="AA569" s="33">
        <f>IF($J569="",MID($AX569,3,255),$J569&amp;$AX569)</f>
        <v/>
      </c>
      <c r="AB569" s="34">
        <f>IF($J569="","",IFERROR(INDEX(코드설정!$D$5:$D$24,MATCH($J569,코드설정!$C$5:$C$24,0)),""))</f>
        <v/>
      </c>
      <c r="AC569" s="36" t="n"/>
      <c r="AD569" s="37" t="n"/>
      <c r="AE569" s="38" t="n"/>
      <c r="AF569" s="30">
        <f>IF(OR($B569="",$C569=""),"",$C569-$B569+1)</f>
        <v/>
      </c>
      <c r="AG569" s="32" t="n"/>
      <c r="AH569" s="36" t="n"/>
      <c r="AJ569">
        <f>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  <c r="AX569">
        <f>AW569&amp;IF($Y569="","",", "&amp;$Y569)</f>
        <v/>
      </c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0">
        <f>IF($F570="","",COUNTIF($F$5:$F570,$F570))</f>
        <v/>
      </c>
      <c r="H570" s="33">
        <f>IF($F570="","",IFERROR(INDEX(사건마스터!$B$5:$B$64,MATCH($F570,사건마스터!$A$5:$A$64,0)),""))</f>
        <v/>
      </c>
      <c r="I570" s="34">
        <f>IF($F570="","",IFERROR(INDEX(사건마스터!$C$5:$C$64,MATCH($F570,사건마스터!$A$5:$A$64,0)),""))</f>
        <v/>
      </c>
      <c r="J570" s="35">
        <f>IF($F570="","",IFERROR(INDEX(사건마스터!$H$5:$H$64,MATCH($F570,사건마스터!$A$5:$A$64,0)),""))</f>
        <v/>
      </c>
      <c r="K570" s="35">
        <f>IF($F570="","",IFERROR(INDEX(사건마스터!$AH$5:$AH$64,MATCH($F570,사건마스터!$A$5:$A$64,0)),""))</f>
        <v/>
      </c>
      <c r="L570" s="35">
        <f>IF($F570="","",IFERROR(INDEX(사건마스터!$AI$5:$AI$64,MATCH($F570,사건마스터!$A$5:$A$64,0)),""))</f>
        <v/>
      </c>
      <c r="M570" s="35">
        <f>IF($F570="","",IFERROR(INDEX(사건마스터!$AJ$5:$AJ$64,MATCH($F570,사건마스터!$A$5:$A$64,0)),""))</f>
        <v/>
      </c>
      <c r="N570" s="35">
        <f>IF($F570="","",IFERROR(INDEX(사건마스터!$AK$5:$AK$64,MATCH($F570,사건마스터!$A$5:$A$64,0)),""))</f>
        <v/>
      </c>
      <c r="O570" s="35">
        <f>IF($F570="","",IFERROR(INDEX(사건마스터!$AL$5:$AL$64,MATCH($F570,사건마스터!$A$5:$A$64,0)),""))</f>
        <v/>
      </c>
      <c r="P570" s="35">
        <f>IF($F570="","",IFERROR(INDEX(사건마스터!$AM$5:$AM$64,MATCH($F570,사건마스터!$A$5:$A$64,0)),""))</f>
        <v/>
      </c>
      <c r="Q570" s="35">
        <f>IF($F570="","",IFERROR(INDEX(사건마스터!$AN$5:$AN$64,MATCH($F570,사건마스터!$A$5:$A$64,0)),""))</f>
        <v/>
      </c>
      <c r="R570" s="35">
        <f>IF($F570="","",IFERROR(INDEX(사건마스터!$AO$5:$AO$64,MATCH($F570,사건마스터!$A$5:$A$64,0)),""))</f>
        <v/>
      </c>
      <c r="S570" s="35">
        <f>IF($F570="","",IFERROR(INDEX(사건마스터!$AP$5:$AP$64,MATCH($F570,사건마스터!$A$5:$A$64,0)),""))</f>
        <v/>
      </c>
      <c r="T570" s="35">
        <f>IF($F570="","",IFERROR(INDEX(사건마스터!$AQ$5:$AQ$64,MATCH($F570,사건마스터!$A$5:$A$64,0)),""))</f>
        <v/>
      </c>
      <c r="U570" s="35">
        <f>IF($F570="","",IFERROR(INDEX(사건마스터!$AR$5:$AR$64,MATCH($F570,사건마스터!$A$5:$A$64,0)),""))</f>
        <v/>
      </c>
      <c r="V570" s="35">
        <f>IF($F570="","",IFERROR(INDEX(사건마스터!$AS$5:$AS$64,MATCH($F570,사건마스터!$A$5:$A$64,0)),""))</f>
        <v/>
      </c>
      <c r="W570" s="35">
        <f>IF($F570="","",IFERROR(INDEX(사건마스터!$AT$5:$AT$64,MATCH($F570,사건마스터!$A$5:$A$64,0)),""))</f>
        <v/>
      </c>
      <c r="X570" s="35">
        <f>IF($F570="","",IFERROR(INDEX(사건마스터!$AU$5:$AU$64,MATCH($F570,사건마스터!$A$5:$A$64,0)),""))</f>
        <v/>
      </c>
      <c r="Y570" s="35">
        <f>IF($F570="","",IFERROR(INDEX(사건마스터!$AV$5:$AV$64,MATCH($F570,사건마스터!$A$5:$A$64,0)),""))</f>
        <v/>
      </c>
      <c r="Z570" s="30">
        <f>IF(COUNTBLANK($J570:$Y570)=16,"",16-COUNTBLANK($J570:$Y570))</f>
        <v/>
      </c>
      <c r="AA570" s="33">
        <f>IF($J570="",MID($AX570,3,255),$J570&amp;$AX570)</f>
        <v/>
      </c>
      <c r="AB570" s="34">
        <f>IF($J570="","",IFERROR(INDEX(코드설정!$D$5:$D$24,MATCH($J570,코드설정!$C$5:$C$24,0)),""))</f>
        <v/>
      </c>
      <c r="AC570" s="36" t="n"/>
      <c r="AD570" s="37" t="n"/>
      <c r="AE570" s="38" t="n"/>
      <c r="AF570" s="30">
        <f>IF(OR($B570="",$C570=""),"",$C570-$B570+1)</f>
        <v/>
      </c>
      <c r="AG570" s="32" t="n"/>
      <c r="AH570" s="36" t="n"/>
      <c r="AJ570">
        <f>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  <c r="AX570">
        <f>AW570&amp;IF($Y570="","",", "&amp;$Y570)</f>
        <v/>
      </c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0">
        <f>IF($F571="","",COUNTIF($F$5:$F571,$F571))</f>
        <v/>
      </c>
      <c r="H571" s="33">
        <f>IF($F571="","",IFERROR(INDEX(사건마스터!$B$5:$B$64,MATCH($F571,사건마스터!$A$5:$A$64,0)),""))</f>
        <v/>
      </c>
      <c r="I571" s="34">
        <f>IF($F571="","",IFERROR(INDEX(사건마스터!$C$5:$C$64,MATCH($F571,사건마스터!$A$5:$A$64,0)),""))</f>
        <v/>
      </c>
      <c r="J571" s="35">
        <f>IF($F571="","",IFERROR(INDEX(사건마스터!$H$5:$H$64,MATCH($F571,사건마스터!$A$5:$A$64,0)),""))</f>
        <v/>
      </c>
      <c r="K571" s="35">
        <f>IF($F571="","",IFERROR(INDEX(사건마스터!$AH$5:$AH$64,MATCH($F571,사건마스터!$A$5:$A$64,0)),""))</f>
        <v/>
      </c>
      <c r="L571" s="35">
        <f>IF($F571="","",IFERROR(INDEX(사건마스터!$AI$5:$AI$64,MATCH($F571,사건마스터!$A$5:$A$64,0)),""))</f>
        <v/>
      </c>
      <c r="M571" s="35">
        <f>IF($F571="","",IFERROR(INDEX(사건마스터!$AJ$5:$AJ$64,MATCH($F571,사건마스터!$A$5:$A$64,0)),""))</f>
        <v/>
      </c>
      <c r="N571" s="35">
        <f>IF($F571="","",IFERROR(INDEX(사건마스터!$AK$5:$AK$64,MATCH($F571,사건마스터!$A$5:$A$64,0)),""))</f>
        <v/>
      </c>
      <c r="O571" s="35">
        <f>IF($F571="","",IFERROR(INDEX(사건마스터!$AL$5:$AL$64,MATCH($F571,사건마스터!$A$5:$A$64,0)),""))</f>
        <v/>
      </c>
      <c r="P571" s="35">
        <f>IF($F571="","",IFERROR(INDEX(사건마스터!$AM$5:$AM$64,MATCH($F571,사건마스터!$A$5:$A$64,0)),""))</f>
        <v/>
      </c>
      <c r="Q571" s="35">
        <f>IF($F571="","",IFERROR(INDEX(사건마스터!$AN$5:$AN$64,MATCH($F571,사건마스터!$A$5:$A$64,0)),""))</f>
        <v/>
      </c>
      <c r="R571" s="35">
        <f>IF($F571="","",IFERROR(INDEX(사건마스터!$AO$5:$AO$64,MATCH($F571,사건마스터!$A$5:$A$64,0)),""))</f>
        <v/>
      </c>
      <c r="S571" s="35">
        <f>IF($F571="","",IFERROR(INDEX(사건마스터!$AP$5:$AP$64,MATCH($F571,사건마스터!$A$5:$A$64,0)),""))</f>
        <v/>
      </c>
      <c r="T571" s="35">
        <f>IF($F571="","",IFERROR(INDEX(사건마스터!$AQ$5:$AQ$64,MATCH($F571,사건마스터!$A$5:$A$64,0)),""))</f>
        <v/>
      </c>
      <c r="U571" s="35">
        <f>IF($F571="","",IFERROR(INDEX(사건마스터!$AR$5:$AR$64,MATCH($F571,사건마스터!$A$5:$A$64,0)),""))</f>
        <v/>
      </c>
      <c r="V571" s="35">
        <f>IF($F571="","",IFERROR(INDEX(사건마스터!$AS$5:$AS$64,MATCH($F571,사건마스터!$A$5:$A$64,0)),""))</f>
        <v/>
      </c>
      <c r="W571" s="35">
        <f>IF($F571="","",IFERROR(INDEX(사건마스터!$AT$5:$AT$64,MATCH($F571,사건마스터!$A$5:$A$64,0)),""))</f>
        <v/>
      </c>
      <c r="X571" s="35">
        <f>IF($F571="","",IFERROR(INDEX(사건마스터!$AU$5:$AU$64,MATCH($F571,사건마스터!$A$5:$A$64,0)),""))</f>
        <v/>
      </c>
      <c r="Y571" s="35">
        <f>IF($F571="","",IFERROR(INDEX(사건마스터!$AV$5:$AV$64,MATCH($F571,사건마스터!$A$5:$A$64,0)),""))</f>
        <v/>
      </c>
      <c r="Z571" s="30">
        <f>IF(COUNTBLANK($J571:$Y571)=16,"",16-COUNTBLANK($J571:$Y571))</f>
        <v/>
      </c>
      <c r="AA571" s="33">
        <f>IF($J571="",MID($AX571,3,255),$J571&amp;$AX571)</f>
        <v/>
      </c>
      <c r="AB571" s="34">
        <f>IF($J571="","",IFERROR(INDEX(코드설정!$D$5:$D$24,MATCH($J571,코드설정!$C$5:$C$24,0)),""))</f>
        <v/>
      </c>
      <c r="AC571" s="36" t="n"/>
      <c r="AD571" s="37" t="n"/>
      <c r="AE571" s="38" t="n"/>
      <c r="AF571" s="30">
        <f>IF(OR($B571="",$C571=""),"",$C571-$B571+1)</f>
        <v/>
      </c>
      <c r="AG571" s="32" t="n"/>
      <c r="AH571" s="36" t="n"/>
      <c r="AJ571">
        <f>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  <c r="AX571">
        <f>AW571&amp;IF($Y571="","",", "&amp;$Y571)</f>
        <v/>
      </c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0">
        <f>IF($F572="","",COUNTIF($F$5:$F572,$F572))</f>
        <v/>
      </c>
      <c r="H572" s="33">
        <f>IF($F572="","",IFERROR(INDEX(사건마스터!$B$5:$B$64,MATCH($F572,사건마스터!$A$5:$A$64,0)),""))</f>
        <v/>
      </c>
      <c r="I572" s="34">
        <f>IF($F572="","",IFERROR(INDEX(사건마스터!$C$5:$C$64,MATCH($F572,사건마스터!$A$5:$A$64,0)),""))</f>
        <v/>
      </c>
      <c r="J572" s="35">
        <f>IF($F572="","",IFERROR(INDEX(사건마스터!$H$5:$H$64,MATCH($F572,사건마스터!$A$5:$A$64,0)),""))</f>
        <v/>
      </c>
      <c r="K572" s="35">
        <f>IF($F572="","",IFERROR(INDEX(사건마스터!$AH$5:$AH$64,MATCH($F572,사건마스터!$A$5:$A$64,0)),""))</f>
        <v/>
      </c>
      <c r="L572" s="35">
        <f>IF($F572="","",IFERROR(INDEX(사건마스터!$AI$5:$AI$64,MATCH($F572,사건마스터!$A$5:$A$64,0)),""))</f>
        <v/>
      </c>
      <c r="M572" s="35">
        <f>IF($F572="","",IFERROR(INDEX(사건마스터!$AJ$5:$AJ$64,MATCH($F572,사건마스터!$A$5:$A$64,0)),""))</f>
        <v/>
      </c>
      <c r="N572" s="35">
        <f>IF($F572="","",IFERROR(INDEX(사건마스터!$AK$5:$AK$64,MATCH($F572,사건마스터!$A$5:$A$64,0)),""))</f>
        <v/>
      </c>
      <c r="O572" s="35">
        <f>IF($F572="","",IFERROR(INDEX(사건마스터!$AL$5:$AL$64,MATCH($F572,사건마스터!$A$5:$A$64,0)),""))</f>
        <v/>
      </c>
      <c r="P572" s="35">
        <f>IF($F572="","",IFERROR(INDEX(사건마스터!$AM$5:$AM$64,MATCH($F572,사건마스터!$A$5:$A$64,0)),""))</f>
        <v/>
      </c>
      <c r="Q572" s="35">
        <f>IF($F572="","",IFERROR(INDEX(사건마스터!$AN$5:$AN$64,MATCH($F572,사건마스터!$A$5:$A$64,0)),""))</f>
        <v/>
      </c>
      <c r="R572" s="35">
        <f>IF($F572="","",IFERROR(INDEX(사건마스터!$AO$5:$AO$64,MATCH($F572,사건마스터!$A$5:$A$64,0)),""))</f>
        <v/>
      </c>
      <c r="S572" s="35">
        <f>IF($F572="","",IFERROR(INDEX(사건마스터!$AP$5:$AP$64,MATCH($F572,사건마스터!$A$5:$A$64,0)),""))</f>
        <v/>
      </c>
      <c r="T572" s="35">
        <f>IF($F572="","",IFERROR(INDEX(사건마스터!$AQ$5:$AQ$64,MATCH($F572,사건마스터!$A$5:$A$64,0)),""))</f>
        <v/>
      </c>
      <c r="U572" s="35">
        <f>IF($F572="","",IFERROR(INDEX(사건마스터!$AR$5:$AR$64,MATCH($F572,사건마스터!$A$5:$A$64,0)),""))</f>
        <v/>
      </c>
      <c r="V572" s="35">
        <f>IF($F572="","",IFERROR(INDEX(사건마스터!$AS$5:$AS$64,MATCH($F572,사건마스터!$A$5:$A$64,0)),""))</f>
        <v/>
      </c>
      <c r="W572" s="35">
        <f>IF($F572="","",IFERROR(INDEX(사건마스터!$AT$5:$AT$64,MATCH($F572,사건마스터!$A$5:$A$64,0)),""))</f>
        <v/>
      </c>
      <c r="X572" s="35">
        <f>IF($F572="","",IFERROR(INDEX(사건마스터!$AU$5:$AU$64,MATCH($F572,사건마스터!$A$5:$A$64,0)),""))</f>
        <v/>
      </c>
      <c r="Y572" s="35">
        <f>IF($F572="","",IFERROR(INDEX(사건마스터!$AV$5:$AV$64,MATCH($F572,사건마스터!$A$5:$A$64,0)),""))</f>
        <v/>
      </c>
      <c r="Z572" s="30">
        <f>IF(COUNTBLANK($J572:$Y572)=16,"",16-COUNTBLANK($J572:$Y572))</f>
        <v/>
      </c>
      <c r="AA572" s="33">
        <f>IF($J572="",MID($AX572,3,255),$J572&amp;$AX572)</f>
        <v/>
      </c>
      <c r="AB572" s="34">
        <f>IF($J572="","",IFERROR(INDEX(코드설정!$D$5:$D$24,MATCH($J572,코드설정!$C$5:$C$24,0)),""))</f>
        <v/>
      </c>
      <c r="AC572" s="36" t="n"/>
      <c r="AD572" s="37" t="n"/>
      <c r="AE572" s="38" t="n"/>
      <c r="AF572" s="30">
        <f>IF(OR($B572="",$C572=""),"",$C572-$B572+1)</f>
        <v/>
      </c>
      <c r="AG572" s="32" t="n"/>
      <c r="AH572" s="36" t="n"/>
      <c r="AJ572">
        <f>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  <c r="AX572">
        <f>AW572&amp;IF($Y572="","",", "&amp;$Y572)</f>
        <v/>
      </c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0">
        <f>IF($F573="","",COUNTIF($F$5:$F573,$F573))</f>
        <v/>
      </c>
      <c r="H573" s="33">
        <f>IF($F573="","",IFERROR(INDEX(사건마스터!$B$5:$B$64,MATCH($F573,사건마스터!$A$5:$A$64,0)),""))</f>
        <v/>
      </c>
      <c r="I573" s="34">
        <f>IF($F573="","",IFERROR(INDEX(사건마스터!$C$5:$C$64,MATCH($F573,사건마스터!$A$5:$A$64,0)),""))</f>
        <v/>
      </c>
      <c r="J573" s="35">
        <f>IF($F573="","",IFERROR(INDEX(사건마스터!$H$5:$H$64,MATCH($F573,사건마스터!$A$5:$A$64,0)),""))</f>
        <v/>
      </c>
      <c r="K573" s="35">
        <f>IF($F573="","",IFERROR(INDEX(사건마스터!$AH$5:$AH$64,MATCH($F573,사건마스터!$A$5:$A$64,0)),""))</f>
        <v/>
      </c>
      <c r="L573" s="35">
        <f>IF($F573="","",IFERROR(INDEX(사건마스터!$AI$5:$AI$64,MATCH($F573,사건마스터!$A$5:$A$64,0)),""))</f>
        <v/>
      </c>
      <c r="M573" s="35">
        <f>IF($F573="","",IFERROR(INDEX(사건마스터!$AJ$5:$AJ$64,MATCH($F573,사건마스터!$A$5:$A$64,0)),""))</f>
        <v/>
      </c>
      <c r="N573" s="35">
        <f>IF($F573="","",IFERROR(INDEX(사건마스터!$AK$5:$AK$64,MATCH($F573,사건마스터!$A$5:$A$64,0)),""))</f>
        <v/>
      </c>
      <c r="O573" s="35">
        <f>IF($F573="","",IFERROR(INDEX(사건마스터!$AL$5:$AL$64,MATCH($F573,사건마스터!$A$5:$A$64,0)),""))</f>
        <v/>
      </c>
      <c r="P573" s="35">
        <f>IF($F573="","",IFERROR(INDEX(사건마스터!$AM$5:$AM$64,MATCH($F573,사건마스터!$A$5:$A$64,0)),""))</f>
        <v/>
      </c>
      <c r="Q573" s="35">
        <f>IF($F573="","",IFERROR(INDEX(사건마스터!$AN$5:$AN$64,MATCH($F573,사건마스터!$A$5:$A$64,0)),""))</f>
        <v/>
      </c>
      <c r="R573" s="35">
        <f>IF($F573="","",IFERROR(INDEX(사건마스터!$AO$5:$AO$64,MATCH($F573,사건마스터!$A$5:$A$64,0)),""))</f>
        <v/>
      </c>
      <c r="S573" s="35">
        <f>IF($F573="","",IFERROR(INDEX(사건마스터!$AP$5:$AP$64,MATCH($F573,사건마스터!$A$5:$A$64,0)),""))</f>
        <v/>
      </c>
      <c r="T573" s="35">
        <f>IF($F573="","",IFERROR(INDEX(사건마스터!$AQ$5:$AQ$64,MATCH($F573,사건마스터!$A$5:$A$64,0)),""))</f>
        <v/>
      </c>
      <c r="U573" s="35">
        <f>IF($F573="","",IFERROR(INDEX(사건마스터!$AR$5:$AR$64,MATCH($F573,사건마스터!$A$5:$A$64,0)),""))</f>
        <v/>
      </c>
      <c r="V573" s="35">
        <f>IF($F573="","",IFERROR(INDEX(사건마스터!$AS$5:$AS$64,MATCH($F573,사건마스터!$A$5:$A$64,0)),""))</f>
        <v/>
      </c>
      <c r="W573" s="35">
        <f>IF($F573="","",IFERROR(INDEX(사건마스터!$AT$5:$AT$64,MATCH($F573,사건마스터!$A$5:$A$64,0)),""))</f>
        <v/>
      </c>
      <c r="X573" s="35">
        <f>IF($F573="","",IFERROR(INDEX(사건마스터!$AU$5:$AU$64,MATCH($F573,사건마스터!$A$5:$A$64,0)),""))</f>
        <v/>
      </c>
      <c r="Y573" s="35">
        <f>IF($F573="","",IFERROR(INDEX(사건마스터!$AV$5:$AV$64,MATCH($F573,사건마스터!$A$5:$A$64,0)),""))</f>
        <v/>
      </c>
      <c r="Z573" s="30">
        <f>IF(COUNTBLANK($J573:$Y573)=16,"",16-COUNTBLANK($J573:$Y573))</f>
        <v/>
      </c>
      <c r="AA573" s="33">
        <f>IF($J573="",MID($AX573,3,255),$J573&amp;$AX573)</f>
        <v/>
      </c>
      <c r="AB573" s="34">
        <f>IF($J573="","",IFERROR(INDEX(코드설정!$D$5:$D$24,MATCH($J573,코드설정!$C$5:$C$24,0)),""))</f>
        <v/>
      </c>
      <c r="AC573" s="36" t="n"/>
      <c r="AD573" s="37" t="n"/>
      <c r="AE573" s="38" t="n"/>
      <c r="AF573" s="30">
        <f>IF(OR($B573="",$C573=""),"",$C573-$B573+1)</f>
        <v/>
      </c>
      <c r="AG573" s="32" t="n"/>
      <c r="AH573" s="36" t="n"/>
      <c r="AJ573">
        <f>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  <c r="AX573">
        <f>AW573&amp;IF($Y573="","",", "&amp;$Y573)</f>
        <v/>
      </c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0">
        <f>IF($F574="","",COUNTIF($F$5:$F574,$F574))</f>
        <v/>
      </c>
      <c r="H574" s="33">
        <f>IF($F574="","",IFERROR(INDEX(사건마스터!$B$5:$B$64,MATCH($F574,사건마스터!$A$5:$A$64,0)),""))</f>
        <v/>
      </c>
      <c r="I574" s="34">
        <f>IF($F574="","",IFERROR(INDEX(사건마스터!$C$5:$C$64,MATCH($F574,사건마스터!$A$5:$A$64,0)),""))</f>
        <v/>
      </c>
      <c r="J574" s="35">
        <f>IF($F574="","",IFERROR(INDEX(사건마스터!$H$5:$H$64,MATCH($F574,사건마스터!$A$5:$A$64,0)),""))</f>
        <v/>
      </c>
      <c r="K574" s="35">
        <f>IF($F574="","",IFERROR(INDEX(사건마스터!$AH$5:$AH$64,MATCH($F574,사건마스터!$A$5:$A$64,0)),""))</f>
        <v/>
      </c>
      <c r="L574" s="35">
        <f>IF($F574="","",IFERROR(INDEX(사건마스터!$AI$5:$AI$64,MATCH($F574,사건마스터!$A$5:$A$64,0)),""))</f>
        <v/>
      </c>
      <c r="M574" s="35">
        <f>IF($F574="","",IFERROR(INDEX(사건마스터!$AJ$5:$AJ$64,MATCH($F574,사건마스터!$A$5:$A$64,0)),""))</f>
        <v/>
      </c>
      <c r="N574" s="35">
        <f>IF($F574="","",IFERROR(INDEX(사건마스터!$AK$5:$AK$64,MATCH($F574,사건마스터!$A$5:$A$64,0)),""))</f>
        <v/>
      </c>
      <c r="O574" s="35">
        <f>IF($F574="","",IFERROR(INDEX(사건마스터!$AL$5:$AL$64,MATCH($F574,사건마스터!$A$5:$A$64,0)),""))</f>
        <v/>
      </c>
      <c r="P574" s="35">
        <f>IF($F574="","",IFERROR(INDEX(사건마스터!$AM$5:$AM$64,MATCH($F574,사건마스터!$A$5:$A$64,0)),""))</f>
        <v/>
      </c>
      <c r="Q574" s="35">
        <f>IF($F574="","",IFERROR(INDEX(사건마스터!$AN$5:$AN$64,MATCH($F574,사건마스터!$A$5:$A$64,0)),""))</f>
        <v/>
      </c>
      <c r="R574" s="35">
        <f>IF($F574="","",IFERROR(INDEX(사건마스터!$AO$5:$AO$64,MATCH($F574,사건마스터!$A$5:$A$64,0)),""))</f>
        <v/>
      </c>
      <c r="S574" s="35">
        <f>IF($F574="","",IFERROR(INDEX(사건마스터!$AP$5:$AP$64,MATCH($F574,사건마스터!$A$5:$A$64,0)),""))</f>
        <v/>
      </c>
      <c r="T574" s="35">
        <f>IF($F574="","",IFERROR(INDEX(사건마스터!$AQ$5:$AQ$64,MATCH($F574,사건마스터!$A$5:$A$64,0)),""))</f>
        <v/>
      </c>
      <c r="U574" s="35">
        <f>IF($F574="","",IFERROR(INDEX(사건마스터!$AR$5:$AR$64,MATCH($F574,사건마스터!$A$5:$A$64,0)),""))</f>
        <v/>
      </c>
      <c r="V574" s="35">
        <f>IF($F574="","",IFERROR(INDEX(사건마스터!$AS$5:$AS$64,MATCH($F574,사건마스터!$A$5:$A$64,0)),""))</f>
        <v/>
      </c>
      <c r="W574" s="35">
        <f>IF($F574="","",IFERROR(INDEX(사건마스터!$AT$5:$AT$64,MATCH($F574,사건마스터!$A$5:$A$64,0)),""))</f>
        <v/>
      </c>
      <c r="X574" s="35">
        <f>IF($F574="","",IFERROR(INDEX(사건마스터!$AU$5:$AU$64,MATCH($F574,사건마스터!$A$5:$A$64,0)),""))</f>
        <v/>
      </c>
      <c r="Y574" s="35">
        <f>IF($F574="","",IFERROR(INDEX(사건마스터!$AV$5:$AV$64,MATCH($F574,사건마스터!$A$5:$A$64,0)),""))</f>
        <v/>
      </c>
      <c r="Z574" s="30">
        <f>IF(COUNTBLANK($J574:$Y574)=16,"",16-COUNTBLANK($J574:$Y574))</f>
        <v/>
      </c>
      <c r="AA574" s="33">
        <f>IF($J574="",MID($AX574,3,255),$J574&amp;$AX574)</f>
        <v/>
      </c>
      <c r="AB574" s="34">
        <f>IF($J574="","",IFERROR(INDEX(코드설정!$D$5:$D$24,MATCH($J574,코드설정!$C$5:$C$24,0)),""))</f>
        <v/>
      </c>
      <c r="AC574" s="36" t="n"/>
      <c r="AD574" s="37" t="n"/>
      <c r="AE574" s="38" t="n"/>
      <c r="AF574" s="30">
        <f>IF(OR($B574="",$C574=""),"",$C574-$B574+1)</f>
        <v/>
      </c>
      <c r="AG574" s="32" t="n"/>
      <c r="AH574" s="36" t="n"/>
      <c r="AJ574">
        <f>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  <c r="AX574">
        <f>AW574&amp;IF($Y574="","",", "&amp;$Y574)</f>
        <v/>
      </c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0">
        <f>IF($F575="","",COUNTIF($F$5:$F575,$F575))</f>
        <v/>
      </c>
      <c r="H575" s="33">
        <f>IF($F575="","",IFERROR(INDEX(사건마스터!$B$5:$B$64,MATCH($F575,사건마스터!$A$5:$A$64,0)),""))</f>
        <v/>
      </c>
      <c r="I575" s="34">
        <f>IF($F575="","",IFERROR(INDEX(사건마스터!$C$5:$C$64,MATCH($F575,사건마스터!$A$5:$A$64,0)),""))</f>
        <v/>
      </c>
      <c r="J575" s="35">
        <f>IF($F575="","",IFERROR(INDEX(사건마스터!$H$5:$H$64,MATCH($F575,사건마스터!$A$5:$A$64,0)),""))</f>
        <v/>
      </c>
      <c r="K575" s="35">
        <f>IF($F575="","",IFERROR(INDEX(사건마스터!$AH$5:$AH$64,MATCH($F575,사건마스터!$A$5:$A$64,0)),""))</f>
        <v/>
      </c>
      <c r="L575" s="35">
        <f>IF($F575="","",IFERROR(INDEX(사건마스터!$AI$5:$AI$64,MATCH($F575,사건마스터!$A$5:$A$64,0)),""))</f>
        <v/>
      </c>
      <c r="M575" s="35">
        <f>IF($F575="","",IFERROR(INDEX(사건마스터!$AJ$5:$AJ$64,MATCH($F575,사건마스터!$A$5:$A$64,0)),""))</f>
        <v/>
      </c>
      <c r="N575" s="35">
        <f>IF($F575="","",IFERROR(INDEX(사건마스터!$AK$5:$AK$64,MATCH($F575,사건마스터!$A$5:$A$64,0)),""))</f>
        <v/>
      </c>
      <c r="O575" s="35">
        <f>IF($F575="","",IFERROR(INDEX(사건마스터!$AL$5:$AL$64,MATCH($F575,사건마스터!$A$5:$A$64,0)),""))</f>
        <v/>
      </c>
      <c r="P575" s="35">
        <f>IF($F575="","",IFERROR(INDEX(사건마스터!$AM$5:$AM$64,MATCH($F575,사건마스터!$A$5:$A$64,0)),""))</f>
        <v/>
      </c>
      <c r="Q575" s="35">
        <f>IF($F575="","",IFERROR(INDEX(사건마스터!$AN$5:$AN$64,MATCH($F575,사건마스터!$A$5:$A$64,0)),""))</f>
        <v/>
      </c>
      <c r="R575" s="35">
        <f>IF($F575="","",IFERROR(INDEX(사건마스터!$AO$5:$AO$64,MATCH($F575,사건마스터!$A$5:$A$64,0)),""))</f>
        <v/>
      </c>
      <c r="S575" s="35">
        <f>IF($F575="","",IFERROR(INDEX(사건마스터!$AP$5:$AP$64,MATCH($F575,사건마스터!$A$5:$A$64,0)),""))</f>
        <v/>
      </c>
      <c r="T575" s="35">
        <f>IF($F575="","",IFERROR(INDEX(사건마스터!$AQ$5:$AQ$64,MATCH($F575,사건마스터!$A$5:$A$64,0)),""))</f>
        <v/>
      </c>
      <c r="U575" s="35">
        <f>IF($F575="","",IFERROR(INDEX(사건마스터!$AR$5:$AR$64,MATCH($F575,사건마스터!$A$5:$A$64,0)),""))</f>
        <v/>
      </c>
      <c r="V575" s="35">
        <f>IF($F575="","",IFERROR(INDEX(사건마스터!$AS$5:$AS$64,MATCH($F575,사건마스터!$A$5:$A$64,0)),""))</f>
        <v/>
      </c>
      <c r="W575" s="35">
        <f>IF($F575="","",IFERROR(INDEX(사건마스터!$AT$5:$AT$64,MATCH($F575,사건마스터!$A$5:$A$64,0)),""))</f>
        <v/>
      </c>
      <c r="X575" s="35">
        <f>IF($F575="","",IFERROR(INDEX(사건마스터!$AU$5:$AU$64,MATCH($F575,사건마스터!$A$5:$A$64,0)),""))</f>
        <v/>
      </c>
      <c r="Y575" s="35">
        <f>IF($F575="","",IFERROR(INDEX(사건마스터!$AV$5:$AV$64,MATCH($F575,사건마스터!$A$5:$A$64,0)),""))</f>
        <v/>
      </c>
      <c r="Z575" s="30">
        <f>IF(COUNTBLANK($J575:$Y575)=16,"",16-COUNTBLANK($J575:$Y575))</f>
        <v/>
      </c>
      <c r="AA575" s="33">
        <f>IF($J575="",MID($AX575,3,255),$J575&amp;$AX575)</f>
        <v/>
      </c>
      <c r="AB575" s="34">
        <f>IF($J575="","",IFERROR(INDEX(코드설정!$D$5:$D$24,MATCH($J575,코드설정!$C$5:$C$24,0)),""))</f>
        <v/>
      </c>
      <c r="AC575" s="36" t="n"/>
      <c r="AD575" s="37" t="n"/>
      <c r="AE575" s="38" t="n"/>
      <c r="AF575" s="30">
        <f>IF(OR($B575="",$C575=""),"",$C575-$B575+1)</f>
        <v/>
      </c>
      <c r="AG575" s="32" t="n"/>
      <c r="AH575" s="36" t="n"/>
      <c r="AJ575">
        <f>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  <c r="AX575">
        <f>AW575&amp;IF($Y575="","",", "&amp;$Y575)</f>
        <v/>
      </c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0">
        <f>IF($F576="","",COUNTIF($F$5:$F576,$F576))</f>
        <v/>
      </c>
      <c r="H576" s="33">
        <f>IF($F576="","",IFERROR(INDEX(사건마스터!$B$5:$B$64,MATCH($F576,사건마스터!$A$5:$A$64,0)),""))</f>
        <v/>
      </c>
      <c r="I576" s="34">
        <f>IF($F576="","",IFERROR(INDEX(사건마스터!$C$5:$C$64,MATCH($F576,사건마스터!$A$5:$A$64,0)),""))</f>
        <v/>
      </c>
      <c r="J576" s="35">
        <f>IF($F576="","",IFERROR(INDEX(사건마스터!$H$5:$H$64,MATCH($F576,사건마스터!$A$5:$A$64,0)),""))</f>
        <v/>
      </c>
      <c r="K576" s="35">
        <f>IF($F576="","",IFERROR(INDEX(사건마스터!$AH$5:$AH$64,MATCH($F576,사건마스터!$A$5:$A$64,0)),""))</f>
        <v/>
      </c>
      <c r="L576" s="35">
        <f>IF($F576="","",IFERROR(INDEX(사건마스터!$AI$5:$AI$64,MATCH($F576,사건마스터!$A$5:$A$64,0)),""))</f>
        <v/>
      </c>
      <c r="M576" s="35">
        <f>IF($F576="","",IFERROR(INDEX(사건마스터!$AJ$5:$AJ$64,MATCH($F576,사건마스터!$A$5:$A$64,0)),""))</f>
        <v/>
      </c>
      <c r="N576" s="35">
        <f>IF($F576="","",IFERROR(INDEX(사건마스터!$AK$5:$AK$64,MATCH($F576,사건마스터!$A$5:$A$64,0)),""))</f>
        <v/>
      </c>
      <c r="O576" s="35">
        <f>IF($F576="","",IFERROR(INDEX(사건마스터!$AL$5:$AL$64,MATCH($F576,사건마스터!$A$5:$A$64,0)),""))</f>
        <v/>
      </c>
      <c r="P576" s="35">
        <f>IF($F576="","",IFERROR(INDEX(사건마스터!$AM$5:$AM$64,MATCH($F576,사건마스터!$A$5:$A$64,0)),""))</f>
        <v/>
      </c>
      <c r="Q576" s="35">
        <f>IF($F576="","",IFERROR(INDEX(사건마스터!$AN$5:$AN$64,MATCH($F576,사건마스터!$A$5:$A$64,0)),""))</f>
        <v/>
      </c>
      <c r="R576" s="35">
        <f>IF($F576="","",IFERROR(INDEX(사건마스터!$AO$5:$AO$64,MATCH($F576,사건마스터!$A$5:$A$64,0)),""))</f>
        <v/>
      </c>
      <c r="S576" s="35">
        <f>IF($F576="","",IFERROR(INDEX(사건마스터!$AP$5:$AP$64,MATCH($F576,사건마스터!$A$5:$A$64,0)),""))</f>
        <v/>
      </c>
      <c r="T576" s="35">
        <f>IF($F576="","",IFERROR(INDEX(사건마스터!$AQ$5:$AQ$64,MATCH($F576,사건마스터!$A$5:$A$64,0)),""))</f>
        <v/>
      </c>
      <c r="U576" s="35">
        <f>IF($F576="","",IFERROR(INDEX(사건마스터!$AR$5:$AR$64,MATCH($F576,사건마스터!$A$5:$A$64,0)),""))</f>
        <v/>
      </c>
      <c r="V576" s="35">
        <f>IF($F576="","",IFERROR(INDEX(사건마스터!$AS$5:$AS$64,MATCH($F576,사건마스터!$A$5:$A$64,0)),""))</f>
        <v/>
      </c>
      <c r="W576" s="35">
        <f>IF($F576="","",IFERROR(INDEX(사건마스터!$AT$5:$AT$64,MATCH($F576,사건마스터!$A$5:$A$64,0)),""))</f>
        <v/>
      </c>
      <c r="X576" s="35">
        <f>IF($F576="","",IFERROR(INDEX(사건마스터!$AU$5:$AU$64,MATCH($F576,사건마스터!$A$5:$A$64,0)),""))</f>
        <v/>
      </c>
      <c r="Y576" s="35">
        <f>IF($F576="","",IFERROR(INDEX(사건마스터!$AV$5:$AV$64,MATCH($F576,사건마스터!$A$5:$A$64,0)),""))</f>
        <v/>
      </c>
      <c r="Z576" s="30">
        <f>IF(COUNTBLANK($J576:$Y576)=16,"",16-COUNTBLANK($J576:$Y576))</f>
        <v/>
      </c>
      <c r="AA576" s="33">
        <f>IF($J576="",MID($AX576,3,255),$J576&amp;$AX576)</f>
        <v/>
      </c>
      <c r="AB576" s="34">
        <f>IF($J576="","",IFERROR(INDEX(코드설정!$D$5:$D$24,MATCH($J576,코드설정!$C$5:$C$24,0)),""))</f>
        <v/>
      </c>
      <c r="AC576" s="36" t="n"/>
      <c r="AD576" s="37" t="n"/>
      <c r="AE576" s="38" t="n"/>
      <c r="AF576" s="30">
        <f>IF(OR($B576="",$C576=""),"",$C576-$B576+1)</f>
        <v/>
      </c>
      <c r="AG576" s="32" t="n"/>
      <c r="AH576" s="36" t="n"/>
      <c r="AJ576">
        <f>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  <c r="AX576">
        <f>AW576&amp;IF($Y576="","",", "&amp;$Y576)</f>
        <v/>
      </c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0">
        <f>IF($F577="","",COUNTIF($F$5:$F577,$F577))</f>
        <v/>
      </c>
      <c r="H577" s="33">
        <f>IF($F577="","",IFERROR(INDEX(사건마스터!$B$5:$B$64,MATCH($F577,사건마스터!$A$5:$A$64,0)),""))</f>
        <v/>
      </c>
      <c r="I577" s="34">
        <f>IF($F577="","",IFERROR(INDEX(사건마스터!$C$5:$C$64,MATCH($F577,사건마스터!$A$5:$A$64,0)),""))</f>
        <v/>
      </c>
      <c r="J577" s="35">
        <f>IF($F577="","",IFERROR(INDEX(사건마스터!$H$5:$H$64,MATCH($F577,사건마스터!$A$5:$A$64,0)),""))</f>
        <v/>
      </c>
      <c r="K577" s="35">
        <f>IF($F577="","",IFERROR(INDEX(사건마스터!$AH$5:$AH$64,MATCH($F577,사건마스터!$A$5:$A$64,0)),""))</f>
        <v/>
      </c>
      <c r="L577" s="35">
        <f>IF($F577="","",IFERROR(INDEX(사건마스터!$AI$5:$AI$64,MATCH($F577,사건마스터!$A$5:$A$64,0)),""))</f>
        <v/>
      </c>
      <c r="M577" s="35">
        <f>IF($F577="","",IFERROR(INDEX(사건마스터!$AJ$5:$AJ$64,MATCH($F577,사건마스터!$A$5:$A$64,0)),""))</f>
        <v/>
      </c>
      <c r="N577" s="35">
        <f>IF($F577="","",IFERROR(INDEX(사건마스터!$AK$5:$AK$64,MATCH($F577,사건마스터!$A$5:$A$64,0)),""))</f>
        <v/>
      </c>
      <c r="O577" s="35">
        <f>IF($F577="","",IFERROR(INDEX(사건마스터!$AL$5:$AL$64,MATCH($F577,사건마스터!$A$5:$A$64,0)),""))</f>
        <v/>
      </c>
      <c r="P577" s="35">
        <f>IF($F577="","",IFERROR(INDEX(사건마스터!$AM$5:$AM$64,MATCH($F577,사건마스터!$A$5:$A$64,0)),""))</f>
        <v/>
      </c>
      <c r="Q577" s="35">
        <f>IF($F577="","",IFERROR(INDEX(사건마스터!$AN$5:$AN$64,MATCH($F577,사건마스터!$A$5:$A$64,0)),""))</f>
        <v/>
      </c>
      <c r="R577" s="35">
        <f>IF($F577="","",IFERROR(INDEX(사건마스터!$AO$5:$AO$64,MATCH($F577,사건마스터!$A$5:$A$64,0)),""))</f>
        <v/>
      </c>
      <c r="S577" s="35">
        <f>IF($F577="","",IFERROR(INDEX(사건마스터!$AP$5:$AP$64,MATCH($F577,사건마스터!$A$5:$A$64,0)),""))</f>
        <v/>
      </c>
      <c r="T577" s="35">
        <f>IF($F577="","",IFERROR(INDEX(사건마스터!$AQ$5:$AQ$64,MATCH($F577,사건마스터!$A$5:$A$64,0)),""))</f>
        <v/>
      </c>
      <c r="U577" s="35">
        <f>IF($F577="","",IFERROR(INDEX(사건마스터!$AR$5:$AR$64,MATCH($F577,사건마스터!$A$5:$A$64,0)),""))</f>
        <v/>
      </c>
      <c r="V577" s="35">
        <f>IF($F577="","",IFERROR(INDEX(사건마스터!$AS$5:$AS$64,MATCH($F577,사건마스터!$A$5:$A$64,0)),""))</f>
        <v/>
      </c>
      <c r="W577" s="35">
        <f>IF($F577="","",IFERROR(INDEX(사건마스터!$AT$5:$AT$64,MATCH($F577,사건마스터!$A$5:$A$64,0)),""))</f>
        <v/>
      </c>
      <c r="X577" s="35">
        <f>IF($F577="","",IFERROR(INDEX(사건마스터!$AU$5:$AU$64,MATCH($F577,사건마스터!$A$5:$A$64,0)),""))</f>
        <v/>
      </c>
      <c r="Y577" s="35">
        <f>IF($F577="","",IFERROR(INDEX(사건마스터!$AV$5:$AV$64,MATCH($F577,사건마스터!$A$5:$A$64,0)),""))</f>
        <v/>
      </c>
      <c r="Z577" s="30">
        <f>IF(COUNTBLANK($J577:$Y577)=16,"",16-COUNTBLANK($J577:$Y577))</f>
        <v/>
      </c>
      <c r="AA577" s="33">
        <f>IF($J577="",MID($AX577,3,255),$J577&amp;$AX577)</f>
        <v/>
      </c>
      <c r="AB577" s="34">
        <f>IF($J577="","",IFERROR(INDEX(코드설정!$D$5:$D$24,MATCH($J577,코드설정!$C$5:$C$24,0)),""))</f>
        <v/>
      </c>
      <c r="AC577" s="36" t="n"/>
      <c r="AD577" s="37" t="n"/>
      <c r="AE577" s="38" t="n"/>
      <c r="AF577" s="30">
        <f>IF(OR($B577="",$C577=""),"",$C577-$B577+1)</f>
        <v/>
      </c>
      <c r="AG577" s="32" t="n"/>
      <c r="AH577" s="36" t="n"/>
      <c r="AJ577">
        <f>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  <c r="AX577">
        <f>AW577&amp;IF($Y577="","",", "&amp;$Y577)</f>
        <v/>
      </c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0">
        <f>IF($F578="","",COUNTIF($F$5:$F578,$F578))</f>
        <v/>
      </c>
      <c r="H578" s="33">
        <f>IF($F578="","",IFERROR(INDEX(사건마스터!$B$5:$B$64,MATCH($F578,사건마스터!$A$5:$A$64,0)),""))</f>
        <v/>
      </c>
      <c r="I578" s="34">
        <f>IF($F578="","",IFERROR(INDEX(사건마스터!$C$5:$C$64,MATCH($F578,사건마스터!$A$5:$A$64,0)),""))</f>
        <v/>
      </c>
      <c r="J578" s="35">
        <f>IF($F578="","",IFERROR(INDEX(사건마스터!$H$5:$H$64,MATCH($F578,사건마스터!$A$5:$A$64,0)),""))</f>
        <v/>
      </c>
      <c r="K578" s="35">
        <f>IF($F578="","",IFERROR(INDEX(사건마스터!$AH$5:$AH$64,MATCH($F578,사건마스터!$A$5:$A$64,0)),""))</f>
        <v/>
      </c>
      <c r="L578" s="35">
        <f>IF($F578="","",IFERROR(INDEX(사건마스터!$AI$5:$AI$64,MATCH($F578,사건마스터!$A$5:$A$64,0)),""))</f>
        <v/>
      </c>
      <c r="M578" s="35">
        <f>IF($F578="","",IFERROR(INDEX(사건마스터!$AJ$5:$AJ$64,MATCH($F578,사건마스터!$A$5:$A$64,0)),""))</f>
        <v/>
      </c>
      <c r="N578" s="35">
        <f>IF($F578="","",IFERROR(INDEX(사건마스터!$AK$5:$AK$64,MATCH($F578,사건마스터!$A$5:$A$64,0)),""))</f>
        <v/>
      </c>
      <c r="O578" s="35">
        <f>IF($F578="","",IFERROR(INDEX(사건마스터!$AL$5:$AL$64,MATCH($F578,사건마스터!$A$5:$A$64,0)),""))</f>
        <v/>
      </c>
      <c r="P578" s="35">
        <f>IF($F578="","",IFERROR(INDEX(사건마스터!$AM$5:$AM$64,MATCH($F578,사건마스터!$A$5:$A$64,0)),""))</f>
        <v/>
      </c>
      <c r="Q578" s="35">
        <f>IF($F578="","",IFERROR(INDEX(사건마스터!$AN$5:$AN$64,MATCH($F578,사건마스터!$A$5:$A$64,0)),""))</f>
        <v/>
      </c>
      <c r="R578" s="35">
        <f>IF($F578="","",IFERROR(INDEX(사건마스터!$AO$5:$AO$64,MATCH($F578,사건마스터!$A$5:$A$64,0)),""))</f>
        <v/>
      </c>
      <c r="S578" s="35">
        <f>IF($F578="","",IFERROR(INDEX(사건마스터!$AP$5:$AP$64,MATCH($F578,사건마스터!$A$5:$A$64,0)),""))</f>
        <v/>
      </c>
      <c r="T578" s="35">
        <f>IF($F578="","",IFERROR(INDEX(사건마스터!$AQ$5:$AQ$64,MATCH($F578,사건마스터!$A$5:$A$64,0)),""))</f>
        <v/>
      </c>
      <c r="U578" s="35">
        <f>IF($F578="","",IFERROR(INDEX(사건마스터!$AR$5:$AR$64,MATCH($F578,사건마스터!$A$5:$A$64,0)),""))</f>
        <v/>
      </c>
      <c r="V578" s="35">
        <f>IF($F578="","",IFERROR(INDEX(사건마스터!$AS$5:$AS$64,MATCH($F578,사건마스터!$A$5:$A$64,0)),""))</f>
        <v/>
      </c>
      <c r="W578" s="35">
        <f>IF($F578="","",IFERROR(INDEX(사건마스터!$AT$5:$AT$64,MATCH($F578,사건마스터!$A$5:$A$64,0)),""))</f>
        <v/>
      </c>
      <c r="X578" s="35">
        <f>IF($F578="","",IFERROR(INDEX(사건마스터!$AU$5:$AU$64,MATCH($F578,사건마스터!$A$5:$A$64,0)),""))</f>
        <v/>
      </c>
      <c r="Y578" s="35">
        <f>IF($F578="","",IFERROR(INDEX(사건마스터!$AV$5:$AV$64,MATCH($F578,사건마스터!$A$5:$A$64,0)),""))</f>
        <v/>
      </c>
      <c r="Z578" s="30">
        <f>IF(COUNTBLANK($J578:$Y578)=16,"",16-COUNTBLANK($J578:$Y578))</f>
        <v/>
      </c>
      <c r="AA578" s="33">
        <f>IF($J578="",MID($AX578,3,255),$J578&amp;$AX578)</f>
        <v/>
      </c>
      <c r="AB578" s="34">
        <f>IF($J578="","",IFERROR(INDEX(코드설정!$D$5:$D$24,MATCH($J578,코드설정!$C$5:$C$24,0)),""))</f>
        <v/>
      </c>
      <c r="AC578" s="36" t="n"/>
      <c r="AD578" s="37" t="n"/>
      <c r="AE578" s="38" t="n"/>
      <c r="AF578" s="30">
        <f>IF(OR($B578="",$C578=""),"",$C578-$B578+1)</f>
        <v/>
      </c>
      <c r="AG578" s="32" t="n"/>
      <c r="AH578" s="36" t="n"/>
      <c r="AJ578">
        <f>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  <c r="AX578">
        <f>AW578&amp;IF($Y578="","",", "&amp;$Y578)</f>
        <v/>
      </c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0">
        <f>IF($F579="","",COUNTIF($F$5:$F579,$F579))</f>
        <v/>
      </c>
      <c r="H579" s="33">
        <f>IF($F579="","",IFERROR(INDEX(사건마스터!$B$5:$B$64,MATCH($F579,사건마스터!$A$5:$A$64,0)),""))</f>
        <v/>
      </c>
      <c r="I579" s="34">
        <f>IF($F579="","",IFERROR(INDEX(사건마스터!$C$5:$C$64,MATCH($F579,사건마스터!$A$5:$A$64,0)),""))</f>
        <v/>
      </c>
      <c r="J579" s="35">
        <f>IF($F579="","",IFERROR(INDEX(사건마스터!$H$5:$H$64,MATCH($F579,사건마스터!$A$5:$A$64,0)),""))</f>
        <v/>
      </c>
      <c r="K579" s="35">
        <f>IF($F579="","",IFERROR(INDEX(사건마스터!$AH$5:$AH$64,MATCH($F579,사건마스터!$A$5:$A$64,0)),""))</f>
        <v/>
      </c>
      <c r="L579" s="35">
        <f>IF($F579="","",IFERROR(INDEX(사건마스터!$AI$5:$AI$64,MATCH($F579,사건마스터!$A$5:$A$64,0)),""))</f>
        <v/>
      </c>
      <c r="M579" s="35">
        <f>IF($F579="","",IFERROR(INDEX(사건마스터!$AJ$5:$AJ$64,MATCH($F579,사건마스터!$A$5:$A$64,0)),""))</f>
        <v/>
      </c>
      <c r="N579" s="35">
        <f>IF($F579="","",IFERROR(INDEX(사건마스터!$AK$5:$AK$64,MATCH($F579,사건마스터!$A$5:$A$64,0)),""))</f>
        <v/>
      </c>
      <c r="O579" s="35">
        <f>IF($F579="","",IFERROR(INDEX(사건마스터!$AL$5:$AL$64,MATCH($F579,사건마스터!$A$5:$A$64,0)),""))</f>
        <v/>
      </c>
      <c r="P579" s="35">
        <f>IF($F579="","",IFERROR(INDEX(사건마스터!$AM$5:$AM$64,MATCH($F579,사건마스터!$A$5:$A$64,0)),""))</f>
        <v/>
      </c>
      <c r="Q579" s="35">
        <f>IF($F579="","",IFERROR(INDEX(사건마스터!$AN$5:$AN$64,MATCH($F579,사건마스터!$A$5:$A$64,0)),""))</f>
        <v/>
      </c>
      <c r="R579" s="35">
        <f>IF($F579="","",IFERROR(INDEX(사건마스터!$AO$5:$AO$64,MATCH($F579,사건마스터!$A$5:$A$64,0)),""))</f>
        <v/>
      </c>
      <c r="S579" s="35">
        <f>IF($F579="","",IFERROR(INDEX(사건마스터!$AP$5:$AP$64,MATCH($F579,사건마스터!$A$5:$A$64,0)),""))</f>
        <v/>
      </c>
      <c r="T579" s="35">
        <f>IF($F579="","",IFERROR(INDEX(사건마스터!$AQ$5:$AQ$64,MATCH($F579,사건마스터!$A$5:$A$64,0)),""))</f>
        <v/>
      </c>
      <c r="U579" s="35">
        <f>IF($F579="","",IFERROR(INDEX(사건마스터!$AR$5:$AR$64,MATCH($F579,사건마스터!$A$5:$A$64,0)),""))</f>
        <v/>
      </c>
      <c r="V579" s="35">
        <f>IF($F579="","",IFERROR(INDEX(사건마스터!$AS$5:$AS$64,MATCH($F579,사건마스터!$A$5:$A$64,0)),""))</f>
        <v/>
      </c>
      <c r="W579" s="35">
        <f>IF($F579="","",IFERROR(INDEX(사건마스터!$AT$5:$AT$64,MATCH($F579,사건마스터!$A$5:$A$64,0)),""))</f>
        <v/>
      </c>
      <c r="X579" s="35">
        <f>IF($F579="","",IFERROR(INDEX(사건마스터!$AU$5:$AU$64,MATCH($F579,사건마스터!$A$5:$A$64,0)),""))</f>
        <v/>
      </c>
      <c r="Y579" s="35">
        <f>IF($F579="","",IFERROR(INDEX(사건마스터!$AV$5:$AV$64,MATCH($F579,사건마스터!$A$5:$A$64,0)),""))</f>
        <v/>
      </c>
      <c r="Z579" s="30">
        <f>IF(COUNTBLANK($J579:$Y579)=16,"",16-COUNTBLANK($J579:$Y579))</f>
        <v/>
      </c>
      <c r="AA579" s="33">
        <f>IF($J579="",MID($AX579,3,255),$J579&amp;$AX579)</f>
        <v/>
      </c>
      <c r="AB579" s="34">
        <f>IF($J579="","",IFERROR(INDEX(코드설정!$D$5:$D$24,MATCH($J579,코드설정!$C$5:$C$24,0)),""))</f>
        <v/>
      </c>
      <c r="AC579" s="36" t="n"/>
      <c r="AD579" s="37" t="n"/>
      <c r="AE579" s="38" t="n"/>
      <c r="AF579" s="30">
        <f>IF(OR($B579="",$C579=""),"",$C579-$B579+1)</f>
        <v/>
      </c>
      <c r="AG579" s="32" t="n"/>
      <c r="AH579" s="36" t="n"/>
      <c r="AJ579">
        <f>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  <c r="AX579">
        <f>AW579&amp;IF($Y579="","",", "&amp;$Y579)</f>
        <v/>
      </c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0">
        <f>IF($F580="","",COUNTIF($F$5:$F580,$F580))</f>
        <v/>
      </c>
      <c r="H580" s="33">
        <f>IF($F580="","",IFERROR(INDEX(사건마스터!$B$5:$B$64,MATCH($F580,사건마스터!$A$5:$A$64,0)),""))</f>
        <v/>
      </c>
      <c r="I580" s="34">
        <f>IF($F580="","",IFERROR(INDEX(사건마스터!$C$5:$C$64,MATCH($F580,사건마스터!$A$5:$A$64,0)),""))</f>
        <v/>
      </c>
      <c r="J580" s="35">
        <f>IF($F580="","",IFERROR(INDEX(사건마스터!$H$5:$H$64,MATCH($F580,사건마스터!$A$5:$A$64,0)),""))</f>
        <v/>
      </c>
      <c r="K580" s="35">
        <f>IF($F580="","",IFERROR(INDEX(사건마스터!$AH$5:$AH$64,MATCH($F580,사건마스터!$A$5:$A$64,0)),""))</f>
        <v/>
      </c>
      <c r="L580" s="35">
        <f>IF($F580="","",IFERROR(INDEX(사건마스터!$AI$5:$AI$64,MATCH($F580,사건마스터!$A$5:$A$64,0)),""))</f>
        <v/>
      </c>
      <c r="M580" s="35">
        <f>IF($F580="","",IFERROR(INDEX(사건마스터!$AJ$5:$AJ$64,MATCH($F580,사건마스터!$A$5:$A$64,0)),""))</f>
        <v/>
      </c>
      <c r="N580" s="35">
        <f>IF($F580="","",IFERROR(INDEX(사건마스터!$AK$5:$AK$64,MATCH($F580,사건마스터!$A$5:$A$64,0)),""))</f>
        <v/>
      </c>
      <c r="O580" s="35">
        <f>IF($F580="","",IFERROR(INDEX(사건마스터!$AL$5:$AL$64,MATCH($F580,사건마스터!$A$5:$A$64,0)),""))</f>
        <v/>
      </c>
      <c r="P580" s="35">
        <f>IF($F580="","",IFERROR(INDEX(사건마스터!$AM$5:$AM$64,MATCH($F580,사건마스터!$A$5:$A$64,0)),""))</f>
        <v/>
      </c>
      <c r="Q580" s="35">
        <f>IF($F580="","",IFERROR(INDEX(사건마스터!$AN$5:$AN$64,MATCH($F580,사건마스터!$A$5:$A$64,0)),""))</f>
        <v/>
      </c>
      <c r="R580" s="35">
        <f>IF($F580="","",IFERROR(INDEX(사건마스터!$AO$5:$AO$64,MATCH($F580,사건마스터!$A$5:$A$64,0)),""))</f>
        <v/>
      </c>
      <c r="S580" s="35">
        <f>IF($F580="","",IFERROR(INDEX(사건마스터!$AP$5:$AP$64,MATCH($F580,사건마스터!$A$5:$A$64,0)),""))</f>
        <v/>
      </c>
      <c r="T580" s="35">
        <f>IF($F580="","",IFERROR(INDEX(사건마스터!$AQ$5:$AQ$64,MATCH($F580,사건마스터!$A$5:$A$64,0)),""))</f>
        <v/>
      </c>
      <c r="U580" s="35">
        <f>IF($F580="","",IFERROR(INDEX(사건마스터!$AR$5:$AR$64,MATCH($F580,사건마스터!$A$5:$A$64,0)),""))</f>
        <v/>
      </c>
      <c r="V580" s="35">
        <f>IF($F580="","",IFERROR(INDEX(사건마스터!$AS$5:$AS$64,MATCH($F580,사건마스터!$A$5:$A$64,0)),""))</f>
        <v/>
      </c>
      <c r="W580" s="35">
        <f>IF($F580="","",IFERROR(INDEX(사건마스터!$AT$5:$AT$64,MATCH($F580,사건마스터!$A$5:$A$64,0)),""))</f>
        <v/>
      </c>
      <c r="X580" s="35">
        <f>IF($F580="","",IFERROR(INDEX(사건마스터!$AU$5:$AU$64,MATCH($F580,사건마스터!$A$5:$A$64,0)),""))</f>
        <v/>
      </c>
      <c r="Y580" s="35">
        <f>IF($F580="","",IFERROR(INDEX(사건마스터!$AV$5:$AV$64,MATCH($F580,사건마스터!$A$5:$A$64,0)),""))</f>
        <v/>
      </c>
      <c r="Z580" s="30">
        <f>IF(COUNTBLANK($J580:$Y580)=16,"",16-COUNTBLANK($J580:$Y580))</f>
        <v/>
      </c>
      <c r="AA580" s="33">
        <f>IF($J580="",MID($AX580,3,255),$J580&amp;$AX580)</f>
        <v/>
      </c>
      <c r="AB580" s="34">
        <f>IF($J580="","",IFERROR(INDEX(코드설정!$D$5:$D$24,MATCH($J580,코드설정!$C$5:$C$24,0)),""))</f>
        <v/>
      </c>
      <c r="AC580" s="36" t="n"/>
      <c r="AD580" s="37" t="n"/>
      <c r="AE580" s="38" t="n"/>
      <c r="AF580" s="30">
        <f>IF(OR($B580="",$C580=""),"",$C580-$B580+1)</f>
        <v/>
      </c>
      <c r="AG580" s="32" t="n"/>
      <c r="AH580" s="36" t="n"/>
      <c r="AJ580">
        <f>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  <c r="AX580">
        <f>AW580&amp;IF($Y580="","",", "&amp;$Y580)</f>
        <v/>
      </c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0">
        <f>IF($F581="","",COUNTIF($F$5:$F581,$F581))</f>
        <v/>
      </c>
      <c r="H581" s="33">
        <f>IF($F581="","",IFERROR(INDEX(사건마스터!$B$5:$B$64,MATCH($F581,사건마스터!$A$5:$A$64,0)),""))</f>
        <v/>
      </c>
      <c r="I581" s="34">
        <f>IF($F581="","",IFERROR(INDEX(사건마스터!$C$5:$C$64,MATCH($F581,사건마스터!$A$5:$A$64,0)),""))</f>
        <v/>
      </c>
      <c r="J581" s="35">
        <f>IF($F581="","",IFERROR(INDEX(사건마스터!$H$5:$H$64,MATCH($F581,사건마스터!$A$5:$A$64,0)),""))</f>
        <v/>
      </c>
      <c r="K581" s="35">
        <f>IF($F581="","",IFERROR(INDEX(사건마스터!$AH$5:$AH$64,MATCH($F581,사건마스터!$A$5:$A$64,0)),""))</f>
        <v/>
      </c>
      <c r="L581" s="35">
        <f>IF($F581="","",IFERROR(INDEX(사건마스터!$AI$5:$AI$64,MATCH($F581,사건마스터!$A$5:$A$64,0)),""))</f>
        <v/>
      </c>
      <c r="M581" s="35">
        <f>IF($F581="","",IFERROR(INDEX(사건마스터!$AJ$5:$AJ$64,MATCH($F581,사건마스터!$A$5:$A$64,0)),""))</f>
        <v/>
      </c>
      <c r="N581" s="35">
        <f>IF($F581="","",IFERROR(INDEX(사건마스터!$AK$5:$AK$64,MATCH($F581,사건마스터!$A$5:$A$64,0)),""))</f>
        <v/>
      </c>
      <c r="O581" s="35">
        <f>IF($F581="","",IFERROR(INDEX(사건마스터!$AL$5:$AL$64,MATCH($F581,사건마스터!$A$5:$A$64,0)),""))</f>
        <v/>
      </c>
      <c r="P581" s="35">
        <f>IF($F581="","",IFERROR(INDEX(사건마스터!$AM$5:$AM$64,MATCH($F581,사건마스터!$A$5:$A$64,0)),""))</f>
        <v/>
      </c>
      <c r="Q581" s="35">
        <f>IF($F581="","",IFERROR(INDEX(사건마스터!$AN$5:$AN$64,MATCH($F581,사건마스터!$A$5:$A$64,0)),""))</f>
        <v/>
      </c>
      <c r="R581" s="35">
        <f>IF($F581="","",IFERROR(INDEX(사건마스터!$AO$5:$AO$64,MATCH($F581,사건마스터!$A$5:$A$64,0)),""))</f>
        <v/>
      </c>
      <c r="S581" s="35">
        <f>IF($F581="","",IFERROR(INDEX(사건마스터!$AP$5:$AP$64,MATCH($F581,사건마스터!$A$5:$A$64,0)),""))</f>
        <v/>
      </c>
      <c r="T581" s="35">
        <f>IF($F581="","",IFERROR(INDEX(사건마스터!$AQ$5:$AQ$64,MATCH($F581,사건마스터!$A$5:$A$64,0)),""))</f>
        <v/>
      </c>
      <c r="U581" s="35">
        <f>IF($F581="","",IFERROR(INDEX(사건마스터!$AR$5:$AR$64,MATCH($F581,사건마스터!$A$5:$A$64,0)),""))</f>
        <v/>
      </c>
      <c r="V581" s="35">
        <f>IF($F581="","",IFERROR(INDEX(사건마스터!$AS$5:$AS$64,MATCH($F581,사건마스터!$A$5:$A$64,0)),""))</f>
        <v/>
      </c>
      <c r="W581" s="35">
        <f>IF($F581="","",IFERROR(INDEX(사건마스터!$AT$5:$AT$64,MATCH($F581,사건마스터!$A$5:$A$64,0)),""))</f>
        <v/>
      </c>
      <c r="X581" s="35">
        <f>IF($F581="","",IFERROR(INDEX(사건마스터!$AU$5:$AU$64,MATCH($F581,사건마스터!$A$5:$A$64,0)),""))</f>
        <v/>
      </c>
      <c r="Y581" s="35">
        <f>IF($F581="","",IFERROR(INDEX(사건마스터!$AV$5:$AV$64,MATCH($F581,사건마스터!$A$5:$A$64,0)),""))</f>
        <v/>
      </c>
      <c r="Z581" s="30">
        <f>IF(COUNTBLANK($J581:$Y581)=16,"",16-COUNTBLANK($J581:$Y581))</f>
        <v/>
      </c>
      <c r="AA581" s="33">
        <f>IF($J581="",MID($AX581,3,255),$J581&amp;$AX581)</f>
        <v/>
      </c>
      <c r="AB581" s="34">
        <f>IF($J581="","",IFERROR(INDEX(코드설정!$D$5:$D$24,MATCH($J581,코드설정!$C$5:$C$24,0)),""))</f>
        <v/>
      </c>
      <c r="AC581" s="36" t="n"/>
      <c r="AD581" s="37" t="n"/>
      <c r="AE581" s="38" t="n"/>
      <c r="AF581" s="30">
        <f>IF(OR($B581="",$C581=""),"",$C581-$B581+1)</f>
        <v/>
      </c>
      <c r="AG581" s="32" t="n"/>
      <c r="AH581" s="36" t="n"/>
      <c r="AJ581">
        <f>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  <c r="AX581">
        <f>AW581&amp;IF($Y581="","",", "&amp;$Y581)</f>
        <v/>
      </c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0">
        <f>IF($F582="","",COUNTIF($F$5:$F582,$F582))</f>
        <v/>
      </c>
      <c r="H582" s="33">
        <f>IF($F582="","",IFERROR(INDEX(사건마스터!$B$5:$B$64,MATCH($F582,사건마스터!$A$5:$A$64,0)),""))</f>
        <v/>
      </c>
      <c r="I582" s="34">
        <f>IF($F582="","",IFERROR(INDEX(사건마스터!$C$5:$C$64,MATCH($F582,사건마스터!$A$5:$A$64,0)),""))</f>
        <v/>
      </c>
      <c r="J582" s="35">
        <f>IF($F582="","",IFERROR(INDEX(사건마스터!$H$5:$H$64,MATCH($F582,사건마스터!$A$5:$A$64,0)),""))</f>
        <v/>
      </c>
      <c r="K582" s="35">
        <f>IF($F582="","",IFERROR(INDEX(사건마스터!$AH$5:$AH$64,MATCH($F582,사건마스터!$A$5:$A$64,0)),""))</f>
        <v/>
      </c>
      <c r="L582" s="35">
        <f>IF($F582="","",IFERROR(INDEX(사건마스터!$AI$5:$AI$64,MATCH($F582,사건마스터!$A$5:$A$64,0)),""))</f>
        <v/>
      </c>
      <c r="M582" s="35">
        <f>IF($F582="","",IFERROR(INDEX(사건마스터!$AJ$5:$AJ$64,MATCH($F582,사건마스터!$A$5:$A$64,0)),""))</f>
        <v/>
      </c>
      <c r="N582" s="35">
        <f>IF($F582="","",IFERROR(INDEX(사건마스터!$AK$5:$AK$64,MATCH($F582,사건마스터!$A$5:$A$64,0)),""))</f>
        <v/>
      </c>
      <c r="O582" s="35">
        <f>IF($F582="","",IFERROR(INDEX(사건마스터!$AL$5:$AL$64,MATCH($F582,사건마스터!$A$5:$A$64,0)),""))</f>
        <v/>
      </c>
      <c r="P582" s="35">
        <f>IF($F582="","",IFERROR(INDEX(사건마스터!$AM$5:$AM$64,MATCH($F582,사건마스터!$A$5:$A$64,0)),""))</f>
        <v/>
      </c>
      <c r="Q582" s="35">
        <f>IF($F582="","",IFERROR(INDEX(사건마스터!$AN$5:$AN$64,MATCH($F582,사건마스터!$A$5:$A$64,0)),""))</f>
        <v/>
      </c>
      <c r="R582" s="35">
        <f>IF($F582="","",IFERROR(INDEX(사건마스터!$AO$5:$AO$64,MATCH($F582,사건마스터!$A$5:$A$64,0)),""))</f>
        <v/>
      </c>
      <c r="S582" s="35">
        <f>IF($F582="","",IFERROR(INDEX(사건마스터!$AP$5:$AP$64,MATCH($F582,사건마스터!$A$5:$A$64,0)),""))</f>
        <v/>
      </c>
      <c r="T582" s="35">
        <f>IF($F582="","",IFERROR(INDEX(사건마스터!$AQ$5:$AQ$64,MATCH($F582,사건마스터!$A$5:$A$64,0)),""))</f>
        <v/>
      </c>
      <c r="U582" s="35">
        <f>IF($F582="","",IFERROR(INDEX(사건마스터!$AR$5:$AR$64,MATCH($F582,사건마스터!$A$5:$A$64,0)),""))</f>
        <v/>
      </c>
      <c r="V582" s="35">
        <f>IF($F582="","",IFERROR(INDEX(사건마스터!$AS$5:$AS$64,MATCH($F582,사건마스터!$A$5:$A$64,0)),""))</f>
        <v/>
      </c>
      <c r="W582" s="35">
        <f>IF($F582="","",IFERROR(INDEX(사건마스터!$AT$5:$AT$64,MATCH($F582,사건마스터!$A$5:$A$64,0)),""))</f>
        <v/>
      </c>
      <c r="X582" s="35">
        <f>IF($F582="","",IFERROR(INDEX(사건마스터!$AU$5:$AU$64,MATCH($F582,사건마스터!$A$5:$A$64,0)),""))</f>
        <v/>
      </c>
      <c r="Y582" s="35">
        <f>IF($F582="","",IFERROR(INDEX(사건마스터!$AV$5:$AV$64,MATCH($F582,사건마스터!$A$5:$A$64,0)),""))</f>
        <v/>
      </c>
      <c r="Z582" s="30">
        <f>IF(COUNTBLANK($J582:$Y582)=16,"",16-COUNTBLANK($J582:$Y582))</f>
        <v/>
      </c>
      <c r="AA582" s="33">
        <f>IF($J582="",MID($AX582,3,255),$J582&amp;$AX582)</f>
        <v/>
      </c>
      <c r="AB582" s="34">
        <f>IF($J582="","",IFERROR(INDEX(코드설정!$D$5:$D$24,MATCH($J582,코드설정!$C$5:$C$24,0)),""))</f>
        <v/>
      </c>
      <c r="AC582" s="36" t="n"/>
      <c r="AD582" s="37" t="n"/>
      <c r="AE582" s="38" t="n"/>
      <c r="AF582" s="30">
        <f>IF(OR($B582="",$C582=""),"",$C582-$B582+1)</f>
        <v/>
      </c>
      <c r="AG582" s="32" t="n"/>
      <c r="AH582" s="36" t="n"/>
      <c r="AJ582">
        <f>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  <c r="AX582">
        <f>AW582&amp;IF($Y582="","",", "&amp;$Y582)</f>
        <v/>
      </c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0">
        <f>IF($F583="","",COUNTIF($F$5:$F583,$F583))</f>
        <v/>
      </c>
      <c r="H583" s="33">
        <f>IF($F583="","",IFERROR(INDEX(사건마스터!$B$5:$B$64,MATCH($F583,사건마스터!$A$5:$A$64,0)),""))</f>
        <v/>
      </c>
      <c r="I583" s="34">
        <f>IF($F583="","",IFERROR(INDEX(사건마스터!$C$5:$C$64,MATCH($F583,사건마스터!$A$5:$A$64,0)),""))</f>
        <v/>
      </c>
      <c r="J583" s="35">
        <f>IF($F583="","",IFERROR(INDEX(사건마스터!$H$5:$H$64,MATCH($F583,사건마스터!$A$5:$A$64,0)),""))</f>
        <v/>
      </c>
      <c r="K583" s="35">
        <f>IF($F583="","",IFERROR(INDEX(사건마스터!$AH$5:$AH$64,MATCH($F583,사건마스터!$A$5:$A$64,0)),""))</f>
        <v/>
      </c>
      <c r="L583" s="35">
        <f>IF($F583="","",IFERROR(INDEX(사건마스터!$AI$5:$AI$64,MATCH($F583,사건마스터!$A$5:$A$64,0)),""))</f>
        <v/>
      </c>
      <c r="M583" s="35">
        <f>IF($F583="","",IFERROR(INDEX(사건마스터!$AJ$5:$AJ$64,MATCH($F583,사건마스터!$A$5:$A$64,0)),""))</f>
        <v/>
      </c>
      <c r="N583" s="35">
        <f>IF($F583="","",IFERROR(INDEX(사건마스터!$AK$5:$AK$64,MATCH($F583,사건마스터!$A$5:$A$64,0)),""))</f>
        <v/>
      </c>
      <c r="O583" s="35">
        <f>IF($F583="","",IFERROR(INDEX(사건마스터!$AL$5:$AL$64,MATCH($F583,사건마스터!$A$5:$A$64,0)),""))</f>
        <v/>
      </c>
      <c r="P583" s="35">
        <f>IF($F583="","",IFERROR(INDEX(사건마스터!$AM$5:$AM$64,MATCH($F583,사건마스터!$A$5:$A$64,0)),""))</f>
        <v/>
      </c>
      <c r="Q583" s="35">
        <f>IF($F583="","",IFERROR(INDEX(사건마스터!$AN$5:$AN$64,MATCH($F583,사건마스터!$A$5:$A$64,0)),""))</f>
        <v/>
      </c>
      <c r="R583" s="35">
        <f>IF($F583="","",IFERROR(INDEX(사건마스터!$AO$5:$AO$64,MATCH($F583,사건마스터!$A$5:$A$64,0)),""))</f>
        <v/>
      </c>
      <c r="S583" s="35">
        <f>IF($F583="","",IFERROR(INDEX(사건마스터!$AP$5:$AP$64,MATCH($F583,사건마스터!$A$5:$A$64,0)),""))</f>
        <v/>
      </c>
      <c r="T583" s="35">
        <f>IF($F583="","",IFERROR(INDEX(사건마스터!$AQ$5:$AQ$64,MATCH($F583,사건마스터!$A$5:$A$64,0)),""))</f>
        <v/>
      </c>
      <c r="U583" s="35">
        <f>IF($F583="","",IFERROR(INDEX(사건마스터!$AR$5:$AR$64,MATCH($F583,사건마스터!$A$5:$A$64,0)),""))</f>
        <v/>
      </c>
      <c r="V583" s="35">
        <f>IF($F583="","",IFERROR(INDEX(사건마스터!$AS$5:$AS$64,MATCH($F583,사건마스터!$A$5:$A$64,0)),""))</f>
        <v/>
      </c>
      <c r="W583" s="35">
        <f>IF($F583="","",IFERROR(INDEX(사건마스터!$AT$5:$AT$64,MATCH($F583,사건마스터!$A$5:$A$64,0)),""))</f>
        <v/>
      </c>
      <c r="X583" s="35">
        <f>IF($F583="","",IFERROR(INDEX(사건마스터!$AU$5:$AU$64,MATCH($F583,사건마스터!$A$5:$A$64,0)),""))</f>
        <v/>
      </c>
      <c r="Y583" s="35">
        <f>IF($F583="","",IFERROR(INDEX(사건마스터!$AV$5:$AV$64,MATCH($F583,사건마스터!$A$5:$A$64,0)),""))</f>
        <v/>
      </c>
      <c r="Z583" s="30">
        <f>IF(COUNTBLANK($J583:$Y583)=16,"",16-COUNTBLANK($J583:$Y583))</f>
        <v/>
      </c>
      <c r="AA583" s="33">
        <f>IF($J583="",MID($AX583,3,255),$J583&amp;$AX583)</f>
        <v/>
      </c>
      <c r="AB583" s="34">
        <f>IF($J583="","",IFERROR(INDEX(코드설정!$D$5:$D$24,MATCH($J583,코드설정!$C$5:$C$24,0)),""))</f>
        <v/>
      </c>
      <c r="AC583" s="36" t="n"/>
      <c r="AD583" s="37" t="n"/>
      <c r="AE583" s="38" t="n"/>
      <c r="AF583" s="30">
        <f>IF(OR($B583="",$C583=""),"",$C583-$B583+1)</f>
        <v/>
      </c>
      <c r="AG583" s="32" t="n"/>
      <c r="AH583" s="36" t="n"/>
      <c r="AJ583">
        <f>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  <c r="AX583">
        <f>AW583&amp;IF($Y583="","",", "&amp;$Y583)</f>
        <v/>
      </c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0">
        <f>IF($F584="","",COUNTIF($F$5:$F584,$F584))</f>
        <v/>
      </c>
      <c r="H584" s="33">
        <f>IF($F584="","",IFERROR(INDEX(사건마스터!$B$5:$B$64,MATCH($F584,사건마스터!$A$5:$A$64,0)),""))</f>
        <v/>
      </c>
      <c r="I584" s="34">
        <f>IF($F584="","",IFERROR(INDEX(사건마스터!$C$5:$C$64,MATCH($F584,사건마스터!$A$5:$A$64,0)),""))</f>
        <v/>
      </c>
      <c r="J584" s="35">
        <f>IF($F584="","",IFERROR(INDEX(사건마스터!$H$5:$H$64,MATCH($F584,사건마스터!$A$5:$A$64,0)),""))</f>
        <v/>
      </c>
      <c r="K584" s="35">
        <f>IF($F584="","",IFERROR(INDEX(사건마스터!$AH$5:$AH$64,MATCH($F584,사건마스터!$A$5:$A$64,0)),""))</f>
        <v/>
      </c>
      <c r="L584" s="35">
        <f>IF($F584="","",IFERROR(INDEX(사건마스터!$AI$5:$AI$64,MATCH($F584,사건마스터!$A$5:$A$64,0)),""))</f>
        <v/>
      </c>
      <c r="M584" s="35">
        <f>IF($F584="","",IFERROR(INDEX(사건마스터!$AJ$5:$AJ$64,MATCH($F584,사건마스터!$A$5:$A$64,0)),""))</f>
        <v/>
      </c>
      <c r="N584" s="35">
        <f>IF($F584="","",IFERROR(INDEX(사건마스터!$AK$5:$AK$64,MATCH($F584,사건마스터!$A$5:$A$64,0)),""))</f>
        <v/>
      </c>
      <c r="O584" s="35">
        <f>IF($F584="","",IFERROR(INDEX(사건마스터!$AL$5:$AL$64,MATCH($F584,사건마스터!$A$5:$A$64,0)),""))</f>
        <v/>
      </c>
      <c r="P584" s="35">
        <f>IF($F584="","",IFERROR(INDEX(사건마스터!$AM$5:$AM$64,MATCH($F584,사건마스터!$A$5:$A$64,0)),""))</f>
        <v/>
      </c>
      <c r="Q584" s="35">
        <f>IF($F584="","",IFERROR(INDEX(사건마스터!$AN$5:$AN$64,MATCH($F584,사건마스터!$A$5:$A$64,0)),""))</f>
        <v/>
      </c>
      <c r="R584" s="35">
        <f>IF($F584="","",IFERROR(INDEX(사건마스터!$AO$5:$AO$64,MATCH($F584,사건마스터!$A$5:$A$64,0)),""))</f>
        <v/>
      </c>
      <c r="S584" s="35">
        <f>IF($F584="","",IFERROR(INDEX(사건마스터!$AP$5:$AP$64,MATCH($F584,사건마스터!$A$5:$A$64,0)),""))</f>
        <v/>
      </c>
      <c r="T584" s="35">
        <f>IF($F584="","",IFERROR(INDEX(사건마스터!$AQ$5:$AQ$64,MATCH($F584,사건마스터!$A$5:$A$64,0)),""))</f>
        <v/>
      </c>
      <c r="U584" s="35">
        <f>IF($F584="","",IFERROR(INDEX(사건마스터!$AR$5:$AR$64,MATCH($F584,사건마스터!$A$5:$A$64,0)),""))</f>
        <v/>
      </c>
      <c r="V584" s="35">
        <f>IF($F584="","",IFERROR(INDEX(사건마스터!$AS$5:$AS$64,MATCH($F584,사건마스터!$A$5:$A$64,0)),""))</f>
        <v/>
      </c>
      <c r="W584" s="35">
        <f>IF($F584="","",IFERROR(INDEX(사건마스터!$AT$5:$AT$64,MATCH($F584,사건마스터!$A$5:$A$64,0)),""))</f>
        <v/>
      </c>
      <c r="X584" s="35">
        <f>IF($F584="","",IFERROR(INDEX(사건마스터!$AU$5:$AU$64,MATCH($F584,사건마스터!$A$5:$A$64,0)),""))</f>
        <v/>
      </c>
      <c r="Y584" s="35">
        <f>IF($F584="","",IFERROR(INDEX(사건마스터!$AV$5:$AV$64,MATCH($F584,사건마스터!$A$5:$A$64,0)),""))</f>
        <v/>
      </c>
      <c r="Z584" s="30">
        <f>IF(COUNTBLANK($J584:$Y584)=16,"",16-COUNTBLANK($J584:$Y584))</f>
        <v/>
      </c>
      <c r="AA584" s="33">
        <f>IF($J584="",MID($AX584,3,255),$J584&amp;$AX584)</f>
        <v/>
      </c>
      <c r="AB584" s="34">
        <f>IF($J584="","",IFERROR(INDEX(코드설정!$D$5:$D$24,MATCH($J584,코드설정!$C$5:$C$24,0)),""))</f>
        <v/>
      </c>
      <c r="AC584" s="36" t="n"/>
      <c r="AD584" s="37" t="n"/>
      <c r="AE584" s="38" t="n"/>
      <c r="AF584" s="30">
        <f>IF(OR($B584="",$C584=""),"",$C584-$B584+1)</f>
        <v/>
      </c>
      <c r="AG584" s="32" t="n"/>
      <c r="AH584" s="36" t="n"/>
      <c r="AJ584">
        <f>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  <c r="AX584">
        <f>AW584&amp;IF($Y584="","",", "&amp;$Y584)</f>
        <v/>
      </c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0">
        <f>IF($F585="","",COUNTIF($F$5:$F585,$F585))</f>
        <v/>
      </c>
      <c r="H585" s="33">
        <f>IF($F585="","",IFERROR(INDEX(사건마스터!$B$5:$B$64,MATCH($F585,사건마스터!$A$5:$A$64,0)),""))</f>
        <v/>
      </c>
      <c r="I585" s="34">
        <f>IF($F585="","",IFERROR(INDEX(사건마스터!$C$5:$C$64,MATCH($F585,사건마스터!$A$5:$A$64,0)),""))</f>
        <v/>
      </c>
      <c r="J585" s="35">
        <f>IF($F585="","",IFERROR(INDEX(사건마스터!$H$5:$H$64,MATCH($F585,사건마스터!$A$5:$A$64,0)),""))</f>
        <v/>
      </c>
      <c r="K585" s="35">
        <f>IF($F585="","",IFERROR(INDEX(사건마스터!$AH$5:$AH$64,MATCH($F585,사건마스터!$A$5:$A$64,0)),""))</f>
        <v/>
      </c>
      <c r="L585" s="35">
        <f>IF($F585="","",IFERROR(INDEX(사건마스터!$AI$5:$AI$64,MATCH($F585,사건마스터!$A$5:$A$64,0)),""))</f>
        <v/>
      </c>
      <c r="M585" s="35">
        <f>IF($F585="","",IFERROR(INDEX(사건마스터!$AJ$5:$AJ$64,MATCH($F585,사건마스터!$A$5:$A$64,0)),""))</f>
        <v/>
      </c>
      <c r="N585" s="35">
        <f>IF($F585="","",IFERROR(INDEX(사건마스터!$AK$5:$AK$64,MATCH($F585,사건마스터!$A$5:$A$64,0)),""))</f>
        <v/>
      </c>
      <c r="O585" s="35">
        <f>IF($F585="","",IFERROR(INDEX(사건마스터!$AL$5:$AL$64,MATCH($F585,사건마스터!$A$5:$A$64,0)),""))</f>
        <v/>
      </c>
      <c r="P585" s="35">
        <f>IF($F585="","",IFERROR(INDEX(사건마스터!$AM$5:$AM$64,MATCH($F585,사건마스터!$A$5:$A$64,0)),""))</f>
        <v/>
      </c>
      <c r="Q585" s="35">
        <f>IF($F585="","",IFERROR(INDEX(사건마스터!$AN$5:$AN$64,MATCH($F585,사건마스터!$A$5:$A$64,0)),""))</f>
        <v/>
      </c>
      <c r="R585" s="35">
        <f>IF($F585="","",IFERROR(INDEX(사건마스터!$AO$5:$AO$64,MATCH($F585,사건마스터!$A$5:$A$64,0)),""))</f>
        <v/>
      </c>
      <c r="S585" s="35">
        <f>IF($F585="","",IFERROR(INDEX(사건마스터!$AP$5:$AP$64,MATCH($F585,사건마스터!$A$5:$A$64,0)),""))</f>
        <v/>
      </c>
      <c r="T585" s="35">
        <f>IF($F585="","",IFERROR(INDEX(사건마스터!$AQ$5:$AQ$64,MATCH($F585,사건마스터!$A$5:$A$64,0)),""))</f>
        <v/>
      </c>
      <c r="U585" s="35">
        <f>IF($F585="","",IFERROR(INDEX(사건마스터!$AR$5:$AR$64,MATCH($F585,사건마스터!$A$5:$A$64,0)),""))</f>
        <v/>
      </c>
      <c r="V585" s="35">
        <f>IF($F585="","",IFERROR(INDEX(사건마스터!$AS$5:$AS$64,MATCH($F585,사건마스터!$A$5:$A$64,0)),""))</f>
        <v/>
      </c>
      <c r="W585" s="35">
        <f>IF($F585="","",IFERROR(INDEX(사건마스터!$AT$5:$AT$64,MATCH($F585,사건마스터!$A$5:$A$64,0)),""))</f>
        <v/>
      </c>
      <c r="X585" s="35">
        <f>IF($F585="","",IFERROR(INDEX(사건마스터!$AU$5:$AU$64,MATCH($F585,사건마스터!$A$5:$A$64,0)),""))</f>
        <v/>
      </c>
      <c r="Y585" s="35">
        <f>IF($F585="","",IFERROR(INDEX(사건마스터!$AV$5:$AV$64,MATCH($F585,사건마스터!$A$5:$A$64,0)),""))</f>
        <v/>
      </c>
      <c r="Z585" s="30">
        <f>IF(COUNTBLANK($J585:$Y585)=16,"",16-COUNTBLANK($J585:$Y585))</f>
        <v/>
      </c>
      <c r="AA585" s="33">
        <f>IF($J585="",MID($AX585,3,255),$J585&amp;$AX585)</f>
        <v/>
      </c>
      <c r="AB585" s="34">
        <f>IF($J585="","",IFERROR(INDEX(코드설정!$D$5:$D$24,MATCH($J585,코드설정!$C$5:$C$24,0)),""))</f>
        <v/>
      </c>
      <c r="AC585" s="36" t="n"/>
      <c r="AD585" s="37" t="n"/>
      <c r="AE585" s="38" t="n"/>
      <c r="AF585" s="30">
        <f>IF(OR($B585="",$C585=""),"",$C585-$B585+1)</f>
        <v/>
      </c>
      <c r="AG585" s="32" t="n"/>
      <c r="AH585" s="36" t="n"/>
      <c r="AJ585">
        <f>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  <c r="AX585">
        <f>AW585&amp;IF($Y585="","",", "&amp;$Y585)</f>
        <v/>
      </c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0">
        <f>IF($F586="","",COUNTIF($F$5:$F586,$F586))</f>
        <v/>
      </c>
      <c r="H586" s="33">
        <f>IF($F586="","",IFERROR(INDEX(사건마스터!$B$5:$B$64,MATCH($F586,사건마스터!$A$5:$A$64,0)),""))</f>
        <v/>
      </c>
      <c r="I586" s="34">
        <f>IF($F586="","",IFERROR(INDEX(사건마스터!$C$5:$C$64,MATCH($F586,사건마스터!$A$5:$A$64,0)),""))</f>
        <v/>
      </c>
      <c r="J586" s="35">
        <f>IF($F586="","",IFERROR(INDEX(사건마스터!$H$5:$H$64,MATCH($F586,사건마스터!$A$5:$A$64,0)),""))</f>
        <v/>
      </c>
      <c r="K586" s="35">
        <f>IF($F586="","",IFERROR(INDEX(사건마스터!$AH$5:$AH$64,MATCH($F586,사건마스터!$A$5:$A$64,0)),""))</f>
        <v/>
      </c>
      <c r="L586" s="35">
        <f>IF($F586="","",IFERROR(INDEX(사건마스터!$AI$5:$AI$64,MATCH($F586,사건마스터!$A$5:$A$64,0)),""))</f>
        <v/>
      </c>
      <c r="M586" s="35">
        <f>IF($F586="","",IFERROR(INDEX(사건마스터!$AJ$5:$AJ$64,MATCH($F586,사건마스터!$A$5:$A$64,0)),""))</f>
        <v/>
      </c>
      <c r="N586" s="35">
        <f>IF($F586="","",IFERROR(INDEX(사건마스터!$AK$5:$AK$64,MATCH($F586,사건마스터!$A$5:$A$64,0)),""))</f>
        <v/>
      </c>
      <c r="O586" s="35">
        <f>IF($F586="","",IFERROR(INDEX(사건마스터!$AL$5:$AL$64,MATCH($F586,사건마스터!$A$5:$A$64,0)),""))</f>
        <v/>
      </c>
      <c r="P586" s="35">
        <f>IF($F586="","",IFERROR(INDEX(사건마스터!$AM$5:$AM$64,MATCH($F586,사건마스터!$A$5:$A$64,0)),""))</f>
        <v/>
      </c>
      <c r="Q586" s="35">
        <f>IF($F586="","",IFERROR(INDEX(사건마스터!$AN$5:$AN$64,MATCH($F586,사건마스터!$A$5:$A$64,0)),""))</f>
        <v/>
      </c>
      <c r="R586" s="35">
        <f>IF($F586="","",IFERROR(INDEX(사건마스터!$AO$5:$AO$64,MATCH($F586,사건마스터!$A$5:$A$64,0)),""))</f>
        <v/>
      </c>
      <c r="S586" s="35">
        <f>IF($F586="","",IFERROR(INDEX(사건마스터!$AP$5:$AP$64,MATCH($F586,사건마스터!$A$5:$A$64,0)),""))</f>
        <v/>
      </c>
      <c r="T586" s="35">
        <f>IF($F586="","",IFERROR(INDEX(사건마스터!$AQ$5:$AQ$64,MATCH($F586,사건마스터!$A$5:$A$64,0)),""))</f>
        <v/>
      </c>
      <c r="U586" s="35">
        <f>IF($F586="","",IFERROR(INDEX(사건마스터!$AR$5:$AR$64,MATCH($F586,사건마스터!$A$5:$A$64,0)),""))</f>
        <v/>
      </c>
      <c r="V586" s="35">
        <f>IF($F586="","",IFERROR(INDEX(사건마스터!$AS$5:$AS$64,MATCH($F586,사건마스터!$A$5:$A$64,0)),""))</f>
        <v/>
      </c>
      <c r="W586" s="35">
        <f>IF($F586="","",IFERROR(INDEX(사건마스터!$AT$5:$AT$64,MATCH($F586,사건마스터!$A$5:$A$64,0)),""))</f>
        <v/>
      </c>
      <c r="X586" s="35">
        <f>IF($F586="","",IFERROR(INDEX(사건마스터!$AU$5:$AU$64,MATCH($F586,사건마스터!$A$5:$A$64,0)),""))</f>
        <v/>
      </c>
      <c r="Y586" s="35">
        <f>IF($F586="","",IFERROR(INDEX(사건마스터!$AV$5:$AV$64,MATCH($F586,사건마스터!$A$5:$A$64,0)),""))</f>
        <v/>
      </c>
      <c r="Z586" s="30">
        <f>IF(COUNTBLANK($J586:$Y586)=16,"",16-COUNTBLANK($J586:$Y586))</f>
        <v/>
      </c>
      <c r="AA586" s="33">
        <f>IF($J586="",MID($AX586,3,255),$J586&amp;$AX586)</f>
        <v/>
      </c>
      <c r="AB586" s="34">
        <f>IF($J586="","",IFERROR(INDEX(코드설정!$D$5:$D$24,MATCH($J586,코드설정!$C$5:$C$24,0)),""))</f>
        <v/>
      </c>
      <c r="AC586" s="36" t="n"/>
      <c r="AD586" s="37" t="n"/>
      <c r="AE586" s="38" t="n"/>
      <c r="AF586" s="30">
        <f>IF(OR($B586="",$C586=""),"",$C586-$B586+1)</f>
        <v/>
      </c>
      <c r="AG586" s="32" t="n"/>
      <c r="AH586" s="36" t="n"/>
      <c r="AJ586">
        <f>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  <c r="AX586">
        <f>AW586&amp;IF($Y586="","",", "&amp;$Y586)</f>
        <v/>
      </c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0">
        <f>IF($F587="","",COUNTIF($F$5:$F587,$F587))</f>
        <v/>
      </c>
      <c r="H587" s="33">
        <f>IF($F587="","",IFERROR(INDEX(사건마스터!$B$5:$B$64,MATCH($F587,사건마스터!$A$5:$A$64,0)),""))</f>
        <v/>
      </c>
      <c r="I587" s="34">
        <f>IF($F587="","",IFERROR(INDEX(사건마스터!$C$5:$C$64,MATCH($F587,사건마스터!$A$5:$A$64,0)),""))</f>
        <v/>
      </c>
      <c r="J587" s="35">
        <f>IF($F587="","",IFERROR(INDEX(사건마스터!$H$5:$H$64,MATCH($F587,사건마스터!$A$5:$A$64,0)),""))</f>
        <v/>
      </c>
      <c r="K587" s="35">
        <f>IF($F587="","",IFERROR(INDEX(사건마스터!$AH$5:$AH$64,MATCH($F587,사건마스터!$A$5:$A$64,0)),""))</f>
        <v/>
      </c>
      <c r="L587" s="35">
        <f>IF($F587="","",IFERROR(INDEX(사건마스터!$AI$5:$AI$64,MATCH($F587,사건마스터!$A$5:$A$64,0)),""))</f>
        <v/>
      </c>
      <c r="M587" s="35">
        <f>IF($F587="","",IFERROR(INDEX(사건마스터!$AJ$5:$AJ$64,MATCH($F587,사건마스터!$A$5:$A$64,0)),""))</f>
        <v/>
      </c>
      <c r="N587" s="35">
        <f>IF($F587="","",IFERROR(INDEX(사건마스터!$AK$5:$AK$64,MATCH($F587,사건마스터!$A$5:$A$64,0)),""))</f>
        <v/>
      </c>
      <c r="O587" s="35">
        <f>IF($F587="","",IFERROR(INDEX(사건마스터!$AL$5:$AL$64,MATCH($F587,사건마스터!$A$5:$A$64,0)),""))</f>
        <v/>
      </c>
      <c r="P587" s="35">
        <f>IF($F587="","",IFERROR(INDEX(사건마스터!$AM$5:$AM$64,MATCH($F587,사건마스터!$A$5:$A$64,0)),""))</f>
        <v/>
      </c>
      <c r="Q587" s="35">
        <f>IF($F587="","",IFERROR(INDEX(사건마스터!$AN$5:$AN$64,MATCH($F587,사건마스터!$A$5:$A$64,0)),""))</f>
        <v/>
      </c>
      <c r="R587" s="35">
        <f>IF($F587="","",IFERROR(INDEX(사건마스터!$AO$5:$AO$64,MATCH($F587,사건마스터!$A$5:$A$64,0)),""))</f>
        <v/>
      </c>
      <c r="S587" s="35">
        <f>IF($F587="","",IFERROR(INDEX(사건마스터!$AP$5:$AP$64,MATCH($F587,사건마스터!$A$5:$A$64,0)),""))</f>
        <v/>
      </c>
      <c r="T587" s="35">
        <f>IF($F587="","",IFERROR(INDEX(사건마스터!$AQ$5:$AQ$64,MATCH($F587,사건마스터!$A$5:$A$64,0)),""))</f>
        <v/>
      </c>
      <c r="U587" s="35">
        <f>IF($F587="","",IFERROR(INDEX(사건마스터!$AR$5:$AR$64,MATCH($F587,사건마스터!$A$5:$A$64,0)),""))</f>
        <v/>
      </c>
      <c r="V587" s="35">
        <f>IF($F587="","",IFERROR(INDEX(사건마스터!$AS$5:$AS$64,MATCH($F587,사건마스터!$A$5:$A$64,0)),""))</f>
        <v/>
      </c>
      <c r="W587" s="35">
        <f>IF($F587="","",IFERROR(INDEX(사건마스터!$AT$5:$AT$64,MATCH($F587,사건마스터!$A$5:$A$64,0)),""))</f>
        <v/>
      </c>
      <c r="X587" s="35">
        <f>IF($F587="","",IFERROR(INDEX(사건마스터!$AU$5:$AU$64,MATCH($F587,사건마스터!$A$5:$A$64,0)),""))</f>
        <v/>
      </c>
      <c r="Y587" s="35">
        <f>IF($F587="","",IFERROR(INDEX(사건마스터!$AV$5:$AV$64,MATCH($F587,사건마스터!$A$5:$A$64,0)),""))</f>
        <v/>
      </c>
      <c r="Z587" s="30">
        <f>IF(COUNTBLANK($J587:$Y587)=16,"",16-COUNTBLANK($J587:$Y587))</f>
        <v/>
      </c>
      <c r="AA587" s="33">
        <f>IF($J587="",MID($AX587,3,255),$J587&amp;$AX587)</f>
        <v/>
      </c>
      <c r="AB587" s="34">
        <f>IF($J587="","",IFERROR(INDEX(코드설정!$D$5:$D$24,MATCH($J587,코드설정!$C$5:$C$24,0)),""))</f>
        <v/>
      </c>
      <c r="AC587" s="36" t="n"/>
      <c r="AD587" s="37" t="n"/>
      <c r="AE587" s="38" t="n"/>
      <c r="AF587" s="30">
        <f>IF(OR($B587="",$C587=""),"",$C587-$B587+1)</f>
        <v/>
      </c>
      <c r="AG587" s="32" t="n"/>
      <c r="AH587" s="36" t="n"/>
      <c r="AJ587">
        <f>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  <c r="AX587">
        <f>AW587&amp;IF($Y587="","",", "&amp;$Y587)</f>
        <v/>
      </c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0">
        <f>IF($F588="","",COUNTIF($F$5:$F588,$F588))</f>
        <v/>
      </c>
      <c r="H588" s="33">
        <f>IF($F588="","",IFERROR(INDEX(사건마스터!$B$5:$B$64,MATCH($F588,사건마스터!$A$5:$A$64,0)),""))</f>
        <v/>
      </c>
      <c r="I588" s="34">
        <f>IF($F588="","",IFERROR(INDEX(사건마스터!$C$5:$C$64,MATCH($F588,사건마스터!$A$5:$A$64,0)),""))</f>
        <v/>
      </c>
      <c r="J588" s="35">
        <f>IF($F588="","",IFERROR(INDEX(사건마스터!$H$5:$H$64,MATCH($F588,사건마스터!$A$5:$A$64,0)),""))</f>
        <v/>
      </c>
      <c r="K588" s="35">
        <f>IF($F588="","",IFERROR(INDEX(사건마스터!$AH$5:$AH$64,MATCH($F588,사건마스터!$A$5:$A$64,0)),""))</f>
        <v/>
      </c>
      <c r="L588" s="35">
        <f>IF($F588="","",IFERROR(INDEX(사건마스터!$AI$5:$AI$64,MATCH($F588,사건마스터!$A$5:$A$64,0)),""))</f>
        <v/>
      </c>
      <c r="M588" s="35">
        <f>IF($F588="","",IFERROR(INDEX(사건마스터!$AJ$5:$AJ$64,MATCH($F588,사건마스터!$A$5:$A$64,0)),""))</f>
        <v/>
      </c>
      <c r="N588" s="35">
        <f>IF($F588="","",IFERROR(INDEX(사건마스터!$AK$5:$AK$64,MATCH($F588,사건마스터!$A$5:$A$64,0)),""))</f>
        <v/>
      </c>
      <c r="O588" s="35">
        <f>IF($F588="","",IFERROR(INDEX(사건마스터!$AL$5:$AL$64,MATCH($F588,사건마스터!$A$5:$A$64,0)),""))</f>
        <v/>
      </c>
      <c r="P588" s="35">
        <f>IF($F588="","",IFERROR(INDEX(사건마스터!$AM$5:$AM$64,MATCH($F588,사건마스터!$A$5:$A$64,0)),""))</f>
        <v/>
      </c>
      <c r="Q588" s="35">
        <f>IF($F588="","",IFERROR(INDEX(사건마스터!$AN$5:$AN$64,MATCH($F588,사건마스터!$A$5:$A$64,0)),""))</f>
        <v/>
      </c>
      <c r="R588" s="35">
        <f>IF($F588="","",IFERROR(INDEX(사건마스터!$AO$5:$AO$64,MATCH($F588,사건마스터!$A$5:$A$64,0)),""))</f>
        <v/>
      </c>
      <c r="S588" s="35">
        <f>IF($F588="","",IFERROR(INDEX(사건마스터!$AP$5:$AP$64,MATCH($F588,사건마스터!$A$5:$A$64,0)),""))</f>
        <v/>
      </c>
      <c r="T588" s="35">
        <f>IF($F588="","",IFERROR(INDEX(사건마스터!$AQ$5:$AQ$64,MATCH($F588,사건마스터!$A$5:$A$64,0)),""))</f>
        <v/>
      </c>
      <c r="U588" s="35">
        <f>IF($F588="","",IFERROR(INDEX(사건마스터!$AR$5:$AR$64,MATCH($F588,사건마스터!$A$5:$A$64,0)),""))</f>
        <v/>
      </c>
      <c r="V588" s="35">
        <f>IF($F588="","",IFERROR(INDEX(사건마스터!$AS$5:$AS$64,MATCH($F588,사건마스터!$A$5:$A$64,0)),""))</f>
        <v/>
      </c>
      <c r="W588" s="35">
        <f>IF($F588="","",IFERROR(INDEX(사건마스터!$AT$5:$AT$64,MATCH($F588,사건마스터!$A$5:$A$64,0)),""))</f>
        <v/>
      </c>
      <c r="X588" s="35">
        <f>IF($F588="","",IFERROR(INDEX(사건마스터!$AU$5:$AU$64,MATCH($F588,사건마스터!$A$5:$A$64,0)),""))</f>
        <v/>
      </c>
      <c r="Y588" s="35">
        <f>IF($F588="","",IFERROR(INDEX(사건마스터!$AV$5:$AV$64,MATCH($F588,사건마스터!$A$5:$A$64,0)),""))</f>
        <v/>
      </c>
      <c r="Z588" s="30">
        <f>IF(COUNTBLANK($J588:$Y588)=16,"",16-COUNTBLANK($J588:$Y588))</f>
        <v/>
      </c>
      <c r="AA588" s="33">
        <f>IF($J588="",MID($AX588,3,255),$J588&amp;$AX588)</f>
        <v/>
      </c>
      <c r="AB588" s="34">
        <f>IF($J588="","",IFERROR(INDEX(코드설정!$D$5:$D$24,MATCH($J588,코드설정!$C$5:$C$24,0)),""))</f>
        <v/>
      </c>
      <c r="AC588" s="36" t="n"/>
      <c r="AD588" s="37" t="n"/>
      <c r="AE588" s="38" t="n"/>
      <c r="AF588" s="30">
        <f>IF(OR($B588="",$C588=""),"",$C588-$B588+1)</f>
        <v/>
      </c>
      <c r="AG588" s="32" t="n"/>
      <c r="AH588" s="36" t="n"/>
      <c r="AJ588">
        <f>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  <c r="AX588">
        <f>AW588&amp;IF($Y588="","",", "&amp;$Y588)</f>
        <v/>
      </c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0">
        <f>IF($F589="","",COUNTIF($F$5:$F589,$F589))</f>
        <v/>
      </c>
      <c r="H589" s="33">
        <f>IF($F589="","",IFERROR(INDEX(사건마스터!$B$5:$B$64,MATCH($F589,사건마스터!$A$5:$A$64,0)),""))</f>
        <v/>
      </c>
      <c r="I589" s="34">
        <f>IF($F589="","",IFERROR(INDEX(사건마스터!$C$5:$C$64,MATCH($F589,사건마스터!$A$5:$A$64,0)),""))</f>
        <v/>
      </c>
      <c r="J589" s="35">
        <f>IF($F589="","",IFERROR(INDEX(사건마스터!$H$5:$H$64,MATCH($F589,사건마스터!$A$5:$A$64,0)),""))</f>
        <v/>
      </c>
      <c r="K589" s="35">
        <f>IF($F589="","",IFERROR(INDEX(사건마스터!$AH$5:$AH$64,MATCH($F589,사건마스터!$A$5:$A$64,0)),""))</f>
        <v/>
      </c>
      <c r="L589" s="35">
        <f>IF($F589="","",IFERROR(INDEX(사건마스터!$AI$5:$AI$64,MATCH($F589,사건마스터!$A$5:$A$64,0)),""))</f>
        <v/>
      </c>
      <c r="M589" s="35">
        <f>IF($F589="","",IFERROR(INDEX(사건마스터!$AJ$5:$AJ$64,MATCH($F589,사건마스터!$A$5:$A$64,0)),""))</f>
        <v/>
      </c>
      <c r="N589" s="35">
        <f>IF($F589="","",IFERROR(INDEX(사건마스터!$AK$5:$AK$64,MATCH($F589,사건마스터!$A$5:$A$64,0)),""))</f>
        <v/>
      </c>
      <c r="O589" s="35">
        <f>IF($F589="","",IFERROR(INDEX(사건마스터!$AL$5:$AL$64,MATCH($F589,사건마스터!$A$5:$A$64,0)),""))</f>
        <v/>
      </c>
      <c r="P589" s="35">
        <f>IF($F589="","",IFERROR(INDEX(사건마스터!$AM$5:$AM$64,MATCH($F589,사건마스터!$A$5:$A$64,0)),""))</f>
        <v/>
      </c>
      <c r="Q589" s="35">
        <f>IF($F589="","",IFERROR(INDEX(사건마스터!$AN$5:$AN$64,MATCH($F589,사건마스터!$A$5:$A$64,0)),""))</f>
        <v/>
      </c>
      <c r="R589" s="35">
        <f>IF($F589="","",IFERROR(INDEX(사건마스터!$AO$5:$AO$64,MATCH($F589,사건마스터!$A$5:$A$64,0)),""))</f>
        <v/>
      </c>
      <c r="S589" s="35">
        <f>IF($F589="","",IFERROR(INDEX(사건마스터!$AP$5:$AP$64,MATCH($F589,사건마스터!$A$5:$A$64,0)),""))</f>
        <v/>
      </c>
      <c r="T589" s="35">
        <f>IF($F589="","",IFERROR(INDEX(사건마스터!$AQ$5:$AQ$64,MATCH($F589,사건마스터!$A$5:$A$64,0)),""))</f>
        <v/>
      </c>
      <c r="U589" s="35">
        <f>IF($F589="","",IFERROR(INDEX(사건마스터!$AR$5:$AR$64,MATCH($F589,사건마스터!$A$5:$A$64,0)),""))</f>
        <v/>
      </c>
      <c r="V589" s="35">
        <f>IF($F589="","",IFERROR(INDEX(사건마스터!$AS$5:$AS$64,MATCH($F589,사건마스터!$A$5:$A$64,0)),""))</f>
        <v/>
      </c>
      <c r="W589" s="35">
        <f>IF($F589="","",IFERROR(INDEX(사건마스터!$AT$5:$AT$64,MATCH($F589,사건마스터!$A$5:$A$64,0)),""))</f>
        <v/>
      </c>
      <c r="X589" s="35">
        <f>IF($F589="","",IFERROR(INDEX(사건마스터!$AU$5:$AU$64,MATCH($F589,사건마스터!$A$5:$A$64,0)),""))</f>
        <v/>
      </c>
      <c r="Y589" s="35">
        <f>IF($F589="","",IFERROR(INDEX(사건마스터!$AV$5:$AV$64,MATCH($F589,사건마스터!$A$5:$A$64,0)),""))</f>
        <v/>
      </c>
      <c r="Z589" s="30">
        <f>IF(COUNTBLANK($J589:$Y589)=16,"",16-COUNTBLANK($J589:$Y589))</f>
        <v/>
      </c>
      <c r="AA589" s="33">
        <f>IF($J589="",MID($AX589,3,255),$J589&amp;$AX589)</f>
        <v/>
      </c>
      <c r="AB589" s="34">
        <f>IF($J589="","",IFERROR(INDEX(코드설정!$D$5:$D$24,MATCH($J589,코드설정!$C$5:$C$24,0)),""))</f>
        <v/>
      </c>
      <c r="AC589" s="36" t="n"/>
      <c r="AD589" s="37" t="n"/>
      <c r="AE589" s="38" t="n"/>
      <c r="AF589" s="30">
        <f>IF(OR($B589="",$C589=""),"",$C589-$B589+1)</f>
        <v/>
      </c>
      <c r="AG589" s="32" t="n"/>
      <c r="AH589" s="36" t="n"/>
      <c r="AJ589">
        <f>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  <c r="AX589">
        <f>AW589&amp;IF($Y589="","",", "&amp;$Y589)</f>
        <v/>
      </c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0">
        <f>IF($F590="","",COUNTIF($F$5:$F590,$F590))</f>
        <v/>
      </c>
      <c r="H590" s="33">
        <f>IF($F590="","",IFERROR(INDEX(사건마스터!$B$5:$B$64,MATCH($F590,사건마스터!$A$5:$A$64,0)),""))</f>
        <v/>
      </c>
      <c r="I590" s="34">
        <f>IF($F590="","",IFERROR(INDEX(사건마스터!$C$5:$C$64,MATCH($F590,사건마스터!$A$5:$A$64,0)),""))</f>
        <v/>
      </c>
      <c r="J590" s="35">
        <f>IF($F590="","",IFERROR(INDEX(사건마스터!$H$5:$H$64,MATCH($F590,사건마스터!$A$5:$A$64,0)),""))</f>
        <v/>
      </c>
      <c r="K590" s="35">
        <f>IF($F590="","",IFERROR(INDEX(사건마스터!$AH$5:$AH$64,MATCH($F590,사건마스터!$A$5:$A$64,0)),""))</f>
        <v/>
      </c>
      <c r="L590" s="35">
        <f>IF($F590="","",IFERROR(INDEX(사건마스터!$AI$5:$AI$64,MATCH($F590,사건마스터!$A$5:$A$64,0)),""))</f>
        <v/>
      </c>
      <c r="M590" s="35">
        <f>IF($F590="","",IFERROR(INDEX(사건마스터!$AJ$5:$AJ$64,MATCH($F590,사건마스터!$A$5:$A$64,0)),""))</f>
        <v/>
      </c>
      <c r="N590" s="35">
        <f>IF($F590="","",IFERROR(INDEX(사건마스터!$AK$5:$AK$64,MATCH($F590,사건마스터!$A$5:$A$64,0)),""))</f>
        <v/>
      </c>
      <c r="O590" s="35">
        <f>IF($F590="","",IFERROR(INDEX(사건마스터!$AL$5:$AL$64,MATCH($F590,사건마스터!$A$5:$A$64,0)),""))</f>
        <v/>
      </c>
      <c r="P590" s="35">
        <f>IF($F590="","",IFERROR(INDEX(사건마스터!$AM$5:$AM$64,MATCH($F590,사건마스터!$A$5:$A$64,0)),""))</f>
        <v/>
      </c>
      <c r="Q590" s="35">
        <f>IF($F590="","",IFERROR(INDEX(사건마스터!$AN$5:$AN$64,MATCH($F590,사건마스터!$A$5:$A$64,0)),""))</f>
        <v/>
      </c>
      <c r="R590" s="35">
        <f>IF($F590="","",IFERROR(INDEX(사건마스터!$AO$5:$AO$64,MATCH($F590,사건마스터!$A$5:$A$64,0)),""))</f>
        <v/>
      </c>
      <c r="S590" s="35">
        <f>IF($F590="","",IFERROR(INDEX(사건마스터!$AP$5:$AP$64,MATCH($F590,사건마스터!$A$5:$A$64,0)),""))</f>
        <v/>
      </c>
      <c r="T590" s="35">
        <f>IF($F590="","",IFERROR(INDEX(사건마스터!$AQ$5:$AQ$64,MATCH($F590,사건마스터!$A$5:$A$64,0)),""))</f>
        <v/>
      </c>
      <c r="U590" s="35">
        <f>IF($F590="","",IFERROR(INDEX(사건마스터!$AR$5:$AR$64,MATCH($F590,사건마스터!$A$5:$A$64,0)),""))</f>
        <v/>
      </c>
      <c r="V590" s="35">
        <f>IF($F590="","",IFERROR(INDEX(사건마스터!$AS$5:$AS$64,MATCH($F590,사건마스터!$A$5:$A$64,0)),""))</f>
        <v/>
      </c>
      <c r="W590" s="35">
        <f>IF($F590="","",IFERROR(INDEX(사건마스터!$AT$5:$AT$64,MATCH($F590,사건마스터!$A$5:$A$64,0)),""))</f>
        <v/>
      </c>
      <c r="X590" s="35">
        <f>IF($F590="","",IFERROR(INDEX(사건마스터!$AU$5:$AU$64,MATCH($F590,사건마스터!$A$5:$A$64,0)),""))</f>
        <v/>
      </c>
      <c r="Y590" s="35">
        <f>IF($F590="","",IFERROR(INDEX(사건마스터!$AV$5:$AV$64,MATCH($F590,사건마스터!$A$5:$A$64,0)),""))</f>
        <v/>
      </c>
      <c r="Z590" s="30">
        <f>IF(COUNTBLANK($J590:$Y590)=16,"",16-COUNTBLANK($J590:$Y590))</f>
        <v/>
      </c>
      <c r="AA590" s="33">
        <f>IF($J590="",MID($AX590,3,255),$J590&amp;$AX590)</f>
        <v/>
      </c>
      <c r="AB590" s="34">
        <f>IF($J590="","",IFERROR(INDEX(코드설정!$D$5:$D$24,MATCH($J590,코드설정!$C$5:$C$24,0)),""))</f>
        <v/>
      </c>
      <c r="AC590" s="36" t="n"/>
      <c r="AD590" s="37" t="n"/>
      <c r="AE590" s="38" t="n"/>
      <c r="AF590" s="30">
        <f>IF(OR($B590="",$C590=""),"",$C590-$B590+1)</f>
        <v/>
      </c>
      <c r="AG590" s="32" t="n"/>
      <c r="AH590" s="36" t="n"/>
      <c r="AJ590">
        <f>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  <c r="AX590">
        <f>AW590&amp;IF($Y590="","",", "&amp;$Y590)</f>
        <v/>
      </c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0">
        <f>IF($F591="","",COUNTIF($F$5:$F591,$F591))</f>
        <v/>
      </c>
      <c r="H591" s="33">
        <f>IF($F591="","",IFERROR(INDEX(사건마스터!$B$5:$B$64,MATCH($F591,사건마스터!$A$5:$A$64,0)),""))</f>
        <v/>
      </c>
      <c r="I591" s="34">
        <f>IF($F591="","",IFERROR(INDEX(사건마스터!$C$5:$C$64,MATCH($F591,사건마스터!$A$5:$A$64,0)),""))</f>
        <v/>
      </c>
      <c r="J591" s="35">
        <f>IF($F591="","",IFERROR(INDEX(사건마스터!$H$5:$H$64,MATCH($F591,사건마스터!$A$5:$A$64,0)),""))</f>
        <v/>
      </c>
      <c r="K591" s="35">
        <f>IF($F591="","",IFERROR(INDEX(사건마스터!$AH$5:$AH$64,MATCH($F591,사건마스터!$A$5:$A$64,0)),""))</f>
        <v/>
      </c>
      <c r="L591" s="35">
        <f>IF($F591="","",IFERROR(INDEX(사건마스터!$AI$5:$AI$64,MATCH($F591,사건마스터!$A$5:$A$64,0)),""))</f>
        <v/>
      </c>
      <c r="M591" s="35">
        <f>IF($F591="","",IFERROR(INDEX(사건마스터!$AJ$5:$AJ$64,MATCH($F591,사건마스터!$A$5:$A$64,0)),""))</f>
        <v/>
      </c>
      <c r="N591" s="35">
        <f>IF($F591="","",IFERROR(INDEX(사건마스터!$AK$5:$AK$64,MATCH($F591,사건마스터!$A$5:$A$64,0)),""))</f>
        <v/>
      </c>
      <c r="O591" s="35">
        <f>IF($F591="","",IFERROR(INDEX(사건마스터!$AL$5:$AL$64,MATCH($F591,사건마스터!$A$5:$A$64,0)),""))</f>
        <v/>
      </c>
      <c r="P591" s="35">
        <f>IF($F591="","",IFERROR(INDEX(사건마스터!$AM$5:$AM$64,MATCH($F591,사건마스터!$A$5:$A$64,0)),""))</f>
        <v/>
      </c>
      <c r="Q591" s="35">
        <f>IF($F591="","",IFERROR(INDEX(사건마스터!$AN$5:$AN$64,MATCH($F591,사건마스터!$A$5:$A$64,0)),""))</f>
        <v/>
      </c>
      <c r="R591" s="35">
        <f>IF($F591="","",IFERROR(INDEX(사건마스터!$AO$5:$AO$64,MATCH($F591,사건마스터!$A$5:$A$64,0)),""))</f>
        <v/>
      </c>
      <c r="S591" s="35">
        <f>IF($F591="","",IFERROR(INDEX(사건마스터!$AP$5:$AP$64,MATCH($F591,사건마스터!$A$5:$A$64,0)),""))</f>
        <v/>
      </c>
      <c r="T591" s="35">
        <f>IF($F591="","",IFERROR(INDEX(사건마스터!$AQ$5:$AQ$64,MATCH($F591,사건마스터!$A$5:$A$64,0)),""))</f>
        <v/>
      </c>
      <c r="U591" s="35">
        <f>IF($F591="","",IFERROR(INDEX(사건마스터!$AR$5:$AR$64,MATCH($F591,사건마스터!$A$5:$A$64,0)),""))</f>
        <v/>
      </c>
      <c r="V591" s="35">
        <f>IF($F591="","",IFERROR(INDEX(사건마스터!$AS$5:$AS$64,MATCH($F591,사건마스터!$A$5:$A$64,0)),""))</f>
        <v/>
      </c>
      <c r="W591" s="35">
        <f>IF($F591="","",IFERROR(INDEX(사건마스터!$AT$5:$AT$64,MATCH($F591,사건마스터!$A$5:$A$64,0)),""))</f>
        <v/>
      </c>
      <c r="X591" s="35">
        <f>IF($F591="","",IFERROR(INDEX(사건마스터!$AU$5:$AU$64,MATCH($F591,사건마스터!$A$5:$A$64,0)),""))</f>
        <v/>
      </c>
      <c r="Y591" s="35">
        <f>IF($F591="","",IFERROR(INDEX(사건마스터!$AV$5:$AV$64,MATCH($F591,사건마스터!$A$5:$A$64,0)),""))</f>
        <v/>
      </c>
      <c r="Z591" s="30">
        <f>IF(COUNTBLANK($J591:$Y591)=16,"",16-COUNTBLANK($J591:$Y591))</f>
        <v/>
      </c>
      <c r="AA591" s="33">
        <f>IF($J591="",MID($AX591,3,255),$J591&amp;$AX591)</f>
        <v/>
      </c>
      <c r="AB591" s="34">
        <f>IF($J591="","",IFERROR(INDEX(코드설정!$D$5:$D$24,MATCH($J591,코드설정!$C$5:$C$24,0)),""))</f>
        <v/>
      </c>
      <c r="AC591" s="36" t="n"/>
      <c r="AD591" s="37" t="n"/>
      <c r="AE591" s="38" t="n"/>
      <c r="AF591" s="30">
        <f>IF(OR($B591="",$C591=""),"",$C591-$B591+1)</f>
        <v/>
      </c>
      <c r="AG591" s="32" t="n"/>
      <c r="AH591" s="36" t="n"/>
      <c r="AJ591">
        <f>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  <c r="AX591">
        <f>AW591&amp;IF($Y591="","",", "&amp;$Y591)</f>
        <v/>
      </c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0">
        <f>IF($F592="","",COUNTIF($F$5:$F592,$F592))</f>
        <v/>
      </c>
      <c r="H592" s="33">
        <f>IF($F592="","",IFERROR(INDEX(사건마스터!$B$5:$B$64,MATCH($F592,사건마스터!$A$5:$A$64,0)),""))</f>
        <v/>
      </c>
      <c r="I592" s="34">
        <f>IF($F592="","",IFERROR(INDEX(사건마스터!$C$5:$C$64,MATCH($F592,사건마스터!$A$5:$A$64,0)),""))</f>
        <v/>
      </c>
      <c r="J592" s="35">
        <f>IF($F592="","",IFERROR(INDEX(사건마스터!$H$5:$H$64,MATCH($F592,사건마스터!$A$5:$A$64,0)),""))</f>
        <v/>
      </c>
      <c r="K592" s="35">
        <f>IF($F592="","",IFERROR(INDEX(사건마스터!$AH$5:$AH$64,MATCH($F592,사건마스터!$A$5:$A$64,0)),""))</f>
        <v/>
      </c>
      <c r="L592" s="35">
        <f>IF($F592="","",IFERROR(INDEX(사건마스터!$AI$5:$AI$64,MATCH($F592,사건마스터!$A$5:$A$64,0)),""))</f>
        <v/>
      </c>
      <c r="M592" s="35">
        <f>IF($F592="","",IFERROR(INDEX(사건마스터!$AJ$5:$AJ$64,MATCH($F592,사건마스터!$A$5:$A$64,0)),""))</f>
        <v/>
      </c>
      <c r="N592" s="35">
        <f>IF($F592="","",IFERROR(INDEX(사건마스터!$AK$5:$AK$64,MATCH($F592,사건마스터!$A$5:$A$64,0)),""))</f>
        <v/>
      </c>
      <c r="O592" s="35">
        <f>IF($F592="","",IFERROR(INDEX(사건마스터!$AL$5:$AL$64,MATCH($F592,사건마스터!$A$5:$A$64,0)),""))</f>
        <v/>
      </c>
      <c r="P592" s="35">
        <f>IF($F592="","",IFERROR(INDEX(사건마스터!$AM$5:$AM$64,MATCH($F592,사건마스터!$A$5:$A$64,0)),""))</f>
        <v/>
      </c>
      <c r="Q592" s="35">
        <f>IF($F592="","",IFERROR(INDEX(사건마스터!$AN$5:$AN$64,MATCH($F592,사건마스터!$A$5:$A$64,0)),""))</f>
        <v/>
      </c>
      <c r="R592" s="35">
        <f>IF($F592="","",IFERROR(INDEX(사건마스터!$AO$5:$AO$64,MATCH($F592,사건마스터!$A$5:$A$64,0)),""))</f>
        <v/>
      </c>
      <c r="S592" s="35">
        <f>IF($F592="","",IFERROR(INDEX(사건마스터!$AP$5:$AP$64,MATCH($F592,사건마스터!$A$5:$A$64,0)),""))</f>
        <v/>
      </c>
      <c r="T592" s="35">
        <f>IF($F592="","",IFERROR(INDEX(사건마스터!$AQ$5:$AQ$64,MATCH($F592,사건마스터!$A$5:$A$64,0)),""))</f>
        <v/>
      </c>
      <c r="U592" s="35">
        <f>IF($F592="","",IFERROR(INDEX(사건마스터!$AR$5:$AR$64,MATCH($F592,사건마스터!$A$5:$A$64,0)),""))</f>
        <v/>
      </c>
      <c r="V592" s="35">
        <f>IF($F592="","",IFERROR(INDEX(사건마스터!$AS$5:$AS$64,MATCH($F592,사건마스터!$A$5:$A$64,0)),""))</f>
        <v/>
      </c>
      <c r="W592" s="35">
        <f>IF($F592="","",IFERROR(INDEX(사건마스터!$AT$5:$AT$64,MATCH($F592,사건마스터!$A$5:$A$64,0)),""))</f>
        <v/>
      </c>
      <c r="X592" s="35">
        <f>IF($F592="","",IFERROR(INDEX(사건마스터!$AU$5:$AU$64,MATCH($F592,사건마스터!$A$5:$A$64,0)),""))</f>
        <v/>
      </c>
      <c r="Y592" s="35">
        <f>IF($F592="","",IFERROR(INDEX(사건마스터!$AV$5:$AV$64,MATCH($F592,사건마스터!$A$5:$A$64,0)),""))</f>
        <v/>
      </c>
      <c r="Z592" s="30">
        <f>IF(COUNTBLANK($J592:$Y592)=16,"",16-COUNTBLANK($J592:$Y592))</f>
        <v/>
      </c>
      <c r="AA592" s="33">
        <f>IF($J592="",MID($AX592,3,255),$J592&amp;$AX592)</f>
        <v/>
      </c>
      <c r="AB592" s="34">
        <f>IF($J592="","",IFERROR(INDEX(코드설정!$D$5:$D$24,MATCH($J592,코드설정!$C$5:$C$24,0)),""))</f>
        <v/>
      </c>
      <c r="AC592" s="36" t="n"/>
      <c r="AD592" s="37" t="n"/>
      <c r="AE592" s="38" t="n"/>
      <c r="AF592" s="30">
        <f>IF(OR($B592="",$C592=""),"",$C592-$B592+1)</f>
        <v/>
      </c>
      <c r="AG592" s="32" t="n"/>
      <c r="AH592" s="36" t="n"/>
      <c r="AJ592">
        <f>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  <c r="AX592">
        <f>AW592&amp;IF($Y592="","",", "&amp;$Y592)</f>
        <v/>
      </c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0">
        <f>IF($F593="","",COUNTIF($F$5:$F593,$F593))</f>
        <v/>
      </c>
      <c r="H593" s="33">
        <f>IF($F593="","",IFERROR(INDEX(사건마스터!$B$5:$B$64,MATCH($F593,사건마스터!$A$5:$A$64,0)),""))</f>
        <v/>
      </c>
      <c r="I593" s="34">
        <f>IF($F593="","",IFERROR(INDEX(사건마스터!$C$5:$C$64,MATCH($F593,사건마스터!$A$5:$A$64,0)),""))</f>
        <v/>
      </c>
      <c r="J593" s="35">
        <f>IF($F593="","",IFERROR(INDEX(사건마스터!$H$5:$H$64,MATCH($F593,사건마스터!$A$5:$A$64,0)),""))</f>
        <v/>
      </c>
      <c r="K593" s="35">
        <f>IF($F593="","",IFERROR(INDEX(사건마스터!$AH$5:$AH$64,MATCH($F593,사건마스터!$A$5:$A$64,0)),""))</f>
        <v/>
      </c>
      <c r="L593" s="35">
        <f>IF($F593="","",IFERROR(INDEX(사건마스터!$AI$5:$AI$64,MATCH($F593,사건마스터!$A$5:$A$64,0)),""))</f>
        <v/>
      </c>
      <c r="M593" s="35">
        <f>IF($F593="","",IFERROR(INDEX(사건마스터!$AJ$5:$AJ$64,MATCH($F593,사건마스터!$A$5:$A$64,0)),""))</f>
        <v/>
      </c>
      <c r="N593" s="35">
        <f>IF($F593="","",IFERROR(INDEX(사건마스터!$AK$5:$AK$64,MATCH($F593,사건마스터!$A$5:$A$64,0)),""))</f>
        <v/>
      </c>
      <c r="O593" s="35">
        <f>IF($F593="","",IFERROR(INDEX(사건마스터!$AL$5:$AL$64,MATCH($F593,사건마스터!$A$5:$A$64,0)),""))</f>
        <v/>
      </c>
      <c r="P593" s="35">
        <f>IF($F593="","",IFERROR(INDEX(사건마스터!$AM$5:$AM$64,MATCH($F593,사건마스터!$A$5:$A$64,0)),""))</f>
        <v/>
      </c>
      <c r="Q593" s="35">
        <f>IF($F593="","",IFERROR(INDEX(사건마스터!$AN$5:$AN$64,MATCH($F593,사건마스터!$A$5:$A$64,0)),""))</f>
        <v/>
      </c>
      <c r="R593" s="35">
        <f>IF($F593="","",IFERROR(INDEX(사건마스터!$AO$5:$AO$64,MATCH($F593,사건마스터!$A$5:$A$64,0)),""))</f>
        <v/>
      </c>
      <c r="S593" s="35">
        <f>IF($F593="","",IFERROR(INDEX(사건마스터!$AP$5:$AP$64,MATCH($F593,사건마스터!$A$5:$A$64,0)),""))</f>
        <v/>
      </c>
      <c r="T593" s="35">
        <f>IF($F593="","",IFERROR(INDEX(사건마스터!$AQ$5:$AQ$64,MATCH($F593,사건마스터!$A$5:$A$64,0)),""))</f>
        <v/>
      </c>
      <c r="U593" s="35">
        <f>IF($F593="","",IFERROR(INDEX(사건마스터!$AR$5:$AR$64,MATCH($F593,사건마스터!$A$5:$A$64,0)),""))</f>
        <v/>
      </c>
      <c r="V593" s="35">
        <f>IF($F593="","",IFERROR(INDEX(사건마스터!$AS$5:$AS$64,MATCH($F593,사건마스터!$A$5:$A$64,0)),""))</f>
        <v/>
      </c>
      <c r="W593" s="35">
        <f>IF($F593="","",IFERROR(INDEX(사건마스터!$AT$5:$AT$64,MATCH($F593,사건마스터!$A$5:$A$64,0)),""))</f>
        <v/>
      </c>
      <c r="X593" s="35">
        <f>IF($F593="","",IFERROR(INDEX(사건마스터!$AU$5:$AU$64,MATCH($F593,사건마스터!$A$5:$A$64,0)),""))</f>
        <v/>
      </c>
      <c r="Y593" s="35">
        <f>IF($F593="","",IFERROR(INDEX(사건마스터!$AV$5:$AV$64,MATCH($F593,사건마스터!$A$5:$A$64,0)),""))</f>
        <v/>
      </c>
      <c r="Z593" s="30">
        <f>IF(COUNTBLANK($J593:$Y593)=16,"",16-COUNTBLANK($J593:$Y593))</f>
        <v/>
      </c>
      <c r="AA593" s="33">
        <f>IF($J593="",MID($AX593,3,255),$J593&amp;$AX593)</f>
        <v/>
      </c>
      <c r="AB593" s="34">
        <f>IF($J593="","",IFERROR(INDEX(코드설정!$D$5:$D$24,MATCH($J593,코드설정!$C$5:$C$24,0)),""))</f>
        <v/>
      </c>
      <c r="AC593" s="36" t="n"/>
      <c r="AD593" s="37" t="n"/>
      <c r="AE593" s="38" t="n"/>
      <c r="AF593" s="30">
        <f>IF(OR($B593="",$C593=""),"",$C593-$B593+1)</f>
        <v/>
      </c>
      <c r="AG593" s="32" t="n"/>
      <c r="AH593" s="36" t="n"/>
      <c r="AJ593">
        <f>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  <c r="AX593">
        <f>AW593&amp;IF($Y593="","",", "&amp;$Y593)</f>
        <v/>
      </c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0">
        <f>IF($F594="","",COUNTIF($F$5:$F594,$F594))</f>
        <v/>
      </c>
      <c r="H594" s="33">
        <f>IF($F594="","",IFERROR(INDEX(사건마스터!$B$5:$B$64,MATCH($F594,사건마스터!$A$5:$A$64,0)),""))</f>
        <v/>
      </c>
      <c r="I594" s="34">
        <f>IF($F594="","",IFERROR(INDEX(사건마스터!$C$5:$C$64,MATCH($F594,사건마스터!$A$5:$A$64,0)),""))</f>
        <v/>
      </c>
      <c r="J594" s="35">
        <f>IF($F594="","",IFERROR(INDEX(사건마스터!$H$5:$H$64,MATCH($F594,사건마스터!$A$5:$A$64,0)),""))</f>
        <v/>
      </c>
      <c r="K594" s="35">
        <f>IF($F594="","",IFERROR(INDEX(사건마스터!$AH$5:$AH$64,MATCH($F594,사건마스터!$A$5:$A$64,0)),""))</f>
        <v/>
      </c>
      <c r="L594" s="35">
        <f>IF($F594="","",IFERROR(INDEX(사건마스터!$AI$5:$AI$64,MATCH($F594,사건마스터!$A$5:$A$64,0)),""))</f>
        <v/>
      </c>
      <c r="M594" s="35">
        <f>IF($F594="","",IFERROR(INDEX(사건마스터!$AJ$5:$AJ$64,MATCH($F594,사건마스터!$A$5:$A$64,0)),""))</f>
        <v/>
      </c>
      <c r="N594" s="35">
        <f>IF($F594="","",IFERROR(INDEX(사건마스터!$AK$5:$AK$64,MATCH($F594,사건마스터!$A$5:$A$64,0)),""))</f>
        <v/>
      </c>
      <c r="O594" s="35">
        <f>IF($F594="","",IFERROR(INDEX(사건마스터!$AL$5:$AL$64,MATCH($F594,사건마스터!$A$5:$A$64,0)),""))</f>
        <v/>
      </c>
      <c r="P594" s="35">
        <f>IF($F594="","",IFERROR(INDEX(사건마스터!$AM$5:$AM$64,MATCH($F594,사건마스터!$A$5:$A$64,0)),""))</f>
        <v/>
      </c>
      <c r="Q594" s="35">
        <f>IF($F594="","",IFERROR(INDEX(사건마스터!$AN$5:$AN$64,MATCH($F594,사건마스터!$A$5:$A$64,0)),""))</f>
        <v/>
      </c>
      <c r="R594" s="35">
        <f>IF($F594="","",IFERROR(INDEX(사건마스터!$AO$5:$AO$64,MATCH($F594,사건마스터!$A$5:$A$64,0)),""))</f>
        <v/>
      </c>
      <c r="S594" s="35">
        <f>IF($F594="","",IFERROR(INDEX(사건마스터!$AP$5:$AP$64,MATCH($F594,사건마스터!$A$5:$A$64,0)),""))</f>
        <v/>
      </c>
      <c r="T594" s="35">
        <f>IF($F594="","",IFERROR(INDEX(사건마스터!$AQ$5:$AQ$64,MATCH($F594,사건마스터!$A$5:$A$64,0)),""))</f>
        <v/>
      </c>
      <c r="U594" s="35">
        <f>IF($F594="","",IFERROR(INDEX(사건마스터!$AR$5:$AR$64,MATCH($F594,사건마스터!$A$5:$A$64,0)),""))</f>
        <v/>
      </c>
      <c r="V594" s="35">
        <f>IF($F594="","",IFERROR(INDEX(사건마스터!$AS$5:$AS$64,MATCH($F594,사건마스터!$A$5:$A$64,0)),""))</f>
        <v/>
      </c>
      <c r="W594" s="35">
        <f>IF($F594="","",IFERROR(INDEX(사건마스터!$AT$5:$AT$64,MATCH($F594,사건마스터!$A$5:$A$64,0)),""))</f>
        <v/>
      </c>
      <c r="X594" s="35">
        <f>IF($F594="","",IFERROR(INDEX(사건마스터!$AU$5:$AU$64,MATCH($F594,사건마스터!$A$5:$A$64,0)),""))</f>
        <v/>
      </c>
      <c r="Y594" s="35">
        <f>IF($F594="","",IFERROR(INDEX(사건마스터!$AV$5:$AV$64,MATCH($F594,사건마스터!$A$5:$A$64,0)),""))</f>
        <v/>
      </c>
      <c r="Z594" s="30">
        <f>IF(COUNTBLANK($J594:$Y594)=16,"",16-COUNTBLANK($J594:$Y594))</f>
        <v/>
      </c>
      <c r="AA594" s="33">
        <f>IF($J594="",MID($AX594,3,255),$J594&amp;$AX594)</f>
        <v/>
      </c>
      <c r="AB594" s="34">
        <f>IF($J594="","",IFERROR(INDEX(코드설정!$D$5:$D$24,MATCH($J594,코드설정!$C$5:$C$24,0)),""))</f>
        <v/>
      </c>
      <c r="AC594" s="36" t="n"/>
      <c r="AD594" s="37" t="n"/>
      <c r="AE594" s="38" t="n"/>
      <c r="AF594" s="30">
        <f>IF(OR($B594="",$C594=""),"",$C594-$B594+1)</f>
        <v/>
      </c>
      <c r="AG594" s="32" t="n"/>
      <c r="AH594" s="36" t="n"/>
      <c r="AJ594">
        <f>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  <c r="AX594">
        <f>AW594&amp;IF($Y594="","",", "&amp;$Y594)</f>
        <v/>
      </c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0">
        <f>IF($F595="","",COUNTIF($F$5:$F595,$F595))</f>
        <v/>
      </c>
      <c r="H595" s="33">
        <f>IF($F595="","",IFERROR(INDEX(사건마스터!$B$5:$B$64,MATCH($F595,사건마스터!$A$5:$A$64,0)),""))</f>
        <v/>
      </c>
      <c r="I595" s="34">
        <f>IF($F595="","",IFERROR(INDEX(사건마스터!$C$5:$C$64,MATCH($F595,사건마스터!$A$5:$A$64,0)),""))</f>
        <v/>
      </c>
      <c r="J595" s="35">
        <f>IF($F595="","",IFERROR(INDEX(사건마스터!$H$5:$H$64,MATCH($F595,사건마스터!$A$5:$A$64,0)),""))</f>
        <v/>
      </c>
      <c r="K595" s="35">
        <f>IF($F595="","",IFERROR(INDEX(사건마스터!$AH$5:$AH$64,MATCH($F595,사건마스터!$A$5:$A$64,0)),""))</f>
        <v/>
      </c>
      <c r="L595" s="35">
        <f>IF($F595="","",IFERROR(INDEX(사건마스터!$AI$5:$AI$64,MATCH($F595,사건마스터!$A$5:$A$64,0)),""))</f>
        <v/>
      </c>
      <c r="M595" s="35">
        <f>IF($F595="","",IFERROR(INDEX(사건마스터!$AJ$5:$AJ$64,MATCH($F595,사건마스터!$A$5:$A$64,0)),""))</f>
        <v/>
      </c>
      <c r="N595" s="35">
        <f>IF($F595="","",IFERROR(INDEX(사건마스터!$AK$5:$AK$64,MATCH($F595,사건마스터!$A$5:$A$64,0)),""))</f>
        <v/>
      </c>
      <c r="O595" s="35">
        <f>IF($F595="","",IFERROR(INDEX(사건마스터!$AL$5:$AL$64,MATCH($F595,사건마스터!$A$5:$A$64,0)),""))</f>
        <v/>
      </c>
      <c r="P595" s="35">
        <f>IF($F595="","",IFERROR(INDEX(사건마스터!$AM$5:$AM$64,MATCH($F595,사건마스터!$A$5:$A$64,0)),""))</f>
        <v/>
      </c>
      <c r="Q595" s="35">
        <f>IF($F595="","",IFERROR(INDEX(사건마스터!$AN$5:$AN$64,MATCH($F595,사건마스터!$A$5:$A$64,0)),""))</f>
        <v/>
      </c>
      <c r="R595" s="35">
        <f>IF($F595="","",IFERROR(INDEX(사건마스터!$AO$5:$AO$64,MATCH($F595,사건마스터!$A$5:$A$64,0)),""))</f>
        <v/>
      </c>
      <c r="S595" s="35">
        <f>IF($F595="","",IFERROR(INDEX(사건마스터!$AP$5:$AP$64,MATCH($F595,사건마스터!$A$5:$A$64,0)),""))</f>
        <v/>
      </c>
      <c r="T595" s="35">
        <f>IF($F595="","",IFERROR(INDEX(사건마스터!$AQ$5:$AQ$64,MATCH($F595,사건마스터!$A$5:$A$64,0)),""))</f>
        <v/>
      </c>
      <c r="U595" s="35">
        <f>IF($F595="","",IFERROR(INDEX(사건마스터!$AR$5:$AR$64,MATCH($F595,사건마스터!$A$5:$A$64,0)),""))</f>
        <v/>
      </c>
      <c r="V595" s="35">
        <f>IF($F595="","",IFERROR(INDEX(사건마스터!$AS$5:$AS$64,MATCH($F595,사건마스터!$A$5:$A$64,0)),""))</f>
        <v/>
      </c>
      <c r="W595" s="35">
        <f>IF($F595="","",IFERROR(INDEX(사건마스터!$AT$5:$AT$64,MATCH($F595,사건마스터!$A$5:$A$64,0)),""))</f>
        <v/>
      </c>
      <c r="X595" s="35">
        <f>IF($F595="","",IFERROR(INDEX(사건마스터!$AU$5:$AU$64,MATCH($F595,사건마스터!$A$5:$A$64,0)),""))</f>
        <v/>
      </c>
      <c r="Y595" s="35">
        <f>IF($F595="","",IFERROR(INDEX(사건마스터!$AV$5:$AV$64,MATCH($F595,사건마스터!$A$5:$A$64,0)),""))</f>
        <v/>
      </c>
      <c r="Z595" s="30">
        <f>IF(COUNTBLANK($J595:$Y595)=16,"",16-COUNTBLANK($J595:$Y595))</f>
        <v/>
      </c>
      <c r="AA595" s="33">
        <f>IF($J595="",MID($AX595,3,255),$J595&amp;$AX595)</f>
        <v/>
      </c>
      <c r="AB595" s="34">
        <f>IF($J595="","",IFERROR(INDEX(코드설정!$D$5:$D$24,MATCH($J595,코드설정!$C$5:$C$24,0)),""))</f>
        <v/>
      </c>
      <c r="AC595" s="36" t="n"/>
      <c r="AD595" s="37" t="n"/>
      <c r="AE595" s="38" t="n"/>
      <c r="AF595" s="30">
        <f>IF(OR($B595="",$C595=""),"",$C595-$B595+1)</f>
        <v/>
      </c>
      <c r="AG595" s="32" t="n"/>
      <c r="AH595" s="36" t="n"/>
      <c r="AJ595">
        <f>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  <c r="AX595">
        <f>AW595&amp;IF($Y595="","",", "&amp;$Y595)</f>
        <v/>
      </c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0">
        <f>IF($F596="","",COUNTIF($F$5:$F596,$F596))</f>
        <v/>
      </c>
      <c r="H596" s="33">
        <f>IF($F596="","",IFERROR(INDEX(사건마스터!$B$5:$B$64,MATCH($F596,사건마스터!$A$5:$A$64,0)),""))</f>
        <v/>
      </c>
      <c r="I596" s="34">
        <f>IF($F596="","",IFERROR(INDEX(사건마스터!$C$5:$C$64,MATCH($F596,사건마스터!$A$5:$A$64,0)),""))</f>
        <v/>
      </c>
      <c r="J596" s="35">
        <f>IF($F596="","",IFERROR(INDEX(사건마스터!$H$5:$H$64,MATCH($F596,사건마스터!$A$5:$A$64,0)),""))</f>
        <v/>
      </c>
      <c r="K596" s="35">
        <f>IF($F596="","",IFERROR(INDEX(사건마스터!$AH$5:$AH$64,MATCH($F596,사건마스터!$A$5:$A$64,0)),""))</f>
        <v/>
      </c>
      <c r="L596" s="35">
        <f>IF($F596="","",IFERROR(INDEX(사건마스터!$AI$5:$AI$64,MATCH($F596,사건마스터!$A$5:$A$64,0)),""))</f>
        <v/>
      </c>
      <c r="M596" s="35">
        <f>IF($F596="","",IFERROR(INDEX(사건마스터!$AJ$5:$AJ$64,MATCH($F596,사건마스터!$A$5:$A$64,0)),""))</f>
        <v/>
      </c>
      <c r="N596" s="35">
        <f>IF($F596="","",IFERROR(INDEX(사건마스터!$AK$5:$AK$64,MATCH($F596,사건마스터!$A$5:$A$64,0)),""))</f>
        <v/>
      </c>
      <c r="O596" s="35">
        <f>IF($F596="","",IFERROR(INDEX(사건마스터!$AL$5:$AL$64,MATCH($F596,사건마스터!$A$5:$A$64,0)),""))</f>
        <v/>
      </c>
      <c r="P596" s="35">
        <f>IF($F596="","",IFERROR(INDEX(사건마스터!$AM$5:$AM$64,MATCH($F596,사건마스터!$A$5:$A$64,0)),""))</f>
        <v/>
      </c>
      <c r="Q596" s="35">
        <f>IF($F596="","",IFERROR(INDEX(사건마스터!$AN$5:$AN$64,MATCH($F596,사건마스터!$A$5:$A$64,0)),""))</f>
        <v/>
      </c>
      <c r="R596" s="35">
        <f>IF($F596="","",IFERROR(INDEX(사건마스터!$AO$5:$AO$64,MATCH($F596,사건마스터!$A$5:$A$64,0)),""))</f>
        <v/>
      </c>
      <c r="S596" s="35">
        <f>IF($F596="","",IFERROR(INDEX(사건마스터!$AP$5:$AP$64,MATCH($F596,사건마스터!$A$5:$A$64,0)),""))</f>
        <v/>
      </c>
      <c r="T596" s="35">
        <f>IF($F596="","",IFERROR(INDEX(사건마스터!$AQ$5:$AQ$64,MATCH($F596,사건마스터!$A$5:$A$64,0)),""))</f>
        <v/>
      </c>
      <c r="U596" s="35">
        <f>IF($F596="","",IFERROR(INDEX(사건마스터!$AR$5:$AR$64,MATCH($F596,사건마스터!$A$5:$A$64,0)),""))</f>
        <v/>
      </c>
      <c r="V596" s="35">
        <f>IF($F596="","",IFERROR(INDEX(사건마스터!$AS$5:$AS$64,MATCH($F596,사건마스터!$A$5:$A$64,0)),""))</f>
        <v/>
      </c>
      <c r="W596" s="35">
        <f>IF($F596="","",IFERROR(INDEX(사건마스터!$AT$5:$AT$64,MATCH($F596,사건마스터!$A$5:$A$64,0)),""))</f>
        <v/>
      </c>
      <c r="X596" s="35">
        <f>IF($F596="","",IFERROR(INDEX(사건마스터!$AU$5:$AU$64,MATCH($F596,사건마스터!$A$5:$A$64,0)),""))</f>
        <v/>
      </c>
      <c r="Y596" s="35">
        <f>IF($F596="","",IFERROR(INDEX(사건마스터!$AV$5:$AV$64,MATCH($F596,사건마스터!$A$5:$A$64,0)),""))</f>
        <v/>
      </c>
      <c r="Z596" s="30">
        <f>IF(COUNTBLANK($J596:$Y596)=16,"",16-COUNTBLANK($J596:$Y596))</f>
        <v/>
      </c>
      <c r="AA596" s="33">
        <f>IF($J596="",MID($AX596,3,255),$J596&amp;$AX596)</f>
        <v/>
      </c>
      <c r="AB596" s="34">
        <f>IF($J596="","",IFERROR(INDEX(코드설정!$D$5:$D$24,MATCH($J596,코드설정!$C$5:$C$24,0)),""))</f>
        <v/>
      </c>
      <c r="AC596" s="36" t="n"/>
      <c r="AD596" s="37" t="n"/>
      <c r="AE596" s="38" t="n"/>
      <c r="AF596" s="30">
        <f>IF(OR($B596="",$C596=""),"",$C596-$B596+1)</f>
        <v/>
      </c>
      <c r="AG596" s="32" t="n"/>
      <c r="AH596" s="36" t="n"/>
      <c r="AJ596">
        <f>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  <c r="AX596">
        <f>AW596&amp;IF($Y596="","",", "&amp;$Y596)</f>
        <v/>
      </c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0">
        <f>IF($F597="","",COUNTIF($F$5:$F597,$F597))</f>
        <v/>
      </c>
      <c r="H597" s="33">
        <f>IF($F597="","",IFERROR(INDEX(사건마스터!$B$5:$B$64,MATCH($F597,사건마스터!$A$5:$A$64,0)),""))</f>
        <v/>
      </c>
      <c r="I597" s="34">
        <f>IF($F597="","",IFERROR(INDEX(사건마스터!$C$5:$C$64,MATCH($F597,사건마스터!$A$5:$A$64,0)),""))</f>
        <v/>
      </c>
      <c r="J597" s="35">
        <f>IF($F597="","",IFERROR(INDEX(사건마스터!$H$5:$H$64,MATCH($F597,사건마스터!$A$5:$A$64,0)),""))</f>
        <v/>
      </c>
      <c r="K597" s="35">
        <f>IF($F597="","",IFERROR(INDEX(사건마스터!$AH$5:$AH$64,MATCH($F597,사건마스터!$A$5:$A$64,0)),""))</f>
        <v/>
      </c>
      <c r="L597" s="35">
        <f>IF($F597="","",IFERROR(INDEX(사건마스터!$AI$5:$AI$64,MATCH($F597,사건마스터!$A$5:$A$64,0)),""))</f>
        <v/>
      </c>
      <c r="M597" s="35">
        <f>IF($F597="","",IFERROR(INDEX(사건마스터!$AJ$5:$AJ$64,MATCH($F597,사건마스터!$A$5:$A$64,0)),""))</f>
        <v/>
      </c>
      <c r="N597" s="35">
        <f>IF($F597="","",IFERROR(INDEX(사건마스터!$AK$5:$AK$64,MATCH($F597,사건마스터!$A$5:$A$64,0)),""))</f>
        <v/>
      </c>
      <c r="O597" s="35">
        <f>IF($F597="","",IFERROR(INDEX(사건마스터!$AL$5:$AL$64,MATCH($F597,사건마스터!$A$5:$A$64,0)),""))</f>
        <v/>
      </c>
      <c r="P597" s="35">
        <f>IF($F597="","",IFERROR(INDEX(사건마스터!$AM$5:$AM$64,MATCH($F597,사건마스터!$A$5:$A$64,0)),""))</f>
        <v/>
      </c>
      <c r="Q597" s="35">
        <f>IF($F597="","",IFERROR(INDEX(사건마스터!$AN$5:$AN$64,MATCH($F597,사건마스터!$A$5:$A$64,0)),""))</f>
        <v/>
      </c>
      <c r="R597" s="35">
        <f>IF($F597="","",IFERROR(INDEX(사건마스터!$AO$5:$AO$64,MATCH($F597,사건마스터!$A$5:$A$64,0)),""))</f>
        <v/>
      </c>
      <c r="S597" s="35">
        <f>IF($F597="","",IFERROR(INDEX(사건마스터!$AP$5:$AP$64,MATCH($F597,사건마스터!$A$5:$A$64,0)),""))</f>
        <v/>
      </c>
      <c r="T597" s="35">
        <f>IF($F597="","",IFERROR(INDEX(사건마스터!$AQ$5:$AQ$64,MATCH($F597,사건마스터!$A$5:$A$64,0)),""))</f>
        <v/>
      </c>
      <c r="U597" s="35">
        <f>IF($F597="","",IFERROR(INDEX(사건마스터!$AR$5:$AR$64,MATCH($F597,사건마스터!$A$5:$A$64,0)),""))</f>
        <v/>
      </c>
      <c r="V597" s="35">
        <f>IF($F597="","",IFERROR(INDEX(사건마스터!$AS$5:$AS$64,MATCH($F597,사건마스터!$A$5:$A$64,0)),""))</f>
        <v/>
      </c>
      <c r="W597" s="35">
        <f>IF($F597="","",IFERROR(INDEX(사건마스터!$AT$5:$AT$64,MATCH($F597,사건마스터!$A$5:$A$64,0)),""))</f>
        <v/>
      </c>
      <c r="X597" s="35">
        <f>IF($F597="","",IFERROR(INDEX(사건마스터!$AU$5:$AU$64,MATCH($F597,사건마스터!$A$5:$A$64,0)),""))</f>
        <v/>
      </c>
      <c r="Y597" s="35">
        <f>IF($F597="","",IFERROR(INDEX(사건마스터!$AV$5:$AV$64,MATCH($F597,사건마스터!$A$5:$A$64,0)),""))</f>
        <v/>
      </c>
      <c r="Z597" s="30">
        <f>IF(COUNTBLANK($J597:$Y597)=16,"",16-COUNTBLANK($J597:$Y597))</f>
        <v/>
      </c>
      <c r="AA597" s="33">
        <f>IF($J597="",MID($AX597,3,255),$J597&amp;$AX597)</f>
        <v/>
      </c>
      <c r="AB597" s="34">
        <f>IF($J597="","",IFERROR(INDEX(코드설정!$D$5:$D$24,MATCH($J597,코드설정!$C$5:$C$24,0)),""))</f>
        <v/>
      </c>
      <c r="AC597" s="36" t="n"/>
      <c r="AD597" s="37" t="n"/>
      <c r="AE597" s="38" t="n"/>
      <c r="AF597" s="30">
        <f>IF(OR($B597="",$C597=""),"",$C597-$B597+1)</f>
        <v/>
      </c>
      <c r="AG597" s="32" t="n"/>
      <c r="AH597" s="36" t="n"/>
      <c r="AJ597">
        <f>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  <c r="AX597">
        <f>AW597&amp;IF($Y597="","",", "&amp;$Y597)</f>
        <v/>
      </c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0">
        <f>IF($F598="","",COUNTIF($F$5:$F598,$F598))</f>
        <v/>
      </c>
      <c r="H598" s="33">
        <f>IF($F598="","",IFERROR(INDEX(사건마스터!$B$5:$B$64,MATCH($F598,사건마스터!$A$5:$A$64,0)),""))</f>
        <v/>
      </c>
      <c r="I598" s="34">
        <f>IF($F598="","",IFERROR(INDEX(사건마스터!$C$5:$C$64,MATCH($F598,사건마스터!$A$5:$A$64,0)),""))</f>
        <v/>
      </c>
      <c r="J598" s="35">
        <f>IF($F598="","",IFERROR(INDEX(사건마스터!$H$5:$H$64,MATCH($F598,사건마스터!$A$5:$A$64,0)),""))</f>
        <v/>
      </c>
      <c r="K598" s="35">
        <f>IF($F598="","",IFERROR(INDEX(사건마스터!$AH$5:$AH$64,MATCH($F598,사건마스터!$A$5:$A$64,0)),""))</f>
        <v/>
      </c>
      <c r="L598" s="35">
        <f>IF($F598="","",IFERROR(INDEX(사건마스터!$AI$5:$AI$64,MATCH($F598,사건마스터!$A$5:$A$64,0)),""))</f>
        <v/>
      </c>
      <c r="M598" s="35">
        <f>IF($F598="","",IFERROR(INDEX(사건마스터!$AJ$5:$AJ$64,MATCH($F598,사건마스터!$A$5:$A$64,0)),""))</f>
        <v/>
      </c>
      <c r="N598" s="35">
        <f>IF($F598="","",IFERROR(INDEX(사건마스터!$AK$5:$AK$64,MATCH($F598,사건마스터!$A$5:$A$64,0)),""))</f>
        <v/>
      </c>
      <c r="O598" s="35">
        <f>IF($F598="","",IFERROR(INDEX(사건마스터!$AL$5:$AL$64,MATCH($F598,사건마스터!$A$5:$A$64,0)),""))</f>
        <v/>
      </c>
      <c r="P598" s="35">
        <f>IF($F598="","",IFERROR(INDEX(사건마스터!$AM$5:$AM$64,MATCH($F598,사건마스터!$A$5:$A$64,0)),""))</f>
        <v/>
      </c>
      <c r="Q598" s="35">
        <f>IF($F598="","",IFERROR(INDEX(사건마스터!$AN$5:$AN$64,MATCH($F598,사건마스터!$A$5:$A$64,0)),""))</f>
        <v/>
      </c>
      <c r="R598" s="35">
        <f>IF($F598="","",IFERROR(INDEX(사건마스터!$AO$5:$AO$64,MATCH($F598,사건마스터!$A$5:$A$64,0)),""))</f>
        <v/>
      </c>
      <c r="S598" s="35">
        <f>IF($F598="","",IFERROR(INDEX(사건마스터!$AP$5:$AP$64,MATCH($F598,사건마스터!$A$5:$A$64,0)),""))</f>
        <v/>
      </c>
      <c r="T598" s="35">
        <f>IF($F598="","",IFERROR(INDEX(사건마스터!$AQ$5:$AQ$64,MATCH($F598,사건마스터!$A$5:$A$64,0)),""))</f>
        <v/>
      </c>
      <c r="U598" s="35">
        <f>IF($F598="","",IFERROR(INDEX(사건마스터!$AR$5:$AR$64,MATCH($F598,사건마스터!$A$5:$A$64,0)),""))</f>
        <v/>
      </c>
      <c r="V598" s="35">
        <f>IF($F598="","",IFERROR(INDEX(사건마스터!$AS$5:$AS$64,MATCH($F598,사건마스터!$A$5:$A$64,0)),""))</f>
        <v/>
      </c>
      <c r="W598" s="35">
        <f>IF($F598="","",IFERROR(INDEX(사건마스터!$AT$5:$AT$64,MATCH($F598,사건마스터!$A$5:$A$64,0)),""))</f>
        <v/>
      </c>
      <c r="X598" s="35">
        <f>IF($F598="","",IFERROR(INDEX(사건마스터!$AU$5:$AU$64,MATCH($F598,사건마스터!$A$5:$A$64,0)),""))</f>
        <v/>
      </c>
      <c r="Y598" s="35">
        <f>IF($F598="","",IFERROR(INDEX(사건마스터!$AV$5:$AV$64,MATCH($F598,사건마스터!$A$5:$A$64,0)),""))</f>
        <v/>
      </c>
      <c r="Z598" s="30">
        <f>IF(COUNTBLANK($J598:$Y598)=16,"",16-COUNTBLANK($J598:$Y598))</f>
        <v/>
      </c>
      <c r="AA598" s="33">
        <f>IF($J598="",MID($AX598,3,255),$J598&amp;$AX598)</f>
        <v/>
      </c>
      <c r="AB598" s="34">
        <f>IF($J598="","",IFERROR(INDEX(코드설정!$D$5:$D$24,MATCH($J598,코드설정!$C$5:$C$24,0)),""))</f>
        <v/>
      </c>
      <c r="AC598" s="36" t="n"/>
      <c r="AD598" s="37" t="n"/>
      <c r="AE598" s="38" t="n"/>
      <c r="AF598" s="30">
        <f>IF(OR($B598="",$C598=""),"",$C598-$B598+1)</f>
        <v/>
      </c>
      <c r="AG598" s="32" t="n"/>
      <c r="AH598" s="36" t="n"/>
      <c r="AJ598">
        <f>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  <c r="AX598">
        <f>AW598&amp;IF($Y598="","",", "&amp;$Y598)</f>
        <v/>
      </c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0">
        <f>IF($F599="","",COUNTIF($F$5:$F599,$F599))</f>
        <v/>
      </c>
      <c r="H599" s="33">
        <f>IF($F599="","",IFERROR(INDEX(사건마스터!$B$5:$B$64,MATCH($F599,사건마스터!$A$5:$A$64,0)),""))</f>
        <v/>
      </c>
      <c r="I599" s="34">
        <f>IF($F599="","",IFERROR(INDEX(사건마스터!$C$5:$C$64,MATCH($F599,사건마스터!$A$5:$A$64,0)),""))</f>
        <v/>
      </c>
      <c r="J599" s="35">
        <f>IF($F599="","",IFERROR(INDEX(사건마스터!$H$5:$H$64,MATCH($F599,사건마스터!$A$5:$A$64,0)),""))</f>
        <v/>
      </c>
      <c r="K599" s="35">
        <f>IF($F599="","",IFERROR(INDEX(사건마스터!$AH$5:$AH$64,MATCH($F599,사건마스터!$A$5:$A$64,0)),""))</f>
        <v/>
      </c>
      <c r="L599" s="35">
        <f>IF($F599="","",IFERROR(INDEX(사건마스터!$AI$5:$AI$64,MATCH($F599,사건마스터!$A$5:$A$64,0)),""))</f>
        <v/>
      </c>
      <c r="M599" s="35">
        <f>IF($F599="","",IFERROR(INDEX(사건마스터!$AJ$5:$AJ$64,MATCH($F599,사건마스터!$A$5:$A$64,0)),""))</f>
        <v/>
      </c>
      <c r="N599" s="35">
        <f>IF($F599="","",IFERROR(INDEX(사건마스터!$AK$5:$AK$64,MATCH($F599,사건마스터!$A$5:$A$64,0)),""))</f>
        <v/>
      </c>
      <c r="O599" s="35">
        <f>IF($F599="","",IFERROR(INDEX(사건마스터!$AL$5:$AL$64,MATCH($F599,사건마스터!$A$5:$A$64,0)),""))</f>
        <v/>
      </c>
      <c r="P599" s="35">
        <f>IF($F599="","",IFERROR(INDEX(사건마스터!$AM$5:$AM$64,MATCH($F599,사건마스터!$A$5:$A$64,0)),""))</f>
        <v/>
      </c>
      <c r="Q599" s="35">
        <f>IF($F599="","",IFERROR(INDEX(사건마스터!$AN$5:$AN$64,MATCH($F599,사건마스터!$A$5:$A$64,0)),""))</f>
        <v/>
      </c>
      <c r="R599" s="35">
        <f>IF($F599="","",IFERROR(INDEX(사건마스터!$AO$5:$AO$64,MATCH($F599,사건마스터!$A$5:$A$64,0)),""))</f>
        <v/>
      </c>
      <c r="S599" s="35">
        <f>IF($F599="","",IFERROR(INDEX(사건마스터!$AP$5:$AP$64,MATCH($F599,사건마스터!$A$5:$A$64,0)),""))</f>
        <v/>
      </c>
      <c r="T599" s="35">
        <f>IF($F599="","",IFERROR(INDEX(사건마스터!$AQ$5:$AQ$64,MATCH($F599,사건마스터!$A$5:$A$64,0)),""))</f>
        <v/>
      </c>
      <c r="U599" s="35">
        <f>IF($F599="","",IFERROR(INDEX(사건마스터!$AR$5:$AR$64,MATCH($F599,사건마스터!$A$5:$A$64,0)),""))</f>
        <v/>
      </c>
      <c r="V599" s="35">
        <f>IF($F599="","",IFERROR(INDEX(사건마스터!$AS$5:$AS$64,MATCH($F599,사건마스터!$A$5:$A$64,0)),""))</f>
        <v/>
      </c>
      <c r="W599" s="35">
        <f>IF($F599="","",IFERROR(INDEX(사건마스터!$AT$5:$AT$64,MATCH($F599,사건마스터!$A$5:$A$64,0)),""))</f>
        <v/>
      </c>
      <c r="X599" s="35">
        <f>IF($F599="","",IFERROR(INDEX(사건마스터!$AU$5:$AU$64,MATCH($F599,사건마스터!$A$5:$A$64,0)),""))</f>
        <v/>
      </c>
      <c r="Y599" s="35">
        <f>IF($F599="","",IFERROR(INDEX(사건마스터!$AV$5:$AV$64,MATCH($F599,사건마스터!$A$5:$A$64,0)),""))</f>
        <v/>
      </c>
      <c r="Z599" s="30">
        <f>IF(COUNTBLANK($J599:$Y599)=16,"",16-COUNTBLANK($J599:$Y599))</f>
        <v/>
      </c>
      <c r="AA599" s="33">
        <f>IF($J599="",MID($AX599,3,255),$J599&amp;$AX599)</f>
        <v/>
      </c>
      <c r="AB599" s="34">
        <f>IF($J599="","",IFERROR(INDEX(코드설정!$D$5:$D$24,MATCH($J599,코드설정!$C$5:$C$24,0)),""))</f>
        <v/>
      </c>
      <c r="AC599" s="36" t="n"/>
      <c r="AD599" s="37" t="n"/>
      <c r="AE599" s="38" t="n"/>
      <c r="AF599" s="30">
        <f>IF(OR($B599="",$C599=""),"",$C599-$B599+1)</f>
        <v/>
      </c>
      <c r="AG599" s="32" t="n"/>
      <c r="AH599" s="36" t="n"/>
      <c r="AJ599">
        <f>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  <c r="AX599">
        <f>AW599&amp;IF($Y599="","",", "&amp;$Y599)</f>
        <v/>
      </c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0">
        <f>IF($F600="","",COUNTIF($F$5:$F600,$F600))</f>
        <v/>
      </c>
      <c r="H600" s="33">
        <f>IF($F600="","",IFERROR(INDEX(사건마스터!$B$5:$B$64,MATCH($F600,사건마스터!$A$5:$A$64,0)),""))</f>
        <v/>
      </c>
      <c r="I600" s="34">
        <f>IF($F600="","",IFERROR(INDEX(사건마스터!$C$5:$C$64,MATCH($F600,사건마스터!$A$5:$A$64,0)),""))</f>
        <v/>
      </c>
      <c r="J600" s="35">
        <f>IF($F600="","",IFERROR(INDEX(사건마스터!$H$5:$H$64,MATCH($F600,사건마스터!$A$5:$A$64,0)),""))</f>
        <v/>
      </c>
      <c r="K600" s="35">
        <f>IF($F600="","",IFERROR(INDEX(사건마스터!$AH$5:$AH$64,MATCH($F600,사건마스터!$A$5:$A$64,0)),""))</f>
        <v/>
      </c>
      <c r="L600" s="35">
        <f>IF($F600="","",IFERROR(INDEX(사건마스터!$AI$5:$AI$64,MATCH($F600,사건마스터!$A$5:$A$64,0)),""))</f>
        <v/>
      </c>
      <c r="M600" s="35">
        <f>IF($F600="","",IFERROR(INDEX(사건마스터!$AJ$5:$AJ$64,MATCH($F600,사건마스터!$A$5:$A$64,0)),""))</f>
        <v/>
      </c>
      <c r="N600" s="35">
        <f>IF($F600="","",IFERROR(INDEX(사건마스터!$AK$5:$AK$64,MATCH($F600,사건마스터!$A$5:$A$64,0)),""))</f>
        <v/>
      </c>
      <c r="O600" s="35">
        <f>IF($F600="","",IFERROR(INDEX(사건마스터!$AL$5:$AL$64,MATCH($F600,사건마스터!$A$5:$A$64,0)),""))</f>
        <v/>
      </c>
      <c r="P600" s="35">
        <f>IF($F600="","",IFERROR(INDEX(사건마스터!$AM$5:$AM$64,MATCH($F600,사건마스터!$A$5:$A$64,0)),""))</f>
        <v/>
      </c>
      <c r="Q600" s="35">
        <f>IF($F600="","",IFERROR(INDEX(사건마스터!$AN$5:$AN$64,MATCH($F600,사건마스터!$A$5:$A$64,0)),""))</f>
        <v/>
      </c>
      <c r="R600" s="35">
        <f>IF($F600="","",IFERROR(INDEX(사건마스터!$AO$5:$AO$64,MATCH($F600,사건마스터!$A$5:$A$64,0)),""))</f>
        <v/>
      </c>
      <c r="S600" s="35">
        <f>IF($F600="","",IFERROR(INDEX(사건마스터!$AP$5:$AP$64,MATCH($F600,사건마스터!$A$5:$A$64,0)),""))</f>
        <v/>
      </c>
      <c r="T600" s="35">
        <f>IF($F600="","",IFERROR(INDEX(사건마스터!$AQ$5:$AQ$64,MATCH($F600,사건마스터!$A$5:$A$64,0)),""))</f>
        <v/>
      </c>
      <c r="U600" s="35">
        <f>IF($F600="","",IFERROR(INDEX(사건마스터!$AR$5:$AR$64,MATCH($F600,사건마스터!$A$5:$A$64,0)),""))</f>
        <v/>
      </c>
      <c r="V600" s="35">
        <f>IF($F600="","",IFERROR(INDEX(사건마스터!$AS$5:$AS$64,MATCH($F600,사건마스터!$A$5:$A$64,0)),""))</f>
        <v/>
      </c>
      <c r="W600" s="35">
        <f>IF($F600="","",IFERROR(INDEX(사건마스터!$AT$5:$AT$64,MATCH($F600,사건마스터!$A$5:$A$64,0)),""))</f>
        <v/>
      </c>
      <c r="X600" s="35">
        <f>IF($F600="","",IFERROR(INDEX(사건마스터!$AU$5:$AU$64,MATCH($F600,사건마스터!$A$5:$A$64,0)),""))</f>
        <v/>
      </c>
      <c r="Y600" s="35">
        <f>IF($F600="","",IFERROR(INDEX(사건마스터!$AV$5:$AV$64,MATCH($F600,사건마스터!$A$5:$A$64,0)),""))</f>
        <v/>
      </c>
      <c r="Z600" s="30">
        <f>IF(COUNTBLANK($J600:$Y600)=16,"",16-COUNTBLANK($J600:$Y600))</f>
        <v/>
      </c>
      <c r="AA600" s="33">
        <f>IF($J600="",MID($AX600,3,255),$J600&amp;$AX600)</f>
        <v/>
      </c>
      <c r="AB600" s="34">
        <f>IF($J600="","",IFERROR(INDEX(코드설정!$D$5:$D$24,MATCH($J600,코드설정!$C$5:$C$24,0)),""))</f>
        <v/>
      </c>
      <c r="AC600" s="36" t="n"/>
      <c r="AD600" s="37" t="n"/>
      <c r="AE600" s="38" t="n"/>
      <c r="AF600" s="30">
        <f>IF(OR($B600="",$C600=""),"",$C600-$B600+1)</f>
        <v/>
      </c>
      <c r="AG600" s="32" t="n"/>
      <c r="AH600" s="36" t="n"/>
      <c r="AJ600">
        <f>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  <c r="AX600">
        <f>AW600&amp;IF($Y600="","",", "&amp;$Y600)</f>
        <v/>
      </c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0">
        <f>IF($F601="","",COUNTIF($F$5:$F601,$F601))</f>
        <v/>
      </c>
      <c r="H601" s="33">
        <f>IF($F601="","",IFERROR(INDEX(사건마스터!$B$5:$B$64,MATCH($F601,사건마스터!$A$5:$A$64,0)),""))</f>
        <v/>
      </c>
      <c r="I601" s="34">
        <f>IF($F601="","",IFERROR(INDEX(사건마스터!$C$5:$C$64,MATCH($F601,사건마스터!$A$5:$A$64,0)),""))</f>
        <v/>
      </c>
      <c r="J601" s="35">
        <f>IF($F601="","",IFERROR(INDEX(사건마스터!$H$5:$H$64,MATCH($F601,사건마스터!$A$5:$A$64,0)),""))</f>
        <v/>
      </c>
      <c r="K601" s="35">
        <f>IF($F601="","",IFERROR(INDEX(사건마스터!$AH$5:$AH$64,MATCH($F601,사건마스터!$A$5:$A$64,0)),""))</f>
        <v/>
      </c>
      <c r="L601" s="35">
        <f>IF($F601="","",IFERROR(INDEX(사건마스터!$AI$5:$AI$64,MATCH($F601,사건마스터!$A$5:$A$64,0)),""))</f>
        <v/>
      </c>
      <c r="M601" s="35">
        <f>IF($F601="","",IFERROR(INDEX(사건마스터!$AJ$5:$AJ$64,MATCH($F601,사건마스터!$A$5:$A$64,0)),""))</f>
        <v/>
      </c>
      <c r="N601" s="35">
        <f>IF($F601="","",IFERROR(INDEX(사건마스터!$AK$5:$AK$64,MATCH($F601,사건마스터!$A$5:$A$64,0)),""))</f>
        <v/>
      </c>
      <c r="O601" s="35">
        <f>IF($F601="","",IFERROR(INDEX(사건마스터!$AL$5:$AL$64,MATCH($F601,사건마스터!$A$5:$A$64,0)),""))</f>
        <v/>
      </c>
      <c r="P601" s="35">
        <f>IF($F601="","",IFERROR(INDEX(사건마스터!$AM$5:$AM$64,MATCH($F601,사건마스터!$A$5:$A$64,0)),""))</f>
        <v/>
      </c>
      <c r="Q601" s="35">
        <f>IF($F601="","",IFERROR(INDEX(사건마스터!$AN$5:$AN$64,MATCH($F601,사건마스터!$A$5:$A$64,0)),""))</f>
        <v/>
      </c>
      <c r="R601" s="35">
        <f>IF($F601="","",IFERROR(INDEX(사건마스터!$AO$5:$AO$64,MATCH($F601,사건마스터!$A$5:$A$64,0)),""))</f>
        <v/>
      </c>
      <c r="S601" s="35">
        <f>IF($F601="","",IFERROR(INDEX(사건마스터!$AP$5:$AP$64,MATCH($F601,사건마스터!$A$5:$A$64,0)),""))</f>
        <v/>
      </c>
      <c r="T601" s="35">
        <f>IF($F601="","",IFERROR(INDEX(사건마스터!$AQ$5:$AQ$64,MATCH($F601,사건마스터!$A$5:$A$64,0)),""))</f>
        <v/>
      </c>
      <c r="U601" s="35">
        <f>IF($F601="","",IFERROR(INDEX(사건마스터!$AR$5:$AR$64,MATCH($F601,사건마스터!$A$5:$A$64,0)),""))</f>
        <v/>
      </c>
      <c r="V601" s="35">
        <f>IF($F601="","",IFERROR(INDEX(사건마스터!$AS$5:$AS$64,MATCH($F601,사건마스터!$A$5:$A$64,0)),""))</f>
        <v/>
      </c>
      <c r="W601" s="35">
        <f>IF($F601="","",IFERROR(INDEX(사건마스터!$AT$5:$AT$64,MATCH($F601,사건마스터!$A$5:$A$64,0)),""))</f>
        <v/>
      </c>
      <c r="X601" s="35">
        <f>IF($F601="","",IFERROR(INDEX(사건마스터!$AU$5:$AU$64,MATCH($F601,사건마스터!$A$5:$A$64,0)),""))</f>
        <v/>
      </c>
      <c r="Y601" s="35">
        <f>IF($F601="","",IFERROR(INDEX(사건마스터!$AV$5:$AV$64,MATCH($F601,사건마스터!$A$5:$A$64,0)),""))</f>
        <v/>
      </c>
      <c r="Z601" s="30">
        <f>IF(COUNTBLANK($J601:$Y601)=16,"",16-COUNTBLANK($J601:$Y601))</f>
        <v/>
      </c>
      <c r="AA601" s="33">
        <f>IF($J601="",MID($AX601,3,255),$J601&amp;$AX601)</f>
        <v/>
      </c>
      <c r="AB601" s="34">
        <f>IF($J601="","",IFERROR(INDEX(코드설정!$D$5:$D$24,MATCH($J601,코드설정!$C$5:$C$24,0)),""))</f>
        <v/>
      </c>
      <c r="AC601" s="36" t="n"/>
      <c r="AD601" s="37" t="n"/>
      <c r="AE601" s="38" t="n"/>
      <c r="AF601" s="30">
        <f>IF(OR($B601="",$C601=""),"",$C601-$B601+1)</f>
        <v/>
      </c>
      <c r="AG601" s="32" t="n"/>
      <c r="AH601" s="36" t="n"/>
      <c r="AJ601">
        <f>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  <c r="AX601">
        <f>AW601&amp;IF($Y601="","",", "&amp;$Y601)</f>
        <v/>
      </c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0">
        <f>IF($F602="","",COUNTIF($F$5:$F602,$F602))</f>
        <v/>
      </c>
      <c r="H602" s="33">
        <f>IF($F602="","",IFERROR(INDEX(사건마스터!$B$5:$B$64,MATCH($F602,사건마스터!$A$5:$A$64,0)),""))</f>
        <v/>
      </c>
      <c r="I602" s="34">
        <f>IF($F602="","",IFERROR(INDEX(사건마스터!$C$5:$C$64,MATCH($F602,사건마스터!$A$5:$A$64,0)),""))</f>
        <v/>
      </c>
      <c r="J602" s="35">
        <f>IF($F602="","",IFERROR(INDEX(사건마스터!$H$5:$H$64,MATCH($F602,사건마스터!$A$5:$A$64,0)),""))</f>
        <v/>
      </c>
      <c r="K602" s="35">
        <f>IF($F602="","",IFERROR(INDEX(사건마스터!$AH$5:$AH$64,MATCH($F602,사건마스터!$A$5:$A$64,0)),""))</f>
        <v/>
      </c>
      <c r="L602" s="35">
        <f>IF($F602="","",IFERROR(INDEX(사건마스터!$AI$5:$AI$64,MATCH($F602,사건마스터!$A$5:$A$64,0)),""))</f>
        <v/>
      </c>
      <c r="M602" s="35">
        <f>IF($F602="","",IFERROR(INDEX(사건마스터!$AJ$5:$AJ$64,MATCH($F602,사건마스터!$A$5:$A$64,0)),""))</f>
        <v/>
      </c>
      <c r="N602" s="35">
        <f>IF($F602="","",IFERROR(INDEX(사건마스터!$AK$5:$AK$64,MATCH($F602,사건마스터!$A$5:$A$64,0)),""))</f>
        <v/>
      </c>
      <c r="O602" s="35">
        <f>IF($F602="","",IFERROR(INDEX(사건마스터!$AL$5:$AL$64,MATCH($F602,사건마스터!$A$5:$A$64,0)),""))</f>
        <v/>
      </c>
      <c r="P602" s="35">
        <f>IF($F602="","",IFERROR(INDEX(사건마스터!$AM$5:$AM$64,MATCH($F602,사건마스터!$A$5:$A$64,0)),""))</f>
        <v/>
      </c>
      <c r="Q602" s="35">
        <f>IF($F602="","",IFERROR(INDEX(사건마스터!$AN$5:$AN$64,MATCH($F602,사건마스터!$A$5:$A$64,0)),""))</f>
        <v/>
      </c>
      <c r="R602" s="35">
        <f>IF($F602="","",IFERROR(INDEX(사건마스터!$AO$5:$AO$64,MATCH($F602,사건마스터!$A$5:$A$64,0)),""))</f>
        <v/>
      </c>
      <c r="S602" s="35">
        <f>IF($F602="","",IFERROR(INDEX(사건마스터!$AP$5:$AP$64,MATCH($F602,사건마스터!$A$5:$A$64,0)),""))</f>
        <v/>
      </c>
      <c r="T602" s="35">
        <f>IF($F602="","",IFERROR(INDEX(사건마스터!$AQ$5:$AQ$64,MATCH($F602,사건마스터!$A$5:$A$64,0)),""))</f>
        <v/>
      </c>
      <c r="U602" s="35">
        <f>IF($F602="","",IFERROR(INDEX(사건마스터!$AR$5:$AR$64,MATCH($F602,사건마스터!$A$5:$A$64,0)),""))</f>
        <v/>
      </c>
      <c r="V602" s="35">
        <f>IF($F602="","",IFERROR(INDEX(사건마스터!$AS$5:$AS$64,MATCH($F602,사건마스터!$A$5:$A$64,0)),""))</f>
        <v/>
      </c>
      <c r="W602" s="35">
        <f>IF($F602="","",IFERROR(INDEX(사건마스터!$AT$5:$AT$64,MATCH($F602,사건마스터!$A$5:$A$64,0)),""))</f>
        <v/>
      </c>
      <c r="X602" s="35">
        <f>IF($F602="","",IFERROR(INDEX(사건마스터!$AU$5:$AU$64,MATCH($F602,사건마스터!$A$5:$A$64,0)),""))</f>
        <v/>
      </c>
      <c r="Y602" s="35">
        <f>IF($F602="","",IFERROR(INDEX(사건마스터!$AV$5:$AV$64,MATCH($F602,사건마스터!$A$5:$A$64,0)),""))</f>
        <v/>
      </c>
      <c r="Z602" s="30">
        <f>IF(COUNTBLANK($J602:$Y602)=16,"",16-COUNTBLANK($J602:$Y602))</f>
        <v/>
      </c>
      <c r="AA602" s="33">
        <f>IF($J602="",MID($AX602,3,255),$J602&amp;$AX602)</f>
        <v/>
      </c>
      <c r="AB602" s="34">
        <f>IF($J602="","",IFERROR(INDEX(코드설정!$D$5:$D$24,MATCH($J602,코드설정!$C$5:$C$24,0)),""))</f>
        <v/>
      </c>
      <c r="AC602" s="36" t="n"/>
      <c r="AD602" s="37" t="n"/>
      <c r="AE602" s="38" t="n"/>
      <c r="AF602" s="30">
        <f>IF(OR($B602="",$C602=""),"",$C602-$B602+1)</f>
        <v/>
      </c>
      <c r="AG602" s="32" t="n"/>
      <c r="AH602" s="36" t="n"/>
      <c r="AJ602">
        <f>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  <c r="AX602">
        <f>AW602&amp;IF($Y602="","",", "&amp;$Y602)</f>
        <v/>
      </c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0">
        <f>IF($F603="","",COUNTIF($F$5:$F603,$F603))</f>
        <v/>
      </c>
      <c r="H603" s="33">
        <f>IF($F603="","",IFERROR(INDEX(사건마스터!$B$5:$B$64,MATCH($F603,사건마스터!$A$5:$A$64,0)),""))</f>
        <v/>
      </c>
      <c r="I603" s="34">
        <f>IF($F603="","",IFERROR(INDEX(사건마스터!$C$5:$C$64,MATCH($F603,사건마스터!$A$5:$A$64,0)),""))</f>
        <v/>
      </c>
      <c r="J603" s="35">
        <f>IF($F603="","",IFERROR(INDEX(사건마스터!$H$5:$H$64,MATCH($F603,사건마스터!$A$5:$A$64,0)),""))</f>
        <v/>
      </c>
      <c r="K603" s="35">
        <f>IF($F603="","",IFERROR(INDEX(사건마스터!$AH$5:$AH$64,MATCH($F603,사건마스터!$A$5:$A$64,0)),""))</f>
        <v/>
      </c>
      <c r="L603" s="35">
        <f>IF($F603="","",IFERROR(INDEX(사건마스터!$AI$5:$AI$64,MATCH($F603,사건마스터!$A$5:$A$64,0)),""))</f>
        <v/>
      </c>
      <c r="M603" s="35">
        <f>IF($F603="","",IFERROR(INDEX(사건마스터!$AJ$5:$AJ$64,MATCH($F603,사건마스터!$A$5:$A$64,0)),""))</f>
        <v/>
      </c>
      <c r="N603" s="35">
        <f>IF($F603="","",IFERROR(INDEX(사건마스터!$AK$5:$AK$64,MATCH($F603,사건마스터!$A$5:$A$64,0)),""))</f>
        <v/>
      </c>
      <c r="O603" s="35">
        <f>IF($F603="","",IFERROR(INDEX(사건마스터!$AL$5:$AL$64,MATCH($F603,사건마스터!$A$5:$A$64,0)),""))</f>
        <v/>
      </c>
      <c r="P603" s="35">
        <f>IF($F603="","",IFERROR(INDEX(사건마스터!$AM$5:$AM$64,MATCH($F603,사건마스터!$A$5:$A$64,0)),""))</f>
        <v/>
      </c>
      <c r="Q603" s="35">
        <f>IF($F603="","",IFERROR(INDEX(사건마스터!$AN$5:$AN$64,MATCH($F603,사건마스터!$A$5:$A$64,0)),""))</f>
        <v/>
      </c>
      <c r="R603" s="35">
        <f>IF($F603="","",IFERROR(INDEX(사건마스터!$AO$5:$AO$64,MATCH($F603,사건마스터!$A$5:$A$64,0)),""))</f>
        <v/>
      </c>
      <c r="S603" s="35">
        <f>IF($F603="","",IFERROR(INDEX(사건마스터!$AP$5:$AP$64,MATCH($F603,사건마스터!$A$5:$A$64,0)),""))</f>
        <v/>
      </c>
      <c r="T603" s="35">
        <f>IF($F603="","",IFERROR(INDEX(사건마스터!$AQ$5:$AQ$64,MATCH($F603,사건마스터!$A$5:$A$64,0)),""))</f>
        <v/>
      </c>
      <c r="U603" s="35">
        <f>IF($F603="","",IFERROR(INDEX(사건마스터!$AR$5:$AR$64,MATCH($F603,사건마스터!$A$5:$A$64,0)),""))</f>
        <v/>
      </c>
      <c r="V603" s="35">
        <f>IF($F603="","",IFERROR(INDEX(사건마스터!$AS$5:$AS$64,MATCH($F603,사건마스터!$A$5:$A$64,0)),""))</f>
        <v/>
      </c>
      <c r="W603" s="35">
        <f>IF($F603="","",IFERROR(INDEX(사건마스터!$AT$5:$AT$64,MATCH($F603,사건마스터!$A$5:$A$64,0)),""))</f>
        <v/>
      </c>
      <c r="X603" s="35">
        <f>IF($F603="","",IFERROR(INDEX(사건마스터!$AU$5:$AU$64,MATCH($F603,사건마스터!$A$5:$A$64,0)),""))</f>
        <v/>
      </c>
      <c r="Y603" s="35">
        <f>IF($F603="","",IFERROR(INDEX(사건마스터!$AV$5:$AV$64,MATCH($F603,사건마스터!$A$5:$A$64,0)),""))</f>
        <v/>
      </c>
      <c r="Z603" s="30">
        <f>IF(COUNTBLANK($J603:$Y603)=16,"",16-COUNTBLANK($J603:$Y603))</f>
        <v/>
      </c>
      <c r="AA603" s="33">
        <f>IF($J603="",MID($AX603,3,255),$J603&amp;$AX603)</f>
        <v/>
      </c>
      <c r="AB603" s="34">
        <f>IF($J603="","",IFERROR(INDEX(코드설정!$D$5:$D$24,MATCH($J603,코드설정!$C$5:$C$24,0)),""))</f>
        <v/>
      </c>
      <c r="AC603" s="36" t="n"/>
      <c r="AD603" s="37" t="n"/>
      <c r="AE603" s="38" t="n"/>
      <c r="AF603" s="30">
        <f>IF(OR($B603="",$C603=""),"",$C603-$B603+1)</f>
        <v/>
      </c>
      <c r="AG603" s="32" t="n"/>
      <c r="AH603" s="36" t="n"/>
      <c r="AJ603">
        <f>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  <c r="AX603">
        <f>AW603&amp;IF($Y603="","",", "&amp;$Y603)</f>
        <v/>
      </c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0">
        <f>IF($F604="","",COUNTIF($F$5:$F604,$F604))</f>
        <v/>
      </c>
      <c r="H604" s="33">
        <f>IF($F604="","",IFERROR(INDEX(사건마스터!$B$5:$B$64,MATCH($F604,사건마스터!$A$5:$A$64,0)),""))</f>
        <v/>
      </c>
      <c r="I604" s="34">
        <f>IF($F604="","",IFERROR(INDEX(사건마스터!$C$5:$C$64,MATCH($F604,사건마스터!$A$5:$A$64,0)),""))</f>
        <v/>
      </c>
      <c r="J604" s="35">
        <f>IF($F604="","",IFERROR(INDEX(사건마스터!$H$5:$H$64,MATCH($F604,사건마스터!$A$5:$A$64,0)),""))</f>
        <v/>
      </c>
      <c r="K604" s="35">
        <f>IF($F604="","",IFERROR(INDEX(사건마스터!$AH$5:$AH$64,MATCH($F604,사건마스터!$A$5:$A$64,0)),""))</f>
        <v/>
      </c>
      <c r="L604" s="35">
        <f>IF($F604="","",IFERROR(INDEX(사건마스터!$AI$5:$AI$64,MATCH($F604,사건마스터!$A$5:$A$64,0)),""))</f>
        <v/>
      </c>
      <c r="M604" s="35">
        <f>IF($F604="","",IFERROR(INDEX(사건마스터!$AJ$5:$AJ$64,MATCH($F604,사건마스터!$A$5:$A$64,0)),""))</f>
        <v/>
      </c>
      <c r="N604" s="35">
        <f>IF($F604="","",IFERROR(INDEX(사건마스터!$AK$5:$AK$64,MATCH($F604,사건마스터!$A$5:$A$64,0)),""))</f>
        <v/>
      </c>
      <c r="O604" s="35">
        <f>IF($F604="","",IFERROR(INDEX(사건마스터!$AL$5:$AL$64,MATCH($F604,사건마스터!$A$5:$A$64,0)),""))</f>
        <v/>
      </c>
      <c r="P604" s="35">
        <f>IF($F604="","",IFERROR(INDEX(사건마스터!$AM$5:$AM$64,MATCH($F604,사건마스터!$A$5:$A$64,0)),""))</f>
        <v/>
      </c>
      <c r="Q604" s="35">
        <f>IF($F604="","",IFERROR(INDEX(사건마스터!$AN$5:$AN$64,MATCH($F604,사건마스터!$A$5:$A$64,0)),""))</f>
        <v/>
      </c>
      <c r="R604" s="35">
        <f>IF($F604="","",IFERROR(INDEX(사건마스터!$AO$5:$AO$64,MATCH($F604,사건마스터!$A$5:$A$64,0)),""))</f>
        <v/>
      </c>
      <c r="S604" s="35">
        <f>IF($F604="","",IFERROR(INDEX(사건마스터!$AP$5:$AP$64,MATCH($F604,사건마스터!$A$5:$A$64,0)),""))</f>
        <v/>
      </c>
      <c r="T604" s="35">
        <f>IF($F604="","",IFERROR(INDEX(사건마스터!$AQ$5:$AQ$64,MATCH($F604,사건마스터!$A$5:$A$64,0)),""))</f>
        <v/>
      </c>
      <c r="U604" s="35">
        <f>IF($F604="","",IFERROR(INDEX(사건마스터!$AR$5:$AR$64,MATCH($F604,사건마스터!$A$5:$A$64,0)),""))</f>
        <v/>
      </c>
      <c r="V604" s="35">
        <f>IF($F604="","",IFERROR(INDEX(사건마스터!$AS$5:$AS$64,MATCH($F604,사건마스터!$A$5:$A$64,0)),""))</f>
        <v/>
      </c>
      <c r="W604" s="35">
        <f>IF($F604="","",IFERROR(INDEX(사건마스터!$AT$5:$AT$64,MATCH($F604,사건마스터!$A$5:$A$64,0)),""))</f>
        <v/>
      </c>
      <c r="X604" s="35">
        <f>IF($F604="","",IFERROR(INDEX(사건마스터!$AU$5:$AU$64,MATCH($F604,사건마스터!$A$5:$A$64,0)),""))</f>
        <v/>
      </c>
      <c r="Y604" s="35">
        <f>IF($F604="","",IFERROR(INDEX(사건마스터!$AV$5:$AV$64,MATCH($F604,사건마스터!$A$5:$A$64,0)),""))</f>
        <v/>
      </c>
      <c r="Z604" s="30">
        <f>IF(COUNTBLANK($J604:$Y604)=16,"",16-COUNTBLANK($J604:$Y604))</f>
        <v/>
      </c>
      <c r="AA604" s="33">
        <f>IF($J604="",MID($AX604,3,255),$J604&amp;$AX604)</f>
        <v/>
      </c>
      <c r="AB604" s="34">
        <f>IF($J604="","",IFERROR(INDEX(코드설정!$D$5:$D$24,MATCH($J604,코드설정!$C$5:$C$24,0)),""))</f>
        <v/>
      </c>
      <c r="AC604" s="36" t="n"/>
      <c r="AD604" s="37" t="n"/>
      <c r="AE604" s="38" t="n"/>
      <c r="AF604" s="30">
        <f>IF(OR($B604="",$C604=""),"",$C604-$B604+1)</f>
        <v/>
      </c>
      <c r="AG604" s="32" t="n"/>
      <c r="AH604" s="36" t="n"/>
      <c r="AJ604">
        <f>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  <c r="AX604">
        <f>AW604&amp;IF($Y604="","",", "&amp;$Y604)</f>
        <v/>
      </c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0">
        <f>IF($F605="","",COUNTIF($F$5:$F605,$F605))</f>
        <v/>
      </c>
      <c r="H605" s="33">
        <f>IF($F605="","",IFERROR(INDEX(사건마스터!$B$5:$B$64,MATCH($F605,사건마스터!$A$5:$A$64,0)),""))</f>
        <v/>
      </c>
      <c r="I605" s="34">
        <f>IF($F605="","",IFERROR(INDEX(사건마스터!$C$5:$C$64,MATCH($F605,사건마스터!$A$5:$A$64,0)),""))</f>
        <v/>
      </c>
      <c r="J605" s="35">
        <f>IF($F605="","",IFERROR(INDEX(사건마스터!$H$5:$H$64,MATCH($F605,사건마스터!$A$5:$A$64,0)),""))</f>
        <v/>
      </c>
      <c r="K605" s="35">
        <f>IF($F605="","",IFERROR(INDEX(사건마스터!$AH$5:$AH$64,MATCH($F605,사건마스터!$A$5:$A$64,0)),""))</f>
        <v/>
      </c>
      <c r="L605" s="35">
        <f>IF($F605="","",IFERROR(INDEX(사건마스터!$AI$5:$AI$64,MATCH($F605,사건마스터!$A$5:$A$64,0)),""))</f>
        <v/>
      </c>
      <c r="M605" s="35">
        <f>IF($F605="","",IFERROR(INDEX(사건마스터!$AJ$5:$AJ$64,MATCH($F605,사건마스터!$A$5:$A$64,0)),""))</f>
        <v/>
      </c>
      <c r="N605" s="35">
        <f>IF($F605="","",IFERROR(INDEX(사건마스터!$AK$5:$AK$64,MATCH($F605,사건마스터!$A$5:$A$64,0)),""))</f>
        <v/>
      </c>
      <c r="O605" s="35">
        <f>IF($F605="","",IFERROR(INDEX(사건마스터!$AL$5:$AL$64,MATCH($F605,사건마스터!$A$5:$A$64,0)),""))</f>
        <v/>
      </c>
      <c r="P605" s="35">
        <f>IF($F605="","",IFERROR(INDEX(사건마스터!$AM$5:$AM$64,MATCH($F605,사건마스터!$A$5:$A$64,0)),""))</f>
        <v/>
      </c>
      <c r="Q605" s="35">
        <f>IF($F605="","",IFERROR(INDEX(사건마스터!$AN$5:$AN$64,MATCH($F605,사건마스터!$A$5:$A$64,0)),""))</f>
        <v/>
      </c>
      <c r="R605" s="35">
        <f>IF($F605="","",IFERROR(INDEX(사건마스터!$AO$5:$AO$64,MATCH($F605,사건마스터!$A$5:$A$64,0)),""))</f>
        <v/>
      </c>
      <c r="S605" s="35">
        <f>IF($F605="","",IFERROR(INDEX(사건마스터!$AP$5:$AP$64,MATCH($F605,사건마스터!$A$5:$A$64,0)),""))</f>
        <v/>
      </c>
      <c r="T605" s="35">
        <f>IF($F605="","",IFERROR(INDEX(사건마스터!$AQ$5:$AQ$64,MATCH($F605,사건마스터!$A$5:$A$64,0)),""))</f>
        <v/>
      </c>
      <c r="U605" s="35">
        <f>IF($F605="","",IFERROR(INDEX(사건마스터!$AR$5:$AR$64,MATCH($F605,사건마스터!$A$5:$A$64,0)),""))</f>
        <v/>
      </c>
      <c r="V605" s="35">
        <f>IF($F605="","",IFERROR(INDEX(사건마스터!$AS$5:$AS$64,MATCH($F605,사건마스터!$A$5:$A$64,0)),""))</f>
        <v/>
      </c>
      <c r="W605" s="35">
        <f>IF($F605="","",IFERROR(INDEX(사건마스터!$AT$5:$AT$64,MATCH($F605,사건마스터!$A$5:$A$64,0)),""))</f>
        <v/>
      </c>
      <c r="X605" s="35">
        <f>IF($F605="","",IFERROR(INDEX(사건마스터!$AU$5:$AU$64,MATCH($F605,사건마스터!$A$5:$A$64,0)),""))</f>
        <v/>
      </c>
      <c r="Y605" s="35">
        <f>IF($F605="","",IFERROR(INDEX(사건마스터!$AV$5:$AV$64,MATCH($F605,사건마스터!$A$5:$A$64,0)),""))</f>
        <v/>
      </c>
      <c r="Z605" s="30">
        <f>IF(COUNTBLANK($J605:$Y605)=16,"",16-COUNTBLANK($J605:$Y605))</f>
        <v/>
      </c>
      <c r="AA605" s="33">
        <f>IF($J605="",MID($AX605,3,255),$J605&amp;$AX605)</f>
        <v/>
      </c>
      <c r="AB605" s="34">
        <f>IF($J605="","",IFERROR(INDEX(코드설정!$D$5:$D$24,MATCH($J605,코드설정!$C$5:$C$24,0)),""))</f>
        <v/>
      </c>
      <c r="AC605" s="36" t="n"/>
      <c r="AD605" s="37" t="n"/>
      <c r="AE605" s="38" t="n"/>
      <c r="AF605" s="30">
        <f>IF(OR($B605="",$C605=""),"",$C605-$B605+1)</f>
        <v/>
      </c>
      <c r="AG605" s="32" t="n"/>
      <c r="AH605" s="36" t="n"/>
      <c r="AJ605">
        <f>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  <c r="AX605">
        <f>AW605&amp;IF($Y605="","",", "&amp;$Y605)</f>
        <v/>
      </c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0">
        <f>IF($F606="","",COUNTIF($F$5:$F606,$F606))</f>
        <v/>
      </c>
      <c r="H606" s="33">
        <f>IF($F606="","",IFERROR(INDEX(사건마스터!$B$5:$B$64,MATCH($F606,사건마스터!$A$5:$A$64,0)),""))</f>
        <v/>
      </c>
      <c r="I606" s="34">
        <f>IF($F606="","",IFERROR(INDEX(사건마스터!$C$5:$C$64,MATCH($F606,사건마스터!$A$5:$A$64,0)),""))</f>
        <v/>
      </c>
      <c r="J606" s="35">
        <f>IF($F606="","",IFERROR(INDEX(사건마스터!$H$5:$H$64,MATCH($F606,사건마스터!$A$5:$A$64,0)),""))</f>
        <v/>
      </c>
      <c r="K606" s="35">
        <f>IF($F606="","",IFERROR(INDEX(사건마스터!$AH$5:$AH$64,MATCH($F606,사건마스터!$A$5:$A$64,0)),""))</f>
        <v/>
      </c>
      <c r="L606" s="35">
        <f>IF($F606="","",IFERROR(INDEX(사건마스터!$AI$5:$AI$64,MATCH($F606,사건마스터!$A$5:$A$64,0)),""))</f>
        <v/>
      </c>
      <c r="M606" s="35">
        <f>IF($F606="","",IFERROR(INDEX(사건마스터!$AJ$5:$AJ$64,MATCH($F606,사건마스터!$A$5:$A$64,0)),""))</f>
        <v/>
      </c>
      <c r="N606" s="35">
        <f>IF($F606="","",IFERROR(INDEX(사건마스터!$AK$5:$AK$64,MATCH($F606,사건마스터!$A$5:$A$64,0)),""))</f>
        <v/>
      </c>
      <c r="O606" s="35">
        <f>IF($F606="","",IFERROR(INDEX(사건마스터!$AL$5:$AL$64,MATCH($F606,사건마스터!$A$5:$A$64,0)),""))</f>
        <v/>
      </c>
      <c r="P606" s="35">
        <f>IF($F606="","",IFERROR(INDEX(사건마스터!$AM$5:$AM$64,MATCH($F606,사건마스터!$A$5:$A$64,0)),""))</f>
        <v/>
      </c>
      <c r="Q606" s="35">
        <f>IF($F606="","",IFERROR(INDEX(사건마스터!$AN$5:$AN$64,MATCH($F606,사건마스터!$A$5:$A$64,0)),""))</f>
        <v/>
      </c>
      <c r="R606" s="35">
        <f>IF($F606="","",IFERROR(INDEX(사건마스터!$AO$5:$AO$64,MATCH($F606,사건마스터!$A$5:$A$64,0)),""))</f>
        <v/>
      </c>
      <c r="S606" s="35">
        <f>IF($F606="","",IFERROR(INDEX(사건마스터!$AP$5:$AP$64,MATCH($F606,사건마스터!$A$5:$A$64,0)),""))</f>
        <v/>
      </c>
      <c r="T606" s="35">
        <f>IF($F606="","",IFERROR(INDEX(사건마스터!$AQ$5:$AQ$64,MATCH($F606,사건마스터!$A$5:$A$64,0)),""))</f>
        <v/>
      </c>
      <c r="U606" s="35">
        <f>IF($F606="","",IFERROR(INDEX(사건마스터!$AR$5:$AR$64,MATCH($F606,사건마스터!$A$5:$A$64,0)),""))</f>
        <v/>
      </c>
      <c r="V606" s="35">
        <f>IF($F606="","",IFERROR(INDEX(사건마스터!$AS$5:$AS$64,MATCH($F606,사건마스터!$A$5:$A$64,0)),""))</f>
        <v/>
      </c>
      <c r="W606" s="35">
        <f>IF($F606="","",IFERROR(INDEX(사건마스터!$AT$5:$AT$64,MATCH($F606,사건마스터!$A$5:$A$64,0)),""))</f>
        <v/>
      </c>
      <c r="X606" s="35">
        <f>IF($F606="","",IFERROR(INDEX(사건마스터!$AU$5:$AU$64,MATCH($F606,사건마스터!$A$5:$A$64,0)),""))</f>
        <v/>
      </c>
      <c r="Y606" s="35">
        <f>IF($F606="","",IFERROR(INDEX(사건마스터!$AV$5:$AV$64,MATCH($F606,사건마스터!$A$5:$A$64,0)),""))</f>
        <v/>
      </c>
      <c r="Z606" s="30">
        <f>IF(COUNTBLANK($J606:$Y606)=16,"",16-COUNTBLANK($J606:$Y606))</f>
        <v/>
      </c>
      <c r="AA606" s="33">
        <f>IF($J606="",MID($AX606,3,255),$J606&amp;$AX606)</f>
        <v/>
      </c>
      <c r="AB606" s="34">
        <f>IF($J606="","",IFERROR(INDEX(코드설정!$D$5:$D$24,MATCH($J606,코드설정!$C$5:$C$24,0)),""))</f>
        <v/>
      </c>
      <c r="AC606" s="36" t="n"/>
      <c r="AD606" s="37" t="n"/>
      <c r="AE606" s="38" t="n"/>
      <c r="AF606" s="30">
        <f>IF(OR($B606="",$C606=""),"",$C606-$B606+1)</f>
        <v/>
      </c>
      <c r="AG606" s="32" t="n"/>
      <c r="AH606" s="36" t="n"/>
      <c r="AJ606">
        <f>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  <c r="AX606">
        <f>AW606&amp;IF($Y606="","",", "&amp;$Y606)</f>
        <v/>
      </c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0">
        <f>IF($F607="","",COUNTIF($F$5:$F607,$F607))</f>
        <v/>
      </c>
      <c r="H607" s="33">
        <f>IF($F607="","",IFERROR(INDEX(사건마스터!$B$5:$B$64,MATCH($F607,사건마스터!$A$5:$A$64,0)),""))</f>
        <v/>
      </c>
      <c r="I607" s="34">
        <f>IF($F607="","",IFERROR(INDEX(사건마스터!$C$5:$C$64,MATCH($F607,사건마스터!$A$5:$A$64,0)),""))</f>
        <v/>
      </c>
      <c r="J607" s="35">
        <f>IF($F607="","",IFERROR(INDEX(사건마스터!$H$5:$H$64,MATCH($F607,사건마스터!$A$5:$A$64,0)),""))</f>
        <v/>
      </c>
      <c r="K607" s="35">
        <f>IF($F607="","",IFERROR(INDEX(사건마스터!$AH$5:$AH$64,MATCH($F607,사건마스터!$A$5:$A$64,0)),""))</f>
        <v/>
      </c>
      <c r="L607" s="35">
        <f>IF($F607="","",IFERROR(INDEX(사건마스터!$AI$5:$AI$64,MATCH($F607,사건마스터!$A$5:$A$64,0)),""))</f>
        <v/>
      </c>
      <c r="M607" s="35">
        <f>IF($F607="","",IFERROR(INDEX(사건마스터!$AJ$5:$AJ$64,MATCH($F607,사건마스터!$A$5:$A$64,0)),""))</f>
        <v/>
      </c>
      <c r="N607" s="35">
        <f>IF($F607="","",IFERROR(INDEX(사건마스터!$AK$5:$AK$64,MATCH($F607,사건마스터!$A$5:$A$64,0)),""))</f>
        <v/>
      </c>
      <c r="O607" s="35">
        <f>IF($F607="","",IFERROR(INDEX(사건마스터!$AL$5:$AL$64,MATCH($F607,사건마스터!$A$5:$A$64,0)),""))</f>
        <v/>
      </c>
      <c r="P607" s="35">
        <f>IF($F607="","",IFERROR(INDEX(사건마스터!$AM$5:$AM$64,MATCH($F607,사건마스터!$A$5:$A$64,0)),""))</f>
        <v/>
      </c>
      <c r="Q607" s="35">
        <f>IF($F607="","",IFERROR(INDEX(사건마스터!$AN$5:$AN$64,MATCH($F607,사건마스터!$A$5:$A$64,0)),""))</f>
        <v/>
      </c>
      <c r="R607" s="35">
        <f>IF($F607="","",IFERROR(INDEX(사건마스터!$AO$5:$AO$64,MATCH($F607,사건마스터!$A$5:$A$64,0)),""))</f>
        <v/>
      </c>
      <c r="S607" s="35">
        <f>IF($F607="","",IFERROR(INDEX(사건마스터!$AP$5:$AP$64,MATCH($F607,사건마스터!$A$5:$A$64,0)),""))</f>
        <v/>
      </c>
      <c r="T607" s="35">
        <f>IF($F607="","",IFERROR(INDEX(사건마스터!$AQ$5:$AQ$64,MATCH($F607,사건마스터!$A$5:$A$64,0)),""))</f>
        <v/>
      </c>
      <c r="U607" s="35">
        <f>IF($F607="","",IFERROR(INDEX(사건마스터!$AR$5:$AR$64,MATCH($F607,사건마스터!$A$5:$A$64,0)),""))</f>
        <v/>
      </c>
      <c r="V607" s="35">
        <f>IF($F607="","",IFERROR(INDEX(사건마스터!$AS$5:$AS$64,MATCH($F607,사건마스터!$A$5:$A$64,0)),""))</f>
        <v/>
      </c>
      <c r="W607" s="35">
        <f>IF($F607="","",IFERROR(INDEX(사건마스터!$AT$5:$AT$64,MATCH($F607,사건마스터!$A$5:$A$64,0)),""))</f>
        <v/>
      </c>
      <c r="X607" s="35">
        <f>IF($F607="","",IFERROR(INDEX(사건마스터!$AU$5:$AU$64,MATCH($F607,사건마스터!$A$5:$A$64,0)),""))</f>
        <v/>
      </c>
      <c r="Y607" s="35">
        <f>IF($F607="","",IFERROR(INDEX(사건마스터!$AV$5:$AV$64,MATCH($F607,사건마스터!$A$5:$A$64,0)),""))</f>
        <v/>
      </c>
      <c r="Z607" s="30">
        <f>IF(COUNTBLANK($J607:$Y607)=16,"",16-COUNTBLANK($J607:$Y607))</f>
        <v/>
      </c>
      <c r="AA607" s="33">
        <f>IF($J607="",MID($AX607,3,255),$J607&amp;$AX607)</f>
        <v/>
      </c>
      <c r="AB607" s="34">
        <f>IF($J607="","",IFERROR(INDEX(코드설정!$D$5:$D$24,MATCH($J607,코드설정!$C$5:$C$24,0)),""))</f>
        <v/>
      </c>
      <c r="AC607" s="36" t="n"/>
      <c r="AD607" s="37" t="n"/>
      <c r="AE607" s="38" t="n"/>
      <c r="AF607" s="30">
        <f>IF(OR($B607="",$C607=""),"",$C607-$B607+1)</f>
        <v/>
      </c>
      <c r="AG607" s="32" t="n"/>
      <c r="AH607" s="36" t="n"/>
      <c r="AJ607">
        <f>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  <c r="AX607">
        <f>AW607&amp;IF($Y607="","",", "&amp;$Y607)</f>
        <v/>
      </c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0">
        <f>IF($F608="","",COUNTIF($F$5:$F608,$F608))</f>
        <v/>
      </c>
      <c r="H608" s="33">
        <f>IF($F608="","",IFERROR(INDEX(사건마스터!$B$5:$B$64,MATCH($F608,사건마스터!$A$5:$A$64,0)),""))</f>
        <v/>
      </c>
      <c r="I608" s="34">
        <f>IF($F608="","",IFERROR(INDEX(사건마스터!$C$5:$C$64,MATCH($F608,사건마스터!$A$5:$A$64,0)),""))</f>
        <v/>
      </c>
      <c r="J608" s="35">
        <f>IF($F608="","",IFERROR(INDEX(사건마스터!$H$5:$H$64,MATCH($F608,사건마스터!$A$5:$A$64,0)),""))</f>
        <v/>
      </c>
      <c r="K608" s="35">
        <f>IF($F608="","",IFERROR(INDEX(사건마스터!$AH$5:$AH$64,MATCH($F608,사건마스터!$A$5:$A$64,0)),""))</f>
        <v/>
      </c>
      <c r="L608" s="35">
        <f>IF($F608="","",IFERROR(INDEX(사건마스터!$AI$5:$AI$64,MATCH($F608,사건마스터!$A$5:$A$64,0)),""))</f>
        <v/>
      </c>
      <c r="M608" s="35">
        <f>IF($F608="","",IFERROR(INDEX(사건마스터!$AJ$5:$AJ$64,MATCH($F608,사건마스터!$A$5:$A$64,0)),""))</f>
        <v/>
      </c>
      <c r="N608" s="35">
        <f>IF($F608="","",IFERROR(INDEX(사건마스터!$AK$5:$AK$64,MATCH($F608,사건마스터!$A$5:$A$64,0)),""))</f>
        <v/>
      </c>
      <c r="O608" s="35">
        <f>IF($F608="","",IFERROR(INDEX(사건마스터!$AL$5:$AL$64,MATCH($F608,사건마스터!$A$5:$A$64,0)),""))</f>
        <v/>
      </c>
      <c r="P608" s="35">
        <f>IF($F608="","",IFERROR(INDEX(사건마스터!$AM$5:$AM$64,MATCH($F608,사건마스터!$A$5:$A$64,0)),""))</f>
        <v/>
      </c>
      <c r="Q608" s="35">
        <f>IF($F608="","",IFERROR(INDEX(사건마스터!$AN$5:$AN$64,MATCH($F608,사건마스터!$A$5:$A$64,0)),""))</f>
        <v/>
      </c>
      <c r="R608" s="35">
        <f>IF($F608="","",IFERROR(INDEX(사건마스터!$AO$5:$AO$64,MATCH($F608,사건마스터!$A$5:$A$64,0)),""))</f>
        <v/>
      </c>
      <c r="S608" s="35">
        <f>IF($F608="","",IFERROR(INDEX(사건마스터!$AP$5:$AP$64,MATCH($F608,사건마스터!$A$5:$A$64,0)),""))</f>
        <v/>
      </c>
      <c r="T608" s="35">
        <f>IF($F608="","",IFERROR(INDEX(사건마스터!$AQ$5:$AQ$64,MATCH($F608,사건마스터!$A$5:$A$64,0)),""))</f>
        <v/>
      </c>
      <c r="U608" s="35">
        <f>IF($F608="","",IFERROR(INDEX(사건마스터!$AR$5:$AR$64,MATCH($F608,사건마스터!$A$5:$A$64,0)),""))</f>
        <v/>
      </c>
      <c r="V608" s="35">
        <f>IF($F608="","",IFERROR(INDEX(사건마스터!$AS$5:$AS$64,MATCH($F608,사건마스터!$A$5:$A$64,0)),""))</f>
        <v/>
      </c>
      <c r="W608" s="35">
        <f>IF($F608="","",IFERROR(INDEX(사건마스터!$AT$5:$AT$64,MATCH($F608,사건마스터!$A$5:$A$64,0)),""))</f>
        <v/>
      </c>
      <c r="X608" s="35">
        <f>IF($F608="","",IFERROR(INDEX(사건마스터!$AU$5:$AU$64,MATCH($F608,사건마스터!$A$5:$A$64,0)),""))</f>
        <v/>
      </c>
      <c r="Y608" s="35">
        <f>IF($F608="","",IFERROR(INDEX(사건마스터!$AV$5:$AV$64,MATCH($F608,사건마스터!$A$5:$A$64,0)),""))</f>
        <v/>
      </c>
      <c r="Z608" s="30">
        <f>IF(COUNTBLANK($J608:$Y608)=16,"",16-COUNTBLANK($J608:$Y608))</f>
        <v/>
      </c>
      <c r="AA608" s="33">
        <f>IF($J608="",MID($AX608,3,255),$J608&amp;$AX608)</f>
        <v/>
      </c>
      <c r="AB608" s="34">
        <f>IF($J608="","",IFERROR(INDEX(코드설정!$D$5:$D$24,MATCH($J608,코드설정!$C$5:$C$24,0)),""))</f>
        <v/>
      </c>
      <c r="AC608" s="36" t="n"/>
      <c r="AD608" s="37" t="n"/>
      <c r="AE608" s="38" t="n"/>
      <c r="AF608" s="30">
        <f>IF(OR($B608="",$C608=""),"",$C608-$B608+1)</f>
        <v/>
      </c>
      <c r="AG608" s="32" t="n"/>
      <c r="AH608" s="36" t="n"/>
      <c r="AJ608">
        <f>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  <c r="AX608">
        <f>AW608&amp;IF($Y608="","",", "&amp;$Y608)</f>
        <v/>
      </c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0">
        <f>IF($F609="","",COUNTIF($F$5:$F609,$F609))</f>
        <v/>
      </c>
      <c r="H609" s="33">
        <f>IF($F609="","",IFERROR(INDEX(사건마스터!$B$5:$B$64,MATCH($F609,사건마스터!$A$5:$A$64,0)),""))</f>
        <v/>
      </c>
      <c r="I609" s="34">
        <f>IF($F609="","",IFERROR(INDEX(사건마스터!$C$5:$C$64,MATCH($F609,사건마스터!$A$5:$A$64,0)),""))</f>
        <v/>
      </c>
      <c r="J609" s="35">
        <f>IF($F609="","",IFERROR(INDEX(사건마스터!$H$5:$H$64,MATCH($F609,사건마스터!$A$5:$A$64,0)),""))</f>
        <v/>
      </c>
      <c r="K609" s="35">
        <f>IF($F609="","",IFERROR(INDEX(사건마스터!$AH$5:$AH$64,MATCH($F609,사건마스터!$A$5:$A$64,0)),""))</f>
        <v/>
      </c>
      <c r="L609" s="35">
        <f>IF($F609="","",IFERROR(INDEX(사건마스터!$AI$5:$AI$64,MATCH($F609,사건마스터!$A$5:$A$64,0)),""))</f>
        <v/>
      </c>
      <c r="M609" s="35">
        <f>IF($F609="","",IFERROR(INDEX(사건마스터!$AJ$5:$AJ$64,MATCH($F609,사건마스터!$A$5:$A$64,0)),""))</f>
        <v/>
      </c>
      <c r="N609" s="35">
        <f>IF($F609="","",IFERROR(INDEX(사건마스터!$AK$5:$AK$64,MATCH($F609,사건마스터!$A$5:$A$64,0)),""))</f>
        <v/>
      </c>
      <c r="O609" s="35">
        <f>IF($F609="","",IFERROR(INDEX(사건마스터!$AL$5:$AL$64,MATCH($F609,사건마스터!$A$5:$A$64,0)),""))</f>
        <v/>
      </c>
      <c r="P609" s="35">
        <f>IF($F609="","",IFERROR(INDEX(사건마스터!$AM$5:$AM$64,MATCH($F609,사건마스터!$A$5:$A$64,0)),""))</f>
        <v/>
      </c>
      <c r="Q609" s="35">
        <f>IF($F609="","",IFERROR(INDEX(사건마스터!$AN$5:$AN$64,MATCH($F609,사건마스터!$A$5:$A$64,0)),""))</f>
        <v/>
      </c>
      <c r="R609" s="35">
        <f>IF($F609="","",IFERROR(INDEX(사건마스터!$AO$5:$AO$64,MATCH($F609,사건마스터!$A$5:$A$64,0)),""))</f>
        <v/>
      </c>
      <c r="S609" s="35">
        <f>IF($F609="","",IFERROR(INDEX(사건마스터!$AP$5:$AP$64,MATCH($F609,사건마스터!$A$5:$A$64,0)),""))</f>
        <v/>
      </c>
      <c r="T609" s="35">
        <f>IF($F609="","",IFERROR(INDEX(사건마스터!$AQ$5:$AQ$64,MATCH($F609,사건마스터!$A$5:$A$64,0)),""))</f>
        <v/>
      </c>
      <c r="U609" s="35">
        <f>IF($F609="","",IFERROR(INDEX(사건마스터!$AR$5:$AR$64,MATCH($F609,사건마스터!$A$5:$A$64,0)),""))</f>
        <v/>
      </c>
      <c r="V609" s="35">
        <f>IF($F609="","",IFERROR(INDEX(사건마스터!$AS$5:$AS$64,MATCH($F609,사건마스터!$A$5:$A$64,0)),""))</f>
        <v/>
      </c>
      <c r="W609" s="35">
        <f>IF($F609="","",IFERROR(INDEX(사건마스터!$AT$5:$AT$64,MATCH($F609,사건마스터!$A$5:$A$64,0)),""))</f>
        <v/>
      </c>
      <c r="X609" s="35">
        <f>IF($F609="","",IFERROR(INDEX(사건마스터!$AU$5:$AU$64,MATCH($F609,사건마스터!$A$5:$A$64,0)),""))</f>
        <v/>
      </c>
      <c r="Y609" s="35">
        <f>IF($F609="","",IFERROR(INDEX(사건마스터!$AV$5:$AV$64,MATCH($F609,사건마스터!$A$5:$A$64,0)),""))</f>
        <v/>
      </c>
      <c r="Z609" s="30">
        <f>IF(COUNTBLANK($J609:$Y609)=16,"",16-COUNTBLANK($J609:$Y609))</f>
        <v/>
      </c>
      <c r="AA609" s="33">
        <f>IF($J609="",MID($AX609,3,255),$J609&amp;$AX609)</f>
        <v/>
      </c>
      <c r="AB609" s="34">
        <f>IF($J609="","",IFERROR(INDEX(코드설정!$D$5:$D$24,MATCH($J609,코드설정!$C$5:$C$24,0)),""))</f>
        <v/>
      </c>
      <c r="AC609" s="36" t="n"/>
      <c r="AD609" s="37" t="n"/>
      <c r="AE609" s="38" t="n"/>
      <c r="AF609" s="30">
        <f>IF(OR($B609="",$C609=""),"",$C609-$B609+1)</f>
        <v/>
      </c>
      <c r="AG609" s="32" t="n"/>
      <c r="AH609" s="36" t="n"/>
      <c r="AJ609">
        <f>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  <c r="AX609">
        <f>AW609&amp;IF($Y609="","",", "&amp;$Y609)</f>
        <v/>
      </c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0">
        <f>IF($F610="","",COUNTIF($F$5:$F610,$F610))</f>
        <v/>
      </c>
      <c r="H610" s="33">
        <f>IF($F610="","",IFERROR(INDEX(사건마스터!$B$5:$B$64,MATCH($F610,사건마스터!$A$5:$A$64,0)),""))</f>
        <v/>
      </c>
      <c r="I610" s="34">
        <f>IF($F610="","",IFERROR(INDEX(사건마스터!$C$5:$C$64,MATCH($F610,사건마스터!$A$5:$A$64,0)),""))</f>
        <v/>
      </c>
      <c r="J610" s="35">
        <f>IF($F610="","",IFERROR(INDEX(사건마스터!$H$5:$H$64,MATCH($F610,사건마스터!$A$5:$A$64,0)),""))</f>
        <v/>
      </c>
      <c r="K610" s="35">
        <f>IF($F610="","",IFERROR(INDEX(사건마스터!$AH$5:$AH$64,MATCH($F610,사건마스터!$A$5:$A$64,0)),""))</f>
        <v/>
      </c>
      <c r="L610" s="35">
        <f>IF($F610="","",IFERROR(INDEX(사건마스터!$AI$5:$AI$64,MATCH($F610,사건마스터!$A$5:$A$64,0)),""))</f>
        <v/>
      </c>
      <c r="M610" s="35">
        <f>IF($F610="","",IFERROR(INDEX(사건마스터!$AJ$5:$AJ$64,MATCH($F610,사건마스터!$A$5:$A$64,0)),""))</f>
        <v/>
      </c>
      <c r="N610" s="35">
        <f>IF($F610="","",IFERROR(INDEX(사건마스터!$AK$5:$AK$64,MATCH($F610,사건마스터!$A$5:$A$64,0)),""))</f>
        <v/>
      </c>
      <c r="O610" s="35">
        <f>IF($F610="","",IFERROR(INDEX(사건마스터!$AL$5:$AL$64,MATCH($F610,사건마스터!$A$5:$A$64,0)),""))</f>
        <v/>
      </c>
      <c r="P610" s="35">
        <f>IF($F610="","",IFERROR(INDEX(사건마스터!$AM$5:$AM$64,MATCH($F610,사건마스터!$A$5:$A$64,0)),""))</f>
        <v/>
      </c>
      <c r="Q610" s="35">
        <f>IF($F610="","",IFERROR(INDEX(사건마스터!$AN$5:$AN$64,MATCH($F610,사건마스터!$A$5:$A$64,0)),""))</f>
        <v/>
      </c>
      <c r="R610" s="35">
        <f>IF($F610="","",IFERROR(INDEX(사건마스터!$AO$5:$AO$64,MATCH($F610,사건마스터!$A$5:$A$64,0)),""))</f>
        <v/>
      </c>
      <c r="S610" s="35">
        <f>IF($F610="","",IFERROR(INDEX(사건마스터!$AP$5:$AP$64,MATCH($F610,사건마스터!$A$5:$A$64,0)),""))</f>
        <v/>
      </c>
      <c r="T610" s="35">
        <f>IF($F610="","",IFERROR(INDEX(사건마스터!$AQ$5:$AQ$64,MATCH($F610,사건마스터!$A$5:$A$64,0)),""))</f>
        <v/>
      </c>
      <c r="U610" s="35">
        <f>IF($F610="","",IFERROR(INDEX(사건마스터!$AR$5:$AR$64,MATCH($F610,사건마스터!$A$5:$A$64,0)),""))</f>
        <v/>
      </c>
      <c r="V610" s="35">
        <f>IF($F610="","",IFERROR(INDEX(사건마스터!$AS$5:$AS$64,MATCH($F610,사건마스터!$A$5:$A$64,0)),""))</f>
        <v/>
      </c>
      <c r="W610" s="35">
        <f>IF($F610="","",IFERROR(INDEX(사건마스터!$AT$5:$AT$64,MATCH($F610,사건마스터!$A$5:$A$64,0)),""))</f>
        <v/>
      </c>
      <c r="X610" s="35">
        <f>IF($F610="","",IFERROR(INDEX(사건마스터!$AU$5:$AU$64,MATCH($F610,사건마스터!$A$5:$A$64,0)),""))</f>
        <v/>
      </c>
      <c r="Y610" s="35">
        <f>IF($F610="","",IFERROR(INDEX(사건마스터!$AV$5:$AV$64,MATCH($F610,사건마스터!$A$5:$A$64,0)),""))</f>
        <v/>
      </c>
      <c r="Z610" s="30">
        <f>IF(COUNTBLANK($J610:$Y610)=16,"",16-COUNTBLANK($J610:$Y610))</f>
        <v/>
      </c>
      <c r="AA610" s="33">
        <f>IF($J610="",MID($AX610,3,255),$J610&amp;$AX610)</f>
        <v/>
      </c>
      <c r="AB610" s="34">
        <f>IF($J610="","",IFERROR(INDEX(코드설정!$D$5:$D$24,MATCH($J610,코드설정!$C$5:$C$24,0)),""))</f>
        <v/>
      </c>
      <c r="AC610" s="36" t="n"/>
      <c r="AD610" s="37" t="n"/>
      <c r="AE610" s="38" t="n"/>
      <c r="AF610" s="30">
        <f>IF(OR($B610="",$C610=""),"",$C610-$B610+1)</f>
        <v/>
      </c>
      <c r="AG610" s="32" t="n"/>
      <c r="AH610" s="36" t="n"/>
      <c r="AJ610">
        <f>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  <c r="AX610">
        <f>AW610&amp;IF($Y610="","",", "&amp;$Y610)</f>
        <v/>
      </c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0">
        <f>IF($F611="","",COUNTIF($F$5:$F611,$F611))</f>
        <v/>
      </c>
      <c r="H611" s="33">
        <f>IF($F611="","",IFERROR(INDEX(사건마스터!$B$5:$B$64,MATCH($F611,사건마스터!$A$5:$A$64,0)),""))</f>
        <v/>
      </c>
      <c r="I611" s="34">
        <f>IF($F611="","",IFERROR(INDEX(사건마스터!$C$5:$C$64,MATCH($F611,사건마스터!$A$5:$A$64,0)),""))</f>
        <v/>
      </c>
      <c r="J611" s="35">
        <f>IF($F611="","",IFERROR(INDEX(사건마스터!$H$5:$H$64,MATCH($F611,사건마스터!$A$5:$A$64,0)),""))</f>
        <v/>
      </c>
      <c r="K611" s="35">
        <f>IF($F611="","",IFERROR(INDEX(사건마스터!$AH$5:$AH$64,MATCH($F611,사건마스터!$A$5:$A$64,0)),""))</f>
        <v/>
      </c>
      <c r="L611" s="35">
        <f>IF($F611="","",IFERROR(INDEX(사건마스터!$AI$5:$AI$64,MATCH($F611,사건마스터!$A$5:$A$64,0)),""))</f>
        <v/>
      </c>
      <c r="M611" s="35">
        <f>IF($F611="","",IFERROR(INDEX(사건마스터!$AJ$5:$AJ$64,MATCH($F611,사건마스터!$A$5:$A$64,0)),""))</f>
        <v/>
      </c>
      <c r="N611" s="35">
        <f>IF($F611="","",IFERROR(INDEX(사건마스터!$AK$5:$AK$64,MATCH($F611,사건마스터!$A$5:$A$64,0)),""))</f>
        <v/>
      </c>
      <c r="O611" s="35">
        <f>IF($F611="","",IFERROR(INDEX(사건마스터!$AL$5:$AL$64,MATCH($F611,사건마스터!$A$5:$A$64,0)),""))</f>
        <v/>
      </c>
      <c r="P611" s="35">
        <f>IF($F611="","",IFERROR(INDEX(사건마스터!$AM$5:$AM$64,MATCH($F611,사건마스터!$A$5:$A$64,0)),""))</f>
        <v/>
      </c>
      <c r="Q611" s="35">
        <f>IF($F611="","",IFERROR(INDEX(사건마스터!$AN$5:$AN$64,MATCH($F611,사건마스터!$A$5:$A$64,0)),""))</f>
        <v/>
      </c>
      <c r="R611" s="35">
        <f>IF($F611="","",IFERROR(INDEX(사건마스터!$AO$5:$AO$64,MATCH($F611,사건마스터!$A$5:$A$64,0)),""))</f>
        <v/>
      </c>
      <c r="S611" s="35">
        <f>IF($F611="","",IFERROR(INDEX(사건마스터!$AP$5:$AP$64,MATCH($F611,사건마스터!$A$5:$A$64,0)),""))</f>
        <v/>
      </c>
      <c r="T611" s="35">
        <f>IF($F611="","",IFERROR(INDEX(사건마스터!$AQ$5:$AQ$64,MATCH($F611,사건마스터!$A$5:$A$64,0)),""))</f>
        <v/>
      </c>
      <c r="U611" s="35">
        <f>IF($F611="","",IFERROR(INDEX(사건마스터!$AR$5:$AR$64,MATCH($F611,사건마스터!$A$5:$A$64,0)),""))</f>
        <v/>
      </c>
      <c r="V611" s="35">
        <f>IF($F611="","",IFERROR(INDEX(사건마스터!$AS$5:$AS$64,MATCH($F611,사건마스터!$A$5:$A$64,0)),""))</f>
        <v/>
      </c>
      <c r="W611" s="35">
        <f>IF($F611="","",IFERROR(INDEX(사건마스터!$AT$5:$AT$64,MATCH($F611,사건마스터!$A$5:$A$64,0)),""))</f>
        <v/>
      </c>
      <c r="X611" s="35">
        <f>IF($F611="","",IFERROR(INDEX(사건마스터!$AU$5:$AU$64,MATCH($F611,사건마스터!$A$5:$A$64,0)),""))</f>
        <v/>
      </c>
      <c r="Y611" s="35">
        <f>IF($F611="","",IFERROR(INDEX(사건마스터!$AV$5:$AV$64,MATCH($F611,사건마스터!$A$5:$A$64,0)),""))</f>
        <v/>
      </c>
      <c r="Z611" s="30">
        <f>IF(COUNTBLANK($J611:$Y611)=16,"",16-COUNTBLANK($J611:$Y611))</f>
        <v/>
      </c>
      <c r="AA611" s="33">
        <f>IF($J611="",MID($AX611,3,255),$J611&amp;$AX611)</f>
        <v/>
      </c>
      <c r="AB611" s="34">
        <f>IF($J611="","",IFERROR(INDEX(코드설정!$D$5:$D$24,MATCH($J611,코드설정!$C$5:$C$24,0)),""))</f>
        <v/>
      </c>
      <c r="AC611" s="36" t="n"/>
      <c r="AD611" s="37" t="n"/>
      <c r="AE611" s="38" t="n"/>
      <c r="AF611" s="30">
        <f>IF(OR($B611="",$C611=""),"",$C611-$B611+1)</f>
        <v/>
      </c>
      <c r="AG611" s="32" t="n"/>
      <c r="AH611" s="36" t="n"/>
      <c r="AJ611">
        <f>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  <c r="AX611">
        <f>AW611&amp;IF($Y611="","",", "&amp;$Y611)</f>
        <v/>
      </c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0">
        <f>IF($F612="","",COUNTIF($F$5:$F612,$F612))</f>
        <v/>
      </c>
      <c r="H612" s="33">
        <f>IF($F612="","",IFERROR(INDEX(사건마스터!$B$5:$B$64,MATCH($F612,사건마스터!$A$5:$A$64,0)),""))</f>
        <v/>
      </c>
      <c r="I612" s="34">
        <f>IF($F612="","",IFERROR(INDEX(사건마스터!$C$5:$C$64,MATCH($F612,사건마스터!$A$5:$A$64,0)),""))</f>
        <v/>
      </c>
      <c r="J612" s="35">
        <f>IF($F612="","",IFERROR(INDEX(사건마스터!$H$5:$H$64,MATCH($F612,사건마스터!$A$5:$A$64,0)),""))</f>
        <v/>
      </c>
      <c r="K612" s="35">
        <f>IF($F612="","",IFERROR(INDEX(사건마스터!$AH$5:$AH$64,MATCH($F612,사건마스터!$A$5:$A$64,0)),""))</f>
        <v/>
      </c>
      <c r="L612" s="35">
        <f>IF($F612="","",IFERROR(INDEX(사건마스터!$AI$5:$AI$64,MATCH($F612,사건마스터!$A$5:$A$64,0)),""))</f>
        <v/>
      </c>
      <c r="M612" s="35">
        <f>IF($F612="","",IFERROR(INDEX(사건마스터!$AJ$5:$AJ$64,MATCH($F612,사건마스터!$A$5:$A$64,0)),""))</f>
        <v/>
      </c>
      <c r="N612" s="35">
        <f>IF($F612="","",IFERROR(INDEX(사건마스터!$AK$5:$AK$64,MATCH($F612,사건마스터!$A$5:$A$64,0)),""))</f>
        <v/>
      </c>
      <c r="O612" s="35">
        <f>IF($F612="","",IFERROR(INDEX(사건마스터!$AL$5:$AL$64,MATCH($F612,사건마스터!$A$5:$A$64,0)),""))</f>
        <v/>
      </c>
      <c r="P612" s="35">
        <f>IF($F612="","",IFERROR(INDEX(사건마스터!$AM$5:$AM$64,MATCH($F612,사건마스터!$A$5:$A$64,0)),""))</f>
        <v/>
      </c>
      <c r="Q612" s="35">
        <f>IF($F612="","",IFERROR(INDEX(사건마스터!$AN$5:$AN$64,MATCH($F612,사건마스터!$A$5:$A$64,0)),""))</f>
        <v/>
      </c>
      <c r="R612" s="35">
        <f>IF($F612="","",IFERROR(INDEX(사건마스터!$AO$5:$AO$64,MATCH($F612,사건마스터!$A$5:$A$64,0)),""))</f>
        <v/>
      </c>
      <c r="S612" s="35">
        <f>IF($F612="","",IFERROR(INDEX(사건마스터!$AP$5:$AP$64,MATCH($F612,사건마스터!$A$5:$A$64,0)),""))</f>
        <v/>
      </c>
      <c r="T612" s="35">
        <f>IF($F612="","",IFERROR(INDEX(사건마스터!$AQ$5:$AQ$64,MATCH($F612,사건마스터!$A$5:$A$64,0)),""))</f>
        <v/>
      </c>
      <c r="U612" s="35">
        <f>IF($F612="","",IFERROR(INDEX(사건마스터!$AR$5:$AR$64,MATCH($F612,사건마스터!$A$5:$A$64,0)),""))</f>
        <v/>
      </c>
      <c r="V612" s="35">
        <f>IF($F612="","",IFERROR(INDEX(사건마스터!$AS$5:$AS$64,MATCH($F612,사건마스터!$A$5:$A$64,0)),""))</f>
        <v/>
      </c>
      <c r="W612" s="35">
        <f>IF($F612="","",IFERROR(INDEX(사건마스터!$AT$5:$AT$64,MATCH($F612,사건마스터!$A$5:$A$64,0)),""))</f>
        <v/>
      </c>
      <c r="X612" s="35">
        <f>IF($F612="","",IFERROR(INDEX(사건마스터!$AU$5:$AU$64,MATCH($F612,사건마스터!$A$5:$A$64,0)),""))</f>
        <v/>
      </c>
      <c r="Y612" s="35">
        <f>IF($F612="","",IFERROR(INDEX(사건마스터!$AV$5:$AV$64,MATCH($F612,사건마스터!$A$5:$A$64,0)),""))</f>
        <v/>
      </c>
      <c r="Z612" s="30">
        <f>IF(COUNTBLANK($J612:$Y612)=16,"",16-COUNTBLANK($J612:$Y612))</f>
        <v/>
      </c>
      <c r="AA612" s="33">
        <f>IF($J612="",MID($AX612,3,255),$J612&amp;$AX612)</f>
        <v/>
      </c>
      <c r="AB612" s="34">
        <f>IF($J612="","",IFERROR(INDEX(코드설정!$D$5:$D$24,MATCH($J612,코드설정!$C$5:$C$24,0)),""))</f>
        <v/>
      </c>
      <c r="AC612" s="36" t="n"/>
      <c r="AD612" s="37" t="n"/>
      <c r="AE612" s="38" t="n"/>
      <c r="AF612" s="30">
        <f>IF(OR($B612="",$C612=""),"",$C612-$B612+1)</f>
        <v/>
      </c>
      <c r="AG612" s="32" t="n"/>
      <c r="AH612" s="36" t="n"/>
      <c r="AJ612">
        <f>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  <c r="AX612">
        <f>AW612&amp;IF($Y612="","",", "&amp;$Y612)</f>
        <v/>
      </c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0">
        <f>IF($F613="","",COUNTIF($F$5:$F613,$F613))</f>
        <v/>
      </c>
      <c r="H613" s="33">
        <f>IF($F613="","",IFERROR(INDEX(사건마스터!$B$5:$B$64,MATCH($F613,사건마스터!$A$5:$A$64,0)),""))</f>
        <v/>
      </c>
      <c r="I613" s="34">
        <f>IF($F613="","",IFERROR(INDEX(사건마스터!$C$5:$C$64,MATCH($F613,사건마스터!$A$5:$A$64,0)),""))</f>
        <v/>
      </c>
      <c r="J613" s="35">
        <f>IF($F613="","",IFERROR(INDEX(사건마스터!$H$5:$H$64,MATCH($F613,사건마스터!$A$5:$A$64,0)),""))</f>
        <v/>
      </c>
      <c r="K613" s="35">
        <f>IF($F613="","",IFERROR(INDEX(사건마스터!$AH$5:$AH$64,MATCH($F613,사건마스터!$A$5:$A$64,0)),""))</f>
        <v/>
      </c>
      <c r="L613" s="35">
        <f>IF($F613="","",IFERROR(INDEX(사건마스터!$AI$5:$AI$64,MATCH($F613,사건마스터!$A$5:$A$64,0)),""))</f>
        <v/>
      </c>
      <c r="M613" s="35">
        <f>IF($F613="","",IFERROR(INDEX(사건마스터!$AJ$5:$AJ$64,MATCH($F613,사건마스터!$A$5:$A$64,0)),""))</f>
        <v/>
      </c>
      <c r="N613" s="35">
        <f>IF($F613="","",IFERROR(INDEX(사건마스터!$AK$5:$AK$64,MATCH($F613,사건마스터!$A$5:$A$64,0)),""))</f>
        <v/>
      </c>
      <c r="O613" s="35">
        <f>IF($F613="","",IFERROR(INDEX(사건마스터!$AL$5:$AL$64,MATCH($F613,사건마스터!$A$5:$A$64,0)),""))</f>
        <v/>
      </c>
      <c r="P613" s="35">
        <f>IF($F613="","",IFERROR(INDEX(사건마스터!$AM$5:$AM$64,MATCH($F613,사건마스터!$A$5:$A$64,0)),""))</f>
        <v/>
      </c>
      <c r="Q613" s="35">
        <f>IF($F613="","",IFERROR(INDEX(사건마스터!$AN$5:$AN$64,MATCH($F613,사건마스터!$A$5:$A$64,0)),""))</f>
        <v/>
      </c>
      <c r="R613" s="35">
        <f>IF($F613="","",IFERROR(INDEX(사건마스터!$AO$5:$AO$64,MATCH($F613,사건마스터!$A$5:$A$64,0)),""))</f>
        <v/>
      </c>
      <c r="S613" s="35">
        <f>IF($F613="","",IFERROR(INDEX(사건마스터!$AP$5:$AP$64,MATCH($F613,사건마스터!$A$5:$A$64,0)),""))</f>
        <v/>
      </c>
      <c r="T613" s="35">
        <f>IF($F613="","",IFERROR(INDEX(사건마스터!$AQ$5:$AQ$64,MATCH($F613,사건마스터!$A$5:$A$64,0)),""))</f>
        <v/>
      </c>
      <c r="U613" s="35">
        <f>IF($F613="","",IFERROR(INDEX(사건마스터!$AR$5:$AR$64,MATCH($F613,사건마스터!$A$5:$A$64,0)),""))</f>
        <v/>
      </c>
      <c r="V613" s="35">
        <f>IF($F613="","",IFERROR(INDEX(사건마스터!$AS$5:$AS$64,MATCH($F613,사건마스터!$A$5:$A$64,0)),""))</f>
        <v/>
      </c>
      <c r="W613" s="35">
        <f>IF($F613="","",IFERROR(INDEX(사건마스터!$AT$5:$AT$64,MATCH($F613,사건마스터!$A$5:$A$64,0)),""))</f>
        <v/>
      </c>
      <c r="X613" s="35">
        <f>IF($F613="","",IFERROR(INDEX(사건마스터!$AU$5:$AU$64,MATCH($F613,사건마스터!$A$5:$A$64,0)),""))</f>
        <v/>
      </c>
      <c r="Y613" s="35">
        <f>IF($F613="","",IFERROR(INDEX(사건마스터!$AV$5:$AV$64,MATCH($F613,사건마스터!$A$5:$A$64,0)),""))</f>
        <v/>
      </c>
      <c r="Z613" s="30">
        <f>IF(COUNTBLANK($J613:$Y613)=16,"",16-COUNTBLANK($J613:$Y613))</f>
        <v/>
      </c>
      <c r="AA613" s="33">
        <f>IF($J613="",MID($AX613,3,255),$J613&amp;$AX613)</f>
        <v/>
      </c>
      <c r="AB613" s="34">
        <f>IF($J613="","",IFERROR(INDEX(코드설정!$D$5:$D$24,MATCH($J613,코드설정!$C$5:$C$24,0)),""))</f>
        <v/>
      </c>
      <c r="AC613" s="36" t="n"/>
      <c r="AD613" s="37" t="n"/>
      <c r="AE613" s="38" t="n"/>
      <c r="AF613" s="30">
        <f>IF(OR($B613="",$C613=""),"",$C613-$B613+1)</f>
        <v/>
      </c>
      <c r="AG613" s="32" t="n"/>
      <c r="AH613" s="36" t="n"/>
      <c r="AJ613">
        <f>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  <c r="AX613">
        <f>AW613&amp;IF($Y613="","",", "&amp;$Y613)</f>
        <v/>
      </c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0">
        <f>IF($F614="","",COUNTIF($F$5:$F614,$F614))</f>
        <v/>
      </c>
      <c r="H614" s="33">
        <f>IF($F614="","",IFERROR(INDEX(사건마스터!$B$5:$B$64,MATCH($F614,사건마스터!$A$5:$A$64,0)),""))</f>
        <v/>
      </c>
      <c r="I614" s="34">
        <f>IF($F614="","",IFERROR(INDEX(사건마스터!$C$5:$C$64,MATCH($F614,사건마스터!$A$5:$A$64,0)),""))</f>
        <v/>
      </c>
      <c r="J614" s="35">
        <f>IF($F614="","",IFERROR(INDEX(사건마스터!$H$5:$H$64,MATCH($F614,사건마스터!$A$5:$A$64,0)),""))</f>
        <v/>
      </c>
      <c r="K614" s="35">
        <f>IF($F614="","",IFERROR(INDEX(사건마스터!$AH$5:$AH$64,MATCH($F614,사건마스터!$A$5:$A$64,0)),""))</f>
        <v/>
      </c>
      <c r="L614" s="35">
        <f>IF($F614="","",IFERROR(INDEX(사건마스터!$AI$5:$AI$64,MATCH($F614,사건마스터!$A$5:$A$64,0)),""))</f>
        <v/>
      </c>
      <c r="M614" s="35">
        <f>IF($F614="","",IFERROR(INDEX(사건마스터!$AJ$5:$AJ$64,MATCH($F614,사건마스터!$A$5:$A$64,0)),""))</f>
        <v/>
      </c>
      <c r="N614" s="35">
        <f>IF($F614="","",IFERROR(INDEX(사건마스터!$AK$5:$AK$64,MATCH($F614,사건마스터!$A$5:$A$64,0)),""))</f>
        <v/>
      </c>
      <c r="O614" s="35">
        <f>IF($F614="","",IFERROR(INDEX(사건마스터!$AL$5:$AL$64,MATCH($F614,사건마스터!$A$5:$A$64,0)),""))</f>
        <v/>
      </c>
      <c r="P614" s="35">
        <f>IF($F614="","",IFERROR(INDEX(사건마스터!$AM$5:$AM$64,MATCH($F614,사건마스터!$A$5:$A$64,0)),""))</f>
        <v/>
      </c>
      <c r="Q614" s="35">
        <f>IF($F614="","",IFERROR(INDEX(사건마스터!$AN$5:$AN$64,MATCH($F614,사건마스터!$A$5:$A$64,0)),""))</f>
        <v/>
      </c>
      <c r="R614" s="35">
        <f>IF($F614="","",IFERROR(INDEX(사건마스터!$AO$5:$AO$64,MATCH($F614,사건마스터!$A$5:$A$64,0)),""))</f>
        <v/>
      </c>
      <c r="S614" s="35">
        <f>IF($F614="","",IFERROR(INDEX(사건마스터!$AP$5:$AP$64,MATCH($F614,사건마스터!$A$5:$A$64,0)),""))</f>
        <v/>
      </c>
      <c r="T614" s="35">
        <f>IF($F614="","",IFERROR(INDEX(사건마스터!$AQ$5:$AQ$64,MATCH($F614,사건마스터!$A$5:$A$64,0)),""))</f>
        <v/>
      </c>
      <c r="U614" s="35">
        <f>IF($F614="","",IFERROR(INDEX(사건마스터!$AR$5:$AR$64,MATCH($F614,사건마스터!$A$5:$A$64,0)),""))</f>
        <v/>
      </c>
      <c r="V614" s="35">
        <f>IF($F614="","",IFERROR(INDEX(사건마스터!$AS$5:$AS$64,MATCH($F614,사건마스터!$A$5:$A$64,0)),""))</f>
        <v/>
      </c>
      <c r="W614" s="35">
        <f>IF($F614="","",IFERROR(INDEX(사건마스터!$AT$5:$AT$64,MATCH($F614,사건마스터!$A$5:$A$64,0)),""))</f>
        <v/>
      </c>
      <c r="X614" s="35">
        <f>IF($F614="","",IFERROR(INDEX(사건마스터!$AU$5:$AU$64,MATCH($F614,사건마스터!$A$5:$A$64,0)),""))</f>
        <v/>
      </c>
      <c r="Y614" s="35">
        <f>IF($F614="","",IFERROR(INDEX(사건마스터!$AV$5:$AV$64,MATCH($F614,사건마스터!$A$5:$A$64,0)),""))</f>
        <v/>
      </c>
      <c r="Z614" s="30">
        <f>IF(COUNTBLANK($J614:$Y614)=16,"",16-COUNTBLANK($J614:$Y614))</f>
        <v/>
      </c>
      <c r="AA614" s="33">
        <f>IF($J614="",MID($AX614,3,255),$J614&amp;$AX614)</f>
        <v/>
      </c>
      <c r="AB614" s="34">
        <f>IF($J614="","",IFERROR(INDEX(코드설정!$D$5:$D$24,MATCH($J614,코드설정!$C$5:$C$24,0)),""))</f>
        <v/>
      </c>
      <c r="AC614" s="36" t="n"/>
      <c r="AD614" s="37" t="n"/>
      <c r="AE614" s="38" t="n"/>
      <c r="AF614" s="30">
        <f>IF(OR($B614="",$C614=""),"",$C614-$B614+1)</f>
        <v/>
      </c>
      <c r="AG614" s="32" t="n"/>
      <c r="AH614" s="36" t="n"/>
      <c r="AJ614">
        <f>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  <c r="AX614">
        <f>AW614&amp;IF($Y614="","",", "&amp;$Y614)</f>
        <v/>
      </c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0">
        <f>IF($F615="","",COUNTIF($F$5:$F615,$F615))</f>
        <v/>
      </c>
      <c r="H615" s="33">
        <f>IF($F615="","",IFERROR(INDEX(사건마스터!$B$5:$B$64,MATCH($F615,사건마스터!$A$5:$A$64,0)),""))</f>
        <v/>
      </c>
      <c r="I615" s="34">
        <f>IF($F615="","",IFERROR(INDEX(사건마스터!$C$5:$C$64,MATCH($F615,사건마스터!$A$5:$A$64,0)),""))</f>
        <v/>
      </c>
      <c r="J615" s="35">
        <f>IF($F615="","",IFERROR(INDEX(사건마스터!$H$5:$H$64,MATCH($F615,사건마스터!$A$5:$A$64,0)),""))</f>
        <v/>
      </c>
      <c r="K615" s="35">
        <f>IF($F615="","",IFERROR(INDEX(사건마스터!$AH$5:$AH$64,MATCH($F615,사건마스터!$A$5:$A$64,0)),""))</f>
        <v/>
      </c>
      <c r="L615" s="35">
        <f>IF($F615="","",IFERROR(INDEX(사건마스터!$AI$5:$AI$64,MATCH($F615,사건마스터!$A$5:$A$64,0)),""))</f>
        <v/>
      </c>
      <c r="M615" s="35">
        <f>IF($F615="","",IFERROR(INDEX(사건마스터!$AJ$5:$AJ$64,MATCH($F615,사건마스터!$A$5:$A$64,0)),""))</f>
        <v/>
      </c>
      <c r="N615" s="35">
        <f>IF($F615="","",IFERROR(INDEX(사건마스터!$AK$5:$AK$64,MATCH($F615,사건마스터!$A$5:$A$64,0)),""))</f>
        <v/>
      </c>
      <c r="O615" s="35">
        <f>IF($F615="","",IFERROR(INDEX(사건마스터!$AL$5:$AL$64,MATCH($F615,사건마스터!$A$5:$A$64,0)),""))</f>
        <v/>
      </c>
      <c r="P615" s="35">
        <f>IF($F615="","",IFERROR(INDEX(사건마스터!$AM$5:$AM$64,MATCH($F615,사건마스터!$A$5:$A$64,0)),""))</f>
        <v/>
      </c>
      <c r="Q615" s="35">
        <f>IF($F615="","",IFERROR(INDEX(사건마스터!$AN$5:$AN$64,MATCH($F615,사건마스터!$A$5:$A$64,0)),""))</f>
        <v/>
      </c>
      <c r="R615" s="35">
        <f>IF($F615="","",IFERROR(INDEX(사건마스터!$AO$5:$AO$64,MATCH($F615,사건마스터!$A$5:$A$64,0)),""))</f>
        <v/>
      </c>
      <c r="S615" s="35">
        <f>IF($F615="","",IFERROR(INDEX(사건마스터!$AP$5:$AP$64,MATCH($F615,사건마스터!$A$5:$A$64,0)),""))</f>
        <v/>
      </c>
      <c r="T615" s="35">
        <f>IF($F615="","",IFERROR(INDEX(사건마스터!$AQ$5:$AQ$64,MATCH($F615,사건마스터!$A$5:$A$64,0)),""))</f>
        <v/>
      </c>
      <c r="U615" s="35">
        <f>IF($F615="","",IFERROR(INDEX(사건마스터!$AR$5:$AR$64,MATCH($F615,사건마스터!$A$5:$A$64,0)),""))</f>
        <v/>
      </c>
      <c r="V615" s="35">
        <f>IF($F615="","",IFERROR(INDEX(사건마스터!$AS$5:$AS$64,MATCH($F615,사건마스터!$A$5:$A$64,0)),""))</f>
        <v/>
      </c>
      <c r="W615" s="35">
        <f>IF($F615="","",IFERROR(INDEX(사건마스터!$AT$5:$AT$64,MATCH($F615,사건마스터!$A$5:$A$64,0)),""))</f>
        <v/>
      </c>
      <c r="X615" s="35">
        <f>IF($F615="","",IFERROR(INDEX(사건마스터!$AU$5:$AU$64,MATCH($F615,사건마스터!$A$5:$A$64,0)),""))</f>
        <v/>
      </c>
      <c r="Y615" s="35">
        <f>IF($F615="","",IFERROR(INDEX(사건마스터!$AV$5:$AV$64,MATCH($F615,사건마스터!$A$5:$A$64,0)),""))</f>
        <v/>
      </c>
      <c r="Z615" s="30">
        <f>IF(COUNTBLANK($J615:$Y615)=16,"",16-COUNTBLANK($J615:$Y615))</f>
        <v/>
      </c>
      <c r="AA615" s="33">
        <f>IF($J615="",MID($AX615,3,255),$J615&amp;$AX615)</f>
        <v/>
      </c>
      <c r="AB615" s="34">
        <f>IF($J615="","",IFERROR(INDEX(코드설정!$D$5:$D$24,MATCH($J615,코드설정!$C$5:$C$24,0)),""))</f>
        <v/>
      </c>
      <c r="AC615" s="36" t="n"/>
      <c r="AD615" s="37" t="n"/>
      <c r="AE615" s="38" t="n"/>
      <c r="AF615" s="30">
        <f>IF(OR($B615="",$C615=""),"",$C615-$B615+1)</f>
        <v/>
      </c>
      <c r="AG615" s="32" t="n"/>
      <c r="AH615" s="36" t="n"/>
      <c r="AJ615">
        <f>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  <c r="AX615">
        <f>AW615&amp;IF($Y615="","",", "&amp;$Y615)</f>
        <v/>
      </c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0">
        <f>IF($F616="","",COUNTIF($F$5:$F616,$F616))</f>
        <v/>
      </c>
      <c r="H616" s="33">
        <f>IF($F616="","",IFERROR(INDEX(사건마스터!$B$5:$B$64,MATCH($F616,사건마스터!$A$5:$A$64,0)),""))</f>
        <v/>
      </c>
      <c r="I616" s="34">
        <f>IF($F616="","",IFERROR(INDEX(사건마스터!$C$5:$C$64,MATCH($F616,사건마스터!$A$5:$A$64,0)),""))</f>
        <v/>
      </c>
      <c r="J616" s="35">
        <f>IF($F616="","",IFERROR(INDEX(사건마스터!$H$5:$H$64,MATCH($F616,사건마스터!$A$5:$A$64,0)),""))</f>
        <v/>
      </c>
      <c r="K616" s="35">
        <f>IF($F616="","",IFERROR(INDEX(사건마스터!$AH$5:$AH$64,MATCH($F616,사건마스터!$A$5:$A$64,0)),""))</f>
        <v/>
      </c>
      <c r="L616" s="35">
        <f>IF($F616="","",IFERROR(INDEX(사건마스터!$AI$5:$AI$64,MATCH($F616,사건마스터!$A$5:$A$64,0)),""))</f>
        <v/>
      </c>
      <c r="M616" s="35">
        <f>IF($F616="","",IFERROR(INDEX(사건마스터!$AJ$5:$AJ$64,MATCH($F616,사건마스터!$A$5:$A$64,0)),""))</f>
        <v/>
      </c>
      <c r="N616" s="35">
        <f>IF($F616="","",IFERROR(INDEX(사건마스터!$AK$5:$AK$64,MATCH($F616,사건마스터!$A$5:$A$64,0)),""))</f>
        <v/>
      </c>
      <c r="O616" s="35">
        <f>IF($F616="","",IFERROR(INDEX(사건마스터!$AL$5:$AL$64,MATCH($F616,사건마스터!$A$5:$A$64,0)),""))</f>
        <v/>
      </c>
      <c r="P616" s="35">
        <f>IF($F616="","",IFERROR(INDEX(사건마스터!$AM$5:$AM$64,MATCH($F616,사건마스터!$A$5:$A$64,0)),""))</f>
        <v/>
      </c>
      <c r="Q616" s="35">
        <f>IF($F616="","",IFERROR(INDEX(사건마스터!$AN$5:$AN$64,MATCH($F616,사건마스터!$A$5:$A$64,0)),""))</f>
        <v/>
      </c>
      <c r="R616" s="35">
        <f>IF($F616="","",IFERROR(INDEX(사건마스터!$AO$5:$AO$64,MATCH($F616,사건마스터!$A$5:$A$64,0)),""))</f>
        <v/>
      </c>
      <c r="S616" s="35">
        <f>IF($F616="","",IFERROR(INDEX(사건마스터!$AP$5:$AP$64,MATCH($F616,사건마스터!$A$5:$A$64,0)),""))</f>
        <v/>
      </c>
      <c r="T616" s="35">
        <f>IF($F616="","",IFERROR(INDEX(사건마스터!$AQ$5:$AQ$64,MATCH($F616,사건마스터!$A$5:$A$64,0)),""))</f>
        <v/>
      </c>
      <c r="U616" s="35">
        <f>IF($F616="","",IFERROR(INDEX(사건마스터!$AR$5:$AR$64,MATCH($F616,사건마스터!$A$5:$A$64,0)),""))</f>
        <v/>
      </c>
      <c r="V616" s="35">
        <f>IF($F616="","",IFERROR(INDEX(사건마스터!$AS$5:$AS$64,MATCH($F616,사건마스터!$A$5:$A$64,0)),""))</f>
        <v/>
      </c>
      <c r="W616" s="35">
        <f>IF($F616="","",IFERROR(INDEX(사건마스터!$AT$5:$AT$64,MATCH($F616,사건마스터!$A$5:$A$64,0)),""))</f>
        <v/>
      </c>
      <c r="X616" s="35">
        <f>IF($F616="","",IFERROR(INDEX(사건마스터!$AU$5:$AU$64,MATCH($F616,사건마스터!$A$5:$A$64,0)),""))</f>
        <v/>
      </c>
      <c r="Y616" s="35">
        <f>IF($F616="","",IFERROR(INDEX(사건마스터!$AV$5:$AV$64,MATCH($F616,사건마스터!$A$5:$A$64,0)),""))</f>
        <v/>
      </c>
      <c r="Z616" s="30">
        <f>IF(COUNTBLANK($J616:$Y616)=16,"",16-COUNTBLANK($J616:$Y616))</f>
        <v/>
      </c>
      <c r="AA616" s="33">
        <f>IF($J616="",MID($AX616,3,255),$J616&amp;$AX616)</f>
        <v/>
      </c>
      <c r="AB616" s="34">
        <f>IF($J616="","",IFERROR(INDEX(코드설정!$D$5:$D$24,MATCH($J616,코드설정!$C$5:$C$24,0)),""))</f>
        <v/>
      </c>
      <c r="AC616" s="36" t="n"/>
      <c r="AD616" s="37" t="n"/>
      <c r="AE616" s="38" t="n"/>
      <c r="AF616" s="30">
        <f>IF(OR($B616="",$C616=""),"",$C616-$B616+1)</f>
        <v/>
      </c>
      <c r="AG616" s="32" t="n"/>
      <c r="AH616" s="36" t="n"/>
      <c r="AJ616">
        <f>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  <c r="AX616">
        <f>AW616&amp;IF($Y616="","",", "&amp;$Y616)</f>
        <v/>
      </c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0">
        <f>IF($F617="","",COUNTIF($F$5:$F617,$F617))</f>
        <v/>
      </c>
      <c r="H617" s="33">
        <f>IF($F617="","",IFERROR(INDEX(사건마스터!$B$5:$B$64,MATCH($F617,사건마스터!$A$5:$A$64,0)),""))</f>
        <v/>
      </c>
      <c r="I617" s="34">
        <f>IF($F617="","",IFERROR(INDEX(사건마스터!$C$5:$C$64,MATCH($F617,사건마스터!$A$5:$A$64,0)),""))</f>
        <v/>
      </c>
      <c r="J617" s="35">
        <f>IF($F617="","",IFERROR(INDEX(사건마스터!$H$5:$H$64,MATCH($F617,사건마스터!$A$5:$A$64,0)),""))</f>
        <v/>
      </c>
      <c r="K617" s="35">
        <f>IF($F617="","",IFERROR(INDEX(사건마스터!$AH$5:$AH$64,MATCH($F617,사건마스터!$A$5:$A$64,0)),""))</f>
        <v/>
      </c>
      <c r="L617" s="35">
        <f>IF($F617="","",IFERROR(INDEX(사건마스터!$AI$5:$AI$64,MATCH($F617,사건마스터!$A$5:$A$64,0)),""))</f>
        <v/>
      </c>
      <c r="M617" s="35">
        <f>IF($F617="","",IFERROR(INDEX(사건마스터!$AJ$5:$AJ$64,MATCH($F617,사건마스터!$A$5:$A$64,0)),""))</f>
        <v/>
      </c>
      <c r="N617" s="35">
        <f>IF($F617="","",IFERROR(INDEX(사건마스터!$AK$5:$AK$64,MATCH($F617,사건마스터!$A$5:$A$64,0)),""))</f>
        <v/>
      </c>
      <c r="O617" s="35">
        <f>IF($F617="","",IFERROR(INDEX(사건마스터!$AL$5:$AL$64,MATCH($F617,사건마스터!$A$5:$A$64,0)),""))</f>
        <v/>
      </c>
      <c r="P617" s="35">
        <f>IF($F617="","",IFERROR(INDEX(사건마스터!$AM$5:$AM$64,MATCH($F617,사건마스터!$A$5:$A$64,0)),""))</f>
        <v/>
      </c>
      <c r="Q617" s="35">
        <f>IF($F617="","",IFERROR(INDEX(사건마스터!$AN$5:$AN$64,MATCH($F617,사건마스터!$A$5:$A$64,0)),""))</f>
        <v/>
      </c>
      <c r="R617" s="35">
        <f>IF($F617="","",IFERROR(INDEX(사건마스터!$AO$5:$AO$64,MATCH($F617,사건마스터!$A$5:$A$64,0)),""))</f>
        <v/>
      </c>
      <c r="S617" s="35">
        <f>IF($F617="","",IFERROR(INDEX(사건마스터!$AP$5:$AP$64,MATCH($F617,사건마스터!$A$5:$A$64,0)),""))</f>
        <v/>
      </c>
      <c r="T617" s="35">
        <f>IF($F617="","",IFERROR(INDEX(사건마스터!$AQ$5:$AQ$64,MATCH($F617,사건마스터!$A$5:$A$64,0)),""))</f>
        <v/>
      </c>
      <c r="U617" s="35">
        <f>IF($F617="","",IFERROR(INDEX(사건마스터!$AR$5:$AR$64,MATCH($F617,사건마스터!$A$5:$A$64,0)),""))</f>
        <v/>
      </c>
      <c r="V617" s="35">
        <f>IF($F617="","",IFERROR(INDEX(사건마스터!$AS$5:$AS$64,MATCH($F617,사건마스터!$A$5:$A$64,0)),""))</f>
        <v/>
      </c>
      <c r="W617" s="35">
        <f>IF($F617="","",IFERROR(INDEX(사건마스터!$AT$5:$AT$64,MATCH($F617,사건마스터!$A$5:$A$64,0)),""))</f>
        <v/>
      </c>
      <c r="X617" s="35">
        <f>IF($F617="","",IFERROR(INDEX(사건마스터!$AU$5:$AU$64,MATCH($F617,사건마스터!$A$5:$A$64,0)),""))</f>
        <v/>
      </c>
      <c r="Y617" s="35">
        <f>IF($F617="","",IFERROR(INDEX(사건마스터!$AV$5:$AV$64,MATCH($F617,사건마스터!$A$5:$A$64,0)),""))</f>
        <v/>
      </c>
      <c r="Z617" s="30">
        <f>IF(COUNTBLANK($J617:$Y617)=16,"",16-COUNTBLANK($J617:$Y617))</f>
        <v/>
      </c>
      <c r="AA617" s="33">
        <f>IF($J617="",MID($AX617,3,255),$J617&amp;$AX617)</f>
        <v/>
      </c>
      <c r="AB617" s="34">
        <f>IF($J617="","",IFERROR(INDEX(코드설정!$D$5:$D$24,MATCH($J617,코드설정!$C$5:$C$24,0)),""))</f>
        <v/>
      </c>
      <c r="AC617" s="36" t="n"/>
      <c r="AD617" s="37" t="n"/>
      <c r="AE617" s="38" t="n"/>
      <c r="AF617" s="30">
        <f>IF(OR($B617="",$C617=""),"",$C617-$B617+1)</f>
        <v/>
      </c>
      <c r="AG617" s="32" t="n"/>
      <c r="AH617" s="36" t="n"/>
      <c r="AJ617">
        <f>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  <c r="AX617">
        <f>AW617&amp;IF($Y617="","",", "&amp;$Y617)</f>
        <v/>
      </c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0">
        <f>IF($F618="","",COUNTIF($F$5:$F618,$F618))</f>
        <v/>
      </c>
      <c r="H618" s="33">
        <f>IF($F618="","",IFERROR(INDEX(사건마스터!$B$5:$B$64,MATCH($F618,사건마스터!$A$5:$A$64,0)),""))</f>
        <v/>
      </c>
      <c r="I618" s="34">
        <f>IF($F618="","",IFERROR(INDEX(사건마스터!$C$5:$C$64,MATCH($F618,사건마스터!$A$5:$A$64,0)),""))</f>
        <v/>
      </c>
      <c r="J618" s="35">
        <f>IF($F618="","",IFERROR(INDEX(사건마스터!$H$5:$H$64,MATCH($F618,사건마스터!$A$5:$A$64,0)),""))</f>
        <v/>
      </c>
      <c r="K618" s="35">
        <f>IF($F618="","",IFERROR(INDEX(사건마스터!$AH$5:$AH$64,MATCH($F618,사건마스터!$A$5:$A$64,0)),""))</f>
        <v/>
      </c>
      <c r="L618" s="35">
        <f>IF($F618="","",IFERROR(INDEX(사건마스터!$AI$5:$AI$64,MATCH($F618,사건마스터!$A$5:$A$64,0)),""))</f>
        <v/>
      </c>
      <c r="M618" s="35">
        <f>IF($F618="","",IFERROR(INDEX(사건마스터!$AJ$5:$AJ$64,MATCH($F618,사건마스터!$A$5:$A$64,0)),""))</f>
        <v/>
      </c>
      <c r="N618" s="35">
        <f>IF($F618="","",IFERROR(INDEX(사건마스터!$AK$5:$AK$64,MATCH($F618,사건마스터!$A$5:$A$64,0)),""))</f>
        <v/>
      </c>
      <c r="O618" s="35">
        <f>IF($F618="","",IFERROR(INDEX(사건마스터!$AL$5:$AL$64,MATCH($F618,사건마스터!$A$5:$A$64,0)),""))</f>
        <v/>
      </c>
      <c r="P618" s="35">
        <f>IF($F618="","",IFERROR(INDEX(사건마스터!$AM$5:$AM$64,MATCH($F618,사건마스터!$A$5:$A$64,0)),""))</f>
        <v/>
      </c>
      <c r="Q618" s="35">
        <f>IF($F618="","",IFERROR(INDEX(사건마스터!$AN$5:$AN$64,MATCH($F618,사건마스터!$A$5:$A$64,0)),""))</f>
        <v/>
      </c>
      <c r="R618" s="35">
        <f>IF($F618="","",IFERROR(INDEX(사건마스터!$AO$5:$AO$64,MATCH($F618,사건마스터!$A$5:$A$64,0)),""))</f>
        <v/>
      </c>
      <c r="S618" s="35">
        <f>IF($F618="","",IFERROR(INDEX(사건마스터!$AP$5:$AP$64,MATCH($F618,사건마스터!$A$5:$A$64,0)),""))</f>
        <v/>
      </c>
      <c r="T618" s="35">
        <f>IF($F618="","",IFERROR(INDEX(사건마스터!$AQ$5:$AQ$64,MATCH($F618,사건마스터!$A$5:$A$64,0)),""))</f>
        <v/>
      </c>
      <c r="U618" s="35">
        <f>IF($F618="","",IFERROR(INDEX(사건마스터!$AR$5:$AR$64,MATCH($F618,사건마스터!$A$5:$A$64,0)),""))</f>
        <v/>
      </c>
      <c r="V618" s="35">
        <f>IF($F618="","",IFERROR(INDEX(사건마스터!$AS$5:$AS$64,MATCH($F618,사건마스터!$A$5:$A$64,0)),""))</f>
        <v/>
      </c>
      <c r="W618" s="35">
        <f>IF($F618="","",IFERROR(INDEX(사건마스터!$AT$5:$AT$64,MATCH($F618,사건마스터!$A$5:$A$64,0)),""))</f>
        <v/>
      </c>
      <c r="X618" s="35">
        <f>IF($F618="","",IFERROR(INDEX(사건마스터!$AU$5:$AU$64,MATCH($F618,사건마스터!$A$5:$A$64,0)),""))</f>
        <v/>
      </c>
      <c r="Y618" s="35">
        <f>IF($F618="","",IFERROR(INDEX(사건마스터!$AV$5:$AV$64,MATCH($F618,사건마스터!$A$5:$A$64,0)),""))</f>
        <v/>
      </c>
      <c r="Z618" s="30">
        <f>IF(COUNTBLANK($J618:$Y618)=16,"",16-COUNTBLANK($J618:$Y618))</f>
        <v/>
      </c>
      <c r="AA618" s="33">
        <f>IF($J618="",MID($AX618,3,255),$J618&amp;$AX618)</f>
        <v/>
      </c>
      <c r="AB618" s="34">
        <f>IF($J618="","",IFERROR(INDEX(코드설정!$D$5:$D$24,MATCH($J618,코드설정!$C$5:$C$24,0)),""))</f>
        <v/>
      </c>
      <c r="AC618" s="36" t="n"/>
      <c r="AD618" s="37" t="n"/>
      <c r="AE618" s="38" t="n"/>
      <c r="AF618" s="30">
        <f>IF(OR($B618="",$C618=""),"",$C618-$B618+1)</f>
        <v/>
      </c>
      <c r="AG618" s="32" t="n"/>
      <c r="AH618" s="36" t="n"/>
      <c r="AJ618">
        <f>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  <c r="AX618">
        <f>AW618&amp;IF($Y618="","",", "&amp;$Y618)</f>
        <v/>
      </c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0">
        <f>IF($F619="","",COUNTIF($F$5:$F619,$F619))</f>
        <v/>
      </c>
      <c r="H619" s="33">
        <f>IF($F619="","",IFERROR(INDEX(사건마스터!$B$5:$B$64,MATCH($F619,사건마스터!$A$5:$A$64,0)),""))</f>
        <v/>
      </c>
      <c r="I619" s="34">
        <f>IF($F619="","",IFERROR(INDEX(사건마스터!$C$5:$C$64,MATCH($F619,사건마스터!$A$5:$A$64,0)),""))</f>
        <v/>
      </c>
      <c r="J619" s="35">
        <f>IF($F619="","",IFERROR(INDEX(사건마스터!$H$5:$H$64,MATCH($F619,사건마스터!$A$5:$A$64,0)),""))</f>
        <v/>
      </c>
      <c r="K619" s="35">
        <f>IF($F619="","",IFERROR(INDEX(사건마스터!$AH$5:$AH$64,MATCH($F619,사건마스터!$A$5:$A$64,0)),""))</f>
        <v/>
      </c>
      <c r="L619" s="35">
        <f>IF($F619="","",IFERROR(INDEX(사건마스터!$AI$5:$AI$64,MATCH($F619,사건마스터!$A$5:$A$64,0)),""))</f>
        <v/>
      </c>
      <c r="M619" s="35">
        <f>IF($F619="","",IFERROR(INDEX(사건마스터!$AJ$5:$AJ$64,MATCH($F619,사건마스터!$A$5:$A$64,0)),""))</f>
        <v/>
      </c>
      <c r="N619" s="35">
        <f>IF($F619="","",IFERROR(INDEX(사건마스터!$AK$5:$AK$64,MATCH($F619,사건마스터!$A$5:$A$64,0)),""))</f>
        <v/>
      </c>
      <c r="O619" s="35">
        <f>IF($F619="","",IFERROR(INDEX(사건마스터!$AL$5:$AL$64,MATCH($F619,사건마스터!$A$5:$A$64,0)),""))</f>
        <v/>
      </c>
      <c r="P619" s="35">
        <f>IF($F619="","",IFERROR(INDEX(사건마스터!$AM$5:$AM$64,MATCH($F619,사건마스터!$A$5:$A$64,0)),""))</f>
        <v/>
      </c>
      <c r="Q619" s="35">
        <f>IF($F619="","",IFERROR(INDEX(사건마스터!$AN$5:$AN$64,MATCH($F619,사건마스터!$A$5:$A$64,0)),""))</f>
        <v/>
      </c>
      <c r="R619" s="35">
        <f>IF($F619="","",IFERROR(INDEX(사건마스터!$AO$5:$AO$64,MATCH($F619,사건마스터!$A$5:$A$64,0)),""))</f>
        <v/>
      </c>
      <c r="S619" s="35">
        <f>IF($F619="","",IFERROR(INDEX(사건마스터!$AP$5:$AP$64,MATCH($F619,사건마스터!$A$5:$A$64,0)),""))</f>
        <v/>
      </c>
      <c r="T619" s="35">
        <f>IF($F619="","",IFERROR(INDEX(사건마스터!$AQ$5:$AQ$64,MATCH($F619,사건마스터!$A$5:$A$64,0)),""))</f>
        <v/>
      </c>
      <c r="U619" s="35">
        <f>IF($F619="","",IFERROR(INDEX(사건마스터!$AR$5:$AR$64,MATCH($F619,사건마스터!$A$5:$A$64,0)),""))</f>
        <v/>
      </c>
      <c r="V619" s="35">
        <f>IF($F619="","",IFERROR(INDEX(사건마스터!$AS$5:$AS$64,MATCH($F619,사건마스터!$A$5:$A$64,0)),""))</f>
        <v/>
      </c>
      <c r="W619" s="35">
        <f>IF($F619="","",IFERROR(INDEX(사건마스터!$AT$5:$AT$64,MATCH($F619,사건마스터!$A$5:$A$64,0)),""))</f>
        <v/>
      </c>
      <c r="X619" s="35">
        <f>IF($F619="","",IFERROR(INDEX(사건마스터!$AU$5:$AU$64,MATCH($F619,사건마스터!$A$5:$A$64,0)),""))</f>
        <v/>
      </c>
      <c r="Y619" s="35">
        <f>IF($F619="","",IFERROR(INDEX(사건마스터!$AV$5:$AV$64,MATCH($F619,사건마스터!$A$5:$A$64,0)),""))</f>
        <v/>
      </c>
      <c r="Z619" s="30">
        <f>IF(COUNTBLANK($J619:$Y619)=16,"",16-COUNTBLANK($J619:$Y619))</f>
        <v/>
      </c>
      <c r="AA619" s="33">
        <f>IF($J619="",MID($AX619,3,255),$J619&amp;$AX619)</f>
        <v/>
      </c>
      <c r="AB619" s="34">
        <f>IF($J619="","",IFERROR(INDEX(코드설정!$D$5:$D$24,MATCH($J619,코드설정!$C$5:$C$24,0)),""))</f>
        <v/>
      </c>
      <c r="AC619" s="36" t="n"/>
      <c r="AD619" s="37" t="n"/>
      <c r="AE619" s="38" t="n"/>
      <c r="AF619" s="30">
        <f>IF(OR($B619="",$C619=""),"",$C619-$B619+1)</f>
        <v/>
      </c>
      <c r="AG619" s="32" t="n"/>
      <c r="AH619" s="36" t="n"/>
      <c r="AJ619">
        <f>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  <c r="AX619">
        <f>AW619&amp;IF($Y619="","",", "&amp;$Y619)</f>
        <v/>
      </c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0">
        <f>IF($F620="","",COUNTIF($F$5:$F620,$F620))</f>
        <v/>
      </c>
      <c r="H620" s="33">
        <f>IF($F620="","",IFERROR(INDEX(사건마스터!$B$5:$B$64,MATCH($F620,사건마스터!$A$5:$A$64,0)),""))</f>
        <v/>
      </c>
      <c r="I620" s="34">
        <f>IF($F620="","",IFERROR(INDEX(사건마스터!$C$5:$C$64,MATCH($F620,사건마스터!$A$5:$A$64,0)),""))</f>
        <v/>
      </c>
      <c r="J620" s="35">
        <f>IF($F620="","",IFERROR(INDEX(사건마스터!$H$5:$H$64,MATCH($F620,사건마스터!$A$5:$A$64,0)),""))</f>
        <v/>
      </c>
      <c r="K620" s="35">
        <f>IF($F620="","",IFERROR(INDEX(사건마스터!$AH$5:$AH$64,MATCH($F620,사건마스터!$A$5:$A$64,0)),""))</f>
        <v/>
      </c>
      <c r="L620" s="35">
        <f>IF($F620="","",IFERROR(INDEX(사건마스터!$AI$5:$AI$64,MATCH($F620,사건마스터!$A$5:$A$64,0)),""))</f>
        <v/>
      </c>
      <c r="M620" s="35">
        <f>IF($F620="","",IFERROR(INDEX(사건마스터!$AJ$5:$AJ$64,MATCH($F620,사건마스터!$A$5:$A$64,0)),""))</f>
        <v/>
      </c>
      <c r="N620" s="35">
        <f>IF($F620="","",IFERROR(INDEX(사건마스터!$AK$5:$AK$64,MATCH($F620,사건마스터!$A$5:$A$64,0)),""))</f>
        <v/>
      </c>
      <c r="O620" s="35">
        <f>IF($F620="","",IFERROR(INDEX(사건마스터!$AL$5:$AL$64,MATCH($F620,사건마스터!$A$5:$A$64,0)),""))</f>
        <v/>
      </c>
      <c r="P620" s="35">
        <f>IF($F620="","",IFERROR(INDEX(사건마스터!$AM$5:$AM$64,MATCH($F620,사건마스터!$A$5:$A$64,0)),""))</f>
        <v/>
      </c>
      <c r="Q620" s="35">
        <f>IF($F620="","",IFERROR(INDEX(사건마스터!$AN$5:$AN$64,MATCH($F620,사건마스터!$A$5:$A$64,0)),""))</f>
        <v/>
      </c>
      <c r="R620" s="35">
        <f>IF($F620="","",IFERROR(INDEX(사건마스터!$AO$5:$AO$64,MATCH($F620,사건마스터!$A$5:$A$64,0)),""))</f>
        <v/>
      </c>
      <c r="S620" s="35">
        <f>IF($F620="","",IFERROR(INDEX(사건마스터!$AP$5:$AP$64,MATCH($F620,사건마스터!$A$5:$A$64,0)),""))</f>
        <v/>
      </c>
      <c r="T620" s="35">
        <f>IF($F620="","",IFERROR(INDEX(사건마스터!$AQ$5:$AQ$64,MATCH($F620,사건마스터!$A$5:$A$64,0)),""))</f>
        <v/>
      </c>
      <c r="U620" s="35">
        <f>IF($F620="","",IFERROR(INDEX(사건마스터!$AR$5:$AR$64,MATCH($F620,사건마스터!$A$5:$A$64,0)),""))</f>
        <v/>
      </c>
      <c r="V620" s="35">
        <f>IF($F620="","",IFERROR(INDEX(사건마스터!$AS$5:$AS$64,MATCH($F620,사건마스터!$A$5:$A$64,0)),""))</f>
        <v/>
      </c>
      <c r="W620" s="35">
        <f>IF($F620="","",IFERROR(INDEX(사건마스터!$AT$5:$AT$64,MATCH($F620,사건마스터!$A$5:$A$64,0)),""))</f>
        <v/>
      </c>
      <c r="X620" s="35">
        <f>IF($F620="","",IFERROR(INDEX(사건마스터!$AU$5:$AU$64,MATCH($F620,사건마스터!$A$5:$A$64,0)),""))</f>
        <v/>
      </c>
      <c r="Y620" s="35">
        <f>IF($F620="","",IFERROR(INDEX(사건마스터!$AV$5:$AV$64,MATCH($F620,사건마스터!$A$5:$A$64,0)),""))</f>
        <v/>
      </c>
      <c r="Z620" s="30">
        <f>IF(COUNTBLANK($J620:$Y620)=16,"",16-COUNTBLANK($J620:$Y620))</f>
        <v/>
      </c>
      <c r="AA620" s="33">
        <f>IF($J620="",MID($AX620,3,255),$J620&amp;$AX620)</f>
        <v/>
      </c>
      <c r="AB620" s="34">
        <f>IF($J620="","",IFERROR(INDEX(코드설정!$D$5:$D$24,MATCH($J620,코드설정!$C$5:$C$24,0)),""))</f>
        <v/>
      </c>
      <c r="AC620" s="36" t="n"/>
      <c r="AD620" s="37" t="n"/>
      <c r="AE620" s="38" t="n"/>
      <c r="AF620" s="30">
        <f>IF(OR($B620="",$C620=""),"",$C620-$B620+1)</f>
        <v/>
      </c>
      <c r="AG620" s="32" t="n"/>
      <c r="AH620" s="36" t="n"/>
      <c r="AJ620">
        <f>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  <c r="AX620">
        <f>AW620&amp;IF($Y620="","",", "&amp;$Y620)</f>
        <v/>
      </c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0">
        <f>IF($F621="","",COUNTIF($F$5:$F621,$F621))</f>
        <v/>
      </c>
      <c r="H621" s="33">
        <f>IF($F621="","",IFERROR(INDEX(사건마스터!$B$5:$B$64,MATCH($F621,사건마스터!$A$5:$A$64,0)),""))</f>
        <v/>
      </c>
      <c r="I621" s="34">
        <f>IF($F621="","",IFERROR(INDEX(사건마스터!$C$5:$C$64,MATCH($F621,사건마스터!$A$5:$A$64,0)),""))</f>
        <v/>
      </c>
      <c r="J621" s="35">
        <f>IF($F621="","",IFERROR(INDEX(사건마스터!$H$5:$H$64,MATCH($F621,사건마스터!$A$5:$A$64,0)),""))</f>
        <v/>
      </c>
      <c r="K621" s="35">
        <f>IF($F621="","",IFERROR(INDEX(사건마스터!$AH$5:$AH$64,MATCH($F621,사건마스터!$A$5:$A$64,0)),""))</f>
        <v/>
      </c>
      <c r="L621" s="35">
        <f>IF($F621="","",IFERROR(INDEX(사건마스터!$AI$5:$AI$64,MATCH($F621,사건마스터!$A$5:$A$64,0)),""))</f>
        <v/>
      </c>
      <c r="M621" s="35">
        <f>IF($F621="","",IFERROR(INDEX(사건마스터!$AJ$5:$AJ$64,MATCH($F621,사건마스터!$A$5:$A$64,0)),""))</f>
        <v/>
      </c>
      <c r="N621" s="35">
        <f>IF($F621="","",IFERROR(INDEX(사건마스터!$AK$5:$AK$64,MATCH($F621,사건마스터!$A$5:$A$64,0)),""))</f>
        <v/>
      </c>
      <c r="O621" s="35">
        <f>IF($F621="","",IFERROR(INDEX(사건마스터!$AL$5:$AL$64,MATCH($F621,사건마스터!$A$5:$A$64,0)),""))</f>
        <v/>
      </c>
      <c r="P621" s="35">
        <f>IF($F621="","",IFERROR(INDEX(사건마스터!$AM$5:$AM$64,MATCH($F621,사건마스터!$A$5:$A$64,0)),""))</f>
        <v/>
      </c>
      <c r="Q621" s="35">
        <f>IF($F621="","",IFERROR(INDEX(사건마스터!$AN$5:$AN$64,MATCH($F621,사건마스터!$A$5:$A$64,0)),""))</f>
        <v/>
      </c>
      <c r="R621" s="35">
        <f>IF($F621="","",IFERROR(INDEX(사건마스터!$AO$5:$AO$64,MATCH($F621,사건마스터!$A$5:$A$64,0)),""))</f>
        <v/>
      </c>
      <c r="S621" s="35">
        <f>IF($F621="","",IFERROR(INDEX(사건마스터!$AP$5:$AP$64,MATCH($F621,사건마스터!$A$5:$A$64,0)),""))</f>
        <v/>
      </c>
      <c r="T621" s="35">
        <f>IF($F621="","",IFERROR(INDEX(사건마스터!$AQ$5:$AQ$64,MATCH($F621,사건마스터!$A$5:$A$64,0)),""))</f>
        <v/>
      </c>
      <c r="U621" s="35">
        <f>IF($F621="","",IFERROR(INDEX(사건마스터!$AR$5:$AR$64,MATCH($F621,사건마스터!$A$5:$A$64,0)),""))</f>
        <v/>
      </c>
      <c r="V621" s="35">
        <f>IF($F621="","",IFERROR(INDEX(사건마스터!$AS$5:$AS$64,MATCH($F621,사건마스터!$A$5:$A$64,0)),""))</f>
        <v/>
      </c>
      <c r="W621" s="35">
        <f>IF($F621="","",IFERROR(INDEX(사건마스터!$AT$5:$AT$64,MATCH($F621,사건마스터!$A$5:$A$64,0)),""))</f>
        <v/>
      </c>
      <c r="X621" s="35">
        <f>IF($F621="","",IFERROR(INDEX(사건마스터!$AU$5:$AU$64,MATCH($F621,사건마스터!$A$5:$A$64,0)),""))</f>
        <v/>
      </c>
      <c r="Y621" s="35">
        <f>IF($F621="","",IFERROR(INDEX(사건마스터!$AV$5:$AV$64,MATCH($F621,사건마스터!$A$5:$A$64,0)),""))</f>
        <v/>
      </c>
      <c r="Z621" s="30">
        <f>IF(COUNTBLANK($J621:$Y621)=16,"",16-COUNTBLANK($J621:$Y621))</f>
        <v/>
      </c>
      <c r="AA621" s="33">
        <f>IF($J621="",MID($AX621,3,255),$J621&amp;$AX621)</f>
        <v/>
      </c>
      <c r="AB621" s="34">
        <f>IF($J621="","",IFERROR(INDEX(코드설정!$D$5:$D$24,MATCH($J621,코드설정!$C$5:$C$24,0)),""))</f>
        <v/>
      </c>
      <c r="AC621" s="36" t="n"/>
      <c r="AD621" s="37" t="n"/>
      <c r="AE621" s="38" t="n"/>
      <c r="AF621" s="30">
        <f>IF(OR($B621="",$C621=""),"",$C621-$B621+1)</f>
        <v/>
      </c>
      <c r="AG621" s="32" t="n"/>
      <c r="AH621" s="36" t="n"/>
      <c r="AJ621">
        <f>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  <c r="AX621">
        <f>AW621&amp;IF($Y621="","",", "&amp;$Y621)</f>
        <v/>
      </c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0">
        <f>IF($F622="","",COUNTIF($F$5:$F622,$F622))</f>
        <v/>
      </c>
      <c r="H622" s="33">
        <f>IF($F622="","",IFERROR(INDEX(사건마스터!$B$5:$B$64,MATCH($F622,사건마스터!$A$5:$A$64,0)),""))</f>
        <v/>
      </c>
      <c r="I622" s="34">
        <f>IF($F622="","",IFERROR(INDEX(사건마스터!$C$5:$C$64,MATCH($F622,사건마스터!$A$5:$A$64,0)),""))</f>
        <v/>
      </c>
      <c r="J622" s="35">
        <f>IF($F622="","",IFERROR(INDEX(사건마스터!$H$5:$H$64,MATCH($F622,사건마스터!$A$5:$A$64,0)),""))</f>
        <v/>
      </c>
      <c r="K622" s="35">
        <f>IF($F622="","",IFERROR(INDEX(사건마스터!$AH$5:$AH$64,MATCH($F622,사건마스터!$A$5:$A$64,0)),""))</f>
        <v/>
      </c>
      <c r="L622" s="35">
        <f>IF($F622="","",IFERROR(INDEX(사건마스터!$AI$5:$AI$64,MATCH($F622,사건마스터!$A$5:$A$64,0)),""))</f>
        <v/>
      </c>
      <c r="M622" s="35">
        <f>IF($F622="","",IFERROR(INDEX(사건마스터!$AJ$5:$AJ$64,MATCH($F622,사건마스터!$A$5:$A$64,0)),""))</f>
        <v/>
      </c>
      <c r="N622" s="35">
        <f>IF($F622="","",IFERROR(INDEX(사건마스터!$AK$5:$AK$64,MATCH($F622,사건마스터!$A$5:$A$64,0)),""))</f>
        <v/>
      </c>
      <c r="O622" s="35">
        <f>IF($F622="","",IFERROR(INDEX(사건마스터!$AL$5:$AL$64,MATCH($F622,사건마스터!$A$5:$A$64,0)),""))</f>
        <v/>
      </c>
      <c r="P622" s="35">
        <f>IF($F622="","",IFERROR(INDEX(사건마스터!$AM$5:$AM$64,MATCH($F622,사건마스터!$A$5:$A$64,0)),""))</f>
        <v/>
      </c>
      <c r="Q622" s="35">
        <f>IF($F622="","",IFERROR(INDEX(사건마스터!$AN$5:$AN$64,MATCH($F622,사건마스터!$A$5:$A$64,0)),""))</f>
        <v/>
      </c>
      <c r="R622" s="35">
        <f>IF($F622="","",IFERROR(INDEX(사건마스터!$AO$5:$AO$64,MATCH($F622,사건마스터!$A$5:$A$64,0)),""))</f>
        <v/>
      </c>
      <c r="S622" s="35">
        <f>IF($F622="","",IFERROR(INDEX(사건마스터!$AP$5:$AP$64,MATCH($F622,사건마스터!$A$5:$A$64,0)),""))</f>
        <v/>
      </c>
      <c r="T622" s="35">
        <f>IF($F622="","",IFERROR(INDEX(사건마스터!$AQ$5:$AQ$64,MATCH($F622,사건마스터!$A$5:$A$64,0)),""))</f>
        <v/>
      </c>
      <c r="U622" s="35">
        <f>IF($F622="","",IFERROR(INDEX(사건마스터!$AR$5:$AR$64,MATCH($F622,사건마스터!$A$5:$A$64,0)),""))</f>
        <v/>
      </c>
      <c r="V622" s="35">
        <f>IF($F622="","",IFERROR(INDEX(사건마스터!$AS$5:$AS$64,MATCH($F622,사건마스터!$A$5:$A$64,0)),""))</f>
        <v/>
      </c>
      <c r="W622" s="35">
        <f>IF($F622="","",IFERROR(INDEX(사건마스터!$AT$5:$AT$64,MATCH($F622,사건마스터!$A$5:$A$64,0)),""))</f>
        <v/>
      </c>
      <c r="X622" s="35">
        <f>IF($F622="","",IFERROR(INDEX(사건마스터!$AU$5:$AU$64,MATCH($F622,사건마스터!$A$5:$A$64,0)),""))</f>
        <v/>
      </c>
      <c r="Y622" s="35">
        <f>IF($F622="","",IFERROR(INDEX(사건마스터!$AV$5:$AV$64,MATCH($F622,사건마스터!$A$5:$A$64,0)),""))</f>
        <v/>
      </c>
      <c r="Z622" s="30">
        <f>IF(COUNTBLANK($J622:$Y622)=16,"",16-COUNTBLANK($J622:$Y622))</f>
        <v/>
      </c>
      <c r="AA622" s="33">
        <f>IF($J622="",MID($AX622,3,255),$J622&amp;$AX622)</f>
        <v/>
      </c>
      <c r="AB622" s="34">
        <f>IF($J622="","",IFERROR(INDEX(코드설정!$D$5:$D$24,MATCH($J622,코드설정!$C$5:$C$24,0)),""))</f>
        <v/>
      </c>
      <c r="AC622" s="36" t="n"/>
      <c r="AD622" s="37" t="n"/>
      <c r="AE622" s="38" t="n"/>
      <c r="AF622" s="30">
        <f>IF(OR($B622="",$C622=""),"",$C622-$B622+1)</f>
        <v/>
      </c>
      <c r="AG622" s="32" t="n"/>
      <c r="AH622" s="36" t="n"/>
      <c r="AJ622">
        <f>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  <c r="AX622">
        <f>AW622&amp;IF($Y622="","",", "&amp;$Y622)</f>
        <v/>
      </c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0">
        <f>IF($F623="","",COUNTIF($F$5:$F623,$F623))</f>
        <v/>
      </c>
      <c r="H623" s="33">
        <f>IF($F623="","",IFERROR(INDEX(사건마스터!$B$5:$B$64,MATCH($F623,사건마스터!$A$5:$A$64,0)),""))</f>
        <v/>
      </c>
      <c r="I623" s="34">
        <f>IF($F623="","",IFERROR(INDEX(사건마스터!$C$5:$C$64,MATCH($F623,사건마스터!$A$5:$A$64,0)),""))</f>
        <v/>
      </c>
      <c r="J623" s="35">
        <f>IF($F623="","",IFERROR(INDEX(사건마스터!$H$5:$H$64,MATCH($F623,사건마스터!$A$5:$A$64,0)),""))</f>
        <v/>
      </c>
      <c r="K623" s="35">
        <f>IF($F623="","",IFERROR(INDEX(사건마스터!$AH$5:$AH$64,MATCH($F623,사건마스터!$A$5:$A$64,0)),""))</f>
        <v/>
      </c>
      <c r="L623" s="35">
        <f>IF($F623="","",IFERROR(INDEX(사건마스터!$AI$5:$AI$64,MATCH($F623,사건마스터!$A$5:$A$64,0)),""))</f>
        <v/>
      </c>
      <c r="M623" s="35">
        <f>IF($F623="","",IFERROR(INDEX(사건마스터!$AJ$5:$AJ$64,MATCH($F623,사건마스터!$A$5:$A$64,0)),""))</f>
        <v/>
      </c>
      <c r="N623" s="35">
        <f>IF($F623="","",IFERROR(INDEX(사건마스터!$AK$5:$AK$64,MATCH($F623,사건마스터!$A$5:$A$64,0)),""))</f>
        <v/>
      </c>
      <c r="O623" s="35">
        <f>IF($F623="","",IFERROR(INDEX(사건마스터!$AL$5:$AL$64,MATCH($F623,사건마스터!$A$5:$A$64,0)),""))</f>
        <v/>
      </c>
      <c r="P623" s="35">
        <f>IF($F623="","",IFERROR(INDEX(사건마스터!$AM$5:$AM$64,MATCH($F623,사건마스터!$A$5:$A$64,0)),""))</f>
        <v/>
      </c>
      <c r="Q623" s="35">
        <f>IF($F623="","",IFERROR(INDEX(사건마스터!$AN$5:$AN$64,MATCH($F623,사건마스터!$A$5:$A$64,0)),""))</f>
        <v/>
      </c>
      <c r="R623" s="35">
        <f>IF($F623="","",IFERROR(INDEX(사건마스터!$AO$5:$AO$64,MATCH($F623,사건마스터!$A$5:$A$64,0)),""))</f>
        <v/>
      </c>
      <c r="S623" s="35">
        <f>IF($F623="","",IFERROR(INDEX(사건마스터!$AP$5:$AP$64,MATCH($F623,사건마스터!$A$5:$A$64,0)),""))</f>
        <v/>
      </c>
      <c r="T623" s="35">
        <f>IF($F623="","",IFERROR(INDEX(사건마스터!$AQ$5:$AQ$64,MATCH($F623,사건마스터!$A$5:$A$64,0)),""))</f>
        <v/>
      </c>
      <c r="U623" s="35">
        <f>IF($F623="","",IFERROR(INDEX(사건마스터!$AR$5:$AR$64,MATCH($F623,사건마스터!$A$5:$A$64,0)),""))</f>
        <v/>
      </c>
      <c r="V623" s="35">
        <f>IF($F623="","",IFERROR(INDEX(사건마스터!$AS$5:$AS$64,MATCH($F623,사건마스터!$A$5:$A$64,0)),""))</f>
        <v/>
      </c>
      <c r="W623" s="35">
        <f>IF($F623="","",IFERROR(INDEX(사건마스터!$AT$5:$AT$64,MATCH($F623,사건마스터!$A$5:$A$64,0)),""))</f>
        <v/>
      </c>
      <c r="X623" s="35">
        <f>IF($F623="","",IFERROR(INDEX(사건마스터!$AU$5:$AU$64,MATCH($F623,사건마스터!$A$5:$A$64,0)),""))</f>
        <v/>
      </c>
      <c r="Y623" s="35">
        <f>IF($F623="","",IFERROR(INDEX(사건마스터!$AV$5:$AV$64,MATCH($F623,사건마스터!$A$5:$A$64,0)),""))</f>
        <v/>
      </c>
      <c r="Z623" s="30">
        <f>IF(COUNTBLANK($J623:$Y623)=16,"",16-COUNTBLANK($J623:$Y623))</f>
        <v/>
      </c>
      <c r="AA623" s="33">
        <f>IF($J623="",MID($AX623,3,255),$J623&amp;$AX623)</f>
        <v/>
      </c>
      <c r="AB623" s="34">
        <f>IF($J623="","",IFERROR(INDEX(코드설정!$D$5:$D$24,MATCH($J623,코드설정!$C$5:$C$24,0)),""))</f>
        <v/>
      </c>
      <c r="AC623" s="36" t="n"/>
      <c r="AD623" s="37" t="n"/>
      <c r="AE623" s="38" t="n"/>
      <c r="AF623" s="30">
        <f>IF(OR($B623="",$C623=""),"",$C623-$B623+1)</f>
        <v/>
      </c>
      <c r="AG623" s="32" t="n"/>
      <c r="AH623" s="36" t="n"/>
      <c r="AJ623">
        <f>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  <c r="AX623">
        <f>AW623&amp;IF($Y623="","",", "&amp;$Y623)</f>
        <v/>
      </c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0">
        <f>IF($F624="","",COUNTIF($F$5:$F624,$F624))</f>
        <v/>
      </c>
      <c r="H624" s="33">
        <f>IF($F624="","",IFERROR(INDEX(사건마스터!$B$5:$B$64,MATCH($F624,사건마스터!$A$5:$A$64,0)),""))</f>
        <v/>
      </c>
      <c r="I624" s="34">
        <f>IF($F624="","",IFERROR(INDEX(사건마스터!$C$5:$C$64,MATCH($F624,사건마스터!$A$5:$A$64,0)),""))</f>
        <v/>
      </c>
      <c r="J624" s="35">
        <f>IF($F624="","",IFERROR(INDEX(사건마스터!$H$5:$H$64,MATCH($F624,사건마스터!$A$5:$A$64,0)),""))</f>
        <v/>
      </c>
      <c r="K624" s="35">
        <f>IF($F624="","",IFERROR(INDEX(사건마스터!$AH$5:$AH$64,MATCH($F624,사건마스터!$A$5:$A$64,0)),""))</f>
        <v/>
      </c>
      <c r="L624" s="35">
        <f>IF($F624="","",IFERROR(INDEX(사건마스터!$AI$5:$AI$64,MATCH($F624,사건마스터!$A$5:$A$64,0)),""))</f>
        <v/>
      </c>
      <c r="M624" s="35">
        <f>IF($F624="","",IFERROR(INDEX(사건마스터!$AJ$5:$AJ$64,MATCH($F624,사건마스터!$A$5:$A$64,0)),""))</f>
        <v/>
      </c>
      <c r="N624" s="35">
        <f>IF($F624="","",IFERROR(INDEX(사건마스터!$AK$5:$AK$64,MATCH($F624,사건마스터!$A$5:$A$64,0)),""))</f>
        <v/>
      </c>
      <c r="O624" s="35">
        <f>IF($F624="","",IFERROR(INDEX(사건마스터!$AL$5:$AL$64,MATCH($F624,사건마스터!$A$5:$A$64,0)),""))</f>
        <v/>
      </c>
      <c r="P624" s="35">
        <f>IF($F624="","",IFERROR(INDEX(사건마스터!$AM$5:$AM$64,MATCH($F624,사건마스터!$A$5:$A$64,0)),""))</f>
        <v/>
      </c>
      <c r="Q624" s="35">
        <f>IF($F624="","",IFERROR(INDEX(사건마스터!$AN$5:$AN$64,MATCH($F624,사건마스터!$A$5:$A$64,0)),""))</f>
        <v/>
      </c>
      <c r="R624" s="35">
        <f>IF($F624="","",IFERROR(INDEX(사건마스터!$AO$5:$AO$64,MATCH($F624,사건마스터!$A$5:$A$64,0)),""))</f>
        <v/>
      </c>
      <c r="S624" s="35">
        <f>IF($F624="","",IFERROR(INDEX(사건마스터!$AP$5:$AP$64,MATCH($F624,사건마스터!$A$5:$A$64,0)),""))</f>
        <v/>
      </c>
      <c r="T624" s="35">
        <f>IF($F624="","",IFERROR(INDEX(사건마스터!$AQ$5:$AQ$64,MATCH($F624,사건마스터!$A$5:$A$64,0)),""))</f>
        <v/>
      </c>
      <c r="U624" s="35">
        <f>IF($F624="","",IFERROR(INDEX(사건마스터!$AR$5:$AR$64,MATCH($F624,사건마스터!$A$5:$A$64,0)),""))</f>
        <v/>
      </c>
      <c r="V624" s="35">
        <f>IF($F624="","",IFERROR(INDEX(사건마스터!$AS$5:$AS$64,MATCH($F624,사건마스터!$A$5:$A$64,0)),""))</f>
        <v/>
      </c>
      <c r="W624" s="35">
        <f>IF($F624="","",IFERROR(INDEX(사건마스터!$AT$5:$AT$64,MATCH($F624,사건마스터!$A$5:$A$64,0)),""))</f>
        <v/>
      </c>
      <c r="X624" s="35">
        <f>IF($F624="","",IFERROR(INDEX(사건마스터!$AU$5:$AU$64,MATCH($F624,사건마스터!$A$5:$A$64,0)),""))</f>
        <v/>
      </c>
      <c r="Y624" s="35">
        <f>IF($F624="","",IFERROR(INDEX(사건마스터!$AV$5:$AV$64,MATCH($F624,사건마스터!$A$5:$A$64,0)),""))</f>
        <v/>
      </c>
      <c r="Z624" s="30">
        <f>IF(COUNTBLANK($J624:$Y624)=16,"",16-COUNTBLANK($J624:$Y624))</f>
        <v/>
      </c>
      <c r="AA624" s="33">
        <f>IF($J624="",MID($AX624,3,255),$J624&amp;$AX624)</f>
        <v/>
      </c>
      <c r="AB624" s="34">
        <f>IF($J624="","",IFERROR(INDEX(코드설정!$D$5:$D$24,MATCH($J624,코드설정!$C$5:$C$24,0)),""))</f>
        <v/>
      </c>
      <c r="AC624" s="36" t="n"/>
      <c r="AD624" s="37" t="n"/>
      <c r="AE624" s="38" t="n"/>
      <c r="AF624" s="30">
        <f>IF(OR($B624="",$C624=""),"",$C624-$B624+1)</f>
        <v/>
      </c>
      <c r="AG624" s="32" t="n"/>
      <c r="AH624" s="36" t="n"/>
      <c r="AJ624">
        <f>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  <c r="AX624">
        <f>AW624&amp;IF($Y624="","",", "&amp;$Y624)</f>
        <v/>
      </c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0">
        <f>IF($F625="","",COUNTIF($F$5:$F625,$F625))</f>
        <v/>
      </c>
      <c r="H625" s="33">
        <f>IF($F625="","",IFERROR(INDEX(사건마스터!$B$5:$B$64,MATCH($F625,사건마스터!$A$5:$A$64,0)),""))</f>
        <v/>
      </c>
      <c r="I625" s="34">
        <f>IF($F625="","",IFERROR(INDEX(사건마스터!$C$5:$C$64,MATCH($F625,사건마스터!$A$5:$A$64,0)),""))</f>
        <v/>
      </c>
      <c r="J625" s="35">
        <f>IF($F625="","",IFERROR(INDEX(사건마스터!$H$5:$H$64,MATCH($F625,사건마스터!$A$5:$A$64,0)),""))</f>
        <v/>
      </c>
      <c r="K625" s="35">
        <f>IF($F625="","",IFERROR(INDEX(사건마스터!$AH$5:$AH$64,MATCH($F625,사건마스터!$A$5:$A$64,0)),""))</f>
        <v/>
      </c>
      <c r="L625" s="35">
        <f>IF($F625="","",IFERROR(INDEX(사건마스터!$AI$5:$AI$64,MATCH($F625,사건마스터!$A$5:$A$64,0)),""))</f>
        <v/>
      </c>
      <c r="M625" s="35">
        <f>IF($F625="","",IFERROR(INDEX(사건마스터!$AJ$5:$AJ$64,MATCH($F625,사건마스터!$A$5:$A$64,0)),""))</f>
        <v/>
      </c>
      <c r="N625" s="35">
        <f>IF($F625="","",IFERROR(INDEX(사건마스터!$AK$5:$AK$64,MATCH($F625,사건마스터!$A$5:$A$64,0)),""))</f>
        <v/>
      </c>
      <c r="O625" s="35">
        <f>IF($F625="","",IFERROR(INDEX(사건마스터!$AL$5:$AL$64,MATCH($F625,사건마스터!$A$5:$A$64,0)),""))</f>
        <v/>
      </c>
      <c r="P625" s="35">
        <f>IF($F625="","",IFERROR(INDEX(사건마스터!$AM$5:$AM$64,MATCH($F625,사건마스터!$A$5:$A$64,0)),""))</f>
        <v/>
      </c>
      <c r="Q625" s="35">
        <f>IF($F625="","",IFERROR(INDEX(사건마스터!$AN$5:$AN$64,MATCH($F625,사건마스터!$A$5:$A$64,0)),""))</f>
        <v/>
      </c>
      <c r="R625" s="35">
        <f>IF($F625="","",IFERROR(INDEX(사건마스터!$AO$5:$AO$64,MATCH($F625,사건마스터!$A$5:$A$64,0)),""))</f>
        <v/>
      </c>
      <c r="S625" s="35">
        <f>IF($F625="","",IFERROR(INDEX(사건마스터!$AP$5:$AP$64,MATCH($F625,사건마스터!$A$5:$A$64,0)),""))</f>
        <v/>
      </c>
      <c r="T625" s="35">
        <f>IF($F625="","",IFERROR(INDEX(사건마스터!$AQ$5:$AQ$64,MATCH($F625,사건마스터!$A$5:$A$64,0)),""))</f>
        <v/>
      </c>
      <c r="U625" s="35">
        <f>IF($F625="","",IFERROR(INDEX(사건마스터!$AR$5:$AR$64,MATCH($F625,사건마스터!$A$5:$A$64,0)),""))</f>
        <v/>
      </c>
      <c r="V625" s="35">
        <f>IF($F625="","",IFERROR(INDEX(사건마스터!$AS$5:$AS$64,MATCH($F625,사건마스터!$A$5:$A$64,0)),""))</f>
        <v/>
      </c>
      <c r="W625" s="35">
        <f>IF($F625="","",IFERROR(INDEX(사건마스터!$AT$5:$AT$64,MATCH($F625,사건마스터!$A$5:$A$64,0)),""))</f>
        <v/>
      </c>
      <c r="X625" s="35">
        <f>IF($F625="","",IFERROR(INDEX(사건마스터!$AU$5:$AU$64,MATCH($F625,사건마스터!$A$5:$A$64,0)),""))</f>
        <v/>
      </c>
      <c r="Y625" s="35">
        <f>IF($F625="","",IFERROR(INDEX(사건마스터!$AV$5:$AV$64,MATCH($F625,사건마스터!$A$5:$A$64,0)),""))</f>
        <v/>
      </c>
      <c r="Z625" s="30">
        <f>IF(COUNTBLANK($J625:$Y625)=16,"",16-COUNTBLANK($J625:$Y625))</f>
        <v/>
      </c>
      <c r="AA625" s="33">
        <f>IF($J625="",MID($AX625,3,255),$J625&amp;$AX625)</f>
        <v/>
      </c>
      <c r="AB625" s="34">
        <f>IF($J625="","",IFERROR(INDEX(코드설정!$D$5:$D$24,MATCH($J625,코드설정!$C$5:$C$24,0)),""))</f>
        <v/>
      </c>
      <c r="AC625" s="36" t="n"/>
      <c r="AD625" s="37" t="n"/>
      <c r="AE625" s="38" t="n"/>
      <c r="AF625" s="30">
        <f>IF(OR($B625="",$C625=""),"",$C625-$B625+1)</f>
        <v/>
      </c>
      <c r="AG625" s="32" t="n"/>
      <c r="AH625" s="36" t="n"/>
      <c r="AJ625">
        <f>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  <c r="AX625">
        <f>AW625&amp;IF($Y625="","",", "&amp;$Y625)</f>
        <v/>
      </c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0">
        <f>IF($F626="","",COUNTIF($F$5:$F626,$F626))</f>
        <v/>
      </c>
      <c r="H626" s="33">
        <f>IF($F626="","",IFERROR(INDEX(사건마스터!$B$5:$B$64,MATCH($F626,사건마스터!$A$5:$A$64,0)),""))</f>
        <v/>
      </c>
      <c r="I626" s="34">
        <f>IF($F626="","",IFERROR(INDEX(사건마스터!$C$5:$C$64,MATCH($F626,사건마스터!$A$5:$A$64,0)),""))</f>
        <v/>
      </c>
      <c r="J626" s="35">
        <f>IF($F626="","",IFERROR(INDEX(사건마스터!$H$5:$H$64,MATCH($F626,사건마스터!$A$5:$A$64,0)),""))</f>
        <v/>
      </c>
      <c r="K626" s="35">
        <f>IF($F626="","",IFERROR(INDEX(사건마스터!$AH$5:$AH$64,MATCH($F626,사건마스터!$A$5:$A$64,0)),""))</f>
        <v/>
      </c>
      <c r="L626" s="35">
        <f>IF($F626="","",IFERROR(INDEX(사건마스터!$AI$5:$AI$64,MATCH($F626,사건마스터!$A$5:$A$64,0)),""))</f>
        <v/>
      </c>
      <c r="M626" s="35">
        <f>IF($F626="","",IFERROR(INDEX(사건마스터!$AJ$5:$AJ$64,MATCH($F626,사건마스터!$A$5:$A$64,0)),""))</f>
        <v/>
      </c>
      <c r="N626" s="35">
        <f>IF($F626="","",IFERROR(INDEX(사건마스터!$AK$5:$AK$64,MATCH($F626,사건마스터!$A$5:$A$64,0)),""))</f>
        <v/>
      </c>
      <c r="O626" s="35">
        <f>IF($F626="","",IFERROR(INDEX(사건마스터!$AL$5:$AL$64,MATCH($F626,사건마스터!$A$5:$A$64,0)),""))</f>
        <v/>
      </c>
      <c r="P626" s="35">
        <f>IF($F626="","",IFERROR(INDEX(사건마스터!$AM$5:$AM$64,MATCH($F626,사건마스터!$A$5:$A$64,0)),""))</f>
        <v/>
      </c>
      <c r="Q626" s="35">
        <f>IF($F626="","",IFERROR(INDEX(사건마스터!$AN$5:$AN$64,MATCH($F626,사건마스터!$A$5:$A$64,0)),""))</f>
        <v/>
      </c>
      <c r="R626" s="35">
        <f>IF($F626="","",IFERROR(INDEX(사건마스터!$AO$5:$AO$64,MATCH($F626,사건마스터!$A$5:$A$64,0)),""))</f>
        <v/>
      </c>
      <c r="S626" s="35">
        <f>IF($F626="","",IFERROR(INDEX(사건마스터!$AP$5:$AP$64,MATCH($F626,사건마스터!$A$5:$A$64,0)),""))</f>
        <v/>
      </c>
      <c r="T626" s="35">
        <f>IF($F626="","",IFERROR(INDEX(사건마스터!$AQ$5:$AQ$64,MATCH($F626,사건마스터!$A$5:$A$64,0)),""))</f>
        <v/>
      </c>
      <c r="U626" s="35">
        <f>IF($F626="","",IFERROR(INDEX(사건마스터!$AR$5:$AR$64,MATCH($F626,사건마스터!$A$5:$A$64,0)),""))</f>
        <v/>
      </c>
      <c r="V626" s="35">
        <f>IF($F626="","",IFERROR(INDEX(사건마스터!$AS$5:$AS$64,MATCH($F626,사건마스터!$A$5:$A$64,0)),""))</f>
        <v/>
      </c>
      <c r="W626" s="35">
        <f>IF($F626="","",IFERROR(INDEX(사건마스터!$AT$5:$AT$64,MATCH($F626,사건마스터!$A$5:$A$64,0)),""))</f>
        <v/>
      </c>
      <c r="X626" s="35">
        <f>IF($F626="","",IFERROR(INDEX(사건마스터!$AU$5:$AU$64,MATCH($F626,사건마스터!$A$5:$A$64,0)),""))</f>
        <v/>
      </c>
      <c r="Y626" s="35">
        <f>IF($F626="","",IFERROR(INDEX(사건마스터!$AV$5:$AV$64,MATCH($F626,사건마스터!$A$5:$A$64,0)),""))</f>
        <v/>
      </c>
      <c r="Z626" s="30">
        <f>IF(COUNTBLANK($J626:$Y626)=16,"",16-COUNTBLANK($J626:$Y626))</f>
        <v/>
      </c>
      <c r="AA626" s="33">
        <f>IF($J626="",MID($AX626,3,255),$J626&amp;$AX626)</f>
        <v/>
      </c>
      <c r="AB626" s="34">
        <f>IF($J626="","",IFERROR(INDEX(코드설정!$D$5:$D$24,MATCH($J626,코드설정!$C$5:$C$24,0)),""))</f>
        <v/>
      </c>
      <c r="AC626" s="36" t="n"/>
      <c r="AD626" s="37" t="n"/>
      <c r="AE626" s="38" t="n"/>
      <c r="AF626" s="30">
        <f>IF(OR($B626="",$C626=""),"",$C626-$B626+1)</f>
        <v/>
      </c>
      <c r="AG626" s="32" t="n"/>
      <c r="AH626" s="36" t="n"/>
      <c r="AJ626">
        <f>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  <c r="AX626">
        <f>AW626&amp;IF($Y626="","",", "&amp;$Y626)</f>
        <v/>
      </c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0">
        <f>IF($F627="","",COUNTIF($F$5:$F627,$F627))</f>
        <v/>
      </c>
      <c r="H627" s="33">
        <f>IF($F627="","",IFERROR(INDEX(사건마스터!$B$5:$B$64,MATCH($F627,사건마스터!$A$5:$A$64,0)),""))</f>
        <v/>
      </c>
      <c r="I627" s="34">
        <f>IF($F627="","",IFERROR(INDEX(사건마스터!$C$5:$C$64,MATCH($F627,사건마스터!$A$5:$A$64,0)),""))</f>
        <v/>
      </c>
      <c r="J627" s="35">
        <f>IF($F627="","",IFERROR(INDEX(사건마스터!$H$5:$H$64,MATCH($F627,사건마스터!$A$5:$A$64,0)),""))</f>
        <v/>
      </c>
      <c r="K627" s="35">
        <f>IF($F627="","",IFERROR(INDEX(사건마스터!$AH$5:$AH$64,MATCH($F627,사건마스터!$A$5:$A$64,0)),""))</f>
        <v/>
      </c>
      <c r="L627" s="35">
        <f>IF($F627="","",IFERROR(INDEX(사건마스터!$AI$5:$AI$64,MATCH($F627,사건마스터!$A$5:$A$64,0)),""))</f>
        <v/>
      </c>
      <c r="M627" s="35">
        <f>IF($F627="","",IFERROR(INDEX(사건마스터!$AJ$5:$AJ$64,MATCH($F627,사건마스터!$A$5:$A$64,0)),""))</f>
        <v/>
      </c>
      <c r="N627" s="35">
        <f>IF($F627="","",IFERROR(INDEX(사건마스터!$AK$5:$AK$64,MATCH($F627,사건마스터!$A$5:$A$64,0)),""))</f>
        <v/>
      </c>
      <c r="O627" s="35">
        <f>IF($F627="","",IFERROR(INDEX(사건마스터!$AL$5:$AL$64,MATCH($F627,사건마스터!$A$5:$A$64,0)),""))</f>
        <v/>
      </c>
      <c r="P627" s="35">
        <f>IF($F627="","",IFERROR(INDEX(사건마스터!$AM$5:$AM$64,MATCH($F627,사건마스터!$A$5:$A$64,0)),""))</f>
        <v/>
      </c>
      <c r="Q627" s="35">
        <f>IF($F627="","",IFERROR(INDEX(사건마스터!$AN$5:$AN$64,MATCH($F627,사건마스터!$A$5:$A$64,0)),""))</f>
        <v/>
      </c>
      <c r="R627" s="35">
        <f>IF($F627="","",IFERROR(INDEX(사건마스터!$AO$5:$AO$64,MATCH($F627,사건마스터!$A$5:$A$64,0)),""))</f>
        <v/>
      </c>
      <c r="S627" s="35">
        <f>IF($F627="","",IFERROR(INDEX(사건마스터!$AP$5:$AP$64,MATCH($F627,사건마스터!$A$5:$A$64,0)),""))</f>
        <v/>
      </c>
      <c r="T627" s="35">
        <f>IF($F627="","",IFERROR(INDEX(사건마스터!$AQ$5:$AQ$64,MATCH($F627,사건마스터!$A$5:$A$64,0)),""))</f>
        <v/>
      </c>
      <c r="U627" s="35">
        <f>IF($F627="","",IFERROR(INDEX(사건마스터!$AR$5:$AR$64,MATCH($F627,사건마스터!$A$5:$A$64,0)),""))</f>
        <v/>
      </c>
      <c r="V627" s="35">
        <f>IF($F627="","",IFERROR(INDEX(사건마스터!$AS$5:$AS$64,MATCH($F627,사건마스터!$A$5:$A$64,0)),""))</f>
        <v/>
      </c>
      <c r="W627" s="35">
        <f>IF($F627="","",IFERROR(INDEX(사건마스터!$AT$5:$AT$64,MATCH($F627,사건마스터!$A$5:$A$64,0)),""))</f>
        <v/>
      </c>
      <c r="X627" s="35">
        <f>IF($F627="","",IFERROR(INDEX(사건마스터!$AU$5:$AU$64,MATCH($F627,사건마스터!$A$5:$A$64,0)),""))</f>
        <v/>
      </c>
      <c r="Y627" s="35">
        <f>IF($F627="","",IFERROR(INDEX(사건마스터!$AV$5:$AV$64,MATCH($F627,사건마스터!$A$5:$A$64,0)),""))</f>
        <v/>
      </c>
      <c r="Z627" s="30">
        <f>IF(COUNTBLANK($J627:$Y627)=16,"",16-COUNTBLANK($J627:$Y627))</f>
        <v/>
      </c>
      <c r="AA627" s="33">
        <f>IF($J627="",MID($AX627,3,255),$J627&amp;$AX627)</f>
        <v/>
      </c>
      <c r="AB627" s="34">
        <f>IF($J627="","",IFERROR(INDEX(코드설정!$D$5:$D$24,MATCH($J627,코드설정!$C$5:$C$24,0)),""))</f>
        <v/>
      </c>
      <c r="AC627" s="36" t="n"/>
      <c r="AD627" s="37" t="n"/>
      <c r="AE627" s="38" t="n"/>
      <c r="AF627" s="30">
        <f>IF(OR($B627="",$C627=""),"",$C627-$B627+1)</f>
        <v/>
      </c>
      <c r="AG627" s="32" t="n"/>
      <c r="AH627" s="36" t="n"/>
      <c r="AJ627">
        <f>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  <c r="AX627">
        <f>AW627&amp;IF($Y627="","",", "&amp;$Y627)</f>
        <v/>
      </c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0">
        <f>IF($F628="","",COUNTIF($F$5:$F628,$F628))</f>
        <v/>
      </c>
      <c r="H628" s="33">
        <f>IF($F628="","",IFERROR(INDEX(사건마스터!$B$5:$B$64,MATCH($F628,사건마스터!$A$5:$A$64,0)),""))</f>
        <v/>
      </c>
      <c r="I628" s="34">
        <f>IF($F628="","",IFERROR(INDEX(사건마스터!$C$5:$C$64,MATCH($F628,사건마스터!$A$5:$A$64,0)),""))</f>
        <v/>
      </c>
      <c r="J628" s="35">
        <f>IF($F628="","",IFERROR(INDEX(사건마스터!$H$5:$H$64,MATCH($F628,사건마스터!$A$5:$A$64,0)),""))</f>
        <v/>
      </c>
      <c r="K628" s="35">
        <f>IF($F628="","",IFERROR(INDEX(사건마스터!$AH$5:$AH$64,MATCH($F628,사건마스터!$A$5:$A$64,0)),""))</f>
        <v/>
      </c>
      <c r="L628" s="35">
        <f>IF($F628="","",IFERROR(INDEX(사건마스터!$AI$5:$AI$64,MATCH($F628,사건마스터!$A$5:$A$64,0)),""))</f>
        <v/>
      </c>
      <c r="M628" s="35">
        <f>IF($F628="","",IFERROR(INDEX(사건마스터!$AJ$5:$AJ$64,MATCH($F628,사건마스터!$A$5:$A$64,0)),""))</f>
        <v/>
      </c>
      <c r="N628" s="35">
        <f>IF($F628="","",IFERROR(INDEX(사건마스터!$AK$5:$AK$64,MATCH($F628,사건마스터!$A$5:$A$64,0)),""))</f>
        <v/>
      </c>
      <c r="O628" s="35">
        <f>IF($F628="","",IFERROR(INDEX(사건마스터!$AL$5:$AL$64,MATCH($F628,사건마스터!$A$5:$A$64,0)),""))</f>
        <v/>
      </c>
      <c r="P628" s="35">
        <f>IF($F628="","",IFERROR(INDEX(사건마스터!$AM$5:$AM$64,MATCH($F628,사건마스터!$A$5:$A$64,0)),""))</f>
        <v/>
      </c>
      <c r="Q628" s="35">
        <f>IF($F628="","",IFERROR(INDEX(사건마스터!$AN$5:$AN$64,MATCH($F628,사건마스터!$A$5:$A$64,0)),""))</f>
        <v/>
      </c>
      <c r="R628" s="35">
        <f>IF($F628="","",IFERROR(INDEX(사건마스터!$AO$5:$AO$64,MATCH($F628,사건마스터!$A$5:$A$64,0)),""))</f>
        <v/>
      </c>
      <c r="S628" s="35">
        <f>IF($F628="","",IFERROR(INDEX(사건마스터!$AP$5:$AP$64,MATCH($F628,사건마스터!$A$5:$A$64,0)),""))</f>
        <v/>
      </c>
      <c r="T628" s="35">
        <f>IF($F628="","",IFERROR(INDEX(사건마스터!$AQ$5:$AQ$64,MATCH($F628,사건마스터!$A$5:$A$64,0)),""))</f>
        <v/>
      </c>
      <c r="U628" s="35">
        <f>IF($F628="","",IFERROR(INDEX(사건마스터!$AR$5:$AR$64,MATCH($F628,사건마스터!$A$5:$A$64,0)),""))</f>
        <v/>
      </c>
      <c r="V628" s="35">
        <f>IF($F628="","",IFERROR(INDEX(사건마스터!$AS$5:$AS$64,MATCH($F628,사건마스터!$A$5:$A$64,0)),""))</f>
        <v/>
      </c>
      <c r="W628" s="35">
        <f>IF($F628="","",IFERROR(INDEX(사건마스터!$AT$5:$AT$64,MATCH($F628,사건마스터!$A$5:$A$64,0)),""))</f>
        <v/>
      </c>
      <c r="X628" s="35">
        <f>IF($F628="","",IFERROR(INDEX(사건마스터!$AU$5:$AU$64,MATCH($F628,사건마스터!$A$5:$A$64,0)),""))</f>
        <v/>
      </c>
      <c r="Y628" s="35">
        <f>IF($F628="","",IFERROR(INDEX(사건마스터!$AV$5:$AV$64,MATCH($F628,사건마스터!$A$5:$A$64,0)),""))</f>
        <v/>
      </c>
      <c r="Z628" s="30">
        <f>IF(COUNTBLANK($J628:$Y628)=16,"",16-COUNTBLANK($J628:$Y628))</f>
        <v/>
      </c>
      <c r="AA628" s="33">
        <f>IF($J628="",MID($AX628,3,255),$J628&amp;$AX628)</f>
        <v/>
      </c>
      <c r="AB628" s="34">
        <f>IF($J628="","",IFERROR(INDEX(코드설정!$D$5:$D$24,MATCH($J628,코드설정!$C$5:$C$24,0)),""))</f>
        <v/>
      </c>
      <c r="AC628" s="36" t="n"/>
      <c r="AD628" s="37" t="n"/>
      <c r="AE628" s="38" t="n"/>
      <c r="AF628" s="30">
        <f>IF(OR($B628="",$C628=""),"",$C628-$B628+1)</f>
        <v/>
      </c>
      <c r="AG628" s="32" t="n"/>
      <c r="AH628" s="36" t="n"/>
      <c r="AJ628">
        <f>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  <c r="AX628">
        <f>AW628&amp;IF($Y628="","",", "&amp;$Y628)</f>
        <v/>
      </c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0">
        <f>IF($F629="","",COUNTIF($F$5:$F629,$F629))</f>
        <v/>
      </c>
      <c r="H629" s="33">
        <f>IF($F629="","",IFERROR(INDEX(사건마스터!$B$5:$B$64,MATCH($F629,사건마스터!$A$5:$A$64,0)),""))</f>
        <v/>
      </c>
      <c r="I629" s="34">
        <f>IF($F629="","",IFERROR(INDEX(사건마스터!$C$5:$C$64,MATCH($F629,사건마스터!$A$5:$A$64,0)),""))</f>
        <v/>
      </c>
      <c r="J629" s="35">
        <f>IF($F629="","",IFERROR(INDEX(사건마스터!$H$5:$H$64,MATCH($F629,사건마스터!$A$5:$A$64,0)),""))</f>
        <v/>
      </c>
      <c r="K629" s="35">
        <f>IF($F629="","",IFERROR(INDEX(사건마스터!$AH$5:$AH$64,MATCH($F629,사건마스터!$A$5:$A$64,0)),""))</f>
        <v/>
      </c>
      <c r="L629" s="35">
        <f>IF($F629="","",IFERROR(INDEX(사건마스터!$AI$5:$AI$64,MATCH($F629,사건마스터!$A$5:$A$64,0)),""))</f>
        <v/>
      </c>
      <c r="M629" s="35">
        <f>IF($F629="","",IFERROR(INDEX(사건마스터!$AJ$5:$AJ$64,MATCH($F629,사건마스터!$A$5:$A$64,0)),""))</f>
        <v/>
      </c>
      <c r="N629" s="35">
        <f>IF($F629="","",IFERROR(INDEX(사건마스터!$AK$5:$AK$64,MATCH($F629,사건마스터!$A$5:$A$64,0)),""))</f>
        <v/>
      </c>
      <c r="O629" s="35">
        <f>IF($F629="","",IFERROR(INDEX(사건마스터!$AL$5:$AL$64,MATCH($F629,사건마스터!$A$5:$A$64,0)),""))</f>
        <v/>
      </c>
      <c r="P629" s="35">
        <f>IF($F629="","",IFERROR(INDEX(사건마스터!$AM$5:$AM$64,MATCH($F629,사건마스터!$A$5:$A$64,0)),""))</f>
        <v/>
      </c>
      <c r="Q629" s="35">
        <f>IF($F629="","",IFERROR(INDEX(사건마스터!$AN$5:$AN$64,MATCH($F629,사건마스터!$A$5:$A$64,0)),""))</f>
        <v/>
      </c>
      <c r="R629" s="35">
        <f>IF($F629="","",IFERROR(INDEX(사건마스터!$AO$5:$AO$64,MATCH($F629,사건마스터!$A$5:$A$64,0)),""))</f>
        <v/>
      </c>
      <c r="S629" s="35">
        <f>IF($F629="","",IFERROR(INDEX(사건마스터!$AP$5:$AP$64,MATCH($F629,사건마스터!$A$5:$A$64,0)),""))</f>
        <v/>
      </c>
      <c r="T629" s="35">
        <f>IF($F629="","",IFERROR(INDEX(사건마스터!$AQ$5:$AQ$64,MATCH($F629,사건마스터!$A$5:$A$64,0)),""))</f>
        <v/>
      </c>
      <c r="U629" s="35">
        <f>IF($F629="","",IFERROR(INDEX(사건마스터!$AR$5:$AR$64,MATCH($F629,사건마스터!$A$5:$A$64,0)),""))</f>
        <v/>
      </c>
      <c r="V629" s="35">
        <f>IF($F629="","",IFERROR(INDEX(사건마스터!$AS$5:$AS$64,MATCH($F629,사건마스터!$A$5:$A$64,0)),""))</f>
        <v/>
      </c>
      <c r="W629" s="35">
        <f>IF($F629="","",IFERROR(INDEX(사건마스터!$AT$5:$AT$64,MATCH($F629,사건마스터!$A$5:$A$64,0)),""))</f>
        <v/>
      </c>
      <c r="X629" s="35">
        <f>IF($F629="","",IFERROR(INDEX(사건마스터!$AU$5:$AU$64,MATCH($F629,사건마스터!$A$5:$A$64,0)),""))</f>
        <v/>
      </c>
      <c r="Y629" s="35">
        <f>IF($F629="","",IFERROR(INDEX(사건마스터!$AV$5:$AV$64,MATCH($F629,사건마스터!$A$5:$A$64,0)),""))</f>
        <v/>
      </c>
      <c r="Z629" s="30">
        <f>IF(COUNTBLANK($J629:$Y629)=16,"",16-COUNTBLANK($J629:$Y629))</f>
        <v/>
      </c>
      <c r="AA629" s="33">
        <f>IF($J629="",MID($AX629,3,255),$J629&amp;$AX629)</f>
        <v/>
      </c>
      <c r="AB629" s="34">
        <f>IF($J629="","",IFERROR(INDEX(코드설정!$D$5:$D$24,MATCH($J629,코드설정!$C$5:$C$24,0)),""))</f>
        <v/>
      </c>
      <c r="AC629" s="36" t="n"/>
      <c r="AD629" s="37" t="n"/>
      <c r="AE629" s="38" t="n"/>
      <c r="AF629" s="30">
        <f>IF(OR($B629="",$C629=""),"",$C629-$B629+1)</f>
        <v/>
      </c>
      <c r="AG629" s="32" t="n"/>
      <c r="AH629" s="36" t="n"/>
      <c r="AJ629">
        <f>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  <c r="AX629">
        <f>AW629&amp;IF($Y629="","",", "&amp;$Y629)</f>
        <v/>
      </c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0">
        <f>IF($F630="","",COUNTIF($F$5:$F630,$F630))</f>
        <v/>
      </c>
      <c r="H630" s="33">
        <f>IF($F630="","",IFERROR(INDEX(사건마스터!$B$5:$B$64,MATCH($F630,사건마스터!$A$5:$A$64,0)),""))</f>
        <v/>
      </c>
      <c r="I630" s="34">
        <f>IF($F630="","",IFERROR(INDEX(사건마스터!$C$5:$C$64,MATCH($F630,사건마스터!$A$5:$A$64,0)),""))</f>
        <v/>
      </c>
      <c r="J630" s="35">
        <f>IF($F630="","",IFERROR(INDEX(사건마스터!$H$5:$H$64,MATCH($F630,사건마스터!$A$5:$A$64,0)),""))</f>
        <v/>
      </c>
      <c r="K630" s="35">
        <f>IF($F630="","",IFERROR(INDEX(사건마스터!$AH$5:$AH$64,MATCH($F630,사건마스터!$A$5:$A$64,0)),""))</f>
        <v/>
      </c>
      <c r="L630" s="35">
        <f>IF($F630="","",IFERROR(INDEX(사건마스터!$AI$5:$AI$64,MATCH($F630,사건마스터!$A$5:$A$64,0)),""))</f>
        <v/>
      </c>
      <c r="M630" s="35">
        <f>IF($F630="","",IFERROR(INDEX(사건마스터!$AJ$5:$AJ$64,MATCH($F630,사건마스터!$A$5:$A$64,0)),""))</f>
        <v/>
      </c>
      <c r="N630" s="35">
        <f>IF($F630="","",IFERROR(INDEX(사건마스터!$AK$5:$AK$64,MATCH($F630,사건마스터!$A$5:$A$64,0)),""))</f>
        <v/>
      </c>
      <c r="O630" s="35">
        <f>IF($F630="","",IFERROR(INDEX(사건마스터!$AL$5:$AL$64,MATCH($F630,사건마스터!$A$5:$A$64,0)),""))</f>
        <v/>
      </c>
      <c r="P630" s="35">
        <f>IF($F630="","",IFERROR(INDEX(사건마스터!$AM$5:$AM$64,MATCH($F630,사건마스터!$A$5:$A$64,0)),""))</f>
        <v/>
      </c>
      <c r="Q630" s="35">
        <f>IF($F630="","",IFERROR(INDEX(사건마스터!$AN$5:$AN$64,MATCH($F630,사건마스터!$A$5:$A$64,0)),""))</f>
        <v/>
      </c>
      <c r="R630" s="35">
        <f>IF($F630="","",IFERROR(INDEX(사건마스터!$AO$5:$AO$64,MATCH($F630,사건마스터!$A$5:$A$64,0)),""))</f>
        <v/>
      </c>
      <c r="S630" s="35">
        <f>IF($F630="","",IFERROR(INDEX(사건마스터!$AP$5:$AP$64,MATCH($F630,사건마스터!$A$5:$A$64,0)),""))</f>
        <v/>
      </c>
      <c r="T630" s="35">
        <f>IF($F630="","",IFERROR(INDEX(사건마스터!$AQ$5:$AQ$64,MATCH($F630,사건마스터!$A$5:$A$64,0)),""))</f>
        <v/>
      </c>
      <c r="U630" s="35">
        <f>IF($F630="","",IFERROR(INDEX(사건마스터!$AR$5:$AR$64,MATCH($F630,사건마스터!$A$5:$A$64,0)),""))</f>
        <v/>
      </c>
      <c r="V630" s="35">
        <f>IF($F630="","",IFERROR(INDEX(사건마스터!$AS$5:$AS$64,MATCH($F630,사건마스터!$A$5:$A$64,0)),""))</f>
        <v/>
      </c>
      <c r="W630" s="35">
        <f>IF($F630="","",IFERROR(INDEX(사건마스터!$AT$5:$AT$64,MATCH($F630,사건마스터!$A$5:$A$64,0)),""))</f>
        <v/>
      </c>
      <c r="X630" s="35">
        <f>IF($F630="","",IFERROR(INDEX(사건마스터!$AU$5:$AU$64,MATCH($F630,사건마스터!$A$5:$A$64,0)),""))</f>
        <v/>
      </c>
      <c r="Y630" s="35">
        <f>IF($F630="","",IFERROR(INDEX(사건마스터!$AV$5:$AV$64,MATCH($F630,사건마스터!$A$5:$A$64,0)),""))</f>
        <v/>
      </c>
      <c r="Z630" s="30">
        <f>IF(COUNTBLANK($J630:$Y630)=16,"",16-COUNTBLANK($J630:$Y630))</f>
        <v/>
      </c>
      <c r="AA630" s="33">
        <f>IF($J630="",MID($AX630,3,255),$J630&amp;$AX630)</f>
        <v/>
      </c>
      <c r="AB630" s="34">
        <f>IF($J630="","",IFERROR(INDEX(코드설정!$D$5:$D$24,MATCH($J630,코드설정!$C$5:$C$24,0)),""))</f>
        <v/>
      </c>
      <c r="AC630" s="36" t="n"/>
      <c r="AD630" s="37" t="n"/>
      <c r="AE630" s="38" t="n"/>
      <c r="AF630" s="30">
        <f>IF(OR($B630="",$C630=""),"",$C630-$B630+1)</f>
        <v/>
      </c>
      <c r="AG630" s="32" t="n"/>
      <c r="AH630" s="36" t="n"/>
      <c r="AJ630">
        <f>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  <c r="AX630">
        <f>AW630&amp;IF($Y630="","",", "&amp;$Y630)</f>
        <v/>
      </c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0">
        <f>IF($F631="","",COUNTIF($F$5:$F631,$F631))</f>
        <v/>
      </c>
      <c r="H631" s="33">
        <f>IF($F631="","",IFERROR(INDEX(사건마스터!$B$5:$B$64,MATCH($F631,사건마스터!$A$5:$A$64,0)),""))</f>
        <v/>
      </c>
      <c r="I631" s="34">
        <f>IF($F631="","",IFERROR(INDEX(사건마스터!$C$5:$C$64,MATCH($F631,사건마스터!$A$5:$A$64,0)),""))</f>
        <v/>
      </c>
      <c r="J631" s="35">
        <f>IF($F631="","",IFERROR(INDEX(사건마스터!$H$5:$H$64,MATCH($F631,사건마스터!$A$5:$A$64,0)),""))</f>
        <v/>
      </c>
      <c r="K631" s="35">
        <f>IF($F631="","",IFERROR(INDEX(사건마스터!$AH$5:$AH$64,MATCH($F631,사건마스터!$A$5:$A$64,0)),""))</f>
        <v/>
      </c>
      <c r="L631" s="35">
        <f>IF($F631="","",IFERROR(INDEX(사건마스터!$AI$5:$AI$64,MATCH($F631,사건마스터!$A$5:$A$64,0)),""))</f>
        <v/>
      </c>
      <c r="M631" s="35">
        <f>IF($F631="","",IFERROR(INDEX(사건마스터!$AJ$5:$AJ$64,MATCH($F631,사건마스터!$A$5:$A$64,0)),""))</f>
        <v/>
      </c>
      <c r="N631" s="35">
        <f>IF($F631="","",IFERROR(INDEX(사건마스터!$AK$5:$AK$64,MATCH($F631,사건마스터!$A$5:$A$64,0)),""))</f>
        <v/>
      </c>
      <c r="O631" s="35">
        <f>IF($F631="","",IFERROR(INDEX(사건마스터!$AL$5:$AL$64,MATCH($F631,사건마스터!$A$5:$A$64,0)),""))</f>
        <v/>
      </c>
      <c r="P631" s="35">
        <f>IF($F631="","",IFERROR(INDEX(사건마스터!$AM$5:$AM$64,MATCH($F631,사건마스터!$A$5:$A$64,0)),""))</f>
        <v/>
      </c>
      <c r="Q631" s="35">
        <f>IF($F631="","",IFERROR(INDEX(사건마스터!$AN$5:$AN$64,MATCH($F631,사건마스터!$A$5:$A$64,0)),""))</f>
        <v/>
      </c>
      <c r="R631" s="35">
        <f>IF($F631="","",IFERROR(INDEX(사건마스터!$AO$5:$AO$64,MATCH($F631,사건마스터!$A$5:$A$64,0)),""))</f>
        <v/>
      </c>
      <c r="S631" s="35">
        <f>IF($F631="","",IFERROR(INDEX(사건마스터!$AP$5:$AP$64,MATCH($F631,사건마스터!$A$5:$A$64,0)),""))</f>
        <v/>
      </c>
      <c r="T631" s="35">
        <f>IF($F631="","",IFERROR(INDEX(사건마스터!$AQ$5:$AQ$64,MATCH($F631,사건마스터!$A$5:$A$64,0)),""))</f>
        <v/>
      </c>
      <c r="U631" s="35">
        <f>IF($F631="","",IFERROR(INDEX(사건마스터!$AR$5:$AR$64,MATCH($F631,사건마스터!$A$5:$A$64,0)),""))</f>
        <v/>
      </c>
      <c r="V631" s="35">
        <f>IF($F631="","",IFERROR(INDEX(사건마스터!$AS$5:$AS$64,MATCH($F631,사건마스터!$A$5:$A$64,0)),""))</f>
        <v/>
      </c>
      <c r="W631" s="35">
        <f>IF($F631="","",IFERROR(INDEX(사건마스터!$AT$5:$AT$64,MATCH($F631,사건마스터!$A$5:$A$64,0)),""))</f>
        <v/>
      </c>
      <c r="X631" s="35">
        <f>IF($F631="","",IFERROR(INDEX(사건마스터!$AU$5:$AU$64,MATCH($F631,사건마스터!$A$5:$A$64,0)),""))</f>
        <v/>
      </c>
      <c r="Y631" s="35">
        <f>IF($F631="","",IFERROR(INDEX(사건마스터!$AV$5:$AV$64,MATCH($F631,사건마스터!$A$5:$A$64,0)),""))</f>
        <v/>
      </c>
      <c r="Z631" s="30">
        <f>IF(COUNTBLANK($J631:$Y631)=16,"",16-COUNTBLANK($J631:$Y631))</f>
        <v/>
      </c>
      <c r="AA631" s="33">
        <f>IF($J631="",MID($AX631,3,255),$J631&amp;$AX631)</f>
        <v/>
      </c>
      <c r="AB631" s="34">
        <f>IF($J631="","",IFERROR(INDEX(코드설정!$D$5:$D$24,MATCH($J631,코드설정!$C$5:$C$24,0)),""))</f>
        <v/>
      </c>
      <c r="AC631" s="36" t="n"/>
      <c r="AD631" s="37" t="n"/>
      <c r="AE631" s="38" t="n"/>
      <c r="AF631" s="30">
        <f>IF(OR($B631="",$C631=""),"",$C631-$B631+1)</f>
        <v/>
      </c>
      <c r="AG631" s="32" t="n"/>
      <c r="AH631" s="36" t="n"/>
      <c r="AJ631">
        <f>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  <c r="AX631">
        <f>AW631&amp;IF($Y631="","",", "&amp;$Y631)</f>
        <v/>
      </c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0">
        <f>IF($F632="","",COUNTIF($F$5:$F632,$F632))</f>
        <v/>
      </c>
      <c r="H632" s="33">
        <f>IF($F632="","",IFERROR(INDEX(사건마스터!$B$5:$B$64,MATCH($F632,사건마스터!$A$5:$A$64,0)),""))</f>
        <v/>
      </c>
      <c r="I632" s="34">
        <f>IF($F632="","",IFERROR(INDEX(사건마스터!$C$5:$C$64,MATCH($F632,사건마스터!$A$5:$A$64,0)),""))</f>
        <v/>
      </c>
      <c r="J632" s="35">
        <f>IF($F632="","",IFERROR(INDEX(사건마스터!$H$5:$H$64,MATCH($F632,사건마스터!$A$5:$A$64,0)),""))</f>
        <v/>
      </c>
      <c r="K632" s="35">
        <f>IF($F632="","",IFERROR(INDEX(사건마스터!$AH$5:$AH$64,MATCH($F632,사건마스터!$A$5:$A$64,0)),""))</f>
        <v/>
      </c>
      <c r="L632" s="35">
        <f>IF($F632="","",IFERROR(INDEX(사건마스터!$AI$5:$AI$64,MATCH($F632,사건마스터!$A$5:$A$64,0)),""))</f>
        <v/>
      </c>
      <c r="M632" s="35">
        <f>IF($F632="","",IFERROR(INDEX(사건마스터!$AJ$5:$AJ$64,MATCH($F632,사건마스터!$A$5:$A$64,0)),""))</f>
        <v/>
      </c>
      <c r="N632" s="35">
        <f>IF($F632="","",IFERROR(INDEX(사건마스터!$AK$5:$AK$64,MATCH($F632,사건마스터!$A$5:$A$64,0)),""))</f>
        <v/>
      </c>
      <c r="O632" s="35">
        <f>IF($F632="","",IFERROR(INDEX(사건마스터!$AL$5:$AL$64,MATCH($F632,사건마스터!$A$5:$A$64,0)),""))</f>
        <v/>
      </c>
      <c r="P632" s="35">
        <f>IF($F632="","",IFERROR(INDEX(사건마스터!$AM$5:$AM$64,MATCH($F632,사건마스터!$A$5:$A$64,0)),""))</f>
        <v/>
      </c>
      <c r="Q632" s="35">
        <f>IF($F632="","",IFERROR(INDEX(사건마스터!$AN$5:$AN$64,MATCH($F632,사건마스터!$A$5:$A$64,0)),""))</f>
        <v/>
      </c>
      <c r="R632" s="35">
        <f>IF($F632="","",IFERROR(INDEX(사건마스터!$AO$5:$AO$64,MATCH($F632,사건마스터!$A$5:$A$64,0)),""))</f>
        <v/>
      </c>
      <c r="S632" s="35">
        <f>IF($F632="","",IFERROR(INDEX(사건마스터!$AP$5:$AP$64,MATCH($F632,사건마스터!$A$5:$A$64,0)),""))</f>
        <v/>
      </c>
      <c r="T632" s="35">
        <f>IF($F632="","",IFERROR(INDEX(사건마스터!$AQ$5:$AQ$64,MATCH($F632,사건마스터!$A$5:$A$64,0)),""))</f>
        <v/>
      </c>
      <c r="U632" s="35">
        <f>IF($F632="","",IFERROR(INDEX(사건마스터!$AR$5:$AR$64,MATCH($F632,사건마스터!$A$5:$A$64,0)),""))</f>
        <v/>
      </c>
      <c r="V632" s="35">
        <f>IF($F632="","",IFERROR(INDEX(사건마스터!$AS$5:$AS$64,MATCH($F632,사건마스터!$A$5:$A$64,0)),""))</f>
        <v/>
      </c>
      <c r="W632" s="35">
        <f>IF($F632="","",IFERROR(INDEX(사건마스터!$AT$5:$AT$64,MATCH($F632,사건마스터!$A$5:$A$64,0)),""))</f>
        <v/>
      </c>
      <c r="X632" s="35">
        <f>IF($F632="","",IFERROR(INDEX(사건마스터!$AU$5:$AU$64,MATCH($F632,사건마스터!$A$5:$A$64,0)),""))</f>
        <v/>
      </c>
      <c r="Y632" s="35">
        <f>IF($F632="","",IFERROR(INDEX(사건마스터!$AV$5:$AV$64,MATCH($F632,사건마스터!$A$5:$A$64,0)),""))</f>
        <v/>
      </c>
      <c r="Z632" s="30">
        <f>IF(COUNTBLANK($J632:$Y632)=16,"",16-COUNTBLANK($J632:$Y632))</f>
        <v/>
      </c>
      <c r="AA632" s="33">
        <f>IF($J632="",MID($AX632,3,255),$J632&amp;$AX632)</f>
        <v/>
      </c>
      <c r="AB632" s="34">
        <f>IF($J632="","",IFERROR(INDEX(코드설정!$D$5:$D$24,MATCH($J632,코드설정!$C$5:$C$24,0)),""))</f>
        <v/>
      </c>
      <c r="AC632" s="36" t="n"/>
      <c r="AD632" s="37" t="n"/>
      <c r="AE632" s="38" t="n"/>
      <c r="AF632" s="30">
        <f>IF(OR($B632="",$C632=""),"",$C632-$B632+1)</f>
        <v/>
      </c>
      <c r="AG632" s="32" t="n"/>
      <c r="AH632" s="36" t="n"/>
      <c r="AJ632">
        <f>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  <c r="AX632">
        <f>AW632&amp;IF($Y632="","",", "&amp;$Y632)</f>
        <v/>
      </c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0">
        <f>IF($F633="","",COUNTIF($F$5:$F633,$F633))</f>
        <v/>
      </c>
      <c r="H633" s="33">
        <f>IF($F633="","",IFERROR(INDEX(사건마스터!$B$5:$B$64,MATCH($F633,사건마스터!$A$5:$A$64,0)),""))</f>
        <v/>
      </c>
      <c r="I633" s="34">
        <f>IF($F633="","",IFERROR(INDEX(사건마스터!$C$5:$C$64,MATCH($F633,사건마스터!$A$5:$A$64,0)),""))</f>
        <v/>
      </c>
      <c r="J633" s="35">
        <f>IF($F633="","",IFERROR(INDEX(사건마스터!$H$5:$H$64,MATCH($F633,사건마스터!$A$5:$A$64,0)),""))</f>
        <v/>
      </c>
      <c r="K633" s="35">
        <f>IF($F633="","",IFERROR(INDEX(사건마스터!$AH$5:$AH$64,MATCH($F633,사건마스터!$A$5:$A$64,0)),""))</f>
        <v/>
      </c>
      <c r="L633" s="35">
        <f>IF($F633="","",IFERROR(INDEX(사건마스터!$AI$5:$AI$64,MATCH($F633,사건마스터!$A$5:$A$64,0)),""))</f>
        <v/>
      </c>
      <c r="M633" s="35">
        <f>IF($F633="","",IFERROR(INDEX(사건마스터!$AJ$5:$AJ$64,MATCH($F633,사건마스터!$A$5:$A$64,0)),""))</f>
        <v/>
      </c>
      <c r="N633" s="35">
        <f>IF($F633="","",IFERROR(INDEX(사건마스터!$AK$5:$AK$64,MATCH($F633,사건마스터!$A$5:$A$64,0)),""))</f>
        <v/>
      </c>
      <c r="O633" s="35">
        <f>IF($F633="","",IFERROR(INDEX(사건마스터!$AL$5:$AL$64,MATCH($F633,사건마스터!$A$5:$A$64,0)),""))</f>
        <v/>
      </c>
      <c r="P633" s="35">
        <f>IF($F633="","",IFERROR(INDEX(사건마스터!$AM$5:$AM$64,MATCH($F633,사건마스터!$A$5:$A$64,0)),""))</f>
        <v/>
      </c>
      <c r="Q633" s="35">
        <f>IF($F633="","",IFERROR(INDEX(사건마스터!$AN$5:$AN$64,MATCH($F633,사건마스터!$A$5:$A$64,0)),""))</f>
        <v/>
      </c>
      <c r="R633" s="35">
        <f>IF($F633="","",IFERROR(INDEX(사건마스터!$AO$5:$AO$64,MATCH($F633,사건마스터!$A$5:$A$64,0)),""))</f>
        <v/>
      </c>
      <c r="S633" s="35">
        <f>IF($F633="","",IFERROR(INDEX(사건마스터!$AP$5:$AP$64,MATCH($F633,사건마스터!$A$5:$A$64,0)),""))</f>
        <v/>
      </c>
      <c r="T633" s="35">
        <f>IF($F633="","",IFERROR(INDEX(사건마스터!$AQ$5:$AQ$64,MATCH($F633,사건마스터!$A$5:$A$64,0)),""))</f>
        <v/>
      </c>
      <c r="U633" s="35">
        <f>IF($F633="","",IFERROR(INDEX(사건마스터!$AR$5:$AR$64,MATCH($F633,사건마스터!$A$5:$A$64,0)),""))</f>
        <v/>
      </c>
      <c r="V633" s="35">
        <f>IF($F633="","",IFERROR(INDEX(사건마스터!$AS$5:$AS$64,MATCH($F633,사건마스터!$A$5:$A$64,0)),""))</f>
        <v/>
      </c>
      <c r="W633" s="35">
        <f>IF($F633="","",IFERROR(INDEX(사건마스터!$AT$5:$AT$64,MATCH($F633,사건마스터!$A$5:$A$64,0)),""))</f>
        <v/>
      </c>
      <c r="X633" s="35">
        <f>IF($F633="","",IFERROR(INDEX(사건마스터!$AU$5:$AU$64,MATCH($F633,사건마스터!$A$5:$A$64,0)),""))</f>
        <v/>
      </c>
      <c r="Y633" s="35">
        <f>IF($F633="","",IFERROR(INDEX(사건마스터!$AV$5:$AV$64,MATCH($F633,사건마스터!$A$5:$A$64,0)),""))</f>
        <v/>
      </c>
      <c r="Z633" s="30">
        <f>IF(COUNTBLANK($J633:$Y633)=16,"",16-COUNTBLANK($J633:$Y633))</f>
        <v/>
      </c>
      <c r="AA633" s="33">
        <f>IF($J633="",MID($AX633,3,255),$J633&amp;$AX633)</f>
        <v/>
      </c>
      <c r="AB633" s="34">
        <f>IF($J633="","",IFERROR(INDEX(코드설정!$D$5:$D$24,MATCH($J633,코드설정!$C$5:$C$24,0)),""))</f>
        <v/>
      </c>
      <c r="AC633" s="36" t="n"/>
      <c r="AD633" s="37" t="n"/>
      <c r="AE633" s="38" t="n"/>
      <c r="AF633" s="30">
        <f>IF(OR($B633="",$C633=""),"",$C633-$B633+1)</f>
        <v/>
      </c>
      <c r="AG633" s="32" t="n"/>
      <c r="AH633" s="36" t="n"/>
      <c r="AJ633">
        <f>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  <c r="AX633">
        <f>AW633&amp;IF($Y633="","",", "&amp;$Y633)</f>
        <v/>
      </c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0">
        <f>IF($F634="","",COUNTIF($F$5:$F634,$F634))</f>
        <v/>
      </c>
      <c r="H634" s="33">
        <f>IF($F634="","",IFERROR(INDEX(사건마스터!$B$5:$B$64,MATCH($F634,사건마스터!$A$5:$A$64,0)),""))</f>
        <v/>
      </c>
      <c r="I634" s="34">
        <f>IF($F634="","",IFERROR(INDEX(사건마스터!$C$5:$C$64,MATCH($F634,사건마스터!$A$5:$A$64,0)),""))</f>
        <v/>
      </c>
      <c r="J634" s="35">
        <f>IF($F634="","",IFERROR(INDEX(사건마스터!$H$5:$H$64,MATCH($F634,사건마스터!$A$5:$A$64,0)),""))</f>
        <v/>
      </c>
      <c r="K634" s="35">
        <f>IF($F634="","",IFERROR(INDEX(사건마스터!$AH$5:$AH$64,MATCH($F634,사건마스터!$A$5:$A$64,0)),""))</f>
        <v/>
      </c>
      <c r="L634" s="35">
        <f>IF($F634="","",IFERROR(INDEX(사건마스터!$AI$5:$AI$64,MATCH($F634,사건마스터!$A$5:$A$64,0)),""))</f>
        <v/>
      </c>
      <c r="M634" s="35">
        <f>IF($F634="","",IFERROR(INDEX(사건마스터!$AJ$5:$AJ$64,MATCH($F634,사건마스터!$A$5:$A$64,0)),""))</f>
        <v/>
      </c>
      <c r="N634" s="35">
        <f>IF($F634="","",IFERROR(INDEX(사건마스터!$AK$5:$AK$64,MATCH($F634,사건마스터!$A$5:$A$64,0)),""))</f>
        <v/>
      </c>
      <c r="O634" s="35">
        <f>IF($F634="","",IFERROR(INDEX(사건마스터!$AL$5:$AL$64,MATCH($F634,사건마스터!$A$5:$A$64,0)),""))</f>
        <v/>
      </c>
      <c r="P634" s="35">
        <f>IF($F634="","",IFERROR(INDEX(사건마스터!$AM$5:$AM$64,MATCH($F634,사건마스터!$A$5:$A$64,0)),""))</f>
        <v/>
      </c>
      <c r="Q634" s="35">
        <f>IF($F634="","",IFERROR(INDEX(사건마스터!$AN$5:$AN$64,MATCH($F634,사건마스터!$A$5:$A$64,0)),""))</f>
        <v/>
      </c>
      <c r="R634" s="35">
        <f>IF($F634="","",IFERROR(INDEX(사건마스터!$AO$5:$AO$64,MATCH($F634,사건마스터!$A$5:$A$64,0)),""))</f>
        <v/>
      </c>
      <c r="S634" s="35">
        <f>IF($F634="","",IFERROR(INDEX(사건마스터!$AP$5:$AP$64,MATCH($F634,사건마스터!$A$5:$A$64,0)),""))</f>
        <v/>
      </c>
      <c r="T634" s="35">
        <f>IF($F634="","",IFERROR(INDEX(사건마스터!$AQ$5:$AQ$64,MATCH($F634,사건마스터!$A$5:$A$64,0)),""))</f>
        <v/>
      </c>
      <c r="U634" s="35">
        <f>IF($F634="","",IFERROR(INDEX(사건마스터!$AR$5:$AR$64,MATCH($F634,사건마스터!$A$5:$A$64,0)),""))</f>
        <v/>
      </c>
      <c r="V634" s="35">
        <f>IF($F634="","",IFERROR(INDEX(사건마스터!$AS$5:$AS$64,MATCH($F634,사건마스터!$A$5:$A$64,0)),""))</f>
        <v/>
      </c>
      <c r="W634" s="35">
        <f>IF($F634="","",IFERROR(INDEX(사건마스터!$AT$5:$AT$64,MATCH($F634,사건마스터!$A$5:$A$64,0)),""))</f>
        <v/>
      </c>
      <c r="X634" s="35">
        <f>IF($F634="","",IFERROR(INDEX(사건마스터!$AU$5:$AU$64,MATCH($F634,사건마스터!$A$5:$A$64,0)),""))</f>
        <v/>
      </c>
      <c r="Y634" s="35">
        <f>IF($F634="","",IFERROR(INDEX(사건마스터!$AV$5:$AV$64,MATCH($F634,사건마스터!$A$5:$A$64,0)),""))</f>
        <v/>
      </c>
      <c r="Z634" s="30">
        <f>IF(COUNTBLANK($J634:$Y634)=16,"",16-COUNTBLANK($J634:$Y634))</f>
        <v/>
      </c>
      <c r="AA634" s="33">
        <f>IF($J634="",MID($AX634,3,255),$J634&amp;$AX634)</f>
        <v/>
      </c>
      <c r="AB634" s="34">
        <f>IF($J634="","",IFERROR(INDEX(코드설정!$D$5:$D$24,MATCH($J634,코드설정!$C$5:$C$24,0)),""))</f>
        <v/>
      </c>
      <c r="AC634" s="36" t="n"/>
      <c r="AD634" s="37" t="n"/>
      <c r="AE634" s="38" t="n"/>
      <c r="AF634" s="30">
        <f>IF(OR($B634="",$C634=""),"",$C634-$B634+1)</f>
        <v/>
      </c>
      <c r="AG634" s="32" t="n"/>
      <c r="AH634" s="36" t="n"/>
      <c r="AJ634">
        <f>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  <c r="AX634">
        <f>AW634&amp;IF($Y634="","",", "&amp;$Y634)</f>
        <v/>
      </c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0">
        <f>IF($F635="","",COUNTIF($F$5:$F635,$F635))</f>
        <v/>
      </c>
      <c r="H635" s="33">
        <f>IF($F635="","",IFERROR(INDEX(사건마스터!$B$5:$B$64,MATCH($F635,사건마스터!$A$5:$A$64,0)),""))</f>
        <v/>
      </c>
      <c r="I635" s="34">
        <f>IF($F635="","",IFERROR(INDEX(사건마스터!$C$5:$C$64,MATCH($F635,사건마스터!$A$5:$A$64,0)),""))</f>
        <v/>
      </c>
      <c r="J635" s="35">
        <f>IF($F635="","",IFERROR(INDEX(사건마스터!$H$5:$H$64,MATCH($F635,사건마스터!$A$5:$A$64,0)),""))</f>
        <v/>
      </c>
      <c r="K635" s="35">
        <f>IF($F635="","",IFERROR(INDEX(사건마스터!$AH$5:$AH$64,MATCH($F635,사건마스터!$A$5:$A$64,0)),""))</f>
        <v/>
      </c>
      <c r="L635" s="35">
        <f>IF($F635="","",IFERROR(INDEX(사건마스터!$AI$5:$AI$64,MATCH($F635,사건마스터!$A$5:$A$64,0)),""))</f>
        <v/>
      </c>
      <c r="M635" s="35">
        <f>IF($F635="","",IFERROR(INDEX(사건마스터!$AJ$5:$AJ$64,MATCH($F635,사건마스터!$A$5:$A$64,0)),""))</f>
        <v/>
      </c>
      <c r="N635" s="35">
        <f>IF($F635="","",IFERROR(INDEX(사건마스터!$AK$5:$AK$64,MATCH($F635,사건마스터!$A$5:$A$64,0)),""))</f>
        <v/>
      </c>
      <c r="O635" s="35">
        <f>IF($F635="","",IFERROR(INDEX(사건마스터!$AL$5:$AL$64,MATCH($F635,사건마스터!$A$5:$A$64,0)),""))</f>
        <v/>
      </c>
      <c r="P635" s="35">
        <f>IF($F635="","",IFERROR(INDEX(사건마스터!$AM$5:$AM$64,MATCH($F635,사건마스터!$A$5:$A$64,0)),""))</f>
        <v/>
      </c>
      <c r="Q635" s="35">
        <f>IF($F635="","",IFERROR(INDEX(사건마스터!$AN$5:$AN$64,MATCH($F635,사건마스터!$A$5:$A$64,0)),""))</f>
        <v/>
      </c>
      <c r="R635" s="35">
        <f>IF($F635="","",IFERROR(INDEX(사건마스터!$AO$5:$AO$64,MATCH($F635,사건마스터!$A$5:$A$64,0)),""))</f>
        <v/>
      </c>
      <c r="S635" s="35">
        <f>IF($F635="","",IFERROR(INDEX(사건마스터!$AP$5:$AP$64,MATCH($F635,사건마스터!$A$5:$A$64,0)),""))</f>
        <v/>
      </c>
      <c r="T635" s="35">
        <f>IF($F635="","",IFERROR(INDEX(사건마스터!$AQ$5:$AQ$64,MATCH($F635,사건마스터!$A$5:$A$64,0)),""))</f>
        <v/>
      </c>
      <c r="U635" s="35">
        <f>IF($F635="","",IFERROR(INDEX(사건마스터!$AR$5:$AR$64,MATCH($F635,사건마스터!$A$5:$A$64,0)),""))</f>
        <v/>
      </c>
      <c r="V635" s="35">
        <f>IF($F635="","",IFERROR(INDEX(사건마스터!$AS$5:$AS$64,MATCH($F635,사건마스터!$A$5:$A$64,0)),""))</f>
        <v/>
      </c>
      <c r="W635" s="35">
        <f>IF($F635="","",IFERROR(INDEX(사건마스터!$AT$5:$AT$64,MATCH($F635,사건마스터!$A$5:$A$64,0)),""))</f>
        <v/>
      </c>
      <c r="X635" s="35">
        <f>IF($F635="","",IFERROR(INDEX(사건마스터!$AU$5:$AU$64,MATCH($F635,사건마스터!$A$5:$A$64,0)),""))</f>
        <v/>
      </c>
      <c r="Y635" s="35">
        <f>IF($F635="","",IFERROR(INDEX(사건마스터!$AV$5:$AV$64,MATCH($F635,사건마스터!$A$5:$A$64,0)),""))</f>
        <v/>
      </c>
      <c r="Z635" s="30">
        <f>IF(COUNTBLANK($J635:$Y635)=16,"",16-COUNTBLANK($J635:$Y635))</f>
        <v/>
      </c>
      <c r="AA635" s="33">
        <f>IF($J635="",MID($AX635,3,255),$J635&amp;$AX635)</f>
        <v/>
      </c>
      <c r="AB635" s="34">
        <f>IF($J635="","",IFERROR(INDEX(코드설정!$D$5:$D$24,MATCH($J635,코드설정!$C$5:$C$24,0)),""))</f>
        <v/>
      </c>
      <c r="AC635" s="36" t="n"/>
      <c r="AD635" s="37" t="n"/>
      <c r="AE635" s="38" t="n"/>
      <c r="AF635" s="30">
        <f>IF(OR($B635="",$C635=""),"",$C635-$B635+1)</f>
        <v/>
      </c>
      <c r="AG635" s="32" t="n"/>
      <c r="AH635" s="36" t="n"/>
      <c r="AJ635">
        <f>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  <c r="AX635">
        <f>AW635&amp;IF($Y635="","",", "&amp;$Y635)</f>
        <v/>
      </c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0">
        <f>IF($F636="","",COUNTIF($F$5:$F636,$F636))</f>
        <v/>
      </c>
      <c r="H636" s="33">
        <f>IF($F636="","",IFERROR(INDEX(사건마스터!$B$5:$B$64,MATCH($F636,사건마스터!$A$5:$A$64,0)),""))</f>
        <v/>
      </c>
      <c r="I636" s="34">
        <f>IF($F636="","",IFERROR(INDEX(사건마스터!$C$5:$C$64,MATCH($F636,사건마스터!$A$5:$A$64,0)),""))</f>
        <v/>
      </c>
      <c r="J636" s="35">
        <f>IF($F636="","",IFERROR(INDEX(사건마스터!$H$5:$H$64,MATCH($F636,사건마스터!$A$5:$A$64,0)),""))</f>
        <v/>
      </c>
      <c r="K636" s="35">
        <f>IF($F636="","",IFERROR(INDEX(사건마스터!$AH$5:$AH$64,MATCH($F636,사건마스터!$A$5:$A$64,0)),""))</f>
        <v/>
      </c>
      <c r="L636" s="35">
        <f>IF($F636="","",IFERROR(INDEX(사건마스터!$AI$5:$AI$64,MATCH($F636,사건마스터!$A$5:$A$64,0)),""))</f>
        <v/>
      </c>
      <c r="M636" s="35">
        <f>IF($F636="","",IFERROR(INDEX(사건마스터!$AJ$5:$AJ$64,MATCH($F636,사건마스터!$A$5:$A$64,0)),""))</f>
        <v/>
      </c>
      <c r="N636" s="35">
        <f>IF($F636="","",IFERROR(INDEX(사건마스터!$AK$5:$AK$64,MATCH($F636,사건마스터!$A$5:$A$64,0)),""))</f>
        <v/>
      </c>
      <c r="O636" s="35">
        <f>IF($F636="","",IFERROR(INDEX(사건마스터!$AL$5:$AL$64,MATCH($F636,사건마스터!$A$5:$A$64,0)),""))</f>
        <v/>
      </c>
      <c r="P636" s="35">
        <f>IF($F636="","",IFERROR(INDEX(사건마스터!$AM$5:$AM$64,MATCH($F636,사건마스터!$A$5:$A$64,0)),""))</f>
        <v/>
      </c>
      <c r="Q636" s="35">
        <f>IF($F636="","",IFERROR(INDEX(사건마스터!$AN$5:$AN$64,MATCH($F636,사건마스터!$A$5:$A$64,0)),""))</f>
        <v/>
      </c>
      <c r="R636" s="35">
        <f>IF($F636="","",IFERROR(INDEX(사건마스터!$AO$5:$AO$64,MATCH($F636,사건마스터!$A$5:$A$64,0)),""))</f>
        <v/>
      </c>
      <c r="S636" s="35">
        <f>IF($F636="","",IFERROR(INDEX(사건마스터!$AP$5:$AP$64,MATCH($F636,사건마스터!$A$5:$A$64,0)),""))</f>
        <v/>
      </c>
      <c r="T636" s="35">
        <f>IF($F636="","",IFERROR(INDEX(사건마스터!$AQ$5:$AQ$64,MATCH($F636,사건마스터!$A$5:$A$64,0)),""))</f>
        <v/>
      </c>
      <c r="U636" s="35">
        <f>IF($F636="","",IFERROR(INDEX(사건마스터!$AR$5:$AR$64,MATCH($F636,사건마스터!$A$5:$A$64,0)),""))</f>
        <v/>
      </c>
      <c r="V636" s="35">
        <f>IF($F636="","",IFERROR(INDEX(사건마스터!$AS$5:$AS$64,MATCH($F636,사건마스터!$A$5:$A$64,0)),""))</f>
        <v/>
      </c>
      <c r="W636" s="35">
        <f>IF($F636="","",IFERROR(INDEX(사건마스터!$AT$5:$AT$64,MATCH($F636,사건마스터!$A$5:$A$64,0)),""))</f>
        <v/>
      </c>
      <c r="X636" s="35">
        <f>IF($F636="","",IFERROR(INDEX(사건마스터!$AU$5:$AU$64,MATCH($F636,사건마스터!$A$5:$A$64,0)),""))</f>
        <v/>
      </c>
      <c r="Y636" s="35">
        <f>IF($F636="","",IFERROR(INDEX(사건마스터!$AV$5:$AV$64,MATCH($F636,사건마스터!$A$5:$A$64,0)),""))</f>
        <v/>
      </c>
      <c r="Z636" s="30">
        <f>IF(COUNTBLANK($J636:$Y636)=16,"",16-COUNTBLANK($J636:$Y636))</f>
        <v/>
      </c>
      <c r="AA636" s="33">
        <f>IF($J636="",MID($AX636,3,255),$J636&amp;$AX636)</f>
        <v/>
      </c>
      <c r="AB636" s="34">
        <f>IF($J636="","",IFERROR(INDEX(코드설정!$D$5:$D$24,MATCH($J636,코드설정!$C$5:$C$24,0)),""))</f>
        <v/>
      </c>
      <c r="AC636" s="36" t="n"/>
      <c r="AD636" s="37" t="n"/>
      <c r="AE636" s="38" t="n"/>
      <c r="AF636" s="30">
        <f>IF(OR($B636="",$C636=""),"",$C636-$B636+1)</f>
        <v/>
      </c>
      <c r="AG636" s="32" t="n"/>
      <c r="AH636" s="36" t="n"/>
      <c r="AJ636">
        <f>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  <c r="AX636">
        <f>AW636&amp;IF($Y636="","",", "&amp;$Y636)</f>
        <v/>
      </c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0">
        <f>IF($F637="","",COUNTIF($F$5:$F637,$F637))</f>
        <v/>
      </c>
      <c r="H637" s="33">
        <f>IF($F637="","",IFERROR(INDEX(사건마스터!$B$5:$B$64,MATCH($F637,사건마스터!$A$5:$A$64,0)),""))</f>
        <v/>
      </c>
      <c r="I637" s="34">
        <f>IF($F637="","",IFERROR(INDEX(사건마스터!$C$5:$C$64,MATCH($F637,사건마스터!$A$5:$A$64,0)),""))</f>
        <v/>
      </c>
      <c r="J637" s="35">
        <f>IF($F637="","",IFERROR(INDEX(사건마스터!$H$5:$H$64,MATCH($F637,사건마스터!$A$5:$A$64,0)),""))</f>
        <v/>
      </c>
      <c r="K637" s="35">
        <f>IF($F637="","",IFERROR(INDEX(사건마스터!$AH$5:$AH$64,MATCH($F637,사건마스터!$A$5:$A$64,0)),""))</f>
        <v/>
      </c>
      <c r="L637" s="35">
        <f>IF($F637="","",IFERROR(INDEX(사건마스터!$AI$5:$AI$64,MATCH($F637,사건마스터!$A$5:$A$64,0)),""))</f>
        <v/>
      </c>
      <c r="M637" s="35">
        <f>IF($F637="","",IFERROR(INDEX(사건마스터!$AJ$5:$AJ$64,MATCH($F637,사건마스터!$A$5:$A$64,0)),""))</f>
        <v/>
      </c>
      <c r="N637" s="35">
        <f>IF($F637="","",IFERROR(INDEX(사건마스터!$AK$5:$AK$64,MATCH($F637,사건마스터!$A$5:$A$64,0)),""))</f>
        <v/>
      </c>
      <c r="O637" s="35">
        <f>IF($F637="","",IFERROR(INDEX(사건마스터!$AL$5:$AL$64,MATCH($F637,사건마스터!$A$5:$A$64,0)),""))</f>
        <v/>
      </c>
      <c r="P637" s="35">
        <f>IF($F637="","",IFERROR(INDEX(사건마스터!$AM$5:$AM$64,MATCH($F637,사건마스터!$A$5:$A$64,0)),""))</f>
        <v/>
      </c>
      <c r="Q637" s="35">
        <f>IF($F637="","",IFERROR(INDEX(사건마스터!$AN$5:$AN$64,MATCH($F637,사건마스터!$A$5:$A$64,0)),""))</f>
        <v/>
      </c>
      <c r="R637" s="35">
        <f>IF($F637="","",IFERROR(INDEX(사건마스터!$AO$5:$AO$64,MATCH($F637,사건마스터!$A$5:$A$64,0)),""))</f>
        <v/>
      </c>
      <c r="S637" s="35">
        <f>IF($F637="","",IFERROR(INDEX(사건마스터!$AP$5:$AP$64,MATCH($F637,사건마스터!$A$5:$A$64,0)),""))</f>
        <v/>
      </c>
      <c r="T637" s="35">
        <f>IF($F637="","",IFERROR(INDEX(사건마스터!$AQ$5:$AQ$64,MATCH($F637,사건마스터!$A$5:$A$64,0)),""))</f>
        <v/>
      </c>
      <c r="U637" s="35">
        <f>IF($F637="","",IFERROR(INDEX(사건마스터!$AR$5:$AR$64,MATCH($F637,사건마스터!$A$5:$A$64,0)),""))</f>
        <v/>
      </c>
      <c r="V637" s="35">
        <f>IF($F637="","",IFERROR(INDEX(사건마스터!$AS$5:$AS$64,MATCH($F637,사건마스터!$A$5:$A$64,0)),""))</f>
        <v/>
      </c>
      <c r="W637" s="35">
        <f>IF($F637="","",IFERROR(INDEX(사건마스터!$AT$5:$AT$64,MATCH($F637,사건마스터!$A$5:$A$64,0)),""))</f>
        <v/>
      </c>
      <c r="X637" s="35">
        <f>IF($F637="","",IFERROR(INDEX(사건마스터!$AU$5:$AU$64,MATCH($F637,사건마스터!$A$5:$A$64,0)),""))</f>
        <v/>
      </c>
      <c r="Y637" s="35">
        <f>IF($F637="","",IFERROR(INDEX(사건마스터!$AV$5:$AV$64,MATCH($F637,사건마스터!$A$5:$A$64,0)),""))</f>
        <v/>
      </c>
      <c r="Z637" s="30">
        <f>IF(COUNTBLANK($J637:$Y637)=16,"",16-COUNTBLANK($J637:$Y637))</f>
        <v/>
      </c>
      <c r="AA637" s="33">
        <f>IF($J637="",MID($AX637,3,255),$J637&amp;$AX637)</f>
        <v/>
      </c>
      <c r="AB637" s="34">
        <f>IF($J637="","",IFERROR(INDEX(코드설정!$D$5:$D$24,MATCH($J637,코드설정!$C$5:$C$24,0)),""))</f>
        <v/>
      </c>
      <c r="AC637" s="36" t="n"/>
      <c r="AD637" s="37" t="n"/>
      <c r="AE637" s="38" t="n"/>
      <c r="AF637" s="30">
        <f>IF(OR($B637="",$C637=""),"",$C637-$B637+1)</f>
        <v/>
      </c>
      <c r="AG637" s="32" t="n"/>
      <c r="AH637" s="36" t="n"/>
      <c r="AJ637">
        <f>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  <c r="AX637">
        <f>AW637&amp;IF($Y637="","",", "&amp;$Y637)</f>
        <v/>
      </c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0">
        <f>IF($F638="","",COUNTIF($F$5:$F638,$F638))</f>
        <v/>
      </c>
      <c r="H638" s="33">
        <f>IF($F638="","",IFERROR(INDEX(사건마스터!$B$5:$B$64,MATCH($F638,사건마스터!$A$5:$A$64,0)),""))</f>
        <v/>
      </c>
      <c r="I638" s="34">
        <f>IF($F638="","",IFERROR(INDEX(사건마스터!$C$5:$C$64,MATCH($F638,사건마스터!$A$5:$A$64,0)),""))</f>
        <v/>
      </c>
      <c r="J638" s="35">
        <f>IF($F638="","",IFERROR(INDEX(사건마스터!$H$5:$H$64,MATCH($F638,사건마스터!$A$5:$A$64,0)),""))</f>
        <v/>
      </c>
      <c r="K638" s="35">
        <f>IF($F638="","",IFERROR(INDEX(사건마스터!$AH$5:$AH$64,MATCH($F638,사건마스터!$A$5:$A$64,0)),""))</f>
        <v/>
      </c>
      <c r="L638" s="35">
        <f>IF($F638="","",IFERROR(INDEX(사건마스터!$AI$5:$AI$64,MATCH($F638,사건마스터!$A$5:$A$64,0)),""))</f>
        <v/>
      </c>
      <c r="M638" s="35">
        <f>IF($F638="","",IFERROR(INDEX(사건마스터!$AJ$5:$AJ$64,MATCH($F638,사건마스터!$A$5:$A$64,0)),""))</f>
        <v/>
      </c>
      <c r="N638" s="35">
        <f>IF($F638="","",IFERROR(INDEX(사건마스터!$AK$5:$AK$64,MATCH($F638,사건마스터!$A$5:$A$64,0)),""))</f>
        <v/>
      </c>
      <c r="O638" s="35">
        <f>IF($F638="","",IFERROR(INDEX(사건마스터!$AL$5:$AL$64,MATCH($F638,사건마스터!$A$5:$A$64,0)),""))</f>
        <v/>
      </c>
      <c r="P638" s="35">
        <f>IF($F638="","",IFERROR(INDEX(사건마스터!$AM$5:$AM$64,MATCH($F638,사건마스터!$A$5:$A$64,0)),""))</f>
        <v/>
      </c>
      <c r="Q638" s="35">
        <f>IF($F638="","",IFERROR(INDEX(사건마스터!$AN$5:$AN$64,MATCH($F638,사건마스터!$A$5:$A$64,0)),""))</f>
        <v/>
      </c>
      <c r="R638" s="35">
        <f>IF($F638="","",IFERROR(INDEX(사건마스터!$AO$5:$AO$64,MATCH($F638,사건마스터!$A$5:$A$64,0)),""))</f>
        <v/>
      </c>
      <c r="S638" s="35">
        <f>IF($F638="","",IFERROR(INDEX(사건마스터!$AP$5:$AP$64,MATCH($F638,사건마스터!$A$5:$A$64,0)),""))</f>
        <v/>
      </c>
      <c r="T638" s="35">
        <f>IF($F638="","",IFERROR(INDEX(사건마스터!$AQ$5:$AQ$64,MATCH($F638,사건마스터!$A$5:$A$64,0)),""))</f>
        <v/>
      </c>
      <c r="U638" s="35">
        <f>IF($F638="","",IFERROR(INDEX(사건마스터!$AR$5:$AR$64,MATCH($F638,사건마스터!$A$5:$A$64,0)),""))</f>
        <v/>
      </c>
      <c r="V638" s="35">
        <f>IF($F638="","",IFERROR(INDEX(사건마스터!$AS$5:$AS$64,MATCH($F638,사건마스터!$A$5:$A$64,0)),""))</f>
        <v/>
      </c>
      <c r="W638" s="35">
        <f>IF($F638="","",IFERROR(INDEX(사건마스터!$AT$5:$AT$64,MATCH($F638,사건마스터!$A$5:$A$64,0)),""))</f>
        <v/>
      </c>
      <c r="X638" s="35">
        <f>IF($F638="","",IFERROR(INDEX(사건마스터!$AU$5:$AU$64,MATCH($F638,사건마스터!$A$5:$A$64,0)),""))</f>
        <v/>
      </c>
      <c r="Y638" s="35">
        <f>IF($F638="","",IFERROR(INDEX(사건마스터!$AV$5:$AV$64,MATCH($F638,사건마스터!$A$5:$A$64,0)),""))</f>
        <v/>
      </c>
      <c r="Z638" s="30">
        <f>IF(COUNTBLANK($J638:$Y638)=16,"",16-COUNTBLANK($J638:$Y638))</f>
        <v/>
      </c>
      <c r="AA638" s="33">
        <f>IF($J638="",MID($AX638,3,255),$J638&amp;$AX638)</f>
        <v/>
      </c>
      <c r="AB638" s="34">
        <f>IF($J638="","",IFERROR(INDEX(코드설정!$D$5:$D$24,MATCH($J638,코드설정!$C$5:$C$24,0)),""))</f>
        <v/>
      </c>
      <c r="AC638" s="36" t="n"/>
      <c r="AD638" s="37" t="n"/>
      <c r="AE638" s="38" t="n"/>
      <c r="AF638" s="30">
        <f>IF(OR($B638="",$C638=""),"",$C638-$B638+1)</f>
        <v/>
      </c>
      <c r="AG638" s="32" t="n"/>
      <c r="AH638" s="36" t="n"/>
      <c r="AJ638">
        <f>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  <c r="AX638">
        <f>AW638&amp;IF($Y638="","",", "&amp;$Y638)</f>
        <v/>
      </c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0">
        <f>IF($F639="","",COUNTIF($F$5:$F639,$F639))</f>
        <v/>
      </c>
      <c r="H639" s="33">
        <f>IF($F639="","",IFERROR(INDEX(사건마스터!$B$5:$B$64,MATCH($F639,사건마스터!$A$5:$A$64,0)),""))</f>
        <v/>
      </c>
      <c r="I639" s="34">
        <f>IF($F639="","",IFERROR(INDEX(사건마스터!$C$5:$C$64,MATCH($F639,사건마스터!$A$5:$A$64,0)),""))</f>
        <v/>
      </c>
      <c r="J639" s="35">
        <f>IF($F639="","",IFERROR(INDEX(사건마스터!$H$5:$H$64,MATCH($F639,사건마스터!$A$5:$A$64,0)),""))</f>
        <v/>
      </c>
      <c r="K639" s="35">
        <f>IF($F639="","",IFERROR(INDEX(사건마스터!$AH$5:$AH$64,MATCH($F639,사건마스터!$A$5:$A$64,0)),""))</f>
        <v/>
      </c>
      <c r="L639" s="35">
        <f>IF($F639="","",IFERROR(INDEX(사건마스터!$AI$5:$AI$64,MATCH($F639,사건마스터!$A$5:$A$64,0)),""))</f>
        <v/>
      </c>
      <c r="M639" s="35">
        <f>IF($F639="","",IFERROR(INDEX(사건마스터!$AJ$5:$AJ$64,MATCH($F639,사건마스터!$A$5:$A$64,0)),""))</f>
        <v/>
      </c>
      <c r="N639" s="35">
        <f>IF($F639="","",IFERROR(INDEX(사건마스터!$AK$5:$AK$64,MATCH($F639,사건마스터!$A$5:$A$64,0)),""))</f>
        <v/>
      </c>
      <c r="O639" s="35">
        <f>IF($F639="","",IFERROR(INDEX(사건마스터!$AL$5:$AL$64,MATCH($F639,사건마스터!$A$5:$A$64,0)),""))</f>
        <v/>
      </c>
      <c r="P639" s="35">
        <f>IF($F639="","",IFERROR(INDEX(사건마스터!$AM$5:$AM$64,MATCH($F639,사건마스터!$A$5:$A$64,0)),""))</f>
        <v/>
      </c>
      <c r="Q639" s="35">
        <f>IF($F639="","",IFERROR(INDEX(사건마스터!$AN$5:$AN$64,MATCH($F639,사건마스터!$A$5:$A$64,0)),""))</f>
        <v/>
      </c>
      <c r="R639" s="35">
        <f>IF($F639="","",IFERROR(INDEX(사건마스터!$AO$5:$AO$64,MATCH($F639,사건마스터!$A$5:$A$64,0)),""))</f>
        <v/>
      </c>
      <c r="S639" s="35">
        <f>IF($F639="","",IFERROR(INDEX(사건마스터!$AP$5:$AP$64,MATCH($F639,사건마스터!$A$5:$A$64,0)),""))</f>
        <v/>
      </c>
      <c r="T639" s="35">
        <f>IF($F639="","",IFERROR(INDEX(사건마스터!$AQ$5:$AQ$64,MATCH($F639,사건마스터!$A$5:$A$64,0)),""))</f>
        <v/>
      </c>
      <c r="U639" s="35">
        <f>IF($F639="","",IFERROR(INDEX(사건마스터!$AR$5:$AR$64,MATCH($F639,사건마스터!$A$5:$A$64,0)),""))</f>
        <v/>
      </c>
      <c r="V639" s="35">
        <f>IF($F639="","",IFERROR(INDEX(사건마스터!$AS$5:$AS$64,MATCH($F639,사건마스터!$A$5:$A$64,0)),""))</f>
        <v/>
      </c>
      <c r="W639" s="35">
        <f>IF($F639="","",IFERROR(INDEX(사건마스터!$AT$5:$AT$64,MATCH($F639,사건마스터!$A$5:$A$64,0)),""))</f>
        <v/>
      </c>
      <c r="X639" s="35">
        <f>IF($F639="","",IFERROR(INDEX(사건마스터!$AU$5:$AU$64,MATCH($F639,사건마스터!$A$5:$A$64,0)),""))</f>
        <v/>
      </c>
      <c r="Y639" s="35">
        <f>IF($F639="","",IFERROR(INDEX(사건마스터!$AV$5:$AV$64,MATCH($F639,사건마스터!$A$5:$A$64,0)),""))</f>
        <v/>
      </c>
      <c r="Z639" s="30">
        <f>IF(COUNTBLANK($J639:$Y639)=16,"",16-COUNTBLANK($J639:$Y639))</f>
        <v/>
      </c>
      <c r="AA639" s="33">
        <f>IF($J639="",MID($AX639,3,255),$J639&amp;$AX639)</f>
        <v/>
      </c>
      <c r="AB639" s="34">
        <f>IF($J639="","",IFERROR(INDEX(코드설정!$D$5:$D$24,MATCH($J639,코드설정!$C$5:$C$24,0)),""))</f>
        <v/>
      </c>
      <c r="AC639" s="36" t="n"/>
      <c r="AD639" s="37" t="n"/>
      <c r="AE639" s="38" t="n"/>
      <c r="AF639" s="30">
        <f>IF(OR($B639="",$C639=""),"",$C639-$B639+1)</f>
        <v/>
      </c>
      <c r="AG639" s="32" t="n"/>
      <c r="AH639" s="36" t="n"/>
      <c r="AJ639">
        <f>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  <c r="AX639">
        <f>AW639&amp;IF($Y639="","",", "&amp;$Y639)</f>
        <v/>
      </c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0">
        <f>IF($F640="","",COUNTIF($F$5:$F640,$F640))</f>
        <v/>
      </c>
      <c r="H640" s="33">
        <f>IF($F640="","",IFERROR(INDEX(사건마스터!$B$5:$B$64,MATCH($F640,사건마스터!$A$5:$A$64,0)),""))</f>
        <v/>
      </c>
      <c r="I640" s="34">
        <f>IF($F640="","",IFERROR(INDEX(사건마스터!$C$5:$C$64,MATCH($F640,사건마스터!$A$5:$A$64,0)),""))</f>
        <v/>
      </c>
      <c r="J640" s="35">
        <f>IF($F640="","",IFERROR(INDEX(사건마스터!$H$5:$H$64,MATCH($F640,사건마스터!$A$5:$A$64,0)),""))</f>
        <v/>
      </c>
      <c r="K640" s="35">
        <f>IF($F640="","",IFERROR(INDEX(사건마스터!$AH$5:$AH$64,MATCH($F640,사건마스터!$A$5:$A$64,0)),""))</f>
        <v/>
      </c>
      <c r="L640" s="35">
        <f>IF($F640="","",IFERROR(INDEX(사건마스터!$AI$5:$AI$64,MATCH($F640,사건마스터!$A$5:$A$64,0)),""))</f>
        <v/>
      </c>
      <c r="M640" s="35">
        <f>IF($F640="","",IFERROR(INDEX(사건마스터!$AJ$5:$AJ$64,MATCH($F640,사건마스터!$A$5:$A$64,0)),""))</f>
        <v/>
      </c>
      <c r="N640" s="35">
        <f>IF($F640="","",IFERROR(INDEX(사건마스터!$AK$5:$AK$64,MATCH($F640,사건마스터!$A$5:$A$64,0)),""))</f>
        <v/>
      </c>
      <c r="O640" s="35">
        <f>IF($F640="","",IFERROR(INDEX(사건마스터!$AL$5:$AL$64,MATCH($F640,사건마스터!$A$5:$A$64,0)),""))</f>
        <v/>
      </c>
      <c r="P640" s="35">
        <f>IF($F640="","",IFERROR(INDEX(사건마스터!$AM$5:$AM$64,MATCH($F640,사건마스터!$A$5:$A$64,0)),""))</f>
        <v/>
      </c>
      <c r="Q640" s="35">
        <f>IF($F640="","",IFERROR(INDEX(사건마스터!$AN$5:$AN$64,MATCH($F640,사건마스터!$A$5:$A$64,0)),""))</f>
        <v/>
      </c>
      <c r="R640" s="35">
        <f>IF($F640="","",IFERROR(INDEX(사건마스터!$AO$5:$AO$64,MATCH($F640,사건마스터!$A$5:$A$64,0)),""))</f>
        <v/>
      </c>
      <c r="S640" s="35">
        <f>IF($F640="","",IFERROR(INDEX(사건마스터!$AP$5:$AP$64,MATCH($F640,사건마스터!$A$5:$A$64,0)),""))</f>
        <v/>
      </c>
      <c r="T640" s="35">
        <f>IF($F640="","",IFERROR(INDEX(사건마스터!$AQ$5:$AQ$64,MATCH($F640,사건마스터!$A$5:$A$64,0)),""))</f>
        <v/>
      </c>
      <c r="U640" s="35">
        <f>IF($F640="","",IFERROR(INDEX(사건마스터!$AR$5:$AR$64,MATCH($F640,사건마스터!$A$5:$A$64,0)),""))</f>
        <v/>
      </c>
      <c r="V640" s="35">
        <f>IF($F640="","",IFERROR(INDEX(사건마스터!$AS$5:$AS$64,MATCH($F640,사건마스터!$A$5:$A$64,0)),""))</f>
        <v/>
      </c>
      <c r="W640" s="35">
        <f>IF($F640="","",IFERROR(INDEX(사건마스터!$AT$5:$AT$64,MATCH($F640,사건마스터!$A$5:$A$64,0)),""))</f>
        <v/>
      </c>
      <c r="X640" s="35">
        <f>IF($F640="","",IFERROR(INDEX(사건마스터!$AU$5:$AU$64,MATCH($F640,사건마스터!$A$5:$A$64,0)),""))</f>
        <v/>
      </c>
      <c r="Y640" s="35">
        <f>IF($F640="","",IFERROR(INDEX(사건마스터!$AV$5:$AV$64,MATCH($F640,사건마스터!$A$5:$A$64,0)),""))</f>
        <v/>
      </c>
      <c r="Z640" s="30">
        <f>IF(COUNTBLANK($J640:$Y640)=16,"",16-COUNTBLANK($J640:$Y640))</f>
        <v/>
      </c>
      <c r="AA640" s="33">
        <f>IF($J640="",MID($AX640,3,255),$J640&amp;$AX640)</f>
        <v/>
      </c>
      <c r="AB640" s="34">
        <f>IF($J640="","",IFERROR(INDEX(코드설정!$D$5:$D$24,MATCH($J640,코드설정!$C$5:$C$24,0)),""))</f>
        <v/>
      </c>
      <c r="AC640" s="36" t="n"/>
      <c r="AD640" s="37" t="n"/>
      <c r="AE640" s="38" t="n"/>
      <c r="AF640" s="30">
        <f>IF(OR($B640="",$C640=""),"",$C640-$B640+1)</f>
        <v/>
      </c>
      <c r="AG640" s="32" t="n"/>
      <c r="AH640" s="36" t="n"/>
      <c r="AJ640">
        <f>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  <c r="AX640">
        <f>AW640&amp;IF($Y640="","",", "&amp;$Y640)</f>
        <v/>
      </c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0">
        <f>IF($F641="","",COUNTIF($F$5:$F641,$F641))</f>
        <v/>
      </c>
      <c r="H641" s="33">
        <f>IF($F641="","",IFERROR(INDEX(사건마스터!$B$5:$B$64,MATCH($F641,사건마스터!$A$5:$A$64,0)),""))</f>
        <v/>
      </c>
      <c r="I641" s="34">
        <f>IF($F641="","",IFERROR(INDEX(사건마스터!$C$5:$C$64,MATCH($F641,사건마스터!$A$5:$A$64,0)),""))</f>
        <v/>
      </c>
      <c r="J641" s="35">
        <f>IF($F641="","",IFERROR(INDEX(사건마스터!$H$5:$H$64,MATCH($F641,사건마스터!$A$5:$A$64,0)),""))</f>
        <v/>
      </c>
      <c r="K641" s="35">
        <f>IF($F641="","",IFERROR(INDEX(사건마스터!$AH$5:$AH$64,MATCH($F641,사건마스터!$A$5:$A$64,0)),""))</f>
        <v/>
      </c>
      <c r="L641" s="35">
        <f>IF($F641="","",IFERROR(INDEX(사건마스터!$AI$5:$AI$64,MATCH($F641,사건마스터!$A$5:$A$64,0)),""))</f>
        <v/>
      </c>
      <c r="M641" s="35">
        <f>IF($F641="","",IFERROR(INDEX(사건마스터!$AJ$5:$AJ$64,MATCH($F641,사건마스터!$A$5:$A$64,0)),""))</f>
        <v/>
      </c>
      <c r="N641" s="35">
        <f>IF($F641="","",IFERROR(INDEX(사건마스터!$AK$5:$AK$64,MATCH($F641,사건마스터!$A$5:$A$64,0)),""))</f>
        <v/>
      </c>
      <c r="O641" s="35">
        <f>IF($F641="","",IFERROR(INDEX(사건마스터!$AL$5:$AL$64,MATCH($F641,사건마스터!$A$5:$A$64,0)),""))</f>
        <v/>
      </c>
      <c r="P641" s="35">
        <f>IF($F641="","",IFERROR(INDEX(사건마스터!$AM$5:$AM$64,MATCH($F641,사건마스터!$A$5:$A$64,0)),""))</f>
        <v/>
      </c>
      <c r="Q641" s="35">
        <f>IF($F641="","",IFERROR(INDEX(사건마스터!$AN$5:$AN$64,MATCH($F641,사건마스터!$A$5:$A$64,0)),""))</f>
        <v/>
      </c>
      <c r="R641" s="35">
        <f>IF($F641="","",IFERROR(INDEX(사건마스터!$AO$5:$AO$64,MATCH($F641,사건마스터!$A$5:$A$64,0)),""))</f>
        <v/>
      </c>
      <c r="S641" s="35">
        <f>IF($F641="","",IFERROR(INDEX(사건마스터!$AP$5:$AP$64,MATCH($F641,사건마스터!$A$5:$A$64,0)),""))</f>
        <v/>
      </c>
      <c r="T641" s="35">
        <f>IF($F641="","",IFERROR(INDEX(사건마스터!$AQ$5:$AQ$64,MATCH($F641,사건마스터!$A$5:$A$64,0)),""))</f>
        <v/>
      </c>
      <c r="U641" s="35">
        <f>IF($F641="","",IFERROR(INDEX(사건마스터!$AR$5:$AR$64,MATCH($F641,사건마스터!$A$5:$A$64,0)),""))</f>
        <v/>
      </c>
      <c r="V641" s="35">
        <f>IF($F641="","",IFERROR(INDEX(사건마스터!$AS$5:$AS$64,MATCH($F641,사건마스터!$A$5:$A$64,0)),""))</f>
        <v/>
      </c>
      <c r="W641" s="35">
        <f>IF($F641="","",IFERROR(INDEX(사건마스터!$AT$5:$AT$64,MATCH($F641,사건마스터!$A$5:$A$64,0)),""))</f>
        <v/>
      </c>
      <c r="X641" s="35">
        <f>IF($F641="","",IFERROR(INDEX(사건마스터!$AU$5:$AU$64,MATCH($F641,사건마스터!$A$5:$A$64,0)),""))</f>
        <v/>
      </c>
      <c r="Y641" s="35">
        <f>IF($F641="","",IFERROR(INDEX(사건마스터!$AV$5:$AV$64,MATCH($F641,사건마스터!$A$5:$A$64,0)),""))</f>
        <v/>
      </c>
      <c r="Z641" s="30">
        <f>IF(COUNTBLANK($J641:$Y641)=16,"",16-COUNTBLANK($J641:$Y641))</f>
        <v/>
      </c>
      <c r="AA641" s="33">
        <f>IF($J641="",MID($AX641,3,255),$J641&amp;$AX641)</f>
        <v/>
      </c>
      <c r="AB641" s="34">
        <f>IF($J641="","",IFERROR(INDEX(코드설정!$D$5:$D$24,MATCH($J641,코드설정!$C$5:$C$24,0)),""))</f>
        <v/>
      </c>
      <c r="AC641" s="36" t="n"/>
      <c r="AD641" s="37" t="n"/>
      <c r="AE641" s="38" t="n"/>
      <c r="AF641" s="30">
        <f>IF(OR($B641="",$C641=""),"",$C641-$B641+1)</f>
        <v/>
      </c>
      <c r="AG641" s="32" t="n"/>
      <c r="AH641" s="36" t="n"/>
      <c r="AJ641">
        <f>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  <c r="AX641">
        <f>AW641&amp;IF($Y641="","",", "&amp;$Y641)</f>
        <v/>
      </c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0">
        <f>IF($F642="","",COUNTIF($F$5:$F642,$F642))</f>
        <v/>
      </c>
      <c r="H642" s="33">
        <f>IF($F642="","",IFERROR(INDEX(사건마스터!$B$5:$B$64,MATCH($F642,사건마스터!$A$5:$A$64,0)),""))</f>
        <v/>
      </c>
      <c r="I642" s="34">
        <f>IF($F642="","",IFERROR(INDEX(사건마스터!$C$5:$C$64,MATCH($F642,사건마스터!$A$5:$A$64,0)),""))</f>
        <v/>
      </c>
      <c r="J642" s="35">
        <f>IF($F642="","",IFERROR(INDEX(사건마스터!$H$5:$H$64,MATCH($F642,사건마스터!$A$5:$A$64,0)),""))</f>
        <v/>
      </c>
      <c r="K642" s="35">
        <f>IF($F642="","",IFERROR(INDEX(사건마스터!$AH$5:$AH$64,MATCH($F642,사건마스터!$A$5:$A$64,0)),""))</f>
        <v/>
      </c>
      <c r="L642" s="35">
        <f>IF($F642="","",IFERROR(INDEX(사건마스터!$AI$5:$AI$64,MATCH($F642,사건마스터!$A$5:$A$64,0)),""))</f>
        <v/>
      </c>
      <c r="M642" s="35">
        <f>IF($F642="","",IFERROR(INDEX(사건마스터!$AJ$5:$AJ$64,MATCH($F642,사건마스터!$A$5:$A$64,0)),""))</f>
        <v/>
      </c>
      <c r="N642" s="35">
        <f>IF($F642="","",IFERROR(INDEX(사건마스터!$AK$5:$AK$64,MATCH($F642,사건마스터!$A$5:$A$64,0)),""))</f>
        <v/>
      </c>
      <c r="O642" s="35">
        <f>IF($F642="","",IFERROR(INDEX(사건마스터!$AL$5:$AL$64,MATCH($F642,사건마스터!$A$5:$A$64,0)),""))</f>
        <v/>
      </c>
      <c r="P642" s="35">
        <f>IF($F642="","",IFERROR(INDEX(사건마스터!$AM$5:$AM$64,MATCH($F642,사건마스터!$A$5:$A$64,0)),""))</f>
        <v/>
      </c>
      <c r="Q642" s="35">
        <f>IF($F642="","",IFERROR(INDEX(사건마스터!$AN$5:$AN$64,MATCH($F642,사건마스터!$A$5:$A$64,0)),""))</f>
        <v/>
      </c>
      <c r="R642" s="35">
        <f>IF($F642="","",IFERROR(INDEX(사건마스터!$AO$5:$AO$64,MATCH($F642,사건마스터!$A$5:$A$64,0)),""))</f>
        <v/>
      </c>
      <c r="S642" s="35">
        <f>IF($F642="","",IFERROR(INDEX(사건마스터!$AP$5:$AP$64,MATCH($F642,사건마스터!$A$5:$A$64,0)),""))</f>
        <v/>
      </c>
      <c r="T642" s="35">
        <f>IF($F642="","",IFERROR(INDEX(사건마스터!$AQ$5:$AQ$64,MATCH($F642,사건마스터!$A$5:$A$64,0)),""))</f>
        <v/>
      </c>
      <c r="U642" s="35">
        <f>IF($F642="","",IFERROR(INDEX(사건마스터!$AR$5:$AR$64,MATCH($F642,사건마스터!$A$5:$A$64,0)),""))</f>
        <v/>
      </c>
      <c r="V642" s="35">
        <f>IF($F642="","",IFERROR(INDEX(사건마스터!$AS$5:$AS$64,MATCH($F642,사건마스터!$A$5:$A$64,0)),""))</f>
        <v/>
      </c>
      <c r="W642" s="35">
        <f>IF($F642="","",IFERROR(INDEX(사건마스터!$AT$5:$AT$64,MATCH($F642,사건마스터!$A$5:$A$64,0)),""))</f>
        <v/>
      </c>
      <c r="X642" s="35">
        <f>IF($F642="","",IFERROR(INDEX(사건마스터!$AU$5:$AU$64,MATCH($F642,사건마스터!$A$5:$A$64,0)),""))</f>
        <v/>
      </c>
      <c r="Y642" s="35">
        <f>IF($F642="","",IFERROR(INDEX(사건마스터!$AV$5:$AV$64,MATCH($F642,사건마스터!$A$5:$A$64,0)),""))</f>
        <v/>
      </c>
      <c r="Z642" s="30">
        <f>IF(COUNTBLANK($J642:$Y642)=16,"",16-COUNTBLANK($J642:$Y642))</f>
        <v/>
      </c>
      <c r="AA642" s="33">
        <f>IF($J642="",MID($AX642,3,255),$J642&amp;$AX642)</f>
        <v/>
      </c>
      <c r="AB642" s="34">
        <f>IF($J642="","",IFERROR(INDEX(코드설정!$D$5:$D$24,MATCH($J642,코드설정!$C$5:$C$24,0)),""))</f>
        <v/>
      </c>
      <c r="AC642" s="36" t="n"/>
      <c r="AD642" s="37" t="n"/>
      <c r="AE642" s="38" t="n"/>
      <c r="AF642" s="30">
        <f>IF(OR($B642="",$C642=""),"",$C642-$B642+1)</f>
        <v/>
      </c>
      <c r="AG642" s="32" t="n"/>
      <c r="AH642" s="36" t="n"/>
      <c r="AJ642">
        <f>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  <c r="AX642">
        <f>AW642&amp;IF($Y642="","",", "&amp;$Y642)</f>
        <v/>
      </c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0">
        <f>IF($F643="","",COUNTIF($F$5:$F643,$F643))</f>
        <v/>
      </c>
      <c r="H643" s="33">
        <f>IF($F643="","",IFERROR(INDEX(사건마스터!$B$5:$B$64,MATCH($F643,사건마스터!$A$5:$A$64,0)),""))</f>
        <v/>
      </c>
      <c r="I643" s="34">
        <f>IF($F643="","",IFERROR(INDEX(사건마스터!$C$5:$C$64,MATCH($F643,사건마스터!$A$5:$A$64,0)),""))</f>
        <v/>
      </c>
      <c r="J643" s="35">
        <f>IF($F643="","",IFERROR(INDEX(사건마스터!$H$5:$H$64,MATCH($F643,사건마스터!$A$5:$A$64,0)),""))</f>
        <v/>
      </c>
      <c r="K643" s="35">
        <f>IF($F643="","",IFERROR(INDEX(사건마스터!$AH$5:$AH$64,MATCH($F643,사건마스터!$A$5:$A$64,0)),""))</f>
        <v/>
      </c>
      <c r="L643" s="35">
        <f>IF($F643="","",IFERROR(INDEX(사건마스터!$AI$5:$AI$64,MATCH($F643,사건마스터!$A$5:$A$64,0)),""))</f>
        <v/>
      </c>
      <c r="M643" s="35">
        <f>IF($F643="","",IFERROR(INDEX(사건마스터!$AJ$5:$AJ$64,MATCH($F643,사건마스터!$A$5:$A$64,0)),""))</f>
        <v/>
      </c>
      <c r="N643" s="35">
        <f>IF($F643="","",IFERROR(INDEX(사건마스터!$AK$5:$AK$64,MATCH($F643,사건마스터!$A$5:$A$64,0)),""))</f>
        <v/>
      </c>
      <c r="O643" s="35">
        <f>IF($F643="","",IFERROR(INDEX(사건마스터!$AL$5:$AL$64,MATCH($F643,사건마스터!$A$5:$A$64,0)),""))</f>
        <v/>
      </c>
      <c r="P643" s="35">
        <f>IF($F643="","",IFERROR(INDEX(사건마스터!$AM$5:$AM$64,MATCH($F643,사건마스터!$A$5:$A$64,0)),""))</f>
        <v/>
      </c>
      <c r="Q643" s="35">
        <f>IF($F643="","",IFERROR(INDEX(사건마스터!$AN$5:$AN$64,MATCH($F643,사건마스터!$A$5:$A$64,0)),""))</f>
        <v/>
      </c>
      <c r="R643" s="35">
        <f>IF($F643="","",IFERROR(INDEX(사건마스터!$AO$5:$AO$64,MATCH($F643,사건마스터!$A$5:$A$64,0)),""))</f>
        <v/>
      </c>
      <c r="S643" s="35">
        <f>IF($F643="","",IFERROR(INDEX(사건마스터!$AP$5:$AP$64,MATCH($F643,사건마스터!$A$5:$A$64,0)),""))</f>
        <v/>
      </c>
      <c r="T643" s="35">
        <f>IF($F643="","",IFERROR(INDEX(사건마스터!$AQ$5:$AQ$64,MATCH($F643,사건마스터!$A$5:$A$64,0)),""))</f>
        <v/>
      </c>
      <c r="U643" s="35">
        <f>IF($F643="","",IFERROR(INDEX(사건마스터!$AR$5:$AR$64,MATCH($F643,사건마스터!$A$5:$A$64,0)),""))</f>
        <v/>
      </c>
      <c r="V643" s="35">
        <f>IF($F643="","",IFERROR(INDEX(사건마스터!$AS$5:$AS$64,MATCH($F643,사건마스터!$A$5:$A$64,0)),""))</f>
        <v/>
      </c>
      <c r="W643" s="35">
        <f>IF($F643="","",IFERROR(INDEX(사건마스터!$AT$5:$AT$64,MATCH($F643,사건마스터!$A$5:$A$64,0)),""))</f>
        <v/>
      </c>
      <c r="X643" s="35">
        <f>IF($F643="","",IFERROR(INDEX(사건마스터!$AU$5:$AU$64,MATCH($F643,사건마스터!$A$5:$A$64,0)),""))</f>
        <v/>
      </c>
      <c r="Y643" s="35">
        <f>IF($F643="","",IFERROR(INDEX(사건마스터!$AV$5:$AV$64,MATCH($F643,사건마스터!$A$5:$A$64,0)),""))</f>
        <v/>
      </c>
      <c r="Z643" s="30">
        <f>IF(COUNTBLANK($J643:$Y643)=16,"",16-COUNTBLANK($J643:$Y643))</f>
        <v/>
      </c>
      <c r="AA643" s="33">
        <f>IF($J643="",MID($AX643,3,255),$J643&amp;$AX643)</f>
        <v/>
      </c>
      <c r="AB643" s="34">
        <f>IF($J643="","",IFERROR(INDEX(코드설정!$D$5:$D$24,MATCH($J643,코드설정!$C$5:$C$24,0)),""))</f>
        <v/>
      </c>
      <c r="AC643" s="36" t="n"/>
      <c r="AD643" s="37" t="n"/>
      <c r="AE643" s="38" t="n"/>
      <c r="AF643" s="30">
        <f>IF(OR($B643="",$C643=""),"",$C643-$B643+1)</f>
        <v/>
      </c>
      <c r="AG643" s="32" t="n"/>
      <c r="AH643" s="36" t="n"/>
      <c r="AJ643">
        <f>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  <c r="AX643">
        <f>AW643&amp;IF($Y643="","",", "&amp;$Y643)</f>
        <v/>
      </c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0">
        <f>IF($F644="","",COUNTIF($F$5:$F644,$F644))</f>
        <v/>
      </c>
      <c r="H644" s="33">
        <f>IF($F644="","",IFERROR(INDEX(사건마스터!$B$5:$B$64,MATCH($F644,사건마스터!$A$5:$A$64,0)),""))</f>
        <v/>
      </c>
      <c r="I644" s="34">
        <f>IF($F644="","",IFERROR(INDEX(사건마스터!$C$5:$C$64,MATCH($F644,사건마스터!$A$5:$A$64,0)),""))</f>
        <v/>
      </c>
      <c r="J644" s="35">
        <f>IF($F644="","",IFERROR(INDEX(사건마스터!$H$5:$H$64,MATCH($F644,사건마스터!$A$5:$A$64,0)),""))</f>
        <v/>
      </c>
      <c r="K644" s="35">
        <f>IF($F644="","",IFERROR(INDEX(사건마스터!$AH$5:$AH$64,MATCH($F644,사건마스터!$A$5:$A$64,0)),""))</f>
        <v/>
      </c>
      <c r="L644" s="35">
        <f>IF($F644="","",IFERROR(INDEX(사건마스터!$AI$5:$AI$64,MATCH($F644,사건마스터!$A$5:$A$64,0)),""))</f>
        <v/>
      </c>
      <c r="M644" s="35">
        <f>IF($F644="","",IFERROR(INDEX(사건마스터!$AJ$5:$AJ$64,MATCH($F644,사건마스터!$A$5:$A$64,0)),""))</f>
        <v/>
      </c>
      <c r="N644" s="35">
        <f>IF($F644="","",IFERROR(INDEX(사건마스터!$AK$5:$AK$64,MATCH($F644,사건마스터!$A$5:$A$64,0)),""))</f>
        <v/>
      </c>
      <c r="O644" s="35">
        <f>IF($F644="","",IFERROR(INDEX(사건마스터!$AL$5:$AL$64,MATCH($F644,사건마스터!$A$5:$A$64,0)),""))</f>
        <v/>
      </c>
      <c r="P644" s="35">
        <f>IF($F644="","",IFERROR(INDEX(사건마스터!$AM$5:$AM$64,MATCH($F644,사건마스터!$A$5:$A$64,0)),""))</f>
        <v/>
      </c>
      <c r="Q644" s="35">
        <f>IF($F644="","",IFERROR(INDEX(사건마스터!$AN$5:$AN$64,MATCH($F644,사건마스터!$A$5:$A$64,0)),""))</f>
        <v/>
      </c>
      <c r="R644" s="35">
        <f>IF($F644="","",IFERROR(INDEX(사건마스터!$AO$5:$AO$64,MATCH($F644,사건마스터!$A$5:$A$64,0)),""))</f>
        <v/>
      </c>
      <c r="S644" s="35">
        <f>IF($F644="","",IFERROR(INDEX(사건마스터!$AP$5:$AP$64,MATCH($F644,사건마스터!$A$5:$A$64,0)),""))</f>
        <v/>
      </c>
      <c r="T644" s="35">
        <f>IF($F644="","",IFERROR(INDEX(사건마스터!$AQ$5:$AQ$64,MATCH($F644,사건마스터!$A$5:$A$64,0)),""))</f>
        <v/>
      </c>
      <c r="U644" s="35">
        <f>IF($F644="","",IFERROR(INDEX(사건마스터!$AR$5:$AR$64,MATCH($F644,사건마스터!$A$5:$A$64,0)),""))</f>
        <v/>
      </c>
      <c r="V644" s="35">
        <f>IF($F644="","",IFERROR(INDEX(사건마스터!$AS$5:$AS$64,MATCH($F644,사건마스터!$A$5:$A$64,0)),""))</f>
        <v/>
      </c>
      <c r="W644" s="35">
        <f>IF($F644="","",IFERROR(INDEX(사건마스터!$AT$5:$AT$64,MATCH($F644,사건마스터!$A$5:$A$64,0)),""))</f>
        <v/>
      </c>
      <c r="X644" s="35">
        <f>IF($F644="","",IFERROR(INDEX(사건마스터!$AU$5:$AU$64,MATCH($F644,사건마스터!$A$5:$A$64,0)),""))</f>
        <v/>
      </c>
      <c r="Y644" s="35">
        <f>IF($F644="","",IFERROR(INDEX(사건마스터!$AV$5:$AV$64,MATCH($F644,사건마스터!$A$5:$A$64,0)),""))</f>
        <v/>
      </c>
      <c r="Z644" s="30">
        <f>IF(COUNTBLANK($J644:$Y644)=16,"",16-COUNTBLANK($J644:$Y644))</f>
        <v/>
      </c>
      <c r="AA644" s="33">
        <f>IF($J644="",MID($AX644,3,255),$J644&amp;$AX644)</f>
        <v/>
      </c>
      <c r="AB644" s="34">
        <f>IF($J644="","",IFERROR(INDEX(코드설정!$D$5:$D$24,MATCH($J644,코드설정!$C$5:$C$24,0)),""))</f>
        <v/>
      </c>
      <c r="AC644" s="36" t="n"/>
      <c r="AD644" s="37" t="n"/>
      <c r="AE644" s="38" t="n"/>
      <c r="AF644" s="30">
        <f>IF(OR($B644="",$C644=""),"",$C644-$B644+1)</f>
        <v/>
      </c>
      <c r="AG644" s="32" t="n"/>
      <c r="AH644" s="36" t="n"/>
      <c r="AJ644">
        <f>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  <c r="AX644">
        <f>AW644&amp;IF($Y644="","",", "&amp;$Y644)</f>
        <v/>
      </c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0">
        <f>IF($F645="","",COUNTIF($F$5:$F645,$F645))</f>
        <v/>
      </c>
      <c r="H645" s="33">
        <f>IF($F645="","",IFERROR(INDEX(사건마스터!$B$5:$B$64,MATCH($F645,사건마스터!$A$5:$A$64,0)),""))</f>
        <v/>
      </c>
      <c r="I645" s="34">
        <f>IF($F645="","",IFERROR(INDEX(사건마스터!$C$5:$C$64,MATCH($F645,사건마스터!$A$5:$A$64,0)),""))</f>
        <v/>
      </c>
      <c r="J645" s="35">
        <f>IF($F645="","",IFERROR(INDEX(사건마스터!$H$5:$H$64,MATCH($F645,사건마스터!$A$5:$A$64,0)),""))</f>
        <v/>
      </c>
      <c r="K645" s="35">
        <f>IF($F645="","",IFERROR(INDEX(사건마스터!$AH$5:$AH$64,MATCH($F645,사건마스터!$A$5:$A$64,0)),""))</f>
        <v/>
      </c>
      <c r="L645" s="35">
        <f>IF($F645="","",IFERROR(INDEX(사건마스터!$AI$5:$AI$64,MATCH($F645,사건마스터!$A$5:$A$64,0)),""))</f>
        <v/>
      </c>
      <c r="M645" s="35">
        <f>IF($F645="","",IFERROR(INDEX(사건마스터!$AJ$5:$AJ$64,MATCH($F645,사건마스터!$A$5:$A$64,0)),""))</f>
        <v/>
      </c>
      <c r="N645" s="35">
        <f>IF($F645="","",IFERROR(INDEX(사건마스터!$AK$5:$AK$64,MATCH($F645,사건마스터!$A$5:$A$64,0)),""))</f>
        <v/>
      </c>
      <c r="O645" s="35">
        <f>IF($F645="","",IFERROR(INDEX(사건마스터!$AL$5:$AL$64,MATCH($F645,사건마스터!$A$5:$A$64,0)),""))</f>
        <v/>
      </c>
      <c r="P645" s="35">
        <f>IF($F645="","",IFERROR(INDEX(사건마스터!$AM$5:$AM$64,MATCH($F645,사건마스터!$A$5:$A$64,0)),""))</f>
        <v/>
      </c>
      <c r="Q645" s="35">
        <f>IF($F645="","",IFERROR(INDEX(사건마스터!$AN$5:$AN$64,MATCH($F645,사건마스터!$A$5:$A$64,0)),""))</f>
        <v/>
      </c>
      <c r="R645" s="35">
        <f>IF($F645="","",IFERROR(INDEX(사건마스터!$AO$5:$AO$64,MATCH($F645,사건마스터!$A$5:$A$64,0)),""))</f>
        <v/>
      </c>
      <c r="S645" s="35">
        <f>IF($F645="","",IFERROR(INDEX(사건마스터!$AP$5:$AP$64,MATCH($F645,사건마스터!$A$5:$A$64,0)),""))</f>
        <v/>
      </c>
      <c r="T645" s="35">
        <f>IF($F645="","",IFERROR(INDEX(사건마스터!$AQ$5:$AQ$64,MATCH($F645,사건마스터!$A$5:$A$64,0)),""))</f>
        <v/>
      </c>
      <c r="U645" s="35">
        <f>IF($F645="","",IFERROR(INDEX(사건마스터!$AR$5:$AR$64,MATCH($F645,사건마스터!$A$5:$A$64,0)),""))</f>
        <v/>
      </c>
      <c r="V645" s="35">
        <f>IF($F645="","",IFERROR(INDEX(사건마스터!$AS$5:$AS$64,MATCH($F645,사건마스터!$A$5:$A$64,0)),""))</f>
        <v/>
      </c>
      <c r="W645" s="35">
        <f>IF($F645="","",IFERROR(INDEX(사건마스터!$AT$5:$AT$64,MATCH($F645,사건마스터!$A$5:$A$64,0)),""))</f>
        <v/>
      </c>
      <c r="X645" s="35">
        <f>IF($F645="","",IFERROR(INDEX(사건마스터!$AU$5:$AU$64,MATCH($F645,사건마스터!$A$5:$A$64,0)),""))</f>
        <v/>
      </c>
      <c r="Y645" s="35">
        <f>IF($F645="","",IFERROR(INDEX(사건마스터!$AV$5:$AV$64,MATCH($F645,사건마스터!$A$5:$A$64,0)),""))</f>
        <v/>
      </c>
      <c r="Z645" s="30">
        <f>IF(COUNTBLANK($J645:$Y645)=16,"",16-COUNTBLANK($J645:$Y645))</f>
        <v/>
      </c>
      <c r="AA645" s="33">
        <f>IF($J645="",MID($AX645,3,255),$J645&amp;$AX645)</f>
        <v/>
      </c>
      <c r="AB645" s="34">
        <f>IF($J645="","",IFERROR(INDEX(코드설정!$D$5:$D$24,MATCH($J645,코드설정!$C$5:$C$24,0)),""))</f>
        <v/>
      </c>
      <c r="AC645" s="36" t="n"/>
      <c r="AD645" s="37" t="n"/>
      <c r="AE645" s="38" t="n"/>
      <c r="AF645" s="30">
        <f>IF(OR($B645="",$C645=""),"",$C645-$B645+1)</f>
        <v/>
      </c>
      <c r="AG645" s="32" t="n"/>
      <c r="AH645" s="36" t="n"/>
      <c r="AJ645">
        <f>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  <c r="AX645">
        <f>AW645&amp;IF($Y645="","",", "&amp;$Y645)</f>
        <v/>
      </c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0">
        <f>IF($F646="","",COUNTIF($F$5:$F646,$F646))</f>
        <v/>
      </c>
      <c r="H646" s="33">
        <f>IF($F646="","",IFERROR(INDEX(사건마스터!$B$5:$B$64,MATCH($F646,사건마스터!$A$5:$A$64,0)),""))</f>
        <v/>
      </c>
      <c r="I646" s="34">
        <f>IF($F646="","",IFERROR(INDEX(사건마스터!$C$5:$C$64,MATCH($F646,사건마스터!$A$5:$A$64,0)),""))</f>
        <v/>
      </c>
      <c r="J646" s="35">
        <f>IF($F646="","",IFERROR(INDEX(사건마스터!$H$5:$H$64,MATCH($F646,사건마스터!$A$5:$A$64,0)),""))</f>
        <v/>
      </c>
      <c r="K646" s="35">
        <f>IF($F646="","",IFERROR(INDEX(사건마스터!$AH$5:$AH$64,MATCH($F646,사건마스터!$A$5:$A$64,0)),""))</f>
        <v/>
      </c>
      <c r="L646" s="35">
        <f>IF($F646="","",IFERROR(INDEX(사건마스터!$AI$5:$AI$64,MATCH($F646,사건마스터!$A$5:$A$64,0)),""))</f>
        <v/>
      </c>
      <c r="M646" s="35">
        <f>IF($F646="","",IFERROR(INDEX(사건마스터!$AJ$5:$AJ$64,MATCH($F646,사건마스터!$A$5:$A$64,0)),""))</f>
        <v/>
      </c>
      <c r="N646" s="35">
        <f>IF($F646="","",IFERROR(INDEX(사건마스터!$AK$5:$AK$64,MATCH($F646,사건마스터!$A$5:$A$64,0)),""))</f>
        <v/>
      </c>
      <c r="O646" s="35">
        <f>IF($F646="","",IFERROR(INDEX(사건마스터!$AL$5:$AL$64,MATCH($F646,사건마스터!$A$5:$A$64,0)),""))</f>
        <v/>
      </c>
      <c r="P646" s="35">
        <f>IF($F646="","",IFERROR(INDEX(사건마스터!$AM$5:$AM$64,MATCH($F646,사건마스터!$A$5:$A$64,0)),""))</f>
        <v/>
      </c>
      <c r="Q646" s="35">
        <f>IF($F646="","",IFERROR(INDEX(사건마스터!$AN$5:$AN$64,MATCH($F646,사건마스터!$A$5:$A$64,0)),""))</f>
        <v/>
      </c>
      <c r="R646" s="35">
        <f>IF($F646="","",IFERROR(INDEX(사건마스터!$AO$5:$AO$64,MATCH($F646,사건마스터!$A$5:$A$64,0)),""))</f>
        <v/>
      </c>
      <c r="S646" s="35">
        <f>IF($F646="","",IFERROR(INDEX(사건마스터!$AP$5:$AP$64,MATCH($F646,사건마스터!$A$5:$A$64,0)),""))</f>
        <v/>
      </c>
      <c r="T646" s="35">
        <f>IF($F646="","",IFERROR(INDEX(사건마스터!$AQ$5:$AQ$64,MATCH($F646,사건마스터!$A$5:$A$64,0)),""))</f>
        <v/>
      </c>
      <c r="U646" s="35">
        <f>IF($F646="","",IFERROR(INDEX(사건마스터!$AR$5:$AR$64,MATCH($F646,사건마스터!$A$5:$A$64,0)),""))</f>
        <v/>
      </c>
      <c r="V646" s="35">
        <f>IF($F646="","",IFERROR(INDEX(사건마스터!$AS$5:$AS$64,MATCH($F646,사건마스터!$A$5:$A$64,0)),""))</f>
        <v/>
      </c>
      <c r="W646" s="35">
        <f>IF($F646="","",IFERROR(INDEX(사건마스터!$AT$5:$AT$64,MATCH($F646,사건마스터!$A$5:$A$64,0)),""))</f>
        <v/>
      </c>
      <c r="X646" s="35">
        <f>IF($F646="","",IFERROR(INDEX(사건마스터!$AU$5:$AU$64,MATCH($F646,사건마스터!$A$5:$A$64,0)),""))</f>
        <v/>
      </c>
      <c r="Y646" s="35">
        <f>IF($F646="","",IFERROR(INDEX(사건마스터!$AV$5:$AV$64,MATCH($F646,사건마스터!$A$5:$A$64,0)),""))</f>
        <v/>
      </c>
      <c r="Z646" s="30">
        <f>IF(COUNTBLANK($J646:$Y646)=16,"",16-COUNTBLANK($J646:$Y646))</f>
        <v/>
      </c>
      <c r="AA646" s="33">
        <f>IF($J646="",MID($AX646,3,255),$J646&amp;$AX646)</f>
        <v/>
      </c>
      <c r="AB646" s="34">
        <f>IF($J646="","",IFERROR(INDEX(코드설정!$D$5:$D$24,MATCH($J646,코드설정!$C$5:$C$24,0)),""))</f>
        <v/>
      </c>
      <c r="AC646" s="36" t="n"/>
      <c r="AD646" s="37" t="n"/>
      <c r="AE646" s="38" t="n"/>
      <c r="AF646" s="30">
        <f>IF(OR($B646="",$C646=""),"",$C646-$B646+1)</f>
        <v/>
      </c>
      <c r="AG646" s="32" t="n"/>
      <c r="AH646" s="36" t="n"/>
      <c r="AJ646">
        <f>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  <c r="AX646">
        <f>AW646&amp;IF($Y646="","",", "&amp;$Y646)</f>
        <v/>
      </c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0">
        <f>IF($F647="","",COUNTIF($F$5:$F647,$F647))</f>
        <v/>
      </c>
      <c r="H647" s="33">
        <f>IF($F647="","",IFERROR(INDEX(사건마스터!$B$5:$B$64,MATCH($F647,사건마스터!$A$5:$A$64,0)),""))</f>
        <v/>
      </c>
      <c r="I647" s="34">
        <f>IF($F647="","",IFERROR(INDEX(사건마스터!$C$5:$C$64,MATCH($F647,사건마스터!$A$5:$A$64,0)),""))</f>
        <v/>
      </c>
      <c r="J647" s="35">
        <f>IF($F647="","",IFERROR(INDEX(사건마스터!$H$5:$H$64,MATCH($F647,사건마스터!$A$5:$A$64,0)),""))</f>
        <v/>
      </c>
      <c r="K647" s="35">
        <f>IF($F647="","",IFERROR(INDEX(사건마스터!$AH$5:$AH$64,MATCH($F647,사건마스터!$A$5:$A$64,0)),""))</f>
        <v/>
      </c>
      <c r="L647" s="35">
        <f>IF($F647="","",IFERROR(INDEX(사건마스터!$AI$5:$AI$64,MATCH($F647,사건마스터!$A$5:$A$64,0)),""))</f>
        <v/>
      </c>
      <c r="M647" s="35">
        <f>IF($F647="","",IFERROR(INDEX(사건마스터!$AJ$5:$AJ$64,MATCH($F647,사건마스터!$A$5:$A$64,0)),""))</f>
        <v/>
      </c>
      <c r="N647" s="35">
        <f>IF($F647="","",IFERROR(INDEX(사건마스터!$AK$5:$AK$64,MATCH($F647,사건마스터!$A$5:$A$64,0)),""))</f>
        <v/>
      </c>
      <c r="O647" s="35">
        <f>IF($F647="","",IFERROR(INDEX(사건마스터!$AL$5:$AL$64,MATCH($F647,사건마스터!$A$5:$A$64,0)),""))</f>
        <v/>
      </c>
      <c r="P647" s="35">
        <f>IF($F647="","",IFERROR(INDEX(사건마스터!$AM$5:$AM$64,MATCH($F647,사건마스터!$A$5:$A$64,0)),""))</f>
        <v/>
      </c>
      <c r="Q647" s="35">
        <f>IF($F647="","",IFERROR(INDEX(사건마스터!$AN$5:$AN$64,MATCH($F647,사건마스터!$A$5:$A$64,0)),""))</f>
        <v/>
      </c>
      <c r="R647" s="35">
        <f>IF($F647="","",IFERROR(INDEX(사건마스터!$AO$5:$AO$64,MATCH($F647,사건마스터!$A$5:$A$64,0)),""))</f>
        <v/>
      </c>
      <c r="S647" s="35">
        <f>IF($F647="","",IFERROR(INDEX(사건마스터!$AP$5:$AP$64,MATCH($F647,사건마스터!$A$5:$A$64,0)),""))</f>
        <v/>
      </c>
      <c r="T647" s="35">
        <f>IF($F647="","",IFERROR(INDEX(사건마스터!$AQ$5:$AQ$64,MATCH($F647,사건마스터!$A$5:$A$64,0)),""))</f>
        <v/>
      </c>
      <c r="U647" s="35">
        <f>IF($F647="","",IFERROR(INDEX(사건마스터!$AR$5:$AR$64,MATCH($F647,사건마스터!$A$5:$A$64,0)),""))</f>
        <v/>
      </c>
      <c r="V647" s="35">
        <f>IF($F647="","",IFERROR(INDEX(사건마스터!$AS$5:$AS$64,MATCH($F647,사건마스터!$A$5:$A$64,0)),""))</f>
        <v/>
      </c>
      <c r="W647" s="35">
        <f>IF($F647="","",IFERROR(INDEX(사건마스터!$AT$5:$AT$64,MATCH($F647,사건마스터!$A$5:$A$64,0)),""))</f>
        <v/>
      </c>
      <c r="X647" s="35">
        <f>IF($F647="","",IFERROR(INDEX(사건마스터!$AU$5:$AU$64,MATCH($F647,사건마스터!$A$5:$A$64,0)),""))</f>
        <v/>
      </c>
      <c r="Y647" s="35">
        <f>IF($F647="","",IFERROR(INDEX(사건마스터!$AV$5:$AV$64,MATCH($F647,사건마스터!$A$5:$A$64,0)),""))</f>
        <v/>
      </c>
      <c r="Z647" s="30">
        <f>IF(COUNTBLANK($J647:$Y647)=16,"",16-COUNTBLANK($J647:$Y647))</f>
        <v/>
      </c>
      <c r="AA647" s="33">
        <f>IF($J647="",MID($AX647,3,255),$J647&amp;$AX647)</f>
        <v/>
      </c>
      <c r="AB647" s="34">
        <f>IF($J647="","",IFERROR(INDEX(코드설정!$D$5:$D$24,MATCH($J647,코드설정!$C$5:$C$24,0)),""))</f>
        <v/>
      </c>
      <c r="AC647" s="36" t="n"/>
      <c r="AD647" s="37" t="n"/>
      <c r="AE647" s="38" t="n"/>
      <c r="AF647" s="30">
        <f>IF(OR($B647="",$C647=""),"",$C647-$B647+1)</f>
        <v/>
      </c>
      <c r="AG647" s="32" t="n"/>
      <c r="AH647" s="36" t="n"/>
      <c r="AJ647">
        <f>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  <c r="AX647">
        <f>AW647&amp;IF($Y647="","",", "&amp;$Y647)</f>
        <v/>
      </c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0">
        <f>IF($F648="","",COUNTIF($F$5:$F648,$F648))</f>
        <v/>
      </c>
      <c r="H648" s="33">
        <f>IF($F648="","",IFERROR(INDEX(사건마스터!$B$5:$B$64,MATCH($F648,사건마스터!$A$5:$A$64,0)),""))</f>
        <v/>
      </c>
      <c r="I648" s="34">
        <f>IF($F648="","",IFERROR(INDEX(사건마스터!$C$5:$C$64,MATCH($F648,사건마스터!$A$5:$A$64,0)),""))</f>
        <v/>
      </c>
      <c r="J648" s="35">
        <f>IF($F648="","",IFERROR(INDEX(사건마스터!$H$5:$H$64,MATCH($F648,사건마스터!$A$5:$A$64,0)),""))</f>
        <v/>
      </c>
      <c r="K648" s="35">
        <f>IF($F648="","",IFERROR(INDEX(사건마스터!$AH$5:$AH$64,MATCH($F648,사건마스터!$A$5:$A$64,0)),""))</f>
        <v/>
      </c>
      <c r="L648" s="35">
        <f>IF($F648="","",IFERROR(INDEX(사건마스터!$AI$5:$AI$64,MATCH($F648,사건마스터!$A$5:$A$64,0)),""))</f>
        <v/>
      </c>
      <c r="M648" s="35">
        <f>IF($F648="","",IFERROR(INDEX(사건마스터!$AJ$5:$AJ$64,MATCH($F648,사건마스터!$A$5:$A$64,0)),""))</f>
        <v/>
      </c>
      <c r="N648" s="35">
        <f>IF($F648="","",IFERROR(INDEX(사건마스터!$AK$5:$AK$64,MATCH($F648,사건마스터!$A$5:$A$64,0)),""))</f>
        <v/>
      </c>
      <c r="O648" s="35">
        <f>IF($F648="","",IFERROR(INDEX(사건마스터!$AL$5:$AL$64,MATCH($F648,사건마스터!$A$5:$A$64,0)),""))</f>
        <v/>
      </c>
      <c r="P648" s="35">
        <f>IF($F648="","",IFERROR(INDEX(사건마스터!$AM$5:$AM$64,MATCH($F648,사건마스터!$A$5:$A$64,0)),""))</f>
        <v/>
      </c>
      <c r="Q648" s="35">
        <f>IF($F648="","",IFERROR(INDEX(사건마스터!$AN$5:$AN$64,MATCH($F648,사건마스터!$A$5:$A$64,0)),""))</f>
        <v/>
      </c>
      <c r="R648" s="35">
        <f>IF($F648="","",IFERROR(INDEX(사건마스터!$AO$5:$AO$64,MATCH($F648,사건마스터!$A$5:$A$64,0)),""))</f>
        <v/>
      </c>
      <c r="S648" s="35">
        <f>IF($F648="","",IFERROR(INDEX(사건마스터!$AP$5:$AP$64,MATCH($F648,사건마스터!$A$5:$A$64,0)),""))</f>
        <v/>
      </c>
      <c r="T648" s="35">
        <f>IF($F648="","",IFERROR(INDEX(사건마스터!$AQ$5:$AQ$64,MATCH($F648,사건마스터!$A$5:$A$64,0)),""))</f>
        <v/>
      </c>
      <c r="U648" s="35">
        <f>IF($F648="","",IFERROR(INDEX(사건마스터!$AR$5:$AR$64,MATCH($F648,사건마스터!$A$5:$A$64,0)),""))</f>
        <v/>
      </c>
      <c r="V648" s="35">
        <f>IF($F648="","",IFERROR(INDEX(사건마스터!$AS$5:$AS$64,MATCH($F648,사건마스터!$A$5:$A$64,0)),""))</f>
        <v/>
      </c>
      <c r="W648" s="35">
        <f>IF($F648="","",IFERROR(INDEX(사건마스터!$AT$5:$AT$64,MATCH($F648,사건마스터!$A$5:$A$64,0)),""))</f>
        <v/>
      </c>
      <c r="X648" s="35">
        <f>IF($F648="","",IFERROR(INDEX(사건마스터!$AU$5:$AU$64,MATCH($F648,사건마스터!$A$5:$A$64,0)),""))</f>
        <v/>
      </c>
      <c r="Y648" s="35">
        <f>IF($F648="","",IFERROR(INDEX(사건마스터!$AV$5:$AV$64,MATCH($F648,사건마스터!$A$5:$A$64,0)),""))</f>
        <v/>
      </c>
      <c r="Z648" s="30">
        <f>IF(COUNTBLANK($J648:$Y648)=16,"",16-COUNTBLANK($J648:$Y648))</f>
        <v/>
      </c>
      <c r="AA648" s="33">
        <f>IF($J648="",MID($AX648,3,255),$J648&amp;$AX648)</f>
        <v/>
      </c>
      <c r="AB648" s="34">
        <f>IF($J648="","",IFERROR(INDEX(코드설정!$D$5:$D$24,MATCH($J648,코드설정!$C$5:$C$24,0)),""))</f>
        <v/>
      </c>
      <c r="AC648" s="36" t="n"/>
      <c r="AD648" s="37" t="n"/>
      <c r="AE648" s="38" t="n"/>
      <c r="AF648" s="30">
        <f>IF(OR($B648="",$C648=""),"",$C648-$B648+1)</f>
        <v/>
      </c>
      <c r="AG648" s="32" t="n"/>
      <c r="AH648" s="36" t="n"/>
      <c r="AJ648">
        <f>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  <c r="AX648">
        <f>AW648&amp;IF($Y648="","",", "&amp;$Y648)</f>
        <v/>
      </c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0">
        <f>IF($F649="","",COUNTIF($F$5:$F649,$F649))</f>
        <v/>
      </c>
      <c r="H649" s="33">
        <f>IF($F649="","",IFERROR(INDEX(사건마스터!$B$5:$B$64,MATCH($F649,사건마스터!$A$5:$A$64,0)),""))</f>
        <v/>
      </c>
      <c r="I649" s="34">
        <f>IF($F649="","",IFERROR(INDEX(사건마스터!$C$5:$C$64,MATCH($F649,사건마스터!$A$5:$A$64,0)),""))</f>
        <v/>
      </c>
      <c r="J649" s="35">
        <f>IF($F649="","",IFERROR(INDEX(사건마스터!$H$5:$H$64,MATCH($F649,사건마스터!$A$5:$A$64,0)),""))</f>
        <v/>
      </c>
      <c r="K649" s="35">
        <f>IF($F649="","",IFERROR(INDEX(사건마스터!$AH$5:$AH$64,MATCH($F649,사건마스터!$A$5:$A$64,0)),""))</f>
        <v/>
      </c>
      <c r="L649" s="35">
        <f>IF($F649="","",IFERROR(INDEX(사건마스터!$AI$5:$AI$64,MATCH($F649,사건마스터!$A$5:$A$64,0)),""))</f>
        <v/>
      </c>
      <c r="M649" s="35">
        <f>IF($F649="","",IFERROR(INDEX(사건마스터!$AJ$5:$AJ$64,MATCH($F649,사건마스터!$A$5:$A$64,0)),""))</f>
        <v/>
      </c>
      <c r="N649" s="35">
        <f>IF($F649="","",IFERROR(INDEX(사건마스터!$AK$5:$AK$64,MATCH($F649,사건마스터!$A$5:$A$64,0)),""))</f>
        <v/>
      </c>
      <c r="O649" s="35">
        <f>IF($F649="","",IFERROR(INDEX(사건마스터!$AL$5:$AL$64,MATCH($F649,사건마스터!$A$5:$A$64,0)),""))</f>
        <v/>
      </c>
      <c r="P649" s="35">
        <f>IF($F649="","",IFERROR(INDEX(사건마스터!$AM$5:$AM$64,MATCH($F649,사건마스터!$A$5:$A$64,0)),""))</f>
        <v/>
      </c>
      <c r="Q649" s="35">
        <f>IF($F649="","",IFERROR(INDEX(사건마스터!$AN$5:$AN$64,MATCH($F649,사건마스터!$A$5:$A$64,0)),""))</f>
        <v/>
      </c>
      <c r="R649" s="35">
        <f>IF($F649="","",IFERROR(INDEX(사건마스터!$AO$5:$AO$64,MATCH($F649,사건마스터!$A$5:$A$64,0)),""))</f>
        <v/>
      </c>
      <c r="S649" s="35">
        <f>IF($F649="","",IFERROR(INDEX(사건마스터!$AP$5:$AP$64,MATCH($F649,사건마스터!$A$5:$A$64,0)),""))</f>
        <v/>
      </c>
      <c r="T649" s="35">
        <f>IF($F649="","",IFERROR(INDEX(사건마스터!$AQ$5:$AQ$64,MATCH($F649,사건마스터!$A$5:$A$64,0)),""))</f>
        <v/>
      </c>
      <c r="U649" s="35">
        <f>IF($F649="","",IFERROR(INDEX(사건마스터!$AR$5:$AR$64,MATCH($F649,사건마스터!$A$5:$A$64,0)),""))</f>
        <v/>
      </c>
      <c r="V649" s="35">
        <f>IF($F649="","",IFERROR(INDEX(사건마스터!$AS$5:$AS$64,MATCH($F649,사건마스터!$A$5:$A$64,0)),""))</f>
        <v/>
      </c>
      <c r="W649" s="35">
        <f>IF($F649="","",IFERROR(INDEX(사건마스터!$AT$5:$AT$64,MATCH($F649,사건마스터!$A$5:$A$64,0)),""))</f>
        <v/>
      </c>
      <c r="X649" s="35">
        <f>IF($F649="","",IFERROR(INDEX(사건마스터!$AU$5:$AU$64,MATCH($F649,사건마스터!$A$5:$A$64,0)),""))</f>
        <v/>
      </c>
      <c r="Y649" s="35">
        <f>IF($F649="","",IFERROR(INDEX(사건마스터!$AV$5:$AV$64,MATCH($F649,사건마스터!$A$5:$A$64,0)),""))</f>
        <v/>
      </c>
      <c r="Z649" s="30">
        <f>IF(COUNTBLANK($J649:$Y649)=16,"",16-COUNTBLANK($J649:$Y649))</f>
        <v/>
      </c>
      <c r="AA649" s="33">
        <f>IF($J649="",MID($AX649,3,255),$J649&amp;$AX649)</f>
        <v/>
      </c>
      <c r="AB649" s="34">
        <f>IF($J649="","",IFERROR(INDEX(코드설정!$D$5:$D$24,MATCH($J649,코드설정!$C$5:$C$24,0)),""))</f>
        <v/>
      </c>
      <c r="AC649" s="36" t="n"/>
      <c r="AD649" s="37" t="n"/>
      <c r="AE649" s="38" t="n"/>
      <c r="AF649" s="30">
        <f>IF(OR($B649="",$C649=""),"",$C649-$B649+1)</f>
        <v/>
      </c>
      <c r="AG649" s="32" t="n"/>
      <c r="AH649" s="36" t="n"/>
      <c r="AJ649">
        <f>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  <c r="AX649">
        <f>AW649&amp;IF($Y649="","",", "&amp;$Y649)</f>
        <v/>
      </c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0">
        <f>IF($F650="","",COUNTIF($F$5:$F650,$F650))</f>
        <v/>
      </c>
      <c r="H650" s="33">
        <f>IF($F650="","",IFERROR(INDEX(사건마스터!$B$5:$B$64,MATCH($F650,사건마스터!$A$5:$A$64,0)),""))</f>
        <v/>
      </c>
      <c r="I650" s="34">
        <f>IF($F650="","",IFERROR(INDEX(사건마스터!$C$5:$C$64,MATCH($F650,사건마스터!$A$5:$A$64,0)),""))</f>
        <v/>
      </c>
      <c r="J650" s="35">
        <f>IF($F650="","",IFERROR(INDEX(사건마스터!$H$5:$H$64,MATCH($F650,사건마스터!$A$5:$A$64,0)),""))</f>
        <v/>
      </c>
      <c r="K650" s="35">
        <f>IF($F650="","",IFERROR(INDEX(사건마스터!$AH$5:$AH$64,MATCH($F650,사건마스터!$A$5:$A$64,0)),""))</f>
        <v/>
      </c>
      <c r="L650" s="35">
        <f>IF($F650="","",IFERROR(INDEX(사건마스터!$AI$5:$AI$64,MATCH($F650,사건마스터!$A$5:$A$64,0)),""))</f>
        <v/>
      </c>
      <c r="M650" s="35">
        <f>IF($F650="","",IFERROR(INDEX(사건마스터!$AJ$5:$AJ$64,MATCH($F650,사건마스터!$A$5:$A$64,0)),""))</f>
        <v/>
      </c>
      <c r="N650" s="35">
        <f>IF($F650="","",IFERROR(INDEX(사건마스터!$AK$5:$AK$64,MATCH($F650,사건마스터!$A$5:$A$64,0)),""))</f>
        <v/>
      </c>
      <c r="O650" s="35">
        <f>IF($F650="","",IFERROR(INDEX(사건마스터!$AL$5:$AL$64,MATCH($F650,사건마스터!$A$5:$A$64,0)),""))</f>
        <v/>
      </c>
      <c r="P650" s="35">
        <f>IF($F650="","",IFERROR(INDEX(사건마스터!$AM$5:$AM$64,MATCH($F650,사건마스터!$A$5:$A$64,0)),""))</f>
        <v/>
      </c>
      <c r="Q650" s="35">
        <f>IF($F650="","",IFERROR(INDEX(사건마스터!$AN$5:$AN$64,MATCH($F650,사건마스터!$A$5:$A$64,0)),""))</f>
        <v/>
      </c>
      <c r="R650" s="35">
        <f>IF($F650="","",IFERROR(INDEX(사건마스터!$AO$5:$AO$64,MATCH($F650,사건마스터!$A$5:$A$64,0)),""))</f>
        <v/>
      </c>
      <c r="S650" s="35">
        <f>IF($F650="","",IFERROR(INDEX(사건마스터!$AP$5:$AP$64,MATCH($F650,사건마스터!$A$5:$A$64,0)),""))</f>
        <v/>
      </c>
      <c r="T650" s="35">
        <f>IF($F650="","",IFERROR(INDEX(사건마스터!$AQ$5:$AQ$64,MATCH($F650,사건마스터!$A$5:$A$64,0)),""))</f>
        <v/>
      </c>
      <c r="U650" s="35">
        <f>IF($F650="","",IFERROR(INDEX(사건마스터!$AR$5:$AR$64,MATCH($F650,사건마스터!$A$5:$A$64,0)),""))</f>
        <v/>
      </c>
      <c r="V650" s="35">
        <f>IF($F650="","",IFERROR(INDEX(사건마스터!$AS$5:$AS$64,MATCH($F650,사건마스터!$A$5:$A$64,0)),""))</f>
        <v/>
      </c>
      <c r="W650" s="35">
        <f>IF($F650="","",IFERROR(INDEX(사건마스터!$AT$5:$AT$64,MATCH($F650,사건마스터!$A$5:$A$64,0)),""))</f>
        <v/>
      </c>
      <c r="X650" s="35">
        <f>IF($F650="","",IFERROR(INDEX(사건마스터!$AU$5:$AU$64,MATCH($F650,사건마스터!$A$5:$A$64,0)),""))</f>
        <v/>
      </c>
      <c r="Y650" s="35">
        <f>IF($F650="","",IFERROR(INDEX(사건마스터!$AV$5:$AV$64,MATCH($F650,사건마스터!$A$5:$A$64,0)),""))</f>
        <v/>
      </c>
      <c r="Z650" s="30">
        <f>IF(COUNTBLANK($J650:$Y650)=16,"",16-COUNTBLANK($J650:$Y650))</f>
        <v/>
      </c>
      <c r="AA650" s="33">
        <f>IF($J650="",MID($AX650,3,255),$J650&amp;$AX650)</f>
        <v/>
      </c>
      <c r="AB650" s="34">
        <f>IF($J650="","",IFERROR(INDEX(코드설정!$D$5:$D$24,MATCH($J650,코드설정!$C$5:$C$24,0)),""))</f>
        <v/>
      </c>
      <c r="AC650" s="36" t="n"/>
      <c r="AD650" s="37" t="n"/>
      <c r="AE650" s="38" t="n"/>
      <c r="AF650" s="30">
        <f>IF(OR($B650="",$C650=""),"",$C650-$B650+1)</f>
        <v/>
      </c>
      <c r="AG650" s="32" t="n"/>
      <c r="AH650" s="36" t="n"/>
      <c r="AJ650">
        <f>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  <c r="AX650">
        <f>AW650&amp;IF($Y650="","",", "&amp;$Y650)</f>
        <v/>
      </c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0">
        <f>IF($F651="","",COUNTIF($F$5:$F651,$F651))</f>
        <v/>
      </c>
      <c r="H651" s="33">
        <f>IF($F651="","",IFERROR(INDEX(사건마스터!$B$5:$B$64,MATCH($F651,사건마스터!$A$5:$A$64,0)),""))</f>
        <v/>
      </c>
      <c r="I651" s="34">
        <f>IF($F651="","",IFERROR(INDEX(사건마스터!$C$5:$C$64,MATCH($F651,사건마스터!$A$5:$A$64,0)),""))</f>
        <v/>
      </c>
      <c r="J651" s="35">
        <f>IF($F651="","",IFERROR(INDEX(사건마스터!$H$5:$H$64,MATCH($F651,사건마스터!$A$5:$A$64,0)),""))</f>
        <v/>
      </c>
      <c r="K651" s="35">
        <f>IF($F651="","",IFERROR(INDEX(사건마스터!$AH$5:$AH$64,MATCH($F651,사건마스터!$A$5:$A$64,0)),""))</f>
        <v/>
      </c>
      <c r="L651" s="35">
        <f>IF($F651="","",IFERROR(INDEX(사건마스터!$AI$5:$AI$64,MATCH($F651,사건마스터!$A$5:$A$64,0)),""))</f>
        <v/>
      </c>
      <c r="M651" s="35">
        <f>IF($F651="","",IFERROR(INDEX(사건마스터!$AJ$5:$AJ$64,MATCH($F651,사건마스터!$A$5:$A$64,0)),""))</f>
        <v/>
      </c>
      <c r="N651" s="35">
        <f>IF($F651="","",IFERROR(INDEX(사건마스터!$AK$5:$AK$64,MATCH($F651,사건마스터!$A$5:$A$64,0)),""))</f>
        <v/>
      </c>
      <c r="O651" s="35">
        <f>IF($F651="","",IFERROR(INDEX(사건마스터!$AL$5:$AL$64,MATCH($F651,사건마스터!$A$5:$A$64,0)),""))</f>
        <v/>
      </c>
      <c r="P651" s="35">
        <f>IF($F651="","",IFERROR(INDEX(사건마스터!$AM$5:$AM$64,MATCH($F651,사건마스터!$A$5:$A$64,0)),""))</f>
        <v/>
      </c>
      <c r="Q651" s="35">
        <f>IF($F651="","",IFERROR(INDEX(사건마스터!$AN$5:$AN$64,MATCH($F651,사건마스터!$A$5:$A$64,0)),""))</f>
        <v/>
      </c>
      <c r="R651" s="35">
        <f>IF($F651="","",IFERROR(INDEX(사건마스터!$AO$5:$AO$64,MATCH($F651,사건마스터!$A$5:$A$64,0)),""))</f>
        <v/>
      </c>
      <c r="S651" s="35">
        <f>IF($F651="","",IFERROR(INDEX(사건마스터!$AP$5:$AP$64,MATCH($F651,사건마스터!$A$5:$A$64,0)),""))</f>
        <v/>
      </c>
      <c r="T651" s="35">
        <f>IF($F651="","",IFERROR(INDEX(사건마스터!$AQ$5:$AQ$64,MATCH($F651,사건마스터!$A$5:$A$64,0)),""))</f>
        <v/>
      </c>
      <c r="U651" s="35">
        <f>IF($F651="","",IFERROR(INDEX(사건마스터!$AR$5:$AR$64,MATCH($F651,사건마스터!$A$5:$A$64,0)),""))</f>
        <v/>
      </c>
      <c r="V651" s="35">
        <f>IF($F651="","",IFERROR(INDEX(사건마스터!$AS$5:$AS$64,MATCH($F651,사건마스터!$A$5:$A$64,0)),""))</f>
        <v/>
      </c>
      <c r="W651" s="35">
        <f>IF($F651="","",IFERROR(INDEX(사건마스터!$AT$5:$AT$64,MATCH($F651,사건마스터!$A$5:$A$64,0)),""))</f>
        <v/>
      </c>
      <c r="X651" s="35">
        <f>IF($F651="","",IFERROR(INDEX(사건마스터!$AU$5:$AU$64,MATCH($F651,사건마스터!$A$5:$A$64,0)),""))</f>
        <v/>
      </c>
      <c r="Y651" s="35">
        <f>IF($F651="","",IFERROR(INDEX(사건마스터!$AV$5:$AV$64,MATCH($F651,사건마스터!$A$5:$A$64,0)),""))</f>
        <v/>
      </c>
      <c r="Z651" s="30">
        <f>IF(COUNTBLANK($J651:$Y651)=16,"",16-COUNTBLANK($J651:$Y651))</f>
        <v/>
      </c>
      <c r="AA651" s="33">
        <f>IF($J651="",MID($AX651,3,255),$J651&amp;$AX651)</f>
        <v/>
      </c>
      <c r="AB651" s="34">
        <f>IF($J651="","",IFERROR(INDEX(코드설정!$D$5:$D$24,MATCH($J651,코드설정!$C$5:$C$24,0)),""))</f>
        <v/>
      </c>
      <c r="AC651" s="36" t="n"/>
      <c r="AD651" s="37" t="n"/>
      <c r="AE651" s="38" t="n"/>
      <c r="AF651" s="30">
        <f>IF(OR($B651="",$C651=""),"",$C651-$B651+1)</f>
        <v/>
      </c>
      <c r="AG651" s="32" t="n"/>
      <c r="AH651" s="36" t="n"/>
      <c r="AJ651">
        <f>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  <c r="AX651">
        <f>AW651&amp;IF($Y651="","",", "&amp;$Y651)</f>
        <v/>
      </c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0">
        <f>IF($F652="","",COUNTIF($F$5:$F652,$F652))</f>
        <v/>
      </c>
      <c r="H652" s="33">
        <f>IF($F652="","",IFERROR(INDEX(사건마스터!$B$5:$B$64,MATCH($F652,사건마스터!$A$5:$A$64,0)),""))</f>
        <v/>
      </c>
      <c r="I652" s="34">
        <f>IF($F652="","",IFERROR(INDEX(사건마스터!$C$5:$C$64,MATCH($F652,사건마스터!$A$5:$A$64,0)),""))</f>
        <v/>
      </c>
      <c r="J652" s="35">
        <f>IF($F652="","",IFERROR(INDEX(사건마스터!$H$5:$H$64,MATCH($F652,사건마스터!$A$5:$A$64,0)),""))</f>
        <v/>
      </c>
      <c r="K652" s="35">
        <f>IF($F652="","",IFERROR(INDEX(사건마스터!$AH$5:$AH$64,MATCH($F652,사건마스터!$A$5:$A$64,0)),""))</f>
        <v/>
      </c>
      <c r="L652" s="35">
        <f>IF($F652="","",IFERROR(INDEX(사건마스터!$AI$5:$AI$64,MATCH($F652,사건마스터!$A$5:$A$64,0)),""))</f>
        <v/>
      </c>
      <c r="M652" s="35">
        <f>IF($F652="","",IFERROR(INDEX(사건마스터!$AJ$5:$AJ$64,MATCH($F652,사건마스터!$A$5:$A$64,0)),""))</f>
        <v/>
      </c>
      <c r="N652" s="35">
        <f>IF($F652="","",IFERROR(INDEX(사건마스터!$AK$5:$AK$64,MATCH($F652,사건마스터!$A$5:$A$64,0)),""))</f>
        <v/>
      </c>
      <c r="O652" s="35">
        <f>IF($F652="","",IFERROR(INDEX(사건마스터!$AL$5:$AL$64,MATCH($F652,사건마스터!$A$5:$A$64,0)),""))</f>
        <v/>
      </c>
      <c r="P652" s="35">
        <f>IF($F652="","",IFERROR(INDEX(사건마스터!$AM$5:$AM$64,MATCH($F652,사건마스터!$A$5:$A$64,0)),""))</f>
        <v/>
      </c>
      <c r="Q652" s="35">
        <f>IF($F652="","",IFERROR(INDEX(사건마스터!$AN$5:$AN$64,MATCH($F652,사건마스터!$A$5:$A$64,0)),""))</f>
        <v/>
      </c>
      <c r="R652" s="35">
        <f>IF($F652="","",IFERROR(INDEX(사건마스터!$AO$5:$AO$64,MATCH($F652,사건마스터!$A$5:$A$64,0)),""))</f>
        <v/>
      </c>
      <c r="S652" s="35">
        <f>IF($F652="","",IFERROR(INDEX(사건마스터!$AP$5:$AP$64,MATCH($F652,사건마스터!$A$5:$A$64,0)),""))</f>
        <v/>
      </c>
      <c r="T652" s="35">
        <f>IF($F652="","",IFERROR(INDEX(사건마스터!$AQ$5:$AQ$64,MATCH($F652,사건마스터!$A$5:$A$64,0)),""))</f>
        <v/>
      </c>
      <c r="U652" s="35">
        <f>IF($F652="","",IFERROR(INDEX(사건마스터!$AR$5:$AR$64,MATCH($F652,사건마스터!$A$5:$A$64,0)),""))</f>
        <v/>
      </c>
      <c r="V652" s="35">
        <f>IF($F652="","",IFERROR(INDEX(사건마스터!$AS$5:$AS$64,MATCH($F652,사건마스터!$A$5:$A$64,0)),""))</f>
        <v/>
      </c>
      <c r="W652" s="35">
        <f>IF($F652="","",IFERROR(INDEX(사건마스터!$AT$5:$AT$64,MATCH($F652,사건마스터!$A$5:$A$64,0)),""))</f>
        <v/>
      </c>
      <c r="X652" s="35">
        <f>IF($F652="","",IFERROR(INDEX(사건마스터!$AU$5:$AU$64,MATCH($F652,사건마스터!$A$5:$A$64,0)),""))</f>
        <v/>
      </c>
      <c r="Y652" s="35">
        <f>IF($F652="","",IFERROR(INDEX(사건마스터!$AV$5:$AV$64,MATCH($F652,사건마스터!$A$5:$A$64,0)),""))</f>
        <v/>
      </c>
      <c r="Z652" s="30">
        <f>IF(COUNTBLANK($J652:$Y652)=16,"",16-COUNTBLANK($J652:$Y652))</f>
        <v/>
      </c>
      <c r="AA652" s="33">
        <f>IF($J652="",MID($AX652,3,255),$J652&amp;$AX652)</f>
        <v/>
      </c>
      <c r="AB652" s="34">
        <f>IF($J652="","",IFERROR(INDEX(코드설정!$D$5:$D$24,MATCH($J652,코드설정!$C$5:$C$24,0)),""))</f>
        <v/>
      </c>
      <c r="AC652" s="36" t="n"/>
      <c r="AD652" s="37" t="n"/>
      <c r="AE652" s="38" t="n"/>
      <c r="AF652" s="30">
        <f>IF(OR($B652="",$C652=""),"",$C652-$B652+1)</f>
        <v/>
      </c>
      <c r="AG652" s="32" t="n"/>
      <c r="AH652" s="36" t="n"/>
      <c r="AJ652">
        <f>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  <c r="AX652">
        <f>AW652&amp;IF($Y652="","",", "&amp;$Y652)</f>
        <v/>
      </c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0">
        <f>IF($F653="","",COUNTIF($F$5:$F653,$F653))</f>
        <v/>
      </c>
      <c r="H653" s="33">
        <f>IF($F653="","",IFERROR(INDEX(사건마스터!$B$5:$B$64,MATCH($F653,사건마스터!$A$5:$A$64,0)),""))</f>
        <v/>
      </c>
      <c r="I653" s="34">
        <f>IF($F653="","",IFERROR(INDEX(사건마스터!$C$5:$C$64,MATCH($F653,사건마스터!$A$5:$A$64,0)),""))</f>
        <v/>
      </c>
      <c r="J653" s="35">
        <f>IF($F653="","",IFERROR(INDEX(사건마스터!$H$5:$H$64,MATCH($F653,사건마스터!$A$5:$A$64,0)),""))</f>
        <v/>
      </c>
      <c r="K653" s="35">
        <f>IF($F653="","",IFERROR(INDEX(사건마스터!$AH$5:$AH$64,MATCH($F653,사건마스터!$A$5:$A$64,0)),""))</f>
        <v/>
      </c>
      <c r="L653" s="35">
        <f>IF($F653="","",IFERROR(INDEX(사건마스터!$AI$5:$AI$64,MATCH($F653,사건마스터!$A$5:$A$64,0)),""))</f>
        <v/>
      </c>
      <c r="M653" s="35">
        <f>IF($F653="","",IFERROR(INDEX(사건마스터!$AJ$5:$AJ$64,MATCH($F653,사건마스터!$A$5:$A$64,0)),""))</f>
        <v/>
      </c>
      <c r="N653" s="35">
        <f>IF($F653="","",IFERROR(INDEX(사건마스터!$AK$5:$AK$64,MATCH($F653,사건마스터!$A$5:$A$64,0)),""))</f>
        <v/>
      </c>
      <c r="O653" s="35">
        <f>IF($F653="","",IFERROR(INDEX(사건마스터!$AL$5:$AL$64,MATCH($F653,사건마스터!$A$5:$A$64,0)),""))</f>
        <v/>
      </c>
      <c r="P653" s="35">
        <f>IF($F653="","",IFERROR(INDEX(사건마스터!$AM$5:$AM$64,MATCH($F653,사건마스터!$A$5:$A$64,0)),""))</f>
        <v/>
      </c>
      <c r="Q653" s="35">
        <f>IF($F653="","",IFERROR(INDEX(사건마스터!$AN$5:$AN$64,MATCH($F653,사건마스터!$A$5:$A$64,0)),""))</f>
        <v/>
      </c>
      <c r="R653" s="35">
        <f>IF($F653="","",IFERROR(INDEX(사건마스터!$AO$5:$AO$64,MATCH($F653,사건마스터!$A$5:$A$64,0)),""))</f>
        <v/>
      </c>
      <c r="S653" s="35">
        <f>IF($F653="","",IFERROR(INDEX(사건마스터!$AP$5:$AP$64,MATCH($F653,사건마스터!$A$5:$A$64,0)),""))</f>
        <v/>
      </c>
      <c r="T653" s="35">
        <f>IF($F653="","",IFERROR(INDEX(사건마스터!$AQ$5:$AQ$64,MATCH($F653,사건마스터!$A$5:$A$64,0)),""))</f>
        <v/>
      </c>
      <c r="U653" s="35">
        <f>IF($F653="","",IFERROR(INDEX(사건마스터!$AR$5:$AR$64,MATCH($F653,사건마스터!$A$5:$A$64,0)),""))</f>
        <v/>
      </c>
      <c r="V653" s="35">
        <f>IF($F653="","",IFERROR(INDEX(사건마스터!$AS$5:$AS$64,MATCH($F653,사건마스터!$A$5:$A$64,0)),""))</f>
        <v/>
      </c>
      <c r="W653" s="35">
        <f>IF($F653="","",IFERROR(INDEX(사건마스터!$AT$5:$AT$64,MATCH($F653,사건마스터!$A$5:$A$64,0)),""))</f>
        <v/>
      </c>
      <c r="X653" s="35">
        <f>IF($F653="","",IFERROR(INDEX(사건마스터!$AU$5:$AU$64,MATCH($F653,사건마스터!$A$5:$A$64,0)),""))</f>
        <v/>
      </c>
      <c r="Y653" s="35">
        <f>IF($F653="","",IFERROR(INDEX(사건마스터!$AV$5:$AV$64,MATCH($F653,사건마스터!$A$5:$A$64,0)),""))</f>
        <v/>
      </c>
      <c r="Z653" s="30">
        <f>IF(COUNTBLANK($J653:$Y653)=16,"",16-COUNTBLANK($J653:$Y653))</f>
        <v/>
      </c>
      <c r="AA653" s="33">
        <f>IF($J653="",MID($AX653,3,255),$J653&amp;$AX653)</f>
        <v/>
      </c>
      <c r="AB653" s="34">
        <f>IF($J653="","",IFERROR(INDEX(코드설정!$D$5:$D$24,MATCH($J653,코드설정!$C$5:$C$24,0)),""))</f>
        <v/>
      </c>
      <c r="AC653" s="36" t="n"/>
      <c r="AD653" s="37" t="n"/>
      <c r="AE653" s="38" t="n"/>
      <c r="AF653" s="30">
        <f>IF(OR($B653="",$C653=""),"",$C653-$B653+1)</f>
        <v/>
      </c>
      <c r="AG653" s="32" t="n"/>
      <c r="AH653" s="36" t="n"/>
      <c r="AJ653">
        <f>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  <c r="AX653">
        <f>AW653&amp;IF($Y653="","",", "&amp;$Y653)</f>
        <v/>
      </c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0">
        <f>IF($F654="","",COUNTIF($F$5:$F654,$F654))</f>
        <v/>
      </c>
      <c r="H654" s="33">
        <f>IF($F654="","",IFERROR(INDEX(사건마스터!$B$5:$B$64,MATCH($F654,사건마스터!$A$5:$A$64,0)),""))</f>
        <v/>
      </c>
      <c r="I654" s="34">
        <f>IF($F654="","",IFERROR(INDEX(사건마스터!$C$5:$C$64,MATCH($F654,사건마스터!$A$5:$A$64,0)),""))</f>
        <v/>
      </c>
      <c r="J654" s="35">
        <f>IF($F654="","",IFERROR(INDEX(사건마스터!$H$5:$H$64,MATCH($F654,사건마스터!$A$5:$A$64,0)),""))</f>
        <v/>
      </c>
      <c r="K654" s="35">
        <f>IF($F654="","",IFERROR(INDEX(사건마스터!$AH$5:$AH$64,MATCH($F654,사건마스터!$A$5:$A$64,0)),""))</f>
        <v/>
      </c>
      <c r="L654" s="35">
        <f>IF($F654="","",IFERROR(INDEX(사건마스터!$AI$5:$AI$64,MATCH($F654,사건마스터!$A$5:$A$64,0)),""))</f>
        <v/>
      </c>
      <c r="M654" s="35">
        <f>IF($F654="","",IFERROR(INDEX(사건마스터!$AJ$5:$AJ$64,MATCH($F654,사건마스터!$A$5:$A$64,0)),""))</f>
        <v/>
      </c>
      <c r="N654" s="35">
        <f>IF($F654="","",IFERROR(INDEX(사건마스터!$AK$5:$AK$64,MATCH($F654,사건마스터!$A$5:$A$64,0)),""))</f>
        <v/>
      </c>
      <c r="O654" s="35">
        <f>IF($F654="","",IFERROR(INDEX(사건마스터!$AL$5:$AL$64,MATCH($F654,사건마스터!$A$5:$A$64,0)),""))</f>
        <v/>
      </c>
      <c r="P654" s="35">
        <f>IF($F654="","",IFERROR(INDEX(사건마스터!$AM$5:$AM$64,MATCH($F654,사건마스터!$A$5:$A$64,0)),""))</f>
        <v/>
      </c>
      <c r="Q654" s="35">
        <f>IF($F654="","",IFERROR(INDEX(사건마스터!$AN$5:$AN$64,MATCH($F654,사건마스터!$A$5:$A$64,0)),""))</f>
        <v/>
      </c>
      <c r="R654" s="35">
        <f>IF($F654="","",IFERROR(INDEX(사건마스터!$AO$5:$AO$64,MATCH($F654,사건마스터!$A$5:$A$64,0)),""))</f>
        <v/>
      </c>
      <c r="S654" s="35">
        <f>IF($F654="","",IFERROR(INDEX(사건마스터!$AP$5:$AP$64,MATCH($F654,사건마스터!$A$5:$A$64,0)),""))</f>
        <v/>
      </c>
      <c r="T654" s="35">
        <f>IF($F654="","",IFERROR(INDEX(사건마스터!$AQ$5:$AQ$64,MATCH($F654,사건마스터!$A$5:$A$64,0)),""))</f>
        <v/>
      </c>
      <c r="U654" s="35">
        <f>IF($F654="","",IFERROR(INDEX(사건마스터!$AR$5:$AR$64,MATCH($F654,사건마스터!$A$5:$A$64,0)),""))</f>
        <v/>
      </c>
      <c r="V654" s="35">
        <f>IF($F654="","",IFERROR(INDEX(사건마스터!$AS$5:$AS$64,MATCH($F654,사건마스터!$A$5:$A$64,0)),""))</f>
        <v/>
      </c>
      <c r="W654" s="35">
        <f>IF($F654="","",IFERROR(INDEX(사건마스터!$AT$5:$AT$64,MATCH($F654,사건마스터!$A$5:$A$64,0)),""))</f>
        <v/>
      </c>
      <c r="X654" s="35">
        <f>IF($F654="","",IFERROR(INDEX(사건마스터!$AU$5:$AU$64,MATCH($F654,사건마스터!$A$5:$A$64,0)),""))</f>
        <v/>
      </c>
      <c r="Y654" s="35">
        <f>IF($F654="","",IFERROR(INDEX(사건마스터!$AV$5:$AV$64,MATCH($F654,사건마스터!$A$5:$A$64,0)),""))</f>
        <v/>
      </c>
      <c r="Z654" s="30">
        <f>IF(COUNTBLANK($J654:$Y654)=16,"",16-COUNTBLANK($J654:$Y654))</f>
        <v/>
      </c>
      <c r="AA654" s="33">
        <f>IF($J654="",MID($AX654,3,255),$J654&amp;$AX654)</f>
        <v/>
      </c>
      <c r="AB654" s="34">
        <f>IF($J654="","",IFERROR(INDEX(코드설정!$D$5:$D$24,MATCH($J654,코드설정!$C$5:$C$24,0)),""))</f>
        <v/>
      </c>
      <c r="AC654" s="36" t="n"/>
      <c r="AD654" s="37" t="n"/>
      <c r="AE654" s="38" t="n"/>
      <c r="AF654" s="30">
        <f>IF(OR($B654="",$C654=""),"",$C654-$B654+1)</f>
        <v/>
      </c>
      <c r="AG654" s="32" t="n"/>
      <c r="AH654" s="36" t="n"/>
      <c r="AJ654">
        <f>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  <c r="AX654">
        <f>AW654&amp;IF($Y654="","",", "&amp;$Y654)</f>
        <v/>
      </c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0">
        <f>IF($F655="","",COUNTIF($F$5:$F655,$F655))</f>
        <v/>
      </c>
      <c r="H655" s="33">
        <f>IF($F655="","",IFERROR(INDEX(사건마스터!$B$5:$B$64,MATCH($F655,사건마스터!$A$5:$A$64,0)),""))</f>
        <v/>
      </c>
      <c r="I655" s="34">
        <f>IF($F655="","",IFERROR(INDEX(사건마스터!$C$5:$C$64,MATCH($F655,사건마스터!$A$5:$A$64,0)),""))</f>
        <v/>
      </c>
      <c r="J655" s="35">
        <f>IF($F655="","",IFERROR(INDEX(사건마스터!$H$5:$H$64,MATCH($F655,사건마스터!$A$5:$A$64,0)),""))</f>
        <v/>
      </c>
      <c r="K655" s="35">
        <f>IF($F655="","",IFERROR(INDEX(사건마스터!$AH$5:$AH$64,MATCH($F655,사건마스터!$A$5:$A$64,0)),""))</f>
        <v/>
      </c>
      <c r="L655" s="35">
        <f>IF($F655="","",IFERROR(INDEX(사건마스터!$AI$5:$AI$64,MATCH($F655,사건마스터!$A$5:$A$64,0)),""))</f>
        <v/>
      </c>
      <c r="M655" s="35">
        <f>IF($F655="","",IFERROR(INDEX(사건마스터!$AJ$5:$AJ$64,MATCH($F655,사건마스터!$A$5:$A$64,0)),""))</f>
        <v/>
      </c>
      <c r="N655" s="35">
        <f>IF($F655="","",IFERROR(INDEX(사건마스터!$AK$5:$AK$64,MATCH($F655,사건마스터!$A$5:$A$64,0)),""))</f>
        <v/>
      </c>
      <c r="O655" s="35">
        <f>IF($F655="","",IFERROR(INDEX(사건마스터!$AL$5:$AL$64,MATCH($F655,사건마스터!$A$5:$A$64,0)),""))</f>
        <v/>
      </c>
      <c r="P655" s="35">
        <f>IF($F655="","",IFERROR(INDEX(사건마스터!$AM$5:$AM$64,MATCH($F655,사건마스터!$A$5:$A$64,0)),""))</f>
        <v/>
      </c>
      <c r="Q655" s="35">
        <f>IF($F655="","",IFERROR(INDEX(사건마스터!$AN$5:$AN$64,MATCH($F655,사건마스터!$A$5:$A$64,0)),""))</f>
        <v/>
      </c>
      <c r="R655" s="35">
        <f>IF($F655="","",IFERROR(INDEX(사건마스터!$AO$5:$AO$64,MATCH($F655,사건마스터!$A$5:$A$64,0)),""))</f>
        <v/>
      </c>
      <c r="S655" s="35">
        <f>IF($F655="","",IFERROR(INDEX(사건마스터!$AP$5:$AP$64,MATCH($F655,사건마스터!$A$5:$A$64,0)),""))</f>
        <v/>
      </c>
      <c r="T655" s="35">
        <f>IF($F655="","",IFERROR(INDEX(사건마스터!$AQ$5:$AQ$64,MATCH($F655,사건마스터!$A$5:$A$64,0)),""))</f>
        <v/>
      </c>
      <c r="U655" s="35">
        <f>IF($F655="","",IFERROR(INDEX(사건마스터!$AR$5:$AR$64,MATCH($F655,사건마스터!$A$5:$A$64,0)),""))</f>
        <v/>
      </c>
      <c r="V655" s="35">
        <f>IF($F655="","",IFERROR(INDEX(사건마스터!$AS$5:$AS$64,MATCH($F655,사건마스터!$A$5:$A$64,0)),""))</f>
        <v/>
      </c>
      <c r="W655" s="35">
        <f>IF($F655="","",IFERROR(INDEX(사건마스터!$AT$5:$AT$64,MATCH($F655,사건마스터!$A$5:$A$64,0)),""))</f>
        <v/>
      </c>
      <c r="X655" s="35">
        <f>IF($F655="","",IFERROR(INDEX(사건마스터!$AU$5:$AU$64,MATCH($F655,사건마스터!$A$5:$A$64,0)),""))</f>
        <v/>
      </c>
      <c r="Y655" s="35">
        <f>IF($F655="","",IFERROR(INDEX(사건마스터!$AV$5:$AV$64,MATCH($F655,사건마스터!$A$5:$A$64,0)),""))</f>
        <v/>
      </c>
      <c r="Z655" s="30">
        <f>IF(COUNTBLANK($J655:$Y655)=16,"",16-COUNTBLANK($J655:$Y655))</f>
        <v/>
      </c>
      <c r="AA655" s="33">
        <f>IF($J655="",MID($AX655,3,255),$J655&amp;$AX655)</f>
        <v/>
      </c>
      <c r="AB655" s="34">
        <f>IF($J655="","",IFERROR(INDEX(코드설정!$D$5:$D$24,MATCH($J655,코드설정!$C$5:$C$24,0)),""))</f>
        <v/>
      </c>
      <c r="AC655" s="36" t="n"/>
      <c r="AD655" s="37" t="n"/>
      <c r="AE655" s="38" t="n"/>
      <c r="AF655" s="30">
        <f>IF(OR($B655="",$C655=""),"",$C655-$B655+1)</f>
        <v/>
      </c>
      <c r="AG655" s="32" t="n"/>
      <c r="AH655" s="36" t="n"/>
      <c r="AJ655">
        <f>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  <c r="AX655">
        <f>AW655&amp;IF($Y655="","",", "&amp;$Y655)</f>
        <v/>
      </c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0">
        <f>IF($F656="","",COUNTIF($F$5:$F656,$F656))</f>
        <v/>
      </c>
      <c r="H656" s="33">
        <f>IF($F656="","",IFERROR(INDEX(사건마스터!$B$5:$B$64,MATCH($F656,사건마스터!$A$5:$A$64,0)),""))</f>
        <v/>
      </c>
      <c r="I656" s="34">
        <f>IF($F656="","",IFERROR(INDEX(사건마스터!$C$5:$C$64,MATCH($F656,사건마스터!$A$5:$A$64,0)),""))</f>
        <v/>
      </c>
      <c r="J656" s="35">
        <f>IF($F656="","",IFERROR(INDEX(사건마스터!$H$5:$H$64,MATCH($F656,사건마스터!$A$5:$A$64,0)),""))</f>
        <v/>
      </c>
      <c r="K656" s="35">
        <f>IF($F656="","",IFERROR(INDEX(사건마스터!$AH$5:$AH$64,MATCH($F656,사건마스터!$A$5:$A$64,0)),""))</f>
        <v/>
      </c>
      <c r="L656" s="35">
        <f>IF($F656="","",IFERROR(INDEX(사건마스터!$AI$5:$AI$64,MATCH($F656,사건마스터!$A$5:$A$64,0)),""))</f>
        <v/>
      </c>
      <c r="M656" s="35">
        <f>IF($F656="","",IFERROR(INDEX(사건마스터!$AJ$5:$AJ$64,MATCH($F656,사건마스터!$A$5:$A$64,0)),""))</f>
        <v/>
      </c>
      <c r="N656" s="35">
        <f>IF($F656="","",IFERROR(INDEX(사건마스터!$AK$5:$AK$64,MATCH($F656,사건마스터!$A$5:$A$64,0)),""))</f>
        <v/>
      </c>
      <c r="O656" s="35">
        <f>IF($F656="","",IFERROR(INDEX(사건마스터!$AL$5:$AL$64,MATCH($F656,사건마스터!$A$5:$A$64,0)),""))</f>
        <v/>
      </c>
      <c r="P656" s="35">
        <f>IF($F656="","",IFERROR(INDEX(사건마스터!$AM$5:$AM$64,MATCH($F656,사건마스터!$A$5:$A$64,0)),""))</f>
        <v/>
      </c>
      <c r="Q656" s="35">
        <f>IF($F656="","",IFERROR(INDEX(사건마스터!$AN$5:$AN$64,MATCH($F656,사건마스터!$A$5:$A$64,0)),""))</f>
        <v/>
      </c>
      <c r="R656" s="35">
        <f>IF($F656="","",IFERROR(INDEX(사건마스터!$AO$5:$AO$64,MATCH($F656,사건마스터!$A$5:$A$64,0)),""))</f>
        <v/>
      </c>
      <c r="S656" s="35">
        <f>IF($F656="","",IFERROR(INDEX(사건마스터!$AP$5:$AP$64,MATCH($F656,사건마스터!$A$5:$A$64,0)),""))</f>
        <v/>
      </c>
      <c r="T656" s="35">
        <f>IF($F656="","",IFERROR(INDEX(사건마스터!$AQ$5:$AQ$64,MATCH($F656,사건마스터!$A$5:$A$64,0)),""))</f>
        <v/>
      </c>
      <c r="U656" s="35">
        <f>IF($F656="","",IFERROR(INDEX(사건마스터!$AR$5:$AR$64,MATCH($F656,사건마스터!$A$5:$A$64,0)),""))</f>
        <v/>
      </c>
      <c r="V656" s="35">
        <f>IF($F656="","",IFERROR(INDEX(사건마스터!$AS$5:$AS$64,MATCH($F656,사건마스터!$A$5:$A$64,0)),""))</f>
        <v/>
      </c>
      <c r="W656" s="35">
        <f>IF($F656="","",IFERROR(INDEX(사건마스터!$AT$5:$AT$64,MATCH($F656,사건마스터!$A$5:$A$64,0)),""))</f>
        <v/>
      </c>
      <c r="X656" s="35">
        <f>IF($F656="","",IFERROR(INDEX(사건마스터!$AU$5:$AU$64,MATCH($F656,사건마스터!$A$5:$A$64,0)),""))</f>
        <v/>
      </c>
      <c r="Y656" s="35">
        <f>IF($F656="","",IFERROR(INDEX(사건마스터!$AV$5:$AV$64,MATCH($F656,사건마스터!$A$5:$A$64,0)),""))</f>
        <v/>
      </c>
      <c r="Z656" s="30">
        <f>IF(COUNTBLANK($J656:$Y656)=16,"",16-COUNTBLANK($J656:$Y656))</f>
        <v/>
      </c>
      <c r="AA656" s="33">
        <f>IF($J656="",MID($AX656,3,255),$J656&amp;$AX656)</f>
        <v/>
      </c>
      <c r="AB656" s="34">
        <f>IF($J656="","",IFERROR(INDEX(코드설정!$D$5:$D$24,MATCH($J656,코드설정!$C$5:$C$24,0)),""))</f>
        <v/>
      </c>
      <c r="AC656" s="36" t="n"/>
      <c r="AD656" s="37" t="n"/>
      <c r="AE656" s="38" t="n"/>
      <c r="AF656" s="30">
        <f>IF(OR($B656="",$C656=""),"",$C656-$B656+1)</f>
        <v/>
      </c>
      <c r="AG656" s="32" t="n"/>
      <c r="AH656" s="36" t="n"/>
      <c r="AJ656">
        <f>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  <c r="AX656">
        <f>AW656&amp;IF($Y656="","",", "&amp;$Y656)</f>
        <v/>
      </c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0">
        <f>IF($F657="","",COUNTIF($F$5:$F657,$F657))</f>
        <v/>
      </c>
      <c r="H657" s="33">
        <f>IF($F657="","",IFERROR(INDEX(사건마스터!$B$5:$B$64,MATCH($F657,사건마스터!$A$5:$A$64,0)),""))</f>
        <v/>
      </c>
      <c r="I657" s="34">
        <f>IF($F657="","",IFERROR(INDEX(사건마스터!$C$5:$C$64,MATCH($F657,사건마스터!$A$5:$A$64,0)),""))</f>
        <v/>
      </c>
      <c r="J657" s="35">
        <f>IF($F657="","",IFERROR(INDEX(사건마스터!$H$5:$H$64,MATCH($F657,사건마스터!$A$5:$A$64,0)),""))</f>
        <v/>
      </c>
      <c r="K657" s="35">
        <f>IF($F657="","",IFERROR(INDEX(사건마스터!$AH$5:$AH$64,MATCH($F657,사건마스터!$A$5:$A$64,0)),""))</f>
        <v/>
      </c>
      <c r="L657" s="35">
        <f>IF($F657="","",IFERROR(INDEX(사건마스터!$AI$5:$AI$64,MATCH($F657,사건마스터!$A$5:$A$64,0)),""))</f>
        <v/>
      </c>
      <c r="M657" s="35">
        <f>IF($F657="","",IFERROR(INDEX(사건마스터!$AJ$5:$AJ$64,MATCH($F657,사건마스터!$A$5:$A$64,0)),""))</f>
        <v/>
      </c>
      <c r="N657" s="35">
        <f>IF($F657="","",IFERROR(INDEX(사건마스터!$AK$5:$AK$64,MATCH($F657,사건마스터!$A$5:$A$64,0)),""))</f>
        <v/>
      </c>
      <c r="O657" s="35">
        <f>IF($F657="","",IFERROR(INDEX(사건마스터!$AL$5:$AL$64,MATCH($F657,사건마스터!$A$5:$A$64,0)),""))</f>
        <v/>
      </c>
      <c r="P657" s="35">
        <f>IF($F657="","",IFERROR(INDEX(사건마스터!$AM$5:$AM$64,MATCH($F657,사건마스터!$A$5:$A$64,0)),""))</f>
        <v/>
      </c>
      <c r="Q657" s="35">
        <f>IF($F657="","",IFERROR(INDEX(사건마스터!$AN$5:$AN$64,MATCH($F657,사건마스터!$A$5:$A$64,0)),""))</f>
        <v/>
      </c>
      <c r="R657" s="35">
        <f>IF($F657="","",IFERROR(INDEX(사건마스터!$AO$5:$AO$64,MATCH($F657,사건마스터!$A$5:$A$64,0)),""))</f>
        <v/>
      </c>
      <c r="S657" s="35">
        <f>IF($F657="","",IFERROR(INDEX(사건마스터!$AP$5:$AP$64,MATCH($F657,사건마스터!$A$5:$A$64,0)),""))</f>
        <v/>
      </c>
      <c r="T657" s="35">
        <f>IF($F657="","",IFERROR(INDEX(사건마스터!$AQ$5:$AQ$64,MATCH($F657,사건마스터!$A$5:$A$64,0)),""))</f>
        <v/>
      </c>
      <c r="U657" s="35">
        <f>IF($F657="","",IFERROR(INDEX(사건마스터!$AR$5:$AR$64,MATCH($F657,사건마스터!$A$5:$A$64,0)),""))</f>
        <v/>
      </c>
      <c r="V657" s="35">
        <f>IF($F657="","",IFERROR(INDEX(사건마스터!$AS$5:$AS$64,MATCH($F657,사건마스터!$A$5:$A$64,0)),""))</f>
        <v/>
      </c>
      <c r="W657" s="35">
        <f>IF($F657="","",IFERROR(INDEX(사건마스터!$AT$5:$AT$64,MATCH($F657,사건마스터!$A$5:$A$64,0)),""))</f>
        <v/>
      </c>
      <c r="X657" s="35">
        <f>IF($F657="","",IFERROR(INDEX(사건마스터!$AU$5:$AU$64,MATCH($F657,사건마스터!$A$5:$A$64,0)),""))</f>
        <v/>
      </c>
      <c r="Y657" s="35">
        <f>IF($F657="","",IFERROR(INDEX(사건마스터!$AV$5:$AV$64,MATCH($F657,사건마스터!$A$5:$A$64,0)),""))</f>
        <v/>
      </c>
      <c r="Z657" s="30">
        <f>IF(COUNTBLANK($J657:$Y657)=16,"",16-COUNTBLANK($J657:$Y657))</f>
        <v/>
      </c>
      <c r="AA657" s="33">
        <f>IF($J657="",MID($AX657,3,255),$J657&amp;$AX657)</f>
        <v/>
      </c>
      <c r="AB657" s="34">
        <f>IF($J657="","",IFERROR(INDEX(코드설정!$D$5:$D$24,MATCH($J657,코드설정!$C$5:$C$24,0)),""))</f>
        <v/>
      </c>
      <c r="AC657" s="36" t="n"/>
      <c r="AD657" s="37" t="n"/>
      <c r="AE657" s="38" t="n"/>
      <c r="AF657" s="30">
        <f>IF(OR($B657="",$C657=""),"",$C657-$B657+1)</f>
        <v/>
      </c>
      <c r="AG657" s="32" t="n"/>
      <c r="AH657" s="36" t="n"/>
      <c r="AJ657">
        <f>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  <c r="AX657">
        <f>AW657&amp;IF($Y657="","",", "&amp;$Y657)</f>
        <v/>
      </c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0">
        <f>IF($F658="","",COUNTIF($F$5:$F658,$F658))</f>
        <v/>
      </c>
      <c r="H658" s="33">
        <f>IF($F658="","",IFERROR(INDEX(사건마스터!$B$5:$B$64,MATCH($F658,사건마스터!$A$5:$A$64,0)),""))</f>
        <v/>
      </c>
      <c r="I658" s="34">
        <f>IF($F658="","",IFERROR(INDEX(사건마스터!$C$5:$C$64,MATCH($F658,사건마스터!$A$5:$A$64,0)),""))</f>
        <v/>
      </c>
      <c r="J658" s="35">
        <f>IF($F658="","",IFERROR(INDEX(사건마스터!$H$5:$H$64,MATCH($F658,사건마스터!$A$5:$A$64,0)),""))</f>
        <v/>
      </c>
      <c r="K658" s="35">
        <f>IF($F658="","",IFERROR(INDEX(사건마스터!$AH$5:$AH$64,MATCH($F658,사건마스터!$A$5:$A$64,0)),""))</f>
        <v/>
      </c>
      <c r="L658" s="35">
        <f>IF($F658="","",IFERROR(INDEX(사건마스터!$AI$5:$AI$64,MATCH($F658,사건마스터!$A$5:$A$64,0)),""))</f>
        <v/>
      </c>
      <c r="M658" s="35">
        <f>IF($F658="","",IFERROR(INDEX(사건마스터!$AJ$5:$AJ$64,MATCH($F658,사건마스터!$A$5:$A$64,0)),""))</f>
        <v/>
      </c>
      <c r="N658" s="35">
        <f>IF($F658="","",IFERROR(INDEX(사건마스터!$AK$5:$AK$64,MATCH($F658,사건마스터!$A$5:$A$64,0)),""))</f>
        <v/>
      </c>
      <c r="O658" s="35">
        <f>IF($F658="","",IFERROR(INDEX(사건마스터!$AL$5:$AL$64,MATCH($F658,사건마스터!$A$5:$A$64,0)),""))</f>
        <v/>
      </c>
      <c r="P658" s="35">
        <f>IF($F658="","",IFERROR(INDEX(사건마스터!$AM$5:$AM$64,MATCH($F658,사건마스터!$A$5:$A$64,0)),""))</f>
        <v/>
      </c>
      <c r="Q658" s="35">
        <f>IF($F658="","",IFERROR(INDEX(사건마스터!$AN$5:$AN$64,MATCH($F658,사건마스터!$A$5:$A$64,0)),""))</f>
        <v/>
      </c>
      <c r="R658" s="35">
        <f>IF($F658="","",IFERROR(INDEX(사건마스터!$AO$5:$AO$64,MATCH($F658,사건마스터!$A$5:$A$64,0)),""))</f>
        <v/>
      </c>
      <c r="S658" s="35">
        <f>IF($F658="","",IFERROR(INDEX(사건마스터!$AP$5:$AP$64,MATCH($F658,사건마스터!$A$5:$A$64,0)),""))</f>
        <v/>
      </c>
      <c r="T658" s="35">
        <f>IF($F658="","",IFERROR(INDEX(사건마스터!$AQ$5:$AQ$64,MATCH($F658,사건마스터!$A$5:$A$64,0)),""))</f>
        <v/>
      </c>
      <c r="U658" s="35">
        <f>IF($F658="","",IFERROR(INDEX(사건마스터!$AR$5:$AR$64,MATCH($F658,사건마스터!$A$5:$A$64,0)),""))</f>
        <v/>
      </c>
      <c r="V658" s="35">
        <f>IF($F658="","",IFERROR(INDEX(사건마스터!$AS$5:$AS$64,MATCH($F658,사건마스터!$A$5:$A$64,0)),""))</f>
        <v/>
      </c>
      <c r="W658" s="35">
        <f>IF($F658="","",IFERROR(INDEX(사건마스터!$AT$5:$AT$64,MATCH($F658,사건마스터!$A$5:$A$64,0)),""))</f>
        <v/>
      </c>
      <c r="X658" s="35">
        <f>IF($F658="","",IFERROR(INDEX(사건마스터!$AU$5:$AU$64,MATCH($F658,사건마스터!$A$5:$A$64,0)),""))</f>
        <v/>
      </c>
      <c r="Y658" s="35">
        <f>IF($F658="","",IFERROR(INDEX(사건마스터!$AV$5:$AV$64,MATCH($F658,사건마스터!$A$5:$A$64,0)),""))</f>
        <v/>
      </c>
      <c r="Z658" s="30">
        <f>IF(COUNTBLANK($J658:$Y658)=16,"",16-COUNTBLANK($J658:$Y658))</f>
        <v/>
      </c>
      <c r="AA658" s="33">
        <f>IF($J658="",MID($AX658,3,255),$J658&amp;$AX658)</f>
        <v/>
      </c>
      <c r="AB658" s="34">
        <f>IF($J658="","",IFERROR(INDEX(코드설정!$D$5:$D$24,MATCH($J658,코드설정!$C$5:$C$24,0)),""))</f>
        <v/>
      </c>
      <c r="AC658" s="36" t="n"/>
      <c r="AD658" s="37" t="n"/>
      <c r="AE658" s="38" t="n"/>
      <c r="AF658" s="30">
        <f>IF(OR($B658="",$C658=""),"",$C658-$B658+1)</f>
        <v/>
      </c>
      <c r="AG658" s="32" t="n"/>
      <c r="AH658" s="36" t="n"/>
      <c r="AJ658">
        <f>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  <c r="AX658">
        <f>AW658&amp;IF($Y658="","",", "&amp;$Y658)</f>
        <v/>
      </c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0">
        <f>IF($F659="","",COUNTIF($F$5:$F659,$F659))</f>
        <v/>
      </c>
      <c r="H659" s="33">
        <f>IF($F659="","",IFERROR(INDEX(사건마스터!$B$5:$B$64,MATCH($F659,사건마스터!$A$5:$A$64,0)),""))</f>
        <v/>
      </c>
      <c r="I659" s="34">
        <f>IF($F659="","",IFERROR(INDEX(사건마스터!$C$5:$C$64,MATCH($F659,사건마스터!$A$5:$A$64,0)),""))</f>
        <v/>
      </c>
      <c r="J659" s="35">
        <f>IF($F659="","",IFERROR(INDEX(사건마스터!$H$5:$H$64,MATCH($F659,사건마스터!$A$5:$A$64,0)),""))</f>
        <v/>
      </c>
      <c r="K659" s="35">
        <f>IF($F659="","",IFERROR(INDEX(사건마스터!$AH$5:$AH$64,MATCH($F659,사건마스터!$A$5:$A$64,0)),""))</f>
        <v/>
      </c>
      <c r="L659" s="35">
        <f>IF($F659="","",IFERROR(INDEX(사건마스터!$AI$5:$AI$64,MATCH($F659,사건마스터!$A$5:$A$64,0)),""))</f>
        <v/>
      </c>
      <c r="M659" s="35">
        <f>IF($F659="","",IFERROR(INDEX(사건마스터!$AJ$5:$AJ$64,MATCH($F659,사건마스터!$A$5:$A$64,0)),""))</f>
        <v/>
      </c>
      <c r="N659" s="35">
        <f>IF($F659="","",IFERROR(INDEX(사건마스터!$AK$5:$AK$64,MATCH($F659,사건마스터!$A$5:$A$64,0)),""))</f>
        <v/>
      </c>
      <c r="O659" s="35">
        <f>IF($F659="","",IFERROR(INDEX(사건마스터!$AL$5:$AL$64,MATCH($F659,사건마스터!$A$5:$A$64,0)),""))</f>
        <v/>
      </c>
      <c r="P659" s="35">
        <f>IF($F659="","",IFERROR(INDEX(사건마스터!$AM$5:$AM$64,MATCH($F659,사건마스터!$A$5:$A$64,0)),""))</f>
        <v/>
      </c>
      <c r="Q659" s="35">
        <f>IF($F659="","",IFERROR(INDEX(사건마스터!$AN$5:$AN$64,MATCH($F659,사건마스터!$A$5:$A$64,0)),""))</f>
        <v/>
      </c>
      <c r="R659" s="35">
        <f>IF($F659="","",IFERROR(INDEX(사건마스터!$AO$5:$AO$64,MATCH($F659,사건마스터!$A$5:$A$64,0)),""))</f>
        <v/>
      </c>
      <c r="S659" s="35">
        <f>IF($F659="","",IFERROR(INDEX(사건마스터!$AP$5:$AP$64,MATCH($F659,사건마스터!$A$5:$A$64,0)),""))</f>
        <v/>
      </c>
      <c r="T659" s="35">
        <f>IF($F659="","",IFERROR(INDEX(사건마스터!$AQ$5:$AQ$64,MATCH($F659,사건마스터!$A$5:$A$64,0)),""))</f>
        <v/>
      </c>
      <c r="U659" s="35">
        <f>IF($F659="","",IFERROR(INDEX(사건마스터!$AR$5:$AR$64,MATCH($F659,사건마스터!$A$5:$A$64,0)),""))</f>
        <v/>
      </c>
      <c r="V659" s="35">
        <f>IF($F659="","",IFERROR(INDEX(사건마스터!$AS$5:$AS$64,MATCH($F659,사건마스터!$A$5:$A$64,0)),""))</f>
        <v/>
      </c>
      <c r="W659" s="35">
        <f>IF($F659="","",IFERROR(INDEX(사건마스터!$AT$5:$AT$64,MATCH($F659,사건마스터!$A$5:$A$64,0)),""))</f>
        <v/>
      </c>
      <c r="X659" s="35">
        <f>IF($F659="","",IFERROR(INDEX(사건마스터!$AU$5:$AU$64,MATCH($F659,사건마스터!$A$5:$A$64,0)),""))</f>
        <v/>
      </c>
      <c r="Y659" s="35">
        <f>IF($F659="","",IFERROR(INDEX(사건마스터!$AV$5:$AV$64,MATCH($F659,사건마스터!$A$5:$A$64,0)),""))</f>
        <v/>
      </c>
      <c r="Z659" s="30">
        <f>IF(COUNTBLANK($J659:$Y659)=16,"",16-COUNTBLANK($J659:$Y659))</f>
        <v/>
      </c>
      <c r="AA659" s="33">
        <f>IF($J659="",MID($AX659,3,255),$J659&amp;$AX659)</f>
        <v/>
      </c>
      <c r="AB659" s="34">
        <f>IF($J659="","",IFERROR(INDEX(코드설정!$D$5:$D$24,MATCH($J659,코드설정!$C$5:$C$24,0)),""))</f>
        <v/>
      </c>
      <c r="AC659" s="36" t="n"/>
      <c r="AD659" s="37" t="n"/>
      <c r="AE659" s="38" t="n"/>
      <c r="AF659" s="30">
        <f>IF(OR($B659="",$C659=""),"",$C659-$B659+1)</f>
        <v/>
      </c>
      <c r="AG659" s="32" t="n"/>
      <c r="AH659" s="36" t="n"/>
      <c r="AJ659">
        <f>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  <c r="AX659">
        <f>AW659&amp;IF($Y659="","",", "&amp;$Y659)</f>
        <v/>
      </c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0">
        <f>IF($F660="","",COUNTIF($F$5:$F660,$F660))</f>
        <v/>
      </c>
      <c r="H660" s="33">
        <f>IF($F660="","",IFERROR(INDEX(사건마스터!$B$5:$B$64,MATCH($F660,사건마스터!$A$5:$A$64,0)),""))</f>
        <v/>
      </c>
      <c r="I660" s="34">
        <f>IF($F660="","",IFERROR(INDEX(사건마스터!$C$5:$C$64,MATCH($F660,사건마스터!$A$5:$A$64,0)),""))</f>
        <v/>
      </c>
      <c r="J660" s="35">
        <f>IF($F660="","",IFERROR(INDEX(사건마스터!$H$5:$H$64,MATCH($F660,사건마스터!$A$5:$A$64,0)),""))</f>
        <v/>
      </c>
      <c r="K660" s="35">
        <f>IF($F660="","",IFERROR(INDEX(사건마스터!$AH$5:$AH$64,MATCH($F660,사건마스터!$A$5:$A$64,0)),""))</f>
        <v/>
      </c>
      <c r="L660" s="35">
        <f>IF($F660="","",IFERROR(INDEX(사건마스터!$AI$5:$AI$64,MATCH($F660,사건마스터!$A$5:$A$64,0)),""))</f>
        <v/>
      </c>
      <c r="M660" s="35">
        <f>IF($F660="","",IFERROR(INDEX(사건마스터!$AJ$5:$AJ$64,MATCH($F660,사건마스터!$A$5:$A$64,0)),""))</f>
        <v/>
      </c>
      <c r="N660" s="35">
        <f>IF($F660="","",IFERROR(INDEX(사건마스터!$AK$5:$AK$64,MATCH($F660,사건마스터!$A$5:$A$64,0)),""))</f>
        <v/>
      </c>
      <c r="O660" s="35">
        <f>IF($F660="","",IFERROR(INDEX(사건마스터!$AL$5:$AL$64,MATCH($F660,사건마스터!$A$5:$A$64,0)),""))</f>
        <v/>
      </c>
      <c r="P660" s="35">
        <f>IF($F660="","",IFERROR(INDEX(사건마스터!$AM$5:$AM$64,MATCH($F660,사건마스터!$A$5:$A$64,0)),""))</f>
        <v/>
      </c>
      <c r="Q660" s="35">
        <f>IF($F660="","",IFERROR(INDEX(사건마스터!$AN$5:$AN$64,MATCH($F660,사건마스터!$A$5:$A$64,0)),""))</f>
        <v/>
      </c>
      <c r="R660" s="35">
        <f>IF($F660="","",IFERROR(INDEX(사건마스터!$AO$5:$AO$64,MATCH($F660,사건마스터!$A$5:$A$64,0)),""))</f>
        <v/>
      </c>
      <c r="S660" s="35">
        <f>IF($F660="","",IFERROR(INDEX(사건마스터!$AP$5:$AP$64,MATCH($F660,사건마스터!$A$5:$A$64,0)),""))</f>
        <v/>
      </c>
      <c r="T660" s="35">
        <f>IF($F660="","",IFERROR(INDEX(사건마스터!$AQ$5:$AQ$64,MATCH($F660,사건마스터!$A$5:$A$64,0)),""))</f>
        <v/>
      </c>
      <c r="U660" s="35">
        <f>IF($F660="","",IFERROR(INDEX(사건마스터!$AR$5:$AR$64,MATCH($F660,사건마스터!$A$5:$A$64,0)),""))</f>
        <v/>
      </c>
      <c r="V660" s="35">
        <f>IF($F660="","",IFERROR(INDEX(사건마스터!$AS$5:$AS$64,MATCH($F660,사건마스터!$A$5:$A$64,0)),""))</f>
        <v/>
      </c>
      <c r="W660" s="35">
        <f>IF($F660="","",IFERROR(INDEX(사건마스터!$AT$5:$AT$64,MATCH($F660,사건마스터!$A$5:$A$64,0)),""))</f>
        <v/>
      </c>
      <c r="X660" s="35">
        <f>IF($F660="","",IFERROR(INDEX(사건마스터!$AU$5:$AU$64,MATCH($F660,사건마스터!$A$5:$A$64,0)),""))</f>
        <v/>
      </c>
      <c r="Y660" s="35">
        <f>IF($F660="","",IFERROR(INDEX(사건마스터!$AV$5:$AV$64,MATCH($F660,사건마스터!$A$5:$A$64,0)),""))</f>
        <v/>
      </c>
      <c r="Z660" s="30">
        <f>IF(COUNTBLANK($J660:$Y660)=16,"",16-COUNTBLANK($J660:$Y660))</f>
        <v/>
      </c>
      <c r="AA660" s="33">
        <f>IF($J660="",MID($AX660,3,255),$J660&amp;$AX660)</f>
        <v/>
      </c>
      <c r="AB660" s="34">
        <f>IF($J660="","",IFERROR(INDEX(코드설정!$D$5:$D$24,MATCH($J660,코드설정!$C$5:$C$24,0)),""))</f>
        <v/>
      </c>
      <c r="AC660" s="36" t="n"/>
      <c r="AD660" s="37" t="n"/>
      <c r="AE660" s="38" t="n"/>
      <c r="AF660" s="30">
        <f>IF(OR($B660="",$C660=""),"",$C660-$B660+1)</f>
        <v/>
      </c>
      <c r="AG660" s="32" t="n"/>
      <c r="AH660" s="36" t="n"/>
      <c r="AJ660">
        <f>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  <c r="AX660">
        <f>AW660&amp;IF($Y660="","",", "&amp;$Y660)</f>
        <v/>
      </c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0">
        <f>IF($F661="","",COUNTIF($F$5:$F661,$F661))</f>
        <v/>
      </c>
      <c r="H661" s="33">
        <f>IF($F661="","",IFERROR(INDEX(사건마스터!$B$5:$B$64,MATCH($F661,사건마스터!$A$5:$A$64,0)),""))</f>
        <v/>
      </c>
      <c r="I661" s="34">
        <f>IF($F661="","",IFERROR(INDEX(사건마스터!$C$5:$C$64,MATCH($F661,사건마스터!$A$5:$A$64,0)),""))</f>
        <v/>
      </c>
      <c r="J661" s="35">
        <f>IF($F661="","",IFERROR(INDEX(사건마스터!$H$5:$H$64,MATCH($F661,사건마스터!$A$5:$A$64,0)),""))</f>
        <v/>
      </c>
      <c r="K661" s="35">
        <f>IF($F661="","",IFERROR(INDEX(사건마스터!$AH$5:$AH$64,MATCH($F661,사건마스터!$A$5:$A$64,0)),""))</f>
        <v/>
      </c>
      <c r="L661" s="35">
        <f>IF($F661="","",IFERROR(INDEX(사건마스터!$AI$5:$AI$64,MATCH($F661,사건마스터!$A$5:$A$64,0)),""))</f>
        <v/>
      </c>
      <c r="M661" s="35">
        <f>IF($F661="","",IFERROR(INDEX(사건마스터!$AJ$5:$AJ$64,MATCH($F661,사건마스터!$A$5:$A$64,0)),""))</f>
        <v/>
      </c>
      <c r="N661" s="35">
        <f>IF($F661="","",IFERROR(INDEX(사건마스터!$AK$5:$AK$64,MATCH($F661,사건마스터!$A$5:$A$64,0)),""))</f>
        <v/>
      </c>
      <c r="O661" s="35">
        <f>IF($F661="","",IFERROR(INDEX(사건마스터!$AL$5:$AL$64,MATCH($F661,사건마스터!$A$5:$A$64,0)),""))</f>
        <v/>
      </c>
      <c r="P661" s="35">
        <f>IF($F661="","",IFERROR(INDEX(사건마스터!$AM$5:$AM$64,MATCH($F661,사건마스터!$A$5:$A$64,0)),""))</f>
        <v/>
      </c>
      <c r="Q661" s="35">
        <f>IF($F661="","",IFERROR(INDEX(사건마스터!$AN$5:$AN$64,MATCH($F661,사건마스터!$A$5:$A$64,0)),""))</f>
        <v/>
      </c>
      <c r="R661" s="35">
        <f>IF($F661="","",IFERROR(INDEX(사건마스터!$AO$5:$AO$64,MATCH($F661,사건마스터!$A$5:$A$64,0)),""))</f>
        <v/>
      </c>
      <c r="S661" s="35">
        <f>IF($F661="","",IFERROR(INDEX(사건마스터!$AP$5:$AP$64,MATCH($F661,사건마스터!$A$5:$A$64,0)),""))</f>
        <v/>
      </c>
      <c r="T661" s="35">
        <f>IF($F661="","",IFERROR(INDEX(사건마스터!$AQ$5:$AQ$64,MATCH($F661,사건마스터!$A$5:$A$64,0)),""))</f>
        <v/>
      </c>
      <c r="U661" s="35">
        <f>IF($F661="","",IFERROR(INDEX(사건마스터!$AR$5:$AR$64,MATCH($F661,사건마스터!$A$5:$A$64,0)),""))</f>
        <v/>
      </c>
      <c r="V661" s="35">
        <f>IF($F661="","",IFERROR(INDEX(사건마스터!$AS$5:$AS$64,MATCH($F661,사건마스터!$A$5:$A$64,0)),""))</f>
        <v/>
      </c>
      <c r="W661" s="35">
        <f>IF($F661="","",IFERROR(INDEX(사건마스터!$AT$5:$AT$64,MATCH($F661,사건마스터!$A$5:$A$64,0)),""))</f>
        <v/>
      </c>
      <c r="X661" s="35">
        <f>IF($F661="","",IFERROR(INDEX(사건마스터!$AU$5:$AU$64,MATCH($F661,사건마스터!$A$5:$A$64,0)),""))</f>
        <v/>
      </c>
      <c r="Y661" s="35">
        <f>IF($F661="","",IFERROR(INDEX(사건마스터!$AV$5:$AV$64,MATCH($F661,사건마스터!$A$5:$A$64,0)),""))</f>
        <v/>
      </c>
      <c r="Z661" s="30">
        <f>IF(COUNTBLANK($J661:$Y661)=16,"",16-COUNTBLANK($J661:$Y661))</f>
        <v/>
      </c>
      <c r="AA661" s="33">
        <f>IF($J661="",MID($AX661,3,255),$J661&amp;$AX661)</f>
        <v/>
      </c>
      <c r="AB661" s="34">
        <f>IF($J661="","",IFERROR(INDEX(코드설정!$D$5:$D$24,MATCH($J661,코드설정!$C$5:$C$24,0)),""))</f>
        <v/>
      </c>
      <c r="AC661" s="36" t="n"/>
      <c r="AD661" s="37" t="n"/>
      <c r="AE661" s="38" t="n"/>
      <c r="AF661" s="30">
        <f>IF(OR($B661="",$C661=""),"",$C661-$B661+1)</f>
        <v/>
      </c>
      <c r="AG661" s="32" t="n"/>
      <c r="AH661" s="36" t="n"/>
      <c r="AJ661">
        <f>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  <c r="AX661">
        <f>AW661&amp;IF($Y661="","",", "&amp;$Y661)</f>
        <v/>
      </c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0">
        <f>IF($F662="","",COUNTIF($F$5:$F662,$F662))</f>
        <v/>
      </c>
      <c r="H662" s="33">
        <f>IF($F662="","",IFERROR(INDEX(사건마스터!$B$5:$B$64,MATCH($F662,사건마스터!$A$5:$A$64,0)),""))</f>
        <v/>
      </c>
      <c r="I662" s="34">
        <f>IF($F662="","",IFERROR(INDEX(사건마스터!$C$5:$C$64,MATCH($F662,사건마스터!$A$5:$A$64,0)),""))</f>
        <v/>
      </c>
      <c r="J662" s="35">
        <f>IF($F662="","",IFERROR(INDEX(사건마스터!$H$5:$H$64,MATCH($F662,사건마스터!$A$5:$A$64,0)),""))</f>
        <v/>
      </c>
      <c r="K662" s="35">
        <f>IF($F662="","",IFERROR(INDEX(사건마스터!$AH$5:$AH$64,MATCH($F662,사건마스터!$A$5:$A$64,0)),""))</f>
        <v/>
      </c>
      <c r="L662" s="35">
        <f>IF($F662="","",IFERROR(INDEX(사건마스터!$AI$5:$AI$64,MATCH($F662,사건마스터!$A$5:$A$64,0)),""))</f>
        <v/>
      </c>
      <c r="M662" s="35">
        <f>IF($F662="","",IFERROR(INDEX(사건마스터!$AJ$5:$AJ$64,MATCH($F662,사건마스터!$A$5:$A$64,0)),""))</f>
        <v/>
      </c>
      <c r="N662" s="35">
        <f>IF($F662="","",IFERROR(INDEX(사건마스터!$AK$5:$AK$64,MATCH($F662,사건마스터!$A$5:$A$64,0)),""))</f>
        <v/>
      </c>
      <c r="O662" s="35">
        <f>IF($F662="","",IFERROR(INDEX(사건마스터!$AL$5:$AL$64,MATCH($F662,사건마스터!$A$5:$A$64,0)),""))</f>
        <v/>
      </c>
      <c r="P662" s="35">
        <f>IF($F662="","",IFERROR(INDEX(사건마스터!$AM$5:$AM$64,MATCH($F662,사건마스터!$A$5:$A$64,0)),""))</f>
        <v/>
      </c>
      <c r="Q662" s="35">
        <f>IF($F662="","",IFERROR(INDEX(사건마스터!$AN$5:$AN$64,MATCH($F662,사건마스터!$A$5:$A$64,0)),""))</f>
        <v/>
      </c>
      <c r="R662" s="35">
        <f>IF($F662="","",IFERROR(INDEX(사건마스터!$AO$5:$AO$64,MATCH($F662,사건마스터!$A$5:$A$64,0)),""))</f>
        <v/>
      </c>
      <c r="S662" s="35">
        <f>IF($F662="","",IFERROR(INDEX(사건마스터!$AP$5:$AP$64,MATCH($F662,사건마스터!$A$5:$A$64,0)),""))</f>
        <v/>
      </c>
      <c r="T662" s="35">
        <f>IF($F662="","",IFERROR(INDEX(사건마스터!$AQ$5:$AQ$64,MATCH($F662,사건마스터!$A$5:$A$64,0)),""))</f>
        <v/>
      </c>
      <c r="U662" s="35">
        <f>IF($F662="","",IFERROR(INDEX(사건마스터!$AR$5:$AR$64,MATCH($F662,사건마스터!$A$5:$A$64,0)),""))</f>
        <v/>
      </c>
      <c r="V662" s="35">
        <f>IF($F662="","",IFERROR(INDEX(사건마스터!$AS$5:$AS$64,MATCH($F662,사건마스터!$A$5:$A$64,0)),""))</f>
        <v/>
      </c>
      <c r="W662" s="35">
        <f>IF($F662="","",IFERROR(INDEX(사건마스터!$AT$5:$AT$64,MATCH($F662,사건마스터!$A$5:$A$64,0)),""))</f>
        <v/>
      </c>
      <c r="X662" s="35">
        <f>IF($F662="","",IFERROR(INDEX(사건마스터!$AU$5:$AU$64,MATCH($F662,사건마스터!$A$5:$A$64,0)),""))</f>
        <v/>
      </c>
      <c r="Y662" s="35">
        <f>IF($F662="","",IFERROR(INDEX(사건마스터!$AV$5:$AV$64,MATCH($F662,사건마스터!$A$5:$A$64,0)),""))</f>
        <v/>
      </c>
      <c r="Z662" s="30">
        <f>IF(COUNTBLANK($J662:$Y662)=16,"",16-COUNTBLANK($J662:$Y662))</f>
        <v/>
      </c>
      <c r="AA662" s="33">
        <f>IF($J662="",MID($AX662,3,255),$J662&amp;$AX662)</f>
        <v/>
      </c>
      <c r="AB662" s="34">
        <f>IF($J662="","",IFERROR(INDEX(코드설정!$D$5:$D$24,MATCH($J662,코드설정!$C$5:$C$24,0)),""))</f>
        <v/>
      </c>
      <c r="AC662" s="36" t="n"/>
      <c r="AD662" s="37" t="n"/>
      <c r="AE662" s="38" t="n"/>
      <c r="AF662" s="30">
        <f>IF(OR($B662="",$C662=""),"",$C662-$B662+1)</f>
        <v/>
      </c>
      <c r="AG662" s="32" t="n"/>
      <c r="AH662" s="36" t="n"/>
      <c r="AJ662">
        <f>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  <c r="AX662">
        <f>AW662&amp;IF($Y662="","",", "&amp;$Y662)</f>
        <v/>
      </c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0">
        <f>IF($F663="","",COUNTIF($F$5:$F663,$F663))</f>
        <v/>
      </c>
      <c r="H663" s="33">
        <f>IF($F663="","",IFERROR(INDEX(사건마스터!$B$5:$B$64,MATCH($F663,사건마스터!$A$5:$A$64,0)),""))</f>
        <v/>
      </c>
      <c r="I663" s="34">
        <f>IF($F663="","",IFERROR(INDEX(사건마스터!$C$5:$C$64,MATCH($F663,사건마스터!$A$5:$A$64,0)),""))</f>
        <v/>
      </c>
      <c r="J663" s="35">
        <f>IF($F663="","",IFERROR(INDEX(사건마스터!$H$5:$H$64,MATCH($F663,사건마스터!$A$5:$A$64,0)),""))</f>
        <v/>
      </c>
      <c r="K663" s="35">
        <f>IF($F663="","",IFERROR(INDEX(사건마스터!$AH$5:$AH$64,MATCH($F663,사건마스터!$A$5:$A$64,0)),""))</f>
        <v/>
      </c>
      <c r="L663" s="35">
        <f>IF($F663="","",IFERROR(INDEX(사건마스터!$AI$5:$AI$64,MATCH($F663,사건마스터!$A$5:$A$64,0)),""))</f>
        <v/>
      </c>
      <c r="M663" s="35">
        <f>IF($F663="","",IFERROR(INDEX(사건마스터!$AJ$5:$AJ$64,MATCH($F663,사건마스터!$A$5:$A$64,0)),""))</f>
        <v/>
      </c>
      <c r="N663" s="35">
        <f>IF($F663="","",IFERROR(INDEX(사건마스터!$AK$5:$AK$64,MATCH($F663,사건마스터!$A$5:$A$64,0)),""))</f>
        <v/>
      </c>
      <c r="O663" s="35">
        <f>IF($F663="","",IFERROR(INDEX(사건마스터!$AL$5:$AL$64,MATCH($F663,사건마스터!$A$5:$A$64,0)),""))</f>
        <v/>
      </c>
      <c r="P663" s="35">
        <f>IF($F663="","",IFERROR(INDEX(사건마스터!$AM$5:$AM$64,MATCH($F663,사건마스터!$A$5:$A$64,0)),""))</f>
        <v/>
      </c>
      <c r="Q663" s="35">
        <f>IF($F663="","",IFERROR(INDEX(사건마스터!$AN$5:$AN$64,MATCH($F663,사건마스터!$A$5:$A$64,0)),""))</f>
        <v/>
      </c>
      <c r="R663" s="35">
        <f>IF($F663="","",IFERROR(INDEX(사건마스터!$AO$5:$AO$64,MATCH($F663,사건마스터!$A$5:$A$64,0)),""))</f>
        <v/>
      </c>
      <c r="S663" s="35">
        <f>IF($F663="","",IFERROR(INDEX(사건마스터!$AP$5:$AP$64,MATCH($F663,사건마스터!$A$5:$A$64,0)),""))</f>
        <v/>
      </c>
      <c r="T663" s="35">
        <f>IF($F663="","",IFERROR(INDEX(사건마스터!$AQ$5:$AQ$64,MATCH($F663,사건마스터!$A$5:$A$64,0)),""))</f>
        <v/>
      </c>
      <c r="U663" s="35">
        <f>IF($F663="","",IFERROR(INDEX(사건마스터!$AR$5:$AR$64,MATCH($F663,사건마스터!$A$5:$A$64,0)),""))</f>
        <v/>
      </c>
      <c r="V663" s="35">
        <f>IF($F663="","",IFERROR(INDEX(사건마스터!$AS$5:$AS$64,MATCH($F663,사건마스터!$A$5:$A$64,0)),""))</f>
        <v/>
      </c>
      <c r="W663" s="35">
        <f>IF($F663="","",IFERROR(INDEX(사건마스터!$AT$5:$AT$64,MATCH($F663,사건마스터!$A$5:$A$64,0)),""))</f>
        <v/>
      </c>
      <c r="X663" s="35">
        <f>IF($F663="","",IFERROR(INDEX(사건마스터!$AU$5:$AU$64,MATCH($F663,사건마스터!$A$5:$A$64,0)),""))</f>
        <v/>
      </c>
      <c r="Y663" s="35">
        <f>IF($F663="","",IFERROR(INDEX(사건마스터!$AV$5:$AV$64,MATCH($F663,사건마스터!$A$5:$A$64,0)),""))</f>
        <v/>
      </c>
      <c r="Z663" s="30">
        <f>IF(COUNTBLANK($J663:$Y663)=16,"",16-COUNTBLANK($J663:$Y663))</f>
        <v/>
      </c>
      <c r="AA663" s="33">
        <f>IF($J663="",MID($AX663,3,255),$J663&amp;$AX663)</f>
        <v/>
      </c>
      <c r="AB663" s="34">
        <f>IF($J663="","",IFERROR(INDEX(코드설정!$D$5:$D$24,MATCH($J663,코드설정!$C$5:$C$24,0)),""))</f>
        <v/>
      </c>
      <c r="AC663" s="36" t="n"/>
      <c r="AD663" s="37" t="n"/>
      <c r="AE663" s="38" t="n"/>
      <c r="AF663" s="30">
        <f>IF(OR($B663="",$C663=""),"",$C663-$B663+1)</f>
        <v/>
      </c>
      <c r="AG663" s="32" t="n"/>
      <c r="AH663" s="36" t="n"/>
      <c r="AJ663">
        <f>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  <c r="AX663">
        <f>AW663&amp;IF($Y663="","",", "&amp;$Y663)</f>
        <v/>
      </c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0">
        <f>IF($F664="","",COUNTIF($F$5:$F664,$F664))</f>
        <v/>
      </c>
      <c r="H664" s="33">
        <f>IF($F664="","",IFERROR(INDEX(사건마스터!$B$5:$B$64,MATCH($F664,사건마스터!$A$5:$A$64,0)),""))</f>
        <v/>
      </c>
      <c r="I664" s="34">
        <f>IF($F664="","",IFERROR(INDEX(사건마스터!$C$5:$C$64,MATCH($F664,사건마스터!$A$5:$A$64,0)),""))</f>
        <v/>
      </c>
      <c r="J664" s="35">
        <f>IF($F664="","",IFERROR(INDEX(사건마스터!$H$5:$H$64,MATCH($F664,사건마스터!$A$5:$A$64,0)),""))</f>
        <v/>
      </c>
      <c r="K664" s="35">
        <f>IF($F664="","",IFERROR(INDEX(사건마스터!$AH$5:$AH$64,MATCH($F664,사건마스터!$A$5:$A$64,0)),""))</f>
        <v/>
      </c>
      <c r="L664" s="35">
        <f>IF($F664="","",IFERROR(INDEX(사건마스터!$AI$5:$AI$64,MATCH($F664,사건마스터!$A$5:$A$64,0)),""))</f>
        <v/>
      </c>
      <c r="M664" s="35">
        <f>IF($F664="","",IFERROR(INDEX(사건마스터!$AJ$5:$AJ$64,MATCH($F664,사건마스터!$A$5:$A$64,0)),""))</f>
        <v/>
      </c>
      <c r="N664" s="35">
        <f>IF($F664="","",IFERROR(INDEX(사건마스터!$AK$5:$AK$64,MATCH($F664,사건마스터!$A$5:$A$64,0)),""))</f>
        <v/>
      </c>
      <c r="O664" s="35">
        <f>IF($F664="","",IFERROR(INDEX(사건마스터!$AL$5:$AL$64,MATCH($F664,사건마스터!$A$5:$A$64,0)),""))</f>
        <v/>
      </c>
      <c r="P664" s="35">
        <f>IF($F664="","",IFERROR(INDEX(사건마스터!$AM$5:$AM$64,MATCH($F664,사건마스터!$A$5:$A$64,0)),""))</f>
        <v/>
      </c>
      <c r="Q664" s="35">
        <f>IF($F664="","",IFERROR(INDEX(사건마스터!$AN$5:$AN$64,MATCH($F664,사건마스터!$A$5:$A$64,0)),""))</f>
        <v/>
      </c>
      <c r="R664" s="35">
        <f>IF($F664="","",IFERROR(INDEX(사건마스터!$AO$5:$AO$64,MATCH($F664,사건마스터!$A$5:$A$64,0)),""))</f>
        <v/>
      </c>
      <c r="S664" s="35">
        <f>IF($F664="","",IFERROR(INDEX(사건마스터!$AP$5:$AP$64,MATCH($F664,사건마스터!$A$5:$A$64,0)),""))</f>
        <v/>
      </c>
      <c r="T664" s="35">
        <f>IF($F664="","",IFERROR(INDEX(사건마스터!$AQ$5:$AQ$64,MATCH($F664,사건마스터!$A$5:$A$64,0)),""))</f>
        <v/>
      </c>
      <c r="U664" s="35">
        <f>IF($F664="","",IFERROR(INDEX(사건마스터!$AR$5:$AR$64,MATCH($F664,사건마스터!$A$5:$A$64,0)),""))</f>
        <v/>
      </c>
      <c r="V664" s="35">
        <f>IF($F664="","",IFERROR(INDEX(사건마스터!$AS$5:$AS$64,MATCH($F664,사건마스터!$A$5:$A$64,0)),""))</f>
        <v/>
      </c>
      <c r="W664" s="35">
        <f>IF($F664="","",IFERROR(INDEX(사건마스터!$AT$5:$AT$64,MATCH($F664,사건마스터!$A$5:$A$64,0)),""))</f>
        <v/>
      </c>
      <c r="X664" s="35">
        <f>IF($F664="","",IFERROR(INDEX(사건마스터!$AU$5:$AU$64,MATCH($F664,사건마스터!$A$5:$A$64,0)),""))</f>
        <v/>
      </c>
      <c r="Y664" s="35">
        <f>IF($F664="","",IFERROR(INDEX(사건마스터!$AV$5:$AV$64,MATCH($F664,사건마스터!$A$5:$A$64,0)),""))</f>
        <v/>
      </c>
      <c r="Z664" s="30">
        <f>IF(COUNTBLANK($J664:$Y664)=16,"",16-COUNTBLANK($J664:$Y664))</f>
        <v/>
      </c>
      <c r="AA664" s="33">
        <f>IF($J664="",MID($AX664,3,255),$J664&amp;$AX664)</f>
        <v/>
      </c>
      <c r="AB664" s="34">
        <f>IF($J664="","",IFERROR(INDEX(코드설정!$D$5:$D$24,MATCH($J664,코드설정!$C$5:$C$24,0)),""))</f>
        <v/>
      </c>
      <c r="AC664" s="36" t="n"/>
      <c r="AD664" s="37" t="n"/>
      <c r="AE664" s="38" t="n"/>
      <c r="AF664" s="30">
        <f>IF(OR($B664="",$C664=""),"",$C664-$B664+1)</f>
        <v/>
      </c>
      <c r="AG664" s="32" t="n"/>
      <c r="AH664" s="36" t="n"/>
      <c r="AJ664">
        <f>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  <c r="AX664">
        <f>AW664&amp;IF($Y664="","",", "&amp;$Y664)</f>
        <v/>
      </c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0">
        <f>IF($F665="","",COUNTIF($F$5:$F665,$F665))</f>
        <v/>
      </c>
      <c r="H665" s="33">
        <f>IF($F665="","",IFERROR(INDEX(사건마스터!$B$5:$B$64,MATCH($F665,사건마스터!$A$5:$A$64,0)),""))</f>
        <v/>
      </c>
      <c r="I665" s="34">
        <f>IF($F665="","",IFERROR(INDEX(사건마스터!$C$5:$C$64,MATCH($F665,사건마스터!$A$5:$A$64,0)),""))</f>
        <v/>
      </c>
      <c r="J665" s="35">
        <f>IF($F665="","",IFERROR(INDEX(사건마스터!$H$5:$H$64,MATCH($F665,사건마스터!$A$5:$A$64,0)),""))</f>
        <v/>
      </c>
      <c r="K665" s="35">
        <f>IF($F665="","",IFERROR(INDEX(사건마스터!$AH$5:$AH$64,MATCH($F665,사건마스터!$A$5:$A$64,0)),""))</f>
        <v/>
      </c>
      <c r="L665" s="35">
        <f>IF($F665="","",IFERROR(INDEX(사건마스터!$AI$5:$AI$64,MATCH($F665,사건마스터!$A$5:$A$64,0)),""))</f>
        <v/>
      </c>
      <c r="M665" s="35">
        <f>IF($F665="","",IFERROR(INDEX(사건마스터!$AJ$5:$AJ$64,MATCH($F665,사건마스터!$A$5:$A$64,0)),""))</f>
        <v/>
      </c>
      <c r="N665" s="35">
        <f>IF($F665="","",IFERROR(INDEX(사건마스터!$AK$5:$AK$64,MATCH($F665,사건마스터!$A$5:$A$64,0)),""))</f>
        <v/>
      </c>
      <c r="O665" s="35">
        <f>IF($F665="","",IFERROR(INDEX(사건마스터!$AL$5:$AL$64,MATCH($F665,사건마스터!$A$5:$A$64,0)),""))</f>
        <v/>
      </c>
      <c r="P665" s="35">
        <f>IF($F665="","",IFERROR(INDEX(사건마스터!$AM$5:$AM$64,MATCH($F665,사건마스터!$A$5:$A$64,0)),""))</f>
        <v/>
      </c>
      <c r="Q665" s="35">
        <f>IF($F665="","",IFERROR(INDEX(사건마스터!$AN$5:$AN$64,MATCH($F665,사건마스터!$A$5:$A$64,0)),""))</f>
        <v/>
      </c>
      <c r="R665" s="35">
        <f>IF($F665="","",IFERROR(INDEX(사건마스터!$AO$5:$AO$64,MATCH($F665,사건마스터!$A$5:$A$64,0)),""))</f>
        <v/>
      </c>
      <c r="S665" s="35">
        <f>IF($F665="","",IFERROR(INDEX(사건마스터!$AP$5:$AP$64,MATCH($F665,사건마스터!$A$5:$A$64,0)),""))</f>
        <v/>
      </c>
      <c r="T665" s="35">
        <f>IF($F665="","",IFERROR(INDEX(사건마스터!$AQ$5:$AQ$64,MATCH($F665,사건마스터!$A$5:$A$64,0)),""))</f>
        <v/>
      </c>
      <c r="U665" s="35">
        <f>IF($F665="","",IFERROR(INDEX(사건마스터!$AR$5:$AR$64,MATCH($F665,사건마스터!$A$5:$A$64,0)),""))</f>
        <v/>
      </c>
      <c r="V665" s="35">
        <f>IF($F665="","",IFERROR(INDEX(사건마스터!$AS$5:$AS$64,MATCH($F665,사건마스터!$A$5:$A$64,0)),""))</f>
        <v/>
      </c>
      <c r="W665" s="35">
        <f>IF($F665="","",IFERROR(INDEX(사건마스터!$AT$5:$AT$64,MATCH($F665,사건마스터!$A$5:$A$64,0)),""))</f>
        <v/>
      </c>
      <c r="X665" s="35">
        <f>IF($F665="","",IFERROR(INDEX(사건마스터!$AU$5:$AU$64,MATCH($F665,사건마스터!$A$5:$A$64,0)),""))</f>
        <v/>
      </c>
      <c r="Y665" s="35">
        <f>IF($F665="","",IFERROR(INDEX(사건마스터!$AV$5:$AV$64,MATCH($F665,사건마스터!$A$5:$A$64,0)),""))</f>
        <v/>
      </c>
      <c r="Z665" s="30">
        <f>IF(COUNTBLANK($J665:$Y665)=16,"",16-COUNTBLANK($J665:$Y665))</f>
        <v/>
      </c>
      <c r="AA665" s="33">
        <f>IF($J665="",MID($AX665,3,255),$J665&amp;$AX665)</f>
        <v/>
      </c>
      <c r="AB665" s="34">
        <f>IF($J665="","",IFERROR(INDEX(코드설정!$D$5:$D$24,MATCH($J665,코드설정!$C$5:$C$24,0)),""))</f>
        <v/>
      </c>
      <c r="AC665" s="36" t="n"/>
      <c r="AD665" s="37" t="n"/>
      <c r="AE665" s="38" t="n"/>
      <c r="AF665" s="30">
        <f>IF(OR($B665="",$C665=""),"",$C665-$B665+1)</f>
        <v/>
      </c>
      <c r="AG665" s="32" t="n"/>
      <c r="AH665" s="36" t="n"/>
      <c r="AJ665">
        <f>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  <c r="AX665">
        <f>AW665&amp;IF($Y665="","",", "&amp;$Y665)</f>
        <v/>
      </c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0">
        <f>IF($F666="","",COUNTIF($F$5:$F666,$F666))</f>
        <v/>
      </c>
      <c r="H666" s="33">
        <f>IF($F666="","",IFERROR(INDEX(사건마스터!$B$5:$B$64,MATCH($F666,사건마스터!$A$5:$A$64,0)),""))</f>
        <v/>
      </c>
      <c r="I666" s="34">
        <f>IF($F666="","",IFERROR(INDEX(사건마스터!$C$5:$C$64,MATCH($F666,사건마스터!$A$5:$A$64,0)),""))</f>
        <v/>
      </c>
      <c r="J666" s="35">
        <f>IF($F666="","",IFERROR(INDEX(사건마스터!$H$5:$H$64,MATCH($F666,사건마스터!$A$5:$A$64,0)),""))</f>
        <v/>
      </c>
      <c r="K666" s="35">
        <f>IF($F666="","",IFERROR(INDEX(사건마스터!$AH$5:$AH$64,MATCH($F666,사건마스터!$A$5:$A$64,0)),""))</f>
        <v/>
      </c>
      <c r="L666" s="35">
        <f>IF($F666="","",IFERROR(INDEX(사건마스터!$AI$5:$AI$64,MATCH($F666,사건마스터!$A$5:$A$64,0)),""))</f>
        <v/>
      </c>
      <c r="M666" s="35">
        <f>IF($F666="","",IFERROR(INDEX(사건마스터!$AJ$5:$AJ$64,MATCH($F666,사건마스터!$A$5:$A$64,0)),""))</f>
        <v/>
      </c>
      <c r="N666" s="35">
        <f>IF($F666="","",IFERROR(INDEX(사건마스터!$AK$5:$AK$64,MATCH($F666,사건마스터!$A$5:$A$64,0)),""))</f>
        <v/>
      </c>
      <c r="O666" s="35">
        <f>IF($F666="","",IFERROR(INDEX(사건마스터!$AL$5:$AL$64,MATCH($F666,사건마스터!$A$5:$A$64,0)),""))</f>
        <v/>
      </c>
      <c r="P666" s="35">
        <f>IF($F666="","",IFERROR(INDEX(사건마스터!$AM$5:$AM$64,MATCH($F666,사건마스터!$A$5:$A$64,0)),""))</f>
        <v/>
      </c>
      <c r="Q666" s="35">
        <f>IF($F666="","",IFERROR(INDEX(사건마스터!$AN$5:$AN$64,MATCH($F666,사건마스터!$A$5:$A$64,0)),""))</f>
        <v/>
      </c>
      <c r="R666" s="35">
        <f>IF($F666="","",IFERROR(INDEX(사건마스터!$AO$5:$AO$64,MATCH($F666,사건마스터!$A$5:$A$64,0)),""))</f>
        <v/>
      </c>
      <c r="S666" s="35">
        <f>IF($F666="","",IFERROR(INDEX(사건마스터!$AP$5:$AP$64,MATCH($F666,사건마스터!$A$5:$A$64,0)),""))</f>
        <v/>
      </c>
      <c r="T666" s="35">
        <f>IF($F666="","",IFERROR(INDEX(사건마스터!$AQ$5:$AQ$64,MATCH($F666,사건마스터!$A$5:$A$64,0)),""))</f>
        <v/>
      </c>
      <c r="U666" s="35">
        <f>IF($F666="","",IFERROR(INDEX(사건마스터!$AR$5:$AR$64,MATCH($F666,사건마스터!$A$5:$A$64,0)),""))</f>
        <v/>
      </c>
      <c r="V666" s="35">
        <f>IF($F666="","",IFERROR(INDEX(사건마스터!$AS$5:$AS$64,MATCH($F666,사건마스터!$A$5:$A$64,0)),""))</f>
        <v/>
      </c>
      <c r="W666" s="35">
        <f>IF($F666="","",IFERROR(INDEX(사건마스터!$AT$5:$AT$64,MATCH($F666,사건마스터!$A$5:$A$64,0)),""))</f>
        <v/>
      </c>
      <c r="X666" s="35">
        <f>IF($F666="","",IFERROR(INDEX(사건마스터!$AU$5:$AU$64,MATCH($F666,사건마스터!$A$5:$A$64,0)),""))</f>
        <v/>
      </c>
      <c r="Y666" s="35">
        <f>IF($F666="","",IFERROR(INDEX(사건마스터!$AV$5:$AV$64,MATCH($F666,사건마스터!$A$5:$A$64,0)),""))</f>
        <v/>
      </c>
      <c r="Z666" s="30">
        <f>IF(COUNTBLANK($J666:$Y666)=16,"",16-COUNTBLANK($J666:$Y666))</f>
        <v/>
      </c>
      <c r="AA666" s="33">
        <f>IF($J666="",MID($AX666,3,255),$J666&amp;$AX666)</f>
        <v/>
      </c>
      <c r="AB666" s="34">
        <f>IF($J666="","",IFERROR(INDEX(코드설정!$D$5:$D$24,MATCH($J666,코드설정!$C$5:$C$24,0)),""))</f>
        <v/>
      </c>
      <c r="AC666" s="36" t="n"/>
      <c r="AD666" s="37" t="n"/>
      <c r="AE666" s="38" t="n"/>
      <c r="AF666" s="30">
        <f>IF(OR($B666="",$C666=""),"",$C666-$B666+1)</f>
        <v/>
      </c>
      <c r="AG666" s="32" t="n"/>
      <c r="AH666" s="36" t="n"/>
      <c r="AJ666">
        <f>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  <c r="AX666">
        <f>AW666&amp;IF($Y666="","",", "&amp;$Y666)</f>
        <v/>
      </c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0">
        <f>IF($F667="","",COUNTIF($F$5:$F667,$F667))</f>
        <v/>
      </c>
      <c r="H667" s="33">
        <f>IF($F667="","",IFERROR(INDEX(사건마스터!$B$5:$B$64,MATCH($F667,사건마스터!$A$5:$A$64,0)),""))</f>
        <v/>
      </c>
      <c r="I667" s="34">
        <f>IF($F667="","",IFERROR(INDEX(사건마스터!$C$5:$C$64,MATCH($F667,사건마스터!$A$5:$A$64,0)),""))</f>
        <v/>
      </c>
      <c r="J667" s="35">
        <f>IF($F667="","",IFERROR(INDEX(사건마스터!$H$5:$H$64,MATCH($F667,사건마스터!$A$5:$A$64,0)),""))</f>
        <v/>
      </c>
      <c r="K667" s="35">
        <f>IF($F667="","",IFERROR(INDEX(사건마스터!$AH$5:$AH$64,MATCH($F667,사건마스터!$A$5:$A$64,0)),""))</f>
        <v/>
      </c>
      <c r="L667" s="35">
        <f>IF($F667="","",IFERROR(INDEX(사건마스터!$AI$5:$AI$64,MATCH($F667,사건마스터!$A$5:$A$64,0)),""))</f>
        <v/>
      </c>
      <c r="M667" s="35">
        <f>IF($F667="","",IFERROR(INDEX(사건마스터!$AJ$5:$AJ$64,MATCH($F667,사건마스터!$A$5:$A$64,0)),""))</f>
        <v/>
      </c>
      <c r="N667" s="35">
        <f>IF($F667="","",IFERROR(INDEX(사건마스터!$AK$5:$AK$64,MATCH($F667,사건마스터!$A$5:$A$64,0)),""))</f>
        <v/>
      </c>
      <c r="O667" s="35">
        <f>IF($F667="","",IFERROR(INDEX(사건마스터!$AL$5:$AL$64,MATCH($F667,사건마스터!$A$5:$A$64,0)),""))</f>
        <v/>
      </c>
      <c r="P667" s="35">
        <f>IF($F667="","",IFERROR(INDEX(사건마스터!$AM$5:$AM$64,MATCH($F667,사건마스터!$A$5:$A$64,0)),""))</f>
        <v/>
      </c>
      <c r="Q667" s="35">
        <f>IF($F667="","",IFERROR(INDEX(사건마스터!$AN$5:$AN$64,MATCH($F667,사건마스터!$A$5:$A$64,0)),""))</f>
        <v/>
      </c>
      <c r="R667" s="35">
        <f>IF($F667="","",IFERROR(INDEX(사건마스터!$AO$5:$AO$64,MATCH($F667,사건마스터!$A$5:$A$64,0)),""))</f>
        <v/>
      </c>
      <c r="S667" s="35">
        <f>IF($F667="","",IFERROR(INDEX(사건마스터!$AP$5:$AP$64,MATCH($F667,사건마스터!$A$5:$A$64,0)),""))</f>
        <v/>
      </c>
      <c r="T667" s="35">
        <f>IF($F667="","",IFERROR(INDEX(사건마스터!$AQ$5:$AQ$64,MATCH($F667,사건마스터!$A$5:$A$64,0)),""))</f>
        <v/>
      </c>
      <c r="U667" s="35">
        <f>IF($F667="","",IFERROR(INDEX(사건마스터!$AR$5:$AR$64,MATCH($F667,사건마스터!$A$5:$A$64,0)),""))</f>
        <v/>
      </c>
      <c r="V667" s="35">
        <f>IF($F667="","",IFERROR(INDEX(사건마스터!$AS$5:$AS$64,MATCH($F667,사건마스터!$A$5:$A$64,0)),""))</f>
        <v/>
      </c>
      <c r="W667" s="35">
        <f>IF($F667="","",IFERROR(INDEX(사건마스터!$AT$5:$AT$64,MATCH($F667,사건마스터!$A$5:$A$64,0)),""))</f>
        <v/>
      </c>
      <c r="X667" s="35">
        <f>IF($F667="","",IFERROR(INDEX(사건마스터!$AU$5:$AU$64,MATCH($F667,사건마스터!$A$5:$A$64,0)),""))</f>
        <v/>
      </c>
      <c r="Y667" s="35">
        <f>IF($F667="","",IFERROR(INDEX(사건마스터!$AV$5:$AV$64,MATCH($F667,사건마스터!$A$5:$A$64,0)),""))</f>
        <v/>
      </c>
      <c r="Z667" s="30">
        <f>IF(COUNTBLANK($J667:$Y667)=16,"",16-COUNTBLANK($J667:$Y667))</f>
        <v/>
      </c>
      <c r="AA667" s="33">
        <f>IF($J667="",MID($AX667,3,255),$J667&amp;$AX667)</f>
        <v/>
      </c>
      <c r="AB667" s="34">
        <f>IF($J667="","",IFERROR(INDEX(코드설정!$D$5:$D$24,MATCH($J667,코드설정!$C$5:$C$24,0)),""))</f>
        <v/>
      </c>
      <c r="AC667" s="36" t="n"/>
      <c r="AD667" s="37" t="n"/>
      <c r="AE667" s="38" t="n"/>
      <c r="AF667" s="30">
        <f>IF(OR($B667="",$C667=""),"",$C667-$B667+1)</f>
        <v/>
      </c>
      <c r="AG667" s="32" t="n"/>
      <c r="AH667" s="36" t="n"/>
      <c r="AJ667">
        <f>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  <c r="AX667">
        <f>AW667&amp;IF($Y667="","",", "&amp;$Y667)</f>
        <v/>
      </c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0">
        <f>IF($F668="","",COUNTIF($F$5:$F668,$F668))</f>
        <v/>
      </c>
      <c r="H668" s="33">
        <f>IF($F668="","",IFERROR(INDEX(사건마스터!$B$5:$B$64,MATCH($F668,사건마스터!$A$5:$A$64,0)),""))</f>
        <v/>
      </c>
      <c r="I668" s="34">
        <f>IF($F668="","",IFERROR(INDEX(사건마스터!$C$5:$C$64,MATCH($F668,사건마스터!$A$5:$A$64,0)),""))</f>
        <v/>
      </c>
      <c r="J668" s="35">
        <f>IF($F668="","",IFERROR(INDEX(사건마스터!$H$5:$H$64,MATCH($F668,사건마스터!$A$5:$A$64,0)),""))</f>
        <v/>
      </c>
      <c r="K668" s="35">
        <f>IF($F668="","",IFERROR(INDEX(사건마스터!$AH$5:$AH$64,MATCH($F668,사건마스터!$A$5:$A$64,0)),""))</f>
        <v/>
      </c>
      <c r="L668" s="35">
        <f>IF($F668="","",IFERROR(INDEX(사건마스터!$AI$5:$AI$64,MATCH($F668,사건마스터!$A$5:$A$64,0)),""))</f>
        <v/>
      </c>
      <c r="M668" s="35">
        <f>IF($F668="","",IFERROR(INDEX(사건마스터!$AJ$5:$AJ$64,MATCH($F668,사건마스터!$A$5:$A$64,0)),""))</f>
        <v/>
      </c>
      <c r="N668" s="35">
        <f>IF($F668="","",IFERROR(INDEX(사건마스터!$AK$5:$AK$64,MATCH($F668,사건마스터!$A$5:$A$64,0)),""))</f>
        <v/>
      </c>
      <c r="O668" s="35">
        <f>IF($F668="","",IFERROR(INDEX(사건마스터!$AL$5:$AL$64,MATCH($F668,사건마스터!$A$5:$A$64,0)),""))</f>
        <v/>
      </c>
      <c r="P668" s="35">
        <f>IF($F668="","",IFERROR(INDEX(사건마스터!$AM$5:$AM$64,MATCH($F668,사건마스터!$A$5:$A$64,0)),""))</f>
        <v/>
      </c>
      <c r="Q668" s="35">
        <f>IF($F668="","",IFERROR(INDEX(사건마스터!$AN$5:$AN$64,MATCH($F668,사건마스터!$A$5:$A$64,0)),""))</f>
        <v/>
      </c>
      <c r="R668" s="35">
        <f>IF($F668="","",IFERROR(INDEX(사건마스터!$AO$5:$AO$64,MATCH($F668,사건마스터!$A$5:$A$64,0)),""))</f>
        <v/>
      </c>
      <c r="S668" s="35">
        <f>IF($F668="","",IFERROR(INDEX(사건마스터!$AP$5:$AP$64,MATCH($F668,사건마스터!$A$5:$A$64,0)),""))</f>
        <v/>
      </c>
      <c r="T668" s="35">
        <f>IF($F668="","",IFERROR(INDEX(사건마스터!$AQ$5:$AQ$64,MATCH($F668,사건마스터!$A$5:$A$64,0)),""))</f>
        <v/>
      </c>
      <c r="U668" s="35">
        <f>IF($F668="","",IFERROR(INDEX(사건마스터!$AR$5:$AR$64,MATCH($F668,사건마스터!$A$5:$A$64,0)),""))</f>
        <v/>
      </c>
      <c r="V668" s="35">
        <f>IF($F668="","",IFERROR(INDEX(사건마스터!$AS$5:$AS$64,MATCH($F668,사건마스터!$A$5:$A$64,0)),""))</f>
        <v/>
      </c>
      <c r="W668" s="35">
        <f>IF($F668="","",IFERROR(INDEX(사건마스터!$AT$5:$AT$64,MATCH($F668,사건마스터!$A$5:$A$64,0)),""))</f>
        <v/>
      </c>
      <c r="X668" s="35">
        <f>IF($F668="","",IFERROR(INDEX(사건마스터!$AU$5:$AU$64,MATCH($F668,사건마스터!$A$5:$A$64,0)),""))</f>
        <v/>
      </c>
      <c r="Y668" s="35">
        <f>IF($F668="","",IFERROR(INDEX(사건마스터!$AV$5:$AV$64,MATCH($F668,사건마스터!$A$5:$A$64,0)),""))</f>
        <v/>
      </c>
      <c r="Z668" s="30">
        <f>IF(COUNTBLANK($J668:$Y668)=16,"",16-COUNTBLANK($J668:$Y668))</f>
        <v/>
      </c>
      <c r="AA668" s="33">
        <f>IF($J668="",MID($AX668,3,255),$J668&amp;$AX668)</f>
        <v/>
      </c>
      <c r="AB668" s="34">
        <f>IF($J668="","",IFERROR(INDEX(코드설정!$D$5:$D$24,MATCH($J668,코드설정!$C$5:$C$24,0)),""))</f>
        <v/>
      </c>
      <c r="AC668" s="36" t="n"/>
      <c r="AD668" s="37" t="n"/>
      <c r="AE668" s="38" t="n"/>
      <c r="AF668" s="30">
        <f>IF(OR($B668="",$C668=""),"",$C668-$B668+1)</f>
        <v/>
      </c>
      <c r="AG668" s="32" t="n"/>
      <c r="AH668" s="36" t="n"/>
      <c r="AJ668">
        <f>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  <c r="AX668">
        <f>AW668&amp;IF($Y668="","",", "&amp;$Y668)</f>
        <v/>
      </c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0">
        <f>IF($F669="","",COUNTIF($F$5:$F669,$F669))</f>
        <v/>
      </c>
      <c r="H669" s="33">
        <f>IF($F669="","",IFERROR(INDEX(사건마스터!$B$5:$B$64,MATCH($F669,사건마스터!$A$5:$A$64,0)),""))</f>
        <v/>
      </c>
      <c r="I669" s="34">
        <f>IF($F669="","",IFERROR(INDEX(사건마스터!$C$5:$C$64,MATCH($F669,사건마스터!$A$5:$A$64,0)),""))</f>
        <v/>
      </c>
      <c r="J669" s="35">
        <f>IF($F669="","",IFERROR(INDEX(사건마스터!$H$5:$H$64,MATCH($F669,사건마스터!$A$5:$A$64,0)),""))</f>
        <v/>
      </c>
      <c r="K669" s="35">
        <f>IF($F669="","",IFERROR(INDEX(사건마스터!$AH$5:$AH$64,MATCH($F669,사건마스터!$A$5:$A$64,0)),""))</f>
        <v/>
      </c>
      <c r="L669" s="35">
        <f>IF($F669="","",IFERROR(INDEX(사건마스터!$AI$5:$AI$64,MATCH($F669,사건마스터!$A$5:$A$64,0)),""))</f>
        <v/>
      </c>
      <c r="M669" s="35">
        <f>IF($F669="","",IFERROR(INDEX(사건마스터!$AJ$5:$AJ$64,MATCH($F669,사건마스터!$A$5:$A$64,0)),""))</f>
        <v/>
      </c>
      <c r="N669" s="35">
        <f>IF($F669="","",IFERROR(INDEX(사건마스터!$AK$5:$AK$64,MATCH($F669,사건마스터!$A$5:$A$64,0)),""))</f>
        <v/>
      </c>
      <c r="O669" s="35">
        <f>IF($F669="","",IFERROR(INDEX(사건마스터!$AL$5:$AL$64,MATCH($F669,사건마스터!$A$5:$A$64,0)),""))</f>
        <v/>
      </c>
      <c r="P669" s="35">
        <f>IF($F669="","",IFERROR(INDEX(사건마스터!$AM$5:$AM$64,MATCH($F669,사건마스터!$A$5:$A$64,0)),""))</f>
        <v/>
      </c>
      <c r="Q669" s="35">
        <f>IF($F669="","",IFERROR(INDEX(사건마스터!$AN$5:$AN$64,MATCH($F669,사건마스터!$A$5:$A$64,0)),""))</f>
        <v/>
      </c>
      <c r="R669" s="35">
        <f>IF($F669="","",IFERROR(INDEX(사건마스터!$AO$5:$AO$64,MATCH($F669,사건마스터!$A$5:$A$64,0)),""))</f>
        <v/>
      </c>
      <c r="S669" s="35">
        <f>IF($F669="","",IFERROR(INDEX(사건마스터!$AP$5:$AP$64,MATCH($F669,사건마스터!$A$5:$A$64,0)),""))</f>
        <v/>
      </c>
      <c r="T669" s="35">
        <f>IF($F669="","",IFERROR(INDEX(사건마스터!$AQ$5:$AQ$64,MATCH($F669,사건마스터!$A$5:$A$64,0)),""))</f>
        <v/>
      </c>
      <c r="U669" s="35">
        <f>IF($F669="","",IFERROR(INDEX(사건마스터!$AR$5:$AR$64,MATCH($F669,사건마스터!$A$5:$A$64,0)),""))</f>
        <v/>
      </c>
      <c r="V669" s="35">
        <f>IF($F669="","",IFERROR(INDEX(사건마스터!$AS$5:$AS$64,MATCH($F669,사건마스터!$A$5:$A$64,0)),""))</f>
        <v/>
      </c>
      <c r="W669" s="35">
        <f>IF($F669="","",IFERROR(INDEX(사건마스터!$AT$5:$AT$64,MATCH($F669,사건마스터!$A$5:$A$64,0)),""))</f>
        <v/>
      </c>
      <c r="X669" s="35">
        <f>IF($F669="","",IFERROR(INDEX(사건마스터!$AU$5:$AU$64,MATCH($F669,사건마스터!$A$5:$A$64,0)),""))</f>
        <v/>
      </c>
      <c r="Y669" s="35">
        <f>IF($F669="","",IFERROR(INDEX(사건마스터!$AV$5:$AV$64,MATCH($F669,사건마스터!$A$5:$A$64,0)),""))</f>
        <v/>
      </c>
      <c r="Z669" s="30">
        <f>IF(COUNTBLANK($J669:$Y669)=16,"",16-COUNTBLANK($J669:$Y669))</f>
        <v/>
      </c>
      <c r="AA669" s="33">
        <f>IF($J669="",MID($AX669,3,255),$J669&amp;$AX669)</f>
        <v/>
      </c>
      <c r="AB669" s="34">
        <f>IF($J669="","",IFERROR(INDEX(코드설정!$D$5:$D$24,MATCH($J669,코드설정!$C$5:$C$24,0)),""))</f>
        <v/>
      </c>
      <c r="AC669" s="36" t="n"/>
      <c r="AD669" s="37" t="n"/>
      <c r="AE669" s="38" t="n"/>
      <c r="AF669" s="30">
        <f>IF(OR($B669="",$C669=""),"",$C669-$B669+1)</f>
        <v/>
      </c>
      <c r="AG669" s="32" t="n"/>
      <c r="AH669" s="36" t="n"/>
      <c r="AJ669">
        <f>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  <c r="AX669">
        <f>AW669&amp;IF($Y669="","",", "&amp;$Y669)</f>
        <v/>
      </c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0">
        <f>IF($F670="","",COUNTIF($F$5:$F670,$F670))</f>
        <v/>
      </c>
      <c r="H670" s="33">
        <f>IF($F670="","",IFERROR(INDEX(사건마스터!$B$5:$B$64,MATCH($F670,사건마스터!$A$5:$A$64,0)),""))</f>
        <v/>
      </c>
      <c r="I670" s="34">
        <f>IF($F670="","",IFERROR(INDEX(사건마스터!$C$5:$C$64,MATCH($F670,사건마스터!$A$5:$A$64,0)),""))</f>
        <v/>
      </c>
      <c r="J670" s="35">
        <f>IF($F670="","",IFERROR(INDEX(사건마스터!$H$5:$H$64,MATCH($F670,사건마스터!$A$5:$A$64,0)),""))</f>
        <v/>
      </c>
      <c r="K670" s="35">
        <f>IF($F670="","",IFERROR(INDEX(사건마스터!$AH$5:$AH$64,MATCH($F670,사건마스터!$A$5:$A$64,0)),""))</f>
        <v/>
      </c>
      <c r="L670" s="35">
        <f>IF($F670="","",IFERROR(INDEX(사건마스터!$AI$5:$AI$64,MATCH($F670,사건마스터!$A$5:$A$64,0)),""))</f>
        <v/>
      </c>
      <c r="M670" s="35">
        <f>IF($F670="","",IFERROR(INDEX(사건마스터!$AJ$5:$AJ$64,MATCH($F670,사건마스터!$A$5:$A$64,0)),""))</f>
        <v/>
      </c>
      <c r="N670" s="35">
        <f>IF($F670="","",IFERROR(INDEX(사건마스터!$AK$5:$AK$64,MATCH($F670,사건마스터!$A$5:$A$64,0)),""))</f>
        <v/>
      </c>
      <c r="O670" s="35">
        <f>IF($F670="","",IFERROR(INDEX(사건마스터!$AL$5:$AL$64,MATCH($F670,사건마스터!$A$5:$A$64,0)),""))</f>
        <v/>
      </c>
      <c r="P670" s="35">
        <f>IF($F670="","",IFERROR(INDEX(사건마스터!$AM$5:$AM$64,MATCH($F670,사건마스터!$A$5:$A$64,0)),""))</f>
        <v/>
      </c>
      <c r="Q670" s="35">
        <f>IF($F670="","",IFERROR(INDEX(사건마스터!$AN$5:$AN$64,MATCH($F670,사건마스터!$A$5:$A$64,0)),""))</f>
        <v/>
      </c>
      <c r="R670" s="35">
        <f>IF($F670="","",IFERROR(INDEX(사건마스터!$AO$5:$AO$64,MATCH($F670,사건마스터!$A$5:$A$64,0)),""))</f>
        <v/>
      </c>
      <c r="S670" s="35">
        <f>IF($F670="","",IFERROR(INDEX(사건마스터!$AP$5:$AP$64,MATCH($F670,사건마스터!$A$5:$A$64,0)),""))</f>
        <v/>
      </c>
      <c r="T670" s="35">
        <f>IF($F670="","",IFERROR(INDEX(사건마스터!$AQ$5:$AQ$64,MATCH($F670,사건마스터!$A$5:$A$64,0)),""))</f>
        <v/>
      </c>
      <c r="U670" s="35">
        <f>IF($F670="","",IFERROR(INDEX(사건마스터!$AR$5:$AR$64,MATCH($F670,사건마스터!$A$5:$A$64,0)),""))</f>
        <v/>
      </c>
      <c r="V670" s="35">
        <f>IF($F670="","",IFERROR(INDEX(사건마스터!$AS$5:$AS$64,MATCH($F670,사건마스터!$A$5:$A$64,0)),""))</f>
        <v/>
      </c>
      <c r="W670" s="35">
        <f>IF($F670="","",IFERROR(INDEX(사건마스터!$AT$5:$AT$64,MATCH($F670,사건마스터!$A$5:$A$64,0)),""))</f>
        <v/>
      </c>
      <c r="X670" s="35">
        <f>IF($F670="","",IFERROR(INDEX(사건마스터!$AU$5:$AU$64,MATCH($F670,사건마스터!$A$5:$A$64,0)),""))</f>
        <v/>
      </c>
      <c r="Y670" s="35">
        <f>IF($F670="","",IFERROR(INDEX(사건마스터!$AV$5:$AV$64,MATCH($F670,사건마스터!$A$5:$A$64,0)),""))</f>
        <v/>
      </c>
      <c r="Z670" s="30">
        <f>IF(COUNTBLANK($J670:$Y670)=16,"",16-COUNTBLANK($J670:$Y670))</f>
        <v/>
      </c>
      <c r="AA670" s="33">
        <f>IF($J670="",MID($AX670,3,255),$J670&amp;$AX670)</f>
        <v/>
      </c>
      <c r="AB670" s="34">
        <f>IF($J670="","",IFERROR(INDEX(코드설정!$D$5:$D$24,MATCH($J670,코드설정!$C$5:$C$24,0)),""))</f>
        <v/>
      </c>
      <c r="AC670" s="36" t="n"/>
      <c r="AD670" s="37" t="n"/>
      <c r="AE670" s="38" t="n"/>
      <c r="AF670" s="30">
        <f>IF(OR($B670="",$C670=""),"",$C670-$B670+1)</f>
        <v/>
      </c>
      <c r="AG670" s="32" t="n"/>
      <c r="AH670" s="36" t="n"/>
      <c r="AJ670">
        <f>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  <c r="AX670">
        <f>AW670&amp;IF($Y670="","",", "&amp;$Y670)</f>
        <v/>
      </c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0">
        <f>IF($F671="","",COUNTIF($F$5:$F671,$F671))</f>
        <v/>
      </c>
      <c r="H671" s="33">
        <f>IF($F671="","",IFERROR(INDEX(사건마스터!$B$5:$B$64,MATCH($F671,사건마스터!$A$5:$A$64,0)),""))</f>
        <v/>
      </c>
      <c r="I671" s="34">
        <f>IF($F671="","",IFERROR(INDEX(사건마스터!$C$5:$C$64,MATCH($F671,사건마스터!$A$5:$A$64,0)),""))</f>
        <v/>
      </c>
      <c r="J671" s="35">
        <f>IF($F671="","",IFERROR(INDEX(사건마스터!$H$5:$H$64,MATCH($F671,사건마스터!$A$5:$A$64,0)),""))</f>
        <v/>
      </c>
      <c r="K671" s="35">
        <f>IF($F671="","",IFERROR(INDEX(사건마스터!$AH$5:$AH$64,MATCH($F671,사건마스터!$A$5:$A$64,0)),""))</f>
        <v/>
      </c>
      <c r="L671" s="35">
        <f>IF($F671="","",IFERROR(INDEX(사건마스터!$AI$5:$AI$64,MATCH($F671,사건마스터!$A$5:$A$64,0)),""))</f>
        <v/>
      </c>
      <c r="M671" s="35">
        <f>IF($F671="","",IFERROR(INDEX(사건마스터!$AJ$5:$AJ$64,MATCH($F671,사건마스터!$A$5:$A$64,0)),""))</f>
        <v/>
      </c>
      <c r="N671" s="35">
        <f>IF($F671="","",IFERROR(INDEX(사건마스터!$AK$5:$AK$64,MATCH($F671,사건마스터!$A$5:$A$64,0)),""))</f>
        <v/>
      </c>
      <c r="O671" s="35">
        <f>IF($F671="","",IFERROR(INDEX(사건마스터!$AL$5:$AL$64,MATCH($F671,사건마스터!$A$5:$A$64,0)),""))</f>
        <v/>
      </c>
      <c r="P671" s="35">
        <f>IF($F671="","",IFERROR(INDEX(사건마스터!$AM$5:$AM$64,MATCH($F671,사건마스터!$A$5:$A$64,0)),""))</f>
        <v/>
      </c>
      <c r="Q671" s="35">
        <f>IF($F671="","",IFERROR(INDEX(사건마스터!$AN$5:$AN$64,MATCH($F671,사건마스터!$A$5:$A$64,0)),""))</f>
        <v/>
      </c>
      <c r="R671" s="35">
        <f>IF($F671="","",IFERROR(INDEX(사건마스터!$AO$5:$AO$64,MATCH($F671,사건마스터!$A$5:$A$64,0)),""))</f>
        <v/>
      </c>
      <c r="S671" s="35">
        <f>IF($F671="","",IFERROR(INDEX(사건마스터!$AP$5:$AP$64,MATCH($F671,사건마스터!$A$5:$A$64,0)),""))</f>
        <v/>
      </c>
      <c r="T671" s="35">
        <f>IF($F671="","",IFERROR(INDEX(사건마스터!$AQ$5:$AQ$64,MATCH($F671,사건마스터!$A$5:$A$64,0)),""))</f>
        <v/>
      </c>
      <c r="U671" s="35">
        <f>IF($F671="","",IFERROR(INDEX(사건마스터!$AR$5:$AR$64,MATCH($F671,사건마스터!$A$5:$A$64,0)),""))</f>
        <v/>
      </c>
      <c r="V671" s="35">
        <f>IF($F671="","",IFERROR(INDEX(사건마스터!$AS$5:$AS$64,MATCH($F671,사건마스터!$A$5:$A$64,0)),""))</f>
        <v/>
      </c>
      <c r="W671" s="35">
        <f>IF($F671="","",IFERROR(INDEX(사건마스터!$AT$5:$AT$64,MATCH($F671,사건마스터!$A$5:$A$64,0)),""))</f>
        <v/>
      </c>
      <c r="X671" s="35">
        <f>IF($F671="","",IFERROR(INDEX(사건마스터!$AU$5:$AU$64,MATCH($F671,사건마스터!$A$5:$A$64,0)),""))</f>
        <v/>
      </c>
      <c r="Y671" s="35">
        <f>IF($F671="","",IFERROR(INDEX(사건마스터!$AV$5:$AV$64,MATCH($F671,사건마스터!$A$5:$A$64,0)),""))</f>
        <v/>
      </c>
      <c r="Z671" s="30">
        <f>IF(COUNTBLANK($J671:$Y671)=16,"",16-COUNTBLANK($J671:$Y671))</f>
        <v/>
      </c>
      <c r="AA671" s="33">
        <f>IF($J671="",MID($AX671,3,255),$J671&amp;$AX671)</f>
        <v/>
      </c>
      <c r="AB671" s="34">
        <f>IF($J671="","",IFERROR(INDEX(코드설정!$D$5:$D$24,MATCH($J671,코드설정!$C$5:$C$24,0)),""))</f>
        <v/>
      </c>
      <c r="AC671" s="36" t="n"/>
      <c r="AD671" s="37" t="n"/>
      <c r="AE671" s="38" t="n"/>
      <c r="AF671" s="30">
        <f>IF(OR($B671="",$C671=""),"",$C671-$B671+1)</f>
        <v/>
      </c>
      <c r="AG671" s="32" t="n"/>
      <c r="AH671" s="36" t="n"/>
      <c r="AJ671">
        <f>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  <c r="AX671">
        <f>AW671&amp;IF($Y671="","",", "&amp;$Y671)</f>
        <v/>
      </c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0">
        <f>IF($F672="","",COUNTIF($F$5:$F672,$F672))</f>
        <v/>
      </c>
      <c r="H672" s="33">
        <f>IF($F672="","",IFERROR(INDEX(사건마스터!$B$5:$B$64,MATCH($F672,사건마스터!$A$5:$A$64,0)),""))</f>
        <v/>
      </c>
      <c r="I672" s="34">
        <f>IF($F672="","",IFERROR(INDEX(사건마스터!$C$5:$C$64,MATCH($F672,사건마스터!$A$5:$A$64,0)),""))</f>
        <v/>
      </c>
      <c r="J672" s="35">
        <f>IF($F672="","",IFERROR(INDEX(사건마스터!$H$5:$H$64,MATCH($F672,사건마스터!$A$5:$A$64,0)),""))</f>
        <v/>
      </c>
      <c r="K672" s="35">
        <f>IF($F672="","",IFERROR(INDEX(사건마스터!$AH$5:$AH$64,MATCH($F672,사건마스터!$A$5:$A$64,0)),""))</f>
        <v/>
      </c>
      <c r="L672" s="35">
        <f>IF($F672="","",IFERROR(INDEX(사건마스터!$AI$5:$AI$64,MATCH($F672,사건마스터!$A$5:$A$64,0)),""))</f>
        <v/>
      </c>
      <c r="M672" s="35">
        <f>IF($F672="","",IFERROR(INDEX(사건마스터!$AJ$5:$AJ$64,MATCH($F672,사건마스터!$A$5:$A$64,0)),""))</f>
        <v/>
      </c>
      <c r="N672" s="35">
        <f>IF($F672="","",IFERROR(INDEX(사건마스터!$AK$5:$AK$64,MATCH($F672,사건마스터!$A$5:$A$64,0)),""))</f>
        <v/>
      </c>
      <c r="O672" s="35">
        <f>IF($F672="","",IFERROR(INDEX(사건마스터!$AL$5:$AL$64,MATCH($F672,사건마스터!$A$5:$A$64,0)),""))</f>
        <v/>
      </c>
      <c r="P672" s="35">
        <f>IF($F672="","",IFERROR(INDEX(사건마스터!$AM$5:$AM$64,MATCH($F672,사건마스터!$A$5:$A$64,0)),""))</f>
        <v/>
      </c>
      <c r="Q672" s="35">
        <f>IF($F672="","",IFERROR(INDEX(사건마스터!$AN$5:$AN$64,MATCH($F672,사건마스터!$A$5:$A$64,0)),""))</f>
        <v/>
      </c>
      <c r="R672" s="35">
        <f>IF($F672="","",IFERROR(INDEX(사건마스터!$AO$5:$AO$64,MATCH($F672,사건마스터!$A$5:$A$64,0)),""))</f>
        <v/>
      </c>
      <c r="S672" s="35">
        <f>IF($F672="","",IFERROR(INDEX(사건마스터!$AP$5:$AP$64,MATCH($F672,사건마스터!$A$5:$A$64,0)),""))</f>
        <v/>
      </c>
      <c r="T672" s="35">
        <f>IF($F672="","",IFERROR(INDEX(사건마스터!$AQ$5:$AQ$64,MATCH($F672,사건마스터!$A$5:$A$64,0)),""))</f>
        <v/>
      </c>
      <c r="U672" s="35">
        <f>IF($F672="","",IFERROR(INDEX(사건마스터!$AR$5:$AR$64,MATCH($F672,사건마스터!$A$5:$A$64,0)),""))</f>
        <v/>
      </c>
      <c r="V672" s="35">
        <f>IF($F672="","",IFERROR(INDEX(사건마스터!$AS$5:$AS$64,MATCH($F672,사건마스터!$A$5:$A$64,0)),""))</f>
        <v/>
      </c>
      <c r="W672" s="35">
        <f>IF($F672="","",IFERROR(INDEX(사건마스터!$AT$5:$AT$64,MATCH($F672,사건마스터!$A$5:$A$64,0)),""))</f>
        <v/>
      </c>
      <c r="X672" s="35">
        <f>IF($F672="","",IFERROR(INDEX(사건마스터!$AU$5:$AU$64,MATCH($F672,사건마스터!$A$5:$A$64,0)),""))</f>
        <v/>
      </c>
      <c r="Y672" s="35">
        <f>IF($F672="","",IFERROR(INDEX(사건마스터!$AV$5:$AV$64,MATCH($F672,사건마스터!$A$5:$A$64,0)),""))</f>
        <v/>
      </c>
      <c r="Z672" s="30">
        <f>IF(COUNTBLANK($J672:$Y672)=16,"",16-COUNTBLANK($J672:$Y672))</f>
        <v/>
      </c>
      <c r="AA672" s="33">
        <f>IF($J672="",MID($AX672,3,255),$J672&amp;$AX672)</f>
        <v/>
      </c>
      <c r="AB672" s="34">
        <f>IF($J672="","",IFERROR(INDEX(코드설정!$D$5:$D$24,MATCH($J672,코드설정!$C$5:$C$24,0)),""))</f>
        <v/>
      </c>
      <c r="AC672" s="36" t="n"/>
      <c r="AD672" s="37" t="n"/>
      <c r="AE672" s="38" t="n"/>
      <c r="AF672" s="30">
        <f>IF(OR($B672="",$C672=""),"",$C672-$B672+1)</f>
        <v/>
      </c>
      <c r="AG672" s="32" t="n"/>
      <c r="AH672" s="36" t="n"/>
      <c r="AJ672">
        <f>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  <c r="AX672">
        <f>AW672&amp;IF($Y672="","",", "&amp;$Y672)</f>
        <v/>
      </c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0">
        <f>IF($F673="","",COUNTIF($F$5:$F673,$F673))</f>
        <v/>
      </c>
      <c r="H673" s="33">
        <f>IF($F673="","",IFERROR(INDEX(사건마스터!$B$5:$B$64,MATCH($F673,사건마스터!$A$5:$A$64,0)),""))</f>
        <v/>
      </c>
      <c r="I673" s="34">
        <f>IF($F673="","",IFERROR(INDEX(사건마스터!$C$5:$C$64,MATCH($F673,사건마스터!$A$5:$A$64,0)),""))</f>
        <v/>
      </c>
      <c r="J673" s="35">
        <f>IF($F673="","",IFERROR(INDEX(사건마스터!$H$5:$H$64,MATCH($F673,사건마스터!$A$5:$A$64,0)),""))</f>
        <v/>
      </c>
      <c r="K673" s="35">
        <f>IF($F673="","",IFERROR(INDEX(사건마스터!$AH$5:$AH$64,MATCH($F673,사건마스터!$A$5:$A$64,0)),""))</f>
        <v/>
      </c>
      <c r="L673" s="35">
        <f>IF($F673="","",IFERROR(INDEX(사건마스터!$AI$5:$AI$64,MATCH($F673,사건마스터!$A$5:$A$64,0)),""))</f>
        <v/>
      </c>
      <c r="M673" s="35">
        <f>IF($F673="","",IFERROR(INDEX(사건마스터!$AJ$5:$AJ$64,MATCH($F673,사건마스터!$A$5:$A$64,0)),""))</f>
        <v/>
      </c>
      <c r="N673" s="35">
        <f>IF($F673="","",IFERROR(INDEX(사건마스터!$AK$5:$AK$64,MATCH($F673,사건마스터!$A$5:$A$64,0)),""))</f>
        <v/>
      </c>
      <c r="O673" s="35">
        <f>IF($F673="","",IFERROR(INDEX(사건마스터!$AL$5:$AL$64,MATCH($F673,사건마스터!$A$5:$A$64,0)),""))</f>
        <v/>
      </c>
      <c r="P673" s="35">
        <f>IF($F673="","",IFERROR(INDEX(사건마스터!$AM$5:$AM$64,MATCH($F673,사건마스터!$A$5:$A$64,0)),""))</f>
        <v/>
      </c>
      <c r="Q673" s="35">
        <f>IF($F673="","",IFERROR(INDEX(사건마스터!$AN$5:$AN$64,MATCH($F673,사건마스터!$A$5:$A$64,0)),""))</f>
        <v/>
      </c>
      <c r="R673" s="35">
        <f>IF($F673="","",IFERROR(INDEX(사건마스터!$AO$5:$AO$64,MATCH($F673,사건마스터!$A$5:$A$64,0)),""))</f>
        <v/>
      </c>
      <c r="S673" s="35">
        <f>IF($F673="","",IFERROR(INDEX(사건마스터!$AP$5:$AP$64,MATCH($F673,사건마스터!$A$5:$A$64,0)),""))</f>
        <v/>
      </c>
      <c r="T673" s="35">
        <f>IF($F673="","",IFERROR(INDEX(사건마스터!$AQ$5:$AQ$64,MATCH($F673,사건마스터!$A$5:$A$64,0)),""))</f>
        <v/>
      </c>
      <c r="U673" s="35">
        <f>IF($F673="","",IFERROR(INDEX(사건마스터!$AR$5:$AR$64,MATCH($F673,사건마스터!$A$5:$A$64,0)),""))</f>
        <v/>
      </c>
      <c r="V673" s="35">
        <f>IF($F673="","",IFERROR(INDEX(사건마스터!$AS$5:$AS$64,MATCH($F673,사건마스터!$A$5:$A$64,0)),""))</f>
        <v/>
      </c>
      <c r="W673" s="35">
        <f>IF($F673="","",IFERROR(INDEX(사건마스터!$AT$5:$AT$64,MATCH($F673,사건마스터!$A$5:$A$64,0)),""))</f>
        <v/>
      </c>
      <c r="X673" s="35">
        <f>IF($F673="","",IFERROR(INDEX(사건마스터!$AU$5:$AU$64,MATCH($F673,사건마스터!$A$5:$A$64,0)),""))</f>
        <v/>
      </c>
      <c r="Y673" s="35">
        <f>IF($F673="","",IFERROR(INDEX(사건마스터!$AV$5:$AV$64,MATCH($F673,사건마스터!$A$5:$A$64,0)),""))</f>
        <v/>
      </c>
      <c r="Z673" s="30">
        <f>IF(COUNTBLANK($J673:$Y673)=16,"",16-COUNTBLANK($J673:$Y673))</f>
        <v/>
      </c>
      <c r="AA673" s="33">
        <f>IF($J673="",MID($AX673,3,255),$J673&amp;$AX673)</f>
        <v/>
      </c>
      <c r="AB673" s="34">
        <f>IF($J673="","",IFERROR(INDEX(코드설정!$D$5:$D$24,MATCH($J673,코드설정!$C$5:$C$24,0)),""))</f>
        <v/>
      </c>
      <c r="AC673" s="36" t="n"/>
      <c r="AD673" s="37" t="n"/>
      <c r="AE673" s="38" t="n"/>
      <c r="AF673" s="30">
        <f>IF(OR($B673="",$C673=""),"",$C673-$B673+1)</f>
        <v/>
      </c>
      <c r="AG673" s="32" t="n"/>
      <c r="AH673" s="36" t="n"/>
      <c r="AJ673">
        <f>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  <c r="AX673">
        <f>AW673&amp;IF($Y673="","",", "&amp;$Y673)</f>
        <v/>
      </c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0">
        <f>IF($F674="","",COUNTIF($F$5:$F674,$F674))</f>
        <v/>
      </c>
      <c r="H674" s="33">
        <f>IF($F674="","",IFERROR(INDEX(사건마스터!$B$5:$B$64,MATCH($F674,사건마스터!$A$5:$A$64,0)),""))</f>
        <v/>
      </c>
      <c r="I674" s="34">
        <f>IF($F674="","",IFERROR(INDEX(사건마스터!$C$5:$C$64,MATCH($F674,사건마스터!$A$5:$A$64,0)),""))</f>
        <v/>
      </c>
      <c r="J674" s="35">
        <f>IF($F674="","",IFERROR(INDEX(사건마스터!$H$5:$H$64,MATCH($F674,사건마스터!$A$5:$A$64,0)),""))</f>
        <v/>
      </c>
      <c r="K674" s="35">
        <f>IF($F674="","",IFERROR(INDEX(사건마스터!$AH$5:$AH$64,MATCH($F674,사건마스터!$A$5:$A$64,0)),""))</f>
        <v/>
      </c>
      <c r="L674" s="35">
        <f>IF($F674="","",IFERROR(INDEX(사건마스터!$AI$5:$AI$64,MATCH($F674,사건마스터!$A$5:$A$64,0)),""))</f>
        <v/>
      </c>
      <c r="M674" s="35">
        <f>IF($F674="","",IFERROR(INDEX(사건마스터!$AJ$5:$AJ$64,MATCH($F674,사건마스터!$A$5:$A$64,0)),""))</f>
        <v/>
      </c>
      <c r="N674" s="35">
        <f>IF($F674="","",IFERROR(INDEX(사건마스터!$AK$5:$AK$64,MATCH($F674,사건마스터!$A$5:$A$64,0)),""))</f>
        <v/>
      </c>
      <c r="O674" s="35">
        <f>IF($F674="","",IFERROR(INDEX(사건마스터!$AL$5:$AL$64,MATCH($F674,사건마스터!$A$5:$A$64,0)),""))</f>
        <v/>
      </c>
      <c r="P674" s="35">
        <f>IF($F674="","",IFERROR(INDEX(사건마스터!$AM$5:$AM$64,MATCH($F674,사건마스터!$A$5:$A$64,0)),""))</f>
        <v/>
      </c>
      <c r="Q674" s="35">
        <f>IF($F674="","",IFERROR(INDEX(사건마스터!$AN$5:$AN$64,MATCH($F674,사건마스터!$A$5:$A$64,0)),""))</f>
        <v/>
      </c>
      <c r="R674" s="35">
        <f>IF($F674="","",IFERROR(INDEX(사건마스터!$AO$5:$AO$64,MATCH($F674,사건마스터!$A$5:$A$64,0)),""))</f>
        <v/>
      </c>
      <c r="S674" s="35">
        <f>IF($F674="","",IFERROR(INDEX(사건마스터!$AP$5:$AP$64,MATCH($F674,사건마스터!$A$5:$A$64,0)),""))</f>
        <v/>
      </c>
      <c r="T674" s="35">
        <f>IF($F674="","",IFERROR(INDEX(사건마스터!$AQ$5:$AQ$64,MATCH($F674,사건마스터!$A$5:$A$64,0)),""))</f>
        <v/>
      </c>
      <c r="U674" s="35">
        <f>IF($F674="","",IFERROR(INDEX(사건마스터!$AR$5:$AR$64,MATCH($F674,사건마스터!$A$5:$A$64,0)),""))</f>
        <v/>
      </c>
      <c r="V674" s="35">
        <f>IF($F674="","",IFERROR(INDEX(사건마스터!$AS$5:$AS$64,MATCH($F674,사건마스터!$A$5:$A$64,0)),""))</f>
        <v/>
      </c>
      <c r="W674" s="35">
        <f>IF($F674="","",IFERROR(INDEX(사건마스터!$AT$5:$AT$64,MATCH($F674,사건마스터!$A$5:$A$64,0)),""))</f>
        <v/>
      </c>
      <c r="X674" s="35">
        <f>IF($F674="","",IFERROR(INDEX(사건마스터!$AU$5:$AU$64,MATCH($F674,사건마스터!$A$5:$A$64,0)),""))</f>
        <v/>
      </c>
      <c r="Y674" s="35">
        <f>IF($F674="","",IFERROR(INDEX(사건마스터!$AV$5:$AV$64,MATCH($F674,사건마스터!$A$5:$A$64,0)),""))</f>
        <v/>
      </c>
      <c r="Z674" s="30">
        <f>IF(COUNTBLANK($J674:$Y674)=16,"",16-COUNTBLANK($J674:$Y674))</f>
        <v/>
      </c>
      <c r="AA674" s="33">
        <f>IF($J674="",MID($AX674,3,255),$J674&amp;$AX674)</f>
        <v/>
      </c>
      <c r="AB674" s="34">
        <f>IF($J674="","",IFERROR(INDEX(코드설정!$D$5:$D$24,MATCH($J674,코드설정!$C$5:$C$24,0)),""))</f>
        <v/>
      </c>
      <c r="AC674" s="36" t="n"/>
      <c r="AD674" s="37" t="n"/>
      <c r="AE674" s="38" t="n"/>
      <c r="AF674" s="30">
        <f>IF(OR($B674="",$C674=""),"",$C674-$B674+1)</f>
        <v/>
      </c>
      <c r="AG674" s="32" t="n"/>
      <c r="AH674" s="36" t="n"/>
      <c r="AJ674">
        <f>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  <c r="AX674">
        <f>AW674&amp;IF($Y674="","",", "&amp;$Y674)</f>
        <v/>
      </c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0">
        <f>IF($F675="","",COUNTIF($F$5:$F675,$F675))</f>
        <v/>
      </c>
      <c r="H675" s="33">
        <f>IF($F675="","",IFERROR(INDEX(사건마스터!$B$5:$B$64,MATCH($F675,사건마스터!$A$5:$A$64,0)),""))</f>
        <v/>
      </c>
      <c r="I675" s="34">
        <f>IF($F675="","",IFERROR(INDEX(사건마스터!$C$5:$C$64,MATCH($F675,사건마스터!$A$5:$A$64,0)),""))</f>
        <v/>
      </c>
      <c r="J675" s="35">
        <f>IF($F675="","",IFERROR(INDEX(사건마스터!$H$5:$H$64,MATCH($F675,사건마스터!$A$5:$A$64,0)),""))</f>
        <v/>
      </c>
      <c r="K675" s="35">
        <f>IF($F675="","",IFERROR(INDEX(사건마스터!$AH$5:$AH$64,MATCH($F675,사건마스터!$A$5:$A$64,0)),""))</f>
        <v/>
      </c>
      <c r="L675" s="35">
        <f>IF($F675="","",IFERROR(INDEX(사건마스터!$AI$5:$AI$64,MATCH($F675,사건마스터!$A$5:$A$64,0)),""))</f>
        <v/>
      </c>
      <c r="M675" s="35">
        <f>IF($F675="","",IFERROR(INDEX(사건마스터!$AJ$5:$AJ$64,MATCH($F675,사건마스터!$A$5:$A$64,0)),""))</f>
        <v/>
      </c>
      <c r="N675" s="35">
        <f>IF($F675="","",IFERROR(INDEX(사건마스터!$AK$5:$AK$64,MATCH($F675,사건마스터!$A$5:$A$64,0)),""))</f>
        <v/>
      </c>
      <c r="O675" s="35">
        <f>IF($F675="","",IFERROR(INDEX(사건마스터!$AL$5:$AL$64,MATCH($F675,사건마스터!$A$5:$A$64,0)),""))</f>
        <v/>
      </c>
      <c r="P675" s="35">
        <f>IF($F675="","",IFERROR(INDEX(사건마스터!$AM$5:$AM$64,MATCH($F675,사건마스터!$A$5:$A$64,0)),""))</f>
        <v/>
      </c>
      <c r="Q675" s="35">
        <f>IF($F675="","",IFERROR(INDEX(사건마스터!$AN$5:$AN$64,MATCH($F675,사건마스터!$A$5:$A$64,0)),""))</f>
        <v/>
      </c>
      <c r="R675" s="35">
        <f>IF($F675="","",IFERROR(INDEX(사건마스터!$AO$5:$AO$64,MATCH($F675,사건마스터!$A$5:$A$64,0)),""))</f>
        <v/>
      </c>
      <c r="S675" s="35">
        <f>IF($F675="","",IFERROR(INDEX(사건마스터!$AP$5:$AP$64,MATCH($F675,사건마스터!$A$5:$A$64,0)),""))</f>
        <v/>
      </c>
      <c r="T675" s="35">
        <f>IF($F675="","",IFERROR(INDEX(사건마스터!$AQ$5:$AQ$64,MATCH($F675,사건마스터!$A$5:$A$64,0)),""))</f>
        <v/>
      </c>
      <c r="U675" s="35">
        <f>IF($F675="","",IFERROR(INDEX(사건마스터!$AR$5:$AR$64,MATCH($F675,사건마스터!$A$5:$A$64,0)),""))</f>
        <v/>
      </c>
      <c r="V675" s="35">
        <f>IF($F675="","",IFERROR(INDEX(사건마스터!$AS$5:$AS$64,MATCH($F675,사건마스터!$A$5:$A$64,0)),""))</f>
        <v/>
      </c>
      <c r="W675" s="35">
        <f>IF($F675="","",IFERROR(INDEX(사건마스터!$AT$5:$AT$64,MATCH($F675,사건마스터!$A$5:$A$64,0)),""))</f>
        <v/>
      </c>
      <c r="X675" s="35">
        <f>IF($F675="","",IFERROR(INDEX(사건마스터!$AU$5:$AU$64,MATCH($F675,사건마스터!$A$5:$A$64,0)),""))</f>
        <v/>
      </c>
      <c r="Y675" s="35">
        <f>IF($F675="","",IFERROR(INDEX(사건마스터!$AV$5:$AV$64,MATCH($F675,사건마스터!$A$5:$A$64,0)),""))</f>
        <v/>
      </c>
      <c r="Z675" s="30">
        <f>IF(COUNTBLANK($J675:$Y675)=16,"",16-COUNTBLANK($J675:$Y675))</f>
        <v/>
      </c>
      <c r="AA675" s="33">
        <f>IF($J675="",MID($AX675,3,255),$J675&amp;$AX675)</f>
        <v/>
      </c>
      <c r="AB675" s="34">
        <f>IF($J675="","",IFERROR(INDEX(코드설정!$D$5:$D$24,MATCH($J675,코드설정!$C$5:$C$24,0)),""))</f>
        <v/>
      </c>
      <c r="AC675" s="36" t="n"/>
      <c r="AD675" s="37" t="n"/>
      <c r="AE675" s="38" t="n"/>
      <c r="AF675" s="30">
        <f>IF(OR($B675="",$C675=""),"",$C675-$B675+1)</f>
        <v/>
      </c>
      <c r="AG675" s="32" t="n"/>
      <c r="AH675" s="36" t="n"/>
      <c r="AJ675">
        <f>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  <c r="AX675">
        <f>AW675&amp;IF($Y675="","",", "&amp;$Y675)</f>
        <v/>
      </c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0">
        <f>IF($F676="","",COUNTIF($F$5:$F676,$F676))</f>
        <v/>
      </c>
      <c r="H676" s="33">
        <f>IF($F676="","",IFERROR(INDEX(사건마스터!$B$5:$B$64,MATCH($F676,사건마스터!$A$5:$A$64,0)),""))</f>
        <v/>
      </c>
      <c r="I676" s="34">
        <f>IF($F676="","",IFERROR(INDEX(사건마스터!$C$5:$C$64,MATCH($F676,사건마스터!$A$5:$A$64,0)),""))</f>
        <v/>
      </c>
      <c r="J676" s="35">
        <f>IF($F676="","",IFERROR(INDEX(사건마스터!$H$5:$H$64,MATCH($F676,사건마스터!$A$5:$A$64,0)),""))</f>
        <v/>
      </c>
      <c r="K676" s="35">
        <f>IF($F676="","",IFERROR(INDEX(사건마스터!$AH$5:$AH$64,MATCH($F676,사건마스터!$A$5:$A$64,0)),""))</f>
        <v/>
      </c>
      <c r="L676" s="35">
        <f>IF($F676="","",IFERROR(INDEX(사건마스터!$AI$5:$AI$64,MATCH($F676,사건마스터!$A$5:$A$64,0)),""))</f>
        <v/>
      </c>
      <c r="M676" s="35">
        <f>IF($F676="","",IFERROR(INDEX(사건마스터!$AJ$5:$AJ$64,MATCH($F676,사건마스터!$A$5:$A$64,0)),""))</f>
        <v/>
      </c>
      <c r="N676" s="35">
        <f>IF($F676="","",IFERROR(INDEX(사건마스터!$AK$5:$AK$64,MATCH($F676,사건마스터!$A$5:$A$64,0)),""))</f>
        <v/>
      </c>
      <c r="O676" s="35">
        <f>IF($F676="","",IFERROR(INDEX(사건마스터!$AL$5:$AL$64,MATCH($F676,사건마스터!$A$5:$A$64,0)),""))</f>
        <v/>
      </c>
      <c r="P676" s="35">
        <f>IF($F676="","",IFERROR(INDEX(사건마스터!$AM$5:$AM$64,MATCH($F676,사건마스터!$A$5:$A$64,0)),""))</f>
        <v/>
      </c>
      <c r="Q676" s="35">
        <f>IF($F676="","",IFERROR(INDEX(사건마스터!$AN$5:$AN$64,MATCH($F676,사건마스터!$A$5:$A$64,0)),""))</f>
        <v/>
      </c>
      <c r="R676" s="35">
        <f>IF($F676="","",IFERROR(INDEX(사건마스터!$AO$5:$AO$64,MATCH($F676,사건마스터!$A$5:$A$64,0)),""))</f>
        <v/>
      </c>
      <c r="S676" s="35">
        <f>IF($F676="","",IFERROR(INDEX(사건마스터!$AP$5:$AP$64,MATCH($F676,사건마스터!$A$5:$A$64,0)),""))</f>
        <v/>
      </c>
      <c r="T676" s="35">
        <f>IF($F676="","",IFERROR(INDEX(사건마스터!$AQ$5:$AQ$64,MATCH($F676,사건마스터!$A$5:$A$64,0)),""))</f>
        <v/>
      </c>
      <c r="U676" s="35">
        <f>IF($F676="","",IFERROR(INDEX(사건마스터!$AR$5:$AR$64,MATCH($F676,사건마스터!$A$5:$A$64,0)),""))</f>
        <v/>
      </c>
      <c r="V676" s="35">
        <f>IF($F676="","",IFERROR(INDEX(사건마스터!$AS$5:$AS$64,MATCH($F676,사건마스터!$A$5:$A$64,0)),""))</f>
        <v/>
      </c>
      <c r="W676" s="35">
        <f>IF($F676="","",IFERROR(INDEX(사건마스터!$AT$5:$AT$64,MATCH($F676,사건마스터!$A$5:$A$64,0)),""))</f>
        <v/>
      </c>
      <c r="X676" s="35">
        <f>IF($F676="","",IFERROR(INDEX(사건마스터!$AU$5:$AU$64,MATCH($F676,사건마스터!$A$5:$A$64,0)),""))</f>
        <v/>
      </c>
      <c r="Y676" s="35">
        <f>IF($F676="","",IFERROR(INDEX(사건마스터!$AV$5:$AV$64,MATCH($F676,사건마스터!$A$5:$A$64,0)),""))</f>
        <v/>
      </c>
      <c r="Z676" s="30">
        <f>IF(COUNTBLANK($J676:$Y676)=16,"",16-COUNTBLANK($J676:$Y676))</f>
        <v/>
      </c>
      <c r="AA676" s="33">
        <f>IF($J676="",MID($AX676,3,255),$J676&amp;$AX676)</f>
        <v/>
      </c>
      <c r="AB676" s="34">
        <f>IF($J676="","",IFERROR(INDEX(코드설정!$D$5:$D$24,MATCH($J676,코드설정!$C$5:$C$24,0)),""))</f>
        <v/>
      </c>
      <c r="AC676" s="36" t="n"/>
      <c r="AD676" s="37" t="n"/>
      <c r="AE676" s="38" t="n"/>
      <c r="AF676" s="30">
        <f>IF(OR($B676="",$C676=""),"",$C676-$B676+1)</f>
        <v/>
      </c>
      <c r="AG676" s="32" t="n"/>
      <c r="AH676" s="36" t="n"/>
      <c r="AJ676">
        <f>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  <c r="AX676">
        <f>AW676&amp;IF($Y676="","",", "&amp;$Y676)</f>
        <v/>
      </c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0">
        <f>IF($F677="","",COUNTIF($F$5:$F677,$F677))</f>
        <v/>
      </c>
      <c r="H677" s="33">
        <f>IF($F677="","",IFERROR(INDEX(사건마스터!$B$5:$B$64,MATCH($F677,사건마스터!$A$5:$A$64,0)),""))</f>
        <v/>
      </c>
      <c r="I677" s="34">
        <f>IF($F677="","",IFERROR(INDEX(사건마스터!$C$5:$C$64,MATCH($F677,사건마스터!$A$5:$A$64,0)),""))</f>
        <v/>
      </c>
      <c r="J677" s="35">
        <f>IF($F677="","",IFERROR(INDEX(사건마스터!$H$5:$H$64,MATCH($F677,사건마스터!$A$5:$A$64,0)),""))</f>
        <v/>
      </c>
      <c r="K677" s="35">
        <f>IF($F677="","",IFERROR(INDEX(사건마스터!$AH$5:$AH$64,MATCH($F677,사건마스터!$A$5:$A$64,0)),""))</f>
        <v/>
      </c>
      <c r="L677" s="35">
        <f>IF($F677="","",IFERROR(INDEX(사건마스터!$AI$5:$AI$64,MATCH($F677,사건마스터!$A$5:$A$64,0)),""))</f>
        <v/>
      </c>
      <c r="M677" s="35">
        <f>IF($F677="","",IFERROR(INDEX(사건마스터!$AJ$5:$AJ$64,MATCH($F677,사건마스터!$A$5:$A$64,0)),""))</f>
        <v/>
      </c>
      <c r="N677" s="35">
        <f>IF($F677="","",IFERROR(INDEX(사건마스터!$AK$5:$AK$64,MATCH($F677,사건마스터!$A$5:$A$64,0)),""))</f>
        <v/>
      </c>
      <c r="O677" s="35">
        <f>IF($F677="","",IFERROR(INDEX(사건마스터!$AL$5:$AL$64,MATCH($F677,사건마스터!$A$5:$A$64,0)),""))</f>
        <v/>
      </c>
      <c r="P677" s="35">
        <f>IF($F677="","",IFERROR(INDEX(사건마스터!$AM$5:$AM$64,MATCH($F677,사건마스터!$A$5:$A$64,0)),""))</f>
        <v/>
      </c>
      <c r="Q677" s="35">
        <f>IF($F677="","",IFERROR(INDEX(사건마스터!$AN$5:$AN$64,MATCH($F677,사건마스터!$A$5:$A$64,0)),""))</f>
        <v/>
      </c>
      <c r="R677" s="35">
        <f>IF($F677="","",IFERROR(INDEX(사건마스터!$AO$5:$AO$64,MATCH($F677,사건마스터!$A$5:$A$64,0)),""))</f>
        <v/>
      </c>
      <c r="S677" s="35">
        <f>IF($F677="","",IFERROR(INDEX(사건마스터!$AP$5:$AP$64,MATCH($F677,사건마스터!$A$5:$A$64,0)),""))</f>
        <v/>
      </c>
      <c r="T677" s="35">
        <f>IF($F677="","",IFERROR(INDEX(사건마스터!$AQ$5:$AQ$64,MATCH($F677,사건마스터!$A$5:$A$64,0)),""))</f>
        <v/>
      </c>
      <c r="U677" s="35">
        <f>IF($F677="","",IFERROR(INDEX(사건마스터!$AR$5:$AR$64,MATCH($F677,사건마스터!$A$5:$A$64,0)),""))</f>
        <v/>
      </c>
      <c r="V677" s="35">
        <f>IF($F677="","",IFERROR(INDEX(사건마스터!$AS$5:$AS$64,MATCH($F677,사건마스터!$A$5:$A$64,0)),""))</f>
        <v/>
      </c>
      <c r="W677" s="35">
        <f>IF($F677="","",IFERROR(INDEX(사건마스터!$AT$5:$AT$64,MATCH($F677,사건마스터!$A$5:$A$64,0)),""))</f>
        <v/>
      </c>
      <c r="X677" s="35">
        <f>IF($F677="","",IFERROR(INDEX(사건마스터!$AU$5:$AU$64,MATCH($F677,사건마스터!$A$5:$A$64,0)),""))</f>
        <v/>
      </c>
      <c r="Y677" s="35">
        <f>IF($F677="","",IFERROR(INDEX(사건마스터!$AV$5:$AV$64,MATCH($F677,사건마스터!$A$5:$A$64,0)),""))</f>
        <v/>
      </c>
      <c r="Z677" s="30">
        <f>IF(COUNTBLANK($J677:$Y677)=16,"",16-COUNTBLANK($J677:$Y677))</f>
        <v/>
      </c>
      <c r="AA677" s="33">
        <f>IF($J677="",MID($AX677,3,255),$J677&amp;$AX677)</f>
        <v/>
      </c>
      <c r="AB677" s="34">
        <f>IF($J677="","",IFERROR(INDEX(코드설정!$D$5:$D$24,MATCH($J677,코드설정!$C$5:$C$24,0)),""))</f>
        <v/>
      </c>
      <c r="AC677" s="36" t="n"/>
      <c r="AD677" s="37" t="n"/>
      <c r="AE677" s="38" t="n"/>
      <c r="AF677" s="30">
        <f>IF(OR($B677="",$C677=""),"",$C677-$B677+1)</f>
        <v/>
      </c>
      <c r="AG677" s="32" t="n"/>
      <c r="AH677" s="36" t="n"/>
      <c r="AJ677">
        <f>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  <c r="AX677">
        <f>AW677&amp;IF($Y677="","",", "&amp;$Y677)</f>
        <v/>
      </c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0">
        <f>IF($F678="","",COUNTIF($F$5:$F678,$F678))</f>
        <v/>
      </c>
      <c r="H678" s="33">
        <f>IF($F678="","",IFERROR(INDEX(사건마스터!$B$5:$B$64,MATCH($F678,사건마스터!$A$5:$A$64,0)),""))</f>
        <v/>
      </c>
      <c r="I678" s="34">
        <f>IF($F678="","",IFERROR(INDEX(사건마스터!$C$5:$C$64,MATCH($F678,사건마스터!$A$5:$A$64,0)),""))</f>
        <v/>
      </c>
      <c r="J678" s="35">
        <f>IF($F678="","",IFERROR(INDEX(사건마스터!$H$5:$H$64,MATCH($F678,사건마스터!$A$5:$A$64,0)),""))</f>
        <v/>
      </c>
      <c r="K678" s="35">
        <f>IF($F678="","",IFERROR(INDEX(사건마스터!$AH$5:$AH$64,MATCH($F678,사건마스터!$A$5:$A$64,0)),""))</f>
        <v/>
      </c>
      <c r="L678" s="35">
        <f>IF($F678="","",IFERROR(INDEX(사건마스터!$AI$5:$AI$64,MATCH($F678,사건마스터!$A$5:$A$64,0)),""))</f>
        <v/>
      </c>
      <c r="M678" s="35">
        <f>IF($F678="","",IFERROR(INDEX(사건마스터!$AJ$5:$AJ$64,MATCH($F678,사건마스터!$A$5:$A$64,0)),""))</f>
        <v/>
      </c>
      <c r="N678" s="35">
        <f>IF($F678="","",IFERROR(INDEX(사건마스터!$AK$5:$AK$64,MATCH($F678,사건마스터!$A$5:$A$64,0)),""))</f>
        <v/>
      </c>
      <c r="O678" s="35">
        <f>IF($F678="","",IFERROR(INDEX(사건마스터!$AL$5:$AL$64,MATCH($F678,사건마스터!$A$5:$A$64,0)),""))</f>
        <v/>
      </c>
      <c r="P678" s="35">
        <f>IF($F678="","",IFERROR(INDEX(사건마스터!$AM$5:$AM$64,MATCH($F678,사건마스터!$A$5:$A$64,0)),""))</f>
        <v/>
      </c>
      <c r="Q678" s="35">
        <f>IF($F678="","",IFERROR(INDEX(사건마스터!$AN$5:$AN$64,MATCH($F678,사건마스터!$A$5:$A$64,0)),""))</f>
        <v/>
      </c>
      <c r="R678" s="35">
        <f>IF($F678="","",IFERROR(INDEX(사건마스터!$AO$5:$AO$64,MATCH($F678,사건마스터!$A$5:$A$64,0)),""))</f>
        <v/>
      </c>
      <c r="S678" s="35">
        <f>IF($F678="","",IFERROR(INDEX(사건마스터!$AP$5:$AP$64,MATCH($F678,사건마스터!$A$5:$A$64,0)),""))</f>
        <v/>
      </c>
      <c r="T678" s="35">
        <f>IF($F678="","",IFERROR(INDEX(사건마스터!$AQ$5:$AQ$64,MATCH($F678,사건마스터!$A$5:$A$64,0)),""))</f>
        <v/>
      </c>
      <c r="U678" s="35">
        <f>IF($F678="","",IFERROR(INDEX(사건마스터!$AR$5:$AR$64,MATCH($F678,사건마스터!$A$5:$A$64,0)),""))</f>
        <v/>
      </c>
      <c r="V678" s="35">
        <f>IF($F678="","",IFERROR(INDEX(사건마스터!$AS$5:$AS$64,MATCH($F678,사건마스터!$A$5:$A$64,0)),""))</f>
        <v/>
      </c>
      <c r="W678" s="35">
        <f>IF($F678="","",IFERROR(INDEX(사건마스터!$AT$5:$AT$64,MATCH($F678,사건마스터!$A$5:$A$64,0)),""))</f>
        <v/>
      </c>
      <c r="X678" s="35">
        <f>IF($F678="","",IFERROR(INDEX(사건마스터!$AU$5:$AU$64,MATCH($F678,사건마스터!$A$5:$A$64,0)),""))</f>
        <v/>
      </c>
      <c r="Y678" s="35">
        <f>IF($F678="","",IFERROR(INDEX(사건마스터!$AV$5:$AV$64,MATCH($F678,사건마스터!$A$5:$A$64,0)),""))</f>
        <v/>
      </c>
      <c r="Z678" s="30">
        <f>IF(COUNTBLANK($J678:$Y678)=16,"",16-COUNTBLANK($J678:$Y678))</f>
        <v/>
      </c>
      <c r="AA678" s="33">
        <f>IF($J678="",MID($AX678,3,255),$J678&amp;$AX678)</f>
        <v/>
      </c>
      <c r="AB678" s="34">
        <f>IF($J678="","",IFERROR(INDEX(코드설정!$D$5:$D$24,MATCH($J678,코드설정!$C$5:$C$24,0)),""))</f>
        <v/>
      </c>
      <c r="AC678" s="36" t="n"/>
      <c r="AD678" s="37" t="n"/>
      <c r="AE678" s="38" t="n"/>
      <c r="AF678" s="30">
        <f>IF(OR($B678="",$C678=""),"",$C678-$B678+1)</f>
        <v/>
      </c>
      <c r="AG678" s="32" t="n"/>
      <c r="AH678" s="36" t="n"/>
      <c r="AJ678">
        <f>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  <c r="AX678">
        <f>AW678&amp;IF($Y678="","",", "&amp;$Y678)</f>
        <v/>
      </c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0">
        <f>IF($F679="","",COUNTIF($F$5:$F679,$F679))</f>
        <v/>
      </c>
      <c r="H679" s="33">
        <f>IF($F679="","",IFERROR(INDEX(사건마스터!$B$5:$B$64,MATCH($F679,사건마스터!$A$5:$A$64,0)),""))</f>
        <v/>
      </c>
      <c r="I679" s="34">
        <f>IF($F679="","",IFERROR(INDEX(사건마스터!$C$5:$C$64,MATCH($F679,사건마스터!$A$5:$A$64,0)),""))</f>
        <v/>
      </c>
      <c r="J679" s="35">
        <f>IF($F679="","",IFERROR(INDEX(사건마스터!$H$5:$H$64,MATCH($F679,사건마스터!$A$5:$A$64,0)),""))</f>
        <v/>
      </c>
      <c r="K679" s="35">
        <f>IF($F679="","",IFERROR(INDEX(사건마스터!$AH$5:$AH$64,MATCH($F679,사건마스터!$A$5:$A$64,0)),""))</f>
        <v/>
      </c>
      <c r="L679" s="35">
        <f>IF($F679="","",IFERROR(INDEX(사건마스터!$AI$5:$AI$64,MATCH($F679,사건마스터!$A$5:$A$64,0)),""))</f>
        <v/>
      </c>
      <c r="M679" s="35">
        <f>IF($F679="","",IFERROR(INDEX(사건마스터!$AJ$5:$AJ$64,MATCH($F679,사건마스터!$A$5:$A$64,0)),""))</f>
        <v/>
      </c>
      <c r="N679" s="35">
        <f>IF($F679="","",IFERROR(INDEX(사건마스터!$AK$5:$AK$64,MATCH($F679,사건마스터!$A$5:$A$64,0)),""))</f>
        <v/>
      </c>
      <c r="O679" s="35">
        <f>IF($F679="","",IFERROR(INDEX(사건마스터!$AL$5:$AL$64,MATCH($F679,사건마스터!$A$5:$A$64,0)),""))</f>
        <v/>
      </c>
      <c r="P679" s="35">
        <f>IF($F679="","",IFERROR(INDEX(사건마스터!$AM$5:$AM$64,MATCH($F679,사건마스터!$A$5:$A$64,0)),""))</f>
        <v/>
      </c>
      <c r="Q679" s="35">
        <f>IF($F679="","",IFERROR(INDEX(사건마스터!$AN$5:$AN$64,MATCH($F679,사건마스터!$A$5:$A$64,0)),""))</f>
        <v/>
      </c>
      <c r="R679" s="35">
        <f>IF($F679="","",IFERROR(INDEX(사건마스터!$AO$5:$AO$64,MATCH($F679,사건마스터!$A$5:$A$64,0)),""))</f>
        <v/>
      </c>
      <c r="S679" s="35">
        <f>IF($F679="","",IFERROR(INDEX(사건마스터!$AP$5:$AP$64,MATCH($F679,사건마스터!$A$5:$A$64,0)),""))</f>
        <v/>
      </c>
      <c r="T679" s="35">
        <f>IF($F679="","",IFERROR(INDEX(사건마스터!$AQ$5:$AQ$64,MATCH($F679,사건마스터!$A$5:$A$64,0)),""))</f>
        <v/>
      </c>
      <c r="U679" s="35">
        <f>IF($F679="","",IFERROR(INDEX(사건마스터!$AR$5:$AR$64,MATCH($F679,사건마스터!$A$5:$A$64,0)),""))</f>
        <v/>
      </c>
      <c r="V679" s="35">
        <f>IF($F679="","",IFERROR(INDEX(사건마스터!$AS$5:$AS$64,MATCH($F679,사건마스터!$A$5:$A$64,0)),""))</f>
        <v/>
      </c>
      <c r="W679" s="35">
        <f>IF($F679="","",IFERROR(INDEX(사건마스터!$AT$5:$AT$64,MATCH($F679,사건마스터!$A$5:$A$64,0)),""))</f>
        <v/>
      </c>
      <c r="X679" s="35">
        <f>IF($F679="","",IFERROR(INDEX(사건마스터!$AU$5:$AU$64,MATCH($F679,사건마스터!$A$5:$A$64,0)),""))</f>
        <v/>
      </c>
      <c r="Y679" s="35">
        <f>IF($F679="","",IFERROR(INDEX(사건마스터!$AV$5:$AV$64,MATCH($F679,사건마스터!$A$5:$A$64,0)),""))</f>
        <v/>
      </c>
      <c r="Z679" s="30">
        <f>IF(COUNTBLANK($J679:$Y679)=16,"",16-COUNTBLANK($J679:$Y679))</f>
        <v/>
      </c>
      <c r="AA679" s="33">
        <f>IF($J679="",MID($AX679,3,255),$J679&amp;$AX679)</f>
        <v/>
      </c>
      <c r="AB679" s="34">
        <f>IF($J679="","",IFERROR(INDEX(코드설정!$D$5:$D$24,MATCH($J679,코드설정!$C$5:$C$24,0)),""))</f>
        <v/>
      </c>
      <c r="AC679" s="36" t="n"/>
      <c r="AD679" s="37" t="n"/>
      <c r="AE679" s="38" t="n"/>
      <c r="AF679" s="30">
        <f>IF(OR($B679="",$C679=""),"",$C679-$B679+1)</f>
        <v/>
      </c>
      <c r="AG679" s="32" t="n"/>
      <c r="AH679" s="36" t="n"/>
      <c r="AJ679">
        <f>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  <c r="AX679">
        <f>AW679&amp;IF($Y679="","",", "&amp;$Y679)</f>
        <v/>
      </c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0">
        <f>IF($F680="","",COUNTIF($F$5:$F680,$F680))</f>
        <v/>
      </c>
      <c r="H680" s="33">
        <f>IF($F680="","",IFERROR(INDEX(사건마스터!$B$5:$B$64,MATCH($F680,사건마스터!$A$5:$A$64,0)),""))</f>
        <v/>
      </c>
      <c r="I680" s="34">
        <f>IF($F680="","",IFERROR(INDEX(사건마스터!$C$5:$C$64,MATCH($F680,사건마스터!$A$5:$A$64,0)),""))</f>
        <v/>
      </c>
      <c r="J680" s="35">
        <f>IF($F680="","",IFERROR(INDEX(사건마스터!$H$5:$H$64,MATCH($F680,사건마스터!$A$5:$A$64,0)),""))</f>
        <v/>
      </c>
      <c r="K680" s="35">
        <f>IF($F680="","",IFERROR(INDEX(사건마스터!$AH$5:$AH$64,MATCH($F680,사건마스터!$A$5:$A$64,0)),""))</f>
        <v/>
      </c>
      <c r="L680" s="35">
        <f>IF($F680="","",IFERROR(INDEX(사건마스터!$AI$5:$AI$64,MATCH($F680,사건마스터!$A$5:$A$64,0)),""))</f>
        <v/>
      </c>
      <c r="M680" s="35">
        <f>IF($F680="","",IFERROR(INDEX(사건마스터!$AJ$5:$AJ$64,MATCH($F680,사건마스터!$A$5:$A$64,0)),""))</f>
        <v/>
      </c>
      <c r="N680" s="35">
        <f>IF($F680="","",IFERROR(INDEX(사건마스터!$AK$5:$AK$64,MATCH($F680,사건마스터!$A$5:$A$64,0)),""))</f>
        <v/>
      </c>
      <c r="O680" s="35">
        <f>IF($F680="","",IFERROR(INDEX(사건마스터!$AL$5:$AL$64,MATCH($F680,사건마스터!$A$5:$A$64,0)),""))</f>
        <v/>
      </c>
      <c r="P680" s="35">
        <f>IF($F680="","",IFERROR(INDEX(사건마스터!$AM$5:$AM$64,MATCH($F680,사건마스터!$A$5:$A$64,0)),""))</f>
        <v/>
      </c>
      <c r="Q680" s="35">
        <f>IF($F680="","",IFERROR(INDEX(사건마스터!$AN$5:$AN$64,MATCH($F680,사건마스터!$A$5:$A$64,0)),""))</f>
        <v/>
      </c>
      <c r="R680" s="35">
        <f>IF($F680="","",IFERROR(INDEX(사건마스터!$AO$5:$AO$64,MATCH($F680,사건마스터!$A$5:$A$64,0)),""))</f>
        <v/>
      </c>
      <c r="S680" s="35">
        <f>IF($F680="","",IFERROR(INDEX(사건마스터!$AP$5:$AP$64,MATCH($F680,사건마스터!$A$5:$A$64,0)),""))</f>
        <v/>
      </c>
      <c r="T680" s="35">
        <f>IF($F680="","",IFERROR(INDEX(사건마스터!$AQ$5:$AQ$64,MATCH($F680,사건마스터!$A$5:$A$64,0)),""))</f>
        <v/>
      </c>
      <c r="U680" s="35">
        <f>IF($F680="","",IFERROR(INDEX(사건마스터!$AR$5:$AR$64,MATCH($F680,사건마스터!$A$5:$A$64,0)),""))</f>
        <v/>
      </c>
      <c r="V680" s="35">
        <f>IF($F680="","",IFERROR(INDEX(사건마스터!$AS$5:$AS$64,MATCH($F680,사건마스터!$A$5:$A$64,0)),""))</f>
        <v/>
      </c>
      <c r="W680" s="35">
        <f>IF($F680="","",IFERROR(INDEX(사건마스터!$AT$5:$AT$64,MATCH($F680,사건마스터!$A$5:$A$64,0)),""))</f>
        <v/>
      </c>
      <c r="X680" s="35">
        <f>IF($F680="","",IFERROR(INDEX(사건마스터!$AU$5:$AU$64,MATCH($F680,사건마스터!$A$5:$A$64,0)),""))</f>
        <v/>
      </c>
      <c r="Y680" s="35">
        <f>IF($F680="","",IFERROR(INDEX(사건마스터!$AV$5:$AV$64,MATCH($F680,사건마스터!$A$5:$A$64,0)),""))</f>
        <v/>
      </c>
      <c r="Z680" s="30">
        <f>IF(COUNTBLANK($J680:$Y680)=16,"",16-COUNTBLANK($J680:$Y680))</f>
        <v/>
      </c>
      <c r="AA680" s="33">
        <f>IF($J680="",MID($AX680,3,255),$J680&amp;$AX680)</f>
        <v/>
      </c>
      <c r="AB680" s="34">
        <f>IF($J680="","",IFERROR(INDEX(코드설정!$D$5:$D$24,MATCH($J680,코드설정!$C$5:$C$24,0)),""))</f>
        <v/>
      </c>
      <c r="AC680" s="36" t="n"/>
      <c r="AD680" s="37" t="n"/>
      <c r="AE680" s="38" t="n"/>
      <c r="AF680" s="30">
        <f>IF(OR($B680="",$C680=""),"",$C680-$B680+1)</f>
        <v/>
      </c>
      <c r="AG680" s="32" t="n"/>
      <c r="AH680" s="36" t="n"/>
      <c r="AJ680">
        <f>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  <c r="AX680">
        <f>AW680&amp;IF($Y680="","",", "&amp;$Y680)</f>
        <v/>
      </c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0">
        <f>IF($F681="","",COUNTIF($F$5:$F681,$F681))</f>
        <v/>
      </c>
      <c r="H681" s="33">
        <f>IF($F681="","",IFERROR(INDEX(사건마스터!$B$5:$B$64,MATCH($F681,사건마스터!$A$5:$A$64,0)),""))</f>
        <v/>
      </c>
      <c r="I681" s="34">
        <f>IF($F681="","",IFERROR(INDEX(사건마스터!$C$5:$C$64,MATCH($F681,사건마스터!$A$5:$A$64,0)),""))</f>
        <v/>
      </c>
      <c r="J681" s="35">
        <f>IF($F681="","",IFERROR(INDEX(사건마스터!$H$5:$H$64,MATCH($F681,사건마스터!$A$5:$A$64,0)),""))</f>
        <v/>
      </c>
      <c r="K681" s="35">
        <f>IF($F681="","",IFERROR(INDEX(사건마스터!$AH$5:$AH$64,MATCH($F681,사건마스터!$A$5:$A$64,0)),""))</f>
        <v/>
      </c>
      <c r="L681" s="35">
        <f>IF($F681="","",IFERROR(INDEX(사건마스터!$AI$5:$AI$64,MATCH($F681,사건마스터!$A$5:$A$64,0)),""))</f>
        <v/>
      </c>
      <c r="M681" s="35">
        <f>IF($F681="","",IFERROR(INDEX(사건마스터!$AJ$5:$AJ$64,MATCH($F681,사건마스터!$A$5:$A$64,0)),""))</f>
        <v/>
      </c>
      <c r="N681" s="35">
        <f>IF($F681="","",IFERROR(INDEX(사건마스터!$AK$5:$AK$64,MATCH($F681,사건마스터!$A$5:$A$64,0)),""))</f>
        <v/>
      </c>
      <c r="O681" s="35">
        <f>IF($F681="","",IFERROR(INDEX(사건마스터!$AL$5:$AL$64,MATCH($F681,사건마스터!$A$5:$A$64,0)),""))</f>
        <v/>
      </c>
      <c r="P681" s="35">
        <f>IF($F681="","",IFERROR(INDEX(사건마스터!$AM$5:$AM$64,MATCH($F681,사건마스터!$A$5:$A$64,0)),""))</f>
        <v/>
      </c>
      <c r="Q681" s="35">
        <f>IF($F681="","",IFERROR(INDEX(사건마스터!$AN$5:$AN$64,MATCH($F681,사건마스터!$A$5:$A$64,0)),""))</f>
        <v/>
      </c>
      <c r="R681" s="35">
        <f>IF($F681="","",IFERROR(INDEX(사건마스터!$AO$5:$AO$64,MATCH($F681,사건마스터!$A$5:$A$64,0)),""))</f>
        <v/>
      </c>
      <c r="S681" s="35">
        <f>IF($F681="","",IFERROR(INDEX(사건마스터!$AP$5:$AP$64,MATCH($F681,사건마스터!$A$5:$A$64,0)),""))</f>
        <v/>
      </c>
      <c r="T681" s="35">
        <f>IF($F681="","",IFERROR(INDEX(사건마스터!$AQ$5:$AQ$64,MATCH($F681,사건마스터!$A$5:$A$64,0)),""))</f>
        <v/>
      </c>
      <c r="U681" s="35">
        <f>IF($F681="","",IFERROR(INDEX(사건마스터!$AR$5:$AR$64,MATCH($F681,사건마스터!$A$5:$A$64,0)),""))</f>
        <v/>
      </c>
      <c r="V681" s="35">
        <f>IF($F681="","",IFERROR(INDEX(사건마스터!$AS$5:$AS$64,MATCH($F681,사건마스터!$A$5:$A$64,0)),""))</f>
        <v/>
      </c>
      <c r="W681" s="35">
        <f>IF($F681="","",IFERROR(INDEX(사건마스터!$AT$5:$AT$64,MATCH($F681,사건마스터!$A$5:$A$64,0)),""))</f>
        <v/>
      </c>
      <c r="X681" s="35">
        <f>IF($F681="","",IFERROR(INDEX(사건마스터!$AU$5:$AU$64,MATCH($F681,사건마스터!$A$5:$A$64,0)),""))</f>
        <v/>
      </c>
      <c r="Y681" s="35">
        <f>IF($F681="","",IFERROR(INDEX(사건마스터!$AV$5:$AV$64,MATCH($F681,사건마스터!$A$5:$A$64,0)),""))</f>
        <v/>
      </c>
      <c r="Z681" s="30">
        <f>IF(COUNTBLANK($J681:$Y681)=16,"",16-COUNTBLANK($J681:$Y681))</f>
        <v/>
      </c>
      <c r="AA681" s="33">
        <f>IF($J681="",MID($AX681,3,255),$J681&amp;$AX681)</f>
        <v/>
      </c>
      <c r="AB681" s="34">
        <f>IF($J681="","",IFERROR(INDEX(코드설정!$D$5:$D$24,MATCH($J681,코드설정!$C$5:$C$24,0)),""))</f>
        <v/>
      </c>
      <c r="AC681" s="36" t="n"/>
      <c r="AD681" s="37" t="n"/>
      <c r="AE681" s="38" t="n"/>
      <c r="AF681" s="30">
        <f>IF(OR($B681="",$C681=""),"",$C681-$B681+1)</f>
        <v/>
      </c>
      <c r="AG681" s="32" t="n"/>
      <c r="AH681" s="36" t="n"/>
      <c r="AJ681">
        <f>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  <c r="AX681">
        <f>AW681&amp;IF($Y681="","",", "&amp;$Y681)</f>
        <v/>
      </c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0">
        <f>IF($F682="","",COUNTIF($F$5:$F682,$F682))</f>
        <v/>
      </c>
      <c r="H682" s="33">
        <f>IF($F682="","",IFERROR(INDEX(사건마스터!$B$5:$B$64,MATCH($F682,사건마스터!$A$5:$A$64,0)),""))</f>
        <v/>
      </c>
      <c r="I682" s="34">
        <f>IF($F682="","",IFERROR(INDEX(사건마스터!$C$5:$C$64,MATCH($F682,사건마스터!$A$5:$A$64,0)),""))</f>
        <v/>
      </c>
      <c r="J682" s="35">
        <f>IF($F682="","",IFERROR(INDEX(사건마스터!$H$5:$H$64,MATCH($F682,사건마스터!$A$5:$A$64,0)),""))</f>
        <v/>
      </c>
      <c r="K682" s="35">
        <f>IF($F682="","",IFERROR(INDEX(사건마스터!$AH$5:$AH$64,MATCH($F682,사건마스터!$A$5:$A$64,0)),""))</f>
        <v/>
      </c>
      <c r="L682" s="35">
        <f>IF($F682="","",IFERROR(INDEX(사건마스터!$AI$5:$AI$64,MATCH($F682,사건마스터!$A$5:$A$64,0)),""))</f>
        <v/>
      </c>
      <c r="M682" s="35">
        <f>IF($F682="","",IFERROR(INDEX(사건마스터!$AJ$5:$AJ$64,MATCH($F682,사건마스터!$A$5:$A$64,0)),""))</f>
        <v/>
      </c>
      <c r="N682" s="35">
        <f>IF($F682="","",IFERROR(INDEX(사건마스터!$AK$5:$AK$64,MATCH($F682,사건마스터!$A$5:$A$64,0)),""))</f>
        <v/>
      </c>
      <c r="O682" s="35">
        <f>IF($F682="","",IFERROR(INDEX(사건마스터!$AL$5:$AL$64,MATCH($F682,사건마스터!$A$5:$A$64,0)),""))</f>
        <v/>
      </c>
      <c r="P682" s="35">
        <f>IF($F682="","",IFERROR(INDEX(사건마스터!$AM$5:$AM$64,MATCH($F682,사건마스터!$A$5:$A$64,0)),""))</f>
        <v/>
      </c>
      <c r="Q682" s="35">
        <f>IF($F682="","",IFERROR(INDEX(사건마스터!$AN$5:$AN$64,MATCH($F682,사건마스터!$A$5:$A$64,0)),""))</f>
        <v/>
      </c>
      <c r="R682" s="35">
        <f>IF($F682="","",IFERROR(INDEX(사건마스터!$AO$5:$AO$64,MATCH($F682,사건마스터!$A$5:$A$64,0)),""))</f>
        <v/>
      </c>
      <c r="S682" s="35">
        <f>IF($F682="","",IFERROR(INDEX(사건마스터!$AP$5:$AP$64,MATCH($F682,사건마스터!$A$5:$A$64,0)),""))</f>
        <v/>
      </c>
      <c r="T682" s="35">
        <f>IF($F682="","",IFERROR(INDEX(사건마스터!$AQ$5:$AQ$64,MATCH($F682,사건마스터!$A$5:$A$64,0)),""))</f>
        <v/>
      </c>
      <c r="U682" s="35">
        <f>IF($F682="","",IFERROR(INDEX(사건마스터!$AR$5:$AR$64,MATCH($F682,사건마스터!$A$5:$A$64,0)),""))</f>
        <v/>
      </c>
      <c r="V682" s="35">
        <f>IF($F682="","",IFERROR(INDEX(사건마스터!$AS$5:$AS$64,MATCH($F682,사건마스터!$A$5:$A$64,0)),""))</f>
        <v/>
      </c>
      <c r="W682" s="35">
        <f>IF($F682="","",IFERROR(INDEX(사건마스터!$AT$5:$AT$64,MATCH($F682,사건마스터!$A$5:$A$64,0)),""))</f>
        <v/>
      </c>
      <c r="X682" s="35">
        <f>IF($F682="","",IFERROR(INDEX(사건마스터!$AU$5:$AU$64,MATCH($F682,사건마스터!$A$5:$A$64,0)),""))</f>
        <v/>
      </c>
      <c r="Y682" s="35">
        <f>IF($F682="","",IFERROR(INDEX(사건마스터!$AV$5:$AV$64,MATCH($F682,사건마스터!$A$5:$A$64,0)),""))</f>
        <v/>
      </c>
      <c r="Z682" s="30">
        <f>IF(COUNTBLANK($J682:$Y682)=16,"",16-COUNTBLANK($J682:$Y682))</f>
        <v/>
      </c>
      <c r="AA682" s="33">
        <f>IF($J682="",MID($AX682,3,255),$J682&amp;$AX682)</f>
        <v/>
      </c>
      <c r="AB682" s="34">
        <f>IF($J682="","",IFERROR(INDEX(코드설정!$D$5:$D$24,MATCH($J682,코드설정!$C$5:$C$24,0)),""))</f>
        <v/>
      </c>
      <c r="AC682" s="36" t="n"/>
      <c r="AD682" s="37" t="n"/>
      <c r="AE682" s="38" t="n"/>
      <c r="AF682" s="30">
        <f>IF(OR($B682="",$C682=""),"",$C682-$B682+1)</f>
        <v/>
      </c>
      <c r="AG682" s="32" t="n"/>
      <c r="AH682" s="36" t="n"/>
      <c r="AJ682">
        <f>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  <c r="AX682">
        <f>AW682&amp;IF($Y682="","",", "&amp;$Y682)</f>
        <v/>
      </c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0">
        <f>IF($F683="","",COUNTIF($F$5:$F683,$F683))</f>
        <v/>
      </c>
      <c r="H683" s="33">
        <f>IF($F683="","",IFERROR(INDEX(사건마스터!$B$5:$B$64,MATCH($F683,사건마스터!$A$5:$A$64,0)),""))</f>
        <v/>
      </c>
      <c r="I683" s="34">
        <f>IF($F683="","",IFERROR(INDEX(사건마스터!$C$5:$C$64,MATCH($F683,사건마스터!$A$5:$A$64,0)),""))</f>
        <v/>
      </c>
      <c r="J683" s="35">
        <f>IF($F683="","",IFERROR(INDEX(사건마스터!$H$5:$H$64,MATCH($F683,사건마스터!$A$5:$A$64,0)),""))</f>
        <v/>
      </c>
      <c r="K683" s="35">
        <f>IF($F683="","",IFERROR(INDEX(사건마스터!$AH$5:$AH$64,MATCH($F683,사건마스터!$A$5:$A$64,0)),""))</f>
        <v/>
      </c>
      <c r="L683" s="35">
        <f>IF($F683="","",IFERROR(INDEX(사건마스터!$AI$5:$AI$64,MATCH($F683,사건마스터!$A$5:$A$64,0)),""))</f>
        <v/>
      </c>
      <c r="M683" s="35">
        <f>IF($F683="","",IFERROR(INDEX(사건마스터!$AJ$5:$AJ$64,MATCH($F683,사건마스터!$A$5:$A$64,0)),""))</f>
        <v/>
      </c>
      <c r="N683" s="35">
        <f>IF($F683="","",IFERROR(INDEX(사건마스터!$AK$5:$AK$64,MATCH($F683,사건마스터!$A$5:$A$64,0)),""))</f>
        <v/>
      </c>
      <c r="O683" s="35">
        <f>IF($F683="","",IFERROR(INDEX(사건마스터!$AL$5:$AL$64,MATCH($F683,사건마스터!$A$5:$A$64,0)),""))</f>
        <v/>
      </c>
      <c r="P683" s="35">
        <f>IF($F683="","",IFERROR(INDEX(사건마스터!$AM$5:$AM$64,MATCH($F683,사건마스터!$A$5:$A$64,0)),""))</f>
        <v/>
      </c>
      <c r="Q683" s="35">
        <f>IF($F683="","",IFERROR(INDEX(사건마스터!$AN$5:$AN$64,MATCH($F683,사건마스터!$A$5:$A$64,0)),""))</f>
        <v/>
      </c>
      <c r="R683" s="35">
        <f>IF($F683="","",IFERROR(INDEX(사건마스터!$AO$5:$AO$64,MATCH($F683,사건마스터!$A$5:$A$64,0)),""))</f>
        <v/>
      </c>
      <c r="S683" s="35">
        <f>IF($F683="","",IFERROR(INDEX(사건마스터!$AP$5:$AP$64,MATCH($F683,사건마스터!$A$5:$A$64,0)),""))</f>
        <v/>
      </c>
      <c r="T683" s="35">
        <f>IF($F683="","",IFERROR(INDEX(사건마스터!$AQ$5:$AQ$64,MATCH($F683,사건마스터!$A$5:$A$64,0)),""))</f>
        <v/>
      </c>
      <c r="U683" s="35">
        <f>IF($F683="","",IFERROR(INDEX(사건마스터!$AR$5:$AR$64,MATCH($F683,사건마스터!$A$5:$A$64,0)),""))</f>
        <v/>
      </c>
      <c r="V683" s="35">
        <f>IF($F683="","",IFERROR(INDEX(사건마스터!$AS$5:$AS$64,MATCH($F683,사건마스터!$A$5:$A$64,0)),""))</f>
        <v/>
      </c>
      <c r="W683" s="35">
        <f>IF($F683="","",IFERROR(INDEX(사건마스터!$AT$5:$AT$64,MATCH($F683,사건마스터!$A$5:$A$64,0)),""))</f>
        <v/>
      </c>
      <c r="X683" s="35">
        <f>IF($F683="","",IFERROR(INDEX(사건마스터!$AU$5:$AU$64,MATCH($F683,사건마스터!$A$5:$A$64,0)),""))</f>
        <v/>
      </c>
      <c r="Y683" s="35">
        <f>IF($F683="","",IFERROR(INDEX(사건마스터!$AV$5:$AV$64,MATCH($F683,사건마스터!$A$5:$A$64,0)),""))</f>
        <v/>
      </c>
      <c r="Z683" s="30">
        <f>IF(COUNTBLANK($J683:$Y683)=16,"",16-COUNTBLANK($J683:$Y683))</f>
        <v/>
      </c>
      <c r="AA683" s="33">
        <f>IF($J683="",MID($AX683,3,255),$J683&amp;$AX683)</f>
        <v/>
      </c>
      <c r="AB683" s="34">
        <f>IF($J683="","",IFERROR(INDEX(코드설정!$D$5:$D$24,MATCH($J683,코드설정!$C$5:$C$24,0)),""))</f>
        <v/>
      </c>
      <c r="AC683" s="36" t="n"/>
      <c r="AD683" s="37" t="n"/>
      <c r="AE683" s="38" t="n"/>
      <c r="AF683" s="30">
        <f>IF(OR($B683="",$C683=""),"",$C683-$B683+1)</f>
        <v/>
      </c>
      <c r="AG683" s="32" t="n"/>
      <c r="AH683" s="36" t="n"/>
      <c r="AJ683">
        <f>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  <c r="AX683">
        <f>AW683&amp;IF($Y683="","",", "&amp;$Y683)</f>
        <v/>
      </c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0">
        <f>IF($F684="","",COUNTIF($F$5:$F684,$F684))</f>
        <v/>
      </c>
      <c r="H684" s="33">
        <f>IF($F684="","",IFERROR(INDEX(사건마스터!$B$5:$B$64,MATCH($F684,사건마스터!$A$5:$A$64,0)),""))</f>
        <v/>
      </c>
      <c r="I684" s="34">
        <f>IF($F684="","",IFERROR(INDEX(사건마스터!$C$5:$C$64,MATCH($F684,사건마스터!$A$5:$A$64,0)),""))</f>
        <v/>
      </c>
      <c r="J684" s="35">
        <f>IF($F684="","",IFERROR(INDEX(사건마스터!$H$5:$H$64,MATCH($F684,사건마스터!$A$5:$A$64,0)),""))</f>
        <v/>
      </c>
      <c r="K684" s="35">
        <f>IF($F684="","",IFERROR(INDEX(사건마스터!$AH$5:$AH$64,MATCH($F684,사건마스터!$A$5:$A$64,0)),""))</f>
        <v/>
      </c>
      <c r="L684" s="35">
        <f>IF($F684="","",IFERROR(INDEX(사건마스터!$AI$5:$AI$64,MATCH($F684,사건마스터!$A$5:$A$64,0)),""))</f>
        <v/>
      </c>
      <c r="M684" s="35">
        <f>IF($F684="","",IFERROR(INDEX(사건마스터!$AJ$5:$AJ$64,MATCH($F684,사건마스터!$A$5:$A$64,0)),""))</f>
        <v/>
      </c>
      <c r="N684" s="35">
        <f>IF($F684="","",IFERROR(INDEX(사건마스터!$AK$5:$AK$64,MATCH($F684,사건마스터!$A$5:$A$64,0)),""))</f>
        <v/>
      </c>
      <c r="O684" s="35">
        <f>IF($F684="","",IFERROR(INDEX(사건마스터!$AL$5:$AL$64,MATCH($F684,사건마스터!$A$5:$A$64,0)),""))</f>
        <v/>
      </c>
      <c r="P684" s="35">
        <f>IF($F684="","",IFERROR(INDEX(사건마스터!$AM$5:$AM$64,MATCH($F684,사건마스터!$A$5:$A$64,0)),""))</f>
        <v/>
      </c>
      <c r="Q684" s="35">
        <f>IF($F684="","",IFERROR(INDEX(사건마스터!$AN$5:$AN$64,MATCH($F684,사건마스터!$A$5:$A$64,0)),""))</f>
        <v/>
      </c>
      <c r="R684" s="35">
        <f>IF($F684="","",IFERROR(INDEX(사건마스터!$AO$5:$AO$64,MATCH($F684,사건마스터!$A$5:$A$64,0)),""))</f>
        <v/>
      </c>
      <c r="S684" s="35">
        <f>IF($F684="","",IFERROR(INDEX(사건마스터!$AP$5:$AP$64,MATCH($F684,사건마스터!$A$5:$A$64,0)),""))</f>
        <v/>
      </c>
      <c r="T684" s="35">
        <f>IF($F684="","",IFERROR(INDEX(사건마스터!$AQ$5:$AQ$64,MATCH($F684,사건마스터!$A$5:$A$64,0)),""))</f>
        <v/>
      </c>
      <c r="U684" s="35">
        <f>IF($F684="","",IFERROR(INDEX(사건마스터!$AR$5:$AR$64,MATCH($F684,사건마스터!$A$5:$A$64,0)),""))</f>
        <v/>
      </c>
      <c r="V684" s="35">
        <f>IF($F684="","",IFERROR(INDEX(사건마스터!$AS$5:$AS$64,MATCH($F684,사건마스터!$A$5:$A$64,0)),""))</f>
        <v/>
      </c>
      <c r="W684" s="35">
        <f>IF($F684="","",IFERROR(INDEX(사건마스터!$AT$5:$AT$64,MATCH($F684,사건마스터!$A$5:$A$64,0)),""))</f>
        <v/>
      </c>
      <c r="X684" s="35">
        <f>IF($F684="","",IFERROR(INDEX(사건마스터!$AU$5:$AU$64,MATCH($F684,사건마스터!$A$5:$A$64,0)),""))</f>
        <v/>
      </c>
      <c r="Y684" s="35">
        <f>IF($F684="","",IFERROR(INDEX(사건마스터!$AV$5:$AV$64,MATCH($F684,사건마스터!$A$5:$A$64,0)),""))</f>
        <v/>
      </c>
      <c r="Z684" s="30">
        <f>IF(COUNTBLANK($J684:$Y684)=16,"",16-COUNTBLANK($J684:$Y684))</f>
        <v/>
      </c>
      <c r="AA684" s="33">
        <f>IF($J684="",MID($AX684,3,255),$J684&amp;$AX684)</f>
        <v/>
      </c>
      <c r="AB684" s="34">
        <f>IF($J684="","",IFERROR(INDEX(코드설정!$D$5:$D$24,MATCH($J684,코드설정!$C$5:$C$24,0)),""))</f>
        <v/>
      </c>
      <c r="AC684" s="36" t="n"/>
      <c r="AD684" s="37" t="n"/>
      <c r="AE684" s="38" t="n"/>
      <c r="AF684" s="30">
        <f>IF(OR($B684="",$C684=""),"",$C684-$B684+1)</f>
        <v/>
      </c>
      <c r="AG684" s="32" t="n"/>
      <c r="AH684" s="36" t="n"/>
      <c r="AJ684">
        <f>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  <c r="AX684">
        <f>AW684&amp;IF($Y684="","",", "&amp;$Y684)</f>
        <v/>
      </c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0">
        <f>IF($F685="","",COUNTIF($F$5:$F685,$F685))</f>
        <v/>
      </c>
      <c r="H685" s="33">
        <f>IF($F685="","",IFERROR(INDEX(사건마스터!$B$5:$B$64,MATCH($F685,사건마스터!$A$5:$A$64,0)),""))</f>
        <v/>
      </c>
      <c r="I685" s="34">
        <f>IF($F685="","",IFERROR(INDEX(사건마스터!$C$5:$C$64,MATCH($F685,사건마스터!$A$5:$A$64,0)),""))</f>
        <v/>
      </c>
      <c r="J685" s="35">
        <f>IF($F685="","",IFERROR(INDEX(사건마스터!$H$5:$H$64,MATCH($F685,사건마스터!$A$5:$A$64,0)),""))</f>
        <v/>
      </c>
      <c r="K685" s="35">
        <f>IF($F685="","",IFERROR(INDEX(사건마스터!$AH$5:$AH$64,MATCH($F685,사건마스터!$A$5:$A$64,0)),""))</f>
        <v/>
      </c>
      <c r="L685" s="35">
        <f>IF($F685="","",IFERROR(INDEX(사건마스터!$AI$5:$AI$64,MATCH($F685,사건마스터!$A$5:$A$64,0)),""))</f>
        <v/>
      </c>
      <c r="M685" s="35">
        <f>IF($F685="","",IFERROR(INDEX(사건마스터!$AJ$5:$AJ$64,MATCH($F685,사건마스터!$A$5:$A$64,0)),""))</f>
        <v/>
      </c>
      <c r="N685" s="35">
        <f>IF($F685="","",IFERROR(INDEX(사건마스터!$AK$5:$AK$64,MATCH($F685,사건마스터!$A$5:$A$64,0)),""))</f>
        <v/>
      </c>
      <c r="O685" s="35">
        <f>IF($F685="","",IFERROR(INDEX(사건마스터!$AL$5:$AL$64,MATCH($F685,사건마스터!$A$5:$A$64,0)),""))</f>
        <v/>
      </c>
      <c r="P685" s="35">
        <f>IF($F685="","",IFERROR(INDEX(사건마스터!$AM$5:$AM$64,MATCH($F685,사건마스터!$A$5:$A$64,0)),""))</f>
        <v/>
      </c>
      <c r="Q685" s="35">
        <f>IF($F685="","",IFERROR(INDEX(사건마스터!$AN$5:$AN$64,MATCH($F685,사건마스터!$A$5:$A$64,0)),""))</f>
        <v/>
      </c>
      <c r="R685" s="35">
        <f>IF($F685="","",IFERROR(INDEX(사건마스터!$AO$5:$AO$64,MATCH($F685,사건마스터!$A$5:$A$64,0)),""))</f>
        <v/>
      </c>
      <c r="S685" s="35">
        <f>IF($F685="","",IFERROR(INDEX(사건마스터!$AP$5:$AP$64,MATCH($F685,사건마스터!$A$5:$A$64,0)),""))</f>
        <v/>
      </c>
      <c r="T685" s="35">
        <f>IF($F685="","",IFERROR(INDEX(사건마스터!$AQ$5:$AQ$64,MATCH($F685,사건마스터!$A$5:$A$64,0)),""))</f>
        <v/>
      </c>
      <c r="U685" s="35">
        <f>IF($F685="","",IFERROR(INDEX(사건마스터!$AR$5:$AR$64,MATCH($F685,사건마스터!$A$5:$A$64,0)),""))</f>
        <v/>
      </c>
      <c r="V685" s="35">
        <f>IF($F685="","",IFERROR(INDEX(사건마스터!$AS$5:$AS$64,MATCH($F685,사건마스터!$A$5:$A$64,0)),""))</f>
        <v/>
      </c>
      <c r="W685" s="35">
        <f>IF($F685="","",IFERROR(INDEX(사건마스터!$AT$5:$AT$64,MATCH($F685,사건마스터!$A$5:$A$64,0)),""))</f>
        <v/>
      </c>
      <c r="X685" s="35">
        <f>IF($F685="","",IFERROR(INDEX(사건마스터!$AU$5:$AU$64,MATCH($F685,사건마스터!$A$5:$A$64,0)),""))</f>
        <v/>
      </c>
      <c r="Y685" s="35">
        <f>IF($F685="","",IFERROR(INDEX(사건마스터!$AV$5:$AV$64,MATCH($F685,사건마스터!$A$5:$A$64,0)),""))</f>
        <v/>
      </c>
      <c r="Z685" s="30">
        <f>IF(COUNTBLANK($J685:$Y685)=16,"",16-COUNTBLANK($J685:$Y685))</f>
        <v/>
      </c>
      <c r="AA685" s="33">
        <f>IF($J685="",MID($AX685,3,255),$J685&amp;$AX685)</f>
        <v/>
      </c>
      <c r="AB685" s="34">
        <f>IF($J685="","",IFERROR(INDEX(코드설정!$D$5:$D$24,MATCH($J685,코드설정!$C$5:$C$24,0)),""))</f>
        <v/>
      </c>
      <c r="AC685" s="36" t="n"/>
      <c r="AD685" s="37" t="n"/>
      <c r="AE685" s="38" t="n"/>
      <c r="AF685" s="30">
        <f>IF(OR($B685="",$C685=""),"",$C685-$B685+1)</f>
        <v/>
      </c>
      <c r="AG685" s="32" t="n"/>
      <c r="AH685" s="36" t="n"/>
      <c r="AJ685">
        <f>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  <c r="AX685">
        <f>AW685&amp;IF($Y685="","",", "&amp;$Y685)</f>
        <v/>
      </c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0">
        <f>IF($F686="","",COUNTIF($F$5:$F686,$F686))</f>
        <v/>
      </c>
      <c r="H686" s="33">
        <f>IF($F686="","",IFERROR(INDEX(사건마스터!$B$5:$B$64,MATCH($F686,사건마스터!$A$5:$A$64,0)),""))</f>
        <v/>
      </c>
      <c r="I686" s="34">
        <f>IF($F686="","",IFERROR(INDEX(사건마스터!$C$5:$C$64,MATCH($F686,사건마스터!$A$5:$A$64,0)),""))</f>
        <v/>
      </c>
      <c r="J686" s="35">
        <f>IF($F686="","",IFERROR(INDEX(사건마스터!$H$5:$H$64,MATCH($F686,사건마스터!$A$5:$A$64,0)),""))</f>
        <v/>
      </c>
      <c r="K686" s="35">
        <f>IF($F686="","",IFERROR(INDEX(사건마스터!$AH$5:$AH$64,MATCH($F686,사건마스터!$A$5:$A$64,0)),""))</f>
        <v/>
      </c>
      <c r="L686" s="35">
        <f>IF($F686="","",IFERROR(INDEX(사건마스터!$AI$5:$AI$64,MATCH($F686,사건마스터!$A$5:$A$64,0)),""))</f>
        <v/>
      </c>
      <c r="M686" s="35">
        <f>IF($F686="","",IFERROR(INDEX(사건마스터!$AJ$5:$AJ$64,MATCH($F686,사건마스터!$A$5:$A$64,0)),""))</f>
        <v/>
      </c>
      <c r="N686" s="35">
        <f>IF($F686="","",IFERROR(INDEX(사건마스터!$AK$5:$AK$64,MATCH($F686,사건마스터!$A$5:$A$64,0)),""))</f>
        <v/>
      </c>
      <c r="O686" s="35">
        <f>IF($F686="","",IFERROR(INDEX(사건마스터!$AL$5:$AL$64,MATCH($F686,사건마스터!$A$5:$A$64,0)),""))</f>
        <v/>
      </c>
      <c r="P686" s="35">
        <f>IF($F686="","",IFERROR(INDEX(사건마스터!$AM$5:$AM$64,MATCH($F686,사건마스터!$A$5:$A$64,0)),""))</f>
        <v/>
      </c>
      <c r="Q686" s="35">
        <f>IF($F686="","",IFERROR(INDEX(사건마스터!$AN$5:$AN$64,MATCH($F686,사건마스터!$A$5:$A$64,0)),""))</f>
        <v/>
      </c>
      <c r="R686" s="35">
        <f>IF($F686="","",IFERROR(INDEX(사건마스터!$AO$5:$AO$64,MATCH($F686,사건마스터!$A$5:$A$64,0)),""))</f>
        <v/>
      </c>
      <c r="S686" s="35">
        <f>IF($F686="","",IFERROR(INDEX(사건마스터!$AP$5:$AP$64,MATCH($F686,사건마스터!$A$5:$A$64,0)),""))</f>
        <v/>
      </c>
      <c r="T686" s="35">
        <f>IF($F686="","",IFERROR(INDEX(사건마스터!$AQ$5:$AQ$64,MATCH($F686,사건마스터!$A$5:$A$64,0)),""))</f>
        <v/>
      </c>
      <c r="U686" s="35">
        <f>IF($F686="","",IFERROR(INDEX(사건마스터!$AR$5:$AR$64,MATCH($F686,사건마스터!$A$5:$A$64,0)),""))</f>
        <v/>
      </c>
      <c r="V686" s="35">
        <f>IF($F686="","",IFERROR(INDEX(사건마스터!$AS$5:$AS$64,MATCH($F686,사건마스터!$A$5:$A$64,0)),""))</f>
        <v/>
      </c>
      <c r="W686" s="35">
        <f>IF($F686="","",IFERROR(INDEX(사건마스터!$AT$5:$AT$64,MATCH($F686,사건마스터!$A$5:$A$64,0)),""))</f>
        <v/>
      </c>
      <c r="X686" s="35">
        <f>IF($F686="","",IFERROR(INDEX(사건마스터!$AU$5:$AU$64,MATCH($F686,사건마스터!$A$5:$A$64,0)),""))</f>
        <v/>
      </c>
      <c r="Y686" s="35">
        <f>IF($F686="","",IFERROR(INDEX(사건마스터!$AV$5:$AV$64,MATCH($F686,사건마스터!$A$5:$A$64,0)),""))</f>
        <v/>
      </c>
      <c r="Z686" s="30">
        <f>IF(COUNTBLANK($J686:$Y686)=16,"",16-COUNTBLANK($J686:$Y686))</f>
        <v/>
      </c>
      <c r="AA686" s="33">
        <f>IF($J686="",MID($AX686,3,255),$J686&amp;$AX686)</f>
        <v/>
      </c>
      <c r="AB686" s="34">
        <f>IF($J686="","",IFERROR(INDEX(코드설정!$D$5:$D$24,MATCH($J686,코드설정!$C$5:$C$24,0)),""))</f>
        <v/>
      </c>
      <c r="AC686" s="36" t="n"/>
      <c r="AD686" s="37" t="n"/>
      <c r="AE686" s="38" t="n"/>
      <c r="AF686" s="30">
        <f>IF(OR($B686="",$C686=""),"",$C686-$B686+1)</f>
        <v/>
      </c>
      <c r="AG686" s="32" t="n"/>
      <c r="AH686" s="36" t="n"/>
      <c r="AJ686">
        <f>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  <c r="AX686">
        <f>AW686&amp;IF($Y686="","",", "&amp;$Y686)</f>
        <v/>
      </c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0">
        <f>IF($F687="","",COUNTIF($F$5:$F687,$F687))</f>
        <v/>
      </c>
      <c r="H687" s="33">
        <f>IF($F687="","",IFERROR(INDEX(사건마스터!$B$5:$B$64,MATCH($F687,사건마스터!$A$5:$A$64,0)),""))</f>
        <v/>
      </c>
      <c r="I687" s="34">
        <f>IF($F687="","",IFERROR(INDEX(사건마스터!$C$5:$C$64,MATCH($F687,사건마스터!$A$5:$A$64,0)),""))</f>
        <v/>
      </c>
      <c r="J687" s="35">
        <f>IF($F687="","",IFERROR(INDEX(사건마스터!$H$5:$H$64,MATCH($F687,사건마스터!$A$5:$A$64,0)),""))</f>
        <v/>
      </c>
      <c r="K687" s="35">
        <f>IF($F687="","",IFERROR(INDEX(사건마스터!$AH$5:$AH$64,MATCH($F687,사건마스터!$A$5:$A$64,0)),""))</f>
        <v/>
      </c>
      <c r="L687" s="35">
        <f>IF($F687="","",IFERROR(INDEX(사건마스터!$AI$5:$AI$64,MATCH($F687,사건마스터!$A$5:$A$64,0)),""))</f>
        <v/>
      </c>
      <c r="M687" s="35">
        <f>IF($F687="","",IFERROR(INDEX(사건마스터!$AJ$5:$AJ$64,MATCH($F687,사건마스터!$A$5:$A$64,0)),""))</f>
        <v/>
      </c>
      <c r="N687" s="35">
        <f>IF($F687="","",IFERROR(INDEX(사건마스터!$AK$5:$AK$64,MATCH($F687,사건마스터!$A$5:$A$64,0)),""))</f>
        <v/>
      </c>
      <c r="O687" s="35">
        <f>IF($F687="","",IFERROR(INDEX(사건마스터!$AL$5:$AL$64,MATCH($F687,사건마스터!$A$5:$A$64,0)),""))</f>
        <v/>
      </c>
      <c r="P687" s="35">
        <f>IF($F687="","",IFERROR(INDEX(사건마스터!$AM$5:$AM$64,MATCH($F687,사건마스터!$A$5:$A$64,0)),""))</f>
        <v/>
      </c>
      <c r="Q687" s="35">
        <f>IF($F687="","",IFERROR(INDEX(사건마스터!$AN$5:$AN$64,MATCH($F687,사건마스터!$A$5:$A$64,0)),""))</f>
        <v/>
      </c>
      <c r="R687" s="35">
        <f>IF($F687="","",IFERROR(INDEX(사건마스터!$AO$5:$AO$64,MATCH($F687,사건마스터!$A$5:$A$64,0)),""))</f>
        <v/>
      </c>
      <c r="S687" s="35">
        <f>IF($F687="","",IFERROR(INDEX(사건마스터!$AP$5:$AP$64,MATCH($F687,사건마스터!$A$5:$A$64,0)),""))</f>
        <v/>
      </c>
      <c r="T687" s="35">
        <f>IF($F687="","",IFERROR(INDEX(사건마스터!$AQ$5:$AQ$64,MATCH($F687,사건마스터!$A$5:$A$64,0)),""))</f>
        <v/>
      </c>
      <c r="U687" s="35">
        <f>IF($F687="","",IFERROR(INDEX(사건마스터!$AR$5:$AR$64,MATCH($F687,사건마스터!$A$5:$A$64,0)),""))</f>
        <v/>
      </c>
      <c r="V687" s="35">
        <f>IF($F687="","",IFERROR(INDEX(사건마스터!$AS$5:$AS$64,MATCH($F687,사건마스터!$A$5:$A$64,0)),""))</f>
        <v/>
      </c>
      <c r="W687" s="35">
        <f>IF($F687="","",IFERROR(INDEX(사건마스터!$AT$5:$AT$64,MATCH($F687,사건마스터!$A$5:$A$64,0)),""))</f>
        <v/>
      </c>
      <c r="X687" s="35">
        <f>IF($F687="","",IFERROR(INDEX(사건마스터!$AU$5:$AU$64,MATCH($F687,사건마스터!$A$5:$A$64,0)),""))</f>
        <v/>
      </c>
      <c r="Y687" s="35">
        <f>IF($F687="","",IFERROR(INDEX(사건마스터!$AV$5:$AV$64,MATCH($F687,사건마스터!$A$5:$A$64,0)),""))</f>
        <v/>
      </c>
      <c r="Z687" s="30">
        <f>IF(COUNTBLANK($J687:$Y687)=16,"",16-COUNTBLANK($J687:$Y687))</f>
        <v/>
      </c>
      <c r="AA687" s="33">
        <f>IF($J687="",MID($AX687,3,255),$J687&amp;$AX687)</f>
        <v/>
      </c>
      <c r="AB687" s="34">
        <f>IF($J687="","",IFERROR(INDEX(코드설정!$D$5:$D$24,MATCH($J687,코드설정!$C$5:$C$24,0)),""))</f>
        <v/>
      </c>
      <c r="AC687" s="36" t="n"/>
      <c r="AD687" s="37" t="n"/>
      <c r="AE687" s="38" t="n"/>
      <c r="AF687" s="30">
        <f>IF(OR($B687="",$C687=""),"",$C687-$B687+1)</f>
        <v/>
      </c>
      <c r="AG687" s="32" t="n"/>
      <c r="AH687" s="36" t="n"/>
      <c r="AJ687">
        <f>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  <c r="AX687">
        <f>AW687&amp;IF($Y687="","",", "&amp;$Y687)</f>
        <v/>
      </c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0">
        <f>IF($F688="","",COUNTIF($F$5:$F688,$F688))</f>
        <v/>
      </c>
      <c r="H688" s="33">
        <f>IF($F688="","",IFERROR(INDEX(사건마스터!$B$5:$B$64,MATCH($F688,사건마스터!$A$5:$A$64,0)),""))</f>
        <v/>
      </c>
      <c r="I688" s="34">
        <f>IF($F688="","",IFERROR(INDEX(사건마스터!$C$5:$C$64,MATCH($F688,사건마스터!$A$5:$A$64,0)),""))</f>
        <v/>
      </c>
      <c r="J688" s="35">
        <f>IF($F688="","",IFERROR(INDEX(사건마스터!$H$5:$H$64,MATCH($F688,사건마스터!$A$5:$A$64,0)),""))</f>
        <v/>
      </c>
      <c r="K688" s="35">
        <f>IF($F688="","",IFERROR(INDEX(사건마스터!$AH$5:$AH$64,MATCH($F688,사건마스터!$A$5:$A$64,0)),""))</f>
        <v/>
      </c>
      <c r="L688" s="35">
        <f>IF($F688="","",IFERROR(INDEX(사건마스터!$AI$5:$AI$64,MATCH($F688,사건마스터!$A$5:$A$64,0)),""))</f>
        <v/>
      </c>
      <c r="M688" s="35">
        <f>IF($F688="","",IFERROR(INDEX(사건마스터!$AJ$5:$AJ$64,MATCH($F688,사건마스터!$A$5:$A$64,0)),""))</f>
        <v/>
      </c>
      <c r="N688" s="35">
        <f>IF($F688="","",IFERROR(INDEX(사건마스터!$AK$5:$AK$64,MATCH($F688,사건마스터!$A$5:$A$64,0)),""))</f>
        <v/>
      </c>
      <c r="O688" s="35">
        <f>IF($F688="","",IFERROR(INDEX(사건마스터!$AL$5:$AL$64,MATCH($F688,사건마스터!$A$5:$A$64,0)),""))</f>
        <v/>
      </c>
      <c r="P688" s="35">
        <f>IF($F688="","",IFERROR(INDEX(사건마스터!$AM$5:$AM$64,MATCH($F688,사건마스터!$A$5:$A$64,0)),""))</f>
        <v/>
      </c>
      <c r="Q688" s="35">
        <f>IF($F688="","",IFERROR(INDEX(사건마스터!$AN$5:$AN$64,MATCH($F688,사건마스터!$A$5:$A$64,0)),""))</f>
        <v/>
      </c>
      <c r="R688" s="35">
        <f>IF($F688="","",IFERROR(INDEX(사건마스터!$AO$5:$AO$64,MATCH($F688,사건마스터!$A$5:$A$64,0)),""))</f>
        <v/>
      </c>
      <c r="S688" s="35">
        <f>IF($F688="","",IFERROR(INDEX(사건마스터!$AP$5:$AP$64,MATCH($F688,사건마스터!$A$5:$A$64,0)),""))</f>
        <v/>
      </c>
      <c r="T688" s="35">
        <f>IF($F688="","",IFERROR(INDEX(사건마스터!$AQ$5:$AQ$64,MATCH($F688,사건마스터!$A$5:$A$64,0)),""))</f>
        <v/>
      </c>
      <c r="U688" s="35">
        <f>IF($F688="","",IFERROR(INDEX(사건마스터!$AR$5:$AR$64,MATCH($F688,사건마스터!$A$5:$A$64,0)),""))</f>
        <v/>
      </c>
      <c r="V688" s="35">
        <f>IF($F688="","",IFERROR(INDEX(사건마스터!$AS$5:$AS$64,MATCH($F688,사건마스터!$A$5:$A$64,0)),""))</f>
        <v/>
      </c>
      <c r="W688" s="35">
        <f>IF($F688="","",IFERROR(INDEX(사건마스터!$AT$5:$AT$64,MATCH($F688,사건마스터!$A$5:$A$64,0)),""))</f>
        <v/>
      </c>
      <c r="X688" s="35">
        <f>IF($F688="","",IFERROR(INDEX(사건마스터!$AU$5:$AU$64,MATCH($F688,사건마스터!$A$5:$A$64,0)),""))</f>
        <v/>
      </c>
      <c r="Y688" s="35">
        <f>IF($F688="","",IFERROR(INDEX(사건마스터!$AV$5:$AV$64,MATCH($F688,사건마스터!$A$5:$A$64,0)),""))</f>
        <v/>
      </c>
      <c r="Z688" s="30">
        <f>IF(COUNTBLANK($J688:$Y688)=16,"",16-COUNTBLANK($J688:$Y688))</f>
        <v/>
      </c>
      <c r="AA688" s="33">
        <f>IF($J688="",MID($AX688,3,255),$J688&amp;$AX688)</f>
        <v/>
      </c>
      <c r="AB688" s="34">
        <f>IF($J688="","",IFERROR(INDEX(코드설정!$D$5:$D$24,MATCH($J688,코드설정!$C$5:$C$24,0)),""))</f>
        <v/>
      </c>
      <c r="AC688" s="36" t="n"/>
      <c r="AD688" s="37" t="n"/>
      <c r="AE688" s="38" t="n"/>
      <c r="AF688" s="30">
        <f>IF(OR($B688="",$C688=""),"",$C688-$B688+1)</f>
        <v/>
      </c>
      <c r="AG688" s="32" t="n"/>
      <c r="AH688" s="36" t="n"/>
      <c r="AJ688">
        <f>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  <c r="AX688">
        <f>AW688&amp;IF($Y688="","",", "&amp;$Y688)</f>
        <v/>
      </c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0">
        <f>IF($F689="","",COUNTIF($F$5:$F689,$F689))</f>
        <v/>
      </c>
      <c r="H689" s="33">
        <f>IF($F689="","",IFERROR(INDEX(사건마스터!$B$5:$B$64,MATCH($F689,사건마스터!$A$5:$A$64,0)),""))</f>
        <v/>
      </c>
      <c r="I689" s="34">
        <f>IF($F689="","",IFERROR(INDEX(사건마스터!$C$5:$C$64,MATCH($F689,사건마스터!$A$5:$A$64,0)),""))</f>
        <v/>
      </c>
      <c r="J689" s="35">
        <f>IF($F689="","",IFERROR(INDEX(사건마스터!$H$5:$H$64,MATCH($F689,사건마스터!$A$5:$A$64,0)),""))</f>
        <v/>
      </c>
      <c r="K689" s="35">
        <f>IF($F689="","",IFERROR(INDEX(사건마스터!$AH$5:$AH$64,MATCH($F689,사건마스터!$A$5:$A$64,0)),""))</f>
        <v/>
      </c>
      <c r="L689" s="35">
        <f>IF($F689="","",IFERROR(INDEX(사건마스터!$AI$5:$AI$64,MATCH($F689,사건마스터!$A$5:$A$64,0)),""))</f>
        <v/>
      </c>
      <c r="M689" s="35">
        <f>IF($F689="","",IFERROR(INDEX(사건마스터!$AJ$5:$AJ$64,MATCH($F689,사건마스터!$A$5:$A$64,0)),""))</f>
        <v/>
      </c>
      <c r="N689" s="35">
        <f>IF($F689="","",IFERROR(INDEX(사건마스터!$AK$5:$AK$64,MATCH($F689,사건마스터!$A$5:$A$64,0)),""))</f>
        <v/>
      </c>
      <c r="O689" s="35">
        <f>IF($F689="","",IFERROR(INDEX(사건마스터!$AL$5:$AL$64,MATCH($F689,사건마스터!$A$5:$A$64,0)),""))</f>
        <v/>
      </c>
      <c r="P689" s="35">
        <f>IF($F689="","",IFERROR(INDEX(사건마스터!$AM$5:$AM$64,MATCH($F689,사건마스터!$A$5:$A$64,0)),""))</f>
        <v/>
      </c>
      <c r="Q689" s="35">
        <f>IF($F689="","",IFERROR(INDEX(사건마스터!$AN$5:$AN$64,MATCH($F689,사건마스터!$A$5:$A$64,0)),""))</f>
        <v/>
      </c>
      <c r="R689" s="35">
        <f>IF($F689="","",IFERROR(INDEX(사건마스터!$AO$5:$AO$64,MATCH($F689,사건마스터!$A$5:$A$64,0)),""))</f>
        <v/>
      </c>
      <c r="S689" s="35">
        <f>IF($F689="","",IFERROR(INDEX(사건마스터!$AP$5:$AP$64,MATCH($F689,사건마스터!$A$5:$A$64,0)),""))</f>
        <v/>
      </c>
      <c r="T689" s="35">
        <f>IF($F689="","",IFERROR(INDEX(사건마스터!$AQ$5:$AQ$64,MATCH($F689,사건마스터!$A$5:$A$64,0)),""))</f>
        <v/>
      </c>
      <c r="U689" s="35">
        <f>IF($F689="","",IFERROR(INDEX(사건마스터!$AR$5:$AR$64,MATCH($F689,사건마스터!$A$5:$A$64,0)),""))</f>
        <v/>
      </c>
      <c r="V689" s="35">
        <f>IF($F689="","",IFERROR(INDEX(사건마스터!$AS$5:$AS$64,MATCH($F689,사건마스터!$A$5:$A$64,0)),""))</f>
        <v/>
      </c>
      <c r="W689" s="35">
        <f>IF($F689="","",IFERROR(INDEX(사건마스터!$AT$5:$AT$64,MATCH($F689,사건마스터!$A$5:$A$64,0)),""))</f>
        <v/>
      </c>
      <c r="X689" s="35">
        <f>IF($F689="","",IFERROR(INDEX(사건마스터!$AU$5:$AU$64,MATCH($F689,사건마스터!$A$5:$A$64,0)),""))</f>
        <v/>
      </c>
      <c r="Y689" s="35">
        <f>IF($F689="","",IFERROR(INDEX(사건마스터!$AV$5:$AV$64,MATCH($F689,사건마스터!$A$5:$A$64,0)),""))</f>
        <v/>
      </c>
      <c r="Z689" s="30">
        <f>IF(COUNTBLANK($J689:$Y689)=16,"",16-COUNTBLANK($J689:$Y689))</f>
        <v/>
      </c>
      <c r="AA689" s="33">
        <f>IF($J689="",MID($AX689,3,255),$J689&amp;$AX689)</f>
        <v/>
      </c>
      <c r="AB689" s="34">
        <f>IF($J689="","",IFERROR(INDEX(코드설정!$D$5:$D$24,MATCH($J689,코드설정!$C$5:$C$24,0)),""))</f>
        <v/>
      </c>
      <c r="AC689" s="36" t="n"/>
      <c r="AD689" s="37" t="n"/>
      <c r="AE689" s="38" t="n"/>
      <c r="AF689" s="30">
        <f>IF(OR($B689="",$C689=""),"",$C689-$B689+1)</f>
        <v/>
      </c>
      <c r="AG689" s="32" t="n"/>
      <c r="AH689" s="36" t="n"/>
      <c r="AJ689">
        <f>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  <c r="AX689">
        <f>AW689&amp;IF($Y689="","",", "&amp;$Y689)</f>
        <v/>
      </c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0">
        <f>IF($F690="","",COUNTIF($F$5:$F690,$F690))</f>
        <v/>
      </c>
      <c r="H690" s="33">
        <f>IF($F690="","",IFERROR(INDEX(사건마스터!$B$5:$B$64,MATCH($F690,사건마스터!$A$5:$A$64,0)),""))</f>
        <v/>
      </c>
      <c r="I690" s="34">
        <f>IF($F690="","",IFERROR(INDEX(사건마스터!$C$5:$C$64,MATCH($F690,사건마스터!$A$5:$A$64,0)),""))</f>
        <v/>
      </c>
      <c r="J690" s="35">
        <f>IF($F690="","",IFERROR(INDEX(사건마스터!$H$5:$H$64,MATCH($F690,사건마스터!$A$5:$A$64,0)),""))</f>
        <v/>
      </c>
      <c r="K690" s="35">
        <f>IF($F690="","",IFERROR(INDEX(사건마스터!$AH$5:$AH$64,MATCH($F690,사건마스터!$A$5:$A$64,0)),""))</f>
        <v/>
      </c>
      <c r="L690" s="35">
        <f>IF($F690="","",IFERROR(INDEX(사건마스터!$AI$5:$AI$64,MATCH($F690,사건마스터!$A$5:$A$64,0)),""))</f>
        <v/>
      </c>
      <c r="M690" s="35">
        <f>IF($F690="","",IFERROR(INDEX(사건마스터!$AJ$5:$AJ$64,MATCH($F690,사건마스터!$A$5:$A$64,0)),""))</f>
        <v/>
      </c>
      <c r="N690" s="35">
        <f>IF($F690="","",IFERROR(INDEX(사건마스터!$AK$5:$AK$64,MATCH($F690,사건마스터!$A$5:$A$64,0)),""))</f>
        <v/>
      </c>
      <c r="O690" s="35">
        <f>IF($F690="","",IFERROR(INDEX(사건마스터!$AL$5:$AL$64,MATCH($F690,사건마스터!$A$5:$A$64,0)),""))</f>
        <v/>
      </c>
      <c r="P690" s="35">
        <f>IF($F690="","",IFERROR(INDEX(사건마스터!$AM$5:$AM$64,MATCH($F690,사건마스터!$A$5:$A$64,0)),""))</f>
        <v/>
      </c>
      <c r="Q690" s="35">
        <f>IF($F690="","",IFERROR(INDEX(사건마스터!$AN$5:$AN$64,MATCH($F690,사건마스터!$A$5:$A$64,0)),""))</f>
        <v/>
      </c>
      <c r="R690" s="35">
        <f>IF($F690="","",IFERROR(INDEX(사건마스터!$AO$5:$AO$64,MATCH($F690,사건마스터!$A$5:$A$64,0)),""))</f>
        <v/>
      </c>
      <c r="S690" s="35">
        <f>IF($F690="","",IFERROR(INDEX(사건마스터!$AP$5:$AP$64,MATCH($F690,사건마스터!$A$5:$A$64,0)),""))</f>
        <v/>
      </c>
      <c r="T690" s="35">
        <f>IF($F690="","",IFERROR(INDEX(사건마스터!$AQ$5:$AQ$64,MATCH($F690,사건마스터!$A$5:$A$64,0)),""))</f>
        <v/>
      </c>
      <c r="U690" s="35">
        <f>IF($F690="","",IFERROR(INDEX(사건마스터!$AR$5:$AR$64,MATCH($F690,사건마스터!$A$5:$A$64,0)),""))</f>
        <v/>
      </c>
      <c r="V690" s="35">
        <f>IF($F690="","",IFERROR(INDEX(사건마스터!$AS$5:$AS$64,MATCH($F690,사건마스터!$A$5:$A$64,0)),""))</f>
        <v/>
      </c>
      <c r="W690" s="35">
        <f>IF($F690="","",IFERROR(INDEX(사건마스터!$AT$5:$AT$64,MATCH($F690,사건마스터!$A$5:$A$64,0)),""))</f>
        <v/>
      </c>
      <c r="X690" s="35">
        <f>IF($F690="","",IFERROR(INDEX(사건마스터!$AU$5:$AU$64,MATCH($F690,사건마스터!$A$5:$A$64,0)),""))</f>
        <v/>
      </c>
      <c r="Y690" s="35">
        <f>IF($F690="","",IFERROR(INDEX(사건마스터!$AV$5:$AV$64,MATCH($F690,사건마스터!$A$5:$A$64,0)),""))</f>
        <v/>
      </c>
      <c r="Z690" s="30">
        <f>IF(COUNTBLANK($J690:$Y690)=16,"",16-COUNTBLANK($J690:$Y690))</f>
        <v/>
      </c>
      <c r="AA690" s="33">
        <f>IF($J690="",MID($AX690,3,255),$J690&amp;$AX690)</f>
        <v/>
      </c>
      <c r="AB690" s="34">
        <f>IF($J690="","",IFERROR(INDEX(코드설정!$D$5:$D$24,MATCH($J690,코드설정!$C$5:$C$24,0)),""))</f>
        <v/>
      </c>
      <c r="AC690" s="36" t="n"/>
      <c r="AD690" s="37" t="n"/>
      <c r="AE690" s="38" t="n"/>
      <c r="AF690" s="30">
        <f>IF(OR($B690="",$C690=""),"",$C690-$B690+1)</f>
        <v/>
      </c>
      <c r="AG690" s="32" t="n"/>
      <c r="AH690" s="36" t="n"/>
      <c r="AJ690">
        <f>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  <c r="AX690">
        <f>AW690&amp;IF($Y690="","",", "&amp;$Y690)</f>
        <v/>
      </c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0">
        <f>IF($F691="","",COUNTIF($F$5:$F691,$F691))</f>
        <v/>
      </c>
      <c r="H691" s="33">
        <f>IF($F691="","",IFERROR(INDEX(사건마스터!$B$5:$B$64,MATCH($F691,사건마스터!$A$5:$A$64,0)),""))</f>
        <v/>
      </c>
      <c r="I691" s="34">
        <f>IF($F691="","",IFERROR(INDEX(사건마스터!$C$5:$C$64,MATCH($F691,사건마스터!$A$5:$A$64,0)),""))</f>
        <v/>
      </c>
      <c r="J691" s="35">
        <f>IF($F691="","",IFERROR(INDEX(사건마스터!$H$5:$H$64,MATCH($F691,사건마스터!$A$5:$A$64,0)),""))</f>
        <v/>
      </c>
      <c r="K691" s="35">
        <f>IF($F691="","",IFERROR(INDEX(사건마스터!$AH$5:$AH$64,MATCH($F691,사건마스터!$A$5:$A$64,0)),""))</f>
        <v/>
      </c>
      <c r="L691" s="35">
        <f>IF($F691="","",IFERROR(INDEX(사건마스터!$AI$5:$AI$64,MATCH($F691,사건마스터!$A$5:$A$64,0)),""))</f>
        <v/>
      </c>
      <c r="M691" s="35">
        <f>IF($F691="","",IFERROR(INDEX(사건마스터!$AJ$5:$AJ$64,MATCH($F691,사건마스터!$A$5:$A$64,0)),""))</f>
        <v/>
      </c>
      <c r="N691" s="35">
        <f>IF($F691="","",IFERROR(INDEX(사건마스터!$AK$5:$AK$64,MATCH($F691,사건마스터!$A$5:$A$64,0)),""))</f>
        <v/>
      </c>
      <c r="O691" s="35">
        <f>IF($F691="","",IFERROR(INDEX(사건마스터!$AL$5:$AL$64,MATCH($F691,사건마스터!$A$5:$A$64,0)),""))</f>
        <v/>
      </c>
      <c r="P691" s="35">
        <f>IF($F691="","",IFERROR(INDEX(사건마스터!$AM$5:$AM$64,MATCH($F691,사건마스터!$A$5:$A$64,0)),""))</f>
        <v/>
      </c>
      <c r="Q691" s="35">
        <f>IF($F691="","",IFERROR(INDEX(사건마스터!$AN$5:$AN$64,MATCH($F691,사건마스터!$A$5:$A$64,0)),""))</f>
        <v/>
      </c>
      <c r="R691" s="35">
        <f>IF($F691="","",IFERROR(INDEX(사건마스터!$AO$5:$AO$64,MATCH($F691,사건마스터!$A$5:$A$64,0)),""))</f>
        <v/>
      </c>
      <c r="S691" s="35">
        <f>IF($F691="","",IFERROR(INDEX(사건마스터!$AP$5:$AP$64,MATCH($F691,사건마스터!$A$5:$A$64,0)),""))</f>
        <v/>
      </c>
      <c r="T691" s="35">
        <f>IF($F691="","",IFERROR(INDEX(사건마스터!$AQ$5:$AQ$64,MATCH($F691,사건마스터!$A$5:$A$64,0)),""))</f>
        <v/>
      </c>
      <c r="U691" s="35">
        <f>IF($F691="","",IFERROR(INDEX(사건마스터!$AR$5:$AR$64,MATCH($F691,사건마스터!$A$5:$A$64,0)),""))</f>
        <v/>
      </c>
      <c r="V691" s="35">
        <f>IF($F691="","",IFERROR(INDEX(사건마스터!$AS$5:$AS$64,MATCH($F691,사건마스터!$A$5:$A$64,0)),""))</f>
        <v/>
      </c>
      <c r="W691" s="35">
        <f>IF($F691="","",IFERROR(INDEX(사건마스터!$AT$5:$AT$64,MATCH($F691,사건마스터!$A$5:$A$64,0)),""))</f>
        <v/>
      </c>
      <c r="X691" s="35">
        <f>IF($F691="","",IFERROR(INDEX(사건마스터!$AU$5:$AU$64,MATCH($F691,사건마스터!$A$5:$A$64,0)),""))</f>
        <v/>
      </c>
      <c r="Y691" s="35">
        <f>IF($F691="","",IFERROR(INDEX(사건마스터!$AV$5:$AV$64,MATCH($F691,사건마스터!$A$5:$A$64,0)),""))</f>
        <v/>
      </c>
      <c r="Z691" s="30">
        <f>IF(COUNTBLANK($J691:$Y691)=16,"",16-COUNTBLANK($J691:$Y691))</f>
        <v/>
      </c>
      <c r="AA691" s="33">
        <f>IF($J691="",MID($AX691,3,255),$J691&amp;$AX691)</f>
        <v/>
      </c>
      <c r="AB691" s="34">
        <f>IF($J691="","",IFERROR(INDEX(코드설정!$D$5:$D$24,MATCH($J691,코드설정!$C$5:$C$24,0)),""))</f>
        <v/>
      </c>
      <c r="AC691" s="36" t="n"/>
      <c r="AD691" s="37" t="n"/>
      <c r="AE691" s="38" t="n"/>
      <c r="AF691" s="30">
        <f>IF(OR($B691="",$C691=""),"",$C691-$B691+1)</f>
        <v/>
      </c>
      <c r="AG691" s="32" t="n"/>
      <c r="AH691" s="36" t="n"/>
      <c r="AJ691">
        <f>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  <c r="AX691">
        <f>AW691&amp;IF($Y691="","",", "&amp;$Y691)</f>
        <v/>
      </c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0">
        <f>IF($F692="","",COUNTIF($F$5:$F692,$F692))</f>
        <v/>
      </c>
      <c r="H692" s="33">
        <f>IF($F692="","",IFERROR(INDEX(사건마스터!$B$5:$B$64,MATCH($F692,사건마스터!$A$5:$A$64,0)),""))</f>
        <v/>
      </c>
      <c r="I692" s="34">
        <f>IF($F692="","",IFERROR(INDEX(사건마스터!$C$5:$C$64,MATCH($F692,사건마스터!$A$5:$A$64,0)),""))</f>
        <v/>
      </c>
      <c r="J692" s="35">
        <f>IF($F692="","",IFERROR(INDEX(사건마스터!$H$5:$H$64,MATCH($F692,사건마스터!$A$5:$A$64,0)),""))</f>
        <v/>
      </c>
      <c r="K692" s="35">
        <f>IF($F692="","",IFERROR(INDEX(사건마스터!$AH$5:$AH$64,MATCH($F692,사건마스터!$A$5:$A$64,0)),""))</f>
        <v/>
      </c>
      <c r="L692" s="35">
        <f>IF($F692="","",IFERROR(INDEX(사건마스터!$AI$5:$AI$64,MATCH($F692,사건마스터!$A$5:$A$64,0)),""))</f>
        <v/>
      </c>
      <c r="M692" s="35">
        <f>IF($F692="","",IFERROR(INDEX(사건마스터!$AJ$5:$AJ$64,MATCH($F692,사건마스터!$A$5:$A$64,0)),""))</f>
        <v/>
      </c>
      <c r="N692" s="35">
        <f>IF($F692="","",IFERROR(INDEX(사건마스터!$AK$5:$AK$64,MATCH($F692,사건마스터!$A$5:$A$64,0)),""))</f>
        <v/>
      </c>
      <c r="O692" s="35">
        <f>IF($F692="","",IFERROR(INDEX(사건마스터!$AL$5:$AL$64,MATCH($F692,사건마스터!$A$5:$A$64,0)),""))</f>
        <v/>
      </c>
      <c r="P692" s="35">
        <f>IF($F692="","",IFERROR(INDEX(사건마스터!$AM$5:$AM$64,MATCH($F692,사건마스터!$A$5:$A$64,0)),""))</f>
        <v/>
      </c>
      <c r="Q692" s="35">
        <f>IF($F692="","",IFERROR(INDEX(사건마스터!$AN$5:$AN$64,MATCH($F692,사건마스터!$A$5:$A$64,0)),""))</f>
        <v/>
      </c>
      <c r="R692" s="35">
        <f>IF($F692="","",IFERROR(INDEX(사건마스터!$AO$5:$AO$64,MATCH($F692,사건마스터!$A$5:$A$64,0)),""))</f>
        <v/>
      </c>
      <c r="S692" s="35">
        <f>IF($F692="","",IFERROR(INDEX(사건마스터!$AP$5:$AP$64,MATCH($F692,사건마스터!$A$5:$A$64,0)),""))</f>
        <v/>
      </c>
      <c r="T692" s="35">
        <f>IF($F692="","",IFERROR(INDEX(사건마스터!$AQ$5:$AQ$64,MATCH($F692,사건마스터!$A$5:$A$64,0)),""))</f>
        <v/>
      </c>
      <c r="U692" s="35">
        <f>IF($F692="","",IFERROR(INDEX(사건마스터!$AR$5:$AR$64,MATCH($F692,사건마스터!$A$5:$A$64,0)),""))</f>
        <v/>
      </c>
      <c r="V692" s="35">
        <f>IF($F692="","",IFERROR(INDEX(사건마스터!$AS$5:$AS$64,MATCH($F692,사건마스터!$A$5:$A$64,0)),""))</f>
        <v/>
      </c>
      <c r="W692" s="35">
        <f>IF($F692="","",IFERROR(INDEX(사건마스터!$AT$5:$AT$64,MATCH($F692,사건마스터!$A$5:$A$64,0)),""))</f>
        <v/>
      </c>
      <c r="X692" s="35">
        <f>IF($F692="","",IFERROR(INDEX(사건마스터!$AU$5:$AU$64,MATCH($F692,사건마스터!$A$5:$A$64,0)),""))</f>
        <v/>
      </c>
      <c r="Y692" s="35">
        <f>IF($F692="","",IFERROR(INDEX(사건마스터!$AV$5:$AV$64,MATCH($F692,사건마스터!$A$5:$A$64,0)),""))</f>
        <v/>
      </c>
      <c r="Z692" s="30">
        <f>IF(COUNTBLANK($J692:$Y692)=16,"",16-COUNTBLANK($J692:$Y692))</f>
        <v/>
      </c>
      <c r="AA692" s="33">
        <f>IF($J692="",MID($AX692,3,255),$J692&amp;$AX692)</f>
        <v/>
      </c>
      <c r="AB692" s="34">
        <f>IF($J692="","",IFERROR(INDEX(코드설정!$D$5:$D$24,MATCH($J692,코드설정!$C$5:$C$24,0)),""))</f>
        <v/>
      </c>
      <c r="AC692" s="36" t="n"/>
      <c r="AD692" s="37" t="n"/>
      <c r="AE692" s="38" t="n"/>
      <c r="AF692" s="30">
        <f>IF(OR($B692="",$C692=""),"",$C692-$B692+1)</f>
        <v/>
      </c>
      <c r="AG692" s="32" t="n"/>
      <c r="AH692" s="36" t="n"/>
      <c r="AJ692">
        <f>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  <c r="AX692">
        <f>AW692&amp;IF($Y692="","",", "&amp;$Y692)</f>
        <v/>
      </c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0">
        <f>IF($F693="","",COUNTIF($F$5:$F693,$F693))</f>
        <v/>
      </c>
      <c r="H693" s="33">
        <f>IF($F693="","",IFERROR(INDEX(사건마스터!$B$5:$B$64,MATCH($F693,사건마스터!$A$5:$A$64,0)),""))</f>
        <v/>
      </c>
      <c r="I693" s="34">
        <f>IF($F693="","",IFERROR(INDEX(사건마스터!$C$5:$C$64,MATCH($F693,사건마스터!$A$5:$A$64,0)),""))</f>
        <v/>
      </c>
      <c r="J693" s="35">
        <f>IF($F693="","",IFERROR(INDEX(사건마스터!$H$5:$H$64,MATCH($F693,사건마스터!$A$5:$A$64,0)),""))</f>
        <v/>
      </c>
      <c r="K693" s="35">
        <f>IF($F693="","",IFERROR(INDEX(사건마스터!$AH$5:$AH$64,MATCH($F693,사건마스터!$A$5:$A$64,0)),""))</f>
        <v/>
      </c>
      <c r="L693" s="35">
        <f>IF($F693="","",IFERROR(INDEX(사건마스터!$AI$5:$AI$64,MATCH($F693,사건마스터!$A$5:$A$64,0)),""))</f>
        <v/>
      </c>
      <c r="M693" s="35">
        <f>IF($F693="","",IFERROR(INDEX(사건마스터!$AJ$5:$AJ$64,MATCH($F693,사건마스터!$A$5:$A$64,0)),""))</f>
        <v/>
      </c>
      <c r="N693" s="35">
        <f>IF($F693="","",IFERROR(INDEX(사건마스터!$AK$5:$AK$64,MATCH($F693,사건마스터!$A$5:$A$64,0)),""))</f>
        <v/>
      </c>
      <c r="O693" s="35">
        <f>IF($F693="","",IFERROR(INDEX(사건마스터!$AL$5:$AL$64,MATCH($F693,사건마스터!$A$5:$A$64,0)),""))</f>
        <v/>
      </c>
      <c r="P693" s="35">
        <f>IF($F693="","",IFERROR(INDEX(사건마스터!$AM$5:$AM$64,MATCH($F693,사건마스터!$A$5:$A$64,0)),""))</f>
        <v/>
      </c>
      <c r="Q693" s="35">
        <f>IF($F693="","",IFERROR(INDEX(사건마스터!$AN$5:$AN$64,MATCH($F693,사건마스터!$A$5:$A$64,0)),""))</f>
        <v/>
      </c>
      <c r="R693" s="35">
        <f>IF($F693="","",IFERROR(INDEX(사건마스터!$AO$5:$AO$64,MATCH($F693,사건마스터!$A$5:$A$64,0)),""))</f>
        <v/>
      </c>
      <c r="S693" s="35">
        <f>IF($F693="","",IFERROR(INDEX(사건마스터!$AP$5:$AP$64,MATCH($F693,사건마스터!$A$5:$A$64,0)),""))</f>
        <v/>
      </c>
      <c r="T693" s="35">
        <f>IF($F693="","",IFERROR(INDEX(사건마스터!$AQ$5:$AQ$64,MATCH($F693,사건마스터!$A$5:$A$64,0)),""))</f>
        <v/>
      </c>
      <c r="U693" s="35">
        <f>IF($F693="","",IFERROR(INDEX(사건마스터!$AR$5:$AR$64,MATCH($F693,사건마스터!$A$5:$A$64,0)),""))</f>
        <v/>
      </c>
      <c r="V693" s="35">
        <f>IF($F693="","",IFERROR(INDEX(사건마스터!$AS$5:$AS$64,MATCH($F693,사건마스터!$A$5:$A$64,0)),""))</f>
        <v/>
      </c>
      <c r="W693" s="35">
        <f>IF($F693="","",IFERROR(INDEX(사건마스터!$AT$5:$AT$64,MATCH($F693,사건마스터!$A$5:$A$64,0)),""))</f>
        <v/>
      </c>
      <c r="X693" s="35">
        <f>IF($F693="","",IFERROR(INDEX(사건마스터!$AU$5:$AU$64,MATCH($F693,사건마스터!$A$5:$A$64,0)),""))</f>
        <v/>
      </c>
      <c r="Y693" s="35">
        <f>IF($F693="","",IFERROR(INDEX(사건마스터!$AV$5:$AV$64,MATCH($F693,사건마스터!$A$5:$A$64,0)),""))</f>
        <v/>
      </c>
      <c r="Z693" s="30">
        <f>IF(COUNTBLANK($J693:$Y693)=16,"",16-COUNTBLANK($J693:$Y693))</f>
        <v/>
      </c>
      <c r="AA693" s="33">
        <f>IF($J693="",MID($AX693,3,255),$J693&amp;$AX693)</f>
        <v/>
      </c>
      <c r="AB693" s="34">
        <f>IF($J693="","",IFERROR(INDEX(코드설정!$D$5:$D$24,MATCH($J693,코드설정!$C$5:$C$24,0)),""))</f>
        <v/>
      </c>
      <c r="AC693" s="36" t="n"/>
      <c r="AD693" s="37" t="n"/>
      <c r="AE693" s="38" t="n"/>
      <c r="AF693" s="30">
        <f>IF(OR($B693="",$C693=""),"",$C693-$B693+1)</f>
        <v/>
      </c>
      <c r="AG693" s="32" t="n"/>
      <c r="AH693" s="36" t="n"/>
      <c r="AJ693">
        <f>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  <c r="AX693">
        <f>AW693&amp;IF($Y693="","",", "&amp;$Y693)</f>
        <v/>
      </c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0">
        <f>IF($F694="","",COUNTIF($F$5:$F694,$F694))</f>
        <v/>
      </c>
      <c r="H694" s="33">
        <f>IF($F694="","",IFERROR(INDEX(사건마스터!$B$5:$B$64,MATCH($F694,사건마스터!$A$5:$A$64,0)),""))</f>
        <v/>
      </c>
      <c r="I694" s="34">
        <f>IF($F694="","",IFERROR(INDEX(사건마스터!$C$5:$C$64,MATCH($F694,사건마스터!$A$5:$A$64,0)),""))</f>
        <v/>
      </c>
      <c r="J694" s="35">
        <f>IF($F694="","",IFERROR(INDEX(사건마스터!$H$5:$H$64,MATCH($F694,사건마스터!$A$5:$A$64,0)),""))</f>
        <v/>
      </c>
      <c r="K694" s="35">
        <f>IF($F694="","",IFERROR(INDEX(사건마스터!$AH$5:$AH$64,MATCH($F694,사건마스터!$A$5:$A$64,0)),""))</f>
        <v/>
      </c>
      <c r="L694" s="35">
        <f>IF($F694="","",IFERROR(INDEX(사건마스터!$AI$5:$AI$64,MATCH($F694,사건마스터!$A$5:$A$64,0)),""))</f>
        <v/>
      </c>
      <c r="M694" s="35">
        <f>IF($F694="","",IFERROR(INDEX(사건마스터!$AJ$5:$AJ$64,MATCH($F694,사건마스터!$A$5:$A$64,0)),""))</f>
        <v/>
      </c>
      <c r="N694" s="35">
        <f>IF($F694="","",IFERROR(INDEX(사건마스터!$AK$5:$AK$64,MATCH($F694,사건마스터!$A$5:$A$64,0)),""))</f>
        <v/>
      </c>
      <c r="O694" s="35">
        <f>IF($F694="","",IFERROR(INDEX(사건마스터!$AL$5:$AL$64,MATCH($F694,사건마스터!$A$5:$A$64,0)),""))</f>
        <v/>
      </c>
      <c r="P694" s="35">
        <f>IF($F694="","",IFERROR(INDEX(사건마스터!$AM$5:$AM$64,MATCH($F694,사건마스터!$A$5:$A$64,0)),""))</f>
        <v/>
      </c>
      <c r="Q694" s="35">
        <f>IF($F694="","",IFERROR(INDEX(사건마스터!$AN$5:$AN$64,MATCH($F694,사건마스터!$A$5:$A$64,0)),""))</f>
        <v/>
      </c>
      <c r="R694" s="35">
        <f>IF($F694="","",IFERROR(INDEX(사건마스터!$AO$5:$AO$64,MATCH($F694,사건마스터!$A$5:$A$64,0)),""))</f>
        <v/>
      </c>
      <c r="S694" s="35">
        <f>IF($F694="","",IFERROR(INDEX(사건마스터!$AP$5:$AP$64,MATCH($F694,사건마스터!$A$5:$A$64,0)),""))</f>
        <v/>
      </c>
      <c r="T694" s="35">
        <f>IF($F694="","",IFERROR(INDEX(사건마스터!$AQ$5:$AQ$64,MATCH($F694,사건마스터!$A$5:$A$64,0)),""))</f>
        <v/>
      </c>
      <c r="U694" s="35">
        <f>IF($F694="","",IFERROR(INDEX(사건마스터!$AR$5:$AR$64,MATCH($F694,사건마스터!$A$5:$A$64,0)),""))</f>
        <v/>
      </c>
      <c r="V694" s="35">
        <f>IF($F694="","",IFERROR(INDEX(사건마스터!$AS$5:$AS$64,MATCH($F694,사건마스터!$A$5:$A$64,0)),""))</f>
        <v/>
      </c>
      <c r="W694" s="35">
        <f>IF($F694="","",IFERROR(INDEX(사건마스터!$AT$5:$AT$64,MATCH($F694,사건마스터!$A$5:$A$64,0)),""))</f>
        <v/>
      </c>
      <c r="X694" s="35">
        <f>IF($F694="","",IFERROR(INDEX(사건마스터!$AU$5:$AU$64,MATCH($F694,사건마스터!$A$5:$A$64,0)),""))</f>
        <v/>
      </c>
      <c r="Y694" s="35">
        <f>IF($F694="","",IFERROR(INDEX(사건마스터!$AV$5:$AV$64,MATCH($F694,사건마스터!$A$5:$A$64,0)),""))</f>
        <v/>
      </c>
      <c r="Z694" s="30">
        <f>IF(COUNTBLANK($J694:$Y694)=16,"",16-COUNTBLANK($J694:$Y694))</f>
        <v/>
      </c>
      <c r="AA694" s="33">
        <f>IF($J694="",MID($AX694,3,255),$J694&amp;$AX694)</f>
        <v/>
      </c>
      <c r="AB694" s="34">
        <f>IF($J694="","",IFERROR(INDEX(코드설정!$D$5:$D$24,MATCH($J694,코드설정!$C$5:$C$24,0)),""))</f>
        <v/>
      </c>
      <c r="AC694" s="36" t="n"/>
      <c r="AD694" s="37" t="n"/>
      <c r="AE694" s="38" t="n"/>
      <c r="AF694" s="30">
        <f>IF(OR($B694="",$C694=""),"",$C694-$B694+1)</f>
        <v/>
      </c>
      <c r="AG694" s="32" t="n"/>
      <c r="AH694" s="36" t="n"/>
      <c r="AJ694">
        <f>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  <c r="AX694">
        <f>AW694&amp;IF($Y694="","",", "&amp;$Y694)</f>
        <v/>
      </c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0">
        <f>IF($F695="","",COUNTIF($F$5:$F695,$F695))</f>
        <v/>
      </c>
      <c r="H695" s="33">
        <f>IF($F695="","",IFERROR(INDEX(사건마스터!$B$5:$B$64,MATCH($F695,사건마스터!$A$5:$A$64,0)),""))</f>
        <v/>
      </c>
      <c r="I695" s="34">
        <f>IF($F695="","",IFERROR(INDEX(사건마스터!$C$5:$C$64,MATCH($F695,사건마스터!$A$5:$A$64,0)),""))</f>
        <v/>
      </c>
      <c r="J695" s="35">
        <f>IF($F695="","",IFERROR(INDEX(사건마스터!$H$5:$H$64,MATCH($F695,사건마스터!$A$5:$A$64,0)),""))</f>
        <v/>
      </c>
      <c r="K695" s="35">
        <f>IF($F695="","",IFERROR(INDEX(사건마스터!$AH$5:$AH$64,MATCH($F695,사건마스터!$A$5:$A$64,0)),""))</f>
        <v/>
      </c>
      <c r="L695" s="35">
        <f>IF($F695="","",IFERROR(INDEX(사건마스터!$AI$5:$AI$64,MATCH($F695,사건마스터!$A$5:$A$64,0)),""))</f>
        <v/>
      </c>
      <c r="M695" s="35">
        <f>IF($F695="","",IFERROR(INDEX(사건마스터!$AJ$5:$AJ$64,MATCH($F695,사건마스터!$A$5:$A$64,0)),""))</f>
        <v/>
      </c>
      <c r="N695" s="35">
        <f>IF($F695="","",IFERROR(INDEX(사건마스터!$AK$5:$AK$64,MATCH($F695,사건마스터!$A$5:$A$64,0)),""))</f>
        <v/>
      </c>
      <c r="O695" s="35">
        <f>IF($F695="","",IFERROR(INDEX(사건마스터!$AL$5:$AL$64,MATCH($F695,사건마스터!$A$5:$A$64,0)),""))</f>
        <v/>
      </c>
      <c r="P695" s="35">
        <f>IF($F695="","",IFERROR(INDEX(사건마스터!$AM$5:$AM$64,MATCH($F695,사건마스터!$A$5:$A$64,0)),""))</f>
        <v/>
      </c>
      <c r="Q695" s="35">
        <f>IF($F695="","",IFERROR(INDEX(사건마스터!$AN$5:$AN$64,MATCH($F695,사건마스터!$A$5:$A$64,0)),""))</f>
        <v/>
      </c>
      <c r="R695" s="35">
        <f>IF($F695="","",IFERROR(INDEX(사건마스터!$AO$5:$AO$64,MATCH($F695,사건마스터!$A$5:$A$64,0)),""))</f>
        <v/>
      </c>
      <c r="S695" s="35">
        <f>IF($F695="","",IFERROR(INDEX(사건마스터!$AP$5:$AP$64,MATCH($F695,사건마스터!$A$5:$A$64,0)),""))</f>
        <v/>
      </c>
      <c r="T695" s="35">
        <f>IF($F695="","",IFERROR(INDEX(사건마스터!$AQ$5:$AQ$64,MATCH($F695,사건마스터!$A$5:$A$64,0)),""))</f>
        <v/>
      </c>
      <c r="U695" s="35">
        <f>IF($F695="","",IFERROR(INDEX(사건마스터!$AR$5:$AR$64,MATCH($F695,사건마스터!$A$5:$A$64,0)),""))</f>
        <v/>
      </c>
      <c r="V695" s="35">
        <f>IF($F695="","",IFERROR(INDEX(사건마스터!$AS$5:$AS$64,MATCH($F695,사건마스터!$A$5:$A$64,0)),""))</f>
        <v/>
      </c>
      <c r="W695" s="35">
        <f>IF($F695="","",IFERROR(INDEX(사건마스터!$AT$5:$AT$64,MATCH($F695,사건마스터!$A$5:$A$64,0)),""))</f>
        <v/>
      </c>
      <c r="X695" s="35">
        <f>IF($F695="","",IFERROR(INDEX(사건마스터!$AU$5:$AU$64,MATCH($F695,사건마스터!$A$5:$A$64,0)),""))</f>
        <v/>
      </c>
      <c r="Y695" s="35">
        <f>IF($F695="","",IFERROR(INDEX(사건마스터!$AV$5:$AV$64,MATCH($F695,사건마스터!$A$5:$A$64,0)),""))</f>
        <v/>
      </c>
      <c r="Z695" s="30">
        <f>IF(COUNTBLANK($J695:$Y695)=16,"",16-COUNTBLANK($J695:$Y695))</f>
        <v/>
      </c>
      <c r="AA695" s="33">
        <f>IF($J695="",MID($AX695,3,255),$J695&amp;$AX695)</f>
        <v/>
      </c>
      <c r="AB695" s="34">
        <f>IF($J695="","",IFERROR(INDEX(코드설정!$D$5:$D$24,MATCH($J695,코드설정!$C$5:$C$24,0)),""))</f>
        <v/>
      </c>
      <c r="AC695" s="36" t="n"/>
      <c r="AD695" s="37" t="n"/>
      <c r="AE695" s="38" t="n"/>
      <c r="AF695" s="30">
        <f>IF(OR($B695="",$C695=""),"",$C695-$B695+1)</f>
        <v/>
      </c>
      <c r="AG695" s="32" t="n"/>
      <c r="AH695" s="36" t="n"/>
      <c r="AJ695">
        <f>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  <c r="AX695">
        <f>AW695&amp;IF($Y695="","",", "&amp;$Y695)</f>
        <v/>
      </c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0">
        <f>IF($F696="","",COUNTIF($F$5:$F696,$F696))</f>
        <v/>
      </c>
      <c r="H696" s="33">
        <f>IF($F696="","",IFERROR(INDEX(사건마스터!$B$5:$B$64,MATCH($F696,사건마스터!$A$5:$A$64,0)),""))</f>
        <v/>
      </c>
      <c r="I696" s="34">
        <f>IF($F696="","",IFERROR(INDEX(사건마스터!$C$5:$C$64,MATCH($F696,사건마스터!$A$5:$A$64,0)),""))</f>
        <v/>
      </c>
      <c r="J696" s="35">
        <f>IF($F696="","",IFERROR(INDEX(사건마스터!$H$5:$H$64,MATCH($F696,사건마스터!$A$5:$A$64,0)),""))</f>
        <v/>
      </c>
      <c r="K696" s="35">
        <f>IF($F696="","",IFERROR(INDEX(사건마스터!$AH$5:$AH$64,MATCH($F696,사건마스터!$A$5:$A$64,0)),""))</f>
        <v/>
      </c>
      <c r="L696" s="35">
        <f>IF($F696="","",IFERROR(INDEX(사건마스터!$AI$5:$AI$64,MATCH($F696,사건마스터!$A$5:$A$64,0)),""))</f>
        <v/>
      </c>
      <c r="M696" s="35">
        <f>IF($F696="","",IFERROR(INDEX(사건마스터!$AJ$5:$AJ$64,MATCH($F696,사건마스터!$A$5:$A$64,0)),""))</f>
        <v/>
      </c>
      <c r="N696" s="35">
        <f>IF($F696="","",IFERROR(INDEX(사건마스터!$AK$5:$AK$64,MATCH($F696,사건마스터!$A$5:$A$64,0)),""))</f>
        <v/>
      </c>
      <c r="O696" s="35">
        <f>IF($F696="","",IFERROR(INDEX(사건마스터!$AL$5:$AL$64,MATCH($F696,사건마스터!$A$5:$A$64,0)),""))</f>
        <v/>
      </c>
      <c r="P696" s="35">
        <f>IF($F696="","",IFERROR(INDEX(사건마스터!$AM$5:$AM$64,MATCH($F696,사건마스터!$A$5:$A$64,0)),""))</f>
        <v/>
      </c>
      <c r="Q696" s="35">
        <f>IF($F696="","",IFERROR(INDEX(사건마스터!$AN$5:$AN$64,MATCH($F696,사건마스터!$A$5:$A$64,0)),""))</f>
        <v/>
      </c>
      <c r="R696" s="35">
        <f>IF($F696="","",IFERROR(INDEX(사건마스터!$AO$5:$AO$64,MATCH($F696,사건마스터!$A$5:$A$64,0)),""))</f>
        <v/>
      </c>
      <c r="S696" s="35">
        <f>IF($F696="","",IFERROR(INDEX(사건마스터!$AP$5:$AP$64,MATCH($F696,사건마스터!$A$5:$A$64,0)),""))</f>
        <v/>
      </c>
      <c r="T696" s="35">
        <f>IF($F696="","",IFERROR(INDEX(사건마스터!$AQ$5:$AQ$64,MATCH($F696,사건마스터!$A$5:$A$64,0)),""))</f>
        <v/>
      </c>
      <c r="U696" s="35">
        <f>IF($F696="","",IFERROR(INDEX(사건마스터!$AR$5:$AR$64,MATCH($F696,사건마스터!$A$5:$A$64,0)),""))</f>
        <v/>
      </c>
      <c r="V696" s="35">
        <f>IF($F696="","",IFERROR(INDEX(사건마스터!$AS$5:$AS$64,MATCH($F696,사건마스터!$A$5:$A$64,0)),""))</f>
        <v/>
      </c>
      <c r="W696" s="35">
        <f>IF($F696="","",IFERROR(INDEX(사건마스터!$AT$5:$AT$64,MATCH($F696,사건마스터!$A$5:$A$64,0)),""))</f>
        <v/>
      </c>
      <c r="X696" s="35">
        <f>IF($F696="","",IFERROR(INDEX(사건마스터!$AU$5:$AU$64,MATCH($F696,사건마스터!$A$5:$A$64,0)),""))</f>
        <v/>
      </c>
      <c r="Y696" s="35">
        <f>IF($F696="","",IFERROR(INDEX(사건마스터!$AV$5:$AV$64,MATCH($F696,사건마스터!$A$5:$A$64,0)),""))</f>
        <v/>
      </c>
      <c r="Z696" s="30">
        <f>IF(COUNTBLANK($J696:$Y696)=16,"",16-COUNTBLANK($J696:$Y696))</f>
        <v/>
      </c>
      <c r="AA696" s="33">
        <f>IF($J696="",MID($AX696,3,255),$J696&amp;$AX696)</f>
        <v/>
      </c>
      <c r="AB696" s="34">
        <f>IF($J696="","",IFERROR(INDEX(코드설정!$D$5:$D$24,MATCH($J696,코드설정!$C$5:$C$24,0)),""))</f>
        <v/>
      </c>
      <c r="AC696" s="36" t="n"/>
      <c r="AD696" s="37" t="n"/>
      <c r="AE696" s="38" t="n"/>
      <c r="AF696" s="30">
        <f>IF(OR($B696="",$C696=""),"",$C696-$B696+1)</f>
        <v/>
      </c>
      <c r="AG696" s="32" t="n"/>
      <c r="AH696" s="36" t="n"/>
      <c r="AJ696">
        <f>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  <c r="AX696">
        <f>AW696&amp;IF($Y696="","",", "&amp;$Y696)</f>
        <v/>
      </c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0">
        <f>IF($F697="","",COUNTIF($F$5:$F697,$F697))</f>
        <v/>
      </c>
      <c r="H697" s="33">
        <f>IF($F697="","",IFERROR(INDEX(사건마스터!$B$5:$B$64,MATCH($F697,사건마스터!$A$5:$A$64,0)),""))</f>
        <v/>
      </c>
      <c r="I697" s="34">
        <f>IF($F697="","",IFERROR(INDEX(사건마스터!$C$5:$C$64,MATCH($F697,사건마스터!$A$5:$A$64,0)),""))</f>
        <v/>
      </c>
      <c r="J697" s="35">
        <f>IF($F697="","",IFERROR(INDEX(사건마스터!$H$5:$H$64,MATCH($F697,사건마스터!$A$5:$A$64,0)),""))</f>
        <v/>
      </c>
      <c r="K697" s="35">
        <f>IF($F697="","",IFERROR(INDEX(사건마스터!$AH$5:$AH$64,MATCH($F697,사건마스터!$A$5:$A$64,0)),""))</f>
        <v/>
      </c>
      <c r="L697" s="35">
        <f>IF($F697="","",IFERROR(INDEX(사건마스터!$AI$5:$AI$64,MATCH($F697,사건마스터!$A$5:$A$64,0)),""))</f>
        <v/>
      </c>
      <c r="M697" s="35">
        <f>IF($F697="","",IFERROR(INDEX(사건마스터!$AJ$5:$AJ$64,MATCH($F697,사건마스터!$A$5:$A$64,0)),""))</f>
        <v/>
      </c>
      <c r="N697" s="35">
        <f>IF($F697="","",IFERROR(INDEX(사건마스터!$AK$5:$AK$64,MATCH($F697,사건마스터!$A$5:$A$64,0)),""))</f>
        <v/>
      </c>
      <c r="O697" s="35">
        <f>IF($F697="","",IFERROR(INDEX(사건마스터!$AL$5:$AL$64,MATCH($F697,사건마스터!$A$5:$A$64,0)),""))</f>
        <v/>
      </c>
      <c r="P697" s="35">
        <f>IF($F697="","",IFERROR(INDEX(사건마스터!$AM$5:$AM$64,MATCH($F697,사건마스터!$A$5:$A$64,0)),""))</f>
        <v/>
      </c>
      <c r="Q697" s="35">
        <f>IF($F697="","",IFERROR(INDEX(사건마스터!$AN$5:$AN$64,MATCH($F697,사건마스터!$A$5:$A$64,0)),""))</f>
        <v/>
      </c>
      <c r="R697" s="35">
        <f>IF($F697="","",IFERROR(INDEX(사건마스터!$AO$5:$AO$64,MATCH($F697,사건마스터!$A$5:$A$64,0)),""))</f>
        <v/>
      </c>
      <c r="S697" s="35">
        <f>IF($F697="","",IFERROR(INDEX(사건마스터!$AP$5:$AP$64,MATCH($F697,사건마스터!$A$5:$A$64,0)),""))</f>
        <v/>
      </c>
      <c r="T697" s="35">
        <f>IF($F697="","",IFERROR(INDEX(사건마스터!$AQ$5:$AQ$64,MATCH($F697,사건마스터!$A$5:$A$64,0)),""))</f>
        <v/>
      </c>
      <c r="U697" s="35">
        <f>IF($F697="","",IFERROR(INDEX(사건마스터!$AR$5:$AR$64,MATCH($F697,사건마스터!$A$5:$A$64,0)),""))</f>
        <v/>
      </c>
      <c r="V697" s="35">
        <f>IF($F697="","",IFERROR(INDEX(사건마스터!$AS$5:$AS$64,MATCH($F697,사건마스터!$A$5:$A$64,0)),""))</f>
        <v/>
      </c>
      <c r="W697" s="35">
        <f>IF($F697="","",IFERROR(INDEX(사건마스터!$AT$5:$AT$64,MATCH($F697,사건마스터!$A$5:$A$64,0)),""))</f>
        <v/>
      </c>
      <c r="X697" s="35">
        <f>IF($F697="","",IFERROR(INDEX(사건마스터!$AU$5:$AU$64,MATCH($F697,사건마스터!$A$5:$A$64,0)),""))</f>
        <v/>
      </c>
      <c r="Y697" s="35">
        <f>IF($F697="","",IFERROR(INDEX(사건마스터!$AV$5:$AV$64,MATCH($F697,사건마스터!$A$5:$A$64,0)),""))</f>
        <v/>
      </c>
      <c r="Z697" s="30">
        <f>IF(COUNTBLANK($J697:$Y697)=16,"",16-COUNTBLANK($J697:$Y697))</f>
        <v/>
      </c>
      <c r="AA697" s="33">
        <f>IF($J697="",MID($AX697,3,255),$J697&amp;$AX697)</f>
        <v/>
      </c>
      <c r="AB697" s="34">
        <f>IF($J697="","",IFERROR(INDEX(코드설정!$D$5:$D$24,MATCH($J697,코드설정!$C$5:$C$24,0)),""))</f>
        <v/>
      </c>
      <c r="AC697" s="36" t="n"/>
      <c r="AD697" s="37" t="n"/>
      <c r="AE697" s="38" t="n"/>
      <c r="AF697" s="30">
        <f>IF(OR($B697="",$C697=""),"",$C697-$B697+1)</f>
        <v/>
      </c>
      <c r="AG697" s="32" t="n"/>
      <c r="AH697" s="36" t="n"/>
      <c r="AJ697">
        <f>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  <c r="AX697">
        <f>AW697&amp;IF($Y697="","",", "&amp;$Y697)</f>
        <v/>
      </c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0">
        <f>IF($F698="","",COUNTIF($F$5:$F698,$F698))</f>
        <v/>
      </c>
      <c r="H698" s="33">
        <f>IF($F698="","",IFERROR(INDEX(사건마스터!$B$5:$B$64,MATCH($F698,사건마스터!$A$5:$A$64,0)),""))</f>
        <v/>
      </c>
      <c r="I698" s="34">
        <f>IF($F698="","",IFERROR(INDEX(사건마스터!$C$5:$C$64,MATCH($F698,사건마스터!$A$5:$A$64,0)),""))</f>
        <v/>
      </c>
      <c r="J698" s="35">
        <f>IF($F698="","",IFERROR(INDEX(사건마스터!$H$5:$H$64,MATCH($F698,사건마스터!$A$5:$A$64,0)),""))</f>
        <v/>
      </c>
      <c r="K698" s="35">
        <f>IF($F698="","",IFERROR(INDEX(사건마스터!$AH$5:$AH$64,MATCH($F698,사건마스터!$A$5:$A$64,0)),""))</f>
        <v/>
      </c>
      <c r="L698" s="35">
        <f>IF($F698="","",IFERROR(INDEX(사건마스터!$AI$5:$AI$64,MATCH($F698,사건마스터!$A$5:$A$64,0)),""))</f>
        <v/>
      </c>
      <c r="M698" s="35">
        <f>IF($F698="","",IFERROR(INDEX(사건마스터!$AJ$5:$AJ$64,MATCH($F698,사건마스터!$A$5:$A$64,0)),""))</f>
        <v/>
      </c>
      <c r="N698" s="35">
        <f>IF($F698="","",IFERROR(INDEX(사건마스터!$AK$5:$AK$64,MATCH($F698,사건마스터!$A$5:$A$64,0)),""))</f>
        <v/>
      </c>
      <c r="O698" s="35">
        <f>IF($F698="","",IFERROR(INDEX(사건마스터!$AL$5:$AL$64,MATCH($F698,사건마스터!$A$5:$A$64,0)),""))</f>
        <v/>
      </c>
      <c r="P698" s="35">
        <f>IF($F698="","",IFERROR(INDEX(사건마스터!$AM$5:$AM$64,MATCH($F698,사건마스터!$A$5:$A$64,0)),""))</f>
        <v/>
      </c>
      <c r="Q698" s="35">
        <f>IF($F698="","",IFERROR(INDEX(사건마스터!$AN$5:$AN$64,MATCH($F698,사건마스터!$A$5:$A$64,0)),""))</f>
        <v/>
      </c>
      <c r="R698" s="35">
        <f>IF($F698="","",IFERROR(INDEX(사건마스터!$AO$5:$AO$64,MATCH($F698,사건마스터!$A$5:$A$64,0)),""))</f>
        <v/>
      </c>
      <c r="S698" s="35">
        <f>IF($F698="","",IFERROR(INDEX(사건마스터!$AP$5:$AP$64,MATCH($F698,사건마스터!$A$5:$A$64,0)),""))</f>
        <v/>
      </c>
      <c r="T698" s="35">
        <f>IF($F698="","",IFERROR(INDEX(사건마스터!$AQ$5:$AQ$64,MATCH($F698,사건마스터!$A$5:$A$64,0)),""))</f>
        <v/>
      </c>
      <c r="U698" s="35">
        <f>IF($F698="","",IFERROR(INDEX(사건마스터!$AR$5:$AR$64,MATCH($F698,사건마스터!$A$5:$A$64,0)),""))</f>
        <v/>
      </c>
      <c r="V698" s="35">
        <f>IF($F698="","",IFERROR(INDEX(사건마스터!$AS$5:$AS$64,MATCH($F698,사건마스터!$A$5:$A$64,0)),""))</f>
        <v/>
      </c>
      <c r="W698" s="35">
        <f>IF($F698="","",IFERROR(INDEX(사건마스터!$AT$5:$AT$64,MATCH($F698,사건마스터!$A$5:$A$64,0)),""))</f>
        <v/>
      </c>
      <c r="X698" s="35">
        <f>IF($F698="","",IFERROR(INDEX(사건마스터!$AU$5:$AU$64,MATCH($F698,사건마스터!$A$5:$A$64,0)),""))</f>
        <v/>
      </c>
      <c r="Y698" s="35">
        <f>IF($F698="","",IFERROR(INDEX(사건마스터!$AV$5:$AV$64,MATCH($F698,사건마스터!$A$5:$A$64,0)),""))</f>
        <v/>
      </c>
      <c r="Z698" s="30">
        <f>IF(COUNTBLANK($J698:$Y698)=16,"",16-COUNTBLANK($J698:$Y698))</f>
        <v/>
      </c>
      <c r="AA698" s="33">
        <f>IF($J698="",MID($AX698,3,255),$J698&amp;$AX698)</f>
        <v/>
      </c>
      <c r="AB698" s="34">
        <f>IF($J698="","",IFERROR(INDEX(코드설정!$D$5:$D$24,MATCH($J698,코드설정!$C$5:$C$24,0)),""))</f>
        <v/>
      </c>
      <c r="AC698" s="36" t="n"/>
      <c r="AD698" s="37" t="n"/>
      <c r="AE698" s="38" t="n"/>
      <c r="AF698" s="30">
        <f>IF(OR($B698="",$C698=""),"",$C698-$B698+1)</f>
        <v/>
      </c>
      <c r="AG698" s="32" t="n"/>
      <c r="AH698" s="36" t="n"/>
      <c r="AJ698">
        <f>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  <c r="AX698">
        <f>AW698&amp;IF($Y698="","",", "&amp;$Y698)</f>
        <v/>
      </c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0">
        <f>IF($F699="","",COUNTIF($F$5:$F699,$F699))</f>
        <v/>
      </c>
      <c r="H699" s="33">
        <f>IF($F699="","",IFERROR(INDEX(사건마스터!$B$5:$B$64,MATCH($F699,사건마스터!$A$5:$A$64,0)),""))</f>
        <v/>
      </c>
      <c r="I699" s="34">
        <f>IF($F699="","",IFERROR(INDEX(사건마스터!$C$5:$C$64,MATCH($F699,사건마스터!$A$5:$A$64,0)),""))</f>
        <v/>
      </c>
      <c r="J699" s="35">
        <f>IF($F699="","",IFERROR(INDEX(사건마스터!$H$5:$H$64,MATCH($F699,사건마스터!$A$5:$A$64,0)),""))</f>
        <v/>
      </c>
      <c r="K699" s="35">
        <f>IF($F699="","",IFERROR(INDEX(사건마스터!$AH$5:$AH$64,MATCH($F699,사건마스터!$A$5:$A$64,0)),""))</f>
        <v/>
      </c>
      <c r="L699" s="35">
        <f>IF($F699="","",IFERROR(INDEX(사건마스터!$AI$5:$AI$64,MATCH($F699,사건마스터!$A$5:$A$64,0)),""))</f>
        <v/>
      </c>
      <c r="M699" s="35">
        <f>IF($F699="","",IFERROR(INDEX(사건마스터!$AJ$5:$AJ$64,MATCH($F699,사건마스터!$A$5:$A$64,0)),""))</f>
        <v/>
      </c>
      <c r="N699" s="35">
        <f>IF($F699="","",IFERROR(INDEX(사건마스터!$AK$5:$AK$64,MATCH($F699,사건마스터!$A$5:$A$64,0)),""))</f>
        <v/>
      </c>
      <c r="O699" s="35">
        <f>IF($F699="","",IFERROR(INDEX(사건마스터!$AL$5:$AL$64,MATCH($F699,사건마스터!$A$5:$A$64,0)),""))</f>
        <v/>
      </c>
      <c r="P699" s="35">
        <f>IF($F699="","",IFERROR(INDEX(사건마스터!$AM$5:$AM$64,MATCH($F699,사건마스터!$A$5:$A$64,0)),""))</f>
        <v/>
      </c>
      <c r="Q699" s="35">
        <f>IF($F699="","",IFERROR(INDEX(사건마스터!$AN$5:$AN$64,MATCH($F699,사건마스터!$A$5:$A$64,0)),""))</f>
        <v/>
      </c>
      <c r="R699" s="35">
        <f>IF($F699="","",IFERROR(INDEX(사건마스터!$AO$5:$AO$64,MATCH($F699,사건마스터!$A$5:$A$64,0)),""))</f>
        <v/>
      </c>
      <c r="S699" s="35">
        <f>IF($F699="","",IFERROR(INDEX(사건마스터!$AP$5:$AP$64,MATCH($F699,사건마스터!$A$5:$A$64,0)),""))</f>
        <v/>
      </c>
      <c r="T699" s="35">
        <f>IF($F699="","",IFERROR(INDEX(사건마스터!$AQ$5:$AQ$64,MATCH($F699,사건마스터!$A$5:$A$64,0)),""))</f>
        <v/>
      </c>
      <c r="U699" s="35">
        <f>IF($F699="","",IFERROR(INDEX(사건마스터!$AR$5:$AR$64,MATCH($F699,사건마스터!$A$5:$A$64,0)),""))</f>
        <v/>
      </c>
      <c r="V699" s="35">
        <f>IF($F699="","",IFERROR(INDEX(사건마스터!$AS$5:$AS$64,MATCH($F699,사건마스터!$A$5:$A$64,0)),""))</f>
        <v/>
      </c>
      <c r="W699" s="35">
        <f>IF($F699="","",IFERROR(INDEX(사건마스터!$AT$5:$AT$64,MATCH($F699,사건마스터!$A$5:$A$64,0)),""))</f>
        <v/>
      </c>
      <c r="X699" s="35">
        <f>IF($F699="","",IFERROR(INDEX(사건마스터!$AU$5:$AU$64,MATCH($F699,사건마스터!$A$5:$A$64,0)),""))</f>
        <v/>
      </c>
      <c r="Y699" s="35">
        <f>IF($F699="","",IFERROR(INDEX(사건마스터!$AV$5:$AV$64,MATCH($F699,사건마스터!$A$5:$A$64,0)),""))</f>
        <v/>
      </c>
      <c r="Z699" s="30">
        <f>IF(COUNTBLANK($J699:$Y699)=16,"",16-COUNTBLANK($J699:$Y699))</f>
        <v/>
      </c>
      <c r="AA699" s="33">
        <f>IF($J699="",MID($AX699,3,255),$J699&amp;$AX699)</f>
        <v/>
      </c>
      <c r="AB699" s="34">
        <f>IF($J699="","",IFERROR(INDEX(코드설정!$D$5:$D$24,MATCH($J699,코드설정!$C$5:$C$24,0)),""))</f>
        <v/>
      </c>
      <c r="AC699" s="36" t="n"/>
      <c r="AD699" s="37" t="n"/>
      <c r="AE699" s="38" t="n"/>
      <c r="AF699" s="30">
        <f>IF(OR($B699="",$C699=""),"",$C699-$B699+1)</f>
        <v/>
      </c>
      <c r="AG699" s="32" t="n"/>
      <c r="AH699" s="36" t="n"/>
      <c r="AJ699">
        <f>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  <c r="AX699">
        <f>AW699&amp;IF($Y699="","",", "&amp;$Y699)</f>
        <v/>
      </c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0">
        <f>IF($F700="","",COUNTIF($F$5:$F700,$F700))</f>
        <v/>
      </c>
      <c r="H700" s="33">
        <f>IF($F700="","",IFERROR(INDEX(사건마스터!$B$5:$B$64,MATCH($F700,사건마스터!$A$5:$A$64,0)),""))</f>
        <v/>
      </c>
      <c r="I700" s="34">
        <f>IF($F700="","",IFERROR(INDEX(사건마스터!$C$5:$C$64,MATCH($F700,사건마스터!$A$5:$A$64,0)),""))</f>
        <v/>
      </c>
      <c r="J700" s="35">
        <f>IF($F700="","",IFERROR(INDEX(사건마스터!$H$5:$H$64,MATCH($F700,사건마스터!$A$5:$A$64,0)),""))</f>
        <v/>
      </c>
      <c r="K700" s="35">
        <f>IF($F700="","",IFERROR(INDEX(사건마스터!$AH$5:$AH$64,MATCH($F700,사건마스터!$A$5:$A$64,0)),""))</f>
        <v/>
      </c>
      <c r="L700" s="35">
        <f>IF($F700="","",IFERROR(INDEX(사건마스터!$AI$5:$AI$64,MATCH($F700,사건마스터!$A$5:$A$64,0)),""))</f>
        <v/>
      </c>
      <c r="M700" s="35">
        <f>IF($F700="","",IFERROR(INDEX(사건마스터!$AJ$5:$AJ$64,MATCH($F700,사건마스터!$A$5:$A$64,0)),""))</f>
        <v/>
      </c>
      <c r="N700" s="35">
        <f>IF($F700="","",IFERROR(INDEX(사건마스터!$AK$5:$AK$64,MATCH($F700,사건마스터!$A$5:$A$64,0)),""))</f>
        <v/>
      </c>
      <c r="O700" s="35">
        <f>IF($F700="","",IFERROR(INDEX(사건마스터!$AL$5:$AL$64,MATCH($F700,사건마스터!$A$5:$A$64,0)),""))</f>
        <v/>
      </c>
      <c r="P700" s="35">
        <f>IF($F700="","",IFERROR(INDEX(사건마스터!$AM$5:$AM$64,MATCH($F700,사건마스터!$A$5:$A$64,0)),""))</f>
        <v/>
      </c>
      <c r="Q700" s="35">
        <f>IF($F700="","",IFERROR(INDEX(사건마스터!$AN$5:$AN$64,MATCH($F700,사건마스터!$A$5:$A$64,0)),""))</f>
        <v/>
      </c>
      <c r="R700" s="35">
        <f>IF($F700="","",IFERROR(INDEX(사건마스터!$AO$5:$AO$64,MATCH($F700,사건마스터!$A$5:$A$64,0)),""))</f>
        <v/>
      </c>
      <c r="S700" s="35">
        <f>IF($F700="","",IFERROR(INDEX(사건마스터!$AP$5:$AP$64,MATCH($F700,사건마스터!$A$5:$A$64,0)),""))</f>
        <v/>
      </c>
      <c r="T700" s="35">
        <f>IF($F700="","",IFERROR(INDEX(사건마스터!$AQ$5:$AQ$64,MATCH($F700,사건마스터!$A$5:$A$64,0)),""))</f>
        <v/>
      </c>
      <c r="U700" s="35">
        <f>IF($F700="","",IFERROR(INDEX(사건마스터!$AR$5:$AR$64,MATCH($F700,사건마스터!$A$5:$A$64,0)),""))</f>
        <v/>
      </c>
      <c r="V700" s="35">
        <f>IF($F700="","",IFERROR(INDEX(사건마스터!$AS$5:$AS$64,MATCH($F700,사건마스터!$A$5:$A$64,0)),""))</f>
        <v/>
      </c>
      <c r="W700" s="35">
        <f>IF($F700="","",IFERROR(INDEX(사건마스터!$AT$5:$AT$64,MATCH($F700,사건마스터!$A$5:$A$64,0)),""))</f>
        <v/>
      </c>
      <c r="X700" s="35">
        <f>IF($F700="","",IFERROR(INDEX(사건마스터!$AU$5:$AU$64,MATCH($F700,사건마스터!$A$5:$A$64,0)),""))</f>
        <v/>
      </c>
      <c r="Y700" s="35">
        <f>IF($F700="","",IFERROR(INDEX(사건마스터!$AV$5:$AV$64,MATCH($F700,사건마스터!$A$5:$A$64,0)),""))</f>
        <v/>
      </c>
      <c r="Z700" s="30">
        <f>IF(COUNTBLANK($J700:$Y700)=16,"",16-COUNTBLANK($J700:$Y700))</f>
        <v/>
      </c>
      <c r="AA700" s="33">
        <f>IF($J700="",MID($AX700,3,255),$J700&amp;$AX700)</f>
        <v/>
      </c>
      <c r="AB700" s="34">
        <f>IF($J700="","",IFERROR(INDEX(코드설정!$D$5:$D$24,MATCH($J700,코드설정!$C$5:$C$24,0)),""))</f>
        <v/>
      </c>
      <c r="AC700" s="36" t="n"/>
      <c r="AD700" s="37" t="n"/>
      <c r="AE700" s="38" t="n"/>
      <c r="AF700" s="30">
        <f>IF(OR($B700="",$C700=""),"",$C700-$B700+1)</f>
        <v/>
      </c>
      <c r="AG700" s="32" t="n"/>
      <c r="AH700" s="36" t="n"/>
      <c r="AJ700">
        <f>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  <c r="AX700">
        <f>AW700&amp;IF($Y700="","",", "&amp;$Y700)</f>
        <v/>
      </c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0">
        <f>IF($F701="","",COUNTIF($F$5:$F701,$F701))</f>
        <v/>
      </c>
      <c r="H701" s="33">
        <f>IF($F701="","",IFERROR(INDEX(사건마스터!$B$5:$B$64,MATCH($F701,사건마스터!$A$5:$A$64,0)),""))</f>
        <v/>
      </c>
      <c r="I701" s="34">
        <f>IF($F701="","",IFERROR(INDEX(사건마스터!$C$5:$C$64,MATCH($F701,사건마스터!$A$5:$A$64,0)),""))</f>
        <v/>
      </c>
      <c r="J701" s="35">
        <f>IF($F701="","",IFERROR(INDEX(사건마스터!$H$5:$H$64,MATCH($F701,사건마스터!$A$5:$A$64,0)),""))</f>
        <v/>
      </c>
      <c r="K701" s="35">
        <f>IF($F701="","",IFERROR(INDEX(사건마스터!$AH$5:$AH$64,MATCH($F701,사건마스터!$A$5:$A$64,0)),""))</f>
        <v/>
      </c>
      <c r="L701" s="35">
        <f>IF($F701="","",IFERROR(INDEX(사건마스터!$AI$5:$AI$64,MATCH($F701,사건마스터!$A$5:$A$64,0)),""))</f>
        <v/>
      </c>
      <c r="M701" s="35">
        <f>IF($F701="","",IFERROR(INDEX(사건마스터!$AJ$5:$AJ$64,MATCH($F701,사건마스터!$A$5:$A$64,0)),""))</f>
        <v/>
      </c>
      <c r="N701" s="35">
        <f>IF($F701="","",IFERROR(INDEX(사건마스터!$AK$5:$AK$64,MATCH($F701,사건마스터!$A$5:$A$64,0)),""))</f>
        <v/>
      </c>
      <c r="O701" s="35">
        <f>IF($F701="","",IFERROR(INDEX(사건마스터!$AL$5:$AL$64,MATCH($F701,사건마스터!$A$5:$A$64,0)),""))</f>
        <v/>
      </c>
      <c r="P701" s="35">
        <f>IF($F701="","",IFERROR(INDEX(사건마스터!$AM$5:$AM$64,MATCH($F701,사건마스터!$A$5:$A$64,0)),""))</f>
        <v/>
      </c>
      <c r="Q701" s="35">
        <f>IF($F701="","",IFERROR(INDEX(사건마스터!$AN$5:$AN$64,MATCH($F701,사건마스터!$A$5:$A$64,0)),""))</f>
        <v/>
      </c>
      <c r="R701" s="35">
        <f>IF($F701="","",IFERROR(INDEX(사건마스터!$AO$5:$AO$64,MATCH($F701,사건마스터!$A$5:$A$64,0)),""))</f>
        <v/>
      </c>
      <c r="S701" s="35">
        <f>IF($F701="","",IFERROR(INDEX(사건마스터!$AP$5:$AP$64,MATCH($F701,사건마스터!$A$5:$A$64,0)),""))</f>
        <v/>
      </c>
      <c r="T701" s="35">
        <f>IF($F701="","",IFERROR(INDEX(사건마스터!$AQ$5:$AQ$64,MATCH($F701,사건마스터!$A$5:$A$64,0)),""))</f>
        <v/>
      </c>
      <c r="U701" s="35">
        <f>IF($F701="","",IFERROR(INDEX(사건마스터!$AR$5:$AR$64,MATCH($F701,사건마스터!$A$5:$A$64,0)),""))</f>
        <v/>
      </c>
      <c r="V701" s="35">
        <f>IF($F701="","",IFERROR(INDEX(사건마스터!$AS$5:$AS$64,MATCH($F701,사건마스터!$A$5:$A$64,0)),""))</f>
        <v/>
      </c>
      <c r="W701" s="35">
        <f>IF($F701="","",IFERROR(INDEX(사건마스터!$AT$5:$AT$64,MATCH($F701,사건마스터!$A$5:$A$64,0)),""))</f>
        <v/>
      </c>
      <c r="X701" s="35">
        <f>IF($F701="","",IFERROR(INDEX(사건마스터!$AU$5:$AU$64,MATCH($F701,사건마스터!$A$5:$A$64,0)),""))</f>
        <v/>
      </c>
      <c r="Y701" s="35">
        <f>IF($F701="","",IFERROR(INDEX(사건마스터!$AV$5:$AV$64,MATCH($F701,사건마스터!$A$5:$A$64,0)),""))</f>
        <v/>
      </c>
      <c r="Z701" s="30">
        <f>IF(COUNTBLANK($J701:$Y701)=16,"",16-COUNTBLANK($J701:$Y701))</f>
        <v/>
      </c>
      <c r="AA701" s="33">
        <f>IF($J701="",MID($AX701,3,255),$J701&amp;$AX701)</f>
        <v/>
      </c>
      <c r="AB701" s="34">
        <f>IF($J701="","",IFERROR(INDEX(코드설정!$D$5:$D$24,MATCH($J701,코드설정!$C$5:$C$24,0)),""))</f>
        <v/>
      </c>
      <c r="AC701" s="36" t="n"/>
      <c r="AD701" s="37" t="n"/>
      <c r="AE701" s="38" t="n"/>
      <c r="AF701" s="30">
        <f>IF(OR($B701="",$C701=""),"",$C701-$B701+1)</f>
        <v/>
      </c>
      <c r="AG701" s="32" t="n"/>
      <c r="AH701" s="36" t="n"/>
      <c r="AJ701">
        <f>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  <c r="AX701">
        <f>AW701&amp;IF($Y701="","",", "&amp;$Y701)</f>
        <v/>
      </c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0">
        <f>IF($F702="","",COUNTIF($F$5:$F702,$F702))</f>
        <v/>
      </c>
      <c r="H702" s="33">
        <f>IF($F702="","",IFERROR(INDEX(사건마스터!$B$5:$B$64,MATCH($F702,사건마스터!$A$5:$A$64,0)),""))</f>
        <v/>
      </c>
      <c r="I702" s="34">
        <f>IF($F702="","",IFERROR(INDEX(사건마스터!$C$5:$C$64,MATCH($F702,사건마스터!$A$5:$A$64,0)),""))</f>
        <v/>
      </c>
      <c r="J702" s="35">
        <f>IF($F702="","",IFERROR(INDEX(사건마스터!$H$5:$H$64,MATCH($F702,사건마스터!$A$5:$A$64,0)),""))</f>
        <v/>
      </c>
      <c r="K702" s="35">
        <f>IF($F702="","",IFERROR(INDEX(사건마스터!$AH$5:$AH$64,MATCH($F702,사건마스터!$A$5:$A$64,0)),""))</f>
        <v/>
      </c>
      <c r="L702" s="35">
        <f>IF($F702="","",IFERROR(INDEX(사건마스터!$AI$5:$AI$64,MATCH($F702,사건마스터!$A$5:$A$64,0)),""))</f>
        <v/>
      </c>
      <c r="M702" s="35">
        <f>IF($F702="","",IFERROR(INDEX(사건마스터!$AJ$5:$AJ$64,MATCH($F702,사건마스터!$A$5:$A$64,0)),""))</f>
        <v/>
      </c>
      <c r="N702" s="35">
        <f>IF($F702="","",IFERROR(INDEX(사건마스터!$AK$5:$AK$64,MATCH($F702,사건마스터!$A$5:$A$64,0)),""))</f>
        <v/>
      </c>
      <c r="O702" s="35">
        <f>IF($F702="","",IFERROR(INDEX(사건마스터!$AL$5:$AL$64,MATCH($F702,사건마스터!$A$5:$A$64,0)),""))</f>
        <v/>
      </c>
      <c r="P702" s="35">
        <f>IF($F702="","",IFERROR(INDEX(사건마스터!$AM$5:$AM$64,MATCH($F702,사건마스터!$A$5:$A$64,0)),""))</f>
        <v/>
      </c>
      <c r="Q702" s="35">
        <f>IF($F702="","",IFERROR(INDEX(사건마스터!$AN$5:$AN$64,MATCH($F702,사건마스터!$A$5:$A$64,0)),""))</f>
        <v/>
      </c>
      <c r="R702" s="35">
        <f>IF($F702="","",IFERROR(INDEX(사건마스터!$AO$5:$AO$64,MATCH($F702,사건마스터!$A$5:$A$64,0)),""))</f>
        <v/>
      </c>
      <c r="S702" s="35">
        <f>IF($F702="","",IFERROR(INDEX(사건마스터!$AP$5:$AP$64,MATCH($F702,사건마스터!$A$5:$A$64,0)),""))</f>
        <v/>
      </c>
      <c r="T702" s="35">
        <f>IF($F702="","",IFERROR(INDEX(사건마스터!$AQ$5:$AQ$64,MATCH($F702,사건마스터!$A$5:$A$64,0)),""))</f>
        <v/>
      </c>
      <c r="U702" s="35">
        <f>IF($F702="","",IFERROR(INDEX(사건마스터!$AR$5:$AR$64,MATCH($F702,사건마스터!$A$5:$A$64,0)),""))</f>
        <v/>
      </c>
      <c r="V702" s="35">
        <f>IF($F702="","",IFERROR(INDEX(사건마스터!$AS$5:$AS$64,MATCH($F702,사건마스터!$A$5:$A$64,0)),""))</f>
        <v/>
      </c>
      <c r="W702" s="35">
        <f>IF($F702="","",IFERROR(INDEX(사건마스터!$AT$5:$AT$64,MATCH($F702,사건마스터!$A$5:$A$64,0)),""))</f>
        <v/>
      </c>
      <c r="X702" s="35">
        <f>IF($F702="","",IFERROR(INDEX(사건마스터!$AU$5:$AU$64,MATCH($F702,사건마스터!$A$5:$A$64,0)),""))</f>
        <v/>
      </c>
      <c r="Y702" s="35">
        <f>IF($F702="","",IFERROR(INDEX(사건마스터!$AV$5:$AV$64,MATCH($F702,사건마스터!$A$5:$A$64,0)),""))</f>
        <v/>
      </c>
      <c r="Z702" s="30">
        <f>IF(COUNTBLANK($J702:$Y702)=16,"",16-COUNTBLANK($J702:$Y702))</f>
        <v/>
      </c>
      <c r="AA702" s="33">
        <f>IF($J702="",MID($AX702,3,255),$J702&amp;$AX702)</f>
        <v/>
      </c>
      <c r="AB702" s="34">
        <f>IF($J702="","",IFERROR(INDEX(코드설정!$D$5:$D$24,MATCH($J702,코드설정!$C$5:$C$24,0)),""))</f>
        <v/>
      </c>
      <c r="AC702" s="36" t="n"/>
      <c r="AD702" s="37" t="n"/>
      <c r="AE702" s="38" t="n"/>
      <c r="AF702" s="30">
        <f>IF(OR($B702="",$C702=""),"",$C702-$B702+1)</f>
        <v/>
      </c>
      <c r="AG702" s="32" t="n"/>
      <c r="AH702" s="36" t="n"/>
      <c r="AJ702">
        <f>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  <c r="AX702">
        <f>AW702&amp;IF($Y702="","",", "&amp;$Y702)</f>
        <v/>
      </c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0">
        <f>IF($F703="","",COUNTIF($F$5:$F703,$F703))</f>
        <v/>
      </c>
      <c r="H703" s="33">
        <f>IF($F703="","",IFERROR(INDEX(사건마스터!$B$5:$B$64,MATCH($F703,사건마스터!$A$5:$A$64,0)),""))</f>
        <v/>
      </c>
      <c r="I703" s="34">
        <f>IF($F703="","",IFERROR(INDEX(사건마스터!$C$5:$C$64,MATCH($F703,사건마스터!$A$5:$A$64,0)),""))</f>
        <v/>
      </c>
      <c r="J703" s="35">
        <f>IF($F703="","",IFERROR(INDEX(사건마스터!$H$5:$H$64,MATCH($F703,사건마스터!$A$5:$A$64,0)),""))</f>
        <v/>
      </c>
      <c r="K703" s="35">
        <f>IF($F703="","",IFERROR(INDEX(사건마스터!$AH$5:$AH$64,MATCH($F703,사건마스터!$A$5:$A$64,0)),""))</f>
        <v/>
      </c>
      <c r="L703" s="35">
        <f>IF($F703="","",IFERROR(INDEX(사건마스터!$AI$5:$AI$64,MATCH($F703,사건마스터!$A$5:$A$64,0)),""))</f>
        <v/>
      </c>
      <c r="M703" s="35">
        <f>IF($F703="","",IFERROR(INDEX(사건마스터!$AJ$5:$AJ$64,MATCH($F703,사건마스터!$A$5:$A$64,0)),""))</f>
        <v/>
      </c>
      <c r="N703" s="35">
        <f>IF($F703="","",IFERROR(INDEX(사건마스터!$AK$5:$AK$64,MATCH($F703,사건마스터!$A$5:$A$64,0)),""))</f>
        <v/>
      </c>
      <c r="O703" s="35">
        <f>IF($F703="","",IFERROR(INDEX(사건마스터!$AL$5:$AL$64,MATCH($F703,사건마스터!$A$5:$A$64,0)),""))</f>
        <v/>
      </c>
      <c r="P703" s="35">
        <f>IF($F703="","",IFERROR(INDEX(사건마스터!$AM$5:$AM$64,MATCH($F703,사건마스터!$A$5:$A$64,0)),""))</f>
        <v/>
      </c>
      <c r="Q703" s="35">
        <f>IF($F703="","",IFERROR(INDEX(사건마스터!$AN$5:$AN$64,MATCH($F703,사건마스터!$A$5:$A$64,0)),""))</f>
        <v/>
      </c>
      <c r="R703" s="35">
        <f>IF($F703="","",IFERROR(INDEX(사건마스터!$AO$5:$AO$64,MATCH($F703,사건마스터!$A$5:$A$64,0)),""))</f>
        <v/>
      </c>
      <c r="S703" s="35">
        <f>IF($F703="","",IFERROR(INDEX(사건마스터!$AP$5:$AP$64,MATCH($F703,사건마스터!$A$5:$A$64,0)),""))</f>
        <v/>
      </c>
      <c r="T703" s="35">
        <f>IF($F703="","",IFERROR(INDEX(사건마스터!$AQ$5:$AQ$64,MATCH($F703,사건마스터!$A$5:$A$64,0)),""))</f>
        <v/>
      </c>
      <c r="U703" s="35">
        <f>IF($F703="","",IFERROR(INDEX(사건마스터!$AR$5:$AR$64,MATCH($F703,사건마스터!$A$5:$A$64,0)),""))</f>
        <v/>
      </c>
      <c r="V703" s="35">
        <f>IF($F703="","",IFERROR(INDEX(사건마스터!$AS$5:$AS$64,MATCH($F703,사건마스터!$A$5:$A$64,0)),""))</f>
        <v/>
      </c>
      <c r="W703" s="35">
        <f>IF($F703="","",IFERROR(INDEX(사건마스터!$AT$5:$AT$64,MATCH($F703,사건마스터!$A$5:$A$64,0)),""))</f>
        <v/>
      </c>
      <c r="X703" s="35">
        <f>IF($F703="","",IFERROR(INDEX(사건마스터!$AU$5:$AU$64,MATCH($F703,사건마스터!$A$5:$A$64,0)),""))</f>
        <v/>
      </c>
      <c r="Y703" s="35">
        <f>IF($F703="","",IFERROR(INDEX(사건마스터!$AV$5:$AV$64,MATCH($F703,사건마스터!$A$5:$A$64,0)),""))</f>
        <v/>
      </c>
      <c r="Z703" s="30">
        <f>IF(COUNTBLANK($J703:$Y703)=16,"",16-COUNTBLANK($J703:$Y703))</f>
        <v/>
      </c>
      <c r="AA703" s="33">
        <f>IF($J703="",MID($AX703,3,255),$J703&amp;$AX703)</f>
        <v/>
      </c>
      <c r="AB703" s="34">
        <f>IF($J703="","",IFERROR(INDEX(코드설정!$D$5:$D$24,MATCH($J703,코드설정!$C$5:$C$24,0)),""))</f>
        <v/>
      </c>
      <c r="AC703" s="36" t="n"/>
      <c r="AD703" s="37" t="n"/>
      <c r="AE703" s="38" t="n"/>
      <c r="AF703" s="30">
        <f>IF(OR($B703="",$C703=""),"",$C703-$B703+1)</f>
        <v/>
      </c>
      <c r="AG703" s="32" t="n"/>
      <c r="AH703" s="36" t="n"/>
      <c r="AJ703">
        <f>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  <c r="AX703">
        <f>AW703&amp;IF($Y703="","",", "&amp;$Y703)</f>
        <v/>
      </c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0">
        <f>IF($F704="","",COUNTIF($F$5:$F704,$F704))</f>
        <v/>
      </c>
      <c r="H704" s="33">
        <f>IF($F704="","",IFERROR(INDEX(사건마스터!$B$5:$B$64,MATCH($F704,사건마스터!$A$5:$A$64,0)),""))</f>
        <v/>
      </c>
      <c r="I704" s="34">
        <f>IF($F704="","",IFERROR(INDEX(사건마스터!$C$5:$C$64,MATCH($F704,사건마스터!$A$5:$A$64,0)),""))</f>
        <v/>
      </c>
      <c r="J704" s="35">
        <f>IF($F704="","",IFERROR(INDEX(사건마스터!$H$5:$H$64,MATCH($F704,사건마스터!$A$5:$A$64,0)),""))</f>
        <v/>
      </c>
      <c r="K704" s="35">
        <f>IF($F704="","",IFERROR(INDEX(사건마스터!$AH$5:$AH$64,MATCH($F704,사건마스터!$A$5:$A$64,0)),""))</f>
        <v/>
      </c>
      <c r="L704" s="35">
        <f>IF($F704="","",IFERROR(INDEX(사건마스터!$AI$5:$AI$64,MATCH($F704,사건마스터!$A$5:$A$64,0)),""))</f>
        <v/>
      </c>
      <c r="M704" s="35">
        <f>IF($F704="","",IFERROR(INDEX(사건마스터!$AJ$5:$AJ$64,MATCH($F704,사건마스터!$A$5:$A$64,0)),""))</f>
        <v/>
      </c>
      <c r="N704" s="35">
        <f>IF($F704="","",IFERROR(INDEX(사건마스터!$AK$5:$AK$64,MATCH($F704,사건마스터!$A$5:$A$64,0)),""))</f>
        <v/>
      </c>
      <c r="O704" s="35">
        <f>IF($F704="","",IFERROR(INDEX(사건마스터!$AL$5:$AL$64,MATCH($F704,사건마스터!$A$5:$A$64,0)),""))</f>
        <v/>
      </c>
      <c r="P704" s="35">
        <f>IF($F704="","",IFERROR(INDEX(사건마스터!$AM$5:$AM$64,MATCH($F704,사건마스터!$A$5:$A$64,0)),""))</f>
        <v/>
      </c>
      <c r="Q704" s="35">
        <f>IF($F704="","",IFERROR(INDEX(사건마스터!$AN$5:$AN$64,MATCH($F704,사건마스터!$A$5:$A$64,0)),""))</f>
        <v/>
      </c>
      <c r="R704" s="35">
        <f>IF($F704="","",IFERROR(INDEX(사건마스터!$AO$5:$AO$64,MATCH($F704,사건마스터!$A$5:$A$64,0)),""))</f>
        <v/>
      </c>
      <c r="S704" s="35">
        <f>IF($F704="","",IFERROR(INDEX(사건마스터!$AP$5:$AP$64,MATCH($F704,사건마스터!$A$5:$A$64,0)),""))</f>
        <v/>
      </c>
      <c r="T704" s="35">
        <f>IF($F704="","",IFERROR(INDEX(사건마스터!$AQ$5:$AQ$64,MATCH($F704,사건마스터!$A$5:$A$64,0)),""))</f>
        <v/>
      </c>
      <c r="U704" s="35">
        <f>IF($F704="","",IFERROR(INDEX(사건마스터!$AR$5:$AR$64,MATCH($F704,사건마스터!$A$5:$A$64,0)),""))</f>
        <v/>
      </c>
      <c r="V704" s="35">
        <f>IF($F704="","",IFERROR(INDEX(사건마스터!$AS$5:$AS$64,MATCH($F704,사건마스터!$A$5:$A$64,0)),""))</f>
        <v/>
      </c>
      <c r="W704" s="35">
        <f>IF($F704="","",IFERROR(INDEX(사건마스터!$AT$5:$AT$64,MATCH($F704,사건마스터!$A$5:$A$64,0)),""))</f>
        <v/>
      </c>
      <c r="X704" s="35">
        <f>IF($F704="","",IFERROR(INDEX(사건마스터!$AU$5:$AU$64,MATCH($F704,사건마스터!$A$5:$A$64,0)),""))</f>
        <v/>
      </c>
      <c r="Y704" s="35">
        <f>IF($F704="","",IFERROR(INDEX(사건마스터!$AV$5:$AV$64,MATCH($F704,사건마스터!$A$5:$A$64,0)),""))</f>
        <v/>
      </c>
      <c r="Z704" s="30">
        <f>IF(COUNTBLANK($J704:$Y704)=16,"",16-COUNTBLANK($J704:$Y704))</f>
        <v/>
      </c>
      <c r="AA704" s="33">
        <f>IF($J704="",MID($AX704,3,255),$J704&amp;$AX704)</f>
        <v/>
      </c>
      <c r="AB704" s="34">
        <f>IF($J704="","",IFERROR(INDEX(코드설정!$D$5:$D$24,MATCH($J704,코드설정!$C$5:$C$24,0)),""))</f>
        <v/>
      </c>
      <c r="AC704" s="36" t="n"/>
      <c r="AD704" s="37" t="n"/>
      <c r="AE704" s="38" t="n"/>
      <c r="AF704" s="30">
        <f>IF(OR($B704="",$C704=""),"",$C704-$B704+1)</f>
        <v/>
      </c>
      <c r="AG704" s="32" t="n"/>
      <c r="AH704" s="36" t="n"/>
      <c r="AJ704">
        <f>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  <c r="AX704">
        <f>AW704&amp;IF($Y704="","",", "&amp;$Y704)</f>
        <v/>
      </c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0">
        <f>IF($F705="","",COUNTIF($F$5:$F705,$F705))</f>
        <v/>
      </c>
      <c r="H705" s="33">
        <f>IF($F705="","",IFERROR(INDEX(사건마스터!$B$5:$B$64,MATCH($F705,사건마스터!$A$5:$A$64,0)),""))</f>
        <v/>
      </c>
      <c r="I705" s="34">
        <f>IF($F705="","",IFERROR(INDEX(사건마스터!$C$5:$C$64,MATCH($F705,사건마스터!$A$5:$A$64,0)),""))</f>
        <v/>
      </c>
      <c r="J705" s="35">
        <f>IF($F705="","",IFERROR(INDEX(사건마스터!$H$5:$H$64,MATCH($F705,사건마스터!$A$5:$A$64,0)),""))</f>
        <v/>
      </c>
      <c r="K705" s="35">
        <f>IF($F705="","",IFERROR(INDEX(사건마스터!$AH$5:$AH$64,MATCH($F705,사건마스터!$A$5:$A$64,0)),""))</f>
        <v/>
      </c>
      <c r="L705" s="35">
        <f>IF($F705="","",IFERROR(INDEX(사건마스터!$AI$5:$AI$64,MATCH($F705,사건마스터!$A$5:$A$64,0)),""))</f>
        <v/>
      </c>
      <c r="M705" s="35">
        <f>IF($F705="","",IFERROR(INDEX(사건마스터!$AJ$5:$AJ$64,MATCH($F705,사건마스터!$A$5:$A$64,0)),""))</f>
        <v/>
      </c>
      <c r="N705" s="35">
        <f>IF($F705="","",IFERROR(INDEX(사건마스터!$AK$5:$AK$64,MATCH($F705,사건마스터!$A$5:$A$64,0)),""))</f>
        <v/>
      </c>
      <c r="O705" s="35">
        <f>IF($F705="","",IFERROR(INDEX(사건마스터!$AL$5:$AL$64,MATCH($F705,사건마스터!$A$5:$A$64,0)),""))</f>
        <v/>
      </c>
      <c r="P705" s="35">
        <f>IF($F705="","",IFERROR(INDEX(사건마스터!$AM$5:$AM$64,MATCH($F705,사건마스터!$A$5:$A$64,0)),""))</f>
        <v/>
      </c>
      <c r="Q705" s="35">
        <f>IF($F705="","",IFERROR(INDEX(사건마스터!$AN$5:$AN$64,MATCH($F705,사건마스터!$A$5:$A$64,0)),""))</f>
        <v/>
      </c>
      <c r="R705" s="35">
        <f>IF($F705="","",IFERROR(INDEX(사건마스터!$AO$5:$AO$64,MATCH($F705,사건마스터!$A$5:$A$64,0)),""))</f>
        <v/>
      </c>
      <c r="S705" s="35">
        <f>IF($F705="","",IFERROR(INDEX(사건마스터!$AP$5:$AP$64,MATCH($F705,사건마스터!$A$5:$A$64,0)),""))</f>
        <v/>
      </c>
      <c r="T705" s="35">
        <f>IF($F705="","",IFERROR(INDEX(사건마스터!$AQ$5:$AQ$64,MATCH($F705,사건마스터!$A$5:$A$64,0)),""))</f>
        <v/>
      </c>
      <c r="U705" s="35">
        <f>IF($F705="","",IFERROR(INDEX(사건마스터!$AR$5:$AR$64,MATCH($F705,사건마스터!$A$5:$A$64,0)),""))</f>
        <v/>
      </c>
      <c r="V705" s="35">
        <f>IF($F705="","",IFERROR(INDEX(사건마스터!$AS$5:$AS$64,MATCH($F705,사건마스터!$A$5:$A$64,0)),""))</f>
        <v/>
      </c>
      <c r="W705" s="35">
        <f>IF($F705="","",IFERROR(INDEX(사건마스터!$AT$5:$AT$64,MATCH($F705,사건마스터!$A$5:$A$64,0)),""))</f>
        <v/>
      </c>
      <c r="X705" s="35">
        <f>IF($F705="","",IFERROR(INDEX(사건마스터!$AU$5:$AU$64,MATCH($F705,사건마스터!$A$5:$A$64,0)),""))</f>
        <v/>
      </c>
      <c r="Y705" s="35">
        <f>IF($F705="","",IFERROR(INDEX(사건마스터!$AV$5:$AV$64,MATCH($F705,사건마스터!$A$5:$A$64,0)),""))</f>
        <v/>
      </c>
      <c r="Z705" s="30">
        <f>IF(COUNTBLANK($J705:$Y705)=16,"",16-COUNTBLANK($J705:$Y705))</f>
        <v/>
      </c>
      <c r="AA705" s="33">
        <f>IF($J705="",MID($AX705,3,255),$J705&amp;$AX705)</f>
        <v/>
      </c>
      <c r="AB705" s="34">
        <f>IF($J705="","",IFERROR(INDEX(코드설정!$D$5:$D$24,MATCH($J705,코드설정!$C$5:$C$24,0)),""))</f>
        <v/>
      </c>
      <c r="AC705" s="36" t="n"/>
      <c r="AD705" s="37" t="n"/>
      <c r="AE705" s="38" t="n"/>
      <c r="AF705" s="30">
        <f>IF(OR($B705="",$C705=""),"",$C705-$B705+1)</f>
        <v/>
      </c>
      <c r="AG705" s="32" t="n"/>
      <c r="AH705" s="36" t="n"/>
      <c r="AJ705">
        <f>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  <c r="AX705">
        <f>AW705&amp;IF($Y705="","",", "&amp;$Y705)</f>
        <v/>
      </c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0">
        <f>IF($F706="","",COUNTIF($F$5:$F706,$F706))</f>
        <v/>
      </c>
      <c r="H706" s="33">
        <f>IF($F706="","",IFERROR(INDEX(사건마스터!$B$5:$B$64,MATCH($F706,사건마스터!$A$5:$A$64,0)),""))</f>
        <v/>
      </c>
      <c r="I706" s="34">
        <f>IF($F706="","",IFERROR(INDEX(사건마스터!$C$5:$C$64,MATCH($F706,사건마스터!$A$5:$A$64,0)),""))</f>
        <v/>
      </c>
      <c r="J706" s="35">
        <f>IF($F706="","",IFERROR(INDEX(사건마스터!$H$5:$H$64,MATCH($F706,사건마스터!$A$5:$A$64,0)),""))</f>
        <v/>
      </c>
      <c r="K706" s="35">
        <f>IF($F706="","",IFERROR(INDEX(사건마스터!$AH$5:$AH$64,MATCH($F706,사건마스터!$A$5:$A$64,0)),""))</f>
        <v/>
      </c>
      <c r="L706" s="35">
        <f>IF($F706="","",IFERROR(INDEX(사건마스터!$AI$5:$AI$64,MATCH($F706,사건마스터!$A$5:$A$64,0)),""))</f>
        <v/>
      </c>
      <c r="M706" s="35">
        <f>IF($F706="","",IFERROR(INDEX(사건마스터!$AJ$5:$AJ$64,MATCH($F706,사건마스터!$A$5:$A$64,0)),""))</f>
        <v/>
      </c>
      <c r="N706" s="35">
        <f>IF($F706="","",IFERROR(INDEX(사건마스터!$AK$5:$AK$64,MATCH($F706,사건마스터!$A$5:$A$64,0)),""))</f>
        <v/>
      </c>
      <c r="O706" s="35">
        <f>IF($F706="","",IFERROR(INDEX(사건마스터!$AL$5:$AL$64,MATCH($F706,사건마스터!$A$5:$A$64,0)),""))</f>
        <v/>
      </c>
      <c r="P706" s="35">
        <f>IF($F706="","",IFERROR(INDEX(사건마스터!$AM$5:$AM$64,MATCH($F706,사건마스터!$A$5:$A$64,0)),""))</f>
        <v/>
      </c>
      <c r="Q706" s="35">
        <f>IF($F706="","",IFERROR(INDEX(사건마스터!$AN$5:$AN$64,MATCH($F706,사건마스터!$A$5:$A$64,0)),""))</f>
        <v/>
      </c>
      <c r="R706" s="35">
        <f>IF($F706="","",IFERROR(INDEX(사건마스터!$AO$5:$AO$64,MATCH($F706,사건마스터!$A$5:$A$64,0)),""))</f>
        <v/>
      </c>
      <c r="S706" s="35">
        <f>IF($F706="","",IFERROR(INDEX(사건마스터!$AP$5:$AP$64,MATCH($F706,사건마스터!$A$5:$A$64,0)),""))</f>
        <v/>
      </c>
      <c r="T706" s="35">
        <f>IF($F706="","",IFERROR(INDEX(사건마스터!$AQ$5:$AQ$64,MATCH($F706,사건마스터!$A$5:$A$64,0)),""))</f>
        <v/>
      </c>
      <c r="U706" s="35">
        <f>IF($F706="","",IFERROR(INDEX(사건마스터!$AR$5:$AR$64,MATCH($F706,사건마스터!$A$5:$A$64,0)),""))</f>
        <v/>
      </c>
      <c r="V706" s="35">
        <f>IF($F706="","",IFERROR(INDEX(사건마스터!$AS$5:$AS$64,MATCH($F706,사건마스터!$A$5:$A$64,0)),""))</f>
        <v/>
      </c>
      <c r="W706" s="35">
        <f>IF($F706="","",IFERROR(INDEX(사건마스터!$AT$5:$AT$64,MATCH($F706,사건마스터!$A$5:$A$64,0)),""))</f>
        <v/>
      </c>
      <c r="X706" s="35">
        <f>IF($F706="","",IFERROR(INDEX(사건마스터!$AU$5:$AU$64,MATCH($F706,사건마스터!$A$5:$A$64,0)),""))</f>
        <v/>
      </c>
      <c r="Y706" s="35">
        <f>IF($F706="","",IFERROR(INDEX(사건마스터!$AV$5:$AV$64,MATCH($F706,사건마스터!$A$5:$A$64,0)),""))</f>
        <v/>
      </c>
      <c r="Z706" s="30">
        <f>IF(COUNTBLANK($J706:$Y706)=16,"",16-COUNTBLANK($J706:$Y706))</f>
        <v/>
      </c>
      <c r="AA706" s="33">
        <f>IF($J706="",MID($AX706,3,255),$J706&amp;$AX706)</f>
        <v/>
      </c>
      <c r="AB706" s="34">
        <f>IF($J706="","",IFERROR(INDEX(코드설정!$D$5:$D$24,MATCH($J706,코드설정!$C$5:$C$24,0)),""))</f>
        <v/>
      </c>
      <c r="AC706" s="36" t="n"/>
      <c r="AD706" s="37" t="n"/>
      <c r="AE706" s="38" t="n"/>
      <c r="AF706" s="30">
        <f>IF(OR($B706="",$C706=""),"",$C706-$B706+1)</f>
        <v/>
      </c>
      <c r="AG706" s="32" t="n"/>
      <c r="AH706" s="36" t="n"/>
      <c r="AJ706">
        <f>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  <c r="AX706">
        <f>AW706&amp;IF($Y706="","",", "&amp;$Y706)</f>
        <v/>
      </c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0">
        <f>IF($F707="","",COUNTIF($F$5:$F707,$F707))</f>
        <v/>
      </c>
      <c r="H707" s="33">
        <f>IF($F707="","",IFERROR(INDEX(사건마스터!$B$5:$B$64,MATCH($F707,사건마스터!$A$5:$A$64,0)),""))</f>
        <v/>
      </c>
      <c r="I707" s="34">
        <f>IF($F707="","",IFERROR(INDEX(사건마스터!$C$5:$C$64,MATCH($F707,사건마스터!$A$5:$A$64,0)),""))</f>
        <v/>
      </c>
      <c r="J707" s="35">
        <f>IF($F707="","",IFERROR(INDEX(사건마스터!$H$5:$H$64,MATCH($F707,사건마스터!$A$5:$A$64,0)),""))</f>
        <v/>
      </c>
      <c r="K707" s="35">
        <f>IF($F707="","",IFERROR(INDEX(사건마스터!$AH$5:$AH$64,MATCH($F707,사건마스터!$A$5:$A$64,0)),""))</f>
        <v/>
      </c>
      <c r="L707" s="35">
        <f>IF($F707="","",IFERROR(INDEX(사건마스터!$AI$5:$AI$64,MATCH($F707,사건마스터!$A$5:$A$64,0)),""))</f>
        <v/>
      </c>
      <c r="M707" s="35">
        <f>IF($F707="","",IFERROR(INDEX(사건마스터!$AJ$5:$AJ$64,MATCH($F707,사건마스터!$A$5:$A$64,0)),""))</f>
        <v/>
      </c>
      <c r="N707" s="35">
        <f>IF($F707="","",IFERROR(INDEX(사건마스터!$AK$5:$AK$64,MATCH($F707,사건마스터!$A$5:$A$64,0)),""))</f>
        <v/>
      </c>
      <c r="O707" s="35">
        <f>IF($F707="","",IFERROR(INDEX(사건마스터!$AL$5:$AL$64,MATCH($F707,사건마스터!$A$5:$A$64,0)),""))</f>
        <v/>
      </c>
      <c r="P707" s="35">
        <f>IF($F707="","",IFERROR(INDEX(사건마스터!$AM$5:$AM$64,MATCH($F707,사건마스터!$A$5:$A$64,0)),""))</f>
        <v/>
      </c>
      <c r="Q707" s="35">
        <f>IF($F707="","",IFERROR(INDEX(사건마스터!$AN$5:$AN$64,MATCH($F707,사건마스터!$A$5:$A$64,0)),""))</f>
        <v/>
      </c>
      <c r="R707" s="35">
        <f>IF($F707="","",IFERROR(INDEX(사건마스터!$AO$5:$AO$64,MATCH($F707,사건마스터!$A$5:$A$64,0)),""))</f>
        <v/>
      </c>
      <c r="S707" s="35">
        <f>IF($F707="","",IFERROR(INDEX(사건마스터!$AP$5:$AP$64,MATCH($F707,사건마스터!$A$5:$A$64,0)),""))</f>
        <v/>
      </c>
      <c r="T707" s="35">
        <f>IF($F707="","",IFERROR(INDEX(사건마스터!$AQ$5:$AQ$64,MATCH($F707,사건마스터!$A$5:$A$64,0)),""))</f>
        <v/>
      </c>
      <c r="U707" s="35">
        <f>IF($F707="","",IFERROR(INDEX(사건마스터!$AR$5:$AR$64,MATCH($F707,사건마스터!$A$5:$A$64,0)),""))</f>
        <v/>
      </c>
      <c r="V707" s="35">
        <f>IF($F707="","",IFERROR(INDEX(사건마스터!$AS$5:$AS$64,MATCH($F707,사건마스터!$A$5:$A$64,0)),""))</f>
        <v/>
      </c>
      <c r="W707" s="35">
        <f>IF($F707="","",IFERROR(INDEX(사건마스터!$AT$5:$AT$64,MATCH($F707,사건마스터!$A$5:$A$64,0)),""))</f>
        <v/>
      </c>
      <c r="X707" s="35">
        <f>IF($F707="","",IFERROR(INDEX(사건마스터!$AU$5:$AU$64,MATCH($F707,사건마스터!$A$5:$A$64,0)),""))</f>
        <v/>
      </c>
      <c r="Y707" s="35">
        <f>IF($F707="","",IFERROR(INDEX(사건마스터!$AV$5:$AV$64,MATCH($F707,사건마스터!$A$5:$A$64,0)),""))</f>
        <v/>
      </c>
      <c r="Z707" s="30">
        <f>IF(COUNTBLANK($J707:$Y707)=16,"",16-COUNTBLANK($J707:$Y707))</f>
        <v/>
      </c>
      <c r="AA707" s="33">
        <f>IF($J707="",MID($AX707,3,255),$J707&amp;$AX707)</f>
        <v/>
      </c>
      <c r="AB707" s="34">
        <f>IF($J707="","",IFERROR(INDEX(코드설정!$D$5:$D$24,MATCH($J707,코드설정!$C$5:$C$24,0)),""))</f>
        <v/>
      </c>
      <c r="AC707" s="36" t="n"/>
      <c r="AD707" s="37" t="n"/>
      <c r="AE707" s="38" t="n"/>
      <c r="AF707" s="30">
        <f>IF(OR($B707="",$C707=""),"",$C707-$B707+1)</f>
        <v/>
      </c>
      <c r="AG707" s="32" t="n"/>
      <c r="AH707" s="36" t="n"/>
      <c r="AJ707">
        <f>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  <c r="AX707">
        <f>AW707&amp;IF($Y707="","",", "&amp;$Y707)</f>
        <v/>
      </c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0">
        <f>IF($F708="","",COUNTIF($F$5:$F708,$F708))</f>
        <v/>
      </c>
      <c r="H708" s="33">
        <f>IF($F708="","",IFERROR(INDEX(사건마스터!$B$5:$B$64,MATCH($F708,사건마스터!$A$5:$A$64,0)),""))</f>
        <v/>
      </c>
      <c r="I708" s="34">
        <f>IF($F708="","",IFERROR(INDEX(사건마스터!$C$5:$C$64,MATCH($F708,사건마스터!$A$5:$A$64,0)),""))</f>
        <v/>
      </c>
      <c r="J708" s="35">
        <f>IF($F708="","",IFERROR(INDEX(사건마스터!$H$5:$H$64,MATCH($F708,사건마스터!$A$5:$A$64,0)),""))</f>
        <v/>
      </c>
      <c r="K708" s="35">
        <f>IF($F708="","",IFERROR(INDEX(사건마스터!$AH$5:$AH$64,MATCH($F708,사건마스터!$A$5:$A$64,0)),""))</f>
        <v/>
      </c>
      <c r="L708" s="35">
        <f>IF($F708="","",IFERROR(INDEX(사건마스터!$AI$5:$AI$64,MATCH($F708,사건마스터!$A$5:$A$64,0)),""))</f>
        <v/>
      </c>
      <c r="M708" s="35">
        <f>IF($F708="","",IFERROR(INDEX(사건마스터!$AJ$5:$AJ$64,MATCH($F708,사건마스터!$A$5:$A$64,0)),""))</f>
        <v/>
      </c>
      <c r="N708" s="35">
        <f>IF($F708="","",IFERROR(INDEX(사건마스터!$AK$5:$AK$64,MATCH($F708,사건마스터!$A$5:$A$64,0)),""))</f>
        <v/>
      </c>
      <c r="O708" s="35">
        <f>IF($F708="","",IFERROR(INDEX(사건마스터!$AL$5:$AL$64,MATCH($F708,사건마스터!$A$5:$A$64,0)),""))</f>
        <v/>
      </c>
      <c r="P708" s="35">
        <f>IF($F708="","",IFERROR(INDEX(사건마스터!$AM$5:$AM$64,MATCH($F708,사건마스터!$A$5:$A$64,0)),""))</f>
        <v/>
      </c>
      <c r="Q708" s="35">
        <f>IF($F708="","",IFERROR(INDEX(사건마스터!$AN$5:$AN$64,MATCH($F708,사건마스터!$A$5:$A$64,0)),""))</f>
        <v/>
      </c>
      <c r="R708" s="35">
        <f>IF($F708="","",IFERROR(INDEX(사건마스터!$AO$5:$AO$64,MATCH($F708,사건마스터!$A$5:$A$64,0)),""))</f>
        <v/>
      </c>
      <c r="S708" s="35">
        <f>IF($F708="","",IFERROR(INDEX(사건마스터!$AP$5:$AP$64,MATCH($F708,사건마스터!$A$5:$A$64,0)),""))</f>
        <v/>
      </c>
      <c r="T708" s="35">
        <f>IF($F708="","",IFERROR(INDEX(사건마스터!$AQ$5:$AQ$64,MATCH($F708,사건마스터!$A$5:$A$64,0)),""))</f>
        <v/>
      </c>
      <c r="U708" s="35">
        <f>IF($F708="","",IFERROR(INDEX(사건마스터!$AR$5:$AR$64,MATCH($F708,사건마스터!$A$5:$A$64,0)),""))</f>
        <v/>
      </c>
      <c r="V708" s="35">
        <f>IF($F708="","",IFERROR(INDEX(사건마스터!$AS$5:$AS$64,MATCH($F708,사건마스터!$A$5:$A$64,0)),""))</f>
        <v/>
      </c>
      <c r="W708" s="35">
        <f>IF($F708="","",IFERROR(INDEX(사건마스터!$AT$5:$AT$64,MATCH($F708,사건마스터!$A$5:$A$64,0)),""))</f>
        <v/>
      </c>
      <c r="X708" s="35">
        <f>IF($F708="","",IFERROR(INDEX(사건마스터!$AU$5:$AU$64,MATCH($F708,사건마스터!$A$5:$A$64,0)),""))</f>
        <v/>
      </c>
      <c r="Y708" s="35">
        <f>IF($F708="","",IFERROR(INDEX(사건마스터!$AV$5:$AV$64,MATCH($F708,사건마스터!$A$5:$A$64,0)),""))</f>
        <v/>
      </c>
      <c r="Z708" s="30">
        <f>IF(COUNTBLANK($J708:$Y708)=16,"",16-COUNTBLANK($J708:$Y708))</f>
        <v/>
      </c>
      <c r="AA708" s="33">
        <f>IF($J708="",MID($AX708,3,255),$J708&amp;$AX708)</f>
        <v/>
      </c>
      <c r="AB708" s="34">
        <f>IF($J708="","",IFERROR(INDEX(코드설정!$D$5:$D$24,MATCH($J708,코드설정!$C$5:$C$24,0)),""))</f>
        <v/>
      </c>
      <c r="AC708" s="36" t="n"/>
      <c r="AD708" s="37" t="n"/>
      <c r="AE708" s="38" t="n"/>
      <c r="AF708" s="30">
        <f>IF(OR($B708="",$C708=""),"",$C708-$B708+1)</f>
        <v/>
      </c>
      <c r="AG708" s="32" t="n"/>
      <c r="AH708" s="36" t="n"/>
      <c r="AJ708">
        <f>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  <c r="AX708">
        <f>AW708&amp;IF($Y708="","",", "&amp;$Y708)</f>
        <v/>
      </c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0">
        <f>IF($F709="","",COUNTIF($F$5:$F709,$F709))</f>
        <v/>
      </c>
      <c r="H709" s="33">
        <f>IF($F709="","",IFERROR(INDEX(사건마스터!$B$5:$B$64,MATCH($F709,사건마스터!$A$5:$A$64,0)),""))</f>
        <v/>
      </c>
      <c r="I709" s="34">
        <f>IF($F709="","",IFERROR(INDEX(사건마스터!$C$5:$C$64,MATCH($F709,사건마스터!$A$5:$A$64,0)),""))</f>
        <v/>
      </c>
      <c r="J709" s="35">
        <f>IF($F709="","",IFERROR(INDEX(사건마스터!$H$5:$H$64,MATCH($F709,사건마스터!$A$5:$A$64,0)),""))</f>
        <v/>
      </c>
      <c r="K709" s="35">
        <f>IF($F709="","",IFERROR(INDEX(사건마스터!$AH$5:$AH$64,MATCH($F709,사건마스터!$A$5:$A$64,0)),""))</f>
        <v/>
      </c>
      <c r="L709" s="35">
        <f>IF($F709="","",IFERROR(INDEX(사건마스터!$AI$5:$AI$64,MATCH($F709,사건마스터!$A$5:$A$64,0)),""))</f>
        <v/>
      </c>
      <c r="M709" s="35">
        <f>IF($F709="","",IFERROR(INDEX(사건마스터!$AJ$5:$AJ$64,MATCH($F709,사건마스터!$A$5:$A$64,0)),""))</f>
        <v/>
      </c>
      <c r="N709" s="35">
        <f>IF($F709="","",IFERROR(INDEX(사건마스터!$AK$5:$AK$64,MATCH($F709,사건마스터!$A$5:$A$64,0)),""))</f>
        <v/>
      </c>
      <c r="O709" s="35">
        <f>IF($F709="","",IFERROR(INDEX(사건마스터!$AL$5:$AL$64,MATCH($F709,사건마스터!$A$5:$A$64,0)),""))</f>
        <v/>
      </c>
      <c r="P709" s="35">
        <f>IF($F709="","",IFERROR(INDEX(사건마스터!$AM$5:$AM$64,MATCH($F709,사건마스터!$A$5:$A$64,0)),""))</f>
        <v/>
      </c>
      <c r="Q709" s="35">
        <f>IF($F709="","",IFERROR(INDEX(사건마스터!$AN$5:$AN$64,MATCH($F709,사건마스터!$A$5:$A$64,0)),""))</f>
        <v/>
      </c>
      <c r="R709" s="35">
        <f>IF($F709="","",IFERROR(INDEX(사건마스터!$AO$5:$AO$64,MATCH($F709,사건마스터!$A$5:$A$64,0)),""))</f>
        <v/>
      </c>
      <c r="S709" s="35">
        <f>IF($F709="","",IFERROR(INDEX(사건마스터!$AP$5:$AP$64,MATCH($F709,사건마스터!$A$5:$A$64,0)),""))</f>
        <v/>
      </c>
      <c r="T709" s="35">
        <f>IF($F709="","",IFERROR(INDEX(사건마스터!$AQ$5:$AQ$64,MATCH($F709,사건마스터!$A$5:$A$64,0)),""))</f>
        <v/>
      </c>
      <c r="U709" s="35">
        <f>IF($F709="","",IFERROR(INDEX(사건마스터!$AR$5:$AR$64,MATCH($F709,사건마스터!$A$5:$A$64,0)),""))</f>
        <v/>
      </c>
      <c r="V709" s="35">
        <f>IF($F709="","",IFERROR(INDEX(사건마스터!$AS$5:$AS$64,MATCH($F709,사건마스터!$A$5:$A$64,0)),""))</f>
        <v/>
      </c>
      <c r="W709" s="35">
        <f>IF($F709="","",IFERROR(INDEX(사건마스터!$AT$5:$AT$64,MATCH($F709,사건마스터!$A$5:$A$64,0)),""))</f>
        <v/>
      </c>
      <c r="X709" s="35">
        <f>IF($F709="","",IFERROR(INDEX(사건마스터!$AU$5:$AU$64,MATCH($F709,사건마스터!$A$5:$A$64,0)),""))</f>
        <v/>
      </c>
      <c r="Y709" s="35">
        <f>IF($F709="","",IFERROR(INDEX(사건마스터!$AV$5:$AV$64,MATCH($F709,사건마스터!$A$5:$A$64,0)),""))</f>
        <v/>
      </c>
      <c r="Z709" s="30">
        <f>IF(COUNTBLANK($J709:$Y709)=16,"",16-COUNTBLANK($J709:$Y709))</f>
        <v/>
      </c>
      <c r="AA709" s="33">
        <f>IF($J709="",MID($AX709,3,255),$J709&amp;$AX709)</f>
        <v/>
      </c>
      <c r="AB709" s="34">
        <f>IF($J709="","",IFERROR(INDEX(코드설정!$D$5:$D$24,MATCH($J709,코드설정!$C$5:$C$24,0)),""))</f>
        <v/>
      </c>
      <c r="AC709" s="36" t="n"/>
      <c r="AD709" s="37" t="n"/>
      <c r="AE709" s="38" t="n"/>
      <c r="AF709" s="30">
        <f>IF(OR($B709="",$C709=""),"",$C709-$B709+1)</f>
        <v/>
      </c>
      <c r="AG709" s="32" t="n"/>
      <c r="AH709" s="36" t="n"/>
      <c r="AJ709">
        <f>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  <c r="AX709">
        <f>AW709&amp;IF($Y709="","",", "&amp;$Y709)</f>
        <v/>
      </c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0">
        <f>IF($F710="","",COUNTIF($F$5:$F710,$F710))</f>
        <v/>
      </c>
      <c r="H710" s="33">
        <f>IF($F710="","",IFERROR(INDEX(사건마스터!$B$5:$B$64,MATCH($F710,사건마스터!$A$5:$A$64,0)),""))</f>
        <v/>
      </c>
      <c r="I710" s="34">
        <f>IF($F710="","",IFERROR(INDEX(사건마스터!$C$5:$C$64,MATCH($F710,사건마스터!$A$5:$A$64,0)),""))</f>
        <v/>
      </c>
      <c r="J710" s="35">
        <f>IF($F710="","",IFERROR(INDEX(사건마스터!$H$5:$H$64,MATCH($F710,사건마스터!$A$5:$A$64,0)),""))</f>
        <v/>
      </c>
      <c r="K710" s="35">
        <f>IF($F710="","",IFERROR(INDEX(사건마스터!$AH$5:$AH$64,MATCH($F710,사건마스터!$A$5:$A$64,0)),""))</f>
        <v/>
      </c>
      <c r="L710" s="35">
        <f>IF($F710="","",IFERROR(INDEX(사건마스터!$AI$5:$AI$64,MATCH($F710,사건마스터!$A$5:$A$64,0)),""))</f>
        <v/>
      </c>
      <c r="M710" s="35">
        <f>IF($F710="","",IFERROR(INDEX(사건마스터!$AJ$5:$AJ$64,MATCH($F710,사건마스터!$A$5:$A$64,0)),""))</f>
        <v/>
      </c>
      <c r="N710" s="35">
        <f>IF($F710="","",IFERROR(INDEX(사건마스터!$AK$5:$AK$64,MATCH($F710,사건마스터!$A$5:$A$64,0)),""))</f>
        <v/>
      </c>
      <c r="O710" s="35">
        <f>IF($F710="","",IFERROR(INDEX(사건마스터!$AL$5:$AL$64,MATCH($F710,사건마스터!$A$5:$A$64,0)),""))</f>
        <v/>
      </c>
      <c r="P710" s="35">
        <f>IF($F710="","",IFERROR(INDEX(사건마스터!$AM$5:$AM$64,MATCH($F710,사건마스터!$A$5:$A$64,0)),""))</f>
        <v/>
      </c>
      <c r="Q710" s="35">
        <f>IF($F710="","",IFERROR(INDEX(사건마스터!$AN$5:$AN$64,MATCH($F710,사건마스터!$A$5:$A$64,0)),""))</f>
        <v/>
      </c>
      <c r="R710" s="35">
        <f>IF($F710="","",IFERROR(INDEX(사건마스터!$AO$5:$AO$64,MATCH($F710,사건마스터!$A$5:$A$64,0)),""))</f>
        <v/>
      </c>
      <c r="S710" s="35">
        <f>IF($F710="","",IFERROR(INDEX(사건마스터!$AP$5:$AP$64,MATCH($F710,사건마스터!$A$5:$A$64,0)),""))</f>
        <v/>
      </c>
      <c r="T710" s="35">
        <f>IF($F710="","",IFERROR(INDEX(사건마스터!$AQ$5:$AQ$64,MATCH($F710,사건마스터!$A$5:$A$64,0)),""))</f>
        <v/>
      </c>
      <c r="U710" s="35">
        <f>IF($F710="","",IFERROR(INDEX(사건마스터!$AR$5:$AR$64,MATCH($F710,사건마스터!$A$5:$A$64,0)),""))</f>
        <v/>
      </c>
      <c r="V710" s="35">
        <f>IF($F710="","",IFERROR(INDEX(사건마스터!$AS$5:$AS$64,MATCH($F710,사건마스터!$A$5:$A$64,0)),""))</f>
        <v/>
      </c>
      <c r="W710" s="35">
        <f>IF($F710="","",IFERROR(INDEX(사건마스터!$AT$5:$AT$64,MATCH($F710,사건마스터!$A$5:$A$64,0)),""))</f>
        <v/>
      </c>
      <c r="X710" s="35">
        <f>IF($F710="","",IFERROR(INDEX(사건마스터!$AU$5:$AU$64,MATCH($F710,사건마스터!$A$5:$A$64,0)),""))</f>
        <v/>
      </c>
      <c r="Y710" s="35">
        <f>IF($F710="","",IFERROR(INDEX(사건마스터!$AV$5:$AV$64,MATCH($F710,사건마스터!$A$5:$A$64,0)),""))</f>
        <v/>
      </c>
      <c r="Z710" s="30">
        <f>IF(COUNTBLANK($J710:$Y710)=16,"",16-COUNTBLANK($J710:$Y710))</f>
        <v/>
      </c>
      <c r="AA710" s="33">
        <f>IF($J710="",MID($AX710,3,255),$J710&amp;$AX710)</f>
        <v/>
      </c>
      <c r="AB710" s="34">
        <f>IF($J710="","",IFERROR(INDEX(코드설정!$D$5:$D$24,MATCH($J710,코드설정!$C$5:$C$24,0)),""))</f>
        <v/>
      </c>
      <c r="AC710" s="36" t="n"/>
      <c r="AD710" s="37" t="n"/>
      <c r="AE710" s="38" t="n"/>
      <c r="AF710" s="30">
        <f>IF(OR($B710="",$C710=""),"",$C710-$B710+1)</f>
        <v/>
      </c>
      <c r="AG710" s="32" t="n"/>
      <c r="AH710" s="36" t="n"/>
      <c r="AJ710">
        <f>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  <c r="AX710">
        <f>AW710&amp;IF($Y710="","",", "&amp;$Y710)</f>
        <v/>
      </c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0">
        <f>IF($F711="","",COUNTIF($F$5:$F711,$F711))</f>
        <v/>
      </c>
      <c r="H711" s="33">
        <f>IF($F711="","",IFERROR(INDEX(사건마스터!$B$5:$B$64,MATCH($F711,사건마스터!$A$5:$A$64,0)),""))</f>
        <v/>
      </c>
      <c r="I711" s="34">
        <f>IF($F711="","",IFERROR(INDEX(사건마스터!$C$5:$C$64,MATCH($F711,사건마스터!$A$5:$A$64,0)),""))</f>
        <v/>
      </c>
      <c r="J711" s="35">
        <f>IF($F711="","",IFERROR(INDEX(사건마스터!$H$5:$H$64,MATCH($F711,사건마스터!$A$5:$A$64,0)),""))</f>
        <v/>
      </c>
      <c r="K711" s="35">
        <f>IF($F711="","",IFERROR(INDEX(사건마스터!$AH$5:$AH$64,MATCH($F711,사건마스터!$A$5:$A$64,0)),""))</f>
        <v/>
      </c>
      <c r="L711" s="35">
        <f>IF($F711="","",IFERROR(INDEX(사건마스터!$AI$5:$AI$64,MATCH($F711,사건마스터!$A$5:$A$64,0)),""))</f>
        <v/>
      </c>
      <c r="M711" s="35">
        <f>IF($F711="","",IFERROR(INDEX(사건마스터!$AJ$5:$AJ$64,MATCH($F711,사건마스터!$A$5:$A$64,0)),""))</f>
        <v/>
      </c>
      <c r="N711" s="35">
        <f>IF($F711="","",IFERROR(INDEX(사건마스터!$AK$5:$AK$64,MATCH($F711,사건마스터!$A$5:$A$64,0)),""))</f>
        <v/>
      </c>
      <c r="O711" s="35">
        <f>IF($F711="","",IFERROR(INDEX(사건마스터!$AL$5:$AL$64,MATCH($F711,사건마스터!$A$5:$A$64,0)),""))</f>
        <v/>
      </c>
      <c r="P711" s="35">
        <f>IF($F711="","",IFERROR(INDEX(사건마스터!$AM$5:$AM$64,MATCH($F711,사건마스터!$A$5:$A$64,0)),""))</f>
        <v/>
      </c>
      <c r="Q711" s="35">
        <f>IF($F711="","",IFERROR(INDEX(사건마스터!$AN$5:$AN$64,MATCH($F711,사건마스터!$A$5:$A$64,0)),""))</f>
        <v/>
      </c>
      <c r="R711" s="35">
        <f>IF($F711="","",IFERROR(INDEX(사건마스터!$AO$5:$AO$64,MATCH($F711,사건마스터!$A$5:$A$64,0)),""))</f>
        <v/>
      </c>
      <c r="S711" s="35">
        <f>IF($F711="","",IFERROR(INDEX(사건마스터!$AP$5:$AP$64,MATCH($F711,사건마스터!$A$5:$A$64,0)),""))</f>
        <v/>
      </c>
      <c r="T711" s="35">
        <f>IF($F711="","",IFERROR(INDEX(사건마스터!$AQ$5:$AQ$64,MATCH($F711,사건마스터!$A$5:$A$64,0)),""))</f>
        <v/>
      </c>
      <c r="U711" s="35">
        <f>IF($F711="","",IFERROR(INDEX(사건마스터!$AR$5:$AR$64,MATCH($F711,사건마스터!$A$5:$A$64,0)),""))</f>
        <v/>
      </c>
      <c r="V711" s="35">
        <f>IF($F711="","",IFERROR(INDEX(사건마스터!$AS$5:$AS$64,MATCH($F711,사건마스터!$A$5:$A$64,0)),""))</f>
        <v/>
      </c>
      <c r="W711" s="35">
        <f>IF($F711="","",IFERROR(INDEX(사건마스터!$AT$5:$AT$64,MATCH($F711,사건마스터!$A$5:$A$64,0)),""))</f>
        <v/>
      </c>
      <c r="X711" s="35">
        <f>IF($F711="","",IFERROR(INDEX(사건마스터!$AU$5:$AU$64,MATCH($F711,사건마스터!$A$5:$A$64,0)),""))</f>
        <v/>
      </c>
      <c r="Y711" s="35">
        <f>IF($F711="","",IFERROR(INDEX(사건마스터!$AV$5:$AV$64,MATCH($F711,사건마스터!$A$5:$A$64,0)),""))</f>
        <v/>
      </c>
      <c r="Z711" s="30">
        <f>IF(COUNTBLANK($J711:$Y711)=16,"",16-COUNTBLANK($J711:$Y711))</f>
        <v/>
      </c>
      <c r="AA711" s="33">
        <f>IF($J711="",MID($AX711,3,255),$J711&amp;$AX711)</f>
        <v/>
      </c>
      <c r="AB711" s="34">
        <f>IF($J711="","",IFERROR(INDEX(코드설정!$D$5:$D$24,MATCH($J711,코드설정!$C$5:$C$24,0)),""))</f>
        <v/>
      </c>
      <c r="AC711" s="36" t="n"/>
      <c r="AD711" s="37" t="n"/>
      <c r="AE711" s="38" t="n"/>
      <c r="AF711" s="30">
        <f>IF(OR($B711="",$C711=""),"",$C711-$B711+1)</f>
        <v/>
      </c>
      <c r="AG711" s="32" t="n"/>
      <c r="AH711" s="36" t="n"/>
      <c r="AJ711">
        <f>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  <c r="AX711">
        <f>AW711&amp;IF($Y711="","",", "&amp;$Y711)</f>
        <v/>
      </c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0">
        <f>IF($F712="","",COUNTIF($F$5:$F712,$F712))</f>
        <v/>
      </c>
      <c r="H712" s="33">
        <f>IF($F712="","",IFERROR(INDEX(사건마스터!$B$5:$B$64,MATCH($F712,사건마스터!$A$5:$A$64,0)),""))</f>
        <v/>
      </c>
      <c r="I712" s="34">
        <f>IF($F712="","",IFERROR(INDEX(사건마스터!$C$5:$C$64,MATCH($F712,사건마스터!$A$5:$A$64,0)),""))</f>
        <v/>
      </c>
      <c r="J712" s="35">
        <f>IF($F712="","",IFERROR(INDEX(사건마스터!$H$5:$H$64,MATCH($F712,사건마스터!$A$5:$A$64,0)),""))</f>
        <v/>
      </c>
      <c r="K712" s="35">
        <f>IF($F712="","",IFERROR(INDEX(사건마스터!$AH$5:$AH$64,MATCH($F712,사건마스터!$A$5:$A$64,0)),""))</f>
        <v/>
      </c>
      <c r="L712" s="35">
        <f>IF($F712="","",IFERROR(INDEX(사건마스터!$AI$5:$AI$64,MATCH($F712,사건마스터!$A$5:$A$64,0)),""))</f>
        <v/>
      </c>
      <c r="M712" s="35">
        <f>IF($F712="","",IFERROR(INDEX(사건마스터!$AJ$5:$AJ$64,MATCH($F712,사건마스터!$A$5:$A$64,0)),""))</f>
        <v/>
      </c>
      <c r="N712" s="35">
        <f>IF($F712="","",IFERROR(INDEX(사건마스터!$AK$5:$AK$64,MATCH($F712,사건마스터!$A$5:$A$64,0)),""))</f>
        <v/>
      </c>
      <c r="O712" s="35">
        <f>IF($F712="","",IFERROR(INDEX(사건마스터!$AL$5:$AL$64,MATCH($F712,사건마스터!$A$5:$A$64,0)),""))</f>
        <v/>
      </c>
      <c r="P712" s="35">
        <f>IF($F712="","",IFERROR(INDEX(사건마스터!$AM$5:$AM$64,MATCH($F712,사건마스터!$A$5:$A$64,0)),""))</f>
        <v/>
      </c>
      <c r="Q712" s="35">
        <f>IF($F712="","",IFERROR(INDEX(사건마스터!$AN$5:$AN$64,MATCH($F712,사건마스터!$A$5:$A$64,0)),""))</f>
        <v/>
      </c>
      <c r="R712" s="35">
        <f>IF($F712="","",IFERROR(INDEX(사건마스터!$AO$5:$AO$64,MATCH($F712,사건마스터!$A$5:$A$64,0)),""))</f>
        <v/>
      </c>
      <c r="S712" s="35">
        <f>IF($F712="","",IFERROR(INDEX(사건마스터!$AP$5:$AP$64,MATCH($F712,사건마스터!$A$5:$A$64,0)),""))</f>
        <v/>
      </c>
      <c r="T712" s="35">
        <f>IF($F712="","",IFERROR(INDEX(사건마스터!$AQ$5:$AQ$64,MATCH($F712,사건마스터!$A$5:$A$64,0)),""))</f>
        <v/>
      </c>
      <c r="U712" s="35">
        <f>IF($F712="","",IFERROR(INDEX(사건마스터!$AR$5:$AR$64,MATCH($F712,사건마스터!$A$5:$A$64,0)),""))</f>
        <v/>
      </c>
      <c r="V712" s="35">
        <f>IF($F712="","",IFERROR(INDEX(사건마스터!$AS$5:$AS$64,MATCH($F712,사건마스터!$A$5:$A$64,0)),""))</f>
        <v/>
      </c>
      <c r="W712" s="35">
        <f>IF($F712="","",IFERROR(INDEX(사건마스터!$AT$5:$AT$64,MATCH($F712,사건마스터!$A$5:$A$64,0)),""))</f>
        <v/>
      </c>
      <c r="X712" s="35">
        <f>IF($F712="","",IFERROR(INDEX(사건마스터!$AU$5:$AU$64,MATCH($F712,사건마스터!$A$5:$A$64,0)),""))</f>
        <v/>
      </c>
      <c r="Y712" s="35">
        <f>IF($F712="","",IFERROR(INDEX(사건마스터!$AV$5:$AV$64,MATCH($F712,사건마스터!$A$5:$A$64,0)),""))</f>
        <v/>
      </c>
      <c r="Z712" s="30">
        <f>IF(COUNTBLANK($J712:$Y712)=16,"",16-COUNTBLANK($J712:$Y712))</f>
        <v/>
      </c>
      <c r="AA712" s="33">
        <f>IF($J712="",MID($AX712,3,255),$J712&amp;$AX712)</f>
        <v/>
      </c>
      <c r="AB712" s="34">
        <f>IF($J712="","",IFERROR(INDEX(코드설정!$D$5:$D$24,MATCH($J712,코드설정!$C$5:$C$24,0)),""))</f>
        <v/>
      </c>
      <c r="AC712" s="36" t="n"/>
      <c r="AD712" s="37" t="n"/>
      <c r="AE712" s="38" t="n"/>
      <c r="AF712" s="30">
        <f>IF(OR($B712="",$C712=""),"",$C712-$B712+1)</f>
        <v/>
      </c>
      <c r="AG712" s="32" t="n"/>
      <c r="AH712" s="36" t="n"/>
      <c r="AJ712">
        <f>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  <c r="AX712">
        <f>AW712&amp;IF($Y712="","",", "&amp;$Y712)</f>
        <v/>
      </c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0">
        <f>IF($F713="","",COUNTIF($F$5:$F713,$F713))</f>
        <v/>
      </c>
      <c r="H713" s="33">
        <f>IF($F713="","",IFERROR(INDEX(사건마스터!$B$5:$B$64,MATCH($F713,사건마스터!$A$5:$A$64,0)),""))</f>
        <v/>
      </c>
      <c r="I713" s="34">
        <f>IF($F713="","",IFERROR(INDEX(사건마스터!$C$5:$C$64,MATCH($F713,사건마스터!$A$5:$A$64,0)),""))</f>
        <v/>
      </c>
      <c r="J713" s="35">
        <f>IF($F713="","",IFERROR(INDEX(사건마스터!$H$5:$H$64,MATCH($F713,사건마스터!$A$5:$A$64,0)),""))</f>
        <v/>
      </c>
      <c r="K713" s="35">
        <f>IF($F713="","",IFERROR(INDEX(사건마스터!$AH$5:$AH$64,MATCH($F713,사건마스터!$A$5:$A$64,0)),""))</f>
        <v/>
      </c>
      <c r="L713" s="35">
        <f>IF($F713="","",IFERROR(INDEX(사건마스터!$AI$5:$AI$64,MATCH($F713,사건마스터!$A$5:$A$64,0)),""))</f>
        <v/>
      </c>
      <c r="M713" s="35">
        <f>IF($F713="","",IFERROR(INDEX(사건마스터!$AJ$5:$AJ$64,MATCH($F713,사건마스터!$A$5:$A$64,0)),""))</f>
        <v/>
      </c>
      <c r="N713" s="35">
        <f>IF($F713="","",IFERROR(INDEX(사건마스터!$AK$5:$AK$64,MATCH($F713,사건마스터!$A$5:$A$64,0)),""))</f>
        <v/>
      </c>
      <c r="O713" s="35">
        <f>IF($F713="","",IFERROR(INDEX(사건마스터!$AL$5:$AL$64,MATCH($F713,사건마스터!$A$5:$A$64,0)),""))</f>
        <v/>
      </c>
      <c r="P713" s="35">
        <f>IF($F713="","",IFERROR(INDEX(사건마스터!$AM$5:$AM$64,MATCH($F713,사건마스터!$A$5:$A$64,0)),""))</f>
        <v/>
      </c>
      <c r="Q713" s="35">
        <f>IF($F713="","",IFERROR(INDEX(사건마스터!$AN$5:$AN$64,MATCH($F713,사건마스터!$A$5:$A$64,0)),""))</f>
        <v/>
      </c>
      <c r="R713" s="35">
        <f>IF($F713="","",IFERROR(INDEX(사건마스터!$AO$5:$AO$64,MATCH($F713,사건마스터!$A$5:$A$64,0)),""))</f>
        <v/>
      </c>
      <c r="S713" s="35">
        <f>IF($F713="","",IFERROR(INDEX(사건마스터!$AP$5:$AP$64,MATCH($F713,사건마스터!$A$5:$A$64,0)),""))</f>
        <v/>
      </c>
      <c r="T713" s="35">
        <f>IF($F713="","",IFERROR(INDEX(사건마스터!$AQ$5:$AQ$64,MATCH($F713,사건마스터!$A$5:$A$64,0)),""))</f>
        <v/>
      </c>
      <c r="U713" s="35">
        <f>IF($F713="","",IFERROR(INDEX(사건마스터!$AR$5:$AR$64,MATCH($F713,사건마스터!$A$5:$A$64,0)),""))</f>
        <v/>
      </c>
      <c r="V713" s="35">
        <f>IF($F713="","",IFERROR(INDEX(사건마스터!$AS$5:$AS$64,MATCH($F713,사건마스터!$A$5:$A$64,0)),""))</f>
        <v/>
      </c>
      <c r="W713" s="35">
        <f>IF($F713="","",IFERROR(INDEX(사건마스터!$AT$5:$AT$64,MATCH($F713,사건마스터!$A$5:$A$64,0)),""))</f>
        <v/>
      </c>
      <c r="X713" s="35">
        <f>IF($F713="","",IFERROR(INDEX(사건마스터!$AU$5:$AU$64,MATCH($F713,사건마스터!$A$5:$A$64,0)),""))</f>
        <v/>
      </c>
      <c r="Y713" s="35">
        <f>IF($F713="","",IFERROR(INDEX(사건마스터!$AV$5:$AV$64,MATCH($F713,사건마스터!$A$5:$A$64,0)),""))</f>
        <v/>
      </c>
      <c r="Z713" s="30">
        <f>IF(COUNTBLANK($J713:$Y713)=16,"",16-COUNTBLANK($J713:$Y713))</f>
        <v/>
      </c>
      <c r="AA713" s="33">
        <f>IF($J713="",MID($AX713,3,255),$J713&amp;$AX713)</f>
        <v/>
      </c>
      <c r="AB713" s="34">
        <f>IF($J713="","",IFERROR(INDEX(코드설정!$D$5:$D$24,MATCH($J713,코드설정!$C$5:$C$24,0)),""))</f>
        <v/>
      </c>
      <c r="AC713" s="36" t="n"/>
      <c r="AD713" s="37" t="n"/>
      <c r="AE713" s="38" t="n"/>
      <c r="AF713" s="30">
        <f>IF(OR($B713="",$C713=""),"",$C713-$B713+1)</f>
        <v/>
      </c>
      <c r="AG713" s="32" t="n"/>
      <c r="AH713" s="36" t="n"/>
      <c r="AJ713">
        <f>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  <c r="AX713">
        <f>AW713&amp;IF($Y713="","",", "&amp;$Y713)</f>
        <v/>
      </c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0">
        <f>IF($F714="","",COUNTIF($F$5:$F714,$F714))</f>
        <v/>
      </c>
      <c r="H714" s="33">
        <f>IF($F714="","",IFERROR(INDEX(사건마스터!$B$5:$B$64,MATCH($F714,사건마스터!$A$5:$A$64,0)),""))</f>
        <v/>
      </c>
      <c r="I714" s="34">
        <f>IF($F714="","",IFERROR(INDEX(사건마스터!$C$5:$C$64,MATCH($F714,사건마스터!$A$5:$A$64,0)),""))</f>
        <v/>
      </c>
      <c r="J714" s="35">
        <f>IF($F714="","",IFERROR(INDEX(사건마스터!$H$5:$H$64,MATCH($F714,사건마스터!$A$5:$A$64,0)),""))</f>
        <v/>
      </c>
      <c r="K714" s="35">
        <f>IF($F714="","",IFERROR(INDEX(사건마스터!$AH$5:$AH$64,MATCH($F714,사건마스터!$A$5:$A$64,0)),""))</f>
        <v/>
      </c>
      <c r="L714" s="35">
        <f>IF($F714="","",IFERROR(INDEX(사건마스터!$AI$5:$AI$64,MATCH($F714,사건마스터!$A$5:$A$64,0)),""))</f>
        <v/>
      </c>
      <c r="M714" s="35">
        <f>IF($F714="","",IFERROR(INDEX(사건마스터!$AJ$5:$AJ$64,MATCH($F714,사건마스터!$A$5:$A$64,0)),""))</f>
        <v/>
      </c>
      <c r="N714" s="35">
        <f>IF($F714="","",IFERROR(INDEX(사건마스터!$AK$5:$AK$64,MATCH($F714,사건마스터!$A$5:$A$64,0)),""))</f>
        <v/>
      </c>
      <c r="O714" s="35">
        <f>IF($F714="","",IFERROR(INDEX(사건마스터!$AL$5:$AL$64,MATCH($F714,사건마스터!$A$5:$A$64,0)),""))</f>
        <v/>
      </c>
      <c r="P714" s="35">
        <f>IF($F714="","",IFERROR(INDEX(사건마스터!$AM$5:$AM$64,MATCH($F714,사건마스터!$A$5:$A$64,0)),""))</f>
        <v/>
      </c>
      <c r="Q714" s="35">
        <f>IF($F714="","",IFERROR(INDEX(사건마스터!$AN$5:$AN$64,MATCH($F714,사건마스터!$A$5:$A$64,0)),""))</f>
        <v/>
      </c>
      <c r="R714" s="35">
        <f>IF($F714="","",IFERROR(INDEX(사건마스터!$AO$5:$AO$64,MATCH($F714,사건마스터!$A$5:$A$64,0)),""))</f>
        <v/>
      </c>
      <c r="S714" s="35">
        <f>IF($F714="","",IFERROR(INDEX(사건마스터!$AP$5:$AP$64,MATCH($F714,사건마스터!$A$5:$A$64,0)),""))</f>
        <v/>
      </c>
      <c r="T714" s="35">
        <f>IF($F714="","",IFERROR(INDEX(사건마스터!$AQ$5:$AQ$64,MATCH($F714,사건마스터!$A$5:$A$64,0)),""))</f>
        <v/>
      </c>
      <c r="U714" s="35">
        <f>IF($F714="","",IFERROR(INDEX(사건마스터!$AR$5:$AR$64,MATCH($F714,사건마스터!$A$5:$A$64,0)),""))</f>
        <v/>
      </c>
      <c r="V714" s="35">
        <f>IF($F714="","",IFERROR(INDEX(사건마스터!$AS$5:$AS$64,MATCH($F714,사건마스터!$A$5:$A$64,0)),""))</f>
        <v/>
      </c>
      <c r="W714" s="35">
        <f>IF($F714="","",IFERROR(INDEX(사건마스터!$AT$5:$AT$64,MATCH($F714,사건마스터!$A$5:$A$64,0)),""))</f>
        <v/>
      </c>
      <c r="X714" s="35">
        <f>IF($F714="","",IFERROR(INDEX(사건마스터!$AU$5:$AU$64,MATCH($F714,사건마스터!$A$5:$A$64,0)),""))</f>
        <v/>
      </c>
      <c r="Y714" s="35">
        <f>IF($F714="","",IFERROR(INDEX(사건마스터!$AV$5:$AV$64,MATCH($F714,사건마스터!$A$5:$A$64,0)),""))</f>
        <v/>
      </c>
      <c r="Z714" s="30">
        <f>IF(COUNTBLANK($J714:$Y714)=16,"",16-COUNTBLANK($J714:$Y714))</f>
        <v/>
      </c>
      <c r="AA714" s="33">
        <f>IF($J714="",MID($AX714,3,255),$J714&amp;$AX714)</f>
        <v/>
      </c>
      <c r="AB714" s="34">
        <f>IF($J714="","",IFERROR(INDEX(코드설정!$D$5:$D$24,MATCH($J714,코드설정!$C$5:$C$24,0)),""))</f>
        <v/>
      </c>
      <c r="AC714" s="36" t="n"/>
      <c r="AD714" s="37" t="n"/>
      <c r="AE714" s="38" t="n"/>
      <c r="AF714" s="30">
        <f>IF(OR($B714="",$C714=""),"",$C714-$B714+1)</f>
        <v/>
      </c>
      <c r="AG714" s="32" t="n"/>
      <c r="AH714" s="36" t="n"/>
      <c r="AJ714">
        <f>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  <c r="AX714">
        <f>AW714&amp;IF($Y714="","",", "&amp;$Y714)</f>
        <v/>
      </c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0">
        <f>IF($F715="","",COUNTIF($F$5:$F715,$F715))</f>
        <v/>
      </c>
      <c r="H715" s="33">
        <f>IF($F715="","",IFERROR(INDEX(사건마스터!$B$5:$B$64,MATCH($F715,사건마스터!$A$5:$A$64,0)),""))</f>
        <v/>
      </c>
      <c r="I715" s="34">
        <f>IF($F715="","",IFERROR(INDEX(사건마스터!$C$5:$C$64,MATCH($F715,사건마스터!$A$5:$A$64,0)),""))</f>
        <v/>
      </c>
      <c r="J715" s="35">
        <f>IF($F715="","",IFERROR(INDEX(사건마스터!$H$5:$H$64,MATCH($F715,사건마스터!$A$5:$A$64,0)),""))</f>
        <v/>
      </c>
      <c r="K715" s="35">
        <f>IF($F715="","",IFERROR(INDEX(사건마스터!$AH$5:$AH$64,MATCH($F715,사건마스터!$A$5:$A$64,0)),""))</f>
        <v/>
      </c>
      <c r="L715" s="35">
        <f>IF($F715="","",IFERROR(INDEX(사건마스터!$AI$5:$AI$64,MATCH($F715,사건마스터!$A$5:$A$64,0)),""))</f>
        <v/>
      </c>
      <c r="M715" s="35">
        <f>IF($F715="","",IFERROR(INDEX(사건마스터!$AJ$5:$AJ$64,MATCH($F715,사건마스터!$A$5:$A$64,0)),""))</f>
        <v/>
      </c>
      <c r="N715" s="35">
        <f>IF($F715="","",IFERROR(INDEX(사건마스터!$AK$5:$AK$64,MATCH($F715,사건마스터!$A$5:$A$64,0)),""))</f>
        <v/>
      </c>
      <c r="O715" s="35">
        <f>IF($F715="","",IFERROR(INDEX(사건마스터!$AL$5:$AL$64,MATCH($F715,사건마스터!$A$5:$A$64,0)),""))</f>
        <v/>
      </c>
      <c r="P715" s="35">
        <f>IF($F715="","",IFERROR(INDEX(사건마스터!$AM$5:$AM$64,MATCH($F715,사건마스터!$A$5:$A$64,0)),""))</f>
        <v/>
      </c>
      <c r="Q715" s="35">
        <f>IF($F715="","",IFERROR(INDEX(사건마스터!$AN$5:$AN$64,MATCH($F715,사건마스터!$A$5:$A$64,0)),""))</f>
        <v/>
      </c>
      <c r="R715" s="35">
        <f>IF($F715="","",IFERROR(INDEX(사건마스터!$AO$5:$AO$64,MATCH($F715,사건마스터!$A$5:$A$64,0)),""))</f>
        <v/>
      </c>
      <c r="S715" s="35">
        <f>IF($F715="","",IFERROR(INDEX(사건마스터!$AP$5:$AP$64,MATCH($F715,사건마스터!$A$5:$A$64,0)),""))</f>
        <v/>
      </c>
      <c r="T715" s="35">
        <f>IF($F715="","",IFERROR(INDEX(사건마스터!$AQ$5:$AQ$64,MATCH($F715,사건마스터!$A$5:$A$64,0)),""))</f>
        <v/>
      </c>
      <c r="U715" s="35">
        <f>IF($F715="","",IFERROR(INDEX(사건마스터!$AR$5:$AR$64,MATCH($F715,사건마스터!$A$5:$A$64,0)),""))</f>
        <v/>
      </c>
      <c r="V715" s="35">
        <f>IF($F715="","",IFERROR(INDEX(사건마스터!$AS$5:$AS$64,MATCH($F715,사건마스터!$A$5:$A$64,0)),""))</f>
        <v/>
      </c>
      <c r="W715" s="35">
        <f>IF($F715="","",IFERROR(INDEX(사건마스터!$AT$5:$AT$64,MATCH($F715,사건마스터!$A$5:$A$64,0)),""))</f>
        <v/>
      </c>
      <c r="X715" s="35">
        <f>IF($F715="","",IFERROR(INDEX(사건마스터!$AU$5:$AU$64,MATCH($F715,사건마스터!$A$5:$A$64,0)),""))</f>
        <v/>
      </c>
      <c r="Y715" s="35">
        <f>IF($F715="","",IFERROR(INDEX(사건마스터!$AV$5:$AV$64,MATCH($F715,사건마스터!$A$5:$A$64,0)),""))</f>
        <v/>
      </c>
      <c r="Z715" s="30">
        <f>IF(COUNTBLANK($J715:$Y715)=16,"",16-COUNTBLANK($J715:$Y715))</f>
        <v/>
      </c>
      <c r="AA715" s="33">
        <f>IF($J715="",MID($AX715,3,255),$J715&amp;$AX715)</f>
        <v/>
      </c>
      <c r="AB715" s="34">
        <f>IF($J715="","",IFERROR(INDEX(코드설정!$D$5:$D$24,MATCH($J715,코드설정!$C$5:$C$24,0)),""))</f>
        <v/>
      </c>
      <c r="AC715" s="36" t="n"/>
      <c r="AD715" s="37" t="n"/>
      <c r="AE715" s="38" t="n"/>
      <c r="AF715" s="30">
        <f>IF(OR($B715="",$C715=""),"",$C715-$B715+1)</f>
        <v/>
      </c>
      <c r="AG715" s="32" t="n"/>
      <c r="AH715" s="36" t="n"/>
      <c r="AJ715">
        <f>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  <c r="AX715">
        <f>AW715&amp;IF($Y715="","",", "&amp;$Y715)</f>
        <v/>
      </c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0">
        <f>IF($F716="","",COUNTIF($F$5:$F716,$F716))</f>
        <v/>
      </c>
      <c r="H716" s="33">
        <f>IF($F716="","",IFERROR(INDEX(사건마스터!$B$5:$B$64,MATCH($F716,사건마스터!$A$5:$A$64,0)),""))</f>
        <v/>
      </c>
      <c r="I716" s="34">
        <f>IF($F716="","",IFERROR(INDEX(사건마스터!$C$5:$C$64,MATCH($F716,사건마스터!$A$5:$A$64,0)),""))</f>
        <v/>
      </c>
      <c r="J716" s="35">
        <f>IF($F716="","",IFERROR(INDEX(사건마스터!$H$5:$H$64,MATCH($F716,사건마스터!$A$5:$A$64,0)),""))</f>
        <v/>
      </c>
      <c r="K716" s="35">
        <f>IF($F716="","",IFERROR(INDEX(사건마스터!$AH$5:$AH$64,MATCH($F716,사건마스터!$A$5:$A$64,0)),""))</f>
        <v/>
      </c>
      <c r="L716" s="35">
        <f>IF($F716="","",IFERROR(INDEX(사건마스터!$AI$5:$AI$64,MATCH($F716,사건마스터!$A$5:$A$64,0)),""))</f>
        <v/>
      </c>
      <c r="M716" s="35">
        <f>IF($F716="","",IFERROR(INDEX(사건마스터!$AJ$5:$AJ$64,MATCH($F716,사건마스터!$A$5:$A$64,0)),""))</f>
        <v/>
      </c>
      <c r="N716" s="35">
        <f>IF($F716="","",IFERROR(INDEX(사건마스터!$AK$5:$AK$64,MATCH($F716,사건마스터!$A$5:$A$64,0)),""))</f>
        <v/>
      </c>
      <c r="O716" s="35">
        <f>IF($F716="","",IFERROR(INDEX(사건마스터!$AL$5:$AL$64,MATCH($F716,사건마스터!$A$5:$A$64,0)),""))</f>
        <v/>
      </c>
      <c r="P716" s="35">
        <f>IF($F716="","",IFERROR(INDEX(사건마스터!$AM$5:$AM$64,MATCH($F716,사건마스터!$A$5:$A$64,0)),""))</f>
        <v/>
      </c>
      <c r="Q716" s="35">
        <f>IF($F716="","",IFERROR(INDEX(사건마스터!$AN$5:$AN$64,MATCH($F716,사건마스터!$A$5:$A$64,0)),""))</f>
        <v/>
      </c>
      <c r="R716" s="35">
        <f>IF($F716="","",IFERROR(INDEX(사건마스터!$AO$5:$AO$64,MATCH($F716,사건마스터!$A$5:$A$64,0)),""))</f>
        <v/>
      </c>
      <c r="S716" s="35">
        <f>IF($F716="","",IFERROR(INDEX(사건마스터!$AP$5:$AP$64,MATCH($F716,사건마스터!$A$5:$A$64,0)),""))</f>
        <v/>
      </c>
      <c r="T716" s="35">
        <f>IF($F716="","",IFERROR(INDEX(사건마스터!$AQ$5:$AQ$64,MATCH($F716,사건마스터!$A$5:$A$64,0)),""))</f>
        <v/>
      </c>
      <c r="U716" s="35">
        <f>IF($F716="","",IFERROR(INDEX(사건마스터!$AR$5:$AR$64,MATCH($F716,사건마스터!$A$5:$A$64,0)),""))</f>
        <v/>
      </c>
      <c r="V716" s="35">
        <f>IF($F716="","",IFERROR(INDEX(사건마스터!$AS$5:$AS$64,MATCH($F716,사건마스터!$A$5:$A$64,0)),""))</f>
        <v/>
      </c>
      <c r="W716" s="35">
        <f>IF($F716="","",IFERROR(INDEX(사건마스터!$AT$5:$AT$64,MATCH($F716,사건마스터!$A$5:$A$64,0)),""))</f>
        <v/>
      </c>
      <c r="X716" s="35">
        <f>IF($F716="","",IFERROR(INDEX(사건마스터!$AU$5:$AU$64,MATCH($F716,사건마스터!$A$5:$A$64,0)),""))</f>
        <v/>
      </c>
      <c r="Y716" s="35">
        <f>IF($F716="","",IFERROR(INDEX(사건마스터!$AV$5:$AV$64,MATCH($F716,사건마스터!$A$5:$A$64,0)),""))</f>
        <v/>
      </c>
      <c r="Z716" s="30">
        <f>IF(COUNTBLANK($J716:$Y716)=16,"",16-COUNTBLANK($J716:$Y716))</f>
        <v/>
      </c>
      <c r="AA716" s="33">
        <f>IF($J716="",MID($AX716,3,255),$J716&amp;$AX716)</f>
        <v/>
      </c>
      <c r="AB716" s="34">
        <f>IF($J716="","",IFERROR(INDEX(코드설정!$D$5:$D$24,MATCH($J716,코드설정!$C$5:$C$24,0)),""))</f>
        <v/>
      </c>
      <c r="AC716" s="36" t="n"/>
      <c r="AD716" s="37" t="n"/>
      <c r="AE716" s="38" t="n"/>
      <c r="AF716" s="30">
        <f>IF(OR($B716="",$C716=""),"",$C716-$B716+1)</f>
        <v/>
      </c>
      <c r="AG716" s="32" t="n"/>
      <c r="AH716" s="36" t="n"/>
      <c r="AJ716">
        <f>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  <c r="AX716">
        <f>AW716&amp;IF($Y716="","",", "&amp;$Y716)</f>
        <v/>
      </c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0">
        <f>IF($F717="","",COUNTIF($F$5:$F717,$F717))</f>
        <v/>
      </c>
      <c r="H717" s="33">
        <f>IF($F717="","",IFERROR(INDEX(사건마스터!$B$5:$B$64,MATCH($F717,사건마스터!$A$5:$A$64,0)),""))</f>
        <v/>
      </c>
      <c r="I717" s="34">
        <f>IF($F717="","",IFERROR(INDEX(사건마스터!$C$5:$C$64,MATCH($F717,사건마스터!$A$5:$A$64,0)),""))</f>
        <v/>
      </c>
      <c r="J717" s="35">
        <f>IF($F717="","",IFERROR(INDEX(사건마스터!$H$5:$H$64,MATCH($F717,사건마스터!$A$5:$A$64,0)),""))</f>
        <v/>
      </c>
      <c r="K717" s="35">
        <f>IF($F717="","",IFERROR(INDEX(사건마스터!$AH$5:$AH$64,MATCH($F717,사건마스터!$A$5:$A$64,0)),""))</f>
        <v/>
      </c>
      <c r="L717" s="35">
        <f>IF($F717="","",IFERROR(INDEX(사건마스터!$AI$5:$AI$64,MATCH($F717,사건마스터!$A$5:$A$64,0)),""))</f>
        <v/>
      </c>
      <c r="M717" s="35">
        <f>IF($F717="","",IFERROR(INDEX(사건마스터!$AJ$5:$AJ$64,MATCH($F717,사건마스터!$A$5:$A$64,0)),""))</f>
        <v/>
      </c>
      <c r="N717" s="35">
        <f>IF($F717="","",IFERROR(INDEX(사건마스터!$AK$5:$AK$64,MATCH($F717,사건마스터!$A$5:$A$64,0)),""))</f>
        <v/>
      </c>
      <c r="O717" s="35">
        <f>IF($F717="","",IFERROR(INDEX(사건마스터!$AL$5:$AL$64,MATCH($F717,사건마스터!$A$5:$A$64,0)),""))</f>
        <v/>
      </c>
      <c r="P717" s="35">
        <f>IF($F717="","",IFERROR(INDEX(사건마스터!$AM$5:$AM$64,MATCH($F717,사건마스터!$A$5:$A$64,0)),""))</f>
        <v/>
      </c>
      <c r="Q717" s="35">
        <f>IF($F717="","",IFERROR(INDEX(사건마스터!$AN$5:$AN$64,MATCH($F717,사건마스터!$A$5:$A$64,0)),""))</f>
        <v/>
      </c>
      <c r="R717" s="35">
        <f>IF($F717="","",IFERROR(INDEX(사건마스터!$AO$5:$AO$64,MATCH($F717,사건마스터!$A$5:$A$64,0)),""))</f>
        <v/>
      </c>
      <c r="S717" s="35">
        <f>IF($F717="","",IFERROR(INDEX(사건마스터!$AP$5:$AP$64,MATCH($F717,사건마스터!$A$5:$A$64,0)),""))</f>
        <v/>
      </c>
      <c r="T717" s="35">
        <f>IF($F717="","",IFERROR(INDEX(사건마스터!$AQ$5:$AQ$64,MATCH($F717,사건마스터!$A$5:$A$64,0)),""))</f>
        <v/>
      </c>
      <c r="U717" s="35">
        <f>IF($F717="","",IFERROR(INDEX(사건마스터!$AR$5:$AR$64,MATCH($F717,사건마스터!$A$5:$A$64,0)),""))</f>
        <v/>
      </c>
      <c r="V717" s="35">
        <f>IF($F717="","",IFERROR(INDEX(사건마스터!$AS$5:$AS$64,MATCH($F717,사건마스터!$A$5:$A$64,0)),""))</f>
        <v/>
      </c>
      <c r="W717" s="35">
        <f>IF($F717="","",IFERROR(INDEX(사건마스터!$AT$5:$AT$64,MATCH($F717,사건마스터!$A$5:$A$64,0)),""))</f>
        <v/>
      </c>
      <c r="X717" s="35">
        <f>IF($F717="","",IFERROR(INDEX(사건마스터!$AU$5:$AU$64,MATCH($F717,사건마스터!$A$5:$A$64,0)),""))</f>
        <v/>
      </c>
      <c r="Y717" s="35">
        <f>IF($F717="","",IFERROR(INDEX(사건마스터!$AV$5:$AV$64,MATCH($F717,사건마스터!$A$5:$A$64,0)),""))</f>
        <v/>
      </c>
      <c r="Z717" s="30">
        <f>IF(COUNTBLANK($J717:$Y717)=16,"",16-COUNTBLANK($J717:$Y717))</f>
        <v/>
      </c>
      <c r="AA717" s="33">
        <f>IF($J717="",MID($AX717,3,255),$J717&amp;$AX717)</f>
        <v/>
      </c>
      <c r="AB717" s="34">
        <f>IF($J717="","",IFERROR(INDEX(코드설정!$D$5:$D$24,MATCH($J717,코드설정!$C$5:$C$24,0)),""))</f>
        <v/>
      </c>
      <c r="AC717" s="36" t="n"/>
      <c r="AD717" s="37" t="n"/>
      <c r="AE717" s="38" t="n"/>
      <c r="AF717" s="30">
        <f>IF(OR($B717="",$C717=""),"",$C717-$B717+1)</f>
        <v/>
      </c>
      <c r="AG717" s="32" t="n"/>
      <c r="AH717" s="36" t="n"/>
      <c r="AJ717">
        <f>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  <c r="AX717">
        <f>AW717&amp;IF($Y717="","",", "&amp;$Y717)</f>
        <v/>
      </c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0">
        <f>IF($F718="","",COUNTIF($F$5:$F718,$F718))</f>
        <v/>
      </c>
      <c r="H718" s="33">
        <f>IF($F718="","",IFERROR(INDEX(사건마스터!$B$5:$B$64,MATCH($F718,사건마스터!$A$5:$A$64,0)),""))</f>
        <v/>
      </c>
      <c r="I718" s="34">
        <f>IF($F718="","",IFERROR(INDEX(사건마스터!$C$5:$C$64,MATCH($F718,사건마스터!$A$5:$A$64,0)),""))</f>
        <v/>
      </c>
      <c r="J718" s="35">
        <f>IF($F718="","",IFERROR(INDEX(사건마스터!$H$5:$H$64,MATCH($F718,사건마스터!$A$5:$A$64,0)),""))</f>
        <v/>
      </c>
      <c r="K718" s="35">
        <f>IF($F718="","",IFERROR(INDEX(사건마스터!$AH$5:$AH$64,MATCH($F718,사건마스터!$A$5:$A$64,0)),""))</f>
        <v/>
      </c>
      <c r="L718" s="35">
        <f>IF($F718="","",IFERROR(INDEX(사건마스터!$AI$5:$AI$64,MATCH($F718,사건마스터!$A$5:$A$64,0)),""))</f>
        <v/>
      </c>
      <c r="M718" s="35">
        <f>IF($F718="","",IFERROR(INDEX(사건마스터!$AJ$5:$AJ$64,MATCH($F718,사건마스터!$A$5:$A$64,0)),""))</f>
        <v/>
      </c>
      <c r="N718" s="35">
        <f>IF($F718="","",IFERROR(INDEX(사건마스터!$AK$5:$AK$64,MATCH($F718,사건마스터!$A$5:$A$64,0)),""))</f>
        <v/>
      </c>
      <c r="O718" s="35">
        <f>IF($F718="","",IFERROR(INDEX(사건마스터!$AL$5:$AL$64,MATCH($F718,사건마스터!$A$5:$A$64,0)),""))</f>
        <v/>
      </c>
      <c r="P718" s="35">
        <f>IF($F718="","",IFERROR(INDEX(사건마스터!$AM$5:$AM$64,MATCH($F718,사건마스터!$A$5:$A$64,0)),""))</f>
        <v/>
      </c>
      <c r="Q718" s="35">
        <f>IF($F718="","",IFERROR(INDEX(사건마스터!$AN$5:$AN$64,MATCH($F718,사건마스터!$A$5:$A$64,0)),""))</f>
        <v/>
      </c>
      <c r="R718" s="35">
        <f>IF($F718="","",IFERROR(INDEX(사건마스터!$AO$5:$AO$64,MATCH($F718,사건마스터!$A$5:$A$64,0)),""))</f>
        <v/>
      </c>
      <c r="S718" s="35">
        <f>IF($F718="","",IFERROR(INDEX(사건마스터!$AP$5:$AP$64,MATCH($F718,사건마스터!$A$5:$A$64,0)),""))</f>
        <v/>
      </c>
      <c r="T718" s="35">
        <f>IF($F718="","",IFERROR(INDEX(사건마스터!$AQ$5:$AQ$64,MATCH($F718,사건마스터!$A$5:$A$64,0)),""))</f>
        <v/>
      </c>
      <c r="U718" s="35">
        <f>IF($F718="","",IFERROR(INDEX(사건마스터!$AR$5:$AR$64,MATCH($F718,사건마스터!$A$5:$A$64,0)),""))</f>
        <v/>
      </c>
      <c r="V718" s="35">
        <f>IF($F718="","",IFERROR(INDEX(사건마스터!$AS$5:$AS$64,MATCH($F718,사건마스터!$A$5:$A$64,0)),""))</f>
        <v/>
      </c>
      <c r="W718" s="35">
        <f>IF($F718="","",IFERROR(INDEX(사건마스터!$AT$5:$AT$64,MATCH($F718,사건마스터!$A$5:$A$64,0)),""))</f>
        <v/>
      </c>
      <c r="X718" s="35">
        <f>IF($F718="","",IFERROR(INDEX(사건마스터!$AU$5:$AU$64,MATCH($F718,사건마스터!$A$5:$A$64,0)),""))</f>
        <v/>
      </c>
      <c r="Y718" s="35">
        <f>IF($F718="","",IFERROR(INDEX(사건마스터!$AV$5:$AV$64,MATCH($F718,사건마스터!$A$5:$A$64,0)),""))</f>
        <v/>
      </c>
      <c r="Z718" s="30">
        <f>IF(COUNTBLANK($J718:$Y718)=16,"",16-COUNTBLANK($J718:$Y718))</f>
        <v/>
      </c>
      <c r="AA718" s="33">
        <f>IF($J718="",MID($AX718,3,255),$J718&amp;$AX718)</f>
        <v/>
      </c>
      <c r="AB718" s="34">
        <f>IF($J718="","",IFERROR(INDEX(코드설정!$D$5:$D$24,MATCH($J718,코드설정!$C$5:$C$24,0)),""))</f>
        <v/>
      </c>
      <c r="AC718" s="36" t="n"/>
      <c r="AD718" s="37" t="n"/>
      <c r="AE718" s="38" t="n"/>
      <c r="AF718" s="30">
        <f>IF(OR($B718="",$C718=""),"",$C718-$B718+1)</f>
        <v/>
      </c>
      <c r="AG718" s="32" t="n"/>
      <c r="AH718" s="36" t="n"/>
      <c r="AJ718">
        <f>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  <c r="AX718">
        <f>AW718&amp;IF($Y718="","",", "&amp;$Y718)</f>
        <v/>
      </c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0">
        <f>IF($F719="","",COUNTIF($F$5:$F719,$F719))</f>
        <v/>
      </c>
      <c r="H719" s="33">
        <f>IF($F719="","",IFERROR(INDEX(사건마스터!$B$5:$B$64,MATCH($F719,사건마스터!$A$5:$A$64,0)),""))</f>
        <v/>
      </c>
      <c r="I719" s="34">
        <f>IF($F719="","",IFERROR(INDEX(사건마스터!$C$5:$C$64,MATCH($F719,사건마스터!$A$5:$A$64,0)),""))</f>
        <v/>
      </c>
      <c r="J719" s="35">
        <f>IF($F719="","",IFERROR(INDEX(사건마스터!$H$5:$H$64,MATCH($F719,사건마스터!$A$5:$A$64,0)),""))</f>
        <v/>
      </c>
      <c r="K719" s="35">
        <f>IF($F719="","",IFERROR(INDEX(사건마스터!$AH$5:$AH$64,MATCH($F719,사건마스터!$A$5:$A$64,0)),""))</f>
        <v/>
      </c>
      <c r="L719" s="35">
        <f>IF($F719="","",IFERROR(INDEX(사건마스터!$AI$5:$AI$64,MATCH($F719,사건마스터!$A$5:$A$64,0)),""))</f>
        <v/>
      </c>
      <c r="M719" s="35">
        <f>IF($F719="","",IFERROR(INDEX(사건마스터!$AJ$5:$AJ$64,MATCH($F719,사건마스터!$A$5:$A$64,0)),""))</f>
        <v/>
      </c>
      <c r="N719" s="35">
        <f>IF($F719="","",IFERROR(INDEX(사건마스터!$AK$5:$AK$64,MATCH($F719,사건마스터!$A$5:$A$64,0)),""))</f>
        <v/>
      </c>
      <c r="O719" s="35">
        <f>IF($F719="","",IFERROR(INDEX(사건마스터!$AL$5:$AL$64,MATCH($F719,사건마스터!$A$5:$A$64,0)),""))</f>
        <v/>
      </c>
      <c r="P719" s="35">
        <f>IF($F719="","",IFERROR(INDEX(사건마스터!$AM$5:$AM$64,MATCH($F719,사건마스터!$A$5:$A$64,0)),""))</f>
        <v/>
      </c>
      <c r="Q719" s="35">
        <f>IF($F719="","",IFERROR(INDEX(사건마스터!$AN$5:$AN$64,MATCH($F719,사건마스터!$A$5:$A$64,0)),""))</f>
        <v/>
      </c>
      <c r="R719" s="35">
        <f>IF($F719="","",IFERROR(INDEX(사건마스터!$AO$5:$AO$64,MATCH($F719,사건마스터!$A$5:$A$64,0)),""))</f>
        <v/>
      </c>
      <c r="S719" s="35">
        <f>IF($F719="","",IFERROR(INDEX(사건마스터!$AP$5:$AP$64,MATCH($F719,사건마스터!$A$5:$A$64,0)),""))</f>
        <v/>
      </c>
      <c r="T719" s="35">
        <f>IF($F719="","",IFERROR(INDEX(사건마스터!$AQ$5:$AQ$64,MATCH($F719,사건마스터!$A$5:$A$64,0)),""))</f>
        <v/>
      </c>
      <c r="U719" s="35">
        <f>IF($F719="","",IFERROR(INDEX(사건마스터!$AR$5:$AR$64,MATCH($F719,사건마스터!$A$5:$A$64,0)),""))</f>
        <v/>
      </c>
      <c r="V719" s="35">
        <f>IF($F719="","",IFERROR(INDEX(사건마스터!$AS$5:$AS$64,MATCH($F719,사건마스터!$A$5:$A$64,0)),""))</f>
        <v/>
      </c>
      <c r="W719" s="35">
        <f>IF($F719="","",IFERROR(INDEX(사건마스터!$AT$5:$AT$64,MATCH($F719,사건마스터!$A$5:$A$64,0)),""))</f>
        <v/>
      </c>
      <c r="X719" s="35">
        <f>IF($F719="","",IFERROR(INDEX(사건마스터!$AU$5:$AU$64,MATCH($F719,사건마스터!$A$5:$A$64,0)),""))</f>
        <v/>
      </c>
      <c r="Y719" s="35">
        <f>IF($F719="","",IFERROR(INDEX(사건마스터!$AV$5:$AV$64,MATCH($F719,사건마스터!$A$5:$A$64,0)),""))</f>
        <v/>
      </c>
      <c r="Z719" s="30">
        <f>IF(COUNTBLANK($J719:$Y719)=16,"",16-COUNTBLANK($J719:$Y719))</f>
        <v/>
      </c>
      <c r="AA719" s="33">
        <f>IF($J719="",MID($AX719,3,255),$J719&amp;$AX719)</f>
        <v/>
      </c>
      <c r="AB719" s="34">
        <f>IF($J719="","",IFERROR(INDEX(코드설정!$D$5:$D$24,MATCH($J719,코드설정!$C$5:$C$24,0)),""))</f>
        <v/>
      </c>
      <c r="AC719" s="36" t="n"/>
      <c r="AD719" s="37" t="n"/>
      <c r="AE719" s="38" t="n"/>
      <c r="AF719" s="30">
        <f>IF(OR($B719="",$C719=""),"",$C719-$B719+1)</f>
        <v/>
      </c>
      <c r="AG719" s="32" t="n"/>
      <c r="AH719" s="36" t="n"/>
      <c r="AJ719">
        <f>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  <c r="AX719">
        <f>AW719&amp;IF($Y719="","",", "&amp;$Y719)</f>
        <v/>
      </c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0">
        <f>IF($F720="","",COUNTIF($F$5:$F720,$F720))</f>
        <v/>
      </c>
      <c r="H720" s="33">
        <f>IF($F720="","",IFERROR(INDEX(사건마스터!$B$5:$B$64,MATCH($F720,사건마스터!$A$5:$A$64,0)),""))</f>
        <v/>
      </c>
      <c r="I720" s="34">
        <f>IF($F720="","",IFERROR(INDEX(사건마스터!$C$5:$C$64,MATCH($F720,사건마스터!$A$5:$A$64,0)),""))</f>
        <v/>
      </c>
      <c r="J720" s="35">
        <f>IF($F720="","",IFERROR(INDEX(사건마스터!$H$5:$H$64,MATCH($F720,사건마스터!$A$5:$A$64,0)),""))</f>
        <v/>
      </c>
      <c r="K720" s="35">
        <f>IF($F720="","",IFERROR(INDEX(사건마스터!$AH$5:$AH$64,MATCH($F720,사건마스터!$A$5:$A$64,0)),""))</f>
        <v/>
      </c>
      <c r="L720" s="35">
        <f>IF($F720="","",IFERROR(INDEX(사건마스터!$AI$5:$AI$64,MATCH($F720,사건마스터!$A$5:$A$64,0)),""))</f>
        <v/>
      </c>
      <c r="M720" s="35">
        <f>IF($F720="","",IFERROR(INDEX(사건마스터!$AJ$5:$AJ$64,MATCH($F720,사건마스터!$A$5:$A$64,0)),""))</f>
        <v/>
      </c>
      <c r="N720" s="35">
        <f>IF($F720="","",IFERROR(INDEX(사건마스터!$AK$5:$AK$64,MATCH($F720,사건마스터!$A$5:$A$64,0)),""))</f>
        <v/>
      </c>
      <c r="O720" s="35">
        <f>IF($F720="","",IFERROR(INDEX(사건마스터!$AL$5:$AL$64,MATCH($F720,사건마스터!$A$5:$A$64,0)),""))</f>
        <v/>
      </c>
      <c r="P720" s="35">
        <f>IF($F720="","",IFERROR(INDEX(사건마스터!$AM$5:$AM$64,MATCH($F720,사건마스터!$A$5:$A$64,0)),""))</f>
        <v/>
      </c>
      <c r="Q720" s="35">
        <f>IF($F720="","",IFERROR(INDEX(사건마스터!$AN$5:$AN$64,MATCH($F720,사건마스터!$A$5:$A$64,0)),""))</f>
        <v/>
      </c>
      <c r="R720" s="35">
        <f>IF($F720="","",IFERROR(INDEX(사건마스터!$AO$5:$AO$64,MATCH($F720,사건마스터!$A$5:$A$64,0)),""))</f>
        <v/>
      </c>
      <c r="S720" s="35">
        <f>IF($F720="","",IFERROR(INDEX(사건마스터!$AP$5:$AP$64,MATCH($F720,사건마스터!$A$5:$A$64,0)),""))</f>
        <v/>
      </c>
      <c r="T720" s="35">
        <f>IF($F720="","",IFERROR(INDEX(사건마스터!$AQ$5:$AQ$64,MATCH($F720,사건마스터!$A$5:$A$64,0)),""))</f>
        <v/>
      </c>
      <c r="U720" s="35">
        <f>IF($F720="","",IFERROR(INDEX(사건마스터!$AR$5:$AR$64,MATCH($F720,사건마스터!$A$5:$A$64,0)),""))</f>
        <v/>
      </c>
      <c r="V720" s="35">
        <f>IF($F720="","",IFERROR(INDEX(사건마스터!$AS$5:$AS$64,MATCH($F720,사건마스터!$A$5:$A$64,0)),""))</f>
        <v/>
      </c>
      <c r="W720" s="35">
        <f>IF($F720="","",IFERROR(INDEX(사건마스터!$AT$5:$AT$64,MATCH($F720,사건마스터!$A$5:$A$64,0)),""))</f>
        <v/>
      </c>
      <c r="X720" s="35">
        <f>IF($F720="","",IFERROR(INDEX(사건마스터!$AU$5:$AU$64,MATCH($F720,사건마스터!$A$5:$A$64,0)),""))</f>
        <v/>
      </c>
      <c r="Y720" s="35">
        <f>IF($F720="","",IFERROR(INDEX(사건마스터!$AV$5:$AV$64,MATCH($F720,사건마스터!$A$5:$A$64,0)),""))</f>
        <v/>
      </c>
      <c r="Z720" s="30">
        <f>IF(COUNTBLANK($J720:$Y720)=16,"",16-COUNTBLANK($J720:$Y720))</f>
        <v/>
      </c>
      <c r="AA720" s="33">
        <f>IF($J720="",MID($AX720,3,255),$J720&amp;$AX720)</f>
        <v/>
      </c>
      <c r="AB720" s="34">
        <f>IF($J720="","",IFERROR(INDEX(코드설정!$D$5:$D$24,MATCH($J720,코드설정!$C$5:$C$24,0)),""))</f>
        <v/>
      </c>
      <c r="AC720" s="36" t="n"/>
      <c r="AD720" s="37" t="n"/>
      <c r="AE720" s="38" t="n"/>
      <c r="AF720" s="30">
        <f>IF(OR($B720="",$C720=""),"",$C720-$B720+1)</f>
        <v/>
      </c>
      <c r="AG720" s="32" t="n"/>
      <c r="AH720" s="36" t="n"/>
      <c r="AJ720">
        <f>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  <c r="AX720">
        <f>AW720&amp;IF($Y720="","",", "&amp;$Y720)</f>
        <v/>
      </c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0">
        <f>IF($F721="","",COUNTIF($F$5:$F721,$F721))</f>
        <v/>
      </c>
      <c r="H721" s="33">
        <f>IF($F721="","",IFERROR(INDEX(사건마스터!$B$5:$B$64,MATCH($F721,사건마스터!$A$5:$A$64,0)),""))</f>
        <v/>
      </c>
      <c r="I721" s="34">
        <f>IF($F721="","",IFERROR(INDEX(사건마스터!$C$5:$C$64,MATCH($F721,사건마스터!$A$5:$A$64,0)),""))</f>
        <v/>
      </c>
      <c r="J721" s="35">
        <f>IF($F721="","",IFERROR(INDEX(사건마스터!$H$5:$H$64,MATCH($F721,사건마스터!$A$5:$A$64,0)),""))</f>
        <v/>
      </c>
      <c r="K721" s="35">
        <f>IF($F721="","",IFERROR(INDEX(사건마스터!$AH$5:$AH$64,MATCH($F721,사건마스터!$A$5:$A$64,0)),""))</f>
        <v/>
      </c>
      <c r="L721" s="35">
        <f>IF($F721="","",IFERROR(INDEX(사건마스터!$AI$5:$AI$64,MATCH($F721,사건마스터!$A$5:$A$64,0)),""))</f>
        <v/>
      </c>
      <c r="M721" s="35">
        <f>IF($F721="","",IFERROR(INDEX(사건마스터!$AJ$5:$AJ$64,MATCH($F721,사건마스터!$A$5:$A$64,0)),""))</f>
        <v/>
      </c>
      <c r="N721" s="35">
        <f>IF($F721="","",IFERROR(INDEX(사건마스터!$AK$5:$AK$64,MATCH($F721,사건마스터!$A$5:$A$64,0)),""))</f>
        <v/>
      </c>
      <c r="O721" s="35">
        <f>IF($F721="","",IFERROR(INDEX(사건마스터!$AL$5:$AL$64,MATCH($F721,사건마스터!$A$5:$A$64,0)),""))</f>
        <v/>
      </c>
      <c r="P721" s="35">
        <f>IF($F721="","",IFERROR(INDEX(사건마스터!$AM$5:$AM$64,MATCH($F721,사건마스터!$A$5:$A$64,0)),""))</f>
        <v/>
      </c>
      <c r="Q721" s="35">
        <f>IF($F721="","",IFERROR(INDEX(사건마스터!$AN$5:$AN$64,MATCH($F721,사건마스터!$A$5:$A$64,0)),""))</f>
        <v/>
      </c>
      <c r="R721" s="35">
        <f>IF($F721="","",IFERROR(INDEX(사건마스터!$AO$5:$AO$64,MATCH($F721,사건마스터!$A$5:$A$64,0)),""))</f>
        <v/>
      </c>
      <c r="S721" s="35">
        <f>IF($F721="","",IFERROR(INDEX(사건마스터!$AP$5:$AP$64,MATCH($F721,사건마스터!$A$5:$A$64,0)),""))</f>
        <v/>
      </c>
      <c r="T721" s="35">
        <f>IF($F721="","",IFERROR(INDEX(사건마스터!$AQ$5:$AQ$64,MATCH($F721,사건마스터!$A$5:$A$64,0)),""))</f>
        <v/>
      </c>
      <c r="U721" s="35">
        <f>IF($F721="","",IFERROR(INDEX(사건마스터!$AR$5:$AR$64,MATCH($F721,사건마스터!$A$5:$A$64,0)),""))</f>
        <v/>
      </c>
      <c r="V721" s="35">
        <f>IF($F721="","",IFERROR(INDEX(사건마스터!$AS$5:$AS$64,MATCH($F721,사건마스터!$A$5:$A$64,0)),""))</f>
        <v/>
      </c>
      <c r="W721" s="35">
        <f>IF($F721="","",IFERROR(INDEX(사건마스터!$AT$5:$AT$64,MATCH($F721,사건마스터!$A$5:$A$64,0)),""))</f>
        <v/>
      </c>
      <c r="X721" s="35">
        <f>IF($F721="","",IFERROR(INDEX(사건마스터!$AU$5:$AU$64,MATCH($F721,사건마스터!$A$5:$A$64,0)),""))</f>
        <v/>
      </c>
      <c r="Y721" s="35">
        <f>IF($F721="","",IFERROR(INDEX(사건마스터!$AV$5:$AV$64,MATCH($F721,사건마스터!$A$5:$A$64,0)),""))</f>
        <v/>
      </c>
      <c r="Z721" s="30">
        <f>IF(COUNTBLANK($J721:$Y721)=16,"",16-COUNTBLANK($J721:$Y721))</f>
        <v/>
      </c>
      <c r="AA721" s="33">
        <f>IF($J721="",MID($AX721,3,255),$J721&amp;$AX721)</f>
        <v/>
      </c>
      <c r="AB721" s="34">
        <f>IF($J721="","",IFERROR(INDEX(코드설정!$D$5:$D$24,MATCH($J721,코드설정!$C$5:$C$24,0)),""))</f>
        <v/>
      </c>
      <c r="AC721" s="36" t="n"/>
      <c r="AD721" s="37" t="n"/>
      <c r="AE721" s="38" t="n"/>
      <c r="AF721" s="30">
        <f>IF(OR($B721="",$C721=""),"",$C721-$B721+1)</f>
        <v/>
      </c>
      <c r="AG721" s="32" t="n"/>
      <c r="AH721" s="36" t="n"/>
      <c r="AJ721">
        <f>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  <c r="AX721">
        <f>AW721&amp;IF($Y721="","",", "&amp;$Y721)</f>
        <v/>
      </c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0">
        <f>IF($F722="","",COUNTIF($F$5:$F722,$F722))</f>
        <v/>
      </c>
      <c r="H722" s="33">
        <f>IF($F722="","",IFERROR(INDEX(사건마스터!$B$5:$B$64,MATCH($F722,사건마스터!$A$5:$A$64,0)),""))</f>
        <v/>
      </c>
      <c r="I722" s="34">
        <f>IF($F722="","",IFERROR(INDEX(사건마스터!$C$5:$C$64,MATCH($F722,사건마스터!$A$5:$A$64,0)),""))</f>
        <v/>
      </c>
      <c r="J722" s="35">
        <f>IF($F722="","",IFERROR(INDEX(사건마스터!$H$5:$H$64,MATCH($F722,사건마스터!$A$5:$A$64,0)),""))</f>
        <v/>
      </c>
      <c r="K722" s="35">
        <f>IF($F722="","",IFERROR(INDEX(사건마스터!$AH$5:$AH$64,MATCH($F722,사건마스터!$A$5:$A$64,0)),""))</f>
        <v/>
      </c>
      <c r="L722" s="35">
        <f>IF($F722="","",IFERROR(INDEX(사건마스터!$AI$5:$AI$64,MATCH($F722,사건마스터!$A$5:$A$64,0)),""))</f>
        <v/>
      </c>
      <c r="M722" s="35">
        <f>IF($F722="","",IFERROR(INDEX(사건마스터!$AJ$5:$AJ$64,MATCH($F722,사건마스터!$A$5:$A$64,0)),""))</f>
        <v/>
      </c>
      <c r="N722" s="35">
        <f>IF($F722="","",IFERROR(INDEX(사건마스터!$AK$5:$AK$64,MATCH($F722,사건마스터!$A$5:$A$64,0)),""))</f>
        <v/>
      </c>
      <c r="O722" s="35">
        <f>IF($F722="","",IFERROR(INDEX(사건마스터!$AL$5:$AL$64,MATCH($F722,사건마스터!$A$5:$A$64,0)),""))</f>
        <v/>
      </c>
      <c r="P722" s="35">
        <f>IF($F722="","",IFERROR(INDEX(사건마스터!$AM$5:$AM$64,MATCH($F722,사건마스터!$A$5:$A$64,0)),""))</f>
        <v/>
      </c>
      <c r="Q722" s="35">
        <f>IF($F722="","",IFERROR(INDEX(사건마스터!$AN$5:$AN$64,MATCH($F722,사건마스터!$A$5:$A$64,0)),""))</f>
        <v/>
      </c>
      <c r="R722" s="35">
        <f>IF($F722="","",IFERROR(INDEX(사건마스터!$AO$5:$AO$64,MATCH($F722,사건마스터!$A$5:$A$64,0)),""))</f>
        <v/>
      </c>
      <c r="S722" s="35">
        <f>IF($F722="","",IFERROR(INDEX(사건마스터!$AP$5:$AP$64,MATCH($F722,사건마스터!$A$5:$A$64,0)),""))</f>
        <v/>
      </c>
      <c r="T722" s="35">
        <f>IF($F722="","",IFERROR(INDEX(사건마스터!$AQ$5:$AQ$64,MATCH($F722,사건마스터!$A$5:$A$64,0)),""))</f>
        <v/>
      </c>
      <c r="U722" s="35">
        <f>IF($F722="","",IFERROR(INDEX(사건마스터!$AR$5:$AR$64,MATCH($F722,사건마스터!$A$5:$A$64,0)),""))</f>
        <v/>
      </c>
      <c r="V722" s="35">
        <f>IF($F722="","",IFERROR(INDEX(사건마스터!$AS$5:$AS$64,MATCH($F722,사건마스터!$A$5:$A$64,0)),""))</f>
        <v/>
      </c>
      <c r="W722" s="35">
        <f>IF($F722="","",IFERROR(INDEX(사건마스터!$AT$5:$AT$64,MATCH($F722,사건마스터!$A$5:$A$64,0)),""))</f>
        <v/>
      </c>
      <c r="X722" s="35">
        <f>IF($F722="","",IFERROR(INDEX(사건마스터!$AU$5:$AU$64,MATCH($F722,사건마스터!$A$5:$A$64,0)),""))</f>
        <v/>
      </c>
      <c r="Y722" s="35">
        <f>IF($F722="","",IFERROR(INDEX(사건마스터!$AV$5:$AV$64,MATCH($F722,사건마스터!$A$5:$A$64,0)),""))</f>
        <v/>
      </c>
      <c r="Z722" s="30">
        <f>IF(COUNTBLANK($J722:$Y722)=16,"",16-COUNTBLANK($J722:$Y722))</f>
        <v/>
      </c>
      <c r="AA722" s="33">
        <f>IF($J722="",MID($AX722,3,255),$J722&amp;$AX722)</f>
        <v/>
      </c>
      <c r="AB722" s="34">
        <f>IF($J722="","",IFERROR(INDEX(코드설정!$D$5:$D$24,MATCH($J722,코드설정!$C$5:$C$24,0)),""))</f>
        <v/>
      </c>
      <c r="AC722" s="36" t="n"/>
      <c r="AD722" s="37" t="n"/>
      <c r="AE722" s="38" t="n"/>
      <c r="AF722" s="30">
        <f>IF(OR($B722="",$C722=""),"",$C722-$B722+1)</f>
        <v/>
      </c>
      <c r="AG722" s="32" t="n"/>
      <c r="AH722" s="36" t="n"/>
      <c r="AJ722">
        <f>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  <c r="AX722">
        <f>AW722&amp;IF($Y722="","",", "&amp;$Y722)</f>
        <v/>
      </c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0">
        <f>IF($F723="","",COUNTIF($F$5:$F723,$F723))</f>
        <v/>
      </c>
      <c r="H723" s="33">
        <f>IF($F723="","",IFERROR(INDEX(사건마스터!$B$5:$B$64,MATCH($F723,사건마스터!$A$5:$A$64,0)),""))</f>
        <v/>
      </c>
      <c r="I723" s="34">
        <f>IF($F723="","",IFERROR(INDEX(사건마스터!$C$5:$C$64,MATCH($F723,사건마스터!$A$5:$A$64,0)),""))</f>
        <v/>
      </c>
      <c r="J723" s="35">
        <f>IF($F723="","",IFERROR(INDEX(사건마스터!$H$5:$H$64,MATCH($F723,사건마스터!$A$5:$A$64,0)),""))</f>
        <v/>
      </c>
      <c r="K723" s="35">
        <f>IF($F723="","",IFERROR(INDEX(사건마스터!$AH$5:$AH$64,MATCH($F723,사건마스터!$A$5:$A$64,0)),""))</f>
        <v/>
      </c>
      <c r="L723" s="35">
        <f>IF($F723="","",IFERROR(INDEX(사건마스터!$AI$5:$AI$64,MATCH($F723,사건마스터!$A$5:$A$64,0)),""))</f>
        <v/>
      </c>
      <c r="M723" s="35">
        <f>IF($F723="","",IFERROR(INDEX(사건마스터!$AJ$5:$AJ$64,MATCH($F723,사건마스터!$A$5:$A$64,0)),""))</f>
        <v/>
      </c>
      <c r="N723" s="35">
        <f>IF($F723="","",IFERROR(INDEX(사건마스터!$AK$5:$AK$64,MATCH($F723,사건마스터!$A$5:$A$64,0)),""))</f>
        <v/>
      </c>
      <c r="O723" s="35">
        <f>IF($F723="","",IFERROR(INDEX(사건마스터!$AL$5:$AL$64,MATCH($F723,사건마스터!$A$5:$A$64,0)),""))</f>
        <v/>
      </c>
      <c r="P723" s="35">
        <f>IF($F723="","",IFERROR(INDEX(사건마스터!$AM$5:$AM$64,MATCH($F723,사건마스터!$A$5:$A$64,0)),""))</f>
        <v/>
      </c>
      <c r="Q723" s="35">
        <f>IF($F723="","",IFERROR(INDEX(사건마스터!$AN$5:$AN$64,MATCH($F723,사건마스터!$A$5:$A$64,0)),""))</f>
        <v/>
      </c>
      <c r="R723" s="35">
        <f>IF($F723="","",IFERROR(INDEX(사건마스터!$AO$5:$AO$64,MATCH($F723,사건마스터!$A$5:$A$64,0)),""))</f>
        <v/>
      </c>
      <c r="S723" s="35">
        <f>IF($F723="","",IFERROR(INDEX(사건마스터!$AP$5:$AP$64,MATCH($F723,사건마스터!$A$5:$A$64,0)),""))</f>
        <v/>
      </c>
      <c r="T723" s="35">
        <f>IF($F723="","",IFERROR(INDEX(사건마스터!$AQ$5:$AQ$64,MATCH($F723,사건마스터!$A$5:$A$64,0)),""))</f>
        <v/>
      </c>
      <c r="U723" s="35">
        <f>IF($F723="","",IFERROR(INDEX(사건마스터!$AR$5:$AR$64,MATCH($F723,사건마스터!$A$5:$A$64,0)),""))</f>
        <v/>
      </c>
      <c r="V723" s="35">
        <f>IF($F723="","",IFERROR(INDEX(사건마스터!$AS$5:$AS$64,MATCH($F723,사건마스터!$A$5:$A$64,0)),""))</f>
        <v/>
      </c>
      <c r="W723" s="35">
        <f>IF($F723="","",IFERROR(INDEX(사건마스터!$AT$5:$AT$64,MATCH($F723,사건마스터!$A$5:$A$64,0)),""))</f>
        <v/>
      </c>
      <c r="X723" s="35">
        <f>IF($F723="","",IFERROR(INDEX(사건마스터!$AU$5:$AU$64,MATCH($F723,사건마스터!$A$5:$A$64,0)),""))</f>
        <v/>
      </c>
      <c r="Y723" s="35">
        <f>IF($F723="","",IFERROR(INDEX(사건마스터!$AV$5:$AV$64,MATCH($F723,사건마스터!$A$5:$A$64,0)),""))</f>
        <v/>
      </c>
      <c r="Z723" s="30">
        <f>IF(COUNTBLANK($J723:$Y723)=16,"",16-COUNTBLANK($J723:$Y723))</f>
        <v/>
      </c>
      <c r="AA723" s="33">
        <f>IF($J723="",MID($AX723,3,255),$J723&amp;$AX723)</f>
        <v/>
      </c>
      <c r="AB723" s="34">
        <f>IF($J723="","",IFERROR(INDEX(코드설정!$D$5:$D$24,MATCH($J723,코드설정!$C$5:$C$24,0)),""))</f>
        <v/>
      </c>
      <c r="AC723" s="36" t="n"/>
      <c r="AD723" s="37" t="n"/>
      <c r="AE723" s="38" t="n"/>
      <c r="AF723" s="30">
        <f>IF(OR($B723="",$C723=""),"",$C723-$B723+1)</f>
        <v/>
      </c>
      <c r="AG723" s="32" t="n"/>
      <c r="AH723" s="36" t="n"/>
      <c r="AJ723">
        <f>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  <c r="AX723">
        <f>AW723&amp;IF($Y723="","",", "&amp;$Y723)</f>
        <v/>
      </c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0">
        <f>IF($F724="","",COUNTIF($F$5:$F724,$F724))</f>
        <v/>
      </c>
      <c r="H724" s="33">
        <f>IF($F724="","",IFERROR(INDEX(사건마스터!$B$5:$B$64,MATCH($F724,사건마스터!$A$5:$A$64,0)),""))</f>
        <v/>
      </c>
      <c r="I724" s="34">
        <f>IF($F724="","",IFERROR(INDEX(사건마스터!$C$5:$C$64,MATCH($F724,사건마스터!$A$5:$A$64,0)),""))</f>
        <v/>
      </c>
      <c r="J724" s="35">
        <f>IF($F724="","",IFERROR(INDEX(사건마스터!$H$5:$H$64,MATCH($F724,사건마스터!$A$5:$A$64,0)),""))</f>
        <v/>
      </c>
      <c r="K724" s="35">
        <f>IF($F724="","",IFERROR(INDEX(사건마스터!$AH$5:$AH$64,MATCH($F724,사건마스터!$A$5:$A$64,0)),""))</f>
        <v/>
      </c>
      <c r="L724" s="35">
        <f>IF($F724="","",IFERROR(INDEX(사건마스터!$AI$5:$AI$64,MATCH($F724,사건마스터!$A$5:$A$64,0)),""))</f>
        <v/>
      </c>
      <c r="M724" s="35">
        <f>IF($F724="","",IFERROR(INDEX(사건마스터!$AJ$5:$AJ$64,MATCH($F724,사건마스터!$A$5:$A$64,0)),""))</f>
        <v/>
      </c>
      <c r="N724" s="35">
        <f>IF($F724="","",IFERROR(INDEX(사건마스터!$AK$5:$AK$64,MATCH($F724,사건마스터!$A$5:$A$64,0)),""))</f>
        <v/>
      </c>
      <c r="O724" s="35">
        <f>IF($F724="","",IFERROR(INDEX(사건마스터!$AL$5:$AL$64,MATCH($F724,사건마스터!$A$5:$A$64,0)),""))</f>
        <v/>
      </c>
      <c r="P724" s="35">
        <f>IF($F724="","",IFERROR(INDEX(사건마스터!$AM$5:$AM$64,MATCH($F724,사건마스터!$A$5:$A$64,0)),""))</f>
        <v/>
      </c>
      <c r="Q724" s="35">
        <f>IF($F724="","",IFERROR(INDEX(사건마스터!$AN$5:$AN$64,MATCH($F724,사건마스터!$A$5:$A$64,0)),""))</f>
        <v/>
      </c>
      <c r="R724" s="35">
        <f>IF($F724="","",IFERROR(INDEX(사건마스터!$AO$5:$AO$64,MATCH($F724,사건마스터!$A$5:$A$64,0)),""))</f>
        <v/>
      </c>
      <c r="S724" s="35">
        <f>IF($F724="","",IFERROR(INDEX(사건마스터!$AP$5:$AP$64,MATCH($F724,사건마스터!$A$5:$A$64,0)),""))</f>
        <v/>
      </c>
      <c r="T724" s="35">
        <f>IF($F724="","",IFERROR(INDEX(사건마스터!$AQ$5:$AQ$64,MATCH($F724,사건마스터!$A$5:$A$64,0)),""))</f>
        <v/>
      </c>
      <c r="U724" s="35">
        <f>IF($F724="","",IFERROR(INDEX(사건마스터!$AR$5:$AR$64,MATCH($F724,사건마스터!$A$5:$A$64,0)),""))</f>
        <v/>
      </c>
      <c r="V724" s="35">
        <f>IF($F724="","",IFERROR(INDEX(사건마스터!$AS$5:$AS$64,MATCH($F724,사건마스터!$A$5:$A$64,0)),""))</f>
        <v/>
      </c>
      <c r="W724" s="35">
        <f>IF($F724="","",IFERROR(INDEX(사건마스터!$AT$5:$AT$64,MATCH($F724,사건마스터!$A$5:$A$64,0)),""))</f>
        <v/>
      </c>
      <c r="X724" s="35">
        <f>IF($F724="","",IFERROR(INDEX(사건마스터!$AU$5:$AU$64,MATCH($F724,사건마스터!$A$5:$A$64,0)),""))</f>
        <v/>
      </c>
      <c r="Y724" s="35">
        <f>IF($F724="","",IFERROR(INDEX(사건마스터!$AV$5:$AV$64,MATCH($F724,사건마스터!$A$5:$A$64,0)),""))</f>
        <v/>
      </c>
      <c r="Z724" s="30">
        <f>IF(COUNTBLANK($J724:$Y724)=16,"",16-COUNTBLANK($J724:$Y724))</f>
        <v/>
      </c>
      <c r="AA724" s="33">
        <f>IF($J724="",MID($AX724,3,255),$J724&amp;$AX724)</f>
        <v/>
      </c>
      <c r="AB724" s="34">
        <f>IF($J724="","",IFERROR(INDEX(코드설정!$D$5:$D$24,MATCH($J724,코드설정!$C$5:$C$24,0)),""))</f>
        <v/>
      </c>
      <c r="AC724" s="36" t="n"/>
      <c r="AD724" s="37" t="n"/>
      <c r="AE724" s="38" t="n"/>
      <c r="AF724" s="30">
        <f>IF(OR($B724="",$C724=""),"",$C724-$B724+1)</f>
        <v/>
      </c>
      <c r="AG724" s="32" t="n"/>
      <c r="AH724" s="36" t="n"/>
      <c r="AJ724">
        <f>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  <c r="AX724">
        <f>AW724&amp;IF($Y724="","",", "&amp;$Y724)</f>
        <v/>
      </c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0">
        <f>IF($F725="","",COUNTIF($F$5:$F725,$F725))</f>
        <v/>
      </c>
      <c r="H725" s="33">
        <f>IF($F725="","",IFERROR(INDEX(사건마스터!$B$5:$B$64,MATCH($F725,사건마스터!$A$5:$A$64,0)),""))</f>
        <v/>
      </c>
      <c r="I725" s="34">
        <f>IF($F725="","",IFERROR(INDEX(사건마스터!$C$5:$C$64,MATCH($F725,사건마스터!$A$5:$A$64,0)),""))</f>
        <v/>
      </c>
      <c r="J725" s="35">
        <f>IF($F725="","",IFERROR(INDEX(사건마스터!$H$5:$H$64,MATCH($F725,사건마스터!$A$5:$A$64,0)),""))</f>
        <v/>
      </c>
      <c r="K725" s="35">
        <f>IF($F725="","",IFERROR(INDEX(사건마스터!$AH$5:$AH$64,MATCH($F725,사건마스터!$A$5:$A$64,0)),""))</f>
        <v/>
      </c>
      <c r="L725" s="35">
        <f>IF($F725="","",IFERROR(INDEX(사건마스터!$AI$5:$AI$64,MATCH($F725,사건마스터!$A$5:$A$64,0)),""))</f>
        <v/>
      </c>
      <c r="M725" s="35">
        <f>IF($F725="","",IFERROR(INDEX(사건마스터!$AJ$5:$AJ$64,MATCH($F725,사건마스터!$A$5:$A$64,0)),""))</f>
        <v/>
      </c>
      <c r="N725" s="35">
        <f>IF($F725="","",IFERROR(INDEX(사건마스터!$AK$5:$AK$64,MATCH($F725,사건마스터!$A$5:$A$64,0)),""))</f>
        <v/>
      </c>
      <c r="O725" s="35">
        <f>IF($F725="","",IFERROR(INDEX(사건마스터!$AL$5:$AL$64,MATCH($F725,사건마스터!$A$5:$A$64,0)),""))</f>
        <v/>
      </c>
      <c r="P725" s="35">
        <f>IF($F725="","",IFERROR(INDEX(사건마스터!$AM$5:$AM$64,MATCH($F725,사건마스터!$A$5:$A$64,0)),""))</f>
        <v/>
      </c>
      <c r="Q725" s="35">
        <f>IF($F725="","",IFERROR(INDEX(사건마스터!$AN$5:$AN$64,MATCH($F725,사건마스터!$A$5:$A$64,0)),""))</f>
        <v/>
      </c>
      <c r="R725" s="35">
        <f>IF($F725="","",IFERROR(INDEX(사건마스터!$AO$5:$AO$64,MATCH($F725,사건마스터!$A$5:$A$64,0)),""))</f>
        <v/>
      </c>
      <c r="S725" s="35">
        <f>IF($F725="","",IFERROR(INDEX(사건마스터!$AP$5:$AP$64,MATCH($F725,사건마스터!$A$5:$A$64,0)),""))</f>
        <v/>
      </c>
      <c r="T725" s="35">
        <f>IF($F725="","",IFERROR(INDEX(사건마스터!$AQ$5:$AQ$64,MATCH($F725,사건마스터!$A$5:$A$64,0)),""))</f>
        <v/>
      </c>
      <c r="U725" s="35">
        <f>IF($F725="","",IFERROR(INDEX(사건마스터!$AR$5:$AR$64,MATCH($F725,사건마스터!$A$5:$A$64,0)),""))</f>
        <v/>
      </c>
      <c r="V725" s="35">
        <f>IF($F725="","",IFERROR(INDEX(사건마스터!$AS$5:$AS$64,MATCH($F725,사건마스터!$A$5:$A$64,0)),""))</f>
        <v/>
      </c>
      <c r="W725" s="35">
        <f>IF($F725="","",IFERROR(INDEX(사건마스터!$AT$5:$AT$64,MATCH($F725,사건마스터!$A$5:$A$64,0)),""))</f>
        <v/>
      </c>
      <c r="X725" s="35">
        <f>IF($F725="","",IFERROR(INDEX(사건마스터!$AU$5:$AU$64,MATCH($F725,사건마스터!$A$5:$A$64,0)),""))</f>
        <v/>
      </c>
      <c r="Y725" s="35">
        <f>IF($F725="","",IFERROR(INDEX(사건마스터!$AV$5:$AV$64,MATCH($F725,사건마스터!$A$5:$A$64,0)),""))</f>
        <v/>
      </c>
      <c r="Z725" s="30">
        <f>IF(COUNTBLANK($J725:$Y725)=16,"",16-COUNTBLANK($J725:$Y725))</f>
        <v/>
      </c>
      <c r="AA725" s="33">
        <f>IF($J725="",MID($AX725,3,255),$J725&amp;$AX725)</f>
        <v/>
      </c>
      <c r="AB725" s="34">
        <f>IF($J725="","",IFERROR(INDEX(코드설정!$D$5:$D$24,MATCH($J725,코드설정!$C$5:$C$24,0)),""))</f>
        <v/>
      </c>
      <c r="AC725" s="36" t="n"/>
      <c r="AD725" s="37" t="n"/>
      <c r="AE725" s="38" t="n"/>
      <c r="AF725" s="30">
        <f>IF(OR($B725="",$C725=""),"",$C725-$B725+1)</f>
        <v/>
      </c>
      <c r="AG725" s="32" t="n"/>
      <c r="AH725" s="36" t="n"/>
      <c r="AJ725">
        <f>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  <c r="AX725">
        <f>AW725&amp;IF($Y725="","",", "&amp;$Y725)</f>
        <v/>
      </c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0">
        <f>IF($F726="","",COUNTIF($F$5:$F726,$F726))</f>
        <v/>
      </c>
      <c r="H726" s="33">
        <f>IF($F726="","",IFERROR(INDEX(사건마스터!$B$5:$B$64,MATCH($F726,사건마스터!$A$5:$A$64,0)),""))</f>
        <v/>
      </c>
      <c r="I726" s="34">
        <f>IF($F726="","",IFERROR(INDEX(사건마스터!$C$5:$C$64,MATCH($F726,사건마스터!$A$5:$A$64,0)),""))</f>
        <v/>
      </c>
      <c r="J726" s="35">
        <f>IF($F726="","",IFERROR(INDEX(사건마스터!$H$5:$H$64,MATCH($F726,사건마스터!$A$5:$A$64,0)),""))</f>
        <v/>
      </c>
      <c r="K726" s="35">
        <f>IF($F726="","",IFERROR(INDEX(사건마스터!$AH$5:$AH$64,MATCH($F726,사건마스터!$A$5:$A$64,0)),""))</f>
        <v/>
      </c>
      <c r="L726" s="35">
        <f>IF($F726="","",IFERROR(INDEX(사건마스터!$AI$5:$AI$64,MATCH($F726,사건마스터!$A$5:$A$64,0)),""))</f>
        <v/>
      </c>
      <c r="M726" s="35">
        <f>IF($F726="","",IFERROR(INDEX(사건마스터!$AJ$5:$AJ$64,MATCH($F726,사건마스터!$A$5:$A$64,0)),""))</f>
        <v/>
      </c>
      <c r="N726" s="35">
        <f>IF($F726="","",IFERROR(INDEX(사건마스터!$AK$5:$AK$64,MATCH($F726,사건마스터!$A$5:$A$64,0)),""))</f>
        <v/>
      </c>
      <c r="O726" s="35">
        <f>IF($F726="","",IFERROR(INDEX(사건마스터!$AL$5:$AL$64,MATCH($F726,사건마스터!$A$5:$A$64,0)),""))</f>
        <v/>
      </c>
      <c r="P726" s="35">
        <f>IF($F726="","",IFERROR(INDEX(사건마스터!$AM$5:$AM$64,MATCH($F726,사건마스터!$A$5:$A$64,0)),""))</f>
        <v/>
      </c>
      <c r="Q726" s="35">
        <f>IF($F726="","",IFERROR(INDEX(사건마스터!$AN$5:$AN$64,MATCH($F726,사건마스터!$A$5:$A$64,0)),""))</f>
        <v/>
      </c>
      <c r="R726" s="35">
        <f>IF($F726="","",IFERROR(INDEX(사건마스터!$AO$5:$AO$64,MATCH($F726,사건마스터!$A$5:$A$64,0)),""))</f>
        <v/>
      </c>
      <c r="S726" s="35">
        <f>IF($F726="","",IFERROR(INDEX(사건마스터!$AP$5:$AP$64,MATCH($F726,사건마스터!$A$5:$A$64,0)),""))</f>
        <v/>
      </c>
      <c r="T726" s="35">
        <f>IF($F726="","",IFERROR(INDEX(사건마스터!$AQ$5:$AQ$64,MATCH($F726,사건마스터!$A$5:$A$64,0)),""))</f>
        <v/>
      </c>
      <c r="U726" s="35">
        <f>IF($F726="","",IFERROR(INDEX(사건마스터!$AR$5:$AR$64,MATCH($F726,사건마스터!$A$5:$A$64,0)),""))</f>
        <v/>
      </c>
      <c r="V726" s="35">
        <f>IF($F726="","",IFERROR(INDEX(사건마스터!$AS$5:$AS$64,MATCH($F726,사건마스터!$A$5:$A$64,0)),""))</f>
        <v/>
      </c>
      <c r="W726" s="35">
        <f>IF($F726="","",IFERROR(INDEX(사건마스터!$AT$5:$AT$64,MATCH($F726,사건마스터!$A$5:$A$64,0)),""))</f>
        <v/>
      </c>
      <c r="X726" s="35">
        <f>IF($F726="","",IFERROR(INDEX(사건마스터!$AU$5:$AU$64,MATCH($F726,사건마스터!$A$5:$A$64,0)),""))</f>
        <v/>
      </c>
      <c r="Y726" s="35">
        <f>IF($F726="","",IFERROR(INDEX(사건마스터!$AV$5:$AV$64,MATCH($F726,사건마스터!$A$5:$A$64,0)),""))</f>
        <v/>
      </c>
      <c r="Z726" s="30">
        <f>IF(COUNTBLANK($J726:$Y726)=16,"",16-COUNTBLANK($J726:$Y726))</f>
        <v/>
      </c>
      <c r="AA726" s="33">
        <f>IF($J726="",MID($AX726,3,255),$J726&amp;$AX726)</f>
        <v/>
      </c>
      <c r="AB726" s="34">
        <f>IF($J726="","",IFERROR(INDEX(코드설정!$D$5:$D$24,MATCH($J726,코드설정!$C$5:$C$24,0)),""))</f>
        <v/>
      </c>
      <c r="AC726" s="36" t="n"/>
      <c r="AD726" s="37" t="n"/>
      <c r="AE726" s="38" t="n"/>
      <c r="AF726" s="30">
        <f>IF(OR($B726="",$C726=""),"",$C726-$B726+1)</f>
        <v/>
      </c>
      <c r="AG726" s="32" t="n"/>
      <c r="AH726" s="36" t="n"/>
      <c r="AJ726">
        <f>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  <c r="AX726">
        <f>AW726&amp;IF($Y726="","",", "&amp;$Y726)</f>
        <v/>
      </c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0">
        <f>IF($F727="","",COUNTIF($F$5:$F727,$F727))</f>
        <v/>
      </c>
      <c r="H727" s="33">
        <f>IF($F727="","",IFERROR(INDEX(사건마스터!$B$5:$B$64,MATCH($F727,사건마스터!$A$5:$A$64,0)),""))</f>
        <v/>
      </c>
      <c r="I727" s="34">
        <f>IF($F727="","",IFERROR(INDEX(사건마스터!$C$5:$C$64,MATCH($F727,사건마스터!$A$5:$A$64,0)),""))</f>
        <v/>
      </c>
      <c r="J727" s="35">
        <f>IF($F727="","",IFERROR(INDEX(사건마스터!$H$5:$H$64,MATCH($F727,사건마스터!$A$5:$A$64,0)),""))</f>
        <v/>
      </c>
      <c r="K727" s="35">
        <f>IF($F727="","",IFERROR(INDEX(사건마스터!$AH$5:$AH$64,MATCH($F727,사건마스터!$A$5:$A$64,0)),""))</f>
        <v/>
      </c>
      <c r="L727" s="35">
        <f>IF($F727="","",IFERROR(INDEX(사건마스터!$AI$5:$AI$64,MATCH($F727,사건마스터!$A$5:$A$64,0)),""))</f>
        <v/>
      </c>
      <c r="M727" s="35">
        <f>IF($F727="","",IFERROR(INDEX(사건마스터!$AJ$5:$AJ$64,MATCH($F727,사건마스터!$A$5:$A$64,0)),""))</f>
        <v/>
      </c>
      <c r="N727" s="35">
        <f>IF($F727="","",IFERROR(INDEX(사건마스터!$AK$5:$AK$64,MATCH($F727,사건마스터!$A$5:$A$64,0)),""))</f>
        <v/>
      </c>
      <c r="O727" s="35">
        <f>IF($F727="","",IFERROR(INDEX(사건마스터!$AL$5:$AL$64,MATCH($F727,사건마스터!$A$5:$A$64,0)),""))</f>
        <v/>
      </c>
      <c r="P727" s="35">
        <f>IF($F727="","",IFERROR(INDEX(사건마스터!$AM$5:$AM$64,MATCH($F727,사건마스터!$A$5:$A$64,0)),""))</f>
        <v/>
      </c>
      <c r="Q727" s="35">
        <f>IF($F727="","",IFERROR(INDEX(사건마스터!$AN$5:$AN$64,MATCH($F727,사건마스터!$A$5:$A$64,0)),""))</f>
        <v/>
      </c>
      <c r="R727" s="35">
        <f>IF($F727="","",IFERROR(INDEX(사건마스터!$AO$5:$AO$64,MATCH($F727,사건마스터!$A$5:$A$64,0)),""))</f>
        <v/>
      </c>
      <c r="S727" s="35">
        <f>IF($F727="","",IFERROR(INDEX(사건마스터!$AP$5:$AP$64,MATCH($F727,사건마스터!$A$5:$A$64,0)),""))</f>
        <v/>
      </c>
      <c r="T727" s="35">
        <f>IF($F727="","",IFERROR(INDEX(사건마스터!$AQ$5:$AQ$64,MATCH($F727,사건마스터!$A$5:$A$64,0)),""))</f>
        <v/>
      </c>
      <c r="U727" s="35">
        <f>IF($F727="","",IFERROR(INDEX(사건마스터!$AR$5:$AR$64,MATCH($F727,사건마스터!$A$5:$A$64,0)),""))</f>
        <v/>
      </c>
      <c r="V727" s="35">
        <f>IF($F727="","",IFERROR(INDEX(사건마스터!$AS$5:$AS$64,MATCH($F727,사건마스터!$A$5:$A$64,0)),""))</f>
        <v/>
      </c>
      <c r="W727" s="35">
        <f>IF($F727="","",IFERROR(INDEX(사건마스터!$AT$5:$AT$64,MATCH($F727,사건마스터!$A$5:$A$64,0)),""))</f>
        <v/>
      </c>
      <c r="X727" s="35">
        <f>IF($F727="","",IFERROR(INDEX(사건마스터!$AU$5:$AU$64,MATCH($F727,사건마스터!$A$5:$A$64,0)),""))</f>
        <v/>
      </c>
      <c r="Y727" s="35">
        <f>IF($F727="","",IFERROR(INDEX(사건마스터!$AV$5:$AV$64,MATCH($F727,사건마스터!$A$5:$A$64,0)),""))</f>
        <v/>
      </c>
      <c r="Z727" s="30">
        <f>IF(COUNTBLANK($J727:$Y727)=16,"",16-COUNTBLANK($J727:$Y727))</f>
        <v/>
      </c>
      <c r="AA727" s="33">
        <f>IF($J727="",MID($AX727,3,255),$J727&amp;$AX727)</f>
        <v/>
      </c>
      <c r="AB727" s="34">
        <f>IF($J727="","",IFERROR(INDEX(코드설정!$D$5:$D$24,MATCH($J727,코드설정!$C$5:$C$24,0)),""))</f>
        <v/>
      </c>
      <c r="AC727" s="36" t="n"/>
      <c r="AD727" s="37" t="n"/>
      <c r="AE727" s="38" t="n"/>
      <c r="AF727" s="30">
        <f>IF(OR($B727="",$C727=""),"",$C727-$B727+1)</f>
        <v/>
      </c>
      <c r="AG727" s="32" t="n"/>
      <c r="AH727" s="36" t="n"/>
      <c r="AJ727">
        <f>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  <c r="AX727">
        <f>AW727&amp;IF($Y727="","",", "&amp;$Y727)</f>
        <v/>
      </c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0">
        <f>IF($F728="","",COUNTIF($F$5:$F728,$F728))</f>
        <v/>
      </c>
      <c r="H728" s="33">
        <f>IF($F728="","",IFERROR(INDEX(사건마스터!$B$5:$B$64,MATCH($F728,사건마스터!$A$5:$A$64,0)),""))</f>
        <v/>
      </c>
      <c r="I728" s="34">
        <f>IF($F728="","",IFERROR(INDEX(사건마스터!$C$5:$C$64,MATCH($F728,사건마스터!$A$5:$A$64,0)),""))</f>
        <v/>
      </c>
      <c r="J728" s="35">
        <f>IF($F728="","",IFERROR(INDEX(사건마스터!$H$5:$H$64,MATCH($F728,사건마스터!$A$5:$A$64,0)),""))</f>
        <v/>
      </c>
      <c r="K728" s="35">
        <f>IF($F728="","",IFERROR(INDEX(사건마스터!$AH$5:$AH$64,MATCH($F728,사건마스터!$A$5:$A$64,0)),""))</f>
        <v/>
      </c>
      <c r="L728" s="35">
        <f>IF($F728="","",IFERROR(INDEX(사건마스터!$AI$5:$AI$64,MATCH($F728,사건마스터!$A$5:$A$64,0)),""))</f>
        <v/>
      </c>
      <c r="M728" s="35">
        <f>IF($F728="","",IFERROR(INDEX(사건마스터!$AJ$5:$AJ$64,MATCH($F728,사건마스터!$A$5:$A$64,0)),""))</f>
        <v/>
      </c>
      <c r="N728" s="35">
        <f>IF($F728="","",IFERROR(INDEX(사건마스터!$AK$5:$AK$64,MATCH($F728,사건마스터!$A$5:$A$64,0)),""))</f>
        <v/>
      </c>
      <c r="O728" s="35">
        <f>IF($F728="","",IFERROR(INDEX(사건마스터!$AL$5:$AL$64,MATCH($F728,사건마스터!$A$5:$A$64,0)),""))</f>
        <v/>
      </c>
      <c r="P728" s="35">
        <f>IF($F728="","",IFERROR(INDEX(사건마스터!$AM$5:$AM$64,MATCH($F728,사건마스터!$A$5:$A$64,0)),""))</f>
        <v/>
      </c>
      <c r="Q728" s="35">
        <f>IF($F728="","",IFERROR(INDEX(사건마스터!$AN$5:$AN$64,MATCH($F728,사건마스터!$A$5:$A$64,0)),""))</f>
        <v/>
      </c>
      <c r="R728" s="35">
        <f>IF($F728="","",IFERROR(INDEX(사건마스터!$AO$5:$AO$64,MATCH($F728,사건마스터!$A$5:$A$64,0)),""))</f>
        <v/>
      </c>
      <c r="S728" s="35">
        <f>IF($F728="","",IFERROR(INDEX(사건마스터!$AP$5:$AP$64,MATCH($F728,사건마스터!$A$5:$A$64,0)),""))</f>
        <v/>
      </c>
      <c r="T728" s="35">
        <f>IF($F728="","",IFERROR(INDEX(사건마스터!$AQ$5:$AQ$64,MATCH($F728,사건마스터!$A$5:$A$64,0)),""))</f>
        <v/>
      </c>
      <c r="U728" s="35">
        <f>IF($F728="","",IFERROR(INDEX(사건마스터!$AR$5:$AR$64,MATCH($F728,사건마스터!$A$5:$A$64,0)),""))</f>
        <v/>
      </c>
      <c r="V728" s="35">
        <f>IF($F728="","",IFERROR(INDEX(사건마스터!$AS$5:$AS$64,MATCH($F728,사건마스터!$A$5:$A$64,0)),""))</f>
        <v/>
      </c>
      <c r="W728" s="35">
        <f>IF($F728="","",IFERROR(INDEX(사건마스터!$AT$5:$AT$64,MATCH($F728,사건마스터!$A$5:$A$64,0)),""))</f>
        <v/>
      </c>
      <c r="X728" s="35">
        <f>IF($F728="","",IFERROR(INDEX(사건마스터!$AU$5:$AU$64,MATCH($F728,사건마스터!$A$5:$A$64,0)),""))</f>
        <v/>
      </c>
      <c r="Y728" s="35">
        <f>IF($F728="","",IFERROR(INDEX(사건마스터!$AV$5:$AV$64,MATCH($F728,사건마스터!$A$5:$A$64,0)),""))</f>
        <v/>
      </c>
      <c r="Z728" s="30">
        <f>IF(COUNTBLANK($J728:$Y728)=16,"",16-COUNTBLANK($J728:$Y728))</f>
        <v/>
      </c>
      <c r="AA728" s="33">
        <f>IF($J728="",MID($AX728,3,255),$J728&amp;$AX728)</f>
        <v/>
      </c>
      <c r="AB728" s="34">
        <f>IF($J728="","",IFERROR(INDEX(코드설정!$D$5:$D$24,MATCH($J728,코드설정!$C$5:$C$24,0)),""))</f>
        <v/>
      </c>
      <c r="AC728" s="36" t="n"/>
      <c r="AD728" s="37" t="n"/>
      <c r="AE728" s="38" t="n"/>
      <c r="AF728" s="30">
        <f>IF(OR($B728="",$C728=""),"",$C728-$B728+1)</f>
        <v/>
      </c>
      <c r="AG728" s="32" t="n"/>
      <c r="AH728" s="36" t="n"/>
      <c r="AJ728">
        <f>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  <c r="AX728">
        <f>AW728&amp;IF($Y728="","",", "&amp;$Y728)</f>
        <v/>
      </c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0">
        <f>IF($F729="","",COUNTIF($F$5:$F729,$F729))</f>
        <v/>
      </c>
      <c r="H729" s="33">
        <f>IF($F729="","",IFERROR(INDEX(사건마스터!$B$5:$B$64,MATCH($F729,사건마스터!$A$5:$A$64,0)),""))</f>
        <v/>
      </c>
      <c r="I729" s="34">
        <f>IF($F729="","",IFERROR(INDEX(사건마스터!$C$5:$C$64,MATCH($F729,사건마스터!$A$5:$A$64,0)),""))</f>
        <v/>
      </c>
      <c r="J729" s="35">
        <f>IF($F729="","",IFERROR(INDEX(사건마스터!$H$5:$H$64,MATCH($F729,사건마스터!$A$5:$A$64,0)),""))</f>
        <v/>
      </c>
      <c r="K729" s="35">
        <f>IF($F729="","",IFERROR(INDEX(사건마스터!$AH$5:$AH$64,MATCH($F729,사건마스터!$A$5:$A$64,0)),""))</f>
        <v/>
      </c>
      <c r="L729" s="35">
        <f>IF($F729="","",IFERROR(INDEX(사건마스터!$AI$5:$AI$64,MATCH($F729,사건마스터!$A$5:$A$64,0)),""))</f>
        <v/>
      </c>
      <c r="M729" s="35">
        <f>IF($F729="","",IFERROR(INDEX(사건마스터!$AJ$5:$AJ$64,MATCH($F729,사건마스터!$A$5:$A$64,0)),""))</f>
        <v/>
      </c>
      <c r="N729" s="35">
        <f>IF($F729="","",IFERROR(INDEX(사건마스터!$AK$5:$AK$64,MATCH($F729,사건마스터!$A$5:$A$64,0)),""))</f>
        <v/>
      </c>
      <c r="O729" s="35">
        <f>IF($F729="","",IFERROR(INDEX(사건마스터!$AL$5:$AL$64,MATCH($F729,사건마스터!$A$5:$A$64,0)),""))</f>
        <v/>
      </c>
      <c r="P729" s="35">
        <f>IF($F729="","",IFERROR(INDEX(사건마스터!$AM$5:$AM$64,MATCH($F729,사건마스터!$A$5:$A$64,0)),""))</f>
        <v/>
      </c>
      <c r="Q729" s="35">
        <f>IF($F729="","",IFERROR(INDEX(사건마스터!$AN$5:$AN$64,MATCH($F729,사건마스터!$A$5:$A$64,0)),""))</f>
        <v/>
      </c>
      <c r="R729" s="35">
        <f>IF($F729="","",IFERROR(INDEX(사건마스터!$AO$5:$AO$64,MATCH($F729,사건마스터!$A$5:$A$64,0)),""))</f>
        <v/>
      </c>
      <c r="S729" s="35">
        <f>IF($F729="","",IFERROR(INDEX(사건마스터!$AP$5:$AP$64,MATCH($F729,사건마스터!$A$5:$A$64,0)),""))</f>
        <v/>
      </c>
      <c r="T729" s="35">
        <f>IF($F729="","",IFERROR(INDEX(사건마스터!$AQ$5:$AQ$64,MATCH($F729,사건마스터!$A$5:$A$64,0)),""))</f>
        <v/>
      </c>
      <c r="U729" s="35">
        <f>IF($F729="","",IFERROR(INDEX(사건마스터!$AR$5:$AR$64,MATCH($F729,사건마스터!$A$5:$A$64,0)),""))</f>
        <v/>
      </c>
      <c r="V729" s="35">
        <f>IF($F729="","",IFERROR(INDEX(사건마스터!$AS$5:$AS$64,MATCH($F729,사건마스터!$A$5:$A$64,0)),""))</f>
        <v/>
      </c>
      <c r="W729" s="35">
        <f>IF($F729="","",IFERROR(INDEX(사건마스터!$AT$5:$AT$64,MATCH($F729,사건마스터!$A$5:$A$64,0)),""))</f>
        <v/>
      </c>
      <c r="X729" s="35">
        <f>IF($F729="","",IFERROR(INDEX(사건마스터!$AU$5:$AU$64,MATCH($F729,사건마스터!$A$5:$A$64,0)),""))</f>
        <v/>
      </c>
      <c r="Y729" s="35">
        <f>IF($F729="","",IFERROR(INDEX(사건마스터!$AV$5:$AV$64,MATCH($F729,사건마스터!$A$5:$A$64,0)),""))</f>
        <v/>
      </c>
      <c r="Z729" s="30">
        <f>IF(COUNTBLANK($J729:$Y729)=16,"",16-COUNTBLANK($J729:$Y729))</f>
        <v/>
      </c>
      <c r="AA729" s="33">
        <f>IF($J729="",MID($AX729,3,255),$J729&amp;$AX729)</f>
        <v/>
      </c>
      <c r="AB729" s="34">
        <f>IF($J729="","",IFERROR(INDEX(코드설정!$D$5:$D$24,MATCH($J729,코드설정!$C$5:$C$24,0)),""))</f>
        <v/>
      </c>
      <c r="AC729" s="36" t="n"/>
      <c r="AD729" s="37" t="n"/>
      <c r="AE729" s="38" t="n"/>
      <c r="AF729" s="30">
        <f>IF(OR($B729="",$C729=""),"",$C729-$B729+1)</f>
        <v/>
      </c>
      <c r="AG729" s="32" t="n"/>
      <c r="AH729" s="36" t="n"/>
      <c r="AJ729">
        <f>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  <c r="AX729">
        <f>AW729&amp;IF($Y729="","",", "&amp;$Y729)</f>
        <v/>
      </c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0">
        <f>IF($F730="","",COUNTIF($F$5:$F730,$F730))</f>
        <v/>
      </c>
      <c r="H730" s="33">
        <f>IF($F730="","",IFERROR(INDEX(사건마스터!$B$5:$B$64,MATCH($F730,사건마스터!$A$5:$A$64,0)),""))</f>
        <v/>
      </c>
      <c r="I730" s="34">
        <f>IF($F730="","",IFERROR(INDEX(사건마스터!$C$5:$C$64,MATCH($F730,사건마스터!$A$5:$A$64,0)),""))</f>
        <v/>
      </c>
      <c r="J730" s="35">
        <f>IF($F730="","",IFERROR(INDEX(사건마스터!$H$5:$H$64,MATCH($F730,사건마스터!$A$5:$A$64,0)),""))</f>
        <v/>
      </c>
      <c r="K730" s="35">
        <f>IF($F730="","",IFERROR(INDEX(사건마스터!$AH$5:$AH$64,MATCH($F730,사건마스터!$A$5:$A$64,0)),""))</f>
        <v/>
      </c>
      <c r="L730" s="35">
        <f>IF($F730="","",IFERROR(INDEX(사건마스터!$AI$5:$AI$64,MATCH($F730,사건마스터!$A$5:$A$64,0)),""))</f>
        <v/>
      </c>
      <c r="M730" s="35">
        <f>IF($F730="","",IFERROR(INDEX(사건마스터!$AJ$5:$AJ$64,MATCH($F730,사건마스터!$A$5:$A$64,0)),""))</f>
        <v/>
      </c>
      <c r="N730" s="35">
        <f>IF($F730="","",IFERROR(INDEX(사건마스터!$AK$5:$AK$64,MATCH($F730,사건마스터!$A$5:$A$64,0)),""))</f>
        <v/>
      </c>
      <c r="O730" s="35">
        <f>IF($F730="","",IFERROR(INDEX(사건마스터!$AL$5:$AL$64,MATCH($F730,사건마스터!$A$5:$A$64,0)),""))</f>
        <v/>
      </c>
      <c r="P730" s="35">
        <f>IF($F730="","",IFERROR(INDEX(사건마스터!$AM$5:$AM$64,MATCH($F730,사건마스터!$A$5:$A$64,0)),""))</f>
        <v/>
      </c>
      <c r="Q730" s="35">
        <f>IF($F730="","",IFERROR(INDEX(사건마스터!$AN$5:$AN$64,MATCH($F730,사건마스터!$A$5:$A$64,0)),""))</f>
        <v/>
      </c>
      <c r="R730" s="35">
        <f>IF($F730="","",IFERROR(INDEX(사건마스터!$AO$5:$AO$64,MATCH($F730,사건마스터!$A$5:$A$64,0)),""))</f>
        <v/>
      </c>
      <c r="S730" s="35">
        <f>IF($F730="","",IFERROR(INDEX(사건마스터!$AP$5:$AP$64,MATCH($F730,사건마스터!$A$5:$A$64,0)),""))</f>
        <v/>
      </c>
      <c r="T730" s="35">
        <f>IF($F730="","",IFERROR(INDEX(사건마스터!$AQ$5:$AQ$64,MATCH($F730,사건마스터!$A$5:$A$64,0)),""))</f>
        <v/>
      </c>
      <c r="U730" s="35">
        <f>IF($F730="","",IFERROR(INDEX(사건마스터!$AR$5:$AR$64,MATCH($F730,사건마스터!$A$5:$A$64,0)),""))</f>
        <v/>
      </c>
      <c r="V730" s="35">
        <f>IF($F730="","",IFERROR(INDEX(사건마스터!$AS$5:$AS$64,MATCH($F730,사건마스터!$A$5:$A$64,0)),""))</f>
        <v/>
      </c>
      <c r="W730" s="35">
        <f>IF($F730="","",IFERROR(INDEX(사건마스터!$AT$5:$AT$64,MATCH($F730,사건마스터!$A$5:$A$64,0)),""))</f>
        <v/>
      </c>
      <c r="X730" s="35">
        <f>IF($F730="","",IFERROR(INDEX(사건마스터!$AU$5:$AU$64,MATCH($F730,사건마스터!$A$5:$A$64,0)),""))</f>
        <v/>
      </c>
      <c r="Y730" s="35">
        <f>IF($F730="","",IFERROR(INDEX(사건마스터!$AV$5:$AV$64,MATCH($F730,사건마스터!$A$5:$A$64,0)),""))</f>
        <v/>
      </c>
      <c r="Z730" s="30">
        <f>IF(COUNTBLANK($J730:$Y730)=16,"",16-COUNTBLANK($J730:$Y730))</f>
        <v/>
      </c>
      <c r="AA730" s="33">
        <f>IF($J730="",MID($AX730,3,255),$J730&amp;$AX730)</f>
        <v/>
      </c>
      <c r="AB730" s="34">
        <f>IF($J730="","",IFERROR(INDEX(코드설정!$D$5:$D$24,MATCH($J730,코드설정!$C$5:$C$24,0)),""))</f>
        <v/>
      </c>
      <c r="AC730" s="36" t="n"/>
      <c r="AD730" s="37" t="n"/>
      <c r="AE730" s="38" t="n"/>
      <c r="AF730" s="30">
        <f>IF(OR($B730="",$C730=""),"",$C730-$B730+1)</f>
        <v/>
      </c>
      <c r="AG730" s="32" t="n"/>
      <c r="AH730" s="36" t="n"/>
      <c r="AJ730">
        <f>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  <c r="AX730">
        <f>AW730&amp;IF($Y730="","",", "&amp;$Y730)</f>
        <v/>
      </c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0">
        <f>IF($F731="","",COUNTIF($F$5:$F731,$F731))</f>
        <v/>
      </c>
      <c r="H731" s="33">
        <f>IF($F731="","",IFERROR(INDEX(사건마스터!$B$5:$B$64,MATCH($F731,사건마스터!$A$5:$A$64,0)),""))</f>
        <v/>
      </c>
      <c r="I731" s="34">
        <f>IF($F731="","",IFERROR(INDEX(사건마스터!$C$5:$C$64,MATCH($F731,사건마스터!$A$5:$A$64,0)),""))</f>
        <v/>
      </c>
      <c r="J731" s="35">
        <f>IF($F731="","",IFERROR(INDEX(사건마스터!$H$5:$H$64,MATCH($F731,사건마스터!$A$5:$A$64,0)),""))</f>
        <v/>
      </c>
      <c r="K731" s="35">
        <f>IF($F731="","",IFERROR(INDEX(사건마스터!$AH$5:$AH$64,MATCH($F731,사건마스터!$A$5:$A$64,0)),""))</f>
        <v/>
      </c>
      <c r="L731" s="35">
        <f>IF($F731="","",IFERROR(INDEX(사건마스터!$AI$5:$AI$64,MATCH($F731,사건마스터!$A$5:$A$64,0)),""))</f>
        <v/>
      </c>
      <c r="M731" s="35">
        <f>IF($F731="","",IFERROR(INDEX(사건마스터!$AJ$5:$AJ$64,MATCH($F731,사건마스터!$A$5:$A$64,0)),""))</f>
        <v/>
      </c>
      <c r="N731" s="35">
        <f>IF($F731="","",IFERROR(INDEX(사건마스터!$AK$5:$AK$64,MATCH($F731,사건마스터!$A$5:$A$64,0)),""))</f>
        <v/>
      </c>
      <c r="O731" s="35">
        <f>IF($F731="","",IFERROR(INDEX(사건마스터!$AL$5:$AL$64,MATCH($F731,사건마스터!$A$5:$A$64,0)),""))</f>
        <v/>
      </c>
      <c r="P731" s="35">
        <f>IF($F731="","",IFERROR(INDEX(사건마스터!$AM$5:$AM$64,MATCH($F731,사건마스터!$A$5:$A$64,0)),""))</f>
        <v/>
      </c>
      <c r="Q731" s="35">
        <f>IF($F731="","",IFERROR(INDEX(사건마스터!$AN$5:$AN$64,MATCH($F731,사건마스터!$A$5:$A$64,0)),""))</f>
        <v/>
      </c>
      <c r="R731" s="35">
        <f>IF($F731="","",IFERROR(INDEX(사건마스터!$AO$5:$AO$64,MATCH($F731,사건마스터!$A$5:$A$64,0)),""))</f>
        <v/>
      </c>
      <c r="S731" s="35">
        <f>IF($F731="","",IFERROR(INDEX(사건마스터!$AP$5:$AP$64,MATCH($F731,사건마스터!$A$5:$A$64,0)),""))</f>
        <v/>
      </c>
      <c r="T731" s="35">
        <f>IF($F731="","",IFERROR(INDEX(사건마스터!$AQ$5:$AQ$64,MATCH($F731,사건마스터!$A$5:$A$64,0)),""))</f>
        <v/>
      </c>
      <c r="U731" s="35">
        <f>IF($F731="","",IFERROR(INDEX(사건마스터!$AR$5:$AR$64,MATCH($F731,사건마스터!$A$5:$A$64,0)),""))</f>
        <v/>
      </c>
      <c r="V731" s="35">
        <f>IF($F731="","",IFERROR(INDEX(사건마스터!$AS$5:$AS$64,MATCH($F731,사건마스터!$A$5:$A$64,0)),""))</f>
        <v/>
      </c>
      <c r="W731" s="35">
        <f>IF($F731="","",IFERROR(INDEX(사건마스터!$AT$5:$AT$64,MATCH($F731,사건마스터!$A$5:$A$64,0)),""))</f>
        <v/>
      </c>
      <c r="X731" s="35">
        <f>IF($F731="","",IFERROR(INDEX(사건마스터!$AU$5:$AU$64,MATCH($F731,사건마스터!$A$5:$A$64,0)),""))</f>
        <v/>
      </c>
      <c r="Y731" s="35">
        <f>IF($F731="","",IFERROR(INDEX(사건마스터!$AV$5:$AV$64,MATCH($F731,사건마스터!$A$5:$A$64,0)),""))</f>
        <v/>
      </c>
      <c r="Z731" s="30">
        <f>IF(COUNTBLANK($J731:$Y731)=16,"",16-COUNTBLANK($J731:$Y731))</f>
        <v/>
      </c>
      <c r="AA731" s="33">
        <f>IF($J731="",MID($AX731,3,255),$J731&amp;$AX731)</f>
        <v/>
      </c>
      <c r="AB731" s="34">
        <f>IF($J731="","",IFERROR(INDEX(코드설정!$D$5:$D$24,MATCH($J731,코드설정!$C$5:$C$24,0)),""))</f>
        <v/>
      </c>
      <c r="AC731" s="36" t="n"/>
      <c r="AD731" s="37" t="n"/>
      <c r="AE731" s="38" t="n"/>
      <c r="AF731" s="30">
        <f>IF(OR($B731="",$C731=""),"",$C731-$B731+1)</f>
        <v/>
      </c>
      <c r="AG731" s="32" t="n"/>
      <c r="AH731" s="36" t="n"/>
      <c r="AJ731">
        <f>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  <c r="AX731">
        <f>AW731&amp;IF($Y731="","",", "&amp;$Y731)</f>
        <v/>
      </c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0">
        <f>IF($F732="","",COUNTIF($F$5:$F732,$F732))</f>
        <v/>
      </c>
      <c r="H732" s="33">
        <f>IF($F732="","",IFERROR(INDEX(사건마스터!$B$5:$B$64,MATCH($F732,사건마스터!$A$5:$A$64,0)),""))</f>
        <v/>
      </c>
      <c r="I732" s="34">
        <f>IF($F732="","",IFERROR(INDEX(사건마스터!$C$5:$C$64,MATCH($F732,사건마스터!$A$5:$A$64,0)),""))</f>
        <v/>
      </c>
      <c r="J732" s="35">
        <f>IF($F732="","",IFERROR(INDEX(사건마스터!$H$5:$H$64,MATCH($F732,사건마스터!$A$5:$A$64,0)),""))</f>
        <v/>
      </c>
      <c r="K732" s="35">
        <f>IF($F732="","",IFERROR(INDEX(사건마스터!$AH$5:$AH$64,MATCH($F732,사건마스터!$A$5:$A$64,0)),""))</f>
        <v/>
      </c>
      <c r="L732" s="35">
        <f>IF($F732="","",IFERROR(INDEX(사건마스터!$AI$5:$AI$64,MATCH($F732,사건마스터!$A$5:$A$64,0)),""))</f>
        <v/>
      </c>
      <c r="M732" s="35">
        <f>IF($F732="","",IFERROR(INDEX(사건마스터!$AJ$5:$AJ$64,MATCH($F732,사건마스터!$A$5:$A$64,0)),""))</f>
        <v/>
      </c>
      <c r="N732" s="35">
        <f>IF($F732="","",IFERROR(INDEX(사건마스터!$AK$5:$AK$64,MATCH($F732,사건마스터!$A$5:$A$64,0)),""))</f>
        <v/>
      </c>
      <c r="O732" s="35">
        <f>IF($F732="","",IFERROR(INDEX(사건마스터!$AL$5:$AL$64,MATCH($F732,사건마스터!$A$5:$A$64,0)),""))</f>
        <v/>
      </c>
      <c r="P732" s="35">
        <f>IF($F732="","",IFERROR(INDEX(사건마스터!$AM$5:$AM$64,MATCH($F732,사건마스터!$A$5:$A$64,0)),""))</f>
        <v/>
      </c>
      <c r="Q732" s="35">
        <f>IF($F732="","",IFERROR(INDEX(사건마스터!$AN$5:$AN$64,MATCH($F732,사건마스터!$A$5:$A$64,0)),""))</f>
        <v/>
      </c>
      <c r="R732" s="35">
        <f>IF($F732="","",IFERROR(INDEX(사건마스터!$AO$5:$AO$64,MATCH($F732,사건마스터!$A$5:$A$64,0)),""))</f>
        <v/>
      </c>
      <c r="S732" s="35">
        <f>IF($F732="","",IFERROR(INDEX(사건마스터!$AP$5:$AP$64,MATCH($F732,사건마스터!$A$5:$A$64,0)),""))</f>
        <v/>
      </c>
      <c r="T732" s="35">
        <f>IF($F732="","",IFERROR(INDEX(사건마스터!$AQ$5:$AQ$64,MATCH($F732,사건마스터!$A$5:$A$64,0)),""))</f>
        <v/>
      </c>
      <c r="U732" s="35">
        <f>IF($F732="","",IFERROR(INDEX(사건마스터!$AR$5:$AR$64,MATCH($F732,사건마스터!$A$5:$A$64,0)),""))</f>
        <v/>
      </c>
      <c r="V732" s="35">
        <f>IF($F732="","",IFERROR(INDEX(사건마스터!$AS$5:$AS$64,MATCH($F732,사건마스터!$A$5:$A$64,0)),""))</f>
        <v/>
      </c>
      <c r="W732" s="35">
        <f>IF($F732="","",IFERROR(INDEX(사건마스터!$AT$5:$AT$64,MATCH($F732,사건마스터!$A$5:$A$64,0)),""))</f>
        <v/>
      </c>
      <c r="X732" s="35">
        <f>IF($F732="","",IFERROR(INDEX(사건마스터!$AU$5:$AU$64,MATCH($F732,사건마스터!$A$5:$A$64,0)),""))</f>
        <v/>
      </c>
      <c r="Y732" s="35">
        <f>IF($F732="","",IFERROR(INDEX(사건마스터!$AV$5:$AV$64,MATCH($F732,사건마스터!$A$5:$A$64,0)),""))</f>
        <v/>
      </c>
      <c r="Z732" s="30">
        <f>IF(COUNTBLANK($J732:$Y732)=16,"",16-COUNTBLANK($J732:$Y732))</f>
        <v/>
      </c>
      <c r="AA732" s="33">
        <f>IF($J732="",MID($AX732,3,255),$J732&amp;$AX732)</f>
        <v/>
      </c>
      <c r="AB732" s="34">
        <f>IF($J732="","",IFERROR(INDEX(코드설정!$D$5:$D$24,MATCH($J732,코드설정!$C$5:$C$24,0)),""))</f>
        <v/>
      </c>
      <c r="AC732" s="36" t="n"/>
      <c r="AD732" s="37" t="n"/>
      <c r="AE732" s="38" t="n"/>
      <c r="AF732" s="30">
        <f>IF(OR($B732="",$C732=""),"",$C732-$B732+1)</f>
        <v/>
      </c>
      <c r="AG732" s="32" t="n"/>
      <c r="AH732" s="36" t="n"/>
      <c r="AJ732">
        <f>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  <c r="AX732">
        <f>AW732&amp;IF($Y732="","",", "&amp;$Y732)</f>
        <v/>
      </c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0">
        <f>IF($F733="","",COUNTIF($F$5:$F733,$F733))</f>
        <v/>
      </c>
      <c r="H733" s="33">
        <f>IF($F733="","",IFERROR(INDEX(사건마스터!$B$5:$B$64,MATCH($F733,사건마스터!$A$5:$A$64,0)),""))</f>
        <v/>
      </c>
      <c r="I733" s="34">
        <f>IF($F733="","",IFERROR(INDEX(사건마스터!$C$5:$C$64,MATCH($F733,사건마스터!$A$5:$A$64,0)),""))</f>
        <v/>
      </c>
      <c r="J733" s="35">
        <f>IF($F733="","",IFERROR(INDEX(사건마스터!$H$5:$H$64,MATCH($F733,사건마스터!$A$5:$A$64,0)),""))</f>
        <v/>
      </c>
      <c r="K733" s="35">
        <f>IF($F733="","",IFERROR(INDEX(사건마스터!$AH$5:$AH$64,MATCH($F733,사건마스터!$A$5:$A$64,0)),""))</f>
        <v/>
      </c>
      <c r="L733" s="35">
        <f>IF($F733="","",IFERROR(INDEX(사건마스터!$AI$5:$AI$64,MATCH($F733,사건마스터!$A$5:$A$64,0)),""))</f>
        <v/>
      </c>
      <c r="M733" s="35">
        <f>IF($F733="","",IFERROR(INDEX(사건마스터!$AJ$5:$AJ$64,MATCH($F733,사건마스터!$A$5:$A$64,0)),""))</f>
        <v/>
      </c>
      <c r="N733" s="35">
        <f>IF($F733="","",IFERROR(INDEX(사건마스터!$AK$5:$AK$64,MATCH($F733,사건마스터!$A$5:$A$64,0)),""))</f>
        <v/>
      </c>
      <c r="O733" s="35">
        <f>IF($F733="","",IFERROR(INDEX(사건마스터!$AL$5:$AL$64,MATCH($F733,사건마스터!$A$5:$A$64,0)),""))</f>
        <v/>
      </c>
      <c r="P733" s="35">
        <f>IF($F733="","",IFERROR(INDEX(사건마스터!$AM$5:$AM$64,MATCH($F733,사건마스터!$A$5:$A$64,0)),""))</f>
        <v/>
      </c>
      <c r="Q733" s="35">
        <f>IF($F733="","",IFERROR(INDEX(사건마스터!$AN$5:$AN$64,MATCH($F733,사건마스터!$A$5:$A$64,0)),""))</f>
        <v/>
      </c>
      <c r="R733" s="35">
        <f>IF($F733="","",IFERROR(INDEX(사건마스터!$AO$5:$AO$64,MATCH($F733,사건마스터!$A$5:$A$64,0)),""))</f>
        <v/>
      </c>
      <c r="S733" s="35">
        <f>IF($F733="","",IFERROR(INDEX(사건마스터!$AP$5:$AP$64,MATCH($F733,사건마스터!$A$5:$A$64,0)),""))</f>
        <v/>
      </c>
      <c r="T733" s="35">
        <f>IF($F733="","",IFERROR(INDEX(사건마스터!$AQ$5:$AQ$64,MATCH($F733,사건마스터!$A$5:$A$64,0)),""))</f>
        <v/>
      </c>
      <c r="U733" s="35">
        <f>IF($F733="","",IFERROR(INDEX(사건마스터!$AR$5:$AR$64,MATCH($F733,사건마스터!$A$5:$A$64,0)),""))</f>
        <v/>
      </c>
      <c r="V733" s="35">
        <f>IF($F733="","",IFERROR(INDEX(사건마스터!$AS$5:$AS$64,MATCH($F733,사건마스터!$A$5:$A$64,0)),""))</f>
        <v/>
      </c>
      <c r="W733" s="35">
        <f>IF($F733="","",IFERROR(INDEX(사건마스터!$AT$5:$AT$64,MATCH($F733,사건마스터!$A$5:$A$64,0)),""))</f>
        <v/>
      </c>
      <c r="X733" s="35">
        <f>IF($F733="","",IFERROR(INDEX(사건마스터!$AU$5:$AU$64,MATCH($F733,사건마스터!$A$5:$A$64,0)),""))</f>
        <v/>
      </c>
      <c r="Y733" s="35">
        <f>IF($F733="","",IFERROR(INDEX(사건마스터!$AV$5:$AV$64,MATCH($F733,사건마스터!$A$5:$A$64,0)),""))</f>
        <v/>
      </c>
      <c r="Z733" s="30">
        <f>IF(COUNTBLANK($J733:$Y733)=16,"",16-COUNTBLANK($J733:$Y733))</f>
        <v/>
      </c>
      <c r="AA733" s="33">
        <f>IF($J733="",MID($AX733,3,255),$J733&amp;$AX733)</f>
        <v/>
      </c>
      <c r="AB733" s="34">
        <f>IF($J733="","",IFERROR(INDEX(코드설정!$D$5:$D$24,MATCH($J733,코드설정!$C$5:$C$24,0)),""))</f>
        <v/>
      </c>
      <c r="AC733" s="36" t="n"/>
      <c r="AD733" s="37" t="n"/>
      <c r="AE733" s="38" t="n"/>
      <c r="AF733" s="30">
        <f>IF(OR($B733="",$C733=""),"",$C733-$B733+1)</f>
        <v/>
      </c>
      <c r="AG733" s="32" t="n"/>
      <c r="AH733" s="36" t="n"/>
      <c r="AJ733">
        <f>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  <c r="AX733">
        <f>AW733&amp;IF($Y733="","",", "&amp;$Y733)</f>
        <v/>
      </c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0">
        <f>IF($F734="","",COUNTIF($F$5:$F734,$F734))</f>
        <v/>
      </c>
      <c r="H734" s="33">
        <f>IF($F734="","",IFERROR(INDEX(사건마스터!$B$5:$B$64,MATCH($F734,사건마스터!$A$5:$A$64,0)),""))</f>
        <v/>
      </c>
      <c r="I734" s="34">
        <f>IF($F734="","",IFERROR(INDEX(사건마스터!$C$5:$C$64,MATCH($F734,사건마스터!$A$5:$A$64,0)),""))</f>
        <v/>
      </c>
      <c r="J734" s="35">
        <f>IF($F734="","",IFERROR(INDEX(사건마스터!$H$5:$H$64,MATCH($F734,사건마스터!$A$5:$A$64,0)),""))</f>
        <v/>
      </c>
      <c r="K734" s="35">
        <f>IF($F734="","",IFERROR(INDEX(사건마스터!$AH$5:$AH$64,MATCH($F734,사건마스터!$A$5:$A$64,0)),""))</f>
        <v/>
      </c>
      <c r="L734" s="35">
        <f>IF($F734="","",IFERROR(INDEX(사건마스터!$AI$5:$AI$64,MATCH($F734,사건마스터!$A$5:$A$64,0)),""))</f>
        <v/>
      </c>
      <c r="M734" s="35">
        <f>IF($F734="","",IFERROR(INDEX(사건마스터!$AJ$5:$AJ$64,MATCH($F734,사건마스터!$A$5:$A$64,0)),""))</f>
        <v/>
      </c>
      <c r="N734" s="35">
        <f>IF($F734="","",IFERROR(INDEX(사건마스터!$AK$5:$AK$64,MATCH($F734,사건마스터!$A$5:$A$64,0)),""))</f>
        <v/>
      </c>
      <c r="O734" s="35">
        <f>IF($F734="","",IFERROR(INDEX(사건마스터!$AL$5:$AL$64,MATCH($F734,사건마스터!$A$5:$A$64,0)),""))</f>
        <v/>
      </c>
      <c r="P734" s="35">
        <f>IF($F734="","",IFERROR(INDEX(사건마스터!$AM$5:$AM$64,MATCH($F734,사건마스터!$A$5:$A$64,0)),""))</f>
        <v/>
      </c>
      <c r="Q734" s="35">
        <f>IF($F734="","",IFERROR(INDEX(사건마스터!$AN$5:$AN$64,MATCH($F734,사건마스터!$A$5:$A$64,0)),""))</f>
        <v/>
      </c>
      <c r="R734" s="35">
        <f>IF($F734="","",IFERROR(INDEX(사건마스터!$AO$5:$AO$64,MATCH($F734,사건마스터!$A$5:$A$64,0)),""))</f>
        <v/>
      </c>
      <c r="S734" s="35">
        <f>IF($F734="","",IFERROR(INDEX(사건마스터!$AP$5:$AP$64,MATCH($F734,사건마스터!$A$5:$A$64,0)),""))</f>
        <v/>
      </c>
      <c r="T734" s="35">
        <f>IF($F734="","",IFERROR(INDEX(사건마스터!$AQ$5:$AQ$64,MATCH($F734,사건마스터!$A$5:$A$64,0)),""))</f>
        <v/>
      </c>
      <c r="U734" s="35">
        <f>IF($F734="","",IFERROR(INDEX(사건마스터!$AR$5:$AR$64,MATCH($F734,사건마스터!$A$5:$A$64,0)),""))</f>
        <v/>
      </c>
      <c r="V734" s="35">
        <f>IF($F734="","",IFERROR(INDEX(사건마스터!$AS$5:$AS$64,MATCH($F734,사건마스터!$A$5:$A$64,0)),""))</f>
        <v/>
      </c>
      <c r="W734" s="35">
        <f>IF($F734="","",IFERROR(INDEX(사건마스터!$AT$5:$AT$64,MATCH($F734,사건마스터!$A$5:$A$64,0)),""))</f>
        <v/>
      </c>
      <c r="X734" s="35">
        <f>IF($F734="","",IFERROR(INDEX(사건마스터!$AU$5:$AU$64,MATCH($F734,사건마스터!$A$5:$A$64,0)),""))</f>
        <v/>
      </c>
      <c r="Y734" s="35">
        <f>IF($F734="","",IFERROR(INDEX(사건마스터!$AV$5:$AV$64,MATCH($F734,사건마스터!$A$5:$A$64,0)),""))</f>
        <v/>
      </c>
      <c r="Z734" s="30">
        <f>IF(COUNTBLANK($J734:$Y734)=16,"",16-COUNTBLANK($J734:$Y734))</f>
        <v/>
      </c>
      <c r="AA734" s="33">
        <f>IF($J734="",MID($AX734,3,255),$J734&amp;$AX734)</f>
        <v/>
      </c>
      <c r="AB734" s="34">
        <f>IF($J734="","",IFERROR(INDEX(코드설정!$D$5:$D$24,MATCH($J734,코드설정!$C$5:$C$24,0)),""))</f>
        <v/>
      </c>
      <c r="AC734" s="36" t="n"/>
      <c r="AD734" s="37" t="n"/>
      <c r="AE734" s="38" t="n"/>
      <c r="AF734" s="30">
        <f>IF(OR($B734="",$C734=""),"",$C734-$B734+1)</f>
        <v/>
      </c>
      <c r="AG734" s="32" t="n"/>
      <c r="AH734" s="36" t="n"/>
      <c r="AJ734">
        <f>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  <c r="AX734">
        <f>AW734&amp;IF($Y734="","",", "&amp;$Y734)</f>
        <v/>
      </c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0">
        <f>IF($F735="","",COUNTIF($F$5:$F735,$F735))</f>
        <v/>
      </c>
      <c r="H735" s="33">
        <f>IF($F735="","",IFERROR(INDEX(사건마스터!$B$5:$B$64,MATCH($F735,사건마스터!$A$5:$A$64,0)),""))</f>
        <v/>
      </c>
      <c r="I735" s="34">
        <f>IF($F735="","",IFERROR(INDEX(사건마스터!$C$5:$C$64,MATCH($F735,사건마스터!$A$5:$A$64,0)),""))</f>
        <v/>
      </c>
      <c r="J735" s="35">
        <f>IF($F735="","",IFERROR(INDEX(사건마스터!$H$5:$H$64,MATCH($F735,사건마스터!$A$5:$A$64,0)),""))</f>
        <v/>
      </c>
      <c r="K735" s="35">
        <f>IF($F735="","",IFERROR(INDEX(사건마스터!$AH$5:$AH$64,MATCH($F735,사건마스터!$A$5:$A$64,0)),""))</f>
        <v/>
      </c>
      <c r="L735" s="35">
        <f>IF($F735="","",IFERROR(INDEX(사건마스터!$AI$5:$AI$64,MATCH($F735,사건마스터!$A$5:$A$64,0)),""))</f>
        <v/>
      </c>
      <c r="M735" s="35">
        <f>IF($F735="","",IFERROR(INDEX(사건마스터!$AJ$5:$AJ$64,MATCH($F735,사건마스터!$A$5:$A$64,0)),""))</f>
        <v/>
      </c>
      <c r="N735" s="35">
        <f>IF($F735="","",IFERROR(INDEX(사건마스터!$AK$5:$AK$64,MATCH($F735,사건마스터!$A$5:$A$64,0)),""))</f>
        <v/>
      </c>
      <c r="O735" s="35">
        <f>IF($F735="","",IFERROR(INDEX(사건마스터!$AL$5:$AL$64,MATCH($F735,사건마스터!$A$5:$A$64,0)),""))</f>
        <v/>
      </c>
      <c r="P735" s="35">
        <f>IF($F735="","",IFERROR(INDEX(사건마스터!$AM$5:$AM$64,MATCH($F735,사건마스터!$A$5:$A$64,0)),""))</f>
        <v/>
      </c>
      <c r="Q735" s="35">
        <f>IF($F735="","",IFERROR(INDEX(사건마스터!$AN$5:$AN$64,MATCH($F735,사건마스터!$A$5:$A$64,0)),""))</f>
        <v/>
      </c>
      <c r="R735" s="35">
        <f>IF($F735="","",IFERROR(INDEX(사건마스터!$AO$5:$AO$64,MATCH($F735,사건마스터!$A$5:$A$64,0)),""))</f>
        <v/>
      </c>
      <c r="S735" s="35">
        <f>IF($F735="","",IFERROR(INDEX(사건마스터!$AP$5:$AP$64,MATCH($F735,사건마스터!$A$5:$A$64,0)),""))</f>
        <v/>
      </c>
      <c r="T735" s="35">
        <f>IF($F735="","",IFERROR(INDEX(사건마스터!$AQ$5:$AQ$64,MATCH($F735,사건마스터!$A$5:$A$64,0)),""))</f>
        <v/>
      </c>
      <c r="U735" s="35">
        <f>IF($F735="","",IFERROR(INDEX(사건마스터!$AR$5:$AR$64,MATCH($F735,사건마스터!$A$5:$A$64,0)),""))</f>
        <v/>
      </c>
      <c r="V735" s="35">
        <f>IF($F735="","",IFERROR(INDEX(사건마스터!$AS$5:$AS$64,MATCH($F735,사건마스터!$A$5:$A$64,0)),""))</f>
        <v/>
      </c>
      <c r="W735" s="35">
        <f>IF($F735="","",IFERROR(INDEX(사건마스터!$AT$5:$AT$64,MATCH($F735,사건마스터!$A$5:$A$64,0)),""))</f>
        <v/>
      </c>
      <c r="X735" s="35">
        <f>IF($F735="","",IFERROR(INDEX(사건마스터!$AU$5:$AU$64,MATCH($F735,사건마스터!$A$5:$A$64,0)),""))</f>
        <v/>
      </c>
      <c r="Y735" s="35">
        <f>IF($F735="","",IFERROR(INDEX(사건마스터!$AV$5:$AV$64,MATCH($F735,사건마스터!$A$5:$A$64,0)),""))</f>
        <v/>
      </c>
      <c r="Z735" s="30">
        <f>IF(COUNTBLANK($J735:$Y735)=16,"",16-COUNTBLANK($J735:$Y735))</f>
        <v/>
      </c>
      <c r="AA735" s="33">
        <f>IF($J735="",MID($AX735,3,255),$J735&amp;$AX735)</f>
        <v/>
      </c>
      <c r="AB735" s="34">
        <f>IF($J735="","",IFERROR(INDEX(코드설정!$D$5:$D$24,MATCH($J735,코드설정!$C$5:$C$24,0)),""))</f>
        <v/>
      </c>
      <c r="AC735" s="36" t="n"/>
      <c r="AD735" s="37" t="n"/>
      <c r="AE735" s="38" t="n"/>
      <c r="AF735" s="30">
        <f>IF(OR($B735="",$C735=""),"",$C735-$B735+1)</f>
        <v/>
      </c>
      <c r="AG735" s="32" t="n"/>
      <c r="AH735" s="36" t="n"/>
      <c r="AJ735">
        <f>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  <c r="AX735">
        <f>AW735&amp;IF($Y735="","",", "&amp;$Y735)</f>
        <v/>
      </c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0">
        <f>IF($F736="","",COUNTIF($F$5:$F736,$F736))</f>
        <v/>
      </c>
      <c r="H736" s="33">
        <f>IF($F736="","",IFERROR(INDEX(사건마스터!$B$5:$B$64,MATCH($F736,사건마스터!$A$5:$A$64,0)),""))</f>
        <v/>
      </c>
      <c r="I736" s="34">
        <f>IF($F736="","",IFERROR(INDEX(사건마스터!$C$5:$C$64,MATCH($F736,사건마스터!$A$5:$A$64,0)),""))</f>
        <v/>
      </c>
      <c r="J736" s="35">
        <f>IF($F736="","",IFERROR(INDEX(사건마스터!$H$5:$H$64,MATCH($F736,사건마스터!$A$5:$A$64,0)),""))</f>
        <v/>
      </c>
      <c r="K736" s="35">
        <f>IF($F736="","",IFERROR(INDEX(사건마스터!$AH$5:$AH$64,MATCH($F736,사건마스터!$A$5:$A$64,0)),""))</f>
        <v/>
      </c>
      <c r="L736" s="35">
        <f>IF($F736="","",IFERROR(INDEX(사건마스터!$AI$5:$AI$64,MATCH($F736,사건마스터!$A$5:$A$64,0)),""))</f>
        <v/>
      </c>
      <c r="M736" s="35">
        <f>IF($F736="","",IFERROR(INDEX(사건마스터!$AJ$5:$AJ$64,MATCH($F736,사건마스터!$A$5:$A$64,0)),""))</f>
        <v/>
      </c>
      <c r="N736" s="35">
        <f>IF($F736="","",IFERROR(INDEX(사건마스터!$AK$5:$AK$64,MATCH($F736,사건마스터!$A$5:$A$64,0)),""))</f>
        <v/>
      </c>
      <c r="O736" s="35">
        <f>IF($F736="","",IFERROR(INDEX(사건마스터!$AL$5:$AL$64,MATCH($F736,사건마스터!$A$5:$A$64,0)),""))</f>
        <v/>
      </c>
      <c r="P736" s="35">
        <f>IF($F736="","",IFERROR(INDEX(사건마스터!$AM$5:$AM$64,MATCH($F736,사건마스터!$A$5:$A$64,0)),""))</f>
        <v/>
      </c>
      <c r="Q736" s="35">
        <f>IF($F736="","",IFERROR(INDEX(사건마스터!$AN$5:$AN$64,MATCH($F736,사건마스터!$A$5:$A$64,0)),""))</f>
        <v/>
      </c>
      <c r="R736" s="35">
        <f>IF($F736="","",IFERROR(INDEX(사건마스터!$AO$5:$AO$64,MATCH($F736,사건마스터!$A$5:$A$64,0)),""))</f>
        <v/>
      </c>
      <c r="S736" s="35">
        <f>IF($F736="","",IFERROR(INDEX(사건마스터!$AP$5:$AP$64,MATCH($F736,사건마스터!$A$5:$A$64,0)),""))</f>
        <v/>
      </c>
      <c r="T736" s="35">
        <f>IF($F736="","",IFERROR(INDEX(사건마스터!$AQ$5:$AQ$64,MATCH($F736,사건마스터!$A$5:$A$64,0)),""))</f>
        <v/>
      </c>
      <c r="U736" s="35">
        <f>IF($F736="","",IFERROR(INDEX(사건마스터!$AR$5:$AR$64,MATCH($F736,사건마스터!$A$5:$A$64,0)),""))</f>
        <v/>
      </c>
      <c r="V736" s="35">
        <f>IF($F736="","",IFERROR(INDEX(사건마스터!$AS$5:$AS$64,MATCH($F736,사건마스터!$A$5:$A$64,0)),""))</f>
        <v/>
      </c>
      <c r="W736" s="35">
        <f>IF($F736="","",IFERROR(INDEX(사건마스터!$AT$5:$AT$64,MATCH($F736,사건마스터!$A$5:$A$64,0)),""))</f>
        <v/>
      </c>
      <c r="X736" s="35">
        <f>IF($F736="","",IFERROR(INDEX(사건마스터!$AU$5:$AU$64,MATCH($F736,사건마스터!$A$5:$A$64,0)),""))</f>
        <v/>
      </c>
      <c r="Y736" s="35">
        <f>IF($F736="","",IFERROR(INDEX(사건마스터!$AV$5:$AV$64,MATCH($F736,사건마스터!$A$5:$A$64,0)),""))</f>
        <v/>
      </c>
      <c r="Z736" s="30">
        <f>IF(COUNTBLANK($J736:$Y736)=16,"",16-COUNTBLANK($J736:$Y736))</f>
        <v/>
      </c>
      <c r="AA736" s="33">
        <f>IF($J736="",MID($AX736,3,255),$J736&amp;$AX736)</f>
        <v/>
      </c>
      <c r="AB736" s="34">
        <f>IF($J736="","",IFERROR(INDEX(코드설정!$D$5:$D$24,MATCH($J736,코드설정!$C$5:$C$24,0)),""))</f>
        <v/>
      </c>
      <c r="AC736" s="36" t="n"/>
      <c r="AD736" s="37" t="n"/>
      <c r="AE736" s="38" t="n"/>
      <c r="AF736" s="30">
        <f>IF(OR($B736="",$C736=""),"",$C736-$B736+1)</f>
        <v/>
      </c>
      <c r="AG736" s="32" t="n"/>
      <c r="AH736" s="36" t="n"/>
      <c r="AJ736">
        <f>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  <c r="AX736">
        <f>AW736&amp;IF($Y736="","",", "&amp;$Y736)</f>
        <v/>
      </c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0">
        <f>IF($F737="","",COUNTIF($F$5:$F737,$F737))</f>
        <v/>
      </c>
      <c r="H737" s="33">
        <f>IF($F737="","",IFERROR(INDEX(사건마스터!$B$5:$B$64,MATCH($F737,사건마스터!$A$5:$A$64,0)),""))</f>
        <v/>
      </c>
      <c r="I737" s="34">
        <f>IF($F737="","",IFERROR(INDEX(사건마스터!$C$5:$C$64,MATCH($F737,사건마스터!$A$5:$A$64,0)),""))</f>
        <v/>
      </c>
      <c r="J737" s="35">
        <f>IF($F737="","",IFERROR(INDEX(사건마스터!$H$5:$H$64,MATCH($F737,사건마스터!$A$5:$A$64,0)),""))</f>
        <v/>
      </c>
      <c r="K737" s="35">
        <f>IF($F737="","",IFERROR(INDEX(사건마스터!$AH$5:$AH$64,MATCH($F737,사건마스터!$A$5:$A$64,0)),""))</f>
        <v/>
      </c>
      <c r="L737" s="35">
        <f>IF($F737="","",IFERROR(INDEX(사건마스터!$AI$5:$AI$64,MATCH($F737,사건마스터!$A$5:$A$64,0)),""))</f>
        <v/>
      </c>
      <c r="M737" s="35">
        <f>IF($F737="","",IFERROR(INDEX(사건마스터!$AJ$5:$AJ$64,MATCH($F737,사건마스터!$A$5:$A$64,0)),""))</f>
        <v/>
      </c>
      <c r="N737" s="35">
        <f>IF($F737="","",IFERROR(INDEX(사건마스터!$AK$5:$AK$64,MATCH($F737,사건마스터!$A$5:$A$64,0)),""))</f>
        <v/>
      </c>
      <c r="O737" s="35">
        <f>IF($F737="","",IFERROR(INDEX(사건마스터!$AL$5:$AL$64,MATCH($F737,사건마스터!$A$5:$A$64,0)),""))</f>
        <v/>
      </c>
      <c r="P737" s="35">
        <f>IF($F737="","",IFERROR(INDEX(사건마스터!$AM$5:$AM$64,MATCH($F737,사건마스터!$A$5:$A$64,0)),""))</f>
        <v/>
      </c>
      <c r="Q737" s="35">
        <f>IF($F737="","",IFERROR(INDEX(사건마스터!$AN$5:$AN$64,MATCH($F737,사건마스터!$A$5:$A$64,0)),""))</f>
        <v/>
      </c>
      <c r="R737" s="35">
        <f>IF($F737="","",IFERROR(INDEX(사건마스터!$AO$5:$AO$64,MATCH($F737,사건마스터!$A$5:$A$64,0)),""))</f>
        <v/>
      </c>
      <c r="S737" s="35">
        <f>IF($F737="","",IFERROR(INDEX(사건마스터!$AP$5:$AP$64,MATCH($F737,사건마스터!$A$5:$A$64,0)),""))</f>
        <v/>
      </c>
      <c r="T737" s="35">
        <f>IF($F737="","",IFERROR(INDEX(사건마스터!$AQ$5:$AQ$64,MATCH($F737,사건마스터!$A$5:$A$64,0)),""))</f>
        <v/>
      </c>
      <c r="U737" s="35">
        <f>IF($F737="","",IFERROR(INDEX(사건마스터!$AR$5:$AR$64,MATCH($F737,사건마스터!$A$5:$A$64,0)),""))</f>
        <v/>
      </c>
      <c r="V737" s="35">
        <f>IF($F737="","",IFERROR(INDEX(사건마스터!$AS$5:$AS$64,MATCH($F737,사건마스터!$A$5:$A$64,0)),""))</f>
        <v/>
      </c>
      <c r="W737" s="35">
        <f>IF($F737="","",IFERROR(INDEX(사건마스터!$AT$5:$AT$64,MATCH($F737,사건마스터!$A$5:$A$64,0)),""))</f>
        <v/>
      </c>
      <c r="X737" s="35">
        <f>IF($F737="","",IFERROR(INDEX(사건마스터!$AU$5:$AU$64,MATCH($F737,사건마스터!$A$5:$A$64,0)),""))</f>
        <v/>
      </c>
      <c r="Y737" s="35">
        <f>IF($F737="","",IFERROR(INDEX(사건마스터!$AV$5:$AV$64,MATCH($F737,사건마스터!$A$5:$A$64,0)),""))</f>
        <v/>
      </c>
      <c r="Z737" s="30">
        <f>IF(COUNTBLANK($J737:$Y737)=16,"",16-COUNTBLANK($J737:$Y737))</f>
        <v/>
      </c>
      <c r="AA737" s="33">
        <f>IF($J737="",MID($AX737,3,255),$J737&amp;$AX737)</f>
        <v/>
      </c>
      <c r="AB737" s="34">
        <f>IF($J737="","",IFERROR(INDEX(코드설정!$D$5:$D$24,MATCH($J737,코드설정!$C$5:$C$24,0)),""))</f>
        <v/>
      </c>
      <c r="AC737" s="36" t="n"/>
      <c r="AD737" s="37" t="n"/>
      <c r="AE737" s="38" t="n"/>
      <c r="AF737" s="30">
        <f>IF(OR($B737="",$C737=""),"",$C737-$B737+1)</f>
        <v/>
      </c>
      <c r="AG737" s="32" t="n"/>
      <c r="AH737" s="36" t="n"/>
      <c r="AJ737">
        <f>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  <c r="AX737">
        <f>AW737&amp;IF($Y737="","",", "&amp;$Y737)</f>
        <v/>
      </c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0">
        <f>IF($F738="","",COUNTIF($F$5:$F738,$F738))</f>
        <v/>
      </c>
      <c r="H738" s="33">
        <f>IF($F738="","",IFERROR(INDEX(사건마스터!$B$5:$B$64,MATCH($F738,사건마스터!$A$5:$A$64,0)),""))</f>
        <v/>
      </c>
      <c r="I738" s="34">
        <f>IF($F738="","",IFERROR(INDEX(사건마스터!$C$5:$C$64,MATCH($F738,사건마스터!$A$5:$A$64,0)),""))</f>
        <v/>
      </c>
      <c r="J738" s="35">
        <f>IF($F738="","",IFERROR(INDEX(사건마스터!$H$5:$H$64,MATCH($F738,사건마스터!$A$5:$A$64,0)),""))</f>
        <v/>
      </c>
      <c r="K738" s="35">
        <f>IF($F738="","",IFERROR(INDEX(사건마스터!$AH$5:$AH$64,MATCH($F738,사건마스터!$A$5:$A$64,0)),""))</f>
        <v/>
      </c>
      <c r="L738" s="35">
        <f>IF($F738="","",IFERROR(INDEX(사건마스터!$AI$5:$AI$64,MATCH($F738,사건마스터!$A$5:$A$64,0)),""))</f>
        <v/>
      </c>
      <c r="M738" s="35">
        <f>IF($F738="","",IFERROR(INDEX(사건마스터!$AJ$5:$AJ$64,MATCH($F738,사건마스터!$A$5:$A$64,0)),""))</f>
        <v/>
      </c>
      <c r="N738" s="35">
        <f>IF($F738="","",IFERROR(INDEX(사건마스터!$AK$5:$AK$64,MATCH($F738,사건마스터!$A$5:$A$64,0)),""))</f>
        <v/>
      </c>
      <c r="O738" s="35">
        <f>IF($F738="","",IFERROR(INDEX(사건마스터!$AL$5:$AL$64,MATCH($F738,사건마스터!$A$5:$A$64,0)),""))</f>
        <v/>
      </c>
      <c r="P738" s="35">
        <f>IF($F738="","",IFERROR(INDEX(사건마스터!$AM$5:$AM$64,MATCH($F738,사건마스터!$A$5:$A$64,0)),""))</f>
        <v/>
      </c>
      <c r="Q738" s="35">
        <f>IF($F738="","",IFERROR(INDEX(사건마스터!$AN$5:$AN$64,MATCH($F738,사건마스터!$A$5:$A$64,0)),""))</f>
        <v/>
      </c>
      <c r="R738" s="35">
        <f>IF($F738="","",IFERROR(INDEX(사건마스터!$AO$5:$AO$64,MATCH($F738,사건마스터!$A$5:$A$64,0)),""))</f>
        <v/>
      </c>
      <c r="S738" s="35">
        <f>IF($F738="","",IFERROR(INDEX(사건마스터!$AP$5:$AP$64,MATCH($F738,사건마스터!$A$5:$A$64,0)),""))</f>
        <v/>
      </c>
      <c r="T738" s="35">
        <f>IF($F738="","",IFERROR(INDEX(사건마스터!$AQ$5:$AQ$64,MATCH($F738,사건마스터!$A$5:$A$64,0)),""))</f>
        <v/>
      </c>
      <c r="U738" s="35">
        <f>IF($F738="","",IFERROR(INDEX(사건마스터!$AR$5:$AR$64,MATCH($F738,사건마스터!$A$5:$A$64,0)),""))</f>
        <v/>
      </c>
      <c r="V738" s="35">
        <f>IF($F738="","",IFERROR(INDEX(사건마스터!$AS$5:$AS$64,MATCH($F738,사건마스터!$A$5:$A$64,0)),""))</f>
        <v/>
      </c>
      <c r="W738" s="35">
        <f>IF($F738="","",IFERROR(INDEX(사건마스터!$AT$5:$AT$64,MATCH($F738,사건마스터!$A$5:$A$64,0)),""))</f>
        <v/>
      </c>
      <c r="X738" s="35">
        <f>IF($F738="","",IFERROR(INDEX(사건마스터!$AU$5:$AU$64,MATCH($F738,사건마스터!$A$5:$A$64,0)),""))</f>
        <v/>
      </c>
      <c r="Y738" s="35">
        <f>IF($F738="","",IFERROR(INDEX(사건마스터!$AV$5:$AV$64,MATCH($F738,사건마스터!$A$5:$A$64,0)),""))</f>
        <v/>
      </c>
      <c r="Z738" s="30">
        <f>IF(COUNTBLANK($J738:$Y738)=16,"",16-COUNTBLANK($J738:$Y738))</f>
        <v/>
      </c>
      <c r="AA738" s="33">
        <f>IF($J738="",MID($AX738,3,255),$J738&amp;$AX738)</f>
        <v/>
      </c>
      <c r="AB738" s="34">
        <f>IF($J738="","",IFERROR(INDEX(코드설정!$D$5:$D$24,MATCH($J738,코드설정!$C$5:$C$24,0)),""))</f>
        <v/>
      </c>
      <c r="AC738" s="36" t="n"/>
      <c r="AD738" s="37" t="n"/>
      <c r="AE738" s="38" t="n"/>
      <c r="AF738" s="30">
        <f>IF(OR($B738="",$C738=""),"",$C738-$B738+1)</f>
        <v/>
      </c>
      <c r="AG738" s="32" t="n"/>
      <c r="AH738" s="36" t="n"/>
      <c r="AJ738">
        <f>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  <c r="AX738">
        <f>AW738&amp;IF($Y738="","",", "&amp;$Y738)</f>
        <v/>
      </c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0">
        <f>IF($F739="","",COUNTIF($F$5:$F739,$F739))</f>
        <v/>
      </c>
      <c r="H739" s="33">
        <f>IF($F739="","",IFERROR(INDEX(사건마스터!$B$5:$B$64,MATCH($F739,사건마스터!$A$5:$A$64,0)),""))</f>
        <v/>
      </c>
      <c r="I739" s="34">
        <f>IF($F739="","",IFERROR(INDEX(사건마스터!$C$5:$C$64,MATCH($F739,사건마스터!$A$5:$A$64,0)),""))</f>
        <v/>
      </c>
      <c r="J739" s="35">
        <f>IF($F739="","",IFERROR(INDEX(사건마스터!$H$5:$H$64,MATCH($F739,사건마스터!$A$5:$A$64,0)),""))</f>
        <v/>
      </c>
      <c r="K739" s="35">
        <f>IF($F739="","",IFERROR(INDEX(사건마스터!$AH$5:$AH$64,MATCH($F739,사건마스터!$A$5:$A$64,0)),""))</f>
        <v/>
      </c>
      <c r="L739" s="35">
        <f>IF($F739="","",IFERROR(INDEX(사건마스터!$AI$5:$AI$64,MATCH($F739,사건마스터!$A$5:$A$64,0)),""))</f>
        <v/>
      </c>
      <c r="M739" s="35">
        <f>IF($F739="","",IFERROR(INDEX(사건마스터!$AJ$5:$AJ$64,MATCH($F739,사건마스터!$A$5:$A$64,0)),""))</f>
        <v/>
      </c>
      <c r="N739" s="35">
        <f>IF($F739="","",IFERROR(INDEX(사건마스터!$AK$5:$AK$64,MATCH($F739,사건마스터!$A$5:$A$64,0)),""))</f>
        <v/>
      </c>
      <c r="O739" s="35">
        <f>IF($F739="","",IFERROR(INDEX(사건마스터!$AL$5:$AL$64,MATCH($F739,사건마스터!$A$5:$A$64,0)),""))</f>
        <v/>
      </c>
      <c r="P739" s="35">
        <f>IF($F739="","",IFERROR(INDEX(사건마스터!$AM$5:$AM$64,MATCH($F739,사건마스터!$A$5:$A$64,0)),""))</f>
        <v/>
      </c>
      <c r="Q739" s="35">
        <f>IF($F739="","",IFERROR(INDEX(사건마스터!$AN$5:$AN$64,MATCH($F739,사건마스터!$A$5:$A$64,0)),""))</f>
        <v/>
      </c>
      <c r="R739" s="35">
        <f>IF($F739="","",IFERROR(INDEX(사건마스터!$AO$5:$AO$64,MATCH($F739,사건마스터!$A$5:$A$64,0)),""))</f>
        <v/>
      </c>
      <c r="S739" s="35">
        <f>IF($F739="","",IFERROR(INDEX(사건마스터!$AP$5:$AP$64,MATCH($F739,사건마스터!$A$5:$A$64,0)),""))</f>
        <v/>
      </c>
      <c r="T739" s="35">
        <f>IF($F739="","",IFERROR(INDEX(사건마스터!$AQ$5:$AQ$64,MATCH($F739,사건마스터!$A$5:$A$64,0)),""))</f>
        <v/>
      </c>
      <c r="U739" s="35">
        <f>IF($F739="","",IFERROR(INDEX(사건마스터!$AR$5:$AR$64,MATCH($F739,사건마스터!$A$5:$A$64,0)),""))</f>
        <v/>
      </c>
      <c r="V739" s="35">
        <f>IF($F739="","",IFERROR(INDEX(사건마스터!$AS$5:$AS$64,MATCH($F739,사건마스터!$A$5:$A$64,0)),""))</f>
        <v/>
      </c>
      <c r="W739" s="35">
        <f>IF($F739="","",IFERROR(INDEX(사건마스터!$AT$5:$AT$64,MATCH($F739,사건마스터!$A$5:$A$64,0)),""))</f>
        <v/>
      </c>
      <c r="X739" s="35">
        <f>IF($F739="","",IFERROR(INDEX(사건마스터!$AU$5:$AU$64,MATCH($F739,사건마스터!$A$5:$A$64,0)),""))</f>
        <v/>
      </c>
      <c r="Y739" s="35">
        <f>IF($F739="","",IFERROR(INDEX(사건마스터!$AV$5:$AV$64,MATCH($F739,사건마스터!$A$5:$A$64,0)),""))</f>
        <v/>
      </c>
      <c r="Z739" s="30">
        <f>IF(COUNTBLANK($J739:$Y739)=16,"",16-COUNTBLANK($J739:$Y739))</f>
        <v/>
      </c>
      <c r="AA739" s="33">
        <f>IF($J739="",MID($AX739,3,255),$J739&amp;$AX739)</f>
        <v/>
      </c>
      <c r="AB739" s="34">
        <f>IF($J739="","",IFERROR(INDEX(코드설정!$D$5:$D$24,MATCH($J739,코드설정!$C$5:$C$24,0)),""))</f>
        <v/>
      </c>
      <c r="AC739" s="36" t="n"/>
      <c r="AD739" s="37" t="n"/>
      <c r="AE739" s="38" t="n"/>
      <c r="AF739" s="30">
        <f>IF(OR($B739="",$C739=""),"",$C739-$B739+1)</f>
        <v/>
      </c>
      <c r="AG739" s="32" t="n"/>
      <c r="AH739" s="36" t="n"/>
      <c r="AJ739">
        <f>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  <c r="AX739">
        <f>AW739&amp;IF($Y739="","",", "&amp;$Y739)</f>
        <v/>
      </c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0">
        <f>IF($F740="","",COUNTIF($F$5:$F740,$F740))</f>
        <v/>
      </c>
      <c r="H740" s="33">
        <f>IF($F740="","",IFERROR(INDEX(사건마스터!$B$5:$B$64,MATCH($F740,사건마스터!$A$5:$A$64,0)),""))</f>
        <v/>
      </c>
      <c r="I740" s="34">
        <f>IF($F740="","",IFERROR(INDEX(사건마스터!$C$5:$C$64,MATCH($F740,사건마스터!$A$5:$A$64,0)),""))</f>
        <v/>
      </c>
      <c r="J740" s="35">
        <f>IF($F740="","",IFERROR(INDEX(사건마스터!$H$5:$H$64,MATCH($F740,사건마스터!$A$5:$A$64,0)),""))</f>
        <v/>
      </c>
      <c r="K740" s="35">
        <f>IF($F740="","",IFERROR(INDEX(사건마스터!$AH$5:$AH$64,MATCH($F740,사건마스터!$A$5:$A$64,0)),""))</f>
        <v/>
      </c>
      <c r="L740" s="35">
        <f>IF($F740="","",IFERROR(INDEX(사건마스터!$AI$5:$AI$64,MATCH($F740,사건마스터!$A$5:$A$64,0)),""))</f>
        <v/>
      </c>
      <c r="M740" s="35">
        <f>IF($F740="","",IFERROR(INDEX(사건마스터!$AJ$5:$AJ$64,MATCH($F740,사건마스터!$A$5:$A$64,0)),""))</f>
        <v/>
      </c>
      <c r="N740" s="35">
        <f>IF($F740="","",IFERROR(INDEX(사건마스터!$AK$5:$AK$64,MATCH($F740,사건마스터!$A$5:$A$64,0)),""))</f>
        <v/>
      </c>
      <c r="O740" s="35">
        <f>IF($F740="","",IFERROR(INDEX(사건마스터!$AL$5:$AL$64,MATCH($F740,사건마스터!$A$5:$A$64,0)),""))</f>
        <v/>
      </c>
      <c r="P740" s="35">
        <f>IF($F740="","",IFERROR(INDEX(사건마스터!$AM$5:$AM$64,MATCH($F740,사건마스터!$A$5:$A$64,0)),""))</f>
        <v/>
      </c>
      <c r="Q740" s="35">
        <f>IF($F740="","",IFERROR(INDEX(사건마스터!$AN$5:$AN$64,MATCH($F740,사건마스터!$A$5:$A$64,0)),""))</f>
        <v/>
      </c>
      <c r="R740" s="35">
        <f>IF($F740="","",IFERROR(INDEX(사건마스터!$AO$5:$AO$64,MATCH($F740,사건마스터!$A$5:$A$64,0)),""))</f>
        <v/>
      </c>
      <c r="S740" s="35">
        <f>IF($F740="","",IFERROR(INDEX(사건마스터!$AP$5:$AP$64,MATCH($F740,사건마스터!$A$5:$A$64,0)),""))</f>
        <v/>
      </c>
      <c r="T740" s="35">
        <f>IF($F740="","",IFERROR(INDEX(사건마스터!$AQ$5:$AQ$64,MATCH($F740,사건마스터!$A$5:$A$64,0)),""))</f>
        <v/>
      </c>
      <c r="U740" s="35">
        <f>IF($F740="","",IFERROR(INDEX(사건마스터!$AR$5:$AR$64,MATCH($F740,사건마스터!$A$5:$A$64,0)),""))</f>
        <v/>
      </c>
      <c r="V740" s="35">
        <f>IF($F740="","",IFERROR(INDEX(사건마스터!$AS$5:$AS$64,MATCH($F740,사건마스터!$A$5:$A$64,0)),""))</f>
        <v/>
      </c>
      <c r="W740" s="35">
        <f>IF($F740="","",IFERROR(INDEX(사건마스터!$AT$5:$AT$64,MATCH($F740,사건마스터!$A$5:$A$64,0)),""))</f>
        <v/>
      </c>
      <c r="X740" s="35">
        <f>IF($F740="","",IFERROR(INDEX(사건마스터!$AU$5:$AU$64,MATCH($F740,사건마스터!$A$5:$A$64,0)),""))</f>
        <v/>
      </c>
      <c r="Y740" s="35">
        <f>IF($F740="","",IFERROR(INDEX(사건마스터!$AV$5:$AV$64,MATCH($F740,사건마스터!$A$5:$A$64,0)),""))</f>
        <v/>
      </c>
      <c r="Z740" s="30">
        <f>IF(COUNTBLANK($J740:$Y740)=16,"",16-COUNTBLANK($J740:$Y740))</f>
        <v/>
      </c>
      <c r="AA740" s="33">
        <f>IF($J740="",MID($AX740,3,255),$J740&amp;$AX740)</f>
        <v/>
      </c>
      <c r="AB740" s="34">
        <f>IF($J740="","",IFERROR(INDEX(코드설정!$D$5:$D$24,MATCH($J740,코드설정!$C$5:$C$24,0)),""))</f>
        <v/>
      </c>
      <c r="AC740" s="36" t="n"/>
      <c r="AD740" s="37" t="n"/>
      <c r="AE740" s="38" t="n"/>
      <c r="AF740" s="30">
        <f>IF(OR($B740="",$C740=""),"",$C740-$B740+1)</f>
        <v/>
      </c>
      <c r="AG740" s="32" t="n"/>
      <c r="AH740" s="36" t="n"/>
      <c r="AJ740">
        <f>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  <c r="AX740">
        <f>AW740&amp;IF($Y740="","",", "&amp;$Y740)</f>
        <v/>
      </c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0">
        <f>IF($F741="","",COUNTIF($F$5:$F741,$F741))</f>
        <v/>
      </c>
      <c r="H741" s="33">
        <f>IF($F741="","",IFERROR(INDEX(사건마스터!$B$5:$B$64,MATCH($F741,사건마스터!$A$5:$A$64,0)),""))</f>
        <v/>
      </c>
      <c r="I741" s="34">
        <f>IF($F741="","",IFERROR(INDEX(사건마스터!$C$5:$C$64,MATCH($F741,사건마스터!$A$5:$A$64,0)),""))</f>
        <v/>
      </c>
      <c r="J741" s="35">
        <f>IF($F741="","",IFERROR(INDEX(사건마스터!$H$5:$H$64,MATCH($F741,사건마스터!$A$5:$A$64,0)),""))</f>
        <v/>
      </c>
      <c r="K741" s="35">
        <f>IF($F741="","",IFERROR(INDEX(사건마스터!$AH$5:$AH$64,MATCH($F741,사건마스터!$A$5:$A$64,0)),""))</f>
        <v/>
      </c>
      <c r="L741" s="35">
        <f>IF($F741="","",IFERROR(INDEX(사건마스터!$AI$5:$AI$64,MATCH($F741,사건마스터!$A$5:$A$64,0)),""))</f>
        <v/>
      </c>
      <c r="M741" s="35">
        <f>IF($F741="","",IFERROR(INDEX(사건마스터!$AJ$5:$AJ$64,MATCH($F741,사건마스터!$A$5:$A$64,0)),""))</f>
        <v/>
      </c>
      <c r="N741" s="35">
        <f>IF($F741="","",IFERROR(INDEX(사건마스터!$AK$5:$AK$64,MATCH($F741,사건마스터!$A$5:$A$64,0)),""))</f>
        <v/>
      </c>
      <c r="O741" s="35">
        <f>IF($F741="","",IFERROR(INDEX(사건마스터!$AL$5:$AL$64,MATCH($F741,사건마스터!$A$5:$A$64,0)),""))</f>
        <v/>
      </c>
      <c r="P741" s="35">
        <f>IF($F741="","",IFERROR(INDEX(사건마스터!$AM$5:$AM$64,MATCH($F741,사건마스터!$A$5:$A$64,0)),""))</f>
        <v/>
      </c>
      <c r="Q741" s="35">
        <f>IF($F741="","",IFERROR(INDEX(사건마스터!$AN$5:$AN$64,MATCH($F741,사건마스터!$A$5:$A$64,0)),""))</f>
        <v/>
      </c>
      <c r="R741" s="35">
        <f>IF($F741="","",IFERROR(INDEX(사건마스터!$AO$5:$AO$64,MATCH($F741,사건마스터!$A$5:$A$64,0)),""))</f>
        <v/>
      </c>
      <c r="S741" s="35">
        <f>IF($F741="","",IFERROR(INDEX(사건마스터!$AP$5:$AP$64,MATCH($F741,사건마스터!$A$5:$A$64,0)),""))</f>
        <v/>
      </c>
      <c r="T741" s="35">
        <f>IF($F741="","",IFERROR(INDEX(사건마스터!$AQ$5:$AQ$64,MATCH($F741,사건마스터!$A$5:$A$64,0)),""))</f>
        <v/>
      </c>
      <c r="U741" s="35">
        <f>IF($F741="","",IFERROR(INDEX(사건마스터!$AR$5:$AR$64,MATCH($F741,사건마스터!$A$5:$A$64,0)),""))</f>
        <v/>
      </c>
      <c r="V741" s="35">
        <f>IF($F741="","",IFERROR(INDEX(사건마스터!$AS$5:$AS$64,MATCH($F741,사건마스터!$A$5:$A$64,0)),""))</f>
        <v/>
      </c>
      <c r="W741" s="35">
        <f>IF($F741="","",IFERROR(INDEX(사건마스터!$AT$5:$AT$64,MATCH($F741,사건마스터!$A$5:$A$64,0)),""))</f>
        <v/>
      </c>
      <c r="X741" s="35">
        <f>IF($F741="","",IFERROR(INDEX(사건마스터!$AU$5:$AU$64,MATCH($F741,사건마스터!$A$5:$A$64,0)),""))</f>
        <v/>
      </c>
      <c r="Y741" s="35">
        <f>IF($F741="","",IFERROR(INDEX(사건마스터!$AV$5:$AV$64,MATCH($F741,사건마스터!$A$5:$A$64,0)),""))</f>
        <v/>
      </c>
      <c r="Z741" s="30">
        <f>IF(COUNTBLANK($J741:$Y741)=16,"",16-COUNTBLANK($J741:$Y741))</f>
        <v/>
      </c>
      <c r="AA741" s="33">
        <f>IF($J741="",MID($AX741,3,255),$J741&amp;$AX741)</f>
        <v/>
      </c>
      <c r="AB741" s="34">
        <f>IF($J741="","",IFERROR(INDEX(코드설정!$D$5:$D$24,MATCH($J741,코드설정!$C$5:$C$24,0)),""))</f>
        <v/>
      </c>
      <c r="AC741" s="36" t="n"/>
      <c r="AD741" s="37" t="n"/>
      <c r="AE741" s="38" t="n"/>
      <c r="AF741" s="30">
        <f>IF(OR($B741="",$C741=""),"",$C741-$B741+1)</f>
        <v/>
      </c>
      <c r="AG741" s="32" t="n"/>
      <c r="AH741" s="36" t="n"/>
      <c r="AJ741">
        <f>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  <c r="AX741">
        <f>AW741&amp;IF($Y741="","",", "&amp;$Y741)</f>
        <v/>
      </c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0">
        <f>IF($F742="","",COUNTIF($F$5:$F742,$F742))</f>
        <v/>
      </c>
      <c r="H742" s="33">
        <f>IF($F742="","",IFERROR(INDEX(사건마스터!$B$5:$B$64,MATCH($F742,사건마스터!$A$5:$A$64,0)),""))</f>
        <v/>
      </c>
      <c r="I742" s="34">
        <f>IF($F742="","",IFERROR(INDEX(사건마스터!$C$5:$C$64,MATCH($F742,사건마스터!$A$5:$A$64,0)),""))</f>
        <v/>
      </c>
      <c r="J742" s="35">
        <f>IF($F742="","",IFERROR(INDEX(사건마스터!$H$5:$H$64,MATCH($F742,사건마스터!$A$5:$A$64,0)),""))</f>
        <v/>
      </c>
      <c r="K742" s="35">
        <f>IF($F742="","",IFERROR(INDEX(사건마스터!$AH$5:$AH$64,MATCH($F742,사건마스터!$A$5:$A$64,0)),""))</f>
        <v/>
      </c>
      <c r="L742" s="35">
        <f>IF($F742="","",IFERROR(INDEX(사건마스터!$AI$5:$AI$64,MATCH($F742,사건마스터!$A$5:$A$64,0)),""))</f>
        <v/>
      </c>
      <c r="M742" s="35">
        <f>IF($F742="","",IFERROR(INDEX(사건마스터!$AJ$5:$AJ$64,MATCH($F742,사건마스터!$A$5:$A$64,0)),""))</f>
        <v/>
      </c>
      <c r="N742" s="35">
        <f>IF($F742="","",IFERROR(INDEX(사건마스터!$AK$5:$AK$64,MATCH($F742,사건마스터!$A$5:$A$64,0)),""))</f>
        <v/>
      </c>
      <c r="O742" s="35">
        <f>IF($F742="","",IFERROR(INDEX(사건마스터!$AL$5:$AL$64,MATCH($F742,사건마스터!$A$5:$A$64,0)),""))</f>
        <v/>
      </c>
      <c r="P742" s="35">
        <f>IF($F742="","",IFERROR(INDEX(사건마스터!$AM$5:$AM$64,MATCH($F742,사건마스터!$A$5:$A$64,0)),""))</f>
        <v/>
      </c>
      <c r="Q742" s="35">
        <f>IF($F742="","",IFERROR(INDEX(사건마스터!$AN$5:$AN$64,MATCH($F742,사건마스터!$A$5:$A$64,0)),""))</f>
        <v/>
      </c>
      <c r="R742" s="35">
        <f>IF($F742="","",IFERROR(INDEX(사건마스터!$AO$5:$AO$64,MATCH($F742,사건마스터!$A$5:$A$64,0)),""))</f>
        <v/>
      </c>
      <c r="S742" s="35">
        <f>IF($F742="","",IFERROR(INDEX(사건마스터!$AP$5:$AP$64,MATCH($F742,사건마스터!$A$5:$A$64,0)),""))</f>
        <v/>
      </c>
      <c r="T742" s="35">
        <f>IF($F742="","",IFERROR(INDEX(사건마스터!$AQ$5:$AQ$64,MATCH($F742,사건마스터!$A$5:$A$64,0)),""))</f>
        <v/>
      </c>
      <c r="U742" s="35">
        <f>IF($F742="","",IFERROR(INDEX(사건마스터!$AR$5:$AR$64,MATCH($F742,사건마스터!$A$5:$A$64,0)),""))</f>
        <v/>
      </c>
      <c r="V742" s="35">
        <f>IF($F742="","",IFERROR(INDEX(사건마스터!$AS$5:$AS$64,MATCH($F742,사건마스터!$A$5:$A$64,0)),""))</f>
        <v/>
      </c>
      <c r="W742" s="35">
        <f>IF($F742="","",IFERROR(INDEX(사건마스터!$AT$5:$AT$64,MATCH($F742,사건마스터!$A$5:$A$64,0)),""))</f>
        <v/>
      </c>
      <c r="X742" s="35">
        <f>IF($F742="","",IFERROR(INDEX(사건마스터!$AU$5:$AU$64,MATCH($F742,사건마스터!$A$5:$A$64,0)),""))</f>
        <v/>
      </c>
      <c r="Y742" s="35">
        <f>IF($F742="","",IFERROR(INDEX(사건마스터!$AV$5:$AV$64,MATCH($F742,사건마스터!$A$5:$A$64,0)),""))</f>
        <v/>
      </c>
      <c r="Z742" s="30">
        <f>IF(COUNTBLANK($J742:$Y742)=16,"",16-COUNTBLANK($J742:$Y742))</f>
        <v/>
      </c>
      <c r="AA742" s="33">
        <f>IF($J742="",MID($AX742,3,255),$J742&amp;$AX742)</f>
        <v/>
      </c>
      <c r="AB742" s="34">
        <f>IF($J742="","",IFERROR(INDEX(코드설정!$D$5:$D$24,MATCH($J742,코드설정!$C$5:$C$24,0)),""))</f>
        <v/>
      </c>
      <c r="AC742" s="36" t="n"/>
      <c r="AD742" s="37" t="n"/>
      <c r="AE742" s="38" t="n"/>
      <c r="AF742" s="30">
        <f>IF(OR($B742="",$C742=""),"",$C742-$B742+1)</f>
        <v/>
      </c>
      <c r="AG742" s="32" t="n"/>
      <c r="AH742" s="36" t="n"/>
      <c r="AJ742">
        <f>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  <c r="AX742">
        <f>AW742&amp;IF($Y742="","",", "&amp;$Y742)</f>
        <v/>
      </c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0">
        <f>IF($F743="","",COUNTIF($F$5:$F743,$F743))</f>
        <v/>
      </c>
      <c r="H743" s="33">
        <f>IF($F743="","",IFERROR(INDEX(사건마스터!$B$5:$B$64,MATCH($F743,사건마스터!$A$5:$A$64,0)),""))</f>
        <v/>
      </c>
      <c r="I743" s="34">
        <f>IF($F743="","",IFERROR(INDEX(사건마스터!$C$5:$C$64,MATCH($F743,사건마스터!$A$5:$A$64,0)),""))</f>
        <v/>
      </c>
      <c r="J743" s="35">
        <f>IF($F743="","",IFERROR(INDEX(사건마스터!$H$5:$H$64,MATCH($F743,사건마스터!$A$5:$A$64,0)),""))</f>
        <v/>
      </c>
      <c r="K743" s="35">
        <f>IF($F743="","",IFERROR(INDEX(사건마스터!$AH$5:$AH$64,MATCH($F743,사건마스터!$A$5:$A$64,0)),""))</f>
        <v/>
      </c>
      <c r="L743" s="35">
        <f>IF($F743="","",IFERROR(INDEX(사건마스터!$AI$5:$AI$64,MATCH($F743,사건마스터!$A$5:$A$64,0)),""))</f>
        <v/>
      </c>
      <c r="M743" s="35">
        <f>IF($F743="","",IFERROR(INDEX(사건마스터!$AJ$5:$AJ$64,MATCH($F743,사건마스터!$A$5:$A$64,0)),""))</f>
        <v/>
      </c>
      <c r="N743" s="35">
        <f>IF($F743="","",IFERROR(INDEX(사건마스터!$AK$5:$AK$64,MATCH($F743,사건마스터!$A$5:$A$64,0)),""))</f>
        <v/>
      </c>
      <c r="O743" s="35">
        <f>IF($F743="","",IFERROR(INDEX(사건마스터!$AL$5:$AL$64,MATCH($F743,사건마스터!$A$5:$A$64,0)),""))</f>
        <v/>
      </c>
      <c r="P743" s="35">
        <f>IF($F743="","",IFERROR(INDEX(사건마스터!$AM$5:$AM$64,MATCH($F743,사건마스터!$A$5:$A$64,0)),""))</f>
        <v/>
      </c>
      <c r="Q743" s="35">
        <f>IF($F743="","",IFERROR(INDEX(사건마스터!$AN$5:$AN$64,MATCH($F743,사건마스터!$A$5:$A$64,0)),""))</f>
        <v/>
      </c>
      <c r="R743" s="35">
        <f>IF($F743="","",IFERROR(INDEX(사건마스터!$AO$5:$AO$64,MATCH($F743,사건마스터!$A$5:$A$64,0)),""))</f>
        <v/>
      </c>
      <c r="S743" s="35">
        <f>IF($F743="","",IFERROR(INDEX(사건마스터!$AP$5:$AP$64,MATCH($F743,사건마스터!$A$5:$A$64,0)),""))</f>
        <v/>
      </c>
      <c r="T743" s="35">
        <f>IF($F743="","",IFERROR(INDEX(사건마스터!$AQ$5:$AQ$64,MATCH($F743,사건마스터!$A$5:$A$64,0)),""))</f>
        <v/>
      </c>
      <c r="U743" s="35">
        <f>IF($F743="","",IFERROR(INDEX(사건마스터!$AR$5:$AR$64,MATCH($F743,사건마스터!$A$5:$A$64,0)),""))</f>
        <v/>
      </c>
      <c r="V743" s="35">
        <f>IF($F743="","",IFERROR(INDEX(사건마스터!$AS$5:$AS$64,MATCH($F743,사건마스터!$A$5:$A$64,0)),""))</f>
        <v/>
      </c>
      <c r="W743" s="35">
        <f>IF($F743="","",IFERROR(INDEX(사건마스터!$AT$5:$AT$64,MATCH($F743,사건마스터!$A$5:$A$64,0)),""))</f>
        <v/>
      </c>
      <c r="X743" s="35">
        <f>IF($F743="","",IFERROR(INDEX(사건마스터!$AU$5:$AU$64,MATCH($F743,사건마스터!$A$5:$A$64,0)),""))</f>
        <v/>
      </c>
      <c r="Y743" s="35">
        <f>IF($F743="","",IFERROR(INDEX(사건마스터!$AV$5:$AV$64,MATCH($F743,사건마스터!$A$5:$A$64,0)),""))</f>
        <v/>
      </c>
      <c r="Z743" s="30">
        <f>IF(COUNTBLANK($J743:$Y743)=16,"",16-COUNTBLANK($J743:$Y743))</f>
        <v/>
      </c>
      <c r="AA743" s="33">
        <f>IF($J743="",MID($AX743,3,255),$J743&amp;$AX743)</f>
        <v/>
      </c>
      <c r="AB743" s="34">
        <f>IF($J743="","",IFERROR(INDEX(코드설정!$D$5:$D$24,MATCH($J743,코드설정!$C$5:$C$24,0)),""))</f>
        <v/>
      </c>
      <c r="AC743" s="36" t="n"/>
      <c r="AD743" s="37" t="n"/>
      <c r="AE743" s="38" t="n"/>
      <c r="AF743" s="30">
        <f>IF(OR($B743="",$C743=""),"",$C743-$B743+1)</f>
        <v/>
      </c>
      <c r="AG743" s="32" t="n"/>
      <c r="AH743" s="36" t="n"/>
      <c r="AJ743">
        <f>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  <c r="AX743">
        <f>AW743&amp;IF($Y743="","",", "&amp;$Y743)</f>
        <v/>
      </c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0">
        <f>IF($F744="","",COUNTIF($F$5:$F744,$F744))</f>
        <v/>
      </c>
      <c r="H744" s="33">
        <f>IF($F744="","",IFERROR(INDEX(사건마스터!$B$5:$B$64,MATCH($F744,사건마스터!$A$5:$A$64,0)),""))</f>
        <v/>
      </c>
      <c r="I744" s="34">
        <f>IF($F744="","",IFERROR(INDEX(사건마스터!$C$5:$C$64,MATCH($F744,사건마스터!$A$5:$A$64,0)),""))</f>
        <v/>
      </c>
      <c r="J744" s="35">
        <f>IF($F744="","",IFERROR(INDEX(사건마스터!$H$5:$H$64,MATCH($F744,사건마스터!$A$5:$A$64,0)),""))</f>
        <v/>
      </c>
      <c r="K744" s="35">
        <f>IF($F744="","",IFERROR(INDEX(사건마스터!$AH$5:$AH$64,MATCH($F744,사건마스터!$A$5:$A$64,0)),""))</f>
        <v/>
      </c>
      <c r="L744" s="35">
        <f>IF($F744="","",IFERROR(INDEX(사건마스터!$AI$5:$AI$64,MATCH($F744,사건마스터!$A$5:$A$64,0)),""))</f>
        <v/>
      </c>
      <c r="M744" s="35">
        <f>IF($F744="","",IFERROR(INDEX(사건마스터!$AJ$5:$AJ$64,MATCH($F744,사건마스터!$A$5:$A$64,0)),""))</f>
        <v/>
      </c>
      <c r="N744" s="35">
        <f>IF($F744="","",IFERROR(INDEX(사건마스터!$AK$5:$AK$64,MATCH($F744,사건마스터!$A$5:$A$64,0)),""))</f>
        <v/>
      </c>
      <c r="O744" s="35">
        <f>IF($F744="","",IFERROR(INDEX(사건마스터!$AL$5:$AL$64,MATCH($F744,사건마스터!$A$5:$A$64,0)),""))</f>
        <v/>
      </c>
      <c r="P744" s="35">
        <f>IF($F744="","",IFERROR(INDEX(사건마스터!$AM$5:$AM$64,MATCH($F744,사건마스터!$A$5:$A$64,0)),""))</f>
        <v/>
      </c>
      <c r="Q744" s="35">
        <f>IF($F744="","",IFERROR(INDEX(사건마스터!$AN$5:$AN$64,MATCH($F744,사건마스터!$A$5:$A$64,0)),""))</f>
        <v/>
      </c>
      <c r="R744" s="35">
        <f>IF($F744="","",IFERROR(INDEX(사건마스터!$AO$5:$AO$64,MATCH($F744,사건마스터!$A$5:$A$64,0)),""))</f>
        <v/>
      </c>
      <c r="S744" s="35">
        <f>IF($F744="","",IFERROR(INDEX(사건마스터!$AP$5:$AP$64,MATCH($F744,사건마스터!$A$5:$A$64,0)),""))</f>
        <v/>
      </c>
      <c r="T744" s="35">
        <f>IF($F744="","",IFERROR(INDEX(사건마스터!$AQ$5:$AQ$64,MATCH($F744,사건마스터!$A$5:$A$64,0)),""))</f>
        <v/>
      </c>
      <c r="U744" s="35">
        <f>IF($F744="","",IFERROR(INDEX(사건마스터!$AR$5:$AR$64,MATCH($F744,사건마스터!$A$5:$A$64,0)),""))</f>
        <v/>
      </c>
      <c r="V744" s="35">
        <f>IF($F744="","",IFERROR(INDEX(사건마스터!$AS$5:$AS$64,MATCH($F744,사건마스터!$A$5:$A$64,0)),""))</f>
        <v/>
      </c>
      <c r="W744" s="35">
        <f>IF($F744="","",IFERROR(INDEX(사건마스터!$AT$5:$AT$64,MATCH($F744,사건마스터!$A$5:$A$64,0)),""))</f>
        <v/>
      </c>
      <c r="X744" s="35">
        <f>IF($F744="","",IFERROR(INDEX(사건마스터!$AU$5:$AU$64,MATCH($F744,사건마스터!$A$5:$A$64,0)),""))</f>
        <v/>
      </c>
      <c r="Y744" s="35">
        <f>IF($F744="","",IFERROR(INDEX(사건마스터!$AV$5:$AV$64,MATCH($F744,사건마스터!$A$5:$A$64,0)),""))</f>
        <v/>
      </c>
      <c r="Z744" s="30">
        <f>IF(COUNTBLANK($J744:$Y744)=16,"",16-COUNTBLANK($J744:$Y744))</f>
        <v/>
      </c>
      <c r="AA744" s="33">
        <f>IF($J744="",MID($AX744,3,255),$J744&amp;$AX744)</f>
        <v/>
      </c>
      <c r="AB744" s="34">
        <f>IF($J744="","",IFERROR(INDEX(코드설정!$D$5:$D$24,MATCH($J744,코드설정!$C$5:$C$24,0)),""))</f>
        <v/>
      </c>
      <c r="AC744" s="36" t="n"/>
      <c r="AD744" s="37" t="n"/>
      <c r="AE744" s="38" t="n"/>
      <c r="AF744" s="30">
        <f>IF(OR($B744="",$C744=""),"",$C744-$B744+1)</f>
        <v/>
      </c>
      <c r="AG744" s="32" t="n"/>
      <c r="AH744" s="36" t="n"/>
      <c r="AJ744">
        <f>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  <c r="AX744">
        <f>AW744&amp;IF($Y744="","",", "&amp;$Y744)</f>
        <v/>
      </c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0">
        <f>IF($F745="","",COUNTIF($F$5:$F745,$F745))</f>
        <v/>
      </c>
      <c r="H745" s="33">
        <f>IF($F745="","",IFERROR(INDEX(사건마스터!$B$5:$B$64,MATCH($F745,사건마스터!$A$5:$A$64,0)),""))</f>
        <v/>
      </c>
      <c r="I745" s="34">
        <f>IF($F745="","",IFERROR(INDEX(사건마스터!$C$5:$C$64,MATCH($F745,사건마스터!$A$5:$A$64,0)),""))</f>
        <v/>
      </c>
      <c r="J745" s="35">
        <f>IF($F745="","",IFERROR(INDEX(사건마스터!$H$5:$H$64,MATCH($F745,사건마스터!$A$5:$A$64,0)),""))</f>
        <v/>
      </c>
      <c r="K745" s="35">
        <f>IF($F745="","",IFERROR(INDEX(사건마스터!$AH$5:$AH$64,MATCH($F745,사건마스터!$A$5:$A$64,0)),""))</f>
        <v/>
      </c>
      <c r="L745" s="35">
        <f>IF($F745="","",IFERROR(INDEX(사건마스터!$AI$5:$AI$64,MATCH($F745,사건마스터!$A$5:$A$64,0)),""))</f>
        <v/>
      </c>
      <c r="M745" s="35">
        <f>IF($F745="","",IFERROR(INDEX(사건마스터!$AJ$5:$AJ$64,MATCH($F745,사건마스터!$A$5:$A$64,0)),""))</f>
        <v/>
      </c>
      <c r="N745" s="35">
        <f>IF($F745="","",IFERROR(INDEX(사건마스터!$AK$5:$AK$64,MATCH($F745,사건마스터!$A$5:$A$64,0)),""))</f>
        <v/>
      </c>
      <c r="O745" s="35">
        <f>IF($F745="","",IFERROR(INDEX(사건마스터!$AL$5:$AL$64,MATCH($F745,사건마스터!$A$5:$A$64,0)),""))</f>
        <v/>
      </c>
      <c r="P745" s="35">
        <f>IF($F745="","",IFERROR(INDEX(사건마스터!$AM$5:$AM$64,MATCH($F745,사건마스터!$A$5:$A$64,0)),""))</f>
        <v/>
      </c>
      <c r="Q745" s="35">
        <f>IF($F745="","",IFERROR(INDEX(사건마스터!$AN$5:$AN$64,MATCH($F745,사건마스터!$A$5:$A$64,0)),""))</f>
        <v/>
      </c>
      <c r="R745" s="35">
        <f>IF($F745="","",IFERROR(INDEX(사건마스터!$AO$5:$AO$64,MATCH($F745,사건마스터!$A$5:$A$64,0)),""))</f>
        <v/>
      </c>
      <c r="S745" s="35">
        <f>IF($F745="","",IFERROR(INDEX(사건마스터!$AP$5:$AP$64,MATCH($F745,사건마스터!$A$5:$A$64,0)),""))</f>
        <v/>
      </c>
      <c r="T745" s="35">
        <f>IF($F745="","",IFERROR(INDEX(사건마스터!$AQ$5:$AQ$64,MATCH($F745,사건마스터!$A$5:$A$64,0)),""))</f>
        <v/>
      </c>
      <c r="U745" s="35">
        <f>IF($F745="","",IFERROR(INDEX(사건마스터!$AR$5:$AR$64,MATCH($F745,사건마스터!$A$5:$A$64,0)),""))</f>
        <v/>
      </c>
      <c r="V745" s="35">
        <f>IF($F745="","",IFERROR(INDEX(사건마스터!$AS$5:$AS$64,MATCH($F745,사건마스터!$A$5:$A$64,0)),""))</f>
        <v/>
      </c>
      <c r="W745" s="35">
        <f>IF($F745="","",IFERROR(INDEX(사건마스터!$AT$5:$AT$64,MATCH($F745,사건마스터!$A$5:$A$64,0)),""))</f>
        <v/>
      </c>
      <c r="X745" s="35">
        <f>IF($F745="","",IFERROR(INDEX(사건마스터!$AU$5:$AU$64,MATCH($F745,사건마스터!$A$5:$A$64,0)),""))</f>
        <v/>
      </c>
      <c r="Y745" s="35">
        <f>IF($F745="","",IFERROR(INDEX(사건마스터!$AV$5:$AV$64,MATCH($F745,사건마스터!$A$5:$A$64,0)),""))</f>
        <v/>
      </c>
      <c r="Z745" s="30">
        <f>IF(COUNTBLANK($J745:$Y745)=16,"",16-COUNTBLANK($J745:$Y745))</f>
        <v/>
      </c>
      <c r="AA745" s="33">
        <f>IF($J745="",MID($AX745,3,255),$J745&amp;$AX745)</f>
        <v/>
      </c>
      <c r="AB745" s="34">
        <f>IF($J745="","",IFERROR(INDEX(코드설정!$D$5:$D$24,MATCH($J745,코드설정!$C$5:$C$24,0)),""))</f>
        <v/>
      </c>
      <c r="AC745" s="36" t="n"/>
      <c r="AD745" s="37" t="n"/>
      <c r="AE745" s="38" t="n"/>
      <c r="AF745" s="30">
        <f>IF(OR($B745="",$C745=""),"",$C745-$B745+1)</f>
        <v/>
      </c>
      <c r="AG745" s="32" t="n"/>
      <c r="AH745" s="36" t="n"/>
      <c r="AJ745">
        <f>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  <c r="AX745">
        <f>AW745&amp;IF($Y745="","",", "&amp;$Y745)</f>
        <v/>
      </c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0">
        <f>IF($F746="","",COUNTIF($F$5:$F746,$F746))</f>
        <v/>
      </c>
      <c r="H746" s="33">
        <f>IF($F746="","",IFERROR(INDEX(사건마스터!$B$5:$B$64,MATCH($F746,사건마스터!$A$5:$A$64,0)),""))</f>
        <v/>
      </c>
      <c r="I746" s="34">
        <f>IF($F746="","",IFERROR(INDEX(사건마스터!$C$5:$C$64,MATCH($F746,사건마스터!$A$5:$A$64,0)),""))</f>
        <v/>
      </c>
      <c r="J746" s="35">
        <f>IF($F746="","",IFERROR(INDEX(사건마스터!$H$5:$H$64,MATCH($F746,사건마스터!$A$5:$A$64,0)),""))</f>
        <v/>
      </c>
      <c r="K746" s="35">
        <f>IF($F746="","",IFERROR(INDEX(사건마스터!$AH$5:$AH$64,MATCH($F746,사건마스터!$A$5:$A$64,0)),""))</f>
        <v/>
      </c>
      <c r="L746" s="35">
        <f>IF($F746="","",IFERROR(INDEX(사건마스터!$AI$5:$AI$64,MATCH($F746,사건마스터!$A$5:$A$64,0)),""))</f>
        <v/>
      </c>
      <c r="M746" s="35">
        <f>IF($F746="","",IFERROR(INDEX(사건마스터!$AJ$5:$AJ$64,MATCH($F746,사건마스터!$A$5:$A$64,0)),""))</f>
        <v/>
      </c>
      <c r="N746" s="35">
        <f>IF($F746="","",IFERROR(INDEX(사건마스터!$AK$5:$AK$64,MATCH($F746,사건마스터!$A$5:$A$64,0)),""))</f>
        <v/>
      </c>
      <c r="O746" s="35">
        <f>IF($F746="","",IFERROR(INDEX(사건마스터!$AL$5:$AL$64,MATCH($F746,사건마스터!$A$5:$A$64,0)),""))</f>
        <v/>
      </c>
      <c r="P746" s="35">
        <f>IF($F746="","",IFERROR(INDEX(사건마스터!$AM$5:$AM$64,MATCH($F746,사건마스터!$A$5:$A$64,0)),""))</f>
        <v/>
      </c>
      <c r="Q746" s="35">
        <f>IF($F746="","",IFERROR(INDEX(사건마스터!$AN$5:$AN$64,MATCH($F746,사건마스터!$A$5:$A$64,0)),""))</f>
        <v/>
      </c>
      <c r="R746" s="35">
        <f>IF($F746="","",IFERROR(INDEX(사건마스터!$AO$5:$AO$64,MATCH($F746,사건마스터!$A$5:$A$64,0)),""))</f>
        <v/>
      </c>
      <c r="S746" s="35">
        <f>IF($F746="","",IFERROR(INDEX(사건마스터!$AP$5:$AP$64,MATCH($F746,사건마스터!$A$5:$A$64,0)),""))</f>
        <v/>
      </c>
      <c r="T746" s="35">
        <f>IF($F746="","",IFERROR(INDEX(사건마스터!$AQ$5:$AQ$64,MATCH($F746,사건마스터!$A$5:$A$64,0)),""))</f>
        <v/>
      </c>
      <c r="U746" s="35">
        <f>IF($F746="","",IFERROR(INDEX(사건마스터!$AR$5:$AR$64,MATCH($F746,사건마스터!$A$5:$A$64,0)),""))</f>
        <v/>
      </c>
      <c r="V746" s="35">
        <f>IF($F746="","",IFERROR(INDEX(사건마스터!$AS$5:$AS$64,MATCH($F746,사건마스터!$A$5:$A$64,0)),""))</f>
        <v/>
      </c>
      <c r="W746" s="35">
        <f>IF($F746="","",IFERROR(INDEX(사건마스터!$AT$5:$AT$64,MATCH($F746,사건마스터!$A$5:$A$64,0)),""))</f>
        <v/>
      </c>
      <c r="X746" s="35">
        <f>IF($F746="","",IFERROR(INDEX(사건마스터!$AU$5:$AU$64,MATCH($F746,사건마스터!$A$5:$A$64,0)),""))</f>
        <v/>
      </c>
      <c r="Y746" s="35">
        <f>IF($F746="","",IFERROR(INDEX(사건마스터!$AV$5:$AV$64,MATCH($F746,사건마스터!$A$5:$A$64,0)),""))</f>
        <v/>
      </c>
      <c r="Z746" s="30">
        <f>IF(COUNTBLANK($J746:$Y746)=16,"",16-COUNTBLANK($J746:$Y746))</f>
        <v/>
      </c>
      <c r="AA746" s="33">
        <f>IF($J746="",MID($AX746,3,255),$J746&amp;$AX746)</f>
        <v/>
      </c>
      <c r="AB746" s="34">
        <f>IF($J746="","",IFERROR(INDEX(코드설정!$D$5:$D$24,MATCH($J746,코드설정!$C$5:$C$24,0)),""))</f>
        <v/>
      </c>
      <c r="AC746" s="36" t="n"/>
      <c r="AD746" s="37" t="n"/>
      <c r="AE746" s="38" t="n"/>
      <c r="AF746" s="30">
        <f>IF(OR($B746="",$C746=""),"",$C746-$B746+1)</f>
        <v/>
      </c>
      <c r="AG746" s="32" t="n"/>
      <c r="AH746" s="36" t="n"/>
      <c r="AJ746">
        <f>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  <c r="AX746">
        <f>AW746&amp;IF($Y746="","",", "&amp;$Y746)</f>
        <v/>
      </c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0">
        <f>IF($F747="","",COUNTIF($F$5:$F747,$F747))</f>
        <v/>
      </c>
      <c r="H747" s="33">
        <f>IF($F747="","",IFERROR(INDEX(사건마스터!$B$5:$B$64,MATCH($F747,사건마스터!$A$5:$A$64,0)),""))</f>
        <v/>
      </c>
      <c r="I747" s="34">
        <f>IF($F747="","",IFERROR(INDEX(사건마스터!$C$5:$C$64,MATCH($F747,사건마스터!$A$5:$A$64,0)),""))</f>
        <v/>
      </c>
      <c r="J747" s="35">
        <f>IF($F747="","",IFERROR(INDEX(사건마스터!$H$5:$H$64,MATCH($F747,사건마스터!$A$5:$A$64,0)),""))</f>
        <v/>
      </c>
      <c r="K747" s="35">
        <f>IF($F747="","",IFERROR(INDEX(사건마스터!$AH$5:$AH$64,MATCH($F747,사건마스터!$A$5:$A$64,0)),""))</f>
        <v/>
      </c>
      <c r="L747" s="35">
        <f>IF($F747="","",IFERROR(INDEX(사건마스터!$AI$5:$AI$64,MATCH($F747,사건마스터!$A$5:$A$64,0)),""))</f>
        <v/>
      </c>
      <c r="M747" s="35">
        <f>IF($F747="","",IFERROR(INDEX(사건마스터!$AJ$5:$AJ$64,MATCH($F747,사건마스터!$A$5:$A$64,0)),""))</f>
        <v/>
      </c>
      <c r="N747" s="35">
        <f>IF($F747="","",IFERROR(INDEX(사건마스터!$AK$5:$AK$64,MATCH($F747,사건마스터!$A$5:$A$64,0)),""))</f>
        <v/>
      </c>
      <c r="O747" s="35">
        <f>IF($F747="","",IFERROR(INDEX(사건마스터!$AL$5:$AL$64,MATCH($F747,사건마스터!$A$5:$A$64,0)),""))</f>
        <v/>
      </c>
      <c r="P747" s="35">
        <f>IF($F747="","",IFERROR(INDEX(사건마스터!$AM$5:$AM$64,MATCH($F747,사건마스터!$A$5:$A$64,0)),""))</f>
        <v/>
      </c>
      <c r="Q747" s="35">
        <f>IF($F747="","",IFERROR(INDEX(사건마스터!$AN$5:$AN$64,MATCH($F747,사건마스터!$A$5:$A$64,0)),""))</f>
        <v/>
      </c>
      <c r="R747" s="35">
        <f>IF($F747="","",IFERROR(INDEX(사건마스터!$AO$5:$AO$64,MATCH($F747,사건마스터!$A$5:$A$64,0)),""))</f>
        <v/>
      </c>
      <c r="S747" s="35">
        <f>IF($F747="","",IFERROR(INDEX(사건마스터!$AP$5:$AP$64,MATCH($F747,사건마스터!$A$5:$A$64,0)),""))</f>
        <v/>
      </c>
      <c r="T747" s="35">
        <f>IF($F747="","",IFERROR(INDEX(사건마스터!$AQ$5:$AQ$64,MATCH($F747,사건마스터!$A$5:$A$64,0)),""))</f>
        <v/>
      </c>
      <c r="U747" s="35">
        <f>IF($F747="","",IFERROR(INDEX(사건마스터!$AR$5:$AR$64,MATCH($F747,사건마스터!$A$5:$A$64,0)),""))</f>
        <v/>
      </c>
      <c r="V747" s="35">
        <f>IF($F747="","",IFERROR(INDEX(사건마스터!$AS$5:$AS$64,MATCH($F747,사건마스터!$A$5:$A$64,0)),""))</f>
        <v/>
      </c>
      <c r="W747" s="35">
        <f>IF($F747="","",IFERROR(INDEX(사건마스터!$AT$5:$AT$64,MATCH($F747,사건마스터!$A$5:$A$64,0)),""))</f>
        <v/>
      </c>
      <c r="X747" s="35">
        <f>IF($F747="","",IFERROR(INDEX(사건마스터!$AU$5:$AU$64,MATCH($F747,사건마스터!$A$5:$A$64,0)),""))</f>
        <v/>
      </c>
      <c r="Y747" s="35">
        <f>IF($F747="","",IFERROR(INDEX(사건마스터!$AV$5:$AV$64,MATCH($F747,사건마스터!$A$5:$A$64,0)),""))</f>
        <v/>
      </c>
      <c r="Z747" s="30">
        <f>IF(COUNTBLANK($J747:$Y747)=16,"",16-COUNTBLANK($J747:$Y747))</f>
        <v/>
      </c>
      <c r="AA747" s="33">
        <f>IF($J747="",MID($AX747,3,255),$J747&amp;$AX747)</f>
        <v/>
      </c>
      <c r="AB747" s="34">
        <f>IF($J747="","",IFERROR(INDEX(코드설정!$D$5:$D$24,MATCH($J747,코드설정!$C$5:$C$24,0)),""))</f>
        <v/>
      </c>
      <c r="AC747" s="36" t="n"/>
      <c r="AD747" s="37" t="n"/>
      <c r="AE747" s="38" t="n"/>
      <c r="AF747" s="30">
        <f>IF(OR($B747="",$C747=""),"",$C747-$B747+1)</f>
        <v/>
      </c>
      <c r="AG747" s="32" t="n"/>
      <c r="AH747" s="36" t="n"/>
      <c r="AJ747">
        <f>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  <c r="AX747">
        <f>AW747&amp;IF($Y747="","",", "&amp;$Y747)</f>
        <v/>
      </c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0">
        <f>IF($F748="","",COUNTIF($F$5:$F748,$F748))</f>
        <v/>
      </c>
      <c r="H748" s="33">
        <f>IF($F748="","",IFERROR(INDEX(사건마스터!$B$5:$B$64,MATCH($F748,사건마스터!$A$5:$A$64,0)),""))</f>
        <v/>
      </c>
      <c r="I748" s="34">
        <f>IF($F748="","",IFERROR(INDEX(사건마스터!$C$5:$C$64,MATCH($F748,사건마스터!$A$5:$A$64,0)),""))</f>
        <v/>
      </c>
      <c r="J748" s="35">
        <f>IF($F748="","",IFERROR(INDEX(사건마스터!$H$5:$H$64,MATCH($F748,사건마스터!$A$5:$A$64,0)),""))</f>
        <v/>
      </c>
      <c r="K748" s="35">
        <f>IF($F748="","",IFERROR(INDEX(사건마스터!$AH$5:$AH$64,MATCH($F748,사건마스터!$A$5:$A$64,0)),""))</f>
        <v/>
      </c>
      <c r="L748" s="35">
        <f>IF($F748="","",IFERROR(INDEX(사건마스터!$AI$5:$AI$64,MATCH($F748,사건마스터!$A$5:$A$64,0)),""))</f>
        <v/>
      </c>
      <c r="M748" s="35">
        <f>IF($F748="","",IFERROR(INDEX(사건마스터!$AJ$5:$AJ$64,MATCH($F748,사건마스터!$A$5:$A$64,0)),""))</f>
        <v/>
      </c>
      <c r="N748" s="35">
        <f>IF($F748="","",IFERROR(INDEX(사건마스터!$AK$5:$AK$64,MATCH($F748,사건마스터!$A$5:$A$64,0)),""))</f>
        <v/>
      </c>
      <c r="O748" s="35">
        <f>IF($F748="","",IFERROR(INDEX(사건마스터!$AL$5:$AL$64,MATCH($F748,사건마스터!$A$5:$A$64,0)),""))</f>
        <v/>
      </c>
      <c r="P748" s="35">
        <f>IF($F748="","",IFERROR(INDEX(사건마스터!$AM$5:$AM$64,MATCH($F748,사건마스터!$A$5:$A$64,0)),""))</f>
        <v/>
      </c>
      <c r="Q748" s="35">
        <f>IF($F748="","",IFERROR(INDEX(사건마스터!$AN$5:$AN$64,MATCH($F748,사건마스터!$A$5:$A$64,0)),""))</f>
        <v/>
      </c>
      <c r="R748" s="35">
        <f>IF($F748="","",IFERROR(INDEX(사건마스터!$AO$5:$AO$64,MATCH($F748,사건마스터!$A$5:$A$64,0)),""))</f>
        <v/>
      </c>
      <c r="S748" s="35">
        <f>IF($F748="","",IFERROR(INDEX(사건마스터!$AP$5:$AP$64,MATCH($F748,사건마스터!$A$5:$A$64,0)),""))</f>
        <v/>
      </c>
      <c r="T748" s="35">
        <f>IF($F748="","",IFERROR(INDEX(사건마스터!$AQ$5:$AQ$64,MATCH($F748,사건마스터!$A$5:$A$64,0)),""))</f>
        <v/>
      </c>
      <c r="U748" s="35">
        <f>IF($F748="","",IFERROR(INDEX(사건마스터!$AR$5:$AR$64,MATCH($F748,사건마스터!$A$5:$A$64,0)),""))</f>
        <v/>
      </c>
      <c r="V748" s="35">
        <f>IF($F748="","",IFERROR(INDEX(사건마스터!$AS$5:$AS$64,MATCH($F748,사건마스터!$A$5:$A$64,0)),""))</f>
        <v/>
      </c>
      <c r="W748" s="35">
        <f>IF($F748="","",IFERROR(INDEX(사건마스터!$AT$5:$AT$64,MATCH($F748,사건마스터!$A$5:$A$64,0)),""))</f>
        <v/>
      </c>
      <c r="X748" s="35">
        <f>IF($F748="","",IFERROR(INDEX(사건마스터!$AU$5:$AU$64,MATCH($F748,사건마스터!$A$5:$A$64,0)),""))</f>
        <v/>
      </c>
      <c r="Y748" s="35">
        <f>IF($F748="","",IFERROR(INDEX(사건마스터!$AV$5:$AV$64,MATCH($F748,사건마스터!$A$5:$A$64,0)),""))</f>
        <v/>
      </c>
      <c r="Z748" s="30">
        <f>IF(COUNTBLANK($J748:$Y748)=16,"",16-COUNTBLANK($J748:$Y748))</f>
        <v/>
      </c>
      <c r="AA748" s="33">
        <f>IF($J748="",MID($AX748,3,255),$J748&amp;$AX748)</f>
        <v/>
      </c>
      <c r="AB748" s="34">
        <f>IF($J748="","",IFERROR(INDEX(코드설정!$D$5:$D$24,MATCH($J748,코드설정!$C$5:$C$24,0)),""))</f>
        <v/>
      </c>
      <c r="AC748" s="36" t="n"/>
      <c r="AD748" s="37" t="n"/>
      <c r="AE748" s="38" t="n"/>
      <c r="AF748" s="30">
        <f>IF(OR($B748="",$C748=""),"",$C748-$B748+1)</f>
        <v/>
      </c>
      <c r="AG748" s="32" t="n"/>
      <c r="AH748" s="36" t="n"/>
      <c r="AJ748">
        <f>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  <c r="AX748">
        <f>AW748&amp;IF($Y748="","",", "&amp;$Y748)</f>
        <v/>
      </c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0">
        <f>IF($F749="","",COUNTIF($F$5:$F749,$F749))</f>
        <v/>
      </c>
      <c r="H749" s="33">
        <f>IF($F749="","",IFERROR(INDEX(사건마스터!$B$5:$B$64,MATCH($F749,사건마스터!$A$5:$A$64,0)),""))</f>
        <v/>
      </c>
      <c r="I749" s="34">
        <f>IF($F749="","",IFERROR(INDEX(사건마스터!$C$5:$C$64,MATCH($F749,사건마스터!$A$5:$A$64,0)),""))</f>
        <v/>
      </c>
      <c r="J749" s="35">
        <f>IF($F749="","",IFERROR(INDEX(사건마스터!$H$5:$H$64,MATCH($F749,사건마스터!$A$5:$A$64,0)),""))</f>
        <v/>
      </c>
      <c r="K749" s="35">
        <f>IF($F749="","",IFERROR(INDEX(사건마스터!$AH$5:$AH$64,MATCH($F749,사건마스터!$A$5:$A$64,0)),""))</f>
        <v/>
      </c>
      <c r="L749" s="35">
        <f>IF($F749="","",IFERROR(INDEX(사건마스터!$AI$5:$AI$64,MATCH($F749,사건마스터!$A$5:$A$64,0)),""))</f>
        <v/>
      </c>
      <c r="M749" s="35">
        <f>IF($F749="","",IFERROR(INDEX(사건마스터!$AJ$5:$AJ$64,MATCH($F749,사건마스터!$A$5:$A$64,0)),""))</f>
        <v/>
      </c>
      <c r="N749" s="35">
        <f>IF($F749="","",IFERROR(INDEX(사건마스터!$AK$5:$AK$64,MATCH($F749,사건마스터!$A$5:$A$64,0)),""))</f>
        <v/>
      </c>
      <c r="O749" s="35">
        <f>IF($F749="","",IFERROR(INDEX(사건마스터!$AL$5:$AL$64,MATCH($F749,사건마스터!$A$5:$A$64,0)),""))</f>
        <v/>
      </c>
      <c r="P749" s="35">
        <f>IF($F749="","",IFERROR(INDEX(사건마스터!$AM$5:$AM$64,MATCH($F749,사건마스터!$A$5:$A$64,0)),""))</f>
        <v/>
      </c>
      <c r="Q749" s="35">
        <f>IF($F749="","",IFERROR(INDEX(사건마스터!$AN$5:$AN$64,MATCH($F749,사건마스터!$A$5:$A$64,0)),""))</f>
        <v/>
      </c>
      <c r="R749" s="35">
        <f>IF($F749="","",IFERROR(INDEX(사건마스터!$AO$5:$AO$64,MATCH($F749,사건마스터!$A$5:$A$64,0)),""))</f>
        <v/>
      </c>
      <c r="S749" s="35">
        <f>IF($F749="","",IFERROR(INDEX(사건마스터!$AP$5:$AP$64,MATCH($F749,사건마스터!$A$5:$A$64,0)),""))</f>
        <v/>
      </c>
      <c r="T749" s="35">
        <f>IF($F749="","",IFERROR(INDEX(사건마스터!$AQ$5:$AQ$64,MATCH($F749,사건마스터!$A$5:$A$64,0)),""))</f>
        <v/>
      </c>
      <c r="U749" s="35">
        <f>IF($F749="","",IFERROR(INDEX(사건마스터!$AR$5:$AR$64,MATCH($F749,사건마스터!$A$5:$A$64,0)),""))</f>
        <v/>
      </c>
      <c r="V749" s="35">
        <f>IF($F749="","",IFERROR(INDEX(사건마스터!$AS$5:$AS$64,MATCH($F749,사건마스터!$A$5:$A$64,0)),""))</f>
        <v/>
      </c>
      <c r="W749" s="35">
        <f>IF($F749="","",IFERROR(INDEX(사건마스터!$AT$5:$AT$64,MATCH($F749,사건마스터!$A$5:$A$64,0)),""))</f>
        <v/>
      </c>
      <c r="X749" s="35">
        <f>IF($F749="","",IFERROR(INDEX(사건마스터!$AU$5:$AU$64,MATCH($F749,사건마스터!$A$5:$A$64,0)),""))</f>
        <v/>
      </c>
      <c r="Y749" s="35">
        <f>IF($F749="","",IFERROR(INDEX(사건마스터!$AV$5:$AV$64,MATCH($F749,사건마스터!$A$5:$A$64,0)),""))</f>
        <v/>
      </c>
      <c r="Z749" s="30">
        <f>IF(COUNTBLANK($J749:$Y749)=16,"",16-COUNTBLANK($J749:$Y749))</f>
        <v/>
      </c>
      <c r="AA749" s="33">
        <f>IF($J749="",MID($AX749,3,255),$J749&amp;$AX749)</f>
        <v/>
      </c>
      <c r="AB749" s="34">
        <f>IF($J749="","",IFERROR(INDEX(코드설정!$D$5:$D$24,MATCH($J749,코드설정!$C$5:$C$24,0)),""))</f>
        <v/>
      </c>
      <c r="AC749" s="36" t="n"/>
      <c r="AD749" s="37" t="n"/>
      <c r="AE749" s="38" t="n"/>
      <c r="AF749" s="30">
        <f>IF(OR($B749="",$C749=""),"",$C749-$B749+1)</f>
        <v/>
      </c>
      <c r="AG749" s="32" t="n"/>
      <c r="AH749" s="36" t="n"/>
      <c r="AJ749">
        <f>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  <c r="AX749">
        <f>AW749&amp;IF($Y749="","",", "&amp;$Y749)</f>
        <v/>
      </c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0">
        <f>IF($F750="","",COUNTIF($F$5:$F750,$F750))</f>
        <v/>
      </c>
      <c r="H750" s="33">
        <f>IF($F750="","",IFERROR(INDEX(사건마스터!$B$5:$B$64,MATCH($F750,사건마스터!$A$5:$A$64,0)),""))</f>
        <v/>
      </c>
      <c r="I750" s="34">
        <f>IF($F750="","",IFERROR(INDEX(사건마스터!$C$5:$C$64,MATCH($F750,사건마스터!$A$5:$A$64,0)),""))</f>
        <v/>
      </c>
      <c r="J750" s="35">
        <f>IF($F750="","",IFERROR(INDEX(사건마스터!$H$5:$H$64,MATCH($F750,사건마스터!$A$5:$A$64,0)),""))</f>
        <v/>
      </c>
      <c r="K750" s="35">
        <f>IF($F750="","",IFERROR(INDEX(사건마스터!$AH$5:$AH$64,MATCH($F750,사건마스터!$A$5:$A$64,0)),""))</f>
        <v/>
      </c>
      <c r="L750" s="35">
        <f>IF($F750="","",IFERROR(INDEX(사건마스터!$AI$5:$AI$64,MATCH($F750,사건마스터!$A$5:$A$64,0)),""))</f>
        <v/>
      </c>
      <c r="M750" s="35">
        <f>IF($F750="","",IFERROR(INDEX(사건마스터!$AJ$5:$AJ$64,MATCH($F750,사건마스터!$A$5:$A$64,0)),""))</f>
        <v/>
      </c>
      <c r="N750" s="35">
        <f>IF($F750="","",IFERROR(INDEX(사건마스터!$AK$5:$AK$64,MATCH($F750,사건마스터!$A$5:$A$64,0)),""))</f>
        <v/>
      </c>
      <c r="O750" s="35">
        <f>IF($F750="","",IFERROR(INDEX(사건마스터!$AL$5:$AL$64,MATCH($F750,사건마스터!$A$5:$A$64,0)),""))</f>
        <v/>
      </c>
      <c r="P750" s="35">
        <f>IF($F750="","",IFERROR(INDEX(사건마스터!$AM$5:$AM$64,MATCH($F750,사건마스터!$A$5:$A$64,0)),""))</f>
        <v/>
      </c>
      <c r="Q750" s="35">
        <f>IF($F750="","",IFERROR(INDEX(사건마스터!$AN$5:$AN$64,MATCH($F750,사건마스터!$A$5:$A$64,0)),""))</f>
        <v/>
      </c>
      <c r="R750" s="35">
        <f>IF($F750="","",IFERROR(INDEX(사건마스터!$AO$5:$AO$64,MATCH($F750,사건마스터!$A$5:$A$64,0)),""))</f>
        <v/>
      </c>
      <c r="S750" s="35">
        <f>IF($F750="","",IFERROR(INDEX(사건마스터!$AP$5:$AP$64,MATCH($F750,사건마스터!$A$5:$A$64,0)),""))</f>
        <v/>
      </c>
      <c r="T750" s="35">
        <f>IF($F750="","",IFERROR(INDEX(사건마스터!$AQ$5:$AQ$64,MATCH($F750,사건마스터!$A$5:$A$64,0)),""))</f>
        <v/>
      </c>
      <c r="U750" s="35">
        <f>IF($F750="","",IFERROR(INDEX(사건마스터!$AR$5:$AR$64,MATCH($F750,사건마스터!$A$5:$A$64,0)),""))</f>
        <v/>
      </c>
      <c r="V750" s="35">
        <f>IF($F750="","",IFERROR(INDEX(사건마스터!$AS$5:$AS$64,MATCH($F750,사건마스터!$A$5:$A$64,0)),""))</f>
        <v/>
      </c>
      <c r="W750" s="35">
        <f>IF($F750="","",IFERROR(INDEX(사건마스터!$AT$5:$AT$64,MATCH($F750,사건마스터!$A$5:$A$64,0)),""))</f>
        <v/>
      </c>
      <c r="X750" s="35">
        <f>IF($F750="","",IFERROR(INDEX(사건마스터!$AU$5:$AU$64,MATCH($F750,사건마스터!$A$5:$A$64,0)),""))</f>
        <v/>
      </c>
      <c r="Y750" s="35">
        <f>IF($F750="","",IFERROR(INDEX(사건마스터!$AV$5:$AV$64,MATCH($F750,사건마스터!$A$5:$A$64,0)),""))</f>
        <v/>
      </c>
      <c r="Z750" s="30">
        <f>IF(COUNTBLANK($J750:$Y750)=16,"",16-COUNTBLANK($J750:$Y750))</f>
        <v/>
      </c>
      <c r="AA750" s="33">
        <f>IF($J750="",MID($AX750,3,255),$J750&amp;$AX750)</f>
        <v/>
      </c>
      <c r="AB750" s="34">
        <f>IF($J750="","",IFERROR(INDEX(코드설정!$D$5:$D$24,MATCH($J750,코드설정!$C$5:$C$24,0)),""))</f>
        <v/>
      </c>
      <c r="AC750" s="36" t="n"/>
      <c r="AD750" s="37" t="n"/>
      <c r="AE750" s="38" t="n"/>
      <c r="AF750" s="30">
        <f>IF(OR($B750="",$C750=""),"",$C750-$B750+1)</f>
        <v/>
      </c>
      <c r="AG750" s="32" t="n"/>
      <c r="AH750" s="36" t="n"/>
      <c r="AJ750">
        <f>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  <c r="AX750">
        <f>AW750&amp;IF($Y750="","",", "&amp;$Y750)</f>
        <v/>
      </c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0">
        <f>IF($F751="","",COUNTIF($F$5:$F751,$F751))</f>
        <v/>
      </c>
      <c r="H751" s="33">
        <f>IF($F751="","",IFERROR(INDEX(사건마스터!$B$5:$B$64,MATCH($F751,사건마스터!$A$5:$A$64,0)),""))</f>
        <v/>
      </c>
      <c r="I751" s="34">
        <f>IF($F751="","",IFERROR(INDEX(사건마스터!$C$5:$C$64,MATCH($F751,사건마스터!$A$5:$A$64,0)),""))</f>
        <v/>
      </c>
      <c r="J751" s="35">
        <f>IF($F751="","",IFERROR(INDEX(사건마스터!$H$5:$H$64,MATCH($F751,사건마스터!$A$5:$A$64,0)),""))</f>
        <v/>
      </c>
      <c r="K751" s="35">
        <f>IF($F751="","",IFERROR(INDEX(사건마스터!$AH$5:$AH$64,MATCH($F751,사건마스터!$A$5:$A$64,0)),""))</f>
        <v/>
      </c>
      <c r="L751" s="35">
        <f>IF($F751="","",IFERROR(INDEX(사건마스터!$AI$5:$AI$64,MATCH($F751,사건마스터!$A$5:$A$64,0)),""))</f>
        <v/>
      </c>
      <c r="M751" s="35">
        <f>IF($F751="","",IFERROR(INDEX(사건마스터!$AJ$5:$AJ$64,MATCH($F751,사건마스터!$A$5:$A$64,0)),""))</f>
        <v/>
      </c>
      <c r="N751" s="35">
        <f>IF($F751="","",IFERROR(INDEX(사건마스터!$AK$5:$AK$64,MATCH($F751,사건마스터!$A$5:$A$64,0)),""))</f>
        <v/>
      </c>
      <c r="O751" s="35">
        <f>IF($F751="","",IFERROR(INDEX(사건마스터!$AL$5:$AL$64,MATCH($F751,사건마스터!$A$5:$A$64,0)),""))</f>
        <v/>
      </c>
      <c r="P751" s="35">
        <f>IF($F751="","",IFERROR(INDEX(사건마스터!$AM$5:$AM$64,MATCH($F751,사건마스터!$A$5:$A$64,0)),""))</f>
        <v/>
      </c>
      <c r="Q751" s="35">
        <f>IF($F751="","",IFERROR(INDEX(사건마스터!$AN$5:$AN$64,MATCH($F751,사건마스터!$A$5:$A$64,0)),""))</f>
        <v/>
      </c>
      <c r="R751" s="35">
        <f>IF($F751="","",IFERROR(INDEX(사건마스터!$AO$5:$AO$64,MATCH($F751,사건마스터!$A$5:$A$64,0)),""))</f>
        <v/>
      </c>
      <c r="S751" s="35">
        <f>IF($F751="","",IFERROR(INDEX(사건마스터!$AP$5:$AP$64,MATCH($F751,사건마스터!$A$5:$A$64,0)),""))</f>
        <v/>
      </c>
      <c r="T751" s="35">
        <f>IF($F751="","",IFERROR(INDEX(사건마스터!$AQ$5:$AQ$64,MATCH($F751,사건마스터!$A$5:$A$64,0)),""))</f>
        <v/>
      </c>
      <c r="U751" s="35">
        <f>IF($F751="","",IFERROR(INDEX(사건마스터!$AR$5:$AR$64,MATCH($F751,사건마스터!$A$5:$A$64,0)),""))</f>
        <v/>
      </c>
      <c r="V751" s="35">
        <f>IF($F751="","",IFERROR(INDEX(사건마스터!$AS$5:$AS$64,MATCH($F751,사건마스터!$A$5:$A$64,0)),""))</f>
        <v/>
      </c>
      <c r="W751" s="35">
        <f>IF($F751="","",IFERROR(INDEX(사건마스터!$AT$5:$AT$64,MATCH($F751,사건마스터!$A$5:$A$64,0)),""))</f>
        <v/>
      </c>
      <c r="X751" s="35">
        <f>IF($F751="","",IFERROR(INDEX(사건마스터!$AU$5:$AU$64,MATCH($F751,사건마스터!$A$5:$A$64,0)),""))</f>
        <v/>
      </c>
      <c r="Y751" s="35">
        <f>IF($F751="","",IFERROR(INDEX(사건마스터!$AV$5:$AV$64,MATCH($F751,사건마스터!$A$5:$A$64,0)),""))</f>
        <v/>
      </c>
      <c r="Z751" s="30">
        <f>IF(COUNTBLANK($J751:$Y751)=16,"",16-COUNTBLANK($J751:$Y751))</f>
        <v/>
      </c>
      <c r="AA751" s="33">
        <f>IF($J751="",MID($AX751,3,255),$J751&amp;$AX751)</f>
        <v/>
      </c>
      <c r="AB751" s="34">
        <f>IF($J751="","",IFERROR(INDEX(코드설정!$D$5:$D$24,MATCH($J751,코드설정!$C$5:$C$24,0)),""))</f>
        <v/>
      </c>
      <c r="AC751" s="36" t="n"/>
      <c r="AD751" s="37" t="n"/>
      <c r="AE751" s="38" t="n"/>
      <c r="AF751" s="30">
        <f>IF(OR($B751="",$C751=""),"",$C751-$B751+1)</f>
        <v/>
      </c>
      <c r="AG751" s="32" t="n"/>
      <c r="AH751" s="36" t="n"/>
      <c r="AJ751">
        <f>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  <c r="AX751">
        <f>AW751&amp;IF($Y751="","",", "&amp;$Y751)</f>
        <v/>
      </c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0">
        <f>IF($F752="","",COUNTIF($F$5:$F752,$F752))</f>
        <v/>
      </c>
      <c r="H752" s="33">
        <f>IF($F752="","",IFERROR(INDEX(사건마스터!$B$5:$B$64,MATCH($F752,사건마스터!$A$5:$A$64,0)),""))</f>
        <v/>
      </c>
      <c r="I752" s="34">
        <f>IF($F752="","",IFERROR(INDEX(사건마스터!$C$5:$C$64,MATCH($F752,사건마스터!$A$5:$A$64,0)),""))</f>
        <v/>
      </c>
      <c r="J752" s="35">
        <f>IF($F752="","",IFERROR(INDEX(사건마스터!$H$5:$H$64,MATCH($F752,사건마스터!$A$5:$A$64,0)),""))</f>
        <v/>
      </c>
      <c r="K752" s="35">
        <f>IF($F752="","",IFERROR(INDEX(사건마스터!$AH$5:$AH$64,MATCH($F752,사건마스터!$A$5:$A$64,0)),""))</f>
        <v/>
      </c>
      <c r="L752" s="35">
        <f>IF($F752="","",IFERROR(INDEX(사건마스터!$AI$5:$AI$64,MATCH($F752,사건마스터!$A$5:$A$64,0)),""))</f>
        <v/>
      </c>
      <c r="M752" s="35">
        <f>IF($F752="","",IFERROR(INDEX(사건마스터!$AJ$5:$AJ$64,MATCH($F752,사건마스터!$A$5:$A$64,0)),""))</f>
        <v/>
      </c>
      <c r="N752" s="35">
        <f>IF($F752="","",IFERROR(INDEX(사건마스터!$AK$5:$AK$64,MATCH($F752,사건마스터!$A$5:$A$64,0)),""))</f>
        <v/>
      </c>
      <c r="O752" s="35">
        <f>IF($F752="","",IFERROR(INDEX(사건마스터!$AL$5:$AL$64,MATCH($F752,사건마스터!$A$5:$A$64,0)),""))</f>
        <v/>
      </c>
      <c r="P752" s="35">
        <f>IF($F752="","",IFERROR(INDEX(사건마스터!$AM$5:$AM$64,MATCH($F752,사건마스터!$A$5:$A$64,0)),""))</f>
        <v/>
      </c>
      <c r="Q752" s="35">
        <f>IF($F752="","",IFERROR(INDEX(사건마스터!$AN$5:$AN$64,MATCH($F752,사건마스터!$A$5:$A$64,0)),""))</f>
        <v/>
      </c>
      <c r="R752" s="35">
        <f>IF($F752="","",IFERROR(INDEX(사건마스터!$AO$5:$AO$64,MATCH($F752,사건마스터!$A$5:$A$64,0)),""))</f>
        <v/>
      </c>
      <c r="S752" s="35">
        <f>IF($F752="","",IFERROR(INDEX(사건마스터!$AP$5:$AP$64,MATCH($F752,사건마스터!$A$5:$A$64,0)),""))</f>
        <v/>
      </c>
      <c r="T752" s="35">
        <f>IF($F752="","",IFERROR(INDEX(사건마스터!$AQ$5:$AQ$64,MATCH($F752,사건마스터!$A$5:$A$64,0)),""))</f>
        <v/>
      </c>
      <c r="U752" s="35">
        <f>IF($F752="","",IFERROR(INDEX(사건마스터!$AR$5:$AR$64,MATCH($F752,사건마스터!$A$5:$A$64,0)),""))</f>
        <v/>
      </c>
      <c r="V752" s="35">
        <f>IF($F752="","",IFERROR(INDEX(사건마스터!$AS$5:$AS$64,MATCH($F752,사건마스터!$A$5:$A$64,0)),""))</f>
        <v/>
      </c>
      <c r="W752" s="35">
        <f>IF($F752="","",IFERROR(INDEX(사건마스터!$AT$5:$AT$64,MATCH($F752,사건마스터!$A$5:$A$64,0)),""))</f>
        <v/>
      </c>
      <c r="X752" s="35">
        <f>IF($F752="","",IFERROR(INDEX(사건마스터!$AU$5:$AU$64,MATCH($F752,사건마스터!$A$5:$A$64,0)),""))</f>
        <v/>
      </c>
      <c r="Y752" s="35">
        <f>IF($F752="","",IFERROR(INDEX(사건마스터!$AV$5:$AV$64,MATCH($F752,사건마스터!$A$5:$A$64,0)),""))</f>
        <v/>
      </c>
      <c r="Z752" s="30">
        <f>IF(COUNTBLANK($J752:$Y752)=16,"",16-COUNTBLANK($J752:$Y752))</f>
        <v/>
      </c>
      <c r="AA752" s="33">
        <f>IF($J752="",MID($AX752,3,255),$J752&amp;$AX752)</f>
        <v/>
      </c>
      <c r="AB752" s="34">
        <f>IF($J752="","",IFERROR(INDEX(코드설정!$D$5:$D$24,MATCH($J752,코드설정!$C$5:$C$24,0)),""))</f>
        <v/>
      </c>
      <c r="AC752" s="36" t="n"/>
      <c r="AD752" s="37" t="n"/>
      <c r="AE752" s="38" t="n"/>
      <c r="AF752" s="30">
        <f>IF(OR($B752="",$C752=""),"",$C752-$B752+1)</f>
        <v/>
      </c>
      <c r="AG752" s="32" t="n"/>
      <c r="AH752" s="36" t="n"/>
      <c r="AJ752">
        <f>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  <c r="AX752">
        <f>AW752&amp;IF($Y752="","",", "&amp;$Y752)</f>
        <v/>
      </c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0">
        <f>IF($F753="","",COUNTIF($F$5:$F753,$F753))</f>
        <v/>
      </c>
      <c r="H753" s="33">
        <f>IF($F753="","",IFERROR(INDEX(사건마스터!$B$5:$B$64,MATCH($F753,사건마스터!$A$5:$A$64,0)),""))</f>
        <v/>
      </c>
      <c r="I753" s="34">
        <f>IF($F753="","",IFERROR(INDEX(사건마스터!$C$5:$C$64,MATCH($F753,사건마스터!$A$5:$A$64,0)),""))</f>
        <v/>
      </c>
      <c r="J753" s="35">
        <f>IF($F753="","",IFERROR(INDEX(사건마스터!$H$5:$H$64,MATCH($F753,사건마스터!$A$5:$A$64,0)),""))</f>
        <v/>
      </c>
      <c r="K753" s="35">
        <f>IF($F753="","",IFERROR(INDEX(사건마스터!$AH$5:$AH$64,MATCH($F753,사건마스터!$A$5:$A$64,0)),""))</f>
        <v/>
      </c>
      <c r="L753" s="35">
        <f>IF($F753="","",IFERROR(INDEX(사건마스터!$AI$5:$AI$64,MATCH($F753,사건마스터!$A$5:$A$64,0)),""))</f>
        <v/>
      </c>
      <c r="M753" s="35">
        <f>IF($F753="","",IFERROR(INDEX(사건마스터!$AJ$5:$AJ$64,MATCH($F753,사건마스터!$A$5:$A$64,0)),""))</f>
        <v/>
      </c>
      <c r="N753" s="35">
        <f>IF($F753="","",IFERROR(INDEX(사건마스터!$AK$5:$AK$64,MATCH($F753,사건마스터!$A$5:$A$64,0)),""))</f>
        <v/>
      </c>
      <c r="O753" s="35">
        <f>IF($F753="","",IFERROR(INDEX(사건마스터!$AL$5:$AL$64,MATCH($F753,사건마스터!$A$5:$A$64,0)),""))</f>
        <v/>
      </c>
      <c r="P753" s="35">
        <f>IF($F753="","",IFERROR(INDEX(사건마스터!$AM$5:$AM$64,MATCH($F753,사건마스터!$A$5:$A$64,0)),""))</f>
        <v/>
      </c>
      <c r="Q753" s="35">
        <f>IF($F753="","",IFERROR(INDEX(사건마스터!$AN$5:$AN$64,MATCH($F753,사건마스터!$A$5:$A$64,0)),""))</f>
        <v/>
      </c>
      <c r="R753" s="35">
        <f>IF($F753="","",IFERROR(INDEX(사건마스터!$AO$5:$AO$64,MATCH($F753,사건마스터!$A$5:$A$64,0)),""))</f>
        <v/>
      </c>
      <c r="S753" s="35">
        <f>IF($F753="","",IFERROR(INDEX(사건마스터!$AP$5:$AP$64,MATCH($F753,사건마스터!$A$5:$A$64,0)),""))</f>
        <v/>
      </c>
      <c r="T753" s="35">
        <f>IF($F753="","",IFERROR(INDEX(사건마스터!$AQ$5:$AQ$64,MATCH($F753,사건마스터!$A$5:$A$64,0)),""))</f>
        <v/>
      </c>
      <c r="U753" s="35">
        <f>IF($F753="","",IFERROR(INDEX(사건마스터!$AR$5:$AR$64,MATCH($F753,사건마스터!$A$5:$A$64,0)),""))</f>
        <v/>
      </c>
      <c r="V753" s="35">
        <f>IF($F753="","",IFERROR(INDEX(사건마스터!$AS$5:$AS$64,MATCH($F753,사건마스터!$A$5:$A$64,0)),""))</f>
        <v/>
      </c>
      <c r="W753" s="35">
        <f>IF($F753="","",IFERROR(INDEX(사건마스터!$AT$5:$AT$64,MATCH($F753,사건마스터!$A$5:$A$64,0)),""))</f>
        <v/>
      </c>
      <c r="X753" s="35">
        <f>IF($F753="","",IFERROR(INDEX(사건마스터!$AU$5:$AU$64,MATCH($F753,사건마스터!$A$5:$A$64,0)),""))</f>
        <v/>
      </c>
      <c r="Y753" s="35">
        <f>IF($F753="","",IFERROR(INDEX(사건마스터!$AV$5:$AV$64,MATCH($F753,사건마스터!$A$5:$A$64,0)),""))</f>
        <v/>
      </c>
      <c r="Z753" s="30">
        <f>IF(COUNTBLANK($J753:$Y753)=16,"",16-COUNTBLANK($J753:$Y753))</f>
        <v/>
      </c>
      <c r="AA753" s="33">
        <f>IF($J753="",MID($AX753,3,255),$J753&amp;$AX753)</f>
        <v/>
      </c>
      <c r="AB753" s="34">
        <f>IF($J753="","",IFERROR(INDEX(코드설정!$D$5:$D$24,MATCH($J753,코드설정!$C$5:$C$24,0)),""))</f>
        <v/>
      </c>
      <c r="AC753" s="36" t="n"/>
      <c r="AD753" s="37" t="n"/>
      <c r="AE753" s="38" t="n"/>
      <c r="AF753" s="30">
        <f>IF(OR($B753="",$C753=""),"",$C753-$B753+1)</f>
        <v/>
      </c>
      <c r="AG753" s="32" t="n"/>
      <c r="AH753" s="36" t="n"/>
      <c r="AJ753">
        <f>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  <c r="AX753">
        <f>AW753&amp;IF($Y753="","",", "&amp;$Y753)</f>
        <v/>
      </c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0">
        <f>IF($F754="","",COUNTIF($F$5:$F754,$F754))</f>
        <v/>
      </c>
      <c r="H754" s="33">
        <f>IF($F754="","",IFERROR(INDEX(사건마스터!$B$5:$B$64,MATCH($F754,사건마스터!$A$5:$A$64,0)),""))</f>
        <v/>
      </c>
      <c r="I754" s="34">
        <f>IF($F754="","",IFERROR(INDEX(사건마스터!$C$5:$C$64,MATCH($F754,사건마스터!$A$5:$A$64,0)),""))</f>
        <v/>
      </c>
      <c r="J754" s="35">
        <f>IF($F754="","",IFERROR(INDEX(사건마스터!$H$5:$H$64,MATCH($F754,사건마스터!$A$5:$A$64,0)),""))</f>
        <v/>
      </c>
      <c r="K754" s="35">
        <f>IF($F754="","",IFERROR(INDEX(사건마스터!$AH$5:$AH$64,MATCH($F754,사건마스터!$A$5:$A$64,0)),""))</f>
        <v/>
      </c>
      <c r="L754" s="35">
        <f>IF($F754="","",IFERROR(INDEX(사건마스터!$AI$5:$AI$64,MATCH($F754,사건마스터!$A$5:$A$64,0)),""))</f>
        <v/>
      </c>
      <c r="M754" s="35">
        <f>IF($F754="","",IFERROR(INDEX(사건마스터!$AJ$5:$AJ$64,MATCH($F754,사건마스터!$A$5:$A$64,0)),""))</f>
        <v/>
      </c>
      <c r="N754" s="35">
        <f>IF($F754="","",IFERROR(INDEX(사건마스터!$AK$5:$AK$64,MATCH($F754,사건마스터!$A$5:$A$64,0)),""))</f>
        <v/>
      </c>
      <c r="O754" s="35">
        <f>IF($F754="","",IFERROR(INDEX(사건마스터!$AL$5:$AL$64,MATCH($F754,사건마스터!$A$5:$A$64,0)),""))</f>
        <v/>
      </c>
      <c r="P754" s="35">
        <f>IF($F754="","",IFERROR(INDEX(사건마스터!$AM$5:$AM$64,MATCH($F754,사건마스터!$A$5:$A$64,0)),""))</f>
        <v/>
      </c>
      <c r="Q754" s="35">
        <f>IF($F754="","",IFERROR(INDEX(사건마스터!$AN$5:$AN$64,MATCH($F754,사건마스터!$A$5:$A$64,0)),""))</f>
        <v/>
      </c>
      <c r="R754" s="35">
        <f>IF($F754="","",IFERROR(INDEX(사건마스터!$AO$5:$AO$64,MATCH($F754,사건마스터!$A$5:$A$64,0)),""))</f>
        <v/>
      </c>
      <c r="S754" s="35">
        <f>IF($F754="","",IFERROR(INDEX(사건마스터!$AP$5:$AP$64,MATCH($F754,사건마스터!$A$5:$A$64,0)),""))</f>
        <v/>
      </c>
      <c r="T754" s="35">
        <f>IF($F754="","",IFERROR(INDEX(사건마스터!$AQ$5:$AQ$64,MATCH($F754,사건마스터!$A$5:$A$64,0)),""))</f>
        <v/>
      </c>
      <c r="U754" s="35">
        <f>IF($F754="","",IFERROR(INDEX(사건마스터!$AR$5:$AR$64,MATCH($F754,사건마스터!$A$5:$A$64,0)),""))</f>
        <v/>
      </c>
      <c r="V754" s="35">
        <f>IF($F754="","",IFERROR(INDEX(사건마스터!$AS$5:$AS$64,MATCH($F754,사건마스터!$A$5:$A$64,0)),""))</f>
        <v/>
      </c>
      <c r="W754" s="35">
        <f>IF($F754="","",IFERROR(INDEX(사건마스터!$AT$5:$AT$64,MATCH($F754,사건마스터!$A$5:$A$64,0)),""))</f>
        <v/>
      </c>
      <c r="X754" s="35">
        <f>IF($F754="","",IFERROR(INDEX(사건마스터!$AU$5:$AU$64,MATCH($F754,사건마스터!$A$5:$A$64,0)),""))</f>
        <v/>
      </c>
      <c r="Y754" s="35">
        <f>IF($F754="","",IFERROR(INDEX(사건마스터!$AV$5:$AV$64,MATCH($F754,사건마스터!$A$5:$A$64,0)),""))</f>
        <v/>
      </c>
      <c r="Z754" s="30">
        <f>IF(COUNTBLANK($J754:$Y754)=16,"",16-COUNTBLANK($J754:$Y754))</f>
        <v/>
      </c>
      <c r="AA754" s="33">
        <f>IF($J754="",MID($AX754,3,255),$J754&amp;$AX754)</f>
        <v/>
      </c>
      <c r="AB754" s="34">
        <f>IF($J754="","",IFERROR(INDEX(코드설정!$D$5:$D$24,MATCH($J754,코드설정!$C$5:$C$24,0)),""))</f>
        <v/>
      </c>
      <c r="AC754" s="36" t="n"/>
      <c r="AD754" s="37" t="n"/>
      <c r="AE754" s="38" t="n"/>
      <c r="AF754" s="30">
        <f>IF(OR($B754="",$C754=""),"",$C754-$B754+1)</f>
        <v/>
      </c>
      <c r="AG754" s="32" t="n"/>
      <c r="AH754" s="36" t="n"/>
      <c r="AJ754">
        <f>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  <c r="AX754">
        <f>AW754&amp;IF($Y754="","",", "&amp;$Y754)</f>
        <v/>
      </c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0">
        <f>IF($F755="","",COUNTIF($F$5:$F755,$F755))</f>
        <v/>
      </c>
      <c r="H755" s="33">
        <f>IF($F755="","",IFERROR(INDEX(사건마스터!$B$5:$B$64,MATCH($F755,사건마스터!$A$5:$A$64,0)),""))</f>
        <v/>
      </c>
      <c r="I755" s="34">
        <f>IF($F755="","",IFERROR(INDEX(사건마스터!$C$5:$C$64,MATCH($F755,사건마스터!$A$5:$A$64,0)),""))</f>
        <v/>
      </c>
      <c r="J755" s="35">
        <f>IF($F755="","",IFERROR(INDEX(사건마스터!$H$5:$H$64,MATCH($F755,사건마스터!$A$5:$A$64,0)),""))</f>
        <v/>
      </c>
      <c r="K755" s="35">
        <f>IF($F755="","",IFERROR(INDEX(사건마스터!$AH$5:$AH$64,MATCH($F755,사건마스터!$A$5:$A$64,0)),""))</f>
        <v/>
      </c>
      <c r="L755" s="35">
        <f>IF($F755="","",IFERROR(INDEX(사건마스터!$AI$5:$AI$64,MATCH($F755,사건마스터!$A$5:$A$64,0)),""))</f>
        <v/>
      </c>
      <c r="M755" s="35">
        <f>IF($F755="","",IFERROR(INDEX(사건마스터!$AJ$5:$AJ$64,MATCH($F755,사건마스터!$A$5:$A$64,0)),""))</f>
        <v/>
      </c>
      <c r="N755" s="35">
        <f>IF($F755="","",IFERROR(INDEX(사건마스터!$AK$5:$AK$64,MATCH($F755,사건마스터!$A$5:$A$64,0)),""))</f>
        <v/>
      </c>
      <c r="O755" s="35">
        <f>IF($F755="","",IFERROR(INDEX(사건마스터!$AL$5:$AL$64,MATCH($F755,사건마스터!$A$5:$A$64,0)),""))</f>
        <v/>
      </c>
      <c r="P755" s="35">
        <f>IF($F755="","",IFERROR(INDEX(사건마스터!$AM$5:$AM$64,MATCH($F755,사건마스터!$A$5:$A$64,0)),""))</f>
        <v/>
      </c>
      <c r="Q755" s="35">
        <f>IF($F755="","",IFERROR(INDEX(사건마스터!$AN$5:$AN$64,MATCH($F755,사건마스터!$A$5:$A$64,0)),""))</f>
        <v/>
      </c>
      <c r="R755" s="35">
        <f>IF($F755="","",IFERROR(INDEX(사건마스터!$AO$5:$AO$64,MATCH($F755,사건마스터!$A$5:$A$64,0)),""))</f>
        <v/>
      </c>
      <c r="S755" s="35">
        <f>IF($F755="","",IFERROR(INDEX(사건마스터!$AP$5:$AP$64,MATCH($F755,사건마스터!$A$5:$A$64,0)),""))</f>
        <v/>
      </c>
      <c r="T755" s="35">
        <f>IF($F755="","",IFERROR(INDEX(사건마스터!$AQ$5:$AQ$64,MATCH($F755,사건마스터!$A$5:$A$64,0)),""))</f>
        <v/>
      </c>
      <c r="U755" s="35">
        <f>IF($F755="","",IFERROR(INDEX(사건마스터!$AR$5:$AR$64,MATCH($F755,사건마스터!$A$5:$A$64,0)),""))</f>
        <v/>
      </c>
      <c r="V755" s="35">
        <f>IF($F755="","",IFERROR(INDEX(사건마스터!$AS$5:$AS$64,MATCH($F755,사건마스터!$A$5:$A$64,0)),""))</f>
        <v/>
      </c>
      <c r="W755" s="35">
        <f>IF($F755="","",IFERROR(INDEX(사건마스터!$AT$5:$AT$64,MATCH($F755,사건마스터!$A$5:$A$64,0)),""))</f>
        <v/>
      </c>
      <c r="X755" s="35">
        <f>IF($F755="","",IFERROR(INDEX(사건마스터!$AU$5:$AU$64,MATCH($F755,사건마스터!$A$5:$A$64,0)),""))</f>
        <v/>
      </c>
      <c r="Y755" s="35">
        <f>IF($F755="","",IFERROR(INDEX(사건마스터!$AV$5:$AV$64,MATCH($F755,사건마스터!$A$5:$A$64,0)),""))</f>
        <v/>
      </c>
      <c r="Z755" s="30">
        <f>IF(COUNTBLANK($J755:$Y755)=16,"",16-COUNTBLANK($J755:$Y755))</f>
        <v/>
      </c>
      <c r="AA755" s="33">
        <f>IF($J755="",MID($AX755,3,255),$J755&amp;$AX755)</f>
        <v/>
      </c>
      <c r="AB755" s="34">
        <f>IF($J755="","",IFERROR(INDEX(코드설정!$D$5:$D$24,MATCH($J755,코드설정!$C$5:$C$24,0)),""))</f>
        <v/>
      </c>
      <c r="AC755" s="36" t="n"/>
      <c r="AD755" s="37" t="n"/>
      <c r="AE755" s="38" t="n"/>
      <c r="AF755" s="30">
        <f>IF(OR($B755="",$C755=""),"",$C755-$B755+1)</f>
        <v/>
      </c>
      <c r="AG755" s="32" t="n"/>
      <c r="AH755" s="36" t="n"/>
      <c r="AJ755">
        <f>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  <c r="AX755">
        <f>AW755&amp;IF($Y755="","",", "&amp;$Y755)</f>
        <v/>
      </c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0">
        <f>IF($F756="","",COUNTIF($F$5:$F756,$F756))</f>
        <v/>
      </c>
      <c r="H756" s="33">
        <f>IF($F756="","",IFERROR(INDEX(사건마스터!$B$5:$B$64,MATCH($F756,사건마스터!$A$5:$A$64,0)),""))</f>
        <v/>
      </c>
      <c r="I756" s="34">
        <f>IF($F756="","",IFERROR(INDEX(사건마스터!$C$5:$C$64,MATCH($F756,사건마스터!$A$5:$A$64,0)),""))</f>
        <v/>
      </c>
      <c r="J756" s="35">
        <f>IF($F756="","",IFERROR(INDEX(사건마스터!$H$5:$H$64,MATCH($F756,사건마스터!$A$5:$A$64,0)),""))</f>
        <v/>
      </c>
      <c r="K756" s="35">
        <f>IF($F756="","",IFERROR(INDEX(사건마스터!$AH$5:$AH$64,MATCH($F756,사건마스터!$A$5:$A$64,0)),""))</f>
        <v/>
      </c>
      <c r="L756" s="35">
        <f>IF($F756="","",IFERROR(INDEX(사건마스터!$AI$5:$AI$64,MATCH($F756,사건마스터!$A$5:$A$64,0)),""))</f>
        <v/>
      </c>
      <c r="M756" s="35">
        <f>IF($F756="","",IFERROR(INDEX(사건마스터!$AJ$5:$AJ$64,MATCH($F756,사건마스터!$A$5:$A$64,0)),""))</f>
        <v/>
      </c>
      <c r="N756" s="35">
        <f>IF($F756="","",IFERROR(INDEX(사건마스터!$AK$5:$AK$64,MATCH($F756,사건마스터!$A$5:$A$64,0)),""))</f>
        <v/>
      </c>
      <c r="O756" s="35">
        <f>IF($F756="","",IFERROR(INDEX(사건마스터!$AL$5:$AL$64,MATCH($F756,사건마스터!$A$5:$A$64,0)),""))</f>
        <v/>
      </c>
      <c r="P756" s="35">
        <f>IF($F756="","",IFERROR(INDEX(사건마스터!$AM$5:$AM$64,MATCH($F756,사건마스터!$A$5:$A$64,0)),""))</f>
        <v/>
      </c>
      <c r="Q756" s="35">
        <f>IF($F756="","",IFERROR(INDEX(사건마스터!$AN$5:$AN$64,MATCH($F756,사건마스터!$A$5:$A$64,0)),""))</f>
        <v/>
      </c>
      <c r="R756" s="35">
        <f>IF($F756="","",IFERROR(INDEX(사건마스터!$AO$5:$AO$64,MATCH($F756,사건마스터!$A$5:$A$64,0)),""))</f>
        <v/>
      </c>
      <c r="S756" s="35">
        <f>IF($F756="","",IFERROR(INDEX(사건마스터!$AP$5:$AP$64,MATCH($F756,사건마스터!$A$5:$A$64,0)),""))</f>
        <v/>
      </c>
      <c r="T756" s="35">
        <f>IF($F756="","",IFERROR(INDEX(사건마스터!$AQ$5:$AQ$64,MATCH($F756,사건마스터!$A$5:$A$64,0)),""))</f>
        <v/>
      </c>
      <c r="U756" s="35">
        <f>IF($F756="","",IFERROR(INDEX(사건마스터!$AR$5:$AR$64,MATCH($F756,사건마스터!$A$5:$A$64,0)),""))</f>
        <v/>
      </c>
      <c r="V756" s="35">
        <f>IF($F756="","",IFERROR(INDEX(사건마스터!$AS$5:$AS$64,MATCH($F756,사건마스터!$A$5:$A$64,0)),""))</f>
        <v/>
      </c>
      <c r="W756" s="35">
        <f>IF($F756="","",IFERROR(INDEX(사건마스터!$AT$5:$AT$64,MATCH($F756,사건마스터!$A$5:$A$64,0)),""))</f>
        <v/>
      </c>
      <c r="X756" s="35">
        <f>IF($F756="","",IFERROR(INDEX(사건마스터!$AU$5:$AU$64,MATCH($F756,사건마스터!$A$5:$A$64,0)),""))</f>
        <v/>
      </c>
      <c r="Y756" s="35">
        <f>IF($F756="","",IFERROR(INDEX(사건마스터!$AV$5:$AV$64,MATCH($F756,사건마스터!$A$5:$A$64,0)),""))</f>
        <v/>
      </c>
      <c r="Z756" s="30">
        <f>IF(COUNTBLANK($J756:$Y756)=16,"",16-COUNTBLANK($J756:$Y756))</f>
        <v/>
      </c>
      <c r="AA756" s="33">
        <f>IF($J756="",MID($AX756,3,255),$J756&amp;$AX756)</f>
        <v/>
      </c>
      <c r="AB756" s="34">
        <f>IF($J756="","",IFERROR(INDEX(코드설정!$D$5:$D$24,MATCH($J756,코드설정!$C$5:$C$24,0)),""))</f>
        <v/>
      </c>
      <c r="AC756" s="36" t="n"/>
      <c r="AD756" s="37" t="n"/>
      <c r="AE756" s="38" t="n"/>
      <c r="AF756" s="30">
        <f>IF(OR($B756="",$C756=""),"",$C756-$B756+1)</f>
        <v/>
      </c>
      <c r="AG756" s="32" t="n"/>
      <c r="AH756" s="36" t="n"/>
      <c r="AJ756">
        <f>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  <c r="AX756">
        <f>AW756&amp;IF($Y756="","",", "&amp;$Y756)</f>
        <v/>
      </c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0">
        <f>IF($F757="","",COUNTIF($F$5:$F757,$F757))</f>
        <v/>
      </c>
      <c r="H757" s="33">
        <f>IF($F757="","",IFERROR(INDEX(사건마스터!$B$5:$B$64,MATCH($F757,사건마스터!$A$5:$A$64,0)),""))</f>
        <v/>
      </c>
      <c r="I757" s="34">
        <f>IF($F757="","",IFERROR(INDEX(사건마스터!$C$5:$C$64,MATCH($F757,사건마스터!$A$5:$A$64,0)),""))</f>
        <v/>
      </c>
      <c r="J757" s="35">
        <f>IF($F757="","",IFERROR(INDEX(사건마스터!$H$5:$H$64,MATCH($F757,사건마스터!$A$5:$A$64,0)),""))</f>
        <v/>
      </c>
      <c r="K757" s="35">
        <f>IF($F757="","",IFERROR(INDEX(사건마스터!$AH$5:$AH$64,MATCH($F757,사건마스터!$A$5:$A$64,0)),""))</f>
        <v/>
      </c>
      <c r="L757" s="35">
        <f>IF($F757="","",IFERROR(INDEX(사건마스터!$AI$5:$AI$64,MATCH($F757,사건마스터!$A$5:$A$64,0)),""))</f>
        <v/>
      </c>
      <c r="M757" s="35">
        <f>IF($F757="","",IFERROR(INDEX(사건마스터!$AJ$5:$AJ$64,MATCH($F757,사건마스터!$A$5:$A$64,0)),""))</f>
        <v/>
      </c>
      <c r="N757" s="35">
        <f>IF($F757="","",IFERROR(INDEX(사건마스터!$AK$5:$AK$64,MATCH($F757,사건마스터!$A$5:$A$64,0)),""))</f>
        <v/>
      </c>
      <c r="O757" s="35">
        <f>IF($F757="","",IFERROR(INDEX(사건마스터!$AL$5:$AL$64,MATCH($F757,사건마스터!$A$5:$A$64,0)),""))</f>
        <v/>
      </c>
      <c r="P757" s="35">
        <f>IF($F757="","",IFERROR(INDEX(사건마스터!$AM$5:$AM$64,MATCH($F757,사건마스터!$A$5:$A$64,0)),""))</f>
        <v/>
      </c>
      <c r="Q757" s="35">
        <f>IF($F757="","",IFERROR(INDEX(사건마스터!$AN$5:$AN$64,MATCH($F757,사건마스터!$A$5:$A$64,0)),""))</f>
        <v/>
      </c>
      <c r="R757" s="35">
        <f>IF($F757="","",IFERROR(INDEX(사건마스터!$AO$5:$AO$64,MATCH($F757,사건마스터!$A$5:$A$64,0)),""))</f>
        <v/>
      </c>
      <c r="S757" s="35">
        <f>IF($F757="","",IFERROR(INDEX(사건마스터!$AP$5:$AP$64,MATCH($F757,사건마스터!$A$5:$A$64,0)),""))</f>
        <v/>
      </c>
      <c r="T757" s="35">
        <f>IF($F757="","",IFERROR(INDEX(사건마스터!$AQ$5:$AQ$64,MATCH($F757,사건마스터!$A$5:$A$64,0)),""))</f>
        <v/>
      </c>
      <c r="U757" s="35">
        <f>IF($F757="","",IFERROR(INDEX(사건마스터!$AR$5:$AR$64,MATCH($F757,사건마스터!$A$5:$A$64,0)),""))</f>
        <v/>
      </c>
      <c r="V757" s="35">
        <f>IF($F757="","",IFERROR(INDEX(사건마스터!$AS$5:$AS$64,MATCH($F757,사건마스터!$A$5:$A$64,0)),""))</f>
        <v/>
      </c>
      <c r="W757" s="35">
        <f>IF($F757="","",IFERROR(INDEX(사건마스터!$AT$5:$AT$64,MATCH($F757,사건마스터!$A$5:$A$64,0)),""))</f>
        <v/>
      </c>
      <c r="X757" s="35">
        <f>IF($F757="","",IFERROR(INDEX(사건마스터!$AU$5:$AU$64,MATCH($F757,사건마스터!$A$5:$A$64,0)),""))</f>
        <v/>
      </c>
      <c r="Y757" s="35">
        <f>IF($F757="","",IFERROR(INDEX(사건마스터!$AV$5:$AV$64,MATCH($F757,사건마스터!$A$5:$A$64,0)),""))</f>
        <v/>
      </c>
      <c r="Z757" s="30">
        <f>IF(COUNTBLANK($J757:$Y757)=16,"",16-COUNTBLANK($J757:$Y757))</f>
        <v/>
      </c>
      <c r="AA757" s="33">
        <f>IF($J757="",MID($AX757,3,255),$J757&amp;$AX757)</f>
        <v/>
      </c>
      <c r="AB757" s="34">
        <f>IF($J757="","",IFERROR(INDEX(코드설정!$D$5:$D$24,MATCH($J757,코드설정!$C$5:$C$24,0)),""))</f>
        <v/>
      </c>
      <c r="AC757" s="36" t="n"/>
      <c r="AD757" s="37" t="n"/>
      <c r="AE757" s="38" t="n"/>
      <c r="AF757" s="30">
        <f>IF(OR($B757="",$C757=""),"",$C757-$B757+1)</f>
        <v/>
      </c>
      <c r="AG757" s="32" t="n"/>
      <c r="AH757" s="36" t="n"/>
      <c r="AJ757">
        <f>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  <c r="AX757">
        <f>AW757&amp;IF($Y757="","",", "&amp;$Y757)</f>
        <v/>
      </c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0">
        <f>IF($F758="","",COUNTIF($F$5:$F758,$F758))</f>
        <v/>
      </c>
      <c r="H758" s="33">
        <f>IF($F758="","",IFERROR(INDEX(사건마스터!$B$5:$B$64,MATCH($F758,사건마스터!$A$5:$A$64,0)),""))</f>
        <v/>
      </c>
      <c r="I758" s="34">
        <f>IF($F758="","",IFERROR(INDEX(사건마스터!$C$5:$C$64,MATCH($F758,사건마스터!$A$5:$A$64,0)),""))</f>
        <v/>
      </c>
      <c r="J758" s="35">
        <f>IF($F758="","",IFERROR(INDEX(사건마스터!$H$5:$H$64,MATCH($F758,사건마스터!$A$5:$A$64,0)),""))</f>
        <v/>
      </c>
      <c r="K758" s="35">
        <f>IF($F758="","",IFERROR(INDEX(사건마스터!$AH$5:$AH$64,MATCH($F758,사건마스터!$A$5:$A$64,0)),""))</f>
        <v/>
      </c>
      <c r="L758" s="35">
        <f>IF($F758="","",IFERROR(INDEX(사건마스터!$AI$5:$AI$64,MATCH($F758,사건마스터!$A$5:$A$64,0)),""))</f>
        <v/>
      </c>
      <c r="M758" s="35">
        <f>IF($F758="","",IFERROR(INDEX(사건마스터!$AJ$5:$AJ$64,MATCH($F758,사건마스터!$A$5:$A$64,0)),""))</f>
        <v/>
      </c>
      <c r="N758" s="35">
        <f>IF($F758="","",IFERROR(INDEX(사건마스터!$AK$5:$AK$64,MATCH($F758,사건마스터!$A$5:$A$64,0)),""))</f>
        <v/>
      </c>
      <c r="O758" s="35">
        <f>IF($F758="","",IFERROR(INDEX(사건마스터!$AL$5:$AL$64,MATCH($F758,사건마스터!$A$5:$A$64,0)),""))</f>
        <v/>
      </c>
      <c r="P758" s="35">
        <f>IF($F758="","",IFERROR(INDEX(사건마스터!$AM$5:$AM$64,MATCH($F758,사건마스터!$A$5:$A$64,0)),""))</f>
        <v/>
      </c>
      <c r="Q758" s="35">
        <f>IF($F758="","",IFERROR(INDEX(사건마스터!$AN$5:$AN$64,MATCH($F758,사건마스터!$A$5:$A$64,0)),""))</f>
        <v/>
      </c>
      <c r="R758" s="35">
        <f>IF($F758="","",IFERROR(INDEX(사건마스터!$AO$5:$AO$64,MATCH($F758,사건마스터!$A$5:$A$64,0)),""))</f>
        <v/>
      </c>
      <c r="S758" s="35">
        <f>IF($F758="","",IFERROR(INDEX(사건마스터!$AP$5:$AP$64,MATCH($F758,사건마스터!$A$5:$A$64,0)),""))</f>
        <v/>
      </c>
      <c r="T758" s="35">
        <f>IF($F758="","",IFERROR(INDEX(사건마스터!$AQ$5:$AQ$64,MATCH($F758,사건마스터!$A$5:$A$64,0)),""))</f>
        <v/>
      </c>
      <c r="U758" s="35">
        <f>IF($F758="","",IFERROR(INDEX(사건마스터!$AR$5:$AR$64,MATCH($F758,사건마스터!$A$5:$A$64,0)),""))</f>
        <v/>
      </c>
      <c r="V758" s="35">
        <f>IF($F758="","",IFERROR(INDEX(사건마스터!$AS$5:$AS$64,MATCH($F758,사건마스터!$A$5:$A$64,0)),""))</f>
        <v/>
      </c>
      <c r="W758" s="35">
        <f>IF($F758="","",IFERROR(INDEX(사건마스터!$AT$5:$AT$64,MATCH($F758,사건마스터!$A$5:$A$64,0)),""))</f>
        <v/>
      </c>
      <c r="X758" s="35">
        <f>IF($F758="","",IFERROR(INDEX(사건마스터!$AU$5:$AU$64,MATCH($F758,사건마스터!$A$5:$A$64,0)),""))</f>
        <v/>
      </c>
      <c r="Y758" s="35">
        <f>IF($F758="","",IFERROR(INDEX(사건마스터!$AV$5:$AV$64,MATCH($F758,사건마스터!$A$5:$A$64,0)),""))</f>
        <v/>
      </c>
      <c r="Z758" s="30">
        <f>IF(COUNTBLANK($J758:$Y758)=16,"",16-COUNTBLANK($J758:$Y758))</f>
        <v/>
      </c>
      <c r="AA758" s="33">
        <f>IF($J758="",MID($AX758,3,255),$J758&amp;$AX758)</f>
        <v/>
      </c>
      <c r="AB758" s="34">
        <f>IF($J758="","",IFERROR(INDEX(코드설정!$D$5:$D$24,MATCH($J758,코드설정!$C$5:$C$24,0)),""))</f>
        <v/>
      </c>
      <c r="AC758" s="36" t="n"/>
      <c r="AD758" s="37" t="n"/>
      <c r="AE758" s="38" t="n"/>
      <c r="AF758" s="30">
        <f>IF(OR($B758="",$C758=""),"",$C758-$B758+1)</f>
        <v/>
      </c>
      <c r="AG758" s="32" t="n"/>
      <c r="AH758" s="36" t="n"/>
      <c r="AJ758">
        <f>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  <c r="AX758">
        <f>AW758&amp;IF($Y758="","",", "&amp;$Y758)</f>
        <v/>
      </c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0">
        <f>IF($F759="","",COUNTIF($F$5:$F759,$F759))</f>
        <v/>
      </c>
      <c r="H759" s="33">
        <f>IF($F759="","",IFERROR(INDEX(사건마스터!$B$5:$B$64,MATCH($F759,사건마스터!$A$5:$A$64,0)),""))</f>
        <v/>
      </c>
      <c r="I759" s="34">
        <f>IF($F759="","",IFERROR(INDEX(사건마스터!$C$5:$C$64,MATCH($F759,사건마스터!$A$5:$A$64,0)),""))</f>
        <v/>
      </c>
      <c r="J759" s="35">
        <f>IF($F759="","",IFERROR(INDEX(사건마스터!$H$5:$H$64,MATCH($F759,사건마스터!$A$5:$A$64,0)),""))</f>
        <v/>
      </c>
      <c r="K759" s="35">
        <f>IF($F759="","",IFERROR(INDEX(사건마스터!$AH$5:$AH$64,MATCH($F759,사건마스터!$A$5:$A$64,0)),""))</f>
        <v/>
      </c>
      <c r="L759" s="35">
        <f>IF($F759="","",IFERROR(INDEX(사건마스터!$AI$5:$AI$64,MATCH($F759,사건마스터!$A$5:$A$64,0)),""))</f>
        <v/>
      </c>
      <c r="M759" s="35">
        <f>IF($F759="","",IFERROR(INDEX(사건마스터!$AJ$5:$AJ$64,MATCH($F759,사건마스터!$A$5:$A$64,0)),""))</f>
        <v/>
      </c>
      <c r="N759" s="35">
        <f>IF($F759="","",IFERROR(INDEX(사건마스터!$AK$5:$AK$64,MATCH($F759,사건마스터!$A$5:$A$64,0)),""))</f>
        <v/>
      </c>
      <c r="O759" s="35">
        <f>IF($F759="","",IFERROR(INDEX(사건마스터!$AL$5:$AL$64,MATCH($F759,사건마스터!$A$5:$A$64,0)),""))</f>
        <v/>
      </c>
      <c r="P759" s="35">
        <f>IF($F759="","",IFERROR(INDEX(사건마스터!$AM$5:$AM$64,MATCH($F759,사건마스터!$A$5:$A$64,0)),""))</f>
        <v/>
      </c>
      <c r="Q759" s="35">
        <f>IF($F759="","",IFERROR(INDEX(사건마스터!$AN$5:$AN$64,MATCH($F759,사건마스터!$A$5:$A$64,0)),""))</f>
        <v/>
      </c>
      <c r="R759" s="35">
        <f>IF($F759="","",IFERROR(INDEX(사건마스터!$AO$5:$AO$64,MATCH($F759,사건마스터!$A$5:$A$64,0)),""))</f>
        <v/>
      </c>
      <c r="S759" s="35">
        <f>IF($F759="","",IFERROR(INDEX(사건마스터!$AP$5:$AP$64,MATCH($F759,사건마스터!$A$5:$A$64,0)),""))</f>
        <v/>
      </c>
      <c r="T759" s="35">
        <f>IF($F759="","",IFERROR(INDEX(사건마스터!$AQ$5:$AQ$64,MATCH($F759,사건마스터!$A$5:$A$64,0)),""))</f>
        <v/>
      </c>
      <c r="U759" s="35">
        <f>IF($F759="","",IFERROR(INDEX(사건마스터!$AR$5:$AR$64,MATCH($F759,사건마스터!$A$5:$A$64,0)),""))</f>
        <v/>
      </c>
      <c r="V759" s="35">
        <f>IF($F759="","",IFERROR(INDEX(사건마스터!$AS$5:$AS$64,MATCH($F759,사건마스터!$A$5:$A$64,0)),""))</f>
        <v/>
      </c>
      <c r="W759" s="35">
        <f>IF($F759="","",IFERROR(INDEX(사건마스터!$AT$5:$AT$64,MATCH($F759,사건마스터!$A$5:$A$64,0)),""))</f>
        <v/>
      </c>
      <c r="X759" s="35">
        <f>IF($F759="","",IFERROR(INDEX(사건마스터!$AU$5:$AU$64,MATCH($F759,사건마스터!$A$5:$A$64,0)),""))</f>
        <v/>
      </c>
      <c r="Y759" s="35">
        <f>IF($F759="","",IFERROR(INDEX(사건마스터!$AV$5:$AV$64,MATCH($F759,사건마스터!$A$5:$A$64,0)),""))</f>
        <v/>
      </c>
      <c r="Z759" s="30">
        <f>IF(COUNTBLANK($J759:$Y759)=16,"",16-COUNTBLANK($J759:$Y759))</f>
        <v/>
      </c>
      <c r="AA759" s="33">
        <f>IF($J759="",MID($AX759,3,255),$J759&amp;$AX759)</f>
        <v/>
      </c>
      <c r="AB759" s="34">
        <f>IF($J759="","",IFERROR(INDEX(코드설정!$D$5:$D$24,MATCH($J759,코드설정!$C$5:$C$24,0)),""))</f>
        <v/>
      </c>
      <c r="AC759" s="36" t="n"/>
      <c r="AD759" s="37" t="n"/>
      <c r="AE759" s="38" t="n"/>
      <c r="AF759" s="30">
        <f>IF(OR($B759="",$C759=""),"",$C759-$B759+1)</f>
        <v/>
      </c>
      <c r="AG759" s="32" t="n"/>
      <c r="AH759" s="36" t="n"/>
      <c r="AJ759">
        <f>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  <c r="AX759">
        <f>AW759&amp;IF($Y759="","",", "&amp;$Y759)</f>
        <v/>
      </c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0">
        <f>IF($F760="","",COUNTIF($F$5:$F760,$F760))</f>
        <v/>
      </c>
      <c r="H760" s="33">
        <f>IF($F760="","",IFERROR(INDEX(사건마스터!$B$5:$B$64,MATCH($F760,사건마스터!$A$5:$A$64,0)),""))</f>
        <v/>
      </c>
      <c r="I760" s="34">
        <f>IF($F760="","",IFERROR(INDEX(사건마스터!$C$5:$C$64,MATCH($F760,사건마스터!$A$5:$A$64,0)),""))</f>
        <v/>
      </c>
      <c r="J760" s="35">
        <f>IF($F760="","",IFERROR(INDEX(사건마스터!$H$5:$H$64,MATCH($F760,사건마스터!$A$5:$A$64,0)),""))</f>
        <v/>
      </c>
      <c r="K760" s="35">
        <f>IF($F760="","",IFERROR(INDEX(사건마스터!$AH$5:$AH$64,MATCH($F760,사건마스터!$A$5:$A$64,0)),""))</f>
        <v/>
      </c>
      <c r="L760" s="35">
        <f>IF($F760="","",IFERROR(INDEX(사건마스터!$AI$5:$AI$64,MATCH($F760,사건마스터!$A$5:$A$64,0)),""))</f>
        <v/>
      </c>
      <c r="M760" s="35">
        <f>IF($F760="","",IFERROR(INDEX(사건마스터!$AJ$5:$AJ$64,MATCH($F760,사건마스터!$A$5:$A$64,0)),""))</f>
        <v/>
      </c>
      <c r="N760" s="35">
        <f>IF($F760="","",IFERROR(INDEX(사건마스터!$AK$5:$AK$64,MATCH($F760,사건마스터!$A$5:$A$64,0)),""))</f>
        <v/>
      </c>
      <c r="O760" s="35">
        <f>IF($F760="","",IFERROR(INDEX(사건마스터!$AL$5:$AL$64,MATCH($F760,사건마스터!$A$5:$A$64,0)),""))</f>
        <v/>
      </c>
      <c r="P760" s="35">
        <f>IF($F760="","",IFERROR(INDEX(사건마스터!$AM$5:$AM$64,MATCH($F760,사건마스터!$A$5:$A$64,0)),""))</f>
        <v/>
      </c>
      <c r="Q760" s="35">
        <f>IF($F760="","",IFERROR(INDEX(사건마스터!$AN$5:$AN$64,MATCH($F760,사건마스터!$A$5:$A$64,0)),""))</f>
        <v/>
      </c>
      <c r="R760" s="35">
        <f>IF($F760="","",IFERROR(INDEX(사건마스터!$AO$5:$AO$64,MATCH($F760,사건마스터!$A$5:$A$64,0)),""))</f>
        <v/>
      </c>
      <c r="S760" s="35">
        <f>IF($F760="","",IFERROR(INDEX(사건마스터!$AP$5:$AP$64,MATCH($F760,사건마스터!$A$5:$A$64,0)),""))</f>
        <v/>
      </c>
      <c r="T760" s="35">
        <f>IF($F760="","",IFERROR(INDEX(사건마스터!$AQ$5:$AQ$64,MATCH($F760,사건마스터!$A$5:$A$64,0)),""))</f>
        <v/>
      </c>
      <c r="U760" s="35">
        <f>IF($F760="","",IFERROR(INDEX(사건마스터!$AR$5:$AR$64,MATCH($F760,사건마스터!$A$5:$A$64,0)),""))</f>
        <v/>
      </c>
      <c r="V760" s="35">
        <f>IF($F760="","",IFERROR(INDEX(사건마스터!$AS$5:$AS$64,MATCH($F760,사건마스터!$A$5:$A$64,0)),""))</f>
        <v/>
      </c>
      <c r="W760" s="35">
        <f>IF($F760="","",IFERROR(INDEX(사건마스터!$AT$5:$AT$64,MATCH($F760,사건마스터!$A$5:$A$64,0)),""))</f>
        <v/>
      </c>
      <c r="X760" s="35">
        <f>IF($F760="","",IFERROR(INDEX(사건마스터!$AU$5:$AU$64,MATCH($F760,사건마스터!$A$5:$A$64,0)),""))</f>
        <v/>
      </c>
      <c r="Y760" s="35">
        <f>IF($F760="","",IFERROR(INDEX(사건마스터!$AV$5:$AV$64,MATCH($F760,사건마스터!$A$5:$A$64,0)),""))</f>
        <v/>
      </c>
      <c r="Z760" s="30">
        <f>IF(COUNTBLANK($J760:$Y760)=16,"",16-COUNTBLANK($J760:$Y760))</f>
        <v/>
      </c>
      <c r="AA760" s="33">
        <f>IF($J760="",MID($AX760,3,255),$J760&amp;$AX760)</f>
        <v/>
      </c>
      <c r="AB760" s="34">
        <f>IF($J760="","",IFERROR(INDEX(코드설정!$D$5:$D$24,MATCH($J760,코드설정!$C$5:$C$24,0)),""))</f>
        <v/>
      </c>
      <c r="AC760" s="36" t="n"/>
      <c r="AD760" s="37" t="n"/>
      <c r="AE760" s="38" t="n"/>
      <c r="AF760" s="30">
        <f>IF(OR($B760="",$C760=""),"",$C760-$B760+1)</f>
        <v/>
      </c>
      <c r="AG760" s="32" t="n"/>
      <c r="AH760" s="36" t="n"/>
      <c r="AJ760">
        <f>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  <c r="AX760">
        <f>AW760&amp;IF($Y760="","",", "&amp;$Y760)</f>
        <v/>
      </c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0">
        <f>IF($F761="","",COUNTIF($F$5:$F761,$F761))</f>
        <v/>
      </c>
      <c r="H761" s="33">
        <f>IF($F761="","",IFERROR(INDEX(사건마스터!$B$5:$B$64,MATCH($F761,사건마스터!$A$5:$A$64,0)),""))</f>
        <v/>
      </c>
      <c r="I761" s="34">
        <f>IF($F761="","",IFERROR(INDEX(사건마스터!$C$5:$C$64,MATCH($F761,사건마스터!$A$5:$A$64,0)),""))</f>
        <v/>
      </c>
      <c r="J761" s="35">
        <f>IF($F761="","",IFERROR(INDEX(사건마스터!$H$5:$H$64,MATCH($F761,사건마스터!$A$5:$A$64,0)),""))</f>
        <v/>
      </c>
      <c r="K761" s="35">
        <f>IF($F761="","",IFERROR(INDEX(사건마스터!$AH$5:$AH$64,MATCH($F761,사건마스터!$A$5:$A$64,0)),""))</f>
        <v/>
      </c>
      <c r="L761" s="35">
        <f>IF($F761="","",IFERROR(INDEX(사건마스터!$AI$5:$AI$64,MATCH($F761,사건마스터!$A$5:$A$64,0)),""))</f>
        <v/>
      </c>
      <c r="M761" s="35">
        <f>IF($F761="","",IFERROR(INDEX(사건마스터!$AJ$5:$AJ$64,MATCH($F761,사건마스터!$A$5:$A$64,0)),""))</f>
        <v/>
      </c>
      <c r="N761" s="35">
        <f>IF($F761="","",IFERROR(INDEX(사건마스터!$AK$5:$AK$64,MATCH($F761,사건마스터!$A$5:$A$64,0)),""))</f>
        <v/>
      </c>
      <c r="O761" s="35">
        <f>IF($F761="","",IFERROR(INDEX(사건마스터!$AL$5:$AL$64,MATCH($F761,사건마스터!$A$5:$A$64,0)),""))</f>
        <v/>
      </c>
      <c r="P761" s="35">
        <f>IF($F761="","",IFERROR(INDEX(사건마스터!$AM$5:$AM$64,MATCH($F761,사건마스터!$A$5:$A$64,0)),""))</f>
        <v/>
      </c>
      <c r="Q761" s="35">
        <f>IF($F761="","",IFERROR(INDEX(사건마스터!$AN$5:$AN$64,MATCH($F761,사건마스터!$A$5:$A$64,0)),""))</f>
        <v/>
      </c>
      <c r="R761" s="35">
        <f>IF($F761="","",IFERROR(INDEX(사건마스터!$AO$5:$AO$64,MATCH($F761,사건마스터!$A$5:$A$64,0)),""))</f>
        <v/>
      </c>
      <c r="S761" s="35">
        <f>IF($F761="","",IFERROR(INDEX(사건마스터!$AP$5:$AP$64,MATCH($F761,사건마스터!$A$5:$A$64,0)),""))</f>
        <v/>
      </c>
      <c r="T761" s="35">
        <f>IF($F761="","",IFERROR(INDEX(사건마스터!$AQ$5:$AQ$64,MATCH($F761,사건마스터!$A$5:$A$64,0)),""))</f>
        <v/>
      </c>
      <c r="U761" s="35">
        <f>IF($F761="","",IFERROR(INDEX(사건마스터!$AR$5:$AR$64,MATCH($F761,사건마스터!$A$5:$A$64,0)),""))</f>
        <v/>
      </c>
      <c r="V761" s="35">
        <f>IF($F761="","",IFERROR(INDEX(사건마스터!$AS$5:$AS$64,MATCH($F761,사건마스터!$A$5:$A$64,0)),""))</f>
        <v/>
      </c>
      <c r="W761" s="35">
        <f>IF($F761="","",IFERROR(INDEX(사건마스터!$AT$5:$AT$64,MATCH($F761,사건마스터!$A$5:$A$64,0)),""))</f>
        <v/>
      </c>
      <c r="X761" s="35">
        <f>IF($F761="","",IFERROR(INDEX(사건마스터!$AU$5:$AU$64,MATCH($F761,사건마스터!$A$5:$A$64,0)),""))</f>
        <v/>
      </c>
      <c r="Y761" s="35">
        <f>IF($F761="","",IFERROR(INDEX(사건마스터!$AV$5:$AV$64,MATCH($F761,사건마스터!$A$5:$A$64,0)),""))</f>
        <v/>
      </c>
      <c r="Z761" s="30">
        <f>IF(COUNTBLANK($J761:$Y761)=16,"",16-COUNTBLANK($J761:$Y761))</f>
        <v/>
      </c>
      <c r="AA761" s="33">
        <f>IF($J761="",MID($AX761,3,255),$J761&amp;$AX761)</f>
        <v/>
      </c>
      <c r="AB761" s="34">
        <f>IF($J761="","",IFERROR(INDEX(코드설정!$D$5:$D$24,MATCH($J761,코드설정!$C$5:$C$24,0)),""))</f>
        <v/>
      </c>
      <c r="AC761" s="36" t="n"/>
      <c r="AD761" s="37" t="n"/>
      <c r="AE761" s="38" t="n"/>
      <c r="AF761" s="30">
        <f>IF(OR($B761="",$C761=""),"",$C761-$B761+1)</f>
        <v/>
      </c>
      <c r="AG761" s="32" t="n"/>
      <c r="AH761" s="36" t="n"/>
      <c r="AJ761">
        <f>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  <c r="AX761">
        <f>AW761&amp;IF($Y761="","",", "&amp;$Y761)</f>
        <v/>
      </c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0">
        <f>IF($F762="","",COUNTIF($F$5:$F762,$F762))</f>
        <v/>
      </c>
      <c r="H762" s="33">
        <f>IF($F762="","",IFERROR(INDEX(사건마스터!$B$5:$B$64,MATCH($F762,사건마스터!$A$5:$A$64,0)),""))</f>
        <v/>
      </c>
      <c r="I762" s="34">
        <f>IF($F762="","",IFERROR(INDEX(사건마스터!$C$5:$C$64,MATCH($F762,사건마스터!$A$5:$A$64,0)),""))</f>
        <v/>
      </c>
      <c r="J762" s="35">
        <f>IF($F762="","",IFERROR(INDEX(사건마스터!$H$5:$H$64,MATCH($F762,사건마스터!$A$5:$A$64,0)),""))</f>
        <v/>
      </c>
      <c r="K762" s="35">
        <f>IF($F762="","",IFERROR(INDEX(사건마스터!$AH$5:$AH$64,MATCH($F762,사건마스터!$A$5:$A$64,0)),""))</f>
        <v/>
      </c>
      <c r="L762" s="35">
        <f>IF($F762="","",IFERROR(INDEX(사건마스터!$AI$5:$AI$64,MATCH($F762,사건마스터!$A$5:$A$64,0)),""))</f>
        <v/>
      </c>
      <c r="M762" s="35">
        <f>IF($F762="","",IFERROR(INDEX(사건마스터!$AJ$5:$AJ$64,MATCH($F762,사건마스터!$A$5:$A$64,0)),""))</f>
        <v/>
      </c>
      <c r="N762" s="35">
        <f>IF($F762="","",IFERROR(INDEX(사건마스터!$AK$5:$AK$64,MATCH($F762,사건마스터!$A$5:$A$64,0)),""))</f>
        <v/>
      </c>
      <c r="O762" s="35">
        <f>IF($F762="","",IFERROR(INDEX(사건마스터!$AL$5:$AL$64,MATCH($F762,사건마스터!$A$5:$A$64,0)),""))</f>
        <v/>
      </c>
      <c r="P762" s="35">
        <f>IF($F762="","",IFERROR(INDEX(사건마스터!$AM$5:$AM$64,MATCH($F762,사건마스터!$A$5:$A$64,0)),""))</f>
        <v/>
      </c>
      <c r="Q762" s="35">
        <f>IF($F762="","",IFERROR(INDEX(사건마스터!$AN$5:$AN$64,MATCH($F762,사건마스터!$A$5:$A$64,0)),""))</f>
        <v/>
      </c>
      <c r="R762" s="35">
        <f>IF($F762="","",IFERROR(INDEX(사건마스터!$AO$5:$AO$64,MATCH($F762,사건마스터!$A$5:$A$64,0)),""))</f>
        <v/>
      </c>
      <c r="S762" s="35">
        <f>IF($F762="","",IFERROR(INDEX(사건마스터!$AP$5:$AP$64,MATCH($F762,사건마스터!$A$5:$A$64,0)),""))</f>
        <v/>
      </c>
      <c r="T762" s="35">
        <f>IF($F762="","",IFERROR(INDEX(사건마스터!$AQ$5:$AQ$64,MATCH($F762,사건마스터!$A$5:$A$64,0)),""))</f>
        <v/>
      </c>
      <c r="U762" s="35">
        <f>IF($F762="","",IFERROR(INDEX(사건마스터!$AR$5:$AR$64,MATCH($F762,사건마스터!$A$5:$A$64,0)),""))</f>
        <v/>
      </c>
      <c r="V762" s="35">
        <f>IF($F762="","",IFERROR(INDEX(사건마스터!$AS$5:$AS$64,MATCH($F762,사건마스터!$A$5:$A$64,0)),""))</f>
        <v/>
      </c>
      <c r="W762" s="35">
        <f>IF($F762="","",IFERROR(INDEX(사건마스터!$AT$5:$AT$64,MATCH($F762,사건마스터!$A$5:$A$64,0)),""))</f>
        <v/>
      </c>
      <c r="X762" s="35">
        <f>IF($F762="","",IFERROR(INDEX(사건마스터!$AU$5:$AU$64,MATCH($F762,사건마스터!$A$5:$A$64,0)),""))</f>
        <v/>
      </c>
      <c r="Y762" s="35">
        <f>IF($F762="","",IFERROR(INDEX(사건마스터!$AV$5:$AV$64,MATCH($F762,사건마스터!$A$5:$A$64,0)),""))</f>
        <v/>
      </c>
      <c r="Z762" s="30">
        <f>IF(COUNTBLANK($J762:$Y762)=16,"",16-COUNTBLANK($J762:$Y762))</f>
        <v/>
      </c>
      <c r="AA762" s="33">
        <f>IF($J762="",MID($AX762,3,255),$J762&amp;$AX762)</f>
        <v/>
      </c>
      <c r="AB762" s="34">
        <f>IF($J762="","",IFERROR(INDEX(코드설정!$D$5:$D$24,MATCH($J762,코드설정!$C$5:$C$24,0)),""))</f>
        <v/>
      </c>
      <c r="AC762" s="36" t="n"/>
      <c r="AD762" s="37" t="n"/>
      <c r="AE762" s="38" t="n"/>
      <c r="AF762" s="30">
        <f>IF(OR($B762="",$C762=""),"",$C762-$B762+1)</f>
        <v/>
      </c>
      <c r="AG762" s="32" t="n"/>
      <c r="AH762" s="36" t="n"/>
      <c r="AJ762">
        <f>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  <c r="AX762">
        <f>AW762&amp;IF($Y762="","",", "&amp;$Y762)</f>
        <v/>
      </c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0">
        <f>IF($F763="","",COUNTIF($F$5:$F763,$F763))</f>
        <v/>
      </c>
      <c r="H763" s="33">
        <f>IF($F763="","",IFERROR(INDEX(사건마스터!$B$5:$B$64,MATCH($F763,사건마스터!$A$5:$A$64,0)),""))</f>
        <v/>
      </c>
      <c r="I763" s="34">
        <f>IF($F763="","",IFERROR(INDEX(사건마스터!$C$5:$C$64,MATCH($F763,사건마스터!$A$5:$A$64,0)),""))</f>
        <v/>
      </c>
      <c r="J763" s="35">
        <f>IF($F763="","",IFERROR(INDEX(사건마스터!$H$5:$H$64,MATCH($F763,사건마스터!$A$5:$A$64,0)),""))</f>
        <v/>
      </c>
      <c r="K763" s="35">
        <f>IF($F763="","",IFERROR(INDEX(사건마스터!$AH$5:$AH$64,MATCH($F763,사건마스터!$A$5:$A$64,0)),""))</f>
        <v/>
      </c>
      <c r="L763" s="35">
        <f>IF($F763="","",IFERROR(INDEX(사건마스터!$AI$5:$AI$64,MATCH($F763,사건마스터!$A$5:$A$64,0)),""))</f>
        <v/>
      </c>
      <c r="M763" s="35">
        <f>IF($F763="","",IFERROR(INDEX(사건마스터!$AJ$5:$AJ$64,MATCH($F763,사건마스터!$A$5:$A$64,0)),""))</f>
        <v/>
      </c>
      <c r="N763" s="35">
        <f>IF($F763="","",IFERROR(INDEX(사건마스터!$AK$5:$AK$64,MATCH($F763,사건마스터!$A$5:$A$64,0)),""))</f>
        <v/>
      </c>
      <c r="O763" s="35">
        <f>IF($F763="","",IFERROR(INDEX(사건마스터!$AL$5:$AL$64,MATCH($F763,사건마스터!$A$5:$A$64,0)),""))</f>
        <v/>
      </c>
      <c r="P763" s="35">
        <f>IF($F763="","",IFERROR(INDEX(사건마스터!$AM$5:$AM$64,MATCH($F763,사건마스터!$A$5:$A$64,0)),""))</f>
        <v/>
      </c>
      <c r="Q763" s="35">
        <f>IF($F763="","",IFERROR(INDEX(사건마스터!$AN$5:$AN$64,MATCH($F763,사건마스터!$A$5:$A$64,0)),""))</f>
        <v/>
      </c>
      <c r="R763" s="35">
        <f>IF($F763="","",IFERROR(INDEX(사건마스터!$AO$5:$AO$64,MATCH($F763,사건마스터!$A$5:$A$64,0)),""))</f>
        <v/>
      </c>
      <c r="S763" s="35">
        <f>IF($F763="","",IFERROR(INDEX(사건마스터!$AP$5:$AP$64,MATCH($F763,사건마스터!$A$5:$A$64,0)),""))</f>
        <v/>
      </c>
      <c r="T763" s="35">
        <f>IF($F763="","",IFERROR(INDEX(사건마스터!$AQ$5:$AQ$64,MATCH($F763,사건마스터!$A$5:$A$64,0)),""))</f>
        <v/>
      </c>
      <c r="U763" s="35">
        <f>IF($F763="","",IFERROR(INDEX(사건마스터!$AR$5:$AR$64,MATCH($F763,사건마스터!$A$5:$A$64,0)),""))</f>
        <v/>
      </c>
      <c r="V763" s="35">
        <f>IF($F763="","",IFERROR(INDEX(사건마스터!$AS$5:$AS$64,MATCH($F763,사건마스터!$A$5:$A$64,0)),""))</f>
        <v/>
      </c>
      <c r="W763" s="35">
        <f>IF($F763="","",IFERROR(INDEX(사건마스터!$AT$5:$AT$64,MATCH($F763,사건마스터!$A$5:$A$64,0)),""))</f>
        <v/>
      </c>
      <c r="X763" s="35">
        <f>IF($F763="","",IFERROR(INDEX(사건마스터!$AU$5:$AU$64,MATCH($F763,사건마스터!$A$5:$A$64,0)),""))</f>
        <v/>
      </c>
      <c r="Y763" s="35">
        <f>IF($F763="","",IFERROR(INDEX(사건마스터!$AV$5:$AV$64,MATCH($F763,사건마스터!$A$5:$A$64,0)),""))</f>
        <v/>
      </c>
      <c r="Z763" s="30">
        <f>IF(COUNTBLANK($J763:$Y763)=16,"",16-COUNTBLANK($J763:$Y763))</f>
        <v/>
      </c>
      <c r="AA763" s="33">
        <f>IF($J763="",MID($AX763,3,255),$J763&amp;$AX763)</f>
        <v/>
      </c>
      <c r="AB763" s="34">
        <f>IF($J763="","",IFERROR(INDEX(코드설정!$D$5:$D$24,MATCH($J763,코드설정!$C$5:$C$24,0)),""))</f>
        <v/>
      </c>
      <c r="AC763" s="36" t="n"/>
      <c r="AD763" s="37" t="n"/>
      <c r="AE763" s="38" t="n"/>
      <c r="AF763" s="30">
        <f>IF(OR($B763="",$C763=""),"",$C763-$B763+1)</f>
        <v/>
      </c>
      <c r="AG763" s="32" t="n"/>
      <c r="AH763" s="36" t="n"/>
      <c r="AJ763">
        <f>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  <c r="AX763">
        <f>AW763&amp;IF($Y763="","",", "&amp;$Y763)</f>
        <v/>
      </c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0">
        <f>IF($F764="","",COUNTIF($F$5:$F764,$F764))</f>
        <v/>
      </c>
      <c r="H764" s="33">
        <f>IF($F764="","",IFERROR(INDEX(사건마스터!$B$5:$B$64,MATCH($F764,사건마스터!$A$5:$A$64,0)),""))</f>
        <v/>
      </c>
      <c r="I764" s="34">
        <f>IF($F764="","",IFERROR(INDEX(사건마스터!$C$5:$C$64,MATCH($F764,사건마스터!$A$5:$A$64,0)),""))</f>
        <v/>
      </c>
      <c r="J764" s="35">
        <f>IF($F764="","",IFERROR(INDEX(사건마스터!$H$5:$H$64,MATCH($F764,사건마스터!$A$5:$A$64,0)),""))</f>
        <v/>
      </c>
      <c r="K764" s="35">
        <f>IF($F764="","",IFERROR(INDEX(사건마스터!$AH$5:$AH$64,MATCH($F764,사건마스터!$A$5:$A$64,0)),""))</f>
        <v/>
      </c>
      <c r="L764" s="35">
        <f>IF($F764="","",IFERROR(INDEX(사건마스터!$AI$5:$AI$64,MATCH($F764,사건마스터!$A$5:$A$64,0)),""))</f>
        <v/>
      </c>
      <c r="M764" s="35">
        <f>IF($F764="","",IFERROR(INDEX(사건마스터!$AJ$5:$AJ$64,MATCH($F764,사건마스터!$A$5:$A$64,0)),""))</f>
        <v/>
      </c>
      <c r="N764" s="35">
        <f>IF($F764="","",IFERROR(INDEX(사건마스터!$AK$5:$AK$64,MATCH($F764,사건마스터!$A$5:$A$64,0)),""))</f>
        <v/>
      </c>
      <c r="O764" s="35">
        <f>IF($F764="","",IFERROR(INDEX(사건마스터!$AL$5:$AL$64,MATCH($F764,사건마스터!$A$5:$A$64,0)),""))</f>
        <v/>
      </c>
      <c r="P764" s="35">
        <f>IF($F764="","",IFERROR(INDEX(사건마스터!$AM$5:$AM$64,MATCH($F764,사건마스터!$A$5:$A$64,0)),""))</f>
        <v/>
      </c>
      <c r="Q764" s="35">
        <f>IF($F764="","",IFERROR(INDEX(사건마스터!$AN$5:$AN$64,MATCH($F764,사건마스터!$A$5:$A$64,0)),""))</f>
        <v/>
      </c>
      <c r="R764" s="35">
        <f>IF($F764="","",IFERROR(INDEX(사건마스터!$AO$5:$AO$64,MATCH($F764,사건마스터!$A$5:$A$64,0)),""))</f>
        <v/>
      </c>
      <c r="S764" s="35">
        <f>IF($F764="","",IFERROR(INDEX(사건마스터!$AP$5:$AP$64,MATCH($F764,사건마스터!$A$5:$A$64,0)),""))</f>
        <v/>
      </c>
      <c r="T764" s="35">
        <f>IF($F764="","",IFERROR(INDEX(사건마스터!$AQ$5:$AQ$64,MATCH($F764,사건마스터!$A$5:$A$64,0)),""))</f>
        <v/>
      </c>
      <c r="U764" s="35">
        <f>IF($F764="","",IFERROR(INDEX(사건마스터!$AR$5:$AR$64,MATCH($F764,사건마스터!$A$5:$A$64,0)),""))</f>
        <v/>
      </c>
      <c r="V764" s="35">
        <f>IF($F764="","",IFERROR(INDEX(사건마스터!$AS$5:$AS$64,MATCH($F764,사건마스터!$A$5:$A$64,0)),""))</f>
        <v/>
      </c>
      <c r="W764" s="35">
        <f>IF($F764="","",IFERROR(INDEX(사건마스터!$AT$5:$AT$64,MATCH($F764,사건마스터!$A$5:$A$64,0)),""))</f>
        <v/>
      </c>
      <c r="X764" s="35">
        <f>IF($F764="","",IFERROR(INDEX(사건마스터!$AU$5:$AU$64,MATCH($F764,사건마스터!$A$5:$A$64,0)),""))</f>
        <v/>
      </c>
      <c r="Y764" s="35">
        <f>IF($F764="","",IFERROR(INDEX(사건마스터!$AV$5:$AV$64,MATCH($F764,사건마스터!$A$5:$A$64,0)),""))</f>
        <v/>
      </c>
      <c r="Z764" s="30">
        <f>IF(COUNTBLANK($J764:$Y764)=16,"",16-COUNTBLANK($J764:$Y764))</f>
        <v/>
      </c>
      <c r="AA764" s="33">
        <f>IF($J764="",MID($AX764,3,255),$J764&amp;$AX764)</f>
        <v/>
      </c>
      <c r="AB764" s="34">
        <f>IF($J764="","",IFERROR(INDEX(코드설정!$D$5:$D$24,MATCH($J764,코드설정!$C$5:$C$24,0)),""))</f>
        <v/>
      </c>
      <c r="AC764" s="36" t="n"/>
      <c r="AD764" s="37" t="n"/>
      <c r="AE764" s="38" t="n"/>
      <c r="AF764" s="30">
        <f>IF(OR($B764="",$C764=""),"",$C764-$B764+1)</f>
        <v/>
      </c>
      <c r="AG764" s="32" t="n"/>
      <c r="AH764" s="36" t="n"/>
      <c r="AJ764">
        <f>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  <c r="AX764">
        <f>AW764&amp;IF($Y764="","",", "&amp;$Y764)</f>
        <v/>
      </c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0">
        <f>IF($F765="","",COUNTIF($F$5:$F765,$F765))</f>
        <v/>
      </c>
      <c r="H765" s="33">
        <f>IF($F765="","",IFERROR(INDEX(사건마스터!$B$5:$B$64,MATCH($F765,사건마스터!$A$5:$A$64,0)),""))</f>
        <v/>
      </c>
      <c r="I765" s="34">
        <f>IF($F765="","",IFERROR(INDEX(사건마스터!$C$5:$C$64,MATCH($F765,사건마스터!$A$5:$A$64,0)),""))</f>
        <v/>
      </c>
      <c r="J765" s="35">
        <f>IF($F765="","",IFERROR(INDEX(사건마스터!$H$5:$H$64,MATCH($F765,사건마스터!$A$5:$A$64,0)),""))</f>
        <v/>
      </c>
      <c r="K765" s="35">
        <f>IF($F765="","",IFERROR(INDEX(사건마스터!$AH$5:$AH$64,MATCH($F765,사건마스터!$A$5:$A$64,0)),""))</f>
        <v/>
      </c>
      <c r="L765" s="35">
        <f>IF($F765="","",IFERROR(INDEX(사건마스터!$AI$5:$AI$64,MATCH($F765,사건마스터!$A$5:$A$64,0)),""))</f>
        <v/>
      </c>
      <c r="M765" s="35">
        <f>IF($F765="","",IFERROR(INDEX(사건마스터!$AJ$5:$AJ$64,MATCH($F765,사건마스터!$A$5:$A$64,0)),""))</f>
        <v/>
      </c>
      <c r="N765" s="35">
        <f>IF($F765="","",IFERROR(INDEX(사건마스터!$AK$5:$AK$64,MATCH($F765,사건마스터!$A$5:$A$64,0)),""))</f>
        <v/>
      </c>
      <c r="O765" s="35">
        <f>IF($F765="","",IFERROR(INDEX(사건마스터!$AL$5:$AL$64,MATCH($F765,사건마스터!$A$5:$A$64,0)),""))</f>
        <v/>
      </c>
      <c r="P765" s="35">
        <f>IF($F765="","",IFERROR(INDEX(사건마스터!$AM$5:$AM$64,MATCH($F765,사건마스터!$A$5:$A$64,0)),""))</f>
        <v/>
      </c>
      <c r="Q765" s="35">
        <f>IF($F765="","",IFERROR(INDEX(사건마스터!$AN$5:$AN$64,MATCH($F765,사건마스터!$A$5:$A$64,0)),""))</f>
        <v/>
      </c>
      <c r="R765" s="35">
        <f>IF($F765="","",IFERROR(INDEX(사건마스터!$AO$5:$AO$64,MATCH($F765,사건마스터!$A$5:$A$64,0)),""))</f>
        <v/>
      </c>
      <c r="S765" s="35">
        <f>IF($F765="","",IFERROR(INDEX(사건마스터!$AP$5:$AP$64,MATCH($F765,사건마스터!$A$5:$A$64,0)),""))</f>
        <v/>
      </c>
      <c r="T765" s="35">
        <f>IF($F765="","",IFERROR(INDEX(사건마스터!$AQ$5:$AQ$64,MATCH($F765,사건마스터!$A$5:$A$64,0)),""))</f>
        <v/>
      </c>
      <c r="U765" s="35">
        <f>IF($F765="","",IFERROR(INDEX(사건마스터!$AR$5:$AR$64,MATCH($F765,사건마스터!$A$5:$A$64,0)),""))</f>
        <v/>
      </c>
      <c r="V765" s="35">
        <f>IF($F765="","",IFERROR(INDEX(사건마스터!$AS$5:$AS$64,MATCH($F765,사건마스터!$A$5:$A$64,0)),""))</f>
        <v/>
      </c>
      <c r="W765" s="35">
        <f>IF($F765="","",IFERROR(INDEX(사건마스터!$AT$5:$AT$64,MATCH($F765,사건마스터!$A$5:$A$64,0)),""))</f>
        <v/>
      </c>
      <c r="X765" s="35">
        <f>IF($F765="","",IFERROR(INDEX(사건마스터!$AU$5:$AU$64,MATCH($F765,사건마스터!$A$5:$A$64,0)),""))</f>
        <v/>
      </c>
      <c r="Y765" s="35">
        <f>IF($F765="","",IFERROR(INDEX(사건마스터!$AV$5:$AV$64,MATCH($F765,사건마스터!$A$5:$A$64,0)),""))</f>
        <v/>
      </c>
      <c r="Z765" s="30">
        <f>IF(COUNTBLANK($J765:$Y765)=16,"",16-COUNTBLANK($J765:$Y765))</f>
        <v/>
      </c>
      <c r="AA765" s="33">
        <f>IF($J765="",MID($AX765,3,255),$J765&amp;$AX765)</f>
        <v/>
      </c>
      <c r="AB765" s="34">
        <f>IF($J765="","",IFERROR(INDEX(코드설정!$D$5:$D$24,MATCH($J765,코드설정!$C$5:$C$24,0)),""))</f>
        <v/>
      </c>
      <c r="AC765" s="36" t="n"/>
      <c r="AD765" s="37" t="n"/>
      <c r="AE765" s="38" t="n"/>
      <c r="AF765" s="30">
        <f>IF(OR($B765="",$C765=""),"",$C765-$B765+1)</f>
        <v/>
      </c>
      <c r="AG765" s="32" t="n"/>
      <c r="AH765" s="36" t="n"/>
      <c r="AJ765">
        <f>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  <c r="AX765">
        <f>AW765&amp;IF($Y765="","",", "&amp;$Y765)</f>
        <v/>
      </c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0">
        <f>IF($F766="","",COUNTIF($F$5:$F766,$F766))</f>
        <v/>
      </c>
      <c r="H766" s="33">
        <f>IF($F766="","",IFERROR(INDEX(사건마스터!$B$5:$B$64,MATCH($F766,사건마스터!$A$5:$A$64,0)),""))</f>
        <v/>
      </c>
      <c r="I766" s="34">
        <f>IF($F766="","",IFERROR(INDEX(사건마스터!$C$5:$C$64,MATCH($F766,사건마스터!$A$5:$A$64,0)),""))</f>
        <v/>
      </c>
      <c r="J766" s="35">
        <f>IF($F766="","",IFERROR(INDEX(사건마스터!$H$5:$H$64,MATCH($F766,사건마스터!$A$5:$A$64,0)),""))</f>
        <v/>
      </c>
      <c r="K766" s="35">
        <f>IF($F766="","",IFERROR(INDEX(사건마스터!$AH$5:$AH$64,MATCH($F766,사건마스터!$A$5:$A$64,0)),""))</f>
        <v/>
      </c>
      <c r="L766" s="35">
        <f>IF($F766="","",IFERROR(INDEX(사건마스터!$AI$5:$AI$64,MATCH($F766,사건마스터!$A$5:$A$64,0)),""))</f>
        <v/>
      </c>
      <c r="M766" s="35">
        <f>IF($F766="","",IFERROR(INDEX(사건마스터!$AJ$5:$AJ$64,MATCH($F766,사건마스터!$A$5:$A$64,0)),""))</f>
        <v/>
      </c>
      <c r="N766" s="35">
        <f>IF($F766="","",IFERROR(INDEX(사건마스터!$AK$5:$AK$64,MATCH($F766,사건마스터!$A$5:$A$64,0)),""))</f>
        <v/>
      </c>
      <c r="O766" s="35">
        <f>IF($F766="","",IFERROR(INDEX(사건마스터!$AL$5:$AL$64,MATCH($F766,사건마스터!$A$5:$A$64,0)),""))</f>
        <v/>
      </c>
      <c r="P766" s="35">
        <f>IF($F766="","",IFERROR(INDEX(사건마스터!$AM$5:$AM$64,MATCH($F766,사건마스터!$A$5:$A$64,0)),""))</f>
        <v/>
      </c>
      <c r="Q766" s="35">
        <f>IF($F766="","",IFERROR(INDEX(사건마스터!$AN$5:$AN$64,MATCH($F766,사건마스터!$A$5:$A$64,0)),""))</f>
        <v/>
      </c>
      <c r="R766" s="35">
        <f>IF($F766="","",IFERROR(INDEX(사건마스터!$AO$5:$AO$64,MATCH($F766,사건마스터!$A$5:$A$64,0)),""))</f>
        <v/>
      </c>
      <c r="S766" s="35">
        <f>IF($F766="","",IFERROR(INDEX(사건마스터!$AP$5:$AP$64,MATCH($F766,사건마스터!$A$5:$A$64,0)),""))</f>
        <v/>
      </c>
      <c r="T766" s="35">
        <f>IF($F766="","",IFERROR(INDEX(사건마스터!$AQ$5:$AQ$64,MATCH($F766,사건마스터!$A$5:$A$64,0)),""))</f>
        <v/>
      </c>
      <c r="U766" s="35">
        <f>IF($F766="","",IFERROR(INDEX(사건마스터!$AR$5:$AR$64,MATCH($F766,사건마스터!$A$5:$A$64,0)),""))</f>
        <v/>
      </c>
      <c r="V766" s="35">
        <f>IF($F766="","",IFERROR(INDEX(사건마스터!$AS$5:$AS$64,MATCH($F766,사건마스터!$A$5:$A$64,0)),""))</f>
        <v/>
      </c>
      <c r="W766" s="35">
        <f>IF($F766="","",IFERROR(INDEX(사건마스터!$AT$5:$AT$64,MATCH($F766,사건마스터!$A$5:$A$64,0)),""))</f>
        <v/>
      </c>
      <c r="X766" s="35">
        <f>IF($F766="","",IFERROR(INDEX(사건마스터!$AU$5:$AU$64,MATCH($F766,사건마스터!$A$5:$A$64,0)),""))</f>
        <v/>
      </c>
      <c r="Y766" s="35">
        <f>IF($F766="","",IFERROR(INDEX(사건마스터!$AV$5:$AV$64,MATCH($F766,사건마스터!$A$5:$A$64,0)),""))</f>
        <v/>
      </c>
      <c r="Z766" s="30">
        <f>IF(COUNTBLANK($J766:$Y766)=16,"",16-COUNTBLANK($J766:$Y766))</f>
        <v/>
      </c>
      <c r="AA766" s="33">
        <f>IF($J766="",MID($AX766,3,255),$J766&amp;$AX766)</f>
        <v/>
      </c>
      <c r="AB766" s="34">
        <f>IF($J766="","",IFERROR(INDEX(코드설정!$D$5:$D$24,MATCH($J766,코드설정!$C$5:$C$24,0)),""))</f>
        <v/>
      </c>
      <c r="AC766" s="36" t="n"/>
      <c r="AD766" s="37" t="n"/>
      <c r="AE766" s="38" t="n"/>
      <c r="AF766" s="30">
        <f>IF(OR($B766="",$C766=""),"",$C766-$B766+1)</f>
        <v/>
      </c>
      <c r="AG766" s="32" t="n"/>
      <c r="AH766" s="36" t="n"/>
      <c r="AJ766">
        <f>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  <c r="AX766">
        <f>AW766&amp;IF($Y766="","",", "&amp;$Y766)</f>
        <v/>
      </c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0">
        <f>IF($F767="","",COUNTIF($F$5:$F767,$F767))</f>
        <v/>
      </c>
      <c r="H767" s="33">
        <f>IF($F767="","",IFERROR(INDEX(사건마스터!$B$5:$B$64,MATCH($F767,사건마스터!$A$5:$A$64,0)),""))</f>
        <v/>
      </c>
      <c r="I767" s="34">
        <f>IF($F767="","",IFERROR(INDEX(사건마스터!$C$5:$C$64,MATCH($F767,사건마스터!$A$5:$A$64,0)),""))</f>
        <v/>
      </c>
      <c r="J767" s="35">
        <f>IF($F767="","",IFERROR(INDEX(사건마스터!$H$5:$H$64,MATCH($F767,사건마스터!$A$5:$A$64,0)),""))</f>
        <v/>
      </c>
      <c r="K767" s="35">
        <f>IF($F767="","",IFERROR(INDEX(사건마스터!$AH$5:$AH$64,MATCH($F767,사건마스터!$A$5:$A$64,0)),""))</f>
        <v/>
      </c>
      <c r="L767" s="35">
        <f>IF($F767="","",IFERROR(INDEX(사건마스터!$AI$5:$AI$64,MATCH($F767,사건마스터!$A$5:$A$64,0)),""))</f>
        <v/>
      </c>
      <c r="M767" s="35">
        <f>IF($F767="","",IFERROR(INDEX(사건마스터!$AJ$5:$AJ$64,MATCH($F767,사건마스터!$A$5:$A$64,0)),""))</f>
        <v/>
      </c>
      <c r="N767" s="35">
        <f>IF($F767="","",IFERROR(INDEX(사건마스터!$AK$5:$AK$64,MATCH($F767,사건마스터!$A$5:$A$64,0)),""))</f>
        <v/>
      </c>
      <c r="O767" s="35">
        <f>IF($F767="","",IFERROR(INDEX(사건마스터!$AL$5:$AL$64,MATCH($F767,사건마스터!$A$5:$A$64,0)),""))</f>
        <v/>
      </c>
      <c r="P767" s="35">
        <f>IF($F767="","",IFERROR(INDEX(사건마스터!$AM$5:$AM$64,MATCH($F767,사건마스터!$A$5:$A$64,0)),""))</f>
        <v/>
      </c>
      <c r="Q767" s="35">
        <f>IF($F767="","",IFERROR(INDEX(사건마스터!$AN$5:$AN$64,MATCH($F767,사건마스터!$A$5:$A$64,0)),""))</f>
        <v/>
      </c>
      <c r="R767" s="35">
        <f>IF($F767="","",IFERROR(INDEX(사건마스터!$AO$5:$AO$64,MATCH($F767,사건마스터!$A$5:$A$64,0)),""))</f>
        <v/>
      </c>
      <c r="S767" s="35">
        <f>IF($F767="","",IFERROR(INDEX(사건마스터!$AP$5:$AP$64,MATCH($F767,사건마스터!$A$5:$A$64,0)),""))</f>
        <v/>
      </c>
      <c r="T767" s="35">
        <f>IF($F767="","",IFERROR(INDEX(사건마스터!$AQ$5:$AQ$64,MATCH($F767,사건마스터!$A$5:$A$64,0)),""))</f>
        <v/>
      </c>
      <c r="U767" s="35">
        <f>IF($F767="","",IFERROR(INDEX(사건마스터!$AR$5:$AR$64,MATCH($F767,사건마스터!$A$5:$A$64,0)),""))</f>
        <v/>
      </c>
      <c r="V767" s="35">
        <f>IF($F767="","",IFERROR(INDEX(사건마스터!$AS$5:$AS$64,MATCH($F767,사건마스터!$A$5:$A$64,0)),""))</f>
        <v/>
      </c>
      <c r="W767" s="35">
        <f>IF($F767="","",IFERROR(INDEX(사건마스터!$AT$5:$AT$64,MATCH($F767,사건마스터!$A$5:$A$64,0)),""))</f>
        <v/>
      </c>
      <c r="X767" s="35">
        <f>IF($F767="","",IFERROR(INDEX(사건마스터!$AU$5:$AU$64,MATCH($F767,사건마스터!$A$5:$A$64,0)),""))</f>
        <v/>
      </c>
      <c r="Y767" s="35">
        <f>IF($F767="","",IFERROR(INDEX(사건마스터!$AV$5:$AV$64,MATCH($F767,사건마스터!$A$5:$A$64,0)),""))</f>
        <v/>
      </c>
      <c r="Z767" s="30">
        <f>IF(COUNTBLANK($J767:$Y767)=16,"",16-COUNTBLANK($J767:$Y767))</f>
        <v/>
      </c>
      <c r="AA767" s="33">
        <f>IF($J767="",MID($AX767,3,255),$J767&amp;$AX767)</f>
        <v/>
      </c>
      <c r="AB767" s="34">
        <f>IF($J767="","",IFERROR(INDEX(코드설정!$D$5:$D$24,MATCH($J767,코드설정!$C$5:$C$24,0)),""))</f>
        <v/>
      </c>
      <c r="AC767" s="36" t="n"/>
      <c r="AD767" s="37" t="n"/>
      <c r="AE767" s="38" t="n"/>
      <c r="AF767" s="30">
        <f>IF(OR($B767="",$C767=""),"",$C767-$B767+1)</f>
        <v/>
      </c>
      <c r="AG767" s="32" t="n"/>
      <c r="AH767" s="36" t="n"/>
      <c r="AJ767">
        <f>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  <c r="AX767">
        <f>AW767&amp;IF($Y767="","",", "&amp;$Y767)</f>
        <v/>
      </c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0">
        <f>IF($F768="","",COUNTIF($F$5:$F768,$F768))</f>
        <v/>
      </c>
      <c r="H768" s="33">
        <f>IF($F768="","",IFERROR(INDEX(사건마스터!$B$5:$B$64,MATCH($F768,사건마스터!$A$5:$A$64,0)),""))</f>
        <v/>
      </c>
      <c r="I768" s="34">
        <f>IF($F768="","",IFERROR(INDEX(사건마스터!$C$5:$C$64,MATCH($F768,사건마스터!$A$5:$A$64,0)),""))</f>
        <v/>
      </c>
      <c r="J768" s="35">
        <f>IF($F768="","",IFERROR(INDEX(사건마스터!$H$5:$H$64,MATCH($F768,사건마스터!$A$5:$A$64,0)),""))</f>
        <v/>
      </c>
      <c r="K768" s="35">
        <f>IF($F768="","",IFERROR(INDEX(사건마스터!$AH$5:$AH$64,MATCH($F768,사건마스터!$A$5:$A$64,0)),""))</f>
        <v/>
      </c>
      <c r="L768" s="35">
        <f>IF($F768="","",IFERROR(INDEX(사건마스터!$AI$5:$AI$64,MATCH($F768,사건마스터!$A$5:$A$64,0)),""))</f>
        <v/>
      </c>
      <c r="M768" s="35">
        <f>IF($F768="","",IFERROR(INDEX(사건마스터!$AJ$5:$AJ$64,MATCH($F768,사건마스터!$A$5:$A$64,0)),""))</f>
        <v/>
      </c>
      <c r="N768" s="35">
        <f>IF($F768="","",IFERROR(INDEX(사건마스터!$AK$5:$AK$64,MATCH($F768,사건마스터!$A$5:$A$64,0)),""))</f>
        <v/>
      </c>
      <c r="O768" s="35">
        <f>IF($F768="","",IFERROR(INDEX(사건마스터!$AL$5:$AL$64,MATCH($F768,사건마스터!$A$5:$A$64,0)),""))</f>
        <v/>
      </c>
      <c r="P768" s="35">
        <f>IF($F768="","",IFERROR(INDEX(사건마스터!$AM$5:$AM$64,MATCH($F768,사건마스터!$A$5:$A$64,0)),""))</f>
        <v/>
      </c>
      <c r="Q768" s="35">
        <f>IF($F768="","",IFERROR(INDEX(사건마스터!$AN$5:$AN$64,MATCH($F768,사건마스터!$A$5:$A$64,0)),""))</f>
        <v/>
      </c>
      <c r="R768" s="35">
        <f>IF($F768="","",IFERROR(INDEX(사건마스터!$AO$5:$AO$64,MATCH($F768,사건마스터!$A$5:$A$64,0)),""))</f>
        <v/>
      </c>
      <c r="S768" s="35">
        <f>IF($F768="","",IFERROR(INDEX(사건마스터!$AP$5:$AP$64,MATCH($F768,사건마스터!$A$5:$A$64,0)),""))</f>
        <v/>
      </c>
      <c r="T768" s="35">
        <f>IF($F768="","",IFERROR(INDEX(사건마스터!$AQ$5:$AQ$64,MATCH($F768,사건마스터!$A$5:$A$64,0)),""))</f>
        <v/>
      </c>
      <c r="U768" s="35">
        <f>IF($F768="","",IFERROR(INDEX(사건마스터!$AR$5:$AR$64,MATCH($F768,사건마스터!$A$5:$A$64,0)),""))</f>
        <v/>
      </c>
      <c r="V768" s="35">
        <f>IF($F768="","",IFERROR(INDEX(사건마스터!$AS$5:$AS$64,MATCH($F768,사건마스터!$A$5:$A$64,0)),""))</f>
        <v/>
      </c>
      <c r="W768" s="35">
        <f>IF($F768="","",IFERROR(INDEX(사건마스터!$AT$5:$AT$64,MATCH($F768,사건마스터!$A$5:$A$64,0)),""))</f>
        <v/>
      </c>
      <c r="X768" s="35">
        <f>IF($F768="","",IFERROR(INDEX(사건마스터!$AU$5:$AU$64,MATCH($F768,사건마스터!$A$5:$A$64,0)),""))</f>
        <v/>
      </c>
      <c r="Y768" s="35">
        <f>IF($F768="","",IFERROR(INDEX(사건마스터!$AV$5:$AV$64,MATCH($F768,사건마스터!$A$5:$A$64,0)),""))</f>
        <v/>
      </c>
      <c r="Z768" s="30">
        <f>IF(COUNTBLANK($J768:$Y768)=16,"",16-COUNTBLANK($J768:$Y768))</f>
        <v/>
      </c>
      <c r="AA768" s="33">
        <f>IF($J768="",MID($AX768,3,255),$J768&amp;$AX768)</f>
        <v/>
      </c>
      <c r="AB768" s="34">
        <f>IF($J768="","",IFERROR(INDEX(코드설정!$D$5:$D$24,MATCH($J768,코드설정!$C$5:$C$24,0)),""))</f>
        <v/>
      </c>
      <c r="AC768" s="36" t="n"/>
      <c r="AD768" s="37" t="n"/>
      <c r="AE768" s="38" t="n"/>
      <c r="AF768" s="30">
        <f>IF(OR($B768="",$C768=""),"",$C768-$B768+1)</f>
        <v/>
      </c>
      <c r="AG768" s="32" t="n"/>
      <c r="AH768" s="36" t="n"/>
      <c r="AJ768">
        <f>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  <c r="AX768">
        <f>AW768&amp;IF($Y768="","",", "&amp;$Y768)</f>
        <v/>
      </c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0">
        <f>IF($F769="","",COUNTIF($F$5:$F769,$F769))</f>
        <v/>
      </c>
      <c r="H769" s="33">
        <f>IF($F769="","",IFERROR(INDEX(사건마스터!$B$5:$B$64,MATCH($F769,사건마스터!$A$5:$A$64,0)),""))</f>
        <v/>
      </c>
      <c r="I769" s="34">
        <f>IF($F769="","",IFERROR(INDEX(사건마스터!$C$5:$C$64,MATCH($F769,사건마스터!$A$5:$A$64,0)),""))</f>
        <v/>
      </c>
      <c r="J769" s="35">
        <f>IF($F769="","",IFERROR(INDEX(사건마스터!$H$5:$H$64,MATCH($F769,사건마스터!$A$5:$A$64,0)),""))</f>
        <v/>
      </c>
      <c r="K769" s="35">
        <f>IF($F769="","",IFERROR(INDEX(사건마스터!$AH$5:$AH$64,MATCH($F769,사건마스터!$A$5:$A$64,0)),""))</f>
        <v/>
      </c>
      <c r="L769" s="35">
        <f>IF($F769="","",IFERROR(INDEX(사건마스터!$AI$5:$AI$64,MATCH($F769,사건마스터!$A$5:$A$64,0)),""))</f>
        <v/>
      </c>
      <c r="M769" s="35">
        <f>IF($F769="","",IFERROR(INDEX(사건마스터!$AJ$5:$AJ$64,MATCH($F769,사건마스터!$A$5:$A$64,0)),""))</f>
        <v/>
      </c>
      <c r="N769" s="35">
        <f>IF($F769="","",IFERROR(INDEX(사건마스터!$AK$5:$AK$64,MATCH($F769,사건마스터!$A$5:$A$64,0)),""))</f>
        <v/>
      </c>
      <c r="O769" s="35">
        <f>IF($F769="","",IFERROR(INDEX(사건마스터!$AL$5:$AL$64,MATCH($F769,사건마스터!$A$5:$A$64,0)),""))</f>
        <v/>
      </c>
      <c r="P769" s="35">
        <f>IF($F769="","",IFERROR(INDEX(사건마스터!$AM$5:$AM$64,MATCH($F769,사건마스터!$A$5:$A$64,0)),""))</f>
        <v/>
      </c>
      <c r="Q769" s="35">
        <f>IF($F769="","",IFERROR(INDEX(사건마스터!$AN$5:$AN$64,MATCH($F769,사건마스터!$A$5:$A$64,0)),""))</f>
        <v/>
      </c>
      <c r="R769" s="35">
        <f>IF($F769="","",IFERROR(INDEX(사건마스터!$AO$5:$AO$64,MATCH($F769,사건마스터!$A$5:$A$64,0)),""))</f>
        <v/>
      </c>
      <c r="S769" s="35">
        <f>IF($F769="","",IFERROR(INDEX(사건마스터!$AP$5:$AP$64,MATCH($F769,사건마스터!$A$5:$A$64,0)),""))</f>
        <v/>
      </c>
      <c r="T769" s="35">
        <f>IF($F769="","",IFERROR(INDEX(사건마스터!$AQ$5:$AQ$64,MATCH($F769,사건마스터!$A$5:$A$64,0)),""))</f>
        <v/>
      </c>
      <c r="U769" s="35">
        <f>IF($F769="","",IFERROR(INDEX(사건마스터!$AR$5:$AR$64,MATCH($F769,사건마스터!$A$5:$A$64,0)),""))</f>
        <v/>
      </c>
      <c r="V769" s="35">
        <f>IF($F769="","",IFERROR(INDEX(사건마스터!$AS$5:$AS$64,MATCH($F769,사건마스터!$A$5:$A$64,0)),""))</f>
        <v/>
      </c>
      <c r="W769" s="35">
        <f>IF($F769="","",IFERROR(INDEX(사건마스터!$AT$5:$AT$64,MATCH($F769,사건마스터!$A$5:$A$64,0)),""))</f>
        <v/>
      </c>
      <c r="X769" s="35">
        <f>IF($F769="","",IFERROR(INDEX(사건마스터!$AU$5:$AU$64,MATCH($F769,사건마스터!$A$5:$A$64,0)),""))</f>
        <v/>
      </c>
      <c r="Y769" s="35">
        <f>IF($F769="","",IFERROR(INDEX(사건마스터!$AV$5:$AV$64,MATCH($F769,사건마스터!$A$5:$A$64,0)),""))</f>
        <v/>
      </c>
      <c r="Z769" s="30">
        <f>IF(COUNTBLANK($J769:$Y769)=16,"",16-COUNTBLANK($J769:$Y769))</f>
        <v/>
      </c>
      <c r="AA769" s="33">
        <f>IF($J769="",MID($AX769,3,255),$J769&amp;$AX769)</f>
        <v/>
      </c>
      <c r="AB769" s="34">
        <f>IF($J769="","",IFERROR(INDEX(코드설정!$D$5:$D$24,MATCH($J769,코드설정!$C$5:$C$24,0)),""))</f>
        <v/>
      </c>
      <c r="AC769" s="36" t="n"/>
      <c r="AD769" s="37" t="n"/>
      <c r="AE769" s="38" t="n"/>
      <c r="AF769" s="30">
        <f>IF(OR($B769="",$C769=""),"",$C769-$B769+1)</f>
        <v/>
      </c>
      <c r="AG769" s="32" t="n"/>
      <c r="AH769" s="36" t="n"/>
      <c r="AJ769">
        <f>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  <c r="AX769">
        <f>AW769&amp;IF($Y769="","",", "&amp;$Y769)</f>
        <v/>
      </c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0">
        <f>IF($F770="","",COUNTIF($F$5:$F770,$F770))</f>
        <v/>
      </c>
      <c r="H770" s="33">
        <f>IF($F770="","",IFERROR(INDEX(사건마스터!$B$5:$B$64,MATCH($F770,사건마스터!$A$5:$A$64,0)),""))</f>
        <v/>
      </c>
      <c r="I770" s="34">
        <f>IF($F770="","",IFERROR(INDEX(사건마스터!$C$5:$C$64,MATCH($F770,사건마스터!$A$5:$A$64,0)),""))</f>
        <v/>
      </c>
      <c r="J770" s="35">
        <f>IF($F770="","",IFERROR(INDEX(사건마스터!$H$5:$H$64,MATCH($F770,사건마스터!$A$5:$A$64,0)),""))</f>
        <v/>
      </c>
      <c r="K770" s="35">
        <f>IF($F770="","",IFERROR(INDEX(사건마스터!$AH$5:$AH$64,MATCH($F770,사건마스터!$A$5:$A$64,0)),""))</f>
        <v/>
      </c>
      <c r="L770" s="35">
        <f>IF($F770="","",IFERROR(INDEX(사건마스터!$AI$5:$AI$64,MATCH($F770,사건마스터!$A$5:$A$64,0)),""))</f>
        <v/>
      </c>
      <c r="M770" s="35">
        <f>IF($F770="","",IFERROR(INDEX(사건마스터!$AJ$5:$AJ$64,MATCH($F770,사건마스터!$A$5:$A$64,0)),""))</f>
        <v/>
      </c>
      <c r="N770" s="35">
        <f>IF($F770="","",IFERROR(INDEX(사건마스터!$AK$5:$AK$64,MATCH($F770,사건마스터!$A$5:$A$64,0)),""))</f>
        <v/>
      </c>
      <c r="O770" s="35">
        <f>IF($F770="","",IFERROR(INDEX(사건마스터!$AL$5:$AL$64,MATCH($F770,사건마스터!$A$5:$A$64,0)),""))</f>
        <v/>
      </c>
      <c r="P770" s="35">
        <f>IF($F770="","",IFERROR(INDEX(사건마스터!$AM$5:$AM$64,MATCH($F770,사건마스터!$A$5:$A$64,0)),""))</f>
        <v/>
      </c>
      <c r="Q770" s="35">
        <f>IF($F770="","",IFERROR(INDEX(사건마스터!$AN$5:$AN$64,MATCH($F770,사건마스터!$A$5:$A$64,0)),""))</f>
        <v/>
      </c>
      <c r="R770" s="35">
        <f>IF($F770="","",IFERROR(INDEX(사건마스터!$AO$5:$AO$64,MATCH($F770,사건마스터!$A$5:$A$64,0)),""))</f>
        <v/>
      </c>
      <c r="S770" s="35">
        <f>IF($F770="","",IFERROR(INDEX(사건마스터!$AP$5:$AP$64,MATCH($F770,사건마스터!$A$5:$A$64,0)),""))</f>
        <v/>
      </c>
      <c r="T770" s="35">
        <f>IF($F770="","",IFERROR(INDEX(사건마스터!$AQ$5:$AQ$64,MATCH($F770,사건마스터!$A$5:$A$64,0)),""))</f>
        <v/>
      </c>
      <c r="U770" s="35">
        <f>IF($F770="","",IFERROR(INDEX(사건마스터!$AR$5:$AR$64,MATCH($F770,사건마스터!$A$5:$A$64,0)),""))</f>
        <v/>
      </c>
      <c r="V770" s="35">
        <f>IF($F770="","",IFERROR(INDEX(사건마스터!$AS$5:$AS$64,MATCH($F770,사건마스터!$A$5:$A$64,0)),""))</f>
        <v/>
      </c>
      <c r="W770" s="35">
        <f>IF($F770="","",IFERROR(INDEX(사건마스터!$AT$5:$AT$64,MATCH($F770,사건마스터!$A$5:$A$64,0)),""))</f>
        <v/>
      </c>
      <c r="X770" s="35">
        <f>IF($F770="","",IFERROR(INDEX(사건마스터!$AU$5:$AU$64,MATCH($F770,사건마스터!$A$5:$A$64,0)),""))</f>
        <v/>
      </c>
      <c r="Y770" s="35">
        <f>IF($F770="","",IFERROR(INDEX(사건마스터!$AV$5:$AV$64,MATCH($F770,사건마스터!$A$5:$A$64,0)),""))</f>
        <v/>
      </c>
      <c r="Z770" s="30">
        <f>IF(COUNTBLANK($J770:$Y770)=16,"",16-COUNTBLANK($J770:$Y770))</f>
        <v/>
      </c>
      <c r="AA770" s="33">
        <f>IF($J770="",MID($AX770,3,255),$J770&amp;$AX770)</f>
        <v/>
      </c>
      <c r="AB770" s="34">
        <f>IF($J770="","",IFERROR(INDEX(코드설정!$D$5:$D$24,MATCH($J770,코드설정!$C$5:$C$24,0)),""))</f>
        <v/>
      </c>
      <c r="AC770" s="36" t="n"/>
      <c r="AD770" s="37" t="n"/>
      <c r="AE770" s="38" t="n"/>
      <c r="AF770" s="30">
        <f>IF(OR($B770="",$C770=""),"",$C770-$B770+1)</f>
        <v/>
      </c>
      <c r="AG770" s="32" t="n"/>
      <c r="AH770" s="36" t="n"/>
      <c r="AJ770">
        <f>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  <c r="AX770">
        <f>AW770&amp;IF($Y770="","",", "&amp;$Y770)</f>
        <v/>
      </c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0">
        <f>IF($F771="","",COUNTIF($F$5:$F771,$F771))</f>
        <v/>
      </c>
      <c r="H771" s="33">
        <f>IF($F771="","",IFERROR(INDEX(사건마스터!$B$5:$B$64,MATCH($F771,사건마스터!$A$5:$A$64,0)),""))</f>
        <v/>
      </c>
      <c r="I771" s="34">
        <f>IF($F771="","",IFERROR(INDEX(사건마스터!$C$5:$C$64,MATCH($F771,사건마스터!$A$5:$A$64,0)),""))</f>
        <v/>
      </c>
      <c r="J771" s="35">
        <f>IF($F771="","",IFERROR(INDEX(사건마스터!$H$5:$H$64,MATCH($F771,사건마스터!$A$5:$A$64,0)),""))</f>
        <v/>
      </c>
      <c r="K771" s="35">
        <f>IF($F771="","",IFERROR(INDEX(사건마스터!$AH$5:$AH$64,MATCH($F771,사건마스터!$A$5:$A$64,0)),""))</f>
        <v/>
      </c>
      <c r="L771" s="35">
        <f>IF($F771="","",IFERROR(INDEX(사건마스터!$AI$5:$AI$64,MATCH($F771,사건마스터!$A$5:$A$64,0)),""))</f>
        <v/>
      </c>
      <c r="M771" s="35">
        <f>IF($F771="","",IFERROR(INDEX(사건마스터!$AJ$5:$AJ$64,MATCH($F771,사건마스터!$A$5:$A$64,0)),""))</f>
        <v/>
      </c>
      <c r="N771" s="35">
        <f>IF($F771="","",IFERROR(INDEX(사건마스터!$AK$5:$AK$64,MATCH($F771,사건마스터!$A$5:$A$64,0)),""))</f>
        <v/>
      </c>
      <c r="O771" s="35">
        <f>IF($F771="","",IFERROR(INDEX(사건마스터!$AL$5:$AL$64,MATCH($F771,사건마스터!$A$5:$A$64,0)),""))</f>
        <v/>
      </c>
      <c r="P771" s="35">
        <f>IF($F771="","",IFERROR(INDEX(사건마스터!$AM$5:$AM$64,MATCH($F771,사건마스터!$A$5:$A$64,0)),""))</f>
        <v/>
      </c>
      <c r="Q771" s="35">
        <f>IF($F771="","",IFERROR(INDEX(사건마스터!$AN$5:$AN$64,MATCH($F771,사건마스터!$A$5:$A$64,0)),""))</f>
        <v/>
      </c>
      <c r="R771" s="35">
        <f>IF($F771="","",IFERROR(INDEX(사건마스터!$AO$5:$AO$64,MATCH($F771,사건마스터!$A$5:$A$64,0)),""))</f>
        <v/>
      </c>
      <c r="S771" s="35">
        <f>IF($F771="","",IFERROR(INDEX(사건마스터!$AP$5:$AP$64,MATCH($F771,사건마스터!$A$5:$A$64,0)),""))</f>
        <v/>
      </c>
      <c r="T771" s="35">
        <f>IF($F771="","",IFERROR(INDEX(사건마스터!$AQ$5:$AQ$64,MATCH($F771,사건마스터!$A$5:$A$64,0)),""))</f>
        <v/>
      </c>
      <c r="U771" s="35">
        <f>IF($F771="","",IFERROR(INDEX(사건마스터!$AR$5:$AR$64,MATCH($F771,사건마스터!$A$5:$A$64,0)),""))</f>
        <v/>
      </c>
      <c r="V771" s="35">
        <f>IF($F771="","",IFERROR(INDEX(사건마스터!$AS$5:$AS$64,MATCH($F771,사건마스터!$A$5:$A$64,0)),""))</f>
        <v/>
      </c>
      <c r="W771" s="35">
        <f>IF($F771="","",IFERROR(INDEX(사건마스터!$AT$5:$AT$64,MATCH($F771,사건마스터!$A$5:$A$64,0)),""))</f>
        <v/>
      </c>
      <c r="X771" s="35">
        <f>IF($F771="","",IFERROR(INDEX(사건마스터!$AU$5:$AU$64,MATCH($F771,사건마스터!$A$5:$A$64,0)),""))</f>
        <v/>
      </c>
      <c r="Y771" s="35">
        <f>IF($F771="","",IFERROR(INDEX(사건마스터!$AV$5:$AV$64,MATCH($F771,사건마스터!$A$5:$A$64,0)),""))</f>
        <v/>
      </c>
      <c r="Z771" s="30">
        <f>IF(COUNTBLANK($J771:$Y771)=16,"",16-COUNTBLANK($J771:$Y771))</f>
        <v/>
      </c>
      <c r="AA771" s="33">
        <f>IF($J771="",MID($AX771,3,255),$J771&amp;$AX771)</f>
        <v/>
      </c>
      <c r="AB771" s="34">
        <f>IF($J771="","",IFERROR(INDEX(코드설정!$D$5:$D$24,MATCH($J771,코드설정!$C$5:$C$24,0)),""))</f>
        <v/>
      </c>
      <c r="AC771" s="36" t="n"/>
      <c r="AD771" s="37" t="n"/>
      <c r="AE771" s="38" t="n"/>
      <c r="AF771" s="30">
        <f>IF(OR($B771="",$C771=""),"",$C771-$B771+1)</f>
        <v/>
      </c>
      <c r="AG771" s="32" t="n"/>
      <c r="AH771" s="36" t="n"/>
      <c r="AJ771">
        <f>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  <c r="AX771">
        <f>AW771&amp;IF($Y771="","",", "&amp;$Y771)</f>
        <v/>
      </c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0">
        <f>IF($F772="","",COUNTIF($F$5:$F772,$F772))</f>
        <v/>
      </c>
      <c r="H772" s="33">
        <f>IF($F772="","",IFERROR(INDEX(사건마스터!$B$5:$B$64,MATCH($F772,사건마스터!$A$5:$A$64,0)),""))</f>
        <v/>
      </c>
      <c r="I772" s="34">
        <f>IF($F772="","",IFERROR(INDEX(사건마스터!$C$5:$C$64,MATCH($F772,사건마스터!$A$5:$A$64,0)),""))</f>
        <v/>
      </c>
      <c r="J772" s="35">
        <f>IF($F772="","",IFERROR(INDEX(사건마스터!$H$5:$H$64,MATCH($F772,사건마스터!$A$5:$A$64,0)),""))</f>
        <v/>
      </c>
      <c r="K772" s="35">
        <f>IF($F772="","",IFERROR(INDEX(사건마스터!$AH$5:$AH$64,MATCH($F772,사건마스터!$A$5:$A$64,0)),""))</f>
        <v/>
      </c>
      <c r="L772" s="35">
        <f>IF($F772="","",IFERROR(INDEX(사건마스터!$AI$5:$AI$64,MATCH($F772,사건마스터!$A$5:$A$64,0)),""))</f>
        <v/>
      </c>
      <c r="M772" s="35">
        <f>IF($F772="","",IFERROR(INDEX(사건마스터!$AJ$5:$AJ$64,MATCH($F772,사건마스터!$A$5:$A$64,0)),""))</f>
        <v/>
      </c>
      <c r="N772" s="35">
        <f>IF($F772="","",IFERROR(INDEX(사건마스터!$AK$5:$AK$64,MATCH($F772,사건마스터!$A$5:$A$64,0)),""))</f>
        <v/>
      </c>
      <c r="O772" s="35">
        <f>IF($F772="","",IFERROR(INDEX(사건마스터!$AL$5:$AL$64,MATCH($F772,사건마스터!$A$5:$A$64,0)),""))</f>
        <v/>
      </c>
      <c r="P772" s="35">
        <f>IF($F772="","",IFERROR(INDEX(사건마스터!$AM$5:$AM$64,MATCH($F772,사건마스터!$A$5:$A$64,0)),""))</f>
        <v/>
      </c>
      <c r="Q772" s="35">
        <f>IF($F772="","",IFERROR(INDEX(사건마스터!$AN$5:$AN$64,MATCH($F772,사건마스터!$A$5:$A$64,0)),""))</f>
        <v/>
      </c>
      <c r="R772" s="35">
        <f>IF($F772="","",IFERROR(INDEX(사건마스터!$AO$5:$AO$64,MATCH($F772,사건마스터!$A$5:$A$64,0)),""))</f>
        <v/>
      </c>
      <c r="S772" s="35">
        <f>IF($F772="","",IFERROR(INDEX(사건마스터!$AP$5:$AP$64,MATCH($F772,사건마스터!$A$5:$A$64,0)),""))</f>
        <v/>
      </c>
      <c r="T772" s="35">
        <f>IF($F772="","",IFERROR(INDEX(사건마스터!$AQ$5:$AQ$64,MATCH($F772,사건마스터!$A$5:$A$64,0)),""))</f>
        <v/>
      </c>
      <c r="U772" s="35">
        <f>IF($F772="","",IFERROR(INDEX(사건마스터!$AR$5:$AR$64,MATCH($F772,사건마스터!$A$5:$A$64,0)),""))</f>
        <v/>
      </c>
      <c r="V772" s="35">
        <f>IF($F772="","",IFERROR(INDEX(사건마스터!$AS$5:$AS$64,MATCH($F772,사건마스터!$A$5:$A$64,0)),""))</f>
        <v/>
      </c>
      <c r="W772" s="35">
        <f>IF($F772="","",IFERROR(INDEX(사건마스터!$AT$5:$AT$64,MATCH($F772,사건마스터!$A$5:$A$64,0)),""))</f>
        <v/>
      </c>
      <c r="X772" s="35">
        <f>IF($F772="","",IFERROR(INDEX(사건마스터!$AU$5:$AU$64,MATCH($F772,사건마스터!$A$5:$A$64,0)),""))</f>
        <v/>
      </c>
      <c r="Y772" s="35">
        <f>IF($F772="","",IFERROR(INDEX(사건마스터!$AV$5:$AV$64,MATCH($F772,사건마스터!$A$5:$A$64,0)),""))</f>
        <v/>
      </c>
      <c r="Z772" s="30">
        <f>IF(COUNTBLANK($J772:$Y772)=16,"",16-COUNTBLANK($J772:$Y772))</f>
        <v/>
      </c>
      <c r="AA772" s="33">
        <f>IF($J772="",MID($AX772,3,255),$J772&amp;$AX772)</f>
        <v/>
      </c>
      <c r="AB772" s="34">
        <f>IF($J772="","",IFERROR(INDEX(코드설정!$D$5:$D$24,MATCH($J772,코드설정!$C$5:$C$24,0)),""))</f>
        <v/>
      </c>
      <c r="AC772" s="36" t="n"/>
      <c r="AD772" s="37" t="n"/>
      <c r="AE772" s="38" t="n"/>
      <c r="AF772" s="30">
        <f>IF(OR($B772="",$C772=""),"",$C772-$B772+1)</f>
        <v/>
      </c>
      <c r="AG772" s="32" t="n"/>
      <c r="AH772" s="36" t="n"/>
      <c r="AJ772">
        <f>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  <c r="AX772">
        <f>AW772&amp;IF($Y772="","",", "&amp;$Y772)</f>
        <v/>
      </c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0">
        <f>IF($F773="","",COUNTIF($F$5:$F773,$F773))</f>
        <v/>
      </c>
      <c r="H773" s="33">
        <f>IF($F773="","",IFERROR(INDEX(사건마스터!$B$5:$B$64,MATCH($F773,사건마스터!$A$5:$A$64,0)),""))</f>
        <v/>
      </c>
      <c r="I773" s="34">
        <f>IF($F773="","",IFERROR(INDEX(사건마스터!$C$5:$C$64,MATCH($F773,사건마스터!$A$5:$A$64,0)),""))</f>
        <v/>
      </c>
      <c r="J773" s="35">
        <f>IF($F773="","",IFERROR(INDEX(사건마스터!$H$5:$H$64,MATCH($F773,사건마스터!$A$5:$A$64,0)),""))</f>
        <v/>
      </c>
      <c r="K773" s="35">
        <f>IF($F773="","",IFERROR(INDEX(사건마스터!$AH$5:$AH$64,MATCH($F773,사건마스터!$A$5:$A$64,0)),""))</f>
        <v/>
      </c>
      <c r="L773" s="35">
        <f>IF($F773="","",IFERROR(INDEX(사건마스터!$AI$5:$AI$64,MATCH($F773,사건마스터!$A$5:$A$64,0)),""))</f>
        <v/>
      </c>
      <c r="M773" s="35">
        <f>IF($F773="","",IFERROR(INDEX(사건마스터!$AJ$5:$AJ$64,MATCH($F773,사건마스터!$A$5:$A$64,0)),""))</f>
        <v/>
      </c>
      <c r="N773" s="35">
        <f>IF($F773="","",IFERROR(INDEX(사건마스터!$AK$5:$AK$64,MATCH($F773,사건마스터!$A$5:$A$64,0)),""))</f>
        <v/>
      </c>
      <c r="O773" s="35">
        <f>IF($F773="","",IFERROR(INDEX(사건마스터!$AL$5:$AL$64,MATCH($F773,사건마스터!$A$5:$A$64,0)),""))</f>
        <v/>
      </c>
      <c r="P773" s="35">
        <f>IF($F773="","",IFERROR(INDEX(사건마스터!$AM$5:$AM$64,MATCH($F773,사건마스터!$A$5:$A$64,0)),""))</f>
        <v/>
      </c>
      <c r="Q773" s="35">
        <f>IF($F773="","",IFERROR(INDEX(사건마스터!$AN$5:$AN$64,MATCH($F773,사건마스터!$A$5:$A$64,0)),""))</f>
        <v/>
      </c>
      <c r="R773" s="35">
        <f>IF($F773="","",IFERROR(INDEX(사건마스터!$AO$5:$AO$64,MATCH($F773,사건마스터!$A$5:$A$64,0)),""))</f>
        <v/>
      </c>
      <c r="S773" s="35">
        <f>IF($F773="","",IFERROR(INDEX(사건마스터!$AP$5:$AP$64,MATCH($F773,사건마스터!$A$5:$A$64,0)),""))</f>
        <v/>
      </c>
      <c r="T773" s="35">
        <f>IF($F773="","",IFERROR(INDEX(사건마스터!$AQ$5:$AQ$64,MATCH($F773,사건마스터!$A$5:$A$64,0)),""))</f>
        <v/>
      </c>
      <c r="U773" s="35">
        <f>IF($F773="","",IFERROR(INDEX(사건마스터!$AR$5:$AR$64,MATCH($F773,사건마스터!$A$5:$A$64,0)),""))</f>
        <v/>
      </c>
      <c r="V773" s="35">
        <f>IF($F773="","",IFERROR(INDEX(사건마스터!$AS$5:$AS$64,MATCH($F773,사건마스터!$A$5:$A$64,0)),""))</f>
        <v/>
      </c>
      <c r="W773" s="35">
        <f>IF($F773="","",IFERROR(INDEX(사건마스터!$AT$5:$AT$64,MATCH($F773,사건마스터!$A$5:$A$64,0)),""))</f>
        <v/>
      </c>
      <c r="X773" s="35">
        <f>IF($F773="","",IFERROR(INDEX(사건마스터!$AU$5:$AU$64,MATCH($F773,사건마스터!$A$5:$A$64,0)),""))</f>
        <v/>
      </c>
      <c r="Y773" s="35">
        <f>IF($F773="","",IFERROR(INDEX(사건마스터!$AV$5:$AV$64,MATCH($F773,사건마스터!$A$5:$A$64,0)),""))</f>
        <v/>
      </c>
      <c r="Z773" s="30">
        <f>IF(COUNTBLANK($J773:$Y773)=16,"",16-COUNTBLANK($J773:$Y773))</f>
        <v/>
      </c>
      <c r="AA773" s="33">
        <f>IF($J773="",MID($AX773,3,255),$J773&amp;$AX773)</f>
        <v/>
      </c>
      <c r="AB773" s="34">
        <f>IF($J773="","",IFERROR(INDEX(코드설정!$D$5:$D$24,MATCH($J773,코드설정!$C$5:$C$24,0)),""))</f>
        <v/>
      </c>
      <c r="AC773" s="36" t="n"/>
      <c r="AD773" s="37" t="n"/>
      <c r="AE773" s="38" t="n"/>
      <c r="AF773" s="30">
        <f>IF(OR($B773="",$C773=""),"",$C773-$B773+1)</f>
        <v/>
      </c>
      <c r="AG773" s="32" t="n"/>
      <c r="AH773" s="36" t="n"/>
      <c r="AJ773">
        <f>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  <c r="AX773">
        <f>AW773&amp;IF($Y773="","",", "&amp;$Y773)</f>
        <v/>
      </c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0">
        <f>IF($F774="","",COUNTIF($F$5:$F774,$F774))</f>
        <v/>
      </c>
      <c r="H774" s="33">
        <f>IF($F774="","",IFERROR(INDEX(사건마스터!$B$5:$B$64,MATCH($F774,사건마스터!$A$5:$A$64,0)),""))</f>
        <v/>
      </c>
      <c r="I774" s="34">
        <f>IF($F774="","",IFERROR(INDEX(사건마스터!$C$5:$C$64,MATCH($F774,사건마스터!$A$5:$A$64,0)),""))</f>
        <v/>
      </c>
      <c r="J774" s="35">
        <f>IF($F774="","",IFERROR(INDEX(사건마스터!$H$5:$H$64,MATCH($F774,사건마스터!$A$5:$A$64,0)),""))</f>
        <v/>
      </c>
      <c r="K774" s="35">
        <f>IF($F774="","",IFERROR(INDEX(사건마스터!$AH$5:$AH$64,MATCH($F774,사건마스터!$A$5:$A$64,0)),""))</f>
        <v/>
      </c>
      <c r="L774" s="35">
        <f>IF($F774="","",IFERROR(INDEX(사건마스터!$AI$5:$AI$64,MATCH($F774,사건마스터!$A$5:$A$64,0)),""))</f>
        <v/>
      </c>
      <c r="M774" s="35">
        <f>IF($F774="","",IFERROR(INDEX(사건마스터!$AJ$5:$AJ$64,MATCH($F774,사건마스터!$A$5:$A$64,0)),""))</f>
        <v/>
      </c>
      <c r="N774" s="35">
        <f>IF($F774="","",IFERROR(INDEX(사건마스터!$AK$5:$AK$64,MATCH($F774,사건마스터!$A$5:$A$64,0)),""))</f>
        <v/>
      </c>
      <c r="O774" s="35">
        <f>IF($F774="","",IFERROR(INDEX(사건마스터!$AL$5:$AL$64,MATCH($F774,사건마스터!$A$5:$A$64,0)),""))</f>
        <v/>
      </c>
      <c r="P774" s="35">
        <f>IF($F774="","",IFERROR(INDEX(사건마스터!$AM$5:$AM$64,MATCH($F774,사건마스터!$A$5:$A$64,0)),""))</f>
        <v/>
      </c>
      <c r="Q774" s="35">
        <f>IF($F774="","",IFERROR(INDEX(사건마스터!$AN$5:$AN$64,MATCH($F774,사건마스터!$A$5:$A$64,0)),""))</f>
        <v/>
      </c>
      <c r="R774" s="35">
        <f>IF($F774="","",IFERROR(INDEX(사건마스터!$AO$5:$AO$64,MATCH($F774,사건마스터!$A$5:$A$64,0)),""))</f>
        <v/>
      </c>
      <c r="S774" s="35">
        <f>IF($F774="","",IFERROR(INDEX(사건마스터!$AP$5:$AP$64,MATCH($F774,사건마스터!$A$5:$A$64,0)),""))</f>
        <v/>
      </c>
      <c r="T774" s="35">
        <f>IF($F774="","",IFERROR(INDEX(사건마스터!$AQ$5:$AQ$64,MATCH($F774,사건마스터!$A$5:$A$64,0)),""))</f>
        <v/>
      </c>
      <c r="U774" s="35">
        <f>IF($F774="","",IFERROR(INDEX(사건마스터!$AR$5:$AR$64,MATCH($F774,사건마스터!$A$5:$A$64,0)),""))</f>
        <v/>
      </c>
      <c r="V774" s="35">
        <f>IF($F774="","",IFERROR(INDEX(사건마스터!$AS$5:$AS$64,MATCH($F774,사건마스터!$A$5:$A$64,0)),""))</f>
        <v/>
      </c>
      <c r="W774" s="35">
        <f>IF($F774="","",IFERROR(INDEX(사건마스터!$AT$5:$AT$64,MATCH($F774,사건마스터!$A$5:$A$64,0)),""))</f>
        <v/>
      </c>
      <c r="X774" s="35">
        <f>IF($F774="","",IFERROR(INDEX(사건마스터!$AU$5:$AU$64,MATCH($F774,사건마스터!$A$5:$A$64,0)),""))</f>
        <v/>
      </c>
      <c r="Y774" s="35">
        <f>IF($F774="","",IFERROR(INDEX(사건마스터!$AV$5:$AV$64,MATCH($F774,사건마스터!$A$5:$A$64,0)),""))</f>
        <v/>
      </c>
      <c r="Z774" s="30">
        <f>IF(COUNTBLANK($J774:$Y774)=16,"",16-COUNTBLANK($J774:$Y774))</f>
        <v/>
      </c>
      <c r="AA774" s="33">
        <f>IF($J774="",MID($AX774,3,255),$J774&amp;$AX774)</f>
        <v/>
      </c>
      <c r="AB774" s="34">
        <f>IF($J774="","",IFERROR(INDEX(코드설정!$D$5:$D$24,MATCH($J774,코드설정!$C$5:$C$24,0)),""))</f>
        <v/>
      </c>
      <c r="AC774" s="36" t="n"/>
      <c r="AD774" s="37" t="n"/>
      <c r="AE774" s="38" t="n"/>
      <c r="AF774" s="30">
        <f>IF(OR($B774="",$C774=""),"",$C774-$B774+1)</f>
        <v/>
      </c>
      <c r="AG774" s="32" t="n"/>
      <c r="AH774" s="36" t="n"/>
      <c r="AJ774">
        <f>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  <c r="AX774">
        <f>AW774&amp;IF($Y774="","",", "&amp;$Y774)</f>
        <v/>
      </c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0">
        <f>IF($F775="","",COUNTIF($F$5:$F775,$F775))</f>
        <v/>
      </c>
      <c r="H775" s="33">
        <f>IF($F775="","",IFERROR(INDEX(사건마스터!$B$5:$B$64,MATCH($F775,사건마스터!$A$5:$A$64,0)),""))</f>
        <v/>
      </c>
      <c r="I775" s="34">
        <f>IF($F775="","",IFERROR(INDEX(사건마스터!$C$5:$C$64,MATCH($F775,사건마스터!$A$5:$A$64,0)),""))</f>
        <v/>
      </c>
      <c r="J775" s="35">
        <f>IF($F775="","",IFERROR(INDEX(사건마스터!$H$5:$H$64,MATCH($F775,사건마스터!$A$5:$A$64,0)),""))</f>
        <v/>
      </c>
      <c r="K775" s="35">
        <f>IF($F775="","",IFERROR(INDEX(사건마스터!$AH$5:$AH$64,MATCH($F775,사건마스터!$A$5:$A$64,0)),""))</f>
        <v/>
      </c>
      <c r="L775" s="35">
        <f>IF($F775="","",IFERROR(INDEX(사건마스터!$AI$5:$AI$64,MATCH($F775,사건마스터!$A$5:$A$64,0)),""))</f>
        <v/>
      </c>
      <c r="M775" s="35">
        <f>IF($F775="","",IFERROR(INDEX(사건마스터!$AJ$5:$AJ$64,MATCH($F775,사건마스터!$A$5:$A$64,0)),""))</f>
        <v/>
      </c>
      <c r="N775" s="35">
        <f>IF($F775="","",IFERROR(INDEX(사건마스터!$AK$5:$AK$64,MATCH($F775,사건마스터!$A$5:$A$64,0)),""))</f>
        <v/>
      </c>
      <c r="O775" s="35">
        <f>IF($F775="","",IFERROR(INDEX(사건마스터!$AL$5:$AL$64,MATCH($F775,사건마스터!$A$5:$A$64,0)),""))</f>
        <v/>
      </c>
      <c r="P775" s="35">
        <f>IF($F775="","",IFERROR(INDEX(사건마스터!$AM$5:$AM$64,MATCH($F775,사건마스터!$A$5:$A$64,0)),""))</f>
        <v/>
      </c>
      <c r="Q775" s="35">
        <f>IF($F775="","",IFERROR(INDEX(사건마스터!$AN$5:$AN$64,MATCH($F775,사건마스터!$A$5:$A$64,0)),""))</f>
        <v/>
      </c>
      <c r="R775" s="35">
        <f>IF($F775="","",IFERROR(INDEX(사건마스터!$AO$5:$AO$64,MATCH($F775,사건마스터!$A$5:$A$64,0)),""))</f>
        <v/>
      </c>
      <c r="S775" s="35">
        <f>IF($F775="","",IFERROR(INDEX(사건마스터!$AP$5:$AP$64,MATCH($F775,사건마스터!$A$5:$A$64,0)),""))</f>
        <v/>
      </c>
      <c r="T775" s="35">
        <f>IF($F775="","",IFERROR(INDEX(사건마스터!$AQ$5:$AQ$64,MATCH($F775,사건마스터!$A$5:$A$64,0)),""))</f>
        <v/>
      </c>
      <c r="U775" s="35">
        <f>IF($F775="","",IFERROR(INDEX(사건마스터!$AR$5:$AR$64,MATCH($F775,사건마스터!$A$5:$A$64,0)),""))</f>
        <v/>
      </c>
      <c r="V775" s="35">
        <f>IF($F775="","",IFERROR(INDEX(사건마스터!$AS$5:$AS$64,MATCH($F775,사건마스터!$A$5:$A$64,0)),""))</f>
        <v/>
      </c>
      <c r="W775" s="35">
        <f>IF($F775="","",IFERROR(INDEX(사건마스터!$AT$5:$AT$64,MATCH($F775,사건마스터!$A$5:$A$64,0)),""))</f>
        <v/>
      </c>
      <c r="X775" s="35">
        <f>IF($F775="","",IFERROR(INDEX(사건마스터!$AU$5:$AU$64,MATCH($F775,사건마스터!$A$5:$A$64,0)),""))</f>
        <v/>
      </c>
      <c r="Y775" s="35">
        <f>IF($F775="","",IFERROR(INDEX(사건마스터!$AV$5:$AV$64,MATCH($F775,사건마스터!$A$5:$A$64,0)),""))</f>
        <v/>
      </c>
      <c r="Z775" s="30">
        <f>IF(COUNTBLANK($J775:$Y775)=16,"",16-COUNTBLANK($J775:$Y775))</f>
        <v/>
      </c>
      <c r="AA775" s="33">
        <f>IF($J775="",MID($AX775,3,255),$J775&amp;$AX775)</f>
        <v/>
      </c>
      <c r="AB775" s="34">
        <f>IF($J775="","",IFERROR(INDEX(코드설정!$D$5:$D$24,MATCH($J775,코드설정!$C$5:$C$24,0)),""))</f>
        <v/>
      </c>
      <c r="AC775" s="36" t="n"/>
      <c r="AD775" s="37" t="n"/>
      <c r="AE775" s="38" t="n"/>
      <c r="AF775" s="30">
        <f>IF(OR($B775="",$C775=""),"",$C775-$B775+1)</f>
        <v/>
      </c>
      <c r="AG775" s="32" t="n"/>
      <c r="AH775" s="36" t="n"/>
      <c r="AJ775">
        <f>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  <c r="AX775">
        <f>AW775&amp;IF($Y775="","",", "&amp;$Y775)</f>
        <v/>
      </c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0">
        <f>IF($F776="","",COUNTIF($F$5:$F776,$F776))</f>
        <v/>
      </c>
      <c r="H776" s="33">
        <f>IF($F776="","",IFERROR(INDEX(사건마스터!$B$5:$B$64,MATCH($F776,사건마스터!$A$5:$A$64,0)),""))</f>
        <v/>
      </c>
      <c r="I776" s="34">
        <f>IF($F776="","",IFERROR(INDEX(사건마스터!$C$5:$C$64,MATCH($F776,사건마스터!$A$5:$A$64,0)),""))</f>
        <v/>
      </c>
      <c r="J776" s="35">
        <f>IF($F776="","",IFERROR(INDEX(사건마스터!$H$5:$H$64,MATCH($F776,사건마스터!$A$5:$A$64,0)),""))</f>
        <v/>
      </c>
      <c r="K776" s="35">
        <f>IF($F776="","",IFERROR(INDEX(사건마스터!$AH$5:$AH$64,MATCH($F776,사건마스터!$A$5:$A$64,0)),""))</f>
        <v/>
      </c>
      <c r="L776" s="35">
        <f>IF($F776="","",IFERROR(INDEX(사건마스터!$AI$5:$AI$64,MATCH($F776,사건마스터!$A$5:$A$64,0)),""))</f>
        <v/>
      </c>
      <c r="M776" s="35">
        <f>IF($F776="","",IFERROR(INDEX(사건마스터!$AJ$5:$AJ$64,MATCH($F776,사건마스터!$A$5:$A$64,0)),""))</f>
        <v/>
      </c>
      <c r="N776" s="35">
        <f>IF($F776="","",IFERROR(INDEX(사건마스터!$AK$5:$AK$64,MATCH($F776,사건마스터!$A$5:$A$64,0)),""))</f>
        <v/>
      </c>
      <c r="O776" s="35">
        <f>IF($F776="","",IFERROR(INDEX(사건마스터!$AL$5:$AL$64,MATCH($F776,사건마스터!$A$5:$A$64,0)),""))</f>
        <v/>
      </c>
      <c r="P776" s="35">
        <f>IF($F776="","",IFERROR(INDEX(사건마스터!$AM$5:$AM$64,MATCH($F776,사건마스터!$A$5:$A$64,0)),""))</f>
        <v/>
      </c>
      <c r="Q776" s="35">
        <f>IF($F776="","",IFERROR(INDEX(사건마스터!$AN$5:$AN$64,MATCH($F776,사건마스터!$A$5:$A$64,0)),""))</f>
        <v/>
      </c>
      <c r="R776" s="35">
        <f>IF($F776="","",IFERROR(INDEX(사건마스터!$AO$5:$AO$64,MATCH($F776,사건마스터!$A$5:$A$64,0)),""))</f>
        <v/>
      </c>
      <c r="S776" s="35">
        <f>IF($F776="","",IFERROR(INDEX(사건마스터!$AP$5:$AP$64,MATCH($F776,사건마스터!$A$5:$A$64,0)),""))</f>
        <v/>
      </c>
      <c r="T776" s="35">
        <f>IF($F776="","",IFERROR(INDEX(사건마스터!$AQ$5:$AQ$64,MATCH($F776,사건마스터!$A$5:$A$64,0)),""))</f>
        <v/>
      </c>
      <c r="U776" s="35">
        <f>IF($F776="","",IFERROR(INDEX(사건마스터!$AR$5:$AR$64,MATCH($F776,사건마스터!$A$5:$A$64,0)),""))</f>
        <v/>
      </c>
      <c r="V776" s="35">
        <f>IF($F776="","",IFERROR(INDEX(사건마스터!$AS$5:$AS$64,MATCH($F776,사건마스터!$A$5:$A$64,0)),""))</f>
        <v/>
      </c>
      <c r="W776" s="35">
        <f>IF($F776="","",IFERROR(INDEX(사건마스터!$AT$5:$AT$64,MATCH($F776,사건마스터!$A$5:$A$64,0)),""))</f>
        <v/>
      </c>
      <c r="X776" s="35">
        <f>IF($F776="","",IFERROR(INDEX(사건마스터!$AU$5:$AU$64,MATCH($F776,사건마스터!$A$5:$A$64,0)),""))</f>
        <v/>
      </c>
      <c r="Y776" s="35">
        <f>IF($F776="","",IFERROR(INDEX(사건마스터!$AV$5:$AV$64,MATCH($F776,사건마스터!$A$5:$A$64,0)),""))</f>
        <v/>
      </c>
      <c r="Z776" s="30">
        <f>IF(COUNTBLANK($J776:$Y776)=16,"",16-COUNTBLANK($J776:$Y776))</f>
        <v/>
      </c>
      <c r="AA776" s="33">
        <f>IF($J776="",MID($AX776,3,255),$J776&amp;$AX776)</f>
        <v/>
      </c>
      <c r="AB776" s="34">
        <f>IF($J776="","",IFERROR(INDEX(코드설정!$D$5:$D$24,MATCH($J776,코드설정!$C$5:$C$24,0)),""))</f>
        <v/>
      </c>
      <c r="AC776" s="36" t="n"/>
      <c r="AD776" s="37" t="n"/>
      <c r="AE776" s="38" t="n"/>
      <c r="AF776" s="30">
        <f>IF(OR($B776="",$C776=""),"",$C776-$B776+1)</f>
        <v/>
      </c>
      <c r="AG776" s="32" t="n"/>
      <c r="AH776" s="36" t="n"/>
      <c r="AJ776">
        <f>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  <c r="AX776">
        <f>AW776&amp;IF($Y776="","",", "&amp;$Y776)</f>
        <v/>
      </c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0">
        <f>IF($F777="","",COUNTIF($F$5:$F777,$F777))</f>
        <v/>
      </c>
      <c r="H777" s="33">
        <f>IF($F777="","",IFERROR(INDEX(사건마스터!$B$5:$B$64,MATCH($F777,사건마스터!$A$5:$A$64,0)),""))</f>
        <v/>
      </c>
      <c r="I777" s="34">
        <f>IF($F777="","",IFERROR(INDEX(사건마스터!$C$5:$C$64,MATCH($F777,사건마스터!$A$5:$A$64,0)),""))</f>
        <v/>
      </c>
      <c r="J777" s="35">
        <f>IF($F777="","",IFERROR(INDEX(사건마스터!$H$5:$H$64,MATCH($F777,사건마스터!$A$5:$A$64,0)),""))</f>
        <v/>
      </c>
      <c r="K777" s="35">
        <f>IF($F777="","",IFERROR(INDEX(사건마스터!$AH$5:$AH$64,MATCH($F777,사건마스터!$A$5:$A$64,0)),""))</f>
        <v/>
      </c>
      <c r="L777" s="35">
        <f>IF($F777="","",IFERROR(INDEX(사건마스터!$AI$5:$AI$64,MATCH($F777,사건마스터!$A$5:$A$64,0)),""))</f>
        <v/>
      </c>
      <c r="M777" s="35">
        <f>IF($F777="","",IFERROR(INDEX(사건마스터!$AJ$5:$AJ$64,MATCH($F777,사건마스터!$A$5:$A$64,0)),""))</f>
        <v/>
      </c>
      <c r="N777" s="35">
        <f>IF($F777="","",IFERROR(INDEX(사건마스터!$AK$5:$AK$64,MATCH($F777,사건마스터!$A$5:$A$64,0)),""))</f>
        <v/>
      </c>
      <c r="O777" s="35">
        <f>IF($F777="","",IFERROR(INDEX(사건마스터!$AL$5:$AL$64,MATCH($F777,사건마스터!$A$5:$A$64,0)),""))</f>
        <v/>
      </c>
      <c r="P777" s="35">
        <f>IF($F777="","",IFERROR(INDEX(사건마스터!$AM$5:$AM$64,MATCH($F777,사건마스터!$A$5:$A$64,0)),""))</f>
        <v/>
      </c>
      <c r="Q777" s="35">
        <f>IF($F777="","",IFERROR(INDEX(사건마스터!$AN$5:$AN$64,MATCH($F777,사건마스터!$A$5:$A$64,0)),""))</f>
        <v/>
      </c>
      <c r="R777" s="35">
        <f>IF($F777="","",IFERROR(INDEX(사건마스터!$AO$5:$AO$64,MATCH($F777,사건마스터!$A$5:$A$64,0)),""))</f>
        <v/>
      </c>
      <c r="S777" s="35">
        <f>IF($F777="","",IFERROR(INDEX(사건마스터!$AP$5:$AP$64,MATCH($F777,사건마스터!$A$5:$A$64,0)),""))</f>
        <v/>
      </c>
      <c r="T777" s="35">
        <f>IF($F777="","",IFERROR(INDEX(사건마스터!$AQ$5:$AQ$64,MATCH($F777,사건마스터!$A$5:$A$64,0)),""))</f>
        <v/>
      </c>
      <c r="U777" s="35">
        <f>IF($F777="","",IFERROR(INDEX(사건마스터!$AR$5:$AR$64,MATCH($F777,사건마스터!$A$5:$A$64,0)),""))</f>
        <v/>
      </c>
      <c r="V777" s="35">
        <f>IF($F777="","",IFERROR(INDEX(사건마스터!$AS$5:$AS$64,MATCH($F777,사건마스터!$A$5:$A$64,0)),""))</f>
        <v/>
      </c>
      <c r="W777" s="35">
        <f>IF($F777="","",IFERROR(INDEX(사건마스터!$AT$5:$AT$64,MATCH($F777,사건마스터!$A$5:$A$64,0)),""))</f>
        <v/>
      </c>
      <c r="X777" s="35">
        <f>IF($F777="","",IFERROR(INDEX(사건마스터!$AU$5:$AU$64,MATCH($F777,사건마스터!$A$5:$A$64,0)),""))</f>
        <v/>
      </c>
      <c r="Y777" s="35">
        <f>IF($F777="","",IFERROR(INDEX(사건마스터!$AV$5:$AV$64,MATCH($F777,사건마스터!$A$5:$A$64,0)),""))</f>
        <v/>
      </c>
      <c r="Z777" s="30">
        <f>IF(COUNTBLANK($J777:$Y777)=16,"",16-COUNTBLANK($J777:$Y777))</f>
        <v/>
      </c>
      <c r="AA777" s="33">
        <f>IF($J777="",MID($AX777,3,255),$J777&amp;$AX777)</f>
        <v/>
      </c>
      <c r="AB777" s="34">
        <f>IF($J777="","",IFERROR(INDEX(코드설정!$D$5:$D$24,MATCH($J777,코드설정!$C$5:$C$24,0)),""))</f>
        <v/>
      </c>
      <c r="AC777" s="36" t="n"/>
      <c r="AD777" s="37" t="n"/>
      <c r="AE777" s="38" t="n"/>
      <c r="AF777" s="30">
        <f>IF(OR($B777="",$C777=""),"",$C777-$B777+1)</f>
        <v/>
      </c>
      <c r="AG777" s="32" t="n"/>
      <c r="AH777" s="36" t="n"/>
      <c r="AJ777">
        <f>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  <c r="AX777">
        <f>AW777&amp;IF($Y777="","",", "&amp;$Y777)</f>
        <v/>
      </c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0">
        <f>IF($F778="","",COUNTIF($F$5:$F778,$F778))</f>
        <v/>
      </c>
      <c r="H778" s="33">
        <f>IF($F778="","",IFERROR(INDEX(사건마스터!$B$5:$B$64,MATCH($F778,사건마스터!$A$5:$A$64,0)),""))</f>
        <v/>
      </c>
      <c r="I778" s="34">
        <f>IF($F778="","",IFERROR(INDEX(사건마스터!$C$5:$C$64,MATCH($F778,사건마스터!$A$5:$A$64,0)),""))</f>
        <v/>
      </c>
      <c r="J778" s="35">
        <f>IF($F778="","",IFERROR(INDEX(사건마스터!$H$5:$H$64,MATCH($F778,사건마스터!$A$5:$A$64,0)),""))</f>
        <v/>
      </c>
      <c r="K778" s="35">
        <f>IF($F778="","",IFERROR(INDEX(사건마스터!$AH$5:$AH$64,MATCH($F778,사건마스터!$A$5:$A$64,0)),""))</f>
        <v/>
      </c>
      <c r="L778" s="35">
        <f>IF($F778="","",IFERROR(INDEX(사건마스터!$AI$5:$AI$64,MATCH($F778,사건마스터!$A$5:$A$64,0)),""))</f>
        <v/>
      </c>
      <c r="M778" s="35">
        <f>IF($F778="","",IFERROR(INDEX(사건마스터!$AJ$5:$AJ$64,MATCH($F778,사건마스터!$A$5:$A$64,0)),""))</f>
        <v/>
      </c>
      <c r="N778" s="35">
        <f>IF($F778="","",IFERROR(INDEX(사건마스터!$AK$5:$AK$64,MATCH($F778,사건마스터!$A$5:$A$64,0)),""))</f>
        <v/>
      </c>
      <c r="O778" s="35">
        <f>IF($F778="","",IFERROR(INDEX(사건마스터!$AL$5:$AL$64,MATCH($F778,사건마스터!$A$5:$A$64,0)),""))</f>
        <v/>
      </c>
      <c r="P778" s="35">
        <f>IF($F778="","",IFERROR(INDEX(사건마스터!$AM$5:$AM$64,MATCH($F778,사건마스터!$A$5:$A$64,0)),""))</f>
        <v/>
      </c>
      <c r="Q778" s="35">
        <f>IF($F778="","",IFERROR(INDEX(사건마스터!$AN$5:$AN$64,MATCH($F778,사건마스터!$A$5:$A$64,0)),""))</f>
        <v/>
      </c>
      <c r="R778" s="35">
        <f>IF($F778="","",IFERROR(INDEX(사건마스터!$AO$5:$AO$64,MATCH($F778,사건마스터!$A$5:$A$64,0)),""))</f>
        <v/>
      </c>
      <c r="S778" s="35">
        <f>IF($F778="","",IFERROR(INDEX(사건마스터!$AP$5:$AP$64,MATCH($F778,사건마스터!$A$5:$A$64,0)),""))</f>
        <v/>
      </c>
      <c r="T778" s="35">
        <f>IF($F778="","",IFERROR(INDEX(사건마스터!$AQ$5:$AQ$64,MATCH($F778,사건마스터!$A$5:$A$64,0)),""))</f>
        <v/>
      </c>
      <c r="U778" s="35">
        <f>IF($F778="","",IFERROR(INDEX(사건마스터!$AR$5:$AR$64,MATCH($F778,사건마스터!$A$5:$A$64,0)),""))</f>
        <v/>
      </c>
      <c r="V778" s="35">
        <f>IF($F778="","",IFERROR(INDEX(사건마스터!$AS$5:$AS$64,MATCH($F778,사건마스터!$A$5:$A$64,0)),""))</f>
        <v/>
      </c>
      <c r="W778" s="35">
        <f>IF($F778="","",IFERROR(INDEX(사건마스터!$AT$5:$AT$64,MATCH($F778,사건마스터!$A$5:$A$64,0)),""))</f>
        <v/>
      </c>
      <c r="X778" s="35">
        <f>IF($F778="","",IFERROR(INDEX(사건마스터!$AU$5:$AU$64,MATCH($F778,사건마스터!$A$5:$A$64,0)),""))</f>
        <v/>
      </c>
      <c r="Y778" s="35">
        <f>IF($F778="","",IFERROR(INDEX(사건마스터!$AV$5:$AV$64,MATCH($F778,사건마스터!$A$5:$A$64,0)),""))</f>
        <v/>
      </c>
      <c r="Z778" s="30">
        <f>IF(COUNTBLANK($J778:$Y778)=16,"",16-COUNTBLANK($J778:$Y778))</f>
        <v/>
      </c>
      <c r="AA778" s="33">
        <f>IF($J778="",MID($AX778,3,255),$J778&amp;$AX778)</f>
        <v/>
      </c>
      <c r="AB778" s="34">
        <f>IF($J778="","",IFERROR(INDEX(코드설정!$D$5:$D$24,MATCH($J778,코드설정!$C$5:$C$24,0)),""))</f>
        <v/>
      </c>
      <c r="AC778" s="36" t="n"/>
      <c r="AD778" s="37" t="n"/>
      <c r="AE778" s="38" t="n"/>
      <c r="AF778" s="30">
        <f>IF(OR($B778="",$C778=""),"",$C778-$B778+1)</f>
        <v/>
      </c>
      <c r="AG778" s="32" t="n"/>
      <c r="AH778" s="36" t="n"/>
      <c r="AJ778">
        <f>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  <c r="AX778">
        <f>AW778&amp;IF($Y778="","",", "&amp;$Y778)</f>
        <v/>
      </c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0">
        <f>IF($F779="","",COUNTIF($F$5:$F779,$F779))</f>
        <v/>
      </c>
      <c r="H779" s="33">
        <f>IF($F779="","",IFERROR(INDEX(사건마스터!$B$5:$B$64,MATCH($F779,사건마스터!$A$5:$A$64,0)),""))</f>
        <v/>
      </c>
      <c r="I779" s="34">
        <f>IF($F779="","",IFERROR(INDEX(사건마스터!$C$5:$C$64,MATCH($F779,사건마스터!$A$5:$A$64,0)),""))</f>
        <v/>
      </c>
      <c r="J779" s="35">
        <f>IF($F779="","",IFERROR(INDEX(사건마스터!$H$5:$H$64,MATCH($F779,사건마스터!$A$5:$A$64,0)),""))</f>
        <v/>
      </c>
      <c r="K779" s="35">
        <f>IF($F779="","",IFERROR(INDEX(사건마스터!$AH$5:$AH$64,MATCH($F779,사건마스터!$A$5:$A$64,0)),""))</f>
        <v/>
      </c>
      <c r="L779" s="35">
        <f>IF($F779="","",IFERROR(INDEX(사건마스터!$AI$5:$AI$64,MATCH($F779,사건마스터!$A$5:$A$64,0)),""))</f>
        <v/>
      </c>
      <c r="M779" s="35">
        <f>IF($F779="","",IFERROR(INDEX(사건마스터!$AJ$5:$AJ$64,MATCH($F779,사건마스터!$A$5:$A$64,0)),""))</f>
        <v/>
      </c>
      <c r="N779" s="35">
        <f>IF($F779="","",IFERROR(INDEX(사건마스터!$AK$5:$AK$64,MATCH($F779,사건마스터!$A$5:$A$64,0)),""))</f>
        <v/>
      </c>
      <c r="O779" s="35">
        <f>IF($F779="","",IFERROR(INDEX(사건마스터!$AL$5:$AL$64,MATCH($F779,사건마스터!$A$5:$A$64,0)),""))</f>
        <v/>
      </c>
      <c r="P779" s="35">
        <f>IF($F779="","",IFERROR(INDEX(사건마스터!$AM$5:$AM$64,MATCH($F779,사건마스터!$A$5:$A$64,0)),""))</f>
        <v/>
      </c>
      <c r="Q779" s="35">
        <f>IF($F779="","",IFERROR(INDEX(사건마스터!$AN$5:$AN$64,MATCH($F779,사건마스터!$A$5:$A$64,0)),""))</f>
        <v/>
      </c>
      <c r="R779" s="35">
        <f>IF($F779="","",IFERROR(INDEX(사건마스터!$AO$5:$AO$64,MATCH($F779,사건마스터!$A$5:$A$64,0)),""))</f>
        <v/>
      </c>
      <c r="S779" s="35">
        <f>IF($F779="","",IFERROR(INDEX(사건마스터!$AP$5:$AP$64,MATCH($F779,사건마스터!$A$5:$A$64,0)),""))</f>
        <v/>
      </c>
      <c r="T779" s="35">
        <f>IF($F779="","",IFERROR(INDEX(사건마스터!$AQ$5:$AQ$64,MATCH($F779,사건마스터!$A$5:$A$64,0)),""))</f>
        <v/>
      </c>
      <c r="U779" s="35">
        <f>IF($F779="","",IFERROR(INDEX(사건마스터!$AR$5:$AR$64,MATCH($F779,사건마스터!$A$5:$A$64,0)),""))</f>
        <v/>
      </c>
      <c r="V779" s="35">
        <f>IF($F779="","",IFERROR(INDEX(사건마스터!$AS$5:$AS$64,MATCH($F779,사건마스터!$A$5:$A$64,0)),""))</f>
        <v/>
      </c>
      <c r="W779" s="35">
        <f>IF($F779="","",IFERROR(INDEX(사건마스터!$AT$5:$AT$64,MATCH($F779,사건마스터!$A$5:$A$64,0)),""))</f>
        <v/>
      </c>
      <c r="X779" s="35">
        <f>IF($F779="","",IFERROR(INDEX(사건마스터!$AU$5:$AU$64,MATCH($F779,사건마스터!$A$5:$A$64,0)),""))</f>
        <v/>
      </c>
      <c r="Y779" s="35">
        <f>IF($F779="","",IFERROR(INDEX(사건마스터!$AV$5:$AV$64,MATCH($F779,사건마스터!$A$5:$A$64,0)),""))</f>
        <v/>
      </c>
      <c r="Z779" s="30">
        <f>IF(COUNTBLANK($J779:$Y779)=16,"",16-COUNTBLANK($J779:$Y779))</f>
        <v/>
      </c>
      <c r="AA779" s="33">
        <f>IF($J779="",MID($AX779,3,255),$J779&amp;$AX779)</f>
        <v/>
      </c>
      <c r="AB779" s="34">
        <f>IF($J779="","",IFERROR(INDEX(코드설정!$D$5:$D$24,MATCH($J779,코드설정!$C$5:$C$24,0)),""))</f>
        <v/>
      </c>
      <c r="AC779" s="36" t="n"/>
      <c r="AD779" s="37" t="n"/>
      <c r="AE779" s="38" t="n"/>
      <c r="AF779" s="30">
        <f>IF(OR($B779="",$C779=""),"",$C779-$B779+1)</f>
        <v/>
      </c>
      <c r="AG779" s="32" t="n"/>
      <c r="AH779" s="36" t="n"/>
      <c r="AJ779">
        <f>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  <c r="AX779">
        <f>AW779&amp;IF($Y779="","",", "&amp;$Y779)</f>
        <v/>
      </c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0">
        <f>IF($F780="","",COUNTIF($F$5:$F780,$F780))</f>
        <v/>
      </c>
      <c r="H780" s="33">
        <f>IF($F780="","",IFERROR(INDEX(사건마스터!$B$5:$B$64,MATCH($F780,사건마스터!$A$5:$A$64,0)),""))</f>
        <v/>
      </c>
      <c r="I780" s="34">
        <f>IF($F780="","",IFERROR(INDEX(사건마스터!$C$5:$C$64,MATCH($F780,사건마스터!$A$5:$A$64,0)),""))</f>
        <v/>
      </c>
      <c r="J780" s="35">
        <f>IF($F780="","",IFERROR(INDEX(사건마스터!$H$5:$H$64,MATCH($F780,사건마스터!$A$5:$A$64,0)),""))</f>
        <v/>
      </c>
      <c r="K780" s="35">
        <f>IF($F780="","",IFERROR(INDEX(사건마스터!$AH$5:$AH$64,MATCH($F780,사건마스터!$A$5:$A$64,0)),""))</f>
        <v/>
      </c>
      <c r="L780" s="35">
        <f>IF($F780="","",IFERROR(INDEX(사건마스터!$AI$5:$AI$64,MATCH($F780,사건마스터!$A$5:$A$64,0)),""))</f>
        <v/>
      </c>
      <c r="M780" s="35">
        <f>IF($F780="","",IFERROR(INDEX(사건마스터!$AJ$5:$AJ$64,MATCH($F780,사건마스터!$A$5:$A$64,0)),""))</f>
        <v/>
      </c>
      <c r="N780" s="35">
        <f>IF($F780="","",IFERROR(INDEX(사건마스터!$AK$5:$AK$64,MATCH($F780,사건마스터!$A$5:$A$64,0)),""))</f>
        <v/>
      </c>
      <c r="O780" s="35">
        <f>IF($F780="","",IFERROR(INDEX(사건마스터!$AL$5:$AL$64,MATCH($F780,사건마스터!$A$5:$A$64,0)),""))</f>
        <v/>
      </c>
      <c r="P780" s="35">
        <f>IF($F780="","",IFERROR(INDEX(사건마스터!$AM$5:$AM$64,MATCH($F780,사건마스터!$A$5:$A$64,0)),""))</f>
        <v/>
      </c>
      <c r="Q780" s="35">
        <f>IF($F780="","",IFERROR(INDEX(사건마스터!$AN$5:$AN$64,MATCH($F780,사건마스터!$A$5:$A$64,0)),""))</f>
        <v/>
      </c>
      <c r="R780" s="35">
        <f>IF($F780="","",IFERROR(INDEX(사건마스터!$AO$5:$AO$64,MATCH($F780,사건마스터!$A$5:$A$64,0)),""))</f>
        <v/>
      </c>
      <c r="S780" s="35">
        <f>IF($F780="","",IFERROR(INDEX(사건마스터!$AP$5:$AP$64,MATCH($F780,사건마스터!$A$5:$A$64,0)),""))</f>
        <v/>
      </c>
      <c r="T780" s="35">
        <f>IF($F780="","",IFERROR(INDEX(사건마스터!$AQ$5:$AQ$64,MATCH($F780,사건마스터!$A$5:$A$64,0)),""))</f>
        <v/>
      </c>
      <c r="U780" s="35">
        <f>IF($F780="","",IFERROR(INDEX(사건마스터!$AR$5:$AR$64,MATCH($F780,사건마스터!$A$5:$A$64,0)),""))</f>
        <v/>
      </c>
      <c r="V780" s="35">
        <f>IF($F780="","",IFERROR(INDEX(사건마스터!$AS$5:$AS$64,MATCH($F780,사건마스터!$A$5:$A$64,0)),""))</f>
        <v/>
      </c>
      <c r="W780" s="35">
        <f>IF($F780="","",IFERROR(INDEX(사건마스터!$AT$5:$AT$64,MATCH($F780,사건마스터!$A$5:$A$64,0)),""))</f>
        <v/>
      </c>
      <c r="X780" s="35">
        <f>IF($F780="","",IFERROR(INDEX(사건마스터!$AU$5:$AU$64,MATCH($F780,사건마스터!$A$5:$A$64,0)),""))</f>
        <v/>
      </c>
      <c r="Y780" s="35">
        <f>IF($F780="","",IFERROR(INDEX(사건마스터!$AV$5:$AV$64,MATCH($F780,사건마스터!$A$5:$A$64,0)),""))</f>
        <v/>
      </c>
      <c r="Z780" s="30">
        <f>IF(COUNTBLANK($J780:$Y780)=16,"",16-COUNTBLANK($J780:$Y780))</f>
        <v/>
      </c>
      <c r="AA780" s="33">
        <f>IF($J780="",MID($AX780,3,255),$J780&amp;$AX780)</f>
        <v/>
      </c>
      <c r="AB780" s="34">
        <f>IF($J780="","",IFERROR(INDEX(코드설정!$D$5:$D$24,MATCH($J780,코드설정!$C$5:$C$24,0)),""))</f>
        <v/>
      </c>
      <c r="AC780" s="36" t="n"/>
      <c r="AD780" s="37" t="n"/>
      <c r="AE780" s="38" t="n"/>
      <c r="AF780" s="30">
        <f>IF(OR($B780="",$C780=""),"",$C780-$B780+1)</f>
        <v/>
      </c>
      <c r="AG780" s="32" t="n"/>
      <c r="AH780" s="36" t="n"/>
      <c r="AJ780">
        <f>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  <c r="AX780">
        <f>AW780&amp;IF($Y780="","",", "&amp;$Y780)</f>
        <v/>
      </c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0">
        <f>IF($F781="","",COUNTIF($F$5:$F781,$F781))</f>
        <v/>
      </c>
      <c r="H781" s="33">
        <f>IF($F781="","",IFERROR(INDEX(사건마스터!$B$5:$B$64,MATCH($F781,사건마스터!$A$5:$A$64,0)),""))</f>
        <v/>
      </c>
      <c r="I781" s="34">
        <f>IF($F781="","",IFERROR(INDEX(사건마스터!$C$5:$C$64,MATCH($F781,사건마스터!$A$5:$A$64,0)),""))</f>
        <v/>
      </c>
      <c r="J781" s="35">
        <f>IF($F781="","",IFERROR(INDEX(사건마스터!$H$5:$H$64,MATCH($F781,사건마스터!$A$5:$A$64,0)),""))</f>
        <v/>
      </c>
      <c r="K781" s="35">
        <f>IF($F781="","",IFERROR(INDEX(사건마스터!$AH$5:$AH$64,MATCH($F781,사건마스터!$A$5:$A$64,0)),""))</f>
        <v/>
      </c>
      <c r="L781" s="35">
        <f>IF($F781="","",IFERROR(INDEX(사건마스터!$AI$5:$AI$64,MATCH($F781,사건마스터!$A$5:$A$64,0)),""))</f>
        <v/>
      </c>
      <c r="M781" s="35">
        <f>IF($F781="","",IFERROR(INDEX(사건마스터!$AJ$5:$AJ$64,MATCH($F781,사건마스터!$A$5:$A$64,0)),""))</f>
        <v/>
      </c>
      <c r="N781" s="35">
        <f>IF($F781="","",IFERROR(INDEX(사건마스터!$AK$5:$AK$64,MATCH($F781,사건마스터!$A$5:$A$64,0)),""))</f>
        <v/>
      </c>
      <c r="O781" s="35">
        <f>IF($F781="","",IFERROR(INDEX(사건마스터!$AL$5:$AL$64,MATCH($F781,사건마스터!$A$5:$A$64,0)),""))</f>
        <v/>
      </c>
      <c r="P781" s="35">
        <f>IF($F781="","",IFERROR(INDEX(사건마스터!$AM$5:$AM$64,MATCH($F781,사건마스터!$A$5:$A$64,0)),""))</f>
        <v/>
      </c>
      <c r="Q781" s="35">
        <f>IF($F781="","",IFERROR(INDEX(사건마스터!$AN$5:$AN$64,MATCH($F781,사건마스터!$A$5:$A$64,0)),""))</f>
        <v/>
      </c>
      <c r="R781" s="35">
        <f>IF($F781="","",IFERROR(INDEX(사건마스터!$AO$5:$AO$64,MATCH($F781,사건마스터!$A$5:$A$64,0)),""))</f>
        <v/>
      </c>
      <c r="S781" s="35">
        <f>IF($F781="","",IFERROR(INDEX(사건마스터!$AP$5:$AP$64,MATCH($F781,사건마스터!$A$5:$A$64,0)),""))</f>
        <v/>
      </c>
      <c r="T781" s="35">
        <f>IF($F781="","",IFERROR(INDEX(사건마스터!$AQ$5:$AQ$64,MATCH($F781,사건마스터!$A$5:$A$64,0)),""))</f>
        <v/>
      </c>
      <c r="U781" s="35">
        <f>IF($F781="","",IFERROR(INDEX(사건마스터!$AR$5:$AR$64,MATCH($F781,사건마스터!$A$5:$A$64,0)),""))</f>
        <v/>
      </c>
      <c r="V781" s="35">
        <f>IF($F781="","",IFERROR(INDEX(사건마스터!$AS$5:$AS$64,MATCH($F781,사건마스터!$A$5:$A$64,0)),""))</f>
        <v/>
      </c>
      <c r="W781" s="35">
        <f>IF($F781="","",IFERROR(INDEX(사건마스터!$AT$5:$AT$64,MATCH($F781,사건마스터!$A$5:$A$64,0)),""))</f>
        <v/>
      </c>
      <c r="X781" s="35">
        <f>IF($F781="","",IFERROR(INDEX(사건마스터!$AU$5:$AU$64,MATCH($F781,사건마스터!$A$5:$A$64,0)),""))</f>
        <v/>
      </c>
      <c r="Y781" s="35">
        <f>IF($F781="","",IFERROR(INDEX(사건마스터!$AV$5:$AV$64,MATCH($F781,사건마스터!$A$5:$A$64,0)),""))</f>
        <v/>
      </c>
      <c r="Z781" s="30">
        <f>IF(COUNTBLANK($J781:$Y781)=16,"",16-COUNTBLANK($J781:$Y781))</f>
        <v/>
      </c>
      <c r="AA781" s="33">
        <f>IF($J781="",MID($AX781,3,255),$J781&amp;$AX781)</f>
        <v/>
      </c>
      <c r="AB781" s="34">
        <f>IF($J781="","",IFERROR(INDEX(코드설정!$D$5:$D$24,MATCH($J781,코드설정!$C$5:$C$24,0)),""))</f>
        <v/>
      </c>
      <c r="AC781" s="36" t="n"/>
      <c r="AD781" s="37" t="n"/>
      <c r="AE781" s="38" t="n"/>
      <c r="AF781" s="30">
        <f>IF(OR($B781="",$C781=""),"",$C781-$B781+1)</f>
        <v/>
      </c>
      <c r="AG781" s="32" t="n"/>
      <c r="AH781" s="36" t="n"/>
      <c r="AJ781">
        <f>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  <c r="AX781">
        <f>AW781&amp;IF($Y781="","",", "&amp;$Y781)</f>
        <v/>
      </c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0">
        <f>IF($F782="","",COUNTIF($F$5:$F782,$F782))</f>
        <v/>
      </c>
      <c r="H782" s="33">
        <f>IF($F782="","",IFERROR(INDEX(사건마스터!$B$5:$B$64,MATCH($F782,사건마스터!$A$5:$A$64,0)),""))</f>
        <v/>
      </c>
      <c r="I782" s="34">
        <f>IF($F782="","",IFERROR(INDEX(사건마스터!$C$5:$C$64,MATCH($F782,사건마스터!$A$5:$A$64,0)),""))</f>
        <v/>
      </c>
      <c r="J782" s="35">
        <f>IF($F782="","",IFERROR(INDEX(사건마스터!$H$5:$H$64,MATCH($F782,사건마스터!$A$5:$A$64,0)),""))</f>
        <v/>
      </c>
      <c r="K782" s="35">
        <f>IF($F782="","",IFERROR(INDEX(사건마스터!$AH$5:$AH$64,MATCH($F782,사건마스터!$A$5:$A$64,0)),""))</f>
        <v/>
      </c>
      <c r="L782" s="35">
        <f>IF($F782="","",IFERROR(INDEX(사건마스터!$AI$5:$AI$64,MATCH($F782,사건마스터!$A$5:$A$64,0)),""))</f>
        <v/>
      </c>
      <c r="M782" s="35">
        <f>IF($F782="","",IFERROR(INDEX(사건마스터!$AJ$5:$AJ$64,MATCH($F782,사건마스터!$A$5:$A$64,0)),""))</f>
        <v/>
      </c>
      <c r="N782" s="35">
        <f>IF($F782="","",IFERROR(INDEX(사건마스터!$AK$5:$AK$64,MATCH($F782,사건마스터!$A$5:$A$64,0)),""))</f>
        <v/>
      </c>
      <c r="O782" s="35">
        <f>IF($F782="","",IFERROR(INDEX(사건마스터!$AL$5:$AL$64,MATCH($F782,사건마스터!$A$5:$A$64,0)),""))</f>
        <v/>
      </c>
      <c r="P782" s="35">
        <f>IF($F782="","",IFERROR(INDEX(사건마스터!$AM$5:$AM$64,MATCH($F782,사건마스터!$A$5:$A$64,0)),""))</f>
        <v/>
      </c>
      <c r="Q782" s="35">
        <f>IF($F782="","",IFERROR(INDEX(사건마스터!$AN$5:$AN$64,MATCH($F782,사건마스터!$A$5:$A$64,0)),""))</f>
        <v/>
      </c>
      <c r="R782" s="35">
        <f>IF($F782="","",IFERROR(INDEX(사건마스터!$AO$5:$AO$64,MATCH($F782,사건마스터!$A$5:$A$64,0)),""))</f>
        <v/>
      </c>
      <c r="S782" s="35">
        <f>IF($F782="","",IFERROR(INDEX(사건마스터!$AP$5:$AP$64,MATCH($F782,사건마스터!$A$5:$A$64,0)),""))</f>
        <v/>
      </c>
      <c r="T782" s="35">
        <f>IF($F782="","",IFERROR(INDEX(사건마스터!$AQ$5:$AQ$64,MATCH($F782,사건마스터!$A$5:$A$64,0)),""))</f>
        <v/>
      </c>
      <c r="U782" s="35">
        <f>IF($F782="","",IFERROR(INDEX(사건마스터!$AR$5:$AR$64,MATCH($F782,사건마스터!$A$5:$A$64,0)),""))</f>
        <v/>
      </c>
      <c r="V782" s="35">
        <f>IF($F782="","",IFERROR(INDEX(사건마스터!$AS$5:$AS$64,MATCH($F782,사건마스터!$A$5:$A$64,0)),""))</f>
        <v/>
      </c>
      <c r="W782" s="35">
        <f>IF($F782="","",IFERROR(INDEX(사건마스터!$AT$5:$AT$64,MATCH($F782,사건마스터!$A$5:$A$64,0)),""))</f>
        <v/>
      </c>
      <c r="X782" s="35">
        <f>IF($F782="","",IFERROR(INDEX(사건마스터!$AU$5:$AU$64,MATCH($F782,사건마스터!$A$5:$A$64,0)),""))</f>
        <v/>
      </c>
      <c r="Y782" s="35">
        <f>IF($F782="","",IFERROR(INDEX(사건마스터!$AV$5:$AV$64,MATCH($F782,사건마스터!$A$5:$A$64,0)),""))</f>
        <v/>
      </c>
      <c r="Z782" s="30">
        <f>IF(COUNTBLANK($J782:$Y782)=16,"",16-COUNTBLANK($J782:$Y782))</f>
        <v/>
      </c>
      <c r="AA782" s="33">
        <f>IF($J782="",MID($AX782,3,255),$J782&amp;$AX782)</f>
        <v/>
      </c>
      <c r="AB782" s="34">
        <f>IF($J782="","",IFERROR(INDEX(코드설정!$D$5:$D$24,MATCH($J782,코드설정!$C$5:$C$24,0)),""))</f>
        <v/>
      </c>
      <c r="AC782" s="36" t="n"/>
      <c r="AD782" s="37" t="n"/>
      <c r="AE782" s="38" t="n"/>
      <c r="AF782" s="30">
        <f>IF(OR($B782="",$C782=""),"",$C782-$B782+1)</f>
        <v/>
      </c>
      <c r="AG782" s="32" t="n"/>
      <c r="AH782" s="36" t="n"/>
      <c r="AJ782">
        <f>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  <c r="AX782">
        <f>AW782&amp;IF($Y782="","",", "&amp;$Y782)</f>
        <v/>
      </c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0">
        <f>IF($F783="","",COUNTIF($F$5:$F783,$F783))</f>
        <v/>
      </c>
      <c r="H783" s="33">
        <f>IF($F783="","",IFERROR(INDEX(사건마스터!$B$5:$B$64,MATCH($F783,사건마스터!$A$5:$A$64,0)),""))</f>
        <v/>
      </c>
      <c r="I783" s="34">
        <f>IF($F783="","",IFERROR(INDEX(사건마스터!$C$5:$C$64,MATCH($F783,사건마스터!$A$5:$A$64,0)),""))</f>
        <v/>
      </c>
      <c r="J783" s="35">
        <f>IF($F783="","",IFERROR(INDEX(사건마스터!$H$5:$H$64,MATCH($F783,사건마스터!$A$5:$A$64,0)),""))</f>
        <v/>
      </c>
      <c r="K783" s="35">
        <f>IF($F783="","",IFERROR(INDEX(사건마스터!$AH$5:$AH$64,MATCH($F783,사건마스터!$A$5:$A$64,0)),""))</f>
        <v/>
      </c>
      <c r="L783" s="35">
        <f>IF($F783="","",IFERROR(INDEX(사건마스터!$AI$5:$AI$64,MATCH($F783,사건마스터!$A$5:$A$64,0)),""))</f>
        <v/>
      </c>
      <c r="M783" s="35">
        <f>IF($F783="","",IFERROR(INDEX(사건마스터!$AJ$5:$AJ$64,MATCH($F783,사건마스터!$A$5:$A$64,0)),""))</f>
        <v/>
      </c>
      <c r="N783" s="35">
        <f>IF($F783="","",IFERROR(INDEX(사건마스터!$AK$5:$AK$64,MATCH($F783,사건마스터!$A$5:$A$64,0)),""))</f>
        <v/>
      </c>
      <c r="O783" s="35">
        <f>IF($F783="","",IFERROR(INDEX(사건마스터!$AL$5:$AL$64,MATCH($F783,사건마스터!$A$5:$A$64,0)),""))</f>
        <v/>
      </c>
      <c r="P783" s="35">
        <f>IF($F783="","",IFERROR(INDEX(사건마스터!$AM$5:$AM$64,MATCH($F783,사건마스터!$A$5:$A$64,0)),""))</f>
        <v/>
      </c>
      <c r="Q783" s="35">
        <f>IF($F783="","",IFERROR(INDEX(사건마스터!$AN$5:$AN$64,MATCH($F783,사건마스터!$A$5:$A$64,0)),""))</f>
        <v/>
      </c>
      <c r="R783" s="35">
        <f>IF($F783="","",IFERROR(INDEX(사건마스터!$AO$5:$AO$64,MATCH($F783,사건마스터!$A$5:$A$64,0)),""))</f>
        <v/>
      </c>
      <c r="S783" s="35">
        <f>IF($F783="","",IFERROR(INDEX(사건마스터!$AP$5:$AP$64,MATCH($F783,사건마스터!$A$5:$A$64,0)),""))</f>
        <v/>
      </c>
      <c r="T783" s="35">
        <f>IF($F783="","",IFERROR(INDEX(사건마스터!$AQ$5:$AQ$64,MATCH($F783,사건마스터!$A$5:$A$64,0)),""))</f>
        <v/>
      </c>
      <c r="U783" s="35">
        <f>IF($F783="","",IFERROR(INDEX(사건마스터!$AR$5:$AR$64,MATCH($F783,사건마스터!$A$5:$A$64,0)),""))</f>
        <v/>
      </c>
      <c r="V783" s="35">
        <f>IF($F783="","",IFERROR(INDEX(사건마스터!$AS$5:$AS$64,MATCH($F783,사건마스터!$A$5:$A$64,0)),""))</f>
        <v/>
      </c>
      <c r="W783" s="35">
        <f>IF($F783="","",IFERROR(INDEX(사건마스터!$AT$5:$AT$64,MATCH($F783,사건마스터!$A$5:$A$64,0)),""))</f>
        <v/>
      </c>
      <c r="X783" s="35">
        <f>IF($F783="","",IFERROR(INDEX(사건마스터!$AU$5:$AU$64,MATCH($F783,사건마스터!$A$5:$A$64,0)),""))</f>
        <v/>
      </c>
      <c r="Y783" s="35">
        <f>IF($F783="","",IFERROR(INDEX(사건마스터!$AV$5:$AV$64,MATCH($F783,사건마스터!$A$5:$A$64,0)),""))</f>
        <v/>
      </c>
      <c r="Z783" s="30">
        <f>IF(COUNTBLANK($J783:$Y783)=16,"",16-COUNTBLANK($J783:$Y783))</f>
        <v/>
      </c>
      <c r="AA783" s="33">
        <f>IF($J783="",MID($AX783,3,255),$J783&amp;$AX783)</f>
        <v/>
      </c>
      <c r="AB783" s="34">
        <f>IF($J783="","",IFERROR(INDEX(코드설정!$D$5:$D$24,MATCH($J783,코드설정!$C$5:$C$24,0)),""))</f>
        <v/>
      </c>
      <c r="AC783" s="36" t="n"/>
      <c r="AD783" s="37" t="n"/>
      <c r="AE783" s="38" t="n"/>
      <c r="AF783" s="30">
        <f>IF(OR($B783="",$C783=""),"",$C783-$B783+1)</f>
        <v/>
      </c>
      <c r="AG783" s="32" t="n"/>
      <c r="AH783" s="36" t="n"/>
      <c r="AJ783">
        <f>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  <c r="AX783">
        <f>AW783&amp;IF($Y783="","",", "&amp;$Y783)</f>
        <v/>
      </c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0">
        <f>IF($F784="","",COUNTIF($F$5:$F784,$F784))</f>
        <v/>
      </c>
      <c r="H784" s="33">
        <f>IF($F784="","",IFERROR(INDEX(사건마스터!$B$5:$B$64,MATCH($F784,사건마스터!$A$5:$A$64,0)),""))</f>
        <v/>
      </c>
      <c r="I784" s="34">
        <f>IF($F784="","",IFERROR(INDEX(사건마스터!$C$5:$C$64,MATCH($F784,사건마스터!$A$5:$A$64,0)),""))</f>
        <v/>
      </c>
      <c r="J784" s="35">
        <f>IF($F784="","",IFERROR(INDEX(사건마스터!$H$5:$H$64,MATCH($F784,사건마스터!$A$5:$A$64,0)),""))</f>
        <v/>
      </c>
      <c r="K784" s="35">
        <f>IF($F784="","",IFERROR(INDEX(사건마스터!$AH$5:$AH$64,MATCH($F784,사건마스터!$A$5:$A$64,0)),""))</f>
        <v/>
      </c>
      <c r="L784" s="35">
        <f>IF($F784="","",IFERROR(INDEX(사건마스터!$AI$5:$AI$64,MATCH($F784,사건마스터!$A$5:$A$64,0)),""))</f>
        <v/>
      </c>
      <c r="M784" s="35">
        <f>IF($F784="","",IFERROR(INDEX(사건마스터!$AJ$5:$AJ$64,MATCH($F784,사건마스터!$A$5:$A$64,0)),""))</f>
        <v/>
      </c>
      <c r="N784" s="35">
        <f>IF($F784="","",IFERROR(INDEX(사건마스터!$AK$5:$AK$64,MATCH($F784,사건마스터!$A$5:$A$64,0)),""))</f>
        <v/>
      </c>
      <c r="O784" s="35">
        <f>IF($F784="","",IFERROR(INDEX(사건마스터!$AL$5:$AL$64,MATCH($F784,사건마스터!$A$5:$A$64,0)),""))</f>
        <v/>
      </c>
      <c r="P784" s="35">
        <f>IF($F784="","",IFERROR(INDEX(사건마스터!$AM$5:$AM$64,MATCH($F784,사건마스터!$A$5:$A$64,0)),""))</f>
        <v/>
      </c>
      <c r="Q784" s="35">
        <f>IF($F784="","",IFERROR(INDEX(사건마스터!$AN$5:$AN$64,MATCH($F784,사건마스터!$A$5:$A$64,0)),""))</f>
        <v/>
      </c>
      <c r="R784" s="35">
        <f>IF($F784="","",IFERROR(INDEX(사건마스터!$AO$5:$AO$64,MATCH($F784,사건마스터!$A$5:$A$64,0)),""))</f>
        <v/>
      </c>
      <c r="S784" s="35">
        <f>IF($F784="","",IFERROR(INDEX(사건마스터!$AP$5:$AP$64,MATCH($F784,사건마스터!$A$5:$A$64,0)),""))</f>
        <v/>
      </c>
      <c r="T784" s="35">
        <f>IF($F784="","",IFERROR(INDEX(사건마스터!$AQ$5:$AQ$64,MATCH($F784,사건마스터!$A$5:$A$64,0)),""))</f>
        <v/>
      </c>
      <c r="U784" s="35">
        <f>IF($F784="","",IFERROR(INDEX(사건마스터!$AR$5:$AR$64,MATCH($F784,사건마스터!$A$5:$A$64,0)),""))</f>
        <v/>
      </c>
      <c r="V784" s="35">
        <f>IF($F784="","",IFERROR(INDEX(사건마스터!$AS$5:$AS$64,MATCH($F784,사건마스터!$A$5:$A$64,0)),""))</f>
        <v/>
      </c>
      <c r="W784" s="35">
        <f>IF($F784="","",IFERROR(INDEX(사건마스터!$AT$5:$AT$64,MATCH($F784,사건마스터!$A$5:$A$64,0)),""))</f>
        <v/>
      </c>
      <c r="X784" s="35">
        <f>IF($F784="","",IFERROR(INDEX(사건마스터!$AU$5:$AU$64,MATCH($F784,사건마스터!$A$5:$A$64,0)),""))</f>
        <v/>
      </c>
      <c r="Y784" s="35">
        <f>IF($F784="","",IFERROR(INDEX(사건마스터!$AV$5:$AV$64,MATCH($F784,사건마스터!$A$5:$A$64,0)),""))</f>
        <v/>
      </c>
      <c r="Z784" s="30">
        <f>IF(COUNTBLANK($J784:$Y784)=16,"",16-COUNTBLANK($J784:$Y784))</f>
        <v/>
      </c>
      <c r="AA784" s="33">
        <f>IF($J784="",MID($AX784,3,255),$J784&amp;$AX784)</f>
        <v/>
      </c>
      <c r="AB784" s="34">
        <f>IF($J784="","",IFERROR(INDEX(코드설정!$D$5:$D$24,MATCH($J784,코드설정!$C$5:$C$24,0)),""))</f>
        <v/>
      </c>
      <c r="AC784" s="36" t="n"/>
      <c r="AD784" s="37" t="n"/>
      <c r="AE784" s="38" t="n"/>
      <c r="AF784" s="30">
        <f>IF(OR($B784="",$C784=""),"",$C784-$B784+1)</f>
        <v/>
      </c>
      <c r="AG784" s="32" t="n"/>
      <c r="AH784" s="36" t="n"/>
      <c r="AJ784">
        <f>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  <c r="AX784">
        <f>AW784&amp;IF($Y784="","",", "&amp;$Y784)</f>
        <v/>
      </c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0">
        <f>IF($F785="","",COUNTIF($F$5:$F785,$F785))</f>
        <v/>
      </c>
      <c r="H785" s="33">
        <f>IF($F785="","",IFERROR(INDEX(사건마스터!$B$5:$B$64,MATCH($F785,사건마스터!$A$5:$A$64,0)),""))</f>
        <v/>
      </c>
      <c r="I785" s="34">
        <f>IF($F785="","",IFERROR(INDEX(사건마스터!$C$5:$C$64,MATCH($F785,사건마스터!$A$5:$A$64,0)),""))</f>
        <v/>
      </c>
      <c r="J785" s="35">
        <f>IF($F785="","",IFERROR(INDEX(사건마스터!$H$5:$H$64,MATCH($F785,사건마스터!$A$5:$A$64,0)),""))</f>
        <v/>
      </c>
      <c r="K785" s="35">
        <f>IF($F785="","",IFERROR(INDEX(사건마스터!$AH$5:$AH$64,MATCH($F785,사건마스터!$A$5:$A$64,0)),""))</f>
        <v/>
      </c>
      <c r="L785" s="35">
        <f>IF($F785="","",IFERROR(INDEX(사건마스터!$AI$5:$AI$64,MATCH($F785,사건마스터!$A$5:$A$64,0)),""))</f>
        <v/>
      </c>
      <c r="M785" s="35">
        <f>IF($F785="","",IFERROR(INDEX(사건마스터!$AJ$5:$AJ$64,MATCH($F785,사건마스터!$A$5:$A$64,0)),""))</f>
        <v/>
      </c>
      <c r="N785" s="35">
        <f>IF($F785="","",IFERROR(INDEX(사건마스터!$AK$5:$AK$64,MATCH($F785,사건마스터!$A$5:$A$64,0)),""))</f>
        <v/>
      </c>
      <c r="O785" s="35">
        <f>IF($F785="","",IFERROR(INDEX(사건마스터!$AL$5:$AL$64,MATCH($F785,사건마스터!$A$5:$A$64,0)),""))</f>
        <v/>
      </c>
      <c r="P785" s="35">
        <f>IF($F785="","",IFERROR(INDEX(사건마스터!$AM$5:$AM$64,MATCH($F785,사건마스터!$A$5:$A$64,0)),""))</f>
        <v/>
      </c>
      <c r="Q785" s="35">
        <f>IF($F785="","",IFERROR(INDEX(사건마스터!$AN$5:$AN$64,MATCH($F785,사건마스터!$A$5:$A$64,0)),""))</f>
        <v/>
      </c>
      <c r="R785" s="35">
        <f>IF($F785="","",IFERROR(INDEX(사건마스터!$AO$5:$AO$64,MATCH($F785,사건마스터!$A$5:$A$64,0)),""))</f>
        <v/>
      </c>
      <c r="S785" s="35">
        <f>IF($F785="","",IFERROR(INDEX(사건마스터!$AP$5:$AP$64,MATCH($F785,사건마스터!$A$5:$A$64,0)),""))</f>
        <v/>
      </c>
      <c r="T785" s="35">
        <f>IF($F785="","",IFERROR(INDEX(사건마스터!$AQ$5:$AQ$64,MATCH($F785,사건마스터!$A$5:$A$64,0)),""))</f>
        <v/>
      </c>
      <c r="U785" s="35">
        <f>IF($F785="","",IFERROR(INDEX(사건마스터!$AR$5:$AR$64,MATCH($F785,사건마스터!$A$5:$A$64,0)),""))</f>
        <v/>
      </c>
      <c r="V785" s="35">
        <f>IF($F785="","",IFERROR(INDEX(사건마스터!$AS$5:$AS$64,MATCH($F785,사건마스터!$A$5:$A$64,0)),""))</f>
        <v/>
      </c>
      <c r="W785" s="35">
        <f>IF($F785="","",IFERROR(INDEX(사건마스터!$AT$5:$AT$64,MATCH($F785,사건마스터!$A$5:$A$64,0)),""))</f>
        <v/>
      </c>
      <c r="X785" s="35">
        <f>IF($F785="","",IFERROR(INDEX(사건마스터!$AU$5:$AU$64,MATCH($F785,사건마스터!$A$5:$A$64,0)),""))</f>
        <v/>
      </c>
      <c r="Y785" s="35">
        <f>IF($F785="","",IFERROR(INDEX(사건마스터!$AV$5:$AV$64,MATCH($F785,사건마스터!$A$5:$A$64,0)),""))</f>
        <v/>
      </c>
      <c r="Z785" s="30">
        <f>IF(COUNTBLANK($J785:$Y785)=16,"",16-COUNTBLANK($J785:$Y785))</f>
        <v/>
      </c>
      <c r="AA785" s="33">
        <f>IF($J785="",MID($AX785,3,255),$J785&amp;$AX785)</f>
        <v/>
      </c>
      <c r="AB785" s="34">
        <f>IF($J785="","",IFERROR(INDEX(코드설정!$D$5:$D$24,MATCH($J785,코드설정!$C$5:$C$24,0)),""))</f>
        <v/>
      </c>
      <c r="AC785" s="36" t="n"/>
      <c r="AD785" s="37" t="n"/>
      <c r="AE785" s="38" t="n"/>
      <c r="AF785" s="30">
        <f>IF(OR($B785="",$C785=""),"",$C785-$B785+1)</f>
        <v/>
      </c>
      <c r="AG785" s="32" t="n"/>
      <c r="AH785" s="36" t="n"/>
      <c r="AJ785">
        <f>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  <c r="AX785">
        <f>AW785&amp;IF($Y785="","",", "&amp;$Y785)</f>
        <v/>
      </c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0">
        <f>IF($F786="","",COUNTIF($F$5:$F786,$F786))</f>
        <v/>
      </c>
      <c r="H786" s="33">
        <f>IF($F786="","",IFERROR(INDEX(사건마스터!$B$5:$B$64,MATCH($F786,사건마스터!$A$5:$A$64,0)),""))</f>
        <v/>
      </c>
      <c r="I786" s="34">
        <f>IF($F786="","",IFERROR(INDEX(사건마스터!$C$5:$C$64,MATCH($F786,사건마스터!$A$5:$A$64,0)),""))</f>
        <v/>
      </c>
      <c r="J786" s="35">
        <f>IF($F786="","",IFERROR(INDEX(사건마스터!$H$5:$H$64,MATCH($F786,사건마스터!$A$5:$A$64,0)),""))</f>
        <v/>
      </c>
      <c r="K786" s="35">
        <f>IF($F786="","",IFERROR(INDEX(사건마스터!$AH$5:$AH$64,MATCH($F786,사건마스터!$A$5:$A$64,0)),""))</f>
        <v/>
      </c>
      <c r="L786" s="35">
        <f>IF($F786="","",IFERROR(INDEX(사건마스터!$AI$5:$AI$64,MATCH($F786,사건마스터!$A$5:$A$64,0)),""))</f>
        <v/>
      </c>
      <c r="M786" s="35">
        <f>IF($F786="","",IFERROR(INDEX(사건마스터!$AJ$5:$AJ$64,MATCH($F786,사건마스터!$A$5:$A$64,0)),""))</f>
        <v/>
      </c>
      <c r="N786" s="35">
        <f>IF($F786="","",IFERROR(INDEX(사건마스터!$AK$5:$AK$64,MATCH($F786,사건마스터!$A$5:$A$64,0)),""))</f>
        <v/>
      </c>
      <c r="O786" s="35">
        <f>IF($F786="","",IFERROR(INDEX(사건마스터!$AL$5:$AL$64,MATCH($F786,사건마스터!$A$5:$A$64,0)),""))</f>
        <v/>
      </c>
      <c r="P786" s="35">
        <f>IF($F786="","",IFERROR(INDEX(사건마스터!$AM$5:$AM$64,MATCH($F786,사건마스터!$A$5:$A$64,0)),""))</f>
        <v/>
      </c>
      <c r="Q786" s="35">
        <f>IF($F786="","",IFERROR(INDEX(사건마스터!$AN$5:$AN$64,MATCH($F786,사건마스터!$A$5:$A$64,0)),""))</f>
        <v/>
      </c>
      <c r="R786" s="35">
        <f>IF($F786="","",IFERROR(INDEX(사건마스터!$AO$5:$AO$64,MATCH($F786,사건마스터!$A$5:$A$64,0)),""))</f>
        <v/>
      </c>
      <c r="S786" s="35">
        <f>IF($F786="","",IFERROR(INDEX(사건마스터!$AP$5:$AP$64,MATCH($F786,사건마스터!$A$5:$A$64,0)),""))</f>
        <v/>
      </c>
      <c r="T786" s="35">
        <f>IF($F786="","",IFERROR(INDEX(사건마스터!$AQ$5:$AQ$64,MATCH($F786,사건마스터!$A$5:$A$64,0)),""))</f>
        <v/>
      </c>
      <c r="U786" s="35">
        <f>IF($F786="","",IFERROR(INDEX(사건마스터!$AR$5:$AR$64,MATCH($F786,사건마스터!$A$5:$A$64,0)),""))</f>
        <v/>
      </c>
      <c r="V786" s="35">
        <f>IF($F786="","",IFERROR(INDEX(사건마스터!$AS$5:$AS$64,MATCH($F786,사건마스터!$A$5:$A$64,0)),""))</f>
        <v/>
      </c>
      <c r="W786" s="35">
        <f>IF($F786="","",IFERROR(INDEX(사건마스터!$AT$5:$AT$64,MATCH($F786,사건마스터!$A$5:$A$64,0)),""))</f>
        <v/>
      </c>
      <c r="X786" s="35">
        <f>IF($F786="","",IFERROR(INDEX(사건마스터!$AU$5:$AU$64,MATCH($F786,사건마스터!$A$5:$A$64,0)),""))</f>
        <v/>
      </c>
      <c r="Y786" s="35">
        <f>IF($F786="","",IFERROR(INDEX(사건마스터!$AV$5:$AV$64,MATCH($F786,사건마스터!$A$5:$A$64,0)),""))</f>
        <v/>
      </c>
      <c r="Z786" s="30">
        <f>IF(COUNTBLANK($J786:$Y786)=16,"",16-COUNTBLANK($J786:$Y786))</f>
        <v/>
      </c>
      <c r="AA786" s="33">
        <f>IF($J786="",MID($AX786,3,255),$J786&amp;$AX786)</f>
        <v/>
      </c>
      <c r="AB786" s="34">
        <f>IF($J786="","",IFERROR(INDEX(코드설정!$D$5:$D$24,MATCH($J786,코드설정!$C$5:$C$24,0)),""))</f>
        <v/>
      </c>
      <c r="AC786" s="36" t="n"/>
      <c r="AD786" s="37" t="n"/>
      <c r="AE786" s="38" t="n"/>
      <c r="AF786" s="30">
        <f>IF(OR($B786="",$C786=""),"",$C786-$B786+1)</f>
        <v/>
      </c>
      <c r="AG786" s="32" t="n"/>
      <c r="AH786" s="36" t="n"/>
      <c r="AJ786">
        <f>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  <c r="AX786">
        <f>AW786&amp;IF($Y786="","",", "&amp;$Y786)</f>
        <v/>
      </c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0">
        <f>IF($F787="","",COUNTIF($F$5:$F787,$F787))</f>
        <v/>
      </c>
      <c r="H787" s="33">
        <f>IF($F787="","",IFERROR(INDEX(사건마스터!$B$5:$B$64,MATCH($F787,사건마스터!$A$5:$A$64,0)),""))</f>
        <v/>
      </c>
      <c r="I787" s="34">
        <f>IF($F787="","",IFERROR(INDEX(사건마스터!$C$5:$C$64,MATCH($F787,사건마스터!$A$5:$A$64,0)),""))</f>
        <v/>
      </c>
      <c r="J787" s="35">
        <f>IF($F787="","",IFERROR(INDEX(사건마스터!$H$5:$H$64,MATCH($F787,사건마스터!$A$5:$A$64,0)),""))</f>
        <v/>
      </c>
      <c r="K787" s="35">
        <f>IF($F787="","",IFERROR(INDEX(사건마스터!$AH$5:$AH$64,MATCH($F787,사건마스터!$A$5:$A$64,0)),""))</f>
        <v/>
      </c>
      <c r="L787" s="35">
        <f>IF($F787="","",IFERROR(INDEX(사건마스터!$AI$5:$AI$64,MATCH($F787,사건마스터!$A$5:$A$64,0)),""))</f>
        <v/>
      </c>
      <c r="M787" s="35">
        <f>IF($F787="","",IFERROR(INDEX(사건마스터!$AJ$5:$AJ$64,MATCH($F787,사건마스터!$A$5:$A$64,0)),""))</f>
        <v/>
      </c>
      <c r="N787" s="35">
        <f>IF($F787="","",IFERROR(INDEX(사건마스터!$AK$5:$AK$64,MATCH($F787,사건마스터!$A$5:$A$64,0)),""))</f>
        <v/>
      </c>
      <c r="O787" s="35">
        <f>IF($F787="","",IFERROR(INDEX(사건마스터!$AL$5:$AL$64,MATCH($F787,사건마스터!$A$5:$A$64,0)),""))</f>
        <v/>
      </c>
      <c r="P787" s="35">
        <f>IF($F787="","",IFERROR(INDEX(사건마스터!$AM$5:$AM$64,MATCH($F787,사건마스터!$A$5:$A$64,0)),""))</f>
        <v/>
      </c>
      <c r="Q787" s="35">
        <f>IF($F787="","",IFERROR(INDEX(사건마스터!$AN$5:$AN$64,MATCH($F787,사건마스터!$A$5:$A$64,0)),""))</f>
        <v/>
      </c>
      <c r="R787" s="35">
        <f>IF($F787="","",IFERROR(INDEX(사건마스터!$AO$5:$AO$64,MATCH($F787,사건마스터!$A$5:$A$64,0)),""))</f>
        <v/>
      </c>
      <c r="S787" s="35">
        <f>IF($F787="","",IFERROR(INDEX(사건마스터!$AP$5:$AP$64,MATCH($F787,사건마스터!$A$5:$A$64,0)),""))</f>
        <v/>
      </c>
      <c r="T787" s="35">
        <f>IF($F787="","",IFERROR(INDEX(사건마스터!$AQ$5:$AQ$64,MATCH($F787,사건마스터!$A$5:$A$64,0)),""))</f>
        <v/>
      </c>
      <c r="U787" s="35">
        <f>IF($F787="","",IFERROR(INDEX(사건마스터!$AR$5:$AR$64,MATCH($F787,사건마스터!$A$5:$A$64,0)),""))</f>
        <v/>
      </c>
      <c r="V787" s="35">
        <f>IF($F787="","",IFERROR(INDEX(사건마스터!$AS$5:$AS$64,MATCH($F787,사건마스터!$A$5:$A$64,0)),""))</f>
        <v/>
      </c>
      <c r="W787" s="35">
        <f>IF($F787="","",IFERROR(INDEX(사건마스터!$AT$5:$AT$64,MATCH($F787,사건마스터!$A$5:$A$64,0)),""))</f>
        <v/>
      </c>
      <c r="X787" s="35">
        <f>IF($F787="","",IFERROR(INDEX(사건마스터!$AU$5:$AU$64,MATCH($F787,사건마스터!$A$5:$A$64,0)),""))</f>
        <v/>
      </c>
      <c r="Y787" s="35">
        <f>IF($F787="","",IFERROR(INDEX(사건마스터!$AV$5:$AV$64,MATCH($F787,사건마스터!$A$5:$A$64,0)),""))</f>
        <v/>
      </c>
      <c r="Z787" s="30">
        <f>IF(COUNTBLANK($J787:$Y787)=16,"",16-COUNTBLANK($J787:$Y787))</f>
        <v/>
      </c>
      <c r="AA787" s="33">
        <f>IF($J787="",MID($AX787,3,255),$J787&amp;$AX787)</f>
        <v/>
      </c>
      <c r="AB787" s="34">
        <f>IF($J787="","",IFERROR(INDEX(코드설정!$D$5:$D$24,MATCH($J787,코드설정!$C$5:$C$24,0)),""))</f>
        <v/>
      </c>
      <c r="AC787" s="36" t="n"/>
      <c r="AD787" s="37" t="n"/>
      <c r="AE787" s="38" t="n"/>
      <c r="AF787" s="30">
        <f>IF(OR($B787="",$C787=""),"",$C787-$B787+1)</f>
        <v/>
      </c>
      <c r="AG787" s="32" t="n"/>
      <c r="AH787" s="36" t="n"/>
      <c r="AJ787">
        <f>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  <c r="AX787">
        <f>AW787&amp;IF($Y787="","",", "&amp;$Y787)</f>
        <v/>
      </c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0">
        <f>IF($F788="","",COUNTIF($F$5:$F788,$F788))</f>
        <v/>
      </c>
      <c r="H788" s="33">
        <f>IF($F788="","",IFERROR(INDEX(사건마스터!$B$5:$B$64,MATCH($F788,사건마스터!$A$5:$A$64,0)),""))</f>
        <v/>
      </c>
      <c r="I788" s="34">
        <f>IF($F788="","",IFERROR(INDEX(사건마스터!$C$5:$C$64,MATCH($F788,사건마스터!$A$5:$A$64,0)),""))</f>
        <v/>
      </c>
      <c r="J788" s="35">
        <f>IF($F788="","",IFERROR(INDEX(사건마스터!$H$5:$H$64,MATCH($F788,사건마스터!$A$5:$A$64,0)),""))</f>
        <v/>
      </c>
      <c r="K788" s="35">
        <f>IF($F788="","",IFERROR(INDEX(사건마스터!$AH$5:$AH$64,MATCH($F788,사건마스터!$A$5:$A$64,0)),""))</f>
        <v/>
      </c>
      <c r="L788" s="35">
        <f>IF($F788="","",IFERROR(INDEX(사건마스터!$AI$5:$AI$64,MATCH($F788,사건마스터!$A$5:$A$64,0)),""))</f>
        <v/>
      </c>
      <c r="M788" s="35">
        <f>IF($F788="","",IFERROR(INDEX(사건마스터!$AJ$5:$AJ$64,MATCH($F788,사건마스터!$A$5:$A$64,0)),""))</f>
        <v/>
      </c>
      <c r="N788" s="35">
        <f>IF($F788="","",IFERROR(INDEX(사건마스터!$AK$5:$AK$64,MATCH($F788,사건마스터!$A$5:$A$64,0)),""))</f>
        <v/>
      </c>
      <c r="O788" s="35">
        <f>IF($F788="","",IFERROR(INDEX(사건마스터!$AL$5:$AL$64,MATCH($F788,사건마스터!$A$5:$A$64,0)),""))</f>
        <v/>
      </c>
      <c r="P788" s="35">
        <f>IF($F788="","",IFERROR(INDEX(사건마스터!$AM$5:$AM$64,MATCH($F788,사건마스터!$A$5:$A$64,0)),""))</f>
        <v/>
      </c>
      <c r="Q788" s="35">
        <f>IF($F788="","",IFERROR(INDEX(사건마스터!$AN$5:$AN$64,MATCH($F788,사건마스터!$A$5:$A$64,0)),""))</f>
        <v/>
      </c>
      <c r="R788" s="35">
        <f>IF($F788="","",IFERROR(INDEX(사건마스터!$AO$5:$AO$64,MATCH($F788,사건마스터!$A$5:$A$64,0)),""))</f>
        <v/>
      </c>
      <c r="S788" s="35">
        <f>IF($F788="","",IFERROR(INDEX(사건마스터!$AP$5:$AP$64,MATCH($F788,사건마스터!$A$5:$A$64,0)),""))</f>
        <v/>
      </c>
      <c r="T788" s="35">
        <f>IF($F788="","",IFERROR(INDEX(사건마스터!$AQ$5:$AQ$64,MATCH($F788,사건마스터!$A$5:$A$64,0)),""))</f>
        <v/>
      </c>
      <c r="U788" s="35">
        <f>IF($F788="","",IFERROR(INDEX(사건마스터!$AR$5:$AR$64,MATCH($F788,사건마스터!$A$5:$A$64,0)),""))</f>
        <v/>
      </c>
      <c r="V788" s="35">
        <f>IF($F788="","",IFERROR(INDEX(사건마스터!$AS$5:$AS$64,MATCH($F788,사건마스터!$A$5:$A$64,0)),""))</f>
        <v/>
      </c>
      <c r="W788" s="35">
        <f>IF($F788="","",IFERROR(INDEX(사건마스터!$AT$5:$AT$64,MATCH($F788,사건마스터!$A$5:$A$64,0)),""))</f>
        <v/>
      </c>
      <c r="X788" s="35">
        <f>IF($F788="","",IFERROR(INDEX(사건마스터!$AU$5:$AU$64,MATCH($F788,사건마스터!$A$5:$A$64,0)),""))</f>
        <v/>
      </c>
      <c r="Y788" s="35">
        <f>IF($F788="","",IFERROR(INDEX(사건마스터!$AV$5:$AV$64,MATCH($F788,사건마스터!$A$5:$A$64,0)),""))</f>
        <v/>
      </c>
      <c r="Z788" s="30">
        <f>IF(COUNTBLANK($J788:$Y788)=16,"",16-COUNTBLANK($J788:$Y788))</f>
        <v/>
      </c>
      <c r="AA788" s="33">
        <f>IF($J788="",MID($AX788,3,255),$J788&amp;$AX788)</f>
        <v/>
      </c>
      <c r="AB788" s="34">
        <f>IF($J788="","",IFERROR(INDEX(코드설정!$D$5:$D$24,MATCH($J788,코드설정!$C$5:$C$24,0)),""))</f>
        <v/>
      </c>
      <c r="AC788" s="36" t="n"/>
      <c r="AD788" s="37" t="n"/>
      <c r="AE788" s="38" t="n"/>
      <c r="AF788" s="30">
        <f>IF(OR($B788="",$C788=""),"",$C788-$B788+1)</f>
        <v/>
      </c>
      <c r="AG788" s="32" t="n"/>
      <c r="AH788" s="36" t="n"/>
      <c r="AJ788">
        <f>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  <c r="AX788">
        <f>AW788&amp;IF($Y788="","",", "&amp;$Y788)</f>
        <v/>
      </c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0">
        <f>IF($F789="","",COUNTIF($F$5:$F789,$F789))</f>
        <v/>
      </c>
      <c r="H789" s="33">
        <f>IF($F789="","",IFERROR(INDEX(사건마스터!$B$5:$B$64,MATCH($F789,사건마스터!$A$5:$A$64,0)),""))</f>
        <v/>
      </c>
      <c r="I789" s="34">
        <f>IF($F789="","",IFERROR(INDEX(사건마스터!$C$5:$C$64,MATCH($F789,사건마스터!$A$5:$A$64,0)),""))</f>
        <v/>
      </c>
      <c r="J789" s="35">
        <f>IF($F789="","",IFERROR(INDEX(사건마스터!$H$5:$H$64,MATCH($F789,사건마스터!$A$5:$A$64,0)),""))</f>
        <v/>
      </c>
      <c r="K789" s="35">
        <f>IF($F789="","",IFERROR(INDEX(사건마스터!$AH$5:$AH$64,MATCH($F789,사건마스터!$A$5:$A$64,0)),""))</f>
        <v/>
      </c>
      <c r="L789" s="35">
        <f>IF($F789="","",IFERROR(INDEX(사건마스터!$AI$5:$AI$64,MATCH($F789,사건마스터!$A$5:$A$64,0)),""))</f>
        <v/>
      </c>
      <c r="M789" s="35">
        <f>IF($F789="","",IFERROR(INDEX(사건마스터!$AJ$5:$AJ$64,MATCH($F789,사건마스터!$A$5:$A$64,0)),""))</f>
        <v/>
      </c>
      <c r="N789" s="35">
        <f>IF($F789="","",IFERROR(INDEX(사건마스터!$AK$5:$AK$64,MATCH($F789,사건마스터!$A$5:$A$64,0)),""))</f>
        <v/>
      </c>
      <c r="O789" s="35">
        <f>IF($F789="","",IFERROR(INDEX(사건마스터!$AL$5:$AL$64,MATCH($F789,사건마스터!$A$5:$A$64,0)),""))</f>
        <v/>
      </c>
      <c r="P789" s="35">
        <f>IF($F789="","",IFERROR(INDEX(사건마스터!$AM$5:$AM$64,MATCH($F789,사건마스터!$A$5:$A$64,0)),""))</f>
        <v/>
      </c>
      <c r="Q789" s="35">
        <f>IF($F789="","",IFERROR(INDEX(사건마스터!$AN$5:$AN$64,MATCH($F789,사건마스터!$A$5:$A$64,0)),""))</f>
        <v/>
      </c>
      <c r="R789" s="35">
        <f>IF($F789="","",IFERROR(INDEX(사건마스터!$AO$5:$AO$64,MATCH($F789,사건마스터!$A$5:$A$64,0)),""))</f>
        <v/>
      </c>
      <c r="S789" s="35">
        <f>IF($F789="","",IFERROR(INDEX(사건마스터!$AP$5:$AP$64,MATCH($F789,사건마스터!$A$5:$A$64,0)),""))</f>
        <v/>
      </c>
      <c r="T789" s="35">
        <f>IF($F789="","",IFERROR(INDEX(사건마스터!$AQ$5:$AQ$64,MATCH($F789,사건마스터!$A$5:$A$64,0)),""))</f>
        <v/>
      </c>
      <c r="U789" s="35">
        <f>IF($F789="","",IFERROR(INDEX(사건마스터!$AR$5:$AR$64,MATCH($F789,사건마스터!$A$5:$A$64,0)),""))</f>
        <v/>
      </c>
      <c r="V789" s="35">
        <f>IF($F789="","",IFERROR(INDEX(사건마스터!$AS$5:$AS$64,MATCH($F789,사건마스터!$A$5:$A$64,0)),""))</f>
        <v/>
      </c>
      <c r="W789" s="35">
        <f>IF($F789="","",IFERROR(INDEX(사건마스터!$AT$5:$AT$64,MATCH($F789,사건마스터!$A$5:$A$64,0)),""))</f>
        <v/>
      </c>
      <c r="X789" s="35">
        <f>IF($F789="","",IFERROR(INDEX(사건마스터!$AU$5:$AU$64,MATCH($F789,사건마스터!$A$5:$A$64,0)),""))</f>
        <v/>
      </c>
      <c r="Y789" s="35">
        <f>IF($F789="","",IFERROR(INDEX(사건마스터!$AV$5:$AV$64,MATCH($F789,사건마스터!$A$5:$A$64,0)),""))</f>
        <v/>
      </c>
      <c r="Z789" s="30">
        <f>IF(COUNTBLANK($J789:$Y789)=16,"",16-COUNTBLANK($J789:$Y789))</f>
        <v/>
      </c>
      <c r="AA789" s="33">
        <f>IF($J789="",MID($AX789,3,255),$J789&amp;$AX789)</f>
        <v/>
      </c>
      <c r="AB789" s="34">
        <f>IF($J789="","",IFERROR(INDEX(코드설정!$D$5:$D$24,MATCH($J789,코드설정!$C$5:$C$24,0)),""))</f>
        <v/>
      </c>
      <c r="AC789" s="36" t="n"/>
      <c r="AD789" s="37" t="n"/>
      <c r="AE789" s="38" t="n"/>
      <c r="AF789" s="30">
        <f>IF(OR($B789="",$C789=""),"",$C789-$B789+1)</f>
        <v/>
      </c>
      <c r="AG789" s="32" t="n"/>
      <c r="AH789" s="36" t="n"/>
      <c r="AJ789">
        <f>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  <c r="AX789">
        <f>AW789&amp;IF($Y789="","",", "&amp;$Y789)</f>
        <v/>
      </c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0">
        <f>IF($F790="","",COUNTIF($F$5:$F790,$F790))</f>
        <v/>
      </c>
      <c r="H790" s="33">
        <f>IF($F790="","",IFERROR(INDEX(사건마스터!$B$5:$B$64,MATCH($F790,사건마스터!$A$5:$A$64,0)),""))</f>
        <v/>
      </c>
      <c r="I790" s="34">
        <f>IF($F790="","",IFERROR(INDEX(사건마스터!$C$5:$C$64,MATCH($F790,사건마스터!$A$5:$A$64,0)),""))</f>
        <v/>
      </c>
      <c r="J790" s="35">
        <f>IF($F790="","",IFERROR(INDEX(사건마스터!$H$5:$H$64,MATCH($F790,사건마스터!$A$5:$A$64,0)),""))</f>
        <v/>
      </c>
      <c r="K790" s="35">
        <f>IF($F790="","",IFERROR(INDEX(사건마스터!$AH$5:$AH$64,MATCH($F790,사건마스터!$A$5:$A$64,0)),""))</f>
        <v/>
      </c>
      <c r="L790" s="35">
        <f>IF($F790="","",IFERROR(INDEX(사건마스터!$AI$5:$AI$64,MATCH($F790,사건마스터!$A$5:$A$64,0)),""))</f>
        <v/>
      </c>
      <c r="M790" s="35">
        <f>IF($F790="","",IFERROR(INDEX(사건마스터!$AJ$5:$AJ$64,MATCH($F790,사건마스터!$A$5:$A$64,0)),""))</f>
        <v/>
      </c>
      <c r="N790" s="35">
        <f>IF($F790="","",IFERROR(INDEX(사건마스터!$AK$5:$AK$64,MATCH($F790,사건마스터!$A$5:$A$64,0)),""))</f>
        <v/>
      </c>
      <c r="O790" s="35">
        <f>IF($F790="","",IFERROR(INDEX(사건마스터!$AL$5:$AL$64,MATCH($F790,사건마스터!$A$5:$A$64,0)),""))</f>
        <v/>
      </c>
      <c r="P790" s="35">
        <f>IF($F790="","",IFERROR(INDEX(사건마스터!$AM$5:$AM$64,MATCH($F790,사건마스터!$A$5:$A$64,0)),""))</f>
        <v/>
      </c>
      <c r="Q790" s="35">
        <f>IF($F790="","",IFERROR(INDEX(사건마스터!$AN$5:$AN$64,MATCH($F790,사건마스터!$A$5:$A$64,0)),""))</f>
        <v/>
      </c>
      <c r="R790" s="35">
        <f>IF($F790="","",IFERROR(INDEX(사건마스터!$AO$5:$AO$64,MATCH($F790,사건마스터!$A$5:$A$64,0)),""))</f>
        <v/>
      </c>
      <c r="S790" s="35">
        <f>IF($F790="","",IFERROR(INDEX(사건마스터!$AP$5:$AP$64,MATCH($F790,사건마스터!$A$5:$A$64,0)),""))</f>
        <v/>
      </c>
      <c r="T790" s="35">
        <f>IF($F790="","",IFERROR(INDEX(사건마스터!$AQ$5:$AQ$64,MATCH($F790,사건마스터!$A$5:$A$64,0)),""))</f>
        <v/>
      </c>
      <c r="U790" s="35">
        <f>IF($F790="","",IFERROR(INDEX(사건마스터!$AR$5:$AR$64,MATCH($F790,사건마스터!$A$5:$A$64,0)),""))</f>
        <v/>
      </c>
      <c r="V790" s="35">
        <f>IF($F790="","",IFERROR(INDEX(사건마스터!$AS$5:$AS$64,MATCH($F790,사건마스터!$A$5:$A$64,0)),""))</f>
        <v/>
      </c>
      <c r="W790" s="35">
        <f>IF($F790="","",IFERROR(INDEX(사건마스터!$AT$5:$AT$64,MATCH($F790,사건마스터!$A$5:$A$64,0)),""))</f>
        <v/>
      </c>
      <c r="X790" s="35">
        <f>IF($F790="","",IFERROR(INDEX(사건마스터!$AU$5:$AU$64,MATCH($F790,사건마스터!$A$5:$A$64,0)),""))</f>
        <v/>
      </c>
      <c r="Y790" s="35">
        <f>IF($F790="","",IFERROR(INDEX(사건마스터!$AV$5:$AV$64,MATCH($F790,사건마스터!$A$5:$A$64,0)),""))</f>
        <v/>
      </c>
      <c r="Z790" s="30">
        <f>IF(COUNTBLANK($J790:$Y790)=16,"",16-COUNTBLANK($J790:$Y790))</f>
        <v/>
      </c>
      <c r="AA790" s="33">
        <f>IF($J790="",MID($AX790,3,255),$J790&amp;$AX790)</f>
        <v/>
      </c>
      <c r="AB790" s="34">
        <f>IF($J790="","",IFERROR(INDEX(코드설정!$D$5:$D$24,MATCH($J790,코드설정!$C$5:$C$24,0)),""))</f>
        <v/>
      </c>
      <c r="AC790" s="36" t="n"/>
      <c r="AD790" s="37" t="n"/>
      <c r="AE790" s="38" t="n"/>
      <c r="AF790" s="30">
        <f>IF(OR($B790="",$C790=""),"",$C790-$B790+1)</f>
        <v/>
      </c>
      <c r="AG790" s="32" t="n"/>
      <c r="AH790" s="36" t="n"/>
      <c r="AJ790">
        <f>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  <c r="AX790">
        <f>AW790&amp;IF($Y790="","",", "&amp;$Y790)</f>
        <v/>
      </c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0">
        <f>IF($F791="","",COUNTIF($F$5:$F791,$F791))</f>
        <v/>
      </c>
      <c r="H791" s="33">
        <f>IF($F791="","",IFERROR(INDEX(사건마스터!$B$5:$B$64,MATCH($F791,사건마스터!$A$5:$A$64,0)),""))</f>
        <v/>
      </c>
      <c r="I791" s="34">
        <f>IF($F791="","",IFERROR(INDEX(사건마스터!$C$5:$C$64,MATCH($F791,사건마스터!$A$5:$A$64,0)),""))</f>
        <v/>
      </c>
      <c r="J791" s="35">
        <f>IF($F791="","",IFERROR(INDEX(사건마스터!$H$5:$H$64,MATCH($F791,사건마스터!$A$5:$A$64,0)),""))</f>
        <v/>
      </c>
      <c r="K791" s="35">
        <f>IF($F791="","",IFERROR(INDEX(사건마스터!$AH$5:$AH$64,MATCH($F791,사건마스터!$A$5:$A$64,0)),""))</f>
        <v/>
      </c>
      <c r="L791" s="35">
        <f>IF($F791="","",IFERROR(INDEX(사건마스터!$AI$5:$AI$64,MATCH($F791,사건마스터!$A$5:$A$64,0)),""))</f>
        <v/>
      </c>
      <c r="M791" s="35">
        <f>IF($F791="","",IFERROR(INDEX(사건마스터!$AJ$5:$AJ$64,MATCH($F791,사건마스터!$A$5:$A$64,0)),""))</f>
        <v/>
      </c>
      <c r="N791" s="35">
        <f>IF($F791="","",IFERROR(INDEX(사건마스터!$AK$5:$AK$64,MATCH($F791,사건마스터!$A$5:$A$64,0)),""))</f>
        <v/>
      </c>
      <c r="O791" s="35">
        <f>IF($F791="","",IFERROR(INDEX(사건마스터!$AL$5:$AL$64,MATCH($F791,사건마스터!$A$5:$A$64,0)),""))</f>
        <v/>
      </c>
      <c r="P791" s="35">
        <f>IF($F791="","",IFERROR(INDEX(사건마스터!$AM$5:$AM$64,MATCH($F791,사건마스터!$A$5:$A$64,0)),""))</f>
        <v/>
      </c>
      <c r="Q791" s="35">
        <f>IF($F791="","",IFERROR(INDEX(사건마스터!$AN$5:$AN$64,MATCH($F791,사건마스터!$A$5:$A$64,0)),""))</f>
        <v/>
      </c>
      <c r="R791" s="35">
        <f>IF($F791="","",IFERROR(INDEX(사건마스터!$AO$5:$AO$64,MATCH($F791,사건마스터!$A$5:$A$64,0)),""))</f>
        <v/>
      </c>
      <c r="S791" s="35">
        <f>IF($F791="","",IFERROR(INDEX(사건마스터!$AP$5:$AP$64,MATCH($F791,사건마스터!$A$5:$A$64,0)),""))</f>
        <v/>
      </c>
      <c r="T791" s="35">
        <f>IF($F791="","",IFERROR(INDEX(사건마스터!$AQ$5:$AQ$64,MATCH($F791,사건마스터!$A$5:$A$64,0)),""))</f>
        <v/>
      </c>
      <c r="U791" s="35">
        <f>IF($F791="","",IFERROR(INDEX(사건마스터!$AR$5:$AR$64,MATCH($F791,사건마스터!$A$5:$A$64,0)),""))</f>
        <v/>
      </c>
      <c r="V791" s="35">
        <f>IF($F791="","",IFERROR(INDEX(사건마스터!$AS$5:$AS$64,MATCH($F791,사건마스터!$A$5:$A$64,0)),""))</f>
        <v/>
      </c>
      <c r="W791" s="35">
        <f>IF($F791="","",IFERROR(INDEX(사건마스터!$AT$5:$AT$64,MATCH($F791,사건마스터!$A$5:$A$64,0)),""))</f>
        <v/>
      </c>
      <c r="X791" s="35">
        <f>IF($F791="","",IFERROR(INDEX(사건마스터!$AU$5:$AU$64,MATCH($F791,사건마스터!$A$5:$A$64,0)),""))</f>
        <v/>
      </c>
      <c r="Y791" s="35">
        <f>IF($F791="","",IFERROR(INDEX(사건마스터!$AV$5:$AV$64,MATCH($F791,사건마스터!$A$5:$A$64,0)),""))</f>
        <v/>
      </c>
      <c r="Z791" s="30">
        <f>IF(COUNTBLANK($J791:$Y791)=16,"",16-COUNTBLANK($J791:$Y791))</f>
        <v/>
      </c>
      <c r="AA791" s="33">
        <f>IF($J791="",MID($AX791,3,255),$J791&amp;$AX791)</f>
        <v/>
      </c>
      <c r="AB791" s="34">
        <f>IF($J791="","",IFERROR(INDEX(코드설정!$D$5:$D$24,MATCH($J791,코드설정!$C$5:$C$24,0)),""))</f>
        <v/>
      </c>
      <c r="AC791" s="36" t="n"/>
      <c r="AD791" s="37" t="n"/>
      <c r="AE791" s="38" t="n"/>
      <c r="AF791" s="30">
        <f>IF(OR($B791="",$C791=""),"",$C791-$B791+1)</f>
        <v/>
      </c>
      <c r="AG791" s="32" t="n"/>
      <c r="AH791" s="36" t="n"/>
      <c r="AJ791">
        <f>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  <c r="AX791">
        <f>AW791&amp;IF($Y791="","",", "&amp;$Y791)</f>
        <v/>
      </c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0">
        <f>IF($F792="","",COUNTIF($F$5:$F792,$F792))</f>
        <v/>
      </c>
      <c r="H792" s="33">
        <f>IF($F792="","",IFERROR(INDEX(사건마스터!$B$5:$B$64,MATCH($F792,사건마스터!$A$5:$A$64,0)),""))</f>
        <v/>
      </c>
      <c r="I792" s="34">
        <f>IF($F792="","",IFERROR(INDEX(사건마스터!$C$5:$C$64,MATCH($F792,사건마스터!$A$5:$A$64,0)),""))</f>
        <v/>
      </c>
      <c r="J792" s="35">
        <f>IF($F792="","",IFERROR(INDEX(사건마스터!$H$5:$H$64,MATCH($F792,사건마스터!$A$5:$A$64,0)),""))</f>
        <v/>
      </c>
      <c r="K792" s="35">
        <f>IF($F792="","",IFERROR(INDEX(사건마스터!$AH$5:$AH$64,MATCH($F792,사건마스터!$A$5:$A$64,0)),""))</f>
        <v/>
      </c>
      <c r="L792" s="35">
        <f>IF($F792="","",IFERROR(INDEX(사건마스터!$AI$5:$AI$64,MATCH($F792,사건마스터!$A$5:$A$64,0)),""))</f>
        <v/>
      </c>
      <c r="M792" s="35">
        <f>IF($F792="","",IFERROR(INDEX(사건마스터!$AJ$5:$AJ$64,MATCH($F792,사건마스터!$A$5:$A$64,0)),""))</f>
        <v/>
      </c>
      <c r="N792" s="35">
        <f>IF($F792="","",IFERROR(INDEX(사건마스터!$AK$5:$AK$64,MATCH($F792,사건마스터!$A$5:$A$64,0)),""))</f>
        <v/>
      </c>
      <c r="O792" s="35">
        <f>IF($F792="","",IFERROR(INDEX(사건마스터!$AL$5:$AL$64,MATCH($F792,사건마스터!$A$5:$A$64,0)),""))</f>
        <v/>
      </c>
      <c r="P792" s="35">
        <f>IF($F792="","",IFERROR(INDEX(사건마스터!$AM$5:$AM$64,MATCH($F792,사건마스터!$A$5:$A$64,0)),""))</f>
        <v/>
      </c>
      <c r="Q792" s="35">
        <f>IF($F792="","",IFERROR(INDEX(사건마스터!$AN$5:$AN$64,MATCH($F792,사건마스터!$A$5:$A$64,0)),""))</f>
        <v/>
      </c>
      <c r="R792" s="35">
        <f>IF($F792="","",IFERROR(INDEX(사건마스터!$AO$5:$AO$64,MATCH($F792,사건마스터!$A$5:$A$64,0)),""))</f>
        <v/>
      </c>
      <c r="S792" s="35">
        <f>IF($F792="","",IFERROR(INDEX(사건마스터!$AP$5:$AP$64,MATCH($F792,사건마스터!$A$5:$A$64,0)),""))</f>
        <v/>
      </c>
      <c r="T792" s="35">
        <f>IF($F792="","",IFERROR(INDEX(사건마스터!$AQ$5:$AQ$64,MATCH($F792,사건마스터!$A$5:$A$64,0)),""))</f>
        <v/>
      </c>
      <c r="U792" s="35">
        <f>IF($F792="","",IFERROR(INDEX(사건마스터!$AR$5:$AR$64,MATCH($F792,사건마스터!$A$5:$A$64,0)),""))</f>
        <v/>
      </c>
      <c r="V792" s="35">
        <f>IF($F792="","",IFERROR(INDEX(사건마스터!$AS$5:$AS$64,MATCH($F792,사건마스터!$A$5:$A$64,0)),""))</f>
        <v/>
      </c>
      <c r="W792" s="35">
        <f>IF($F792="","",IFERROR(INDEX(사건마스터!$AT$5:$AT$64,MATCH($F792,사건마스터!$A$5:$A$64,0)),""))</f>
        <v/>
      </c>
      <c r="X792" s="35">
        <f>IF($F792="","",IFERROR(INDEX(사건마스터!$AU$5:$AU$64,MATCH($F792,사건마스터!$A$5:$A$64,0)),""))</f>
        <v/>
      </c>
      <c r="Y792" s="35">
        <f>IF($F792="","",IFERROR(INDEX(사건마스터!$AV$5:$AV$64,MATCH($F792,사건마스터!$A$5:$A$64,0)),""))</f>
        <v/>
      </c>
      <c r="Z792" s="30">
        <f>IF(COUNTBLANK($J792:$Y792)=16,"",16-COUNTBLANK($J792:$Y792))</f>
        <v/>
      </c>
      <c r="AA792" s="33">
        <f>IF($J792="",MID($AX792,3,255),$J792&amp;$AX792)</f>
        <v/>
      </c>
      <c r="AB792" s="34">
        <f>IF($J792="","",IFERROR(INDEX(코드설정!$D$5:$D$24,MATCH($J792,코드설정!$C$5:$C$24,0)),""))</f>
        <v/>
      </c>
      <c r="AC792" s="36" t="n"/>
      <c r="AD792" s="37" t="n"/>
      <c r="AE792" s="38" t="n"/>
      <c r="AF792" s="30">
        <f>IF(OR($B792="",$C792=""),"",$C792-$B792+1)</f>
        <v/>
      </c>
      <c r="AG792" s="32" t="n"/>
      <c r="AH792" s="36" t="n"/>
      <c r="AJ792">
        <f>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  <c r="AX792">
        <f>AW792&amp;IF($Y792="","",", "&amp;$Y792)</f>
        <v/>
      </c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0">
        <f>IF($F793="","",COUNTIF($F$5:$F793,$F793))</f>
        <v/>
      </c>
      <c r="H793" s="33">
        <f>IF($F793="","",IFERROR(INDEX(사건마스터!$B$5:$B$64,MATCH($F793,사건마스터!$A$5:$A$64,0)),""))</f>
        <v/>
      </c>
      <c r="I793" s="34">
        <f>IF($F793="","",IFERROR(INDEX(사건마스터!$C$5:$C$64,MATCH($F793,사건마스터!$A$5:$A$64,0)),""))</f>
        <v/>
      </c>
      <c r="J793" s="35">
        <f>IF($F793="","",IFERROR(INDEX(사건마스터!$H$5:$H$64,MATCH($F793,사건마스터!$A$5:$A$64,0)),""))</f>
        <v/>
      </c>
      <c r="K793" s="35">
        <f>IF($F793="","",IFERROR(INDEX(사건마스터!$AH$5:$AH$64,MATCH($F793,사건마스터!$A$5:$A$64,0)),""))</f>
        <v/>
      </c>
      <c r="L793" s="35">
        <f>IF($F793="","",IFERROR(INDEX(사건마스터!$AI$5:$AI$64,MATCH($F793,사건마스터!$A$5:$A$64,0)),""))</f>
        <v/>
      </c>
      <c r="M793" s="35">
        <f>IF($F793="","",IFERROR(INDEX(사건마스터!$AJ$5:$AJ$64,MATCH($F793,사건마스터!$A$5:$A$64,0)),""))</f>
        <v/>
      </c>
      <c r="N793" s="35">
        <f>IF($F793="","",IFERROR(INDEX(사건마스터!$AK$5:$AK$64,MATCH($F793,사건마스터!$A$5:$A$64,0)),""))</f>
        <v/>
      </c>
      <c r="O793" s="35">
        <f>IF($F793="","",IFERROR(INDEX(사건마스터!$AL$5:$AL$64,MATCH($F793,사건마스터!$A$5:$A$64,0)),""))</f>
        <v/>
      </c>
      <c r="P793" s="35">
        <f>IF($F793="","",IFERROR(INDEX(사건마스터!$AM$5:$AM$64,MATCH($F793,사건마스터!$A$5:$A$64,0)),""))</f>
        <v/>
      </c>
      <c r="Q793" s="35">
        <f>IF($F793="","",IFERROR(INDEX(사건마스터!$AN$5:$AN$64,MATCH($F793,사건마스터!$A$5:$A$64,0)),""))</f>
        <v/>
      </c>
      <c r="R793" s="35">
        <f>IF($F793="","",IFERROR(INDEX(사건마스터!$AO$5:$AO$64,MATCH($F793,사건마스터!$A$5:$A$64,0)),""))</f>
        <v/>
      </c>
      <c r="S793" s="35">
        <f>IF($F793="","",IFERROR(INDEX(사건마스터!$AP$5:$AP$64,MATCH($F793,사건마스터!$A$5:$A$64,0)),""))</f>
        <v/>
      </c>
      <c r="T793" s="35">
        <f>IF($F793="","",IFERROR(INDEX(사건마스터!$AQ$5:$AQ$64,MATCH($F793,사건마스터!$A$5:$A$64,0)),""))</f>
        <v/>
      </c>
      <c r="U793" s="35">
        <f>IF($F793="","",IFERROR(INDEX(사건마스터!$AR$5:$AR$64,MATCH($F793,사건마스터!$A$5:$A$64,0)),""))</f>
        <v/>
      </c>
      <c r="V793" s="35">
        <f>IF($F793="","",IFERROR(INDEX(사건마스터!$AS$5:$AS$64,MATCH($F793,사건마스터!$A$5:$A$64,0)),""))</f>
        <v/>
      </c>
      <c r="W793" s="35">
        <f>IF($F793="","",IFERROR(INDEX(사건마스터!$AT$5:$AT$64,MATCH($F793,사건마스터!$A$5:$A$64,0)),""))</f>
        <v/>
      </c>
      <c r="X793" s="35">
        <f>IF($F793="","",IFERROR(INDEX(사건마스터!$AU$5:$AU$64,MATCH($F793,사건마스터!$A$5:$A$64,0)),""))</f>
        <v/>
      </c>
      <c r="Y793" s="35">
        <f>IF($F793="","",IFERROR(INDEX(사건마스터!$AV$5:$AV$64,MATCH($F793,사건마스터!$A$5:$A$64,0)),""))</f>
        <v/>
      </c>
      <c r="Z793" s="30">
        <f>IF(COUNTBLANK($J793:$Y793)=16,"",16-COUNTBLANK($J793:$Y793))</f>
        <v/>
      </c>
      <c r="AA793" s="33">
        <f>IF($J793="",MID($AX793,3,255),$J793&amp;$AX793)</f>
        <v/>
      </c>
      <c r="AB793" s="34">
        <f>IF($J793="","",IFERROR(INDEX(코드설정!$D$5:$D$24,MATCH($J793,코드설정!$C$5:$C$24,0)),""))</f>
        <v/>
      </c>
      <c r="AC793" s="36" t="n"/>
      <c r="AD793" s="37" t="n"/>
      <c r="AE793" s="38" t="n"/>
      <c r="AF793" s="30">
        <f>IF(OR($B793="",$C793=""),"",$C793-$B793+1)</f>
        <v/>
      </c>
      <c r="AG793" s="32" t="n"/>
      <c r="AH793" s="36" t="n"/>
      <c r="AJ793">
        <f>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  <c r="AX793">
        <f>AW793&amp;IF($Y793="","",", "&amp;$Y793)</f>
        <v/>
      </c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0">
        <f>IF($F794="","",COUNTIF($F$5:$F794,$F794))</f>
        <v/>
      </c>
      <c r="H794" s="33">
        <f>IF($F794="","",IFERROR(INDEX(사건마스터!$B$5:$B$64,MATCH($F794,사건마스터!$A$5:$A$64,0)),""))</f>
        <v/>
      </c>
      <c r="I794" s="34">
        <f>IF($F794="","",IFERROR(INDEX(사건마스터!$C$5:$C$64,MATCH($F794,사건마스터!$A$5:$A$64,0)),""))</f>
        <v/>
      </c>
      <c r="J794" s="35">
        <f>IF($F794="","",IFERROR(INDEX(사건마스터!$H$5:$H$64,MATCH($F794,사건마스터!$A$5:$A$64,0)),""))</f>
        <v/>
      </c>
      <c r="K794" s="35">
        <f>IF($F794="","",IFERROR(INDEX(사건마스터!$AH$5:$AH$64,MATCH($F794,사건마스터!$A$5:$A$64,0)),""))</f>
        <v/>
      </c>
      <c r="L794" s="35">
        <f>IF($F794="","",IFERROR(INDEX(사건마스터!$AI$5:$AI$64,MATCH($F794,사건마스터!$A$5:$A$64,0)),""))</f>
        <v/>
      </c>
      <c r="M794" s="35">
        <f>IF($F794="","",IFERROR(INDEX(사건마스터!$AJ$5:$AJ$64,MATCH($F794,사건마스터!$A$5:$A$64,0)),""))</f>
        <v/>
      </c>
      <c r="N794" s="35">
        <f>IF($F794="","",IFERROR(INDEX(사건마스터!$AK$5:$AK$64,MATCH($F794,사건마스터!$A$5:$A$64,0)),""))</f>
        <v/>
      </c>
      <c r="O794" s="35">
        <f>IF($F794="","",IFERROR(INDEX(사건마스터!$AL$5:$AL$64,MATCH($F794,사건마스터!$A$5:$A$64,0)),""))</f>
        <v/>
      </c>
      <c r="P794" s="35">
        <f>IF($F794="","",IFERROR(INDEX(사건마스터!$AM$5:$AM$64,MATCH($F794,사건마스터!$A$5:$A$64,0)),""))</f>
        <v/>
      </c>
      <c r="Q794" s="35">
        <f>IF($F794="","",IFERROR(INDEX(사건마스터!$AN$5:$AN$64,MATCH($F794,사건마스터!$A$5:$A$64,0)),""))</f>
        <v/>
      </c>
      <c r="R794" s="35">
        <f>IF($F794="","",IFERROR(INDEX(사건마스터!$AO$5:$AO$64,MATCH($F794,사건마스터!$A$5:$A$64,0)),""))</f>
        <v/>
      </c>
      <c r="S794" s="35">
        <f>IF($F794="","",IFERROR(INDEX(사건마스터!$AP$5:$AP$64,MATCH($F794,사건마스터!$A$5:$A$64,0)),""))</f>
        <v/>
      </c>
      <c r="T794" s="35">
        <f>IF($F794="","",IFERROR(INDEX(사건마스터!$AQ$5:$AQ$64,MATCH($F794,사건마스터!$A$5:$A$64,0)),""))</f>
        <v/>
      </c>
      <c r="U794" s="35">
        <f>IF($F794="","",IFERROR(INDEX(사건마스터!$AR$5:$AR$64,MATCH($F794,사건마스터!$A$5:$A$64,0)),""))</f>
        <v/>
      </c>
      <c r="V794" s="35">
        <f>IF($F794="","",IFERROR(INDEX(사건마스터!$AS$5:$AS$64,MATCH($F794,사건마스터!$A$5:$A$64,0)),""))</f>
        <v/>
      </c>
      <c r="W794" s="35">
        <f>IF($F794="","",IFERROR(INDEX(사건마스터!$AT$5:$AT$64,MATCH($F794,사건마스터!$A$5:$A$64,0)),""))</f>
        <v/>
      </c>
      <c r="X794" s="35">
        <f>IF($F794="","",IFERROR(INDEX(사건마스터!$AU$5:$AU$64,MATCH($F794,사건마스터!$A$5:$A$64,0)),""))</f>
        <v/>
      </c>
      <c r="Y794" s="35">
        <f>IF($F794="","",IFERROR(INDEX(사건마스터!$AV$5:$AV$64,MATCH($F794,사건마스터!$A$5:$A$64,0)),""))</f>
        <v/>
      </c>
      <c r="Z794" s="30">
        <f>IF(COUNTBLANK($J794:$Y794)=16,"",16-COUNTBLANK($J794:$Y794))</f>
        <v/>
      </c>
      <c r="AA794" s="33">
        <f>IF($J794="",MID($AX794,3,255),$J794&amp;$AX794)</f>
        <v/>
      </c>
      <c r="AB794" s="34">
        <f>IF($J794="","",IFERROR(INDEX(코드설정!$D$5:$D$24,MATCH($J794,코드설정!$C$5:$C$24,0)),""))</f>
        <v/>
      </c>
      <c r="AC794" s="36" t="n"/>
      <c r="AD794" s="37" t="n"/>
      <c r="AE794" s="38" t="n"/>
      <c r="AF794" s="30">
        <f>IF(OR($B794="",$C794=""),"",$C794-$B794+1)</f>
        <v/>
      </c>
      <c r="AG794" s="32" t="n"/>
      <c r="AH794" s="36" t="n"/>
      <c r="AJ794">
        <f>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  <c r="AX794">
        <f>AW794&amp;IF($Y794="","",", "&amp;$Y794)</f>
        <v/>
      </c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0">
        <f>IF($F795="","",COUNTIF($F$5:$F795,$F795))</f>
        <v/>
      </c>
      <c r="H795" s="33">
        <f>IF($F795="","",IFERROR(INDEX(사건마스터!$B$5:$B$64,MATCH($F795,사건마스터!$A$5:$A$64,0)),""))</f>
        <v/>
      </c>
      <c r="I795" s="34">
        <f>IF($F795="","",IFERROR(INDEX(사건마스터!$C$5:$C$64,MATCH($F795,사건마스터!$A$5:$A$64,0)),""))</f>
        <v/>
      </c>
      <c r="J795" s="35">
        <f>IF($F795="","",IFERROR(INDEX(사건마스터!$H$5:$H$64,MATCH($F795,사건마스터!$A$5:$A$64,0)),""))</f>
        <v/>
      </c>
      <c r="K795" s="35">
        <f>IF($F795="","",IFERROR(INDEX(사건마스터!$AH$5:$AH$64,MATCH($F795,사건마스터!$A$5:$A$64,0)),""))</f>
        <v/>
      </c>
      <c r="L795" s="35">
        <f>IF($F795="","",IFERROR(INDEX(사건마스터!$AI$5:$AI$64,MATCH($F795,사건마스터!$A$5:$A$64,0)),""))</f>
        <v/>
      </c>
      <c r="M795" s="35">
        <f>IF($F795="","",IFERROR(INDEX(사건마스터!$AJ$5:$AJ$64,MATCH($F795,사건마스터!$A$5:$A$64,0)),""))</f>
        <v/>
      </c>
      <c r="N795" s="35">
        <f>IF($F795="","",IFERROR(INDEX(사건마스터!$AK$5:$AK$64,MATCH($F795,사건마스터!$A$5:$A$64,0)),""))</f>
        <v/>
      </c>
      <c r="O795" s="35">
        <f>IF($F795="","",IFERROR(INDEX(사건마스터!$AL$5:$AL$64,MATCH($F795,사건마스터!$A$5:$A$64,0)),""))</f>
        <v/>
      </c>
      <c r="P795" s="35">
        <f>IF($F795="","",IFERROR(INDEX(사건마스터!$AM$5:$AM$64,MATCH($F795,사건마스터!$A$5:$A$64,0)),""))</f>
        <v/>
      </c>
      <c r="Q795" s="35">
        <f>IF($F795="","",IFERROR(INDEX(사건마스터!$AN$5:$AN$64,MATCH($F795,사건마스터!$A$5:$A$64,0)),""))</f>
        <v/>
      </c>
      <c r="R795" s="35">
        <f>IF($F795="","",IFERROR(INDEX(사건마스터!$AO$5:$AO$64,MATCH($F795,사건마스터!$A$5:$A$64,0)),""))</f>
        <v/>
      </c>
      <c r="S795" s="35">
        <f>IF($F795="","",IFERROR(INDEX(사건마스터!$AP$5:$AP$64,MATCH($F795,사건마스터!$A$5:$A$64,0)),""))</f>
        <v/>
      </c>
      <c r="T795" s="35">
        <f>IF($F795="","",IFERROR(INDEX(사건마스터!$AQ$5:$AQ$64,MATCH($F795,사건마스터!$A$5:$A$64,0)),""))</f>
        <v/>
      </c>
      <c r="U795" s="35">
        <f>IF($F795="","",IFERROR(INDEX(사건마스터!$AR$5:$AR$64,MATCH($F795,사건마스터!$A$5:$A$64,0)),""))</f>
        <v/>
      </c>
      <c r="V795" s="35">
        <f>IF($F795="","",IFERROR(INDEX(사건마스터!$AS$5:$AS$64,MATCH($F795,사건마스터!$A$5:$A$64,0)),""))</f>
        <v/>
      </c>
      <c r="W795" s="35">
        <f>IF($F795="","",IFERROR(INDEX(사건마스터!$AT$5:$AT$64,MATCH($F795,사건마스터!$A$5:$A$64,0)),""))</f>
        <v/>
      </c>
      <c r="X795" s="35">
        <f>IF($F795="","",IFERROR(INDEX(사건마스터!$AU$5:$AU$64,MATCH($F795,사건마스터!$A$5:$A$64,0)),""))</f>
        <v/>
      </c>
      <c r="Y795" s="35">
        <f>IF($F795="","",IFERROR(INDEX(사건마스터!$AV$5:$AV$64,MATCH($F795,사건마스터!$A$5:$A$64,0)),""))</f>
        <v/>
      </c>
      <c r="Z795" s="30">
        <f>IF(COUNTBLANK($J795:$Y795)=16,"",16-COUNTBLANK($J795:$Y795))</f>
        <v/>
      </c>
      <c r="AA795" s="33">
        <f>IF($J795="",MID($AX795,3,255),$J795&amp;$AX795)</f>
        <v/>
      </c>
      <c r="AB795" s="34">
        <f>IF($J795="","",IFERROR(INDEX(코드설정!$D$5:$D$24,MATCH($J795,코드설정!$C$5:$C$24,0)),""))</f>
        <v/>
      </c>
      <c r="AC795" s="36" t="n"/>
      <c r="AD795" s="37" t="n"/>
      <c r="AE795" s="38" t="n"/>
      <c r="AF795" s="30">
        <f>IF(OR($B795="",$C795=""),"",$C795-$B795+1)</f>
        <v/>
      </c>
      <c r="AG795" s="32" t="n"/>
      <c r="AH795" s="36" t="n"/>
      <c r="AJ795">
        <f>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  <c r="AX795">
        <f>AW795&amp;IF($Y795="","",", "&amp;$Y795)</f>
        <v/>
      </c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0">
        <f>IF($F796="","",COUNTIF($F$5:$F796,$F796))</f>
        <v/>
      </c>
      <c r="H796" s="33">
        <f>IF($F796="","",IFERROR(INDEX(사건마스터!$B$5:$B$64,MATCH($F796,사건마스터!$A$5:$A$64,0)),""))</f>
        <v/>
      </c>
      <c r="I796" s="34">
        <f>IF($F796="","",IFERROR(INDEX(사건마스터!$C$5:$C$64,MATCH($F796,사건마스터!$A$5:$A$64,0)),""))</f>
        <v/>
      </c>
      <c r="J796" s="35">
        <f>IF($F796="","",IFERROR(INDEX(사건마스터!$H$5:$H$64,MATCH($F796,사건마스터!$A$5:$A$64,0)),""))</f>
        <v/>
      </c>
      <c r="K796" s="35">
        <f>IF($F796="","",IFERROR(INDEX(사건마스터!$AH$5:$AH$64,MATCH($F796,사건마스터!$A$5:$A$64,0)),""))</f>
        <v/>
      </c>
      <c r="L796" s="35">
        <f>IF($F796="","",IFERROR(INDEX(사건마스터!$AI$5:$AI$64,MATCH($F796,사건마스터!$A$5:$A$64,0)),""))</f>
        <v/>
      </c>
      <c r="M796" s="35">
        <f>IF($F796="","",IFERROR(INDEX(사건마스터!$AJ$5:$AJ$64,MATCH($F796,사건마스터!$A$5:$A$64,0)),""))</f>
        <v/>
      </c>
      <c r="N796" s="35">
        <f>IF($F796="","",IFERROR(INDEX(사건마스터!$AK$5:$AK$64,MATCH($F796,사건마스터!$A$5:$A$64,0)),""))</f>
        <v/>
      </c>
      <c r="O796" s="35">
        <f>IF($F796="","",IFERROR(INDEX(사건마스터!$AL$5:$AL$64,MATCH($F796,사건마스터!$A$5:$A$64,0)),""))</f>
        <v/>
      </c>
      <c r="P796" s="35">
        <f>IF($F796="","",IFERROR(INDEX(사건마스터!$AM$5:$AM$64,MATCH($F796,사건마스터!$A$5:$A$64,0)),""))</f>
        <v/>
      </c>
      <c r="Q796" s="35">
        <f>IF($F796="","",IFERROR(INDEX(사건마스터!$AN$5:$AN$64,MATCH($F796,사건마스터!$A$5:$A$64,0)),""))</f>
        <v/>
      </c>
      <c r="R796" s="35">
        <f>IF($F796="","",IFERROR(INDEX(사건마스터!$AO$5:$AO$64,MATCH($F796,사건마스터!$A$5:$A$64,0)),""))</f>
        <v/>
      </c>
      <c r="S796" s="35">
        <f>IF($F796="","",IFERROR(INDEX(사건마스터!$AP$5:$AP$64,MATCH($F796,사건마스터!$A$5:$A$64,0)),""))</f>
        <v/>
      </c>
      <c r="T796" s="35">
        <f>IF($F796="","",IFERROR(INDEX(사건마스터!$AQ$5:$AQ$64,MATCH($F796,사건마스터!$A$5:$A$64,0)),""))</f>
        <v/>
      </c>
      <c r="U796" s="35">
        <f>IF($F796="","",IFERROR(INDEX(사건마스터!$AR$5:$AR$64,MATCH($F796,사건마스터!$A$5:$A$64,0)),""))</f>
        <v/>
      </c>
      <c r="V796" s="35">
        <f>IF($F796="","",IFERROR(INDEX(사건마스터!$AS$5:$AS$64,MATCH($F796,사건마스터!$A$5:$A$64,0)),""))</f>
        <v/>
      </c>
      <c r="W796" s="35">
        <f>IF($F796="","",IFERROR(INDEX(사건마스터!$AT$5:$AT$64,MATCH($F796,사건마스터!$A$5:$A$64,0)),""))</f>
        <v/>
      </c>
      <c r="X796" s="35">
        <f>IF($F796="","",IFERROR(INDEX(사건마스터!$AU$5:$AU$64,MATCH($F796,사건마스터!$A$5:$A$64,0)),""))</f>
        <v/>
      </c>
      <c r="Y796" s="35">
        <f>IF($F796="","",IFERROR(INDEX(사건마스터!$AV$5:$AV$64,MATCH($F796,사건마스터!$A$5:$A$64,0)),""))</f>
        <v/>
      </c>
      <c r="Z796" s="30">
        <f>IF(COUNTBLANK($J796:$Y796)=16,"",16-COUNTBLANK($J796:$Y796))</f>
        <v/>
      </c>
      <c r="AA796" s="33">
        <f>IF($J796="",MID($AX796,3,255),$J796&amp;$AX796)</f>
        <v/>
      </c>
      <c r="AB796" s="34">
        <f>IF($J796="","",IFERROR(INDEX(코드설정!$D$5:$D$24,MATCH($J796,코드설정!$C$5:$C$24,0)),""))</f>
        <v/>
      </c>
      <c r="AC796" s="36" t="n"/>
      <c r="AD796" s="37" t="n"/>
      <c r="AE796" s="38" t="n"/>
      <c r="AF796" s="30">
        <f>IF(OR($B796="",$C796=""),"",$C796-$B796+1)</f>
        <v/>
      </c>
      <c r="AG796" s="32" t="n"/>
      <c r="AH796" s="36" t="n"/>
      <c r="AJ796">
        <f>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  <c r="AX796">
        <f>AW796&amp;IF($Y796="","",", "&amp;$Y796)</f>
        <v/>
      </c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0">
        <f>IF($F797="","",COUNTIF($F$5:$F797,$F797))</f>
        <v/>
      </c>
      <c r="H797" s="33">
        <f>IF($F797="","",IFERROR(INDEX(사건마스터!$B$5:$B$64,MATCH($F797,사건마스터!$A$5:$A$64,0)),""))</f>
        <v/>
      </c>
      <c r="I797" s="34">
        <f>IF($F797="","",IFERROR(INDEX(사건마스터!$C$5:$C$64,MATCH($F797,사건마스터!$A$5:$A$64,0)),""))</f>
        <v/>
      </c>
      <c r="J797" s="35">
        <f>IF($F797="","",IFERROR(INDEX(사건마스터!$H$5:$H$64,MATCH($F797,사건마스터!$A$5:$A$64,0)),""))</f>
        <v/>
      </c>
      <c r="K797" s="35">
        <f>IF($F797="","",IFERROR(INDEX(사건마스터!$AH$5:$AH$64,MATCH($F797,사건마스터!$A$5:$A$64,0)),""))</f>
        <v/>
      </c>
      <c r="L797" s="35">
        <f>IF($F797="","",IFERROR(INDEX(사건마스터!$AI$5:$AI$64,MATCH($F797,사건마스터!$A$5:$A$64,0)),""))</f>
        <v/>
      </c>
      <c r="M797" s="35">
        <f>IF($F797="","",IFERROR(INDEX(사건마스터!$AJ$5:$AJ$64,MATCH($F797,사건마스터!$A$5:$A$64,0)),""))</f>
        <v/>
      </c>
      <c r="N797" s="35">
        <f>IF($F797="","",IFERROR(INDEX(사건마스터!$AK$5:$AK$64,MATCH($F797,사건마스터!$A$5:$A$64,0)),""))</f>
        <v/>
      </c>
      <c r="O797" s="35">
        <f>IF($F797="","",IFERROR(INDEX(사건마스터!$AL$5:$AL$64,MATCH($F797,사건마스터!$A$5:$A$64,0)),""))</f>
        <v/>
      </c>
      <c r="P797" s="35">
        <f>IF($F797="","",IFERROR(INDEX(사건마스터!$AM$5:$AM$64,MATCH($F797,사건마스터!$A$5:$A$64,0)),""))</f>
        <v/>
      </c>
      <c r="Q797" s="35">
        <f>IF($F797="","",IFERROR(INDEX(사건마스터!$AN$5:$AN$64,MATCH($F797,사건마스터!$A$5:$A$64,0)),""))</f>
        <v/>
      </c>
      <c r="R797" s="35">
        <f>IF($F797="","",IFERROR(INDEX(사건마스터!$AO$5:$AO$64,MATCH($F797,사건마스터!$A$5:$A$64,0)),""))</f>
        <v/>
      </c>
      <c r="S797" s="35">
        <f>IF($F797="","",IFERROR(INDEX(사건마스터!$AP$5:$AP$64,MATCH($F797,사건마스터!$A$5:$A$64,0)),""))</f>
        <v/>
      </c>
      <c r="T797" s="35">
        <f>IF($F797="","",IFERROR(INDEX(사건마스터!$AQ$5:$AQ$64,MATCH($F797,사건마스터!$A$5:$A$64,0)),""))</f>
        <v/>
      </c>
      <c r="U797" s="35">
        <f>IF($F797="","",IFERROR(INDEX(사건마스터!$AR$5:$AR$64,MATCH($F797,사건마스터!$A$5:$A$64,0)),""))</f>
        <v/>
      </c>
      <c r="V797" s="35">
        <f>IF($F797="","",IFERROR(INDEX(사건마스터!$AS$5:$AS$64,MATCH($F797,사건마스터!$A$5:$A$64,0)),""))</f>
        <v/>
      </c>
      <c r="W797" s="35">
        <f>IF($F797="","",IFERROR(INDEX(사건마스터!$AT$5:$AT$64,MATCH($F797,사건마스터!$A$5:$A$64,0)),""))</f>
        <v/>
      </c>
      <c r="X797" s="35">
        <f>IF($F797="","",IFERROR(INDEX(사건마스터!$AU$5:$AU$64,MATCH($F797,사건마스터!$A$5:$A$64,0)),""))</f>
        <v/>
      </c>
      <c r="Y797" s="35">
        <f>IF($F797="","",IFERROR(INDEX(사건마스터!$AV$5:$AV$64,MATCH($F797,사건마스터!$A$5:$A$64,0)),""))</f>
        <v/>
      </c>
      <c r="Z797" s="30">
        <f>IF(COUNTBLANK($J797:$Y797)=16,"",16-COUNTBLANK($J797:$Y797))</f>
        <v/>
      </c>
      <c r="AA797" s="33">
        <f>IF($J797="",MID($AX797,3,255),$J797&amp;$AX797)</f>
        <v/>
      </c>
      <c r="AB797" s="34">
        <f>IF($J797="","",IFERROR(INDEX(코드설정!$D$5:$D$24,MATCH($J797,코드설정!$C$5:$C$24,0)),""))</f>
        <v/>
      </c>
      <c r="AC797" s="36" t="n"/>
      <c r="AD797" s="37" t="n"/>
      <c r="AE797" s="38" t="n"/>
      <c r="AF797" s="30">
        <f>IF(OR($B797="",$C797=""),"",$C797-$B797+1)</f>
        <v/>
      </c>
      <c r="AG797" s="32" t="n"/>
      <c r="AH797" s="36" t="n"/>
      <c r="AJ797">
        <f>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  <c r="AX797">
        <f>AW797&amp;IF($Y797="","",", "&amp;$Y797)</f>
        <v/>
      </c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0">
        <f>IF($F798="","",COUNTIF($F$5:$F798,$F798))</f>
        <v/>
      </c>
      <c r="H798" s="33">
        <f>IF($F798="","",IFERROR(INDEX(사건마스터!$B$5:$B$64,MATCH($F798,사건마스터!$A$5:$A$64,0)),""))</f>
        <v/>
      </c>
      <c r="I798" s="34">
        <f>IF($F798="","",IFERROR(INDEX(사건마스터!$C$5:$C$64,MATCH($F798,사건마스터!$A$5:$A$64,0)),""))</f>
        <v/>
      </c>
      <c r="J798" s="35">
        <f>IF($F798="","",IFERROR(INDEX(사건마스터!$H$5:$H$64,MATCH($F798,사건마스터!$A$5:$A$64,0)),""))</f>
        <v/>
      </c>
      <c r="K798" s="35">
        <f>IF($F798="","",IFERROR(INDEX(사건마스터!$AH$5:$AH$64,MATCH($F798,사건마스터!$A$5:$A$64,0)),""))</f>
        <v/>
      </c>
      <c r="L798" s="35">
        <f>IF($F798="","",IFERROR(INDEX(사건마스터!$AI$5:$AI$64,MATCH($F798,사건마스터!$A$5:$A$64,0)),""))</f>
        <v/>
      </c>
      <c r="M798" s="35">
        <f>IF($F798="","",IFERROR(INDEX(사건마스터!$AJ$5:$AJ$64,MATCH($F798,사건마스터!$A$5:$A$64,0)),""))</f>
        <v/>
      </c>
      <c r="N798" s="35">
        <f>IF($F798="","",IFERROR(INDEX(사건마스터!$AK$5:$AK$64,MATCH($F798,사건마스터!$A$5:$A$64,0)),""))</f>
        <v/>
      </c>
      <c r="O798" s="35">
        <f>IF($F798="","",IFERROR(INDEX(사건마스터!$AL$5:$AL$64,MATCH($F798,사건마스터!$A$5:$A$64,0)),""))</f>
        <v/>
      </c>
      <c r="P798" s="35">
        <f>IF($F798="","",IFERROR(INDEX(사건마스터!$AM$5:$AM$64,MATCH($F798,사건마스터!$A$5:$A$64,0)),""))</f>
        <v/>
      </c>
      <c r="Q798" s="35">
        <f>IF($F798="","",IFERROR(INDEX(사건마스터!$AN$5:$AN$64,MATCH($F798,사건마스터!$A$5:$A$64,0)),""))</f>
        <v/>
      </c>
      <c r="R798" s="35">
        <f>IF($F798="","",IFERROR(INDEX(사건마스터!$AO$5:$AO$64,MATCH($F798,사건마스터!$A$5:$A$64,0)),""))</f>
        <v/>
      </c>
      <c r="S798" s="35">
        <f>IF($F798="","",IFERROR(INDEX(사건마스터!$AP$5:$AP$64,MATCH($F798,사건마스터!$A$5:$A$64,0)),""))</f>
        <v/>
      </c>
      <c r="T798" s="35">
        <f>IF($F798="","",IFERROR(INDEX(사건마스터!$AQ$5:$AQ$64,MATCH($F798,사건마스터!$A$5:$A$64,0)),""))</f>
        <v/>
      </c>
      <c r="U798" s="35">
        <f>IF($F798="","",IFERROR(INDEX(사건마스터!$AR$5:$AR$64,MATCH($F798,사건마스터!$A$5:$A$64,0)),""))</f>
        <v/>
      </c>
      <c r="V798" s="35">
        <f>IF($F798="","",IFERROR(INDEX(사건마스터!$AS$5:$AS$64,MATCH($F798,사건마스터!$A$5:$A$64,0)),""))</f>
        <v/>
      </c>
      <c r="W798" s="35">
        <f>IF($F798="","",IFERROR(INDEX(사건마스터!$AT$5:$AT$64,MATCH($F798,사건마스터!$A$5:$A$64,0)),""))</f>
        <v/>
      </c>
      <c r="X798" s="35">
        <f>IF($F798="","",IFERROR(INDEX(사건마스터!$AU$5:$AU$64,MATCH($F798,사건마스터!$A$5:$A$64,0)),""))</f>
        <v/>
      </c>
      <c r="Y798" s="35">
        <f>IF($F798="","",IFERROR(INDEX(사건마스터!$AV$5:$AV$64,MATCH($F798,사건마스터!$A$5:$A$64,0)),""))</f>
        <v/>
      </c>
      <c r="Z798" s="30">
        <f>IF(COUNTBLANK($J798:$Y798)=16,"",16-COUNTBLANK($J798:$Y798))</f>
        <v/>
      </c>
      <c r="AA798" s="33">
        <f>IF($J798="",MID($AX798,3,255),$J798&amp;$AX798)</f>
        <v/>
      </c>
      <c r="AB798" s="34">
        <f>IF($J798="","",IFERROR(INDEX(코드설정!$D$5:$D$24,MATCH($J798,코드설정!$C$5:$C$24,0)),""))</f>
        <v/>
      </c>
      <c r="AC798" s="36" t="n"/>
      <c r="AD798" s="37" t="n"/>
      <c r="AE798" s="38" t="n"/>
      <c r="AF798" s="30">
        <f>IF(OR($B798="",$C798=""),"",$C798-$B798+1)</f>
        <v/>
      </c>
      <c r="AG798" s="32" t="n"/>
      <c r="AH798" s="36" t="n"/>
      <c r="AJ798">
        <f>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  <c r="AX798">
        <f>AW798&amp;IF($Y798="","",", "&amp;$Y798)</f>
        <v/>
      </c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0">
        <f>IF($F799="","",COUNTIF($F$5:$F799,$F799))</f>
        <v/>
      </c>
      <c r="H799" s="33">
        <f>IF($F799="","",IFERROR(INDEX(사건마스터!$B$5:$B$64,MATCH($F799,사건마스터!$A$5:$A$64,0)),""))</f>
        <v/>
      </c>
      <c r="I799" s="34">
        <f>IF($F799="","",IFERROR(INDEX(사건마스터!$C$5:$C$64,MATCH($F799,사건마스터!$A$5:$A$64,0)),""))</f>
        <v/>
      </c>
      <c r="J799" s="35">
        <f>IF($F799="","",IFERROR(INDEX(사건마스터!$H$5:$H$64,MATCH($F799,사건마스터!$A$5:$A$64,0)),""))</f>
        <v/>
      </c>
      <c r="K799" s="35">
        <f>IF($F799="","",IFERROR(INDEX(사건마스터!$AH$5:$AH$64,MATCH($F799,사건마스터!$A$5:$A$64,0)),""))</f>
        <v/>
      </c>
      <c r="L799" s="35">
        <f>IF($F799="","",IFERROR(INDEX(사건마스터!$AI$5:$AI$64,MATCH($F799,사건마스터!$A$5:$A$64,0)),""))</f>
        <v/>
      </c>
      <c r="M799" s="35">
        <f>IF($F799="","",IFERROR(INDEX(사건마스터!$AJ$5:$AJ$64,MATCH($F799,사건마스터!$A$5:$A$64,0)),""))</f>
        <v/>
      </c>
      <c r="N799" s="35">
        <f>IF($F799="","",IFERROR(INDEX(사건마스터!$AK$5:$AK$64,MATCH($F799,사건마스터!$A$5:$A$64,0)),""))</f>
        <v/>
      </c>
      <c r="O799" s="35">
        <f>IF($F799="","",IFERROR(INDEX(사건마스터!$AL$5:$AL$64,MATCH($F799,사건마스터!$A$5:$A$64,0)),""))</f>
        <v/>
      </c>
      <c r="P799" s="35">
        <f>IF($F799="","",IFERROR(INDEX(사건마스터!$AM$5:$AM$64,MATCH($F799,사건마스터!$A$5:$A$64,0)),""))</f>
        <v/>
      </c>
      <c r="Q799" s="35">
        <f>IF($F799="","",IFERROR(INDEX(사건마스터!$AN$5:$AN$64,MATCH($F799,사건마스터!$A$5:$A$64,0)),""))</f>
        <v/>
      </c>
      <c r="R799" s="35">
        <f>IF($F799="","",IFERROR(INDEX(사건마스터!$AO$5:$AO$64,MATCH($F799,사건마스터!$A$5:$A$64,0)),""))</f>
        <v/>
      </c>
      <c r="S799" s="35">
        <f>IF($F799="","",IFERROR(INDEX(사건마스터!$AP$5:$AP$64,MATCH($F799,사건마스터!$A$5:$A$64,0)),""))</f>
        <v/>
      </c>
      <c r="T799" s="35">
        <f>IF($F799="","",IFERROR(INDEX(사건마스터!$AQ$5:$AQ$64,MATCH($F799,사건마스터!$A$5:$A$64,0)),""))</f>
        <v/>
      </c>
      <c r="U799" s="35">
        <f>IF($F799="","",IFERROR(INDEX(사건마스터!$AR$5:$AR$64,MATCH($F799,사건마스터!$A$5:$A$64,0)),""))</f>
        <v/>
      </c>
      <c r="V799" s="35">
        <f>IF($F799="","",IFERROR(INDEX(사건마스터!$AS$5:$AS$64,MATCH($F799,사건마스터!$A$5:$A$64,0)),""))</f>
        <v/>
      </c>
      <c r="W799" s="35">
        <f>IF($F799="","",IFERROR(INDEX(사건마스터!$AT$5:$AT$64,MATCH($F799,사건마스터!$A$5:$A$64,0)),""))</f>
        <v/>
      </c>
      <c r="X799" s="35">
        <f>IF($F799="","",IFERROR(INDEX(사건마스터!$AU$5:$AU$64,MATCH($F799,사건마스터!$A$5:$A$64,0)),""))</f>
        <v/>
      </c>
      <c r="Y799" s="35">
        <f>IF($F799="","",IFERROR(INDEX(사건마스터!$AV$5:$AV$64,MATCH($F799,사건마스터!$A$5:$A$64,0)),""))</f>
        <v/>
      </c>
      <c r="Z799" s="30">
        <f>IF(COUNTBLANK($J799:$Y799)=16,"",16-COUNTBLANK($J799:$Y799))</f>
        <v/>
      </c>
      <c r="AA799" s="33">
        <f>IF($J799="",MID($AX799,3,255),$J799&amp;$AX799)</f>
        <v/>
      </c>
      <c r="AB799" s="34">
        <f>IF($J799="","",IFERROR(INDEX(코드설정!$D$5:$D$24,MATCH($J799,코드설정!$C$5:$C$24,0)),""))</f>
        <v/>
      </c>
      <c r="AC799" s="36" t="n"/>
      <c r="AD799" s="37" t="n"/>
      <c r="AE799" s="38" t="n"/>
      <c r="AF799" s="30">
        <f>IF(OR($B799="",$C799=""),"",$C799-$B799+1)</f>
        <v/>
      </c>
      <c r="AG799" s="32" t="n"/>
      <c r="AH799" s="36" t="n"/>
      <c r="AJ799">
        <f>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  <c r="AX799">
        <f>AW799&amp;IF($Y799="","",", "&amp;$Y799)</f>
        <v/>
      </c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0">
        <f>IF($F800="","",COUNTIF($F$5:$F800,$F800))</f>
        <v/>
      </c>
      <c r="H800" s="33">
        <f>IF($F800="","",IFERROR(INDEX(사건마스터!$B$5:$B$64,MATCH($F800,사건마스터!$A$5:$A$64,0)),""))</f>
        <v/>
      </c>
      <c r="I800" s="34">
        <f>IF($F800="","",IFERROR(INDEX(사건마스터!$C$5:$C$64,MATCH($F800,사건마스터!$A$5:$A$64,0)),""))</f>
        <v/>
      </c>
      <c r="J800" s="35">
        <f>IF($F800="","",IFERROR(INDEX(사건마스터!$H$5:$H$64,MATCH($F800,사건마스터!$A$5:$A$64,0)),""))</f>
        <v/>
      </c>
      <c r="K800" s="35">
        <f>IF($F800="","",IFERROR(INDEX(사건마스터!$AH$5:$AH$64,MATCH($F800,사건마스터!$A$5:$A$64,0)),""))</f>
        <v/>
      </c>
      <c r="L800" s="35">
        <f>IF($F800="","",IFERROR(INDEX(사건마스터!$AI$5:$AI$64,MATCH($F800,사건마스터!$A$5:$A$64,0)),""))</f>
        <v/>
      </c>
      <c r="M800" s="35">
        <f>IF($F800="","",IFERROR(INDEX(사건마스터!$AJ$5:$AJ$64,MATCH($F800,사건마스터!$A$5:$A$64,0)),""))</f>
        <v/>
      </c>
      <c r="N800" s="35">
        <f>IF($F800="","",IFERROR(INDEX(사건마스터!$AK$5:$AK$64,MATCH($F800,사건마스터!$A$5:$A$64,0)),""))</f>
        <v/>
      </c>
      <c r="O800" s="35">
        <f>IF($F800="","",IFERROR(INDEX(사건마스터!$AL$5:$AL$64,MATCH($F800,사건마스터!$A$5:$A$64,0)),""))</f>
        <v/>
      </c>
      <c r="P800" s="35">
        <f>IF($F800="","",IFERROR(INDEX(사건마스터!$AM$5:$AM$64,MATCH($F800,사건마스터!$A$5:$A$64,0)),""))</f>
        <v/>
      </c>
      <c r="Q800" s="35">
        <f>IF($F800="","",IFERROR(INDEX(사건마스터!$AN$5:$AN$64,MATCH($F800,사건마스터!$A$5:$A$64,0)),""))</f>
        <v/>
      </c>
      <c r="R800" s="35">
        <f>IF($F800="","",IFERROR(INDEX(사건마스터!$AO$5:$AO$64,MATCH($F800,사건마스터!$A$5:$A$64,0)),""))</f>
        <v/>
      </c>
      <c r="S800" s="35">
        <f>IF($F800="","",IFERROR(INDEX(사건마스터!$AP$5:$AP$64,MATCH($F800,사건마스터!$A$5:$A$64,0)),""))</f>
        <v/>
      </c>
      <c r="T800" s="35">
        <f>IF($F800="","",IFERROR(INDEX(사건마스터!$AQ$5:$AQ$64,MATCH($F800,사건마스터!$A$5:$A$64,0)),""))</f>
        <v/>
      </c>
      <c r="U800" s="35">
        <f>IF($F800="","",IFERROR(INDEX(사건마스터!$AR$5:$AR$64,MATCH($F800,사건마스터!$A$5:$A$64,0)),""))</f>
        <v/>
      </c>
      <c r="V800" s="35">
        <f>IF($F800="","",IFERROR(INDEX(사건마스터!$AS$5:$AS$64,MATCH($F800,사건마스터!$A$5:$A$64,0)),""))</f>
        <v/>
      </c>
      <c r="W800" s="35">
        <f>IF($F800="","",IFERROR(INDEX(사건마스터!$AT$5:$AT$64,MATCH($F800,사건마스터!$A$5:$A$64,0)),""))</f>
        <v/>
      </c>
      <c r="X800" s="35">
        <f>IF($F800="","",IFERROR(INDEX(사건마스터!$AU$5:$AU$64,MATCH($F800,사건마스터!$A$5:$A$64,0)),""))</f>
        <v/>
      </c>
      <c r="Y800" s="35">
        <f>IF($F800="","",IFERROR(INDEX(사건마스터!$AV$5:$AV$64,MATCH($F800,사건마스터!$A$5:$A$64,0)),""))</f>
        <v/>
      </c>
      <c r="Z800" s="30">
        <f>IF(COUNTBLANK($J800:$Y800)=16,"",16-COUNTBLANK($J800:$Y800))</f>
        <v/>
      </c>
      <c r="AA800" s="33">
        <f>IF($J800="",MID($AX800,3,255),$J800&amp;$AX800)</f>
        <v/>
      </c>
      <c r="AB800" s="34">
        <f>IF($J800="","",IFERROR(INDEX(코드설정!$D$5:$D$24,MATCH($J800,코드설정!$C$5:$C$24,0)),""))</f>
        <v/>
      </c>
      <c r="AC800" s="36" t="n"/>
      <c r="AD800" s="37" t="n"/>
      <c r="AE800" s="38" t="n"/>
      <c r="AF800" s="30">
        <f>IF(OR($B800="",$C800=""),"",$C800-$B800+1)</f>
        <v/>
      </c>
      <c r="AG800" s="32" t="n"/>
      <c r="AH800" s="36" t="n"/>
      <c r="AJ800">
        <f>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  <c r="AX800">
        <f>AW800&amp;IF($Y800="","",", "&amp;$Y800)</f>
        <v/>
      </c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0">
        <f>IF($F801="","",COUNTIF($F$5:$F801,$F801))</f>
        <v/>
      </c>
      <c r="H801" s="33">
        <f>IF($F801="","",IFERROR(INDEX(사건마스터!$B$5:$B$64,MATCH($F801,사건마스터!$A$5:$A$64,0)),""))</f>
        <v/>
      </c>
      <c r="I801" s="34">
        <f>IF($F801="","",IFERROR(INDEX(사건마스터!$C$5:$C$64,MATCH($F801,사건마스터!$A$5:$A$64,0)),""))</f>
        <v/>
      </c>
      <c r="J801" s="35">
        <f>IF($F801="","",IFERROR(INDEX(사건마스터!$H$5:$H$64,MATCH($F801,사건마스터!$A$5:$A$64,0)),""))</f>
        <v/>
      </c>
      <c r="K801" s="35">
        <f>IF($F801="","",IFERROR(INDEX(사건마스터!$AH$5:$AH$64,MATCH($F801,사건마스터!$A$5:$A$64,0)),""))</f>
        <v/>
      </c>
      <c r="L801" s="35">
        <f>IF($F801="","",IFERROR(INDEX(사건마스터!$AI$5:$AI$64,MATCH($F801,사건마스터!$A$5:$A$64,0)),""))</f>
        <v/>
      </c>
      <c r="M801" s="35">
        <f>IF($F801="","",IFERROR(INDEX(사건마스터!$AJ$5:$AJ$64,MATCH($F801,사건마스터!$A$5:$A$64,0)),""))</f>
        <v/>
      </c>
      <c r="N801" s="35">
        <f>IF($F801="","",IFERROR(INDEX(사건마스터!$AK$5:$AK$64,MATCH($F801,사건마스터!$A$5:$A$64,0)),""))</f>
        <v/>
      </c>
      <c r="O801" s="35">
        <f>IF($F801="","",IFERROR(INDEX(사건마스터!$AL$5:$AL$64,MATCH($F801,사건마스터!$A$5:$A$64,0)),""))</f>
        <v/>
      </c>
      <c r="P801" s="35">
        <f>IF($F801="","",IFERROR(INDEX(사건마스터!$AM$5:$AM$64,MATCH($F801,사건마스터!$A$5:$A$64,0)),""))</f>
        <v/>
      </c>
      <c r="Q801" s="35">
        <f>IF($F801="","",IFERROR(INDEX(사건마스터!$AN$5:$AN$64,MATCH($F801,사건마스터!$A$5:$A$64,0)),""))</f>
        <v/>
      </c>
      <c r="R801" s="35">
        <f>IF($F801="","",IFERROR(INDEX(사건마스터!$AO$5:$AO$64,MATCH($F801,사건마스터!$A$5:$A$64,0)),""))</f>
        <v/>
      </c>
      <c r="S801" s="35">
        <f>IF($F801="","",IFERROR(INDEX(사건마스터!$AP$5:$AP$64,MATCH($F801,사건마스터!$A$5:$A$64,0)),""))</f>
        <v/>
      </c>
      <c r="T801" s="35">
        <f>IF($F801="","",IFERROR(INDEX(사건마스터!$AQ$5:$AQ$64,MATCH($F801,사건마스터!$A$5:$A$64,0)),""))</f>
        <v/>
      </c>
      <c r="U801" s="35">
        <f>IF($F801="","",IFERROR(INDEX(사건마스터!$AR$5:$AR$64,MATCH($F801,사건마스터!$A$5:$A$64,0)),""))</f>
        <v/>
      </c>
      <c r="V801" s="35">
        <f>IF($F801="","",IFERROR(INDEX(사건마스터!$AS$5:$AS$64,MATCH($F801,사건마스터!$A$5:$A$64,0)),""))</f>
        <v/>
      </c>
      <c r="W801" s="35">
        <f>IF($F801="","",IFERROR(INDEX(사건마스터!$AT$5:$AT$64,MATCH($F801,사건마스터!$A$5:$A$64,0)),""))</f>
        <v/>
      </c>
      <c r="X801" s="35">
        <f>IF($F801="","",IFERROR(INDEX(사건마스터!$AU$5:$AU$64,MATCH($F801,사건마스터!$A$5:$A$64,0)),""))</f>
        <v/>
      </c>
      <c r="Y801" s="35">
        <f>IF($F801="","",IFERROR(INDEX(사건마스터!$AV$5:$AV$64,MATCH($F801,사건마스터!$A$5:$A$64,0)),""))</f>
        <v/>
      </c>
      <c r="Z801" s="30">
        <f>IF(COUNTBLANK($J801:$Y801)=16,"",16-COUNTBLANK($J801:$Y801))</f>
        <v/>
      </c>
      <c r="AA801" s="33">
        <f>IF($J801="",MID($AX801,3,255),$J801&amp;$AX801)</f>
        <v/>
      </c>
      <c r="AB801" s="34">
        <f>IF($J801="","",IFERROR(INDEX(코드설정!$D$5:$D$24,MATCH($J801,코드설정!$C$5:$C$24,0)),""))</f>
        <v/>
      </c>
      <c r="AC801" s="36" t="n"/>
      <c r="AD801" s="37" t="n"/>
      <c r="AE801" s="38" t="n"/>
      <c r="AF801" s="30">
        <f>IF(OR($B801="",$C801=""),"",$C801-$B801+1)</f>
        <v/>
      </c>
      <c r="AG801" s="32" t="n"/>
      <c r="AH801" s="36" t="n"/>
      <c r="AJ801">
        <f>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  <c r="AX801">
        <f>AW801&amp;IF($Y801="","",", "&amp;$Y801)</f>
        <v/>
      </c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0">
        <f>IF($F802="","",COUNTIF($F$5:$F802,$F802))</f>
        <v/>
      </c>
      <c r="H802" s="33">
        <f>IF($F802="","",IFERROR(INDEX(사건마스터!$B$5:$B$64,MATCH($F802,사건마스터!$A$5:$A$64,0)),""))</f>
        <v/>
      </c>
      <c r="I802" s="34">
        <f>IF($F802="","",IFERROR(INDEX(사건마스터!$C$5:$C$64,MATCH($F802,사건마스터!$A$5:$A$64,0)),""))</f>
        <v/>
      </c>
      <c r="J802" s="35">
        <f>IF($F802="","",IFERROR(INDEX(사건마스터!$H$5:$H$64,MATCH($F802,사건마스터!$A$5:$A$64,0)),""))</f>
        <v/>
      </c>
      <c r="K802" s="35">
        <f>IF($F802="","",IFERROR(INDEX(사건마스터!$AH$5:$AH$64,MATCH($F802,사건마스터!$A$5:$A$64,0)),""))</f>
        <v/>
      </c>
      <c r="L802" s="35">
        <f>IF($F802="","",IFERROR(INDEX(사건마스터!$AI$5:$AI$64,MATCH($F802,사건마스터!$A$5:$A$64,0)),""))</f>
        <v/>
      </c>
      <c r="M802" s="35">
        <f>IF($F802="","",IFERROR(INDEX(사건마스터!$AJ$5:$AJ$64,MATCH($F802,사건마스터!$A$5:$A$64,0)),""))</f>
        <v/>
      </c>
      <c r="N802" s="35">
        <f>IF($F802="","",IFERROR(INDEX(사건마스터!$AK$5:$AK$64,MATCH($F802,사건마스터!$A$5:$A$64,0)),""))</f>
        <v/>
      </c>
      <c r="O802" s="35">
        <f>IF($F802="","",IFERROR(INDEX(사건마스터!$AL$5:$AL$64,MATCH($F802,사건마스터!$A$5:$A$64,0)),""))</f>
        <v/>
      </c>
      <c r="P802" s="35">
        <f>IF($F802="","",IFERROR(INDEX(사건마스터!$AM$5:$AM$64,MATCH($F802,사건마스터!$A$5:$A$64,0)),""))</f>
        <v/>
      </c>
      <c r="Q802" s="35">
        <f>IF($F802="","",IFERROR(INDEX(사건마스터!$AN$5:$AN$64,MATCH($F802,사건마스터!$A$5:$A$64,0)),""))</f>
        <v/>
      </c>
      <c r="R802" s="35">
        <f>IF($F802="","",IFERROR(INDEX(사건마스터!$AO$5:$AO$64,MATCH($F802,사건마스터!$A$5:$A$64,0)),""))</f>
        <v/>
      </c>
      <c r="S802" s="35">
        <f>IF($F802="","",IFERROR(INDEX(사건마스터!$AP$5:$AP$64,MATCH($F802,사건마스터!$A$5:$A$64,0)),""))</f>
        <v/>
      </c>
      <c r="T802" s="35">
        <f>IF($F802="","",IFERROR(INDEX(사건마스터!$AQ$5:$AQ$64,MATCH($F802,사건마스터!$A$5:$A$64,0)),""))</f>
        <v/>
      </c>
      <c r="U802" s="35">
        <f>IF($F802="","",IFERROR(INDEX(사건마스터!$AR$5:$AR$64,MATCH($F802,사건마스터!$A$5:$A$64,0)),""))</f>
        <v/>
      </c>
      <c r="V802" s="35">
        <f>IF($F802="","",IFERROR(INDEX(사건마스터!$AS$5:$AS$64,MATCH($F802,사건마스터!$A$5:$A$64,0)),""))</f>
        <v/>
      </c>
      <c r="W802" s="35">
        <f>IF($F802="","",IFERROR(INDEX(사건마스터!$AT$5:$AT$64,MATCH($F802,사건마스터!$A$5:$A$64,0)),""))</f>
        <v/>
      </c>
      <c r="X802" s="35">
        <f>IF($F802="","",IFERROR(INDEX(사건마스터!$AU$5:$AU$64,MATCH($F802,사건마스터!$A$5:$A$64,0)),""))</f>
        <v/>
      </c>
      <c r="Y802" s="35">
        <f>IF($F802="","",IFERROR(INDEX(사건마스터!$AV$5:$AV$64,MATCH($F802,사건마스터!$A$5:$A$64,0)),""))</f>
        <v/>
      </c>
      <c r="Z802" s="30">
        <f>IF(COUNTBLANK($J802:$Y802)=16,"",16-COUNTBLANK($J802:$Y802))</f>
        <v/>
      </c>
      <c r="AA802" s="33">
        <f>IF($J802="",MID($AX802,3,255),$J802&amp;$AX802)</f>
        <v/>
      </c>
      <c r="AB802" s="34">
        <f>IF($J802="","",IFERROR(INDEX(코드설정!$D$5:$D$24,MATCH($J802,코드설정!$C$5:$C$24,0)),""))</f>
        <v/>
      </c>
      <c r="AC802" s="36" t="n"/>
      <c r="AD802" s="37" t="n"/>
      <c r="AE802" s="38" t="n"/>
      <c r="AF802" s="30">
        <f>IF(OR($B802="",$C802=""),"",$C802-$B802+1)</f>
        <v/>
      </c>
      <c r="AG802" s="32" t="n"/>
      <c r="AH802" s="36" t="n"/>
      <c r="AJ802">
        <f>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  <c r="AX802">
        <f>AW802&amp;IF($Y802="","",", "&amp;$Y802)</f>
        <v/>
      </c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0">
        <f>IF($F803="","",COUNTIF($F$5:$F803,$F803))</f>
        <v/>
      </c>
      <c r="H803" s="33">
        <f>IF($F803="","",IFERROR(INDEX(사건마스터!$B$5:$B$64,MATCH($F803,사건마스터!$A$5:$A$64,0)),""))</f>
        <v/>
      </c>
      <c r="I803" s="34">
        <f>IF($F803="","",IFERROR(INDEX(사건마스터!$C$5:$C$64,MATCH($F803,사건마스터!$A$5:$A$64,0)),""))</f>
        <v/>
      </c>
      <c r="J803" s="35">
        <f>IF($F803="","",IFERROR(INDEX(사건마스터!$H$5:$H$64,MATCH($F803,사건마스터!$A$5:$A$64,0)),""))</f>
        <v/>
      </c>
      <c r="K803" s="35">
        <f>IF($F803="","",IFERROR(INDEX(사건마스터!$AH$5:$AH$64,MATCH($F803,사건마스터!$A$5:$A$64,0)),""))</f>
        <v/>
      </c>
      <c r="L803" s="35">
        <f>IF($F803="","",IFERROR(INDEX(사건마스터!$AI$5:$AI$64,MATCH($F803,사건마스터!$A$5:$A$64,0)),""))</f>
        <v/>
      </c>
      <c r="M803" s="35">
        <f>IF($F803="","",IFERROR(INDEX(사건마스터!$AJ$5:$AJ$64,MATCH($F803,사건마스터!$A$5:$A$64,0)),""))</f>
        <v/>
      </c>
      <c r="N803" s="35">
        <f>IF($F803="","",IFERROR(INDEX(사건마스터!$AK$5:$AK$64,MATCH($F803,사건마스터!$A$5:$A$64,0)),""))</f>
        <v/>
      </c>
      <c r="O803" s="35">
        <f>IF($F803="","",IFERROR(INDEX(사건마스터!$AL$5:$AL$64,MATCH($F803,사건마스터!$A$5:$A$64,0)),""))</f>
        <v/>
      </c>
      <c r="P803" s="35">
        <f>IF($F803="","",IFERROR(INDEX(사건마스터!$AM$5:$AM$64,MATCH($F803,사건마스터!$A$5:$A$64,0)),""))</f>
        <v/>
      </c>
      <c r="Q803" s="35">
        <f>IF($F803="","",IFERROR(INDEX(사건마스터!$AN$5:$AN$64,MATCH($F803,사건마스터!$A$5:$A$64,0)),""))</f>
        <v/>
      </c>
      <c r="R803" s="35">
        <f>IF($F803="","",IFERROR(INDEX(사건마스터!$AO$5:$AO$64,MATCH($F803,사건마스터!$A$5:$A$64,0)),""))</f>
        <v/>
      </c>
      <c r="S803" s="35">
        <f>IF($F803="","",IFERROR(INDEX(사건마스터!$AP$5:$AP$64,MATCH($F803,사건마스터!$A$5:$A$64,0)),""))</f>
        <v/>
      </c>
      <c r="T803" s="35">
        <f>IF($F803="","",IFERROR(INDEX(사건마스터!$AQ$5:$AQ$64,MATCH($F803,사건마스터!$A$5:$A$64,0)),""))</f>
        <v/>
      </c>
      <c r="U803" s="35">
        <f>IF($F803="","",IFERROR(INDEX(사건마스터!$AR$5:$AR$64,MATCH($F803,사건마스터!$A$5:$A$64,0)),""))</f>
        <v/>
      </c>
      <c r="V803" s="35">
        <f>IF($F803="","",IFERROR(INDEX(사건마스터!$AS$5:$AS$64,MATCH($F803,사건마스터!$A$5:$A$64,0)),""))</f>
        <v/>
      </c>
      <c r="W803" s="35">
        <f>IF($F803="","",IFERROR(INDEX(사건마스터!$AT$5:$AT$64,MATCH($F803,사건마스터!$A$5:$A$64,0)),""))</f>
        <v/>
      </c>
      <c r="X803" s="35">
        <f>IF($F803="","",IFERROR(INDEX(사건마스터!$AU$5:$AU$64,MATCH($F803,사건마스터!$A$5:$A$64,0)),""))</f>
        <v/>
      </c>
      <c r="Y803" s="35">
        <f>IF($F803="","",IFERROR(INDEX(사건마스터!$AV$5:$AV$64,MATCH($F803,사건마스터!$A$5:$A$64,0)),""))</f>
        <v/>
      </c>
      <c r="Z803" s="30">
        <f>IF(COUNTBLANK($J803:$Y803)=16,"",16-COUNTBLANK($J803:$Y803))</f>
        <v/>
      </c>
      <c r="AA803" s="33">
        <f>IF($J803="",MID($AX803,3,255),$J803&amp;$AX803)</f>
        <v/>
      </c>
      <c r="AB803" s="34">
        <f>IF($J803="","",IFERROR(INDEX(코드설정!$D$5:$D$24,MATCH($J803,코드설정!$C$5:$C$24,0)),""))</f>
        <v/>
      </c>
      <c r="AC803" s="36" t="n"/>
      <c r="AD803" s="37" t="n"/>
      <c r="AE803" s="38" t="n"/>
      <c r="AF803" s="30">
        <f>IF(OR($B803="",$C803=""),"",$C803-$B803+1)</f>
        <v/>
      </c>
      <c r="AG803" s="32" t="n"/>
      <c r="AH803" s="36" t="n"/>
      <c r="AJ803">
        <f>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  <c r="AX803">
        <f>AW803&amp;IF($Y803="","",", "&amp;$Y803)</f>
        <v/>
      </c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0">
        <f>IF($F804="","",COUNTIF($F$5:$F804,$F804))</f>
        <v/>
      </c>
      <c r="H804" s="33">
        <f>IF($F804="","",IFERROR(INDEX(사건마스터!$B$5:$B$64,MATCH($F804,사건마스터!$A$5:$A$64,0)),""))</f>
        <v/>
      </c>
      <c r="I804" s="34">
        <f>IF($F804="","",IFERROR(INDEX(사건마스터!$C$5:$C$64,MATCH($F804,사건마스터!$A$5:$A$64,0)),""))</f>
        <v/>
      </c>
      <c r="J804" s="35">
        <f>IF($F804="","",IFERROR(INDEX(사건마스터!$H$5:$H$64,MATCH($F804,사건마스터!$A$5:$A$64,0)),""))</f>
        <v/>
      </c>
      <c r="K804" s="35">
        <f>IF($F804="","",IFERROR(INDEX(사건마스터!$AH$5:$AH$64,MATCH($F804,사건마스터!$A$5:$A$64,0)),""))</f>
        <v/>
      </c>
      <c r="L804" s="35">
        <f>IF($F804="","",IFERROR(INDEX(사건마스터!$AI$5:$AI$64,MATCH($F804,사건마스터!$A$5:$A$64,0)),""))</f>
        <v/>
      </c>
      <c r="M804" s="35">
        <f>IF($F804="","",IFERROR(INDEX(사건마스터!$AJ$5:$AJ$64,MATCH($F804,사건마스터!$A$5:$A$64,0)),""))</f>
        <v/>
      </c>
      <c r="N804" s="35">
        <f>IF($F804="","",IFERROR(INDEX(사건마스터!$AK$5:$AK$64,MATCH($F804,사건마스터!$A$5:$A$64,0)),""))</f>
        <v/>
      </c>
      <c r="O804" s="35">
        <f>IF($F804="","",IFERROR(INDEX(사건마스터!$AL$5:$AL$64,MATCH($F804,사건마스터!$A$5:$A$64,0)),""))</f>
        <v/>
      </c>
      <c r="P804" s="35">
        <f>IF($F804="","",IFERROR(INDEX(사건마스터!$AM$5:$AM$64,MATCH($F804,사건마스터!$A$5:$A$64,0)),""))</f>
        <v/>
      </c>
      <c r="Q804" s="35">
        <f>IF($F804="","",IFERROR(INDEX(사건마스터!$AN$5:$AN$64,MATCH($F804,사건마스터!$A$5:$A$64,0)),""))</f>
        <v/>
      </c>
      <c r="R804" s="35">
        <f>IF($F804="","",IFERROR(INDEX(사건마스터!$AO$5:$AO$64,MATCH($F804,사건마스터!$A$5:$A$64,0)),""))</f>
        <v/>
      </c>
      <c r="S804" s="35">
        <f>IF($F804="","",IFERROR(INDEX(사건마스터!$AP$5:$AP$64,MATCH($F804,사건마스터!$A$5:$A$64,0)),""))</f>
        <v/>
      </c>
      <c r="T804" s="35">
        <f>IF($F804="","",IFERROR(INDEX(사건마스터!$AQ$5:$AQ$64,MATCH($F804,사건마스터!$A$5:$A$64,0)),""))</f>
        <v/>
      </c>
      <c r="U804" s="35">
        <f>IF($F804="","",IFERROR(INDEX(사건마스터!$AR$5:$AR$64,MATCH($F804,사건마스터!$A$5:$A$64,0)),""))</f>
        <v/>
      </c>
      <c r="V804" s="35">
        <f>IF($F804="","",IFERROR(INDEX(사건마스터!$AS$5:$AS$64,MATCH($F804,사건마스터!$A$5:$A$64,0)),""))</f>
        <v/>
      </c>
      <c r="W804" s="35">
        <f>IF($F804="","",IFERROR(INDEX(사건마스터!$AT$5:$AT$64,MATCH($F804,사건마스터!$A$5:$A$64,0)),""))</f>
        <v/>
      </c>
      <c r="X804" s="35">
        <f>IF($F804="","",IFERROR(INDEX(사건마스터!$AU$5:$AU$64,MATCH($F804,사건마스터!$A$5:$A$64,0)),""))</f>
        <v/>
      </c>
      <c r="Y804" s="35">
        <f>IF($F804="","",IFERROR(INDEX(사건마스터!$AV$5:$AV$64,MATCH($F804,사건마스터!$A$5:$A$64,0)),""))</f>
        <v/>
      </c>
      <c r="Z804" s="30">
        <f>IF(COUNTBLANK($J804:$Y804)=16,"",16-COUNTBLANK($J804:$Y804))</f>
        <v/>
      </c>
      <c r="AA804" s="33">
        <f>IF($J804="",MID($AX804,3,255),$J804&amp;$AX804)</f>
        <v/>
      </c>
      <c r="AB804" s="34">
        <f>IF($J804="","",IFERROR(INDEX(코드설정!$D$5:$D$24,MATCH($J804,코드설정!$C$5:$C$24,0)),""))</f>
        <v/>
      </c>
      <c r="AC804" s="36" t="n"/>
      <c r="AD804" s="37" t="n"/>
      <c r="AE804" s="38" t="n"/>
      <c r="AF804" s="30">
        <f>IF(OR($B804="",$C804=""),"",$C804-$B804+1)</f>
        <v/>
      </c>
      <c r="AG804" s="32" t="n"/>
      <c r="AH804" s="36" t="n"/>
      <c r="AJ804">
        <f>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  <c r="AX804">
        <f>AW804&amp;IF($Y804="","",", "&amp;$Y804)</f>
        <v/>
      </c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0">
        <f>IF($F805="","",COUNTIF($F$5:$F805,$F805))</f>
        <v/>
      </c>
      <c r="H805" s="33">
        <f>IF($F805="","",IFERROR(INDEX(사건마스터!$B$5:$B$64,MATCH($F805,사건마스터!$A$5:$A$64,0)),""))</f>
        <v/>
      </c>
      <c r="I805" s="34">
        <f>IF($F805="","",IFERROR(INDEX(사건마스터!$C$5:$C$64,MATCH($F805,사건마스터!$A$5:$A$64,0)),""))</f>
        <v/>
      </c>
      <c r="J805" s="35">
        <f>IF($F805="","",IFERROR(INDEX(사건마스터!$H$5:$H$64,MATCH($F805,사건마스터!$A$5:$A$64,0)),""))</f>
        <v/>
      </c>
      <c r="K805" s="35">
        <f>IF($F805="","",IFERROR(INDEX(사건마스터!$AH$5:$AH$64,MATCH($F805,사건마스터!$A$5:$A$64,0)),""))</f>
        <v/>
      </c>
      <c r="L805" s="35">
        <f>IF($F805="","",IFERROR(INDEX(사건마스터!$AI$5:$AI$64,MATCH($F805,사건마스터!$A$5:$A$64,0)),""))</f>
        <v/>
      </c>
      <c r="M805" s="35">
        <f>IF($F805="","",IFERROR(INDEX(사건마스터!$AJ$5:$AJ$64,MATCH($F805,사건마스터!$A$5:$A$64,0)),""))</f>
        <v/>
      </c>
      <c r="N805" s="35">
        <f>IF($F805="","",IFERROR(INDEX(사건마스터!$AK$5:$AK$64,MATCH($F805,사건마스터!$A$5:$A$64,0)),""))</f>
        <v/>
      </c>
      <c r="O805" s="35">
        <f>IF($F805="","",IFERROR(INDEX(사건마스터!$AL$5:$AL$64,MATCH($F805,사건마스터!$A$5:$A$64,0)),""))</f>
        <v/>
      </c>
      <c r="P805" s="35">
        <f>IF($F805="","",IFERROR(INDEX(사건마스터!$AM$5:$AM$64,MATCH($F805,사건마스터!$A$5:$A$64,0)),""))</f>
        <v/>
      </c>
      <c r="Q805" s="35">
        <f>IF($F805="","",IFERROR(INDEX(사건마스터!$AN$5:$AN$64,MATCH($F805,사건마스터!$A$5:$A$64,0)),""))</f>
        <v/>
      </c>
      <c r="R805" s="35">
        <f>IF($F805="","",IFERROR(INDEX(사건마스터!$AO$5:$AO$64,MATCH($F805,사건마스터!$A$5:$A$64,0)),""))</f>
        <v/>
      </c>
      <c r="S805" s="35">
        <f>IF($F805="","",IFERROR(INDEX(사건마스터!$AP$5:$AP$64,MATCH($F805,사건마스터!$A$5:$A$64,0)),""))</f>
        <v/>
      </c>
      <c r="T805" s="35">
        <f>IF($F805="","",IFERROR(INDEX(사건마스터!$AQ$5:$AQ$64,MATCH($F805,사건마스터!$A$5:$A$64,0)),""))</f>
        <v/>
      </c>
      <c r="U805" s="35">
        <f>IF($F805="","",IFERROR(INDEX(사건마스터!$AR$5:$AR$64,MATCH($F805,사건마스터!$A$5:$A$64,0)),""))</f>
        <v/>
      </c>
      <c r="V805" s="35">
        <f>IF($F805="","",IFERROR(INDEX(사건마스터!$AS$5:$AS$64,MATCH($F805,사건마스터!$A$5:$A$64,0)),""))</f>
        <v/>
      </c>
      <c r="W805" s="35">
        <f>IF($F805="","",IFERROR(INDEX(사건마스터!$AT$5:$AT$64,MATCH($F805,사건마스터!$A$5:$A$64,0)),""))</f>
        <v/>
      </c>
      <c r="X805" s="35">
        <f>IF($F805="","",IFERROR(INDEX(사건마스터!$AU$5:$AU$64,MATCH($F805,사건마스터!$A$5:$A$64,0)),""))</f>
        <v/>
      </c>
      <c r="Y805" s="35">
        <f>IF($F805="","",IFERROR(INDEX(사건마스터!$AV$5:$AV$64,MATCH($F805,사건마스터!$A$5:$A$64,0)),""))</f>
        <v/>
      </c>
      <c r="Z805" s="30">
        <f>IF(COUNTBLANK($J805:$Y805)=16,"",16-COUNTBLANK($J805:$Y805))</f>
        <v/>
      </c>
      <c r="AA805" s="33">
        <f>IF($J805="",MID($AX805,3,255),$J805&amp;$AX805)</f>
        <v/>
      </c>
      <c r="AB805" s="34">
        <f>IF($J805="","",IFERROR(INDEX(코드설정!$D$5:$D$24,MATCH($J805,코드설정!$C$5:$C$24,0)),""))</f>
        <v/>
      </c>
      <c r="AC805" s="36" t="n"/>
      <c r="AD805" s="37" t="n"/>
      <c r="AE805" s="38" t="n"/>
      <c r="AF805" s="30">
        <f>IF(OR($B805="",$C805=""),"",$C805-$B805+1)</f>
        <v/>
      </c>
      <c r="AG805" s="32" t="n"/>
      <c r="AH805" s="36" t="n"/>
      <c r="AJ805">
        <f>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  <c r="AX805">
        <f>AW805&amp;IF($Y805="","",", "&amp;$Y805)</f>
        <v/>
      </c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0">
        <f>IF($F806="","",COUNTIF($F$5:$F806,$F806))</f>
        <v/>
      </c>
      <c r="H806" s="33">
        <f>IF($F806="","",IFERROR(INDEX(사건마스터!$B$5:$B$64,MATCH($F806,사건마스터!$A$5:$A$64,0)),""))</f>
        <v/>
      </c>
      <c r="I806" s="34">
        <f>IF($F806="","",IFERROR(INDEX(사건마스터!$C$5:$C$64,MATCH($F806,사건마스터!$A$5:$A$64,0)),""))</f>
        <v/>
      </c>
      <c r="J806" s="35">
        <f>IF($F806="","",IFERROR(INDEX(사건마스터!$H$5:$H$64,MATCH($F806,사건마스터!$A$5:$A$64,0)),""))</f>
        <v/>
      </c>
      <c r="K806" s="35">
        <f>IF($F806="","",IFERROR(INDEX(사건마스터!$AH$5:$AH$64,MATCH($F806,사건마스터!$A$5:$A$64,0)),""))</f>
        <v/>
      </c>
      <c r="L806" s="35">
        <f>IF($F806="","",IFERROR(INDEX(사건마스터!$AI$5:$AI$64,MATCH($F806,사건마스터!$A$5:$A$64,0)),""))</f>
        <v/>
      </c>
      <c r="M806" s="35">
        <f>IF($F806="","",IFERROR(INDEX(사건마스터!$AJ$5:$AJ$64,MATCH($F806,사건마스터!$A$5:$A$64,0)),""))</f>
        <v/>
      </c>
      <c r="N806" s="35">
        <f>IF($F806="","",IFERROR(INDEX(사건마스터!$AK$5:$AK$64,MATCH($F806,사건마스터!$A$5:$A$64,0)),""))</f>
        <v/>
      </c>
      <c r="O806" s="35">
        <f>IF($F806="","",IFERROR(INDEX(사건마스터!$AL$5:$AL$64,MATCH($F806,사건마스터!$A$5:$A$64,0)),""))</f>
        <v/>
      </c>
      <c r="P806" s="35">
        <f>IF($F806="","",IFERROR(INDEX(사건마스터!$AM$5:$AM$64,MATCH($F806,사건마스터!$A$5:$A$64,0)),""))</f>
        <v/>
      </c>
      <c r="Q806" s="35">
        <f>IF($F806="","",IFERROR(INDEX(사건마스터!$AN$5:$AN$64,MATCH($F806,사건마스터!$A$5:$A$64,0)),""))</f>
        <v/>
      </c>
      <c r="R806" s="35">
        <f>IF($F806="","",IFERROR(INDEX(사건마스터!$AO$5:$AO$64,MATCH($F806,사건마스터!$A$5:$A$64,0)),""))</f>
        <v/>
      </c>
      <c r="S806" s="35">
        <f>IF($F806="","",IFERROR(INDEX(사건마스터!$AP$5:$AP$64,MATCH($F806,사건마스터!$A$5:$A$64,0)),""))</f>
        <v/>
      </c>
      <c r="T806" s="35">
        <f>IF($F806="","",IFERROR(INDEX(사건마스터!$AQ$5:$AQ$64,MATCH($F806,사건마스터!$A$5:$A$64,0)),""))</f>
        <v/>
      </c>
      <c r="U806" s="35">
        <f>IF($F806="","",IFERROR(INDEX(사건마스터!$AR$5:$AR$64,MATCH($F806,사건마스터!$A$5:$A$64,0)),""))</f>
        <v/>
      </c>
      <c r="V806" s="35">
        <f>IF($F806="","",IFERROR(INDEX(사건마스터!$AS$5:$AS$64,MATCH($F806,사건마스터!$A$5:$A$64,0)),""))</f>
        <v/>
      </c>
      <c r="W806" s="35">
        <f>IF($F806="","",IFERROR(INDEX(사건마스터!$AT$5:$AT$64,MATCH($F806,사건마스터!$A$5:$A$64,0)),""))</f>
        <v/>
      </c>
      <c r="X806" s="35">
        <f>IF($F806="","",IFERROR(INDEX(사건마스터!$AU$5:$AU$64,MATCH($F806,사건마스터!$A$5:$A$64,0)),""))</f>
        <v/>
      </c>
      <c r="Y806" s="35">
        <f>IF($F806="","",IFERROR(INDEX(사건마스터!$AV$5:$AV$64,MATCH($F806,사건마스터!$A$5:$A$64,0)),""))</f>
        <v/>
      </c>
      <c r="Z806" s="30">
        <f>IF(COUNTBLANK($J806:$Y806)=16,"",16-COUNTBLANK($J806:$Y806))</f>
        <v/>
      </c>
      <c r="AA806" s="33">
        <f>IF($J806="",MID($AX806,3,255),$J806&amp;$AX806)</f>
        <v/>
      </c>
      <c r="AB806" s="34">
        <f>IF($J806="","",IFERROR(INDEX(코드설정!$D$5:$D$24,MATCH($J806,코드설정!$C$5:$C$24,0)),""))</f>
        <v/>
      </c>
      <c r="AC806" s="36" t="n"/>
      <c r="AD806" s="37" t="n"/>
      <c r="AE806" s="38" t="n"/>
      <c r="AF806" s="30">
        <f>IF(OR($B806="",$C806=""),"",$C806-$B806+1)</f>
        <v/>
      </c>
      <c r="AG806" s="32" t="n"/>
      <c r="AH806" s="36" t="n"/>
      <c r="AJ806">
        <f>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  <c r="AX806">
        <f>AW806&amp;IF($Y806="","",", "&amp;$Y806)</f>
        <v/>
      </c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0">
        <f>IF($F807="","",COUNTIF($F$5:$F807,$F807))</f>
        <v/>
      </c>
      <c r="H807" s="33">
        <f>IF($F807="","",IFERROR(INDEX(사건마스터!$B$5:$B$64,MATCH($F807,사건마스터!$A$5:$A$64,0)),""))</f>
        <v/>
      </c>
      <c r="I807" s="34">
        <f>IF($F807="","",IFERROR(INDEX(사건마스터!$C$5:$C$64,MATCH($F807,사건마스터!$A$5:$A$64,0)),""))</f>
        <v/>
      </c>
      <c r="J807" s="35">
        <f>IF($F807="","",IFERROR(INDEX(사건마스터!$H$5:$H$64,MATCH($F807,사건마스터!$A$5:$A$64,0)),""))</f>
        <v/>
      </c>
      <c r="K807" s="35">
        <f>IF($F807="","",IFERROR(INDEX(사건마스터!$AH$5:$AH$64,MATCH($F807,사건마스터!$A$5:$A$64,0)),""))</f>
        <v/>
      </c>
      <c r="L807" s="35">
        <f>IF($F807="","",IFERROR(INDEX(사건마스터!$AI$5:$AI$64,MATCH($F807,사건마스터!$A$5:$A$64,0)),""))</f>
        <v/>
      </c>
      <c r="M807" s="35">
        <f>IF($F807="","",IFERROR(INDEX(사건마스터!$AJ$5:$AJ$64,MATCH($F807,사건마스터!$A$5:$A$64,0)),""))</f>
        <v/>
      </c>
      <c r="N807" s="35">
        <f>IF($F807="","",IFERROR(INDEX(사건마스터!$AK$5:$AK$64,MATCH($F807,사건마스터!$A$5:$A$64,0)),""))</f>
        <v/>
      </c>
      <c r="O807" s="35">
        <f>IF($F807="","",IFERROR(INDEX(사건마스터!$AL$5:$AL$64,MATCH($F807,사건마스터!$A$5:$A$64,0)),""))</f>
        <v/>
      </c>
      <c r="P807" s="35">
        <f>IF($F807="","",IFERROR(INDEX(사건마스터!$AM$5:$AM$64,MATCH($F807,사건마스터!$A$5:$A$64,0)),""))</f>
        <v/>
      </c>
      <c r="Q807" s="35">
        <f>IF($F807="","",IFERROR(INDEX(사건마스터!$AN$5:$AN$64,MATCH($F807,사건마스터!$A$5:$A$64,0)),""))</f>
        <v/>
      </c>
      <c r="R807" s="35">
        <f>IF($F807="","",IFERROR(INDEX(사건마스터!$AO$5:$AO$64,MATCH($F807,사건마스터!$A$5:$A$64,0)),""))</f>
        <v/>
      </c>
      <c r="S807" s="35">
        <f>IF($F807="","",IFERROR(INDEX(사건마스터!$AP$5:$AP$64,MATCH($F807,사건마스터!$A$5:$A$64,0)),""))</f>
        <v/>
      </c>
      <c r="T807" s="35">
        <f>IF($F807="","",IFERROR(INDEX(사건마스터!$AQ$5:$AQ$64,MATCH($F807,사건마스터!$A$5:$A$64,0)),""))</f>
        <v/>
      </c>
      <c r="U807" s="35">
        <f>IF($F807="","",IFERROR(INDEX(사건마스터!$AR$5:$AR$64,MATCH($F807,사건마스터!$A$5:$A$64,0)),""))</f>
        <v/>
      </c>
      <c r="V807" s="35">
        <f>IF($F807="","",IFERROR(INDEX(사건마스터!$AS$5:$AS$64,MATCH($F807,사건마스터!$A$5:$A$64,0)),""))</f>
        <v/>
      </c>
      <c r="W807" s="35">
        <f>IF($F807="","",IFERROR(INDEX(사건마스터!$AT$5:$AT$64,MATCH($F807,사건마스터!$A$5:$A$64,0)),""))</f>
        <v/>
      </c>
      <c r="X807" s="35">
        <f>IF($F807="","",IFERROR(INDEX(사건마스터!$AU$5:$AU$64,MATCH($F807,사건마스터!$A$5:$A$64,0)),""))</f>
        <v/>
      </c>
      <c r="Y807" s="35">
        <f>IF($F807="","",IFERROR(INDEX(사건마스터!$AV$5:$AV$64,MATCH($F807,사건마스터!$A$5:$A$64,0)),""))</f>
        <v/>
      </c>
      <c r="Z807" s="30">
        <f>IF(COUNTBLANK($J807:$Y807)=16,"",16-COUNTBLANK($J807:$Y807))</f>
        <v/>
      </c>
      <c r="AA807" s="33">
        <f>IF($J807="",MID($AX807,3,255),$J807&amp;$AX807)</f>
        <v/>
      </c>
      <c r="AB807" s="34">
        <f>IF($J807="","",IFERROR(INDEX(코드설정!$D$5:$D$24,MATCH($J807,코드설정!$C$5:$C$24,0)),""))</f>
        <v/>
      </c>
      <c r="AC807" s="36" t="n"/>
      <c r="AD807" s="37" t="n"/>
      <c r="AE807" s="38" t="n"/>
      <c r="AF807" s="30">
        <f>IF(OR($B807="",$C807=""),"",$C807-$B807+1)</f>
        <v/>
      </c>
      <c r="AG807" s="32" t="n"/>
      <c r="AH807" s="36" t="n"/>
      <c r="AJ807">
        <f>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  <c r="AX807">
        <f>AW807&amp;IF($Y807="","",", "&amp;$Y807)</f>
        <v/>
      </c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0">
        <f>IF($F808="","",COUNTIF($F$5:$F808,$F808))</f>
        <v/>
      </c>
      <c r="H808" s="33">
        <f>IF($F808="","",IFERROR(INDEX(사건마스터!$B$5:$B$64,MATCH($F808,사건마스터!$A$5:$A$64,0)),""))</f>
        <v/>
      </c>
      <c r="I808" s="34">
        <f>IF($F808="","",IFERROR(INDEX(사건마스터!$C$5:$C$64,MATCH($F808,사건마스터!$A$5:$A$64,0)),""))</f>
        <v/>
      </c>
      <c r="J808" s="35">
        <f>IF($F808="","",IFERROR(INDEX(사건마스터!$H$5:$H$64,MATCH($F808,사건마스터!$A$5:$A$64,0)),""))</f>
        <v/>
      </c>
      <c r="K808" s="35">
        <f>IF($F808="","",IFERROR(INDEX(사건마스터!$AH$5:$AH$64,MATCH($F808,사건마스터!$A$5:$A$64,0)),""))</f>
        <v/>
      </c>
      <c r="L808" s="35">
        <f>IF($F808="","",IFERROR(INDEX(사건마스터!$AI$5:$AI$64,MATCH($F808,사건마스터!$A$5:$A$64,0)),""))</f>
        <v/>
      </c>
      <c r="M808" s="35">
        <f>IF($F808="","",IFERROR(INDEX(사건마스터!$AJ$5:$AJ$64,MATCH($F808,사건마스터!$A$5:$A$64,0)),""))</f>
        <v/>
      </c>
      <c r="N808" s="35">
        <f>IF($F808="","",IFERROR(INDEX(사건마스터!$AK$5:$AK$64,MATCH($F808,사건마스터!$A$5:$A$64,0)),""))</f>
        <v/>
      </c>
      <c r="O808" s="35">
        <f>IF($F808="","",IFERROR(INDEX(사건마스터!$AL$5:$AL$64,MATCH($F808,사건마스터!$A$5:$A$64,0)),""))</f>
        <v/>
      </c>
      <c r="P808" s="35">
        <f>IF($F808="","",IFERROR(INDEX(사건마스터!$AM$5:$AM$64,MATCH($F808,사건마스터!$A$5:$A$64,0)),""))</f>
        <v/>
      </c>
      <c r="Q808" s="35">
        <f>IF($F808="","",IFERROR(INDEX(사건마스터!$AN$5:$AN$64,MATCH($F808,사건마스터!$A$5:$A$64,0)),""))</f>
        <v/>
      </c>
      <c r="R808" s="35">
        <f>IF($F808="","",IFERROR(INDEX(사건마스터!$AO$5:$AO$64,MATCH($F808,사건마스터!$A$5:$A$64,0)),""))</f>
        <v/>
      </c>
      <c r="S808" s="35">
        <f>IF($F808="","",IFERROR(INDEX(사건마스터!$AP$5:$AP$64,MATCH($F808,사건마스터!$A$5:$A$64,0)),""))</f>
        <v/>
      </c>
      <c r="T808" s="35">
        <f>IF($F808="","",IFERROR(INDEX(사건마스터!$AQ$5:$AQ$64,MATCH($F808,사건마스터!$A$5:$A$64,0)),""))</f>
        <v/>
      </c>
      <c r="U808" s="35">
        <f>IF($F808="","",IFERROR(INDEX(사건마스터!$AR$5:$AR$64,MATCH($F808,사건마스터!$A$5:$A$64,0)),""))</f>
        <v/>
      </c>
      <c r="V808" s="35">
        <f>IF($F808="","",IFERROR(INDEX(사건마스터!$AS$5:$AS$64,MATCH($F808,사건마스터!$A$5:$A$64,0)),""))</f>
        <v/>
      </c>
      <c r="W808" s="35">
        <f>IF($F808="","",IFERROR(INDEX(사건마스터!$AT$5:$AT$64,MATCH($F808,사건마스터!$A$5:$A$64,0)),""))</f>
        <v/>
      </c>
      <c r="X808" s="35">
        <f>IF($F808="","",IFERROR(INDEX(사건마스터!$AU$5:$AU$64,MATCH($F808,사건마스터!$A$5:$A$64,0)),""))</f>
        <v/>
      </c>
      <c r="Y808" s="35">
        <f>IF($F808="","",IFERROR(INDEX(사건마스터!$AV$5:$AV$64,MATCH($F808,사건마스터!$A$5:$A$64,0)),""))</f>
        <v/>
      </c>
      <c r="Z808" s="30">
        <f>IF(COUNTBLANK($J808:$Y808)=16,"",16-COUNTBLANK($J808:$Y808))</f>
        <v/>
      </c>
      <c r="AA808" s="33">
        <f>IF($J808="",MID($AX808,3,255),$J808&amp;$AX808)</f>
        <v/>
      </c>
      <c r="AB808" s="34">
        <f>IF($J808="","",IFERROR(INDEX(코드설정!$D$5:$D$24,MATCH($J808,코드설정!$C$5:$C$24,0)),""))</f>
        <v/>
      </c>
      <c r="AC808" s="36" t="n"/>
      <c r="AD808" s="37" t="n"/>
      <c r="AE808" s="38" t="n"/>
      <c r="AF808" s="30">
        <f>IF(OR($B808="",$C808=""),"",$C808-$B808+1)</f>
        <v/>
      </c>
      <c r="AG808" s="32" t="n"/>
      <c r="AH808" s="36" t="n"/>
      <c r="AJ808">
        <f>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  <c r="AX808">
        <f>AW808&amp;IF($Y808="","",", "&amp;$Y808)</f>
        <v/>
      </c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0">
        <f>IF($F809="","",COUNTIF($F$5:$F809,$F809))</f>
        <v/>
      </c>
      <c r="H809" s="33">
        <f>IF($F809="","",IFERROR(INDEX(사건마스터!$B$5:$B$64,MATCH($F809,사건마스터!$A$5:$A$64,0)),""))</f>
        <v/>
      </c>
      <c r="I809" s="34">
        <f>IF($F809="","",IFERROR(INDEX(사건마스터!$C$5:$C$64,MATCH($F809,사건마스터!$A$5:$A$64,0)),""))</f>
        <v/>
      </c>
      <c r="J809" s="35">
        <f>IF($F809="","",IFERROR(INDEX(사건마스터!$H$5:$H$64,MATCH($F809,사건마스터!$A$5:$A$64,0)),""))</f>
        <v/>
      </c>
      <c r="K809" s="35">
        <f>IF($F809="","",IFERROR(INDEX(사건마스터!$AH$5:$AH$64,MATCH($F809,사건마스터!$A$5:$A$64,0)),""))</f>
        <v/>
      </c>
      <c r="L809" s="35">
        <f>IF($F809="","",IFERROR(INDEX(사건마스터!$AI$5:$AI$64,MATCH($F809,사건마스터!$A$5:$A$64,0)),""))</f>
        <v/>
      </c>
      <c r="M809" s="35">
        <f>IF($F809="","",IFERROR(INDEX(사건마스터!$AJ$5:$AJ$64,MATCH($F809,사건마스터!$A$5:$A$64,0)),""))</f>
        <v/>
      </c>
      <c r="N809" s="35">
        <f>IF($F809="","",IFERROR(INDEX(사건마스터!$AK$5:$AK$64,MATCH($F809,사건마스터!$A$5:$A$64,0)),""))</f>
        <v/>
      </c>
      <c r="O809" s="35">
        <f>IF($F809="","",IFERROR(INDEX(사건마스터!$AL$5:$AL$64,MATCH($F809,사건마스터!$A$5:$A$64,0)),""))</f>
        <v/>
      </c>
      <c r="P809" s="35">
        <f>IF($F809="","",IFERROR(INDEX(사건마스터!$AM$5:$AM$64,MATCH($F809,사건마스터!$A$5:$A$64,0)),""))</f>
        <v/>
      </c>
      <c r="Q809" s="35">
        <f>IF($F809="","",IFERROR(INDEX(사건마스터!$AN$5:$AN$64,MATCH($F809,사건마스터!$A$5:$A$64,0)),""))</f>
        <v/>
      </c>
      <c r="R809" s="35">
        <f>IF($F809="","",IFERROR(INDEX(사건마스터!$AO$5:$AO$64,MATCH($F809,사건마스터!$A$5:$A$64,0)),""))</f>
        <v/>
      </c>
      <c r="S809" s="35">
        <f>IF($F809="","",IFERROR(INDEX(사건마스터!$AP$5:$AP$64,MATCH($F809,사건마스터!$A$5:$A$64,0)),""))</f>
        <v/>
      </c>
      <c r="T809" s="35">
        <f>IF($F809="","",IFERROR(INDEX(사건마스터!$AQ$5:$AQ$64,MATCH($F809,사건마스터!$A$5:$A$64,0)),""))</f>
        <v/>
      </c>
      <c r="U809" s="35">
        <f>IF($F809="","",IFERROR(INDEX(사건마스터!$AR$5:$AR$64,MATCH($F809,사건마스터!$A$5:$A$64,0)),""))</f>
        <v/>
      </c>
      <c r="V809" s="35">
        <f>IF($F809="","",IFERROR(INDEX(사건마스터!$AS$5:$AS$64,MATCH($F809,사건마스터!$A$5:$A$64,0)),""))</f>
        <v/>
      </c>
      <c r="W809" s="35">
        <f>IF($F809="","",IFERROR(INDEX(사건마스터!$AT$5:$AT$64,MATCH($F809,사건마스터!$A$5:$A$64,0)),""))</f>
        <v/>
      </c>
      <c r="X809" s="35">
        <f>IF($F809="","",IFERROR(INDEX(사건마스터!$AU$5:$AU$64,MATCH($F809,사건마스터!$A$5:$A$64,0)),""))</f>
        <v/>
      </c>
      <c r="Y809" s="35">
        <f>IF($F809="","",IFERROR(INDEX(사건마스터!$AV$5:$AV$64,MATCH($F809,사건마스터!$A$5:$A$64,0)),""))</f>
        <v/>
      </c>
      <c r="Z809" s="30">
        <f>IF(COUNTBLANK($J809:$Y809)=16,"",16-COUNTBLANK($J809:$Y809))</f>
        <v/>
      </c>
      <c r="AA809" s="33">
        <f>IF($J809="",MID($AX809,3,255),$J809&amp;$AX809)</f>
        <v/>
      </c>
      <c r="AB809" s="34">
        <f>IF($J809="","",IFERROR(INDEX(코드설정!$D$5:$D$24,MATCH($J809,코드설정!$C$5:$C$24,0)),""))</f>
        <v/>
      </c>
      <c r="AC809" s="36" t="n"/>
      <c r="AD809" s="37" t="n"/>
      <c r="AE809" s="38" t="n"/>
      <c r="AF809" s="30">
        <f>IF(OR($B809="",$C809=""),"",$C809-$B809+1)</f>
        <v/>
      </c>
      <c r="AG809" s="32" t="n"/>
      <c r="AH809" s="36" t="n"/>
      <c r="AJ809">
        <f>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  <c r="AX809">
        <f>AW809&amp;IF($Y809="","",", "&amp;$Y809)</f>
        <v/>
      </c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0">
        <f>IF($F810="","",COUNTIF($F$5:$F810,$F810))</f>
        <v/>
      </c>
      <c r="H810" s="33">
        <f>IF($F810="","",IFERROR(INDEX(사건마스터!$B$5:$B$64,MATCH($F810,사건마스터!$A$5:$A$64,0)),""))</f>
        <v/>
      </c>
      <c r="I810" s="34">
        <f>IF($F810="","",IFERROR(INDEX(사건마스터!$C$5:$C$64,MATCH($F810,사건마스터!$A$5:$A$64,0)),""))</f>
        <v/>
      </c>
      <c r="J810" s="35">
        <f>IF($F810="","",IFERROR(INDEX(사건마스터!$H$5:$H$64,MATCH($F810,사건마스터!$A$5:$A$64,0)),""))</f>
        <v/>
      </c>
      <c r="K810" s="35">
        <f>IF($F810="","",IFERROR(INDEX(사건마스터!$AH$5:$AH$64,MATCH($F810,사건마스터!$A$5:$A$64,0)),""))</f>
        <v/>
      </c>
      <c r="L810" s="35">
        <f>IF($F810="","",IFERROR(INDEX(사건마스터!$AI$5:$AI$64,MATCH($F810,사건마스터!$A$5:$A$64,0)),""))</f>
        <v/>
      </c>
      <c r="M810" s="35">
        <f>IF($F810="","",IFERROR(INDEX(사건마스터!$AJ$5:$AJ$64,MATCH($F810,사건마스터!$A$5:$A$64,0)),""))</f>
        <v/>
      </c>
      <c r="N810" s="35">
        <f>IF($F810="","",IFERROR(INDEX(사건마스터!$AK$5:$AK$64,MATCH($F810,사건마스터!$A$5:$A$64,0)),""))</f>
        <v/>
      </c>
      <c r="O810" s="35">
        <f>IF($F810="","",IFERROR(INDEX(사건마스터!$AL$5:$AL$64,MATCH($F810,사건마스터!$A$5:$A$64,0)),""))</f>
        <v/>
      </c>
      <c r="P810" s="35">
        <f>IF($F810="","",IFERROR(INDEX(사건마스터!$AM$5:$AM$64,MATCH($F810,사건마스터!$A$5:$A$64,0)),""))</f>
        <v/>
      </c>
      <c r="Q810" s="35">
        <f>IF($F810="","",IFERROR(INDEX(사건마스터!$AN$5:$AN$64,MATCH($F810,사건마스터!$A$5:$A$64,0)),""))</f>
        <v/>
      </c>
      <c r="R810" s="35">
        <f>IF($F810="","",IFERROR(INDEX(사건마스터!$AO$5:$AO$64,MATCH($F810,사건마스터!$A$5:$A$64,0)),""))</f>
        <v/>
      </c>
      <c r="S810" s="35">
        <f>IF($F810="","",IFERROR(INDEX(사건마스터!$AP$5:$AP$64,MATCH($F810,사건마스터!$A$5:$A$64,0)),""))</f>
        <v/>
      </c>
      <c r="T810" s="35">
        <f>IF($F810="","",IFERROR(INDEX(사건마스터!$AQ$5:$AQ$64,MATCH($F810,사건마스터!$A$5:$A$64,0)),""))</f>
        <v/>
      </c>
      <c r="U810" s="35">
        <f>IF($F810="","",IFERROR(INDEX(사건마스터!$AR$5:$AR$64,MATCH($F810,사건마스터!$A$5:$A$64,0)),""))</f>
        <v/>
      </c>
      <c r="V810" s="35">
        <f>IF($F810="","",IFERROR(INDEX(사건마스터!$AS$5:$AS$64,MATCH($F810,사건마스터!$A$5:$A$64,0)),""))</f>
        <v/>
      </c>
      <c r="W810" s="35">
        <f>IF($F810="","",IFERROR(INDEX(사건마스터!$AT$5:$AT$64,MATCH($F810,사건마스터!$A$5:$A$64,0)),""))</f>
        <v/>
      </c>
      <c r="X810" s="35">
        <f>IF($F810="","",IFERROR(INDEX(사건마스터!$AU$5:$AU$64,MATCH($F810,사건마스터!$A$5:$A$64,0)),""))</f>
        <v/>
      </c>
      <c r="Y810" s="35">
        <f>IF($F810="","",IFERROR(INDEX(사건마스터!$AV$5:$AV$64,MATCH($F810,사건마스터!$A$5:$A$64,0)),""))</f>
        <v/>
      </c>
      <c r="Z810" s="30">
        <f>IF(COUNTBLANK($J810:$Y810)=16,"",16-COUNTBLANK($J810:$Y810))</f>
        <v/>
      </c>
      <c r="AA810" s="33">
        <f>IF($J810="",MID($AX810,3,255),$J810&amp;$AX810)</f>
        <v/>
      </c>
      <c r="AB810" s="34">
        <f>IF($J810="","",IFERROR(INDEX(코드설정!$D$5:$D$24,MATCH($J810,코드설정!$C$5:$C$24,0)),""))</f>
        <v/>
      </c>
      <c r="AC810" s="36" t="n"/>
      <c r="AD810" s="37" t="n"/>
      <c r="AE810" s="38" t="n"/>
      <c r="AF810" s="30">
        <f>IF(OR($B810="",$C810=""),"",$C810-$B810+1)</f>
        <v/>
      </c>
      <c r="AG810" s="32" t="n"/>
      <c r="AH810" s="36" t="n"/>
      <c r="AJ810">
        <f>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  <c r="AX810">
        <f>AW810&amp;IF($Y810="","",", "&amp;$Y810)</f>
        <v/>
      </c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0">
        <f>IF($F811="","",COUNTIF($F$5:$F811,$F811))</f>
        <v/>
      </c>
      <c r="H811" s="33">
        <f>IF($F811="","",IFERROR(INDEX(사건마스터!$B$5:$B$64,MATCH($F811,사건마스터!$A$5:$A$64,0)),""))</f>
        <v/>
      </c>
      <c r="I811" s="34">
        <f>IF($F811="","",IFERROR(INDEX(사건마스터!$C$5:$C$64,MATCH($F811,사건마스터!$A$5:$A$64,0)),""))</f>
        <v/>
      </c>
      <c r="J811" s="35">
        <f>IF($F811="","",IFERROR(INDEX(사건마스터!$H$5:$H$64,MATCH($F811,사건마스터!$A$5:$A$64,0)),""))</f>
        <v/>
      </c>
      <c r="K811" s="35">
        <f>IF($F811="","",IFERROR(INDEX(사건마스터!$AH$5:$AH$64,MATCH($F811,사건마스터!$A$5:$A$64,0)),""))</f>
        <v/>
      </c>
      <c r="L811" s="35">
        <f>IF($F811="","",IFERROR(INDEX(사건마스터!$AI$5:$AI$64,MATCH($F811,사건마스터!$A$5:$A$64,0)),""))</f>
        <v/>
      </c>
      <c r="M811" s="35">
        <f>IF($F811="","",IFERROR(INDEX(사건마스터!$AJ$5:$AJ$64,MATCH($F811,사건마스터!$A$5:$A$64,0)),""))</f>
        <v/>
      </c>
      <c r="N811" s="35">
        <f>IF($F811="","",IFERROR(INDEX(사건마스터!$AK$5:$AK$64,MATCH($F811,사건마스터!$A$5:$A$64,0)),""))</f>
        <v/>
      </c>
      <c r="O811" s="35">
        <f>IF($F811="","",IFERROR(INDEX(사건마스터!$AL$5:$AL$64,MATCH($F811,사건마스터!$A$5:$A$64,0)),""))</f>
        <v/>
      </c>
      <c r="P811" s="35">
        <f>IF($F811="","",IFERROR(INDEX(사건마스터!$AM$5:$AM$64,MATCH($F811,사건마스터!$A$5:$A$64,0)),""))</f>
        <v/>
      </c>
      <c r="Q811" s="35">
        <f>IF($F811="","",IFERROR(INDEX(사건마스터!$AN$5:$AN$64,MATCH($F811,사건마스터!$A$5:$A$64,0)),""))</f>
        <v/>
      </c>
      <c r="R811" s="35">
        <f>IF($F811="","",IFERROR(INDEX(사건마스터!$AO$5:$AO$64,MATCH($F811,사건마스터!$A$5:$A$64,0)),""))</f>
        <v/>
      </c>
      <c r="S811" s="35">
        <f>IF($F811="","",IFERROR(INDEX(사건마스터!$AP$5:$AP$64,MATCH($F811,사건마스터!$A$5:$A$64,0)),""))</f>
        <v/>
      </c>
      <c r="T811" s="35">
        <f>IF($F811="","",IFERROR(INDEX(사건마스터!$AQ$5:$AQ$64,MATCH($F811,사건마스터!$A$5:$A$64,0)),""))</f>
        <v/>
      </c>
      <c r="U811" s="35">
        <f>IF($F811="","",IFERROR(INDEX(사건마스터!$AR$5:$AR$64,MATCH($F811,사건마스터!$A$5:$A$64,0)),""))</f>
        <v/>
      </c>
      <c r="V811" s="35">
        <f>IF($F811="","",IFERROR(INDEX(사건마스터!$AS$5:$AS$64,MATCH($F811,사건마스터!$A$5:$A$64,0)),""))</f>
        <v/>
      </c>
      <c r="W811" s="35">
        <f>IF($F811="","",IFERROR(INDEX(사건마스터!$AT$5:$AT$64,MATCH($F811,사건마스터!$A$5:$A$64,0)),""))</f>
        <v/>
      </c>
      <c r="X811" s="35">
        <f>IF($F811="","",IFERROR(INDEX(사건마스터!$AU$5:$AU$64,MATCH($F811,사건마스터!$A$5:$A$64,0)),""))</f>
        <v/>
      </c>
      <c r="Y811" s="35">
        <f>IF($F811="","",IFERROR(INDEX(사건마스터!$AV$5:$AV$64,MATCH($F811,사건마스터!$A$5:$A$64,0)),""))</f>
        <v/>
      </c>
      <c r="Z811" s="30">
        <f>IF(COUNTBLANK($J811:$Y811)=16,"",16-COUNTBLANK($J811:$Y811))</f>
        <v/>
      </c>
      <c r="AA811" s="33">
        <f>IF($J811="",MID($AX811,3,255),$J811&amp;$AX811)</f>
        <v/>
      </c>
      <c r="AB811" s="34">
        <f>IF($J811="","",IFERROR(INDEX(코드설정!$D$5:$D$24,MATCH($J811,코드설정!$C$5:$C$24,0)),""))</f>
        <v/>
      </c>
      <c r="AC811" s="36" t="n"/>
      <c r="AD811" s="37" t="n"/>
      <c r="AE811" s="38" t="n"/>
      <c r="AF811" s="30">
        <f>IF(OR($B811="",$C811=""),"",$C811-$B811+1)</f>
        <v/>
      </c>
      <c r="AG811" s="32" t="n"/>
      <c r="AH811" s="36" t="n"/>
      <c r="AJ811">
        <f>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  <c r="AX811">
        <f>AW811&amp;IF($Y811="","",", "&amp;$Y811)</f>
        <v/>
      </c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0">
        <f>IF($F812="","",COUNTIF($F$5:$F812,$F812))</f>
        <v/>
      </c>
      <c r="H812" s="33">
        <f>IF($F812="","",IFERROR(INDEX(사건마스터!$B$5:$B$64,MATCH($F812,사건마스터!$A$5:$A$64,0)),""))</f>
        <v/>
      </c>
      <c r="I812" s="34">
        <f>IF($F812="","",IFERROR(INDEX(사건마스터!$C$5:$C$64,MATCH($F812,사건마스터!$A$5:$A$64,0)),""))</f>
        <v/>
      </c>
      <c r="J812" s="35">
        <f>IF($F812="","",IFERROR(INDEX(사건마스터!$H$5:$H$64,MATCH($F812,사건마스터!$A$5:$A$64,0)),""))</f>
        <v/>
      </c>
      <c r="K812" s="35">
        <f>IF($F812="","",IFERROR(INDEX(사건마스터!$AH$5:$AH$64,MATCH($F812,사건마스터!$A$5:$A$64,0)),""))</f>
        <v/>
      </c>
      <c r="L812" s="35">
        <f>IF($F812="","",IFERROR(INDEX(사건마스터!$AI$5:$AI$64,MATCH($F812,사건마스터!$A$5:$A$64,0)),""))</f>
        <v/>
      </c>
      <c r="M812" s="35">
        <f>IF($F812="","",IFERROR(INDEX(사건마스터!$AJ$5:$AJ$64,MATCH($F812,사건마스터!$A$5:$A$64,0)),""))</f>
        <v/>
      </c>
      <c r="N812" s="35">
        <f>IF($F812="","",IFERROR(INDEX(사건마스터!$AK$5:$AK$64,MATCH($F812,사건마스터!$A$5:$A$64,0)),""))</f>
        <v/>
      </c>
      <c r="O812" s="35">
        <f>IF($F812="","",IFERROR(INDEX(사건마스터!$AL$5:$AL$64,MATCH($F812,사건마스터!$A$5:$A$64,0)),""))</f>
        <v/>
      </c>
      <c r="P812" s="35">
        <f>IF($F812="","",IFERROR(INDEX(사건마스터!$AM$5:$AM$64,MATCH($F812,사건마스터!$A$5:$A$64,0)),""))</f>
        <v/>
      </c>
      <c r="Q812" s="35">
        <f>IF($F812="","",IFERROR(INDEX(사건마스터!$AN$5:$AN$64,MATCH($F812,사건마스터!$A$5:$A$64,0)),""))</f>
        <v/>
      </c>
      <c r="R812" s="35">
        <f>IF($F812="","",IFERROR(INDEX(사건마스터!$AO$5:$AO$64,MATCH($F812,사건마스터!$A$5:$A$64,0)),""))</f>
        <v/>
      </c>
      <c r="S812" s="35">
        <f>IF($F812="","",IFERROR(INDEX(사건마스터!$AP$5:$AP$64,MATCH($F812,사건마스터!$A$5:$A$64,0)),""))</f>
        <v/>
      </c>
      <c r="T812" s="35">
        <f>IF($F812="","",IFERROR(INDEX(사건마스터!$AQ$5:$AQ$64,MATCH($F812,사건마스터!$A$5:$A$64,0)),""))</f>
        <v/>
      </c>
      <c r="U812" s="35">
        <f>IF($F812="","",IFERROR(INDEX(사건마스터!$AR$5:$AR$64,MATCH($F812,사건마스터!$A$5:$A$64,0)),""))</f>
        <v/>
      </c>
      <c r="V812" s="35">
        <f>IF($F812="","",IFERROR(INDEX(사건마스터!$AS$5:$AS$64,MATCH($F812,사건마스터!$A$5:$A$64,0)),""))</f>
        <v/>
      </c>
      <c r="W812" s="35">
        <f>IF($F812="","",IFERROR(INDEX(사건마스터!$AT$5:$AT$64,MATCH($F812,사건마스터!$A$5:$A$64,0)),""))</f>
        <v/>
      </c>
      <c r="X812" s="35">
        <f>IF($F812="","",IFERROR(INDEX(사건마스터!$AU$5:$AU$64,MATCH($F812,사건마스터!$A$5:$A$64,0)),""))</f>
        <v/>
      </c>
      <c r="Y812" s="35">
        <f>IF($F812="","",IFERROR(INDEX(사건마스터!$AV$5:$AV$64,MATCH($F812,사건마스터!$A$5:$A$64,0)),""))</f>
        <v/>
      </c>
      <c r="Z812" s="30">
        <f>IF(COUNTBLANK($J812:$Y812)=16,"",16-COUNTBLANK($J812:$Y812))</f>
        <v/>
      </c>
      <c r="AA812" s="33">
        <f>IF($J812="",MID($AX812,3,255),$J812&amp;$AX812)</f>
        <v/>
      </c>
      <c r="AB812" s="34">
        <f>IF($J812="","",IFERROR(INDEX(코드설정!$D$5:$D$24,MATCH($J812,코드설정!$C$5:$C$24,0)),""))</f>
        <v/>
      </c>
      <c r="AC812" s="36" t="n"/>
      <c r="AD812" s="37" t="n"/>
      <c r="AE812" s="38" t="n"/>
      <c r="AF812" s="30">
        <f>IF(OR($B812="",$C812=""),"",$C812-$B812+1)</f>
        <v/>
      </c>
      <c r="AG812" s="32" t="n"/>
      <c r="AH812" s="36" t="n"/>
      <c r="AJ812">
        <f>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  <c r="AX812">
        <f>AW812&amp;IF($Y812="","",", "&amp;$Y812)</f>
        <v/>
      </c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0">
        <f>IF($F813="","",COUNTIF($F$5:$F813,$F813))</f>
        <v/>
      </c>
      <c r="H813" s="33">
        <f>IF($F813="","",IFERROR(INDEX(사건마스터!$B$5:$B$64,MATCH($F813,사건마스터!$A$5:$A$64,0)),""))</f>
        <v/>
      </c>
      <c r="I813" s="34">
        <f>IF($F813="","",IFERROR(INDEX(사건마스터!$C$5:$C$64,MATCH($F813,사건마스터!$A$5:$A$64,0)),""))</f>
        <v/>
      </c>
      <c r="J813" s="35">
        <f>IF($F813="","",IFERROR(INDEX(사건마스터!$H$5:$H$64,MATCH($F813,사건마스터!$A$5:$A$64,0)),""))</f>
        <v/>
      </c>
      <c r="K813" s="35">
        <f>IF($F813="","",IFERROR(INDEX(사건마스터!$AH$5:$AH$64,MATCH($F813,사건마스터!$A$5:$A$64,0)),""))</f>
        <v/>
      </c>
      <c r="L813" s="35">
        <f>IF($F813="","",IFERROR(INDEX(사건마스터!$AI$5:$AI$64,MATCH($F813,사건마스터!$A$5:$A$64,0)),""))</f>
        <v/>
      </c>
      <c r="M813" s="35">
        <f>IF($F813="","",IFERROR(INDEX(사건마스터!$AJ$5:$AJ$64,MATCH($F813,사건마스터!$A$5:$A$64,0)),""))</f>
        <v/>
      </c>
      <c r="N813" s="35">
        <f>IF($F813="","",IFERROR(INDEX(사건마스터!$AK$5:$AK$64,MATCH($F813,사건마스터!$A$5:$A$64,0)),""))</f>
        <v/>
      </c>
      <c r="O813" s="35">
        <f>IF($F813="","",IFERROR(INDEX(사건마스터!$AL$5:$AL$64,MATCH($F813,사건마스터!$A$5:$A$64,0)),""))</f>
        <v/>
      </c>
      <c r="P813" s="35">
        <f>IF($F813="","",IFERROR(INDEX(사건마스터!$AM$5:$AM$64,MATCH($F813,사건마스터!$A$5:$A$64,0)),""))</f>
        <v/>
      </c>
      <c r="Q813" s="35">
        <f>IF($F813="","",IFERROR(INDEX(사건마스터!$AN$5:$AN$64,MATCH($F813,사건마스터!$A$5:$A$64,0)),""))</f>
        <v/>
      </c>
      <c r="R813" s="35">
        <f>IF($F813="","",IFERROR(INDEX(사건마스터!$AO$5:$AO$64,MATCH($F813,사건마스터!$A$5:$A$64,0)),""))</f>
        <v/>
      </c>
      <c r="S813" s="35">
        <f>IF($F813="","",IFERROR(INDEX(사건마스터!$AP$5:$AP$64,MATCH($F813,사건마스터!$A$5:$A$64,0)),""))</f>
        <v/>
      </c>
      <c r="T813" s="35">
        <f>IF($F813="","",IFERROR(INDEX(사건마스터!$AQ$5:$AQ$64,MATCH($F813,사건마스터!$A$5:$A$64,0)),""))</f>
        <v/>
      </c>
      <c r="U813" s="35">
        <f>IF($F813="","",IFERROR(INDEX(사건마스터!$AR$5:$AR$64,MATCH($F813,사건마스터!$A$5:$A$64,0)),""))</f>
        <v/>
      </c>
      <c r="V813" s="35">
        <f>IF($F813="","",IFERROR(INDEX(사건마스터!$AS$5:$AS$64,MATCH($F813,사건마스터!$A$5:$A$64,0)),""))</f>
        <v/>
      </c>
      <c r="W813" s="35">
        <f>IF($F813="","",IFERROR(INDEX(사건마스터!$AT$5:$AT$64,MATCH($F813,사건마스터!$A$5:$A$64,0)),""))</f>
        <v/>
      </c>
      <c r="X813" s="35">
        <f>IF($F813="","",IFERROR(INDEX(사건마스터!$AU$5:$AU$64,MATCH($F813,사건마스터!$A$5:$A$64,0)),""))</f>
        <v/>
      </c>
      <c r="Y813" s="35">
        <f>IF($F813="","",IFERROR(INDEX(사건마스터!$AV$5:$AV$64,MATCH($F813,사건마스터!$A$5:$A$64,0)),""))</f>
        <v/>
      </c>
      <c r="Z813" s="30">
        <f>IF(COUNTBLANK($J813:$Y813)=16,"",16-COUNTBLANK($J813:$Y813))</f>
        <v/>
      </c>
      <c r="AA813" s="33">
        <f>IF($J813="",MID($AX813,3,255),$J813&amp;$AX813)</f>
        <v/>
      </c>
      <c r="AB813" s="34">
        <f>IF($J813="","",IFERROR(INDEX(코드설정!$D$5:$D$24,MATCH($J813,코드설정!$C$5:$C$24,0)),""))</f>
        <v/>
      </c>
      <c r="AC813" s="36" t="n"/>
      <c r="AD813" s="37" t="n"/>
      <c r="AE813" s="38" t="n"/>
      <c r="AF813" s="30">
        <f>IF(OR($B813="",$C813=""),"",$C813-$B813+1)</f>
        <v/>
      </c>
      <c r="AG813" s="32" t="n"/>
      <c r="AH813" s="36" t="n"/>
      <c r="AJ813">
        <f>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  <c r="AX813">
        <f>AW813&amp;IF($Y813="","",", "&amp;$Y813)</f>
        <v/>
      </c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0">
        <f>IF($F814="","",COUNTIF($F$5:$F814,$F814))</f>
        <v/>
      </c>
      <c r="H814" s="33">
        <f>IF($F814="","",IFERROR(INDEX(사건마스터!$B$5:$B$64,MATCH($F814,사건마스터!$A$5:$A$64,0)),""))</f>
        <v/>
      </c>
      <c r="I814" s="34">
        <f>IF($F814="","",IFERROR(INDEX(사건마스터!$C$5:$C$64,MATCH($F814,사건마스터!$A$5:$A$64,0)),""))</f>
        <v/>
      </c>
      <c r="J814" s="35">
        <f>IF($F814="","",IFERROR(INDEX(사건마스터!$H$5:$H$64,MATCH($F814,사건마스터!$A$5:$A$64,0)),""))</f>
        <v/>
      </c>
      <c r="K814" s="35">
        <f>IF($F814="","",IFERROR(INDEX(사건마스터!$AH$5:$AH$64,MATCH($F814,사건마스터!$A$5:$A$64,0)),""))</f>
        <v/>
      </c>
      <c r="L814" s="35">
        <f>IF($F814="","",IFERROR(INDEX(사건마스터!$AI$5:$AI$64,MATCH($F814,사건마스터!$A$5:$A$64,0)),""))</f>
        <v/>
      </c>
      <c r="M814" s="35">
        <f>IF($F814="","",IFERROR(INDEX(사건마스터!$AJ$5:$AJ$64,MATCH($F814,사건마스터!$A$5:$A$64,0)),""))</f>
        <v/>
      </c>
      <c r="N814" s="35">
        <f>IF($F814="","",IFERROR(INDEX(사건마스터!$AK$5:$AK$64,MATCH($F814,사건마스터!$A$5:$A$64,0)),""))</f>
        <v/>
      </c>
      <c r="O814" s="35">
        <f>IF($F814="","",IFERROR(INDEX(사건마스터!$AL$5:$AL$64,MATCH($F814,사건마스터!$A$5:$A$64,0)),""))</f>
        <v/>
      </c>
      <c r="P814" s="35">
        <f>IF($F814="","",IFERROR(INDEX(사건마스터!$AM$5:$AM$64,MATCH($F814,사건마스터!$A$5:$A$64,0)),""))</f>
        <v/>
      </c>
      <c r="Q814" s="35">
        <f>IF($F814="","",IFERROR(INDEX(사건마스터!$AN$5:$AN$64,MATCH($F814,사건마스터!$A$5:$A$64,0)),""))</f>
        <v/>
      </c>
      <c r="R814" s="35">
        <f>IF($F814="","",IFERROR(INDEX(사건마스터!$AO$5:$AO$64,MATCH($F814,사건마스터!$A$5:$A$64,0)),""))</f>
        <v/>
      </c>
      <c r="S814" s="35">
        <f>IF($F814="","",IFERROR(INDEX(사건마스터!$AP$5:$AP$64,MATCH($F814,사건마스터!$A$5:$A$64,0)),""))</f>
        <v/>
      </c>
      <c r="T814" s="35">
        <f>IF($F814="","",IFERROR(INDEX(사건마스터!$AQ$5:$AQ$64,MATCH($F814,사건마스터!$A$5:$A$64,0)),""))</f>
        <v/>
      </c>
      <c r="U814" s="35">
        <f>IF($F814="","",IFERROR(INDEX(사건마스터!$AR$5:$AR$64,MATCH($F814,사건마스터!$A$5:$A$64,0)),""))</f>
        <v/>
      </c>
      <c r="V814" s="35">
        <f>IF($F814="","",IFERROR(INDEX(사건마스터!$AS$5:$AS$64,MATCH($F814,사건마스터!$A$5:$A$64,0)),""))</f>
        <v/>
      </c>
      <c r="W814" s="35">
        <f>IF($F814="","",IFERROR(INDEX(사건마스터!$AT$5:$AT$64,MATCH($F814,사건마스터!$A$5:$A$64,0)),""))</f>
        <v/>
      </c>
      <c r="X814" s="35">
        <f>IF($F814="","",IFERROR(INDEX(사건마스터!$AU$5:$AU$64,MATCH($F814,사건마스터!$A$5:$A$64,0)),""))</f>
        <v/>
      </c>
      <c r="Y814" s="35">
        <f>IF($F814="","",IFERROR(INDEX(사건마스터!$AV$5:$AV$64,MATCH($F814,사건마스터!$A$5:$A$64,0)),""))</f>
        <v/>
      </c>
      <c r="Z814" s="30">
        <f>IF(COUNTBLANK($J814:$Y814)=16,"",16-COUNTBLANK($J814:$Y814))</f>
        <v/>
      </c>
      <c r="AA814" s="33">
        <f>IF($J814="",MID($AX814,3,255),$J814&amp;$AX814)</f>
        <v/>
      </c>
      <c r="AB814" s="34">
        <f>IF($J814="","",IFERROR(INDEX(코드설정!$D$5:$D$24,MATCH($J814,코드설정!$C$5:$C$24,0)),""))</f>
        <v/>
      </c>
      <c r="AC814" s="36" t="n"/>
      <c r="AD814" s="37" t="n"/>
      <c r="AE814" s="38" t="n"/>
      <c r="AF814" s="30">
        <f>IF(OR($B814="",$C814=""),"",$C814-$B814+1)</f>
        <v/>
      </c>
      <c r="AG814" s="32" t="n"/>
      <c r="AH814" s="36" t="n"/>
      <c r="AJ814">
        <f>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  <c r="AX814">
        <f>AW814&amp;IF($Y814="","",", "&amp;$Y814)</f>
        <v/>
      </c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0">
        <f>IF($F815="","",COUNTIF($F$5:$F815,$F815))</f>
        <v/>
      </c>
      <c r="H815" s="33">
        <f>IF($F815="","",IFERROR(INDEX(사건마스터!$B$5:$B$64,MATCH($F815,사건마스터!$A$5:$A$64,0)),""))</f>
        <v/>
      </c>
      <c r="I815" s="34">
        <f>IF($F815="","",IFERROR(INDEX(사건마스터!$C$5:$C$64,MATCH($F815,사건마스터!$A$5:$A$64,0)),""))</f>
        <v/>
      </c>
      <c r="J815" s="35">
        <f>IF($F815="","",IFERROR(INDEX(사건마스터!$H$5:$H$64,MATCH($F815,사건마스터!$A$5:$A$64,0)),""))</f>
        <v/>
      </c>
      <c r="K815" s="35">
        <f>IF($F815="","",IFERROR(INDEX(사건마스터!$AH$5:$AH$64,MATCH($F815,사건마스터!$A$5:$A$64,0)),""))</f>
        <v/>
      </c>
      <c r="L815" s="35">
        <f>IF($F815="","",IFERROR(INDEX(사건마스터!$AI$5:$AI$64,MATCH($F815,사건마스터!$A$5:$A$64,0)),""))</f>
        <v/>
      </c>
      <c r="M815" s="35">
        <f>IF($F815="","",IFERROR(INDEX(사건마스터!$AJ$5:$AJ$64,MATCH($F815,사건마스터!$A$5:$A$64,0)),""))</f>
        <v/>
      </c>
      <c r="N815" s="35">
        <f>IF($F815="","",IFERROR(INDEX(사건마스터!$AK$5:$AK$64,MATCH($F815,사건마스터!$A$5:$A$64,0)),""))</f>
        <v/>
      </c>
      <c r="O815" s="35">
        <f>IF($F815="","",IFERROR(INDEX(사건마스터!$AL$5:$AL$64,MATCH($F815,사건마스터!$A$5:$A$64,0)),""))</f>
        <v/>
      </c>
      <c r="P815" s="35">
        <f>IF($F815="","",IFERROR(INDEX(사건마스터!$AM$5:$AM$64,MATCH($F815,사건마스터!$A$5:$A$64,0)),""))</f>
        <v/>
      </c>
      <c r="Q815" s="35">
        <f>IF($F815="","",IFERROR(INDEX(사건마스터!$AN$5:$AN$64,MATCH($F815,사건마스터!$A$5:$A$64,0)),""))</f>
        <v/>
      </c>
      <c r="R815" s="35">
        <f>IF($F815="","",IFERROR(INDEX(사건마스터!$AO$5:$AO$64,MATCH($F815,사건마스터!$A$5:$A$64,0)),""))</f>
        <v/>
      </c>
      <c r="S815" s="35">
        <f>IF($F815="","",IFERROR(INDEX(사건마스터!$AP$5:$AP$64,MATCH($F815,사건마스터!$A$5:$A$64,0)),""))</f>
        <v/>
      </c>
      <c r="T815" s="35">
        <f>IF($F815="","",IFERROR(INDEX(사건마스터!$AQ$5:$AQ$64,MATCH($F815,사건마스터!$A$5:$A$64,0)),""))</f>
        <v/>
      </c>
      <c r="U815" s="35">
        <f>IF($F815="","",IFERROR(INDEX(사건마스터!$AR$5:$AR$64,MATCH($F815,사건마스터!$A$5:$A$64,0)),""))</f>
        <v/>
      </c>
      <c r="V815" s="35">
        <f>IF($F815="","",IFERROR(INDEX(사건마스터!$AS$5:$AS$64,MATCH($F815,사건마스터!$A$5:$A$64,0)),""))</f>
        <v/>
      </c>
      <c r="W815" s="35">
        <f>IF($F815="","",IFERROR(INDEX(사건마스터!$AT$5:$AT$64,MATCH($F815,사건마스터!$A$5:$A$64,0)),""))</f>
        <v/>
      </c>
      <c r="X815" s="35">
        <f>IF($F815="","",IFERROR(INDEX(사건마스터!$AU$5:$AU$64,MATCH($F815,사건마스터!$A$5:$A$64,0)),""))</f>
        <v/>
      </c>
      <c r="Y815" s="35">
        <f>IF($F815="","",IFERROR(INDEX(사건마스터!$AV$5:$AV$64,MATCH($F815,사건마스터!$A$5:$A$64,0)),""))</f>
        <v/>
      </c>
      <c r="Z815" s="30">
        <f>IF(COUNTBLANK($J815:$Y815)=16,"",16-COUNTBLANK($J815:$Y815))</f>
        <v/>
      </c>
      <c r="AA815" s="33">
        <f>IF($J815="",MID($AX815,3,255),$J815&amp;$AX815)</f>
        <v/>
      </c>
      <c r="AB815" s="34">
        <f>IF($J815="","",IFERROR(INDEX(코드설정!$D$5:$D$24,MATCH($J815,코드설정!$C$5:$C$24,0)),""))</f>
        <v/>
      </c>
      <c r="AC815" s="36" t="n"/>
      <c r="AD815" s="37" t="n"/>
      <c r="AE815" s="38" t="n"/>
      <c r="AF815" s="30">
        <f>IF(OR($B815="",$C815=""),"",$C815-$B815+1)</f>
        <v/>
      </c>
      <c r="AG815" s="32" t="n"/>
      <c r="AH815" s="36" t="n"/>
      <c r="AJ815">
        <f>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  <c r="AX815">
        <f>AW815&amp;IF($Y815="","",", "&amp;$Y815)</f>
        <v/>
      </c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0">
        <f>IF($F816="","",COUNTIF($F$5:$F816,$F816))</f>
        <v/>
      </c>
      <c r="H816" s="33">
        <f>IF($F816="","",IFERROR(INDEX(사건마스터!$B$5:$B$64,MATCH($F816,사건마스터!$A$5:$A$64,0)),""))</f>
        <v/>
      </c>
      <c r="I816" s="34">
        <f>IF($F816="","",IFERROR(INDEX(사건마스터!$C$5:$C$64,MATCH($F816,사건마스터!$A$5:$A$64,0)),""))</f>
        <v/>
      </c>
      <c r="J816" s="35">
        <f>IF($F816="","",IFERROR(INDEX(사건마스터!$H$5:$H$64,MATCH($F816,사건마스터!$A$5:$A$64,0)),""))</f>
        <v/>
      </c>
      <c r="K816" s="35">
        <f>IF($F816="","",IFERROR(INDEX(사건마스터!$AH$5:$AH$64,MATCH($F816,사건마스터!$A$5:$A$64,0)),""))</f>
        <v/>
      </c>
      <c r="L816" s="35">
        <f>IF($F816="","",IFERROR(INDEX(사건마스터!$AI$5:$AI$64,MATCH($F816,사건마스터!$A$5:$A$64,0)),""))</f>
        <v/>
      </c>
      <c r="M816" s="35">
        <f>IF($F816="","",IFERROR(INDEX(사건마스터!$AJ$5:$AJ$64,MATCH($F816,사건마스터!$A$5:$A$64,0)),""))</f>
        <v/>
      </c>
      <c r="N816" s="35">
        <f>IF($F816="","",IFERROR(INDEX(사건마스터!$AK$5:$AK$64,MATCH($F816,사건마스터!$A$5:$A$64,0)),""))</f>
        <v/>
      </c>
      <c r="O816" s="35">
        <f>IF($F816="","",IFERROR(INDEX(사건마스터!$AL$5:$AL$64,MATCH($F816,사건마스터!$A$5:$A$64,0)),""))</f>
        <v/>
      </c>
      <c r="P816" s="35">
        <f>IF($F816="","",IFERROR(INDEX(사건마스터!$AM$5:$AM$64,MATCH($F816,사건마스터!$A$5:$A$64,0)),""))</f>
        <v/>
      </c>
      <c r="Q816" s="35">
        <f>IF($F816="","",IFERROR(INDEX(사건마스터!$AN$5:$AN$64,MATCH($F816,사건마스터!$A$5:$A$64,0)),""))</f>
        <v/>
      </c>
      <c r="R816" s="35">
        <f>IF($F816="","",IFERROR(INDEX(사건마스터!$AO$5:$AO$64,MATCH($F816,사건마스터!$A$5:$A$64,0)),""))</f>
        <v/>
      </c>
      <c r="S816" s="35">
        <f>IF($F816="","",IFERROR(INDEX(사건마스터!$AP$5:$AP$64,MATCH($F816,사건마스터!$A$5:$A$64,0)),""))</f>
        <v/>
      </c>
      <c r="T816" s="35">
        <f>IF($F816="","",IFERROR(INDEX(사건마스터!$AQ$5:$AQ$64,MATCH($F816,사건마스터!$A$5:$A$64,0)),""))</f>
        <v/>
      </c>
      <c r="U816" s="35">
        <f>IF($F816="","",IFERROR(INDEX(사건마스터!$AR$5:$AR$64,MATCH($F816,사건마스터!$A$5:$A$64,0)),""))</f>
        <v/>
      </c>
      <c r="V816" s="35">
        <f>IF($F816="","",IFERROR(INDEX(사건마스터!$AS$5:$AS$64,MATCH($F816,사건마스터!$A$5:$A$64,0)),""))</f>
        <v/>
      </c>
      <c r="W816" s="35">
        <f>IF($F816="","",IFERROR(INDEX(사건마스터!$AT$5:$AT$64,MATCH($F816,사건마스터!$A$5:$A$64,0)),""))</f>
        <v/>
      </c>
      <c r="X816" s="35">
        <f>IF($F816="","",IFERROR(INDEX(사건마스터!$AU$5:$AU$64,MATCH($F816,사건마스터!$A$5:$A$64,0)),""))</f>
        <v/>
      </c>
      <c r="Y816" s="35">
        <f>IF($F816="","",IFERROR(INDEX(사건마스터!$AV$5:$AV$64,MATCH($F816,사건마스터!$A$5:$A$64,0)),""))</f>
        <v/>
      </c>
      <c r="Z816" s="30">
        <f>IF(COUNTBLANK($J816:$Y816)=16,"",16-COUNTBLANK($J816:$Y816))</f>
        <v/>
      </c>
      <c r="AA816" s="33">
        <f>IF($J816="",MID($AX816,3,255),$J816&amp;$AX816)</f>
        <v/>
      </c>
      <c r="AB816" s="34">
        <f>IF($J816="","",IFERROR(INDEX(코드설정!$D$5:$D$24,MATCH($J816,코드설정!$C$5:$C$24,0)),""))</f>
        <v/>
      </c>
      <c r="AC816" s="36" t="n"/>
      <c r="AD816" s="37" t="n"/>
      <c r="AE816" s="38" t="n"/>
      <c r="AF816" s="30">
        <f>IF(OR($B816="",$C816=""),"",$C816-$B816+1)</f>
        <v/>
      </c>
      <c r="AG816" s="32" t="n"/>
      <c r="AH816" s="36" t="n"/>
      <c r="AJ816">
        <f>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  <c r="AX816">
        <f>AW816&amp;IF($Y816="","",", "&amp;$Y816)</f>
        <v/>
      </c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0">
        <f>IF($F817="","",COUNTIF($F$5:$F817,$F817))</f>
        <v/>
      </c>
      <c r="H817" s="33">
        <f>IF($F817="","",IFERROR(INDEX(사건마스터!$B$5:$B$64,MATCH($F817,사건마스터!$A$5:$A$64,0)),""))</f>
        <v/>
      </c>
      <c r="I817" s="34">
        <f>IF($F817="","",IFERROR(INDEX(사건마스터!$C$5:$C$64,MATCH($F817,사건마스터!$A$5:$A$64,0)),""))</f>
        <v/>
      </c>
      <c r="J817" s="35">
        <f>IF($F817="","",IFERROR(INDEX(사건마스터!$H$5:$H$64,MATCH($F817,사건마스터!$A$5:$A$64,0)),""))</f>
        <v/>
      </c>
      <c r="K817" s="35">
        <f>IF($F817="","",IFERROR(INDEX(사건마스터!$AH$5:$AH$64,MATCH($F817,사건마스터!$A$5:$A$64,0)),""))</f>
        <v/>
      </c>
      <c r="L817" s="35">
        <f>IF($F817="","",IFERROR(INDEX(사건마스터!$AI$5:$AI$64,MATCH($F817,사건마스터!$A$5:$A$64,0)),""))</f>
        <v/>
      </c>
      <c r="M817" s="35">
        <f>IF($F817="","",IFERROR(INDEX(사건마스터!$AJ$5:$AJ$64,MATCH($F817,사건마스터!$A$5:$A$64,0)),""))</f>
        <v/>
      </c>
      <c r="N817" s="35">
        <f>IF($F817="","",IFERROR(INDEX(사건마스터!$AK$5:$AK$64,MATCH($F817,사건마스터!$A$5:$A$64,0)),""))</f>
        <v/>
      </c>
      <c r="O817" s="35">
        <f>IF($F817="","",IFERROR(INDEX(사건마스터!$AL$5:$AL$64,MATCH($F817,사건마스터!$A$5:$A$64,0)),""))</f>
        <v/>
      </c>
      <c r="P817" s="35">
        <f>IF($F817="","",IFERROR(INDEX(사건마스터!$AM$5:$AM$64,MATCH($F817,사건마스터!$A$5:$A$64,0)),""))</f>
        <v/>
      </c>
      <c r="Q817" s="35">
        <f>IF($F817="","",IFERROR(INDEX(사건마스터!$AN$5:$AN$64,MATCH($F817,사건마스터!$A$5:$A$64,0)),""))</f>
        <v/>
      </c>
      <c r="R817" s="35">
        <f>IF($F817="","",IFERROR(INDEX(사건마스터!$AO$5:$AO$64,MATCH($F817,사건마스터!$A$5:$A$64,0)),""))</f>
        <v/>
      </c>
      <c r="S817" s="35">
        <f>IF($F817="","",IFERROR(INDEX(사건마스터!$AP$5:$AP$64,MATCH($F817,사건마스터!$A$5:$A$64,0)),""))</f>
        <v/>
      </c>
      <c r="T817" s="35">
        <f>IF($F817="","",IFERROR(INDEX(사건마스터!$AQ$5:$AQ$64,MATCH($F817,사건마스터!$A$5:$A$64,0)),""))</f>
        <v/>
      </c>
      <c r="U817" s="35">
        <f>IF($F817="","",IFERROR(INDEX(사건마스터!$AR$5:$AR$64,MATCH($F817,사건마스터!$A$5:$A$64,0)),""))</f>
        <v/>
      </c>
      <c r="V817" s="35">
        <f>IF($F817="","",IFERROR(INDEX(사건마스터!$AS$5:$AS$64,MATCH($F817,사건마스터!$A$5:$A$64,0)),""))</f>
        <v/>
      </c>
      <c r="W817" s="35">
        <f>IF($F817="","",IFERROR(INDEX(사건마스터!$AT$5:$AT$64,MATCH($F817,사건마스터!$A$5:$A$64,0)),""))</f>
        <v/>
      </c>
      <c r="X817" s="35">
        <f>IF($F817="","",IFERROR(INDEX(사건마스터!$AU$5:$AU$64,MATCH($F817,사건마스터!$A$5:$A$64,0)),""))</f>
        <v/>
      </c>
      <c r="Y817" s="35">
        <f>IF($F817="","",IFERROR(INDEX(사건마스터!$AV$5:$AV$64,MATCH($F817,사건마스터!$A$5:$A$64,0)),""))</f>
        <v/>
      </c>
      <c r="Z817" s="30">
        <f>IF(COUNTBLANK($J817:$Y817)=16,"",16-COUNTBLANK($J817:$Y817))</f>
        <v/>
      </c>
      <c r="AA817" s="33">
        <f>IF($J817="",MID($AX817,3,255),$J817&amp;$AX817)</f>
        <v/>
      </c>
      <c r="AB817" s="34">
        <f>IF($J817="","",IFERROR(INDEX(코드설정!$D$5:$D$24,MATCH($J817,코드설정!$C$5:$C$24,0)),""))</f>
        <v/>
      </c>
      <c r="AC817" s="36" t="n"/>
      <c r="AD817" s="37" t="n"/>
      <c r="AE817" s="38" t="n"/>
      <c r="AF817" s="30">
        <f>IF(OR($B817="",$C817=""),"",$C817-$B817+1)</f>
        <v/>
      </c>
      <c r="AG817" s="32" t="n"/>
      <c r="AH817" s="36" t="n"/>
      <c r="AJ817">
        <f>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  <c r="AX817">
        <f>AW817&amp;IF($Y817="","",", "&amp;$Y817)</f>
        <v/>
      </c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0">
        <f>IF($F818="","",COUNTIF($F$5:$F818,$F818))</f>
        <v/>
      </c>
      <c r="H818" s="33">
        <f>IF($F818="","",IFERROR(INDEX(사건마스터!$B$5:$B$64,MATCH($F818,사건마스터!$A$5:$A$64,0)),""))</f>
        <v/>
      </c>
      <c r="I818" s="34">
        <f>IF($F818="","",IFERROR(INDEX(사건마스터!$C$5:$C$64,MATCH($F818,사건마스터!$A$5:$A$64,0)),""))</f>
        <v/>
      </c>
      <c r="J818" s="35">
        <f>IF($F818="","",IFERROR(INDEX(사건마스터!$H$5:$H$64,MATCH($F818,사건마스터!$A$5:$A$64,0)),""))</f>
        <v/>
      </c>
      <c r="K818" s="35">
        <f>IF($F818="","",IFERROR(INDEX(사건마스터!$AH$5:$AH$64,MATCH($F818,사건마스터!$A$5:$A$64,0)),""))</f>
        <v/>
      </c>
      <c r="L818" s="35">
        <f>IF($F818="","",IFERROR(INDEX(사건마스터!$AI$5:$AI$64,MATCH($F818,사건마스터!$A$5:$A$64,0)),""))</f>
        <v/>
      </c>
      <c r="M818" s="35">
        <f>IF($F818="","",IFERROR(INDEX(사건마스터!$AJ$5:$AJ$64,MATCH($F818,사건마스터!$A$5:$A$64,0)),""))</f>
        <v/>
      </c>
      <c r="N818" s="35">
        <f>IF($F818="","",IFERROR(INDEX(사건마스터!$AK$5:$AK$64,MATCH($F818,사건마스터!$A$5:$A$64,0)),""))</f>
        <v/>
      </c>
      <c r="O818" s="35">
        <f>IF($F818="","",IFERROR(INDEX(사건마스터!$AL$5:$AL$64,MATCH($F818,사건마스터!$A$5:$A$64,0)),""))</f>
        <v/>
      </c>
      <c r="P818" s="35">
        <f>IF($F818="","",IFERROR(INDEX(사건마스터!$AM$5:$AM$64,MATCH($F818,사건마스터!$A$5:$A$64,0)),""))</f>
        <v/>
      </c>
      <c r="Q818" s="35">
        <f>IF($F818="","",IFERROR(INDEX(사건마스터!$AN$5:$AN$64,MATCH($F818,사건마스터!$A$5:$A$64,0)),""))</f>
        <v/>
      </c>
      <c r="R818" s="35">
        <f>IF($F818="","",IFERROR(INDEX(사건마스터!$AO$5:$AO$64,MATCH($F818,사건마스터!$A$5:$A$64,0)),""))</f>
        <v/>
      </c>
      <c r="S818" s="35">
        <f>IF($F818="","",IFERROR(INDEX(사건마스터!$AP$5:$AP$64,MATCH($F818,사건마스터!$A$5:$A$64,0)),""))</f>
        <v/>
      </c>
      <c r="T818" s="35">
        <f>IF($F818="","",IFERROR(INDEX(사건마스터!$AQ$5:$AQ$64,MATCH($F818,사건마스터!$A$5:$A$64,0)),""))</f>
        <v/>
      </c>
      <c r="U818" s="35">
        <f>IF($F818="","",IFERROR(INDEX(사건마스터!$AR$5:$AR$64,MATCH($F818,사건마스터!$A$5:$A$64,0)),""))</f>
        <v/>
      </c>
      <c r="V818" s="35">
        <f>IF($F818="","",IFERROR(INDEX(사건마스터!$AS$5:$AS$64,MATCH($F818,사건마스터!$A$5:$A$64,0)),""))</f>
        <v/>
      </c>
      <c r="W818" s="35">
        <f>IF($F818="","",IFERROR(INDEX(사건마스터!$AT$5:$AT$64,MATCH($F818,사건마스터!$A$5:$A$64,0)),""))</f>
        <v/>
      </c>
      <c r="X818" s="35">
        <f>IF($F818="","",IFERROR(INDEX(사건마스터!$AU$5:$AU$64,MATCH($F818,사건마스터!$A$5:$A$64,0)),""))</f>
        <v/>
      </c>
      <c r="Y818" s="35">
        <f>IF($F818="","",IFERROR(INDEX(사건마스터!$AV$5:$AV$64,MATCH($F818,사건마스터!$A$5:$A$64,0)),""))</f>
        <v/>
      </c>
      <c r="Z818" s="30">
        <f>IF(COUNTBLANK($J818:$Y818)=16,"",16-COUNTBLANK($J818:$Y818))</f>
        <v/>
      </c>
      <c r="AA818" s="33">
        <f>IF($J818="",MID($AX818,3,255),$J818&amp;$AX818)</f>
        <v/>
      </c>
      <c r="AB818" s="34">
        <f>IF($J818="","",IFERROR(INDEX(코드설정!$D$5:$D$24,MATCH($J818,코드설정!$C$5:$C$24,0)),""))</f>
        <v/>
      </c>
      <c r="AC818" s="36" t="n"/>
      <c r="AD818" s="37" t="n"/>
      <c r="AE818" s="38" t="n"/>
      <c r="AF818" s="30">
        <f>IF(OR($B818="",$C818=""),"",$C818-$B818+1)</f>
        <v/>
      </c>
      <c r="AG818" s="32" t="n"/>
      <c r="AH818" s="36" t="n"/>
      <c r="AJ818">
        <f>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  <c r="AX818">
        <f>AW818&amp;IF($Y818="","",", "&amp;$Y818)</f>
        <v/>
      </c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0">
        <f>IF($F819="","",COUNTIF($F$5:$F819,$F819))</f>
        <v/>
      </c>
      <c r="H819" s="33">
        <f>IF($F819="","",IFERROR(INDEX(사건마스터!$B$5:$B$64,MATCH($F819,사건마스터!$A$5:$A$64,0)),""))</f>
        <v/>
      </c>
      <c r="I819" s="34">
        <f>IF($F819="","",IFERROR(INDEX(사건마스터!$C$5:$C$64,MATCH($F819,사건마스터!$A$5:$A$64,0)),""))</f>
        <v/>
      </c>
      <c r="J819" s="35">
        <f>IF($F819="","",IFERROR(INDEX(사건마스터!$H$5:$H$64,MATCH($F819,사건마스터!$A$5:$A$64,0)),""))</f>
        <v/>
      </c>
      <c r="K819" s="35">
        <f>IF($F819="","",IFERROR(INDEX(사건마스터!$AH$5:$AH$64,MATCH($F819,사건마스터!$A$5:$A$64,0)),""))</f>
        <v/>
      </c>
      <c r="L819" s="35">
        <f>IF($F819="","",IFERROR(INDEX(사건마스터!$AI$5:$AI$64,MATCH($F819,사건마스터!$A$5:$A$64,0)),""))</f>
        <v/>
      </c>
      <c r="M819" s="35">
        <f>IF($F819="","",IFERROR(INDEX(사건마스터!$AJ$5:$AJ$64,MATCH($F819,사건마스터!$A$5:$A$64,0)),""))</f>
        <v/>
      </c>
      <c r="N819" s="35">
        <f>IF($F819="","",IFERROR(INDEX(사건마스터!$AK$5:$AK$64,MATCH($F819,사건마스터!$A$5:$A$64,0)),""))</f>
        <v/>
      </c>
      <c r="O819" s="35">
        <f>IF($F819="","",IFERROR(INDEX(사건마스터!$AL$5:$AL$64,MATCH($F819,사건마스터!$A$5:$A$64,0)),""))</f>
        <v/>
      </c>
      <c r="P819" s="35">
        <f>IF($F819="","",IFERROR(INDEX(사건마스터!$AM$5:$AM$64,MATCH($F819,사건마스터!$A$5:$A$64,0)),""))</f>
        <v/>
      </c>
      <c r="Q819" s="35">
        <f>IF($F819="","",IFERROR(INDEX(사건마스터!$AN$5:$AN$64,MATCH($F819,사건마스터!$A$5:$A$64,0)),""))</f>
        <v/>
      </c>
      <c r="R819" s="35">
        <f>IF($F819="","",IFERROR(INDEX(사건마스터!$AO$5:$AO$64,MATCH($F819,사건마스터!$A$5:$A$64,0)),""))</f>
        <v/>
      </c>
      <c r="S819" s="35">
        <f>IF($F819="","",IFERROR(INDEX(사건마스터!$AP$5:$AP$64,MATCH($F819,사건마스터!$A$5:$A$64,0)),""))</f>
        <v/>
      </c>
      <c r="T819" s="35">
        <f>IF($F819="","",IFERROR(INDEX(사건마스터!$AQ$5:$AQ$64,MATCH($F819,사건마스터!$A$5:$A$64,0)),""))</f>
        <v/>
      </c>
      <c r="U819" s="35">
        <f>IF($F819="","",IFERROR(INDEX(사건마스터!$AR$5:$AR$64,MATCH($F819,사건마스터!$A$5:$A$64,0)),""))</f>
        <v/>
      </c>
      <c r="V819" s="35">
        <f>IF($F819="","",IFERROR(INDEX(사건마스터!$AS$5:$AS$64,MATCH($F819,사건마스터!$A$5:$A$64,0)),""))</f>
        <v/>
      </c>
      <c r="W819" s="35">
        <f>IF($F819="","",IFERROR(INDEX(사건마스터!$AT$5:$AT$64,MATCH($F819,사건마스터!$A$5:$A$64,0)),""))</f>
        <v/>
      </c>
      <c r="X819" s="35">
        <f>IF($F819="","",IFERROR(INDEX(사건마스터!$AU$5:$AU$64,MATCH($F819,사건마스터!$A$5:$A$64,0)),""))</f>
        <v/>
      </c>
      <c r="Y819" s="35">
        <f>IF($F819="","",IFERROR(INDEX(사건마스터!$AV$5:$AV$64,MATCH($F819,사건마스터!$A$5:$A$64,0)),""))</f>
        <v/>
      </c>
      <c r="Z819" s="30">
        <f>IF(COUNTBLANK($J819:$Y819)=16,"",16-COUNTBLANK($J819:$Y819))</f>
        <v/>
      </c>
      <c r="AA819" s="33">
        <f>IF($J819="",MID($AX819,3,255),$J819&amp;$AX819)</f>
        <v/>
      </c>
      <c r="AB819" s="34">
        <f>IF($J819="","",IFERROR(INDEX(코드설정!$D$5:$D$24,MATCH($J819,코드설정!$C$5:$C$24,0)),""))</f>
        <v/>
      </c>
      <c r="AC819" s="36" t="n"/>
      <c r="AD819" s="37" t="n"/>
      <c r="AE819" s="38" t="n"/>
      <c r="AF819" s="30">
        <f>IF(OR($B819="",$C819=""),"",$C819-$B819+1)</f>
        <v/>
      </c>
      <c r="AG819" s="32" t="n"/>
      <c r="AH819" s="36" t="n"/>
      <c r="AJ819">
        <f>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  <c r="AX819">
        <f>AW819&amp;IF($Y819="","",", "&amp;$Y819)</f>
        <v/>
      </c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0">
        <f>IF($F820="","",COUNTIF($F$5:$F820,$F820))</f>
        <v/>
      </c>
      <c r="H820" s="33">
        <f>IF($F820="","",IFERROR(INDEX(사건마스터!$B$5:$B$64,MATCH($F820,사건마스터!$A$5:$A$64,0)),""))</f>
        <v/>
      </c>
      <c r="I820" s="34">
        <f>IF($F820="","",IFERROR(INDEX(사건마스터!$C$5:$C$64,MATCH($F820,사건마스터!$A$5:$A$64,0)),""))</f>
        <v/>
      </c>
      <c r="J820" s="35">
        <f>IF($F820="","",IFERROR(INDEX(사건마스터!$H$5:$H$64,MATCH($F820,사건마스터!$A$5:$A$64,0)),""))</f>
        <v/>
      </c>
      <c r="K820" s="35">
        <f>IF($F820="","",IFERROR(INDEX(사건마스터!$AH$5:$AH$64,MATCH($F820,사건마스터!$A$5:$A$64,0)),""))</f>
        <v/>
      </c>
      <c r="L820" s="35">
        <f>IF($F820="","",IFERROR(INDEX(사건마스터!$AI$5:$AI$64,MATCH($F820,사건마스터!$A$5:$A$64,0)),""))</f>
        <v/>
      </c>
      <c r="M820" s="35">
        <f>IF($F820="","",IFERROR(INDEX(사건마스터!$AJ$5:$AJ$64,MATCH($F820,사건마스터!$A$5:$A$64,0)),""))</f>
        <v/>
      </c>
      <c r="N820" s="35">
        <f>IF($F820="","",IFERROR(INDEX(사건마스터!$AK$5:$AK$64,MATCH($F820,사건마스터!$A$5:$A$64,0)),""))</f>
        <v/>
      </c>
      <c r="O820" s="35">
        <f>IF($F820="","",IFERROR(INDEX(사건마스터!$AL$5:$AL$64,MATCH($F820,사건마스터!$A$5:$A$64,0)),""))</f>
        <v/>
      </c>
      <c r="P820" s="35">
        <f>IF($F820="","",IFERROR(INDEX(사건마스터!$AM$5:$AM$64,MATCH($F820,사건마스터!$A$5:$A$64,0)),""))</f>
        <v/>
      </c>
      <c r="Q820" s="35">
        <f>IF($F820="","",IFERROR(INDEX(사건마스터!$AN$5:$AN$64,MATCH($F820,사건마스터!$A$5:$A$64,0)),""))</f>
        <v/>
      </c>
      <c r="R820" s="35">
        <f>IF($F820="","",IFERROR(INDEX(사건마스터!$AO$5:$AO$64,MATCH($F820,사건마스터!$A$5:$A$64,0)),""))</f>
        <v/>
      </c>
      <c r="S820" s="35">
        <f>IF($F820="","",IFERROR(INDEX(사건마스터!$AP$5:$AP$64,MATCH($F820,사건마스터!$A$5:$A$64,0)),""))</f>
        <v/>
      </c>
      <c r="T820" s="35">
        <f>IF($F820="","",IFERROR(INDEX(사건마스터!$AQ$5:$AQ$64,MATCH($F820,사건마스터!$A$5:$A$64,0)),""))</f>
        <v/>
      </c>
      <c r="U820" s="35">
        <f>IF($F820="","",IFERROR(INDEX(사건마스터!$AR$5:$AR$64,MATCH($F820,사건마스터!$A$5:$A$64,0)),""))</f>
        <v/>
      </c>
      <c r="V820" s="35">
        <f>IF($F820="","",IFERROR(INDEX(사건마스터!$AS$5:$AS$64,MATCH($F820,사건마스터!$A$5:$A$64,0)),""))</f>
        <v/>
      </c>
      <c r="W820" s="35">
        <f>IF($F820="","",IFERROR(INDEX(사건마스터!$AT$5:$AT$64,MATCH($F820,사건마스터!$A$5:$A$64,0)),""))</f>
        <v/>
      </c>
      <c r="X820" s="35">
        <f>IF($F820="","",IFERROR(INDEX(사건마스터!$AU$5:$AU$64,MATCH($F820,사건마스터!$A$5:$A$64,0)),""))</f>
        <v/>
      </c>
      <c r="Y820" s="35">
        <f>IF($F820="","",IFERROR(INDEX(사건마스터!$AV$5:$AV$64,MATCH($F820,사건마스터!$A$5:$A$64,0)),""))</f>
        <v/>
      </c>
      <c r="Z820" s="30">
        <f>IF(COUNTBLANK($J820:$Y820)=16,"",16-COUNTBLANK($J820:$Y820))</f>
        <v/>
      </c>
      <c r="AA820" s="33">
        <f>IF($J820="",MID($AX820,3,255),$J820&amp;$AX820)</f>
        <v/>
      </c>
      <c r="AB820" s="34">
        <f>IF($J820="","",IFERROR(INDEX(코드설정!$D$5:$D$24,MATCH($J820,코드설정!$C$5:$C$24,0)),""))</f>
        <v/>
      </c>
      <c r="AC820" s="36" t="n"/>
      <c r="AD820" s="37" t="n"/>
      <c r="AE820" s="38" t="n"/>
      <c r="AF820" s="30">
        <f>IF(OR($B820="",$C820=""),"",$C820-$B820+1)</f>
        <v/>
      </c>
      <c r="AG820" s="32" t="n"/>
      <c r="AH820" s="36" t="n"/>
      <c r="AJ820">
        <f>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  <c r="AX820">
        <f>AW820&amp;IF($Y820="","",", "&amp;$Y820)</f>
        <v/>
      </c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0">
        <f>IF($F821="","",COUNTIF($F$5:$F821,$F821))</f>
        <v/>
      </c>
      <c r="H821" s="33">
        <f>IF($F821="","",IFERROR(INDEX(사건마스터!$B$5:$B$64,MATCH($F821,사건마스터!$A$5:$A$64,0)),""))</f>
        <v/>
      </c>
      <c r="I821" s="34">
        <f>IF($F821="","",IFERROR(INDEX(사건마스터!$C$5:$C$64,MATCH($F821,사건마스터!$A$5:$A$64,0)),""))</f>
        <v/>
      </c>
      <c r="J821" s="35">
        <f>IF($F821="","",IFERROR(INDEX(사건마스터!$H$5:$H$64,MATCH($F821,사건마스터!$A$5:$A$64,0)),""))</f>
        <v/>
      </c>
      <c r="K821" s="35">
        <f>IF($F821="","",IFERROR(INDEX(사건마스터!$AH$5:$AH$64,MATCH($F821,사건마스터!$A$5:$A$64,0)),""))</f>
        <v/>
      </c>
      <c r="L821" s="35">
        <f>IF($F821="","",IFERROR(INDEX(사건마스터!$AI$5:$AI$64,MATCH($F821,사건마스터!$A$5:$A$64,0)),""))</f>
        <v/>
      </c>
      <c r="M821" s="35">
        <f>IF($F821="","",IFERROR(INDEX(사건마스터!$AJ$5:$AJ$64,MATCH($F821,사건마스터!$A$5:$A$64,0)),""))</f>
        <v/>
      </c>
      <c r="N821" s="35">
        <f>IF($F821="","",IFERROR(INDEX(사건마스터!$AK$5:$AK$64,MATCH($F821,사건마스터!$A$5:$A$64,0)),""))</f>
        <v/>
      </c>
      <c r="O821" s="35">
        <f>IF($F821="","",IFERROR(INDEX(사건마스터!$AL$5:$AL$64,MATCH($F821,사건마스터!$A$5:$A$64,0)),""))</f>
        <v/>
      </c>
      <c r="P821" s="35">
        <f>IF($F821="","",IFERROR(INDEX(사건마스터!$AM$5:$AM$64,MATCH($F821,사건마스터!$A$5:$A$64,0)),""))</f>
        <v/>
      </c>
      <c r="Q821" s="35">
        <f>IF($F821="","",IFERROR(INDEX(사건마스터!$AN$5:$AN$64,MATCH($F821,사건마스터!$A$5:$A$64,0)),""))</f>
        <v/>
      </c>
      <c r="R821" s="35">
        <f>IF($F821="","",IFERROR(INDEX(사건마스터!$AO$5:$AO$64,MATCH($F821,사건마스터!$A$5:$A$64,0)),""))</f>
        <v/>
      </c>
      <c r="S821" s="35">
        <f>IF($F821="","",IFERROR(INDEX(사건마스터!$AP$5:$AP$64,MATCH($F821,사건마스터!$A$5:$A$64,0)),""))</f>
        <v/>
      </c>
      <c r="T821" s="35">
        <f>IF($F821="","",IFERROR(INDEX(사건마스터!$AQ$5:$AQ$64,MATCH($F821,사건마스터!$A$5:$A$64,0)),""))</f>
        <v/>
      </c>
      <c r="U821" s="35">
        <f>IF($F821="","",IFERROR(INDEX(사건마스터!$AR$5:$AR$64,MATCH($F821,사건마스터!$A$5:$A$64,0)),""))</f>
        <v/>
      </c>
      <c r="V821" s="35">
        <f>IF($F821="","",IFERROR(INDEX(사건마스터!$AS$5:$AS$64,MATCH($F821,사건마스터!$A$5:$A$64,0)),""))</f>
        <v/>
      </c>
      <c r="W821" s="35">
        <f>IF($F821="","",IFERROR(INDEX(사건마스터!$AT$5:$AT$64,MATCH($F821,사건마스터!$A$5:$A$64,0)),""))</f>
        <v/>
      </c>
      <c r="X821" s="35">
        <f>IF($F821="","",IFERROR(INDEX(사건마스터!$AU$5:$AU$64,MATCH($F821,사건마스터!$A$5:$A$64,0)),""))</f>
        <v/>
      </c>
      <c r="Y821" s="35">
        <f>IF($F821="","",IFERROR(INDEX(사건마스터!$AV$5:$AV$64,MATCH($F821,사건마스터!$A$5:$A$64,0)),""))</f>
        <v/>
      </c>
      <c r="Z821" s="30">
        <f>IF(COUNTBLANK($J821:$Y821)=16,"",16-COUNTBLANK($J821:$Y821))</f>
        <v/>
      </c>
      <c r="AA821" s="33">
        <f>IF($J821="",MID($AX821,3,255),$J821&amp;$AX821)</f>
        <v/>
      </c>
      <c r="AB821" s="34">
        <f>IF($J821="","",IFERROR(INDEX(코드설정!$D$5:$D$24,MATCH($J821,코드설정!$C$5:$C$24,0)),""))</f>
        <v/>
      </c>
      <c r="AC821" s="36" t="n"/>
      <c r="AD821" s="37" t="n"/>
      <c r="AE821" s="38" t="n"/>
      <c r="AF821" s="30">
        <f>IF(OR($B821="",$C821=""),"",$C821-$B821+1)</f>
        <v/>
      </c>
      <c r="AG821" s="32" t="n"/>
      <c r="AH821" s="36" t="n"/>
      <c r="AJ821">
        <f>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  <c r="AX821">
        <f>AW821&amp;IF($Y821="","",", "&amp;$Y821)</f>
        <v/>
      </c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0">
        <f>IF($F822="","",COUNTIF($F$5:$F822,$F822))</f>
        <v/>
      </c>
      <c r="H822" s="33">
        <f>IF($F822="","",IFERROR(INDEX(사건마스터!$B$5:$B$64,MATCH($F822,사건마스터!$A$5:$A$64,0)),""))</f>
        <v/>
      </c>
      <c r="I822" s="34">
        <f>IF($F822="","",IFERROR(INDEX(사건마스터!$C$5:$C$64,MATCH($F822,사건마스터!$A$5:$A$64,0)),""))</f>
        <v/>
      </c>
      <c r="J822" s="35">
        <f>IF($F822="","",IFERROR(INDEX(사건마스터!$H$5:$H$64,MATCH($F822,사건마스터!$A$5:$A$64,0)),""))</f>
        <v/>
      </c>
      <c r="K822" s="35">
        <f>IF($F822="","",IFERROR(INDEX(사건마스터!$AH$5:$AH$64,MATCH($F822,사건마스터!$A$5:$A$64,0)),""))</f>
        <v/>
      </c>
      <c r="L822" s="35">
        <f>IF($F822="","",IFERROR(INDEX(사건마스터!$AI$5:$AI$64,MATCH($F822,사건마스터!$A$5:$A$64,0)),""))</f>
        <v/>
      </c>
      <c r="M822" s="35">
        <f>IF($F822="","",IFERROR(INDEX(사건마스터!$AJ$5:$AJ$64,MATCH($F822,사건마스터!$A$5:$A$64,0)),""))</f>
        <v/>
      </c>
      <c r="N822" s="35">
        <f>IF($F822="","",IFERROR(INDEX(사건마스터!$AK$5:$AK$64,MATCH($F822,사건마스터!$A$5:$A$64,0)),""))</f>
        <v/>
      </c>
      <c r="O822" s="35">
        <f>IF($F822="","",IFERROR(INDEX(사건마스터!$AL$5:$AL$64,MATCH($F822,사건마스터!$A$5:$A$64,0)),""))</f>
        <v/>
      </c>
      <c r="P822" s="35">
        <f>IF($F822="","",IFERROR(INDEX(사건마스터!$AM$5:$AM$64,MATCH($F822,사건마스터!$A$5:$A$64,0)),""))</f>
        <v/>
      </c>
      <c r="Q822" s="35">
        <f>IF($F822="","",IFERROR(INDEX(사건마스터!$AN$5:$AN$64,MATCH($F822,사건마스터!$A$5:$A$64,0)),""))</f>
        <v/>
      </c>
      <c r="R822" s="35">
        <f>IF($F822="","",IFERROR(INDEX(사건마스터!$AO$5:$AO$64,MATCH($F822,사건마스터!$A$5:$A$64,0)),""))</f>
        <v/>
      </c>
      <c r="S822" s="35">
        <f>IF($F822="","",IFERROR(INDEX(사건마스터!$AP$5:$AP$64,MATCH($F822,사건마스터!$A$5:$A$64,0)),""))</f>
        <v/>
      </c>
      <c r="T822" s="35">
        <f>IF($F822="","",IFERROR(INDEX(사건마스터!$AQ$5:$AQ$64,MATCH($F822,사건마스터!$A$5:$A$64,0)),""))</f>
        <v/>
      </c>
      <c r="U822" s="35">
        <f>IF($F822="","",IFERROR(INDEX(사건마스터!$AR$5:$AR$64,MATCH($F822,사건마스터!$A$5:$A$64,0)),""))</f>
        <v/>
      </c>
      <c r="V822" s="35">
        <f>IF($F822="","",IFERROR(INDEX(사건마스터!$AS$5:$AS$64,MATCH($F822,사건마스터!$A$5:$A$64,0)),""))</f>
        <v/>
      </c>
      <c r="W822" s="35">
        <f>IF($F822="","",IFERROR(INDEX(사건마스터!$AT$5:$AT$64,MATCH($F822,사건마스터!$A$5:$A$64,0)),""))</f>
        <v/>
      </c>
      <c r="X822" s="35">
        <f>IF($F822="","",IFERROR(INDEX(사건마스터!$AU$5:$AU$64,MATCH($F822,사건마스터!$A$5:$A$64,0)),""))</f>
        <v/>
      </c>
      <c r="Y822" s="35">
        <f>IF($F822="","",IFERROR(INDEX(사건마스터!$AV$5:$AV$64,MATCH($F822,사건마스터!$A$5:$A$64,0)),""))</f>
        <v/>
      </c>
      <c r="Z822" s="30">
        <f>IF(COUNTBLANK($J822:$Y822)=16,"",16-COUNTBLANK($J822:$Y822))</f>
        <v/>
      </c>
      <c r="AA822" s="33">
        <f>IF($J822="",MID($AX822,3,255),$J822&amp;$AX822)</f>
        <v/>
      </c>
      <c r="AB822" s="34">
        <f>IF($J822="","",IFERROR(INDEX(코드설정!$D$5:$D$24,MATCH($J822,코드설정!$C$5:$C$24,0)),""))</f>
        <v/>
      </c>
      <c r="AC822" s="36" t="n"/>
      <c r="AD822" s="37" t="n"/>
      <c r="AE822" s="38" t="n"/>
      <c r="AF822" s="30">
        <f>IF(OR($B822="",$C822=""),"",$C822-$B822+1)</f>
        <v/>
      </c>
      <c r="AG822" s="32" t="n"/>
      <c r="AH822" s="36" t="n"/>
      <c r="AJ822">
        <f>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  <c r="AX822">
        <f>AW822&amp;IF($Y822="","",", "&amp;$Y822)</f>
        <v/>
      </c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0">
        <f>IF($F823="","",COUNTIF($F$5:$F823,$F823))</f>
        <v/>
      </c>
      <c r="H823" s="33">
        <f>IF($F823="","",IFERROR(INDEX(사건마스터!$B$5:$B$64,MATCH($F823,사건마스터!$A$5:$A$64,0)),""))</f>
        <v/>
      </c>
      <c r="I823" s="34">
        <f>IF($F823="","",IFERROR(INDEX(사건마스터!$C$5:$C$64,MATCH($F823,사건마스터!$A$5:$A$64,0)),""))</f>
        <v/>
      </c>
      <c r="J823" s="35">
        <f>IF($F823="","",IFERROR(INDEX(사건마스터!$H$5:$H$64,MATCH($F823,사건마스터!$A$5:$A$64,0)),""))</f>
        <v/>
      </c>
      <c r="K823" s="35">
        <f>IF($F823="","",IFERROR(INDEX(사건마스터!$AH$5:$AH$64,MATCH($F823,사건마스터!$A$5:$A$64,0)),""))</f>
        <v/>
      </c>
      <c r="L823" s="35">
        <f>IF($F823="","",IFERROR(INDEX(사건마스터!$AI$5:$AI$64,MATCH($F823,사건마스터!$A$5:$A$64,0)),""))</f>
        <v/>
      </c>
      <c r="M823" s="35">
        <f>IF($F823="","",IFERROR(INDEX(사건마스터!$AJ$5:$AJ$64,MATCH($F823,사건마스터!$A$5:$A$64,0)),""))</f>
        <v/>
      </c>
      <c r="N823" s="35">
        <f>IF($F823="","",IFERROR(INDEX(사건마스터!$AK$5:$AK$64,MATCH($F823,사건마스터!$A$5:$A$64,0)),""))</f>
        <v/>
      </c>
      <c r="O823" s="35">
        <f>IF($F823="","",IFERROR(INDEX(사건마스터!$AL$5:$AL$64,MATCH($F823,사건마스터!$A$5:$A$64,0)),""))</f>
        <v/>
      </c>
      <c r="P823" s="35">
        <f>IF($F823="","",IFERROR(INDEX(사건마스터!$AM$5:$AM$64,MATCH($F823,사건마스터!$A$5:$A$64,0)),""))</f>
        <v/>
      </c>
      <c r="Q823" s="35">
        <f>IF($F823="","",IFERROR(INDEX(사건마스터!$AN$5:$AN$64,MATCH($F823,사건마스터!$A$5:$A$64,0)),""))</f>
        <v/>
      </c>
      <c r="R823" s="35">
        <f>IF($F823="","",IFERROR(INDEX(사건마스터!$AO$5:$AO$64,MATCH($F823,사건마스터!$A$5:$A$64,0)),""))</f>
        <v/>
      </c>
      <c r="S823" s="35">
        <f>IF($F823="","",IFERROR(INDEX(사건마스터!$AP$5:$AP$64,MATCH($F823,사건마스터!$A$5:$A$64,0)),""))</f>
        <v/>
      </c>
      <c r="T823" s="35">
        <f>IF($F823="","",IFERROR(INDEX(사건마스터!$AQ$5:$AQ$64,MATCH($F823,사건마스터!$A$5:$A$64,0)),""))</f>
        <v/>
      </c>
      <c r="U823" s="35">
        <f>IF($F823="","",IFERROR(INDEX(사건마스터!$AR$5:$AR$64,MATCH($F823,사건마스터!$A$5:$A$64,0)),""))</f>
        <v/>
      </c>
      <c r="V823" s="35">
        <f>IF($F823="","",IFERROR(INDEX(사건마스터!$AS$5:$AS$64,MATCH($F823,사건마스터!$A$5:$A$64,0)),""))</f>
        <v/>
      </c>
      <c r="W823" s="35">
        <f>IF($F823="","",IFERROR(INDEX(사건마스터!$AT$5:$AT$64,MATCH($F823,사건마스터!$A$5:$A$64,0)),""))</f>
        <v/>
      </c>
      <c r="X823" s="35">
        <f>IF($F823="","",IFERROR(INDEX(사건마스터!$AU$5:$AU$64,MATCH($F823,사건마스터!$A$5:$A$64,0)),""))</f>
        <v/>
      </c>
      <c r="Y823" s="35">
        <f>IF($F823="","",IFERROR(INDEX(사건마스터!$AV$5:$AV$64,MATCH($F823,사건마스터!$A$5:$A$64,0)),""))</f>
        <v/>
      </c>
      <c r="Z823" s="30">
        <f>IF(COUNTBLANK($J823:$Y823)=16,"",16-COUNTBLANK($J823:$Y823))</f>
        <v/>
      </c>
      <c r="AA823" s="33">
        <f>IF($J823="",MID($AX823,3,255),$J823&amp;$AX823)</f>
        <v/>
      </c>
      <c r="AB823" s="34">
        <f>IF($J823="","",IFERROR(INDEX(코드설정!$D$5:$D$24,MATCH($J823,코드설정!$C$5:$C$24,0)),""))</f>
        <v/>
      </c>
      <c r="AC823" s="36" t="n"/>
      <c r="AD823" s="37" t="n"/>
      <c r="AE823" s="38" t="n"/>
      <c r="AF823" s="30">
        <f>IF(OR($B823="",$C823=""),"",$C823-$B823+1)</f>
        <v/>
      </c>
      <c r="AG823" s="32" t="n"/>
      <c r="AH823" s="36" t="n"/>
      <c r="AJ823">
        <f>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  <c r="AX823">
        <f>AW823&amp;IF($Y823="","",", "&amp;$Y823)</f>
        <v/>
      </c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0">
        <f>IF($F824="","",COUNTIF($F$5:$F824,$F824))</f>
        <v/>
      </c>
      <c r="H824" s="33">
        <f>IF($F824="","",IFERROR(INDEX(사건마스터!$B$5:$B$64,MATCH($F824,사건마스터!$A$5:$A$64,0)),""))</f>
        <v/>
      </c>
      <c r="I824" s="34">
        <f>IF($F824="","",IFERROR(INDEX(사건마스터!$C$5:$C$64,MATCH($F824,사건마스터!$A$5:$A$64,0)),""))</f>
        <v/>
      </c>
      <c r="J824" s="35">
        <f>IF($F824="","",IFERROR(INDEX(사건마스터!$H$5:$H$64,MATCH($F824,사건마스터!$A$5:$A$64,0)),""))</f>
        <v/>
      </c>
      <c r="K824" s="35">
        <f>IF($F824="","",IFERROR(INDEX(사건마스터!$AH$5:$AH$64,MATCH($F824,사건마스터!$A$5:$A$64,0)),""))</f>
        <v/>
      </c>
      <c r="L824" s="35">
        <f>IF($F824="","",IFERROR(INDEX(사건마스터!$AI$5:$AI$64,MATCH($F824,사건마스터!$A$5:$A$64,0)),""))</f>
        <v/>
      </c>
      <c r="M824" s="35">
        <f>IF($F824="","",IFERROR(INDEX(사건마스터!$AJ$5:$AJ$64,MATCH($F824,사건마스터!$A$5:$A$64,0)),""))</f>
        <v/>
      </c>
      <c r="N824" s="35">
        <f>IF($F824="","",IFERROR(INDEX(사건마스터!$AK$5:$AK$64,MATCH($F824,사건마스터!$A$5:$A$64,0)),""))</f>
        <v/>
      </c>
      <c r="O824" s="35">
        <f>IF($F824="","",IFERROR(INDEX(사건마스터!$AL$5:$AL$64,MATCH($F824,사건마스터!$A$5:$A$64,0)),""))</f>
        <v/>
      </c>
      <c r="P824" s="35">
        <f>IF($F824="","",IFERROR(INDEX(사건마스터!$AM$5:$AM$64,MATCH($F824,사건마스터!$A$5:$A$64,0)),""))</f>
        <v/>
      </c>
      <c r="Q824" s="35">
        <f>IF($F824="","",IFERROR(INDEX(사건마스터!$AN$5:$AN$64,MATCH($F824,사건마스터!$A$5:$A$64,0)),""))</f>
        <v/>
      </c>
      <c r="R824" s="35">
        <f>IF($F824="","",IFERROR(INDEX(사건마스터!$AO$5:$AO$64,MATCH($F824,사건마스터!$A$5:$A$64,0)),""))</f>
        <v/>
      </c>
      <c r="S824" s="35">
        <f>IF($F824="","",IFERROR(INDEX(사건마스터!$AP$5:$AP$64,MATCH($F824,사건마스터!$A$5:$A$64,0)),""))</f>
        <v/>
      </c>
      <c r="T824" s="35">
        <f>IF($F824="","",IFERROR(INDEX(사건마스터!$AQ$5:$AQ$64,MATCH($F824,사건마스터!$A$5:$A$64,0)),""))</f>
        <v/>
      </c>
      <c r="U824" s="35">
        <f>IF($F824="","",IFERROR(INDEX(사건마스터!$AR$5:$AR$64,MATCH($F824,사건마스터!$A$5:$A$64,0)),""))</f>
        <v/>
      </c>
      <c r="V824" s="35">
        <f>IF($F824="","",IFERROR(INDEX(사건마스터!$AS$5:$AS$64,MATCH($F824,사건마스터!$A$5:$A$64,0)),""))</f>
        <v/>
      </c>
      <c r="W824" s="35">
        <f>IF($F824="","",IFERROR(INDEX(사건마스터!$AT$5:$AT$64,MATCH($F824,사건마스터!$A$5:$A$64,0)),""))</f>
        <v/>
      </c>
      <c r="X824" s="35">
        <f>IF($F824="","",IFERROR(INDEX(사건마스터!$AU$5:$AU$64,MATCH($F824,사건마스터!$A$5:$A$64,0)),""))</f>
        <v/>
      </c>
      <c r="Y824" s="35">
        <f>IF($F824="","",IFERROR(INDEX(사건마스터!$AV$5:$AV$64,MATCH($F824,사건마스터!$A$5:$A$64,0)),""))</f>
        <v/>
      </c>
      <c r="Z824" s="30">
        <f>IF(COUNTBLANK($J824:$Y824)=16,"",16-COUNTBLANK($J824:$Y824))</f>
        <v/>
      </c>
      <c r="AA824" s="33">
        <f>IF($J824="",MID($AX824,3,255),$J824&amp;$AX824)</f>
        <v/>
      </c>
      <c r="AB824" s="34">
        <f>IF($J824="","",IFERROR(INDEX(코드설정!$D$5:$D$24,MATCH($J824,코드설정!$C$5:$C$24,0)),""))</f>
        <v/>
      </c>
      <c r="AC824" s="36" t="n"/>
      <c r="AD824" s="37" t="n"/>
      <c r="AE824" s="38" t="n"/>
      <c r="AF824" s="30">
        <f>IF(OR($B824="",$C824=""),"",$C824-$B824+1)</f>
        <v/>
      </c>
      <c r="AG824" s="32" t="n"/>
      <c r="AH824" s="36" t="n"/>
      <c r="AJ824">
        <f>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  <c r="AX824">
        <f>AW824&amp;IF($Y824="","",", "&amp;$Y824)</f>
        <v/>
      </c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0">
        <f>IF($F825="","",COUNTIF($F$5:$F825,$F825))</f>
        <v/>
      </c>
      <c r="H825" s="33">
        <f>IF($F825="","",IFERROR(INDEX(사건마스터!$B$5:$B$64,MATCH($F825,사건마스터!$A$5:$A$64,0)),""))</f>
        <v/>
      </c>
      <c r="I825" s="34">
        <f>IF($F825="","",IFERROR(INDEX(사건마스터!$C$5:$C$64,MATCH($F825,사건마스터!$A$5:$A$64,0)),""))</f>
        <v/>
      </c>
      <c r="J825" s="35">
        <f>IF($F825="","",IFERROR(INDEX(사건마스터!$H$5:$H$64,MATCH($F825,사건마스터!$A$5:$A$64,0)),""))</f>
        <v/>
      </c>
      <c r="K825" s="35">
        <f>IF($F825="","",IFERROR(INDEX(사건마스터!$AH$5:$AH$64,MATCH($F825,사건마스터!$A$5:$A$64,0)),""))</f>
        <v/>
      </c>
      <c r="L825" s="35">
        <f>IF($F825="","",IFERROR(INDEX(사건마스터!$AI$5:$AI$64,MATCH($F825,사건마스터!$A$5:$A$64,0)),""))</f>
        <v/>
      </c>
      <c r="M825" s="35">
        <f>IF($F825="","",IFERROR(INDEX(사건마스터!$AJ$5:$AJ$64,MATCH($F825,사건마스터!$A$5:$A$64,0)),""))</f>
        <v/>
      </c>
      <c r="N825" s="35">
        <f>IF($F825="","",IFERROR(INDEX(사건마스터!$AK$5:$AK$64,MATCH($F825,사건마스터!$A$5:$A$64,0)),""))</f>
        <v/>
      </c>
      <c r="O825" s="35">
        <f>IF($F825="","",IFERROR(INDEX(사건마스터!$AL$5:$AL$64,MATCH($F825,사건마스터!$A$5:$A$64,0)),""))</f>
        <v/>
      </c>
      <c r="P825" s="35">
        <f>IF($F825="","",IFERROR(INDEX(사건마스터!$AM$5:$AM$64,MATCH($F825,사건마스터!$A$5:$A$64,0)),""))</f>
        <v/>
      </c>
      <c r="Q825" s="35">
        <f>IF($F825="","",IFERROR(INDEX(사건마스터!$AN$5:$AN$64,MATCH($F825,사건마스터!$A$5:$A$64,0)),""))</f>
        <v/>
      </c>
      <c r="R825" s="35">
        <f>IF($F825="","",IFERROR(INDEX(사건마스터!$AO$5:$AO$64,MATCH($F825,사건마스터!$A$5:$A$64,0)),""))</f>
        <v/>
      </c>
      <c r="S825" s="35">
        <f>IF($F825="","",IFERROR(INDEX(사건마스터!$AP$5:$AP$64,MATCH($F825,사건마스터!$A$5:$A$64,0)),""))</f>
        <v/>
      </c>
      <c r="T825" s="35">
        <f>IF($F825="","",IFERROR(INDEX(사건마스터!$AQ$5:$AQ$64,MATCH($F825,사건마스터!$A$5:$A$64,0)),""))</f>
        <v/>
      </c>
      <c r="U825" s="35">
        <f>IF($F825="","",IFERROR(INDEX(사건마스터!$AR$5:$AR$64,MATCH($F825,사건마스터!$A$5:$A$64,0)),""))</f>
        <v/>
      </c>
      <c r="V825" s="35">
        <f>IF($F825="","",IFERROR(INDEX(사건마스터!$AS$5:$AS$64,MATCH($F825,사건마스터!$A$5:$A$64,0)),""))</f>
        <v/>
      </c>
      <c r="W825" s="35">
        <f>IF($F825="","",IFERROR(INDEX(사건마스터!$AT$5:$AT$64,MATCH($F825,사건마스터!$A$5:$A$64,0)),""))</f>
        <v/>
      </c>
      <c r="X825" s="35">
        <f>IF($F825="","",IFERROR(INDEX(사건마스터!$AU$5:$AU$64,MATCH($F825,사건마스터!$A$5:$A$64,0)),""))</f>
        <v/>
      </c>
      <c r="Y825" s="35">
        <f>IF($F825="","",IFERROR(INDEX(사건마스터!$AV$5:$AV$64,MATCH($F825,사건마스터!$A$5:$A$64,0)),""))</f>
        <v/>
      </c>
      <c r="Z825" s="30">
        <f>IF(COUNTBLANK($J825:$Y825)=16,"",16-COUNTBLANK($J825:$Y825))</f>
        <v/>
      </c>
      <c r="AA825" s="33">
        <f>IF($J825="",MID($AX825,3,255),$J825&amp;$AX825)</f>
        <v/>
      </c>
      <c r="AB825" s="34">
        <f>IF($J825="","",IFERROR(INDEX(코드설정!$D$5:$D$24,MATCH($J825,코드설정!$C$5:$C$24,0)),""))</f>
        <v/>
      </c>
      <c r="AC825" s="36" t="n"/>
      <c r="AD825" s="37" t="n"/>
      <c r="AE825" s="38" t="n"/>
      <c r="AF825" s="30">
        <f>IF(OR($B825="",$C825=""),"",$C825-$B825+1)</f>
        <v/>
      </c>
      <c r="AG825" s="32" t="n"/>
      <c r="AH825" s="36" t="n"/>
      <c r="AJ825">
        <f>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  <c r="AX825">
        <f>AW825&amp;IF($Y825="","",", "&amp;$Y825)</f>
        <v/>
      </c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0">
        <f>IF($F826="","",COUNTIF($F$5:$F826,$F826))</f>
        <v/>
      </c>
      <c r="H826" s="33">
        <f>IF($F826="","",IFERROR(INDEX(사건마스터!$B$5:$B$64,MATCH($F826,사건마스터!$A$5:$A$64,0)),""))</f>
        <v/>
      </c>
      <c r="I826" s="34">
        <f>IF($F826="","",IFERROR(INDEX(사건마스터!$C$5:$C$64,MATCH($F826,사건마스터!$A$5:$A$64,0)),""))</f>
        <v/>
      </c>
      <c r="J826" s="35">
        <f>IF($F826="","",IFERROR(INDEX(사건마스터!$H$5:$H$64,MATCH($F826,사건마스터!$A$5:$A$64,0)),""))</f>
        <v/>
      </c>
      <c r="K826" s="35">
        <f>IF($F826="","",IFERROR(INDEX(사건마스터!$AH$5:$AH$64,MATCH($F826,사건마스터!$A$5:$A$64,0)),""))</f>
        <v/>
      </c>
      <c r="L826" s="35">
        <f>IF($F826="","",IFERROR(INDEX(사건마스터!$AI$5:$AI$64,MATCH($F826,사건마스터!$A$5:$A$64,0)),""))</f>
        <v/>
      </c>
      <c r="M826" s="35">
        <f>IF($F826="","",IFERROR(INDEX(사건마스터!$AJ$5:$AJ$64,MATCH($F826,사건마스터!$A$5:$A$64,0)),""))</f>
        <v/>
      </c>
      <c r="N826" s="35">
        <f>IF($F826="","",IFERROR(INDEX(사건마스터!$AK$5:$AK$64,MATCH($F826,사건마스터!$A$5:$A$64,0)),""))</f>
        <v/>
      </c>
      <c r="O826" s="35">
        <f>IF($F826="","",IFERROR(INDEX(사건마스터!$AL$5:$AL$64,MATCH($F826,사건마스터!$A$5:$A$64,0)),""))</f>
        <v/>
      </c>
      <c r="P826" s="35">
        <f>IF($F826="","",IFERROR(INDEX(사건마스터!$AM$5:$AM$64,MATCH($F826,사건마스터!$A$5:$A$64,0)),""))</f>
        <v/>
      </c>
      <c r="Q826" s="35">
        <f>IF($F826="","",IFERROR(INDEX(사건마스터!$AN$5:$AN$64,MATCH($F826,사건마스터!$A$5:$A$64,0)),""))</f>
        <v/>
      </c>
      <c r="R826" s="35">
        <f>IF($F826="","",IFERROR(INDEX(사건마스터!$AO$5:$AO$64,MATCH($F826,사건마스터!$A$5:$A$64,0)),""))</f>
        <v/>
      </c>
      <c r="S826" s="35">
        <f>IF($F826="","",IFERROR(INDEX(사건마스터!$AP$5:$AP$64,MATCH($F826,사건마스터!$A$5:$A$64,0)),""))</f>
        <v/>
      </c>
      <c r="T826" s="35">
        <f>IF($F826="","",IFERROR(INDEX(사건마스터!$AQ$5:$AQ$64,MATCH($F826,사건마스터!$A$5:$A$64,0)),""))</f>
        <v/>
      </c>
      <c r="U826" s="35">
        <f>IF($F826="","",IFERROR(INDEX(사건마스터!$AR$5:$AR$64,MATCH($F826,사건마스터!$A$5:$A$64,0)),""))</f>
        <v/>
      </c>
      <c r="V826" s="35">
        <f>IF($F826="","",IFERROR(INDEX(사건마스터!$AS$5:$AS$64,MATCH($F826,사건마스터!$A$5:$A$64,0)),""))</f>
        <v/>
      </c>
      <c r="W826" s="35">
        <f>IF($F826="","",IFERROR(INDEX(사건마스터!$AT$5:$AT$64,MATCH($F826,사건마스터!$A$5:$A$64,0)),""))</f>
        <v/>
      </c>
      <c r="X826" s="35">
        <f>IF($F826="","",IFERROR(INDEX(사건마스터!$AU$5:$AU$64,MATCH($F826,사건마스터!$A$5:$A$64,0)),""))</f>
        <v/>
      </c>
      <c r="Y826" s="35">
        <f>IF($F826="","",IFERROR(INDEX(사건마스터!$AV$5:$AV$64,MATCH($F826,사건마스터!$A$5:$A$64,0)),""))</f>
        <v/>
      </c>
      <c r="Z826" s="30">
        <f>IF(COUNTBLANK($J826:$Y826)=16,"",16-COUNTBLANK($J826:$Y826))</f>
        <v/>
      </c>
      <c r="AA826" s="33">
        <f>IF($J826="",MID($AX826,3,255),$J826&amp;$AX826)</f>
        <v/>
      </c>
      <c r="AB826" s="34">
        <f>IF($J826="","",IFERROR(INDEX(코드설정!$D$5:$D$24,MATCH($J826,코드설정!$C$5:$C$24,0)),""))</f>
        <v/>
      </c>
      <c r="AC826" s="36" t="n"/>
      <c r="AD826" s="37" t="n"/>
      <c r="AE826" s="38" t="n"/>
      <c r="AF826" s="30">
        <f>IF(OR($B826="",$C826=""),"",$C826-$B826+1)</f>
        <v/>
      </c>
      <c r="AG826" s="32" t="n"/>
      <c r="AH826" s="36" t="n"/>
      <c r="AJ826">
        <f>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  <c r="AX826">
        <f>AW826&amp;IF($Y826="","",", "&amp;$Y826)</f>
        <v/>
      </c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0">
        <f>IF($F827="","",COUNTIF($F$5:$F827,$F827))</f>
        <v/>
      </c>
      <c r="H827" s="33">
        <f>IF($F827="","",IFERROR(INDEX(사건마스터!$B$5:$B$64,MATCH($F827,사건마스터!$A$5:$A$64,0)),""))</f>
        <v/>
      </c>
      <c r="I827" s="34">
        <f>IF($F827="","",IFERROR(INDEX(사건마스터!$C$5:$C$64,MATCH($F827,사건마스터!$A$5:$A$64,0)),""))</f>
        <v/>
      </c>
      <c r="J827" s="35">
        <f>IF($F827="","",IFERROR(INDEX(사건마스터!$H$5:$H$64,MATCH($F827,사건마스터!$A$5:$A$64,0)),""))</f>
        <v/>
      </c>
      <c r="K827" s="35">
        <f>IF($F827="","",IFERROR(INDEX(사건마스터!$AH$5:$AH$64,MATCH($F827,사건마스터!$A$5:$A$64,0)),""))</f>
        <v/>
      </c>
      <c r="L827" s="35">
        <f>IF($F827="","",IFERROR(INDEX(사건마스터!$AI$5:$AI$64,MATCH($F827,사건마스터!$A$5:$A$64,0)),""))</f>
        <v/>
      </c>
      <c r="M827" s="35">
        <f>IF($F827="","",IFERROR(INDEX(사건마스터!$AJ$5:$AJ$64,MATCH($F827,사건마스터!$A$5:$A$64,0)),""))</f>
        <v/>
      </c>
      <c r="N827" s="35">
        <f>IF($F827="","",IFERROR(INDEX(사건마스터!$AK$5:$AK$64,MATCH($F827,사건마스터!$A$5:$A$64,0)),""))</f>
        <v/>
      </c>
      <c r="O827" s="35">
        <f>IF($F827="","",IFERROR(INDEX(사건마스터!$AL$5:$AL$64,MATCH($F827,사건마스터!$A$5:$A$64,0)),""))</f>
        <v/>
      </c>
      <c r="P827" s="35">
        <f>IF($F827="","",IFERROR(INDEX(사건마스터!$AM$5:$AM$64,MATCH($F827,사건마스터!$A$5:$A$64,0)),""))</f>
        <v/>
      </c>
      <c r="Q827" s="35">
        <f>IF($F827="","",IFERROR(INDEX(사건마스터!$AN$5:$AN$64,MATCH($F827,사건마스터!$A$5:$A$64,0)),""))</f>
        <v/>
      </c>
      <c r="R827" s="35">
        <f>IF($F827="","",IFERROR(INDEX(사건마스터!$AO$5:$AO$64,MATCH($F827,사건마스터!$A$5:$A$64,0)),""))</f>
        <v/>
      </c>
      <c r="S827" s="35">
        <f>IF($F827="","",IFERROR(INDEX(사건마스터!$AP$5:$AP$64,MATCH($F827,사건마스터!$A$5:$A$64,0)),""))</f>
        <v/>
      </c>
      <c r="T827" s="35">
        <f>IF($F827="","",IFERROR(INDEX(사건마스터!$AQ$5:$AQ$64,MATCH($F827,사건마스터!$A$5:$A$64,0)),""))</f>
        <v/>
      </c>
      <c r="U827" s="35">
        <f>IF($F827="","",IFERROR(INDEX(사건마스터!$AR$5:$AR$64,MATCH($F827,사건마스터!$A$5:$A$64,0)),""))</f>
        <v/>
      </c>
      <c r="V827" s="35">
        <f>IF($F827="","",IFERROR(INDEX(사건마스터!$AS$5:$AS$64,MATCH($F827,사건마스터!$A$5:$A$64,0)),""))</f>
        <v/>
      </c>
      <c r="W827" s="35">
        <f>IF($F827="","",IFERROR(INDEX(사건마스터!$AT$5:$AT$64,MATCH($F827,사건마스터!$A$5:$A$64,0)),""))</f>
        <v/>
      </c>
      <c r="X827" s="35">
        <f>IF($F827="","",IFERROR(INDEX(사건마스터!$AU$5:$AU$64,MATCH($F827,사건마스터!$A$5:$A$64,0)),""))</f>
        <v/>
      </c>
      <c r="Y827" s="35">
        <f>IF($F827="","",IFERROR(INDEX(사건마스터!$AV$5:$AV$64,MATCH($F827,사건마스터!$A$5:$A$64,0)),""))</f>
        <v/>
      </c>
      <c r="Z827" s="30">
        <f>IF(COUNTBLANK($J827:$Y827)=16,"",16-COUNTBLANK($J827:$Y827))</f>
        <v/>
      </c>
      <c r="AA827" s="33">
        <f>IF($J827="",MID($AX827,3,255),$J827&amp;$AX827)</f>
        <v/>
      </c>
      <c r="AB827" s="34">
        <f>IF($J827="","",IFERROR(INDEX(코드설정!$D$5:$D$24,MATCH($J827,코드설정!$C$5:$C$24,0)),""))</f>
        <v/>
      </c>
      <c r="AC827" s="36" t="n"/>
      <c r="AD827" s="37" t="n"/>
      <c r="AE827" s="38" t="n"/>
      <c r="AF827" s="30">
        <f>IF(OR($B827="",$C827=""),"",$C827-$B827+1)</f>
        <v/>
      </c>
      <c r="AG827" s="32" t="n"/>
      <c r="AH827" s="36" t="n"/>
      <c r="AJ827">
        <f>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  <c r="AX827">
        <f>AW827&amp;IF($Y827="","",", "&amp;$Y827)</f>
        <v/>
      </c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0">
        <f>IF($F828="","",COUNTIF($F$5:$F828,$F828))</f>
        <v/>
      </c>
      <c r="H828" s="33">
        <f>IF($F828="","",IFERROR(INDEX(사건마스터!$B$5:$B$64,MATCH($F828,사건마스터!$A$5:$A$64,0)),""))</f>
        <v/>
      </c>
      <c r="I828" s="34">
        <f>IF($F828="","",IFERROR(INDEX(사건마스터!$C$5:$C$64,MATCH($F828,사건마스터!$A$5:$A$64,0)),""))</f>
        <v/>
      </c>
      <c r="J828" s="35">
        <f>IF($F828="","",IFERROR(INDEX(사건마스터!$H$5:$H$64,MATCH($F828,사건마스터!$A$5:$A$64,0)),""))</f>
        <v/>
      </c>
      <c r="K828" s="35">
        <f>IF($F828="","",IFERROR(INDEX(사건마스터!$AH$5:$AH$64,MATCH($F828,사건마스터!$A$5:$A$64,0)),""))</f>
        <v/>
      </c>
      <c r="L828" s="35">
        <f>IF($F828="","",IFERROR(INDEX(사건마스터!$AI$5:$AI$64,MATCH($F828,사건마스터!$A$5:$A$64,0)),""))</f>
        <v/>
      </c>
      <c r="M828" s="35">
        <f>IF($F828="","",IFERROR(INDEX(사건마스터!$AJ$5:$AJ$64,MATCH($F828,사건마스터!$A$5:$A$64,0)),""))</f>
        <v/>
      </c>
      <c r="N828" s="35">
        <f>IF($F828="","",IFERROR(INDEX(사건마스터!$AK$5:$AK$64,MATCH($F828,사건마스터!$A$5:$A$64,0)),""))</f>
        <v/>
      </c>
      <c r="O828" s="35">
        <f>IF($F828="","",IFERROR(INDEX(사건마스터!$AL$5:$AL$64,MATCH($F828,사건마스터!$A$5:$A$64,0)),""))</f>
        <v/>
      </c>
      <c r="P828" s="35">
        <f>IF($F828="","",IFERROR(INDEX(사건마스터!$AM$5:$AM$64,MATCH($F828,사건마스터!$A$5:$A$64,0)),""))</f>
        <v/>
      </c>
      <c r="Q828" s="35">
        <f>IF($F828="","",IFERROR(INDEX(사건마스터!$AN$5:$AN$64,MATCH($F828,사건마스터!$A$5:$A$64,0)),""))</f>
        <v/>
      </c>
      <c r="R828" s="35">
        <f>IF($F828="","",IFERROR(INDEX(사건마스터!$AO$5:$AO$64,MATCH($F828,사건마스터!$A$5:$A$64,0)),""))</f>
        <v/>
      </c>
      <c r="S828" s="35">
        <f>IF($F828="","",IFERROR(INDEX(사건마스터!$AP$5:$AP$64,MATCH($F828,사건마스터!$A$5:$A$64,0)),""))</f>
        <v/>
      </c>
      <c r="T828" s="35">
        <f>IF($F828="","",IFERROR(INDEX(사건마스터!$AQ$5:$AQ$64,MATCH($F828,사건마스터!$A$5:$A$64,0)),""))</f>
        <v/>
      </c>
      <c r="U828" s="35">
        <f>IF($F828="","",IFERROR(INDEX(사건마스터!$AR$5:$AR$64,MATCH($F828,사건마스터!$A$5:$A$64,0)),""))</f>
        <v/>
      </c>
      <c r="V828" s="35">
        <f>IF($F828="","",IFERROR(INDEX(사건마스터!$AS$5:$AS$64,MATCH($F828,사건마스터!$A$5:$A$64,0)),""))</f>
        <v/>
      </c>
      <c r="W828" s="35">
        <f>IF($F828="","",IFERROR(INDEX(사건마스터!$AT$5:$AT$64,MATCH($F828,사건마스터!$A$5:$A$64,0)),""))</f>
        <v/>
      </c>
      <c r="X828" s="35">
        <f>IF($F828="","",IFERROR(INDEX(사건마스터!$AU$5:$AU$64,MATCH($F828,사건마스터!$A$5:$A$64,0)),""))</f>
        <v/>
      </c>
      <c r="Y828" s="35">
        <f>IF($F828="","",IFERROR(INDEX(사건마스터!$AV$5:$AV$64,MATCH($F828,사건마스터!$A$5:$A$64,0)),""))</f>
        <v/>
      </c>
      <c r="Z828" s="30">
        <f>IF(COUNTBLANK($J828:$Y828)=16,"",16-COUNTBLANK($J828:$Y828))</f>
        <v/>
      </c>
      <c r="AA828" s="33">
        <f>IF($J828="",MID($AX828,3,255),$J828&amp;$AX828)</f>
        <v/>
      </c>
      <c r="AB828" s="34">
        <f>IF($J828="","",IFERROR(INDEX(코드설정!$D$5:$D$24,MATCH($J828,코드설정!$C$5:$C$24,0)),""))</f>
        <v/>
      </c>
      <c r="AC828" s="36" t="n"/>
      <c r="AD828" s="37" t="n"/>
      <c r="AE828" s="38" t="n"/>
      <c r="AF828" s="30">
        <f>IF(OR($B828="",$C828=""),"",$C828-$B828+1)</f>
        <v/>
      </c>
      <c r="AG828" s="32" t="n"/>
      <c r="AH828" s="36" t="n"/>
      <c r="AJ828">
        <f>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  <c r="AX828">
        <f>AW828&amp;IF($Y828="","",", "&amp;$Y828)</f>
        <v/>
      </c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0">
        <f>IF($F829="","",COUNTIF($F$5:$F829,$F829))</f>
        <v/>
      </c>
      <c r="H829" s="33">
        <f>IF($F829="","",IFERROR(INDEX(사건마스터!$B$5:$B$64,MATCH($F829,사건마스터!$A$5:$A$64,0)),""))</f>
        <v/>
      </c>
      <c r="I829" s="34">
        <f>IF($F829="","",IFERROR(INDEX(사건마스터!$C$5:$C$64,MATCH($F829,사건마스터!$A$5:$A$64,0)),""))</f>
        <v/>
      </c>
      <c r="J829" s="35">
        <f>IF($F829="","",IFERROR(INDEX(사건마스터!$H$5:$H$64,MATCH($F829,사건마스터!$A$5:$A$64,0)),""))</f>
        <v/>
      </c>
      <c r="K829" s="35">
        <f>IF($F829="","",IFERROR(INDEX(사건마스터!$AH$5:$AH$64,MATCH($F829,사건마스터!$A$5:$A$64,0)),""))</f>
        <v/>
      </c>
      <c r="L829" s="35">
        <f>IF($F829="","",IFERROR(INDEX(사건마스터!$AI$5:$AI$64,MATCH($F829,사건마스터!$A$5:$A$64,0)),""))</f>
        <v/>
      </c>
      <c r="M829" s="35">
        <f>IF($F829="","",IFERROR(INDEX(사건마스터!$AJ$5:$AJ$64,MATCH($F829,사건마스터!$A$5:$A$64,0)),""))</f>
        <v/>
      </c>
      <c r="N829" s="35">
        <f>IF($F829="","",IFERROR(INDEX(사건마스터!$AK$5:$AK$64,MATCH($F829,사건마스터!$A$5:$A$64,0)),""))</f>
        <v/>
      </c>
      <c r="O829" s="35">
        <f>IF($F829="","",IFERROR(INDEX(사건마스터!$AL$5:$AL$64,MATCH($F829,사건마스터!$A$5:$A$64,0)),""))</f>
        <v/>
      </c>
      <c r="P829" s="35">
        <f>IF($F829="","",IFERROR(INDEX(사건마스터!$AM$5:$AM$64,MATCH($F829,사건마스터!$A$5:$A$64,0)),""))</f>
        <v/>
      </c>
      <c r="Q829" s="35">
        <f>IF($F829="","",IFERROR(INDEX(사건마스터!$AN$5:$AN$64,MATCH($F829,사건마스터!$A$5:$A$64,0)),""))</f>
        <v/>
      </c>
      <c r="R829" s="35">
        <f>IF($F829="","",IFERROR(INDEX(사건마스터!$AO$5:$AO$64,MATCH($F829,사건마스터!$A$5:$A$64,0)),""))</f>
        <v/>
      </c>
      <c r="S829" s="35">
        <f>IF($F829="","",IFERROR(INDEX(사건마스터!$AP$5:$AP$64,MATCH($F829,사건마스터!$A$5:$A$64,0)),""))</f>
        <v/>
      </c>
      <c r="T829" s="35">
        <f>IF($F829="","",IFERROR(INDEX(사건마스터!$AQ$5:$AQ$64,MATCH($F829,사건마스터!$A$5:$A$64,0)),""))</f>
        <v/>
      </c>
      <c r="U829" s="35">
        <f>IF($F829="","",IFERROR(INDEX(사건마스터!$AR$5:$AR$64,MATCH($F829,사건마스터!$A$5:$A$64,0)),""))</f>
        <v/>
      </c>
      <c r="V829" s="35">
        <f>IF($F829="","",IFERROR(INDEX(사건마스터!$AS$5:$AS$64,MATCH($F829,사건마스터!$A$5:$A$64,0)),""))</f>
        <v/>
      </c>
      <c r="W829" s="35">
        <f>IF($F829="","",IFERROR(INDEX(사건마스터!$AT$5:$AT$64,MATCH($F829,사건마스터!$A$5:$A$64,0)),""))</f>
        <v/>
      </c>
      <c r="X829" s="35">
        <f>IF($F829="","",IFERROR(INDEX(사건마스터!$AU$5:$AU$64,MATCH($F829,사건마스터!$A$5:$A$64,0)),""))</f>
        <v/>
      </c>
      <c r="Y829" s="35">
        <f>IF($F829="","",IFERROR(INDEX(사건마스터!$AV$5:$AV$64,MATCH($F829,사건마스터!$A$5:$A$64,0)),""))</f>
        <v/>
      </c>
      <c r="Z829" s="30">
        <f>IF(COUNTBLANK($J829:$Y829)=16,"",16-COUNTBLANK($J829:$Y829))</f>
        <v/>
      </c>
      <c r="AA829" s="33">
        <f>IF($J829="",MID($AX829,3,255),$J829&amp;$AX829)</f>
        <v/>
      </c>
      <c r="AB829" s="34">
        <f>IF($J829="","",IFERROR(INDEX(코드설정!$D$5:$D$24,MATCH($J829,코드설정!$C$5:$C$24,0)),""))</f>
        <v/>
      </c>
      <c r="AC829" s="36" t="n"/>
      <c r="AD829" s="37" t="n"/>
      <c r="AE829" s="38" t="n"/>
      <c r="AF829" s="30">
        <f>IF(OR($B829="",$C829=""),"",$C829-$B829+1)</f>
        <v/>
      </c>
      <c r="AG829" s="32" t="n"/>
      <c r="AH829" s="36" t="n"/>
      <c r="AJ829">
        <f>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  <c r="AX829">
        <f>AW829&amp;IF($Y829="","",", "&amp;$Y829)</f>
        <v/>
      </c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0">
        <f>IF($F830="","",COUNTIF($F$5:$F830,$F830))</f>
        <v/>
      </c>
      <c r="H830" s="33">
        <f>IF($F830="","",IFERROR(INDEX(사건마스터!$B$5:$B$64,MATCH($F830,사건마스터!$A$5:$A$64,0)),""))</f>
        <v/>
      </c>
      <c r="I830" s="34">
        <f>IF($F830="","",IFERROR(INDEX(사건마스터!$C$5:$C$64,MATCH($F830,사건마스터!$A$5:$A$64,0)),""))</f>
        <v/>
      </c>
      <c r="J830" s="35">
        <f>IF($F830="","",IFERROR(INDEX(사건마스터!$H$5:$H$64,MATCH($F830,사건마스터!$A$5:$A$64,0)),""))</f>
        <v/>
      </c>
      <c r="K830" s="35">
        <f>IF($F830="","",IFERROR(INDEX(사건마스터!$AH$5:$AH$64,MATCH($F830,사건마스터!$A$5:$A$64,0)),""))</f>
        <v/>
      </c>
      <c r="L830" s="35">
        <f>IF($F830="","",IFERROR(INDEX(사건마스터!$AI$5:$AI$64,MATCH($F830,사건마스터!$A$5:$A$64,0)),""))</f>
        <v/>
      </c>
      <c r="M830" s="35">
        <f>IF($F830="","",IFERROR(INDEX(사건마스터!$AJ$5:$AJ$64,MATCH($F830,사건마스터!$A$5:$A$64,0)),""))</f>
        <v/>
      </c>
      <c r="N830" s="35">
        <f>IF($F830="","",IFERROR(INDEX(사건마스터!$AK$5:$AK$64,MATCH($F830,사건마스터!$A$5:$A$64,0)),""))</f>
        <v/>
      </c>
      <c r="O830" s="35">
        <f>IF($F830="","",IFERROR(INDEX(사건마스터!$AL$5:$AL$64,MATCH($F830,사건마스터!$A$5:$A$64,0)),""))</f>
        <v/>
      </c>
      <c r="P830" s="35">
        <f>IF($F830="","",IFERROR(INDEX(사건마스터!$AM$5:$AM$64,MATCH($F830,사건마스터!$A$5:$A$64,0)),""))</f>
        <v/>
      </c>
      <c r="Q830" s="35">
        <f>IF($F830="","",IFERROR(INDEX(사건마스터!$AN$5:$AN$64,MATCH($F830,사건마스터!$A$5:$A$64,0)),""))</f>
        <v/>
      </c>
      <c r="R830" s="35">
        <f>IF($F830="","",IFERROR(INDEX(사건마스터!$AO$5:$AO$64,MATCH($F830,사건마스터!$A$5:$A$64,0)),""))</f>
        <v/>
      </c>
      <c r="S830" s="35">
        <f>IF($F830="","",IFERROR(INDEX(사건마스터!$AP$5:$AP$64,MATCH($F830,사건마스터!$A$5:$A$64,0)),""))</f>
        <v/>
      </c>
      <c r="T830" s="35">
        <f>IF($F830="","",IFERROR(INDEX(사건마스터!$AQ$5:$AQ$64,MATCH($F830,사건마스터!$A$5:$A$64,0)),""))</f>
        <v/>
      </c>
      <c r="U830" s="35">
        <f>IF($F830="","",IFERROR(INDEX(사건마스터!$AR$5:$AR$64,MATCH($F830,사건마스터!$A$5:$A$64,0)),""))</f>
        <v/>
      </c>
      <c r="V830" s="35">
        <f>IF($F830="","",IFERROR(INDEX(사건마스터!$AS$5:$AS$64,MATCH($F830,사건마스터!$A$5:$A$64,0)),""))</f>
        <v/>
      </c>
      <c r="W830" s="35">
        <f>IF($F830="","",IFERROR(INDEX(사건마스터!$AT$5:$AT$64,MATCH($F830,사건마스터!$A$5:$A$64,0)),""))</f>
        <v/>
      </c>
      <c r="X830" s="35">
        <f>IF($F830="","",IFERROR(INDEX(사건마스터!$AU$5:$AU$64,MATCH($F830,사건마스터!$A$5:$A$64,0)),""))</f>
        <v/>
      </c>
      <c r="Y830" s="35">
        <f>IF($F830="","",IFERROR(INDEX(사건마스터!$AV$5:$AV$64,MATCH($F830,사건마스터!$A$5:$A$64,0)),""))</f>
        <v/>
      </c>
      <c r="Z830" s="30">
        <f>IF(COUNTBLANK($J830:$Y830)=16,"",16-COUNTBLANK($J830:$Y830))</f>
        <v/>
      </c>
      <c r="AA830" s="33">
        <f>IF($J830="",MID($AX830,3,255),$J830&amp;$AX830)</f>
        <v/>
      </c>
      <c r="AB830" s="34">
        <f>IF($J830="","",IFERROR(INDEX(코드설정!$D$5:$D$24,MATCH($J830,코드설정!$C$5:$C$24,0)),""))</f>
        <v/>
      </c>
      <c r="AC830" s="36" t="n"/>
      <c r="AD830" s="37" t="n"/>
      <c r="AE830" s="38" t="n"/>
      <c r="AF830" s="30">
        <f>IF(OR($B830="",$C830=""),"",$C830-$B830+1)</f>
        <v/>
      </c>
      <c r="AG830" s="32" t="n"/>
      <c r="AH830" s="36" t="n"/>
      <c r="AJ830">
        <f>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  <c r="AX830">
        <f>AW830&amp;IF($Y830="","",", "&amp;$Y830)</f>
        <v/>
      </c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0">
        <f>IF($F831="","",COUNTIF($F$5:$F831,$F831))</f>
        <v/>
      </c>
      <c r="H831" s="33">
        <f>IF($F831="","",IFERROR(INDEX(사건마스터!$B$5:$B$64,MATCH($F831,사건마스터!$A$5:$A$64,0)),""))</f>
        <v/>
      </c>
      <c r="I831" s="34">
        <f>IF($F831="","",IFERROR(INDEX(사건마스터!$C$5:$C$64,MATCH($F831,사건마스터!$A$5:$A$64,0)),""))</f>
        <v/>
      </c>
      <c r="J831" s="35">
        <f>IF($F831="","",IFERROR(INDEX(사건마스터!$H$5:$H$64,MATCH($F831,사건마스터!$A$5:$A$64,0)),""))</f>
        <v/>
      </c>
      <c r="K831" s="35">
        <f>IF($F831="","",IFERROR(INDEX(사건마스터!$AH$5:$AH$64,MATCH($F831,사건마스터!$A$5:$A$64,0)),""))</f>
        <v/>
      </c>
      <c r="L831" s="35">
        <f>IF($F831="","",IFERROR(INDEX(사건마스터!$AI$5:$AI$64,MATCH($F831,사건마스터!$A$5:$A$64,0)),""))</f>
        <v/>
      </c>
      <c r="M831" s="35">
        <f>IF($F831="","",IFERROR(INDEX(사건마스터!$AJ$5:$AJ$64,MATCH($F831,사건마스터!$A$5:$A$64,0)),""))</f>
        <v/>
      </c>
      <c r="N831" s="35">
        <f>IF($F831="","",IFERROR(INDEX(사건마스터!$AK$5:$AK$64,MATCH($F831,사건마스터!$A$5:$A$64,0)),""))</f>
        <v/>
      </c>
      <c r="O831" s="35">
        <f>IF($F831="","",IFERROR(INDEX(사건마스터!$AL$5:$AL$64,MATCH($F831,사건마스터!$A$5:$A$64,0)),""))</f>
        <v/>
      </c>
      <c r="P831" s="35">
        <f>IF($F831="","",IFERROR(INDEX(사건마스터!$AM$5:$AM$64,MATCH($F831,사건마스터!$A$5:$A$64,0)),""))</f>
        <v/>
      </c>
      <c r="Q831" s="35">
        <f>IF($F831="","",IFERROR(INDEX(사건마스터!$AN$5:$AN$64,MATCH($F831,사건마스터!$A$5:$A$64,0)),""))</f>
        <v/>
      </c>
      <c r="R831" s="35">
        <f>IF($F831="","",IFERROR(INDEX(사건마스터!$AO$5:$AO$64,MATCH($F831,사건마스터!$A$5:$A$64,0)),""))</f>
        <v/>
      </c>
      <c r="S831" s="35">
        <f>IF($F831="","",IFERROR(INDEX(사건마스터!$AP$5:$AP$64,MATCH($F831,사건마스터!$A$5:$A$64,0)),""))</f>
        <v/>
      </c>
      <c r="T831" s="35">
        <f>IF($F831="","",IFERROR(INDEX(사건마스터!$AQ$5:$AQ$64,MATCH($F831,사건마스터!$A$5:$A$64,0)),""))</f>
        <v/>
      </c>
      <c r="U831" s="35">
        <f>IF($F831="","",IFERROR(INDEX(사건마스터!$AR$5:$AR$64,MATCH($F831,사건마스터!$A$5:$A$64,0)),""))</f>
        <v/>
      </c>
      <c r="V831" s="35">
        <f>IF($F831="","",IFERROR(INDEX(사건마스터!$AS$5:$AS$64,MATCH($F831,사건마스터!$A$5:$A$64,0)),""))</f>
        <v/>
      </c>
      <c r="W831" s="35">
        <f>IF($F831="","",IFERROR(INDEX(사건마스터!$AT$5:$AT$64,MATCH($F831,사건마스터!$A$5:$A$64,0)),""))</f>
        <v/>
      </c>
      <c r="X831" s="35">
        <f>IF($F831="","",IFERROR(INDEX(사건마스터!$AU$5:$AU$64,MATCH($F831,사건마스터!$A$5:$A$64,0)),""))</f>
        <v/>
      </c>
      <c r="Y831" s="35">
        <f>IF($F831="","",IFERROR(INDEX(사건마스터!$AV$5:$AV$64,MATCH($F831,사건마스터!$A$5:$A$64,0)),""))</f>
        <v/>
      </c>
      <c r="Z831" s="30">
        <f>IF(COUNTBLANK($J831:$Y831)=16,"",16-COUNTBLANK($J831:$Y831))</f>
        <v/>
      </c>
      <c r="AA831" s="33">
        <f>IF($J831="",MID($AX831,3,255),$J831&amp;$AX831)</f>
        <v/>
      </c>
      <c r="AB831" s="34">
        <f>IF($J831="","",IFERROR(INDEX(코드설정!$D$5:$D$24,MATCH($J831,코드설정!$C$5:$C$24,0)),""))</f>
        <v/>
      </c>
      <c r="AC831" s="36" t="n"/>
      <c r="AD831" s="37" t="n"/>
      <c r="AE831" s="38" t="n"/>
      <c r="AF831" s="30">
        <f>IF(OR($B831="",$C831=""),"",$C831-$B831+1)</f>
        <v/>
      </c>
      <c r="AG831" s="32" t="n"/>
      <c r="AH831" s="36" t="n"/>
      <c r="AJ831">
        <f>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  <c r="AX831">
        <f>AW831&amp;IF($Y831="","",", "&amp;$Y831)</f>
        <v/>
      </c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0">
        <f>IF($F832="","",COUNTIF($F$5:$F832,$F832))</f>
        <v/>
      </c>
      <c r="H832" s="33">
        <f>IF($F832="","",IFERROR(INDEX(사건마스터!$B$5:$B$64,MATCH($F832,사건마스터!$A$5:$A$64,0)),""))</f>
        <v/>
      </c>
      <c r="I832" s="34">
        <f>IF($F832="","",IFERROR(INDEX(사건마스터!$C$5:$C$64,MATCH($F832,사건마스터!$A$5:$A$64,0)),""))</f>
        <v/>
      </c>
      <c r="J832" s="35">
        <f>IF($F832="","",IFERROR(INDEX(사건마스터!$H$5:$H$64,MATCH($F832,사건마스터!$A$5:$A$64,0)),""))</f>
        <v/>
      </c>
      <c r="K832" s="35">
        <f>IF($F832="","",IFERROR(INDEX(사건마스터!$AH$5:$AH$64,MATCH($F832,사건마스터!$A$5:$A$64,0)),""))</f>
        <v/>
      </c>
      <c r="L832" s="35">
        <f>IF($F832="","",IFERROR(INDEX(사건마스터!$AI$5:$AI$64,MATCH($F832,사건마스터!$A$5:$A$64,0)),""))</f>
        <v/>
      </c>
      <c r="M832" s="35">
        <f>IF($F832="","",IFERROR(INDEX(사건마스터!$AJ$5:$AJ$64,MATCH($F832,사건마스터!$A$5:$A$64,0)),""))</f>
        <v/>
      </c>
      <c r="N832" s="35">
        <f>IF($F832="","",IFERROR(INDEX(사건마스터!$AK$5:$AK$64,MATCH($F832,사건마스터!$A$5:$A$64,0)),""))</f>
        <v/>
      </c>
      <c r="O832" s="35">
        <f>IF($F832="","",IFERROR(INDEX(사건마스터!$AL$5:$AL$64,MATCH($F832,사건마스터!$A$5:$A$64,0)),""))</f>
        <v/>
      </c>
      <c r="P832" s="35">
        <f>IF($F832="","",IFERROR(INDEX(사건마스터!$AM$5:$AM$64,MATCH($F832,사건마스터!$A$5:$A$64,0)),""))</f>
        <v/>
      </c>
      <c r="Q832" s="35">
        <f>IF($F832="","",IFERROR(INDEX(사건마스터!$AN$5:$AN$64,MATCH($F832,사건마스터!$A$5:$A$64,0)),""))</f>
        <v/>
      </c>
      <c r="R832" s="35">
        <f>IF($F832="","",IFERROR(INDEX(사건마스터!$AO$5:$AO$64,MATCH($F832,사건마스터!$A$5:$A$64,0)),""))</f>
        <v/>
      </c>
      <c r="S832" s="35">
        <f>IF($F832="","",IFERROR(INDEX(사건마스터!$AP$5:$AP$64,MATCH($F832,사건마스터!$A$5:$A$64,0)),""))</f>
        <v/>
      </c>
      <c r="T832" s="35">
        <f>IF($F832="","",IFERROR(INDEX(사건마스터!$AQ$5:$AQ$64,MATCH($F832,사건마스터!$A$5:$A$64,0)),""))</f>
        <v/>
      </c>
      <c r="U832" s="35">
        <f>IF($F832="","",IFERROR(INDEX(사건마스터!$AR$5:$AR$64,MATCH($F832,사건마스터!$A$5:$A$64,0)),""))</f>
        <v/>
      </c>
      <c r="V832" s="35">
        <f>IF($F832="","",IFERROR(INDEX(사건마스터!$AS$5:$AS$64,MATCH($F832,사건마스터!$A$5:$A$64,0)),""))</f>
        <v/>
      </c>
      <c r="W832" s="35">
        <f>IF($F832="","",IFERROR(INDEX(사건마스터!$AT$5:$AT$64,MATCH($F832,사건마스터!$A$5:$A$64,0)),""))</f>
        <v/>
      </c>
      <c r="X832" s="35">
        <f>IF($F832="","",IFERROR(INDEX(사건마스터!$AU$5:$AU$64,MATCH($F832,사건마스터!$A$5:$A$64,0)),""))</f>
        <v/>
      </c>
      <c r="Y832" s="35">
        <f>IF($F832="","",IFERROR(INDEX(사건마스터!$AV$5:$AV$64,MATCH($F832,사건마스터!$A$5:$A$64,0)),""))</f>
        <v/>
      </c>
      <c r="Z832" s="30">
        <f>IF(COUNTBLANK($J832:$Y832)=16,"",16-COUNTBLANK($J832:$Y832))</f>
        <v/>
      </c>
      <c r="AA832" s="33">
        <f>IF($J832="",MID($AX832,3,255),$J832&amp;$AX832)</f>
        <v/>
      </c>
      <c r="AB832" s="34">
        <f>IF($J832="","",IFERROR(INDEX(코드설정!$D$5:$D$24,MATCH($J832,코드설정!$C$5:$C$24,0)),""))</f>
        <v/>
      </c>
      <c r="AC832" s="36" t="n"/>
      <c r="AD832" s="37" t="n"/>
      <c r="AE832" s="38" t="n"/>
      <c r="AF832" s="30">
        <f>IF(OR($B832="",$C832=""),"",$C832-$B832+1)</f>
        <v/>
      </c>
      <c r="AG832" s="32" t="n"/>
      <c r="AH832" s="36" t="n"/>
      <c r="AJ832">
        <f>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  <c r="AX832">
        <f>AW832&amp;IF($Y832="","",", "&amp;$Y832)</f>
        <v/>
      </c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0">
        <f>IF($F833="","",COUNTIF($F$5:$F833,$F833))</f>
        <v/>
      </c>
      <c r="H833" s="33">
        <f>IF($F833="","",IFERROR(INDEX(사건마스터!$B$5:$B$64,MATCH($F833,사건마스터!$A$5:$A$64,0)),""))</f>
        <v/>
      </c>
      <c r="I833" s="34">
        <f>IF($F833="","",IFERROR(INDEX(사건마스터!$C$5:$C$64,MATCH($F833,사건마스터!$A$5:$A$64,0)),""))</f>
        <v/>
      </c>
      <c r="J833" s="35">
        <f>IF($F833="","",IFERROR(INDEX(사건마스터!$H$5:$H$64,MATCH($F833,사건마스터!$A$5:$A$64,0)),""))</f>
        <v/>
      </c>
      <c r="K833" s="35">
        <f>IF($F833="","",IFERROR(INDEX(사건마스터!$AH$5:$AH$64,MATCH($F833,사건마스터!$A$5:$A$64,0)),""))</f>
        <v/>
      </c>
      <c r="L833" s="35">
        <f>IF($F833="","",IFERROR(INDEX(사건마스터!$AI$5:$AI$64,MATCH($F833,사건마스터!$A$5:$A$64,0)),""))</f>
        <v/>
      </c>
      <c r="M833" s="35">
        <f>IF($F833="","",IFERROR(INDEX(사건마스터!$AJ$5:$AJ$64,MATCH($F833,사건마스터!$A$5:$A$64,0)),""))</f>
        <v/>
      </c>
      <c r="N833" s="35">
        <f>IF($F833="","",IFERROR(INDEX(사건마스터!$AK$5:$AK$64,MATCH($F833,사건마스터!$A$5:$A$64,0)),""))</f>
        <v/>
      </c>
      <c r="O833" s="35">
        <f>IF($F833="","",IFERROR(INDEX(사건마스터!$AL$5:$AL$64,MATCH($F833,사건마스터!$A$5:$A$64,0)),""))</f>
        <v/>
      </c>
      <c r="P833" s="35">
        <f>IF($F833="","",IFERROR(INDEX(사건마스터!$AM$5:$AM$64,MATCH($F833,사건마스터!$A$5:$A$64,0)),""))</f>
        <v/>
      </c>
      <c r="Q833" s="35">
        <f>IF($F833="","",IFERROR(INDEX(사건마스터!$AN$5:$AN$64,MATCH($F833,사건마스터!$A$5:$A$64,0)),""))</f>
        <v/>
      </c>
      <c r="R833" s="35">
        <f>IF($F833="","",IFERROR(INDEX(사건마스터!$AO$5:$AO$64,MATCH($F833,사건마스터!$A$5:$A$64,0)),""))</f>
        <v/>
      </c>
      <c r="S833" s="35">
        <f>IF($F833="","",IFERROR(INDEX(사건마스터!$AP$5:$AP$64,MATCH($F833,사건마스터!$A$5:$A$64,0)),""))</f>
        <v/>
      </c>
      <c r="T833" s="35">
        <f>IF($F833="","",IFERROR(INDEX(사건마스터!$AQ$5:$AQ$64,MATCH($F833,사건마스터!$A$5:$A$64,0)),""))</f>
        <v/>
      </c>
      <c r="U833" s="35">
        <f>IF($F833="","",IFERROR(INDEX(사건마스터!$AR$5:$AR$64,MATCH($F833,사건마스터!$A$5:$A$64,0)),""))</f>
        <v/>
      </c>
      <c r="V833" s="35">
        <f>IF($F833="","",IFERROR(INDEX(사건마스터!$AS$5:$AS$64,MATCH($F833,사건마스터!$A$5:$A$64,0)),""))</f>
        <v/>
      </c>
      <c r="W833" s="35">
        <f>IF($F833="","",IFERROR(INDEX(사건마스터!$AT$5:$AT$64,MATCH($F833,사건마스터!$A$5:$A$64,0)),""))</f>
        <v/>
      </c>
      <c r="X833" s="35">
        <f>IF($F833="","",IFERROR(INDEX(사건마스터!$AU$5:$AU$64,MATCH($F833,사건마스터!$A$5:$A$64,0)),""))</f>
        <v/>
      </c>
      <c r="Y833" s="35">
        <f>IF($F833="","",IFERROR(INDEX(사건마스터!$AV$5:$AV$64,MATCH($F833,사건마스터!$A$5:$A$64,0)),""))</f>
        <v/>
      </c>
      <c r="Z833" s="30">
        <f>IF(COUNTBLANK($J833:$Y833)=16,"",16-COUNTBLANK($J833:$Y833))</f>
        <v/>
      </c>
      <c r="AA833" s="33">
        <f>IF($J833="",MID($AX833,3,255),$J833&amp;$AX833)</f>
        <v/>
      </c>
      <c r="AB833" s="34">
        <f>IF($J833="","",IFERROR(INDEX(코드설정!$D$5:$D$24,MATCH($J833,코드설정!$C$5:$C$24,0)),""))</f>
        <v/>
      </c>
      <c r="AC833" s="36" t="n"/>
      <c r="AD833" s="37" t="n"/>
      <c r="AE833" s="38" t="n"/>
      <c r="AF833" s="30">
        <f>IF(OR($B833="",$C833=""),"",$C833-$B833+1)</f>
        <v/>
      </c>
      <c r="AG833" s="32" t="n"/>
      <c r="AH833" s="36" t="n"/>
      <c r="AJ833">
        <f>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  <c r="AX833">
        <f>AW833&amp;IF($Y833="","",", "&amp;$Y833)</f>
        <v/>
      </c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0">
        <f>IF($F834="","",COUNTIF($F$5:$F834,$F834))</f>
        <v/>
      </c>
      <c r="H834" s="33">
        <f>IF($F834="","",IFERROR(INDEX(사건마스터!$B$5:$B$64,MATCH($F834,사건마스터!$A$5:$A$64,0)),""))</f>
        <v/>
      </c>
      <c r="I834" s="34">
        <f>IF($F834="","",IFERROR(INDEX(사건마스터!$C$5:$C$64,MATCH($F834,사건마스터!$A$5:$A$64,0)),""))</f>
        <v/>
      </c>
      <c r="J834" s="35">
        <f>IF($F834="","",IFERROR(INDEX(사건마스터!$H$5:$H$64,MATCH($F834,사건마스터!$A$5:$A$64,0)),""))</f>
        <v/>
      </c>
      <c r="K834" s="35">
        <f>IF($F834="","",IFERROR(INDEX(사건마스터!$AH$5:$AH$64,MATCH($F834,사건마스터!$A$5:$A$64,0)),""))</f>
        <v/>
      </c>
      <c r="L834" s="35">
        <f>IF($F834="","",IFERROR(INDEX(사건마스터!$AI$5:$AI$64,MATCH($F834,사건마스터!$A$5:$A$64,0)),""))</f>
        <v/>
      </c>
      <c r="M834" s="35">
        <f>IF($F834="","",IFERROR(INDEX(사건마스터!$AJ$5:$AJ$64,MATCH($F834,사건마스터!$A$5:$A$64,0)),""))</f>
        <v/>
      </c>
      <c r="N834" s="35">
        <f>IF($F834="","",IFERROR(INDEX(사건마스터!$AK$5:$AK$64,MATCH($F834,사건마스터!$A$5:$A$64,0)),""))</f>
        <v/>
      </c>
      <c r="O834" s="35">
        <f>IF($F834="","",IFERROR(INDEX(사건마스터!$AL$5:$AL$64,MATCH($F834,사건마스터!$A$5:$A$64,0)),""))</f>
        <v/>
      </c>
      <c r="P834" s="35">
        <f>IF($F834="","",IFERROR(INDEX(사건마스터!$AM$5:$AM$64,MATCH($F834,사건마스터!$A$5:$A$64,0)),""))</f>
        <v/>
      </c>
      <c r="Q834" s="35">
        <f>IF($F834="","",IFERROR(INDEX(사건마스터!$AN$5:$AN$64,MATCH($F834,사건마스터!$A$5:$A$64,0)),""))</f>
        <v/>
      </c>
      <c r="R834" s="35">
        <f>IF($F834="","",IFERROR(INDEX(사건마스터!$AO$5:$AO$64,MATCH($F834,사건마스터!$A$5:$A$64,0)),""))</f>
        <v/>
      </c>
      <c r="S834" s="35">
        <f>IF($F834="","",IFERROR(INDEX(사건마스터!$AP$5:$AP$64,MATCH($F834,사건마스터!$A$5:$A$64,0)),""))</f>
        <v/>
      </c>
      <c r="T834" s="35">
        <f>IF($F834="","",IFERROR(INDEX(사건마스터!$AQ$5:$AQ$64,MATCH($F834,사건마스터!$A$5:$A$64,0)),""))</f>
        <v/>
      </c>
      <c r="U834" s="35">
        <f>IF($F834="","",IFERROR(INDEX(사건마스터!$AR$5:$AR$64,MATCH($F834,사건마스터!$A$5:$A$64,0)),""))</f>
        <v/>
      </c>
      <c r="V834" s="35">
        <f>IF($F834="","",IFERROR(INDEX(사건마스터!$AS$5:$AS$64,MATCH($F834,사건마스터!$A$5:$A$64,0)),""))</f>
        <v/>
      </c>
      <c r="W834" s="35">
        <f>IF($F834="","",IFERROR(INDEX(사건마스터!$AT$5:$AT$64,MATCH($F834,사건마스터!$A$5:$A$64,0)),""))</f>
        <v/>
      </c>
      <c r="X834" s="35">
        <f>IF($F834="","",IFERROR(INDEX(사건마스터!$AU$5:$AU$64,MATCH($F834,사건마스터!$A$5:$A$64,0)),""))</f>
        <v/>
      </c>
      <c r="Y834" s="35">
        <f>IF($F834="","",IFERROR(INDEX(사건마스터!$AV$5:$AV$64,MATCH($F834,사건마스터!$A$5:$A$64,0)),""))</f>
        <v/>
      </c>
      <c r="Z834" s="30">
        <f>IF(COUNTBLANK($J834:$Y834)=16,"",16-COUNTBLANK($J834:$Y834))</f>
        <v/>
      </c>
      <c r="AA834" s="33">
        <f>IF($J834="",MID($AX834,3,255),$J834&amp;$AX834)</f>
        <v/>
      </c>
      <c r="AB834" s="34">
        <f>IF($J834="","",IFERROR(INDEX(코드설정!$D$5:$D$24,MATCH($J834,코드설정!$C$5:$C$24,0)),""))</f>
        <v/>
      </c>
      <c r="AC834" s="36" t="n"/>
      <c r="AD834" s="37" t="n"/>
      <c r="AE834" s="38" t="n"/>
      <c r="AF834" s="30">
        <f>IF(OR($B834="",$C834=""),"",$C834-$B834+1)</f>
        <v/>
      </c>
      <c r="AG834" s="32" t="n"/>
      <c r="AH834" s="36" t="n"/>
      <c r="AJ834">
        <f>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  <c r="AX834">
        <f>AW834&amp;IF($Y834="","",", "&amp;$Y834)</f>
        <v/>
      </c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0">
        <f>IF($F835="","",COUNTIF($F$5:$F835,$F835))</f>
        <v/>
      </c>
      <c r="H835" s="33">
        <f>IF($F835="","",IFERROR(INDEX(사건마스터!$B$5:$B$64,MATCH($F835,사건마스터!$A$5:$A$64,0)),""))</f>
        <v/>
      </c>
      <c r="I835" s="34">
        <f>IF($F835="","",IFERROR(INDEX(사건마스터!$C$5:$C$64,MATCH($F835,사건마스터!$A$5:$A$64,0)),""))</f>
        <v/>
      </c>
      <c r="J835" s="35">
        <f>IF($F835="","",IFERROR(INDEX(사건마스터!$H$5:$H$64,MATCH($F835,사건마스터!$A$5:$A$64,0)),""))</f>
        <v/>
      </c>
      <c r="K835" s="35">
        <f>IF($F835="","",IFERROR(INDEX(사건마스터!$AH$5:$AH$64,MATCH($F835,사건마스터!$A$5:$A$64,0)),""))</f>
        <v/>
      </c>
      <c r="L835" s="35">
        <f>IF($F835="","",IFERROR(INDEX(사건마스터!$AI$5:$AI$64,MATCH($F835,사건마스터!$A$5:$A$64,0)),""))</f>
        <v/>
      </c>
      <c r="M835" s="35">
        <f>IF($F835="","",IFERROR(INDEX(사건마스터!$AJ$5:$AJ$64,MATCH($F835,사건마스터!$A$5:$A$64,0)),""))</f>
        <v/>
      </c>
      <c r="N835" s="35">
        <f>IF($F835="","",IFERROR(INDEX(사건마스터!$AK$5:$AK$64,MATCH($F835,사건마스터!$A$5:$A$64,0)),""))</f>
        <v/>
      </c>
      <c r="O835" s="35">
        <f>IF($F835="","",IFERROR(INDEX(사건마스터!$AL$5:$AL$64,MATCH($F835,사건마스터!$A$5:$A$64,0)),""))</f>
        <v/>
      </c>
      <c r="P835" s="35">
        <f>IF($F835="","",IFERROR(INDEX(사건마스터!$AM$5:$AM$64,MATCH($F835,사건마스터!$A$5:$A$64,0)),""))</f>
        <v/>
      </c>
      <c r="Q835" s="35">
        <f>IF($F835="","",IFERROR(INDEX(사건마스터!$AN$5:$AN$64,MATCH($F835,사건마스터!$A$5:$A$64,0)),""))</f>
        <v/>
      </c>
      <c r="R835" s="35">
        <f>IF($F835="","",IFERROR(INDEX(사건마스터!$AO$5:$AO$64,MATCH($F835,사건마스터!$A$5:$A$64,0)),""))</f>
        <v/>
      </c>
      <c r="S835" s="35">
        <f>IF($F835="","",IFERROR(INDEX(사건마스터!$AP$5:$AP$64,MATCH($F835,사건마스터!$A$5:$A$64,0)),""))</f>
        <v/>
      </c>
      <c r="T835" s="35">
        <f>IF($F835="","",IFERROR(INDEX(사건마스터!$AQ$5:$AQ$64,MATCH($F835,사건마스터!$A$5:$A$64,0)),""))</f>
        <v/>
      </c>
      <c r="U835" s="35">
        <f>IF($F835="","",IFERROR(INDEX(사건마스터!$AR$5:$AR$64,MATCH($F835,사건마스터!$A$5:$A$64,0)),""))</f>
        <v/>
      </c>
      <c r="V835" s="35">
        <f>IF($F835="","",IFERROR(INDEX(사건마스터!$AS$5:$AS$64,MATCH($F835,사건마스터!$A$5:$A$64,0)),""))</f>
        <v/>
      </c>
      <c r="W835" s="35">
        <f>IF($F835="","",IFERROR(INDEX(사건마스터!$AT$5:$AT$64,MATCH($F835,사건마스터!$A$5:$A$64,0)),""))</f>
        <v/>
      </c>
      <c r="X835" s="35">
        <f>IF($F835="","",IFERROR(INDEX(사건마스터!$AU$5:$AU$64,MATCH($F835,사건마스터!$A$5:$A$64,0)),""))</f>
        <v/>
      </c>
      <c r="Y835" s="35">
        <f>IF($F835="","",IFERROR(INDEX(사건마스터!$AV$5:$AV$64,MATCH($F835,사건마스터!$A$5:$A$64,0)),""))</f>
        <v/>
      </c>
      <c r="Z835" s="30">
        <f>IF(COUNTBLANK($J835:$Y835)=16,"",16-COUNTBLANK($J835:$Y835))</f>
        <v/>
      </c>
      <c r="AA835" s="33">
        <f>IF($J835="",MID($AX835,3,255),$J835&amp;$AX835)</f>
        <v/>
      </c>
      <c r="AB835" s="34">
        <f>IF($J835="","",IFERROR(INDEX(코드설정!$D$5:$D$24,MATCH($J835,코드설정!$C$5:$C$24,0)),""))</f>
        <v/>
      </c>
      <c r="AC835" s="36" t="n"/>
      <c r="AD835" s="37" t="n"/>
      <c r="AE835" s="38" t="n"/>
      <c r="AF835" s="30">
        <f>IF(OR($B835="",$C835=""),"",$C835-$B835+1)</f>
        <v/>
      </c>
      <c r="AG835" s="32" t="n"/>
      <c r="AH835" s="36" t="n"/>
      <c r="AJ835">
        <f>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  <c r="AX835">
        <f>AW835&amp;IF($Y835="","",", "&amp;$Y835)</f>
        <v/>
      </c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0">
        <f>IF($F836="","",COUNTIF($F$5:$F836,$F836))</f>
        <v/>
      </c>
      <c r="H836" s="33">
        <f>IF($F836="","",IFERROR(INDEX(사건마스터!$B$5:$B$64,MATCH($F836,사건마스터!$A$5:$A$64,0)),""))</f>
        <v/>
      </c>
      <c r="I836" s="34">
        <f>IF($F836="","",IFERROR(INDEX(사건마스터!$C$5:$C$64,MATCH($F836,사건마스터!$A$5:$A$64,0)),""))</f>
        <v/>
      </c>
      <c r="J836" s="35">
        <f>IF($F836="","",IFERROR(INDEX(사건마스터!$H$5:$H$64,MATCH($F836,사건마스터!$A$5:$A$64,0)),""))</f>
        <v/>
      </c>
      <c r="K836" s="35">
        <f>IF($F836="","",IFERROR(INDEX(사건마스터!$AH$5:$AH$64,MATCH($F836,사건마스터!$A$5:$A$64,0)),""))</f>
        <v/>
      </c>
      <c r="L836" s="35">
        <f>IF($F836="","",IFERROR(INDEX(사건마스터!$AI$5:$AI$64,MATCH($F836,사건마스터!$A$5:$A$64,0)),""))</f>
        <v/>
      </c>
      <c r="M836" s="35">
        <f>IF($F836="","",IFERROR(INDEX(사건마스터!$AJ$5:$AJ$64,MATCH($F836,사건마스터!$A$5:$A$64,0)),""))</f>
        <v/>
      </c>
      <c r="N836" s="35">
        <f>IF($F836="","",IFERROR(INDEX(사건마스터!$AK$5:$AK$64,MATCH($F836,사건마스터!$A$5:$A$64,0)),""))</f>
        <v/>
      </c>
      <c r="O836" s="35">
        <f>IF($F836="","",IFERROR(INDEX(사건마스터!$AL$5:$AL$64,MATCH($F836,사건마스터!$A$5:$A$64,0)),""))</f>
        <v/>
      </c>
      <c r="P836" s="35">
        <f>IF($F836="","",IFERROR(INDEX(사건마스터!$AM$5:$AM$64,MATCH($F836,사건마스터!$A$5:$A$64,0)),""))</f>
        <v/>
      </c>
      <c r="Q836" s="35">
        <f>IF($F836="","",IFERROR(INDEX(사건마스터!$AN$5:$AN$64,MATCH($F836,사건마스터!$A$5:$A$64,0)),""))</f>
        <v/>
      </c>
      <c r="R836" s="35">
        <f>IF($F836="","",IFERROR(INDEX(사건마스터!$AO$5:$AO$64,MATCH($F836,사건마스터!$A$5:$A$64,0)),""))</f>
        <v/>
      </c>
      <c r="S836" s="35">
        <f>IF($F836="","",IFERROR(INDEX(사건마스터!$AP$5:$AP$64,MATCH($F836,사건마스터!$A$5:$A$64,0)),""))</f>
        <v/>
      </c>
      <c r="T836" s="35">
        <f>IF($F836="","",IFERROR(INDEX(사건마스터!$AQ$5:$AQ$64,MATCH($F836,사건마스터!$A$5:$A$64,0)),""))</f>
        <v/>
      </c>
      <c r="U836" s="35">
        <f>IF($F836="","",IFERROR(INDEX(사건마스터!$AR$5:$AR$64,MATCH($F836,사건마스터!$A$5:$A$64,0)),""))</f>
        <v/>
      </c>
      <c r="V836" s="35">
        <f>IF($F836="","",IFERROR(INDEX(사건마스터!$AS$5:$AS$64,MATCH($F836,사건마스터!$A$5:$A$64,0)),""))</f>
        <v/>
      </c>
      <c r="W836" s="35">
        <f>IF($F836="","",IFERROR(INDEX(사건마스터!$AT$5:$AT$64,MATCH($F836,사건마스터!$A$5:$A$64,0)),""))</f>
        <v/>
      </c>
      <c r="X836" s="35">
        <f>IF($F836="","",IFERROR(INDEX(사건마스터!$AU$5:$AU$64,MATCH($F836,사건마스터!$A$5:$A$64,0)),""))</f>
        <v/>
      </c>
      <c r="Y836" s="35">
        <f>IF($F836="","",IFERROR(INDEX(사건마스터!$AV$5:$AV$64,MATCH($F836,사건마스터!$A$5:$A$64,0)),""))</f>
        <v/>
      </c>
      <c r="Z836" s="30">
        <f>IF(COUNTBLANK($J836:$Y836)=16,"",16-COUNTBLANK($J836:$Y836))</f>
        <v/>
      </c>
      <c r="AA836" s="33">
        <f>IF($J836="",MID($AX836,3,255),$J836&amp;$AX836)</f>
        <v/>
      </c>
      <c r="AB836" s="34">
        <f>IF($J836="","",IFERROR(INDEX(코드설정!$D$5:$D$24,MATCH($J836,코드설정!$C$5:$C$24,0)),""))</f>
        <v/>
      </c>
      <c r="AC836" s="36" t="n"/>
      <c r="AD836" s="37" t="n"/>
      <c r="AE836" s="38" t="n"/>
      <c r="AF836" s="30">
        <f>IF(OR($B836="",$C836=""),"",$C836-$B836+1)</f>
        <v/>
      </c>
      <c r="AG836" s="32" t="n"/>
      <c r="AH836" s="36" t="n"/>
      <c r="AJ836">
        <f>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  <c r="AX836">
        <f>AW836&amp;IF($Y836="","",", "&amp;$Y836)</f>
        <v/>
      </c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0">
        <f>IF($F837="","",COUNTIF($F$5:$F837,$F837))</f>
        <v/>
      </c>
      <c r="H837" s="33">
        <f>IF($F837="","",IFERROR(INDEX(사건마스터!$B$5:$B$64,MATCH($F837,사건마스터!$A$5:$A$64,0)),""))</f>
        <v/>
      </c>
      <c r="I837" s="34">
        <f>IF($F837="","",IFERROR(INDEX(사건마스터!$C$5:$C$64,MATCH($F837,사건마스터!$A$5:$A$64,0)),""))</f>
        <v/>
      </c>
      <c r="J837" s="35">
        <f>IF($F837="","",IFERROR(INDEX(사건마스터!$H$5:$H$64,MATCH($F837,사건마스터!$A$5:$A$64,0)),""))</f>
        <v/>
      </c>
      <c r="K837" s="35">
        <f>IF($F837="","",IFERROR(INDEX(사건마스터!$AH$5:$AH$64,MATCH($F837,사건마스터!$A$5:$A$64,0)),""))</f>
        <v/>
      </c>
      <c r="L837" s="35">
        <f>IF($F837="","",IFERROR(INDEX(사건마스터!$AI$5:$AI$64,MATCH($F837,사건마스터!$A$5:$A$64,0)),""))</f>
        <v/>
      </c>
      <c r="M837" s="35">
        <f>IF($F837="","",IFERROR(INDEX(사건마스터!$AJ$5:$AJ$64,MATCH($F837,사건마스터!$A$5:$A$64,0)),""))</f>
        <v/>
      </c>
      <c r="N837" s="35">
        <f>IF($F837="","",IFERROR(INDEX(사건마스터!$AK$5:$AK$64,MATCH($F837,사건마스터!$A$5:$A$64,0)),""))</f>
        <v/>
      </c>
      <c r="O837" s="35">
        <f>IF($F837="","",IFERROR(INDEX(사건마스터!$AL$5:$AL$64,MATCH($F837,사건마스터!$A$5:$A$64,0)),""))</f>
        <v/>
      </c>
      <c r="P837" s="35">
        <f>IF($F837="","",IFERROR(INDEX(사건마스터!$AM$5:$AM$64,MATCH($F837,사건마스터!$A$5:$A$64,0)),""))</f>
        <v/>
      </c>
      <c r="Q837" s="35">
        <f>IF($F837="","",IFERROR(INDEX(사건마스터!$AN$5:$AN$64,MATCH($F837,사건마스터!$A$5:$A$64,0)),""))</f>
        <v/>
      </c>
      <c r="R837" s="35">
        <f>IF($F837="","",IFERROR(INDEX(사건마스터!$AO$5:$AO$64,MATCH($F837,사건마스터!$A$5:$A$64,0)),""))</f>
        <v/>
      </c>
      <c r="S837" s="35">
        <f>IF($F837="","",IFERROR(INDEX(사건마스터!$AP$5:$AP$64,MATCH($F837,사건마스터!$A$5:$A$64,0)),""))</f>
        <v/>
      </c>
      <c r="T837" s="35">
        <f>IF($F837="","",IFERROR(INDEX(사건마스터!$AQ$5:$AQ$64,MATCH($F837,사건마스터!$A$5:$A$64,0)),""))</f>
        <v/>
      </c>
      <c r="U837" s="35">
        <f>IF($F837="","",IFERROR(INDEX(사건마스터!$AR$5:$AR$64,MATCH($F837,사건마스터!$A$5:$A$64,0)),""))</f>
        <v/>
      </c>
      <c r="V837" s="35">
        <f>IF($F837="","",IFERROR(INDEX(사건마스터!$AS$5:$AS$64,MATCH($F837,사건마스터!$A$5:$A$64,0)),""))</f>
        <v/>
      </c>
      <c r="W837" s="35">
        <f>IF($F837="","",IFERROR(INDEX(사건마스터!$AT$5:$AT$64,MATCH($F837,사건마스터!$A$5:$A$64,0)),""))</f>
        <v/>
      </c>
      <c r="X837" s="35">
        <f>IF($F837="","",IFERROR(INDEX(사건마스터!$AU$5:$AU$64,MATCH($F837,사건마스터!$A$5:$A$64,0)),""))</f>
        <v/>
      </c>
      <c r="Y837" s="35">
        <f>IF($F837="","",IFERROR(INDEX(사건마스터!$AV$5:$AV$64,MATCH($F837,사건마스터!$A$5:$A$64,0)),""))</f>
        <v/>
      </c>
      <c r="Z837" s="30">
        <f>IF(COUNTBLANK($J837:$Y837)=16,"",16-COUNTBLANK($J837:$Y837))</f>
        <v/>
      </c>
      <c r="AA837" s="33">
        <f>IF($J837="",MID($AX837,3,255),$J837&amp;$AX837)</f>
        <v/>
      </c>
      <c r="AB837" s="34">
        <f>IF($J837="","",IFERROR(INDEX(코드설정!$D$5:$D$24,MATCH($J837,코드설정!$C$5:$C$24,0)),""))</f>
        <v/>
      </c>
      <c r="AC837" s="36" t="n"/>
      <c r="AD837" s="37" t="n"/>
      <c r="AE837" s="38" t="n"/>
      <c r="AF837" s="30">
        <f>IF(OR($B837="",$C837=""),"",$C837-$B837+1)</f>
        <v/>
      </c>
      <c r="AG837" s="32" t="n"/>
      <c r="AH837" s="36" t="n"/>
      <c r="AJ837">
        <f>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  <c r="AX837">
        <f>AW837&amp;IF($Y837="","",", "&amp;$Y837)</f>
        <v/>
      </c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0">
        <f>IF($F838="","",COUNTIF($F$5:$F838,$F838))</f>
        <v/>
      </c>
      <c r="H838" s="33">
        <f>IF($F838="","",IFERROR(INDEX(사건마스터!$B$5:$B$64,MATCH($F838,사건마스터!$A$5:$A$64,0)),""))</f>
        <v/>
      </c>
      <c r="I838" s="34">
        <f>IF($F838="","",IFERROR(INDEX(사건마스터!$C$5:$C$64,MATCH($F838,사건마스터!$A$5:$A$64,0)),""))</f>
        <v/>
      </c>
      <c r="J838" s="35">
        <f>IF($F838="","",IFERROR(INDEX(사건마스터!$H$5:$H$64,MATCH($F838,사건마스터!$A$5:$A$64,0)),""))</f>
        <v/>
      </c>
      <c r="K838" s="35">
        <f>IF($F838="","",IFERROR(INDEX(사건마스터!$AH$5:$AH$64,MATCH($F838,사건마스터!$A$5:$A$64,0)),""))</f>
        <v/>
      </c>
      <c r="L838" s="35">
        <f>IF($F838="","",IFERROR(INDEX(사건마스터!$AI$5:$AI$64,MATCH($F838,사건마스터!$A$5:$A$64,0)),""))</f>
        <v/>
      </c>
      <c r="M838" s="35">
        <f>IF($F838="","",IFERROR(INDEX(사건마스터!$AJ$5:$AJ$64,MATCH($F838,사건마스터!$A$5:$A$64,0)),""))</f>
        <v/>
      </c>
      <c r="N838" s="35">
        <f>IF($F838="","",IFERROR(INDEX(사건마스터!$AK$5:$AK$64,MATCH($F838,사건마스터!$A$5:$A$64,0)),""))</f>
        <v/>
      </c>
      <c r="O838" s="35">
        <f>IF($F838="","",IFERROR(INDEX(사건마스터!$AL$5:$AL$64,MATCH($F838,사건마스터!$A$5:$A$64,0)),""))</f>
        <v/>
      </c>
      <c r="P838" s="35">
        <f>IF($F838="","",IFERROR(INDEX(사건마스터!$AM$5:$AM$64,MATCH($F838,사건마스터!$A$5:$A$64,0)),""))</f>
        <v/>
      </c>
      <c r="Q838" s="35">
        <f>IF($F838="","",IFERROR(INDEX(사건마스터!$AN$5:$AN$64,MATCH($F838,사건마스터!$A$5:$A$64,0)),""))</f>
        <v/>
      </c>
      <c r="R838" s="35">
        <f>IF($F838="","",IFERROR(INDEX(사건마스터!$AO$5:$AO$64,MATCH($F838,사건마스터!$A$5:$A$64,0)),""))</f>
        <v/>
      </c>
      <c r="S838" s="35">
        <f>IF($F838="","",IFERROR(INDEX(사건마스터!$AP$5:$AP$64,MATCH($F838,사건마스터!$A$5:$A$64,0)),""))</f>
        <v/>
      </c>
      <c r="T838" s="35">
        <f>IF($F838="","",IFERROR(INDEX(사건마스터!$AQ$5:$AQ$64,MATCH($F838,사건마스터!$A$5:$A$64,0)),""))</f>
        <v/>
      </c>
      <c r="U838" s="35">
        <f>IF($F838="","",IFERROR(INDEX(사건마스터!$AR$5:$AR$64,MATCH($F838,사건마스터!$A$5:$A$64,0)),""))</f>
        <v/>
      </c>
      <c r="V838" s="35">
        <f>IF($F838="","",IFERROR(INDEX(사건마스터!$AS$5:$AS$64,MATCH($F838,사건마스터!$A$5:$A$64,0)),""))</f>
        <v/>
      </c>
      <c r="W838" s="35">
        <f>IF($F838="","",IFERROR(INDEX(사건마스터!$AT$5:$AT$64,MATCH($F838,사건마스터!$A$5:$A$64,0)),""))</f>
        <v/>
      </c>
      <c r="X838" s="35">
        <f>IF($F838="","",IFERROR(INDEX(사건마스터!$AU$5:$AU$64,MATCH($F838,사건마스터!$A$5:$A$64,0)),""))</f>
        <v/>
      </c>
      <c r="Y838" s="35">
        <f>IF($F838="","",IFERROR(INDEX(사건마스터!$AV$5:$AV$64,MATCH($F838,사건마스터!$A$5:$A$64,0)),""))</f>
        <v/>
      </c>
      <c r="Z838" s="30">
        <f>IF(COUNTBLANK($J838:$Y838)=16,"",16-COUNTBLANK($J838:$Y838))</f>
        <v/>
      </c>
      <c r="AA838" s="33">
        <f>IF($J838="",MID($AX838,3,255),$J838&amp;$AX838)</f>
        <v/>
      </c>
      <c r="AB838" s="34">
        <f>IF($J838="","",IFERROR(INDEX(코드설정!$D$5:$D$24,MATCH($J838,코드설정!$C$5:$C$24,0)),""))</f>
        <v/>
      </c>
      <c r="AC838" s="36" t="n"/>
      <c r="AD838" s="37" t="n"/>
      <c r="AE838" s="38" t="n"/>
      <c r="AF838" s="30">
        <f>IF(OR($B838="",$C838=""),"",$C838-$B838+1)</f>
        <v/>
      </c>
      <c r="AG838" s="32" t="n"/>
      <c r="AH838" s="36" t="n"/>
      <c r="AJ838">
        <f>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  <c r="AX838">
        <f>AW838&amp;IF($Y838="","",", "&amp;$Y838)</f>
        <v/>
      </c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0">
        <f>IF($F839="","",COUNTIF($F$5:$F839,$F839))</f>
        <v/>
      </c>
      <c r="H839" s="33">
        <f>IF($F839="","",IFERROR(INDEX(사건마스터!$B$5:$B$64,MATCH($F839,사건마스터!$A$5:$A$64,0)),""))</f>
        <v/>
      </c>
      <c r="I839" s="34">
        <f>IF($F839="","",IFERROR(INDEX(사건마스터!$C$5:$C$64,MATCH($F839,사건마스터!$A$5:$A$64,0)),""))</f>
        <v/>
      </c>
      <c r="J839" s="35">
        <f>IF($F839="","",IFERROR(INDEX(사건마스터!$H$5:$H$64,MATCH($F839,사건마스터!$A$5:$A$64,0)),""))</f>
        <v/>
      </c>
      <c r="K839" s="35">
        <f>IF($F839="","",IFERROR(INDEX(사건마스터!$AH$5:$AH$64,MATCH($F839,사건마스터!$A$5:$A$64,0)),""))</f>
        <v/>
      </c>
      <c r="L839" s="35">
        <f>IF($F839="","",IFERROR(INDEX(사건마스터!$AI$5:$AI$64,MATCH($F839,사건마스터!$A$5:$A$64,0)),""))</f>
        <v/>
      </c>
      <c r="M839" s="35">
        <f>IF($F839="","",IFERROR(INDEX(사건마스터!$AJ$5:$AJ$64,MATCH($F839,사건마스터!$A$5:$A$64,0)),""))</f>
        <v/>
      </c>
      <c r="N839" s="35">
        <f>IF($F839="","",IFERROR(INDEX(사건마스터!$AK$5:$AK$64,MATCH($F839,사건마스터!$A$5:$A$64,0)),""))</f>
        <v/>
      </c>
      <c r="O839" s="35">
        <f>IF($F839="","",IFERROR(INDEX(사건마스터!$AL$5:$AL$64,MATCH($F839,사건마스터!$A$5:$A$64,0)),""))</f>
        <v/>
      </c>
      <c r="P839" s="35">
        <f>IF($F839="","",IFERROR(INDEX(사건마스터!$AM$5:$AM$64,MATCH($F839,사건마스터!$A$5:$A$64,0)),""))</f>
        <v/>
      </c>
      <c r="Q839" s="35">
        <f>IF($F839="","",IFERROR(INDEX(사건마스터!$AN$5:$AN$64,MATCH($F839,사건마스터!$A$5:$A$64,0)),""))</f>
        <v/>
      </c>
      <c r="R839" s="35">
        <f>IF($F839="","",IFERROR(INDEX(사건마스터!$AO$5:$AO$64,MATCH($F839,사건마스터!$A$5:$A$64,0)),""))</f>
        <v/>
      </c>
      <c r="S839" s="35">
        <f>IF($F839="","",IFERROR(INDEX(사건마스터!$AP$5:$AP$64,MATCH($F839,사건마스터!$A$5:$A$64,0)),""))</f>
        <v/>
      </c>
      <c r="T839" s="35">
        <f>IF($F839="","",IFERROR(INDEX(사건마스터!$AQ$5:$AQ$64,MATCH($F839,사건마스터!$A$5:$A$64,0)),""))</f>
        <v/>
      </c>
      <c r="U839" s="35">
        <f>IF($F839="","",IFERROR(INDEX(사건마스터!$AR$5:$AR$64,MATCH($F839,사건마스터!$A$5:$A$64,0)),""))</f>
        <v/>
      </c>
      <c r="V839" s="35">
        <f>IF($F839="","",IFERROR(INDEX(사건마스터!$AS$5:$AS$64,MATCH($F839,사건마스터!$A$5:$A$64,0)),""))</f>
        <v/>
      </c>
      <c r="W839" s="35">
        <f>IF($F839="","",IFERROR(INDEX(사건마스터!$AT$5:$AT$64,MATCH($F839,사건마스터!$A$5:$A$64,0)),""))</f>
        <v/>
      </c>
      <c r="X839" s="35">
        <f>IF($F839="","",IFERROR(INDEX(사건마스터!$AU$5:$AU$64,MATCH($F839,사건마스터!$A$5:$A$64,0)),""))</f>
        <v/>
      </c>
      <c r="Y839" s="35">
        <f>IF($F839="","",IFERROR(INDEX(사건마스터!$AV$5:$AV$64,MATCH($F839,사건마스터!$A$5:$A$64,0)),""))</f>
        <v/>
      </c>
      <c r="Z839" s="30">
        <f>IF(COUNTBLANK($J839:$Y839)=16,"",16-COUNTBLANK($J839:$Y839))</f>
        <v/>
      </c>
      <c r="AA839" s="33">
        <f>IF($J839="",MID($AX839,3,255),$J839&amp;$AX839)</f>
        <v/>
      </c>
      <c r="AB839" s="34">
        <f>IF($J839="","",IFERROR(INDEX(코드설정!$D$5:$D$24,MATCH($J839,코드설정!$C$5:$C$24,0)),""))</f>
        <v/>
      </c>
      <c r="AC839" s="36" t="n"/>
      <c r="AD839" s="37" t="n"/>
      <c r="AE839" s="38" t="n"/>
      <c r="AF839" s="30">
        <f>IF(OR($B839="",$C839=""),"",$C839-$B839+1)</f>
        <v/>
      </c>
      <c r="AG839" s="32" t="n"/>
      <c r="AH839" s="36" t="n"/>
      <c r="AJ839">
        <f>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  <c r="AX839">
        <f>AW839&amp;IF($Y839="","",", "&amp;$Y839)</f>
        <v/>
      </c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0">
        <f>IF($F840="","",COUNTIF($F$5:$F840,$F840))</f>
        <v/>
      </c>
      <c r="H840" s="33">
        <f>IF($F840="","",IFERROR(INDEX(사건마스터!$B$5:$B$64,MATCH($F840,사건마스터!$A$5:$A$64,0)),""))</f>
        <v/>
      </c>
      <c r="I840" s="34">
        <f>IF($F840="","",IFERROR(INDEX(사건마스터!$C$5:$C$64,MATCH($F840,사건마스터!$A$5:$A$64,0)),""))</f>
        <v/>
      </c>
      <c r="J840" s="35">
        <f>IF($F840="","",IFERROR(INDEX(사건마스터!$H$5:$H$64,MATCH($F840,사건마스터!$A$5:$A$64,0)),""))</f>
        <v/>
      </c>
      <c r="K840" s="35">
        <f>IF($F840="","",IFERROR(INDEX(사건마스터!$AH$5:$AH$64,MATCH($F840,사건마스터!$A$5:$A$64,0)),""))</f>
        <v/>
      </c>
      <c r="L840" s="35">
        <f>IF($F840="","",IFERROR(INDEX(사건마스터!$AI$5:$AI$64,MATCH($F840,사건마스터!$A$5:$A$64,0)),""))</f>
        <v/>
      </c>
      <c r="M840" s="35">
        <f>IF($F840="","",IFERROR(INDEX(사건마스터!$AJ$5:$AJ$64,MATCH($F840,사건마스터!$A$5:$A$64,0)),""))</f>
        <v/>
      </c>
      <c r="N840" s="35">
        <f>IF($F840="","",IFERROR(INDEX(사건마스터!$AK$5:$AK$64,MATCH($F840,사건마스터!$A$5:$A$64,0)),""))</f>
        <v/>
      </c>
      <c r="O840" s="35">
        <f>IF($F840="","",IFERROR(INDEX(사건마스터!$AL$5:$AL$64,MATCH($F840,사건마스터!$A$5:$A$64,0)),""))</f>
        <v/>
      </c>
      <c r="P840" s="35">
        <f>IF($F840="","",IFERROR(INDEX(사건마스터!$AM$5:$AM$64,MATCH($F840,사건마스터!$A$5:$A$64,0)),""))</f>
        <v/>
      </c>
      <c r="Q840" s="35">
        <f>IF($F840="","",IFERROR(INDEX(사건마스터!$AN$5:$AN$64,MATCH($F840,사건마스터!$A$5:$A$64,0)),""))</f>
        <v/>
      </c>
      <c r="R840" s="35">
        <f>IF($F840="","",IFERROR(INDEX(사건마스터!$AO$5:$AO$64,MATCH($F840,사건마스터!$A$5:$A$64,0)),""))</f>
        <v/>
      </c>
      <c r="S840" s="35">
        <f>IF($F840="","",IFERROR(INDEX(사건마스터!$AP$5:$AP$64,MATCH($F840,사건마스터!$A$5:$A$64,0)),""))</f>
        <v/>
      </c>
      <c r="T840" s="35">
        <f>IF($F840="","",IFERROR(INDEX(사건마스터!$AQ$5:$AQ$64,MATCH($F840,사건마스터!$A$5:$A$64,0)),""))</f>
        <v/>
      </c>
      <c r="U840" s="35">
        <f>IF($F840="","",IFERROR(INDEX(사건마스터!$AR$5:$AR$64,MATCH($F840,사건마스터!$A$5:$A$64,0)),""))</f>
        <v/>
      </c>
      <c r="V840" s="35">
        <f>IF($F840="","",IFERROR(INDEX(사건마스터!$AS$5:$AS$64,MATCH($F840,사건마스터!$A$5:$A$64,0)),""))</f>
        <v/>
      </c>
      <c r="W840" s="35">
        <f>IF($F840="","",IFERROR(INDEX(사건마스터!$AT$5:$AT$64,MATCH($F840,사건마스터!$A$5:$A$64,0)),""))</f>
        <v/>
      </c>
      <c r="X840" s="35">
        <f>IF($F840="","",IFERROR(INDEX(사건마스터!$AU$5:$AU$64,MATCH($F840,사건마스터!$A$5:$A$64,0)),""))</f>
        <v/>
      </c>
      <c r="Y840" s="35">
        <f>IF($F840="","",IFERROR(INDEX(사건마스터!$AV$5:$AV$64,MATCH($F840,사건마스터!$A$5:$A$64,0)),""))</f>
        <v/>
      </c>
      <c r="Z840" s="30">
        <f>IF(COUNTBLANK($J840:$Y840)=16,"",16-COUNTBLANK($J840:$Y840))</f>
        <v/>
      </c>
      <c r="AA840" s="33">
        <f>IF($J840="",MID($AX840,3,255),$J840&amp;$AX840)</f>
        <v/>
      </c>
      <c r="AB840" s="34">
        <f>IF($J840="","",IFERROR(INDEX(코드설정!$D$5:$D$24,MATCH($J840,코드설정!$C$5:$C$24,0)),""))</f>
        <v/>
      </c>
      <c r="AC840" s="36" t="n"/>
      <c r="AD840" s="37" t="n"/>
      <c r="AE840" s="38" t="n"/>
      <c r="AF840" s="30">
        <f>IF(OR($B840="",$C840=""),"",$C840-$B840+1)</f>
        <v/>
      </c>
      <c r="AG840" s="32" t="n"/>
      <c r="AH840" s="36" t="n"/>
      <c r="AJ840">
        <f>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  <c r="AX840">
        <f>AW840&amp;IF($Y840="","",", "&amp;$Y840)</f>
        <v/>
      </c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0">
        <f>IF($F841="","",COUNTIF($F$5:$F841,$F841))</f>
        <v/>
      </c>
      <c r="H841" s="33">
        <f>IF($F841="","",IFERROR(INDEX(사건마스터!$B$5:$B$64,MATCH($F841,사건마스터!$A$5:$A$64,0)),""))</f>
        <v/>
      </c>
      <c r="I841" s="34">
        <f>IF($F841="","",IFERROR(INDEX(사건마스터!$C$5:$C$64,MATCH($F841,사건마스터!$A$5:$A$64,0)),""))</f>
        <v/>
      </c>
      <c r="J841" s="35">
        <f>IF($F841="","",IFERROR(INDEX(사건마스터!$H$5:$H$64,MATCH($F841,사건마스터!$A$5:$A$64,0)),""))</f>
        <v/>
      </c>
      <c r="K841" s="35">
        <f>IF($F841="","",IFERROR(INDEX(사건마스터!$AH$5:$AH$64,MATCH($F841,사건마스터!$A$5:$A$64,0)),""))</f>
        <v/>
      </c>
      <c r="L841" s="35">
        <f>IF($F841="","",IFERROR(INDEX(사건마스터!$AI$5:$AI$64,MATCH($F841,사건마스터!$A$5:$A$64,0)),""))</f>
        <v/>
      </c>
      <c r="M841" s="35">
        <f>IF($F841="","",IFERROR(INDEX(사건마스터!$AJ$5:$AJ$64,MATCH($F841,사건마스터!$A$5:$A$64,0)),""))</f>
        <v/>
      </c>
      <c r="N841" s="35">
        <f>IF($F841="","",IFERROR(INDEX(사건마스터!$AK$5:$AK$64,MATCH($F841,사건마스터!$A$5:$A$64,0)),""))</f>
        <v/>
      </c>
      <c r="O841" s="35">
        <f>IF($F841="","",IFERROR(INDEX(사건마스터!$AL$5:$AL$64,MATCH($F841,사건마스터!$A$5:$A$64,0)),""))</f>
        <v/>
      </c>
      <c r="P841" s="35">
        <f>IF($F841="","",IFERROR(INDEX(사건마스터!$AM$5:$AM$64,MATCH($F841,사건마스터!$A$5:$A$64,0)),""))</f>
        <v/>
      </c>
      <c r="Q841" s="35">
        <f>IF($F841="","",IFERROR(INDEX(사건마스터!$AN$5:$AN$64,MATCH($F841,사건마스터!$A$5:$A$64,0)),""))</f>
        <v/>
      </c>
      <c r="R841" s="35">
        <f>IF($F841="","",IFERROR(INDEX(사건마스터!$AO$5:$AO$64,MATCH($F841,사건마스터!$A$5:$A$64,0)),""))</f>
        <v/>
      </c>
      <c r="S841" s="35">
        <f>IF($F841="","",IFERROR(INDEX(사건마스터!$AP$5:$AP$64,MATCH($F841,사건마스터!$A$5:$A$64,0)),""))</f>
        <v/>
      </c>
      <c r="T841" s="35">
        <f>IF($F841="","",IFERROR(INDEX(사건마스터!$AQ$5:$AQ$64,MATCH($F841,사건마스터!$A$5:$A$64,0)),""))</f>
        <v/>
      </c>
      <c r="U841" s="35">
        <f>IF($F841="","",IFERROR(INDEX(사건마스터!$AR$5:$AR$64,MATCH($F841,사건마스터!$A$5:$A$64,0)),""))</f>
        <v/>
      </c>
      <c r="V841" s="35">
        <f>IF($F841="","",IFERROR(INDEX(사건마스터!$AS$5:$AS$64,MATCH($F841,사건마스터!$A$5:$A$64,0)),""))</f>
        <v/>
      </c>
      <c r="W841" s="35">
        <f>IF($F841="","",IFERROR(INDEX(사건마스터!$AT$5:$AT$64,MATCH($F841,사건마스터!$A$5:$A$64,0)),""))</f>
        <v/>
      </c>
      <c r="X841" s="35">
        <f>IF($F841="","",IFERROR(INDEX(사건마스터!$AU$5:$AU$64,MATCH($F841,사건마스터!$A$5:$A$64,0)),""))</f>
        <v/>
      </c>
      <c r="Y841" s="35">
        <f>IF($F841="","",IFERROR(INDEX(사건마스터!$AV$5:$AV$64,MATCH($F841,사건마스터!$A$5:$A$64,0)),""))</f>
        <v/>
      </c>
      <c r="Z841" s="30">
        <f>IF(COUNTBLANK($J841:$Y841)=16,"",16-COUNTBLANK($J841:$Y841))</f>
        <v/>
      </c>
      <c r="AA841" s="33">
        <f>IF($J841="",MID($AX841,3,255),$J841&amp;$AX841)</f>
        <v/>
      </c>
      <c r="AB841" s="34">
        <f>IF($J841="","",IFERROR(INDEX(코드설정!$D$5:$D$24,MATCH($J841,코드설정!$C$5:$C$24,0)),""))</f>
        <v/>
      </c>
      <c r="AC841" s="36" t="n"/>
      <c r="AD841" s="37" t="n"/>
      <c r="AE841" s="38" t="n"/>
      <c r="AF841" s="30">
        <f>IF(OR($B841="",$C841=""),"",$C841-$B841+1)</f>
        <v/>
      </c>
      <c r="AG841" s="32" t="n"/>
      <c r="AH841" s="36" t="n"/>
      <c r="AJ841">
        <f>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  <c r="AX841">
        <f>AW841&amp;IF($Y841="","",", "&amp;$Y841)</f>
        <v/>
      </c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0">
        <f>IF($F842="","",COUNTIF($F$5:$F842,$F842))</f>
        <v/>
      </c>
      <c r="H842" s="33">
        <f>IF($F842="","",IFERROR(INDEX(사건마스터!$B$5:$B$64,MATCH($F842,사건마스터!$A$5:$A$64,0)),""))</f>
        <v/>
      </c>
      <c r="I842" s="34">
        <f>IF($F842="","",IFERROR(INDEX(사건마스터!$C$5:$C$64,MATCH($F842,사건마스터!$A$5:$A$64,0)),""))</f>
        <v/>
      </c>
      <c r="J842" s="35">
        <f>IF($F842="","",IFERROR(INDEX(사건마스터!$H$5:$H$64,MATCH($F842,사건마스터!$A$5:$A$64,0)),""))</f>
        <v/>
      </c>
      <c r="K842" s="35">
        <f>IF($F842="","",IFERROR(INDEX(사건마스터!$AH$5:$AH$64,MATCH($F842,사건마스터!$A$5:$A$64,0)),""))</f>
        <v/>
      </c>
      <c r="L842" s="35">
        <f>IF($F842="","",IFERROR(INDEX(사건마스터!$AI$5:$AI$64,MATCH($F842,사건마스터!$A$5:$A$64,0)),""))</f>
        <v/>
      </c>
      <c r="M842" s="35">
        <f>IF($F842="","",IFERROR(INDEX(사건마스터!$AJ$5:$AJ$64,MATCH($F842,사건마스터!$A$5:$A$64,0)),""))</f>
        <v/>
      </c>
      <c r="N842" s="35">
        <f>IF($F842="","",IFERROR(INDEX(사건마스터!$AK$5:$AK$64,MATCH($F842,사건마스터!$A$5:$A$64,0)),""))</f>
        <v/>
      </c>
      <c r="O842" s="35">
        <f>IF($F842="","",IFERROR(INDEX(사건마스터!$AL$5:$AL$64,MATCH($F842,사건마스터!$A$5:$A$64,0)),""))</f>
        <v/>
      </c>
      <c r="P842" s="35">
        <f>IF($F842="","",IFERROR(INDEX(사건마스터!$AM$5:$AM$64,MATCH($F842,사건마스터!$A$5:$A$64,0)),""))</f>
        <v/>
      </c>
      <c r="Q842" s="35">
        <f>IF($F842="","",IFERROR(INDEX(사건마스터!$AN$5:$AN$64,MATCH($F842,사건마스터!$A$5:$A$64,0)),""))</f>
        <v/>
      </c>
      <c r="R842" s="35">
        <f>IF($F842="","",IFERROR(INDEX(사건마스터!$AO$5:$AO$64,MATCH($F842,사건마스터!$A$5:$A$64,0)),""))</f>
        <v/>
      </c>
      <c r="S842" s="35">
        <f>IF($F842="","",IFERROR(INDEX(사건마스터!$AP$5:$AP$64,MATCH($F842,사건마스터!$A$5:$A$64,0)),""))</f>
        <v/>
      </c>
      <c r="T842" s="35">
        <f>IF($F842="","",IFERROR(INDEX(사건마스터!$AQ$5:$AQ$64,MATCH($F842,사건마스터!$A$5:$A$64,0)),""))</f>
        <v/>
      </c>
      <c r="U842" s="35">
        <f>IF($F842="","",IFERROR(INDEX(사건마스터!$AR$5:$AR$64,MATCH($F842,사건마스터!$A$5:$A$64,0)),""))</f>
        <v/>
      </c>
      <c r="V842" s="35">
        <f>IF($F842="","",IFERROR(INDEX(사건마스터!$AS$5:$AS$64,MATCH($F842,사건마스터!$A$5:$A$64,0)),""))</f>
        <v/>
      </c>
      <c r="W842" s="35">
        <f>IF($F842="","",IFERROR(INDEX(사건마스터!$AT$5:$AT$64,MATCH($F842,사건마스터!$A$5:$A$64,0)),""))</f>
        <v/>
      </c>
      <c r="X842" s="35">
        <f>IF($F842="","",IFERROR(INDEX(사건마스터!$AU$5:$AU$64,MATCH($F842,사건마스터!$A$5:$A$64,0)),""))</f>
        <v/>
      </c>
      <c r="Y842" s="35">
        <f>IF($F842="","",IFERROR(INDEX(사건마스터!$AV$5:$AV$64,MATCH($F842,사건마스터!$A$5:$A$64,0)),""))</f>
        <v/>
      </c>
      <c r="Z842" s="30">
        <f>IF(COUNTBLANK($J842:$Y842)=16,"",16-COUNTBLANK($J842:$Y842))</f>
        <v/>
      </c>
      <c r="AA842" s="33">
        <f>IF($J842="",MID($AX842,3,255),$J842&amp;$AX842)</f>
        <v/>
      </c>
      <c r="AB842" s="34">
        <f>IF($J842="","",IFERROR(INDEX(코드설정!$D$5:$D$24,MATCH($J842,코드설정!$C$5:$C$24,0)),""))</f>
        <v/>
      </c>
      <c r="AC842" s="36" t="n"/>
      <c r="AD842" s="37" t="n"/>
      <c r="AE842" s="38" t="n"/>
      <c r="AF842" s="30">
        <f>IF(OR($B842="",$C842=""),"",$C842-$B842+1)</f>
        <v/>
      </c>
      <c r="AG842" s="32" t="n"/>
      <c r="AH842" s="36" t="n"/>
      <c r="AJ842">
        <f>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  <c r="AX842">
        <f>AW842&amp;IF($Y842="","",", "&amp;$Y842)</f>
        <v/>
      </c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0">
        <f>IF($F843="","",COUNTIF($F$5:$F843,$F843))</f>
        <v/>
      </c>
      <c r="H843" s="33">
        <f>IF($F843="","",IFERROR(INDEX(사건마스터!$B$5:$B$64,MATCH($F843,사건마스터!$A$5:$A$64,0)),""))</f>
        <v/>
      </c>
      <c r="I843" s="34">
        <f>IF($F843="","",IFERROR(INDEX(사건마스터!$C$5:$C$64,MATCH($F843,사건마스터!$A$5:$A$64,0)),""))</f>
        <v/>
      </c>
      <c r="J843" s="35">
        <f>IF($F843="","",IFERROR(INDEX(사건마스터!$H$5:$H$64,MATCH($F843,사건마스터!$A$5:$A$64,0)),""))</f>
        <v/>
      </c>
      <c r="K843" s="35">
        <f>IF($F843="","",IFERROR(INDEX(사건마스터!$AH$5:$AH$64,MATCH($F843,사건마스터!$A$5:$A$64,0)),""))</f>
        <v/>
      </c>
      <c r="L843" s="35">
        <f>IF($F843="","",IFERROR(INDEX(사건마스터!$AI$5:$AI$64,MATCH($F843,사건마스터!$A$5:$A$64,0)),""))</f>
        <v/>
      </c>
      <c r="M843" s="35">
        <f>IF($F843="","",IFERROR(INDEX(사건마스터!$AJ$5:$AJ$64,MATCH($F843,사건마스터!$A$5:$A$64,0)),""))</f>
        <v/>
      </c>
      <c r="N843" s="35">
        <f>IF($F843="","",IFERROR(INDEX(사건마스터!$AK$5:$AK$64,MATCH($F843,사건마스터!$A$5:$A$64,0)),""))</f>
        <v/>
      </c>
      <c r="O843" s="35">
        <f>IF($F843="","",IFERROR(INDEX(사건마스터!$AL$5:$AL$64,MATCH($F843,사건마스터!$A$5:$A$64,0)),""))</f>
        <v/>
      </c>
      <c r="P843" s="35">
        <f>IF($F843="","",IFERROR(INDEX(사건마스터!$AM$5:$AM$64,MATCH($F843,사건마스터!$A$5:$A$64,0)),""))</f>
        <v/>
      </c>
      <c r="Q843" s="35">
        <f>IF($F843="","",IFERROR(INDEX(사건마스터!$AN$5:$AN$64,MATCH($F843,사건마스터!$A$5:$A$64,0)),""))</f>
        <v/>
      </c>
      <c r="R843" s="35">
        <f>IF($F843="","",IFERROR(INDEX(사건마스터!$AO$5:$AO$64,MATCH($F843,사건마스터!$A$5:$A$64,0)),""))</f>
        <v/>
      </c>
      <c r="S843" s="35">
        <f>IF($F843="","",IFERROR(INDEX(사건마스터!$AP$5:$AP$64,MATCH($F843,사건마스터!$A$5:$A$64,0)),""))</f>
        <v/>
      </c>
      <c r="T843" s="35">
        <f>IF($F843="","",IFERROR(INDEX(사건마스터!$AQ$5:$AQ$64,MATCH($F843,사건마스터!$A$5:$A$64,0)),""))</f>
        <v/>
      </c>
      <c r="U843" s="35">
        <f>IF($F843="","",IFERROR(INDEX(사건마스터!$AR$5:$AR$64,MATCH($F843,사건마스터!$A$5:$A$64,0)),""))</f>
        <v/>
      </c>
      <c r="V843" s="35">
        <f>IF($F843="","",IFERROR(INDEX(사건마스터!$AS$5:$AS$64,MATCH($F843,사건마스터!$A$5:$A$64,0)),""))</f>
        <v/>
      </c>
      <c r="W843" s="35">
        <f>IF($F843="","",IFERROR(INDEX(사건마스터!$AT$5:$AT$64,MATCH($F843,사건마스터!$A$5:$A$64,0)),""))</f>
        <v/>
      </c>
      <c r="X843" s="35">
        <f>IF($F843="","",IFERROR(INDEX(사건마스터!$AU$5:$AU$64,MATCH($F843,사건마스터!$A$5:$A$64,0)),""))</f>
        <v/>
      </c>
      <c r="Y843" s="35">
        <f>IF($F843="","",IFERROR(INDEX(사건마스터!$AV$5:$AV$64,MATCH($F843,사건마스터!$A$5:$A$64,0)),""))</f>
        <v/>
      </c>
      <c r="Z843" s="30">
        <f>IF(COUNTBLANK($J843:$Y843)=16,"",16-COUNTBLANK($J843:$Y843))</f>
        <v/>
      </c>
      <c r="AA843" s="33">
        <f>IF($J843="",MID($AX843,3,255),$J843&amp;$AX843)</f>
        <v/>
      </c>
      <c r="AB843" s="34">
        <f>IF($J843="","",IFERROR(INDEX(코드설정!$D$5:$D$24,MATCH($J843,코드설정!$C$5:$C$24,0)),""))</f>
        <v/>
      </c>
      <c r="AC843" s="36" t="n"/>
      <c r="AD843" s="37" t="n"/>
      <c r="AE843" s="38" t="n"/>
      <c r="AF843" s="30">
        <f>IF(OR($B843="",$C843=""),"",$C843-$B843+1)</f>
        <v/>
      </c>
      <c r="AG843" s="32" t="n"/>
      <c r="AH843" s="36" t="n"/>
      <c r="AJ843">
        <f>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  <c r="AX843">
        <f>AW843&amp;IF($Y843="","",", "&amp;$Y843)</f>
        <v/>
      </c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0">
        <f>IF($F844="","",COUNTIF($F$5:$F844,$F844))</f>
        <v/>
      </c>
      <c r="H844" s="33">
        <f>IF($F844="","",IFERROR(INDEX(사건마스터!$B$5:$B$64,MATCH($F844,사건마스터!$A$5:$A$64,0)),""))</f>
        <v/>
      </c>
      <c r="I844" s="34">
        <f>IF($F844="","",IFERROR(INDEX(사건마스터!$C$5:$C$64,MATCH($F844,사건마스터!$A$5:$A$64,0)),""))</f>
        <v/>
      </c>
      <c r="J844" s="35">
        <f>IF($F844="","",IFERROR(INDEX(사건마스터!$H$5:$H$64,MATCH($F844,사건마스터!$A$5:$A$64,0)),""))</f>
        <v/>
      </c>
      <c r="K844" s="35">
        <f>IF($F844="","",IFERROR(INDEX(사건마스터!$AH$5:$AH$64,MATCH($F844,사건마스터!$A$5:$A$64,0)),""))</f>
        <v/>
      </c>
      <c r="L844" s="35">
        <f>IF($F844="","",IFERROR(INDEX(사건마스터!$AI$5:$AI$64,MATCH($F844,사건마스터!$A$5:$A$64,0)),""))</f>
        <v/>
      </c>
      <c r="M844" s="35">
        <f>IF($F844="","",IFERROR(INDEX(사건마스터!$AJ$5:$AJ$64,MATCH($F844,사건마스터!$A$5:$A$64,0)),""))</f>
        <v/>
      </c>
      <c r="N844" s="35">
        <f>IF($F844="","",IFERROR(INDEX(사건마스터!$AK$5:$AK$64,MATCH($F844,사건마스터!$A$5:$A$64,0)),""))</f>
        <v/>
      </c>
      <c r="O844" s="35">
        <f>IF($F844="","",IFERROR(INDEX(사건마스터!$AL$5:$AL$64,MATCH($F844,사건마스터!$A$5:$A$64,0)),""))</f>
        <v/>
      </c>
      <c r="P844" s="35">
        <f>IF($F844="","",IFERROR(INDEX(사건마스터!$AM$5:$AM$64,MATCH($F844,사건마스터!$A$5:$A$64,0)),""))</f>
        <v/>
      </c>
      <c r="Q844" s="35">
        <f>IF($F844="","",IFERROR(INDEX(사건마스터!$AN$5:$AN$64,MATCH($F844,사건마스터!$A$5:$A$64,0)),""))</f>
        <v/>
      </c>
      <c r="R844" s="35">
        <f>IF($F844="","",IFERROR(INDEX(사건마스터!$AO$5:$AO$64,MATCH($F844,사건마스터!$A$5:$A$64,0)),""))</f>
        <v/>
      </c>
      <c r="S844" s="35">
        <f>IF($F844="","",IFERROR(INDEX(사건마스터!$AP$5:$AP$64,MATCH($F844,사건마스터!$A$5:$A$64,0)),""))</f>
        <v/>
      </c>
      <c r="T844" s="35">
        <f>IF($F844="","",IFERROR(INDEX(사건마스터!$AQ$5:$AQ$64,MATCH($F844,사건마스터!$A$5:$A$64,0)),""))</f>
        <v/>
      </c>
      <c r="U844" s="35">
        <f>IF($F844="","",IFERROR(INDEX(사건마스터!$AR$5:$AR$64,MATCH($F844,사건마스터!$A$5:$A$64,0)),""))</f>
        <v/>
      </c>
      <c r="V844" s="35">
        <f>IF($F844="","",IFERROR(INDEX(사건마스터!$AS$5:$AS$64,MATCH($F844,사건마스터!$A$5:$A$64,0)),""))</f>
        <v/>
      </c>
      <c r="W844" s="35">
        <f>IF($F844="","",IFERROR(INDEX(사건마스터!$AT$5:$AT$64,MATCH($F844,사건마스터!$A$5:$A$64,0)),""))</f>
        <v/>
      </c>
      <c r="X844" s="35">
        <f>IF($F844="","",IFERROR(INDEX(사건마스터!$AU$5:$AU$64,MATCH($F844,사건마스터!$A$5:$A$64,0)),""))</f>
        <v/>
      </c>
      <c r="Y844" s="35">
        <f>IF($F844="","",IFERROR(INDEX(사건마스터!$AV$5:$AV$64,MATCH($F844,사건마스터!$A$5:$A$64,0)),""))</f>
        <v/>
      </c>
      <c r="Z844" s="30">
        <f>IF(COUNTBLANK($J844:$Y844)=16,"",16-COUNTBLANK($J844:$Y844))</f>
        <v/>
      </c>
      <c r="AA844" s="33">
        <f>IF($J844="",MID($AX844,3,255),$J844&amp;$AX844)</f>
        <v/>
      </c>
      <c r="AB844" s="34">
        <f>IF($J844="","",IFERROR(INDEX(코드설정!$D$5:$D$24,MATCH($J844,코드설정!$C$5:$C$24,0)),""))</f>
        <v/>
      </c>
      <c r="AC844" s="36" t="n"/>
      <c r="AD844" s="37" t="n"/>
      <c r="AE844" s="38" t="n"/>
      <c r="AF844" s="30">
        <f>IF(OR($B844="",$C844=""),"",$C844-$B844+1)</f>
        <v/>
      </c>
      <c r="AG844" s="32" t="n"/>
      <c r="AH844" s="36" t="n"/>
      <c r="AJ844">
        <f>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  <c r="AX844">
        <f>AW844&amp;IF($Y844="","",", "&amp;$Y844)</f>
        <v/>
      </c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0">
        <f>IF($F845="","",COUNTIF($F$5:$F845,$F845))</f>
        <v/>
      </c>
      <c r="H845" s="33">
        <f>IF($F845="","",IFERROR(INDEX(사건마스터!$B$5:$B$64,MATCH($F845,사건마스터!$A$5:$A$64,0)),""))</f>
        <v/>
      </c>
      <c r="I845" s="34">
        <f>IF($F845="","",IFERROR(INDEX(사건마스터!$C$5:$C$64,MATCH($F845,사건마스터!$A$5:$A$64,0)),""))</f>
        <v/>
      </c>
      <c r="J845" s="35">
        <f>IF($F845="","",IFERROR(INDEX(사건마스터!$H$5:$H$64,MATCH($F845,사건마스터!$A$5:$A$64,0)),""))</f>
        <v/>
      </c>
      <c r="K845" s="35">
        <f>IF($F845="","",IFERROR(INDEX(사건마스터!$AH$5:$AH$64,MATCH($F845,사건마스터!$A$5:$A$64,0)),""))</f>
        <v/>
      </c>
      <c r="L845" s="35">
        <f>IF($F845="","",IFERROR(INDEX(사건마스터!$AI$5:$AI$64,MATCH($F845,사건마스터!$A$5:$A$64,0)),""))</f>
        <v/>
      </c>
      <c r="M845" s="35">
        <f>IF($F845="","",IFERROR(INDEX(사건마스터!$AJ$5:$AJ$64,MATCH($F845,사건마스터!$A$5:$A$64,0)),""))</f>
        <v/>
      </c>
      <c r="N845" s="35">
        <f>IF($F845="","",IFERROR(INDEX(사건마스터!$AK$5:$AK$64,MATCH($F845,사건마스터!$A$5:$A$64,0)),""))</f>
        <v/>
      </c>
      <c r="O845" s="35">
        <f>IF($F845="","",IFERROR(INDEX(사건마스터!$AL$5:$AL$64,MATCH($F845,사건마스터!$A$5:$A$64,0)),""))</f>
        <v/>
      </c>
      <c r="P845" s="35">
        <f>IF($F845="","",IFERROR(INDEX(사건마스터!$AM$5:$AM$64,MATCH($F845,사건마스터!$A$5:$A$64,0)),""))</f>
        <v/>
      </c>
      <c r="Q845" s="35">
        <f>IF($F845="","",IFERROR(INDEX(사건마스터!$AN$5:$AN$64,MATCH($F845,사건마스터!$A$5:$A$64,0)),""))</f>
        <v/>
      </c>
      <c r="R845" s="35">
        <f>IF($F845="","",IFERROR(INDEX(사건마스터!$AO$5:$AO$64,MATCH($F845,사건마스터!$A$5:$A$64,0)),""))</f>
        <v/>
      </c>
      <c r="S845" s="35">
        <f>IF($F845="","",IFERROR(INDEX(사건마스터!$AP$5:$AP$64,MATCH($F845,사건마스터!$A$5:$A$64,0)),""))</f>
        <v/>
      </c>
      <c r="T845" s="35">
        <f>IF($F845="","",IFERROR(INDEX(사건마스터!$AQ$5:$AQ$64,MATCH($F845,사건마스터!$A$5:$A$64,0)),""))</f>
        <v/>
      </c>
      <c r="U845" s="35">
        <f>IF($F845="","",IFERROR(INDEX(사건마스터!$AR$5:$AR$64,MATCH($F845,사건마스터!$A$5:$A$64,0)),""))</f>
        <v/>
      </c>
      <c r="V845" s="35">
        <f>IF($F845="","",IFERROR(INDEX(사건마스터!$AS$5:$AS$64,MATCH($F845,사건마스터!$A$5:$A$64,0)),""))</f>
        <v/>
      </c>
      <c r="W845" s="35">
        <f>IF($F845="","",IFERROR(INDEX(사건마스터!$AT$5:$AT$64,MATCH($F845,사건마스터!$A$5:$A$64,0)),""))</f>
        <v/>
      </c>
      <c r="X845" s="35">
        <f>IF($F845="","",IFERROR(INDEX(사건마스터!$AU$5:$AU$64,MATCH($F845,사건마스터!$A$5:$A$64,0)),""))</f>
        <v/>
      </c>
      <c r="Y845" s="35">
        <f>IF($F845="","",IFERROR(INDEX(사건마스터!$AV$5:$AV$64,MATCH($F845,사건마스터!$A$5:$A$64,0)),""))</f>
        <v/>
      </c>
      <c r="Z845" s="30">
        <f>IF(COUNTBLANK($J845:$Y845)=16,"",16-COUNTBLANK($J845:$Y845))</f>
        <v/>
      </c>
      <c r="AA845" s="33">
        <f>IF($J845="",MID($AX845,3,255),$J845&amp;$AX845)</f>
        <v/>
      </c>
      <c r="AB845" s="34">
        <f>IF($J845="","",IFERROR(INDEX(코드설정!$D$5:$D$24,MATCH($J845,코드설정!$C$5:$C$24,0)),""))</f>
        <v/>
      </c>
      <c r="AC845" s="36" t="n"/>
      <c r="AD845" s="37" t="n"/>
      <c r="AE845" s="38" t="n"/>
      <c r="AF845" s="30">
        <f>IF(OR($B845="",$C845=""),"",$C845-$B845+1)</f>
        <v/>
      </c>
      <c r="AG845" s="32" t="n"/>
      <c r="AH845" s="36" t="n"/>
      <c r="AJ845">
        <f>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  <c r="AX845">
        <f>AW845&amp;IF($Y845="","",", "&amp;$Y845)</f>
        <v/>
      </c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0">
        <f>IF($F846="","",COUNTIF($F$5:$F846,$F846))</f>
        <v/>
      </c>
      <c r="H846" s="33">
        <f>IF($F846="","",IFERROR(INDEX(사건마스터!$B$5:$B$64,MATCH($F846,사건마스터!$A$5:$A$64,0)),""))</f>
        <v/>
      </c>
      <c r="I846" s="34">
        <f>IF($F846="","",IFERROR(INDEX(사건마스터!$C$5:$C$64,MATCH($F846,사건마스터!$A$5:$A$64,0)),""))</f>
        <v/>
      </c>
      <c r="J846" s="35">
        <f>IF($F846="","",IFERROR(INDEX(사건마스터!$H$5:$H$64,MATCH($F846,사건마스터!$A$5:$A$64,0)),""))</f>
        <v/>
      </c>
      <c r="K846" s="35">
        <f>IF($F846="","",IFERROR(INDEX(사건마스터!$AH$5:$AH$64,MATCH($F846,사건마스터!$A$5:$A$64,0)),""))</f>
        <v/>
      </c>
      <c r="L846" s="35">
        <f>IF($F846="","",IFERROR(INDEX(사건마스터!$AI$5:$AI$64,MATCH($F846,사건마스터!$A$5:$A$64,0)),""))</f>
        <v/>
      </c>
      <c r="M846" s="35">
        <f>IF($F846="","",IFERROR(INDEX(사건마스터!$AJ$5:$AJ$64,MATCH($F846,사건마스터!$A$5:$A$64,0)),""))</f>
        <v/>
      </c>
      <c r="N846" s="35">
        <f>IF($F846="","",IFERROR(INDEX(사건마스터!$AK$5:$AK$64,MATCH($F846,사건마스터!$A$5:$A$64,0)),""))</f>
        <v/>
      </c>
      <c r="O846" s="35">
        <f>IF($F846="","",IFERROR(INDEX(사건마스터!$AL$5:$AL$64,MATCH($F846,사건마스터!$A$5:$A$64,0)),""))</f>
        <v/>
      </c>
      <c r="P846" s="35">
        <f>IF($F846="","",IFERROR(INDEX(사건마스터!$AM$5:$AM$64,MATCH($F846,사건마스터!$A$5:$A$64,0)),""))</f>
        <v/>
      </c>
      <c r="Q846" s="35">
        <f>IF($F846="","",IFERROR(INDEX(사건마스터!$AN$5:$AN$64,MATCH($F846,사건마스터!$A$5:$A$64,0)),""))</f>
        <v/>
      </c>
      <c r="R846" s="35">
        <f>IF($F846="","",IFERROR(INDEX(사건마스터!$AO$5:$AO$64,MATCH($F846,사건마스터!$A$5:$A$64,0)),""))</f>
        <v/>
      </c>
      <c r="S846" s="35">
        <f>IF($F846="","",IFERROR(INDEX(사건마스터!$AP$5:$AP$64,MATCH($F846,사건마스터!$A$5:$A$64,0)),""))</f>
        <v/>
      </c>
      <c r="T846" s="35">
        <f>IF($F846="","",IFERROR(INDEX(사건마스터!$AQ$5:$AQ$64,MATCH($F846,사건마스터!$A$5:$A$64,0)),""))</f>
        <v/>
      </c>
      <c r="U846" s="35">
        <f>IF($F846="","",IFERROR(INDEX(사건마스터!$AR$5:$AR$64,MATCH($F846,사건마스터!$A$5:$A$64,0)),""))</f>
        <v/>
      </c>
      <c r="V846" s="35">
        <f>IF($F846="","",IFERROR(INDEX(사건마스터!$AS$5:$AS$64,MATCH($F846,사건마스터!$A$5:$A$64,0)),""))</f>
        <v/>
      </c>
      <c r="W846" s="35">
        <f>IF($F846="","",IFERROR(INDEX(사건마스터!$AT$5:$AT$64,MATCH($F846,사건마스터!$A$5:$A$64,0)),""))</f>
        <v/>
      </c>
      <c r="X846" s="35">
        <f>IF($F846="","",IFERROR(INDEX(사건마스터!$AU$5:$AU$64,MATCH($F846,사건마스터!$A$5:$A$64,0)),""))</f>
        <v/>
      </c>
      <c r="Y846" s="35">
        <f>IF($F846="","",IFERROR(INDEX(사건마스터!$AV$5:$AV$64,MATCH($F846,사건마스터!$A$5:$A$64,0)),""))</f>
        <v/>
      </c>
      <c r="Z846" s="30">
        <f>IF(COUNTBLANK($J846:$Y846)=16,"",16-COUNTBLANK($J846:$Y846))</f>
        <v/>
      </c>
      <c r="AA846" s="33">
        <f>IF($J846="",MID($AX846,3,255),$J846&amp;$AX846)</f>
        <v/>
      </c>
      <c r="AB846" s="34">
        <f>IF($J846="","",IFERROR(INDEX(코드설정!$D$5:$D$24,MATCH($J846,코드설정!$C$5:$C$24,0)),""))</f>
        <v/>
      </c>
      <c r="AC846" s="36" t="n"/>
      <c r="AD846" s="37" t="n"/>
      <c r="AE846" s="38" t="n"/>
      <c r="AF846" s="30">
        <f>IF(OR($B846="",$C846=""),"",$C846-$B846+1)</f>
        <v/>
      </c>
      <c r="AG846" s="32" t="n"/>
      <c r="AH846" s="36" t="n"/>
      <c r="AJ846">
        <f>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  <c r="AX846">
        <f>AW846&amp;IF($Y846="","",", "&amp;$Y846)</f>
        <v/>
      </c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0">
        <f>IF($F847="","",COUNTIF($F$5:$F847,$F847))</f>
        <v/>
      </c>
      <c r="H847" s="33">
        <f>IF($F847="","",IFERROR(INDEX(사건마스터!$B$5:$B$64,MATCH($F847,사건마스터!$A$5:$A$64,0)),""))</f>
        <v/>
      </c>
      <c r="I847" s="34">
        <f>IF($F847="","",IFERROR(INDEX(사건마스터!$C$5:$C$64,MATCH($F847,사건마스터!$A$5:$A$64,0)),""))</f>
        <v/>
      </c>
      <c r="J847" s="35">
        <f>IF($F847="","",IFERROR(INDEX(사건마스터!$H$5:$H$64,MATCH($F847,사건마스터!$A$5:$A$64,0)),""))</f>
        <v/>
      </c>
      <c r="K847" s="35">
        <f>IF($F847="","",IFERROR(INDEX(사건마스터!$AH$5:$AH$64,MATCH($F847,사건마스터!$A$5:$A$64,0)),""))</f>
        <v/>
      </c>
      <c r="L847" s="35">
        <f>IF($F847="","",IFERROR(INDEX(사건마스터!$AI$5:$AI$64,MATCH($F847,사건마스터!$A$5:$A$64,0)),""))</f>
        <v/>
      </c>
      <c r="M847" s="35">
        <f>IF($F847="","",IFERROR(INDEX(사건마스터!$AJ$5:$AJ$64,MATCH($F847,사건마스터!$A$5:$A$64,0)),""))</f>
        <v/>
      </c>
      <c r="N847" s="35">
        <f>IF($F847="","",IFERROR(INDEX(사건마스터!$AK$5:$AK$64,MATCH($F847,사건마스터!$A$5:$A$64,0)),""))</f>
        <v/>
      </c>
      <c r="O847" s="35">
        <f>IF($F847="","",IFERROR(INDEX(사건마스터!$AL$5:$AL$64,MATCH($F847,사건마스터!$A$5:$A$64,0)),""))</f>
        <v/>
      </c>
      <c r="P847" s="35">
        <f>IF($F847="","",IFERROR(INDEX(사건마스터!$AM$5:$AM$64,MATCH($F847,사건마스터!$A$5:$A$64,0)),""))</f>
        <v/>
      </c>
      <c r="Q847" s="35">
        <f>IF($F847="","",IFERROR(INDEX(사건마스터!$AN$5:$AN$64,MATCH($F847,사건마스터!$A$5:$A$64,0)),""))</f>
        <v/>
      </c>
      <c r="R847" s="35">
        <f>IF($F847="","",IFERROR(INDEX(사건마스터!$AO$5:$AO$64,MATCH($F847,사건마스터!$A$5:$A$64,0)),""))</f>
        <v/>
      </c>
      <c r="S847" s="35">
        <f>IF($F847="","",IFERROR(INDEX(사건마스터!$AP$5:$AP$64,MATCH($F847,사건마스터!$A$5:$A$64,0)),""))</f>
        <v/>
      </c>
      <c r="T847" s="35">
        <f>IF($F847="","",IFERROR(INDEX(사건마스터!$AQ$5:$AQ$64,MATCH($F847,사건마스터!$A$5:$A$64,0)),""))</f>
        <v/>
      </c>
      <c r="U847" s="35">
        <f>IF($F847="","",IFERROR(INDEX(사건마스터!$AR$5:$AR$64,MATCH($F847,사건마스터!$A$5:$A$64,0)),""))</f>
        <v/>
      </c>
      <c r="V847" s="35">
        <f>IF($F847="","",IFERROR(INDEX(사건마스터!$AS$5:$AS$64,MATCH($F847,사건마스터!$A$5:$A$64,0)),""))</f>
        <v/>
      </c>
      <c r="W847" s="35">
        <f>IF($F847="","",IFERROR(INDEX(사건마스터!$AT$5:$AT$64,MATCH($F847,사건마스터!$A$5:$A$64,0)),""))</f>
        <v/>
      </c>
      <c r="X847" s="35">
        <f>IF($F847="","",IFERROR(INDEX(사건마스터!$AU$5:$AU$64,MATCH($F847,사건마스터!$A$5:$A$64,0)),""))</f>
        <v/>
      </c>
      <c r="Y847" s="35">
        <f>IF($F847="","",IFERROR(INDEX(사건마스터!$AV$5:$AV$64,MATCH($F847,사건마스터!$A$5:$A$64,0)),""))</f>
        <v/>
      </c>
      <c r="Z847" s="30">
        <f>IF(COUNTBLANK($J847:$Y847)=16,"",16-COUNTBLANK($J847:$Y847))</f>
        <v/>
      </c>
      <c r="AA847" s="33">
        <f>IF($J847="",MID($AX847,3,255),$J847&amp;$AX847)</f>
        <v/>
      </c>
      <c r="AB847" s="34">
        <f>IF($J847="","",IFERROR(INDEX(코드설정!$D$5:$D$24,MATCH($J847,코드설정!$C$5:$C$24,0)),""))</f>
        <v/>
      </c>
      <c r="AC847" s="36" t="n"/>
      <c r="AD847" s="37" t="n"/>
      <c r="AE847" s="38" t="n"/>
      <c r="AF847" s="30">
        <f>IF(OR($B847="",$C847=""),"",$C847-$B847+1)</f>
        <v/>
      </c>
      <c r="AG847" s="32" t="n"/>
      <c r="AH847" s="36" t="n"/>
      <c r="AJ847">
        <f>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  <c r="AX847">
        <f>AW847&amp;IF($Y847="","",", "&amp;$Y847)</f>
        <v/>
      </c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0">
        <f>IF($F848="","",COUNTIF($F$5:$F848,$F848))</f>
        <v/>
      </c>
      <c r="H848" s="33">
        <f>IF($F848="","",IFERROR(INDEX(사건마스터!$B$5:$B$64,MATCH($F848,사건마스터!$A$5:$A$64,0)),""))</f>
        <v/>
      </c>
      <c r="I848" s="34">
        <f>IF($F848="","",IFERROR(INDEX(사건마스터!$C$5:$C$64,MATCH($F848,사건마스터!$A$5:$A$64,0)),""))</f>
        <v/>
      </c>
      <c r="J848" s="35">
        <f>IF($F848="","",IFERROR(INDEX(사건마스터!$H$5:$H$64,MATCH($F848,사건마스터!$A$5:$A$64,0)),""))</f>
        <v/>
      </c>
      <c r="K848" s="35">
        <f>IF($F848="","",IFERROR(INDEX(사건마스터!$AH$5:$AH$64,MATCH($F848,사건마스터!$A$5:$A$64,0)),""))</f>
        <v/>
      </c>
      <c r="L848" s="35">
        <f>IF($F848="","",IFERROR(INDEX(사건마스터!$AI$5:$AI$64,MATCH($F848,사건마스터!$A$5:$A$64,0)),""))</f>
        <v/>
      </c>
      <c r="M848" s="35">
        <f>IF($F848="","",IFERROR(INDEX(사건마스터!$AJ$5:$AJ$64,MATCH($F848,사건마스터!$A$5:$A$64,0)),""))</f>
        <v/>
      </c>
      <c r="N848" s="35">
        <f>IF($F848="","",IFERROR(INDEX(사건마스터!$AK$5:$AK$64,MATCH($F848,사건마스터!$A$5:$A$64,0)),""))</f>
        <v/>
      </c>
      <c r="O848" s="35">
        <f>IF($F848="","",IFERROR(INDEX(사건마스터!$AL$5:$AL$64,MATCH($F848,사건마스터!$A$5:$A$64,0)),""))</f>
        <v/>
      </c>
      <c r="P848" s="35">
        <f>IF($F848="","",IFERROR(INDEX(사건마스터!$AM$5:$AM$64,MATCH($F848,사건마스터!$A$5:$A$64,0)),""))</f>
        <v/>
      </c>
      <c r="Q848" s="35">
        <f>IF($F848="","",IFERROR(INDEX(사건마스터!$AN$5:$AN$64,MATCH($F848,사건마스터!$A$5:$A$64,0)),""))</f>
        <v/>
      </c>
      <c r="R848" s="35">
        <f>IF($F848="","",IFERROR(INDEX(사건마스터!$AO$5:$AO$64,MATCH($F848,사건마스터!$A$5:$A$64,0)),""))</f>
        <v/>
      </c>
      <c r="S848" s="35">
        <f>IF($F848="","",IFERROR(INDEX(사건마스터!$AP$5:$AP$64,MATCH($F848,사건마스터!$A$5:$A$64,0)),""))</f>
        <v/>
      </c>
      <c r="T848" s="35">
        <f>IF($F848="","",IFERROR(INDEX(사건마스터!$AQ$5:$AQ$64,MATCH($F848,사건마스터!$A$5:$A$64,0)),""))</f>
        <v/>
      </c>
      <c r="U848" s="35">
        <f>IF($F848="","",IFERROR(INDEX(사건마스터!$AR$5:$AR$64,MATCH($F848,사건마스터!$A$5:$A$64,0)),""))</f>
        <v/>
      </c>
      <c r="V848" s="35">
        <f>IF($F848="","",IFERROR(INDEX(사건마스터!$AS$5:$AS$64,MATCH($F848,사건마스터!$A$5:$A$64,0)),""))</f>
        <v/>
      </c>
      <c r="W848" s="35">
        <f>IF($F848="","",IFERROR(INDEX(사건마스터!$AT$5:$AT$64,MATCH($F848,사건마스터!$A$5:$A$64,0)),""))</f>
        <v/>
      </c>
      <c r="X848" s="35">
        <f>IF($F848="","",IFERROR(INDEX(사건마스터!$AU$5:$AU$64,MATCH($F848,사건마스터!$A$5:$A$64,0)),""))</f>
        <v/>
      </c>
      <c r="Y848" s="35">
        <f>IF($F848="","",IFERROR(INDEX(사건마스터!$AV$5:$AV$64,MATCH($F848,사건마스터!$A$5:$A$64,0)),""))</f>
        <v/>
      </c>
      <c r="Z848" s="30">
        <f>IF(COUNTBLANK($J848:$Y848)=16,"",16-COUNTBLANK($J848:$Y848))</f>
        <v/>
      </c>
      <c r="AA848" s="33">
        <f>IF($J848="",MID($AX848,3,255),$J848&amp;$AX848)</f>
        <v/>
      </c>
      <c r="AB848" s="34">
        <f>IF($J848="","",IFERROR(INDEX(코드설정!$D$5:$D$24,MATCH($J848,코드설정!$C$5:$C$24,0)),""))</f>
        <v/>
      </c>
      <c r="AC848" s="36" t="n"/>
      <c r="AD848" s="37" t="n"/>
      <c r="AE848" s="38" t="n"/>
      <c r="AF848" s="30">
        <f>IF(OR($B848="",$C848=""),"",$C848-$B848+1)</f>
        <v/>
      </c>
      <c r="AG848" s="32" t="n"/>
      <c r="AH848" s="36" t="n"/>
      <c r="AJ848">
        <f>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  <c r="AX848">
        <f>AW848&amp;IF($Y848="","",", "&amp;$Y848)</f>
        <v/>
      </c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0">
        <f>IF($F849="","",COUNTIF($F$5:$F849,$F849))</f>
        <v/>
      </c>
      <c r="H849" s="33">
        <f>IF($F849="","",IFERROR(INDEX(사건마스터!$B$5:$B$64,MATCH($F849,사건마스터!$A$5:$A$64,0)),""))</f>
        <v/>
      </c>
      <c r="I849" s="34">
        <f>IF($F849="","",IFERROR(INDEX(사건마스터!$C$5:$C$64,MATCH($F849,사건마스터!$A$5:$A$64,0)),""))</f>
        <v/>
      </c>
      <c r="J849" s="35">
        <f>IF($F849="","",IFERROR(INDEX(사건마스터!$H$5:$H$64,MATCH($F849,사건마스터!$A$5:$A$64,0)),""))</f>
        <v/>
      </c>
      <c r="K849" s="35">
        <f>IF($F849="","",IFERROR(INDEX(사건마스터!$AH$5:$AH$64,MATCH($F849,사건마스터!$A$5:$A$64,0)),""))</f>
        <v/>
      </c>
      <c r="L849" s="35">
        <f>IF($F849="","",IFERROR(INDEX(사건마스터!$AI$5:$AI$64,MATCH($F849,사건마스터!$A$5:$A$64,0)),""))</f>
        <v/>
      </c>
      <c r="M849" s="35">
        <f>IF($F849="","",IFERROR(INDEX(사건마스터!$AJ$5:$AJ$64,MATCH($F849,사건마스터!$A$5:$A$64,0)),""))</f>
        <v/>
      </c>
      <c r="N849" s="35">
        <f>IF($F849="","",IFERROR(INDEX(사건마스터!$AK$5:$AK$64,MATCH($F849,사건마스터!$A$5:$A$64,0)),""))</f>
        <v/>
      </c>
      <c r="O849" s="35">
        <f>IF($F849="","",IFERROR(INDEX(사건마스터!$AL$5:$AL$64,MATCH($F849,사건마스터!$A$5:$A$64,0)),""))</f>
        <v/>
      </c>
      <c r="P849" s="35">
        <f>IF($F849="","",IFERROR(INDEX(사건마스터!$AM$5:$AM$64,MATCH($F849,사건마스터!$A$5:$A$64,0)),""))</f>
        <v/>
      </c>
      <c r="Q849" s="35">
        <f>IF($F849="","",IFERROR(INDEX(사건마스터!$AN$5:$AN$64,MATCH($F849,사건마스터!$A$5:$A$64,0)),""))</f>
        <v/>
      </c>
      <c r="R849" s="35">
        <f>IF($F849="","",IFERROR(INDEX(사건마스터!$AO$5:$AO$64,MATCH($F849,사건마스터!$A$5:$A$64,0)),""))</f>
        <v/>
      </c>
      <c r="S849" s="35">
        <f>IF($F849="","",IFERROR(INDEX(사건마스터!$AP$5:$AP$64,MATCH($F849,사건마스터!$A$5:$A$64,0)),""))</f>
        <v/>
      </c>
      <c r="T849" s="35">
        <f>IF($F849="","",IFERROR(INDEX(사건마스터!$AQ$5:$AQ$64,MATCH($F849,사건마스터!$A$5:$A$64,0)),""))</f>
        <v/>
      </c>
      <c r="U849" s="35">
        <f>IF($F849="","",IFERROR(INDEX(사건마스터!$AR$5:$AR$64,MATCH($F849,사건마스터!$A$5:$A$64,0)),""))</f>
        <v/>
      </c>
      <c r="V849" s="35">
        <f>IF($F849="","",IFERROR(INDEX(사건마스터!$AS$5:$AS$64,MATCH($F849,사건마스터!$A$5:$A$64,0)),""))</f>
        <v/>
      </c>
      <c r="W849" s="35">
        <f>IF($F849="","",IFERROR(INDEX(사건마스터!$AT$5:$AT$64,MATCH($F849,사건마스터!$A$5:$A$64,0)),""))</f>
        <v/>
      </c>
      <c r="X849" s="35">
        <f>IF($F849="","",IFERROR(INDEX(사건마스터!$AU$5:$AU$64,MATCH($F849,사건마스터!$A$5:$A$64,0)),""))</f>
        <v/>
      </c>
      <c r="Y849" s="35">
        <f>IF($F849="","",IFERROR(INDEX(사건마스터!$AV$5:$AV$64,MATCH($F849,사건마스터!$A$5:$A$64,0)),""))</f>
        <v/>
      </c>
      <c r="Z849" s="30">
        <f>IF(COUNTBLANK($J849:$Y849)=16,"",16-COUNTBLANK($J849:$Y849))</f>
        <v/>
      </c>
      <c r="AA849" s="33">
        <f>IF($J849="",MID($AX849,3,255),$J849&amp;$AX849)</f>
        <v/>
      </c>
      <c r="AB849" s="34">
        <f>IF($J849="","",IFERROR(INDEX(코드설정!$D$5:$D$24,MATCH($J849,코드설정!$C$5:$C$24,0)),""))</f>
        <v/>
      </c>
      <c r="AC849" s="36" t="n"/>
      <c r="AD849" s="37" t="n"/>
      <c r="AE849" s="38" t="n"/>
      <c r="AF849" s="30">
        <f>IF(OR($B849="",$C849=""),"",$C849-$B849+1)</f>
        <v/>
      </c>
      <c r="AG849" s="32" t="n"/>
      <c r="AH849" s="36" t="n"/>
      <c r="AJ849">
        <f>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  <c r="AX849">
        <f>AW849&amp;IF($Y849="","",", "&amp;$Y849)</f>
        <v/>
      </c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0">
        <f>IF($F850="","",COUNTIF($F$5:$F850,$F850))</f>
        <v/>
      </c>
      <c r="H850" s="33">
        <f>IF($F850="","",IFERROR(INDEX(사건마스터!$B$5:$B$64,MATCH($F850,사건마스터!$A$5:$A$64,0)),""))</f>
        <v/>
      </c>
      <c r="I850" s="34">
        <f>IF($F850="","",IFERROR(INDEX(사건마스터!$C$5:$C$64,MATCH($F850,사건마스터!$A$5:$A$64,0)),""))</f>
        <v/>
      </c>
      <c r="J850" s="35">
        <f>IF($F850="","",IFERROR(INDEX(사건마스터!$H$5:$H$64,MATCH($F850,사건마스터!$A$5:$A$64,0)),""))</f>
        <v/>
      </c>
      <c r="K850" s="35">
        <f>IF($F850="","",IFERROR(INDEX(사건마스터!$AH$5:$AH$64,MATCH($F850,사건마스터!$A$5:$A$64,0)),""))</f>
        <v/>
      </c>
      <c r="L850" s="35">
        <f>IF($F850="","",IFERROR(INDEX(사건마스터!$AI$5:$AI$64,MATCH($F850,사건마스터!$A$5:$A$64,0)),""))</f>
        <v/>
      </c>
      <c r="M850" s="35">
        <f>IF($F850="","",IFERROR(INDEX(사건마스터!$AJ$5:$AJ$64,MATCH($F850,사건마스터!$A$5:$A$64,0)),""))</f>
        <v/>
      </c>
      <c r="N850" s="35">
        <f>IF($F850="","",IFERROR(INDEX(사건마스터!$AK$5:$AK$64,MATCH($F850,사건마스터!$A$5:$A$64,0)),""))</f>
        <v/>
      </c>
      <c r="O850" s="35">
        <f>IF($F850="","",IFERROR(INDEX(사건마스터!$AL$5:$AL$64,MATCH($F850,사건마스터!$A$5:$A$64,0)),""))</f>
        <v/>
      </c>
      <c r="P850" s="35">
        <f>IF($F850="","",IFERROR(INDEX(사건마스터!$AM$5:$AM$64,MATCH($F850,사건마스터!$A$5:$A$64,0)),""))</f>
        <v/>
      </c>
      <c r="Q850" s="35">
        <f>IF($F850="","",IFERROR(INDEX(사건마스터!$AN$5:$AN$64,MATCH($F850,사건마스터!$A$5:$A$64,0)),""))</f>
        <v/>
      </c>
      <c r="R850" s="35">
        <f>IF($F850="","",IFERROR(INDEX(사건마스터!$AO$5:$AO$64,MATCH($F850,사건마스터!$A$5:$A$64,0)),""))</f>
        <v/>
      </c>
      <c r="S850" s="35">
        <f>IF($F850="","",IFERROR(INDEX(사건마스터!$AP$5:$AP$64,MATCH($F850,사건마스터!$A$5:$A$64,0)),""))</f>
        <v/>
      </c>
      <c r="T850" s="35">
        <f>IF($F850="","",IFERROR(INDEX(사건마스터!$AQ$5:$AQ$64,MATCH($F850,사건마스터!$A$5:$A$64,0)),""))</f>
        <v/>
      </c>
      <c r="U850" s="35">
        <f>IF($F850="","",IFERROR(INDEX(사건마스터!$AR$5:$AR$64,MATCH($F850,사건마스터!$A$5:$A$64,0)),""))</f>
        <v/>
      </c>
      <c r="V850" s="35">
        <f>IF($F850="","",IFERROR(INDEX(사건마스터!$AS$5:$AS$64,MATCH($F850,사건마스터!$A$5:$A$64,0)),""))</f>
        <v/>
      </c>
      <c r="W850" s="35">
        <f>IF($F850="","",IFERROR(INDEX(사건마스터!$AT$5:$AT$64,MATCH($F850,사건마스터!$A$5:$A$64,0)),""))</f>
        <v/>
      </c>
      <c r="X850" s="35">
        <f>IF($F850="","",IFERROR(INDEX(사건마스터!$AU$5:$AU$64,MATCH($F850,사건마스터!$A$5:$A$64,0)),""))</f>
        <v/>
      </c>
      <c r="Y850" s="35">
        <f>IF($F850="","",IFERROR(INDEX(사건마스터!$AV$5:$AV$64,MATCH($F850,사건마스터!$A$5:$A$64,0)),""))</f>
        <v/>
      </c>
      <c r="Z850" s="30">
        <f>IF(COUNTBLANK($J850:$Y850)=16,"",16-COUNTBLANK($J850:$Y850))</f>
        <v/>
      </c>
      <c r="AA850" s="33">
        <f>IF($J850="",MID($AX850,3,255),$J850&amp;$AX850)</f>
        <v/>
      </c>
      <c r="AB850" s="34">
        <f>IF($J850="","",IFERROR(INDEX(코드설정!$D$5:$D$24,MATCH($J850,코드설정!$C$5:$C$24,0)),""))</f>
        <v/>
      </c>
      <c r="AC850" s="36" t="n"/>
      <c r="AD850" s="37" t="n"/>
      <c r="AE850" s="38" t="n"/>
      <c r="AF850" s="30">
        <f>IF(OR($B850="",$C850=""),"",$C850-$B850+1)</f>
        <v/>
      </c>
      <c r="AG850" s="32" t="n"/>
      <c r="AH850" s="36" t="n"/>
      <c r="AJ850">
        <f>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  <c r="AX850">
        <f>AW850&amp;IF($Y850="","",", "&amp;$Y850)</f>
        <v/>
      </c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0">
        <f>IF($F851="","",COUNTIF($F$5:$F851,$F851))</f>
        <v/>
      </c>
      <c r="H851" s="33">
        <f>IF($F851="","",IFERROR(INDEX(사건마스터!$B$5:$B$64,MATCH($F851,사건마스터!$A$5:$A$64,0)),""))</f>
        <v/>
      </c>
      <c r="I851" s="34">
        <f>IF($F851="","",IFERROR(INDEX(사건마스터!$C$5:$C$64,MATCH($F851,사건마스터!$A$5:$A$64,0)),""))</f>
        <v/>
      </c>
      <c r="J851" s="35">
        <f>IF($F851="","",IFERROR(INDEX(사건마스터!$H$5:$H$64,MATCH($F851,사건마스터!$A$5:$A$64,0)),""))</f>
        <v/>
      </c>
      <c r="K851" s="35">
        <f>IF($F851="","",IFERROR(INDEX(사건마스터!$AH$5:$AH$64,MATCH($F851,사건마스터!$A$5:$A$64,0)),""))</f>
        <v/>
      </c>
      <c r="L851" s="35">
        <f>IF($F851="","",IFERROR(INDEX(사건마스터!$AI$5:$AI$64,MATCH($F851,사건마스터!$A$5:$A$64,0)),""))</f>
        <v/>
      </c>
      <c r="M851" s="35">
        <f>IF($F851="","",IFERROR(INDEX(사건마스터!$AJ$5:$AJ$64,MATCH($F851,사건마스터!$A$5:$A$64,0)),""))</f>
        <v/>
      </c>
      <c r="N851" s="35">
        <f>IF($F851="","",IFERROR(INDEX(사건마스터!$AK$5:$AK$64,MATCH($F851,사건마스터!$A$5:$A$64,0)),""))</f>
        <v/>
      </c>
      <c r="O851" s="35">
        <f>IF($F851="","",IFERROR(INDEX(사건마스터!$AL$5:$AL$64,MATCH($F851,사건마스터!$A$5:$A$64,0)),""))</f>
        <v/>
      </c>
      <c r="P851" s="35">
        <f>IF($F851="","",IFERROR(INDEX(사건마스터!$AM$5:$AM$64,MATCH($F851,사건마스터!$A$5:$A$64,0)),""))</f>
        <v/>
      </c>
      <c r="Q851" s="35">
        <f>IF($F851="","",IFERROR(INDEX(사건마스터!$AN$5:$AN$64,MATCH($F851,사건마스터!$A$5:$A$64,0)),""))</f>
        <v/>
      </c>
      <c r="R851" s="35">
        <f>IF($F851="","",IFERROR(INDEX(사건마스터!$AO$5:$AO$64,MATCH($F851,사건마스터!$A$5:$A$64,0)),""))</f>
        <v/>
      </c>
      <c r="S851" s="35">
        <f>IF($F851="","",IFERROR(INDEX(사건마스터!$AP$5:$AP$64,MATCH($F851,사건마스터!$A$5:$A$64,0)),""))</f>
        <v/>
      </c>
      <c r="T851" s="35">
        <f>IF($F851="","",IFERROR(INDEX(사건마스터!$AQ$5:$AQ$64,MATCH($F851,사건마스터!$A$5:$A$64,0)),""))</f>
        <v/>
      </c>
      <c r="U851" s="35">
        <f>IF($F851="","",IFERROR(INDEX(사건마스터!$AR$5:$AR$64,MATCH($F851,사건마스터!$A$5:$A$64,0)),""))</f>
        <v/>
      </c>
      <c r="V851" s="35">
        <f>IF($F851="","",IFERROR(INDEX(사건마스터!$AS$5:$AS$64,MATCH($F851,사건마스터!$A$5:$A$64,0)),""))</f>
        <v/>
      </c>
      <c r="W851" s="35">
        <f>IF($F851="","",IFERROR(INDEX(사건마스터!$AT$5:$AT$64,MATCH($F851,사건마스터!$A$5:$A$64,0)),""))</f>
        <v/>
      </c>
      <c r="X851" s="35">
        <f>IF($F851="","",IFERROR(INDEX(사건마스터!$AU$5:$AU$64,MATCH($F851,사건마스터!$A$5:$A$64,0)),""))</f>
        <v/>
      </c>
      <c r="Y851" s="35">
        <f>IF($F851="","",IFERROR(INDEX(사건마스터!$AV$5:$AV$64,MATCH($F851,사건마스터!$A$5:$A$64,0)),""))</f>
        <v/>
      </c>
      <c r="Z851" s="30">
        <f>IF(COUNTBLANK($J851:$Y851)=16,"",16-COUNTBLANK($J851:$Y851))</f>
        <v/>
      </c>
      <c r="AA851" s="33">
        <f>IF($J851="",MID($AX851,3,255),$J851&amp;$AX851)</f>
        <v/>
      </c>
      <c r="AB851" s="34">
        <f>IF($J851="","",IFERROR(INDEX(코드설정!$D$5:$D$24,MATCH($J851,코드설정!$C$5:$C$24,0)),""))</f>
        <v/>
      </c>
      <c r="AC851" s="36" t="n"/>
      <c r="AD851" s="37" t="n"/>
      <c r="AE851" s="38" t="n"/>
      <c r="AF851" s="30">
        <f>IF(OR($B851="",$C851=""),"",$C851-$B851+1)</f>
        <v/>
      </c>
      <c r="AG851" s="32" t="n"/>
      <c r="AH851" s="36" t="n"/>
      <c r="AJ851">
        <f>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  <c r="AX851">
        <f>AW851&amp;IF($Y851="","",", "&amp;$Y851)</f>
        <v/>
      </c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0">
        <f>IF($F852="","",COUNTIF($F$5:$F852,$F852))</f>
        <v/>
      </c>
      <c r="H852" s="33">
        <f>IF($F852="","",IFERROR(INDEX(사건마스터!$B$5:$B$64,MATCH($F852,사건마스터!$A$5:$A$64,0)),""))</f>
        <v/>
      </c>
      <c r="I852" s="34">
        <f>IF($F852="","",IFERROR(INDEX(사건마스터!$C$5:$C$64,MATCH($F852,사건마스터!$A$5:$A$64,0)),""))</f>
        <v/>
      </c>
      <c r="J852" s="35">
        <f>IF($F852="","",IFERROR(INDEX(사건마스터!$H$5:$H$64,MATCH($F852,사건마스터!$A$5:$A$64,0)),""))</f>
        <v/>
      </c>
      <c r="K852" s="35">
        <f>IF($F852="","",IFERROR(INDEX(사건마스터!$AH$5:$AH$64,MATCH($F852,사건마스터!$A$5:$A$64,0)),""))</f>
        <v/>
      </c>
      <c r="L852" s="35">
        <f>IF($F852="","",IFERROR(INDEX(사건마스터!$AI$5:$AI$64,MATCH($F852,사건마스터!$A$5:$A$64,0)),""))</f>
        <v/>
      </c>
      <c r="M852" s="35">
        <f>IF($F852="","",IFERROR(INDEX(사건마스터!$AJ$5:$AJ$64,MATCH($F852,사건마스터!$A$5:$A$64,0)),""))</f>
        <v/>
      </c>
      <c r="N852" s="35">
        <f>IF($F852="","",IFERROR(INDEX(사건마스터!$AK$5:$AK$64,MATCH($F852,사건마스터!$A$5:$A$64,0)),""))</f>
        <v/>
      </c>
      <c r="O852" s="35">
        <f>IF($F852="","",IFERROR(INDEX(사건마스터!$AL$5:$AL$64,MATCH($F852,사건마스터!$A$5:$A$64,0)),""))</f>
        <v/>
      </c>
      <c r="P852" s="35">
        <f>IF($F852="","",IFERROR(INDEX(사건마스터!$AM$5:$AM$64,MATCH($F852,사건마스터!$A$5:$A$64,0)),""))</f>
        <v/>
      </c>
      <c r="Q852" s="35">
        <f>IF($F852="","",IFERROR(INDEX(사건마스터!$AN$5:$AN$64,MATCH($F852,사건마스터!$A$5:$A$64,0)),""))</f>
        <v/>
      </c>
      <c r="R852" s="35">
        <f>IF($F852="","",IFERROR(INDEX(사건마스터!$AO$5:$AO$64,MATCH($F852,사건마스터!$A$5:$A$64,0)),""))</f>
        <v/>
      </c>
      <c r="S852" s="35">
        <f>IF($F852="","",IFERROR(INDEX(사건마스터!$AP$5:$AP$64,MATCH($F852,사건마스터!$A$5:$A$64,0)),""))</f>
        <v/>
      </c>
      <c r="T852" s="35">
        <f>IF($F852="","",IFERROR(INDEX(사건마스터!$AQ$5:$AQ$64,MATCH($F852,사건마스터!$A$5:$A$64,0)),""))</f>
        <v/>
      </c>
      <c r="U852" s="35">
        <f>IF($F852="","",IFERROR(INDEX(사건마스터!$AR$5:$AR$64,MATCH($F852,사건마스터!$A$5:$A$64,0)),""))</f>
        <v/>
      </c>
      <c r="V852" s="35">
        <f>IF($F852="","",IFERROR(INDEX(사건마스터!$AS$5:$AS$64,MATCH($F852,사건마스터!$A$5:$A$64,0)),""))</f>
        <v/>
      </c>
      <c r="W852" s="35">
        <f>IF($F852="","",IFERROR(INDEX(사건마스터!$AT$5:$AT$64,MATCH($F852,사건마스터!$A$5:$A$64,0)),""))</f>
        <v/>
      </c>
      <c r="X852" s="35">
        <f>IF($F852="","",IFERROR(INDEX(사건마스터!$AU$5:$AU$64,MATCH($F852,사건마스터!$A$5:$A$64,0)),""))</f>
        <v/>
      </c>
      <c r="Y852" s="35">
        <f>IF($F852="","",IFERROR(INDEX(사건마스터!$AV$5:$AV$64,MATCH($F852,사건마스터!$A$5:$A$64,0)),""))</f>
        <v/>
      </c>
      <c r="Z852" s="30">
        <f>IF(COUNTBLANK($J852:$Y852)=16,"",16-COUNTBLANK($J852:$Y852))</f>
        <v/>
      </c>
      <c r="AA852" s="33">
        <f>IF($J852="",MID($AX852,3,255),$J852&amp;$AX852)</f>
        <v/>
      </c>
      <c r="AB852" s="34">
        <f>IF($J852="","",IFERROR(INDEX(코드설정!$D$5:$D$24,MATCH($J852,코드설정!$C$5:$C$24,0)),""))</f>
        <v/>
      </c>
      <c r="AC852" s="36" t="n"/>
      <c r="AD852" s="37" t="n"/>
      <c r="AE852" s="38" t="n"/>
      <c r="AF852" s="30">
        <f>IF(OR($B852="",$C852=""),"",$C852-$B852+1)</f>
        <v/>
      </c>
      <c r="AG852" s="32" t="n"/>
      <c r="AH852" s="36" t="n"/>
      <c r="AJ852">
        <f>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  <c r="AX852">
        <f>AW852&amp;IF($Y852="","",", "&amp;$Y852)</f>
        <v/>
      </c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0">
        <f>IF($F853="","",COUNTIF($F$5:$F853,$F853))</f>
        <v/>
      </c>
      <c r="H853" s="33">
        <f>IF($F853="","",IFERROR(INDEX(사건마스터!$B$5:$B$64,MATCH($F853,사건마스터!$A$5:$A$64,0)),""))</f>
        <v/>
      </c>
      <c r="I853" s="34">
        <f>IF($F853="","",IFERROR(INDEX(사건마스터!$C$5:$C$64,MATCH($F853,사건마스터!$A$5:$A$64,0)),""))</f>
        <v/>
      </c>
      <c r="J853" s="35">
        <f>IF($F853="","",IFERROR(INDEX(사건마스터!$H$5:$H$64,MATCH($F853,사건마스터!$A$5:$A$64,0)),""))</f>
        <v/>
      </c>
      <c r="K853" s="35">
        <f>IF($F853="","",IFERROR(INDEX(사건마스터!$AH$5:$AH$64,MATCH($F853,사건마스터!$A$5:$A$64,0)),""))</f>
        <v/>
      </c>
      <c r="L853" s="35">
        <f>IF($F853="","",IFERROR(INDEX(사건마스터!$AI$5:$AI$64,MATCH($F853,사건마스터!$A$5:$A$64,0)),""))</f>
        <v/>
      </c>
      <c r="M853" s="35">
        <f>IF($F853="","",IFERROR(INDEX(사건마스터!$AJ$5:$AJ$64,MATCH($F853,사건마스터!$A$5:$A$64,0)),""))</f>
        <v/>
      </c>
      <c r="N853" s="35">
        <f>IF($F853="","",IFERROR(INDEX(사건마스터!$AK$5:$AK$64,MATCH($F853,사건마스터!$A$5:$A$64,0)),""))</f>
        <v/>
      </c>
      <c r="O853" s="35">
        <f>IF($F853="","",IFERROR(INDEX(사건마스터!$AL$5:$AL$64,MATCH($F853,사건마스터!$A$5:$A$64,0)),""))</f>
        <v/>
      </c>
      <c r="P853" s="35">
        <f>IF($F853="","",IFERROR(INDEX(사건마스터!$AM$5:$AM$64,MATCH($F853,사건마스터!$A$5:$A$64,0)),""))</f>
        <v/>
      </c>
      <c r="Q853" s="35">
        <f>IF($F853="","",IFERROR(INDEX(사건마스터!$AN$5:$AN$64,MATCH($F853,사건마스터!$A$5:$A$64,0)),""))</f>
        <v/>
      </c>
      <c r="R853" s="35">
        <f>IF($F853="","",IFERROR(INDEX(사건마스터!$AO$5:$AO$64,MATCH($F853,사건마스터!$A$5:$A$64,0)),""))</f>
        <v/>
      </c>
      <c r="S853" s="35">
        <f>IF($F853="","",IFERROR(INDEX(사건마스터!$AP$5:$AP$64,MATCH($F853,사건마스터!$A$5:$A$64,0)),""))</f>
        <v/>
      </c>
      <c r="T853" s="35">
        <f>IF($F853="","",IFERROR(INDEX(사건마스터!$AQ$5:$AQ$64,MATCH($F853,사건마스터!$A$5:$A$64,0)),""))</f>
        <v/>
      </c>
      <c r="U853" s="35">
        <f>IF($F853="","",IFERROR(INDEX(사건마스터!$AR$5:$AR$64,MATCH($F853,사건마스터!$A$5:$A$64,0)),""))</f>
        <v/>
      </c>
      <c r="V853" s="35">
        <f>IF($F853="","",IFERROR(INDEX(사건마스터!$AS$5:$AS$64,MATCH($F853,사건마스터!$A$5:$A$64,0)),""))</f>
        <v/>
      </c>
      <c r="W853" s="35">
        <f>IF($F853="","",IFERROR(INDEX(사건마스터!$AT$5:$AT$64,MATCH($F853,사건마스터!$A$5:$A$64,0)),""))</f>
        <v/>
      </c>
      <c r="X853" s="35">
        <f>IF($F853="","",IFERROR(INDEX(사건마스터!$AU$5:$AU$64,MATCH($F853,사건마스터!$A$5:$A$64,0)),""))</f>
        <v/>
      </c>
      <c r="Y853" s="35">
        <f>IF($F853="","",IFERROR(INDEX(사건마스터!$AV$5:$AV$64,MATCH($F853,사건마스터!$A$5:$A$64,0)),""))</f>
        <v/>
      </c>
      <c r="Z853" s="30">
        <f>IF(COUNTBLANK($J853:$Y853)=16,"",16-COUNTBLANK($J853:$Y853))</f>
        <v/>
      </c>
      <c r="AA853" s="33">
        <f>IF($J853="",MID($AX853,3,255),$J853&amp;$AX853)</f>
        <v/>
      </c>
      <c r="AB853" s="34">
        <f>IF($J853="","",IFERROR(INDEX(코드설정!$D$5:$D$24,MATCH($J853,코드설정!$C$5:$C$24,0)),""))</f>
        <v/>
      </c>
      <c r="AC853" s="36" t="n"/>
      <c r="AD853" s="37" t="n"/>
      <c r="AE853" s="38" t="n"/>
      <c r="AF853" s="30">
        <f>IF(OR($B853="",$C853=""),"",$C853-$B853+1)</f>
        <v/>
      </c>
      <c r="AG853" s="32" t="n"/>
      <c r="AH853" s="36" t="n"/>
      <c r="AJ853">
        <f>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  <c r="AX853">
        <f>AW853&amp;IF($Y853="","",", "&amp;$Y853)</f>
        <v/>
      </c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0">
        <f>IF($F854="","",COUNTIF($F$5:$F854,$F854))</f>
        <v/>
      </c>
      <c r="H854" s="33">
        <f>IF($F854="","",IFERROR(INDEX(사건마스터!$B$5:$B$64,MATCH($F854,사건마스터!$A$5:$A$64,0)),""))</f>
        <v/>
      </c>
      <c r="I854" s="34">
        <f>IF($F854="","",IFERROR(INDEX(사건마스터!$C$5:$C$64,MATCH($F854,사건마스터!$A$5:$A$64,0)),""))</f>
        <v/>
      </c>
      <c r="J854" s="35">
        <f>IF($F854="","",IFERROR(INDEX(사건마스터!$H$5:$H$64,MATCH($F854,사건마스터!$A$5:$A$64,0)),""))</f>
        <v/>
      </c>
      <c r="K854" s="35">
        <f>IF($F854="","",IFERROR(INDEX(사건마스터!$AH$5:$AH$64,MATCH($F854,사건마스터!$A$5:$A$64,0)),""))</f>
        <v/>
      </c>
      <c r="L854" s="35">
        <f>IF($F854="","",IFERROR(INDEX(사건마스터!$AI$5:$AI$64,MATCH($F854,사건마스터!$A$5:$A$64,0)),""))</f>
        <v/>
      </c>
      <c r="M854" s="35">
        <f>IF($F854="","",IFERROR(INDEX(사건마스터!$AJ$5:$AJ$64,MATCH($F854,사건마스터!$A$5:$A$64,0)),""))</f>
        <v/>
      </c>
      <c r="N854" s="35">
        <f>IF($F854="","",IFERROR(INDEX(사건마스터!$AK$5:$AK$64,MATCH($F854,사건마스터!$A$5:$A$64,0)),""))</f>
        <v/>
      </c>
      <c r="O854" s="35">
        <f>IF($F854="","",IFERROR(INDEX(사건마스터!$AL$5:$AL$64,MATCH($F854,사건마스터!$A$5:$A$64,0)),""))</f>
        <v/>
      </c>
      <c r="P854" s="35">
        <f>IF($F854="","",IFERROR(INDEX(사건마스터!$AM$5:$AM$64,MATCH($F854,사건마스터!$A$5:$A$64,0)),""))</f>
        <v/>
      </c>
      <c r="Q854" s="35">
        <f>IF($F854="","",IFERROR(INDEX(사건마스터!$AN$5:$AN$64,MATCH($F854,사건마스터!$A$5:$A$64,0)),""))</f>
        <v/>
      </c>
      <c r="R854" s="35">
        <f>IF($F854="","",IFERROR(INDEX(사건마스터!$AO$5:$AO$64,MATCH($F854,사건마스터!$A$5:$A$64,0)),""))</f>
        <v/>
      </c>
      <c r="S854" s="35">
        <f>IF($F854="","",IFERROR(INDEX(사건마스터!$AP$5:$AP$64,MATCH($F854,사건마스터!$A$5:$A$64,0)),""))</f>
        <v/>
      </c>
      <c r="T854" s="35">
        <f>IF($F854="","",IFERROR(INDEX(사건마스터!$AQ$5:$AQ$64,MATCH($F854,사건마스터!$A$5:$A$64,0)),""))</f>
        <v/>
      </c>
      <c r="U854" s="35">
        <f>IF($F854="","",IFERROR(INDEX(사건마스터!$AR$5:$AR$64,MATCH($F854,사건마스터!$A$5:$A$64,0)),""))</f>
        <v/>
      </c>
      <c r="V854" s="35">
        <f>IF($F854="","",IFERROR(INDEX(사건마스터!$AS$5:$AS$64,MATCH($F854,사건마스터!$A$5:$A$64,0)),""))</f>
        <v/>
      </c>
      <c r="W854" s="35">
        <f>IF($F854="","",IFERROR(INDEX(사건마스터!$AT$5:$AT$64,MATCH($F854,사건마스터!$A$5:$A$64,0)),""))</f>
        <v/>
      </c>
      <c r="X854" s="35">
        <f>IF($F854="","",IFERROR(INDEX(사건마스터!$AU$5:$AU$64,MATCH($F854,사건마스터!$A$5:$A$64,0)),""))</f>
        <v/>
      </c>
      <c r="Y854" s="35">
        <f>IF($F854="","",IFERROR(INDEX(사건마스터!$AV$5:$AV$64,MATCH($F854,사건마스터!$A$5:$A$64,0)),""))</f>
        <v/>
      </c>
      <c r="Z854" s="30">
        <f>IF(COUNTBLANK($J854:$Y854)=16,"",16-COUNTBLANK($J854:$Y854))</f>
        <v/>
      </c>
      <c r="AA854" s="33">
        <f>IF($J854="",MID($AX854,3,255),$J854&amp;$AX854)</f>
        <v/>
      </c>
      <c r="AB854" s="34">
        <f>IF($J854="","",IFERROR(INDEX(코드설정!$D$5:$D$24,MATCH($J854,코드설정!$C$5:$C$24,0)),""))</f>
        <v/>
      </c>
      <c r="AC854" s="36" t="n"/>
      <c r="AD854" s="37" t="n"/>
      <c r="AE854" s="38" t="n"/>
      <c r="AF854" s="30">
        <f>IF(OR($B854="",$C854=""),"",$C854-$B854+1)</f>
        <v/>
      </c>
      <c r="AG854" s="32" t="n"/>
      <c r="AH854" s="36" t="n"/>
      <c r="AJ854">
        <f>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  <c r="AX854">
        <f>AW854&amp;IF($Y854="","",", "&amp;$Y854)</f>
        <v/>
      </c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0">
        <f>IF($F855="","",COUNTIF($F$5:$F855,$F855))</f>
        <v/>
      </c>
      <c r="H855" s="33">
        <f>IF($F855="","",IFERROR(INDEX(사건마스터!$B$5:$B$64,MATCH($F855,사건마스터!$A$5:$A$64,0)),""))</f>
        <v/>
      </c>
      <c r="I855" s="34">
        <f>IF($F855="","",IFERROR(INDEX(사건마스터!$C$5:$C$64,MATCH($F855,사건마스터!$A$5:$A$64,0)),""))</f>
        <v/>
      </c>
      <c r="J855" s="35">
        <f>IF($F855="","",IFERROR(INDEX(사건마스터!$H$5:$H$64,MATCH($F855,사건마스터!$A$5:$A$64,0)),""))</f>
        <v/>
      </c>
      <c r="K855" s="35">
        <f>IF($F855="","",IFERROR(INDEX(사건마스터!$AH$5:$AH$64,MATCH($F855,사건마스터!$A$5:$A$64,0)),""))</f>
        <v/>
      </c>
      <c r="L855" s="35">
        <f>IF($F855="","",IFERROR(INDEX(사건마스터!$AI$5:$AI$64,MATCH($F855,사건마스터!$A$5:$A$64,0)),""))</f>
        <v/>
      </c>
      <c r="M855" s="35">
        <f>IF($F855="","",IFERROR(INDEX(사건마스터!$AJ$5:$AJ$64,MATCH($F855,사건마스터!$A$5:$A$64,0)),""))</f>
        <v/>
      </c>
      <c r="N855" s="35">
        <f>IF($F855="","",IFERROR(INDEX(사건마스터!$AK$5:$AK$64,MATCH($F855,사건마스터!$A$5:$A$64,0)),""))</f>
        <v/>
      </c>
      <c r="O855" s="35">
        <f>IF($F855="","",IFERROR(INDEX(사건마스터!$AL$5:$AL$64,MATCH($F855,사건마스터!$A$5:$A$64,0)),""))</f>
        <v/>
      </c>
      <c r="P855" s="35">
        <f>IF($F855="","",IFERROR(INDEX(사건마스터!$AM$5:$AM$64,MATCH($F855,사건마스터!$A$5:$A$64,0)),""))</f>
        <v/>
      </c>
      <c r="Q855" s="35">
        <f>IF($F855="","",IFERROR(INDEX(사건마스터!$AN$5:$AN$64,MATCH($F855,사건마스터!$A$5:$A$64,0)),""))</f>
        <v/>
      </c>
      <c r="R855" s="35">
        <f>IF($F855="","",IFERROR(INDEX(사건마스터!$AO$5:$AO$64,MATCH($F855,사건마스터!$A$5:$A$64,0)),""))</f>
        <v/>
      </c>
      <c r="S855" s="35">
        <f>IF($F855="","",IFERROR(INDEX(사건마스터!$AP$5:$AP$64,MATCH($F855,사건마스터!$A$5:$A$64,0)),""))</f>
        <v/>
      </c>
      <c r="T855" s="35">
        <f>IF($F855="","",IFERROR(INDEX(사건마스터!$AQ$5:$AQ$64,MATCH($F855,사건마스터!$A$5:$A$64,0)),""))</f>
        <v/>
      </c>
      <c r="U855" s="35">
        <f>IF($F855="","",IFERROR(INDEX(사건마스터!$AR$5:$AR$64,MATCH($F855,사건마스터!$A$5:$A$64,0)),""))</f>
        <v/>
      </c>
      <c r="V855" s="35">
        <f>IF($F855="","",IFERROR(INDEX(사건마스터!$AS$5:$AS$64,MATCH($F855,사건마스터!$A$5:$A$64,0)),""))</f>
        <v/>
      </c>
      <c r="W855" s="35">
        <f>IF($F855="","",IFERROR(INDEX(사건마스터!$AT$5:$AT$64,MATCH($F855,사건마스터!$A$5:$A$64,0)),""))</f>
        <v/>
      </c>
      <c r="X855" s="35">
        <f>IF($F855="","",IFERROR(INDEX(사건마스터!$AU$5:$AU$64,MATCH($F855,사건마스터!$A$5:$A$64,0)),""))</f>
        <v/>
      </c>
      <c r="Y855" s="35">
        <f>IF($F855="","",IFERROR(INDEX(사건마스터!$AV$5:$AV$64,MATCH($F855,사건마스터!$A$5:$A$64,0)),""))</f>
        <v/>
      </c>
      <c r="Z855" s="30">
        <f>IF(COUNTBLANK($J855:$Y855)=16,"",16-COUNTBLANK($J855:$Y855))</f>
        <v/>
      </c>
      <c r="AA855" s="33">
        <f>IF($J855="",MID($AX855,3,255),$J855&amp;$AX855)</f>
        <v/>
      </c>
      <c r="AB855" s="34">
        <f>IF($J855="","",IFERROR(INDEX(코드설정!$D$5:$D$24,MATCH($J855,코드설정!$C$5:$C$24,0)),""))</f>
        <v/>
      </c>
      <c r="AC855" s="36" t="n"/>
      <c r="AD855" s="37" t="n"/>
      <c r="AE855" s="38" t="n"/>
      <c r="AF855" s="30">
        <f>IF(OR($B855="",$C855=""),"",$C855-$B855+1)</f>
        <v/>
      </c>
      <c r="AG855" s="32" t="n"/>
      <c r="AH855" s="36" t="n"/>
      <c r="AJ855">
        <f>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  <c r="AX855">
        <f>AW855&amp;IF($Y855="","",", "&amp;$Y855)</f>
        <v/>
      </c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0">
        <f>IF($F856="","",COUNTIF($F$5:$F856,$F856))</f>
        <v/>
      </c>
      <c r="H856" s="33">
        <f>IF($F856="","",IFERROR(INDEX(사건마스터!$B$5:$B$64,MATCH($F856,사건마스터!$A$5:$A$64,0)),""))</f>
        <v/>
      </c>
      <c r="I856" s="34">
        <f>IF($F856="","",IFERROR(INDEX(사건마스터!$C$5:$C$64,MATCH($F856,사건마스터!$A$5:$A$64,0)),""))</f>
        <v/>
      </c>
      <c r="J856" s="35">
        <f>IF($F856="","",IFERROR(INDEX(사건마스터!$H$5:$H$64,MATCH($F856,사건마스터!$A$5:$A$64,0)),""))</f>
        <v/>
      </c>
      <c r="K856" s="35">
        <f>IF($F856="","",IFERROR(INDEX(사건마스터!$AH$5:$AH$64,MATCH($F856,사건마스터!$A$5:$A$64,0)),""))</f>
        <v/>
      </c>
      <c r="L856" s="35">
        <f>IF($F856="","",IFERROR(INDEX(사건마스터!$AI$5:$AI$64,MATCH($F856,사건마스터!$A$5:$A$64,0)),""))</f>
        <v/>
      </c>
      <c r="M856" s="35">
        <f>IF($F856="","",IFERROR(INDEX(사건마스터!$AJ$5:$AJ$64,MATCH($F856,사건마스터!$A$5:$A$64,0)),""))</f>
        <v/>
      </c>
      <c r="N856" s="35">
        <f>IF($F856="","",IFERROR(INDEX(사건마스터!$AK$5:$AK$64,MATCH($F856,사건마스터!$A$5:$A$64,0)),""))</f>
        <v/>
      </c>
      <c r="O856" s="35">
        <f>IF($F856="","",IFERROR(INDEX(사건마스터!$AL$5:$AL$64,MATCH($F856,사건마스터!$A$5:$A$64,0)),""))</f>
        <v/>
      </c>
      <c r="P856" s="35">
        <f>IF($F856="","",IFERROR(INDEX(사건마스터!$AM$5:$AM$64,MATCH($F856,사건마스터!$A$5:$A$64,0)),""))</f>
        <v/>
      </c>
      <c r="Q856" s="35">
        <f>IF($F856="","",IFERROR(INDEX(사건마스터!$AN$5:$AN$64,MATCH($F856,사건마스터!$A$5:$A$64,0)),""))</f>
        <v/>
      </c>
      <c r="R856" s="35">
        <f>IF($F856="","",IFERROR(INDEX(사건마스터!$AO$5:$AO$64,MATCH($F856,사건마스터!$A$5:$A$64,0)),""))</f>
        <v/>
      </c>
      <c r="S856" s="35">
        <f>IF($F856="","",IFERROR(INDEX(사건마스터!$AP$5:$AP$64,MATCH($F856,사건마스터!$A$5:$A$64,0)),""))</f>
        <v/>
      </c>
      <c r="T856" s="35">
        <f>IF($F856="","",IFERROR(INDEX(사건마스터!$AQ$5:$AQ$64,MATCH($F856,사건마스터!$A$5:$A$64,0)),""))</f>
        <v/>
      </c>
      <c r="U856" s="35">
        <f>IF($F856="","",IFERROR(INDEX(사건마스터!$AR$5:$AR$64,MATCH($F856,사건마스터!$A$5:$A$64,0)),""))</f>
        <v/>
      </c>
      <c r="V856" s="35">
        <f>IF($F856="","",IFERROR(INDEX(사건마스터!$AS$5:$AS$64,MATCH($F856,사건마스터!$A$5:$A$64,0)),""))</f>
        <v/>
      </c>
      <c r="W856" s="35">
        <f>IF($F856="","",IFERROR(INDEX(사건마스터!$AT$5:$AT$64,MATCH($F856,사건마스터!$A$5:$A$64,0)),""))</f>
        <v/>
      </c>
      <c r="X856" s="35">
        <f>IF($F856="","",IFERROR(INDEX(사건마스터!$AU$5:$AU$64,MATCH($F856,사건마스터!$A$5:$A$64,0)),""))</f>
        <v/>
      </c>
      <c r="Y856" s="35">
        <f>IF($F856="","",IFERROR(INDEX(사건마스터!$AV$5:$AV$64,MATCH($F856,사건마스터!$A$5:$A$64,0)),""))</f>
        <v/>
      </c>
      <c r="Z856" s="30">
        <f>IF(COUNTBLANK($J856:$Y856)=16,"",16-COUNTBLANK($J856:$Y856))</f>
        <v/>
      </c>
      <c r="AA856" s="33">
        <f>IF($J856="",MID($AX856,3,255),$J856&amp;$AX856)</f>
        <v/>
      </c>
      <c r="AB856" s="34">
        <f>IF($J856="","",IFERROR(INDEX(코드설정!$D$5:$D$24,MATCH($J856,코드설정!$C$5:$C$24,0)),""))</f>
        <v/>
      </c>
      <c r="AC856" s="36" t="n"/>
      <c r="AD856" s="37" t="n"/>
      <c r="AE856" s="38" t="n"/>
      <c r="AF856" s="30">
        <f>IF(OR($B856="",$C856=""),"",$C856-$B856+1)</f>
        <v/>
      </c>
      <c r="AG856" s="32" t="n"/>
      <c r="AH856" s="36" t="n"/>
      <c r="AJ856">
        <f>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  <c r="AX856">
        <f>AW856&amp;IF($Y856="","",", "&amp;$Y856)</f>
        <v/>
      </c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0">
        <f>IF($F857="","",COUNTIF($F$5:$F857,$F857))</f>
        <v/>
      </c>
      <c r="H857" s="33">
        <f>IF($F857="","",IFERROR(INDEX(사건마스터!$B$5:$B$64,MATCH($F857,사건마스터!$A$5:$A$64,0)),""))</f>
        <v/>
      </c>
      <c r="I857" s="34">
        <f>IF($F857="","",IFERROR(INDEX(사건마스터!$C$5:$C$64,MATCH($F857,사건마스터!$A$5:$A$64,0)),""))</f>
        <v/>
      </c>
      <c r="J857" s="35">
        <f>IF($F857="","",IFERROR(INDEX(사건마스터!$H$5:$H$64,MATCH($F857,사건마스터!$A$5:$A$64,0)),""))</f>
        <v/>
      </c>
      <c r="K857" s="35">
        <f>IF($F857="","",IFERROR(INDEX(사건마스터!$AH$5:$AH$64,MATCH($F857,사건마스터!$A$5:$A$64,0)),""))</f>
        <v/>
      </c>
      <c r="L857" s="35">
        <f>IF($F857="","",IFERROR(INDEX(사건마스터!$AI$5:$AI$64,MATCH($F857,사건마스터!$A$5:$A$64,0)),""))</f>
        <v/>
      </c>
      <c r="M857" s="35">
        <f>IF($F857="","",IFERROR(INDEX(사건마스터!$AJ$5:$AJ$64,MATCH($F857,사건마스터!$A$5:$A$64,0)),""))</f>
        <v/>
      </c>
      <c r="N857" s="35">
        <f>IF($F857="","",IFERROR(INDEX(사건마스터!$AK$5:$AK$64,MATCH($F857,사건마스터!$A$5:$A$64,0)),""))</f>
        <v/>
      </c>
      <c r="O857" s="35">
        <f>IF($F857="","",IFERROR(INDEX(사건마스터!$AL$5:$AL$64,MATCH($F857,사건마스터!$A$5:$A$64,0)),""))</f>
        <v/>
      </c>
      <c r="P857" s="35">
        <f>IF($F857="","",IFERROR(INDEX(사건마스터!$AM$5:$AM$64,MATCH($F857,사건마스터!$A$5:$A$64,0)),""))</f>
        <v/>
      </c>
      <c r="Q857" s="35">
        <f>IF($F857="","",IFERROR(INDEX(사건마스터!$AN$5:$AN$64,MATCH($F857,사건마스터!$A$5:$A$64,0)),""))</f>
        <v/>
      </c>
      <c r="R857" s="35">
        <f>IF($F857="","",IFERROR(INDEX(사건마스터!$AO$5:$AO$64,MATCH($F857,사건마스터!$A$5:$A$64,0)),""))</f>
        <v/>
      </c>
      <c r="S857" s="35">
        <f>IF($F857="","",IFERROR(INDEX(사건마스터!$AP$5:$AP$64,MATCH($F857,사건마스터!$A$5:$A$64,0)),""))</f>
        <v/>
      </c>
      <c r="T857" s="35">
        <f>IF($F857="","",IFERROR(INDEX(사건마스터!$AQ$5:$AQ$64,MATCH($F857,사건마스터!$A$5:$A$64,0)),""))</f>
        <v/>
      </c>
      <c r="U857" s="35">
        <f>IF($F857="","",IFERROR(INDEX(사건마스터!$AR$5:$AR$64,MATCH($F857,사건마스터!$A$5:$A$64,0)),""))</f>
        <v/>
      </c>
      <c r="V857" s="35">
        <f>IF($F857="","",IFERROR(INDEX(사건마스터!$AS$5:$AS$64,MATCH($F857,사건마스터!$A$5:$A$64,0)),""))</f>
        <v/>
      </c>
      <c r="W857" s="35">
        <f>IF($F857="","",IFERROR(INDEX(사건마스터!$AT$5:$AT$64,MATCH($F857,사건마스터!$A$5:$A$64,0)),""))</f>
        <v/>
      </c>
      <c r="X857" s="35">
        <f>IF($F857="","",IFERROR(INDEX(사건마스터!$AU$5:$AU$64,MATCH($F857,사건마스터!$A$5:$A$64,0)),""))</f>
        <v/>
      </c>
      <c r="Y857" s="35">
        <f>IF($F857="","",IFERROR(INDEX(사건마스터!$AV$5:$AV$64,MATCH($F857,사건마스터!$A$5:$A$64,0)),""))</f>
        <v/>
      </c>
      <c r="Z857" s="30">
        <f>IF(COUNTBLANK($J857:$Y857)=16,"",16-COUNTBLANK($J857:$Y857))</f>
        <v/>
      </c>
      <c r="AA857" s="33">
        <f>IF($J857="",MID($AX857,3,255),$J857&amp;$AX857)</f>
        <v/>
      </c>
      <c r="AB857" s="34">
        <f>IF($J857="","",IFERROR(INDEX(코드설정!$D$5:$D$24,MATCH($J857,코드설정!$C$5:$C$24,0)),""))</f>
        <v/>
      </c>
      <c r="AC857" s="36" t="n"/>
      <c r="AD857" s="37" t="n"/>
      <c r="AE857" s="38" t="n"/>
      <c r="AF857" s="30">
        <f>IF(OR($B857="",$C857=""),"",$C857-$B857+1)</f>
        <v/>
      </c>
      <c r="AG857" s="32" t="n"/>
      <c r="AH857" s="36" t="n"/>
      <c r="AJ857">
        <f>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  <c r="AX857">
        <f>AW857&amp;IF($Y857="","",", "&amp;$Y857)</f>
        <v/>
      </c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0">
        <f>IF($F858="","",COUNTIF($F$5:$F858,$F858))</f>
        <v/>
      </c>
      <c r="H858" s="33">
        <f>IF($F858="","",IFERROR(INDEX(사건마스터!$B$5:$B$64,MATCH($F858,사건마스터!$A$5:$A$64,0)),""))</f>
        <v/>
      </c>
      <c r="I858" s="34">
        <f>IF($F858="","",IFERROR(INDEX(사건마스터!$C$5:$C$64,MATCH($F858,사건마스터!$A$5:$A$64,0)),""))</f>
        <v/>
      </c>
      <c r="J858" s="35">
        <f>IF($F858="","",IFERROR(INDEX(사건마스터!$H$5:$H$64,MATCH($F858,사건마스터!$A$5:$A$64,0)),""))</f>
        <v/>
      </c>
      <c r="K858" s="35">
        <f>IF($F858="","",IFERROR(INDEX(사건마스터!$AH$5:$AH$64,MATCH($F858,사건마스터!$A$5:$A$64,0)),""))</f>
        <v/>
      </c>
      <c r="L858" s="35">
        <f>IF($F858="","",IFERROR(INDEX(사건마스터!$AI$5:$AI$64,MATCH($F858,사건마스터!$A$5:$A$64,0)),""))</f>
        <v/>
      </c>
      <c r="M858" s="35">
        <f>IF($F858="","",IFERROR(INDEX(사건마스터!$AJ$5:$AJ$64,MATCH($F858,사건마스터!$A$5:$A$64,0)),""))</f>
        <v/>
      </c>
      <c r="N858" s="35">
        <f>IF($F858="","",IFERROR(INDEX(사건마스터!$AK$5:$AK$64,MATCH($F858,사건마스터!$A$5:$A$64,0)),""))</f>
        <v/>
      </c>
      <c r="O858" s="35">
        <f>IF($F858="","",IFERROR(INDEX(사건마스터!$AL$5:$AL$64,MATCH($F858,사건마스터!$A$5:$A$64,0)),""))</f>
        <v/>
      </c>
      <c r="P858" s="35">
        <f>IF($F858="","",IFERROR(INDEX(사건마스터!$AM$5:$AM$64,MATCH($F858,사건마스터!$A$5:$A$64,0)),""))</f>
        <v/>
      </c>
      <c r="Q858" s="35">
        <f>IF($F858="","",IFERROR(INDEX(사건마스터!$AN$5:$AN$64,MATCH($F858,사건마스터!$A$5:$A$64,0)),""))</f>
        <v/>
      </c>
      <c r="R858" s="35">
        <f>IF($F858="","",IFERROR(INDEX(사건마스터!$AO$5:$AO$64,MATCH($F858,사건마스터!$A$5:$A$64,0)),""))</f>
        <v/>
      </c>
      <c r="S858" s="35">
        <f>IF($F858="","",IFERROR(INDEX(사건마스터!$AP$5:$AP$64,MATCH($F858,사건마스터!$A$5:$A$64,0)),""))</f>
        <v/>
      </c>
      <c r="T858" s="35">
        <f>IF($F858="","",IFERROR(INDEX(사건마스터!$AQ$5:$AQ$64,MATCH($F858,사건마스터!$A$5:$A$64,0)),""))</f>
        <v/>
      </c>
      <c r="U858" s="35">
        <f>IF($F858="","",IFERROR(INDEX(사건마스터!$AR$5:$AR$64,MATCH($F858,사건마스터!$A$5:$A$64,0)),""))</f>
        <v/>
      </c>
      <c r="V858" s="35">
        <f>IF($F858="","",IFERROR(INDEX(사건마스터!$AS$5:$AS$64,MATCH($F858,사건마스터!$A$5:$A$64,0)),""))</f>
        <v/>
      </c>
      <c r="W858" s="35">
        <f>IF($F858="","",IFERROR(INDEX(사건마스터!$AT$5:$AT$64,MATCH($F858,사건마스터!$A$5:$A$64,0)),""))</f>
        <v/>
      </c>
      <c r="X858" s="35">
        <f>IF($F858="","",IFERROR(INDEX(사건마스터!$AU$5:$AU$64,MATCH($F858,사건마스터!$A$5:$A$64,0)),""))</f>
        <v/>
      </c>
      <c r="Y858" s="35">
        <f>IF($F858="","",IFERROR(INDEX(사건마스터!$AV$5:$AV$64,MATCH($F858,사건마스터!$A$5:$A$64,0)),""))</f>
        <v/>
      </c>
      <c r="Z858" s="30">
        <f>IF(COUNTBLANK($J858:$Y858)=16,"",16-COUNTBLANK($J858:$Y858))</f>
        <v/>
      </c>
      <c r="AA858" s="33">
        <f>IF($J858="",MID($AX858,3,255),$J858&amp;$AX858)</f>
        <v/>
      </c>
      <c r="AB858" s="34">
        <f>IF($J858="","",IFERROR(INDEX(코드설정!$D$5:$D$24,MATCH($J858,코드설정!$C$5:$C$24,0)),""))</f>
        <v/>
      </c>
      <c r="AC858" s="36" t="n"/>
      <c r="AD858" s="37" t="n"/>
      <c r="AE858" s="38" t="n"/>
      <c r="AF858" s="30">
        <f>IF(OR($B858="",$C858=""),"",$C858-$B858+1)</f>
        <v/>
      </c>
      <c r="AG858" s="32" t="n"/>
      <c r="AH858" s="36" t="n"/>
      <c r="AJ858">
        <f>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  <c r="AX858">
        <f>AW858&amp;IF($Y858="","",", "&amp;$Y858)</f>
        <v/>
      </c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0">
        <f>IF($F859="","",COUNTIF($F$5:$F859,$F859))</f>
        <v/>
      </c>
      <c r="H859" s="33">
        <f>IF($F859="","",IFERROR(INDEX(사건마스터!$B$5:$B$64,MATCH($F859,사건마스터!$A$5:$A$64,0)),""))</f>
        <v/>
      </c>
      <c r="I859" s="34">
        <f>IF($F859="","",IFERROR(INDEX(사건마스터!$C$5:$C$64,MATCH($F859,사건마스터!$A$5:$A$64,0)),""))</f>
        <v/>
      </c>
      <c r="J859" s="35">
        <f>IF($F859="","",IFERROR(INDEX(사건마스터!$H$5:$H$64,MATCH($F859,사건마스터!$A$5:$A$64,0)),""))</f>
        <v/>
      </c>
      <c r="K859" s="35">
        <f>IF($F859="","",IFERROR(INDEX(사건마스터!$AH$5:$AH$64,MATCH($F859,사건마스터!$A$5:$A$64,0)),""))</f>
        <v/>
      </c>
      <c r="L859" s="35">
        <f>IF($F859="","",IFERROR(INDEX(사건마스터!$AI$5:$AI$64,MATCH($F859,사건마스터!$A$5:$A$64,0)),""))</f>
        <v/>
      </c>
      <c r="M859" s="35">
        <f>IF($F859="","",IFERROR(INDEX(사건마스터!$AJ$5:$AJ$64,MATCH($F859,사건마스터!$A$5:$A$64,0)),""))</f>
        <v/>
      </c>
      <c r="N859" s="35">
        <f>IF($F859="","",IFERROR(INDEX(사건마스터!$AK$5:$AK$64,MATCH($F859,사건마스터!$A$5:$A$64,0)),""))</f>
        <v/>
      </c>
      <c r="O859" s="35">
        <f>IF($F859="","",IFERROR(INDEX(사건마스터!$AL$5:$AL$64,MATCH($F859,사건마스터!$A$5:$A$64,0)),""))</f>
        <v/>
      </c>
      <c r="P859" s="35">
        <f>IF($F859="","",IFERROR(INDEX(사건마스터!$AM$5:$AM$64,MATCH($F859,사건마스터!$A$5:$A$64,0)),""))</f>
        <v/>
      </c>
      <c r="Q859" s="35">
        <f>IF($F859="","",IFERROR(INDEX(사건마스터!$AN$5:$AN$64,MATCH($F859,사건마스터!$A$5:$A$64,0)),""))</f>
        <v/>
      </c>
      <c r="R859" s="35">
        <f>IF($F859="","",IFERROR(INDEX(사건마스터!$AO$5:$AO$64,MATCH($F859,사건마스터!$A$5:$A$64,0)),""))</f>
        <v/>
      </c>
      <c r="S859" s="35">
        <f>IF($F859="","",IFERROR(INDEX(사건마스터!$AP$5:$AP$64,MATCH($F859,사건마스터!$A$5:$A$64,0)),""))</f>
        <v/>
      </c>
      <c r="T859" s="35">
        <f>IF($F859="","",IFERROR(INDEX(사건마스터!$AQ$5:$AQ$64,MATCH($F859,사건마스터!$A$5:$A$64,0)),""))</f>
        <v/>
      </c>
      <c r="U859" s="35">
        <f>IF($F859="","",IFERROR(INDEX(사건마스터!$AR$5:$AR$64,MATCH($F859,사건마스터!$A$5:$A$64,0)),""))</f>
        <v/>
      </c>
      <c r="V859" s="35">
        <f>IF($F859="","",IFERROR(INDEX(사건마스터!$AS$5:$AS$64,MATCH($F859,사건마스터!$A$5:$A$64,0)),""))</f>
        <v/>
      </c>
      <c r="W859" s="35">
        <f>IF($F859="","",IFERROR(INDEX(사건마스터!$AT$5:$AT$64,MATCH($F859,사건마스터!$A$5:$A$64,0)),""))</f>
        <v/>
      </c>
      <c r="X859" s="35">
        <f>IF($F859="","",IFERROR(INDEX(사건마스터!$AU$5:$AU$64,MATCH($F859,사건마스터!$A$5:$A$64,0)),""))</f>
        <v/>
      </c>
      <c r="Y859" s="35">
        <f>IF($F859="","",IFERROR(INDEX(사건마스터!$AV$5:$AV$64,MATCH($F859,사건마스터!$A$5:$A$64,0)),""))</f>
        <v/>
      </c>
      <c r="Z859" s="30">
        <f>IF(COUNTBLANK($J859:$Y859)=16,"",16-COUNTBLANK($J859:$Y859))</f>
        <v/>
      </c>
      <c r="AA859" s="33">
        <f>IF($J859="",MID($AX859,3,255),$J859&amp;$AX859)</f>
        <v/>
      </c>
      <c r="AB859" s="34">
        <f>IF($J859="","",IFERROR(INDEX(코드설정!$D$5:$D$24,MATCH($J859,코드설정!$C$5:$C$24,0)),""))</f>
        <v/>
      </c>
      <c r="AC859" s="36" t="n"/>
      <c r="AD859" s="37" t="n"/>
      <c r="AE859" s="38" t="n"/>
      <c r="AF859" s="30">
        <f>IF(OR($B859="",$C859=""),"",$C859-$B859+1)</f>
        <v/>
      </c>
      <c r="AG859" s="32" t="n"/>
      <c r="AH859" s="36" t="n"/>
      <c r="AJ859">
        <f>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  <c r="AX859">
        <f>AW859&amp;IF($Y859="","",", "&amp;$Y859)</f>
        <v/>
      </c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0">
        <f>IF($F860="","",COUNTIF($F$5:$F860,$F860))</f>
        <v/>
      </c>
      <c r="H860" s="33">
        <f>IF($F860="","",IFERROR(INDEX(사건마스터!$B$5:$B$64,MATCH($F860,사건마스터!$A$5:$A$64,0)),""))</f>
        <v/>
      </c>
      <c r="I860" s="34">
        <f>IF($F860="","",IFERROR(INDEX(사건마스터!$C$5:$C$64,MATCH($F860,사건마스터!$A$5:$A$64,0)),""))</f>
        <v/>
      </c>
      <c r="J860" s="35">
        <f>IF($F860="","",IFERROR(INDEX(사건마스터!$H$5:$H$64,MATCH($F860,사건마스터!$A$5:$A$64,0)),""))</f>
        <v/>
      </c>
      <c r="K860" s="35">
        <f>IF($F860="","",IFERROR(INDEX(사건마스터!$AH$5:$AH$64,MATCH($F860,사건마스터!$A$5:$A$64,0)),""))</f>
        <v/>
      </c>
      <c r="L860" s="35">
        <f>IF($F860="","",IFERROR(INDEX(사건마스터!$AI$5:$AI$64,MATCH($F860,사건마스터!$A$5:$A$64,0)),""))</f>
        <v/>
      </c>
      <c r="M860" s="35">
        <f>IF($F860="","",IFERROR(INDEX(사건마스터!$AJ$5:$AJ$64,MATCH($F860,사건마스터!$A$5:$A$64,0)),""))</f>
        <v/>
      </c>
      <c r="N860" s="35">
        <f>IF($F860="","",IFERROR(INDEX(사건마스터!$AK$5:$AK$64,MATCH($F860,사건마스터!$A$5:$A$64,0)),""))</f>
        <v/>
      </c>
      <c r="O860" s="35">
        <f>IF($F860="","",IFERROR(INDEX(사건마스터!$AL$5:$AL$64,MATCH($F860,사건마스터!$A$5:$A$64,0)),""))</f>
        <v/>
      </c>
      <c r="P860" s="35">
        <f>IF($F860="","",IFERROR(INDEX(사건마스터!$AM$5:$AM$64,MATCH($F860,사건마스터!$A$5:$A$64,0)),""))</f>
        <v/>
      </c>
      <c r="Q860" s="35">
        <f>IF($F860="","",IFERROR(INDEX(사건마스터!$AN$5:$AN$64,MATCH($F860,사건마스터!$A$5:$A$64,0)),""))</f>
        <v/>
      </c>
      <c r="R860" s="35">
        <f>IF($F860="","",IFERROR(INDEX(사건마스터!$AO$5:$AO$64,MATCH($F860,사건마스터!$A$5:$A$64,0)),""))</f>
        <v/>
      </c>
      <c r="S860" s="35">
        <f>IF($F860="","",IFERROR(INDEX(사건마스터!$AP$5:$AP$64,MATCH($F860,사건마스터!$A$5:$A$64,0)),""))</f>
        <v/>
      </c>
      <c r="T860" s="35">
        <f>IF($F860="","",IFERROR(INDEX(사건마스터!$AQ$5:$AQ$64,MATCH($F860,사건마스터!$A$5:$A$64,0)),""))</f>
        <v/>
      </c>
      <c r="U860" s="35">
        <f>IF($F860="","",IFERROR(INDEX(사건마스터!$AR$5:$AR$64,MATCH($F860,사건마스터!$A$5:$A$64,0)),""))</f>
        <v/>
      </c>
      <c r="V860" s="35">
        <f>IF($F860="","",IFERROR(INDEX(사건마스터!$AS$5:$AS$64,MATCH($F860,사건마스터!$A$5:$A$64,0)),""))</f>
        <v/>
      </c>
      <c r="W860" s="35">
        <f>IF($F860="","",IFERROR(INDEX(사건마스터!$AT$5:$AT$64,MATCH($F860,사건마스터!$A$5:$A$64,0)),""))</f>
        <v/>
      </c>
      <c r="X860" s="35">
        <f>IF($F860="","",IFERROR(INDEX(사건마스터!$AU$5:$AU$64,MATCH($F860,사건마스터!$A$5:$A$64,0)),""))</f>
        <v/>
      </c>
      <c r="Y860" s="35">
        <f>IF($F860="","",IFERROR(INDEX(사건마스터!$AV$5:$AV$64,MATCH($F860,사건마스터!$A$5:$A$64,0)),""))</f>
        <v/>
      </c>
      <c r="Z860" s="30">
        <f>IF(COUNTBLANK($J860:$Y860)=16,"",16-COUNTBLANK($J860:$Y860))</f>
        <v/>
      </c>
      <c r="AA860" s="33">
        <f>IF($J860="",MID($AX860,3,255),$J860&amp;$AX860)</f>
        <v/>
      </c>
      <c r="AB860" s="34">
        <f>IF($J860="","",IFERROR(INDEX(코드설정!$D$5:$D$24,MATCH($J860,코드설정!$C$5:$C$24,0)),""))</f>
        <v/>
      </c>
      <c r="AC860" s="36" t="n"/>
      <c r="AD860" s="37" t="n"/>
      <c r="AE860" s="38" t="n"/>
      <c r="AF860" s="30">
        <f>IF(OR($B860="",$C860=""),"",$C860-$B860+1)</f>
        <v/>
      </c>
      <c r="AG860" s="32" t="n"/>
      <c r="AH860" s="36" t="n"/>
      <c r="AJ860">
        <f>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  <c r="AX860">
        <f>AW860&amp;IF($Y860="","",", "&amp;$Y860)</f>
        <v/>
      </c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0">
        <f>IF($F861="","",COUNTIF($F$5:$F861,$F861))</f>
        <v/>
      </c>
      <c r="H861" s="33">
        <f>IF($F861="","",IFERROR(INDEX(사건마스터!$B$5:$B$64,MATCH($F861,사건마스터!$A$5:$A$64,0)),""))</f>
        <v/>
      </c>
      <c r="I861" s="34">
        <f>IF($F861="","",IFERROR(INDEX(사건마스터!$C$5:$C$64,MATCH($F861,사건마스터!$A$5:$A$64,0)),""))</f>
        <v/>
      </c>
      <c r="J861" s="35">
        <f>IF($F861="","",IFERROR(INDEX(사건마스터!$H$5:$H$64,MATCH($F861,사건마스터!$A$5:$A$64,0)),""))</f>
        <v/>
      </c>
      <c r="K861" s="35">
        <f>IF($F861="","",IFERROR(INDEX(사건마스터!$AH$5:$AH$64,MATCH($F861,사건마스터!$A$5:$A$64,0)),""))</f>
        <v/>
      </c>
      <c r="L861" s="35">
        <f>IF($F861="","",IFERROR(INDEX(사건마스터!$AI$5:$AI$64,MATCH($F861,사건마스터!$A$5:$A$64,0)),""))</f>
        <v/>
      </c>
      <c r="M861" s="35">
        <f>IF($F861="","",IFERROR(INDEX(사건마스터!$AJ$5:$AJ$64,MATCH($F861,사건마스터!$A$5:$A$64,0)),""))</f>
        <v/>
      </c>
      <c r="N861" s="35">
        <f>IF($F861="","",IFERROR(INDEX(사건마스터!$AK$5:$AK$64,MATCH($F861,사건마스터!$A$5:$A$64,0)),""))</f>
        <v/>
      </c>
      <c r="O861" s="35">
        <f>IF($F861="","",IFERROR(INDEX(사건마스터!$AL$5:$AL$64,MATCH($F861,사건마스터!$A$5:$A$64,0)),""))</f>
        <v/>
      </c>
      <c r="P861" s="35">
        <f>IF($F861="","",IFERROR(INDEX(사건마스터!$AM$5:$AM$64,MATCH($F861,사건마스터!$A$5:$A$64,0)),""))</f>
        <v/>
      </c>
      <c r="Q861" s="35">
        <f>IF($F861="","",IFERROR(INDEX(사건마스터!$AN$5:$AN$64,MATCH($F861,사건마스터!$A$5:$A$64,0)),""))</f>
        <v/>
      </c>
      <c r="R861" s="35">
        <f>IF($F861="","",IFERROR(INDEX(사건마스터!$AO$5:$AO$64,MATCH($F861,사건마스터!$A$5:$A$64,0)),""))</f>
        <v/>
      </c>
      <c r="S861" s="35">
        <f>IF($F861="","",IFERROR(INDEX(사건마스터!$AP$5:$AP$64,MATCH($F861,사건마스터!$A$5:$A$64,0)),""))</f>
        <v/>
      </c>
      <c r="T861" s="35">
        <f>IF($F861="","",IFERROR(INDEX(사건마스터!$AQ$5:$AQ$64,MATCH($F861,사건마스터!$A$5:$A$64,0)),""))</f>
        <v/>
      </c>
      <c r="U861" s="35">
        <f>IF($F861="","",IFERROR(INDEX(사건마스터!$AR$5:$AR$64,MATCH($F861,사건마스터!$A$5:$A$64,0)),""))</f>
        <v/>
      </c>
      <c r="V861" s="35">
        <f>IF($F861="","",IFERROR(INDEX(사건마스터!$AS$5:$AS$64,MATCH($F861,사건마스터!$A$5:$A$64,0)),""))</f>
        <v/>
      </c>
      <c r="W861" s="35">
        <f>IF($F861="","",IFERROR(INDEX(사건마스터!$AT$5:$AT$64,MATCH($F861,사건마스터!$A$5:$A$64,0)),""))</f>
        <v/>
      </c>
      <c r="X861" s="35">
        <f>IF($F861="","",IFERROR(INDEX(사건마스터!$AU$5:$AU$64,MATCH($F861,사건마스터!$A$5:$A$64,0)),""))</f>
        <v/>
      </c>
      <c r="Y861" s="35">
        <f>IF($F861="","",IFERROR(INDEX(사건마스터!$AV$5:$AV$64,MATCH($F861,사건마스터!$A$5:$A$64,0)),""))</f>
        <v/>
      </c>
      <c r="Z861" s="30">
        <f>IF(COUNTBLANK($J861:$Y861)=16,"",16-COUNTBLANK($J861:$Y861))</f>
        <v/>
      </c>
      <c r="AA861" s="33">
        <f>IF($J861="",MID($AX861,3,255),$J861&amp;$AX861)</f>
        <v/>
      </c>
      <c r="AB861" s="34">
        <f>IF($J861="","",IFERROR(INDEX(코드설정!$D$5:$D$24,MATCH($J861,코드설정!$C$5:$C$24,0)),""))</f>
        <v/>
      </c>
      <c r="AC861" s="36" t="n"/>
      <c r="AD861" s="37" t="n"/>
      <c r="AE861" s="38" t="n"/>
      <c r="AF861" s="30">
        <f>IF(OR($B861="",$C861=""),"",$C861-$B861+1)</f>
        <v/>
      </c>
      <c r="AG861" s="32" t="n"/>
      <c r="AH861" s="36" t="n"/>
      <c r="AJ861">
        <f>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  <c r="AX861">
        <f>AW861&amp;IF($Y861="","",", "&amp;$Y861)</f>
        <v/>
      </c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0">
        <f>IF($F862="","",COUNTIF($F$5:$F862,$F862))</f>
        <v/>
      </c>
      <c r="H862" s="33">
        <f>IF($F862="","",IFERROR(INDEX(사건마스터!$B$5:$B$64,MATCH($F862,사건마스터!$A$5:$A$64,0)),""))</f>
        <v/>
      </c>
      <c r="I862" s="34">
        <f>IF($F862="","",IFERROR(INDEX(사건마스터!$C$5:$C$64,MATCH($F862,사건마스터!$A$5:$A$64,0)),""))</f>
        <v/>
      </c>
      <c r="J862" s="35">
        <f>IF($F862="","",IFERROR(INDEX(사건마스터!$H$5:$H$64,MATCH($F862,사건마스터!$A$5:$A$64,0)),""))</f>
        <v/>
      </c>
      <c r="K862" s="35">
        <f>IF($F862="","",IFERROR(INDEX(사건마스터!$AH$5:$AH$64,MATCH($F862,사건마스터!$A$5:$A$64,0)),""))</f>
        <v/>
      </c>
      <c r="L862" s="35">
        <f>IF($F862="","",IFERROR(INDEX(사건마스터!$AI$5:$AI$64,MATCH($F862,사건마스터!$A$5:$A$64,0)),""))</f>
        <v/>
      </c>
      <c r="M862" s="35">
        <f>IF($F862="","",IFERROR(INDEX(사건마스터!$AJ$5:$AJ$64,MATCH($F862,사건마스터!$A$5:$A$64,0)),""))</f>
        <v/>
      </c>
      <c r="N862" s="35">
        <f>IF($F862="","",IFERROR(INDEX(사건마스터!$AK$5:$AK$64,MATCH($F862,사건마스터!$A$5:$A$64,0)),""))</f>
        <v/>
      </c>
      <c r="O862" s="35">
        <f>IF($F862="","",IFERROR(INDEX(사건마스터!$AL$5:$AL$64,MATCH($F862,사건마스터!$A$5:$A$64,0)),""))</f>
        <v/>
      </c>
      <c r="P862" s="35">
        <f>IF($F862="","",IFERROR(INDEX(사건마스터!$AM$5:$AM$64,MATCH($F862,사건마스터!$A$5:$A$64,0)),""))</f>
        <v/>
      </c>
      <c r="Q862" s="35">
        <f>IF($F862="","",IFERROR(INDEX(사건마스터!$AN$5:$AN$64,MATCH($F862,사건마스터!$A$5:$A$64,0)),""))</f>
        <v/>
      </c>
      <c r="R862" s="35">
        <f>IF($F862="","",IFERROR(INDEX(사건마스터!$AO$5:$AO$64,MATCH($F862,사건마스터!$A$5:$A$64,0)),""))</f>
        <v/>
      </c>
      <c r="S862" s="35">
        <f>IF($F862="","",IFERROR(INDEX(사건마스터!$AP$5:$AP$64,MATCH($F862,사건마스터!$A$5:$A$64,0)),""))</f>
        <v/>
      </c>
      <c r="T862" s="35">
        <f>IF($F862="","",IFERROR(INDEX(사건마스터!$AQ$5:$AQ$64,MATCH($F862,사건마스터!$A$5:$A$64,0)),""))</f>
        <v/>
      </c>
      <c r="U862" s="35">
        <f>IF($F862="","",IFERROR(INDEX(사건마스터!$AR$5:$AR$64,MATCH($F862,사건마스터!$A$5:$A$64,0)),""))</f>
        <v/>
      </c>
      <c r="V862" s="35">
        <f>IF($F862="","",IFERROR(INDEX(사건마스터!$AS$5:$AS$64,MATCH($F862,사건마스터!$A$5:$A$64,0)),""))</f>
        <v/>
      </c>
      <c r="W862" s="35">
        <f>IF($F862="","",IFERROR(INDEX(사건마스터!$AT$5:$AT$64,MATCH($F862,사건마스터!$A$5:$A$64,0)),""))</f>
        <v/>
      </c>
      <c r="X862" s="35">
        <f>IF($F862="","",IFERROR(INDEX(사건마스터!$AU$5:$AU$64,MATCH($F862,사건마스터!$A$5:$A$64,0)),""))</f>
        <v/>
      </c>
      <c r="Y862" s="35">
        <f>IF($F862="","",IFERROR(INDEX(사건마스터!$AV$5:$AV$64,MATCH($F862,사건마스터!$A$5:$A$64,0)),""))</f>
        <v/>
      </c>
      <c r="Z862" s="30">
        <f>IF(COUNTBLANK($J862:$Y862)=16,"",16-COUNTBLANK($J862:$Y862))</f>
        <v/>
      </c>
      <c r="AA862" s="33">
        <f>IF($J862="",MID($AX862,3,255),$J862&amp;$AX862)</f>
        <v/>
      </c>
      <c r="AB862" s="34">
        <f>IF($J862="","",IFERROR(INDEX(코드설정!$D$5:$D$24,MATCH($J862,코드설정!$C$5:$C$24,0)),""))</f>
        <v/>
      </c>
      <c r="AC862" s="36" t="n"/>
      <c r="AD862" s="37" t="n"/>
      <c r="AE862" s="38" t="n"/>
      <c r="AF862" s="30">
        <f>IF(OR($B862="",$C862=""),"",$C862-$B862+1)</f>
        <v/>
      </c>
      <c r="AG862" s="32" t="n"/>
      <c r="AH862" s="36" t="n"/>
      <c r="AJ862">
        <f>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  <c r="AX862">
        <f>AW862&amp;IF($Y862="","",", "&amp;$Y862)</f>
        <v/>
      </c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0">
        <f>IF($F863="","",COUNTIF($F$5:$F863,$F863))</f>
        <v/>
      </c>
      <c r="H863" s="33">
        <f>IF($F863="","",IFERROR(INDEX(사건마스터!$B$5:$B$64,MATCH($F863,사건마스터!$A$5:$A$64,0)),""))</f>
        <v/>
      </c>
      <c r="I863" s="34">
        <f>IF($F863="","",IFERROR(INDEX(사건마스터!$C$5:$C$64,MATCH($F863,사건마스터!$A$5:$A$64,0)),""))</f>
        <v/>
      </c>
      <c r="J863" s="35">
        <f>IF($F863="","",IFERROR(INDEX(사건마스터!$H$5:$H$64,MATCH($F863,사건마스터!$A$5:$A$64,0)),""))</f>
        <v/>
      </c>
      <c r="K863" s="35">
        <f>IF($F863="","",IFERROR(INDEX(사건마스터!$AH$5:$AH$64,MATCH($F863,사건마스터!$A$5:$A$64,0)),""))</f>
        <v/>
      </c>
      <c r="L863" s="35">
        <f>IF($F863="","",IFERROR(INDEX(사건마스터!$AI$5:$AI$64,MATCH($F863,사건마스터!$A$5:$A$64,0)),""))</f>
        <v/>
      </c>
      <c r="M863" s="35">
        <f>IF($F863="","",IFERROR(INDEX(사건마스터!$AJ$5:$AJ$64,MATCH($F863,사건마스터!$A$5:$A$64,0)),""))</f>
        <v/>
      </c>
      <c r="N863" s="35">
        <f>IF($F863="","",IFERROR(INDEX(사건마스터!$AK$5:$AK$64,MATCH($F863,사건마스터!$A$5:$A$64,0)),""))</f>
        <v/>
      </c>
      <c r="O863" s="35">
        <f>IF($F863="","",IFERROR(INDEX(사건마스터!$AL$5:$AL$64,MATCH($F863,사건마스터!$A$5:$A$64,0)),""))</f>
        <v/>
      </c>
      <c r="P863" s="35">
        <f>IF($F863="","",IFERROR(INDEX(사건마스터!$AM$5:$AM$64,MATCH($F863,사건마스터!$A$5:$A$64,0)),""))</f>
        <v/>
      </c>
      <c r="Q863" s="35">
        <f>IF($F863="","",IFERROR(INDEX(사건마스터!$AN$5:$AN$64,MATCH($F863,사건마스터!$A$5:$A$64,0)),""))</f>
        <v/>
      </c>
      <c r="R863" s="35">
        <f>IF($F863="","",IFERROR(INDEX(사건마스터!$AO$5:$AO$64,MATCH($F863,사건마스터!$A$5:$A$64,0)),""))</f>
        <v/>
      </c>
      <c r="S863" s="35">
        <f>IF($F863="","",IFERROR(INDEX(사건마스터!$AP$5:$AP$64,MATCH($F863,사건마스터!$A$5:$A$64,0)),""))</f>
        <v/>
      </c>
      <c r="T863" s="35">
        <f>IF($F863="","",IFERROR(INDEX(사건마스터!$AQ$5:$AQ$64,MATCH($F863,사건마스터!$A$5:$A$64,0)),""))</f>
        <v/>
      </c>
      <c r="U863" s="35">
        <f>IF($F863="","",IFERROR(INDEX(사건마스터!$AR$5:$AR$64,MATCH($F863,사건마스터!$A$5:$A$64,0)),""))</f>
        <v/>
      </c>
      <c r="V863" s="35">
        <f>IF($F863="","",IFERROR(INDEX(사건마스터!$AS$5:$AS$64,MATCH($F863,사건마스터!$A$5:$A$64,0)),""))</f>
        <v/>
      </c>
      <c r="W863" s="35">
        <f>IF($F863="","",IFERROR(INDEX(사건마스터!$AT$5:$AT$64,MATCH($F863,사건마스터!$A$5:$A$64,0)),""))</f>
        <v/>
      </c>
      <c r="X863" s="35">
        <f>IF($F863="","",IFERROR(INDEX(사건마스터!$AU$5:$AU$64,MATCH($F863,사건마스터!$A$5:$A$64,0)),""))</f>
        <v/>
      </c>
      <c r="Y863" s="35">
        <f>IF($F863="","",IFERROR(INDEX(사건마스터!$AV$5:$AV$64,MATCH($F863,사건마스터!$A$5:$A$64,0)),""))</f>
        <v/>
      </c>
      <c r="Z863" s="30">
        <f>IF(COUNTBLANK($J863:$Y863)=16,"",16-COUNTBLANK($J863:$Y863))</f>
        <v/>
      </c>
      <c r="AA863" s="33">
        <f>IF($J863="",MID($AX863,3,255),$J863&amp;$AX863)</f>
        <v/>
      </c>
      <c r="AB863" s="34">
        <f>IF($J863="","",IFERROR(INDEX(코드설정!$D$5:$D$24,MATCH($J863,코드설정!$C$5:$C$24,0)),""))</f>
        <v/>
      </c>
      <c r="AC863" s="36" t="n"/>
      <c r="AD863" s="37" t="n"/>
      <c r="AE863" s="38" t="n"/>
      <c r="AF863" s="30">
        <f>IF(OR($B863="",$C863=""),"",$C863-$B863+1)</f>
        <v/>
      </c>
      <c r="AG863" s="32" t="n"/>
      <c r="AH863" s="36" t="n"/>
      <c r="AJ863">
        <f>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  <c r="AX863">
        <f>AW863&amp;IF($Y863="","",", "&amp;$Y863)</f>
        <v/>
      </c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0">
        <f>IF($F864="","",COUNTIF($F$5:$F864,$F864))</f>
        <v/>
      </c>
      <c r="H864" s="33">
        <f>IF($F864="","",IFERROR(INDEX(사건마스터!$B$5:$B$64,MATCH($F864,사건마스터!$A$5:$A$64,0)),""))</f>
        <v/>
      </c>
      <c r="I864" s="34">
        <f>IF($F864="","",IFERROR(INDEX(사건마스터!$C$5:$C$64,MATCH($F864,사건마스터!$A$5:$A$64,0)),""))</f>
        <v/>
      </c>
      <c r="J864" s="35">
        <f>IF($F864="","",IFERROR(INDEX(사건마스터!$H$5:$H$64,MATCH($F864,사건마스터!$A$5:$A$64,0)),""))</f>
        <v/>
      </c>
      <c r="K864" s="35">
        <f>IF($F864="","",IFERROR(INDEX(사건마스터!$AH$5:$AH$64,MATCH($F864,사건마스터!$A$5:$A$64,0)),""))</f>
        <v/>
      </c>
      <c r="L864" s="35">
        <f>IF($F864="","",IFERROR(INDEX(사건마스터!$AI$5:$AI$64,MATCH($F864,사건마스터!$A$5:$A$64,0)),""))</f>
        <v/>
      </c>
      <c r="M864" s="35">
        <f>IF($F864="","",IFERROR(INDEX(사건마스터!$AJ$5:$AJ$64,MATCH($F864,사건마스터!$A$5:$A$64,0)),""))</f>
        <v/>
      </c>
      <c r="N864" s="35">
        <f>IF($F864="","",IFERROR(INDEX(사건마스터!$AK$5:$AK$64,MATCH($F864,사건마스터!$A$5:$A$64,0)),""))</f>
        <v/>
      </c>
      <c r="O864" s="35">
        <f>IF($F864="","",IFERROR(INDEX(사건마스터!$AL$5:$AL$64,MATCH($F864,사건마스터!$A$5:$A$64,0)),""))</f>
        <v/>
      </c>
      <c r="P864" s="35">
        <f>IF($F864="","",IFERROR(INDEX(사건마스터!$AM$5:$AM$64,MATCH($F864,사건마스터!$A$5:$A$64,0)),""))</f>
        <v/>
      </c>
      <c r="Q864" s="35">
        <f>IF($F864="","",IFERROR(INDEX(사건마스터!$AN$5:$AN$64,MATCH($F864,사건마스터!$A$5:$A$64,0)),""))</f>
        <v/>
      </c>
      <c r="R864" s="35">
        <f>IF($F864="","",IFERROR(INDEX(사건마스터!$AO$5:$AO$64,MATCH($F864,사건마스터!$A$5:$A$64,0)),""))</f>
        <v/>
      </c>
      <c r="S864" s="35">
        <f>IF($F864="","",IFERROR(INDEX(사건마스터!$AP$5:$AP$64,MATCH($F864,사건마스터!$A$5:$A$64,0)),""))</f>
        <v/>
      </c>
      <c r="T864" s="35">
        <f>IF($F864="","",IFERROR(INDEX(사건마스터!$AQ$5:$AQ$64,MATCH($F864,사건마스터!$A$5:$A$64,0)),""))</f>
        <v/>
      </c>
      <c r="U864" s="35">
        <f>IF($F864="","",IFERROR(INDEX(사건마스터!$AR$5:$AR$64,MATCH($F864,사건마스터!$A$5:$A$64,0)),""))</f>
        <v/>
      </c>
      <c r="V864" s="35">
        <f>IF($F864="","",IFERROR(INDEX(사건마스터!$AS$5:$AS$64,MATCH($F864,사건마스터!$A$5:$A$64,0)),""))</f>
        <v/>
      </c>
      <c r="W864" s="35">
        <f>IF($F864="","",IFERROR(INDEX(사건마스터!$AT$5:$AT$64,MATCH($F864,사건마스터!$A$5:$A$64,0)),""))</f>
        <v/>
      </c>
      <c r="X864" s="35">
        <f>IF($F864="","",IFERROR(INDEX(사건마스터!$AU$5:$AU$64,MATCH($F864,사건마스터!$A$5:$A$64,0)),""))</f>
        <v/>
      </c>
      <c r="Y864" s="35">
        <f>IF($F864="","",IFERROR(INDEX(사건마스터!$AV$5:$AV$64,MATCH($F864,사건마스터!$A$5:$A$64,0)),""))</f>
        <v/>
      </c>
      <c r="Z864" s="30">
        <f>IF(COUNTBLANK($J864:$Y864)=16,"",16-COUNTBLANK($J864:$Y864))</f>
        <v/>
      </c>
      <c r="AA864" s="33">
        <f>IF($J864="",MID($AX864,3,255),$J864&amp;$AX864)</f>
        <v/>
      </c>
      <c r="AB864" s="34">
        <f>IF($J864="","",IFERROR(INDEX(코드설정!$D$5:$D$24,MATCH($J864,코드설정!$C$5:$C$24,0)),""))</f>
        <v/>
      </c>
      <c r="AC864" s="36" t="n"/>
      <c r="AD864" s="37" t="n"/>
      <c r="AE864" s="38" t="n"/>
      <c r="AF864" s="30">
        <f>IF(OR($B864="",$C864=""),"",$C864-$B864+1)</f>
        <v/>
      </c>
      <c r="AG864" s="32" t="n"/>
      <c r="AH864" s="36" t="n"/>
      <c r="AJ864">
        <f>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  <c r="AX864">
        <f>AW864&amp;IF($Y864="","",", "&amp;$Y864)</f>
        <v/>
      </c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0">
        <f>IF($F865="","",COUNTIF($F$5:$F865,$F865))</f>
        <v/>
      </c>
      <c r="H865" s="33">
        <f>IF($F865="","",IFERROR(INDEX(사건마스터!$B$5:$B$64,MATCH($F865,사건마스터!$A$5:$A$64,0)),""))</f>
        <v/>
      </c>
      <c r="I865" s="34">
        <f>IF($F865="","",IFERROR(INDEX(사건마스터!$C$5:$C$64,MATCH($F865,사건마스터!$A$5:$A$64,0)),""))</f>
        <v/>
      </c>
      <c r="J865" s="35">
        <f>IF($F865="","",IFERROR(INDEX(사건마스터!$H$5:$H$64,MATCH($F865,사건마스터!$A$5:$A$64,0)),""))</f>
        <v/>
      </c>
      <c r="K865" s="35">
        <f>IF($F865="","",IFERROR(INDEX(사건마스터!$AH$5:$AH$64,MATCH($F865,사건마스터!$A$5:$A$64,0)),""))</f>
        <v/>
      </c>
      <c r="L865" s="35">
        <f>IF($F865="","",IFERROR(INDEX(사건마스터!$AI$5:$AI$64,MATCH($F865,사건마스터!$A$5:$A$64,0)),""))</f>
        <v/>
      </c>
      <c r="M865" s="35">
        <f>IF($F865="","",IFERROR(INDEX(사건마스터!$AJ$5:$AJ$64,MATCH($F865,사건마스터!$A$5:$A$64,0)),""))</f>
        <v/>
      </c>
      <c r="N865" s="35">
        <f>IF($F865="","",IFERROR(INDEX(사건마스터!$AK$5:$AK$64,MATCH($F865,사건마스터!$A$5:$A$64,0)),""))</f>
        <v/>
      </c>
      <c r="O865" s="35">
        <f>IF($F865="","",IFERROR(INDEX(사건마스터!$AL$5:$AL$64,MATCH($F865,사건마스터!$A$5:$A$64,0)),""))</f>
        <v/>
      </c>
      <c r="P865" s="35">
        <f>IF($F865="","",IFERROR(INDEX(사건마스터!$AM$5:$AM$64,MATCH($F865,사건마스터!$A$5:$A$64,0)),""))</f>
        <v/>
      </c>
      <c r="Q865" s="35">
        <f>IF($F865="","",IFERROR(INDEX(사건마스터!$AN$5:$AN$64,MATCH($F865,사건마스터!$A$5:$A$64,0)),""))</f>
        <v/>
      </c>
      <c r="R865" s="35">
        <f>IF($F865="","",IFERROR(INDEX(사건마스터!$AO$5:$AO$64,MATCH($F865,사건마스터!$A$5:$A$64,0)),""))</f>
        <v/>
      </c>
      <c r="S865" s="35">
        <f>IF($F865="","",IFERROR(INDEX(사건마스터!$AP$5:$AP$64,MATCH($F865,사건마스터!$A$5:$A$64,0)),""))</f>
        <v/>
      </c>
      <c r="T865" s="35">
        <f>IF($F865="","",IFERROR(INDEX(사건마스터!$AQ$5:$AQ$64,MATCH($F865,사건마스터!$A$5:$A$64,0)),""))</f>
        <v/>
      </c>
      <c r="U865" s="35">
        <f>IF($F865="","",IFERROR(INDEX(사건마스터!$AR$5:$AR$64,MATCH($F865,사건마스터!$A$5:$A$64,0)),""))</f>
        <v/>
      </c>
      <c r="V865" s="35">
        <f>IF($F865="","",IFERROR(INDEX(사건마스터!$AS$5:$AS$64,MATCH($F865,사건마스터!$A$5:$A$64,0)),""))</f>
        <v/>
      </c>
      <c r="W865" s="35">
        <f>IF($F865="","",IFERROR(INDEX(사건마스터!$AT$5:$AT$64,MATCH($F865,사건마스터!$A$5:$A$64,0)),""))</f>
        <v/>
      </c>
      <c r="X865" s="35">
        <f>IF($F865="","",IFERROR(INDEX(사건마스터!$AU$5:$AU$64,MATCH($F865,사건마스터!$A$5:$A$64,0)),""))</f>
        <v/>
      </c>
      <c r="Y865" s="35">
        <f>IF($F865="","",IFERROR(INDEX(사건마스터!$AV$5:$AV$64,MATCH($F865,사건마스터!$A$5:$A$64,0)),""))</f>
        <v/>
      </c>
      <c r="Z865" s="30">
        <f>IF(COUNTBLANK($J865:$Y865)=16,"",16-COUNTBLANK($J865:$Y865))</f>
        <v/>
      </c>
      <c r="AA865" s="33">
        <f>IF($J865="",MID($AX865,3,255),$J865&amp;$AX865)</f>
        <v/>
      </c>
      <c r="AB865" s="34">
        <f>IF($J865="","",IFERROR(INDEX(코드설정!$D$5:$D$24,MATCH($J865,코드설정!$C$5:$C$24,0)),""))</f>
        <v/>
      </c>
      <c r="AC865" s="36" t="n"/>
      <c r="AD865" s="37" t="n"/>
      <c r="AE865" s="38" t="n"/>
      <c r="AF865" s="30">
        <f>IF(OR($B865="",$C865=""),"",$C865-$B865+1)</f>
        <v/>
      </c>
      <c r="AG865" s="32" t="n"/>
      <c r="AH865" s="36" t="n"/>
      <c r="AJ865">
        <f>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  <c r="AX865">
        <f>AW865&amp;IF($Y865="","",", "&amp;$Y865)</f>
        <v/>
      </c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0">
        <f>IF($F866="","",COUNTIF($F$5:$F866,$F866))</f>
        <v/>
      </c>
      <c r="H866" s="33">
        <f>IF($F866="","",IFERROR(INDEX(사건마스터!$B$5:$B$64,MATCH($F866,사건마스터!$A$5:$A$64,0)),""))</f>
        <v/>
      </c>
      <c r="I866" s="34">
        <f>IF($F866="","",IFERROR(INDEX(사건마스터!$C$5:$C$64,MATCH($F866,사건마스터!$A$5:$A$64,0)),""))</f>
        <v/>
      </c>
      <c r="J866" s="35">
        <f>IF($F866="","",IFERROR(INDEX(사건마스터!$H$5:$H$64,MATCH($F866,사건마스터!$A$5:$A$64,0)),""))</f>
        <v/>
      </c>
      <c r="K866" s="35">
        <f>IF($F866="","",IFERROR(INDEX(사건마스터!$AH$5:$AH$64,MATCH($F866,사건마스터!$A$5:$A$64,0)),""))</f>
        <v/>
      </c>
      <c r="L866" s="35">
        <f>IF($F866="","",IFERROR(INDEX(사건마스터!$AI$5:$AI$64,MATCH($F866,사건마스터!$A$5:$A$64,0)),""))</f>
        <v/>
      </c>
      <c r="M866" s="35">
        <f>IF($F866="","",IFERROR(INDEX(사건마스터!$AJ$5:$AJ$64,MATCH($F866,사건마스터!$A$5:$A$64,0)),""))</f>
        <v/>
      </c>
      <c r="N866" s="35">
        <f>IF($F866="","",IFERROR(INDEX(사건마스터!$AK$5:$AK$64,MATCH($F866,사건마스터!$A$5:$A$64,0)),""))</f>
        <v/>
      </c>
      <c r="O866" s="35">
        <f>IF($F866="","",IFERROR(INDEX(사건마스터!$AL$5:$AL$64,MATCH($F866,사건마스터!$A$5:$A$64,0)),""))</f>
        <v/>
      </c>
      <c r="P866" s="35">
        <f>IF($F866="","",IFERROR(INDEX(사건마스터!$AM$5:$AM$64,MATCH($F866,사건마스터!$A$5:$A$64,0)),""))</f>
        <v/>
      </c>
      <c r="Q866" s="35">
        <f>IF($F866="","",IFERROR(INDEX(사건마스터!$AN$5:$AN$64,MATCH($F866,사건마스터!$A$5:$A$64,0)),""))</f>
        <v/>
      </c>
      <c r="R866" s="35">
        <f>IF($F866="","",IFERROR(INDEX(사건마스터!$AO$5:$AO$64,MATCH($F866,사건마스터!$A$5:$A$64,0)),""))</f>
        <v/>
      </c>
      <c r="S866" s="35">
        <f>IF($F866="","",IFERROR(INDEX(사건마스터!$AP$5:$AP$64,MATCH($F866,사건마스터!$A$5:$A$64,0)),""))</f>
        <v/>
      </c>
      <c r="T866" s="35">
        <f>IF($F866="","",IFERROR(INDEX(사건마스터!$AQ$5:$AQ$64,MATCH($F866,사건마스터!$A$5:$A$64,0)),""))</f>
        <v/>
      </c>
      <c r="U866" s="35">
        <f>IF($F866="","",IFERROR(INDEX(사건마스터!$AR$5:$AR$64,MATCH($F866,사건마스터!$A$5:$A$64,0)),""))</f>
        <v/>
      </c>
      <c r="V866" s="35">
        <f>IF($F866="","",IFERROR(INDEX(사건마스터!$AS$5:$AS$64,MATCH($F866,사건마스터!$A$5:$A$64,0)),""))</f>
        <v/>
      </c>
      <c r="W866" s="35">
        <f>IF($F866="","",IFERROR(INDEX(사건마스터!$AT$5:$AT$64,MATCH($F866,사건마스터!$A$5:$A$64,0)),""))</f>
        <v/>
      </c>
      <c r="X866" s="35">
        <f>IF($F866="","",IFERROR(INDEX(사건마스터!$AU$5:$AU$64,MATCH($F866,사건마스터!$A$5:$A$64,0)),""))</f>
        <v/>
      </c>
      <c r="Y866" s="35">
        <f>IF($F866="","",IFERROR(INDEX(사건마스터!$AV$5:$AV$64,MATCH($F866,사건마스터!$A$5:$A$64,0)),""))</f>
        <v/>
      </c>
      <c r="Z866" s="30">
        <f>IF(COUNTBLANK($J866:$Y866)=16,"",16-COUNTBLANK($J866:$Y866))</f>
        <v/>
      </c>
      <c r="AA866" s="33">
        <f>IF($J866="",MID($AX866,3,255),$J866&amp;$AX866)</f>
        <v/>
      </c>
      <c r="AB866" s="34">
        <f>IF($J866="","",IFERROR(INDEX(코드설정!$D$5:$D$24,MATCH($J866,코드설정!$C$5:$C$24,0)),""))</f>
        <v/>
      </c>
      <c r="AC866" s="36" t="n"/>
      <c r="AD866" s="37" t="n"/>
      <c r="AE866" s="38" t="n"/>
      <c r="AF866" s="30">
        <f>IF(OR($B866="",$C866=""),"",$C866-$B866+1)</f>
        <v/>
      </c>
      <c r="AG866" s="32" t="n"/>
      <c r="AH866" s="36" t="n"/>
      <c r="AJ866">
        <f>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  <c r="AX866">
        <f>AW866&amp;IF($Y866="","",", "&amp;$Y866)</f>
        <v/>
      </c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0">
        <f>IF($F867="","",COUNTIF($F$5:$F867,$F867))</f>
        <v/>
      </c>
      <c r="H867" s="33">
        <f>IF($F867="","",IFERROR(INDEX(사건마스터!$B$5:$B$64,MATCH($F867,사건마스터!$A$5:$A$64,0)),""))</f>
        <v/>
      </c>
      <c r="I867" s="34">
        <f>IF($F867="","",IFERROR(INDEX(사건마스터!$C$5:$C$64,MATCH($F867,사건마스터!$A$5:$A$64,0)),""))</f>
        <v/>
      </c>
      <c r="J867" s="35">
        <f>IF($F867="","",IFERROR(INDEX(사건마스터!$H$5:$H$64,MATCH($F867,사건마스터!$A$5:$A$64,0)),""))</f>
        <v/>
      </c>
      <c r="K867" s="35">
        <f>IF($F867="","",IFERROR(INDEX(사건마스터!$AH$5:$AH$64,MATCH($F867,사건마스터!$A$5:$A$64,0)),""))</f>
        <v/>
      </c>
      <c r="L867" s="35">
        <f>IF($F867="","",IFERROR(INDEX(사건마스터!$AI$5:$AI$64,MATCH($F867,사건마스터!$A$5:$A$64,0)),""))</f>
        <v/>
      </c>
      <c r="M867" s="35">
        <f>IF($F867="","",IFERROR(INDEX(사건마스터!$AJ$5:$AJ$64,MATCH($F867,사건마스터!$A$5:$A$64,0)),""))</f>
        <v/>
      </c>
      <c r="N867" s="35">
        <f>IF($F867="","",IFERROR(INDEX(사건마스터!$AK$5:$AK$64,MATCH($F867,사건마스터!$A$5:$A$64,0)),""))</f>
        <v/>
      </c>
      <c r="O867" s="35">
        <f>IF($F867="","",IFERROR(INDEX(사건마스터!$AL$5:$AL$64,MATCH($F867,사건마스터!$A$5:$A$64,0)),""))</f>
        <v/>
      </c>
      <c r="P867" s="35">
        <f>IF($F867="","",IFERROR(INDEX(사건마스터!$AM$5:$AM$64,MATCH($F867,사건마스터!$A$5:$A$64,0)),""))</f>
        <v/>
      </c>
      <c r="Q867" s="35">
        <f>IF($F867="","",IFERROR(INDEX(사건마스터!$AN$5:$AN$64,MATCH($F867,사건마스터!$A$5:$A$64,0)),""))</f>
        <v/>
      </c>
      <c r="R867" s="35">
        <f>IF($F867="","",IFERROR(INDEX(사건마스터!$AO$5:$AO$64,MATCH($F867,사건마스터!$A$5:$A$64,0)),""))</f>
        <v/>
      </c>
      <c r="S867" s="35">
        <f>IF($F867="","",IFERROR(INDEX(사건마스터!$AP$5:$AP$64,MATCH($F867,사건마스터!$A$5:$A$64,0)),""))</f>
        <v/>
      </c>
      <c r="T867" s="35">
        <f>IF($F867="","",IFERROR(INDEX(사건마스터!$AQ$5:$AQ$64,MATCH($F867,사건마스터!$A$5:$A$64,0)),""))</f>
        <v/>
      </c>
      <c r="U867" s="35">
        <f>IF($F867="","",IFERROR(INDEX(사건마스터!$AR$5:$AR$64,MATCH($F867,사건마스터!$A$5:$A$64,0)),""))</f>
        <v/>
      </c>
      <c r="V867" s="35">
        <f>IF($F867="","",IFERROR(INDEX(사건마스터!$AS$5:$AS$64,MATCH($F867,사건마스터!$A$5:$A$64,0)),""))</f>
        <v/>
      </c>
      <c r="W867" s="35">
        <f>IF($F867="","",IFERROR(INDEX(사건마스터!$AT$5:$AT$64,MATCH($F867,사건마스터!$A$5:$A$64,0)),""))</f>
        <v/>
      </c>
      <c r="X867" s="35">
        <f>IF($F867="","",IFERROR(INDEX(사건마스터!$AU$5:$AU$64,MATCH($F867,사건마스터!$A$5:$A$64,0)),""))</f>
        <v/>
      </c>
      <c r="Y867" s="35">
        <f>IF($F867="","",IFERROR(INDEX(사건마스터!$AV$5:$AV$64,MATCH($F867,사건마스터!$A$5:$A$64,0)),""))</f>
        <v/>
      </c>
      <c r="Z867" s="30">
        <f>IF(COUNTBLANK($J867:$Y867)=16,"",16-COUNTBLANK($J867:$Y867))</f>
        <v/>
      </c>
      <c r="AA867" s="33">
        <f>IF($J867="",MID($AX867,3,255),$J867&amp;$AX867)</f>
        <v/>
      </c>
      <c r="AB867" s="34">
        <f>IF($J867="","",IFERROR(INDEX(코드설정!$D$5:$D$24,MATCH($J867,코드설정!$C$5:$C$24,0)),""))</f>
        <v/>
      </c>
      <c r="AC867" s="36" t="n"/>
      <c r="AD867" s="37" t="n"/>
      <c r="AE867" s="38" t="n"/>
      <c r="AF867" s="30">
        <f>IF(OR($B867="",$C867=""),"",$C867-$B867+1)</f>
        <v/>
      </c>
      <c r="AG867" s="32" t="n"/>
      <c r="AH867" s="36" t="n"/>
      <c r="AJ867">
        <f>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  <c r="AX867">
        <f>AW867&amp;IF($Y867="","",", "&amp;$Y867)</f>
        <v/>
      </c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0">
        <f>IF($F868="","",COUNTIF($F$5:$F868,$F868))</f>
        <v/>
      </c>
      <c r="H868" s="33">
        <f>IF($F868="","",IFERROR(INDEX(사건마스터!$B$5:$B$64,MATCH($F868,사건마스터!$A$5:$A$64,0)),""))</f>
        <v/>
      </c>
      <c r="I868" s="34">
        <f>IF($F868="","",IFERROR(INDEX(사건마스터!$C$5:$C$64,MATCH($F868,사건마스터!$A$5:$A$64,0)),""))</f>
        <v/>
      </c>
      <c r="J868" s="35">
        <f>IF($F868="","",IFERROR(INDEX(사건마스터!$H$5:$H$64,MATCH($F868,사건마스터!$A$5:$A$64,0)),""))</f>
        <v/>
      </c>
      <c r="K868" s="35">
        <f>IF($F868="","",IFERROR(INDEX(사건마스터!$AH$5:$AH$64,MATCH($F868,사건마스터!$A$5:$A$64,0)),""))</f>
        <v/>
      </c>
      <c r="L868" s="35">
        <f>IF($F868="","",IFERROR(INDEX(사건마스터!$AI$5:$AI$64,MATCH($F868,사건마스터!$A$5:$A$64,0)),""))</f>
        <v/>
      </c>
      <c r="M868" s="35">
        <f>IF($F868="","",IFERROR(INDEX(사건마스터!$AJ$5:$AJ$64,MATCH($F868,사건마스터!$A$5:$A$64,0)),""))</f>
        <v/>
      </c>
      <c r="N868" s="35">
        <f>IF($F868="","",IFERROR(INDEX(사건마스터!$AK$5:$AK$64,MATCH($F868,사건마스터!$A$5:$A$64,0)),""))</f>
        <v/>
      </c>
      <c r="O868" s="35">
        <f>IF($F868="","",IFERROR(INDEX(사건마스터!$AL$5:$AL$64,MATCH($F868,사건마스터!$A$5:$A$64,0)),""))</f>
        <v/>
      </c>
      <c r="P868" s="35">
        <f>IF($F868="","",IFERROR(INDEX(사건마스터!$AM$5:$AM$64,MATCH($F868,사건마스터!$A$5:$A$64,0)),""))</f>
        <v/>
      </c>
      <c r="Q868" s="35">
        <f>IF($F868="","",IFERROR(INDEX(사건마스터!$AN$5:$AN$64,MATCH($F868,사건마스터!$A$5:$A$64,0)),""))</f>
        <v/>
      </c>
      <c r="R868" s="35">
        <f>IF($F868="","",IFERROR(INDEX(사건마스터!$AO$5:$AO$64,MATCH($F868,사건마스터!$A$5:$A$64,0)),""))</f>
        <v/>
      </c>
      <c r="S868" s="35">
        <f>IF($F868="","",IFERROR(INDEX(사건마스터!$AP$5:$AP$64,MATCH($F868,사건마스터!$A$5:$A$64,0)),""))</f>
        <v/>
      </c>
      <c r="T868" s="35">
        <f>IF($F868="","",IFERROR(INDEX(사건마스터!$AQ$5:$AQ$64,MATCH($F868,사건마스터!$A$5:$A$64,0)),""))</f>
        <v/>
      </c>
      <c r="U868" s="35">
        <f>IF($F868="","",IFERROR(INDEX(사건마스터!$AR$5:$AR$64,MATCH($F868,사건마스터!$A$5:$A$64,0)),""))</f>
        <v/>
      </c>
      <c r="V868" s="35">
        <f>IF($F868="","",IFERROR(INDEX(사건마스터!$AS$5:$AS$64,MATCH($F868,사건마스터!$A$5:$A$64,0)),""))</f>
        <v/>
      </c>
      <c r="W868" s="35">
        <f>IF($F868="","",IFERROR(INDEX(사건마스터!$AT$5:$AT$64,MATCH($F868,사건마스터!$A$5:$A$64,0)),""))</f>
        <v/>
      </c>
      <c r="X868" s="35">
        <f>IF($F868="","",IFERROR(INDEX(사건마스터!$AU$5:$AU$64,MATCH($F868,사건마스터!$A$5:$A$64,0)),""))</f>
        <v/>
      </c>
      <c r="Y868" s="35">
        <f>IF($F868="","",IFERROR(INDEX(사건마스터!$AV$5:$AV$64,MATCH($F868,사건마스터!$A$5:$A$64,0)),""))</f>
        <v/>
      </c>
      <c r="Z868" s="30">
        <f>IF(COUNTBLANK($J868:$Y868)=16,"",16-COUNTBLANK($J868:$Y868))</f>
        <v/>
      </c>
      <c r="AA868" s="33">
        <f>IF($J868="",MID($AX868,3,255),$J868&amp;$AX868)</f>
        <v/>
      </c>
      <c r="AB868" s="34">
        <f>IF($J868="","",IFERROR(INDEX(코드설정!$D$5:$D$24,MATCH($J868,코드설정!$C$5:$C$24,0)),""))</f>
        <v/>
      </c>
      <c r="AC868" s="36" t="n"/>
      <c r="AD868" s="37" t="n"/>
      <c r="AE868" s="38" t="n"/>
      <c r="AF868" s="30">
        <f>IF(OR($B868="",$C868=""),"",$C868-$B868+1)</f>
        <v/>
      </c>
      <c r="AG868" s="32" t="n"/>
      <c r="AH868" s="36" t="n"/>
      <c r="AJ868">
        <f>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  <c r="AX868">
        <f>AW868&amp;IF($Y868="","",", "&amp;$Y868)</f>
        <v/>
      </c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0">
        <f>IF($F869="","",COUNTIF($F$5:$F869,$F869))</f>
        <v/>
      </c>
      <c r="H869" s="33">
        <f>IF($F869="","",IFERROR(INDEX(사건마스터!$B$5:$B$64,MATCH($F869,사건마스터!$A$5:$A$64,0)),""))</f>
        <v/>
      </c>
      <c r="I869" s="34">
        <f>IF($F869="","",IFERROR(INDEX(사건마스터!$C$5:$C$64,MATCH($F869,사건마스터!$A$5:$A$64,0)),""))</f>
        <v/>
      </c>
      <c r="J869" s="35">
        <f>IF($F869="","",IFERROR(INDEX(사건마스터!$H$5:$H$64,MATCH($F869,사건마스터!$A$5:$A$64,0)),""))</f>
        <v/>
      </c>
      <c r="K869" s="35">
        <f>IF($F869="","",IFERROR(INDEX(사건마스터!$AH$5:$AH$64,MATCH($F869,사건마스터!$A$5:$A$64,0)),""))</f>
        <v/>
      </c>
      <c r="L869" s="35">
        <f>IF($F869="","",IFERROR(INDEX(사건마스터!$AI$5:$AI$64,MATCH($F869,사건마스터!$A$5:$A$64,0)),""))</f>
        <v/>
      </c>
      <c r="M869" s="35">
        <f>IF($F869="","",IFERROR(INDEX(사건마스터!$AJ$5:$AJ$64,MATCH($F869,사건마스터!$A$5:$A$64,0)),""))</f>
        <v/>
      </c>
      <c r="N869" s="35">
        <f>IF($F869="","",IFERROR(INDEX(사건마스터!$AK$5:$AK$64,MATCH($F869,사건마스터!$A$5:$A$64,0)),""))</f>
        <v/>
      </c>
      <c r="O869" s="35">
        <f>IF($F869="","",IFERROR(INDEX(사건마스터!$AL$5:$AL$64,MATCH($F869,사건마스터!$A$5:$A$64,0)),""))</f>
        <v/>
      </c>
      <c r="P869" s="35">
        <f>IF($F869="","",IFERROR(INDEX(사건마스터!$AM$5:$AM$64,MATCH($F869,사건마스터!$A$5:$A$64,0)),""))</f>
        <v/>
      </c>
      <c r="Q869" s="35">
        <f>IF($F869="","",IFERROR(INDEX(사건마스터!$AN$5:$AN$64,MATCH($F869,사건마스터!$A$5:$A$64,0)),""))</f>
        <v/>
      </c>
      <c r="R869" s="35">
        <f>IF($F869="","",IFERROR(INDEX(사건마스터!$AO$5:$AO$64,MATCH($F869,사건마스터!$A$5:$A$64,0)),""))</f>
        <v/>
      </c>
      <c r="S869" s="35">
        <f>IF($F869="","",IFERROR(INDEX(사건마스터!$AP$5:$AP$64,MATCH($F869,사건마스터!$A$5:$A$64,0)),""))</f>
        <v/>
      </c>
      <c r="T869" s="35">
        <f>IF($F869="","",IFERROR(INDEX(사건마스터!$AQ$5:$AQ$64,MATCH($F869,사건마스터!$A$5:$A$64,0)),""))</f>
        <v/>
      </c>
      <c r="U869" s="35">
        <f>IF($F869="","",IFERROR(INDEX(사건마스터!$AR$5:$AR$64,MATCH($F869,사건마스터!$A$5:$A$64,0)),""))</f>
        <v/>
      </c>
      <c r="V869" s="35">
        <f>IF($F869="","",IFERROR(INDEX(사건마스터!$AS$5:$AS$64,MATCH($F869,사건마스터!$A$5:$A$64,0)),""))</f>
        <v/>
      </c>
      <c r="W869" s="35">
        <f>IF($F869="","",IFERROR(INDEX(사건마스터!$AT$5:$AT$64,MATCH($F869,사건마스터!$A$5:$A$64,0)),""))</f>
        <v/>
      </c>
      <c r="X869" s="35">
        <f>IF($F869="","",IFERROR(INDEX(사건마스터!$AU$5:$AU$64,MATCH($F869,사건마스터!$A$5:$A$64,0)),""))</f>
        <v/>
      </c>
      <c r="Y869" s="35">
        <f>IF($F869="","",IFERROR(INDEX(사건마스터!$AV$5:$AV$64,MATCH($F869,사건마스터!$A$5:$A$64,0)),""))</f>
        <v/>
      </c>
      <c r="Z869" s="30">
        <f>IF(COUNTBLANK($J869:$Y869)=16,"",16-COUNTBLANK($J869:$Y869))</f>
        <v/>
      </c>
      <c r="AA869" s="33">
        <f>IF($J869="",MID($AX869,3,255),$J869&amp;$AX869)</f>
        <v/>
      </c>
      <c r="AB869" s="34">
        <f>IF($J869="","",IFERROR(INDEX(코드설정!$D$5:$D$24,MATCH($J869,코드설정!$C$5:$C$24,0)),""))</f>
        <v/>
      </c>
      <c r="AC869" s="36" t="n"/>
      <c r="AD869" s="37" t="n"/>
      <c r="AE869" s="38" t="n"/>
      <c r="AF869" s="30">
        <f>IF(OR($B869="",$C869=""),"",$C869-$B869+1)</f>
        <v/>
      </c>
      <c r="AG869" s="32" t="n"/>
      <c r="AH869" s="36" t="n"/>
      <c r="AJ869">
        <f>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  <c r="AX869">
        <f>AW869&amp;IF($Y869="","",", "&amp;$Y869)</f>
        <v/>
      </c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0">
        <f>IF($F870="","",COUNTIF($F$5:$F870,$F870))</f>
        <v/>
      </c>
      <c r="H870" s="33">
        <f>IF($F870="","",IFERROR(INDEX(사건마스터!$B$5:$B$64,MATCH($F870,사건마스터!$A$5:$A$64,0)),""))</f>
        <v/>
      </c>
      <c r="I870" s="34">
        <f>IF($F870="","",IFERROR(INDEX(사건마스터!$C$5:$C$64,MATCH($F870,사건마스터!$A$5:$A$64,0)),""))</f>
        <v/>
      </c>
      <c r="J870" s="35">
        <f>IF($F870="","",IFERROR(INDEX(사건마스터!$H$5:$H$64,MATCH($F870,사건마스터!$A$5:$A$64,0)),""))</f>
        <v/>
      </c>
      <c r="K870" s="35">
        <f>IF($F870="","",IFERROR(INDEX(사건마스터!$AH$5:$AH$64,MATCH($F870,사건마스터!$A$5:$A$64,0)),""))</f>
        <v/>
      </c>
      <c r="L870" s="35">
        <f>IF($F870="","",IFERROR(INDEX(사건마스터!$AI$5:$AI$64,MATCH($F870,사건마스터!$A$5:$A$64,0)),""))</f>
        <v/>
      </c>
      <c r="M870" s="35">
        <f>IF($F870="","",IFERROR(INDEX(사건마스터!$AJ$5:$AJ$64,MATCH($F870,사건마스터!$A$5:$A$64,0)),""))</f>
        <v/>
      </c>
      <c r="N870" s="35">
        <f>IF($F870="","",IFERROR(INDEX(사건마스터!$AK$5:$AK$64,MATCH($F870,사건마스터!$A$5:$A$64,0)),""))</f>
        <v/>
      </c>
      <c r="O870" s="35">
        <f>IF($F870="","",IFERROR(INDEX(사건마스터!$AL$5:$AL$64,MATCH($F870,사건마스터!$A$5:$A$64,0)),""))</f>
        <v/>
      </c>
      <c r="P870" s="35">
        <f>IF($F870="","",IFERROR(INDEX(사건마스터!$AM$5:$AM$64,MATCH($F870,사건마스터!$A$5:$A$64,0)),""))</f>
        <v/>
      </c>
      <c r="Q870" s="35">
        <f>IF($F870="","",IFERROR(INDEX(사건마스터!$AN$5:$AN$64,MATCH($F870,사건마스터!$A$5:$A$64,0)),""))</f>
        <v/>
      </c>
      <c r="R870" s="35">
        <f>IF($F870="","",IFERROR(INDEX(사건마스터!$AO$5:$AO$64,MATCH($F870,사건마스터!$A$5:$A$64,0)),""))</f>
        <v/>
      </c>
      <c r="S870" s="35">
        <f>IF($F870="","",IFERROR(INDEX(사건마스터!$AP$5:$AP$64,MATCH($F870,사건마스터!$A$5:$A$64,0)),""))</f>
        <v/>
      </c>
      <c r="T870" s="35">
        <f>IF($F870="","",IFERROR(INDEX(사건마스터!$AQ$5:$AQ$64,MATCH($F870,사건마스터!$A$5:$A$64,0)),""))</f>
        <v/>
      </c>
      <c r="U870" s="35">
        <f>IF($F870="","",IFERROR(INDEX(사건마스터!$AR$5:$AR$64,MATCH($F870,사건마스터!$A$5:$A$64,0)),""))</f>
        <v/>
      </c>
      <c r="V870" s="35">
        <f>IF($F870="","",IFERROR(INDEX(사건마스터!$AS$5:$AS$64,MATCH($F870,사건마스터!$A$5:$A$64,0)),""))</f>
        <v/>
      </c>
      <c r="W870" s="35">
        <f>IF($F870="","",IFERROR(INDEX(사건마스터!$AT$5:$AT$64,MATCH($F870,사건마스터!$A$5:$A$64,0)),""))</f>
        <v/>
      </c>
      <c r="X870" s="35">
        <f>IF($F870="","",IFERROR(INDEX(사건마스터!$AU$5:$AU$64,MATCH($F870,사건마스터!$A$5:$A$64,0)),""))</f>
        <v/>
      </c>
      <c r="Y870" s="35">
        <f>IF($F870="","",IFERROR(INDEX(사건마스터!$AV$5:$AV$64,MATCH($F870,사건마스터!$A$5:$A$64,0)),""))</f>
        <v/>
      </c>
      <c r="Z870" s="30">
        <f>IF(COUNTBLANK($J870:$Y870)=16,"",16-COUNTBLANK($J870:$Y870))</f>
        <v/>
      </c>
      <c r="AA870" s="33">
        <f>IF($J870="",MID($AX870,3,255),$J870&amp;$AX870)</f>
        <v/>
      </c>
      <c r="AB870" s="34">
        <f>IF($J870="","",IFERROR(INDEX(코드설정!$D$5:$D$24,MATCH($J870,코드설정!$C$5:$C$24,0)),""))</f>
        <v/>
      </c>
      <c r="AC870" s="36" t="n"/>
      <c r="AD870" s="37" t="n"/>
      <c r="AE870" s="38" t="n"/>
      <c r="AF870" s="30">
        <f>IF(OR($B870="",$C870=""),"",$C870-$B870+1)</f>
        <v/>
      </c>
      <c r="AG870" s="32" t="n"/>
      <c r="AH870" s="36" t="n"/>
      <c r="AJ870">
        <f>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  <c r="AX870">
        <f>AW870&amp;IF($Y870="","",", "&amp;$Y870)</f>
        <v/>
      </c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0">
        <f>IF($F871="","",COUNTIF($F$5:$F871,$F871))</f>
        <v/>
      </c>
      <c r="H871" s="33">
        <f>IF($F871="","",IFERROR(INDEX(사건마스터!$B$5:$B$64,MATCH($F871,사건마스터!$A$5:$A$64,0)),""))</f>
        <v/>
      </c>
      <c r="I871" s="34">
        <f>IF($F871="","",IFERROR(INDEX(사건마스터!$C$5:$C$64,MATCH($F871,사건마스터!$A$5:$A$64,0)),""))</f>
        <v/>
      </c>
      <c r="J871" s="35">
        <f>IF($F871="","",IFERROR(INDEX(사건마스터!$H$5:$H$64,MATCH($F871,사건마스터!$A$5:$A$64,0)),""))</f>
        <v/>
      </c>
      <c r="K871" s="35">
        <f>IF($F871="","",IFERROR(INDEX(사건마스터!$AH$5:$AH$64,MATCH($F871,사건마스터!$A$5:$A$64,0)),""))</f>
        <v/>
      </c>
      <c r="L871" s="35">
        <f>IF($F871="","",IFERROR(INDEX(사건마스터!$AI$5:$AI$64,MATCH($F871,사건마스터!$A$5:$A$64,0)),""))</f>
        <v/>
      </c>
      <c r="M871" s="35">
        <f>IF($F871="","",IFERROR(INDEX(사건마스터!$AJ$5:$AJ$64,MATCH($F871,사건마스터!$A$5:$A$64,0)),""))</f>
        <v/>
      </c>
      <c r="N871" s="35">
        <f>IF($F871="","",IFERROR(INDEX(사건마스터!$AK$5:$AK$64,MATCH($F871,사건마스터!$A$5:$A$64,0)),""))</f>
        <v/>
      </c>
      <c r="O871" s="35">
        <f>IF($F871="","",IFERROR(INDEX(사건마스터!$AL$5:$AL$64,MATCH($F871,사건마스터!$A$5:$A$64,0)),""))</f>
        <v/>
      </c>
      <c r="P871" s="35">
        <f>IF($F871="","",IFERROR(INDEX(사건마스터!$AM$5:$AM$64,MATCH($F871,사건마스터!$A$5:$A$64,0)),""))</f>
        <v/>
      </c>
      <c r="Q871" s="35">
        <f>IF($F871="","",IFERROR(INDEX(사건마스터!$AN$5:$AN$64,MATCH($F871,사건마스터!$A$5:$A$64,0)),""))</f>
        <v/>
      </c>
      <c r="R871" s="35">
        <f>IF($F871="","",IFERROR(INDEX(사건마스터!$AO$5:$AO$64,MATCH($F871,사건마스터!$A$5:$A$64,0)),""))</f>
        <v/>
      </c>
      <c r="S871" s="35">
        <f>IF($F871="","",IFERROR(INDEX(사건마스터!$AP$5:$AP$64,MATCH($F871,사건마스터!$A$5:$A$64,0)),""))</f>
        <v/>
      </c>
      <c r="T871" s="35">
        <f>IF($F871="","",IFERROR(INDEX(사건마스터!$AQ$5:$AQ$64,MATCH($F871,사건마스터!$A$5:$A$64,0)),""))</f>
        <v/>
      </c>
      <c r="U871" s="35">
        <f>IF($F871="","",IFERROR(INDEX(사건마스터!$AR$5:$AR$64,MATCH($F871,사건마스터!$A$5:$A$64,0)),""))</f>
        <v/>
      </c>
      <c r="V871" s="35">
        <f>IF($F871="","",IFERROR(INDEX(사건마스터!$AS$5:$AS$64,MATCH($F871,사건마스터!$A$5:$A$64,0)),""))</f>
        <v/>
      </c>
      <c r="W871" s="35">
        <f>IF($F871="","",IFERROR(INDEX(사건마스터!$AT$5:$AT$64,MATCH($F871,사건마스터!$A$5:$A$64,0)),""))</f>
        <v/>
      </c>
      <c r="X871" s="35">
        <f>IF($F871="","",IFERROR(INDEX(사건마스터!$AU$5:$AU$64,MATCH($F871,사건마스터!$A$5:$A$64,0)),""))</f>
        <v/>
      </c>
      <c r="Y871" s="35">
        <f>IF($F871="","",IFERROR(INDEX(사건마스터!$AV$5:$AV$64,MATCH($F871,사건마스터!$A$5:$A$64,0)),""))</f>
        <v/>
      </c>
      <c r="Z871" s="30">
        <f>IF(COUNTBLANK($J871:$Y871)=16,"",16-COUNTBLANK($J871:$Y871))</f>
        <v/>
      </c>
      <c r="AA871" s="33">
        <f>IF($J871="",MID($AX871,3,255),$J871&amp;$AX871)</f>
        <v/>
      </c>
      <c r="AB871" s="34">
        <f>IF($J871="","",IFERROR(INDEX(코드설정!$D$5:$D$24,MATCH($J871,코드설정!$C$5:$C$24,0)),""))</f>
        <v/>
      </c>
      <c r="AC871" s="36" t="n"/>
      <c r="AD871" s="37" t="n"/>
      <c r="AE871" s="38" t="n"/>
      <c r="AF871" s="30">
        <f>IF(OR($B871="",$C871=""),"",$C871-$B871+1)</f>
        <v/>
      </c>
      <c r="AG871" s="32" t="n"/>
      <c r="AH871" s="36" t="n"/>
      <c r="AJ871">
        <f>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  <c r="AX871">
        <f>AW871&amp;IF($Y871="","",", "&amp;$Y871)</f>
        <v/>
      </c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0">
        <f>IF($F872="","",COUNTIF($F$5:$F872,$F872))</f>
        <v/>
      </c>
      <c r="H872" s="33">
        <f>IF($F872="","",IFERROR(INDEX(사건마스터!$B$5:$B$64,MATCH($F872,사건마스터!$A$5:$A$64,0)),""))</f>
        <v/>
      </c>
      <c r="I872" s="34">
        <f>IF($F872="","",IFERROR(INDEX(사건마스터!$C$5:$C$64,MATCH($F872,사건마스터!$A$5:$A$64,0)),""))</f>
        <v/>
      </c>
      <c r="J872" s="35">
        <f>IF($F872="","",IFERROR(INDEX(사건마스터!$H$5:$H$64,MATCH($F872,사건마스터!$A$5:$A$64,0)),""))</f>
        <v/>
      </c>
      <c r="K872" s="35">
        <f>IF($F872="","",IFERROR(INDEX(사건마스터!$AH$5:$AH$64,MATCH($F872,사건마스터!$A$5:$A$64,0)),""))</f>
        <v/>
      </c>
      <c r="L872" s="35">
        <f>IF($F872="","",IFERROR(INDEX(사건마스터!$AI$5:$AI$64,MATCH($F872,사건마스터!$A$5:$A$64,0)),""))</f>
        <v/>
      </c>
      <c r="M872" s="35">
        <f>IF($F872="","",IFERROR(INDEX(사건마스터!$AJ$5:$AJ$64,MATCH($F872,사건마스터!$A$5:$A$64,0)),""))</f>
        <v/>
      </c>
      <c r="N872" s="35">
        <f>IF($F872="","",IFERROR(INDEX(사건마스터!$AK$5:$AK$64,MATCH($F872,사건마스터!$A$5:$A$64,0)),""))</f>
        <v/>
      </c>
      <c r="O872" s="35">
        <f>IF($F872="","",IFERROR(INDEX(사건마스터!$AL$5:$AL$64,MATCH($F872,사건마스터!$A$5:$A$64,0)),""))</f>
        <v/>
      </c>
      <c r="P872" s="35">
        <f>IF($F872="","",IFERROR(INDEX(사건마스터!$AM$5:$AM$64,MATCH($F872,사건마스터!$A$5:$A$64,0)),""))</f>
        <v/>
      </c>
      <c r="Q872" s="35">
        <f>IF($F872="","",IFERROR(INDEX(사건마스터!$AN$5:$AN$64,MATCH($F872,사건마스터!$A$5:$A$64,0)),""))</f>
        <v/>
      </c>
      <c r="R872" s="35">
        <f>IF($F872="","",IFERROR(INDEX(사건마스터!$AO$5:$AO$64,MATCH($F872,사건마스터!$A$5:$A$64,0)),""))</f>
        <v/>
      </c>
      <c r="S872" s="35">
        <f>IF($F872="","",IFERROR(INDEX(사건마스터!$AP$5:$AP$64,MATCH($F872,사건마스터!$A$5:$A$64,0)),""))</f>
        <v/>
      </c>
      <c r="T872" s="35">
        <f>IF($F872="","",IFERROR(INDEX(사건마스터!$AQ$5:$AQ$64,MATCH($F872,사건마스터!$A$5:$A$64,0)),""))</f>
        <v/>
      </c>
      <c r="U872" s="35">
        <f>IF($F872="","",IFERROR(INDEX(사건마스터!$AR$5:$AR$64,MATCH($F872,사건마스터!$A$5:$A$64,0)),""))</f>
        <v/>
      </c>
      <c r="V872" s="35">
        <f>IF($F872="","",IFERROR(INDEX(사건마스터!$AS$5:$AS$64,MATCH($F872,사건마스터!$A$5:$A$64,0)),""))</f>
        <v/>
      </c>
      <c r="W872" s="35">
        <f>IF($F872="","",IFERROR(INDEX(사건마스터!$AT$5:$AT$64,MATCH($F872,사건마스터!$A$5:$A$64,0)),""))</f>
        <v/>
      </c>
      <c r="X872" s="35">
        <f>IF($F872="","",IFERROR(INDEX(사건마스터!$AU$5:$AU$64,MATCH($F872,사건마스터!$A$5:$A$64,0)),""))</f>
        <v/>
      </c>
      <c r="Y872" s="35">
        <f>IF($F872="","",IFERROR(INDEX(사건마스터!$AV$5:$AV$64,MATCH($F872,사건마스터!$A$5:$A$64,0)),""))</f>
        <v/>
      </c>
      <c r="Z872" s="30">
        <f>IF(COUNTBLANK($J872:$Y872)=16,"",16-COUNTBLANK($J872:$Y872))</f>
        <v/>
      </c>
      <c r="AA872" s="33">
        <f>IF($J872="",MID($AX872,3,255),$J872&amp;$AX872)</f>
        <v/>
      </c>
      <c r="AB872" s="34">
        <f>IF($J872="","",IFERROR(INDEX(코드설정!$D$5:$D$24,MATCH($J872,코드설정!$C$5:$C$24,0)),""))</f>
        <v/>
      </c>
      <c r="AC872" s="36" t="n"/>
      <c r="AD872" s="37" t="n"/>
      <c r="AE872" s="38" t="n"/>
      <c r="AF872" s="30">
        <f>IF(OR($B872="",$C872=""),"",$C872-$B872+1)</f>
        <v/>
      </c>
      <c r="AG872" s="32" t="n"/>
      <c r="AH872" s="36" t="n"/>
      <c r="AJ872">
        <f>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  <c r="AX872">
        <f>AW872&amp;IF($Y872="","",", "&amp;$Y872)</f>
        <v/>
      </c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0">
        <f>IF($F873="","",COUNTIF($F$5:$F873,$F873))</f>
        <v/>
      </c>
      <c r="H873" s="33">
        <f>IF($F873="","",IFERROR(INDEX(사건마스터!$B$5:$B$64,MATCH($F873,사건마스터!$A$5:$A$64,0)),""))</f>
        <v/>
      </c>
      <c r="I873" s="34">
        <f>IF($F873="","",IFERROR(INDEX(사건마스터!$C$5:$C$64,MATCH($F873,사건마스터!$A$5:$A$64,0)),""))</f>
        <v/>
      </c>
      <c r="J873" s="35">
        <f>IF($F873="","",IFERROR(INDEX(사건마스터!$H$5:$H$64,MATCH($F873,사건마스터!$A$5:$A$64,0)),""))</f>
        <v/>
      </c>
      <c r="K873" s="35">
        <f>IF($F873="","",IFERROR(INDEX(사건마스터!$AH$5:$AH$64,MATCH($F873,사건마스터!$A$5:$A$64,0)),""))</f>
        <v/>
      </c>
      <c r="L873" s="35">
        <f>IF($F873="","",IFERROR(INDEX(사건마스터!$AI$5:$AI$64,MATCH($F873,사건마스터!$A$5:$A$64,0)),""))</f>
        <v/>
      </c>
      <c r="M873" s="35">
        <f>IF($F873="","",IFERROR(INDEX(사건마스터!$AJ$5:$AJ$64,MATCH($F873,사건마스터!$A$5:$A$64,0)),""))</f>
        <v/>
      </c>
      <c r="N873" s="35">
        <f>IF($F873="","",IFERROR(INDEX(사건마스터!$AK$5:$AK$64,MATCH($F873,사건마스터!$A$5:$A$64,0)),""))</f>
        <v/>
      </c>
      <c r="O873" s="35">
        <f>IF($F873="","",IFERROR(INDEX(사건마스터!$AL$5:$AL$64,MATCH($F873,사건마스터!$A$5:$A$64,0)),""))</f>
        <v/>
      </c>
      <c r="P873" s="35">
        <f>IF($F873="","",IFERROR(INDEX(사건마스터!$AM$5:$AM$64,MATCH($F873,사건마스터!$A$5:$A$64,0)),""))</f>
        <v/>
      </c>
      <c r="Q873" s="35">
        <f>IF($F873="","",IFERROR(INDEX(사건마스터!$AN$5:$AN$64,MATCH($F873,사건마스터!$A$5:$A$64,0)),""))</f>
        <v/>
      </c>
      <c r="R873" s="35">
        <f>IF($F873="","",IFERROR(INDEX(사건마스터!$AO$5:$AO$64,MATCH($F873,사건마스터!$A$5:$A$64,0)),""))</f>
        <v/>
      </c>
      <c r="S873" s="35">
        <f>IF($F873="","",IFERROR(INDEX(사건마스터!$AP$5:$AP$64,MATCH($F873,사건마스터!$A$5:$A$64,0)),""))</f>
        <v/>
      </c>
      <c r="T873" s="35">
        <f>IF($F873="","",IFERROR(INDEX(사건마스터!$AQ$5:$AQ$64,MATCH($F873,사건마스터!$A$5:$A$64,0)),""))</f>
        <v/>
      </c>
      <c r="U873" s="35">
        <f>IF($F873="","",IFERROR(INDEX(사건마스터!$AR$5:$AR$64,MATCH($F873,사건마스터!$A$5:$A$64,0)),""))</f>
        <v/>
      </c>
      <c r="V873" s="35">
        <f>IF($F873="","",IFERROR(INDEX(사건마스터!$AS$5:$AS$64,MATCH($F873,사건마스터!$A$5:$A$64,0)),""))</f>
        <v/>
      </c>
      <c r="W873" s="35">
        <f>IF($F873="","",IFERROR(INDEX(사건마스터!$AT$5:$AT$64,MATCH($F873,사건마스터!$A$5:$A$64,0)),""))</f>
        <v/>
      </c>
      <c r="X873" s="35">
        <f>IF($F873="","",IFERROR(INDEX(사건마스터!$AU$5:$AU$64,MATCH($F873,사건마스터!$A$5:$A$64,0)),""))</f>
        <v/>
      </c>
      <c r="Y873" s="35">
        <f>IF($F873="","",IFERROR(INDEX(사건마스터!$AV$5:$AV$64,MATCH($F873,사건마스터!$A$5:$A$64,0)),""))</f>
        <v/>
      </c>
      <c r="Z873" s="30">
        <f>IF(COUNTBLANK($J873:$Y873)=16,"",16-COUNTBLANK($J873:$Y873))</f>
        <v/>
      </c>
      <c r="AA873" s="33">
        <f>IF($J873="",MID($AX873,3,255),$J873&amp;$AX873)</f>
        <v/>
      </c>
      <c r="AB873" s="34">
        <f>IF($J873="","",IFERROR(INDEX(코드설정!$D$5:$D$24,MATCH($J873,코드설정!$C$5:$C$24,0)),""))</f>
        <v/>
      </c>
      <c r="AC873" s="36" t="n"/>
      <c r="AD873" s="37" t="n"/>
      <c r="AE873" s="38" t="n"/>
      <c r="AF873" s="30">
        <f>IF(OR($B873="",$C873=""),"",$C873-$B873+1)</f>
        <v/>
      </c>
      <c r="AG873" s="32" t="n"/>
      <c r="AH873" s="36" t="n"/>
      <c r="AJ873">
        <f>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  <c r="AX873">
        <f>AW873&amp;IF($Y873="","",", "&amp;$Y873)</f>
        <v/>
      </c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0">
        <f>IF($F874="","",COUNTIF($F$5:$F874,$F874))</f>
        <v/>
      </c>
      <c r="H874" s="33">
        <f>IF($F874="","",IFERROR(INDEX(사건마스터!$B$5:$B$64,MATCH($F874,사건마스터!$A$5:$A$64,0)),""))</f>
        <v/>
      </c>
      <c r="I874" s="34">
        <f>IF($F874="","",IFERROR(INDEX(사건마스터!$C$5:$C$64,MATCH($F874,사건마스터!$A$5:$A$64,0)),""))</f>
        <v/>
      </c>
      <c r="J874" s="35">
        <f>IF($F874="","",IFERROR(INDEX(사건마스터!$H$5:$H$64,MATCH($F874,사건마스터!$A$5:$A$64,0)),""))</f>
        <v/>
      </c>
      <c r="K874" s="35">
        <f>IF($F874="","",IFERROR(INDEX(사건마스터!$AH$5:$AH$64,MATCH($F874,사건마스터!$A$5:$A$64,0)),""))</f>
        <v/>
      </c>
      <c r="L874" s="35">
        <f>IF($F874="","",IFERROR(INDEX(사건마스터!$AI$5:$AI$64,MATCH($F874,사건마스터!$A$5:$A$64,0)),""))</f>
        <v/>
      </c>
      <c r="M874" s="35">
        <f>IF($F874="","",IFERROR(INDEX(사건마스터!$AJ$5:$AJ$64,MATCH($F874,사건마스터!$A$5:$A$64,0)),""))</f>
        <v/>
      </c>
      <c r="N874" s="35">
        <f>IF($F874="","",IFERROR(INDEX(사건마스터!$AK$5:$AK$64,MATCH($F874,사건마스터!$A$5:$A$64,0)),""))</f>
        <v/>
      </c>
      <c r="O874" s="35">
        <f>IF($F874="","",IFERROR(INDEX(사건마스터!$AL$5:$AL$64,MATCH($F874,사건마스터!$A$5:$A$64,0)),""))</f>
        <v/>
      </c>
      <c r="P874" s="35">
        <f>IF($F874="","",IFERROR(INDEX(사건마스터!$AM$5:$AM$64,MATCH($F874,사건마스터!$A$5:$A$64,0)),""))</f>
        <v/>
      </c>
      <c r="Q874" s="35">
        <f>IF($F874="","",IFERROR(INDEX(사건마스터!$AN$5:$AN$64,MATCH($F874,사건마스터!$A$5:$A$64,0)),""))</f>
        <v/>
      </c>
      <c r="R874" s="35">
        <f>IF($F874="","",IFERROR(INDEX(사건마스터!$AO$5:$AO$64,MATCH($F874,사건마스터!$A$5:$A$64,0)),""))</f>
        <v/>
      </c>
      <c r="S874" s="35">
        <f>IF($F874="","",IFERROR(INDEX(사건마스터!$AP$5:$AP$64,MATCH($F874,사건마스터!$A$5:$A$64,0)),""))</f>
        <v/>
      </c>
      <c r="T874" s="35">
        <f>IF($F874="","",IFERROR(INDEX(사건마스터!$AQ$5:$AQ$64,MATCH($F874,사건마스터!$A$5:$A$64,0)),""))</f>
        <v/>
      </c>
      <c r="U874" s="35">
        <f>IF($F874="","",IFERROR(INDEX(사건마스터!$AR$5:$AR$64,MATCH($F874,사건마스터!$A$5:$A$64,0)),""))</f>
        <v/>
      </c>
      <c r="V874" s="35">
        <f>IF($F874="","",IFERROR(INDEX(사건마스터!$AS$5:$AS$64,MATCH($F874,사건마스터!$A$5:$A$64,0)),""))</f>
        <v/>
      </c>
      <c r="W874" s="35">
        <f>IF($F874="","",IFERROR(INDEX(사건마스터!$AT$5:$AT$64,MATCH($F874,사건마스터!$A$5:$A$64,0)),""))</f>
        <v/>
      </c>
      <c r="X874" s="35">
        <f>IF($F874="","",IFERROR(INDEX(사건마스터!$AU$5:$AU$64,MATCH($F874,사건마스터!$A$5:$A$64,0)),""))</f>
        <v/>
      </c>
      <c r="Y874" s="35">
        <f>IF($F874="","",IFERROR(INDEX(사건마스터!$AV$5:$AV$64,MATCH($F874,사건마스터!$A$5:$A$64,0)),""))</f>
        <v/>
      </c>
      <c r="Z874" s="30">
        <f>IF(COUNTBLANK($J874:$Y874)=16,"",16-COUNTBLANK($J874:$Y874))</f>
        <v/>
      </c>
      <c r="AA874" s="33">
        <f>IF($J874="",MID($AX874,3,255),$J874&amp;$AX874)</f>
        <v/>
      </c>
      <c r="AB874" s="34">
        <f>IF($J874="","",IFERROR(INDEX(코드설정!$D$5:$D$24,MATCH($J874,코드설정!$C$5:$C$24,0)),""))</f>
        <v/>
      </c>
      <c r="AC874" s="36" t="n"/>
      <c r="AD874" s="37" t="n"/>
      <c r="AE874" s="38" t="n"/>
      <c r="AF874" s="30">
        <f>IF(OR($B874="",$C874=""),"",$C874-$B874+1)</f>
        <v/>
      </c>
      <c r="AG874" s="32" t="n"/>
      <c r="AH874" s="36" t="n"/>
      <c r="AJ874">
        <f>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  <c r="AX874">
        <f>AW874&amp;IF($Y874="","",", "&amp;$Y874)</f>
        <v/>
      </c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0">
        <f>IF($F875="","",COUNTIF($F$5:$F875,$F875))</f>
        <v/>
      </c>
      <c r="H875" s="33">
        <f>IF($F875="","",IFERROR(INDEX(사건마스터!$B$5:$B$64,MATCH($F875,사건마스터!$A$5:$A$64,0)),""))</f>
        <v/>
      </c>
      <c r="I875" s="34">
        <f>IF($F875="","",IFERROR(INDEX(사건마스터!$C$5:$C$64,MATCH($F875,사건마스터!$A$5:$A$64,0)),""))</f>
        <v/>
      </c>
      <c r="J875" s="35">
        <f>IF($F875="","",IFERROR(INDEX(사건마스터!$H$5:$H$64,MATCH($F875,사건마스터!$A$5:$A$64,0)),""))</f>
        <v/>
      </c>
      <c r="K875" s="35">
        <f>IF($F875="","",IFERROR(INDEX(사건마스터!$AH$5:$AH$64,MATCH($F875,사건마스터!$A$5:$A$64,0)),""))</f>
        <v/>
      </c>
      <c r="L875" s="35">
        <f>IF($F875="","",IFERROR(INDEX(사건마스터!$AI$5:$AI$64,MATCH($F875,사건마스터!$A$5:$A$64,0)),""))</f>
        <v/>
      </c>
      <c r="M875" s="35">
        <f>IF($F875="","",IFERROR(INDEX(사건마스터!$AJ$5:$AJ$64,MATCH($F875,사건마스터!$A$5:$A$64,0)),""))</f>
        <v/>
      </c>
      <c r="N875" s="35">
        <f>IF($F875="","",IFERROR(INDEX(사건마스터!$AK$5:$AK$64,MATCH($F875,사건마스터!$A$5:$A$64,0)),""))</f>
        <v/>
      </c>
      <c r="O875" s="35">
        <f>IF($F875="","",IFERROR(INDEX(사건마스터!$AL$5:$AL$64,MATCH($F875,사건마스터!$A$5:$A$64,0)),""))</f>
        <v/>
      </c>
      <c r="P875" s="35">
        <f>IF($F875="","",IFERROR(INDEX(사건마스터!$AM$5:$AM$64,MATCH($F875,사건마스터!$A$5:$A$64,0)),""))</f>
        <v/>
      </c>
      <c r="Q875" s="35">
        <f>IF($F875="","",IFERROR(INDEX(사건마스터!$AN$5:$AN$64,MATCH($F875,사건마스터!$A$5:$A$64,0)),""))</f>
        <v/>
      </c>
      <c r="R875" s="35">
        <f>IF($F875="","",IFERROR(INDEX(사건마스터!$AO$5:$AO$64,MATCH($F875,사건마스터!$A$5:$A$64,0)),""))</f>
        <v/>
      </c>
      <c r="S875" s="35">
        <f>IF($F875="","",IFERROR(INDEX(사건마스터!$AP$5:$AP$64,MATCH($F875,사건마스터!$A$5:$A$64,0)),""))</f>
        <v/>
      </c>
      <c r="T875" s="35">
        <f>IF($F875="","",IFERROR(INDEX(사건마스터!$AQ$5:$AQ$64,MATCH($F875,사건마스터!$A$5:$A$64,0)),""))</f>
        <v/>
      </c>
      <c r="U875" s="35">
        <f>IF($F875="","",IFERROR(INDEX(사건마스터!$AR$5:$AR$64,MATCH($F875,사건마스터!$A$5:$A$64,0)),""))</f>
        <v/>
      </c>
      <c r="V875" s="35">
        <f>IF($F875="","",IFERROR(INDEX(사건마스터!$AS$5:$AS$64,MATCH($F875,사건마스터!$A$5:$A$64,0)),""))</f>
        <v/>
      </c>
      <c r="W875" s="35">
        <f>IF($F875="","",IFERROR(INDEX(사건마스터!$AT$5:$AT$64,MATCH($F875,사건마스터!$A$5:$A$64,0)),""))</f>
        <v/>
      </c>
      <c r="X875" s="35">
        <f>IF($F875="","",IFERROR(INDEX(사건마스터!$AU$5:$AU$64,MATCH($F875,사건마스터!$A$5:$A$64,0)),""))</f>
        <v/>
      </c>
      <c r="Y875" s="35">
        <f>IF($F875="","",IFERROR(INDEX(사건마스터!$AV$5:$AV$64,MATCH($F875,사건마스터!$A$5:$A$64,0)),""))</f>
        <v/>
      </c>
      <c r="Z875" s="30">
        <f>IF(COUNTBLANK($J875:$Y875)=16,"",16-COUNTBLANK($J875:$Y875))</f>
        <v/>
      </c>
      <c r="AA875" s="33">
        <f>IF($J875="",MID($AX875,3,255),$J875&amp;$AX875)</f>
        <v/>
      </c>
      <c r="AB875" s="34">
        <f>IF($J875="","",IFERROR(INDEX(코드설정!$D$5:$D$24,MATCH($J875,코드설정!$C$5:$C$24,0)),""))</f>
        <v/>
      </c>
      <c r="AC875" s="36" t="n"/>
      <c r="AD875" s="37" t="n"/>
      <c r="AE875" s="38" t="n"/>
      <c r="AF875" s="30">
        <f>IF(OR($B875="",$C875=""),"",$C875-$B875+1)</f>
        <v/>
      </c>
      <c r="AG875" s="32" t="n"/>
      <c r="AH875" s="36" t="n"/>
      <c r="AJ875">
        <f>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  <c r="AX875">
        <f>AW875&amp;IF($Y875="","",", "&amp;$Y875)</f>
        <v/>
      </c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0">
        <f>IF($F876="","",COUNTIF($F$5:$F876,$F876))</f>
        <v/>
      </c>
      <c r="H876" s="33">
        <f>IF($F876="","",IFERROR(INDEX(사건마스터!$B$5:$B$64,MATCH($F876,사건마스터!$A$5:$A$64,0)),""))</f>
        <v/>
      </c>
      <c r="I876" s="34">
        <f>IF($F876="","",IFERROR(INDEX(사건마스터!$C$5:$C$64,MATCH($F876,사건마스터!$A$5:$A$64,0)),""))</f>
        <v/>
      </c>
      <c r="J876" s="35">
        <f>IF($F876="","",IFERROR(INDEX(사건마스터!$H$5:$H$64,MATCH($F876,사건마스터!$A$5:$A$64,0)),""))</f>
        <v/>
      </c>
      <c r="K876" s="35">
        <f>IF($F876="","",IFERROR(INDEX(사건마스터!$AH$5:$AH$64,MATCH($F876,사건마스터!$A$5:$A$64,0)),""))</f>
        <v/>
      </c>
      <c r="L876" s="35">
        <f>IF($F876="","",IFERROR(INDEX(사건마스터!$AI$5:$AI$64,MATCH($F876,사건마스터!$A$5:$A$64,0)),""))</f>
        <v/>
      </c>
      <c r="M876" s="35">
        <f>IF($F876="","",IFERROR(INDEX(사건마스터!$AJ$5:$AJ$64,MATCH($F876,사건마스터!$A$5:$A$64,0)),""))</f>
        <v/>
      </c>
      <c r="N876" s="35">
        <f>IF($F876="","",IFERROR(INDEX(사건마스터!$AK$5:$AK$64,MATCH($F876,사건마스터!$A$5:$A$64,0)),""))</f>
        <v/>
      </c>
      <c r="O876" s="35">
        <f>IF($F876="","",IFERROR(INDEX(사건마스터!$AL$5:$AL$64,MATCH($F876,사건마스터!$A$5:$A$64,0)),""))</f>
        <v/>
      </c>
      <c r="P876" s="35">
        <f>IF($F876="","",IFERROR(INDEX(사건마스터!$AM$5:$AM$64,MATCH($F876,사건마스터!$A$5:$A$64,0)),""))</f>
        <v/>
      </c>
      <c r="Q876" s="35">
        <f>IF($F876="","",IFERROR(INDEX(사건마스터!$AN$5:$AN$64,MATCH($F876,사건마스터!$A$5:$A$64,0)),""))</f>
        <v/>
      </c>
      <c r="R876" s="35">
        <f>IF($F876="","",IFERROR(INDEX(사건마스터!$AO$5:$AO$64,MATCH($F876,사건마스터!$A$5:$A$64,0)),""))</f>
        <v/>
      </c>
      <c r="S876" s="35">
        <f>IF($F876="","",IFERROR(INDEX(사건마스터!$AP$5:$AP$64,MATCH($F876,사건마스터!$A$5:$A$64,0)),""))</f>
        <v/>
      </c>
      <c r="T876" s="35">
        <f>IF($F876="","",IFERROR(INDEX(사건마스터!$AQ$5:$AQ$64,MATCH($F876,사건마스터!$A$5:$A$64,0)),""))</f>
        <v/>
      </c>
      <c r="U876" s="35">
        <f>IF($F876="","",IFERROR(INDEX(사건마스터!$AR$5:$AR$64,MATCH($F876,사건마스터!$A$5:$A$64,0)),""))</f>
        <v/>
      </c>
      <c r="V876" s="35">
        <f>IF($F876="","",IFERROR(INDEX(사건마스터!$AS$5:$AS$64,MATCH($F876,사건마스터!$A$5:$A$64,0)),""))</f>
        <v/>
      </c>
      <c r="W876" s="35">
        <f>IF($F876="","",IFERROR(INDEX(사건마스터!$AT$5:$AT$64,MATCH($F876,사건마스터!$A$5:$A$64,0)),""))</f>
        <v/>
      </c>
      <c r="X876" s="35">
        <f>IF($F876="","",IFERROR(INDEX(사건마스터!$AU$5:$AU$64,MATCH($F876,사건마스터!$A$5:$A$64,0)),""))</f>
        <v/>
      </c>
      <c r="Y876" s="35">
        <f>IF($F876="","",IFERROR(INDEX(사건마스터!$AV$5:$AV$64,MATCH($F876,사건마스터!$A$5:$A$64,0)),""))</f>
        <v/>
      </c>
      <c r="Z876" s="30">
        <f>IF(COUNTBLANK($J876:$Y876)=16,"",16-COUNTBLANK($J876:$Y876))</f>
        <v/>
      </c>
      <c r="AA876" s="33">
        <f>IF($J876="",MID($AX876,3,255),$J876&amp;$AX876)</f>
        <v/>
      </c>
      <c r="AB876" s="34">
        <f>IF($J876="","",IFERROR(INDEX(코드설정!$D$5:$D$24,MATCH($J876,코드설정!$C$5:$C$24,0)),""))</f>
        <v/>
      </c>
      <c r="AC876" s="36" t="n"/>
      <c r="AD876" s="37" t="n"/>
      <c r="AE876" s="38" t="n"/>
      <c r="AF876" s="30">
        <f>IF(OR($B876="",$C876=""),"",$C876-$B876+1)</f>
        <v/>
      </c>
      <c r="AG876" s="32" t="n"/>
      <c r="AH876" s="36" t="n"/>
      <c r="AJ876">
        <f>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  <c r="AX876">
        <f>AW876&amp;IF($Y876="","",", "&amp;$Y876)</f>
        <v/>
      </c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0">
        <f>IF($F877="","",COUNTIF($F$5:$F877,$F877))</f>
        <v/>
      </c>
      <c r="H877" s="33">
        <f>IF($F877="","",IFERROR(INDEX(사건마스터!$B$5:$B$64,MATCH($F877,사건마스터!$A$5:$A$64,0)),""))</f>
        <v/>
      </c>
      <c r="I877" s="34">
        <f>IF($F877="","",IFERROR(INDEX(사건마스터!$C$5:$C$64,MATCH($F877,사건마스터!$A$5:$A$64,0)),""))</f>
        <v/>
      </c>
      <c r="J877" s="35">
        <f>IF($F877="","",IFERROR(INDEX(사건마스터!$H$5:$H$64,MATCH($F877,사건마스터!$A$5:$A$64,0)),""))</f>
        <v/>
      </c>
      <c r="K877" s="35">
        <f>IF($F877="","",IFERROR(INDEX(사건마스터!$AH$5:$AH$64,MATCH($F877,사건마스터!$A$5:$A$64,0)),""))</f>
        <v/>
      </c>
      <c r="L877" s="35">
        <f>IF($F877="","",IFERROR(INDEX(사건마스터!$AI$5:$AI$64,MATCH($F877,사건마스터!$A$5:$A$64,0)),""))</f>
        <v/>
      </c>
      <c r="M877" s="35">
        <f>IF($F877="","",IFERROR(INDEX(사건마스터!$AJ$5:$AJ$64,MATCH($F877,사건마스터!$A$5:$A$64,0)),""))</f>
        <v/>
      </c>
      <c r="N877" s="35">
        <f>IF($F877="","",IFERROR(INDEX(사건마스터!$AK$5:$AK$64,MATCH($F877,사건마스터!$A$5:$A$64,0)),""))</f>
        <v/>
      </c>
      <c r="O877" s="35">
        <f>IF($F877="","",IFERROR(INDEX(사건마스터!$AL$5:$AL$64,MATCH($F877,사건마스터!$A$5:$A$64,0)),""))</f>
        <v/>
      </c>
      <c r="P877" s="35">
        <f>IF($F877="","",IFERROR(INDEX(사건마스터!$AM$5:$AM$64,MATCH($F877,사건마스터!$A$5:$A$64,0)),""))</f>
        <v/>
      </c>
      <c r="Q877" s="35">
        <f>IF($F877="","",IFERROR(INDEX(사건마스터!$AN$5:$AN$64,MATCH($F877,사건마스터!$A$5:$A$64,0)),""))</f>
        <v/>
      </c>
      <c r="R877" s="35">
        <f>IF($F877="","",IFERROR(INDEX(사건마스터!$AO$5:$AO$64,MATCH($F877,사건마스터!$A$5:$A$64,0)),""))</f>
        <v/>
      </c>
      <c r="S877" s="35">
        <f>IF($F877="","",IFERROR(INDEX(사건마스터!$AP$5:$AP$64,MATCH($F877,사건마스터!$A$5:$A$64,0)),""))</f>
        <v/>
      </c>
      <c r="T877" s="35">
        <f>IF($F877="","",IFERROR(INDEX(사건마스터!$AQ$5:$AQ$64,MATCH($F877,사건마스터!$A$5:$A$64,0)),""))</f>
        <v/>
      </c>
      <c r="U877" s="35">
        <f>IF($F877="","",IFERROR(INDEX(사건마스터!$AR$5:$AR$64,MATCH($F877,사건마스터!$A$5:$A$64,0)),""))</f>
        <v/>
      </c>
      <c r="V877" s="35">
        <f>IF($F877="","",IFERROR(INDEX(사건마스터!$AS$5:$AS$64,MATCH($F877,사건마스터!$A$5:$A$64,0)),""))</f>
        <v/>
      </c>
      <c r="W877" s="35">
        <f>IF($F877="","",IFERROR(INDEX(사건마스터!$AT$5:$AT$64,MATCH($F877,사건마스터!$A$5:$A$64,0)),""))</f>
        <v/>
      </c>
      <c r="X877" s="35">
        <f>IF($F877="","",IFERROR(INDEX(사건마스터!$AU$5:$AU$64,MATCH($F877,사건마스터!$A$5:$A$64,0)),""))</f>
        <v/>
      </c>
      <c r="Y877" s="35">
        <f>IF($F877="","",IFERROR(INDEX(사건마스터!$AV$5:$AV$64,MATCH($F877,사건마스터!$A$5:$A$64,0)),""))</f>
        <v/>
      </c>
      <c r="Z877" s="30">
        <f>IF(COUNTBLANK($J877:$Y877)=16,"",16-COUNTBLANK($J877:$Y877))</f>
        <v/>
      </c>
      <c r="AA877" s="33">
        <f>IF($J877="",MID($AX877,3,255),$J877&amp;$AX877)</f>
        <v/>
      </c>
      <c r="AB877" s="34">
        <f>IF($J877="","",IFERROR(INDEX(코드설정!$D$5:$D$24,MATCH($J877,코드설정!$C$5:$C$24,0)),""))</f>
        <v/>
      </c>
      <c r="AC877" s="36" t="n"/>
      <c r="AD877" s="37" t="n"/>
      <c r="AE877" s="38" t="n"/>
      <c r="AF877" s="30">
        <f>IF(OR($B877="",$C877=""),"",$C877-$B877+1)</f>
        <v/>
      </c>
      <c r="AG877" s="32" t="n"/>
      <c r="AH877" s="36" t="n"/>
      <c r="AJ877">
        <f>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  <c r="AX877">
        <f>AW877&amp;IF($Y877="","",", "&amp;$Y877)</f>
        <v/>
      </c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0">
        <f>IF($F878="","",COUNTIF($F$5:$F878,$F878))</f>
        <v/>
      </c>
      <c r="H878" s="33">
        <f>IF($F878="","",IFERROR(INDEX(사건마스터!$B$5:$B$64,MATCH($F878,사건마스터!$A$5:$A$64,0)),""))</f>
        <v/>
      </c>
      <c r="I878" s="34">
        <f>IF($F878="","",IFERROR(INDEX(사건마스터!$C$5:$C$64,MATCH($F878,사건마스터!$A$5:$A$64,0)),""))</f>
        <v/>
      </c>
      <c r="J878" s="35">
        <f>IF($F878="","",IFERROR(INDEX(사건마스터!$H$5:$H$64,MATCH($F878,사건마스터!$A$5:$A$64,0)),""))</f>
        <v/>
      </c>
      <c r="K878" s="35">
        <f>IF($F878="","",IFERROR(INDEX(사건마스터!$AH$5:$AH$64,MATCH($F878,사건마스터!$A$5:$A$64,0)),""))</f>
        <v/>
      </c>
      <c r="L878" s="35">
        <f>IF($F878="","",IFERROR(INDEX(사건마스터!$AI$5:$AI$64,MATCH($F878,사건마스터!$A$5:$A$64,0)),""))</f>
        <v/>
      </c>
      <c r="M878" s="35">
        <f>IF($F878="","",IFERROR(INDEX(사건마스터!$AJ$5:$AJ$64,MATCH($F878,사건마스터!$A$5:$A$64,0)),""))</f>
        <v/>
      </c>
      <c r="N878" s="35">
        <f>IF($F878="","",IFERROR(INDEX(사건마스터!$AK$5:$AK$64,MATCH($F878,사건마스터!$A$5:$A$64,0)),""))</f>
        <v/>
      </c>
      <c r="O878" s="35">
        <f>IF($F878="","",IFERROR(INDEX(사건마스터!$AL$5:$AL$64,MATCH($F878,사건마스터!$A$5:$A$64,0)),""))</f>
        <v/>
      </c>
      <c r="P878" s="35">
        <f>IF($F878="","",IFERROR(INDEX(사건마스터!$AM$5:$AM$64,MATCH($F878,사건마스터!$A$5:$A$64,0)),""))</f>
        <v/>
      </c>
      <c r="Q878" s="35">
        <f>IF($F878="","",IFERROR(INDEX(사건마스터!$AN$5:$AN$64,MATCH($F878,사건마스터!$A$5:$A$64,0)),""))</f>
        <v/>
      </c>
      <c r="R878" s="35">
        <f>IF($F878="","",IFERROR(INDEX(사건마스터!$AO$5:$AO$64,MATCH($F878,사건마스터!$A$5:$A$64,0)),""))</f>
        <v/>
      </c>
      <c r="S878" s="35">
        <f>IF($F878="","",IFERROR(INDEX(사건마스터!$AP$5:$AP$64,MATCH($F878,사건마스터!$A$5:$A$64,0)),""))</f>
        <v/>
      </c>
      <c r="T878" s="35">
        <f>IF($F878="","",IFERROR(INDEX(사건마스터!$AQ$5:$AQ$64,MATCH($F878,사건마스터!$A$5:$A$64,0)),""))</f>
        <v/>
      </c>
      <c r="U878" s="35">
        <f>IF($F878="","",IFERROR(INDEX(사건마스터!$AR$5:$AR$64,MATCH($F878,사건마스터!$A$5:$A$64,0)),""))</f>
        <v/>
      </c>
      <c r="V878" s="35">
        <f>IF($F878="","",IFERROR(INDEX(사건마스터!$AS$5:$AS$64,MATCH($F878,사건마스터!$A$5:$A$64,0)),""))</f>
        <v/>
      </c>
      <c r="W878" s="35">
        <f>IF($F878="","",IFERROR(INDEX(사건마스터!$AT$5:$AT$64,MATCH($F878,사건마스터!$A$5:$A$64,0)),""))</f>
        <v/>
      </c>
      <c r="X878" s="35">
        <f>IF($F878="","",IFERROR(INDEX(사건마스터!$AU$5:$AU$64,MATCH($F878,사건마스터!$A$5:$A$64,0)),""))</f>
        <v/>
      </c>
      <c r="Y878" s="35">
        <f>IF($F878="","",IFERROR(INDEX(사건마스터!$AV$5:$AV$64,MATCH($F878,사건마스터!$A$5:$A$64,0)),""))</f>
        <v/>
      </c>
      <c r="Z878" s="30">
        <f>IF(COUNTBLANK($J878:$Y878)=16,"",16-COUNTBLANK($J878:$Y878))</f>
        <v/>
      </c>
      <c r="AA878" s="33">
        <f>IF($J878="",MID($AX878,3,255),$J878&amp;$AX878)</f>
        <v/>
      </c>
      <c r="AB878" s="34">
        <f>IF($J878="","",IFERROR(INDEX(코드설정!$D$5:$D$24,MATCH($J878,코드설정!$C$5:$C$24,0)),""))</f>
        <v/>
      </c>
      <c r="AC878" s="36" t="n"/>
      <c r="AD878" s="37" t="n"/>
      <c r="AE878" s="38" t="n"/>
      <c r="AF878" s="30">
        <f>IF(OR($B878="",$C878=""),"",$C878-$B878+1)</f>
        <v/>
      </c>
      <c r="AG878" s="32" t="n"/>
      <c r="AH878" s="36" t="n"/>
      <c r="AJ878">
        <f>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  <c r="AX878">
        <f>AW878&amp;IF($Y878="","",", "&amp;$Y878)</f>
        <v/>
      </c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0">
        <f>IF($F879="","",COUNTIF($F$5:$F879,$F879))</f>
        <v/>
      </c>
      <c r="H879" s="33">
        <f>IF($F879="","",IFERROR(INDEX(사건마스터!$B$5:$B$64,MATCH($F879,사건마스터!$A$5:$A$64,0)),""))</f>
        <v/>
      </c>
      <c r="I879" s="34">
        <f>IF($F879="","",IFERROR(INDEX(사건마스터!$C$5:$C$64,MATCH($F879,사건마스터!$A$5:$A$64,0)),""))</f>
        <v/>
      </c>
      <c r="J879" s="35">
        <f>IF($F879="","",IFERROR(INDEX(사건마스터!$H$5:$H$64,MATCH($F879,사건마스터!$A$5:$A$64,0)),""))</f>
        <v/>
      </c>
      <c r="K879" s="35">
        <f>IF($F879="","",IFERROR(INDEX(사건마스터!$AH$5:$AH$64,MATCH($F879,사건마스터!$A$5:$A$64,0)),""))</f>
        <v/>
      </c>
      <c r="L879" s="35">
        <f>IF($F879="","",IFERROR(INDEX(사건마스터!$AI$5:$AI$64,MATCH($F879,사건마스터!$A$5:$A$64,0)),""))</f>
        <v/>
      </c>
      <c r="M879" s="35">
        <f>IF($F879="","",IFERROR(INDEX(사건마스터!$AJ$5:$AJ$64,MATCH($F879,사건마스터!$A$5:$A$64,0)),""))</f>
        <v/>
      </c>
      <c r="N879" s="35">
        <f>IF($F879="","",IFERROR(INDEX(사건마스터!$AK$5:$AK$64,MATCH($F879,사건마스터!$A$5:$A$64,0)),""))</f>
        <v/>
      </c>
      <c r="O879" s="35">
        <f>IF($F879="","",IFERROR(INDEX(사건마스터!$AL$5:$AL$64,MATCH($F879,사건마스터!$A$5:$A$64,0)),""))</f>
        <v/>
      </c>
      <c r="P879" s="35">
        <f>IF($F879="","",IFERROR(INDEX(사건마스터!$AM$5:$AM$64,MATCH($F879,사건마스터!$A$5:$A$64,0)),""))</f>
        <v/>
      </c>
      <c r="Q879" s="35">
        <f>IF($F879="","",IFERROR(INDEX(사건마스터!$AN$5:$AN$64,MATCH($F879,사건마스터!$A$5:$A$64,0)),""))</f>
        <v/>
      </c>
      <c r="R879" s="35">
        <f>IF($F879="","",IFERROR(INDEX(사건마스터!$AO$5:$AO$64,MATCH($F879,사건마스터!$A$5:$A$64,0)),""))</f>
        <v/>
      </c>
      <c r="S879" s="35">
        <f>IF($F879="","",IFERROR(INDEX(사건마스터!$AP$5:$AP$64,MATCH($F879,사건마스터!$A$5:$A$64,0)),""))</f>
        <v/>
      </c>
      <c r="T879" s="35">
        <f>IF($F879="","",IFERROR(INDEX(사건마스터!$AQ$5:$AQ$64,MATCH($F879,사건마스터!$A$5:$A$64,0)),""))</f>
        <v/>
      </c>
      <c r="U879" s="35">
        <f>IF($F879="","",IFERROR(INDEX(사건마스터!$AR$5:$AR$64,MATCH($F879,사건마스터!$A$5:$A$64,0)),""))</f>
        <v/>
      </c>
      <c r="V879" s="35">
        <f>IF($F879="","",IFERROR(INDEX(사건마스터!$AS$5:$AS$64,MATCH($F879,사건마스터!$A$5:$A$64,0)),""))</f>
        <v/>
      </c>
      <c r="W879" s="35">
        <f>IF($F879="","",IFERROR(INDEX(사건마스터!$AT$5:$AT$64,MATCH($F879,사건마스터!$A$5:$A$64,0)),""))</f>
        <v/>
      </c>
      <c r="X879" s="35">
        <f>IF($F879="","",IFERROR(INDEX(사건마스터!$AU$5:$AU$64,MATCH($F879,사건마스터!$A$5:$A$64,0)),""))</f>
        <v/>
      </c>
      <c r="Y879" s="35">
        <f>IF($F879="","",IFERROR(INDEX(사건마스터!$AV$5:$AV$64,MATCH($F879,사건마스터!$A$5:$A$64,0)),""))</f>
        <v/>
      </c>
      <c r="Z879" s="30">
        <f>IF(COUNTBLANK($J879:$Y879)=16,"",16-COUNTBLANK($J879:$Y879))</f>
        <v/>
      </c>
      <c r="AA879" s="33">
        <f>IF($J879="",MID($AX879,3,255),$J879&amp;$AX879)</f>
        <v/>
      </c>
      <c r="AB879" s="34">
        <f>IF($J879="","",IFERROR(INDEX(코드설정!$D$5:$D$24,MATCH($J879,코드설정!$C$5:$C$24,0)),""))</f>
        <v/>
      </c>
      <c r="AC879" s="36" t="n"/>
      <c r="AD879" s="37" t="n"/>
      <c r="AE879" s="38" t="n"/>
      <c r="AF879" s="30">
        <f>IF(OR($B879="",$C879=""),"",$C879-$B879+1)</f>
        <v/>
      </c>
      <c r="AG879" s="32" t="n"/>
      <c r="AH879" s="36" t="n"/>
      <c r="AJ879">
        <f>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  <c r="AX879">
        <f>AW879&amp;IF($Y879="","",", "&amp;$Y879)</f>
        <v/>
      </c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0">
        <f>IF($F880="","",COUNTIF($F$5:$F880,$F880))</f>
        <v/>
      </c>
      <c r="H880" s="33">
        <f>IF($F880="","",IFERROR(INDEX(사건마스터!$B$5:$B$64,MATCH($F880,사건마스터!$A$5:$A$64,0)),""))</f>
        <v/>
      </c>
      <c r="I880" s="34">
        <f>IF($F880="","",IFERROR(INDEX(사건마스터!$C$5:$C$64,MATCH($F880,사건마스터!$A$5:$A$64,0)),""))</f>
        <v/>
      </c>
      <c r="J880" s="35">
        <f>IF($F880="","",IFERROR(INDEX(사건마스터!$H$5:$H$64,MATCH($F880,사건마스터!$A$5:$A$64,0)),""))</f>
        <v/>
      </c>
      <c r="K880" s="35">
        <f>IF($F880="","",IFERROR(INDEX(사건마스터!$AH$5:$AH$64,MATCH($F880,사건마스터!$A$5:$A$64,0)),""))</f>
        <v/>
      </c>
      <c r="L880" s="35">
        <f>IF($F880="","",IFERROR(INDEX(사건마스터!$AI$5:$AI$64,MATCH($F880,사건마스터!$A$5:$A$64,0)),""))</f>
        <v/>
      </c>
      <c r="M880" s="35">
        <f>IF($F880="","",IFERROR(INDEX(사건마스터!$AJ$5:$AJ$64,MATCH($F880,사건마스터!$A$5:$A$64,0)),""))</f>
        <v/>
      </c>
      <c r="N880" s="35">
        <f>IF($F880="","",IFERROR(INDEX(사건마스터!$AK$5:$AK$64,MATCH($F880,사건마스터!$A$5:$A$64,0)),""))</f>
        <v/>
      </c>
      <c r="O880" s="35">
        <f>IF($F880="","",IFERROR(INDEX(사건마스터!$AL$5:$AL$64,MATCH($F880,사건마스터!$A$5:$A$64,0)),""))</f>
        <v/>
      </c>
      <c r="P880" s="35">
        <f>IF($F880="","",IFERROR(INDEX(사건마스터!$AM$5:$AM$64,MATCH($F880,사건마스터!$A$5:$A$64,0)),""))</f>
        <v/>
      </c>
      <c r="Q880" s="35">
        <f>IF($F880="","",IFERROR(INDEX(사건마스터!$AN$5:$AN$64,MATCH($F880,사건마스터!$A$5:$A$64,0)),""))</f>
        <v/>
      </c>
      <c r="R880" s="35">
        <f>IF($F880="","",IFERROR(INDEX(사건마스터!$AO$5:$AO$64,MATCH($F880,사건마스터!$A$5:$A$64,0)),""))</f>
        <v/>
      </c>
      <c r="S880" s="35">
        <f>IF($F880="","",IFERROR(INDEX(사건마스터!$AP$5:$AP$64,MATCH($F880,사건마스터!$A$5:$A$64,0)),""))</f>
        <v/>
      </c>
      <c r="T880" s="35">
        <f>IF($F880="","",IFERROR(INDEX(사건마스터!$AQ$5:$AQ$64,MATCH($F880,사건마스터!$A$5:$A$64,0)),""))</f>
        <v/>
      </c>
      <c r="U880" s="35">
        <f>IF($F880="","",IFERROR(INDEX(사건마스터!$AR$5:$AR$64,MATCH($F880,사건마스터!$A$5:$A$64,0)),""))</f>
        <v/>
      </c>
      <c r="V880" s="35">
        <f>IF($F880="","",IFERROR(INDEX(사건마스터!$AS$5:$AS$64,MATCH($F880,사건마스터!$A$5:$A$64,0)),""))</f>
        <v/>
      </c>
      <c r="W880" s="35">
        <f>IF($F880="","",IFERROR(INDEX(사건마스터!$AT$5:$AT$64,MATCH($F880,사건마스터!$A$5:$A$64,0)),""))</f>
        <v/>
      </c>
      <c r="X880" s="35">
        <f>IF($F880="","",IFERROR(INDEX(사건마스터!$AU$5:$AU$64,MATCH($F880,사건마스터!$A$5:$A$64,0)),""))</f>
        <v/>
      </c>
      <c r="Y880" s="35">
        <f>IF($F880="","",IFERROR(INDEX(사건마스터!$AV$5:$AV$64,MATCH($F880,사건마스터!$A$5:$A$64,0)),""))</f>
        <v/>
      </c>
      <c r="Z880" s="30">
        <f>IF(COUNTBLANK($J880:$Y880)=16,"",16-COUNTBLANK($J880:$Y880))</f>
        <v/>
      </c>
      <c r="AA880" s="33">
        <f>IF($J880="",MID($AX880,3,255),$J880&amp;$AX880)</f>
        <v/>
      </c>
      <c r="AB880" s="34">
        <f>IF($J880="","",IFERROR(INDEX(코드설정!$D$5:$D$24,MATCH($J880,코드설정!$C$5:$C$24,0)),""))</f>
        <v/>
      </c>
      <c r="AC880" s="36" t="n"/>
      <c r="AD880" s="37" t="n"/>
      <c r="AE880" s="38" t="n"/>
      <c r="AF880" s="30">
        <f>IF(OR($B880="",$C880=""),"",$C880-$B880+1)</f>
        <v/>
      </c>
      <c r="AG880" s="32" t="n"/>
      <c r="AH880" s="36" t="n"/>
      <c r="AJ880">
        <f>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  <c r="AX880">
        <f>AW880&amp;IF($Y880="","",", "&amp;$Y880)</f>
        <v/>
      </c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0">
        <f>IF($F881="","",COUNTIF($F$5:$F881,$F881))</f>
        <v/>
      </c>
      <c r="H881" s="33">
        <f>IF($F881="","",IFERROR(INDEX(사건마스터!$B$5:$B$64,MATCH($F881,사건마스터!$A$5:$A$64,0)),""))</f>
        <v/>
      </c>
      <c r="I881" s="34">
        <f>IF($F881="","",IFERROR(INDEX(사건마스터!$C$5:$C$64,MATCH($F881,사건마스터!$A$5:$A$64,0)),""))</f>
        <v/>
      </c>
      <c r="J881" s="35">
        <f>IF($F881="","",IFERROR(INDEX(사건마스터!$H$5:$H$64,MATCH($F881,사건마스터!$A$5:$A$64,0)),""))</f>
        <v/>
      </c>
      <c r="K881" s="35">
        <f>IF($F881="","",IFERROR(INDEX(사건마스터!$AH$5:$AH$64,MATCH($F881,사건마스터!$A$5:$A$64,0)),""))</f>
        <v/>
      </c>
      <c r="L881" s="35">
        <f>IF($F881="","",IFERROR(INDEX(사건마스터!$AI$5:$AI$64,MATCH($F881,사건마스터!$A$5:$A$64,0)),""))</f>
        <v/>
      </c>
      <c r="M881" s="35">
        <f>IF($F881="","",IFERROR(INDEX(사건마스터!$AJ$5:$AJ$64,MATCH($F881,사건마스터!$A$5:$A$64,0)),""))</f>
        <v/>
      </c>
      <c r="N881" s="35">
        <f>IF($F881="","",IFERROR(INDEX(사건마스터!$AK$5:$AK$64,MATCH($F881,사건마스터!$A$5:$A$64,0)),""))</f>
        <v/>
      </c>
      <c r="O881" s="35">
        <f>IF($F881="","",IFERROR(INDEX(사건마스터!$AL$5:$AL$64,MATCH($F881,사건마스터!$A$5:$A$64,0)),""))</f>
        <v/>
      </c>
      <c r="P881" s="35">
        <f>IF($F881="","",IFERROR(INDEX(사건마스터!$AM$5:$AM$64,MATCH($F881,사건마스터!$A$5:$A$64,0)),""))</f>
        <v/>
      </c>
      <c r="Q881" s="35">
        <f>IF($F881="","",IFERROR(INDEX(사건마스터!$AN$5:$AN$64,MATCH($F881,사건마스터!$A$5:$A$64,0)),""))</f>
        <v/>
      </c>
      <c r="R881" s="35">
        <f>IF($F881="","",IFERROR(INDEX(사건마스터!$AO$5:$AO$64,MATCH($F881,사건마스터!$A$5:$A$64,0)),""))</f>
        <v/>
      </c>
      <c r="S881" s="35">
        <f>IF($F881="","",IFERROR(INDEX(사건마스터!$AP$5:$AP$64,MATCH($F881,사건마스터!$A$5:$A$64,0)),""))</f>
        <v/>
      </c>
      <c r="T881" s="35">
        <f>IF($F881="","",IFERROR(INDEX(사건마스터!$AQ$5:$AQ$64,MATCH($F881,사건마스터!$A$5:$A$64,0)),""))</f>
        <v/>
      </c>
      <c r="U881" s="35">
        <f>IF($F881="","",IFERROR(INDEX(사건마스터!$AR$5:$AR$64,MATCH($F881,사건마스터!$A$5:$A$64,0)),""))</f>
        <v/>
      </c>
      <c r="V881" s="35">
        <f>IF($F881="","",IFERROR(INDEX(사건마스터!$AS$5:$AS$64,MATCH($F881,사건마스터!$A$5:$A$64,0)),""))</f>
        <v/>
      </c>
      <c r="W881" s="35">
        <f>IF($F881="","",IFERROR(INDEX(사건마스터!$AT$5:$AT$64,MATCH($F881,사건마스터!$A$5:$A$64,0)),""))</f>
        <v/>
      </c>
      <c r="X881" s="35">
        <f>IF($F881="","",IFERROR(INDEX(사건마스터!$AU$5:$AU$64,MATCH($F881,사건마스터!$A$5:$A$64,0)),""))</f>
        <v/>
      </c>
      <c r="Y881" s="35">
        <f>IF($F881="","",IFERROR(INDEX(사건마스터!$AV$5:$AV$64,MATCH($F881,사건마스터!$A$5:$A$64,0)),""))</f>
        <v/>
      </c>
      <c r="Z881" s="30">
        <f>IF(COUNTBLANK($J881:$Y881)=16,"",16-COUNTBLANK($J881:$Y881))</f>
        <v/>
      </c>
      <c r="AA881" s="33">
        <f>IF($J881="",MID($AX881,3,255),$J881&amp;$AX881)</f>
        <v/>
      </c>
      <c r="AB881" s="34">
        <f>IF($J881="","",IFERROR(INDEX(코드설정!$D$5:$D$24,MATCH($J881,코드설정!$C$5:$C$24,0)),""))</f>
        <v/>
      </c>
      <c r="AC881" s="36" t="n"/>
      <c r="AD881" s="37" t="n"/>
      <c r="AE881" s="38" t="n"/>
      <c r="AF881" s="30">
        <f>IF(OR($B881="",$C881=""),"",$C881-$B881+1)</f>
        <v/>
      </c>
      <c r="AG881" s="32" t="n"/>
      <c r="AH881" s="36" t="n"/>
      <c r="AJ881">
        <f>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  <c r="AX881">
        <f>AW881&amp;IF($Y881="","",", "&amp;$Y881)</f>
        <v/>
      </c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0">
        <f>IF($F882="","",COUNTIF($F$5:$F882,$F882))</f>
        <v/>
      </c>
      <c r="H882" s="33">
        <f>IF($F882="","",IFERROR(INDEX(사건마스터!$B$5:$B$64,MATCH($F882,사건마스터!$A$5:$A$64,0)),""))</f>
        <v/>
      </c>
      <c r="I882" s="34">
        <f>IF($F882="","",IFERROR(INDEX(사건마스터!$C$5:$C$64,MATCH($F882,사건마스터!$A$5:$A$64,0)),""))</f>
        <v/>
      </c>
      <c r="J882" s="35">
        <f>IF($F882="","",IFERROR(INDEX(사건마스터!$H$5:$H$64,MATCH($F882,사건마스터!$A$5:$A$64,0)),""))</f>
        <v/>
      </c>
      <c r="K882" s="35">
        <f>IF($F882="","",IFERROR(INDEX(사건마스터!$AH$5:$AH$64,MATCH($F882,사건마스터!$A$5:$A$64,0)),""))</f>
        <v/>
      </c>
      <c r="L882" s="35">
        <f>IF($F882="","",IFERROR(INDEX(사건마스터!$AI$5:$AI$64,MATCH($F882,사건마스터!$A$5:$A$64,0)),""))</f>
        <v/>
      </c>
      <c r="M882" s="35">
        <f>IF($F882="","",IFERROR(INDEX(사건마스터!$AJ$5:$AJ$64,MATCH($F882,사건마스터!$A$5:$A$64,0)),""))</f>
        <v/>
      </c>
      <c r="N882" s="35">
        <f>IF($F882="","",IFERROR(INDEX(사건마스터!$AK$5:$AK$64,MATCH($F882,사건마스터!$A$5:$A$64,0)),""))</f>
        <v/>
      </c>
      <c r="O882" s="35">
        <f>IF($F882="","",IFERROR(INDEX(사건마스터!$AL$5:$AL$64,MATCH($F882,사건마스터!$A$5:$A$64,0)),""))</f>
        <v/>
      </c>
      <c r="P882" s="35">
        <f>IF($F882="","",IFERROR(INDEX(사건마스터!$AM$5:$AM$64,MATCH($F882,사건마스터!$A$5:$A$64,0)),""))</f>
        <v/>
      </c>
      <c r="Q882" s="35">
        <f>IF($F882="","",IFERROR(INDEX(사건마스터!$AN$5:$AN$64,MATCH($F882,사건마스터!$A$5:$A$64,0)),""))</f>
        <v/>
      </c>
      <c r="R882" s="35">
        <f>IF($F882="","",IFERROR(INDEX(사건마스터!$AO$5:$AO$64,MATCH($F882,사건마스터!$A$5:$A$64,0)),""))</f>
        <v/>
      </c>
      <c r="S882" s="35">
        <f>IF($F882="","",IFERROR(INDEX(사건마스터!$AP$5:$AP$64,MATCH($F882,사건마스터!$A$5:$A$64,0)),""))</f>
        <v/>
      </c>
      <c r="T882" s="35">
        <f>IF($F882="","",IFERROR(INDEX(사건마스터!$AQ$5:$AQ$64,MATCH($F882,사건마스터!$A$5:$A$64,0)),""))</f>
        <v/>
      </c>
      <c r="U882" s="35">
        <f>IF($F882="","",IFERROR(INDEX(사건마스터!$AR$5:$AR$64,MATCH($F882,사건마스터!$A$5:$A$64,0)),""))</f>
        <v/>
      </c>
      <c r="V882" s="35">
        <f>IF($F882="","",IFERROR(INDEX(사건마스터!$AS$5:$AS$64,MATCH($F882,사건마스터!$A$5:$A$64,0)),""))</f>
        <v/>
      </c>
      <c r="W882" s="35">
        <f>IF($F882="","",IFERROR(INDEX(사건마스터!$AT$5:$AT$64,MATCH($F882,사건마스터!$A$5:$A$64,0)),""))</f>
        <v/>
      </c>
      <c r="X882" s="35">
        <f>IF($F882="","",IFERROR(INDEX(사건마스터!$AU$5:$AU$64,MATCH($F882,사건마스터!$A$5:$A$64,0)),""))</f>
        <v/>
      </c>
      <c r="Y882" s="35">
        <f>IF($F882="","",IFERROR(INDEX(사건마스터!$AV$5:$AV$64,MATCH($F882,사건마스터!$A$5:$A$64,0)),""))</f>
        <v/>
      </c>
      <c r="Z882" s="30">
        <f>IF(COUNTBLANK($J882:$Y882)=16,"",16-COUNTBLANK($J882:$Y882))</f>
        <v/>
      </c>
      <c r="AA882" s="33">
        <f>IF($J882="",MID($AX882,3,255),$J882&amp;$AX882)</f>
        <v/>
      </c>
      <c r="AB882" s="34">
        <f>IF($J882="","",IFERROR(INDEX(코드설정!$D$5:$D$24,MATCH($J882,코드설정!$C$5:$C$24,0)),""))</f>
        <v/>
      </c>
      <c r="AC882" s="36" t="n"/>
      <c r="AD882" s="37" t="n"/>
      <c r="AE882" s="38" t="n"/>
      <c r="AF882" s="30">
        <f>IF(OR($B882="",$C882=""),"",$C882-$B882+1)</f>
        <v/>
      </c>
      <c r="AG882" s="32" t="n"/>
      <c r="AH882" s="36" t="n"/>
      <c r="AJ882">
        <f>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  <c r="AX882">
        <f>AW882&amp;IF($Y882="","",", "&amp;$Y882)</f>
        <v/>
      </c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0">
        <f>IF($F883="","",COUNTIF($F$5:$F883,$F883))</f>
        <v/>
      </c>
      <c r="H883" s="33">
        <f>IF($F883="","",IFERROR(INDEX(사건마스터!$B$5:$B$64,MATCH($F883,사건마스터!$A$5:$A$64,0)),""))</f>
        <v/>
      </c>
      <c r="I883" s="34">
        <f>IF($F883="","",IFERROR(INDEX(사건마스터!$C$5:$C$64,MATCH($F883,사건마스터!$A$5:$A$64,0)),""))</f>
        <v/>
      </c>
      <c r="J883" s="35">
        <f>IF($F883="","",IFERROR(INDEX(사건마스터!$H$5:$H$64,MATCH($F883,사건마스터!$A$5:$A$64,0)),""))</f>
        <v/>
      </c>
      <c r="K883" s="35">
        <f>IF($F883="","",IFERROR(INDEX(사건마스터!$AH$5:$AH$64,MATCH($F883,사건마스터!$A$5:$A$64,0)),""))</f>
        <v/>
      </c>
      <c r="L883" s="35">
        <f>IF($F883="","",IFERROR(INDEX(사건마스터!$AI$5:$AI$64,MATCH($F883,사건마스터!$A$5:$A$64,0)),""))</f>
        <v/>
      </c>
      <c r="M883" s="35">
        <f>IF($F883="","",IFERROR(INDEX(사건마스터!$AJ$5:$AJ$64,MATCH($F883,사건마스터!$A$5:$A$64,0)),""))</f>
        <v/>
      </c>
      <c r="N883" s="35">
        <f>IF($F883="","",IFERROR(INDEX(사건마스터!$AK$5:$AK$64,MATCH($F883,사건마스터!$A$5:$A$64,0)),""))</f>
        <v/>
      </c>
      <c r="O883" s="35">
        <f>IF($F883="","",IFERROR(INDEX(사건마스터!$AL$5:$AL$64,MATCH($F883,사건마스터!$A$5:$A$64,0)),""))</f>
        <v/>
      </c>
      <c r="P883" s="35">
        <f>IF($F883="","",IFERROR(INDEX(사건마스터!$AM$5:$AM$64,MATCH($F883,사건마스터!$A$5:$A$64,0)),""))</f>
        <v/>
      </c>
      <c r="Q883" s="35">
        <f>IF($F883="","",IFERROR(INDEX(사건마스터!$AN$5:$AN$64,MATCH($F883,사건마스터!$A$5:$A$64,0)),""))</f>
        <v/>
      </c>
      <c r="R883" s="35">
        <f>IF($F883="","",IFERROR(INDEX(사건마스터!$AO$5:$AO$64,MATCH($F883,사건마스터!$A$5:$A$64,0)),""))</f>
        <v/>
      </c>
      <c r="S883" s="35">
        <f>IF($F883="","",IFERROR(INDEX(사건마스터!$AP$5:$AP$64,MATCH($F883,사건마스터!$A$5:$A$64,0)),""))</f>
        <v/>
      </c>
      <c r="T883" s="35">
        <f>IF($F883="","",IFERROR(INDEX(사건마스터!$AQ$5:$AQ$64,MATCH($F883,사건마스터!$A$5:$A$64,0)),""))</f>
        <v/>
      </c>
      <c r="U883" s="35">
        <f>IF($F883="","",IFERROR(INDEX(사건마스터!$AR$5:$AR$64,MATCH($F883,사건마스터!$A$5:$A$64,0)),""))</f>
        <v/>
      </c>
      <c r="V883" s="35">
        <f>IF($F883="","",IFERROR(INDEX(사건마스터!$AS$5:$AS$64,MATCH($F883,사건마스터!$A$5:$A$64,0)),""))</f>
        <v/>
      </c>
      <c r="W883" s="35">
        <f>IF($F883="","",IFERROR(INDEX(사건마스터!$AT$5:$AT$64,MATCH($F883,사건마스터!$A$5:$A$64,0)),""))</f>
        <v/>
      </c>
      <c r="X883" s="35">
        <f>IF($F883="","",IFERROR(INDEX(사건마스터!$AU$5:$AU$64,MATCH($F883,사건마스터!$A$5:$A$64,0)),""))</f>
        <v/>
      </c>
      <c r="Y883" s="35">
        <f>IF($F883="","",IFERROR(INDEX(사건마스터!$AV$5:$AV$64,MATCH($F883,사건마스터!$A$5:$A$64,0)),""))</f>
        <v/>
      </c>
      <c r="Z883" s="30">
        <f>IF(COUNTBLANK($J883:$Y883)=16,"",16-COUNTBLANK($J883:$Y883))</f>
        <v/>
      </c>
      <c r="AA883" s="33">
        <f>IF($J883="",MID($AX883,3,255),$J883&amp;$AX883)</f>
        <v/>
      </c>
      <c r="AB883" s="34">
        <f>IF($J883="","",IFERROR(INDEX(코드설정!$D$5:$D$24,MATCH($J883,코드설정!$C$5:$C$24,0)),""))</f>
        <v/>
      </c>
      <c r="AC883" s="36" t="n"/>
      <c r="AD883" s="37" t="n"/>
      <c r="AE883" s="38" t="n"/>
      <c r="AF883" s="30">
        <f>IF(OR($B883="",$C883=""),"",$C883-$B883+1)</f>
        <v/>
      </c>
      <c r="AG883" s="32" t="n"/>
      <c r="AH883" s="36" t="n"/>
      <c r="AJ883">
        <f>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  <c r="AX883">
        <f>AW883&amp;IF($Y883="","",", "&amp;$Y883)</f>
        <v/>
      </c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0">
        <f>IF($F884="","",COUNTIF($F$5:$F884,$F884))</f>
        <v/>
      </c>
      <c r="H884" s="33">
        <f>IF($F884="","",IFERROR(INDEX(사건마스터!$B$5:$B$64,MATCH($F884,사건마스터!$A$5:$A$64,0)),""))</f>
        <v/>
      </c>
      <c r="I884" s="34">
        <f>IF($F884="","",IFERROR(INDEX(사건마스터!$C$5:$C$64,MATCH($F884,사건마스터!$A$5:$A$64,0)),""))</f>
        <v/>
      </c>
      <c r="J884" s="35">
        <f>IF($F884="","",IFERROR(INDEX(사건마스터!$H$5:$H$64,MATCH($F884,사건마스터!$A$5:$A$64,0)),""))</f>
        <v/>
      </c>
      <c r="K884" s="35">
        <f>IF($F884="","",IFERROR(INDEX(사건마스터!$AH$5:$AH$64,MATCH($F884,사건마스터!$A$5:$A$64,0)),""))</f>
        <v/>
      </c>
      <c r="L884" s="35">
        <f>IF($F884="","",IFERROR(INDEX(사건마스터!$AI$5:$AI$64,MATCH($F884,사건마스터!$A$5:$A$64,0)),""))</f>
        <v/>
      </c>
      <c r="M884" s="35">
        <f>IF($F884="","",IFERROR(INDEX(사건마스터!$AJ$5:$AJ$64,MATCH($F884,사건마스터!$A$5:$A$64,0)),""))</f>
        <v/>
      </c>
      <c r="N884" s="35">
        <f>IF($F884="","",IFERROR(INDEX(사건마스터!$AK$5:$AK$64,MATCH($F884,사건마스터!$A$5:$A$64,0)),""))</f>
        <v/>
      </c>
      <c r="O884" s="35">
        <f>IF($F884="","",IFERROR(INDEX(사건마스터!$AL$5:$AL$64,MATCH($F884,사건마스터!$A$5:$A$64,0)),""))</f>
        <v/>
      </c>
      <c r="P884" s="35">
        <f>IF($F884="","",IFERROR(INDEX(사건마스터!$AM$5:$AM$64,MATCH($F884,사건마스터!$A$5:$A$64,0)),""))</f>
        <v/>
      </c>
      <c r="Q884" s="35">
        <f>IF($F884="","",IFERROR(INDEX(사건마스터!$AN$5:$AN$64,MATCH($F884,사건마스터!$A$5:$A$64,0)),""))</f>
        <v/>
      </c>
      <c r="R884" s="35">
        <f>IF($F884="","",IFERROR(INDEX(사건마스터!$AO$5:$AO$64,MATCH($F884,사건마스터!$A$5:$A$64,0)),""))</f>
        <v/>
      </c>
      <c r="S884" s="35">
        <f>IF($F884="","",IFERROR(INDEX(사건마스터!$AP$5:$AP$64,MATCH($F884,사건마스터!$A$5:$A$64,0)),""))</f>
        <v/>
      </c>
      <c r="T884" s="35">
        <f>IF($F884="","",IFERROR(INDEX(사건마스터!$AQ$5:$AQ$64,MATCH($F884,사건마스터!$A$5:$A$64,0)),""))</f>
        <v/>
      </c>
      <c r="U884" s="35">
        <f>IF($F884="","",IFERROR(INDEX(사건마스터!$AR$5:$AR$64,MATCH($F884,사건마스터!$A$5:$A$64,0)),""))</f>
        <v/>
      </c>
      <c r="V884" s="35">
        <f>IF($F884="","",IFERROR(INDEX(사건마스터!$AS$5:$AS$64,MATCH($F884,사건마스터!$A$5:$A$64,0)),""))</f>
        <v/>
      </c>
      <c r="W884" s="35">
        <f>IF($F884="","",IFERROR(INDEX(사건마스터!$AT$5:$AT$64,MATCH($F884,사건마스터!$A$5:$A$64,0)),""))</f>
        <v/>
      </c>
      <c r="X884" s="35">
        <f>IF($F884="","",IFERROR(INDEX(사건마스터!$AU$5:$AU$64,MATCH($F884,사건마스터!$A$5:$A$64,0)),""))</f>
        <v/>
      </c>
      <c r="Y884" s="35">
        <f>IF($F884="","",IFERROR(INDEX(사건마스터!$AV$5:$AV$64,MATCH($F884,사건마스터!$A$5:$A$64,0)),""))</f>
        <v/>
      </c>
      <c r="Z884" s="30">
        <f>IF(COUNTBLANK($J884:$Y884)=16,"",16-COUNTBLANK($J884:$Y884))</f>
        <v/>
      </c>
      <c r="AA884" s="33">
        <f>IF($J884="",MID($AX884,3,255),$J884&amp;$AX884)</f>
        <v/>
      </c>
      <c r="AB884" s="34">
        <f>IF($J884="","",IFERROR(INDEX(코드설정!$D$5:$D$24,MATCH($J884,코드설정!$C$5:$C$24,0)),""))</f>
        <v/>
      </c>
      <c r="AC884" s="36" t="n"/>
      <c r="AD884" s="37" t="n"/>
      <c r="AE884" s="38" t="n"/>
      <c r="AF884" s="30">
        <f>IF(OR($B884="",$C884=""),"",$C884-$B884+1)</f>
        <v/>
      </c>
      <c r="AG884" s="32" t="n"/>
      <c r="AH884" s="36" t="n"/>
      <c r="AJ884">
        <f>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  <c r="AX884">
        <f>AW884&amp;IF($Y884="","",", "&amp;$Y884)</f>
        <v/>
      </c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0">
        <f>IF($F885="","",COUNTIF($F$5:$F885,$F885))</f>
        <v/>
      </c>
      <c r="H885" s="33">
        <f>IF($F885="","",IFERROR(INDEX(사건마스터!$B$5:$B$64,MATCH($F885,사건마스터!$A$5:$A$64,0)),""))</f>
        <v/>
      </c>
      <c r="I885" s="34">
        <f>IF($F885="","",IFERROR(INDEX(사건마스터!$C$5:$C$64,MATCH($F885,사건마스터!$A$5:$A$64,0)),""))</f>
        <v/>
      </c>
      <c r="J885" s="35">
        <f>IF($F885="","",IFERROR(INDEX(사건마스터!$H$5:$H$64,MATCH($F885,사건마스터!$A$5:$A$64,0)),""))</f>
        <v/>
      </c>
      <c r="K885" s="35">
        <f>IF($F885="","",IFERROR(INDEX(사건마스터!$AH$5:$AH$64,MATCH($F885,사건마스터!$A$5:$A$64,0)),""))</f>
        <v/>
      </c>
      <c r="L885" s="35">
        <f>IF($F885="","",IFERROR(INDEX(사건마스터!$AI$5:$AI$64,MATCH($F885,사건마스터!$A$5:$A$64,0)),""))</f>
        <v/>
      </c>
      <c r="M885" s="35">
        <f>IF($F885="","",IFERROR(INDEX(사건마스터!$AJ$5:$AJ$64,MATCH($F885,사건마스터!$A$5:$A$64,0)),""))</f>
        <v/>
      </c>
      <c r="N885" s="35">
        <f>IF($F885="","",IFERROR(INDEX(사건마스터!$AK$5:$AK$64,MATCH($F885,사건마스터!$A$5:$A$64,0)),""))</f>
        <v/>
      </c>
      <c r="O885" s="35">
        <f>IF($F885="","",IFERROR(INDEX(사건마스터!$AL$5:$AL$64,MATCH($F885,사건마스터!$A$5:$A$64,0)),""))</f>
        <v/>
      </c>
      <c r="P885" s="35">
        <f>IF($F885="","",IFERROR(INDEX(사건마스터!$AM$5:$AM$64,MATCH($F885,사건마스터!$A$5:$A$64,0)),""))</f>
        <v/>
      </c>
      <c r="Q885" s="35">
        <f>IF($F885="","",IFERROR(INDEX(사건마스터!$AN$5:$AN$64,MATCH($F885,사건마스터!$A$5:$A$64,0)),""))</f>
        <v/>
      </c>
      <c r="R885" s="35">
        <f>IF($F885="","",IFERROR(INDEX(사건마스터!$AO$5:$AO$64,MATCH($F885,사건마스터!$A$5:$A$64,0)),""))</f>
        <v/>
      </c>
      <c r="S885" s="35">
        <f>IF($F885="","",IFERROR(INDEX(사건마스터!$AP$5:$AP$64,MATCH($F885,사건마스터!$A$5:$A$64,0)),""))</f>
        <v/>
      </c>
      <c r="T885" s="35">
        <f>IF($F885="","",IFERROR(INDEX(사건마스터!$AQ$5:$AQ$64,MATCH($F885,사건마스터!$A$5:$A$64,0)),""))</f>
        <v/>
      </c>
      <c r="U885" s="35">
        <f>IF($F885="","",IFERROR(INDEX(사건마스터!$AR$5:$AR$64,MATCH($F885,사건마스터!$A$5:$A$64,0)),""))</f>
        <v/>
      </c>
      <c r="V885" s="35">
        <f>IF($F885="","",IFERROR(INDEX(사건마스터!$AS$5:$AS$64,MATCH($F885,사건마스터!$A$5:$A$64,0)),""))</f>
        <v/>
      </c>
      <c r="W885" s="35">
        <f>IF($F885="","",IFERROR(INDEX(사건마스터!$AT$5:$AT$64,MATCH($F885,사건마스터!$A$5:$A$64,0)),""))</f>
        <v/>
      </c>
      <c r="X885" s="35">
        <f>IF($F885="","",IFERROR(INDEX(사건마스터!$AU$5:$AU$64,MATCH($F885,사건마스터!$A$5:$A$64,0)),""))</f>
        <v/>
      </c>
      <c r="Y885" s="35">
        <f>IF($F885="","",IFERROR(INDEX(사건마스터!$AV$5:$AV$64,MATCH($F885,사건마스터!$A$5:$A$64,0)),""))</f>
        <v/>
      </c>
      <c r="Z885" s="30">
        <f>IF(COUNTBLANK($J885:$Y885)=16,"",16-COUNTBLANK($J885:$Y885))</f>
        <v/>
      </c>
      <c r="AA885" s="33">
        <f>IF($J885="",MID($AX885,3,255),$J885&amp;$AX885)</f>
        <v/>
      </c>
      <c r="AB885" s="34">
        <f>IF($J885="","",IFERROR(INDEX(코드설정!$D$5:$D$24,MATCH($J885,코드설정!$C$5:$C$24,0)),""))</f>
        <v/>
      </c>
      <c r="AC885" s="36" t="n"/>
      <c r="AD885" s="37" t="n"/>
      <c r="AE885" s="38" t="n"/>
      <c r="AF885" s="30">
        <f>IF(OR($B885="",$C885=""),"",$C885-$B885+1)</f>
        <v/>
      </c>
      <c r="AG885" s="32" t="n"/>
      <c r="AH885" s="36" t="n"/>
      <c r="AJ885">
        <f>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  <c r="AX885">
        <f>AW885&amp;IF($Y885="","",", "&amp;$Y885)</f>
        <v/>
      </c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0">
        <f>IF($F886="","",COUNTIF($F$5:$F886,$F886))</f>
        <v/>
      </c>
      <c r="H886" s="33">
        <f>IF($F886="","",IFERROR(INDEX(사건마스터!$B$5:$B$64,MATCH($F886,사건마스터!$A$5:$A$64,0)),""))</f>
        <v/>
      </c>
      <c r="I886" s="34">
        <f>IF($F886="","",IFERROR(INDEX(사건마스터!$C$5:$C$64,MATCH($F886,사건마스터!$A$5:$A$64,0)),""))</f>
        <v/>
      </c>
      <c r="J886" s="35">
        <f>IF($F886="","",IFERROR(INDEX(사건마스터!$H$5:$H$64,MATCH($F886,사건마스터!$A$5:$A$64,0)),""))</f>
        <v/>
      </c>
      <c r="K886" s="35">
        <f>IF($F886="","",IFERROR(INDEX(사건마스터!$AH$5:$AH$64,MATCH($F886,사건마스터!$A$5:$A$64,0)),""))</f>
        <v/>
      </c>
      <c r="L886" s="35">
        <f>IF($F886="","",IFERROR(INDEX(사건마스터!$AI$5:$AI$64,MATCH($F886,사건마스터!$A$5:$A$64,0)),""))</f>
        <v/>
      </c>
      <c r="M886" s="35">
        <f>IF($F886="","",IFERROR(INDEX(사건마스터!$AJ$5:$AJ$64,MATCH($F886,사건마스터!$A$5:$A$64,0)),""))</f>
        <v/>
      </c>
      <c r="N886" s="35">
        <f>IF($F886="","",IFERROR(INDEX(사건마스터!$AK$5:$AK$64,MATCH($F886,사건마스터!$A$5:$A$64,0)),""))</f>
        <v/>
      </c>
      <c r="O886" s="35">
        <f>IF($F886="","",IFERROR(INDEX(사건마스터!$AL$5:$AL$64,MATCH($F886,사건마스터!$A$5:$A$64,0)),""))</f>
        <v/>
      </c>
      <c r="P886" s="35">
        <f>IF($F886="","",IFERROR(INDEX(사건마스터!$AM$5:$AM$64,MATCH($F886,사건마스터!$A$5:$A$64,0)),""))</f>
        <v/>
      </c>
      <c r="Q886" s="35">
        <f>IF($F886="","",IFERROR(INDEX(사건마스터!$AN$5:$AN$64,MATCH($F886,사건마스터!$A$5:$A$64,0)),""))</f>
        <v/>
      </c>
      <c r="R886" s="35">
        <f>IF($F886="","",IFERROR(INDEX(사건마스터!$AO$5:$AO$64,MATCH($F886,사건마스터!$A$5:$A$64,0)),""))</f>
        <v/>
      </c>
      <c r="S886" s="35">
        <f>IF($F886="","",IFERROR(INDEX(사건마스터!$AP$5:$AP$64,MATCH($F886,사건마스터!$A$5:$A$64,0)),""))</f>
        <v/>
      </c>
      <c r="T886" s="35">
        <f>IF($F886="","",IFERROR(INDEX(사건마스터!$AQ$5:$AQ$64,MATCH($F886,사건마스터!$A$5:$A$64,0)),""))</f>
        <v/>
      </c>
      <c r="U886" s="35">
        <f>IF($F886="","",IFERROR(INDEX(사건마스터!$AR$5:$AR$64,MATCH($F886,사건마스터!$A$5:$A$64,0)),""))</f>
        <v/>
      </c>
      <c r="V886" s="35">
        <f>IF($F886="","",IFERROR(INDEX(사건마스터!$AS$5:$AS$64,MATCH($F886,사건마스터!$A$5:$A$64,0)),""))</f>
        <v/>
      </c>
      <c r="W886" s="35">
        <f>IF($F886="","",IFERROR(INDEX(사건마스터!$AT$5:$AT$64,MATCH($F886,사건마스터!$A$5:$A$64,0)),""))</f>
        <v/>
      </c>
      <c r="X886" s="35">
        <f>IF($F886="","",IFERROR(INDEX(사건마스터!$AU$5:$AU$64,MATCH($F886,사건마스터!$A$5:$A$64,0)),""))</f>
        <v/>
      </c>
      <c r="Y886" s="35">
        <f>IF($F886="","",IFERROR(INDEX(사건마스터!$AV$5:$AV$64,MATCH($F886,사건마스터!$A$5:$A$64,0)),""))</f>
        <v/>
      </c>
      <c r="Z886" s="30">
        <f>IF(COUNTBLANK($J886:$Y886)=16,"",16-COUNTBLANK($J886:$Y886))</f>
        <v/>
      </c>
      <c r="AA886" s="33">
        <f>IF($J886="",MID($AX886,3,255),$J886&amp;$AX886)</f>
        <v/>
      </c>
      <c r="AB886" s="34">
        <f>IF($J886="","",IFERROR(INDEX(코드설정!$D$5:$D$24,MATCH($J886,코드설정!$C$5:$C$24,0)),""))</f>
        <v/>
      </c>
      <c r="AC886" s="36" t="n"/>
      <c r="AD886" s="37" t="n"/>
      <c r="AE886" s="38" t="n"/>
      <c r="AF886" s="30">
        <f>IF(OR($B886="",$C886=""),"",$C886-$B886+1)</f>
        <v/>
      </c>
      <c r="AG886" s="32" t="n"/>
      <c r="AH886" s="36" t="n"/>
      <c r="AJ886">
        <f>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  <c r="AX886">
        <f>AW886&amp;IF($Y886="","",", "&amp;$Y886)</f>
        <v/>
      </c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0">
        <f>IF($F887="","",COUNTIF($F$5:$F887,$F887))</f>
        <v/>
      </c>
      <c r="H887" s="33">
        <f>IF($F887="","",IFERROR(INDEX(사건마스터!$B$5:$B$64,MATCH($F887,사건마스터!$A$5:$A$64,0)),""))</f>
        <v/>
      </c>
      <c r="I887" s="34">
        <f>IF($F887="","",IFERROR(INDEX(사건마스터!$C$5:$C$64,MATCH($F887,사건마스터!$A$5:$A$64,0)),""))</f>
        <v/>
      </c>
      <c r="J887" s="35">
        <f>IF($F887="","",IFERROR(INDEX(사건마스터!$H$5:$H$64,MATCH($F887,사건마스터!$A$5:$A$64,0)),""))</f>
        <v/>
      </c>
      <c r="K887" s="35">
        <f>IF($F887="","",IFERROR(INDEX(사건마스터!$AH$5:$AH$64,MATCH($F887,사건마스터!$A$5:$A$64,0)),""))</f>
        <v/>
      </c>
      <c r="L887" s="35">
        <f>IF($F887="","",IFERROR(INDEX(사건마스터!$AI$5:$AI$64,MATCH($F887,사건마스터!$A$5:$A$64,0)),""))</f>
        <v/>
      </c>
      <c r="M887" s="35">
        <f>IF($F887="","",IFERROR(INDEX(사건마스터!$AJ$5:$AJ$64,MATCH($F887,사건마스터!$A$5:$A$64,0)),""))</f>
        <v/>
      </c>
      <c r="N887" s="35">
        <f>IF($F887="","",IFERROR(INDEX(사건마스터!$AK$5:$AK$64,MATCH($F887,사건마스터!$A$5:$A$64,0)),""))</f>
        <v/>
      </c>
      <c r="O887" s="35">
        <f>IF($F887="","",IFERROR(INDEX(사건마스터!$AL$5:$AL$64,MATCH($F887,사건마스터!$A$5:$A$64,0)),""))</f>
        <v/>
      </c>
      <c r="P887" s="35">
        <f>IF($F887="","",IFERROR(INDEX(사건마스터!$AM$5:$AM$64,MATCH($F887,사건마스터!$A$5:$A$64,0)),""))</f>
        <v/>
      </c>
      <c r="Q887" s="35">
        <f>IF($F887="","",IFERROR(INDEX(사건마스터!$AN$5:$AN$64,MATCH($F887,사건마스터!$A$5:$A$64,0)),""))</f>
        <v/>
      </c>
      <c r="R887" s="35">
        <f>IF($F887="","",IFERROR(INDEX(사건마스터!$AO$5:$AO$64,MATCH($F887,사건마스터!$A$5:$A$64,0)),""))</f>
        <v/>
      </c>
      <c r="S887" s="35">
        <f>IF($F887="","",IFERROR(INDEX(사건마스터!$AP$5:$AP$64,MATCH($F887,사건마스터!$A$5:$A$64,0)),""))</f>
        <v/>
      </c>
      <c r="T887" s="35">
        <f>IF($F887="","",IFERROR(INDEX(사건마스터!$AQ$5:$AQ$64,MATCH($F887,사건마스터!$A$5:$A$64,0)),""))</f>
        <v/>
      </c>
      <c r="U887" s="35">
        <f>IF($F887="","",IFERROR(INDEX(사건마스터!$AR$5:$AR$64,MATCH($F887,사건마스터!$A$5:$A$64,0)),""))</f>
        <v/>
      </c>
      <c r="V887" s="35">
        <f>IF($F887="","",IFERROR(INDEX(사건마스터!$AS$5:$AS$64,MATCH($F887,사건마스터!$A$5:$A$64,0)),""))</f>
        <v/>
      </c>
      <c r="W887" s="35">
        <f>IF($F887="","",IFERROR(INDEX(사건마스터!$AT$5:$AT$64,MATCH($F887,사건마스터!$A$5:$A$64,0)),""))</f>
        <v/>
      </c>
      <c r="X887" s="35">
        <f>IF($F887="","",IFERROR(INDEX(사건마스터!$AU$5:$AU$64,MATCH($F887,사건마스터!$A$5:$A$64,0)),""))</f>
        <v/>
      </c>
      <c r="Y887" s="35">
        <f>IF($F887="","",IFERROR(INDEX(사건마스터!$AV$5:$AV$64,MATCH($F887,사건마스터!$A$5:$A$64,0)),""))</f>
        <v/>
      </c>
      <c r="Z887" s="30">
        <f>IF(COUNTBLANK($J887:$Y887)=16,"",16-COUNTBLANK($J887:$Y887))</f>
        <v/>
      </c>
      <c r="AA887" s="33">
        <f>IF($J887="",MID($AX887,3,255),$J887&amp;$AX887)</f>
        <v/>
      </c>
      <c r="AB887" s="34">
        <f>IF($J887="","",IFERROR(INDEX(코드설정!$D$5:$D$24,MATCH($J887,코드설정!$C$5:$C$24,0)),""))</f>
        <v/>
      </c>
      <c r="AC887" s="36" t="n"/>
      <c r="AD887" s="37" t="n"/>
      <c r="AE887" s="38" t="n"/>
      <c r="AF887" s="30">
        <f>IF(OR($B887="",$C887=""),"",$C887-$B887+1)</f>
        <v/>
      </c>
      <c r="AG887" s="32" t="n"/>
      <c r="AH887" s="36" t="n"/>
      <c r="AJ887">
        <f>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  <c r="AX887">
        <f>AW887&amp;IF($Y887="","",", "&amp;$Y887)</f>
        <v/>
      </c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0">
        <f>IF($F888="","",COUNTIF($F$5:$F888,$F888))</f>
        <v/>
      </c>
      <c r="H888" s="33">
        <f>IF($F888="","",IFERROR(INDEX(사건마스터!$B$5:$B$64,MATCH($F888,사건마스터!$A$5:$A$64,0)),""))</f>
        <v/>
      </c>
      <c r="I888" s="34">
        <f>IF($F888="","",IFERROR(INDEX(사건마스터!$C$5:$C$64,MATCH($F888,사건마스터!$A$5:$A$64,0)),""))</f>
        <v/>
      </c>
      <c r="J888" s="35">
        <f>IF($F888="","",IFERROR(INDEX(사건마스터!$H$5:$H$64,MATCH($F888,사건마스터!$A$5:$A$64,0)),""))</f>
        <v/>
      </c>
      <c r="K888" s="35">
        <f>IF($F888="","",IFERROR(INDEX(사건마스터!$AH$5:$AH$64,MATCH($F888,사건마스터!$A$5:$A$64,0)),""))</f>
        <v/>
      </c>
      <c r="L888" s="35">
        <f>IF($F888="","",IFERROR(INDEX(사건마스터!$AI$5:$AI$64,MATCH($F888,사건마스터!$A$5:$A$64,0)),""))</f>
        <v/>
      </c>
      <c r="M888" s="35">
        <f>IF($F888="","",IFERROR(INDEX(사건마스터!$AJ$5:$AJ$64,MATCH($F888,사건마스터!$A$5:$A$64,0)),""))</f>
        <v/>
      </c>
      <c r="N888" s="35">
        <f>IF($F888="","",IFERROR(INDEX(사건마스터!$AK$5:$AK$64,MATCH($F888,사건마스터!$A$5:$A$64,0)),""))</f>
        <v/>
      </c>
      <c r="O888" s="35">
        <f>IF($F888="","",IFERROR(INDEX(사건마스터!$AL$5:$AL$64,MATCH($F888,사건마스터!$A$5:$A$64,0)),""))</f>
        <v/>
      </c>
      <c r="P888" s="35">
        <f>IF($F888="","",IFERROR(INDEX(사건마스터!$AM$5:$AM$64,MATCH($F888,사건마스터!$A$5:$A$64,0)),""))</f>
        <v/>
      </c>
      <c r="Q888" s="35">
        <f>IF($F888="","",IFERROR(INDEX(사건마스터!$AN$5:$AN$64,MATCH($F888,사건마스터!$A$5:$A$64,0)),""))</f>
        <v/>
      </c>
      <c r="R888" s="35">
        <f>IF($F888="","",IFERROR(INDEX(사건마스터!$AO$5:$AO$64,MATCH($F888,사건마스터!$A$5:$A$64,0)),""))</f>
        <v/>
      </c>
      <c r="S888" s="35">
        <f>IF($F888="","",IFERROR(INDEX(사건마스터!$AP$5:$AP$64,MATCH($F888,사건마스터!$A$5:$A$64,0)),""))</f>
        <v/>
      </c>
      <c r="T888" s="35">
        <f>IF($F888="","",IFERROR(INDEX(사건마스터!$AQ$5:$AQ$64,MATCH($F888,사건마스터!$A$5:$A$64,0)),""))</f>
        <v/>
      </c>
      <c r="U888" s="35">
        <f>IF($F888="","",IFERROR(INDEX(사건마스터!$AR$5:$AR$64,MATCH($F888,사건마스터!$A$5:$A$64,0)),""))</f>
        <v/>
      </c>
      <c r="V888" s="35">
        <f>IF($F888="","",IFERROR(INDEX(사건마스터!$AS$5:$AS$64,MATCH($F888,사건마스터!$A$5:$A$64,0)),""))</f>
        <v/>
      </c>
      <c r="W888" s="35">
        <f>IF($F888="","",IFERROR(INDEX(사건마스터!$AT$5:$AT$64,MATCH($F888,사건마스터!$A$5:$A$64,0)),""))</f>
        <v/>
      </c>
      <c r="X888" s="35">
        <f>IF($F888="","",IFERROR(INDEX(사건마스터!$AU$5:$AU$64,MATCH($F888,사건마스터!$A$5:$A$64,0)),""))</f>
        <v/>
      </c>
      <c r="Y888" s="35">
        <f>IF($F888="","",IFERROR(INDEX(사건마스터!$AV$5:$AV$64,MATCH($F888,사건마스터!$A$5:$A$64,0)),""))</f>
        <v/>
      </c>
      <c r="Z888" s="30">
        <f>IF(COUNTBLANK($J888:$Y888)=16,"",16-COUNTBLANK($J888:$Y888))</f>
        <v/>
      </c>
      <c r="AA888" s="33">
        <f>IF($J888="",MID($AX888,3,255),$J888&amp;$AX888)</f>
        <v/>
      </c>
      <c r="AB888" s="34">
        <f>IF($J888="","",IFERROR(INDEX(코드설정!$D$5:$D$24,MATCH($J888,코드설정!$C$5:$C$24,0)),""))</f>
        <v/>
      </c>
      <c r="AC888" s="36" t="n"/>
      <c r="AD888" s="37" t="n"/>
      <c r="AE888" s="38" t="n"/>
      <c r="AF888" s="30">
        <f>IF(OR($B888="",$C888=""),"",$C888-$B888+1)</f>
        <v/>
      </c>
      <c r="AG888" s="32" t="n"/>
      <c r="AH888" s="36" t="n"/>
      <c r="AJ888">
        <f>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  <c r="AX888">
        <f>AW888&amp;IF($Y888="","",", "&amp;$Y888)</f>
        <v/>
      </c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0">
        <f>IF($F889="","",COUNTIF($F$5:$F889,$F889))</f>
        <v/>
      </c>
      <c r="H889" s="33">
        <f>IF($F889="","",IFERROR(INDEX(사건마스터!$B$5:$B$64,MATCH($F889,사건마스터!$A$5:$A$64,0)),""))</f>
        <v/>
      </c>
      <c r="I889" s="34">
        <f>IF($F889="","",IFERROR(INDEX(사건마스터!$C$5:$C$64,MATCH($F889,사건마스터!$A$5:$A$64,0)),""))</f>
        <v/>
      </c>
      <c r="J889" s="35">
        <f>IF($F889="","",IFERROR(INDEX(사건마스터!$H$5:$H$64,MATCH($F889,사건마스터!$A$5:$A$64,0)),""))</f>
        <v/>
      </c>
      <c r="K889" s="35">
        <f>IF($F889="","",IFERROR(INDEX(사건마스터!$AH$5:$AH$64,MATCH($F889,사건마스터!$A$5:$A$64,0)),""))</f>
        <v/>
      </c>
      <c r="L889" s="35">
        <f>IF($F889="","",IFERROR(INDEX(사건마스터!$AI$5:$AI$64,MATCH($F889,사건마스터!$A$5:$A$64,0)),""))</f>
        <v/>
      </c>
      <c r="M889" s="35">
        <f>IF($F889="","",IFERROR(INDEX(사건마스터!$AJ$5:$AJ$64,MATCH($F889,사건마스터!$A$5:$A$64,0)),""))</f>
        <v/>
      </c>
      <c r="N889" s="35">
        <f>IF($F889="","",IFERROR(INDEX(사건마스터!$AK$5:$AK$64,MATCH($F889,사건마스터!$A$5:$A$64,0)),""))</f>
        <v/>
      </c>
      <c r="O889" s="35">
        <f>IF($F889="","",IFERROR(INDEX(사건마스터!$AL$5:$AL$64,MATCH($F889,사건마스터!$A$5:$A$64,0)),""))</f>
        <v/>
      </c>
      <c r="P889" s="35">
        <f>IF($F889="","",IFERROR(INDEX(사건마스터!$AM$5:$AM$64,MATCH($F889,사건마스터!$A$5:$A$64,0)),""))</f>
        <v/>
      </c>
      <c r="Q889" s="35">
        <f>IF($F889="","",IFERROR(INDEX(사건마스터!$AN$5:$AN$64,MATCH($F889,사건마스터!$A$5:$A$64,0)),""))</f>
        <v/>
      </c>
      <c r="R889" s="35">
        <f>IF($F889="","",IFERROR(INDEX(사건마스터!$AO$5:$AO$64,MATCH($F889,사건마스터!$A$5:$A$64,0)),""))</f>
        <v/>
      </c>
      <c r="S889" s="35">
        <f>IF($F889="","",IFERROR(INDEX(사건마스터!$AP$5:$AP$64,MATCH($F889,사건마스터!$A$5:$A$64,0)),""))</f>
        <v/>
      </c>
      <c r="T889" s="35">
        <f>IF($F889="","",IFERROR(INDEX(사건마스터!$AQ$5:$AQ$64,MATCH($F889,사건마스터!$A$5:$A$64,0)),""))</f>
        <v/>
      </c>
      <c r="U889" s="35">
        <f>IF($F889="","",IFERROR(INDEX(사건마스터!$AR$5:$AR$64,MATCH($F889,사건마스터!$A$5:$A$64,0)),""))</f>
        <v/>
      </c>
      <c r="V889" s="35">
        <f>IF($F889="","",IFERROR(INDEX(사건마스터!$AS$5:$AS$64,MATCH($F889,사건마스터!$A$5:$A$64,0)),""))</f>
        <v/>
      </c>
      <c r="W889" s="35">
        <f>IF($F889="","",IFERROR(INDEX(사건마스터!$AT$5:$AT$64,MATCH($F889,사건마스터!$A$5:$A$64,0)),""))</f>
        <v/>
      </c>
      <c r="X889" s="35">
        <f>IF($F889="","",IFERROR(INDEX(사건마스터!$AU$5:$AU$64,MATCH($F889,사건마스터!$A$5:$A$64,0)),""))</f>
        <v/>
      </c>
      <c r="Y889" s="35">
        <f>IF($F889="","",IFERROR(INDEX(사건마스터!$AV$5:$AV$64,MATCH($F889,사건마스터!$A$5:$A$64,0)),""))</f>
        <v/>
      </c>
      <c r="Z889" s="30">
        <f>IF(COUNTBLANK($J889:$Y889)=16,"",16-COUNTBLANK($J889:$Y889))</f>
        <v/>
      </c>
      <c r="AA889" s="33">
        <f>IF($J889="",MID($AX889,3,255),$J889&amp;$AX889)</f>
        <v/>
      </c>
      <c r="AB889" s="34">
        <f>IF($J889="","",IFERROR(INDEX(코드설정!$D$5:$D$24,MATCH($J889,코드설정!$C$5:$C$24,0)),""))</f>
        <v/>
      </c>
      <c r="AC889" s="36" t="n"/>
      <c r="AD889" s="37" t="n"/>
      <c r="AE889" s="38" t="n"/>
      <c r="AF889" s="30">
        <f>IF(OR($B889="",$C889=""),"",$C889-$B889+1)</f>
        <v/>
      </c>
      <c r="AG889" s="32" t="n"/>
      <c r="AH889" s="36" t="n"/>
      <c r="AJ889">
        <f>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  <c r="AX889">
        <f>AW889&amp;IF($Y889="","",", "&amp;$Y889)</f>
        <v/>
      </c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0">
        <f>IF($F890="","",COUNTIF($F$5:$F890,$F890))</f>
        <v/>
      </c>
      <c r="H890" s="33">
        <f>IF($F890="","",IFERROR(INDEX(사건마스터!$B$5:$B$64,MATCH($F890,사건마스터!$A$5:$A$64,0)),""))</f>
        <v/>
      </c>
      <c r="I890" s="34">
        <f>IF($F890="","",IFERROR(INDEX(사건마스터!$C$5:$C$64,MATCH($F890,사건마스터!$A$5:$A$64,0)),""))</f>
        <v/>
      </c>
      <c r="J890" s="35">
        <f>IF($F890="","",IFERROR(INDEX(사건마스터!$H$5:$H$64,MATCH($F890,사건마스터!$A$5:$A$64,0)),""))</f>
        <v/>
      </c>
      <c r="K890" s="35">
        <f>IF($F890="","",IFERROR(INDEX(사건마스터!$AH$5:$AH$64,MATCH($F890,사건마스터!$A$5:$A$64,0)),""))</f>
        <v/>
      </c>
      <c r="L890" s="35">
        <f>IF($F890="","",IFERROR(INDEX(사건마스터!$AI$5:$AI$64,MATCH($F890,사건마스터!$A$5:$A$64,0)),""))</f>
        <v/>
      </c>
      <c r="M890" s="35">
        <f>IF($F890="","",IFERROR(INDEX(사건마스터!$AJ$5:$AJ$64,MATCH($F890,사건마스터!$A$5:$A$64,0)),""))</f>
        <v/>
      </c>
      <c r="N890" s="35">
        <f>IF($F890="","",IFERROR(INDEX(사건마스터!$AK$5:$AK$64,MATCH($F890,사건마스터!$A$5:$A$64,0)),""))</f>
        <v/>
      </c>
      <c r="O890" s="35">
        <f>IF($F890="","",IFERROR(INDEX(사건마스터!$AL$5:$AL$64,MATCH($F890,사건마스터!$A$5:$A$64,0)),""))</f>
        <v/>
      </c>
      <c r="P890" s="35">
        <f>IF($F890="","",IFERROR(INDEX(사건마스터!$AM$5:$AM$64,MATCH($F890,사건마스터!$A$5:$A$64,0)),""))</f>
        <v/>
      </c>
      <c r="Q890" s="35">
        <f>IF($F890="","",IFERROR(INDEX(사건마스터!$AN$5:$AN$64,MATCH($F890,사건마스터!$A$5:$A$64,0)),""))</f>
        <v/>
      </c>
      <c r="R890" s="35">
        <f>IF($F890="","",IFERROR(INDEX(사건마스터!$AO$5:$AO$64,MATCH($F890,사건마스터!$A$5:$A$64,0)),""))</f>
        <v/>
      </c>
      <c r="S890" s="35">
        <f>IF($F890="","",IFERROR(INDEX(사건마스터!$AP$5:$AP$64,MATCH($F890,사건마스터!$A$5:$A$64,0)),""))</f>
        <v/>
      </c>
      <c r="T890" s="35">
        <f>IF($F890="","",IFERROR(INDEX(사건마스터!$AQ$5:$AQ$64,MATCH($F890,사건마스터!$A$5:$A$64,0)),""))</f>
        <v/>
      </c>
      <c r="U890" s="35">
        <f>IF($F890="","",IFERROR(INDEX(사건마스터!$AR$5:$AR$64,MATCH($F890,사건마스터!$A$5:$A$64,0)),""))</f>
        <v/>
      </c>
      <c r="V890" s="35">
        <f>IF($F890="","",IFERROR(INDEX(사건마스터!$AS$5:$AS$64,MATCH($F890,사건마스터!$A$5:$A$64,0)),""))</f>
        <v/>
      </c>
      <c r="W890" s="35">
        <f>IF($F890="","",IFERROR(INDEX(사건마스터!$AT$5:$AT$64,MATCH($F890,사건마스터!$A$5:$A$64,0)),""))</f>
        <v/>
      </c>
      <c r="X890" s="35">
        <f>IF($F890="","",IFERROR(INDEX(사건마스터!$AU$5:$AU$64,MATCH($F890,사건마스터!$A$5:$A$64,0)),""))</f>
        <v/>
      </c>
      <c r="Y890" s="35">
        <f>IF($F890="","",IFERROR(INDEX(사건마스터!$AV$5:$AV$64,MATCH($F890,사건마스터!$A$5:$A$64,0)),""))</f>
        <v/>
      </c>
      <c r="Z890" s="30">
        <f>IF(COUNTBLANK($J890:$Y890)=16,"",16-COUNTBLANK($J890:$Y890))</f>
        <v/>
      </c>
      <c r="AA890" s="33">
        <f>IF($J890="",MID($AX890,3,255),$J890&amp;$AX890)</f>
        <v/>
      </c>
      <c r="AB890" s="34">
        <f>IF($J890="","",IFERROR(INDEX(코드설정!$D$5:$D$24,MATCH($J890,코드설정!$C$5:$C$24,0)),""))</f>
        <v/>
      </c>
      <c r="AC890" s="36" t="n"/>
      <c r="AD890" s="37" t="n"/>
      <c r="AE890" s="38" t="n"/>
      <c r="AF890" s="30">
        <f>IF(OR($B890="",$C890=""),"",$C890-$B890+1)</f>
        <v/>
      </c>
      <c r="AG890" s="32" t="n"/>
      <c r="AH890" s="36" t="n"/>
      <c r="AJ890">
        <f>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  <c r="AX890">
        <f>AW890&amp;IF($Y890="","",", "&amp;$Y890)</f>
        <v/>
      </c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0">
        <f>IF($F891="","",COUNTIF($F$5:$F891,$F891))</f>
        <v/>
      </c>
      <c r="H891" s="33">
        <f>IF($F891="","",IFERROR(INDEX(사건마스터!$B$5:$B$64,MATCH($F891,사건마스터!$A$5:$A$64,0)),""))</f>
        <v/>
      </c>
      <c r="I891" s="34">
        <f>IF($F891="","",IFERROR(INDEX(사건마스터!$C$5:$C$64,MATCH($F891,사건마스터!$A$5:$A$64,0)),""))</f>
        <v/>
      </c>
      <c r="J891" s="35">
        <f>IF($F891="","",IFERROR(INDEX(사건마스터!$H$5:$H$64,MATCH($F891,사건마스터!$A$5:$A$64,0)),""))</f>
        <v/>
      </c>
      <c r="K891" s="35">
        <f>IF($F891="","",IFERROR(INDEX(사건마스터!$AH$5:$AH$64,MATCH($F891,사건마스터!$A$5:$A$64,0)),""))</f>
        <v/>
      </c>
      <c r="L891" s="35">
        <f>IF($F891="","",IFERROR(INDEX(사건마스터!$AI$5:$AI$64,MATCH($F891,사건마스터!$A$5:$A$64,0)),""))</f>
        <v/>
      </c>
      <c r="M891" s="35">
        <f>IF($F891="","",IFERROR(INDEX(사건마스터!$AJ$5:$AJ$64,MATCH($F891,사건마스터!$A$5:$A$64,0)),""))</f>
        <v/>
      </c>
      <c r="N891" s="35">
        <f>IF($F891="","",IFERROR(INDEX(사건마스터!$AK$5:$AK$64,MATCH($F891,사건마스터!$A$5:$A$64,0)),""))</f>
        <v/>
      </c>
      <c r="O891" s="35">
        <f>IF($F891="","",IFERROR(INDEX(사건마스터!$AL$5:$AL$64,MATCH($F891,사건마스터!$A$5:$A$64,0)),""))</f>
        <v/>
      </c>
      <c r="P891" s="35">
        <f>IF($F891="","",IFERROR(INDEX(사건마스터!$AM$5:$AM$64,MATCH($F891,사건마스터!$A$5:$A$64,0)),""))</f>
        <v/>
      </c>
      <c r="Q891" s="35">
        <f>IF($F891="","",IFERROR(INDEX(사건마스터!$AN$5:$AN$64,MATCH($F891,사건마스터!$A$5:$A$64,0)),""))</f>
        <v/>
      </c>
      <c r="R891" s="35">
        <f>IF($F891="","",IFERROR(INDEX(사건마스터!$AO$5:$AO$64,MATCH($F891,사건마스터!$A$5:$A$64,0)),""))</f>
        <v/>
      </c>
      <c r="S891" s="35">
        <f>IF($F891="","",IFERROR(INDEX(사건마스터!$AP$5:$AP$64,MATCH($F891,사건마스터!$A$5:$A$64,0)),""))</f>
        <v/>
      </c>
      <c r="T891" s="35">
        <f>IF($F891="","",IFERROR(INDEX(사건마스터!$AQ$5:$AQ$64,MATCH($F891,사건마스터!$A$5:$A$64,0)),""))</f>
        <v/>
      </c>
      <c r="U891" s="35">
        <f>IF($F891="","",IFERROR(INDEX(사건마스터!$AR$5:$AR$64,MATCH($F891,사건마스터!$A$5:$A$64,0)),""))</f>
        <v/>
      </c>
      <c r="V891" s="35">
        <f>IF($F891="","",IFERROR(INDEX(사건마스터!$AS$5:$AS$64,MATCH($F891,사건마스터!$A$5:$A$64,0)),""))</f>
        <v/>
      </c>
      <c r="W891" s="35">
        <f>IF($F891="","",IFERROR(INDEX(사건마스터!$AT$5:$AT$64,MATCH($F891,사건마스터!$A$5:$A$64,0)),""))</f>
        <v/>
      </c>
      <c r="X891" s="35">
        <f>IF($F891="","",IFERROR(INDEX(사건마스터!$AU$5:$AU$64,MATCH($F891,사건마스터!$A$5:$A$64,0)),""))</f>
        <v/>
      </c>
      <c r="Y891" s="35">
        <f>IF($F891="","",IFERROR(INDEX(사건마스터!$AV$5:$AV$64,MATCH($F891,사건마스터!$A$5:$A$64,0)),""))</f>
        <v/>
      </c>
      <c r="Z891" s="30">
        <f>IF(COUNTBLANK($J891:$Y891)=16,"",16-COUNTBLANK($J891:$Y891))</f>
        <v/>
      </c>
      <c r="AA891" s="33">
        <f>IF($J891="",MID($AX891,3,255),$J891&amp;$AX891)</f>
        <v/>
      </c>
      <c r="AB891" s="34">
        <f>IF($J891="","",IFERROR(INDEX(코드설정!$D$5:$D$24,MATCH($J891,코드설정!$C$5:$C$24,0)),""))</f>
        <v/>
      </c>
      <c r="AC891" s="36" t="n"/>
      <c r="AD891" s="37" t="n"/>
      <c r="AE891" s="38" t="n"/>
      <c r="AF891" s="30">
        <f>IF(OR($B891="",$C891=""),"",$C891-$B891+1)</f>
        <v/>
      </c>
      <c r="AG891" s="32" t="n"/>
      <c r="AH891" s="36" t="n"/>
      <c r="AJ891">
        <f>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  <c r="AX891">
        <f>AW891&amp;IF($Y891="","",", "&amp;$Y891)</f>
        <v/>
      </c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0">
        <f>IF($F892="","",COUNTIF($F$5:$F892,$F892))</f>
        <v/>
      </c>
      <c r="H892" s="33">
        <f>IF($F892="","",IFERROR(INDEX(사건마스터!$B$5:$B$64,MATCH($F892,사건마스터!$A$5:$A$64,0)),""))</f>
        <v/>
      </c>
      <c r="I892" s="34">
        <f>IF($F892="","",IFERROR(INDEX(사건마스터!$C$5:$C$64,MATCH($F892,사건마스터!$A$5:$A$64,0)),""))</f>
        <v/>
      </c>
      <c r="J892" s="35">
        <f>IF($F892="","",IFERROR(INDEX(사건마스터!$H$5:$H$64,MATCH($F892,사건마스터!$A$5:$A$64,0)),""))</f>
        <v/>
      </c>
      <c r="K892" s="35">
        <f>IF($F892="","",IFERROR(INDEX(사건마스터!$AH$5:$AH$64,MATCH($F892,사건마스터!$A$5:$A$64,0)),""))</f>
        <v/>
      </c>
      <c r="L892" s="35">
        <f>IF($F892="","",IFERROR(INDEX(사건마스터!$AI$5:$AI$64,MATCH($F892,사건마스터!$A$5:$A$64,0)),""))</f>
        <v/>
      </c>
      <c r="M892" s="35">
        <f>IF($F892="","",IFERROR(INDEX(사건마스터!$AJ$5:$AJ$64,MATCH($F892,사건마스터!$A$5:$A$64,0)),""))</f>
        <v/>
      </c>
      <c r="N892" s="35">
        <f>IF($F892="","",IFERROR(INDEX(사건마스터!$AK$5:$AK$64,MATCH($F892,사건마스터!$A$5:$A$64,0)),""))</f>
        <v/>
      </c>
      <c r="O892" s="35">
        <f>IF($F892="","",IFERROR(INDEX(사건마스터!$AL$5:$AL$64,MATCH($F892,사건마스터!$A$5:$A$64,0)),""))</f>
        <v/>
      </c>
      <c r="P892" s="35">
        <f>IF($F892="","",IFERROR(INDEX(사건마스터!$AM$5:$AM$64,MATCH($F892,사건마스터!$A$5:$A$64,0)),""))</f>
        <v/>
      </c>
      <c r="Q892" s="35">
        <f>IF($F892="","",IFERROR(INDEX(사건마스터!$AN$5:$AN$64,MATCH($F892,사건마스터!$A$5:$A$64,0)),""))</f>
        <v/>
      </c>
      <c r="R892" s="35">
        <f>IF($F892="","",IFERROR(INDEX(사건마스터!$AO$5:$AO$64,MATCH($F892,사건마스터!$A$5:$A$64,0)),""))</f>
        <v/>
      </c>
      <c r="S892" s="35">
        <f>IF($F892="","",IFERROR(INDEX(사건마스터!$AP$5:$AP$64,MATCH($F892,사건마스터!$A$5:$A$64,0)),""))</f>
        <v/>
      </c>
      <c r="T892" s="35">
        <f>IF($F892="","",IFERROR(INDEX(사건마스터!$AQ$5:$AQ$64,MATCH($F892,사건마스터!$A$5:$A$64,0)),""))</f>
        <v/>
      </c>
      <c r="U892" s="35">
        <f>IF($F892="","",IFERROR(INDEX(사건마스터!$AR$5:$AR$64,MATCH($F892,사건마스터!$A$5:$A$64,0)),""))</f>
        <v/>
      </c>
      <c r="V892" s="35">
        <f>IF($F892="","",IFERROR(INDEX(사건마스터!$AS$5:$AS$64,MATCH($F892,사건마스터!$A$5:$A$64,0)),""))</f>
        <v/>
      </c>
      <c r="W892" s="35">
        <f>IF($F892="","",IFERROR(INDEX(사건마스터!$AT$5:$AT$64,MATCH($F892,사건마스터!$A$5:$A$64,0)),""))</f>
        <v/>
      </c>
      <c r="X892" s="35">
        <f>IF($F892="","",IFERROR(INDEX(사건마스터!$AU$5:$AU$64,MATCH($F892,사건마스터!$A$5:$A$64,0)),""))</f>
        <v/>
      </c>
      <c r="Y892" s="35">
        <f>IF($F892="","",IFERROR(INDEX(사건마스터!$AV$5:$AV$64,MATCH($F892,사건마스터!$A$5:$A$64,0)),""))</f>
        <v/>
      </c>
      <c r="Z892" s="30">
        <f>IF(COUNTBLANK($J892:$Y892)=16,"",16-COUNTBLANK($J892:$Y892))</f>
        <v/>
      </c>
      <c r="AA892" s="33">
        <f>IF($J892="",MID($AX892,3,255),$J892&amp;$AX892)</f>
        <v/>
      </c>
      <c r="AB892" s="34">
        <f>IF($J892="","",IFERROR(INDEX(코드설정!$D$5:$D$24,MATCH($J892,코드설정!$C$5:$C$24,0)),""))</f>
        <v/>
      </c>
      <c r="AC892" s="36" t="n"/>
      <c r="AD892" s="37" t="n"/>
      <c r="AE892" s="38" t="n"/>
      <c r="AF892" s="30">
        <f>IF(OR($B892="",$C892=""),"",$C892-$B892+1)</f>
        <v/>
      </c>
      <c r="AG892" s="32" t="n"/>
      <c r="AH892" s="36" t="n"/>
      <c r="AJ892">
        <f>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  <c r="AX892">
        <f>AW892&amp;IF($Y892="","",", "&amp;$Y892)</f>
        <v/>
      </c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0">
        <f>IF($F893="","",COUNTIF($F$5:$F893,$F893))</f>
        <v/>
      </c>
      <c r="H893" s="33">
        <f>IF($F893="","",IFERROR(INDEX(사건마스터!$B$5:$B$64,MATCH($F893,사건마스터!$A$5:$A$64,0)),""))</f>
        <v/>
      </c>
      <c r="I893" s="34">
        <f>IF($F893="","",IFERROR(INDEX(사건마스터!$C$5:$C$64,MATCH($F893,사건마스터!$A$5:$A$64,0)),""))</f>
        <v/>
      </c>
      <c r="J893" s="35">
        <f>IF($F893="","",IFERROR(INDEX(사건마스터!$H$5:$H$64,MATCH($F893,사건마스터!$A$5:$A$64,0)),""))</f>
        <v/>
      </c>
      <c r="K893" s="35">
        <f>IF($F893="","",IFERROR(INDEX(사건마스터!$AH$5:$AH$64,MATCH($F893,사건마스터!$A$5:$A$64,0)),""))</f>
        <v/>
      </c>
      <c r="L893" s="35">
        <f>IF($F893="","",IFERROR(INDEX(사건마스터!$AI$5:$AI$64,MATCH($F893,사건마스터!$A$5:$A$64,0)),""))</f>
        <v/>
      </c>
      <c r="M893" s="35">
        <f>IF($F893="","",IFERROR(INDEX(사건마스터!$AJ$5:$AJ$64,MATCH($F893,사건마스터!$A$5:$A$64,0)),""))</f>
        <v/>
      </c>
      <c r="N893" s="35">
        <f>IF($F893="","",IFERROR(INDEX(사건마스터!$AK$5:$AK$64,MATCH($F893,사건마스터!$A$5:$A$64,0)),""))</f>
        <v/>
      </c>
      <c r="O893" s="35">
        <f>IF($F893="","",IFERROR(INDEX(사건마스터!$AL$5:$AL$64,MATCH($F893,사건마스터!$A$5:$A$64,0)),""))</f>
        <v/>
      </c>
      <c r="P893" s="35">
        <f>IF($F893="","",IFERROR(INDEX(사건마스터!$AM$5:$AM$64,MATCH($F893,사건마스터!$A$5:$A$64,0)),""))</f>
        <v/>
      </c>
      <c r="Q893" s="35">
        <f>IF($F893="","",IFERROR(INDEX(사건마스터!$AN$5:$AN$64,MATCH($F893,사건마스터!$A$5:$A$64,0)),""))</f>
        <v/>
      </c>
      <c r="R893" s="35">
        <f>IF($F893="","",IFERROR(INDEX(사건마스터!$AO$5:$AO$64,MATCH($F893,사건마스터!$A$5:$A$64,0)),""))</f>
        <v/>
      </c>
      <c r="S893" s="35">
        <f>IF($F893="","",IFERROR(INDEX(사건마스터!$AP$5:$AP$64,MATCH($F893,사건마스터!$A$5:$A$64,0)),""))</f>
        <v/>
      </c>
      <c r="T893" s="35">
        <f>IF($F893="","",IFERROR(INDEX(사건마스터!$AQ$5:$AQ$64,MATCH($F893,사건마스터!$A$5:$A$64,0)),""))</f>
        <v/>
      </c>
      <c r="U893" s="35">
        <f>IF($F893="","",IFERROR(INDEX(사건마스터!$AR$5:$AR$64,MATCH($F893,사건마스터!$A$5:$A$64,0)),""))</f>
        <v/>
      </c>
      <c r="V893" s="35">
        <f>IF($F893="","",IFERROR(INDEX(사건마스터!$AS$5:$AS$64,MATCH($F893,사건마스터!$A$5:$A$64,0)),""))</f>
        <v/>
      </c>
      <c r="W893" s="35">
        <f>IF($F893="","",IFERROR(INDEX(사건마스터!$AT$5:$AT$64,MATCH($F893,사건마스터!$A$5:$A$64,0)),""))</f>
        <v/>
      </c>
      <c r="X893" s="35">
        <f>IF($F893="","",IFERROR(INDEX(사건마스터!$AU$5:$AU$64,MATCH($F893,사건마스터!$A$5:$A$64,0)),""))</f>
        <v/>
      </c>
      <c r="Y893" s="35">
        <f>IF($F893="","",IFERROR(INDEX(사건마스터!$AV$5:$AV$64,MATCH($F893,사건마스터!$A$5:$A$64,0)),""))</f>
        <v/>
      </c>
      <c r="Z893" s="30">
        <f>IF(COUNTBLANK($J893:$Y893)=16,"",16-COUNTBLANK($J893:$Y893))</f>
        <v/>
      </c>
      <c r="AA893" s="33">
        <f>IF($J893="",MID($AX893,3,255),$J893&amp;$AX893)</f>
        <v/>
      </c>
      <c r="AB893" s="34">
        <f>IF($J893="","",IFERROR(INDEX(코드설정!$D$5:$D$24,MATCH($J893,코드설정!$C$5:$C$24,0)),""))</f>
        <v/>
      </c>
      <c r="AC893" s="36" t="n"/>
      <c r="AD893" s="37" t="n"/>
      <c r="AE893" s="38" t="n"/>
      <c r="AF893" s="30">
        <f>IF(OR($B893="",$C893=""),"",$C893-$B893+1)</f>
        <v/>
      </c>
      <c r="AG893" s="32" t="n"/>
      <c r="AH893" s="36" t="n"/>
      <c r="AJ893">
        <f>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  <c r="AX893">
        <f>AW893&amp;IF($Y893="","",", "&amp;$Y893)</f>
        <v/>
      </c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0">
        <f>IF($F894="","",COUNTIF($F$5:$F894,$F894))</f>
        <v/>
      </c>
      <c r="H894" s="33">
        <f>IF($F894="","",IFERROR(INDEX(사건마스터!$B$5:$B$64,MATCH($F894,사건마스터!$A$5:$A$64,0)),""))</f>
        <v/>
      </c>
      <c r="I894" s="34">
        <f>IF($F894="","",IFERROR(INDEX(사건마스터!$C$5:$C$64,MATCH($F894,사건마스터!$A$5:$A$64,0)),""))</f>
        <v/>
      </c>
      <c r="J894" s="35">
        <f>IF($F894="","",IFERROR(INDEX(사건마스터!$H$5:$H$64,MATCH($F894,사건마스터!$A$5:$A$64,0)),""))</f>
        <v/>
      </c>
      <c r="K894" s="35">
        <f>IF($F894="","",IFERROR(INDEX(사건마스터!$AH$5:$AH$64,MATCH($F894,사건마스터!$A$5:$A$64,0)),""))</f>
        <v/>
      </c>
      <c r="L894" s="35">
        <f>IF($F894="","",IFERROR(INDEX(사건마스터!$AI$5:$AI$64,MATCH($F894,사건마스터!$A$5:$A$64,0)),""))</f>
        <v/>
      </c>
      <c r="M894" s="35">
        <f>IF($F894="","",IFERROR(INDEX(사건마스터!$AJ$5:$AJ$64,MATCH($F894,사건마스터!$A$5:$A$64,0)),""))</f>
        <v/>
      </c>
      <c r="N894" s="35">
        <f>IF($F894="","",IFERROR(INDEX(사건마스터!$AK$5:$AK$64,MATCH($F894,사건마스터!$A$5:$A$64,0)),""))</f>
        <v/>
      </c>
      <c r="O894" s="35">
        <f>IF($F894="","",IFERROR(INDEX(사건마스터!$AL$5:$AL$64,MATCH($F894,사건마스터!$A$5:$A$64,0)),""))</f>
        <v/>
      </c>
      <c r="P894" s="35">
        <f>IF($F894="","",IFERROR(INDEX(사건마스터!$AM$5:$AM$64,MATCH($F894,사건마스터!$A$5:$A$64,0)),""))</f>
        <v/>
      </c>
      <c r="Q894" s="35">
        <f>IF($F894="","",IFERROR(INDEX(사건마스터!$AN$5:$AN$64,MATCH($F894,사건마스터!$A$5:$A$64,0)),""))</f>
        <v/>
      </c>
      <c r="R894" s="35">
        <f>IF($F894="","",IFERROR(INDEX(사건마스터!$AO$5:$AO$64,MATCH($F894,사건마스터!$A$5:$A$64,0)),""))</f>
        <v/>
      </c>
      <c r="S894" s="35">
        <f>IF($F894="","",IFERROR(INDEX(사건마스터!$AP$5:$AP$64,MATCH($F894,사건마스터!$A$5:$A$64,0)),""))</f>
        <v/>
      </c>
      <c r="T894" s="35">
        <f>IF($F894="","",IFERROR(INDEX(사건마스터!$AQ$5:$AQ$64,MATCH($F894,사건마스터!$A$5:$A$64,0)),""))</f>
        <v/>
      </c>
      <c r="U894" s="35">
        <f>IF($F894="","",IFERROR(INDEX(사건마스터!$AR$5:$AR$64,MATCH($F894,사건마스터!$A$5:$A$64,0)),""))</f>
        <v/>
      </c>
      <c r="V894" s="35">
        <f>IF($F894="","",IFERROR(INDEX(사건마스터!$AS$5:$AS$64,MATCH($F894,사건마스터!$A$5:$A$64,0)),""))</f>
        <v/>
      </c>
      <c r="W894" s="35">
        <f>IF($F894="","",IFERROR(INDEX(사건마스터!$AT$5:$AT$64,MATCH($F894,사건마스터!$A$5:$A$64,0)),""))</f>
        <v/>
      </c>
      <c r="X894" s="35">
        <f>IF($F894="","",IFERROR(INDEX(사건마스터!$AU$5:$AU$64,MATCH($F894,사건마스터!$A$5:$A$64,0)),""))</f>
        <v/>
      </c>
      <c r="Y894" s="35">
        <f>IF($F894="","",IFERROR(INDEX(사건마스터!$AV$5:$AV$64,MATCH($F894,사건마스터!$A$5:$A$64,0)),""))</f>
        <v/>
      </c>
      <c r="Z894" s="30">
        <f>IF(COUNTBLANK($J894:$Y894)=16,"",16-COUNTBLANK($J894:$Y894))</f>
        <v/>
      </c>
      <c r="AA894" s="33">
        <f>IF($J894="",MID($AX894,3,255),$J894&amp;$AX894)</f>
        <v/>
      </c>
      <c r="AB894" s="34">
        <f>IF($J894="","",IFERROR(INDEX(코드설정!$D$5:$D$24,MATCH($J894,코드설정!$C$5:$C$24,0)),""))</f>
        <v/>
      </c>
      <c r="AC894" s="36" t="n"/>
      <c r="AD894" s="37" t="n"/>
      <c r="AE894" s="38" t="n"/>
      <c r="AF894" s="30">
        <f>IF(OR($B894="",$C894=""),"",$C894-$B894+1)</f>
        <v/>
      </c>
      <c r="AG894" s="32" t="n"/>
      <c r="AH894" s="36" t="n"/>
      <c r="AJ894">
        <f>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  <c r="AX894">
        <f>AW894&amp;IF($Y894="","",", "&amp;$Y894)</f>
        <v/>
      </c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0">
        <f>IF($F895="","",COUNTIF($F$5:$F895,$F895))</f>
        <v/>
      </c>
      <c r="H895" s="33">
        <f>IF($F895="","",IFERROR(INDEX(사건마스터!$B$5:$B$64,MATCH($F895,사건마스터!$A$5:$A$64,0)),""))</f>
        <v/>
      </c>
      <c r="I895" s="34">
        <f>IF($F895="","",IFERROR(INDEX(사건마스터!$C$5:$C$64,MATCH($F895,사건마스터!$A$5:$A$64,0)),""))</f>
        <v/>
      </c>
      <c r="J895" s="35">
        <f>IF($F895="","",IFERROR(INDEX(사건마스터!$H$5:$H$64,MATCH($F895,사건마스터!$A$5:$A$64,0)),""))</f>
        <v/>
      </c>
      <c r="K895" s="35">
        <f>IF($F895="","",IFERROR(INDEX(사건마스터!$AH$5:$AH$64,MATCH($F895,사건마스터!$A$5:$A$64,0)),""))</f>
        <v/>
      </c>
      <c r="L895" s="35">
        <f>IF($F895="","",IFERROR(INDEX(사건마스터!$AI$5:$AI$64,MATCH($F895,사건마스터!$A$5:$A$64,0)),""))</f>
        <v/>
      </c>
      <c r="M895" s="35">
        <f>IF($F895="","",IFERROR(INDEX(사건마스터!$AJ$5:$AJ$64,MATCH($F895,사건마스터!$A$5:$A$64,0)),""))</f>
        <v/>
      </c>
      <c r="N895" s="35">
        <f>IF($F895="","",IFERROR(INDEX(사건마스터!$AK$5:$AK$64,MATCH($F895,사건마스터!$A$5:$A$64,0)),""))</f>
        <v/>
      </c>
      <c r="O895" s="35">
        <f>IF($F895="","",IFERROR(INDEX(사건마스터!$AL$5:$AL$64,MATCH($F895,사건마스터!$A$5:$A$64,0)),""))</f>
        <v/>
      </c>
      <c r="P895" s="35">
        <f>IF($F895="","",IFERROR(INDEX(사건마스터!$AM$5:$AM$64,MATCH($F895,사건마스터!$A$5:$A$64,0)),""))</f>
        <v/>
      </c>
      <c r="Q895" s="35">
        <f>IF($F895="","",IFERROR(INDEX(사건마스터!$AN$5:$AN$64,MATCH($F895,사건마스터!$A$5:$A$64,0)),""))</f>
        <v/>
      </c>
      <c r="R895" s="35">
        <f>IF($F895="","",IFERROR(INDEX(사건마스터!$AO$5:$AO$64,MATCH($F895,사건마스터!$A$5:$A$64,0)),""))</f>
        <v/>
      </c>
      <c r="S895" s="35">
        <f>IF($F895="","",IFERROR(INDEX(사건마스터!$AP$5:$AP$64,MATCH($F895,사건마스터!$A$5:$A$64,0)),""))</f>
        <v/>
      </c>
      <c r="T895" s="35">
        <f>IF($F895="","",IFERROR(INDEX(사건마스터!$AQ$5:$AQ$64,MATCH($F895,사건마스터!$A$5:$A$64,0)),""))</f>
        <v/>
      </c>
      <c r="U895" s="35">
        <f>IF($F895="","",IFERROR(INDEX(사건마스터!$AR$5:$AR$64,MATCH($F895,사건마스터!$A$5:$A$64,0)),""))</f>
        <v/>
      </c>
      <c r="V895" s="35">
        <f>IF($F895="","",IFERROR(INDEX(사건마스터!$AS$5:$AS$64,MATCH($F895,사건마스터!$A$5:$A$64,0)),""))</f>
        <v/>
      </c>
      <c r="W895" s="35">
        <f>IF($F895="","",IFERROR(INDEX(사건마스터!$AT$5:$AT$64,MATCH($F895,사건마스터!$A$5:$A$64,0)),""))</f>
        <v/>
      </c>
      <c r="X895" s="35">
        <f>IF($F895="","",IFERROR(INDEX(사건마스터!$AU$5:$AU$64,MATCH($F895,사건마스터!$A$5:$A$64,0)),""))</f>
        <v/>
      </c>
      <c r="Y895" s="35">
        <f>IF($F895="","",IFERROR(INDEX(사건마스터!$AV$5:$AV$64,MATCH($F895,사건마스터!$A$5:$A$64,0)),""))</f>
        <v/>
      </c>
      <c r="Z895" s="30">
        <f>IF(COUNTBLANK($J895:$Y895)=16,"",16-COUNTBLANK($J895:$Y895))</f>
        <v/>
      </c>
      <c r="AA895" s="33">
        <f>IF($J895="",MID($AX895,3,255),$J895&amp;$AX895)</f>
        <v/>
      </c>
      <c r="AB895" s="34">
        <f>IF($J895="","",IFERROR(INDEX(코드설정!$D$5:$D$24,MATCH($J895,코드설정!$C$5:$C$24,0)),""))</f>
        <v/>
      </c>
      <c r="AC895" s="36" t="n"/>
      <c r="AD895" s="37" t="n"/>
      <c r="AE895" s="38" t="n"/>
      <c r="AF895" s="30">
        <f>IF(OR($B895="",$C895=""),"",$C895-$B895+1)</f>
        <v/>
      </c>
      <c r="AG895" s="32" t="n"/>
      <c r="AH895" s="36" t="n"/>
      <c r="AJ895">
        <f>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  <c r="AX895">
        <f>AW895&amp;IF($Y895="","",", "&amp;$Y895)</f>
        <v/>
      </c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0">
        <f>IF($F896="","",COUNTIF($F$5:$F896,$F896))</f>
        <v/>
      </c>
      <c r="H896" s="33">
        <f>IF($F896="","",IFERROR(INDEX(사건마스터!$B$5:$B$64,MATCH($F896,사건마스터!$A$5:$A$64,0)),""))</f>
        <v/>
      </c>
      <c r="I896" s="34">
        <f>IF($F896="","",IFERROR(INDEX(사건마스터!$C$5:$C$64,MATCH($F896,사건마스터!$A$5:$A$64,0)),""))</f>
        <v/>
      </c>
      <c r="J896" s="35">
        <f>IF($F896="","",IFERROR(INDEX(사건마스터!$H$5:$H$64,MATCH($F896,사건마스터!$A$5:$A$64,0)),""))</f>
        <v/>
      </c>
      <c r="K896" s="35">
        <f>IF($F896="","",IFERROR(INDEX(사건마스터!$AH$5:$AH$64,MATCH($F896,사건마스터!$A$5:$A$64,0)),""))</f>
        <v/>
      </c>
      <c r="L896" s="35">
        <f>IF($F896="","",IFERROR(INDEX(사건마스터!$AI$5:$AI$64,MATCH($F896,사건마스터!$A$5:$A$64,0)),""))</f>
        <v/>
      </c>
      <c r="M896" s="35">
        <f>IF($F896="","",IFERROR(INDEX(사건마스터!$AJ$5:$AJ$64,MATCH($F896,사건마스터!$A$5:$A$64,0)),""))</f>
        <v/>
      </c>
      <c r="N896" s="35">
        <f>IF($F896="","",IFERROR(INDEX(사건마스터!$AK$5:$AK$64,MATCH($F896,사건마스터!$A$5:$A$64,0)),""))</f>
        <v/>
      </c>
      <c r="O896" s="35">
        <f>IF($F896="","",IFERROR(INDEX(사건마스터!$AL$5:$AL$64,MATCH($F896,사건마스터!$A$5:$A$64,0)),""))</f>
        <v/>
      </c>
      <c r="P896" s="35">
        <f>IF($F896="","",IFERROR(INDEX(사건마스터!$AM$5:$AM$64,MATCH($F896,사건마스터!$A$5:$A$64,0)),""))</f>
        <v/>
      </c>
      <c r="Q896" s="35">
        <f>IF($F896="","",IFERROR(INDEX(사건마스터!$AN$5:$AN$64,MATCH($F896,사건마스터!$A$5:$A$64,0)),""))</f>
        <v/>
      </c>
      <c r="R896" s="35">
        <f>IF($F896="","",IFERROR(INDEX(사건마스터!$AO$5:$AO$64,MATCH($F896,사건마스터!$A$5:$A$64,0)),""))</f>
        <v/>
      </c>
      <c r="S896" s="35">
        <f>IF($F896="","",IFERROR(INDEX(사건마스터!$AP$5:$AP$64,MATCH($F896,사건마스터!$A$5:$A$64,0)),""))</f>
        <v/>
      </c>
      <c r="T896" s="35">
        <f>IF($F896="","",IFERROR(INDEX(사건마스터!$AQ$5:$AQ$64,MATCH($F896,사건마스터!$A$5:$A$64,0)),""))</f>
        <v/>
      </c>
      <c r="U896" s="35">
        <f>IF($F896="","",IFERROR(INDEX(사건마스터!$AR$5:$AR$64,MATCH($F896,사건마스터!$A$5:$A$64,0)),""))</f>
        <v/>
      </c>
      <c r="V896" s="35">
        <f>IF($F896="","",IFERROR(INDEX(사건마스터!$AS$5:$AS$64,MATCH($F896,사건마스터!$A$5:$A$64,0)),""))</f>
        <v/>
      </c>
      <c r="W896" s="35">
        <f>IF($F896="","",IFERROR(INDEX(사건마스터!$AT$5:$AT$64,MATCH($F896,사건마스터!$A$5:$A$64,0)),""))</f>
        <v/>
      </c>
      <c r="X896" s="35">
        <f>IF($F896="","",IFERROR(INDEX(사건마스터!$AU$5:$AU$64,MATCH($F896,사건마스터!$A$5:$A$64,0)),""))</f>
        <v/>
      </c>
      <c r="Y896" s="35">
        <f>IF($F896="","",IFERROR(INDEX(사건마스터!$AV$5:$AV$64,MATCH($F896,사건마스터!$A$5:$A$64,0)),""))</f>
        <v/>
      </c>
      <c r="Z896" s="30">
        <f>IF(COUNTBLANK($J896:$Y896)=16,"",16-COUNTBLANK($J896:$Y896))</f>
        <v/>
      </c>
      <c r="AA896" s="33">
        <f>IF($J896="",MID($AX896,3,255),$J896&amp;$AX896)</f>
        <v/>
      </c>
      <c r="AB896" s="34">
        <f>IF($J896="","",IFERROR(INDEX(코드설정!$D$5:$D$24,MATCH($J896,코드설정!$C$5:$C$24,0)),""))</f>
        <v/>
      </c>
      <c r="AC896" s="36" t="n"/>
      <c r="AD896" s="37" t="n"/>
      <c r="AE896" s="38" t="n"/>
      <c r="AF896" s="30">
        <f>IF(OR($B896="",$C896=""),"",$C896-$B896+1)</f>
        <v/>
      </c>
      <c r="AG896" s="32" t="n"/>
      <c r="AH896" s="36" t="n"/>
      <c r="AJ896">
        <f>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  <c r="AX896">
        <f>AW896&amp;IF($Y896="","",", "&amp;$Y896)</f>
        <v/>
      </c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0">
        <f>IF($F897="","",COUNTIF($F$5:$F897,$F897))</f>
        <v/>
      </c>
      <c r="H897" s="33">
        <f>IF($F897="","",IFERROR(INDEX(사건마스터!$B$5:$B$64,MATCH($F897,사건마스터!$A$5:$A$64,0)),""))</f>
        <v/>
      </c>
      <c r="I897" s="34">
        <f>IF($F897="","",IFERROR(INDEX(사건마스터!$C$5:$C$64,MATCH($F897,사건마스터!$A$5:$A$64,0)),""))</f>
        <v/>
      </c>
      <c r="J897" s="35">
        <f>IF($F897="","",IFERROR(INDEX(사건마스터!$H$5:$H$64,MATCH($F897,사건마스터!$A$5:$A$64,0)),""))</f>
        <v/>
      </c>
      <c r="K897" s="35">
        <f>IF($F897="","",IFERROR(INDEX(사건마스터!$AH$5:$AH$64,MATCH($F897,사건마스터!$A$5:$A$64,0)),""))</f>
        <v/>
      </c>
      <c r="L897" s="35">
        <f>IF($F897="","",IFERROR(INDEX(사건마스터!$AI$5:$AI$64,MATCH($F897,사건마스터!$A$5:$A$64,0)),""))</f>
        <v/>
      </c>
      <c r="M897" s="35">
        <f>IF($F897="","",IFERROR(INDEX(사건마스터!$AJ$5:$AJ$64,MATCH($F897,사건마스터!$A$5:$A$64,0)),""))</f>
        <v/>
      </c>
      <c r="N897" s="35">
        <f>IF($F897="","",IFERROR(INDEX(사건마스터!$AK$5:$AK$64,MATCH($F897,사건마스터!$A$5:$A$64,0)),""))</f>
        <v/>
      </c>
      <c r="O897" s="35">
        <f>IF($F897="","",IFERROR(INDEX(사건마스터!$AL$5:$AL$64,MATCH($F897,사건마스터!$A$5:$A$64,0)),""))</f>
        <v/>
      </c>
      <c r="P897" s="35">
        <f>IF($F897="","",IFERROR(INDEX(사건마스터!$AM$5:$AM$64,MATCH($F897,사건마스터!$A$5:$A$64,0)),""))</f>
        <v/>
      </c>
      <c r="Q897" s="35">
        <f>IF($F897="","",IFERROR(INDEX(사건마스터!$AN$5:$AN$64,MATCH($F897,사건마스터!$A$5:$A$64,0)),""))</f>
        <v/>
      </c>
      <c r="R897" s="35">
        <f>IF($F897="","",IFERROR(INDEX(사건마스터!$AO$5:$AO$64,MATCH($F897,사건마스터!$A$5:$A$64,0)),""))</f>
        <v/>
      </c>
      <c r="S897" s="35">
        <f>IF($F897="","",IFERROR(INDEX(사건마스터!$AP$5:$AP$64,MATCH($F897,사건마스터!$A$5:$A$64,0)),""))</f>
        <v/>
      </c>
      <c r="T897" s="35">
        <f>IF($F897="","",IFERROR(INDEX(사건마스터!$AQ$5:$AQ$64,MATCH($F897,사건마스터!$A$5:$A$64,0)),""))</f>
        <v/>
      </c>
      <c r="U897" s="35">
        <f>IF($F897="","",IFERROR(INDEX(사건마스터!$AR$5:$AR$64,MATCH($F897,사건마스터!$A$5:$A$64,0)),""))</f>
        <v/>
      </c>
      <c r="V897" s="35">
        <f>IF($F897="","",IFERROR(INDEX(사건마스터!$AS$5:$AS$64,MATCH($F897,사건마스터!$A$5:$A$64,0)),""))</f>
        <v/>
      </c>
      <c r="W897" s="35">
        <f>IF($F897="","",IFERROR(INDEX(사건마스터!$AT$5:$AT$64,MATCH($F897,사건마스터!$A$5:$A$64,0)),""))</f>
        <v/>
      </c>
      <c r="X897" s="35">
        <f>IF($F897="","",IFERROR(INDEX(사건마스터!$AU$5:$AU$64,MATCH($F897,사건마스터!$A$5:$A$64,0)),""))</f>
        <v/>
      </c>
      <c r="Y897" s="35">
        <f>IF($F897="","",IFERROR(INDEX(사건마스터!$AV$5:$AV$64,MATCH($F897,사건마스터!$A$5:$A$64,0)),""))</f>
        <v/>
      </c>
      <c r="Z897" s="30">
        <f>IF(COUNTBLANK($J897:$Y897)=16,"",16-COUNTBLANK($J897:$Y897))</f>
        <v/>
      </c>
      <c r="AA897" s="33">
        <f>IF($J897="",MID($AX897,3,255),$J897&amp;$AX897)</f>
        <v/>
      </c>
      <c r="AB897" s="34">
        <f>IF($J897="","",IFERROR(INDEX(코드설정!$D$5:$D$24,MATCH($J897,코드설정!$C$5:$C$24,0)),""))</f>
        <v/>
      </c>
      <c r="AC897" s="36" t="n"/>
      <c r="AD897" s="37" t="n"/>
      <c r="AE897" s="38" t="n"/>
      <c r="AF897" s="30">
        <f>IF(OR($B897="",$C897=""),"",$C897-$B897+1)</f>
        <v/>
      </c>
      <c r="AG897" s="32" t="n"/>
      <c r="AH897" s="36" t="n"/>
      <c r="AJ897">
        <f>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  <c r="AX897">
        <f>AW897&amp;IF($Y897="","",", "&amp;$Y897)</f>
        <v/>
      </c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0">
        <f>IF($F898="","",COUNTIF($F$5:$F898,$F898))</f>
        <v/>
      </c>
      <c r="H898" s="33">
        <f>IF($F898="","",IFERROR(INDEX(사건마스터!$B$5:$B$64,MATCH($F898,사건마스터!$A$5:$A$64,0)),""))</f>
        <v/>
      </c>
      <c r="I898" s="34">
        <f>IF($F898="","",IFERROR(INDEX(사건마스터!$C$5:$C$64,MATCH($F898,사건마스터!$A$5:$A$64,0)),""))</f>
        <v/>
      </c>
      <c r="J898" s="35">
        <f>IF($F898="","",IFERROR(INDEX(사건마스터!$H$5:$H$64,MATCH($F898,사건마스터!$A$5:$A$64,0)),""))</f>
        <v/>
      </c>
      <c r="K898" s="35">
        <f>IF($F898="","",IFERROR(INDEX(사건마스터!$AH$5:$AH$64,MATCH($F898,사건마스터!$A$5:$A$64,0)),""))</f>
        <v/>
      </c>
      <c r="L898" s="35">
        <f>IF($F898="","",IFERROR(INDEX(사건마스터!$AI$5:$AI$64,MATCH($F898,사건마스터!$A$5:$A$64,0)),""))</f>
        <v/>
      </c>
      <c r="M898" s="35">
        <f>IF($F898="","",IFERROR(INDEX(사건마스터!$AJ$5:$AJ$64,MATCH($F898,사건마스터!$A$5:$A$64,0)),""))</f>
        <v/>
      </c>
      <c r="N898" s="35">
        <f>IF($F898="","",IFERROR(INDEX(사건마스터!$AK$5:$AK$64,MATCH($F898,사건마스터!$A$5:$A$64,0)),""))</f>
        <v/>
      </c>
      <c r="O898" s="35">
        <f>IF($F898="","",IFERROR(INDEX(사건마스터!$AL$5:$AL$64,MATCH($F898,사건마스터!$A$5:$A$64,0)),""))</f>
        <v/>
      </c>
      <c r="P898" s="35">
        <f>IF($F898="","",IFERROR(INDEX(사건마스터!$AM$5:$AM$64,MATCH($F898,사건마스터!$A$5:$A$64,0)),""))</f>
        <v/>
      </c>
      <c r="Q898" s="35">
        <f>IF($F898="","",IFERROR(INDEX(사건마스터!$AN$5:$AN$64,MATCH($F898,사건마스터!$A$5:$A$64,0)),""))</f>
        <v/>
      </c>
      <c r="R898" s="35">
        <f>IF($F898="","",IFERROR(INDEX(사건마스터!$AO$5:$AO$64,MATCH($F898,사건마스터!$A$5:$A$64,0)),""))</f>
        <v/>
      </c>
      <c r="S898" s="35">
        <f>IF($F898="","",IFERROR(INDEX(사건마스터!$AP$5:$AP$64,MATCH($F898,사건마스터!$A$5:$A$64,0)),""))</f>
        <v/>
      </c>
      <c r="T898" s="35">
        <f>IF($F898="","",IFERROR(INDEX(사건마스터!$AQ$5:$AQ$64,MATCH($F898,사건마스터!$A$5:$A$64,0)),""))</f>
        <v/>
      </c>
      <c r="U898" s="35">
        <f>IF($F898="","",IFERROR(INDEX(사건마스터!$AR$5:$AR$64,MATCH($F898,사건마스터!$A$5:$A$64,0)),""))</f>
        <v/>
      </c>
      <c r="V898" s="35">
        <f>IF($F898="","",IFERROR(INDEX(사건마스터!$AS$5:$AS$64,MATCH($F898,사건마스터!$A$5:$A$64,0)),""))</f>
        <v/>
      </c>
      <c r="W898" s="35">
        <f>IF($F898="","",IFERROR(INDEX(사건마스터!$AT$5:$AT$64,MATCH($F898,사건마스터!$A$5:$A$64,0)),""))</f>
        <v/>
      </c>
      <c r="X898" s="35">
        <f>IF($F898="","",IFERROR(INDEX(사건마스터!$AU$5:$AU$64,MATCH($F898,사건마스터!$A$5:$A$64,0)),""))</f>
        <v/>
      </c>
      <c r="Y898" s="35">
        <f>IF($F898="","",IFERROR(INDEX(사건마스터!$AV$5:$AV$64,MATCH($F898,사건마스터!$A$5:$A$64,0)),""))</f>
        <v/>
      </c>
      <c r="Z898" s="30">
        <f>IF(COUNTBLANK($J898:$Y898)=16,"",16-COUNTBLANK($J898:$Y898))</f>
        <v/>
      </c>
      <c r="AA898" s="33">
        <f>IF($J898="",MID($AX898,3,255),$J898&amp;$AX898)</f>
        <v/>
      </c>
      <c r="AB898" s="34">
        <f>IF($J898="","",IFERROR(INDEX(코드설정!$D$5:$D$24,MATCH($J898,코드설정!$C$5:$C$24,0)),""))</f>
        <v/>
      </c>
      <c r="AC898" s="36" t="n"/>
      <c r="AD898" s="37" t="n"/>
      <c r="AE898" s="38" t="n"/>
      <c r="AF898" s="30">
        <f>IF(OR($B898="",$C898=""),"",$C898-$B898+1)</f>
        <v/>
      </c>
      <c r="AG898" s="32" t="n"/>
      <c r="AH898" s="36" t="n"/>
      <c r="AJ898">
        <f>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  <c r="AX898">
        <f>AW898&amp;IF($Y898="","",", "&amp;$Y898)</f>
        <v/>
      </c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0">
        <f>IF($F899="","",COUNTIF($F$5:$F899,$F899))</f>
        <v/>
      </c>
      <c r="H899" s="33">
        <f>IF($F899="","",IFERROR(INDEX(사건마스터!$B$5:$B$64,MATCH($F899,사건마스터!$A$5:$A$64,0)),""))</f>
        <v/>
      </c>
      <c r="I899" s="34">
        <f>IF($F899="","",IFERROR(INDEX(사건마스터!$C$5:$C$64,MATCH($F899,사건마스터!$A$5:$A$64,0)),""))</f>
        <v/>
      </c>
      <c r="J899" s="35">
        <f>IF($F899="","",IFERROR(INDEX(사건마스터!$H$5:$H$64,MATCH($F899,사건마스터!$A$5:$A$64,0)),""))</f>
        <v/>
      </c>
      <c r="K899" s="35">
        <f>IF($F899="","",IFERROR(INDEX(사건마스터!$AH$5:$AH$64,MATCH($F899,사건마스터!$A$5:$A$64,0)),""))</f>
        <v/>
      </c>
      <c r="L899" s="35">
        <f>IF($F899="","",IFERROR(INDEX(사건마스터!$AI$5:$AI$64,MATCH($F899,사건마스터!$A$5:$A$64,0)),""))</f>
        <v/>
      </c>
      <c r="M899" s="35">
        <f>IF($F899="","",IFERROR(INDEX(사건마스터!$AJ$5:$AJ$64,MATCH($F899,사건마스터!$A$5:$A$64,0)),""))</f>
        <v/>
      </c>
      <c r="N899" s="35">
        <f>IF($F899="","",IFERROR(INDEX(사건마스터!$AK$5:$AK$64,MATCH($F899,사건마스터!$A$5:$A$64,0)),""))</f>
        <v/>
      </c>
      <c r="O899" s="35">
        <f>IF($F899="","",IFERROR(INDEX(사건마스터!$AL$5:$AL$64,MATCH($F899,사건마스터!$A$5:$A$64,0)),""))</f>
        <v/>
      </c>
      <c r="P899" s="35">
        <f>IF($F899="","",IFERROR(INDEX(사건마스터!$AM$5:$AM$64,MATCH($F899,사건마스터!$A$5:$A$64,0)),""))</f>
        <v/>
      </c>
      <c r="Q899" s="35">
        <f>IF($F899="","",IFERROR(INDEX(사건마스터!$AN$5:$AN$64,MATCH($F899,사건마스터!$A$5:$A$64,0)),""))</f>
        <v/>
      </c>
      <c r="R899" s="35">
        <f>IF($F899="","",IFERROR(INDEX(사건마스터!$AO$5:$AO$64,MATCH($F899,사건마스터!$A$5:$A$64,0)),""))</f>
        <v/>
      </c>
      <c r="S899" s="35">
        <f>IF($F899="","",IFERROR(INDEX(사건마스터!$AP$5:$AP$64,MATCH($F899,사건마스터!$A$5:$A$64,0)),""))</f>
        <v/>
      </c>
      <c r="T899" s="35">
        <f>IF($F899="","",IFERROR(INDEX(사건마스터!$AQ$5:$AQ$64,MATCH($F899,사건마스터!$A$5:$A$64,0)),""))</f>
        <v/>
      </c>
      <c r="U899" s="35">
        <f>IF($F899="","",IFERROR(INDEX(사건마스터!$AR$5:$AR$64,MATCH($F899,사건마스터!$A$5:$A$64,0)),""))</f>
        <v/>
      </c>
      <c r="V899" s="35">
        <f>IF($F899="","",IFERROR(INDEX(사건마스터!$AS$5:$AS$64,MATCH($F899,사건마스터!$A$5:$A$64,0)),""))</f>
        <v/>
      </c>
      <c r="W899" s="35">
        <f>IF($F899="","",IFERROR(INDEX(사건마스터!$AT$5:$AT$64,MATCH($F899,사건마스터!$A$5:$A$64,0)),""))</f>
        <v/>
      </c>
      <c r="X899" s="35">
        <f>IF($F899="","",IFERROR(INDEX(사건마스터!$AU$5:$AU$64,MATCH($F899,사건마스터!$A$5:$A$64,0)),""))</f>
        <v/>
      </c>
      <c r="Y899" s="35">
        <f>IF($F899="","",IFERROR(INDEX(사건마스터!$AV$5:$AV$64,MATCH($F899,사건마스터!$A$5:$A$64,0)),""))</f>
        <v/>
      </c>
      <c r="Z899" s="30">
        <f>IF(COUNTBLANK($J899:$Y899)=16,"",16-COUNTBLANK($J899:$Y899))</f>
        <v/>
      </c>
      <c r="AA899" s="33">
        <f>IF($J899="",MID($AX899,3,255),$J899&amp;$AX899)</f>
        <v/>
      </c>
      <c r="AB899" s="34">
        <f>IF($J899="","",IFERROR(INDEX(코드설정!$D$5:$D$24,MATCH($J899,코드설정!$C$5:$C$24,0)),""))</f>
        <v/>
      </c>
      <c r="AC899" s="36" t="n"/>
      <c r="AD899" s="37" t="n"/>
      <c r="AE899" s="38" t="n"/>
      <c r="AF899" s="30">
        <f>IF(OR($B899="",$C899=""),"",$C899-$B899+1)</f>
        <v/>
      </c>
      <c r="AG899" s="32" t="n"/>
      <c r="AH899" s="36" t="n"/>
      <c r="AJ899">
        <f>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  <c r="AX899">
        <f>AW899&amp;IF($Y899="","",", "&amp;$Y899)</f>
        <v/>
      </c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0">
        <f>IF($F900="","",COUNTIF($F$5:$F900,$F900))</f>
        <v/>
      </c>
      <c r="H900" s="33">
        <f>IF($F900="","",IFERROR(INDEX(사건마스터!$B$5:$B$64,MATCH($F900,사건마스터!$A$5:$A$64,0)),""))</f>
        <v/>
      </c>
      <c r="I900" s="34">
        <f>IF($F900="","",IFERROR(INDEX(사건마스터!$C$5:$C$64,MATCH($F900,사건마스터!$A$5:$A$64,0)),""))</f>
        <v/>
      </c>
      <c r="J900" s="35">
        <f>IF($F900="","",IFERROR(INDEX(사건마스터!$H$5:$H$64,MATCH($F900,사건마스터!$A$5:$A$64,0)),""))</f>
        <v/>
      </c>
      <c r="K900" s="35">
        <f>IF($F900="","",IFERROR(INDEX(사건마스터!$AH$5:$AH$64,MATCH($F900,사건마스터!$A$5:$A$64,0)),""))</f>
        <v/>
      </c>
      <c r="L900" s="35">
        <f>IF($F900="","",IFERROR(INDEX(사건마스터!$AI$5:$AI$64,MATCH($F900,사건마스터!$A$5:$A$64,0)),""))</f>
        <v/>
      </c>
      <c r="M900" s="35">
        <f>IF($F900="","",IFERROR(INDEX(사건마스터!$AJ$5:$AJ$64,MATCH($F900,사건마스터!$A$5:$A$64,0)),""))</f>
        <v/>
      </c>
      <c r="N900" s="35">
        <f>IF($F900="","",IFERROR(INDEX(사건마스터!$AK$5:$AK$64,MATCH($F900,사건마스터!$A$5:$A$64,0)),""))</f>
        <v/>
      </c>
      <c r="O900" s="35">
        <f>IF($F900="","",IFERROR(INDEX(사건마스터!$AL$5:$AL$64,MATCH($F900,사건마스터!$A$5:$A$64,0)),""))</f>
        <v/>
      </c>
      <c r="P900" s="35">
        <f>IF($F900="","",IFERROR(INDEX(사건마스터!$AM$5:$AM$64,MATCH($F900,사건마스터!$A$5:$A$64,0)),""))</f>
        <v/>
      </c>
      <c r="Q900" s="35">
        <f>IF($F900="","",IFERROR(INDEX(사건마스터!$AN$5:$AN$64,MATCH($F900,사건마스터!$A$5:$A$64,0)),""))</f>
        <v/>
      </c>
      <c r="R900" s="35">
        <f>IF($F900="","",IFERROR(INDEX(사건마스터!$AO$5:$AO$64,MATCH($F900,사건마스터!$A$5:$A$64,0)),""))</f>
        <v/>
      </c>
      <c r="S900" s="35">
        <f>IF($F900="","",IFERROR(INDEX(사건마스터!$AP$5:$AP$64,MATCH($F900,사건마스터!$A$5:$A$64,0)),""))</f>
        <v/>
      </c>
      <c r="T900" s="35">
        <f>IF($F900="","",IFERROR(INDEX(사건마스터!$AQ$5:$AQ$64,MATCH($F900,사건마스터!$A$5:$A$64,0)),""))</f>
        <v/>
      </c>
      <c r="U900" s="35">
        <f>IF($F900="","",IFERROR(INDEX(사건마스터!$AR$5:$AR$64,MATCH($F900,사건마스터!$A$5:$A$64,0)),""))</f>
        <v/>
      </c>
      <c r="V900" s="35">
        <f>IF($F900="","",IFERROR(INDEX(사건마스터!$AS$5:$AS$64,MATCH($F900,사건마스터!$A$5:$A$64,0)),""))</f>
        <v/>
      </c>
      <c r="W900" s="35">
        <f>IF($F900="","",IFERROR(INDEX(사건마스터!$AT$5:$AT$64,MATCH($F900,사건마스터!$A$5:$A$64,0)),""))</f>
        <v/>
      </c>
      <c r="X900" s="35">
        <f>IF($F900="","",IFERROR(INDEX(사건마스터!$AU$5:$AU$64,MATCH($F900,사건마스터!$A$5:$A$64,0)),""))</f>
        <v/>
      </c>
      <c r="Y900" s="35">
        <f>IF($F900="","",IFERROR(INDEX(사건마스터!$AV$5:$AV$64,MATCH($F900,사건마스터!$A$5:$A$64,0)),""))</f>
        <v/>
      </c>
      <c r="Z900" s="30">
        <f>IF(COUNTBLANK($J900:$Y900)=16,"",16-COUNTBLANK($J900:$Y900))</f>
        <v/>
      </c>
      <c r="AA900" s="33">
        <f>IF($J900="",MID($AX900,3,255),$J900&amp;$AX900)</f>
        <v/>
      </c>
      <c r="AB900" s="34">
        <f>IF($J900="","",IFERROR(INDEX(코드설정!$D$5:$D$24,MATCH($J900,코드설정!$C$5:$C$24,0)),""))</f>
        <v/>
      </c>
      <c r="AC900" s="36" t="n"/>
      <c r="AD900" s="37" t="n"/>
      <c r="AE900" s="38" t="n"/>
      <c r="AF900" s="30">
        <f>IF(OR($B900="",$C900=""),"",$C900-$B900+1)</f>
        <v/>
      </c>
      <c r="AG900" s="32" t="n"/>
      <c r="AH900" s="36" t="n"/>
      <c r="AJ900">
        <f>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  <c r="AX900">
        <f>AW900&amp;IF($Y900="","",", "&amp;$Y900)</f>
        <v/>
      </c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0">
        <f>IF($F901="","",COUNTIF($F$5:$F901,$F901))</f>
        <v/>
      </c>
      <c r="H901" s="33">
        <f>IF($F901="","",IFERROR(INDEX(사건마스터!$B$5:$B$64,MATCH($F901,사건마스터!$A$5:$A$64,0)),""))</f>
        <v/>
      </c>
      <c r="I901" s="34">
        <f>IF($F901="","",IFERROR(INDEX(사건마스터!$C$5:$C$64,MATCH($F901,사건마스터!$A$5:$A$64,0)),""))</f>
        <v/>
      </c>
      <c r="J901" s="35">
        <f>IF($F901="","",IFERROR(INDEX(사건마스터!$H$5:$H$64,MATCH($F901,사건마스터!$A$5:$A$64,0)),""))</f>
        <v/>
      </c>
      <c r="K901" s="35">
        <f>IF($F901="","",IFERROR(INDEX(사건마스터!$AH$5:$AH$64,MATCH($F901,사건마스터!$A$5:$A$64,0)),""))</f>
        <v/>
      </c>
      <c r="L901" s="35">
        <f>IF($F901="","",IFERROR(INDEX(사건마스터!$AI$5:$AI$64,MATCH($F901,사건마스터!$A$5:$A$64,0)),""))</f>
        <v/>
      </c>
      <c r="M901" s="35">
        <f>IF($F901="","",IFERROR(INDEX(사건마스터!$AJ$5:$AJ$64,MATCH($F901,사건마스터!$A$5:$A$64,0)),""))</f>
        <v/>
      </c>
      <c r="N901" s="35">
        <f>IF($F901="","",IFERROR(INDEX(사건마스터!$AK$5:$AK$64,MATCH($F901,사건마스터!$A$5:$A$64,0)),""))</f>
        <v/>
      </c>
      <c r="O901" s="35">
        <f>IF($F901="","",IFERROR(INDEX(사건마스터!$AL$5:$AL$64,MATCH($F901,사건마스터!$A$5:$A$64,0)),""))</f>
        <v/>
      </c>
      <c r="P901" s="35">
        <f>IF($F901="","",IFERROR(INDEX(사건마스터!$AM$5:$AM$64,MATCH($F901,사건마스터!$A$5:$A$64,0)),""))</f>
        <v/>
      </c>
      <c r="Q901" s="35">
        <f>IF($F901="","",IFERROR(INDEX(사건마스터!$AN$5:$AN$64,MATCH($F901,사건마스터!$A$5:$A$64,0)),""))</f>
        <v/>
      </c>
      <c r="R901" s="35">
        <f>IF($F901="","",IFERROR(INDEX(사건마스터!$AO$5:$AO$64,MATCH($F901,사건마스터!$A$5:$A$64,0)),""))</f>
        <v/>
      </c>
      <c r="S901" s="35">
        <f>IF($F901="","",IFERROR(INDEX(사건마스터!$AP$5:$AP$64,MATCH($F901,사건마스터!$A$5:$A$64,0)),""))</f>
        <v/>
      </c>
      <c r="T901" s="35">
        <f>IF($F901="","",IFERROR(INDEX(사건마스터!$AQ$5:$AQ$64,MATCH($F901,사건마스터!$A$5:$A$64,0)),""))</f>
        <v/>
      </c>
      <c r="U901" s="35">
        <f>IF($F901="","",IFERROR(INDEX(사건마스터!$AR$5:$AR$64,MATCH($F901,사건마스터!$A$5:$A$64,0)),""))</f>
        <v/>
      </c>
      <c r="V901" s="35">
        <f>IF($F901="","",IFERROR(INDEX(사건마스터!$AS$5:$AS$64,MATCH($F901,사건마스터!$A$5:$A$64,0)),""))</f>
        <v/>
      </c>
      <c r="W901" s="35">
        <f>IF($F901="","",IFERROR(INDEX(사건마스터!$AT$5:$AT$64,MATCH($F901,사건마스터!$A$5:$A$64,0)),""))</f>
        <v/>
      </c>
      <c r="X901" s="35">
        <f>IF($F901="","",IFERROR(INDEX(사건마스터!$AU$5:$AU$64,MATCH($F901,사건마스터!$A$5:$A$64,0)),""))</f>
        <v/>
      </c>
      <c r="Y901" s="35">
        <f>IF($F901="","",IFERROR(INDEX(사건마스터!$AV$5:$AV$64,MATCH($F901,사건마스터!$A$5:$A$64,0)),""))</f>
        <v/>
      </c>
      <c r="Z901" s="30">
        <f>IF(COUNTBLANK($J901:$Y901)=16,"",16-COUNTBLANK($J901:$Y901))</f>
        <v/>
      </c>
      <c r="AA901" s="33">
        <f>IF($J901="",MID($AX901,3,255),$J901&amp;$AX901)</f>
        <v/>
      </c>
      <c r="AB901" s="34">
        <f>IF($J901="","",IFERROR(INDEX(코드설정!$D$5:$D$24,MATCH($J901,코드설정!$C$5:$C$24,0)),""))</f>
        <v/>
      </c>
      <c r="AC901" s="36" t="n"/>
      <c r="AD901" s="37" t="n"/>
      <c r="AE901" s="38" t="n"/>
      <c r="AF901" s="30">
        <f>IF(OR($B901="",$C901=""),"",$C901-$B901+1)</f>
        <v/>
      </c>
      <c r="AG901" s="32" t="n"/>
      <c r="AH901" s="36" t="n"/>
      <c r="AJ901">
        <f>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  <c r="AX901">
        <f>AW901&amp;IF($Y901="","",", "&amp;$Y901)</f>
        <v/>
      </c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0">
        <f>IF($F902="","",COUNTIF($F$5:$F902,$F902))</f>
        <v/>
      </c>
      <c r="H902" s="33">
        <f>IF($F902="","",IFERROR(INDEX(사건마스터!$B$5:$B$64,MATCH($F902,사건마스터!$A$5:$A$64,0)),""))</f>
        <v/>
      </c>
      <c r="I902" s="34">
        <f>IF($F902="","",IFERROR(INDEX(사건마스터!$C$5:$C$64,MATCH($F902,사건마스터!$A$5:$A$64,0)),""))</f>
        <v/>
      </c>
      <c r="J902" s="35">
        <f>IF($F902="","",IFERROR(INDEX(사건마스터!$H$5:$H$64,MATCH($F902,사건마스터!$A$5:$A$64,0)),""))</f>
        <v/>
      </c>
      <c r="K902" s="35">
        <f>IF($F902="","",IFERROR(INDEX(사건마스터!$AH$5:$AH$64,MATCH($F902,사건마스터!$A$5:$A$64,0)),""))</f>
        <v/>
      </c>
      <c r="L902" s="35">
        <f>IF($F902="","",IFERROR(INDEX(사건마스터!$AI$5:$AI$64,MATCH($F902,사건마스터!$A$5:$A$64,0)),""))</f>
        <v/>
      </c>
      <c r="M902" s="35">
        <f>IF($F902="","",IFERROR(INDEX(사건마스터!$AJ$5:$AJ$64,MATCH($F902,사건마스터!$A$5:$A$64,0)),""))</f>
        <v/>
      </c>
      <c r="N902" s="35">
        <f>IF($F902="","",IFERROR(INDEX(사건마스터!$AK$5:$AK$64,MATCH($F902,사건마스터!$A$5:$A$64,0)),""))</f>
        <v/>
      </c>
      <c r="O902" s="35">
        <f>IF($F902="","",IFERROR(INDEX(사건마스터!$AL$5:$AL$64,MATCH($F902,사건마스터!$A$5:$A$64,0)),""))</f>
        <v/>
      </c>
      <c r="P902" s="35">
        <f>IF($F902="","",IFERROR(INDEX(사건마스터!$AM$5:$AM$64,MATCH($F902,사건마스터!$A$5:$A$64,0)),""))</f>
        <v/>
      </c>
      <c r="Q902" s="35">
        <f>IF($F902="","",IFERROR(INDEX(사건마스터!$AN$5:$AN$64,MATCH($F902,사건마스터!$A$5:$A$64,0)),""))</f>
        <v/>
      </c>
      <c r="R902" s="35">
        <f>IF($F902="","",IFERROR(INDEX(사건마스터!$AO$5:$AO$64,MATCH($F902,사건마스터!$A$5:$A$64,0)),""))</f>
        <v/>
      </c>
      <c r="S902" s="35">
        <f>IF($F902="","",IFERROR(INDEX(사건마스터!$AP$5:$AP$64,MATCH($F902,사건마스터!$A$5:$A$64,0)),""))</f>
        <v/>
      </c>
      <c r="T902" s="35">
        <f>IF($F902="","",IFERROR(INDEX(사건마스터!$AQ$5:$AQ$64,MATCH($F902,사건마스터!$A$5:$A$64,0)),""))</f>
        <v/>
      </c>
      <c r="U902" s="35">
        <f>IF($F902="","",IFERROR(INDEX(사건마스터!$AR$5:$AR$64,MATCH($F902,사건마스터!$A$5:$A$64,0)),""))</f>
        <v/>
      </c>
      <c r="V902" s="35">
        <f>IF($F902="","",IFERROR(INDEX(사건마스터!$AS$5:$AS$64,MATCH($F902,사건마스터!$A$5:$A$64,0)),""))</f>
        <v/>
      </c>
      <c r="W902" s="35">
        <f>IF($F902="","",IFERROR(INDEX(사건마스터!$AT$5:$AT$64,MATCH($F902,사건마스터!$A$5:$A$64,0)),""))</f>
        <v/>
      </c>
      <c r="X902" s="35">
        <f>IF($F902="","",IFERROR(INDEX(사건마스터!$AU$5:$AU$64,MATCH($F902,사건마스터!$A$5:$A$64,0)),""))</f>
        <v/>
      </c>
      <c r="Y902" s="35">
        <f>IF($F902="","",IFERROR(INDEX(사건마스터!$AV$5:$AV$64,MATCH($F902,사건마스터!$A$5:$A$64,0)),""))</f>
        <v/>
      </c>
      <c r="Z902" s="30">
        <f>IF(COUNTBLANK($J902:$Y902)=16,"",16-COUNTBLANK($J902:$Y902))</f>
        <v/>
      </c>
      <c r="AA902" s="33">
        <f>IF($J902="",MID($AX902,3,255),$J902&amp;$AX902)</f>
        <v/>
      </c>
      <c r="AB902" s="34">
        <f>IF($J902="","",IFERROR(INDEX(코드설정!$D$5:$D$24,MATCH($J902,코드설정!$C$5:$C$24,0)),""))</f>
        <v/>
      </c>
      <c r="AC902" s="36" t="n"/>
      <c r="AD902" s="37" t="n"/>
      <c r="AE902" s="38" t="n"/>
      <c r="AF902" s="30">
        <f>IF(OR($B902="",$C902=""),"",$C902-$B902+1)</f>
        <v/>
      </c>
      <c r="AG902" s="32" t="n"/>
      <c r="AH902" s="36" t="n"/>
      <c r="AJ902">
        <f>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  <c r="AX902">
        <f>AW902&amp;IF($Y902="","",", "&amp;$Y902)</f>
        <v/>
      </c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0">
        <f>IF($F903="","",COUNTIF($F$5:$F903,$F903))</f>
        <v/>
      </c>
      <c r="H903" s="33">
        <f>IF($F903="","",IFERROR(INDEX(사건마스터!$B$5:$B$64,MATCH($F903,사건마스터!$A$5:$A$64,0)),""))</f>
        <v/>
      </c>
      <c r="I903" s="34">
        <f>IF($F903="","",IFERROR(INDEX(사건마스터!$C$5:$C$64,MATCH($F903,사건마스터!$A$5:$A$64,0)),""))</f>
        <v/>
      </c>
      <c r="J903" s="35">
        <f>IF($F903="","",IFERROR(INDEX(사건마스터!$H$5:$H$64,MATCH($F903,사건마스터!$A$5:$A$64,0)),""))</f>
        <v/>
      </c>
      <c r="K903" s="35">
        <f>IF($F903="","",IFERROR(INDEX(사건마스터!$AH$5:$AH$64,MATCH($F903,사건마스터!$A$5:$A$64,0)),""))</f>
        <v/>
      </c>
      <c r="L903" s="35">
        <f>IF($F903="","",IFERROR(INDEX(사건마스터!$AI$5:$AI$64,MATCH($F903,사건마스터!$A$5:$A$64,0)),""))</f>
        <v/>
      </c>
      <c r="M903" s="35">
        <f>IF($F903="","",IFERROR(INDEX(사건마스터!$AJ$5:$AJ$64,MATCH($F903,사건마스터!$A$5:$A$64,0)),""))</f>
        <v/>
      </c>
      <c r="N903" s="35">
        <f>IF($F903="","",IFERROR(INDEX(사건마스터!$AK$5:$AK$64,MATCH($F903,사건마스터!$A$5:$A$64,0)),""))</f>
        <v/>
      </c>
      <c r="O903" s="35">
        <f>IF($F903="","",IFERROR(INDEX(사건마스터!$AL$5:$AL$64,MATCH($F903,사건마스터!$A$5:$A$64,0)),""))</f>
        <v/>
      </c>
      <c r="P903" s="35">
        <f>IF($F903="","",IFERROR(INDEX(사건마스터!$AM$5:$AM$64,MATCH($F903,사건마스터!$A$5:$A$64,0)),""))</f>
        <v/>
      </c>
      <c r="Q903" s="35">
        <f>IF($F903="","",IFERROR(INDEX(사건마스터!$AN$5:$AN$64,MATCH($F903,사건마스터!$A$5:$A$64,0)),""))</f>
        <v/>
      </c>
      <c r="R903" s="35">
        <f>IF($F903="","",IFERROR(INDEX(사건마스터!$AO$5:$AO$64,MATCH($F903,사건마스터!$A$5:$A$64,0)),""))</f>
        <v/>
      </c>
      <c r="S903" s="35">
        <f>IF($F903="","",IFERROR(INDEX(사건마스터!$AP$5:$AP$64,MATCH($F903,사건마스터!$A$5:$A$64,0)),""))</f>
        <v/>
      </c>
      <c r="T903" s="35">
        <f>IF($F903="","",IFERROR(INDEX(사건마스터!$AQ$5:$AQ$64,MATCH($F903,사건마스터!$A$5:$A$64,0)),""))</f>
        <v/>
      </c>
      <c r="U903" s="35">
        <f>IF($F903="","",IFERROR(INDEX(사건마스터!$AR$5:$AR$64,MATCH($F903,사건마스터!$A$5:$A$64,0)),""))</f>
        <v/>
      </c>
      <c r="V903" s="35">
        <f>IF($F903="","",IFERROR(INDEX(사건마스터!$AS$5:$AS$64,MATCH($F903,사건마스터!$A$5:$A$64,0)),""))</f>
        <v/>
      </c>
      <c r="W903" s="35">
        <f>IF($F903="","",IFERROR(INDEX(사건마스터!$AT$5:$AT$64,MATCH($F903,사건마스터!$A$5:$A$64,0)),""))</f>
        <v/>
      </c>
      <c r="X903" s="35">
        <f>IF($F903="","",IFERROR(INDEX(사건마스터!$AU$5:$AU$64,MATCH($F903,사건마스터!$A$5:$A$64,0)),""))</f>
        <v/>
      </c>
      <c r="Y903" s="35">
        <f>IF($F903="","",IFERROR(INDEX(사건마스터!$AV$5:$AV$64,MATCH($F903,사건마스터!$A$5:$A$64,0)),""))</f>
        <v/>
      </c>
      <c r="Z903" s="30">
        <f>IF(COUNTBLANK($J903:$Y903)=16,"",16-COUNTBLANK($J903:$Y903))</f>
        <v/>
      </c>
      <c r="AA903" s="33">
        <f>IF($J903="",MID($AX903,3,255),$J903&amp;$AX903)</f>
        <v/>
      </c>
      <c r="AB903" s="34">
        <f>IF($J903="","",IFERROR(INDEX(코드설정!$D$5:$D$24,MATCH($J903,코드설정!$C$5:$C$24,0)),""))</f>
        <v/>
      </c>
      <c r="AC903" s="36" t="n"/>
      <c r="AD903" s="37" t="n"/>
      <c r="AE903" s="38" t="n"/>
      <c r="AF903" s="30">
        <f>IF(OR($B903="",$C903=""),"",$C903-$B903+1)</f>
        <v/>
      </c>
      <c r="AG903" s="32" t="n"/>
      <c r="AH903" s="36" t="n"/>
      <c r="AJ903">
        <f>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  <c r="AX903">
        <f>AW903&amp;IF($Y903="","",", "&amp;$Y903)</f>
        <v/>
      </c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0">
        <f>IF($F904="","",COUNTIF($F$5:$F904,$F904))</f>
        <v/>
      </c>
      <c r="H904" s="33">
        <f>IF($F904="","",IFERROR(INDEX(사건마스터!$B$5:$B$64,MATCH($F904,사건마스터!$A$5:$A$64,0)),""))</f>
        <v/>
      </c>
      <c r="I904" s="34">
        <f>IF($F904="","",IFERROR(INDEX(사건마스터!$C$5:$C$64,MATCH($F904,사건마스터!$A$5:$A$64,0)),""))</f>
        <v/>
      </c>
      <c r="J904" s="35">
        <f>IF($F904="","",IFERROR(INDEX(사건마스터!$H$5:$H$64,MATCH($F904,사건마스터!$A$5:$A$64,0)),""))</f>
        <v/>
      </c>
      <c r="K904" s="35">
        <f>IF($F904="","",IFERROR(INDEX(사건마스터!$AH$5:$AH$64,MATCH($F904,사건마스터!$A$5:$A$64,0)),""))</f>
        <v/>
      </c>
      <c r="L904" s="35">
        <f>IF($F904="","",IFERROR(INDEX(사건마스터!$AI$5:$AI$64,MATCH($F904,사건마스터!$A$5:$A$64,0)),""))</f>
        <v/>
      </c>
      <c r="M904" s="35">
        <f>IF($F904="","",IFERROR(INDEX(사건마스터!$AJ$5:$AJ$64,MATCH($F904,사건마스터!$A$5:$A$64,0)),""))</f>
        <v/>
      </c>
      <c r="N904" s="35">
        <f>IF($F904="","",IFERROR(INDEX(사건마스터!$AK$5:$AK$64,MATCH($F904,사건마스터!$A$5:$A$64,0)),""))</f>
        <v/>
      </c>
      <c r="O904" s="35">
        <f>IF($F904="","",IFERROR(INDEX(사건마스터!$AL$5:$AL$64,MATCH($F904,사건마스터!$A$5:$A$64,0)),""))</f>
        <v/>
      </c>
      <c r="P904" s="35">
        <f>IF($F904="","",IFERROR(INDEX(사건마스터!$AM$5:$AM$64,MATCH($F904,사건마스터!$A$5:$A$64,0)),""))</f>
        <v/>
      </c>
      <c r="Q904" s="35">
        <f>IF($F904="","",IFERROR(INDEX(사건마스터!$AN$5:$AN$64,MATCH($F904,사건마스터!$A$5:$A$64,0)),""))</f>
        <v/>
      </c>
      <c r="R904" s="35">
        <f>IF($F904="","",IFERROR(INDEX(사건마스터!$AO$5:$AO$64,MATCH($F904,사건마스터!$A$5:$A$64,0)),""))</f>
        <v/>
      </c>
      <c r="S904" s="35">
        <f>IF($F904="","",IFERROR(INDEX(사건마스터!$AP$5:$AP$64,MATCH($F904,사건마스터!$A$5:$A$64,0)),""))</f>
        <v/>
      </c>
      <c r="T904" s="35">
        <f>IF($F904="","",IFERROR(INDEX(사건마스터!$AQ$5:$AQ$64,MATCH($F904,사건마스터!$A$5:$A$64,0)),""))</f>
        <v/>
      </c>
      <c r="U904" s="35">
        <f>IF($F904="","",IFERROR(INDEX(사건마스터!$AR$5:$AR$64,MATCH($F904,사건마스터!$A$5:$A$64,0)),""))</f>
        <v/>
      </c>
      <c r="V904" s="35">
        <f>IF($F904="","",IFERROR(INDEX(사건마스터!$AS$5:$AS$64,MATCH($F904,사건마스터!$A$5:$A$64,0)),""))</f>
        <v/>
      </c>
      <c r="W904" s="35">
        <f>IF($F904="","",IFERROR(INDEX(사건마스터!$AT$5:$AT$64,MATCH($F904,사건마스터!$A$5:$A$64,0)),""))</f>
        <v/>
      </c>
      <c r="X904" s="35">
        <f>IF($F904="","",IFERROR(INDEX(사건마스터!$AU$5:$AU$64,MATCH($F904,사건마스터!$A$5:$A$64,0)),""))</f>
        <v/>
      </c>
      <c r="Y904" s="35">
        <f>IF($F904="","",IFERROR(INDEX(사건마스터!$AV$5:$AV$64,MATCH($F904,사건마스터!$A$5:$A$64,0)),""))</f>
        <v/>
      </c>
      <c r="Z904" s="30">
        <f>IF(COUNTBLANK($J904:$Y904)=16,"",16-COUNTBLANK($J904:$Y904))</f>
        <v/>
      </c>
      <c r="AA904" s="33">
        <f>IF($J904="",MID($AX904,3,255),$J904&amp;$AX904)</f>
        <v/>
      </c>
      <c r="AB904" s="34">
        <f>IF($J904="","",IFERROR(INDEX(코드설정!$D$5:$D$24,MATCH($J904,코드설정!$C$5:$C$24,0)),""))</f>
        <v/>
      </c>
      <c r="AC904" s="36" t="n"/>
      <c r="AD904" s="37" t="n"/>
      <c r="AE904" s="38" t="n"/>
      <c r="AF904" s="30">
        <f>IF(OR($B904="",$C904=""),"",$C904-$B904+1)</f>
        <v/>
      </c>
      <c r="AG904" s="32" t="n"/>
      <c r="AH904" s="36" t="n"/>
      <c r="AJ904">
        <f>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  <c r="AX904">
        <f>AW904&amp;IF($Y904="","",", "&amp;$Y904)</f>
        <v/>
      </c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0">
        <f>IF($F905="","",COUNTIF($F$5:$F905,$F905))</f>
        <v/>
      </c>
      <c r="H905" s="33">
        <f>IF($F905="","",IFERROR(INDEX(사건마스터!$B$5:$B$64,MATCH($F905,사건마스터!$A$5:$A$64,0)),""))</f>
        <v/>
      </c>
      <c r="I905" s="34">
        <f>IF($F905="","",IFERROR(INDEX(사건마스터!$C$5:$C$64,MATCH($F905,사건마스터!$A$5:$A$64,0)),""))</f>
        <v/>
      </c>
      <c r="J905" s="35">
        <f>IF($F905="","",IFERROR(INDEX(사건마스터!$H$5:$H$64,MATCH($F905,사건마스터!$A$5:$A$64,0)),""))</f>
        <v/>
      </c>
      <c r="K905" s="35">
        <f>IF($F905="","",IFERROR(INDEX(사건마스터!$AH$5:$AH$64,MATCH($F905,사건마스터!$A$5:$A$64,0)),""))</f>
        <v/>
      </c>
      <c r="L905" s="35">
        <f>IF($F905="","",IFERROR(INDEX(사건마스터!$AI$5:$AI$64,MATCH($F905,사건마스터!$A$5:$A$64,0)),""))</f>
        <v/>
      </c>
      <c r="M905" s="35">
        <f>IF($F905="","",IFERROR(INDEX(사건마스터!$AJ$5:$AJ$64,MATCH($F905,사건마스터!$A$5:$A$64,0)),""))</f>
        <v/>
      </c>
      <c r="N905" s="35">
        <f>IF($F905="","",IFERROR(INDEX(사건마스터!$AK$5:$AK$64,MATCH($F905,사건마스터!$A$5:$A$64,0)),""))</f>
        <v/>
      </c>
      <c r="O905" s="35">
        <f>IF($F905="","",IFERROR(INDEX(사건마스터!$AL$5:$AL$64,MATCH($F905,사건마스터!$A$5:$A$64,0)),""))</f>
        <v/>
      </c>
      <c r="P905" s="35">
        <f>IF($F905="","",IFERROR(INDEX(사건마스터!$AM$5:$AM$64,MATCH($F905,사건마스터!$A$5:$A$64,0)),""))</f>
        <v/>
      </c>
      <c r="Q905" s="35">
        <f>IF($F905="","",IFERROR(INDEX(사건마스터!$AN$5:$AN$64,MATCH($F905,사건마스터!$A$5:$A$64,0)),""))</f>
        <v/>
      </c>
      <c r="R905" s="35">
        <f>IF($F905="","",IFERROR(INDEX(사건마스터!$AO$5:$AO$64,MATCH($F905,사건마스터!$A$5:$A$64,0)),""))</f>
        <v/>
      </c>
      <c r="S905" s="35">
        <f>IF($F905="","",IFERROR(INDEX(사건마스터!$AP$5:$AP$64,MATCH($F905,사건마스터!$A$5:$A$64,0)),""))</f>
        <v/>
      </c>
      <c r="T905" s="35">
        <f>IF($F905="","",IFERROR(INDEX(사건마스터!$AQ$5:$AQ$64,MATCH($F905,사건마스터!$A$5:$A$64,0)),""))</f>
        <v/>
      </c>
      <c r="U905" s="35">
        <f>IF($F905="","",IFERROR(INDEX(사건마스터!$AR$5:$AR$64,MATCH($F905,사건마스터!$A$5:$A$64,0)),""))</f>
        <v/>
      </c>
      <c r="V905" s="35">
        <f>IF($F905="","",IFERROR(INDEX(사건마스터!$AS$5:$AS$64,MATCH($F905,사건마스터!$A$5:$A$64,0)),""))</f>
        <v/>
      </c>
      <c r="W905" s="35">
        <f>IF($F905="","",IFERROR(INDEX(사건마스터!$AT$5:$AT$64,MATCH($F905,사건마스터!$A$5:$A$64,0)),""))</f>
        <v/>
      </c>
      <c r="X905" s="35">
        <f>IF($F905="","",IFERROR(INDEX(사건마스터!$AU$5:$AU$64,MATCH($F905,사건마스터!$A$5:$A$64,0)),""))</f>
        <v/>
      </c>
      <c r="Y905" s="35">
        <f>IF($F905="","",IFERROR(INDEX(사건마스터!$AV$5:$AV$64,MATCH($F905,사건마스터!$A$5:$A$64,0)),""))</f>
        <v/>
      </c>
      <c r="Z905" s="30">
        <f>IF(COUNTBLANK($J905:$Y905)=16,"",16-COUNTBLANK($J905:$Y905))</f>
        <v/>
      </c>
      <c r="AA905" s="33">
        <f>IF($J905="",MID($AX905,3,255),$J905&amp;$AX905)</f>
        <v/>
      </c>
      <c r="AB905" s="34">
        <f>IF($J905="","",IFERROR(INDEX(코드설정!$D$5:$D$24,MATCH($J905,코드설정!$C$5:$C$24,0)),""))</f>
        <v/>
      </c>
      <c r="AC905" s="36" t="n"/>
      <c r="AD905" s="37" t="n"/>
      <c r="AE905" s="38" t="n"/>
      <c r="AF905" s="30">
        <f>IF(OR($B905="",$C905=""),"",$C905-$B905+1)</f>
        <v/>
      </c>
      <c r="AG905" s="32" t="n"/>
      <c r="AH905" s="36" t="n"/>
      <c r="AJ905">
        <f>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  <c r="AX905">
        <f>AW905&amp;IF($Y905="","",", "&amp;$Y905)</f>
        <v/>
      </c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0">
        <f>IF($F906="","",COUNTIF($F$5:$F906,$F906))</f>
        <v/>
      </c>
      <c r="H906" s="33">
        <f>IF($F906="","",IFERROR(INDEX(사건마스터!$B$5:$B$64,MATCH($F906,사건마스터!$A$5:$A$64,0)),""))</f>
        <v/>
      </c>
      <c r="I906" s="34">
        <f>IF($F906="","",IFERROR(INDEX(사건마스터!$C$5:$C$64,MATCH($F906,사건마스터!$A$5:$A$64,0)),""))</f>
        <v/>
      </c>
      <c r="J906" s="35">
        <f>IF($F906="","",IFERROR(INDEX(사건마스터!$H$5:$H$64,MATCH($F906,사건마스터!$A$5:$A$64,0)),""))</f>
        <v/>
      </c>
      <c r="K906" s="35">
        <f>IF($F906="","",IFERROR(INDEX(사건마스터!$AH$5:$AH$64,MATCH($F906,사건마스터!$A$5:$A$64,0)),""))</f>
        <v/>
      </c>
      <c r="L906" s="35">
        <f>IF($F906="","",IFERROR(INDEX(사건마스터!$AI$5:$AI$64,MATCH($F906,사건마스터!$A$5:$A$64,0)),""))</f>
        <v/>
      </c>
      <c r="M906" s="35">
        <f>IF($F906="","",IFERROR(INDEX(사건마스터!$AJ$5:$AJ$64,MATCH($F906,사건마스터!$A$5:$A$64,0)),""))</f>
        <v/>
      </c>
      <c r="N906" s="35">
        <f>IF($F906="","",IFERROR(INDEX(사건마스터!$AK$5:$AK$64,MATCH($F906,사건마스터!$A$5:$A$64,0)),""))</f>
        <v/>
      </c>
      <c r="O906" s="35">
        <f>IF($F906="","",IFERROR(INDEX(사건마스터!$AL$5:$AL$64,MATCH($F906,사건마스터!$A$5:$A$64,0)),""))</f>
        <v/>
      </c>
      <c r="P906" s="35">
        <f>IF($F906="","",IFERROR(INDEX(사건마스터!$AM$5:$AM$64,MATCH($F906,사건마스터!$A$5:$A$64,0)),""))</f>
        <v/>
      </c>
      <c r="Q906" s="35">
        <f>IF($F906="","",IFERROR(INDEX(사건마스터!$AN$5:$AN$64,MATCH($F906,사건마스터!$A$5:$A$64,0)),""))</f>
        <v/>
      </c>
      <c r="R906" s="35">
        <f>IF($F906="","",IFERROR(INDEX(사건마스터!$AO$5:$AO$64,MATCH($F906,사건마스터!$A$5:$A$64,0)),""))</f>
        <v/>
      </c>
      <c r="S906" s="35">
        <f>IF($F906="","",IFERROR(INDEX(사건마스터!$AP$5:$AP$64,MATCH($F906,사건마스터!$A$5:$A$64,0)),""))</f>
        <v/>
      </c>
      <c r="T906" s="35">
        <f>IF($F906="","",IFERROR(INDEX(사건마스터!$AQ$5:$AQ$64,MATCH($F906,사건마스터!$A$5:$A$64,0)),""))</f>
        <v/>
      </c>
      <c r="U906" s="35">
        <f>IF($F906="","",IFERROR(INDEX(사건마스터!$AR$5:$AR$64,MATCH($F906,사건마스터!$A$5:$A$64,0)),""))</f>
        <v/>
      </c>
      <c r="V906" s="35">
        <f>IF($F906="","",IFERROR(INDEX(사건마스터!$AS$5:$AS$64,MATCH($F906,사건마스터!$A$5:$A$64,0)),""))</f>
        <v/>
      </c>
      <c r="W906" s="35">
        <f>IF($F906="","",IFERROR(INDEX(사건마스터!$AT$5:$AT$64,MATCH($F906,사건마스터!$A$5:$A$64,0)),""))</f>
        <v/>
      </c>
      <c r="X906" s="35">
        <f>IF($F906="","",IFERROR(INDEX(사건마스터!$AU$5:$AU$64,MATCH($F906,사건마스터!$A$5:$A$64,0)),""))</f>
        <v/>
      </c>
      <c r="Y906" s="35">
        <f>IF($F906="","",IFERROR(INDEX(사건마스터!$AV$5:$AV$64,MATCH($F906,사건마스터!$A$5:$A$64,0)),""))</f>
        <v/>
      </c>
      <c r="Z906" s="30">
        <f>IF(COUNTBLANK($J906:$Y906)=16,"",16-COUNTBLANK($J906:$Y906))</f>
        <v/>
      </c>
      <c r="AA906" s="33">
        <f>IF($J906="",MID($AX906,3,255),$J906&amp;$AX906)</f>
        <v/>
      </c>
      <c r="AB906" s="34">
        <f>IF($J906="","",IFERROR(INDEX(코드설정!$D$5:$D$24,MATCH($J906,코드설정!$C$5:$C$24,0)),""))</f>
        <v/>
      </c>
      <c r="AC906" s="36" t="n"/>
      <c r="AD906" s="37" t="n"/>
      <c r="AE906" s="38" t="n"/>
      <c r="AF906" s="30">
        <f>IF(OR($B906="",$C906=""),"",$C906-$B906+1)</f>
        <v/>
      </c>
      <c r="AG906" s="32" t="n"/>
      <c r="AH906" s="36" t="n"/>
      <c r="AJ906">
        <f>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  <c r="AX906">
        <f>AW906&amp;IF($Y906="","",", "&amp;$Y906)</f>
        <v/>
      </c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0">
        <f>IF($F907="","",COUNTIF($F$5:$F907,$F907))</f>
        <v/>
      </c>
      <c r="H907" s="33">
        <f>IF($F907="","",IFERROR(INDEX(사건마스터!$B$5:$B$64,MATCH($F907,사건마스터!$A$5:$A$64,0)),""))</f>
        <v/>
      </c>
      <c r="I907" s="34">
        <f>IF($F907="","",IFERROR(INDEX(사건마스터!$C$5:$C$64,MATCH($F907,사건마스터!$A$5:$A$64,0)),""))</f>
        <v/>
      </c>
      <c r="J907" s="35">
        <f>IF($F907="","",IFERROR(INDEX(사건마스터!$H$5:$H$64,MATCH($F907,사건마스터!$A$5:$A$64,0)),""))</f>
        <v/>
      </c>
      <c r="K907" s="35">
        <f>IF($F907="","",IFERROR(INDEX(사건마스터!$AH$5:$AH$64,MATCH($F907,사건마스터!$A$5:$A$64,0)),""))</f>
        <v/>
      </c>
      <c r="L907" s="35">
        <f>IF($F907="","",IFERROR(INDEX(사건마스터!$AI$5:$AI$64,MATCH($F907,사건마스터!$A$5:$A$64,0)),""))</f>
        <v/>
      </c>
      <c r="M907" s="35">
        <f>IF($F907="","",IFERROR(INDEX(사건마스터!$AJ$5:$AJ$64,MATCH($F907,사건마스터!$A$5:$A$64,0)),""))</f>
        <v/>
      </c>
      <c r="N907" s="35">
        <f>IF($F907="","",IFERROR(INDEX(사건마스터!$AK$5:$AK$64,MATCH($F907,사건마스터!$A$5:$A$64,0)),""))</f>
        <v/>
      </c>
      <c r="O907" s="35">
        <f>IF($F907="","",IFERROR(INDEX(사건마스터!$AL$5:$AL$64,MATCH($F907,사건마스터!$A$5:$A$64,0)),""))</f>
        <v/>
      </c>
      <c r="P907" s="35">
        <f>IF($F907="","",IFERROR(INDEX(사건마스터!$AM$5:$AM$64,MATCH($F907,사건마스터!$A$5:$A$64,0)),""))</f>
        <v/>
      </c>
      <c r="Q907" s="35">
        <f>IF($F907="","",IFERROR(INDEX(사건마스터!$AN$5:$AN$64,MATCH($F907,사건마스터!$A$5:$A$64,0)),""))</f>
        <v/>
      </c>
      <c r="R907" s="35">
        <f>IF($F907="","",IFERROR(INDEX(사건마스터!$AO$5:$AO$64,MATCH($F907,사건마스터!$A$5:$A$64,0)),""))</f>
        <v/>
      </c>
      <c r="S907" s="35">
        <f>IF($F907="","",IFERROR(INDEX(사건마스터!$AP$5:$AP$64,MATCH($F907,사건마스터!$A$5:$A$64,0)),""))</f>
        <v/>
      </c>
      <c r="T907" s="35">
        <f>IF($F907="","",IFERROR(INDEX(사건마스터!$AQ$5:$AQ$64,MATCH($F907,사건마스터!$A$5:$A$64,0)),""))</f>
        <v/>
      </c>
      <c r="U907" s="35">
        <f>IF($F907="","",IFERROR(INDEX(사건마스터!$AR$5:$AR$64,MATCH($F907,사건마스터!$A$5:$A$64,0)),""))</f>
        <v/>
      </c>
      <c r="V907" s="35">
        <f>IF($F907="","",IFERROR(INDEX(사건마스터!$AS$5:$AS$64,MATCH($F907,사건마스터!$A$5:$A$64,0)),""))</f>
        <v/>
      </c>
      <c r="W907" s="35">
        <f>IF($F907="","",IFERROR(INDEX(사건마스터!$AT$5:$AT$64,MATCH($F907,사건마스터!$A$5:$A$64,0)),""))</f>
        <v/>
      </c>
      <c r="X907" s="35">
        <f>IF($F907="","",IFERROR(INDEX(사건마스터!$AU$5:$AU$64,MATCH($F907,사건마스터!$A$5:$A$64,0)),""))</f>
        <v/>
      </c>
      <c r="Y907" s="35">
        <f>IF($F907="","",IFERROR(INDEX(사건마스터!$AV$5:$AV$64,MATCH($F907,사건마스터!$A$5:$A$64,0)),""))</f>
        <v/>
      </c>
      <c r="Z907" s="30">
        <f>IF(COUNTBLANK($J907:$Y907)=16,"",16-COUNTBLANK($J907:$Y907))</f>
        <v/>
      </c>
      <c r="AA907" s="33">
        <f>IF($J907="",MID($AX907,3,255),$J907&amp;$AX907)</f>
        <v/>
      </c>
      <c r="AB907" s="34">
        <f>IF($J907="","",IFERROR(INDEX(코드설정!$D$5:$D$24,MATCH($J907,코드설정!$C$5:$C$24,0)),""))</f>
        <v/>
      </c>
      <c r="AC907" s="36" t="n"/>
      <c r="AD907" s="37" t="n"/>
      <c r="AE907" s="38" t="n"/>
      <c r="AF907" s="30">
        <f>IF(OR($B907="",$C907=""),"",$C907-$B907+1)</f>
        <v/>
      </c>
      <c r="AG907" s="32" t="n"/>
      <c r="AH907" s="36" t="n"/>
      <c r="AJ907">
        <f>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  <c r="AX907">
        <f>AW907&amp;IF($Y907="","",", "&amp;$Y907)</f>
        <v/>
      </c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0">
        <f>IF($F908="","",COUNTIF($F$5:$F908,$F908))</f>
        <v/>
      </c>
      <c r="H908" s="33">
        <f>IF($F908="","",IFERROR(INDEX(사건마스터!$B$5:$B$64,MATCH($F908,사건마스터!$A$5:$A$64,0)),""))</f>
        <v/>
      </c>
      <c r="I908" s="34">
        <f>IF($F908="","",IFERROR(INDEX(사건마스터!$C$5:$C$64,MATCH($F908,사건마스터!$A$5:$A$64,0)),""))</f>
        <v/>
      </c>
      <c r="J908" s="35">
        <f>IF($F908="","",IFERROR(INDEX(사건마스터!$H$5:$H$64,MATCH($F908,사건마스터!$A$5:$A$64,0)),""))</f>
        <v/>
      </c>
      <c r="K908" s="35">
        <f>IF($F908="","",IFERROR(INDEX(사건마스터!$AH$5:$AH$64,MATCH($F908,사건마스터!$A$5:$A$64,0)),""))</f>
        <v/>
      </c>
      <c r="L908" s="35">
        <f>IF($F908="","",IFERROR(INDEX(사건마스터!$AI$5:$AI$64,MATCH($F908,사건마스터!$A$5:$A$64,0)),""))</f>
        <v/>
      </c>
      <c r="M908" s="35">
        <f>IF($F908="","",IFERROR(INDEX(사건마스터!$AJ$5:$AJ$64,MATCH($F908,사건마스터!$A$5:$A$64,0)),""))</f>
        <v/>
      </c>
      <c r="N908" s="35">
        <f>IF($F908="","",IFERROR(INDEX(사건마스터!$AK$5:$AK$64,MATCH($F908,사건마스터!$A$5:$A$64,0)),""))</f>
        <v/>
      </c>
      <c r="O908" s="35">
        <f>IF($F908="","",IFERROR(INDEX(사건마스터!$AL$5:$AL$64,MATCH($F908,사건마스터!$A$5:$A$64,0)),""))</f>
        <v/>
      </c>
      <c r="P908" s="35">
        <f>IF($F908="","",IFERROR(INDEX(사건마스터!$AM$5:$AM$64,MATCH($F908,사건마스터!$A$5:$A$64,0)),""))</f>
        <v/>
      </c>
      <c r="Q908" s="35">
        <f>IF($F908="","",IFERROR(INDEX(사건마스터!$AN$5:$AN$64,MATCH($F908,사건마스터!$A$5:$A$64,0)),""))</f>
        <v/>
      </c>
      <c r="R908" s="35">
        <f>IF($F908="","",IFERROR(INDEX(사건마스터!$AO$5:$AO$64,MATCH($F908,사건마스터!$A$5:$A$64,0)),""))</f>
        <v/>
      </c>
      <c r="S908" s="35">
        <f>IF($F908="","",IFERROR(INDEX(사건마스터!$AP$5:$AP$64,MATCH($F908,사건마스터!$A$5:$A$64,0)),""))</f>
        <v/>
      </c>
      <c r="T908" s="35">
        <f>IF($F908="","",IFERROR(INDEX(사건마스터!$AQ$5:$AQ$64,MATCH($F908,사건마스터!$A$5:$A$64,0)),""))</f>
        <v/>
      </c>
      <c r="U908" s="35">
        <f>IF($F908="","",IFERROR(INDEX(사건마스터!$AR$5:$AR$64,MATCH($F908,사건마스터!$A$5:$A$64,0)),""))</f>
        <v/>
      </c>
      <c r="V908" s="35">
        <f>IF($F908="","",IFERROR(INDEX(사건마스터!$AS$5:$AS$64,MATCH($F908,사건마스터!$A$5:$A$64,0)),""))</f>
        <v/>
      </c>
      <c r="W908" s="35">
        <f>IF($F908="","",IFERROR(INDEX(사건마스터!$AT$5:$AT$64,MATCH($F908,사건마스터!$A$5:$A$64,0)),""))</f>
        <v/>
      </c>
      <c r="X908" s="35">
        <f>IF($F908="","",IFERROR(INDEX(사건마스터!$AU$5:$AU$64,MATCH($F908,사건마스터!$A$5:$A$64,0)),""))</f>
        <v/>
      </c>
      <c r="Y908" s="35">
        <f>IF($F908="","",IFERROR(INDEX(사건마스터!$AV$5:$AV$64,MATCH($F908,사건마스터!$A$5:$A$64,0)),""))</f>
        <v/>
      </c>
      <c r="Z908" s="30">
        <f>IF(COUNTBLANK($J908:$Y908)=16,"",16-COUNTBLANK($J908:$Y908))</f>
        <v/>
      </c>
      <c r="AA908" s="33">
        <f>IF($J908="",MID($AX908,3,255),$J908&amp;$AX908)</f>
        <v/>
      </c>
      <c r="AB908" s="34">
        <f>IF($J908="","",IFERROR(INDEX(코드설정!$D$5:$D$24,MATCH($J908,코드설정!$C$5:$C$24,0)),""))</f>
        <v/>
      </c>
      <c r="AC908" s="36" t="n"/>
      <c r="AD908" s="37" t="n"/>
      <c r="AE908" s="38" t="n"/>
      <c r="AF908" s="30">
        <f>IF(OR($B908="",$C908=""),"",$C908-$B908+1)</f>
        <v/>
      </c>
      <c r="AG908" s="32" t="n"/>
      <c r="AH908" s="36" t="n"/>
      <c r="AJ908">
        <f>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  <c r="AX908">
        <f>AW908&amp;IF($Y908="","",", "&amp;$Y908)</f>
        <v/>
      </c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0">
        <f>IF($F909="","",COUNTIF($F$5:$F909,$F909))</f>
        <v/>
      </c>
      <c r="H909" s="33">
        <f>IF($F909="","",IFERROR(INDEX(사건마스터!$B$5:$B$64,MATCH($F909,사건마스터!$A$5:$A$64,0)),""))</f>
        <v/>
      </c>
      <c r="I909" s="34">
        <f>IF($F909="","",IFERROR(INDEX(사건마스터!$C$5:$C$64,MATCH($F909,사건마스터!$A$5:$A$64,0)),""))</f>
        <v/>
      </c>
      <c r="J909" s="35">
        <f>IF($F909="","",IFERROR(INDEX(사건마스터!$H$5:$H$64,MATCH($F909,사건마스터!$A$5:$A$64,0)),""))</f>
        <v/>
      </c>
      <c r="K909" s="35">
        <f>IF($F909="","",IFERROR(INDEX(사건마스터!$AH$5:$AH$64,MATCH($F909,사건마스터!$A$5:$A$64,0)),""))</f>
        <v/>
      </c>
      <c r="L909" s="35">
        <f>IF($F909="","",IFERROR(INDEX(사건마스터!$AI$5:$AI$64,MATCH($F909,사건마스터!$A$5:$A$64,0)),""))</f>
        <v/>
      </c>
      <c r="M909" s="35">
        <f>IF($F909="","",IFERROR(INDEX(사건마스터!$AJ$5:$AJ$64,MATCH($F909,사건마스터!$A$5:$A$64,0)),""))</f>
        <v/>
      </c>
      <c r="N909" s="35">
        <f>IF($F909="","",IFERROR(INDEX(사건마스터!$AK$5:$AK$64,MATCH($F909,사건마스터!$A$5:$A$64,0)),""))</f>
        <v/>
      </c>
      <c r="O909" s="35">
        <f>IF($F909="","",IFERROR(INDEX(사건마스터!$AL$5:$AL$64,MATCH($F909,사건마스터!$A$5:$A$64,0)),""))</f>
        <v/>
      </c>
      <c r="P909" s="35">
        <f>IF($F909="","",IFERROR(INDEX(사건마스터!$AM$5:$AM$64,MATCH($F909,사건마스터!$A$5:$A$64,0)),""))</f>
        <v/>
      </c>
      <c r="Q909" s="35">
        <f>IF($F909="","",IFERROR(INDEX(사건마스터!$AN$5:$AN$64,MATCH($F909,사건마스터!$A$5:$A$64,0)),""))</f>
        <v/>
      </c>
      <c r="R909" s="35">
        <f>IF($F909="","",IFERROR(INDEX(사건마스터!$AO$5:$AO$64,MATCH($F909,사건마스터!$A$5:$A$64,0)),""))</f>
        <v/>
      </c>
      <c r="S909" s="35">
        <f>IF($F909="","",IFERROR(INDEX(사건마스터!$AP$5:$AP$64,MATCH($F909,사건마스터!$A$5:$A$64,0)),""))</f>
        <v/>
      </c>
      <c r="T909" s="35">
        <f>IF($F909="","",IFERROR(INDEX(사건마스터!$AQ$5:$AQ$64,MATCH($F909,사건마스터!$A$5:$A$64,0)),""))</f>
        <v/>
      </c>
      <c r="U909" s="35">
        <f>IF($F909="","",IFERROR(INDEX(사건마스터!$AR$5:$AR$64,MATCH($F909,사건마스터!$A$5:$A$64,0)),""))</f>
        <v/>
      </c>
      <c r="V909" s="35">
        <f>IF($F909="","",IFERROR(INDEX(사건마스터!$AS$5:$AS$64,MATCH($F909,사건마스터!$A$5:$A$64,0)),""))</f>
        <v/>
      </c>
      <c r="W909" s="35">
        <f>IF($F909="","",IFERROR(INDEX(사건마스터!$AT$5:$AT$64,MATCH($F909,사건마스터!$A$5:$A$64,0)),""))</f>
        <v/>
      </c>
      <c r="X909" s="35">
        <f>IF($F909="","",IFERROR(INDEX(사건마스터!$AU$5:$AU$64,MATCH($F909,사건마스터!$A$5:$A$64,0)),""))</f>
        <v/>
      </c>
      <c r="Y909" s="35">
        <f>IF($F909="","",IFERROR(INDEX(사건마스터!$AV$5:$AV$64,MATCH($F909,사건마스터!$A$5:$A$64,0)),""))</f>
        <v/>
      </c>
      <c r="Z909" s="30">
        <f>IF(COUNTBLANK($J909:$Y909)=16,"",16-COUNTBLANK($J909:$Y909))</f>
        <v/>
      </c>
      <c r="AA909" s="33">
        <f>IF($J909="",MID($AX909,3,255),$J909&amp;$AX909)</f>
        <v/>
      </c>
      <c r="AB909" s="34">
        <f>IF($J909="","",IFERROR(INDEX(코드설정!$D$5:$D$24,MATCH($J909,코드설정!$C$5:$C$24,0)),""))</f>
        <v/>
      </c>
      <c r="AC909" s="36" t="n"/>
      <c r="AD909" s="37" t="n"/>
      <c r="AE909" s="38" t="n"/>
      <c r="AF909" s="30">
        <f>IF(OR($B909="",$C909=""),"",$C909-$B909+1)</f>
        <v/>
      </c>
      <c r="AG909" s="32" t="n"/>
      <c r="AH909" s="36" t="n"/>
      <c r="AJ909">
        <f>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  <c r="AX909">
        <f>AW909&amp;IF($Y909="","",", "&amp;$Y909)</f>
        <v/>
      </c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0">
        <f>IF($F910="","",COUNTIF($F$5:$F910,$F910))</f>
        <v/>
      </c>
      <c r="H910" s="33">
        <f>IF($F910="","",IFERROR(INDEX(사건마스터!$B$5:$B$64,MATCH($F910,사건마스터!$A$5:$A$64,0)),""))</f>
        <v/>
      </c>
      <c r="I910" s="34">
        <f>IF($F910="","",IFERROR(INDEX(사건마스터!$C$5:$C$64,MATCH($F910,사건마스터!$A$5:$A$64,0)),""))</f>
        <v/>
      </c>
      <c r="J910" s="35">
        <f>IF($F910="","",IFERROR(INDEX(사건마스터!$H$5:$H$64,MATCH($F910,사건마스터!$A$5:$A$64,0)),""))</f>
        <v/>
      </c>
      <c r="K910" s="35">
        <f>IF($F910="","",IFERROR(INDEX(사건마스터!$AH$5:$AH$64,MATCH($F910,사건마스터!$A$5:$A$64,0)),""))</f>
        <v/>
      </c>
      <c r="L910" s="35">
        <f>IF($F910="","",IFERROR(INDEX(사건마스터!$AI$5:$AI$64,MATCH($F910,사건마스터!$A$5:$A$64,0)),""))</f>
        <v/>
      </c>
      <c r="M910" s="35">
        <f>IF($F910="","",IFERROR(INDEX(사건마스터!$AJ$5:$AJ$64,MATCH($F910,사건마스터!$A$5:$A$64,0)),""))</f>
        <v/>
      </c>
      <c r="N910" s="35">
        <f>IF($F910="","",IFERROR(INDEX(사건마스터!$AK$5:$AK$64,MATCH($F910,사건마스터!$A$5:$A$64,0)),""))</f>
        <v/>
      </c>
      <c r="O910" s="35">
        <f>IF($F910="","",IFERROR(INDEX(사건마스터!$AL$5:$AL$64,MATCH($F910,사건마스터!$A$5:$A$64,0)),""))</f>
        <v/>
      </c>
      <c r="P910" s="35">
        <f>IF($F910="","",IFERROR(INDEX(사건마스터!$AM$5:$AM$64,MATCH($F910,사건마스터!$A$5:$A$64,0)),""))</f>
        <v/>
      </c>
      <c r="Q910" s="35">
        <f>IF($F910="","",IFERROR(INDEX(사건마스터!$AN$5:$AN$64,MATCH($F910,사건마스터!$A$5:$A$64,0)),""))</f>
        <v/>
      </c>
      <c r="R910" s="35">
        <f>IF($F910="","",IFERROR(INDEX(사건마스터!$AO$5:$AO$64,MATCH($F910,사건마스터!$A$5:$A$64,0)),""))</f>
        <v/>
      </c>
      <c r="S910" s="35">
        <f>IF($F910="","",IFERROR(INDEX(사건마스터!$AP$5:$AP$64,MATCH($F910,사건마스터!$A$5:$A$64,0)),""))</f>
        <v/>
      </c>
      <c r="T910" s="35">
        <f>IF($F910="","",IFERROR(INDEX(사건마스터!$AQ$5:$AQ$64,MATCH($F910,사건마스터!$A$5:$A$64,0)),""))</f>
        <v/>
      </c>
      <c r="U910" s="35">
        <f>IF($F910="","",IFERROR(INDEX(사건마스터!$AR$5:$AR$64,MATCH($F910,사건마스터!$A$5:$A$64,0)),""))</f>
        <v/>
      </c>
      <c r="V910" s="35">
        <f>IF($F910="","",IFERROR(INDEX(사건마스터!$AS$5:$AS$64,MATCH($F910,사건마스터!$A$5:$A$64,0)),""))</f>
        <v/>
      </c>
      <c r="W910" s="35">
        <f>IF($F910="","",IFERROR(INDEX(사건마스터!$AT$5:$AT$64,MATCH($F910,사건마스터!$A$5:$A$64,0)),""))</f>
        <v/>
      </c>
      <c r="X910" s="35">
        <f>IF($F910="","",IFERROR(INDEX(사건마스터!$AU$5:$AU$64,MATCH($F910,사건마스터!$A$5:$A$64,0)),""))</f>
        <v/>
      </c>
      <c r="Y910" s="35">
        <f>IF($F910="","",IFERROR(INDEX(사건마스터!$AV$5:$AV$64,MATCH($F910,사건마스터!$A$5:$A$64,0)),""))</f>
        <v/>
      </c>
      <c r="Z910" s="30">
        <f>IF(COUNTBLANK($J910:$Y910)=16,"",16-COUNTBLANK($J910:$Y910))</f>
        <v/>
      </c>
      <c r="AA910" s="33">
        <f>IF($J910="",MID($AX910,3,255),$J910&amp;$AX910)</f>
        <v/>
      </c>
      <c r="AB910" s="34">
        <f>IF($J910="","",IFERROR(INDEX(코드설정!$D$5:$D$24,MATCH($J910,코드설정!$C$5:$C$24,0)),""))</f>
        <v/>
      </c>
      <c r="AC910" s="36" t="n"/>
      <c r="AD910" s="37" t="n"/>
      <c r="AE910" s="38" t="n"/>
      <c r="AF910" s="30">
        <f>IF(OR($B910="",$C910=""),"",$C910-$B910+1)</f>
        <v/>
      </c>
      <c r="AG910" s="32" t="n"/>
      <c r="AH910" s="36" t="n"/>
      <c r="AJ910">
        <f>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  <c r="AX910">
        <f>AW910&amp;IF($Y910="","",", "&amp;$Y910)</f>
        <v/>
      </c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0">
        <f>IF($F911="","",COUNTIF($F$5:$F911,$F911))</f>
        <v/>
      </c>
      <c r="H911" s="33">
        <f>IF($F911="","",IFERROR(INDEX(사건마스터!$B$5:$B$64,MATCH($F911,사건마스터!$A$5:$A$64,0)),""))</f>
        <v/>
      </c>
      <c r="I911" s="34">
        <f>IF($F911="","",IFERROR(INDEX(사건마스터!$C$5:$C$64,MATCH($F911,사건마스터!$A$5:$A$64,0)),""))</f>
        <v/>
      </c>
      <c r="J911" s="35">
        <f>IF($F911="","",IFERROR(INDEX(사건마스터!$H$5:$H$64,MATCH($F911,사건마스터!$A$5:$A$64,0)),""))</f>
        <v/>
      </c>
      <c r="K911" s="35">
        <f>IF($F911="","",IFERROR(INDEX(사건마스터!$AH$5:$AH$64,MATCH($F911,사건마스터!$A$5:$A$64,0)),""))</f>
        <v/>
      </c>
      <c r="L911" s="35">
        <f>IF($F911="","",IFERROR(INDEX(사건마스터!$AI$5:$AI$64,MATCH($F911,사건마스터!$A$5:$A$64,0)),""))</f>
        <v/>
      </c>
      <c r="M911" s="35">
        <f>IF($F911="","",IFERROR(INDEX(사건마스터!$AJ$5:$AJ$64,MATCH($F911,사건마스터!$A$5:$A$64,0)),""))</f>
        <v/>
      </c>
      <c r="N911" s="35">
        <f>IF($F911="","",IFERROR(INDEX(사건마스터!$AK$5:$AK$64,MATCH($F911,사건마스터!$A$5:$A$64,0)),""))</f>
        <v/>
      </c>
      <c r="O911" s="35">
        <f>IF($F911="","",IFERROR(INDEX(사건마스터!$AL$5:$AL$64,MATCH($F911,사건마스터!$A$5:$A$64,0)),""))</f>
        <v/>
      </c>
      <c r="P911" s="35">
        <f>IF($F911="","",IFERROR(INDEX(사건마스터!$AM$5:$AM$64,MATCH($F911,사건마스터!$A$5:$A$64,0)),""))</f>
        <v/>
      </c>
      <c r="Q911" s="35">
        <f>IF($F911="","",IFERROR(INDEX(사건마스터!$AN$5:$AN$64,MATCH($F911,사건마스터!$A$5:$A$64,0)),""))</f>
        <v/>
      </c>
      <c r="R911" s="35">
        <f>IF($F911="","",IFERROR(INDEX(사건마스터!$AO$5:$AO$64,MATCH($F911,사건마스터!$A$5:$A$64,0)),""))</f>
        <v/>
      </c>
      <c r="S911" s="35">
        <f>IF($F911="","",IFERROR(INDEX(사건마스터!$AP$5:$AP$64,MATCH($F911,사건마스터!$A$5:$A$64,0)),""))</f>
        <v/>
      </c>
      <c r="T911" s="35">
        <f>IF($F911="","",IFERROR(INDEX(사건마스터!$AQ$5:$AQ$64,MATCH($F911,사건마스터!$A$5:$A$64,0)),""))</f>
        <v/>
      </c>
      <c r="U911" s="35">
        <f>IF($F911="","",IFERROR(INDEX(사건마스터!$AR$5:$AR$64,MATCH($F911,사건마스터!$A$5:$A$64,0)),""))</f>
        <v/>
      </c>
      <c r="V911" s="35">
        <f>IF($F911="","",IFERROR(INDEX(사건마스터!$AS$5:$AS$64,MATCH($F911,사건마스터!$A$5:$A$64,0)),""))</f>
        <v/>
      </c>
      <c r="W911" s="35">
        <f>IF($F911="","",IFERROR(INDEX(사건마스터!$AT$5:$AT$64,MATCH($F911,사건마스터!$A$5:$A$64,0)),""))</f>
        <v/>
      </c>
      <c r="X911" s="35">
        <f>IF($F911="","",IFERROR(INDEX(사건마스터!$AU$5:$AU$64,MATCH($F911,사건마스터!$A$5:$A$64,0)),""))</f>
        <v/>
      </c>
      <c r="Y911" s="35">
        <f>IF($F911="","",IFERROR(INDEX(사건마스터!$AV$5:$AV$64,MATCH($F911,사건마스터!$A$5:$A$64,0)),""))</f>
        <v/>
      </c>
      <c r="Z911" s="30">
        <f>IF(COUNTBLANK($J911:$Y911)=16,"",16-COUNTBLANK($J911:$Y911))</f>
        <v/>
      </c>
      <c r="AA911" s="33">
        <f>IF($J911="",MID($AX911,3,255),$J911&amp;$AX911)</f>
        <v/>
      </c>
      <c r="AB911" s="34">
        <f>IF($J911="","",IFERROR(INDEX(코드설정!$D$5:$D$24,MATCH($J911,코드설정!$C$5:$C$24,0)),""))</f>
        <v/>
      </c>
      <c r="AC911" s="36" t="n"/>
      <c r="AD911" s="37" t="n"/>
      <c r="AE911" s="38" t="n"/>
      <c r="AF911" s="30">
        <f>IF(OR($B911="",$C911=""),"",$C911-$B911+1)</f>
        <v/>
      </c>
      <c r="AG911" s="32" t="n"/>
      <c r="AH911" s="36" t="n"/>
      <c r="AJ911">
        <f>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  <c r="AX911">
        <f>AW911&amp;IF($Y911="","",", "&amp;$Y911)</f>
        <v/>
      </c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0">
        <f>IF($F912="","",COUNTIF($F$5:$F912,$F912))</f>
        <v/>
      </c>
      <c r="H912" s="33">
        <f>IF($F912="","",IFERROR(INDEX(사건마스터!$B$5:$B$64,MATCH($F912,사건마스터!$A$5:$A$64,0)),""))</f>
        <v/>
      </c>
      <c r="I912" s="34">
        <f>IF($F912="","",IFERROR(INDEX(사건마스터!$C$5:$C$64,MATCH($F912,사건마스터!$A$5:$A$64,0)),""))</f>
        <v/>
      </c>
      <c r="J912" s="35">
        <f>IF($F912="","",IFERROR(INDEX(사건마스터!$H$5:$H$64,MATCH($F912,사건마스터!$A$5:$A$64,0)),""))</f>
        <v/>
      </c>
      <c r="K912" s="35">
        <f>IF($F912="","",IFERROR(INDEX(사건마스터!$AH$5:$AH$64,MATCH($F912,사건마스터!$A$5:$A$64,0)),""))</f>
        <v/>
      </c>
      <c r="L912" s="35">
        <f>IF($F912="","",IFERROR(INDEX(사건마스터!$AI$5:$AI$64,MATCH($F912,사건마스터!$A$5:$A$64,0)),""))</f>
        <v/>
      </c>
      <c r="M912" s="35">
        <f>IF($F912="","",IFERROR(INDEX(사건마스터!$AJ$5:$AJ$64,MATCH($F912,사건마스터!$A$5:$A$64,0)),""))</f>
        <v/>
      </c>
      <c r="N912" s="35">
        <f>IF($F912="","",IFERROR(INDEX(사건마스터!$AK$5:$AK$64,MATCH($F912,사건마스터!$A$5:$A$64,0)),""))</f>
        <v/>
      </c>
      <c r="O912" s="35">
        <f>IF($F912="","",IFERROR(INDEX(사건마스터!$AL$5:$AL$64,MATCH($F912,사건마스터!$A$5:$A$64,0)),""))</f>
        <v/>
      </c>
      <c r="P912" s="35">
        <f>IF($F912="","",IFERROR(INDEX(사건마스터!$AM$5:$AM$64,MATCH($F912,사건마스터!$A$5:$A$64,0)),""))</f>
        <v/>
      </c>
      <c r="Q912" s="35">
        <f>IF($F912="","",IFERROR(INDEX(사건마스터!$AN$5:$AN$64,MATCH($F912,사건마스터!$A$5:$A$64,0)),""))</f>
        <v/>
      </c>
      <c r="R912" s="35">
        <f>IF($F912="","",IFERROR(INDEX(사건마스터!$AO$5:$AO$64,MATCH($F912,사건마스터!$A$5:$A$64,0)),""))</f>
        <v/>
      </c>
      <c r="S912" s="35">
        <f>IF($F912="","",IFERROR(INDEX(사건마스터!$AP$5:$AP$64,MATCH($F912,사건마스터!$A$5:$A$64,0)),""))</f>
        <v/>
      </c>
      <c r="T912" s="35">
        <f>IF($F912="","",IFERROR(INDEX(사건마스터!$AQ$5:$AQ$64,MATCH($F912,사건마스터!$A$5:$A$64,0)),""))</f>
        <v/>
      </c>
      <c r="U912" s="35">
        <f>IF($F912="","",IFERROR(INDEX(사건마스터!$AR$5:$AR$64,MATCH($F912,사건마스터!$A$5:$A$64,0)),""))</f>
        <v/>
      </c>
      <c r="V912" s="35">
        <f>IF($F912="","",IFERROR(INDEX(사건마스터!$AS$5:$AS$64,MATCH($F912,사건마스터!$A$5:$A$64,0)),""))</f>
        <v/>
      </c>
      <c r="W912" s="35">
        <f>IF($F912="","",IFERROR(INDEX(사건마스터!$AT$5:$AT$64,MATCH($F912,사건마스터!$A$5:$A$64,0)),""))</f>
        <v/>
      </c>
      <c r="X912" s="35">
        <f>IF($F912="","",IFERROR(INDEX(사건마스터!$AU$5:$AU$64,MATCH($F912,사건마스터!$A$5:$A$64,0)),""))</f>
        <v/>
      </c>
      <c r="Y912" s="35">
        <f>IF($F912="","",IFERROR(INDEX(사건마스터!$AV$5:$AV$64,MATCH($F912,사건마스터!$A$5:$A$64,0)),""))</f>
        <v/>
      </c>
      <c r="Z912" s="30">
        <f>IF(COUNTBLANK($J912:$Y912)=16,"",16-COUNTBLANK($J912:$Y912))</f>
        <v/>
      </c>
      <c r="AA912" s="33">
        <f>IF($J912="",MID($AX912,3,255),$J912&amp;$AX912)</f>
        <v/>
      </c>
      <c r="AB912" s="34">
        <f>IF($J912="","",IFERROR(INDEX(코드설정!$D$5:$D$24,MATCH($J912,코드설정!$C$5:$C$24,0)),""))</f>
        <v/>
      </c>
      <c r="AC912" s="36" t="n"/>
      <c r="AD912" s="37" t="n"/>
      <c r="AE912" s="38" t="n"/>
      <c r="AF912" s="30">
        <f>IF(OR($B912="",$C912=""),"",$C912-$B912+1)</f>
        <v/>
      </c>
      <c r="AG912" s="32" t="n"/>
      <c r="AH912" s="36" t="n"/>
      <c r="AJ912">
        <f>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  <c r="AX912">
        <f>AW912&amp;IF($Y912="","",", "&amp;$Y912)</f>
        <v/>
      </c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0">
        <f>IF($F913="","",COUNTIF($F$5:$F913,$F913))</f>
        <v/>
      </c>
      <c r="H913" s="33">
        <f>IF($F913="","",IFERROR(INDEX(사건마스터!$B$5:$B$64,MATCH($F913,사건마스터!$A$5:$A$64,0)),""))</f>
        <v/>
      </c>
      <c r="I913" s="34">
        <f>IF($F913="","",IFERROR(INDEX(사건마스터!$C$5:$C$64,MATCH($F913,사건마스터!$A$5:$A$64,0)),""))</f>
        <v/>
      </c>
      <c r="J913" s="35">
        <f>IF($F913="","",IFERROR(INDEX(사건마스터!$H$5:$H$64,MATCH($F913,사건마스터!$A$5:$A$64,0)),""))</f>
        <v/>
      </c>
      <c r="K913" s="35">
        <f>IF($F913="","",IFERROR(INDEX(사건마스터!$AH$5:$AH$64,MATCH($F913,사건마스터!$A$5:$A$64,0)),""))</f>
        <v/>
      </c>
      <c r="L913" s="35">
        <f>IF($F913="","",IFERROR(INDEX(사건마스터!$AI$5:$AI$64,MATCH($F913,사건마스터!$A$5:$A$64,0)),""))</f>
        <v/>
      </c>
      <c r="M913" s="35">
        <f>IF($F913="","",IFERROR(INDEX(사건마스터!$AJ$5:$AJ$64,MATCH($F913,사건마스터!$A$5:$A$64,0)),""))</f>
        <v/>
      </c>
      <c r="N913" s="35">
        <f>IF($F913="","",IFERROR(INDEX(사건마스터!$AK$5:$AK$64,MATCH($F913,사건마스터!$A$5:$A$64,0)),""))</f>
        <v/>
      </c>
      <c r="O913" s="35">
        <f>IF($F913="","",IFERROR(INDEX(사건마스터!$AL$5:$AL$64,MATCH($F913,사건마스터!$A$5:$A$64,0)),""))</f>
        <v/>
      </c>
      <c r="P913" s="35">
        <f>IF($F913="","",IFERROR(INDEX(사건마스터!$AM$5:$AM$64,MATCH($F913,사건마스터!$A$5:$A$64,0)),""))</f>
        <v/>
      </c>
      <c r="Q913" s="35">
        <f>IF($F913="","",IFERROR(INDEX(사건마스터!$AN$5:$AN$64,MATCH($F913,사건마스터!$A$5:$A$64,0)),""))</f>
        <v/>
      </c>
      <c r="R913" s="35">
        <f>IF($F913="","",IFERROR(INDEX(사건마스터!$AO$5:$AO$64,MATCH($F913,사건마스터!$A$5:$A$64,0)),""))</f>
        <v/>
      </c>
      <c r="S913" s="35">
        <f>IF($F913="","",IFERROR(INDEX(사건마스터!$AP$5:$AP$64,MATCH($F913,사건마스터!$A$5:$A$64,0)),""))</f>
        <v/>
      </c>
      <c r="T913" s="35">
        <f>IF($F913="","",IFERROR(INDEX(사건마스터!$AQ$5:$AQ$64,MATCH($F913,사건마스터!$A$5:$A$64,0)),""))</f>
        <v/>
      </c>
      <c r="U913" s="35">
        <f>IF($F913="","",IFERROR(INDEX(사건마스터!$AR$5:$AR$64,MATCH($F913,사건마스터!$A$5:$A$64,0)),""))</f>
        <v/>
      </c>
      <c r="V913" s="35">
        <f>IF($F913="","",IFERROR(INDEX(사건마스터!$AS$5:$AS$64,MATCH($F913,사건마스터!$A$5:$A$64,0)),""))</f>
        <v/>
      </c>
      <c r="W913" s="35">
        <f>IF($F913="","",IFERROR(INDEX(사건마스터!$AT$5:$AT$64,MATCH($F913,사건마스터!$A$5:$A$64,0)),""))</f>
        <v/>
      </c>
      <c r="X913" s="35">
        <f>IF($F913="","",IFERROR(INDEX(사건마스터!$AU$5:$AU$64,MATCH($F913,사건마스터!$A$5:$A$64,0)),""))</f>
        <v/>
      </c>
      <c r="Y913" s="35">
        <f>IF($F913="","",IFERROR(INDEX(사건마스터!$AV$5:$AV$64,MATCH($F913,사건마스터!$A$5:$A$64,0)),""))</f>
        <v/>
      </c>
      <c r="Z913" s="30">
        <f>IF(COUNTBLANK($J913:$Y913)=16,"",16-COUNTBLANK($J913:$Y913))</f>
        <v/>
      </c>
      <c r="AA913" s="33">
        <f>IF($J913="",MID($AX913,3,255),$J913&amp;$AX913)</f>
        <v/>
      </c>
      <c r="AB913" s="34">
        <f>IF($J913="","",IFERROR(INDEX(코드설정!$D$5:$D$24,MATCH($J913,코드설정!$C$5:$C$24,0)),""))</f>
        <v/>
      </c>
      <c r="AC913" s="36" t="n"/>
      <c r="AD913" s="37" t="n"/>
      <c r="AE913" s="38" t="n"/>
      <c r="AF913" s="30">
        <f>IF(OR($B913="",$C913=""),"",$C913-$B913+1)</f>
        <v/>
      </c>
      <c r="AG913" s="32" t="n"/>
      <c r="AH913" s="36" t="n"/>
      <c r="AJ913">
        <f>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  <c r="AX913">
        <f>AW913&amp;IF($Y913="","",", "&amp;$Y913)</f>
        <v/>
      </c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0">
        <f>IF($F914="","",COUNTIF($F$5:$F914,$F914))</f>
        <v/>
      </c>
      <c r="H914" s="33">
        <f>IF($F914="","",IFERROR(INDEX(사건마스터!$B$5:$B$64,MATCH($F914,사건마스터!$A$5:$A$64,0)),""))</f>
        <v/>
      </c>
      <c r="I914" s="34">
        <f>IF($F914="","",IFERROR(INDEX(사건마스터!$C$5:$C$64,MATCH($F914,사건마스터!$A$5:$A$64,0)),""))</f>
        <v/>
      </c>
      <c r="J914" s="35">
        <f>IF($F914="","",IFERROR(INDEX(사건마스터!$H$5:$H$64,MATCH($F914,사건마스터!$A$5:$A$64,0)),""))</f>
        <v/>
      </c>
      <c r="K914" s="35">
        <f>IF($F914="","",IFERROR(INDEX(사건마스터!$AH$5:$AH$64,MATCH($F914,사건마스터!$A$5:$A$64,0)),""))</f>
        <v/>
      </c>
      <c r="L914" s="35">
        <f>IF($F914="","",IFERROR(INDEX(사건마스터!$AI$5:$AI$64,MATCH($F914,사건마스터!$A$5:$A$64,0)),""))</f>
        <v/>
      </c>
      <c r="M914" s="35">
        <f>IF($F914="","",IFERROR(INDEX(사건마스터!$AJ$5:$AJ$64,MATCH($F914,사건마스터!$A$5:$A$64,0)),""))</f>
        <v/>
      </c>
      <c r="N914" s="35">
        <f>IF($F914="","",IFERROR(INDEX(사건마스터!$AK$5:$AK$64,MATCH($F914,사건마스터!$A$5:$A$64,0)),""))</f>
        <v/>
      </c>
      <c r="O914" s="35">
        <f>IF($F914="","",IFERROR(INDEX(사건마스터!$AL$5:$AL$64,MATCH($F914,사건마스터!$A$5:$A$64,0)),""))</f>
        <v/>
      </c>
      <c r="P914" s="35">
        <f>IF($F914="","",IFERROR(INDEX(사건마스터!$AM$5:$AM$64,MATCH($F914,사건마스터!$A$5:$A$64,0)),""))</f>
        <v/>
      </c>
      <c r="Q914" s="35">
        <f>IF($F914="","",IFERROR(INDEX(사건마스터!$AN$5:$AN$64,MATCH($F914,사건마스터!$A$5:$A$64,0)),""))</f>
        <v/>
      </c>
      <c r="R914" s="35">
        <f>IF($F914="","",IFERROR(INDEX(사건마스터!$AO$5:$AO$64,MATCH($F914,사건마스터!$A$5:$A$64,0)),""))</f>
        <v/>
      </c>
      <c r="S914" s="35">
        <f>IF($F914="","",IFERROR(INDEX(사건마스터!$AP$5:$AP$64,MATCH($F914,사건마스터!$A$5:$A$64,0)),""))</f>
        <v/>
      </c>
      <c r="T914" s="35">
        <f>IF($F914="","",IFERROR(INDEX(사건마스터!$AQ$5:$AQ$64,MATCH($F914,사건마스터!$A$5:$A$64,0)),""))</f>
        <v/>
      </c>
      <c r="U914" s="35">
        <f>IF($F914="","",IFERROR(INDEX(사건마스터!$AR$5:$AR$64,MATCH($F914,사건마스터!$A$5:$A$64,0)),""))</f>
        <v/>
      </c>
      <c r="V914" s="35">
        <f>IF($F914="","",IFERROR(INDEX(사건마스터!$AS$5:$AS$64,MATCH($F914,사건마스터!$A$5:$A$64,0)),""))</f>
        <v/>
      </c>
      <c r="W914" s="35">
        <f>IF($F914="","",IFERROR(INDEX(사건마스터!$AT$5:$AT$64,MATCH($F914,사건마스터!$A$5:$A$64,0)),""))</f>
        <v/>
      </c>
      <c r="X914" s="35">
        <f>IF($F914="","",IFERROR(INDEX(사건마스터!$AU$5:$AU$64,MATCH($F914,사건마스터!$A$5:$A$64,0)),""))</f>
        <v/>
      </c>
      <c r="Y914" s="35">
        <f>IF($F914="","",IFERROR(INDEX(사건마스터!$AV$5:$AV$64,MATCH($F914,사건마스터!$A$5:$A$64,0)),""))</f>
        <v/>
      </c>
      <c r="Z914" s="30">
        <f>IF(COUNTBLANK($J914:$Y914)=16,"",16-COUNTBLANK($J914:$Y914))</f>
        <v/>
      </c>
      <c r="AA914" s="33">
        <f>IF($J914="",MID($AX914,3,255),$J914&amp;$AX914)</f>
        <v/>
      </c>
      <c r="AB914" s="34">
        <f>IF($J914="","",IFERROR(INDEX(코드설정!$D$5:$D$24,MATCH($J914,코드설정!$C$5:$C$24,0)),""))</f>
        <v/>
      </c>
      <c r="AC914" s="36" t="n"/>
      <c r="AD914" s="37" t="n"/>
      <c r="AE914" s="38" t="n"/>
      <c r="AF914" s="30">
        <f>IF(OR($B914="",$C914=""),"",$C914-$B914+1)</f>
        <v/>
      </c>
      <c r="AG914" s="32" t="n"/>
      <c r="AH914" s="36" t="n"/>
      <c r="AJ914">
        <f>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  <c r="AX914">
        <f>AW914&amp;IF($Y914="","",", "&amp;$Y914)</f>
        <v/>
      </c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0">
        <f>IF($F915="","",COUNTIF($F$5:$F915,$F915))</f>
        <v/>
      </c>
      <c r="H915" s="33">
        <f>IF($F915="","",IFERROR(INDEX(사건마스터!$B$5:$B$64,MATCH($F915,사건마스터!$A$5:$A$64,0)),""))</f>
        <v/>
      </c>
      <c r="I915" s="34">
        <f>IF($F915="","",IFERROR(INDEX(사건마스터!$C$5:$C$64,MATCH($F915,사건마스터!$A$5:$A$64,0)),""))</f>
        <v/>
      </c>
      <c r="J915" s="35">
        <f>IF($F915="","",IFERROR(INDEX(사건마스터!$H$5:$H$64,MATCH($F915,사건마스터!$A$5:$A$64,0)),""))</f>
        <v/>
      </c>
      <c r="K915" s="35">
        <f>IF($F915="","",IFERROR(INDEX(사건마스터!$AH$5:$AH$64,MATCH($F915,사건마스터!$A$5:$A$64,0)),""))</f>
        <v/>
      </c>
      <c r="L915" s="35">
        <f>IF($F915="","",IFERROR(INDEX(사건마스터!$AI$5:$AI$64,MATCH($F915,사건마스터!$A$5:$A$64,0)),""))</f>
        <v/>
      </c>
      <c r="M915" s="35">
        <f>IF($F915="","",IFERROR(INDEX(사건마스터!$AJ$5:$AJ$64,MATCH($F915,사건마스터!$A$5:$A$64,0)),""))</f>
        <v/>
      </c>
      <c r="N915" s="35">
        <f>IF($F915="","",IFERROR(INDEX(사건마스터!$AK$5:$AK$64,MATCH($F915,사건마스터!$A$5:$A$64,0)),""))</f>
        <v/>
      </c>
      <c r="O915" s="35">
        <f>IF($F915="","",IFERROR(INDEX(사건마스터!$AL$5:$AL$64,MATCH($F915,사건마스터!$A$5:$A$64,0)),""))</f>
        <v/>
      </c>
      <c r="P915" s="35">
        <f>IF($F915="","",IFERROR(INDEX(사건마스터!$AM$5:$AM$64,MATCH($F915,사건마스터!$A$5:$A$64,0)),""))</f>
        <v/>
      </c>
      <c r="Q915" s="35">
        <f>IF($F915="","",IFERROR(INDEX(사건마스터!$AN$5:$AN$64,MATCH($F915,사건마스터!$A$5:$A$64,0)),""))</f>
        <v/>
      </c>
      <c r="R915" s="35">
        <f>IF($F915="","",IFERROR(INDEX(사건마스터!$AO$5:$AO$64,MATCH($F915,사건마스터!$A$5:$A$64,0)),""))</f>
        <v/>
      </c>
      <c r="S915" s="35">
        <f>IF($F915="","",IFERROR(INDEX(사건마스터!$AP$5:$AP$64,MATCH($F915,사건마스터!$A$5:$A$64,0)),""))</f>
        <v/>
      </c>
      <c r="T915" s="35">
        <f>IF($F915="","",IFERROR(INDEX(사건마스터!$AQ$5:$AQ$64,MATCH($F915,사건마스터!$A$5:$A$64,0)),""))</f>
        <v/>
      </c>
      <c r="U915" s="35">
        <f>IF($F915="","",IFERROR(INDEX(사건마스터!$AR$5:$AR$64,MATCH($F915,사건마스터!$A$5:$A$64,0)),""))</f>
        <v/>
      </c>
      <c r="V915" s="35">
        <f>IF($F915="","",IFERROR(INDEX(사건마스터!$AS$5:$AS$64,MATCH($F915,사건마스터!$A$5:$A$64,0)),""))</f>
        <v/>
      </c>
      <c r="W915" s="35">
        <f>IF($F915="","",IFERROR(INDEX(사건마스터!$AT$5:$AT$64,MATCH($F915,사건마스터!$A$5:$A$64,0)),""))</f>
        <v/>
      </c>
      <c r="X915" s="35">
        <f>IF($F915="","",IFERROR(INDEX(사건마스터!$AU$5:$AU$64,MATCH($F915,사건마스터!$A$5:$A$64,0)),""))</f>
        <v/>
      </c>
      <c r="Y915" s="35">
        <f>IF($F915="","",IFERROR(INDEX(사건마스터!$AV$5:$AV$64,MATCH($F915,사건마스터!$A$5:$A$64,0)),""))</f>
        <v/>
      </c>
      <c r="Z915" s="30">
        <f>IF(COUNTBLANK($J915:$Y915)=16,"",16-COUNTBLANK($J915:$Y915))</f>
        <v/>
      </c>
      <c r="AA915" s="33">
        <f>IF($J915="",MID($AX915,3,255),$J915&amp;$AX915)</f>
        <v/>
      </c>
      <c r="AB915" s="34">
        <f>IF($J915="","",IFERROR(INDEX(코드설정!$D$5:$D$24,MATCH($J915,코드설정!$C$5:$C$24,0)),""))</f>
        <v/>
      </c>
      <c r="AC915" s="36" t="n"/>
      <c r="AD915" s="37" t="n"/>
      <c r="AE915" s="38" t="n"/>
      <c r="AF915" s="30">
        <f>IF(OR($B915="",$C915=""),"",$C915-$B915+1)</f>
        <v/>
      </c>
      <c r="AG915" s="32" t="n"/>
      <c r="AH915" s="36" t="n"/>
      <c r="AJ915">
        <f>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  <c r="AX915">
        <f>AW915&amp;IF($Y915="","",", "&amp;$Y915)</f>
        <v/>
      </c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0">
        <f>IF($F916="","",COUNTIF($F$5:$F916,$F916))</f>
        <v/>
      </c>
      <c r="H916" s="33">
        <f>IF($F916="","",IFERROR(INDEX(사건마스터!$B$5:$B$64,MATCH($F916,사건마스터!$A$5:$A$64,0)),""))</f>
        <v/>
      </c>
      <c r="I916" s="34">
        <f>IF($F916="","",IFERROR(INDEX(사건마스터!$C$5:$C$64,MATCH($F916,사건마스터!$A$5:$A$64,0)),""))</f>
        <v/>
      </c>
      <c r="J916" s="35">
        <f>IF($F916="","",IFERROR(INDEX(사건마스터!$H$5:$H$64,MATCH($F916,사건마스터!$A$5:$A$64,0)),""))</f>
        <v/>
      </c>
      <c r="K916" s="35">
        <f>IF($F916="","",IFERROR(INDEX(사건마스터!$AH$5:$AH$64,MATCH($F916,사건마스터!$A$5:$A$64,0)),""))</f>
        <v/>
      </c>
      <c r="L916" s="35">
        <f>IF($F916="","",IFERROR(INDEX(사건마스터!$AI$5:$AI$64,MATCH($F916,사건마스터!$A$5:$A$64,0)),""))</f>
        <v/>
      </c>
      <c r="M916" s="35">
        <f>IF($F916="","",IFERROR(INDEX(사건마스터!$AJ$5:$AJ$64,MATCH($F916,사건마스터!$A$5:$A$64,0)),""))</f>
        <v/>
      </c>
      <c r="N916" s="35">
        <f>IF($F916="","",IFERROR(INDEX(사건마스터!$AK$5:$AK$64,MATCH($F916,사건마스터!$A$5:$A$64,0)),""))</f>
        <v/>
      </c>
      <c r="O916" s="35">
        <f>IF($F916="","",IFERROR(INDEX(사건마스터!$AL$5:$AL$64,MATCH($F916,사건마스터!$A$5:$A$64,0)),""))</f>
        <v/>
      </c>
      <c r="P916" s="35">
        <f>IF($F916="","",IFERROR(INDEX(사건마스터!$AM$5:$AM$64,MATCH($F916,사건마스터!$A$5:$A$64,0)),""))</f>
        <v/>
      </c>
      <c r="Q916" s="35">
        <f>IF($F916="","",IFERROR(INDEX(사건마스터!$AN$5:$AN$64,MATCH($F916,사건마스터!$A$5:$A$64,0)),""))</f>
        <v/>
      </c>
      <c r="R916" s="35">
        <f>IF($F916="","",IFERROR(INDEX(사건마스터!$AO$5:$AO$64,MATCH($F916,사건마스터!$A$5:$A$64,0)),""))</f>
        <v/>
      </c>
      <c r="S916" s="35">
        <f>IF($F916="","",IFERROR(INDEX(사건마스터!$AP$5:$AP$64,MATCH($F916,사건마스터!$A$5:$A$64,0)),""))</f>
        <v/>
      </c>
      <c r="T916" s="35">
        <f>IF($F916="","",IFERROR(INDEX(사건마스터!$AQ$5:$AQ$64,MATCH($F916,사건마스터!$A$5:$A$64,0)),""))</f>
        <v/>
      </c>
      <c r="U916" s="35">
        <f>IF($F916="","",IFERROR(INDEX(사건마스터!$AR$5:$AR$64,MATCH($F916,사건마스터!$A$5:$A$64,0)),""))</f>
        <v/>
      </c>
      <c r="V916" s="35">
        <f>IF($F916="","",IFERROR(INDEX(사건마스터!$AS$5:$AS$64,MATCH($F916,사건마스터!$A$5:$A$64,0)),""))</f>
        <v/>
      </c>
      <c r="W916" s="35">
        <f>IF($F916="","",IFERROR(INDEX(사건마스터!$AT$5:$AT$64,MATCH($F916,사건마스터!$A$5:$A$64,0)),""))</f>
        <v/>
      </c>
      <c r="X916" s="35">
        <f>IF($F916="","",IFERROR(INDEX(사건마스터!$AU$5:$AU$64,MATCH($F916,사건마스터!$A$5:$A$64,0)),""))</f>
        <v/>
      </c>
      <c r="Y916" s="35">
        <f>IF($F916="","",IFERROR(INDEX(사건마스터!$AV$5:$AV$64,MATCH($F916,사건마스터!$A$5:$A$64,0)),""))</f>
        <v/>
      </c>
      <c r="Z916" s="30">
        <f>IF(COUNTBLANK($J916:$Y916)=16,"",16-COUNTBLANK($J916:$Y916))</f>
        <v/>
      </c>
      <c r="AA916" s="33">
        <f>IF($J916="",MID($AX916,3,255),$J916&amp;$AX916)</f>
        <v/>
      </c>
      <c r="AB916" s="34">
        <f>IF($J916="","",IFERROR(INDEX(코드설정!$D$5:$D$24,MATCH($J916,코드설정!$C$5:$C$24,0)),""))</f>
        <v/>
      </c>
      <c r="AC916" s="36" t="n"/>
      <c r="AD916" s="37" t="n"/>
      <c r="AE916" s="38" t="n"/>
      <c r="AF916" s="30">
        <f>IF(OR($B916="",$C916=""),"",$C916-$B916+1)</f>
        <v/>
      </c>
      <c r="AG916" s="32" t="n"/>
      <c r="AH916" s="36" t="n"/>
      <c r="AJ916">
        <f>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  <c r="AX916">
        <f>AW916&amp;IF($Y916="","",", "&amp;$Y916)</f>
        <v/>
      </c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0">
        <f>IF($F917="","",COUNTIF($F$5:$F917,$F917))</f>
        <v/>
      </c>
      <c r="H917" s="33">
        <f>IF($F917="","",IFERROR(INDEX(사건마스터!$B$5:$B$64,MATCH($F917,사건마스터!$A$5:$A$64,0)),""))</f>
        <v/>
      </c>
      <c r="I917" s="34">
        <f>IF($F917="","",IFERROR(INDEX(사건마스터!$C$5:$C$64,MATCH($F917,사건마스터!$A$5:$A$64,0)),""))</f>
        <v/>
      </c>
      <c r="J917" s="35">
        <f>IF($F917="","",IFERROR(INDEX(사건마스터!$H$5:$H$64,MATCH($F917,사건마스터!$A$5:$A$64,0)),""))</f>
        <v/>
      </c>
      <c r="K917" s="35">
        <f>IF($F917="","",IFERROR(INDEX(사건마스터!$AH$5:$AH$64,MATCH($F917,사건마스터!$A$5:$A$64,0)),""))</f>
        <v/>
      </c>
      <c r="L917" s="35">
        <f>IF($F917="","",IFERROR(INDEX(사건마스터!$AI$5:$AI$64,MATCH($F917,사건마스터!$A$5:$A$64,0)),""))</f>
        <v/>
      </c>
      <c r="M917" s="35">
        <f>IF($F917="","",IFERROR(INDEX(사건마스터!$AJ$5:$AJ$64,MATCH($F917,사건마스터!$A$5:$A$64,0)),""))</f>
        <v/>
      </c>
      <c r="N917" s="35">
        <f>IF($F917="","",IFERROR(INDEX(사건마스터!$AK$5:$AK$64,MATCH($F917,사건마스터!$A$5:$A$64,0)),""))</f>
        <v/>
      </c>
      <c r="O917" s="35">
        <f>IF($F917="","",IFERROR(INDEX(사건마스터!$AL$5:$AL$64,MATCH($F917,사건마스터!$A$5:$A$64,0)),""))</f>
        <v/>
      </c>
      <c r="P917" s="35">
        <f>IF($F917="","",IFERROR(INDEX(사건마스터!$AM$5:$AM$64,MATCH($F917,사건마스터!$A$5:$A$64,0)),""))</f>
        <v/>
      </c>
      <c r="Q917" s="35">
        <f>IF($F917="","",IFERROR(INDEX(사건마스터!$AN$5:$AN$64,MATCH($F917,사건마스터!$A$5:$A$64,0)),""))</f>
        <v/>
      </c>
      <c r="R917" s="35">
        <f>IF($F917="","",IFERROR(INDEX(사건마스터!$AO$5:$AO$64,MATCH($F917,사건마스터!$A$5:$A$64,0)),""))</f>
        <v/>
      </c>
      <c r="S917" s="35">
        <f>IF($F917="","",IFERROR(INDEX(사건마스터!$AP$5:$AP$64,MATCH($F917,사건마스터!$A$5:$A$64,0)),""))</f>
        <v/>
      </c>
      <c r="T917" s="35">
        <f>IF($F917="","",IFERROR(INDEX(사건마스터!$AQ$5:$AQ$64,MATCH($F917,사건마스터!$A$5:$A$64,0)),""))</f>
        <v/>
      </c>
      <c r="U917" s="35">
        <f>IF($F917="","",IFERROR(INDEX(사건마스터!$AR$5:$AR$64,MATCH($F917,사건마스터!$A$5:$A$64,0)),""))</f>
        <v/>
      </c>
      <c r="V917" s="35">
        <f>IF($F917="","",IFERROR(INDEX(사건마스터!$AS$5:$AS$64,MATCH($F917,사건마스터!$A$5:$A$64,0)),""))</f>
        <v/>
      </c>
      <c r="W917" s="35">
        <f>IF($F917="","",IFERROR(INDEX(사건마스터!$AT$5:$AT$64,MATCH($F917,사건마스터!$A$5:$A$64,0)),""))</f>
        <v/>
      </c>
      <c r="X917" s="35">
        <f>IF($F917="","",IFERROR(INDEX(사건마스터!$AU$5:$AU$64,MATCH($F917,사건마스터!$A$5:$A$64,0)),""))</f>
        <v/>
      </c>
      <c r="Y917" s="35">
        <f>IF($F917="","",IFERROR(INDEX(사건마스터!$AV$5:$AV$64,MATCH($F917,사건마스터!$A$5:$A$64,0)),""))</f>
        <v/>
      </c>
      <c r="Z917" s="30">
        <f>IF(COUNTBLANK($J917:$Y917)=16,"",16-COUNTBLANK($J917:$Y917))</f>
        <v/>
      </c>
      <c r="AA917" s="33">
        <f>IF($J917="",MID($AX917,3,255),$J917&amp;$AX917)</f>
        <v/>
      </c>
      <c r="AB917" s="34">
        <f>IF($J917="","",IFERROR(INDEX(코드설정!$D$5:$D$24,MATCH($J917,코드설정!$C$5:$C$24,0)),""))</f>
        <v/>
      </c>
      <c r="AC917" s="36" t="n"/>
      <c r="AD917" s="37" t="n"/>
      <c r="AE917" s="38" t="n"/>
      <c r="AF917" s="30">
        <f>IF(OR($B917="",$C917=""),"",$C917-$B917+1)</f>
        <v/>
      </c>
      <c r="AG917" s="32" t="n"/>
      <c r="AH917" s="36" t="n"/>
      <c r="AJ917">
        <f>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  <c r="AX917">
        <f>AW917&amp;IF($Y917="","",", "&amp;$Y917)</f>
        <v/>
      </c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0">
        <f>IF($F918="","",COUNTIF($F$5:$F918,$F918))</f>
        <v/>
      </c>
      <c r="H918" s="33">
        <f>IF($F918="","",IFERROR(INDEX(사건마스터!$B$5:$B$64,MATCH($F918,사건마스터!$A$5:$A$64,0)),""))</f>
        <v/>
      </c>
      <c r="I918" s="34">
        <f>IF($F918="","",IFERROR(INDEX(사건마스터!$C$5:$C$64,MATCH($F918,사건마스터!$A$5:$A$64,0)),""))</f>
        <v/>
      </c>
      <c r="J918" s="35">
        <f>IF($F918="","",IFERROR(INDEX(사건마스터!$H$5:$H$64,MATCH($F918,사건마스터!$A$5:$A$64,0)),""))</f>
        <v/>
      </c>
      <c r="K918" s="35">
        <f>IF($F918="","",IFERROR(INDEX(사건마스터!$AH$5:$AH$64,MATCH($F918,사건마스터!$A$5:$A$64,0)),""))</f>
        <v/>
      </c>
      <c r="L918" s="35">
        <f>IF($F918="","",IFERROR(INDEX(사건마스터!$AI$5:$AI$64,MATCH($F918,사건마스터!$A$5:$A$64,0)),""))</f>
        <v/>
      </c>
      <c r="M918" s="35">
        <f>IF($F918="","",IFERROR(INDEX(사건마스터!$AJ$5:$AJ$64,MATCH($F918,사건마스터!$A$5:$A$64,0)),""))</f>
        <v/>
      </c>
      <c r="N918" s="35">
        <f>IF($F918="","",IFERROR(INDEX(사건마스터!$AK$5:$AK$64,MATCH($F918,사건마스터!$A$5:$A$64,0)),""))</f>
        <v/>
      </c>
      <c r="O918" s="35">
        <f>IF($F918="","",IFERROR(INDEX(사건마스터!$AL$5:$AL$64,MATCH($F918,사건마스터!$A$5:$A$64,0)),""))</f>
        <v/>
      </c>
      <c r="P918" s="35">
        <f>IF($F918="","",IFERROR(INDEX(사건마스터!$AM$5:$AM$64,MATCH($F918,사건마스터!$A$5:$A$64,0)),""))</f>
        <v/>
      </c>
      <c r="Q918" s="35">
        <f>IF($F918="","",IFERROR(INDEX(사건마스터!$AN$5:$AN$64,MATCH($F918,사건마스터!$A$5:$A$64,0)),""))</f>
        <v/>
      </c>
      <c r="R918" s="35">
        <f>IF($F918="","",IFERROR(INDEX(사건마스터!$AO$5:$AO$64,MATCH($F918,사건마스터!$A$5:$A$64,0)),""))</f>
        <v/>
      </c>
      <c r="S918" s="35">
        <f>IF($F918="","",IFERROR(INDEX(사건마스터!$AP$5:$AP$64,MATCH($F918,사건마스터!$A$5:$A$64,0)),""))</f>
        <v/>
      </c>
      <c r="T918" s="35">
        <f>IF($F918="","",IFERROR(INDEX(사건마스터!$AQ$5:$AQ$64,MATCH($F918,사건마스터!$A$5:$A$64,0)),""))</f>
        <v/>
      </c>
      <c r="U918" s="35">
        <f>IF($F918="","",IFERROR(INDEX(사건마스터!$AR$5:$AR$64,MATCH($F918,사건마스터!$A$5:$A$64,0)),""))</f>
        <v/>
      </c>
      <c r="V918" s="35">
        <f>IF($F918="","",IFERROR(INDEX(사건마스터!$AS$5:$AS$64,MATCH($F918,사건마스터!$A$5:$A$64,0)),""))</f>
        <v/>
      </c>
      <c r="W918" s="35">
        <f>IF($F918="","",IFERROR(INDEX(사건마스터!$AT$5:$AT$64,MATCH($F918,사건마스터!$A$5:$A$64,0)),""))</f>
        <v/>
      </c>
      <c r="X918" s="35">
        <f>IF($F918="","",IFERROR(INDEX(사건마스터!$AU$5:$AU$64,MATCH($F918,사건마스터!$A$5:$A$64,0)),""))</f>
        <v/>
      </c>
      <c r="Y918" s="35">
        <f>IF($F918="","",IFERROR(INDEX(사건마스터!$AV$5:$AV$64,MATCH($F918,사건마스터!$A$5:$A$64,0)),""))</f>
        <v/>
      </c>
      <c r="Z918" s="30">
        <f>IF(COUNTBLANK($J918:$Y918)=16,"",16-COUNTBLANK($J918:$Y918))</f>
        <v/>
      </c>
      <c r="AA918" s="33">
        <f>IF($J918="",MID($AX918,3,255),$J918&amp;$AX918)</f>
        <v/>
      </c>
      <c r="AB918" s="34">
        <f>IF($J918="","",IFERROR(INDEX(코드설정!$D$5:$D$24,MATCH($J918,코드설정!$C$5:$C$24,0)),""))</f>
        <v/>
      </c>
      <c r="AC918" s="36" t="n"/>
      <c r="AD918" s="37" t="n"/>
      <c r="AE918" s="38" t="n"/>
      <c r="AF918" s="30">
        <f>IF(OR($B918="",$C918=""),"",$C918-$B918+1)</f>
        <v/>
      </c>
      <c r="AG918" s="32" t="n"/>
      <c r="AH918" s="36" t="n"/>
      <c r="AJ918">
        <f>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  <c r="AX918">
        <f>AW918&amp;IF($Y918="","",", "&amp;$Y918)</f>
        <v/>
      </c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0">
        <f>IF($F919="","",COUNTIF($F$5:$F919,$F919))</f>
        <v/>
      </c>
      <c r="H919" s="33">
        <f>IF($F919="","",IFERROR(INDEX(사건마스터!$B$5:$B$64,MATCH($F919,사건마스터!$A$5:$A$64,0)),""))</f>
        <v/>
      </c>
      <c r="I919" s="34">
        <f>IF($F919="","",IFERROR(INDEX(사건마스터!$C$5:$C$64,MATCH($F919,사건마스터!$A$5:$A$64,0)),""))</f>
        <v/>
      </c>
      <c r="J919" s="35">
        <f>IF($F919="","",IFERROR(INDEX(사건마스터!$H$5:$H$64,MATCH($F919,사건마스터!$A$5:$A$64,0)),""))</f>
        <v/>
      </c>
      <c r="K919" s="35">
        <f>IF($F919="","",IFERROR(INDEX(사건마스터!$AH$5:$AH$64,MATCH($F919,사건마스터!$A$5:$A$64,0)),""))</f>
        <v/>
      </c>
      <c r="L919" s="35">
        <f>IF($F919="","",IFERROR(INDEX(사건마스터!$AI$5:$AI$64,MATCH($F919,사건마스터!$A$5:$A$64,0)),""))</f>
        <v/>
      </c>
      <c r="M919" s="35">
        <f>IF($F919="","",IFERROR(INDEX(사건마스터!$AJ$5:$AJ$64,MATCH($F919,사건마스터!$A$5:$A$64,0)),""))</f>
        <v/>
      </c>
      <c r="N919" s="35">
        <f>IF($F919="","",IFERROR(INDEX(사건마스터!$AK$5:$AK$64,MATCH($F919,사건마스터!$A$5:$A$64,0)),""))</f>
        <v/>
      </c>
      <c r="O919" s="35">
        <f>IF($F919="","",IFERROR(INDEX(사건마스터!$AL$5:$AL$64,MATCH($F919,사건마스터!$A$5:$A$64,0)),""))</f>
        <v/>
      </c>
      <c r="P919" s="35">
        <f>IF($F919="","",IFERROR(INDEX(사건마스터!$AM$5:$AM$64,MATCH($F919,사건마스터!$A$5:$A$64,0)),""))</f>
        <v/>
      </c>
      <c r="Q919" s="35">
        <f>IF($F919="","",IFERROR(INDEX(사건마스터!$AN$5:$AN$64,MATCH($F919,사건마스터!$A$5:$A$64,0)),""))</f>
        <v/>
      </c>
      <c r="R919" s="35">
        <f>IF($F919="","",IFERROR(INDEX(사건마스터!$AO$5:$AO$64,MATCH($F919,사건마스터!$A$5:$A$64,0)),""))</f>
        <v/>
      </c>
      <c r="S919" s="35">
        <f>IF($F919="","",IFERROR(INDEX(사건마스터!$AP$5:$AP$64,MATCH($F919,사건마스터!$A$5:$A$64,0)),""))</f>
        <v/>
      </c>
      <c r="T919" s="35">
        <f>IF($F919="","",IFERROR(INDEX(사건마스터!$AQ$5:$AQ$64,MATCH($F919,사건마스터!$A$5:$A$64,0)),""))</f>
        <v/>
      </c>
      <c r="U919" s="35">
        <f>IF($F919="","",IFERROR(INDEX(사건마스터!$AR$5:$AR$64,MATCH($F919,사건마스터!$A$5:$A$64,0)),""))</f>
        <v/>
      </c>
      <c r="V919" s="35">
        <f>IF($F919="","",IFERROR(INDEX(사건마스터!$AS$5:$AS$64,MATCH($F919,사건마스터!$A$5:$A$64,0)),""))</f>
        <v/>
      </c>
      <c r="W919" s="35">
        <f>IF($F919="","",IFERROR(INDEX(사건마스터!$AT$5:$AT$64,MATCH($F919,사건마스터!$A$5:$A$64,0)),""))</f>
        <v/>
      </c>
      <c r="X919" s="35">
        <f>IF($F919="","",IFERROR(INDEX(사건마스터!$AU$5:$AU$64,MATCH($F919,사건마스터!$A$5:$A$64,0)),""))</f>
        <v/>
      </c>
      <c r="Y919" s="35">
        <f>IF($F919="","",IFERROR(INDEX(사건마스터!$AV$5:$AV$64,MATCH($F919,사건마스터!$A$5:$A$64,0)),""))</f>
        <v/>
      </c>
      <c r="Z919" s="30">
        <f>IF(COUNTBLANK($J919:$Y919)=16,"",16-COUNTBLANK($J919:$Y919))</f>
        <v/>
      </c>
      <c r="AA919" s="33">
        <f>IF($J919="",MID($AX919,3,255),$J919&amp;$AX919)</f>
        <v/>
      </c>
      <c r="AB919" s="34">
        <f>IF($J919="","",IFERROR(INDEX(코드설정!$D$5:$D$24,MATCH($J919,코드설정!$C$5:$C$24,0)),""))</f>
        <v/>
      </c>
      <c r="AC919" s="36" t="n"/>
      <c r="AD919" s="37" t="n"/>
      <c r="AE919" s="38" t="n"/>
      <c r="AF919" s="30">
        <f>IF(OR($B919="",$C919=""),"",$C919-$B919+1)</f>
        <v/>
      </c>
      <c r="AG919" s="32" t="n"/>
      <c r="AH919" s="36" t="n"/>
      <c r="AJ919">
        <f>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  <c r="AX919">
        <f>AW919&amp;IF($Y919="","",", "&amp;$Y919)</f>
        <v/>
      </c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0">
        <f>IF($F920="","",COUNTIF($F$5:$F920,$F920))</f>
        <v/>
      </c>
      <c r="H920" s="33">
        <f>IF($F920="","",IFERROR(INDEX(사건마스터!$B$5:$B$64,MATCH($F920,사건마스터!$A$5:$A$64,0)),""))</f>
        <v/>
      </c>
      <c r="I920" s="34">
        <f>IF($F920="","",IFERROR(INDEX(사건마스터!$C$5:$C$64,MATCH($F920,사건마스터!$A$5:$A$64,0)),""))</f>
        <v/>
      </c>
      <c r="J920" s="35">
        <f>IF($F920="","",IFERROR(INDEX(사건마스터!$H$5:$H$64,MATCH($F920,사건마스터!$A$5:$A$64,0)),""))</f>
        <v/>
      </c>
      <c r="K920" s="35">
        <f>IF($F920="","",IFERROR(INDEX(사건마스터!$AH$5:$AH$64,MATCH($F920,사건마스터!$A$5:$A$64,0)),""))</f>
        <v/>
      </c>
      <c r="L920" s="35">
        <f>IF($F920="","",IFERROR(INDEX(사건마스터!$AI$5:$AI$64,MATCH($F920,사건마스터!$A$5:$A$64,0)),""))</f>
        <v/>
      </c>
      <c r="M920" s="35">
        <f>IF($F920="","",IFERROR(INDEX(사건마스터!$AJ$5:$AJ$64,MATCH($F920,사건마스터!$A$5:$A$64,0)),""))</f>
        <v/>
      </c>
      <c r="N920" s="35">
        <f>IF($F920="","",IFERROR(INDEX(사건마스터!$AK$5:$AK$64,MATCH($F920,사건마스터!$A$5:$A$64,0)),""))</f>
        <v/>
      </c>
      <c r="O920" s="35">
        <f>IF($F920="","",IFERROR(INDEX(사건마스터!$AL$5:$AL$64,MATCH($F920,사건마스터!$A$5:$A$64,0)),""))</f>
        <v/>
      </c>
      <c r="P920" s="35">
        <f>IF($F920="","",IFERROR(INDEX(사건마스터!$AM$5:$AM$64,MATCH($F920,사건마스터!$A$5:$A$64,0)),""))</f>
        <v/>
      </c>
      <c r="Q920" s="35">
        <f>IF($F920="","",IFERROR(INDEX(사건마스터!$AN$5:$AN$64,MATCH($F920,사건마스터!$A$5:$A$64,0)),""))</f>
        <v/>
      </c>
      <c r="R920" s="35">
        <f>IF($F920="","",IFERROR(INDEX(사건마스터!$AO$5:$AO$64,MATCH($F920,사건마스터!$A$5:$A$64,0)),""))</f>
        <v/>
      </c>
      <c r="S920" s="35">
        <f>IF($F920="","",IFERROR(INDEX(사건마스터!$AP$5:$AP$64,MATCH($F920,사건마스터!$A$5:$A$64,0)),""))</f>
        <v/>
      </c>
      <c r="T920" s="35">
        <f>IF($F920="","",IFERROR(INDEX(사건마스터!$AQ$5:$AQ$64,MATCH($F920,사건마스터!$A$5:$A$64,0)),""))</f>
        <v/>
      </c>
      <c r="U920" s="35">
        <f>IF($F920="","",IFERROR(INDEX(사건마스터!$AR$5:$AR$64,MATCH($F920,사건마스터!$A$5:$A$64,0)),""))</f>
        <v/>
      </c>
      <c r="V920" s="35">
        <f>IF($F920="","",IFERROR(INDEX(사건마스터!$AS$5:$AS$64,MATCH($F920,사건마스터!$A$5:$A$64,0)),""))</f>
        <v/>
      </c>
      <c r="W920" s="35">
        <f>IF($F920="","",IFERROR(INDEX(사건마스터!$AT$5:$AT$64,MATCH($F920,사건마스터!$A$5:$A$64,0)),""))</f>
        <v/>
      </c>
      <c r="X920" s="35">
        <f>IF($F920="","",IFERROR(INDEX(사건마스터!$AU$5:$AU$64,MATCH($F920,사건마스터!$A$5:$A$64,0)),""))</f>
        <v/>
      </c>
      <c r="Y920" s="35">
        <f>IF($F920="","",IFERROR(INDEX(사건마스터!$AV$5:$AV$64,MATCH($F920,사건마스터!$A$5:$A$64,0)),""))</f>
        <v/>
      </c>
      <c r="Z920" s="30">
        <f>IF(COUNTBLANK($J920:$Y920)=16,"",16-COUNTBLANK($J920:$Y920))</f>
        <v/>
      </c>
      <c r="AA920" s="33">
        <f>IF($J920="",MID($AX920,3,255),$J920&amp;$AX920)</f>
        <v/>
      </c>
      <c r="AB920" s="34">
        <f>IF($J920="","",IFERROR(INDEX(코드설정!$D$5:$D$24,MATCH($J920,코드설정!$C$5:$C$24,0)),""))</f>
        <v/>
      </c>
      <c r="AC920" s="36" t="n"/>
      <c r="AD920" s="37" t="n"/>
      <c r="AE920" s="38" t="n"/>
      <c r="AF920" s="30">
        <f>IF(OR($B920="",$C920=""),"",$C920-$B920+1)</f>
        <v/>
      </c>
      <c r="AG920" s="32" t="n"/>
      <c r="AH920" s="36" t="n"/>
      <c r="AJ920">
        <f>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  <c r="AX920">
        <f>AW920&amp;IF($Y920="","",", "&amp;$Y920)</f>
        <v/>
      </c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0">
        <f>IF($F921="","",COUNTIF($F$5:$F921,$F921))</f>
        <v/>
      </c>
      <c r="H921" s="33">
        <f>IF($F921="","",IFERROR(INDEX(사건마스터!$B$5:$B$64,MATCH($F921,사건마스터!$A$5:$A$64,0)),""))</f>
        <v/>
      </c>
      <c r="I921" s="34">
        <f>IF($F921="","",IFERROR(INDEX(사건마스터!$C$5:$C$64,MATCH($F921,사건마스터!$A$5:$A$64,0)),""))</f>
        <v/>
      </c>
      <c r="J921" s="35">
        <f>IF($F921="","",IFERROR(INDEX(사건마스터!$H$5:$H$64,MATCH($F921,사건마스터!$A$5:$A$64,0)),""))</f>
        <v/>
      </c>
      <c r="K921" s="35">
        <f>IF($F921="","",IFERROR(INDEX(사건마스터!$AH$5:$AH$64,MATCH($F921,사건마스터!$A$5:$A$64,0)),""))</f>
        <v/>
      </c>
      <c r="L921" s="35">
        <f>IF($F921="","",IFERROR(INDEX(사건마스터!$AI$5:$AI$64,MATCH($F921,사건마스터!$A$5:$A$64,0)),""))</f>
        <v/>
      </c>
      <c r="M921" s="35">
        <f>IF($F921="","",IFERROR(INDEX(사건마스터!$AJ$5:$AJ$64,MATCH($F921,사건마스터!$A$5:$A$64,0)),""))</f>
        <v/>
      </c>
      <c r="N921" s="35">
        <f>IF($F921="","",IFERROR(INDEX(사건마스터!$AK$5:$AK$64,MATCH($F921,사건마스터!$A$5:$A$64,0)),""))</f>
        <v/>
      </c>
      <c r="O921" s="35">
        <f>IF($F921="","",IFERROR(INDEX(사건마스터!$AL$5:$AL$64,MATCH($F921,사건마스터!$A$5:$A$64,0)),""))</f>
        <v/>
      </c>
      <c r="P921" s="35">
        <f>IF($F921="","",IFERROR(INDEX(사건마스터!$AM$5:$AM$64,MATCH($F921,사건마스터!$A$5:$A$64,0)),""))</f>
        <v/>
      </c>
      <c r="Q921" s="35">
        <f>IF($F921="","",IFERROR(INDEX(사건마스터!$AN$5:$AN$64,MATCH($F921,사건마스터!$A$5:$A$64,0)),""))</f>
        <v/>
      </c>
      <c r="R921" s="35">
        <f>IF($F921="","",IFERROR(INDEX(사건마스터!$AO$5:$AO$64,MATCH($F921,사건마스터!$A$5:$A$64,0)),""))</f>
        <v/>
      </c>
      <c r="S921" s="35">
        <f>IF($F921="","",IFERROR(INDEX(사건마스터!$AP$5:$AP$64,MATCH($F921,사건마스터!$A$5:$A$64,0)),""))</f>
        <v/>
      </c>
      <c r="T921" s="35">
        <f>IF($F921="","",IFERROR(INDEX(사건마스터!$AQ$5:$AQ$64,MATCH($F921,사건마스터!$A$5:$A$64,0)),""))</f>
        <v/>
      </c>
      <c r="U921" s="35">
        <f>IF($F921="","",IFERROR(INDEX(사건마스터!$AR$5:$AR$64,MATCH($F921,사건마스터!$A$5:$A$64,0)),""))</f>
        <v/>
      </c>
      <c r="V921" s="35">
        <f>IF($F921="","",IFERROR(INDEX(사건마스터!$AS$5:$AS$64,MATCH($F921,사건마스터!$A$5:$A$64,0)),""))</f>
        <v/>
      </c>
      <c r="W921" s="35">
        <f>IF($F921="","",IFERROR(INDEX(사건마스터!$AT$5:$AT$64,MATCH($F921,사건마스터!$A$5:$A$64,0)),""))</f>
        <v/>
      </c>
      <c r="X921" s="35">
        <f>IF($F921="","",IFERROR(INDEX(사건마스터!$AU$5:$AU$64,MATCH($F921,사건마스터!$A$5:$A$64,0)),""))</f>
        <v/>
      </c>
      <c r="Y921" s="35">
        <f>IF($F921="","",IFERROR(INDEX(사건마스터!$AV$5:$AV$64,MATCH($F921,사건마스터!$A$5:$A$64,0)),""))</f>
        <v/>
      </c>
      <c r="Z921" s="30">
        <f>IF(COUNTBLANK($J921:$Y921)=16,"",16-COUNTBLANK($J921:$Y921))</f>
        <v/>
      </c>
      <c r="AA921" s="33">
        <f>IF($J921="",MID($AX921,3,255),$J921&amp;$AX921)</f>
        <v/>
      </c>
      <c r="AB921" s="34">
        <f>IF($J921="","",IFERROR(INDEX(코드설정!$D$5:$D$24,MATCH($J921,코드설정!$C$5:$C$24,0)),""))</f>
        <v/>
      </c>
      <c r="AC921" s="36" t="n"/>
      <c r="AD921" s="37" t="n"/>
      <c r="AE921" s="38" t="n"/>
      <c r="AF921" s="30">
        <f>IF(OR($B921="",$C921=""),"",$C921-$B921+1)</f>
        <v/>
      </c>
      <c r="AG921" s="32" t="n"/>
      <c r="AH921" s="36" t="n"/>
      <c r="AJ921">
        <f>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  <c r="AX921">
        <f>AW921&amp;IF($Y921="","",", "&amp;$Y921)</f>
        <v/>
      </c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0">
        <f>IF($F922="","",COUNTIF($F$5:$F922,$F922))</f>
        <v/>
      </c>
      <c r="H922" s="33">
        <f>IF($F922="","",IFERROR(INDEX(사건마스터!$B$5:$B$64,MATCH($F922,사건마스터!$A$5:$A$64,0)),""))</f>
        <v/>
      </c>
      <c r="I922" s="34">
        <f>IF($F922="","",IFERROR(INDEX(사건마스터!$C$5:$C$64,MATCH($F922,사건마스터!$A$5:$A$64,0)),""))</f>
        <v/>
      </c>
      <c r="J922" s="35">
        <f>IF($F922="","",IFERROR(INDEX(사건마스터!$H$5:$H$64,MATCH($F922,사건마스터!$A$5:$A$64,0)),""))</f>
        <v/>
      </c>
      <c r="K922" s="35">
        <f>IF($F922="","",IFERROR(INDEX(사건마스터!$AH$5:$AH$64,MATCH($F922,사건마스터!$A$5:$A$64,0)),""))</f>
        <v/>
      </c>
      <c r="L922" s="35">
        <f>IF($F922="","",IFERROR(INDEX(사건마스터!$AI$5:$AI$64,MATCH($F922,사건마스터!$A$5:$A$64,0)),""))</f>
        <v/>
      </c>
      <c r="M922" s="35">
        <f>IF($F922="","",IFERROR(INDEX(사건마스터!$AJ$5:$AJ$64,MATCH($F922,사건마스터!$A$5:$A$64,0)),""))</f>
        <v/>
      </c>
      <c r="N922" s="35">
        <f>IF($F922="","",IFERROR(INDEX(사건마스터!$AK$5:$AK$64,MATCH($F922,사건마스터!$A$5:$A$64,0)),""))</f>
        <v/>
      </c>
      <c r="O922" s="35">
        <f>IF($F922="","",IFERROR(INDEX(사건마스터!$AL$5:$AL$64,MATCH($F922,사건마스터!$A$5:$A$64,0)),""))</f>
        <v/>
      </c>
      <c r="P922" s="35">
        <f>IF($F922="","",IFERROR(INDEX(사건마스터!$AM$5:$AM$64,MATCH($F922,사건마스터!$A$5:$A$64,0)),""))</f>
        <v/>
      </c>
      <c r="Q922" s="35">
        <f>IF($F922="","",IFERROR(INDEX(사건마스터!$AN$5:$AN$64,MATCH($F922,사건마스터!$A$5:$A$64,0)),""))</f>
        <v/>
      </c>
      <c r="R922" s="35">
        <f>IF($F922="","",IFERROR(INDEX(사건마스터!$AO$5:$AO$64,MATCH($F922,사건마스터!$A$5:$A$64,0)),""))</f>
        <v/>
      </c>
      <c r="S922" s="35">
        <f>IF($F922="","",IFERROR(INDEX(사건마스터!$AP$5:$AP$64,MATCH($F922,사건마스터!$A$5:$A$64,0)),""))</f>
        <v/>
      </c>
      <c r="T922" s="35">
        <f>IF($F922="","",IFERROR(INDEX(사건마스터!$AQ$5:$AQ$64,MATCH($F922,사건마스터!$A$5:$A$64,0)),""))</f>
        <v/>
      </c>
      <c r="U922" s="35">
        <f>IF($F922="","",IFERROR(INDEX(사건마스터!$AR$5:$AR$64,MATCH($F922,사건마스터!$A$5:$A$64,0)),""))</f>
        <v/>
      </c>
      <c r="V922" s="35">
        <f>IF($F922="","",IFERROR(INDEX(사건마스터!$AS$5:$AS$64,MATCH($F922,사건마스터!$A$5:$A$64,0)),""))</f>
        <v/>
      </c>
      <c r="W922" s="35">
        <f>IF($F922="","",IFERROR(INDEX(사건마스터!$AT$5:$AT$64,MATCH($F922,사건마스터!$A$5:$A$64,0)),""))</f>
        <v/>
      </c>
      <c r="X922" s="35">
        <f>IF($F922="","",IFERROR(INDEX(사건마스터!$AU$5:$AU$64,MATCH($F922,사건마스터!$A$5:$A$64,0)),""))</f>
        <v/>
      </c>
      <c r="Y922" s="35">
        <f>IF($F922="","",IFERROR(INDEX(사건마스터!$AV$5:$AV$64,MATCH($F922,사건마스터!$A$5:$A$64,0)),""))</f>
        <v/>
      </c>
      <c r="Z922" s="30">
        <f>IF(COUNTBLANK($J922:$Y922)=16,"",16-COUNTBLANK($J922:$Y922))</f>
        <v/>
      </c>
      <c r="AA922" s="33">
        <f>IF($J922="",MID($AX922,3,255),$J922&amp;$AX922)</f>
        <v/>
      </c>
      <c r="AB922" s="34">
        <f>IF($J922="","",IFERROR(INDEX(코드설정!$D$5:$D$24,MATCH($J922,코드설정!$C$5:$C$24,0)),""))</f>
        <v/>
      </c>
      <c r="AC922" s="36" t="n"/>
      <c r="AD922" s="37" t="n"/>
      <c r="AE922" s="38" t="n"/>
      <c r="AF922" s="30">
        <f>IF(OR($B922="",$C922=""),"",$C922-$B922+1)</f>
        <v/>
      </c>
      <c r="AG922" s="32" t="n"/>
      <c r="AH922" s="36" t="n"/>
      <c r="AJ922">
        <f>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  <c r="AX922">
        <f>AW922&amp;IF($Y922="","",", "&amp;$Y922)</f>
        <v/>
      </c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0">
        <f>IF($F923="","",COUNTIF($F$5:$F923,$F923))</f>
        <v/>
      </c>
      <c r="H923" s="33">
        <f>IF($F923="","",IFERROR(INDEX(사건마스터!$B$5:$B$64,MATCH($F923,사건마스터!$A$5:$A$64,0)),""))</f>
        <v/>
      </c>
      <c r="I923" s="34">
        <f>IF($F923="","",IFERROR(INDEX(사건마스터!$C$5:$C$64,MATCH($F923,사건마스터!$A$5:$A$64,0)),""))</f>
        <v/>
      </c>
      <c r="J923" s="35">
        <f>IF($F923="","",IFERROR(INDEX(사건마스터!$H$5:$H$64,MATCH($F923,사건마스터!$A$5:$A$64,0)),""))</f>
        <v/>
      </c>
      <c r="K923" s="35">
        <f>IF($F923="","",IFERROR(INDEX(사건마스터!$AH$5:$AH$64,MATCH($F923,사건마스터!$A$5:$A$64,0)),""))</f>
        <v/>
      </c>
      <c r="L923" s="35">
        <f>IF($F923="","",IFERROR(INDEX(사건마스터!$AI$5:$AI$64,MATCH($F923,사건마스터!$A$5:$A$64,0)),""))</f>
        <v/>
      </c>
      <c r="M923" s="35">
        <f>IF($F923="","",IFERROR(INDEX(사건마스터!$AJ$5:$AJ$64,MATCH($F923,사건마스터!$A$5:$A$64,0)),""))</f>
        <v/>
      </c>
      <c r="N923" s="35">
        <f>IF($F923="","",IFERROR(INDEX(사건마스터!$AK$5:$AK$64,MATCH($F923,사건마스터!$A$5:$A$64,0)),""))</f>
        <v/>
      </c>
      <c r="O923" s="35">
        <f>IF($F923="","",IFERROR(INDEX(사건마스터!$AL$5:$AL$64,MATCH($F923,사건마스터!$A$5:$A$64,0)),""))</f>
        <v/>
      </c>
      <c r="P923" s="35">
        <f>IF($F923="","",IFERROR(INDEX(사건마스터!$AM$5:$AM$64,MATCH($F923,사건마스터!$A$5:$A$64,0)),""))</f>
        <v/>
      </c>
      <c r="Q923" s="35">
        <f>IF($F923="","",IFERROR(INDEX(사건마스터!$AN$5:$AN$64,MATCH($F923,사건마스터!$A$5:$A$64,0)),""))</f>
        <v/>
      </c>
      <c r="R923" s="35">
        <f>IF($F923="","",IFERROR(INDEX(사건마스터!$AO$5:$AO$64,MATCH($F923,사건마스터!$A$5:$A$64,0)),""))</f>
        <v/>
      </c>
      <c r="S923" s="35">
        <f>IF($F923="","",IFERROR(INDEX(사건마스터!$AP$5:$AP$64,MATCH($F923,사건마스터!$A$5:$A$64,0)),""))</f>
        <v/>
      </c>
      <c r="T923" s="35">
        <f>IF($F923="","",IFERROR(INDEX(사건마스터!$AQ$5:$AQ$64,MATCH($F923,사건마스터!$A$5:$A$64,0)),""))</f>
        <v/>
      </c>
      <c r="U923" s="35">
        <f>IF($F923="","",IFERROR(INDEX(사건마스터!$AR$5:$AR$64,MATCH($F923,사건마스터!$A$5:$A$64,0)),""))</f>
        <v/>
      </c>
      <c r="V923" s="35">
        <f>IF($F923="","",IFERROR(INDEX(사건마스터!$AS$5:$AS$64,MATCH($F923,사건마스터!$A$5:$A$64,0)),""))</f>
        <v/>
      </c>
      <c r="W923" s="35">
        <f>IF($F923="","",IFERROR(INDEX(사건마스터!$AT$5:$AT$64,MATCH($F923,사건마스터!$A$5:$A$64,0)),""))</f>
        <v/>
      </c>
      <c r="X923" s="35">
        <f>IF($F923="","",IFERROR(INDEX(사건마스터!$AU$5:$AU$64,MATCH($F923,사건마스터!$A$5:$A$64,0)),""))</f>
        <v/>
      </c>
      <c r="Y923" s="35">
        <f>IF($F923="","",IFERROR(INDEX(사건마스터!$AV$5:$AV$64,MATCH($F923,사건마스터!$A$5:$A$64,0)),""))</f>
        <v/>
      </c>
      <c r="Z923" s="30">
        <f>IF(COUNTBLANK($J923:$Y923)=16,"",16-COUNTBLANK($J923:$Y923))</f>
        <v/>
      </c>
      <c r="AA923" s="33">
        <f>IF($J923="",MID($AX923,3,255),$J923&amp;$AX923)</f>
        <v/>
      </c>
      <c r="AB923" s="34">
        <f>IF($J923="","",IFERROR(INDEX(코드설정!$D$5:$D$24,MATCH($J923,코드설정!$C$5:$C$24,0)),""))</f>
        <v/>
      </c>
      <c r="AC923" s="36" t="n"/>
      <c r="AD923" s="37" t="n"/>
      <c r="AE923" s="38" t="n"/>
      <c r="AF923" s="30">
        <f>IF(OR($B923="",$C923=""),"",$C923-$B923+1)</f>
        <v/>
      </c>
      <c r="AG923" s="32" t="n"/>
      <c r="AH923" s="36" t="n"/>
      <c r="AJ923">
        <f>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  <c r="AX923">
        <f>AW923&amp;IF($Y923="","",", "&amp;$Y923)</f>
        <v/>
      </c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0">
        <f>IF($F924="","",COUNTIF($F$5:$F924,$F924))</f>
        <v/>
      </c>
      <c r="H924" s="33">
        <f>IF($F924="","",IFERROR(INDEX(사건마스터!$B$5:$B$64,MATCH($F924,사건마스터!$A$5:$A$64,0)),""))</f>
        <v/>
      </c>
      <c r="I924" s="34">
        <f>IF($F924="","",IFERROR(INDEX(사건마스터!$C$5:$C$64,MATCH($F924,사건마스터!$A$5:$A$64,0)),""))</f>
        <v/>
      </c>
      <c r="J924" s="35">
        <f>IF($F924="","",IFERROR(INDEX(사건마스터!$H$5:$H$64,MATCH($F924,사건마스터!$A$5:$A$64,0)),""))</f>
        <v/>
      </c>
      <c r="K924" s="35">
        <f>IF($F924="","",IFERROR(INDEX(사건마스터!$AH$5:$AH$64,MATCH($F924,사건마스터!$A$5:$A$64,0)),""))</f>
        <v/>
      </c>
      <c r="L924" s="35">
        <f>IF($F924="","",IFERROR(INDEX(사건마스터!$AI$5:$AI$64,MATCH($F924,사건마스터!$A$5:$A$64,0)),""))</f>
        <v/>
      </c>
      <c r="M924" s="35">
        <f>IF($F924="","",IFERROR(INDEX(사건마스터!$AJ$5:$AJ$64,MATCH($F924,사건마스터!$A$5:$A$64,0)),""))</f>
        <v/>
      </c>
      <c r="N924" s="35">
        <f>IF($F924="","",IFERROR(INDEX(사건마스터!$AK$5:$AK$64,MATCH($F924,사건마스터!$A$5:$A$64,0)),""))</f>
        <v/>
      </c>
      <c r="O924" s="35">
        <f>IF($F924="","",IFERROR(INDEX(사건마스터!$AL$5:$AL$64,MATCH($F924,사건마스터!$A$5:$A$64,0)),""))</f>
        <v/>
      </c>
      <c r="P924" s="35">
        <f>IF($F924="","",IFERROR(INDEX(사건마스터!$AM$5:$AM$64,MATCH($F924,사건마스터!$A$5:$A$64,0)),""))</f>
        <v/>
      </c>
      <c r="Q924" s="35">
        <f>IF($F924="","",IFERROR(INDEX(사건마스터!$AN$5:$AN$64,MATCH($F924,사건마스터!$A$5:$A$64,0)),""))</f>
        <v/>
      </c>
      <c r="R924" s="35">
        <f>IF($F924="","",IFERROR(INDEX(사건마스터!$AO$5:$AO$64,MATCH($F924,사건마스터!$A$5:$A$64,0)),""))</f>
        <v/>
      </c>
      <c r="S924" s="35">
        <f>IF($F924="","",IFERROR(INDEX(사건마스터!$AP$5:$AP$64,MATCH($F924,사건마스터!$A$5:$A$64,0)),""))</f>
        <v/>
      </c>
      <c r="T924" s="35">
        <f>IF($F924="","",IFERROR(INDEX(사건마스터!$AQ$5:$AQ$64,MATCH($F924,사건마스터!$A$5:$A$64,0)),""))</f>
        <v/>
      </c>
      <c r="U924" s="35">
        <f>IF($F924="","",IFERROR(INDEX(사건마스터!$AR$5:$AR$64,MATCH($F924,사건마스터!$A$5:$A$64,0)),""))</f>
        <v/>
      </c>
      <c r="V924" s="35">
        <f>IF($F924="","",IFERROR(INDEX(사건마스터!$AS$5:$AS$64,MATCH($F924,사건마스터!$A$5:$A$64,0)),""))</f>
        <v/>
      </c>
      <c r="W924" s="35">
        <f>IF($F924="","",IFERROR(INDEX(사건마스터!$AT$5:$AT$64,MATCH($F924,사건마스터!$A$5:$A$64,0)),""))</f>
        <v/>
      </c>
      <c r="X924" s="35">
        <f>IF($F924="","",IFERROR(INDEX(사건마스터!$AU$5:$AU$64,MATCH($F924,사건마스터!$A$5:$A$64,0)),""))</f>
        <v/>
      </c>
      <c r="Y924" s="35">
        <f>IF($F924="","",IFERROR(INDEX(사건마스터!$AV$5:$AV$64,MATCH($F924,사건마스터!$A$5:$A$64,0)),""))</f>
        <v/>
      </c>
      <c r="Z924" s="30">
        <f>IF(COUNTBLANK($J924:$Y924)=16,"",16-COUNTBLANK($J924:$Y924))</f>
        <v/>
      </c>
      <c r="AA924" s="33">
        <f>IF($J924="",MID($AX924,3,255),$J924&amp;$AX924)</f>
        <v/>
      </c>
      <c r="AB924" s="34">
        <f>IF($J924="","",IFERROR(INDEX(코드설정!$D$5:$D$24,MATCH($J924,코드설정!$C$5:$C$24,0)),""))</f>
        <v/>
      </c>
      <c r="AC924" s="36" t="n"/>
      <c r="AD924" s="37" t="n"/>
      <c r="AE924" s="38" t="n"/>
      <c r="AF924" s="30">
        <f>IF(OR($B924="",$C924=""),"",$C924-$B924+1)</f>
        <v/>
      </c>
      <c r="AG924" s="32" t="n"/>
      <c r="AH924" s="36" t="n"/>
      <c r="AJ924">
        <f>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  <c r="AX924">
        <f>AW924&amp;IF($Y924="","",", "&amp;$Y924)</f>
        <v/>
      </c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0">
        <f>IF($F925="","",COUNTIF($F$5:$F925,$F925))</f>
        <v/>
      </c>
      <c r="H925" s="33">
        <f>IF($F925="","",IFERROR(INDEX(사건마스터!$B$5:$B$64,MATCH($F925,사건마스터!$A$5:$A$64,0)),""))</f>
        <v/>
      </c>
      <c r="I925" s="34">
        <f>IF($F925="","",IFERROR(INDEX(사건마스터!$C$5:$C$64,MATCH($F925,사건마스터!$A$5:$A$64,0)),""))</f>
        <v/>
      </c>
      <c r="J925" s="35">
        <f>IF($F925="","",IFERROR(INDEX(사건마스터!$H$5:$H$64,MATCH($F925,사건마스터!$A$5:$A$64,0)),""))</f>
        <v/>
      </c>
      <c r="K925" s="35">
        <f>IF($F925="","",IFERROR(INDEX(사건마스터!$AH$5:$AH$64,MATCH($F925,사건마스터!$A$5:$A$64,0)),""))</f>
        <v/>
      </c>
      <c r="L925" s="35">
        <f>IF($F925="","",IFERROR(INDEX(사건마스터!$AI$5:$AI$64,MATCH($F925,사건마스터!$A$5:$A$64,0)),""))</f>
        <v/>
      </c>
      <c r="M925" s="35">
        <f>IF($F925="","",IFERROR(INDEX(사건마스터!$AJ$5:$AJ$64,MATCH($F925,사건마스터!$A$5:$A$64,0)),""))</f>
        <v/>
      </c>
      <c r="N925" s="35">
        <f>IF($F925="","",IFERROR(INDEX(사건마스터!$AK$5:$AK$64,MATCH($F925,사건마스터!$A$5:$A$64,0)),""))</f>
        <v/>
      </c>
      <c r="O925" s="35">
        <f>IF($F925="","",IFERROR(INDEX(사건마스터!$AL$5:$AL$64,MATCH($F925,사건마스터!$A$5:$A$64,0)),""))</f>
        <v/>
      </c>
      <c r="P925" s="35">
        <f>IF($F925="","",IFERROR(INDEX(사건마스터!$AM$5:$AM$64,MATCH($F925,사건마스터!$A$5:$A$64,0)),""))</f>
        <v/>
      </c>
      <c r="Q925" s="35">
        <f>IF($F925="","",IFERROR(INDEX(사건마스터!$AN$5:$AN$64,MATCH($F925,사건마스터!$A$5:$A$64,0)),""))</f>
        <v/>
      </c>
      <c r="R925" s="35">
        <f>IF($F925="","",IFERROR(INDEX(사건마스터!$AO$5:$AO$64,MATCH($F925,사건마스터!$A$5:$A$64,0)),""))</f>
        <v/>
      </c>
      <c r="S925" s="35">
        <f>IF($F925="","",IFERROR(INDEX(사건마스터!$AP$5:$AP$64,MATCH($F925,사건마스터!$A$5:$A$64,0)),""))</f>
        <v/>
      </c>
      <c r="T925" s="35">
        <f>IF($F925="","",IFERROR(INDEX(사건마스터!$AQ$5:$AQ$64,MATCH($F925,사건마스터!$A$5:$A$64,0)),""))</f>
        <v/>
      </c>
      <c r="U925" s="35">
        <f>IF($F925="","",IFERROR(INDEX(사건마스터!$AR$5:$AR$64,MATCH($F925,사건마스터!$A$5:$A$64,0)),""))</f>
        <v/>
      </c>
      <c r="V925" s="35">
        <f>IF($F925="","",IFERROR(INDEX(사건마스터!$AS$5:$AS$64,MATCH($F925,사건마스터!$A$5:$A$64,0)),""))</f>
        <v/>
      </c>
      <c r="W925" s="35">
        <f>IF($F925="","",IFERROR(INDEX(사건마스터!$AT$5:$AT$64,MATCH($F925,사건마스터!$A$5:$A$64,0)),""))</f>
        <v/>
      </c>
      <c r="X925" s="35">
        <f>IF($F925="","",IFERROR(INDEX(사건마스터!$AU$5:$AU$64,MATCH($F925,사건마스터!$A$5:$A$64,0)),""))</f>
        <v/>
      </c>
      <c r="Y925" s="35">
        <f>IF($F925="","",IFERROR(INDEX(사건마스터!$AV$5:$AV$64,MATCH($F925,사건마스터!$A$5:$A$64,0)),""))</f>
        <v/>
      </c>
      <c r="Z925" s="30">
        <f>IF(COUNTBLANK($J925:$Y925)=16,"",16-COUNTBLANK($J925:$Y925))</f>
        <v/>
      </c>
      <c r="AA925" s="33">
        <f>IF($J925="",MID($AX925,3,255),$J925&amp;$AX925)</f>
        <v/>
      </c>
      <c r="AB925" s="34">
        <f>IF($J925="","",IFERROR(INDEX(코드설정!$D$5:$D$24,MATCH($J925,코드설정!$C$5:$C$24,0)),""))</f>
        <v/>
      </c>
      <c r="AC925" s="36" t="n"/>
      <c r="AD925" s="37" t="n"/>
      <c r="AE925" s="38" t="n"/>
      <c r="AF925" s="30">
        <f>IF(OR($B925="",$C925=""),"",$C925-$B925+1)</f>
        <v/>
      </c>
      <c r="AG925" s="32" t="n"/>
      <c r="AH925" s="36" t="n"/>
      <c r="AJ925">
        <f>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  <c r="AX925">
        <f>AW925&amp;IF($Y925="","",", "&amp;$Y925)</f>
        <v/>
      </c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0">
        <f>IF($F926="","",COUNTIF($F$5:$F926,$F926))</f>
        <v/>
      </c>
      <c r="H926" s="33">
        <f>IF($F926="","",IFERROR(INDEX(사건마스터!$B$5:$B$64,MATCH($F926,사건마스터!$A$5:$A$64,0)),""))</f>
        <v/>
      </c>
      <c r="I926" s="34">
        <f>IF($F926="","",IFERROR(INDEX(사건마스터!$C$5:$C$64,MATCH($F926,사건마스터!$A$5:$A$64,0)),""))</f>
        <v/>
      </c>
      <c r="J926" s="35">
        <f>IF($F926="","",IFERROR(INDEX(사건마스터!$H$5:$H$64,MATCH($F926,사건마스터!$A$5:$A$64,0)),""))</f>
        <v/>
      </c>
      <c r="K926" s="35">
        <f>IF($F926="","",IFERROR(INDEX(사건마스터!$AH$5:$AH$64,MATCH($F926,사건마스터!$A$5:$A$64,0)),""))</f>
        <v/>
      </c>
      <c r="L926" s="35">
        <f>IF($F926="","",IFERROR(INDEX(사건마스터!$AI$5:$AI$64,MATCH($F926,사건마스터!$A$5:$A$64,0)),""))</f>
        <v/>
      </c>
      <c r="M926" s="35">
        <f>IF($F926="","",IFERROR(INDEX(사건마스터!$AJ$5:$AJ$64,MATCH($F926,사건마스터!$A$5:$A$64,0)),""))</f>
        <v/>
      </c>
      <c r="N926" s="35">
        <f>IF($F926="","",IFERROR(INDEX(사건마스터!$AK$5:$AK$64,MATCH($F926,사건마스터!$A$5:$A$64,0)),""))</f>
        <v/>
      </c>
      <c r="O926" s="35">
        <f>IF($F926="","",IFERROR(INDEX(사건마스터!$AL$5:$AL$64,MATCH($F926,사건마스터!$A$5:$A$64,0)),""))</f>
        <v/>
      </c>
      <c r="P926" s="35">
        <f>IF($F926="","",IFERROR(INDEX(사건마스터!$AM$5:$AM$64,MATCH($F926,사건마스터!$A$5:$A$64,0)),""))</f>
        <v/>
      </c>
      <c r="Q926" s="35">
        <f>IF($F926="","",IFERROR(INDEX(사건마스터!$AN$5:$AN$64,MATCH($F926,사건마스터!$A$5:$A$64,0)),""))</f>
        <v/>
      </c>
      <c r="R926" s="35">
        <f>IF($F926="","",IFERROR(INDEX(사건마스터!$AO$5:$AO$64,MATCH($F926,사건마스터!$A$5:$A$64,0)),""))</f>
        <v/>
      </c>
      <c r="S926" s="35">
        <f>IF($F926="","",IFERROR(INDEX(사건마스터!$AP$5:$AP$64,MATCH($F926,사건마스터!$A$5:$A$64,0)),""))</f>
        <v/>
      </c>
      <c r="T926" s="35">
        <f>IF($F926="","",IFERROR(INDEX(사건마스터!$AQ$5:$AQ$64,MATCH($F926,사건마스터!$A$5:$A$64,0)),""))</f>
        <v/>
      </c>
      <c r="U926" s="35">
        <f>IF($F926="","",IFERROR(INDEX(사건마스터!$AR$5:$AR$64,MATCH($F926,사건마스터!$A$5:$A$64,0)),""))</f>
        <v/>
      </c>
      <c r="V926" s="35">
        <f>IF($F926="","",IFERROR(INDEX(사건마스터!$AS$5:$AS$64,MATCH($F926,사건마스터!$A$5:$A$64,0)),""))</f>
        <v/>
      </c>
      <c r="W926" s="35">
        <f>IF($F926="","",IFERROR(INDEX(사건마스터!$AT$5:$AT$64,MATCH($F926,사건마스터!$A$5:$A$64,0)),""))</f>
        <v/>
      </c>
      <c r="X926" s="35">
        <f>IF($F926="","",IFERROR(INDEX(사건마스터!$AU$5:$AU$64,MATCH($F926,사건마스터!$A$5:$A$64,0)),""))</f>
        <v/>
      </c>
      <c r="Y926" s="35">
        <f>IF($F926="","",IFERROR(INDEX(사건마스터!$AV$5:$AV$64,MATCH($F926,사건마스터!$A$5:$A$64,0)),""))</f>
        <v/>
      </c>
      <c r="Z926" s="30">
        <f>IF(COUNTBLANK($J926:$Y926)=16,"",16-COUNTBLANK($J926:$Y926))</f>
        <v/>
      </c>
      <c r="AA926" s="33">
        <f>IF($J926="",MID($AX926,3,255),$J926&amp;$AX926)</f>
        <v/>
      </c>
      <c r="AB926" s="34">
        <f>IF($J926="","",IFERROR(INDEX(코드설정!$D$5:$D$24,MATCH($J926,코드설정!$C$5:$C$24,0)),""))</f>
        <v/>
      </c>
      <c r="AC926" s="36" t="n"/>
      <c r="AD926" s="37" t="n"/>
      <c r="AE926" s="38" t="n"/>
      <c r="AF926" s="30">
        <f>IF(OR($B926="",$C926=""),"",$C926-$B926+1)</f>
        <v/>
      </c>
      <c r="AG926" s="32" t="n"/>
      <c r="AH926" s="36" t="n"/>
      <c r="AJ926">
        <f>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  <c r="AX926">
        <f>AW926&amp;IF($Y926="","",", "&amp;$Y926)</f>
        <v/>
      </c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0">
        <f>IF($F927="","",COUNTIF($F$5:$F927,$F927))</f>
        <v/>
      </c>
      <c r="H927" s="33">
        <f>IF($F927="","",IFERROR(INDEX(사건마스터!$B$5:$B$64,MATCH($F927,사건마스터!$A$5:$A$64,0)),""))</f>
        <v/>
      </c>
      <c r="I927" s="34">
        <f>IF($F927="","",IFERROR(INDEX(사건마스터!$C$5:$C$64,MATCH($F927,사건마스터!$A$5:$A$64,0)),""))</f>
        <v/>
      </c>
      <c r="J927" s="35">
        <f>IF($F927="","",IFERROR(INDEX(사건마스터!$H$5:$H$64,MATCH($F927,사건마스터!$A$5:$A$64,0)),""))</f>
        <v/>
      </c>
      <c r="K927" s="35">
        <f>IF($F927="","",IFERROR(INDEX(사건마스터!$AH$5:$AH$64,MATCH($F927,사건마스터!$A$5:$A$64,0)),""))</f>
        <v/>
      </c>
      <c r="L927" s="35">
        <f>IF($F927="","",IFERROR(INDEX(사건마스터!$AI$5:$AI$64,MATCH($F927,사건마스터!$A$5:$A$64,0)),""))</f>
        <v/>
      </c>
      <c r="M927" s="35">
        <f>IF($F927="","",IFERROR(INDEX(사건마스터!$AJ$5:$AJ$64,MATCH($F927,사건마스터!$A$5:$A$64,0)),""))</f>
        <v/>
      </c>
      <c r="N927" s="35">
        <f>IF($F927="","",IFERROR(INDEX(사건마스터!$AK$5:$AK$64,MATCH($F927,사건마스터!$A$5:$A$64,0)),""))</f>
        <v/>
      </c>
      <c r="O927" s="35">
        <f>IF($F927="","",IFERROR(INDEX(사건마스터!$AL$5:$AL$64,MATCH($F927,사건마스터!$A$5:$A$64,0)),""))</f>
        <v/>
      </c>
      <c r="P927" s="35">
        <f>IF($F927="","",IFERROR(INDEX(사건마스터!$AM$5:$AM$64,MATCH($F927,사건마스터!$A$5:$A$64,0)),""))</f>
        <v/>
      </c>
      <c r="Q927" s="35">
        <f>IF($F927="","",IFERROR(INDEX(사건마스터!$AN$5:$AN$64,MATCH($F927,사건마스터!$A$5:$A$64,0)),""))</f>
        <v/>
      </c>
      <c r="R927" s="35">
        <f>IF($F927="","",IFERROR(INDEX(사건마스터!$AO$5:$AO$64,MATCH($F927,사건마스터!$A$5:$A$64,0)),""))</f>
        <v/>
      </c>
      <c r="S927" s="35">
        <f>IF($F927="","",IFERROR(INDEX(사건마스터!$AP$5:$AP$64,MATCH($F927,사건마스터!$A$5:$A$64,0)),""))</f>
        <v/>
      </c>
      <c r="T927" s="35">
        <f>IF($F927="","",IFERROR(INDEX(사건마스터!$AQ$5:$AQ$64,MATCH($F927,사건마스터!$A$5:$A$64,0)),""))</f>
        <v/>
      </c>
      <c r="U927" s="35">
        <f>IF($F927="","",IFERROR(INDEX(사건마스터!$AR$5:$AR$64,MATCH($F927,사건마스터!$A$5:$A$64,0)),""))</f>
        <v/>
      </c>
      <c r="V927" s="35">
        <f>IF($F927="","",IFERROR(INDEX(사건마스터!$AS$5:$AS$64,MATCH($F927,사건마스터!$A$5:$A$64,0)),""))</f>
        <v/>
      </c>
      <c r="W927" s="35">
        <f>IF($F927="","",IFERROR(INDEX(사건마스터!$AT$5:$AT$64,MATCH($F927,사건마스터!$A$5:$A$64,0)),""))</f>
        <v/>
      </c>
      <c r="X927" s="35">
        <f>IF($F927="","",IFERROR(INDEX(사건마스터!$AU$5:$AU$64,MATCH($F927,사건마스터!$A$5:$A$64,0)),""))</f>
        <v/>
      </c>
      <c r="Y927" s="35">
        <f>IF($F927="","",IFERROR(INDEX(사건마스터!$AV$5:$AV$64,MATCH($F927,사건마스터!$A$5:$A$64,0)),""))</f>
        <v/>
      </c>
      <c r="Z927" s="30">
        <f>IF(COUNTBLANK($J927:$Y927)=16,"",16-COUNTBLANK($J927:$Y927))</f>
        <v/>
      </c>
      <c r="AA927" s="33">
        <f>IF($J927="",MID($AX927,3,255),$J927&amp;$AX927)</f>
        <v/>
      </c>
      <c r="AB927" s="34">
        <f>IF($J927="","",IFERROR(INDEX(코드설정!$D$5:$D$24,MATCH($J927,코드설정!$C$5:$C$24,0)),""))</f>
        <v/>
      </c>
      <c r="AC927" s="36" t="n"/>
      <c r="AD927" s="37" t="n"/>
      <c r="AE927" s="38" t="n"/>
      <c r="AF927" s="30">
        <f>IF(OR($B927="",$C927=""),"",$C927-$B927+1)</f>
        <v/>
      </c>
      <c r="AG927" s="32" t="n"/>
      <c r="AH927" s="36" t="n"/>
      <c r="AJ927">
        <f>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  <c r="AX927">
        <f>AW927&amp;IF($Y927="","",", "&amp;$Y927)</f>
        <v/>
      </c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0">
        <f>IF($F928="","",COUNTIF($F$5:$F928,$F928))</f>
        <v/>
      </c>
      <c r="H928" s="33">
        <f>IF($F928="","",IFERROR(INDEX(사건마스터!$B$5:$B$64,MATCH($F928,사건마스터!$A$5:$A$64,0)),""))</f>
        <v/>
      </c>
      <c r="I928" s="34">
        <f>IF($F928="","",IFERROR(INDEX(사건마스터!$C$5:$C$64,MATCH($F928,사건마스터!$A$5:$A$64,0)),""))</f>
        <v/>
      </c>
      <c r="J928" s="35">
        <f>IF($F928="","",IFERROR(INDEX(사건마스터!$H$5:$H$64,MATCH($F928,사건마스터!$A$5:$A$64,0)),""))</f>
        <v/>
      </c>
      <c r="K928" s="35">
        <f>IF($F928="","",IFERROR(INDEX(사건마스터!$AH$5:$AH$64,MATCH($F928,사건마스터!$A$5:$A$64,0)),""))</f>
        <v/>
      </c>
      <c r="L928" s="35">
        <f>IF($F928="","",IFERROR(INDEX(사건마스터!$AI$5:$AI$64,MATCH($F928,사건마스터!$A$5:$A$64,0)),""))</f>
        <v/>
      </c>
      <c r="M928" s="35">
        <f>IF($F928="","",IFERROR(INDEX(사건마스터!$AJ$5:$AJ$64,MATCH($F928,사건마스터!$A$5:$A$64,0)),""))</f>
        <v/>
      </c>
      <c r="N928" s="35">
        <f>IF($F928="","",IFERROR(INDEX(사건마스터!$AK$5:$AK$64,MATCH($F928,사건마스터!$A$5:$A$64,0)),""))</f>
        <v/>
      </c>
      <c r="O928" s="35">
        <f>IF($F928="","",IFERROR(INDEX(사건마스터!$AL$5:$AL$64,MATCH($F928,사건마스터!$A$5:$A$64,0)),""))</f>
        <v/>
      </c>
      <c r="P928" s="35">
        <f>IF($F928="","",IFERROR(INDEX(사건마스터!$AM$5:$AM$64,MATCH($F928,사건마스터!$A$5:$A$64,0)),""))</f>
        <v/>
      </c>
      <c r="Q928" s="35">
        <f>IF($F928="","",IFERROR(INDEX(사건마스터!$AN$5:$AN$64,MATCH($F928,사건마스터!$A$5:$A$64,0)),""))</f>
        <v/>
      </c>
      <c r="R928" s="35">
        <f>IF($F928="","",IFERROR(INDEX(사건마스터!$AO$5:$AO$64,MATCH($F928,사건마스터!$A$5:$A$64,0)),""))</f>
        <v/>
      </c>
      <c r="S928" s="35">
        <f>IF($F928="","",IFERROR(INDEX(사건마스터!$AP$5:$AP$64,MATCH($F928,사건마스터!$A$5:$A$64,0)),""))</f>
        <v/>
      </c>
      <c r="T928" s="35">
        <f>IF($F928="","",IFERROR(INDEX(사건마스터!$AQ$5:$AQ$64,MATCH($F928,사건마스터!$A$5:$A$64,0)),""))</f>
        <v/>
      </c>
      <c r="U928" s="35">
        <f>IF($F928="","",IFERROR(INDEX(사건마스터!$AR$5:$AR$64,MATCH($F928,사건마스터!$A$5:$A$64,0)),""))</f>
        <v/>
      </c>
      <c r="V928" s="35">
        <f>IF($F928="","",IFERROR(INDEX(사건마스터!$AS$5:$AS$64,MATCH($F928,사건마스터!$A$5:$A$64,0)),""))</f>
        <v/>
      </c>
      <c r="W928" s="35">
        <f>IF($F928="","",IFERROR(INDEX(사건마스터!$AT$5:$AT$64,MATCH($F928,사건마스터!$A$5:$A$64,0)),""))</f>
        <v/>
      </c>
      <c r="X928" s="35">
        <f>IF($F928="","",IFERROR(INDEX(사건마스터!$AU$5:$AU$64,MATCH($F928,사건마스터!$A$5:$A$64,0)),""))</f>
        <v/>
      </c>
      <c r="Y928" s="35">
        <f>IF($F928="","",IFERROR(INDEX(사건마스터!$AV$5:$AV$64,MATCH($F928,사건마스터!$A$5:$A$64,0)),""))</f>
        <v/>
      </c>
      <c r="Z928" s="30">
        <f>IF(COUNTBLANK($J928:$Y928)=16,"",16-COUNTBLANK($J928:$Y928))</f>
        <v/>
      </c>
      <c r="AA928" s="33">
        <f>IF($J928="",MID($AX928,3,255),$J928&amp;$AX928)</f>
        <v/>
      </c>
      <c r="AB928" s="34">
        <f>IF($J928="","",IFERROR(INDEX(코드설정!$D$5:$D$24,MATCH($J928,코드설정!$C$5:$C$24,0)),""))</f>
        <v/>
      </c>
      <c r="AC928" s="36" t="n"/>
      <c r="AD928" s="37" t="n"/>
      <c r="AE928" s="38" t="n"/>
      <c r="AF928" s="30">
        <f>IF(OR($B928="",$C928=""),"",$C928-$B928+1)</f>
        <v/>
      </c>
      <c r="AG928" s="32" t="n"/>
      <c r="AH928" s="36" t="n"/>
      <c r="AJ928">
        <f>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  <c r="AX928">
        <f>AW928&amp;IF($Y928="","",", "&amp;$Y928)</f>
        <v/>
      </c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0">
        <f>IF($F929="","",COUNTIF($F$5:$F929,$F929))</f>
        <v/>
      </c>
      <c r="H929" s="33">
        <f>IF($F929="","",IFERROR(INDEX(사건마스터!$B$5:$B$64,MATCH($F929,사건마스터!$A$5:$A$64,0)),""))</f>
        <v/>
      </c>
      <c r="I929" s="34">
        <f>IF($F929="","",IFERROR(INDEX(사건마스터!$C$5:$C$64,MATCH($F929,사건마스터!$A$5:$A$64,0)),""))</f>
        <v/>
      </c>
      <c r="J929" s="35">
        <f>IF($F929="","",IFERROR(INDEX(사건마스터!$H$5:$H$64,MATCH($F929,사건마스터!$A$5:$A$64,0)),""))</f>
        <v/>
      </c>
      <c r="K929" s="35">
        <f>IF($F929="","",IFERROR(INDEX(사건마스터!$AH$5:$AH$64,MATCH($F929,사건마스터!$A$5:$A$64,0)),""))</f>
        <v/>
      </c>
      <c r="L929" s="35">
        <f>IF($F929="","",IFERROR(INDEX(사건마스터!$AI$5:$AI$64,MATCH($F929,사건마스터!$A$5:$A$64,0)),""))</f>
        <v/>
      </c>
      <c r="M929" s="35">
        <f>IF($F929="","",IFERROR(INDEX(사건마스터!$AJ$5:$AJ$64,MATCH($F929,사건마스터!$A$5:$A$64,0)),""))</f>
        <v/>
      </c>
      <c r="N929" s="35">
        <f>IF($F929="","",IFERROR(INDEX(사건마스터!$AK$5:$AK$64,MATCH($F929,사건마스터!$A$5:$A$64,0)),""))</f>
        <v/>
      </c>
      <c r="O929" s="35">
        <f>IF($F929="","",IFERROR(INDEX(사건마스터!$AL$5:$AL$64,MATCH($F929,사건마스터!$A$5:$A$64,0)),""))</f>
        <v/>
      </c>
      <c r="P929" s="35">
        <f>IF($F929="","",IFERROR(INDEX(사건마스터!$AM$5:$AM$64,MATCH($F929,사건마스터!$A$5:$A$64,0)),""))</f>
        <v/>
      </c>
      <c r="Q929" s="35">
        <f>IF($F929="","",IFERROR(INDEX(사건마스터!$AN$5:$AN$64,MATCH($F929,사건마스터!$A$5:$A$64,0)),""))</f>
        <v/>
      </c>
      <c r="R929" s="35">
        <f>IF($F929="","",IFERROR(INDEX(사건마스터!$AO$5:$AO$64,MATCH($F929,사건마스터!$A$5:$A$64,0)),""))</f>
        <v/>
      </c>
      <c r="S929" s="35">
        <f>IF($F929="","",IFERROR(INDEX(사건마스터!$AP$5:$AP$64,MATCH($F929,사건마스터!$A$5:$A$64,0)),""))</f>
        <v/>
      </c>
      <c r="T929" s="35">
        <f>IF($F929="","",IFERROR(INDEX(사건마스터!$AQ$5:$AQ$64,MATCH($F929,사건마스터!$A$5:$A$64,0)),""))</f>
        <v/>
      </c>
      <c r="U929" s="35">
        <f>IF($F929="","",IFERROR(INDEX(사건마스터!$AR$5:$AR$64,MATCH($F929,사건마스터!$A$5:$A$64,0)),""))</f>
        <v/>
      </c>
      <c r="V929" s="35">
        <f>IF($F929="","",IFERROR(INDEX(사건마스터!$AS$5:$AS$64,MATCH($F929,사건마스터!$A$5:$A$64,0)),""))</f>
        <v/>
      </c>
      <c r="W929" s="35">
        <f>IF($F929="","",IFERROR(INDEX(사건마스터!$AT$5:$AT$64,MATCH($F929,사건마스터!$A$5:$A$64,0)),""))</f>
        <v/>
      </c>
      <c r="X929" s="35">
        <f>IF($F929="","",IFERROR(INDEX(사건마스터!$AU$5:$AU$64,MATCH($F929,사건마스터!$A$5:$A$64,0)),""))</f>
        <v/>
      </c>
      <c r="Y929" s="35">
        <f>IF($F929="","",IFERROR(INDEX(사건마스터!$AV$5:$AV$64,MATCH($F929,사건마스터!$A$5:$A$64,0)),""))</f>
        <v/>
      </c>
      <c r="Z929" s="30">
        <f>IF(COUNTBLANK($J929:$Y929)=16,"",16-COUNTBLANK($J929:$Y929))</f>
        <v/>
      </c>
      <c r="AA929" s="33">
        <f>IF($J929="",MID($AX929,3,255),$J929&amp;$AX929)</f>
        <v/>
      </c>
      <c r="AB929" s="34">
        <f>IF($J929="","",IFERROR(INDEX(코드설정!$D$5:$D$24,MATCH($J929,코드설정!$C$5:$C$24,0)),""))</f>
        <v/>
      </c>
      <c r="AC929" s="36" t="n"/>
      <c r="AD929" s="37" t="n"/>
      <c r="AE929" s="38" t="n"/>
      <c r="AF929" s="30">
        <f>IF(OR($B929="",$C929=""),"",$C929-$B929+1)</f>
        <v/>
      </c>
      <c r="AG929" s="32" t="n"/>
      <c r="AH929" s="36" t="n"/>
      <c r="AJ929">
        <f>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  <c r="AX929">
        <f>AW929&amp;IF($Y929="","",", "&amp;$Y929)</f>
        <v/>
      </c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0">
        <f>IF($F930="","",COUNTIF($F$5:$F930,$F930))</f>
        <v/>
      </c>
      <c r="H930" s="33">
        <f>IF($F930="","",IFERROR(INDEX(사건마스터!$B$5:$B$64,MATCH($F930,사건마스터!$A$5:$A$64,0)),""))</f>
        <v/>
      </c>
      <c r="I930" s="34">
        <f>IF($F930="","",IFERROR(INDEX(사건마스터!$C$5:$C$64,MATCH($F930,사건마스터!$A$5:$A$64,0)),""))</f>
        <v/>
      </c>
      <c r="J930" s="35">
        <f>IF($F930="","",IFERROR(INDEX(사건마스터!$H$5:$H$64,MATCH($F930,사건마스터!$A$5:$A$64,0)),""))</f>
        <v/>
      </c>
      <c r="K930" s="35">
        <f>IF($F930="","",IFERROR(INDEX(사건마스터!$AH$5:$AH$64,MATCH($F930,사건마스터!$A$5:$A$64,0)),""))</f>
        <v/>
      </c>
      <c r="L930" s="35">
        <f>IF($F930="","",IFERROR(INDEX(사건마스터!$AI$5:$AI$64,MATCH($F930,사건마스터!$A$5:$A$64,0)),""))</f>
        <v/>
      </c>
      <c r="M930" s="35">
        <f>IF($F930="","",IFERROR(INDEX(사건마스터!$AJ$5:$AJ$64,MATCH($F930,사건마스터!$A$5:$A$64,0)),""))</f>
        <v/>
      </c>
      <c r="N930" s="35">
        <f>IF($F930="","",IFERROR(INDEX(사건마스터!$AK$5:$AK$64,MATCH($F930,사건마스터!$A$5:$A$64,0)),""))</f>
        <v/>
      </c>
      <c r="O930" s="35">
        <f>IF($F930="","",IFERROR(INDEX(사건마스터!$AL$5:$AL$64,MATCH($F930,사건마스터!$A$5:$A$64,0)),""))</f>
        <v/>
      </c>
      <c r="P930" s="35">
        <f>IF($F930="","",IFERROR(INDEX(사건마스터!$AM$5:$AM$64,MATCH($F930,사건마스터!$A$5:$A$64,0)),""))</f>
        <v/>
      </c>
      <c r="Q930" s="35">
        <f>IF($F930="","",IFERROR(INDEX(사건마스터!$AN$5:$AN$64,MATCH($F930,사건마스터!$A$5:$A$64,0)),""))</f>
        <v/>
      </c>
      <c r="R930" s="35">
        <f>IF($F930="","",IFERROR(INDEX(사건마스터!$AO$5:$AO$64,MATCH($F930,사건마스터!$A$5:$A$64,0)),""))</f>
        <v/>
      </c>
      <c r="S930" s="35">
        <f>IF($F930="","",IFERROR(INDEX(사건마스터!$AP$5:$AP$64,MATCH($F930,사건마스터!$A$5:$A$64,0)),""))</f>
        <v/>
      </c>
      <c r="T930" s="35">
        <f>IF($F930="","",IFERROR(INDEX(사건마스터!$AQ$5:$AQ$64,MATCH($F930,사건마스터!$A$5:$A$64,0)),""))</f>
        <v/>
      </c>
      <c r="U930" s="35">
        <f>IF($F930="","",IFERROR(INDEX(사건마스터!$AR$5:$AR$64,MATCH($F930,사건마스터!$A$5:$A$64,0)),""))</f>
        <v/>
      </c>
      <c r="V930" s="35">
        <f>IF($F930="","",IFERROR(INDEX(사건마스터!$AS$5:$AS$64,MATCH($F930,사건마스터!$A$5:$A$64,0)),""))</f>
        <v/>
      </c>
      <c r="W930" s="35">
        <f>IF($F930="","",IFERROR(INDEX(사건마스터!$AT$5:$AT$64,MATCH($F930,사건마스터!$A$5:$A$64,0)),""))</f>
        <v/>
      </c>
      <c r="X930" s="35">
        <f>IF($F930="","",IFERROR(INDEX(사건마스터!$AU$5:$AU$64,MATCH($F930,사건마스터!$A$5:$A$64,0)),""))</f>
        <v/>
      </c>
      <c r="Y930" s="35">
        <f>IF($F930="","",IFERROR(INDEX(사건마스터!$AV$5:$AV$64,MATCH($F930,사건마스터!$A$5:$A$64,0)),""))</f>
        <v/>
      </c>
      <c r="Z930" s="30">
        <f>IF(COUNTBLANK($J930:$Y930)=16,"",16-COUNTBLANK($J930:$Y930))</f>
        <v/>
      </c>
      <c r="AA930" s="33">
        <f>IF($J930="",MID($AX930,3,255),$J930&amp;$AX930)</f>
        <v/>
      </c>
      <c r="AB930" s="34">
        <f>IF($J930="","",IFERROR(INDEX(코드설정!$D$5:$D$24,MATCH($J930,코드설정!$C$5:$C$24,0)),""))</f>
        <v/>
      </c>
      <c r="AC930" s="36" t="n"/>
      <c r="AD930" s="37" t="n"/>
      <c r="AE930" s="38" t="n"/>
      <c r="AF930" s="30">
        <f>IF(OR($B930="",$C930=""),"",$C930-$B930+1)</f>
        <v/>
      </c>
      <c r="AG930" s="32" t="n"/>
      <c r="AH930" s="36" t="n"/>
      <c r="AJ930">
        <f>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  <c r="AX930">
        <f>AW930&amp;IF($Y930="","",", "&amp;$Y930)</f>
        <v/>
      </c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0">
        <f>IF($F931="","",COUNTIF($F$5:$F931,$F931))</f>
        <v/>
      </c>
      <c r="H931" s="33">
        <f>IF($F931="","",IFERROR(INDEX(사건마스터!$B$5:$B$64,MATCH($F931,사건마스터!$A$5:$A$64,0)),""))</f>
        <v/>
      </c>
      <c r="I931" s="34">
        <f>IF($F931="","",IFERROR(INDEX(사건마스터!$C$5:$C$64,MATCH($F931,사건마스터!$A$5:$A$64,0)),""))</f>
        <v/>
      </c>
      <c r="J931" s="35">
        <f>IF($F931="","",IFERROR(INDEX(사건마스터!$H$5:$H$64,MATCH($F931,사건마스터!$A$5:$A$64,0)),""))</f>
        <v/>
      </c>
      <c r="K931" s="35">
        <f>IF($F931="","",IFERROR(INDEX(사건마스터!$AH$5:$AH$64,MATCH($F931,사건마스터!$A$5:$A$64,0)),""))</f>
        <v/>
      </c>
      <c r="L931" s="35">
        <f>IF($F931="","",IFERROR(INDEX(사건마스터!$AI$5:$AI$64,MATCH($F931,사건마스터!$A$5:$A$64,0)),""))</f>
        <v/>
      </c>
      <c r="M931" s="35">
        <f>IF($F931="","",IFERROR(INDEX(사건마스터!$AJ$5:$AJ$64,MATCH($F931,사건마스터!$A$5:$A$64,0)),""))</f>
        <v/>
      </c>
      <c r="N931" s="35">
        <f>IF($F931="","",IFERROR(INDEX(사건마스터!$AK$5:$AK$64,MATCH($F931,사건마스터!$A$5:$A$64,0)),""))</f>
        <v/>
      </c>
      <c r="O931" s="35">
        <f>IF($F931="","",IFERROR(INDEX(사건마스터!$AL$5:$AL$64,MATCH($F931,사건마스터!$A$5:$A$64,0)),""))</f>
        <v/>
      </c>
      <c r="P931" s="35">
        <f>IF($F931="","",IFERROR(INDEX(사건마스터!$AM$5:$AM$64,MATCH($F931,사건마스터!$A$5:$A$64,0)),""))</f>
        <v/>
      </c>
      <c r="Q931" s="35">
        <f>IF($F931="","",IFERROR(INDEX(사건마스터!$AN$5:$AN$64,MATCH($F931,사건마스터!$A$5:$A$64,0)),""))</f>
        <v/>
      </c>
      <c r="R931" s="35">
        <f>IF($F931="","",IFERROR(INDEX(사건마스터!$AO$5:$AO$64,MATCH($F931,사건마스터!$A$5:$A$64,0)),""))</f>
        <v/>
      </c>
      <c r="S931" s="35">
        <f>IF($F931="","",IFERROR(INDEX(사건마스터!$AP$5:$AP$64,MATCH($F931,사건마스터!$A$5:$A$64,0)),""))</f>
        <v/>
      </c>
      <c r="T931" s="35">
        <f>IF($F931="","",IFERROR(INDEX(사건마스터!$AQ$5:$AQ$64,MATCH($F931,사건마스터!$A$5:$A$64,0)),""))</f>
        <v/>
      </c>
      <c r="U931" s="35">
        <f>IF($F931="","",IFERROR(INDEX(사건마스터!$AR$5:$AR$64,MATCH($F931,사건마스터!$A$5:$A$64,0)),""))</f>
        <v/>
      </c>
      <c r="V931" s="35">
        <f>IF($F931="","",IFERROR(INDEX(사건마스터!$AS$5:$AS$64,MATCH($F931,사건마스터!$A$5:$A$64,0)),""))</f>
        <v/>
      </c>
      <c r="W931" s="35">
        <f>IF($F931="","",IFERROR(INDEX(사건마스터!$AT$5:$AT$64,MATCH($F931,사건마스터!$A$5:$A$64,0)),""))</f>
        <v/>
      </c>
      <c r="X931" s="35">
        <f>IF($F931="","",IFERROR(INDEX(사건마스터!$AU$5:$AU$64,MATCH($F931,사건마스터!$A$5:$A$64,0)),""))</f>
        <v/>
      </c>
      <c r="Y931" s="35">
        <f>IF($F931="","",IFERROR(INDEX(사건마스터!$AV$5:$AV$64,MATCH($F931,사건마스터!$A$5:$A$64,0)),""))</f>
        <v/>
      </c>
      <c r="Z931" s="30">
        <f>IF(COUNTBLANK($J931:$Y931)=16,"",16-COUNTBLANK($J931:$Y931))</f>
        <v/>
      </c>
      <c r="AA931" s="33">
        <f>IF($J931="",MID($AX931,3,255),$J931&amp;$AX931)</f>
        <v/>
      </c>
      <c r="AB931" s="34">
        <f>IF($J931="","",IFERROR(INDEX(코드설정!$D$5:$D$24,MATCH($J931,코드설정!$C$5:$C$24,0)),""))</f>
        <v/>
      </c>
      <c r="AC931" s="36" t="n"/>
      <c r="AD931" s="37" t="n"/>
      <c r="AE931" s="38" t="n"/>
      <c r="AF931" s="30">
        <f>IF(OR($B931="",$C931=""),"",$C931-$B931+1)</f>
        <v/>
      </c>
      <c r="AG931" s="32" t="n"/>
      <c r="AH931" s="36" t="n"/>
      <c r="AJ931">
        <f>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  <c r="AX931">
        <f>AW931&amp;IF($Y931="","",", "&amp;$Y931)</f>
        <v/>
      </c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0">
        <f>IF($F932="","",COUNTIF($F$5:$F932,$F932))</f>
        <v/>
      </c>
      <c r="H932" s="33">
        <f>IF($F932="","",IFERROR(INDEX(사건마스터!$B$5:$B$64,MATCH($F932,사건마스터!$A$5:$A$64,0)),""))</f>
        <v/>
      </c>
      <c r="I932" s="34">
        <f>IF($F932="","",IFERROR(INDEX(사건마스터!$C$5:$C$64,MATCH($F932,사건마스터!$A$5:$A$64,0)),""))</f>
        <v/>
      </c>
      <c r="J932" s="35">
        <f>IF($F932="","",IFERROR(INDEX(사건마스터!$H$5:$H$64,MATCH($F932,사건마스터!$A$5:$A$64,0)),""))</f>
        <v/>
      </c>
      <c r="K932" s="35">
        <f>IF($F932="","",IFERROR(INDEX(사건마스터!$AH$5:$AH$64,MATCH($F932,사건마스터!$A$5:$A$64,0)),""))</f>
        <v/>
      </c>
      <c r="L932" s="35">
        <f>IF($F932="","",IFERROR(INDEX(사건마스터!$AI$5:$AI$64,MATCH($F932,사건마스터!$A$5:$A$64,0)),""))</f>
        <v/>
      </c>
      <c r="M932" s="35">
        <f>IF($F932="","",IFERROR(INDEX(사건마스터!$AJ$5:$AJ$64,MATCH($F932,사건마스터!$A$5:$A$64,0)),""))</f>
        <v/>
      </c>
      <c r="N932" s="35">
        <f>IF($F932="","",IFERROR(INDEX(사건마스터!$AK$5:$AK$64,MATCH($F932,사건마스터!$A$5:$A$64,0)),""))</f>
        <v/>
      </c>
      <c r="O932" s="35">
        <f>IF($F932="","",IFERROR(INDEX(사건마스터!$AL$5:$AL$64,MATCH($F932,사건마스터!$A$5:$A$64,0)),""))</f>
        <v/>
      </c>
      <c r="P932" s="35">
        <f>IF($F932="","",IFERROR(INDEX(사건마스터!$AM$5:$AM$64,MATCH($F932,사건마스터!$A$5:$A$64,0)),""))</f>
        <v/>
      </c>
      <c r="Q932" s="35">
        <f>IF($F932="","",IFERROR(INDEX(사건마스터!$AN$5:$AN$64,MATCH($F932,사건마스터!$A$5:$A$64,0)),""))</f>
        <v/>
      </c>
      <c r="R932" s="35">
        <f>IF($F932="","",IFERROR(INDEX(사건마스터!$AO$5:$AO$64,MATCH($F932,사건마스터!$A$5:$A$64,0)),""))</f>
        <v/>
      </c>
      <c r="S932" s="35">
        <f>IF($F932="","",IFERROR(INDEX(사건마스터!$AP$5:$AP$64,MATCH($F932,사건마스터!$A$5:$A$64,0)),""))</f>
        <v/>
      </c>
      <c r="T932" s="35">
        <f>IF($F932="","",IFERROR(INDEX(사건마스터!$AQ$5:$AQ$64,MATCH($F932,사건마스터!$A$5:$A$64,0)),""))</f>
        <v/>
      </c>
      <c r="U932" s="35">
        <f>IF($F932="","",IFERROR(INDEX(사건마스터!$AR$5:$AR$64,MATCH($F932,사건마스터!$A$5:$A$64,0)),""))</f>
        <v/>
      </c>
      <c r="V932" s="35">
        <f>IF($F932="","",IFERROR(INDEX(사건마스터!$AS$5:$AS$64,MATCH($F932,사건마스터!$A$5:$A$64,0)),""))</f>
        <v/>
      </c>
      <c r="W932" s="35">
        <f>IF($F932="","",IFERROR(INDEX(사건마스터!$AT$5:$AT$64,MATCH($F932,사건마스터!$A$5:$A$64,0)),""))</f>
        <v/>
      </c>
      <c r="X932" s="35">
        <f>IF($F932="","",IFERROR(INDEX(사건마스터!$AU$5:$AU$64,MATCH($F932,사건마스터!$A$5:$A$64,0)),""))</f>
        <v/>
      </c>
      <c r="Y932" s="35">
        <f>IF($F932="","",IFERROR(INDEX(사건마스터!$AV$5:$AV$64,MATCH($F932,사건마스터!$A$5:$A$64,0)),""))</f>
        <v/>
      </c>
      <c r="Z932" s="30">
        <f>IF(COUNTBLANK($J932:$Y932)=16,"",16-COUNTBLANK($J932:$Y932))</f>
        <v/>
      </c>
      <c r="AA932" s="33">
        <f>IF($J932="",MID($AX932,3,255),$J932&amp;$AX932)</f>
        <v/>
      </c>
      <c r="AB932" s="34">
        <f>IF($J932="","",IFERROR(INDEX(코드설정!$D$5:$D$24,MATCH($J932,코드설정!$C$5:$C$24,0)),""))</f>
        <v/>
      </c>
      <c r="AC932" s="36" t="n"/>
      <c r="AD932" s="37" t="n"/>
      <c r="AE932" s="38" t="n"/>
      <c r="AF932" s="30">
        <f>IF(OR($B932="",$C932=""),"",$C932-$B932+1)</f>
        <v/>
      </c>
      <c r="AG932" s="32" t="n"/>
      <c r="AH932" s="36" t="n"/>
      <c r="AJ932">
        <f>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  <c r="AX932">
        <f>AW932&amp;IF($Y932="","",", "&amp;$Y932)</f>
        <v/>
      </c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0">
        <f>IF($F933="","",COUNTIF($F$5:$F933,$F933))</f>
        <v/>
      </c>
      <c r="H933" s="33">
        <f>IF($F933="","",IFERROR(INDEX(사건마스터!$B$5:$B$64,MATCH($F933,사건마스터!$A$5:$A$64,0)),""))</f>
        <v/>
      </c>
      <c r="I933" s="34">
        <f>IF($F933="","",IFERROR(INDEX(사건마스터!$C$5:$C$64,MATCH($F933,사건마스터!$A$5:$A$64,0)),""))</f>
        <v/>
      </c>
      <c r="J933" s="35">
        <f>IF($F933="","",IFERROR(INDEX(사건마스터!$H$5:$H$64,MATCH($F933,사건마스터!$A$5:$A$64,0)),""))</f>
        <v/>
      </c>
      <c r="K933" s="35">
        <f>IF($F933="","",IFERROR(INDEX(사건마스터!$AH$5:$AH$64,MATCH($F933,사건마스터!$A$5:$A$64,0)),""))</f>
        <v/>
      </c>
      <c r="L933" s="35">
        <f>IF($F933="","",IFERROR(INDEX(사건마스터!$AI$5:$AI$64,MATCH($F933,사건마스터!$A$5:$A$64,0)),""))</f>
        <v/>
      </c>
      <c r="M933" s="35">
        <f>IF($F933="","",IFERROR(INDEX(사건마스터!$AJ$5:$AJ$64,MATCH($F933,사건마스터!$A$5:$A$64,0)),""))</f>
        <v/>
      </c>
      <c r="N933" s="35">
        <f>IF($F933="","",IFERROR(INDEX(사건마스터!$AK$5:$AK$64,MATCH($F933,사건마스터!$A$5:$A$64,0)),""))</f>
        <v/>
      </c>
      <c r="O933" s="35">
        <f>IF($F933="","",IFERROR(INDEX(사건마스터!$AL$5:$AL$64,MATCH($F933,사건마스터!$A$5:$A$64,0)),""))</f>
        <v/>
      </c>
      <c r="P933" s="35">
        <f>IF($F933="","",IFERROR(INDEX(사건마스터!$AM$5:$AM$64,MATCH($F933,사건마스터!$A$5:$A$64,0)),""))</f>
        <v/>
      </c>
      <c r="Q933" s="35">
        <f>IF($F933="","",IFERROR(INDEX(사건마스터!$AN$5:$AN$64,MATCH($F933,사건마스터!$A$5:$A$64,0)),""))</f>
        <v/>
      </c>
      <c r="R933" s="35">
        <f>IF($F933="","",IFERROR(INDEX(사건마스터!$AO$5:$AO$64,MATCH($F933,사건마스터!$A$5:$A$64,0)),""))</f>
        <v/>
      </c>
      <c r="S933" s="35">
        <f>IF($F933="","",IFERROR(INDEX(사건마스터!$AP$5:$AP$64,MATCH($F933,사건마스터!$A$5:$A$64,0)),""))</f>
        <v/>
      </c>
      <c r="T933" s="35">
        <f>IF($F933="","",IFERROR(INDEX(사건마스터!$AQ$5:$AQ$64,MATCH($F933,사건마스터!$A$5:$A$64,0)),""))</f>
        <v/>
      </c>
      <c r="U933" s="35">
        <f>IF($F933="","",IFERROR(INDEX(사건마스터!$AR$5:$AR$64,MATCH($F933,사건마스터!$A$5:$A$64,0)),""))</f>
        <v/>
      </c>
      <c r="V933" s="35">
        <f>IF($F933="","",IFERROR(INDEX(사건마스터!$AS$5:$AS$64,MATCH($F933,사건마스터!$A$5:$A$64,0)),""))</f>
        <v/>
      </c>
      <c r="W933" s="35">
        <f>IF($F933="","",IFERROR(INDEX(사건마스터!$AT$5:$AT$64,MATCH($F933,사건마스터!$A$5:$A$64,0)),""))</f>
        <v/>
      </c>
      <c r="X933" s="35">
        <f>IF($F933="","",IFERROR(INDEX(사건마스터!$AU$5:$AU$64,MATCH($F933,사건마스터!$A$5:$A$64,0)),""))</f>
        <v/>
      </c>
      <c r="Y933" s="35">
        <f>IF($F933="","",IFERROR(INDEX(사건마스터!$AV$5:$AV$64,MATCH($F933,사건마스터!$A$5:$A$64,0)),""))</f>
        <v/>
      </c>
      <c r="Z933" s="30">
        <f>IF(COUNTBLANK($J933:$Y933)=16,"",16-COUNTBLANK($J933:$Y933))</f>
        <v/>
      </c>
      <c r="AA933" s="33">
        <f>IF($J933="",MID($AX933,3,255),$J933&amp;$AX933)</f>
        <v/>
      </c>
      <c r="AB933" s="34">
        <f>IF($J933="","",IFERROR(INDEX(코드설정!$D$5:$D$24,MATCH($J933,코드설정!$C$5:$C$24,0)),""))</f>
        <v/>
      </c>
      <c r="AC933" s="36" t="n"/>
      <c r="AD933" s="37" t="n"/>
      <c r="AE933" s="38" t="n"/>
      <c r="AF933" s="30">
        <f>IF(OR($B933="",$C933=""),"",$C933-$B933+1)</f>
        <v/>
      </c>
      <c r="AG933" s="32" t="n"/>
      <c r="AH933" s="36" t="n"/>
      <c r="AJ933">
        <f>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  <c r="AX933">
        <f>AW933&amp;IF($Y933="","",", "&amp;$Y933)</f>
        <v/>
      </c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0">
        <f>IF($F934="","",COUNTIF($F$5:$F934,$F934))</f>
        <v/>
      </c>
      <c r="H934" s="33">
        <f>IF($F934="","",IFERROR(INDEX(사건마스터!$B$5:$B$64,MATCH($F934,사건마스터!$A$5:$A$64,0)),""))</f>
        <v/>
      </c>
      <c r="I934" s="34">
        <f>IF($F934="","",IFERROR(INDEX(사건마스터!$C$5:$C$64,MATCH($F934,사건마스터!$A$5:$A$64,0)),""))</f>
        <v/>
      </c>
      <c r="J934" s="35">
        <f>IF($F934="","",IFERROR(INDEX(사건마스터!$H$5:$H$64,MATCH($F934,사건마스터!$A$5:$A$64,0)),""))</f>
        <v/>
      </c>
      <c r="K934" s="35">
        <f>IF($F934="","",IFERROR(INDEX(사건마스터!$AH$5:$AH$64,MATCH($F934,사건마스터!$A$5:$A$64,0)),""))</f>
        <v/>
      </c>
      <c r="L934" s="35">
        <f>IF($F934="","",IFERROR(INDEX(사건마스터!$AI$5:$AI$64,MATCH($F934,사건마스터!$A$5:$A$64,0)),""))</f>
        <v/>
      </c>
      <c r="M934" s="35">
        <f>IF($F934="","",IFERROR(INDEX(사건마스터!$AJ$5:$AJ$64,MATCH($F934,사건마스터!$A$5:$A$64,0)),""))</f>
        <v/>
      </c>
      <c r="N934" s="35">
        <f>IF($F934="","",IFERROR(INDEX(사건마스터!$AK$5:$AK$64,MATCH($F934,사건마스터!$A$5:$A$64,0)),""))</f>
        <v/>
      </c>
      <c r="O934" s="35">
        <f>IF($F934="","",IFERROR(INDEX(사건마스터!$AL$5:$AL$64,MATCH($F934,사건마스터!$A$5:$A$64,0)),""))</f>
        <v/>
      </c>
      <c r="P934" s="35">
        <f>IF($F934="","",IFERROR(INDEX(사건마스터!$AM$5:$AM$64,MATCH($F934,사건마스터!$A$5:$A$64,0)),""))</f>
        <v/>
      </c>
      <c r="Q934" s="35">
        <f>IF($F934="","",IFERROR(INDEX(사건마스터!$AN$5:$AN$64,MATCH($F934,사건마스터!$A$5:$A$64,0)),""))</f>
        <v/>
      </c>
      <c r="R934" s="35">
        <f>IF($F934="","",IFERROR(INDEX(사건마스터!$AO$5:$AO$64,MATCH($F934,사건마스터!$A$5:$A$64,0)),""))</f>
        <v/>
      </c>
      <c r="S934" s="35">
        <f>IF($F934="","",IFERROR(INDEX(사건마스터!$AP$5:$AP$64,MATCH($F934,사건마스터!$A$5:$A$64,0)),""))</f>
        <v/>
      </c>
      <c r="T934" s="35">
        <f>IF($F934="","",IFERROR(INDEX(사건마스터!$AQ$5:$AQ$64,MATCH($F934,사건마스터!$A$5:$A$64,0)),""))</f>
        <v/>
      </c>
      <c r="U934" s="35">
        <f>IF($F934="","",IFERROR(INDEX(사건마스터!$AR$5:$AR$64,MATCH($F934,사건마스터!$A$5:$A$64,0)),""))</f>
        <v/>
      </c>
      <c r="V934" s="35">
        <f>IF($F934="","",IFERROR(INDEX(사건마스터!$AS$5:$AS$64,MATCH($F934,사건마스터!$A$5:$A$64,0)),""))</f>
        <v/>
      </c>
      <c r="W934" s="35">
        <f>IF($F934="","",IFERROR(INDEX(사건마스터!$AT$5:$AT$64,MATCH($F934,사건마스터!$A$5:$A$64,0)),""))</f>
        <v/>
      </c>
      <c r="X934" s="35">
        <f>IF($F934="","",IFERROR(INDEX(사건마스터!$AU$5:$AU$64,MATCH($F934,사건마스터!$A$5:$A$64,0)),""))</f>
        <v/>
      </c>
      <c r="Y934" s="35">
        <f>IF($F934="","",IFERROR(INDEX(사건마스터!$AV$5:$AV$64,MATCH($F934,사건마스터!$A$5:$A$64,0)),""))</f>
        <v/>
      </c>
      <c r="Z934" s="30">
        <f>IF(COUNTBLANK($J934:$Y934)=16,"",16-COUNTBLANK($J934:$Y934))</f>
        <v/>
      </c>
      <c r="AA934" s="33">
        <f>IF($J934="",MID($AX934,3,255),$J934&amp;$AX934)</f>
        <v/>
      </c>
      <c r="AB934" s="34">
        <f>IF($J934="","",IFERROR(INDEX(코드설정!$D$5:$D$24,MATCH($J934,코드설정!$C$5:$C$24,0)),""))</f>
        <v/>
      </c>
      <c r="AC934" s="36" t="n"/>
      <c r="AD934" s="37" t="n"/>
      <c r="AE934" s="38" t="n"/>
      <c r="AF934" s="30">
        <f>IF(OR($B934="",$C934=""),"",$C934-$B934+1)</f>
        <v/>
      </c>
      <c r="AG934" s="32" t="n"/>
      <c r="AH934" s="36" t="n"/>
      <c r="AJ934">
        <f>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  <c r="AX934">
        <f>AW934&amp;IF($Y934="","",", "&amp;$Y934)</f>
        <v/>
      </c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0">
        <f>IF($F935="","",COUNTIF($F$5:$F935,$F935))</f>
        <v/>
      </c>
      <c r="H935" s="33">
        <f>IF($F935="","",IFERROR(INDEX(사건마스터!$B$5:$B$64,MATCH($F935,사건마스터!$A$5:$A$64,0)),""))</f>
        <v/>
      </c>
      <c r="I935" s="34">
        <f>IF($F935="","",IFERROR(INDEX(사건마스터!$C$5:$C$64,MATCH($F935,사건마스터!$A$5:$A$64,0)),""))</f>
        <v/>
      </c>
      <c r="J935" s="35">
        <f>IF($F935="","",IFERROR(INDEX(사건마스터!$H$5:$H$64,MATCH($F935,사건마스터!$A$5:$A$64,0)),""))</f>
        <v/>
      </c>
      <c r="K935" s="35">
        <f>IF($F935="","",IFERROR(INDEX(사건마스터!$AH$5:$AH$64,MATCH($F935,사건마스터!$A$5:$A$64,0)),""))</f>
        <v/>
      </c>
      <c r="L935" s="35">
        <f>IF($F935="","",IFERROR(INDEX(사건마스터!$AI$5:$AI$64,MATCH($F935,사건마스터!$A$5:$A$64,0)),""))</f>
        <v/>
      </c>
      <c r="M935" s="35">
        <f>IF($F935="","",IFERROR(INDEX(사건마스터!$AJ$5:$AJ$64,MATCH($F935,사건마스터!$A$5:$A$64,0)),""))</f>
        <v/>
      </c>
      <c r="N935" s="35">
        <f>IF($F935="","",IFERROR(INDEX(사건마스터!$AK$5:$AK$64,MATCH($F935,사건마스터!$A$5:$A$64,0)),""))</f>
        <v/>
      </c>
      <c r="O935" s="35">
        <f>IF($F935="","",IFERROR(INDEX(사건마스터!$AL$5:$AL$64,MATCH($F935,사건마스터!$A$5:$A$64,0)),""))</f>
        <v/>
      </c>
      <c r="P935" s="35">
        <f>IF($F935="","",IFERROR(INDEX(사건마스터!$AM$5:$AM$64,MATCH($F935,사건마스터!$A$5:$A$64,0)),""))</f>
        <v/>
      </c>
      <c r="Q935" s="35">
        <f>IF($F935="","",IFERROR(INDEX(사건마스터!$AN$5:$AN$64,MATCH($F935,사건마스터!$A$5:$A$64,0)),""))</f>
        <v/>
      </c>
      <c r="R935" s="35">
        <f>IF($F935="","",IFERROR(INDEX(사건마스터!$AO$5:$AO$64,MATCH($F935,사건마스터!$A$5:$A$64,0)),""))</f>
        <v/>
      </c>
      <c r="S935" s="35">
        <f>IF($F935="","",IFERROR(INDEX(사건마스터!$AP$5:$AP$64,MATCH($F935,사건마스터!$A$5:$A$64,0)),""))</f>
        <v/>
      </c>
      <c r="T935" s="35">
        <f>IF($F935="","",IFERROR(INDEX(사건마스터!$AQ$5:$AQ$64,MATCH($F935,사건마스터!$A$5:$A$64,0)),""))</f>
        <v/>
      </c>
      <c r="U935" s="35">
        <f>IF($F935="","",IFERROR(INDEX(사건마스터!$AR$5:$AR$64,MATCH($F935,사건마스터!$A$5:$A$64,0)),""))</f>
        <v/>
      </c>
      <c r="V935" s="35">
        <f>IF($F935="","",IFERROR(INDEX(사건마스터!$AS$5:$AS$64,MATCH($F935,사건마스터!$A$5:$A$64,0)),""))</f>
        <v/>
      </c>
      <c r="W935" s="35">
        <f>IF($F935="","",IFERROR(INDEX(사건마스터!$AT$5:$AT$64,MATCH($F935,사건마스터!$A$5:$A$64,0)),""))</f>
        <v/>
      </c>
      <c r="X935" s="35">
        <f>IF($F935="","",IFERROR(INDEX(사건마스터!$AU$5:$AU$64,MATCH($F935,사건마스터!$A$5:$A$64,0)),""))</f>
        <v/>
      </c>
      <c r="Y935" s="35">
        <f>IF($F935="","",IFERROR(INDEX(사건마스터!$AV$5:$AV$64,MATCH($F935,사건마스터!$A$5:$A$64,0)),""))</f>
        <v/>
      </c>
      <c r="Z935" s="30">
        <f>IF(COUNTBLANK($J935:$Y935)=16,"",16-COUNTBLANK($J935:$Y935))</f>
        <v/>
      </c>
      <c r="AA935" s="33">
        <f>IF($J935="",MID($AX935,3,255),$J935&amp;$AX935)</f>
        <v/>
      </c>
      <c r="AB935" s="34">
        <f>IF($J935="","",IFERROR(INDEX(코드설정!$D$5:$D$24,MATCH($J935,코드설정!$C$5:$C$24,0)),""))</f>
        <v/>
      </c>
      <c r="AC935" s="36" t="n"/>
      <c r="AD935" s="37" t="n"/>
      <c r="AE935" s="38" t="n"/>
      <c r="AF935" s="30">
        <f>IF(OR($B935="",$C935=""),"",$C935-$B935+1)</f>
        <v/>
      </c>
      <c r="AG935" s="32" t="n"/>
      <c r="AH935" s="36" t="n"/>
      <c r="AJ935">
        <f>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  <c r="AX935">
        <f>AW935&amp;IF($Y935="","",", "&amp;$Y935)</f>
        <v/>
      </c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0">
        <f>IF($F936="","",COUNTIF($F$5:$F936,$F936))</f>
        <v/>
      </c>
      <c r="H936" s="33">
        <f>IF($F936="","",IFERROR(INDEX(사건마스터!$B$5:$B$64,MATCH($F936,사건마스터!$A$5:$A$64,0)),""))</f>
        <v/>
      </c>
      <c r="I936" s="34">
        <f>IF($F936="","",IFERROR(INDEX(사건마스터!$C$5:$C$64,MATCH($F936,사건마스터!$A$5:$A$64,0)),""))</f>
        <v/>
      </c>
      <c r="J936" s="35">
        <f>IF($F936="","",IFERROR(INDEX(사건마스터!$H$5:$H$64,MATCH($F936,사건마스터!$A$5:$A$64,0)),""))</f>
        <v/>
      </c>
      <c r="K936" s="35">
        <f>IF($F936="","",IFERROR(INDEX(사건마스터!$AH$5:$AH$64,MATCH($F936,사건마스터!$A$5:$A$64,0)),""))</f>
        <v/>
      </c>
      <c r="L936" s="35">
        <f>IF($F936="","",IFERROR(INDEX(사건마스터!$AI$5:$AI$64,MATCH($F936,사건마스터!$A$5:$A$64,0)),""))</f>
        <v/>
      </c>
      <c r="M936" s="35">
        <f>IF($F936="","",IFERROR(INDEX(사건마스터!$AJ$5:$AJ$64,MATCH($F936,사건마스터!$A$5:$A$64,0)),""))</f>
        <v/>
      </c>
      <c r="N936" s="35">
        <f>IF($F936="","",IFERROR(INDEX(사건마스터!$AK$5:$AK$64,MATCH($F936,사건마스터!$A$5:$A$64,0)),""))</f>
        <v/>
      </c>
      <c r="O936" s="35">
        <f>IF($F936="","",IFERROR(INDEX(사건마스터!$AL$5:$AL$64,MATCH($F936,사건마스터!$A$5:$A$64,0)),""))</f>
        <v/>
      </c>
      <c r="P936" s="35">
        <f>IF($F936="","",IFERROR(INDEX(사건마스터!$AM$5:$AM$64,MATCH($F936,사건마스터!$A$5:$A$64,0)),""))</f>
        <v/>
      </c>
      <c r="Q936" s="35">
        <f>IF($F936="","",IFERROR(INDEX(사건마스터!$AN$5:$AN$64,MATCH($F936,사건마스터!$A$5:$A$64,0)),""))</f>
        <v/>
      </c>
      <c r="R936" s="35">
        <f>IF($F936="","",IFERROR(INDEX(사건마스터!$AO$5:$AO$64,MATCH($F936,사건마스터!$A$5:$A$64,0)),""))</f>
        <v/>
      </c>
      <c r="S936" s="35">
        <f>IF($F936="","",IFERROR(INDEX(사건마스터!$AP$5:$AP$64,MATCH($F936,사건마스터!$A$5:$A$64,0)),""))</f>
        <v/>
      </c>
      <c r="T936" s="35">
        <f>IF($F936="","",IFERROR(INDEX(사건마스터!$AQ$5:$AQ$64,MATCH($F936,사건마스터!$A$5:$A$64,0)),""))</f>
        <v/>
      </c>
      <c r="U936" s="35">
        <f>IF($F936="","",IFERROR(INDEX(사건마스터!$AR$5:$AR$64,MATCH($F936,사건마스터!$A$5:$A$64,0)),""))</f>
        <v/>
      </c>
      <c r="V936" s="35">
        <f>IF($F936="","",IFERROR(INDEX(사건마스터!$AS$5:$AS$64,MATCH($F936,사건마스터!$A$5:$A$64,0)),""))</f>
        <v/>
      </c>
      <c r="W936" s="35">
        <f>IF($F936="","",IFERROR(INDEX(사건마스터!$AT$5:$AT$64,MATCH($F936,사건마스터!$A$5:$A$64,0)),""))</f>
        <v/>
      </c>
      <c r="X936" s="35">
        <f>IF($F936="","",IFERROR(INDEX(사건마스터!$AU$5:$AU$64,MATCH($F936,사건마스터!$A$5:$A$64,0)),""))</f>
        <v/>
      </c>
      <c r="Y936" s="35">
        <f>IF($F936="","",IFERROR(INDEX(사건마스터!$AV$5:$AV$64,MATCH($F936,사건마스터!$A$5:$A$64,0)),""))</f>
        <v/>
      </c>
      <c r="Z936" s="30">
        <f>IF(COUNTBLANK($J936:$Y936)=16,"",16-COUNTBLANK($J936:$Y936))</f>
        <v/>
      </c>
      <c r="AA936" s="33">
        <f>IF($J936="",MID($AX936,3,255),$J936&amp;$AX936)</f>
        <v/>
      </c>
      <c r="AB936" s="34">
        <f>IF($J936="","",IFERROR(INDEX(코드설정!$D$5:$D$24,MATCH($J936,코드설정!$C$5:$C$24,0)),""))</f>
        <v/>
      </c>
      <c r="AC936" s="36" t="n"/>
      <c r="AD936" s="37" t="n"/>
      <c r="AE936" s="38" t="n"/>
      <c r="AF936" s="30">
        <f>IF(OR($B936="",$C936=""),"",$C936-$B936+1)</f>
        <v/>
      </c>
      <c r="AG936" s="32" t="n"/>
      <c r="AH936" s="36" t="n"/>
      <c r="AJ936">
        <f>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  <c r="AX936">
        <f>AW936&amp;IF($Y936="","",", "&amp;$Y936)</f>
        <v/>
      </c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0">
        <f>IF($F937="","",COUNTIF($F$5:$F937,$F937))</f>
        <v/>
      </c>
      <c r="H937" s="33">
        <f>IF($F937="","",IFERROR(INDEX(사건마스터!$B$5:$B$64,MATCH($F937,사건마스터!$A$5:$A$64,0)),""))</f>
        <v/>
      </c>
      <c r="I937" s="34">
        <f>IF($F937="","",IFERROR(INDEX(사건마스터!$C$5:$C$64,MATCH($F937,사건마스터!$A$5:$A$64,0)),""))</f>
        <v/>
      </c>
      <c r="J937" s="35">
        <f>IF($F937="","",IFERROR(INDEX(사건마스터!$H$5:$H$64,MATCH($F937,사건마스터!$A$5:$A$64,0)),""))</f>
        <v/>
      </c>
      <c r="K937" s="35">
        <f>IF($F937="","",IFERROR(INDEX(사건마스터!$AH$5:$AH$64,MATCH($F937,사건마스터!$A$5:$A$64,0)),""))</f>
        <v/>
      </c>
      <c r="L937" s="35">
        <f>IF($F937="","",IFERROR(INDEX(사건마스터!$AI$5:$AI$64,MATCH($F937,사건마스터!$A$5:$A$64,0)),""))</f>
        <v/>
      </c>
      <c r="M937" s="35">
        <f>IF($F937="","",IFERROR(INDEX(사건마스터!$AJ$5:$AJ$64,MATCH($F937,사건마스터!$A$5:$A$64,0)),""))</f>
        <v/>
      </c>
      <c r="N937" s="35">
        <f>IF($F937="","",IFERROR(INDEX(사건마스터!$AK$5:$AK$64,MATCH($F937,사건마스터!$A$5:$A$64,0)),""))</f>
        <v/>
      </c>
      <c r="O937" s="35">
        <f>IF($F937="","",IFERROR(INDEX(사건마스터!$AL$5:$AL$64,MATCH($F937,사건마스터!$A$5:$A$64,0)),""))</f>
        <v/>
      </c>
      <c r="P937" s="35">
        <f>IF($F937="","",IFERROR(INDEX(사건마스터!$AM$5:$AM$64,MATCH($F937,사건마스터!$A$5:$A$64,0)),""))</f>
        <v/>
      </c>
      <c r="Q937" s="35">
        <f>IF($F937="","",IFERROR(INDEX(사건마스터!$AN$5:$AN$64,MATCH($F937,사건마스터!$A$5:$A$64,0)),""))</f>
        <v/>
      </c>
      <c r="R937" s="35">
        <f>IF($F937="","",IFERROR(INDEX(사건마스터!$AO$5:$AO$64,MATCH($F937,사건마스터!$A$5:$A$64,0)),""))</f>
        <v/>
      </c>
      <c r="S937" s="35">
        <f>IF($F937="","",IFERROR(INDEX(사건마스터!$AP$5:$AP$64,MATCH($F937,사건마스터!$A$5:$A$64,0)),""))</f>
        <v/>
      </c>
      <c r="T937" s="35">
        <f>IF($F937="","",IFERROR(INDEX(사건마스터!$AQ$5:$AQ$64,MATCH($F937,사건마스터!$A$5:$A$64,0)),""))</f>
        <v/>
      </c>
      <c r="U937" s="35">
        <f>IF($F937="","",IFERROR(INDEX(사건마스터!$AR$5:$AR$64,MATCH($F937,사건마스터!$A$5:$A$64,0)),""))</f>
        <v/>
      </c>
      <c r="V937" s="35">
        <f>IF($F937="","",IFERROR(INDEX(사건마스터!$AS$5:$AS$64,MATCH($F937,사건마스터!$A$5:$A$64,0)),""))</f>
        <v/>
      </c>
      <c r="W937" s="35">
        <f>IF($F937="","",IFERROR(INDEX(사건마스터!$AT$5:$AT$64,MATCH($F937,사건마스터!$A$5:$A$64,0)),""))</f>
        <v/>
      </c>
      <c r="X937" s="35">
        <f>IF($F937="","",IFERROR(INDEX(사건마스터!$AU$5:$AU$64,MATCH($F937,사건마스터!$A$5:$A$64,0)),""))</f>
        <v/>
      </c>
      <c r="Y937" s="35">
        <f>IF($F937="","",IFERROR(INDEX(사건마스터!$AV$5:$AV$64,MATCH($F937,사건마스터!$A$5:$A$64,0)),""))</f>
        <v/>
      </c>
      <c r="Z937" s="30">
        <f>IF(COUNTBLANK($J937:$Y937)=16,"",16-COUNTBLANK($J937:$Y937))</f>
        <v/>
      </c>
      <c r="AA937" s="33">
        <f>IF($J937="",MID($AX937,3,255),$J937&amp;$AX937)</f>
        <v/>
      </c>
      <c r="AB937" s="34">
        <f>IF($J937="","",IFERROR(INDEX(코드설정!$D$5:$D$24,MATCH($J937,코드설정!$C$5:$C$24,0)),""))</f>
        <v/>
      </c>
      <c r="AC937" s="36" t="n"/>
      <c r="AD937" s="37" t="n"/>
      <c r="AE937" s="38" t="n"/>
      <c r="AF937" s="30">
        <f>IF(OR($B937="",$C937=""),"",$C937-$B937+1)</f>
        <v/>
      </c>
      <c r="AG937" s="32" t="n"/>
      <c r="AH937" s="36" t="n"/>
      <c r="AJ937">
        <f>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  <c r="AX937">
        <f>AW937&amp;IF($Y937="","",", "&amp;$Y937)</f>
        <v/>
      </c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0">
        <f>IF($F938="","",COUNTIF($F$5:$F938,$F938))</f>
        <v/>
      </c>
      <c r="H938" s="33">
        <f>IF($F938="","",IFERROR(INDEX(사건마스터!$B$5:$B$64,MATCH($F938,사건마스터!$A$5:$A$64,0)),""))</f>
        <v/>
      </c>
      <c r="I938" s="34">
        <f>IF($F938="","",IFERROR(INDEX(사건마스터!$C$5:$C$64,MATCH($F938,사건마스터!$A$5:$A$64,0)),""))</f>
        <v/>
      </c>
      <c r="J938" s="35">
        <f>IF($F938="","",IFERROR(INDEX(사건마스터!$H$5:$H$64,MATCH($F938,사건마스터!$A$5:$A$64,0)),""))</f>
        <v/>
      </c>
      <c r="K938" s="35">
        <f>IF($F938="","",IFERROR(INDEX(사건마스터!$AH$5:$AH$64,MATCH($F938,사건마스터!$A$5:$A$64,0)),""))</f>
        <v/>
      </c>
      <c r="L938" s="35">
        <f>IF($F938="","",IFERROR(INDEX(사건마스터!$AI$5:$AI$64,MATCH($F938,사건마스터!$A$5:$A$64,0)),""))</f>
        <v/>
      </c>
      <c r="M938" s="35">
        <f>IF($F938="","",IFERROR(INDEX(사건마스터!$AJ$5:$AJ$64,MATCH($F938,사건마스터!$A$5:$A$64,0)),""))</f>
        <v/>
      </c>
      <c r="N938" s="35">
        <f>IF($F938="","",IFERROR(INDEX(사건마스터!$AK$5:$AK$64,MATCH($F938,사건마스터!$A$5:$A$64,0)),""))</f>
        <v/>
      </c>
      <c r="O938" s="35">
        <f>IF($F938="","",IFERROR(INDEX(사건마스터!$AL$5:$AL$64,MATCH($F938,사건마스터!$A$5:$A$64,0)),""))</f>
        <v/>
      </c>
      <c r="P938" s="35">
        <f>IF($F938="","",IFERROR(INDEX(사건마스터!$AM$5:$AM$64,MATCH($F938,사건마스터!$A$5:$A$64,0)),""))</f>
        <v/>
      </c>
      <c r="Q938" s="35">
        <f>IF($F938="","",IFERROR(INDEX(사건마스터!$AN$5:$AN$64,MATCH($F938,사건마스터!$A$5:$A$64,0)),""))</f>
        <v/>
      </c>
      <c r="R938" s="35">
        <f>IF($F938="","",IFERROR(INDEX(사건마스터!$AO$5:$AO$64,MATCH($F938,사건마스터!$A$5:$A$64,0)),""))</f>
        <v/>
      </c>
      <c r="S938" s="35">
        <f>IF($F938="","",IFERROR(INDEX(사건마스터!$AP$5:$AP$64,MATCH($F938,사건마스터!$A$5:$A$64,0)),""))</f>
        <v/>
      </c>
      <c r="T938" s="35">
        <f>IF($F938="","",IFERROR(INDEX(사건마스터!$AQ$5:$AQ$64,MATCH($F938,사건마스터!$A$5:$A$64,0)),""))</f>
        <v/>
      </c>
      <c r="U938" s="35">
        <f>IF($F938="","",IFERROR(INDEX(사건마스터!$AR$5:$AR$64,MATCH($F938,사건마스터!$A$5:$A$64,0)),""))</f>
        <v/>
      </c>
      <c r="V938" s="35">
        <f>IF($F938="","",IFERROR(INDEX(사건마스터!$AS$5:$AS$64,MATCH($F938,사건마스터!$A$5:$A$64,0)),""))</f>
        <v/>
      </c>
      <c r="W938" s="35">
        <f>IF($F938="","",IFERROR(INDEX(사건마스터!$AT$5:$AT$64,MATCH($F938,사건마스터!$A$5:$A$64,0)),""))</f>
        <v/>
      </c>
      <c r="X938" s="35">
        <f>IF($F938="","",IFERROR(INDEX(사건마스터!$AU$5:$AU$64,MATCH($F938,사건마스터!$A$5:$A$64,0)),""))</f>
        <v/>
      </c>
      <c r="Y938" s="35">
        <f>IF($F938="","",IFERROR(INDEX(사건마스터!$AV$5:$AV$64,MATCH($F938,사건마스터!$A$5:$A$64,0)),""))</f>
        <v/>
      </c>
      <c r="Z938" s="30">
        <f>IF(COUNTBLANK($J938:$Y938)=16,"",16-COUNTBLANK($J938:$Y938))</f>
        <v/>
      </c>
      <c r="AA938" s="33">
        <f>IF($J938="",MID($AX938,3,255),$J938&amp;$AX938)</f>
        <v/>
      </c>
      <c r="AB938" s="34">
        <f>IF($J938="","",IFERROR(INDEX(코드설정!$D$5:$D$24,MATCH($J938,코드설정!$C$5:$C$24,0)),""))</f>
        <v/>
      </c>
      <c r="AC938" s="36" t="n"/>
      <c r="AD938" s="37" t="n"/>
      <c r="AE938" s="38" t="n"/>
      <c r="AF938" s="30">
        <f>IF(OR($B938="",$C938=""),"",$C938-$B938+1)</f>
        <v/>
      </c>
      <c r="AG938" s="32" t="n"/>
      <c r="AH938" s="36" t="n"/>
      <c r="AJ938">
        <f>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  <c r="AX938">
        <f>AW938&amp;IF($Y938="","",", "&amp;$Y938)</f>
        <v/>
      </c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0">
        <f>IF($F939="","",COUNTIF($F$5:$F939,$F939))</f>
        <v/>
      </c>
      <c r="H939" s="33">
        <f>IF($F939="","",IFERROR(INDEX(사건마스터!$B$5:$B$64,MATCH($F939,사건마스터!$A$5:$A$64,0)),""))</f>
        <v/>
      </c>
      <c r="I939" s="34">
        <f>IF($F939="","",IFERROR(INDEX(사건마스터!$C$5:$C$64,MATCH($F939,사건마스터!$A$5:$A$64,0)),""))</f>
        <v/>
      </c>
      <c r="J939" s="35">
        <f>IF($F939="","",IFERROR(INDEX(사건마스터!$H$5:$H$64,MATCH($F939,사건마스터!$A$5:$A$64,0)),""))</f>
        <v/>
      </c>
      <c r="K939" s="35">
        <f>IF($F939="","",IFERROR(INDEX(사건마스터!$AH$5:$AH$64,MATCH($F939,사건마스터!$A$5:$A$64,0)),""))</f>
        <v/>
      </c>
      <c r="L939" s="35">
        <f>IF($F939="","",IFERROR(INDEX(사건마스터!$AI$5:$AI$64,MATCH($F939,사건마스터!$A$5:$A$64,0)),""))</f>
        <v/>
      </c>
      <c r="M939" s="35">
        <f>IF($F939="","",IFERROR(INDEX(사건마스터!$AJ$5:$AJ$64,MATCH($F939,사건마스터!$A$5:$A$64,0)),""))</f>
        <v/>
      </c>
      <c r="N939" s="35">
        <f>IF($F939="","",IFERROR(INDEX(사건마스터!$AK$5:$AK$64,MATCH($F939,사건마스터!$A$5:$A$64,0)),""))</f>
        <v/>
      </c>
      <c r="O939" s="35">
        <f>IF($F939="","",IFERROR(INDEX(사건마스터!$AL$5:$AL$64,MATCH($F939,사건마스터!$A$5:$A$64,0)),""))</f>
        <v/>
      </c>
      <c r="P939" s="35">
        <f>IF($F939="","",IFERROR(INDEX(사건마스터!$AM$5:$AM$64,MATCH($F939,사건마스터!$A$5:$A$64,0)),""))</f>
        <v/>
      </c>
      <c r="Q939" s="35">
        <f>IF($F939="","",IFERROR(INDEX(사건마스터!$AN$5:$AN$64,MATCH($F939,사건마스터!$A$5:$A$64,0)),""))</f>
        <v/>
      </c>
      <c r="R939" s="35">
        <f>IF($F939="","",IFERROR(INDEX(사건마스터!$AO$5:$AO$64,MATCH($F939,사건마스터!$A$5:$A$64,0)),""))</f>
        <v/>
      </c>
      <c r="S939" s="35">
        <f>IF($F939="","",IFERROR(INDEX(사건마스터!$AP$5:$AP$64,MATCH($F939,사건마스터!$A$5:$A$64,0)),""))</f>
        <v/>
      </c>
      <c r="T939" s="35">
        <f>IF($F939="","",IFERROR(INDEX(사건마스터!$AQ$5:$AQ$64,MATCH($F939,사건마스터!$A$5:$A$64,0)),""))</f>
        <v/>
      </c>
      <c r="U939" s="35">
        <f>IF($F939="","",IFERROR(INDEX(사건마스터!$AR$5:$AR$64,MATCH($F939,사건마스터!$A$5:$A$64,0)),""))</f>
        <v/>
      </c>
      <c r="V939" s="35">
        <f>IF($F939="","",IFERROR(INDEX(사건마스터!$AS$5:$AS$64,MATCH($F939,사건마스터!$A$5:$A$64,0)),""))</f>
        <v/>
      </c>
      <c r="W939" s="35">
        <f>IF($F939="","",IFERROR(INDEX(사건마스터!$AT$5:$AT$64,MATCH($F939,사건마스터!$A$5:$A$64,0)),""))</f>
        <v/>
      </c>
      <c r="X939" s="35">
        <f>IF($F939="","",IFERROR(INDEX(사건마스터!$AU$5:$AU$64,MATCH($F939,사건마스터!$A$5:$A$64,0)),""))</f>
        <v/>
      </c>
      <c r="Y939" s="35">
        <f>IF($F939="","",IFERROR(INDEX(사건마스터!$AV$5:$AV$64,MATCH($F939,사건마스터!$A$5:$A$64,0)),""))</f>
        <v/>
      </c>
      <c r="Z939" s="30">
        <f>IF(COUNTBLANK($J939:$Y939)=16,"",16-COUNTBLANK($J939:$Y939))</f>
        <v/>
      </c>
      <c r="AA939" s="33">
        <f>IF($J939="",MID($AX939,3,255),$J939&amp;$AX939)</f>
        <v/>
      </c>
      <c r="AB939" s="34">
        <f>IF($J939="","",IFERROR(INDEX(코드설정!$D$5:$D$24,MATCH($J939,코드설정!$C$5:$C$24,0)),""))</f>
        <v/>
      </c>
      <c r="AC939" s="36" t="n"/>
      <c r="AD939" s="37" t="n"/>
      <c r="AE939" s="38" t="n"/>
      <c r="AF939" s="30">
        <f>IF(OR($B939="",$C939=""),"",$C939-$B939+1)</f>
        <v/>
      </c>
      <c r="AG939" s="32" t="n"/>
      <c r="AH939" s="36" t="n"/>
      <c r="AJ939">
        <f>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  <c r="AX939">
        <f>AW939&amp;IF($Y939="","",", "&amp;$Y939)</f>
        <v/>
      </c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0">
        <f>IF($F940="","",COUNTIF($F$5:$F940,$F940))</f>
        <v/>
      </c>
      <c r="H940" s="33">
        <f>IF($F940="","",IFERROR(INDEX(사건마스터!$B$5:$B$64,MATCH($F940,사건마스터!$A$5:$A$64,0)),""))</f>
        <v/>
      </c>
      <c r="I940" s="34">
        <f>IF($F940="","",IFERROR(INDEX(사건마스터!$C$5:$C$64,MATCH($F940,사건마스터!$A$5:$A$64,0)),""))</f>
        <v/>
      </c>
      <c r="J940" s="35">
        <f>IF($F940="","",IFERROR(INDEX(사건마스터!$H$5:$H$64,MATCH($F940,사건마스터!$A$5:$A$64,0)),""))</f>
        <v/>
      </c>
      <c r="K940" s="35">
        <f>IF($F940="","",IFERROR(INDEX(사건마스터!$AH$5:$AH$64,MATCH($F940,사건마스터!$A$5:$A$64,0)),""))</f>
        <v/>
      </c>
      <c r="L940" s="35">
        <f>IF($F940="","",IFERROR(INDEX(사건마스터!$AI$5:$AI$64,MATCH($F940,사건마스터!$A$5:$A$64,0)),""))</f>
        <v/>
      </c>
      <c r="M940" s="35">
        <f>IF($F940="","",IFERROR(INDEX(사건마스터!$AJ$5:$AJ$64,MATCH($F940,사건마스터!$A$5:$A$64,0)),""))</f>
        <v/>
      </c>
      <c r="N940" s="35">
        <f>IF($F940="","",IFERROR(INDEX(사건마스터!$AK$5:$AK$64,MATCH($F940,사건마스터!$A$5:$A$64,0)),""))</f>
        <v/>
      </c>
      <c r="O940" s="35">
        <f>IF($F940="","",IFERROR(INDEX(사건마스터!$AL$5:$AL$64,MATCH($F940,사건마스터!$A$5:$A$64,0)),""))</f>
        <v/>
      </c>
      <c r="P940" s="35">
        <f>IF($F940="","",IFERROR(INDEX(사건마스터!$AM$5:$AM$64,MATCH($F940,사건마스터!$A$5:$A$64,0)),""))</f>
        <v/>
      </c>
      <c r="Q940" s="35">
        <f>IF($F940="","",IFERROR(INDEX(사건마스터!$AN$5:$AN$64,MATCH($F940,사건마스터!$A$5:$A$64,0)),""))</f>
        <v/>
      </c>
      <c r="R940" s="35">
        <f>IF($F940="","",IFERROR(INDEX(사건마스터!$AO$5:$AO$64,MATCH($F940,사건마스터!$A$5:$A$64,0)),""))</f>
        <v/>
      </c>
      <c r="S940" s="35">
        <f>IF($F940="","",IFERROR(INDEX(사건마스터!$AP$5:$AP$64,MATCH($F940,사건마스터!$A$5:$A$64,0)),""))</f>
        <v/>
      </c>
      <c r="T940" s="35">
        <f>IF($F940="","",IFERROR(INDEX(사건마스터!$AQ$5:$AQ$64,MATCH($F940,사건마스터!$A$5:$A$64,0)),""))</f>
        <v/>
      </c>
      <c r="U940" s="35">
        <f>IF($F940="","",IFERROR(INDEX(사건마스터!$AR$5:$AR$64,MATCH($F940,사건마스터!$A$5:$A$64,0)),""))</f>
        <v/>
      </c>
      <c r="V940" s="35">
        <f>IF($F940="","",IFERROR(INDEX(사건마스터!$AS$5:$AS$64,MATCH($F940,사건마스터!$A$5:$A$64,0)),""))</f>
        <v/>
      </c>
      <c r="W940" s="35">
        <f>IF($F940="","",IFERROR(INDEX(사건마스터!$AT$5:$AT$64,MATCH($F940,사건마스터!$A$5:$A$64,0)),""))</f>
        <v/>
      </c>
      <c r="X940" s="35">
        <f>IF($F940="","",IFERROR(INDEX(사건마스터!$AU$5:$AU$64,MATCH($F940,사건마스터!$A$5:$A$64,0)),""))</f>
        <v/>
      </c>
      <c r="Y940" s="35">
        <f>IF($F940="","",IFERROR(INDEX(사건마스터!$AV$5:$AV$64,MATCH($F940,사건마스터!$A$5:$A$64,0)),""))</f>
        <v/>
      </c>
      <c r="Z940" s="30">
        <f>IF(COUNTBLANK($J940:$Y940)=16,"",16-COUNTBLANK($J940:$Y940))</f>
        <v/>
      </c>
      <c r="AA940" s="33">
        <f>IF($J940="",MID($AX940,3,255),$J940&amp;$AX940)</f>
        <v/>
      </c>
      <c r="AB940" s="34">
        <f>IF($J940="","",IFERROR(INDEX(코드설정!$D$5:$D$24,MATCH($J940,코드설정!$C$5:$C$24,0)),""))</f>
        <v/>
      </c>
      <c r="AC940" s="36" t="n"/>
      <c r="AD940" s="37" t="n"/>
      <c r="AE940" s="38" t="n"/>
      <c r="AF940" s="30">
        <f>IF(OR($B940="",$C940=""),"",$C940-$B940+1)</f>
        <v/>
      </c>
      <c r="AG940" s="32" t="n"/>
      <c r="AH940" s="36" t="n"/>
      <c r="AJ940">
        <f>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  <c r="AX940">
        <f>AW940&amp;IF($Y940="","",", "&amp;$Y940)</f>
        <v/>
      </c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0">
        <f>IF($F941="","",COUNTIF($F$5:$F941,$F941))</f>
        <v/>
      </c>
      <c r="H941" s="33">
        <f>IF($F941="","",IFERROR(INDEX(사건마스터!$B$5:$B$64,MATCH($F941,사건마스터!$A$5:$A$64,0)),""))</f>
        <v/>
      </c>
      <c r="I941" s="34">
        <f>IF($F941="","",IFERROR(INDEX(사건마스터!$C$5:$C$64,MATCH($F941,사건마스터!$A$5:$A$64,0)),""))</f>
        <v/>
      </c>
      <c r="J941" s="35">
        <f>IF($F941="","",IFERROR(INDEX(사건마스터!$H$5:$H$64,MATCH($F941,사건마스터!$A$5:$A$64,0)),""))</f>
        <v/>
      </c>
      <c r="K941" s="35">
        <f>IF($F941="","",IFERROR(INDEX(사건마스터!$AH$5:$AH$64,MATCH($F941,사건마스터!$A$5:$A$64,0)),""))</f>
        <v/>
      </c>
      <c r="L941" s="35">
        <f>IF($F941="","",IFERROR(INDEX(사건마스터!$AI$5:$AI$64,MATCH($F941,사건마스터!$A$5:$A$64,0)),""))</f>
        <v/>
      </c>
      <c r="M941" s="35">
        <f>IF($F941="","",IFERROR(INDEX(사건마스터!$AJ$5:$AJ$64,MATCH($F941,사건마스터!$A$5:$A$64,0)),""))</f>
        <v/>
      </c>
      <c r="N941" s="35">
        <f>IF($F941="","",IFERROR(INDEX(사건마스터!$AK$5:$AK$64,MATCH($F941,사건마스터!$A$5:$A$64,0)),""))</f>
        <v/>
      </c>
      <c r="O941" s="35">
        <f>IF($F941="","",IFERROR(INDEX(사건마스터!$AL$5:$AL$64,MATCH($F941,사건마스터!$A$5:$A$64,0)),""))</f>
        <v/>
      </c>
      <c r="P941" s="35">
        <f>IF($F941="","",IFERROR(INDEX(사건마스터!$AM$5:$AM$64,MATCH($F941,사건마스터!$A$5:$A$64,0)),""))</f>
        <v/>
      </c>
      <c r="Q941" s="35">
        <f>IF($F941="","",IFERROR(INDEX(사건마스터!$AN$5:$AN$64,MATCH($F941,사건마스터!$A$5:$A$64,0)),""))</f>
        <v/>
      </c>
      <c r="R941" s="35">
        <f>IF($F941="","",IFERROR(INDEX(사건마스터!$AO$5:$AO$64,MATCH($F941,사건마스터!$A$5:$A$64,0)),""))</f>
        <v/>
      </c>
      <c r="S941" s="35">
        <f>IF($F941="","",IFERROR(INDEX(사건마스터!$AP$5:$AP$64,MATCH($F941,사건마스터!$A$5:$A$64,0)),""))</f>
        <v/>
      </c>
      <c r="T941" s="35">
        <f>IF($F941="","",IFERROR(INDEX(사건마스터!$AQ$5:$AQ$64,MATCH($F941,사건마스터!$A$5:$A$64,0)),""))</f>
        <v/>
      </c>
      <c r="U941" s="35">
        <f>IF($F941="","",IFERROR(INDEX(사건마스터!$AR$5:$AR$64,MATCH($F941,사건마스터!$A$5:$A$64,0)),""))</f>
        <v/>
      </c>
      <c r="V941" s="35">
        <f>IF($F941="","",IFERROR(INDEX(사건마스터!$AS$5:$AS$64,MATCH($F941,사건마스터!$A$5:$A$64,0)),""))</f>
        <v/>
      </c>
      <c r="W941" s="35">
        <f>IF($F941="","",IFERROR(INDEX(사건마스터!$AT$5:$AT$64,MATCH($F941,사건마스터!$A$5:$A$64,0)),""))</f>
        <v/>
      </c>
      <c r="X941" s="35">
        <f>IF($F941="","",IFERROR(INDEX(사건마스터!$AU$5:$AU$64,MATCH($F941,사건마스터!$A$5:$A$64,0)),""))</f>
        <v/>
      </c>
      <c r="Y941" s="35">
        <f>IF($F941="","",IFERROR(INDEX(사건마스터!$AV$5:$AV$64,MATCH($F941,사건마스터!$A$5:$A$64,0)),""))</f>
        <v/>
      </c>
      <c r="Z941" s="30">
        <f>IF(COUNTBLANK($J941:$Y941)=16,"",16-COUNTBLANK($J941:$Y941))</f>
        <v/>
      </c>
      <c r="AA941" s="33">
        <f>IF($J941="",MID($AX941,3,255),$J941&amp;$AX941)</f>
        <v/>
      </c>
      <c r="AB941" s="34">
        <f>IF($J941="","",IFERROR(INDEX(코드설정!$D$5:$D$24,MATCH($J941,코드설정!$C$5:$C$24,0)),""))</f>
        <v/>
      </c>
      <c r="AC941" s="36" t="n"/>
      <c r="AD941" s="37" t="n"/>
      <c r="AE941" s="38" t="n"/>
      <c r="AF941" s="30">
        <f>IF(OR($B941="",$C941=""),"",$C941-$B941+1)</f>
        <v/>
      </c>
      <c r="AG941" s="32" t="n"/>
      <c r="AH941" s="36" t="n"/>
      <c r="AJ941">
        <f>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  <c r="AX941">
        <f>AW941&amp;IF($Y941="","",", "&amp;$Y941)</f>
        <v/>
      </c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0">
        <f>IF($F942="","",COUNTIF($F$5:$F942,$F942))</f>
        <v/>
      </c>
      <c r="H942" s="33">
        <f>IF($F942="","",IFERROR(INDEX(사건마스터!$B$5:$B$64,MATCH($F942,사건마스터!$A$5:$A$64,0)),""))</f>
        <v/>
      </c>
      <c r="I942" s="34">
        <f>IF($F942="","",IFERROR(INDEX(사건마스터!$C$5:$C$64,MATCH($F942,사건마스터!$A$5:$A$64,0)),""))</f>
        <v/>
      </c>
      <c r="J942" s="35">
        <f>IF($F942="","",IFERROR(INDEX(사건마스터!$H$5:$H$64,MATCH($F942,사건마스터!$A$5:$A$64,0)),""))</f>
        <v/>
      </c>
      <c r="K942" s="35">
        <f>IF($F942="","",IFERROR(INDEX(사건마스터!$AH$5:$AH$64,MATCH($F942,사건마스터!$A$5:$A$64,0)),""))</f>
        <v/>
      </c>
      <c r="L942" s="35">
        <f>IF($F942="","",IFERROR(INDEX(사건마스터!$AI$5:$AI$64,MATCH($F942,사건마스터!$A$5:$A$64,0)),""))</f>
        <v/>
      </c>
      <c r="M942" s="35">
        <f>IF($F942="","",IFERROR(INDEX(사건마스터!$AJ$5:$AJ$64,MATCH($F942,사건마스터!$A$5:$A$64,0)),""))</f>
        <v/>
      </c>
      <c r="N942" s="35">
        <f>IF($F942="","",IFERROR(INDEX(사건마스터!$AK$5:$AK$64,MATCH($F942,사건마스터!$A$5:$A$64,0)),""))</f>
        <v/>
      </c>
      <c r="O942" s="35">
        <f>IF($F942="","",IFERROR(INDEX(사건마스터!$AL$5:$AL$64,MATCH($F942,사건마스터!$A$5:$A$64,0)),""))</f>
        <v/>
      </c>
      <c r="P942" s="35">
        <f>IF($F942="","",IFERROR(INDEX(사건마스터!$AM$5:$AM$64,MATCH($F942,사건마스터!$A$5:$A$64,0)),""))</f>
        <v/>
      </c>
      <c r="Q942" s="35">
        <f>IF($F942="","",IFERROR(INDEX(사건마스터!$AN$5:$AN$64,MATCH($F942,사건마스터!$A$5:$A$64,0)),""))</f>
        <v/>
      </c>
      <c r="R942" s="35">
        <f>IF($F942="","",IFERROR(INDEX(사건마스터!$AO$5:$AO$64,MATCH($F942,사건마스터!$A$5:$A$64,0)),""))</f>
        <v/>
      </c>
      <c r="S942" s="35">
        <f>IF($F942="","",IFERROR(INDEX(사건마스터!$AP$5:$AP$64,MATCH($F942,사건마스터!$A$5:$A$64,0)),""))</f>
        <v/>
      </c>
      <c r="T942" s="35">
        <f>IF($F942="","",IFERROR(INDEX(사건마스터!$AQ$5:$AQ$64,MATCH($F942,사건마스터!$A$5:$A$64,0)),""))</f>
        <v/>
      </c>
      <c r="U942" s="35">
        <f>IF($F942="","",IFERROR(INDEX(사건마스터!$AR$5:$AR$64,MATCH($F942,사건마스터!$A$5:$A$64,0)),""))</f>
        <v/>
      </c>
      <c r="V942" s="35">
        <f>IF($F942="","",IFERROR(INDEX(사건마스터!$AS$5:$AS$64,MATCH($F942,사건마스터!$A$5:$A$64,0)),""))</f>
        <v/>
      </c>
      <c r="W942" s="35">
        <f>IF($F942="","",IFERROR(INDEX(사건마스터!$AT$5:$AT$64,MATCH($F942,사건마스터!$A$5:$A$64,0)),""))</f>
        <v/>
      </c>
      <c r="X942" s="35">
        <f>IF($F942="","",IFERROR(INDEX(사건마스터!$AU$5:$AU$64,MATCH($F942,사건마스터!$A$5:$A$64,0)),""))</f>
        <v/>
      </c>
      <c r="Y942" s="35">
        <f>IF($F942="","",IFERROR(INDEX(사건마스터!$AV$5:$AV$64,MATCH($F942,사건마스터!$A$5:$A$64,0)),""))</f>
        <v/>
      </c>
      <c r="Z942" s="30">
        <f>IF(COUNTBLANK($J942:$Y942)=16,"",16-COUNTBLANK($J942:$Y942))</f>
        <v/>
      </c>
      <c r="AA942" s="33">
        <f>IF($J942="",MID($AX942,3,255),$J942&amp;$AX942)</f>
        <v/>
      </c>
      <c r="AB942" s="34">
        <f>IF($J942="","",IFERROR(INDEX(코드설정!$D$5:$D$24,MATCH($J942,코드설정!$C$5:$C$24,0)),""))</f>
        <v/>
      </c>
      <c r="AC942" s="36" t="n"/>
      <c r="AD942" s="37" t="n"/>
      <c r="AE942" s="38" t="n"/>
      <c r="AF942" s="30">
        <f>IF(OR($B942="",$C942=""),"",$C942-$B942+1)</f>
        <v/>
      </c>
      <c r="AG942" s="32" t="n"/>
      <c r="AH942" s="36" t="n"/>
      <c r="AJ942">
        <f>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  <c r="AX942">
        <f>AW942&amp;IF($Y942="","",", "&amp;$Y942)</f>
        <v/>
      </c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0">
        <f>IF($F943="","",COUNTIF($F$5:$F943,$F943))</f>
        <v/>
      </c>
      <c r="H943" s="33">
        <f>IF($F943="","",IFERROR(INDEX(사건마스터!$B$5:$B$64,MATCH($F943,사건마스터!$A$5:$A$64,0)),""))</f>
        <v/>
      </c>
      <c r="I943" s="34">
        <f>IF($F943="","",IFERROR(INDEX(사건마스터!$C$5:$C$64,MATCH($F943,사건마스터!$A$5:$A$64,0)),""))</f>
        <v/>
      </c>
      <c r="J943" s="35">
        <f>IF($F943="","",IFERROR(INDEX(사건마스터!$H$5:$H$64,MATCH($F943,사건마스터!$A$5:$A$64,0)),""))</f>
        <v/>
      </c>
      <c r="K943" s="35">
        <f>IF($F943="","",IFERROR(INDEX(사건마스터!$AH$5:$AH$64,MATCH($F943,사건마스터!$A$5:$A$64,0)),""))</f>
        <v/>
      </c>
      <c r="L943" s="35">
        <f>IF($F943="","",IFERROR(INDEX(사건마스터!$AI$5:$AI$64,MATCH($F943,사건마스터!$A$5:$A$64,0)),""))</f>
        <v/>
      </c>
      <c r="M943" s="35">
        <f>IF($F943="","",IFERROR(INDEX(사건마스터!$AJ$5:$AJ$64,MATCH($F943,사건마스터!$A$5:$A$64,0)),""))</f>
        <v/>
      </c>
      <c r="N943" s="35">
        <f>IF($F943="","",IFERROR(INDEX(사건마스터!$AK$5:$AK$64,MATCH($F943,사건마스터!$A$5:$A$64,0)),""))</f>
        <v/>
      </c>
      <c r="O943" s="35">
        <f>IF($F943="","",IFERROR(INDEX(사건마스터!$AL$5:$AL$64,MATCH($F943,사건마스터!$A$5:$A$64,0)),""))</f>
        <v/>
      </c>
      <c r="P943" s="35">
        <f>IF($F943="","",IFERROR(INDEX(사건마스터!$AM$5:$AM$64,MATCH($F943,사건마스터!$A$5:$A$64,0)),""))</f>
        <v/>
      </c>
      <c r="Q943" s="35">
        <f>IF($F943="","",IFERROR(INDEX(사건마스터!$AN$5:$AN$64,MATCH($F943,사건마스터!$A$5:$A$64,0)),""))</f>
        <v/>
      </c>
      <c r="R943" s="35">
        <f>IF($F943="","",IFERROR(INDEX(사건마스터!$AO$5:$AO$64,MATCH($F943,사건마스터!$A$5:$A$64,0)),""))</f>
        <v/>
      </c>
      <c r="S943" s="35">
        <f>IF($F943="","",IFERROR(INDEX(사건마스터!$AP$5:$AP$64,MATCH($F943,사건마스터!$A$5:$A$64,0)),""))</f>
        <v/>
      </c>
      <c r="T943" s="35">
        <f>IF($F943="","",IFERROR(INDEX(사건마스터!$AQ$5:$AQ$64,MATCH($F943,사건마스터!$A$5:$A$64,0)),""))</f>
        <v/>
      </c>
      <c r="U943" s="35">
        <f>IF($F943="","",IFERROR(INDEX(사건마스터!$AR$5:$AR$64,MATCH($F943,사건마스터!$A$5:$A$64,0)),""))</f>
        <v/>
      </c>
      <c r="V943" s="35">
        <f>IF($F943="","",IFERROR(INDEX(사건마스터!$AS$5:$AS$64,MATCH($F943,사건마스터!$A$5:$A$64,0)),""))</f>
        <v/>
      </c>
      <c r="W943" s="35">
        <f>IF($F943="","",IFERROR(INDEX(사건마스터!$AT$5:$AT$64,MATCH($F943,사건마스터!$A$5:$A$64,0)),""))</f>
        <v/>
      </c>
      <c r="X943" s="35">
        <f>IF($F943="","",IFERROR(INDEX(사건마스터!$AU$5:$AU$64,MATCH($F943,사건마스터!$A$5:$A$64,0)),""))</f>
        <v/>
      </c>
      <c r="Y943" s="35">
        <f>IF($F943="","",IFERROR(INDEX(사건마스터!$AV$5:$AV$64,MATCH($F943,사건마스터!$A$5:$A$64,0)),""))</f>
        <v/>
      </c>
      <c r="Z943" s="30">
        <f>IF(COUNTBLANK($J943:$Y943)=16,"",16-COUNTBLANK($J943:$Y943))</f>
        <v/>
      </c>
      <c r="AA943" s="33">
        <f>IF($J943="",MID($AX943,3,255),$J943&amp;$AX943)</f>
        <v/>
      </c>
      <c r="AB943" s="34">
        <f>IF($J943="","",IFERROR(INDEX(코드설정!$D$5:$D$24,MATCH($J943,코드설정!$C$5:$C$24,0)),""))</f>
        <v/>
      </c>
      <c r="AC943" s="36" t="n"/>
      <c r="AD943" s="37" t="n"/>
      <c r="AE943" s="38" t="n"/>
      <c r="AF943" s="30">
        <f>IF(OR($B943="",$C943=""),"",$C943-$B943+1)</f>
        <v/>
      </c>
      <c r="AG943" s="32" t="n"/>
      <c r="AH943" s="36" t="n"/>
      <c r="AJ943">
        <f>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  <c r="AX943">
        <f>AW943&amp;IF($Y943="","",", "&amp;$Y943)</f>
        <v/>
      </c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0">
        <f>IF($F944="","",COUNTIF($F$5:$F944,$F944))</f>
        <v/>
      </c>
      <c r="H944" s="33">
        <f>IF($F944="","",IFERROR(INDEX(사건마스터!$B$5:$B$64,MATCH($F944,사건마스터!$A$5:$A$64,0)),""))</f>
        <v/>
      </c>
      <c r="I944" s="34">
        <f>IF($F944="","",IFERROR(INDEX(사건마스터!$C$5:$C$64,MATCH($F944,사건마스터!$A$5:$A$64,0)),""))</f>
        <v/>
      </c>
      <c r="J944" s="35">
        <f>IF($F944="","",IFERROR(INDEX(사건마스터!$H$5:$H$64,MATCH($F944,사건마스터!$A$5:$A$64,0)),""))</f>
        <v/>
      </c>
      <c r="K944" s="35">
        <f>IF($F944="","",IFERROR(INDEX(사건마스터!$AH$5:$AH$64,MATCH($F944,사건마스터!$A$5:$A$64,0)),""))</f>
        <v/>
      </c>
      <c r="L944" s="35">
        <f>IF($F944="","",IFERROR(INDEX(사건마스터!$AI$5:$AI$64,MATCH($F944,사건마스터!$A$5:$A$64,0)),""))</f>
        <v/>
      </c>
      <c r="M944" s="35">
        <f>IF($F944="","",IFERROR(INDEX(사건마스터!$AJ$5:$AJ$64,MATCH($F944,사건마스터!$A$5:$A$64,0)),""))</f>
        <v/>
      </c>
      <c r="N944" s="35">
        <f>IF($F944="","",IFERROR(INDEX(사건마스터!$AK$5:$AK$64,MATCH($F944,사건마스터!$A$5:$A$64,0)),""))</f>
        <v/>
      </c>
      <c r="O944" s="35">
        <f>IF($F944="","",IFERROR(INDEX(사건마스터!$AL$5:$AL$64,MATCH($F944,사건마스터!$A$5:$A$64,0)),""))</f>
        <v/>
      </c>
      <c r="P944" s="35">
        <f>IF($F944="","",IFERROR(INDEX(사건마스터!$AM$5:$AM$64,MATCH($F944,사건마스터!$A$5:$A$64,0)),""))</f>
        <v/>
      </c>
      <c r="Q944" s="35">
        <f>IF($F944="","",IFERROR(INDEX(사건마스터!$AN$5:$AN$64,MATCH($F944,사건마스터!$A$5:$A$64,0)),""))</f>
        <v/>
      </c>
      <c r="R944" s="35">
        <f>IF($F944="","",IFERROR(INDEX(사건마스터!$AO$5:$AO$64,MATCH($F944,사건마스터!$A$5:$A$64,0)),""))</f>
        <v/>
      </c>
      <c r="S944" s="35">
        <f>IF($F944="","",IFERROR(INDEX(사건마스터!$AP$5:$AP$64,MATCH($F944,사건마스터!$A$5:$A$64,0)),""))</f>
        <v/>
      </c>
      <c r="T944" s="35">
        <f>IF($F944="","",IFERROR(INDEX(사건마스터!$AQ$5:$AQ$64,MATCH($F944,사건마스터!$A$5:$A$64,0)),""))</f>
        <v/>
      </c>
      <c r="U944" s="35">
        <f>IF($F944="","",IFERROR(INDEX(사건마스터!$AR$5:$AR$64,MATCH($F944,사건마스터!$A$5:$A$64,0)),""))</f>
        <v/>
      </c>
      <c r="V944" s="35">
        <f>IF($F944="","",IFERROR(INDEX(사건마스터!$AS$5:$AS$64,MATCH($F944,사건마스터!$A$5:$A$64,0)),""))</f>
        <v/>
      </c>
      <c r="W944" s="35">
        <f>IF($F944="","",IFERROR(INDEX(사건마스터!$AT$5:$AT$64,MATCH($F944,사건마스터!$A$5:$A$64,0)),""))</f>
        <v/>
      </c>
      <c r="X944" s="35">
        <f>IF($F944="","",IFERROR(INDEX(사건마스터!$AU$5:$AU$64,MATCH($F944,사건마스터!$A$5:$A$64,0)),""))</f>
        <v/>
      </c>
      <c r="Y944" s="35">
        <f>IF($F944="","",IFERROR(INDEX(사건마스터!$AV$5:$AV$64,MATCH($F944,사건마스터!$A$5:$A$64,0)),""))</f>
        <v/>
      </c>
      <c r="Z944" s="30">
        <f>IF(COUNTBLANK($J944:$Y944)=16,"",16-COUNTBLANK($J944:$Y944))</f>
        <v/>
      </c>
      <c r="AA944" s="33">
        <f>IF($J944="",MID($AX944,3,255),$J944&amp;$AX944)</f>
        <v/>
      </c>
      <c r="AB944" s="34">
        <f>IF($J944="","",IFERROR(INDEX(코드설정!$D$5:$D$24,MATCH($J944,코드설정!$C$5:$C$24,0)),""))</f>
        <v/>
      </c>
      <c r="AC944" s="36" t="n"/>
      <c r="AD944" s="37" t="n"/>
      <c r="AE944" s="38" t="n"/>
      <c r="AF944" s="30">
        <f>IF(OR($B944="",$C944=""),"",$C944-$B944+1)</f>
        <v/>
      </c>
      <c r="AG944" s="32" t="n"/>
      <c r="AH944" s="36" t="n"/>
      <c r="AJ944">
        <f>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  <c r="AX944">
        <f>AW944&amp;IF($Y944="","",", "&amp;$Y944)</f>
        <v/>
      </c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0">
        <f>IF($F945="","",COUNTIF($F$5:$F945,$F945))</f>
        <v/>
      </c>
      <c r="H945" s="33">
        <f>IF($F945="","",IFERROR(INDEX(사건마스터!$B$5:$B$64,MATCH($F945,사건마스터!$A$5:$A$64,0)),""))</f>
        <v/>
      </c>
      <c r="I945" s="34">
        <f>IF($F945="","",IFERROR(INDEX(사건마스터!$C$5:$C$64,MATCH($F945,사건마스터!$A$5:$A$64,0)),""))</f>
        <v/>
      </c>
      <c r="J945" s="35">
        <f>IF($F945="","",IFERROR(INDEX(사건마스터!$H$5:$H$64,MATCH($F945,사건마스터!$A$5:$A$64,0)),""))</f>
        <v/>
      </c>
      <c r="K945" s="35">
        <f>IF($F945="","",IFERROR(INDEX(사건마스터!$AH$5:$AH$64,MATCH($F945,사건마스터!$A$5:$A$64,0)),""))</f>
        <v/>
      </c>
      <c r="L945" s="35">
        <f>IF($F945="","",IFERROR(INDEX(사건마스터!$AI$5:$AI$64,MATCH($F945,사건마스터!$A$5:$A$64,0)),""))</f>
        <v/>
      </c>
      <c r="M945" s="35">
        <f>IF($F945="","",IFERROR(INDEX(사건마스터!$AJ$5:$AJ$64,MATCH($F945,사건마스터!$A$5:$A$64,0)),""))</f>
        <v/>
      </c>
      <c r="N945" s="35">
        <f>IF($F945="","",IFERROR(INDEX(사건마스터!$AK$5:$AK$64,MATCH($F945,사건마스터!$A$5:$A$64,0)),""))</f>
        <v/>
      </c>
      <c r="O945" s="35">
        <f>IF($F945="","",IFERROR(INDEX(사건마스터!$AL$5:$AL$64,MATCH($F945,사건마스터!$A$5:$A$64,0)),""))</f>
        <v/>
      </c>
      <c r="P945" s="35">
        <f>IF($F945="","",IFERROR(INDEX(사건마스터!$AM$5:$AM$64,MATCH($F945,사건마스터!$A$5:$A$64,0)),""))</f>
        <v/>
      </c>
      <c r="Q945" s="35">
        <f>IF($F945="","",IFERROR(INDEX(사건마스터!$AN$5:$AN$64,MATCH($F945,사건마스터!$A$5:$A$64,0)),""))</f>
        <v/>
      </c>
      <c r="R945" s="35">
        <f>IF($F945="","",IFERROR(INDEX(사건마스터!$AO$5:$AO$64,MATCH($F945,사건마스터!$A$5:$A$64,0)),""))</f>
        <v/>
      </c>
      <c r="S945" s="35">
        <f>IF($F945="","",IFERROR(INDEX(사건마스터!$AP$5:$AP$64,MATCH($F945,사건마스터!$A$5:$A$64,0)),""))</f>
        <v/>
      </c>
      <c r="T945" s="35">
        <f>IF($F945="","",IFERROR(INDEX(사건마스터!$AQ$5:$AQ$64,MATCH($F945,사건마스터!$A$5:$A$64,0)),""))</f>
        <v/>
      </c>
      <c r="U945" s="35">
        <f>IF($F945="","",IFERROR(INDEX(사건마스터!$AR$5:$AR$64,MATCH($F945,사건마스터!$A$5:$A$64,0)),""))</f>
        <v/>
      </c>
      <c r="V945" s="35">
        <f>IF($F945="","",IFERROR(INDEX(사건마스터!$AS$5:$AS$64,MATCH($F945,사건마스터!$A$5:$A$64,0)),""))</f>
        <v/>
      </c>
      <c r="W945" s="35">
        <f>IF($F945="","",IFERROR(INDEX(사건마스터!$AT$5:$AT$64,MATCH($F945,사건마스터!$A$5:$A$64,0)),""))</f>
        <v/>
      </c>
      <c r="X945" s="35">
        <f>IF($F945="","",IFERROR(INDEX(사건마스터!$AU$5:$AU$64,MATCH($F945,사건마스터!$A$5:$A$64,0)),""))</f>
        <v/>
      </c>
      <c r="Y945" s="35">
        <f>IF($F945="","",IFERROR(INDEX(사건마스터!$AV$5:$AV$64,MATCH($F945,사건마스터!$A$5:$A$64,0)),""))</f>
        <v/>
      </c>
      <c r="Z945" s="30">
        <f>IF(COUNTBLANK($J945:$Y945)=16,"",16-COUNTBLANK($J945:$Y945))</f>
        <v/>
      </c>
      <c r="AA945" s="33">
        <f>IF($J945="",MID($AX945,3,255),$J945&amp;$AX945)</f>
        <v/>
      </c>
      <c r="AB945" s="34">
        <f>IF($J945="","",IFERROR(INDEX(코드설정!$D$5:$D$24,MATCH($J945,코드설정!$C$5:$C$24,0)),""))</f>
        <v/>
      </c>
      <c r="AC945" s="36" t="n"/>
      <c r="AD945" s="37" t="n"/>
      <c r="AE945" s="38" t="n"/>
      <c r="AF945" s="30">
        <f>IF(OR($B945="",$C945=""),"",$C945-$B945+1)</f>
        <v/>
      </c>
      <c r="AG945" s="32" t="n"/>
      <c r="AH945" s="36" t="n"/>
      <c r="AJ945">
        <f>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  <c r="AX945">
        <f>AW945&amp;IF($Y945="","",", "&amp;$Y945)</f>
        <v/>
      </c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0">
        <f>IF($F946="","",COUNTIF($F$5:$F946,$F946))</f>
        <v/>
      </c>
      <c r="H946" s="33">
        <f>IF($F946="","",IFERROR(INDEX(사건마스터!$B$5:$B$64,MATCH($F946,사건마스터!$A$5:$A$64,0)),""))</f>
        <v/>
      </c>
      <c r="I946" s="34">
        <f>IF($F946="","",IFERROR(INDEX(사건마스터!$C$5:$C$64,MATCH($F946,사건마스터!$A$5:$A$64,0)),""))</f>
        <v/>
      </c>
      <c r="J946" s="35">
        <f>IF($F946="","",IFERROR(INDEX(사건마스터!$H$5:$H$64,MATCH($F946,사건마스터!$A$5:$A$64,0)),""))</f>
        <v/>
      </c>
      <c r="K946" s="35">
        <f>IF($F946="","",IFERROR(INDEX(사건마스터!$AH$5:$AH$64,MATCH($F946,사건마스터!$A$5:$A$64,0)),""))</f>
        <v/>
      </c>
      <c r="L946" s="35">
        <f>IF($F946="","",IFERROR(INDEX(사건마스터!$AI$5:$AI$64,MATCH($F946,사건마스터!$A$5:$A$64,0)),""))</f>
        <v/>
      </c>
      <c r="M946" s="35">
        <f>IF($F946="","",IFERROR(INDEX(사건마스터!$AJ$5:$AJ$64,MATCH($F946,사건마스터!$A$5:$A$64,0)),""))</f>
        <v/>
      </c>
      <c r="N946" s="35">
        <f>IF($F946="","",IFERROR(INDEX(사건마스터!$AK$5:$AK$64,MATCH($F946,사건마스터!$A$5:$A$64,0)),""))</f>
        <v/>
      </c>
      <c r="O946" s="35">
        <f>IF($F946="","",IFERROR(INDEX(사건마스터!$AL$5:$AL$64,MATCH($F946,사건마스터!$A$5:$A$64,0)),""))</f>
        <v/>
      </c>
      <c r="P946" s="35">
        <f>IF($F946="","",IFERROR(INDEX(사건마스터!$AM$5:$AM$64,MATCH($F946,사건마스터!$A$5:$A$64,0)),""))</f>
        <v/>
      </c>
      <c r="Q946" s="35">
        <f>IF($F946="","",IFERROR(INDEX(사건마스터!$AN$5:$AN$64,MATCH($F946,사건마스터!$A$5:$A$64,0)),""))</f>
        <v/>
      </c>
      <c r="R946" s="35">
        <f>IF($F946="","",IFERROR(INDEX(사건마스터!$AO$5:$AO$64,MATCH($F946,사건마스터!$A$5:$A$64,0)),""))</f>
        <v/>
      </c>
      <c r="S946" s="35">
        <f>IF($F946="","",IFERROR(INDEX(사건마스터!$AP$5:$AP$64,MATCH($F946,사건마스터!$A$5:$A$64,0)),""))</f>
        <v/>
      </c>
      <c r="T946" s="35">
        <f>IF($F946="","",IFERROR(INDEX(사건마스터!$AQ$5:$AQ$64,MATCH($F946,사건마스터!$A$5:$A$64,0)),""))</f>
        <v/>
      </c>
      <c r="U946" s="35">
        <f>IF($F946="","",IFERROR(INDEX(사건마스터!$AR$5:$AR$64,MATCH($F946,사건마스터!$A$5:$A$64,0)),""))</f>
        <v/>
      </c>
      <c r="V946" s="35">
        <f>IF($F946="","",IFERROR(INDEX(사건마스터!$AS$5:$AS$64,MATCH($F946,사건마스터!$A$5:$A$64,0)),""))</f>
        <v/>
      </c>
      <c r="W946" s="35">
        <f>IF($F946="","",IFERROR(INDEX(사건마스터!$AT$5:$AT$64,MATCH($F946,사건마스터!$A$5:$A$64,0)),""))</f>
        <v/>
      </c>
      <c r="X946" s="35">
        <f>IF($F946="","",IFERROR(INDEX(사건마스터!$AU$5:$AU$64,MATCH($F946,사건마스터!$A$5:$A$64,0)),""))</f>
        <v/>
      </c>
      <c r="Y946" s="35">
        <f>IF($F946="","",IFERROR(INDEX(사건마스터!$AV$5:$AV$64,MATCH($F946,사건마스터!$A$5:$A$64,0)),""))</f>
        <v/>
      </c>
      <c r="Z946" s="30">
        <f>IF(COUNTBLANK($J946:$Y946)=16,"",16-COUNTBLANK($J946:$Y946))</f>
        <v/>
      </c>
      <c r="AA946" s="33">
        <f>IF($J946="",MID($AX946,3,255),$J946&amp;$AX946)</f>
        <v/>
      </c>
      <c r="AB946" s="34">
        <f>IF($J946="","",IFERROR(INDEX(코드설정!$D$5:$D$24,MATCH($J946,코드설정!$C$5:$C$24,0)),""))</f>
        <v/>
      </c>
      <c r="AC946" s="36" t="n"/>
      <c r="AD946" s="37" t="n"/>
      <c r="AE946" s="38" t="n"/>
      <c r="AF946" s="30">
        <f>IF(OR($B946="",$C946=""),"",$C946-$B946+1)</f>
        <v/>
      </c>
      <c r="AG946" s="32" t="n"/>
      <c r="AH946" s="36" t="n"/>
      <c r="AJ946">
        <f>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  <c r="AX946">
        <f>AW946&amp;IF($Y946="","",", "&amp;$Y946)</f>
        <v/>
      </c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0">
        <f>IF($F947="","",COUNTIF($F$5:$F947,$F947))</f>
        <v/>
      </c>
      <c r="H947" s="33">
        <f>IF($F947="","",IFERROR(INDEX(사건마스터!$B$5:$B$64,MATCH($F947,사건마스터!$A$5:$A$64,0)),""))</f>
        <v/>
      </c>
      <c r="I947" s="34">
        <f>IF($F947="","",IFERROR(INDEX(사건마스터!$C$5:$C$64,MATCH($F947,사건마스터!$A$5:$A$64,0)),""))</f>
        <v/>
      </c>
      <c r="J947" s="35">
        <f>IF($F947="","",IFERROR(INDEX(사건마스터!$H$5:$H$64,MATCH($F947,사건마스터!$A$5:$A$64,0)),""))</f>
        <v/>
      </c>
      <c r="K947" s="35">
        <f>IF($F947="","",IFERROR(INDEX(사건마스터!$AH$5:$AH$64,MATCH($F947,사건마스터!$A$5:$A$64,0)),""))</f>
        <v/>
      </c>
      <c r="L947" s="35">
        <f>IF($F947="","",IFERROR(INDEX(사건마스터!$AI$5:$AI$64,MATCH($F947,사건마스터!$A$5:$A$64,0)),""))</f>
        <v/>
      </c>
      <c r="M947" s="35">
        <f>IF($F947="","",IFERROR(INDEX(사건마스터!$AJ$5:$AJ$64,MATCH($F947,사건마스터!$A$5:$A$64,0)),""))</f>
        <v/>
      </c>
      <c r="N947" s="35">
        <f>IF($F947="","",IFERROR(INDEX(사건마스터!$AK$5:$AK$64,MATCH($F947,사건마스터!$A$5:$A$64,0)),""))</f>
        <v/>
      </c>
      <c r="O947" s="35">
        <f>IF($F947="","",IFERROR(INDEX(사건마스터!$AL$5:$AL$64,MATCH($F947,사건마스터!$A$5:$A$64,0)),""))</f>
        <v/>
      </c>
      <c r="P947" s="35">
        <f>IF($F947="","",IFERROR(INDEX(사건마스터!$AM$5:$AM$64,MATCH($F947,사건마스터!$A$5:$A$64,0)),""))</f>
        <v/>
      </c>
      <c r="Q947" s="35">
        <f>IF($F947="","",IFERROR(INDEX(사건마스터!$AN$5:$AN$64,MATCH($F947,사건마스터!$A$5:$A$64,0)),""))</f>
        <v/>
      </c>
      <c r="R947" s="35">
        <f>IF($F947="","",IFERROR(INDEX(사건마스터!$AO$5:$AO$64,MATCH($F947,사건마스터!$A$5:$A$64,0)),""))</f>
        <v/>
      </c>
      <c r="S947" s="35">
        <f>IF($F947="","",IFERROR(INDEX(사건마스터!$AP$5:$AP$64,MATCH($F947,사건마스터!$A$5:$A$64,0)),""))</f>
        <v/>
      </c>
      <c r="T947" s="35">
        <f>IF($F947="","",IFERROR(INDEX(사건마스터!$AQ$5:$AQ$64,MATCH($F947,사건마스터!$A$5:$A$64,0)),""))</f>
        <v/>
      </c>
      <c r="U947" s="35">
        <f>IF($F947="","",IFERROR(INDEX(사건마스터!$AR$5:$AR$64,MATCH($F947,사건마스터!$A$5:$A$64,0)),""))</f>
        <v/>
      </c>
      <c r="V947" s="35">
        <f>IF($F947="","",IFERROR(INDEX(사건마스터!$AS$5:$AS$64,MATCH($F947,사건마스터!$A$5:$A$64,0)),""))</f>
        <v/>
      </c>
      <c r="W947" s="35">
        <f>IF($F947="","",IFERROR(INDEX(사건마스터!$AT$5:$AT$64,MATCH($F947,사건마스터!$A$5:$A$64,0)),""))</f>
        <v/>
      </c>
      <c r="X947" s="35">
        <f>IF($F947="","",IFERROR(INDEX(사건마스터!$AU$5:$AU$64,MATCH($F947,사건마스터!$A$5:$A$64,0)),""))</f>
        <v/>
      </c>
      <c r="Y947" s="35">
        <f>IF($F947="","",IFERROR(INDEX(사건마스터!$AV$5:$AV$64,MATCH($F947,사건마스터!$A$5:$A$64,0)),""))</f>
        <v/>
      </c>
      <c r="Z947" s="30">
        <f>IF(COUNTBLANK($J947:$Y947)=16,"",16-COUNTBLANK($J947:$Y947))</f>
        <v/>
      </c>
      <c r="AA947" s="33">
        <f>IF($J947="",MID($AX947,3,255),$J947&amp;$AX947)</f>
        <v/>
      </c>
      <c r="AB947" s="34">
        <f>IF($J947="","",IFERROR(INDEX(코드설정!$D$5:$D$24,MATCH($J947,코드설정!$C$5:$C$24,0)),""))</f>
        <v/>
      </c>
      <c r="AC947" s="36" t="n"/>
      <c r="AD947" s="37" t="n"/>
      <c r="AE947" s="38" t="n"/>
      <c r="AF947" s="30">
        <f>IF(OR($B947="",$C947=""),"",$C947-$B947+1)</f>
        <v/>
      </c>
      <c r="AG947" s="32" t="n"/>
      <c r="AH947" s="36" t="n"/>
      <c r="AJ947">
        <f>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  <c r="AX947">
        <f>AW947&amp;IF($Y947="","",", "&amp;$Y947)</f>
        <v/>
      </c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0">
        <f>IF($F948="","",COUNTIF($F$5:$F948,$F948))</f>
        <v/>
      </c>
      <c r="H948" s="33">
        <f>IF($F948="","",IFERROR(INDEX(사건마스터!$B$5:$B$64,MATCH($F948,사건마스터!$A$5:$A$64,0)),""))</f>
        <v/>
      </c>
      <c r="I948" s="34">
        <f>IF($F948="","",IFERROR(INDEX(사건마스터!$C$5:$C$64,MATCH($F948,사건마스터!$A$5:$A$64,0)),""))</f>
        <v/>
      </c>
      <c r="J948" s="35">
        <f>IF($F948="","",IFERROR(INDEX(사건마스터!$H$5:$H$64,MATCH($F948,사건마스터!$A$5:$A$64,0)),""))</f>
        <v/>
      </c>
      <c r="K948" s="35">
        <f>IF($F948="","",IFERROR(INDEX(사건마스터!$AH$5:$AH$64,MATCH($F948,사건마스터!$A$5:$A$64,0)),""))</f>
        <v/>
      </c>
      <c r="L948" s="35">
        <f>IF($F948="","",IFERROR(INDEX(사건마스터!$AI$5:$AI$64,MATCH($F948,사건마스터!$A$5:$A$64,0)),""))</f>
        <v/>
      </c>
      <c r="M948" s="35">
        <f>IF($F948="","",IFERROR(INDEX(사건마스터!$AJ$5:$AJ$64,MATCH($F948,사건마스터!$A$5:$A$64,0)),""))</f>
        <v/>
      </c>
      <c r="N948" s="35">
        <f>IF($F948="","",IFERROR(INDEX(사건마스터!$AK$5:$AK$64,MATCH($F948,사건마스터!$A$5:$A$64,0)),""))</f>
        <v/>
      </c>
      <c r="O948" s="35">
        <f>IF($F948="","",IFERROR(INDEX(사건마스터!$AL$5:$AL$64,MATCH($F948,사건마스터!$A$5:$A$64,0)),""))</f>
        <v/>
      </c>
      <c r="P948" s="35">
        <f>IF($F948="","",IFERROR(INDEX(사건마스터!$AM$5:$AM$64,MATCH($F948,사건마스터!$A$5:$A$64,0)),""))</f>
        <v/>
      </c>
      <c r="Q948" s="35">
        <f>IF($F948="","",IFERROR(INDEX(사건마스터!$AN$5:$AN$64,MATCH($F948,사건마스터!$A$5:$A$64,0)),""))</f>
        <v/>
      </c>
      <c r="R948" s="35">
        <f>IF($F948="","",IFERROR(INDEX(사건마스터!$AO$5:$AO$64,MATCH($F948,사건마스터!$A$5:$A$64,0)),""))</f>
        <v/>
      </c>
      <c r="S948" s="35">
        <f>IF($F948="","",IFERROR(INDEX(사건마스터!$AP$5:$AP$64,MATCH($F948,사건마스터!$A$5:$A$64,0)),""))</f>
        <v/>
      </c>
      <c r="T948" s="35">
        <f>IF($F948="","",IFERROR(INDEX(사건마스터!$AQ$5:$AQ$64,MATCH($F948,사건마스터!$A$5:$A$64,0)),""))</f>
        <v/>
      </c>
      <c r="U948" s="35">
        <f>IF($F948="","",IFERROR(INDEX(사건마스터!$AR$5:$AR$64,MATCH($F948,사건마스터!$A$5:$A$64,0)),""))</f>
        <v/>
      </c>
      <c r="V948" s="35">
        <f>IF($F948="","",IFERROR(INDEX(사건마스터!$AS$5:$AS$64,MATCH($F948,사건마스터!$A$5:$A$64,0)),""))</f>
        <v/>
      </c>
      <c r="W948" s="35">
        <f>IF($F948="","",IFERROR(INDEX(사건마스터!$AT$5:$AT$64,MATCH($F948,사건마스터!$A$5:$A$64,0)),""))</f>
        <v/>
      </c>
      <c r="X948" s="35">
        <f>IF($F948="","",IFERROR(INDEX(사건마스터!$AU$5:$AU$64,MATCH($F948,사건마스터!$A$5:$A$64,0)),""))</f>
        <v/>
      </c>
      <c r="Y948" s="35">
        <f>IF($F948="","",IFERROR(INDEX(사건마스터!$AV$5:$AV$64,MATCH($F948,사건마스터!$A$5:$A$64,0)),""))</f>
        <v/>
      </c>
      <c r="Z948" s="30">
        <f>IF(COUNTBLANK($J948:$Y948)=16,"",16-COUNTBLANK($J948:$Y948))</f>
        <v/>
      </c>
      <c r="AA948" s="33">
        <f>IF($J948="",MID($AX948,3,255),$J948&amp;$AX948)</f>
        <v/>
      </c>
      <c r="AB948" s="34">
        <f>IF($J948="","",IFERROR(INDEX(코드설정!$D$5:$D$24,MATCH($J948,코드설정!$C$5:$C$24,0)),""))</f>
        <v/>
      </c>
      <c r="AC948" s="36" t="n"/>
      <c r="AD948" s="37" t="n"/>
      <c r="AE948" s="38" t="n"/>
      <c r="AF948" s="30">
        <f>IF(OR($B948="",$C948=""),"",$C948-$B948+1)</f>
        <v/>
      </c>
      <c r="AG948" s="32" t="n"/>
      <c r="AH948" s="36" t="n"/>
      <c r="AJ948">
        <f>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  <c r="AX948">
        <f>AW948&amp;IF($Y948="","",", "&amp;$Y948)</f>
        <v/>
      </c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0">
        <f>IF($F949="","",COUNTIF($F$5:$F949,$F949))</f>
        <v/>
      </c>
      <c r="H949" s="33">
        <f>IF($F949="","",IFERROR(INDEX(사건마스터!$B$5:$B$64,MATCH($F949,사건마스터!$A$5:$A$64,0)),""))</f>
        <v/>
      </c>
      <c r="I949" s="34">
        <f>IF($F949="","",IFERROR(INDEX(사건마스터!$C$5:$C$64,MATCH($F949,사건마스터!$A$5:$A$64,0)),""))</f>
        <v/>
      </c>
      <c r="J949" s="35">
        <f>IF($F949="","",IFERROR(INDEX(사건마스터!$H$5:$H$64,MATCH($F949,사건마스터!$A$5:$A$64,0)),""))</f>
        <v/>
      </c>
      <c r="K949" s="35">
        <f>IF($F949="","",IFERROR(INDEX(사건마스터!$AH$5:$AH$64,MATCH($F949,사건마스터!$A$5:$A$64,0)),""))</f>
        <v/>
      </c>
      <c r="L949" s="35">
        <f>IF($F949="","",IFERROR(INDEX(사건마스터!$AI$5:$AI$64,MATCH($F949,사건마스터!$A$5:$A$64,0)),""))</f>
        <v/>
      </c>
      <c r="M949" s="35">
        <f>IF($F949="","",IFERROR(INDEX(사건마스터!$AJ$5:$AJ$64,MATCH($F949,사건마스터!$A$5:$A$64,0)),""))</f>
        <v/>
      </c>
      <c r="N949" s="35">
        <f>IF($F949="","",IFERROR(INDEX(사건마스터!$AK$5:$AK$64,MATCH($F949,사건마스터!$A$5:$A$64,0)),""))</f>
        <v/>
      </c>
      <c r="O949" s="35">
        <f>IF($F949="","",IFERROR(INDEX(사건마스터!$AL$5:$AL$64,MATCH($F949,사건마스터!$A$5:$A$64,0)),""))</f>
        <v/>
      </c>
      <c r="P949" s="35">
        <f>IF($F949="","",IFERROR(INDEX(사건마스터!$AM$5:$AM$64,MATCH($F949,사건마스터!$A$5:$A$64,0)),""))</f>
        <v/>
      </c>
      <c r="Q949" s="35">
        <f>IF($F949="","",IFERROR(INDEX(사건마스터!$AN$5:$AN$64,MATCH($F949,사건마스터!$A$5:$A$64,0)),""))</f>
        <v/>
      </c>
      <c r="R949" s="35">
        <f>IF($F949="","",IFERROR(INDEX(사건마스터!$AO$5:$AO$64,MATCH($F949,사건마스터!$A$5:$A$64,0)),""))</f>
        <v/>
      </c>
      <c r="S949" s="35">
        <f>IF($F949="","",IFERROR(INDEX(사건마스터!$AP$5:$AP$64,MATCH($F949,사건마스터!$A$5:$A$64,0)),""))</f>
        <v/>
      </c>
      <c r="T949" s="35">
        <f>IF($F949="","",IFERROR(INDEX(사건마스터!$AQ$5:$AQ$64,MATCH($F949,사건마스터!$A$5:$A$64,0)),""))</f>
        <v/>
      </c>
      <c r="U949" s="35">
        <f>IF($F949="","",IFERROR(INDEX(사건마스터!$AR$5:$AR$64,MATCH($F949,사건마스터!$A$5:$A$64,0)),""))</f>
        <v/>
      </c>
      <c r="V949" s="35">
        <f>IF($F949="","",IFERROR(INDEX(사건마스터!$AS$5:$AS$64,MATCH($F949,사건마스터!$A$5:$A$64,0)),""))</f>
        <v/>
      </c>
      <c r="W949" s="35">
        <f>IF($F949="","",IFERROR(INDEX(사건마스터!$AT$5:$AT$64,MATCH($F949,사건마스터!$A$5:$A$64,0)),""))</f>
        <v/>
      </c>
      <c r="X949" s="35">
        <f>IF($F949="","",IFERROR(INDEX(사건마스터!$AU$5:$AU$64,MATCH($F949,사건마스터!$A$5:$A$64,0)),""))</f>
        <v/>
      </c>
      <c r="Y949" s="35">
        <f>IF($F949="","",IFERROR(INDEX(사건마스터!$AV$5:$AV$64,MATCH($F949,사건마스터!$A$5:$A$64,0)),""))</f>
        <v/>
      </c>
      <c r="Z949" s="30">
        <f>IF(COUNTBLANK($J949:$Y949)=16,"",16-COUNTBLANK($J949:$Y949))</f>
        <v/>
      </c>
      <c r="AA949" s="33">
        <f>IF($J949="",MID($AX949,3,255),$J949&amp;$AX949)</f>
        <v/>
      </c>
      <c r="AB949" s="34">
        <f>IF($J949="","",IFERROR(INDEX(코드설정!$D$5:$D$24,MATCH($J949,코드설정!$C$5:$C$24,0)),""))</f>
        <v/>
      </c>
      <c r="AC949" s="36" t="n"/>
      <c r="AD949" s="37" t="n"/>
      <c r="AE949" s="38" t="n"/>
      <c r="AF949" s="30">
        <f>IF(OR($B949="",$C949=""),"",$C949-$B949+1)</f>
        <v/>
      </c>
      <c r="AG949" s="32" t="n"/>
      <c r="AH949" s="36" t="n"/>
      <c r="AJ949">
        <f>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  <c r="AX949">
        <f>AW949&amp;IF($Y949="","",", "&amp;$Y949)</f>
        <v/>
      </c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0">
        <f>IF($F950="","",COUNTIF($F$5:$F950,$F950))</f>
        <v/>
      </c>
      <c r="H950" s="33">
        <f>IF($F950="","",IFERROR(INDEX(사건마스터!$B$5:$B$64,MATCH($F950,사건마스터!$A$5:$A$64,0)),""))</f>
        <v/>
      </c>
      <c r="I950" s="34">
        <f>IF($F950="","",IFERROR(INDEX(사건마스터!$C$5:$C$64,MATCH($F950,사건마스터!$A$5:$A$64,0)),""))</f>
        <v/>
      </c>
      <c r="J950" s="35">
        <f>IF($F950="","",IFERROR(INDEX(사건마스터!$H$5:$H$64,MATCH($F950,사건마스터!$A$5:$A$64,0)),""))</f>
        <v/>
      </c>
      <c r="K950" s="35">
        <f>IF($F950="","",IFERROR(INDEX(사건마스터!$AH$5:$AH$64,MATCH($F950,사건마스터!$A$5:$A$64,0)),""))</f>
        <v/>
      </c>
      <c r="L950" s="35">
        <f>IF($F950="","",IFERROR(INDEX(사건마스터!$AI$5:$AI$64,MATCH($F950,사건마스터!$A$5:$A$64,0)),""))</f>
        <v/>
      </c>
      <c r="M950" s="35">
        <f>IF($F950="","",IFERROR(INDEX(사건마스터!$AJ$5:$AJ$64,MATCH($F950,사건마스터!$A$5:$A$64,0)),""))</f>
        <v/>
      </c>
      <c r="N950" s="35">
        <f>IF($F950="","",IFERROR(INDEX(사건마스터!$AK$5:$AK$64,MATCH($F950,사건마스터!$A$5:$A$64,0)),""))</f>
        <v/>
      </c>
      <c r="O950" s="35">
        <f>IF($F950="","",IFERROR(INDEX(사건마스터!$AL$5:$AL$64,MATCH($F950,사건마스터!$A$5:$A$64,0)),""))</f>
        <v/>
      </c>
      <c r="P950" s="35">
        <f>IF($F950="","",IFERROR(INDEX(사건마스터!$AM$5:$AM$64,MATCH($F950,사건마스터!$A$5:$A$64,0)),""))</f>
        <v/>
      </c>
      <c r="Q950" s="35">
        <f>IF($F950="","",IFERROR(INDEX(사건마스터!$AN$5:$AN$64,MATCH($F950,사건마스터!$A$5:$A$64,0)),""))</f>
        <v/>
      </c>
      <c r="R950" s="35">
        <f>IF($F950="","",IFERROR(INDEX(사건마스터!$AO$5:$AO$64,MATCH($F950,사건마스터!$A$5:$A$64,0)),""))</f>
        <v/>
      </c>
      <c r="S950" s="35">
        <f>IF($F950="","",IFERROR(INDEX(사건마스터!$AP$5:$AP$64,MATCH($F950,사건마스터!$A$5:$A$64,0)),""))</f>
        <v/>
      </c>
      <c r="T950" s="35">
        <f>IF($F950="","",IFERROR(INDEX(사건마스터!$AQ$5:$AQ$64,MATCH($F950,사건마스터!$A$5:$A$64,0)),""))</f>
        <v/>
      </c>
      <c r="U950" s="35">
        <f>IF($F950="","",IFERROR(INDEX(사건마스터!$AR$5:$AR$64,MATCH($F950,사건마스터!$A$5:$A$64,0)),""))</f>
        <v/>
      </c>
      <c r="V950" s="35">
        <f>IF($F950="","",IFERROR(INDEX(사건마스터!$AS$5:$AS$64,MATCH($F950,사건마스터!$A$5:$A$64,0)),""))</f>
        <v/>
      </c>
      <c r="W950" s="35">
        <f>IF($F950="","",IFERROR(INDEX(사건마스터!$AT$5:$AT$64,MATCH($F950,사건마스터!$A$5:$A$64,0)),""))</f>
        <v/>
      </c>
      <c r="X950" s="35">
        <f>IF($F950="","",IFERROR(INDEX(사건마스터!$AU$5:$AU$64,MATCH($F950,사건마스터!$A$5:$A$64,0)),""))</f>
        <v/>
      </c>
      <c r="Y950" s="35">
        <f>IF($F950="","",IFERROR(INDEX(사건마스터!$AV$5:$AV$64,MATCH($F950,사건마스터!$A$5:$A$64,0)),""))</f>
        <v/>
      </c>
      <c r="Z950" s="30">
        <f>IF(COUNTBLANK($J950:$Y950)=16,"",16-COUNTBLANK($J950:$Y950))</f>
        <v/>
      </c>
      <c r="AA950" s="33">
        <f>IF($J950="",MID($AX950,3,255),$J950&amp;$AX950)</f>
        <v/>
      </c>
      <c r="AB950" s="34">
        <f>IF($J950="","",IFERROR(INDEX(코드설정!$D$5:$D$24,MATCH($J950,코드설정!$C$5:$C$24,0)),""))</f>
        <v/>
      </c>
      <c r="AC950" s="36" t="n"/>
      <c r="AD950" s="37" t="n"/>
      <c r="AE950" s="38" t="n"/>
      <c r="AF950" s="30">
        <f>IF(OR($B950="",$C950=""),"",$C950-$B950+1)</f>
        <v/>
      </c>
      <c r="AG950" s="32" t="n"/>
      <c r="AH950" s="36" t="n"/>
      <c r="AJ950">
        <f>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  <c r="AX950">
        <f>AW950&amp;IF($Y950="","",", "&amp;$Y950)</f>
        <v/>
      </c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0">
        <f>IF($F951="","",COUNTIF($F$5:$F951,$F951))</f>
        <v/>
      </c>
      <c r="H951" s="33">
        <f>IF($F951="","",IFERROR(INDEX(사건마스터!$B$5:$B$64,MATCH($F951,사건마스터!$A$5:$A$64,0)),""))</f>
        <v/>
      </c>
      <c r="I951" s="34">
        <f>IF($F951="","",IFERROR(INDEX(사건마스터!$C$5:$C$64,MATCH($F951,사건마스터!$A$5:$A$64,0)),""))</f>
        <v/>
      </c>
      <c r="J951" s="35">
        <f>IF($F951="","",IFERROR(INDEX(사건마스터!$H$5:$H$64,MATCH($F951,사건마스터!$A$5:$A$64,0)),""))</f>
        <v/>
      </c>
      <c r="K951" s="35">
        <f>IF($F951="","",IFERROR(INDEX(사건마스터!$AH$5:$AH$64,MATCH($F951,사건마스터!$A$5:$A$64,0)),""))</f>
        <v/>
      </c>
      <c r="L951" s="35">
        <f>IF($F951="","",IFERROR(INDEX(사건마스터!$AI$5:$AI$64,MATCH($F951,사건마스터!$A$5:$A$64,0)),""))</f>
        <v/>
      </c>
      <c r="M951" s="35">
        <f>IF($F951="","",IFERROR(INDEX(사건마스터!$AJ$5:$AJ$64,MATCH($F951,사건마스터!$A$5:$A$64,0)),""))</f>
        <v/>
      </c>
      <c r="N951" s="35">
        <f>IF($F951="","",IFERROR(INDEX(사건마스터!$AK$5:$AK$64,MATCH($F951,사건마스터!$A$5:$A$64,0)),""))</f>
        <v/>
      </c>
      <c r="O951" s="35">
        <f>IF($F951="","",IFERROR(INDEX(사건마스터!$AL$5:$AL$64,MATCH($F951,사건마스터!$A$5:$A$64,0)),""))</f>
        <v/>
      </c>
      <c r="P951" s="35">
        <f>IF($F951="","",IFERROR(INDEX(사건마스터!$AM$5:$AM$64,MATCH($F951,사건마스터!$A$5:$A$64,0)),""))</f>
        <v/>
      </c>
      <c r="Q951" s="35">
        <f>IF($F951="","",IFERROR(INDEX(사건마스터!$AN$5:$AN$64,MATCH($F951,사건마스터!$A$5:$A$64,0)),""))</f>
        <v/>
      </c>
      <c r="R951" s="35">
        <f>IF($F951="","",IFERROR(INDEX(사건마스터!$AO$5:$AO$64,MATCH($F951,사건마스터!$A$5:$A$64,0)),""))</f>
        <v/>
      </c>
      <c r="S951" s="35">
        <f>IF($F951="","",IFERROR(INDEX(사건마스터!$AP$5:$AP$64,MATCH($F951,사건마스터!$A$5:$A$64,0)),""))</f>
        <v/>
      </c>
      <c r="T951" s="35">
        <f>IF($F951="","",IFERROR(INDEX(사건마스터!$AQ$5:$AQ$64,MATCH($F951,사건마스터!$A$5:$A$64,0)),""))</f>
        <v/>
      </c>
      <c r="U951" s="35">
        <f>IF($F951="","",IFERROR(INDEX(사건마스터!$AR$5:$AR$64,MATCH($F951,사건마스터!$A$5:$A$64,0)),""))</f>
        <v/>
      </c>
      <c r="V951" s="35">
        <f>IF($F951="","",IFERROR(INDEX(사건마스터!$AS$5:$AS$64,MATCH($F951,사건마스터!$A$5:$A$64,0)),""))</f>
        <v/>
      </c>
      <c r="W951" s="35">
        <f>IF($F951="","",IFERROR(INDEX(사건마스터!$AT$5:$AT$64,MATCH($F951,사건마스터!$A$5:$A$64,0)),""))</f>
        <v/>
      </c>
      <c r="X951" s="35">
        <f>IF($F951="","",IFERROR(INDEX(사건마스터!$AU$5:$AU$64,MATCH($F951,사건마스터!$A$5:$A$64,0)),""))</f>
        <v/>
      </c>
      <c r="Y951" s="35">
        <f>IF($F951="","",IFERROR(INDEX(사건마스터!$AV$5:$AV$64,MATCH($F951,사건마스터!$A$5:$A$64,0)),""))</f>
        <v/>
      </c>
      <c r="Z951" s="30">
        <f>IF(COUNTBLANK($J951:$Y951)=16,"",16-COUNTBLANK($J951:$Y951))</f>
        <v/>
      </c>
      <c r="AA951" s="33">
        <f>IF($J951="",MID($AX951,3,255),$J951&amp;$AX951)</f>
        <v/>
      </c>
      <c r="AB951" s="34">
        <f>IF($J951="","",IFERROR(INDEX(코드설정!$D$5:$D$24,MATCH($J951,코드설정!$C$5:$C$24,0)),""))</f>
        <v/>
      </c>
      <c r="AC951" s="36" t="n"/>
      <c r="AD951" s="37" t="n"/>
      <c r="AE951" s="38" t="n"/>
      <c r="AF951" s="30">
        <f>IF(OR($B951="",$C951=""),"",$C951-$B951+1)</f>
        <v/>
      </c>
      <c r="AG951" s="32" t="n"/>
      <c r="AH951" s="36" t="n"/>
      <c r="AJ951">
        <f>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  <c r="AX951">
        <f>AW951&amp;IF($Y951="","",", "&amp;$Y951)</f>
        <v/>
      </c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0">
        <f>IF($F952="","",COUNTIF($F$5:$F952,$F952))</f>
        <v/>
      </c>
      <c r="H952" s="33">
        <f>IF($F952="","",IFERROR(INDEX(사건마스터!$B$5:$B$64,MATCH($F952,사건마스터!$A$5:$A$64,0)),""))</f>
        <v/>
      </c>
      <c r="I952" s="34">
        <f>IF($F952="","",IFERROR(INDEX(사건마스터!$C$5:$C$64,MATCH($F952,사건마스터!$A$5:$A$64,0)),""))</f>
        <v/>
      </c>
      <c r="J952" s="35">
        <f>IF($F952="","",IFERROR(INDEX(사건마스터!$H$5:$H$64,MATCH($F952,사건마스터!$A$5:$A$64,0)),""))</f>
        <v/>
      </c>
      <c r="K952" s="35">
        <f>IF($F952="","",IFERROR(INDEX(사건마스터!$AH$5:$AH$64,MATCH($F952,사건마스터!$A$5:$A$64,0)),""))</f>
        <v/>
      </c>
      <c r="L952" s="35">
        <f>IF($F952="","",IFERROR(INDEX(사건마스터!$AI$5:$AI$64,MATCH($F952,사건마스터!$A$5:$A$64,0)),""))</f>
        <v/>
      </c>
      <c r="M952" s="35">
        <f>IF($F952="","",IFERROR(INDEX(사건마스터!$AJ$5:$AJ$64,MATCH($F952,사건마스터!$A$5:$A$64,0)),""))</f>
        <v/>
      </c>
      <c r="N952" s="35">
        <f>IF($F952="","",IFERROR(INDEX(사건마스터!$AK$5:$AK$64,MATCH($F952,사건마스터!$A$5:$A$64,0)),""))</f>
        <v/>
      </c>
      <c r="O952" s="35">
        <f>IF($F952="","",IFERROR(INDEX(사건마스터!$AL$5:$AL$64,MATCH($F952,사건마스터!$A$5:$A$64,0)),""))</f>
        <v/>
      </c>
      <c r="P952" s="35">
        <f>IF($F952="","",IFERROR(INDEX(사건마스터!$AM$5:$AM$64,MATCH($F952,사건마스터!$A$5:$A$64,0)),""))</f>
        <v/>
      </c>
      <c r="Q952" s="35">
        <f>IF($F952="","",IFERROR(INDEX(사건마스터!$AN$5:$AN$64,MATCH($F952,사건마스터!$A$5:$A$64,0)),""))</f>
        <v/>
      </c>
      <c r="R952" s="35">
        <f>IF($F952="","",IFERROR(INDEX(사건마스터!$AO$5:$AO$64,MATCH($F952,사건마스터!$A$5:$A$64,0)),""))</f>
        <v/>
      </c>
      <c r="S952" s="35">
        <f>IF($F952="","",IFERROR(INDEX(사건마스터!$AP$5:$AP$64,MATCH($F952,사건마스터!$A$5:$A$64,0)),""))</f>
        <v/>
      </c>
      <c r="T952" s="35">
        <f>IF($F952="","",IFERROR(INDEX(사건마스터!$AQ$5:$AQ$64,MATCH($F952,사건마스터!$A$5:$A$64,0)),""))</f>
        <v/>
      </c>
      <c r="U952" s="35">
        <f>IF($F952="","",IFERROR(INDEX(사건마스터!$AR$5:$AR$64,MATCH($F952,사건마스터!$A$5:$A$64,0)),""))</f>
        <v/>
      </c>
      <c r="V952" s="35">
        <f>IF($F952="","",IFERROR(INDEX(사건마스터!$AS$5:$AS$64,MATCH($F952,사건마스터!$A$5:$A$64,0)),""))</f>
        <v/>
      </c>
      <c r="W952" s="35">
        <f>IF($F952="","",IFERROR(INDEX(사건마스터!$AT$5:$AT$64,MATCH($F952,사건마스터!$A$5:$A$64,0)),""))</f>
        <v/>
      </c>
      <c r="X952" s="35">
        <f>IF($F952="","",IFERROR(INDEX(사건마스터!$AU$5:$AU$64,MATCH($F952,사건마스터!$A$5:$A$64,0)),""))</f>
        <v/>
      </c>
      <c r="Y952" s="35">
        <f>IF($F952="","",IFERROR(INDEX(사건마스터!$AV$5:$AV$64,MATCH($F952,사건마스터!$A$5:$A$64,0)),""))</f>
        <v/>
      </c>
      <c r="Z952" s="30">
        <f>IF(COUNTBLANK($J952:$Y952)=16,"",16-COUNTBLANK($J952:$Y952))</f>
        <v/>
      </c>
      <c r="AA952" s="33">
        <f>IF($J952="",MID($AX952,3,255),$J952&amp;$AX952)</f>
        <v/>
      </c>
      <c r="AB952" s="34">
        <f>IF($J952="","",IFERROR(INDEX(코드설정!$D$5:$D$24,MATCH($J952,코드설정!$C$5:$C$24,0)),""))</f>
        <v/>
      </c>
      <c r="AC952" s="36" t="n"/>
      <c r="AD952" s="37" t="n"/>
      <c r="AE952" s="38" t="n"/>
      <c r="AF952" s="30">
        <f>IF(OR($B952="",$C952=""),"",$C952-$B952+1)</f>
        <v/>
      </c>
      <c r="AG952" s="32" t="n"/>
      <c r="AH952" s="36" t="n"/>
      <c r="AJ952">
        <f>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  <c r="AX952">
        <f>AW952&amp;IF($Y952="","",", "&amp;$Y952)</f>
        <v/>
      </c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0">
        <f>IF($F953="","",COUNTIF($F$5:$F953,$F953))</f>
        <v/>
      </c>
      <c r="H953" s="33">
        <f>IF($F953="","",IFERROR(INDEX(사건마스터!$B$5:$B$64,MATCH($F953,사건마스터!$A$5:$A$64,0)),""))</f>
        <v/>
      </c>
      <c r="I953" s="34">
        <f>IF($F953="","",IFERROR(INDEX(사건마스터!$C$5:$C$64,MATCH($F953,사건마스터!$A$5:$A$64,0)),""))</f>
        <v/>
      </c>
      <c r="J953" s="35">
        <f>IF($F953="","",IFERROR(INDEX(사건마스터!$H$5:$H$64,MATCH($F953,사건마스터!$A$5:$A$64,0)),""))</f>
        <v/>
      </c>
      <c r="K953" s="35">
        <f>IF($F953="","",IFERROR(INDEX(사건마스터!$AH$5:$AH$64,MATCH($F953,사건마스터!$A$5:$A$64,0)),""))</f>
        <v/>
      </c>
      <c r="L953" s="35">
        <f>IF($F953="","",IFERROR(INDEX(사건마스터!$AI$5:$AI$64,MATCH($F953,사건마스터!$A$5:$A$64,0)),""))</f>
        <v/>
      </c>
      <c r="M953" s="35">
        <f>IF($F953="","",IFERROR(INDEX(사건마스터!$AJ$5:$AJ$64,MATCH($F953,사건마스터!$A$5:$A$64,0)),""))</f>
        <v/>
      </c>
      <c r="N953" s="35">
        <f>IF($F953="","",IFERROR(INDEX(사건마스터!$AK$5:$AK$64,MATCH($F953,사건마스터!$A$5:$A$64,0)),""))</f>
        <v/>
      </c>
      <c r="O953" s="35">
        <f>IF($F953="","",IFERROR(INDEX(사건마스터!$AL$5:$AL$64,MATCH($F953,사건마스터!$A$5:$A$64,0)),""))</f>
        <v/>
      </c>
      <c r="P953" s="35">
        <f>IF($F953="","",IFERROR(INDEX(사건마스터!$AM$5:$AM$64,MATCH($F953,사건마스터!$A$5:$A$64,0)),""))</f>
        <v/>
      </c>
      <c r="Q953" s="35">
        <f>IF($F953="","",IFERROR(INDEX(사건마스터!$AN$5:$AN$64,MATCH($F953,사건마스터!$A$5:$A$64,0)),""))</f>
        <v/>
      </c>
      <c r="R953" s="35">
        <f>IF($F953="","",IFERROR(INDEX(사건마스터!$AO$5:$AO$64,MATCH($F953,사건마스터!$A$5:$A$64,0)),""))</f>
        <v/>
      </c>
      <c r="S953" s="35">
        <f>IF($F953="","",IFERROR(INDEX(사건마스터!$AP$5:$AP$64,MATCH($F953,사건마스터!$A$5:$A$64,0)),""))</f>
        <v/>
      </c>
      <c r="T953" s="35">
        <f>IF($F953="","",IFERROR(INDEX(사건마스터!$AQ$5:$AQ$64,MATCH($F953,사건마스터!$A$5:$A$64,0)),""))</f>
        <v/>
      </c>
      <c r="U953" s="35">
        <f>IF($F953="","",IFERROR(INDEX(사건마스터!$AR$5:$AR$64,MATCH($F953,사건마스터!$A$5:$A$64,0)),""))</f>
        <v/>
      </c>
      <c r="V953" s="35">
        <f>IF($F953="","",IFERROR(INDEX(사건마스터!$AS$5:$AS$64,MATCH($F953,사건마스터!$A$5:$A$64,0)),""))</f>
        <v/>
      </c>
      <c r="W953" s="35">
        <f>IF($F953="","",IFERROR(INDEX(사건마스터!$AT$5:$AT$64,MATCH($F953,사건마스터!$A$5:$A$64,0)),""))</f>
        <v/>
      </c>
      <c r="X953" s="35">
        <f>IF($F953="","",IFERROR(INDEX(사건마스터!$AU$5:$AU$64,MATCH($F953,사건마스터!$A$5:$A$64,0)),""))</f>
        <v/>
      </c>
      <c r="Y953" s="35">
        <f>IF($F953="","",IFERROR(INDEX(사건마스터!$AV$5:$AV$64,MATCH($F953,사건마스터!$A$5:$A$64,0)),""))</f>
        <v/>
      </c>
      <c r="Z953" s="30">
        <f>IF(COUNTBLANK($J953:$Y953)=16,"",16-COUNTBLANK($J953:$Y953))</f>
        <v/>
      </c>
      <c r="AA953" s="33">
        <f>IF($J953="",MID($AX953,3,255),$J953&amp;$AX953)</f>
        <v/>
      </c>
      <c r="AB953" s="34">
        <f>IF($J953="","",IFERROR(INDEX(코드설정!$D$5:$D$24,MATCH($J953,코드설정!$C$5:$C$24,0)),""))</f>
        <v/>
      </c>
      <c r="AC953" s="36" t="n"/>
      <c r="AD953" s="37" t="n"/>
      <c r="AE953" s="38" t="n"/>
      <c r="AF953" s="30">
        <f>IF(OR($B953="",$C953=""),"",$C953-$B953+1)</f>
        <v/>
      </c>
      <c r="AG953" s="32" t="n"/>
      <c r="AH953" s="36" t="n"/>
      <c r="AJ953">
        <f>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  <c r="AX953">
        <f>AW953&amp;IF($Y953="","",", "&amp;$Y953)</f>
        <v/>
      </c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0">
        <f>IF($F954="","",COUNTIF($F$5:$F954,$F954))</f>
        <v/>
      </c>
      <c r="H954" s="33">
        <f>IF($F954="","",IFERROR(INDEX(사건마스터!$B$5:$B$64,MATCH($F954,사건마스터!$A$5:$A$64,0)),""))</f>
        <v/>
      </c>
      <c r="I954" s="34">
        <f>IF($F954="","",IFERROR(INDEX(사건마스터!$C$5:$C$64,MATCH($F954,사건마스터!$A$5:$A$64,0)),""))</f>
        <v/>
      </c>
      <c r="J954" s="35">
        <f>IF($F954="","",IFERROR(INDEX(사건마스터!$H$5:$H$64,MATCH($F954,사건마스터!$A$5:$A$64,0)),""))</f>
        <v/>
      </c>
      <c r="K954" s="35">
        <f>IF($F954="","",IFERROR(INDEX(사건마스터!$AH$5:$AH$64,MATCH($F954,사건마스터!$A$5:$A$64,0)),""))</f>
        <v/>
      </c>
      <c r="L954" s="35">
        <f>IF($F954="","",IFERROR(INDEX(사건마스터!$AI$5:$AI$64,MATCH($F954,사건마스터!$A$5:$A$64,0)),""))</f>
        <v/>
      </c>
      <c r="M954" s="35">
        <f>IF($F954="","",IFERROR(INDEX(사건마스터!$AJ$5:$AJ$64,MATCH($F954,사건마스터!$A$5:$A$64,0)),""))</f>
        <v/>
      </c>
      <c r="N954" s="35">
        <f>IF($F954="","",IFERROR(INDEX(사건마스터!$AK$5:$AK$64,MATCH($F954,사건마스터!$A$5:$A$64,0)),""))</f>
        <v/>
      </c>
      <c r="O954" s="35">
        <f>IF($F954="","",IFERROR(INDEX(사건마스터!$AL$5:$AL$64,MATCH($F954,사건마스터!$A$5:$A$64,0)),""))</f>
        <v/>
      </c>
      <c r="P954" s="35">
        <f>IF($F954="","",IFERROR(INDEX(사건마스터!$AM$5:$AM$64,MATCH($F954,사건마스터!$A$5:$A$64,0)),""))</f>
        <v/>
      </c>
      <c r="Q954" s="35">
        <f>IF($F954="","",IFERROR(INDEX(사건마스터!$AN$5:$AN$64,MATCH($F954,사건마스터!$A$5:$A$64,0)),""))</f>
        <v/>
      </c>
      <c r="R954" s="35">
        <f>IF($F954="","",IFERROR(INDEX(사건마스터!$AO$5:$AO$64,MATCH($F954,사건마스터!$A$5:$A$64,0)),""))</f>
        <v/>
      </c>
      <c r="S954" s="35">
        <f>IF($F954="","",IFERROR(INDEX(사건마스터!$AP$5:$AP$64,MATCH($F954,사건마스터!$A$5:$A$64,0)),""))</f>
        <v/>
      </c>
      <c r="T954" s="35">
        <f>IF($F954="","",IFERROR(INDEX(사건마스터!$AQ$5:$AQ$64,MATCH($F954,사건마스터!$A$5:$A$64,0)),""))</f>
        <v/>
      </c>
      <c r="U954" s="35">
        <f>IF($F954="","",IFERROR(INDEX(사건마스터!$AR$5:$AR$64,MATCH($F954,사건마스터!$A$5:$A$64,0)),""))</f>
        <v/>
      </c>
      <c r="V954" s="35">
        <f>IF($F954="","",IFERROR(INDEX(사건마스터!$AS$5:$AS$64,MATCH($F954,사건마스터!$A$5:$A$64,0)),""))</f>
        <v/>
      </c>
      <c r="W954" s="35">
        <f>IF($F954="","",IFERROR(INDEX(사건마스터!$AT$5:$AT$64,MATCH($F954,사건마스터!$A$5:$A$64,0)),""))</f>
        <v/>
      </c>
      <c r="X954" s="35">
        <f>IF($F954="","",IFERROR(INDEX(사건마스터!$AU$5:$AU$64,MATCH($F954,사건마스터!$A$5:$A$64,0)),""))</f>
        <v/>
      </c>
      <c r="Y954" s="35">
        <f>IF($F954="","",IFERROR(INDEX(사건마스터!$AV$5:$AV$64,MATCH($F954,사건마스터!$A$5:$A$64,0)),""))</f>
        <v/>
      </c>
      <c r="Z954" s="30">
        <f>IF(COUNTBLANK($J954:$Y954)=16,"",16-COUNTBLANK($J954:$Y954))</f>
        <v/>
      </c>
      <c r="AA954" s="33">
        <f>IF($J954="",MID($AX954,3,255),$J954&amp;$AX954)</f>
        <v/>
      </c>
      <c r="AB954" s="34">
        <f>IF($J954="","",IFERROR(INDEX(코드설정!$D$5:$D$24,MATCH($J954,코드설정!$C$5:$C$24,0)),""))</f>
        <v/>
      </c>
      <c r="AC954" s="36" t="n"/>
      <c r="AD954" s="37" t="n"/>
      <c r="AE954" s="38" t="n"/>
      <c r="AF954" s="30">
        <f>IF(OR($B954="",$C954=""),"",$C954-$B954+1)</f>
        <v/>
      </c>
      <c r="AG954" s="32" t="n"/>
      <c r="AH954" s="36" t="n"/>
      <c r="AJ954">
        <f>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  <c r="AX954">
        <f>AW954&amp;IF($Y954="","",", "&amp;$Y954)</f>
        <v/>
      </c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0">
        <f>IF($F955="","",COUNTIF($F$5:$F955,$F955))</f>
        <v/>
      </c>
      <c r="H955" s="33">
        <f>IF($F955="","",IFERROR(INDEX(사건마스터!$B$5:$B$64,MATCH($F955,사건마스터!$A$5:$A$64,0)),""))</f>
        <v/>
      </c>
      <c r="I955" s="34">
        <f>IF($F955="","",IFERROR(INDEX(사건마스터!$C$5:$C$64,MATCH($F955,사건마스터!$A$5:$A$64,0)),""))</f>
        <v/>
      </c>
      <c r="J955" s="35">
        <f>IF($F955="","",IFERROR(INDEX(사건마스터!$H$5:$H$64,MATCH($F955,사건마스터!$A$5:$A$64,0)),""))</f>
        <v/>
      </c>
      <c r="K955" s="35">
        <f>IF($F955="","",IFERROR(INDEX(사건마스터!$AH$5:$AH$64,MATCH($F955,사건마스터!$A$5:$A$64,0)),""))</f>
        <v/>
      </c>
      <c r="L955" s="35">
        <f>IF($F955="","",IFERROR(INDEX(사건마스터!$AI$5:$AI$64,MATCH($F955,사건마스터!$A$5:$A$64,0)),""))</f>
        <v/>
      </c>
      <c r="M955" s="35">
        <f>IF($F955="","",IFERROR(INDEX(사건마스터!$AJ$5:$AJ$64,MATCH($F955,사건마스터!$A$5:$A$64,0)),""))</f>
        <v/>
      </c>
      <c r="N955" s="35">
        <f>IF($F955="","",IFERROR(INDEX(사건마스터!$AK$5:$AK$64,MATCH($F955,사건마스터!$A$5:$A$64,0)),""))</f>
        <v/>
      </c>
      <c r="O955" s="35">
        <f>IF($F955="","",IFERROR(INDEX(사건마스터!$AL$5:$AL$64,MATCH($F955,사건마스터!$A$5:$A$64,0)),""))</f>
        <v/>
      </c>
      <c r="P955" s="35">
        <f>IF($F955="","",IFERROR(INDEX(사건마스터!$AM$5:$AM$64,MATCH($F955,사건마스터!$A$5:$A$64,0)),""))</f>
        <v/>
      </c>
      <c r="Q955" s="35">
        <f>IF($F955="","",IFERROR(INDEX(사건마스터!$AN$5:$AN$64,MATCH($F955,사건마스터!$A$5:$A$64,0)),""))</f>
        <v/>
      </c>
      <c r="R955" s="35">
        <f>IF($F955="","",IFERROR(INDEX(사건마스터!$AO$5:$AO$64,MATCH($F955,사건마스터!$A$5:$A$64,0)),""))</f>
        <v/>
      </c>
      <c r="S955" s="35">
        <f>IF($F955="","",IFERROR(INDEX(사건마스터!$AP$5:$AP$64,MATCH($F955,사건마스터!$A$5:$A$64,0)),""))</f>
        <v/>
      </c>
      <c r="T955" s="35">
        <f>IF($F955="","",IFERROR(INDEX(사건마스터!$AQ$5:$AQ$64,MATCH($F955,사건마스터!$A$5:$A$64,0)),""))</f>
        <v/>
      </c>
      <c r="U955" s="35">
        <f>IF($F955="","",IFERROR(INDEX(사건마스터!$AR$5:$AR$64,MATCH($F955,사건마스터!$A$5:$A$64,0)),""))</f>
        <v/>
      </c>
      <c r="V955" s="35">
        <f>IF($F955="","",IFERROR(INDEX(사건마스터!$AS$5:$AS$64,MATCH($F955,사건마스터!$A$5:$A$64,0)),""))</f>
        <v/>
      </c>
      <c r="W955" s="35">
        <f>IF($F955="","",IFERROR(INDEX(사건마스터!$AT$5:$AT$64,MATCH($F955,사건마스터!$A$5:$A$64,0)),""))</f>
        <v/>
      </c>
      <c r="X955" s="35">
        <f>IF($F955="","",IFERROR(INDEX(사건마스터!$AU$5:$AU$64,MATCH($F955,사건마스터!$A$5:$A$64,0)),""))</f>
        <v/>
      </c>
      <c r="Y955" s="35">
        <f>IF($F955="","",IFERROR(INDEX(사건마스터!$AV$5:$AV$64,MATCH($F955,사건마스터!$A$5:$A$64,0)),""))</f>
        <v/>
      </c>
      <c r="Z955" s="30">
        <f>IF(COUNTBLANK($J955:$Y955)=16,"",16-COUNTBLANK($J955:$Y955))</f>
        <v/>
      </c>
      <c r="AA955" s="33">
        <f>IF($J955="",MID($AX955,3,255),$J955&amp;$AX955)</f>
        <v/>
      </c>
      <c r="AB955" s="34">
        <f>IF($J955="","",IFERROR(INDEX(코드설정!$D$5:$D$24,MATCH($J955,코드설정!$C$5:$C$24,0)),""))</f>
        <v/>
      </c>
      <c r="AC955" s="36" t="n"/>
      <c r="AD955" s="37" t="n"/>
      <c r="AE955" s="38" t="n"/>
      <c r="AF955" s="30">
        <f>IF(OR($B955="",$C955=""),"",$C955-$B955+1)</f>
        <v/>
      </c>
      <c r="AG955" s="32" t="n"/>
      <c r="AH955" s="36" t="n"/>
      <c r="AJ955">
        <f>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  <c r="AX955">
        <f>AW955&amp;IF($Y955="","",", "&amp;$Y955)</f>
        <v/>
      </c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0">
        <f>IF($F956="","",COUNTIF($F$5:$F956,$F956))</f>
        <v/>
      </c>
      <c r="H956" s="33">
        <f>IF($F956="","",IFERROR(INDEX(사건마스터!$B$5:$B$64,MATCH($F956,사건마스터!$A$5:$A$64,0)),""))</f>
        <v/>
      </c>
      <c r="I956" s="34">
        <f>IF($F956="","",IFERROR(INDEX(사건마스터!$C$5:$C$64,MATCH($F956,사건마스터!$A$5:$A$64,0)),""))</f>
        <v/>
      </c>
      <c r="J956" s="35">
        <f>IF($F956="","",IFERROR(INDEX(사건마스터!$H$5:$H$64,MATCH($F956,사건마스터!$A$5:$A$64,0)),""))</f>
        <v/>
      </c>
      <c r="K956" s="35">
        <f>IF($F956="","",IFERROR(INDEX(사건마스터!$AH$5:$AH$64,MATCH($F956,사건마스터!$A$5:$A$64,0)),""))</f>
        <v/>
      </c>
      <c r="L956" s="35">
        <f>IF($F956="","",IFERROR(INDEX(사건마스터!$AI$5:$AI$64,MATCH($F956,사건마스터!$A$5:$A$64,0)),""))</f>
        <v/>
      </c>
      <c r="M956" s="35">
        <f>IF($F956="","",IFERROR(INDEX(사건마스터!$AJ$5:$AJ$64,MATCH($F956,사건마스터!$A$5:$A$64,0)),""))</f>
        <v/>
      </c>
      <c r="N956" s="35">
        <f>IF($F956="","",IFERROR(INDEX(사건마스터!$AK$5:$AK$64,MATCH($F956,사건마스터!$A$5:$A$64,0)),""))</f>
        <v/>
      </c>
      <c r="O956" s="35">
        <f>IF($F956="","",IFERROR(INDEX(사건마스터!$AL$5:$AL$64,MATCH($F956,사건마스터!$A$5:$A$64,0)),""))</f>
        <v/>
      </c>
      <c r="P956" s="35">
        <f>IF($F956="","",IFERROR(INDEX(사건마스터!$AM$5:$AM$64,MATCH($F956,사건마스터!$A$5:$A$64,0)),""))</f>
        <v/>
      </c>
      <c r="Q956" s="35">
        <f>IF($F956="","",IFERROR(INDEX(사건마스터!$AN$5:$AN$64,MATCH($F956,사건마스터!$A$5:$A$64,0)),""))</f>
        <v/>
      </c>
      <c r="R956" s="35">
        <f>IF($F956="","",IFERROR(INDEX(사건마스터!$AO$5:$AO$64,MATCH($F956,사건마스터!$A$5:$A$64,0)),""))</f>
        <v/>
      </c>
      <c r="S956" s="35">
        <f>IF($F956="","",IFERROR(INDEX(사건마스터!$AP$5:$AP$64,MATCH($F956,사건마스터!$A$5:$A$64,0)),""))</f>
        <v/>
      </c>
      <c r="T956" s="35">
        <f>IF($F956="","",IFERROR(INDEX(사건마스터!$AQ$5:$AQ$64,MATCH($F956,사건마스터!$A$5:$A$64,0)),""))</f>
        <v/>
      </c>
      <c r="U956" s="35">
        <f>IF($F956="","",IFERROR(INDEX(사건마스터!$AR$5:$AR$64,MATCH($F956,사건마스터!$A$5:$A$64,0)),""))</f>
        <v/>
      </c>
      <c r="V956" s="35">
        <f>IF($F956="","",IFERROR(INDEX(사건마스터!$AS$5:$AS$64,MATCH($F956,사건마스터!$A$5:$A$64,0)),""))</f>
        <v/>
      </c>
      <c r="W956" s="35">
        <f>IF($F956="","",IFERROR(INDEX(사건마스터!$AT$5:$AT$64,MATCH($F956,사건마스터!$A$5:$A$64,0)),""))</f>
        <v/>
      </c>
      <c r="X956" s="35">
        <f>IF($F956="","",IFERROR(INDEX(사건마스터!$AU$5:$AU$64,MATCH($F956,사건마스터!$A$5:$A$64,0)),""))</f>
        <v/>
      </c>
      <c r="Y956" s="35">
        <f>IF($F956="","",IFERROR(INDEX(사건마스터!$AV$5:$AV$64,MATCH($F956,사건마스터!$A$5:$A$64,0)),""))</f>
        <v/>
      </c>
      <c r="Z956" s="30">
        <f>IF(COUNTBLANK($J956:$Y956)=16,"",16-COUNTBLANK($J956:$Y956))</f>
        <v/>
      </c>
      <c r="AA956" s="33">
        <f>IF($J956="",MID($AX956,3,255),$J956&amp;$AX956)</f>
        <v/>
      </c>
      <c r="AB956" s="34">
        <f>IF($J956="","",IFERROR(INDEX(코드설정!$D$5:$D$24,MATCH($J956,코드설정!$C$5:$C$24,0)),""))</f>
        <v/>
      </c>
      <c r="AC956" s="36" t="n"/>
      <c r="AD956" s="37" t="n"/>
      <c r="AE956" s="38" t="n"/>
      <c r="AF956" s="30">
        <f>IF(OR($B956="",$C956=""),"",$C956-$B956+1)</f>
        <v/>
      </c>
      <c r="AG956" s="32" t="n"/>
      <c r="AH956" s="36" t="n"/>
      <c r="AJ956">
        <f>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  <c r="AX956">
        <f>AW956&amp;IF($Y956="","",", "&amp;$Y956)</f>
        <v/>
      </c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0">
        <f>IF($F957="","",COUNTIF($F$5:$F957,$F957))</f>
        <v/>
      </c>
      <c r="H957" s="33">
        <f>IF($F957="","",IFERROR(INDEX(사건마스터!$B$5:$B$64,MATCH($F957,사건마스터!$A$5:$A$64,0)),""))</f>
        <v/>
      </c>
      <c r="I957" s="34">
        <f>IF($F957="","",IFERROR(INDEX(사건마스터!$C$5:$C$64,MATCH($F957,사건마스터!$A$5:$A$64,0)),""))</f>
        <v/>
      </c>
      <c r="J957" s="35">
        <f>IF($F957="","",IFERROR(INDEX(사건마스터!$H$5:$H$64,MATCH($F957,사건마스터!$A$5:$A$64,0)),""))</f>
        <v/>
      </c>
      <c r="K957" s="35">
        <f>IF($F957="","",IFERROR(INDEX(사건마스터!$AH$5:$AH$64,MATCH($F957,사건마스터!$A$5:$A$64,0)),""))</f>
        <v/>
      </c>
      <c r="L957" s="35">
        <f>IF($F957="","",IFERROR(INDEX(사건마스터!$AI$5:$AI$64,MATCH($F957,사건마스터!$A$5:$A$64,0)),""))</f>
        <v/>
      </c>
      <c r="M957" s="35">
        <f>IF($F957="","",IFERROR(INDEX(사건마스터!$AJ$5:$AJ$64,MATCH($F957,사건마스터!$A$5:$A$64,0)),""))</f>
        <v/>
      </c>
      <c r="N957" s="35">
        <f>IF($F957="","",IFERROR(INDEX(사건마스터!$AK$5:$AK$64,MATCH($F957,사건마스터!$A$5:$A$64,0)),""))</f>
        <v/>
      </c>
      <c r="O957" s="35">
        <f>IF($F957="","",IFERROR(INDEX(사건마스터!$AL$5:$AL$64,MATCH($F957,사건마스터!$A$5:$A$64,0)),""))</f>
        <v/>
      </c>
      <c r="P957" s="35">
        <f>IF($F957="","",IFERROR(INDEX(사건마스터!$AM$5:$AM$64,MATCH($F957,사건마스터!$A$5:$A$64,0)),""))</f>
        <v/>
      </c>
      <c r="Q957" s="35">
        <f>IF($F957="","",IFERROR(INDEX(사건마스터!$AN$5:$AN$64,MATCH($F957,사건마스터!$A$5:$A$64,0)),""))</f>
        <v/>
      </c>
      <c r="R957" s="35">
        <f>IF($F957="","",IFERROR(INDEX(사건마스터!$AO$5:$AO$64,MATCH($F957,사건마스터!$A$5:$A$64,0)),""))</f>
        <v/>
      </c>
      <c r="S957" s="35">
        <f>IF($F957="","",IFERROR(INDEX(사건마스터!$AP$5:$AP$64,MATCH($F957,사건마스터!$A$5:$A$64,0)),""))</f>
        <v/>
      </c>
      <c r="T957" s="35">
        <f>IF($F957="","",IFERROR(INDEX(사건마스터!$AQ$5:$AQ$64,MATCH($F957,사건마스터!$A$5:$A$64,0)),""))</f>
        <v/>
      </c>
      <c r="U957" s="35">
        <f>IF($F957="","",IFERROR(INDEX(사건마스터!$AR$5:$AR$64,MATCH($F957,사건마스터!$A$5:$A$64,0)),""))</f>
        <v/>
      </c>
      <c r="V957" s="35">
        <f>IF($F957="","",IFERROR(INDEX(사건마스터!$AS$5:$AS$64,MATCH($F957,사건마스터!$A$5:$A$64,0)),""))</f>
        <v/>
      </c>
      <c r="W957" s="35">
        <f>IF($F957="","",IFERROR(INDEX(사건마스터!$AT$5:$AT$64,MATCH($F957,사건마스터!$A$5:$A$64,0)),""))</f>
        <v/>
      </c>
      <c r="X957" s="35">
        <f>IF($F957="","",IFERROR(INDEX(사건마스터!$AU$5:$AU$64,MATCH($F957,사건마스터!$A$5:$A$64,0)),""))</f>
        <v/>
      </c>
      <c r="Y957" s="35">
        <f>IF($F957="","",IFERROR(INDEX(사건마스터!$AV$5:$AV$64,MATCH($F957,사건마스터!$A$5:$A$64,0)),""))</f>
        <v/>
      </c>
      <c r="Z957" s="30">
        <f>IF(COUNTBLANK($J957:$Y957)=16,"",16-COUNTBLANK($J957:$Y957))</f>
        <v/>
      </c>
      <c r="AA957" s="33">
        <f>IF($J957="",MID($AX957,3,255),$J957&amp;$AX957)</f>
        <v/>
      </c>
      <c r="AB957" s="34">
        <f>IF($J957="","",IFERROR(INDEX(코드설정!$D$5:$D$24,MATCH($J957,코드설정!$C$5:$C$24,0)),""))</f>
        <v/>
      </c>
      <c r="AC957" s="36" t="n"/>
      <c r="AD957" s="37" t="n"/>
      <c r="AE957" s="38" t="n"/>
      <c r="AF957" s="30">
        <f>IF(OR($B957="",$C957=""),"",$C957-$B957+1)</f>
        <v/>
      </c>
      <c r="AG957" s="32" t="n"/>
      <c r="AH957" s="36" t="n"/>
      <c r="AJ957">
        <f>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  <c r="AX957">
        <f>AW957&amp;IF($Y957="","",", "&amp;$Y957)</f>
        <v/>
      </c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0">
        <f>IF($F958="","",COUNTIF($F$5:$F958,$F958))</f>
        <v/>
      </c>
      <c r="H958" s="33">
        <f>IF($F958="","",IFERROR(INDEX(사건마스터!$B$5:$B$64,MATCH($F958,사건마스터!$A$5:$A$64,0)),""))</f>
        <v/>
      </c>
      <c r="I958" s="34">
        <f>IF($F958="","",IFERROR(INDEX(사건마스터!$C$5:$C$64,MATCH($F958,사건마스터!$A$5:$A$64,0)),""))</f>
        <v/>
      </c>
      <c r="J958" s="35">
        <f>IF($F958="","",IFERROR(INDEX(사건마스터!$H$5:$H$64,MATCH($F958,사건마스터!$A$5:$A$64,0)),""))</f>
        <v/>
      </c>
      <c r="K958" s="35">
        <f>IF($F958="","",IFERROR(INDEX(사건마스터!$AH$5:$AH$64,MATCH($F958,사건마스터!$A$5:$A$64,0)),""))</f>
        <v/>
      </c>
      <c r="L958" s="35">
        <f>IF($F958="","",IFERROR(INDEX(사건마스터!$AI$5:$AI$64,MATCH($F958,사건마스터!$A$5:$A$64,0)),""))</f>
        <v/>
      </c>
      <c r="M958" s="35">
        <f>IF($F958="","",IFERROR(INDEX(사건마스터!$AJ$5:$AJ$64,MATCH($F958,사건마스터!$A$5:$A$64,0)),""))</f>
        <v/>
      </c>
      <c r="N958" s="35">
        <f>IF($F958="","",IFERROR(INDEX(사건마스터!$AK$5:$AK$64,MATCH($F958,사건마스터!$A$5:$A$64,0)),""))</f>
        <v/>
      </c>
      <c r="O958" s="35">
        <f>IF($F958="","",IFERROR(INDEX(사건마스터!$AL$5:$AL$64,MATCH($F958,사건마스터!$A$5:$A$64,0)),""))</f>
        <v/>
      </c>
      <c r="P958" s="35">
        <f>IF($F958="","",IFERROR(INDEX(사건마스터!$AM$5:$AM$64,MATCH($F958,사건마스터!$A$5:$A$64,0)),""))</f>
        <v/>
      </c>
      <c r="Q958" s="35">
        <f>IF($F958="","",IFERROR(INDEX(사건마스터!$AN$5:$AN$64,MATCH($F958,사건마스터!$A$5:$A$64,0)),""))</f>
        <v/>
      </c>
      <c r="R958" s="35">
        <f>IF($F958="","",IFERROR(INDEX(사건마스터!$AO$5:$AO$64,MATCH($F958,사건마스터!$A$5:$A$64,0)),""))</f>
        <v/>
      </c>
      <c r="S958" s="35">
        <f>IF($F958="","",IFERROR(INDEX(사건마스터!$AP$5:$AP$64,MATCH($F958,사건마스터!$A$5:$A$64,0)),""))</f>
        <v/>
      </c>
      <c r="T958" s="35">
        <f>IF($F958="","",IFERROR(INDEX(사건마스터!$AQ$5:$AQ$64,MATCH($F958,사건마스터!$A$5:$A$64,0)),""))</f>
        <v/>
      </c>
      <c r="U958" s="35">
        <f>IF($F958="","",IFERROR(INDEX(사건마스터!$AR$5:$AR$64,MATCH($F958,사건마스터!$A$5:$A$64,0)),""))</f>
        <v/>
      </c>
      <c r="V958" s="35">
        <f>IF($F958="","",IFERROR(INDEX(사건마스터!$AS$5:$AS$64,MATCH($F958,사건마스터!$A$5:$A$64,0)),""))</f>
        <v/>
      </c>
      <c r="W958" s="35">
        <f>IF($F958="","",IFERROR(INDEX(사건마스터!$AT$5:$AT$64,MATCH($F958,사건마스터!$A$5:$A$64,0)),""))</f>
        <v/>
      </c>
      <c r="X958" s="35">
        <f>IF($F958="","",IFERROR(INDEX(사건마스터!$AU$5:$AU$64,MATCH($F958,사건마스터!$A$5:$A$64,0)),""))</f>
        <v/>
      </c>
      <c r="Y958" s="35">
        <f>IF($F958="","",IFERROR(INDEX(사건마스터!$AV$5:$AV$64,MATCH($F958,사건마스터!$A$5:$A$64,0)),""))</f>
        <v/>
      </c>
      <c r="Z958" s="30">
        <f>IF(COUNTBLANK($J958:$Y958)=16,"",16-COUNTBLANK($J958:$Y958))</f>
        <v/>
      </c>
      <c r="AA958" s="33">
        <f>IF($J958="",MID($AX958,3,255),$J958&amp;$AX958)</f>
        <v/>
      </c>
      <c r="AB958" s="34">
        <f>IF($J958="","",IFERROR(INDEX(코드설정!$D$5:$D$24,MATCH($J958,코드설정!$C$5:$C$24,0)),""))</f>
        <v/>
      </c>
      <c r="AC958" s="36" t="n"/>
      <c r="AD958" s="37" t="n"/>
      <c r="AE958" s="38" t="n"/>
      <c r="AF958" s="30">
        <f>IF(OR($B958="",$C958=""),"",$C958-$B958+1)</f>
        <v/>
      </c>
      <c r="AG958" s="32" t="n"/>
      <c r="AH958" s="36" t="n"/>
      <c r="AJ958">
        <f>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  <c r="AX958">
        <f>AW958&amp;IF($Y958="","",", "&amp;$Y958)</f>
        <v/>
      </c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0">
        <f>IF($F959="","",COUNTIF($F$5:$F959,$F959))</f>
        <v/>
      </c>
      <c r="H959" s="33">
        <f>IF($F959="","",IFERROR(INDEX(사건마스터!$B$5:$B$64,MATCH($F959,사건마스터!$A$5:$A$64,0)),""))</f>
        <v/>
      </c>
      <c r="I959" s="34">
        <f>IF($F959="","",IFERROR(INDEX(사건마스터!$C$5:$C$64,MATCH($F959,사건마스터!$A$5:$A$64,0)),""))</f>
        <v/>
      </c>
      <c r="J959" s="35">
        <f>IF($F959="","",IFERROR(INDEX(사건마스터!$H$5:$H$64,MATCH($F959,사건마스터!$A$5:$A$64,0)),""))</f>
        <v/>
      </c>
      <c r="K959" s="35">
        <f>IF($F959="","",IFERROR(INDEX(사건마스터!$AH$5:$AH$64,MATCH($F959,사건마스터!$A$5:$A$64,0)),""))</f>
        <v/>
      </c>
      <c r="L959" s="35">
        <f>IF($F959="","",IFERROR(INDEX(사건마스터!$AI$5:$AI$64,MATCH($F959,사건마스터!$A$5:$A$64,0)),""))</f>
        <v/>
      </c>
      <c r="M959" s="35">
        <f>IF($F959="","",IFERROR(INDEX(사건마스터!$AJ$5:$AJ$64,MATCH($F959,사건마스터!$A$5:$A$64,0)),""))</f>
        <v/>
      </c>
      <c r="N959" s="35">
        <f>IF($F959="","",IFERROR(INDEX(사건마스터!$AK$5:$AK$64,MATCH($F959,사건마스터!$A$5:$A$64,0)),""))</f>
        <v/>
      </c>
      <c r="O959" s="35">
        <f>IF($F959="","",IFERROR(INDEX(사건마스터!$AL$5:$AL$64,MATCH($F959,사건마스터!$A$5:$A$64,0)),""))</f>
        <v/>
      </c>
      <c r="P959" s="35">
        <f>IF($F959="","",IFERROR(INDEX(사건마스터!$AM$5:$AM$64,MATCH($F959,사건마스터!$A$5:$A$64,0)),""))</f>
        <v/>
      </c>
      <c r="Q959" s="35">
        <f>IF($F959="","",IFERROR(INDEX(사건마스터!$AN$5:$AN$64,MATCH($F959,사건마스터!$A$5:$A$64,0)),""))</f>
        <v/>
      </c>
      <c r="R959" s="35">
        <f>IF($F959="","",IFERROR(INDEX(사건마스터!$AO$5:$AO$64,MATCH($F959,사건마스터!$A$5:$A$64,0)),""))</f>
        <v/>
      </c>
      <c r="S959" s="35">
        <f>IF($F959="","",IFERROR(INDEX(사건마스터!$AP$5:$AP$64,MATCH($F959,사건마스터!$A$5:$A$64,0)),""))</f>
        <v/>
      </c>
      <c r="T959" s="35">
        <f>IF($F959="","",IFERROR(INDEX(사건마스터!$AQ$5:$AQ$64,MATCH($F959,사건마스터!$A$5:$A$64,0)),""))</f>
        <v/>
      </c>
      <c r="U959" s="35">
        <f>IF($F959="","",IFERROR(INDEX(사건마스터!$AR$5:$AR$64,MATCH($F959,사건마스터!$A$5:$A$64,0)),""))</f>
        <v/>
      </c>
      <c r="V959" s="35">
        <f>IF($F959="","",IFERROR(INDEX(사건마스터!$AS$5:$AS$64,MATCH($F959,사건마스터!$A$5:$A$64,0)),""))</f>
        <v/>
      </c>
      <c r="W959" s="35">
        <f>IF($F959="","",IFERROR(INDEX(사건마스터!$AT$5:$AT$64,MATCH($F959,사건마스터!$A$5:$A$64,0)),""))</f>
        <v/>
      </c>
      <c r="X959" s="35">
        <f>IF($F959="","",IFERROR(INDEX(사건마스터!$AU$5:$AU$64,MATCH($F959,사건마스터!$A$5:$A$64,0)),""))</f>
        <v/>
      </c>
      <c r="Y959" s="35">
        <f>IF($F959="","",IFERROR(INDEX(사건마스터!$AV$5:$AV$64,MATCH($F959,사건마스터!$A$5:$A$64,0)),""))</f>
        <v/>
      </c>
      <c r="Z959" s="30">
        <f>IF(COUNTBLANK($J959:$Y959)=16,"",16-COUNTBLANK($J959:$Y959))</f>
        <v/>
      </c>
      <c r="AA959" s="33">
        <f>IF($J959="",MID($AX959,3,255),$J959&amp;$AX959)</f>
        <v/>
      </c>
      <c r="AB959" s="34">
        <f>IF($J959="","",IFERROR(INDEX(코드설정!$D$5:$D$24,MATCH($J959,코드설정!$C$5:$C$24,0)),""))</f>
        <v/>
      </c>
      <c r="AC959" s="36" t="n"/>
      <c r="AD959" s="37" t="n"/>
      <c r="AE959" s="38" t="n"/>
      <c r="AF959" s="30">
        <f>IF(OR($B959="",$C959=""),"",$C959-$B959+1)</f>
        <v/>
      </c>
      <c r="AG959" s="32" t="n"/>
      <c r="AH959" s="36" t="n"/>
      <c r="AJ959">
        <f>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  <c r="AX959">
        <f>AW959&amp;IF($Y959="","",", "&amp;$Y959)</f>
        <v/>
      </c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0">
        <f>IF($F960="","",COUNTIF($F$5:$F960,$F960))</f>
        <v/>
      </c>
      <c r="H960" s="33">
        <f>IF($F960="","",IFERROR(INDEX(사건마스터!$B$5:$B$64,MATCH($F960,사건마스터!$A$5:$A$64,0)),""))</f>
        <v/>
      </c>
      <c r="I960" s="34">
        <f>IF($F960="","",IFERROR(INDEX(사건마스터!$C$5:$C$64,MATCH($F960,사건마스터!$A$5:$A$64,0)),""))</f>
        <v/>
      </c>
      <c r="J960" s="35">
        <f>IF($F960="","",IFERROR(INDEX(사건마스터!$H$5:$H$64,MATCH($F960,사건마스터!$A$5:$A$64,0)),""))</f>
        <v/>
      </c>
      <c r="K960" s="35">
        <f>IF($F960="","",IFERROR(INDEX(사건마스터!$AH$5:$AH$64,MATCH($F960,사건마스터!$A$5:$A$64,0)),""))</f>
        <v/>
      </c>
      <c r="L960" s="35">
        <f>IF($F960="","",IFERROR(INDEX(사건마스터!$AI$5:$AI$64,MATCH($F960,사건마스터!$A$5:$A$64,0)),""))</f>
        <v/>
      </c>
      <c r="M960" s="35">
        <f>IF($F960="","",IFERROR(INDEX(사건마스터!$AJ$5:$AJ$64,MATCH($F960,사건마스터!$A$5:$A$64,0)),""))</f>
        <v/>
      </c>
      <c r="N960" s="35">
        <f>IF($F960="","",IFERROR(INDEX(사건마스터!$AK$5:$AK$64,MATCH($F960,사건마스터!$A$5:$A$64,0)),""))</f>
        <v/>
      </c>
      <c r="O960" s="35">
        <f>IF($F960="","",IFERROR(INDEX(사건마스터!$AL$5:$AL$64,MATCH($F960,사건마스터!$A$5:$A$64,0)),""))</f>
        <v/>
      </c>
      <c r="P960" s="35">
        <f>IF($F960="","",IFERROR(INDEX(사건마스터!$AM$5:$AM$64,MATCH($F960,사건마스터!$A$5:$A$64,0)),""))</f>
        <v/>
      </c>
      <c r="Q960" s="35">
        <f>IF($F960="","",IFERROR(INDEX(사건마스터!$AN$5:$AN$64,MATCH($F960,사건마스터!$A$5:$A$64,0)),""))</f>
        <v/>
      </c>
      <c r="R960" s="35">
        <f>IF($F960="","",IFERROR(INDEX(사건마스터!$AO$5:$AO$64,MATCH($F960,사건마스터!$A$5:$A$64,0)),""))</f>
        <v/>
      </c>
      <c r="S960" s="35">
        <f>IF($F960="","",IFERROR(INDEX(사건마스터!$AP$5:$AP$64,MATCH($F960,사건마스터!$A$5:$A$64,0)),""))</f>
        <v/>
      </c>
      <c r="T960" s="35">
        <f>IF($F960="","",IFERROR(INDEX(사건마스터!$AQ$5:$AQ$64,MATCH($F960,사건마스터!$A$5:$A$64,0)),""))</f>
        <v/>
      </c>
      <c r="U960" s="35">
        <f>IF($F960="","",IFERROR(INDEX(사건마스터!$AR$5:$AR$64,MATCH($F960,사건마스터!$A$5:$A$64,0)),""))</f>
        <v/>
      </c>
      <c r="V960" s="35">
        <f>IF($F960="","",IFERROR(INDEX(사건마스터!$AS$5:$AS$64,MATCH($F960,사건마스터!$A$5:$A$64,0)),""))</f>
        <v/>
      </c>
      <c r="W960" s="35">
        <f>IF($F960="","",IFERROR(INDEX(사건마스터!$AT$5:$AT$64,MATCH($F960,사건마스터!$A$5:$A$64,0)),""))</f>
        <v/>
      </c>
      <c r="X960" s="35">
        <f>IF($F960="","",IFERROR(INDEX(사건마스터!$AU$5:$AU$64,MATCH($F960,사건마스터!$A$5:$A$64,0)),""))</f>
        <v/>
      </c>
      <c r="Y960" s="35">
        <f>IF($F960="","",IFERROR(INDEX(사건마스터!$AV$5:$AV$64,MATCH($F960,사건마스터!$A$5:$A$64,0)),""))</f>
        <v/>
      </c>
      <c r="Z960" s="30">
        <f>IF(COUNTBLANK($J960:$Y960)=16,"",16-COUNTBLANK($J960:$Y960))</f>
        <v/>
      </c>
      <c r="AA960" s="33">
        <f>IF($J960="",MID($AX960,3,255),$J960&amp;$AX960)</f>
        <v/>
      </c>
      <c r="AB960" s="34">
        <f>IF($J960="","",IFERROR(INDEX(코드설정!$D$5:$D$24,MATCH($J960,코드설정!$C$5:$C$24,0)),""))</f>
        <v/>
      </c>
      <c r="AC960" s="36" t="n"/>
      <c r="AD960" s="37" t="n"/>
      <c r="AE960" s="38" t="n"/>
      <c r="AF960" s="30">
        <f>IF(OR($B960="",$C960=""),"",$C960-$B960+1)</f>
        <v/>
      </c>
      <c r="AG960" s="32" t="n"/>
      <c r="AH960" s="36" t="n"/>
      <c r="AJ960">
        <f>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  <c r="AX960">
        <f>AW960&amp;IF($Y960="","",", "&amp;$Y960)</f>
        <v/>
      </c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0">
        <f>IF($F961="","",COUNTIF($F$5:$F961,$F961))</f>
        <v/>
      </c>
      <c r="H961" s="33">
        <f>IF($F961="","",IFERROR(INDEX(사건마스터!$B$5:$B$64,MATCH($F961,사건마스터!$A$5:$A$64,0)),""))</f>
        <v/>
      </c>
      <c r="I961" s="34">
        <f>IF($F961="","",IFERROR(INDEX(사건마스터!$C$5:$C$64,MATCH($F961,사건마스터!$A$5:$A$64,0)),""))</f>
        <v/>
      </c>
      <c r="J961" s="35">
        <f>IF($F961="","",IFERROR(INDEX(사건마스터!$H$5:$H$64,MATCH($F961,사건마스터!$A$5:$A$64,0)),""))</f>
        <v/>
      </c>
      <c r="K961" s="35">
        <f>IF($F961="","",IFERROR(INDEX(사건마스터!$AH$5:$AH$64,MATCH($F961,사건마스터!$A$5:$A$64,0)),""))</f>
        <v/>
      </c>
      <c r="L961" s="35">
        <f>IF($F961="","",IFERROR(INDEX(사건마스터!$AI$5:$AI$64,MATCH($F961,사건마스터!$A$5:$A$64,0)),""))</f>
        <v/>
      </c>
      <c r="M961" s="35">
        <f>IF($F961="","",IFERROR(INDEX(사건마스터!$AJ$5:$AJ$64,MATCH($F961,사건마스터!$A$5:$A$64,0)),""))</f>
        <v/>
      </c>
      <c r="N961" s="35">
        <f>IF($F961="","",IFERROR(INDEX(사건마스터!$AK$5:$AK$64,MATCH($F961,사건마스터!$A$5:$A$64,0)),""))</f>
        <v/>
      </c>
      <c r="O961" s="35">
        <f>IF($F961="","",IFERROR(INDEX(사건마스터!$AL$5:$AL$64,MATCH($F961,사건마스터!$A$5:$A$64,0)),""))</f>
        <v/>
      </c>
      <c r="P961" s="35">
        <f>IF($F961="","",IFERROR(INDEX(사건마스터!$AM$5:$AM$64,MATCH($F961,사건마스터!$A$5:$A$64,0)),""))</f>
        <v/>
      </c>
      <c r="Q961" s="35">
        <f>IF($F961="","",IFERROR(INDEX(사건마스터!$AN$5:$AN$64,MATCH($F961,사건마스터!$A$5:$A$64,0)),""))</f>
        <v/>
      </c>
      <c r="R961" s="35">
        <f>IF($F961="","",IFERROR(INDEX(사건마스터!$AO$5:$AO$64,MATCH($F961,사건마스터!$A$5:$A$64,0)),""))</f>
        <v/>
      </c>
      <c r="S961" s="35">
        <f>IF($F961="","",IFERROR(INDEX(사건마스터!$AP$5:$AP$64,MATCH($F961,사건마스터!$A$5:$A$64,0)),""))</f>
        <v/>
      </c>
      <c r="T961" s="35">
        <f>IF($F961="","",IFERROR(INDEX(사건마스터!$AQ$5:$AQ$64,MATCH($F961,사건마스터!$A$5:$A$64,0)),""))</f>
        <v/>
      </c>
      <c r="U961" s="35">
        <f>IF($F961="","",IFERROR(INDEX(사건마스터!$AR$5:$AR$64,MATCH($F961,사건마스터!$A$5:$A$64,0)),""))</f>
        <v/>
      </c>
      <c r="V961" s="35">
        <f>IF($F961="","",IFERROR(INDEX(사건마스터!$AS$5:$AS$64,MATCH($F961,사건마스터!$A$5:$A$64,0)),""))</f>
        <v/>
      </c>
      <c r="W961" s="35">
        <f>IF($F961="","",IFERROR(INDEX(사건마스터!$AT$5:$AT$64,MATCH($F961,사건마스터!$A$5:$A$64,0)),""))</f>
        <v/>
      </c>
      <c r="X961" s="35">
        <f>IF($F961="","",IFERROR(INDEX(사건마스터!$AU$5:$AU$64,MATCH($F961,사건마스터!$A$5:$A$64,0)),""))</f>
        <v/>
      </c>
      <c r="Y961" s="35">
        <f>IF($F961="","",IFERROR(INDEX(사건마스터!$AV$5:$AV$64,MATCH($F961,사건마스터!$A$5:$A$64,0)),""))</f>
        <v/>
      </c>
      <c r="Z961" s="30">
        <f>IF(COUNTBLANK($J961:$Y961)=16,"",16-COUNTBLANK($J961:$Y961))</f>
        <v/>
      </c>
      <c r="AA961" s="33">
        <f>IF($J961="",MID($AX961,3,255),$J961&amp;$AX961)</f>
        <v/>
      </c>
      <c r="AB961" s="34">
        <f>IF($J961="","",IFERROR(INDEX(코드설정!$D$5:$D$24,MATCH($J961,코드설정!$C$5:$C$24,0)),""))</f>
        <v/>
      </c>
      <c r="AC961" s="36" t="n"/>
      <c r="AD961" s="37" t="n"/>
      <c r="AE961" s="38" t="n"/>
      <c r="AF961" s="30">
        <f>IF(OR($B961="",$C961=""),"",$C961-$B961+1)</f>
        <v/>
      </c>
      <c r="AG961" s="32" t="n"/>
      <c r="AH961" s="36" t="n"/>
      <c r="AJ961">
        <f>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  <c r="AX961">
        <f>AW961&amp;IF($Y961="","",", "&amp;$Y961)</f>
        <v/>
      </c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0">
        <f>IF($F962="","",COUNTIF($F$5:$F962,$F962))</f>
        <v/>
      </c>
      <c r="H962" s="33">
        <f>IF($F962="","",IFERROR(INDEX(사건마스터!$B$5:$B$64,MATCH($F962,사건마스터!$A$5:$A$64,0)),""))</f>
        <v/>
      </c>
      <c r="I962" s="34">
        <f>IF($F962="","",IFERROR(INDEX(사건마스터!$C$5:$C$64,MATCH($F962,사건마스터!$A$5:$A$64,0)),""))</f>
        <v/>
      </c>
      <c r="J962" s="35">
        <f>IF($F962="","",IFERROR(INDEX(사건마스터!$H$5:$H$64,MATCH($F962,사건마스터!$A$5:$A$64,0)),""))</f>
        <v/>
      </c>
      <c r="K962" s="35">
        <f>IF($F962="","",IFERROR(INDEX(사건마스터!$AH$5:$AH$64,MATCH($F962,사건마스터!$A$5:$A$64,0)),""))</f>
        <v/>
      </c>
      <c r="L962" s="35">
        <f>IF($F962="","",IFERROR(INDEX(사건마스터!$AI$5:$AI$64,MATCH($F962,사건마스터!$A$5:$A$64,0)),""))</f>
        <v/>
      </c>
      <c r="M962" s="35">
        <f>IF($F962="","",IFERROR(INDEX(사건마스터!$AJ$5:$AJ$64,MATCH($F962,사건마스터!$A$5:$A$64,0)),""))</f>
        <v/>
      </c>
      <c r="N962" s="35">
        <f>IF($F962="","",IFERROR(INDEX(사건마스터!$AK$5:$AK$64,MATCH($F962,사건마스터!$A$5:$A$64,0)),""))</f>
        <v/>
      </c>
      <c r="O962" s="35">
        <f>IF($F962="","",IFERROR(INDEX(사건마스터!$AL$5:$AL$64,MATCH($F962,사건마스터!$A$5:$A$64,0)),""))</f>
        <v/>
      </c>
      <c r="P962" s="35">
        <f>IF($F962="","",IFERROR(INDEX(사건마스터!$AM$5:$AM$64,MATCH($F962,사건마스터!$A$5:$A$64,0)),""))</f>
        <v/>
      </c>
      <c r="Q962" s="35">
        <f>IF($F962="","",IFERROR(INDEX(사건마스터!$AN$5:$AN$64,MATCH($F962,사건마스터!$A$5:$A$64,0)),""))</f>
        <v/>
      </c>
      <c r="R962" s="35">
        <f>IF($F962="","",IFERROR(INDEX(사건마스터!$AO$5:$AO$64,MATCH($F962,사건마스터!$A$5:$A$64,0)),""))</f>
        <v/>
      </c>
      <c r="S962" s="35">
        <f>IF($F962="","",IFERROR(INDEX(사건마스터!$AP$5:$AP$64,MATCH($F962,사건마스터!$A$5:$A$64,0)),""))</f>
        <v/>
      </c>
      <c r="T962" s="35">
        <f>IF($F962="","",IFERROR(INDEX(사건마스터!$AQ$5:$AQ$64,MATCH($F962,사건마스터!$A$5:$A$64,0)),""))</f>
        <v/>
      </c>
      <c r="U962" s="35">
        <f>IF($F962="","",IFERROR(INDEX(사건마스터!$AR$5:$AR$64,MATCH($F962,사건마스터!$A$5:$A$64,0)),""))</f>
        <v/>
      </c>
      <c r="V962" s="35">
        <f>IF($F962="","",IFERROR(INDEX(사건마스터!$AS$5:$AS$64,MATCH($F962,사건마스터!$A$5:$A$64,0)),""))</f>
        <v/>
      </c>
      <c r="W962" s="35">
        <f>IF($F962="","",IFERROR(INDEX(사건마스터!$AT$5:$AT$64,MATCH($F962,사건마스터!$A$5:$A$64,0)),""))</f>
        <v/>
      </c>
      <c r="X962" s="35">
        <f>IF($F962="","",IFERROR(INDEX(사건마스터!$AU$5:$AU$64,MATCH($F962,사건마스터!$A$5:$A$64,0)),""))</f>
        <v/>
      </c>
      <c r="Y962" s="35">
        <f>IF($F962="","",IFERROR(INDEX(사건마스터!$AV$5:$AV$64,MATCH($F962,사건마스터!$A$5:$A$64,0)),""))</f>
        <v/>
      </c>
      <c r="Z962" s="30">
        <f>IF(COUNTBLANK($J962:$Y962)=16,"",16-COUNTBLANK($J962:$Y962))</f>
        <v/>
      </c>
      <c r="AA962" s="33">
        <f>IF($J962="",MID($AX962,3,255),$J962&amp;$AX962)</f>
        <v/>
      </c>
      <c r="AB962" s="34">
        <f>IF($J962="","",IFERROR(INDEX(코드설정!$D$5:$D$24,MATCH($J962,코드설정!$C$5:$C$24,0)),""))</f>
        <v/>
      </c>
      <c r="AC962" s="36" t="n"/>
      <c r="AD962" s="37" t="n"/>
      <c r="AE962" s="38" t="n"/>
      <c r="AF962" s="30">
        <f>IF(OR($B962="",$C962=""),"",$C962-$B962+1)</f>
        <v/>
      </c>
      <c r="AG962" s="32" t="n"/>
      <c r="AH962" s="36" t="n"/>
      <c r="AJ962">
        <f>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  <c r="AX962">
        <f>AW962&amp;IF($Y962="","",", "&amp;$Y962)</f>
        <v/>
      </c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0">
        <f>IF($F963="","",COUNTIF($F$5:$F963,$F963))</f>
        <v/>
      </c>
      <c r="H963" s="33">
        <f>IF($F963="","",IFERROR(INDEX(사건마스터!$B$5:$B$64,MATCH($F963,사건마스터!$A$5:$A$64,0)),""))</f>
        <v/>
      </c>
      <c r="I963" s="34">
        <f>IF($F963="","",IFERROR(INDEX(사건마스터!$C$5:$C$64,MATCH($F963,사건마스터!$A$5:$A$64,0)),""))</f>
        <v/>
      </c>
      <c r="J963" s="35">
        <f>IF($F963="","",IFERROR(INDEX(사건마스터!$H$5:$H$64,MATCH($F963,사건마스터!$A$5:$A$64,0)),""))</f>
        <v/>
      </c>
      <c r="K963" s="35">
        <f>IF($F963="","",IFERROR(INDEX(사건마스터!$AH$5:$AH$64,MATCH($F963,사건마스터!$A$5:$A$64,0)),""))</f>
        <v/>
      </c>
      <c r="L963" s="35">
        <f>IF($F963="","",IFERROR(INDEX(사건마스터!$AI$5:$AI$64,MATCH($F963,사건마스터!$A$5:$A$64,0)),""))</f>
        <v/>
      </c>
      <c r="M963" s="35">
        <f>IF($F963="","",IFERROR(INDEX(사건마스터!$AJ$5:$AJ$64,MATCH($F963,사건마스터!$A$5:$A$64,0)),""))</f>
        <v/>
      </c>
      <c r="N963" s="35">
        <f>IF($F963="","",IFERROR(INDEX(사건마스터!$AK$5:$AK$64,MATCH($F963,사건마스터!$A$5:$A$64,0)),""))</f>
        <v/>
      </c>
      <c r="O963" s="35">
        <f>IF($F963="","",IFERROR(INDEX(사건마스터!$AL$5:$AL$64,MATCH($F963,사건마스터!$A$5:$A$64,0)),""))</f>
        <v/>
      </c>
      <c r="P963" s="35">
        <f>IF($F963="","",IFERROR(INDEX(사건마스터!$AM$5:$AM$64,MATCH($F963,사건마스터!$A$5:$A$64,0)),""))</f>
        <v/>
      </c>
      <c r="Q963" s="35">
        <f>IF($F963="","",IFERROR(INDEX(사건마스터!$AN$5:$AN$64,MATCH($F963,사건마스터!$A$5:$A$64,0)),""))</f>
        <v/>
      </c>
      <c r="R963" s="35">
        <f>IF($F963="","",IFERROR(INDEX(사건마스터!$AO$5:$AO$64,MATCH($F963,사건마스터!$A$5:$A$64,0)),""))</f>
        <v/>
      </c>
      <c r="S963" s="35">
        <f>IF($F963="","",IFERROR(INDEX(사건마스터!$AP$5:$AP$64,MATCH($F963,사건마스터!$A$5:$A$64,0)),""))</f>
        <v/>
      </c>
      <c r="T963" s="35">
        <f>IF($F963="","",IFERROR(INDEX(사건마스터!$AQ$5:$AQ$64,MATCH($F963,사건마스터!$A$5:$A$64,0)),""))</f>
        <v/>
      </c>
      <c r="U963" s="35">
        <f>IF($F963="","",IFERROR(INDEX(사건마스터!$AR$5:$AR$64,MATCH($F963,사건마스터!$A$5:$A$64,0)),""))</f>
        <v/>
      </c>
      <c r="V963" s="35">
        <f>IF($F963="","",IFERROR(INDEX(사건마스터!$AS$5:$AS$64,MATCH($F963,사건마스터!$A$5:$A$64,0)),""))</f>
        <v/>
      </c>
      <c r="W963" s="35">
        <f>IF($F963="","",IFERROR(INDEX(사건마스터!$AT$5:$AT$64,MATCH($F963,사건마스터!$A$5:$A$64,0)),""))</f>
        <v/>
      </c>
      <c r="X963" s="35">
        <f>IF($F963="","",IFERROR(INDEX(사건마스터!$AU$5:$AU$64,MATCH($F963,사건마스터!$A$5:$A$64,0)),""))</f>
        <v/>
      </c>
      <c r="Y963" s="35">
        <f>IF($F963="","",IFERROR(INDEX(사건마스터!$AV$5:$AV$64,MATCH($F963,사건마스터!$A$5:$A$64,0)),""))</f>
        <v/>
      </c>
      <c r="Z963" s="30">
        <f>IF(COUNTBLANK($J963:$Y963)=16,"",16-COUNTBLANK($J963:$Y963))</f>
        <v/>
      </c>
      <c r="AA963" s="33">
        <f>IF($J963="",MID($AX963,3,255),$J963&amp;$AX963)</f>
        <v/>
      </c>
      <c r="AB963" s="34">
        <f>IF($J963="","",IFERROR(INDEX(코드설정!$D$5:$D$24,MATCH($J963,코드설정!$C$5:$C$24,0)),""))</f>
        <v/>
      </c>
      <c r="AC963" s="36" t="n"/>
      <c r="AD963" s="37" t="n"/>
      <c r="AE963" s="38" t="n"/>
      <c r="AF963" s="30">
        <f>IF(OR($B963="",$C963=""),"",$C963-$B963+1)</f>
        <v/>
      </c>
      <c r="AG963" s="32" t="n"/>
      <c r="AH963" s="36" t="n"/>
      <c r="AJ963">
        <f>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  <c r="AX963">
        <f>AW963&amp;IF($Y963="","",", "&amp;$Y963)</f>
        <v/>
      </c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0">
        <f>IF($F964="","",COUNTIF($F$5:$F964,$F964))</f>
        <v/>
      </c>
      <c r="H964" s="33">
        <f>IF($F964="","",IFERROR(INDEX(사건마스터!$B$5:$B$64,MATCH($F964,사건마스터!$A$5:$A$64,0)),""))</f>
        <v/>
      </c>
      <c r="I964" s="34">
        <f>IF($F964="","",IFERROR(INDEX(사건마스터!$C$5:$C$64,MATCH($F964,사건마스터!$A$5:$A$64,0)),""))</f>
        <v/>
      </c>
      <c r="J964" s="35">
        <f>IF($F964="","",IFERROR(INDEX(사건마스터!$H$5:$H$64,MATCH($F964,사건마스터!$A$5:$A$64,0)),""))</f>
        <v/>
      </c>
      <c r="K964" s="35">
        <f>IF($F964="","",IFERROR(INDEX(사건마스터!$AH$5:$AH$64,MATCH($F964,사건마스터!$A$5:$A$64,0)),""))</f>
        <v/>
      </c>
      <c r="L964" s="35">
        <f>IF($F964="","",IFERROR(INDEX(사건마스터!$AI$5:$AI$64,MATCH($F964,사건마스터!$A$5:$A$64,0)),""))</f>
        <v/>
      </c>
      <c r="M964" s="35">
        <f>IF($F964="","",IFERROR(INDEX(사건마스터!$AJ$5:$AJ$64,MATCH($F964,사건마스터!$A$5:$A$64,0)),""))</f>
        <v/>
      </c>
      <c r="N964" s="35">
        <f>IF($F964="","",IFERROR(INDEX(사건마스터!$AK$5:$AK$64,MATCH($F964,사건마스터!$A$5:$A$64,0)),""))</f>
        <v/>
      </c>
      <c r="O964" s="35">
        <f>IF($F964="","",IFERROR(INDEX(사건마스터!$AL$5:$AL$64,MATCH($F964,사건마스터!$A$5:$A$64,0)),""))</f>
        <v/>
      </c>
      <c r="P964" s="35">
        <f>IF($F964="","",IFERROR(INDEX(사건마스터!$AM$5:$AM$64,MATCH($F964,사건마스터!$A$5:$A$64,0)),""))</f>
        <v/>
      </c>
      <c r="Q964" s="35">
        <f>IF($F964="","",IFERROR(INDEX(사건마스터!$AN$5:$AN$64,MATCH($F964,사건마스터!$A$5:$A$64,0)),""))</f>
        <v/>
      </c>
      <c r="R964" s="35">
        <f>IF($F964="","",IFERROR(INDEX(사건마스터!$AO$5:$AO$64,MATCH($F964,사건마스터!$A$5:$A$64,0)),""))</f>
        <v/>
      </c>
      <c r="S964" s="35">
        <f>IF($F964="","",IFERROR(INDEX(사건마스터!$AP$5:$AP$64,MATCH($F964,사건마스터!$A$5:$A$64,0)),""))</f>
        <v/>
      </c>
      <c r="T964" s="35">
        <f>IF($F964="","",IFERROR(INDEX(사건마스터!$AQ$5:$AQ$64,MATCH($F964,사건마스터!$A$5:$A$64,0)),""))</f>
        <v/>
      </c>
      <c r="U964" s="35">
        <f>IF($F964="","",IFERROR(INDEX(사건마스터!$AR$5:$AR$64,MATCH($F964,사건마스터!$A$5:$A$64,0)),""))</f>
        <v/>
      </c>
      <c r="V964" s="35">
        <f>IF($F964="","",IFERROR(INDEX(사건마스터!$AS$5:$AS$64,MATCH($F964,사건마스터!$A$5:$A$64,0)),""))</f>
        <v/>
      </c>
      <c r="W964" s="35">
        <f>IF($F964="","",IFERROR(INDEX(사건마스터!$AT$5:$AT$64,MATCH($F964,사건마스터!$A$5:$A$64,0)),""))</f>
        <v/>
      </c>
      <c r="X964" s="35">
        <f>IF($F964="","",IFERROR(INDEX(사건마스터!$AU$5:$AU$64,MATCH($F964,사건마스터!$A$5:$A$64,0)),""))</f>
        <v/>
      </c>
      <c r="Y964" s="35">
        <f>IF($F964="","",IFERROR(INDEX(사건마스터!$AV$5:$AV$64,MATCH($F964,사건마스터!$A$5:$A$64,0)),""))</f>
        <v/>
      </c>
      <c r="Z964" s="30">
        <f>IF(COUNTBLANK($J964:$Y964)=16,"",16-COUNTBLANK($J964:$Y964))</f>
        <v/>
      </c>
      <c r="AA964" s="33">
        <f>IF($J964="",MID($AX964,3,255),$J964&amp;$AX964)</f>
        <v/>
      </c>
      <c r="AB964" s="34">
        <f>IF($J964="","",IFERROR(INDEX(코드설정!$D$5:$D$24,MATCH($J964,코드설정!$C$5:$C$24,0)),""))</f>
        <v/>
      </c>
      <c r="AC964" s="36" t="n"/>
      <c r="AD964" s="37" t="n"/>
      <c r="AE964" s="38" t="n"/>
      <c r="AF964" s="30">
        <f>IF(OR($B964="",$C964=""),"",$C964-$B964+1)</f>
        <v/>
      </c>
      <c r="AG964" s="32" t="n"/>
      <c r="AH964" s="36" t="n"/>
      <c r="AJ964">
        <f>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  <c r="AX964">
        <f>AW964&amp;IF($Y964="","",", "&amp;$Y964)</f>
        <v/>
      </c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0">
        <f>IF($F965="","",COUNTIF($F$5:$F965,$F965))</f>
        <v/>
      </c>
      <c r="H965" s="33">
        <f>IF($F965="","",IFERROR(INDEX(사건마스터!$B$5:$B$64,MATCH($F965,사건마스터!$A$5:$A$64,0)),""))</f>
        <v/>
      </c>
      <c r="I965" s="34">
        <f>IF($F965="","",IFERROR(INDEX(사건마스터!$C$5:$C$64,MATCH($F965,사건마스터!$A$5:$A$64,0)),""))</f>
        <v/>
      </c>
      <c r="J965" s="35">
        <f>IF($F965="","",IFERROR(INDEX(사건마스터!$H$5:$H$64,MATCH($F965,사건마스터!$A$5:$A$64,0)),""))</f>
        <v/>
      </c>
      <c r="K965" s="35">
        <f>IF($F965="","",IFERROR(INDEX(사건마스터!$AH$5:$AH$64,MATCH($F965,사건마스터!$A$5:$A$64,0)),""))</f>
        <v/>
      </c>
      <c r="L965" s="35">
        <f>IF($F965="","",IFERROR(INDEX(사건마스터!$AI$5:$AI$64,MATCH($F965,사건마스터!$A$5:$A$64,0)),""))</f>
        <v/>
      </c>
      <c r="M965" s="35">
        <f>IF($F965="","",IFERROR(INDEX(사건마스터!$AJ$5:$AJ$64,MATCH($F965,사건마스터!$A$5:$A$64,0)),""))</f>
        <v/>
      </c>
      <c r="N965" s="35">
        <f>IF($F965="","",IFERROR(INDEX(사건마스터!$AK$5:$AK$64,MATCH($F965,사건마스터!$A$5:$A$64,0)),""))</f>
        <v/>
      </c>
      <c r="O965" s="35">
        <f>IF($F965="","",IFERROR(INDEX(사건마스터!$AL$5:$AL$64,MATCH($F965,사건마스터!$A$5:$A$64,0)),""))</f>
        <v/>
      </c>
      <c r="P965" s="35">
        <f>IF($F965="","",IFERROR(INDEX(사건마스터!$AM$5:$AM$64,MATCH($F965,사건마스터!$A$5:$A$64,0)),""))</f>
        <v/>
      </c>
      <c r="Q965" s="35">
        <f>IF($F965="","",IFERROR(INDEX(사건마스터!$AN$5:$AN$64,MATCH($F965,사건마스터!$A$5:$A$64,0)),""))</f>
        <v/>
      </c>
      <c r="R965" s="35">
        <f>IF($F965="","",IFERROR(INDEX(사건마스터!$AO$5:$AO$64,MATCH($F965,사건마스터!$A$5:$A$64,0)),""))</f>
        <v/>
      </c>
      <c r="S965" s="35">
        <f>IF($F965="","",IFERROR(INDEX(사건마스터!$AP$5:$AP$64,MATCH($F965,사건마스터!$A$5:$A$64,0)),""))</f>
        <v/>
      </c>
      <c r="T965" s="35">
        <f>IF($F965="","",IFERROR(INDEX(사건마스터!$AQ$5:$AQ$64,MATCH($F965,사건마스터!$A$5:$A$64,0)),""))</f>
        <v/>
      </c>
      <c r="U965" s="35">
        <f>IF($F965="","",IFERROR(INDEX(사건마스터!$AR$5:$AR$64,MATCH($F965,사건마스터!$A$5:$A$64,0)),""))</f>
        <v/>
      </c>
      <c r="V965" s="35">
        <f>IF($F965="","",IFERROR(INDEX(사건마스터!$AS$5:$AS$64,MATCH($F965,사건마스터!$A$5:$A$64,0)),""))</f>
        <v/>
      </c>
      <c r="W965" s="35">
        <f>IF($F965="","",IFERROR(INDEX(사건마스터!$AT$5:$AT$64,MATCH($F965,사건마스터!$A$5:$A$64,0)),""))</f>
        <v/>
      </c>
      <c r="X965" s="35">
        <f>IF($F965="","",IFERROR(INDEX(사건마스터!$AU$5:$AU$64,MATCH($F965,사건마스터!$A$5:$A$64,0)),""))</f>
        <v/>
      </c>
      <c r="Y965" s="35">
        <f>IF($F965="","",IFERROR(INDEX(사건마스터!$AV$5:$AV$64,MATCH($F965,사건마스터!$A$5:$A$64,0)),""))</f>
        <v/>
      </c>
      <c r="Z965" s="30">
        <f>IF(COUNTBLANK($J965:$Y965)=16,"",16-COUNTBLANK($J965:$Y965))</f>
        <v/>
      </c>
      <c r="AA965" s="33">
        <f>IF($J965="",MID($AX965,3,255),$J965&amp;$AX965)</f>
        <v/>
      </c>
      <c r="AB965" s="34">
        <f>IF($J965="","",IFERROR(INDEX(코드설정!$D$5:$D$24,MATCH($J965,코드설정!$C$5:$C$24,0)),""))</f>
        <v/>
      </c>
      <c r="AC965" s="36" t="n"/>
      <c r="AD965" s="37" t="n"/>
      <c r="AE965" s="38" t="n"/>
      <c r="AF965" s="30">
        <f>IF(OR($B965="",$C965=""),"",$C965-$B965+1)</f>
        <v/>
      </c>
      <c r="AG965" s="32" t="n"/>
      <c r="AH965" s="36" t="n"/>
      <c r="AJ965">
        <f>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  <c r="AX965">
        <f>AW965&amp;IF($Y965="","",", "&amp;$Y965)</f>
        <v/>
      </c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0">
        <f>IF($F966="","",COUNTIF($F$5:$F966,$F966))</f>
        <v/>
      </c>
      <c r="H966" s="33">
        <f>IF($F966="","",IFERROR(INDEX(사건마스터!$B$5:$B$64,MATCH($F966,사건마스터!$A$5:$A$64,0)),""))</f>
        <v/>
      </c>
      <c r="I966" s="34">
        <f>IF($F966="","",IFERROR(INDEX(사건마스터!$C$5:$C$64,MATCH($F966,사건마스터!$A$5:$A$64,0)),""))</f>
        <v/>
      </c>
      <c r="J966" s="35">
        <f>IF($F966="","",IFERROR(INDEX(사건마스터!$H$5:$H$64,MATCH($F966,사건마스터!$A$5:$A$64,0)),""))</f>
        <v/>
      </c>
      <c r="K966" s="35">
        <f>IF($F966="","",IFERROR(INDEX(사건마스터!$AH$5:$AH$64,MATCH($F966,사건마스터!$A$5:$A$64,0)),""))</f>
        <v/>
      </c>
      <c r="L966" s="35">
        <f>IF($F966="","",IFERROR(INDEX(사건마스터!$AI$5:$AI$64,MATCH($F966,사건마스터!$A$5:$A$64,0)),""))</f>
        <v/>
      </c>
      <c r="M966" s="35">
        <f>IF($F966="","",IFERROR(INDEX(사건마스터!$AJ$5:$AJ$64,MATCH($F966,사건마스터!$A$5:$A$64,0)),""))</f>
        <v/>
      </c>
      <c r="N966" s="35">
        <f>IF($F966="","",IFERROR(INDEX(사건마스터!$AK$5:$AK$64,MATCH($F966,사건마스터!$A$5:$A$64,0)),""))</f>
        <v/>
      </c>
      <c r="O966" s="35">
        <f>IF($F966="","",IFERROR(INDEX(사건마스터!$AL$5:$AL$64,MATCH($F966,사건마스터!$A$5:$A$64,0)),""))</f>
        <v/>
      </c>
      <c r="P966" s="35">
        <f>IF($F966="","",IFERROR(INDEX(사건마스터!$AM$5:$AM$64,MATCH($F966,사건마스터!$A$5:$A$64,0)),""))</f>
        <v/>
      </c>
      <c r="Q966" s="35">
        <f>IF($F966="","",IFERROR(INDEX(사건마스터!$AN$5:$AN$64,MATCH($F966,사건마스터!$A$5:$A$64,0)),""))</f>
        <v/>
      </c>
      <c r="R966" s="35">
        <f>IF($F966="","",IFERROR(INDEX(사건마스터!$AO$5:$AO$64,MATCH($F966,사건마스터!$A$5:$A$64,0)),""))</f>
        <v/>
      </c>
      <c r="S966" s="35">
        <f>IF($F966="","",IFERROR(INDEX(사건마스터!$AP$5:$AP$64,MATCH($F966,사건마스터!$A$5:$A$64,0)),""))</f>
        <v/>
      </c>
      <c r="T966" s="35">
        <f>IF($F966="","",IFERROR(INDEX(사건마스터!$AQ$5:$AQ$64,MATCH($F966,사건마스터!$A$5:$A$64,0)),""))</f>
        <v/>
      </c>
      <c r="U966" s="35">
        <f>IF($F966="","",IFERROR(INDEX(사건마스터!$AR$5:$AR$64,MATCH($F966,사건마스터!$A$5:$A$64,0)),""))</f>
        <v/>
      </c>
      <c r="V966" s="35">
        <f>IF($F966="","",IFERROR(INDEX(사건마스터!$AS$5:$AS$64,MATCH($F966,사건마스터!$A$5:$A$64,0)),""))</f>
        <v/>
      </c>
      <c r="W966" s="35">
        <f>IF($F966="","",IFERROR(INDEX(사건마스터!$AT$5:$AT$64,MATCH($F966,사건마스터!$A$5:$A$64,0)),""))</f>
        <v/>
      </c>
      <c r="X966" s="35">
        <f>IF($F966="","",IFERROR(INDEX(사건마스터!$AU$5:$AU$64,MATCH($F966,사건마스터!$A$5:$A$64,0)),""))</f>
        <v/>
      </c>
      <c r="Y966" s="35">
        <f>IF($F966="","",IFERROR(INDEX(사건마스터!$AV$5:$AV$64,MATCH($F966,사건마스터!$A$5:$A$64,0)),""))</f>
        <v/>
      </c>
      <c r="Z966" s="30">
        <f>IF(COUNTBLANK($J966:$Y966)=16,"",16-COUNTBLANK($J966:$Y966))</f>
        <v/>
      </c>
      <c r="AA966" s="33">
        <f>IF($J966="",MID($AX966,3,255),$J966&amp;$AX966)</f>
        <v/>
      </c>
      <c r="AB966" s="34">
        <f>IF($J966="","",IFERROR(INDEX(코드설정!$D$5:$D$24,MATCH($J966,코드설정!$C$5:$C$24,0)),""))</f>
        <v/>
      </c>
      <c r="AC966" s="36" t="n"/>
      <c r="AD966" s="37" t="n"/>
      <c r="AE966" s="38" t="n"/>
      <c r="AF966" s="30">
        <f>IF(OR($B966="",$C966=""),"",$C966-$B966+1)</f>
        <v/>
      </c>
      <c r="AG966" s="32" t="n"/>
      <c r="AH966" s="36" t="n"/>
      <c r="AJ966">
        <f>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  <c r="AX966">
        <f>AW966&amp;IF($Y966="","",", "&amp;$Y966)</f>
        <v/>
      </c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0">
        <f>IF($F967="","",COUNTIF($F$5:$F967,$F967))</f>
        <v/>
      </c>
      <c r="H967" s="33">
        <f>IF($F967="","",IFERROR(INDEX(사건마스터!$B$5:$B$64,MATCH($F967,사건마스터!$A$5:$A$64,0)),""))</f>
        <v/>
      </c>
      <c r="I967" s="34">
        <f>IF($F967="","",IFERROR(INDEX(사건마스터!$C$5:$C$64,MATCH($F967,사건마스터!$A$5:$A$64,0)),""))</f>
        <v/>
      </c>
      <c r="J967" s="35">
        <f>IF($F967="","",IFERROR(INDEX(사건마스터!$H$5:$H$64,MATCH($F967,사건마스터!$A$5:$A$64,0)),""))</f>
        <v/>
      </c>
      <c r="K967" s="35">
        <f>IF($F967="","",IFERROR(INDEX(사건마스터!$AH$5:$AH$64,MATCH($F967,사건마스터!$A$5:$A$64,0)),""))</f>
        <v/>
      </c>
      <c r="L967" s="35">
        <f>IF($F967="","",IFERROR(INDEX(사건마스터!$AI$5:$AI$64,MATCH($F967,사건마스터!$A$5:$A$64,0)),""))</f>
        <v/>
      </c>
      <c r="M967" s="35">
        <f>IF($F967="","",IFERROR(INDEX(사건마스터!$AJ$5:$AJ$64,MATCH($F967,사건마스터!$A$5:$A$64,0)),""))</f>
        <v/>
      </c>
      <c r="N967" s="35">
        <f>IF($F967="","",IFERROR(INDEX(사건마스터!$AK$5:$AK$64,MATCH($F967,사건마스터!$A$5:$A$64,0)),""))</f>
        <v/>
      </c>
      <c r="O967" s="35">
        <f>IF($F967="","",IFERROR(INDEX(사건마스터!$AL$5:$AL$64,MATCH($F967,사건마스터!$A$5:$A$64,0)),""))</f>
        <v/>
      </c>
      <c r="P967" s="35">
        <f>IF($F967="","",IFERROR(INDEX(사건마스터!$AM$5:$AM$64,MATCH($F967,사건마스터!$A$5:$A$64,0)),""))</f>
        <v/>
      </c>
      <c r="Q967" s="35">
        <f>IF($F967="","",IFERROR(INDEX(사건마스터!$AN$5:$AN$64,MATCH($F967,사건마스터!$A$5:$A$64,0)),""))</f>
        <v/>
      </c>
      <c r="R967" s="35">
        <f>IF($F967="","",IFERROR(INDEX(사건마스터!$AO$5:$AO$64,MATCH($F967,사건마스터!$A$5:$A$64,0)),""))</f>
        <v/>
      </c>
      <c r="S967" s="35">
        <f>IF($F967="","",IFERROR(INDEX(사건마스터!$AP$5:$AP$64,MATCH($F967,사건마스터!$A$5:$A$64,0)),""))</f>
        <v/>
      </c>
      <c r="T967" s="35">
        <f>IF($F967="","",IFERROR(INDEX(사건마스터!$AQ$5:$AQ$64,MATCH($F967,사건마스터!$A$5:$A$64,0)),""))</f>
        <v/>
      </c>
      <c r="U967" s="35">
        <f>IF($F967="","",IFERROR(INDEX(사건마스터!$AR$5:$AR$64,MATCH($F967,사건마스터!$A$5:$A$64,0)),""))</f>
        <v/>
      </c>
      <c r="V967" s="35">
        <f>IF($F967="","",IFERROR(INDEX(사건마스터!$AS$5:$AS$64,MATCH($F967,사건마스터!$A$5:$A$64,0)),""))</f>
        <v/>
      </c>
      <c r="W967" s="35">
        <f>IF($F967="","",IFERROR(INDEX(사건마스터!$AT$5:$AT$64,MATCH($F967,사건마스터!$A$5:$A$64,0)),""))</f>
        <v/>
      </c>
      <c r="X967" s="35">
        <f>IF($F967="","",IFERROR(INDEX(사건마스터!$AU$5:$AU$64,MATCH($F967,사건마스터!$A$5:$A$64,0)),""))</f>
        <v/>
      </c>
      <c r="Y967" s="35">
        <f>IF($F967="","",IFERROR(INDEX(사건마스터!$AV$5:$AV$64,MATCH($F967,사건마스터!$A$5:$A$64,0)),""))</f>
        <v/>
      </c>
      <c r="Z967" s="30">
        <f>IF(COUNTBLANK($J967:$Y967)=16,"",16-COUNTBLANK($J967:$Y967))</f>
        <v/>
      </c>
      <c r="AA967" s="33">
        <f>IF($J967="",MID($AX967,3,255),$J967&amp;$AX967)</f>
        <v/>
      </c>
      <c r="AB967" s="34">
        <f>IF($J967="","",IFERROR(INDEX(코드설정!$D$5:$D$24,MATCH($J967,코드설정!$C$5:$C$24,0)),""))</f>
        <v/>
      </c>
      <c r="AC967" s="36" t="n"/>
      <c r="AD967" s="37" t="n"/>
      <c r="AE967" s="38" t="n"/>
      <c r="AF967" s="30">
        <f>IF(OR($B967="",$C967=""),"",$C967-$B967+1)</f>
        <v/>
      </c>
      <c r="AG967" s="32" t="n"/>
      <c r="AH967" s="36" t="n"/>
      <c r="AJ967">
        <f>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  <c r="AX967">
        <f>AW967&amp;IF($Y967="","",", "&amp;$Y967)</f>
        <v/>
      </c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0">
        <f>IF($F968="","",COUNTIF($F$5:$F968,$F968))</f>
        <v/>
      </c>
      <c r="H968" s="33">
        <f>IF($F968="","",IFERROR(INDEX(사건마스터!$B$5:$B$64,MATCH($F968,사건마스터!$A$5:$A$64,0)),""))</f>
        <v/>
      </c>
      <c r="I968" s="34">
        <f>IF($F968="","",IFERROR(INDEX(사건마스터!$C$5:$C$64,MATCH($F968,사건마스터!$A$5:$A$64,0)),""))</f>
        <v/>
      </c>
      <c r="J968" s="35">
        <f>IF($F968="","",IFERROR(INDEX(사건마스터!$H$5:$H$64,MATCH($F968,사건마스터!$A$5:$A$64,0)),""))</f>
        <v/>
      </c>
      <c r="K968" s="35">
        <f>IF($F968="","",IFERROR(INDEX(사건마스터!$AH$5:$AH$64,MATCH($F968,사건마스터!$A$5:$A$64,0)),""))</f>
        <v/>
      </c>
      <c r="L968" s="35">
        <f>IF($F968="","",IFERROR(INDEX(사건마스터!$AI$5:$AI$64,MATCH($F968,사건마스터!$A$5:$A$64,0)),""))</f>
        <v/>
      </c>
      <c r="M968" s="35">
        <f>IF($F968="","",IFERROR(INDEX(사건마스터!$AJ$5:$AJ$64,MATCH($F968,사건마스터!$A$5:$A$64,0)),""))</f>
        <v/>
      </c>
      <c r="N968" s="35">
        <f>IF($F968="","",IFERROR(INDEX(사건마스터!$AK$5:$AK$64,MATCH($F968,사건마스터!$A$5:$A$64,0)),""))</f>
        <v/>
      </c>
      <c r="O968" s="35">
        <f>IF($F968="","",IFERROR(INDEX(사건마스터!$AL$5:$AL$64,MATCH($F968,사건마스터!$A$5:$A$64,0)),""))</f>
        <v/>
      </c>
      <c r="P968" s="35">
        <f>IF($F968="","",IFERROR(INDEX(사건마스터!$AM$5:$AM$64,MATCH($F968,사건마스터!$A$5:$A$64,0)),""))</f>
        <v/>
      </c>
      <c r="Q968" s="35">
        <f>IF($F968="","",IFERROR(INDEX(사건마스터!$AN$5:$AN$64,MATCH($F968,사건마스터!$A$5:$A$64,0)),""))</f>
        <v/>
      </c>
      <c r="R968" s="35">
        <f>IF($F968="","",IFERROR(INDEX(사건마스터!$AO$5:$AO$64,MATCH($F968,사건마스터!$A$5:$A$64,0)),""))</f>
        <v/>
      </c>
      <c r="S968" s="35">
        <f>IF($F968="","",IFERROR(INDEX(사건마스터!$AP$5:$AP$64,MATCH($F968,사건마스터!$A$5:$A$64,0)),""))</f>
        <v/>
      </c>
      <c r="T968" s="35">
        <f>IF($F968="","",IFERROR(INDEX(사건마스터!$AQ$5:$AQ$64,MATCH($F968,사건마스터!$A$5:$A$64,0)),""))</f>
        <v/>
      </c>
      <c r="U968" s="35">
        <f>IF($F968="","",IFERROR(INDEX(사건마스터!$AR$5:$AR$64,MATCH($F968,사건마스터!$A$5:$A$64,0)),""))</f>
        <v/>
      </c>
      <c r="V968" s="35">
        <f>IF($F968="","",IFERROR(INDEX(사건마스터!$AS$5:$AS$64,MATCH($F968,사건마스터!$A$5:$A$64,0)),""))</f>
        <v/>
      </c>
      <c r="W968" s="35">
        <f>IF($F968="","",IFERROR(INDEX(사건마스터!$AT$5:$AT$64,MATCH($F968,사건마스터!$A$5:$A$64,0)),""))</f>
        <v/>
      </c>
      <c r="X968" s="35">
        <f>IF($F968="","",IFERROR(INDEX(사건마스터!$AU$5:$AU$64,MATCH($F968,사건마스터!$A$5:$A$64,0)),""))</f>
        <v/>
      </c>
      <c r="Y968" s="35">
        <f>IF($F968="","",IFERROR(INDEX(사건마스터!$AV$5:$AV$64,MATCH($F968,사건마스터!$A$5:$A$64,0)),""))</f>
        <v/>
      </c>
      <c r="Z968" s="30">
        <f>IF(COUNTBLANK($J968:$Y968)=16,"",16-COUNTBLANK($J968:$Y968))</f>
        <v/>
      </c>
      <c r="AA968" s="33">
        <f>IF($J968="",MID($AX968,3,255),$J968&amp;$AX968)</f>
        <v/>
      </c>
      <c r="AB968" s="34">
        <f>IF($J968="","",IFERROR(INDEX(코드설정!$D$5:$D$24,MATCH($J968,코드설정!$C$5:$C$24,0)),""))</f>
        <v/>
      </c>
      <c r="AC968" s="36" t="n"/>
      <c r="AD968" s="37" t="n"/>
      <c r="AE968" s="38" t="n"/>
      <c r="AF968" s="30">
        <f>IF(OR($B968="",$C968=""),"",$C968-$B968+1)</f>
        <v/>
      </c>
      <c r="AG968" s="32" t="n"/>
      <c r="AH968" s="36" t="n"/>
      <c r="AJ968">
        <f>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  <c r="AX968">
        <f>AW968&amp;IF($Y968="","",", "&amp;$Y968)</f>
        <v/>
      </c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0">
        <f>IF($F969="","",COUNTIF($F$5:$F969,$F969))</f>
        <v/>
      </c>
      <c r="H969" s="33">
        <f>IF($F969="","",IFERROR(INDEX(사건마스터!$B$5:$B$64,MATCH($F969,사건마스터!$A$5:$A$64,0)),""))</f>
        <v/>
      </c>
      <c r="I969" s="34">
        <f>IF($F969="","",IFERROR(INDEX(사건마스터!$C$5:$C$64,MATCH($F969,사건마스터!$A$5:$A$64,0)),""))</f>
        <v/>
      </c>
      <c r="J969" s="35">
        <f>IF($F969="","",IFERROR(INDEX(사건마스터!$H$5:$H$64,MATCH($F969,사건마스터!$A$5:$A$64,0)),""))</f>
        <v/>
      </c>
      <c r="K969" s="35">
        <f>IF($F969="","",IFERROR(INDEX(사건마스터!$AH$5:$AH$64,MATCH($F969,사건마스터!$A$5:$A$64,0)),""))</f>
        <v/>
      </c>
      <c r="L969" s="35">
        <f>IF($F969="","",IFERROR(INDEX(사건마스터!$AI$5:$AI$64,MATCH($F969,사건마스터!$A$5:$A$64,0)),""))</f>
        <v/>
      </c>
      <c r="M969" s="35">
        <f>IF($F969="","",IFERROR(INDEX(사건마스터!$AJ$5:$AJ$64,MATCH($F969,사건마스터!$A$5:$A$64,0)),""))</f>
        <v/>
      </c>
      <c r="N969" s="35">
        <f>IF($F969="","",IFERROR(INDEX(사건마스터!$AK$5:$AK$64,MATCH($F969,사건마스터!$A$5:$A$64,0)),""))</f>
        <v/>
      </c>
      <c r="O969" s="35">
        <f>IF($F969="","",IFERROR(INDEX(사건마스터!$AL$5:$AL$64,MATCH($F969,사건마스터!$A$5:$A$64,0)),""))</f>
        <v/>
      </c>
      <c r="P969" s="35">
        <f>IF($F969="","",IFERROR(INDEX(사건마스터!$AM$5:$AM$64,MATCH($F969,사건마스터!$A$5:$A$64,0)),""))</f>
        <v/>
      </c>
      <c r="Q969" s="35">
        <f>IF($F969="","",IFERROR(INDEX(사건마스터!$AN$5:$AN$64,MATCH($F969,사건마스터!$A$5:$A$64,0)),""))</f>
        <v/>
      </c>
      <c r="R969" s="35">
        <f>IF($F969="","",IFERROR(INDEX(사건마스터!$AO$5:$AO$64,MATCH($F969,사건마스터!$A$5:$A$64,0)),""))</f>
        <v/>
      </c>
      <c r="S969" s="35">
        <f>IF($F969="","",IFERROR(INDEX(사건마스터!$AP$5:$AP$64,MATCH($F969,사건마스터!$A$5:$A$64,0)),""))</f>
        <v/>
      </c>
      <c r="T969" s="35">
        <f>IF($F969="","",IFERROR(INDEX(사건마스터!$AQ$5:$AQ$64,MATCH($F969,사건마스터!$A$5:$A$64,0)),""))</f>
        <v/>
      </c>
      <c r="U969" s="35">
        <f>IF($F969="","",IFERROR(INDEX(사건마스터!$AR$5:$AR$64,MATCH($F969,사건마스터!$A$5:$A$64,0)),""))</f>
        <v/>
      </c>
      <c r="V969" s="35">
        <f>IF($F969="","",IFERROR(INDEX(사건마스터!$AS$5:$AS$64,MATCH($F969,사건마스터!$A$5:$A$64,0)),""))</f>
        <v/>
      </c>
      <c r="W969" s="35">
        <f>IF($F969="","",IFERROR(INDEX(사건마스터!$AT$5:$AT$64,MATCH($F969,사건마스터!$A$5:$A$64,0)),""))</f>
        <v/>
      </c>
      <c r="X969" s="35">
        <f>IF($F969="","",IFERROR(INDEX(사건마스터!$AU$5:$AU$64,MATCH($F969,사건마스터!$A$5:$A$64,0)),""))</f>
        <v/>
      </c>
      <c r="Y969" s="35">
        <f>IF($F969="","",IFERROR(INDEX(사건마스터!$AV$5:$AV$64,MATCH($F969,사건마스터!$A$5:$A$64,0)),""))</f>
        <v/>
      </c>
      <c r="Z969" s="30">
        <f>IF(COUNTBLANK($J969:$Y969)=16,"",16-COUNTBLANK($J969:$Y969))</f>
        <v/>
      </c>
      <c r="AA969" s="33">
        <f>IF($J969="",MID($AX969,3,255),$J969&amp;$AX969)</f>
        <v/>
      </c>
      <c r="AB969" s="34">
        <f>IF($J969="","",IFERROR(INDEX(코드설정!$D$5:$D$24,MATCH($J969,코드설정!$C$5:$C$24,0)),""))</f>
        <v/>
      </c>
      <c r="AC969" s="36" t="n"/>
      <c r="AD969" s="37" t="n"/>
      <c r="AE969" s="38" t="n"/>
      <c r="AF969" s="30">
        <f>IF(OR($B969="",$C969=""),"",$C969-$B969+1)</f>
        <v/>
      </c>
      <c r="AG969" s="32" t="n"/>
      <c r="AH969" s="36" t="n"/>
      <c r="AJ969">
        <f>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  <c r="AX969">
        <f>AW969&amp;IF($Y969="","",", "&amp;$Y969)</f>
        <v/>
      </c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0">
        <f>IF($F970="","",COUNTIF($F$5:$F970,$F970))</f>
        <v/>
      </c>
      <c r="H970" s="33">
        <f>IF($F970="","",IFERROR(INDEX(사건마스터!$B$5:$B$64,MATCH($F970,사건마스터!$A$5:$A$64,0)),""))</f>
        <v/>
      </c>
      <c r="I970" s="34">
        <f>IF($F970="","",IFERROR(INDEX(사건마스터!$C$5:$C$64,MATCH($F970,사건마스터!$A$5:$A$64,0)),""))</f>
        <v/>
      </c>
      <c r="J970" s="35">
        <f>IF($F970="","",IFERROR(INDEX(사건마스터!$H$5:$H$64,MATCH($F970,사건마스터!$A$5:$A$64,0)),""))</f>
        <v/>
      </c>
      <c r="K970" s="35">
        <f>IF($F970="","",IFERROR(INDEX(사건마스터!$AH$5:$AH$64,MATCH($F970,사건마스터!$A$5:$A$64,0)),""))</f>
        <v/>
      </c>
      <c r="L970" s="35">
        <f>IF($F970="","",IFERROR(INDEX(사건마스터!$AI$5:$AI$64,MATCH($F970,사건마스터!$A$5:$A$64,0)),""))</f>
        <v/>
      </c>
      <c r="M970" s="35">
        <f>IF($F970="","",IFERROR(INDEX(사건마스터!$AJ$5:$AJ$64,MATCH($F970,사건마스터!$A$5:$A$64,0)),""))</f>
        <v/>
      </c>
      <c r="N970" s="35">
        <f>IF($F970="","",IFERROR(INDEX(사건마스터!$AK$5:$AK$64,MATCH($F970,사건마스터!$A$5:$A$64,0)),""))</f>
        <v/>
      </c>
      <c r="O970" s="35">
        <f>IF($F970="","",IFERROR(INDEX(사건마스터!$AL$5:$AL$64,MATCH($F970,사건마스터!$A$5:$A$64,0)),""))</f>
        <v/>
      </c>
      <c r="P970" s="35">
        <f>IF($F970="","",IFERROR(INDEX(사건마스터!$AM$5:$AM$64,MATCH($F970,사건마스터!$A$5:$A$64,0)),""))</f>
        <v/>
      </c>
      <c r="Q970" s="35">
        <f>IF($F970="","",IFERROR(INDEX(사건마스터!$AN$5:$AN$64,MATCH($F970,사건마스터!$A$5:$A$64,0)),""))</f>
        <v/>
      </c>
      <c r="R970" s="35">
        <f>IF($F970="","",IFERROR(INDEX(사건마스터!$AO$5:$AO$64,MATCH($F970,사건마스터!$A$5:$A$64,0)),""))</f>
        <v/>
      </c>
      <c r="S970" s="35">
        <f>IF($F970="","",IFERROR(INDEX(사건마스터!$AP$5:$AP$64,MATCH($F970,사건마스터!$A$5:$A$64,0)),""))</f>
        <v/>
      </c>
      <c r="T970" s="35">
        <f>IF($F970="","",IFERROR(INDEX(사건마스터!$AQ$5:$AQ$64,MATCH($F970,사건마스터!$A$5:$A$64,0)),""))</f>
        <v/>
      </c>
      <c r="U970" s="35">
        <f>IF($F970="","",IFERROR(INDEX(사건마스터!$AR$5:$AR$64,MATCH($F970,사건마스터!$A$5:$A$64,0)),""))</f>
        <v/>
      </c>
      <c r="V970" s="35">
        <f>IF($F970="","",IFERROR(INDEX(사건마스터!$AS$5:$AS$64,MATCH($F970,사건마스터!$A$5:$A$64,0)),""))</f>
        <v/>
      </c>
      <c r="W970" s="35">
        <f>IF($F970="","",IFERROR(INDEX(사건마스터!$AT$5:$AT$64,MATCH($F970,사건마스터!$A$5:$A$64,0)),""))</f>
        <v/>
      </c>
      <c r="X970" s="35">
        <f>IF($F970="","",IFERROR(INDEX(사건마스터!$AU$5:$AU$64,MATCH($F970,사건마스터!$A$5:$A$64,0)),""))</f>
        <v/>
      </c>
      <c r="Y970" s="35">
        <f>IF($F970="","",IFERROR(INDEX(사건마스터!$AV$5:$AV$64,MATCH($F970,사건마스터!$A$5:$A$64,0)),""))</f>
        <v/>
      </c>
      <c r="Z970" s="30">
        <f>IF(COUNTBLANK($J970:$Y970)=16,"",16-COUNTBLANK($J970:$Y970))</f>
        <v/>
      </c>
      <c r="AA970" s="33">
        <f>IF($J970="",MID($AX970,3,255),$J970&amp;$AX970)</f>
        <v/>
      </c>
      <c r="AB970" s="34">
        <f>IF($J970="","",IFERROR(INDEX(코드설정!$D$5:$D$24,MATCH($J970,코드설정!$C$5:$C$24,0)),""))</f>
        <v/>
      </c>
      <c r="AC970" s="36" t="n"/>
      <c r="AD970" s="37" t="n"/>
      <c r="AE970" s="38" t="n"/>
      <c r="AF970" s="30">
        <f>IF(OR($B970="",$C970=""),"",$C970-$B970+1)</f>
        <v/>
      </c>
      <c r="AG970" s="32" t="n"/>
      <c r="AH970" s="36" t="n"/>
      <c r="AJ970">
        <f>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  <c r="AX970">
        <f>AW970&amp;IF($Y970="","",", "&amp;$Y970)</f>
        <v/>
      </c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0">
        <f>IF($F971="","",COUNTIF($F$5:$F971,$F971))</f>
        <v/>
      </c>
      <c r="H971" s="33">
        <f>IF($F971="","",IFERROR(INDEX(사건마스터!$B$5:$B$64,MATCH($F971,사건마스터!$A$5:$A$64,0)),""))</f>
        <v/>
      </c>
      <c r="I971" s="34">
        <f>IF($F971="","",IFERROR(INDEX(사건마스터!$C$5:$C$64,MATCH($F971,사건마스터!$A$5:$A$64,0)),""))</f>
        <v/>
      </c>
      <c r="J971" s="35">
        <f>IF($F971="","",IFERROR(INDEX(사건마스터!$H$5:$H$64,MATCH($F971,사건마스터!$A$5:$A$64,0)),""))</f>
        <v/>
      </c>
      <c r="K971" s="35">
        <f>IF($F971="","",IFERROR(INDEX(사건마스터!$AH$5:$AH$64,MATCH($F971,사건마스터!$A$5:$A$64,0)),""))</f>
        <v/>
      </c>
      <c r="L971" s="35">
        <f>IF($F971="","",IFERROR(INDEX(사건마스터!$AI$5:$AI$64,MATCH($F971,사건마스터!$A$5:$A$64,0)),""))</f>
        <v/>
      </c>
      <c r="M971" s="35">
        <f>IF($F971="","",IFERROR(INDEX(사건마스터!$AJ$5:$AJ$64,MATCH($F971,사건마스터!$A$5:$A$64,0)),""))</f>
        <v/>
      </c>
      <c r="N971" s="35">
        <f>IF($F971="","",IFERROR(INDEX(사건마스터!$AK$5:$AK$64,MATCH($F971,사건마스터!$A$5:$A$64,0)),""))</f>
        <v/>
      </c>
      <c r="O971" s="35">
        <f>IF($F971="","",IFERROR(INDEX(사건마스터!$AL$5:$AL$64,MATCH($F971,사건마스터!$A$5:$A$64,0)),""))</f>
        <v/>
      </c>
      <c r="P971" s="35">
        <f>IF($F971="","",IFERROR(INDEX(사건마스터!$AM$5:$AM$64,MATCH($F971,사건마스터!$A$5:$A$64,0)),""))</f>
        <v/>
      </c>
      <c r="Q971" s="35">
        <f>IF($F971="","",IFERROR(INDEX(사건마스터!$AN$5:$AN$64,MATCH($F971,사건마스터!$A$5:$A$64,0)),""))</f>
        <v/>
      </c>
      <c r="R971" s="35">
        <f>IF($F971="","",IFERROR(INDEX(사건마스터!$AO$5:$AO$64,MATCH($F971,사건마스터!$A$5:$A$64,0)),""))</f>
        <v/>
      </c>
      <c r="S971" s="35">
        <f>IF($F971="","",IFERROR(INDEX(사건마스터!$AP$5:$AP$64,MATCH($F971,사건마스터!$A$5:$A$64,0)),""))</f>
        <v/>
      </c>
      <c r="T971" s="35">
        <f>IF($F971="","",IFERROR(INDEX(사건마스터!$AQ$5:$AQ$64,MATCH($F971,사건마스터!$A$5:$A$64,0)),""))</f>
        <v/>
      </c>
      <c r="U971" s="35">
        <f>IF($F971="","",IFERROR(INDEX(사건마스터!$AR$5:$AR$64,MATCH($F971,사건마스터!$A$5:$A$64,0)),""))</f>
        <v/>
      </c>
      <c r="V971" s="35">
        <f>IF($F971="","",IFERROR(INDEX(사건마스터!$AS$5:$AS$64,MATCH($F971,사건마스터!$A$5:$A$64,0)),""))</f>
        <v/>
      </c>
      <c r="W971" s="35">
        <f>IF($F971="","",IFERROR(INDEX(사건마스터!$AT$5:$AT$64,MATCH($F971,사건마스터!$A$5:$A$64,0)),""))</f>
        <v/>
      </c>
      <c r="X971" s="35">
        <f>IF($F971="","",IFERROR(INDEX(사건마스터!$AU$5:$AU$64,MATCH($F971,사건마스터!$A$5:$A$64,0)),""))</f>
        <v/>
      </c>
      <c r="Y971" s="35">
        <f>IF($F971="","",IFERROR(INDEX(사건마스터!$AV$5:$AV$64,MATCH($F971,사건마스터!$A$5:$A$64,0)),""))</f>
        <v/>
      </c>
      <c r="Z971" s="30">
        <f>IF(COUNTBLANK($J971:$Y971)=16,"",16-COUNTBLANK($J971:$Y971))</f>
        <v/>
      </c>
      <c r="AA971" s="33">
        <f>IF($J971="",MID($AX971,3,255),$J971&amp;$AX971)</f>
        <v/>
      </c>
      <c r="AB971" s="34">
        <f>IF($J971="","",IFERROR(INDEX(코드설정!$D$5:$D$24,MATCH($J971,코드설정!$C$5:$C$24,0)),""))</f>
        <v/>
      </c>
      <c r="AC971" s="36" t="n"/>
      <c r="AD971" s="37" t="n"/>
      <c r="AE971" s="38" t="n"/>
      <c r="AF971" s="30">
        <f>IF(OR($B971="",$C971=""),"",$C971-$B971+1)</f>
        <v/>
      </c>
      <c r="AG971" s="32" t="n"/>
      <c r="AH971" s="36" t="n"/>
      <c r="AJ971">
        <f>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  <c r="AX971">
        <f>AW971&amp;IF($Y971="","",", "&amp;$Y971)</f>
        <v/>
      </c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0">
        <f>IF($F972="","",COUNTIF($F$5:$F972,$F972))</f>
        <v/>
      </c>
      <c r="H972" s="33">
        <f>IF($F972="","",IFERROR(INDEX(사건마스터!$B$5:$B$64,MATCH($F972,사건마스터!$A$5:$A$64,0)),""))</f>
        <v/>
      </c>
      <c r="I972" s="34">
        <f>IF($F972="","",IFERROR(INDEX(사건마스터!$C$5:$C$64,MATCH($F972,사건마스터!$A$5:$A$64,0)),""))</f>
        <v/>
      </c>
      <c r="J972" s="35">
        <f>IF($F972="","",IFERROR(INDEX(사건마스터!$H$5:$H$64,MATCH($F972,사건마스터!$A$5:$A$64,0)),""))</f>
        <v/>
      </c>
      <c r="K972" s="35">
        <f>IF($F972="","",IFERROR(INDEX(사건마스터!$AH$5:$AH$64,MATCH($F972,사건마스터!$A$5:$A$64,0)),""))</f>
        <v/>
      </c>
      <c r="L972" s="35">
        <f>IF($F972="","",IFERROR(INDEX(사건마스터!$AI$5:$AI$64,MATCH($F972,사건마스터!$A$5:$A$64,0)),""))</f>
        <v/>
      </c>
      <c r="M972" s="35">
        <f>IF($F972="","",IFERROR(INDEX(사건마스터!$AJ$5:$AJ$64,MATCH($F972,사건마스터!$A$5:$A$64,0)),""))</f>
        <v/>
      </c>
      <c r="N972" s="35">
        <f>IF($F972="","",IFERROR(INDEX(사건마스터!$AK$5:$AK$64,MATCH($F972,사건마스터!$A$5:$A$64,0)),""))</f>
        <v/>
      </c>
      <c r="O972" s="35">
        <f>IF($F972="","",IFERROR(INDEX(사건마스터!$AL$5:$AL$64,MATCH($F972,사건마스터!$A$5:$A$64,0)),""))</f>
        <v/>
      </c>
      <c r="P972" s="35">
        <f>IF($F972="","",IFERROR(INDEX(사건마스터!$AM$5:$AM$64,MATCH($F972,사건마스터!$A$5:$A$64,0)),""))</f>
        <v/>
      </c>
      <c r="Q972" s="35">
        <f>IF($F972="","",IFERROR(INDEX(사건마스터!$AN$5:$AN$64,MATCH($F972,사건마스터!$A$5:$A$64,0)),""))</f>
        <v/>
      </c>
      <c r="R972" s="35">
        <f>IF($F972="","",IFERROR(INDEX(사건마스터!$AO$5:$AO$64,MATCH($F972,사건마스터!$A$5:$A$64,0)),""))</f>
        <v/>
      </c>
      <c r="S972" s="35">
        <f>IF($F972="","",IFERROR(INDEX(사건마스터!$AP$5:$AP$64,MATCH($F972,사건마스터!$A$5:$A$64,0)),""))</f>
        <v/>
      </c>
      <c r="T972" s="35">
        <f>IF($F972="","",IFERROR(INDEX(사건마스터!$AQ$5:$AQ$64,MATCH($F972,사건마스터!$A$5:$A$64,0)),""))</f>
        <v/>
      </c>
      <c r="U972" s="35">
        <f>IF($F972="","",IFERROR(INDEX(사건마스터!$AR$5:$AR$64,MATCH($F972,사건마스터!$A$5:$A$64,0)),""))</f>
        <v/>
      </c>
      <c r="V972" s="35">
        <f>IF($F972="","",IFERROR(INDEX(사건마스터!$AS$5:$AS$64,MATCH($F972,사건마스터!$A$5:$A$64,0)),""))</f>
        <v/>
      </c>
      <c r="W972" s="35">
        <f>IF($F972="","",IFERROR(INDEX(사건마스터!$AT$5:$AT$64,MATCH($F972,사건마스터!$A$5:$A$64,0)),""))</f>
        <v/>
      </c>
      <c r="X972" s="35">
        <f>IF($F972="","",IFERROR(INDEX(사건마스터!$AU$5:$AU$64,MATCH($F972,사건마스터!$A$5:$A$64,0)),""))</f>
        <v/>
      </c>
      <c r="Y972" s="35">
        <f>IF($F972="","",IFERROR(INDEX(사건마스터!$AV$5:$AV$64,MATCH($F972,사건마스터!$A$5:$A$64,0)),""))</f>
        <v/>
      </c>
      <c r="Z972" s="30">
        <f>IF(COUNTBLANK($J972:$Y972)=16,"",16-COUNTBLANK($J972:$Y972))</f>
        <v/>
      </c>
      <c r="AA972" s="33">
        <f>IF($J972="",MID($AX972,3,255),$J972&amp;$AX972)</f>
        <v/>
      </c>
      <c r="AB972" s="34">
        <f>IF($J972="","",IFERROR(INDEX(코드설정!$D$5:$D$24,MATCH($J972,코드설정!$C$5:$C$24,0)),""))</f>
        <v/>
      </c>
      <c r="AC972" s="36" t="n"/>
      <c r="AD972" s="37" t="n"/>
      <c r="AE972" s="38" t="n"/>
      <c r="AF972" s="30">
        <f>IF(OR($B972="",$C972=""),"",$C972-$B972+1)</f>
        <v/>
      </c>
      <c r="AG972" s="32" t="n"/>
      <c r="AH972" s="36" t="n"/>
      <c r="AJ972">
        <f>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  <c r="AX972">
        <f>AW972&amp;IF($Y972="","",", "&amp;$Y972)</f>
        <v/>
      </c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0">
        <f>IF($F973="","",COUNTIF($F$5:$F973,$F973))</f>
        <v/>
      </c>
      <c r="H973" s="33">
        <f>IF($F973="","",IFERROR(INDEX(사건마스터!$B$5:$B$64,MATCH($F973,사건마스터!$A$5:$A$64,0)),""))</f>
        <v/>
      </c>
      <c r="I973" s="34">
        <f>IF($F973="","",IFERROR(INDEX(사건마스터!$C$5:$C$64,MATCH($F973,사건마스터!$A$5:$A$64,0)),""))</f>
        <v/>
      </c>
      <c r="J973" s="35">
        <f>IF($F973="","",IFERROR(INDEX(사건마스터!$H$5:$H$64,MATCH($F973,사건마스터!$A$5:$A$64,0)),""))</f>
        <v/>
      </c>
      <c r="K973" s="35">
        <f>IF($F973="","",IFERROR(INDEX(사건마스터!$AH$5:$AH$64,MATCH($F973,사건마스터!$A$5:$A$64,0)),""))</f>
        <v/>
      </c>
      <c r="L973" s="35">
        <f>IF($F973="","",IFERROR(INDEX(사건마스터!$AI$5:$AI$64,MATCH($F973,사건마스터!$A$5:$A$64,0)),""))</f>
        <v/>
      </c>
      <c r="M973" s="35">
        <f>IF($F973="","",IFERROR(INDEX(사건마스터!$AJ$5:$AJ$64,MATCH($F973,사건마스터!$A$5:$A$64,0)),""))</f>
        <v/>
      </c>
      <c r="N973" s="35">
        <f>IF($F973="","",IFERROR(INDEX(사건마스터!$AK$5:$AK$64,MATCH($F973,사건마스터!$A$5:$A$64,0)),""))</f>
        <v/>
      </c>
      <c r="O973" s="35">
        <f>IF($F973="","",IFERROR(INDEX(사건마스터!$AL$5:$AL$64,MATCH($F973,사건마스터!$A$5:$A$64,0)),""))</f>
        <v/>
      </c>
      <c r="P973" s="35">
        <f>IF($F973="","",IFERROR(INDEX(사건마스터!$AM$5:$AM$64,MATCH($F973,사건마스터!$A$5:$A$64,0)),""))</f>
        <v/>
      </c>
      <c r="Q973" s="35">
        <f>IF($F973="","",IFERROR(INDEX(사건마스터!$AN$5:$AN$64,MATCH($F973,사건마스터!$A$5:$A$64,0)),""))</f>
        <v/>
      </c>
      <c r="R973" s="35">
        <f>IF($F973="","",IFERROR(INDEX(사건마스터!$AO$5:$AO$64,MATCH($F973,사건마스터!$A$5:$A$64,0)),""))</f>
        <v/>
      </c>
      <c r="S973" s="35">
        <f>IF($F973="","",IFERROR(INDEX(사건마스터!$AP$5:$AP$64,MATCH($F973,사건마스터!$A$5:$A$64,0)),""))</f>
        <v/>
      </c>
      <c r="T973" s="35">
        <f>IF($F973="","",IFERROR(INDEX(사건마스터!$AQ$5:$AQ$64,MATCH($F973,사건마스터!$A$5:$A$64,0)),""))</f>
        <v/>
      </c>
      <c r="U973" s="35">
        <f>IF($F973="","",IFERROR(INDEX(사건마스터!$AR$5:$AR$64,MATCH($F973,사건마스터!$A$5:$A$64,0)),""))</f>
        <v/>
      </c>
      <c r="V973" s="35">
        <f>IF($F973="","",IFERROR(INDEX(사건마스터!$AS$5:$AS$64,MATCH($F973,사건마스터!$A$5:$A$64,0)),""))</f>
        <v/>
      </c>
      <c r="W973" s="35">
        <f>IF($F973="","",IFERROR(INDEX(사건마스터!$AT$5:$AT$64,MATCH($F973,사건마스터!$A$5:$A$64,0)),""))</f>
        <v/>
      </c>
      <c r="X973" s="35">
        <f>IF($F973="","",IFERROR(INDEX(사건마스터!$AU$5:$AU$64,MATCH($F973,사건마스터!$A$5:$A$64,0)),""))</f>
        <v/>
      </c>
      <c r="Y973" s="35">
        <f>IF($F973="","",IFERROR(INDEX(사건마스터!$AV$5:$AV$64,MATCH($F973,사건마스터!$A$5:$A$64,0)),""))</f>
        <v/>
      </c>
      <c r="Z973" s="30">
        <f>IF(COUNTBLANK($J973:$Y973)=16,"",16-COUNTBLANK($J973:$Y973))</f>
        <v/>
      </c>
      <c r="AA973" s="33">
        <f>IF($J973="",MID($AX973,3,255),$J973&amp;$AX973)</f>
        <v/>
      </c>
      <c r="AB973" s="34">
        <f>IF($J973="","",IFERROR(INDEX(코드설정!$D$5:$D$24,MATCH($J973,코드설정!$C$5:$C$24,0)),""))</f>
        <v/>
      </c>
      <c r="AC973" s="36" t="n"/>
      <c r="AD973" s="37" t="n"/>
      <c r="AE973" s="38" t="n"/>
      <c r="AF973" s="30">
        <f>IF(OR($B973="",$C973=""),"",$C973-$B973+1)</f>
        <v/>
      </c>
      <c r="AG973" s="32" t="n"/>
      <c r="AH973" s="36" t="n"/>
      <c r="AJ973">
        <f>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  <c r="AX973">
        <f>AW973&amp;IF($Y973="","",", "&amp;$Y973)</f>
        <v/>
      </c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0">
        <f>IF($F974="","",COUNTIF($F$5:$F974,$F974))</f>
        <v/>
      </c>
      <c r="H974" s="33">
        <f>IF($F974="","",IFERROR(INDEX(사건마스터!$B$5:$B$64,MATCH($F974,사건마스터!$A$5:$A$64,0)),""))</f>
        <v/>
      </c>
      <c r="I974" s="34">
        <f>IF($F974="","",IFERROR(INDEX(사건마스터!$C$5:$C$64,MATCH($F974,사건마스터!$A$5:$A$64,0)),""))</f>
        <v/>
      </c>
      <c r="J974" s="35">
        <f>IF($F974="","",IFERROR(INDEX(사건마스터!$H$5:$H$64,MATCH($F974,사건마스터!$A$5:$A$64,0)),""))</f>
        <v/>
      </c>
      <c r="K974" s="35">
        <f>IF($F974="","",IFERROR(INDEX(사건마스터!$AH$5:$AH$64,MATCH($F974,사건마스터!$A$5:$A$64,0)),""))</f>
        <v/>
      </c>
      <c r="L974" s="35">
        <f>IF($F974="","",IFERROR(INDEX(사건마스터!$AI$5:$AI$64,MATCH($F974,사건마스터!$A$5:$A$64,0)),""))</f>
        <v/>
      </c>
      <c r="M974" s="35">
        <f>IF($F974="","",IFERROR(INDEX(사건마스터!$AJ$5:$AJ$64,MATCH($F974,사건마스터!$A$5:$A$64,0)),""))</f>
        <v/>
      </c>
      <c r="N974" s="35">
        <f>IF($F974="","",IFERROR(INDEX(사건마스터!$AK$5:$AK$64,MATCH($F974,사건마스터!$A$5:$A$64,0)),""))</f>
        <v/>
      </c>
      <c r="O974" s="35">
        <f>IF($F974="","",IFERROR(INDEX(사건마스터!$AL$5:$AL$64,MATCH($F974,사건마스터!$A$5:$A$64,0)),""))</f>
        <v/>
      </c>
      <c r="P974" s="35">
        <f>IF($F974="","",IFERROR(INDEX(사건마스터!$AM$5:$AM$64,MATCH($F974,사건마스터!$A$5:$A$64,0)),""))</f>
        <v/>
      </c>
      <c r="Q974" s="35">
        <f>IF($F974="","",IFERROR(INDEX(사건마스터!$AN$5:$AN$64,MATCH($F974,사건마스터!$A$5:$A$64,0)),""))</f>
        <v/>
      </c>
      <c r="R974" s="35">
        <f>IF($F974="","",IFERROR(INDEX(사건마스터!$AO$5:$AO$64,MATCH($F974,사건마스터!$A$5:$A$64,0)),""))</f>
        <v/>
      </c>
      <c r="S974" s="35">
        <f>IF($F974="","",IFERROR(INDEX(사건마스터!$AP$5:$AP$64,MATCH($F974,사건마스터!$A$5:$A$64,0)),""))</f>
        <v/>
      </c>
      <c r="T974" s="35">
        <f>IF($F974="","",IFERROR(INDEX(사건마스터!$AQ$5:$AQ$64,MATCH($F974,사건마스터!$A$5:$A$64,0)),""))</f>
        <v/>
      </c>
      <c r="U974" s="35">
        <f>IF($F974="","",IFERROR(INDEX(사건마스터!$AR$5:$AR$64,MATCH($F974,사건마스터!$A$5:$A$64,0)),""))</f>
        <v/>
      </c>
      <c r="V974" s="35">
        <f>IF($F974="","",IFERROR(INDEX(사건마스터!$AS$5:$AS$64,MATCH($F974,사건마스터!$A$5:$A$64,0)),""))</f>
        <v/>
      </c>
      <c r="W974" s="35">
        <f>IF($F974="","",IFERROR(INDEX(사건마스터!$AT$5:$AT$64,MATCH($F974,사건마스터!$A$5:$A$64,0)),""))</f>
        <v/>
      </c>
      <c r="X974" s="35">
        <f>IF($F974="","",IFERROR(INDEX(사건마스터!$AU$5:$AU$64,MATCH($F974,사건마스터!$A$5:$A$64,0)),""))</f>
        <v/>
      </c>
      <c r="Y974" s="35">
        <f>IF($F974="","",IFERROR(INDEX(사건마스터!$AV$5:$AV$64,MATCH($F974,사건마스터!$A$5:$A$64,0)),""))</f>
        <v/>
      </c>
      <c r="Z974" s="30">
        <f>IF(COUNTBLANK($J974:$Y974)=16,"",16-COUNTBLANK($J974:$Y974))</f>
        <v/>
      </c>
      <c r="AA974" s="33">
        <f>IF($J974="",MID($AX974,3,255),$J974&amp;$AX974)</f>
        <v/>
      </c>
      <c r="AB974" s="34">
        <f>IF($J974="","",IFERROR(INDEX(코드설정!$D$5:$D$24,MATCH($J974,코드설정!$C$5:$C$24,0)),""))</f>
        <v/>
      </c>
      <c r="AC974" s="36" t="n"/>
      <c r="AD974" s="37" t="n"/>
      <c r="AE974" s="38" t="n"/>
      <c r="AF974" s="30">
        <f>IF(OR($B974="",$C974=""),"",$C974-$B974+1)</f>
        <v/>
      </c>
      <c r="AG974" s="32" t="n"/>
      <c r="AH974" s="36" t="n"/>
      <c r="AJ974">
        <f>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  <c r="AX974">
        <f>AW974&amp;IF($Y974="","",", "&amp;$Y974)</f>
        <v/>
      </c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0">
        <f>IF($F975="","",COUNTIF($F$5:$F975,$F975))</f>
        <v/>
      </c>
      <c r="H975" s="33">
        <f>IF($F975="","",IFERROR(INDEX(사건마스터!$B$5:$B$64,MATCH($F975,사건마스터!$A$5:$A$64,0)),""))</f>
        <v/>
      </c>
      <c r="I975" s="34">
        <f>IF($F975="","",IFERROR(INDEX(사건마스터!$C$5:$C$64,MATCH($F975,사건마스터!$A$5:$A$64,0)),""))</f>
        <v/>
      </c>
      <c r="J975" s="35">
        <f>IF($F975="","",IFERROR(INDEX(사건마스터!$H$5:$H$64,MATCH($F975,사건마스터!$A$5:$A$64,0)),""))</f>
        <v/>
      </c>
      <c r="K975" s="35">
        <f>IF($F975="","",IFERROR(INDEX(사건마스터!$AH$5:$AH$64,MATCH($F975,사건마스터!$A$5:$A$64,0)),""))</f>
        <v/>
      </c>
      <c r="L975" s="35">
        <f>IF($F975="","",IFERROR(INDEX(사건마스터!$AI$5:$AI$64,MATCH($F975,사건마스터!$A$5:$A$64,0)),""))</f>
        <v/>
      </c>
      <c r="M975" s="35">
        <f>IF($F975="","",IFERROR(INDEX(사건마스터!$AJ$5:$AJ$64,MATCH($F975,사건마스터!$A$5:$A$64,0)),""))</f>
        <v/>
      </c>
      <c r="N975" s="35">
        <f>IF($F975="","",IFERROR(INDEX(사건마스터!$AK$5:$AK$64,MATCH($F975,사건마스터!$A$5:$A$64,0)),""))</f>
        <v/>
      </c>
      <c r="O975" s="35">
        <f>IF($F975="","",IFERROR(INDEX(사건마스터!$AL$5:$AL$64,MATCH($F975,사건마스터!$A$5:$A$64,0)),""))</f>
        <v/>
      </c>
      <c r="P975" s="35">
        <f>IF($F975="","",IFERROR(INDEX(사건마스터!$AM$5:$AM$64,MATCH($F975,사건마스터!$A$5:$A$64,0)),""))</f>
        <v/>
      </c>
      <c r="Q975" s="35">
        <f>IF($F975="","",IFERROR(INDEX(사건마스터!$AN$5:$AN$64,MATCH($F975,사건마스터!$A$5:$A$64,0)),""))</f>
        <v/>
      </c>
      <c r="R975" s="35">
        <f>IF($F975="","",IFERROR(INDEX(사건마스터!$AO$5:$AO$64,MATCH($F975,사건마스터!$A$5:$A$64,0)),""))</f>
        <v/>
      </c>
      <c r="S975" s="35">
        <f>IF($F975="","",IFERROR(INDEX(사건마스터!$AP$5:$AP$64,MATCH($F975,사건마스터!$A$5:$A$64,0)),""))</f>
        <v/>
      </c>
      <c r="T975" s="35">
        <f>IF($F975="","",IFERROR(INDEX(사건마스터!$AQ$5:$AQ$64,MATCH($F975,사건마스터!$A$5:$A$64,0)),""))</f>
        <v/>
      </c>
      <c r="U975" s="35">
        <f>IF($F975="","",IFERROR(INDEX(사건마스터!$AR$5:$AR$64,MATCH($F975,사건마스터!$A$5:$A$64,0)),""))</f>
        <v/>
      </c>
      <c r="V975" s="35">
        <f>IF($F975="","",IFERROR(INDEX(사건마스터!$AS$5:$AS$64,MATCH($F975,사건마스터!$A$5:$A$64,0)),""))</f>
        <v/>
      </c>
      <c r="W975" s="35">
        <f>IF($F975="","",IFERROR(INDEX(사건마스터!$AT$5:$AT$64,MATCH($F975,사건마스터!$A$5:$A$64,0)),""))</f>
        <v/>
      </c>
      <c r="X975" s="35">
        <f>IF($F975="","",IFERROR(INDEX(사건마스터!$AU$5:$AU$64,MATCH($F975,사건마스터!$A$5:$A$64,0)),""))</f>
        <v/>
      </c>
      <c r="Y975" s="35">
        <f>IF($F975="","",IFERROR(INDEX(사건마스터!$AV$5:$AV$64,MATCH($F975,사건마스터!$A$5:$A$64,0)),""))</f>
        <v/>
      </c>
      <c r="Z975" s="30">
        <f>IF(COUNTBLANK($J975:$Y975)=16,"",16-COUNTBLANK($J975:$Y975))</f>
        <v/>
      </c>
      <c r="AA975" s="33">
        <f>IF($J975="",MID($AX975,3,255),$J975&amp;$AX975)</f>
        <v/>
      </c>
      <c r="AB975" s="34">
        <f>IF($J975="","",IFERROR(INDEX(코드설정!$D$5:$D$24,MATCH($J975,코드설정!$C$5:$C$24,0)),""))</f>
        <v/>
      </c>
      <c r="AC975" s="36" t="n"/>
      <c r="AD975" s="37" t="n"/>
      <c r="AE975" s="38" t="n"/>
      <c r="AF975" s="30">
        <f>IF(OR($B975="",$C975=""),"",$C975-$B975+1)</f>
        <v/>
      </c>
      <c r="AG975" s="32" t="n"/>
      <c r="AH975" s="36" t="n"/>
      <c r="AJ975">
        <f>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  <c r="AX975">
        <f>AW975&amp;IF($Y975="","",", "&amp;$Y975)</f>
        <v/>
      </c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0">
        <f>IF($F976="","",COUNTIF($F$5:$F976,$F976))</f>
        <v/>
      </c>
      <c r="H976" s="33">
        <f>IF($F976="","",IFERROR(INDEX(사건마스터!$B$5:$B$64,MATCH($F976,사건마스터!$A$5:$A$64,0)),""))</f>
        <v/>
      </c>
      <c r="I976" s="34">
        <f>IF($F976="","",IFERROR(INDEX(사건마스터!$C$5:$C$64,MATCH($F976,사건마스터!$A$5:$A$64,0)),""))</f>
        <v/>
      </c>
      <c r="J976" s="35">
        <f>IF($F976="","",IFERROR(INDEX(사건마스터!$H$5:$H$64,MATCH($F976,사건마스터!$A$5:$A$64,0)),""))</f>
        <v/>
      </c>
      <c r="K976" s="35">
        <f>IF($F976="","",IFERROR(INDEX(사건마스터!$AH$5:$AH$64,MATCH($F976,사건마스터!$A$5:$A$64,0)),""))</f>
        <v/>
      </c>
      <c r="L976" s="35">
        <f>IF($F976="","",IFERROR(INDEX(사건마스터!$AI$5:$AI$64,MATCH($F976,사건마스터!$A$5:$A$64,0)),""))</f>
        <v/>
      </c>
      <c r="M976" s="35">
        <f>IF($F976="","",IFERROR(INDEX(사건마스터!$AJ$5:$AJ$64,MATCH($F976,사건마스터!$A$5:$A$64,0)),""))</f>
        <v/>
      </c>
      <c r="N976" s="35">
        <f>IF($F976="","",IFERROR(INDEX(사건마스터!$AK$5:$AK$64,MATCH($F976,사건마스터!$A$5:$A$64,0)),""))</f>
        <v/>
      </c>
      <c r="O976" s="35">
        <f>IF($F976="","",IFERROR(INDEX(사건마스터!$AL$5:$AL$64,MATCH($F976,사건마스터!$A$5:$A$64,0)),""))</f>
        <v/>
      </c>
      <c r="P976" s="35">
        <f>IF($F976="","",IFERROR(INDEX(사건마스터!$AM$5:$AM$64,MATCH($F976,사건마스터!$A$5:$A$64,0)),""))</f>
        <v/>
      </c>
      <c r="Q976" s="35">
        <f>IF($F976="","",IFERROR(INDEX(사건마스터!$AN$5:$AN$64,MATCH($F976,사건마스터!$A$5:$A$64,0)),""))</f>
        <v/>
      </c>
      <c r="R976" s="35">
        <f>IF($F976="","",IFERROR(INDEX(사건마스터!$AO$5:$AO$64,MATCH($F976,사건마스터!$A$5:$A$64,0)),""))</f>
        <v/>
      </c>
      <c r="S976" s="35">
        <f>IF($F976="","",IFERROR(INDEX(사건마스터!$AP$5:$AP$64,MATCH($F976,사건마스터!$A$5:$A$64,0)),""))</f>
        <v/>
      </c>
      <c r="T976" s="35">
        <f>IF($F976="","",IFERROR(INDEX(사건마스터!$AQ$5:$AQ$64,MATCH($F976,사건마스터!$A$5:$A$64,0)),""))</f>
        <v/>
      </c>
      <c r="U976" s="35">
        <f>IF($F976="","",IFERROR(INDEX(사건마스터!$AR$5:$AR$64,MATCH($F976,사건마스터!$A$5:$A$64,0)),""))</f>
        <v/>
      </c>
      <c r="V976" s="35">
        <f>IF($F976="","",IFERROR(INDEX(사건마스터!$AS$5:$AS$64,MATCH($F976,사건마스터!$A$5:$A$64,0)),""))</f>
        <v/>
      </c>
      <c r="W976" s="35">
        <f>IF($F976="","",IFERROR(INDEX(사건마스터!$AT$5:$AT$64,MATCH($F976,사건마스터!$A$5:$A$64,0)),""))</f>
        <v/>
      </c>
      <c r="X976" s="35">
        <f>IF($F976="","",IFERROR(INDEX(사건마스터!$AU$5:$AU$64,MATCH($F976,사건마스터!$A$5:$A$64,0)),""))</f>
        <v/>
      </c>
      <c r="Y976" s="35">
        <f>IF($F976="","",IFERROR(INDEX(사건마스터!$AV$5:$AV$64,MATCH($F976,사건마스터!$A$5:$A$64,0)),""))</f>
        <v/>
      </c>
      <c r="Z976" s="30">
        <f>IF(COUNTBLANK($J976:$Y976)=16,"",16-COUNTBLANK($J976:$Y976))</f>
        <v/>
      </c>
      <c r="AA976" s="33">
        <f>IF($J976="",MID($AX976,3,255),$J976&amp;$AX976)</f>
        <v/>
      </c>
      <c r="AB976" s="34">
        <f>IF($J976="","",IFERROR(INDEX(코드설정!$D$5:$D$24,MATCH($J976,코드설정!$C$5:$C$24,0)),""))</f>
        <v/>
      </c>
      <c r="AC976" s="36" t="n"/>
      <c r="AD976" s="37" t="n"/>
      <c r="AE976" s="38" t="n"/>
      <c r="AF976" s="30">
        <f>IF(OR($B976="",$C976=""),"",$C976-$B976+1)</f>
        <v/>
      </c>
      <c r="AG976" s="32" t="n"/>
      <c r="AH976" s="36" t="n"/>
      <c r="AJ976">
        <f>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  <c r="AX976">
        <f>AW976&amp;IF($Y976="","",", "&amp;$Y976)</f>
        <v/>
      </c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0">
        <f>IF($F977="","",COUNTIF($F$5:$F977,$F977))</f>
        <v/>
      </c>
      <c r="H977" s="33">
        <f>IF($F977="","",IFERROR(INDEX(사건마스터!$B$5:$B$64,MATCH($F977,사건마스터!$A$5:$A$64,0)),""))</f>
        <v/>
      </c>
      <c r="I977" s="34">
        <f>IF($F977="","",IFERROR(INDEX(사건마스터!$C$5:$C$64,MATCH($F977,사건마스터!$A$5:$A$64,0)),""))</f>
        <v/>
      </c>
      <c r="J977" s="35">
        <f>IF($F977="","",IFERROR(INDEX(사건마스터!$H$5:$H$64,MATCH($F977,사건마스터!$A$5:$A$64,0)),""))</f>
        <v/>
      </c>
      <c r="K977" s="35">
        <f>IF($F977="","",IFERROR(INDEX(사건마스터!$AH$5:$AH$64,MATCH($F977,사건마스터!$A$5:$A$64,0)),""))</f>
        <v/>
      </c>
      <c r="L977" s="35">
        <f>IF($F977="","",IFERROR(INDEX(사건마스터!$AI$5:$AI$64,MATCH($F977,사건마스터!$A$5:$A$64,0)),""))</f>
        <v/>
      </c>
      <c r="M977" s="35">
        <f>IF($F977="","",IFERROR(INDEX(사건마스터!$AJ$5:$AJ$64,MATCH($F977,사건마스터!$A$5:$A$64,0)),""))</f>
        <v/>
      </c>
      <c r="N977" s="35">
        <f>IF($F977="","",IFERROR(INDEX(사건마스터!$AK$5:$AK$64,MATCH($F977,사건마스터!$A$5:$A$64,0)),""))</f>
        <v/>
      </c>
      <c r="O977" s="35">
        <f>IF($F977="","",IFERROR(INDEX(사건마스터!$AL$5:$AL$64,MATCH($F977,사건마스터!$A$5:$A$64,0)),""))</f>
        <v/>
      </c>
      <c r="P977" s="35">
        <f>IF($F977="","",IFERROR(INDEX(사건마스터!$AM$5:$AM$64,MATCH($F977,사건마스터!$A$5:$A$64,0)),""))</f>
        <v/>
      </c>
      <c r="Q977" s="35">
        <f>IF($F977="","",IFERROR(INDEX(사건마스터!$AN$5:$AN$64,MATCH($F977,사건마스터!$A$5:$A$64,0)),""))</f>
        <v/>
      </c>
      <c r="R977" s="35">
        <f>IF($F977="","",IFERROR(INDEX(사건마스터!$AO$5:$AO$64,MATCH($F977,사건마스터!$A$5:$A$64,0)),""))</f>
        <v/>
      </c>
      <c r="S977" s="35">
        <f>IF($F977="","",IFERROR(INDEX(사건마스터!$AP$5:$AP$64,MATCH($F977,사건마스터!$A$5:$A$64,0)),""))</f>
        <v/>
      </c>
      <c r="T977" s="35">
        <f>IF($F977="","",IFERROR(INDEX(사건마스터!$AQ$5:$AQ$64,MATCH($F977,사건마스터!$A$5:$A$64,0)),""))</f>
        <v/>
      </c>
      <c r="U977" s="35">
        <f>IF($F977="","",IFERROR(INDEX(사건마스터!$AR$5:$AR$64,MATCH($F977,사건마스터!$A$5:$A$64,0)),""))</f>
        <v/>
      </c>
      <c r="V977" s="35">
        <f>IF($F977="","",IFERROR(INDEX(사건마스터!$AS$5:$AS$64,MATCH($F977,사건마스터!$A$5:$A$64,0)),""))</f>
        <v/>
      </c>
      <c r="W977" s="35">
        <f>IF($F977="","",IFERROR(INDEX(사건마스터!$AT$5:$AT$64,MATCH($F977,사건마스터!$A$5:$A$64,0)),""))</f>
        <v/>
      </c>
      <c r="X977" s="35">
        <f>IF($F977="","",IFERROR(INDEX(사건마스터!$AU$5:$AU$64,MATCH($F977,사건마스터!$A$5:$A$64,0)),""))</f>
        <v/>
      </c>
      <c r="Y977" s="35">
        <f>IF($F977="","",IFERROR(INDEX(사건마스터!$AV$5:$AV$64,MATCH($F977,사건마스터!$A$5:$A$64,0)),""))</f>
        <v/>
      </c>
      <c r="Z977" s="30">
        <f>IF(COUNTBLANK($J977:$Y977)=16,"",16-COUNTBLANK($J977:$Y977))</f>
        <v/>
      </c>
      <c r="AA977" s="33">
        <f>IF($J977="",MID($AX977,3,255),$J977&amp;$AX977)</f>
        <v/>
      </c>
      <c r="AB977" s="34">
        <f>IF($J977="","",IFERROR(INDEX(코드설정!$D$5:$D$24,MATCH($J977,코드설정!$C$5:$C$24,0)),""))</f>
        <v/>
      </c>
      <c r="AC977" s="36" t="n"/>
      <c r="AD977" s="37" t="n"/>
      <c r="AE977" s="38" t="n"/>
      <c r="AF977" s="30">
        <f>IF(OR($B977="",$C977=""),"",$C977-$B977+1)</f>
        <v/>
      </c>
      <c r="AG977" s="32" t="n"/>
      <c r="AH977" s="36" t="n"/>
      <c r="AJ977">
        <f>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  <c r="AX977">
        <f>AW977&amp;IF($Y977="","",", "&amp;$Y977)</f>
        <v/>
      </c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0">
        <f>IF($F978="","",COUNTIF($F$5:$F978,$F978))</f>
        <v/>
      </c>
      <c r="H978" s="33">
        <f>IF($F978="","",IFERROR(INDEX(사건마스터!$B$5:$B$64,MATCH($F978,사건마스터!$A$5:$A$64,0)),""))</f>
        <v/>
      </c>
      <c r="I978" s="34">
        <f>IF($F978="","",IFERROR(INDEX(사건마스터!$C$5:$C$64,MATCH($F978,사건마스터!$A$5:$A$64,0)),""))</f>
        <v/>
      </c>
      <c r="J978" s="35">
        <f>IF($F978="","",IFERROR(INDEX(사건마스터!$H$5:$H$64,MATCH($F978,사건마스터!$A$5:$A$64,0)),""))</f>
        <v/>
      </c>
      <c r="K978" s="35">
        <f>IF($F978="","",IFERROR(INDEX(사건마스터!$AH$5:$AH$64,MATCH($F978,사건마스터!$A$5:$A$64,0)),""))</f>
        <v/>
      </c>
      <c r="L978" s="35">
        <f>IF($F978="","",IFERROR(INDEX(사건마스터!$AI$5:$AI$64,MATCH($F978,사건마스터!$A$5:$A$64,0)),""))</f>
        <v/>
      </c>
      <c r="M978" s="35">
        <f>IF($F978="","",IFERROR(INDEX(사건마스터!$AJ$5:$AJ$64,MATCH($F978,사건마스터!$A$5:$A$64,0)),""))</f>
        <v/>
      </c>
      <c r="N978" s="35">
        <f>IF($F978="","",IFERROR(INDEX(사건마스터!$AK$5:$AK$64,MATCH($F978,사건마스터!$A$5:$A$64,0)),""))</f>
        <v/>
      </c>
      <c r="O978" s="35">
        <f>IF($F978="","",IFERROR(INDEX(사건마스터!$AL$5:$AL$64,MATCH($F978,사건마스터!$A$5:$A$64,0)),""))</f>
        <v/>
      </c>
      <c r="P978" s="35">
        <f>IF($F978="","",IFERROR(INDEX(사건마스터!$AM$5:$AM$64,MATCH($F978,사건마스터!$A$5:$A$64,0)),""))</f>
        <v/>
      </c>
      <c r="Q978" s="35">
        <f>IF($F978="","",IFERROR(INDEX(사건마스터!$AN$5:$AN$64,MATCH($F978,사건마스터!$A$5:$A$64,0)),""))</f>
        <v/>
      </c>
      <c r="R978" s="35">
        <f>IF($F978="","",IFERROR(INDEX(사건마스터!$AO$5:$AO$64,MATCH($F978,사건마스터!$A$5:$A$64,0)),""))</f>
        <v/>
      </c>
      <c r="S978" s="35">
        <f>IF($F978="","",IFERROR(INDEX(사건마스터!$AP$5:$AP$64,MATCH($F978,사건마스터!$A$5:$A$64,0)),""))</f>
        <v/>
      </c>
      <c r="T978" s="35">
        <f>IF($F978="","",IFERROR(INDEX(사건마스터!$AQ$5:$AQ$64,MATCH($F978,사건마스터!$A$5:$A$64,0)),""))</f>
        <v/>
      </c>
      <c r="U978" s="35">
        <f>IF($F978="","",IFERROR(INDEX(사건마스터!$AR$5:$AR$64,MATCH($F978,사건마스터!$A$5:$A$64,0)),""))</f>
        <v/>
      </c>
      <c r="V978" s="35">
        <f>IF($F978="","",IFERROR(INDEX(사건마스터!$AS$5:$AS$64,MATCH($F978,사건마스터!$A$5:$A$64,0)),""))</f>
        <v/>
      </c>
      <c r="W978" s="35">
        <f>IF($F978="","",IFERROR(INDEX(사건마스터!$AT$5:$AT$64,MATCH($F978,사건마스터!$A$5:$A$64,0)),""))</f>
        <v/>
      </c>
      <c r="X978" s="35">
        <f>IF($F978="","",IFERROR(INDEX(사건마스터!$AU$5:$AU$64,MATCH($F978,사건마스터!$A$5:$A$64,0)),""))</f>
        <v/>
      </c>
      <c r="Y978" s="35">
        <f>IF($F978="","",IFERROR(INDEX(사건마스터!$AV$5:$AV$64,MATCH($F978,사건마스터!$A$5:$A$64,0)),""))</f>
        <v/>
      </c>
      <c r="Z978" s="30">
        <f>IF(COUNTBLANK($J978:$Y978)=16,"",16-COUNTBLANK($J978:$Y978))</f>
        <v/>
      </c>
      <c r="AA978" s="33">
        <f>IF($J978="",MID($AX978,3,255),$J978&amp;$AX978)</f>
        <v/>
      </c>
      <c r="AB978" s="34">
        <f>IF($J978="","",IFERROR(INDEX(코드설정!$D$5:$D$24,MATCH($J978,코드설정!$C$5:$C$24,0)),""))</f>
        <v/>
      </c>
      <c r="AC978" s="36" t="n"/>
      <c r="AD978" s="37" t="n"/>
      <c r="AE978" s="38" t="n"/>
      <c r="AF978" s="30">
        <f>IF(OR($B978="",$C978=""),"",$C978-$B978+1)</f>
        <v/>
      </c>
      <c r="AG978" s="32" t="n"/>
      <c r="AH978" s="36" t="n"/>
      <c r="AJ978">
        <f>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  <c r="AX978">
        <f>AW978&amp;IF($Y978="","",", "&amp;$Y978)</f>
        <v/>
      </c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0">
        <f>IF($F979="","",COUNTIF($F$5:$F979,$F979))</f>
        <v/>
      </c>
      <c r="H979" s="33">
        <f>IF($F979="","",IFERROR(INDEX(사건마스터!$B$5:$B$64,MATCH($F979,사건마스터!$A$5:$A$64,0)),""))</f>
        <v/>
      </c>
      <c r="I979" s="34">
        <f>IF($F979="","",IFERROR(INDEX(사건마스터!$C$5:$C$64,MATCH($F979,사건마스터!$A$5:$A$64,0)),""))</f>
        <v/>
      </c>
      <c r="J979" s="35">
        <f>IF($F979="","",IFERROR(INDEX(사건마스터!$H$5:$H$64,MATCH($F979,사건마스터!$A$5:$A$64,0)),""))</f>
        <v/>
      </c>
      <c r="K979" s="35">
        <f>IF($F979="","",IFERROR(INDEX(사건마스터!$AH$5:$AH$64,MATCH($F979,사건마스터!$A$5:$A$64,0)),""))</f>
        <v/>
      </c>
      <c r="L979" s="35">
        <f>IF($F979="","",IFERROR(INDEX(사건마스터!$AI$5:$AI$64,MATCH($F979,사건마스터!$A$5:$A$64,0)),""))</f>
        <v/>
      </c>
      <c r="M979" s="35">
        <f>IF($F979="","",IFERROR(INDEX(사건마스터!$AJ$5:$AJ$64,MATCH($F979,사건마스터!$A$5:$A$64,0)),""))</f>
        <v/>
      </c>
      <c r="N979" s="35">
        <f>IF($F979="","",IFERROR(INDEX(사건마스터!$AK$5:$AK$64,MATCH($F979,사건마스터!$A$5:$A$64,0)),""))</f>
        <v/>
      </c>
      <c r="O979" s="35">
        <f>IF($F979="","",IFERROR(INDEX(사건마스터!$AL$5:$AL$64,MATCH($F979,사건마스터!$A$5:$A$64,0)),""))</f>
        <v/>
      </c>
      <c r="P979" s="35">
        <f>IF($F979="","",IFERROR(INDEX(사건마스터!$AM$5:$AM$64,MATCH($F979,사건마스터!$A$5:$A$64,0)),""))</f>
        <v/>
      </c>
      <c r="Q979" s="35">
        <f>IF($F979="","",IFERROR(INDEX(사건마스터!$AN$5:$AN$64,MATCH($F979,사건마스터!$A$5:$A$64,0)),""))</f>
        <v/>
      </c>
      <c r="R979" s="35">
        <f>IF($F979="","",IFERROR(INDEX(사건마스터!$AO$5:$AO$64,MATCH($F979,사건마스터!$A$5:$A$64,0)),""))</f>
        <v/>
      </c>
      <c r="S979" s="35">
        <f>IF($F979="","",IFERROR(INDEX(사건마스터!$AP$5:$AP$64,MATCH($F979,사건마스터!$A$5:$A$64,0)),""))</f>
        <v/>
      </c>
      <c r="T979" s="35">
        <f>IF($F979="","",IFERROR(INDEX(사건마스터!$AQ$5:$AQ$64,MATCH($F979,사건마스터!$A$5:$A$64,0)),""))</f>
        <v/>
      </c>
      <c r="U979" s="35">
        <f>IF($F979="","",IFERROR(INDEX(사건마스터!$AR$5:$AR$64,MATCH($F979,사건마스터!$A$5:$A$64,0)),""))</f>
        <v/>
      </c>
      <c r="V979" s="35">
        <f>IF($F979="","",IFERROR(INDEX(사건마스터!$AS$5:$AS$64,MATCH($F979,사건마스터!$A$5:$A$64,0)),""))</f>
        <v/>
      </c>
      <c r="W979" s="35">
        <f>IF($F979="","",IFERROR(INDEX(사건마스터!$AT$5:$AT$64,MATCH($F979,사건마스터!$A$5:$A$64,0)),""))</f>
        <v/>
      </c>
      <c r="X979" s="35">
        <f>IF($F979="","",IFERROR(INDEX(사건마스터!$AU$5:$AU$64,MATCH($F979,사건마스터!$A$5:$A$64,0)),""))</f>
        <v/>
      </c>
      <c r="Y979" s="35">
        <f>IF($F979="","",IFERROR(INDEX(사건마스터!$AV$5:$AV$64,MATCH($F979,사건마스터!$A$5:$A$64,0)),""))</f>
        <v/>
      </c>
      <c r="Z979" s="30">
        <f>IF(COUNTBLANK($J979:$Y979)=16,"",16-COUNTBLANK($J979:$Y979))</f>
        <v/>
      </c>
      <c r="AA979" s="33">
        <f>IF($J979="",MID($AX979,3,255),$J979&amp;$AX979)</f>
        <v/>
      </c>
      <c r="AB979" s="34">
        <f>IF($J979="","",IFERROR(INDEX(코드설정!$D$5:$D$24,MATCH($J979,코드설정!$C$5:$C$24,0)),""))</f>
        <v/>
      </c>
      <c r="AC979" s="36" t="n"/>
      <c r="AD979" s="37" t="n"/>
      <c r="AE979" s="38" t="n"/>
      <c r="AF979" s="30">
        <f>IF(OR($B979="",$C979=""),"",$C979-$B979+1)</f>
        <v/>
      </c>
      <c r="AG979" s="32" t="n"/>
      <c r="AH979" s="36" t="n"/>
      <c r="AJ979">
        <f>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  <c r="AX979">
        <f>AW979&amp;IF($Y979="","",", "&amp;$Y979)</f>
        <v/>
      </c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0">
        <f>IF($F980="","",COUNTIF($F$5:$F980,$F980))</f>
        <v/>
      </c>
      <c r="H980" s="33">
        <f>IF($F980="","",IFERROR(INDEX(사건마스터!$B$5:$B$64,MATCH($F980,사건마스터!$A$5:$A$64,0)),""))</f>
        <v/>
      </c>
      <c r="I980" s="34">
        <f>IF($F980="","",IFERROR(INDEX(사건마스터!$C$5:$C$64,MATCH($F980,사건마스터!$A$5:$A$64,0)),""))</f>
        <v/>
      </c>
      <c r="J980" s="35">
        <f>IF($F980="","",IFERROR(INDEX(사건마스터!$H$5:$H$64,MATCH($F980,사건마스터!$A$5:$A$64,0)),""))</f>
        <v/>
      </c>
      <c r="K980" s="35">
        <f>IF($F980="","",IFERROR(INDEX(사건마스터!$AH$5:$AH$64,MATCH($F980,사건마스터!$A$5:$A$64,0)),""))</f>
        <v/>
      </c>
      <c r="L980" s="35">
        <f>IF($F980="","",IFERROR(INDEX(사건마스터!$AI$5:$AI$64,MATCH($F980,사건마스터!$A$5:$A$64,0)),""))</f>
        <v/>
      </c>
      <c r="M980" s="35">
        <f>IF($F980="","",IFERROR(INDEX(사건마스터!$AJ$5:$AJ$64,MATCH($F980,사건마스터!$A$5:$A$64,0)),""))</f>
        <v/>
      </c>
      <c r="N980" s="35">
        <f>IF($F980="","",IFERROR(INDEX(사건마스터!$AK$5:$AK$64,MATCH($F980,사건마스터!$A$5:$A$64,0)),""))</f>
        <v/>
      </c>
      <c r="O980" s="35">
        <f>IF($F980="","",IFERROR(INDEX(사건마스터!$AL$5:$AL$64,MATCH($F980,사건마스터!$A$5:$A$64,0)),""))</f>
        <v/>
      </c>
      <c r="P980" s="35">
        <f>IF($F980="","",IFERROR(INDEX(사건마스터!$AM$5:$AM$64,MATCH($F980,사건마스터!$A$5:$A$64,0)),""))</f>
        <v/>
      </c>
      <c r="Q980" s="35">
        <f>IF($F980="","",IFERROR(INDEX(사건마스터!$AN$5:$AN$64,MATCH($F980,사건마스터!$A$5:$A$64,0)),""))</f>
        <v/>
      </c>
      <c r="R980" s="35">
        <f>IF($F980="","",IFERROR(INDEX(사건마스터!$AO$5:$AO$64,MATCH($F980,사건마스터!$A$5:$A$64,0)),""))</f>
        <v/>
      </c>
      <c r="S980" s="35">
        <f>IF($F980="","",IFERROR(INDEX(사건마스터!$AP$5:$AP$64,MATCH($F980,사건마스터!$A$5:$A$64,0)),""))</f>
        <v/>
      </c>
      <c r="T980" s="35">
        <f>IF($F980="","",IFERROR(INDEX(사건마스터!$AQ$5:$AQ$64,MATCH($F980,사건마스터!$A$5:$A$64,0)),""))</f>
        <v/>
      </c>
      <c r="U980" s="35">
        <f>IF($F980="","",IFERROR(INDEX(사건마스터!$AR$5:$AR$64,MATCH($F980,사건마스터!$A$5:$A$64,0)),""))</f>
        <v/>
      </c>
      <c r="V980" s="35">
        <f>IF($F980="","",IFERROR(INDEX(사건마스터!$AS$5:$AS$64,MATCH($F980,사건마스터!$A$5:$A$64,0)),""))</f>
        <v/>
      </c>
      <c r="W980" s="35">
        <f>IF($F980="","",IFERROR(INDEX(사건마스터!$AT$5:$AT$64,MATCH($F980,사건마스터!$A$5:$A$64,0)),""))</f>
        <v/>
      </c>
      <c r="X980" s="35">
        <f>IF($F980="","",IFERROR(INDEX(사건마스터!$AU$5:$AU$64,MATCH($F980,사건마스터!$A$5:$A$64,0)),""))</f>
        <v/>
      </c>
      <c r="Y980" s="35">
        <f>IF($F980="","",IFERROR(INDEX(사건마스터!$AV$5:$AV$64,MATCH($F980,사건마스터!$A$5:$A$64,0)),""))</f>
        <v/>
      </c>
      <c r="Z980" s="30">
        <f>IF(COUNTBLANK($J980:$Y980)=16,"",16-COUNTBLANK($J980:$Y980))</f>
        <v/>
      </c>
      <c r="AA980" s="33">
        <f>IF($J980="",MID($AX980,3,255),$J980&amp;$AX980)</f>
        <v/>
      </c>
      <c r="AB980" s="34">
        <f>IF($J980="","",IFERROR(INDEX(코드설정!$D$5:$D$24,MATCH($J980,코드설정!$C$5:$C$24,0)),""))</f>
        <v/>
      </c>
      <c r="AC980" s="36" t="n"/>
      <c r="AD980" s="37" t="n"/>
      <c r="AE980" s="38" t="n"/>
      <c r="AF980" s="30">
        <f>IF(OR($B980="",$C980=""),"",$C980-$B980+1)</f>
        <v/>
      </c>
      <c r="AG980" s="32" t="n"/>
      <c r="AH980" s="36" t="n"/>
      <c r="AJ980">
        <f>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  <c r="AX980">
        <f>AW980&amp;IF($Y980="","",", "&amp;$Y980)</f>
        <v/>
      </c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0">
        <f>IF($F981="","",COUNTIF($F$5:$F981,$F981))</f>
        <v/>
      </c>
      <c r="H981" s="33">
        <f>IF($F981="","",IFERROR(INDEX(사건마스터!$B$5:$B$64,MATCH($F981,사건마스터!$A$5:$A$64,0)),""))</f>
        <v/>
      </c>
      <c r="I981" s="34">
        <f>IF($F981="","",IFERROR(INDEX(사건마스터!$C$5:$C$64,MATCH($F981,사건마스터!$A$5:$A$64,0)),""))</f>
        <v/>
      </c>
      <c r="J981" s="35">
        <f>IF($F981="","",IFERROR(INDEX(사건마스터!$H$5:$H$64,MATCH($F981,사건마스터!$A$5:$A$64,0)),""))</f>
        <v/>
      </c>
      <c r="K981" s="35">
        <f>IF($F981="","",IFERROR(INDEX(사건마스터!$AH$5:$AH$64,MATCH($F981,사건마스터!$A$5:$A$64,0)),""))</f>
        <v/>
      </c>
      <c r="L981" s="35">
        <f>IF($F981="","",IFERROR(INDEX(사건마스터!$AI$5:$AI$64,MATCH($F981,사건마스터!$A$5:$A$64,0)),""))</f>
        <v/>
      </c>
      <c r="M981" s="35">
        <f>IF($F981="","",IFERROR(INDEX(사건마스터!$AJ$5:$AJ$64,MATCH($F981,사건마스터!$A$5:$A$64,0)),""))</f>
        <v/>
      </c>
      <c r="N981" s="35">
        <f>IF($F981="","",IFERROR(INDEX(사건마스터!$AK$5:$AK$64,MATCH($F981,사건마스터!$A$5:$A$64,0)),""))</f>
        <v/>
      </c>
      <c r="O981" s="35">
        <f>IF($F981="","",IFERROR(INDEX(사건마스터!$AL$5:$AL$64,MATCH($F981,사건마스터!$A$5:$A$64,0)),""))</f>
        <v/>
      </c>
      <c r="P981" s="35">
        <f>IF($F981="","",IFERROR(INDEX(사건마스터!$AM$5:$AM$64,MATCH($F981,사건마스터!$A$5:$A$64,0)),""))</f>
        <v/>
      </c>
      <c r="Q981" s="35">
        <f>IF($F981="","",IFERROR(INDEX(사건마스터!$AN$5:$AN$64,MATCH($F981,사건마스터!$A$5:$A$64,0)),""))</f>
        <v/>
      </c>
      <c r="R981" s="35">
        <f>IF($F981="","",IFERROR(INDEX(사건마스터!$AO$5:$AO$64,MATCH($F981,사건마스터!$A$5:$A$64,0)),""))</f>
        <v/>
      </c>
      <c r="S981" s="35">
        <f>IF($F981="","",IFERROR(INDEX(사건마스터!$AP$5:$AP$64,MATCH($F981,사건마스터!$A$5:$A$64,0)),""))</f>
        <v/>
      </c>
      <c r="T981" s="35">
        <f>IF($F981="","",IFERROR(INDEX(사건마스터!$AQ$5:$AQ$64,MATCH($F981,사건마스터!$A$5:$A$64,0)),""))</f>
        <v/>
      </c>
      <c r="U981" s="35">
        <f>IF($F981="","",IFERROR(INDEX(사건마스터!$AR$5:$AR$64,MATCH($F981,사건마스터!$A$5:$A$64,0)),""))</f>
        <v/>
      </c>
      <c r="V981" s="35">
        <f>IF($F981="","",IFERROR(INDEX(사건마스터!$AS$5:$AS$64,MATCH($F981,사건마스터!$A$5:$A$64,0)),""))</f>
        <v/>
      </c>
      <c r="W981" s="35">
        <f>IF($F981="","",IFERROR(INDEX(사건마스터!$AT$5:$AT$64,MATCH($F981,사건마스터!$A$5:$A$64,0)),""))</f>
        <v/>
      </c>
      <c r="X981" s="35">
        <f>IF($F981="","",IFERROR(INDEX(사건마스터!$AU$5:$AU$64,MATCH($F981,사건마스터!$A$5:$A$64,0)),""))</f>
        <v/>
      </c>
      <c r="Y981" s="35">
        <f>IF($F981="","",IFERROR(INDEX(사건마스터!$AV$5:$AV$64,MATCH($F981,사건마스터!$A$5:$A$64,0)),""))</f>
        <v/>
      </c>
      <c r="Z981" s="30">
        <f>IF(COUNTBLANK($J981:$Y981)=16,"",16-COUNTBLANK($J981:$Y981))</f>
        <v/>
      </c>
      <c r="AA981" s="33">
        <f>IF($J981="",MID($AX981,3,255),$J981&amp;$AX981)</f>
        <v/>
      </c>
      <c r="AB981" s="34">
        <f>IF($J981="","",IFERROR(INDEX(코드설정!$D$5:$D$24,MATCH($J981,코드설정!$C$5:$C$24,0)),""))</f>
        <v/>
      </c>
      <c r="AC981" s="36" t="n"/>
      <c r="AD981" s="37" t="n"/>
      <c r="AE981" s="38" t="n"/>
      <c r="AF981" s="30">
        <f>IF(OR($B981="",$C981=""),"",$C981-$B981+1)</f>
        <v/>
      </c>
      <c r="AG981" s="32" t="n"/>
      <c r="AH981" s="36" t="n"/>
      <c r="AJ981">
        <f>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  <c r="AX981">
        <f>AW981&amp;IF($Y981="","",", "&amp;$Y981)</f>
        <v/>
      </c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0">
        <f>IF($F982="","",COUNTIF($F$5:$F982,$F982))</f>
        <v/>
      </c>
      <c r="H982" s="33">
        <f>IF($F982="","",IFERROR(INDEX(사건마스터!$B$5:$B$64,MATCH($F982,사건마스터!$A$5:$A$64,0)),""))</f>
        <v/>
      </c>
      <c r="I982" s="34">
        <f>IF($F982="","",IFERROR(INDEX(사건마스터!$C$5:$C$64,MATCH($F982,사건마스터!$A$5:$A$64,0)),""))</f>
        <v/>
      </c>
      <c r="J982" s="35">
        <f>IF($F982="","",IFERROR(INDEX(사건마스터!$H$5:$H$64,MATCH($F982,사건마스터!$A$5:$A$64,0)),""))</f>
        <v/>
      </c>
      <c r="K982" s="35">
        <f>IF($F982="","",IFERROR(INDEX(사건마스터!$AH$5:$AH$64,MATCH($F982,사건마스터!$A$5:$A$64,0)),""))</f>
        <v/>
      </c>
      <c r="L982" s="35">
        <f>IF($F982="","",IFERROR(INDEX(사건마스터!$AI$5:$AI$64,MATCH($F982,사건마스터!$A$5:$A$64,0)),""))</f>
        <v/>
      </c>
      <c r="M982" s="35">
        <f>IF($F982="","",IFERROR(INDEX(사건마스터!$AJ$5:$AJ$64,MATCH($F982,사건마스터!$A$5:$A$64,0)),""))</f>
        <v/>
      </c>
      <c r="N982" s="35">
        <f>IF($F982="","",IFERROR(INDEX(사건마스터!$AK$5:$AK$64,MATCH($F982,사건마스터!$A$5:$A$64,0)),""))</f>
        <v/>
      </c>
      <c r="O982" s="35">
        <f>IF($F982="","",IFERROR(INDEX(사건마스터!$AL$5:$AL$64,MATCH($F982,사건마스터!$A$5:$A$64,0)),""))</f>
        <v/>
      </c>
      <c r="P982" s="35">
        <f>IF($F982="","",IFERROR(INDEX(사건마스터!$AM$5:$AM$64,MATCH($F982,사건마스터!$A$5:$A$64,0)),""))</f>
        <v/>
      </c>
      <c r="Q982" s="35">
        <f>IF($F982="","",IFERROR(INDEX(사건마스터!$AN$5:$AN$64,MATCH($F982,사건마스터!$A$5:$A$64,0)),""))</f>
        <v/>
      </c>
      <c r="R982" s="35">
        <f>IF($F982="","",IFERROR(INDEX(사건마스터!$AO$5:$AO$64,MATCH($F982,사건마스터!$A$5:$A$64,0)),""))</f>
        <v/>
      </c>
      <c r="S982" s="35">
        <f>IF($F982="","",IFERROR(INDEX(사건마스터!$AP$5:$AP$64,MATCH($F982,사건마스터!$A$5:$A$64,0)),""))</f>
        <v/>
      </c>
      <c r="T982" s="35">
        <f>IF($F982="","",IFERROR(INDEX(사건마스터!$AQ$5:$AQ$64,MATCH($F982,사건마스터!$A$5:$A$64,0)),""))</f>
        <v/>
      </c>
      <c r="U982" s="35">
        <f>IF($F982="","",IFERROR(INDEX(사건마스터!$AR$5:$AR$64,MATCH($F982,사건마스터!$A$5:$A$64,0)),""))</f>
        <v/>
      </c>
      <c r="V982" s="35">
        <f>IF($F982="","",IFERROR(INDEX(사건마스터!$AS$5:$AS$64,MATCH($F982,사건마스터!$A$5:$A$64,0)),""))</f>
        <v/>
      </c>
      <c r="W982" s="35">
        <f>IF($F982="","",IFERROR(INDEX(사건마스터!$AT$5:$AT$64,MATCH($F982,사건마스터!$A$5:$A$64,0)),""))</f>
        <v/>
      </c>
      <c r="X982" s="35">
        <f>IF($F982="","",IFERROR(INDEX(사건마스터!$AU$5:$AU$64,MATCH($F982,사건마스터!$A$5:$A$64,0)),""))</f>
        <v/>
      </c>
      <c r="Y982" s="35">
        <f>IF($F982="","",IFERROR(INDEX(사건마스터!$AV$5:$AV$64,MATCH($F982,사건마스터!$A$5:$A$64,0)),""))</f>
        <v/>
      </c>
      <c r="Z982" s="30">
        <f>IF(COUNTBLANK($J982:$Y982)=16,"",16-COUNTBLANK($J982:$Y982))</f>
        <v/>
      </c>
      <c r="AA982" s="33">
        <f>IF($J982="",MID($AX982,3,255),$J982&amp;$AX982)</f>
        <v/>
      </c>
      <c r="AB982" s="34">
        <f>IF($J982="","",IFERROR(INDEX(코드설정!$D$5:$D$24,MATCH($J982,코드설정!$C$5:$C$24,0)),""))</f>
        <v/>
      </c>
      <c r="AC982" s="36" t="n"/>
      <c r="AD982" s="37" t="n"/>
      <c r="AE982" s="38" t="n"/>
      <c r="AF982" s="30">
        <f>IF(OR($B982="",$C982=""),"",$C982-$B982+1)</f>
        <v/>
      </c>
      <c r="AG982" s="32" t="n"/>
      <c r="AH982" s="36" t="n"/>
      <c r="AJ982">
        <f>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  <c r="AX982">
        <f>AW982&amp;IF($Y982="","",", "&amp;$Y982)</f>
        <v/>
      </c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0">
        <f>IF($F983="","",COUNTIF($F$5:$F983,$F983))</f>
        <v/>
      </c>
      <c r="H983" s="33">
        <f>IF($F983="","",IFERROR(INDEX(사건마스터!$B$5:$B$64,MATCH($F983,사건마스터!$A$5:$A$64,0)),""))</f>
        <v/>
      </c>
      <c r="I983" s="34">
        <f>IF($F983="","",IFERROR(INDEX(사건마스터!$C$5:$C$64,MATCH($F983,사건마스터!$A$5:$A$64,0)),""))</f>
        <v/>
      </c>
      <c r="J983" s="35">
        <f>IF($F983="","",IFERROR(INDEX(사건마스터!$H$5:$H$64,MATCH($F983,사건마스터!$A$5:$A$64,0)),""))</f>
        <v/>
      </c>
      <c r="K983" s="35">
        <f>IF($F983="","",IFERROR(INDEX(사건마스터!$AH$5:$AH$64,MATCH($F983,사건마스터!$A$5:$A$64,0)),""))</f>
        <v/>
      </c>
      <c r="L983" s="35">
        <f>IF($F983="","",IFERROR(INDEX(사건마스터!$AI$5:$AI$64,MATCH($F983,사건마스터!$A$5:$A$64,0)),""))</f>
        <v/>
      </c>
      <c r="M983" s="35">
        <f>IF($F983="","",IFERROR(INDEX(사건마스터!$AJ$5:$AJ$64,MATCH($F983,사건마스터!$A$5:$A$64,0)),""))</f>
        <v/>
      </c>
      <c r="N983" s="35">
        <f>IF($F983="","",IFERROR(INDEX(사건마스터!$AK$5:$AK$64,MATCH($F983,사건마스터!$A$5:$A$64,0)),""))</f>
        <v/>
      </c>
      <c r="O983" s="35">
        <f>IF($F983="","",IFERROR(INDEX(사건마스터!$AL$5:$AL$64,MATCH($F983,사건마스터!$A$5:$A$64,0)),""))</f>
        <v/>
      </c>
      <c r="P983" s="35">
        <f>IF($F983="","",IFERROR(INDEX(사건마스터!$AM$5:$AM$64,MATCH($F983,사건마스터!$A$5:$A$64,0)),""))</f>
        <v/>
      </c>
      <c r="Q983" s="35">
        <f>IF($F983="","",IFERROR(INDEX(사건마스터!$AN$5:$AN$64,MATCH($F983,사건마스터!$A$5:$A$64,0)),""))</f>
        <v/>
      </c>
      <c r="R983" s="35">
        <f>IF($F983="","",IFERROR(INDEX(사건마스터!$AO$5:$AO$64,MATCH($F983,사건마스터!$A$5:$A$64,0)),""))</f>
        <v/>
      </c>
      <c r="S983" s="35">
        <f>IF($F983="","",IFERROR(INDEX(사건마스터!$AP$5:$AP$64,MATCH($F983,사건마스터!$A$5:$A$64,0)),""))</f>
        <v/>
      </c>
      <c r="T983" s="35">
        <f>IF($F983="","",IFERROR(INDEX(사건마스터!$AQ$5:$AQ$64,MATCH($F983,사건마스터!$A$5:$A$64,0)),""))</f>
        <v/>
      </c>
      <c r="U983" s="35">
        <f>IF($F983="","",IFERROR(INDEX(사건마스터!$AR$5:$AR$64,MATCH($F983,사건마스터!$A$5:$A$64,0)),""))</f>
        <v/>
      </c>
      <c r="V983" s="35">
        <f>IF($F983="","",IFERROR(INDEX(사건마스터!$AS$5:$AS$64,MATCH($F983,사건마스터!$A$5:$A$64,0)),""))</f>
        <v/>
      </c>
      <c r="W983" s="35">
        <f>IF($F983="","",IFERROR(INDEX(사건마스터!$AT$5:$AT$64,MATCH($F983,사건마스터!$A$5:$A$64,0)),""))</f>
        <v/>
      </c>
      <c r="X983" s="35">
        <f>IF($F983="","",IFERROR(INDEX(사건마스터!$AU$5:$AU$64,MATCH($F983,사건마스터!$A$5:$A$64,0)),""))</f>
        <v/>
      </c>
      <c r="Y983" s="35">
        <f>IF($F983="","",IFERROR(INDEX(사건마스터!$AV$5:$AV$64,MATCH($F983,사건마스터!$A$5:$A$64,0)),""))</f>
        <v/>
      </c>
      <c r="Z983" s="30">
        <f>IF(COUNTBLANK($J983:$Y983)=16,"",16-COUNTBLANK($J983:$Y983))</f>
        <v/>
      </c>
      <c r="AA983" s="33">
        <f>IF($J983="",MID($AX983,3,255),$J983&amp;$AX983)</f>
        <v/>
      </c>
      <c r="AB983" s="34">
        <f>IF($J983="","",IFERROR(INDEX(코드설정!$D$5:$D$24,MATCH($J983,코드설정!$C$5:$C$24,0)),""))</f>
        <v/>
      </c>
      <c r="AC983" s="36" t="n"/>
      <c r="AD983" s="37" t="n"/>
      <c r="AE983" s="38" t="n"/>
      <c r="AF983" s="30">
        <f>IF(OR($B983="",$C983=""),"",$C983-$B983+1)</f>
        <v/>
      </c>
      <c r="AG983" s="32" t="n"/>
      <c r="AH983" s="36" t="n"/>
      <c r="AJ983">
        <f>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  <c r="AX983">
        <f>AW983&amp;IF($Y983="","",", "&amp;$Y983)</f>
        <v/>
      </c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0">
        <f>IF($F984="","",COUNTIF($F$5:$F984,$F984))</f>
        <v/>
      </c>
      <c r="H984" s="33">
        <f>IF($F984="","",IFERROR(INDEX(사건마스터!$B$5:$B$64,MATCH($F984,사건마스터!$A$5:$A$64,0)),""))</f>
        <v/>
      </c>
      <c r="I984" s="34">
        <f>IF($F984="","",IFERROR(INDEX(사건마스터!$C$5:$C$64,MATCH($F984,사건마스터!$A$5:$A$64,0)),""))</f>
        <v/>
      </c>
      <c r="J984" s="35">
        <f>IF($F984="","",IFERROR(INDEX(사건마스터!$H$5:$H$64,MATCH($F984,사건마스터!$A$5:$A$64,0)),""))</f>
        <v/>
      </c>
      <c r="K984" s="35">
        <f>IF($F984="","",IFERROR(INDEX(사건마스터!$AH$5:$AH$64,MATCH($F984,사건마스터!$A$5:$A$64,0)),""))</f>
        <v/>
      </c>
      <c r="L984" s="35">
        <f>IF($F984="","",IFERROR(INDEX(사건마스터!$AI$5:$AI$64,MATCH($F984,사건마스터!$A$5:$A$64,0)),""))</f>
        <v/>
      </c>
      <c r="M984" s="35">
        <f>IF($F984="","",IFERROR(INDEX(사건마스터!$AJ$5:$AJ$64,MATCH($F984,사건마스터!$A$5:$A$64,0)),""))</f>
        <v/>
      </c>
      <c r="N984" s="35">
        <f>IF($F984="","",IFERROR(INDEX(사건마스터!$AK$5:$AK$64,MATCH($F984,사건마스터!$A$5:$A$64,0)),""))</f>
        <v/>
      </c>
      <c r="O984" s="35">
        <f>IF($F984="","",IFERROR(INDEX(사건마스터!$AL$5:$AL$64,MATCH($F984,사건마스터!$A$5:$A$64,0)),""))</f>
        <v/>
      </c>
      <c r="P984" s="35">
        <f>IF($F984="","",IFERROR(INDEX(사건마스터!$AM$5:$AM$64,MATCH($F984,사건마스터!$A$5:$A$64,0)),""))</f>
        <v/>
      </c>
      <c r="Q984" s="35">
        <f>IF($F984="","",IFERROR(INDEX(사건마스터!$AN$5:$AN$64,MATCH($F984,사건마스터!$A$5:$A$64,0)),""))</f>
        <v/>
      </c>
      <c r="R984" s="35">
        <f>IF($F984="","",IFERROR(INDEX(사건마스터!$AO$5:$AO$64,MATCH($F984,사건마스터!$A$5:$A$64,0)),""))</f>
        <v/>
      </c>
      <c r="S984" s="35">
        <f>IF($F984="","",IFERROR(INDEX(사건마스터!$AP$5:$AP$64,MATCH($F984,사건마스터!$A$5:$A$64,0)),""))</f>
        <v/>
      </c>
      <c r="T984" s="35">
        <f>IF($F984="","",IFERROR(INDEX(사건마스터!$AQ$5:$AQ$64,MATCH($F984,사건마스터!$A$5:$A$64,0)),""))</f>
        <v/>
      </c>
      <c r="U984" s="35">
        <f>IF($F984="","",IFERROR(INDEX(사건마스터!$AR$5:$AR$64,MATCH($F984,사건마스터!$A$5:$A$64,0)),""))</f>
        <v/>
      </c>
      <c r="V984" s="35">
        <f>IF($F984="","",IFERROR(INDEX(사건마스터!$AS$5:$AS$64,MATCH($F984,사건마스터!$A$5:$A$64,0)),""))</f>
        <v/>
      </c>
      <c r="W984" s="35">
        <f>IF($F984="","",IFERROR(INDEX(사건마스터!$AT$5:$AT$64,MATCH($F984,사건마스터!$A$5:$A$64,0)),""))</f>
        <v/>
      </c>
      <c r="X984" s="35">
        <f>IF($F984="","",IFERROR(INDEX(사건마스터!$AU$5:$AU$64,MATCH($F984,사건마스터!$A$5:$A$64,0)),""))</f>
        <v/>
      </c>
      <c r="Y984" s="35">
        <f>IF($F984="","",IFERROR(INDEX(사건마스터!$AV$5:$AV$64,MATCH($F984,사건마스터!$A$5:$A$64,0)),""))</f>
        <v/>
      </c>
      <c r="Z984" s="30">
        <f>IF(COUNTBLANK($J984:$Y984)=16,"",16-COUNTBLANK($J984:$Y984))</f>
        <v/>
      </c>
      <c r="AA984" s="33">
        <f>IF($J984="",MID($AX984,3,255),$J984&amp;$AX984)</f>
        <v/>
      </c>
      <c r="AB984" s="34">
        <f>IF($J984="","",IFERROR(INDEX(코드설정!$D$5:$D$24,MATCH($J984,코드설정!$C$5:$C$24,0)),""))</f>
        <v/>
      </c>
      <c r="AC984" s="36" t="n"/>
      <c r="AD984" s="37" t="n"/>
      <c r="AE984" s="38" t="n"/>
      <c r="AF984" s="30">
        <f>IF(OR($B984="",$C984=""),"",$C984-$B984+1)</f>
        <v/>
      </c>
      <c r="AG984" s="32" t="n"/>
      <c r="AH984" s="36" t="n"/>
      <c r="AJ984">
        <f>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  <c r="AX984">
        <f>AW984&amp;IF($Y984="","",", "&amp;$Y984)</f>
        <v/>
      </c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0">
        <f>IF($F985="","",COUNTIF($F$5:$F985,$F985))</f>
        <v/>
      </c>
      <c r="H985" s="33">
        <f>IF($F985="","",IFERROR(INDEX(사건마스터!$B$5:$B$64,MATCH($F985,사건마스터!$A$5:$A$64,0)),""))</f>
        <v/>
      </c>
      <c r="I985" s="34">
        <f>IF($F985="","",IFERROR(INDEX(사건마스터!$C$5:$C$64,MATCH($F985,사건마스터!$A$5:$A$64,0)),""))</f>
        <v/>
      </c>
      <c r="J985" s="35">
        <f>IF($F985="","",IFERROR(INDEX(사건마스터!$H$5:$H$64,MATCH($F985,사건마스터!$A$5:$A$64,0)),""))</f>
        <v/>
      </c>
      <c r="K985" s="35">
        <f>IF($F985="","",IFERROR(INDEX(사건마스터!$AH$5:$AH$64,MATCH($F985,사건마스터!$A$5:$A$64,0)),""))</f>
        <v/>
      </c>
      <c r="L985" s="35">
        <f>IF($F985="","",IFERROR(INDEX(사건마스터!$AI$5:$AI$64,MATCH($F985,사건마스터!$A$5:$A$64,0)),""))</f>
        <v/>
      </c>
      <c r="M985" s="35">
        <f>IF($F985="","",IFERROR(INDEX(사건마스터!$AJ$5:$AJ$64,MATCH($F985,사건마스터!$A$5:$A$64,0)),""))</f>
        <v/>
      </c>
      <c r="N985" s="35">
        <f>IF($F985="","",IFERROR(INDEX(사건마스터!$AK$5:$AK$64,MATCH($F985,사건마스터!$A$5:$A$64,0)),""))</f>
        <v/>
      </c>
      <c r="O985" s="35">
        <f>IF($F985="","",IFERROR(INDEX(사건마스터!$AL$5:$AL$64,MATCH($F985,사건마스터!$A$5:$A$64,0)),""))</f>
        <v/>
      </c>
      <c r="P985" s="35">
        <f>IF($F985="","",IFERROR(INDEX(사건마스터!$AM$5:$AM$64,MATCH($F985,사건마스터!$A$5:$A$64,0)),""))</f>
        <v/>
      </c>
      <c r="Q985" s="35">
        <f>IF($F985="","",IFERROR(INDEX(사건마스터!$AN$5:$AN$64,MATCH($F985,사건마스터!$A$5:$A$64,0)),""))</f>
        <v/>
      </c>
      <c r="R985" s="35">
        <f>IF($F985="","",IFERROR(INDEX(사건마스터!$AO$5:$AO$64,MATCH($F985,사건마스터!$A$5:$A$64,0)),""))</f>
        <v/>
      </c>
      <c r="S985" s="35">
        <f>IF($F985="","",IFERROR(INDEX(사건마스터!$AP$5:$AP$64,MATCH($F985,사건마스터!$A$5:$A$64,0)),""))</f>
        <v/>
      </c>
      <c r="T985" s="35">
        <f>IF($F985="","",IFERROR(INDEX(사건마스터!$AQ$5:$AQ$64,MATCH($F985,사건마스터!$A$5:$A$64,0)),""))</f>
        <v/>
      </c>
      <c r="U985" s="35">
        <f>IF($F985="","",IFERROR(INDEX(사건마스터!$AR$5:$AR$64,MATCH($F985,사건마스터!$A$5:$A$64,0)),""))</f>
        <v/>
      </c>
      <c r="V985" s="35">
        <f>IF($F985="","",IFERROR(INDEX(사건마스터!$AS$5:$AS$64,MATCH($F985,사건마스터!$A$5:$A$64,0)),""))</f>
        <v/>
      </c>
      <c r="W985" s="35">
        <f>IF($F985="","",IFERROR(INDEX(사건마스터!$AT$5:$AT$64,MATCH($F985,사건마스터!$A$5:$A$64,0)),""))</f>
        <v/>
      </c>
      <c r="X985" s="35">
        <f>IF($F985="","",IFERROR(INDEX(사건마스터!$AU$5:$AU$64,MATCH($F985,사건마스터!$A$5:$A$64,0)),""))</f>
        <v/>
      </c>
      <c r="Y985" s="35">
        <f>IF($F985="","",IFERROR(INDEX(사건마스터!$AV$5:$AV$64,MATCH($F985,사건마스터!$A$5:$A$64,0)),""))</f>
        <v/>
      </c>
      <c r="Z985" s="30">
        <f>IF(COUNTBLANK($J985:$Y985)=16,"",16-COUNTBLANK($J985:$Y985))</f>
        <v/>
      </c>
      <c r="AA985" s="33">
        <f>IF($J985="",MID($AX985,3,255),$J985&amp;$AX985)</f>
        <v/>
      </c>
      <c r="AB985" s="34">
        <f>IF($J985="","",IFERROR(INDEX(코드설정!$D$5:$D$24,MATCH($J985,코드설정!$C$5:$C$24,0)),""))</f>
        <v/>
      </c>
      <c r="AC985" s="36" t="n"/>
      <c r="AD985" s="37" t="n"/>
      <c r="AE985" s="38" t="n"/>
      <c r="AF985" s="30">
        <f>IF(OR($B985="",$C985=""),"",$C985-$B985+1)</f>
        <v/>
      </c>
      <c r="AG985" s="32" t="n"/>
      <c r="AH985" s="36" t="n"/>
      <c r="AJ985">
        <f>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  <c r="AX985">
        <f>AW985&amp;IF($Y985="","",", "&amp;$Y985)</f>
        <v/>
      </c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0">
        <f>IF($F986="","",COUNTIF($F$5:$F986,$F986))</f>
        <v/>
      </c>
      <c r="H986" s="33">
        <f>IF($F986="","",IFERROR(INDEX(사건마스터!$B$5:$B$64,MATCH($F986,사건마스터!$A$5:$A$64,0)),""))</f>
        <v/>
      </c>
      <c r="I986" s="34">
        <f>IF($F986="","",IFERROR(INDEX(사건마스터!$C$5:$C$64,MATCH($F986,사건마스터!$A$5:$A$64,0)),""))</f>
        <v/>
      </c>
      <c r="J986" s="35">
        <f>IF($F986="","",IFERROR(INDEX(사건마스터!$H$5:$H$64,MATCH($F986,사건마스터!$A$5:$A$64,0)),""))</f>
        <v/>
      </c>
      <c r="K986" s="35">
        <f>IF($F986="","",IFERROR(INDEX(사건마스터!$AH$5:$AH$64,MATCH($F986,사건마스터!$A$5:$A$64,0)),""))</f>
        <v/>
      </c>
      <c r="L986" s="35">
        <f>IF($F986="","",IFERROR(INDEX(사건마스터!$AI$5:$AI$64,MATCH($F986,사건마스터!$A$5:$A$64,0)),""))</f>
        <v/>
      </c>
      <c r="M986" s="35">
        <f>IF($F986="","",IFERROR(INDEX(사건마스터!$AJ$5:$AJ$64,MATCH($F986,사건마스터!$A$5:$A$64,0)),""))</f>
        <v/>
      </c>
      <c r="N986" s="35">
        <f>IF($F986="","",IFERROR(INDEX(사건마스터!$AK$5:$AK$64,MATCH($F986,사건마스터!$A$5:$A$64,0)),""))</f>
        <v/>
      </c>
      <c r="O986" s="35">
        <f>IF($F986="","",IFERROR(INDEX(사건마스터!$AL$5:$AL$64,MATCH($F986,사건마스터!$A$5:$A$64,0)),""))</f>
        <v/>
      </c>
      <c r="P986" s="35">
        <f>IF($F986="","",IFERROR(INDEX(사건마스터!$AM$5:$AM$64,MATCH($F986,사건마스터!$A$5:$A$64,0)),""))</f>
        <v/>
      </c>
      <c r="Q986" s="35">
        <f>IF($F986="","",IFERROR(INDEX(사건마스터!$AN$5:$AN$64,MATCH($F986,사건마스터!$A$5:$A$64,0)),""))</f>
        <v/>
      </c>
      <c r="R986" s="35">
        <f>IF($F986="","",IFERROR(INDEX(사건마스터!$AO$5:$AO$64,MATCH($F986,사건마스터!$A$5:$A$64,0)),""))</f>
        <v/>
      </c>
      <c r="S986" s="35">
        <f>IF($F986="","",IFERROR(INDEX(사건마스터!$AP$5:$AP$64,MATCH($F986,사건마스터!$A$5:$A$64,0)),""))</f>
        <v/>
      </c>
      <c r="T986" s="35">
        <f>IF($F986="","",IFERROR(INDEX(사건마스터!$AQ$5:$AQ$64,MATCH($F986,사건마스터!$A$5:$A$64,0)),""))</f>
        <v/>
      </c>
      <c r="U986" s="35">
        <f>IF($F986="","",IFERROR(INDEX(사건마스터!$AR$5:$AR$64,MATCH($F986,사건마스터!$A$5:$A$64,0)),""))</f>
        <v/>
      </c>
      <c r="V986" s="35">
        <f>IF($F986="","",IFERROR(INDEX(사건마스터!$AS$5:$AS$64,MATCH($F986,사건마스터!$A$5:$A$64,0)),""))</f>
        <v/>
      </c>
      <c r="W986" s="35">
        <f>IF($F986="","",IFERROR(INDEX(사건마스터!$AT$5:$AT$64,MATCH($F986,사건마스터!$A$5:$A$64,0)),""))</f>
        <v/>
      </c>
      <c r="X986" s="35">
        <f>IF($F986="","",IFERROR(INDEX(사건마스터!$AU$5:$AU$64,MATCH($F986,사건마스터!$A$5:$A$64,0)),""))</f>
        <v/>
      </c>
      <c r="Y986" s="35">
        <f>IF($F986="","",IFERROR(INDEX(사건마스터!$AV$5:$AV$64,MATCH($F986,사건마스터!$A$5:$A$64,0)),""))</f>
        <v/>
      </c>
      <c r="Z986" s="30">
        <f>IF(COUNTBLANK($J986:$Y986)=16,"",16-COUNTBLANK($J986:$Y986))</f>
        <v/>
      </c>
      <c r="AA986" s="33">
        <f>IF($J986="",MID($AX986,3,255),$J986&amp;$AX986)</f>
        <v/>
      </c>
      <c r="AB986" s="34">
        <f>IF($J986="","",IFERROR(INDEX(코드설정!$D$5:$D$24,MATCH($J986,코드설정!$C$5:$C$24,0)),""))</f>
        <v/>
      </c>
      <c r="AC986" s="36" t="n"/>
      <c r="AD986" s="37" t="n"/>
      <c r="AE986" s="38" t="n"/>
      <c r="AF986" s="30">
        <f>IF(OR($B986="",$C986=""),"",$C986-$B986+1)</f>
        <v/>
      </c>
      <c r="AG986" s="32" t="n"/>
      <c r="AH986" s="36" t="n"/>
      <c r="AJ986">
        <f>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  <c r="AX986">
        <f>AW986&amp;IF($Y986="","",", "&amp;$Y986)</f>
        <v/>
      </c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0">
        <f>IF($F987="","",COUNTIF($F$5:$F987,$F987))</f>
        <v/>
      </c>
      <c r="H987" s="33">
        <f>IF($F987="","",IFERROR(INDEX(사건마스터!$B$5:$B$64,MATCH($F987,사건마스터!$A$5:$A$64,0)),""))</f>
        <v/>
      </c>
      <c r="I987" s="34">
        <f>IF($F987="","",IFERROR(INDEX(사건마스터!$C$5:$C$64,MATCH($F987,사건마스터!$A$5:$A$64,0)),""))</f>
        <v/>
      </c>
      <c r="J987" s="35">
        <f>IF($F987="","",IFERROR(INDEX(사건마스터!$H$5:$H$64,MATCH($F987,사건마스터!$A$5:$A$64,0)),""))</f>
        <v/>
      </c>
      <c r="K987" s="35">
        <f>IF($F987="","",IFERROR(INDEX(사건마스터!$AH$5:$AH$64,MATCH($F987,사건마스터!$A$5:$A$64,0)),""))</f>
        <v/>
      </c>
      <c r="L987" s="35">
        <f>IF($F987="","",IFERROR(INDEX(사건마스터!$AI$5:$AI$64,MATCH($F987,사건마스터!$A$5:$A$64,0)),""))</f>
        <v/>
      </c>
      <c r="M987" s="35">
        <f>IF($F987="","",IFERROR(INDEX(사건마스터!$AJ$5:$AJ$64,MATCH($F987,사건마스터!$A$5:$A$64,0)),""))</f>
        <v/>
      </c>
      <c r="N987" s="35">
        <f>IF($F987="","",IFERROR(INDEX(사건마스터!$AK$5:$AK$64,MATCH($F987,사건마스터!$A$5:$A$64,0)),""))</f>
        <v/>
      </c>
      <c r="O987" s="35">
        <f>IF($F987="","",IFERROR(INDEX(사건마스터!$AL$5:$AL$64,MATCH($F987,사건마스터!$A$5:$A$64,0)),""))</f>
        <v/>
      </c>
      <c r="P987" s="35">
        <f>IF($F987="","",IFERROR(INDEX(사건마스터!$AM$5:$AM$64,MATCH($F987,사건마스터!$A$5:$A$64,0)),""))</f>
        <v/>
      </c>
      <c r="Q987" s="35">
        <f>IF($F987="","",IFERROR(INDEX(사건마스터!$AN$5:$AN$64,MATCH($F987,사건마스터!$A$5:$A$64,0)),""))</f>
        <v/>
      </c>
      <c r="R987" s="35">
        <f>IF($F987="","",IFERROR(INDEX(사건마스터!$AO$5:$AO$64,MATCH($F987,사건마스터!$A$5:$A$64,0)),""))</f>
        <v/>
      </c>
      <c r="S987" s="35">
        <f>IF($F987="","",IFERROR(INDEX(사건마스터!$AP$5:$AP$64,MATCH($F987,사건마스터!$A$5:$A$64,0)),""))</f>
        <v/>
      </c>
      <c r="T987" s="35">
        <f>IF($F987="","",IFERROR(INDEX(사건마스터!$AQ$5:$AQ$64,MATCH($F987,사건마스터!$A$5:$A$64,0)),""))</f>
        <v/>
      </c>
      <c r="U987" s="35">
        <f>IF($F987="","",IFERROR(INDEX(사건마스터!$AR$5:$AR$64,MATCH($F987,사건마스터!$A$5:$A$64,0)),""))</f>
        <v/>
      </c>
      <c r="V987" s="35">
        <f>IF($F987="","",IFERROR(INDEX(사건마스터!$AS$5:$AS$64,MATCH($F987,사건마스터!$A$5:$A$64,0)),""))</f>
        <v/>
      </c>
      <c r="W987" s="35">
        <f>IF($F987="","",IFERROR(INDEX(사건마스터!$AT$5:$AT$64,MATCH($F987,사건마스터!$A$5:$A$64,0)),""))</f>
        <v/>
      </c>
      <c r="X987" s="35">
        <f>IF($F987="","",IFERROR(INDEX(사건마스터!$AU$5:$AU$64,MATCH($F987,사건마스터!$A$5:$A$64,0)),""))</f>
        <v/>
      </c>
      <c r="Y987" s="35">
        <f>IF($F987="","",IFERROR(INDEX(사건마스터!$AV$5:$AV$64,MATCH($F987,사건마스터!$A$5:$A$64,0)),""))</f>
        <v/>
      </c>
      <c r="Z987" s="30">
        <f>IF(COUNTBLANK($J987:$Y987)=16,"",16-COUNTBLANK($J987:$Y987))</f>
        <v/>
      </c>
      <c r="AA987" s="33">
        <f>IF($J987="",MID($AX987,3,255),$J987&amp;$AX987)</f>
        <v/>
      </c>
      <c r="AB987" s="34">
        <f>IF($J987="","",IFERROR(INDEX(코드설정!$D$5:$D$24,MATCH($J987,코드설정!$C$5:$C$24,0)),""))</f>
        <v/>
      </c>
      <c r="AC987" s="36" t="n"/>
      <c r="AD987" s="37" t="n"/>
      <c r="AE987" s="38" t="n"/>
      <c r="AF987" s="30">
        <f>IF(OR($B987="",$C987=""),"",$C987-$B987+1)</f>
        <v/>
      </c>
      <c r="AG987" s="32" t="n"/>
      <c r="AH987" s="36" t="n"/>
      <c r="AJ987">
        <f>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  <c r="AX987">
        <f>AW987&amp;IF($Y987="","",", "&amp;$Y987)</f>
        <v/>
      </c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0">
        <f>IF($F988="","",COUNTIF($F$5:$F988,$F988))</f>
        <v/>
      </c>
      <c r="H988" s="33">
        <f>IF($F988="","",IFERROR(INDEX(사건마스터!$B$5:$B$64,MATCH($F988,사건마스터!$A$5:$A$64,0)),""))</f>
        <v/>
      </c>
      <c r="I988" s="34">
        <f>IF($F988="","",IFERROR(INDEX(사건마스터!$C$5:$C$64,MATCH($F988,사건마스터!$A$5:$A$64,0)),""))</f>
        <v/>
      </c>
      <c r="J988" s="35">
        <f>IF($F988="","",IFERROR(INDEX(사건마스터!$H$5:$H$64,MATCH($F988,사건마스터!$A$5:$A$64,0)),""))</f>
        <v/>
      </c>
      <c r="K988" s="35">
        <f>IF($F988="","",IFERROR(INDEX(사건마스터!$AH$5:$AH$64,MATCH($F988,사건마스터!$A$5:$A$64,0)),""))</f>
        <v/>
      </c>
      <c r="L988" s="35">
        <f>IF($F988="","",IFERROR(INDEX(사건마스터!$AI$5:$AI$64,MATCH($F988,사건마스터!$A$5:$A$64,0)),""))</f>
        <v/>
      </c>
      <c r="M988" s="35">
        <f>IF($F988="","",IFERROR(INDEX(사건마스터!$AJ$5:$AJ$64,MATCH($F988,사건마스터!$A$5:$A$64,0)),""))</f>
        <v/>
      </c>
      <c r="N988" s="35">
        <f>IF($F988="","",IFERROR(INDEX(사건마스터!$AK$5:$AK$64,MATCH($F988,사건마스터!$A$5:$A$64,0)),""))</f>
        <v/>
      </c>
      <c r="O988" s="35">
        <f>IF($F988="","",IFERROR(INDEX(사건마스터!$AL$5:$AL$64,MATCH($F988,사건마스터!$A$5:$A$64,0)),""))</f>
        <v/>
      </c>
      <c r="P988" s="35">
        <f>IF($F988="","",IFERROR(INDEX(사건마스터!$AM$5:$AM$64,MATCH($F988,사건마스터!$A$5:$A$64,0)),""))</f>
        <v/>
      </c>
      <c r="Q988" s="35">
        <f>IF($F988="","",IFERROR(INDEX(사건마스터!$AN$5:$AN$64,MATCH($F988,사건마스터!$A$5:$A$64,0)),""))</f>
        <v/>
      </c>
      <c r="R988" s="35">
        <f>IF($F988="","",IFERROR(INDEX(사건마스터!$AO$5:$AO$64,MATCH($F988,사건마스터!$A$5:$A$64,0)),""))</f>
        <v/>
      </c>
      <c r="S988" s="35">
        <f>IF($F988="","",IFERROR(INDEX(사건마스터!$AP$5:$AP$64,MATCH($F988,사건마스터!$A$5:$A$64,0)),""))</f>
        <v/>
      </c>
      <c r="T988" s="35">
        <f>IF($F988="","",IFERROR(INDEX(사건마스터!$AQ$5:$AQ$64,MATCH($F988,사건마스터!$A$5:$A$64,0)),""))</f>
        <v/>
      </c>
      <c r="U988" s="35">
        <f>IF($F988="","",IFERROR(INDEX(사건마스터!$AR$5:$AR$64,MATCH($F988,사건마스터!$A$5:$A$64,0)),""))</f>
        <v/>
      </c>
      <c r="V988" s="35">
        <f>IF($F988="","",IFERROR(INDEX(사건마스터!$AS$5:$AS$64,MATCH($F988,사건마스터!$A$5:$A$64,0)),""))</f>
        <v/>
      </c>
      <c r="W988" s="35">
        <f>IF($F988="","",IFERROR(INDEX(사건마스터!$AT$5:$AT$64,MATCH($F988,사건마스터!$A$5:$A$64,0)),""))</f>
        <v/>
      </c>
      <c r="X988" s="35">
        <f>IF($F988="","",IFERROR(INDEX(사건마스터!$AU$5:$AU$64,MATCH($F988,사건마스터!$A$5:$A$64,0)),""))</f>
        <v/>
      </c>
      <c r="Y988" s="35">
        <f>IF($F988="","",IFERROR(INDEX(사건마스터!$AV$5:$AV$64,MATCH($F988,사건마스터!$A$5:$A$64,0)),""))</f>
        <v/>
      </c>
      <c r="Z988" s="30">
        <f>IF(COUNTBLANK($J988:$Y988)=16,"",16-COUNTBLANK($J988:$Y988))</f>
        <v/>
      </c>
      <c r="AA988" s="33">
        <f>IF($J988="",MID($AX988,3,255),$J988&amp;$AX988)</f>
        <v/>
      </c>
      <c r="AB988" s="34">
        <f>IF($J988="","",IFERROR(INDEX(코드설정!$D$5:$D$24,MATCH($J988,코드설정!$C$5:$C$24,0)),""))</f>
        <v/>
      </c>
      <c r="AC988" s="36" t="n"/>
      <c r="AD988" s="37" t="n"/>
      <c r="AE988" s="38" t="n"/>
      <c r="AF988" s="30">
        <f>IF(OR($B988="",$C988=""),"",$C988-$B988+1)</f>
        <v/>
      </c>
      <c r="AG988" s="32" t="n"/>
      <c r="AH988" s="36" t="n"/>
      <c r="AJ988">
        <f>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  <c r="AX988">
        <f>AW988&amp;IF($Y988="","",", "&amp;$Y988)</f>
        <v/>
      </c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0">
        <f>IF($F989="","",COUNTIF($F$5:$F989,$F989))</f>
        <v/>
      </c>
      <c r="H989" s="33">
        <f>IF($F989="","",IFERROR(INDEX(사건마스터!$B$5:$B$64,MATCH($F989,사건마스터!$A$5:$A$64,0)),""))</f>
        <v/>
      </c>
      <c r="I989" s="34">
        <f>IF($F989="","",IFERROR(INDEX(사건마스터!$C$5:$C$64,MATCH($F989,사건마스터!$A$5:$A$64,0)),""))</f>
        <v/>
      </c>
      <c r="J989" s="35">
        <f>IF($F989="","",IFERROR(INDEX(사건마스터!$H$5:$H$64,MATCH($F989,사건마스터!$A$5:$A$64,0)),""))</f>
        <v/>
      </c>
      <c r="K989" s="35">
        <f>IF($F989="","",IFERROR(INDEX(사건마스터!$AH$5:$AH$64,MATCH($F989,사건마스터!$A$5:$A$64,0)),""))</f>
        <v/>
      </c>
      <c r="L989" s="35">
        <f>IF($F989="","",IFERROR(INDEX(사건마스터!$AI$5:$AI$64,MATCH($F989,사건마스터!$A$5:$A$64,0)),""))</f>
        <v/>
      </c>
      <c r="M989" s="35">
        <f>IF($F989="","",IFERROR(INDEX(사건마스터!$AJ$5:$AJ$64,MATCH($F989,사건마스터!$A$5:$A$64,0)),""))</f>
        <v/>
      </c>
      <c r="N989" s="35">
        <f>IF($F989="","",IFERROR(INDEX(사건마스터!$AK$5:$AK$64,MATCH($F989,사건마스터!$A$5:$A$64,0)),""))</f>
        <v/>
      </c>
      <c r="O989" s="35">
        <f>IF($F989="","",IFERROR(INDEX(사건마스터!$AL$5:$AL$64,MATCH($F989,사건마스터!$A$5:$A$64,0)),""))</f>
        <v/>
      </c>
      <c r="P989" s="35">
        <f>IF($F989="","",IFERROR(INDEX(사건마스터!$AM$5:$AM$64,MATCH($F989,사건마스터!$A$5:$A$64,0)),""))</f>
        <v/>
      </c>
      <c r="Q989" s="35">
        <f>IF($F989="","",IFERROR(INDEX(사건마스터!$AN$5:$AN$64,MATCH($F989,사건마스터!$A$5:$A$64,0)),""))</f>
        <v/>
      </c>
      <c r="R989" s="35">
        <f>IF($F989="","",IFERROR(INDEX(사건마스터!$AO$5:$AO$64,MATCH($F989,사건마스터!$A$5:$A$64,0)),""))</f>
        <v/>
      </c>
      <c r="S989" s="35">
        <f>IF($F989="","",IFERROR(INDEX(사건마스터!$AP$5:$AP$64,MATCH($F989,사건마스터!$A$5:$A$64,0)),""))</f>
        <v/>
      </c>
      <c r="T989" s="35">
        <f>IF($F989="","",IFERROR(INDEX(사건마스터!$AQ$5:$AQ$64,MATCH($F989,사건마스터!$A$5:$A$64,0)),""))</f>
        <v/>
      </c>
      <c r="U989" s="35">
        <f>IF($F989="","",IFERROR(INDEX(사건마스터!$AR$5:$AR$64,MATCH($F989,사건마스터!$A$5:$A$64,0)),""))</f>
        <v/>
      </c>
      <c r="V989" s="35">
        <f>IF($F989="","",IFERROR(INDEX(사건마스터!$AS$5:$AS$64,MATCH($F989,사건마스터!$A$5:$A$64,0)),""))</f>
        <v/>
      </c>
      <c r="W989" s="35">
        <f>IF($F989="","",IFERROR(INDEX(사건마스터!$AT$5:$AT$64,MATCH($F989,사건마스터!$A$5:$A$64,0)),""))</f>
        <v/>
      </c>
      <c r="X989" s="35">
        <f>IF($F989="","",IFERROR(INDEX(사건마스터!$AU$5:$AU$64,MATCH($F989,사건마스터!$A$5:$A$64,0)),""))</f>
        <v/>
      </c>
      <c r="Y989" s="35">
        <f>IF($F989="","",IFERROR(INDEX(사건마스터!$AV$5:$AV$64,MATCH($F989,사건마스터!$A$5:$A$64,0)),""))</f>
        <v/>
      </c>
      <c r="Z989" s="30">
        <f>IF(COUNTBLANK($J989:$Y989)=16,"",16-COUNTBLANK($J989:$Y989))</f>
        <v/>
      </c>
      <c r="AA989" s="33">
        <f>IF($J989="",MID($AX989,3,255),$J989&amp;$AX989)</f>
        <v/>
      </c>
      <c r="AB989" s="34">
        <f>IF($J989="","",IFERROR(INDEX(코드설정!$D$5:$D$24,MATCH($J989,코드설정!$C$5:$C$24,0)),""))</f>
        <v/>
      </c>
      <c r="AC989" s="36" t="n"/>
      <c r="AD989" s="37" t="n"/>
      <c r="AE989" s="38" t="n"/>
      <c r="AF989" s="30">
        <f>IF(OR($B989="",$C989=""),"",$C989-$B989+1)</f>
        <v/>
      </c>
      <c r="AG989" s="32" t="n"/>
      <c r="AH989" s="36" t="n"/>
      <c r="AJ989">
        <f>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  <c r="AX989">
        <f>AW989&amp;IF($Y989="","",", "&amp;$Y989)</f>
        <v/>
      </c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0">
        <f>IF($F990="","",COUNTIF($F$5:$F990,$F990))</f>
        <v/>
      </c>
      <c r="H990" s="33">
        <f>IF($F990="","",IFERROR(INDEX(사건마스터!$B$5:$B$64,MATCH($F990,사건마스터!$A$5:$A$64,0)),""))</f>
        <v/>
      </c>
      <c r="I990" s="34">
        <f>IF($F990="","",IFERROR(INDEX(사건마스터!$C$5:$C$64,MATCH($F990,사건마스터!$A$5:$A$64,0)),""))</f>
        <v/>
      </c>
      <c r="J990" s="35">
        <f>IF($F990="","",IFERROR(INDEX(사건마스터!$H$5:$H$64,MATCH($F990,사건마스터!$A$5:$A$64,0)),""))</f>
        <v/>
      </c>
      <c r="K990" s="35">
        <f>IF($F990="","",IFERROR(INDEX(사건마스터!$AH$5:$AH$64,MATCH($F990,사건마스터!$A$5:$A$64,0)),""))</f>
        <v/>
      </c>
      <c r="L990" s="35">
        <f>IF($F990="","",IFERROR(INDEX(사건마스터!$AI$5:$AI$64,MATCH($F990,사건마스터!$A$5:$A$64,0)),""))</f>
        <v/>
      </c>
      <c r="M990" s="35">
        <f>IF($F990="","",IFERROR(INDEX(사건마스터!$AJ$5:$AJ$64,MATCH($F990,사건마스터!$A$5:$A$64,0)),""))</f>
        <v/>
      </c>
      <c r="N990" s="35">
        <f>IF($F990="","",IFERROR(INDEX(사건마스터!$AK$5:$AK$64,MATCH($F990,사건마스터!$A$5:$A$64,0)),""))</f>
        <v/>
      </c>
      <c r="O990" s="35">
        <f>IF($F990="","",IFERROR(INDEX(사건마스터!$AL$5:$AL$64,MATCH($F990,사건마스터!$A$5:$A$64,0)),""))</f>
        <v/>
      </c>
      <c r="P990" s="35">
        <f>IF($F990="","",IFERROR(INDEX(사건마스터!$AM$5:$AM$64,MATCH($F990,사건마스터!$A$5:$A$64,0)),""))</f>
        <v/>
      </c>
      <c r="Q990" s="35">
        <f>IF($F990="","",IFERROR(INDEX(사건마스터!$AN$5:$AN$64,MATCH($F990,사건마스터!$A$5:$A$64,0)),""))</f>
        <v/>
      </c>
      <c r="R990" s="35">
        <f>IF($F990="","",IFERROR(INDEX(사건마스터!$AO$5:$AO$64,MATCH($F990,사건마스터!$A$5:$A$64,0)),""))</f>
        <v/>
      </c>
      <c r="S990" s="35">
        <f>IF($F990="","",IFERROR(INDEX(사건마스터!$AP$5:$AP$64,MATCH($F990,사건마스터!$A$5:$A$64,0)),""))</f>
        <v/>
      </c>
      <c r="T990" s="35">
        <f>IF($F990="","",IFERROR(INDEX(사건마스터!$AQ$5:$AQ$64,MATCH($F990,사건마스터!$A$5:$A$64,0)),""))</f>
        <v/>
      </c>
      <c r="U990" s="35">
        <f>IF($F990="","",IFERROR(INDEX(사건마스터!$AR$5:$AR$64,MATCH($F990,사건마스터!$A$5:$A$64,0)),""))</f>
        <v/>
      </c>
      <c r="V990" s="35">
        <f>IF($F990="","",IFERROR(INDEX(사건마스터!$AS$5:$AS$64,MATCH($F990,사건마스터!$A$5:$A$64,0)),""))</f>
        <v/>
      </c>
      <c r="W990" s="35">
        <f>IF($F990="","",IFERROR(INDEX(사건마스터!$AT$5:$AT$64,MATCH($F990,사건마스터!$A$5:$A$64,0)),""))</f>
        <v/>
      </c>
      <c r="X990" s="35">
        <f>IF($F990="","",IFERROR(INDEX(사건마스터!$AU$5:$AU$64,MATCH($F990,사건마스터!$A$5:$A$64,0)),""))</f>
        <v/>
      </c>
      <c r="Y990" s="35">
        <f>IF($F990="","",IFERROR(INDEX(사건마스터!$AV$5:$AV$64,MATCH($F990,사건마스터!$A$5:$A$64,0)),""))</f>
        <v/>
      </c>
      <c r="Z990" s="30">
        <f>IF(COUNTBLANK($J990:$Y990)=16,"",16-COUNTBLANK($J990:$Y990))</f>
        <v/>
      </c>
      <c r="AA990" s="33">
        <f>IF($J990="",MID($AX990,3,255),$J990&amp;$AX990)</f>
        <v/>
      </c>
      <c r="AB990" s="34">
        <f>IF($J990="","",IFERROR(INDEX(코드설정!$D$5:$D$24,MATCH($J990,코드설정!$C$5:$C$24,0)),""))</f>
        <v/>
      </c>
      <c r="AC990" s="36" t="n"/>
      <c r="AD990" s="37" t="n"/>
      <c r="AE990" s="38" t="n"/>
      <c r="AF990" s="30">
        <f>IF(OR($B990="",$C990=""),"",$C990-$B990+1)</f>
        <v/>
      </c>
      <c r="AG990" s="32" t="n"/>
      <c r="AH990" s="36" t="n"/>
      <c r="AJ990">
        <f>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  <c r="AX990">
        <f>AW990&amp;IF($Y990="","",", "&amp;$Y990)</f>
        <v/>
      </c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0">
        <f>IF($F991="","",COUNTIF($F$5:$F991,$F991))</f>
        <v/>
      </c>
      <c r="H991" s="33">
        <f>IF($F991="","",IFERROR(INDEX(사건마스터!$B$5:$B$64,MATCH($F991,사건마스터!$A$5:$A$64,0)),""))</f>
        <v/>
      </c>
      <c r="I991" s="34">
        <f>IF($F991="","",IFERROR(INDEX(사건마스터!$C$5:$C$64,MATCH($F991,사건마스터!$A$5:$A$64,0)),""))</f>
        <v/>
      </c>
      <c r="J991" s="35">
        <f>IF($F991="","",IFERROR(INDEX(사건마스터!$H$5:$H$64,MATCH($F991,사건마스터!$A$5:$A$64,0)),""))</f>
        <v/>
      </c>
      <c r="K991" s="35">
        <f>IF($F991="","",IFERROR(INDEX(사건마스터!$AH$5:$AH$64,MATCH($F991,사건마스터!$A$5:$A$64,0)),""))</f>
        <v/>
      </c>
      <c r="L991" s="35">
        <f>IF($F991="","",IFERROR(INDEX(사건마스터!$AI$5:$AI$64,MATCH($F991,사건마스터!$A$5:$A$64,0)),""))</f>
        <v/>
      </c>
      <c r="M991" s="35">
        <f>IF($F991="","",IFERROR(INDEX(사건마스터!$AJ$5:$AJ$64,MATCH($F991,사건마스터!$A$5:$A$64,0)),""))</f>
        <v/>
      </c>
      <c r="N991" s="35">
        <f>IF($F991="","",IFERROR(INDEX(사건마스터!$AK$5:$AK$64,MATCH($F991,사건마스터!$A$5:$A$64,0)),""))</f>
        <v/>
      </c>
      <c r="O991" s="35">
        <f>IF($F991="","",IFERROR(INDEX(사건마스터!$AL$5:$AL$64,MATCH($F991,사건마스터!$A$5:$A$64,0)),""))</f>
        <v/>
      </c>
      <c r="P991" s="35">
        <f>IF($F991="","",IFERROR(INDEX(사건마스터!$AM$5:$AM$64,MATCH($F991,사건마스터!$A$5:$A$64,0)),""))</f>
        <v/>
      </c>
      <c r="Q991" s="35">
        <f>IF($F991="","",IFERROR(INDEX(사건마스터!$AN$5:$AN$64,MATCH($F991,사건마스터!$A$5:$A$64,0)),""))</f>
        <v/>
      </c>
      <c r="R991" s="35">
        <f>IF($F991="","",IFERROR(INDEX(사건마스터!$AO$5:$AO$64,MATCH($F991,사건마스터!$A$5:$A$64,0)),""))</f>
        <v/>
      </c>
      <c r="S991" s="35">
        <f>IF($F991="","",IFERROR(INDEX(사건마스터!$AP$5:$AP$64,MATCH($F991,사건마스터!$A$5:$A$64,0)),""))</f>
        <v/>
      </c>
      <c r="T991" s="35">
        <f>IF($F991="","",IFERROR(INDEX(사건마스터!$AQ$5:$AQ$64,MATCH($F991,사건마스터!$A$5:$A$64,0)),""))</f>
        <v/>
      </c>
      <c r="U991" s="35">
        <f>IF($F991="","",IFERROR(INDEX(사건마스터!$AR$5:$AR$64,MATCH($F991,사건마스터!$A$5:$A$64,0)),""))</f>
        <v/>
      </c>
      <c r="V991" s="35">
        <f>IF($F991="","",IFERROR(INDEX(사건마스터!$AS$5:$AS$64,MATCH($F991,사건마스터!$A$5:$A$64,0)),""))</f>
        <v/>
      </c>
      <c r="W991" s="35">
        <f>IF($F991="","",IFERROR(INDEX(사건마스터!$AT$5:$AT$64,MATCH($F991,사건마스터!$A$5:$A$64,0)),""))</f>
        <v/>
      </c>
      <c r="X991" s="35">
        <f>IF($F991="","",IFERROR(INDEX(사건마스터!$AU$5:$AU$64,MATCH($F991,사건마스터!$A$5:$A$64,0)),""))</f>
        <v/>
      </c>
      <c r="Y991" s="35">
        <f>IF($F991="","",IFERROR(INDEX(사건마스터!$AV$5:$AV$64,MATCH($F991,사건마스터!$A$5:$A$64,0)),""))</f>
        <v/>
      </c>
      <c r="Z991" s="30">
        <f>IF(COUNTBLANK($J991:$Y991)=16,"",16-COUNTBLANK($J991:$Y991))</f>
        <v/>
      </c>
      <c r="AA991" s="33">
        <f>IF($J991="",MID($AX991,3,255),$J991&amp;$AX991)</f>
        <v/>
      </c>
      <c r="AB991" s="34">
        <f>IF($J991="","",IFERROR(INDEX(코드설정!$D$5:$D$24,MATCH($J991,코드설정!$C$5:$C$24,0)),""))</f>
        <v/>
      </c>
      <c r="AC991" s="36" t="n"/>
      <c r="AD991" s="37" t="n"/>
      <c r="AE991" s="38" t="n"/>
      <c r="AF991" s="30">
        <f>IF(OR($B991="",$C991=""),"",$C991-$B991+1)</f>
        <v/>
      </c>
      <c r="AG991" s="32" t="n"/>
      <c r="AH991" s="36" t="n"/>
      <c r="AJ991">
        <f>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  <c r="AX991">
        <f>AW991&amp;IF($Y991="","",", "&amp;$Y991)</f>
        <v/>
      </c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0">
        <f>IF($F992="","",COUNTIF($F$5:$F992,$F992))</f>
        <v/>
      </c>
      <c r="H992" s="33">
        <f>IF($F992="","",IFERROR(INDEX(사건마스터!$B$5:$B$64,MATCH($F992,사건마스터!$A$5:$A$64,0)),""))</f>
        <v/>
      </c>
      <c r="I992" s="34">
        <f>IF($F992="","",IFERROR(INDEX(사건마스터!$C$5:$C$64,MATCH($F992,사건마스터!$A$5:$A$64,0)),""))</f>
        <v/>
      </c>
      <c r="J992" s="35">
        <f>IF($F992="","",IFERROR(INDEX(사건마스터!$H$5:$H$64,MATCH($F992,사건마스터!$A$5:$A$64,0)),""))</f>
        <v/>
      </c>
      <c r="K992" s="35">
        <f>IF($F992="","",IFERROR(INDEX(사건마스터!$AH$5:$AH$64,MATCH($F992,사건마스터!$A$5:$A$64,0)),""))</f>
        <v/>
      </c>
      <c r="L992" s="35">
        <f>IF($F992="","",IFERROR(INDEX(사건마스터!$AI$5:$AI$64,MATCH($F992,사건마스터!$A$5:$A$64,0)),""))</f>
        <v/>
      </c>
      <c r="M992" s="35">
        <f>IF($F992="","",IFERROR(INDEX(사건마스터!$AJ$5:$AJ$64,MATCH($F992,사건마스터!$A$5:$A$64,0)),""))</f>
        <v/>
      </c>
      <c r="N992" s="35">
        <f>IF($F992="","",IFERROR(INDEX(사건마스터!$AK$5:$AK$64,MATCH($F992,사건마스터!$A$5:$A$64,0)),""))</f>
        <v/>
      </c>
      <c r="O992" s="35">
        <f>IF($F992="","",IFERROR(INDEX(사건마스터!$AL$5:$AL$64,MATCH($F992,사건마스터!$A$5:$A$64,0)),""))</f>
        <v/>
      </c>
      <c r="P992" s="35">
        <f>IF($F992="","",IFERROR(INDEX(사건마스터!$AM$5:$AM$64,MATCH($F992,사건마스터!$A$5:$A$64,0)),""))</f>
        <v/>
      </c>
      <c r="Q992" s="35">
        <f>IF($F992="","",IFERROR(INDEX(사건마스터!$AN$5:$AN$64,MATCH($F992,사건마스터!$A$5:$A$64,0)),""))</f>
        <v/>
      </c>
      <c r="R992" s="35">
        <f>IF($F992="","",IFERROR(INDEX(사건마스터!$AO$5:$AO$64,MATCH($F992,사건마스터!$A$5:$A$64,0)),""))</f>
        <v/>
      </c>
      <c r="S992" s="35">
        <f>IF($F992="","",IFERROR(INDEX(사건마스터!$AP$5:$AP$64,MATCH($F992,사건마스터!$A$5:$A$64,0)),""))</f>
        <v/>
      </c>
      <c r="T992" s="35">
        <f>IF($F992="","",IFERROR(INDEX(사건마스터!$AQ$5:$AQ$64,MATCH($F992,사건마스터!$A$5:$A$64,0)),""))</f>
        <v/>
      </c>
      <c r="U992" s="35">
        <f>IF($F992="","",IFERROR(INDEX(사건마스터!$AR$5:$AR$64,MATCH($F992,사건마스터!$A$5:$A$64,0)),""))</f>
        <v/>
      </c>
      <c r="V992" s="35">
        <f>IF($F992="","",IFERROR(INDEX(사건마스터!$AS$5:$AS$64,MATCH($F992,사건마스터!$A$5:$A$64,0)),""))</f>
        <v/>
      </c>
      <c r="W992" s="35">
        <f>IF($F992="","",IFERROR(INDEX(사건마스터!$AT$5:$AT$64,MATCH($F992,사건마스터!$A$5:$A$64,0)),""))</f>
        <v/>
      </c>
      <c r="X992" s="35">
        <f>IF($F992="","",IFERROR(INDEX(사건마스터!$AU$5:$AU$64,MATCH($F992,사건마스터!$A$5:$A$64,0)),""))</f>
        <v/>
      </c>
      <c r="Y992" s="35">
        <f>IF($F992="","",IFERROR(INDEX(사건마스터!$AV$5:$AV$64,MATCH($F992,사건마스터!$A$5:$A$64,0)),""))</f>
        <v/>
      </c>
      <c r="Z992" s="30">
        <f>IF(COUNTBLANK($J992:$Y992)=16,"",16-COUNTBLANK($J992:$Y992))</f>
        <v/>
      </c>
      <c r="AA992" s="33">
        <f>IF($J992="",MID($AX992,3,255),$J992&amp;$AX992)</f>
        <v/>
      </c>
      <c r="AB992" s="34">
        <f>IF($J992="","",IFERROR(INDEX(코드설정!$D$5:$D$24,MATCH($J992,코드설정!$C$5:$C$24,0)),""))</f>
        <v/>
      </c>
      <c r="AC992" s="36" t="n"/>
      <c r="AD992" s="37" t="n"/>
      <c r="AE992" s="38" t="n"/>
      <c r="AF992" s="30">
        <f>IF(OR($B992="",$C992=""),"",$C992-$B992+1)</f>
        <v/>
      </c>
      <c r="AG992" s="32" t="n"/>
      <c r="AH992" s="36" t="n"/>
      <c r="AJ992">
        <f>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  <c r="AX992">
        <f>AW992&amp;IF($Y992="","",", "&amp;$Y992)</f>
        <v/>
      </c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0">
        <f>IF($F993="","",COUNTIF($F$5:$F993,$F993))</f>
        <v/>
      </c>
      <c r="H993" s="33">
        <f>IF($F993="","",IFERROR(INDEX(사건마스터!$B$5:$B$64,MATCH($F993,사건마스터!$A$5:$A$64,0)),""))</f>
        <v/>
      </c>
      <c r="I993" s="34">
        <f>IF($F993="","",IFERROR(INDEX(사건마스터!$C$5:$C$64,MATCH($F993,사건마스터!$A$5:$A$64,0)),""))</f>
        <v/>
      </c>
      <c r="J993" s="35">
        <f>IF($F993="","",IFERROR(INDEX(사건마스터!$H$5:$H$64,MATCH($F993,사건마스터!$A$5:$A$64,0)),""))</f>
        <v/>
      </c>
      <c r="K993" s="35">
        <f>IF($F993="","",IFERROR(INDEX(사건마스터!$AH$5:$AH$64,MATCH($F993,사건마스터!$A$5:$A$64,0)),""))</f>
        <v/>
      </c>
      <c r="L993" s="35">
        <f>IF($F993="","",IFERROR(INDEX(사건마스터!$AI$5:$AI$64,MATCH($F993,사건마스터!$A$5:$A$64,0)),""))</f>
        <v/>
      </c>
      <c r="M993" s="35">
        <f>IF($F993="","",IFERROR(INDEX(사건마스터!$AJ$5:$AJ$64,MATCH($F993,사건마스터!$A$5:$A$64,0)),""))</f>
        <v/>
      </c>
      <c r="N993" s="35">
        <f>IF($F993="","",IFERROR(INDEX(사건마스터!$AK$5:$AK$64,MATCH($F993,사건마스터!$A$5:$A$64,0)),""))</f>
        <v/>
      </c>
      <c r="O993" s="35">
        <f>IF($F993="","",IFERROR(INDEX(사건마스터!$AL$5:$AL$64,MATCH($F993,사건마스터!$A$5:$A$64,0)),""))</f>
        <v/>
      </c>
      <c r="P993" s="35">
        <f>IF($F993="","",IFERROR(INDEX(사건마스터!$AM$5:$AM$64,MATCH($F993,사건마스터!$A$5:$A$64,0)),""))</f>
        <v/>
      </c>
      <c r="Q993" s="35">
        <f>IF($F993="","",IFERROR(INDEX(사건마스터!$AN$5:$AN$64,MATCH($F993,사건마스터!$A$5:$A$64,0)),""))</f>
        <v/>
      </c>
      <c r="R993" s="35">
        <f>IF($F993="","",IFERROR(INDEX(사건마스터!$AO$5:$AO$64,MATCH($F993,사건마스터!$A$5:$A$64,0)),""))</f>
        <v/>
      </c>
      <c r="S993" s="35">
        <f>IF($F993="","",IFERROR(INDEX(사건마스터!$AP$5:$AP$64,MATCH($F993,사건마스터!$A$5:$A$64,0)),""))</f>
        <v/>
      </c>
      <c r="T993" s="35">
        <f>IF($F993="","",IFERROR(INDEX(사건마스터!$AQ$5:$AQ$64,MATCH($F993,사건마스터!$A$5:$A$64,0)),""))</f>
        <v/>
      </c>
      <c r="U993" s="35">
        <f>IF($F993="","",IFERROR(INDEX(사건마스터!$AR$5:$AR$64,MATCH($F993,사건마스터!$A$5:$A$64,0)),""))</f>
        <v/>
      </c>
      <c r="V993" s="35">
        <f>IF($F993="","",IFERROR(INDEX(사건마스터!$AS$5:$AS$64,MATCH($F993,사건마스터!$A$5:$A$64,0)),""))</f>
        <v/>
      </c>
      <c r="W993" s="35">
        <f>IF($F993="","",IFERROR(INDEX(사건마스터!$AT$5:$AT$64,MATCH($F993,사건마스터!$A$5:$A$64,0)),""))</f>
        <v/>
      </c>
      <c r="X993" s="35">
        <f>IF($F993="","",IFERROR(INDEX(사건마스터!$AU$5:$AU$64,MATCH($F993,사건마스터!$A$5:$A$64,0)),""))</f>
        <v/>
      </c>
      <c r="Y993" s="35">
        <f>IF($F993="","",IFERROR(INDEX(사건마스터!$AV$5:$AV$64,MATCH($F993,사건마스터!$A$5:$A$64,0)),""))</f>
        <v/>
      </c>
      <c r="Z993" s="30">
        <f>IF(COUNTBLANK($J993:$Y993)=16,"",16-COUNTBLANK($J993:$Y993))</f>
        <v/>
      </c>
      <c r="AA993" s="33">
        <f>IF($J993="",MID($AX993,3,255),$J993&amp;$AX993)</f>
        <v/>
      </c>
      <c r="AB993" s="34">
        <f>IF($J993="","",IFERROR(INDEX(코드설정!$D$5:$D$24,MATCH($J993,코드설정!$C$5:$C$24,0)),""))</f>
        <v/>
      </c>
      <c r="AC993" s="36" t="n"/>
      <c r="AD993" s="37" t="n"/>
      <c r="AE993" s="38" t="n"/>
      <c r="AF993" s="30">
        <f>IF(OR($B993="",$C993=""),"",$C993-$B993+1)</f>
        <v/>
      </c>
      <c r="AG993" s="32" t="n"/>
      <c r="AH993" s="36" t="n"/>
      <c r="AJ993">
        <f>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  <c r="AX993">
        <f>AW993&amp;IF($Y993="","",", "&amp;$Y993)</f>
        <v/>
      </c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0">
        <f>IF($F994="","",COUNTIF($F$5:$F994,$F994))</f>
        <v/>
      </c>
      <c r="H994" s="33">
        <f>IF($F994="","",IFERROR(INDEX(사건마스터!$B$5:$B$64,MATCH($F994,사건마스터!$A$5:$A$64,0)),""))</f>
        <v/>
      </c>
      <c r="I994" s="34">
        <f>IF($F994="","",IFERROR(INDEX(사건마스터!$C$5:$C$64,MATCH($F994,사건마스터!$A$5:$A$64,0)),""))</f>
        <v/>
      </c>
      <c r="J994" s="35">
        <f>IF($F994="","",IFERROR(INDEX(사건마스터!$H$5:$H$64,MATCH($F994,사건마스터!$A$5:$A$64,0)),""))</f>
        <v/>
      </c>
      <c r="K994" s="35">
        <f>IF($F994="","",IFERROR(INDEX(사건마스터!$AH$5:$AH$64,MATCH($F994,사건마스터!$A$5:$A$64,0)),""))</f>
        <v/>
      </c>
      <c r="L994" s="35">
        <f>IF($F994="","",IFERROR(INDEX(사건마스터!$AI$5:$AI$64,MATCH($F994,사건마스터!$A$5:$A$64,0)),""))</f>
        <v/>
      </c>
      <c r="M994" s="35">
        <f>IF($F994="","",IFERROR(INDEX(사건마스터!$AJ$5:$AJ$64,MATCH($F994,사건마스터!$A$5:$A$64,0)),""))</f>
        <v/>
      </c>
      <c r="N994" s="35">
        <f>IF($F994="","",IFERROR(INDEX(사건마스터!$AK$5:$AK$64,MATCH($F994,사건마스터!$A$5:$A$64,0)),""))</f>
        <v/>
      </c>
      <c r="O994" s="35">
        <f>IF($F994="","",IFERROR(INDEX(사건마스터!$AL$5:$AL$64,MATCH($F994,사건마스터!$A$5:$A$64,0)),""))</f>
        <v/>
      </c>
      <c r="P994" s="35">
        <f>IF($F994="","",IFERROR(INDEX(사건마스터!$AM$5:$AM$64,MATCH($F994,사건마스터!$A$5:$A$64,0)),""))</f>
        <v/>
      </c>
      <c r="Q994" s="35">
        <f>IF($F994="","",IFERROR(INDEX(사건마스터!$AN$5:$AN$64,MATCH($F994,사건마스터!$A$5:$A$64,0)),""))</f>
        <v/>
      </c>
      <c r="R994" s="35">
        <f>IF($F994="","",IFERROR(INDEX(사건마스터!$AO$5:$AO$64,MATCH($F994,사건마스터!$A$5:$A$64,0)),""))</f>
        <v/>
      </c>
      <c r="S994" s="35">
        <f>IF($F994="","",IFERROR(INDEX(사건마스터!$AP$5:$AP$64,MATCH($F994,사건마스터!$A$5:$A$64,0)),""))</f>
        <v/>
      </c>
      <c r="T994" s="35">
        <f>IF($F994="","",IFERROR(INDEX(사건마스터!$AQ$5:$AQ$64,MATCH($F994,사건마스터!$A$5:$A$64,0)),""))</f>
        <v/>
      </c>
      <c r="U994" s="35">
        <f>IF($F994="","",IFERROR(INDEX(사건마스터!$AR$5:$AR$64,MATCH($F994,사건마스터!$A$5:$A$64,0)),""))</f>
        <v/>
      </c>
      <c r="V994" s="35">
        <f>IF($F994="","",IFERROR(INDEX(사건마스터!$AS$5:$AS$64,MATCH($F994,사건마스터!$A$5:$A$64,0)),""))</f>
        <v/>
      </c>
      <c r="W994" s="35">
        <f>IF($F994="","",IFERROR(INDEX(사건마스터!$AT$5:$AT$64,MATCH($F994,사건마스터!$A$5:$A$64,0)),""))</f>
        <v/>
      </c>
      <c r="X994" s="35">
        <f>IF($F994="","",IFERROR(INDEX(사건마스터!$AU$5:$AU$64,MATCH($F994,사건마스터!$A$5:$A$64,0)),""))</f>
        <v/>
      </c>
      <c r="Y994" s="35">
        <f>IF($F994="","",IFERROR(INDEX(사건마스터!$AV$5:$AV$64,MATCH($F994,사건마스터!$A$5:$A$64,0)),""))</f>
        <v/>
      </c>
      <c r="Z994" s="30">
        <f>IF(COUNTBLANK($J994:$Y994)=16,"",16-COUNTBLANK($J994:$Y994))</f>
        <v/>
      </c>
      <c r="AA994" s="33">
        <f>IF($J994="",MID($AX994,3,255),$J994&amp;$AX994)</f>
        <v/>
      </c>
      <c r="AB994" s="34">
        <f>IF($J994="","",IFERROR(INDEX(코드설정!$D$5:$D$24,MATCH($J994,코드설정!$C$5:$C$24,0)),""))</f>
        <v/>
      </c>
      <c r="AC994" s="36" t="n"/>
      <c r="AD994" s="37" t="n"/>
      <c r="AE994" s="38" t="n"/>
      <c r="AF994" s="30">
        <f>IF(OR($B994="",$C994=""),"",$C994-$B994+1)</f>
        <v/>
      </c>
      <c r="AG994" s="32" t="n"/>
      <c r="AH994" s="36" t="n"/>
      <c r="AJ994">
        <f>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  <c r="AX994">
        <f>AW994&amp;IF($Y994="","",", "&amp;$Y994)</f>
        <v/>
      </c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0">
        <f>IF($F995="","",COUNTIF($F$5:$F995,$F995))</f>
        <v/>
      </c>
      <c r="H995" s="33">
        <f>IF($F995="","",IFERROR(INDEX(사건마스터!$B$5:$B$64,MATCH($F995,사건마스터!$A$5:$A$64,0)),""))</f>
        <v/>
      </c>
      <c r="I995" s="34">
        <f>IF($F995="","",IFERROR(INDEX(사건마스터!$C$5:$C$64,MATCH($F995,사건마스터!$A$5:$A$64,0)),""))</f>
        <v/>
      </c>
      <c r="J995" s="35">
        <f>IF($F995="","",IFERROR(INDEX(사건마스터!$H$5:$H$64,MATCH($F995,사건마스터!$A$5:$A$64,0)),""))</f>
        <v/>
      </c>
      <c r="K995" s="35">
        <f>IF($F995="","",IFERROR(INDEX(사건마스터!$AH$5:$AH$64,MATCH($F995,사건마스터!$A$5:$A$64,0)),""))</f>
        <v/>
      </c>
      <c r="L995" s="35">
        <f>IF($F995="","",IFERROR(INDEX(사건마스터!$AI$5:$AI$64,MATCH($F995,사건마스터!$A$5:$A$64,0)),""))</f>
        <v/>
      </c>
      <c r="M995" s="35">
        <f>IF($F995="","",IFERROR(INDEX(사건마스터!$AJ$5:$AJ$64,MATCH($F995,사건마스터!$A$5:$A$64,0)),""))</f>
        <v/>
      </c>
      <c r="N995" s="35">
        <f>IF($F995="","",IFERROR(INDEX(사건마스터!$AK$5:$AK$64,MATCH($F995,사건마스터!$A$5:$A$64,0)),""))</f>
        <v/>
      </c>
      <c r="O995" s="35">
        <f>IF($F995="","",IFERROR(INDEX(사건마스터!$AL$5:$AL$64,MATCH($F995,사건마스터!$A$5:$A$64,0)),""))</f>
        <v/>
      </c>
      <c r="P995" s="35">
        <f>IF($F995="","",IFERROR(INDEX(사건마스터!$AM$5:$AM$64,MATCH($F995,사건마스터!$A$5:$A$64,0)),""))</f>
        <v/>
      </c>
      <c r="Q995" s="35">
        <f>IF($F995="","",IFERROR(INDEX(사건마스터!$AN$5:$AN$64,MATCH($F995,사건마스터!$A$5:$A$64,0)),""))</f>
        <v/>
      </c>
      <c r="R995" s="35">
        <f>IF($F995="","",IFERROR(INDEX(사건마스터!$AO$5:$AO$64,MATCH($F995,사건마스터!$A$5:$A$64,0)),""))</f>
        <v/>
      </c>
      <c r="S995" s="35">
        <f>IF($F995="","",IFERROR(INDEX(사건마스터!$AP$5:$AP$64,MATCH($F995,사건마스터!$A$5:$A$64,0)),""))</f>
        <v/>
      </c>
      <c r="T995" s="35">
        <f>IF($F995="","",IFERROR(INDEX(사건마스터!$AQ$5:$AQ$64,MATCH($F995,사건마스터!$A$5:$A$64,0)),""))</f>
        <v/>
      </c>
      <c r="U995" s="35">
        <f>IF($F995="","",IFERROR(INDEX(사건마스터!$AR$5:$AR$64,MATCH($F995,사건마스터!$A$5:$A$64,0)),""))</f>
        <v/>
      </c>
      <c r="V995" s="35">
        <f>IF($F995="","",IFERROR(INDEX(사건마스터!$AS$5:$AS$64,MATCH($F995,사건마스터!$A$5:$A$64,0)),""))</f>
        <v/>
      </c>
      <c r="W995" s="35">
        <f>IF($F995="","",IFERROR(INDEX(사건마스터!$AT$5:$AT$64,MATCH($F995,사건마스터!$A$5:$A$64,0)),""))</f>
        <v/>
      </c>
      <c r="X995" s="35">
        <f>IF($F995="","",IFERROR(INDEX(사건마스터!$AU$5:$AU$64,MATCH($F995,사건마스터!$A$5:$A$64,0)),""))</f>
        <v/>
      </c>
      <c r="Y995" s="35">
        <f>IF($F995="","",IFERROR(INDEX(사건마스터!$AV$5:$AV$64,MATCH($F995,사건마스터!$A$5:$A$64,0)),""))</f>
        <v/>
      </c>
      <c r="Z995" s="30">
        <f>IF(COUNTBLANK($J995:$Y995)=16,"",16-COUNTBLANK($J995:$Y995))</f>
        <v/>
      </c>
      <c r="AA995" s="33">
        <f>IF($J995="",MID($AX995,3,255),$J995&amp;$AX995)</f>
        <v/>
      </c>
      <c r="AB995" s="34">
        <f>IF($J995="","",IFERROR(INDEX(코드설정!$D$5:$D$24,MATCH($J995,코드설정!$C$5:$C$24,0)),""))</f>
        <v/>
      </c>
      <c r="AC995" s="36" t="n"/>
      <c r="AD995" s="37" t="n"/>
      <c r="AE995" s="38" t="n"/>
      <c r="AF995" s="30">
        <f>IF(OR($B995="",$C995=""),"",$C995-$B995+1)</f>
        <v/>
      </c>
      <c r="AG995" s="32" t="n"/>
      <c r="AH995" s="36" t="n"/>
      <c r="AJ995">
        <f>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  <c r="AX995">
        <f>AW995&amp;IF($Y995="","",", "&amp;$Y995)</f>
        <v/>
      </c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0">
        <f>IF($F996="","",COUNTIF($F$5:$F996,$F996))</f>
        <v/>
      </c>
      <c r="H996" s="33">
        <f>IF($F996="","",IFERROR(INDEX(사건마스터!$B$5:$B$64,MATCH($F996,사건마스터!$A$5:$A$64,0)),""))</f>
        <v/>
      </c>
      <c r="I996" s="34">
        <f>IF($F996="","",IFERROR(INDEX(사건마스터!$C$5:$C$64,MATCH($F996,사건마스터!$A$5:$A$64,0)),""))</f>
        <v/>
      </c>
      <c r="J996" s="35">
        <f>IF($F996="","",IFERROR(INDEX(사건마스터!$H$5:$H$64,MATCH($F996,사건마스터!$A$5:$A$64,0)),""))</f>
        <v/>
      </c>
      <c r="K996" s="35">
        <f>IF($F996="","",IFERROR(INDEX(사건마스터!$AH$5:$AH$64,MATCH($F996,사건마스터!$A$5:$A$64,0)),""))</f>
        <v/>
      </c>
      <c r="L996" s="35">
        <f>IF($F996="","",IFERROR(INDEX(사건마스터!$AI$5:$AI$64,MATCH($F996,사건마스터!$A$5:$A$64,0)),""))</f>
        <v/>
      </c>
      <c r="M996" s="35">
        <f>IF($F996="","",IFERROR(INDEX(사건마스터!$AJ$5:$AJ$64,MATCH($F996,사건마스터!$A$5:$A$64,0)),""))</f>
        <v/>
      </c>
      <c r="N996" s="35">
        <f>IF($F996="","",IFERROR(INDEX(사건마스터!$AK$5:$AK$64,MATCH($F996,사건마스터!$A$5:$A$64,0)),""))</f>
        <v/>
      </c>
      <c r="O996" s="35">
        <f>IF($F996="","",IFERROR(INDEX(사건마스터!$AL$5:$AL$64,MATCH($F996,사건마스터!$A$5:$A$64,0)),""))</f>
        <v/>
      </c>
      <c r="P996" s="35">
        <f>IF($F996="","",IFERROR(INDEX(사건마스터!$AM$5:$AM$64,MATCH($F996,사건마스터!$A$5:$A$64,0)),""))</f>
        <v/>
      </c>
      <c r="Q996" s="35">
        <f>IF($F996="","",IFERROR(INDEX(사건마스터!$AN$5:$AN$64,MATCH($F996,사건마스터!$A$5:$A$64,0)),""))</f>
        <v/>
      </c>
      <c r="R996" s="35">
        <f>IF($F996="","",IFERROR(INDEX(사건마스터!$AO$5:$AO$64,MATCH($F996,사건마스터!$A$5:$A$64,0)),""))</f>
        <v/>
      </c>
      <c r="S996" s="35">
        <f>IF($F996="","",IFERROR(INDEX(사건마스터!$AP$5:$AP$64,MATCH($F996,사건마스터!$A$5:$A$64,0)),""))</f>
        <v/>
      </c>
      <c r="T996" s="35">
        <f>IF($F996="","",IFERROR(INDEX(사건마스터!$AQ$5:$AQ$64,MATCH($F996,사건마스터!$A$5:$A$64,0)),""))</f>
        <v/>
      </c>
      <c r="U996" s="35">
        <f>IF($F996="","",IFERROR(INDEX(사건마스터!$AR$5:$AR$64,MATCH($F996,사건마스터!$A$5:$A$64,0)),""))</f>
        <v/>
      </c>
      <c r="V996" s="35">
        <f>IF($F996="","",IFERROR(INDEX(사건마스터!$AS$5:$AS$64,MATCH($F996,사건마스터!$A$5:$A$64,0)),""))</f>
        <v/>
      </c>
      <c r="W996" s="35">
        <f>IF($F996="","",IFERROR(INDEX(사건마스터!$AT$5:$AT$64,MATCH($F996,사건마스터!$A$5:$A$64,0)),""))</f>
        <v/>
      </c>
      <c r="X996" s="35">
        <f>IF($F996="","",IFERROR(INDEX(사건마스터!$AU$5:$AU$64,MATCH($F996,사건마스터!$A$5:$A$64,0)),""))</f>
        <v/>
      </c>
      <c r="Y996" s="35">
        <f>IF($F996="","",IFERROR(INDEX(사건마스터!$AV$5:$AV$64,MATCH($F996,사건마스터!$A$5:$A$64,0)),""))</f>
        <v/>
      </c>
      <c r="Z996" s="30">
        <f>IF(COUNTBLANK($J996:$Y996)=16,"",16-COUNTBLANK($J996:$Y996))</f>
        <v/>
      </c>
      <c r="AA996" s="33">
        <f>IF($J996="",MID($AX996,3,255),$J996&amp;$AX996)</f>
        <v/>
      </c>
      <c r="AB996" s="34">
        <f>IF($J996="","",IFERROR(INDEX(코드설정!$D$5:$D$24,MATCH($J996,코드설정!$C$5:$C$24,0)),""))</f>
        <v/>
      </c>
      <c r="AC996" s="36" t="n"/>
      <c r="AD996" s="37" t="n"/>
      <c r="AE996" s="38" t="n"/>
      <c r="AF996" s="30">
        <f>IF(OR($B996="",$C996=""),"",$C996-$B996+1)</f>
        <v/>
      </c>
      <c r="AG996" s="32" t="n"/>
      <c r="AH996" s="36" t="n"/>
      <c r="AJ996">
        <f>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  <c r="AX996">
        <f>AW996&amp;IF($Y996="","",", "&amp;$Y996)</f>
        <v/>
      </c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0">
        <f>IF($F997="","",COUNTIF($F$5:$F997,$F997))</f>
        <v/>
      </c>
      <c r="H997" s="33">
        <f>IF($F997="","",IFERROR(INDEX(사건마스터!$B$5:$B$64,MATCH($F997,사건마스터!$A$5:$A$64,0)),""))</f>
        <v/>
      </c>
      <c r="I997" s="34">
        <f>IF($F997="","",IFERROR(INDEX(사건마스터!$C$5:$C$64,MATCH($F997,사건마스터!$A$5:$A$64,0)),""))</f>
        <v/>
      </c>
      <c r="J997" s="35">
        <f>IF($F997="","",IFERROR(INDEX(사건마스터!$H$5:$H$64,MATCH($F997,사건마스터!$A$5:$A$64,0)),""))</f>
        <v/>
      </c>
      <c r="K997" s="35">
        <f>IF($F997="","",IFERROR(INDEX(사건마스터!$AH$5:$AH$64,MATCH($F997,사건마스터!$A$5:$A$64,0)),""))</f>
        <v/>
      </c>
      <c r="L997" s="35">
        <f>IF($F997="","",IFERROR(INDEX(사건마스터!$AI$5:$AI$64,MATCH($F997,사건마스터!$A$5:$A$64,0)),""))</f>
        <v/>
      </c>
      <c r="M997" s="35">
        <f>IF($F997="","",IFERROR(INDEX(사건마스터!$AJ$5:$AJ$64,MATCH($F997,사건마스터!$A$5:$A$64,0)),""))</f>
        <v/>
      </c>
      <c r="N997" s="35">
        <f>IF($F997="","",IFERROR(INDEX(사건마스터!$AK$5:$AK$64,MATCH($F997,사건마스터!$A$5:$A$64,0)),""))</f>
        <v/>
      </c>
      <c r="O997" s="35">
        <f>IF($F997="","",IFERROR(INDEX(사건마스터!$AL$5:$AL$64,MATCH($F997,사건마스터!$A$5:$A$64,0)),""))</f>
        <v/>
      </c>
      <c r="P997" s="35">
        <f>IF($F997="","",IFERROR(INDEX(사건마스터!$AM$5:$AM$64,MATCH($F997,사건마스터!$A$5:$A$64,0)),""))</f>
        <v/>
      </c>
      <c r="Q997" s="35">
        <f>IF($F997="","",IFERROR(INDEX(사건마스터!$AN$5:$AN$64,MATCH($F997,사건마스터!$A$5:$A$64,0)),""))</f>
        <v/>
      </c>
      <c r="R997" s="35">
        <f>IF($F997="","",IFERROR(INDEX(사건마스터!$AO$5:$AO$64,MATCH($F997,사건마스터!$A$5:$A$64,0)),""))</f>
        <v/>
      </c>
      <c r="S997" s="35">
        <f>IF($F997="","",IFERROR(INDEX(사건마스터!$AP$5:$AP$64,MATCH($F997,사건마스터!$A$5:$A$64,0)),""))</f>
        <v/>
      </c>
      <c r="T997" s="35">
        <f>IF($F997="","",IFERROR(INDEX(사건마스터!$AQ$5:$AQ$64,MATCH($F997,사건마스터!$A$5:$A$64,0)),""))</f>
        <v/>
      </c>
      <c r="U997" s="35">
        <f>IF($F997="","",IFERROR(INDEX(사건마스터!$AR$5:$AR$64,MATCH($F997,사건마스터!$A$5:$A$64,0)),""))</f>
        <v/>
      </c>
      <c r="V997" s="35">
        <f>IF($F997="","",IFERROR(INDEX(사건마스터!$AS$5:$AS$64,MATCH($F997,사건마스터!$A$5:$A$64,0)),""))</f>
        <v/>
      </c>
      <c r="W997" s="35">
        <f>IF($F997="","",IFERROR(INDEX(사건마스터!$AT$5:$AT$64,MATCH($F997,사건마스터!$A$5:$A$64,0)),""))</f>
        <v/>
      </c>
      <c r="X997" s="35">
        <f>IF($F997="","",IFERROR(INDEX(사건마스터!$AU$5:$AU$64,MATCH($F997,사건마스터!$A$5:$A$64,0)),""))</f>
        <v/>
      </c>
      <c r="Y997" s="35">
        <f>IF($F997="","",IFERROR(INDEX(사건마스터!$AV$5:$AV$64,MATCH($F997,사건마스터!$A$5:$A$64,0)),""))</f>
        <v/>
      </c>
      <c r="Z997" s="30">
        <f>IF(COUNTBLANK($J997:$Y997)=16,"",16-COUNTBLANK($J997:$Y997))</f>
        <v/>
      </c>
      <c r="AA997" s="33">
        <f>IF($J997="",MID($AX997,3,255),$J997&amp;$AX997)</f>
        <v/>
      </c>
      <c r="AB997" s="34">
        <f>IF($J997="","",IFERROR(INDEX(코드설정!$D$5:$D$24,MATCH($J997,코드설정!$C$5:$C$24,0)),""))</f>
        <v/>
      </c>
      <c r="AC997" s="36" t="n"/>
      <c r="AD997" s="37" t="n"/>
      <c r="AE997" s="38" t="n"/>
      <c r="AF997" s="30">
        <f>IF(OR($B997="",$C997=""),"",$C997-$B997+1)</f>
        <v/>
      </c>
      <c r="AG997" s="32" t="n"/>
      <c r="AH997" s="36" t="n"/>
      <c r="AJ997">
        <f>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  <c r="AX997">
        <f>AW997&amp;IF($Y997="","",", "&amp;$Y997)</f>
        <v/>
      </c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0">
        <f>IF($F998="","",COUNTIF($F$5:$F998,$F998))</f>
        <v/>
      </c>
      <c r="H998" s="33">
        <f>IF($F998="","",IFERROR(INDEX(사건마스터!$B$5:$B$64,MATCH($F998,사건마스터!$A$5:$A$64,0)),""))</f>
        <v/>
      </c>
      <c r="I998" s="34">
        <f>IF($F998="","",IFERROR(INDEX(사건마스터!$C$5:$C$64,MATCH($F998,사건마스터!$A$5:$A$64,0)),""))</f>
        <v/>
      </c>
      <c r="J998" s="35">
        <f>IF($F998="","",IFERROR(INDEX(사건마스터!$H$5:$H$64,MATCH($F998,사건마스터!$A$5:$A$64,0)),""))</f>
        <v/>
      </c>
      <c r="K998" s="35">
        <f>IF($F998="","",IFERROR(INDEX(사건마스터!$AH$5:$AH$64,MATCH($F998,사건마스터!$A$5:$A$64,0)),""))</f>
        <v/>
      </c>
      <c r="L998" s="35">
        <f>IF($F998="","",IFERROR(INDEX(사건마스터!$AI$5:$AI$64,MATCH($F998,사건마스터!$A$5:$A$64,0)),""))</f>
        <v/>
      </c>
      <c r="M998" s="35">
        <f>IF($F998="","",IFERROR(INDEX(사건마스터!$AJ$5:$AJ$64,MATCH($F998,사건마스터!$A$5:$A$64,0)),""))</f>
        <v/>
      </c>
      <c r="N998" s="35">
        <f>IF($F998="","",IFERROR(INDEX(사건마스터!$AK$5:$AK$64,MATCH($F998,사건마스터!$A$5:$A$64,0)),""))</f>
        <v/>
      </c>
      <c r="O998" s="35">
        <f>IF($F998="","",IFERROR(INDEX(사건마스터!$AL$5:$AL$64,MATCH($F998,사건마스터!$A$5:$A$64,0)),""))</f>
        <v/>
      </c>
      <c r="P998" s="35">
        <f>IF($F998="","",IFERROR(INDEX(사건마스터!$AM$5:$AM$64,MATCH($F998,사건마스터!$A$5:$A$64,0)),""))</f>
        <v/>
      </c>
      <c r="Q998" s="35">
        <f>IF($F998="","",IFERROR(INDEX(사건마스터!$AN$5:$AN$64,MATCH($F998,사건마스터!$A$5:$A$64,0)),""))</f>
        <v/>
      </c>
      <c r="R998" s="35">
        <f>IF($F998="","",IFERROR(INDEX(사건마스터!$AO$5:$AO$64,MATCH($F998,사건마스터!$A$5:$A$64,0)),""))</f>
        <v/>
      </c>
      <c r="S998" s="35">
        <f>IF($F998="","",IFERROR(INDEX(사건마스터!$AP$5:$AP$64,MATCH($F998,사건마스터!$A$5:$A$64,0)),""))</f>
        <v/>
      </c>
      <c r="T998" s="35">
        <f>IF($F998="","",IFERROR(INDEX(사건마스터!$AQ$5:$AQ$64,MATCH($F998,사건마스터!$A$5:$A$64,0)),""))</f>
        <v/>
      </c>
      <c r="U998" s="35">
        <f>IF($F998="","",IFERROR(INDEX(사건마스터!$AR$5:$AR$64,MATCH($F998,사건마스터!$A$5:$A$64,0)),""))</f>
        <v/>
      </c>
      <c r="V998" s="35">
        <f>IF($F998="","",IFERROR(INDEX(사건마스터!$AS$5:$AS$64,MATCH($F998,사건마스터!$A$5:$A$64,0)),""))</f>
        <v/>
      </c>
      <c r="W998" s="35">
        <f>IF($F998="","",IFERROR(INDEX(사건마스터!$AT$5:$AT$64,MATCH($F998,사건마스터!$A$5:$A$64,0)),""))</f>
        <v/>
      </c>
      <c r="X998" s="35">
        <f>IF($F998="","",IFERROR(INDEX(사건마스터!$AU$5:$AU$64,MATCH($F998,사건마스터!$A$5:$A$64,0)),""))</f>
        <v/>
      </c>
      <c r="Y998" s="35">
        <f>IF($F998="","",IFERROR(INDEX(사건마스터!$AV$5:$AV$64,MATCH($F998,사건마스터!$A$5:$A$64,0)),""))</f>
        <v/>
      </c>
      <c r="Z998" s="30">
        <f>IF(COUNTBLANK($J998:$Y998)=16,"",16-COUNTBLANK($J998:$Y998))</f>
        <v/>
      </c>
      <c r="AA998" s="33">
        <f>IF($J998="",MID($AX998,3,255),$J998&amp;$AX998)</f>
        <v/>
      </c>
      <c r="AB998" s="34">
        <f>IF($J998="","",IFERROR(INDEX(코드설정!$D$5:$D$24,MATCH($J998,코드설정!$C$5:$C$24,0)),""))</f>
        <v/>
      </c>
      <c r="AC998" s="36" t="n"/>
      <c r="AD998" s="37" t="n"/>
      <c r="AE998" s="38" t="n"/>
      <c r="AF998" s="30">
        <f>IF(OR($B998="",$C998=""),"",$C998-$B998+1)</f>
        <v/>
      </c>
      <c r="AG998" s="32" t="n"/>
      <c r="AH998" s="36" t="n"/>
      <c r="AJ998">
        <f>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  <c r="AX998">
        <f>AW998&amp;IF($Y998="","",", "&amp;$Y998)</f>
        <v/>
      </c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0">
        <f>IF($F999="","",COUNTIF($F$5:$F999,$F999))</f>
        <v/>
      </c>
      <c r="H999" s="33">
        <f>IF($F999="","",IFERROR(INDEX(사건마스터!$B$5:$B$64,MATCH($F999,사건마스터!$A$5:$A$64,0)),""))</f>
        <v/>
      </c>
      <c r="I999" s="34">
        <f>IF($F999="","",IFERROR(INDEX(사건마스터!$C$5:$C$64,MATCH($F999,사건마스터!$A$5:$A$64,0)),""))</f>
        <v/>
      </c>
      <c r="J999" s="35">
        <f>IF($F999="","",IFERROR(INDEX(사건마스터!$H$5:$H$64,MATCH($F999,사건마스터!$A$5:$A$64,0)),""))</f>
        <v/>
      </c>
      <c r="K999" s="35">
        <f>IF($F999="","",IFERROR(INDEX(사건마스터!$AH$5:$AH$64,MATCH($F999,사건마스터!$A$5:$A$64,0)),""))</f>
        <v/>
      </c>
      <c r="L999" s="35">
        <f>IF($F999="","",IFERROR(INDEX(사건마스터!$AI$5:$AI$64,MATCH($F999,사건마스터!$A$5:$A$64,0)),""))</f>
        <v/>
      </c>
      <c r="M999" s="35">
        <f>IF($F999="","",IFERROR(INDEX(사건마스터!$AJ$5:$AJ$64,MATCH($F999,사건마스터!$A$5:$A$64,0)),""))</f>
        <v/>
      </c>
      <c r="N999" s="35">
        <f>IF($F999="","",IFERROR(INDEX(사건마스터!$AK$5:$AK$64,MATCH($F999,사건마스터!$A$5:$A$64,0)),""))</f>
        <v/>
      </c>
      <c r="O999" s="35">
        <f>IF($F999="","",IFERROR(INDEX(사건마스터!$AL$5:$AL$64,MATCH($F999,사건마스터!$A$5:$A$64,0)),""))</f>
        <v/>
      </c>
      <c r="P999" s="35">
        <f>IF($F999="","",IFERROR(INDEX(사건마스터!$AM$5:$AM$64,MATCH($F999,사건마스터!$A$5:$A$64,0)),""))</f>
        <v/>
      </c>
      <c r="Q999" s="35">
        <f>IF($F999="","",IFERROR(INDEX(사건마스터!$AN$5:$AN$64,MATCH($F999,사건마스터!$A$5:$A$64,0)),""))</f>
        <v/>
      </c>
      <c r="R999" s="35">
        <f>IF($F999="","",IFERROR(INDEX(사건마스터!$AO$5:$AO$64,MATCH($F999,사건마스터!$A$5:$A$64,0)),""))</f>
        <v/>
      </c>
      <c r="S999" s="35">
        <f>IF($F999="","",IFERROR(INDEX(사건마스터!$AP$5:$AP$64,MATCH($F999,사건마스터!$A$5:$A$64,0)),""))</f>
        <v/>
      </c>
      <c r="T999" s="35">
        <f>IF($F999="","",IFERROR(INDEX(사건마스터!$AQ$5:$AQ$64,MATCH($F999,사건마스터!$A$5:$A$64,0)),""))</f>
        <v/>
      </c>
      <c r="U999" s="35">
        <f>IF($F999="","",IFERROR(INDEX(사건마스터!$AR$5:$AR$64,MATCH($F999,사건마스터!$A$5:$A$64,0)),""))</f>
        <v/>
      </c>
      <c r="V999" s="35">
        <f>IF($F999="","",IFERROR(INDEX(사건마스터!$AS$5:$AS$64,MATCH($F999,사건마스터!$A$5:$A$64,0)),""))</f>
        <v/>
      </c>
      <c r="W999" s="35">
        <f>IF($F999="","",IFERROR(INDEX(사건마스터!$AT$5:$AT$64,MATCH($F999,사건마스터!$A$5:$A$64,0)),""))</f>
        <v/>
      </c>
      <c r="X999" s="35">
        <f>IF($F999="","",IFERROR(INDEX(사건마스터!$AU$5:$AU$64,MATCH($F999,사건마스터!$A$5:$A$64,0)),""))</f>
        <v/>
      </c>
      <c r="Y999" s="35">
        <f>IF($F999="","",IFERROR(INDEX(사건마스터!$AV$5:$AV$64,MATCH($F999,사건마스터!$A$5:$A$64,0)),""))</f>
        <v/>
      </c>
      <c r="Z999" s="30">
        <f>IF(COUNTBLANK($J999:$Y999)=16,"",16-COUNTBLANK($J999:$Y999))</f>
        <v/>
      </c>
      <c r="AA999" s="33">
        <f>IF($J999="",MID($AX999,3,255),$J999&amp;$AX999)</f>
        <v/>
      </c>
      <c r="AB999" s="34">
        <f>IF($J999="","",IFERROR(INDEX(코드설정!$D$5:$D$24,MATCH($J999,코드설정!$C$5:$C$24,0)),""))</f>
        <v/>
      </c>
      <c r="AC999" s="36" t="n"/>
      <c r="AD999" s="37" t="n"/>
      <c r="AE999" s="38" t="n"/>
      <c r="AF999" s="30">
        <f>IF(OR($B999="",$C999=""),"",$C999-$B999+1)</f>
        <v/>
      </c>
      <c r="AG999" s="32" t="n"/>
      <c r="AH999" s="36" t="n"/>
      <c r="AJ999">
        <f>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  <c r="AX999">
        <f>AW999&amp;IF($Y999="","",", "&amp;$Y999)</f>
        <v/>
      </c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0">
        <f>IF($F1000="","",COUNTIF($F$5:$F1000,$F1000))</f>
        <v/>
      </c>
      <c r="H1000" s="33">
        <f>IF($F1000="","",IFERROR(INDEX(사건마스터!$B$5:$B$64,MATCH($F1000,사건마스터!$A$5:$A$64,0)),""))</f>
        <v/>
      </c>
      <c r="I1000" s="34">
        <f>IF($F1000="","",IFERROR(INDEX(사건마스터!$C$5:$C$64,MATCH($F1000,사건마스터!$A$5:$A$64,0)),""))</f>
        <v/>
      </c>
      <c r="J1000" s="35">
        <f>IF($F1000="","",IFERROR(INDEX(사건마스터!$H$5:$H$64,MATCH($F1000,사건마스터!$A$5:$A$64,0)),""))</f>
        <v/>
      </c>
      <c r="K1000" s="35">
        <f>IF($F1000="","",IFERROR(INDEX(사건마스터!$AH$5:$AH$64,MATCH($F1000,사건마스터!$A$5:$A$64,0)),""))</f>
        <v/>
      </c>
      <c r="L1000" s="35">
        <f>IF($F1000="","",IFERROR(INDEX(사건마스터!$AI$5:$AI$64,MATCH($F1000,사건마스터!$A$5:$A$64,0)),""))</f>
        <v/>
      </c>
      <c r="M1000" s="35">
        <f>IF($F1000="","",IFERROR(INDEX(사건마스터!$AJ$5:$AJ$64,MATCH($F1000,사건마스터!$A$5:$A$64,0)),""))</f>
        <v/>
      </c>
      <c r="N1000" s="35">
        <f>IF($F1000="","",IFERROR(INDEX(사건마스터!$AK$5:$AK$64,MATCH($F1000,사건마스터!$A$5:$A$64,0)),""))</f>
        <v/>
      </c>
      <c r="O1000" s="35">
        <f>IF($F1000="","",IFERROR(INDEX(사건마스터!$AL$5:$AL$64,MATCH($F1000,사건마스터!$A$5:$A$64,0)),""))</f>
        <v/>
      </c>
      <c r="P1000" s="35">
        <f>IF($F1000="","",IFERROR(INDEX(사건마스터!$AM$5:$AM$64,MATCH($F1000,사건마스터!$A$5:$A$64,0)),""))</f>
        <v/>
      </c>
      <c r="Q1000" s="35">
        <f>IF($F1000="","",IFERROR(INDEX(사건마스터!$AN$5:$AN$64,MATCH($F1000,사건마스터!$A$5:$A$64,0)),""))</f>
        <v/>
      </c>
      <c r="R1000" s="35">
        <f>IF($F1000="","",IFERROR(INDEX(사건마스터!$AO$5:$AO$64,MATCH($F1000,사건마스터!$A$5:$A$64,0)),""))</f>
        <v/>
      </c>
      <c r="S1000" s="35">
        <f>IF($F1000="","",IFERROR(INDEX(사건마스터!$AP$5:$AP$64,MATCH($F1000,사건마스터!$A$5:$A$64,0)),""))</f>
        <v/>
      </c>
      <c r="T1000" s="35">
        <f>IF($F1000="","",IFERROR(INDEX(사건마스터!$AQ$5:$AQ$64,MATCH($F1000,사건마스터!$A$5:$A$64,0)),""))</f>
        <v/>
      </c>
      <c r="U1000" s="35">
        <f>IF($F1000="","",IFERROR(INDEX(사건마스터!$AR$5:$AR$64,MATCH($F1000,사건마스터!$A$5:$A$64,0)),""))</f>
        <v/>
      </c>
      <c r="V1000" s="35">
        <f>IF($F1000="","",IFERROR(INDEX(사건마스터!$AS$5:$AS$64,MATCH($F1000,사건마스터!$A$5:$A$64,0)),""))</f>
        <v/>
      </c>
      <c r="W1000" s="35">
        <f>IF($F1000="","",IFERROR(INDEX(사건마스터!$AT$5:$AT$64,MATCH($F1000,사건마스터!$A$5:$A$64,0)),""))</f>
        <v/>
      </c>
      <c r="X1000" s="35">
        <f>IF($F1000="","",IFERROR(INDEX(사건마스터!$AU$5:$AU$64,MATCH($F1000,사건마스터!$A$5:$A$64,0)),""))</f>
        <v/>
      </c>
      <c r="Y1000" s="35">
        <f>IF($F1000="","",IFERROR(INDEX(사건마스터!$AV$5:$AV$64,MATCH($F1000,사건마스터!$A$5:$A$64,0)),""))</f>
        <v/>
      </c>
      <c r="Z1000" s="30">
        <f>IF(COUNTBLANK($J1000:$Y1000)=16,"",16-COUNTBLANK($J1000:$Y1000))</f>
        <v/>
      </c>
      <c r="AA1000" s="33">
        <f>IF($J1000="",MID($AX1000,3,255),$J1000&amp;$AX1000)</f>
        <v/>
      </c>
      <c r="AB1000" s="34">
        <f>IF($J1000="","",IFERROR(INDEX(코드설정!$D$5:$D$24,MATCH($J1000,코드설정!$C$5:$C$24,0)),""))</f>
        <v/>
      </c>
      <c r="AC1000" s="36" t="n"/>
      <c r="AD1000" s="37" t="n"/>
      <c r="AE1000" s="38" t="n"/>
      <c r="AF1000" s="30">
        <f>IF(OR($B1000="",$C1000=""),"",$C1000-$B1000+1)</f>
        <v/>
      </c>
      <c r="AG1000" s="32" t="n"/>
      <c r="AH1000" s="36" t="n"/>
      <c r="AJ1000">
        <f>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  <c r="AX1000">
        <f>AW1000&amp;IF($Y1000="","",", "&amp;$Y1000)</f>
        <v/>
      </c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0">
        <f>IF($F1001="","",COUNTIF($F$5:$F1001,$F1001))</f>
        <v/>
      </c>
      <c r="H1001" s="33">
        <f>IF($F1001="","",IFERROR(INDEX(사건마스터!$B$5:$B$64,MATCH($F1001,사건마스터!$A$5:$A$64,0)),""))</f>
        <v/>
      </c>
      <c r="I1001" s="34">
        <f>IF($F1001="","",IFERROR(INDEX(사건마스터!$C$5:$C$64,MATCH($F1001,사건마스터!$A$5:$A$64,0)),""))</f>
        <v/>
      </c>
      <c r="J1001" s="35">
        <f>IF($F1001="","",IFERROR(INDEX(사건마스터!$H$5:$H$64,MATCH($F1001,사건마스터!$A$5:$A$64,0)),""))</f>
        <v/>
      </c>
      <c r="K1001" s="35">
        <f>IF($F1001="","",IFERROR(INDEX(사건마스터!$AH$5:$AH$64,MATCH($F1001,사건마스터!$A$5:$A$64,0)),""))</f>
        <v/>
      </c>
      <c r="L1001" s="35">
        <f>IF($F1001="","",IFERROR(INDEX(사건마스터!$AI$5:$AI$64,MATCH($F1001,사건마스터!$A$5:$A$64,0)),""))</f>
        <v/>
      </c>
      <c r="M1001" s="35">
        <f>IF($F1001="","",IFERROR(INDEX(사건마스터!$AJ$5:$AJ$64,MATCH($F1001,사건마스터!$A$5:$A$64,0)),""))</f>
        <v/>
      </c>
      <c r="N1001" s="35">
        <f>IF($F1001="","",IFERROR(INDEX(사건마스터!$AK$5:$AK$64,MATCH($F1001,사건마스터!$A$5:$A$64,0)),""))</f>
        <v/>
      </c>
      <c r="O1001" s="35">
        <f>IF($F1001="","",IFERROR(INDEX(사건마스터!$AL$5:$AL$64,MATCH($F1001,사건마스터!$A$5:$A$64,0)),""))</f>
        <v/>
      </c>
      <c r="P1001" s="35">
        <f>IF($F1001="","",IFERROR(INDEX(사건마스터!$AM$5:$AM$64,MATCH($F1001,사건마스터!$A$5:$A$64,0)),""))</f>
        <v/>
      </c>
      <c r="Q1001" s="35">
        <f>IF($F1001="","",IFERROR(INDEX(사건마스터!$AN$5:$AN$64,MATCH($F1001,사건마스터!$A$5:$A$64,0)),""))</f>
        <v/>
      </c>
      <c r="R1001" s="35">
        <f>IF($F1001="","",IFERROR(INDEX(사건마스터!$AO$5:$AO$64,MATCH($F1001,사건마스터!$A$5:$A$64,0)),""))</f>
        <v/>
      </c>
      <c r="S1001" s="35">
        <f>IF($F1001="","",IFERROR(INDEX(사건마스터!$AP$5:$AP$64,MATCH($F1001,사건마스터!$A$5:$A$64,0)),""))</f>
        <v/>
      </c>
      <c r="T1001" s="35">
        <f>IF($F1001="","",IFERROR(INDEX(사건마스터!$AQ$5:$AQ$64,MATCH($F1001,사건마스터!$A$5:$A$64,0)),""))</f>
        <v/>
      </c>
      <c r="U1001" s="35">
        <f>IF($F1001="","",IFERROR(INDEX(사건마스터!$AR$5:$AR$64,MATCH($F1001,사건마스터!$A$5:$A$64,0)),""))</f>
        <v/>
      </c>
      <c r="V1001" s="35">
        <f>IF($F1001="","",IFERROR(INDEX(사건마스터!$AS$5:$AS$64,MATCH($F1001,사건마스터!$A$5:$A$64,0)),""))</f>
        <v/>
      </c>
      <c r="W1001" s="35">
        <f>IF($F1001="","",IFERROR(INDEX(사건마스터!$AT$5:$AT$64,MATCH($F1001,사건마스터!$A$5:$A$64,0)),""))</f>
        <v/>
      </c>
      <c r="X1001" s="35">
        <f>IF($F1001="","",IFERROR(INDEX(사건마스터!$AU$5:$AU$64,MATCH($F1001,사건마스터!$A$5:$A$64,0)),""))</f>
        <v/>
      </c>
      <c r="Y1001" s="35">
        <f>IF($F1001="","",IFERROR(INDEX(사건마스터!$AV$5:$AV$64,MATCH($F1001,사건마스터!$A$5:$A$64,0)),""))</f>
        <v/>
      </c>
      <c r="Z1001" s="30">
        <f>IF(COUNTBLANK($J1001:$Y1001)=16,"",16-COUNTBLANK($J1001:$Y1001))</f>
        <v/>
      </c>
      <c r="AA1001" s="33">
        <f>IF($J1001="",MID($AX1001,3,255),$J1001&amp;$AX1001)</f>
        <v/>
      </c>
      <c r="AB1001" s="34">
        <f>IF($J1001="","",IFERROR(INDEX(코드설정!$D$5:$D$24,MATCH($J1001,코드설정!$C$5:$C$24,0)),""))</f>
        <v/>
      </c>
      <c r="AC1001" s="36" t="n"/>
      <c r="AD1001" s="37" t="n"/>
      <c r="AE1001" s="38" t="n"/>
      <c r="AF1001" s="30">
        <f>IF(OR($B1001="",$C1001=""),"",$C1001-$B1001+1)</f>
        <v/>
      </c>
      <c r="AG1001" s="32" t="n"/>
      <c r="AH1001" s="36" t="n"/>
      <c r="AJ1001">
        <f>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  <c r="AX1001">
        <f>AW1001&amp;IF($Y1001="","",", "&amp;$Y1001)</f>
        <v/>
      </c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0">
        <f>IF($F1002="","",COUNTIF($F$5:$F1002,$F1002))</f>
        <v/>
      </c>
      <c r="H1002" s="33">
        <f>IF($F1002="","",IFERROR(INDEX(사건마스터!$B$5:$B$64,MATCH($F1002,사건마스터!$A$5:$A$64,0)),""))</f>
        <v/>
      </c>
      <c r="I1002" s="34">
        <f>IF($F1002="","",IFERROR(INDEX(사건마스터!$C$5:$C$64,MATCH($F1002,사건마스터!$A$5:$A$64,0)),""))</f>
        <v/>
      </c>
      <c r="J1002" s="35">
        <f>IF($F1002="","",IFERROR(INDEX(사건마스터!$H$5:$H$64,MATCH($F1002,사건마스터!$A$5:$A$64,0)),""))</f>
        <v/>
      </c>
      <c r="K1002" s="35">
        <f>IF($F1002="","",IFERROR(INDEX(사건마스터!$AH$5:$AH$64,MATCH($F1002,사건마스터!$A$5:$A$64,0)),""))</f>
        <v/>
      </c>
      <c r="L1002" s="35">
        <f>IF($F1002="","",IFERROR(INDEX(사건마스터!$AI$5:$AI$64,MATCH($F1002,사건마스터!$A$5:$A$64,0)),""))</f>
        <v/>
      </c>
      <c r="M1002" s="35">
        <f>IF($F1002="","",IFERROR(INDEX(사건마스터!$AJ$5:$AJ$64,MATCH($F1002,사건마스터!$A$5:$A$64,0)),""))</f>
        <v/>
      </c>
      <c r="N1002" s="35">
        <f>IF($F1002="","",IFERROR(INDEX(사건마스터!$AK$5:$AK$64,MATCH($F1002,사건마스터!$A$5:$A$64,0)),""))</f>
        <v/>
      </c>
      <c r="O1002" s="35">
        <f>IF($F1002="","",IFERROR(INDEX(사건마스터!$AL$5:$AL$64,MATCH($F1002,사건마스터!$A$5:$A$64,0)),""))</f>
        <v/>
      </c>
      <c r="P1002" s="35">
        <f>IF($F1002="","",IFERROR(INDEX(사건마스터!$AM$5:$AM$64,MATCH($F1002,사건마스터!$A$5:$A$64,0)),""))</f>
        <v/>
      </c>
      <c r="Q1002" s="35">
        <f>IF($F1002="","",IFERROR(INDEX(사건마스터!$AN$5:$AN$64,MATCH($F1002,사건마스터!$A$5:$A$64,0)),""))</f>
        <v/>
      </c>
      <c r="R1002" s="35">
        <f>IF($F1002="","",IFERROR(INDEX(사건마스터!$AO$5:$AO$64,MATCH($F1002,사건마스터!$A$5:$A$64,0)),""))</f>
        <v/>
      </c>
      <c r="S1002" s="35">
        <f>IF($F1002="","",IFERROR(INDEX(사건마스터!$AP$5:$AP$64,MATCH($F1002,사건마스터!$A$5:$A$64,0)),""))</f>
        <v/>
      </c>
      <c r="T1002" s="35">
        <f>IF($F1002="","",IFERROR(INDEX(사건마스터!$AQ$5:$AQ$64,MATCH($F1002,사건마스터!$A$5:$A$64,0)),""))</f>
        <v/>
      </c>
      <c r="U1002" s="35">
        <f>IF($F1002="","",IFERROR(INDEX(사건마스터!$AR$5:$AR$64,MATCH($F1002,사건마스터!$A$5:$A$64,0)),""))</f>
        <v/>
      </c>
      <c r="V1002" s="35">
        <f>IF($F1002="","",IFERROR(INDEX(사건마스터!$AS$5:$AS$64,MATCH($F1002,사건마스터!$A$5:$A$64,0)),""))</f>
        <v/>
      </c>
      <c r="W1002" s="35">
        <f>IF($F1002="","",IFERROR(INDEX(사건마스터!$AT$5:$AT$64,MATCH($F1002,사건마스터!$A$5:$A$64,0)),""))</f>
        <v/>
      </c>
      <c r="X1002" s="35">
        <f>IF($F1002="","",IFERROR(INDEX(사건마스터!$AU$5:$AU$64,MATCH($F1002,사건마스터!$A$5:$A$64,0)),""))</f>
        <v/>
      </c>
      <c r="Y1002" s="35">
        <f>IF($F1002="","",IFERROR(INDEX(사건마스터!$AV$5:$AV$64,MATCH($F1002,사건마스터!$A$5:$A$64,0)),""))</f>
        <v/>
      </c>
      <c r="Z1002" s="30">
        <f>IF(COUNTBLANK($J1002:$Y1002)=16,"",16-COUNTBLANK($J1002:$Y1002))</f>
        <v/>
      </c>
      <c r="AA1002" s="33">
        <f>IF($J1002="",MID($AX1002,3,255),$J1002&amp;$AX1002)</f>
        <v/>
      </c>
      <c r="AB1002" s="34">
        <f>IF($J1002="","",IFERROR(INDEX(코드설정!$D$5:$D$24,MATCH($J1002,코드설정!$C$5:$C$24,0)),""))</f>
        <v/>
      </c>
      <c r="AC1002" s="36" t="n"/>
      <c r="AD1002" s="37" t="n"/>
      <c r="AE1002" s="38" t="n"/>
      <c r="AF1002" s="30">
        <f>IF(OR($B1002="",$C1002=""),"",$C1002-$B1002+1)</f>
        <v/>
      </c>
      <c r="AG1002" s="32" t="n"/>
      <c r="AH1002" s="36" t="n"/>
      <c r="AJ1002">
        <f>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  <c r="AX1002">
        <f>AW1002&amp;IF($Y1002="","",", "&amp;$Y1002)</f>
        <v/>
      </c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0">
        <f>IF($F1003="","",COUNTIF($F$5:$F1003,$F1003))</f>
        <v/>
      </c>
      <c r="H1003" s="33">
        <f>IF($F1003="","",IFERROR(INDEX(사건마스터!$B$5:$B$64,MATCH($F1003,사건마스터!$A$5:$A$64,0)),""))</f>
        <v/>
      </c>
      <c r="I1003" s="34">
        <f>IF($F1003="","",IFERROR(INDEX(사건마스터!$C$5:$C$64,MATCH($F1003,사건마스터!$A$5:$A$64,0)),""))</f>
        <v/>
      </c>
      <c r="J1003" s="35">
        <f>IF($F1003="","",IFERROR(INDEX(사건마스터!$H$5:$H$64,MATCH($F1003,사건마스터!$A$5:$A$64,0)),""))</f>
        <v/>
      </c>
      <c r="K1003" s="35">
        <f>IF($F1003="","",IFERROR(INDEX(사건마스터!$AH$5:$AH$64,MATCH($F1003,사건마스터!$A$5:$A$64,0)),""))</f>
        <v/>
      </c>
      <c r="L1003" s="35">
        <f>IF($F1003="","",IFERROR(INDEX(사건마스터!$AI$5:$AI$64,MATCH($F1003,사건마스터!$A$5:$A$64,0)),""))</f>
        <v/>
      </c>
      <c r="M1003" s="35">
        <f>IF($F1003="","",IFERROR(INDEX(사건마스터!$AJ$5:$AJ$64,MATCH($F1003,사건마스터!$A$5:$A$64,0)),""))</f>
        <v/>
      </c>
      <c r="N1003" s="35">
        <f>IF($F1003="","",IFERROR(INDEX(사건마스터!$AK$5:$AK$64,MATCH($F1003,사건마스터!$A$5:$A$64,0)),""))</f>
        <v/>
      </c>
      <c r="O1003" s="35">
        <f>IF($F1003="","",IFERROR(INDEX(사건마스터!$AL$5:$AL$64,MATCH($F1003,사건마스터!$A$5:$A$64,0)),""))</f>
        <v/>
      </c>
      <c r="P1003" s="35">
        <f>IF($F1003="","",IFERROR(INDEX(사건마스터!$AM$5:$AM$64,MATCH($F1003,사건마스터!$A$5:$A$64,0)),""))</f>
        <v/>
      </c>
      <c r="Q1003" s="35">
        <f>IF($F1003="","",IFERROR(INDEX(사건마스터!$AN$5:$AN$64,MATCH($F1003,사건마스터!$A$5:$A$64,0)),""))</f>
        <v/>
      </c>
      <c r="R1003" s="35">
        <f>IF($F1003="","",IFERROR(INDEX(사건마스터!$AO$5:$AO$64,MATCH($F1003,사건마스터!$A$5:$A$64,0)),""))</f>
        <v/>
      </c>
      <c r="S1003" s="35">
        <f>IF($F1003="","",IFERROR(INDEX(사건마스터!$AP$5:$AP$64,MATCH($F1003,사건마스터!$A$5:$A$64,0)),""))</f>
        <v/>
      </c>
      <c r="T1003" s="35">
        <f>IF($F1003="","",IFERROR(INDEX(사건마스터!$AQ$5:$AQ$64,MATCH($F1003,사건마스터!$A$5:$A$64,0)),""))</f>
        <v/>
      </c>
      <c r="U1003" s="35">
        <f>IF($F1003="","",IFERROR(INDEX(사건마스터!$AR$5:$AR$64,MATCH($F1003,사건마스터!$A$5:$A$64,0)),""))</f>
        <v/>
      </c>
      <c r="V1003" s="35">
        <f>IF($F1003="","",IFERROR(INDEX(사건마스터!$AS$5:$AS$64,MATCH($F1003,사건마스터!$A$5:$A$64,0)),""))</f>
        <v/>
      </c>
      <c r="W1003" s="35">
        <f>IF($F1003="","",IFERROR(INDEX(사건마스터!$AT$5:$AT$64,MATCH($F1003,사건마스터!$A$5:$A$64,0)),""))</f>
        <v/>
      </c>
      <c r="X1003" s="35">
        <f>IF($F1003="","",IFERROR(INDEX(사건마스터!$AU$5:$AU$64,MATCH($F1003,사건마스터!$A$5:$A$64,0)),""))</f>
        <v/>
      </c>
      <c r="Y1003" s="35">
        <f>IF($F1003="","",IFERROR(INDEX(사건마스터!$AV$5:$AV$64,MATCH($F1003,사건마스터!$A$5:$A$64,0)),""))</f>
        <v/>
      </c>
      <c r="Z1003" s="30">
        <f>IF(COUNTBLANK($J1003:$Y1003)=16,"",16-COUNTBLANK($J1003:$Y1003))</f>
        <v/>
      </c>
      <c r="AA1003" s="33">
        <f>IF($J1003="",MID($AX1003,3,255),$J1003&amp;$AX1003)</f>
        <v/>
      </c>
      <c r="AB1003" s="34">
        <f>IF($J1003="","",IFERROR(INDEX(코드설정!$D$5:$D$24,MATCH($J1003,코드설정!$C$5:$C$24,0)),""))</f>
        <v/>
      </c>
      <c r="AC1003" s="36" t="n"/>
      <c r="AD1003" s="37" t="n"/>
      <c r="AE1003" s="38" t="n"/>
      <c r="AF1003" s="30">
        <f>IF(OR($B1003="",$C1003=""),"",$C1003-$B1003+1)</f>
        <v/>
      </c>
      <c r="AG1003" s="32" t="n"/>
      <c r="AH1003" s="36" t="n"/>
      <c r="AJ1003">
        <f>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  <c r="AX1003">
        <f>AW1003&amp;IF($Y1003="","",", "&amp;$Y1003)</f>
        <v/>
      </c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0">
        <f>IF($F1004="","",COUNTIF($F$5:$F1004,$F1004))</f>
        <v/>
      </c>
      <c r="H1004" s="33">
        <f>IF($F1004="","",IFERROR(INDEX(사건마스터!$B$5:$B$64,MATCH($F1004,사건마스터!$A$5:$A$64,0)),""))</f>
        <v/>
      </c>
      <c r="I1004" s="34">
        <f>IF($F1004="","",IFERROR(INDEX(사건마스터!$C$5:$C$64,MATCH($F1004,사건마스터!$A$5:$A$64,0)),""))</f>
        <v/>
      </c>
      <c r="J1004" s="35">
        <f>IF($F1004="","",IFERROR(INDEX(사건마스터!$H$5:$H$64,MATCH($F1004,사건마스터!$A$5:$A$64,0)),""))</f>
        <v/>
      </c>
      <c r="K1004" s="35">
        <f>IF($F1004="","",IFERROR(INDEX(사건마스터!$AH$5:$AH$64,MATCH($F1004,사건마스터!$A$5:$A$64,0)),""))</f>
        <v/>
      </c>
      <c r="L1004" s="35">
        <f>IF($F1004="","",IFERROR(INDEX(사건마스터!$AI$5:$AI$64,MATCH($F1004,사건마스터!$A$5:$A$64,0)),""))</f>
        <v/>
      </c>
      <c r="M1004" s="35">
        <f>IF($F1004="","",IFERROR(INDEX(사건마스터!$AJ$5:$AJ$64,MATCH($F1004,사건마스터!$A$5:$A$64,0)),""))</f>
        <v/>
      </c>
      <c r="N1004" s="35">
        <f>IF($F1004="","",IFERROR(INDEX(사건마스터!$AK$5:$AK$64,MATCH($F1004,사건마스터!$A$5:$A$64,0)),""))</f>
        <v/>
      </c>
      <c r="O1004" s="35">
        <f>IF($F1004="","",IFERROR(INDEX(사건마스터!$AL$5:$AL$64,MATCH($F1004,사건마스터!$A$5:$A$64,0)),""))</f>
        <v/>
      </c>
      <c r="P1004" s="35">
        <f>IF($F1004="","",IFERROR(INDEX(사건마스터!$AM$5:$AM$64,MATCH($F1004,사건마스터!$A$5:$A$64,0)),""))</f>
        <v/>
      </c>
      <c r="Q1004" s="35">
        <f>IF($F1004="","",IFERROR(INDEX(사건마스터!$AN$5:$AN$64,MATCH($F1004,사건마스터!$A$5:$A$64,0)),""))</f>
        <v/>
      </c>
      <c r="R1004" s="35">
        <f>IF($F1004="","",IFERROR(INDEX(사건마스터!$AO$5:$AO$64,MATCH($F1004,사건마스터!$A$5:$A$64,0)),""))</f>
        <v/>
      </c>
      <c r="S1004" s="35">
        <f>IF($F1004="","",IFERROR(INDEX(사건마스터!$AP$5:$AP$64,MATCH($F1004,사건마스터!$A$5:$A$64,0)),""))</f>
        <v/>
      </c>
      <c r="T1004" s="35">
        <f>IF($F1004="","",IFERROR(INDEX(사건마스터!$AQ$5:$AQ$64,MATCH($F1004,사건마스터!$A$5:$A$64,0)),""))</f>
        <v/>
      </c>
      <c r="U1004" s="35">
        <f>IF($F1004="","",IFERROR(INDEX(사건마스터!$AR$5:$AR$64,MATCH($F1004,사건마스터!$A$5:$A$64,0)),""))</f>
        <v/>
      </c>
      <c r="V1004" s="35">
        <f>IF($F1004="","",IFERROR(INDEX(사건마스터!$AS$5:$AS$64,MATCH($F1004,사건마스터!$A$5:$A$64,0)),""))</f>
        <v/>
      </c>
      <c r="W1004" s="35">
        <f>IF($F1004="","",IFERROR(INDEX(사건마스터!$AT$5:$AT$64,MATCH($F1004,사건마스터!$A$5:$A$64,0)),""))</f>
        <v/>
      </c>
      <c r="X1004" s="35">
        <f>IF($F1004="","",IFERROR(INDEX(사건마스터!$AU$5:$AU$64,MATCH($F1004,사건마스터!$A$5:$A$64,0)),""))</f>
        <v/>
      </c>
      <c r="Y1004" s="35">
        <f>IF($F1004="","",IFERROR(INDEX(사건마스터!$AV$5:$AV$64,MATCH($F1004,사건마스터!$A$5:$A$64,0)),""))</f>
        <v/>
      </c>
      <c r="Z1004" s="30">
        <f>IF(COUNTBLANK($J1004:$Y1004)=16,"",16-COUNTBLANK($J1004:$Y1004))</f>
        <v/>
      </c>
      <c r="AA1004" s="33">
        <f>IF($J1004="",MID($AX1004,3,255),$J1004&amp;$AX1004)</f>
        <v/>
      </c>
      <c r="AB1004" s="34">
        <f>IF($J1004="","",IFERROR(INDEX(코드설정!$D$5:$D$24,MATCH($J1004,코드설정!$C$5:$C$24,0)),""))</f>
        <v/>
      </c>
      <c r="AC1004" s="36" t="n"/>
      <c r="AD1004" s="37" t="n"/>
      <c r="AE1004" s="38" t="n"/>
      <c r="AF1004" s="30">
        <f>IF(OR($B1004="",$C1004=""),"",$C1004-$B1004+1)</f>
        <v/>
      </c>
      <c r="AG1004" s="32" t="n"/>
      <c r="AH1004" s="36" t="n"/>
      <c r="AJ1004">
        <f>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  <c r="AX1004">
        <f>AW1004&amp;IF($Y1004="","",", "&amp;$Y1004)</f>
        <v/>
      </c>
    </row>
  </sheetData>
  <autoFilter ref="A4:AH1004"/>
  <conditionalFormatting sqref="A5:AH1004">
    <cfRule type="expression" priority="1" dxfId="2" stopIfTrue="0">
      <formula>AND($B5&lt;&gt;"",$AG5="완료")</formula>
    </cfRule>
    <cfRule type="expression" priority="2" dxfId="3" stopIfTrue="0">
      <formula>AND($B5&lt;&gt;"",$AG5="보류")</formula>
    </cfRule>
    <cfRule type="expression" priority="3" dxfId="4" stopIfTrue="0">
      <formula>AND($B5&lt;&gt;"",$AG5&lt;&gt;"완료",$C5&lt;&gt;"",$C5&lt;TODAY())</formula>
    </cfRule>
  </conditionalFormatting>
  <dataValidations count="5">
    <dataValidation sqref="D5:D1004" showDropDown="0" showInputMessage="0" showErrorMessage="0" allowBlank="1" type="list">
      <formula1>목록_직무구분</formula1>
    </dataValidation>
    <dataValidation sqref="E5:E1004" showDropDown="0" showInputMessage="0" showErrorMessage="0" allowBlank="1" type="list">
      <formula1>목록_세부유형</formula1>
    </dataValidation>
    <dataValidation sqref="F5:F1004" showDropDown="0" showInputMessage="0" showErrorMessage="0" allowBlank="1" type="list">
      <formula1>목록_사건번호</formula1>
    </dataValidation>
    <dataValidation sqref="J5:Y1004" showDropDown="0" showInputMessage="0" showErrorMessage="0" allowBlank="1" type="list">
      <formula1>목록_담당자</formula1>
    </dataValidation>
    <dataValidation sqref="AG5:AG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목록_담당자</formula1>
    </dataValidation>
    <dataValidation sqref="F5:F1004" showDropDown="0" showInputMessage="0" showErrorMessage="0" allowBlank="1" type="list">
      <formula1>목록_일일구분</formula1>
    </dataValidation>
    <dataValidation sqref="G5:G1004" showDropDown="0" showInputMessage="0" showErrorMessage="0" allowBlank="1" type="list">
      <formula1>목록_사건번호</formula1>
    </dataValidation>
    <dataValidation sqref="J5:J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IF($A5="","",20-COUNTBLANK($L5:$AE5))</f>
        <v/>
      </c>
      <c r="H5" s="44">
        <f>IF($A5="","",IFERROR(INDEX($L$4:$AE$4,MATCH("주담당",$L5:$AE5,0)),""))</f>
        <v/>
      </c>
      <c r="I5" s="45">
        <f>IF($A5="","",IF($H5="",$AG5,$H5&amp;IF($AG5="","",", "&amp;$AG5)))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IF($A6="","",20-COUNTBLANK($L6:$AE6))</f>
        <v/>
      </c>
      <c r="H6" s="44">
        <f>IF($A6="","",IFERROR(INDEX($L$4:$AE$4,MATCH("주담당",$L6:$AE6,0)),""))</f>
        <v/>
      </c>
      <c r="I6" s="45">
        <f>IF($A6="","",IF($H6="",$AG6,$H6&amp;IF($AG6="","",", "&amp;$AG6)))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IF($A7="","",20-COUNTBLANK($L7:$AE7))</f>
        <v/>
      </c>
      <c r="H7" s="44">
        <f>IF($A7="","",IFERROR(INDEX($L$4:$AE$4,MATCH("주담당",$L7:$AE7,0)),""))</f>
        <v/>
      </c>
      <c r="I7" s="45">
        <f>IF($A7="","",IF($H7="",$AG7,$H7&amp;IF($AG7="","",", "&amp;$AG7)))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IF($A8="","",20-COUNTBLANK($L8:$AE8))</f>
        <v/>
      </c>
      <c r="H8" s="44">
        <f>IF($A8="","",IFERROR(INDEX($L$4:$AE$4,MATCH("주담당",$L8:$AE8,0)),""))</f>
        <v/>
      </c>
      <c r="I8" s="45">
        <f>IF($A8="","",IF($H8="",$AG8,$H8&amp;IF($AG8="","",", "&amp;$AG8)))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IF($A9="","",20-COUNTBLANK($L9:$AE9))</f>
        <v/>
      </c>
      <c r="H9" s="44">
        <f>IF($A9="","",IFERROR(INDEX($L$4:$AE$4,MATCH("주담당",$L9:$AE9,0)),""))</f>
        <v/>
      </c>
      <c r="I9" s="45">
        <f>IF($A9="","",IF($H9="",$AG9,$H9&amp;IF($AG9="","",", "&amp;$AG9)))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IF($A10="","",20-COUNTBLANK($L10:$AE10))</f>
        <v/>
      </c>
      <c r="H10" s="44">
        <f>IF($A10="","",IFERROR(INDEX($L$4:$AE$4,MATCH("주담당",$L10:$AE10,0)),""))</f>
        <v/>
      </c>
      <c r="I10" s="45">
        <f>IF($A10="","",IF($H10="",$AG10,$H10&amp;IF($AG10="","",", "&amp;$AG10)))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IF($A11="","",20-COUNTBLANK($L11:$AE11))</f>
        <v/>
      </c>
      <c r="H11" s="44">
        <f>IF($A11="","",IFERROR(INDEX($L$4:$AE$4,MATCH("주담당",$L11:$AE11,0)),""))</f>
        <v/>
      </c>
      <c r="I11" s="45">
        <f>IF($A11="","",IF($H11="",$AG11,$H11&amp;IF($AG11="","",", "&amp;$AG11)))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IF($A12="","",20-COUNTBLANK($L12:$AE12))</f>
        <v/>
      </c>
      <c r="H12" s="44">
        <f>IF($A12="","",IFERROR(INDEX($L$4:$AE$4,MATCH("주담당",$L12:$AE12,0)),""))</f>
        <v/>
      </c>
      <c r="I12" s="45">
        <f>IF($A12="","",IF($H12="",$AG12,$H12&amp;IF($AG12="","",", "&amp;$AG12)))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IF($A13="","",20-COUNTBLANK($L13:$AE13))</f>
        <v/>
      </c>
      <c r="H13" s="44">
        <f>IF($A13="","",IFERROR(INDEX($L$4:$AE$4,MATCH("주담당",$L13:$AE13,0)),""))</f>
        <v/>
      </c>
      <c r="I13" s="45">
        <f>IF($A13="","",IF($H13="",$AG13,$H13&amp;IF($AG13="","",", "&amp;$AG13)))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IF($A14="","",20-COUNTBLANK($L14:$AE14))</f>
        <v/>
      </c>
      <c r="H14" s="44">
        <f>IF($A14="","",IFERROR(INDEX($L$4:$AE$4,MATCH("주담당",$L14:$AE14,0)),""))</f>
        <v/>
      </c>
      <c r="I14" s="45">
        <f>IF($A14="","",IF($H14="",$AG14,$H14&amp;IF($AG14="","",", "&amp;$AG14)))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IF($A15="","",20-COUNTBLANK($L15:$AE15))</f>
        <v/>
      </c>
      <c r="H15" s="44">
        <f>IF($A15="","",IFERROR(INDEX($L$4:$AE$4,MATCH("주담당",$L15:$AE15,0)),""))</f>
        <v/>
      </c>
      <c r="I15" s="45">
        <f>IF($A15="","",IF($H15="",$AG15,$H15&amp;IF($AG15="","",", "&amp;$AG15)))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IF($A16="","",20-COUNTBLANK($L16:$AE16))</f>
        <v/>
      </c>
      <c r="H16" s="44">
        <f>IF($A16="","",IFERROR(INDEX($L$4:$AE$4,MATCH("주담당",$L16:$AE16,0)),""))</f>
        <v/>
      </c>
      <c r="I16" s="45">
        <f>IF($A16="","",IF($H16="",$AG16,$H16&amp;IF($AG16="","",", "&amp;$AG16)))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IF($A17="","",20-COUNTBLANK($L17:$AE17))</f>
        <v/>
      </c>
      <c r="H17" s="44">
        <f>IF($A17="","",IFERROR(INDEX($L$4:$AE$4,MATCH("주담당",$L17:$AE17,0)),""))</f>
        <v/>
      </c>
      <c r="I17" s="45">
        <f>IF($A17="","",IF($H17="",$AG17,$H17&amp;IF($AG17="","",", "&amp;$AG17)))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IF($A18="","",20-COUNTBLANK($L18:$AE18))</f>
        <v/>
      </c>
      <c r="H18" s="44">
        <f>IF($A18="","",IFERROR(INDEX($L$4:$AE$4,MATCH("주담당",$L18:$AE18,0)),""))</f>
        <v/>
      </c>
      <c r="I18" s="45">
        <f>IF($A18="","",IF($H18="",$AG18,$H18&amp;IF($AG18="","",", "&amp;$AG18)))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IF($A19="","",20-COUNTBLANK($L19:$AE19))</f>
        <v/>
      </c>
      <c r="H19" s="44">
        <f>IF($A19="","",IFERROR(INDEX($L$4:$AE$4,MATCH("주담당",$L19:$AE19,0)),""))</f>
        <v/>
      </c>
      <c r="I19" s="45">
        <f>IF($A19="","",IF($H19="",$AG19,$H19&amp;IF($AG19="","",", "&amp;$AG19)))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IF($A20="","",20-COUNTBLANK($L20:$AE20))</f>
        <v/>
      </c>
      <c r="H20" s="44">
        <f>IF($A20="","",IFERROR(INDEX($L$4:$AE$4,MATCH("주담당",$L20:$AE20,0)),""))</f>
        <v/>
      </c>
      <c r="I20" s="45">
        <f>IF($A20="","",IF($H20="",$AG20,$H20&amp;IF($AG20="","",", "&amp;$AG20)))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IF($A21="","",20-COUNTBLANK($L21:$AE21))</f>
        <v/>
      </c>
      <c r="H21" s="44">
        <f>IF($A21="","",IFERROR(INDEX($L$4:$AE$4,MATCH("주담당",$L21:$AE21,0)),""))</f>
        <v/>
      </c>
      <c r="I21" s="45">
        <f>IF($A21="","",IF($H21="",$AG21,$H21&amp;IF($AG21="","",", "&amp;$AG21)))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IF($A22="","",20-COUNTBLANK($L22:$AE22))</f>
        <v/>
      </c>
      <c r="H22" s="44">
        <f>IF($A22="","",IFERROR(INDEX($L$4:$AE$4,MATCH("주담당",$L22:$AE22,0)),""))</f>
        <v/>
      </c>
      <c r="I22" s="45">
        <f>IF($A22="","",IF($H22="",$AG22,$H22&amp;IF($AG22="","",", "&amp;$AG22)))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IF($A23="","",20-COUNTBLANK($L23:$AE23))</f>
        <v/>
      </c>
      <c r="H23" s="44">
        <f>IF($A23="","",IFERROR(INDEX($L$4:$AE$4,MATCH("주담당",$L23:$AE23,0)),""))</f>
        <v/>
      </c>
      <c r="I23" s="45">
        <f>IF($A23="","",IF($H23="",$AG23,$H23&amp;IF($AG23="","",", "&amp;$AG23)))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IF($A24="","",20-COUNTBLANK($L24:$AE24))</f>
        <v/>
      </c>
      <c r="H24" s="44">
        <f>IF($A24="","",IFERROR(INDEX($L$4:$AE$4,MATCH("주담당",$L24:$AE24,0)),""))</f>
        <v/>
      </c>
      <c r="I24" s="45">
        <f>IF($A24="","",IF($H24="",$AG24,$H24&amp;IF($AG24="","",", "&amp;$AG24)))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IF($A25="","",20-COUNTBLANK($L25:$AE25))</f>
        <v/>
      </c>
      <c r="H25" s="44">
        <f>IF($A25="","",IFERROR(INDEX($L$4:$AE$4,MATCH("주담당",$L25:$AE25,0)),""))</f>
        <v/>
      </c>
      <c r="I25" s="45">
        <f>IF($A25="","",IF($H25="",$AG25,$H25&amp;IF($AG25="","",", "&amp;$AG25)))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IF($A26="","",20-COUNTBLANK($L26:$AE26))</f>
        <v/>
      </c>
      <c r="H26" s="44">
        <f>IF($A26="","",IFERROR(INDEX($L$4:$AE$4,MATCH("주담당",$L26:$AE26,0)),""))</f>
        <v/>
      </c>
      <c r="I26" s="45">
        <f>IF($A26="","",IF($H26="",$AG26,$H26&amp;IF($AG26="","",", "&amp;$AG26)))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IF($A27="","",20-COUNTBLANK($L27:$AE27))</f>
        <v/>
      </c>
      <c r="H27" s="44">
        <f>IF($A27="","",IFERROR(INDEX($L$4:$AE$4,MATCH("주담당",$L27:$AE27,0)),""))</f>
        <v/>
      </c>
      <c r="I27" s="45">
        <f>IF($A27="","",IF($H27="",$AG27,$H27&amp;IF($AG27="","",", "&amp;$AG27)))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IF($A28="","",20-COUNTBLANK($L28:$AE28))</f>
        <v/>
      </c>
      <c r="H28" s="44">
        <f>IF($A28="","",IFERROR(INDEX($L$4:$AE$4,MATCH("주담당",$L28:$AE28,0)),""))</f>
        <v/>
      </c>
      <c r="I28" s="45">
        <f>IF($A28="","",IF($H28="",$AG28,$H28&amp;IF($AG28="","",", "&amp;$AG28)))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IF($A29="","",20-COUNTBLANK($L29:$AE29))</f>
        <v/>
      </c>
      <c r="H29" s="44">
        <f>IF($A29="","",IFERROR(INDEX($L$4:$AE$4,MATCH("주담당",$L29:$AE29,0)),""))</f>
        <v/>
      </c>
      <c r="I29" s="45">
        <f>IF($A29="","",IF($H29="",$AG29,$H29&amp;IF($AG29="","",", "&amp;$AG29)))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IF($A30="","",20-COUNTBLANK($L30:$AE30))</f>
        <v/>
      </c>
      <c r="H30" s="44">
        <f>IF($A30="","",IFERROR(INDEX($L$4:$AE$4,MATCH("주담당",$L30:$AE30,0)),""))</f>
        <v/>
      </c>
      <c r="I30" s="45">
        <f>IF($A30="","",IF($H30="",$AG30,$H30&amp;IF($AG30="","",", "&amp;$AG30)))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IF($A31="","",20-COUNTBLANK($L31:$AE31))</f>
        <v/>
      </c>
      <c r="H31" s="44">
        <f>IF($A31="","",IFERROR(INDEX($L$4:$AE$4,MATCH("주담당",$L31:$AE31,0)),""))</f>
        <v/>
      </c>
      <c r="I31" s="45">
        <f>IF($A31="","",IF($H31="",$AG31,$H31&amp;IF($AG31="","",", "&amp;$AG31)))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IF($A32="","",20-COUNTBLANK($L32:$AE32))</f>
        <v/>
      </c>
      <c r="H32" s="44">
        <f>IF($A32="","",IFERROR(INDEX($L$4:$AE$4,MATCH("주담당",$L32:$AE32,0)),""))</f>
        <v/>
      </c>
      <c r="I32" s="45">
        <f>IF($A32="","",IF($H32="",$AG32,$H32&amp;IF($AG32="","",", "&amp;$AG32)))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IF($A33="","",20-COUNTBLANK($L33:$AE33))</f>
        <v/>
      </c>
      <c r="H33" s="44">
        <f>IF($A33="","",IFERROR(INDEX($L$4:$AE$4,MATCH("주담당",$L33:$AE33,0)),""))</f>
        <v/>
      </c>
      <c r="I33" s="45">
        <f>IF($A33="","",IF($H33="",$AG33,$H33&amp;IF($AG33="","",", "&amp;$AG33)))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IF($A34="","",20-COUNTBLANK($L34:$AE34))</f>
        <v/>
      </c>
      <c r="H34" s="44">
        <f>IF($A34="","",IFERROR(INDEX($L$4:$AE$4,MATCH("주담당",$L34:$AE34,0)),""))</f>
        <v/>
      </c>
      <c r="I34" s="45">
        <f>IF($A34="","",IF($H34="",$AG34,$H34&amp;IF($AG34="","",", "&amp;$AG34)))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IF($A35="","",20-COUNTBLANK($L35:$AE35))</f>
        <v/>
      </c>
      <c r="H35" s="44">
        <f>IF($A35="","",IFERROR(INDEX($L$4:$AE$4,MATCH("주담당",$L35:$AE35,0)),""))</f>
        <v/>
      </c>
      <c r="I35" s="45">
        <f>IF($A35="","",IF($H35="",$AG35,$H35&amp;IF($AG35="","",", "&amp;$AG35)))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IF($A36="","",20-COUNTBLANK($L36:$AE36))</f>
        <v/>
      </c>
      <c r="H36" s="44">
        <f>IF($A36="","",IFERROR(INDEX($L$4:$AE$4,MATCH("주담당",$L36:$AE36,0)),""))</f>
        <v/>
      </c>
      <c r="I36" s="45">
        <f>IF($A36="","",IF($H36="",$AG36,$H36&amp;IF($AG36="","",", "&amp;$AG36)))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IF($A37="","",20-COUNTBLANK($L37:$AE37))</f>
        <v/>
      </c>
      <c r="H37" s="44">
        <f>IF($A37="","",IFERROR(INDEX($L$4:$AE$4,MATCH("주담당",$L37:$AE37,0)),""))</f>
        <v/>
      </c>
      <c r="I37" s="45">
        <f>IF($A37="","",IF($H37="",$AG37,$H37&amp;IF($AG37="","",", "&amp;$AG37)))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IF($A38="","",20-COUNTBLANK($L38:$AE38))</f>
        <v/>
      </c>
      <c r="H38" s="44">
        <f>IF($A38="","",IFERROR(INDEX($L$4:$AE$4,MATCH("주담당",$L38:$AE38,0)),""))</f>
        <v/>
      </c>
      <c r="I38" s="45">
        <f>IF($A38="","",IF($H38="",$AG38,$H38&amp;IF($AG38="","",", "&amp;$AG38)))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IF($A39="","",20-COUNTBLANK($L39:$AE39))</f>
        <v/>
      </c>
      <c r="H39" s="44">
        <f>IF($A39="","",IFERROR(INDEX($L$4:$AE$4,MATCH("주담당",$L39:$AE39,0)),""))</f>
        <v/>
      </c>
      <c r="I39" s="45">
        <f>IF($A39="","",IF($H39="",$AG39,$H39&amp;IF($AG39="","",", "&amp;$AG39)))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IF($A40="","",20-COUNTBLANK($L40:$AE40))</f>
        <v/>
      </c>
      <c r="H40" s="44">
        <f>IF($A40="","",IFERROR(INDEX($L$4:$AE$4,MATCH("주담당",$L40:$AE40,0)),""))</f>
        <v/>
      </c>
      <c r="I40" s="45">
        <f>IF($A40="","",IF($H40="",$AG40,$H40&amp;IF($AG40="","",", "&amp;$AG40)))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IF($A41="","",20-COUNTBLANK($L41:$AE41))</f>
        <v/>
      </c>
      <c r="H41" s="44">
        <f>IF($A41="","",IFERROR(INDEX($L$4:$AE$4,MATCH("주담당",$L41:$AE41,0)),""))</f>
        <v/>
      </c>
      <c r="I41" s="45">
        <f>IF($A41="","",IF($H41="",$AG41,$H41&amp;IF($AG41="","",", "&amp;$AG41)))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IF($A42="","",20-COUNTBLANK($L42:$AE42))</f>
        <v/>
      </c>
      <c r="H42" s="44">
        <f>IF($A42="","",IFERROR(INDEX($L$4:$AE$4,MATCH("주담당",$L42:$AE42,0)),""))</f>
        <v/>
      </c>
      <c r="I42" s="45">
        <f>IF($A42="","",IF($H42="",$AG42,$H42&amp;IF($AG42="","",", "&amp;$AG42)))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IF($A43="","",20-COUNTBLANK($L43:$AE43))</f>
        <v/>
      </c>
      <c r="H43" s="44">
        <f>IF($A43="","",IFERROR(INDEX($L$4:$AE$4,MATCH("주담당",$L43:$AE43,0)),""))</f>
        <v/>
      </c>
      <c r="I43" s="45">
        <f>IF($A43="","",IF($H43="",$AG43,$H43&amp;IF($AG43="","",", "&amp;$AG43)))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IF($A44="","",20-COUNTBLANK($L44:$AE44))</f>
        <v/>
      </c>
      <c r="H44" s="44">
        <f>IF($A44="","",IFERROR(INDEX($L$4:$AE$4,MATCH("주담당",$L44:$AE44,0)),""))</f>
        <v/>
      </c>
      <c r="I44" s="45">
        <f>IF($A44="","",IF($H44="",$AG44,$H44&amp;IF($AG44="","",", "&amp;$AG44)))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IF($A45="","",20-COUNTBLANK($L45:$AE45))</f>
        <v/>
      </c>
      <c r="H45" s="44">
        <f>IF($A45="","",IFERROR(INDEX($L$4:$AE$4,MATCH("주담당",$L45:$AE45,0)),""))</f>
        <v/>
      </c>
      <c r="I45" s="45">
        <f>IF($A45="","",IF($H45="",$AG45,$H45&amp;IF($AG45="","",", "&amp;$AG45)))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IF($A46="","",20-COUNTBLANK($L46:$AE46))</f>
        <v/>
      </c>
      <c r="H46" s="44">
        <f>IF($A46="","",IFERROR(INDEX($L$4:$AE$4,MATCH("주담당",$L46:$AE46,0)),""))</f>
        <v/>
      </c>
      <c r="I46" s="45">
        <f>IF($A46="","",IF($H46="",$AG46,$H46&amp;IF($AG46="","",", "&amp;$AG46)))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IF($A47="","",20-COUNTBLANK($L47:$AE47))</f>
        <v/>
      </c>
      <c r="H47" s="44">
        <f>IF($A47="","",IFERROR(INDEX($L$4:$AE$4,MATCH("주담당",$L47:$AE47,0)),""))</f>
        <v/>
      </c>
      <c r="I47" s="45">
        <f>IF($A47="","",IF($H47="",$AG47,$H47&amp;IF($AG47="","",", "&amp;$AG47)))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IF($A48="","",20-COUNTBLANK($L48:$AE48))</f>
        <v/>
      </c>
      <c r="H48" s="44">
        <f>IF($A48="","",IFERROR(INDEX($L$4:$AE$4,MATCH("주담당",$L48:$AE48,0)),""))</f>
        <v/>
      </c>
      <c r="I48" s="45">
        <f>IF($A48="","",IF($H48="",$AG48,$H48&amp;IF($AG48="","",", "&amp;$AG48)))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IF($A49="","",20-COUNTBLANK($L49:$AE49))</f>
        <v/>
      </c>
      <c r="H49" s="44">
        <f>IF($A49="","",IFERROR(INDEX($L$4:$AE$4,MATCH("주담당",$L49:$AE49,0)),""))</f>
        <v/>
      </c>
      <c r="I49" s="45">
        <f>IF($A49="","",IF($H49="",$AG49,$H49&amp;IF($AG49="","",", "&amp;$AG49)))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IF($A50="","",20-COUNTBLANK($L50:$AE50))</f>
        <v/>
      </c>
      <c r="H50" s="44">
        <f>IF($A50="","",IFERROR(INDEX($L$4:$AE$4,MATCH("주담당",$L50:$AE50,0)),""))</f>
        <v/>
      </c>
      <c r="I50" s="45">
        <f>IF($A50="","",IF($H50="",$AG50,$H50&amp;IF($AG50="","",", "&amp;$AG50)))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IF($A51="","",20-COUNTBLANK($L51:$AE51))</f>
        <v/>
      </c>
      <c r="H51" s="44">
        <f>IF($A51="","",IFERROR(INDEX($L$4:$AE$4,MATCH("주담당",$L51:$AE51,0)),""))</f>
        <v/>
      </c>
      <c r="I51" s="45">
        <f>IF($A51="","",IF($H51="",$AG51,$H51&amp;IF($AG51="","",", "&amp;$AG51)))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IF($A52="","",20-COUNTBLANK($L52:$AE52))</f>
        <v/>
      </c>
      <c r="H52" s="44">
        <f>IF($A52="","",IFERROR(INDEX($L$4:$AE$4,MATCH("주담당",$L52:$AE52,0)),""))</f>
        <v/>
      </c>
      <c r="I52" s="45">
        <f>IF($A52="","",IF($H52="",$AG52,$H52&amp;IF($AG52="","",", "&amp;$AG52)))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IF($A53="","",20-COUNTBLANK($L53:$AE53))</f>
        <v/>
      </c>
      <c r="H53" s="44">
        <f>IF($A53="","",IFERROR(INDEX($L$4:$AE$4,MATCH("주담당",$L53:$AE53,0)),""))</f>
        <v/>
      </c>
      <c r="I53" s="45">
        <f>IF($A53="","",IF($H53="",$AG53,$H53&amp;IF($AG53="","",", "&amp;$AG53)))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IF($A54="","",20-COUNTBLANK($L54:$AE54))</f>
        <v/>
      </c>
      <c r="H54" s="44">
        <f>IF($A54="","",IFERROR(INDEX($L$4:$AE$4,MATCH("주담당",$L54:$AE54,0)),""))</f>
        <v/>
      </c>
      <c r="I54" s="45">
        <f>IF($A54="","",IF($H54="",$AG54,$H54&amp;IF($AG54="","",", "&amp;$AG54)))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IF($A55="","",20-COUNTBLANK($L55:$AE55))</f>
        <v/>
      </c>
      <c r="H55" s="44">
        <f>IF($A55="","",IFERROR(INDEX($L$4:$AE$4,MATCH("주담당",$L55:$AE55,0)),""))</f>
        <v/>
      </c>
      <c r="I55" s="45">
        <f>IF($A55="","",IF($H55="",$AG55,$H55&amp;IF($AG55="","",", "&amp;$AG55)))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IF($A56="","",20-COUNTBLANK($L56:$AE56))</f>
        <v/>
      </c>
      <c r="H56" s="44">
        <f>IF($A56="","",IFERROR(INDEX($L$4:$AE$4,MATCH("주담당",$L56:$AE56,0)),""))</f>
        <v/>
      </c>
      <c r="I56" s="45">
        <f>IF($A56="","",IF($H56="",$AG56,$H56&amp;IF($AG56="","",", "&amp;$AG56)))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IF($A57="","",20-COUNTBLANK($L57:$AE57))</f>
        <v/>
      </c>
      <c r="H57" s="44">
        <f>IF($A57="","",IFERROR(INDEX($L$4:$AE$4,MATCH("주담당",$L57:$AE57,0)),""))</f>
        <v/>
      </c>
      <c r="I57" s="45">
        <f>IF($A57="","",IF($H57="",$AG57,$H57&amp;IF($AG57="","",", "&amp;$AG57)))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IF($A58="","",20-COUNTBLANK($L58:$AE58))</f>
        <v/>
      </c>
      <c r="H58" s="44">
        <f>IF($A58="","",IFERROR(INDEX($L$4:$AE$4,MATCH("주담당",$L58:$AE58,0)),""))</f>
        <v/>
      </c>
      <c r="I58" s="45">
        <f>IF($A58="","",IF($H58="",$AG58,$H58&amp;IF($AG58="","",", "&amp;$AG58)))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IF($A59="","",20-COUNTBLANK($L59:$AE59))</f>
        <v/>
      </c>
      <c r="H59" s="44">
        <f>IF($A59="","",IFERROR(INDEX($L$4:$AE$4,MATCH("주담당",$L59:$AE59,0)),""))</f>
        <v/>
      </c>
      <c r="I59" s="45">
        <f>IF($A59="","",IF($H59="",$AG59,$H59&amp;IF($AG59="","",", "&amp;$AG59)))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IF($A60="","",20-COUNTBLANK($L60:$AE60))</f>
        <v/>
      </c>
      <c r="H60" s="44">
        <f>IF($A60="","",IFERROR(INDEX($L$4:$AE$4,MATCH("주담당",$L60:$AE60,0)),""))</f>
        <v/>
      </c>
      <c r="I60" s="45">
        <f>IF($A60="","",IF($H60="",$AG60,$H60&amp;IF($AG60="","",", "&amp;$AG60)))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IF($A61="","",20-COUNTBLANK($L61:$AE61))</f>
        <v/>
      </c>
      <c r="H61" s="44">
        <f>IF($A61="","",IFERROR(INDEX($L$4:$AE$4,MATCH("주담당",$L61:$AE61,0)),""))</f>
        <v/>
      </c>
      <c r="I61" s="45">
        <f>IF($A61="","",IF($H61="",$AG61,$H61&amp;IF($AG61="","",", "&amp;$AG61)))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IF($A62="","",20-COUNTBLANK($L62:$AE62))</f>
        <v/>
      </c>
      <c r="H62" s="44">
        <f>IF($A62="","",IFERROR(INDEX($L$4:$AE$4,MATCH("주담당",$L62:$AE62,0)),""))</f>
        <v/>
      </c>
      <c r="I62" s="45">
        <f>IF($A62="","",IF($H62="",$AG62,$H62&amp;IF($AG62="","",", "&amp;$AG62)))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IF($A63="","",20-COUNTBLANK($L63:$AE63))</f>
        <v/>
      </c>
      <c r="H63" s="44">
        <f>IF($A63="","",IFERROR(INDEX($L$4:$AE$4,MATCH("주담당",$L63:$AE63,0)),""))</f>
        <v/>
      </c>
      <c r="I63" s="45">
        <f>IF($A63="","",IF($H63="",$AG63,$H63&amp;IF($AG63="","",", "&amp;$AG63)))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IF($A64="","",20-COUNTBLANK($L64:$AE64))</f>
        <v/>
      </c>
      <c r="H64" s="44">
        <f>IF($A64="","",IFERROR(INDEX($L$4:$AE$4,MATCH("주담당",$L64:$AE64,0)),""))</f>
        <v/>
      </c>
      <c r="I64" s="45">
        <f>IF($A64="","",IF($H64="",$AG64,$H64&amp;IF($AG64="","",", "&amp;$AG64)))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목록_요청처</formula1>
    </dataValidation>
    <dataValidation sqref="E5:E64" showDropDown="0" showInputMessage="0" showErrorMessage="0" allowBlank="1" type="list">
      <formula1>목록_진행상태</formula1>
    </dataValidation>
    <dataValidation sqref="F5:F64" showDropDown="0" showInputMessage="0" showErrorMessage="0" allowBlank="1" type="list">
      <formula1>목록_팀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IF($B109="","",1-COUNTBLANK($B$109:$B109))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IF($B110="","",2-COUNTBLANK($B$109:$B110))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IF($B111="","",3-COUNTBLANK($B$109:$B111))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IF($B112="","",4-COUNTBLANK($B$109:$B112))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IF($B113="","",5-COUNTBLANK($B$109:$B113))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IF($B114="","",6-COUNTBLANK($B$109:$B114))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IF($B115="","",7-COUNTBLANK($B$109:$B115))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IF($B116="","",8-COUNTBLANK($B$109:$B116))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IF($B117="","",9-COUNTBLANK($B$109:$B117))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IF($B118="","",10-COUNTBLANK($B$109:$B118))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IF($B119="","",11-COUNTBLANK($B$109:$B119))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IF($B120="","",12-COUNTBLANK($B$109:$B120))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IF($B121="","",13-COUNTBLANK($B$109:$B121))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IF($B122="","",14-COUNTBLANK($B$109:$B122))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IF($B123="","",15-COUNTBLANK($B$109:$B123))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IF($B124="","",16-COUNTBLANK($B$109:$B124))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IF($B125="","",17-COUNTBLANK($B$109:$B125))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IF($B126="","",18-COUNTBLANK($B$109:$B126))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IF($B127="","",19-COUNTBLANK($B$109:$B127))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IF($B128="","",20-COUNTBLANK($B$109:$B128))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IF($B129="","",21-COUNTBLANK($B$109:$B129))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IF($B130="","",22-COUNTBLANK($B$109:$B130))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IF($B131="","",23-COUNTBLANK($B$109:$B131))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IF($B132="","",24-COUNTBLANK($B$109:$B132))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IF($B133="","",25-COUNTBLANK($B$109:$B133))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IF($B134="","",26-COUNTBLANK($B$109:$B134))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IF($B135="","",27-COUNTBLANK($B$109:$B135))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IF($B136="","",28-COUNTBLANK($B$109:$B136))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IF($B137="","",29-COUNTBLANK($B$109:$B137))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IF($B138="","",30-COUNTBLANK($B$109:$B138))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IF($B139="","",31-COUNTBLANK($B$109:$B139))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IF($B140="","",32-COUNTBLANK($B$109:$B140))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IF($B141="","",33-COUNTBLANK($B$109:$B141))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IF($B142="","",34-COUNTBLANK($B$109:$B142))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IF($B143="","",35-COUNTBLANK($B$109:$B143))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IF($B144="","",36-COUNTBLANK($B$109:$B144))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IF($B145="","",37-COUNTBLANK($B$109:$B145))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IF($B146="","",38-COUNTBLANK($B$109:$B146))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IF($B147="","",39-COUNTBLANK($B$109:$B147))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IF($B148="","",40-COUNTBLANK($B$109:$B148))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IF($B149="","",41-COUNTBLANK($B$109:$B149))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IF($B150="","",42-COUNTBLANK($B$109:$B150))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IF($B151="","",43-COUNTBLANK($B$109:$B151))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IF($B152="","",44-COUNTBLANK($B$109:$B152))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IF($B153="","",45-COUNTBLANK($B$109:$B153))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IF($B154="","",46-COUNTBLANK($B$109:$B154))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IF($B155="","",47-COUNTBLANK($B$109:$B155))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IF($B156="","",48-COUNTBLANK($B$109:$B156))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IF($B157="","",49-COUNTBLANK($B$109:$B157))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IF($B158="","",50-COUNTBLANK($B$109:$B158))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IF($B159="","",51-COUNTBLANK($B$109:$B159))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IF($B160="","",52-COUNTBLANK($B$109:$B160))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IF($B161="","",53-COUNTBLANK($B$109:$B161))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IF($B162="","",54-COUNTBLANK($B$109:$B162))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IF($B163="","",55-COUNTBLANK($B$109:$B163))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IF($B164="","",56-COUNTBLANK($B$109:$B164))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IF($B165="","",57-COUNTBLANK($B$109:$B165))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IF($B166="","",58-COUNTBLANK($B$109:$B166))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IF($B167="","",59-COUNTBLANK($B$109:$B167))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IF($B168="","",60-COUNTBLANK($B$109:$B168))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IF($B169="","",61-COUNTBLANK($B$109:$B169))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IF($B170="","",62-COUNTBLANK($B$109:$B170))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IF($B171="","",63-COUNTBLANK($B$109:$B171))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IF($B172="","",64-COUNTBLANK($B$109:$B172))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IF($B173="","",65-COUNTBLANK($B$109:$B173))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IF($B174="","",66-COUNTBLANK($B$109:$B174))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IF($B175="","",67-COUNTBLANK($B$109:$B175))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IF($B176="","",68-COUNTBLANK($B$109:$B176))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IF($B177="","",69-COUNTBLANK($B$109:$B177))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IF($B178="","",70-COUNTBLANK($B$109:$B178))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IF($B179="","",71-COUNTBLANK($B$109:$B179))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IF($B180="","",72-COUNTBLANK($B$109:$B180))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IF($B181="","",73-COUNTBLANK($B$109:$B181))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IF($B182="","",74-COUNTBLANK($B$109:$B182))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IF($B183="","",75-COUNTBLANK($B$109:$B183))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IF($B184="","",76-COUNTBLANK($B$109:$B184))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IF($B185="","",77-COUNTBLANK($B$109:$B185))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IF($B186="","",78-COUNTBLANK($B$109:$B186))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IF($B187="","",79-COUNTBLANK($B$109:$B187))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IF($B188="","",80-COUNTBLANK($B$109:$B188))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IF($B189="","",81-COUNTBLANK($B$109:$B189))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IF($B190="","",82-COUNTBLANK($B$109:$B190))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IF($B191="","",83-COUNTBLANK($B$109:$B191))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IF($B192="","",84-COUNTBLANK($B$109:$B192))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IF($B193="","",85-COUNTBLANK($B$109:$B193))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IF($B194="","",86-COUNTBLANK($B$109:$B194))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IF($B195="","",87-COUNTBLANK($B$109:$B195))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IF($B196="","",88-COUNTBLANK($B$109:$B196))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IF($B197="","",89-COUNTBLANK($B$109:$B197))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IF($B198="","",90-COUNTBLANK($B$109:$B198))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IF($B199="","",91-COUNTBLANK($B$109:$B199))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IF($B200="","",92-COUNTBLANK($B$109:$B200))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IF($B201="","",93-COUNTBLANK($B$109:$B201))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IF($B202="","",94-COUNTBLANK($B$109:$B202))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IF($B203="","",95-COUNTBLANK($B$109:$B203))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IF($B204="","",96-COUNTBLANK($B$109:$B204))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IF($B205="","",97-COUNTBLANK($B$109:$B205))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IF($B206="","",98-COUNTBLANK($B$109:$B206))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IF($B207="","",99-COUNTBLANK($B$109:$B207))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IF($B208="","",100-COUNTBLANK($B$109:$B208))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IF($B209="","",101-COUNTBLANK($B$109:$B209))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IF($B210="","",102-COUNTBLANK($B$109:$B210))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IF($B211="","",103-COUNTBLANK($B$109:$B211))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IF($B212="","",104-COUNTBLANK($B$109:$B212))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IF($B213="","",105-COUNTBLANK($B$109:$B213))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IF($B214="","",106-COUNTBLANK($B$109:$B214))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IF($B215="","",107-COUNTBLANK($B$109:$B215))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IF($B216="","",108-COUNTBLANK($B$109:$B216))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IF($B217="","",109-COUNTBLANK($B$109:$B217))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IF($B218="","",110-COUNTBLANK($B$109:$B218))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IF($B219="","",111-COUNTBLANK($B$109:$B219))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IF($B220="","",112-COUNTBLANK($B$109:$B220))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IF($B221="","",113-COUNTBLANK($B$109:$B221))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IF($B222="","",114-COUNTBLANK($B$109:$B222))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IF($B223="","",115-COUNTBLANK($B$109:$B223))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IF($B224="","",116-COUNTBLANK($B$109:$B224))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IF($B225="","",117-COUNTBLANK($B$109:$B225))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IF($B226="","",118-COUNTBLANK($B$109:$B226))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IF($B227="","",119-COUNTBLANK($B$109:$B227))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IF($B228="","",120-COUNTBLANK($B$109:$B228))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IF($B229="","",121-COUNTBLANK($B$109:$B229))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IF($B230="","",122-COUNTBLANK($B$109:$B230))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IF($B231="","",123-COUNTBLANK($B$109:$B231))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IF($B232="","",124-COUNTBLANK($B$109:$B232))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IF($B233="","",125-COUNTBLANK($B$109:$B233))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IF($B234="","",126-COUNTBLANK($B$109:$B234))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IF($B235="","",127-COUNTBLANK($B$109:$B235))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IF($B236="","",128-COUNTBLANK($B$109:$B236))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IF($B237="","",129-COUNTBLANK($B$109:$B237))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IF($B238="","",130-COUNTBLANK($B$109:$B238))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IF($B239="","",131-COUNTBLANK($B$109:$B239))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IF($B240="","",132-COUNTBLANK($B$109:$B240))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IF($B241="","",133-COUNTBLANK($B$109:$B241))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IF($B242="","",134-COUNTBLANK($B$109:$B242))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IF($B243="","",135-COUNTBLANK($B$109:$B243))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IF($B244="","",136-COUNTBLANK($B$109:$B244))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IF($B245="","",137-COUNTBLANK($B$109:$B245))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IF($B246="","",138-COUNTBLANK($B$109:$B246))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IF($B247="","",139-COUNTBLANK($B$109:$B247))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IF($B248="","",140-COUNTBLANK($B$109:$B248))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IF($B249="","",141-COUNTBLANK($B$109:$B249))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IF($B250="","",142-COUNTBLANK($B$109:$B250))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IF($B251="","",143-COUNTBLANK($B$109:$B251))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IF($B252="","",144-COUNTBLANK($B$109:$B252))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IF($B253="","",145-COUNTBLANK($B$109:$B253))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IF($B254="","",146-COUNTBLANK($B$109:$B254))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IF($B255="","",147-COUNTBLANK($B$109:$B255))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IF($B256="","",148-COUNTBLANK($B$109:$B256))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IF($B257="","",149-COUNTBLANK($B$109:$B257))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IF($B258="","",150-COUNTBLANK($B$109:$B258))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IF($B259="","",151-COUNTBLANK($B$109:$B259))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IF($B260="","",152-COUNTBLANK($B$109:$B260))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IF($B261="","",153-COUNTBLANK($B$109:$B261))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IF($B262="","",154-COUNTBLANK($B$109:$B262))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IF($B263="","",155-COUNTBLANK($B$109:$B263))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IF($B264="","",156-COUNTBLANK($B$109:$B264))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IF($B265="","",157-COUNTBLANK($B$109:$B265))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IF($B266="","",158-COUNTBLANK($B$109:$B266))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IF($B267="","",159-COUNTBLANK($B$109:$B267))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IF($B268="","",160-COUNTBLANK($B$109:$B268))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IF($B269="","",161-COUNTBLANK($B$109:$B269))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IF($B270="","",162-COUNTBLANK($B$109:$B270))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IF($B271="","",163-COUNTBLANK($B$109:$B271))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IF($B272="","",164-COUNTBLANK($B$109:$B272))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IF($B273="","",165-COUNTBLANK($B$109:$B273))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IF($B274="","",166-COUNTBLANK($B$109:$B274))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IF($B275="","",167-COUNTBLANK($B$109:$B275))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IF($B276="","",168-COUNTBLANK($B$109:$B276))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IF($B277="","",169-COUNTBLANK($B$109:$B277))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IF($B278="","",170-COUNTBLANK($B$109:$B278))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IF($B279="","",171-COUNTBLANK($B$109:$B279))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IF($B280="","",172-COUNTBLANK($B$109:$B280))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IF($B281="","",173-COUNTBLANK($B$109:$B281))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IF($B282="","",174-COUNTBLANK($B$109:$B282))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IF($B283="","",175-COUNTBLANK($B$109:$B283))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IF($B284="","",176-COUNTBLANK($B$109:$B284))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IF($B285="","",177-COUNTBLANK($B$109:$B285))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IF($B286="","",178-COUNTBLANK($B$109:$B286))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IF($B287="","",179-COUNTBLANK($B$109:$B287))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IF($B288="","",180-COUNTBLANK($B$109:$B288))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IF($B289="","",181-COUNTBLANK($B$109:$B289))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IF($B290="","",182-COUNTBLANK($B$109:$B290))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IF($B291="","",183-COUNTBLANK($B$109:$B291))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IF($B292="","",184-COUNTBLANK($B$109:$B292))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IF($B293="","",185-COUNTBLANK($B$109:$B293))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IF($B294="","",186-COUNTBLANK($B$109:$B294))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IF($B295="","",187-COUNTBLANK($B$109:$B295))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IF($B296="","",188-COUNTBLANK($B$109:$B296))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IF($B297="","",189-COUNTBLANK($B$109:$B297))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IF($B298="","",190-COUNTBLANK($B$109:$B298))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IF($B299="","",191-COUNTBLANK($B$109:$B299))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IF($B300="","",192-COUNTBLANK($B$109:$B300))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IF($B301="","",193-COUNTBLANK($B$109:$B301))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IF($B302="","",194-COUNTBLANK($B$109:$B302))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IF($B303="","",195-COUNTBLANK($B$109:$B303))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IF($B304="","",196-COUNTBLANK($B$109:$B304))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IF($B305="","",197-COUNTBLANK($B$109:$B305))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IF($B306="","",198-COUNTBLANK($B$109:$B306))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IF($B307="","",199-COUNTBLANK($B$109:$B307))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IF($B308="","",200-COUNTBLANK($B$109:$B308))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IF($B309="","",201-COUNTBLANK($B$109:$B309))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IF($B310="","",202-COUNTBLANK($B$109:$B310))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IF($B311="","",203-COUNTBLANK($B$109:$B311))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IF($B312="","",204-COUNTBLANK($B$109:$B312))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IF($B313="","",205-COUNTBLANK($B$109:$B313))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IF($B314="","",206-COUNTBLANK($B$109:$B314))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IF($B315="","",207-COUNTBLANK($B$109:$B315))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IF($B316="","",208-COUNTBLANK($B$109:$B316))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IF($B317="","",209-COUNTBLANK($B$109:$B317))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IF($B318="","",210-COUNTBLANK($B$109:$B318))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IF($B319="","",211-COUNTBLANK($B$109:$B319))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IF($B320="","",212-COUNTBLANK($B$109:$B320))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IF($B321="","",213-COUNTBLANK($B$109:$B321))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IF($B322="","",214-COUNTBLANK($B$109:$B322))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IF($B323="","",215-COUNTBLANK($B$109:$B323))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IF($B324="","",216-COUNTBLANK($B$109:$B324))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IF($B325="","",217-COUNTBLANK($B$109:$B325))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IF($B326="","",218-COUNTBLANK($B$109:$B326))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IF($B327="","",219-COUNTBLANK($B$109:$B327))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IF($B328="","",220-COUNTBLANK($B$109:$B328))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IF($B329="","",221-COUNTBLANK($B$109:$B329))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IF($B330="","",222-COUNTBLANK($B$109:$B330))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IF($B331="","",223-COUNTBLANK($B$109:$B331))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IF($B332="","",224-COUNTBLANK($B$109:$B332))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IF($B333="","",225-COUNTBLANK($B$109:$B333))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IF($B334="","",226-COUNTBLANK($B$109:$B334))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IF($B335="","",227-COUNTBLANK($B$109:$B335))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IF($B336="","",228-COUNTBLANK($B$109:$B336))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IF($B337="","",229-COUNTBLANK($B$109:$B337))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IF($B338="","",230-COUNTBLANK($B$109:$B338))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IF($B339="","",231-COUNTBLANK($B$109:$B339))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IF($B340="","",232-COUNTBLANK($B$109:$B340))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IF($B341="","",233-COUNTBLANK($B$109:$B341))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IF($B342="","",234-COUNTBLANK($B$109:$B342))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IF($B343="","",235-COUNTBLANK($B$109:$B343))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IF($B344="","",236-COUNTBLANK($B$109:$B344))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IF($B345="","",237-COUNTBLANK($B$109:$B345))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IF($B346="","",238-COUNTBLANK($B$109:$B346))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IF($B347="","",239-COUNTBLANK($B$109:$B347))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IF($B348="","",240-COUNTBLANK($B$109:$B348))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IF($B349="","",241-COUNTBLANK($B$109:$B349))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IF($B350="","",242-COUNTBLANK($B$109:$B350))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IF($B351="","",243-COUNTBLANK($B$109:$B351))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IF($B352="","",244-COUNTBLANK($B$109:$B352))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IF($B353="","",245-COUNTBLANK($B$109:$B353))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IF($B354="","",246-COUNTBLANK($B$109:$B354))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IF($B355="","",247-COUNTBLANK($B$109:$B355))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IF($B356="","",248-COUNTBLANK($B$109:$B356))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IF($B357="","",249-COUNTBLANK($B$109:$B357))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IF($B358="","",250-COUNTBLANK($B$109:$B358))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IF($B359="","",251-COUNTBLANK($B$109:$B359))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IF($B360="","",252-COUNTBLANK($B$109:$B360))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IF($B361="","",253-COUNTBLANK($B$109:$B361))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IF($B362="","",254-COUNTBLANK($B$109:$B362))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IF($B363="","",255-COUNTBLANK($B$109:$B363))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IF($B364="","",256-COUNTBLANK($B$109:$B364))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IF($B365="","",257-COUNTBLANK($B$109:$B365))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IF($B366="","",258-COUNTBLANK($B$109:$B366))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IF($B367="","",259-COUNTBLANK($B$109:$B367))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IF($B368="","",260-COUNTBLANK($B$109:$B368))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IF($B369="","",261-COUNTBLANK($B$109:$B369))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IF($B370="","",262-COUNTBLANK($B$109:$B370))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IF($B371="","",263-COUNTBLANK($B$109:$B371))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IF($B372="","",264-COUNTBLANK($B$109:$B372))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IF($B373="","",265-COUNTBLANK($B$109:$B373))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IF($B374="","",266-COUNTBLANK($B$109:$B374))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IF($B375="","",267-COUNTBLANK($B$109:$B375))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IF($B376="","",268-COUNTBLANK($B$109:$B376))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IF($B377="","",269-COUNTBLANK($B$109:$B377))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IF($B378="","",270-COUNTBLANK($B$109:$B378))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IF($B379="","",271-COUNTBLANK($B$109:$B379))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IF($B380="","",272-COUNTBLANK($B$109:$B380))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IF($B381="","",273-COUNTBLANK($B$109:$B381))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IF($B382="","",274-COUNTBLANK($B$109:$B382))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IF($B383="","",275-COUNTBLANK($B$109:$B383))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IF($B384="","",276-COUNTBLANK($B$109:$B384))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IF($B385="","",277-COUNTBLANK($B$109:$B385))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IF($B386="","",278-COUNTBLANK($B$109:$B386))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IF($B387="","",279-COUNTBLANK($B$109:$B387))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IF($B388="","",280-COUNTBLANK($B$109:$B388))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IF($B389="","",281-COUNTBLANK($B$109:$B389))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IF($B390="","",282-COUNTBLANK($B$109:$B390))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IF($B391="","",283-COUNTBLANK($B$109:$B391))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IF($B392="","",284-COUNTBLANK($B$109:$B392))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IF($B393="","",285-COUNTBLANK($B$109:$B393))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IF($B394="","",286-COUNTBLANK($B$109:$B394))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IF($B395="","",287-COUNTBLANK($B$109:$B395))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IF($B396="","",288-COUNTBLANK($B$109:$B396))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IF($B397="","",289-COUNTBLANK($B$109:$B397))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IF($B398="","",290-COUNTBLANK($B$109:$B398))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IF($B399="","",291-COUNTBLANK($B$109:$B399))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IF($B400="","",292-COUNTBLANK($B$109:$B400))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IF($B401="","",293-COUNTBLANK($B$109:$B401))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IF($B402="","",294-COUNTBLANK($B$109:$B402))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IF($B403="","",295-COUNTBLANK($B$109:$B403))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IF($B404="","",296-COUNTBLANK($B$109:$B404))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IF($B405="","",297-COUNTBLANK($B$109:$B405))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IF($B406="","",298-COUNTBLANK($B$109:$B406))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IF($B407="","",299-COUNTBLANK($B$109:$B407))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IF($B408="","",300-COUNTBLANK($B$109:$B408))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IF($B409="","",301-COUNTBLANK($B$109:$B409))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IF($B410="","",302-COUNTBLANK($B$109:$B410))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IF($B411="","",303-COUNTBLANK($B$109:$B411))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IF($B412="","",304-COUNTBLANK($B$109:$B412))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IF($B413="","",305-COUNTBLANK($B$109:$B413))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IF($B414="","",306-COUNTBLANK($B$109:$B414))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IF($B415="","",307-COUNTBLANK($B$109:$B415))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IF($B416="","",308-COUNTBLANK($B$109:$B416))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IF($B417="","",309-COUNTBLANK($B$109:$B417))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IF($B418="","",310-COUNTBLANK($B$109:$B418))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IF($B419="","",311-COUNTBLANK($B$109:$B419))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IF($B420="","",312-COUNTBLANK($B$109:$B420))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IF($B421="","",313-COUNTBLANK($B$109:$B421))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IF($B422="","",314-COUNTBLANK($B$109:$B422))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IF($B423="","",315-COUNTBLANK($B$109:$B423))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IF($B424="","",316-COUNTBLANK($B$109:$B424))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IF($B425="","",317-COUNTBLANK($B$109:$B425))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IF($B426="","",318-COUNTBLANK($B$109:$B426))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IF($B427="","",319-COUNTBLANK($B$109:$B427))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IF($B428="","",320-COUNTBLANK($B$109:$B428))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IF($B429="","",321-COUNTBLANK($B$109:$B429))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IF($B430="","",322-COUNTBLANK($B$109:$B430))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IF($B431="","",323-COUNTBLANK($B$109:$B431))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IF($B432="","",324-COUNTBLANK($B$109:$B432))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IF($B433="","",325-COUNTBLANK($B$109:$B433))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IF($B434="","",326-COUNTBLANK($B$109:$B434))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IF($B435="","",327-COUNTBLANK($B$109:$B435))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IF($B436="","",328-COUNTBLANK($B$109:$B436))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IF($B437="","",329-COUNTBLANK($B$109:$B437))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IF($B438="","",330-COUNTBLANK($B$109:$B438))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IF($B439="","",331-COUNTBLANK($B$109:$B439))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IF($B440="","",332-COUNTBLANK($B$109:$B440))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IF($B441="","",333-COUNTBLANK($B$109:$B441))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IF($B442="","",334-COUNTBLANK($B$109:$B442))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IF($B443="","",335-COUNTBLANK($B$109:$B443))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IF($B444="","",336-COUNTBLANK($B$109:$B444))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IF($B445="","",337-COUNTBLANK($B$109:$B445))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IF($B446="","",338-COUNTBLANK($B$109:$B446))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IF($B447="","",339-COUNTBLANK($B$109:$B447))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IF($B448="","",340-COUNTBLANK($B$109:$B448))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IF($B449="","",341-COUNTBLANK($B$109:$B449))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IF($B450="","",342-COUNTBLANK($B$109:$B450))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IF($B451="","",343-COUNTBLANK($B$109:$B451))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IF($B452="","",344-COUNTBLANK($B$109:$B452))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IF($B453="","",345-COUNTBLANK($B$109:$B453))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IF($B454="","",346-COUNTBLANK($B$109:$B454))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IF($B455="","",347-COUNTBLANK($B$109:$B455))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IF($B456="","",348-COUNTBLANK($B$109:$B456))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IF($B457="","",349-COUNTBLANK($B$109:$B457))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IF($B458="","",350-COUNTBLANK($B$109:$B458))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IF($B459="","",351-COUNTBLANK($B$109:$B459))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IF($B460="","",352-COUNTBLANK($B$109:$B460))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IF($B461="","",353-COUNTBLANK($B$109:$B461))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IF($B462="","",354-COUNTBLANK($B$109:$B462))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IF($B463="","",355-COUNTBLANK($B$109:$B463))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IF($B464="","",356-COUNTBLANK($B$109:$B464))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IF($B465="","",357-COUNTBLANK($B$109:$B465))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IF($B466="","",358-COUNTBLANK($B$109:$B466))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IF($B467="","",359-COUNTBLANK($B$109:$B467))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IF($B468="","",360-COUNTBLANK($B$109:$B468))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IF($B469="","",361-COUNTBLANK($B$109:$B469))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IF($B470="","",362-COUNTBLANK($B$109:$B470))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IF($B471="","",363-COUNTBLANK($B$109:$B471))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IF($B472="","",364-COUNTBLANK($B$109:$B472))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IF($B473="","",365-COUNTBLANK($B$109:$B473))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IF($B474="","",366-COUNTBLANK($B$109:$B474))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IF($B475="","",367-COUNTBLANK($B$109:$B475))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IF($B476="","",368-COUNTBLANK($B$109:$B476))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IF($B477="","",369-COUNTBLANK($B$109:$B477))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IF($B478="","",370-COUNTBLANK($B$109:$B478))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IF($B479="","",371-COUNTBLANK($B$109:$B479))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IF($B480="","",372-COUNTBLANK($B$109:$B480))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IF($B481="","",373-COUNTBLANK($B$109:$B481))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IF($B482="","",374-COUNTBLANK($B$109:$B482))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IF($B483="","",375-COUNTBLANK($B$109:$B483))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IF($B484="","",376-COUNTBLANK($B$109:$B484))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IF($B485="","",377-COUNTBLANK($B$109:$B485))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IF($B486="","",378-COUNTBLANK($B$109:$B486))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IF($B487="","",379-COUNTBLANK($B$109:$B487))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IF($B488="","",380-COUNTBLANK($B$109:$B488))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IF($B489="","",381-COUNTBLANK($B$109:$B489))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IF($B490="","",382-COUNTBLANK($B$109:$B490))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IF($B491="","",383-COUNTBLANK($B$109:$B491))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IF($B492="","",384-COUNTBLANK($B$109:$B492))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IF($B493="","",385-COUNTBLANK($B$109:$B493))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IF($B494="","",386-COUNTBLANK($B$109:$B494))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IF($B495="","",387-COUNTBLANK($B$109:$B495))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IF($B496="","",388-COUNTBLANK($B$109:$B496))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IF($B497="","",389-COUNTBLANK($B$109:$B497))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IF($B498="","",390-COUNTBLANK($B$109:$B498))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IF($B499="","",391-COUNTBLANK($B$109:$B499))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IF($B500="","",392-COUNTBLANK($B$109:$B500))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IF($B501="","",393-COUNTBLANK($B$109:$B501))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IF($B502="","",394-COUNTBLANK($B$109:$B502))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IF($B503="","",395-COUNTBLANK($B$109:$B503))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IF($B504="","",396-COUNTBLANK($B$109:$B504))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IF($B505="","",397-COUNTBLANK($B$109:$B505))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IF($B506="","",398-COUNTBLANK($B$109:$B506))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IF($B507="","",399-COUNTBLANK($B$109:$B507))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IF($B508="","",400-COUNTBLANK($B$109:$B508))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목록_장비구분</formula1>
    </dataValidation>
    <dataValidation sqref="E6:E105" showDropDown="0" showInputMessage="0" showErrorMessage="0" allowBlank="1" type="list">
      <formula1>목록_팀</formula1>
    </dataValidation>
    <dataValidation sqref="F6:F105" showDropDown="0" showInputMessage="0" showErrorMessage="0" allowBlank="1" type="list">
      <formula1>목록_장비상태</formula1>
    </dataValidation>
    <dataValidation sqref="B109:B508" showDropDown="0" showInputMessage="0" showErrorMessage="0" allowBlank="1" type="list">
      <formula1>목록_관리번호</formula1>
    </dataValidation>
    <dataValidation sqref="D109:D508" showDropDown="0" showInputMessage="0" showErrorMessage="0" allowBlank="1" type="list">
      <formula1>목록_사건번호</formula1>
    </dataValidation>
    <dataValidation sqref="H109:H508" showDropDown="0" showInputMessage="0" showErrorMessage="0" allowBlank="1" type="list">
      <formula1>목록_담당자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D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24" customHeight="1">
      <c r="A1" s="6" t="inlineStr">
        <is>
          <t>진행중 보드  ·  경과일수 순</t>
        </is>
      </c>
      <c r="AZ1">
        <f>IF(AND(업무일지!$B5&lt;&gt;"",업무일지!$AG5="진행중"),MAX(0,TODAY()-업무일지!$B5)*10000+1000,"")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IF(AND(업무일지!$B6&lt;&gt;"",업무일지!$AG6="진행중"),MAX(0,TODAY()-업무일지!$B6)*10000+999,"")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IF(AND(업무일지!$B7&lt;&gt;"",업무일지!$AG7="진행중"),MAX(0,TODAY()-업무일지!$B7)*10000+998,"")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IF(AND(업무일지!$B8&lt;&gt;"",업무일지!$AG8="진행중"),MAX(0,TODAY()-업무일지!$B8)*10000+997,"")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회차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IF(AND(업무일지!$B9&lt;&gt;"",업무일지!$AG9="진행중"),MAX(0,TODAY()-업무일지!$B9)*10000+996,"")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COUNTIFS(업무일지!$AG$5:$AG$1004,"진행중",업무일지!$D$5:$D$1004,"출장")</f>
        <v/>
      </c>
      <c r="C6" s="24">
        <f>COUNTIFS(업무일지!$AG$5:$AG$1004,"진행중",업무일지!$D$5:$D$1004,"출장",업무일지!$B$5:$B$1004,"&lt;"&amp;TODAY()-30)</f>
        <v/>
      </c>
      <c r="D6" s="24">
        <f>COUNTIFS(업무일지!$AG$5:$AG$1004,"진행중",업무일지!$D$5:$D$1004,"출장",업무일지!$B$5:$B$1004,"&lt;"&amp;TODAY()-60)</f>
        <v/>
      </c>
      <c r="E6" s="24">
        <f>IF($BD6=0,0,TODAY()-(1000000-$BD6))</f>
        <v/>
      </c>
      <c r="AZ6">
        <f>IF(AND(업무일지!$B10&lt;&gt;"",업무일지!$AG10="진행중"),MAX(0,TODAY()-업무일지!$B10)*10000+995,"")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  <c r="BD6">
        <f>SUMPRODUCT(MAX((업무일지!$AG$5:$AG$1004="진행중")*(업무일지!$D$5:$D$1004="출장")*(업무일지!$B$5:$B$1004&gt;0)*(1000000-업무일지!$B$5:$B$1004)))</f>
        <v/>
      </c>
    </row>
    <row r="7">
      <c r="A7" s="8" t="inlineStr">
        <is>
          <t>분석</t>
        </is>
      </c>
      <c r="B7" s="24">
        <f>COUNTIFS(업무일지!$AG$5:$AG$1004,"진행중",업무일지!$D$5:$D$1004,"분석")</f>
        <v/>
      </c>
      <c r="C7" s="24">
        <f>COUNTIFS(업무일지!$AG$5:$AG$1004,"진행중",업무일지!$D$5:$D$1004,"분석",업무일지!$B$5:$B$1004,"&lt;"&amp;TODAY()-30)</f>
        <v/>
      </c>
      <c r="D7" s="24">
        <f>COUNTIFS(업무일지!$AG$5:$AG$1004,"진행중",업무일지!$D$5:$D$1004,"분석",업무일지!$B$5:$B$1004,"&lt;"&amp;TODAY()-60)</f>
        <v/>
      </c>
      <c r="E7" s="24">
        <f>IF($BD7=0,0,TODAY()-(1000000-$BD7))</f>
        <v/>
      </c>
      <c r="AZ7">
        <f>IF(AND(업무일지!$B11&lt;&gt;"",업무일지!$AG11="진행중"),MAX(0,TODAY()-업무일지!$B11)*10000+994,"")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  <c r="BD7">
        <f>SUMPRODUCT(MAX((업무일지!$AG$5:$AG$1004="진행중")*(업무일지!$D$5:$D$1004="분석")*(업무일지!$B$5:$B$1004&gt;0)*(1000000-업무일지!$B$5:$B$1004)))</f>
        <v/>
      </c>
    </row>
    <row r="8">
      <c r="A8" s="8" t="inlineStr">
        <is>
          <t>교육</t>
        </is>
      </c>
      <c r="B8" s="24">
        <f>COUNTIFS(업무일지!$AG$5:$AG$1004,"진행중",업무일지!$D$5:$D$1004,"교육")</f>
        <v/>
      </c>
      <c r="C8" s="24">
        <f>COUNTIFS(업무일지!$AG$5:$AG$1004,"진행중",업무일지!$D$5:$D$1004,"교육",업무일지!$B$5:$B$1004,"&lt;"&amp;TODAY()-30)</f>
        <v/>
      </c>
      <c r="D8" s="24">
        <f>COUNTIFS(업무일지!$AG$5:$AG$1004,"진행중",업무일지!$D$5:$D$1004,"교육",업무일지!$B$5:$B$1004,"&lt;"&amp;TODAY()-60)</f>
        <v/>
      </c>
      <c r="E8" s="24">
        <f>IF($BD8=0,0,TODAY()-(1000000-$BD8))</f>
        <v/>
      </c>
      <c r="AZ8">
        <f>IF(AND(업무일지!$B12&lt;&gt;"",업무일지!$AG12="진행중"),MAX(0,TODAY()-업무일지!$B12)*10000+993,"")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  <c r="BD8">
        <f>SUMPRODUCT(MAX((업무일지!$AG$5:$AG$1004="진행중")*(업무일지!$D$5:$D$1004="교육")*(업무일지!$B$5:$B$1004&gt;0)*(1000000-업무일지!$B$5:$B$1004)))</f>
        <v/>
      </c>
    </row>
    <row r="9">
      <c r="A9" s="8" t="inlineStr">
        <is>
          <t>일일실시</t>
        </is>
      </c>
      <c r="B9" s="24">
        <f>COUNTIF(일일실시사항!$J$5:$J$1004,"진행중")</f>
        <v/>
      </c>
      <c r="C9" s="24">
        <f>COUNTIFS(일일실시사항!$J$5:$J$1004,"진행중",일일실시사항!$B$5:$B$1004,"&lt;"&amp;TODAY()-30)</f>
        <v/>
      </c>
      <c r="D9" s="24">
        <f>COUNTIFS(일일실시사항!$J$5:$J$1004,"진행중",일일실시사항!$B$5:$B$1004,"&lt;"&amp;TODAY()-60)</f>
        <v/>
      </c>
      <c r="E9" s="24">
        <f>IF($BD9=0,0,TODAY()-(1000000-$BD9))</f>
        <v/>
      </c>
      <c r="AZ9">
        <f>IF(AND(업무일지!$B13&lt;&gt;"",업무일지!$AG13="진행중"),MAX(0,TODAY()-업무일지!$B13)*10000+992,"")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  <c r="BD9">
        <f>SUMPRODUCT(MAX((일일실시사항!$J$5:$J$1004="진행중")*(일일실시사항!$B$5:$B$1004&gt;0)*(1000000-일일실시사항!$B$5:$B$1004)))</f>
        <v/>
      </c>
    </row>
    <row r="10">
      <c r="A10" s="27" t="inlineStr">
        <is>
          <t>합계</t>
        </is>
      </c>
      <c r="B10" s="28">
        <f>SUM(B6:B9)</f>
        <v/>
      </c>
      <c r="C10" s="28">
        <f>SUM(C6:C9)</f>
        <v/>
      </c>
      <c r="D10" s="28">
        <f>SUM(D6:D9)</f>
        <v/>
      </c>
      <c r="E10" s="28">
        <f>MAX(E6:E9)</f>
        <v/>
      </c>
      <c r="AZ10">
        <f>IF(AND(업무일지!$B14&lt;&gt;"",업무일지!$AG14="진행중"),MAX(0,TODAY()-업무일지!$B14)*10000+991,"")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>
      <c r="AZ11">
        <f>IF(AND(업무일지!$B15&lt;&gt;"",업무일지!$AG15="진행중"),MAX(0,TODAY()-업무일지!$B15)*10000+990,"")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20" customHeight="1">
      <c r="A12" s="21" t="inlineStr">
        <is>
          <t>2.  진행중 업무 (오래된 순 · 상위 100건)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AZ12">
        <f>IF(AND(업무일지!$B16&lt;&gt;"",업무일지!$AG16="진행중"),MAX(0,TODAY()-업무일지!$B16)*10000+989,"")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 ht="32" customHeight="1">
      <c r="A13" s="23" t="inlineStr">
        <is>
          <t>순위</t>
        </is>
      </c>
      <c r="B13" s="23" t="inlineStr">
        <is>
          <t>경과일수</t>
        </is>
      </c>
      <c r="C13" s="23" t="inlineStr">
        <is>
          <t>시작일</t>
        </is>
      </c>
      <c r="D13" s="23" t="inlineStr">
        <is>
          <t>종료(예정)일</t>
        </is>
      </c>
      <c r="E13" s="23" t="inlineStr">
        <is>
          <t>직무구분</t>
        </is>
      </c>
      <c r="F13" s="23" t="inlineStr">
        <is>
          <t>세부유형</t>
        </is>
      </c>
      <c r="G13" s="23" t="inlineStr">
        <is>
          <t>사건번호</t>
        </is>
      </c>
      <c r="H13" s="23" t="inlineStr">
        <is>
          <t>사건명</t>
        </is>
      </c>
      <c r="I13" s="23" t="inlineStr">
        <is>
          <t>주담당</t>
        </is>
      </c>
      <c r="J13" s="23" t="inlineStr">
        <is>
          <t>투입인원</t>
        </is>
      </c>
      <c r="K13" s="23" t="inlineStr">
        <is>
          <t>장소 / 분석실</t>
        </is>
      </c>
      <c r="L13" s="23" t="inlineStr">
        <is>
          <t>비고</t>
        </is>
      </c>
      <c r="AZ13">
        <f>IF(AND(업무일지!$B17&lt;&gt;"",업무일지!$AG17="진행중"),MAX(0,TODAY()-업무일지!$B17)*10000+988,"")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IF($BA14="","",1)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IF($BA14="","",INDEX(업무일지!$H$5:$H$1004,$BA14))</f>
        <v/>
      </c>
      <c r="I14" s="52">
        <f>IF($BA14="","",INDEX(업무일지!$J$5:$J$1004,$BA14))</f>
        <v/>
      </c>
      <c r="J14" s="24">
        <f>IF($BA14="","",INDEX(업무일지!$Z$5:$Z$1004,$BA14))</f>
        <v/>
      </c>
      <c r="K14" s="47">
        <f>IF($BA14="","",INDEX(업무일지!$AC$5:$AC$1004,$BA14))</f>
        <v/>
      </c>
      <c r="L14" s="47">
        <f>IF($BA14="","",INDEX(업무일지!$AH$5:$AH$1004,$BA14))</f>
        <v/>
      </c>
      <c r="AZ14">
        <f>IF(AND(업무일지!$B18&lt;&gt;"",업무일지!$AG18="진행중"),MAX(0,TODAY()-업무일지!$B18)*10000+987,"")</f>
        <v/>
      </c>
      <c r="BA14">
        <f>IFERROR(MATCH(LARGE($AZ$1:$AZ$1000,1),$AZ$1:$AZ$1000,0),"")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IF($BA15="","",2)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IF($BA15="","",INDEX(업무일지!$H$5:$H$1004,$BA15))</f>
        <v/>
      </c>
      <c r="I15" s="52">
        <f>IF($BA15="","",INDEX(업무일지!$J$5:$J$1004,$BA15))</f>
        <v/>
      </c>
      <c r="J15" s="24">
        <f>IF($BA15="","",INDEX(업무일지!$Z$5:$Z$1004,$BA15))</f>
        <v/>
      </c>
      <c r="K15" s="47">
        <f>IF($BA15="","",INDEX(업무일지!$AC$5:$AC$1004,$BA15))</f>
        <v/>
      </c>
      <c r="L15" s="47">
        <f>IF($BA15="","",INDEX(업무일지!$AH$5:$AH$1004,$BA15))</f>
        <v/>
      </c>
      <c r="AZ15">
        <f>IF(AND(업무일지!$B19&lt;&gt;"",업무일지!$AG19="진행중"),MAX(0,TODAY()-업무일지!$B19)*10000+986,"")</f>
        <v/>
      </c>
      <c r="BA15">
        <f>IFERROR(MATCH(LARGE($AZ$1:$AZ$1000,2),$AZ$1:$AZ$1000,0),"")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IF($BA16="","",3)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IF($BA16="","",INDEX(업무일지!$H$5:$H$1004,$BA16))</f>
        <v/>
      </c>
      <c r="I16" s="52">
        <f>IF($BA16="","",INDEX(업무일지!$J$5:$J$1004,$BA16))</f>
        <v/>
      </c>
      <c r="J16" s="24">
        <f>IF($BA16="","",INDEX(업무일지!$Z$5:$Z$1004,$BA16))</f>
        <v/>
      </c>
      <c r="K16" s="47">
        <f>IF($BA16="","",INDEX(업무일지!$AC$5:$AC$1004,$BA16))</f>
        <v/>
      </c>
      <c r="L16" s="47">
        <f>IF($BA16="","",INDEX(업무일지!$AH$5:$AH$1004,$BA16))</f>
        <v/>
      </c>
      <c r="AZ16">
        <f>IF(AND(업무일지!$B20&lt;&gt;"",업무일지!$AG20="진행중"),MAX(0,TODAY()-업무일지!$B20)*10000+985,"")</f>
        <v/>
      </c>
      <c r="BA16">
        <f>IFERROR(MATCH(LARGE($AZ$1:$AZ$1000,3),$AZ$1:$AZ$1000,0),"")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IF($BA17="","",4)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IF($BA17="","",INDEX(업무일지!$H$5:$H$1004,$BA17))</f>
        <v/>
      </c>
      <c r="I17" s="52">
        <f>IF($BA17="","",INDEX(업무일지!$J$5:$J$1004,$BA17))</f>
        <v/>
      </c>
      <c r="J17" s="24">
        <f>IF($BA17="","",INDEX(업무일지!$Z$5:$Z$1004,$BA17))</f>
        <v/>
      </c>
      <c r="K17" s="47">
        <f>IF($BA17="","",INDEX(업무일지!$AC$5:$AC$1004,$BA17))</f>
        <v/>
      </c>
      <c r="L17" s="47">
        <f>IF($BA17="","",INDEX(업무일지!$AH$5:$AH$1004,$BA17))</f>
        <v/>
      </c>
      <c r="AZ17">
        <f>IF(AND(업무일지!$B21&lt;&gt;"",업무일지!$AG21="진행중"),MAX(0,TODAY()-업무일지!$B21)*10000+984,"")</f>
        <v/>
      </c>
      <c r="BA17">
        <f>IFERROR(MATCH(LARGE($AZ$1:$AZ$1000,4),$AZ$1:$AZ$1000,0),"")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IF($BA18="","",5)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IF($BA18="","",INDEX(업무일지!$H$5:$H$1004,$BA18))</f>
        <v/>
      </c>
      <c r="I18" s="52">
        <f>IF($BA18="","",INDEX(업무일지!$J$5:$J$1004,$BA18))</f>
        <v/>
      </c>
      <c r="J18" s="24">
        <f>IF($BA18="","",INDEX(업무일지!$Z$5:$Z$1004,$BA18))</f>
        <v/>
      </c>
      <c r="K18" s="47">
        <f>IF($BA18="","",INDEX(업무일지!$AC$5:$AC$1004,$BA18))</f>
        <v/>
      </c>
      <c r="L18" s="47">
        <f>IF($BA18="","",INDEX(업무일지!$AH$5:$AH$1004,$BA18))</f>
        <v/>
      </c>
      <c r="AZ18">
        <f>IF(AND(업무일지!$B22&lt;&gt;"",업무일지!$AG22="진행중"),MAX(0,TODAY()-업무일지!$B22)*10000+983,"")</f>
        <v/>
      </c>
      <c r="BA18">
        <f>IFERROR(MATCH(LARGE($AZ$1:$AZ$1000,5),$AZ$1:$AZ$1000,0),"")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IF($BA19="","",6)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IF($BA19="","",INDEX(업무일지!$H$5:$H$1004,$BA19))</f>
        <v/>
      </c>
      <c r="I19" s="52">
        <f>IF($BA19="","",INDEX(업무일지!$J$5:$J$1004,$BA19))</f>
        <v/>
      </c>
      <c r="J19" s="24">
        <f>IF($BA19="","",INDEX(업무일지!$Z$5:$Z$1004,$BA19))</f>
        <v/>
      </c>
      <c r="K19" s="47">
        <f>IF($BA19="","",INDEX(업무일지!$AC$5:$AC$1004,$BA19))</f>
        <v/>
      </c>
      <c r="L19" s="47">
        <f>IF($BA19="","",INDEX(업무일지!$AH$5:$AH$1004,$BA19))</f>
        <v/>
      </c>
      <c r="AZ19">
        <f>IF(AND(업무일지!$B23&lt;&gt;"",업무일지!$AG23="진행중"),MAX(0,TODAY()-업무일지!$B23)*10000+982,"")</f>
        <v/>
      </c>
      <c r="BA19">
        <f>IFERROR(MATCH(LARGE($AZ$1:$AZ$1000,6),$AZ$1:$AZ$1000,0),"")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IF($BA20="","",7)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IF($BA20="","",INDEX(업무일지!$H$5:$H$1004,$BA20))</f>
        <v/>
      </c>
      <c r="I20" s="52">
        <f>IF($BA20="","",INDEX(업무일지!$J$5:$J$1004,$BA20))</f>
        <v/>
      </c>
      <c r="J20" s="24">
        <f>IF($BA20="","",INDEX(업무일지!$Z$5:$Z$1004,$BA20))</f>
        <v/>
      </c>
      <c r="K20" s="47">
        <f>IF($BA20="","",INDEX(업무일지!$AC$5:$AC$1004,$BA20))</f>
        <v/>
      </c>
      <c r="L20" s="47">
        <f>IF($BA20="","",INDEX(업무일지!$AH$5:$AH$1004,$BA20))</f>
        <v/>
      </c>
      <c r="AZ20">
        <f>IF(AND(업무일지!$B24&lt;&gt;"",업무일지!$AG24="진행중"),MAX(0,TODAY()-업무일지!$B24)*10000+981,"")</f>
        <v/>
      </c>
      <c r="BA20">
        <f>IFERROR(MATCH(LARGE($AZ$1:$AZ$1000,7),$AZ$1:$AZ$1000,0),"")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IF($BA21="","",8)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IF($BA21="","",INDEX(업무일지!$H$5:$H$1004,$BA21))</f>
        <v/>
      </c>
      <c r="I21" s="52">
        <f>IF($BA21="","",INDEX(업무일지!$J$5:$J$1004,$BA21))</f>
        <v/>
      </c>
      <c r="J21" s="24">
        <f>IF($BA21="","",INDEX(업무일지!$Z$5:$Z$1004,$BA21))</f>
        <v/>
      </c>
      <c r="K21" s="47">
        <f>IF($BA21="","",INDEX(업무일지!$AC$5:$AC$1004,$BA21))</f>
        <v/>
      </c>
      <c r="L21" s="47">
        <f>IF($BA21="","",INDEX(업무일지!$AH$5:$AH$1004,$BA21))</f>
        <v/>
      </c>
      <c r="AZ21">
        <f>IF(AND(업무일지!$B25&lt;&gt;"",업무일지!$AG25="진행중"),MAX(0,TODAY()-업무일지!$B25)*10000+980,"")</f>
        <v/>
      </c>
      <c r="BA21">
        <f>IFERROR(MATCH(LARGE($AZ$1:$AZ$1000,8),$AZ$1:$AZ$1000,0),"")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IF($BA22="","",9)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IF($BA22="","",INDEX(업무일지!$H$5:$H$1004,$BA22))</f>
        <v/>
      </c>
      <c r="I22" s="52">
        <f>IF($BA22="","",INDEX(업무일지!$J$5:$J$1004,$BA22))</f>
        <v/>
      </c>
      <c r="J22" s="24">
        <f>IF($BA22="","",INDEX(업무일지!$Z$5:$Z$1004,$BA22))</f>
        <v/>
      </c>
      <c r="K22" s="47">
        <f>IF($BA22="","",INDEX(업무일지!$AC$5:$AC$1004,$BA22))</f>
        <v/>
      </c>
      <c r="L22" s="47">
        <f>IF($BA22="","",INDEX(업무일지!$AH$5:$AH$1004,$BA22))</f>
        <v/>
      </c>
      <c r="AZ22">
        <f>IF(AND(업무일지!$B26&lt;&gt;"",업무일지!$AG26="진행중"),MAX(0,TODAY()-업무일지!$B26)*10000+979,"")</f>
        <v/>
      </c>
      <c r="BA22">
        <f>IFERROR(MATCH(LARGE($AZ$1:$AZ$1000,9),$AZ$1:$AZ$1000,0),"")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IF($BA23="","",10)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IF($BA23="","",INDEX(업무일지!$H$5:$H$1004,$BA23))</f>
        <v/>
      </c>
      <c r="I23" s="52">
        <f>IF($BA23="","",INDEX(업무일지!$J$5:$J$1004,$BA23))</f>
        <v/>
      </c>
      <c r="J23" s="24">
        <f>IF($BA23="","",INDEX(업무일지!$Z$5:$Z$1004,$BA23))</f>
        <v/>
      </c>
      <c r="K23" s="47">
        <f>IF($BA23="","",INDEX(업무일지!$AC$5:$AC$1004,$BA23))</f>
        <v/>
      </c>
      <c r="L23" s="47">
        <f>IF($BA23="","",INDEX(업무일지!$AH$5:$AH$1004,$BA23))</f>
        <v/>
      </c>
      <c r="AZ23">
        <f>IF(AND(업무일지!$B27&lt;&gt;"",업무일지!$AG27="진행중"),MAX(0,TODAY()-업무일지!$B27)*10000+978,"")</f>
        <v/>
      </c>
      <c r="BA23">
        <f>IFERROR(MATCH(LARGE($AZ$1:$AZ$1000,10),$AZ$1:$AZ$1000,0),"")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IF($BA24="","",11)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IF($BA24="","",INDEX(업무일지!$H$5:$H$1004,$BA24))</f>
        <v/>
      </c>
      <c r="I24" s="52">
        <f>IF($BA24="","",INDEX(업무일지!$J$5:$J$1004,$BA24))</f>
        <v/>
      </c>
      <c r="J24" s="24">
        <f>IF($BA24="","",INDEX(업무일지!$Z$5:$Z$1004,$BA24))</f>
        <v/>
      </c>
      <c r="K24" s="47">
        <f>IF($BA24="","",INDEX(업무일지!$AC$5:$AC$1004,$BA24))</f>
        <v/>
      </c>
      <c r="L24" s="47">
        <f>IF($BA24="","",INDEX(업무일지!$AH$5:$AH$1004,$BA24))</f>
        <v/>
      </c>
      <c r="AZ24">
        <f>IF(AND(업무일지!$B28&lt;&gt;"",업무일지!$AG28="진행중"),MAX(0,TODAY()-업무일지!$B28)*10000+977,"")</f>
        <v/>
      </c>
      <c r="BA24">
        <f>IFERROR(MATCH(LARGE($AZ$1:$AZ$1000,11),$AZ$1:$AZ$1000,0),"")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IF($BA25="","",12)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IF($BA25="","",INDEX(업무일지!$H$5:$H$1004,$BA25))</f>
        <v/>
      </c>
      <c r="I25" s="52">
        <f>IF($BA25="","",INDEX(업무일지!$J$5:$J$1004,$BA25))</f>
        <v/>
      </c>
      <c r="J25" s="24">
        <f>IF($BA25="","",INDEX(업무일지!$Z$5:$Z$1004,$BA25))</f>
        <v/>
      </c>
      <c r="K25" s="47">
        <f>IF($BA25="","",INDEX(업무일지!$AC$5:$AC$1004,$BA25))</f>
        <v/>
      </c>
      <c r="L25" s="47">
        <f>IF($BA25="","",INDEX(업무일지!$AH$5:$AH$1004,$BA25))</f>
        <v/>
      </c>
      <c r="AZ25">
        <f>IF(AND(업무일지!$B29&lt;&gt;"",업무일지!$AG29="진행중"),MAX(0,TODAY()-업무일지!$B29)*10000+976,"")</f>
        <v/>
      </c>
      <c r="BA25">
        <f>IFERROR(MATCH(LARGE($AZ$1:$AZ$1000,12),$AZ$1:$AZ$1000,0),"")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IF($BA26="","",13)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IF($BA26="","",INDEX(업무일지!$H$5:$H$1004,$BA26))</f>
        <v/>
      </c>
      <c r="I26" s="52">
        <f>IF($BA26="","",INDEX(업무일지!$J$5:$J$1004,$BA26))</f>
        <v/>
      </c>
      <c r="J26" s="24">
        <f>IF($BA26="","",INDEX(업무일지!$Z$5:$Z$1004,$BA26))</f>
        <v/>
      </c>
      <c r="K26" s="47">
        <f>IF($BA26="","",INDEX(업무일지!$AC$5:$AC$1004,$BA26))</f>
        <v/>
      </c>
      <c r="L26" s="47">
        <f>IF($BA26="","",INDEX(업무일지!$AH$5:$AH$1004,$BA26))</f>
        <v/>
      </c>
      <c r="AZ26">
        <f>IF(AND(업무일지!$B30&lt;&gt;"",업무일지!$AG30="진행중"),MAX(0,TODAY()-업무일지!$B30)*10000+975,"")</f>
        <v/>
      </c>
      <c r="BA26">
        <f>IFERROR(MATCH(LARGE($AZ$1:$AZ$1000,13),$AZ$1:$AZ$1000,0),"")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IF($BA27="","",14)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IF($BA27="","",INDEX(업무일지!$H$5:$H$1004,$BA27))</f>
        <v/>
      </c>
      <c r="I27" s="52">
        <f>IF($BA27="","",INDEX(업무일지!$J$5:$J$1004,$BA27))</f>
        <v/>
      </c>
      <c r="J27" s="24">
        <f>IF($BA27="","",INDEX(업무일지!$Z$5:$Z$1004,$BA27))</f>
        <v/>
      </c>
      <c r="K27" s="47">
        <f>IF($BA27="","",INDEX(업무일지!$AC$5:$AC$1004,$BA27))</f>
        <v/>
      </c>
      <c r="L27" s="47">
        <f>IF($BA27="","",INDEX(업무일지!$AH$5:$AH$1004,$BA27))</f>
        <v/>
      </c>
      <c r="AZ27">
        <f>IF(AND(업무일지!$B31&lt;&gt;"",업무일지!$AG31="진행중"),MAX(0,TODAY()-업무일지!$B31)*10000+974,"")</f>
        <v/>
      </c>
      <c r="BA27">
        <f>IFERROR(MATCH(LARGE($AZ$1:$AZ$1000,14),$AZ$1:$AZ$1000,0),"")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IF($BA28="","",15)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IF($BA28="","",INDEX(업무일지!$H$5:$H$1004,$BA28))</f>
        <v/>
      </c>
      <c r="I28" s="52">
        <f>IF($BA28="","",INDEX(업무일지!$J$5:$J$1004,$BA28))</f>
        <v/>
      </c>
      <c r="J28" s="24">
        <f>IF($BA28="","",INDEX(업무일지!$Z$5:$Z$1004,$BA28))</f>
        <v/>
      </c>
      <c r="K28" s="47">
        <f>IF($BA28="","",INDEX(업무일지!$AC$5:$AC$1004,$BA28))</f>
        <v/>
      </c>
      <c r="L28" s="47">
        <f>IF($BA28="","",INDEX(업무일지!$AH$5:$AH$1004,$BA28))</f>
        <v/>
      </c>
      <c r="AZ28">
        <f>IF(AND(업무일지!$B32&lt;&gt;"",업무일지!$AG32="진행중"),MAX(0,TODAY()-업무일지!$B32)*10000+973,"")</f>
        <v/>
      </c>
      <c r="BA28">
        <f>IFERROR(MATCH(LARGE($AZ$1:$AZ$1000,15),$AZ$1:$AZ$1000,0),"")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IF($BA29="","",16)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IF($BA29="","",INDEX(업무일지!$H$5:$H$1004,$BA29))</f>
        <v/>
      </c>
      <c r="I29" s="52">
        <f>IF($BA29="","",INDEX(업무일지!$J$5:$J$1004,$BA29))</f>
        <v/>
      </c>
      <c r="J29" s="24">
        <f>IF($BA29="","",INDEX(업무일지!$Z$5:$Z$1004,$BA29))</f>
        <v/>
      </c>
      <c r="K29" s="47">
        <f>IF($BA29="","",INDEX(업무일지!$AC$5:$AC$1004,$BA29))</f>
        <v/>
      </c>
      <c r="L29" s="47">
        <f>IF($BA29="","",INDEX(업무일지!$AH$5:$AH$1004,$BA29))</f>
        <v/>
      </c>
      <c r="AZ29">
        <f>IF(AND(업무일지!$B33&lt;&gt;"",업무일지!$AG33="진행중"),MAX(0,TODAY()-업무일지!$B33)*10000+972,"")</f>
        <v/>
      </c>
      <c r="BA29">
        <f>IFERROR(MATCH(LARGE($AZ$1:$AZ$1000,16),$AZ$1:$AZ$1000,0),"")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IF($BA30="","",17)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IF($BA30="","",INDEX(업무일지!$H$5:$H$1004,$BA30))</f>
        <v/>
      </c>
      <c r="I30" s="52">
        <f>IF($BA30="","",INDEX(업무일지!$J$5:$J$1004,$BA30))</f>
        <v/>
      </c>
      <c r="J30" s="24">
        <f>IF($BA30="","",INDEX(업무일지!$Z$5:$Z$1004,$BA30))</f>
        <v/>
      </c>
      <c r="K30" s="47">
        <f>IF($BA30="","",INDEX(업무일지!$AC$5:$AC$1004,$BA30))</f>
        <v/>
      </c>
      <c r="L30" s="47">
        <f>IF($BA30="","",INDEX(업무일지!$AH$5:$AH$1004,$BA30))</f>
        <v/>
      </c>
      <c r="AZ30">
        <f>IF(AND(업무일지!$B34&lt;&gt;"",업무일지!$AG34="진행중"),MAX(0,TODAY()-업무일지!$B34)*10000+971,"")</f>
        <v/>
      </c>
      <c r="BA30">
        <f>IFERROR(MATCH(LARGE($AZ$1:$AZ$1000,17),$AZ$1:$AZ$1000,0),"")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IF($BA31="","",18)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IF($BA31="","",INDEX(업무일지!$H$5:$H$1004,$BA31))</f>
        <v/>
      </c>
      <c r="I31" s="52">
        <f>IF($BA31="","",INDEX(업무일지!$J$5:$J$1004,$BA31))</f>
        <v/>
      </c>
      <c r="J31" s="24">
        <f>IF($BA31="","",INDEX(업무일지!$Z$5:$Z$1004,$BA31))</f>
        <v/>
      </c>
      <c r="K31" s="47">
        <f>IF($BA31="","",INDEX(업무일지!$AC$5:$AC$1004,$BA31))</f>
        <v/>
      </c>
      <c r="L31" s="47">
        <f>IF($BA31="","",INDEX(업무일지!$AH$5:$AH$1004,$BA31))</f>
        <v/>
      </c>
      <c r="AZ31">
        <f>IF(AND(업무일지!$B35&lt;&gt;"",업무일지!$AG35="진행중"),MAX(0,TODAY()-업무일지!$B35)*10000+970,"")</f>
        <v/>
      </c>
      <c r="BA31">
        <f>IFERROR(MATCH(LARGE($AZ$1:$AZ$1000,18),$AZ$1:$AZ$1000,0),"")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IF($BA32="","",19)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IF($BA32="","",INDEX(업무일지!$H$5:$H$1004,$BA32))</f>
        <v/>
      </c>
      <c r="I32" s="52">
        <f>IF($BA32="","",INDEX(업무일지!$J$5:$J$1004,$BA32))</f>
        <v/>
      </c>
      <c r="J32" s="24">
        <f>IF($BA32="","",INDEX(업무일지!$Z$5:$Z$1004,$BA32))</f>
        <v/>
      </c>
      <c r="K32" s="47">
        <f>IF($BA32="","",INDEX(업무일지!$AC$5:$AC$1004,$BA32))</f>
        <v/>
      </c>
      <c r="L32" s="47">
        <f>IF($BA32="","",INDEX(업무일지!$AH$5:$AH$1004,$BA32))</f>
        <v/>
      </c>
      <c r="AZ32">
        <f>IF(AND(업무일지!$B36&lt;&gt;"",업무일지!$AG36="진행중"),MAX(0,TODAY()-업무일지!$B36)*10000+969,"")</f>
        <v/>
      </c>
      <c r="BA32">
        <f>IFERROR(MATCH(LARGE($AZ$1:$AZ$1000,19),$AZ$1:$AZ$1000,0),"")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IF($BA33="","",20)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IF($BA33="","",INDEX(업무일지!$H$5:$H$1004,$BA33))</f>
        <v/>
      </c>
      <c r="I33" s="52">
        <f>IF($BA33="","",INDEX(업무일지!$J$5:$J$1004,$BA33))</f>
        <v/>
      </c>
      <c r="J33" s="24">
        <f>IF($BA33="","",INDEX(업무일지!$Z$5:$Z$1004,$BA33))</f>
        <v/>
      </c>
      <c r="K33" s="47">
        <f>IF($BA33="","",INDEX(업무일지!$AC$5:$AC$1004,$BA33))</f>
        <v/>
      </c>
      <c r="L33" s="47">
        <f>IF($BA33="","",INDEX(업무일지!$AH$5:$AH$1004,$BA33))</f>
        <v/>
      </c>
      <c r="AZ33">
        <f>IF(AND(업무일지!$B37&lt;&gt;"",업무일지!$AG37="진행중"),MAX(0,TODAY()-업무일지!$B37)*10000+968,"")</f>
        <v/>
      </c>
      <c r="BA33">
        <f>IFERROR(MATCH(LARGE($AZ$1:$AZ$1000,20),$AZ$1:$AZ$1000,0),"")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IF($BA34="","",21)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IF($BA34="","",INDEX(업무일지!$H$5:$H$1004,$BA34))</f>
        <v/>
      </c>
      <c r="I34" s="52">
        <f>IF($BA34="","",INDEX(업무일지!$J$5:$J$1004,$BA34))</f>
        <v/>
      </c>
      <c r="J34" s="24">
        <f>IF($BA34="","",INDEX(업무일지!$Z$5:$Z$1004,$BA34))</f>
        <v/>
      </c>
      <c r="K34" s="47">
        <f>IF($BA34="","",INDEX(업무일지!$AC$5:$AC$1004,$BA34))</f>
        <v/>
      </c>
      <c r="L34" s="47">
        <f>IF($BA34="","",INDEX(업무일지!$AH$5:$AH$1004,$BA34))</f>
        <v/>
      </c>
      <c r="AZ34">
        <f>IF(AND(업무일지!$B38&lt;&gt;"",업무일지!$AG38="진행중"),MAX(0,TODAY()-업무일지!$B38)*10000+967,"")</f>
        <v/>
      </c>
      <c r="BA34">
        <f>IFERROR(MATCH(LARGE($AZ$1:$AZ$1000,21),$AZ$1:$AZ$1000,0),"")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IF($BA35="","",22)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IF($BA35="","",INDEX(업무일지!$H$5:$H$1004,$BA35))</f>
        <v/>
      </c>
      <c r="I35" s="52">
        <f>IF($BA35="","",INDEX(업무일지!$J$5:$J$1004,$BA35))</f>
        <v/>
      </c>
      <c r="J35" s="24">
        <f>IF($BA35="","",INDEX(업무일지!$Z$5:$Z$1004,$BA35))</f>
        <v/>
      </c>
      <c r="K35" s="47">
        <f>IF($BA35="","",INDEX(업무일지!$AC$5:$AC$1004,$BA35))</f>
        <v/>
      </c>
      <c r="L35" s="47">
        <f>IF($BA35="","",INDEX(업무일지!$AH$5:$AH$1004,$BA35))</f>
        <v/>
      </c>
      <c r="AZ35">
        <f>IF(AND(업무일지!$B39&lt;&gt;"",업무일지!$AG39="진행중"),MAX(0,TODAY()-업무일지!$B39)*10000+966,"")</f>
        <v/>
      </c>
      <c r="BA35">
        <f>IFERROR(MATCH(LARGE($AZ$1:$AZ$1000,22),$AZ$1:$AZ$1000,0),"")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IF($BA36="","",23)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IF($BA36="","",INDEX(업무일지!$H$5:$H$1004,$BA36))</f>
        <v/>
      </c>
      <c r="I36" s="52">
        <f>IF($BA36="","",INDEX(업무일지!$J$5:$J$1004,$BA36))</f>
        <v/>
      </c>
      <c r="J36" s="24">
        <f>IF($BA36="","",INDEX(업무일지!$Z$5:$Z$1004,$BA36))</f>
        <v/>
      </c>
      <c r="K36" s="47">
        <f>IF($BA36="","",INDEX(업무일지!$AC$5:$AC$1004,$BA36))</f>
        <v/>
      </c>
      <c r="L36" s="47">
        <f>IF($BA36="","",INDEX(업무일지!$AH$5:$AH$1004,$BA36))</f>
        <v/>
      </c>
      <c r="AZ36">
        <f>IF(AND(업무일지!$B40&lt;&gt;"",업무일지!$AG40="진행중"),MAX(0,TODAY()-업무일지!$B40)*10000+965,"")</f>
        <v/>
      </c>
      <c r="BA36">
        <f>IFERROR(MATCH(LARGE($AZ$1:$AZ$1000,23),$AZ$1:$AZ$1000,0),"")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IF($BA37="","",24)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IF($BA37="","",INDEX(업무일지!$H$5:$H$1004,$BA37))</f>
        <v/>
      </c>
      <c r="I37" s="52">
        <f>IF($BA37="","",INDEX(업무일지!$J$5:$J$1004,$BA37))</f>
        <v/>
      </c>
      <c r="J37" s="24">
        <f>IF($BA37="","",INDEX(업무일지!$Z$5:$Z$1004,$BA37))</f>
        <v/>
      </c>
      <c r="K37" s="47">
        <f>IF($BA37="","",INDEX(업무일지!$AC$5:$AC$1004,$BA37))</f>
        <v/>
      </c>
      <c r="L37" s="47">
        <f>IF($BA37="","",INDEX(업무일지!$AH$5:$AH$1004,$BA37))</f>
        <v/>
      </c>
      <c r="AZ37">
        <f>IF(AND(업무일지!$B41&lt;&gt;"",업무일지!$AG41="진행중"),MAX(0,TODAY()-업무일지!$B41)*10000+964,"")</f>
        <v/>
      </c>
      <c r="BA37">
        <f>IFERROR(MATCH(LARGE($AZ$1:$AZ$1000,24),$AZ$1:$AZ$1000,0),"")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IF($BA38="","",25)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IF($BA38="","",INDEX(업무일지!$H$5:$H$1004,$BA38))</f>
        <v/>
      </c>
      <c r="I38" s="52">
        <f>IF($BA38="","",INDEX(업무일지!$J$5:$J$1004,$BA38))</f>
        <v/>
      </c>
      <c r="J38" s="24">
        <f>IF($BA38="","",INDEX(업무일지!$Z$5:$Z$1004,$BA38))</f>
        <v/>
      </c>
      <c r="K38" s="47">
        <f>IF($BA38="","",INDEX(업무일지!$AC$5:$AC$1004,$BA38))</f>
        <v/>
      </c>
      <c r="L38" s="47">
        <f>IF($BA38="","",INDEX(업무일지!$AH$5:$AH$1004,$BA38))</f>
        <v/>
      </c>
      <c r="AZ38">
        <f>IF(AND(업무일지!$B42&lt;&gt;"",업무일지!$AG42="진행중"),MAX(0,TODAY()-업무일지!$B42)*10000+963,"")</f>
        <v/>
      </c>
      <c r="BA38">
        <f>IFERROR(MATCH(LARGE($AZ$1:$AZ$1000,25),$AZ$1:$AZ$1000,0),"")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IF($BA39="","",26)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IF($BA39="","",INDEX(업무일지!$H$5:$H$1004,$BA39))</f>
        <v/>
      </c>
      <c r="I39" s="52">
        <f>IF($BA39="","",INDEX(업무일지!$J$5:$J$1004,$BA39))</f>
        <v/>
      </c>
      <c r="J39" s="24">
        <f>IF($BA39="","",INDEX(업무일지!$Z$5:$Z$1004,$BA39))</f>
        <v/>
      </c>
      <c r="K39" s="47">
        <f>IF($BA39="","",INDEX(업무일지!$AC$5:$AC$1004,$BA39))</f>
        <v/>
      </c>
      <c r="L39" s="47">
        <f>IF($BA39="","",INDEX(업무일지!$AH$5:$AH$1004,$BA39))</f>
        <v/>
      </c>
      <c r="AZ39">
        <f>IF(AND(업무일지!$B43&lt;&gt;"",업무일지!$AG43="진행중"),MAX(0,TODAY()-업무일지!$B43)*10000+962,"")</f>
        <v/>
      </c>
      <c r="BA39">
        <f>IFERROR(MATCH(LARGE($AZ$1:$AZ$1000,26),$AZ$1:$AZ$1000,0),"")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IF($BA40="","",27)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IF($BA40="","",INDEX(업무일지!$H$5:$H$1004,$BA40))</f>
        <v/>
      </c>
      <c r="I40" s="52">
        <f>IF($BA40="","",INDEX(업무일지!$J$5:$J$1004,$BA40))</f>
        <v/>
      </c>
      <c r="J40" s="24">
        <f>IF($BA40="","",INDEX(업무일지!$Z$5:$Z$1004,$BA40))</f>
        <v/>
      </c>
      <c r="K40" s="47">
        <f>IF($BA40="","",INDEX(업무일지!$AC$5:$AC$1004,$BA40))</f>
        <v/>
      </c>
      <c r="L40" s="47">
        <f>IF($BA40="","",INDEX(업무일지!$AH$5:$AH$1004,$BA40))</f>
        <v/>
      </c>
      <c r="AZ40">
        <f>IF(AND(업무일지!$B44&lt;&gt;"",업무일지!$AG44="진행중"),MAX(0,TODAY()-업무일지!$B44)*10000+961,"")</f>
        <v/>
      </c>
      <c r="BA40">
        <f>IFERROR(MATCH(LARGE($AZ$1:$AZ$1000,27),$AZ$1:$AZ$1000,0),"")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IF($BA41="","",28)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IF($BA41="","",INDEX(업무일지!$H$5:$H$1004,$BA41))</f>
        <v/>
      </c>
      <c r="I41" s="52">
        <f>IF($BA41="","",INDEX(업무일지!$J$5:$J$1004,$BA41))</f>
        <v/>
      </c>
      <c r="J41" s="24">
        <f>IF($BA41="","",INDEX(업무일지!$Z$5:$Z$1004,$BA41))</f>
        <v/>
      </c>
      <c r="K41" s="47">
        <f>IF($BA41="","",INDEX(업무일지!$AC$5:$AC$1004,$BA41))</f>
        <v/>
      </c>
      <c r="L41" s="47">
        <f>IF($BA41="","",INDEX(업무일지!$AH$5:$AH$1004,$BA41))</f>
        <v/>
      </c>
      <c r="AZ41">
        <f>IF(AND(업무일지!$B45&lt;&gt;"",업무일지!$AG45="진행중"),MAX(0,TODAY()-업무일지!$B45)*10000+960,"")</f>
        <v/>
      </c>
      <c r="BA41">
        <f>IFERROR(MATCH(LARGE($AZ$1:$AZ$1000,28),$AZ$1:$AZ$1000,0),"")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IF($BA42="","",29)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IF($BA42="","",INDEX(업무일지!$H$5:$H$1004,$BA42))</f>
        <v/>
      </c>
      <c r="I42" s="52">
        <f>IF($BA42="","",INDEX(업무일지!$J$5:$J$1004,$BA42))</f>
        <v/>
      </c>
      <c r="J42" s="24">
        <f>IF($BA42="","",INDEX(업무일지!$Z$5:$Z$1004,$BA42))</f>
        <v/>
      </c>
      <c r="K42" s="47">
        <f>IF($BA42="","",INDEX(업무일지!$AC$5:$AC$1004,$BA42))</f>
        <v/>
      </c>
      <c r="L42" s="47">
        <f>IF($BA42="","",INDEX(업무일지!$AH$5:$AH$1004,$BA42))</f>
        <v/>
      </c>
      <c r="AZ42">
        <f>IF(AND(업무일지!$B46&lt;&gt;"",업무일지!$AG46="진행중"),MAX(0,TODAY()-업무일지!$B46)*10000+959,"")</f>
        <v/>
      </c>
      <c r="BA42">
        <f>IFERROR(MATCH(LARGE($AZ$1:$AZ$1000,29),$AZ$1:$AZ$1000,0),"")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IF($BA43="","",30)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IF($BA43="","",INDEX(업무일지!$H$5:$H$1004,$BA43))</f>
        <v/>
      </c>
      <c r="I43" s="52">
        <f>IF($BA43="","",INDEX(업무일지!$J$5:$J$1004,$BA43))</f>
        <v/>
      </c>
      <c r="J43" s="24">
        <f>IF($BA43="","",INDEX(업무일지!$Z$5:$Z$1004,$BA43))</f>
        <v/>
      </c>
      <c r="K43" s="47">
        <f>IF($BA43="","",INDEX(업무일지!$AC$5:$AC$1004,$BA43))</f>
        <v/>
      </c>
      <c r="L43" s="47">
        <f>IF($BA43="","",INDEX(업무일지!$AH$5:$AH$1004,$BA43))</f>
        <v/>
      </c>
      <c r="AZ43">
        <f>IF(AND(업무일지!$B47&lt;&gt;"",업무일지!$AG47="진행중"),MAX(0,TODAY()-업무일지!$B47)*10000+958,"")</f>
        <v/>
      </c>
      <c r="BA43">
        <f>IFERROR(MATCH(LARGE($AZ$1:$AZ$1000,30),$AZ$1:$AZ$1000,0),"")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IF($BA44="","",31)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IF($BA44="","",INDEX(업무일지!$H$5:$H$1004,$BA44))</f>
        <v/>
      </c>
      <c r="I44" s="52">
        <f>IF($BA44="","",INDEX(업무일지!$J$5:$J$1004,$BA44))</f>
        <v/>
      </c>
      <c r="J44" s="24">
        <f>IF($BA44="","",INDEX(업무일지!$Z$5:$Z$1004,$BA44))</f>
        <v/>
      </c>
      <c r="K44" s="47">
        <f>IF($BA44="","",INDEX(업무일지!$AC$5:$AC$1004,$BA44))</f>
        <v/>
      </c>
      <c r="L44" s="47">
        <f>IF($BA44="","",INDEX(업무일지!$AH$5:$AH$1004,$BA44))</f>
        <v/>
      </c>
      <c r="AZ44">
        <f>IF(AND(업무일지!$B48&lt;&gt;"",업무일지!$AG48="진행중"),MAX(0,TODAY()-업무일지!$B48)*10000+957,"")</f>
        <v/>
      </c>
      <c r="BA44">
        <f>IFERROR(MATCH(LARGE($AZ$1:$AZ$1000,31),$AZ$1:$AZ$1000,0),"")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IF($BA45="","",32)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IF($BA45="","",INDEX(업무일지!$H$5:$H$1004,$BA45))</f>
        <v/>
      </c>
      <c r="I45" s="52">
        <f>IF($BA45="","",INDEX(업무일지!$J$5:$J$1004,$BA45))</f>
        <v/>
      </c>
      <c r="J45" s="24">
        <f>IF($BA45="","",INDEX(업무일지!$Z$5:$Z$1004,$BA45))</f>
        <v/>
      </c>
      <c r="K45" s="47">
        <f>IF($BA45="","",INDEX(업무일지!$AC$5:$AC$1004,$BA45))</f>
        <v/>
      </c>
      <c r="L45" s="47">
        <f>IF($BA45="","",INDEX(업무일지!$AH$5:$AH$1004,$BA45))</f>
        <v/>
      </c>
      <c r="AZ45">
        <f>IF(AND(업무일지!$B49&lt;&gt;"",업무일지!$AG49="진행중"),MAX(0,TODAY()-업무일지!$B49)*10000+956,"")</f>
        <v/>
      </c>
      <c r="BA45">
        <f>IFERROR(MATCH(LARGE($AZ$1:$AZ$1000,32),$AZ$1:$AZ$1000,0),"")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IF($BA46="","",33)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IF($BA46="","",INDEX(업무일지!$H$5:$H$1004,$BA46))</f>
        <v/>
      </c>
      <c r="I46" s="52">
        <f>IF($BA46="","",INDEX(업무일지!$J$5:$J$1004,$BA46))</f>
        <v/>
      </c>
      <c r="J46" s="24">
        <f>IF($BA46="","",INDEX(업무일지!$Z$5:$Z$1004,$BA46))</f>
        <v/>
      </c>
      <c r="K46" s="47">
        <f>IF($BA46="","",INDEX(업무일지!$AC$5:$AC$1004,$BA46))</f>
        <v/>
      </c>
      <c r="L46" s="47">
        <f>IF($BA46="","",INDEX(업무일지!$AH$5:$AH$1004,$BA46))</f>
        <v/>
      </c>
      <c r="AZ46">
        <f>IF(AND(업무일지!$B50&lt;&gt;"",업무일지!$AG50="진행중"),MAX(0,TODAY()-업무일지!$B50)*10000+955,"")</f>
        <v/>
      </c>
      <c r="BA46">
        <f>IFERROR(MATCH(LARGE($AZ$1:$AZ$1000,33),$AZ$1:$AZ$1000,0),"")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IF($BA47="","",34)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IF($BA47="","",INDEX(업무일지!$H$5:$H$1004,$BA47))</f>
        <v/>
      </c>
      <c r="I47" s="52">
        <f>IF($BA47="","",INDEX(업무일지!$J$5:$J$1004,$BA47))</f>
        <v/>
      </c>
      <c r="J47" s="24">
        <f>IF($BA47="","",INDEX(업무일지!$Z$5:$Z$1004,$BA47))</f>
        <v/>
      </c>
      <c r="K47" s="47">
        <f>IF($BA47="","",INDEX(업무일지!$AC$5:$AC$1004,$BA47))</f>
        <v/>
      </c>
      <c r="L47" s="47">
        <f>IF($BA47="","",INDEX(업무일지!$AH$5:$AH$1004,$BA47))</f>
        <v/>
      </c>
      <c r="AZ47">
        <f>IF(AND(업무일지!$B51&lt;&gt;"",업무일지!$AG51="진행중"),MAX(0,TODAY()-업무일지!$B51)*10000+954,"")</f>
        <v/>
      </c>
      <c r="BA47">
        <f>IFERROR(MATCH(LARGE($AZ$1:$AZ$1000,34),$AZ$1:$AZ$1000,0),"")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IF($BA48="","",35)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IF($BA48="","",INDEX(업무일지!$H$5:$H$1004,$BA48))</f>
        <v/>
      </c>
      <c r="I48" s="52">
        <f>IF($BA48="","",INDEX(업무일지!$J$5:$J$1004,$BA48))</f>
        <v/>
      </c>
      <c r="J48" s="24">
        <f>IF($BA48="","",INDEX(업무일지!$Z$5:$Z$1004,$BA48))</f>
        <v/>
      </c>
      <c r="K48" s="47">
        <f>IF($BA48="","",INDEX(업무일지!$AC$5:$AC$1004,$BA48))</f>
        <v/>
      </c>
      <c r="L48" s="47">
        <f>IF($BA48="","",INDEX(업무일지!$AH$5:$AH$1004,$BA48))</f>
        <v/>
      </c>
      <c r="AZ48">
        <f>IF(AND(업무일지!$B52&lt;&gt;"",업무일지!$AG52="진행중"),MAX(0,TODAY()-업무일지!$B52)*10000+953,"")</f>
        <v/>
      </c>
      <c r="BA48">
        <f>IFERROR(MATCH(LARGE($AZ$1:$AZ$1000,35),$AZ$1:$AZ$1000,0),"")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IF($BA49="","",36)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IF($BA49="","",INDEX(업무일지!$H$5:$H$1004,$BA49))</f>
        <v/>
      </c>
      <c r="I49" s="52">
        <f>IF($BA49="","",INDEX(업무일지!$J$5:$J$1004,$BA49))</f>
        <v/>
      </c>
      <c r="J49" s="24">
        <f>IF($BA49="","",INDEX(업무일지!$Z$5:$Z$1004,$BA49))</f>
        <v/>
      </c>
      <c r="K49" s="47">
        <f>IF($BA49="","",INDEX(업무일지!$AC$5:$AC$1004,$BA49))</f>
        <v/>
      </c>
      <c r="L49" s="47">
        <f>IF($BA49="","",INDEX(업무일지!$AH$5:$AH$1004,$BA49))</f>
        <v/>
      </c>
      <c r="AZ49">
        <f>IF(AND(업무일지!$B53&lt;&gt;"",업무일지!$AG53="진행중"),MAX(0,TODAY()-업무일지!$B53)*10000+952,"")</f>
        <v/>
      </c>
      <c r="BA49">
        <f>IFERROR(MATCH(LARGE($AZ$1:$AZ$1000,36),$AZ$1:$AZ$1000,0),"")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IF($BA50="","",37)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IF($BA50="","",INDEX(업무일지!$H$5:$H$1004,$BA50))</f>
        <v/>
      </c>
      <c r="I50" s="52">
        <f>IF($BA50="","",INDEX(업무일지!$J$5:$J$1004,$BA50))</f>
        <v/>
      </c>
      <c r="J50" s="24">
        <f>IF($BA50="","",INDEX(업무일지!$Z$5:$Z$1004,$BA50))</f>
        <v/>
      </c>
      <c r="K50" s="47">
        <f>IF($BA50="","",INDEX(업무일지!$AC$5:$AC$1004,$BA50))</f>
        <v/>
      </c>
      <c r="L50" s="47">
        <f>IF($BA50="","",INDEX(업무일지!$AH$5:$AH$1004,$BA50))</f>
        <v/>
      </c>
      <c r="AZ50">
        <f>IF(AND(업무일지!$B54&lt;&gt;"",업무일지!$AG54="진행중"),MAX(0,TODAY()-업무일지!$B54)*10000+951,"")</f>
        <v/>
      </c>
      <c r="BA50">
        <f>IFERROR(MATCH(LARGE($AZ$1:$AZ$1000,37),$AZ$1:$AZ$1000,0),"")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IF($BA51="","",38)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IF($BA51="","",INDEX(업무일지!$H$5:$H$1004,$BA51))</f>
        <v/>
      </c>
      <c r="I51" s="52">
        <f>IF($BA51="","",INDEX(업무일지!$J$5:$J$1004,$BA51))</f>
        <v/>
      </c>
      <c r="J51" s="24">
        <f>IF($BA51="","",INDEX(업무일지!$Z$5:$Z$1004,$BA51))</f>
        <v/>
      </c>
      <c r="K51" s="47">
        <f>IF($BA51="","",INDEX(업무일지!$AC$5:$AC$1004,$BA51))</f>
        <v/>
      </c>
      <c r="L51" s="47">
        <f>IF($BA51="","",INDEX(업무일지!$AH$5:$AH$1004,$BA51))</f>
        <v/>
      </c>
      <c r="AZ51">
        <f>IF(AND(업무일지!$B55&lt;&gt;"",업무일지!$AG55="진행중"),MAX(0,TODAY()-업무일지!$B55)*10000+950,"")</f>
        <v/>
      </c>
      <c r="BA51">
        <f>IFERROR(MATCH(LARGE($AZ$1:$AZ$1000,38),$AZ$1:$AZ$1000,0),"")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IF($BA52="","",39)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IF($BA52="","",INDEX(업무일지!$H$5:$H$1004,$BA52))</f>
        <v/>
      </c>
      <c r="I52" s="52">
        <f>IF($BA52="","",INDEX(업무일지!$J$5:$J$1004,$BA52))</f>
        <v/>
      </c>
      <c r="J52" s="24">
        <f>IF($BA52="","",INDEX(업무일지!$Z$5:$Z$1004,$BA52))</f>
        <v/>
      </c>
      <c r="K52" s="47">
        <f>IF($BA52="","",INDEX(업무일지!$AC$5:$AC$1004,$BA52))</f>
        <v/>
      </c>
      <c r="L52" s="47">
        <f>IF($BA52="","",INDEX(업무일지!$AH$5:$AH$1004,$BA52))</f>
        <v/>
      </c>
      <c r="AZ52">
        <f>IF(AND(업무일지!$B56&lt;&gt;"",업무일지!$AG56="진행중"),MAX(0,TODAY()-업무일지!$B56)*10000+949,"")</f>
        <v/>
      </c>
      <c r="BA52">
        <f>IFERROR(MATCH(LARGE($AZ$1:$AZ$1000,39),$AZ$1:$AZ$1000,0),"")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IF($BA53="","",40)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IF($BA53="","",INDEX(업무일지!$H$5:$H$1004,$BA53))</f>
        <v/>
      </c>
      <c r="I53" s="52">
        <f>IF($BA53="","",INDEX(업무일지!$J$5:$J$1004,$BA53))</f>
        <v/>
      </c>
      <c r="J53" s="24">
        <f>IF($BA53="","",INDEX(업무일지!$Z$5:$Z$1004,$BA53))</f>
        <v/>
      </c>
      <c r="K53" s="47">
        <f>IF($BA53="","",INDEX(업무일지!$AC$5:$AC$1004,$BA53))</f>
        <v/>
      </c>
      <c r="L53" s="47">
        <f>IF($BA53="","",INDEX(업무일지!$AH$5:$AH$1004,$BA53))</f>
        <v/>
      </c>
      <c r="AZ53">
        <f>IF(AND(업무일지!$B57&lt;&gt;"",업무일지!$AG57="진행중"),MAX(0,TODAY()-업무일지!$B57)*10000+948,"")</f>
        <v/>
      </c>
      <c r="BA53">
        <f>IFERROR(MATCH(LARGE($AZ$1:$AZ$1000,40),$AZ$1:$AZ$1000,0),"")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IF($BA54="","",41)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IF($BA54="","",INDEX(업무일지!$H$5:$H$1004,$BA54))</f>
        <v/>
      </c>
      <c r="I54" s="52">
        <f>IF($BA54="","",INDEX(업무일지!$J$5:$J$1004,$BA54))</f>
        <v/>
      </c>
      <c r="J54" s="24">
        <f>IF($BA54="","",INDEX(업무일지!$Z$5:$Z$1004,$BA54))</f>
        <v/>
      </c>
      <c r="K54" s="47">
        <f>IF($BA54="","",INDEX(업무일지!$AC$5:$AC$1004,$BA54))</f>
        <v/>
      </c>
      <c r="L54" s="47">
        <f>IF($BA54="","",INDEX(업무일지!$AH$5:$AH$1004,$BA54))</f>
        <v/>
      </c>
      <c r="AZ54">
        <f>IF(AND(업무일지!$B58&lt;&gt;"",업무일지!$AG58="진행중"),MAX(0,TODAY()-업무일지!$B58)*10000+947,"")</f>
        <v/>
      </c>
      <c r="BA54">
        <f>IFERROR(MATCH(LARGE($AZ$1:$AZ$1000,41),$AZ$1:$AZ$1000,0),"")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IF($BA55="","",42)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IF($BA55="","",INDEX(업무일지!$H$5:$H$1004,$BA55))</f>
        <v/>
      </c>
      <c r="I55" s="52">
        <f>IF($BA55="","",INDEX(업무일지!$J$5:$J$1004,$BA55))</f>
        <v/>
      </c>
      <c r="J55" s="24">
        <f>IF($BA55="","",INDEX(업무일지!$Z$5:$Z$1004,$BA55))</f>
        <v/>
      </c>
      <c r="K55" s="47">
        <f>IF($BA55="","",INDEX(업무일지!$AC$5:$AC$1004,$BA55))</f>
        <v/>
      </c>
      <c r="L55" s="47">
        <f>IF($BA55="","",INDEX(업무일지!$AH$5:$AH$1004,$BA55))</f>
        <v/>
      </c>
      <c r="AZ55">
        <f>IF(AND(업무일지!$B59&lt;&gt;"",업무일지!$AG59="진행중"),MAX(0,TODAY()-업무일지!$B59)*10000+946,"")</f>
        <v/>
      </c>
      <c r="BA55">
        <f>IFERROR(MATCH(LARGE($AZ$1:$AZ$1000,42),$AZ$1:$AZ$1000,0),"")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IF($BA56="","",43)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IF($BA56="","",INDEX(업무일지!$H$5:$H$1004,$BA56))</f>
        <v/>
      </c>
      <c r="I56" s="52">
        <f>IF($BA56="","",INDEX(업무일지!$J$5:$J$1004,$BA56))</f>
        <v/>
      </c>
      <c r="J56" s="24">
        <f>IF($BA56="","",INDEX(업무일지!$Z$5:$Z$1004,$BA56))</f>
        <v/>
      </c>
      <c r="K56" s="47">
        <f>IF($BA56="","",INDEX(업무일지!$AC$5:$AC$1004,$BA56))</f>
        <v/>
      </c>
      <c r="L56" s="47">
        <f>IF($BA56="","",INDEX(업무일지!$AH$5:$AH$1004,$BA56))</f>
        <v/>
      </c>
      <c r="AZ56">
        <f>IF(AND(업무일지!$B60&lt;&gt;"",업무일지!$AG60="진행중"),MAX(0,TODAY()-업무일지!$B60)*10000+945,"")</f>
        <v/>
      </c>
      <c r="BA56">
        <f>IFERROR(MATCH(LARGE($AZ$1:$AZ$1000,43),$AZ$1:$AZ$1000,0),"")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IF($BA57="","",44)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IF($BA57="","",INDEX(업무일지!$H$5:$H$1004,$BA57))</f>
        <v/>
      </c>
      <c r="I57" s="52">
        <f>IF($BA57="","",INDEX(업무일지!$J$5:$J$1004,$BA57))</f>
        <v/>
      </c>
      <c r="J57" s="24">
        <f>IF($BA57="","",INDEX(업무일지!$Z$5:$Z$1004,$BA57))</f>
        <v/>
      </c>
      <c r="K57" s="47">
        <f>IF($BA57="","",INDEX(업무일지!$AC$5:$AC$1004,$BA57))</f>
        <v/>
      </c>
      <c r="L57" s="47">
        <f>IF($BA57="","",INDEX(업무일지!$AH$5:$AH$1004,$BA57))</f>
        <v/>
      </c>
      <c r="AZ57">
        <f>IF(AND(업무일지!$B61&lt;&gt;"",업무일지!$AG61="진행중"),MAX(0,TODAY()-업무일지!$B61)*10000+944,"")</f>
        <v/>
      </c>
      <c r="BA57">
        <f>IFERROR(MATCH(LARGE($AZ$1:$AZ$1000,44),$AZ$1:$AZ$1000,0),"")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IF($BA58="","",45)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IF($BA58="","",INDEX(업무일지!$H$5:$H$1004,$BA58))</f>
        <v/>
      </c>
      <c r="I58" s="52">
        <f>IF($BA58="","",INDEX(업무일지!$J$5:$J$1004,$BA58))</f>
        <v/>
      </c>
      <c r="J58" s="24">
        <f>IF($BA58="","",INDEX(업무일지!$Z$5:$Z$1004,$BA58))</f>
        <v/>
      </c>
      <c r="K58" s="47">
        <f>IF($BA58="","",INDEX(업무일지!$AC$5:$AC$1004,$BA58))</f>
        <v/>
      </c>
      <c r="L58" s="47">
        <f>IF($BA58="","",INDEX(업무일지!$AH$5:$AH$1004,$BA58))</f>
        <v/>
      </c>
      <c r="AZ58">
        <f>IF(AND(업무일지!$B62&lt;&gt;"",업무일지!$AG62="진행중"),MAX(0,TODAY()-업무일지!$B62)*10000+943,"")</f>
        <v/>
      </c>
      <c r="BA58">
        <f>IFERROR(MATCH(LARGE($AZ$1:$AZ$1000,45),$AZ$1:$AZ$1000,0),"")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IF($BA59="","",46)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IF($BA59="","",INDEX(업무일지!$H$5:$H$1004,$BA59))</f>
        <v/>
      </c>
      <c r="I59" s="52">
        <f>IF($BA59="","",INDEX(업무일지!$J$5:$J$1004,$BA59))</f>
        <v/>
      </c>
      <c r="J59" s="24">
        <f>IF($BA59="","",INDEX(업무일지!$Z$5:$Z$1004,$BA59))</f>
        <v/>
      </c>
      <c r="K59" s="47">
        <f>IF($BA59="","",INDEX(업무일지!$AC$5:$AC$1004,$BA59))</f>
        <v/>
      </c>
      <c r="L59" s="47">
        <f>IF($BA59="","",INDEX(업무일지!$AH$5:$AH$1004,$BA59))</f>
        <v/>
      </c>
      <c r="AZ59">
        <f>IF(AND(업무일지!$B63&lt;&gt;"",업무일지!$AG63="진행중"),MAX(0,TODAY()-업무일지!$B63)*10000+942,"")</f>
        <v/>
      </c>
      <c r="BA59">
        <f>IFERROR(MATCH(LARGE($AZ$1:$AZ$1000,46),$AZ$1:$AZ$1000,0),"")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IF($BA60="","",47)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IF($BA60="","",INDEX(업무일지!$H$5:$H$1004,$BA60))</f>
        <v/>
      </c>
      <c r="I60" s="52">
        <f>IF($BA60="","",INDEX(업무일지!$J$5:$J$1004,$BA60))</f>
        <v/>
      </c>
      <c r="J60" s="24">
        <f>IF($BA60="","",INDEX(업무일지!$Z$5:$Z$1004,$BA60))</f>
        <v/>
      </c>
      <c r="K60" s="47">
        <f>IF($BA60="","",INDEX(업무일지!$AC$5:$AC$1004,$BA60))</f>
        <v/>
      </c>
      <c r="L60" s="47">
        <f>IF($BA60="","",INDEX(업무일지!$AH$5:$AH$1004,$BA60))</f>
        <v/>
      </c>
      <c r="AZ60">
        <f>IF(AND(업무일지!$B64&lt;&gt;"",업무일지!$AG64="진행중"),MAX(0,TODAY()-업무일지!$B64)*10000+941,"")</f>
        <v/>
      </c>
      <c r="BA60">
        <f>IFERROR(MATCH(LARGE($AZ$1:$AZ$1000,47),$AZ$1:$AZ$1000,0),"")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IF($BA61="","",48)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IF($BA61="","",INDEX(업무일지!$H$5:$H$1004,$BA61))</f>
        <v/>
      </c>
      <c r="I61" s="52">
        <f>IF($BA61="","",INDEX(업무일지!$J$5:$J$1004,$BA61))</f>
        <v/>
      </c>
      <c r="J61" s="24">
        <f>IF($BA61="","",INDEX(업무일지!$Z$5:$Z$1004,$BA61))</f>
        <v/>
      </c>
      <c r="K61" s="47">
        <f>IF($BA61="","",INDEX(업무일지!$AC$5:$AC$1004,$BA61))</f>
        <v/>
      </c>
      <c r="L61" s="47">
        <f>IF($BA61="","",INDEX(업무일지!$AH$5:$AH$1004,$BA61))</f>
        <v/>
      </c>
      <c r="AZ61">
        <f>IF(AND(업무일지!$B65&lt;&gt;"",업무일지!$AG65="진행중"),MAX(0,TODAY()-업무일지!$B65)*10000+940,"")</f>
        <v/>
      </c>
      <c r="BA61">
        <f>IFERROR(MATCH(LARGE($AZ$1:$AZ$1000,48),$AZ$1:$AZ$1000,0),"")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IF($BA62="","",49)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IF($BA62="","",INDEX(업무일지!$H$5:$H$1004,$BA62))</f>
        <v/>
      </c>
      <c r="I62" s="52">
        <f>IF($BA62="","",INDEX(업무일지!$J$5:$J$1004,$BA62))</f>
        <v/>
      </c>
      <c r="J62" s="24">
        <f>IF($BA62="","",INDEX(업무일지!$Z$5:$Z$1004,$BA62))</f>
        <v/>
      </c>
      <c r="K62" s="47">
        <f>IF($BA62="","",INDEX(업무일지!$AC$5:$AC$1004,$BA62))</f>
        <v/>
      </c>
      <c r="L62" s="47">
        <f>IF($BA62="","",INDEX(업무일지!$AH$5:$AH$1004,$BA62))</f>
        <v/>
      </c>
      <c r="AZ62">
        <f>IF(AND(업무일지!$B66&lt;&gt;"",업무일지!$AG66="진행중"),MAX(0,TODAY()-업무일지!$B66)*10000+939,"")</f>
        <v/>
      </c>
      <c r="BA62">
        <f>IFERROR(MATCH(LARGE($AZ$1:$AZ$1000,49),$AZ$1:$AZ$1000,0),"")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IF($BA63="","",50)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IF($BA63="","",INDEX(업무일지!$H$5:$H$1004,$BA63))</f>
        <v/>
      </c>
      <c r="I63" s="52">
        <f>IF($BA63="","",INDEX(업무일지!$J$5:$J$1004,$BA63))</f>
        <v/>
      </c>
      <c r="J63" s="24">
        <f>IF($BA63="","",INDEX(업무일지!$Z$5:$Z$1004,$BA63))</f>
        <v/>
      </c>
      <c r="K63" s="47">
        <f>IF($BA63="","",INDEX(업무일지!$AC$5:$AC$1004,$BA63))</f>
        <v/>
      </c>
      <c r="L63" s="47">
        <f>IF($BA63="","",INDEX(업무일지!$AH$5:$AH$1004,$BA63))</f>
        <v/>
      </c>
      <c r="AZ63">
        <f>IF(AND(업무일지!$B67&lt;&gt;"",업무일지!$AG67="진행중"),MAX(0,TODAY()-업무일지!$B67)*10000+938,"")</f>
        <v/>
      </c>
      <c r="BA63">
        <f>IFERROR(MATCH(LARGE($AZ$1:$AZ$1000,50),$AZ$1:$AZ$1000,0),"")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IF($BA64="","",51)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IF($BA64="","",INDEX(업무일지!$H$5:$H$1004,$BA64))</f>
        <v/>
      </c>
      <c r="I64" s="52">
        <f>IF($BA64="","",INDEX(업무일지!$J$5:$J$1004,$BA64))</f>
        <v/>
      </c>
      <c r="J64" s="24">
        <f>IF($BA64="","",INDEX(업무일지!$Z$5:$Z$1004,$BA64))</f>
        <v/>
      </c>
      <c r="K64" s="47">
        <f>IF($BA64="","",INDEX(업무일지!$AC$5:$AC$1004,$BA64))</f>
        <v/>
      </c>
      <c r="L64" s="47">
        <f>IF($BA64="","",INDEX(업무일지!$AH$5:$AH$1004,$BA64))</f>
        <v/>
      </c>
      <c r="AZ64">
        <f>IF(AND(업무일지!$B68&lt;&gt;"",업무일지!$AG68="진행중"),MAX(0,TODAY()-업무일지!$B68)*10000+937,"")</f>
        <v/>
      </c>
      <c r="BA64">
        <f>IFERROR(MATCH(LARGE($AZ$1:$AZ$1000,51),$AZ$1:$AZ$1000,0),"")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IF($BA65="","",52)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IF($BA65="","",INDEX(업무일지!$H$5:$H$1004,$BA65))</f>
        <v/>
      </c>
      <c r="I65" s="52">
        <f>IF($BA65="","",INDEX(업무일지!$J$5:$J$1004,$BA65))</f>
        <v/>
      </c>
      <c r="J65" s="24">
        <f>IF($BA65="","",INDEX(업무일지!$Z$5:$Z$1004,$BA65))</f>
        <v/>
      </c>
      <c r="K65" s="47">
        <f>IF($BA65="","",INDEX(업무일지!$AC$5:$AC$1004,$BA65))</f>
        <v/>
      </c>
      <c r="L65" s="47">
        <f>IF($BA65="","",INDEX(업무일지!$AH$5:$AH$1004,$BA65))</f>
        <v/>
      </c>
      <c r="AZ65">
        <f>IF(AND(업무일지!$B69&lt;&gt;"",업무일지!$AG69="진행중"),MAX(0,TODAY()-업무일지!$B69)*10000+936,"")</f>
        <v/>
      </c>
      <c r="BA65">
        <f>IFERROR(MATCH(LARGE($AZ$1:$AZ$1000,52),$AZ$1:$AZ$1000,0),"")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IF($BA66="","",53)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IF($BA66="","",INDEX(업무일지!$H$5:$H$1004,$BA66))</f>
        <v/>
      </c>
      <c r="I66" s="52">
        <f>IF($BA66="","",INDEX(업무일지!$J$5:$J$1004,$BA66))</f>
        <v/>
      </c>
      <c r="J66" s="24">
        <f>IF($BA66="","",INDEX(업무일지!$Z$5:$Z$1004,$BA66))</f>
        <v/>
      </c>
      <c r="K66" s="47">
        <f>IF($BA66="","",INDEX(업무일지!$AC$5:$AC$1004,$BA66))</f>
        <v/>
      </c>
      <c r="L66" s="47">
        <f>IF($BA66="","",INDEX(업무일지!$AH$5:$AH$1004,$BA66))</f>
        <v/>
      </c>
      <c r="AZ66">
        <f>IF(AND(업무일지!$B70&lt;&gt;"",업무일지!$AG70="진행중"),MAX(0,TODAY()-업무일지!$B70)*10000+935,"")</f>
        <v/>
      </c>
      <c r="BA66">
        <f>IFERROR(MATCH(LARGE($AZ$1:$AZ$1000,53),$AZ$1:$AZ$1000,0),"")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IF($BA67="","",54)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IF($BA67="","",INDEX(업무일지!$H$5:$H$1004,$BA67))</f>
        <v/>
      </c>
      <c r="I67" s="52">
        <f>IF($BA67="","",INDEX(업무일지!$J$5:$J$1004,$BA67))</f>
        <v/>
      </c>
      <c r="J67" s="24">
        <f>IF($BA67="","",INDEX(업무일지!$Z$5:$Z$1004,$BA67))</f>
        <v/>
      </c>
      <c r="K67" s="47">
        <f>IF($BA67="","",INDEX(업무일지!$AC$5:$AC$1004,$BA67))</f>
        <v/>
      </c>
      <c r="L67" s="47">
        <f>IF($BA67="","",INDEX(업무일지!$AH$5:$AH$1004,$BA67))</f>
        <v/>
      </c>
      <c r="AZ67">
        <f>IF(AND(업무일지!$B71&lt;&gt;"",업무일지!$AG71="진행중"),MAX(0,TODAY()-업무일지!$B71)*10000+934,"")</f>
        <v/>
      </c>
      <c r="BA67">
        <f>IFERROR(MATCH(LARGE($AZ$1:$AZ$1000,54),$AZ$1:$AZ$1000,0),"")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IF($BA68="","",55)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IF($BA68="","",INDEX(업무일지!$H$5:$H$1004,$BA68))</f>
        <v/>
      </c>
      <c r="I68" s="52">
        <f>IF($BA68="","",INDEX(업무일지!$J$5:$J$1004,$BA68))</f>
        <v/>
      </c>
      <c r="J68" s="24">
        <f>IF($BA68="","",INDEX(업무일지!$Z$5:$Z$1004,$BA68))</f>
        <v/>
      </c>
      <c r="K68" s="47">
        <f>IF($BA68="","",INDEX(업무일지!$AC$5:$AC$1004,$BA68))</f>
        <v/>
      </c>
      <c r="L68" s="47">
        <f>IF($BA68="","",INDEX(업무일지!$AH$5:$AH$1004,$BA68))</f>
        <v/>
      </c>
      <c r="AZ68">
        <f>IF(AND(업무일지!$B72&lt;&gt;"",업무일지!$AG72="진행중"),MAX(0,TODAY()-업무일지!$B72)*10000+933,"")</f>
        <v/>
      </c>
      <c r="BA68">
        <f>IFERROR(MATCH(LARGE($AZ$1:$AZ$1000,55),$AZ$1:$AZ$1000,0),"")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IF($BA69="","",56)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IF($BA69="","",INDEX(업무일지!$H$5:$H$1004,$BA69))</f>
        <v/>
      </c>
      <c r="I69" s="52">
        <f>IF($BA69="","",INDEX(업무일지!$J$5:$J$1004,$BA69))</f>
        <v/>
      </c>
      <c r="J69" s="24">
        <f>IF($BA69="","",INDEX(업무일지!$Z$5:$Z$1004,$BA69))</f>
        <v/>
      </c>
      <c r="K69" s="47">
        <f>IF($BA69="","",INDEX(업무일지!$AC$5:$AC$1004,$BA69))</f>
        <v/>
      </c>
      <c r="L69" s="47">
        <f>IF($BA69="","",INDEX(업무일지!$AH$5:$AH$1004,$BA69))</f>
        <v/>
      </c>
      <c r="AZ69">
        <f>IF(AND(업무일지!$B73&lt;&gt;"",업무일지!$AG73="진행중"),MAX(0,TODAY()-업무일지!$B73)*10000+932,"")</f>
        <v/>
      </c>
      <c r="BA69">
        <f>IFERROR(MATCH(LARGE($AZ$1:$AZ$1000,56),$AZ$1:$AZ$1000,0),"")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IF($BA70="","",57)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IF($BA70="","",INDEX(업무일지!$H$5:$H$1004,$BA70))</f>
        <v/>
      </c>
      <c r="I70" s="52">
        <f>IF($BA70="","",INDEX(업무일지!$J$5:$J$1004,$BA70))</f>
        <v/>
      </c>
      <c r="J70" s="24">
        <f>IF($BA70="","",INDEX(업무일지!$Z$5:$Z$1004,$BA70))</f>
        <v/>
      </c>
      <c r="K70" s="47">
        <f>IF($BA70="","",INDEX(업무일지!$AC$5:$AC$1004,$BA70))</f>
        <v/>
      </c>
      <c r="L70" s="47">
        <f>IF($BA70="","",INDEX(업무일지!$AH$5:$AH$1004,$BA70))</f>
        <v/>
      </c>
      <c r="AZ70">
        <f>IF(AND(업무일지!$B74&lt;&gt;"",업무일지!$AG74="진행중"),MAX(0,TODAY()-업무일지!$B74)*10000+931,"")</f>
        <v/>
      </c>
      <c r="BA70">
        <f>IFERROR(MATCH(LARGE($AZ$1:$AZ$1000,57),$AZ$1:$AZ$1000,0),"")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IF($BA71="","",58)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IF($BA71="","",INDEX(업무일지!$H$5:$H$1004,$BA71))</f>
        <v/>
      </c>
      <c r="I71" s="52">
        <f>IF($BA71="","",INDEX(업무일지!$J$5:$J$1004,$BA71))</f>
        <v/>
      </c>
      <c r="J71" s="24">
        <f>IF($BA71="","",INDEX(업무일지!$Z$5:$Z$1004,$BA71))</f>
        <v/>
      </c>
      <c r="K71" s="47">
        <f>IF($BA71="","",INDEX(업무일지!$AC$5:$AC$1004,$BA71))</f>
        <v/>
      </c>
      <c r="L71" s="47">
        <f>IF($BA71="","",INDEX(업무일지!$AH$5:$AH$1004,$BA71))</f>
        <v/>
      </c>
      <c r="AZ71">
        <f>IF(AND(업무일지!$B75&lt;&gt;"",업무일지!$AG75="진행중"),MAX(0,TODAY()-업무일지!$B75)*10000+930,"")</f>
        <v/>
      </c>
      <c r="BA71">
        <f>IFERROR(MATCH(LARGE($AZ$1:$AZ$1000,58),$AZ$1:$AZ$1000,0),"")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IF($BA72="","",59)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IF($BA72="","",INDEX(업무일지!$H$5:$H$1004,$BA72))</f>
        <v/>
      </c>
      <c r="I72" s="52">
        <f>IF($BA72="","",INDEX(업무일지!$J$5:$J$1004,$BA72))</f>
        <v/>
      </c>
      <c r="J72" s="24">
        <f>IF($BA72="","",INDEX(업무일지!$Z$5:$Z$1004,$BA72))</f>
        <v/>
      </c>
      <c r="K72" s="47">
        <f>IF($BA72="","",INDEX(업무일지!$AC$5:$AC$1004,$BA72))</f>
        <v/>
      </c>
      <c r="L72" s="47">
        <f>IF($BA72="","",INDEX(업무일지!$AH$5:$AH$1004,$BA72))</f>
        <v/>
      </c>
      <c r="AZ72">
        <f>IF(AND(업무일지!$B76&lt;&gt;"",업무일지!$AG76="진행중"),MAX(0,TODAY()-업무일지!$B76)*10000+929,"")</f>
        <v/>
      </c>
      <c r="BA72">
        <f>IFERROR(MATCH(LARGE($AZ$1:$AZ$1000,59),$AZ$1:$AZ$1000,0),"")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IF($BA73="","",60)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IF($BA73="","",INDEX(업무일지!$H$5:$H$1004,$BA73))</f>
        <v/>
      </c>
      <c r="I73" s="52">
        <f>IF($BA73="","",INDEX(업무일지!$J$5:$J$1004,$BA73))</f>
        <v/>
      </c>
      <c r="J73" s="24">
        <f>IF($BA73="","",INDEX(업무일지!$Z$5:$Z$1004,$BA73))</f>
        <v/>
      </c>
      <c r="K73" s="47">
        <f>IF($BA73="","",INDEX(업무일지!$AC$5:$AC$1004,$BA73))</f>
        <v/>
      </c>
      <c r="L73" s="47">
        <f>IF($BA73="","",INDEX(업무일지!$AH$5:$AH$1004,$BA73))</f>
        <v/>
      </c>
      <c r="AZ73">
        <f>IF(AND(업무일지!$B77&lt;&gt;"",업무일지!$AG77="진행중"),MAX(0,TODAY()-업무일지!$B77)*10000+928,"")</f>
        <v/>
      </c>
      <c r="BA73">
        <f>IFERROR(MATCH(LARGE($AZ$1:$AZ$1000,60),$AZ$1:$AZ$1000,0),"")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IF($BA74="","",61)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IF($BA74="","",INDEX(업무일지!$H$5:$H$1004,$BA74))</f>
        <v/>
      </c>
      <c r="I74" s="52">
        <f>IF($BA74="","",INDEX(업무일지!$J$5:$J$1004,$BA74))</f>
        <v/>
      </c>
      <c r="J74" s="24">
        <f>IF($BA74="","",INDEX(업무일지!$Z$5:$Z$1004,$BA74))</f>
        <v/>
      </c>
      <c r="K74" s="47">
        <f>IF($BA74="","",INDEX(업무일지!$AC$5:$AC$1004,$BA74))</f>
        <v/>
      </c>
      <c r="L74" s="47">
        <f>IF($BA74="","",INDEX(업무일지!$AH$5:$AH$1004,$BA74))</f>
        <v/>
      </c>
      <c r="AZ74">
        <f>IF(AND(업무일지!$B78&lt;&gt;"",업무일지!$AG78="진행중"),MAX(0,TODAY()-업무일지!$B78)*10000+927,"")</f>
        <v/>
      </c>
      <c r="BA74">
        <f>IFERROR(MATCH(LARGE($AZ$1:$AZ$1000,61),$AZ$1:$AZ$1000,0),"")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IF($BA75="","",62)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IF($BA75="","",INDEX(업무일지!$H$5:$H$1004,$BA75))</f>
        <v/>
      </c>
      <c r="I75" s="52">
        <f>IF($BA75="","",INDEX(업무일지!$J$5:$J$1004,$BA75))</f>
        <v/>
      </c>
      <c r="J75" s="24">
        <f>IF($BA75="","",INDEX(업무일지!$Z$5:$Z$1004,$BA75))</f>
        <v/>
      </c>
      <c r="K75" s="47">
        <f>IF($BA75="","",INDEX(업무일지!$AC$5:$AC$1004,$BA75))</f>
        <v/>
      </c>
      <c r="L75" s="47">
        <f>IF($BA75="","",INDEX(업무일지!$AH$5:$AH$1004,$BA75))</f>
        <v/>
      </c>
      <c r="AZ75">
        <f>IF(AND(업무일지!$B79&lt;&gt;"",업무일지!$AG79="진행중"),MAX(0,TODAY()-업무일지!$B79)*10000+926,"")</f>
        <v/>
      </c>
      <c r="BA75">
        <f>IFERROR(MATCH(LARGE($AZ$1:$AZ$1000,62),$AZ$1:$AZ$1000,0),"")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IF($BA76="","",63)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IF($BA76="","",INDEX(업무일지!$H$5:$H$1004,$BA76))</f>
        <v/>
      </c>
      <c r="I76" s="52">
        <f>IF($BA76="","",INDEX(업무일지!$J$5:$J$1004,$BA76))</f>
        <v/>
      </c>
      <c r="J76" s="24">
        <f>IF($BA76="","",INDEX(업무일지!$Z$5:$Z$1004,$BA76))</f>
        <v/>
      </c>
      <c r="K76" s="47">
        <f>IF($BA76="","",INDEX(업무일지!$AC$5:$AC$1004,$BA76))</f>
        <v/>
      </c>
      <c r="L76" s="47">
        <f>IF($BA76="","",INDEX(업무일지!$AH$5:$AH$1004,$BA76))</f>
        <v/>
      </c>
      <c r="AZ76">
        <f>IF(AND(업무일지!$B80&lt;&gt;"",업무일지!$AG80="진행중"),MAX(0,TODAY()-업무일지!$B80)*10000+925,"")</f>
        <v/>
      </c>
      <c r="BA76">
        <f>IFERROR(MATCH(LARGE($AZ$1:$AZ$1000,63),$AZ$1:$AZ$1000,0),"")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IF($BA77="","",64)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IF($BA77="","",INDEX(업무일지!$H$5:$H$1004,$BA77))</f>
        <v/>
      </c>
      <c r="I77" s="52">
        <f>IF($BA77="","",INDEX(업무일지!$J$5:$J$1004,$BA77))</f>
        <v/>
      </c>
      <c r="J77" s="24">
        <f>IF($BA77="","",INDEX(업무일지!$Z$5:$Z$1004,$BA77))</f>
        <v/>
      </c>
      <c r="K77" s="47">
        <f>IF($BA77="","",INDEX(업무일지!$AC$5:$AC$1004,$BA77))</f>
        <v/>
      </c>
      <c r="L77" s="47">
        <f>IF($BA77="","",INDEX(업무일지!$AH$5:$AH$1004,$BA77))</f>
        <v/>
      </c>
      <c r="AZ77">
        <f>IF(AND(업무일지!$B81&lt;&gt;"",업무일지!$AG81="진행중"),MAX(0,TODAY()-업무일지!$B81)*10000+924,"")</f>
        <v/>
      </c>
      <c r="BA77">
        <f>IFERROR(MATCH(LARGE($AZ$1:$AZ$1000,64),$AZ$1:$AZ$1000,0),"")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IF($BA78="","",65)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IF($BA78="","",INDEX(업무일지!$H$5:$H$1004,$BA78))</f>
        <v/>
      </c>
      <c r="I78" s="52">
        <f>IF($BA78="","",INDEX(업무일지!$J$5:$J$1004,$BA78))</f>
        <v/>
      </c>
      <c r="J78" s="24">
        <f>IF($BA78="","",INDEX(업무일지!$Z$5:$Z$1004,$BA78))</f>
        <v/>
      </c>
      <c r="K78" s="47">
        <f>IF($BA78="","",INDEX(업무일지!$AC$5:$AC$1004,$BA78))</f>
        <v/>
      </c>
      <c r="L78" s="47">
        <f>IF($BA78="","",INDEX(업무일지!$AH$5:$AH$1004,$BA78))</f>
        <v/>
      </c>
      <c r="AZ78">
        <f>IF(AND(업무일지!$B82&lt;&gt;"",업무일지!$AG82="진행중"),MAX(0,TODAY()-업무일지!$B82)*10000+923,"")</f>
        <v/>
      </c>
      <c r="BA78">
        <f>IFERROR(MATCH(LARGE($AZ$1:$AZ$1000,65),$AZ$1:$AZ$1000,0),"")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IF($BA79="","",66)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IF($BA79="","",INDEX(업무일지!$H$5:$H$1004,$BA79))</f>
        <v/>
      </c>
      <c r="I79" s="52">
        <f>IF($BA79="","",INDEX(업무일지!$J$5:$J$1004,$BA79))</f>
        <v/>
      </c>
      <c r="J79" s="24">
        <f>IF($BA79="","",INDEX(업무일지!$Z$5:$Z$1004,$BA79))</f>
        <v/>
      </c>
      <c r="K79" s="47">
        <f>IF($BA79="","",INDEX(업무일지!$AC$5:$AC$1004,$BA79))</f>
        <v/>
      </c>
      <c r="L79" s="47">
        <f>IF($BA79="","",INDEX(업무일지!$AH$5:$AH$1004,$BA79))</f>
        <v/>
      </c>
      <c r="AZ79">
        <f>IF(AND(업무일지!$B83&lt;&gt;"",업무일지!$AG83="진행중"),MAX(0,TODAY()-업무일지!$B83)*10000+922,"")</f>
        <v/>
      </c>
      <c r="BA79">
        <f>IFERROR(MATCH(LARGE($AZ$1:$AZ$1000,66),$AZ$1:$AZ$1000,0),"")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IF($BA80="","",67)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IF($BA80="","",INDEX(업무일지!$H$5:$H$1004,$BA80))</f>
        <v/>
      </c>
      <c r="I80" s="52">
        <f>IF($BA80="","",INDEX(업무일지!$J$5:$J$1004,$BA80))</f>
        <v/>
      </c>
      <c r="J80" s="24">
        <f>IF($BA80="","",INDEX(업무일지!$Z$5:$Z$1004,$BA80))</f>
        <v/>
      </c>
      <c r="K80" s="47">
        <f>IF($BA80="","",INDEX(업무일지!$AC$5:$AC$1004,$BA80))</f>
        <v/>
      </c>
      <c r="L80" s="47">
        <f>IF($BA80="","",INDEX(업무일지!$AH$5:$AH$1004,$BA80))</f>
        <v/>
      </c>
      <c r="AZ80">
        <f>IF(AND(업무일지!$B84&lt;&gt;"",업무일지!$AG84="진행중"),MAX(0,TODAY()-업무일지!$B84)*10000+921,"")</f>
        <v/>
      </c>
      <c r="BA80">
        <f>IFERROR(MATCH(LARGE($AZ$1:$AZ$1000,67),$AZ$1:$AZ$1000,0),"")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IF($BA81="","",68)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IF($BA81="","",INDEX(업무일지!$H$5:$H$1004,$BA81))</f>
        <v/>
      </c>
      <c r="I81" s="52">
        <f>IF($BA81="","",INDEX(업무일지!$J$5:$J$1004,$BA81))</f>
        <v/>
      </c>
      <c r="J81" s="24">
        <f>IF($BA81="","",INDEX(업무일지!$Z$5:$Z$1004,$BA81))</f>
        <v/>
      </c>
      <c r="K81" s="47">
        <f>IF($BA81="","",INDEX(업무일지!$AC$5:$AC$1004,$BA81))</f>
        <v/>
      </c>
      <c r="L81" s="47">
        <f>IF($BA81="","",INDEX(업무일지!$AH$5:$AH$1004,$BA81))</f>
        <v/>
      </c>
      <c r="AZ81">
        <f>IF(AND(업무일지!$B85&lt;&gt;"",업무일지!$AG85="진행중"),MAX(0,TODAY()-업무일지!$B85)*10000+920,"")</f>
        <v/>
      </c>
      <c r="BA81">
        <f>IFERROR(MATCH(LARGE($AZ$1:$AZ$1000,68),$AZ$1:$AZ$1000,0),"")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IF($BA82="","",69)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IF($BA82="","",INDEX(업무일지!$H$5:$H$1004,$BA82))</f>
        <v/>
      </c>
      <c r="I82" s="52">
        <f>IF($BA82="","",INDEX(업무일지!$J$5:$J$1004,$BA82))</f>
        <v/>
      </c>
      <c r="J82" s="24">
        <f>IF($BA82="","",INDEX(업무일지!$Z$5:$Z$1004,$BA82))</f>
        <v/>
      </c>
      <c r="K82" s="47">
        <f>IF($BA82="","",INDEX(업무일지!$AC$5:$AC$1004,$BA82))</f>
        <v/>
      </c>
      <c r="L82" s="47">
        <f>IF($BA82="","",INDEX(업무일지!$AH$5:$AH$1004,$BA82))</f>
        <v/>
      </c>
      <c r="AZ82">
        <f>IF(AND(업무일지!$B86&lt;&gt;"",업무일지!$AG86="진행중"),MAX(0,TODAY()-업무일지!$B86)*10000+919,"")</f>
        <v/>
      </c>
      <c r="BA82">
        <f>IFERROR(MATCH(LARGE($AZ$1:$AZ$1000,69),$AZ$1:$AZ$1000,0),"")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IF($BA83="","",70)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IF($BA83="","",INDEX(업무일지!$H$5:$H$1004,$BA83))</f>
        <v/>
      </c>
      <c r="I83" s="52">
        <f>IF($BA83="","",INDEX(업무일지!$J$5:$J$1004,$BA83))</f>
        <v/>
      </c>
      <c r="J83" s="24">
        <f>IF($BA83="","",INDEX(업무일지!$Z$5:$Z$1004,$BA83))</f>
        <v/>
      </c>
      <c r="K83" s="47">
        <f>IF($BA83="","",INDEX(업무일지!$AC$5:$AC$1004,$BA83))</f>
        <v/>
      </c>
      <c r="L83" s="47">
        <f>IF($BA83="","",INDEX(업무일지!$AH$5:$AH$1004,$BA83))</f>
        <v/>
      </c>
      <c r="AZ83">
        <f>IF(AND(업무일지!$B87&lt;&gt;"",업무일지!$AG87="진행중"),MAX(0,TODAY()-업무일지!$B87)*10000+918,"")</f>
        <v/>
      </c>
      <c r="BA83">
        <f>IFERROR(MATCH(LARGE($AZ$1:$AZ$1000,70),$AZ$1:$AZ$1000,0),"")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IF($BA84="","",71)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IF($BA84="","",INDEX(업무일지!$H$5:$H$1004,$BA84))</f>
        <v/>
      </c>
      <c r="I84" s="52">
        <f>IF($BA84="","",INDEX(업무일지!$J$5:$J$1004,$BA84))</f>
        <v/>
      </c>
      <c r="J84" s="24">
        <f>IF($BA84="","",INDEX(업무일지!$Z$5:$Z$1004,$BA84))</f>
        <v/>
      </c>
      <c r="K84" s="47">
        <f>IF($BA84="","",INDEX(업무일지!$AC$5:$AC$1004,$BA84))</f>
        <v/>
      </c>
      <c r="L84" s="47">
        <f>IF($BA84="","",INDEX(업무일지!$AH$5:$AH$1004,$BA84))</f>
        <v/>
      </c>
      <c r="AZ84">
        <f>IF(AND(업무일지!$B88&lt;&gt;"",업무일지!$AG88="진행중"),MAX(0,TODAY()-업무일지!$B88)*10000+917,"")</f>
        <v/>
      </c>
      <c r="BA84">
        <f>IFERROR(MATCH(LARGE($AZ$1:$AZ$1000,71),$AZ$1:$AZ$1000,0),"")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IF($BA85="","",72)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IF($BA85="","",INDEX(업무일지!$H$5:$H$1004,$BA85))</f>
        <v/>
      </c>
      <c r="I85" s="52">
        <f>IF($BA85="","",INDEX(업무일지!$J$5:$J$1004,$BA85))</f>
        <v/>
      </c>
      <c r="J85" s="24">
        <f>IF($BA85="","",INDEX(업무일지!$Z$5:$Z$1004,$BA85))</f>
        <v/>
      </c>
      <c r="K85" s="47">
        <f>IF($BA85="","",INDEX(업무일지!$AC$5:$AC$1004,$BA85))</f>
        <v/>
      </c>
      <c r="L85" s="47">
        <f>IF($BA85="","",INDEX(업무일지!$AH$5:$AH$1004,$BA85))</f>
        <v/>
      </c>
      <c r="AZ85">
        <f>IF(AND(업무일지!$B89&lt;&gt;"",업무일지!$AG89="진행중"),MAX(0,TODAY()-업무일지!$B89)*10000+916,"")</f>
        <v/>
      </c>
      <c r="BA85">
        <f>IFERROR(MATCH(LARGE($AZ$1:$AZ$1000,72),$AZ$1:$AZ$1000,0),"")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IF($BA86="","",73)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IF($BA86="","",INDEX(업무일지!$H$5:$H$1004,$BA86))</f>
        <v/>
      </c>
      <c r="I86" s="52">
        <f>IF($BA86="","",INDEX(업무일지!$J$5:$J$1004,$BA86))</f>
        <v/>
      </c>
      <c r="J86" s="24">
        <f>IF($BA86="","",INDEX(업무일지!$Z$5:$Z$1004,$BA86))</f>
        <v/>
      </c>
      <c r="K86" s="47">
        <f>IF($BA86="","",INDEX(업무일지!$AC$5:$AC$1004,$BA86))</f>
        <v/>
      </c>
      <c r="L86" s="47">
        <f>IF($BA86="","",INDEX(업무일지!$AH$5:$AH$1004,$BA86))</f>
        <v/>
      </c>
      <c r="AZ86">
        <f>IF(AND(업무일지!$B90&lt;&gt;"",업무일지!$AG90="진행중"),MAX(0,TODAY()-업무일지!$B90)*10000+915,"")</f>
        <v/>
      </c>
      <c r="BA86">
        <f>IFERROR(MATCH(LARGE($AZ$1:$AZ$1000,73),$AZ$1:$AZ$1000,0),"")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IF($BA87="","",74)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IF($BA87="","",INDEX(업무일지!$H$5:$H$1004,$BA87))</f>
        <v/>
      </c>
      <c r="I87" s="52">
        <f>IF($BA87="","",INDEX(업무일지!$J$5:$J$1004,$BA87))</f>
        <v/>
      </c>
      <c r="J87" s="24">
        <f>IF($BA87="","",INDEX(업무일지!$Z$5:$Z$1004,$BA87))</f>
        <v/>
      </c>
      <c r="K87" s="47">
        <f>IF($BA87="","",INDEX(업무일지!$AC$5:$AC$1004,$BA87))</f>
        <v/>
      </c>
      <c r="L87" s="47">
        <f>IF($BA87="","",INDEX(업무일지!$AH$5:$AH$1004,$BA87))</f>
        <v/>
      </c>
      <c r="AZ87">
        <f>IF(AND(업무일지!$B91&lt;&gt;"",업무일지!$AG91="진행중"),MAX(0,TODAY()-업무일지!$B91)*10000+914,"")</f>
        <v/>
      </c>
      <c r="BA87">
        <f>IFERROR(MATCH(LARGE($AZ$1:$AZ$1000,74),$AZ$1:$AZ$1000,0),"")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IF($BA88="","",75)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IF($BA88="","",INDEX(업무일지!$H$5:$H$1004,$BA88))</f>
        <v/>
      </c>
      <c r="I88" s="52">
        <f>IF($BA88="","",INDEX(업무일지!$J$5:$J$1004,$BA88))</f>
        <v/>
      </c>
      <c r="J88" s="24">
        <f>IF($BA88="","",INDEX(업무일지!$Z$5:$Z$1004,$BA88))</f>
        <v/>
      </c>
      <c r="K88" s="47">
        <f>IF($BA88="","",INDEX(업무일지!$AC$5:$AC$1004,$BA88))</f>
        <v/>
      </c>
      <c r="L88" s="47">
        <f>IF($BA88="","",INDEX(업무일지!$AH$5:$AH$1004,$BA88))</f>
        <v/>
      </c>
      <c r="AZ88">
        <f>IF(AND(업무일지!$B92&lt;&gt;"",업무일지!$AG92="진행중"),MAX(0,TODAY()-업무일지!$B92)*10000+913,"")</f>
        <v/>
      </c>
      <c r="BA88">
        <f>IFERROR(MATCH(LARGE($AZ$1:$AZ$1000,75),$AZ$1:$AZ$1000,0),"")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IF($BA89="","",76)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IF($BA89="","",INDEX(업무일지!$H$5:$H$1004,$BA89))</f>
        <v/>
      </c>
      <c r="I89" s="52">
        <f>IF($BA89="","",INDEX(업무일지!$J$5:$J$1004,$BA89))</f>
        <v/>
      </c>
      <c r="J89" s="24">
        <f>IF($BA89="","",INDEX(업무일지!$Z$5:$Z$1004,$BA89))</f>
        <v/>
      </c>
      <c r="K89" s="47">
        <f>IF($BA89="","",INDEX(업무일지!$AC$5:$AC$1004,$BA89))</f>
        <v/>
      </c>
      <c r="L89" s="47">
        <f>IF($BA89="","",INDEX(업무일지!$AH$5:$AH$1004,$BA89))</f>
        <v/>
      </c>
      <c r="AZ89">
        <f>IF(AND(업무일지!$B93&lt;&gt;"",업무일지!$AG93="진행중"),MAX(0,TODAY()-업무일지!$B93)*10000+912,"")</f>
        <v/>
      </c>
      <c r="BA89">
        <f>IFERROR(MATCH(LARGE($AZ$1:$AZ$1000,76),$AZ$1:$AZ$1000,0),"")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IF($BA90="","",77)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IF($BA90="","",INDEX(업무일지!$H$5:$H$1004,$BA90))</f>
        <v/>
      </c>
      <c r="I90" s="52">
        <f>IF($BA90="","",INDEX(업무일지!$J$5:$J$1004,$BA90))</f>
        <v/>
      </c>
      <c r="J90" s="24">
        <f>IF($BA90="","",INDEX(업무일지!$Z$5:$Z$1004,$BA90))</f>
        <v/>
      </c>
      <c r="K90" s="47">
        <f>IF($BA90="","",INDEX(업무일지!$AC$5:$AC$1004,$BA90))</f>
        <v/>
      </c>
      <c r="L90" s="47">
        <f>IF($BA90="","",INDEX(업무일지!$AH$5:$AH$1004,$BA90))</f>
        <v/>
      </c>
      <c r="AZ90">
        <f>IF(AND(업무일지!$B94&lt;&gt;"",업무일지!$AG94="진행중"),MAX(0,TODAY()-업무일지!$B94)*10000+911,"")</f>
        <v/>
      </c>
      <c r="BA90">
        <f>IFERROR(MATCH(LARGE($AZ$1:$AZ$1000,77),$AZ$1:$AZ$1000,0),"")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IF($BA91="","",78)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IF($BA91="","",INDEX(업무일지!$H$5:$H$1004,$BA91))</f>
        <v/>
      </c>
      <c r="I91" s="52">
        <f>IF($BA91="","",INDEX(업무일지!$J$5:$J$1004,$BA91))</f>
        <v/>
      </c>
      <c r="J91" s="24">
        <f>IF($BA91="","",INDEX(업무일지!$Z$5:$Z$1004,$BA91))</f>
        <v/>
      </c>
      <c r="K91" s="47">
        <f>IF($BA91="","",INDEX(업무일지!$AC$5:$AC$1004,$BA91))</f>
        <v/>
      </c>
      <c r="L91" s="47">
        <f>IF($BA91="","",INDEX(업무일지!$AH$5:$AH$1004,$BA91))</f>
        <v/>
      </c>
      <c r="AZ91">
        <f>IF(AND(업무일지!$B95&lt;&gt;"",업무일지!$AG95="진행중"),MAX(0,TODAY()-업무일지!$B95)*10000+910,"")</f>
        <v/>
      </c>
      <c r="BA91">
        <f>IFERROR(MATCH(LARGE($AZ$1:$AZ$1000,78),$AZ$1:$AZ$1000,0),"")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IF($BA92="","",79)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IF($BA92="","",INDEX(업무일지!$H$5:$H$1004,$BA92))</f>
        <v/>
      </c>
      <c r="I92" s="52">
        <f>IF($BA92="","",INDEX(업무일지!$J$5:$J$1004,$BA92))</f>
        <v/>
      </c>
      <c r="J92" s="24">
        <f>IF($BA92="","",INDEX(업무일지!$Z$5:$Z$1004,$BA92))</f>
        <v/>
      </c>
      <c r="K92" s="47">
        <f>IF($BA92="","",INDEX(업무일지!$AC$5:$AC$1004,$BA92))</f>
        <v/>
      </c>
      <c r="L92" s="47">
        <f>IF($BA92="","",INDEX(업무일지!$AH$5:$AH$1004,$BA92))</f>
        <v/>
      </c>
      <c r="AZ92">
        <f>IF(AND(업무일지!$B96&lt;&gt;"",업무일지!$AG96="진행중"),MAX(0,TODAY()-업무일지!$B96)*10000+909,"")</f>
        <v/>
      </c>
      <c r="BA92">
        <f>IFERROR(MATCH(LARGE($AZ$1:$AZ$1000,79),$AZ$1:$AZ$1000,0),"")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IF($BA93="","",80)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IF($BA93="","",INDEX(업무일지!$H$5:$H$1004,$BA93))</f>
        <v/>
      </c>
      <c r="I93" s="52">
        <f>IF($BA93="","",INDEX(업무일지!$J$5:$J$1004,$BA93))</f>
        <v/>
      </c>
      <c r="J93" s="24">
        <f>IF($BA93="","",INDEX(업무일지!$Z$5:$Z$1004,$BA93))</f>
        <v/>
      </c>
      <c r="K93" s="47">
        <f>IF($BA93="","",INDEX(업무일지!$AC$5:$AC$1004,$BA93))</f>
        <v/>
      </c>
      <c r="L93" s="47">
        <f>IF($BA93="","",INDEX(업무일지!$AH$5:$AH$1004,$BA93))</f>
        <v/>
      </c>
      <c r="AZ93">
        <f>IF(AND(업무일지!$B97&lt;&gt;"",업무일지!$AG97="진행중"),MAX(0,TODAY()-업무일지!$B97)*10000+908,"")</f>
        <v/>
      </c>
      <c r="BA93">
        <f>IFERROR(MATCH(LARGE($AZ$1:$AZ$1000,80),$AZ$1:$AZ$1000,0),"")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IF($BA94="","",81)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IF($BA94="","",INDEX(업무일지!$H$5:$H$1004,$BA94))</f>
        <v/>
      </c>
      <c r="I94" s="52">
        <f>IF($BA94="","",INDEX(업무일지!$J$5:$J$1004,$BA94))</f>
        <v/>
      </c>
      <c r="J94" s="24">
        <f>IF($BA94="","",INDEX(업무일지!$Z$5:$Z$1004,$BA94))</f>
        <v/>
      </c>
      <c r="K94" s="47">
        <f>IF($BA94="","",INDEX(업무일지!$AC$5:$AC$1004,$BA94))</f>
        <v/>
      </c>
      <c r="L94" s="47">
        <f>IF($BA94="","",INDEX(업무일지!$AH$5:$AH$1004,$BA94))</f>
        <v/>
      </c>
      <c r="AZ94">
        <f>IF(AND(업무일지!$B98&lt;&gt;"",업무일지!$AG98="진행중"),MAX(0,TODAY()-업무일지!$B98)*10000+907,"")</f>
        <v/>
      </c>
      <c r="BA94">
        <f>IFERROR(MATCH(LARGE($AZ$1:$AZ$1000,81),$AZ$1:$AZ$1000,0),"")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IF($BA95="","",82)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IF($BA95="","",INDEX(업무일지!$H$5:$H$1004,$BA95))</f>
        <v/>
      </c>
      <c r="I95" s="52">
        <f>IF($BA95="","",INDEX(업무일지!$J$5:$J$1004,$BA95))</f>
        <v/>
      </c>
      <c r="J95" s="24">
        <f>IF($BA95="","",INDEX(업무일지!$Z$5:$Z$1004,$BA95))</f>
        <v/>
      </c>
      <c r="K95" s="47">
        <f>IF($BA95="","",INDEX(업무일지!$AC$5:$AC$1004,$BA95))</f>
        <v/>
      </c>
      <c r="L95" s="47">
        <f>IF($BA95="","",INDEX(업무일지!$AH$5:$AH$1004,$BA95))</f>
        <v/>
      </c>
      <c r="AZ95">
        <f>IF(AND(업무일지!$B99&lt;&gt;"",업무일지!$AG99="진행중"),MAX(0,TODAY()-업무일지!$B99)*10000+906,"")</f>
        <v/>
      </c>
      <c r="BA95">
        <f>IFERROR(MATCH(LARGE($AZ$1:$AZ$1000,82),$AZ$1:$AZ$1000,0),"")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IF($BA96="","",83)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IF($BA96="","",INDEX(업무일지!$H$5:$H$1004,$BA96))</f>
        <v/>
      </c>
      <c r="I96" s="52">
        <f>IF($BA96="","",INDEX(업무일지!$J$5:$J$1004,$BA96))</f>
        <v/>
      </c>
      <c r="J96" s="24">
        <f>IF($BA96="","",INDEX(업무일지!$Z$5:$Z$1004,$BA96))</f>
        <v/>
      </c>
      <c r="K96" s="47">
        <f>IF($BA96="","",INDEX(업무일지!$AC$5:$AC$1004,$BA96))</f>
        <v/>
      </c>
      <c r="L96" s="47">
        <f>IF($BA96="","",INDEX(업무일지!$AH$5:$AH$1004,$BA96))</f>
        <v/>
      </c>
      <c r="AZ96">
        <f>IF(AND(업무일지!$B100&lt;&gt;"",업무일지!$AG100="진행중"),MAX(0,TODAY()-업무일지!$B100)*10000+905,"")</f>
        <v/>
      </c>
      <c r="BA96">
        <f>IFERROR(MATCH(LARGE($AZ$1:$AZ$1000,83),$AZ$1:$AZ$1000,0),"")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IF($BA97="","",84)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IF($BA97="","",INDEX(업무일지!$H$5:$H$1004,$BA97))</f>
        <v/>
      </c>
      <c r="I97" s="52">
        <f>IF($BA97="","",INDEX(업무일지!$J$5:$J$1004,$BA97))</f>
        <v/>
      </c>
      <c r="J97" s="24">
        <f>IF($BA97="","",INDEX(업무일지!$Z$5:$Z$1004,$BA97))</f>
        <v/>
      </c>
      <c r="K97" s="47">
        <f>IF($BA97="","",INDEX(업무일지!$AC$5:$AC$1004,$BA97))</f>
        <v/>
      </c>
      <c r="L97" s="47">
        <f>IF($BA97="","",INDEX(업무일지!$AH$5:$AH$1004,$BA97))</f>
        <v/>
      </c>
      <c r="AZ97">
        <f>IF(AND(업무일지!$B101&lt;&gt;"",업무일지!$AG101="진행중"),MAX(0,TODAY()-업무일지!$B101)*10000+904,"")</f>
        <v/>
      </c>
      <c r="BA97">
        <f>IFERROR(MATCH(LARGE($AZ$1:$AZ$1000,84),$AZ$1:$AZ$1000,0),"")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IF($BA98="","",85)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IF($BA98="","",INDEX(업무일지!$H$5:$H$1004,$BA98))</f>
        <v/>
      </c>
      <c r="I98" s="52">
        <f>IF($BA98="","",INDEX(업무일지!$J$5:$J$1004,$BA98))</f>
        <v/>
      </c>
      <c r="J98" s="24">
        <f>IF($BA98="","",INDEX(업무일지!$Z$5:$Z$1004,$BA98))</f>
        <v/>
      </c>
      <c r="K98" s="47">
        <f>IF($BA98="","",INDEX(업무일지!$AC$5:$AC$1004,$BA98))</f>
        <v/>
      </c>
      <c r="L98" s="47">
        <f>IF($BA98="","",INDEX(업무일지!$AH$5:$AH$1004,$BA98))</f>
        <v/>
      </c>
      <c r="AZ98">
        <f>IF(AND(업무일지!$B102&lt;&gt;"",업무일지!$AG102="진행중"),MAX(0,TODAY()-업무일지!$B102)*10000+903,"")</f>
        <v/>
      </c>
      <c r="BA98">
        <f>IFERROR(MATCH(LARGE($AZ$1:$AZ$1000,85),$AZ$1:$AZ$1000,0),"")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IF($BA99="","",86)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IF($BA99="","",INDEX(업무일지!$H$5:$H$1004,$BA99))</f>
        <v/>
      </c>
      <c r="I99" s="52">
        <f>IF($BA99="","",INDEX(업무일지!$J$5:$J$1004,$BA99))</f>
        <v/>
      </c>
      <c r="J99" s="24">
        <f>IF($BA99="","",INDEX(업무일지!$Z$5:$Z$1004,$BA99))</f>
        <v/>
      </c>
      <c r="K99" s="47">
        <f>IF($BA99="","",INDEX(업무일지!$AC$5:$AC$1004,$BA99))</f>
        <v/>
      </c>
      <c r="L99" s="47">
        <f>IF($BA99="","",INDEX(업무일지!$AH$5:$AH$1004,$BA99))</f>
        <v/>
      </c>
      <c r="AZ99">
        <f>IF(AND(업무일지!$B103&lt;&gt;"",업무일지!$AG103="진행중"),MAX(0,TODAY()-업무일지!$B103)*10000+902,"")</f>
        <v/>
      </c>
      <c r="BA99">
        <f>IFERROR(MATCH(LARGE($AZ$1:$AZ$1000,86),$AZ$1:$AZ$1000,0),"")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IF($BA100="","",87)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IF($BA100="","",INDEX(업무일지!$H$5:$H$1004,$BA100))</f>
        <v/>
      </c>
      <c r="I100" s="52">
        <f>IF($BA100="","",INDEX(업무일지!$J$5:$J$1004,$BA100))</f>
        <v/>
      </c>
      <c r="J100" s="24">
        <f>IF($BA100="","",INDEX(업무일지!$Z$5:$Z$1004,$BA100))</f>
        <v/>
      </c>
      <c r="K100" s="47">
        <f>IF($BA100="","",INDEX(업무일지!$AC$5:$AC$1004,$BA100))</f>
        <v/>
      </c>
      <c r="L100" s="47">
        <f>IF($BA100="","",INDEX(업무일지!$AH$5:$AH$1004,$BA100))</f>
        <v/>
      </c>
      <c r="AZ100">
        <f>IF(AND(업무일지!$B104&lt;&gt;"",업무일지!$AG104="진행중"),MAX(0,TODAY()-업무일지!$B104)*10000+901,"")</f>
        <v/>
      </c>
      <c r="BA100">
        <f>IFERROR(MATCH(LARGE($AZ$1:$AZ$1000,87),$AZ$1:$AZ$1000,0),"")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IF($BA101="","",88)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IF($BA101="","",INDEX(업무일지!$H$5:$H$1004,$BA101))</f>
        <v/>
      </c>
      <c r="I101" s="52">
        <f>IF($BA101="","",INDEX(업무일지!$J$5:$J$1004,$BA101))</f>
        <v/>
      </c>
      <c r="J101" s="24">
        <f>IF($BA101="","",INDEX(업무일지!$Z$5:$Z$1004,$BA101))</f>
        <v/>
      </c>
      <c r="K101" s="47">
        <f>IF($BA101="","",INDEX(업무일지!$AC$5:$AC$1004,$BA101))</f>
        <v/>
      </c>
      <c r="L101" s="47">
        <f>IF($BA101="","",INDEX(업무일지!$AH$5:$AH$1004,$BA101))</f>
        <v/>
      </c>
      <c r="AZ101">
        <f>IF(AND(업무일지!$B105&lt;&gt;"",업무일지!$AG105="진행중"),MAX(0,TODAY()-업무일지!$B105)*10000+900,"")</f>
        <v/>
      </c>
      <c r="BA101">
        <f>IFERROR(MATCH(LARGE($AZ$1:$AZ$1000,88),$AZ$1:$AZ$1000,0),"")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IF($BA102="","",89)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IF($BA102="","",INDEX(업무일지!$H$5:$H$1004,$BA102))</f>
        <v/>
      </c>
      <c r="I102" s="52">
        <f>IF($BA102="","",INDEX(업무일지!$J$5:$J$1004,$BA102))</f>
        <v/>
      </c>
      <c r="J102" s="24">
        <f>IF($BA102="","",INDEX(업무일지!$Z$5:$Z$1004,$BA102))</f>
        <v/>
      </c>
      <c r="K102" s="47">
        <f>IF($BA102="","",INDEX(업무일지!$AC$5:$AC$1004,$BA102))</f>
        <v/>
      </c>
      <c r="L102" s="47">
        <f>IF($BA102="","",INDEX(업무일지!$AH$5:$AH$1004,$BA102))</f>
        <v/>
      </c>
      <c r="AZ102">
        <f>IF(AND(업무일지!$B106&lt;&gt;"",업무일지!$AG106="진행중"),MAX(0,TODAY()-업무일지!$B106)*10000+899,"")</f>
        <v/>
      </c>
      <c r="BA102">
        <f>IFERROR(MATCH(LARGE($AZ$1:$AZ$1000,89),$AZ$1:$AZ$1000,0),"")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IF($BA103="","",90)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IF($BA103="","",INDEX(업무일지!$H$5:$H$1004,$BA103))</f>
        <v/>
      </c>
      <c r="I103" s="52">
        <f>IF($BA103="","",INDEX(업무일지!$J$5:$J$1004,$BA103))</f>
        <v/>
      </c>
      <c r="J103" s="24">
        <f>IF($BA103="","",INDEX(업무일지!$Z$5:$Z$1004,$BA103))</f>
        <v/>
      </c>
      <c r="K103" s="47">
        <f>IF($BA103="","",INDEX(업무일지!$AC$5:$AC$1004,$BA103))</f>
        <v/>
      </c>
      <c r="L103" s="47">
        <f>IF($BA103="","",INDEX(업무일지!$AH$5:$AH$1004,$BA103))</f>
        <v/>
      </c>
      <c r="AZ103">
        <f>IF(AND(업무일지!$B107&lt;&gt;"",업무일지!$AG107="진행중"),MAX(0,TODAY()-업무일지!$B107)*10000+898,"")</f>
        <v/>
      </c>
      <c r="BA103">
        <f>IFERROR(MATCH(LARGE($AZ$1:$AZ$1000,90),$AZ$1:$AZ$1000,0),"")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IF($BA104="","",91)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IF($BA104="","",INDEX(업무일지!$H$5:$H$1004,$BA104))</f>
        <v/>
      </c>
      <c r="I104" s="52">
        <f>IF($BA104="","",INDEX(업무일지!$J$5:$J$1004,$BA104))</f>
        <v/>
      </c>
      <c r="J104" s="24">
        <f>IF($BA104="","",INDEX(업무일지!$Z$5:$Z$1004,$BA104))</f>
        <v/>
      </c>
      <c r="K104" s="47">
        <f>IF($BA104="","",INDEX(업무일지!$AC$5:$AC$1004,$BA104))</f>
        <v/>
      </c>
      <c r="L104" s="47">
        <f>IF($BA104="","",INDEX(업무일지!$AH$5:$AH$1004,$BA104))</f>
        <v/>
      </c>
      <c r="AZ104">
        <f>IF(AND(업무일지!$B108&lt;&gt;"",업무일지!$AG108="진행중"),MAX(0,TODAY()-업무일지!$B108)*10000+897,"")</f>
        <v/>
      </c>
      <c r="BA104">
        <f>IFERROR(MATCH(LARGE($AZ$1:$AZ$1000,91),$AZ$1:$AZ$1000,0),"")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IF($BA105="","",92)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IF($BA105="","",INDEX(업무일지!$H$5:$H$1004,$BA105))</f>
        <v/>
      </c>
      <c r="I105" s="52">
        <f>IF($BA105="","",INDEX(업무일지!$J$5:$J$1004,$BA105))</f>
        <v/>
      </c>
      <c r="J105" s="24">
        <f>IF($BA105="","",INDEX(업무일지!$Z$5:$Z$1004,$BA105))</f>
        <v/>
      </c>
      <c r="K105" s="47">
        <f>IF($BA105="","",INDEX(업무일지!$AC$5:$AC$1004,$BA105))</f>
        <v/>
      </c>
      <c r="L105" s="47">
        <f>IF($BA105="","",INDEX(업무일지!$AH$5:$AH$1004,$BA105))</f>
        <v/>
      </c>
      <c r="AZ105">
        <f>IF(AND(업무일지!$B109&lt;&gt;"",업무일지!$AG109="진행중"),MAX(0,TODAY()-업무일지!$B109)*10000+896,"")</f>
        <v/>
      </c>
      <c r="BA105">
        <f>IFERROR(MATCH(LARGE($AZ$1:$AZ$1000,92),$AZ$1:$AZ$1000,0),"")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IF($BA106="","",93)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IF($BA106="","",INDEX(업무일지!$H$5:$H$1004,$BA106))</f>
        <v/>
      </c>
      <c r="I106" s="52">
        <f>IF($BA106="","",INDEX(업무일지!$J$5:$J$1004,$BA106))</f>
        <v/>
      </c>
      <c r="J106" s="24">
        <f>IF($BA106="","",INDEX(업무일지!$Z$5:$Z$1004,$BA106))</f>
        <v/>
      </c>
      <c r="K106" s="47">
        <f>IF($BA106="","",INDEX(업무일지!$AC$5:$AC$1004,$BA106))</f>
        <v/>
      </c>
      <c r="L106" s="47">
        <f>IF($BA106="","",INDEX(업무일지!$AH$5:$AH$1004,$BA106))</f>
        <v/>
      </c>
      <c r="AZ106">
        <f>IF(AND(업무일지!$B110&lt;&gt;"",업무일지!$AG110="진행중"),MAX(0,TODAY()-업무일지!$B110)*10000+895,"")</f>
        <v/>
      </c>
      <c r="BA106">
        <f>IFERROR(MATCH(LARGE($AZ$1:$AZ$1000,93),$AZ$1:$AZ$1000,0),"")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IF($BA107="","",94)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IF($BA107="","",INDEX(업무일지!$H$5:$H$1004,$BA107))</f>
        <v/>
      </c>
      <c r="I107" s="52">
        <f>IF($BA107="","",INDEX(업무일지!$J$5:$J$1004,$BA107))</f>
        <v/>
      </c>
      <c r="J107" s="24">
        <f>IF($BA107="","",INDEX(업무일지!$Z$5:$Z$1004,$BA107))</f>
        <v/>
      </c>
      <c r="K107" s="47">
        <f>IF($BA107="","",INDEX(업무일지!$AC$5:$AC$1004,$BA107))</f>
        <v/>
      </c>
      <c r="L107" s="47">
        <f>IF($BA107="","",INDEX(업무일지!$AH$5:$AH$1004,$BA107))</f>
        <v/>
      </c>
      <c r="AZ107">
        <f>IF(AND(업무일지!$B111&lt;&gt;"",업무일지!$AG111="진행중"),MAX(0,TODAY()-업무일지!$B111)*10000+894,"")</f>
        <v/>
      </c>
      <c r="BA107">
        <f>IFERROR(MATCH(LARGE($AZ$1:$AZ$1000,94),$AZ$1:$AZ$1000,0),"")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IF($BA108="","",95)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IF($BA108="","",INDEX(업무일지!$H$5:$H$1004,$BA108))</f>
        <v/>
      </c>
      <c r="I108" s="52">
        <f>IF($BA108="","",INDEX(업무일지!$J$5:$J$1004,$BA108))</f>
        <v/>
      </c>
      <c r="J108" s="24">
        <f>IF($BA108="","",INDEX(업무일지!$Z$5:$Z$1004,$BA108))</f>
        <v/>
      </c>
      <c r="K108" s="47">
        <f>IF($BA108="","",INDEX(업무일지!$AC$5:$AC$1004,$BA108))</f>
        <v/>
      </c>
      <c r="L108" s="47">
        <f>IF($BA108="","",INDEX(업무일지!$AH$5:$AH$1004,$BA108))</f>
        <v/>
      </c>
      <c r="AZ108">
        <f>IF(AND(업무일지!$B112&lt;&gt;"",업무일지!$AG112="진행중"),MAX(0,TODAY()-업무일지!$B112)*10000+893,"")</f>
        <v/>
      </c>
      <c r="BA108">
        <f>IFERROR(MATCH(LARGE($AZ$1:$AZ$1000,95),$AZ$1:$AZ$1000,0),"")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IF($BA109="","",96)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IF($BA109="","",INDEX(업무일지!$H$5:$H$1004,$BA109))</f>
        <v/>
      </c>
      <c r="I109" s="52">
        <f>IF($BA109="","",INDEX(업무일지!$J$5:$J$1004,$BA109))</f>
        <v/>
      </c>
      <c r="J109" s="24">
        <f>IF($BA109="","",INDEX(업무일지!$Z$5:$Z$1004,$BA109))</f>
        <v/>
      </c>
      <c r="K109" s="47">
        <f>IF($BA109="","",INDEX(업무일지!$AC$5:$AC$1004,$BA109))</f>
        <v/>
      </c>
      <c r="L109" s="47">
        <f>IF($BA109="","",INDEX(업무일지!$AH$5:$AH$1004,$BA109))</f>
        <v/>
      </c>
      <c r="AZ109">
        <f>IF(AND(업무일지!$B113&lt;&gt;"",업무일지!$AG113="진행중"),MAX(0,TODAY()-업무일지!$B113)*10000+892,"")</f>
        <v/>
      </c>
      <c r="BA109">
        <f>IFERROR(MATCH(LARGE($AZ$1:$AZ$1000,96),$AZ$1:$AZ$1000,0),"")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IF($BA110="","",97)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IF($BA110="","",INDEX(업무일지!$H$5:$H$1004,$BA110))</f>
        <v/>
      </c>
      <c r="I110" s="52">
        <f>IF($BA110="","",INDEX(업무일지!$J$5:$J$1004,$BA110))</f>
        <v/>
      </c>
      <c r="J110" s="24">
        <f>IF($BA110="","",INDEX(업무일지!$Z$5:$Z$1004,$BA110))</f>
        <v/>
      </c>
      <c r="K110" s="47">
        <f>IF($BA110="","",INDEX(업무일지!$AC$5:$AC$1004,$BA110))</f>
        <v/>
      </c>
      <c r="L110" s="47">
        <f>IF($BA110="","",INDEX(업무일지!$AH$5:$AH$1004,$BA110))</f>
        <v/>
      </c>
      <c r="AZ110">
        <f>IF(AND(업무일지!$B114&lt;&gt;"",업무일지!$AG114="진행중"),MAX(0,TODAY()-업무일지!$B114)*10000+891,"")</f>
        <v/>
      </c>
      <c r="BA110">
        <f>IFERROR(MATCH(LARGE($AZ$1:$AZ$1000,97),$AZ$1:$AZ$1000,0),"")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IF($BA111="","",98)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IF($BA111="","",INDEX(업무일지!$H$5:$H$1004,$BA111))</f>
        <v/>
      </c>
      <c r="I111" s="52">
        <f>IF($BA111="","",INDEX(업무일지!$J$5:$J$1004,$BA111))</f>
        <v/>
      </c>
      <c r="J111" s="24">
        <f>IF($BA111="","",INDEX(업무일지!$Z$5:$Z$1004,$BA111))</f>
        <v/>
      </c>
      <c r="K111" s="47">
        <f>IF($BA111="","",INDEX(업무일지!$AC$5:$AC$1004,$BA111))</f>
        <v/>
      </c>
      <c r="L111" s="47">
        <f>IF($BA111="","",INDEX(업무일지!$AH$5:$AH$1004,$BA111))</f>
        <v/>
      </c>
      <c r="AZ111">
        <f>IF(AND(업무일지!$B115&lt;&gt;"",업무일지!$AG115="진행중"),MAX(0,TODAY()-업무일지!$B115)*10000+890,"")</f>
        <v/>
      </c>
      <c r="BA111">
        <f>IFERROR(MATCH(LARGE($AZ$1:$AZ$1000,98),$AZ$1:$AZ$1000,0),"")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IF($BA112="","",99)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IF($BA112="","",INDEX(업무일지!$H$5:$H$1004,$BA112))</f>
        <v/>
      </c>
      <c r="I112" s="52">
        <f>IF($BA112="","",INDEX(업무일지!$J$5:$J$1004,$BA112))</f>
        <v/>
      </c>
      <c r="J112" s="24">
        <f>IF($BA112="","",INDEX(업무일지!$Z$5:$Z$1004,$BA112))</f>
        <v/>
      </c>
      <c r="K112" s="47">
        <f>IF($BA112="","",INDEX(업무일지!$AC$5:$AC$1004,$BA112))</f>
        <v/>
      </c>
      <c r="L112" s="47">
        <f>IF($BA112="","",INDEX(업무일지!$AH$5:$AH$1004,$BA112))</f>
        <v/>
      </c>
      <c r="AZ112">
        <f>IF(AND(업무일지!$B116&lt;&gt;"",업무일지!$AG116="진행중"),MAX(0,TODAY()-업무일지!$B116)*10000+889,"")</f>
        <v/>
      </c>
      <c r="BA112">
        <f>IFERROR(MATCH(LARGE($AZ$1:$AZ$1000,99),$AZ$1:$AZ$1000,0),"")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113" s="43">
        <f>IF($BA113="","",100)</f>
        <v/>
      </c>
      <c r="B113" s="43">
        <f>IF($BA113="","",TODAY()-INDEX(업무일지!$B$5:$B$1004,$BA113))</f>
        <v/>
      </c>
      <c r="C113" s="51">
        <f>IF($BA113="","",INDEX(업무일지!$B$5:$B$1004,$BA113))</f>
        <v/>
      </c>
      <c r="D113" s="51">
        <f>IF($BA113="","",INDEX(업무일지!$C$5:$C$1004,$BA113))</f>
        <v/>
      </c>
      <c r="E113" s="52">
        <f>IF($BA113="","",INDEX(업무일지!$D$5:$D$1004,$BA113))</f>
        <v/>
      </c>
      <c r="F113" s="47">
        <f>IF($BA113="","",INDEX(업무일지!$E$5:$E$1004,$BA113))</f>
        <v/>
      </c>
      <c r="G113" s="52">
        <f>IF($BA113="","",INDEX(업무일지!$F$5:$F$1004,$BA113))</f>
        <v/>
      </c>
      <c r="H113" s="47">
        <f>IF($BA113="","",INDEX(업무일지!$H$5:$H$1004,$BA113))</f>
        <v/>
      </c>
      <c r="I113" s="52">
        <f>IF($BA113="","",INDEX(업무일지!$J$5:$J$1004,$BA113))</f>
        <v/>
      </c>
      <c r="J113" s="24">
        <f>IF($BA113="","",INDEX(업무일지!$Z$5:$Z$1004,$BA113))</f>
        <v/>
      </c>
      <c r="K113" s="47">
        <f>IF($BA113="","",INDEX(업무일지!$AC$5:$AC$1004,$BA113))</f>
        <v/>
      </c>
      <c r="L113" s="47">
        <f>IF($BA113="","",INDEX(업무일지!$AH$5:$AH$1004,$BA113))</f>
        <v/>
      </c>
      <c r="AZ113">
        <f>IF(AND(업무일지!$B117&lt;&gt;"",업무일지!$AG117="진행중"),MAX(0,TODAY()-업무일지!$B117)*10000+888,"")</f>
        <v/>
      </c>
      <c r="BA113">
        <f>IFERROR(MATCH(LARGE($AZ$1:$AZ$1000,100),$AZ$1:$AZ$1000,0),"")</f>
        <v/>
      </c>
      <c r="BB113">
        <f>IF(AND(일일실시사항!$B117&lt;&gt;"",일일실시사항!$J117="진행중"),MAX(0,TODAY()-일일실시사항!$B117)*10000+888,"")</f>
        <v/>
      </c>
    </row>
    <row r="114">
      <c r="AZ114">
        <f>IF(AND(업무일지!$B118&lt;&gt;"",업무일지!$AG118="진행중"),MAX(0,TODAY()-업무일지!$B118)*10000+887,"")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115" s="53">
        <f>IF($B$10&gt;100,"※ 진행중이 "&amp;$B$10&amp;"건이라 위 표에 "&amp;(100)&amp;"건만 표시했습니다. 나머지는 [업무일지]에서 진행상태로 필터를 거세요.","")</f>
        <v/>
      </c>
      <c r="AZ115">
        <f>IF(AND(업무일지!$B119&lt;&gt;"",업무일지!$AG119="진행중"),MAX(0,TODAY()-업무일지!$B119)*10000+886,"")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>
      <c r="AZ116">
        <f>IF(AND(업무일지!$B120&lt;&gt;"",업무일지!$AG120="진행중"),MAX(0,TODAY()-업무일지!$B120)*10000+885,"")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20" customHeight="1">
      <c r="A117" s="21" t="inlineStr">
        <is>
          <t>3.  진행중 일일 실시사항 (오래된 순 · 상위 30건)</t>
        </is>
      </c>
      <c r="B117" s="22" t="n"/>
      <c r="C117" s="22" t="n"/>
      <c r="D117" s="22" t="n"/>
      <c r="E117" s="22" t="n"/>
      <c r="F117" s="22" t="n"/>
      <c r="G117" s="22" t="n"/>
      <c r="AZ117">
        <f>IF(AND(업무일지!$B121&lt;&gt;"",업무일지!$AG121="진행중"),MAX(0,TODAY()-업무일지!$B121)*10000+884,"")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 ht="32" customHeight="1">
      <c r="A118" s="23" t="inlineStr">
        <is>
          <t>순위</t>
        </is>
      </c>
      <c r="B118" s="23" t="inlineStr">
        <is>
          <t>경과일수</t>
        </is>
      </c>
      <c r="C118" s="23" t="inlineStr">
        <is>
          <t>일자</t>
        </is>
      </c>
      <c r="D118" s="23" t="inlineStr">
        <is>
          <t>담당자</t>
        </is>
      </c>
      <c r="E118" s="23" t="inlineStr">
        <is>
          <t>소속팀</t>
        </is>
      </c>
      <c r="F118" s="23" t="inlineStr">
        <is>
          <t>업무구분</t>
        </is>
      </c>
      <c r="G118" s="23" t="inlineStr">
        <is>
          <t>실시 내용</t>
        </is>
      </c>
      <c r="AZ118">
        <f>IF(AND(업무일지!$B122&lt;&gt;"",업무일지!$AG122="진행중"),MAX(0,TODAY()-업무일지!$B122)*10000+883,"")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</row>
    <row r="119">
      <c r="A119" s="43">
        <f>IF($BC119="","",1)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IF(AND(업무일지!$B123&lt;&gt;"",업무일지!$AG123="진행중"),MAX(0,TODAY()-업무일지!$B123)*10000+882,"")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IFERROR(MATCH(LARGE($BB$1:$BB$1000,1),$BB$1:$BB$1000,0),"")</f>
        <v/>
      </c>
    </row>
    <row r="120">
      <c r="A120" s="43">
        <f>IF($BC120="","",2)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IF(AND(업무일지!$B124&lt;&gt;"",업무일지!$AG124="진행중"),MAX(0,TODAY()-업무일지!$B124)*10000+881,"")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IFERROR(MATCH(LARGE($BB$1:$BB$1000,2),$BB$1:$BB$1000,0),"")</f>
        <v/>
      </c>
    </row>
    <row r="121">
      <c r="A121" s="43">
        <f>IF($BC121="","",3)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IF(AND(업무일지!$B125&lt;&gt;"",업무일지!$AG125="진행중"),MAX(0,TODAY()-업무일지!$B125)*10000+880,"")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IFERROR(MATCH(LARGE($BB$1:$BB$1000,3),$BB$1:$BB$1000,0),"")</f>
        <v/>
      </c>
    </row>
    <row r="122">
      <c r="A122" s="43">
        <f>IF($BC122="","",4)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IF(AND(업무일지!$B126&lt;&gt;"",업무일지!$AG126="진행중"),MAX(0,TODAY()-업무일지!$B126)*10000+879,"")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IFERROR(MATCH(LARGE($BB$1:$BB$1000,4),$BB$1:$BB$1000,0),"")</f>
        <v/>
      </c>
    </row>
    <row r="123">
      <c r="A123" s="43">
        <f>IF($BC123="","",5)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IF(AND(업무일지!$B127&lt;&gt;"",업무일지!$AG127="진행중"),MAX(0,TODAY()-업무일지!$B127)*10000+878,"")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IFERROR(MATCH(LARGE($BB$1:$BB$1000,5),$BB$1:$BB$1000,0),"")</f>
        <v/>
      </c>
    </row>
    <row r="124">
      <c r="A124" s="43">
        <f>IF($BC124="","",6)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IF(AND(업무일지!$B128&lt;&gt;"",업무일지!$AG128="진행중"),MAX(0,TODAY()-업무일지!$B128)*10000+877,"")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IFERROR(MATCH(LARGE($BB$1:$BB$1000,6),$BB$1:$BB$1000,0),"")</f>
        <v/>
      </c>
    </row>
    <row r="125">
      <c r="A125" s="43">
        <f>IF($BC125="","",7)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IF(AND(업무일지!$B129&lt;&gt;"",업무일지!$AG129="진행중"),MAX(0,TODAY()-업무일지!$B129)*10000+876,"")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IFERROR(MATCH(LARGE($BB$1:$BB$1000,7),$BB$1:$BB$1000,0),"")</f>
        <v/>
      </c>
    </row>
    <row r="126">
      <c r="A126" s="43">
        <f>IF($BC126="","",8)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IF(AND(업무일지!$B130&lt;&gt;"",업무일지!$AG130="진행중"),MAX(0,TODAY()-업무일지!$B130)*10000+875,"")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IFERROR(MATCH(LARGE($BB$1:$BB$1000,8),$BB$1:$BB$1000,0),"")</f>
        <v/>
      </c>
    </row>
    <row r="127">
      <c r="A127" s="43">
        <f>IF($BC127="","",9)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IF(AND(업무일지!$B131&lt;&gt;"",업무일지!$AG131="진행중"),MAX(0,TODAY()-업무일지!$B131)*10000+874,"")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IFERROR(MATCH(LARGE($BB$1:$BB$1000,9),$BB$1:$BB$1000,0),"")</f>
        <v/>
      </c>
    </row>
    <row r="128">
      <c r="A128" s="43">
        <f>IF($BC128="","",10)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IF(AND(업무일지!$B132&lt;&gt;"",업무일지!$AG132="진행중"),MAX(0,TODAY()-업무일지!$B132)*10000+873,"")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IFERROR(MATCH(LARGE($BB$1:$BB$1000,10),$BB$1:$BB$1000,0),"")</f>
        <v/>
      </c>
    </row>
    <row r="129">
      <c r="A129" s="43">
        <f>IF($BC129="","",11)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IF(AND(업무일지!$B133&lt;&gt;"",업무일지!$AG133="진행중"),MAX(0,TODAY()-업무일지!$B133)*10000+872,"")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IFERROR(MATCH(LARGE($BB$1:$BB$1000,11),$BB$1:$BB$1000,0),"")</f>
        <v/>
      </c>
    </row>
    <row r="130">
      <c r="A130" s="43">
        <f>IF($BC130="","",12)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IF(AND(업무일지!$B134&lt;&gt;"",업무일지!$AG134="진행중"),MAX(0,TODAY()-업무일지!$B134)*10000+871,"")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IFERROR(MATCH(LARGE($BB$1:$BB$1000,12),$BB$1:$BB$1000,0),"")</f>
        <v/>
      </c>
    </row>
    <row r="131">
      <c r="A131" s="43">
        <f>IF($BC131="","",13)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IF(AND(업무일지!$B135&lt;&gt;"",업무일지!$AG135="진행중"),MAX(0,TODAY()-업무일지!$B135)*10000+870,"")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IFERROR(MATCH(LARGE($BB$1:$BB$1000,13),$BB$1:$BB$1000,0),"")</f>
        <v/>
      </c>
    </row>
    <row r="132">
      <c r="A132" s="43">
        <f>IF($BC132="","",14)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IF(AND(업무일지!$B136&lt;&gt;"",업무일지!$AG136="진행중"),MAX(0,TODAY()-업무일지!$B136)*10000+869,"")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IFERROR(MATCH(LARGE($BB$1:$BB$1000,14),$BB$1:$BB$1000,0),"")</f>
        <v/>
      </c>
    </row>
    <row r="133">
      <c r="A133" s="43">
        <f>IF($BC133="","",15)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IF(AND(업무일지!$B137&lt;&gt;"",업무일지!$AG137="진행중"),MAX(0,TODAY()-업무일지!$B137)*10000+868,"")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IFERROR(MATCH(LARGE($BB$1:$BB$1000,15),$BB$1:$BB$1000,0),"")</f>
        <v/>
      </c>
    </row>
    <row r="134">
      <c r="A134" s="43">
        <f>IF($BC134="","",16)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IF(AND(업무일지!$B138&lt;&gt;"",업무일지!$AG138="진행중"),MAX(0,TODAY()-업무일지!$B138)*10000+867,"")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IFERROR(MATCH(LARGE($BB$1:$BB$1000,16),$BB$1:$BB$1000,0),"")</f>
        <v/>
      </c>
    </row>
    <row r="135">
      <c r="A135" s="43">
        <f>IF($BC135="","",17)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IF(AND(업무일지!$B139&lt;&gt;"",업무일지!$AG139="진행중"),MAX(0,TODAY()-업무일지!$B139)*10000+866,"")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IFERROR(MATCH(LARGE($BB$1:$BB$1000,17),$BB$1:$BB$1000,0),"")</f>
        <v/>
      </c>
    </row>
    <row r="136">
      <c r="A136" s="43">
        <f>IF($BC136="","",18)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IF(AND(업무일지!$B140&lt;&gt;"",업무일지!$AG140="진행중"),MAX(0,TODAY()-업무일지!$B140)*10000+865,"")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IFERROR(MATCH(LARGE($BB$1:$BB$1000,18),$BB$1:$BB$1000,0),"")</f>
        <v/>
      </c>
    </row>
    <row r="137">
      <c r="A137" s="43">
        <f>IF($BC137="","",19)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IF(AND(업무일지!$B141&lt;&gt;"",업무일지!$AG141="진행중"),MAX(0,TODAY()-업무일지!$B141)*10000+864,"")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IFERROR(MATCH(LARGE($BB$1:$BB$1000,19),$BB$1:$BB$1000,0),"")</f>
        <v/>
      </c>
    </row>
    <row r="138">
      <c r="A138" s="43">
        <f>IF($BC138="","",20)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IF(AND(업무일지!$B142&lt;&gt;"",업무일지!$AG142="진행중"),MAX(0,TODAY()-업무일지!$B142)*10000+863,"")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IFERROR(MATCH(LARGE($BB$1:$BB$1000,20),$BB$1:$BB$1000,0),"")</f>
        <v/>
      </c>
    </row>
    <row r="139">
      <c r="A139" s="43">
        <f>IF($BC139="","",21)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IF(AND(업무일지!$B143&lt;&gt;"",업무일지!$AG143="진행중"),MAX(0,TODAY()-업무일지!$B143)*10000+862,"")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IFERROR(MATCH(LARGE($BB$1:$BB$1000,21),$BB$1:$BB$1000,0),"")</f>
        <v/>
      </c>
    </row>
    <row r="140">
      <c r="A140" s="43">
        <f>IF($BC140="","",22)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IF(AND(업무일지!$B144&lt;&gt;"",업무일지!$AG144="진행중"),MAX(0,TODAY()-업무일지!$B144)*10000+861,"")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IFERROR(MATCH(LARGE($BB$1:$BB$1000,22),$BB$1:$BB$1000,0),"")</f>
        <v/>
      </c>
    </row>
    <row r="141">
      <c r="A141" s="43">
        <f>IF($BC141="","",23)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IF(AND(업무일지!$B145&lt;&gt;"",업무일지!$AG145="진행중"),MAX(0,TODAY()-업무일지!$B145)*10000+860,"")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IFERROR(MATCH(LARGE($BB$1:$BB$1000,23),$BB$1:$BB$1000,0),"")</f>
        <v/>
      </c>
    </row>
    <row r="142">
      <c r="A142" s="43">
        <f>IF($BC142="","",24)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IF(AND(업무일지!$B146&lt;&gt;"",업무일지!$AG146="진행중"),MAX(0,TODAY()-업무일지!$B146)*10000+859,"")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IFERROR(MATCH(LARGE($BB$1:$BB$1000,24),$BB$1:$BB$1000,0),"")</f>
        <v/>
      </c>
    </row>
    <row r="143">
      <c r="A143" s="43">
        <f>IF($BC143="","",25)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IF(AND(업무일지!$B147&lt;&gt;"",업무일지!$AG147="진행중"),MAX(0,TODAY()-업무일지!$B147)*10000+858,"")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IFERROR(MATCH(LARGE($BB$1:$BB$1000,25),$BB$1:$BB$1000,0),"")</f>
        <v/>
      </c>
    </row>
    <row r="144">
      <c r="A144" s="43">
        <f>IF($BC144="","",26)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IF(AND(업무일지!$B148&lt;&gt;"",업무일지!$AG148="진행중"),MAX(0,TODAY()-업무일지!$B148)*10000+857,"")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IFERROR(MATCH(LARGE($BB$1:$BB$1000,26),$BB$1:$BB$1000,0),"")</f>
        <v/>
      </c>
    </row>
    <row r="145">
      <c r="A145" s="43">
        <f>IF($BC145="","",27)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IF(AND(업무일지!$B149&lt;&gt;"",업무일지!$AG149="진행중"),MAX(0,TODAY()-업무일지!$B149)*10000+856,"")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IFERROR(MATCH(LARGE($BB$1:$BB$1000,27),$BB$1:$BB$1000,0),"")</f>
        <v/>
      </c>
    </row>
    <row r="146">
      <c r="A146" s="43">
        <f>IF($BC146="","",28)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IF(AND(업무일지!$B150&lt;&gt;"",업무일지!$AG150="진행중"),MAX(0,TODAY()-업무일지!$B150)*10000+855,"")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IFERROR(MATCH(LARGE($BB$1:$BB$1000,28),$BB$1:$BB$1000,0),"")</f>
        <v/>
      </c>
    </row>
    <row r="147">
      <c r="A147" s="43">
        <f>IF($BC147="","",29)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IF(AND(업무일지!$B151&lt;&gt;"",업무일지!$AG151="진행중"),MAX(0,TODAY()-업무일지!$B151)*10000+854,"")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IFERROR(MATCH(LARGE($BB$1:$BB$1000,29),$BB$1:$BB$1000,0),"")</f>
        <v/>
      </c>
    </row>
    <row r="148">
      <c r="A148" s="43">
        <f>IF($BC148="","",30)</f>
        <v/>
      </c>
      <c r="B148" s="43">
        <f>IF($BC148="","",TODAY()-INDEX(일일실시사항!$B$5:$B$1004,$BC148))</f>
        <v/>
      </c>
      <c r="C148" s="51">
        <f>IF($BC148="","",INDEX(일일실시사항!$B$5:$B$1004,$BC148))</f>
        <v/>
      </c>
      <c r="D148" s="52">
        <f>IF($BC148="","",INDEX(일일실시사항!$D$5:$D$1004,$BC148))</f>
        <v/>
      </c>
      <c r="E148" s="52">
        <f>IF($BC148="","",INDEX(일일실시사항!$E$5:$E$1004,$BC148))</f>
        <v/>
      </c>
      <c r="F148" s="47">
        <f>IF($BC148="","",INDEX(일일실시사항!$F$5:$F$1004,$BC148))</f>
        <v/>
      </c>
      <c r="G148" s="47">
        <f>IF($BC148="","",INDEX(일일실시사항!$H$5:$H$1004,$BC148))</f>
        <v/>
      </c>
      <c r="AZ148">
        <f>IF(AND(업무일지!$B152&lt;&gt;"",업무일지!$AG152="진행중"),MAX(0,TODAY()-업무일지!$B152)*10000+853,"")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  <c r="BC148">
        <f>IFERROR(MATCH(LARGE($BB$1:$BB$1000,30),$BB$1:$BB$1000,0),"")</f>
        <v/>
      </c>
    </row>
    <row r="149">
      <c r="AZ149">
        <f>IF(AND(업무일지!$B153&lt;&gt;"",업무일지!$AG153="진행중"),MAX(0,TODAY()-업무일지!$B153)*10000+852,"")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IF(AND(업무일지!$B154&lt;&gt;"",업무일지!$AG154="진행중"),MAX(0,TODAY()-업무일지!$B154)*10000+851,"")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IF(AND(업무일지!$B155&lt;&gt;"",업무일지!$AG155="진행중"),MAX(0,TODAY()-업무일지!$B155)*10000+850,"")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IF(AND(업무일지!$B156&lt;&gt;"",업무일지!$AG156="진행중"),MAX(0,TODAY()-업무일지!$B156)*10000+849,"")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IF(AND(업무일지!$B157&lt;&gt;"",업무일지!$AG157="진행중"),MAX(0,TODAY()-업무일지!$B157)*10000+848,"")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IF(AND(업무일지!$B158&lt;&gt;"",업무일지!$AG158="진행중"),MAX(0,TODAY()-업무일지!$B158)*10000+847,"")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IF(AND(업무일지!$B159&lt;&gt;"",업무일지!$AG159="진행중"),MAX(0,TODAY()-업무일지!$B159)*10000+846,"")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IF(AND(업무일지!$B160&lt;&gt;"",업무일지!$AG160="진행중"),MAX(0,TODAY()-업무일지!$B160)*10000+845,"")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IF(AND(업무일지!$B161&lt;&gt;"",업무일지!$AG161="진행중"),MAX(0,TODAY()-업무일지!$B161)*10000+844,"")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IF(AND(업무일지!$B162&lt;&gt;"",업무일지!$AG162="진행중"),MAX(0,TODAY()-업무일지!$B162)*10000+843,"")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IF(AND(업무일지!$B163&lt;&gt;"",업무일지!$AG163="진행중"),MAX(0,TODAY()-업무일지!$B163)*10000+842,"")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IF(AND(업무일지!$B164&lt;&gt;"",업무일지!$AG164="진행중"),MAX(0,TODAY()-업무일지!$B164)*10000+841,"")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IF(AND(업무일지!$B165&lt;&gt;"",업무일지!$AG165="진행중"),MAX(0,TODAY()-업무일지!$B165)*10000+840,"")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IF(AND(업무일지!$B166&lt;&gt;"",업무일지!$AG166="진행중"),MAX(0,TODAY()-업무일지!$B166)*10000+839,"")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IF(AND(업무일지!$B167&lt;&gt;"",업무일지!$AG167="진행중"),MAX(0,TODAY()-업무일지!$B167)*10000+838,"")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IF(AND(업무일지!$B168&lt;&gt;"",업무일지!$AG168="진행중"),MAX(0,TODAY()-업무일지!$B168)*10000+837,"")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IF(AND(업무일지!$B169&lt;&gt;"",업무일지!$AG169="진행중"),MAX(0,TODAY()-업무일지!$B169)*10000+836,"")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IF(AND(업무일지!$B170&lt;&gt;"",업무일지!$AG170="진행중"),MAX(0,TODAY()-업무일지!$B170)*10000+835,"")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IF(AND(업무일지!$B171&lt;&gt;"",업무일지!$AG171="진행중"),MAX(0,TODAY()-업무일지!$B171)*10000+834,"")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IF(AND(업무일지!$B172&lt;&gt;"",업무일지!$AG172="진행중"),MAX(0,TODAY()-업무일지!$B172)*10000+833,"")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IF(AND(업무일지!$B173&lt;&gt;"",업무일지!$AG173="진행중"),MAX(0,TODAY()-업무일지!$B173)*10000+832,"")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IF(AND(업무일지!$B174&lt;&gt;"",업무일지!$AG174="진행중"),MAX(0,TODAY()-업무일지!$B174)*10000+831,"")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IF(AND(업무일지!$B175&lt;&gt;"",업무일지!$AG175="진행중"),MAX(0,TODAY()-업무일지!$B175)*10000+830,"")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IF(AND(업무일지!$B176&lt;&gt;"",업무일지!$AG176="진행중"),MAX(0,TODAY()-업무일지!$B176)*10000+829,"")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IF(AND(업무일지!$B177&lt;&gt;"",업무일지!$AG177="진행중"),MAX(0,TODAY()-업무일지!$B177)*10000+828,"")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IF(AND(업무일지!$B178&lt;&gt;"",업무일지!$AG178="진행중"),MAX(0,TODAY()-업무일지!$B178)*10000+827,"")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IF(AND(업무일지!$B179&lt;&gt;"",업무일지!$AG179="진행중"),MAX(0,TODAY()-업무일지!$B179)*10000+826,"")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IF(AND(업무일지!$B180&lt;&gt;"",업무일지!$AG180="진행중"),MAX(0,TODAY()-업무일지!$B180)*10000+825,"")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IF(AND(업무일지!$B181&lt;&gt;"",업무일지!$AG181="진행중"),MAX(0,TODAY()-업무일지!$B181)*10000+824,"")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IF(AND(업무일지!$B182&lt;&gt;"",업무일지!$AG182="진행중"),MAX(0,TODAY()-업무일지!$B182)*10000+823,"")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IF(AND(업무일지!$B183&lt;&gt;"",업무일지!$AG183="진행중"),MAX(0,TODAY()-업무일지!$B183)*10000+822,"")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IF(AND(업무일지!$B184&lt;&gt;"",업무일지!$AG184="진행중"),MAX(0,TODAY()-업무일지!$B184)*10000+821,"")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IF(AND(업무일지!$B185&lt;&gt;"",업무일지!$AG185="진행중"),MAX(0,TODAY()-업무일지!$B185)*10000+820,"")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IF(AND(업무일지!$B186&lt;&gt;"",업무일지!$AG186="진행중"),MAX(0,TODAY()-업무일지!$B186)*10000+819,"")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IF(AND(업무일지!$B187&lt;&gt;"",업무일지!$AG187="진행중"),MAX(0,TODAY()-업무일지!$B187)*10000+818,"")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IF(AND(업무일지!$B188&lt;&gt;"",업무일지!$AG188="진행중"),MAX(0,TODAY()-업무일지!$B188)*10000+817,"")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IF(AND(업무일지!$B189&lt;&gt;"",업무일지!$AG189="진행중"),MAX(0,TODAY()-업무일지!$B189)*10000+816,"")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IF(AND(업무일지!$B190&lt;&gt;"",업무일지!$AG190="진행중"),MAX(0,TODAY()-업무일지!$B190)*10000+815,"")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IF(AND(업무일지!$B191&lt;&gt;"",업무일지!$AG191="진행중"),MAX(0,TODAY()-업무일지!$B191)*10000+814,"")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IF(AND(업무일지!$B192&lt;&gt;"",업무일지!$AG192="진행중"),MAX(0,TODAY()-업무일지!$B192)*10000+813,"")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IF(AND(업무일지!$B193&lt;&gt;"",업무일지!$AG193="진행중"),MAX(0,TODAY()-업무일지!$B193)*10000+812,"")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IF(AND(업무일지!$B194&lt;&gt;"",업무일지!$AG194="진행중"),MAX(0,TODAY()-업무일지!$B194)*10000+811,"")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IF(AND(업무일지!$B195&lt;&gt;"",업무일지!$AG195="진행중"),MAX(0,TODAY()-업무일지!$B195)*10000+810,"")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IF(AND(업무일지!$B196&lt;&gt;"",업무일지!$AG196="진행중"),MAX(0,TODAY()-업무일지!$B196)*10000+809,"")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IF(AND(업무일지!$B197&lt;&gt;"",업무일지!$AG197="진행중"),MAX(0,TODAY()-업무일지!$B197)*10000+808,"")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IF(AND(업무일지!$B198&lt;&gt;"",업무일지!$AG198="진행중"),MAX(0,TODAY()-업무일지!$B198)*10000+807,"")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IF(AND(업무일지!$B199&lt;&gt;"",업무일지!$AG199="진행중"),MAX(0,TODAY()-업무일지!$B199)*10000+806,"")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IF(AND(업무일지!$B200&lt;&gt;"",업무일지!$AG200="진행중"),MAX(0,TODAY()-업무일지!$B200)*10000+805,"")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IF(AND(업무일지!$B201&lt;&gt;"",업무일지!$AG201="진행중"),MAX(0,TODAY()-업무일지!$B201)*10000+804,"")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IF(AND(업무일지!$B202&lt;&gt;"",업무일지!$AG202="진행중"),MAX(0,TODAY()-업무일지!$B202)*10000+803,"")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IF(AND(업무일지!$B203&lt;&gt;"",업무일지!$AG203="진행중"),MAX(0,TODAY()-업무일지!$B203)*10000+802,"")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IF(AND(업무일지!$B204&lt;&gt;"",업무일지!$AG204="진행중"),MAX(0,TODAY()-업무일지!$B204)*10000+801,"")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IF(AND(업무일지!$B205&lt;&gt;"",업무일지!$AG205="진행중"),MAX(0,TODAY()-업무일지!$B205)*10000+800,"")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IF(AND(업무일지!$B206&lt;&gt;"",업무일지!$AG206="진행중"),MAX(0,TODAY()-업무일지!$B206)*10000+799,"")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IF(AND(업무일지!$B207&lt;&gt;"",업무일지!$AG207="진행중"),MAX(0,TODAY()-업무일지!$B207)*10000+798,"")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IF(AND(업무일지!$B208&lt;&gt;"",업무일지!$AG208="진행중"),MAX(0,TODAY()-업무일지!$B208)*10000+797,"")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IF(AND(업무일지!$B209&lt;&gt;"",업무일지!$AG209="진행중"),MAX(0,TODAY()-업무일지!$B209)*10000+796,"")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IF(AND(업무일지!$B210&lt;&gt;"",업무일지!$AG210="진행중"),MAX(0,TODAY()-업무일지!$B210)*10000+795,"")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IF(AND(업무일지!$B211&lt;&gt;"",업무일지!$AG211="진행중"),MAX(0,TODAY()-업무일지!$B211)*10000+794,"")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IF(AND(업무일지!$B212&lt;&gt;"",업무일지!$AG212="진행중"),MAX(0,TODAY()-업무일지!$B212)*10000+793,"")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IF(AND(업무일지!$B213&lt;&gt;"",업무일지!$AG213="진행중"),MAX(0,TODAY()-업무일지!$B213)*10000+792,"")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IF(AND(업무일지!$B214&lt;&gt;"",업무일지!$AG214="진행중"),MAX(0,TODAY()-업무일지!$B214)*10000+791,"")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IF(AND(업무일지!$B215&lt;&gt;"",업무일지!$AG215="진행중"),MAX(0,TODAY()-업무일지!$B215)*10000+790,"")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IF(AND(업무일지!$B216&lt;&gt;"",업무일지!$AG216="진행중"),MAX(0,TODAY()-업무일지!$B216)*10000+789,"")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IF(AND(업무일지!$B217&lt;&gt;"",업무일지!$AG217="진행중"),MAX(0,TODAY()-업무일지!$B217)*10000+788,"")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IF(AND(업무일지!$B218&lt;&gt;"",업무일지!$AG218="진행중"),MAX(0,TODAY()-업무일지!$B218)*10000+787,"")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IF(AND(업무일지!$B219&lt;&gt;"",업무일지!$AG219="진행중"),MAX(0,TODAY()-업무일지!$B219)*10000+786,"")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IF(AND(업무일지!$B220&lt;&gt;"",업무일지!$AG220="진행중"),MAX(0,TODAY()-업무일지!$B220)*10000+785,"")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IF(AND(업무일지!$B221&lt;&gt;"",업무일지!$AG221="진행중"),MAX(0,TODAY()-업무일지!$B221)*10000+784,"")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IF(AND(업무일지!$B222&lt;&gt;"",업무일지!$AG222="진행중"),MAX(0,TODAY()-업무일지!$B222)*10000+783,"")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IF(AND(업무일지!$B223&lt;&gt;"",업무일지!$AG223="진행중"),MAX(0,TODAY()-업무일지!$B223)*10000+782,"")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IF(AND(업무일지!$B224&lt;&gt;"",업무일지!$AG224="진행중"),MAX(0,TODAY()-업무일지!$B224)*10000+781,"")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IF(AND(업무일지!$B225&lt;&gt;"",업무일지!$AG225="진행중"),MAX(0,TODAY()-업무일지!$B225)*10000+780,"")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IF(AND(업무일지!$B226&lt;&gt;"",업무일지!$AG226="진행중"),MAX(0,TODAY()-업무일지!$B226)*10000+779,"")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IF(AND(업무일지!$B227&lt;&gt;"",업무일지!$AG227="진행중"),MAX(0,TODAY()-업무일지!$B227)*10000+778,"")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IF(AND(업무일지!$B228&lt;&gt;"",업무일지!$AG228="진행중"),MAX(0,TODAY()-업무일지!$B228)*10000+777,"")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IF(AND(업무일지!$B229&lt;&gt;"",업무일지!$AG229="진행중"),MAX(0,TODAY()-업무일지!$B229)*10000+776,"")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IF(AND(업무일지!$B230&lt;&gt;"",업무일지!$AG230="진행중"),MAX(0,TODAY()-업무일지!$B230)*10000+775,"")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IF(AND(업무일지!$B231&lt;&gt;"",업무일지!$AG231="진행중"),MAX(0,TODAY()-업무일지!$B231)*10000+774,"")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IF(AND(업무일지!$B232&lt;&gt;"",업무일지!$AG232="진행중"),MAX(0,TODAY()-업무일지!$B232)*10000+773,"")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IF(AND(업무일지!$B233&lt;&gt;"",업무일지!$AG233="진행중"),MAX(0,TODAY()-업무일지!$B233)*10000+772,"")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IF(AND(업무일지!$B234&lt;&gt;"",업무일지!$AG234="진행중"),MAX(0,TODAY()-업무일지!$B234)*10000+771,"")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IF(AND(업무일지!$B235&lt;&gt;"",업무일지!$AG235="진행중"),MAX(0,TODAY()-업무일지!$B235)*10000+770,"")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IF(AND(업무일지!$B236&lt;&gt;"",업무일지!$AG236="진행중"),MAX(0,TODAY()-업무일지!$B236)*10000+769,"")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IF(AND(업무일지!$B237&lt;&gt;"",업무일지!$AG237="진행중"),MAX(0,TODAY()-업무일지!$B237)*10000+768,"")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IF(AND(업무일지!$B238&lt;&gt;"",업무일지!$AG238="진행중"),MAX(0,TODAY()-업무일지!$B238)*10000+767,"")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IF(AND(업무일지!$B239&lt;&gt;"",업무일지!$AG239="진행중"),MAX(0,TODAY()-업무일지!$B239)*10000+766,"")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IF(AND(업무일지!$B240&lt;&gt;"",업무일지!$AG240="진행중"),MAX(0,TODAY()-업무일지!$B240)*10000+765,"")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IF(AND(업무일지!$B241&lt;&gt;"",업무일지!$AG241="진행중"),MAX(0,TODAY()-업무일지!$B241)*10000+764,"")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IF(AND(업무일지!$B242&lt;&gt;"",업무일지!$AG242="진행중"),MAX(0,TODAY()-업무일지!$B242)*10000+763,"")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IF(AND(업무일지!$B243&lt;&gt;"",업무일지!$AG243="진행중"),MAX(0,TODAY()-업무일지!$B243)*10000+762,"")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IF(AND(업무일지!$B244&lt;&gt;"",업무일지!$AG244="진행중"),MAX(0,TODAY()-업무일지!$B244)*10000+761,"")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IF(AND(업무일지!$B245&lt;&gt;"",업무일지!$AG245="진행중"),MAX(0,TODAY()-업무일지!$B245)*10000+760,"")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IF(AND(업무일지!$B246&lt;&gt;"",업무일지!$AG246="진행중"),MAX(0,TODAY()-업무일지!$B246)*10000+759,"")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IF(AND(업무일지!$B247&lt;&gt;"",업무일지!$AG247="진행중"),MAX(0,TODAY()-업무일지!$B247)*10000+758,"")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IF(AND(업무일지!$B248&lt;&gt;"",업무일지!$AG248="진행중"),MAX(0,TODAY()-업무일지!$B248)*10000+757,"")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IF(AND(업무일지!$B249&lt;&gt;"",업무일지!$AG249="진행중"),MAX(0,TODAY()-업무일지!$B249)*10000+756,"")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IF(AND(업무일지!$B250&lt;&gt;"",업무일지!$AG250="진행중"),MAX(0,TODAY()-업무일지!$B250)*10000+755,"")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IF(AND(업무일지!$B251&lt;&gt;"",업무일지!$AG251="진행중"),MAX(0,TODAY()-업무일지!$B251)*10000+754,"")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IF(AND(업무일지!$B252&lt;&gt;"",업무일지!$AG252="진행중"),MAX(0,TODAY()-업무일지!$B252)*10000+753,"")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IF(AND(업무일지!$B253&lt;&gt;"",업무일지!$AG253="진행중"),MAX(0,TODAY()-업무일지!$B253)*10000+752,"")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IF(AND(업무일지!$B254&lt;&gt;"",업무일지!$AG254="진행중"),MAX(0,TODAY()-업무일지!$B254)*10000+751,"")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IF(AND(업무일지!$B255&lt;&gt;"",업무일지!$AG255="진행중"),MAX(0,TODAY()-업무일지!$B255)*10000+750,"")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IF(AND(업무일지!$B256&lt;&gt;"",업무일지!$AG256="진행중"),MAX(0,TODAY()-업무일지!$B256)*10000+749,"")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IF(AND(업무일지!$B257&lt;&gt;"",업무일지!$AG257="진행중"),MAX(0,TODAY()-업무일지!$B257)*10000+748,"")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IF(AND(업무일지!$B258&lt;&gt;"",업무일지!$AG258="진행중"),MAX(0,TODAY()-업무일지!$B258)*10000+747,"")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IF(AND(업무일지!$B259&lt;&gt;"",업무일지!$AG259="진행중"),MAX(0,TODAY()-업무일지!$B259)*10000+746,"")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IF(AND(업무일지!$B260&lt;&gt;"",업무일지!$AG260="진행중"),MAX(0,TODAY()-업무일지!$B260)*10000+745,"")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IF(AND(업무일지!$B261&lt;&gt;"",업무일지!$AG261="진행중"),MAX(0,TODAY()-업무일지!$B261)*10000+744,"")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IF(AND(업무일지!$B262&lt;&gt;"",업무일지!$AG262="진행중"),MAX(0,TODAY()-업무일지!$B262)*10000+743,"")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IF(AND(업무일지!$B263&lt;&gt;"",업무일지!$AG263="진행중"),MAX(0,TODAY()-업무일지!$B263)*10000+742,"")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IF(AND(업무일지!$B264&lt;&gt;"",업무일지!$AG264="진행중"),MAX(0,TODAY()-업무일지!$B264)*10000+741,"")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IF(AND(업무일지!$B265&lt;&gt;"",업무일지!$AG265="진행중"),MAX(0,TODAY()-업무일지!$B265)*10000+740,"")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IF(AND(업무일지!$B266&lt;&gt;"",업무일지!$AG266="진행중"),MAX(0,TODAY()-업무일지!$B266)*10000+739,"")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IF(AND(업무일지!$B267&lt;&gt;"",업무일지!$AG267="진행중"),MAX(0,TODAY()-업무일지!$B267)*10000+738,"")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IF(AND(업무일지!$B268&lt;&gt;"",업무일지!$AG268="진행중"),MAX(0,TODAY()-업무일지!$B268)*10000+737,"")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IF(AND(업무일지!$B269&lt;&gt;"",업무일지!$AG269="진행중"),MAX(0,TODAY()-업무일지!$B269)*10000+736,"")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IF(AND(업무일지!$B270&lt;&gt;"",업무일지!$AG270="진행중"),MAX(0,TODAY()-업무일지!$B270)*10000+735,"")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IF(AND(업무일지!$B271&lt;&gt;"",업무일지!$AG271="진행중"),MAX(0,TODAY()-업무일지!$B271)*10000+734,"")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IF(AND(업무일지!$B272&lt;&gt;"",업무일지!$AG272="진행중"),MAX(0,TODAY()-업무일지!$B272)*10000+733,"")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IF(AND(업무일지!$B273&lt;&gt;"",업무일지!$AG273="진행중"),MAX(0,TODAY()-업무일지!$B273)*10000+732,"")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IF(AND(업무일지!$B274&lt;&gt;"",업무일지!$AG274="진행중"),MAX(0,TODAY()-업무일지!$B274)*10000+731,"")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IF(AND(업무일지!$B275&lt;&gt;"",업무일지!$AG275="진행중"),MAX(0,TODAY()-업무일지!$B275)*10000+730,"")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IF(AND(업무일지!$B276&lt;&gt;"",업무일지!$AG276="진행중"),MAX(0,TODAY()-업무일지!$B276)*10000+729,"")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IF(AND(업무일지!$B277&lt;&gt;"",업무일지!$AG277="진행중"),MAX(0,TODAY()-업무일지!$B277)*10000+728,"")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IF(AND(업무일지!$B278&lt;&gt;"",업무일지!$AG278="진행중"),MAX(0,TODAY()-업무일지!$B278)*10000+727,"")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IF(AND(업무일지!$B279&lt;&gt;"",업무일지!$AG279="진행중"),MAX(0,TODAY()-업무일지!$B279)*10000+726,"")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IF(AND(업무일지!$B280&lt;&gt;"",업무일지!$AG280="진행중"),MAX(0,TODAY()-업무일지!$B280)*10000+725,"")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IF(AND(업무일지!$B281&lt;&gt;"",업무일지!$AG281="진행중"),MAX(0,TODAY()-업무일지!$B281)*10000+724,"")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IF(AND(업무일지!$B282&lt;&gt;"",업무일지!$AG282="진행중"),MAX(0,TODAY()-업무일지!$B282)*10000+723,"")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IF(AND(업무일지!$B283&lt;&gt;"",업무일지!$AG283="진행중"),MAX(0,TODAY()-업무일지!$B283)*10000+722,"")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IF(AND(업무일지!$B284&lt;&gt;"",업무일지!$AG284="진행중"),MAX(0,TODAY()-업무일지!$B284)*10000+721,"")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IF(AND(업무일지!$B285&lt;&gt;"",업무일지!$AG285="진행중"),MAX(0,TODAY()-업무일지!$B285)*10000+720,"")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IF(AND(업무일지!$B286&lt;&gt;"",업무일지!$AG286="진행중"),MAX(0,TODAY()-업무일지!$B286)*10000+719,"")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IF(AND(업무일지!$B287&lt;&gt;"",업무일지!$AG287="진행중"),MAX(0,TODAY()-업무일지!$B287)*10000+718,"")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IF(AND(업무일지!$B288&lt;&gt;"",업무일지!$AG288="진행중"),MAX(0,TODAY()-업무일지!$B288)*10000+717,"")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IF(AND(업무일지!$B289&lt;&gt;"",업무일지!$AG289="진행중"),MAX(0,TODAY()-업무일지!$B289)*10000+716,"")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IF(AND(업무일지!$B290&lt;&gt;"",업무일지!$AG290="진행중"),MAX(0,TODAY()-업무일지!$B290)*10000+715,"")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IF(AND(업무일지!$B291&lt;&gt;"",업무일지!$AG291="진행중"),MAX(0,TODAY()-업무일지!$B291)*10000+714,"")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IF(AND(업무일지!$B292&lt;&gt;"",업무일지!$AG292="진행중"),MAX(0,TODAY()-업무일지!$B292)*10000+713,"")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IF(AND(업무일지!$B293&lt;&gt;"",업무일지!$AG293="진행중"),MAX(0,TODAY()-업무일지!$B293)*10000+712,"")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IF(AND(업무일지!$B294&lt;&gt;"",업무일지!$AG294="진행중"),MAX(0,TODAY()-업무일지!$B294)*10000+711,"")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IF(AND(업무일지!$B295&lt;&gt;"",업무일지!$AG295="진행중"),MAX(0,TODAY()-업무일지!$B295)*10000+710,"")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IF(AND(업무일지!$B296&lt;&gt;"",업무일지!$AG296="진행중"),MAX(0,TODAY()-업무일지!$B296)*10000+709,"")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IF(AND(업무일지!$B297&lt;&gt;"",업무일지!$AG297="진행중"),MAX(0,TODAY()-업무일지!$B297)*10000+708,"")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IF(AND(업무일지!$B298&lt;&gt;"",업무일지!$AG298="진행중"),MAX(0,TODAY()-업무일지!$B298)*10000+707,"")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IF(AND(업무일지!$B299&lt;&gt;"",업무일지!$AG299="진행중"),MAX(0,TODAY()-업무일지!$B299)*10000+706,"")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IF(AND(업무일지!$B300&lt;&gt;"",업무일지!$AG300="진행중"),MAX(0,TODAY()-업무일지!$B300)*10000+705,"")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IF(AND(업무일지!$B301&lt;&gt;"",업무일지!$AG301="진행중"),MAX(0,TODAY()-업무일지!$B301)*10000+704,"")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IF(AND(업무일지!$B302&lt;&gt;"",업무일지!$AG302="진행중"),MAX(0,TODAY()-업무일지!$B302)*10000+703,"")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IF(AND(업무일지!$B303&lt;&gt;"",업무일지!$AG303="진행중"),MAX(0,TODAY()-업무일지!$B303)*10000+702,"")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IF(AND(업무일지!$B304&lt;&gt;"",업무일지!$AG304="진행중"),MAX(0,TODAY()-업무일지!$B304)*10000+701,"")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IF(AND(업무일지!$B305&lt;&gt;"",업무일지!$AG305="진행중"),MAX(0,TODAY()-업무일지!$B305)*10000+700,"")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IF(AND(업무일지!$B306&lt;&gt;"",업무일지!$AG306="진행중"),MAX(0,TODAY()-업무일지!$B306)*10000+699,"")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IF(AND(업무일지!$B307&lt;&gt;"",업무일지!$AG307="진행중"),MAX(0,TODAY()-업무일지!$B307)*10000+698,"")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IF(AND(업무일지!$B308&lt;&gt;"",업무일지!$AG308="진행중"),MAX(0,TODAY()-업무일지!$B308)*10000+697,"")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IF(AND(업무일지!$B309&lt;&gt;"",업무일지!$AG309="진행중"),MAX(0,TODAY()-업무일지!$B309)*10000+696,"")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IF(AND(업무일지!$B310&lt;&gt;"",업무일지!$AG310="진행중"),MAX(0,TODAY()-업무일지!$B310)*10000+695,"")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IF(AND(업무일지!$B311&lt;&gt;"",업무일지!$AG311="진행중"),MAX(0,TODAY()-업무일지!$B311)*10000+694,"")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IF(AND(업무일지!$B312&lt;&gt;"",업무일지!$AG312="진행중"),MAX(0,TODAY()-업무일지!$B312)*10000+693,"")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IF(AND(업무일지!$B313&lt;&gt;"",업무일지!$AG313="진행중"),MAX(0,TODAY()-업무일지!$B313)*10000+692,"")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IF(AND(업무일지!$B314&lt;&gt;"",업무일지!$AG314="진행중"),MAX(0,TODAY()-업무일지!$B314)*10000+691,"")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IF(AND(업무일지!$B315&lt;&gt;"",업무일지!$AG315="진행중"),MAX(0,TODAY()-업무일지!$B315)*10000+690,"")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IF(AND(업무일지!$B316&lt;&gt;"",업무일지!$AG316="진행중"),MAX(0,TODAY()-업무일지!$B316)*10000+689,"")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IF(AND(업무일지!$B317&lt;&gt;"",업무일지!$AG317="진행중"),MAX(0,TODAY()-업무일지!$B317)*10000+688,"")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IF(AND(업무일지!$B318&lt;&gt;"",업무일지!$AG318="진행중"),MAX(0,TODAY()-업무일지!$B318)*10000+687,"")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IF(AND(업무일지!$B319&lt;&gt;"",업무일지!$AG319="진행중"),MAX(0,TODAY()-업무일지!$B319)*10000+686,"")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IF(AND(업무일지!$B320&lt;&gt;"",업무일지!$AG320="진행중"),MAX(0,TODAY()-업무일지!$B320)*10000+685,"")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IF(AND(업무일지!$B321&lt;&gt;"",업무일지!$AG321="진행중"),MAX(0,TODAY()-업무일지!$B321)*10000+684,"")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IF(AND(업무일지!$B322&lt;&gt;"",업무일지!$AG322="진행중"),MAX(0,TODAY()-업무일지!$B322)*10000+683,"")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IF(AND(업무일지!$B323&lt;&gt;"",업무일지!$AG323="진행중"),MAX(0,TODAY()-업무일지!$B323)*10000+682,"")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IF(AND(업무일지!$B324&lt;&gt;"",업무일지!$AG324="진행중"),MAX(0,TODAY()-업무일지!$B324)*10000+681,"")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IF(AND(업무일지!$B325&lt;&gt;"",업무일지!$AG325="진행중"),MAX(0,TODAY()-업무일지!$B325)*10000+680,"")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IF(AND(업무일지!$B326&lt;&gt;"",업무일지!$AG326="진행중"),MAX(0,TODAY()-업무일지!$B326)*10000+679,"")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IF(AND(업무일지!$B327&lt;&gt;"",업무일지!$AG327="진행중"),MAX(0,TODAY()-업무일지!$B327)*10000+678,"")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IF(AND(업무일지!$B328&lt;&gt;"",업무일지!$AG328="진행중"),MAX(0,TODAY()-업무일지!$B328)*10000+677,"")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IF(AND(업무일지!$B329&lt;&gt;"",업무일지!$AG329="진행중"),MAX(0,TODAY()-업무일지!$B329)*10000+676,"")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IF(AND(업무일지!$B330&lt;&gt;"",업무일지!$AG330="진행중"),MAX(0,TODAY()-업무일지!$B330)*10000+675,"")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IF(AND(업무일지!$B331&lt;&gt;"",업무일지!$AG331="진행중"),MAX(0,TODAY()-업무일지!$B331)*10000+674,"")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IF(AND(업무일지!$B332&lt;&gt;"",업무일지!$AG332="진행중"),MAX(0,TODAY()-업무일지!$B332)*10000+673,"")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IF(AND(업무일지!$B333&lt;&gt;"",업무일지!$AG333="진행중"),MAX(0,TODAY()-업무일지!$B333)*10000+672,"")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IF(AND(업무일지!$B334&lt;&gt;"",업무일지!$AG334="진행중"),MAX(0,TODAY()-업무일지!$B334)*10000+671,"")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IF(AND(업무일지!$B335&lt;&gt;"",업무일지!$AG335="진행중"),MAX(0,TODAY()-업무일지!$B335)*10000+670,"")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IF(AND(업무일지!$B336&lt;&gt;"",업무일지!$AG336="진행중"),MAX(0,TODAY()-업무일지!$B336)*10000+669,"")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IF(AND(업무일지!$B337&lt;&gt;"",업무일지!$AG337="진행중"),MAX(0,TODAY()-업무일지!$B337)*10000+668,"")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IF(AND(업무일지!$B338&lt;&gt;"",업무일지!$AG338="진행중"),MAX(0,TODAY()-업무일지!$B338)*10000+667,"")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IF(AND(업무일지!$B339&lt;&gt;"",업무일지!$AG339="진행중"),MAX(0,TODAY()-업무일지!$B339)*10000+666,"")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IF(AND(업무일지!$B340&lt;&gt;"",업무일지!$AG340="진행중"),MAX(0,TODAY()-업무일지!$B340)*10000+665,"")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IF(AND(업무일지!$B341&lt;&gt;"",업무일지!$AG341="진행중"),MAX(0,TODAY()-업무일지!$B341)*10000+664,"")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IF(AND(업무일지!$B342&lt;&gt;"",업무일지!$AG342="진행중"),MAX(0,TODAY()-업무일지!$B342)*10000+663,"")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IF(AND(업무일지!$B343&lt;&gt;"",업무일지!$AG343="진행중"),MAX(0,TODAY()-업무일지!$B343)*10000+662,"")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IF(AND(업무일지!$B344&lt;&gt;"",업무일지!$AG344="진행중"),MAX(0,TODAY()-업무일지!$B344)*10000+661,"")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IF(AND(업무일지!$B345&lt;&gt;"",업무일지!$AG345="진행중"),MAX(0,TODAY()-업무일지!$B345)*10000+660,"")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IF(AND(업무일지!$B346&lt;&gt;"",업무일지!$AG346="진행중"),MAX(0,TODAY()-업무일지!$B346)*10000+659,"")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IF(AND(업무일지!$B347&lt;&gt;"",업무일지!$AG347="진행중"),MAX(0,TODAY()-업무일지!$B347)*10000+658,"")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IF(AND(업무일지!$B348&lt;&gt;"",업무일지!$AG348="진행중"),MAX(0,TODAY()-업무일지!$B348)*10000+657,"")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IF(AND(업무일지!$B349&lt;&gt;"",업무일지!$AG349="진행중"),MAX(0,TODAY()-업무일지!$B349)*10000+656,"")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IF(AND(업무일지!$B350&lt;&gt;"",업무일지!$AG350="진행중"),MAX(0,TODAY()-업무일지!$B350)*10000+655,"")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IF(AND(업무일지!$B351&lt;&gt;"",업무일지!$AG351="진행중"),MAX(0,TODAY()-업무일지!$B351)*10000+654,"")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IF(AND(업무일지!$B352&lt;&gt;"",업무일지!$AG352="진행중"),MAX(0,TODAY()-업무일지!$B352)*10000+653,"")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IF(AND(업무일지!$B353&lt;&gt;"",업무일지!$AG353="진행중"),MAX(0,TODAY()-업무일지!$B353)*10000+652,"")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IF(AND(업무일지!$B354&lt;&gt;"",업무일지!$AG354="진행중"),MAX(0,TODAY()-업무일지!$B354)*10000+651,"")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IF(AND(업무일지!$B355&lt;&gt;"",업무일지!$AG355="진행중"),MAX(0,TODAY()-업무일지!$B355)*10000+650,"")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IF(AND(업무일지!$B356&lt;&gt;"",업무일지!$AG356="진행중"),MAX(0,TODAY()-업무일지!$B356)*10000+649,"")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IF(AND(업무일지!$B357&lt;&gt;"",업무일지!$AG357="진행중"),MAX(0,TODAY()-업무일지!$B357)*10000+648,"")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IF(AND(업무일지!$B358&lt;&gt;"",업무일지!$AG358="진행중"),MAX(0,TODAY()-업무일지!$B358)*10000+647,"")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IF(AND(업무일지!$B359&lt;&gt;"",업무일지!$AG359="진행중"),MAX(0,TODAY()-업무일지!$B359)*10000+646,"")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IF(AND(업무일지!$B360&lt;&gt;"",업무일지!$AG360="진행중"),MAX(0,TODAY()-업무일지!$B360)*10000+645,"")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IF(AND(업무일지!$B361&lt;&gt;"",업무일지!$AG361="진행중"),MAX(0,TODAY()-업무일지!$B361)*10000+644,"")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IF(AND(업무일지!$B362&lt;&gt;"",업무일지!$AG362="진행중"),MAX(0,TODAY()-업무일지!$B362)*10000+643,"")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IF(AND(업무일지!$B363&lt;&gt;"",업무일지!$AG363="진행중"),MAX(0,TODAY()-업무일지!$B363)*10000+642,"")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IF(AND(업무일지!$B364&lt;&gt;"",업무일지!$AG364="진행중"),MAX(0,TODAY()-업무일지!$B364)*10000+641,"")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IF(AND(업무일지!$B365&lt;&gt;"",업무일지!$AG365="진행중"),MAX(0,TODAY()-업무일지!$B365)*10000+640,"")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IF(AND(업무일지!$B366&lt;&gt;"",업무일지!$AG366="진행중"),MAX(0,TODAY()-업무일지!$B366)*10000+639,"")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IF(AND(업무일지!$B367&lt;&gt;"",업무일지!$AG367="진행중"),MAX(0,TODAY()-업무일지!$B367)*10000+638,"")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IF(AND(업무일지!$B368&lt;&gt;"",업무일지!$AG368="진행중"),MAX(0,TODAY()-업무일지!$B368)*10000+637,"")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IF(AND(업무일지!$B369&lt;&gt;"",업무일지!$AG369="진행중"),MAX(0,TODAY()-업무일지!$B369)*10000+636,"")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IF(AND(업무일지!$B370&lt;&gt;"",업무일지!$AG370="진행중"),MAX(0,TODAY()-업무일지!$B370)*10000+635,"")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IF(AND(업무일지!$B371&lt;&gt;"",업무일지!$AG371="진행중"),MAX(0,TODAY()-업무일지!$B371)*10000+634,"")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IF(AND(업무일지!$B372&lt;&gt;"",업무일지!$AG372="진행중"),MAX(0,TODAY()-업무일지!$B372)*10000+633,"")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IF(AND(업무일지!$B373&lt;&gt;"",업무일지!$AG373="진행중"),MAX(0,TODAY()-업무일지!$B373)*10000+632,"")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IF(AND(업무일지!$B374&lt;&gt;"",업무일지!$AG374="진행중"),MAX(0,TODAY()-업무일지!$B374)*10000+631,"")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IF(AND(업무일지!$B375&lt;&gt;"",업무일지!$AG375="진행중"),MAX(0,TODAY()-업무일지!$B375)*10000+630,"")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IF(AND(업무일지!$B376&lt;&gt;"",업무일지!$AG376="진행중"),MAX(0,TODAY()-업무일지!$B376)*10000+629,"")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IF(AND(업무일지!$B377&lt;&gt;"",업무일지!$AG377="진행중"),MAX(0,TODAY()-업무일지!$B377)*10000+628,"")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IF(AND(업무일지!$B378&lt;&gt;"",업무일지!$AG378="진행중"),MAX(0,TODAY()-업무일지!$B378)*10000+627,"")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IF(AND(업무일지!$B379&lt;&gt;"",업무일지!$AG379="진행중"),MAX(0,TODAY()-업무일지!$B379)*10000+626,"")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IF(AND(업무일지!$B380&lt;&gt;"",업무일지!$AG380="진행중"),MAX(0,TODAY()-업무일지!$B380)*10000+625,"")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IF(AND(업무일지!$B381&lt;&gt;"",업무일지!$AG381="진행중"),MAX(0,TODAY()-업무일지!$B381)*10000+624,"")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IF(AND(업무일지!$B382&lt;&gt;"",업무일지!$AG382="진행중"),MAX(0,TODAY()-업무일지!$B382)*10000+623,"")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IF(AND(업무일지!$B383&lt;&gt;"",업무일지!$AG383="진행중"),MAX(0,TODAY()-업무일지!$B383)*10000+622,"")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IF(AND(업무일지!$B384&lt;&gt;"",업무일지!$AG384="진행중"),MAX(0,TODAY()-업무일지!$B384)*10000+621,"")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IF(AND(업무일지!$B385&lt;&gt;"",업무일지!$AG385="진행중"),MAX(0,TODAY()-업무일지!$B385)*10000+620,"")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IF(AND(업무일지!$B386&lt;&gt;"",업무일지!$AG386="진행중"),MAX(0,TODAY()-업무일지!$B386)*10000+619,"")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IF(AND(업무일지!$B387&lt;&gt;"",업무일지!$AG387="진행중"),MAX(0,TODAY()-업무일지!$B387)*10000+618,"")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IF(AND(업무일지!$B388&lt;&gt;"",업무일지!$AG388="진행중"),MAX(0,TODAY()-업무일지!$B388)*10000+617,"")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IF(AND(업무일지!$B389&lt;&gt;"",업무일지!$AG389="진행중"),MAX(0,TODAY()-업무일지!$B389)*10000+616,"")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IF(AND(업무일지!$B390&lt;&gt;"",업무일지!$AG390="진행중"),MAX(0,TODAY()-업무일지!$B390)*10000+615,"")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IF(AND(업무일지!$B391&lt;&gt;"",업무일지!$AG391="진행중"),MAX(0,TODAY()-업무일지!$B391)*10000+614,"")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IF(AND(업무일지!$B392&lt;&gt;"",업무일지!$AG392="진행중"),MAX(0,TODAY()-업무일지!$B392)*10000+613,"")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IF(AND(업무일지!$B393&lt;&gt;"",업무일지!$AG393="진행중"),MAX(0,TODAY()-업무일지!$B393)*10000+612,"")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IF(AND(업무일지!$B394&lt;&gt;"",업무일지!$AG394="진행중"),MAX(0,TODAY()-업무일지!$B394)*10000+611,"")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IF(AND(업무일지!$B395&lt;&gt;"",업무일지!$AG395="진행중"),MAX(0,TODAY()-업무일지!$B395)*10000+610,"")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IF(AND(업무일지!$B396&lt;&gt;"",업무일지!$AG396="진행중"),MAX(0,TODAY()-업무일지!$B396)*10000+609,"")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IF(AND(업무일지!$B397&lt;&gt;"",업무일지!$AG397="진행중"),MAX(0,TODAY()-업무일지!$B397)*10000+608,"")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IF(AND(업무일지!$B398&lt;&gt;"",업무일지!$AG398="진행중"),MAX(0,TODAY()-업무일지!$B398)*10000+607,"")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IF(AND(업무일지!$B399&lt;&gt;"",업무일지!$AG399="진행중"),MAX(0,TODAY()-업무일지!$B399)*10000+606,"")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IF(AND(업무일지!$B400&lt;&gt;"",업무일지!$AG400="진행중"),MAX(0,TODAY()-업무일지!$B400)*10000+605,"")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IF(AND(업무일지!$B401&lt;&gt;"",업무일지!$AG401="진행중"),MAX(0,TODAY()-업무일지!$B401)*10000+604,"")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IF(AND(업무일지!$B402&lt;&gt;"",업무일지!$AG402="진행중"),MAX(0,TODAY()-업무일지!$B402)*10000+603,"")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IF(AND(업무일지!$B403&lt;&gt;"",업무일지!$AG403="진행중"),MAX(0,TODAY()-업무일지!$B403)*10000+602,"")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IF(AND(업무일지!$B404&lt;&gt;"",업무일지!$AG404="진행중"),MAX(0,TODAY()-업무일지!$B404)*10000+601,"")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IF(AND(업무일지!$B405&lt;&gt;"",업무일지!$AG405="진행중"),MAX(0,TODAY()-업무일지!$B405)*10000+600,"")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IF(AND(업무일지!$B406&lt;&gt;"",업무일지!$AG406="진행중"),MAX(0,TODAY()-업무일지!$B406)*10000+599,"")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IF(AND(업무일지!$B407&lt;&gt;"",업무일지!$AG407="진행중"),MAX(0,TODAY()-업무일지!$B407)*10000+598,"")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IF(AND(업무일지!$B408&lt;&gt;"",업무일지!$AG408="진행중"),MAX(0,TODAY()-업무일지!$B408)*10000+597,"")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IF(AND(업무일지!$B409&lt;&gt;"",업무일지!$AG409="진행중"),MAX(0,TODAY()-업무일지!$B409)*10000+596,"")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IF(AND(업무일지!$B410&lt;&gt;"",업무일지!$AG410="진행중"),MAX(0,TODAY()-업무일지!$B410)*10000+595,"")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IF(AND(업무일지!$B411&lt;&gt;"",업무일지!$AG411="진행중"),MAX(0,TODAY()-업무일지!$B411)*10000+594,"")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IF(AND(업무일지!$B412&lt;&gt;"",업무일지!$AG412="진행중"),MAX(0,TODAY()-업무일지!$B412)*10000+593,"")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IF(AND(업무일지!$B413&lt;&gt;"",업무일지!$AG413="진행중"),MAX(0,TODAY()-업무일지!$B413)*10000+592,"")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IF(AND(업무일지!$B414&lt;&gt;"",업무일지!$AG414="진행중"),MAX(0,TODAY()-업무일지!$B414)*10000+591,"")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IF(AND(업무일지!$B415&lt;&gt;"",업무일지!$AG415="진행중"),MAX(0,TODAY()-업무일지!$B415)*10000+590,"")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IF(AND(업무일지!$B416&lt;&gt;"",업무일지!$AG416="진행중"),MAX(0,TODAY()-업무일지!$B416)*10000+589,"")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IF(AND(업무일지!$B417&lt;&gt;"",업무일지!$AG417="진행중"),MAX(0,TODAY()-업무일지!$B417)*10000+588,"")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IF(AND(업무일지!$B418&lt;&gt;"",업무일지!$AG418="진행중"),MAX(0,TODAY()-업무일지!$B418)*10000+587,"")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IF(AND(업무일지!$B419&lt;&gt;"",업무일지!$AG419="진행중"),MAX(0,TODAY()-업무일지!$B419)*10000+586,"")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IF(AND(업무일지!$B420&lt;&gt;"",업무일지!$AG420="진행중"),MAX(0,TODAY()-업무일지!$B420)*10000+585,"")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IF(AND(업무일지!$B421&lt;&gt;"",업무일지!$AG421="진행중"),MAX(0,TODAY()-업무일지!$B421)*10000+584,"")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IF(AND(업무일지!$B422&lt;&gt;"",업무일지!$AG422="진행중"),MAX(0,TODAY()-업무일지!$B422)*10000+583,"")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IF(AND(업무일지!$B423&lt;&gt;"",업무일지!$AG423="진행중"),MAX(0,TODAY()-업무일지!$B423)*10000+582,"")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IF(AND(업무일지!$B424&lt;&gt;"",업무일지!$AG424="진행중"),MAX(0,TODAY()-업무일지!$B424)*10000+581,"")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IF(AND(업무일지!$B425&lt;&gt;"",업무일지!$AG425="진행중"),MAX(0,TODAY()-업무일지!$B425)*10000+580,"")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IF(AND(업무일지!$B426&lt;&gt;"",업무일지!$AG426="진행중"),MAX(0,TODAY()-업무일지!$B426)*10000+579,"")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IF(AND(업무일지!$B427&lt;&gt;"",업무일지!$AG427="진행중"),MAX(0,TODAY()-업무일지!$B427)*10000+578,"")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IF(AND(업무일지!$B428&lt;&gt;"",업무일지!$AG428="진행중"),MAX(0,TODAY()-업무일지!$B428)*10000+577,"")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IF(AND(업무일지!$B429&lt;&gt;"",업무일지!$AG429="진행중"),MAX(0,TODAY()-업무일지!$B429)*10000+576,"")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IF(AND(업무일지!$B430&lt;&gt;"",업무일지!$AG430="진행중"),MAX(0,TODAY()-업무일지!$B430)*10000+575,"")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IF(AND(업무일지!$B431&lt;&gt;"",업무일지!$AG431="진행중"),MAX(0,TODAY()-업무일지!$B431)*10000+574,"")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IF(AND(업무일지!$B432&lt;&gt;"",업무일지!$AG432="진행중"),MAX(0,TODAY()-업무일지!$B432)*10000+573,"")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IF(AND(업무일지!$B433&lt;&gt;"",업무일지!$AG433="진행중"),MAX(0,TODAY()-업무일지!$B433)*10000+572,"")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IF(AND(업무일지!$B434&lt;&gt;"",업무일지!$AG434="진행중"),MAX(0,TODAY()-업무일지!$B434)*10000+571,"")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IF(AND(업무일지!$B435&lt;&gt;"",업무일지!$AG435="진행중"),MAX(0,TODAY()-업무일지!$B435)*10000+570,"")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IF(AND(업무일지!$B436&lt;&gt;"",업무일지!$AG436="진행중"),MAX(0,TODAY()-업무일지!$B436)*10000+569,"")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IF(AND(업무일지!$B437&lt;&gt;"",업무일지!$AG437="진행중"),MAX(0,TODAY()-업무일지!$B437)*10000+568,"")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IF(AND(업무일지!$B438&lt;&gt;"",업무일지!$AG438="진행중"),MAX(0,TODAY()-업무일지!$B438)*10000+567,"")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IF(AND(업무일지!$B439&lt;&gt;"",업무일지!$AG439="진행중"),MAX(0,TODAY()-업무일지!$B439)*10000+566,"")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IF(AND(업무일지!$B440&lt;&gt;"",업무일지!$AG440="진행중"),MAX(0,TODAY()-업무일지!$B440)*10000+565,"")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IF(AND(업무일지!$B441&lt;&gt;"",업무일지!$AG441="진행중"),MAX(0,TODAY()-업무일지!$B441)*10000+564,"")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IF(AND(업무일지!$B442&lt;&gt;"",업무일지!$AG442="진행중"),MAX(0,TODAY()-업무일지!$B442)*10000+563,"")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IF(AND(업무일지!$B443&lt;&gt;"",업무일지!$AG443="진행중"),MAX(0,TODAY()-업무일지!$B443)*10000+562,"")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IF(AND(업무일지!$B444&lt;&gt;"",업무일지!$AG444="진행중"),MAX(0,TODAY()-업무일지!$B444)*10000+561,"")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IF(AND(업무일지!$B445&lt;&gt;"",업무일지!$AG445="진행중"),MAX(0,TODAY()-업무일지!$B445)*10000+560,"")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IF(AND(업무일지!$B446&lt;&gt;"",업무일지!$AG446="진행중"),MAX(0,TODAY()-업무일지!$B446)*10000+559,"")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IF(AND(업무일지!$B447&lt;&gt;"",업무일지!$AG447="진행중"),MAX(0,TODAY()-업무일지!$B447)*10000+558,"")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IF(AND(업무일지!$B448&lt;&gt;"",업무일지!$AG448="진행중"),MAX(0,TODAY()-업무일지!$B448)*10000+557,"")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IF(AND(업무일지!$B449&lt;&gt;"",업무일지!$AG449="진행중"),MAX(0,TODAY()-업무일지!$B449)*10000+556,"")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IF(AND(업무일지!$B450&lt;&gt;"",업무일지!$AG450="진행중"),MAX(0,TODAY()-업무일지!$B450)*10000+555,"")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IF(AND(업무일지!$B451&lt;&gt;"",업무일지!$AG451="진행중"),MAX(0,TODAY()-업무일지!$B451)*10000+554,"")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IF(AND(업무일지!$B452&lt;&gt;"",업무일지!$AG452="진행중"),MAX(0,TODAY()-업무일지!$B452)*10000+553,"")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IF(AND(업무일지!$B453&lt;&gt;"",업무일지!$AG453="진행중"),MAX(0,TODAY()-업무일지!$B453)*10000+552,"")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IF(AND(업무일지!$B454&lt;&gt;"",업무일지!$AG454="진행중"),MAX(0,TODAY()-업무일지!$B454)*10000+551,"")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IF(AND(업무일지!$B455&lt;&gt;"",업무일지!$AG455="진행중"),MAX(0,TODAY()-업무일지!$B455)*10000+550,"")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IF(AND(업무일지!$B456&lt;&gt;"",업무일지!$AG456="진행중"),MAX(0,TODAY()-업무일지!$B456)*10000+549,"")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IF(AND(업무일지!$B457&lt;&gt;"",업무일지!$AG457="진행중"),MAX(0,TODAY()-업무일지!$B457)*10000+548,"")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IF(AND(업무일지!$B458&lt;&gt;"",업무일지!$AG458="진행중"),MAX(0,TODAY()-업무일지!$B458)*10000+547,"")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IF(AND(업무일지!$B459&lt;&gt;"",업무일지!$AG459="진행중"),MAX(0,TODAY()-업무일지!$B459)*10000+546,"")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IF(AND(업무일지!$B460&lt;&gt;"",업무일지!$AG460="진행중"),MAX(0,TODAY()-업무일지!$B460)*10000+545,"")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IF(AND(업무일지!$B461&lt;&gt;"",업무일지!$AG461="진행중"),MAX(0,TODAY()-업무일지!$B461)*10000+544,"")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IF(AND(업무일지!$B462&lt;&gt;"",업무일지!$AG462="진행중"),MAX(0,TODAY()-업무일지!$B462)*10000+543,"")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IF(AND(업무일지!$B463&lt;&gt;"",업무일지!$AG463="진행중"),MAX(0,TODAY()-업무일지!$B463)*10000+542,"")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IF(AND(업무일지!$B464&lt;&gt;"",업무일지!$AG464="진행중"),MAX(0,TODAY()-업무일지!$B464)*10000+541,"")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IF(AND(업무일지!$B465&lt;&gt;"",업무일지!$AG465="진행중"),MAX(0,TODAY()-업무일지!$B465)*10000+540,"")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IF(AND(업무일지!$B466&lt;&gt;"",업무일지!$AG466="진행중"),MAX(0,TODAY()-업무일지!$B466)*10000+539,"")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IF(AND(업무일지!$B467&lt;&gt;"",업무일지!$AG467="진행중"),MAX(0,TODAY()-업무일지!$B467)*10000+538,"")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IF(AND(업무일지!$B468&lt;&gt;"",업무일지!$AG468="진행중"),MAX(0,TODAY()-업무일지!$B468)*10000+537,"")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IF(AND(업무일지!$B469&lt;&gt;"",업무일지!$AG469="진행중"),MAX(0,TODAY()-업무일지!$B469)*10000+536,"")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IF(AND(업무일지!$B470&lt;&gt;"",업무일지!$AG470="진행중"),MAX(0,TODAY()-업무일지!$B470)*10000+535,"")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IF(AND(업무일지!$B471&lt;&gt;"",업무일지!$AG471="진행중"),MAX(0,TODAY()-업무일지!$B471)*10000+534,"")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IF(AND(업무일지!$B472&lt;&gt;"",업무일지!$AG472="진행중"),MAX(0,TODAY()-업무일지!$B472)*10000+533,"")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IF(AND(업무일지!$B473&lt;&gt;"",업무일지!$AG473="진행중"),MAX(0,TODAY()-업무일지!$B473)*10000+532,"")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IF(AND(업무일지!$B474&lt;&gt;"",업무일지!$AG474="진행중"),MAX(0,TODAY()-업무일지!$B474)*10000+531,"")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IF(AND(업무일지!$B475&lt;&gt;"",업무일지!$AG475="진행중"),MAX(0,TODAY()-업무일지!$B475)*10000+530,"")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IF(AND(업무일지!$B476&lt;&gt;"",업무일지!$AG476="진행중"),MAX(0,TODAY()-업무일지!$B476)*10000+529,"")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IF(AND(업무일지!$B477&lt;&gt;"",업무일지!$AG477="진행중"),MAX(0,TODAY()-업무일지!$B477)*10000+528,"")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IF(AND(업무일지!$B478&lt;&gt;"",업무일지!$AG478="진행중"),MAX(0,TODAY()-업무일지!$B478)*10000+527,"")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IF(AND(업무일지!$B479&lt;&gt;"",업무일지!$AG479="진행중"),MAX(0,TODAY()-업무일지!$B479)*10000+526,"")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IF(AND(업무일지!$B480&lt;&gt;"",업무일지!$AG480="진행중"),MAX(0,TODAY()-업무일지!$B480)*10000+525,"")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IF(AND(업무일지!$B481&lt;&gt;"",업무일지!$AG481="진행중"),MAX(0,TODAY()-업무일지!$B481)*10000+524,"")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IF(AND(업무일지!$B482&lt;&gt;"",업무일지!$AG482="진행중"),MAX(0,TODAY()-업무일지!$B482)*10000+523,"")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IF(AND(업무일지!$B483&lt;&gt;"",업무일지!$AG483="진행중"),MAX(0,TODAY()-업무일지!$B483)*10000+522,"")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IF(AND(업무일지!$B484&lt;&gt;"",업무일지!$AG484="진행중"),MAX(0,TODAY()-업무일지!$B484)*10000+521,"")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IF(AND(업무일지!$B485&lt;&gt;"",업무일지!$AG485="진행중"),MAX(0,TODAY()-업무일지!$B485)*10000+520,"")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IF(AND(업무일지!$B486&lt;&gt;"",업무일지!$AG486="진행중"),MAX(0,TODAY()-업무일지!$B486)*10000+519,"")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IF(AND(업무일지!$B487&lt;&gt;"",업무일지!$AG487="진행중"),MAX(0,TODAY()-업무일지!$B487)*10000+518,"")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IF(AND(업무일지!$B488&lt;&gt;"",업무일지!$AG488="진행중"),MAX(0,TODAY()-업무일지!$B488)*10000+517,"")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IF(AND(업무일지!$B489&lt;&gt;"",업무일지!$AG489="진행중"),MAX(0,TODAY()-업무일지!$B489)*10000+516,"")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IF(AND(업무일지!$B490&lt;&gt;"",업무일지!$AG490="진행중"),MAX(0,TODAY()-업무일지!$B490)*10000+515,"")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IF(AND(업무일지!$B491&lt;&gt;"",업무일지!$AG491="진행중"),MAX(0,TODAY()-업무일지!$B491)*10000+514,"")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IF(AND(업무일지!$B492&lt;&gt;"",업무일지!$AG492="진행중"),MAX(0,TODAY()-업무일지!$B492)*10000+513,"")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IF(AND(업무일지!$B493&lt;&gt;"",업무일지!$AG493="진행중"),MAX(0,TODAY()-업무일지!$B493)*10000+512,"")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IF(AND(업무일지!$B494&lt;&gt;"",업무일지!$AG494="진행중"),MAX(0,TODAY()-업무일지!$B494)*10000+511,"")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IF(AND(업무일지!$B495&lt;&gt;"",업무일지!$AG495="진행중"),MAX(0,TODAY()-업무일지!$B495)*10000+510,"")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IF(AND(업무일지!$B496&lt;&gt;"",업무일지!$AG496="진행중"),MAX(0,TODAY()-업무일지!$B496)*10000+509,"")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IF(AND(업무일지!$B497&lt;&gt;"",업무일지!$AG497="진행중"),MAX(0,TODAY()-업무일지!$B497)*10000+508,"")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IF(AND(업무일지!$B498&lt;&gt;"",업무일지!$AG498="진행중"),MAX(0,TODAY()-업무일지!$B498)*10000+507,"")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IF(AND(업무일지!$B499&lt;&gt;"",업무일지!$AG499="진행중"),MAX(0,TODAY()-업무일지!$B499)*10000+506,"")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IF(AND(업무일지!$B500&lt;&gt;"",업무일지!$AG500="진행중"),MAX(0,TODAY()-업무일지!$B500)*10000+505,"")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IF(AND(업무일지!$B501&lt;&gt;"",업무일지!$AG501="진행중"),MAX(0,TODAY()-업무일지!$B501)*10000+504,"")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IF(AND(업무일지!$B502&lt;&gt;"",업무일지!$AG502="진행중"),MAX(0,TODAY()-업무일지!$B502)*10000+503,"")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IF(AND(업무일지!$B503&lt;&gt;"",업무일지!$AG503="진행중"),MAX(0,TODAY()-업무일지!$B503)*10000+502,"")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IF(AND(업무일지!$B504&lt;&gt;"",업무일지!$AG504="진행중"),MAX(0,TODAY()-업무일지!$B504)*10000+501,"")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IF(AND(업무일지!$B505&lt;&gt;"",업무일지!$AG505="진행중"),MAX(0,TODAY()-업무일지!$B505)*10000+500,"")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IF(AND(업무일지!$B506&lt;&gt;"",업무일지!$AG506="진행중"),MAX(0,TODAY()-업무일지!$B506)*10000+499,"")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IF(AND(업무일지!$B507&lt;&gt;"",업무일지!$AG507="진행중"),MAX(0,TODAY()-업무일지!$B507)*10000+498,"")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IF(AND(업무일지!$B508&lt;&gt;"",업무일지!$AG508="진행중"),MAX(0,TODAY()-업무일지!$B508)*10000+497,"")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IF(AND(업무일지!$B509&lt;&gt;"",업무일지!$AG509="진행중"),MAX(0,TODAY()-업무일지!$B509)*10000+496,"")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IF(AND(업무일지!$B510&lt;&gt;"",업무일지!$AG510="진행중"),MAX(0,TODAY()-업무일지!$B510)*10000+495,"")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IF(AND(업무일지!$B511&lt;&gt;"",업무일지!$AG511="진행중"),MAX(0,TODAY()-업무일지!$B511)*10000+494,"")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IF(AND(업무일지!$B512&lt;&gt;"",업무일지!$AG512="진행중"),MAX(0,TODAY()-업무일지!$B512)*10000+493,"")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IF(AND(업무일지!$B513&lt;&gt;"",업무일지!$AG513="진행중"),MAX(0,TODAY()-업무일지!$B513)*10000+492,"")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IF(AND(업무일지!$B514&lt;&gt;"",업무일지!$AG514="진행중"),MAX(0,TODAY()-업무일지!$B514)*10000+491,"")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IF(AND(업무일지!$B515&lt;&gt;"",업무일지!$AG515="진행중"),MAX(0,TODAY()-업무일지!$B515)*10000+490,"")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IF(AND(업무일지!$B516&lt;&gt;"",업무일지!$AG516="진행중"),MAX(0,TODAY()-업무일지!$B516)*10000+489,"")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IF(AND(업무일지!$B517&lt;&gt;"",업무일지!$AG517="진행중"),MAX(0,TODAY()-업무일지!$B517)*10000+488,"")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IF(AND(업무일지!$B518&lt;&gt;"",업무일지!$AG518="진행중"),MAX(0,TODAY()-업무일지!$B518)*10000+487,"")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IF(AND(업무일지!$B519&lt;&gt;"",업무일지!$AG519="진행중"),MAX(0,TODAY()-업무일지!$B519)*10000+486,"")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IF(AND(업무일지!$B520&lt;&gt;"",업무일지!$AG520="진행중"),MAX(0,TODAY()-업무일지!$B520)*10000+485,"")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IF(AND(업무일지!$B521&lt;&gt;"",업무일지!$AG521="진행중"),MAX(0,TODAY()-업무일지!$B521)*10000+484,"")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IF(AND(업무일지!$B522&lt;&gt;"",업무일지!$AG522="진행중"),MAX(0,TODAY()-업무일지!$B522)*10000+483,"")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IF(AND(업무일지!$B523&lt;&gt;"",업무일지!$AG523="진행중"),MAX(0,TODAY()-업무일지!$B523)*10000+482,"")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IF(AND(업무일지!$B524&lt;&gt;"",업무일지!$AG524="진행중"),MAX(0,TODAY()-업무일지!$B524)*10000+481,"")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IF(AND(업무일지!$B525&lt;&gt;"",업무일지!$AG525="진행중"),MAX(0,TODAY()-업무일지!$B525)*10000+480,"")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IF(AND(업무일지!$B526&lt;&gt;"",업무일지!$AG526="진행중"),MAX(0,TODAY()-업무일지!$B526)*10000+479,"")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IF(AND(업무일지!$B527&lt;&gt;"",업무일지!$AG527="진행중"),MAX(0,TODAY()-업무일지!$B527)*10000+478,"")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IF(AND(업무일지!$B528&lt;&gt;"",업무일지!$AG528="진행중"),MAX(0,TODAY()-업무일지!$B528)*10000+477,"")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IF(AND(업무일지!$B529&lt;&gt;"",업무일지!$AG529="진행중"),MAX(0,TODAY()-업무일지!$B529)*10000+476,"")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IF(AND(업무일지!$B530&lt;&gt;"",업무일지!$AG530="진행중"),MAX(0,TODAY()-업무일지!$B530)*10000+475,"")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IF(AND(업무일지!$B531&lt;&gt;"",업무일지!$AG531="진행중"),MAX(0,TODAY()-업무일지!$B531)*10000+474,"")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IF(AND(업무일지!$B532&lt;&gt;"",업무일지!$AG532="진행중"),MAX(0,TODAY()-업무일지!$B532)*10000+473,"")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IF(AND(업무일지!$B533&lt;&gt;"",업무일지!$AG533="진행중"),MAX(0,TODAY()-업무일지!$B533)*10000+472,"")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IF(AND(업무일지!$B534&lt;&gt;"",업무일지!$AG534="진행중"),MAX(0,TODAY()-업무일지!$B534)*10000+471,"")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IF(AND(업무일지!$B535&lt;&gt;"",업무일지!$AG535="진행중"),MAX(0,TODAY()-업무일지!$B535)*10000+470,"")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IF(AND(업무일지!$B536&lt;&gt;"",업무일지!$AG536="진행중"),MAX(0,TODAY()-업무일지!$B536)*10000+469,"")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IF(AND(업무일지!$B537&lt;&gt;"",업무일지!$AG537="진행중"),MAX(0,TODAY()-업무일지!$B537)*10000+468,"")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IF(AND(업무일지!$B538&lt;&gt;"",업무일지!$AG538="진행중"),MAX(0,TODAY()-업무일지!$B538)*10000+467,"")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IF(AND(업무일지!$B539&lt;&gt;"",업무일지!$AG539="진행중"),MAX(0,TODAY()-업무일지!$B539)*10000+466,"")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IF(AND(업무일지!$B540&lt;&gt;"",업무일지!$AG540="진행중"),MAX(0,TODAY()-업무일지!$B540)*10000+465,"")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IF(AND(업무일지!$B541&lt;&gt;"",업무일지!$AG541="진행중"),MAX(0,TODAY()-업무일지!$B541)*10000+464,"")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IF(AND(업무일지!$B542&lt;&gt;"",업무일지!$AG542="진행중"),MAX(0,TODAY()-업무일지!$B542)*10000+463,"")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IF(AND(업무일지!$B543&lt;&gt;"",업무일지!$AG543="진행중"),MAX(0,TODAY()-업무일지!$B543)*10000+462,"")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IF(AND(업무일지!$B544&lt;&gt;"",업무일지!$AG544="진행중"),MAX(0,TODAY()-업무일지!$B544)*10000+461,"")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IF(AND(업무일지!$B545&lt;&gt;"",업무일지!$AG545="진행중"),MAX(0,TODAY()-업무일지!$B545)*10000+460,"")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IF(AND(업무일지!$B546&lt;&gt;"",업무일지!$AG546="진행중"),MAX(0,TODAY()-업무일지!$B546)*10000+459,"")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IF(AND(업무일지!$B547&lt;&gt;"",업무일지!$AG547="진행중"),MAX(0,TODAY()-업무일지!$B547)*10000+458,"")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IF(AND(업무일지!$B548&lt;&gt;"",업무일지!$AG548="진행중"),MAX(0,TODAY()-업무일지!$B548)*10000+457,"")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IF(AND(업무일지!$B549&lt;&gt;"",업무일지!$AG549="진행중"),MAX(0,TODAY()-업무일지!$B549)*10000+456,"")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IF(AND(업무일지!$B550&lt;&gt;"",업무일지!$AG550="진행중"),MAX(0,TODAY()-업무일지!$B550)*10000+455,"")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IF(AND(업무일지!$B551&lt;&gt;"",업무일지!$AG551="진행중"),MAX(0,TODAY()-업무일지!$B551)*10000+454,"")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IF(AND(업무일지!$B552&lt;&gt;"",업무일지!$AG552="진행중"),MAX(0,TODAY()-업무일지!$B552)*10000+453,"")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IF(AND(업무일지!$B553&lt;&gt;"",업무일지!$AG553="진행중"),MAX(0,TODAY()-업무일지!$B553)*10000+452,"")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IF(AND(업무일지!$B554&lt;&gt;"",업무일지!$AG554="진행중"),MAX(0,TODAY()-업무일지!$B554)*10000+451,"")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IF(AND(업무일지!$B555&lt;&gt;"",업무일지!$AG555="진행중"),MAX(0,TODAY()-업무일지!$B555)*10000+450,"")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IF(AND(업무일지!$B556&lt;&gt;"",업무일지!$AG556="진행중"),MAX(0,TODAY()-업무일지!$B556)*10000+449,"")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IF(AND(업무일지!$B557&lt;&gt;"",업무일지!$AG557="진행중"),MAX(0,TODAY()-업무일지!$B557)*10000+448,"")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IF(AND(업무일지!$B558&lt;&gt;"",업무일지!$AG558="진행중"),MAX(0,TODAY()-업무일지!$B558)*10000+447,"")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IF(AND(업무일지!$B559&lt;&gt;"",업무일지!$AG559="진행중"),MAX(0,TODAY()-업무일지!$B559)*10000+446,"")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IF(AND(업무일지!$B560&lt;&gt;"",업무일지!$AG560="진행중"),MAX(0,TODAY()-업무일지!$B560)*10000+445,"")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IF(AND(업무일지!$B561&lt;&gt;"",업무일지!$AG561="진행중"),MAX(0,TODAY()-업무일지!$B561)*10000+444,"")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IF(AND(업무일지!$B562&lt;&gt;"",업무일지!$AG562="진행중"),MAX(0,TODAY()-업무일지!$B562)*10000+443,"")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IF(AND(업무일지!$B563&lt;&gt;"",업무일지!$AG563="진행중"),MAX(0,TODAY()-업무일지!$B563)*10000+442,"")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IF(AND(업무일지!$B564&lt;&gt;"",업무일지!$AG564="진행중"),MAX(0,TODAY()-업무일지!$B564)*10000+441,"")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IF(AND(업무일지!$B565&lt;&gt;"",업무일지!$AG565="진행중"),MAX(0,TODAY()-업무일지!$B565)*10000+440,"")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IF(AND(업무일지!$B566&lt;&gt;"",업무일지!$AG566="진행중"),MAX(0,TODAY()-업무일지!$B566)*10000+439,"")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IF(AND(업무일지!$B567&lt;&gt;"",업무일지!$AG567="진행중"),MAX(0,TODAY()-업무일지!$B567)*10000+438,"")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IF(AND(업무일지!$B568&lt;&gt;"",업무일지!$AG568="진행중"),MAX(0,TODAY()-업무일지!$B568)*10000+437,"")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IF(AND(업무일지!$B569&lt;&gt;"",업무일지!$AG569="진행중"),MAX(0,TODAY()-업무일지!$B569)*10000+436,"")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IF(AND(업무일지!$B570&lt;&gt;"",업무일지!$AG570="진행중"),MAX(0,TODAY()-업무일지!$B570)*10000+435,"")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IF(AND(업무일지!$B571&lt;&gt;"",업무일지!$AG571="진행중"),MAX(0,TODAY()-업무일지!$B571)*10000+434,"")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IF(AND(업무일지!$B572&lt;&gt;"",업무일지!$AG572="진행중"),MAX(0,TODAY()-업무일지!$B572)*10000+433,"")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IF(AND(업무일지!$B573&lt;&gt;"",업무일지!$AG573="진행중"),MAX(0,TODAY()-업무일지!$B573)*10000+432,"")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IF(AND(업무일지!$B574&lt;&gt;"",업무일지!$AG574="진행중"),MAX(0,TODAY()-업무일지!$B574)*10000+431,"")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IF(AND(업무일지!$B575&lt;&gt;"",업무일지!$AG575="진행중"),MAX(0,TODAY()-업무일지!$B575)*10000+430,"")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IF(AND(업무일지!$B576&lt;&gt;"",업무일지!$AG576="진행중"),MAX(0,TODAY()-업무일지!$B576)*10000+429,"")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IF(AND(업무일지!$B577&lt;&gt;"",업무일지!$AG577="진행중"),MAX(0,TODAY()-업무일지!$B577)*10000+428,"")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IF(AND(업무일지!$B578&lt;&gt;"",업무일지!$AG578="진행중"),MAX(0,TODAY()-업무일지!$B578)*10000+427,"")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IF(AND(업무일지!$B579&lt;&gt;"",업무일지!$AG579="진행중"),MAX(0,TODAY()-업무일지!$B579)*10000+426,"")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IF(AND(업무일지!$B580&lt;&gt;"",업무일지!$AG580="진행중"),MAX(0,TODAY()-업무일지!$B580)*10000+425,"")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IF(AND(업무일지!$B581&lt;&gt;"",업무일지!$AG581="진행중"),MAX(0,TODAY()-업무일지!$B581)*10000+424,"")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IF(AND(업무일지!$B582&lt;&gt;"",업무일지!$AG582="진행중"),MAX(0,TODAY()-업무일지!$B582)*10000+423,"")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IF(AND(업무일지!$B583&lt;&gt;"",업무일지!$AG583="진행중"),MAX(0,TODAY()-업무일지!$B583)*10000+422,"")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IF(AND(업무일지!$B584&lt;&gt;"",업무일지!$AG584="진행중"),MAX(0,TODAY()-업무일지!$B584)*10000+421,"")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IF(AND(업무일지!$B585&lt;&gt;"",업무일지!$AG585="진행중"),MAX(0,TODAY()-업무일지!$B585)*10000+420,"")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IF(AND(업무일지!$B586&lt;&gt;"",업무일지!$AG586="진행중"),MAX(0,TODAY()-업무일지!$B586)*10000+419,"")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IF(AND(업무일지!$B587&lt;&gt;"",업무일지!$AG587="진행중"),MAX(0,TODAY()-업무일지!$B587)*10000+418,"")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IF(AND(업무일지!$B588&lt;&gt;"",업무일지!$AG588="진행중"),MAX(0,TODAY()-업무일지!$B588)*10000+417,"")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IF(AND(업무일지!$B589&lt;&gt;"",업무일지!$AG589="진행중"),MAX(0,TODAY()-업무일지!$B589)*10000+416,"")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IF(AND(업무일지!$B590&lt;&gt;"",업무일지!$AG590="진행중"),MAX(0,TODAY()-업무일지!$B590)*10000+415,"")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IF(AND(업무일지!$B591&lt;&gt;"",업무일지!$AG591="진행중"),MAX(0,TODAY()-업무일지!$B591)*10000+414,"")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IF(AND(업무일지!$B592&lt;&gt;"",업무일지!$AG592="진행중"),MAX(0,TODAY()-업무일지!$B592)*10000+413,"")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IF(AND(업무일지!$B593&lt;&gt;"",업무일지!$AG593="진행중"),MAX(0,TODAY()-업무일지!$B593)*10000+412,"")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IF(AND(업무일지!$B594&lt;&gt;"",업무일지!$AG594="진행중"),MAX(0,TODAY()-업무일지!$B594)*10000+411,"")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IF(AND(업무일지!$B595&lt;&gt;"",업무일지!$AG595="진행중"),MAX(0,TODAY()-업무일지!$B595)*10000+410,"")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IF(AND(업무일지!$B596&lt;&gt;"",업무일지!$AG596="진행중"),MAX(0,TODAY()-업무일지!$B596)*10000+409,"")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IF(AND(업무일지!$B597&lt;&gt;"",업무일지!$AG597="진행중"),MAX(0,TODAY()-업무일지!$B597)*10000+408,"")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IF(AND(업무일지!$B598&lt;&gt;"",업무일지!$AG598="진행중"),MAX(0,TODAY()-업무일지!$B598)*10000+407,"")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IF(AND(업무일지!$B599&lt;&gt;"",업무일지!$AG599="진행중"),MAX(0,TODAY()-업무일지!$B599)*10000+406,"")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IF(AND(업무일지!$B600&lt;&gt;"",업무일지!$AG600="진행중"),MAX(0,TODAY()-업무일지!$B600)*10000+405,"")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IF(AND(업무일지!$B601&lt;&gt;"",업무일지!$AG601="진행중"),MAX(0,TODAY()-업무일지!$B601)*10000+404,"")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IF(AND(업무일지!$B602&lt;&gt;"",업무일지!$AG602="진행중"),MAX(0,TODAY()-업무일지!$B602)*10000+403,"")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IF(AND(업무일지!$B603&lt;&gt;"",업무일지!$AG603="진행중"),MAX(0,TODAY()-업무일지!$B603)*10000+402,"")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IF(AND(업무일지!$B604&lt;&gt;"",업무일지!$AG604="진행중"),MAX(0,TODAY()-업무일지!$B604)*10000+401,"")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IF(AND(업무일지!$B605&lt;&gt;"",업무일지!$AG605="진행중"),MAX(0,TODAY()-업무일지!$B605)*10000+400,"")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IF(AND(업무일지!$B606&lt;&gt;"",업무일지!$AG606="진행중"),MAX(0,TODAY()-업무일지!$B606)*10000+399,"")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IF(AND(업무일지!$B607&lt;&gt;"",업무일지!$AG607="진행중"),MAX(0,TODAY()-업무일지!$B607)*10000+398,"")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IF(AND(업무일지!$B608&lt;&gt;"",업무일지!$AG608="진행중"),MAX(0,TODAY()-업무일지!$B608)*10000+397,"")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IF(AND(업무일지!$B609&lt;&gt;"",업무일지!$AG609="진행중"),MAX(0,TODAY()-업무일지!$B609)*10000+396,"")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IF(AND(업무일지!$B610&lt;&gt;"",업무일지!$AG610="진행중"),MAX(0,TODAY()-업무일지!$B610)*10000+395,"")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IF(AND(업무일지!$B611&lt;&gt;"",업무일지!$AG611="진행중"),MAX(0,TODAY()-업무일지!$B611)*10000+394,"")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IF(AND(업무일지!$B612&lt;&gt;"",업무일지!$AG612="진행중"),MAX(0,TODAY()-업무일지!$B612)*10000+393,"")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IF(AND(업무일지!$B613&lt;&gt;"",업무일지!$AG613="진행중"),MAX(0,TODAY()-업무일지!$B613)*10000+392,"")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IF(AND(업무일지!$B614&lt;&gt;"",업무일지!$AG614="진행중"),MAX(0,TODAY()-업무일지!$B614)*10000+391,"")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IF(AND(업무일지!$B615&lt;&gt;"",업무일지!$AG615="진행중"),MAX(0,TODAY()-업무일지!$B615)*10000+390,"")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IF(AND(업무일지!$B616&lt;&gt;"",업무일지!$AG616="진행중"),MAX(0,TODAY()-업무일지!$B616)*10000+389,"")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IF(AND(업무일지!$B617&lt;&gt;"",업무일지!$AG617="진행중"),MAX(0,TODAY()-업무일지!$B617)*10000+388,"")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IF(AND(업무일지!$B618&lt;&gt;"",업무일지!$AG618="진행중"),MAX(0,TODAY()-업무일지!$B618)*10000+387,"")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IF(AND(업무일지!$B619&lt;&gt;"",업무일지!$AG619="진행중"),MAX(0,TODAY()-업무일지!$B619)*10000+386,"")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IF(AND(업무일지!$B620&lt;&gt;"",업무일지!$AG620="진행중"),MAX(0,TODAY()-업무일지!$B620)*10000+385,"")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IF(AND(업무일지!$B621&lt;&gt;"",업무일지!$AG621="진행중"),MAX(0,TODAY()-업무일지!$B621)*10000+384,"")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IF(AND(업무일지!$B622&lt;&gt;"",업무일지!$AG622="진행중"),MAX(0,TODAY()-업무일지!$B622)*10000+383,"")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IF(AND(업무일지!$B623&lt;&gt;"",업무일지!$AG623="진행중"),MAX(0,TODAY()-업무일지!$B623)*10000+382,"")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IF(AND(업무일지!$B624&lt;&gt;"",업무일지!$AG624="진행중"),MAX(0,TODAY()-업무일지!$B624)*10000+381,"")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IF(AND(업무일지!$B625&lt;&gt;"",업무일지!$AG625="진행중"),MAX(0,TODAY()-업무일지!$B625)*10000+380,"")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IF(AND(업무일지!$B626&lt;&gt;"",업무일지!$AG626="진행중"),MAX(0,TODAY()-업무일지!$B626)*10000+379,"")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IF(AND(업무일지!$B627&lt;&gt;"",업무일지!$AG627="진행중"),MAX(0,TODAY()-업무일지!$B627)*10000+378,"")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IF(AND(업무일지!$B628&lt;&gt;"",업무일지!$AG628="진행중"),MAX(0,TODAY()-업무일지!$B628)*10000+377,"")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IF(AND(업무일지!$B629&lt;&gt;"",업무일지!$AG629="진행중"),MAX(0,TODAY()-업무일지!$B629)*10000+376,"")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IF(AND(업무일지!$B630&lt;&gt;"",업무일지!$AG630="진행중"),MAX(0,TODAY()-업무일지!$B630)*10000+375,"")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IF(AND(업무일지!$B631&lt;&gt;"",업무일지!$AG631="진행중"),MAX(0,TODAY()-업무일지!$B631)*10000+374,"")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IF(AND(업무일지!$B632&lt;&gt;"",업무일지!$AG632="진행중"),MAX(0,TODAY()-업무일지!$B632)*10000+373,"")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IF(AND(업무일지!$B633&lt;&gt;"",업무일지!$AG633="진행중"),MAX(0,TODAY()-업무일지!$B633)*10000+372,"")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IF(AND(업무일지!$B634&lt;&gt;"",업무일지!$AG634="진행중"),MAX(0,TODAY()-업무일지!$B634)*10000+371,"")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IF(AND(업무일지!$B635&lt;&gt;"",업무일지!$AG635="진행중"),MAX(0,TODAY()-업무일지!$B635)*10000+370,"")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IF(AND(업무일지!$B636&lt;&gt;"",업무일지!$AG636="진행중"),MAX(0,TODAY()-업무일지!$B636)*10000+369,"")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IF(AND(업무일지!$B637&lt;&gt;"",업무일지!$AG637="진행중"),MAX(0,TODAY()-업무일지!$B637)*10000+368,"")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IF(AND(업무일지!$B638&lt;&gt;"",업무일지!$AG638="진행중"),MAX(0,TODAY()-업무일지!$B638)*10000+367,"")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IF(AND(업무일지!$B639&lt;&gt;"",업무일지!$AG639="진행중"),MAX(0,TODAY()-업무일지!$B639)*10000+366,"")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IF(AND(업무일지!$B640&lt;&gt;"",업무일지!$AG640="진행중"),MAX(0,TODAY()-업무일지!$B640)*10000+365,"")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IF(AND(업무일지!$B641&lt;&gt;"",업무일지!$AG641="진행중"),MAX(0,TODAY()-업무일지!$B641)*10000+364,"")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IF(AND(업무일지!$B642&lt;&gt;"",업무일지!$AG642="진행중"),MAX(0,TODAY()-업무일지!$B642)*10000+363,"")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IF(AND(업무일지!$B643&lt;&gt;"",업무일지!$AG643="진행중"),MAX(0,TODAY()-업무일지!$B643)*10000+362,"")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IF(AND(업무일지!$B644&lt;&gt;"",업무일지!$AG644="진행중"),MAX(0,TODAY()-업무일지!$B644)*10000+361,"")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IF(AND(업무일지!$B645&lt;&gt;"",업무일지!$AG645="진행중"),MAX(0,TODAY()-업무일지!$B645)*10000+360,"")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IF(AND(업무일지!$B646&lt;&gt;"",업무일지!$AG646="진행중"),MAX(0,TODAY()-업무일지!$B646)*10000+359,"")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IF(AND(업무일지!$B647&lt;&gt;"",업무일지!$AG647="진행중"),MAX(0,TODAY()-업무일지!$B647)*10000+358,"")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IF(AND(업무일지!$B648&lt;&gt;"",업무일지!$AG648="진행중"),MAX(0,TODAY()-업무일지!$B648)*10000+357,"")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IF(AND(업무일지!$B649&lt;&gt;"",업무일지!$AG649="진행중"),MAX(0,TODAY()-업무일지!$B649)*10000+356,"")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IF(AND(업무일지!$B650&lt;&gt;"",업무일지!$AG650="진행중"),MAX(0,TODAY()-업무일지!$B650)*10000+355,"")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IF(AND(업무일지!$B651&lt;&gt;"",업무일지!$AG651="진행중"),MAX(0,TODAY()-업무일지!$B651)*10000+354,"")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IF(AND(업무일지!$B652&lt;&gt;"",업무일지!$AG652="진행중"),MAX(0,TODAY()-업무일지!$B652)*10000+353,"")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IF(AND(업무일지!$B653&lt;&gt;"",업무일지!$AG653="진행중"),MAX(0,TODAY()-업무일지!$B653)*10000+352,"")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IF(AND(업무일지!$B654&lt;&gt;"",업무일지!$AG654="진행중"),MAX(0,TODAY()-업무일지!$B654)*10000+351,"")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IF(AND(업무일지!$B655&lt;&gt;"",업무일지!$AG655="진행중"),MAX(0,TODAY()-업무일지!$B655)*10000+350,"")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IF(AND(업무일지!$B656&lt;&gt;"",업무일지!$AG656="진행중"),MAX(0,TODAY()-업무일지!$B656)*10000+349,"")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IF(AND(업무일지!$B657&lt;&gt;"",업무일지!$AG657="진행중"),MAX(0,TODAY()-업무일지!$B657)*10000+348,"")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IF(AND(업무일지!$B658&lt;&gt;"",업무일지!$AG658="진행중"),MAX(0,TODAY()-업무일지!$B658)*10000+347,"")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IF(AND(업무일지!$B659&lt;&gt;"",업무일지!$AG659="진행중"),MAX(0,TODAY()-업무일지!$B659)*10000+346,"")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IF(AND(업무일지!$B660&lt;&gt;"",업무일지!$AG660="진행중"),MAX(0,TODAY()-업무일지!$B660)*10000+345,"")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IF(AND(업무일지!$B661&lt;&gt;"",업무일지!$AG661="진행중"),MAX(0,TODAY()-업무일지!$B661)*10000+344,"")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IF(AND(업무일지!$B662&lt;&gt;"",업무일지!$AG662="진행중"),MAX(0,TODAY()-업무일지!$B662)*10000+343,"")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IF(AND(업무일지!$B663&lt;&gt;"",업무일지!$AG663="진행중"),MAX(0,TODAY()-업무일지!$B663)*10000+342,"")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IF(AND(업무일지!$B664&lt;&gt;"",업무일지!$AG664="진행중"),MAX(0,TODAY()-업무일지!$B664)*10000+341,"")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IF(AND(업무일지!$B665&lt;&gt;"",업무일지!$AG665="진행중"),MAX(0,TODAY()-업무일지!$B665)*10000+340,"")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IF(AND(업무일지!$B666&lt;&gt;"",업무일지!$AG666="진행중"),MAX(0,TODAY()-업무일지!$B666)*10000+339,"")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IF(AND(업무일지!$B667&lt;&gt;"",업무일지!$AG667="진행중"),MAX(0,TODAY()-업무일지!$B667)*10000+338,"")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IF(AND(업무일지!$B668&lt;&gt;"",업무일지!$AG668="진행중"),MAX(0,TODAY()-업무일지!$B668)*10000+337,"")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IF(AND(업무일지!$B669&lt;&gt;"",업무일지!$AG669="진행중"),MAX(0,TODAY()-업무일지!$B669)*10000+336,"")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IF(AND(업무일지!$B670&lt;&gt;"",업무일지!$AG670="진행중"),MAX(0,TODAY()-업무일지!$B670)*10000+335,"")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IF(AND(업무일지!$B671&lt;&gt;"",업무일지!$AG671="진행중"),MAX(0,TODAY()-업무일지!$B671)*10000+334,"")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IF(AND(업무일지!$B672&lt;&gt;"",업무일지!$AG672="진행중"),MAX(0,TODAY()-업무일지!$B672)*10000+333,"")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IF(AND(업무일지!$B673&lt;&gt;"",업무일지!$AG673="진행중"),MAX(0,TODAY()-업무일지!$B673)*10000+332,"")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IF(AND(업무일지!$B674&lt;&gt;"",업무일지!$AG674="진행중"),MAX(0,TODAY()-업무일지!$B674)*10000+331,"")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IF(AND(업무일지!$B675&lt;&gt;"",업무일지!$AG675="진행중"),MAX(0,TODAY()-업무일지!$B675)*10000+330,"")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IF(AND(업무일지!$B676&lt;&gt;"",업무일지!$AG676="진행중"),MAX(0,TODAY()-업무일지!$B676)*10000+329,"")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IF(AND(업무일지!$B677&lt;&gt;"",업무일지!$AG677="진행중"),MAX(0,TODAY()-업무일지!$B677)*10000+328,"")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IF(AND(업무일지!$B678&lt;&gt;"",업무일지!$AG678="진행중"),MAX(0,TODAY()-업무일지!$B678)*10000+327,"")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IF(AND(업무일지!$B679&lt;&gt;"",업무일지!$AG679="진행중"),MAX(0,TODAY()-업무일지!$B679)*10000+326,"")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IF(AND(업무일지!$B680&lt;&gt;"",업무일지!$AG680="진행중"),MAX(0,TODAY()-업무일지!$B680)*10000+325,"")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IF(AND(업무일지!$B681&lt;&gt;"",업무일지!$AG681="진행중"),MAX(0,TODAY()-업무일지!$B681)*10000+324,"")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IF(AND(업무일지!$B682&lt;&gt;"",업무일지!$AG682="진행중"),MAX(0,TODAY()-업무일지!$B682)*10000+323,"")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IF(AND(업무일지!$B683&lt;&gt;"",업무일지!$AG683="진행중"),MAX(0,TODAY()-업무일지!$B683)*10000+322,"")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IF(AND(업무일지!$B684&lt;&gt;"",업무일지!$AG684="진행중"),MAX(0,TODAY()-업무일지!$B684)*10000+321,"")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IF(AND(업무일지!$B685&lt;&gt;"",업무일지!$AG685="진행중"),MAX(0,TODAY()-업무일지!$B685)*10000+320,"")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IF(AND(업무일지!$B686&lt;&gt;"",업무일지!$AG686="진행중"),MAX(0,TODAY()-업무일지!$B686)*10000+319,"")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IF(AND(업무일지!$B687&lt;&gt;"",업무일지!$AG687="진행중"),MAX(0,TODAY()-업무일지!$B687)*10000+318,"")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IF(AND(업무일지!$B688&lt;&gt;"",업무일지!$AG688="진행중"),MAX(0,TODAY()-업무일지!$B688)*10000+317,"")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IF(AND(업무일지!$B689&lt;&gt;"",업무일지!$AG689="진행중"),MAX(0,TODAY()-업무일지!$B689)*10000+316,"")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IF(AND(업무일지!$B690&lt;&gt;"",업무일지!$AG690="진행중"),MAX(0,TODAY()-업무일지!$B690)*10000+315,"")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IF(AND(업무일지!$B691&lt;&gt;"",업무일지!$AG691="진행중"),MAX(0,TODAY()-업무일지!$B691)*10000+314,"")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IF(AND(업무일지!$B692&lt;&gt;"",업무일지!$AG692="진행중"),MAX(0,TODAY()-업무일지!$B692)*10000+313,"")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IF(AND(업무일지!$B693&lt;&gt;"",업무일지!$AG693="진행중"),MAX(0,TODAY()-업무일지!$B693)*10000+312,"")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IF(AND(업무일지!$B694&lt;&gt;"",업무일지!$AG694="진행중"),MAX(0,TODAY()-업무일지!$B694)*10000+311,"")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IF(AND(업무일지!$B695&lt;&gt;"",업무일지!$AG695="진행중"),MAX(0,TODAY()-업무일지!$B695)*10000+310,"")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IF(AND(업무일지!$B696&lt;&gt;"",업무일지!$AG696="진행중"),MAX(0,TODAY()-업무일지!$B696)*10000+309,"")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IF(AND(업무일지!$B697&lt;&gt;"",업무일지!$AG697="진행중"),MAX(0,TODAY()-업무일지!$B697)*10000+308,"")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IF(AND(업무일지!$B698&lt;&gt;"",업무일지!$AG698="진행중"),MAX(0,TODAY()-업무일지!$B698)*10000+307,"")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IF(AND(업무일지!$B699&lt;&gt;"",업무일지!$AG699="진행중"),MAX(0,TODAY()-업무일지!$B699)*10000+306,"")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IF(AND(업무일지!$B700&lt;&gt;"",업무일지!$AG700="진행중"),MAX(0,TODAY()-업무일지!$B700)*10000+305,"")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IF(AND(업무일지!$B701&lt;&gt;"",업무일지!$AG701="진행중"),MAX(0,TODAY()-업무일지!$B701)*10000+304,"")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IF(AND(업무일지!$B702&lt;&gt;"",업무일지!$AG702="진행중"),MAX(0,TODAY()-업무일지!$B702)*10000+303,"")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IF(AND(업무일지!$B703&lt;&gt;"",업무일지!$AG703="진행중"),MAX(0,TODAY()-업무일지!$B703)*10000+302,"")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IF(AND(업무일지!$B704&lt;&gt;"",업무일지!$AG704="진행중"),MAX(0,TODAY()-업무일지!$B704)*10000+301,"")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IF(AND(업무일지!$B705&lt;&gt;"",업무일지!$AG705="진행중"),MAX(0,TODAY()-업무일지!$B705)*10000+300,"")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IF(AND(업무일지!$B706&lt;&gt;"",업무일지!$AG706="진행중"),MAX(0,TODAY()-업무일지!$B706)*10000+299,"")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IF(AND(업무일지!$B707&lt;&gt;"",업무일지!$AG707="진행중"),MAX(0,TODAY()-업무일지!$B707)*10000+298,"")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IF(AND(업무일지!$B708&lt;&gt;"",업무일지!$AG708="진행중"),MAX(0,TODAY()-업무일지!$B708)*10000+297,"")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IF(AND(업무일지!$B709&lt;&gt;"",업무일지!$AG709="진행중"),MAX(0,TODAY()-업무일지!$B709)*10000+296,"")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IF(AND(업무일지!$B710&lt;&gt;"",업무일지!$AG710="진행중"),MAX(0,TODAY()-업무일지!$B710)*10000+295,"")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IF(AND(업무일지!$B711&lt;&gt;"",업무일지!$AG711="진행중"),MAX(0,TODAY()-업무일지!$B711)*10000+294,"")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IF(AND(업무일지!$B712&lt;&gt;"",업무일지!$AG712="진행중"),MAX(0,TODAY()-업무일지!$B712)*10000+293,"")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IF(AND(업무일지!$B713&lt;&gt;"",업무일지!$AG713="진행중"),MAX(0,TODAY()-업무일지!$B713)*10000+292,"")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IF(AND(업무일지!$B714&lt;&gt;"",업무일지!$AG714="진행중"),MAX(0,TODAY()-업무일지!$B714)*10000+291,"")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IF(AND(업무일지!$B715&lt;&gt;"",업무일지!$AG715="진행중"),MAX(0,TODAY()-업무일지!$B715)*10000+290,"")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IF(AND(업무일지!$B716&lt;&gt;"",업무일지!$AG716="진행중"),MAX(0,TODAY()-업무일지!$B716)*10000+289,"")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IF(AND(업무일지!$B717&lt;&gt;"",업무일지!$AG717="진행중"),MAX(0,TODAY()-업무일지!$B717)*10000+288,"")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IF(AND(업무일지!$B718&lt;&gt;"",업무일지!$AG718="진행중"),MAX(0,TODAY()-업무일지!$B718)*10000+287,"")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IF(AND(업무일지!$B719&lt;&gt;"",업무일지!$AG719="진행중"),MAX(0,TODAY()-업무일지!$B719)*10000+286,"")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IF(AND(업무일지!$B720&lt;&gt;"",업무일지!$AG720="진행중"),MAX(0,TODAY()-업무일지!$B720)*10000+285,"")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IF(AND(업무일지!$B721&lt;&gt;"",업무일지!$AG721="진행중"),MAX(0,TODAY()-업무일지!$B721)*10000+284,"")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IF(AND(업무일지!$B722&lt;&gt;"",업무일지!$AG722="진행중"),MAX(0,TODAY()-업무일지!$B722)*10000+283,"")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IF(AND(업무일지!$B723&lt;&gt;"",업무일지!$AG723="진행중"),MAX(0,TODAY()-업무일지!$B723)*10000+282,"")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IF(AND(업무일지!$B724&lt;&gt;"",업무일지!$AG724="진행중"),MAX(0,TODAY()-업무일지!$B724)*10000+281,"")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IF(AND(업무일지!$B725&lt;&gt;"",업무일지!$AG725="진행중"),MAX(0,TODAY()-업무일지!$B725)*10000+280,"")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IF(AND(업무일지!$B726&lt;&gt;"",업무일지!$AG726="진행중"),MAX(0,TODAY()-업무일지!$B726)*10000+279,"")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IF(AND(업무일지!$B727&lt;&gt;"",업무일지!$AG727="진행중"),MAX(0,TODAY()-업무일지!$B727)*10000+278,"")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IF(AND(업무일지!$B728&lt;&gt;"",업무일지!$AG728="진행중"),MAX(0,TODAY()-업무일지!$B728)*10000+277,"")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IF(AND(업무일지!$B729&lt;&gt;"",업무일지!$AG729="진행중"),MAX(0,TODAY()-업무일지!$B729)*10000+276,"")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IF(AND(업무일지!$B730&lt;&gt;"",업무일지!$AG730="진행중"),MAX(0,TODAY()-업무일지!$B730)*10000+275,"")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IF(AND(업무일지!$B731&lt;&gt;"",업무일지!$AG731="진행중"),MAX(0,TODAY()-업무일지!$B731)*10000+274,"")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IF(AND(업무일지!$B732&lt;&gt;"",업무일지!$AG732="진행중"),MAX(0,TODAY()-업무일지!$B732)*10000+273,"")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IF(AND(업무일지!$B733&lt;&gt;"",업무일지!$AG733="진행중"),MAX(0,TODAY()-업무일지!$B733)*10000+272,"")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IF(AND(업무일지!$B734&lt;&gt;"",업무일지!$AG734="진행중"),MAX(0,TODAY()-업무일지!$B734)*10000+271,"")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IF(AND(업무일지!$B735&lt;&gt;"",업무일지!$AG735="진행중"),MAX(0,TODAY()-업무일지!$B735)*10000+270,"")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IF(AND(업무일지!$B736&lt;&gt;"",업무일지!$AG736="진행중"),MAX(0,TODAY()-업무일지!$B736)*10000+269,"")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IF(AND(업무일지!$B737&lt;&gt;"",업무일지!$AG737="진행중"),MAX(0,TODAY()-업무일지!$B737)*10000+268,"")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IF(AND(업무일지!$B738&lt;&gt;"",업무일지!$AG738="진행중"),MAX(0,TODAY()-업무일지!$B738)*10000+267,"")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IF(AND(업무일지!$B739&lt;&gt;"",업무일지!$AG739="진행중"),MAX(0,TODAY()-업무일지!$B739)*10000+266,"")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IF(AND(업무일지!$B740&lt;&gt;"",업무일지!$AG740="진행중"),MAX(0,TODAY()-업무일지!$B740)*10000+265,"")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IF(AND(업무일지!$B741&lt;&gt;"",업무일지!$AG741="진행중"),MAX(0,TODAY()-업무일지!$B741)*10000+264,"")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IF(AND(업무일지!$B742&lt;&gt;"",업무일지!$AG742="진행중"),MAX(0,TODAY()-업무일지!$B742)*10000+263,"")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IF(AND(업무일지!$B743&lt;&gt;"",업무일지!$AG743="진행중"),MAX(0,TODAY()-업무일지!$B743)*10000+262,"")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IF(AND(업무일지!$B744&lt;&gt;"",업무일지!$AG744="진행중"),MAX(0,TODAY()-업무일지!$B744)*10000+261,"")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IF(AND(업무일지!$B745&lt;&gt;"",업무일지!$AG745="진행중"),MAX(0,TODAY()-업무일지!$B745)*10000+260,"")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IF(AND(업무일지!$B746&lt;&gt;"",업무일지!$AG746="진행중"),MAX(0,TODAY()-업무일지!$B746)*10000+259,"")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IF(AND(업무일지!$B747&lt;&gt;"",업무일지!$AG747="진행중"),MAX(0,TODAY()-업무일지!$B747)*10000+258,"")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IF(AND(업무일지!$B748&lt;&gt;"",업무일지!$AG748="진행중"),MAX(0,TODAY()-업무일지!$B748)*10000+257,"")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IF(AND(업무일지!$B749&lt;&gt;"",업무일지!$AG749="진행중"),MAX(0,TODAY()-업무일지!$B749)*10000+256,"")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IF(AND(업무일지!$B750&lt;&gt;"",업무일지!$AG750="진행중"),MAX(0,TODAY()-업무일지!$B750)*10000+255,"")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IF(AND(업무일지!$B751&lt;&gt;"",업무일지!$AG751="진행중"),MAX(0,TODAY()-업무일지!$B751)*10000+254,"")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IF(AND(업무일지!$B752&lt;&gt;"",업무일지!$AG752="진행중"),MAX(0,TODAY()-업무일지!$B752)*10000+253,"")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IF(AND(업무일지!$B753&lt;&gt;"",업무일지!$AG753="진행중"),MAX(0,TODAY()-업무일지!$B753)*10000+252,"")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IF(AND(업무일지!$B754&lt;&gt;"",업무일지!$AG754="진행중"),MAX(0,TODAY()-업무일지!$B754)*10000+251,"")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IF(AND(업무일지!$B755&lt;&gt;"",업무일지!$AG755="진행중"),MAX(0,TODAY()-업무일지!$B755)*10000+250,"")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IF(AND(업무일지!$B756&lt;&gt;"",업무일지!$AG756="진행중"),MAX(0,TODAY()-업무일지!$B756)*10000+249,"")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IF(AND(업무일지!$B757&lt;&gt;"",업무일지!$AG757="진행중"),MAX(0,TODAY()-업무일지!$B757)*10000+248,"")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IF(AND(업무일지!$B758&lt;&gt;"",업무일지!$AG758="진행중"),MAX(0,TODAY()-업무일지!$B758)*10000+247,"")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IF(AND(업무일지!$B759&lt;&gt;"",업무일지!$AG759="진행중"),MAX(0,TODAY()-업무일지!$B759)*10000+246,"")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IF(AND(업무일지!$B760&lt;&gt;"",업무일지!$AG760="진행중"),MAX(0,TODAY()-업무일지!$B760)*10000+245,"")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IF(AND(업무일지!$B761&lt;&gt;"",업무일지!$AG761="진행중"),MAX(0,TODAY()-업무일지!$B761)*10000+244,"")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IF(AND(업무일지!$B762&lt;&gt;"",업무일지!$AG762="진행중"),MAX(0,TODAY()-업무일지!$B762)*10000+243,"")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IF(AND(업무일지!$B763&lt;&gt;"",업무일지!$AG763="진행중"),MAX(0,TODAY()-업무일지!$B763)*10000+242,"")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IF(AND(업무일지!$B764&lt;&gt;"",업무일지!$AG764="진행중"),MAX(0,TODAY()-업무일지!$B764)*10000+241,"")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IF(AND(업무일지!$B765&lt;&gt;"",업무일지!$AG765="진행중"),MAX(0,TODAY()-업무일지!$B765)*10000+240,"")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IF(AND(업무일지!$B766&lt;&gt;"",업무일지!$AG766="진행중"),MAX(0,TODAY()-업무일지!$B766)*10000+239,"")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IF(AND(업무일지!$B767&lt;&gt;"",업무일지!$AG767="진행중"),MAX(0,TODAY()-업무일지!$B767)*10000+238,"")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IF(AND(업무일지!$B768&lt;&gt;"",업무일지!$AG768="진행중"),MAX(0,TODAY()-업무일지!$B768)*10000+237,"")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IF(AND(업무일지!$B769&lt;&gt;"",업무일지!$AG769="진행중"),MAX(0,TODAY()-업무일지!$B769)*10000+236,"")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IF(AND(업무일지!$B770&lt;&gt;"",업무일지!$AG770="진행중"),MAX(0,TODAY()-업무일지!$B770)*10000+235,"")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IF(AND(업무일지!$B771&lt;&gt;"",업무일지!$AG771="진행중"),MAX(0,TODAY()-업무일지!$B771)*10000+234,"")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IF(AND(업무일지!$B772&lt;&gt;"",업무일지!$AG772="진행중"),MAX(0,TODAY()-업무일지!$B772)*10000+233,"")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IF(AND(업무일지!$B773&lt;&gt;"",업무일지!$AG773="진행중"),MAX(0,TODAY()-업무일지!$B773)*10000+232,"")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IF(AND(업무일지!$B774&lt;&gt;"",업무일지!$AG774="진행중"),MAX(0,TODAY()-업무일지!$B774)*10000+231,"")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IF(AND(업무일지!$B775&lt;&gt;"",업무일지!$AG775="진행중"),MAX(0,TODAY()-업무일지!$B775)*10000+230,"")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IF(AND(업무일지!$B776&lt;&gt;"",업무일지!$AG776="진행중"),MAX(0,TODAY()-업무일지!$B776)*10000+229,"")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IF(AND(업무일지!$B777&lt;&gt;"",업무일지!$AG777="진행중"),MAX(0,TODAY()-업무일지!$B777)*10000+228,"")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IF(AND(업무일지!$B778&lt;&gt;"",업무일지!$AG778="진행중"),MAX(0,TODAY()-업무일지!$B778)*10000+227,"")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IF(AND(업무일지!$B779&lt;&gt;"",업무일지!$AG779="진행중"),MAX(0,TODAY()-업무일지!$B779)*10000+226,"")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IF(AND(업무일지!$B780&lt;&gt;"",업무일지!$AG780="진행중"),MAX(0,TODAY()-업무일지!$B780)*10000+225,"")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IF(AND(업무일지!$B781&lt;&gt;"",업무일지!$AG781="진행중"),MAX(0,TODAY()-업무일지!$B781)*10000+224,"")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IF(AND(업무일지!$B782&lt;&gt;"",업무일지!$AG782="진행중"),MAX(0,TODAY()-업무일지!$B782)*10000+223,"")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IF(AND(업무일지!$B783&lt;&gt;"",업무일지!$AG783="진행중"),MAX(0,TODAY()-업무일지!$B783)*10000+222,"")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IF(AND(업무일지!$B784&lt;&gt;"",업무일지!$AG784="진행중"),MAX(0,TODAY()-업무일지!$B784)*10000+221,"")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IF(AND(업무일지!$B785&lt;&gt;"",업무일지!$AG785="진행중"),MAX(0,TODAY()-업무일지!$B785)*10000+220,"")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IF(AND(업무일지!$B786&lt;&gt;"",업무일지!$AG786="진행중"),MAX(0,TODAY()-업무일지!$B786)*10000+219,"")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IF(AND(업무일지!$B787&lt;&gt;"",업무일지!$AG787="진행중"),MAX(0,TODAY()-업무일지!$B787)*10000+218,"")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IF(AND(업무일지!$B788&lt;&gt;"",업무일지!$AG788="진행중"),MAX(0,TODAY()-업무일지!$B788)*10000+217,"")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IF(AND(업무일지!$B789&lt;&gt;"",업무일지!$AG789="진행중"),MAX(0,TODAY()-업무일지!$B789)*10000+216,"")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IF(AND(업무일지!$B790&lt;&gt;"",업무일지!$AG790="진행중"),MAX(0,TODAY()-업무일지!$B790)*10000+215,"")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IF(AND(업무일지!$B791&lt;&gt;"",업무일지!$AG791="진행중"),MAX(0,TODAY()-업무일지!$B791)*10000+214,"")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IF(AND(업무일지!$B792&lt;&gt;"",업무일지!$AG792="진행중"),MAX(0,TODAY()-업무일지!$B792)*10000+213,"")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IF(AND(업무일지!$B793&lt;&gt;"",업무일지!$AG793="진행중"),MAX(0,TODAY()-업무일지!$B793)*10000+212,"")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IF(AND(업무일지!$B794&lt;&gt;"",업무일지!$AG794="진행중"),MAX(0,TODAY()-업무일지!$B794)*10000+211,"")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IF(AND(업무일지!$B795&lt;&gt;"",업무일지!$AG795="진행중"),MAX(0,TODAY()-업무일지!$B795)*10000+210,"")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IF(AND(업무일지!$B796&lt;&gt;"",업무일지!$AG796="진행중"),MAX(0,TODAY()-업무일지!$B796)*10000+209,"")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IF(AND(업무일지!$B797&lt;&gt;"",업무일지!$AG797="진행중"),MAX(0,TODAY()-업무일지!$B797)*10000+208,"")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IF(AND(업무일지!$B798&lt;&gt;"",업무일지!$AG798="진행중"),MAX(0,TODAY()-업무일지!$B798)*10000+207,"")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IF(AND(업무일지!$B799&lt;&gt;"",업무일지!$AG799="진행중"),MAX(0,TODAY()-업무일지!$B799)*10000+206,"")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IF(AND(업무일지!$B800&lt;&gt;"",업무일지!$AG800="진행중"),MAX(0,TODAY()-업무일지!$B800)*10000+205,"")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IF(AND(업무일지!$B801&lt;&gt;"",업무일지!$AG801="진행중"),MAX(0,TODAY()-업무일지!$B801)*10000+204,"")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IF(AND(업무일지!$B802&lt;&gt;"",업무일지!$AG802="진행중"),MAX(0,TODAY()-업무일지!$B802)*10000+203,"")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IF(AND(업무일지!$B803&lt;&gt;"",업무일지!$AG803="진행중"),MAX(0,TODAY()-업무일지!$B803)*10000+202,"")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IF(AND(업무일지!$B804&lt;&gt;"",업무일지!$AG804="진행중"),MAX(0,TODAY()-업무일지!$B804)*10000+201,"")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IF(AND(업무일지!$B805&lt;&gt;"",업무일지!$AG805="진행중"),MAX(0,TODAY()-업무일지!$B805)*10000+200,"")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IF(AND(업무일지!$B806&lt;&gt;"",업무일지!$AG806="진행중"),MAX(0,TODAY()-업무일지!$B806)*10000+199,"")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IF(AND(업무일지!$B807&lt;&gt;"",업무일지!$AG807="진행중"),MAX(0,TODAY()-업무일지!$B807)*10000+198,"")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IF(AND(업무일지!$B808&lt;&gt;"",업무일지!$AG808="진행중"),MAX(0,TODAY()-업무일지!$B808)*10000+197,"")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IF(AND(업무일지!$B809&lt;&gt;"",업무일지!$AG809="진행중"),MAX(0,TODAY()-업무일지!$B809)*10000+196,"")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IF(AND(업무일지!$B810&lt;&gt;"",업무일지!$AG810="진행중"),MAX(0,TODAY()-업무일지!$B810)*10000+195,"")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IF(AND(업무일지!$B811&lt;&gt;"",업무일지!$AG811="진행중"),MAX(0,TODAY()-업무일지!$B811)*10000+194,"")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IF(AND(업무일지!$B812&lt;&gt;"",업무일지!$AG812="진행중"),MAX(0,TODAY()-업무일지!$B812)*10000+193,"")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IF(AND(업무일지!$B813&lt;&gt;"",업무일지!$AG813="진행중"),MAX(0,TODAY()-업무일지!$B813)*10000+192,"")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IF(AND(업무일지!$B814&lt;&gt;"",업무일지!$AG814="진행중"),MAX(0,TODAY()-업무일지!$B814)*10000+191,"")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IF(AND(업무일지!$B815&lt;&gt;"",업무일지!$AG815="진행중"),MAX(0,TODAY()-업무일지!$B815)*10000+190,"")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IF(AND(업무일지!$B816&lt;&gt;"",업무일지!$AG816="진행중"),MAX(0,TODAY()-업무일지!$B816)*10000+189,"")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IF(AND(업무일지!$B817&lt;&gt;"",업무일지!$AG817="진행중"),MAX(0,TODAY()-업무일지!$B817)*10000+188,"")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IF(AND(업무일지!$B818&lt;&gt;"",업무일지!$AG818="진행중"),MAX(0,TODAY()-업무일지!$B818)*10000+187,"")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IF(AND(업무일지!$B819&lt;&gt;"",업무일지!$AG819="진행중"),MAX(0,TODAY()-업무일지!$B819)*10000+186,"")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IF(AND(업무일지!$B820&lt;&gt;"",업무일지!$AG820="진행중"),MAX(0,TODAY()-업무일지!$B820)*10000+185,"")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IF(AND(업무일지!$B821&lt;&gt;"",업무일지!$AG821="진행중"),MAX(0,TODAY()-업무일지!$B821)*10000+184,"")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IF(AND(업무일지!$B822&lt;&gt;"",업무일지!$AG822="진행중"),MAX(0,TODAY()-업무일지!$B822)*10000+183,"")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IF(AND(업무일지!$B823&lt;&gt;"",업무일지!$AG823="진행중"),MAX(0,TODAY()-업무일지!$B823)*10000+182,"")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IF(AND(업무일지!$B824&lt;&gt;"",업무일지!$AG824="진행중"),MAX(0,TODAY()-업무일지!$B824)*10000+181,"")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IF(AND(업무일지!$B825&lt;&gt;"",업무일지!$AG825="진행중"),MAX(0,TODAY()-업무일지!$B825)*10000+180,"")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IF(AND(업무일지!$B826&lt;&gt;"",업무일지!$AG826="진행중"),MAX(0,TODAY()-업무일지!$B826)*10000+179,"")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IF(AND(업무일지!$B827&lt;&gt;"",업무일지!$AG827="진행중"),MAX(0,TODAY()-업무일지!$B827)*10000+178,"")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IF(AND(업무일지!$B828&lt;&gt;"",업무일지!$AG828="진행중"),MAX(0,TODAY()-업무일지!$B828)*10000+177,"")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IF(AND(업무일지!$B829&lt;&gt;"",업무일지!$AG829="진행중"),MAX(0,TODAY()-업무일지!$B829)*10000+176,"")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IF(AND(업무일지!$B830&lt;&gt;"",업무일지!$AG830="진행중"),MAX(0,TODAY()-업무일지!$B830)*10000+175,"")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IF(AND(업무일지!$B831&lt;&gt;"",업무일지!$AG831="진행중"),MAX(0,TODAY()-업무일지!$B831)*10000+174,"")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IF(AND(업무일지!$B832&lt;&gt;"",업무일지!$AG832="진행중"),MAX(0,TODAY()-업무일지!$B832)*10000+173,"")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IF(AND(업무일지!$B833&lt;&gt;"",업무일지!$AG833="진행중"),MAX(0,TODAY()-업무일지!$B833)*10000+172,"")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IF(AND(업무일지!$B834&lt;&gt;"",업무일지!$AG834="진행중"),MAX(0,TODAY()-업무일지!$B834)*10000+171,"")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IF(AND(업무일지!$B835&lt;&gt;"",업무일지!$AG835="진행중"),MAX(0,TODAY()-업무일지!$B835)*10000+170,"")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IF(AND(업무일지!$B836&lt;&gt;"",업무일지!$AG836="진행중"),MAX(0,TODAY()-업무일지!$B836)*10000+169,"")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IF(AND(업무일지!$B837&lt;&gt;"",업무일지!$AG837="진행중"),MAX(0,TODAY()-업무일지!$B837)*10000+168,"")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IF(AND(업무일지!$B838&lt;&gt;"",업무일지!$AG838="진행중"),MAX(0,TODAY()-업무일지!$B838)*10000+167,"")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IF(AND(업무일지!$B839&lt;&gt;"",업무일지!$AG839="진행중"),MAX(0,TODAY()-업무일지!$B839)*10000+166,"")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IF(AND(업무일지!$B840&lt;&gt;"",업무일지!$AG840="진행중"),MAX(0,TODAY()-업무일지!$B840)*10000+165,"")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IF(AND(업무일지!$B841&lt;&gt;"",업무일지!$AG841="진행중"),MAX(0,TODAY()-업무일지!$B841)*10000+164,"")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IF(AND(업무일지!$B842&lt;&gt;"",업무일지!$AG842="진행중"),MAX(0,TODAY()-업무일지!$B842)*10000+163,"")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IF(AND(업무일지!$B843&lt;&gt;"",업무일지!$AG843="진행중"),MAX(0,TODAY()-업무일지!$B843)*10000+162,"")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IF(AND(업무일지!$B844&lt;&gt;"",업무일지!$AG844="진행중"),MAX(0,TODAY()-업무일지!$B844)*10000+161,"")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IF(AND(업무일지!$B845&lt;&gt;"",업무일지!$AG845="진행중"),MAX(0,TODAY()-업무일지!$B845)*10000+160,"")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IF(AND(업무일지!$B846&lt;&gt;"",업무일지!$AG846="진행중"),MAX(0,TODAY()-업무일지!$B846)*10000+159,"")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IF(AND(업무일지!$B847&lt;&gt;"",업무일지!$AG847="진행중"),MAX(0,TODAY()-업무일지!$B847)*10000+158,"")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IF(AND(업무일지!$B848&lt;&gt;"",업무일지!$AG848="진행중"),MAX(0,TODAY()-업무일지!$B848)*10000+157,"")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IF(AND(업무일지!$B849&lt;&gt;"",업무일지!$AG849="진행중"),MAX(0,TODAY()-업무일지!$B849)*10000+156,"")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IF(AND(업무일지!$B850&lt;&gt;"",업무일지!$AG850="진행중"),MAX(0,TODAY()-업무일지!$B850)*10000+155,"")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IF(AND(업무일지!$B851&lt;&gt;"",업무일지!$AG851="진행중"),MAX(0,TODAY()-업무일지!$B851)*10000+154,"")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IF(AND(업무일지!$B852&lt;&gt;"",업무일지!$AG852="진행중"),MAX(0,TODAY()-업무일지!$B852)*10000+153,"")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IF(AND(업무일지!$B853&lt;&gt;"",업무일지!$AG853="진행중"),MAX(0,TODAY()-업무일지!$B853)*10000+152,"")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IF(AND(업무일지!$B854&lt;&gt;"",업무일지!$AG854="진행중"),MAX(0,TODAY()-업무일지!$B854)*10000+151,"")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IF(AND(업무일지!$B855&lt;&gt;"",업무일지!$AG855="진행중"),MAX(0,TODAY()-업무일지!$B855)*10000+150,"")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IF(AND(업무일지!$B856&lt;&gt;"",업무일지!$AG856="진행중"),MAX(0,TODAY()-업무일지!$B856)*10000+149,"")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IF(AND(업무일지!$B857&lt;&gt;"",업무일지!$AG857="진행중"),MAX(0,TODAY()-업무일지!$B857)*10000+148,"")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IF(AND(업무일지!$B858&lt;&gt;"",업무일지!$AG858="진행중"),MAX(0,TODAY()-업무일지!$B858)*10000+147,"")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IF(AND(업무일지!$B859&lt;&gt;"",업무일지!$AG859="진행중"),MAX(0,TODAY()-업무일지!$B859)*10000+146,"")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IF(AND(업무일지!$B860&lt;&gt;"",업무일지!$AG860="진행중"),MAX(0,TODAY()-업무일지!$B860)*10000+145,"")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IF(AND(업무일지!$B861&lt;&gt;"",업무일지!$AG861="진행중"),MAX(0,TODAY()-업무일지!$B861)*10000+144,"")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IF(AND(업무일지!$B862&lt;&gt;"",업무일지!$AG862="진행중"),MAX(0,TODAY()-업무일지!$B862)*10000+143,"")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IF(AND(업무일지!$B863&lt;&gt;"",업무일지!$AG863="진행중"),MAX(0,TODAY()-업무일지!$B863)*10000+142,"")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IF(AND(업무일지!$B864&lt;&gt;"",업무일지!$AG864="진행중"),MAX(0,TODAY()-업무일지!$B864)*10000+141,"")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IF(AND(업무일지!$B865&lt;&gt;"",업무일지!$AG865="진행중"),MAX(0,TODAY()-업무일지!$B865)*10000+140,"")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IF(AND(업무일지!$B866&lt;&gt;"",업무일지!$AG866="진행중"),MAX(0,TODAY()-업무일지!$B866)*10000+139,"")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IF(AND(업무일지!$B867&lt;&gt;"",업무일지!$AG867="진행중"),MAX(0,TODAY()-업무일지!$B867)*10000+138,"")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IF(AND(업무일지!$B868&lt;&gt;"",업무일지!$AG868="진행중"),MAX(0,TODAY()-업무일지!$B868)*10000+137,"")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IF(AND(업무일지!$B869&lt;&gt;"",업무일지!$AG869="진행중"),MAX(0,TODAY()-업무일지!$B869)*10000+136,"")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IF(AND(업무일지!$B870&lt;&gt;"",업무일지!$AG870="진행중"),MAX(0,TODAY()-업무일지!$B870)*10000+135,"")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IF(AND(업무일지!$B871&lt;&gt;"",업무일지!$AG871="진행중"),MAX(0,TODAY()-업무일지!$B871)*10000+134,"")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IF(AND(업무일지!$B872&lt;&gt;"",업무일지!$AG872="진행중"),MAX(0,TODAY()-업무일지!$B872)*10000+133,"")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IF(AND(업무일지!$B873&lt;&gt;"",업무일지!$AG873="진행중"),MAX(0,TODAY()-업무일지!$B873)*10000+132,"")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IF(AND(업무일지!$B874&lt;&gt;"",업무일지!$AG874="진행중"),MAX(0,TODAY()-업무일지!$B874)*10000+131,"")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IF(AND(업무일지!$B875&lt;&gt;"",업무일지!$AG875="진행중"),MAX(0,TODAY()-업무일지!$B875)*10000+130,"")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IF(AND(업무일지!$B876&lt;&gt;"",업무일지!$AG876="진행중"),MAX(0,TODAY()-업무일지!$B876)*10000+129,"")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IF(AND(업무일지!$B877&lt;&gt;"",업무일지!$AG877="진행중"),MAX(0,TODAY()-업무일지!$B877)*10000+128,"")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IF(AND(업무일지!$B878&lt;&gt;"",업무일지!$AG878="진행중"),MAX(0,TODAY()-업무일지!$B878)*10000+127,"")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IF(AND(업무일지!$B879&lt;&gt;"",업무일지!$AG879="진행중"),MAX(0,TODAY()-업무일지!$B879)*10000+126,"")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IF(AND(업무일지!$B880&lt;&gt;"",업무일지!$AG880="진행중"),MAX(0,TODAY()-업무일지!$B880)*10000+125,"")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IF(AND(업무일지!$B881&lt;&gt;"",업무일지!$AG881="진행중"),MAX(0,TODAY()-업무일지!$B881)*10000+124,"")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IF(AND(업무일지!$B882&lt;&gt;"",업무일지!$AG882="진행중"),MAX(0,TODAY()-업무일지!$B882)*10000+123,"")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IF(AND(업무일지!$B883&lt;&gt;"",업무일지!$AG883="진행중"),MAX(0,TODAY()-업무일지!$B883)*10000+122,"")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IF(AND(업무일지!$B884&lt;&gt;"",업무일지!$AG884="진행중"),MAX(0,TODAY()-업무일지!$B884)*10000+121,"")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IF(AND(업무일지!$B885&lt;&gt;"",업무일지!$AG885="진행중"),MAX(0,TODAY()-업무일지!$B885)*10000+120,"")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IF(AND(업무일지!$B886&lt;&gt;"",업무일지!$AG886="진행중"),MAX(0,TODAY()-업무일지!$B886)*10000+119,"")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IF(AND(업무일지!$B887&lt;&gt;"",업무일지!$AG887="진행중"),MAX(0,TODAY()-업무일지!$B887)*10000+118,"")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IF(AND(업무일지!$B888&lt;&gt;"",업무일지!$AG888="진행중"),MAX(0,TODAY()-업무일지!$B888)*10000+117,"")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IF(AND(업무일지!$B889&lt;&gt;"",업무일지!$AG889="진행중"),MAX(0,TODAY()-업무일지!$B889)*10000+116,"")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IF(AND(업무일지!$B890&lt;&gt;"",업무일지!$AG890="진행중"),MAX(0,TODAY()-업무일지!$B890)*10000+115,"")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IF(AND(업무일지!$B891&lt;&gt;"",업무일지!$AG891="진행중"),MAX(0,TODAY()-업무일지!$B891)*10000+114,"")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IF(AND(업무일지!$B892&lt;&gt;"",업무일지!$AG892="진행중"),MAX(0,TODAY()-업무일지!$B892)*10000+113,"")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IF(AND(업무일지!$B893&lt;&gt;"",업무일지!$AG893="진행중"),MAX(0,TODAY()-업무일지!$B893)*10000+112,"")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IF(AND(업무일지!$B894&lt;&gt;"",업무일지!$AG894="진행중"),MAX(0,TODAY()-업무일지!$B894)*10000+111,"")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IF(AND(업무일지!$B895&lt;&gt;"",업무일지!$AG895="진행중"),MAX(0,TODAY()-업무일지!$B895)*10000+110,"")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IF(AND(업무일지!$B896&lt;&gt;"",업무일지!$AG896="진행중"),MAX(0,TODAY()-업무일지!$B896)*10000+109,"")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IF(AND(업무일지!$B897&lt;&gt;"",업무일지!$AG897="진행중"),MAX(0,TODAY()-업무일지!$B897)*10000+108,"")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IF(AND(업무일지!$B898&lt;&gt;"",업무일지!$AG898="진행중"),MAX(0,TODAY()-업무일지!$B898)*10000+107,"")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IF(AND(업무일지!$B899&lt;&gt;"",업무일지!$AG899="진행중"),MAX(0,TODAY()-업무일지!$B899)*10000+106,"")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IF(AND(업무일지!$B900&lt;&gt;"",업무일지!$AG900="진행중"),MAX(0,TODAY()-업무일지!$B900)*10000+105,"")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IF(AND(업무일지!$B901&lt;&gt;"",업무일지!$AG901="진행중"),MAX(0,TODAY()-업무일지!$B901)*10000+104,"")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IF(AND(업무일지!$B902&lt;&gt;"",업무일지!$AG902="진행중"),MAX(0,TODAY()-업무일지!$B902)*10000+103,"")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IF(AND(업무일지!$B903&lt;&gt;"",업무일지!$AG903="진행중"),MAX(0,TODAY()-업무일지!$B903)*10000+102,"")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IF(AND(업무일지!$B904&lt;&gt;"",업무일지!$AG904="진행중"),MAX(0,TODAY()-업무일지!$B904)*10000+101,"")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IF(AND(업무일지!$B905&lt;&gt;"",업무일지!$AG905="진행중"),MAX(0,TODAY()-업무일지!$B905)*10000+100,"")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IF(AND(업무일지!$B906&lt;&gt;"",업무일지!$AG906="진행중"),MAX(0,TODAY()-업무일지!$B906)*10000+99,"")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IF(AND(업무일지!$B907&lt;&gt;"",업무일지!$AG907="진행중"),MAX(0,TODAY()-업무일지!$B907)*10000+98,"")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IF(AND(업무일지!$B908&lt;&gt;"",업무일지!$AG908="진행중"),MAX(0,TODAY()-업무일지!$B908)*10000+97,"")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IF(AND(업무일지!$B909&lt;&gt;"",업무일지!$AG909="진행중"),MAX(0,TODAY()-업무일지!$B909)*10000+96,"")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IF(AND(업무일지!$B910&lt;&gt;"",업무일지!$AG910="진행중"),MAX(0,TODAY()-업무일지!$B910)*10000+95,"")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IF(AND(업무일지!$B911&lt;&gt;"",업무일지!$AG911="진행중"),MAX(0,TODAY()-업무일지!$B911)*10000+94,"")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IF(AND(업무일지!$B912&lt;&gt;"",업무일지!$AG912="진행중"),MAX(0,TODAY()-업무일지!$B912)*10000+93,"")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IF(AND(업무일지!$B913&lt;&gt;"",업무일지!$AG913="진행중"),MAX(0,TODAY()-업무일지!$B913)*10000+92,"")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IF(AND(업무일지!$B914&lt;&gt;"",업무일지!$AG914="진행중"),MAX(0,TODAY()-업무일지!$B914)*10000+91,"")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IF(AND(업무일지!$B915&lt;&gt;"",업무일지!$AG915="진행중"),MAX(0,TODAY()-업무일지!$B915)*10000+90,"")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IF(AND(업무일지!$B916&lt;&gt;"",업무일지!$AG916="진행중"),MAX(0,TODAY()-업무일지!$B916)*10000+89,"")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IF(AND(업무일지!$B917&lt;&gt;"",업무일지!$AG917="진행중"),MAX(0,TODAY()-업무일지!$B917)*10000+88,"")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IF(AND(업무일지!$B918&lt;&gt;"",업무일지!$AG918="진행중"),MAX(0,TODAY()-업무일지!$B918)*10000+87,"")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IF(AND(업무일지!$B919&lt;&gt;"",업무일지!$AG919="진행중"),MAX(0,TODAY()-업무일지!$B919)*10000+86,"")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IF(AND(업무일지!$B920&lt;&gt;"",업무일지!$AG920="진행중"),MAX(0,TODAY()-업무일지!$B920)*10000+85,"")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IF(AND(업무일지!$B921&lt;&gt;"",업무일지!$AG921="진행중"),MAX(0,TODAY()-업무일지!$B921)*10000+84,"")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IF(AND(업무일지!$B922&lt;&gt;"",업무일지!$AG922="진행중"),MAX(0,TODAY()-업무일지!$B922)*10000+83,"")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IF(AND(업무일지!$B923&lt;&gt;"",업무일지!$AG923="진행중"),MAX(0,TODAY()-업무일지!$B923)*10000+82,"")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IF(AND(업무일지!$B924&lt;&gt;"",업무일지!$AG924="진행중"),MAX(0,TODAY()-업무일지!$B924)*10000+81,"")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IF(AND(업무일지!$B925&lt;&gt;"",업무일지!$AG925="진행중"),MAX(0,TODAY()-업무일지!$B925)*10000+80,"")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IF(AND(업무일지!$B926&lt;&gt;"",업무일지!$AG926="진행중"),MAX(0,TODAY()-업무일지!$B926)*10000+79,"")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IF(AND(업무일지!$B927&lt;&gt;"",업무일지!$AG927="진행중"),MAX(0,TODAY()-업무일지!$B927)*10000+78,"")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IF(AND(업무일지!$B928&lt;&gt;"",업무일지!$AG928="진행중"),MAX(0,TODAY()-업무일지!$B928)*10000+77,"")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IF(AND(업무일지!$B929&lt;&gt;"",업무일지!$AG929="진행중"),MAX(0,TODAY()-업무일지!$B929)*10000+76,"")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IF(AND(업무일지!$B930&lt;&gt;"",업무일지!$AG930="진행중"),MAX(0,TODAY()-업무일지!$B930)*10000+75,"")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IF(AND(업무일지!$B931&lt;&gt;"",업무일지!$AG931="진행중"),MAX(0,TODAY()-업무일지!$B931)*10000+74,"")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IF(AND(업무일지!$B932&lt;&gt;"",업무일지!$AG932="진행중"),MAX(0,TODAY()-업무일지!$B932)*10000+73,"")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IF(AND(업무일지!$B933&lt;&gt;"",업무일지!$AG933="진행중"),MAX(0,TODAY()-업무일지!$B933)*10000+72,"")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IF(AND(업무일지!$B934&lt;&gt;"",업무일지!$AG934="진행중"),MAX(0,TODAY()-업무일지!$B934)*10000+71,"")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IF(AND(업무일지!$B935&lt;&gt;"",업무일지!$AG935="진행중"),MAX(0,TODAY()-업무일지!$B935)*10000+70,"")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IF(AND(업무일지!$B936&lt;&gt;"",업무일지!$AG936="진행중"),MAX(0,TODAY()-업무일지!$B936)*10000+69,"")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IF(AND(업무일지!$B937&lt;&gt;"",업무일지!$AG937="진행중"),MAX(0,TODAY()-업무일지!$B937)*10000+68,"")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IF(AND(업무일지!$B938&lt;&gt;"",업무일지!$AG938="진행중"),MAX(0,TODAY()-업무일지!$B938)*10000+67,"")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IF(AND(업무일지!$B939&lt;&gt;"",업무일지!$AG939="진행중"),MAX(0,TODAY()-업무일지!$B939)*10000+66,"")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IF(AND(업무일지!$B940&lt;&gt;"",업무일지!$AG940="진행중"),MAX(0,TODAY()-업무일지!$B940)*10000+65,"")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IF(AND(업무일지!$B941&lt;&gt;"",업무일지!$AG941="진행중"),MAX(0,TODAY()-업무일지!$B941)*10000+64,"")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IF(AND(업무일지!$B942&lt;&gt;"",업무일지!$AG942="진행중"),MAX(0,TODAY()-업무일지!$B942)*10000+63,"")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IF(AND(업무일지!$B943&lt;&gt;"",업무일지!$AG943="진행중"),MAX(0,TODAY()-업무일지!$B943)*10000+62,"")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IF(AND(업무일지!$B944&lt;&gt;"",업무일지!$AG944="진행중"),MAX(0,TODAY()-업무일지!$B944)*10000+61,"")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IF(AND(업무일지!$B945&lt;&gt;"",업무일지!$AG945="진행중"),MAX(0,TODAY()-업무일지!$B945)*10000+60,"")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IF(AND(업무일지!$B946&lt;&gt;"",업무일지!$AG946="진행중"),MAX(0,TODAY()-업무일지!$B946)*10000+59,"")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IF(AND(업무일지!$B947&lt;&gt;"",업무일지!$AG947="진행중"),MAX(0,TODAY()-업무일지!$B947)*10000+58,"")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IF(AND(업무일지!$B948&lt;&gt;"",업무일지!$AG948="진행중"),MAX(0,TODAY()-업무일지!$B948)*10000+57,"")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IF(AND(업무일지!$B949&lt;&gt;"",업무일지!$AG949="진행중"),MAX(0,TODAY()-업무일지!$B949)*10000+56,"")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IF(AND(업무일지!$B950&lt;&gt;"",업무일지!$AG950="진행중"),MAX(0,TODAY()-업무일지!$B950)*10000+55,"")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IF(AND(업무일지!$B951&lt;&gt;"",업무일지!$AG951="진행중"),MAX(0,TODAY()-업무일지!$B951)*10000+54,"")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IF(AND(업무일지!$B952&lt;&gt;"",업무일지!$AG952="진행중"),MAX(0,TODAY()-업무일지!$B952)*10000+53,"")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IF(AND(업무일지!$B953&lt;&gt;"",업무일지!$AG953="진행중"),MAX(0,TODAY()-업무일지!$B953)*10000+52,"")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IF(AND(업무일지!$B954&lt;&gt;"",업무일지!$AG954="진행중"),MAX(0,TODAY()-업무일지!$B954)*10000+51,"")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IF(AND(업무일지!$B955&lt;&gt;"",업무일지!$AG955="진행중"),MAX(0,TODAY()-업무일지!$B955)*10000+50,"")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IF(AND(업무일지!$B956&lt;&gt;"",업무일지!$AG956="진행중"),MAX(0,TODAY()-업무일지!$B956)*10000+49,"")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IF(AND(업무일지!$B957&lt;&gt;"",업무일지!$AG957="진행중"),MAX(0,TODAY()-업무일지!$B957)*10000+48,"")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IF(AND(업무일지!$B958&lt;&gt;"",업무일지!$AG958="진행중"),MAX(0,TODAY()-업무일지!$B958)*10000+47,"")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IF(AND(업무일지!$B959&lt;&gt;"",업무일지!$AG959="진행중"),MAX(0,TODAY()-업무일지!$B959)*10000+46,"")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IF(AND(업무일지!$B960&lt;&gt;"",업무일지!$AG960="진행중"),MAX(0,TODAY()-업무일지!$B960)*10000+45,"")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IF(AND(업무일지!$B961&lt;&gt;"",업무일지!$AG961="진행중"),MAX(0,TODAY()-업무일지!$B961)*10000+44,"")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IF(AND(업무일지!$B962&lt;&gt;"",업무일지!$AG962="진행중"),MAX(0,TODAY()-업무일지!$B962)*10000+43,"")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IF(AND(업무일지!$B963&lt;&gt;"",업무일지!$AG963="진행중"),MAX(0,TODAY()-업무일지!$B963)*10000+42,"")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IF(AND(업무일지!$B964&lt;&gt;"",업무일지!$AG964="진행중"),MAX(0,TODAY()-업무일지!$B964)*10000+41,"")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IF(AND(업무일지!$B965&lt;&gt;"",업무일지!$AG965="진행중"),MAX(0,TODAY()-업무일지!$B965)*10000+40,"")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IF(AND(업무일지!$B966&lt;&gt;"",업무일지!$AG966="진행중"),MAX(0,TODAY()-업무일지!$B966)*10000+39,"")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IF(AND(업무일지!$B967&lt;&gt;"",업무일지!$AG967="진행중"),MAX(0,TODAY()-업무일지!$B967)*10000+38,"")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IF(AND(업무일지!$B968&lt;&gt;"",업무일지!$AG968="진행중"),MAX(0,TODAY()-업무일지!$B968)*10000+37,"")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IF(AND(업무일지!$B969&lt;&gt;"",업무일지!$AG969="진행중"),MAX(0,TODAY()-업무일지!$B969)*10000+36,"")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IF(AND(업무일지!$B970&lt;&gt;"",업무일지!$AG970="진행중"),MAX(0,TODAY()-업무일지!$B970)*10000+35,"")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IF(AND(업무일지!$B971&lt;&gt;"",업무일지!$AG971="진행중"),MAX(0,TODAY()-업무일지!$B971)*10000+34,"")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IF(AND(업무일지!$B972&lt;&gt;"",업무일지!$AG972="진행중"),MAX(0,TODAY()-업무일지!$B972)*10000+33,"")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IF(AND(업무일지!$B973&lt;&gt;"",업무일지!$AG973="진행중"),MAX(0,TODAY()-업무일지!$B973)*10000+32,"")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IF(AND(업무일지!$B974&lt;&gt;"",업무일지!$AG974="진행중"),MAX(0,TODAY()-업무일지!$B974)*10000+31,"")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IF(AND(업무일지!$B975&lt;&gt;"",업무일지!$AG975="진행중"),MAX(0,TODAY()-업무일지!$B975)*10000+30,"")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IF(AND(업무일지!$B976&lt;&gt;"",업무일지!$AG976="진행중"),MAX(0,TODAY()-업무일지!$B976)*10000+29,"")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IF(AND(업무일지!$B977&lt;&gt;"",업무일지!$AG977="진행중"),MAX(0,TODAY()-업무일지!$B977)*10000+28,"")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IF(AND(업무일지!$B978&lt;&gt;"",업무일지!$AG978="진행중"),MAX(0,TODAY()-업무일지!$B978)*10000+27,"")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IF(AND(업무일지!$B979&lt;&gt;"",업무일지!$AG979="진행중"),MAX(0,TODAY()-업무일지!$B979)*10000+26,"")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IF(AND(업무일지!$B980&lt;&gt;"",업무일지!$AG980="진행중"),MAX(0,TODAY()-업무일지!$B980)*10000+25,"")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IF(AND(업무일지!$B981&lt;&gt;"",업무일지!$AG981="진행중"),MAX(0,TODAY()-업무일지!$B981)*10000+24,"")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IF(AND(업무일지!$B982&lt;&gt;"",업무일지!$AG982="진행중"),MAX(0,TODAY()-업무일지!$B982)*10000+23,"")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IF(AND(업무일지!$B983&lt;&gt;"",업무일지!$AG983="진행중"),MAX(0,TODAY()-업무일지!$B983)*10000+22,"")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IF(AND(업무일지!$B984&lt;&gt;"",업무일지!$AG984="진행중"),MAX(0,TODAY()-업무일지!$B984)*10000+21,"")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IF(AND(업무일지!$B985&lt;&gt;"",업무일지!$AG985="진행중"),MAX(0,TODAY()-업무일지!$B985)*10000+20,"")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IF(AND(업무일지!$B986&lt;&gt;"",업무일지!$AG986="진행중"),MAX(0,TODAY()-업무일지!$B986)*10000+19,"")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IF(AND(업무일지!$B987&lt;&gt;"",업무일지!$AG987="진행중"),MAX(0,TODAY()-업무일지!$B987)*10000+18,"")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IF(AND(업무일지!$B988&lt;&gt;"",업무일지!$AG988="진행중"),MAX(0,TODAY()-업무일지!$B988)*10000+17,"")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IF(AND(업무일지!$B989&lt;&gt;"",업무일지!$AG989="진행중"),MAX(0,TODAY()-업무일지!$B989)*10000+16,"")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IF(AND(업무일지!$B990&lt;&gt;"",업무일지!$AG990="진행중"),MAX(0,TODAY()-업무일지!$B990)*10000+15,"")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IF(AND(업무일지!$B991&lt;&gt;"",업무일지!$AG991="진행중"),MAX(0,TODAY()-업무일지!$B991)*10000+14,"")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IF(AND(업무일지!$B992&lt;&gt;"",업무일지!$AG992="진행중"),MAX(0,TODAY()-업무일지!$B992)*10000+13,"")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IF(AND(업무일지!$B993&lt;&gt;"",업무일지!$AG993="진행중"),MAX(0,TODAY()-업무일지!$B993)*10000+12,"")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IF(AND(업무일지!$B994&lt;&gt;"",업무일지!$AG994="진행중"),MAX(0,TODAY()-업무일지!$B994)*10000+11,"")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IF(AND(업무일지!$B995&lt;&gt;"",업무일지!$AG995="진행중"),MAX(0,TODAY()-업무일지!$B995)*10000+10,"")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IF(AND(업무일지!$B996&lt;&gt;"",업무일지!$AG996="진행중"),MAX(0,TODAY()-업무일지!$B996)*10000+9,"")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IF(AND(업무일지!$B997&lt;&gt;"",업무일지!$AG997="진행중"),MAX(0,TODAY()-업무일지!$B997)*10000+8,"")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IF(AND(업무일지!$B998&lt;&gt;"",업무일지!$AG998="진행중"),MAX(0,TODAY()-업무일지!$B998)*10000+7,"")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IF(AND(업무일지!$B999&lt;&gt;"",업무일지!$AG999="진행중"),MAX(0,TODAY()-업무일지!$B999)*10000+6,"")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IF(AND(업무일지!$B1000&lt;&gt;"",업무일지!$AG1000="진행중"),MAX(0,TODAY()-업무일지!$B1000)*10000+5,"")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IF(AND(업무일지!$B1001&lt;&gt;"",업무일지!$AG1001="진행중"),MAX(0,TODAY()-업무일지!$B1001)*10000+4,"")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IF(AND(업무일지!$B1002&lt;&gt;"",업무일지!$AG1002="진행중"),MAX(0,TODAY()-업무일지!$B1002)*10000+3,"")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IF(AND(업무일지!$B1003&lt;&gt;"",업무일지!$AG1003="진행중"),MAX(0,TODAY()-업무일지!$B1003)*10000+2,"")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IF(AND(업무일지!$B1004&lt;&gt;"",업무일지!$AG1004="진행중"),MAX(0,TODAY()-업무일지!$B1004)*10000+1,"")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4:L113">
    <cfRule type="expression" priority="1" dxfId="9" stopIfTrue="1">
      <formula>AND($B14&lt;&gt;"",$B14&gt;60)</formula>
    </cfRule>
    <cfRule type="expression" priority="2" dxfId="3" stopIfTrue="1">
      <formula>AND($B14&lt;&gt;"",$B14&gt;30)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K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  <c r="BK1">
        <f>IF($B$4="",0,SUMPRODUCT(MAX((업무일지!$F$5:$F$1004=$B$4)*(업무일지!$B$5:$B$1004&gt;0)*(1000000-업무일지!$B$5:$B$1004))))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  <c r="BK2">
        <f>IF($B$4="",0,SUMPRODUCT(MAX((업무일지!$F$5:$F$1004=$B$4)*업무일지!$C$5:$C$1004)))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회차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IF($BG11="","",INDEX(업무일지!$AF$5:$AF$1004,$BG11))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IF($BG11="","",INDEX(업무일지!$AA$5:$AA$1004,$BG11))</f>
        <v/>
      </c>
      <c r="H11" s="47">
        <f>IF($BG11="","",INDEX(업무일지!$AC$5:$AC$1004,$BG11))</f>
        <v/>
      </c>
      <c r="I11" s="24">
        <f>IF($BG11="","",INDEX(업무일지!$AD$5:$AD$1004,$BG11))</f>
        <v/>
      </c>
      <c r="J11" s="25">
        <f>IF($BG11="","",INDEX(업무일지!$AE$5:$AE$1004,$BG11))</f>
        <v/>
      </c>
      <c r="K11" s="52">
        <f>IF($BG11="","",INDEX(업무일지!$AG$5:$AG$1004,$BG11))</f>
        <v/>
      </c>
      <c r="L11" s="47">
        <f>IF($BG11="","",INDEX(업무일지!$AH$5:$AH$1004,$BG11))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IF($BG12="","",INDEX(업무일지!$AF$5:$AF$1004,$BG12))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IF($BG12="","",INDEX(업무일지!$AA$5:$AA$1004,$BG12))</f>
        <v/>
      </c>
      <c r="H12" s="47">
        <f>IF($BG12="","",INDEX(업무일지!$AC$5:$AC$1004,$BG12))</f>
        <v/>
      </c>
      <c r="I12" s="24">
        <f>IF($BG12="","",INDEX(업무일지!$AD$5:$AD$1004,$BG12))</f>
        <v/>
      </c>
      <c r="J12" s="25">
        <f>IF($BG12="","",INDEX(업무일지!$AE$5:$AE$1004,$BG12))</f>
        <v/>
      </c>
      <c r="K12" s="52">
        <f>IF($BG12="","",INDEX(업무일지!$AG$5:$AG$1004,$BG12))</f>
        <v/>
      </c>
      <c r="L12" s="47">
        <f>IF($BG12="","",INDEX(업무일지!$AH$5:$AH$1004,$BG12))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IF($BG13="","",INDEX(업무일지!$AF$5:$AF$1004,$BG13))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IF($BG13="","",INDEX(업무일지!$AA$5:$AA$1004,$BG13))</f>
        <v/>
      </c>
      <c r="H13" s="47">
        <f>IF($BG13="","",INDEX(업무일지!$AC$5:$AC$1004,$BG13))</f>
        <v/>
      </c>
      <c r="I13" s="24">
        <f>IF($BG13="","",INDEX(업무일지!$AD$5:$AD$1004,$BG13))</f>
        <v/>
      </c>
      <c r="J13" s="25">
        <f>IF($BG13="","",INDEX(업무일지!$AE$5:$AE$1004,$BG13))</f>
        <v/>
      </c>
      <c r="K13" s="52">
        <f>IF($BG13="","",INDEX(업무일지!$AG$5:$AG$1004,$BG13))</f>
        <v/>
      </c>
      <c r="L13" s="47">
        <f>IF($BG13="","",INDEX(업무일지!$AH$5:$AH$1004,$BG13))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IF($BG14="","",INDEX(업무일지!$AF$5:$AF$1004,$BG14))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IF($BG14="","",INDEX(업무일지!$AA$5:$AA$1004,$BG14))</f>
        <v/>
      </c>
      <c r="H14" s="47">
        <f>IF($BG14="","",INDEX(업무일지!$AC$5:$AC$1004,$BG14))</f>
        <v/>
      </c>
      <c r="I14" s="24">
        <f>IF($BG14="","",INDEX(업무일지!$AD$5:$AD$1004,$BG14))</f>
        <v/>
      </c>
      <c r="J14" s="25">
        <f>IF($BG14="","",INDEX(업무일지!$AE$5:$AE$1004,$BG14))</f>
        <v/>
      </c>
      <c r="K14" s="52">
        <f>IF($BG14="","",INDEX(업무일지!$AG$5:$AG$1004,$BG14))</f>
        <v/>
      </c>
      <c r="L14" s="47">
        <f>IF($BG14="","",INDEX(업무일지!$AH$5:$AH$1004,$BG14))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IF($BG15="","",INDEX(업무일지!$AF$5:$AF$1004,$BG15))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IF($BG15="","",INDEX(업무일지!$AA$5:$AA$1004,$BG15))</f>
        <v/>
      </c>
      <c r="H15" s="47">
        <f>IF($BG15="","",INDEX(업무일지!$AC$5:$AC$1004,$BG15))</f>
        <v/>
      </c>
      <c r="I15" s="24">
        <f>IF($BG15="","",INDEX(업무일지!$AD$5:$AD$1004,$BG15))</f>
        <v/>
      </c>
      <c r="J15" s="25">
        <f>IF($BG15="","",INDEX(업무일지!$AE$5:$AE$1004,$BG15))</f>
        <v/>
      </c>
      <c r="K15" s="52">
        <f>IF($BG15="","",INDEX(업무일지!$AG$5:$AG$1004,$BG15))</f>
        <v/>
      </c>
      <c r="L15" s="47">
        <f>IF($BG15="","",INDEX(업무일지!$AH$5:$AH$1004,$BG15))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IF($BG16="","",INDEX(업무일지!$AF$5:$AF$1004,$BG16))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IF($BG16="","",INDEX(업무일지!$AA$5:$AA$1004,$BG16))</f>
        <v/>
      </c>
      <c r="H16" s="47">
        <f>IF($BG16="","",INDEX(업무일지!$AC$5:$AC$1004,$BG16))</f>
        <v/>
      </c>
      <c r="I16" s="24">
        <f>IF($BG16="","",INDEX(업무일지!$AD$5:$AD$1004,$BG16))</f>
        <v/>
      </c>
      <c r="J16" s="25">
        <f>IF($BG16="","",INDEX(업무일지!$AE$5:$AE$1004,$BG16))</f>
        <v/>
      </c>
      <c r="K16" s="52">
        <f>IF($BG16="","",INDEX(업무일지!$AG$5:$AG$1004,$BG16))</f>
        <v/>
      </c>
      <c r="L16" s="47">
        <f>IF($BG16="","",INDEX(업무일지!$AH$5:$AH$1004,$BG16))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IF($BG17="","",INDEX(업무일지!$AF$5:$AF$1004,$BG17))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IF($BG17="","",INDEX(업무일지!$AA$5:$AA$1004,$BG17))</f>
        <v/>
      </c>
      <c r="H17" s="47">
        <f>IF($BG17="","",INDEX(업무일지!$AC$5:$AC$1004,$BG17))</f>
        <v/>
      </c>
      <c r="I17" s="24">
        <f>IF($BG17="","",INDEX(업무일지!$AD$5:$AD$1004,$BG17))</f>
        <v/>
      </c>
      <c r="J17" s="25">
        <f>IF($BG17="","",INDEX(업무일지!$AE$5:$AE$1004,$BG17))</f>
        <v/>
      </c>
      <c r="K17" s="52">
        <f>IF($BG17="","",INDEX(업무일지!$AG$5:$AG$1004,$BG17))</f>
        <v/>
      </c>
      <c r="L17" s="47">
        <f>IF($BG17="","",INDEX(업무일지!$AH$5:$AH$1004,$BG17))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IF($BG18="","",INDEX(업무일지!$AF$5:$AF$1004,$BG18))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IF($BG18="","",INDEX(업무일지!$AA$5:$AA$1004,$BG18))</f>
        <v/>
      </c>
      <c r="H18" s="47">
        <f>IF($BG18="","",INDEX(업무일지!$AC$5:$AC$1004,$BG18))</f>
        <v/>
      </c>
      <c r="I18" s="24">
        <f>IF($BG18="","",INDEX(업무일지!$AD$5:$AD$1004,$BG18))</f>
        <v/>
      </c>
      <c r="J18" s="25">
        <f>IF($BG18="","",INDEX(업무일지!$AE$5:$AE$1004,$BG18))</f>
        <v/>
      </c>
      <c r="K18" s="52">
        <f>IF($BG18="","",INDEX(업무일지!$AG$5:$AG$1004,$BG18))</f>
        <v/>
      </c>
      <c r="L18" s="47">
        <f>IF($BG18="","",INDEX(업무일지!$AH$5:$AH$1004,$BG18))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IF($BG19="","",INDEX(업무일지!$AF$5:$AF$1004,$BG19))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IF($BG19="","",INDEX(업무일지!$AA$5:$AA$1004,$BG19))</f>
        <v/>
      </c>
      <c r="H19" s="47">
        <f>IF($BG19="","",INDEX(업무일지!$AC$5:$AC$1004,$BG19))</f>
        <v/>
      </c>
      <c r="I19" s="24">
        <f>IF($BG19="","",INDEX(업무일지!$AD$5:$AD$1004,$BG19))</f>
        <v/>
      </c>
      <c r="J19" s="25">
        <f>IF($BG19="","",INDEX(업무일지!$AE$5:$AE$1004,$BG19))</f>
        <v/>
      </c>
      <c r="K19" s="52">
        <f>IF($BG19="","",INDEX(업무일지!$AG$5:$AG$1004,$BG19))</f>
        <v/>
      </c>
      <c r="L19" s="47">
        <f>IF($BG19="","",INDEX(업무일지!$AH$5:$AH$1004,$BG19))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IF($BG20="","",INDEX(업무일지!$AF$5:$AF$1004,$BG20))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IF($BG20="","",INDEX(업무일지!$AA$5:$AA$1004,$BG20))</f>
        <v/>
      </c>
      <c r="H20" s="47">
        <f>IF($BG20="","",INDEX(업무일지!$AC$5:$AC$1004,$BG20))</f>
        <v/>
      </c>
      <c r="I20" s="24">
        <f>IF($BG20="","",INDEX(업무일지!$AD$5:$AD$1004,$BG20))</f>
        <v/>
      </c>
      <c r="J20" s="25">
        <f>IF($BG20="","",INDEX(업무일지!$AE$5:$AE$1004,$BG20))</f>
        <v/>
      </c>
      <c r="K20" s="52">
        <f>IF($BG20="","",INDEX(업무일지!$AG$5:$AG$1004,$BG20))</f>
        <v/>
      </c>
      <c r="L20" s="47">
        <f>IF($BG20="","",INDEX(업무일지!$AH$5:$AH$1004,$BG20))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IF($BG21="","",INDEX(업무일지!$AF$5:$AF$1004,$BG21))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IF($BG21="","",INDEX(업무일지!$AA$5:$AA$1004,$BG21))</f>
        <v/>
      </c>
      <c r="H21" s="47">
        <f>IF($BG21="","",INDEX(업무일지!$AC$5:$AC$1004,$BG21))</f>
        <v/>
      </c>
      <c r="I21" s="24">
        <f>IF($BG21="","",INDEX(업무일지!$AD$5:$AD$1004,$BG21))</f>
        <v/>
      </c>
      <c r="J21" s="25">
        <f>IF($BG21="","",INDEX(업무일지!$AE$5:$AE$1004,$BG21))</f>
        <v/>
      </c>
      <c r="K21" s="52">
        <f>IF($BG21="","",INDEX(업무일지!$AG$5:$AG$1004,$BG21))</f>
        <v/>
      </c>
      <c r="L21" s="47">
        <f>IF($BG21="","",INDEX(업무일지!$AH$5:$AH$1004,$BG21))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IF($BG22="","",INDEX(업무일지!$AF$5:$AF$1004,$BG22))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IF($BG22="","",INDEX(업무일지!$AA$5:$AA$1004,$BG22))</f>
        <v/>
      </c>
      <c r="H22" s="47">
        <f>IF($BG22="","",INDEX(업무일지!$AC$5:$AC$1004,$BG22))</f>
        <v/>
      </c>
      <c r="I22" s="24">
        <f>IF($BG22="","",INDEX(업무일지!$AD$5:$AD$1004,$BG22))</f>
        <v/>
      </c>
      <c r="J22" s="25">
        <f>IF($BG22="","",INDEX(업무일지!$AE$5:$AE$1004,$BG22))</f>
        <v/>
      </c>
      <c r="K22" s="52">
        <f>IF($BG22="","",INDEX(업무일지!$AG$5:$AG$1004,$BG22))</f>
        <v/>
      </c>
      <c r="L22" s="47">
        <f>IF($BG22="","",INDEX(업무일지!$AH$5:$AH$1004,$BG22))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IF($BG23="","",INDEX(업무일지!$AF$5:$AF$1004,$BG23))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IF($BG23="","",INDEX(업무일지!$AA$5:$AA$1004,$BG23))</f>
        <v/>
      </c>
      <c r="H23" s="47">
        <f>IF($BG23="","",INDEX(업무일지!$AC$5:$AC$1004,$BG23))</f>
        <v/>
      </c>
      <c r="I23" s="24">
        <f>IF($BG23="","",INDEX(업무일지!$AD$5:$AD$1004,$BG23))</f>
        <v/>
      </c>
      <c r="J23" s="25">
        <f>IF($BG23="","",INDEX(업무일지!$AE$5:$AE$1004,$BG23))</f>
        <v/>
      </c>
      <c r="K23" s="52">
        <f>IF($BG23="","",INDEX(업무일지!$AG$5:$AG$1004,$BG23))</f>
        <v/>
      </c>
      <c r="L23" s="47">
        <f>IF($BG23="","",INDEX(업무일지!$AH$5:$AH$1004,$BG23))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IF($BG24="","",INDEX(업무일지!$AF$5:$AF$1004,$BG24))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IF($BG24="","",INDEX(업무일지!$AA$5:$AA$1004,$BG24))</f>
        <v/>
      </c>
      <c r="H24" s="47">
        <f>IF($BG24="","",INDEX(업무일지!$AC$5:$AC$1004,$BG24))</f>
        <v/>
      </c>
      <c r="I24" s="24">
        <f>IF($BG24="","",INDEX(업무일지!$AD$5:$AD$1004,$BG24))</f>
        <v/>
      </c>
      <c r="J24" s="25">
        <f>IF($BG24="","",INDEX(업무일지!$AE$5:$AE$1004,$BG24))</f>
        <v/>
      </c>
      <c r="K24" s="52">
        <f>IF($BG24="","",INDEX(업무일지!$AG$5:$AG$1004,$BG24))</f>
        <v/>
      </c>
      <c r="L24" s="47">
        <f>IF($BG24="","",INDEX(업무일지!$AH$5:$AH$1004,$BG24))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IF($BG25="","",INDEX(업무일지!$AF$5:$AF$1004,$BG25))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IF($BG25="","",INDEX(업무일지!$AA$5:$AA$1004,$BG25))</f>
        <v/>
      </c>
      <c r="H25" s="47">
        <f>IF($BG25="","",INDEX(업무일지!$AC$5:$AC$1004,$BG25))</f>
        <v/>
      </c>
      <c r="I25" s="24">
        <f>IF($BG25="","",INDEX(업무일지!$AD$5:$AD$1004,$BG25))</f>
        <v/>
      </c>
      <c r="J25" s="25">
        <f>IF($BG25="","",INDEX(업무일지!$AE$5:$AE$1004,$BG25))</f>
        <v/>
      </c>
      <c r="K25" s="52">
        <f>IF($BG25="","",INDEX(업무일지!$AG$5:$AG$1004,$BG25))</f>
        <v/>
      </c>
      <c r="L25" s="47">
        <f>IF($BG25="","",INDEX(업무일지!$AH$5:$AH$1004,$BG25))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IF($BG26="","",INDEX(업무일지!$AF$5:$AF$1004,$BG26))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IF($BG26="","",INDEX(업무일지!$AA$5:$AA$1004,$BG26))</f>
        <v/>
      </c>
      <c r="H26" s="47">
        <f>IF($BG26="","",INDEX(업무일지!$AC$5:$AC$1004,$BG26))</f>
        <v/>
      </c>
      <c r="I26" s="24">
        <f>IF($BG26="","",INDEX(업무일지!$AD$5:$AD$1004,$BG26))</f>
        <v/>
      </c>
      <c r="J26" s="25">
        <f>IF($BG26="","",INDEX(업무일지!$AE$5:$AE$1004,$BG26))</f>
        <v/>
      </c>
      <c r="K26" s="52">
        <f>IF($BG26="","",INDEX(업무일지!$AG$5:$AG$1004,$BG26))</f>
        <v/>
      </c>
      <c r="L26" s="47">
        <f>IF($BG26="","",INDEX(업무일지!$AH$5:$AH$1004,$BG26))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IF($BG27="","",INDEX(업무일지!$AF$5:$AF$1004,$BG27))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IF($BG27="","",INDEX(업무일지!$AA$5:$AA$1004,$BG27))</f>
        <v/>
      </c>
      <c r="H27" s="47">
        <f>IF($BG27="","",INDEX(업무일지!$AC$5:$AC$1004,$BG27))</f>
        <v/>
      </c>
      <c r="I27" s="24">
        <f>IF($BG27="","",INDEX(업무일지!$AD$5:$AD$1004,$BG27))</f>
        <v/>
      </c>
      <c r="J27" s="25">
        <f>IF($BG27="","",INDEX(업무일지!$AE$5:$AE$1004,$BG27))</f>
        <v/>
      </c>
      <c r="K27" s="52">
        <f>IF($BG27="","",INDEX(업무일지!$AG$5:$AG$1004,$BG27))</f>
        <v/>
      </c>
      <c r="L27" s="47">
        <f>IF($BG27="","",INDEX(업무일지!$AH$5:$AH$1004,$BG27))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IF($BG28="","",INDEX(업무일지!$AF$5:$AF$1004,$BG28))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IF($BG28="","",INDEX(업무일지!$AA$5:$AA$1004,$BG28))</f>
        <v/>
      </c>
      <c r="H28" s="47">
        <f>IF($BG28="","",INDEX(업무일지!$AC$5:$AC$1004,$BG28))</f>
        <v/>
      </c>
      <c r="I28" s="24">
        <f>IF($BG28="","",INDEX(업무일지!$AD$5:$AD$1004,$BG28))</f>
        <v/>
      </c>
      <c r="J28" s="25">
        <f>IF($BG28="","",INDEX(업무일지!$AE$5:$AE$1004,$BG28))</f>
        <v/>
      </c>
      <c r="K28" s="52">
        <f>IF($BG28="","",INDEX(업무일지!$AG$5:$AG$1004,$BG28))</f>
        <v/>
      </c>
      <c r="L28" s="47">
        <f>IF($BG28="","",INDEX(업무일지!$AH$5:$AH$1004,$BG28))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IF($BG29="","",INDEX(업무일지!$AF$5:$AF$1004,$BG29))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IF($BG29="","",INDEX(업무일지!$AA$5:$AA$1004,$BG29))</f>
        <v/>
      </c>
      <c r="H29" s="47">
        <f>IF($BG29="","",INDEX(업무일지!$AC$5:$AC$1004,$BG29))</f>
        <v/>
      </c>
      <c r="I29" s="24">
        <f>IF($BG29="","",INDEX(업무일지!$AD$5:$AD$1004,$BG29))</f>
        <v/>
      </c>
      <c r="J29" s="25">
        <f>IF($BG29="","",INDEX(업무일지!$AE$5:$AE$1004,$BG29))</f>
        <v/>
      </c>
      <c r="K29" s="52">
        <f>IF($BG29="","",INDEX(업무일지!$AG$5:$AG$1004,$BG29))</f>
        <v/>
      </c>
      <c r="L29" s="47">
        <f>IF($BG29="","",INDEX(업무일지!$AH$5:$AH$1004,$BG29))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IF($BG30="","",INDEX(업무일지!$AF$5:$AF$1004,$BG30))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IF($BG30="","",INDEX(업무일지!$AA$5:$AA$1004,$BG30))</f>
        <v/>
      </c>
      <c r="H30" s="47">
        <f>IF($BG30="","",INDEX(업무일지!$AC$5:$AC$1004,$BG30))</f>
        <v/>
      </c>
      <c r="I30" s="24">
        <f>IF($BG30="","",INDEX(업무일지!$AD$5:$AD$1004,$BG30))</f>
        <v/>
      </c>
      <c r="J30" s="25">
        <f>IF($BG30="","",INDEX(업무일지!$AE$5:$AE$1004,$BG30))</f>
        <v/>
      </c>
      <c r="K30" s="52">
        <f>IF($BG30="","",INDEX(업무일지!$AG$5:$AG$1004,$BG30))</f>
        <v/>
      </c>
      <c r="L30" s="47">
        <f>IF($BG30="","",INDEX(업무일지!$AH$5:$AH$1004,$BG30))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IF($BG31="","",INDEX(업무일지!$AF$5:$AF$1004,$BG31))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IF($BG31="","",INDEX(업무일지!$AA$5:$AA$1004,$BG31))</f>
        <v/>
      </c>
      <c r="H31" s="47">
        <f>IF($BG31="","",INDEX(업무일지!$AC$5:$AC$1004,$BG31))</f>
        <v/>
      </c>
      <c r="I31" s="24">
        <f>IF($BG31="","",INDEX(업무일지!$AD$5:$AD$1004,$BG31))</f>
        <v/>
      </c>
      <c r="J31" s="25">
        <f>IF($BG31="","",INDEX(업무일지!$AE$5:$AE$1004,$BG31))</f>
        <v/>
      </c>
      <c r="K31" s="52">
        <f>IF($BG31="","",INDEX(업무일지!$AG$5:$AG$1004,$BG31))</f>
        <v/>
      </c>
      <c r="L31" s="47">
        <f>IF($BG31="","",INDEX(업무일지!$AH$5:$AH$1004,$BG31))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IF($BG32="","",INDEX(업무일지!$AF$5:$AF$1004,$BG32))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IF($BG32="","",INDEX(업무일지!$AA$5:$AA$1004,$BG32))</f>
        <v/>
      </c>
      <c r="H32" s="47">
        <f>IF($BG32="","",INDEX(업무일지!$AC$5:$AC$1004,$BG32))</f>
        <v/>
      </c>
      <c r="I32" s="24">
        <f>IF($BG32="","",INDEX(업무일지!$AD$5:$AD$1004,$BG32))</f>
        <v/>
      </c>
      <c r="J32" s="25">
        <f>IF($BG32="","",INDEX(업무일지!$AE$5:$AE$1004,$BG32))</f>
        <v/>
      </c>
      <c r="K32" s="52">
        <f>IF($BG32="","",INDEX(업무일지!$AG$5:$AG$1004,$BG32))</f>
        <v/>
      </c>
      <c r="L32" s="47">
        <f>IF($BG32="","",INDEX(업무일지!$AH$5:$AH$1004,$BG32))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IF($BG33="","",INDEX(업무일지!$AF$5:$AF$1004,$BG33))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IF($BG33="","",INDEX(업무일지!$AA$5:$AA$1004,$BG33))</f>
        <v/>
      </c>
      <c r="H33" s="47">
        <f>IF($BG33="","",INDEX(업무일지!$AC$5:$AC$1004,$BG33))</f>
        <v/>
      </c>
      <c r="I33" s="24">
        <f>IF($BG33="","",INDEX(업무일지!$AD$5:$AD$1004,$BG33))</f>
        <v/>
      </c>
      <c r="J33" s="25">
        <f>IF($BG33="","",INDEX(업무일지!$AE$5:$AE$1004,$BG33))</f>
        <v/>
      </c>
      <c r="K33" s="52">
        <f>IF($BG33="","",INDEX(업무일지!$AG$5:$AG$1004,$BG33))</f>
        <v/>
      </c>
      <c r="L33" s="47">
        <f>IF($BG33="","",INDEX(업무일지!$AH$5:$AH$1004,$BG33))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IF($BG34="","",INDEX(업무일지!$AF$5:$AF$1004,$BG34))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IF($BG34="","",INDEX(업무일지!$AA$5:$AA$1004,$BG34))</f>
        <v/>
      </c>
      <c r="H34" s="47">
        <f>IF($BG34="","",INDEX(업무일지!$AC$5:$AC$1004,$BG34))</f>
        <v/>
      </c>
      <c r="I34" s="24">
        <f>IF($BG34="","",INDEX(업무일지!$AD$5:$AD$1004,$BG34))</f>
        <v/>
      </c>
      <c r="J34" s="25">
        <f>IF($BG34="","",INDEX(업무일지!$AE$5:$AE$1004,$BG34))</f>
        <v/>
      </c>
      <c r="K34" s="52">
        <f>IF($BG34="","",INDEX(업무일지!$AG$5:$AG$1004,$BG34))</f>
        <v/>
      </c>
      <c r="L34" s="47">
        <f>IF($BG34="","",INDEX(업무일지!$AH$5:$AH$1004,$BG34))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IF($BG35="","",INDEX(업무일지!$AF$5:$AF$1004,$BG35))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IF($BG35="","",INDEX(업무일지!$AA$5:$AA$1004,$BG35))</f>
        <v/>
      </c>
      <c r="H35" s="47">
        <f>IF($BG35="","",INDEX(업무일지!$AC$5:$AC$1004,$BG35))</f>
        <v/>
      </c>
      <c r="I35" s="24">
        <f>IF($BG35="","",INDEX(업무일지!$AD$5:$AD$1004,$BG35))</f>
        <v/>
      </c>
      <c r="J35" s="25">
        <f>IF($BG35="","",INDEX(업무일지!$AE$5:$AE$1004,$BG35))</f>
        <v/>
      </c>
      <c r="K35" s="52">
        <f>IF($BG35="","",INDEX(업무일지!$AG$5:$AG$1004,$BG35))</f>
        <v/>
      </c>
      <c r="L35" s="47">
        <f>IF($BG35="","",INDEX(업무일지!$AH$5:$AH$1004,$BG35))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IF($BG36="","",INDEX(업무일지!$AF$5:$AF$1004,$BG36))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IF($BG36="","",INDEX(업무일지!$AA$5:$AA$1004,$BG36))</f>
        <v/>
      </c>
      <c r="H36" s="47">
        <f>IF($BG36="","",INDEX(업무일지!$AC$5:$AC$1004,$BG36))</f>
        <v/>
      </c>
      <c r="I36" s="24">
        <f>IF($BG36="","",INDEX(업무일지!$AD$5:$AD$1004,$BG36))</f>
        <v/>
      </c>
      <c r="J36" s="25">
        <f>IF($BG36="","",INDEX(업무일지!$AE$5:$AE$1004,$BG36))</f>
        <v/>
      </c>
      <c r="K36" s="52">
        <f>IF($BG36="","",INDEX(업무일지!$AG$5:$AG$1004,$BG36))</f>
        <v/>
      </c>
      <c r="L36" s="47">
        <f>IF($BG36="","",INDEX(업무일지!$AH$5:$AH$1004,$BG36))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IF($BG37="","",INDEX(업무일지!$AF$5:$AF$1004,$BG37))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IF($BG37="","",INDEX(업무일지!$AA$5:$AA$1004,$BG37))</f>
        <v/>
      </c>
      <c r="H37" s="47">
        <f>IF($BG37="","",INDEX(업무일지!$AC$5:$AC$1004,$BG37))</f>
        <v/>
      </c>
      <c r="I37" s="24">
        <f>IF($BG37="","",INDEX(업무일지!$AD$5:$AD$1004,$BG37))</f>
        <v/>
      </c>
      <c r="J37" s="25">
        <f>IF($BG37="","",INDEX(업무일지!$AE$5:$AE$1004,$BG37))</f>
        <v/>
      </c>
      <c r="K37" s="52">
        <f>IF($BG37="","",INDEX(업무일지!$AG$5:$AG$1004,$BG37))</f>
        <v/>
      </c>
      <c r="L37" s="47">
        <f>IF($BG37="","",INDEX(업무일지!$AH$5:$AH$1004,$BG37))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IF($BG38="","",INDEX(업무일지!$AF$5:$AF$1004,$BG38))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IF($BG38="","",INDEX(업무일지!$AA$5:$AA$1004,$BG38))</f>
        <v/>
      </c>
      <c r="H38" s="47">
        <f>IF($BG38="","",INDEX(업무일지!$AC$5:$AC$1004,$BG38))</f>
        <v/>
      </c>
      <c r="I38" s="24">
        <f>IF($BG38="","",INDEX(업무일지!$AD$5:$AD$1004,$BG38))</f>
        <v/>
      </c>
      <c r="J38" s="25">
        <f>IF($BG38="","",INDEX(업무일지!$AE$5:$AE$1004,$BG38))</f>
        <v/>
      </c>
      <c r="K38" s="52">
        <f>IF($BG38="","",INDEX(업무일지!$AG$5:$AG$1004,$BG38))</f>
        <v/>
      </c>
      <c r="L38" s="47">
        <f>IF($BG38="","",INDEX(업무일지!$AH$5:$AH$1004,$BG38))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IF($BG39="","",INDEX(업무일지!$AF$5:$AF$1004,$BG39))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IF($BG39="","",INDEX(업무일지!$AA$5:$AA$1004,$BG39))</f>
        <v/>
      </c>
      <c r="H39" s="47">
        <f>IF($BG39="","",INDEX(업무일지!$AC$5:$AC$1004,$BG39))</f>
        <v/>
      </c>
      <c r="I39" s="24">
        <f>IF($BG39="","",INDEX(업무일지!$AD$5:$AD$1004,$BG39))</f>
        <v/>
      </c>
      <c r="J39" s="25">
        <f>IF($BG39="","",INDEX(업무일지!$AE$5:$AE$1004,$BG39))</f>
        <v/>
      </c>
      <c r="K39" s="52">
        <f>IF($BG39="","",INDEX(업무일지!$AG$5:$AG$1004,$BG39))</f>
        <v/>
      </c>
      <c r="L39" s="47">
        <f>IF($BG39="","",INDEX(업무일지!$AH$5:$AH$1004,$BG39))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IF($BG40="","",INDEX(업무일지!$AF$5:$AF$1004,$BG40))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IF($BG40="","",INDEX(업무일지!$AA$5:$AA$1004,$BG40))</f>
        <v/>
      </c>
      <c r="H40" s="47">
        <f>IF($BG40="","",INDEX(업무일지!$AC$5:$AC$1004,$BG40))</f>
        <v/>
      </c>
      <c r="I40" s="24">
        <f>IF($BG40="","",INDEX(업무일지!$AD$5:$AD$1004,$BG40))</f>
        <v/>
      </c>
      <c r="J40" s="25">
        <f>IF($BG40="","",INDEX(업무일지!$AE$5:$AE$1004,$BG40))</f>
        <v/>
      </c>
      <c r="K40" s="52">
        <f>IF($BG40="","",INDEX(업무일지!$AG$5:$AG$1004,$BG40))</f>
        <v/>
      </c>
      <c r="L40" s="47">
        <f>IF($BG40="","",INDEX(업무일지!$AH$5:$AH$1004,$BG40))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IF($BG41="","",INDEX(업무일지!$AF$5:$AF$1004,$BG41))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IF($BG41="","",INDEX(업무일지!$AA$5:$AA$1004,$BG41))</f>
        <v/>
      </c>
      <c r="H41" s="47">
        <f>IF($BG41="","",INDEX(업무일지!$AC$5:$AC$1004,$BG41))</f>
        <v/>
      </c>
      <c r="I41" s="24">
        <f>IF($BG41="","",INDEX(업무일지!$AD$5:$AD$1004,$BG41))</f>
        <v/>
      </c>
      <c r="J41" s="25">
        <f>IF($BG41="","",INDEX(업무일지!$AE$5:$AE$1004,$BG41))</f>
        <v/>
      </c>
      <c r="K41" s="52">
        <f>IF($BG41="","",INDEX(업무일지!$AG$5:$AG$1004,$BG41))</f>
        <v/>
      </c>
      <c r="L41" s="47">
        <f>IF($BG41="","",INDEX(업무일지!$AH$5:$AH$1004,$BG41))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IF($BG42="","",INDEX(업무일지!$AF$5:$AF$1004,$BG42))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IF($BG42="","",INDEX(업무일지!$AA$5:$AA$1004,$BG42))</f>
        <v/>
      </c>
      <c r="H42" s="47">
        <f>IF($BG42="","",INDEX(업무일지!$AC$5:$AC$1004,$BG42))</f>
        <v/>
      </c>
      <c r="I42" s="24">
        <f>IF($BG42="","",INDEX(업무일지!$AD$5:$AD$1004,$BG42))</f>
        <v/>
      </c>
      <c r="J42" s="25">
        <f>IF($BG42="","",INDEX(업무일지!$AE$5:$AE$1004,$BG42))</f>
        <v/>
      </c>
      <c r="K42" s="52">
        <f>IF($BG42="","",INDEX(업무일지!$AG$5:$AG$1004,$BG42))</f>
        <v/>
      </c>
      <c r="L42" s="47">
        <f>IF($BG42="","",INDEX(업무일지!$AH$5:$AH$1004,$BG42))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IF($BG43="","",INDEX(업무일지!$AF$5:$AF$1004,$BG43))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IF($BG43="","",INDEX(업무일지!$AA$5:$AA$1004,$BG43))</f>
        <v/>
      </c>
      <c r="H43" s="47">
        <f>IF($BG43="","",INDEX(업무일지!$AC$5:$AC$1004,$BG43))</f>
        <v/>
      </c>
      <c r="I43" s="24">
        <f>IF($BG43="","",INDEX(업무일지!$AD$5:$AD$1004,$BG43))</f>
        <v/>
      </c>
      <c r="J43" s="25">
        <f>IF($BG43="","",INDEX(업무일지!$AE$5:$AE$1004,$BG43))</f>
        <v/>
      </c>
      <c r="K43" s="52">
        <f>IF($BG43="","",INDEX(업무일지!$AG$5:$AG$1004,$BG43))</f>
        <v/>
      </c>
      <c r="L43" s="47">
        <f>IF($BG43="","",INDEX(업무일지!$AH$5:$AH$1004,$BG43))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IF($BG44="","",INDEX(업무일지!$AF$5:$AF$1004,$BG44))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IF($BG44="","",INDEX(업무일지!$AA$5:$AA$1004,$BG44))</f>
        <v/>
      </c>
      <c r="H44" s="47">
        <f>IF($BG44="","",INDEX(업무일지!$AC$5:$AC$1004,$BG44))</f>
        <v/>
      </c>
      <c r="I44" s="24">
        <f>IF($BG44="","",INDEX(업무일지!$AD$5:$AD$1004,$BG44))</f>
        <v/>
      </c>
      <c r="J44" s="25">
        <f>IF($BG44="","",INDEX(업무일지!$AE$5:$AE$1004,$BG44))</f>
        <v/>
      </c>
      <c r="K44" s="52">
        <f>IF($BG44="","",INDEX(업무일지!$AG$5:$AG$1004,$BG44))</f>
        <v/>
      </c>
      <c r="L44" s="47">
        <f>IF($BG44="","",INDEX(업무일지!$AH$5:$AH$1004,$BG44))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IF($BG45="","",INDEX(업무일지!$AF$5:$AF$1004,$BG45))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IF($BG45="","",INDEX(업무일지!$AA$5:$AA$1004,$BG45))</f>
        <v/>
      </c>
      <c r="H45" s="47">
        <f>IF($BG45="","",INDEX(업무일지!$AC$5:$AC$1004,$BG45))</f>
        <v/>
      </c>
      <c r="I45" s="24">
        <f>IF($BG45="","",INDEX(업무일지!$AD$5:$AD$1004,$BG45))</f>
        <v/>
      </c>
      <c r="J45" s="25">
        <f>IF($BG45="","",INDEX(업무일지!$AE$5:$AE$1004,$BG45))</f>
        <v/>
      </c>
      <c r="K45" s="52">
        <f>IF($BG45="","",INDEX(업무일지!$AG$5:$AG$1004,$BG45))</f>
        <v/>
      </c>
      <c r="L45" s="47">
        <f>IF($BG45="","",INDEX(업무일지!$AH$5:$AH$1004,$BG45))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IF($BG46="","",INDEX(업무일지!$AF$5:$AF$1004,$BG46))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IF($BG46="","",INDEX(업무일지!$AA$5:$AA$1004,$BG46))</f>
        <v/>
      </c>
      <c r="H46" s="47">
        <f>IF($BG46="","",INDEX(업무일지!$AC$5:$AC$1004,$BG46))</f>
        <v/>
      </c>
      <c r="I46" s="24">
        <f>IF($BG46="","",INDEX(업무일지!$AD$5:$AD$1004,$BG46))</f>
        <v/>
      </c>
      <c r="J46" s="25">
        <f>IF($BG46="","",INDEX(업무일지!$AE$5:$AE$1004,$BG46))</f>
        <v/>
      </c>
      <c r="K46" s="52">
        <f>IF($BG46="","",INDEX(업무일지!$AG$5:$AG$1004,$BG46))</f>
        <v/>
      </c>
      <c r="L46" s="47">
        <f>IF($BG46="","",INDEX(업무일지!$AH$5:$AH$1004,$BG46))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IF($BG47="","",INDEX(업무일지!$AF$5:$AF$1004,$BG47))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IF($BG47="","",INDEX(업무일지!$AA$5:$AA$1004,$BG47))</f>
        <v/>
      </c>
      <c r="H47" s="47">
        <f>IF($BG47="","",INDEX(업무일지!$AC$5:$AC$1004,$BG47))</f>
        <v/>
      </c>
      <c r="I47" s="24">
        <f>IF($BG47="","",INDEX(업무일지!$AD$5:$AD$1004,$BG47))</f>
        <v/>
      </c>
      <c r="J47" s="25">
        <f>IF($BG47="","",INDEX(업무일지!$AE$5:$AE$1004,$BG47))</f>
        <v/>
      </c>
      <c r="K47" s="52">
        <f>IF($BG47="","",INDEX(업무일지!$AG$5:$AG$1004,$BG47))</f>
        <v/>
      </c>
      <c r="L47" s="47">
        <f>IF($BG47="","",INDEX(업무일지!$AH$5:$AH$1004,$BG47))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IF($BG48="","",INDEX(업무일지!$AF$5:$AF$1004,$BG48))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IF($BG48="","",INDEX(업무일지!$AA$5:$AA$1004,$BG48))</f>
        <v/>
      </c>
      <c r="H48" s="47">
        <f>IF($BG48="","",INDEX(업무일지!$AC$5:$AC$1004,$BG48))</f>
        <v/>
      </c>
      <c r="I48" s="24">
        <f>IF($BG48="","",INDEX(업무일지!$AD$5:$AD$1004,$BG48))</f>
        <v/>
      </c>
      <c r="J48" s="25">
        <f>IF($BG48="","",INDEX(업무일지!$AE$5:$AE$1004,$BG48))</f>
        <v/>
      </c>
      <c r="K48" s="52">
        <f>IF($BG48="","",INDEX(업무일지!$AG$5:$AG$1004,$BG48))</f>
        <v/>
      </c>
      <c r="L48" s="47">
        <f>IF($BG48="","",INDEX(업무일지!$AH$5:$AH$1004,$BG48))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IF($BG49="","",INDEX(업무일지!$AF$5:$AF$1004,$BG49))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IF($BG49="","",INDEX(업무일지!$AA$5:$AA$1004,$BG49))</f>
        <v/>
      </c>
      <c r="H49" s="47">
        <f>IF($BG49="","",INDEX(업무일지!$AC$5:$AC$1004,$BG49))</f>
        <v/>
      </c>
      <c r="I49" s="24">
        <f>IF($BG49="","",INDEX(업무일지!$AD$5:$AD$1004,$BG49))</f>
        <v/>
      </c>
      <c r="J49" s="25">
        <f>IF($BG49="","",INDEX(업무일지!$AE$5:$AE$1004,$BG49))</f>
        <v/>
      </c>
      <c r="K49" s="52">
        <f>IF($BG49="","",INDEX(업무일지!$AG$5:$AG$1004,$BG49))</f>
        <v/>
      </c>
      <c r="L49" s="47">
        <f>IF($BG49="","",INDEX(업무일지!$AH$5:$AH$1004,$BG49))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IF($BG50="","",INDEX(업무일지!$AF$5:$AF$1004,$BG50))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IF($BG50="","",INDEX(업무일지!$AA$5:$AA$1004,$BG50))</f>
        <v/>
      </c>
      <c r="H50" s="47">
        <f>IF($BG50="","",INDEX(업무일지!$AC$5:$AC$1004,$BG50))</f>
        <v/>
      </c>
      <c r="I50" s="24">
        <f>IF($BG50="","",INDEX(업무일지!$AD$5:$AD$1004,$BG50))</f>
        <v/>
      </c>
      <c r="J50" s="25">
        <f>IF($BG50="","",INDEX(업무일지!$AE$5:$AE$1004,$BG50))</f>
        <v/>
      </c>
      <c r="K50" s="52">
        <f>IF($BG50="","",INDEX(업무일지!$AG$5:$AG$1004,$BG50))</f>
        <v/>
      </c>
      <c r="L50" s="47">
        <f>IF($BG50="","",INDEX(업무일지!$AH$5:$AH$1004,$BG50))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IF($BG51="","",INDEX(업무일지!$AF$5:$AF$1004,$BG51))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IF($BG51="","",INDEX(업무일지!$AA$5:$AA$1004,$BG51))</f>
        <v/>
      </c>
      <c r="H51" s="47">
        <f>IF($BG51="","",INDEX(업무일지!$AC$5:$AC$1004,$BG51))</f>
        <v/>
      </c>
      <c r="I51" s="24">
        <f>IF($BG51="","",INDEX(업무일지!$AD$5:$AD$1004,$BG51))</f>
        <v/>
      </c>
      <c r="J51" s="25">
        <f>IF($BG51="","",INDEX(업무일지!$AE$5:$AE$1004,$BG51))</f>
        <v/>
      </c>
      <c r="K51" s="52">
        <f>IF($BG51="","",INDEX(업무일지!$AG$5:$AG$1004,$BG51))</f>
        <v/>
      </c>
      <c r="L51" s="47">
        <f>IF($BG51="","",INDEX(업무일지!$AH$5:$AH$1004,$BG51))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IF($BG52="","",INDEX(업무일지!$AF$5:$AF$1004,$BG52))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IF($BG52="","",INDEX(업무일지!$AA$5:$AA$1004,$BG52))</f>
        <v/>
      </c>
      <c r="H52" s="47">
        <f>IF($BG52="","",INDEX(업무일지!$AC$5:$AC$1004,$BG52))</f>
        <v/>
      </c>
      <c r="I52" s="24">
        <f>IF($BG52="","",INDEX(업무일지!$AD$5:$AD$1004,$BG52))</f>
        <v/>
      </c>
      <c r="J52" s="25">
        <f>IF($BG52="","",INDEX(업무일지!$AE$5:$AE$1004,$BG52))</f>
        <v/>
      </c>
      <c r="K52" s="52">
        <f>IF($BG52="","",INDEX(업무일지!$AG$5:$AG$1004,$BG52))</f>
        <v/>
      </c>
      <c r="L52" s="47">
        <f>IF($BG52="","",INDEX(업무일지!$AH$5:$AH$1004,$BG52))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IF($BG53="","",INDEX(업무일지!$AF$5:$AF$1004,$BG53))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IF($BG53="","",INDEX(업무일지!$AA$5:$AA$1004,$BG53))</f>
        <v/>
      </c>
      <c r="H53" s="47">
        <f>IF($BG53="","",INDEX(업무일지!$AC$5:$AC$1004,$BG53))</f>
        <v/>
      </c>
      <c r="I53" s="24">
        <f>IF($BG53="","",INDEX(업무일지!$AD$5:$AD$1004,$BG53))</f>
        <v/>
      </c>
      <c r="J53" s="25">
        <f>IF($BG53="","",INDEX(업무일지!$AE$5:$AE$1004,$BG53))</f>
        <v/>
      </c>
      <c r="K53" s="52">
        <f>IF($BG53="","",INDEX(업무일지!$AG$5:$AG$1004,$BG53))</f>
        <v/>
      </c>
      <c r="L53" s="47">
        <f>IF($BG53="","",INDEX(업무일지!$AH$5:$AH$1004,$BG53))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IF($BG54="","",INDEX(업무일지!$AF$5:$AF$1004,$BG54))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IF($BG54="","",INDEX(업무일지!$AA$5:$AA$1004,$BG54))</f>
        <v/>
      </c>
      <c r="H54" s="47">
        <f>IF($BG54="","",INDEX(업무일지!$AC$5:$AC$1004,$BG54))</f>
        <v/>
      </c>
      <c r="I54" s="24">
        <f>IF($BG54="","",INDEX(업무일지!$AD$5:$AD$1004,$BG54))</f>
        <v/>
      </c>
      <c r="J54" s="25">
        <f>IF($BG54="","",INDEX(업무일지!$AE$5:$AE$1004,$BG54))</f>
        <v/>
      </c>
      <c r="K54" s="52">
        <f>IF($BG54="","",INDEX(업무일지!$AG$5:$AG$1004,$BG54))</f>
        <v/>
      </c>
      <c r="L54" s="47">
        <f>IF($BG54="","",INDEX(업무일지!$AH$5:$AH$1004,$BG54))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IF($BG55="","",INDEX(업무일지!$AF$5:$AF$1004,$BG55))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IF($BG55="","",INDEX(업무일지!$AA$5:$AA$1004,$BG55))</f>
        <v/>
      </c>
      <c r="H55" s="47">
        <f>IF($BG55="","",INDEX(업무일지!$AC$5:$AC$1004,$BG55))</f>
        <v/>
      </c>
      <c r="I55" s="24">
        <f>IF($BG55="","",INDEX(업무일지!$AD$5:$AD$1004,$BG55))</f>
        <v/>
      </c>
      <c r="J55" s="25">
        <f>IF($BG55="","",INDEX(업무일지!$AE$5:$AE$1004,$BG55))</f>
        <v/>
      </c>
      <c r="K55" s="52">
        <f>IF($BG55="","",INDEX(업무일지!$AG$5:$AG$1004,$BG55))</f>
        <v/>
      </c>
      <c r="L55" s="47">
        <f>IF($BG55="","",INDEX(업무일지!$AH$5:$AH$1004,$BG55))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IF($BG56="","",INDEX(업무일지!$AF$5:$AF$1004,$BG56))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IF($BG56="","",INDEX(업무일지!$AA$5:$AA$1004,$BG56))</f>
        <v/>
      </c>
      <c r="H56" s="47">
        <f>IF($BG56="","",INDEX(업무일지!$AC$5:$AC$1004,$BG56))</f>
        <v/>
      </c>
      <c r="I56" s="24">
        <f>IF($BG56="","",INDEX(업무일지!$AD$5:$AD$1004,$BG56))</f>
        <v/>
      </c>
      <c r="J56" s="25">
        <f>IF($BG56="","",INDEX(업무일지!$AE$5:$AE$1004,$BG56))</f>
        <v/>
      </c>
      <c r="K56" s="52">
        <f>IF($BG56="","",INDEX(업무일지!$AG$5:$AG$1004,$BG56))</f>
        <v/>
      </c>
      <c r="L56" s="47">
        <f>IF($BG56="","",INDEX(업무일지!$AH$5:$AH$1004,$BG56))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IF($BG57="","",INDEX(업무일지!$AF$5:$AF$1004,$BG57))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IF($BG57="","",INDEX(업무일지!$AA$5:$AA$1004,$BG57))</f>
        <v/>
      </c>
      <c r="H57" s="47">
        <f>IF($BG57="","",INDEX(업무일지!$AC$5:$AC$1004,$BG57))</f>
        <v/>
      </c>
      <c r="I57" s="24">
        <f>IF($BG57="","",INDEX(업무일지!$AD$5:$AD$1004,$BG57))</f>
        <v/>
      </c>
      <c r="J57" s="25">
        <f>IF($BG57="","",INDEX(업무일지!$AE$5:$AE$1004,$BG57))</f>
        <v/>
      </c>
      <c r="K57" s="52">
        <f>IF($BG57="","",INDEX(업무일지!$AG$5:$AG$1004,$BG57))</f>
        <v/>
      </c>
      <c r="L57" s="47">
        <f>IF($BG57="","",INDEX(업무일지!$AH$5:$AH$1004,$BG57))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IF($BG58="","",INDEX(업무일지!$AF$5:$AF$1004,$BG58))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IF($BG58="","",INDEX(업무일지!$AA$5:$AA$1004,$BG58))</f>
        <v/>
      </c>
      <c r="H58" s="47">
        <f>IF($BG58="","",INDEX(업무일지!$AC$5:$AC$1004,$BG58))</f>
        <v/>
      </c>
      <c r="I58" s="24">
        <f>IF($BG58="","",INDEX(업무일지!$AD$5:$AD$1004,$BG58))</f>
        <v/>
      </c>
      <c r="J58" s="25">
        <f>IF($BG58="","",INDEX(업무일지!$AE$5:$AE$1004,$BG58))</f>
        <v/>
      </c>
      <c r="K58" s="52">
        <f>IF($BG58="","",INDEX(업무일지!$AG$5:$AG$1004,$BG58))</f>
        <v/>
      </c>
      <c r="L58" s="47">
        <f>IF($BG58="","",INDEX(업무일지!$AH$5:$AH$1004,$BG58))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IF($BG59="","",INDEX(업무일지!$AF$5:$AF$1004,$BG59))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IF($BG59="","",INDEX(업무일지!$AA$5:$AA$1004,$BG59))</f>
        <v/>
      </c>
      <c r="H59" s="47">
        <f>IF($BG59="","",INDEX(업무일지!$AC$5:$AC$1004,$BG59))</f>
        <v/>
      </c>
      <c r="I59" s="24">
        <f>IF($BG59="","",INDEX(업무일지!$AD$5:$AD$1004,$BG59))</f>
        <v/>
      </c>
      <c r="J59" s="25">
        <f>IF($BG59="","",INDEX(업무일지!$AE$5:$AE$1004,$BG59))</f>
        <v/>
      </c>
      <c r="K59" s="52">
        <f>IF($BG59="","",INDEX(업무일지!$AG$5:$AG$1004,$BG59))</f>
        <v/>
      </c>
      <c r="L59" s="47">
        <f>IF($BG59="","",INDEX(업무일지!$AH$5:$AH$1004,$BG59))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IF($BG60="","",INDEX(업무일지!$AF$5:$AF$1004,$BG60))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IF($BG60="","",INDEX(업무일지!$AA$5:$AA$1004,$BG60))</f>
        <v/>
      </c>
      <c r="H60" s="47">
        <f>IF($BG60="","",INDEX(업무일지!$AC$5:$AC$1004,$BG60))</f>
        <v/>
      </c>
      <c r="I60" s="24">
        <f>IF($BG60="","",INDEX(업무일지!$AD$5:$AD$1004,$BG60))</f>
        <v/>
      </c>
      <c r="J60" s="25">
        <f>IF($BG60="","",INDEX(업무일지!$AE$5:$AE$1004,$BG60))</f>
        <v/>
      </c>
      <c r="K60" s="52">
        <f>IF($BG60="","",INDEX(업무일지!$AG$5:$AG$1004,$BG60))</f>
        <v/>
      </c>
      <c r="L60" s="47">
        <f>IF($BG60="","",INDEX(업무일지!$AH$5:$AH$1004,$BG60))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IF($BG61="","",INDEX(업무일지!$AF$5:$AF$1004,$BG61))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IF($BG61="","",INDEX(업무일지!$AA$5:$AA$1004,$BG61))</f>
        <v/>
      </c>
      <c r="H61" s="47">
        <f>IF($BG61="","",INDEX(업무일지!$AC$5:$AC$1004,$BG61))</f>
        <v/>
      </c>
      <c r="I61" s="24">
        <f>IF($BG61="","",INDEX(업무일지!$AD$5:$AD$1004,$BG61))</f>
        <v/>
      </c>
      <c r="J61" s="25">
        <f>IF($BG61="","",INDEX(업무일지!$AE$5:$AE$1004,$BG61))</f>
        <v/>
      </c>
      <c r="K61" s="52">
        <f>IF($BG61="","",INDEX(업무일지!$AG$5:$AG$1004,$BG61))</f>
        <v/>
      </c>
      <c r="L61" s="47">
        <f>IF($BG61="","",INDEX(업무일지!$AH$5:$AH$1004,$BG61))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IF($BG62="","",INDEX(업무일지!$AF$5:$AF$1004,$BG62))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IF($BG62="","",INDEX(업무일지!$AA$5:$AA$1004,$BG62))</f>
        <v/>
      </c>
      <c r="H62" s="47">
        <f>IF($BG62="","",INDEX(업무일지!$AC$5:$AC$1004,$BG62))</f>
        <v/>
      </c>
      <c r="I62" s="24">
        <f>IF($BG62="","",INDEX(업무일지!$AD$5:$AD$1004,$BG62))</f>
        <v/>
      </c>
      <c r="J62" s="25">
        <f>IF($BG62="","",INDEX(업무일지!$AE$5:$AE$1004,$BG62))</f>
        <v/>
      </c>
      <c r="K62" s="52">
        <f>IF($BG62="","",INDEX(업무일지!$AG$5:$AG$1004,$BG62))</f>
        <v/>
      </c>
      <c r="L62" s="47">
        <f>IF($BG62="","",INDEX(업무일지!$AH$5:$AH$1004,$BG62))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IF($BG63="","",INDEX(업무일지!$AF$5:$AF$1004,$BG63))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IF($BG63="","",INDEX(업무일지!$AA$5:$AA$1004,$BG63))</f>
        <v/>
      </c>
      <c r="H63" s="47">
        <f>IF($BG63="","",INDEX(업무일지!$AC$5:$AC$1004,$BG63))</f>
        <v/>
      </c>
      <c r="I63" s="24">
        <f>IF($BG63="","",INDEX(업무일지!$AD$5:$AD$1004,$BG63))</f>
        <v/>
      </c>
      <c r="J63" s="25">
        <f>IF($BG63="","",INDEX(업무일지!$AE$5:$AE$1004,$BG63))</f>
        <v/>
      </c>
      <c r="K63" s="52">
        <f>IF($BG63="","",INDEX(업무일지!$AG$5:$AG$1004,$BG63))</f>
        <v/>
      </c>
      <c r="L63" s="47">
        <f>IF($BG63="","",INDEX(업무일지!$AH$5:$AH$1004,$BG63))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IF($BG64="","",INDEX(업무일지!$AF$5:$AF$1004,$BG64))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IF($BG64="","",INDEX(업무일지!$AA$5:$AA$1004,$BG64))</f>
        <v/>
      </c>
      <c r="H64" s="47">
        <f>IF($BG64="","",INDEX(업무일지!$AC$5:$AC$1004,$BG64))</f>
        <v/>
      </c>
      <c r="I64" s="24">
        <f>IF($BG64="","",INDEX(업무일지!$AD$5:$AD$1004,$BG64))</f>
        <v/>
      </c>
      <c r="J64" s="25">
        <f>IF($BG64="","",INDEX(업무일지!$AE$5:$AE$1004,$BG64))</f>
        <v/>
      </c>
      <c r="K64" s="52">
        <f>IF($BG64="","",INDEX(업무일지!$AG$5:$AG$1004,$BG64))</f>
        <v/>
      </c>
      <c r="L64" s="47">
        <f>IF($BG64="","",INDEX(업무일지!$AH$5:$AH$1004,$BG64))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IF($BG65="","",INDEX(업무일지!$AF$5:$AF$1004,$BG65))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IF($BG65="","",INDEX(업무일지!$AA$5:$AA$1004,$BG65))</f>
        <v/>
      </c>
      <c r="H65" s="47">
        <f>IF($BG65="","",INDEX(업무일지!$AC$5:$AC$1004,$BG65))</f>
        <v/>
      </c>
      <c r="I65" s="24">
        <f>IF($BG65="","",INDEX(업무일지!$AD$5:$AD$1004,$BG65))</f>
        <v/>
      </c>
      <c r="J65" s="25">
        <f>IF($BG65="","",INDEX(업무일지!$AE$5:$AE$1004,$BG65))</f>
        <v/>
      </c>
      <c r="K65" s="52">
        <f>IF($BG65="","",INDEX(업무일지!$AG$5:$AG$1004,$BG65))</f>
        <v/>
      </c>
      <c r="L65" s="47">
        <f>IF($BG65="","",INDEX(업무일지!$AH$5:$AH$1004,$BG65))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IF($BG66="","",INDEX(업무일지!$AF$5:$AF$1004,$BG66))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IF($BG66="","",INDEX(업무일지!$AA$5:$AA$1004,$BG66))</f>
        <v/>
      </c>
      <c r="H66" s="47">
        <f>IF($BG66="","",INDEX(업무일지!$AC$5:$AC$1004,$BG66))</f>
        <v/>
      </c>
      <c r="I66" s="24">
        <f>IF($BG66="","",INDEX(업무일지!$AD$5:$AD$1004,$BG66))</f>
        <v/>
      </c>
      <c r="J66" s="25">
        <f>IF($BG66="","",INDEX(업무일지!$AE$5:$AE$1004,$BG66))</f>
        <v/>
      </c>
      <c r="K66" s="52">
        <f>IF($BG66="","",INDEX(업무일지!$AG$5:$AG$1004,$BG66))</f>
        <v/>
      </c>
      <c r="L66" s="47">
        <f>IF($BG66="","",INDEX(업무일지!$AH$5:$AH$1004,$BG66))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IF($BG67="","",INDEX(업무일지!$AF$5:$AF$1004,$BG67))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IF($BG67="","",INDEX(업무일지!$AA$5:$AA$1004,$BG67))</f>
        <v/>
      </c>
      <c r="H67" s="47">
        <f>IF($BG67="","",INDEX(업무일지!$AC$5:$AC$1004,$BG67))</f>
        <v/>
      </c>
      <c r="I67" s="24">
        <f>IF($BG67="","",INDEX(업무일지!$AD$5:$AD$1004,$BG67))</f>
        <v/>
      </c>
      <c r="J67" s="25">
        <f>IF($BG67="","",INDEX(업무일지!$AE$5:$AE$1004,$BG67))</f>
        <v/>
      </c>
      <c r="K67" s="52">
        <f>IF($BG67="","",INDEX(업무일지!$AG$5:$AG$1004,$BG67))</f>
        <v/>
      </c>
      <c r="L67" s="47">
        <f>IF($BG67="","",INDEX(업무일지!$AH$5:$AH$1004,$BG67))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IF($BG68="","",INDEX(업무일지!$AF$5:$AF$1004,$BG68))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IF($BG68="","",INDEX(업무일지!$AA$5:$AA$1004,$BG68))</f>
        <v/>
      </c>
      <c r="H68" s="47">
        <f>IF($BG68="","",INDEX(업무일지!$AC$5:$AC$1004,$BG68))</f>
        <v/>
      </c>
      <c r="I68" s="24">
        <f>IF($BG68="","",INDEX(업무일지!$AD$5:$AD$1004,$BG68))</f>
        <v/>
      </c>
      <c r="J68" s="25">
        <f>IF($BG68="","",INDEX(업무일지!$AE$5:$AE$1004,$BG68))</f>
        <v/>
      </c>
      <c r="K68" s="52">
        <f>IF($BG68="","",INDEX(업무일지!$AG$5:$AG$1004,$BG68))</f>
        <v/>
      </c>
      <c r="L68" s="47">
        <f>IF($BG68="","",INDEX(업무일지!$AH$5:$AH$1004,$BG68))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IF($BG69="","",INDEX(업무일지!$AF$5:$AF$1004,$BG69))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IF($BG69="","",INDEX(업무일지!$AA$5:$AA$1004,$BG69))</f>
        <v/>
      </c>
      <c r="H69" s="47">
        <f>IF($BG69="","",INDEX(업무일지!$AC$5:$AC$1004,$BG69))</f>
        <v/>
      </c>
      <c r="I69" s="24">
        <f>IF($BG69="","",INDEX(업무일지!$AD$5:$AD$1004,$BG69))</f>
        <v/>
      </c>
      <c r="J69" s="25">
        <f>IF($BG69="","",INDEX(업무일지!$AE$5:$AE$1004,$BG69))</f>
        <v/>
      </c>
      <c r="K69" s="52">
        <f>IF($BG69="","",INDEX(업무일지!$AG$5:$AG$1004,$BG69))</f>
        <v/>
      </c>
      <c r="L69" s="47">
        <f>IF($BG69="","",INDEX(업무일지!$AH$5:$AH$1004,$BG69))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IF($BG70="","",INDEX(업무일지!$AF$5:$AF$1004,$BG70))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IF($BG70="","",INDEX(업무일지!$AA$5:$AA$1004,$BG70))</f>
        <v/>
      </c>
      <c r="H70" s="47">
        <f>IF($BG70="","",INDEX(업무일지!$AC$5:$AC$1004,$BG70))</f>
        <v/>
      </c>
      <c r="I70" s="24">
        <f>IF($BG70="","",INDEX(업무일지!$AD$5:$AD$1004,$BG70))</f>
        <v/>
      </c>
      <c r="J70" s="25">
        <f>IF($BG70="","",INDEX(업무일지!$AE$5:$AE$1004,$BG70))</f>
        <v/>
      </c>
      <c r="K70" s="52">
        <f>IF($BG70="","",INDEX(업무일지!$AG$5:$AG$1004,$BG70))</f>
        <v/>
      </c>
      <c r="L70" s="47">
        <f>IF($BG70="","",INDEX(업무일지!$AH$5:$AH$1004,$BG70))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회차</t>
        </is>
      </c>
      <c r="B106" s="23" t="inlineStr">
        <is>
          <t>분석 회차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IF($B$4="","",SUMIFS(업무일지!$AF$5:$AF$1004,업무일지!$F$5:$F$1004,$B$4,업무일지!$D$5:$D$1004,"출장"))</f>
        <v/>
      </c>
      <c r="D107" s="24">
        <f>IF($B$4="","",SUMIFS(업무일지!$AD$5:$AD$1004,업무일지!$F$5:$F$1004,$B$4))</f>
        <v/>
      </c>
      <c r="E107" s="25">
        <f>IF($B$4="","",SUMIFS(업무일지!$AE$5:$AE$1004,업무일지!$F$5:$F$1004,$B$4))</f>
        <v/>
      </c>
      <c r="F107" s="24">
        <f>IF($B$4="","",COUNTIF(일일실시사항!$G$5:$G$1004,$B$4))</f>
        <v/>
      </c>
      <c r="G107" s="51">
        <f>IF($BK$1=0,"",1000000-$BK$1)</f>
        <v/>
      </c>
      <c r="H107" s="51">
        <f>IF($BK$2=0,"",$BK$2)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BB1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1" customWidth="1" min="11" max="11"/>
    <col width="12" customWidth="1" min="12" max="12"/>
    <col width="12" customWidth="1" min="13" max="13"/>
    <col hidden="1" width="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</cols>
  <sheetData>
    <row r="1" ht="24" customHeight="1">
      <c r="A1" s="6" t="inlineStr">
        <is>
          <t>부서 전체 현황  ·  출장 / 분석 / 교육 / 일일</t>
        </is>
      </c>
    </row>
    <row r="2" ht="26" customHeight="1">
      <c r="A2" s="7" t="inlineStr">
        <is>
          <t>※ 노란 칸(기준연도)만 바꾸면 아래 모든 표가 다시 계산됩니다.  ※ 회차 = 업무일지에 기록된 줄 수 / 사건 = 고유 사건 수(같은 사건을 여러 번 나눠 해도 1).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   ※ 회차 = 업무일지 줄 수 / 사건 = 고유 사건 수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월</t>
        </is>
      </c>
      <c r="B6" s="23" t="inlineStr">
        <is>
          <t>출장 회차</t>
        </is>
      </c>
      <c r="C6" s="23" t="inlineStr">
        <is>
          <t>출장 사건</t>
        </is>
      </c>
      <c r="D6" s="23" t="inlineStr">
        <is>
          <t>분석 회차</t>
        </is>
      </c>
      <c r="E6" s="23" t="inlineStr">
        <is>
          <t>분석 사건</t>
        </is>
      </c>
      <c r="F6" s="23" t="inlineStr">
        <is>
          <t>교육 회차</t>
        </is>
      </c>
      <c r="G6" s="23" t="inlineStr">
        <is>
          <t>전체 회차</t>
        </is>
      </c>
      <c r="H6" s="23" t="inlineStr">
        <is>
          <t>전체 사건</t>
        </is>
      </c>
      <c r="I6" s="23" t="inlineStr">
        <is>
          <t>신규 사건</t>
        </is>
      </c>
      <c r="J6" s="23" t="inlineStr">
        <is>
          <t>출장 소요일수</t>
        </is>
      </c>
      <c r="K6" s="23" t="inlineStr">
        <is>
          <t>연인원(명)</t>
        </is>
      </c>
      <c r="L6" s="23" t="inlineStr">
        <is>
          <t>대상매체(건)</t>
        </is>
      </c>
      <c r="M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43">
        <f>SUM(P$85:P$144)</f>
        <v/>
      </c>
      <c r="D7" s="24">
        <f>COUNTIFS(업무일지!$B$5:$B$1004,"&gt;="&amp;DATE($B$3,1,1),업무일지!$B$5:$B$1004,"&lt;"&amp;DATE($B$3,1+1,1),업무일지!$D$5:$D$1004,"분석")</f>
        <v/>
      </c>
      <c r="E7" s="43">
        <f>SUM(AB$85:AB$144)</f>
        <v/>
      </c>
      <c r="F7" s="24">
        <f>COUNTIFS(업무일지!$B$5:$B$1004,"&gt;="&amp;DATE($B$3,1,1),업무일지!$B$5:$B$1004,"&lt;"&amp;DATE($B$3,1+1,1),업무일지!$D$5:$D$1004,"교육")</f>
        <v/>
      </c>
      <c r="G7" s="43">
        <f>B7+D7+F7</f>
        <v/>
      </c>
      <c r="H7" s="43">
        <f>SUM(AN$85:AN$144)</f>
        <v/>
      </c>
      <c r="I7" s="24">
        <f>COUNTIFS('사건별 현황'!$M$6:$M$65,"&gt;="&amp;DATE($B$3,1,1),'사건별 현황'!$M$6:$M$65,"&lt;"&amp;DATE($B$3,1+1,1))</f>
        <v/>
      </c>
      <c r="J7" s="24">
        <f>SUMIFS(업무일지!$AF$5:$AF$1004,업무일지!$B$5:$B$1004,"&gt;="&amp;DATE($B$3,1,1),업무일지!$B$5:$B$1004,"&lt;"&amp;DATE($B$3,1+1,1),업무일지!$D$5:$D$1004,"출장")</f>
        <v/>
      </c>
      <c r="K7" s="24">
        <f>SUMIFS(업무일지!$Z$5:$Z$1004,업무일지!$B$5:$B$1004,"&gt;="&amp;DATE($B$3,1,1),업무일지!$B$5:$B$1004,"&lt;"&amp;DATE($B$3,1+1,1))</f>
        <v/>
      </c>
      <c r="L7" s="24">
        <f>SUMIFS(업무일지!$AD$5:$AD$1004,업무일지!$B$5:$B$1004,"&gt;="&amp;DATE($B$3,1,1),업무일지!$B$5:$B$1004,"&lt;"&amp;DATE($B$3,1+1,1))</f>
        <v/>
      </c>
      <c r="M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43">
        <f>SUM(Q$85:Q$144)</f>
        <v/>
      </c>
      <c r="D8" s="24">
        <f>COUNTIFS(업무일지!$B$5:$B$1004,"&gt;="&amp;DATE($B$3,2,1),업무일지!$B$5:$B$1004,"&lt;"&amp;DATE($B$3,2+1,1),업무일지!$D$5:$D$1004,"분석")</f>
        <v/>
      </c>
      <c r="E8" s="43">
        <f>SUM(AC$85:AC$144)</f>
        <v/>
      </c>
      <c r="F8" s="24">
        <f>COUNTIFS(업무일지!$B$5:$B$1004,"&gt;="&amp;DATE($B$3,2,1),업무일지!$B$5:$B$1004,"&lt;"&amp;DATE($B$3,2+1,1),업무일지!$D$5:$D$1004,"교육")</f>
        <v/>
      </c>
      <c r="G8" s="43">
        <f>B8+D8+F8</f>
        <v/>
      </c>
      <c r="H8" s="43">
        <f>SUM(AO$85:AO$144)</f>
        <v/>
      </c>
      <c r="I8" s="24">
        <f>COUNTIFS('사건별 현황'!$M$6:$M$65,"&gt;="&amp;DATE($B$3,2,1),'사건별 현황'!$M$6:$M$65,"&lt;"&amp;DATE($B$3,2+1,1))</f>
        <v/>
      </c>
      <c r="J8" s="24">
        <f>SUMIFS(업무일지!$AF$5:$AF$1004,업무일지!$B$5:$B$1004,"&gt;="&amp;DATE($B$3,2,1),업무일지!$B$5:$B$1004,"&lt;"&amp;DATE($B$3,2+1,1),업무일지!$D$5:$D$1004,"출장")</f>
        <v/>
      </c>
      <c r="K8" s="24">
        <f>SUMIFS(업무일지!$Z$5:$Z$1004,업무일지!$B$5:$B$1004,"&gt;="&amp;DATE($B$3,2,1),업무일지!$B$5:$B$1004,"&lt;"&amp;DATE($B$3,2+1,1))</f>
        <v/>
      </c>
      <c r="L8" s="24">
        <f>SUMIFS(업무일지!$AD$5:$AD$1004,업무일지!$B$5:$B$1004,"&gt;="&amp;DATE($B$3,2,1),업무일지!$B$5:$B$1004,"&lt;"&amp;DATE($B$3,2+1,1))</f>
        <v/>
      </c>
      <c r="M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43">
        <f>SUM(R$85:R$144)</f>
        <v/>
      </c>
      <c r="D9" s="24">
        <f>COUNTIFS(업무일지!$B$5:$B$1004,"&gt;="&amp;DATE($B$3,3,1),업무일지!$B$5:$B$1004,"&lt;"&amp;DATE($B$3,3+1,1),업무일지!$D$5:$D$1004,"분석")</f>
        <v/>
      </c>
      <c r="E9" s="43">
        <f>SUM(AD$85:AD$144)</f>
        <v/>
      </c>
      <c r="F9" s="24">
        <f>COUNTIFS(업무일지!$B$5:$B$1004,"&gt;="&amp;DATE($B$3,3,1),업무일지!$B$5:$B$1004,"&lt;"&amp;DATE($B$3,3+1,1),업무일지!$D$5:$D$1004,"교육")</f>
        <v/>
      </c>
      <c r="G9" s="43">
        <f>B9+D9+F9</f>
        <v/>
      </c>
      <c r="H9" s="43">
        <f>SUM(AP$85:AP$144)</f>
        <v/>
      </c>
      <c r="I9" s="24">
        <f>COUNTIFS('사건별 현황'!$M$6:$M$65,"&gt;="&amp;DATE($B$3,3,1),'사건별 현황'!$M$6:$M$65,"&lt;"&amp;DATE($B$3,3+1,1))</f>
        <v/>
      </c>
      <c r="J9" s="24">
        <f>SUMIFS(업무일지!$AF$5:$AF$1004,업무일지!$B$5:$B$1004,"&gt;="&amp;DATE($B$3,3,1),업무일지!$B$5:$B$1004,"&lt;"&amp;DATE($B$3,3+1,1),업무일지!$D$5:$D$1004,"출장")</f>
        <v/>
      </c>
      <c r="K9" s="24">
        <f>SUMIFS(업무일지!$Z$5:$Z$1004,업무일지!$B$5:$B$1004,"&gt;="&amp;DATE($B$3,3,1),업무일지!$B$5:$B$1004,"&lt;"&amp;DATE($B$3,3+1,1))</f>
        <v/>
      </c>
      <c r="L9" s="24">
        <f>SUMIFS(업무일지!$AD$5:$AD$1004,업무일지!$B$5:$B$1004,"&gt;="&amp;DATE($B$3,3,1),업무일지!$B$5:$B$1004,"&lt;"&amp;DATE($B$3,3+1,1))</f>
        <v/>
      </c>
      <c r="M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43">
        <f>SUM(S$85:S$144)</f>
        <v/>
      </c>
      <c r="D10" s="24">
        <f>COUNTIFS(업무일지!$B$5:$B$1004,"&gt;="&amp;DATE($B$3,4,1),업무일지!$B$5:$B$1004,"&lt;"&amp;DATE($B$3,4+1,1),업무일지!$D$5:$D$1004,"분석")</f>
        <v/>
      </c>
      <c r="E10" s="43">
        <f>SUM(AE$85:AE$144)</f>
        <v/>
      </c>
      <c r="F10" s="24">
        <f>COUNTIFS(업무일지!$B$5:$B$1004,"&gt;="&amp;DATE($B$3,4,1),업무일지!$B$5:$B$1004,"&lt;"&amp;DATE($B$3,4+1,1),업무일지!$D$5:$D$1004,"교육")</f>
        <v/>
      </c>
      <c r="G10" s="43">
        <f>B10+D10+F10</f>
        <v/>
      </c>
      <c r="H10" s="43">
        <f>SUM(AQ$85:AQ$144)</f>
        <v/>
      </c>
      <c r="I10" s="24">
        <f>COUNTIFS('사건별 현황'!$M$6:$M$65,"&gt;="&amp;DATE($B$3,4,1),'사건별 현황'!$M$6:$M$65,"&lt;"&amp;DATE($B$3,4+1,1))</f>
        <v/>
      </c>
      <c r="J10" s="24">
        <f>SUMIFS(업무일지!$AF$5:$AF$1004,업무일지!$B$5:$B$1004,"&gt;="&amp;DATE($B$3,4,1),업무일지!$B$5:$B$1004,"&lt;"&amp;DATE($B$3,4+1,1),업무일지!$D$5:$D$1004,"출장")</f>
        <v/>
      </c>
      <c r="K10" s="24">
        <f>SUMIFS(업무일지!$Z$5:$Z$1004,업무일지!$B$5:$B$1004,"&gt;="&amp;DATE($B$3,4,1),업무일지!$B$5:$B$1004,"&lt;"&amp;DATE($B$3,4+1,1))</f>
        <v/>
      </c>
      <c r="L10" s="24">
        <f>SUMIFS(업무일지!$AD$5:$AD$1004,업무일지!$B$5:$B$1004,"&gt;="&amp;DATE($B$3,4,1),업무일지!$B$5:$B$1004,"&lt;"&amp;DATE($B$3,4+1,1))</f>
        <v/>
      </c>
      <c r="M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43">
        <f>SUM(T$85:T$144)</f>
        <v/>
      </c>
      <c r="D11" s="24">
        <f>COUNTIFS(업무일지!$B$5:$B$1004,"&gt;="&amp;DATE($B$3,5,1),업무일지!$B$5:$B$1004,"&lt;"&amp;DATE($B$3,5+1,1),업무일지!$D$5:$D$1004,"분석")</f>
        <v/>
      </c>
      <c r="E11" s="43">
        <f>SUM(AF$85:AF$144)</f>
        <v/>
      </c>
      <c r="F11" s="24">
        <f>COUNTIFS(업무일지!$B$5:$B$1004,"&gt;="&amp;DATE($B$3,5,1),업무일지!$B$5:$B$1004,"&lt;"&amp;DATE($B$3,5+1,1),업무일지!$D$5:$D$1004,"교육")</f>
        <v/>
      </c>
      <c r="G11" s="43">
        <f>B11+D11+F11</f>
        <v/>
      </c>
      <c r="H11" s="43">
        <f>SUM(AR$85:AR$144)</f>
        <v/>
      </c>
      <c r="I11" s="24">
        <f>COUNTIFS('사건별 현황'!$M$6:$M$65,"&gt;="&amp;DATE($B$3,5,1),'사건별 현황'!$M$6:$M$65,"&lt;"&amp;DATE($B$3,5+1,1))</f>
        <v/>
      </c>
      <c r="J11" s="24">
        <f>SUMIFS(업무일지!$AF$5:$AF$1004,업무일지!$B$5:$B$1004,"&gt;="&amp;DATE($B$3,5,1),업무일지!$B$5:$B$1004,"&lt;"&amp;DATE($B$3,5+1,1),업무일지!$D$5:$D$1004,"출장")</f>
        <v/>
      </c>
      <c r="K11" s="24">
        <f>SUMIFS(업무일지!$Z$5:$Z$1004,업무일지!$B$5:$B$1004,"&gt;="&amp;DATE($B$3,5,1),업무일지!$B$5:$B$1004,"&lt;"&amp;DATE($B$3,5+1,1))</f>
        <v/>
      </c>
      <c r="L11" s="24">
        <f>SUMIFS(업무일지!$AD$5:$AD$1004,업무일지!$B$5:$B$1004,"&gt;="&amp;DATE($B$3,5,1),업무일지!$B$5:$B$1004,"&lt;"&amp;DATE($B$3,5+1,1))</f>
        <v/>
      </c>
      <c r="M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43">
        <f>SUM(U$85:U$144)</f>
        <v/>
      </c>
      <c r="D12" s="24">
        <f>COUNTIFS(업무일지!$B$5:$B$1004,"&gt;="&amp;DATE($B$3,6,1),업무일지!$B$5:$B$1004,"&lt;"&amp;DATE($B$3,6+1,1),업무일지!$D$5:$D$1004,"분석")</f>
        <v/>
      </c>
      <c r="E12" s="43">
        <f>SUM(AG$85:AG$144)</f>
        <v/>
      </c>
      <c r="F12" s="24">
        <f>COUNTIFS(업무일지!$B$5:$B$1004,"&gt;="&amp;DATE($B$3,6,1),업무일지!$B$5:$B$1004,"&lt;"&amp;DATE($B$3,6+1,1),업무일지!$D$5:$D$1004,"교육")</f>
        <v/>
      </c>
      <c r="G12" s="43">
        <f>B12+D12+F12</f>
        <v/>
      </c>
      <c r="H12" s="43">
        <f>SUM(AS$85:AS$144)</f>
        <v/>
      </c>
      <c r="I12" s="24">
        <f>COUNTIFS('사건별 현황'!$M$6:$M$65,"&gt;="&amp;DATE($B$3,6,1),'사건별 현황'!$M$6:$M$65,"&lt;"&amp;DATE($B$3,6+1,1))</f>
        <v/>
      </c>
      <c r="J12" s="24">
        <f>SUMIFS(업무일지!$AF$5:$AF$1004,업무일지!$B$5:$B$1004,"&gt;="&amp;DATE($B$3,6,1),업무일지!$B$5:$B$1004,"&lt;"&amp;DATE($B$3,6+1,1),업무일지!$D$5:$D$1004,"출장")</f>
        <v/>
      </c>
      <c r="K12" s="24">
        <f>SUMIFS(업무일지!$Z$5:$Z$1004,업무일지!$B$5:$B$1004,"&gt;="&amp;DATE($B$3,6,1),업무일지!$B$5:$B$1004,"&lt;"&amp;DATE($B$3,6+1,1))</f>
        <v/>
      </c>
      <c r="L12" s="24">
        <f>SUMIFS(업무일지!$AD$5:$AD$1004,업무일지!$B$5:$B$1004,"&gt;="&amp;DATE($B$3,6,1),업무일지!$B$5:$B$1004,"&lt;"&amp;DATE($B$3,6+1,1))</f>
        <v/>
      </c>
      <c r="M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43">
        <f>SUM(V$85:V$144)</f>
        <v/>
      </c>
      <c r="D13" s="24">
        <f>COUNTIFS(업무일지!$B$5:$B$1004,"&gt;="&amp;DATE($B$3,7,1),업무일지!$B$5:$B$1004,"&lt;"&amp;DATE($B$3,7+1,1),업무일지!$D$5:$D$1004,"분석")</f>
        <v/>
      </c>
      <c r="E13" s="43">
        <f>SUM(AH$85:AH$144)</f>
        <v/>
      </c>
      <c r="F13" s="24">
        <f>COUNTIFS(업무일지!$B$5:$B$1004,"&gt;="&amp;DATE($B$3,7,1),업무일지!$B$5:$B$1004,"&lt;"&amp;DATE($B$3,7+1,1),업무일지!$D$5:$D$1004,"교육")</f>
        <v/>
      </c>
      <c r="G13" s="43">
        <f>B13+D13+F13</f>
        <v/>
      </c>
      <c r="H13" s="43">
        <f>SUM(AT$85:AT$144)</f>
        <v/>
      </c>
      <c r="I13" s="24">
        <f>COUNTIFS('사건별 현황'!$M$6:$M$65,"&gt;="&amp;DATE($B$3,7,1),'사건별 현황'!$M$6:$M$65,"&lt;"&amp;DATE($B$3,7+1,1))</f>
        <v/>
      </c>
      <c r="J13" s="24">
        <f>SUMIFS(업무일지!$AF$5:$AF$1004,업무일지!$B$5:$B$1004,"&gt;="&amp;DATE($B$3,7,1),업무일지!$B$5:$B$1004,"&lt;"&amp;DATE($B$3,7+1,1),업무일지!$D$5:$D$1004,"출장")</f>
        <v/>
      </c>
      <c r="K13" s="24">
        <f>SUMIFS(업무일지!$Z$5:$Z$1004,업무일지!$B$5:$B$1004,"&gt;="&amp;DATE($B$3,7,1),업무일지!$B$5:$B$1004,"&lt;"&amp;DATE($B$3,7+1,1))</f>
        <v/>
      </c>
      <c r="L13" s="24">
        <f>SUMIFS(업무일지!$AD$5:$AD$1004,업무일지!$B$5:$B$1004,"&gt;="&amp;DATE($B$3,7,1),업무일지!$B$5:$B$1004,"&lt;"&amp;DATE($B$3,7+1,1))</f>
        <v/>
      </c>
      <c r="M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43">
        <f>SUM(W$85:W$144)</f>
        <v/>
      </c>
      <c r="D14" s="24">
        <f>COUNTIFS(업무일지!$B$5:$B$1004,"&gt;="&amp;DATE($B$3,8,1),업무일지!$B$5:$B$1004,"&lt;"&amp;DATE($B$3,8+1,1),업무일지!$D$5:$D$1004,"분석")</f>
        <v/>
      </c>
      <c r="E14" s="43">
        <f>SUM(AI$85:AI$144)</f>
        <v/>
      </c>
      <c r="F14" s="24">
        <f>COUNTIFS(업무일지!$B$5:$B$1004,"&gt;="&amp;DATE($B$3,8,1),업무일지!$B$5:$B$1004,"&lt;"&amp;DATE($B$3,8+1,1),업무일지!$D$5:$D$1004,"교육")</f>
        <v/>
      </c>
      <c r="G14" s="43">
        <f>B14+D14+F14</f>
        <v/>
      </c>
      <c r="H14" s="43">
        <f>SUM(AU$85:AU$144)</f>
        <v/>
      </c>
      <c r="I14" s="24">
        <f>COUNTIFS('사건별 현황'!$M$6:$M$65,"&gt;="&amp;DATE($B$3,8,1),'사건별 현황'!$M$6:$M$65,"&lt;"&amp;DATE($B$3,8+1,1))</f>
        <v/>
      </c>
      <c r="J14" s="24">
        <f>SUMIFS(업무일지!$AF$5:$AF$1004,업무일지!$B$5:$B$1004,"&gt;="&amp;DATE($B$3,8,1),업무일지!$B$5:$B$1004,"&lt;"&amp;DATE($B$3,8+1,1),업무일지!$D$5:$D$1004,"출장")</f>
        <v/>
      </c>
      <c r="K14" s="24">
        <f>SUMIFS(업무일지!$Z$5:$Z$1004,업무일지!$B$5:$B$1004,"&gt;="&amp;DATE($B$3,8,1),업무일지!$B$5:$B$1004,"&lt;"&amp;DATE($B$3,8+1,1))</f>
        <v/>
      </c>
      <c r="L14" s="24">
        <f>SUMIFS(업무일지!$AD$5:$AD$1004,업무일지!$B$5:$B$1004,"&gt;="&amp;DATE($B$3,8,1),업무일지!$B$5:$B$1004,"&lt;"&amp;DATE($B$3,8+1,1))</f>
        <v/>
      </c>
      <c r="M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43">
        <f>SUM(X$85:X$144)</f>
        <v/>
      </c>
      <c r="D15" s="24">
        <f>COUNTIFS(업무일지!$B$5:$B$1004,"&gt;="&amp;DATE($B$3,9,1),업무일지!$B$5:$B$1004,"&lt;"&amp;DATE($B$3,9+1,1),업무일지!$D$5:$D$1004,"분석")</f>
        <v/>
      </c>
      <c r="E15" s="43">
        <f>SUM(AJ$85:AJ$144)</f>
        <v/>
      </c>
      <c r="F15" s="24">
        <f>COUNTIFS(업무일지!$B$5:$B$1004,"&gt;="&amp;DATE($B$3,9,1),업무일지!$B$5:$B$1004,"&lt;"&amp;DATE($B$3,9+1,1),업무일지!$D$5:$D$1004,"교육")</f>
        <v/>
      </c>
      <c r="G15" s="43">
        <f>B15+D15+F15</f>
        <v/>
      </c>
      <c r="H15" s="43">
        <f>SUM(AV$85:AV$144)</f>
        <v/>
      </c>
      <c r="I15" s="24">
        <f>COUNTIFS('사건별 현황'!$M$6:$M$65,"&gt;="&amp;DATE($B$3,9,1),'사건별 현황'!$M$6:$M$65,"&lt;"&amp;DATE($B$3,9+1,1))</f>
        <v/>
      </c>
      <c r="J15" s="24">
        <f>SUMIFS(업무일지!$AF$5:$AF$1004,업무일지!$B$5:$B$1004,"&gt;="&amp;DATE($B$3,9,1),업무일지!$B$5:$B$1004,"&lt;"&amp;DATE($B$3,9+1,1),업무일지!$D$5:$D$1004,"출장")</f>
        <v/>
      </c>
      <c r="K15" s="24">
        <f>SUMIFS(업무일지!$Z$5:$Z$1004,업무일지!$B$5:$B$1004,"&gt;="&amp;DATE($B$3,9,1),업무일지!$B$5:$B$1004,"&lt;"&amp;DATE($B$3,9+1,1))</f>
        <v/>
      </c>
      <c r="L15" s="24">
        <f>SUMIFS(업무일지!$AD$5:$AD$1004,업무일지!$B$5:$B$1004,"&gt;="&amp;DATE($B$3,9,1),업무일지!$B$5:$B$1004,"&lt;"&amp;DATE($B$3,9+1,1))</f>
        <v/>
      </c>
      <c r="M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43">
        <f>SUM(Y$85:Y$144)</f>
        <v/>
      </c>
      <c r="D16" s="24">
        <f>COUNTIFS(업무일지!$B$5:$B$1004,"&gt;="&amp;DATE($B$3,10,1),업무일지!$B$5:$B$1004,"&lt;"&amp;DATE($B$3,10+1,1),업무일지!$D$5:$D$1004,"분석")</f>
        <v/>
      </c>
      <c r="E16" s="43">
        <f>SUM(AK$85:AK$144)</f>
        <v/>
      </c>
      <c r="F16" s="24">
        <f>COUNTIFS(업무일지!$B$5:$B$1004,"&gt;="&amp;DATE($B$3,10,1),업무일지!$B$5:$B$1004,"&lt;"&amp;DATE($B$3,10+1,1),업무일지!$D$5:$D$1004,"교육")</f>
        <v/>
      </c>
      <c r="G16" s="43">
        <f>B16+D16+F16</f>
        <v/>
      </c>
      <c r="H16" s="43">
        <f>SUM(AW$85:AW$144)</f>
        <v/>
      </c>
      <c r="I16" s="24">
        <f>COUNTIFS('사건별 현황'!$M$6:$M$65,"&gt;="&amp;DATE($B$3,10,1),'사건별 현황'!$M$6:$M$65,"&lt;"&amp;DATE($B$3,10+1,1))</f>
        <v/>
      </c>
      <c r="J16" s="24">
        <f>SUMIFS(업무일지!$AF$5:$AF$1004,업무일지!$B$5:$B$1004,"&gt;="&amp;DATE($B$3,10,1),업무일지!$B$5:$B$1004,"&lt;"&amp;DATE($B$3,10+1,1),업무일지!$D$5:$D$1004,"출장")</f>
        <v/>
      </c>
      <c r="K16" s="24">
        <f>SUMIFS(업무일지!$Z$5:$Z$1004,업무일지!$B$5:$B$1004,"&gt;="&amp;DATE($B$3,10,1),업무일지!$B$5:$B$1004,"&lt;"&amp;DATE($B$3,10+1,1))</f>
        <v/>
      </c>
      <c r="L16" s="24">
        <f>SUMIFS(업무일지!$AD$5:$AD$1004,업무일지!$B$5:$B$1004,"&gt;="&amp;DATE($B$3,10,1),업무일지!$B$5:$B$1004,"&lt;"&amp;DATE($B$3,10+1,1))</f>
        <v/>
      </c>
      <c r="M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43">
        <f>SUM(Z$85:Z$144)</f>
        <v/>
      </c>
      <c r="D17" s="24">
        <f>COUNTIFS(업무일지!$B$5:$B$1004,"&gt;="&amp;DATE($B$3,11,1),업무일지!$B$5:$B$1004,"&lt;"&amp;DATE($B$3,11+1,1),업무일지!$D$5:$D$1004,"분석")</f>
        <v/>
      </c>
      <c r="E17" s="43">
        <f>SUM(AL$85:AL$144)</f>
        <v/>
      </c>
      <c r="F17" s="24">
        <f>COUNTIFS(업무일지!$B$5:$B$1004,"&gt;="&amp;DATE($B$3,11,1),업무일지!$B$5:$B$1004,"&lt;"&amp;DATE($B$3,11+1,1),업무일지!$D$5:$D$1004,"교육")</f>
        <v/>
      </c>
      <c r="G17" s="43">
        <f>B17+D17+F17</f>
        <v/>
      </c>
      <c r="H17" s="43">
        <f>SUM(AX$85:AX$144)</f>
        <v/>
      </c>
      <c r="I17" s="24">
        <f>COUNTIFS('사건별 현황'!$M$6:$M$65,"&gt;="&amp;DATE($B$3,11,1),'사건별 현황'!$M$6:$M$65,"&lt;"&amp;DATE($B$3,11+1,1))</f>
        <v/>
      </c>
      <c r="J17" s="24">
        <f>SUMIFS(업무일지!$AF$5:$AF$1004,업무일지!$B$5:$B$1004,"&gt;="&amp;DATE($B$3,11,1),업무일지!$B$5:$B$1004,"&lt;"&amp;DATE($B$3,11+1,1),업무일지!$D$5:$D$1004,"출장")</f>
        <v/>
      </c>
      <c r="K17" s="24">
        <f>SUMIFS(업무일지!$Z$5:$Z$1004,업무일지!$B$5:$B$1004,"&gt;="&amp;DATE($B$3,11,1),업무일지!$B$5:$B$1004,"&lt;"&amp;DATE($B$3,11+1,1))</f>
        <v/>
      </c>
      <c r="L17" s="24">
        <f>SUMIFS(업무일지!$AD$5:$AD$1004,업무일지!$B$5:$B$1004,"&gt;="&amp;DATE($B$3,11,1),업무일지!$B$5:$B$1004,"&lt;"&amp;DATE($B$3,11+1,1))</f>
        <v/>
      </c>
      <c r="M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43">
        <f>SUM(AA$85:AA$144)</f>
        <v/>
      </c>
      <c r="D18" s="24">
        <f>COUNTIFS(업무일지!$B$5:$B$1004,"&gt;="&amp;DATE($B$3,12,1),업무일지!$B$5:$B$1004,"&lt;"&amp;DATE($B$3,12+1,1),업무일지!$D$5:$D$1004,"분석")</f>
        <v/>
      </c>
      <c r="E18" s="43">
        <f>SUM(AM$85:AM$144)</f>
        <v/>
      </c>
      <c r="F18" s="24">
        <f>COUNTIFS(업무일지!$B$5:$B$1004,"&gt;="&amp;DATE($B$3,12,1),업무일지!$B$5:$B$1004,"&lt;"&amp;DATE($B$3,12+1,1),업무일지!$D$5:$D$1004,"교육")</f>
        <v/>
      </c>
      <c r="G18" s="43">
        <f>B18+D18+F18</f>
        <v/>
      </c>
      <c r="H18" s="43">
        <f>SUM(AY$85:AY$144)</f>
        <v/>
      </c>
      <c r="I18" s="24">
        <f>COUNTIFS('사건별 현황'!$M$6:$M$65,"&gt;="&amp;DATE($B$3,12,1),'사건별 현황'!$M$6:$M$65,"&lt;"&amp;DATE($B$3,12+1,1))</f>
        <v/>
      </c>
      <c r="J18" s="24">
        <f>SUMIFS(업무일지!$AF$5:$AF$1004,업무일지!$B$5:$B$1004,"&gt;="&amp;DATE($B$3,12,1),업무일지!$B$5:$B$1004,"&lt;"&amp;DATE($B$3,12+1,1),업무일지!$D$5:$D$1004,"출장")</f>
        <v/>
      </c>
      <c r="K18" s="24">
        <f>SUMIFS(업무일지!$Z$5:$Z$1004,업무일지!$B$5:$B$1004,"&gt;="&amp;DATE($B$3,12,1),업무일지!$B$5:$B$1004,"&lt;"&amp;DATE($B$3,12+1,1))</f>
        <v/>
      </c>
      <c r="L18" s="24">
        <f>SUMIFS(업무일지!$AD$5:$AD$1004,업무일지!$B$5:$B$1004,"&gt;="&amp;DATE($B$3,12,1),업무일지!$B$5:$B$1004,"&lt;"&amp;DATE($B$3,12+1,1))</f>
        <v/>
      </c>
      <c r="M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SUM($AZ$85:$AZ$144)</f>
        <v/>
      </c>
      <c r="D19" s="28">
        <f>SUM(D7:D18)</f>
        <v/>
      </c>
      <c r="E19" s="28">
        <f>SUM($BA$85:$BA$144)</f>
        <v/>
      </c>
      <c r="F19" s="28">
        <f>SUM(F7:F18)</f>
        <v/>
      </c>
      <c r="G19" s="28">
        <f>SUM(G7:G18)</f>
        <v/>
      </c>
      <c r="H19" s="28">
        <f>SUM($BB$85:$BB$144)</f>
        <v/>
      </c>
      <c r="I19" s="28">
        <f>SUM(I7:I18)</f>
        <v/>
      </c>
      <c r="J19" s="28">
        <f>SUM(J7:J18)</f>
        <v/>
      </c>
      <c r="K19" s="28">
        <f>SUM(K7:K18)</f>
        <v/>
      </c>
      <c r="L19" s="28">
        <f>SUM(L7:L18)</f>
        <v/>
      </c>
      <c r="M19" s="28">
        <f>SUM(M7:M18)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회차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IFERROR(C23/$C$40,0)</f>
        <v/>
      </c>
      <c r="E23" s="24">
        <f>IF($B23="","",SUMIFS(업무일지!$Z$5:$Z$1004,업무일지!$B$5:$B$1004,"&gt;="&amp;DATE($B$3,1,1),업무일지!$B$5:$B$1004,"&lt;"&amp;DATE($B$3+1,1,1),업무일지!$E$5:$E$1004,$B23))</f>
        <v/>
      </c>
      <c r="F23" s="24">
        <f>IF($B23="","",SUMIFS(업무일지!$AD$5:$AD$1004,업무일지!$B$5:$B$1004,"&gt;="&amp;DATE($B$3,1,1),업무일지!$B$5:$B$1004,"&lt;"&amp;DATE($B$3+1,1,1),업무일지!$E$5:$E$1004,$B23))</f>
        <v/>
      </c>
      <c r="G23" s="25">
        <f>IF($B23="","",SUMIFS(업무일지!$AE$5:$AE$1004,업무일지!$B$5:$B$1004,"&gt;="&amp;DATE($B$3,1,1),업무일지!$B$5:$B$1004,"&lt;"&amp;DATE($B$3+1,1,1),업무일지!$E$5:$E$1004,$B23))</f>
        <v/>
      </c>
      <c r="H23" s="57">
        <f>IFERROR(SUMIFS(업무일지!$AF$5:$AF$1004,업무일지!$B$5:$B$1004,"&gt;="&amp;DATE($B$3,1,1),업무일지!$B$5:$B$1004,"&lt;"&amp;DATE($B$3+1,1,1),업무일지!$E$5:$E$1004,$B23)/C23,0)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IFERROR(C24/$C$40,0)</f>
        <v/>
      </c>
      <c r="E24" s="24">
        <f>IF($B24="","",SUMIFS(업무일지!$Z$5:$Z$1004,업무일지!$B$5:$B$1004,"&gt;="&amp;DATE($B$3,1,1),업무일지!$B$5:$B$1004,"&lt;"&amp;DATE($B$3+1,1,1),업무일지!$E$5:$E$1004,$B24))</f>
        <v/>
      </c>
      <c r="F24" s="24">
        <f>IF($B24="","",SUMIFS(업무일지!$AD$5:$AD$1004,업무일지!$B$5:$B$1004,"&gt;="&amp;DATE($B$3,1,1),업무일지!$B$5:$B$1004,"&lt;"&amp;DATE($B$3+1,1,1),업무일지!$E$5:$E$1004,$B24))</f>
        <v/>
      </c>
      <c r="G24" s="25">
        <f>IF($B24="","",SUMIFS(업무일지!$AE$5:$AE$1004,업무일지!$B$5:$B$1004,"&gt;="&amp;DATE($B$3,1,1),업무일지!$B$5:$B$1004,"&lt;"&amp;DATE($B$3+1,1,1),업무일지!$E$5:$E$1004,$B24))</f>
        <v/>
      </c>
      <c r="H24" s="57">
        <f>IFERROR(SUMIFS(업무일지!$AF$5:$AF$1004,업무일지!$B$5:$B$1004,"&gt;="&amp;DATE($B$3,1,1),업무일지!$B$5:$B$1004,"&lt;"&amp;DATE($B$3+1,1,1),업무일지!$E$5:$E$1004,$B24)/C24,0)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IFERROR(C25/$C$40,0)</f>
        <v/>
      </c>
      <c r="E25" s="24">
        <f>IF($B25="","",SUMIFS(업무일지!$Z$5:$Z$1004,업무일지!$B$5:$B$1004,"&gt;="&amp;DATE($B$3,1,1),업무일지!$B$5:$B$1004,"&lt;"&amp;DATE($B$3+1,1,1),업무일지!$E$5:$E$1004,$B25))</f>
        <v/>
      </c>
      <c r="F25" s="24">
        <f>IF($B25="","",SUMIFS(업무일지!$AD$5:$AD$1004,업무일지!$B$5:$B$1004,"&gt;="&amp;DATE($B$3,1,1),업무일지!$B$5:$B$1004,"&lt;"&amp;DATE($B$3+1,1,1),업무일지!$E$5:$E$1004,$B25))</f>
        <v/>
      </c>
      <c r="G25" s="25">
        <f>IF($B25="","",SUMIFS(업무일지!$AE$5:$AE$1004,업무일지!$B$5:$B$1004,"&gt;="&amp;DATE($B$3,1,1),업무일지!$B$5:$B$1004,"&lt;"&amp;DATE($B$3+1,1,1),업무일지!$E$5:$E$1004,$B25))</f>
        <v/>
      </c>
      <c r="H25" s="57">
        <f>IFERROR(SUMIFS(업무일지!$AF$5:$AF$1004,업무일지!$B$5:$B$1004,"&gt;="&amp;DATE($B$3,1,1),업무일지!$B$5:$B$1004,"&lt;"&amp;DATE($B$3+1,1,1),업무일지!$E$5:$E$1004,$B25)/C25,0)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IFERROR(C26/$C$40,0)</f>
        <v/>
      </c>
      <c r="E26" s="24">
        <f>IF($B26="","",SUMIFS(업무일지!$Z$5:$Z$1004,업무일지!$B$5:$B$1004,"&gt;="&amp;DATE($B$3,1,1),업무일지!$B$5:$B$1004,"&lt;"&amp;DATE($B$3+1,1,1),업무일지!$E$5:$E$1004,$B26))</f>
        <v/>
      </c>
      <c r="F26" s="24">
        <f>IF($B26="","",SUMIFS(업무일지!$AD$5:$AD$1004,업무일지!$B$5:$B$1004,"&gt;="&amp;DATE($B$3,1,1),업무일지!$B$5:$B$1004,"&lt;"&amp;DATE($B$3+1,1,1),업무일지!$E$5:$E$1004,$B26))</f>
        <v/>
      </c>
      <c r="G26" s="25">
        <f>IF($B26="","",SUMIFS(업무일지!$AE$5:$AE$1004,업무일지!$B$5:$B$1004,"&gt;="&amp;DATE($B$3,1,1),업무일지!$B$5:$B$1004,"&lt;"&amp;DATE($B$3+1,1,1),업무일지!$E$5:$E$1004,$B26))</f>
        <v/>
      </c>
      <c r="H26" s="57">
        <f>IFERROR(SUMIFS(업무일지!$AF$5:$AF$1004,업무일지!$B$5:$B$1004,"&gt;="&amp;DATE($B$3,1,1),업무일지!$B$5:$B$1004,"&lt;"&amp;DATE($B$3+1,1,1),업무일지!$E$5:$E$1004,$B26)/C26,0)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IFERROR(C27/$C$40,0)</f>
        <v/>
      </c>
      <c r="E27" s="24">
        <f>IF($B27="","",SUMIFS(업무일지!$Z$5:$Z$1004,업무일지!$B$5:$B$1004,"&gt;="&amp;DATE($B$3,1,1),업무일지!$B$5:$B$1004,"&lt;"&amp;DATE($B$3+1,1,1),업무일지!$E$5:$E$1004,$B27))</f>
        <v/>
      </c>
      <c r="F27" s="24">
        <f>IF($B27="","",SUMIFS(업무일지!$AD$5:$AD$1004,업무일지!$B$5:$B$1004,"&gt;="&amp;DATE($B$3,1,1),업무일지!$B$5:$B$1004,"&lt;"&amp;DATE($B$3+1,1,1),업무일지!$E$5:$E$1004,$B27))</f>
        <v/>
      </c>
      <c r="G27" s="25">
        <f>IF($B27="","",SUMIFS(업무일지!$AE$5:$AE$1004,업무일지!$B$5:$B$1004,"&gt;="&amp;DATE($B$3,1,1),업무일지!$B$5:$B$1004,"&lt;"&amp;DATE($B$3+1,1,1),업무일지!$E$5:$E$1004,$B27))</f>
        <v/>
      </c>
      <c r="H27" s="57">
        <f>IFERROR(SUMIFS(업무일지!$AF$5:$AF$1004,업무일지!$B$5:$B$1004,"&gt;="&amp;DATE($B$3,1,1),업무일지!$B$5:$B$1004,"&lt;"&amp;DATE($B$3+1,1,1),업무일지!$E$5:$E$1004,$B27)/C27,0)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IFERROR(C28/$C$40,0)</f>
        <v/>
      </c>
      <c r="E28" s="24">
        <f>IF($B28="","",SUMIFS(업무일지!$Z$5:$Z$1004,업무일지!$B$5:$B$1004,"&gt;="&amp;DATE($B$3,1,1),업무일지!$B$5:$B$1004,"&lt;"&amp;DATE($B$3+1,1,1),업무일지!$E$5:$E$1004,$B28))</f>
        <v/>
      </c>
      <c r="F28" s="24">
        <f>IF($B28="","",SUMIFS(업무일지!$AD$5:$AD$1004,업무일지!$B$5:$B$1004,"&gt;="&amp;DATE($B$3,1,1),업무일지!$B$5:$B$1004,"&lt;"&amp;DATE($B$3+1,1,1),업무일지!$E$5:$E$1004,$B28))</f>
        <v/>
      </c>
      <c r="G28" s="25">
        <f>IF($B28="","",SUMIFS(업무일지!$AE$5:$AE$1004,업무일지!$B$5:$B$1004,"&gt;="&amp;DATE($B$3,1,1),업무일지!$B$5:$B$1004,"&lt;"&amp;DATE($B$3+1,1,1),업무일지!$E$5:$E$1004,$B28))</f>
        <v/>
      </c>
      <c r="H28" s="57">
        <f>IFERROR(SUMIFS(업무일지!$AF$5:$AF$1004,업무일지!$B$5:$B$1004,"&gt;="&amp;DATE($B$3,1,1),업무일지!$B$5:$B$1004,"&lt;"&amp;DATE($B$3+1,1,1),업무일지!$E$5:$E$1004,$B28)/C28,0)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IFERROR(C29/$C$40,0)</f>
        <v/>
      </c>
      <c r="E29" s="24">
        <f>IF($B29="","",SUMIFS(업무일지!$Z$5:$Z$1004,업무일지!$B$5:$B$1004,"&gt;="&amp;DATE($B$3,1,1),업무일지!$B$5:$B$1004,"&lt;"&amp;DATE($B$3+1,1,1),업무일지!$E$5:$E$1004,$B29))</f>
        <v/>
      </c>
      <c r="F29" s="24">
        <f>IF($B29="","",SUMIFS(업무일지!$AD$5:$AD$1004,업무일지!$B$5:$B$1004,"&gt;="&amp;DATE($B$3,1,1),업무일지!$B$5:$B$1004,"&lt;"&amp;DATE($B$3+1,1,1),업무일지!$E$5:$E$1004,$B29))</f>
        <v/>
      </c>
      <c r="G29" s="25">
        <f>IF($B29="","",SUMIFS(업무일지!$AE$5:$AE$1004,업무일지!$B$5:$B$1004,"&gt;="&amp;DATE($B$3,1,1),업무일지!$B$5:$B$1004,"&lt;"&amp;DATE($B$3+1,1,1),업무일지!$E$5:$E$1004,$B29))</f>
        <v/>
      </c>
      <c r="H29" s="57">
        <f>IFERROR(SUMIFS(업무일지!$AF$5:$AF$1004,업무일지!$B$5:$B$1004,"&gt;="&amp;DATE($B$3,1,1),업무일지!$B$5:$B$1004,"&lt;"&amp;DATE($B$3+1,1,1),업무일지!$E$5:$E$1004,$B29)/C29,0)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IFERROR(C30/$C$40,0)</f>
        <v/>
      </c>
      <c r="E30" s="24">
        <f>IF($B30="","",SUMIFS(업무일지!$Z$5:$Z$1004,업무일지!$B$5:$B$1004,"&gt;="&amp;DATE($B$3,1,1),업무일지!$B$5:$B$1004,"&lt;"&amp;DATE($B$3+1,1,1),업무일지!$E$5:$E$1004,$B30))</f>
        <v/>
      </c>
      <c r="F30" s="24">
        <f>IF($B30="","",SUMIFS(업무일지!$AD$5:$AD$1004,업무일지!$B$5:$B$1004,"&gt;="&amp;DATE($B$3,1,1),업무일지!$B$5:$B$1004,"&lt;"&amp;DATE($B$3+1,1,1),업무일지!$E$5:$E$1004,$B30))</f>
        <v/>
      </c>
      <c r="G30" s="25">
        <f>IF($B30="","",SUMIFS(업무일지!$AE$5:$AE$1004,업무일지!$B$5:$B$1004,"&gt;="&amp;DATE($B$3,1,1),업무일지!$B$5:$B$1004,"&lt;"&amp;DATE($B$3+1,1,1),업무일지!$E$5:$E$1004,$B30))</f>
        <v/>
      </c>
      <c r="H30" s="57">
        <f>IFERROR(SUMIFS(업무일지!$AF$5:$AF$1004,업무일지!$B$5:$B$1004,"&gt;="&amp;DATE($B$3,1,1),업무일지!$B$5:$B$1004,"&lt;"&amp;DATE($B$3+1,1,1),업무일지!$E$5:$E$1004,$B30)/C30,0)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IFERROR(C31/$C$40,0)</f>
        <v/>
      </c>
      <c r="E31" s="24">
        <f>IF($B31="","",SUMIFS(업무일지!$Z$5:$Z$1004,업무일지!$B$5:$B$1004,"&gt;="&amp;DATE($B$3,1,1),업무일지!$B$5:$B$1004,"&lt;"&amp;DATE($B$3+1,1,1),업무일지!$E$5:$E$1004,$B31))</f>
        <v/>
      </c>
      <c r="F31" s="24">
        <f>IF($B31="","",SUMIFS(업무일지!$AD$5:$AD$1004,업무일지!$B$5:$B$1004,"&gt;="&amp;DATE($B$3,1,1),업무일지!$B$5:$B$1004,"&lt;"&amp;DATE($B$3+1,1,1),업무일지!$E$5:$E$1004,$B31))</f>
        <v/>
      </c>
      <c r="G31" s="25">
        <f>IF($B31="","",SUMIFS(업무일지!$AE$5:$AE$1004,업무일지!$B$5:$B$1004,"&gt;="&amp;DATE($B$3,1,1),업무일지!$B$5:$B$1004,"&lt;"&amp;DATE($B$3+1,1,1),업무일지!$E$5:$E$1004,$B31))</f>
        <v/>
      </c>
      <c r="H31" s="57">
        <f>IFERROR(SUMIFS(업무일지!$AF$5:$AF$1004,업무일지!$B$5:$B$1004,"&gt;="&amp;DATE($B$3,1,1),업무일지!$B$5:$B$1004,"&lt;"&amp;DATE($B$3+1,1,1),업무일지!$E$5:$E$1004,$B31)/C31,0)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IFERROR(C32/$C$40,0)</f>
        <v/>
      </c>
      <c r="E32" s="24">
        <f>IF($B32="","",SUMIFS(업무일지!$Z$5:$Z$1004,업무일지!$B$5:$B$1004,"&gt;="&amp;DATE($B$3,1,1),업무일지!$B$5:$B$1004,"&lt;"&amp;DATE($B$3+1,1,1),업무일지!$E$5:$E$1004,$B32))</f>
        <v/>
      </c>
      <c r="F32" s="24">
        <f>IF($B32="","",SUMIFS(업무일지!$AD$5:$AD$1004,업무일지!$B$5:$B$1004,"&gt;="&amp;DATE($B$3,1,1),업무일지!$B$5:$B$1004,"&lt;"&amp;DATE($B$3+1,1,1),업무일지!$E$5:$E$1004,$B32))</f>
        <v/>
      </c>
      <c r="G32" s="25">
        <f>IF($B32="","",SUMIFS(업무일지!$AE$5:$AE$1004,업무일지!$B$5:$B$1004,"&gt;="&amp;DATE($B$3,1,1),업무일지!$B$5:$B$1004,"&lt;"&amp;DATE($B$3+1,1,1),업무일지!$E$5:$E$1004,$B32))</f>
        <v/>
      </c>
      <c r="H32" s="57">
        <f>IFERROR(SUMIFS(업무일지!$AF$5:$AF$1004,업무일지!$B$5:$B$1004,"&gt;="&amp;DATE($B$3,1,1),업무일지!$B$5:$B$1004,"&lt;"&amp;DATE($B$3+1,1,1),업무일지!$E$5:$E$1004,$B32)/C32,0)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IFERROR(C33/$C$40,0)</f>
        <v/>
      </c>
      <c r="E33" s="24">
        <f>IF($B33="","",SUMIFS(업무일지!$Z$5:$Z$1004,업무일지!$B$5:$B$1004,"&gt;="&amp;DATE($B$3,1,1),업무일지!$B$5:$B$1004,"&lt;"&amp;DATE($B$3+1,1,1),업무일지!$E$5:$E$1004,$B33))</f>
        <v/>
      </c>
      <c r="F33" s="24">
        <f>IF($B33="","",SUMIFS(업무일지!$AD$5:$AD$1004,업무일지!$B$5:$B$1004,"&gt;="&amp;DATE($B$3,1,1),업무일지!$B$5:$B$1004,"&lt;"&amp;DATE($B$3+1,1,1),업무일지!$E$5:$E$1004,$B33))</f>
        <v/>
      </c>
      <c r="G33" s="25">
        <f>IF($B33="","",SUMIFS(업무일지!$AE$5:$AE$1004,업무일지!$B$5:$B$1004,"&gt;="&amp;DATE($B$3,1,1),업무일지!$B$5:$B$1004,"&lt;"&amp;DATE($B$3+1,1,1),업무일지!$E$5:$E$1004,$B33))</f>
        <v/>
      </c>
      <c r="H33" s="57">
        <f>IFERROR(SUMIFS(업무일지!$AF$5:$AF$1004,업무일지!$B$5:$B$1004,"&gt;="&amp;DATE($B$3,1,1),업무일지!$B$5:$B$1004,"&lt;"&amp;DATE($B$3+1,1,1),업무일지!$E$5:$E$1004,$B33)/C33,0)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IFERROR(C34/$C$40,0)</f>
        <v/>
      </c>
      <c r="E34" s="24">
        <f>IF($B34="","",SUMIFS(업무일지!$Z$5:$Z$1004,업무일지!$B$5:$B$1004,"&gt;="&amp;DATE($B$3,1,1),업무일지!$B$5:$B$1004,"&lt;"&amp;DATE($B$3+1,1,1),업무일지!$E$5:$E$1004,$B34))</f>
        <v/>
      </c>
      <c r="F34" s="24">
        <f>IF($B34="","",SUMIFS(업무일지!$AD$5:$AD$1004,업무일지!$B$5:$B$1004,"&gt;="&amp;DATE($B$3,1,1),업무일지!$B$5:$B$1004,"&lt;"&amp;DATE($B$3+1,1,1),업무일지!$E$5:$E$1004,$B34))</f>
        <v/>
      </c>
      <c r="G34" s="25">
        <f>IF($B34="","",SUMIFS(업무일지!$AE$5:$AE$1004,업무일지!$B$5:$B$1004,"&gt;="&amp;DATE($B$3,1,1),업무일지!$B$5:$B$1004,"&lt;"&amp;DATE($B$3+1,1,1),업무일지!$E$5:$E$1004,$B34))</f>
        <v/>
      </c>
      <c r="H34" s="57">
        <f>IFERROR(SUMIFS(업무일지!$AF$5:$AF$1004,업무일지!$B$5:$B$1004,"&gt;="&amp;DATE($B$3,1,1),업무일지!$B$5:$B$1004,"&lt;"&amp;DATE($B$3+1,1,1),업무일지!$E$5:$E$1004,$B34)/C34,0)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IFERROR(C35/$C$40,0)</f>
        <v/>
      </c>
      <c r="E35" s="24">
        <f>IF($B35="","",SUMIFS(업무일지!$Z$5:$Z$1004,업무일지!$B$5:$B$1004,"&gt;="&amp;DATE($B$3,1,1),업무일지!$B$5:$B$1004,"&lt;"&amp;DATE($B$3+1,1,1),업무일지!$E$5:$E$1004,$B35))</f>
        <v/>
      </c>
      <c r="F35" s="24">
        <f>IF($B35="","",SUMIFS(업무일지!$AD$5:$AD$1004,업무일지!$B$5:$B$1004,"&gt;="&amp;DATE($B$3,1,1),업무일지!$B$5:$B$1004,"&lt;"&amp;DATE($B$3+1,1,1),업무일지!$E$5:$E$1004,$B35))</f>
        <v/>
      </c>
      <c r="G35" s="25">
        <f>IF($B35="","",SUMIFS(업무일지!$AE$5:$AE$1004,업무일지!$B$5:$B$1004,"&gt;="&amp;DATE($B$3,1,1),업무일지!$B$5:$B$1004,"&lt;"&amp;DATE($B$3+1,1,1),업무일지!$E$5:$E$1004,$B35))</f>
        <v/>
      </c>
      <c r="H35" s="57">
        <f>IFERROR(SUMIFS(업무일지!$AF$5:$AF$1004,업무일지!$B$5:$B$1004,"&gt;="&amp;DATE($B$3,1,1),업무일지!$B$5:$B$1004,"&lt;"&amp;DATE($B$3+1,1,1),업무일지!$E$5:$E$1004,$B35)/C35,0)</f>
        <v/>
      </c>
    </row>
    <row r="36">
      <c r="A36" s="55">
        <f>IF(코드설정!$A18="","",코드설정!$A18)</f>
        <v/>
      </c>
      <c r="B36" s="48">
        <f>IF(코드설정!$B18="","",코드설정!$B18)</f>
        <v/>
      </c>
      <c r="C36" s="24">
        <f>IF($B36="","",COUNTIFS(업무일지!$B$5:$B$1004,"&gt;="&amp;DATE($B$3,1,1),업무일지!$B$5:$B$1004,"&lt;"&amp;DATE($B$3+1,1,1),업무일지!$E$5:$E$1004,$B36))</f>
        <v/>
      </c>
      <c r="D36" s="56">
        <f>IFERROR(C36/$C$40,0)</f>
        <v/>
      </c>
      <c r="E36" s="24">
        <f>IF($B36="","",SUMIFS(업무일지!$Z$5:$Z$1004,업무일지!$B$5:$B$1004,"&gt;="&amp;DATE($B$3,1,1),업무일지!$B$5:$B$1004,"&lt;"&amp;DATE($B$3+1,1,1),업무일지!$E$5:$E$1004,$B36))</f>
        <v/>
      </c>
      <c r="F36" s="24">
        <f>IF($B36="","",SUMIFS(업무일지!$AD$5:$AD$1004,업무일지!$B$5:$B$1004,"&gt;="&amp;DATE($B$3,1,1),업무일지!$B$5:$B$1004,"&lt;"&amp;DATE($B$3+1,1,1),업무일지!$E$5:$E$1004,$B36))</f>
        <v/>
      </c>
      <c r="G36" s="25">
        <f>IF($B36="","",SUMIFS(업무일지!$AE$5:$AE$1004,업무일지!$B$5:$B$1004,"&gt;="&amp;DATE($B$3,1,1),업무일지!$B$5:$B$1004,"&lt;"&amp;DATE($B$3+1,1,1),업무일지!$E$5:$E$1004,$B36))</f>
        <v/>
      </c>
      <c r="H36" s="57">
        <f>IFERROR(SUMIFS(업무일지!$AF$5:$AF$1004,업무일지!$B$5:$B$1004,"&gt;="&amp;DATE($B$3,1,1),업무일지!$B$5:$B$1004,"&lt;"&amp;DATE($B$3+1,1,1),업무일지!$E$5:$E$1004,$B36)/C36,0)</f>
        <v/>
      </c>
    </row>
    <row r="37">
      <c r="A37" s="55">
        <f>IF(코드설정!$A19="","",코드설정!$A19)</f>
        <v/>
      </c>
      <c r="B37" s="48">
        <f>IF(코드설정!$B19="","",코드설정!$B19)</f>
        <v/>
      </c>
      <c r="C37" s="24">
        <f>IF($B37="","",COUNTIFS(업무일지!$B$5:$B$1004,"&gt;="&amp;DATE($B$3,1,1),업무일지!$B$5:$B$1004,"&lt;"&amp;DATE($B$3+1,1,1),업무일지!$E$5:$E$1004,$B37))</f>
        <v/>
      </c>
      <c r="D37" s="56">
        <f>IFERROR(C37/$C$40,0)</f>
        <v/>
      </c>
      <c r="E37" s="24">
        <f>IF($B37="","",SUMIFS(업무일지!$Z$5:$Z$1004,업무일지!$B$5:$B$1004,"&gt;="&amp;DATE($B$3,1,1),업무일지!$B$5:$B$1004,"&lt;"&amp;DATE($B$3+1,1,1),업무일지!$E$5:$E$1004,$B37))</f>
        <v/>
      </c>
      <c r="F37" s="24">
        <f>IF($B37="","",SUMIFS(업무일지!$AD$5:$AD$1004,업무일지!$B$5:$B$1004,"&gt;="&amp;DATE($B$3,1,1),업무일지!$B$5:$B$1004,"&lt;"&amp;DATE($B$3+1,1,1),업무일지!$E$5:$E$1004,$B37))</f>
        <v/>
      </c>
      <c r="G37" s="25">
        <f>IF($B37="","",SUMIFS(업무일지!$AE$5:$AE$1004,업무일지!$B$5:$B$1004,"&gt;="&amp;DATE($B$3,1,1),업무일지!$B$5:$B$1004,"&lt;"&amp;DATE($B$3+1,1,1),업무일지!$E$5:$E$1004,$B37))</f>
        <v/>
      </c>
      <c r="H37" s="57">
        <f>IFERROR(SUMIFS(업무일지!$AF$5:$AF$1004,업무일지!$B$5:$B$1004,"&gt;="&amp;DATE($B$3,1,1),업무일지!$B$5:$B$1004,"&lt;"&amp;DATE($B$3+1,1,1),업무일지!$E$5:$E$1004,$B37)/C37,0)</f>
        <v/>
      </c>
    </row>
    <row r="38">
      <c r="A38" s="55">
        <f>IF(코드설정!$A20="","",코드설정!$A20)</f>
        <v/>
      </c>
      <c r="B38" s="48">
        <f>IF(코드설정!$B20="","",코드설정!$B20)</f>
        <v/>
      </c>
      <c r="C38" s="24">
        <f>IF($B38="","",COUNTIFS(업무일지!$B$5:$B$1004,"&gt;="&amp;DATE($B$3,1,1),업무일지!$B$5:$B$1004,"&lt;"&amp;DATE($B$3+1,1,1),업무일지!$E$5:$E$1004,$B38))</f>
        <v/>
      </c>
      <c r="D38" s="56">
        <f>IFERROR(C38/$C$40,0)</f>
        <v/>
      </c>
      <c r="E38" s="24">
        <f>IF($B38="","",SUMIFS(업무일지!$Z$5:$Z$1004,업무일지!$B$5:$B$1004,"&gt;="&amp;DATE($B$3,1,1),업무일지!$B$5:$B$1004,"&lt;"&amp;DATE($B$3+1,1,1),업무일지!$E$5:$E$1004,$B38))</f>
        <v/>
      </c>
      <c r="F38" s="24">
        <f>IF($B38="","",SUMIFS(업무일지!$AD$5:$AD$1004,업무일지!$B$5:$B$1004,"&gt;="&amp;DATE($B$3,1,1),업무일지!$B$5:$B$1004,"&lt;"&amp;DATE($B$3+1,1,1),업무일지!$E$5:$E$1004,$B38))</f>
        <v/>
      </c>
      <c r="G38" s="25">
        <f>IF($B38="","",SUMIFS(업무일지!$AE$5:$AE$1004,업무일지!$B$5:$B$1004,"&gt;="&amp;DATE($B$3,1,1),업무일지!$B$5:$B$1004,"&lt;"&amp;DATE($B$3+1,1,1),업무일지!$E$5:$E$1004,$B38))</f>
        <v/>
      </c>
      <c r="H38" s="57">
        <f>IFERROR(SUMIFS(업무일지!$AF$5:$AF$1004,업무일지!$B$5:$B$1004,"&gt;="&amp;DATE($B$3,1,1),업무일지!$B$5:$B$1004,"&lt;"&amp;DATE($B$3+1,1,1),업무일지!$E$5:$E$1004,$B38)/C38,0)</f>
        <v/>
      </c>
    </row>
    <row r="39">
      <c r="A39" s="55">
        <f>IF(코드설정!$A21="","",코드설정!$A21)</f>
        <v/>
      </c>
      <c r="B39" s="48">
        <f>IF(코드설정!$B21="","",코드설정!$B21)</f>
        <v/>
      </c>
      <c r="C39" s="24">
        <f>IF($B39="","",COUNTIFS(업무일지!$B$5:$B$1004,"&gt;="&amp;DATE($B$3,1,1),업무일지!$B$5:$B$1004,"&lt;"&amp;DATE($B$3+1,1,1),업무일지!$E$5:$E$1004,$B39))</f>
        <v/>
      </c>
      <c r="D39" s="56">
        <f>IFERROR(C39/$C$40,0)</f>
        <v/>
      </c>
      <c r="E39" s="24">
        <f>IF($B39="","",SUMIFS(업무일지!$Z$5:$Z$1004,업무일지!$B$5:$B$1004,"&gt;="&amp;DATE($B$3,1,1),업무일지!$B$5:$B$1004,"&lt;"&amp;DATE($B$3+1,1,1),업무일지!$E$5:$E$1004,$B39))</f>
        <v/>
      </c>
      <c r="F39" s="24">
        <f>IF($B39="","",SUMIFS(업무일지!$AD$5:$AD$1004,업무일지!$B$5:$B$1004,"&gt;="&amp;DATE($B$3,1,1),업무일지!$B$5:$B$1004,"&lt;"&amp;DATE($B$3+1,1,1),업무일지!$E$5:$E$1004,$B39))</f>
        <v/>
      </c>
      <c r="G39" s="25">
        <f>IF($B39="","",SUMIFS(업무일지!$AE$5:$AE$1004,업무일지!$B$5:$B$1004,"&gt;="&amp;DATE($B$3,1,1),업무일지!$B$5:$B$1004,"&lt;"&amp;DATE($B$3+1,1,1),업무일지!$E$5:$E$1004,$B39))</f>
        <v/>
      </c>
      <c r="H39" s="57">
        <f>IFERROR(SUMIFS(업무일지!$AF$5:$AF$1004,업무일지!$B$5:$B$1004,"&gt;="&amp;DATE($B$3,1,1),업무일지!$B$5:$B$1004,"&lt;"&amp;DATE($B$3+1,1,1),업무일지!$E$5:$E$1004,$B39)/C39,0)</f>
        <v/>
      </c>
    </row>
    <row r="40">
      <c r="A40" s="27" t="inlineStr">
        <is>
          <t>합계</t>
        </is>
      </c>
      <c r="B40" s="27" t="inlineStr"/>
      <c r="C40" s="28">
        <f>SUM(C23:C39)</f>
        <v/>
      </c>
      <c r="D40" s="58">
        <f>IFERROR(C40/$C$40,0)</f>
        <v/>
      </c>
      <c r="E40" s="28">
        <f>SUM(E23:E39)</f>
        <v/>
      </c>
      <c r="F40" s="28">
        <f>SUM(F23:F39)</f>
        <v/>
      </c>
      <c r="G40" s="29">
        <f>SUM(G23:G39)</f>
        <v/>
      </c>
      <c r="H40" s="59">
        <f>IFERROR(SUMIFS(업무일지!$AF$5:$AF$1004,업무일지!$B$5:$B$1004,"&gt;="&amp;DATE($B$3,1,1),업무일지!$B$5:$B$1004,"&lt;"&amp;DATE($B$3+1,1,1))/C40,0)</f>
        <v/>
      </c>
    </row>
    <row r="42" ht="20" customHeight="1">
      <c r="A42" s="21" t="inlineStr">
        <is>
          <t>3.  팀별 현황 (연간 누계)   ※ 주담당자의 소속팀 기준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</row>
    <row r="43" ht="32" customHeight="1">
      <c r="A43" s="23" t="inlineStr">
        <is>
          <t>소속팀</t>
        </is>
      </c>
      <c r="B43" s="23" t="inlineStr">
        <is>
          <t>출장 회차</t>
        </is>
      </c>
      <c r="C43" s="23" t="inlineStr">
        <is>
          <t>분석 회차</t>
        </is>
      </c>
      <c r="D43" s="23" t="inlineStr">
        <is>
          <t>교육 회차</t>
        </is>
      </c>
      <c r="E43" s="23" t="inlineStr">
        <is>
          <t>전체 회차</t>
        </is>
      </c>
      <c r="F43" s="23" t="inlineStr">
        <is>
          <t>출장 소요일수</t>
        </is>
      </c>
      <c r="G43" s="23" t="inlineStr">
        <is>
          <t>연인원(명)</t>
        </is>
      </c>
      <c r="H43" s="23" t="inlineStr">
        <is>
          <t>대상매체(건)</t>
        </is>
      </c>
      <c r="I43" s="23" t="inlineStr">
        <is>
          <t>진행중</t>
        </is>
      </c>
    </row>
    <row r="44">
      <c r="A44" s="55">
        <f>IF(코드설정!$I5="","",코드설정!$I5)</f>
        <v/>
      </c>
      <c r="B44" s="24">
        <f>IF($A44="","",COUNTIFS(업무일지!$B$5:$B$1004,"&gt;="&amp;DATE($B$3,1,1),업무일지!$B$5:$B$1004,"&lt;"&amp;DATE($B$3+1,1,1),업무일지!$AB$5:$AB$1004,$A44,업무일지!$D$5:$D$1004,"출장"))</f>
        <v/>
      </c>
      <c r="C44" s="24">
        <f>IF($A44="","",COUNTIFS(업무일지!$B$5:$B$1004,"&gt;="&amp;DATE($B$3,1,1),업무일지!$B$5:$B$1004,"&lt;"&amp;DATE($B$3+1,1,1),업무일지!$AB$5:$AB$1004,$A44,업무일지!$D$5:$D$1004,"분석"))</f>
        <v/>
      </c>
      <c r="D44" s="24">
        <f>IF($A44="","",COUNTIFS(업무일지!$B$5:$B$1004,"&gt;="&amp;DATE($B$3,1,1),업무일지!$B$5:$B$1004,"&lt;"&amp;DATE($B$3+1,1,1),업무일지!$AB$5:$AB$1004,$A44,업무일지!$D$5:$D$1004,"교육"))</f>
        <v/>
      </c>
      <c r="E44" s="43">
        <f>IF($A44="","",B44+C44+D44)</f>
        <v/>
      </c>
      <c r="F44" s="24">
        <f>IF($A44="","",SUMIFS(업무일지!$AF$5:$AF$1004,업무일지!$B$5:$B$1004,"&gt;="&amp;DATE($B$3,1,1),업무일지!$B$5:$B$1004,"&lt;"&amp;DATE($B$3+1,1,1),업무일지!$AB$5:$AB$1004,$A44,업무일지!$D$5:$D$1004,"출장"))</f>
        <v/>
      </c>
      <c r="G44" s="24">
        <f>IF($A44="","",SUMIFS(업무일지!$Z$5:$Z$1004,업무일지!$B$5:$B$1004,"&gt;="&amp;DATE($B$3,1,1),업무일지!$B$5:$B$1004,"&lt;"&amp;DATE($B$3+1,1,1),업무일지!$AB$5:$AB$1004,$A44))</f>
        <v/>
      </c>
      <c r="H44" s="24">
        <f>IF($A44="","",SUMIFS(업무일지!$AD$5:$AD$1004,업무일지!$B$5:$B$1004,"&gt;="&amp;DATE($B$3,1,1),업무일지!$B$5:$B$1004,"&lt;"&amp;DATE($B$3+1,1,1),업무일지!$AB$5:$AB$1004,$A44))</f>
        <v/>
      </c>
      <c r="I44" s="24">
        <f>IF($A44="","",COUNTIFS(업무일지!$B$5:$B$1004,"&gt;="&amp;DATE($B$3,1,1),업무일지!$B$5:$B$1004,"&lt;"&amp;DATE($B$3+1,1,1),업무일지!$AB$5:$AB$1004,$A44,업무일지!$AG$5:$AG$1004,"진행중"))</f>
        <v/>
      </c>
    </row>
    <row r="45">
      <c r="A45" s="55">
        <f>IF(코드설정!$I6="","",코드설정!$I6)</f>
        <v/>
      </c>
      <c r="B45" s="24">
        <f>IF($A45="","",COUNTIFS(업무일지!$B$5:$B$1004,"&gt;="&amp;DATE($B$3,1,1),업무일지!$B$5:$B$1004,"&lt;"&amp;DATE($B$3+1,1,1),업무일지!$AB$5:$AB$1004,$A45,업무일지!$D$5:$D$1004,"출장"))</f>
        <v/>
      </c>
      <c r="C45" s="24">
        <f>IF($A45="","",COUNTIFS(업무일지!$B$5:$B$1004,"&gt;="&amp;DATE($B$3,1,1),업무일지!$B$5:$B$1004,"&lt;"&amp;DATE($B$3+1,1,1),업무일지!$AB$5:$AB$1004,$A45,업무일지!$D$5:$D$1004,"분석"))</f>
        <v/>
      </c>
      <c r="D45" s="24">
        <f>IF($A45="","",COUNTIFS(업무일지!$B$5:$B$1004,"&gt;="&amp;DATE($B$3,1,1),업무일지!$B$5:$B$1004,"&lt;"&amp;DATE($B$3+1,1,1),업무일지!$AB$5:$AB$1004,$A45,업무일지!$D$5:$D$1004,"교육"))</f>
        <v/>
      </c>
      <c r="E45" s="43">
        <f>IF($A45="","",B45+C45+D45)</f>
        <v/>
      </c>
      <c r="F45" s="24">
        <f>IF($A45="","",SUMIFS(업무일지!$AF$5:$AF$1004,업무일지!$B$5:$B$1004,"&gt;="&amp;DATE($B$3,1,1),업무일지!$B$5:$B$1004,"&lt;"&amp;DATE($B$3+1,1,1),업무일지!$AB$5:$AB$1004,$A45,업무일지!$D$5:$D$1004,"출장"))</f>
        <v/>
      </c>
      <c r="G45" s="24">
        <f>IF($A45="","",SUMIFS(업무일지!$Z$5:$Z$1004,업무일지!$B$5:$B$1004,"&gt;="&amp;DATE($B$3,1,1),업무일지!$B$5:$B$1004,"&lt;"&amp;DATE($B$3+1,1,1),업무일지!$AB$5:$AB$1004,$A45))</f>
        <v/>
      </c>
      <c r="H45" s="24">
        <f>IF($A45="","",SUMIFS(업무일지!$AD$5:$AD$1004,업무일지!$B$5:$B$1004,"&gt;="&amp;DATE($B$3,1,1),업무일지!$B$5:$B$1004,"&lt;"&amp;DATE($B$3+1,1,1),업무일지!$AB$5:$AB$1004,$A45))</f>
        <v/>
      </c>
      <c r="I45" s="24">
        <f>IF($A45="","",COUNTIFS(업무일지!$B$5:$B$1004,"&gt;="&amp;DATE($B$3,1,1),업무일지!$B$5:$B$1004,"&lt;"&amp;DATE($B$3+1,1,1),업무일지!$AB$5:$AB$1004,$A45,업무일지!$AG$5:$AG$1004,"진행중"))</f>
        <v/>
      </c>
    </row>
    <row r="46">
      <c r="A46" s="55">
        <f>IF(코드설정!$I7="","",코드설정!$I7)</f>
        <v/>
      </c>
      <c r="B46" s="24">
        <f>IF($A46="","",COUNTIFS(업무일지!$B$5:$B$1004,"&gt;="&amp;DATE($B$3,1,1),업무일지!$B$5:$B$1004,"&lt;"&amp;DATE($B$3+1,1,1),업무일지!$AB$5:$AB$1004,$A46,업무일지!$D$5:$D$1004,"출장"))</f>
        <v/>
      </c>
      <c r="C46" s="24">
        <f>IF($A46="","",COUNTIFS(업무일지!$B$5:$B$1004,"&gt;="&amp;DATE($B$3,1,1),업무일지!$B$5:$B$1004,"&lt;"&amp;DATE($B$3+1,1,1),업무일지!$AB$5:$AB$1004,$A46,업무일지!$D$5:$D$1004,"분석"))</f>
        <v/>
      </c>
      <c r="D46" s="24">
        <f>IF($A46="","",COUNTIFS(업무일지!$B$5:$B$1004,"&gt;="&amp;DATE($B$3,1,1),업무일지!$B$5:$B$1004,"&lt;"&amp;DATE($B$3+1,1,1),업무일지!$AB$5:$AB$1004,$A46,업무일지!$D$5:$D$1004,"교육"))</f>
        <v/>
      </c>
      <c r="E46" s="43">
        <f>IF($A46="","",B46+C46+D46)</f>
        <v/>
      </c>
      <c r="F46" s="24">
        <f>IF($A46="","",SUMIFS(업무일지!$AF$5:$AF$1004,업무일지!$B$5:$B$1004,"&gt;="&amp;DATE($B$3,1,1),업무일지!$B$5:$B$1004,"&lt;"&amp;DATE($B$3+1,1,1),업무일지!$AB$5:$AB$1004,$A46,업무일지!$D$5:$D$1004,"출장"))</f>
        <v/>
      </c>
      <c r="G46" s="24">
        <f>IF($A46="","",SUMIFS(업무일지!$Z$5:$Z$1004,업무일지!$B$5:$B$1004,"&gt;="&amp;DATE($B$3,1,1),업무일지!$B$5:$B$1004,"&lt;"&amp;DATE($B$3+1,1,1),업무일지!$AB$5:$AB$1004,$A46))</f>
        <v/>
      </c>
      <c r="H46" s="24">
        <f>IF($A46="","",SUMIFS(업무일지!$AD$5:$AD$1004,업무일지!$B$5:$B$1004,"&gt;="&amp;DATE($B$3,1,1),업무일지!$B$5:$B$1004,"&lt;"&amp;DATE($B$3+1,1,1),업무일지!$AB$5:$AB$1004,$A46))</f>
        <v/>
      </c>
      <c r="I46" s="24">
        <f>IF($A46="","",COUNTIFS(업무일지!$B$5:$B$1004,"&gt;="&amp;DATE($B$3,1,1),업무일지!$B$5:$B$1004,"&lt;"&amp;DATE($B$3+1,1,1),업무일지!$AB$5:$AB$1004,$A46,업무일지!$AG$5:$AG$1004,"진행중"))</f>
        <v/>
      </c>
    </row>
    <row r="47">
      <c r="A47" s="55">
        <f>IF(코드설정!$I8="","",코드설정!$I8)</f>
        <v/>
      </c>
      <c r="B47" s="24">
        <f>IF($A47="","",COUNTIFS(업무일지!$B$5:$B$1004,"&gt;="&amp;DATE($B$3,1,1),업무일지!$B$5:$B$1004,"&lt;"&amp;DATE($B$3+1,1,1),업무일지!$AB$5:$AB$1004,$A47,업무일지!$D$5:$D$1004,"출장"))</f>
        <v/>
      </c>
      <c r="C47" s="24">
        <f>IF($A47="","",COUNTIFS(업무일지!$B$5:$B$1004,"&gt;="&amp;DATE($B$3,1,1),업무일지!$B$5:$B$1004,"&lt;"&amp;DATE($B$3+1,1,1),업무일지!$AB$5:$AB$1004,$A47,업무일지!$D$5:$D$1004,"분석"))</f>
        <v/>
      </c>
      <c r="D47" s="24">
        <f>IF($A47="","",COUNTIFS(업무일지!$B$5:$B$1004,"&gt;="&amp;DATE($B$3,1,1),업무일지!$B$5:$B$1004,"&lt;"&amp;DATE($B$3+1,1,1),업무일지!$AB$5:$AB$1004,$A47,업무일지!$D$5:$D$1004,"교육"))</f>
        <v/>
      </c>
      <c r="E47" s="43">
        <f>IF($A47="","",B47+C47+D47)</f>
        <v/>
      </c>
      <c r="F47" s="24">
        <f>IF($A47="","",SUMIFS(업무일지!$AF$5:$AF$1004,업무일지!$B$5:$B$1004,"&gt;="&amp;DATE($B$3,1,1),업무일지!$B$5:$B$1004,"&lt;"&amp;DATE($B$3+1,1,1),업무일지!$AB$5:$AB$1004,$A47,업무일지!$D$5:$D$1004,"출장"))</f>
        <v/>
      </c>
      <c r="G47" s="24">
        <f>IF($A47="","",SUMIFS(업무일지!$Z$5:$Z$1004,업무일지!$B$5:$B$1004,"&gt;="&amp;DATE($B$3,1,1),업무일지!$B$5:$B$1004,"&lt;"&amp;DATE($B$3+1,1,1),업무일지!$AB$5:$AB$1004,$A47))</f>
        <v/>
      </c>
      <c r="H47" s="24">
        <f>IF($A47="","",SUMIFS(업무일지!$AD$5:$AD$1004,업무일지!$B$5:$B$1004,"&gt;="&amp;DATE($B$3,1,1),업무일지!$B$5:$B$1004,"&lt;"&amp;DATE($B$3+1,1,1),업무일지!$AB$5:$AB$1004,$A47))</f>
        <v/>
      </c>
      <c r="I47" s="24">
        <f>IF($A47="","",COUNTIFS(업무일지!$B$5:$B$1004,"&gt;="&amp;DATE($B$3,1,1),업무일지!$B$5:$B$1004,"&lt;"&amp;DATE($B$3+1,1,1),업무일지!$AB$5:$AB$1004,$A47,업무일지!$AG$5:$AG$1004,"진행중"))</f>
        <v/>
      </c>
    </row>
    <row r="48">
      <c r="A48" s="55">
        <f>IF(코드설정!$I9="","",코드설정!$I9)</f>
        <v/>
      </c>
      <c r="B48" s="24">
        <f>IF($A48="","",COUNTIFS(업무일지!$B$5:$B$1004,"&gt;="&amp;DATE($B$3,1,1),업무일지!$B$5:$B$1004,"&lt;"&amp;DATE($B$3+1,1,1),업무일지!$AB$5:$AB$1004,$A48,업무일지!$D$5:$D$1004,"출장"))</f>
        <v/>
      </c>
      <c r="C48" s="24">
        <f>IF($A48="","",COUNTIFS(업무일지!$B$5:$B$1004,"&gt;="&amp;DATE($B$3,1,1),업무일지!$B$5:$B$1004,"&lt;"&amp;DATE($B$3+1,1,1),업무일지!$AB$5:$AB$1004,$A48,업무일지!$D$5:$D$1004,"분석"))</f>
        <v/>
      </c>
      <c r="D48" s="24">
        <f>IF($A48="","",COUNTIFS(업무일지!$B$5:$B$1004,"&gt;="&amp;DATE($B$3,1,1),업무일지!$B$5:$B$1004,"&lt;"&amp;DATE($B$3+1,1,1),업무일지!$AB$5:$AB$1004,$A48,업무일지!$D$5:$D$1004,"교육"))</f>
        <v/>
      </c>
      <c r="E48" s="43">
        <f>IF($A48="","",B48+C48+D48)</f>
        <v/>
      </c>
      <c r="F48" s="24">
        <f>IF($A48="","",SUMIFS(업무일지!$AF$5:$AF$1004,업무일지!$B$5:$B$1004,"&gt;="&amp;DATE($B$3,1,1),업무일지!$B$5:$B$1004,"&lt;"&amp;DATE($B$3+1,1,1),업무일지!$AB$5:$AB$1004,$A48,업무일지!$D$5:$D$1004,"출장"))</f>
        <v/>
      </c>
      <c r="G48" s="24">
        <f>IF($A48="","",SUMIFS(업무일지!$Z$5:$Z$1004,업무일지!$B$5:$B$1004,"&gt;="&amp;DATE($B$3,1,1),업무일지!$B$5:$B$1004,"&lt;"&amp;DATE($B$3+1,1,1),업무일지!$AB$5:$AB$1004,$A48))</f>
        <v/>
      </c>
      <c r="H48" s="24">
        <f>IF($A48="","",SUMIFS(업무일지!$AD$5:$AD$1004,업무일지!$B$5:$B$1004,"&gt;="&amp;DATE($B$3,1,1),업무일지!$B$5:$B$1004,"&lt;"&amp;DATE($B$3+1,1,1),업무일지!$AB$5:$AB$1004,$A48))</f>
        <v/>
      </c>
      <c r="I48" s="24">
        <f>IF($A48="","",COUNTIFS(업무일지!$B$5:$B$1004,"&gt;="&amp;DATE($B$3,1,1),업무일지!$B$5:$B$1004,"&lt;"&amp;DATE($B$3+1,1,1),업무일지!$AB$5:$AB$1004,$A48,업무일지!$AG$5:$AG$1004,"진행중"))</f>
        <v/>
      </c>
    </row>
    <row r="49">
      <c r="A49" s="55">
        <f>IF(코드설정!$I10="","",코드설정!$I10)</f>
        <v/>
      </c>
      <c r="B49" s="24">
        <f>IF($A49="","",COUNTIFS(업무일지!$B$5:$B$1004,"&gt;="&amp;DATE($B$3,1,1),업무일지!$B$5:$B$1004,"&lt;"&amp;DATE($B$3+1,1,1),업무일지!$AB$5:$AB$1004,$A49,업무일지!$D$5:$D$1004,"출장"))</f>
        <v/>
      </c>
      <c r="C49" s="24">
        <f>IF($A49="","",COUNTIFS(업무일지!$B$5:$B$1004,"&gt;="&amp;DATE($B$3,1,1),업무일지!$B$5:$B$1004,"&lt;"&amp;DATE($B$3+1,1,1),업무일지!$AB$5:$AB$1004,$A49,업무일지!$D$5:$D$1004,"분석"))</f>
        <v/>
      </c>
      <c r="D49" s="24">
        <f>IF($A49="","",COUNTIFS(업무일지!$B$5:$B$1004,"&gt;="&amp;DATE($B$3,1,1),업무일지!$B$5:$B$1004,"&lt;"&amp;DATE($B$3+1,1,1),업무일지!$AB$5:$AB$1004,$A49,업무일지!$D$5:$D$1004,"교육"))</f>
        <v/>
      </c>
      <c r="E49" s="43">
        <f>IF($A49="","",B49+C49+D49)</f>
        <v/>
      </c>
      <c r="F49" s="24">
        <f>IF($A49="","",SUMIFS(업무일지!$AF$5:$AF$1004,업무일지!$B$5:$B$1004,"&gt;="&amp;DATE($B$3,1,1),업무일지!$B$5:$B$1004,"&lt;"&amp;DATE($B$3+1,1,1),업무일지!$AB$5:$AB$1004,$A49,업무일지!$D$5:$D$1004,"출장"))</f>
        <v/>
      </c>
      <c r="G49" s="24">
        <f>IF($A49="","",SUMIFS(업무일지!$Z$5:$Z$1004,업무일지!$B$5:$B$1004,"&gt;="&amp;DATE($B$3,1,1),업무일지!$B$5:$B$1004,"&lt;"&amp;DATE($B$3+1,1,1),업무일지!$AB$5:$AB$1004,$A49))</f>
        <v/>
      </c>
      <c r="H49" s="24">
        <f>IF($A49="","",SUMIFS(업무일지!$AD$5:$AD$1004,업무일지!$B$5:$B$1004,"&gt;="&amp;DATE($B$3,1,1),업무일지!$B$5:$B$1004,"&lt;"&amp;DATE($B$3+1,1,1),업무일지!$AB$5:$AB$1004,$A49))</f>
        <v/>
      </c>
      <c r="I49" s="24">
        <f>IF($A49="","",COUNTIFS(업무일지!$B$5:$B$1004,"&gt;="&amp;DATE($B$3,1,1),업무일지!$B$5:$B$1004,"&lt;"&amp;DATE($B$3+1,1,1),업무일지!$AB$5:$AB$1004,$A49,업무일지!$AG$5:$AG$1004,"진행중"))</f>
        <v/>
      </c>
    </row>
    <row r="50">
      <c r="A50" s="55">
        <f>IF(코드설정!$I11="","",코드설정!$I11)</f>
        <v/>
      </c>
      <c r="B50" s="24">
        <f>IF($A50="","",COUNTIFS(업무일지!$B$5:$B$1004,"&gt;="&amp;DATE($B$3,1,1),업무일지!$B$5:$B$1004,"&lt;"&amp;DATE($B$3+1,1,1),업무일지!$AB$5:$AB$1004,$A50,업무일지!$D$5:$D$1004,"출장"))</f>
        <v/>
      </c>
      <c r="C50" s="24">
        <f>IF($A50="","",COUNTIFS(업무일지!$B$5:$B$1004,"&gt;="&amp;DATE($B$3,1,1),업무일지!$B$5:$B$1004,"&lt;"&amp;DATE($B$3+1,1,1),업무일지!$AB$5:$AB$1004,$A50,업무일지!$D$5:$D$1004,"분석"))</f>
        <v/>
      </c>
      <c r="D50" s="24">
        <f>IF($A50="","",COUNTIFS(업무일지!$B$5:$B$1004,"&gt;="&amp;DATE($B$3,1,1),업무일지!$B$5:$B$1004,"&lt;"&amp;DATE($B$3+1,1,1),업무일지!$AB$5:$AB$1004,$A50,업무일지!$D$5:$D$1004,"교육"))</f>
        <v/>
      </c>
      <c r="E50" s="43">
        <f>IF($A50="","",B50+C50+D50)</f>
        <v/>
      </c>
      <c r="F50" s="24">
        <f>IF($A50="","",SUMIFS(업무일지!$AF$5:$AF$1004,업무일지!$B$5:$B$1004,"&gt;="&amp;DATE($B$3,1,1),업무일지!$B$5:$B$1004,"&lt;"&amp;DATE($B$3+1,1,1),업무일지!$AB$5:$AB$1004,$A50,업무일지!$D$5:$D$1004,"출장"))</f>
        <v/>
      </c>
      <c r="G50" s="24">
        <f>IF($A50="","",SUMIFS(업무일지!$Z$5:$Z$1004,업무일지!$B$5:$B$1004,"&gt;="&amp;DATE($B$3,1,1),업무일지!$B$5:$B$1004,"&lt;"&amp;DATE($B$3+1,1,1),업무일지!$AB$5:$AB$1004,$A50))</f>
        <v/>
      </c>
      <c r="H50" s="24">
        <f>IF($A50="","",SUMIFS(업무일지!$AD$5:$AD$1004,업무일지!$B$5:$B$1004,"&gt;="&amp;DATE($B$3,1,1),업무일지!$B$5:$B$1004,"&lt;"&amp;DATE($B$3+1,1,1),업무일지!$AB$5:$AB$1004,$A50))</f>
        <v/>
      </c>
      <c r="I50" s="24">
        <f>IF($A50="","",COUNTIFS(업무일지!$B$5:$B$1004,"&gt;="&amp;DATE($B$3,1,1),업무일지!$B$5:$B$1004,"&lt;"&amp;DATE($B$3+1,1,1),업무일지!$AB$5:$AB$1004,$A50,업무일지!$AG$5:$AG$1004,"진행중"))</f>
        <v/>
      </c>
    </row>
    <row r="51">
      <c r="A51" s="55">
        <f>IF(코드설정!$I12="","",코드설정!$I12)</f>
        <v/>
      </c>
      <c r="B51" s="24">
        <f>IF($A51="","",COUNTIFS(업무일지!$B$5:$B$1004,"&gt;="&amp;DATE($B$3,1,1),업무일지!$B$5:$B$1004,"&lt;"&amp;DATE($B$3+1,1,1),업무일지!$AB$5:$AB$1004,$A51,업무일지!$D$5:$D$1004,"출장"))</f>
        <v/>
      </c>
      <c r="C51" s="24">
        <f>IF($A51="","",COUNTIFS(업무일지!$B$5:$B$1004,"&gt;="&amp;DATE($B$3,1,1),업무일지!$B$5:$B$1004,"&lt;"&amp;DATE($B$3+1,1,1),업무일지!$AB$5:$AB$1004,$A51,업무일지!$D$5:$D$1004,"분석"))</f>
        <v/>
      </c>
      <c r="D51" s="24">
        <f>IF($A51="","",COUNTIFS(업무일지!$B$5:$B$1004,"&gt;="&amp;DATE($B$3,1,1),업무일지!$B$5:$B$1004,"&lt;"&amp;DATE($B$3+1,1,1),업무일지!$AB$5:$AB$1004,$A51,업무일지!$D$5:$D$1004,"교육"))</f>
        <v/>
      </c>
      <c r="E51" s="43">
        <f>IF($A51="","",B51+C51+D51)</f>
        <v/>
      </c>
      <c r="F51" s="24">
        <f>IF($A51="","",SUMIFS(업무일지!$AF$5:$AF$1004,업무일지!$B$5:$B$1004,"&gt;="&amp;DATE($B$3,1,1),업무일지!$B$5:$B$1004,"&lt;"&amp;DATE($B$3+1,1,1),업무일지!$AB$5:$AB$1004,$A51,업무일지!$D$5:$D$1004,"출장"))</f>
        <v/>
      </c>
      <c r="G51" s="24">
        <f>IF($A51="","",SUMIFS(업무일지!$Z$5:$Z$1004,업무일지!$B$5:$B$1004,"&gt;="&amp;DATE($B$3,1,1),업무일지!$B$5:$B$1004,"&lt;"&amp;DATE($B$3+1,1,1),업무일지!$AB$5:$AB$1004,$A51))</f>
        <v/>
      </c>
      <c r="H51" s="24">
        <f>IF($A51="","",SUMIFS(업무일지!$AD$5:$AD$1004,업무일지!$B$5:$B$1004,"&gt;="&amp;DATE($B$3,1,1),업무일지!$B$5:$B$1004,"&lt;"&amp;DATE($B$3+1,1,1),업무일지!$AB$5:$AB$1004,$A51))</f>
        <v/>
      </c>
      <c r="I51" s="24">
        <f>IF($A51="","",COUNTIFS(업무일지!$B$5:$B$1004,"&gt;="&amp;DATE($B$3,1,1),업무일지!$B$5:$B$1004,"&lt;"&amp;DATE($B$3+1,1,1),업무일지!$AB$5:$AB$1004,$A51,업무일지!$AG$5:$AG$1004,"진행중"))</f>
        <v/>
      </c>
    </row>
    <row r="52">
      <c r="A52" s="55">
        <f>IF(코드설정!$I13="","",코드설정!$I13)</f>
        <v/>
      </c>
      <c r="B52" s="24">
        <f>IF($A52="","",COUNTIFS(업무일지!$B$5:$B$1004,"&gt;="&amp;DATE($B$3,1,1),업무일지!$B$5:$B$1004,"&lt;"&amp;DATE($B$3+1,1,1),업무일지!$AB$5:$AB$1004,$A52,업무일지!$D$5:$D$1004,"출장"))</f>
        <v/>
      </c>
      <c r="C52" s="24">
        <f>IF($A52="","",COUNTIFS(업무일지!$B$5:$B$1004,"&gt;="&amp;DATE($B$3,1,1),업무일지!$B$5:$B$1004,"&lt;"&amp;DATE($B$3+1,1,1),업무일지!$AB$5:$AB$1004,$A52,업무일지!$D$5:$D$1004,"분석"))</f>
        <v/>
      </c>
      <c r="D52" s="24">
        <f>IF($A52="","",COUNTIFS(업무일지!$B$5:$B$1004,"&gt;="&amp;DATE($B$3,1,1),업무일지!$B$5:$B$1004,"&lt;"&amp;DATE($B$3+1,1,1),업무일지!$AB$5:$AB$1004,$A52,업무일지!$D$5:$D$1004,"교육"))</f>
        <v/>
      </c>
      <c r="E52" s="43">
        <f>IF($A52="","",B52+C52+D52)</f>
        <v/>
      </c>
      <c r="F52" s="24">
        <f>IF($A52="","",SUMIFS(업무일지!$AF$5:$AF$1004,업무일지!$B$5:$B$1004,"&gt;="&amp;DATE($B$3,1,1),업무일지!$B$5:$B$1004,"&lt;"&amp;DATE($B$3+1,1,1),업무일지!$AB$5:$AB$1004,$A52,업무일지!$D$5:$D$1004,"출장"))</f>
        <v/>
      </c>
      <c r="G52" s="24">
        <f>IF($A52="","",SUMIFS(업무일지!$Z$5:$Z$1004,업무일지!$B$5:$B$1004,"&gt;="&amp;DATE($B$3,1,1),업무일지!$B$5:$B$1004,"&lt;"&amp;DATE($B$3+1,1,1),업무일지!$AB$5:$AB$1004,$A52))</f>
        <v/>
      </c>
      <c r="H52" s="24">
        <f>IF($A52="","",SUMIFS(업무일지!$AD$5:$AD$1004,업무일지!$B$5:$B$1004,"&gt;="&amp;DATE($B$3,1,1),업무일지!$B$5:$B$1004,"&lt;"&amp;DATE($B$3+1,1,1),업무일지!$AB$5:$AB$1004,$A52))</f>
        <v/>
      </c>
      <c r="I52" s="24">
        <f>IF($A52="","",COUNTIFS(업무일지!$B$5:$B$1004,"&gt;="&amp;DATE($B$3,1,1),업무일지!$B$5:$B$1004,"&lt;"&amp;DATE($B$3+1,1,1),업무일지!$AB$5:$AB$1004,$A52,업무일지!$AG$5:$AG$1004,"진행중"))</f>
        <v/>
      </c>
    </row>
    <row r="53">
      <c r="A53" s="55">
        <f>IF(코드설정!$I14="","",코드설정!$I14)</f>
        <v/>
      </c>
      <c r="B53" s="24">
        <f>IF($A53="","",COUNTIFS(업무일지!$B$5:$B$1004,"&gt;="&amp;DATE($B$3,1,1),업무일지!$B$5:$B$1004,"&lt;"&amp;DATE($B$3+1,1,1),업무일지!$AB$5:$AB$1004,$A53,업무일지!$D$5:$D$1004,"출장"))</f>
        <v/>
      </c>
      <c r="C53" s="24">
        <f>IF($A53="","",COUNTIFS(업무일지!$B$5:$B$1004,"&gt;="&amp;DATE($B$3,1,1),업무일지!$B$5:$B$1004,"&lt;"&amp;DATE($B$3+1,1,1),업무일지!$AB$5:$AB$1004,$A53,업무일지!$D$5:$D$1004,"분석"))</f>
        <v/>
      </c>
      <c r="D53" s="24">
        <f>IF($A53="","",COUNTIFS(업무일지!$B$5:$B$1004,"&gt;="&amp;DATE($B$3,1,1),업무일지!$B$5:$B$1004,"&lt;"&amp;DATE($B$3+1,1,1),업무일지!$AB$5:$AB$1004,$A53,업무일지!$D$5:$D$1004,"교육"))</f>
        <v/>
      </c>
      <c r="E53" s="43">
        <f>IF($A53="","",B53+C53+D53)</f>
        <v/>
      </c>
      <c r="F53" s="24">
        <f>IF($A53="","",SUMIFS(업무일지!$AF$5:$AF$1004,업무일지!$B$5:$B$1004,"&gt;="&amp;DATE($B$3,1,1),업무일지!$B$5:$B$1004,"&lt;"&amp;DATE($B$3+1,1,1),업무일지!$AB$5:$AB$1004,$A53,업무일지!$D$5:$D$1004,"출장"))</f>
        <v/>
      </c>
      <c r="G53" s="24">
        <f>IF($A53="","",SUMIFS(업무일지!$Z$5:$Z$1004,업무일지!$B$5:$B$1004,"&gt;="&amp;DATE($B$3,1,1),업무일지!$B$5:$B$1004,"&lt;"&amp;DATE($B$3+1,1,1),업무일지!$AB$5:$AB$1004,$A53))</f>
        <v/>
      </c>
      <c r="H53" s="24">
        <f>IF($A53="","",SUMIFS(업무일지!$AD$5:$AD$1004,업무일지!$B$5:$B$1004,"&gt;="&amp;DATE($B$3,1,1),업무일지!$B$5:$B$1004,"&lt;"&amp;DATE($B$3+1,1,1),업무일지!$AB$5:$AB$1004,$A53))</f>
        <v/>
      </c>
      <c r="I53" s="24">
        <f>IF($A53="","",COUNTIFS(업무일지!$B$5:$B$1004,"&gt;="&amp;DATE($B$3,1,1),업무일지!$B$5:$B$1004,"&lt;"&amp;DATE($B$3+1,1,1),업무일지!$AB$5:$AB$1004,$A53,업무일지!$AG$5:$AG$1004,"진행중"))</f>
        <v/>
      </c>
    </row>
    <row r="54">
      <c r="A54" s="27" t="inlineStr">
        <is>
          <t>합계</t>
        </is>
      </c>
      <c r="B54" s="28">
        <f>SUM(B44:B53)</f>
        <v/>
      </c>
      <c r="C54" s="28">
        <f>SUM(C44:C53)</f>
        <v/>
      </c>
      <c r="D54" s="28">
        <f>SUM(D44:D53)</f>
        <v/>
      </c>
      <c r="E54" s="28">
        <f>SUM(E44:E53)</f>
        <v/>
      </c>
      <c r="F54" s="28">
        <f>SUM(F44:F53)</f>
        <v/>
      </c>
      <c r="G54" s="28">
        <f>SUM(G44:G53)</f>
        <v/>
      </c>
      <c r="H54" s="28">
        <f>SUM(H44:H53)</f>
        <v/>
      </c>
      <c r="I54" s="28">
        <f>SUM(I44:I53)</f>
        <v/>
      </c>
    </row>
    <row r="56" ht="20" customHeight="1">
      <c r="A56" s="21" t="inlineStr">
        <is>
          <t>4.  진행상태별 · 요청·의뢰처별 현황 (연간 누계)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 ht="32" customHeight="1">
      <c r="A57" s="23" t="inlineStr">
        <is>
          <t>진행상태</t>
        </is>
      </c>
      <c r="B57" s="23" t="inlineStr">
        <is>
          <t>출장</t>
        </is>
      </c>
      <c r="C57" s="23" t="inlineStr">
        <is>
          <t>분석</t>
        </is>
      </c>
      <c r="D57" s="23" t="inlineStr">
        <is>
          <t>교육</t>
        </is>
      </c>
      <c r="E57" s="23" t="inlineStr">
        <is>
          <t>합계</t>
        </is>
      </c>
      <c r="F57" s="60" t="inlineStr"/>
      <c r="G57" s="23" t="inlineStr">
        <is>
          <t>요청·의뢰처</t>
        </is>
      </c>
      <c r="H57" s="23" t="inlineStr">
        <is>
          <t>출장</t>
        </is>
      </c>
      <c r="I57" s="23" t="inlineStr">
        <is>
          <t>분석</t>
        </is>
      </c>
      <c r="J57" s="23" t="inlineStr">
        <is>
          <t>교육</t>
        </is>
      </c>
      <c r="K57" s="23" t="inlineStr">
        <is>
          <t>합계</t>
        </is>
      </c>
    </row>
    <row r="58">
      <c r="A58" s="55">
        <f>IF(코드설정!$F5="","",코드설정!$F5)</f>
        <v/>
      </c>
      <c r="B58" s="24">
        <f>IF($A58="","",COUNTIFS(업무일지!$B$5:$B$1004,"&gt;="&amp;DATE($B$3,1,1),업무일지!$B$5:$B$1004,"&lt;"&amp;DATE($B$3+1,1,1),업무일지!$AG$5:$AG$1004,$A58,업무일지!$D$5:$D$1004,"출장"))</f>
        <v/>
      </c>
      <c r="C58" s="24">
        <f>IF($A58="","",COUNTIFS(업무일지!$B$5:$B$1004,"&gt;="&amp;DATE($B$3,1,1),업무일지!$B$5:$B$1004,"&lt;"&amp;DATE($B$3+1,1,1),업무일지!$AG$5:$AG$1004,$A58,업무일지!$D$5:$D$1004,"분석"))</f>
        <v/>
      </c>
      <c r="D58" s="24">
        <f>IF($A58="","",COUNTIFS(업무일지!$B$5:$B$1004,"&gt;="&amp;DATE($B$3,1,1),업무일지!$B$5:$B$1004,"&lt;"&amp;DATE($B$3+1,1,1),업무일지!$AG$5:$AG$1004,$A58,업무일지!$D$5:$D$1004,"교육"))</f>
        <v/>
      </c>
      <c r="E58" s="43">
        <f>IF($A58="","",B58+C58+D58)</f>
        <v/>
      </c>
      <c r="G58" s="48">
        <f>IF(코드설정!$E5="","",코드설정!$E5)</f>
        <v/>
      </c>
      <c r="H58" s="24">
        <f>IF($G58="","",COUNTIFS(업무일지!$B$5:$B$1004,"&gt;="&amp;DATE($B$3,1,1),업무일지!$B$5:$B$1004,"&lt;"&amp;DATE($B$3+1,1,1),업무일지!$I$5:$I$1004,$G58,업무일지!$D$5:$D$1004,"출장"))</f>
        <v/>
      </c>
      <c r="I58" s="24">
        <f>IF($G58="","",COUNTIFS(업무일지!$B$5:$B$1004,"&gt;="&amp;DATE($B$3,1,1),업무일지!$B$5:$B$1004,"&lt;"&amp;DATE($B$3+1,1,1),업무일지!$I$5:$I$1004,$G58,업무일지!$D$5:$D$1004,"분석"))</f>
        <v/>
      </c>
      <c r="J58" s="24">
        <f>IF($G58="","",COUNTIFS(업무일지!$B$5:$B$1004,"&gt;="&amp;DATE($B$3,1,1),업무일지!$B$5:$B$1004,"&lt;"&amp;DATE($B$3+1,1,1),업무일지!$I$5:$I$1004,$G58,업무일지!$D$5:$D$1004,"교육"))</f>
        <v/>
      </c>
      <c r="K58" s="43">
        <f>IF($G58="","",H58+I58+J58)</f>
        <v/>
      </c>
    </row>
    <row r="59">
      <c r="A59" s="55">
        <f>IF(코드설정!$F6="","",코드설정!$F6)</f>
        <v/>
      </c>
      <c r="B59" s="24">
        <f>IF($A59="","",COUNTIFS(업무일지!$B$5:$B$1004,"&gt;="&amp;DATE($B$3,1,1),업무일지!$B$5:$B$1004,"&lt;"&amp;DATE($B$3+1,1,1),업무일지!$AG$5:$AG$1004,$A59,업무일지!$D$5:$D$1004,"출장"))</f>
        <v/>
      </c>
      <c r="C59" s="24">
        <f>IF($A59="","",COUNTIFS(업무일지!$B$5:$B$1004,"&gt;="&amp;DATE($B$3,1,1),업무일지!$B$5:$B$1004,"&lt;"&amp;DATE($B$3+1,1,1),업무일지!$AG$5:$AG$1004,$A59,업무일지!$D$5:$D$1004,"분석"))</f>
        <v/>
      </c>
      <c r="D59" s="24">
        <f>IF($A59="","",COUNTIFS(업무일지!$B$5:$B$1004,"&gt;="&amp;DATE($B$3,1,1),업무일지!$B$5:$B$1004,"&lt;"&amp;DATE($B$3+1,1,1),업무일지!$AG$5:$AG$1004,$A59,업무일지!$D$5:$D$1004,"교육"))</f>
        <v/>
      </c>
      <c r="E59" s="43">
        <f>IF($A59="","",B59+C59+D59)</f>
        <v/>
      </c>
      <c r="G59" s="48">
        <f>IF(코드설정!$E6="","",코드설정!$E6)</f>
        <v/>
      </c>
      <c r="H59" s="24">
        <f>IF($G59="","",COUNTIFS(업무일지!$B$5:$B$1004,"&gt;="&amp;DATE($B$3,1,1),업무일지!$B$5:$B$1004,"&lt;"&amp;DATE($B$3+1,1,1),업무일지!$I$5:$I$1004,$G59,업무일지!$D$5:$D$1004,"출장"))</f>
        <v/>
      </c>
      <c r="I59" s="24">
        <f>IF($G59="","",COUNTIFS(업무일지!$B$5:$B$1004,"&gt;="&amp;DATE($B$3,1,1),업무일지!$B$5:$B$1004,"&lt;"&amp;DATE($B$3+1,1,1),업무일지!$I$5:$I$1004,$G59,업무일지!$D$5:$D$1004,"분석"))</f>
        <v/>
      </c>
      <c r="J59" s="24">
        <f>IF($G59="","",COUNTIFS(업무일지!$B$5:$B$1004,"&gt;="&amp;DATE($B$3,1,1),업무일지!$B$5:$B$1004,"&lt;"&amp;DATE($B$3+1,1,1),업무일지!$I$5:$I$1004,$G59,업무일지!$D$5:$D$1004,"교육"))</f>
        <v/>
      </c>
      <c r="K59" s="43">
        <f>IF($G59="","",H59+I59+J59)</f>
        <v/>
      </c>
    </row>
    <row r="60">
      <c r="A60" s="55">
        <f>IF(코드설정!$F7="","",코드설정!$F7)</f>
        <v/>
      </c>
      <c r="B60" s="24">
        <f>IF($A60="","",COUNTIFS(업무일지!$B$5:$B$1004,"&gt;="&amp;DATE($B$3,1,1),업무일지!$B$5:$B$1004,"&lt;"&amp;DATE($B$3+1,1,1),업무일지!$AG$5:$AG$1004,$A60,업무일지!$D$5:$D$1004,"출장"))</f>
        <v/>
      </c>
      <c r="C60" s="24">
        <f>IF($A60="","",COUNTIFS(업무일지!$B$5:$B$1004,"&gt;="&amp;DATE($B$3,1,1),업무일지!$B$5:$B$1004,"&lt;"&amp;DATE($B$3+1,1,1),업무일지!$AG$5:$AG$1004,$A60,업무일지!$D$5:$D$1004,"분석"))</f>
        <v/>
      </c>
      <c r="D60" s="24">
        <f>IF($A60="","",COUNTIFS(업무일지!$B$5:$B$1004,"&gt;="&amp;DATE($B$3,1,1),업무일지!$B$5:$B$1004,"&lt;"&amp;DATE($B$3+1,1,1),업무일지!$AG$5:$AG$1004,$A60,업무일지!$D$5:$D$1004,"교육"))</f>
        <v/>
      </c>
      <c r="E60" s="43">
        <f>IF($A60="","",B60+C60+D60)</f>
        <v/>
      </c>
      <c r="G60" s="48">
        <f>IF(코드설정!$E7="","",코드설정!$E7)</f>
        <v/>
      </c>
      <c r="H60" s="24">
        <f>IF($G60="","",COUNTIFS(업무일지!$B$5:$B$1004,"&gt;="&amp;DATE($B$3,1,1),업무일지!$B$5:$B$1004,"&lt;"&amp;DATE($B$3+1,1,1),업무일지!$I$5:$I$1004,$G60,업무일지!$D$5:$D$1004,"출장"))</f>
        <v/>
      </c>
      <c r="I60" s="24">
        <f>IF($G60="","",COUNTIFS(업무일지!$B$5:$B$1004,"&gt;="&amp;DATE($B$3,1,1),업무일지!$B$5:$B$1004,"&lt;"&amp;DATE($B$3+1,1,1),업무일지!$I$5:$I$1004,$G60,업무일지!$D$5:$D$1004,"분석"))</f>
        <v/>
      </c>
      <c r="J60" s="24">
        <f>IF($G60="","",COUNTIFS(업무일지!$B$5:$B$1004,"&gt;="&amp;DATE($B$3,1,1),업무일지!$B$5:$B$1004,"&lt;"&amp;DATE($B$3+1,1,1),업무일지!$I$5:$I$1004,$G60,업무일지!$D$5:$D$1004,"교육"))</f>
        <v/>
      </c>
      <c r="K60" s="43">
        <f>IF($G60="","",H60+I60+J60)</f>
        <v/>
      </c>
    </row>
    <row r="61">
      <c r="G61" s="48">
        <f>IF(코드설정!$E8="","",코드설정!$E8)</f>
        <v/>
      </c>
      <c r="H61" s="24">
        <f>IF($G61="","",COUNTIFS(업무일지!$B$5:$B$1004,"&gt;="&amp;DATE($B$3,1,1),업무일지!$B$5:$B$1004,"&lt;"&amp;DATE($B$3+1,1,1),업무일지!$I$5:$I$1004,$G61,업무일지!$D$5:$D$1004,"출장"))</f>
        <v/>
      </c>
      <c r="I61" s="24">
        <f>IF($G61="","",COUNTIFS(업무일지!$B$5:$B$1004,"&gt;="&amp;DATE($B$3,1,1),업무일지!$B$5:$B$1004,"&lt;"&amp;DATE($B$3+1,1,1),업무일지!$I$5:$I$1004,$G61,업무일지!$D$5:$D$1004,"분석"))</f>
        <v/>
      </c>
      <c r="J61" s="24">
        <f>IF($G61="","",COUNTIFS(업무일지!$B$5:$B$1004,"&gt;="&amp;DATE($B$3,1,1),업무일지!$B$5:$B$1004,"&lt;"&amp;DATE($B$3+1,1,1),업무일지!$I$5:$I$1004,$G61,업무일지!$D$5:$D$1004,"교육"))</f>
        <v/>
      </c>
      <c r="K61" s="43">
        <f>IF($G61="","",H61+I61+J61)</f>
        <v/>
      </c>
    </row>
    <row r="62">
      <c r="G62" s="48">
        <f>IF(코드설정!$E9="","",코드설정!$E9)</f>
        <v/>
      </c>
      <c r="H62" s="24">
        <f>IF($G62="","",COUNTIFS(업무일지!$B$5:$B$1004,"&gt;="&amp;DATE($B$3,1,1),업무일지!$B$5:$B$1004,"&lt;"&amp;DATE($B$3+1,1,1),업무일지!$I$5:$I$1004,$G62,업무일지!$D$5:$D$1004,"출장"))</f>
        <v/>
      </c>
      <c r="I62" s="24">
        <f>IF($G62="","",COUNTIFS(업무일지!$B$5:$B$1004,"&gt;="&amp;DATE($B$3,1,1),업무일지!$B$5:$B$1004,"&lt;"&amp;DATE($B$3+1,1,1),업무일지!$I$5:$I$1004,$G62,업무일지!$D$5:$D$1004,"분석"))</f>
        <v/>
      </c>
      <c r="J62" s="24">
        <f>IF($G62="","",COUNTIFS(업무일지!$B$5:$B$1004,"&gt;="&amp;DATE($B$3,1,1),업무일지!$B$5:$B$1004,"&lt;"&amp;DATE($B$3+1,1,1),업무일지!$I$5:$I$1004,$G62,업무일지!$D$5:$D$1004,"교육"))</f>
        <v/>
      </c>
      <c r="K62" s="43">
        <f>IF($G62="","",H62+I62+J62)</f>
        <v/>
      </c>
    </row>
    <row r="63">
      <c r="G63" s="48">
        <f>IF(코드설정!$E10="","",코드설정!$E10)</f>
        <v/>
      </c>
      <c r="H63" s="24">
        <f>IF($G63="","",COUNTIFS(업무일지!$B$5:$B$1004,"&gt;="&amp;DATE($B$3,1,1),업무일지!$B$5:$B$1004,"&lt;"&amp;DATE($B$3+1,1,1),업무일지!$I$5:$I$1004,$G63,업무일지!$D$5:$D$1004,"출장"))</f>
        <v/>
      </c>
      <c r="I63" s="24">
        <f>IF($G63="","",COUNTIFS(업무일지!$B$5:$B$1004,"&gt;="&amp;DATE($B$3,1,1),업무일지!$B$5:$B$1004,"&lt;"&amp;DATE($B$3+1,1,1),업무일지!$I$5:$I$1004,$G63,업무일지!$D$5:$D$1004,"분석"))</f>
        <v/>
      </c>
      <c r="J63" s="24">
        <f>IF($G63="","",COUNTIFS(업무일지!$B$5:$B$1004,"&gt;="&amp;DATE($B$3,1,1),업무일지!$B$5:$B$1004,"&lt;"&amp;DATE($B$3+1,1,1),업무일지!$I$5:$I$1004,$G63,업무일지!$D$5:$D$1004,"교육"))</f>
        <v/>
      </c>
      <c r="K63" s="43">
        <f>IF($G63="","",H63+I63+J63)</f>
        <v/>
      </c>
    </row>
    <row r="64">
      <c r="G64" s="48">
        <f>IF(코드설정!$E11="","",코드설정!$E11)</f>
        <v/>
      </c>
      <c r="H64" s="24">
        <f>IF($G64="","",COUNTIFS(업무일지!$B$5:$B$1004,"&gt;="&amp;DATE($B$3,1,1),업무일지!$B$5:$B$1004,"&lt;"&amp;DATE($B$3+1,1,1),업무일지!$I$5:$I$1004,$G64,업무일지!$D$5:$D$1004,"출장"))</f>
        <v/>
      </c>
      <c r="I64" s="24">
        <f>IF($G64="","",COUNTIFS(업무일지!$B$5:$B$1004,"&gt;="&amp;DATE($B$3,1,1),업무일지!$B$5:$B$1004,"&lt;"&amp;DATE($B$3+1,1,1),업무일지!$I$5:$I$1004,$G64,업무일지!$D$5:$D$1004,"분석"))</f>
        <v/>
      </c>
      <c r="J64" s="24">
        <f>IF($G64="","",COUNTIFS(업무일지!$B$5:$B$1004,"&gt;="&amp;DATE($B$3,1,1),업무일지!$B$5:$B$1004,"&lt;"&amp;DATE($B$3+1,1,1),업무일지!$I$5:$I$1004,$G64,업무일지!$D$5:$D$1004,"교육"))</f>
        <v/>
      </c>
      <c r="K64" s="43">
        <f>IF($G64="","",H64+I64+J64)</f>
        <v/>
      </c>
    </row>
    <row r="65">
      <c r="G65" s="48">
        <f>IF(코드설정!$E12="","",코드설정!$E12)</f>
        <v/>
      </c>
      <c r="H65" s="24">
        <f>IF($G65="","",COUNTIFS(업무일지!$B$5:$B$1004,"&gt;="&amp;DATE($B$3,1,1),업무일지!$B$5:$B$1004,"&lt;"&amp;DATE($B$3+1,1,1),업무일지!$I$5:$I$1004,$G65,업무일지!$D$5:$D$1004,"출장"))</f>
        <v/>
      </c>
      <c r="I65" s="24">
        <f>IF($G65="","",COUNTIFS(업무일지!$B$5:$B$1004,"&gt;="&amp;DATE($B$3,1,1),업무일지!$B$5:$B$1004,"&lt;"&amp;DATE($B$3+1,1,1),업무일지!$I$5:$I$1004,$G65,업무일지!$D$5:$D$1004,"분석"))</f>
        <v/>
      </c>
      <c r="J65" s="24">
        <f>IF($G65="","",COUNTIFS(업무일지!$B$5:$B$1004,"&gt;="&amp;DATE($B$3,1,1),업무일지!$B$5:$B$1004,"&lt;"&amp;DATE($B$3+1,1,1),업무일지!$I$5:$I$1004,$G65,업무일지!$D$5:$D$1004,"교육"))</f>
        <v/>
      </c>
      <c r="K65" s="43">
        <f>IF($G65="","",H65+I65+J65)</f>
        <v/>
      </c>
    </row>
    <row r="66">
      <c r="G66" s="48">
        <f>IF(코드설정!$E13="","",코드설정!$E13)</f>
        <v/>
      </c>
      <c r="H66" s="24">
        <f>IF($G66="","",COUNTIFS(업무일지!$B$5:$B$1004,"&gt;="&amp;DATE($B$3,1,1),업무일지!$B$5:$B$1004,"&lt;"&amp;DATE($B$3+1,1,1),업무일지!$I$5:$I$1004,$G66,업무일지!$D$5:$D$1004,"출장"))</f>
        <v/>
      </c>
      <c r="I66" s="24">
        <f>IF($G66="","",COUNTIFS(업무일지!$B$5:$B$1004,"&gt;="&amp;DATE($B$3,1,1),업무일지!$B$5:$B$1004,"&lt;"&amp;DATE($B$3+1,1,1),업무일지!$I$5:$I$1004,$G66,업무일지!$D$5:$D$1004,"분석"))</f>
        <v/>
      </c>
      <c r="J66" s="24">
        <f>IF($G66="","",COUNTIFS(업무일지!$B$5:$B$1004,"&gt;="&amp;DATE($B$3,1,1),업무일지!$B$5:$B$1004,"&lt;"&amp;DATE($B$3+1,1,1),업무일지!$I$5:$I$1004,$G66,업무일지!$D$5:$D$1004,"교육"))</f>
        <v/>
      </c>
      <c r="K66" s="43">
        <f>IF($G66="","",H66+I66+J66)</f>
        <v/>
      </c>
    </row>
    <row r="67">
      <c r="G67" s="48">
        <f>IF(코드설정!$E14="","",코드설정!$E14)</f>
        <v/>
      </c>
      <c r="H67" s="24">
        <f>IF($G67="","",COUNTIFS(업무일지!$B$5:$B$1004,"&gt;="&amp;DATE($B$3,1,1),업무일지!$B$5:$B$1004,"&lt;"&amp;DATE($B$3+1,1,1),업무일지!$I$5:$I$1004,$G67,업무일지!$D$5:$D$1004,"출장"))</f>
        <v/>
      </c>
      <c r="I67" s="24">
        <f>IF($G67="","",COUNTIFS(업무일지!$B$5:$B$1004,"&gt;="&amp;DATE($B$3,1,1),업무일지!$B$5:$B$1004,"&lt;"&amp;DATE($B$3+1,1,1),업무일지!$I$5:$I$1004,$G67,업무일지!$D$5:$D$1004,"분석"))</f>
        <v/>
      </c>
      <c r="J67" s="24">
        <f>IF($G67="","",COUNTIFS(업무일지!$B$5:$B$1004,"&gt;="&amp;DATE($B$3,1,1),업무일지!$B$5:$B$1004,"&lt;"&amp;DATE($B$3+1,1,1),업무일지!$I$5:$I$1004,$G67,업무일지!$D$5:$D$1004,"교육"))</f>
        <v/>
      </c>
      <c r="K67" s="43">
        <f>IF($G67="","",H67+I67+J67)</f>
        <v/>
      </c>
    </row>
    <row r="69" ht="20" customHeight="1">
      <c r="A69" s="21" t="inlineStr">
        <is>
          <t>5.  일일 실시사항 요약 (연간 누계)</t>
        </is>
      </c>
      <c r="B69" s="22" t="n"/>
      <c r="C69" s="22" t="n"/>
      <c r="D69" s="22" t="n"/>
    </row>
    <row r="70" ht="32" customHeight="1">
      <c r="A70" s="23" t="inlineStr">
        <is>
          <t>업무구분</t>
        </is>
      </c>
      <c r="B70" s="23" t="inlineStr">
        <is>
          <t>건수</t>
        </is>
      </c>
      <c r="C70" s="23" t="inlineStr">
        <is>
          <t>비중</t>
        </is>
      </c>
      <c r="D70" s="23" t="inlineStr">
        <is>
          <t>진행중</t>
        </is>
      </c>
    </row>
    <row r="71">
      <c r="A71" s="48">
        <f>IF(코드설정!$G5="","",코드설정!$G5)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IFERROR(B71/$B$81,0)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IF(코드설정!$G6="","",코드설정!$G6)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IFERROR(B72/$B$81,0)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IF(코드설정!$G7="","",코드설정!$G7)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IFERROR(B73/$B$81,0)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IF(코드설정!$G8="","",코드설정!$G8)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IFERROR(B74/$B$81,0)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IF(코드설정!$G9="","",코드설정!$G9)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IFERROR(B75/$B$81,0)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IF(코드설정!$G10="","",코드설정!$G10)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IFERROR(B76/$B$81,0)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48">
        <f>IF(코드설정!$G11="","",코드설정!$G11)</f>
        <v/>
      </c>
      <c r="B77" s="24">
        <f>IF($A77="","",COUNTIFS(일일실시사항!$B$5:$B$1004,"&gt;="&amp;DATE($B$3,1,1),일일실시사항!$B$5:$B$1004,"&lt;"&amp;DATE($B$3+1,1,1),일일실시사항!$F$5:$F$1004,$A77))</f>
        <v/>
      </c>
      <c r="C77" s="56">
        <f>IFERROR(B77/$B$81,0)</f>
        <v/>
      </c>
      <c r="D77" s="24">
        <f>IF($A77="","",COUNTIFS(일일실시사항!$B$5:$B$1004,"&gt;="&amp;DATE($B$3,1,1),일일실시사항!$B$5:$B$1004,"&lt;"&amp;DATE($B$3+1,1,1),일일실시사항!$F$5:$F$1004,$A77,일일실시사항!$J$5:$J$1004,"진행중"))</f>
        <v/>
      </c>
    </row>
    <row r="78">
      <c r="A78" s="48">
        <f>IF(코드설정!$G12="","",코드설정!$G12)</f>
        <v/>
      </c>
      <c r="B78" s="24">
        <f>IF($A78="","",COUNTIFS(일일실시사항!$B$5:$B$1004,"&gt;="&amp;DATE($B$3,1,1),일일실시사항!$B$5:$B$1004,"&lt;"&amp;DATE($B$3+1,1,1),일일실시사항!$F$5:$F$1004,$A78))</f>
        <v/>
      </c>
      <c r="C78" s="56">
        <f>IFERROR(B78/$B$81,0)</f>
        <v/>
      </c>
      <c r="D78" s="24">
        <f>IF($A78="","",COUNTIFS(일일실시사항!$B$5:$B$1004,"&gt;="&amp;DATE($B$3,1,1),일일실시사항!$B$5:$B$1004,"&lt;"&amp;DATE($B$3+1,1,1),일일실시사항!$F$5:$F$1004,$A78,일일실시사항!$J$5:$J$1004,"진행중"))</f>
        <v/>
      </c>
    </row>
    <row r="79">
      <c r="A79" s="48">
        <f>IF(코드설정!$G13="","",코드설정!$G13)</f>
        <v/>
      </c>
      <c r="B79" s="24">
        <f>IF($A79="","",COUNTIFS(일일실시사항!$B$5:$B$1004,"&gt;="&amp;DATE($B$3,1,1),일일실시사항!$B$5:$B$1004,"&lt;"&amp;DATE($B$3+1,1,1),일일실시사항!$F$5:$F$1004,$A79))</f>
        <v/>
      </c>
      <c r="C79" s="56">
        <f>IFERROR(B79/$B$81,0)</f>
        <v/>
      </c>
      <c r="D79" s="24">
        <f>IF($A79="","",COUNTIFS(일일실시사항!$B$5:$B$1004,"&gt;="&amp;DATE($B$3,1,1),일일실시사항!$B$5:$B$1004,"&lt;"&amp;DATE($B$3+1,1,1),일일실시사항!$F$5:$F$1004,$A79,일일실시사항!$J$5:$J$1004,"진행중"))</f>
        <v/>
      </c>
    </row>
    <row r="80">
      <c r="A80" s="48">
        <f>IF(코드설정!$G14="","",코드설정!$G14)</f>
        <v/>
      </c>
      <c r="B80" s="24">
        <f>IF($A80="","",COUNTIFS(일일실시사항!$B$5:$B$1004,"&gt;="&amp;DATE($B$3,1,1),일일실시사항!$B$5:$B$1004,"&lt;"&amp;DATE($B$3+1,1,1),일일실시사항!$F$5:$F$1004,$A80))</f>
        <v/>
      </c>
      <c r="C80" s="56">
        <f>IFERROR(B80/$B$81,0)</f>
        <v/>
      </c>
      <c r="D80" s="24">
        <f>IF($A80="","",COUNTIFS(일일실시사항!$B$5:$B$1004,"&gt;="&amp;DATE($B$3,1,1),일일실시사항!$B$5:$B$1004,"&lt;"&amp;DATE($B$3+1,1,1),일일실시사항!$F$5:$F$1004,$A80,일일실시사항!$J$5:$J$1004,"진행중"))</f>
        <v/>
      </c>
    </row>
    <row r="81">
      <c r="A81" s="27" t="inlineStr">
        <is>
          <t>합계</t>
        </is>
      </c>
      <c r="B81" s="28">
        <f>SUM(B71:B80)</f>
        <v/>
      </c>
      <c r="C81" s="58">
        <f>IFERROR(B81/$B$81,0)</f>
        <v/>
      </c>
      <c r="D81" s="28">
        <f>SUM(D71:D80)</f>
        <v/>
      </c>
    </row>
    <row r="83">
      <c r="A83" s="7" t="inlineStr">
        <is>
          <t>※ 연인원 = 각 건의 투입인원을 그대로 합산한 값(같은 사람이 여러 건에 참여하면 중복 계상)입니다.</t>
        </is>
      </c>
    </row>
    <row r="84">
      <c r="A84" s="7" t="inlineStr">
        <is>
          <t>※ [전체 사건]은 [출장 사건] + [분석 사건]이 아닙니다. 한 사건에서 둘 다 했으면 전체에는 1로만 잡힙니다.</t>
        </is>
      </c>
      <c r="O84" s="7" t="inlineStr">
        <is>
          <t>▼ 고유 사건 수 계산용 (지우지 마세요) — 사건번호 / 출장 월별 / 분석 월별 / 전체 월별 / 연간</t>
        </is>
      </c>
    </row>
    <row r="85">
      <c r="A85" s="7" t="inlineStr">
        <is>
          <t>※ 교육은 사건과 묶이지 않으므로 회차만 집계합니다.</t>
        </is>
      </c>
      <c r="O85">
        <f>IF(사건마스터!$A5="","",사건마스터!$A5)</f>
        <v/>
      </c>
      <c r="P85">
        <f>IF($O85="",0,IF(COUNTIFS(업무일지!$F$5:$F$1004,$O85,업무일지!$B$5:$B$1004,"&gt;="&amp;DATE($B$3,1,1),업무일지!$B$5:$B$1004,"&lt;"&amp;DATE($B$3,1+1,1),업무일지!$D$5:$D$1004,"출장")&gt;0,1,0))</f>
        <v/>
      </c>
      <c r="Q85">
        <f>IF($O85="",0,IF(COUNTIFS(업무일지!$F$5:$F$1004,$O85,업무일지!$B$5:$B$1004,"&gt;="&amp;DATE($B$3,2,1),업무일지!$B$5:$B$1004,"&lt;"&amp;DATE($B$3,2+1,1),업무일지!$D$5:$D$1004,"출장")&gt;0,1,0))</f>
        <v/>
      </c>
      <c r="R85">
        <f>IF($O85="",0,IF(COUNTIFS(업무일지!$F$5:$F$1004,$O85,업무일지!$B$5:$B$1004,"&gt;="&amp;DATE($B$3,3,1),업무일지!$B$5:$B$1004,"&lt;"&amp;DATE($B$3,3+1,1),업무일지!$D$5:$D$1004,"출장")&gt;0,1,0))</f>
        <v/>
      </c>
      <c r="S85">
        <f>IF($O85="",0,IF(COUNTIFS(업무일지!$F$5:$F$1004,$O85,업무일지!$B$5:$B$1004,"&gt;="&amp;DATE($B$3,4,1),업무일지!$B$5:$B$1004,"&lt;"&amp;DATE($B$3,4+1,1),업무일지!$D$5:$D$1004,"출장")&gt;0,1,0))</f>
        <v/>
      </c>
      <c r="T85">
        <f>IF($O85="",0,IF(COUNTIFS(업무일지!$F$5:$F$1004,$O85,업무일지!$B$5:$B$1004,"&gt;="&amp;DATE($B$3,5,1),업무일지!$B$5:$B$1004,"&lt;"&amp;DATE($B$3,5+1,1),업무일지!$D$5:$D$1004,"출장")&gt;0,1,0))</f>
        <v/>
      </c>
      <c r="U85">
        <f>IF($O85="",0,IF(COUNTIFS(업무일지!$F$5:$F$1004,$O85,업무일지!$B$5:$B$1004,"&gt;="&amp;DATE($B$3,6,1),업무일지!$B$5:$B$1004,"&lt;"&amp;DATE($B$3,6+1,1),업무일지!$D$5:$D$1004,"출장")&gt;0,1,0))</f>
        <v/>
      </c>
      <c r="V85">
        <f>IF($O85="",0,IF(COUNTIFS(업무일지!$F$5:$F$1004,$O85,업무일지!$B$5:$B$1004,"&gt;="&amp;DATE($B$3,7,1),업무일지!$B$5:$B$1004,"&lt;"&amp;DATE($B$3,7+1,1),업무일지!$D$5:$D$1004,"출장")&gt;0,1,0))</f>
        <v/>
      </c>
      <c r="W85">
        <f>IF($O85="",0,IF(COUNTIFS(업무일지!$F$5:$F$1004,$O85,업무일지!$B$5:$B$1004,"&gt;="&amp;DATE($B$3,8,1),업무일지!$B$5:$B$1004,"&lt;"&amp;DATE($B$3,8+1,1),업무일지!$D$5:$D$1004,"출장")&gt;0,1,0))</f>
        <v/>
      </c>
      <c r="X85">
        <f>IF($O85="",0,IF(COUNTIFS(업무일지!$F$5:$F$1004,$O85,업무일지!$B$5:$B$1004,"&gt;="&amp;DATE($B$3,9,1),업무일지!$B$5:$B$1004,"&lt;"&amp;DATE($B$3,9+1,1),업무일지!$D$5:$D$1004,"출장")&gt;0,1,0))</f>
        <v/>
      </c>
      <c r="Y85">
        <f>IF($O85="",0,IF(COUNTIFS(업무일지!$F$5:$F$1004,$O85,업무일지!$B$5:$B$1004,"&gt;="&amp;DATE($B$3,10,1),업무일지!$B$5:$B$1004,"&lt;"&amp;DATE($B$3,10+1,1),업무일지!$D$5:$D$1004,"출장")&gt;0,1,0))</f>
        <v/>
      </c>
      <c r="Z85">
        <f>IF($O85="",0,IF(COUNTIFS(업무일지!$F$5:$F$1004,$O85,업무일지!$B$5:$B$1004,"&gt;="&amp;DATE($B$3,11,1),업무일지!$B$5:$B$1004,"&lt;"&amp;DATE($B$3,11+1,1),업무일지!$D$5:$D$1004,"출장")&gt;0,1,0))</f>
        <v/>
      </c>
      <c r="AA85">
        <f>IF($O85="",0,IF(COUNTIFS(업무일지!$F$5:$F$1004,$O85,업무일지!$B$5:$B$1004,"&gt;="&amp;DATE($B$3,12,1),업무일지!$B$5:$B$1004,"&lt;"&amp;DATE($B$3,12+1,1),업무일지!$D$5:$D$1004,"출장")&gt;0,1,0))</f>
        <v/>
      </c>
      <c r="AB85">
        <f>IF($O85="",0,IF(COUNTIFS(업무일지!$F$5:$F$1004,$O85,업무일지!$B$5:$B$1004,"&gt;="&amp;DATE($B$3,1,1),업무일지!$B$5:$B$1004,"&lt;"&amp;DATE($B$3,1+1,1),업무일지!$D$5:$D$1004,"분석")&gt;0,1,0))</f>
        <v/>
      </c>
      <c r="AC85">
        <f>IF($O85="",0,IF(COUNTIFS(업무일지!$F$5:$F$1004,$O85,업무일지!$B$5:$B$1004,"&gt;="&amp;DATE($B$3,2,1),업무일지!$B$5:$B$1004,"&lt;"&amp;DATE($B$3,2+1,1),업무일지!$D$5:$D$1004,"분석")&gt;0,1,0))</f>
        <v/>
      </c>
      <c r="AD85">
        <f>IF($O85="",0,IF(COUNTIFS(업무일지!$F$5:$F$1004,$O85,업무일지!$B$5:$B$1004,"&gt;="&amp;DATE($B$3,3,1),업무일지!$B$5:$B$1004,"&lt;"&amp;DATE($B$3,3+1,1),업무일지!$D$5:$D$1004,"분석")&gt;0,1,0))</f>
        <v/>
      </c>
      <c r="AE85">
        <f>IF($O85="",0,IF(COUNTIFS(업무일지!$F$5:$F$1004,$O85,업무일지!$B$5:$B$1004,"&gt;="&amp;DATE($B$3,4,1),업무일지!$B$5:$B$1004,"&lt;"&amp;DATE($B$3,4+1,1),업무일지!$D$5:$D$1004,"분석")&gt;0,1,0))</f>
        <v/>
      </c>
      <c r="AF85">
        <f>IF($O85="",0,IF(COUNTIFS(업무일지!$F$5:$F$1004,$O85,업무일지!$B$5:$B$1004,"&gt;="&amp;DATE($B$3,5,1),업무일지!$B$5:$B$1004,"&lt;"&amp;DATE($B$3,5+1,1),업무일지!$D$5:$D$1004,"분석")&gt;0,1,0))</f>
        <v/>
      </c>
      <c r="AG85">
        <f>IF($O85="",0,IF(COUNTIFS(업무일지!$F$5:$F$1004,$O85,업무일지!$B$5:$B$1004,"&gt;="&amp;DATE($B$3,6,1),업무일지!$B$5:$B$1004,"&lt;"&amp;DATE($B$3,6+1,1),업무일지!$D$5:$D$1004,"분석")&gt;0,1,0))</f>
        <v/>
      </c>
      <c r="AH85">
        <f>IF($O85="",0,IF(COUNTIFS(업무일지!$F$5:$F$1004,$O85,업무일지!$B$5:$B$1004,"&gt;="&amp;DATE($B$3,7,1),업무일지!$B$5:$B$1004,"&lt;"&amp;DATE($B$3,7+1,1),업무일지!$D$5:$D$1004,"분석")&gt;0,1,0))</f>
        <v/>
      </c>
      <c r="AI85">
        <f>IF($O85="",0,IF(COUNTIFS(업무일지!$F$5:$F$1004,$O85,업무일지!$B$5:$B$1004,"&gt;="&amp;DATE($B$3,8,1),업무일지!$B$5:$B$1004,"&lt;"&amp;DATE($B$3,8+1,1),업무일지!$D$5:$D$1004,"분석")&gt;0,1,0))</f>
        <v/>
      </c>
      <c r="AJ85">
        <f>IF($O85="",0,IF(COUNTIFS(업무일지!$F$5:$F$1004,$O85,업무일지!$B$5:$B$1004,"&gt;="&amp;DATE($B$3,9,1),업무일지!$B$5:$B$1004,"&lt;"&amp;DATE($B$3,9+1,1),업무일지!$D$5:$D$1004,"분석")&gt;0,1,0))</f>
        <v/>
      </c>
      <c r="AK85">
        <f>IF($O85="",0,IF(COUNTIFS(업무일지!$F$5:$F$1004,$O85,업무일지!$B$5:$B$1004,"&gt;="&amp;DATE($B$3,10,1),업무일지!$B$5:$B$1004,"&lt;"&amp;DATE($B$3,10+1,1),업무일지!$D$5:$D$1004,"분석")&gt;0,1,0))</f>
        <v/>
      </c>
      <c r="AL85">
        <f>IF($O85="",0,IF(COUNTIFS(업무일지!$F$5:$F$1004,$O85,업무일지!$B$5:$B$1004,"&gt;="&amp;DATE($B$3,11,1),업무일지!$B$5:$B$1004,"&lt;"&amp;DATE($B$3,11+1,1),업무일지!$D$5:$D$1004,"분석")&gt;0,1,0))</f>
        <v/>
      </c>
      <c r="AM85">
        <f>IF($O85="",0,IF(COUNTIFS(업무일지!$F$5:$F$1004,$O85,업무일지!$B$5:$B$1004,"&gt;="&amp;DATE($B$3,12,1),업무일지!$B$5:$B$1004,"&lt;"&amp;DATE($B$3,12+1,1),업무일지!$D$5:$D$1004,"분석")&gt;0,1,0))</f>
        <v/>
      </c>
      <c r="AN85">
        <f>IF($O85="",0,IF(COUNTIFS(업무일지!$F$5:$F$1004,$O85,업무일지!$B$5:$B$1004,"&gt;="&amp;DATE($B$3,1,1),업무일지!$B$5:$B$1004,"&lt;"&amp;DATE($B$3,1+1,1))&gt;0,1,0))</f>
        <v/>
      </c>
      <c r="AO85">
        <f>IF($O85="",0,IF(COUNTIFS(업무일지!$F$5:$F$1004,$O85,업무일지!$B$5:$B$1004,"&gt;="&amp;DATE($B$3,2,1),업무일지!$B$5:$B$1004,"&lt;"&amp;DATE($B$3,2+1,1))&gt;0,1,0))</f>
        <v/>
      </c>
      <c r="AP85">
        <f>IF($O85="",0,IF(COUNTIFS(업무일지!$F$5:$F$1004,$O85,업무일지!$B$5:$B$1004,"&gt;="&amp;DATE($B$3,3,1),업무일지!$B$5:$B$1004,"&lt;"&amp;DATE($B$3,3+1,1))&gt;0,1,0))</f>
        <v/>
      </c>
      <c r="AQ85">
        <f>IF($O85="",0,IF(COUNTIFS(업무일지!$F$5:$F$1004,$O85,업무일지!$B$5:$B$1004,"&gt;="&amp;DATE($B$3,4,1),업무일지!$B$5:$B$1004,"&lt;"&amp;DATE($B$3,4+1,1))&gt;0,1,0))</f>
        <v/>
      </c>
      <c r="AR85">
        <f>IF($O85="",0,IF(COUNTIFS(업무일지!$F$5:$F$1004,$O85,업무일지!$B$5:$B$1004,"&gt;="&amp;DATE($B$3,5,1),업무일지!$B$5:$B$1004,"&lt;"&amp;DATE($B$3,5+1,1))&gt;0,1,0))</f>
        <v/>
      </c>
      <c r="AS85">
        <f>IF($O85="",0,IF(COUNTIFS(업무일지!$F$5:$F$1004,$O85,업무일지!$B$5:$B$1004,"&gt;="&amp;DATE($B$3,6,1),업무일지!$B$5:$B$1004,"&lt;"&amp;DATE($B$3,6+1,1))&gt;0,1,0))</f>
        <v/>
      </c>
      <c r="AT85">
        <f>IF($O85="",0,IF(COUNTIFS(업무일지!$F$5:$F$1004,$O85,업무일지!$B$5:$B$1004,"&gt;="&amp;DATE($B$3,7,1),업무일지!$B$5:$B$1004,"&lt;"&amp;DATE($B$3,7+1,1))&gt;0,1,0))</f>
        <v/>
      </c>
      <c r="AU85">
        <f>IF($O85="",0,IF(COUNTIFS(업무일지!$F$5:$F$1004,$O85,업무일지!$B$5:$B$1004,"&gt;="&amp;DATE($B$3,8,1),업무일지!$B$5:$B$1004,"&lt;"&amp;DATE($B$3,8+1,1))&gt;0,1,0))</f>
        <v/>
      </c>
      <c r="AV85">
        <f>IF($O85="",0,IF(COUNTIFS(업무일지!$F$5:$F$1004,$O85,업무일지!$B$5:$B$1004,"&gt;="&amp;DATE($B$3,9,1),업무일지!$B$5:$B$1004,"&lt;"&amp;DATE($B$3,9+1,1))&gt;0,1,0))</f>
        <v/>
      </c>
      <c r="AW85">
        <f>IF($O85="",0,IF(COUNTIFS(업무일지!$F$5:$F$1004,$O85,업무일지!$B$5:$B$1004,"&gt;="&amp;DATE($B$3,10,1),업무일지!$B$5:$B$1004,"&lt;"&amp;DATE($B$3,10+1,1))&gt;0,1,0))</f>
        <v/>
      </c>
      <c r="AX85">
        <f>IF($O85="",0,IF(COUNTIFS(업무일지!$F$5:$F$1004,$O85,업무일지!$B$5:$B$1004,"&gt;="&amp;DATE($B$3,11,1),업무일지!$B$5:$B$1004,"&lt;"&amp;DATE($B$3,11+1,1))&gt;0,1,0))</f>
        <v/>
      </c>
      <c r="AY85">
        <f>IF($O85="",0,IF(COUNTIFS(업무일지!$F$5:$F$1004,$O85,업무일지!$B$5:$B$1004,"&gt;="&amp;DATE($B$3,12,1),업무일지!$B$5:$B$1004,"&lt;"&amp;DATE($B$3,12+1,1))&gt;0,1,0))</f>
        <v/>
      </c>
      <c r="AZ85">
        <f>IF($O85="",0,IF(COUNTIFS(업무일지!$F$5:$F$1004,$O85,업무일지!$B$5:$B$1004,"&gt;="&amp;DATE($B$3,1,1),업무일지!$B$5:$B$1004,"&lt;"&amp;DATE($B$3+1,1,1),업무일지!$D$5:$D$1004,"출장")&gt;0,1,0))</f>
        <v/>
      </c>
      <c r="BA85">
        <f>IF($O85="",0,IF(COUNTIFS(업무일지!$F$5:$F$1004,$O85,업무일지!$B$5:$B$1004,"&gt;="&amp;DATE($B$3,1,1),업무일지!$B$5:$B$1004,"&lt;"&amp;DATE($B$3+1,1,1),업무일지!$D$5:$D$1004,"분석")&gt;0,1,0))</f>
        <v/>
      </c>
      <c r="BB85">
        <f>IF($O85="",0,IF(COUNTIFS(업무일지!$F$5:$F$1004,$O85,업무일지!$B$5:$B$1004,"&gt;="&amp;DATE($B$3,1,1),업무일지!$B$5:$B$1004,"&lt;"&amp;DATE($B$3+1,1,1))&gt;0,1,0))</f>
        <v/>
      </c>
    </row>
    <row r="86">
      <c r="O86">
        <f>IF(사건마스터!$A6="","",사건마스터!$A6)</f>
        <v/>
      </c>
      <c r="P86">
        <f>IF($O86="",0,IF(COUNTIFS(업무일지!$F$5:$F$1004,$O86,업무일지!$B$5:$B$1004,"&gt;="&amp;DATE($B$3,1,1),업무일지!$B$5:$B$1004,"&lt;"&amp;DATE($B$3,1+1,1),업무일지!$D$5:$D$1004,"출장")&gt;0,1,0))</f>
        <v/>
      </c>
      <c r="Q86">
        <f>IF($O86="",0,IF(COUNTIFS(업무일지!$F$5:$F$1004,$O86,업무일지!$B$5:$B$1004,"&gt;="&amp;DATE($B$3,2,1),업무일지!$B$5:$B$1004,"&lt;"&amp;DATE($B$3,2+1,1),업무일지!$D$5:$D$1004,"출장")&gt;0,1,0))</f>
        <v/>
      </c>
      <c r="R86">
        <f>IF($O86="",0,IF(COUNTIFS(업무일지!$F$5:$F$1004,$O86,업무일지!$B$5:$B$1004,"&gt;="&amp;DATE($B$3,3,1),업무일지!$B$5:$B$1004,"&lt;"&amp;DATE($B$3,3+1,1),업무일지!$D$5:$D$1004,"출장")&gt;0,1,0))</f>
        <v/>
      </c>
      <c r="S86">
        <f>IF($O86="",0,IF(COUNTIFS(업무일지!$F$5:$F$1004,$O86,업무일지!$B$5:$B$1004,"&gt;="&amp;DATE($B$3,4,1),업무일지!$B$5:$B$1004,"&lt;"&amp;DATE($B$3,4+1,1),업무일지!$D$5:$D$1004,"출장")&gt;0,1,0))</f>
        <v/>
      </c>
      <c r="T86">
        <f>IF($O86="",0,IF(COUNTIFS(업무일지!$F$5:$F$1004,$O86,업무일지!$B$5:$B$1004,"&gt;="&amp;DATE($B$3,5,1),업무일지!$B$5:$B$1004,"&lt;"&amp;DATE($B$3,5+1,1),업무일지!$D$5:$D$1004,"출장")&gt;0,1,0))</f>
        <v/>
      </c>
      <c r="U86">
        <f>IF($O86="",0,IF(COUNTIFS(업무일지!$F$5:$F$1004,$O86,업무일지!$B$5:$B$1004,"&gt;="&amp;DATE($B$3,6,1),업무일지!$B$5:$B$1004,"&lt;"&amp;DATE($B$3,6+1,1),업무일지!$D$5:$D$1004,"출장")&gt;0,1,0))</f>
        <v/>
      </c>
      <c r="V86">
        <f>IF($O86="",0,IF(COUNTIFS(업무일지!$F$5:$F$1004,$O86,업무일지!$B$5:$B$1004,"&gt;="&amp;DATE($B$3,7,1),업무일지!$B$5:$B$1004,"&lt;"&amp;DATE($B$3,7+1,1),업무일지!$D$5:$D$1004,"출장")&gt;0,1,0))</f>
        <v/>
      </c>
      <c r="W86">
        <f>IF($O86="",0,IF(COUNTIFS(업무일지!$F$5:$F$1004,$O86,업무일지!$B$5:$B$1004,"&gt;="&amp;DATE($B$3,8,1),업무일지!$B$5:$B$1004,"&lt;"&amp;DATE($B$3,8+1,1),업무일지!$D$5:$D$1004,"출장")&gt;0,1,0))</f>
        <v/>
      </c>
      <c r="X86">
        <f>IF($O86="",0,IF(COUNTIFS(업무일지!$F$5:$F$1004,$O86,업무일지!$B$5:$B$1004,"&gt;="&amp;DATE($B$3,9,1),업무일지!$B$5:$B$1004,"&lt;"&amp;DATE($B$3,9+1,1),업무일지!$D$5:$D$1004,"출장")&gt;0,1,0))</f>
        <v/>
      </c>
      <c r="Y86">
        <f>IF($O86="",0,IF(COUNTIFS(업무일지!$F$5:$F$1004,$O86,업무일지!$B$5:$B$1004,"&gt;="&amp;DATE($B$3,10,1),업무일지!$B$5:$B$1004,"&lt;"&amp;DATE($B$3,10+1,1),업무일지!$D$5:$D$1004,"출장")&gt;0,1,0))</f>
        <v/>
      </c>
      <c r="Z86">
        <f>IF($O86="",0,IF(COUNTIFS(업무일지!$F$5:$F$1004,$O86,업무일지!$B$5:$B$1004,"&gt;="&amp;DATE($B$3,11,1),업무일지!$B$5:$B$1004,"&lt;"&amp;DATE($B$3,11+1,1),업무일지!$D$5:$D$1004,"출장")&gt;0,1,0))</f>
        <v/>
      </c>
      <c r="AA86">
        <f>IF($O86="",0,IF(COUNTIFS(업무일지!$F$5:$F$1004,$O86,업무일지!$B$5:$B$1004,"&gt;="&amp;DATE($B$3,12,1),업무일지!$B$5:$B$1004,"&lt;"&amp;DATE($B$3,12+1,1),업무일지!$D$5:$D$1004,"출장")&gt;0,1,0))</f>
        <v/>
      </c>
      <c r="AB86">
        <f>IF($O86="",0,IF(COUNTIFS(업무일지!$F$5:$F$1004,$O86,업무일지!$B$5:$B$1004,"&gt;="&amp;DATE($B$3,1,1),업무일지!$B$5:$B$1004,"&lt;"&amp;DATE($B$3,1+1,1),업무일지!$D$5:$D$1004,"분석")&gt;0,1,0))</f>
        <v/>
      </c>
      <c r="AC86">
        <f>IF($O86="",0,IF(COUNTIFS(업무일지!$F$5:$F$1004,$O86,업무일지!$B$5:$B$1004,"&gt;="&amp;DATE($B$3,2,1),업무일지!$B$5:$B$1004,"&lt;"&amp;DATE($B$3,2+1,1),업무일지!$D$5:$D$1004,"분석")&gt;0,1,0))</f>
        <v/>
      </c>
      <c r="AD86">
        <f>IF($O86="",0,IF(COUNTIFS(업무일지!$F$5:$F$1004,$O86,업무일지!$B$5:$B$1004,"&gt;="&amp;DATE($B$3,3,1),업무일지!$B$5:$B$1004,"&lt;"&amp;DATE($B$3,3+1,1),업무일지!$D$5:$D$1004,"분석")&gt;0,1,0))</f>
        <v/>
      </c>
      <c r="AE86">
        <f>IF($O86="",0,IF(COUNTIFS(업무일지!$F$5:$F$1004,$O86,업무일지!$B$5:$B$1004,"&gt;="&amp;DATE($B$3,4,1),업무일지!$B$5:$B$1004,"&lt;"&amp;DATE($B$3,4+1,1),업무일지!$D$5:$D$1004,"분석")&gt;0,1,0))</f>
        <v/>
      </c>
      <c r="AF86">
        <f>IF($O86="",0,IF(COUNTIFS(업무일지!$F$5:$F$1004,$O86,업무일지!$B$5:$B$1004,"&gt;="&amp;DATE($B$3,5,1),업무일지!$B$5:$B$1004,"&lt;"&amp;DATE($B$3,5+1,1),업무일지!$D$5:$D$1004,"분석")&gt;0,1,0))</f>
        <v/>
      </c>
      <c r="AG86">
        <f>IF($O86="",0,IF(COUNTIFS(업무일지!$F$5:$F$1004,$O86,업무일지!$B$5:$B$1004,"&gt;="&amp;DATE($B$3,6,1),업무일지!$B$5:$B$1004,"&lt;"&amp;DATE($B$3,6+1,1),업무일지!$D$5:$D$1004,"분석")&gt;0,1,0))</f>
        <v/>
      </c>
      <c r="AH86">
        <f>IF($O86="",0,IF(COUNTIFS(업무일지!$F$5:$F$1004,$O86,업무일지!$B$5:$B$1004,"&gt;="&amp;DATE($B$3,7,1),업무일지!$B$5:$B$1004,"&lt;"&amp;DATE($B$3,7+1,1),업무일지!$D$5:$D$1004,"분석")&gt;0,1,0))</f>
        <v/>
      </c>
      <c r="AI86">
        <f>IF($O86="",0,IF(COUNTIFS(업무일지!$F$5:$F$1004,$O86,업무일지!$B$5:$B$1004,"&gt;="&amp;DATE($B$3,8,1),업무일지!$B$5:$B$1004,"&lt;"&amp;DATE($B$3,8+1,1),업무일지!$D$5:$D$1004,"분석")&gt;0,1,0))</f>
        <v/>
      </c>
      <c r="AJ86">
        <f>IF($O86="",0,IF(COUNTIFS(업무일지!$F$5:$F$1004,$O86,업무일지!$B$5:$B$1004,"&gt;="&amp;DATE($B$3,9,1),업무일지!$B$5:$B$1004,"&lt;"&amp;DATE($B$3,9+1,1),업무일지!$D$5:$D$1004,"분석")&gt;0,1,0))</f>
        <v/>
      </c>
      <c r="AK86">
        <f>IF($O86="",0,IF(COUNTIFS(업무일지!$F$5:$F$1004,$O86,업무일지!$B$5:$B$1004,"&gt;="&amp;DATE($B$3,10,1),업무일지!$B$5:$B$1004,"&lt;"&amp;DATE($B$3,10+1,1),업무일지!$D$5:$D$1004,"분석")&gt;0,1,0))</f>
        <v/>
      </c>
      <c r="AL86">
        <f>IF($O86="",0,IF(COUNTIFS(업무일지!$F$5:$F$1004,$O86,업무일지!$B$5:$B$1004,"&gt;="&amp;DATE($B$3,11,1),업무일지!$B$5:$B$1004,"&lt;"&amp;DATE($B$3,11+1,1),업무일지!$D$5:$D$1004,"분석")&gt;0,1,0))</f>
        <v/>
      </c>
      <c r="AM86">
        <f>IF($O86="",0,IF(COUNTIFS(업무일지!$F$5:$F$1004,$O86,업무일지!$B$5:$B$1004,"&gt;="&amp;DATE($B$3,12,1),업무일지!$B$5:$B$1004,"&lt;"&amp;DATE($B$3,12+1,1),업무일지!$D$5:$D$1004,"분석")&gt;0,1,0))</f>
        <v/>
      </c>
      <c r="AN86">
        <f>IF($O86="",0,IF(COUNTIFS(업무일지!$F$5:$F$1004,$O86,업무일지!$B$5:$B$1004,"&gt;="&amp;DATE($B$3,1,1),업무일지!$B$5:$B$1004,"&lt;"&amp;DATE($B$3,1+1,1))&gt;0,1,0))</f>
        <v/>
      </c>
      <c r="AO86">
        <f>IF($O86="",0,IF(COUNTIFS(업무일지!$F$5:$F$1004,$O86,업무일지!$B$5:$B$1004,"&gt;="&amp;DATE($B$3,2,1),업무일지!$B$5:$B$1004,"&lt;"&amp;DATE($B$3,2+1,1))&gt;0,1,0))</f>
        <v/>
      </c>
      <c r="AP86">
        <f>IF($O86="",0,IF(COUNTIFS(업무일지!$F$5:$F$1004,$O86,업무일지!$B$5:$B$1004,"&gt;="&amp;DATE($B$3,3,1),업무일지!$B$5:$B$1004,"&lt;"&amp;DATE($B$3,3+1,1))&gt;0,1,0))</f>
        <v/>
      </c>
      <c r="AQ86">
        <f>IF($O86="",0,IF(COUNTIFS(업무일지!$F$5:$F$1004,$O86,업무일지!$B$5:$B$1004,"&gt;="&amp;DATE($B$3,4,1),업무일지!$B$5:$B$1004,"&lt;"&amp;DATE($B$3,4+1,1))&gt;0,1,0))</f>
        <v/>
      </c>
      <c r="AR86">
        <f>IF($O86="",0,IF(COUNTIFS(업무일지!$F$5:$F$1004,$O86,업무일지!$B$5:$B$1004,"&gt;="&amp;DATE($B$3,5,1),업무일지!$B$5:$B$1004,"&lt;"&amp;DATE($B$3,5+1,1))&gt;0,1,0))</f>
        <v/>
      </c>
      <c r="AS86">
        <f>IF($O86="",0,IF(COUNTIFS(업무일지!$F$5:$F$1004,$O86,업무일지!$B$5:$B$1004,"&gt;="&amp;DATE($B$3,6,1),업무일지!$B$5:$B$1004,"&lt;"&amp;DATE($B$3,6+1,1))&gt;0,1,0))</f>
        <v/>
      </c>
      <c r="AT86">
        <f>IF($O86="",0,IF(COUNTIFS(업무일지!$F$5:$F$1004,$O86,업무일지!$B$5:$B$1004,"&gt;="&amp;DATE($B$3,7,1),업무일지!$B$5:$B$1004,"&lt;"&amp;DATE($B$3,7+1,1))&gt;0,1,0))</f>
        <v/>
      </c>
      <c r="AU86">
        <f>IF($O86="",0,IF(COUNTIFS(업무일지!$F$5:$F$1004,$O86,업무일지!$B$5:$B$1004,"&gt;="&amp;DATE($B$3,8,1),업무일지!$B$5:$B$1004,"&lt;"&amp;DATE($B$3,8+1,1))&gt;0,1,0))</f>
        <v/>
      </c>
      <c r="AV86">
        <f>IF($O86="",0,IF(COUNTIFS(업무일지!$F$5:$F$1004,$O86,업무일지!$B$5:$B$1004,"&gt;="&amp;DATE($B$3,9,1),업무일지!$B$5:$B$1004,"&lt;"&amp;DATE($B$3,9+1,1))&gt;0,1,0))</f>
        <v/>
      </c>
      <c r="AW86">
        <f>IF($O86="",0,IF(COUNTIFS(업무일지!$F$5:$F$1004,$O86,업무일지!$B$5:$B$1004,"&gt;="&amp;DATE($B$3,10,1),업무일지!$B$5:$B$1004,"&lt;"&amp;DATE($B$3,10+1,1))&gt;0,1,0))</f>
        <v/>
      </c>
      <c r="AX86">
        <f>IF($O86="",0,IF(COUNTIFS(업무일지!$F$5:$F$1004,$O86,업무일지!$B$5:$B$1004,"&gt;="&amp;DATE($B$3,11,1),업무일지!$B$5:$B$1004,"&lt;"&amp;DATE($B$3,11+1,1))&gt;0,1,0))</f>
        <v/>
      </c>
      <c r="AY86">
        <f>IF($O86="",0,IF(COUNTIFS(업무일지!$F$5:$F$1004,$O86,업무일지!$B$5:$B$1004,"&gt;="&amp;DATE($B$3,12,1),업무일지!$B$5:$B$1004,"&lt;"&amp;DATE($B$3,12+1,1))&gt;0,1,0))</f>
        <v/>
      </c>
      <c r="AZ86">
        <f>IF($O86="",0,IF(COUNTIFS(업무일지!$F$5:$F$1004,$O86,업무일지!$B$5:$B$1004,"&gt;="&amp;DATE($B$3,1,1),업무일지!$B$5:$B$1004,"&lt;"&amp;DATE($B$3+1,1,1),업무일지!$D$5:$D$1004,"출장")&gt;0,1,0))</f>
        <v/>
      </c>
      <c r="BA86">
        <f>IF($O86="",0,IF(COUNTIFS(업무일지!$F$5:$F$1004,$O86,업무일지!$B$5:$B$1004,"&gt;="&amp;DATE($B$3,1,1),업무일지!$B$5:$B$1004,"&lt;"&amp;DATE($B$3+1,1,1),업무일지!$D$5:$D$1004,"분석")&gt;0,1,0))</f>
        <v/>
      </c>
      <c r="BB86">
        <f>IF($O86="",0,IF(COUNTIFS(업무일지!$F$5:$F$1004,$O86,업무일지!$B$5:$B$1004,"&gt;="&amp;DATE($B$3,1,1),업무일지!$B$5:$B$1004,"&lt;"&amp;DATE($B$3+1,1,1))&gt;0,1,0))</f>
        <v/>
      </c>
    </row>
    <row r="87">
      <c r="O87">
        <f>IF(사건마스터!$A7="","",사건마스터!$A7)</f>
        <v/>
      </c>
      <c r="P87">
        <f>IF($O87="",0,IF(COUNTIFS(업무일지!$F$5:$F$1004,$O87,업무일지!$B$5:$B$1004,"&gt;="&amp;DATE($B$3,1,1),업무일지!$B$5:$B$1004,"&lt;"&amp;DATE($B$3,1+1,1),업무일지!$D$5:$D$1004,"출장")&gt;0,1,0))</f>
        <v/>
      </c>
      <c r="Q87">
        <f>IF($O87="",0,IF(COUNTIFS(업무일지!$F$5:$F$1004,$O87,업무일지!$B$5:$B$1004,"&gt;="&amp;DATE($B$3,2,1),업무일지!$B$5:$B$1004,"&lt;"&amp;DATE($B$3,2+1,1),업무일지!$D$5:$D$1004,"출장")&gt;0,1,0))</f>
        <v/>
      </c>
      <c r="R87">
        <f>IF($O87="",0,IF(COUNTIFS(업무일지!$F$5:$F$1004,$O87,업무일지!$B$5:$B$1004,"&gt;="&amp;DATE($B$3,3,1),업무일지!$B$5:$B$1004,"&lt;"&amp;DATE($B$3,3+1,1),업무일지!$D$5:$D$1004,"출장")&gt;0,1,0))</f>
        <v/>
      </c>
      <c r="S87">
        <f>IF($O87="",0,IF(COUNTIFS(업무일지!$F$5:$F$1004,$O87,업무일지!$B$5:$B$1004,"&gt;="&amp;DATE($B$3,4,1),업무일지!$B$5:$B$1004,"&lt;"&amp;DATE($B$3,4+1,1),업무일지!$D$5:$D$1004,"출장")&gt;0,1,0))</f>
        <v/>
      </c>
      <c r="T87">
        <f>IF($O87="",0,IF(COUNTIFS(업무일지!$F$5:$F$1004,$O87,업무일지!$B$5:$B$1004,"&gt;="&amp;DATE($B$3,5,1),업무일지!$B$5:$B$1004,"&lt;"&amp;DATE($B$3,5+1,1),업무일지!$D$5:$D$1004,"출장")&gt;0,1,0))</f>
        <v/>
      </c>
      <c r="U87">
        <f>IF($O87="",0,IF(COUNTIFS(업무일지!$F$5:$F$1004,$O87,업무일지!$B$5:$B$1004,"&gt;="&amp;DATE($B$3,6,1),업무일지!$B$5:$B$1004,"&lt;"&amp;DATE($B$3,6+1,1),업무일지!$D$5:$D$1004,"출장")&gt;0,1,0))</f>
        <v/>
      </c>
      <c r="V87">
        <f>IF($O87="",0,IF(COUNTIFS(업무일지!$F$5:$F$1004,$O87,업무일지!$B$5:$B$1004,"&gt;="&amp;DATE($B$3,7,1),업무일지!$B$5:$B$1004,"&lt;"&amp;DATE($B$3,7+1,1),업무일지!$D$5:$D$1004,"출장")&gt;0,1,0))</f>
        <v/>
      </c>
      <c r="W87">
        <f>IF($O87="",0,IF(COUNTIFS(업무일지!$F$5:$F$1004,$O87,업무일지!$B$5:$B$1004,"&gt;="&amp;DATE($B$3,8,1),업무일지!$B$5:$B$1004,"&lt;"&amp;DATE($B$3,8+1,1),업무일지!$D$5:$D$1004,"출장")&gt;0,1,0))</f>
        <v/>
      </c>
      <c r="X87">
        <f>IF($O87="",0,IF(COUNTIFS(업무일지!$F$5:$F$1004,$O87,업무일지!$B$5:$B$1004,"&gt;="&amp;DATE($B$3,9,1),업무일지!$B$5:$B$1004,"&lt;"&amp;DATE($B$3,9+1,1),업무일지!$D$5:$D$1004,"출장")&gt;0,1,0))</f>
        <v/>
      </c>
      <c r="Y87">
        <f>IF($O87="",0,IF(COUNTIFS(업무일지!$F$5:$F$1004,$O87,업무일지!$B$5:$B$1004,"&gt;="&amp;DATE($B$3,10,1),업무일지!$B$5:$B$1004,"&lt;"&amp;DATE($B$3,10+1,1),업무일지!$D$5:$D$1004,"출장")&gt;0,1,0))</f>
        <v/>
      </c>
      <c r="Z87">
        <f>IF($O87="",0,IF(COUNTIFS(업무일지!$F$5:$F$1004,$O87,업무일지!$B$5:$B$1004,"&gt;="&amp;DATE($B$3,11,1),업무일지!$B$5:$B$1004,"&lt;"&amp;DATE($B$3,11+1,1),업무일지!$D$5:$D$1004,"출장")&gt;0,1,0))</f>
        <v/>
      </c>
      <c r="AA87">
        <f>IF($O87="",0,IF(COUNTIFS(업무일지!$F$5:$F$1004,$O87,업무일지!$B$5:$B$1004,"&gt;="&amp;DATE($B$3,12,1),업무일지!$B$5:$B$1004,"&lt;"&amp;DATE($B$3,12+1,1),업무일지!$D$5:$D$1004,"출장")&gt;0,1,0))</f>
        <v/>
      </c>
      <c r="AB87">
        <f>IF($O87="",0,IF(COUNTIFS(업무일지!$F$5:$F$1004,$O87,업무일지!$B$5:$B$1004,"&gt;="&amp;DATE($B$3,1,1),업무일지!$B$5:$B$1004,"&lt;"&amp;DATE($B$3,1+1,1),업무일지!$D$5:$D$1004,"분석")&gt;0,1,0))</f>
        <v/>
      </c>
      <c r="AC87">
        <f>IF($O87="",0,IF(COUNTIFS(업무일지!$F$5:$F$1004,$O87,업무일지!$B$5:$B$1004,"&gt;="&amp;DATE($B$3,2,1),업무일지!$B$5:$B$1004,"&lt;"&amp;DATE($B$3,2+1,1),업무일지!$D$5:$D$1004,"분석")&gt;0,1,0))</f>
        <v/>
      </c>
      <c r="AD87">
        <f>IF($O87="",0,IF(COUNTIFS(업무일지!$F$5:$F$1004,$O87,업무일지!$B$5:$B$1004,"&gt;="&amp;DATE($B$3,3,1),업무일지!$B$5:$B$1004,"&lt;"&amp;DATE($B$3,3+1,1),업무일지!$D$5:$D$1004,"분석")&gt;0,1,0))</f>
        <v/>
      </c>
      <c r="AE87">
        <f>IF($O87="",0,IF(COUNTIFS(업무일지!$F$5:$F$1004,$O87,업무일지!$B$5:$B$1004,"&gt;="&amp;DATE($B$3,4,1),업무일지!$B$5:$B$1004,"&lt;"&amp;DATE($B$3,4+1,1),업무일지!$D$5:$D$1004,"분석")&gt;0,1,0))</f>
        <v/>
      </c>
      <c r="AF87">
        <f>IF($O87="",0,IF(COUNTIFS(업무일지!$F$5:$F$1004,$O87,업무일지!$B$5:$B$1004,"&gt;="&amp;DATE($B$3,5,1),업무일지!$B$5:$B$1004,"&lt;"&amp;DATE($B$3,5+1,1),업무일지!$D$5:$D$1004,"분석")&gt;0,1,0))</f>
        <v/>
      </c>
      <c r="AG87">
        <f>IF($O87="",0,IF(COUNTIFS(업무일지!$F$5:$F$1004,$O87,업무일지!$B$5:$B$1004,"&gt;="&amp;DATE($B$3,6,1),업무일지!$B$5:$B$1004,"&lt;"&amp;DATE($B$3,6+1,1),업무일지!$D$5:$D$1004,"분석")&gt;0,1,0))</f>
        <v/>
      </c>
      <c r="AH87">
        <f>IF($O87="",0,IF(COUNTIFS(업무일지!$F$5:$F$1004,$O87,업무일지!$B$5:$B$1004,"&gt;="&amp;DATE($B$3,7,1),업무일지!$B$5:$B$1004,"&lt;"&amp;DATE($B$3,7+1,1),업무일지!$D$5:$D$1004,"분석")&gt;0,1,0))</f>
        <v/>
      </c>
      <c r="AI87">
        <f>IF($O87="",0,IF(COUNTIFS(업무일지!$F$5:$F$1004,$O87,업무일지!$B$5:$B$1004,"&gt;="&amp;DATE($B$3,8,1),업무일지!$B$5:$B$1004,"&lt;"&amp;DATE($B$3,8+1,1),업무일지!$D$5:$D$1004,"분석")&gt;0,1,0))</f>
        <v/>
      </c>
      <c r="AJ87">
        <f>IF($O87="",0,IF(COUNTIFS(업무일지!$F$5:$F$1004,$O87,업무일지!$B$5:$B$1004,"&gt;="&amp;DATE($B$3,9,1),업무일지!$B$5:$B$1004,"&lt;"&amp;DATE($B$3,9+1,1),업무일지!$D$5:$D$1004,"분석")&gt;0,1,0))</f>
        <v/>
      </c>
      <c r="AK87">
        <f>IF($O87="",0,IF(COUNTIFS(업무일지!$F$5:$F$1004,$O87,업무일지!$B$5:$B$1004,"&gt;="&amp;DATE($B$3,10,1),업무일지!$B$5:$B$1004,"&lt;"&amp;DATE($B$3,10+1,1),업무일지!$D$5:$D$1004,"분석")&gt;0,1,0))</f>
        <v/>
      </c>
      <c r="AL87">
        <f>IF($O87="",0,IF(COUNTIFS(업무일지!$F$5:$F$1004,$O87,업무일지!$B$5:$B$1004,"&gt;="&amp;DATE($B$3,11,1),업무일지!$B$5:$B$1004,"&lt;"&amp;DATE($B$3,11+1,1),업무일지!$D$5:$D$1004,"분석")&gt;0,1,0))</f>
        <v/>
      </c>
      <c r="AM87">
        <f>IF($O87="",0,IF(COUNTIFS(업무일지!$F$5:$F$1004,$O87,업무일지!$B$5:$B$1004,"&gt;="&amp;DATE($B$3,12,1),업무일지!$B$5:$B$1004,"&lt;"&amp;DATE($B$3,12+1,1),업무일지!$D$5:$D$1004,"분석")&gt;0,1,0))</f>
        <v/>
      </c>
      <c r="AN87">
        <f>IF($O87="",0,IF(COUNTIFS(업무일지!$F$5:$F$1004,$O87,업무일지!$B$5:$B$1004,"&gt;="&amp;DATE($B$3,1,1),업무일지!$B$5:$B$1004,"&lt;"&amp;DATE($B$3,1+1,1))&gt;0,1,0))</f>
        <v/>
      </c>
      <c r="AO87">
        <f>IF($O87="",0,IF(COUNTIFS(업무일지!$F$5:$F$1004,$O87,업무일지!$B$5:$B$1004,"&gt;="&amp;DATE($B$3,2,1),업무일지!$B$5:$B$1004,"&lt;"&amp;DATE($B$3,2+1,1))&gt;0,1,0))</f>
        <v/>
      </c>
      <c r="AP87">
        <f>IF($O87="",0,IF(COUNTIFS(업무일지!$F$5:$F$1004,$O87,업무일지!$B$5:$B$1004,"&gt;="&amp;DATE($B$3,3,1),업무일지!$B$5:$B$1004,"&lt;"&amp;DATE($B$3,3+1,1))&gt;0,1,0))</f>
        <v/>
      </c>
      <c r="AQ87">
        <f>IF($O87="",0,IF(COUNTIFS(업무일지!$F$5:$F$1004,$O87,업무일지!$B$5:$B$1004,"&gt;="&amp;DATE($B$3,4,1),업무일지!$B$5:$B$1004,"&lt;"&amp;DATE($B$3,4+1,1))&gt;0,1,0))</f>
        <v/>
      </c>
      <c r="AR87">
        <f>IF($O87="",0,IF(COUNTIFS(업무일지!$F$5:$F$1004,$O87,업무일지!$B$5:$B$1004,"&gt;="&amp;DATE($B$3,5,1),업무일지!$B$5:$B$1004,"&lt;"&amp;DATE($B$3,5+1,1))&gt;0,1,0))</f>
        <v/>
      </c>
      <c r="AS87">
        <f>IF($O87="",0,IF(COUNTIFS(업무일지!$F$5:$F$1004,$O87,업무일지!$B$5:$B$1004,"&gt;="&amp;DATE($B$3,6,1),업무일지!$B$5:$B$1004,"&lt;"&amp;DATE($B$3,6+1,1))&gt;0,1,0))</f>
        <v/>
      </c>
      <c r="AT87">
        <f>IF($O87="",0,IF(COUNTIFS(업무일지!$F$5:$F$1004,$O87,업무일지!$B$5:$B$1004,"&gt;="&amp;DATE($B$3,7,1),업무일지!$B$5:$B$1004,"&lt;"&amp;DATE($B$3,7+1,1))&gt;0,1,0))</f>
        <v/>
      </c>
      <c r="AU87">
        <f>IF($O87="",0,IF(COUNTIFS(업무일지!$F$5:$F$1004,$O87,업무일지!$B$5:$B$1004,"&gt;="&amp;DATE($B$3,8,1),업무일지!$B$5:$B$1004,"&lt;"&amp;DATE($B$3,8+1,1))&gt;0,1,0))</f>
        <v/>
      </c>
      <c r="AV87">
        <f>IF($O87="",0,IF(COUNTIFS(업무일지!$F$5:$F$1004,$O87,업무일지!$B$5:$B$1004,"&gt;="&amp;DATE($B$3,9,1),업무일지!$B$5:$B$1004,"&lt;"&amp;DATE($B$3,9+1,1))&gt;0,1,0))</f>
        <v/>
      </c>
      <c r="AW87">
        <f>IF($O87="",0,IF(COUNTIFS(업무일지!$F$5:$F$1004,$O87,업무일지!$B$5:$B$1004,"&gt;="&amp;DATE($B$3,10,1),업무일지!$B$5:$B$1004,"&lt;"&amp;DATE($B$3,10+1,1))&gt;0,1,0))</f>
        <v/>
      </c>
      <c r="AX87">
        <f>IF($O87="",0,IF(COUNTIFS(업무일지!$F$5:$F$1004,$O87,업무일지!$B$5:$B$1004,"&gt;="&amp;DATE($B$3,11,1),업무일지!$B$5:$B$1004,"&lt;"&amp;DATE($B$3,11+1,1))&gt;0,1,0))</f>
        <v/>
      </c>
      <c r="AY87">
        <f>IF($O87="",0,IF(COUNTIFS(업무일지!$F$5:$F$1004,$O87,업무일지!$B$5:$B$1004,"&gt;="&amp;DATE($B$3,12,1),업무일지!$B$5:$B$1004,"&lt;"&amp;DATE($B$3,12+1,1))&gt;0,1,0))</f>
        <v/>
      </c>
      <c r="AZ87">
        <f>IF($O87="",0,IF(COUNTIFS(업무일지!$F$5:$F$1004,$O87,업무일지!$B$5:$B$1004,"&gt;="&amp;DATE($B$3,1,1),업무일지!$B$5:$B$1004,"&lt;"&amp;DATE($B$3+1,1,1),업무일지!$D$5:$D$1004,"출장")&gt;0,1,0))</f>
        <v/>
      </c>
      <c r="BA87">
        <f>IF($O87="",0,IF(COUNTIFS(업무일지!$F$5:$F$1004,$O87,업무일지!$B$5:$B$1004,"&gt;="&amp;DATE($B$3,1,1),업무일지!$B$5:$B$1004,"&lt;"&amp;DATE($B$3+1,1,1),업무일지!$D$5:$D$1004,"분석")&gt;0,1,0))</f>
        <v/>
      </c>
      <c r="BB87">
        <f>IF($O87="",0,IF(COUNTIFS(업무일지!$F$5:$F$1004,$O87,업무일지!$B$5:$B$1004,"&gt;="&amp;DATE($B$3,1,1),업무일지!$B$5:$B$1004,"&lt;"&amp;DATE($B$3+1,1,1))&gt;0,1,0))</f>
        <v/>
      </c>
    </row>
    <row r="88">
      <c r="O88">
        <f>IF(사건마스터!$A8="","",사건마스터!$A8)</f>
        <v/>
      </c>
      <c r="P88">
        <f>IF($O88="",0,IF(COUNTIFS(업무일지!$F$5:$F$1004,$O88,업무일지!$B$5:$B$1004,"&gt;="&amp;DATE($B$3,1,1),업무일지!$B$5:$B$1004,"&lt;"&amp;DATE($B$3,1+1,1),업무일지!$D$5:$D$1004,"출장")&gt;0,1,0))</f>
        <v/>
      </c>
      <c r="Q88">
        <f>IF($O88="",0,IF(COUNTIFS(업무일지!$F$5:$F$1004,$O88,업무일지!$B$5:$B$1004,"&gt;="&amp;DATE($B$3,2,1),업무일지!$B$5:$B$1004,"&lt;"&amp;DATE($B$3,2+1,1),업무일지!$D$5:$D$1004,"출장")&gt;0,1,0))</f>
        <v/>
      </c>
      <c r="R88">
        <f>IF($O88="",0,IF(COUNTIFS(업무일지!$F$5:$F$1004,$O88,업무일지!$B$5:$B$1004,"&gt;="&amp;DATE($B$3,3,1),업무일지!$B$5:$B$1004,"&lt;"&amp;DATE($B$3,3+1,1),업무일지!$D$5:$D$1004,"출장")&gt;0,1,0))</f>
        <v/>
      </c>
      <c r="S88">
        <f>IF($O88="",0,IF(COUNTIFS(업무일지!$F$5:$F$1004,$O88,업무일지!$B$5:$B$1004,"&gt;="&amp;DATE($B$3,4,1),업무일지!$B$5:$B$1004,"&lt;"&amp;DATE($B$3,4+1,1),업무일지!$D$5:$D$1004,"출장")&gt;0,1,0))</f>
        <v/>
      </c>
      <c r="T88">
        <f>IF($O88="",0,IF(COUNTIFS(업무일지!$F$5:$F$1004,$O88,업무일지!$B$5:$B$1004,"&gt;="&amp;DATE($B$3,5,1),업무일지!$B$5:$B$1004,"&lt;"&amp;DATE($B$3,5+1,1),업무일지!$D$5:$D$1004,"출장")&gt;0,1,0))</f>
        <v/>
      </c>
      <c r="U88">
        <f>IF($O88="",0,IF(COUNTIFS(업무일지!$F$5:$F$1004,$O88,업무일지!$B$5:$B$1004,"&gt;="&amp;DATE($B$3,6,1),업무일지!$B$5:$B$1004,"&lt;"&amp;DATE($B$3,6+1,1),업무일지!$D$5:$D$1004,"출장")&gt;0,1,0))</f>
        <v/>
      </c>
      <c r="V88">
        <f>IF($O88="",0,IF(COUNTIFS(업무일지!$F$5:$F$1004,$O88,업무일지!$B$5:$B$1004,"&gt;="&amp;DATE($B$3,7,1),업무일지!$B$5:$B$1004,"&lt;"&amp;DATE($B$3,7+1,1),업무일지!$D$5:$D$1004,"출장")&gt;0,1,0))</f>
        <v/>
      </c>
      <c r="W88">
        <f>IF($O88="",0,IF(COUNTIFS(업무일지!$F$5:$F$1004,$O88,업무일지!$B$5:$B$1004,"&gt;="&amp;DATE($B$3,8,1),업무일지!$B$5:$B$1004,"&lt;"&amp;DATE($B$3,8+1,1),업무일지!$D$5:$D$1004,"출장")&gt;0,1,0))</f>
        <v/>
      </c>
      <c r="X88">
        <f>IF($O88="",0,IF(COUNTIFS(업무일지!$F$5:$F$1004,$O88,업무일지!$B$5:$B$1004,"&gt;="&amp;DATE($B$3,9,1),업무일지!$B$5:$B$1004,"&lt;"&amp;DATE($B$3,9+1,1),업무일지!$D$5:$D$1004,"출장")&gt;0,1,0))</f>
        <v/>
      </c>
      <c r="Y88">
        <f>IF($O88="",0,IF(COUNTIFS(업무일지!$F$5:$F$1004,$O88,업무일지!$B$5:$B$1004,"&gt;="&amp;DATE($B$3,10,1),업무일지!$B$5:$B$1004,"&lt;"&amp;DATE($B$3,10+1,1),업무일지!$D$5:$D$1004,"출장")&gt;0,1,0))</f>
        <v/>
      </c>
      <c r="Z88">
        <f>IF($O88="",0,IF(COUNTIFS(업무일지!$F$5:$F$1004,$O88,업무일지!$B$5:$B$1004,"&gt;="&amp;DATE($B$3,11,1),업무일지!$B$5:$B$1004,"&lt;"&amp;DATE($B$3,11+1,1),업무일지!$D$5:$D$1004,"출장")&gt;0,1,0))</f>
        <v/>
      </c>
      <c r="AA88">
        <f>IF($O88="",0,IF(COUNTIFS(업무일지!$F$5:$F$1004,$O88,업무일지!$B$5:$B$1004,"&gt;="&amp;DATE($B$3,12,1),업무일지!$B$5:$B$1004,"&lt;"&amp;DATE($B$3,12+1,1),업무일지!$D$5:$D$1004,"출장")&gt;0,1,0))</f>
        <v/>
      </c>
      <c r="AB88">
        <f>IF($O88="",0,IF(COUNTIFS(업무일지!$F$5:$F$1004,$O88,업무일지!$B$5:$B$1004,"&gt;="&amp;DATE($B$3,1,1),업무일지!$B$5:$B$1004,"&lt;"&amp;DATE($B$3,1+1,1),업무일지!$D$5:$D$1004,"분석")&gt;0,1,0))</f>
        <v/>
      </c>
      <c r="AC88">
        <f>IF($O88="",0,IF(COUNTIFS(업무일지!$F$5:$F$1004,$O88,업무일지!$B$5:$B$1004,"&gt;="&amp;DATE($B$3,2,1),업무일지!$B$5:$B$1004,"&lt;"&amp;DATE($B$3,2+1,1),업무일지!$D$5:$D$1004,"분석")&gt;0,1,0))</f>
        <v/>
      </c>
      <c r="AD88">
        <f>IF($O88="",0,IF(COUNTIFS(업무일지!$F$5:$F$1004,$O88,업무일지!$B$5:$B$1004,"&gt;="&amp;DATE($B$3,3,1),업무일지!$B$5:$B$1004,"&lt;"&amp;DATE($B$3,3+1,1),업무일지!$D$5:$D$1004,"분석")&gt;0,1,0))</f>
        <v/>
      </c>
      <c r="AE88">
        <f>IF($O88="",0,IF(COUNTIFS(업무일지!$F$5:$F$1004,$O88,업무일지!$B$5:$B$1004,"&gt;="&amp;DATE($B$3,4,1),업무일지!$B$5:$B$1004,"&lt;"&amp;DATE($B$3,4+1,1),업무일지!$D$5:$D$1004,"분석")&gt;0,1,0))</f>
        <v/>
      </c>
      <c r="AF88">
        <f>IF($O88="",0,IF(COUNTIFS(업무일지!$F$5:$F$1004,$O88,업무일지!$B$5:$B$1004,"&gt;="&amp;DATE($B$3,5,1),업무일지!$B$5:$B$1004,"&lt;"&amp;DATE($B$3,5+1,1),업무일지!$D$5:$D$1004,"분석")&gt;0,1,0))</f>
        <v/>
      </c>
      <c r="AG88">
        <f>IF($O88="",0,IF(COUNTIFS(업무일지!$F$5:$F$1004,$O88,업무일지!$B$5:$B$1004,"&gt;="&amp;DATE($B$3,6,1),업무일지!$B$5:$B$1004,"&lt;"&amp;DATE($B$3,6+1,1),업무일지!$D$5:$D$1004,"분석")&gt;0,1,0))</f>
        <v/>
      </c>
      <c r="AH88">
        <f>IF($O88="",0,IF(COUNTIFS(업무일지!$F$5:$F$1004,$O88,업무일지!$B$5:$B$1004,"&gt;="&amp;DATE($B$3,7,1),업무일지!$B$5:$B$1004,"&lt;"&amp;DATE($B$3,7+1,1),업무일지!$D$5:$D$1004,"분석")&gt;0,1,0))</f>
        <v/>
      </c>
      <c r="AI88">
        <f>IF($O88="",0,IF(COUNTIFS(업무일지!$F$5:$F$1004,$O88,업무일지!$B$5:$B$1004,"&gt;="&amp;DATE($B$3,8,1),업무일지!$B$5:$B$1004,"&lt;"&amp;DATE($B$3,8+1,1),업무일지!$D$5:$D$1004,"분석")&gt;0,1,0))</f>
        <v/>
      </c>
      <c r="AJ88">
        <f>IF($O88="",0,IF(COUNTIFS(업무일지!$F$5:$F$1004,$O88,업무일지!$B$5:$B$1004,"&gt;="&amp;DATE($B$3,9,1),업무일지!$B$5:$B$1004,"&lt;"&amp;DATE($B$3,9+1,1),업무일지!$D$5:$D$1004,"분석")&gt;0,1,0))</f>
        <v/>
      </c>
      <c r="AK88">
        <f>IF($O88="",0,IF(COUNTIFS(업무일지!$F$5:$F$1004,$O88,업무일지!$B$5:$B$1004,"&gt;="&amp;DATE($B$3,10,1),업무일지!$B$5:$B$1004,"&lt;"&amp;DATE($B$3,10+1,1),업무일지!$D$5:$D$1004,"분석")&gt;0,1,0))</f>
        <v/>
      </c>
      <c r="AL88">
        <f>IF($O88="",0,IF(COUNTIFS(업무일지!$F$5:$F$1004,$O88,업무일지!$B$5:$B$1004,"&gt;="&amp;DATE($B$3,11,1),업무일지!$B$5:$B$1004,"&lt;"&amp;DATE($B$3,11+1,1),업무일지!$D$5:$D$1004,"분석")&gt;0,1,0))</f>
        <v/>
      </c>
      <c r="AM88">
        <f>IF($O88="",0,IF(COUNTIFS(업무일지!$F$5:$F$1004,$O88,업무일지!$B$5:$B$1004,"&gt;="&amp;DATE($B$3,12,1),업무일지!$B$5:$B$1004,"&lt;"&amp;DATE($B$3,12+1,1),업무일지!$D$5:$D$1004,"분석")&gt;0,1,0))</f>
        <v/>
      </c>
      <c r="AN88">
        <f>IF($O88="",0,IF(COUNTIFS(업무일지!$F$5:$F$1004,$O88,업무일지!$B$5:$B$1004,"&gt;="&amp;DATE($B$3,1,1),업무일지!$B$5:$B$1004,"&lt;"&amp;DATE($B$3,1+1,1))&gt;0,1,0))</f>
        <v/>
      </c>
      <c r="AO88">
        <f>IF($O88="",0,IF(COUNTIFS(업무일지!$F$5:$F$1004,$O88,업무일지!$B$5:$B$1004,"&gt;="&amp;DATE($B$3,2,1),업무일지!$B$5:$B$1004,"&lt;"&amp;DATE($B$3,2+1,1))&gt;0,1,0))</f>
        <v/>
      </c>
      <c r="AP88">
        <f>IF($O88="",0,IF(COUNTIFS(업무일지!$F$5:$F$1004,$O88,업무일지!$B$5:$B$1004,"&gt;="&amp;DATE($B$3,3,1),업무일지!$B$5:$B$1004,"&lt;"&amp;DATE($B$3,3+1,1))&gt;0,1,0))</f>
        <v/>
      </c>
      <c r="AQ88">
        <f>IF($O88="",0,IF(COUNTIFS(업무일지!$F$5:$F$1004,$O88,업무일지!$B$5:$B$1004,"&gt;="&amp;DATE($B$3,4,1),업무일지!$B$5:$B$1004,"&lt;"&amp;DATE($B$3,4+1,1))&gt;0,1,0))</f>
        <v/>
      </c>
      <c r="AR88">
        <f>IF($O88="",0,IF(COUNTIFS(업무일지!$F$5:$F$1004,$O88,업무일지!$B$5:$B$1004,"&gt;="&amp;DATE($B$3,5,1),업무일지!$B$5:$B$1004,"&lt;"&amp;DATE($B$3,5+1,1))&gt;0,1,0))</f>
        <v/>
      </c>
      <c r="AS88">
        <f>IF($O88="",0,IF(COUNTIFS(업무일지!$F$5:$F$1004,$O88,업무일지!$B$5:$B$1004,"&gt;="&amp;DATE($B$3,6,1),업무일지!$B$5:$B$1004,"&lt;"&amp;DATE($B$3,6+1,1))&gt;0,1,0))</f>
        <v/>
      </c>
      <c r="AT88">
        <f>IF($O88="",0,IF(COUNTIFS(업무일지!$F$5:$F$1004,$O88,업무일지!$B$5:$B$1004,"&gt;="&amp;DATE($B$3,7,1),업무일지!$B$5:$B$1004,"&lt;"&amp;DATE($B$3,7+1,1))&gt;0,1,0))</f>
        <v/>
      </c>
      <c r="AU88">
        <f>IF($O88="",0,IF(COUNTIFS(업무일지!$F$5:$F$1004,$O88,업무일지!$B$5:$B$1004,"&gt;="&amp;DATE($B$3,8,1),업무일지!$B$5:$B$1004,"&lt;"&amp;DATE($B$3,8+1,1))&gt;0,1,0))</f>
        <v/>
      </c>
      <c r="AV88">
        <f>IF($O88="",0,IF(COUNTIFS(업무일지!$F$5:$F$1004,$O88,업무일지!$B$5:$B$1004,"&gt;="&amp;DATE($B$3,9,1),업무일지!$B$5:$B$1004,"&lt;"&amp;DATE($B$3,9+1,1))&gt;0,1,0))</f>
        <v/>
      </c>
      <c r="AW88">
        <f>IF($O88="",0,IF(COUNTIFS(업무일지!$F$5:$F$1004,$O88,업무일지!$B$5:$B$1004,"&gt;="&amp;DATE($B$3,10,1),업무일지!$B$5:$B$1004,"&lt;"&amp;DATE($B$3,10+1,1))&gt;0,1,0))</f>
        <v/>
      </c>
      <c r="AX88">
        <f>IF($O88="",0,IF(COUNTIFS(업무일지!$F$5:$F$1004,$O88,업무일지!$B$5:$B$1004,"&gt;="&amp;DATE($B$3,11,1),업무일지!$B$5:$B$1004,"&lt;"&amp;DATE($B$3,11+1,1))&gt;0,1,0))</f>
        <v/>
      </c>
      <c r="AY88">
        <f>IF($O88="",0,IF(COUNTIFS(업무일지!$F$5:$F$1004,$O88,업무일지!$B$5:$B$1004,"&gt;="&amp;DATE($B$3,12,1),업무일지!$B$5:$B$1004,"&lt;"&amp;DATE($B$3,12+1,1))&gt;0,1,0))</f>
        <v/>
      </c>
      <c r="AZ88">
        <f>IF($O88="",0,IF(COUNTIFS(업무일지!$F$5:$F$1004,$O88,업무일지!$B$5:$B$1004,"&gt;="&amp;DATE($B$3,1,1),업무일지!$B$5:$B$1004,"&lt;"&amp;DATE($B$3+1,1,1),업무일지!$D$5:$D$1004,"출장")&gt;0,1,0))</f>
        <v/>
      </c>
      <c r="BA88">
        <f>IF($O88="",0,IF(COUNTIFS(업무일지!$F$5:$F$1004,$O88,업무일지!$B$5:$B$1004,"&gt;="&amp;DATE($B$3,1,1),업무일지!$B$5:$B$1004,"&lt;"&amp;DATE($B$3+1,1,1),업무일지!$D$5:$D$1004,"분석")&gt;0,1,0))</f>
        <v/>
      </c>
      <c r="BB88">
        <f>IF($O88="",0,IF(COUNTIFS(업무일지!$F$5:$F$1004,$O88,업무일지!$B$5:$B$1004,"&gt;="&amp;DATE($B$3,1,1),업무일지!$B$5:$B$1004,"&lt;"&amp;DATE($B$3+1,1,1))&gt;0,1,0))</f>
        <v/>
      </c>
    </row>
    <row r="89">
      <c r="O89">
        <f>IF(사건마스터!$A9="","",사건마스터!$A9)</f>
        <v/>
      </c>
      <c r="P89">
        <f>IF($O89="",0,IF(COUNTIFS(업무일지!$F$5:$F$1004,$O89,업무일지!$B$5:$B$1004,"&gt;="&amp;DATE($B$3,1,1),업무일지!$B$5:$B$1004,"&lt;"&amp;DATE($B$3,1+1,1),업무일지!$D$5:$D$1004,"출장")&gt;0,1,0))</f>
        <v/>
      </c>
      <c r="Q89">
        <f>IF($O89="",0,IF(COUNTIFS(업무일지!$F$5:$F$1004,$O89,업무일지!$B$5:$B$1004,"&gt;="&amp;DATE($B$3,2,1),업무일지!$B$5:$B$1004,"&lt;"&amp;DATE($B$3,2+1,1),업무일지!$D$5:$D$1004,"출장")&gt;0,1,0))</f>
        <v/>
      </c>
      <c r="R89">
        <f>IF($O89="",0,IF(COUNTIFS(업무일지!$F$5:$F$1004,$O89,업무일지!$B$5:$B$1004,"&gt;="&amp;DATE($B$3,3,1),업무일지!$B$5:$B$1004,"&lt;"&amp;DATE($B$3,3+1,1),업무일지!$D$5:$D$1004,"출장")&gt;0,1,0))</f>
        <v/>
      </c>
      <c r="S89">
        <f>IF($O89="",0,IF(COUNTIFS(업무일지!$F$5:$F$1004,$O89,업무일지!$B$5:$B$1004,"&gt;="&amp;DATE($B$3,4,1),업무일지!$B$5:$B$1004,"&lt;"&amp;DATE($B$3,4+1,1),업무일지!$D$5:$D$1004,"출장")&gt;0,1,0))</f>
        <v/>
      </c>
      <c r="T89">
        <f>IF($O89="",0,IF(COUNTIFS(업무일지!$F$5:$F$1004,$O89,업무일지!$B$5:$B$1004,"&gt;="&amp;DATE($B$3,5,1),업무일지!$B$5:$B$1004,"&lt;"&amp;DATE($B$3,5+1,1),업무일지!$D$5:$D$1004,"출장")&gt;0,1,0))</f>
        <v/>
      </c>
      <c r="U89">
        <f>IF($O89="",0,IF(COUNTIFS(업무일지!$F$5:$F$1004,$O89,업무일지!$B$5:$B$1004,"&gt;="&amp;DATE($B$3,6,1),업무일지!$B$5:$B$1004,"&lt;"&amp;DATE($B$3,6+1,1),업무일지!$D$5:$D$1004,"출장")&gt;0,1,0))</f>
        <v/>
      </c>
      <c r="V89">
        <f>IF($O89="",0,IF(COUNTIFS(업무일지!$F$5:$F$1004,$O89,업무일지!$B$5:$B$1004,"&gt;="&amp;DATE($B$3,7,1),업무일지!$B$5:$B$1004,"&lt;"&amp;DATE($B$3,7+1,1),업무일지!$D$5:$D$1004,"출장")&gt;0,1,0))</f>
        <v/>
      </c>
      <c r="W89">
        <f>IF($O89="",0,IF(COUNTIFS(업무일지!$F$5:$F$1004,$O89,업무일지!$B$5:$B$1004,"&gt;="&amp;DATE($B$3,8,1),업무일지!$B$5:$B$1004,"&lt;"&amp;DATE($B$3,8+1,1),업무일지!$D$5:$D$1004,"출장")&gt;0,1,0))</f>
        <v/>
      </c>
      <c r="X89">
        <f>IF($O89="",0,IF(COUNTIFS(업무일지!$F$5:$F$1004,$O89,업무일지!$B$5:$B$1004,"&gt;="&amp;DATE($B$3,9,1),업무일지!$B$5:$B$1004,"&lt;"&amp;DATE($B$3,9+1,1),업무일지!$D$5:$D$1004,"출장")&gt;0,1,0))</f>
        <v/>
      </c>
      <c r="Y89">
        <f>IF($O89="",0,IF(COUNTIFS(업무일지!$F$5:$F$1004,$O89,업무일지!$B$5:$B$1004,"&gt;="&amp;DATE($B$3,10,1),업무일지!$B$5:$B$1004,"&lt;"&amp;DATE($B$3,10+1,1),업무일지!$D$5:$D$1004,"출장")&gt;0,1,0))</f>
        <v/>
      </c>
      <c r="Z89">
        <f>IF($O89="",0,IF(COUNTIFS(업무일지!$F$5:$F$1004,$O89,업무일지!$B$5:$B$1004,"&gt;="&amp;DATE($B$3,11,1),업무일지!$B$5:$B$1004,"&lt;"&amp;DATE($B$3,11+1,1),업무일지!$D$5:$D$1004,"출장")&gt;0,1,0))</f>
        <v/>
      </c>
      <c r="AA89">
        <f>IF($O89="",0,IF(COUNTIFS(업무일지!$F$5:$F$1004,$O89,업무일지!$B$5:$B$1004,"&gt;="&amp;DATE($B$3,12,1),업무일지!$B$5:$B$1004,"&lt;"&amp;DATE($B$3,12+1,1),업무일지!$D$5:$D$1004,"출장")&gt;0,1,0))</f>
        <v/>
      </c>
      <c r="AB89">
        <f>IF($O89="",0,IF(COUNTIFS(업무일지!$F$5:$F$1004,$O89,업무일지!$B$5:$B$1004,"&gt;="&amp;DATE($B$3,1,1),업무일지!$B$5:$B$1004,"&lt;"&amp;DATE($B$3,1+1,1),업무일지!$D$5:$D$1004,"분석")&gt;0,1,0))</f>
        <v/>
      </c>
      <c r="AC89">
        <f>IF($O89="",0,IF(COUNTIFS(업무일지!$F$5:$F$1004,$O89,업무일지!$B$5:$B$1004,"&gt;="&amp;DATE($B$3,2,1),업무일지!$B$5:$B$1004,"&lt;"&amp;DATE($B$3,2+1,1),업무일지!$D$5:$D$1004,"분석")&gt;0,1,0))</f>
        <v/>
      </c>
      <c r="AD89">
        <f>IF($O89="",0,IF(COUNTIFS(업무일지!$F$5:$F$1004,$O89,업무일지!$B$5:$B$1004,"&gt;="&amp;DATE($B$3,3,1),업무일지!$B$5:$B$1004,"&lt;"&amp;DATE($B$3,3+1,1),업무일지!$D$5:$D$1004,"분석")&gt;0,1,0))</f>
        <v/>
      </c>
      <c r="AE89">
        <f>IF($O89="",0,IF(COUNTIFS(업무일지!$F$5:$F$1004,$O89,업무일지!$B$5:$B$1004,"&gt;="&amp;DATE($B$3,4,1),업무일지!$B$5:$B$1004,"&lt;"&amp;DATE($B$3,4+1,1),업무일지!$D$5:$D$1004,"분석")&gt;0,1,0))</f>
        <v/>
      </c>
      <c r="AF89">
        <f>IF($O89="",0,IF(COUNTIFS(업무일지!$F$5:$F$1004,$O89,업무일지!$B$5:$B$1004,"&gt;="&amp;DATE($B$3,5,1),업무일지!$B$5:$B$1004,"&lt;"&amp;DATE($B$3,5+1,1),업무일지!$D$5:$D$1004,"분석")&gt;0,1,0))</f>
        <v/>
      </c>
      <c r="AG89">
        <f>IF($O89="",0,IF(COUNTIFS(업무일지!$F$5:$F$1004,$O89,업무일지!$B$5:$B$1004,"&gt;="&amp;DATE($B$3,6,1),업무일지!$B$5:$B$1004,"&lt;"&amp;DATE($B$3,6+1,1),업무일지!$D$5:$D$1004,"분석")&gt;0,1,0))</f>
        <v/>
      </c>
      <c r="AH89">
        <f>IF($O89="",0,IF(COUNTIFS(업무일지!$F$5:$F$1004,$O89,업무일지!$B$5:$B$1004,"&gt;="&amp;DATE($B$3,7,1),업무일지!$B$5:$B$1004,"&lt;"&amp;DATE($B$3,7+1,1),업무일지!$D$5:$D$1004,"분석")&gt;0,1,0))</f>
        <v/>
      </c>
      <c r="AI89">
        <f>IF($O89="",0,IF(COUNTIFS(업무일지!$F$5:$F$1004,$O89,업무일지!$B$5:$B$1004,"&gt;="&amp;DATE($B$3,8,1),업무일지!$B$5:$B$1004,"&lt;"&amp;DATE($B$3,8+1,1),업무일지!$D$5:$D$1004,"분석")&gt;0,1,0))</f>
        <v/>
      </c>
      <c r="AJ89">
        <f>IF($O89="",0,IF(COUNTIFS(업무일지!$F$5:$F$1004,$O89,업무일지!$B$5:$B$1004,"&gt;="&amp;DATE($B$3,9,1),업무일지!$B$5:$B$1004,"&lt;"&amp;DATE($B$3,9+1,1),업무일지!$D$5:$D$1004,"분석")&gt;0,1,0))</f>
        <v/>
      </c>
      <c r="AK89">
        <f>IF($O89="",0,IF(COUNTIFS(업무일지!$F$5:$F$1004,$O89,업무일지!$B$5:$B$1004,"&gt;="&amp;DATE($B$3,10,1),업무일지!$B$5:$B$1004,"&lt;"&amp;DATE($B$3,10+1,1),업무일지!$D$5:$D$1004,"분석")&gt;0,1,0))</f>
        <v/>
      </c>
      <c r="AL89">
        <f>IF($O89="",0,IF(COUNTIFS(업무일지!$F$5:$F$1004,$O89,업무일지!$B$5:$B$1004,"&gt;="&amp;DATE($B$3,11,1),업무일지!$B$5:$B$1004,"&lt;"&amp;DATE($B$3,11+1,1),업무일지!$D$5:$D$1004,"분석")&gt;0,1,0))</f>
        <v/>
      </c>
      <c r="AM89">
        <f>IF($O89="",0,IF(COUNTIFS(업무일지!$F$5:$F$1004,$O89,업무일지!$B$5:$B$1004,"&gt;="&amp;DATE($B$3,12,1),업무일지!$B$5:$B$1004,"&lt;"&amp;DATE($B$3,12+1,1),업무일지!$D$5:$D$1004,"분석")&gt;0,1,0))</f>
        <v/>
      </c>
      <c r="AN89">
        <f>IF($O89="",0,IF(COUNTIFS(업무일지!$F$5:$F$1004,$O89,업무일지!$B$5:$B$1004,"&gt;="&amp;DATE($B$3,1,1),업무일지!$B$5:$B$1004,"&lt;"&amp;DATE($B$3,1+1,1))&gt;0,1,0))</f>
        <v/>
      </c>
      <c r="AO89">
        <f>IF($O89="",0,IF(COUNTIFS(업무일지!$F$5:$F$1004,$O89,업무일지!$B$5:$B$1004,"&gt;="&amp;DATE($B$3,2,1),업무일지!$B$5:$B$1004,"&lt;"&amp;DATE($B$3,2+1,1))&gt;0,1,0))</f>
        <v/>
      </c>
      <c r="AP89">
        <f>IF($O89="",0,IF(COUNTIFS(업무일지!$F$5:$F$1004,$O89,업무일지!$B$5:$B$1004,"&gt;="&amp;DATE($B$3,3,1),업무일지!$B$5:$B$1004,"&lt;"&amp;DATE($B$3,3+1,1))&gt;0,1,0))</f>
        <v/>
      </c>
      <c r="AQ89">
        <f>IF($O89="",0,IF(COUNTIFS(업무일지!$F$5:$F$1004,$O89,업무일지!$B$5:$B$1004,"&gt;="&amp;DATE($B$3,4,1),업무일지!$B$5:$B$1004,"&lt;"&amp;DATE($B$3,4+1,1))&gt;0,1,0))</f>
        <v/>
      </c>
      <c r="AR89">
        <f>IF($O89="",0,IF(COUNTIFS(업무일지!$F$5:$F$1004,$O89,업무일지!$B$5:$B$1004,"&gt;="&amp;DATE($B$3,5,1),업무일지!$B$5:$B$1004,"&lt;"&amp;DATE($B$3,5+1,1))&gt;0,1,0))</f>
        <v/>
      </c>
      <c r="AS89">
        <f>IF($O89="",0,IF(COUNTIFS(업무일지!$F$5:$F$1004,$O89,업무일지!$B$5:$B$1004,"&gt;="&amp;DATE($B$3,6,1),업무일지!$B$5:$B$1004,"&lt;"&amp;DATE($B$3,6+1,1))&gt;0,1,0))</f>
        <v/>
      </c>
      <c r="AT89">
        <f>IF($O89="",0,IF(COUNTIFS(업무일지!$F$5:$F$1004,$O89,업무일지!$B$5:$B$1004,"&gt;="&amp;DATE($B$3,7,1),업무일지!$B$5:$B$1004,"&lt;"&amp;DATE($B$3,7+1,1))&gt;0,1,0))</f>
        <v/>
      </c>
      <c r="AU89">
        <f>IF($O89="",0,IF(COUNTIFS(업무일지!$F$5:$F$1004,$O89,업무일지!$B$5:$B$1004,"&gt;="&amp;DATE($B$3,8,1),업무일지!$B$5:$B$1004,"&lt;"&amp;DATE($B$3,8+1,1))&gt;0,1,0))</f>
        <v/>
      </c>
      <c r="AV89">
        <f>IF($O89="",0,IF(COUNTIFS(업무일지!$F$5:$F$1004,$O89,업무일지!$B$5:$B$1004,"&gt;="&amp;DATE($B$3,9,1),업무일지!$B$5:$B$1004,"&lt;"&amp;DATE($B$3,9+1,1))&gt;0,1,0))</f>
        <v/>
      </c>
      <c r="AW89">
        <f>IF($O89="",0,IF(COUNTIFS(업무일지!$F$5:$F$1004,$O89,업무일지!$B$5:$B$1004,"&gt;="&amp;DATE($B$3,10,1),업무일지!$B$5:$B$1004,"&lt;"&amp;DATE($B$3,10+1,1))&gt;0,1,0))</f>
        <v/>
      </c>
      <c r="AX89">
        <f>IF($O89="",0,IF(COUNTIFS(업무일지!$F$5:$F$1004,$O89,업무일지!$B$5:$B$1004,"&gt;="&amp;DATE($B$3,11,1),업무일지!$B$5:$B$1004,"&lt;"&amp;DATE($B$3,11+1,1))&gt;0,1,0))</f>
        <v/>
      </c>
      <c r="AY89">
        <f>IF($O89="",0,IF(COUNTIFS(업무일지!$F$5:$F$1004,$O89,업무일지!$B$5:$B$1004,"&gt;="&amp;DATE($B$3,12,1),업무일지!$B$5:$B$1004,"&lt;"&amp;DATE($B$3,12+1,1))&gt;0,1,0))</f>
        <v/>
      </c>
      <c r="AZ89">
        <f>IF($O89="",0,IF(COUNTIFS(업무일지!$F$5:$F$1004,$O89,업무일지!$B$5:$B$1004,"&gt;="&amp;DATE($B$3,1,1),업무일지!$B$5:$B$1004,"&lt;"&amp;DATE($B$3+1,1,1),업무일지!$D$5:$D$1004,"출장")&gt;0,1,0))</f>
        <v/>
      </c>
      <c r="BA89">
        <f>IF($O89="",0,IF(COUNTIFS(업무일지!$F$5:$F$1004,$O89,업무일지!$B$5:$B$1004,"&gt;="&amp;DATE($B$3,1,1),업무일지!$B$5:$B$1004,"&lt;"&amp;DATE($B$3+1,1,1),업무일지!$D$5:$D$1004,"분석")&gt;0,1,0))</f>
        <v/>
      </c>
      <c r="BB89">
        <f>IF($O89="",0,IF(COUNTIFS(업무일지!$F$5:$F$1004,$O89,업무일지!$B$5:$B$1004,"&gt;="&amp;DATE($B$3,1,1),업무일지!$B$5:$B$1004,"&lt;"&amp;DATE($B$3+1,1,1))&gt;0,1,0))</f>
        <v/>
      </c>
    </row>
    <row r="90">
      <c r="O90">
        <f>IF(사건마스터!$A10="","",사건마스터!$A10)</f>
        <v/>
      </c>
      <c r="P90">
        <f>IF($O90="",0,IF(COUNTIFS(업무일지!$F$5:$F$1004,$O90,업무일지!$B$5:$B$1004,"&gt;="&amp;DATE($B$3,1,1),업무일지!$B$5:$B$1004,"&lt;"&amp;DATE($B$3,1+1,1),업무일지!$D$5:$D$1004,"출장")&gt;0,1,0))</f>
        <v/>
      </c>
      <c r="Q90">
        <f>IF($O90="",0,IF(COUNTIFS(업무일지!$F$5:$F$1004,$O90,업무일지!$B$5:$B$1004,"&gt;="&amp;DATE($B$3,2,1),업무일지!$B$5:$B$1004,"&lt;"&amp;DATE($B$3,2+1,1),업무일지!$D$5:$D$1004,"출장")&gt;0,1,0))</f>
        <v/>
      </c>
      <c r="R90">
        <f>IF($O90="",0,IF(COUNTIFS(업무일지!$F$5:$F$1004,$O90,업무일지!$B$5:$B$1004,"&gt;="&amp;DATE($B$3,3,1),업무일지!$B$5:$B$1004,"&lt;"&amp;DATE($B$3,3+1,1),업무일지!$D$5:$D$1004,"출장")&gt;0,1,0))</f>
        <v/>
      </c>
      <c r="S90">
        <f>IF($O90="",0,IF(COUNTIFS(업무일지!$F$5:$F$1004,$O90,업무일지!$B$5:$B$1004,"&gt;="&amp;DATE($B$3,4,1),업무일지!$B$5:$B$1004,"&lt;"&amp;DATE($B$3,4+1,1),업무일지!$D$5:$D$1004,"출장")&gt;0,1,0))</f>
        <v/>
      </c>
      <c r="T90">
        <f>IF($O90="",0,IF(COUNTIFS(업무일지!$F$5:$F$1004,$O90,업무일지!$B$5:$B$1004,"&gt;="&amp;DATE($B$3,5,1),업무일지!$B$5:$B$1004,"&lt;"&amp;DATE($B$3,5+1,1),업무일지!$D$5:$D$1004,"출장")&gt;0,1,0))</f>
        <v/>
      </c>
      <c r="U90">
        <f>IF($O90="",0,IF(COUNTIFS(업무일지!$F$5:$F$1004,$O90,업무일지!$B$5:$B$1004,"&gt;="&amp;DATE($B$3,6,1),업무일지!$B$5:$B$1004,"&lt;"&amp;DATE($B$3,6+1,1),업무일지!$D$5:$D$1004,"출장")&gt;0,1,0))</f>
        <v/>
      </c>
      <c r="V90">
        <f>IF($O90="",0,IF(COUNTIFS(업무일지!$F$5:$F$1004,$O90,업무일지!$B$5:$B$1004,"&gt;="&amp;DATE($B$3,7,1),업무일지!$B$5:$B$1004,"&lt;"&amp;DATE($B$3,7+1,1),업무일지!$D$5:$D$1004,"출장")&gt;0,1,0))</f>
        <v/>
      </c>
      <c r="W90">
        <f>IF($O90="",0,IF(COUNTIFS(업무일지!$F$5:$F$1004,$O90,업무일지!$B$5:$B$1004,"&gt;="&amp;DATE($B$3,8,1),업무일지!$B$5:$B$1004,"&lt;"&amp;DATE($B$3,8+1,1),업무일지!$D$5:$D$1004,"출장")&gt;0,1,0))</f>
        <v/>
      </c>
      <c r="X90">
        <f>IF($O90="",0,IF(COUNTIFS(업무일지!$F$5:$F$1004,$O90,업무일지!$B$5:$B$1004,"&gt;="&amp;DATE($B$3,9,1),업무일지!$B$5:$B$1004,"&lt;"&amp;DATE($B$3,9+1,1),업무일지!$D$5:$D$1004,"출장")&gt;0,1,0))</f>
        <v/>
      </c>
      <c r="Y90">
        <f>IF($O90="",0,IF(COUNTIFS(업무일지!$F$5:$F$1004,$O90,업무일지!$B$5:$B$1004,"&gt;="&amp;DATE($B$3,10,1),업무일지!$B$5:$B$1004,"&lt;"&amp;DATE($B$3,10+1,1),업무일지!$D$5:$D$1004,"출장")&gt;0,1,0))</f>
        <v/>
      </c>
      <c r="Z90">
        <f>IF($O90="",0,IF(COUNTIFS(업무일지!$F$5:$F$1004,$O90,업무일지!$B$5:$B$1004,"&gt;="&amp;DATE($B$3,11,1),업무일지!$B$5:$B$1004,"&lt;"&amp;DATE($B$3,11+1,1),업무일지!$D$5:$D$1004,"출장")&gt;0,1,0))</f>
        <v/>
      </c>
      <c r="AA90">
        <f>IF($O90="",0,IF(COUNTIFS(업무일지!$F$5:$F$1004,$O90,업무일지!$B$5:$B$1004,"&gt;="&amp;DATE($B$3,12,1),업무일지!$B$5:$B$1004,"&lt;"&amp;DATE($B$3,12+1,1),업무일지!$D$5:$D$1004,"출장")&gt;0,1,0))</f>
        <v/>
      </c>
      <c r="AB90">
        <f>IF($O90="",0,IF(COUNTIFS(업무일지!$F$5:$F$1004,$O90,업무일지!$B$5:$B$1004,"&gt;="&amp;DATE($B$3,1,1),업무일지!$B$5:$B$1004,"&lt;"&amp;DATE($B$3,1+1,1),업무일지!$D$5:$D$1004,"분석")&gt;0,1,0))</f>
        <v/>
      </c>
      <c r="AC90">
        <f>IF($O90="",0,IF(COUNTIFS(업무일지!$F$5:$F$1004,$O90,업무일지!$B$5:$B$1004,"&gt;="&amp;DATE($B$3,2,1),업무일지!$B$5:$B$1004,"&lt;"&amp;DATE($B$3,2+1,1),업무일지!$D$5:$D$1004,"분석")&gt;0,1,0))</f>
        <v/>
      </c>
      <c r="AD90">
        <f>IF($O90="",0,IF(COUNTIFS(업무일지!$F$5:$F$1004,$O90,업무일지!$B$5:$B$1004,"&gt;="&amp;DATE($B$3,3,1),업무일지!$B$5:$B$1004,"&lt;"&amp;DATE($B$3,3+1,1),업무일지!$D$5:$D$1004,"분석")&gt;0,1,0))</f>
        <v/>
      </c>
      <c r="AE90">
        <f>IF($O90="",0,IF(COUNTIFS(업무일지!$F$5:$F$1004,$O90,업무일지!$B$5:$B$1004,"&gt;="&amp;DATE($B$3,4,1),업무일지!$B$5:$B$1004,"&lt;"&amp;DATE($B$3,4+1,1),업무일지!$D$5:$D$1004,"분석")&gt;0,1,0))</f>
        <v/>
      </c>
      <c r="AF90">
        <f>IF($O90="",0,IF(COUNTIFS(업무일지!$F$5:$F$1004,$O90,업무일지!$B$5:$B$1004,"&gt;="&amp;DATE($B$3,5,1),업무일지!$B$5:$B$1004,"&lt;"&amp;DATE($B$3,5+1,1),업무일지!$D$5:$D$1004,"분석")&gt;0,1,0))</f>
        <v/>
      </c>
      <c r="AG90">
        <f>IF($O90="",0,IF(COUNTIFS(업무일지!$F$5:$F$1004,$O90,업무일지!$B$5:$B$1004,"&gt;="&amp;DATE($B$3,6,1),업무일지!$B$5:$B$1004,"&lt;"&amp;DATE($B$3,6+1,1),업무일지!$D$5:$D$1004,"분석")&gt;0,1,0))</f>
        <v/>
      </c>
      <c r="AH90">
        <f>IF($O90="",0,IF(COUNTIFS(업무일지!$F$5:$F$1004,$O90,업무일지!$B$5:$B$1004,"&gt;="&amp;DATE($B$3,7,1),업무일지!$B$5:$B$1004,"&lt;"&amp;DATE($B$3,7+1,1),업무일지!$D$5:$D$1004,"분석")&gt;0,1,0))</f>
        <v/>
      </c>
      <c r="AI90">
        <f>IF($O90="",0,IF(COUNTIFS(업무일지!$F$5:$F$1004,$O90,업무일지!$B$5:$B$1004,"&gt;="&amp;DATE($B$3,8,1),업무일지!$B$5:$B$1004,"&lt;"&amp;DATE($B$3,8+1,1),업무일지!$D$5:$D$1004,"분석")&gt;0,1,0))</f>
        <v/>
      </c>
      <c r="AJ90">
        <f>IF($O90="",0,IF(COUNTIFS(업무일지!$F$5:$F$1004,$O90,업무일지!$B$5:$B$1004,"&gt;="&amp;DATE($B$3,9,1),업무일지!$B$5:$B$1004,"&lt;"&amp;DATE($B$3,9+1,1),업무일지!$D$5:$D$1004,"분석")&gt;0,1,0))</f>
        <v/>
      </c>
      <c r="AK90">
        <f>IF($O90="",0,IF(COUNTIFS(업무일지!$F$5:$F$1004,$O90,업무일지!$B$5:$B$1004,"&gt;="&amp;DATE($B$3,10,1),업무일지!$B$5:$B$1004,"&lt;"&amp;DATE($B$3,10+1,1),업무일지!$D$5:$D$1004,"분석")&gt;0,1,0))</f>
        <v/>
      </c>
      <c r="AL90">
        <f>IF($O90="",0,IF(COUNTIFS(업무일지!$F$5:$F$1004,$O90,업무일지!$B$5:$B$1004,"&gt;="&amp;DATE($B$3,11,1),업무일지!$B$5:$B$1004,"&lt;"&amp;DATE($B$3,11+1,1),업무일지!$D$5:$D$1004,"분석")&gt;0,1,0))</f>
        <v/>
      </c>
      <c r="AM90">
        <f>IF($O90="",0,IF(COUNTIFS(업무일지!$F$5:$F$1004,$O90,업무일지!$B$5:$B$1004,"&gt;="&amp;DATE($B$3,12,1),업무일지!$B$5:$B$1004,"&lt;"&amp;DATE($B$3,12+1,1),업무일지!$D$5:$D$1004,"분석")&gt;0,1,0))</f>
        <v/>
      </c>
      <c r="AN90">
        <f>IF($O90="",0,IF(COUNTIFS(업무일지!$F$5:$F$1004,$O90,업무일지!$B$5:$B$1004,"&gt;="&amp;DATE($B$3,1,1),업무일지!$B$5:$B$1004,"&lt;"&amp;DATE($B$3,1+1,1))&gt;0,1,0))</f>
        <v/>
      </c>
      <c r="AO90">
        <f>IF($O90="",0,IF(COUNTIFS(업무일지!$F$5:$F$1004,$O90,업무일지!$B$5:$B$1004,"&gt;="&amp;DATE($B$3,2,1),업무일지!$B$5:$B$1004,"&lt;"&amp;DATE($B$3,2+1,1))&gt;0,1,0))</f>
        <v/>
      </c>
      <c r="AP90">
        <f>IF($O90="",0,IF(COUNTIFS(업무일지!$F$5:$F$1004,$O90,업무일지!$B$5:$B$1004,"&gt;="&amp;DATE($B$3,3,1),업무일지!$B$5:$B$1004,"&lt;"&amp;DATE($B$3,3+1,1))&gt;0,1,0))</f>
        <v/>
      </c>
      <c r="AQ90">
        <f>IF($O90="",0,IF(COUNTIFS(업무일지!$F$5:$F$1004,$O90,업무일지!$B$5:$B$1004,"&gt;="&amp;DATE($B$3,4,1),업무일지!$B$5:$B$1004,"&lt;"&amp;DATE($B$3,4+1,1))&gt;0,1,0))</f>
        <v/>
      </c>
      <c r="AR90">
        <f>IF($O90="",0,IF(COUNTIFS(업무일지!$F$5:$F$1004,$O90,업무일지!$B$5:$B$1004,"&gt;="&amp;DATE($B$3,5,1),업무일지!$B$5:$B$1004,"&lt;"&amp;DATE($B$3,5+1,1))&gt;0,1,0))</f>
        <v/>
      </c>
      <c r="AS90">
        <f>IF($O90="",0,IF(COUNTIFS(업무일지!$F$5:$F$1004,$O90,업무일지!$B$5:$B$1004,"&gt;="&amp;DATE($B$3,6,1),업무일지!$B$5:$B$1004,"&lt;"&amp;DATE($B$3,6+1,1))&gt;0,1,0))</f>
        <v/>
      </c>
      <c r="AT90">
        <f>IF($O90="",0,IF(COUNTIFS(업무일지!$F$5:$F$1004,$O90,업무일지!$B$5:$B$1004,"&gt;="&amp;DATE($B$3,7,1),업무일지!$B$5:$B$1004,"&lt;"&amp;DATE($B$3,7+1,1))&gt;0,1,0))</f>
        <v/>
      </c>
      <c r="AU90">
        <f>IF($O90="",0,IF(COUNTIFS(업무일지!$F$5:$F$1004,$O90,업무일지!$B$5:$B$1004,"&gt;="&amp;DATE($B$3,8,1),업무일지!$B$5:$B$1004,"&lt;"&amp;DATE($B$3,8+1,1))&gt;0,1,0))</f>
        <v/>
      </c>
      <c r="AV90">
        <f>IF($O90="",0,IF(COUNTIFS(업무일지!$F$5:$F$1004,$O90,업무일지!$B$5:$B$1004,"&gt;="&amp;DATE($B$3,9,1),업무일지!$B$5:$B$1004,"&lt;"&amp;DATE($B$3,9+1,1))&gt;0,1,0))</f>
        <v/>
      </c>
      <c r="AW90">
        <f>IF($O90="",0,IF(COUNTIFS(업무일지!$F$5:$F$1004,$O90,업무일지!$B$5:$B$1004,"&gt;="&amp;DATE($B$3,10,1),업무일지!$B$5:$B$1004,"&lt;"&amp;DATE($B$3,10+1,1))&gt;0,1,0))</f>
        <v/>
      </c>
      <c r="AX90">
        <f>IF($O90="",0,IF(COUNTIFS(업무일지!$F$5:$F$1004,$O90,업무일지!$B$5:$B$1004,"&gt;="&amp;DATE($B$3,11,1),업무일지!$B$5:$B$1004,"&lt;"&amp;DATE($B$3,11+1,1))&gt;0,1,0))</f>
        <v/>
      </c>
      <c r="AY90">
        <f>IF($O90="",0,IF(COUNTIFS(업무일지!$F$5:$F$1004,$O90,업무일지!$B$5:$B$1004,"&gt;="&amp;DATE($B$3,12,1),업무일지!$B$5:$B$1004,"&lt;"&amp;DATE($B$3,12+1,1))&gt;0,1,0))</f>
        <v/>
      </c>
      <c r="AZ90">
        <f>IF($O90="",0,IF(COUNTIFS(업무일지!$F$5:$F$1004,$O90,업무일지!$B$5:$B$1004,"&gt;="&amp;DATE($B$3,1,1),업무일지!$B$5:$B$1004,"&lt;"&amp;DATE($B$3+1,1,1),업무일지!$D$5:$D$1004,"출장")&gt;0,1,0))</f>
        <v/>
      </c>
      <c r="BA90">
        <f>IF($O90="",0,IF(COUNTIFS(업무일지!$F$5:$F$1004,$O90,업무일지!$B$5:$B$1004,"&gt;="&amp;DATE($B$3,1,1),업무일지!$B$5:$B$1004,"&lt;"&amp;DATE($B$3+1,1,1),업무일지!$D$5:$D$1004,"분석")&gt;0,1,0))</f>
        <v/>
      </c>
      <c r="BB90">
        <f>IF($O90="",0,IF(COUNTIFS(업무일지!$F$5:$F$1004,$O90,업무일지!$B$5:$B$1004,"&gt;="&amp;DATE($B$3,1,1),업무일지!$B$5:$B$1004,"&lt;"&amp;DATE($B$3+1,1,1))&gt;0,1,0))</f>
        <v/>
      </c>
    </row>
    <row r="91">
      <c r="O91">
        <f>IF(사건마스터!$A11="","",사건마스터!$A11)</f>
        <v/>
      </c>
      <c r="P91">
        <f>IF($O91="",0,IF(COUNTIFS(업무일지!$F$5:$F$1004,$O91,업무일지!$B$5:$B$1004,"&gt;="&amp;DATE($B$3,1,1),업무일지!$B$5:$B$1004,"&lt;"&amp;DATE($B$3,1+1,1),업무일지!$D$5:$D$1004,"출장")&gt;0,1,0))</f>
        <v/>
      </c>
      <c r="Q91">
        <f>IF($O91="",0,IF(COUNTIFS(업무일지!$F$5:$F$1004,$O91,업무일지!$B$5:$B$1004,"&gt;="&amp;DATE($B$3,2,1),업무일지!$B$5:$B$1004,"&lt;"&amp;DATE($B$3,2+1,1),업무일지!$D$5:$D$1004,"출장")&gt;0,1,0))</f>
        <v/>
      </c>
      <c r="R91">
        <f>IF($O91="",0,IF(COUNTIFS(업무일지!$F$5:$F$1004,$O91,업무일지!$B$5:$B$1004,"&gt;="&amp;DATE($B$3,3,1),업무일지!$B$5:$B$1004,"&lt;"&amp;DATE($B$3,3+1,1),업무일지!$D$5:$D$1004,"출장")&gt;0,1,0))</f>
        <v/>
      </c>
      <c r="S91">
        <f>IF($O91="",0,IF(COUNTIFS(업무일지!$F$5:$F$1004,$O91,업무일지!$B$5:$B$1004,"&gt;="&amp;DATE($B$3,4,1),업무일지!$B$5:$B$1004,"&lt;"&amp;DATE($B$3,4+1,1),업무일지!$D$5:$D$1004,"출장")&gt;0,1,0))</f>
        <v/>
      </c>
      <c r="T91">
        <f>IF($O91="",0,IF(COUNTIFS(업무일지!$F$5:$F$1004,$O91,업무일지!$B$5:$B$1004,"&gt;="&amp;DATE($B$3,5,1),업무일지!$B$5:$B$1004,"&lt;"&amp;DATE($B$3,5+1,1),업무일지!$D$5:$D$1004,"출장")&gt;0,1,0))</f>
        <v/>
      </c>
      <c r="U91">
        <f>IF($O91="",0,IF(COUNTIFS(업무일지!$F$5:$F$1004,$O91,업무일지!$B$5:$B$1004,"&gt;="&amp;DATE($B$3,6,1),업무일지!$B$5:$B$1004,"&lt;"&amp;DATE($B$3,6+1,1),업무일지!$D$5:$D$1004,"출장")&gt;0,1,0))</f>
        <v/>
      </c>
      <c r="V91">
        <f>IF($O91="",0,IF(COUNTIFS(업무일지!$F$5:$F$1004,$O91,업무일지!$B$5:$B$1004,"&gt;="&amp;DATE($B$3,7,1),업무일지!$B$5:$B$1004,"&lt;"&amp;DATE($B$3,7+1,1),업무일지!$D$5:$D$1004,"출장")&gt;0,1,0))</f>
        <v/>
      </c>
      <c r="W91">
        <f>IF($O91="",0,IF(COUNTIFS(업무일지!$F$5:$F$1004,$O91,업무일지!$B$5:$B$1004,"&gt;="&amp;DATE($B$3,8,1),업무일지!$B$5:$B$1004,"&lt;"&amp;DATE($B$3,8+1,1),업무일지!$D$5:$D$1004,"출장")&gt;0,1,0))</f>
        <v/>
      </c>
      <c r="X91">
        <f>IF($O91="",0,IF(COUNTIFS(업무일지!$F$5:$F$1004,$O91,업무일지!$B$5:$B$1004,"&gt;="&amp;DATE($B$3,9,1),업무일지!$B$5:$B$1004,"&lt;"&amp;DATE($B$3,9+1,1),업무일지!$D$5:$D$1004,"출장")&gt;0,1,0))</f>
        <v/>
      </c>
      <c r="Y91">
        <f>IF($O91="",0,IF(COUNTIFS(업무일지!$F$5:$F$1004,$O91,업무일지!$B$5:$B$1004,"&gt;="&amp;DATE($B$3,10,1),업무일지!$B$5:$B$1004,"&lt;"&amp;DATE($B$3,10+1,1),업무일지!$D$5:$D$1004,"출장")&gt;0,1,0))</f>
        <v/>
      </c>
      <c r="Z91">
        <f>IF($O91="",0,IF(COUNTIFS(업무일지!$F$5:$F$1004,$O91,업무일지!$B$5:$B$1004,"&gt;="&amp;DATE($B$3,11,1),업무일지!$B$5:$B$1004,"&lt;"&amp;DATE($B$3,11+1,1),업무일지!$D$5:$D$1004,"출장")&gt;0,1,0))</f>
        <v/>
      </c>
      <c r="AA91">
        <f>IF($O91="",0,IF(COUNTIFS(업무일지!$F$5:$F$1004,$O91,업무일지!$B$5:$B$1004,"&gt;="&amp;DATE($B$3,12,1),업무일지!$B$5:$B$1004,"&lt;"&amp;DATE($B$3,12+1,1),업무일지!$D$5:$D$1004,"출장")&gt;0,1,0))</f>
        <v/>
      </c>
      <c r="AB91">
        <f>IF($O91="",0,IF(COUNTIFS(업무일지!$F$5:$F$1004,$O91,업무일지!$B$5:$B$1004,"&gt;="&amp;DATE($B$3,1,1),업무일지!$B$5:$B$1004,"&lt;"&amp;DATE($B$3,1+1,1),업무일지!$D$5:$D$1004,"분석")&gt;0,1,0))</f>
        <v/>
      </c>
      <c r="AC91">
        <f>IF($O91="",0,IF(COUNTIFS(업무일지!$F$5:$F$1004,$O91,업무일지!$B$5:$B$1004,"&gt;="&amp;DATE($B$3,2,1),업무일지!$B$5:$B$1004,"&lt;"&amp;DATE($B$3,2+1,1),업무일지!$D$5:$D$1004,"분석")&gt;0,1,0))</f>
        <v/>
      </c>
      <c r="AD91">
        <f>IF($O91="",0,IF(COUNTIFS(업무일지!$F$5:$F$1004,$O91,업무일지!$B$5:$B$1004,"&gt;="&amp;DATE($B$3,3,1),업무일지!$B$5:$B$1004,"&lt;"&amp;DATE($B$3,3+1,1),업무일지!$D$5:$D$1004,"분석")&gt;0,1,0))</f>
        <v/>
      </c>
      <c r="AE91">
        <f>IF($O91="",0,IF(COUNTIFS(업무일지!$F$5:$F$1004,$O91,업무일지!$B$5:$B$1004,"&gt;="&amp;DATE($B$3,4,1),업무일지!$B$5:$B$1004,"&lt;"&amp;DATE($B$3,4+1,1),업무일지!$D$5:$D$1004,"분석")&gt;0,1,0))</f>
        <v/>
      </c>
      <c r="AF91">
        <f>IF($O91="",0,IF(COUNTIFS(업무일지!$F$5:$F$1004,$O91,업무일지!$B$5:$B$1004,"&gt;="&amp;DATE($B$3,5,1),업무일지!$B$5:$B$1004,"&lt;"&amp;DATE($B$3,5+1,1),업무일지!$D$5:$D$1004,"분석")&gt;0,1,0))</f>
        <v/>
      </c>
      <c r="AG91">
        <f>IF($O91="",0,IF(COUNTIFS(업무일지!$F$5:$F$1004,$O91,업무일지!$B$5:$B$1004,"&gt;="&amp;DATE($B$3,6,1),업무일지!$B$5:$B$1004,"&lt;"&amp;DATE($B$3,6+1,1),업무일지!$D$5:$D$1004,"분석")&gt;0,1,0))</f>
        <v/>
      </c>
      <c r="AH91">
        <f>IF($O91="",0,IF(COUNTIFS(업무일지!$F$5:$F$1004,$O91,업무일지!$B$5:$B$1004,"&gt;="&amp;DATE($B$3,7,1),업무일지!$B$5:$B$1004,"&lt;"&amp;DATE($B$3,7+1,1),업무일지!$D$5:$D$1004,"분석")&gt;0,1,0))</f>
        <v/>
      </c>
      <c r="AI91">
        <f>IF($O91="",0,IF(COUNTIFS(업무일지!$F$5:$F$1004,$O91,업무일지!$B$5:$B$1004,"&gt;="&amp;DATE($B$3,8,1),업무일지!$B$5:$B$1004,"&lt;"&amp;DATE($B$3,8+1,1),업무일지!$D$5:$D$1004,"분석")&gt;0,1,0))</f>
        <v/>
      </c>
      <c r="AJ91">
        <f>IF($O91="",0,IF(COUNTIFS(업무일지!$F$5:$F$1004,$O91,업무일지!$B$5:$B$1004,"&gt;="&amp;DATE($B$3,9,1),업무일지!$B$5:$B$1004,"&lt;"&amp;DATE($B$3,9+1,1),업무일지!$D$5:$D$1004,"분석")&gt;0,1,0))</f>
        <v/>
      </c>
      <c r="AK91">
        <f>IF($O91="",0,IF(COUNTIFS(업무일지!$F$5:$F$1004,$O91,업무일지!$B$5:$B$1004,"&gt;="&amp;DATE($B$3,10,1),업무일지!$B$5:$B$1004,"&lt;"&amp;DATE($B$3,10+1,1),업무일지!$D$5:$D$1004,"분석")&gt;0,1,0))</f>
        <v/>
      </c>
      <c r="AL91">
        <f>IF($O91="",0,IF(COUNTIFS(업무일지!$F$5:$F$1004,$O91,업무일지!$B$5:$B$1004,"&gt;="&amp;DATE($B$3,11,1),업무일지!$B$5:$B$1004,"&lt;"&amp;DATE($B$3,11+1,1),업무일지!$D$5:$D$1004,"분석")&gt;0,1,0))</f>
        <v/>
      </c>
      <c r="AM91">
        <f>IF($O91="",0,IF(COUNTIFS(업무일지!$F$5:$F$1004,$O91,업무일지!$B$5:$B$1004,"&gt;="&amp;DATE($B$3,12,1),업무일지!$B$5:$B$1004,"&lt;"&amp;DATE($B$3,12+1,1),업무일지!$D$5:$D$1004,"분석")&gt;0,1,0))</f>
        <v/>
      </c>
      <c r="AN91">
        <f>IF($O91="",0,IF(COUNTIFS(업무일지!$F$5:$F$1004,$O91,업무일지!$B$5:$B$1004,"&gt;="&amp;DATE($B$3,1,1),업무일지!$B$5:$B$1004,"&lt;"&amp;DATE($B$3,1+1,1))&gt;0,1,0))</f>
        <v/>
      </c>
      <c r="AO91">
        <f>IF($O91="",0,IF(COUNTIFS(업무일지!$F$5:$F$1004,$O91,업무일지!$B$5:$B$1004,"&gt;="&amp;DATE($B$3,2,1),업무일지!$B$5:$B$1004,"&lt;"&amp;DATE($B$3,2+1,1))&gt;0,1,0))</f>
        <v/>
      </c>
      <c r="AP91">
        <f>IF($O91="",0,IF(COUNTIFS(업무일지!$F$5:$F$1004,$O91,업무일지!$B$5:$B$1004,"&gt;="&amp;DATE($B$3,3,1),업무일지!$B$5:$B$1004,"&lt;"&amp;DATE($B$3,3+1,1))&gt;0,1,0))</f>
        <v/>
      </c>
      <c r="AQ91">
        <f>IF($O91="",0,IF(COUNTIFS(업무일지!$F$5:$F$1004,$O91,업무일지!$B$5:$B$1004,"&gt;="&amp;DATE($B$3,4,1),업무일지!$B$5:$B$1004,"&lt;"&amp;DATE($B$3,4+1,1))&gt;0,1,0))</f>
        <v/>
      </c>
      <c r="AR91">
        <f>IF($O91="",0,IF(COUNTIFS(업무일지!$F$5:$F$1004,$O91,업무일지!$B$5:$B$1004,"&gt;="&amp;DATE($B$3,5,1),업무일지!$B$5:$B$1004,"&lt;"&amp;DATE($B$3,5+1,1))&gt;0,1,0))</f>
        <v/>
      </c>
      <c r="AS91">
        <f>IF($O91="",0,IF(COUNTIFS(업무일지!$F$5:$F$1004,$O91,업무일지!$B$5:$B$1004,"&gt;="&amp;DATE($B$3,6,1),업무일지!$B$5:$B$1004,"&lt;"&amp;DATE($B$3,6+1,1))&gt;0,1,0))</f>
        <v/>
      </c>
      <c r="AT91">
        <f>IF($O91="",0,IF(COUNTIFS(업무일지!$F$5:$F$1004,$O91,업무일지!$B$5:$B$1004,"&gt;="&amp;DATE($B$3,7,1),업무일지!$B$5:$B$1004,"&lt;"&amp;DATE($B$3,7+1,1))&gt;0,1,0))</f>
        <v/>
      </c>
      <c r="AU91">
        <f>IF($O91="",0,IF(COUNTIFS(업무일지!$F$5:$F$1004,$O91,업무일지!$B$5:$B$1004,"&gt;="&amp;DATE($B$3,8,1),업무일지!$B$5:$B$1004,"&lt;"&amp;DATE($B$3,8+1,1))&gt;0,1,0))</f>
        <v/>
      </c>
      <c r="AV91">
        <f>IF($O91="",0,IF(COUNTIFS(업무일지!$F$5:$F$1004,$O91,업무일지!$B$5:$B$1004,"&gt;="&amp;DATE($B$3,9,1),업무일지!$B$5:$B$1004,"&lt;"&amp;DATE($B$3,9+1,1))&gt;0,1,0))</f>
        <v/>
      </c>
      <c r="AW91">
        <f>IF($O91="",0,IF(COUNTIFS(업무일지!$F$5:$F$1004,$O91,업무일지!$B$5:$B$1004,"&gt;="&amp;DATE($B$3,10,1),업무일지!$B$5:$B$1004,"&lt;"&amp;DATE($B$3,10+1,1))&gt;0,1,0))</f>
        <v/>
      </c>
      <c r="AX91">
        <f>IF($O91="",0,IF(COUNTIFS(업무일지!$F$5:$F$1004,$O91,업무일지!$B$5:$B$1004,"&gt;="&amp;DATE($B$3,11,1),업무일지!$B$5:$B$1004,"&lt;"&amp;DATE($B$3,11+1,1))&gt;0,1,0))</f>
        <v/>
      </c>
      <c r="AY91">
        <f>IF($O91="",0,IF(COUNTIFS(업무일지!$F$5:$F$1004,$O91,업무일지!$B$5:$B$1004,"&gt;="&amp;DATE($B$3,12,1),업무일지!$B$5:$B$1004,"&lt;"&amp;DATE($B$3,12+1,1))&gt;0,1,0))</f>
        <v/>
      </c>
      <c r="AZ91">
        <f>IF($O91="",0,IF(COUNTIFS(업무일지!$F$5:$F$1004,$O91,업무일지!$B$5:$B$1004,"&gt;="&amp;DATE($B$3,1,1),업무일지!$B$5:$B$1004,"&lt;"&amp;DATE($B$3+1,1,1),업무일지!$D$5:$D$1004,"출장")&gt;0,1,0))</f>
        <v/>
      </c>
      <c r="BA91">
        <f>IF($O91="",0,IF(COUNTIFS(업무일지!$F$5:$F$1004,$O91,업무일지!$B$5:$B$1004,"&gt;="&amp;DATE($B$3,1,1),업무일지!$B$5:$B$1004,"&lt;"&amp;DATE($B$3+1,1,1),업무일지!$D$5:$D$1004,"분석")&gt;0,1,0))</f>
        <v/>
      </c>
      <c r="BB91">
        <f>IF($O91="",0,IF(COUNTIFS(업무일지!$F$5:$F$1004,$O91,업무일지!$B$5:$B$1004,"&gt;="&amp;DATE($B$3,1,1),업무일지!$B$5:$B$1004,"&lt;"&amp;DATE($B$3+1,1,1))&gt;0,1,0))</f>
        <v/>
      </c>
    </row>
    <row r="92">
      <c r="O92">
        <f>IF(사건마스터!$A12="","",사건마스터!$A12)</f>
        <v/>
      </c>
      <c r="P92">
        <f>IF($O92="",0,IF(COUNTIFS(업무일지!$F$5:$F$1004,$O92,업무일지!$B$5:$B$1004,"&gt;="&amp;DATE($B$3,1,1),업무일지!$B$5:$B$1004,"&lt;"&amp;DATE($B$3,1+1,1),업무일지!$D$5:$D$1004,"출장")&gt;0,1,0))</f>
        <v/>
      </c>
      <c r="Q92">
        <f>IF($O92="",0,IF(COUNTIFS(업무일지!$F$5:$F$1004,$O92,업무일지!$B$5:$B$1004,"&gt;="&amp;DATE($B$3,2,1),업무일지!$B$5:$B$1004,"&lt;"&amp;DATE($B$3,2+1,1),업무일지!$D$5:$D$1004,"출장")&gt;0,1,0))</f>
        <v/>
      </c>
      <c r="R92">
        <f>IF($O92="",0,IF(COUNTIFS(업무일지!$F$5:$F$1004,$O92,업무일지!$B$5:$B$1004,"&gt;="&amp;DATE($B$3,3,1),업무일지!$B$5:$B$1004,"&lt;"&amp;DATE($B$3,3+1,1),업무일지!$D$5:$D$1004,"출장")&gt;0,1,0))</f>
        <v/>
      </c>
      <c r="S92">
        <f>IF($O92="",0,IF(COUNTIFS(업무일지!$F$5:$F$1004,$O92,업무일지!$B$5:$B$1004,"&gt;="&amp;DATE($B$3,4,1),업무일지!$B$5:$B$1004,"&lt;"&amp;DATE($B$3,4+1,1),업무일지!$D$5:$D$1004,"출장")&gt;0,1,0))</f>
        <v/>
      </c>
      <c r="T92">
        <f>IF($O92="",0,IF(COUNTIFS(업무일지!$F$5:$F$1004,$O92,업무일지!$B$5:$B$1004,"&gt;="&amp;DATE($B$3,5,1),업무일지!$B$5:$B$1004,"&lt;"&amp;DATE($B$3,5+1,1),업무일지!$D$5:$D$1004,"출장")&gt;0,1,0))</f>
        <v/>
      </c>
      <c r="U92">
        <f>IF($O92="",0,IF(COUNTIFS(업무일지!$F$5:$F$1004,$O92,업무일지!$B$5:$B$1004,"&gt;="&amp;DATE($B$3,6,1),업무일지!$B$5:$B$1004,"&lt;"&amp;DATE($B$3,6+1,1),업무일지!$D$5:$D$1004,"출장")&gt;0,1,0))</f>
        <v/>
      </c>
      <c r="V92">
        <f>IF($O92="",0,IF(COUNTIFS(업무일지!$F$5:$F$1004,$O92,업무일지!$B$5:$B$1004,"&gt;="&amp;DATE($B$3,7,1),업무일지!$B$5:$B$1004,"&lt;"&amp;DATE($B$3,7+1,1),업무일지!$D$5:$D$1004,"출장")&gt;0,1,0))</f>
        <v/>
      </c>
      <c r="W92">
        <f>IF($O92="",0,IF(COUNTIFS(업무일지!$F$5:$F$1004,$O92,업무일지!$B$5:$B$1004,"&gt;="&amp;DATE($B$3,8,1),업무일지!$B$5:$B$1004,"&lt;"&amp;DATE($B$3,8+1,1),업무일지!$D$5:$D$1004,"출장")&gt;0,1,0))</f>
        <v/>
      </c>
      <c r="X92">
        <f>IF($O92="",0,IF(COUNTIFS(업무일지!$F$5:$F$1004,$O92,업무일지!$B$5:$B$1004,"&gt;="&amp;DATE($B$3,9,1),업무일지!$B$5:$B$1004,"&lt;"&amp;DATE($B$3,9+1,1),업무일지!$D$5:$D$1004,"출장")&gt;0,1,0))</f>
        <v/>
      </c>
      <c r="Y92">
        <f>IF($O92="",0,IF(COUNTIFS(업무일지!$F$5:$F$1004,$O92,업무일지!$B$5:$B$1004,"&gt;="&amp;DATE($B$3,10,1),업무일지!$B$5:$B$1004,"&lt;"&amp;DATE($B$3,10+1,1),업무일지!$D$5:$D$1004,"출장")&gt;0,1,0))</f>
        <v/>
      </c>
      <c r="Z92">
        <f>IF($O92="",0,IF(COUNTIFS(업무일지!$F$5:$F$1004,$O92,업무일지!$B$5:$B$1004,"&gt;="&amp;DATE($B$3,11,1),업무일지!$B$5:$B$1004,"&lt;"&amp;DATE($B$3,11+1,1),업무일지!$D$5:$D$1004,"출장")&gt;0,1,0))</f>
        <v/>
      </c>
      <c r="AA92">
        <f>IF($O92="",0,IF(COUNTIFS(업무일지!$F$5:$F$1004,$O92,업무일지!$B$5:$B$1004,"&gt;="&amp;DATE($B$3,12,1),업무일지!$B$5:$B$1004,"&lt;"&amp;DATE($B$3,12+1,1),업무일지!$D$5:$D$1004,"출장")&gt;0,1,0))</f>
        <v/>
      </c>
      <c r="AB92">
        <f>IF($O92="",0,IF(COUNTIFS(업무일지!$F$5:$F$1004,$O92,업무일지!$B$5:$B$1004,"&gt;="&amp;DATE($B$3,1,1),업무일지!$B$5:$B$1004,"&lt;"&amp;DATE($B$3,1+1,1),업무일지!$D$5:$D$1004,"분석")&gt;0,1,0))</f>
        <v/>
      </c>
      <c r="AC92">
        <f>IF($O92="",0,IF(COUNTIFS(업무일지!$F$5:$F$1004,$O92,업무일지!$B$5:$B$1004,"&gt;="&amp;DATE($B$3,2,1),업무일지!$B$5:$B$1004,"&lt;"&amp;DATE($B$3,2+1,1),업무일지!$D$5:$D$1004,"분석")&gt;0,1,0))</f>
        <v/>
      </c>
      <c r="AD92">
        <f>IF($O92="",0,IF(COUNTIFS(업무일지!$F$5:$F$1004,$O92,업무일지!$B$5:$B$1004,"&gt;="&amp;DATE($B$3,3,1),업무일지!$B$5:$B$1004,"&lt;"&amp;DATE($B$3,3+1,1),업무일지!$D$5:$D$1004,"분석")&gt;0,1,0))</f>
        <v/>
      </c>
      <c r="AE92">
        <f>IF($O92="",0,IF(COUNTIFS(업무일지!$F$5:$F$1004,$O92,업무일지!$B$5:$B$1004,"&gt;="&amp;DATE($B$3,4,1),업무일지!$B$5:$B$1004,"&lt;"&amp;DATE($B$3,4+1,1),업무일지!$D$5:$D$1004,"분석")&gt;0,1,0))</f>
        <v/>
      </c>
      <c r="AF92">
        <f>IF($O92="",0,IF(COUNTIFS(업무일지!$F$5:$F$1004,$O92,업무일지!$B$5:$B$1004,"&gt;="&amp;DATE($B$3,5,1),업무일지!$B$5:$B$1004,"&lt;"&amp;DATE($B$3,5+1,1),업무일지!$D$5:$D$1004,"분석")&gt;0,1,0))</f>
        <v/>
      </c>
      <c r="AG92">
        <f>IF($O92="",0,IF(COUNTIFS(업무일지!$F$5:$F$1004,$O92,업무일지!$B$5:$B$1004,"&gt;="&amp;DATE($B$3,6,1),업무일지!$B$5:$B$1004,"&lt;"&amp;DATE($B$3,6+1,1),업무일지!$D$5:$D$1004,"분석")&gt;0,1,0))</f>
        <v/>
      </c>
      <c r="AH92">
        <f>IF($O92="",0,IF(COUNTIFS(업무일지!$F$5:$F$1004,$O92,업무일지!$B$5:$B$1004,"&gt;="&amp;DATE($B$3,7,1),업무일지!$B$5:$B$1004,"&lt;"&amp;DATE($B$3,7+1,1),업무일지!$D$5:$D$1004,"분석")&gt;0,1,0))</f>
        <v/>
      </c>
      <c r="AI92">
        <f>IF($O92="",0,IF(COUNTIFS(업무일지!$F$5:$F$1004,$O92,업무일지!$B$5:$B$1004,"&gt;="&amp;DATE($B$3,8,1),업무일지!$B$5:$B$1004,"&lt;"&amp;DATE($B$3,8+1,1),업무일지!$D$5:$D$1004,"분석")&gt;0,1,0))</f>
        <v/>
      </c>
      <c r="AJ92">
        <f>IF($O92="",0,IF(COUNTIFS(업무일지!$F$5:$F$1004,$O92,업무일지!$B$5:$B$1004,"&gt;="&amp;DATE($B$3,9,1),업무일지!$B$5:$B$1004,"&lt;"&amp;DATE($B$3,9+1,1),업무일지!$D$5:$D$1004,"분석")&gt;0,1,0))</f>
        <v/>
      </c>
      <c r="AK92">
        <f>IF($O92="",0,IF(COUNTIFS(업무일지!$F$5:$F$1004,$O92,업무일지!$B$5:$B$1004,"&gt;="&amp;DATE($B$3,10,1),업무일지!$B$5:$B$1004,"&lt;"&amp;DATE($B$3,10+1,1),업무일지!$D$5:$D$1004,"분석")&gt;0,1,0))</f>
        <v/>
      </c>
      <c r="AL92">
        <f>IF($O92="",0,IF(COUNTIFS(업무일지!$F$5:$F$1004,$O92,업무일지!$B$5:$B$1004,"&gt;="&amp;DATE($B$3,11,1),업무일지!$B$5:$B$1004,"&lt;"&amp;DATE($B$3,11+1,1),업무일지!$D$5:$D$1004,"분석")&gt;0,1,0))</f>
        <v/>
      </c>
      <c r="AM92">
        <f>IF($O92="",0,IF(COUNTIFS(업무일지!$F$5:$F$1004,$O92,업무일지!$B$5:$B$1004,"&gt;="&amp;DATE($B$3,12,1),업무일지!$B$5:$B$1004,"&lt;"&amp;DATE($B$3,12+1,1),업무일지!$D$5:$D$1004,"분석")&gt;0,1,0))</f>
        <v/>
      </c>
      <c r="AN92">
        <f>IF($O92="",0,IF(COUNTIFS(업무일지!$F$5:$F$1004,$O92,업무일지!$B$5:$B$1004,"&gt;="&amp;DATE($B$3,1,1),업무일지!$B$5:$B$1004,"&lt;"&amp;DATE($B$3,1+1,1))&gt;0,1,0))</f>
        <v/>
      </c>
      <c r="AO92">
        <f>IF($O92="",0,IF(COUNTIFS(업무일지!$F$5:$F$1004,$O92,업무일지!$B$5:$B$1004,"&gt;="&amp;DATE($B$3,2,1),업무일지!$B$5:$B$1004,"&lt;"&amp;DATE($B$3,2+1,1))&gt;0,1,0))</f>
        <v/>
      </c>
      <c r="AP92">
        <f>IF($O92="",0,IF(COUNTIFS(업무일지!$F$5:$F$1004,$O92,업무일지!$B$5:$B$1004,"&gt;="&amp;DATE($B$3,3,1),업무일지!$B$5:$B$1004,"&lt;"&amp;DATE($B$3,3+1,1))&gt;0,1,0))</f>
        <v/>
      </c>
      <c r="AQ92">
        <f>IF($O92="",0,IF(COUNTIFS(업무일지!$F$5:$F$1004,$O92,업무일지!$B$5:$B$1004,"&gt;="&amp;DATE($B$3,4,1),업무일지!$B$5:$B$1004,"&lt;"&amp;DATE($B$3,4+1,1))&gt;0,1,0))</f>
        <v/>
      </c>
      <c r="AR92">
        <f>IF($O92="",0,IF(COUNTIFS(업무일지!$F$5:$F$1004,$O92,업무일지!$B$5:$B$1004,"&gt;="&amp;DATE($B$3,5,1),업무일지!$B$5:$B$1004,"&lt;"&amp;DATE($B$3,5+1,1))&gt;0,1,0))</f>
        <v/>
      </c>
      <c r="AS92">
        <f>IF($O92="",0,IF(COUNTIFS(업무일지!$F$5:$F$1004,$O92,업무일지!$B$5:$B$1004,"&gt;="&amp;DATE($B$3,6,1),업무일지!$B$5:$B$1004,"&lt;"&amp;DATE($B$3,6+1,1))&gt;0,1,0))</f>
        <v/>
      </c>
      <c r="AT92">
        <f>IF($O92="",0,IF(COUNTIFS(업무일지!$F$5:$F$1004,$O92,업무일지!$B$5:$B$1004,"&gt;="&amp;DATE($B$3,7,1),업무일지!$B$5:$B$1004,"&lt;"&amp;DATE($B$3,7+1,1))&gt;0,1,0))</f>
        <v/>
      </c>
      <c r="AU92">
        <f>IF($O92="",0,IF(COUNTIFS(업무일지!$F$5:$F$1004,$O92,업무일지!$B$5:$B$1004,"&gt;="&amp;DATE($B$3,8,1),업무일지!$B$5:$B$1004,"&lt;"&amp;DATE($B$3,8+1,1))&gt;0,1,0))</f>
        <v/>
      </c>
      <c r="AV92">
        <f>IF($O92="",0,IF(COUNTIFS(업무일지!$F$5:$F$1004,$O92,업무일지!$B$5:$B$1004,"&gt;="&amp;DATE($B$3,9,1),업무일지!$B$5:$B$1004,"&lt;"&amp;DATE($B$3,9+1,1))&gt;0,1,0))</f>
        <v/>
      </c>
      <c r="AW92">
        <f>IF($O92="",0,IF(COUNTIFS(업무일지!$F$5:$F$1004,$O92,업무일지!$B$5:$B$1004,"&gt;="&amp;DATE($B$3,10,1),업무일지!$B$5:$B$1004,"&lt;"&amp;DATE($B$3,10+1,1))&gt;0,1,0))</f>
        <v/>
      </c>
      <c r="AX92">
        <f>IF($O92="",0,IF(COUNTIFS(업무일지!$F$5:$F$1004,$O92,업무일지!$B$5:$B$1004,"&gt;="&amp;DATE($B$3,11,1),업무일지!$B$5:$B$1004,"&lt;"&amp;DATE($B$3,11+1,1))&gt;0,1,0))</f>
        <v/>
      </c>
      <c r="AY92">
        <f>IF($O92="",0,IF(COUNTIFS(업무일지!$F$5:$F$1004,$O92,업무일지!$B$5:$B$1004,"&gt;="&amp;DATE($B$3,12,1),업무일지!$B$5:$B$1004,"&lt;"&amp;DATE($B$3,12+1,1))&gt;0,1,0))</f>
        <v/>
      </c>
      <c r="AZ92">
        <f>IF($O92="",0,IF(COUNTIFS(업무일지!$F$5:$F$1004,$O92,업무일지!$B$5:$B$1004,"&gt;="&amp;DATE($B$3,1,1),업무일지!$B$5:$B$1004,"&lt;"&amp;DATE($B$3+1,1,1),업무일지!$D$5:$D$1004,"출장")&gt;0,1,0))</f>
        <v/>
      </c>
      <c r="BA92">
        <f>IF($O92="",0,IF(COUNTIFS(업무일지!$F$5:$F$1004,$O92,업무일지!$B$5:$B$1004,"&gt;="&amp;DATE($B$3,1,1),업무일지!$B$5:$B$1004,"&lt;"&amp;DATE($B$3+1,1,1),업무일지!$D$5:$D$1004,"분석")&gt;0,1,0))</f>
        <v/>
      </c>
      <c r="BB92">
        <f>IF($O92="",0,IF(COUNTIFS(업무일지!$F$5:$F$1004,$O92,업무일지!$B$5:$B$1004,"&gt;="&amp;DATE($B$3,1,1),업무일지!$B$5:$B$1004,"&lt;"&amp;DATE($B$3+1,1,1))&gt;0,1,0))</f>
        <v/>
      </c>
    </row>
    <row r="93">
      <c r="O93">
        <f>IF(사건마스터!$A13="","",사건마스터!$A13)</f>
        <v/>
      </c>
      <c r="P93">
        <f>IF($O93="",0,IF(COUNTIFS(업무일지!$F$5:$F$1004,$O93,업무일지!$B$5:$B$1004,"&gt;="&amp;DATE($B$3,1,1),업무일지!$B$5:$B$1004,"&lt;"&amp;DATE($B$3,1+1,1),업무일지!$D$5:$D$1004,"출장")&gt;0,1,0))</f>
        <v/>
      </c>
      <c r="Q93">
        <f>IF($O93="",0,IF(COUNTIFS(업무일지!$F$5:$F$1004,$O93,업무일지!$B$5:$B$1004,"&gt;="&amp;DATE($B$3,2,1),업무일지!$B$5:$B$1004,"&lt;"&amp;DATE($B$3,2+1,1),업무일지!$D$5:$D$1004,"출장")&gt;0,1,0))</f>
        <v/>
      </c>
      <c r="R93">
        <f>IF($O93="",0,IF(COUNTIFS(업무일지!$F$5:$F$1004,$O93,업무일지!$B$5:$B$1004,"&gt;="&amp;DATE($B$3,3,1),업무일지!$B$5:$B$1004,"&lt;"&amp;DATE($B$3,3+1,1),업무일지!$D$5:$D$1004,"출장")&gt;0,1,0))</f>
        <v/>
      </c>
      <c r="S93">
        <f>IF($O93="",0,IF(COUNTIFS(업무일지!$F$5:$F$1004,$O93,업무일지!$B$5:$B$1004,"&gt;="&amp;DATE($B$3,4,1),업무일지!$B$5:$B$1004,"&lt;"&amp;DATE($B$3,4+1,1),업무일지!$D$5:$D$1004,"출장")&gt;0,1,0))</f>
        <v/>
      </c>
      <c r="T93">
        <f>IF($O93="",0,IF(COUNTIFS(업무일지!$F$5:$F$1004,$O93,업무일지!$B$5:$B$1004,"&gt;="&amp;DATE($B$3,5,1),업무일지!$B$5:$B$1004,"&lt;"&amp;DATE($B$3,5+1,1),업무일지!$D$5:$D$1004,"출장")&gt;0,1,0))</f>
        <v/>
      </c>
      <c r="U93">
        <f>IF($O93="",0,IF(COUNTIFS(업무일지!$F$5:$F$1004,$O93,업무일지!$B$5:$B$1004,"&gt;="&amp;DATE($B$3,6,1),업무일지!$B$5:$B$1004,"&lt;"&amp;DATE($B$3,6+1,1),업무일지!$D$5:$D$1004,"출장")&gt;0,1,0))</f>
        <v/>
      </c>
      <c r="V93">
        <f>IF($O93="",0,IF(COUNTIFS(업무일지!$F$5:$F$1004,$O93,업무일지!$B$5:$B$1004,"&gt;="&amp;DATE($B$3,7,1),업무일지!$B$5:$B$1004,"&lt;"&amp;DATE($B$3,7+1,1),업무일지!$D$5:$D$1004,"출장")&gt;0,1,0))</f>
        <v/>
      </c>
      <c r="W93">
        <f>IF($O93="",0,IF(COUNTIFS(업무일지!$F$5:$F$1004,$O93,업무일지!$B$5:$B$1004,"&gt;="&amp;DATE($B$3,8,1),업무일지!$B$5:$B$1004,"&lt;"&amp;DATE($B$3,8+1,1),업무일지!$D$5:$D$1004,"출장")&gt;0,1,0))</f>
        <v/>
      </c>
      <c r="X93">
        <f>IF($O93="",0,IF(COUNTIFS(업무일지!$F$5:$F$1004,$O93,업무일지!$B$5:$B$1004,"&gt;="&amp;DATE($B$3,9,1),업무일지!$B$5:$B$1004,"&lt;"&amp;DATE($B$3,9+1,1),업무일지!$D$5:$D$1004,"출장")&gt;0,1,0))</f>
        <v/>
      </c>
      <c r="Y93">
        <f>IF($O93="",0,IF(COUNTIFS(업무일지!$F$5:$F$1004,$O93,업무일지!$B$5:$B$1004,"&gt;="&amp;DATE($B$3,10,1),업무일지!$B$5:$B$1004,"&lt;"&amp;DATE($B$3,10+1,1),업무일지!$D$5:$D$1004,"출장")&gt;0,1,0))</f>
        <v/>
      </c>
      <c r="Z93">
        <f>IF($O93="",0,IF(COUNTIFS(업무일지!$F$5:$F$1004,$O93,업무일지!$B$5:$B$1004,"&gt;="&amp;DATE($B$3,11,1),업무일지!$B$5:$B$1004,"&lt;"&amp;DATE($B$3,11+1,1),업무일지!$D$5:$D$1004,"출장")&gt;0,1,0))</f>
        <v/>
      </c>
      <c r="AA93">
        <f>IF($O93="",0,IF(COUNTIFS(업무일지!$F$5:$F$1004,$O93,업무일지!$B$5:$B$1004,"&gt;="&amp;DATE($B$3,12,1),업무일지!$B$5:$B$1004,"&lt;"&amp;DATE($B$3,12+1,1),업무일지!$D$5:$D$1004,"출장")&gt;0,1,0))</f>
        <v/>
      </c>
      <c r="AB93">
        <f>IF($O93="",0,IF(COUNTIFS(업무일지!$F$5:$F$1004,$O93,업무일지!$B$5:$B$1004,"&gt;="&amp;DATE($B$3,1,1),업무일지!$B$5:$B$1004,"&lt;"&amp;DATE($B$3,1+1,1),업무일지!$D$5:$D$1004,"분석")&gt;0,1,0))</f>
        <v/>
      </c>
      <c r="AC93">
        <f>IF($O93="",0,IF(COUNTIFS(업무일지!$F$5:$F$1004,$O93,업무일지!$B$5:$B$1004,"&gt;="&amp;DATE($B$3,2,1),업무일지!$B$5:$B$1004,"&lt;"&amp;DATE($B$3,2+1,1),업무일지!$D$5:$D$1004,"분석")&gt;0,1,0))</f>
        <v/>
      </c>
      <c r="AD93">
        <f>IF($O93="",0,IF(COUNTIFS(업무일지!$F$5:$F$1004,$O93,업무일지!$B$5:$B$1004,"&gt;="&amp;DATE($B$3,3,1),업무일지!$B$5:$B$1004,"&lt;"&amp;DATE($B$3,3+1,1),업무일지!$D$5:$D$1004,"분석")&gt;0,1,0))</f>
        <v/>
      </c>
      <c r="AE93">
        <f>IF($O93="",0,IF(COUNTIFS(업무일지!$F$5:$F$1004,$O93,업무일지!$B$5:$B$1004,"&gt;="&amp;DATE($B$3,4,1),업무일지!$B$5:$B$1004,"&lt;"&amp;DATE($B$3,4+1,1),업무일지!$D$5:$D$1004,"분석")&gt;0,1,0))</f>
        <v/>
      </c>
      <c r="AF93">
        <f>IF($O93="",0,IF(COUNTIFS(업무일지!$F$5:$F$1004,$O93,업무일지!$B$5:$B$1004,"&gt;="&amp;DATE($B$3,5,1),업무일지!$B$5:$B$1004,"&lt;"&amp;DATE($B$3,5+1,1),업무일지!$D$5:$D$1004,"분석")&gt;0,1,0))</f>
        <v/>
      </c>
      <c r="AG93">
        <f>IF($O93="",0,IF(COUNTIFS(업무일지!$F$5:$F$1004,$O93,업무일지!$B$5:$B$1004,"&gt;="&amp;DATE($B$3,6,1),업무일지!$B$5:$B$1004,"&lt;"&amp;DATE($B$3,6+1,1),업무일지!$D$5:$D$1004,"분석")&gt;0,1,0))</f>
        <v/>
      </c>
      <c r="AH93">
        <f>IF($O93="",0,IF(COUNTIFS(업무일지!$F$5:$F$1004,$O93,업무일지!$B$5:$B$1004,"&gt;="&amp;DATE($B$3,7,1),업무일지!$B$5:$B$1004,"&lt;"&amp;DATE($B$3,7+1,1),업무일지!$D$5:$D$1004,"분석")&gt;0,1,0))</f>
        <v/>
      </c>
      <c r="AI93">
        <f>IF($O93="",0,IF(COUNTIFS(업무일지!$F$5:$F$1004,$O93,업무일지!$B$5:$B$1004,"&gt;="&amp;DATE($B$3,8,1),업무일지!$B$5:$B$1004,"&lt;"&amp;DATE($B$3,8+1,1),업무일지!$D$5:$D$1004,"분석")&gt;0,1,0))</f>
        <v/>
      </c>
      <c r="AJ93">
        <f>IF($O93="",0,IF(COUNTIFS(업무일지!$F$5:$F$1004,$O93,업무일지!$B$5:$B$1004,"&gt;="&amp;DATE($B$3,9,1),업무일지!$B$5:$B$1004,"&lt;"&amp;DATE($B$3,9+1,1),업무일지!$D$5:$D$1004,"분석")&gt;0,1,0))</f>
        <v/>
      </c>
      <c r="AK93">
        <f>IF($O93="",0,IF(COUNTIFS(업무일지!$F$5:$F$1004,$O93,업무일지!$B$5:$B$1004,"&gt;="&amp;DATE($B$3,10,1),업무일지!$B$5:$B$1004,"&lt;"&amp;DATE($B$3,10+1,1),업무일지!$D$5:$D$1004,"분석")&gt;0,1,0))</f>
        <v/>
      </c>
      <c r="AL93">
        <f>IF($O93="",0,IF(COUNTIFS(업무일지!$F$5:$F$1004,$O93,업무일지!$B$5:$B$1004,"&gt;="&amp;DATE($B$3,11,1),업무일지!$B$5:$B$1004,"&lt;"&amp;DATE($B$3,11+1,1),업무일지!$D$5:$D$1004,"분석")&gt;0,1,0))</f>
        <v/>
      </c>
      <c r="AM93">
        <f>IF($O93="",0,IF(COUNTIFS(업무일지!$F$5:$F$1004,$O93,업무일지!$B$5:$B$1004,"&gt;="&amp;DATE($B$3,12,1),업무일지!$B$5:$B$1004,"&lt;"&amp;DATE($B$3,12+1,1),업무일지!$D$5:$D$1004,"분석")&gt;0,1,0))</f>
        <v/>
      </c>
      <c r="AN93">
        <f>IF($O93="",0,IF(COUNTIFS(업무일지!$F$5:$F$1004,$O93,업무일지!$B$5:$B$1004,"&gt;="&amp;DATE($B$3,1,1),업무일지!$B$5:$B$1004,"&lt;"&amp;DATE($B$3,1+1,1))&gt;0,1,0))</f>
        <v/>
      </c>
      <c r="AO93">
        <f>IF($O93="",0,IF(COUNTIFS(업무일지!$F$5:$F$1004,$O93,업무일지!$B$5:$B$1004,"&gt;="&amp;DATE($B$3,2,1),업무일지!$B$5:$B$1004,"&lt;"&amp;DATE($B$3,2+1,1))&gt;0,1,0))</f>
        <v/>
      </c>
      <c r="AP93">
        <f>IF($O93="",0,IF(COUNTIFS(업무일지!$F$5:$F$1004,$O93,업무일지!$B$5:$B$1004,"&gt;="&amp;DATE($B$3,3,1),업무일지!$B$5:$B$1004,"&lt;"&amp;DATE($B$3,3+1,1))&gt;0,1,0))</f>
        <v/>
      </c>
      <c r="AQ93">
        <f>IF($O93="",0,IF(COUNTIFS(업무일지!$F$5:$F$1004,$O93,업무일지!$B$5:$B$1004,"&gt;="&amp;DATE($B$3,4,1),업무일지!$B$5:$B$1004,"&lt;"&amp;DATE($B$3,4+1,1))&gt;0,1,0))</f>
        <v/>
      </c>
      <c r="AR93">
        <f>IF($O93="",0,IF(COUNTIFS(업무일지!$F$5:$F$1004,$O93,업무일지!$B$5:$B$1004,"&gt;="&amp;DATE($B$3,5,1),업무일지!$B$5:$B$1004,"&lt;"&amp;DATE($B$3,5+1,1))&gt;0,1,0))</f>
        <v/>
      </c>
      <c r="AS93">
        <f>IF($O93="",0,IF(COUNTIFS(업무일지!$F$5:$F$1004,$O93,업무일지!$B$5:$B$1004,"&gt;="&amp;DATE($B$3,6,1),업무일지!$B$5:$B$1004,"&lt;"&amp;DATE($B$3,6+1,1))&gt;0,1,0))</f>
        <v/>
      </c>
      <c r="AT93">
        <f>IF($O93="",0,IF(COUNTIFS(업무일지!$F$5:$F$1004,$O93,업무일지!$B$5:$B$1004,"&gt;="&amp;DATE($B$3,7,1),업무일지!$B$5:$B$1004,"&lt;"&amp;DATE($B$3,7+1,1))&gt;0,1,0))</f>
        <v/>
      </c>
      <c r="AU93">
        <f>IF($O93="",0,IF(COUNTIFS(업무일지!$F$5:$F$1004,$O93,업무일지!$B$5:$B$1004,"&gt;="&amp;DATE($B$3,8,1),업무일지!$B$5:$B$1004,"&lt;"&amp;DATE($B$3,8+1,1))&gt;0,1,0))</f>
        <v/>
      </c>
      <c r="AV93">
        <f>IF($O93="",0,IF(COUNTIFS(업무일지!$F$5:$F$1004,$O93,업무일지!$B$5:$B$1004,"&gt;="&amp;DATE($B$3,9,1),업무일지!$B$5:$B$1004,"&lt;"&amp;DATE($B$3,9+1,1))&gt;0,1,0))</f>
        <v/>
      </c>
      <c r="AW93">
        <f>IF($O93="",0,IF(COUNTIFS(업무일지!$F$5:$F$1004,$O93,업무일지!$B$5:$B$1004,"&gt;="&amp;DATE($B$3,10,1),업무일지!$B$5:$B$1004,"&lt;"&amp;DATE($B$3,10+1,1))&gt;0,1,0))</f>
        <v/>
      </c>
      <c r="AX93">
        <f>IF($O93="",0,IF(COUNTIFS(업무일지!$F$5:$F$1004,$O93,업무일지!$B$5:$B$1004,"&gt;="&amp;DATE($B$3,11,1),업무일지!$B$5:$B$1004,"&lt;"&amp;DATE($B$3,11+1,1))&gt;0,1,0))</f>
        <v/>
      </c>
      <c r="AY93">
        <f>IF($O93="",0,IF(COUNTIFS(업무일지!$F$5:$F$1004,$O93,업무일지!$B$5:$B$1004,"&gt;="&amp;DATE($B$3,12,1),업무일지!$B$5:$B$1004,"&lt;"&amp;DATE($B$3,12+1,1))&gt;0,1,0))</f>
        <v/>
      </c>
      <c r="AZ93">
        <f>IF($O93="",0,IF(COUNTIFS(업무일지!$F$5:$F$1004,$O93,업무일지!$B$5:$B$1004,"&gt;="&amp;DATE($B$3,1,1),업무일지!$B$5:$B$1004,"&lt;"&amp;DATE($B$3+1,1,1),업무일지!$D$5:$D$1004,"출장")&gt;0,1,0))</f>
        <v/>
      </c>
      <c r="BA93">
        <f>IF($O93="",0,IF(COUNTIFS(업무일지!$F$5:$F$1004,$O93,업무일지!$B$5:$B$1004,"&gt;="&amp;DATE($B$3,1,1),업무일지!$B$5:$B$1004,"&lt;"&amp;DATE($B$3+1,1,1),업무일지!$D$5:$D$1004,"분석")&gt;0,1,0))</f>
        <v/>
      </c>
      <c r="BB93">
        <f>IF($O93="",0,IF(COUNTIFS(업무일지!$F$5:$F$1004,$O93,업무일지!$B$5:$B$1004,"&gt;="&amp;DATE($B$3,1,1),업무일지!$B$5:$B$1004,"&lt;"&amp;DATE($B$3+1,1,1))&gt;0,1,0))</f>
        <v/>
      </c>
    </row>
    <row r="94">
      <c r="O94">
        <f>IF(사건마스터!$A14="","",사건마스터!$A14)</f>
        <v/>
      </c>
      <c r="P94">
        <f>IF($O94="",0,IF(COUNTIFS(업무일지!$F$5:$F$1004,$O94,업무일지!$B$5:$B$1004,"&gt;="&amp;DATE($B$3,1,1),업무일지!$B$5:$B$1004,"&lt;"&amp;DATE($B$3,1+1,1),업무일지!$D$5:$D$1004,"출장")&gt;0,1,0))</f>
        <v/>
      </c>
      <c r="Q94">
        <f>IF($O94="",0,IF(COUNTIFS(업무일지!$F$5:$F$1004,$O94,업무일지!$B$5:$B$1004,"&gt;="&amp;DATE($B$3,2,1),업무일지!$B$5:$B$1004,"&lt;"&amp;DATE($B$3,2+1,1),업무일지!$D$5:$D$1004,"출장")&gt;0,1,0))</f>
        <v/>
      </c>
      <c r="R94">
        <f>IF($O94="",0,IF(COUNTIFS(업무일지!$F$5:$F$1004,$O94,업무일지!$B$5:$B$1004,"&gt;="&amp;DATE($B$3,3,1),업무일지!$B$5:$B$1004,"&lt;"&amp;DATE($B$3,3+1,1),업무일지!$D$5:$D$1004,"출장")&gt;0,1,0))</f>
        <v/>
      </c>
      <c r="S94">
        <f>IF($O94="",0,IF(COUNTIFS(업무일지!$F$5:$F$1004,$O94,업무일지!$B$5:$B$1004,"&gt;="&amp;DATE($B$3,4,1),업무일지!$B$5:$B$1004,"&lt;"&amp;DATE($B$3,4+1,1),업무일지!$D$5:$D$1004,"출장")&gt;0,1,0))</f>
        <v/>
      </c>
      <c r="T94">
        <f>IF($O94="",0,IF(COUNTIFS(업무일지!$F$5:$F$1004,$O94,업무일지!$B$5:$B$1004,"&gt;="&amp;DATE($B$3,5,1),업무일지!$B$5:$B$1004,"&lt;"&amp;DATE($B$3,5+1,1),업무일지!$D$5:$D$1004,"출장")&gt;0,1,0))</f>
        <v/>
      </c>
      <c r="U94">
        <f>IF($O94="",0,IF(COUNTIFS(업무일지!$F$5:$F$1004,$O94,업무일지!$B$5:$B$1004,"&gt;="&amp;DATE($B$3,6,1),업무일지!$B$5:$B$1004,"&lt;"&amp;DATE($B$3,6+1,1),업무일지!$D$5:$D$1004,"출장")&gt;0,1,0))</f>
        <v/>
      </c>
      <c r="V94">
        <f>IF($O94="",0,IF(COUNTIFS(업무일지!$F$5:$F$1004,$O94,업무일지!$B$5:$B$1004,"&gt;="&amp;DATE($B$3,7,1),업무일지!$B$5:$B$1004,"&lt;"&amp;DATE($B$3,7+1,1),업무일지!$D$5:$D$1004,"출장")&gt;0,1,0))</f>
        <v/>
      </c>
      <c r="W94">
        <f>IF($O94="",0,IF(COUNTIFS(업무일지!$F$5:$F$1004,$O94,업무일지!$B$5:$B$1004,"&gt;="&amp;DATE($B$3,8,1),업무일지!$B$5:$B$1004,"&lt;"&amp;DATE($B$3,8+1,1),업무일지!$D$5:$D$1004,"출장")&gt;0,1,0))</f>
        <v/>
      </c>
      <c r="X94">
        <f>IF($O94="",0,IF(COUNTIFS(업무일지!$F$5:$F$1004,$O94,업무일지!$B$5:$B$1004,"&gt;="&amp;DATE($B$3,9,1),업무일지!$B$5:$B$1004,"&lt;"&amp;DATE($B$3,9+1,1),업무일지!$D$5:$D$1004,"출장")&gt;0,1,0))</f>
        <v/>
      </c>
      <c r="Y94">
        <f>IF($O94="",0,IF(COUNTIFS(업무일지!$F$5:$F$1004,$O94,업무일지!$B$5:$B$1004,"&gt;="&amp;DATE($B$3,10,1),업무일지!$B$5:$B$1004,"&lt;"&amp;DATE($B$3,10+1,1),업무일지!$D$5:$D$1004,"출장")&gt;0,1,0))</f>
        <v/>
      </c>
      <c r="Z94">
        <f>IF($O94="",0,IF(COUNTIFS(업무일지!$F$5:$F$1004,$O94,업무일지!$B$5:$B$1004,"&gt;="&amp;DATE($B$3,11,1),업무일지!$B$5:$B$1004,"&lt;"&amp;DATE($B$3,11+1,1),업무일지!$D$5:$D$1004,"출장")&gt;0,1,0))</f>
        <v/>
      </c>
      <c r="AA94">
        <f>IF($O94="",0,IF(COUNTIFS(업무일지!$F$5:$F$1004,$O94,업무일지!$B$5:$B$1004,"&gt;="&amp;DATE($B$3,12,1),업무일지!$B$5:$B$1004,"&lt;"&amp;DATE($B$3,12+1,1),업무일지!$D$5:$D$1004,"출장")&gt;0,1,0))</f>
        <v/>
      </c>
      <c r="AB94">
        <f>IF($O94="",0,IF(COUNTIFS(업무일지!$F$5:$F$1004,$O94,업무일지!$B$5:$B$1004,"&gt;="&amp;DATE($B$3,1,1),업무일지!$B$5:$B$1004,"&lt;"&amp;DATE($B$3,1+1,1),업무일지!$D$5:$D$1004,"분석")&gt;0,1,0))</f>
        <v/>
      </c>
      <c r="AC94">
        <f>IF($O94="",0,IF(COUNTIFS(업무일지!$F$5:$F$1004,$O94,업무일지!$B$5:$B$1004,"&gt;="&amp;DATE($B$3,2,1),업무일지!$B$5:$B$1004,"&lt;"&amp;DATE($B$3,2+1,1),업무일지!$D$5:$D$1004,"분석")&gt;0,1,0))</f>
        <v/>
      </c>
      <c r="AD94">
        <f>IF($O94="",0,IF(COUNTIFS(업무일지!$F$5:$F$1004,$O94,업무일지!$B$5:$B$1004,"&gt;="&amp;DATE($B$3,3,1),업무일지!$B$5:$B$1004,"&lt;"&amp;DATE($B$3,3+1,1),업무일지!$D$5:$D$1004,"분석")&gt;0,1,0))</f>
        <v/>
      </c>
      <c r="AE94">
        <f>IF($O94="",0,IF(COUNTIFS(업무일지!$F$5:$F$1004,$O94,업무일지!$B$5:$B$1004,"&gt;="&amp;DATE($B$3,4,1),업무일지!$B$5:$B$1004,"&lt;"&amp;DATE($B$3,4+1,1),업무일지!$D$5:$D$1004,"분석")&gt;0,1,0))</f>
        <v/>
      </c>
      <c r="AF94">
        <f>IF($O94="",0,IF(COUNTIFS(업무일지!$F$5:$F$1004,$O94,업무일지!$B$5:$B$1004,"&gt;="&amp;DATE($B$3,5,1),업무일지!$B$5:$B$1004,"&lt;"&amp;DATE($B$3,5+1,1),업무일지!$D$5:$D$1004,"분석")&gt;0,1,0))</f>
        <v/>
      </c>
      <c r="AG94">
        <f>IF($O94="",0,IF(COUNTIFS(업무일지!$F$5:$F$1004,$O94,업무일지!$B$5:$B$1004,"&gt;="&amp;DATE($B$3,6,1),업무일지!$B$5:$B$1004,"&lt;"&amp;DATE($B$3,6+1,1),업무일지!$D$5:$D$1004,"분석")&gt;0,1,0))</f>
        <v/>
      </c>
      <c r="AH94">
        <f>IF($O94="",0,IF(COUNTIFS(업무일지!$F$5:$F$1004,$O94,업무일지!$B$5:$B$1004,"&gt;="&amp;DATE($B$3,7,1),업무일지!$B$5:$B$1004,"&lt;"&amp;DATE($B$3,7+1,1),업무일지!$D$5:$D$1004,"분석")&gt;0,1,0))</f>
        <v/>
      </c>
      <c r="AI94">
        <f>IF($O94="",0,IF(COUNTIFS(업무일지!$F$5:$F$1004,$O94,업무일지!$B$5:$B$1004,"&gt;="&amp;DATE($B$3,8,1),업무일지!$B$5:$B$1004,"&lt;"&amp;DATE($B$3,8+1,1),업무일지!$D$5:$D$1004,"분석")&gt;0,1,0))</f>
        <v/>
      </c>
      <c r="AJ94">
        <f>IF($O94="",0,IF(COUNTIFS(업무일지!$F$5:$F$1004,$O94,업무일지!$B$5:$B$1004,"&gt;="&amp;DATE($B$3,9,1),업무일지!$B$5:$B$1004,"&lt;"&amp;DATE($B$3,9+1,1),업무일지!$D$5:$D$1004,"분석")&gt;0,1,0))</f>
        <v/>
      </c>
      <c r="AK94">
        <f>IF($O94="",0,IF(COUNTIFS(업무일지!$F$5:$F$1004,$O94,업무일지!$B$5:$B$1004,"&gt;="&amp;DATE($B$3,10,1),업무일지!$B$5:$B$1004,"&lt;"&amp;DATE($B$3,10+1,1),업무일지!$D$5:$D$1004,"분석")&gt;0,1,0))</f>
        <v/>
      </c>
      <c r="AL94">
        <f>IF($O94="",0,IF(COUNTIFS(업무일지!$F$5:$F$1004,$O94,업무일지!$B$5:$B$1004,"&gt;="&amp;DATE($B$3,11,1),업무일지!$B$5:$B$1004,"&lt;"&amp;DATE($B$3,11+1,1),업무일지!$D$5:$D$1004,"분석")&gt;0,1,0))</f>
        <v/>
      </c>
      <c r="AM94">
        <f>IF($O94="",0,IF(COUNTIFS(업무일지!$F$5:$F$1004,$O94,업무일지!$B$5:$B$1004,"&gt;="&amp;DATE($B$3,12,1),업무일지!$B$5:$B$1004,"&lt;"&amp;DATE($B$3,12+1,1),업무일지!$D$5:$D$1004,"분석")&gt;0,1,0))</f>
        <v/>
      </c>
      <c r="AN94">
        <f>IF($O94="",0,IF(COUNTIFS(업무일지!$F$5:$F$1004,$O94,업무일지!$B$5:$B$1004,"&gt;="&amp;DATE($B$3,1,1),업무일지!$B$5:$B$1004,"&lt;"&amp;DATE($B$3,1+1,1))&gt;0,1,0))</f>
        <v/>
      </c>
      <c r="AO94">
        <f>IF($O94="",0,IF(COUNTIFS(업무일지!$F$5:$F$1004,$O94,업무일지!$B$5:$B$1004,"&gt;="&amp;DATE($B$3,2,1),업무일지!$B$5:$B$1004,"&lt;"&amp;DATE($B$3,2+1,1))&gt;0,1,0))</f>
        <v/>
      </c>
      <c r="AP94">
        <f>IF($O94="",0,IF(COUNTIFS(업무일지!$F$5:$F$1004,$O94,업무일지!$B$5:$B$1004,"&gt;="&amp;DATE($B$3,3,1),업무일지!$B$5:$B$1004,"&lt;"&amp;DATE($B$3,3+1,1))&gt;0,1,0))</f>
        <v/>
      </c>
      <c r="AQ94">
        <f>IF($O94="",0,IF(COUNTIFS(업무일지!$F$5:$F$1004,$O94,업무일지!$B$5:$B$1004,"&gt;="&amp;DATE($B$3,4,1),업무일지!$B$5:$B$1004,"&lt;"&amp;DATE($B$3,4+1,1))&gt;0,1,0))</f>
        <v/>
      </c>
      <c r="AR94">
        <f>IF($O94="",0,IF(COUNTIFS(업무일지!$F$5:$F$1004,$O94,업무일지!$B$5:$B$1004,"&gt;="&amp;DATE($B$3,5,1),업무일지!$B$5:$B$1004,"&lt;"&amp;DATE($B$3,5+1,1))&gt;0,1,0))</f>
        <v/>
      </c>
      <c r="AS94">
        <f>IF($O94="",0,IF(COUNTIFS(업무일지!$F$5:$F$1004,$O94,업무일지!$B$5:$B$1004,"&gt;="&amp;DATE($B$3,6,1),업무일지!$B$5:$B$1004,"&lt;"&amp;DATE($B$3,6+1,1))&gt;0,1,0))</f>
        <v/>
      </c>
      <c r="AT94">
        <f>IF($O94="",0,IF(COUNTIFS(업무일지!$F$5:$F$1004,$O94,업무일지!$B$5:$B$1004,"&gt;="&amp;DATE($B$3,7,1),업무일지!$B$5:$B$1004,"&lt;"&amp;DATE($B$3,7+1,1))&gt;0,1,0))</f>
        <v/>
      </c>
      <c r="AU94">
        <f>IF($O94="",0,IF(COUNTIFS(업무일지!$F$5:$F$1004,$O94,업무일지!$B$5:$B$1004,"&gt;="&amp;DATE($B$3,8,1),업무일지!$B$5:$B$1004,"&lt;"&amp;DATE($B$3,8+1,1))&gt;0,1,0))</f>
        <v/>
      </c>
      <c r="AV94">
        <f>IF($O94="",0,IF(COUNTIFS(업무일지!$F$5:$F$1004,$O94,업무일지!$B$5:$B$1004,"&gt;="&amp;DATE($B$3,9,1),업무일지!$B$5:$B$1004,"&lt;"&amp;DATE($B$3,9+1,1))&gt;0,1,0))</f>
        <v/>
      </c>
      <c r="AW94">
        <f>IF($O94="",0,IF(COUNTIFS(업무일지!$F$5:$F$1004,$O94,업무일지!$B$5:$B$1004,"&gt;="&amp;DATE($B$3,10,1),업무일지!$B$5:$B$1004,"&lt;"&amp;DATE($B$3,10+1,1))&gt;0,1,0))</f>
        <v/>
      </c>
      <c r="AX94">
        <f>IF($O94="",0,IF(COUNTIFS(업무일지!$F$5:$F$1004,$O94,업무일지!$B$5:$B$1004,"&gt;="&amp;DATE($B$3,11,1),업무일지!$B$5:$B$1004,"&lt;"&amp;DATE($B$3,11+1,1))&gt;0,1,0))</f>
        <v/>
      </c>
      <c r="AY94">
        <f>IF($O94="",0,IF(COUNTIFS(업무일지!$F$5:$F$1004,$O94,업무일지!$B$5:$B$1004,"&gt;="&amp;DATE($B$3,12,1),업무일지!$B$5:$B$1004,"&lt;"&amp;DATE($B$3,12+1,1))&gt;0,1,0))</f>
        <v/>
      </c>
      <c r="AZ94">
        <f>IF($O94="",0,IF(COUNTIFS(업무일지!$F$5:$F$1004,$O94,업무일지!$B$5:$B$1004,"&gt;="&amp;DATE($B$3,1,1),업무일지!$B$5:$B$1004,"&lt;"&amp;DATE($B$3+1,1,1),업무일지!$D$5:$D$1004,"출장")&gt;0,1,0))</f>
        <v/>
      </c>
      <c r="BA94">
        <f>IF($O94="",0,IF(COUNTIFS(업무일지!$F$5:$F$1004,$O94,업무일지!$B$5:$B$1004,"&gt;="&amp;DATE($B$3,1,1),업무일지!$B$5:$B$1004,"&lt;"&amp;DATE($B$3+1,1,1),업무일지!$D$5:$D$1004,"분석")&gt;0,1,0))</f>
        <v/>
      </c>
      <c r="BB94">
        <f>IF($O94="",0,IF(COUNTIFS(업무일지!$F$5:$F$1004,$O94,업무일지!$B$5:$B$1004,"&gt;="&amp;DATE($B$3,1,1),업무일지!$B$5:$B$1004,"&lt;"&amp;DATE($B$3+1,1,1))&gt;0,1,0))</f>
        <v/>
      </c>
    </row>
    <row r="95">
      <c r="O95">
        <f>IF(사건마스터!$A15="","",사건마스터!$A15)</f>
        <v/>
      </c>
      <c r="P95">
        <f>IF($O95="",0,IF(COUNTIFS(업무일지!$F$5:$F$1004,$O95,업무일지!$B$5:$B$1004,"&gt;="&amp;DATE($B$3,1,1),업무일지!$B$5:$B$1004,"&lt;"&amp;DATE($B$3,1+1,1),업무일지!$D$5:$D$1004,"출장")&gt;0,1,0))</f>
        <v/>
      </c>
      <c r="Q95">
        <f>IF($O95="",0,IF(COUNTIFS(업무일지!$F$5:$F$1004,$O95,업무일지!$B$5:$B$1004,"&gt;="&amp;DATE($B$3,2,1),업무일지!$B$5:$B$1004,"&lt;"&amp;DATE($B$3,2+1,1),업무일지!$D$5:$D$1004,"출장")&gt;0,1,0))</f>
        <v/>
      </c>
      <c r="R95">
        <f>IF($O95="",0,IF(COUNTIFS(업무일지!$F$5:$F$1004,$O95,업무일지!$B$5:$B$1004,"&gt;="&amp;DATE($B$3,3,1),업무일지!$B$5:$B$1004,"&lt;"&amp;DATE($B$3,3+1,1),업무일지!$D$5:$D$1004,"출장")&gt;0,1,0))</f>
        <v/>
      </c>
      <c r="S95">
        <f>IF($O95="",0,IF(COUNTIFS(업무일지!$F$5:$F$1004,$O95,업무일지!$B$5:$B$1004,"&gt;="&amp;DATE($B$3,4,1),업무일지!$B$5:$B$1004,"&lt;"&amp;DATE($B$3,4+1,1),업무일지!$D$5:$D$1004,"출장")&gt;0,1,0))</f>
        <v/>
      </c>
      <c r="T95">
        <f>IF($O95="",0,IF(COUNTIFS(업무일지!$F$5:$F$1004,$O95,업무일지!$B$5:$B$1004,"&gt;="&amp;DATE($B$3,5,1),업무일지!$B$5:$B$1004,"&lt;"&amp;DATE($B$3,5+1,1),업무일지!$D$5:$D$1004,"출장")&gt;0,1,0))</f>
        <v/>
      </c>
      <c r="U95">
        <f>IF($O95="",0,IF(COUNTIFS(업무일지!$F$5:$F$1004,$O95,업무일지!$B$5:$B$1004,"&gt;="&amp;DATE($B$3,6,1),업무일지!$B$5:$B$1004,"&lt;"&amp;DATE($B$3,6+1,1),업무일지!$D$5:$D$1004,"출장")&gt;0,1,0))</f>
        <v/>
      </c>
      <c r="V95">
        <f>IF($O95="",0,IF(COUNTIFS(업무일지!$F$5:$F$1004,$O95,업무일지!$B$5:$B$1004,"&gt;="&amp;DATE($B$3,7,1),업무일지!$B$5:$B$1004,"&lt;"&amp;DATE($B$3,7+1,1),업무일지!$D$5:$D$1004,"출장")&gt;0,1,0))</f>
        <v/>
      </c>
      <c r="W95">
        <f>IF($O95="",0,IF(COUNTIFS(업무일지!$F$5:$F$1004,$O95,업무일지!$B$5:$B$1004,"&gt;="&amp;DATE($B$3,8,1),업무일지!$B$5:$B$1004,"&lt;"&amp;DATE($B$3,8+1,1),업무일지!$D$5:$D$1004,"출장")&gt;0,1,0))</f>
        <v/>
      </c>
      <c r="X95">
        <f>IF($O95="",0,IF(COUNTIFS(업무일지!$F$5:$F$1004,$O95,업무일지!$B$5:$B$1004,"&gt;="&amp;DATE($B$3,9,1),업무일지!$B$5:$B$1004,"&lt;"&amp;DATE($B$3,9+1,1),업무일지!$D$5:$D$1004,"출장")&gt;0,1,0))</f>
        <v/>
      </c>
      <c r="Y95">
        <f>IF($O95="",0,IF(COUNTIFS(업무일지!$F$5:$F$1004,$O95,업무일지!$B$5:$B$1004,"&gt;="&amp;DATE($B$3,10,1),업무일지!$B$5:$B$1004,"&lt;"&amp;DATE($B$3,10+1,1),업무일지!$D$5:$D$1004,"출장")&gt;0,1,0))</f>
        <v/>
      </c>
      <c r="Z95">
        <f>IF($O95="",0,IF(COUNTIFS(업무일지!$F$5:$F$1004,$O95,업무일지!$B$5:$B$1004,"&gt;="&amp;DATE($B$3,11,1),업무일지!$B$5:$B$1004,"&lt;"&amp;DATE($B$3,11+1,1),업무일지!$D$5:$D$1004,"출장")&gt;0,1,0))</f>
        <v/>
      </c>
      <c r="AA95">
        <f>IF($O95="",0,IF(COUNTIFS(업무일지!$F$5:$F$1004,$O95,업무일지!$B$5:$B$1004,"&gt;="&amp;DATE($B$3,12,1),업무일지!$B$5:$B$1004,"&lt;"&amp;DATE($B$3,12+1,1),업무일지!$D$5:$D$1004,"출장")&gt;0,1,0))</f>
        <v/>
      </c>
      <c r="AB95">
        <f>IF($O95="",0,IF(COUNTIFS(업무일지!$F$5:$F$1004,$O95,업무일지!$B$5:$B$1004,"&gt;="&amp;DATE($B$3,1,1),업무일지!$B$5:$B$1004,"&lt;"&amp;DATE($B$3,1+1,1),업무일지!$D$5:$D$1004,"분석")&gt;0,1,0))</f>
        <v/>
      </c>
      <c r="AC95">
        <f>IF($O95="",0,IF(COUNTIFS(업무일지!$F$5:$F$1004,$O95,업무일지!$B$5:$B$1004,"&gt;="&amp;DATE($B$3,2,1),업무일지!$B$5:$B$1004,"&lt;"&amp;DATE($B$3,2+1,1),업무일지!$D$5:$D$1004,"분석")&gt;0,1,0))</f>
        <v/>
      </c>
      <c r="AD95">
        <f>IF($O95="",0,IF(COUNTIFS(업무일지!$F$5:$F$1004,$O95,업무일지!$B$5:$B$1004,"&gt;="&amp;DATE($B$3,3,1),업무일지!$B$5:$B$1004,"&lt;"&amp;DATE($B$3,3+1,1),업무일지!$D$5:$D$1004,"분석")&gt;0,1,0))</f>
        <v/>
      </c>
      <c r="AE95">
        <f>IF($O95="",0,IF(COUNTIFS(업무일지!$F$5:$F$1004,$O95,업무일지!$B$5:$B$1004,"&gt;="&amp;DATE($B$3,4,1),업무일지!$B$5:$B$1004,"&lt;"&amp;DATE($B$3,4+1,1),업무일지!$D$5:$D$1004,"분석")&gt;0,1,0))</f>
        <v/>
      </c>
      <c r="AF95">
        <f>IF($O95="",0,IF(COUNTIFS(업무일지!$F$5:$F$1004,$O95,업무일지!$B$5:$B$1004,"&gt;="&amp;DATE($B$3,5,1),업무일지!$B$5:$B$1004,"&lt;"&amp;DATE($B$3,5+1,1),업무일지!$D$5:$D$1004,"분석")&gt;0,1,0))</f>
        <v/>
      </c>
      <c r="AG95">
        <f>IF($O95="",0,IF(COUNTIFS(업무일지!$F$5:$F$1004,$O95,업무일지!$B$5:$B$1004,"&gt;="&amp;DATE($B$3,6,1),업무일지!$B$5:$B$1004,"&lt;"&amp;DATE($B$3,6+1,1),업무일지!$D$5:$D$1004,"분석")&gt;0,1,0))</f>
        <v/>
      </c>
      <c r="AH95">
        <f>IF($O95="",0,IF(COUNTIFS(업무일지!$F$5:$F$1004,$O95,업무일지!$B$5:$B$1004,"&gt;="&amp;DATE($B$3,7,1),업무일지!$B$5:$B$1004,"&lt;"&amp;DATE($B$3,7+1,1),업무일지!$D$5:$D$1004,"분석")&gt;0,1,0))</f>
        <v/>
      </c>
      <c r="AI95">
        <f>IF($O95="",0,IF(COUNTIFS(업무일지!$F$5:$F$1004,$O95,업무일지!$B$5:$B$1004,"&gt;="&amp;DATE($B$3,8,1),업무일지!$B$5:$B$1004,"&lt;"&amp;DATE($B$3,8+1,1),업무일지!$D$5:$D$1004,"분석")&gt;0,1,0))</f>
        <v/>
      </c>
      <c r="AJ95">
        <f>IF($O95="",0,IF(COUNTIFS(업무일지!$F$5:$F$1004,$O95,업무일지!$B$5:$B$1004,"&gt;="&amp;DATE($B$3,9,1),업무일지!$B$5:$B$1004,"&lt;"&amp;DATE($B$3,9+1,1),업무일지!$D$5:$D$1004,"분석")&gt;0,1,0))</f>
        <v/>
      </c>
      <c r="AK95">
        <f>IF($O95="",0,IF(COUNTIFS(업무일지!$F$5:$F$1004,$O95,업무일지!$B$5:$B$1004,"&gt;="&amp;DATE($B$3,10,1),업무일지!$B$5:$B$1004,"&lt;"&amp;DATE($B$3,10+1,1),업무일지!$D$5:$D$1004,"분석")&gt;0,1,0))</f>
        <v/>
      </c>
      <c r="AL95">
        <f>IF($O95="",0,IF(COUNTIFS(업무일지!$F$5:$F$1004,$O95,업무일지!$B$5:$B$1004,"&gt;="&amp;DATE($B$3,11,1),업무일지!$B$5:$B$1004,"&lt;"&amp;DATE($B$3,11+1,1),업무일지!$D$5:$D$1004,"분석")&gt;0,1,0))</f>
        <v/>
      </c>
      <c r="AM95">
        <f>IF($O95="",0,IF(COUNTIFS(업무일지!$F$5:$F$1004,$O95,업무일지!$B$5:$B$1004,"&gt;="&amp;DATE($B$3,12,1),업무일지!$B$5:$B$1004,"&lt;"&amp;DATE($B$3,12+1,1),업무일지!$D$5:$D$1004,"분석")&gt;0,1,0))</f>
        <v/>
      </c>
      <c r="AN95">
        <f>IF($O95="",0,IF(COUNTIFS(업무일지!$F$5:$F$1004,$O95,업무일지!$B$5:$B$1004,"&gt;="&amp;DATE($B$3,1,1),업무일지!$B$5:$B$1004,"&lt;"&amp;DATE($B$3,1+1,1))&gt;0,1,0))</f>
        <v/>
      </c>
      <c r="AO95">
        <f>IF($O95="",0,IF(COUNTIFS(업무일지!$F$5:$F$1004,$O95,업무일지!$B$5:$B$1004,"&gt;="&amp;DATE($B$3,2,1),업무일지!$B$5:$B$1004,"&lt;"&amp;DATE($B$3,2+1,1))&gt;0,1,0))</f>
        <v/>
      </c>
      <c r="AP95">
        <f>IF($O95="",0,IF(COUNTIFS(업무일지!$F$5:$F$1004,$O95,업무일지!$B$5:$B$1004,"&gt;="&amp;DATE($B$3,3,1),업무일지!$B$5:$B$1004,"&lt;"&amp;DATE($B$3,3+1,1))&gt;0,1,0))</f>
        <v/>
      </c>
      <c r="AQ95">
        <f>IF($O95="",0,IF(COUNTIFS(업무일지!$F$5:$F$1004,$O95,업무일지!$B$5:$B$1004,"&gt;="&amp;DATE($B$3,4,1),업무일지!$B$5:$B$1004,"&lt;"&amp;DATE($B$3,4+1,1))&gt;0,1,0))</f>
        <v/>
      </c>
      <c r="AR95">
        <f>IF($O95="",0,IF(COUNTIFS(업무일지!$F$5:$F$1004,$O95,업무일지!$B$5:$B$1004,"&gt;="&amp;DATE($B$3,5,1),업무일지!$B$5:$B$1004,"&lt;"&amp;DATE($B$3,5+1,1))&gt;0,1,0))</f>
        <v/>
      </c>
      <c r="AS95">
        <f>IF($O95="",0,IF(COUNTIFS(업무일지!$F$5:$F$1004,$O95,업무일지!$B$5:$B$1004,"&gt;="&amp;DATE($B$3,6,1),업무일지!$B$5:$B$1004,"&lt;"&amp;DATE($B$3,6+1,1))&gt;0,1,0))</f>
        <v/>
      </c>
      <c r="AT95">
        <f>IF($O95="",0,IF(COUNTIFS(업무일지!$F$5:$F$1004,$O95,업무일지!$B$5:$B$1004,"&gt;="&amp;DATE($B$3,7,1),업무일지!$B$5:$B$1004,"&lt;"&amp;DATE($B$3,7+1,1))&gt;0,1,0))</f>
        <v/>
      </c>
      <c r="AU95">
        <f>IF($O95="",0,IF(COUNTIFS(업무일지!$F$5:$F$1004,$O95,업무일지!$B$5:$B$1004,"&gt;="&amp;DATE($B$3,8,1),업무일지!$B$5:$B$1004,"&lt;"&amp;DATE($B$3,8+1,1))&gt;0,1,0))</f>
        <v/>
      </c>
      <c r="AV95">
        <f>IF($O95="",0,IF(COUNTIFS(업무일지!$F$5:$F$1004,$O95,업무일지!$B$5:$B$1004,"&gt;="&amp;DATE($B$3,9,1),업무일지!$B$5:$B$1004,"&lt;"&amp;DATE($B$3,9+1,1))&gt;0,1,0))</f>
        <v/>
      </c>
      <c r="AW95">
        <f>IF($O95="",0,IF(COUNTIFS(업무일지!$F$5:$F$1004,$O95,업무일지!$B$5:$B$1004,"&gt;="&amp;DATE($B$3,10,1),업무일지!$B$5:$B$1004,"&lt;"&amp;DATE($B$3,10+1,1))&gt;0,1,0))</f>
        <v/>
      </c>
      <c r="AX95">
        <f>IF($O95="",0,IF(COUNTIFS(업무일지!$F$5:$F$1004,$O95,업무일지!$B$5:$B$1004,"&gt;="&amp;DATE($B$3,11,1),업무일지!$B$5:$B$1004,"&lt;"&amp;DATE($B$3,11+1,1))&gt;0,1,0))</f>
        <v/>
      </c>
      <c r="AY95">
        <f>IF($O95="",0,IF(COUNTIFS(업무일지!$F$5:$F$1004,$O95,업무일지!$B$5:$B$1004,"&gt;="&amp;DATE($B$3,12,1),업무일지!$B$5:$B$1004,"&lt;"&amp;DATE($B$3,12+1,1))&gt;0,1,0))</f>
        <v/>
      </c>
      <c r="AZ95">
        <f>IF($O95="",0,IF(COUNTIFS(업무일지!$F$5:$F$1004,$O95,업무일지!$B$5:$B$1004,"&gt;="&amp;DATE($B$3,1,1),업무일지!$B$5:$B$1004,"&lt;"&amp;DATE($B$3+1,1,1),업무일지!$D$5:$D$1004,"출장")&gt;0,1,0))</f>
        <v/>
      </c>
      <c r="BA95">
        <f>IF($O95="",0,IF(COUNTIFS(업무일지!$F$5:$F$1004,$O95,업무일지!$B$5:$B$1004,"&gt;="&amp;DATE($B$3,1,1),업무일지!$B$5:$B$1004,"&lt;"&amp;DATE($B$3+1,1,1),업무일지!$D$5:$D$1004,"분석")&gt;0,1,0))</f>
        <v/>
      </c>
      <c r="BB95">
        <f>IF($O95="",0,IF(COUNTIFS(업무일지!$F$5:$F$1004,$O95,업무일지!$B$5:$B$1004,"&gt;="&amp;DATE($B$3,1,1),업무일지!$B$5:$B$1004,"&lt;"&amp;DATE($B$3+1,1,1))&gt;0,1,0))</f>
        <v/>
      </c>
    </row>
    <row r="96">
      <c r="O96">
        <f>IF(사건마스터!$A16="","",사건마스터!$A16)</f>
        <v/>
      </c>
      <c r="P96">
        <f>IF($O96="",0,IF(COUNTIFS(업무일지!$F$5:$F$1004,$O96,업무일지!$B$5:$B$1004,"&gt;="&amp;DATE($B$3,1,1),업무일지!$B$5:$B$1004,"&lt;"&amp;DATE($B$3,1+1,1),업무일지!$D$5:$D$1004,"출장")&gt;0,1,0))</f>
        <v/>
      </c>
      <c r="Q96">
        <f>IF($O96="",0,IF(COUNTIFS(업무일지!$F$5:$F$1004,$O96,업무일지!$B$5:$B$1004,"&gt;="&amp;DATE($B$3,2,1),업무일지!$B$5:$B$1004,"&lt;"&amp;DATE($B$3,2+1,1),업무일지!$D$5:$D$1004,"출장")&gt;0,1,0))</f>
        <v/>
      </c>
      <c r="R96">
        <f>IF($O96="",0,IF(COUNTIFS(업무일지!$F$5:$F$1004,$O96,업무일지!$B$5:$B$1004,"&gt;="&amp;DATE($B$3,3,1),업무일지!$B$5:$B$1004,"&lt;"&amp;DATE($B$3,3+1,1),업무일지!$D$5:$D$1004,"출장")&gt;0,1,0))</f>
        <v/>
      </c>
      <c r="S96">
        <f>IF($O96="",0,IF(COUNTIFS(업무일지!$F$5:$F$1004,$O96,업무일지!$B$5:$B$1004,"&gt;="&amp;DATE($B$3,4,1),업무일지!$B$5:$B$1004,"&lt;"&amp;DATE($B$3,4+1,1),업무일지!$D$5:$D$1004,"출장")&gt;0,1,0))</f>
        <v/>
      </c>
      <c r="T96">
        <f>IF($O96="",0,IF(COUNTIFS(업무일지!$F$5:$F$1004,$O96,업무일지!$B$5:$B$1004,"&gt;="&amp;DATE($B$3,5,1),업무일지!$B$5:$B$1004,"&lt;"&amp;DATE($B$3,5+1,1),업무일지!$D$5:$D$1004,"출장")&gt;0,1,0))</f>
        <v/>
      </c>
      <c r="U96">
        <f>IF($O96="",0,IF(COUNTIFS(업무일지!$F$5:$F$1004,$O96,업무일지!$B$5:$B$1004,"&gt;="&amp;DATE($B$3,6,1),업무일지!$B$5:$B$1004,"&lt;"&amp;DATE($B$3,6+1,1),업무일지!$D$5:$D$1004,"출장")&gt;0,1,0))</f>
        <v/>
      </c>
      <c r="V96">
        <f>IF($O96="",0,IF(COUNTIFS(업무일지!$F$5:$F$1004,$O96,업무일지!$B$5:$B$1004,"&gt;="&amp;DATE($B$3,7,1),업무일지!$B$5:$B$1004,"&lt;"&amp;DATE($B$3,7+1,1),업무일지!$D$5:$D$1004,"출장")&gt;0,1,0))</f>
        <v/>
      </c>
      <c r="W96">
        <f>IF($O96="",0,IF(COUNTIFS(업무일지!$F$5:$F$1004,$O96,업무일지!$B$5:$B$1004,"&gt;="&amp;DATE($B$3,8,1),업무일지!$B$5:$B$1004,"&lt;"&amp;DATE($B$3,8+1,1),업무일지!$D$5:$D$1004,"출장")&gt;0,1,0))</f>
        <v/>
      </c>
      <c r="X96">
        <f>IF($O96="",0,IF(COUNTIFS(업무일지!$F$5:$F$1004,$O96,업무일지!$B$5:$B$1004,"&gt;="&amp;DATE($B$3,9,1),업무일지!$B$5:$B$1004,"&lt;"&amp;DATE($B$3,9+1,1),업무일지!$D$5:$D$1004,"출장")&gt;0,1,0))</f>
        <v/>
      </c>
      <c r="Y96">
        <f>IF($O96="",0,IF(COUNTIFS(업무일지!$F$5:$F$1004,$O96,업무일지!$B$5:$B$1004,"&gt;="&amp;DATE($B$3,10,1),업무일지!$B$5:$B$1004,"&lt;"&amp;DATE($B$3,10+1,1),업무일지!$D$5:$D$1004,"출장")&gt;0,1,0))</f>
        <v/>
      </c>
      <c r="Z96">
        <f>IF($O96="",0,IF(COUNTIFS(업무일지!$F$5:$F$1004,$O96,업무일지!$B$5:$B$1004,"&gt;="&amp;DATE($B$3,11,1),업무일지!$B$5:$B$1004,"&lt;"&amp;DATE($B$3,11+1,1),업무일지!$D$5:$D$1004,"출장")&gt;0,1,0))</f>
        <v/>
      </c>
      <c r="AA96">
        <f>IF($O96="",0,IF(COUNTIFS(업무일지!$F$5:$F$1004,$O96,업무일지!$B$5:$B$1004,"&gt;="&amp;DATE($B$3,12,1),업무일지!$B$5:$B$1004,"&lt;"&amp;DATE($B$3,12+1,1),업무일지!$D$5:$D$1004,"출장")&gt;0,1,0))</f>
        <v/>
      </c>
      <c r="AB96">
        <f>IF($O96="",0,IF(COUNTIFS(업무일지!$F$5:$F$1004,$O96,업무일지!$B$5:$B$1004,"&gt;="&amp;DATE($B$3,1,1),업무일지!$B$5:$B$1004,"&lt;"&amp;DATE($B$3,1+1,1),업무일지!$D$5:$D$1004,"분석")&gt;0,1,0))</f>
        <v/>
      </c>
      <c r="AC96">
        <f>IF($O96="",0,IF(COUNTIFS(업무일지!$F$5:$F$1004,$O96,업무일지!$B$5:$B$1004,"&gt;="&amp;DATE($B$3,2,1),업무일지!$B$5:$B$1004,"&lt;"&amp;DATE($B$3,2+1,1),업무일지!$D$5:$D$1004,"분석")&gt;0,1,0))</f>
        <v/>
      </c>
      <c r="AD96">
        <f>IF($O96="",0,IF(COUNTIFS(업무일지!$F$5:$F$1004,$O96,업무일지!$B$5:$B$1004,"&gt;="&amp;DATE($B$3,3,1),업무일지!$B$5:$B$1004,"&lt;"&amp;DATE($B$3,3+1,1),업무일지!$D$5:$D$1004,"분석")&gt;0,1,0))</f>
        <v/>
      </c>
      <c r="AE96">
        <f>IF($O96="",0,IF(COUNTIFS(업무일지!$F$5:$F$1004,$O96,업무일지!$B$5:$B$1004,"&gt;="&amp;DATE($B$3,4,1),업무일지!$B$5:$B$1004,"&lt;"&amp;DATE($B$3,4+1,1),업무일지!$D$5:$D$1004,"분석")&gt;0,1,0))</f>
        <v/>
      </c>
      <c r="AF96">
        <f>IF($O96="",0,IF(COUNTIFS(업무일지!$F$5:$F$1004,$O96,업무일지!$B$5:$B$1004,"&gt;="&amp;DATE($B$3,5,1),업무일지!$B$5:$B$1004,"&lt;"&amp;DATE($B$3,5+1,1),업무일지!$D$5:$D$1004,"분석")&gt;0,1,0))</f>
        <v/>
      </c>
      <c r="AG96">
        <f>IF($O96="",0,IF(COUNTIFS(업무일지!$F$5:$F$1004,$O96,업무일지!$B$5:$B$1004,"&gt;="&amp;DATE($B$3,6,1),업무일지!$B$5:$B$1004,"&lt;"&amp;DATE($B$3,6+1,1),업무일지!$D$5:$D$1004,"분석")&gt;0,1,0))</f>
        <v/>
      </c>
      <c r="AH96">
        <f>IF($O96="",0,IF(COUNTIFS(업무일지!$F$5:$F$1004,$O96,업무일지!$B$5:$B$1004,"&gt;="&amp;DATE($B$3,7,1),업무일지!$B$5:$B$1004,"&lt;"&amp;DATE($B$3,7+1,1),업무일지!$D$5:$D$1004,"분석")&gt;0,1,0))</f>
        <v/>
      </c>
      <c r="AI96">
        <f>IF($O96="",0,IF(COUNTIFS(업무일지!$F$5:$F$1004,$O96,업무일지!$B$5:$B$1004,"&gt;="&amp;DATE($B$3,8,1),업무일지!$B$5:$B$1004,"&lt;"&amp;DATE($B$3,8+1,1),업무일지!$D$5:$D$1004,"분석")&gt;0,1,0))</f>
        <v/>
      </c>
      <c r="AJ96">
        <f>IF($O96="",0,IF(COUNTIFS(업무일지!$F$5:$F$1004,$O96,업무일지!$B$5:$B$1004,"&gt;="&amp;DATE($B$3,9,1),업무일지!$B$5:$B$1004,"&lt;"&amp;DATE($B$3,9+1,1),업무일지!$D$5:$D$1004,"분석")&gt;0,1,0))</f>
        <v/>
      </c>
      <c r="AK96">
        <f>IF($O96="",0,IF(COUNTIFS(업무일지!$F$5:$F$1004,$O96,업무일지!$B$5:$B$1004,"&gt;="&amp;DATE($B$3,10,1),업무일지!$B$5:$B$1004,"&lt;"&amp;DATE($B$3,10+1,1),업무일지!$D$5:$D$1004,"분석")&gt;0,1,0))</f>
        <v/>
      </c>
      <c r="AL96">
        <f>IF($O96="",0,IF(COUNTIFS(업무일지!$F$5:$F$1004,$O96,업무일지!$B$5:$B$1004,"&gt;="&amp;DATE($B$3,11,1),업무일지!$B$5:$B$1004,"&lt;"&amp;DATE($B$3,11+1,1),업무일지!$D$5:$D$1004,"분석")&gt;0,1,0))</f>
        <v/>
      </c>
      <c r="AM96">
        <f>IF($O96="",0,IF(COUNTIFS(업무일지!$F$5:$F$1004,$O96,업무일지!$B$5:$B$1004,"&gt;="&amp;DATE($B$3,12,1),업무일지!$B$5:$B$1004,"&lt;"&amp;DATE($B$3,12+1,1),업무일지!$D$5:$D$1004,"분석")&gt;0,1,0))</f>
        <v/>
      </c>
      <c r="AN96">
        <f>IF($O96="",0,IF(COUNTIFS(업무일지!$F$5:$F$1004,$O96,업무일지!$B$5:$B$1004,"&gt;="&amp;DATE($B$3,1,1),업무일지!$B$5:$B$1004,"&lt;"&amp;DATE($B$3,1+1,1))&gt;0,1,0))</f>
        <v/>
      </c>
      <c r="AO96">
        <f>IF($O96="",0,IF(COUNTIFS(업무일지!$F$5:$F$1004,$O96,업무일지!$B$5:$B$1004,"&gt;="&amp;DATE($B$3,2,1),업무일지!$B$5:$B$1004,"&lt;"&amp;DATE($B$3,2+1,1))&gt;0,1,0))</f>
        <v/>
      </c>
      <c r="AP96">
        <f>IF($O96="",0,IF(COUNTIFS(업무일지!$F$5:$F$1004,$O96,업무일지!$B$5:$B$1004,"&gt;="&amp;DATE($B$3,3,1),업무일지!$B$5:$B$1004,"&lt;"&amp;DATE($B$3,3+1,1))&gt;0,1,0))</f>
        <v/>
      </c>
      <c r="AQ96">
        <f>IF($O96="",0,IF(COUNTIFS(업무일지!$F$5:$F$1004,$O96,업무일지!$B$5:$B$1004,"&gt;="&amp;DATE($B$3,4,1),업무일지!$B$5:$B$1004,"&lt;"&amp;DATE($B$3,4+1,1))&gt;0,1,0))</f>
        <v/>
      </c>
      <c r="AR96">
        <f>IF($O96="",0,IF(COUNTIFS(업무일지!$F$5:$F$1004,$O96,업무일지!$B$5:$B$1004,"&gt;="&amp;DATE($B$3,5,1),업무일지!$B$5:$B$1004,"&lt;"&amp;DATE($B$3,5+1,1))&gt;0,1,0))</f>
        <v/>
      </c>
      <c r="AS96">
        <f>IF($O96="",0,IF(COUNTIFS(업무일지!$F$5:$F$1004,$O96,업무일지!$B$5:$B$1004,"&gt;="&amp;DATE($B$3,6,1),업무일지!$B$5:$B$1004,"&lt;"&amp;DATE($B$3,6+1,1))&gt;0,1,0))</f>
        <v/>
      </c>
      <c r="AT96">
        <f>IF($O96="",0,IF(COUNTIFS(업무일지!$F$5:$F$1004,$O96,업무일지!$B$5:$B$1004,"&gt;="&amp;DATE($B$3,7,1),업무일지!$B$5:$B$1004,"&lt;"&amp;DATE($B$3,7+1,1))&gt;0,1,0))</f>
        <v/>
      </c>
      <c r="AU96">
        <f>IF($O96="",0,IF(COUNTIFS(업무일지!$F$5:$F$1004,$O96,업무일지!$B$5:$B$1004,"&gt;="&amp;DATE($B$3,8,1),업무일지!$B$5:$B$1004,"&lt;"&amp;DATE($B$3,8+1,1))&gt;0,1,0))</f>
        <v/>
      </c>
      <c r="AV96">
        <f>IF($O96="",0,IF(COUNTIFS(업무일지!$F$5:$F$1004,$O96,업무일지!$B$5:$B$1004,"&gt;="&amp;DATE($B$3,9,1),업무일지!$B$5:$B$1004,"&lt;"&amp;DATE($B$3,9+1,1))&gt;0,1,0))</f>
        <v/>
      </c>
      <c r="AW96">
        <f>IF($O96="",0,IF(COUNTIFS(업무일지!$F$5:$F$1004,$O96,업무일지!$B$5:$B$1004,"&gt;="&amp;DATE($B$3,10,1),업무일지!$B$5:$B$1004,"&lt;"&amp;DATE($B$3,10+1,1))&gt;0,1,0))</f>
        <v/>
      </c>
      <c r="AX96">
        <f>IF($O96="",0,IF(COUNTIFS(업무일지!$F$5:$F$1004,$O96,업무일지!$B$5:$B$1004,"&gt;="&amp;DATE($B$3,11,1),업무일지!$B$5:$B$1004,"&lt;"&amp;DATE($B$3,11+1,1))&gt;0,1,0))</f>
        <v/>
      </c>
      <c r="AY96">
        <f>IF($O96="",0,IF(COUNTIFS(업무일지!$F$5:$F$1004,$O96,업무일지!$B$5:$B$1004,"&gt;="&amp;DATE($B$3,12,1),업무일지!$B$5:$B$1004,"&lt;"&amp;DATE($B$3,12+1,1))&gt;0,1,0))</f>
        <v/>
      </c>
      <c r="AZ96">
        <f>IF($O96="",0,IF(COUNTIFS(업무일지!$F$5:$F$1004,$O96,업무일지!$B$5:$B$1004,"&gt;="&amp;DATE($B$3,1,1),업무일지!$B$5:$B$1004,"&lt;"&amp;DATE($B$3+1,1,1),업무일지!$D$5:$D$1004,"출장")&gt;0,1,0))</f>
        <v/>
      </c>
      <c r="BA96">
        <f>IF($O96="",0,IF(COUNTIFS(업무일지!$F$5:$F$1004,$O96,업무일지!$B$5:$B$1004,"&gt;="&amp;DATE($B$3,1,1),업무일지!$B$5:$B$1004,"&lt;"&amp;DATE($B$3+1,1,1),업무일지!$D$5:$D$1004,"분석")&gt;0,1,0))</f>
        <v/>
      </c>
      <c r="BB96">
        <f>IF($O96="",0,IF(COUNTIFS(업무일지!$F$5:$F$1004,$O96,업무일지!$B$5:$B$1004,"&gt;="&amp;DATE($B$3,1,1),업무일지!$B$5:$B$1004,"&lt;"&amp;DATE($B$3+1,1,1))&gt;0,1,0))</f>
        <v/>
      </c>
    </row>
    <row r="97">
      <c r="O97">
        <f>IF(사건마스터!$A17="","",사건마스터!$A17)</f>
        <v/>
      </c>
      <c r="P97">
        <f>IF($O97="",0,IF(COUNTIFS(업무일지!$F$5:$F$1004,$O97,업무일지!$B$5:$B$1004,"&gt;="&amp;DATE($B$3,1,1),업무일지!$B$5:$B$1004,"&lt;"&amp;DATE($B$3,1+1,1),업무일지!$D$5:$D$1004,"출장")&gt;0,1,0))</f>
        <v/>
      </c>
      <c r="Q97">
        <f>IF($O97="",0,IF(COUNTIFS(업무일지!$F$5:$F$1004,$O97,업무일지!$B$5:$B$1004,"&gt;="&amp;DATE($B$3,2,1),업무일지!$B$5:$B$1004,"&lt;"&amp;DATE($B$3,2+1,1),업무일지!$D$5:$D$1004,"출장")&gt;0,1,0))</f>
        <v/>
      </c>
      <c r="R97">
        <f>IF($O97="",0,IF(COUNTIFS(업무일지!$F$5:$F$1004,$O97,업무일지!$B$5:$B$1004,"&gt;="&amp;DATE($B$3,3,1),업무일지!$B$5:$B$1004,"&lt;"&amp;DATE($B$3,3+1,1),업무일지!$D$5:$D$1004,"출장")&gt;0,1,0))</f>
        <v/>
      </c>
      <c r="S97">
        <f>IF($O97="",0,IF(COUNTIFS(업무일지!$F$5:$F$1004,$O97,업무일지!$B$5:$B$1004,"&gt;="&amp;DATE($B$3,4,1),업무일지!$B$5:$B$1004,"&lt;"&amp;DATE($B$3,4+1,1),업무일지!$D$5:$D$1004,"출장")&gt;0,1,0))</f>
        <v/>
      </c>
      <c r="T97">
        <f>IF($O97="",0,IF(COUNTIFS(업무일지!$F$5:$F$1004,$O97,업무일지!$B$5:$B$1004,"&gt;="&amp;DATE($B$3,5,1),업무일지!$B$5:$B$1004,"&lt;"&amp;DATE($B$3,5+1,1),업무일지!$D$5:$D$1004,"출장")&gt;0,1,0))</f>
        <v/>
      </c>
      <c r="U97">
        <f>IF($O97="",0,IF(COUNTIFS(업무일지!$F$5:$F$1004,$O97,업무일지!$B$5:$B$1004,"&gt;="&amp;DATE($B$3,6,1),업무일지!$B$5:$B$1004,"&lt;"&amp;DATE($B$3,6+1,1),업무일지!$D$5:$D$1004,"출장")&gt;0,1,0))</f>
        <v/>
      </c>
      <c r="V97">
        <f>IF($O97="",0,IF(COUNTIFS(업무일지!$F$5:$F$1004,$O97,업무일지!$B$5:$B$1004,"&gt;="&amp;DATE($B$3,7,1),업무일지!$B$5:$B$1004,"&lt;"&amp;DATE($B$3,7+1,1),업무일지!$D$5:$D$1004,"출장")&gt;0,1,0))</f>
        <v/>
      </c>
      <c r="W97">
        <f>IF($O97="",0,IF(COUNTIFS(업무일지!$F$5:$F$1004,$O97,업무일지!$B$5:$B$1004,"&gt;="&amp;DATE($B$3,8,1),업무일지!$B$5:$B$1004,"&lt;"&amp;DATE($B$3,8+1,1),업무일지!$D$5:$D$1004,"출장")&gt;0,1,0))</f>
        <v/>
      </c>
      <c r="X97">
        <f>IF($O97="",0,IF(COUNTIFS(업무일지!$F$5:$F$1004,$O97,업무일지!$B$5:$B$1004,"&gt;="&amp;DATE($B$3,9,1),업무일지!$B$5:$B$1004,"&lt;"&amp;DATE($B$3,9+1,1),업무일지!$D$5:$D$1004,"출장")&gt;0,1,0))</f>
        <v/>
      </c>
      <c r="Y97">
        <f>IF($O97="",0,IF(COUNTIFS(업무일지!$F$5:$F$1004,$O97,업무일지!$B$5:$B$1004,"&gt;="&amp;DATE($B$3,10,1),업무일지!$B$5:$B$1004,"&lt;"&amp;DATE($B$3,10+1,1),업무일지!$D$5:$D$1004,"출장")&gt;0,1,0))</f>
        <v/>
      </c>
      <c r="Z97">
        <f>IF($O97="",0,IF(COUNTIFS(업무일지!$F$5:$F$1004,$O97,업무일지!$B$5:$B$1004,"&gt;="&amp;DATE($B$3,11,1),업무일지!$B$5:$B$1004,"&lt;"&amp;DATE($B$3,11+1,1),업무일지!$D$5:$D$1004,"출장")&gt;0,1,0))</f>
        <v/>
      </c>
      <c r="AA97">
        <f>IF($O97="",0,IF(COUNTIFS(업무일지!$F$5:$F$1004,$O97,업무일지!$B$5:$B$1004,"&gt;="&amp;DATE($B$3,12,1),업무일지!$B$5:$B$1004,"&lt;"&amp;DATE($B$3,12+1,1),업무일지!$D$5:$D$1004,"출장")&gt;0,1,0))</f>
        <v/>
      </c>
      <c r="AB97">
        <f>IF($O97="",0,IF(COUNTIFS(업무일지!$F$5:$F$1004,$O97,업무일지!$B$5:$B$1004,"&gt;="&amp;DATE($B$3,1,1),업무일지!$B$5:$B$1004,"&lt;"&amp;DATE($B$3,1+1,1),업무일지!$D$5:$D$1004,"분석")&gt;0,1,0))</f>
        <v/>
      </c>
      <c r="AC97">
        <f>IF($O97="",0,IF(COUNTIFS(업무일지!$F$5:$F$1004,$O97,업무일지!$B$5:$B$1004,"&gt;="&amp;DATE($B$3,2,1),업무일지!$B$5:$B$1004,"&lt;"&amp;DATE($B$3,2+1,1),업무일지!$D$5:$D$1004,"분석")&gt;0,1,0))</f>
        <v/>
      </c>
      <c r="AD97">
        <f>IF($O97="",0,IF(COUNTIFS(업무일지!$F$5:$F$1004,$O97,업무일지!$B$5:$B$1004,"&gt;="&amp;DATE($B$3,3,1),업무일지!$B$5:$B$1004,"&lt;"&amp;DATE($B$3,3+1,1),업무일지!$D$5:$D$1004,"분석")&gt;0,1,0))</f>
        <v/>
      </c>
      <c r="AE97">
        <f>IF($O97="",0,IF(COUNTIFS(업무일지!$F$5:$F$1004,$O97,업무일지!$B$5:$B$1004,"&gt;="&amp;DATE($B$3,4,1),업무일지!$B$5:$B$1004,"&lt;"&amp;DATE($B$3,4+1,1),업무일지!$D$5:$D$1004,"분석")&gt;0,1,0))</f>
        <v/>
      </c>
      <c r="AF97">
        <f>IF($O97="",0,IF(COUNTIFS(업무일지!$F$5:$F$1004,$O97,업무일지!$B$5:$B$1004,"&gt;="&amp;DATE($B$3,5,1),업무일지!$B$5:$B$1004,"&lt;"&amp;DATE($B$3,5+1,1),업무일지!$D$5:$D$1004,"분석")&gt;0,1,0))</f>
        <v/>
      </c>
      <c r="AG97">
        <f>IF($O97="",0,IF(COUNTIFS(업무일지!$F$5:$F$1004,$O97,업무일지!$B$5:$B$1004,"&gt;="&amp;DATE($B$3,6,1),업무일지!$B$5:$B$1004,"&lt;"&amp;DATE($B$3,6+1,1),업무일지!$D$5:$D$1004,"분석")&gt;0,1,0))</f>
        <v/>
      </c>
      <c r="AH97">
        <f>IF($O97="",0,IF(COUNTIFS(업무일지!$F$5:$F$1004,$O97,업무일지!$B$5:$B$1004,"&gt;="&amp;DATE($B$3,7,1),업무일지!$B$5:$B$1004,"&lt;"&amp;DATE($B$3,7+1,1),업무일지!$D$5:$D$1004,"분석")&gt;0,1,0))</f>
        <v/>
      </c>
      <c r="AI97">
        <f>IF($O97="",0,IF(COUNTIFS(업무일지!$F$5:$F$1004,$O97,업무일지!$B$5:$B$1004,"&gt;="&amp;DATE($B$3,8,1),업무일지!$B$5:$B$1004,"&lt;"&amp;DATE($B$3,8+1,1),업무일지!$D$5:$D$1004,"분석")&gt;0,1,0))</f>
        <v/>
      </c>
      <c r="AJ97">
        <f>IF($O97="",0,IF(COUNTIFS(업무일지!$F$5:$F$1004,$O97,업무일지!$B$5:$B$1004,"&gt;="&amp;DATE($B$3,9,1),업무일지!$B$5:$B$1004,"&lt;"&amp;DATE($B$3,9+1,1),업무일지!$D$5:$D$1004,"분석")&gt;0,1,0))</f>
        <v/>
      </c>
      <c r="AK97">
        <f>IF($O97="",0,IF(COUNTIFS(업무일지!$F$5:$F$1004,$O97,업무일지!$B$5:$B$1004,"&gt;="&amp;DATE($B$3,10,1),업무일지!$B$5:$B$1004,"&lt;"&amp;DATE($B$3,10+1,1),업무일지!$D$5:$D$1004,"분석")&gt;0,1,0))</f>
        <v/>
      </c>
      <c r="AL97">
        <f>IF($O97="",0,IF(COUNTIFS(업무일지!$F$5:$F$1004,$O97,업무일지!$B$5:$B$1004,"&gt;="&amp;DATE($B$3,11,1),업무일지!$B$5:$B$1004,"&lt;"&amp;DATE($B$3,11+1,1),업무일지!$D$5:$D$1004,"분석")&gt;0,1,0))</f>
        <v/>
      </c>
      <c r="AM97">
        <f>IF($O97="",0,IF(COUNTIFS(업무일지!$F$5:$F$1004,$O97,업무일지!$B$5:$B$1004,"&gt;="&amp;DATE($B$3,12,1),업무일지!$B$5:$B$1004,"&lt;"&amp;DATE($B$3,12+1,1),업무일지!$D$5:$D$1004,"분석")&gt;0,1,0))</f>
        <v/>
      </c>
      <c r="AN97">
        <f>IF($O97="",0,IF(COUNTIFS(업무일지!$F$5:$F$1004,$O97,업무일지!$B$5:$B$1004,"&gt;="&amp;DATE($B$3,1,1),업무일지!$B$5:$B$1004,"&lt;"&amp;DATE($B$3,1+1,1))&gt;0,1,0))</f>
        <v/>
      </c>
      <c r="AO97">
        <f>IF($O97="",0,IF(COUNTIFS(업무일지!$F$5:$F$1004,$O97,업무일지!$B$5:$B$1004,"&gt;="&amp;DATE($B$3,2,1),업무일지!$B$5:$B$1004,"&lt;"&amp;DATE($B$3,2+1,1))&gt;0,1,0))</f>
        <v/>
      </c>
      <c r="AP97">
        <f>IF($O97="",0,IF(COUNTIFS(업무일지!$F$5:$F$1004,$O97,업무일지!$B$5:$B$1004,"&gt;="&amp;DATE($B$3,3,1),업무일지!$B$5:$B$1004,"&lt;"&amp;DATE($B$3,3+1,1))&gt;0,1,0))</f>
        <v/>
      </c>
      <c r="AQ97">
        <f>IF($O97="",0,IF(COUNTIFS(업무일지!$F$5:$F$1004,$O97,업무일지!$B$5:$B$1004,"&gt;="&amp;DATE($B$3,4,1),업무일지!$B$5:$B$1004,"&lt;"&amp;DATE($B$3,4+1,1))&gt;0,1,0))</f>
        <v/>
      </c>
      <c r="AR97">
        <f>IF($O97="",0,IF(COUNTIFS(업무일지!$F$5:$F$1004,$O97,업무일지!$B$5:$B$1004,"&gt;="&amp;DATE($B$3,5,1),업무일지!$B$5:$B$1004,"&lt;"&amp;DATE($B$3,5+1,1))&gt;0,1,0))</f>
        <v/>
      </c>
      <c r="AS97">
        <f>IF($O97="",0,IF(COUNTIFS(업무일지!$F$5:$F$1004,$O97,업무일지!$B$5:$B$1004,"&gt;="&amp;DATE($B$3,6,1),업무일지!$B$5:$B$1004,"&lt;"&amp;DATE($B$3,6+1,1))&gt;0,1,0))</f>
        <v/>
      </c>
      <c r="AT97">
        <f>IF($O97="",0,IF(COUNTIFS(업무일지!$F$5:$F$1004,$O97,업무일지!$B$5:$B$1004,"&gt;="&amp;DATE($B$3,7,1),업무일지!$B$5:$B$1004,"&lt;"&amp;DATE($B$3,7+1,1))&gt;0,1,0))</f>
        <v/>
      </c>
      <c r="AU97">
        <f>IF($O97="",0,IF(COUNTIFS(업무일지!$F$5:$F$1004,$O97,업무일지!$B$5:$B$1004,"&gt;="&amp;DATE($B$3,8,1),업무일지!$B$5:$B$1004,"&lt;"&amp;DATE($B$3,8+1,1))&gt;0,1,0))</f>
        <v/>
      </c>
      <c r="AV97">
        <f>IF($O97="",0,IF(COUNTIFS(업무일지!$F$5:$F$1004,$O97,업무일지!$B$5:$B$1004,"&gt;="&amp;DATE($B$3,9,1),업무일지!$B$5:$B$1004,"&lt;"&amp;DATE($B$3,9+1,1))&gt;0,1,0))</f>
        <v/>
      </c>
      <c r="AW97">
        <f>IF($O97="",0,IF(COUNTIFS(업무일지!$F$5:$F$1004,$O97,업무일지!$B$5:$B$1004,"&gt;="&amp;DATE($B$3,10,1),업무일지!$B$5:$B$1004,"&lt;"&amp;DATE($B$3,10+1,1))&gt;0,1,0))</f>
        <v/>
      </c>
      <c r="AX97">
        <f>IF($O97="",0,IF(COUNTIFS(업무일지!$F$5:$F$1004,$O97,업무일지!$B$5:$B$1004,"&gt;="&amp;DATE($B$3,11,1),업무일지!$B$5:$B$1004,"&lt;"&amp;DATE($B$3,11+1,1))&gt;0,1,0))</f>
        <v/>
      </c>
      <c r="AY97">
        <f>IF($O97="",0,IF(COUNTIFS(업무일지!$F$5:$F$1004,$O97,업무일지!$B$5:$B$1004,"&gt;="&amp;DATE($B$3,12,1),업무일지!$B$5:$B$1004,"&lt;"&amp;DATE($B$3,12+1,1))&gt;0,1,0))</f>
        <v/>
      </c>
      <c r="AZ97">
        <f>IF($O97="",0,IF(COUNTIFS(업무일지!$F$5:$F$1004,$O97,업무일지!$B$5:$B$1004,"&gt;="&amp;DATE($B$3,1,1),업무일지!$B$5:$B$1004,"&lt;"&amp;DATE($B$3+1,1,1),업무일지!$D$5:$D$1004,"출장")&gt;0,1,0))</f>
        <v/>
      </c>
      <c r="BA97">
        <f>IF($O97="",0,IF(COUNTIFS(업무일지!$F$5:$F$1004,$O97,업무일지!$B$5:$B$1004,"&gt;="&amp;DATE($B$3,1,1),업무일지!$B$5:$B$1004,"&lt;"&amp;DATE($B$3+1,1,1),업무일지!$D$5:$D$1004,"분석")&gt;0,1,0))</f>
        <v/>
      </c>
      <c r="BB97">
        <f>IF($O97="",0,IF(COUNTIFS(업무일지!$F$5:$F$1004,$O97,업무일지!$B$5:$B$1004,"&gt;="&amp;DATE($B$3,1,1),업무일지!$B$5:$B$1004,"&lt;"&amp;DATE($B$3+1,1,1))&gt;0,1,0))</f>
        <v/>
      </c>
    </row>
    <row r="98">
      <c r="O98">
        <f>IF(사건마스터!$A18="","",사건마스터!$A18)</f>
        <v/>
      </c>
      <c r="P98">
        <f>IF($O98="",0,IF(COUNTIFS(업무일지!$F$5:$F$1004,$O98,업무일지!$B$5:$B$1004,"&gt;="&amp;DATE($B$3,1,1),업무일지!$B$5:$B$1004,"&lt;"&amp;DATE($B$3,1+1,1),업무일지!$D$5:$D$1004,"출장")&gt;0,1,0))</f>
        <v/>
      </c>
      <c r="Q98">
        <f>IF($O98="",0,IF(COUNTIFS(업무일지!$F$5:$F$1004,$O98,업무일지!$B$5:$B$1004,"&gt;="&amp;DATE($B$3,2,1),업무일지!$B$5:$B$1004,"&lt;"&amp;DATE($B$3,2+1,1),업무일지!$D$5:$D$1004,"출장")&gt;0,1,0))</f>
        <v/>
      </c>
      <c r="R98">
        <f>IF($O98="",0,IF(COUNTIFS(업무일지!$F$5:$F$1004,$O98,업무일지!$B$5:$B$1004,"&gt;="&amp;DATE($B$3,3,1),업무일지!$B$5:$B$1004,"&lt;"&amp;DATE($B$3,3+1,1),업무일지!$D$5:$D$1004,"출장")&gt;0,1,0))</f>
        <v/>
      </c>
      <c r="S98">
        <f>IF($O98="",0,IF(COUNTIFS(업무일지!$F$5:$F$1004,$O98,업무일지!$B$5:$B$1004,"&gt;="&amp;DATE($B$3,4,1),업무일지!$B$5:$B$1004,"&lt;"&amp;DATE($B$3,4+1,1),업무일지!$D$5:$D$1004,"출장")&gt;0,1,0))</f>
        <v/>
      </c>
      <c r="T98">
        <f>IF($O98="",0,IF(COUNTIFS(업무일지!$F$5:$F$1004,$O98,업무일지!$B$5:$B$1004,"&gt;="&amp;DATE($B$3,5,1),업무일지!$B$5:$B$1004,"&lt;"&amp;DATE($B$3,5+1,1),업무일지!$D$5:$D$1004,"출장")&gt;0,1,0))</f>
        <v/>
      </c>
      <c r="U98">
        <f>IF($O98="",0,IF(COUNTIFS(업무일지!$F$5:$F$1004,$O98,업무일지!$B$5:$B$1004,"&gt;="&amp;DATE($B$3,6,1),업무일지!$B$5:$B$1004,"&lt;"&amp;DATE($B$3,6+1,1),업무일지!$D$5:$D$1004,"출장")&gt;0,1,0))</f>
        <v/>
      </c>
      <c r="V98">
        <f>IF($O98="",0,IF(COUNTIFS(업무일지!$F$5:$F$1004,$O98,업무일지!$B$5:$B$1004,"&gt;="&amp;DATE($B$3,7,1),업무일지!$B$5:$B$1004,"&lt;"&amp;DATE($B$3,7+1,1),업무일지!$D$5:$D$1004,"출장")&gt;0,1,0))</f>
        <v/>
      </c>
      <c r="W98">
        <f>IF($O98="",0,IF(COUNTIFS(업무일지!$F$5:$F$1004,$O98,업무일지!$B$5:$B$1004,"&gt;="&amp;DATE($B$3,8,1),업무일지!$B$5:$B$1004,"&lt;"&amp;DATE($B$3,8+1,1),업무일지!$D$5:$D$1004,"출장")&gt;0,1,0))</f>
        <v/>
      </c>
      <c r="X98">
        <f>IF($O98="",0,IF(COUNTIFS(업무일지!$F$5:$F$1004,$O98,업무일지!$B$5:$B$1004,"&gt;="&amp;DATE($B$3,9,1),업무일지!$B$5:$B$1004,"&lt;"&amp;DATE($B$3,9+1,1),업무일지!$D$5:$D$1004,"출장")&gt;0,1,0))</f>
        <v/>
      </c>
      <c r="Y98">
        <f>IF($O98="",0,IF(COUNTIFS(업무일지!$F$5:$F$1004,$O98,업무일지!$B$5:$B$1004,"&gt;="&amp;DATE($B$3,10,1),업무일지!$B$5:$B$1004,"&lt;"&amp;DATE($B$3,10+1,1),업무일지!$D$5:$D$1004,"출장")&gt;0,1,0))</f>
        <v/>
      </c>
      <c r="Z98">
        <f>IF($O98="",0,IF(COUNTIFS(업무일지!$F$5:$F$1004,$O98,업무일지!$B$5:$B$1004,"&gt;="&amp;DATE($B$3,11,1),업무일지!$B$5:$B$1004,"&lt;"&amp;DATE($B$3,11+1,1),업무일지!$D$5:$D$1004,"출장")&gt;0,1,0))</f>
        <v/>
      </c>
      <c r="AA98">
        <f>IF($O98="",0,IF(COUNTIFS(업무일지!$F$5:$F$1004,$O98,업무일지!$B$5:$B$1004,"&gt;="&amp;DATE($B$3,12,1),업무일지!$B$5:$B$1004,"&lt;"&amp;DATE($B$3,12+1,1),업무일지!$D$5:$D$1004,"출장")&gt;0,1,0))</f>
        <v/>
      </c>
      <c r="AB98">
        <f>IF($O98="",0,IF(COUNTIFS(업무일지!$F$5:$F$1004,$O98,업무일지!$B$5:$B$1004,"&gt;="&amp;DATE($B$3,1,1),업무일지!$B$5:$B$1004,"&lt;"&amp;DATE($B$3,1+1,1),업무일지!$D$5:$D$1004,"분석")&gt;0,1,0))</f>
        <v/>
      </c>
      <c r="AC98">
        <f>IF($O98="",0,IF(COUNTIFS(업무일지!$F$5:$F$1004,$O98,업무일지!$B$5:$B$1004,"&gt;="&amp;DATE($B$3,2,1),업무일지!$B$5:$B$1004,"&lt;"&amp;DATE($B$3,2+1,1),업무일지!$D$5:$D$1004,"분석")&gt;0,1,0))</f>
        <v/>
      </c>
      <c r="AD98">
        <f>IF($O98="",0,IF(COUNTIFS(업무일지!$F$5:$F$1004,$O98,업무일지!$B$5:$B$1004,"&gt;="&amp;DATE($B$3,3,1),업무일지!$B$5:$B$1004,"&lt;"&amp;DATE($B$3,3+1,1),업무일지!$D$5:$D$1004,"분석")&gt;0,1,0))</f>
        <v/>
      </c>
      <c r="AE98">
        <f>IF($O98="",0,IF(COUNTIFS(업무일지!$F$5:$F$1004,$O98,업무일지!$B$5:$B$1004,"&gt;="&amp;DATE($B$3,4,1),업무일지!$B$5:$B$1004,"&lt;"&amp;DATE($B$3,4+1,1),업무일지!$D$5:$D$1004,"분석")&gt;0,1,0))</f>
        <v/>
      </c>
      <c r="AF98">
        <f>IF($O98="",0,IF(COUNTIFS(업무일지!$F$5:$F$1004,$O98,업무일지!$B$5:$B$1004,"&gt;="&amp;DATE($B$3,5,1),업무일지!$B$5:$B$1004,"&lt;"&amp;DATE($B$3,5+1,1),업무일지!$D$5:$D$1004,"분석")&gt;0,1,0))</f>
        <v/>
      </c>
      <c r="AG98">
        <f>IF($O98="",0,IF(COUNTIFS(업무일지!$F$5:$F$1004,$O98,업무일지!$B$5:$B$1004,"&gt;="&amp;DATE($B$3,6,1),업무일지!$B$5:$B$1004,"&lt;"&amp;DATE($B$3,6+1,1),업무일지!$D$5:$D$1004,"분석")&gt;0,1,0))</f>
        <v/>
      </c>
      <c r="AH98">
        <f>IF($O98="",0,IF(COUNTIFS(업무일지!$F$5:$F$1004,$O98,업무일지!$B$5:$B$1004,"&gt;="&amp;DATE($B$3,7,1),업무일지!$B$5:$B$1004,"&lt;"&amp;DATE($B$3,7+1,1),업무일지!$D$5:$D$1004,"분석")&gt;0,1,0))</f>
        <v/>
      </c>
      <c r="AI98">
        <f>IF($O98="",0,IF(COUNTIFS(업무일지!$F$5:$F$1004,$O98,업무일지!$B$5:$B$1004,"&gt;="&amp;DATE($B$3,8,1),업무일지!$B$5:$B$1004,"&lt;"&amp;DATE($B$3,8+1,1),업무일지!$D$5:$D$1004,"분석")&gt;0,1,0))</f>
        <v/>
      </c>
      <c r="AJ98">
        <f>IF($O98="",0,IF(COUNTIFS(업무일지!$F$5:$F$1004,$O98,업무일지!$B$5:$B$1004,"&gt;="&amp;DATE($B$3,9,1),업무일지!$B$5:$B$1004,"&lt;"&amp;DATE($B$3,9+1,1),업무일지!$D$5:$D$1004,"분석")&gt;0,1,0))</f>
        <v/>
      </c>
      <c r="AK98">
        <f>IF($O98="",0,IF(COUNTIFS(업무일지!$F$5:$F$1004,$O98,업무일지!$B$5:$B$1004,"&gt;="&amp;DATE($B$3,10,1),업무일지!$B$5:$B$1004,"&lt;"&amp;DATE($B$3,10+1,1),업무일지!$D$5:$D$1004,"분석")&gt;0,1,0))</f>
        <v/>
      </c>
      <c r="AL98">
        <f>IF($O98="",0,IF(COUNTIFS(업무일지!$F$5:$F$1004,$O98,업무일지!$B$5:$B$1004,"&gt;="&amp;DATE($B$3,11,1),업무일지!$B$5:$B$1004,"&lt;"&amp;DATE($B$3,11+1,1),업무일지!$D$5:$D$1004,"분석")&gt;0,1,0))</f>
        <v/>
      </c>
      <c r="AM98">
        <f>IF($O98="",0,IF(COUNTIFS(업무일지!$F$5:$F$1004,$O98,업무일지!$B$5:$B$1004,"&gt;="&amp;DATE($B$3,12,1),업무일지!$B$5:$B$1004,"&lt;"&amp;DATE($B$3,12+1,1),업무일지!$D$5:$D$1004,"분석")&gt;0,1,0))</f>
        <v/>
      </c>
      <c r="AN98">
        <f>IF($O98="",0,IF(COUNTIFS(업무일지!$F$5:$F$1004,$O98,업무일지!$B$5:$B$1004,"&gt;="&amp;DATE($B$3,1,1),업무일지!$B$5:$B$1004,"&lt;"&amp;DATE($B$3,1+1,1))&gt;0,1,0))</f>
        <v/>
      </c>
      <c r="AO98">
        <f>IF($O98="",0,IF(COUNTIFS(업무일지!$F$5:$F$1004,$O98,업무일지!$B$5:$B$1004,"&gt;="&amp;DATE($B$3,2,1),업무일지!$B$5:$B$1004,"&lt;"&amp;DATE($B$3,2+1,1))&gt;0,1,0))</f>
        <v/>
      </c>
      <c r="AP98">
        <f>IF($O98="",0,IF(COUNTIFS(업무일지!$F$5:$F$1004,$O98,업무일지!$B$5:$B$1004,"&gt;="&amp;DATE($B$3,3,1),업무일지!$B$5:$B$1004,"&lt;"&amp;DATE($B$3,3+1,1))&gt;0,1,0))</f>
        <v/>
      </c>
      <c r="AQ98">
        <f>IF($O98="",0,IF(COUNTIFS(업무일지!$F$5:$F$1004,$O98,업무일지!$B$5:$B$1004,"&gt;="&amp;DATE($B$3,4,1),업무일지!$B$5:$B$1004,"&lt;"&amp;DATE($B$3,4+1,1))&gt;0,1,0))</f>
        <v/>
      </c>
      <c r="AR98">
        <f>IF($O98="",0,IF(COUNTIFS(업무일지!$F$5:$F$1004,$O98,업무일지!$B$5:$B$1004,"&gt;="&amp;DATE($B$3,5,1),업무일지!$B$5:$B$1004,"&lt;"&amp;DATE($B$3,5+1,1))&gt;0,1,0))</f>
        <v/>
      </c>
      <c r="AS98">
        <f>IF($O98="",0,IF(COUNTIFS(업무일지!$F$5:$F$1004,$O98,업무일지!$B$5:$B$1004,"&gt;="&amp;DATE($B$3,6,1),업무일지!$B$5:$B$1004,"&lt;"&amp;DATE($B$3,6+1,1))&gt;0,1,0))</f>
        <v/>
      </c>
      <c r="AT98">
        <f>IF($O98="",0,IF(COUNTIFS(업무일지!$F$5:$F$1004,$O98,업무일지!$B$5:$B$1004,"&gt;="&amp;DATE($B$3,7,1),업무일지!$B$5:$B$1004,"&lt;"&amp;DATE($B$3,7+1,1))&gt;0,1,0))</f>
        <v/>
      </c>
      <c r="AU98">
        <f>IF($O98="",0,IF(COUNTIFS(업무일지!$F$5:$F$1004,$O98,업무일지!$B$5:$B$1004,"&gt;="&amp;DATE($B$3,8,1),업무일지!$B$5:$B$1004,"&lt;"&amp;DATE($B$3,8+1,1))&gt;0,1,0))</f>
        <v/>
      </c>
      <c r="AV98">
        <f>IF($O98="",0,IF(COUNTIFS(업무일지!$F$5:$F$1004,$O98,업무일지!$B$5:$B$1004,"&gt;="&amp;DATE($B$3,9,1),업무일지!$B$5:$B$1004,"&lt;"&amp;DATE($B$3,9+1,1))&gt;0,1,0))</f>
        <v/>
      </c>
      <c r="AW98">
        <f>IF($O98="",0,IF(COUNTIFS(업무일지!$F$5:$F$1004,$O98,업무일지!$B$5:$B$1004,"&gt;="&amp;DATE($B$3,10,1),업무일지!$B$5:$B$1004,"&lt;"&amp;DATE($B$3,10+1,1))&gt;0,1,0))</f>
        <v/>
      </c>
      <c r="AX98">
        <f>IF($O98="",0,IF(COUNTIFS(업무일지!$F$5:$F$1004,$O98,업무일지!$B$5:$B$1004,"&gt;="&amp;DATE($B$3,11,1),업무일지!$B$5:$B$1004,"&lt;"&amp;DATE($B$3,11+1,1))&gt;0,1,0))</f>
        <v/>
      </c>
      <c r="AY98">
        <f>IF($O98="",0,IF(COUNTIFS(업무일지!$F$5:$F$1004,$O98,업무일지!$B$5:$B$1004,"&gt;="&amp;DATE($B$3,12,1),업무일지!$B$5:$B$1004,"&lt;"&amp;DATE($B$3,12+1,1))&gt;0,1,0))</f>
        <v/>
      </c>
      <c r="AZ98">
        <f>IF($O98="",0,IF(COUNTIFS(업무일지!$F$5:$F$1004,$O98,업무일지!$B$5:$B$1004,"&gt;="&amp;DATE($B$3,1,1),업무일지!$B$5:$B$1004,"&lt;"&amp;DATE($B$3+1,1,1),업무일지!$D$5:$D$1004,"출장")&gt;0,1,0))</f>
        <v/>
      </c>
      <c r="BA98">
        <f>IF($O98="",0,IF(COUNTIFS(업무일지!$F$5:$F$1004,$O98,업무일지!$B$5:$B$1004,"&gt;="&amp;DATE($B$3,1,1),업무일지!$B$5:$B$1004,"&lt;"&amp;DATE($B$3+1,1,1),업무일지!$D$5:$D$1004,"분석")&gt;0,1,0))</f>
        <v/>
      </c>
      <c r="BB98">
        <f>IF($O98="",0,IF(COUNTIFS(업무일지!$F$5:$F$1004,$O98,업무일지!$B$5:$B$1004,"&gt;="&amp;DATE($B$3,1,1),업무일지!$B$5:$B$1004,"&lt;"&amp;DATE($B$3+1,1,1))&gt;0,1,0))</f>
        <v/>
      </c>
    </row>
    <row r="99">
      <c r="O99">
        <f>IF(사건마스터!$A19="","",사건마스터!$A19)</f>
        <v/>
      </c>
      <c r="P99">
        <f>IF($O99="",0,IF(COUNTIFS(업무일지!$F$5:$F$1004,$O99,업무일지!$B$5:$B$1004,"&gt;="&amp;DATE($B$3,1,1),업무일지!$B$5:$B$1004,"&lt;"&amp;DATE($B$3,1+1,1),업무일지!$D$5:$D$1004,"출장")&gt;0,1,0))</f>
        <v/>
      </c>
      <c r="Q99">
        <f>IF($O99="",0,IF(COUNTIFS(업무일지!$F$5:$F$1004,$O99,업무일지!$B$5:$B$1004,"&gt;="&amp;DATE($B$3,2,1),업무일지!$B$5:$B$1004,"&lt;"&amp;DATE($B$3,2+1,1),업무일지!$D$5:$D$1004,"출장")&gt;0,1,0))</f>
        <v/>
      </c>
      <c r="R99">
        <f>IF($O99="",0,IF(COUNTIFS(업무일지!$F$5:$F$1004,$O99,업무일지!$B$5:$B$1004,"&gt;="&amp;DATE($B$3,3,1),업무일지!$B$5:$B$1004,"&lt;"&amp;DATE($B$3,3+1,1),업무일지!$D$5:$D$1004,"출장")&gt;0,1,0))</f>
        <v/>
      </c>
      <c r="S99">
        <f>IF($O99="",0,IF(COUNTIFS(업무일지!$F$5:$F$1004,$O99,업무일지!$B$5:$B$1004,"&gt;="&amp;DATE($B$3,4,1),업무일지!$B$5:$B$1004,"&lt;"&amp;DATE($B$3,4+1,1),업무일지!$D$5:$D$1004,"출장")&gt;0,1,0))</f>
        <v/>
      </c>
      <c r="T99">
        <f>IF($O99="",0,IF(COUNTIFS(업무일지!$F$5:$F$1004,$O99,업무일지!$B$5:$B$1004,"&gt;="&amp;DATE($B$3,5,1),업무일지!$B$5:$B$1004,"&lt;"&amp;DATE($B$3,5+1,1),업무일지!$D$5:$D$1004,"출장")&gt;0,1,0))</f>
        <v/>
      </c>
      <c r="U99">
        <f>IF($O99="",0,IF(COUNTIFS(업무일지!$F$5:$F$1004,$O99,업무일지!$B$5:$B$1004,"&gt;="&amp;DATE($B$3,6,1),업무일지!$B$5:$B$1004,"&lt;"&amp;DATE($B$3,6+1,1),업무일지!$D$5:$D$1004,"출장")&gt;0,1,0))</f>
        <v/>
      </c>
      <c r="V99">
        <f>IF($O99="",0,IF(COUNTIFS(업무일지!$F$5:$F$1004,$O99,업무일지!$B$5:$B$1004,"&gt;="&amp;DATE($B$3,7,1),업무일지!$B$5:$B$1004,"&lt;"&amp;DATE($B$3,7+1,1),업무일지!$D$5:$D$1004,"출장")&gt;0,1,0))</f>
        <v/>
      </c>
      <c r="W99">
        <f>IF($O99="",0,IF(COUNTIFS(업무일지!$F$5:$F$1004,$O99,업무일지!$B$5:$B$1004,"&gt;="&amp;DATE($B$3,8,1),업무일지!$B$5:$B$1004,"&lt;"&amp;DATE($B$3,8+1,1),업무일지!$D$5:$D$1004,"출장")&gt;0,1,0))</f>
        <v/>
      </c>
      <c r="X99">
        <f>IF($O99="",0,IF(COUNTIFS(업무일지!$F$5:$F$1004,$O99,업무일지!$B$5:$B$1004,"&gt;="&amp;DATE($B$3,9,1),업무일지!$B$5:$B$1004,"&lt;"&amp;DATE($B$3,9+1,1),업무일지!$D$5:$D$1004,"출장")&gt;0,1,0))</f>
        <v/>
      </c>
      <c r="Y99">
        <f>IF($O99="",0,IF(COUNTIFS(업무일지!$F$5:$F$1004,$O99,업무일지!$B$5:$B$1004,"&gt;="&amp;DATE($B$3,10,1),업무일지!$B$5:$B$1004,"&lt;"&amp;DATE($B$3,10+1,1),업무일지!$D$5:$D$1004,"출장")&gt;0,1,0))</f>
        <v/>
      </c>
      <c r="Z99">
        <f>IF($O99="",0,IF(COUNTIFS(업무일지!$F$5:$F$1004,$O99,업무일지!$B$5:$B$1004,"&gt;="&amp;DATE($B$3,11,1),업무일지!$B$5:$B$1004,"&lt;"&amp;DATE($B$3,11+1,1),업무일지!$D$5:$D$1004,"출장")&gt;0,1,0))</f>
        <v/>
      </c>
      <c r="AA99">
        <f>IF($O99="",0,IF(COUNTIFS(업무일지!$F$5:$F$1004,$O99,업무일지!$B$5:$B$1004,"&gt;="&amp;DATE($B$3,12,1),업무일지!$B$5:$B$1004,"&lt;"&amp;DATE($B$3,12+1,1),업무일지!$D$5:$D$1004,"출장")&gt;0,1,0))</f>
        <v/>
      </c>
      <c r="AB99">
        <f>IF($O99="",0,IF(COUNTIFS(업무일지!$F$5:$F$1004,$O99,업무일지!$B$5:$B$1004,"&gt;="&amp;DATE($B$3,1,1),업무일지!$B$5:$B$1004,"&lt;"&amp;DATE($B$3,1+1,1),업무일지!$D$5:$D$1004,"분석")&gt;0,1,0))</f>
        <v/>
      </c>
      <c r="AC99">
        <f>IF($O99="",0,IF(COUNTIFS(업무일지!$F$5:$F$1004,$O99,업무일지!$B$5:$B$1004,"&gt;="&amp;DATE($B$3,2,1),업무일지!$B$5:$B$1004,"&lt;"&amp;DATE($B$3,2+1,1),업무일지!$D$5:$D$1004,"분석")&gt;0,1,0))</f>
        <v/>
      </c>
      <c r="AD99">
        <f>IF($O99="",0,IF(COUNTIFS(업무일지!$F$5:$F$1004,$O99,업무일지!$B$5:$B$1004,"&gt;="&amp;DATE($B$3,3,1),업무일지!$B$5:$B$1004,"&lt;"&amp;DATE($B$3,3+1,1),업무일지!$D$5:$D$1004,"분석")&gt;0,1,0))</f>
        <v/>
      </c>
      <c r="AE99">
        <f>IF($O99="",0,IF(COUNTIFS(업무일지!$F$5:$F$1004,$O99,업무일지!$B$5:$B$1004,"&gt;="&amp;DATE($B$3,4,1),업무일지!$B$5:$B$1004,"&lt;"&amp;DATE($B$3,4+1,1),업무일지!$D$5:$D$1004,"분석")&gt;0,1,0))</f>
        <v/>
      </c>
      <c r="AF99">
        <f>IF($O99="",0,IF(COUNTIFS(업무일지!$F$5:$F$1004,$O99,업무일지!$B$5:$B$1004,"&gt;="&amp;DATE($B$3,5,1),업무일지!$B$5:$B$1004,"&lt;"&amp;DATE($B$3,5+1,1),업무일지!$D$5:$D$1004,"분석")&gt;0,1,0))</f>
        <v/>
      </c>
      <c r="AG99">
        <f>IF($O99="",0,IF(COUNTIFS(업무일지!$F$5:$F$1004,$O99,업무일지!$B$5:$B$1004,"&gt;="&amp;DATE($B$3,6,1),업무일지!$B$5:$B$1004,"&lt;"&amp;DATE($B$3,6+1,1),업무일지!$D$5:$D$1004,"분석")&gt;0,1,0))</f>
        <v/>
      </c>
      <c r="AH99">
        <f>IF($O99="",0,IF(COUNTIFS(업무일지!$F$5:$F$1004,$O99,업무일지!$B$5:$B$1004,"&gt;="&amp;DATE($B$3,7,1),업무일지!$B$5:$B$1004,"&lt;"&amp;DATE($B$3,7+1,1),업무일지!$D$5:$D$1004,"분석")&gt;0,1,0))</f>
        <v/>
      </c>
      <c r="AI99">
        <f>IF($O99="",0,IF(COUNTIFS(업무일지!$F$5:$F$1004,$O99,업무일지!$B$5:$B$1004,"&gt;="&amp;DATE($B$3,8,1),업무일지!$B$5:$B$1004,"&lt;"&amp;DATE($B$3,8+1,1),업무일지!$D$5:$D$1004,"분석")&gt;0,1,0))</f>
        <v/>
      </c>
      <c r="AJ99">
        <f>IF($O99="",0,IF(COUNTIFS(업무일지!$F$5:$F$1004,$O99,업무일지!$B$5:$B$1004,"&gt;="&amp;DATE($B$3,9,1),업무일지!$B$5:$B$1004,"&lt;"&amp;DATE($B$3,9+1,1),업무일지!$D$5:$D$1004,"분석")&gt;0,1,0))</f>
        <v/>
      </c>
      <c r="AK99">
        <f>IF($O99="",0,IF(COUNTIFS(업무일지!$F$5:$F$1004,$O99,업무일지!$B$5:$B$1004,"&gt;="&amp;DATE($B$3,10,1),업무일지!$B$5:$B$1004,"&lt;"&amp;DATE($B$3,10+1,1),업무일지!$D$5:$D$1004,"분석")&gt;0,1,0))</f>
        <v/>
      </c>
      <c r="AL99">
        <f>IF($O99="",0,IF(COUNTIFS(업무일지!$F$5:$F$1004,$O99,업무일지!$B$5:$B$1004,"&gt;="&amp;DATE($B$3,11,1),업무일지!$B$5:$B$1004,"&lt;"&amp;DATE($B$3,11+1,1),업무일지!$D$5:$D$1004,"분석")&gt;0,1,0))</f>
        <v/>
      </c>
      <c r="AM99">
        <f>IF($O99="",0,IF(COUNTIFS(업무일지!$F$5:$F$1004,$O99,업무일지!$B$5:$B$1004,"&gt;="&amp;DATE($B$3,12,1),업무일지!$B$5:$B$1004,"&lt;"&amp;DATE($B$3,12+1,1),업무일지!$D$5:$D$1004,"분석")&gt;0,1,0))</f>
        <v/>
      </c>
      <c r="AN99">
        <f>IF($O99="",0,IF(COUNTIFS(업무일지!$F$5:$F$1004,$O99,업무일지!$B$5:$B$1004,"&gt;="&amp;DATE($B$3,1,1),업무일지!$B$5:$B$1004,"&lt;"&amp;DATE($B$3,1+1,1))&gt;0,1,0))</f>
        <v/>
      </c>
      <c r="AO99">
        <f>IF($O99="",0,IF(COUNTIFS(업무일지!$F$5:$F$1004,$O99,업무일지!$B$5:$B$1004,"&gt;="&amp;DATE($B$3,2,1),업무일지!$B$5:$B$1004,"&lt;"&amp;DATE($B$3,2+1,1))&gt;0,1,0))</f>
        <v/>
      </c>
      <c r="AP99">
        <f>IF($O99="",0,IF(COUNTIFS(업무일지!$F$5:$F$1004,$O99,업무일지!$B$5:$B$1004,"&gt;="&amp;DATE($B$3,3,1),업무일지!$B$5:$B$1004,"&lt;"&amp;DATE($B$3,3+1,1))&gt;0,1,0))</f>
        <v/>
      </c>
      <c r="AQ99">
        <f>IF($O99="",0,IF(COUNTIFS(업무일지!$F$5:$F$1004,$O99,업무일지!$B$5:$B$1004,"&gt;="&amp;DATE($B$3,4,1),업무일지!$B$5:$B$1004,"&lt;"&amp;DATE($B$3,4+1,1))&gt;0,1,0))</f>
        <v/>
      </c>
      <c r="AR99">
        <f>IF($O99="",0,IF(COUNTIFS(업무일지!$F$5:$F$1004,$O99,업무일지!$B$5:$B$1004,"&gt;="&amp;DATE($B$3,5,1),업무일지!$B$5:$B$1004,"&lt;"&amp;DATE($B$3,5+1,1))&gt;0,1,0))</f>
        <v/>
      </c>
      <c r="AS99">
        <f>IF($O99="",0,IF(COUNTIFS(업무일지!$F$5:$F$1004,$O99,업무일지!$B$5:$B$1004,"&gt;="&amp;DATE($B$3,6,1),업무일지!$B$5:$B$1004,"&lt;"&amp;DATE($B$3,6+1,1))&gt;0,1,0))</f>
        <v/>
      </c>
      <c r="AT99">
        <f>IF($O99="",0,IF(COUNTIFS(업무일지!$F$5:$F$1004,$O99,업무일지!$B$5:$B$1004,"&gt;="&amp;DATE($B$3,7,1),업무일지!$B$5:$B$1004,"&lt;"&amp;DATE($B$3,7+1,1))&gt;0,1,0))</f>
        <v/>
      </c>
      <c r="AU99">
        <f>IF($O99="",0,IF(COUNTIFS(업무일지!$F$5:$F$1004,$O99,업무일지!$B$5:$B$1004,"&gt;="&amp;DATE($B$3,8,1),업무일지!$B$5:$B$1004,"&lt;"&amp;DATE($B$3,8+1,1))&gt;0,1,0))</f>
        <v/>
      </c>
      <c r="AV99">
        <f>IF($O99="",0,IF(COUNTIFS(업무일지!$F$5:$F$1004,$O99,업무일지!$B$5:$B$1004,"&gt;="&amp;DATE($B$3,9,1),업무일지!$B$5:$B$1004,"&lt;"&amp;DATE($B$3,9+1,1))&gt;0,1,0))</f>
        <v/>
      </c>
      <c r="AW99">
        <f>IF($O99="",0,IF(COUNTIFS(업무일지!$F$5:$F$1004,$O99,업무일지!$B$5:$B$1004,"&gt;="&amp;DATE($B$3,10,1),업무일지!$B$5:$B$1004,"&lt;"&amp;DATE($B$3,10+1,1))&gt;0,1,0))</f>
        <v/>
      </c>
      <c r="AX99">
        <f>IF($O99="",0,IF(COUNTIFS(업무일지!$F$5:$F$1004,$O99,업무일지!$B$5:$B$1004,"&gt;="&amp;DATE($B$3,11,1),업무일지!$B$5:$B$1004,"&lt;"&amp;DATE($B$3,11+1,1))&gt;0,1,0))</f>
        <v/>
      </c>
      <c r="AY99">
        <f>IF($O99="",0,IF(COUNTIFS(업무일지!$F$5:$F$1004,$O99,업무일지!$B$5:$B$1004,"&gt;="&amp;DATE($B$3,12,1),업무일지!$B$5:$B$1004,"&lt;"&amp;DATE($B$3,12+1,1))&gt;0,1,0))</f>
        <v/>
      </c>
      <c r="AZ99">
        <f>IF($O99="",0,IF(COUNTIFS(업무일지!$F$5:$F$1004,$O99,업무일지!$B$5:$B$1004,"&gt;="&amp;DATE($B$3,1,1),업무일지!$B$5:$B$1004,"&lt;"&amp;DATE($B$3+1,1,1),업무일지!$D$5:$D$1004,"출장")&gt;0,1,0))</f>
        <v/>
      </c>
      <c r="BA99">
        <f>IF($O99="",0,IF(COUNTIFS(업무일지!$F$5:$F$1004,$O99,업무일지!$B$5:$B$1004,"&gt;="&amp;DATE($B$3,1,1),업무일지!$B$5:$B$1004,"&lt;"&amp;DATE($B$3+1,1,1),업무일지!$D$5:$D$1004,"분석")&gt;0,1,0))</f>
        <v/>
      </c>
      <c r="BB99">
        <f>IF($O99="",0,IF(COUNTIFS(업무일지!$F$5:$F$1004,$O99,업무일지!$B$5:$B$1004,"&gt;="&amp;DATE($B$3,1,1),업무일지!$B$5:$B$1004,"&lt;"&amp;DATE($B$3+1,1,1))&gt;0,1,0))</f>
        <v/>
      </c>
    </row>
    <row r="100">
      <c r="O100">
        <f>IF(사건마스터!$A20="","",사건마스터!$A20)</f>
        <v/>
      </c>
      <c r="P100">
        <f>IF($O100="",0,IF(COUNTIFS(업무일지!$F$5:$F$1004,$O100,업무일지!$B$5:$B$1004,"&gt;="&amp;DATE($B$3,1,1),업무일지!$B$5:$B$1004,"&lt;"&amp;DATE($B$3,1+1,1),업무일지!$D$5:$D$1004,"출장")&gt;0,1,0))</f>
        <v/>
      </c>
      <c r="Q100">
        <f>IF($O100="",0,IF(COUNTIFS(업무일지!$F$5:$F$1004,$O100,업무일지!$B$5:$B$1004,"&gt;="&amp;DATE($B$3,2,1),업무일지!$B$5:$B$1004,"&lt;"&amp;DATE($B$3,2+1,1),업무일지!$D$5:$D$1004,"출장")&gt;0,1,0))</f>
        <v/>
      </c>
      <c r="R100">
        <f>IF($O100="",0,IF(COUNTIFS(업무일지!$F$5:$F$1004,$O100,업무일지!$B$5:$B$1004,"&gt;="&amp;DATE($B$3,3,1),업무일지!$B$5:$B$1004,"&lt;"&amp;DATE($B$3,3+1,1),업무일지!$D$5:$D$1004,"출장")&gt;0,1,0))</f>
        <v/>
      </c>
      <c r="S100">
        <f>IF($O100="",0,IF(COUNTIFS(업무일지!$F$5:$F$1004,$O100,업무일지!$B$5:$B$1004,"&gt;="&amp;DATE($B$3,4,1),업무일지!$B$5:$B$1004,"&lt;"&amp;DATE($B$3,4+1,1),업무일지!$D$5:$D$1004,"출장")&gt;0,1,0))</f>
        <v/>
      </c>
      <c r="T100">
        <f>IF($O100="",0,IF(COUNTIFS(업무일지!$F$5:$F$1004,$O100,업무일지!$B$5:$B$1004,"&gt;="&amp;DATE($B$3,5,1),업무일지!$B$5:$B$1004,"&lt;"&amp;DATE($B$3,5+1,1),업무일지!$D$5:$D$1004,"출장")&gt;0,1,0))</f>
        <v/>
      </c>
      <c r="U100">
        <f>IF($O100="",0,IF(COUNTIFS(업무일지!$F$5:$F$1004,$O100,업무일지!$B$5:$B$1004,"&gt;="&amp;DATE($B$3,6,1),업무일지!$B$5:$B$1004,"&lt;"&amp;DATE($B$3,6+1,1),업무일지!$D$5:$D$1004,"출장")&gt;0,1,0))</f>
        <v/>
      </c>
      <c r="V100">
        <f>IF($O100="",0,IF(COUNTIFS(업무일지!$F$5:$F$1004,$O100,업무일지!$B$5:$B$1004,"&gt;="&amp;DATE($B$3,7,1),업무일지!$B$5:$B$1004,"&lt;"&amp;DATE($B$3,7+1,1),업무일지!$D$5:$D$1004,"출장")&gt;0,1,0))</f>
        <v/>
      </c>
      <c r="W100">
        <f>IF($O100="",0,IF(COUNTIFS(업무일지!$F$5:$F$1004,$O100,업무일지!$B$5:$B$1004,"&gt;="&amp;DATE($B$3,8,1),업무일지!$B$5:$B$1004,"&lt;"&amp;DATE($B$3,8+1,1),업무일지!$D$5:$D$1004,"출장")&gt;0,1,0))</f>
        <v/>
      </c>
      <c r="X100">
        <f>IF($O100="",0,IF(COUNTIFS(업무일지!$F$5:$F$1004,$O100,업무일지!$B$5:$B$1004,"&gt;="&amp;DATE($B$3,9,1),업무일지!$B$5:$B$1004,"&lt;"&amp;DATE($B$3,9+1,1),업무일지!$D$5:$D$1004,"출장")&gt;0,1,0))</f>
        <v/>
      </c>
      <c r="Y100">
        <f>IF($O100="",0,IF(COUNTIFS(업무일지!$F$5:$F$1004,$O100,업무일지!$B$5:$B$1004,"&gt;="&amp;DATE($B$3,10,1),업무일지!$B$5:$B$1004,"&lt;"&amp;DATE($B$3,10+1,1),업무일지!$D$5:$D$1004,"출장")&gt;0,1,0))</f>
        <v/>
      </c>
      <c r="Z100">
        <f>IF($O100="",0,IF(COUNTIFS(업무일지!$F$5:$F$1004,$O100,업무일지!$B$5:$B$1004,"&gt;="&amp;DATE($B$3,11,1),업무일지!$B$5:$B$1004,"&lt;"&amp;DATE($B$3,11+1,1),업무일지!$D$5:$D$1004,"출장")&gt;0,1,0))</f>
        <v/>
      </c>
      <c r="AA100">
        <f>IF($O100="",0,IF(COUNTIFS(업무일지!$F$5:$F$1004,$O100,업무일지!$B$5:$B$1004,"&gt;="&amp;DATE($B$3,12,1),업무일지!$B$5:$B$1004,"&lt;"&amp;DATE($B$3,12+1,1),업무일지!$D$5:$D$1004,"출장")&gt;0,1,0))</f>
        <v/>
      </c>
      <c r="AB100">
        <f>IF($O100="",0,IF(COUNTIFS(업무일지!$F$5:$F$1004,$O100,업무일지!$B$5:$B$1004,"&gt;="&amp;DATE($B$3,1,1),업무일지!$B$5:$B$1004,"&lt;"&amp;DATE($B$3,1+1,1),업무일지!$D$5:$D$1004,"분석")&gt;0,1,0))</f>
        <v/>
      </c>
      <c r="AC100">
        <f>IF($O100="",0,IF(COUNTIFS(업무일지!$F$5:$F$1004,$O100,업무일지!$B$5:$B$1004,"&gt;="&amp;DATE($B$3,2,1),업무일지!$B$5:$B$1004,"&lt;"&amp;DATE($B$3,2+1,1),업무일지!$D$5:$D$1004,"분석")&gt;0,1,0))</f>
        <v/>
      </c>
      <c r="AD100">
        <f>IF($O100="",0,IF(COUNTIFS(업무일지!$F$5:$F$1004,$O100,업무일지!$B$5:$B$1004,"&gt;="&amp;DATE($B$3,3,1),업무일지!$B$5:$B$1004,"&lt;"&amp;DATE($B$3,3+1,1),업무일지!$D$5:$D$1004,"분석")&gt;0,1,0))</f>
        <v/>
      </c>
      <c r="AE100">
        <f>IF($O100="",0,IF(COUNTIFS(업무일지!$F$5:$F$1004,$O100,업무일지!$B$5:$B$1004,"&gt;="&amp;DATE($B$3,4,1),업무일지!$B$5:$B$1004,"&lt;"&amp;DATE($B$3,4+1,1),업무일지!$D$5:$D$1004,"분석")&gt;0,1,0))</f>
        <v/>
      </c>
      <c r="AF100">
        <f>IF($O100="",0,IF(COUNTIFS(업무일지!$F$5:$F$1004,$O100,업무일지!$B$5:$B$1004,"&gt;="&amp;DATE($B$3,5,1),업무일지!$B$5:$B$1004,"&lt;"&amp;DATE($B$3,5+1,1),업무일지!$D$5:$D$1004,"분석")&gt;0,1,0))</f>
        <v/>
      </c>
      <c r="AG100">
        <f>IF($O100="",0,IF(COUNTIFS(업무일지!$F$5:$F$1004,$O100,업무일지!$B$5:$B$1004,"&gt;="&amp;DATE($B$3,6,1),업무일지!$B$5:$B$1004,"&lt;"&amp;DATE($B$3,6+1,1),업무일지!$D$5:$D$1004,"분석")&gt;0,1,0))</f>
        <v/>
      </c>
      <c r="AH100">
        <f>IF($O100="",0,IF(COUNTIFS(업무일지!$F$5:$F$1004,$O100,업무일지!$B$5:$B$1004,"&gt;="&amp;DATE($B$3,7,1),업무일지!$B$5:$B$1004,"&lt;"&amp;DATE($B$3,7+1,1),업무일지!$D$5:$D$1004,"분석")&gt;0,1,0))</f>
        <v/>
      </c>
      <c r="AI100">
        <f>IF($O100="",0,IF(COUNTIFS(업무일지!$F$5:$F$1004,$O100,업무일지!$B$5:$B$1004,"&gt;="&amp;DATE($B$3,8,1),업무일지!$B$5:$B$1004,"&lt;"&amp;DATE($B$3,8+1,1),업무일지!$D$5:$D$1004,"분석")&gt;0,1,0))</f>
        <v/>
      </c>
      <c r="AJ100">
        <f>IF($O100="",0,IF(COUNTIFS(업무일지!$F$5:$F$1004,$O100,업무일지!$B$5:$B$1004,"&gt;="&amp;DATE($B$3,9,1),업무일지!$B$5:$B$1004,"&lt;"&amp;DATE($B$3,9+1,1),업무일지!$D$5:$D$1004,"분석")&gt;0,1,0))</f>
        <v/>
      </c>
      <c r="AK100">
        <f>IF($O100="",0,IF(COUNTIFS(업무일지!$F$5:$F$1004,$O100,업무일지!$B$5:$B$1004,"&gt;="&amp;DATE($B$3,10,1),업무일지!$B$5:$B$1004,"&lt;"&amp;DATE($B$3,10+1,1),업무일지!$D$5:$D$1004,"분석")&gt;0,1,0))</f>
        <v/>
      </c>
      <c r="AL100">
        <f>IF($O100="",0,IF(COUNTIFS(업무일지!$F$5:$F$1004,$O100,업무일지!$B$5:$B$1004,"&gt;="&amp;DATE($B$3,11,1),업무일지!$B$5:$B$1004,"&lt;"&amp;DATE($B$3,11+1,1),업무일지!$D$5:$D$1004,"분석")&gt;0,1,0))</f>
        <v/>
      </c>
      <c r="AM100">
        <f>IF($O100="",0,IF(COUNTIFS(업무일지!$F$5:$F$1004,$O100,업무일지!$B$5:$B$1004,"&gt;="&amp;DATE($B$3,12,1),업무일지!$B$5:$B$1004,"&lt;"&amp;DATE($B$3,12+1,1),업무일지!$D$5:$D$1004,"분석")&gt;0,1,0))</f>
        <v/>
      </c>
      <c r="AN100">
        <f>IF($O100="",0,IF(COUNTIFS(업무일지!$F$5:$F$1004,$O100,업무일지!$B$5:$B$1004,"&gt;="&amp;DATE($B$3,1,1),업무일지!$B$5:$B$1004,"&lt;"&amp;DATE($B$3,1+1,1))&gt;0,1,0))</f>
        <v/>
      </c>
      <c r="AO100">
        <f>IF($O100="",0,IF(COUNTIFS(업무일지!$F$5:$F$1004,$O100,업무일지!$B$5:$B$1004,"&gt;="&amp;DATE($B$3,2,1),업무일지!$B$5:$B$1004,"&lt;"&amp;DATE($B$3,2+1,1))&gt;0,1,0))</f>
        <v/>
      </c>
      <c r="AP100">
        <f>IF($O100="",0,IF(COUNTIFS(업무일지!$F$5:$F$1004,$O100,업무일지!$B$5:$B$1004,"&gt;="&amp;DATE($B$3,3,1),업무일지!$B$5:$B$1004,"&lt;"&amp;DATE($B$3,3+1,1))&gt;0,1,0))</f>
        <v/>
      </c>
      <c r="AQ100">
        <f>IF($O100="",0,IF(COUNTIFS(업무일지!$F$5:$F$1004,$O100,업무일지!$B$5:$B$1004,"&gt;="&amp;DATE($B$3,4,1),업무일지!$B$5:$B$1004,"&lt;"&amp;DATE($B$3,4+1,1))&gt;0,1,0))</f>
        <v/>
      </c>
      <c r="AR100">
        <f>IF($O100="",0,IF(COUNTIFS(업무일지!$F$5:$F$1004,$O100,업무일지!$B$5:$B$1004,"&gt;="&amp;DATE($B$3,5,1),업무일지!$B$5:$B$1004,"&lt;"&amp;DATE($B$3,5+1,1))&gt;0,1,0))</f>
        <v/>
      </c>
      <c r="AS100">
        <f>IF($O100="",0,IF(COUNTIFS(업무일지!$F$5:$F$1004,$O100,업무일지!$B$5:$B$1004,"&gt;="&amp;DATE($B$3,6,1),업무일지!$B$5:$B$1004,"&lt;"&amp;DATE($B$3,6+1,1))&gt;0,1,0))</f>
        <v/>
      </c>
      <c r="AT100">
        <f>IF($O100="",0,IF(COUNTIFS(업무일지!$F$5:$F$1004,$O100,업무일지!$B$5:$B$1004,"&gt;="&amp;DATE($B$3,7,1),업무일지!$B$5:$B$1004,"&lt;"&amp;DATE($B$3,7+1,1))&gt;0,1,0))</f>
        <v/>
      </c>
      <c r="AU100">
        <f>IF($O100="",0,IF(COUNTIFS(업무일지!$F$5:$F$1004,$O100,업무일지!$B$5:$B$1004,"&gt;="&amp;DATE($B$3,8,1),업무일지!$B$5:$B$1004,"&lt;"&amp;DATE($B$3,8+1,1))&gt;0,1,0))</f>
        <v/>
      </c>
      <c r="AV100">
        <f>IF($O100="",0,IF(COUNTIFS(업무일지!$F$5:$F$1004,$O100,업무일지!$B$5:$B$1004,"&gt;="&amp;DATE($B$3,9,1),업무일지!$B$5:$B$1004,"&lt;"&amp;DATE($B$3,9+1,1))&gt;0,1,0))</f>
        <v/>
      </c>
      <c r="AW100">
        <f>IF($O100="",0,IF(COUNTIFS(업무일지!$F$5:$F$1004,$O100,업무일지!$B$5:$B$1004,"&gt;="&amp;DATE($B$3,10,1),업무일지!$B$5:$B$1004,"&lt;"&amp;DATE($B$3,10+1,1))&gt;0,1,0))</f>
        <v/>
      </c>
      <c r="AX100">
        <f>IF($O100="",0,IF(COUNTIFS(업무일지!$F$5:$F$1004,$O100,업무일지!$B$5:$B$1004,"&gt;="&amp;DATE($B$3,11,1),업무일지!$B$5:$B$1004,"&lt;"&amp;DATE($B$3,11+1,1))&gt;0,1,0))</f>
        <v/>
      </c>
      <c r="AY100">
        <f>IF($O100="",0,IF(COUNTIFS(업무일지!$F$5:$F$1004,$O100,업무일지!$B$5:$B$1004,"&gt;="&amp;DATE($B$3,12,1),업무일지!$B$5:$B$1004,"&lt;"&amp;DATE($B$3,12+1,1))&gt;0,1,0))</f>
        <v/>
      </c>
      <c r="AZ100">
        <f>IF($O100="",0,IF(COUNTIFS(업무일지!$F$5:$F$1004,$O100,업무일지!$B$5:$B$1004,"&gt;="&amp;DATE($B$3,1,1),업무일지!$B$5:$B$1004,"&lt;"&amp;DATE($B$3+1,1,1),업무일지!$D$5:$D$1004,"출장")&gt;0,1,0))</f>
        <v/>
      </c>
      <c r="BA100">
        <f>IF($O100="",0,IF(COUNTIFS(업무일지!$F$5:$F$1004,$O100,업무일지!$B$5:$B$1004,"&gt;="&amp;DATE($B$3,1,1),업무일지!$B$5:$B$1004,"&lt;"&amp;DATE($B$3+1,1,1),업무일지!$D$5:$D$1004,"분석")&gt;0,1,0))</f>
        <v/>
      </c>
      <c r="BB100">
        <f>IF($O100="",0,IF(COUNTIFS(업무일지!$F$5:$F$1004,$O100,업무일지!$B$5:$B$1004,"&gt;="&amp;DATE($B$3,1,1),업무일지!$B$5:$B$1004,"&lt;"&amp;DATE($B$3+1,1,1))&gt;0,1,0))</f>
        <v/>
      </c>
    </row>
    <row r="101">
      <c r="O101">
        <f>IF(사건마스터!$A21="","",사건마스터!$A21)</f>
        <v/>
      </c>
      <c r="P101">
        <f>IF($O101="",0,IF(COUNTIFS(업무일지!$F$5:$F$1004,$O101,업무일지!$B$5:$B$1004,"&gt;="&amp;DATE($B$3,1,1),업무일지!$B$5:$B$1004,"&lt;"&amp;DATE($B$3,1+1,1),업무일지!$D$5:$D$1004,"출장")&gt;0,1,0))</f>
        <v/>
      </c>
      <c r="Q101">
        <f>IF($O101="",0,IF(COUNTIFS(업무일지!$F$5:$F$1004,$O101,업무일지!$B$5:$B$1004,"&gt;="&amp;DATE($B$3,2,1),업무일지!$B$5:$B$1004,"&lt;"&amp;DATE($B$3,2+1,1),업무일지!$D$5:$D$1004,"출장")&gt;0,1,0))</f>
        <v/>
      </c>
      <c r="R101">
        <f>IF($O101="",0,IF(COUNTIFS(업무일지!$F$5:$F$1004,$O101,업무일지!$B$5:$B$1004,"&gt;="&amp;DATE($B$3,3,1),업무일지!$B$5:$B$1004,"&lt;"&amp;DATE($B$3,3+1,1),업무일지!$D$5:$D$1004,"출장")&gt;0,1,0))</f>
        <v/>
      </c>
      <c r="S101">
        <f>IF($O101="",0,IF(COUNTIFS(업무일지!$F$5:$F$1004,$O101,업무일지!$B$5:$B$1004,"&gt;="&amp;DATE($B$3,4,1),업무일지!$B$5:$B$1004,"&lt;"&amp;DATE($B$3,4+1,1),업무일지!$D$5:$D$1004,"출장")&gt;0,1,0))</f>
        <v/>
      </c>
      <c r="T101">
        <f>IF($O101="",0,IF(COUNTIFS(업무일지!$F$5:$F$1004,$O101,업무일지!$B$5:$B$1004,"&gt;="&amp;DATE($B$3,5,1),업무일지!$B$5:$B$1004,"&lt;"&amp;DATE($B$3,5+1,1),업무일지!$D$5:$D$1004,"출장")&gt;0,1,0))</f>
        <v/>
      </c>
      <c r="U101">
        <f>IF($O101="",0,IF(COUNTIFS(업무일지!$F$5:$F$1004,$O101,업무일지!$B$5:$B$1004,"&gt;="&amp;DATE($B$3,6,1),업무일지!$B$5:$B$1004,"&lt;"&amp;DATE($B$3,6+1,1),업무일지!$D$5:$D$1004,"출장")&gt;0,1,0))</f>
        <v/>
      </c>
      <c r="V101">
        <f>IF($O101="",0,IF(COUNTIFS(업무일지!$F$5:$F$1004,$O101,업무일지!$B$5:$B$1004,"&gt;="&amp;DATE($B$3,7,1),업무일지!$B$5:$B$1004,"&lt;"&amp;DATE($B$3,7+1,1),업무일지!$D$5:$D$1004,"출장")&gt;0,1,0))</f>
        <v/>
      </c>
      <c r="W101">
        <f>IF($O101="",0,IF(COUNTIFS(업무일지!$F$5:$F$1004,$O101,업무일지!$B$5:$B$1004,"&gt;="&amp;DATE($B$3,8,1),업무일지!$B$5:$B$1004,"&lt;"&amp;DATE($B$3,8+1,1),업무일지!$D$5:$D$1004,"출장")&gt;0,1,0))</f>
        <v/>
      </c>
      <c r="X101">
        <f>IF($O101="",0,IF(COUNTIFS(업무일지!$F$5:$F$1004,$O101,업무일지!$B$5:$B$1004,"&gt;="&amp;DATE($B$3,9,1),업무일지!$B$5:$B$1004,"&lt;"&amp;DATE($B$3,9+1,1),업무일지!$D$5:$D$1004,"출장")&gt;0,1,0))</f>
        <v/>
      </c>
      <c r="Y101">
        <f>IF($O101="",0,IF(COUNTIFS(업무일지!$F$5:$F$1004,$O101,업무일지!$B$5:$B$1004,"&gt;="&amp;DATE($B$3,10,1),업무일지!$B$5:$B$1004,"&lt;"&amp;DATE($B$3,10+1,1),업무일지!$D$5:$D$1004,"출장")&gt;0,1,0))</f>
        <v/>
      </c>
      <c r="Z101">
        <f>IF($O101="",0,IF(COUNTIFS(업무일지!$F$5:$F$1004,$O101,업무일지!$B$5:$B$1004,"&gt;="&amp;DATE($B$3,11,1),업무일지!$B$5:$B$1004,"&lt;"&amp;DATE($B$3,11+1,1),업무일지!$D$5:$D$1004,"출장")&gt;0,1,0))</f>
        <v/>
      </c>
      <c r="AA101">
        <f>IF($O101="",0,IF(COUNTIFS(업무일지!$F$5:$F$1004,$O101,업무일지!$B$5:$B$1004,"&gt;="&amp;DATE($B$3,12,1),업무일지!$B$5:$B$1004,"&lt;"&amp;DATE($B$3,12+1,1),업무일지!$D$5:$D$1004,"출장")&gt;0,1,0))</f>
        <v/>
      </c>
      <c r="AB101">
        <f>IF($O101="",0,IF(COUNTIFS(업무일지!$F$5:$F$1004,$O101,업무일지!$B$5:$B$1004,"&gt;="&amp;DATE($B$3,1,1),업무일지!$B$5:$B$1004,"&lt;"&amp;DATE($B$3,1+1,1),업무일지!$D$5:$D$1004,"분석")&gt;0,1,0))</f>
        <v/>
      </c>
      <c r="AC101">
        <f>IF($O101="",0,IF(COUNTIFS(업무일지!$F$5:$F$1004,$O101,업무일지!$B$5:$B$1004,"&gt;="&amp;DATE($B$3,2,1),업무일지!$B$5:$B$1004,"&lt;"&amp;DATE($B$3,2+1,1),업무일지!$D$5:$D$1004,"분석")&gt;0,1,0))</f>
        <v/>
      </c>
      <c r="AD101">
        <f>IF($O101="",0,IF(COUNTIFS(업무일지!$F$5:$F$1004,$O101,업무일지!$B$5:$B$1004,"&gt;="&amp;DATE($B$3,3,1),업무일지!$B$5:$B$1004,"&lt;"&amp;DATE($B$3,3+1,1),업무일지!$D$5:$D$1004,"분석")&gt;0,1,0))</f>
        <v/>
      </c>
      <c r="AE101">
        <f>IF($O101="",0,IF(COUNTIFS(업무일지!$F$5:$F$1004,$O101,업무일지!$B$5:$B$1004,"&gt;="&amp;DATE($B$3,4,1),업무일지!$B$5:$B$1004,"&lt;"&amp;DATE($B$3,4+1,1),업무일지!$D$5:$D$1004,"분석")&gt;0,1,0))</f>
        <v/>
      </c>
      <c r="AF101">
        <f>IF($O101="",0,IF(COUNTIFS(업무일지!$F$5:$F$1004,$O101,업무일지!$B$5:$B$1004,"&gt;="&amp;DATE($B$3,5,1),업무일지!$B$5:$B$1004,"&lt;"&amp;DATE($B$3,5+1,1),업무일지!$D$5:$D$1004,"분석")&gt;0,1,0))</f>
        <v/>
      </c>
      <c r="AG101">
        <f>IF($O101="",0,IF(COUNTIFS(업무일지!$F$5:$F$1004,$O101,업무일지!$B$5:$B$1004,"&gt;="&amp;DATE($B$3,6,1),업무일지!$B$5:$B$1004,"&lt;"&amp;DATE($B$3,6+1,1),업무일지!$D$5:$D$1004,"분석")&gt;0,1,0))</f>
        <v/>
      </c>
      <c r="AH101">
        <f>IF($O101="",0,IF(COUNTIFS(업무일지!$F$5:$F$1004,$O101,업무일지!$B$5:$B$1004,"&gt;="&amp;DATE($B$3,7,1),업무일지!$B$5:$B$1004,"&lt;"&amp;DATE($B$3,7+1,1),업무일지!$D$5:$D$1004,"분석")&gt;0,1,0))</f>
        <v/>
      </c>
      <c r="AI101">
        <f>IF($O101="",0,IF(COUNTIFS(업무일지!$F$5:$F$1004,$O101,업무일지!$B$5:$B$1004,"&gt;="&amp;DATE($B$3,8,1),업무일지!$B$5:$B$1004,"&lt;"&amp;DATE($B$3,8+1,1),업무일지!$D$5:$D$1004,"분석")&gt;0,1,0))</f>
        <v/>
      </c>
      <c r="AJ101">
        <f>IF($O101="",0,IF(COUNTIFS(업무일지!$F$5:$F$1004,$O101,업무일지!$B$5:$B$1004,"&gt;="&amp;DATE($B$3,9,1),업무일지!$B$5:$B$1004,"&lt;"&amp;DATE($B$3,9+1,1),업무일지!$D$5:$D$1004,"분석")&gt;0,1,0))</f>
        <v/>
      </c>
      <c r="AK101">
        <f>IF($O101="",0,IF(COUNTIFS(업무일지!$F$5:$F$1004,$O101,업무일지!$B$5:$B$1004,"&gt;="&amp;DATE($B$3,10,1),업무일지!$B$5:$B$1004,"&lt;"&amp;DATE($B$3,10+1,1),업무일지!$D$5:$D$1004,"분석")&gt;0,1,0))</f>
        <v/>
      </c>
      <c r="AL101">
        <f>IF($O101="",0,IF(COUNTIFS(업무일지!$F$5:$F$1004,$O101,업무일지!$B$5:$B$1004,"&gt;="&amp;DATE($B$3,11,1),업무일지!$B$5:$B$1004,"&lt;"&amp;DATE($B$3,11+1,1),업무일지!$D$5:$D$1004,"분석")&gt;0,1,0))</f>
        <v/>
      </c>
      <c r="AM101">
        <f>IF($O101="",0,IF(COUNTIFS(업무일지!$F$5:$F$1004,$O101,업무일지!$B$5:$B$1004,"&gt;="&amp;DATE($B$3,12,1),업무일지!$B$5:$B$1004,"&lt;"&amp;DATE($B$3,12+1,1),업무일지!$D$5:$D$1004,"분석")&gt;0,1,0))</f>
        <v/>
      </c>
      <c r="AN101">
        <f>IF($O101="",0,IF(COUNTIFS(업무일지!$F$5:$F$1004,$O101,업무일지!$B$5:$B$1004,"&gt;="&amp;DATE($B$3,1,1),업무일지!$B$5:$B$1004,"&lt;"&amp;DATE($B$3,1+1,1))&gt;0,1,0))</f>
        <v/>
      </c>
      <c r="AO101">
        <f>IF($O101="",0,IF(COUNTIFS(업무일지!$F$5:$F$1004,$O101,업무일지!$B$5:$B$1004,"&gt;="&amp;DATE($B$3,2,1),업무일지!$B$5:$B$1004,"&lt;"&amp;DATE($B$3,2+1,1))&gt;0,1,0))</f>
        <v/>
      </c>
      <c r="AP101">
        <f>IF($O101="",0,IF(COUNTIFS(업무일지!$F$5:$F$1004,$O101,업무일지!$B$5:$B$1004,"&gt;="&amp;DATE($B$3,3,1),업무일지!$B$5:$B$1004,"&lt;"&amp;DATE($B$3,3+1,1))&gt;0,1,0))</f>
        <v/>
      </c>
      <c r="AQ101">
        <f>IF($O101="",0,IF(COUNTIFS(업무일지!$F$5:$F$1004,$O101,업무일지!$B$5:$B$1004,"&gt;="&amp;DATE($B$3,4,1),업무일지!$B$5:$B$1004,"&lt;"&amp;DATE($B$3,4+1,1))&gt;0,1,0))</f>
        <v/>
      </c>
      <c r="AR101">
        <f>IF($O101="",0,IF(COUNTIFS(업무일지!$F$5:$F$1004,$O101,업무일지!$B$5:$B$1004,"&gt;="&amp;DATE($B$3,5,1),업무일지!$B$5:$B$1004,"&lt;"&amp;DATE($B$3,5+1,1))&gt;0,1,0))</f>
        <v/>
      </c>
      <c r="AS101">
        <f>IF($O101="",0,IF(COUNTIFS(업무일지!$F$5:$F$1004,$O101,업무일지!$B$5:$B$1004,"&gt;="&amp;DATE($B$3,6,1),업무일지!$B$5:$B$1004,"&lt;"&amp;DATE($B$3,6+1,1))&gt;0,1,0))</f>
        <v/>
      </c>
      <c r="AT101">
        <f>IF($O101="",0,IF(COUNTIFS(업무일지!$F$5:$F$1004,$O101,업무일지!$B$5:$B$1004,"&gt;="&amp;DATE($B$3,7,1),업무일지!$B$5:$B$1004,"&lt;"&amp;DATE($B$3,7+1,1))&gt;0,1,0))</f>
        <v/>
      </c>
      <c r="AU101">
        <f>IF($O101="",0,IF(COUNTIFS(업무일지!$F$5:$F$1004,$O101,업무일지!$B$5:$B$1004,"&gt;="&amp;DATE($B$3,8,1),업무일지!$B$5:$B$1004,"&lt;"&amp;DATE($B$3,8+1,1))&gt;0,1,0))</f>
        <v/>
      </c>
      <c r="AV101">
        <f>IF($O101="",0,IF(COUNTIFS(업무일지!$F$5:$F$1004,$O101,업무일지!$B$5:$B$1004,"&gt;="&amp;DATE($B$3,9,1),업무일지!$B$5:$B$1004,"&lt;"&amp;DATE($B$3,9+1,1))&gt;0,1,0))</f>
        <v/>
      </c>
      <c r="AW101">
        <f>IF($O101="",0,IF(COUNTIFS(업무일지!$F$5:$F$1004,$O101,업무일지!$B$5:$B$1004,"&gt;="&amp;DATE($B$3,10,1),업무일지!$B$5:$B$1004,"&lt;"&amp;DATE($B$3,10+1,1))&gt;0,1,0))</f>
        <v/>
      </c>
      <c r="AX101">
        <f>IF($O101="",0,IF(COUNTIFS(업무일지!$F$5:$F$1004,$O101,업무일지!$B$5:$B$1004,"&gt;="&amp;DATE($B$3,11,1),업무일지!$B$5:$B$1004,"&lt;"&amp;DATE($B$3,11+1,1))&gt;0,1,0))</f>
        <v/>
      </c>
      <c r="AY101">
        <f>IF($O101="",0,IF(COUNTIFS(업무일지!$F$5:$F$1004,$O101,업무일지!$B$5:$B$1004,"&gt;="&amp;DATE($B$3,12,1),업무일지!$B$5:$B$1004,"&lt;"&amp;DATE($B$3,12+1,1))&gt;0,1,0))</f>
        <v/>
      </c>
      <c r="AZ101">
        <f>IF($O101="",0,IF(COUNTIFS(업무일지!$F$5:$F$1004,$O101,업무일지!$B$5:$B$1004,"&gt;="&amp;DATE($B$3,1,1),업무일지!$B$5:$B$1004,"&lt;"&amp;DATE($B$3+1,1,1),업무일지!$D$5:$D$1004,"출장")&gt;0,1,0))</f>
        <v/>
      </c>
      <c r="BA101">
        <f>IF($O101="",0,IF(COUNTIFS(업무일지!$F$5:$F$1004,$O101,업무일지!$B$5:$B$1004,"&gt;="&amp;DATE($B$3,1,1),업무일지!$B$5:$B$1004,"&lt;"&amp;DATE($B$3+1,1,1),업무일지!$D$5:$D$1004,"분석")&gt;0,1,0))</f>
        <v/>
      </c>
      <c r="BB101">
        <f>IF($O101="",0,IF(COUNTIFS(업무일지!$F$5:$F$1004,$O101,업무일지!$B$5:$B$1004,"&gt;="&amp;DATE($B$3,1,1),업무일지!$B$5:$B$1004,"&lt;"&amp;DATE($B$3+1,1,1))&gt;0,1,0))</f>
        <v/>
      </c>
    </row>
    <row r="102">
      <c r="O102">
        <f>IF(사건마스터!$A22="","",사건마스터!$A22)</f>
        <v/>
      </c>
      <c r="P102">
        <f>IF($O102="",0,IF(COUNTIFS(업무일지!$F$5:$F$1004,$O102,업무일지!$B$5:$B$1004,"&gt;="&amp;DATE($B$3,1,1),업무일지!$B$5:$B$1004,"&lt;"&amp;DATE($B$3,1+1,1),업무일지!$D$5:$D$1004,"출장")&gt;0,1,0))</f>
        <v/>
      </c>
      <c r="Q102">
        <f>IF($O102="",0,IF(COUNTIFS(업무일지!$F$5:$F$1004,$O102,업무일지!$B$5:$B$1004,"&gt;="&amp;DATE($B$3,2,1),업무일지!$B$5:$B$1004,"&lt;"&amp;DATE($B$3,2+1,1),업무일지!$D$5:$D$1004,"출장")&gt;0,1,0))</f>
        <v/>
      </c>
      <c r="R102">
        <f>IF($O102="",0,IF(COUNTIFS(업무일지!$F$5:$F$1004,$O102,업무일지!$B$5:$B$1004,"&gt;="&amp;DATE($B$3,3,1),업무일지!$B$5:$B$1004,"&lt;"&amp;DATE($B$3,3+1,1),업무일지!$D$5:$D$1004,"출장")&gt;0,1,0))</f>
        <v/>
      </c>
      <c r="S102">
        <f>IF($O102="",0,IF(COUNTIFS(업무일지!$F$5:$F$1004,$O102,업무일지!$B$5:$B$1004,"&gt;="&amp;DATE($B$3,4,1),업무일지!$B$5:$B$1004,"&lt;"&amp;DATE($B$3,4+1,1),업무일지!$D$5:$D$1004,"출장")&gt;0,1,0))</f>
        <v/>
      </c>
      <c r="T102">
        <f>IF($O102="",0,IF(COUNTIFS(업무일지!$F$5:$F$1004,$O102,업무일지!$B$5:$B$1004,"&gt;="&amp;DATE($B$3,5,1),업무일지!$B$5:$B$1004,"&lt;"&amp;DATE($B$3,5+1,1),업무일지!$D$5:$D$1004,"출장")&gt;0,1,0))</f>
        <v/>
      </c>
      <c r="U102">
        <f>IF($O102="",0,IF(COUNTIFS(업무일지!$F$5:$F$1004,$O102,업무일지!$B$5:$B$1004,"&gt;="&amp;DATE($B$3,6,1),업무일지!$B$5:$B$1004,"&lt;"&amp;DATE($B$3,6+1,1),업무일지!$D$5:$D$1004,"출장")&gt;0,1,0))</f>
        <v/>
      </c>
      <c r="V102">
        <f>IF($O102="",0,IF(COUNTIFS(업무일지!$F$5:$F$1004,$O102,업무일지!$B$5:$B$1004,"&gt;="&amp;DATE($B$3,7,1),업무일지!$B$5:$B$1004,"&lt;"&amp;DATE($B$3,7+1,1),업무일지!$D$5:$D$1004,"출장")&gt;0,1,0))</f>
        <v/>
      </c>
      <c r="W102">
        <f>IF($O102="",0,IF(COUNTIFS(업무일지!$F$5:$F$1004,$O102,업무일지!$B$5:$B$1004,"&gt;="&amp;DATE($B$3,8,1),업무일지!$B$5:$B$1004,"&lt;"&amp;DATE($B$3,8+1,1),업무일지!$D$5:$D$1004,"출장")&gt;0,1,0))</f>
        <v/>
      </c>
      <c r="X102">
        <f>IF($O102="",0,IF(COUNTIFS(업무일지!$F$5:$F$1004,$O102,업무일지!$B$5:$B$1004,"&gt;="&amp;DATE($B$3,9,1),업무일지!$B$5:$B$1004,"&lt;"&amp;DATE($B$3,9+1,1),업무일지!$D$5:$D$1004,"출장")&gt;0,1,0))</f>
        <v/>
      </c>
      <c r="Y102">
        <f>IF($O102="",0,IF(COUNTIFS(업무일지!$F$5:$F$1004,$O102,업무일지!$B$5:$B$1004,"&gt;="&amp;DATE($B$3,10,1),업무일지!$B$5:$B$1004,"&lt;"&amp;DATE($B$3,10+1,1),업무일지!$D$5:$D$1004,"출장")&gt;0,1,0))</f>
        <v/>
      </c>
      <c r="Z102">
        <f>IF($O102="",0,IF(COUNTIFS(업무일지!$F$5:$F$1004,$O102,업무일지!$B$5:$B$1004,"&gt;="&amp;DATE($B$3,11,1),업무일지!$B$5:$B$1004,"&lt;"&amp;DATE($B$3,11+1,1),업무일지!$D$5:$D$1004,"출장")&gt;0,1,0))</f>
        <v/>
      </c>
      <c r="AA102">
        <f>IF($O102="",0,IF(COUNTIFS(업무일지!$F$5:$F$1004,$O102,업무일지!$B$5:$B$1004,"&gt;="&amp;DATE($B$3,12,1),업무일지!$B$5:$B$1004,"&lt;"&amp;DATE($B$3,12+1,1),업무일지!$D$5:$D$1004,"출장")&gt;0,1,0))</f>
        <v/>
      </c>
      <c r="AB102">
        <f>IF($O102="",0,IF(COUNTIFS(업무일지!$F$5:$F$1004,$O102,업무일지!$B$5:$B$1004,"&gt;="&amp;DATE($B$3,1,1),업무일지!$B$5:$B$1004,"&lt;"&amp;DATE($B$3,1+1,1),업무일지!$D$5:$D$1004,"분석")&gt;0,1,0))</f>
        <v/>
      </c>
      <c r="AC102">
        <f>IF($O102="",0,IF(COUNTIFS(업무일지!$F$5:$F$1004,$O102,업무일지!$B$5:$B$1004,"&gt;="&amp;DATE($B$3,2,1),업무일지!$B$5:$B$1004,"&lt;"&amp;DATE($B$3,2+1,1),업무일지!$D$5:$D$1004,"분석")&gt;0,1,0))</f>
        <v/>
      </c>
      <c r="AD102">
        <f>IF($O102="",0,IF(COUNTIFS(업무일지!$F$5:$F$1004,$O102,업무일지!$B$5:$B$1004,"&gt;="&amp;DATE($B$3,3,1),업무일지!$B$5:$B$1004,"&lt;"&amp;DATE($B$3,3+1,1),업무일지!$D$5:$D$1004,"분석")&gt;0,1,0))</f>
        <v/>
      </c>
      <c r="AE102">
        <f>IF($O102="",0,IF(COUNTIFS(업무일지!$F$5:$F$1004,$O102,업무일지!$B$5:$B$1004,"&gt;="&amp;DATE($B$3,4,1),업무일지!$B$5:$B$1004,"&lt;"&amp;DATE($B$3,4+1,1),업무일지!$D$5:$D$1004,"분석")&gt;0,1,0))</f>
        <v/>
      </c>
      <c r="AF102">
        <f>IF($O102="",0,IF(COUNTIFS(업무일지!$F$5:$F$1004,$O102,업무일지!$B$5:$B$1004,"&gt;="&amp;DATE($B$3,5,1),업무일지!$B$5:$B$1004,"&lt;"&amp;DATE($B$3,5+1,1),업무일지!$D$5:$D$1004,"분석")&gt;0,1,0))</f>
        <v/>
      </c>
      <c r="AG102">
        <f>IF($O102="",0,IF(COUNTIFS(업무일지!$F$5:$F$1004,$O102,업무일지!$B$5:$B$1004,"&gt;="&amp;DATE($B$3,6,1),업무일지!$B$5:$B$1004,"&lt;"&amp;DATE($B$3,6+1,1),업무일지!$D$5:$D$1004,"분석")&gt;0,1,0))</f>
        <v/>
      </c>
      <c r="AH102">
        <f>IF($O102="",0,IF(COUNTIFS(업무일지!$F$5:$F$1004,$O102,업무일지!$B$5:$B$1004,"&gt;="&amp;DATE($B$3,7,1),업무일지!$B$5:$B$1004,"&lt;"&amp;DATE($B$3,7+1,1),업무일지!$D$5:$D$1004,"분석")&gt;0,1,0))</f>
        <v/>
      </c>
      <c r="AI102">
        <f>IF($O102="",0,IF(COUNTIFS(업무일지!$F$5:$F$1004,$O102,업무일지!$B$5:$B$1004,"&gt;="&amp;DATE($B$3,8,1),업무일지!$B$5:$B$1004,"&lt;"&amp;DATE($B$3,8+1,1),업무일지!$D$5:$D$1004,"분석")&gt;0,1,0))</f>
        <v/>
      </c>
      <c r="AJ102">
        <f>IF($O102="",0,IF(COUNTIFS(업무일지!$F$5:$F$1004,$O102,업무일지!$B$5:$B$1004,"&gt;="&amp;DATE($B$3,9,1),업무일지!$B$5:$B$1004,"&lt;"&amp;DATE($B$3,9+1,1),업무일지!$D$5:$D$1004,"분석")&gt;0,1,0))</f>
        <v/>
      </c>
      <c r="AK102">
        <f>IF($O102="",0,IF(COUNTIFS(업무일지!$F$5:$F$1004,$O102,업무일지!$B$5:$B$1004,"&gt;="&amp;DATE($B$3,10,1),업무일지!$B$5:$B$1004,"&lt;"&amp;DATE($B$3,10+1,1),업무일지!$D$5:$D$1004,"분석")&gt;0,1,0))</f>
        <v/>
      </c>
      <c r="AL102">
        <f>IF($O102="",0,IF(COUNTIFS(업무일지!$F$5:$F$1004,$O102,업무일지!$B$5:$B$1004,"&gt;="&amp;DATE($B$3,11,1),업무일지!$B$5:$B$1004,"&lt;"&amp;DATE($B$3,11+1,1),업무일지!$D$5:$D$1004,"분석")&gt;0,1,0))</f>
        <v/>
      </c>
      <c r="AM102">
        <f>IF($O102="",0,IF(COUNTIFS(업무일지!$F$5:$F$1004,$O102,업무일지!$B$5:$B$1004,"&gt;="&amp;DATE($B$3,12,1),업무일지!$B$5:$B$1004,"&lt;"&amp;DATE($B$3,12+1,1),업무일지!$D$5:$D$1004,"분석")&gt;0,1,0))</f>
        <v/>
      </c>
      <c r="AN102">
        <f>IF($O102="",0,IF(COUNTIFS(업무일지!$F$5:$F$1004,$O102,업무일지!$B$5:$B$1004,"&gt;="&amp;DATE($B$3,1,1),업무일지!$B$5:$B$1004,"&lt;"&amp;DATE($B$3,1+1,1))&gt;0,1,0))</f>
        <v/>
      </c>
      <c r="AO102">
        <f>IF($O102="",0,IF(COUNTIFS(업무일지!$F$5:$F$1004,$O102,업무일지!$B$5:$B$1004,"&gt;="&amp;DATE($B$3,2,1),업무일지!$B$5:$B$1004,"&lt;"&amp;DATE($B$3,2+1,1))&gt;0,1,0))</f>
        <v/>
      </c>
      <c r="AP102">
        <f>IF($O102="",0,IF(COUNTIFS(업무일지!$F$5:$F$1004,$O102,업무일지!$B$5:$B$1004,"&gt;="&amp;DATE($B$3,3,1),업무일지!$B$5:$B$1004,"&lt;"&amp;DATE($B$3,3+1,1))&gt;0,1,0))</f>
        <v/>
      </c>
      <c r="AQ102">
        <f>IF($O102="",0,IF(COUNTIFS(업무일지!$F$5:$F$1004,$O102,업무일지!$B$5:$B$1004,"&gt;="&amp;DATE($B$3,4,1),업무일지!$B$5:$B$1004,"&lt;"&amp;DATE($B$3,4+1,1))&gt;0,1,0))</f>
        <v/>
      </c>
      <c r="AR102">
        <f>IF($O102="",0,IF(COUNTIFS(업무일지!$F$5:$F$1004,$O102,업무일지!$B$5:$B$1004,"&gt;="&amp;DATE($B$3,5,1),업무일지!$B$5:$B$1004,"&lt;"&amp;DATE($B$3,5+1,1))&gt;0,1,0))</f>
        <v/>
      </c>
      <c r="AS102">
        <f>IF($O102="",0,IF(COUNTIFS(업무일지!$F$5:$F$1004,$O102,업무일지!$B$5:$B$1004,"&gt;="&amp;DATE($B$3,6,1),업무일지!$B$5:$B$1004,"&lt;"&amp;DATE($B$3,6+1,1))&gt;0,1,0))</f>
        <v/>
      </c>
      <c r="AT102">
        <f>IF($O102="",0,IF(COUNTIFS(업무일지!$F$5:$F$1004,$O102,업무일지!$B$5:$B$1004,"&gt;="&amp;DATE($B$3,7,1),업무일지!$B$5:$B$1004,"&lt;"&amp;DATE($B$3,7+1,1))&gt;0,1,0))</f>
        <v/>
      </c>
      <c r="AU102">
        <f>IF($O102="",0,IF(COUNTIFS(업무일지!$F$5:$F$1004,$O102,업무일지!$B$5:$B$1004,"&gt;="&amp;DATE($B$3,8,1),업무일지!$B$5:$B$1004,"&lt;"&amp;DATE($B$3,8+1,1))&gt;0,1,0))</f>
        <v/>
      </c>
      <c r="AV102">
        <f>IF($O102="",0,IF(COUNTIFS(업무일지!$F$5:$F$1004,$O102,업무일지!$B$5:$B$1004,"&gt;="&amp;DATE($B$3,9,1),업무일지!$B$5:$B$1004,"&lt;"&amp;DATE($B$3,9+1,1))&gt;0,1,0))</f>
        <v/>
      </c>
      <c r="AW102">
        <f>IF($O102="",0,IF(COUNTIFS(업무일지!$F$5:$F$1004,$O102,업무일지!$B$5:$B$1004,"&gt;="&amp;DATE($B$3,10,1),업무일지!$B$5:$B$1004,"&lt;"&amp;DATE($B$3,10+1,1))&gt;0,1,0))</f>
        <v/>
      </c>
      <c r="AX102">
        <f>IF($O102="",0,IF(COUNTIFS(업무일지!$F$5:$F$1004,$O102,업무일지!$B$5:$B$1004,"&gt;="&amp;DATE($B$3,11,1),업무일지!$B$5:$B$1004,"&lt;"&amp;DATE($B$3,11+1,1))&gt;0,1,0))</f>
        <v/>
      </c>
      <c r="AY102">
        <f>IF($O102="",0,IF(COUNTIFS(업무일지!$F$5:$F$1004,$O102,업무일지!$B$5:$B$1004,"&gt;="&amp;DATE($B$3,12,1),업무일지!$B$5:$B$1004,"&lt;"&amp;DATE($B$3,12+1,1))&gt;0,1,0))</f>
        <v/>
      </c>
      <c r="AZ102">
        <f>IF($O102="",0,IF(COUNTIFS(업무일지!$F$5:$F$1004,$O102,업무일지!$B$5:$B$1004,"&gt;="&amp;DATE($B$3,1,1),업무일지!$B$5:$B$1004,"&lt;"&amp;DATE($B$3+1,1,1),업무일지!$D$5:$D$1004,"출장")&gt;0,1,0))</f>
        <v/>
      </c>
      <c r="BA102">
        <f>IF($O102="",0,IF(COUNTIFS(업무일지!$F$5:$F$1004,$O102,업무일지!$B$5:$B$1004,"&gt;="&amp;DATE($B$3,1,1),업무일지!$B$5:$B$1004,"&lt;"&amp;DATE($B$3+1,1,1),업무일지!$D$5:$D$1004,"분석")&gt;0,1,0))</f>
        <v/>
      </c>
      <c r="BB102">
        <f>IF($O102="",0,IF(COUNTIFS(업무일지!$F$5:$F$1004,$O102,업무일지!$B$5:$B$1004,"&gt;="&amp;DATE($B$3,1,1),업무일지!$B$5:$B$1004,"&lt;"&amp;DATE($B$3+1,1,1))&gt;0,1,0))</f>
        <v/>
      </c>
    </row>
    <row r="103">
      <c r="O103">
        <f>IF(사건마스터!$A23="","",사건마스터!$A23)</f>
        <v/>
      </c>
      <c r="P103">
        <f>IF($O103="",0,IF(COUNTIFS(업무일지!$F$5:$F$1004,$O103,업무일지!$B$5:$B$1004,"&gt;="&amp;DATE($B$3,1,1),업무일지!$B$5:$B$1004,"&lt;"&amp;DATE($B$3,1+1,1),업무일지!$D$5:$D$1004,"출장")&gt;0,1,0))</f>
        <v/>
      </c>
      <c r="Q103">
        <f>IF($O103="",0,IF(COUNTIFS(업무일지!$F$5:$F$1004,$O103,업무일지!$B$5:$B$1004,"&gt;="&amp;DATE($B$3,2,1),업무일지!$B$5:$B$1004,"&lt;"&amp;DATE($B$3,2+1,1),업무일지!$D$5:$D$1004,"출장")&gt;0,1,0))</f>
        <v/>
      </c>
      <c r="R103">
        <f>IF($O103="",0,IF(COUNTIFS(업무일지!$F$5:$F$1004,$O103,업무일지!$B$5:$B$1004,"&gt;="&amp;DATE($B$3,3,1),업무일지!$B$5:$B$1004,"&lt;"&amp;DATE($B$3,3+1,1),업무일지!$D$5:$D$1004,"출장")&gt;0,1,0))</f>
        <v/>
      </c>
      <c r="S103">
        <f>IF($O103="",0,IF(COUNTIFS(업무일지!$F$5:$F$1004,$O103,업무일지!$B$5:$B$1004,"&gt;="&amp;DATE($B$3,4,1),업무일지!$B$5:$B$1004,"&lt;"&amp;DATE($B$3,4+1,1),업무일지!$D$5:$D$1004,"출장")&gt;0,1,0))</f>
        <v/>
      </c>
      <c r="T103">
        <f>IF($O103="",0,IF(COUNTIFS(업무일지!$F$5:$F$1004,$O103,업무일지!$B$5:$B$1004,"&gt;="&amp;DATE($B$3,5,1),업무일지!$B$5:$B$1004,"&lt;"&amp;DATE($B$3,5+1,1),업무일지!$D$5:$D$1004,"출장")&gt;0,1,0))</f>
        <v/>
      </c>
      <c r="U103">
        <f>IF($O103="",0,IF(COUNTIFS(업무일지!$F$5:$F$1004,$O103,업무일지!$B$5:$B$1004,"&gt;="&amp;DATE($B$3,6,1),업무일지!$B$5:$B$1004,"&lt;"&amp;DATE($B$3,6+1,1),업무일지!$D$5:$D$1004,"출장")&gt;0,1,0))</f>
        <v/>
      </c>
      <c r="V103">
        <f>IF($O103="",0,IF(COUNTIFS(업무일지!$F$5:$F$1004,$O103,업무일지!$B$5:$B$1004,"&gt;="&amp;DATE($B$3,7,1),업무일지!$B$5:$B$1004,"&lt;"&amp;DATE($B$3,7+1,1),업무일지!$D$5:$D$1004,"출장")&gt;0,1,0))</f>
        <v/>
      </c>
      <c r="W103">
        <f>IF($O103="",0,IF(COUNTIFS(업무일지!$F$5:$F$1004,$O103,업무일지!$B$5:$B$1004,"&gt;="&amp;DATE($B$3,8,1),업무일지!$B$5:$B$1004,"&lt;"&amp;DATE($B$3,8+1,1),업무일지!$D$5:$D$1004,"출장")&gt;0,1,0))</f>
        <v/>
      </c>
      <c r="X103">
        <f>IF($O103="",0,IF(COUNTIFS(업무일지!$F$5:$F$1004,$O103,업무일지!$B$5:$B$1004,"&gt;="&amp;DATE($B$3,9,1),업무일지!$B$5:$B$1004,"&lt;"&amp;DATE($B$3,9+1,1),업무일지!$D$5:$D$1004,"출장")&gt;0,1,0))</f>
        <v/>
      </c>
      <c r="Y103">
        <f>IF($O103="",0,IF(COUNTIFS(업무일지!$F$5:$F$1004,$O103,업무일지!$B$5:$B$1004,"&gt;="&amp;DATE($B$3,10,1),업무일지!$B$5:$B$1004,"&lt;"&amp;DATE($B$3,10+1,1),업무일지!$D$5:$D$1004,"출장")&gt;0,1,0))</f>
        <v/>
      </c>
      <c r="Z103">
        <f>IF($O103="",0,IF(COUNTIFS(업무일지!$F$5:$F$1004,$O103,업무일지!$B$5:$B$1004,"&gt;="&amp;DATE($B$3,11,1),업무일지!$B$5:$B$1004,"&lt;"&amp;DATE($B$3,11+1,1),업무일지!$D$5:$D$1004,"출장")&gt;0,1,0))</f>
        <v/>
      </c>
      <c r="AA103">
        <f>IF($O103="",0,IF(COUNTIFS(업무일지!$F$5:$F$1004,$O103,업무일지!$B$5:$B$1004,"&gt;="&amp;DATE($B$3,12,1),업무일지!$B$5:$B$1004,"&lt;"&amp;DATE($B$3,12+1,1),업무일지!$D$5:$D$1004,"출장")&gt;0,1,0))</f>
        <v/>
      </c>
      <c r="AB103">
        <f>IF($O103="",0,IF(COUNTIFS(업무일지!$F$5:$F$1004,$O103,업무일지!$B$5:$B$1004,"&gt;="&amp;DATE($B$3,1,1),업무일지!$B$5:$B$1004,"&lt;"&amp;DATE($B$3,1+1,1),업무일지!$D$5:$D$1004,"분석")&gt;0,1,0))</f>
        <v/>
      </c>
      <c r="AC103">
        <f>IF($O103="",0,IF(COUNTIFS(업무일지!$F$5:$F$1004,$O103,업무일지!$B$5:$B$1004,"&gt;="&amp;DATE($B$3,2,1),업무일지!$B$5:$B$1004,"&lt;"&amp;DATE($B$3,2+1,1),업무일지!$D$5:$D$1004,"분석")&gt;0,1,0))</f>
        <v/>
      </c>
      <c r="AD103">
        <f>IF($O103="",0,IF(COUNTIFS(업무일지!$F$5:$F$1004,$O103,업무일지!$B$5:$B$1004,"&gt;="&amp;DATE($B$3,3,1),업무일지!$B$5:$B$1004,"&lt;"&amp;DATE($B$3,3+1,1),업무일지!$D$5:$D$1004,"분석")&gt;0,1,0))</f>
        <v/>
      </c>
      <c r="AE103">
        <f>IF($O103="",0,IF(COUNTIFS(업무일지!$F$5:$F$1004,$O103,업무일지!$B$5:$B$1004,"&gt;="&amp;DATE($B$3,4,1),업무일지!$B$5:$B$1004,"&lt;"&amp;DATE($B$3,4+1,1),업무일지!$D$5:$D$1004,"분석")&gt;0,1,0))</f>
        <v/>
      </c>
      <c r="AF103">
        <f>IF($O103="",0,IF(COUNTIFS(업무일지!$F$5:$F$1004,$O103,업무일지!$B$5:$B$1004,"&gt;="&amp;DATE($B$3,5,1),업무일지!$B$5:$B$1004,"&lt;"&amp;DATE($B$3,5+1,1),업무일지!$D$5:$D$1004,"분석")&gt;0,1,0))</f>
        <v/>
      </c>
      <c r="AG103">
        <f>IF($O103="",0,IF(COUNTIFS(업무일지!$F$5:$F$1004,$O103,업무일지!$B$5:$B$1004,"&gt;="&amp;DATE($B$3,6,1),업무일지!$B$5:$B$1004,"&lt;"&amp;DATE($B$3,6+1,1),업무일지!$D$5:$D$1004,"분석")&gt;0,1,0))</f>
        <v/>
      </c>
      <c r="AH103">
        <f>IF($O103="",0,IF(COUNTIFS(업무일지!$F$5:$F$1004,$O103,업무일지!$B$5:$B$1004,"&gt;="&amp;DATE($B$3,7,1),업무일지!$B$5:$B$1004,"&lt;"&amp;DATE($B$3,7+1,1),업무일지!$D$5:$D$1004,"분석")&gt;0,1,0))</f>
        <v/>
      </c>
      <c r="AI103">
        <f>IF($O103="",0,IF(COUNTIFS(업무일지!$F$5:$F$1004,$O103,업무일지!$B$5:$B$1004,"&gt;="&amp;DATE($B$3,8,1),업무일지!$B$5:$B$1004,"&lt;"&amp;DATE($B$3,8+1,1),업무일지!$D$5:$D$1004,"분석")&gt;0,1,0))</f>
        <v/>
      </c>
      <c r="AJ103">
        <f>IF($O103="",0,IF(COUNTIFS(업무일지!$F$5:$F$1004,$O103,업무일지!$B$5:$B$1004,"&gt;="&amp;DATE($B$3,9,1),업무일지!$B$5:$B$1004,"&lt;"&amp;DATE($B$3,9+1,1),업무일지!$D$5:$D$1004,"분석")&gt;0,1,0))</f>
        <v/>
      </c>
      <c r="AK103">
        <f>IF($O103="",0,IF(COUNTIFS(업무일지!$F$5:$F$1004,$O103,업무일지!$B$5:$B$1004,"&gt;="&amp;DATE($B$3,10,1),업무일지!$B$5:$B$1004,"&lt;"&amp;DATE($B$3,10+1,1),업무일지!$D$5:$D$1004,"분석")&gt;0,1,0))</f>
        <v/>
      </c>
      <c r="AL103">
        <f>IF($O103="",0,IF(COUNTIFS(업무일지!$F$5:$F$1004,$O103,업무일지!$B$5:$B$1004,"&gt;="&amp;DATE($B$3,11,1),업무일지!$B$5:$B$1004,"&lt;"&amp;DATE($B$3,11+1,1),업무일지!$D$5:$D$1004,"분석")&gt;0,1,0))</f>
        <v/>
      </c>
      <c r="AM103">
        <f>IF($O103="",0,IF(COUNTIFS(업무일지!$F$5:$F$1004,$O103,업무일지!$B$5:$B$1004,"&gt;="&amp;DATE($B$3,12,1),업무일지!$B$5:$B$1004,"&lt;"&amp;DATE($B$3,12+1,1),업무일지!$D$5:$D$1004,"분석")&gt;0,1,0))</f>
        <v/>
      </c>
      <c r="AN103">
        <f>IF($O103="",0,IF(COUNTIFS(업무일지!$F$5:$F$1004,$O103,업무일지!$B$5:$B$1004,"&gt;="&amp;DATE($B$3,1,1),업무일지!$B$5:$B$1004,"&lt;"&amp;DATE($B$3,1+1,1))&gt;0,1,0))</f>
        <v/>
      </c>
      <c r="AO103">
        <f>IF($O103="",0,IF(COUNTIFS(업무일지!$F$5:$F$1004,$O103,업무일지!$B$5:$B$1004,"&gt;="&amp;DATE($B$3,2,1),업무일지!$B$5:$B$1004,"&lt;"&amp;DATE($B$3,2+1,1))&gt;0,1,0))</f>
        <v/>
      </c>
      <c r="AP103">
        <f>IF($O103="",0,IF(COUNTIFS(업무일지!$F$5:$F$1004,$O103,업무일지!$B$5:$B$1004,"&gt;="&amp;DATE($B$3,3,1),업무일지!$B$5:$B$1004,"&lt;"&amp;DATE($B$3,3+1,1))&gt;0,1,0))</f>
        <v/>
      </c>
      <c r="AQ103">
        <f>IF($O103="",0,IF(COUNTIFS(업무일지!$F$5:$F$1004,$O103,업무일지!$B$5:$B$1004,"&gt;="&amp;DATE($B$3,4,1),업무일지!$B$5:$B$1004,"&lt;"&amp;DATE($B$3,4+1,1))&gt;0,1,0))</f>
        <v/>
      </c>
      <c r="AR103">
        <f>IF($O103="",0,IF(COUNTIFS(업무일지!$F$5:$F$1004,$O103,업무일지!$B$5:$B$1004,"&gt;="&amp;DATE($B$3,5,1),업무일지!$B$5:$B$1004,"&lt;"&amp;DATE($B$3,5+1,1))&gt;0,1,0))</f>
        <v/>
      </c>
      <c r="AS103">
        <f>IF($O103="",0,IF(COUNTIFS(업무일지!$F$5:$F$1004,$O103,업무일지!$B$5:$B$1004,"&gt;="&amp;DATE($B$3,6,1),업무일지!$B$5:$B$1004,"&lt;"&amp;DATE($B$3,6+1,1))&gt;0,1,0))</f>
        <v/>
      </c>
      <c r="AT103">
        <f>IF($O103="",0,IF(COUNTIFS(업무일지!$F$5:$F$1004,$O103,업무일지!$B$5:$B$1004,"&gt;="&amp;DATE($B$3,7,1),업무일지!$B$5:$B$1004,"&lt;"&amp;DATE($B$3,7+1,1))&gt;0,1,0))</f>
        <v/>
      </c>
      <c r="AU103">
        <f>IF($O103="",0,IF(COUNTIFS(업무일지!$F$5:$F$1004,$O103,업무일지!$B$5:$B$1004,"&gt;="&amp;DATE($B$3,8,1),업무일지!$B$5:$B$1004,"&lt;"&amp;DATE($B$3,8+1,1))&gt;0,1,0))</f>
        <v/>
      </c>
      <c r="AV103">
        <f>IF($O103="",0,IF(COUNTIFS(업무일지!$F$5:$F$1004,$O103,업무일지!$B$5:$B$1004,"&gt;="&amp;DATE($B$3,9,1),업무일지!$B$5:$B$1004,"&lt;"&amp;DATE($B$3,9+1,1))&gt;0,1,0))</f>
        <v/>
      </c>
      <c r="AW103">
        <f>IF($O103="",0,IF(COUNTIFS(업무일지!$F$5:$F$1004,$O103,업무일지!$B$5:$B$1004,"&gt;="&amp;DATE($B$3,10,1),업무일지!$B$5:$B$1004,"&lt;"&amp;DATE($B$3,10+1,1))&gt;0,1,0))</f>
        <v/>
      </c>
      <c r="AX103">
        <f>IF($O103="",0,IF(COUNTIFS(업무일지!$F$5:$F$1004,$O103,업무일지!$B$5:$B$1004,"&gt;="&amp;DATE($B$3,11,1),업무일지!$B$5:$B$1004,"&lt;"&amp;DATE($B$3,11+1,1))&gt;0,1,0))</f>
        <v/>
      </c>
      <c r="AY103">
        <f>IF($O103="",0,IF(COUNTIFS(업무일지!$F$5:$F$1004,$O103,업무일지!$B$5:$B$1004,"&gt;="&amp;DATE($B$3,12,1),업무일지!$B$5:$B$1004,"&lt;"&amp;DATE($B$3,12+1,1))&gt;0,1,0))</f>
        <v/>
      </c>
      <c r="AZ103">
        <f>IF($O103="",0,IF(COUNTIFS(업무일지!$F$5:$F$1004,$O103,업무일지!$B$5:$B$1004,"&gt;="&amp;DATE($B$3,1,1),업무일지!$B$5:$B$1004,"&lt;"&amp;DATE($B$3+1,1,1),업무일지!$D$5:$D$1004,"출장")&gt;0,1,0))</f>
        <v/>
      </c>
      <c r="BA103">
        <f>IF($O103="",0,IF(COUNTIFS(업무일지!$F$5:$F$1004,$O103,업무일지!$B$5:$B$1004,"&gt;="&amp;DATE($B$3,1,1),업무일지!$B$5:$B$1004,"&lt;"&amp;DATE($B$3+1,1,1),업무일지!$D$5:$D$1004,"분석")&gt;0,1,0))</f>
        <v/>
      </c>
      <c r="BB103">
        <f>IF($O103="",0,IF(COUNTIFS(업무일지!$F$5:$F$1004,$O103,업무일지!$B$5:$B$1004,"&gt;="&amp;DATE($B$3,1,1),업무일지!$B$5:$B$1004,"&lt;"&amp;DATE($B$3+1,1,1))&gt;0,1,0))</f>
        <v/>
      </c>
    </row>
    <row r="104">
      <c r="O104">
        <f>IF(사건마스터!$A24="","",사건마스터!$A24)</f>
        <v/>
      </c>
      <c r="P104">
        <f>IF($O104="",0,IF(COUNTIFS(업무일지!$F$5:$F$1004,$O104,업무일지!$B$5:$B$1004,"&gt;="&amp;DATE($B$3,1,1),업무일지!$B$5:$B$1004,"&lt;"&amp;DATE($B$3,1+1,1),업무일지!$D$5:$D$1004,"출장")&gt;0,1,0))</f>
        <v/>
      </c>
      <c r="Q104">
        <f>IF($O104="",0,IF(COUNTIFS(업무일지!$F$5:$F$1004,$O104,업무일지!$B$5:$B$1004,"&gt;="&amp;DATE($B$3,2,1),업무일지!$B$5:$B$1004,"&lt;"&amp;DATE($B$3,2+1,1),업무일지!$D$5:$D$1004,"출장")&gt;0,1,0))</f>
        <v/>
      </c>
      <c r="R104">
        <f>IF($O104="",0,IF(COUNTIFS(업무일지!$F$5:$F$1004,$O104,업무일지!$B$5:$B$1004,"&gt;="&amp;DATE($B$3,3,1),업무일지!$B$5:$B$1004,"&lt;"&amp;DATE($B$3,3+1,1),업무일지!$D$5:$D$1004,"출장")&gt;0,1,0))</f>
        <v/>
      </c>
      <c r="S104">
        <f>IF($O104="",0,IF(COUNTIFS(업무일지!$F$5:$F$1004,$O104,업무일지!$B$5:$B$1004,"&gt;="&amp;DATE($B$3,4,1),업무일지!$B$5:$B$1004,"&lt;"&amp;DATE($B$3,4+1,1),업무일지!$D$5:$D$1004,"출장")&gt;0,1,0))</f>
        <v/>
      </c>
      <c r="T104">
        <f>IF($O104="",0,IF(COUNTIFS(업무일지!$F$5:$F$1004,$O104,업무일지!$B$5:$B$1004,"&gt;="&amp;DATE($B$3,5,1),업무일지!$B$5:$B$1004,"&lt;"&amp;DATE($B$3,5+1,1),업무일지!$D$5:$D$1004,"출장")&gt;0,1,0))</f>
        <v/>
      </c>
      <c r="U104">
        <f>IF($O104="",0,IF(COUNTIFS(업무일지!$F$5:$F$1004,$O104,업무일지!$B$5:$B$1004,"&gt;="&amp;DATE($B$3,6,1),업무일지!$B$5:$B$1004,"&lt;"&amp;DATE($B$3,6+1,1),업무일지!$D$5:$D$1004,"출장")&gt;0,1,0))</f>
        <v/>
      </c>
      <c r="V104">
        <f>IF($O104="",0,IF(COUNTIFS(업무일지!$F$5:$F$1004,$O104,업무일지!$B$5:$B$1004,"&gt;="&amp;DATE($B$3,7,1),업무일지!$B$5:$B$1004,"&lt;"&amp;DATE($B$3,7+1,1),업무일지!$D$5:$D$1004,"출장")&gt;0,1,0))</f>
        <v/>
      </c>
      <c r="W104">
        <f>IF($O104="",0,IF(COUNTIFS(업무일지!$F$5:$F$1004,$O104,업무일지!$B$5:$B$1004,"&gt;="&amp;DATE($B$3,8,1),업무일지!$B$5:$B$1004,"&lt;"&amp;DATE($B$3,8+1,1),업무일지!$D$5:$D$1004,"출장")&gt;0,1,0))</f>
        <v/>
      </c>
      <c r="X104">
        <f>IF($O104="",0,IF(COUNTIFS(업무일지!$F$5:$F$1004,$O104,업무일지!$B$5:$B$1004,"&gt;="&amp;DATE($B$3,9,1),업무일지!$B$5:$B$1004,"&lt;"&amp;DATE($B$3,9+1,1),업무일지!$D$5:$D$1004,"출장")&gt;0,1,0))</f>
        <v/>
      </c>
      <c r="Y104">
        <f>IF($O104="",0,IF(COUNTIFS(업무일지!$F$5:$F$1004,$O104,업무일지!$B$5:$B$1004,"&gt;="&amp;DATE($B$3,10,1),업무일지!$B$5:$B$1004,"&lt;"&amp;DATE($B$3,10+1,1),업무일지!$D$5:$D$1004,"출장")&gt;0,1,0))</f>
        <v/>
      </c>
      <c r="Z104">
        <f>IF($O104="",0,IF(COUNTIFS(업무일지!$F$5:$F$1004,$O104,업무일지!$B$5:$B$1004,"&gt;="&amp;DATE($B$3,11,1),업무일지!$B$5:$B$1004,"&lt;"&amp;DATE($B$3,11+1,1),업무일지!$D$5:$D$1004,"출장")&gt;0,1,0))</f>
        <v/>
      </c>
      <c r="AA104">
        <f>IF($O104="",0,IF(COUNTIFS(업무일지!$F$5:$F$1004,$O104,업무일지!$B$5:$B$1004,"&gt;="&amp;DATE($B$3,12,1),업무일지!$B$5:$B$1004,"&lt;"&amp;DATE($B$3,12+1,1),업무일지!$D$5:$D$1004,"출장")&gt;0,1,0))</f>
        <v/>
      </c>
      <c r="AB104">
        <f>IF($O104="",0,IF(COUNTIFS(업무일지!$F$5:$F$1004,$O104,업무일지!$B$5:$B$1004,"&gt;="&amp;DATE($B$3,1,1),업무일지!$B$5:$B$1004,"&lt;"&amp;DATE($B$3,1+1,1),업무일지!$D$5:$D$1004,"분석")&gt;0,1,0))</f>
        <v/>
      </c>
      <c r="AC104">
        <f>IF($O104="",0,IF(COUNTIFS(업무일지!$F$5:$F$1004,$O104,업무일지!$B$5:$B$1004,"&gt;="&amp;DATE($B$3,2,1),업무일지!$B$5:$B$1004,"&lt;"&amp;DATE($B$3,2+1,1),업무일지!$D$5:$D$1004,"분석")&gt;0,1,0))</f>
        <v/>
      </c>
      <c r="AD104">
        <f>IF($O104="",0,IF(COUNTIFS(업무일지!$F$5:$F$1004,$O104,업무일지!$B$5:$B$1004,"&gt;="&amp;DATE($B$3,3,1),업무일지!$B$5:$B$1004,"&lt;"&amp;DATE($B$3,3+1,1),업무일지!$D$5:$D$1004,"분석")&gt;0,1,0))</f>
        <v/>
      </c>
      <c r="AE104">
        <f>IF($O104="",0,IF(COUNTIFS(업무일지!$F$5:$F$1004,$O104,업무일지!$B$5:$B$1004,"&gt;="&amp;DATE($B$3,4,1),업무일지!$B$5:$B$1004,"&lt;"&amp;DATE($B$3,4+1,1),업무일지!$D$5:$D$1004,"분석")&gt;0,1,0))</f>
        <v/>
      </c>
      <c r="AF104">
        <f>IF($O104="",0,IF(COUNTIFS(업무일지!$F$5:$F$1004,$O104,업무일지!$B$5:$B$1004,"&gt;="&amp;DATE($B$3,5,1),업무일지!$B$5:$B$1004,"&lt;"&amp;DATE($B$3,5+1,1),업무일지!$D$5:$D$1004,"분석")&gt;0,1,0))</f>
        <v/>
      </c>
      <c r="AG104">
        <f>IF($O104="",0,IF(COUNTIFS(업무일지!$F$5:$F$1004,$O104,업무일지!$B$5:$B$1004,"&gt;="&amp;DATE($B$3,6,1),업무일지!$B$5:$B$1004,"&lt;"&amp;DATE($B$3,6+1,1),업무일지!$D$5:$D$1004,"분석")&gt;0,1,0))</f>
        <v/>
      </c>
      <c r="AH104">
        <f>IF($O104="",0,IF(COUNTIFS(업무일지!$F$5:$F$1004,$O104,업무일지!$B$5:$B$1004,"&gt;="&amp;DATE($B$3,7,1),업무일지!$B$5:$B$1004,"&lt;"&amp;DATE($B$3,7+1,1),업무일지!$D$5:$D$1004,"분석")&gt;0,1,0))</f>
        <v/>
      </c>
      <c r="AI104">
        <f>IF($O104="",0,IF(COUNTIFS(업무일지!$F$5:$F$1004,$O104,업무일지!$B$5:$B$1004,"&gt;="&amp;DATE($B$3,8,1),업무일지!$B$5:$B$1004,"&lt;"&amp;DATE($B$3,8+1,1),업무일지!$D$5:$D$1004,"분석")&gt;0,1,0))</f>
        <v/>
      </c>
      <c r="AJ104">
        <f>IF($O104="",0,IF(COUNTIFS(업무일지!$F$5:$F$1004,$O104,업무일지!$B$5:$B$1004,"&gt;="&amp;DATE($B$3,9,1),업무일지!$B$5:$B$1004,"&lt;"&amp;DATE($B$3,9+1,1),업무일지!$D$5:$D$1004,"분석")&gt;0,1,0))</f>
        <v/>
      </c>
      <c r="AK104">
        <f>IF($O104="",0,IF(COUNTIFS(업무일지!$F$5:$F$1004,$O104,업무일지!$B$5:$B$1004,"&gt;="&amp;DATE($B$3,10,1),업무일지!$B$5:$B$1004,"&lt;"&amp;DATE($B$3,10+1,1),업무일지!$D$5:$D$1004,"분석")&gt;0,1,0))</f>
        <v/>
      </c>
      <c r="AL104">
        <f>IF($O104="",0,IF(COUNTIFS(업무일지!$F$5:$F$1004,$O104,업무일지!$B$5:$B$1004,"&gt;="&amp;DATE($B$3,11,1),업무일지!$B$5:$B$1004,"&lt;"&amp;DATE($B$3,11+1,1),업무일지!$D$5:$D$1004,"분석")&gt;0,1,0))</f>
        <v/>
      </c>
      <c r="AM104">
        <f>IF($O104="",0,IF(COUNTIFS(업무일지!$F$5:$F$1004,$O104,업무일지!$B$5:$B$1004,"&gt;="&amp;DATE($B$3,12,1),업무일지!$B$5:$B$1004,"&lt;"&amp;DATE($B$3,12+1,1),업무일지!$D$5:$D$1004,"분석")&gt;0,1,0))</f>
        <v/>
      </c>
      <c r="AN104">
        <f>IF($O104="",0,IF(COUNTIFS(업무일지!$F$5:$F$1004,$O104,업무일지!$B$5:$B$1004,"&gt;="&amp;DATE($B$3,1,1),업무일지!$B$5:$B$1004,"&lt;"&amp;DATE($B$3,1+1,1))&gt;0,1,0))</f>
        <v/>
      </c>
      <c r="AO104">
        <f>IF($O104="",0,IF(COUNTIFS(업무일지!$F$5:$F$1004,$O104,업무일지!$B$5:$B$1004,"&gt;="&amp;DATE($B$3,2,1),업무일지!$B$5:$B$1004,"&lt;"&amp;DATE($B$3,2+1,1))&gt;0,1,0))</f>
        <v/>
      </c>
      <c r="AP104">
        <f>IF($O104="",0,IF(COUNTIFS(업무일지!$F$5:$F$1004,$O104,업무일지!$B$5:$B$1004,"&gt;="&amp;DATE($B$3,3,1),업무일지!$B$5:$B$1004,"&lt;"&amp;DATE($B$3,3+1,1))&gt;0,1,0))</f>
        <v/>
      </c>
      <c r="AQ104">
        <f>IF($O104="",0,IF(COUNTIFS(업무일지!$F$5:$F$1004,$O104,업무일지!$B$5:$B$1004,"&gt;="&amp;DATE($B$3,4,1),업무일지!$B$5:$B$1004,"&lt;"&amp;DATE($B$3,4+1,1))&gt;0,1,0))</f>
        <v/>
      </c>
      <c r="AR104">
        <f>IF($O104="",0,IF(COUNTIFS(업무일지!$F$5:$F$1004,$O104,업무일지!$B$5:$B$1004,"&gt;="&amp;DATE($B$3,5,1),업무일지!$B$5:$B$1004,"&lt;"&amp;DATE($B$3,5+1,1))&gt;0,1,0))</f>
        <v/>
      </c>
      <c r="AS104">
        <f>IF($O104="",0,IF(COUNTIFS(업무일지!$F$5:$F$1004,$O104,업무일지!$B$5:$B$1004,"&gt;="&amp;DATE($B$3,6,1),업무일지!$B$5:$B$1004,"&lt;"&amp;DATE($B$3,6+1,1))&gt;0,1,0))</f>
        <v/>
      </c>
      <c r="AT104">
        <f>IF($O104="",0,IF(COUNTIFS(업무일지!$F$5:$F$1004,$O104,업무일지!$B$5:$B$1004,"&gt;="&amp;DATE($B$3,7,1),업무일지!$B$5:$B$1004,"&lt;"&amp;DATE($B$3,7+1,1))&gt;0,1,0))</f>
        <v/>
      </c>
      <c r="AU104">
        <f>IF($O104="",0,IF(COUNTIFS(업무일지!$F$5:$F$1004,$O104,업무일지!$B$5:$B$1004,"&gt;="&amp;DATE($B$3,8,1),업무일지!$B$5:$B$1004,"&lt;"&amp;DATE($B$3,8+1,1))&gt;0,1,0))</f>
        <v/>
      </c>
      <c r="AV104">
        <f>IF($O104="",0,IF(COUNTIFS(업무일지!$F$5:$F$1004,$O104,업무일지!$B$5:$B$1004,"&gt;="&amp;DATE($B$3,9,1),업무일지!$B$5:$B$1004,"&lt;"&amp;DATE($B$3,9+1,1))&gt;0,1,0))</f>
        <v/>
      </c>
      <c r="AW104">
        <f>IF($O104="",0,IF(COUNTIFS(업무일지!$F$5:$F$1004,$O104,업무일지!$B$5:$B$1004,"&gt;="&amp;DATE($B$3,10,1),업무일지!$B$5:$B$1004,"&lt;"&amp;DATE($B$3,10+1,1))&gt;0,1,0))</f>
        <v/>
      </c>
      <c r="AX104">
        <f>IF($O104="",0,IF(COUNTIFS(업무일지!$F$5:$F$1004,$O104,업무일지!$B$5:$B$1004,"&gt;="&amp;DATE($B$3,11,1),업무일지!$B$5:$B$1004,"&lt;"&amp;DATE($B$3,11+1,1))&gt;0,1,0))</f>
        <v/>
      </c>
      <c r="AY104">
        <f>IF($O104="",0,IF(COUNTIFS(업무일지!$F$5:$F$1004,$O104,업무일지!$B$5:$B$1004,"&gt;="&amp;DATE($B$3,12,1),업무일지!$B$5:$B$1004,"&lt;"&amp;DATE($B$3,12+1,1))&gt;0,1,0))</f>
        <v/>
      </c>
      <c r="AZ104">
        <f>IF($O104="",0,IF(COUNTIFS(업무일지!$F$5:$F$1004,$O104,업무일지!$B$5:$B$1004,"&gt;="&amp;DATE($B$3,1,1),업무일지!$B$5:$B$1004,"&lt;"&amp;DATE($B$3+1,1,1),업무일지!$D$5:$D$1004,"출장")&gt;0,1,0))</f>
        <v/>
      </c>
      <c r="BA104">
        <f>IF($O104="",0,IF(COUNTIFS(업무일지!$F$5:$F$1004,$O104,업무일지!$B$5:$B$1004,"&gt;="&amp;DATE($B$3,1,1),업무일지!$B$5:$B$1004,"&lt;"&amp;DATE($B$3+1,1,1),업무일지!$D$5:$D$1004,"분석")&gt;0,1,0))</f>
        <v/>
      </c>
      <c r="BB104">
        <f>IF($O104="",0,IF(COUNTIFS(업무일지!$F$5:$F$1004,$O104,업무일지!$B$5:$B$1004,"&gt;="&amp;DATE($B$3,1,1),업무일지!$B$5:$B$1004,"&lt;"&amp;DATE($B$3+1,1,1))&gt;0,1,0))</f>
        <v/>
      </c>
    </row>
    <row r="105">
      <c r="O105">
        <f>IF(사건마스터!$A25="","",사건마스터!$A25)</f>
        <v/>
      </c>
      <c r="P105">
        <f>IF($O105="",0,IF(COUNTIFS(업무일지!$F$5:$F$1004,$O105,업무일지!$B$5:$B$1004,"&gt;="&amp;DATE($B$3,1,1),업무일지!$B$5:$B$1004,"&lt;"&amp;DATE($B$3,1+1,1),업무일지!$D$5:$D$1004,"출장")&gt;0,1,0))</f>
        <v/>
      </c>
      <c r="Q105">
        <f>IF($O105="",0,IF(COUNTIFS(업무일지!$F$5:$F$1004,$O105,업무일지!$B$5:$B$1004,"&gt;="&amp;DATE($B$3,2,1),업무일지!$B$5:$B$1004,"&lt;"&amp;DATE($B$3,2+1,1),업무일지!$D$5:$D$1004,"출장")&gt;0,1,0))</f>
        <v/>
      </c>
      <c r="R105">
        <f>IF($O105="",0,IF(COUNTIFS(업무일지!$F$5:$F$1004,$O105,업무일지!$B$5:$B$1004,"&gt;="&amp;DATE($B$3,3,1),업무일지!$B$5:$B$1004,"&lt;"&amp;DATE($B$3,3+1,1),업무일지!$D$5:$D$1004,"출장")&gt;0,1,0))</f>
        <v/>
      </c>
      <c r="S105">
        <f>IF($O105="",0,IF(COUNTIFS(업무일지!$F$5:$F$1004,$O105,업무일지!$B$5:$B$1004,"&gt;="&amp;DATE($B$3,4,1),업무일지!$B$5:$B$1004,"&lt;"&amp;DATE($B$3,4+1,1),업무일지!$D$5:$D$1004,"출장")&gt;0,1,0))</f>
        <v/>
      </c>
      <c r="T105">
        <f>IF($O105="",0,IF(COUNTIFS(업무일지!$F$5:$F$1004,$O105,업무일지!$B$5:$B$1004,"&gt;="&amp;DATE($B$3,5,1),업무일지!$B$5:$B$1004,"&lt;"&amp;DATE($B$3,5+1,1),업무일지!$D$5:$D$1004,"출장")&gt;0,1,0))</f>
        <v/>
      </c>
      <c r="U105">
        <f>IF($O105="",0,IF(COUNTIFS(업무일지!$F$5:$F$1004,$O105,업무일지!$B$5:$B$1004,"&gt;="&amp;DATE($B$3,6,1),업무일지!$B$5:$B$1004,"&lt;"&amp;DATE($B$3,6+1,1),업무일지!$D$5:$D$1004,"출장")&gt;0,1,0))</f>
        <v/>
      </c>
      <c r="V105">
        <f>IF($O105="",0,IF(COUNTIFS(업무일지!$F$5:$F$1004,$O105,업무일지!$B$5:$B$1004,"&gt;="&amp;DATE($B$3,7,1),업무일지!$B$5:$B$1004,"&lt;"&amp;DATE($B$3,7+1,1),업무일지!$D$5:$D$1004,"출장")&gt;0,1,0))</f>
        <v/>
      </c>
      <c r="W105">
        <f>IF($O105="",0,IF(COUNTIFS(업무일지!$F$5:$F$1004,$O105,업무일지!$B$5:$B$1004,"&gt;="&amp;DATE($B$3,8,1),업무일지!$B$5:$B$1004,"&lt;"&amp;DATE($B$3,8+1,1),업무일지!$D$5:$D$1004,"출장")&gt;0,1,0))</f>
        <v/>
      </c>
      <c r="X105">
        <f>IF($O105="",0,IF(COUNTIFS(업무일지!$F$5:$F$1004,$O105,업무일지!$B$5:$B$1004,"&gt;="&amp;DATE($B$3,9,1),업무일지!$B$5:$B$1004,"&lt;"&amp;DATE($B$3,9+1,1),업무일지!$D$5:$D$1004,"출장")&gt;0,1,0))</f>
        <v/>
      </c>
      <c r="Y105">
        <f>IF($O105="",0,IF(COUNTIFS(업무일지!$F$5:$F$1004,$O105,업무일지!$B$5:$B$1004,"&gt;="&amp;DATE($B$3,10,1),업무일지!$B$5:$B$1004,"&lt;"&amp;DATE($B$3,10+1,1),업무일지!$D$5:$D$1004,"출장")&gt;0,1,0))</f>
        <v/>
      </c>
      <c r="Z105">
        <f>IF($O105="",0,IF(COUNTIFS(업무일지!$F$5:$F$1004,$O105,업무일지!$B$5:$B$1004,"&gt;="&amp;DATE($B$3,11,1),업무일지!$B$5:$B$1004,"&lt;"&amp;DATE($B$3,11+1,1),업무일지!$D$5:$D$1004,"출장")&gt;0,1,0))</f>
        <v/>
      </c>
      <c r="AA105">
        <f>IF($O105="",0,IF(COUNTIFS(업무일지!$F$5:$F$1004,$O105,업무일지!$B$5:$B$1004,"&gt;="&amp;DATE($B$3,12,1),업무일지!$B$5:$B$1004,"&lt;"&amp;DATE($B$3,12+1,1),업무일지!$D$5:$D$1004,"출장")&gt;0,1,0))</f>
        <v/>
      </c>
      <c r="AB105">
        <f>IF($O105="",0,IF(COUNTIFS(업무일지!$F$5:$F$1004,$O105,업무일지!$B$5:$B$1004,"&gt;="&amp;DATE($B$3,1,1),업무일지!$B$5:$B$1004,"&lt;"&amp;DATE($B$3,1+1,1),업무일지!$D$5:$D$1004,"분석")&gt;0,1,0))</f>
        <v/>
      </c>
      <c r="AC105">
        <f>IF($O105="",0,IF(COUNTIFS(업무일지!$F$5:$F$1004,$O105,업무일지!$B$5:$B$1004,"&gt;="&amp;DATE($B$3,2,1),업무일지!$B$5:$B$1004,"&lt;"&amp;DATE($B$3,2+1,1),업무일지!$D$5:$D$1004,"분석")&gt;0,1,0))</f>
        <v/>
      </c>
      <c r="AD105">
        <f>IF($O105="",0,IF(COUNTIFS(업무일지!$F$5:$F$1004,$O105,업무일지!$B$5:$B$1004,"&gt;="&amp;DATE($B$3,3,1),업무일지!$B$5:$B$1004,"&lt;"&amp;DATE($B$3,3+1,1),업무일지!$D$5:$D$1004,"분석")&gt;0,1,0))</f>
        <v/>
      </c>
      <c r="AE105">
        <f>IF($O105="",0,IF(COUNTIFS(업무일지!$F$5:$F$1004,$O105,업무일지!$B$5:$B$1004,"&gt;="&amp;DATE($B$3,4,1),업무일지!$B$5:$B$1004,"&lt;"&amp;DATE($B$3,4+1,1),업무일지!$D$5:$D$1004,"분석")&gt;0,1,0))</f>
        <v/>
      </c>
      <c r="AF105">
        <f>IF($O105="",0,IF(COUNTIFS(업무일지!$F$5:$F$1004,$O105,업무일지!$B$5:$B$1004,"&gt;="&amp;DATE($B$3,5,1),업무일지!$B$5:$B$1004,"&lt;"&amp;DATE($B$3,5+1,1),업무일지!$D$5:$D$1004,"분석")&gt;0,1,0))</f>
        <v/>
      </c>
      <c r="AG105">
        <f>IF($O105="",0,IF(COUNTIFS(업무일지!$F$5:$F$1004,$O105,업무일지!$B$5:$B$1004,"&gt;="&amp;DATE($B$3,6,1),업무일지!$B$5:$B$1004,"&lt;"&amp;DATE($B$3,6+1,1),업무일지!$D$5:$D$1004,"분석")&gt;0,1,0))</f>
        <v/>
      </c>
      <c r="AH105">
        <f>IF($O105="",0,IF(COUNTIFS(업무일지!$F$5:$F$1004,$O105,업무일지!$B$5:$B$1004,"&gt;="&amp;DATE($B$3,7,1),업무일지!$B$5:$B$1004,"&lt;"&amp;DATE($B$3,7+1,1),업무일지!$D$5:$D$1004,"분석")&gt;0,1,0))</f>
        <v/>
      </c>
      <c r="AI105">
        <f>IF($O105="",0,IF(COUNTIFS(업무일지!$F$5:$F$1004,$O105,업무일지!$B$5:$B$1004,"&gt;="&amp;DATE($B$3,8,1),업무일지!$B$5:$B$1004,"&lt;"&amp;DATE($B$3,8+1,1),업무일지!$D$5:$D$1004,"분석")&gt;0,1,0))</f>
        <v/>
      </c>
      <c r="AJ105">
        <f>IF($O105="",0,IF(COUNTIFS(업무일지!$F$5:$F$1004,$O105,업무일지!$B$5:$B$1004,"&gt;="&amp;DATE($B$3,9,1),업무일지!$B$5:$B$1004,"&lt;"&amp;DATE($B$3,9+1,1),업무일지!$D$5:$D$1004,"분석")&gt;0,1,0))</f>
        <v/>
      </c>
      <c r="AK105">
        <f>IF($O105="",0,IF(COUNTIFS(업무일지!$F$5:$F$1004,$O105,업무일지!$B$5:$B$1004,"&gt;="&amp;DATE($B$3,10,1),업무일지!$B$5:$B$1004,"&lt;"&amp;DATE($B$3,10+1,1),업무일지!$D$5:$D$1004,"분석")&gt;0,1,0))</f>
        <v/>
      </c>
      <c r="AL105">
        <f>IF($O105="",0,IF(COUNTIFS(업무일지!$F$5:$F$1004,$O105,업무일지!$B$5:$B$1004,"&gt;="&amp;DATE($B$3,11,1),업무일지!$B$5:$B$1004,"&lt;"&amp;DATE($B$3,11+1,1),업무일지!$D$5:$D$1004,"분석")&gt;0,1,0))</f>
        <v/>
      </c>
      <c r="AM105">
        <f>IF($O105="",0,IF(COUNTIFS(업무일지!$F$5:$F$1004,$O105,업무일지!$B$5:$B$1004,"&gt;="&amp;DATE($B$3,12,1),업무일지!$B$5:$B$1004,"&lt;"&amp;DATE($B$3,12+1,1),업무일지!$D$5:$D$1004,"분석")&gt;0,1,0))</f>
        <v/>
      </c>
      <c r="AN105">
        <f>IF($O105="",0,IF(COUNTIFS(업무일지!$F$5:$F$1004,$O105,업무일지!$B$5:$B$1004,"&gt;="&amp;DATE($B$3,1,1),업무일지!$B$5:$B$1004,"&lt;"&amp;DATE($B$3,1+1,1))&gt;0,1,0))</f>
        <v/>
      </c>
      <c r="AO105">
        <f>IF($O105="",0,IF(COUNTIFS(업무일지!$F$5:$F$1004,$O105,업무일지!$B$5:$B$1004,"&gt;="&amp;DATE($B$3,2,1),업무일지!$B$5:$B$1004,"&lt;"&amp;DATE($B$3,2+1,1))&gt;0,1,0))</f>
        <v/>
      </c>
      <c r="AP105">
        <f>IF($O105="",0,IF(COUNTIFS(업무일지!$F$5:$F$1004,$O105,업무일지!$B$5:$B$1004,"&gt;="&amp;DATE($B$3,3,1),업무일지!$B$5:$B$1004,"&lt;"&amp;DATE($B$3,3+1,1))&gt;0,1,0))</f>
        <v/>
      </c>
      <c r="AQ105">
        <f>IF($O105="",0,IF(COUNTIFS(업무일지!$F$5:$F$1004,$O105,업무일지!$B$5:$B$1004,"&gt;="&amp;DATE($B$3,4,1),업무일지!$B$5:$B$1004,"&lt;"&amp;DATE($B$3,4+1,1))&gt;0,1,0))</f>
        <v/>
      </c>
      <c r="AR105">
        <f>IF($O105="",0,IF(COUNTIFS(업무일지!$F$5:$F$1004,$O105,업무일지!$B$5:$B$1004,"&gt;="&amp;DATE($B$3,5,1),업무일지!$B$5:$B$1004,"&lt;"&amp;DATE($B$3,5+1,1))&gt;0,1,0))</f>
        <v/>
      </c>
      <c r="AS105">
        <f>IF($O105="",0,IF(COUNTIFS(업무일지!$F$5:$F$1004,$O105,업무일지!$B$5:$B$1004,"&gt;="&amp;DATE($B$3,6,1),업무일지!$B$5:$B$1004,"&lt;"&amp;DATE($B$3,6+1,1))&gt;0,1,0))</f>
        <v/>
      </c>
      <c r="AT105">
        <f>IF($O105="",0,IF(COUNTIFS(업무일지!$F$5:$F$1004,$O105,업무일지!$B$5:$B$1004,"&gt;="&amp;DATE($B$3,7,1),업무일지!$B$5:$B$1004,"&lt;"&amp;DATE($B$3,7+1,1))&gt;0,1,0))</f>
        <v/>
      </c>
      <c r="AU105">
        <f>IF($O105="",0,IF(COUNTIFS(업무일지!$F$5:$F$1004,$O105,업무일지!$B$5:$B$1004,"&gt;="&amp;DATE($B$3,8,1),업무일지!$B$5:$B$1004,"&lt;"&amp;DATE($B$3,8+1,1))&gt;0,1,0))</f>
        <v/>
      </c>
      <c r="AV105">
        <f>IF($O105="",0,IF(COUNTIFS(업무일지!$F$5:$F$1004,$O105,업무일지!$B$5:$B$1004,"&gt;="&amp;DATE($B$3,9,1),업무일지!$B$5:$B$1004,"&lt;"&amp;DATE($B$3,9+1,1))&gt;0,1,0))</f>
        <v/>
      </c>
      <c r="AW105">
        <f>IF($O105="",0,IF(COUNTIFS(업무일지!$F$5:$F$1004,$O105,업무일지!$B$5:$B$1004,"&gt;="&amp;DATE($B$3,10,1),업무일지!$B$5:$B$1004,"&lt;"&amp;DATE($B$3,10+1,1))&gt;0,1,0))</f>
        <v/>
      </c>
      <c r="AX105">
        <f>IF($O105="",0,IF(COUNTIFS(업무일지!$F$5:$F$1004,$O105,업무일지!$B$5:$B$1004,"&gt;="&amp;DATE($B$3,11,1),업무일지!$B$5:$B$1004,"&lt;"&amp;DATE($B$3,11+1,1))&gt;0,1,0))</f>
        <v/>
      </c>
      <c r="AY105">
        <f>IF($O105="",0,IF(COUNTIFS(업무일지!$F$5:$F$1004,$O105,업무일지!$B$5:$B$1004,"&gt;="&amp;DATE($B$3,12,1),업무일지!$B$5:$B$1004,"&lt;"&amp;DATE($B$3,12+1,1))&gt;0,1,0))</f>
        <v/>
      </c>
      <c r="AZ105">
        <f>IF($O105="",0,IF(COUNTIFS(업무일지!$F$5:$F$1004,$O105,업무일지!$B$5:$B$1004,"&gt;="&amp;DATE($B$3,1,1),업무일지!$B$5:$B$1004,"&lt;"&amp;DATE($B$3+1,1,1),업무일지!$D$5:$D$1004,"출장")&gt;0,1,0))</f>
        <v/>
      </c>
      <c r="BA105">
        <f>IF($O105="",0,IF(COUNTIFS(업무일지!$F$5:$F$1004,$O105,업무일지!$B$5:$B$1004,"&gt;="&amp;DATE($B$3,1,1),업무일지!$B$5:$B$1004,"&lt;"&amp;DATE($B$3+1,1,1),업무일지!$D$5:$D$1004,"분석")&gt;0,1,0))</f>
        <v/>
      </c>
      <c r="BB105">
        <f>IF($O105="",0,IF(COUNTIFS(업무일지!$F$5:$F$1004,$O105,업무일지!$B$5:$B$1004,"&gt;="&amp;DATE($B$3,1,1),업무일지!$B$5:$B$1004,"&lt;"&amp;DATE($B$3+1,1,1))&gt;0,1,0))</f>
        <v/>
      </c>
    </row>
    <row r="106">
      <c r="O106">
        <f>IF(사건마스터!$A26="","",사건마스터!$A26)</f>
        <v/>
      </c>
      <c r="P106">
        <f>IF($O106="",0,IF(COUNTIFS(업무일지!$F$5:$F$1004,$O106,업무일지!$B$5:$B$1004,"&gt;="&amp;DATE($B$3,1,1),업무일지!$B$5:$B$1004,"&lt;"&amp;DATE($B$3,1+1,1),업무일지!$D$5:$D$1004,"출장")&gt;0,1,0))</f>
        <v/>
      </c>
      <c r="Q106">
        <f>IF($O106="",0,IF(COUNTIFS(업무일지!$F$5:$F$1004,$O106,업무일지!$B$5:$B$1004,"&gt;="&amp;DATE($B$3,2,1),업무일지!$B$5:$B$1004,"&lt;"&amp;DATE($B$3,2+1,1),업무일지!$D$5:$D$1004,"출장")&gt;0,1,0))</f>
        <v/>
      </c>
      <c r="R106">
        <f>IF($O106="",0,IF(COUNTIFS(업무일지!$F$5:$F$1004,$O106,업무일지!$B$5:$B$1004,"&gt;="&amp;DATE($B$3,3,1),업무일지!$B$5:$B$1004,"&lt;"&amp;DATE($B$3,3+1,1),업무일지!$D$5:$D$1004,"출장")&gt;0,1,0))</f>
        <v/>
      </c>
      <c r="S106">
        <f>IF($O106="",0,IF(COUNTIFS(업무일지!$F$5:$F$1004,$O106,업무일지!$B$5:$B$1004,"&gt;="&amp;DATE($B$3,4,1),업무일지!$B$5:$B$1004,"&lt;"&amp;DATE($B$3,4+1,1),업무일지!$D$5:$D$1004,"출장")&gt;0,1,0))</f>
        <v/>
      </c>
      <c r="T106">
        <f>IF($O106="",0,IF(COUNTIFS(업무일지!$F$5:$F$1004,$O106,업무일지!$B$5:$B$1004,"&gt;="&amp;DATE($B$3,5,1),업무일지!$B$5:$B$1004,"&lt;"&amp;DATE($B$3,5+1,1),업무일지!$D$5:$D$1004,"출장")&gt;0,1,0))</f>
        <v/>
      </c>
      <c r="U106">
        <f>IF($O106="",0,IF(COUNTIFS(업무일지!$F$5:$F$1004,$O106,업무일지!$B$5:$B$1004,"&gt;="&amp;DATE($B$3,6,1),업무일지!$B$5:$B$1004,"&lt;"&amp;DATE($B$3,6+1,1),업무일지!$D$5:$D$1004,"출장")&gt;0,1,0))</f>
        <v/>
      </c>
      <c r="V106">
        <f>IF($O106="",0,IF(COUNTIFS(업무일지!$F$5:$F$1004,$O106,업무일지!$B$5:$B$1004,"&gt;="&amp;DATE($B$3,7,1),업무일지!$B$5:$B$1004,"&lt;"&amp;DATE($B$3,7+1,1),업무일지!$D$5:$D$1004,"출장")&gt;0,1,0))</f>
        <v/>
      </c>
      <c r="W106">
        <f>IF($O106="",0,IF(COUNTIFS(업무일지!$F$5:$F$1004,$O106,업무일지!$B$5:$B$1004,"&gt;="&amp;DATE($B$3,8,1),업무일지!$B$5:$B$1004,"&lt;"&amp;DATE($B$3,8+1,1),업무일지!$D$5:$D$1004,"출장")&gt;0,1,0))</f>
        <v/>
      </c>
      <c r="X106">
        <f>IF($O106="",0,IF(COUNTIFS(업무일지!$F$5:$F$1004,$O106,업무일지!$B$5:$B$1004,"&gt;="&amp;DATE($B$3,9,1),업무일지!$B$5:$B$1004,"&lt;"&amp;DATE($B$3,9+1,1),업무일지!$D$5:$D$1004,"출장")&gt;0,1,0))</f>
        <v/>
      </c>
      <c r="Y106">
        <f>IF($O106="",0,IF(COUNTIFS(업무일지!$F$5:$F$1004,$O106,업무일지!$B$5:$B$1004,"&gt;="&amp;DATE($B$3,10,1),업무일지!$B$5:$B$1004,"&lt;"&amp;DATE($B$3,10+1,1),업무일지!$D$5:$D$1004,"출장")&gt;0,1,0))</f>
        <v/>
      </c>
      <c r="Z106">
        <f>IF($O106="",0,IF(COUNTIFS(업무일지!$F$5:$F$1004,$O106,업무일지!$B$5:$B$1004,"&gt;="&amp;DATE($B$3,11,1),업무일지!$B$5:$B$1004,"&lt;"&amp;DATE($B$3,11+1,1),업무일지!$D$5:$D$1004,"출장")&gt;0,1,0))</f>
        <v/>
      </c>
      <c r="AA106">
        <f>IF($O106="",0,IF(COUNTIFS(업무일지!$F$5:$F$1004,$O106,업무일지!$B$5:$B$1004,"&gt;="&amp;DATE($B$3,12,1),업무일지!$B$5:$B$1004,"&lt;"&amp;DATE($B$3,12+1,1),업무일지!$D$5:$D$1004,"출장")&gt;0,1,0))</f>
        <v/>
      </c>
      <c r="AB106">
        <f>IF($O106="",0,IF(COUNTIFS(업무일지!$F$5:$F$1004,$O106,업무일지!$B$5:$B$1004,"&gt;="&amp;DATE($B$3,1,1),업무일지!$B$5:$B$1004,"&lt;"&amp;DATE($B$3,1+1,1),업무일지!$D$5:$D$1004,"분석")&gt;0,1,0))</f>
        <v/>
      </c>
      <c r="AC106">
        <f>IF($O106="",0,IF(COUNTIFS(업무일지!$F$5:$F$1004,$O106,업무일지!$B$5:$B$1004,"&gt;="&amp;DATE($B$3,2,1),업무일지!$B$5:$B$1004,"&lt;"&amp;DATE($B$3,2+1,1),업무일지!$D$5:$D$1004,"분석")&gt;0,1,0))</f>
        <v/>
      </c>
      <c r="AD106">
        <f>IF($O106="",0,IF(COUNTIFS(업무일지!$F$5:$F$1004,$O106,업무일지!$B$5:$B$1004,"&gt;="&amp;DATE($B$3,3,1),업무일지!$B$5:$B$1004,"&lt;"&amp;DATE($B$3,3+1,1),업무일지!$D$5:$D$1004,"분석")&gt;0,1,0))</f>
        <v/>
      </c>
      <c r="AE106">
        <f>IF($O106="",0,IF(COUNTIFS(업무일지!$F$5:$F$1004,$O106,업무일지!$B$5:$B$1004,"&gt;="&amp;DATE($B$3,4,1),업무일지!$B$5:$B$1004,"&lt;"&amp;DATE($B$3,4+1,1),업무일지!$D$5:$D$1004,"분석")&gt;0,1,0))</f>
        <v/>
      </c>
      <c r="AF106">
        <f>IF($O106="",0,IF(COUNTIFS(업무일지!$F$5:$F$1004,$O106,업무일지!$B$5:$B$1004,"&gt;="&amp;DATE($B$3,5,1),업무일지!$B$5:$B$1004,"&lt;"&amp;DATE($B$3,5+1,1),업무일지!$D$5:$D$1004,"분석")&gt;0,1,0))</f>
        <v/>
      </c>
      <c r="AG106">
        <f>IF($O106="",0,IF(COUNTIFS(업무일지!$F$5:$F$1004,$O106,업무일지!$B$5:$B$1004,"&gt;="&amp;DATE($B$3,6,1),업무일지!$B$5:$B$1004,"&lt;"&amp;DATE($B$3,6+1,1),업무일지!$D$5:$D$1004,"분석")&gt;0,1,0))</f>
        <v/>
      </c>
      <c r="AH106">
        <f>IF($O106="",0,IF(COUNTIFS(업무일지!$F$5:$F$1004,$O106,업무일지!$B$5:$B$1004,"&gt;="&amp;DATE($B$3,7,1),업무일지!$B$5:$B$1004,"&lt;"&amp;DATE($B$3,7+1,1),업무일지!$D$5:$D$1004,"분석")&gt;0,1,0))</f>
        <v/>
      </c>
      <c r="AI106">
        <f>IF($O106="",0,IF(COUNTIFS(업무일지!$F$5:$F$1004,$O106,업무일지!$B$5:$B$1004,"&gt;="&amp;DATE($B$3,8,1),업무일지!$B$5:$B$1004,"&lt;"&amp;DATE($B$3,8+1,1),업무일지!$D$5:$D$1004,"분석")&gt;0,1,0))</f>
        <v/>
      </c>
      <c r="AJ106">
        <f>IF($O106="",0,IF(COUNTIFS(업무일지!$F$5:$F$1004,$O106,업무일지!$B$5:$B$1004,"&gt;="&amp;DATE($B$3,9,1),업무일지!$B$5:$B$1004,"&lt;"&amp;DATE($B$3,9+1,1),업무일지!$D$5:$D$1004,"분석")&gt;0,1,0))</f>
        <v/>
      </c>
      <c r="AK106">
        <f>IF($O106="",0,IF(COUNTIFS(업무일지!$F$5:$F$1004,$O106,업무일지!$B$5:$B$1004,"&gt;="&amp;DATE($B$3,10,1),업무일지!$B$5:$B$1004,"&lt;"&amp;DATE($B$3,10+1,1),업무일지!$D$5:$D$1004,"분석")&gt;0,1,0))</f>
        <v/>
      </c>
      <c r="AL106">
        <f>IF($O106="",0,IF(COUNTIFS(업무일지!$F$5:$F$1004,$O106,업무일지!$B$5:$B$1004,"&gt;="&amp;DATE($B$3,11,1),업무일지!$B$5:$B$1004,"&lt;"&amp;DATE($B$3,11+1,1),업무일지!$D$5:$D$1004,"분석")&gt;0,1,0))</f>
        <v/>
      </c>
      <c r="AM106">
        <f>IF($O106="",0,IF(COUNTIFS(업무일지!$F$5:$F$1004,$O106,업무일지!$B$5:$B$1004,"&gt;="&amp;DATE($B$3,12,1),업무일지!$B$5:$B$1004,"&lt;"&amp;DATE($B$3,12+1,1),업무일지!$D$5:$D$1004,"분석")&gt;0,1,0))</f>
        <v/>
      </c>
      <c r="AN106">
        <f>IF($O106="",0,IF(COUNTIFS(업무일지!$F$5:$F$1004,$O106,업무일지!$B$5:$B$1004,"&gt;="&amp;DATE($B$3,1,1),업무일지!$B$5:$B$1004,"&lt;"&amp;DATE($B$3,1+1,1))&gt;0,1,0))</f>
        <v/>
      </c>
      <c r="AO106">
        <f>IF($O106="",0,IF(COUNTIFS(업무일지!$F$5:$F$1004,$O106,업무일지!$B$5:$B$1004,"&gt;="&amp;DATE($B$3,2,1),업무일지!$B$5:$B$1004,"&lt;"&amp;DATE($B$3,2+1,1))&gt;0,1,0))</f>
        <v/>
      </c>
      <c r="AP106">
        <f>IF($O106="",0,IF(COUNTIFS(업무일지!$F$5:$F$1004,$O106,업무일지!$B$5:$B$1004,"&gt;="&amp;DATE($B$3,3,1),업무일지!$B$5:$B$1004,"&lt;"&amp;DATE($B$3,3+1,1))&gt;0,1,0))</f>
        <v/>
      </c>
      <c r="AQ106">
        <f>IF($O106="",0,IF(COUNTIFS(업무일지!$F$5:$F$1004,$O106,업무일지!$B$5:$B$1004,"&gt;="&amp;DATE($B$3,4,1),업무일지!$B$5:$B$1004,"&lt;"&amp;DATE($B$3,4+1,1))&gt;0,1,0))</f>
        <v/>
      </c>
      <c r="AR106">
        <f>IF($O106="",0,IF(COUNTIFS(업무일지!$F$5:$F$1004,$O106,업무일지!$B$5:$B$1004,"&gt;="&amp;DATE($B$3,5,1),업무일지!$B$5:$B$1004,"&lt;"&amp;DATE($B$3,5+1,1))&gt;0,1,0))</f>
        <v/>
      </c>
      <c r="AS106">
        <f>IF($O106="",0,IF(COUNTIFS(업무일지!$F$5:$F$1004,$O106,업무일지!$B$5:$B$1004,"&gt;="&amp;DATE($B$3,6,1),업무일지!$B$5:$B$1004,"&lt;"&amp;DATE($B$3,6+1,1))&gt;0,1,0))</f>
        <v/>
      </c>
      <c r="AT106">
        <f>IF($O106="",0,IF(COUNTIFS(업무일지!$F$5:$F$1004,$O106,업무일지!$B$5:$B$1004,"&gt;="&amp;DATE($B$3,7,1),업무일지!$B$5:$B$1004,"&lt;"&amp;DATE($B$3,7+1,1))&gt;0,1,0))</f>
        <v/>
      </c>
      <c r="AU106">
        <f>IF($O106="",0,IF(COUNTIFS(업무일지!$F$5:$F$1004,$O106,업무일지!$B$5:$B$1004,"&gt;="&amp;DATE($B$3,8,1),업무일지!$B$5:$B$1004,"&lt;"&amp;DATE($B$3,8+1,1))&gt;0,1,0))</f>
        <v/>
      </c>
      <c r="AV106">
        <f>IF($O106="",0,IF(COUNTIFS(업무일지!$F$5:$F$1004,$O106,업무일지!$B$5:$B$1004,"&gt;="&amp;DATE($B$3,9,1),업무일지!$B$5:$B$1004,"&lt;"&amp;DATE($B$3,9+1,1))&gt;0,1,0))</f>
        <v/>
      </c>
      <c r="AW106">
        <f>IF($O106="",0,IF(COUNTIFS(업무일지!$F$5:$F$1004,$O106,업무일지!$B$5:$B$1004,"&gt;="&amp;DATE($B$3,10,1),업무일지!$B$5:$B$1004,"&lt;"&amp;DATE($B$3,10+1,1))&gt;0,1,0))</f>
        <v/>
      </c>
      <c r="AX106">
        <f>IF($O106="",0,IF(COUNTIFS(업무일지!$F$5:$F$1004,$O106,업무일지!$B$5:$B$1004,"&gt;="&amp;DATE($B$3,11,1),업무일지!$B$5:$B$1004,"&lt;"&amp;DATE($B$3,11+1,1))&gt;0,1,0))</f>
        <v/>
      </c>
      <c r="AY106">
        <f>IF($O106="",0,IF(COUNTIFS(업무일지!$F$5:$F$1004,$O106,업무일지!$B$5:$B$1004,"&gt;="&amp;DATE($B$3,12,1),업무일지!$B$5:$B$1004,"&lt;"&amp;DATE($B$3,12+1,1))&gt;0,1,0))</f>
        <v/>
      </c>
      <c r="AZ106">
        <f>IF($O106="",0,IF(COUNTIFS(업무일지!$F$5:$F$1004,$O106,업무일지!$B$5:$B$1004,"&gt;="&amp;DATE($B$3,1,1),업무일지!$B$5:$B$1004,"&lt;"&amp;DATE($B$3+1,1,1),업무일지!$D$5:$D$1004,"출장")&gt;0,1,0))</f>
        <v/>
      </c>
      <c r="BA106">
        <f>IF($O106="",0,IF(COUNTIFS(업무일지!$F$5:$F$1004,$O106,업무일지!$B$5:$B$1004,"&gt;="&amp;DATE($B$3,1,1),업무일지!$B$5:$B$1004,"&lt;"&amp;DATE($B$3+1,1,1),업무일지!$D$5:$D$1004,"분석")&gt;0,1,0))</f>
        <v/>
      </c>
      <c r="BB106">
        <f>IF($O106="",0,IF(COUNTIFS(업무일지!$F$5:$F$1004,$O106,업무일지!$B$5:$B$1004,"&gt;="&amp;DATE($B$3,1,1),업무일지!$B$5:$B$1004,"&lt;"&amp;DATE($B$3+1,1,1))&gt;0,1,0))</f>
        <v/>
      </c>
    </row>
    <row r="107">
      <c r="O107">
        <f>IF(사건마스터!$A27="","",사건마스터!$A27)</f>
        <v/>
      </c>
      <c r="P107">
        <f>IF($O107="",0,IF(COUNTIFS(업무일지!$F$5:$F$1004,$O107,업무일지!$B$5:$B$1004,"&gt;="&amp;DATE($B$3,1,1),업무일지!$B$5:$B$1004,"&lt;"&amp;DATE($B$3,1+1,1),업무일지!$D$5:$D$1004,"출장")&gt;0,1,0))</f>
        <v/>
      </c>
      <c r="Q107">
        <f>IF($O107="",0,IF(COUNTIFS(업무일지!$F$5:$F$1004,$O107,업무일지!$B$5:$B$1004,"&gt;="&amp;DATE($B$3,2,1),업무일지!$B$5:$B$1004,"&lt;"&amp;DATE($B$3,2+1,1),업무일지!$D$5:$D$1004,"출장")&gt;0,1,0))</f>
        <v/>
      </c>
      <c r="R107">
        <f>IF($O107="",0,IF(COUNTIFS(업무일지!$F$5:$F$1004,$O107,업무일지!$B$5:$B$1004,"&gt;="&amp;DATE($B$3,3,1),업무일지!$B$5:$B$1004,"&lt;"&amp;DATE($B$3,3+1,1),업무일지!$D$5:$D$1004,"출장")&gt;0,1,0))</f>
        <v/>
      </c>
      <c r="S107">
        <f>IF($O107="",0,IF(COUNTIFS(업무일지!$F$5:$F$1004,$O107,업무일지!$B$5:$B$1004,"&gt;="&amp;DATE($B$3,4,1),업무일지!$B$5:$B$1004,"&lt;"&amp;DATE($B$3,4+1,1),업무일지!$D$5:$D$1004,"출장")&gt;0,1,0))</f>
        <v/>
      </c>
      <c r="T107">
        <f>IF($O107="",0,IF(COUNTIFS(업무일지!$F$5:$F$1004,$O107,업무일지!$B$5:$B$1004,"&gt;="&amp;DATE($B$3,5,1),업무일지!$B$5:$B$1004,"&lt;"&amp;DATE($B$3,5+1,1),업무일지!$D$5:$D$1004,"출장")&gt;0,1,0))</f>
        <v/>
      </c>
      <c r="U107">
        <f>IF($O107="",0,IF(COUNTIFS(업무일지!$F$5:$F$1004,$O107,업무일지!$B$5:$B$1004,"&gt;="&amp;DATE($B$3,6,1),업무일지!$B$5:$B$1004,"&lt;"&amp;DATE($B$3,6+1,1),업무일지!$D$5:$D$1004,"출장")&gt;0,1,0))</f>
        <v/>
      </c>
      <c r="V107">
        <f>IF($O107="",0,IF(COUNTIFS(업무일지!$F$5:$F$1004,$O107,업무일지!$B$5:$B$1004,"&gt;="&amp;DATE($B$3,7,1),업무일지!$B$5:$B$1004,"&lt;"&amp;DATE($B$3,7+1,1),업무일지!$D$5:$D$1004,"출장")&gt;0,1,0))</f>
        <v/>
      </c>
      <c r="W107">
        <f>IF($O107="",0,IF(COUNTIFS(업무일지!$F$5:$F$1004,$O107,업무일지!$B$5:$B$1004,"&gt;="&amp;DATE($B$3,8,1),업무일지!$B$5:$B$1004,"&lt;"&amp;DATE($B$3,8+1,1),업무일지!$D$5:$D$1004,"출장")&gt;0,1,0))</f>
        <v/>
      </c>
      <c r="X107">
        <f>IF($O107="",0,IF(COUNTIFS(업무일지!$F$5:$F$1004,$O107,업무일지!$B$5:$B$1004,"&gt;="&amp;DATE($B$3,9,1),업무일지!$B$5:$B$1004,"&lt;"&amp;DATE($B$3,9+1,1),업무일지!$D$5:$D$1004,"출장")&gt;0,1,0))</f>
        <v/>
      </c>
      <c r="Y107">
        <f>IF($O107="",0,IF(COUNTIFS(업무일지!$F$5:$F$1004,$O107,업무일지!$B$5:$B$1004,"&gt;="&amp;DATE($B$3,10,1),업무일지!$B$5:$B$1004,"&lt;"&amp;DATE($B$3,10+1,1),업무일지!$D$5:$D$1004,"출장")&gt;0,1,0))</f>
        <v/>
      </c>
      <c r="Z107">
        <f>IF($O107="",0,IF(COUNTIFS(업무일지!$F$5:$F$1004,$O107,업무일지!$B$5:$B$1004,"&gt;="&amp;DATE($B$3,11,1),업무일지!$B$5:$B$1004,"&lt;"&amp;DATE($B$3,11+1,1),업무일지!$D$5:$D$1004,"출장")&gt;0,1,0))</f>
        <v/>
      </c>
      <c r="AA107">
        <f>IF($O107="",0,IF(COUNTIFS(업무일지!$F$5:$F$1004,$O107,업무일지!$B$5:$B$1004,"&gt;="&amp;DATE($B$3,12,1),업무일지!$B$5:$B$1004,"&lt;"&amp;DATE($B$3,12+1,1),업무일지!$D$5:$D$1004,"출장")&gt;0,1,0))</f>
        <v/>
      </c>
      <c r="AB107">
        <f>IF($O107="",0,IF(COUNTIFS(업무일지!$F$5:$F$1004,$O107,업무일지!$B$5:$B$1004,"&gt;="&amp;DATE($B$3,1,1),업무일지!$B$5:$B$1004,"&lt;"&amp;DATE($B$3,1+1,1),업무일지!$D$5:$D$1004,"분석")&gt;0,1,0))</f>
        <v/>
      </c>
      <c r="AC107">
        <f>IF($O107="",0,IF(COUNTIFS(업무일지!$F$5:$F$1004,$O107,업무일지!$B$5:$B$1004,"&gt;="&amp;DATE($B$3,2,1),업무일지!$B$5:$B$1004,"&lt;"&amp;DATE($B$3,2+1,1),업무일지!$D$5:$D$1004,"분석")&gt;0,1,0))</f>
        <v/>
      </c>
      <c r="AD107">
        <f>IF($O107="",0,IF(COUNTIFS(업무일지!$F$5:$F$1004,$O107,업무일지!$B$5:$B$1004,"&gt;="&amp;DATE($B$3,3,1),업무일지!$B$5:$B$1004,"&lt;"&amp;DATE($B$3,3+1,1),업무일지!$D$5:$D$1004,"분석")&gt;0,1,0))</f>
        <v/>
      </c>
      <c r="AE107">
        <f>IF($O107="",0,IF(COUNTIFS(업무일지!$F$5:$F$1004,$O107,업무일지!$B$5:$B$1004,"&gt;="&amp;DATE($B$3,4,1),업무일지!$B$5:$B$1004,"&lt;"&amp;DATE($B$3,4+1,1),업무일지!$D$5:$D$1004,"분석")&gt;0,1,0))</f>
        <v/>
      </c>
      <c r="AF107">
        <f>IF($O107="",0,IF(COUNTIFS(업무일지!$F$5:$F$1004,$O107,업무일지!$B$5:$B$1004,"&gt;="&amp;DATE($B$3,5,1),업무일지!$B$5:$B$1004,"&lt;"&amp;DATE($B$3,5+1,1),업무일지!$D$5:$D$1004,"분석")&gt;0,1,0))</f>
        <v/>
      </c>
      <c r="AG107">
        <f>IF($O107="",0,IF(COUNTIFS(업무일지!$F$5:$F$1004,$O107,업무일지!$B$5:$B$1004,"&gt;="&amp;DATE($B$3,6,1),업무일지!$B$5:$B$1004,"&lt;"&amp;DATE($B$3,6+1,1),업무일지!$D$5:$D$1004,"분석")&gt;0,1,0))</f>
        <v/>
      </c>
      <c r="AH107">
        <f>IF($O107="",0,IF(COUNTIFS(업무일지!$F$5:$F$1004,$O107,업무일지!$B$5:$B$1004,"&gt;="&amp;DATE($B$3,7,1),업무일지!$B$5:$B$1004,"&lt;"&amp;DATE($B$3,7+1,1),업무일지!$D$5:$D$1004,"분석")&gt;0,1,0))</f>
        <v/>
      </c>
      <c r="AI107">
        <f>IF($O107="",0,IF(COUNTIFS(업무일지!$F$5:$F$1004,$O107,업무일지!$B$5:$B$1004,"&gt;="&amp;DATE($B$3,8,1),업무일지!$B$5:$B$1004,"&lt;"&amp;DATE($B$3,8+1,1),업무일지!$D$5:$D$1004,"분석")&gt;0,1,0))</f>
        <v/>
      </c>
      <c r="AJ107">
        <f>IF($O107="",0,IF(COUNTIFS(업무일지!$F$5:$F$1004,$O107,업무일지!$B$5:$B$1004,"&gt;="&amp;DATE($B$3,9,1),업무일지!$B$5:$B$1004,"&lt;"&amp;DATE($B$3,9+1,1),업무일지!$D$5:$D$1004,"분석")&gt;0,1,0))</f>
        <v/>
      </c>
      <c r="AK107">
        <f>IF($O107="",0,IF(COUNTIFS(업무일지!$F$5:$F$1004,$O107,업무일지!$B$5:$B$1004,"&gt;="&amp;DATE($B$3,10,1),업무일지!$B$5:$B$1004,"&lt;"&amp;DATE($B$3,10+1,1),업무일지!$D$5:$D$1004,"분석")&gt;0,1,0))</f>
        <v/>
      </c>
      <c r="AL107">
        <f>IF($O107="",0,IF(COUNTIFS(업무일지!$F$5:$F$1004,$O107,업무일지!$B$5:$B$1004,"&gt;="&amp;DATE($B$3,11,1),업무일지!$B$5:$B$1004,"&lt;"&amp;DATE($B$3,11+1,1),업무일지!$D$5:$D$1004,"분석")&gt;0,1,0))</f>
        <v/>
      </c>
      <c r="AM107">
        <f>IF($O107="",0,IF(COUNTIFS(업무일지!$F$5:$F$1004,$O107,업무일지!$B$5:$B$1004,"&gt;="&amp;DATE($B$3,12,1),업무일지!$B$5:$B$1004,"&lt;"&amp;DATE($B$3,12+1,1),업무일지!$D$5:$D$1004,"분석")&gt;0,1,0))</f>
        <v/>
      </c>
      <c r="AN107">
        <f>IF($O107="",0,IF(COUNTIFS(업무일지!$F$5:$F$1004,$O107,업무일지!$B$5:$B$1004,"&gt;="&amp;DATE($B$3,1,1),업무일지!$B$5:$B$1004,"&lt;"&amp;DATE($B$3,1+1,1))&gt;0,1,0))</f>
        <v/>
      </c>
      <c r="AO107">
        <f>IF($O107="",0,IF(COUNTIFS(업무일지!$F$5:$F$1004,$O107,업무일지!$B$5:$B$1004,"&gt;="&amp;DATE($B$3,2,1),업무일지!$B$5:$B$1004,"&lt;"&amp;DATE($B$3,2+1,1))&gt;0,1,0))</f>
        <v/>
      </c>
      <c r="AP107">
        <f>IF($O107="",0,IF(COUNTIFS(업무일지!$F$5:$F$1004,$O107,업무일지!$B$5:$B$1004,"&gt;="&amp;DATE($B$3,3,1),업무일지!$B$5:$B$1004,"&lt;"&amp;DATE($B$3,3+1,1))&gt;0,1,0))</f>
        <v/>
      </c>
      <c r="AQ107">
        <f>IF($O107="",0,IF(COUNTIFS(업무일지!$F$5:$F$1004,$O107,업무일지!$B$5:$B$1004,"&gt;="&amp;DATE($B$3,4,1),업무일지!$B$5:$B$1004,"&lt;"&amp;DATE($B$3,4+1,1))&gt;0,1,0))</f>
        <v/>
      </c>
      <c r="AR107">
        <f>IF($O107="",0,IF(COUNTIFS(업무일지!$F$5:$F$1004,$O107,업무일지!$B$5:$B$1004,"&gt;="&amp;DATE($B$3,5,1),업무일지!$B$5:$B$1004,"&lt;"&amp;DATE($B$3,5+1,1))&gt;0,1,0))</f>
        <v/>
      </c>
      <c r="AS107">
        <f>IF($O107="",0,IF(COUNTIFS(업무일지!$F$5:$F$1004,$O107,업무일지!$B$5:$B$1004,"&gt;="&amp;DATE($B$3,6,1),업무일지!$B$5:$B$1004,"&lt;"&amp;DATE($B$3,6+1,1))&gt;0,1,0))</f>
        <v/>
      </c>
      <c r="AT107">
        <f>IF($O107="",0,IF(COUNTIFS(업무일지!$F$5:$F$1004,$O107,업무일지!$B$5:$B$1004,"&gt;="&amp;DATE($B$3,7,1),업무일지!$B$5:$B$1004,"&lt;"&amp;DATE($B$3,7+1,1))&gt;0,1,0))</f>
        <v/>
      </c>
      <c r="AU107">
        <f>IF($O107="",0,IF(COUNTIFS(업무일지!$F$5:$F$1004,$O107,업무일지!$B$5:$B$1004,"&gt;="&amp;DATE($B$3,8,1),업무일지!$B$5:$B$1004,"&lt;"&amp;DATE($B$3,8+1,1))&gt;0,1,0))</f>
        <v/>
      </c>
      <c r="AV107">
        <f>IF($O107="",0,IF(COUNTIFS(업무일지!$F$5:$F$1004,$O107,업무일지!$B$5:$B$1004,"&gt;="&amp;DATE($B$3,9,1),업무일지!$B$5:$B$1004,"&lt;"&amp;DATE($B$3,9+1,1))&gt;0,1,0))</f>
        <v/>
      </c>
      <c r="AW107">
        <f>IF($O107="",0,IF(COUNTIFS(업무일지!$F$5:$F$1004,$O107,업무일지!$B$5:$B$1004,"&gt;="&amp;DATE($B$3,10,1),업무일지!$B$5:$B$1004,"&lt;"&amp;DATE($B$3,10+1,1))&gt;0,1,0))</f>
        <v/>
      </c>
      <c r="AX107">
        <f>IF($O107="",0,IF(COUNTIFS(업무일지!$F$5:$F$1004,$O107,업무일지!$B$5:$B$1004,"&gt;="&amp;DATE($B$3,11,1),업무일지!$B$5:$B$1004,"&lt;"&amp;DATE($B$3,11+1,1))&gt;0,1,0))</f>
        <v/>
      </c>
      <c r="AY107">
        <f>IF($O107="",0,IF(COUNTIFS(업무일지!$F$5:$F$1004,$O107,업무일지!$B$5:$B$1004,"&gt;="&amp;DATE($B$3,12,1),업무일지!$B$5:$B$1004,"&lt;"&amp;DATE($B$3,12+1,1))&gt;0,1,0))</f>
        <v/>
      </c>
      <c r="AZ107">
        <f>IF($O107="",0,IF(COUNTIFS(업무일지!$F$5:$F$1004,$O107,업무일지!$B$5:$B$1004,"&gt;="&amp;DATE($B$3,1,1),업무일지!$B$5:$B$1004,"&lt;"&amp;DATE($B$3+1,1,1),업무일지!$D$5:$D$1004,"출장")&gt;0,1,0))</f>
        <v/>
      </c>
      <c r="BA107">
        <f>IF($O107="",0,IF(COUNTIFS(업무일지!$F$5:$F$1004,$O107,업무일지!$B$5:$B$1004,"&gt;="&amp;DATE($B$3,1,1),업무일지!$B$5:$B$1004,"&lt;"&amp;DATE($B$3+1,1,1),업무일지!$D$5:$D$1004,"분석")&gt;0,1,0))</f>
        <v/>
      </c>
      <c r="BB107">
        <f>IF($O107="",0,IF(COUNTIFS(업무일지!$F$5:$F$1004,$O107,업무일지!$B$5:$B$1004,"&gt;="&amp;DATE($B$3,1,1),업무일지!$B$5:$B$1004,"&lt;"&amp;DATE($B$3+1,1,1))&gt;0,1,0))</f>
        <v/>
      </c>
    </row>
    <row r="108">
      <c r="O108">
        <f>IF(사건마스터!$A28="","",사건마스터!$A28)</f>
        <v/>
      </c>
      <c r="P108">
        <f>IF($O108="",0,IF(COUNTIFS(업무일지!$F$5:$F$1004,$O108,업무일지!$B$5:$B$1004,"&gt;="&amp;DATE($B$3,1,1),업무일지!$B$5:$B$1004,"&lt;"&amp;DATE($B$3,1+1,1),업무일지!$D$5:$D$1004,"출장")&gt;0,1,0))</f>
        <v/>
      </c>
      <c r="Q108">
        <f>IF($O108="",0,IF(COUNTIFS(업무일지!$F$5:$F$1004,$O108,업무일지!$B$5:$B$1004,"&gt;="&amp;DATE($B$3,2,1),업무일지!$B$5:$B$1004,"&lt;"&amp;DATE($B$3,2+1,1),업무일지!$D$5:$D$1004,"출장")&gt;0,1,0))</f>
        <v/>
      </c>
      <c r="R108">
        <f>IF($O108="",0,IF(COUNTIFS(업무일지!$F$5:$F$1004,$O108,업무일지!$B$5:$B$1004,"&gt;="&amp;DATE($B$3,3,1),업무일지!$B$5:$B$1004,"&lt;"&amp;DATE($B$3,3+1,1),업무일지!$D$5:$D$1004,"출장")&gt;0,1,0))</f>
        <v/>
      </c>
      <c r="S108">
        <f>IF($O108="",0,IF(COUNTIFS(업무일지!$F$5:$F$1004,$O108,업무일지!$B$5:$B$1004,"&gt;="&amp;DATE($B$3,4,1),업무일지!$B$5:$B$1004,"&lt;"&amp;DATE($B$3,4+1,1),업무일지!$D$5:$D$1004,"출장")&gt;0,1,0))</f>
        <v/>
      </c>
      <c r="T108">
        <f>IF($O108="",0,IF(COUNTIFS(업무일지!$F$5:$F$1004,$O108,업무일지!$B$5:$B$1004,"&gt;="&amp;DATE($B$3,5,1),업무일지!$B$5:$B$1004,"&lt;"&amp;DATE($B$3,5+1,1),업무일지!$D$5:$D$1004,"출장")&gt;0,1,0))</f>
        <v/>
      </c>
      <c r="U108">
        <f>IF($O108="",0,IF(COUNTIFS(업무일지!$F$5:$F$1004,$O108,업무일지!$B$5:$B$1004,"&gt;="&amp;DATE($B$3,6,1),업무일지!$B$5:$B$1004,"&lt;"&amp;DATE($B$3,6+1,1),업무일지!$D$5:$D$1004,"출장")&gt;0,1,0))</f>
        <v/>
      </c>
      <c r="V108">
        <f>IF($O108="",0,IF(COUNTIFS(업무일지!$F$5:$F$1004,$O108,업무일지!$B$5:$B$1004,"&gt;="&amp;DATE($B$3,7,1),업무일지!$B$5:$B$1004,"&lt;"&amp;DATE($B$3,7+1,1),업무일지!$D$5:$D$1004,"출장")&gt;0,1,0))</f>
        <v/>
      </c>
      <c r="W108">
        <f>IF($O108="",0,IF(COUNTIFS(업무일지!$F$5:$F$1004,$O108,업무일지!$B$5:$B$1004,"&gt;="&amp;DATE($B$3,8,1),업무일지!$B$5:$B$1004,"&lt;"&amp;DATE($B$3,8+1,1),업무일지!$D$5:$D$1004,"출장")&gt;0,1,0))</f>
        <v/>
      </c>
      <c r="X108">
        <f>IF($O108="",0,IF(COUNTIFS(업무일지!$F$5:$F$1004,$O108,업무일지!$B$5:$B$1004,"&gt;="&amp;DATE($B$3,9,1),업무일지!$B$5:$B$1004,"&lt;"&amp;DATE($B$3,9+1,1),업무일지!$D$5:$D$1004,"출장")&gt;0,1,0))</f>
        <v/>
      </c>
      <c r="Y108">
        <f>IF($O108="",0,IF(COUNTIFS(업무일지!$F$5:$F$1004,$O108,업무일지!$B$5:$B$1004,"&gt;="&amp;DATE($B$3,10,1),업무일지!$B$5:$B$1004,"&lt;"&amp;DATE($B$3,10+1,1),업무일지!$D$5:$D$1004,"출장")&gt;0,1,0))</f>
        <v/>
      </c>
      <c r="Z108">
        <f>IF($O108="",0,IF(COUNTIFS(업무일지!$F$5:$F$1004,$O108,업무일지!$B$5:$B$1004,"&gt;="&amp;DATE($B$3,11,1),업무일지!$B$5:$B$1004,"&lt;"&amp;DATE($B$3,11+1,1),업무일지!$D$5:$D$1004,"출장")&gt;0,1,0))</f>
        <v/>
      </c>
      <c r="AA108">
        <f>IF($O108="",0,IF(COUNTIFS(업무일지!$F$5:$F$1004,$O108,업무일지!$B$5:$B$1004,"&gt;="&amp;DATE($B$3,12,1),업무일지!$B$5:$B$1004,"&lt;"&amp;DATE($B$3,12+1,1),업무일지!$D$5:$D$1004,"출장")&gt;0,1,0))</f>
        <v/>
      </c>
      <c r="AB108">
        <f>IF($O108="",0,IF(COUNTIFS(업무일지!$F$5:$F$1004,$O108,업무일지!$B$5:$B$1004,"&gt;="&amp;DATE($B$3,1,1),업무일지!$B$5:$B$1004,"&lt;"&amp;DATE($B$3,1+1,1),업무일지!$D$5:$D$1004,"분석")&gt;0,1,0))</f>
        <v/>
      </c>
      <c r="AC108">
        <f>IF($O108="",0,IF(COUNTIFS(업무일지!$F$5:$F$1004,$O108,업무일지!$B$5:$B$1004,"&gt;="&amp;DATE($B$3,2,1),업무일지!$B$5:$B$1004,"&lt;"&amp;DATE($B$3,2+1,1),업무일지!$D$5:$D$1004,"분석")&gt;0,1,0))</f>
        <v/>
      </c>
      <c r="AD108">
        <f>IF($O108="",0,IF(COUNTIFS(업무일지!$F$5:$F$1004,$O108,업무일지!$B$5:$B$1004,"&gt;="&amp;DATE($B$3,3,1),업무일지!$B$5:$B$1004,"&lt;"&amp;DATE($B$3,3+1,1),업무일지!$D$5:$D$1004,"분석")&gt;0,1,0))</f>
        <v/>
      </c>
      <c r="AE108">
        <f>IF($O108="",0,IF(COUNTIFS(업무일지!$F$5:$F$1004,$O108,업무일지!$B$5:$B$1004,"&gt;="&amp;DATE($B$3,4,1),업무일지!$B$5:$B$1004,"&lt;"&amp;DATE($B$3,4+1,1),업무일지!$D$5:$D$1004,"분석")&gt;0,1,0))</f>
        <v/>
      </c>
      <c r="AF108">
        <f>IF($O108="",0,IF(COUNTIFS(업무일지!$F$5:$F$1004,$O108,업무일지!$B$5:$B$1004,"&gt;="&amp;DATE($B$3,5,1),업무일지!$B$5:$B$1004,"&lt;"&amp;DATE($B$3,5+1,1),업무일지!$D$5:$D$1004,"분석")&gt;0,1,0))</f>
        <v/>
      </c>
      <c r="AG108">
        <f>IF($O108="",0,IF(COUNTIFS(업무일지!$F$5:$F$1004,$O108,업무일지!$B$5:$B$1004,"&gt;="&amp;DATE($B$3,6,1),업무일지!$B$5:$B$1004,"&lt;"&amp;DATE($B$3,6+1,1),업무일지!$D$5:$D$1004,"분석")&gt;0,1,0))</f>
        <v/>
      </c>
      <c r="AH108">
        <f>IF($O108="",0,IF(COUNTIFS(업무일지!$F$5:$F$1004,$O108,업무일지!$B$5:$B$1004,"&gt;="&amp;DATE($B$3,7,1),업무일지!$B$5:$B$1004,"&lt;"&amp;DATE($B$3,7+1,1),업무일지!$D$5:$D$1004,"분석")&gt;0,1,0))</f>
        <v/>
      </c>
      <c r="AI108">
        <f>IF($O108="",0,IF(COUNTIFS(업무일지!$F$5:$F$1004,$O108,업무일지!$B$5:$B$1004,"&gt;="&amp;DATE($B$3,8,1),업무일지!$B$5:$B$1004,"&lt;"&amp;DATE($B$3,8+1,1),업무일지!$D$5:$D$1004,"분석")&gt;0,1,0))</f>
        <v/>
      </c>
      <c r="AJ108">
        <f>IF($O108="",0,IF(COUNTIFS(업무일지!$F$5:$F$1004,$O108,업무일지!$B$5:$B$1004,"&gt;="&amp;DATE($B$3,9,1),업무일지!$B$5:$B$1004,"&lt;"&amp;DATE($B$3,9+1,1),업무일지!$D$5:$D$1004,"분석")&gt;0,1,0))</f>
        <v/>
      </c>
      <c r="AK108">
        <f>IF($O108="",0,IF(COUNTIFS(업무일지!$F$5:$F$1004,$O108,업무일지!$B$5:$B$1004,"&gt;="&amp;DATE($B$3,10,1),업무일지!$B$5:$B$1004,"&lt;"&amp;DATE($B$3,10+1,1),업무일지!$D$5:$D$1004,"분석")&gt;0,1,0))</f>
        <v/>
      </c>
      <c r="AL108">
        <f>IF($O108="",0,IF(COUNTIFS(업무일지!$F$5:$F$1004,$O108,업무일지!$B$5:$B$1004,"&gt;="&amp;DATE($B$3,11,1),업무일지!$B$5:$B$1004,"&lt;"&amp;DATE($B$3,11+1,1),업무일지!$D$5:$D$1004,"분석")&gt;0,1,0))</f>
        <v/>
      </c>
      <c r="AM108">
        <f>IF($O108="",0,IF(COUNTIFS(업무일지!$F$5:$F$1004,$O108,업무일지!$B$5:$B$1004,"&gt;="&amp;DATE($B$3,12,1),업무일지!$B$5:$B$1004,"&lt;"&amp;DATE($B$3,12+1,1),업무일지!$D$5:$D$1004,"분석")&gt;0,1,0))</f>
        <v/>
      </c>
      <c r="AN108">
        <f>IF($O108="",0,IF(COUNTIFS(업무일지!$F$5:$F$1004,$O108,업무일지!$B$5:$B$1004,"&gt;="&amp;DATE($B$3,1,1),업무일지!$B$5:$B$1004,"&lt;"&amp;DATE($B$3,1+1,1))&gt;0,1,0))</f>
        <v/>
      </c>
      <c r="AO108">
        <f>IF($O108="",0,IF(COUNTIFS(업무일지!$F$5:$F$1004,$O108,업무일지!$B$5:$B$1004,"&gt;="&amp;DATE($B$3,2,1),업무일지!$B$5:$B$1004,"&lt;"&amp;DATE($B$3,2+1,1))&gt;0,1,0))</f>
        <v/>
      </c>
      <c r="AP108">
        <f>IF($O108="",0,IF(COUNTIFS(업무일지!$F$5:$F$1004,$O108,업무일지!$B$5:$B$1004,"&gt;="&amp;DATE($B$3,3,1),업무일지!$B$5:$B$1004,"&lt;"&amp;DATE($B$3,3+1,1))&gt;0,1,0))</f>
        <v/>
      </c>
      <c r="AQ108">
        <f>IF($O108="",0,IF(COUNTIFS(업무일지!$F$5:$F$1004,$O108,업무일지!$B$5:$B$1004,"&gt;="&amp;DATE($B$3,4,1),업무일지!$B$5:$B$1004,"&lt;"&amp;DATE($B$3,4+1,1))&gt;0,1,0))</f>
        <v/>
      </c>
      <c r="AR108">
        <f>IF($O108="",0,IF(COUNTIFS(업무일지!$F$5:$F$1004,$O108,업무일지!$B$5:$B$1004,"&gt;="&amp;DATE($B$3,5,1),업무일지!$B$5:$B$1004,"&lt;"&amp;DATE($B$3,5+1,1))&gt;0,1,0))</f>
        <v/>
      </c>
      <c r="AS108">
        <f>IF($O108="",0,IF(COUNTIFS(업무일지!$F$5:$F$1004,$O108,업무일지!$B$5:$B$1004,"&gt;="&amp;DATE($B$3,6,1),업무일지!$B$5:$B$1004,"&lt;"&amp;DATE($B$3,6+1,1))&gt;0,1,0))</f>
        <v/>
      </c>
      <c r="AT108">
        <f>IF($O108="",0,IF(COUNTIFS(업무일지!$F$5:$F$1004,$O108,업무일지!$B$5:$B$1004,"&gt;="&amp;DATE($B$3,7,1),업무일지!$B$5:$B$1004,"&lt;"&amp;DATE($B$3,7+1,1))&gt;0,1,0))</f>
        <v/>
      </c>
      <c r="AU108">
        <f>IF($O108="",0,IF(COUNTIFS(업무일지!$F$5:$F$1004,$O108,업무일지!$B$5:$B$1004,"&gt;="&amp;DATE($B$3,8,1),업무일지!$B$5:$B$1004,"&lt;"&amp;DATE($B$3,8+1,1))&gt;0,1,0))</f>
        <v/>
      </c>
      <c r="AV108">
        <f>IF($O108="",0,IF(COUNTIFS(업무일지!$F$5:$F$1004,$O108,업무일지!$B$5:$B$1004,"&gt;="&amp;DATE($B$3,9,1),업무일지!$B$5:$B$1004,"&lt;"&amp;DATE($B$3,9+1,1))&gt;0,1,0))</f>
        <v/>
      </c>
      <c r="AW108">
        <f>IF($O108="",0,IF(COUNTIFS(업무일지!$F$5:$F$1004,$O108,업무일지!$B$5:$B$1004,"&gt;="&amp;DATE($B$3,10,1),업무일지!$B$5:$B$1004,"&lt;"&amp;DATE($B$3,10+1,1))&gt;0,1,0))</f>
        <v/>
      </c>
      <c r="AX108">
        <f>IF($O108="",0,IF(COUNTIFS(업무일지!$F$5:$F$1004,$O108,업무일지!$B$5:$B$1004,"&gt;="&amp;DATE($B$3,11,1),업무일지!$B$5:$B$1004,"&lt;"&amp;DATE($B$3,11+1,1))&gt;0,1,0))</f>
        <v/>
      </c>
      <c r="AY108">
        <f>IF($O108="",0,IF(COUNTIFS(업무일지!$F$5:$F$1004,$O108,업무일지!$B$5:$B$1004,"&gt;="&amp;DATE($B$3,12,1),업무일지!$B$5:$B$1004,"&lt;"&amp;DATE($B$3,12+1,1))&gt;0,1,0))</f>
        <v/>
      </c>
      <c r="AZ108">
        <f>IF($O108="",0,IF(COUNTIFS(업무일지!$F$5:$F$1004,$O108,업무일지!$B$5:$B$1004,"&gt;="&amp;DATE($B$3,1,1),업무일지!$B$5:$B$1004,"&lt;"&amp;DATE($B$3+1,1,1),업무일지!$D$5:$D$1004,"출장")&gt;0,1,0))</f>
        <v/>
      </c>
      <c r="BA108">
        <f>IF($O108="",0,IF(COUNTIFS(업무일지!$F$5:$F$1004,$O108,업무일지!$B$5:$B$1004,"&gt;="&amp;DATE($B$3,1,1),업무일지!$B$5:$B$1004,"&lt;"&amp;DATE($B$3+1,1,1),업무일지!$D$5:$D$1004,"분석")&gt;0,1,0))</f>
        <v/>
      </c>
      <c r="BB108">
        <f>IF($O108="",0,IF(COUNTIFS(업무일지!$F$5:$F$1004,$O108,업무일지!$B$5:$B$1004,"&gt;="&amp;DATE($B$3,1,1),업무일지!$B$5:$B$1004,"&lt;"&amp;DATE($B$3+1,1,1))&gt;0,1,0))</f>
        <v/>
      </c>
    </row>
    <row r="109">
      <c r="O109">
        <f>IF(사건마스터!$A29="","",사건마스터!$A29)</f>
        <v/>
      </c>
      <c r="P109">
        <f>IF($O109="",0,IF(COUNTIFS(업무일지!$F$5:$F$1004,$O109,업무일지!$B$5:$B$1004,"&gt;="&amp;DATE($B$3,1,1),업무일지!$B$5:$B$1004,"&lt;"&amp;DATE($B$3,1+1,1),업무일지!$D$5:$D$1004,"출장")&gt;0,1,0))</f>
        <v/>
      </c>
      <c r="Q109">
        <f>IF($O109="",0,IF(COUNTIFS(업무일지!$F$5:$F$1004,$O109,업무일지!$B$5:$B$1004,"&gt;="&amp;DATE($B$3,2,1),업무일지!$B$5:$B$1004,"&lt;"&amp;DATE($B$3,2+1,1),업무일지!$D$5:$D$1004,"출장")&gt;0,1,0))</f>
        <v/>
      </c>
      <c r="R109">
        <f>IF($O109="",0,IF(COUNTIFS(업무일지!$F$5:$F$1004,$O109,업무일지!$B$5:$B$1004,"&gt;="&amp;DATE($B$3,3,1),업무일지!$B$5:$B$1004,"&lt;"&amp;DATE($B$3,3+1,1),업무일지!$D$5:$D$1004,"출장")&gt;0,1,0))</f>
        <v/>
      </c>
      <c r="S109">
        <f>IF($O109="",0,IF(COUNTIFS(업무일지!$F$5:$F$1004,$O109,업무일지!$B$5:$B$1004,"&gt;="&amp;DATE($B$3,4,1),업무일지!$B$5:$B$1004,"&lt;"&amp;DATE($B$3,4+1,1),업무일지!$D$5:$D$1004,"출장")&gt;0,1,0))</f>
        <v/>
      </c>
      <c r="T109">
        <f>IF($O109="",0,IF(COUNTIFS(업무일지!$F$5:$F$1004,$O109,업무일지!$B$5:$B$1004,"&gt;="&amp;DATE($B$3,5,1),업무일지!$B$5:$B$1004,"&lt;"&amp;DATE($B$3,5+1,1),업무일지!$D$5:$D$1004,"출장")&gt;0,1,0))</f>
        <v/>
      </c>
      <c r="U109">
        <f>IF($O109="",0,IF(COUNTIFS(업무일지!$F$5:$F$1004,$O109,업무일지!$B$5:$B$1004,"&gt;="&amp;DATE($B$3,6,1),업무일지!$B$5:$B$1004,"&lt;"&amp;DATE($B$3,6+1,1),업무일지!$D$5:$D$1004,"출장")&gt;0,1,0))</f>
        <v/>
      </c>
      <c r="V109">
        <f>IF($O109="",0,IF(COUNTIFS(업무일지!$F$5:$F$1004,$O109,업무일지!$B$5:$B$1004,"&gt;="&amp;DATE($B$3,7,1),업무일지!$B$5:$B$1004,"&lt;"&amp;DATE($B$3,7+1,1),업무일지!$D$5:$D$1004,"출장")&gt;0,1,0))</f>
        <v/>
      </c>
      <c r="W109">
        <f>IF($O109="",0,IF(COUNTIFS(업무일지!$F$5:$F$1004,$O109,업무일지!$B$5:$B$1004,"&gt;="&amp;DATE($B$3,8,1),업무일지!$B$5:$B$1004,"&lt;"&amp;DATE($B$3,8+1,1),업무일지!$D$5:$D$1004,"출장")&gt;0,1,0))</f>
        <v/>
      </c>
      <c r="X109">
        <f>IF($O109="",0,IF(COUNTIFS(업무일지!$F$5:$F$1004,$O109,업무일지!$B$5:$B$1004,"&gt;="&amp;DATE($B$3,9,1),업무일지!$B$5:$B$1004,"&lt;"&amp;DATE($B$3,9+1,1),업무일지!$D$5:$D$1004,"출장")&gt;0,1,0))</f>
        <v/>
      </c>
      <c r="Y109">
        <f>IF($O109="",0,IF(COUNTIFS(업무일지!$F$5:$F$1004,$O109,업무일지!$B$5:$B$1004,"&gt;="&amp;DATE($B$3,10,1),업무일지!$B$5:$B$1004,"&lt;"&amp;DATE($B$3,10+1,1),업무일지!$D$5:$D$1004,"출장")&gt;0,1,0))</f>
        <v/>
      </c>
      <c r="Z109">
        <f>IF($O109="",0,IF(COUNTIFS(업무일지!$F$5:$F$1004,$O109,업무일지!$B$5:$B$1004,"&gt;="&amp;DATE($B$3,11,1),업무일지!$B$5:$B$1004,"&lt;"&amp;DATE($B$3,11+1,1),업무일지!$D$5:$D$1004,"출장")&gt;0,1,0))</f>
        <v/>
      </c>
      <c r="AA109">
        <f>IF($O109="",0,IF(COUNTIFS(업무일지!$F$5:$F$1004,$O109,업무일지!$B$5:$B$1004,"&gt;="&amp;DATE($B$3,12,1),업무일지!$B$5:$B$1004,"&lt;"&amp;DATE($B$3,12+1,1),업무일지!$D$5:$D$1004,"출장")&gt;0,1,0))</f>
        <v/>
      </c>
      <c r="AB109">
        <f>IF($O109="",0,IF(COUNTIFS(업무일지!$F$5:$F$1004,$O109,업무일지!$B$5:$B$1004,"&gt;="&amp;DATE($B$3,1,1),업무일지!$B$5:$B$1004,"&lt;"&amp;DATE($B$3,1+1,1),업무일지!$D$5:$D$1004,"분석")&gt;0,1,0))</f>
        <v/>
      </c>
      <c r="AC109">
        <f>IF($O109="",0,IF(COUNTIFS(업무일지!$F$5:$F$1004,$O109,업무일지!$B$5:$B$1004,"&gt;="&amp;DATE($B$3,2,1),업무일지!$B$5:$B$1004,"&lt;"&amp;DATE($B$3,2+1,1),업무일지!$D$5:$D$1004,"분석")&gt;0,1,0))</f>
        <v/>
      </c>
      <c r="AD109">
        <f>IF($O109="",0,IF(COUNTIFS(업무일지!$F$5:$F$1004,$O109,업무일지!$B$5:$B$1004,"&gt;="&amp;DATE($B$3,3,1),업무일지!$B$5:$B$1004,"&lt;"&amp;DATE($B$3,3+1,1),업무일지!$D$5:$D$1004,"분석")&gt;0,1,0))</f>
        <v/>
      </c>
      <c r="AE109">
        <f>IF($O109="",0,IF(COUNTIFS(업무일지!$F$5:$F$1004,$O109,업무일지!$B$5:$B$1004,"&gt;="&amp;DATE($B$3,4,1),업무일지!$B$5:$B$1004,"&lt;"&amp;DATE($B$3,4+1,1),업무일지!$D$5:$D$1004,"분석")&gt;0,1,0))</f>
        <v/>
      </c>
      <c r="AF109">
        <f>IF($O109="",0,IF(COUNTIFS(업무일지!$F$5:$F$1004,$O109,업무일지!$B$5:$B$1004,"&gt;="&amp;DATE($B$3,5,1),업무일지!$B$5:$B$1004,"&lt;"&amp;DATE($B$3,5+1,1),업무일지!$D$5:$D$1004,"분석")&gt;0,1,0))</f>
        <v/>
      </c>
      <c r="AG109">
        <f>IF($O109="",0,IF(COUNTIFS(업무일지!$F$5:$F$1004,$O109,업무일지!$B$5:$B$1004,"&gt;="&amp;DATE($B$3,6,1),업무일지!$B$5:$B$1004,"&lt;"&amp;DATE($B$3,6+1,1),업무일지!$D$5:$D$1004,"분석")&gt;0,1,0))</f>
        <v/>
      </c>
      <c r="AH109">
        <f>IF($O109="",0,IF(COUNTIFS(업무일지!$F$5:$F$1004,$O109,업무일지!$B$5:$B$1004,"&gt;="&amp;DATE($B$3,7,1),업무일지!$B$5:$B$1004,"&lt;"&amp;DATE($B$3,7+1,1),업무일지!$D$5:$D$1004,"분석")&gt;0,1,0))</f>
        <v/>
      </c>
      <c r="AI109">
        <f>IF($O109="",0,IF(COUNTIFS(업무일지!$F$5:$F$1004,$O109,업무일지!$B$5:$B$1004,"&gt;="&amp;DATE($B$3,8,1),업무일지!$B$5:$B$1004,"&lt;"&amp;DATE($B$3,8+1,1),업무일지!$D$5:$D$1004,"분석")&gt;0,1,0))</f>
        <v/>
      </c>
      <c r="AJ109">
        <f>IF($O109="",0,IF(COUNTIFS(업무일지!$F$5:$F$1004,$O109,업무일지!$B$5:$B$1004,"&gt;="&amp;DATE($B$3,9,1),업무일지!$B$5:$B$1004,"&lt;"&amp;DATE($B$3,9+1,1),업무일지!$D$5:$D$1004,"분석")&gt;0,1,0))</f>
        <v/>
      </c>
      <c r="AK109">
        <f>IF($O109="",0,IF(COUNTIFS(업무일지!$F$5:$F$1004,$O109,업무일지!$B$5:$B$1004,"&gt;="&amp;DATE($B$3,10,1),업무일지!$B$5:$B$1004,"&lt;"&amp;DATE($B$3,10+1,1),업무일지!$D$5:$D$1004,"분석")&gt;0,1,0))</f>
        <v/>
      </c>
      <c r="AL109">
        <f>IF($O109="",0,IF(COUNTIFS(업무일지!$F$5:$F$1004,$O109,업무일지!$B$5:$B$1004,"&gt;="&amp;DATE($B$3,11,1),업무일지!$B$5:$B$1004,"&lt;"&amp;DATE($B$3,11+1,1),업무일지!$D$5:$D$1004,"분석")&gt;0,1,0))</f>
        <v/>
      </c>
      <c r="AM109">
        <f>IF($O109="",0,IF(COUNTIFS(업무일지!$F$5:$F$1004,$O109,업무일지!$B$5:$B$1004,"&gt;="&amp;DATE($B$3,12,1),업무일지!$B$5:$B$1004,"&lt;"&amp;DATE($B$3,12+1,1),업무일지!$D$5:$D$1004,"분석")&gt;0,1,0))</f>
        <v/>
      </c>
      <c r="AN109">
        <f>IF($O109="",0,IF(COUNTIFS(업무일지!$F$5:$F$1004,$O109,업무일지!$B$5:$B$1004,"&gt;="&amp;DATE($B$3,1,1),업무일지!$B$5:$B$1004,"&lt;"&amp;DATE($B$3,1+1,1))&gt;0,1,0))</f>
        <v/>
      </c>
      <c r="AO109">
        <f>IF($O109="",0,IF(COUNTIFS(업무일지!$F$5:$F$1004,$O109,업무일지!$B$5:$B$1004,"&gt;="&amp;DATE($B$3,2,1),업무일지!$B$5:$B$1004,"&lt;"&amp;DATE($B$3,2+1,1))&gt;0,1,0))</f>
        <v/>
      </c>
      <c r="AP109">
        <f>IF($O109="",0,IF(COUNTIFS(업무일지!$F$5:$F$1004,$O109,업무일지!$B$5:$B$1004,"&gt;="&amp;DATE($B$3,3,1),업무일지!$B$5:$B$1004,"&lt;"&amp;DATE($B$3,3+1,1))&gt;0,1,0))</f>
        <v/>
      </c>
      <c r="AQ109">
        <f>IF($O109="",0,IF(COUNTIFS(업무일지!$F$5:$F$1004,$O109,업무일지!$B$5:$B$1004,"&gt;="&amp;DATE($B$3,4,1),업무일지!$B$5:$B$1004,"&lt;"&amp;DATE($B$3,4+1,1))&gt;0,1,0))</f>
        <v/>
      </c>
      <c r="AR109">
        <f>IF($O109="",0,IF(COUNTIFS(업무일지!$F$5:$F$1004,$O109,업무일지!$B$5:$B$1004,"&gt;="&amp;DATE($B$3,5,1),업무일지!$B$5:$B$1004,"&lt;"&amp;DATE($B$3,5+1,1))&gt;0,1,0))</f>
        <v/>
      </c>
      <c r="AS109">
        <f>IF($O109="",0,IF(COUNTIFS(업무일지!$F$5:$F$1004,$O109,업무일지!$B$5:$B$1004,"&gt;="&amp;DATE($B$3,6,1),업무일지!$B$5:$B$1004,"&lt;"&amp;DATE($B$3,6+1,1))&gt;0,1,0))</f>
        <v/>
      </c>
      <c r="AT109">
        <f>IF($O109="",0,IF(COUNTIFS(업무일지!$F$5:$F$1004,$O109,업무일지!$B$5:$B$1004,"&gt;="&amp;DATE($B$3,7,1),업무일지!$B$5:$B$1004,"&lt;"&amp;DATE($B$3,7+1,1))&gt;0,1,0))</f>
        <v/>
      </c>
      <c r="AU109">
        <f>IF($O109="",0,IF(COUNTIFS(업무일지!$F$5:$F$1004,$O109,업무일지!$B$5:$B$1004,"&gt;="&amp;DATE($B$3,8,1),업무일지!$B$5:$B$1004,"&lt;"&amp;DATE($B$3,8+1,1))&gt;0,1,0))</f>
        <v/>
      </c>
      <c r="AV109">
        <f>IF($O109="",0,IF(COUNTIFS(업무일지!$F$5:$F$1004,$O109,업무일지!$B$5:$B$1004,"&gt;="&amp;DATE($B$3,9,1),업무일지!$B$5:$B$1004,"&lt;"&amp;DATE($B$3,9+1,1))&gt;0,1,0))</f>
        <v/>
      </c>
      <c r="AW109">
        <f>IF($O109="",0,IF(COUNTIFS(업무일지!$F$5:$F$1004,$O109,업무일지!$B$5:$B$1004,"&gt;="&amp;DATE($B$3,10,1),업무일지!$B$5:$B$1004,"&lt;"&amp;DATE($B$3,10+1,1))&gt;0,1,0))</f>
        <v/>
      </c>
      <c r="AX109">
        <f>IF($O109="",0,IF(COUNTIFS(업무일지!$F$5:$F$1004,$O109,업무일지!$B$5:$B$1004,"&gt;="&amp;DATE($B$3,11,1),업무일지!$B$5:$B$1004,"&lt;"&amp;DATE($B$3,11+1,1))&gt;0,1,0))</f>
        <v/>
      </c>
      <c r="AY109">
        <f>IF($O109="",0,IF(COUNTIFS(업무일지!$F$5:$F$1004,$O109,업무일지!$B$5:$B$1004,"&gt;="&amp;DATE($B$3,12,1),업무일지!$B$5:$B$1004,"&lt;"&amp;DATE($B$3,12+1,1))&gt;0,1,0))</f>
        <v/>
      </c>
      <c r="AZ109">
        <f>IF($O109="",0,IF(COUNTIFS(업무일지!$F$5:$F$1004,$O109,업무일지!$B$5:$B$1004,"&gt;="&amp;DATE($B$3,1,1),업무일지!$B$5:$B$1004,"&lt;"&amp;DATE($B$3+1,1,1),업무일지!$D$5:$D$1004,"출장")&gt;0,1,0))</f>
        <v/>
      </c>
      <c r="BA109">
        <f>IF($O109="",0,IF(COUNTIFS(업무일지!$F$5:$F$1004,$O109,업무일지!$B$5:$B$1004,"&gt;="&amp;DATE($B$3,1,1),업무일지!$B$5:$B$1004,"&lt;"&amp;DATE($B$3+1,1,1),업무일지!$D$5:$D$1004,"분석")&gt;0,1,0))</f>
        <v/>
      </c>
      <c r="BB109">
        <f>IF($O109="",0,IF(COUNTIFS(업무일지!$F$5:$F$1004,$O109,업무일지!$B$5:$B$1004,"&gt;="&amp;DATE($B$3,1,1),업무일지!$B$5:$B$1004,"&lt;"&amp;DATE($B$3+1,1,1))&gt;0,1,0))</f>
        <v/>
      </c>
    </row>
    <row r="110">
      <c r="O110">
        <f>IF(사건마스터!$A30="","",사건마스터!$A30)</f>
        <v/>
      </c>
      <c r="P110">
        <f>IF($O110="",0,IF(COUNTIFS(업무일지!$F$5:$F$1004,$O110,업무일지!$B$5:$B$1004,"&gt;="&amp;DATE($B$3,1,1),업무일지!$B$5:$B$1004,"&lt;"&amp;DATE($B$3,1+1,1),업무일지!$D$5:$D$1004,"출장")&gt;0,1,0))</f>
        <v/>
      </c>
      <c r="Q110">
        <f>IF($O110="",0,IF(COUNTIFS(업무일지!$F$5:$F$1004,$O110,업무일지!$B$5:$B$1004,"&gt;="&amp;DATE($B$3,2,1),업무일지!$B$5:$B$1004,"&lt;"&amp;DATE($B$3,2+1,1),업무일지!$D$5:$D$1004,"출장")&gt;0,1,0))</f>
        <v/>
      </c>
      <c r="R110">
        <f>IF($O110="",0,IF(COUNTIFS(업무일지!$F$5:$F$1004,$O110,업무일지!$B$5:$B$1004,"&gt;="&amp;DATE($B$3,3,1),업무일지!$B$5:$B$1004,"&lt;"&amp;DATE($B$3,3+1,1),업무일지!$D$5:$D$1004,"출장")&gt;0,1,0))</f>
        <v/>
      </c>
      <c r="S110">
        <f>IF($O110="",0,IF(COUNTIFS(업무일지!$F$5:$F$1004,$O110,업무일지!$B$5:$B$1004,"&gt;="&amp;DATE($B$3,4,1),업무일지!$B$5:$B$1004,"&lt;"&amp;DATE($B$3,4+1,1),업무일지!$D$5:$D$1004,"출장")&gt;0,1,0))</f>
        <v/>
      </c>
      <c r="T110">
        <f>IF($O110="",0,IF(COUNTIFS(업무일지!$F$5:$F$1004,$O110,업무일지!$B$5:$B$1004,"&gt;="&amp;DATE($B$3,5,1),업무일지!$B$5:$B$1004,"&lt;"&amp;DATE($B$3,5+1,1),업무일지!$D$5:$D$1004,"출장")&gt;0,1,0))</f>
        <v/>
      </c>
      <c r="U110">
        <f>IF($O110="",0,IF(COUNTIFS(업무일지!$F$5:$F$1004,$O110,업무일지!$B$5:$B$1004,"&gt;="&amp;DATE($B$3,6,1),업무일지!$B$5:$B$1004,"&lt;"&amp;DATE($B$3,6+1,1),업무일지!$D$5:$D$1004,"출장")&gt;0,1,0))</f>
        <v/>
      </c>
      <c r="V110">
        <f>IF($O110="",0,IF(COUNTIFS(업무일지!$F$5:$F$1004,$O110,업무일지!$B$5:$B$1004,"&gt;="&amp;DATE($B$3,7,1),업무일지!$B$5:$B$1004,"&lt;"&amp;DATE($B$3,7+1,1),업무일지!$D$5:$D$1004,"출장")&gt;0,1,0))</f>
        <v/>
      </c>
      <c r="W110">
        <f>IF($O110="",0,IF(COUNTIFS(업무일지!$F$5:$F$1004,$O110,업무일지!$B$5:$B$1004,"&gt;="&amp;DATE($B$3,8,1),업무일지!$B$5:$B$1004,"&lt;"&amp;DATE($B$3,8+1,1),업무일지!$D$5:$D$1004,"출장")&gt;0,1,0))</f>
        <v/>
      </c>
      <c r="X110">
        <f>IF($O110="",0,IF(COUNTIFS(업무일지!$F$5:$F$1004,$O110,업무일지!$B$5:$B$1004,"&gt;="&amp;DATE($B$3,9,1),업무일지!$B$5:$B$1004,"&lt;"&amp;DATE($B$3,9+1,1),업무일지!$D$5:$D$1004,"출장")&gt;0,1,0))</f>
        <v/>
      </c>
      <c r="Y110">
        <f>IF($O110="",0,IF(COUNTIFS(업무일지!$F$5:$F$1004,$O110,업무일지!$B$5:$B$1004,"&gt;="&amp;DATE($B$3,10,1),업무일지!$B$5:$B$1004,"&lt;"&amp;DATE($B$3,10+1,1),업무일지!$D$5:$D$1004,"출장")&gt;0,1,0))</f>
        <v/>
      </c>
      <c r="Z110">
        <f>IF($O110="",0,IF(COUNTIFS(업무일지!$F$5:$F$1004,$O110,업무일지!$B$5:$B$1004,"&gt;="&amp;DATE($B$3,11,1),업무일지!$B$5:$B$1004,"&lt;"&amp;DATE($B$3,11+1,1),업무일지!$D$5:$D$1004,"출장")&gt;0,1,0))</f>
        <v/>
      </c>
      <c r="AA110">
        <f>IF($O110="",0,IF(COUNTIFS(업무일지!$F$5:$F$1004,$O110,업무일지!$B$5:$B$1004,"&gt;="&amp;DATE($B$3,12,1),업무일지!$B$5:$B$1004,"&lt;"&amp;DATE($B$3,12+1,1),업무일지!$D$5:$D$1004,"출장")&gt;0,1,0))</f>
        <v/>
      </c>
      <c r="AB110">
        <f>IF($O110="",0,IF(COUNTIFS(업무일지!$F$5:$F$1004,$O110,업무일지!$B$5:$B$1004,"&gt;="&amp;DATE($B$3,1,1),업무일지!$B$5:$B$1004,"&lt;"&amp;DATE($B$3,1+1,1),업무일지!$D$5:$D$1004,"분석")&gt;0,1,0))</f>
        <v/>
      </c>
      <c r="AC110">
        <f>IF($O110="",0,IF(COUNTIFS(업무일지!$F$5:$F$1004,$O110,업무일지!$B$5:$B$1004,"&gt;="&amp;DATE($B$3,2,1),업무일지!$B$5:$B$1004,"&lt;"&amp;DATE($B$3,2+1,1),업무일지!$D$5:$D$1004,"분석")&gt;0,1,0))</f>
        <v/>
      </c>
      <c r="AD110">
        <f>IF($O110="",0,IF(COUNTIFS(업무일지!$F$5:$F$1004,$O110,업무일지!$B$5:$B$1004,"&gt;="&amp;DATE($B$3,3,1),업무일지!$B$5:$B$1004,"&lt;"&amp;DATE($B$3,3+1,1),업무일지!$D$5:$D$1004,"분석")&gt;0,1,0))</f>
        <v/>
      </c>
      <c r="AE110">
        <f>IF($O110="",0,IF(COUNTIFS(업무일지!$F$5:$F$1004,$O110,업무일지!$B$5:$B$1004,"&gt;="&amp;DATE($B$3,4,1),업무일지!$B$5:$B$1004,"&lt;"&amp;DATE($B$3,4+1,1),업무일지!$D$5:$D$1004,"분석")&gt;0,1,0))</f>
        <v/>
      </c>
      <c r="AF110">
        <f>IF($O110="",0,IF(COUNTIFS(업무일지!$F$5:$F$1004,$O110,업무일지!$B$5:$B$1004,"&gt;="&amp;DATE($B$3,5,1),업무일지!$B$5:$B$1004,"&lt;"&amp;DATE($B$3,5+1,1),업무일지!$D$5:$D$1004,"분석")&gt;0,1,0))</f>
        <v/>
      </c>
      <c r="AG110">
        <f>IF($O110="",0,IF(COUNTIFS(업무일지!$F$5:$F$1004,$O110,업무일지!$B$5:$B$1004,"&gt;="&amp;DATE($B$3,6,1),업무일지!$B$5:$B$1004,"&lt;"&amp;DATE($B$3,6+1,1),업무일지!$D$5:$D$1004,"분석")&gt;0,1,0))</f>
        <v/>
      </c>
      <c r="AH110">
        <f>IF($O110="",0,IF(COUNTIFS(업무일지!$F$5:$F$1004,$O110,업무일지!$B$5:$B$1004,"&gt;="&amp;DATE($B$3,7,1),업무일지!$B$5:$B$1004,"&lt;"&amp;DATE($B$3,7+1,1),업무일지!$D$5:$D$1004,"분석")&gt;0,1,0))</f>
        <v/>
      </c>
      <c r="AI110">
        <f>IF($O110="",0,IF(COUNTIFS(업무일지!$F$5:$F$1004,$O110,업무일지!$B$5:$B$1004,"&gt;="&amp;DATE($B$3,8,1),업무일지!$B$5:$B$1004,"&lt;"&amp;DATE($B$3,8+1,1),업무일지!$D$5:$D$1004,"분석")&gt;0,1,0))</f>
        <v/>
      </c>
      <c r="AJ110">
        <f>IF($O110="",0,IF(COUNTIFS(업무일지!$F$5:$F$1004,$O110,업무일지!$B$5:$B$1004,"&gt;="&amp;DATE($B$3,9,1),업무일지!$B$5:$B$1004,"&lt;"&amp;DATE($B$3,9+1,1),업무일지!$D$5:$D$1004,"분석")&gt;0,1,0))</f>
        <v/>
      </c>
      <c r="AK110">
        <f>IF($O110="",0,IF(COUNTIFS(업무일지!$F$5:$F$1004,$O110,업무일지!$B$5:$B$1004,"&gt;="&amp;DATE($B$3,10,1),업무일지!$B$5:$B$1004,"&lt;"&amp;DATE($B$3,10+1,1),업무일지!$D$5:$D$1004,"분석")&gt;0,1,0))</f>
        <v/>
      </c>
      <c r="AL110">
        <f>IF($O110="",0,IF(COUNTIFS(업무일지!$F$5:$F$1004,$O110,업무일지!$B$5:$B$1004,"&gt;="&amp;DATE($B$3,11,1),업무일지!$B$5:$B$1004,"&lt;"&amp;DATE($B$3,11+1,1),업무일지!$D$5:$D$1004,"분석")&gt;0,1,0))</f>
        <v/>
      </c>
      <c r="AM110">
        <f>IF($O110="",0,IF(COUNTIFS(업무일지!$F$5:$F$1004,$O110,업무일지!$B$5:$B$1004,"&gt;="&amp;DATE($B$3,12,1),업무일지!$B$5:$B$1004,"&lt;"&amp;DATE($B$3,12+1,1),업무일지!$D$5:$D$1004,"분석")&gt;0,1,0))</f>
        <v/>
      </c>
      <c r="AN110">
        <f>IF($O110="",0,IF(COUNTIFS(업무일지!$F$5:$F$1004,$O110,업무일지!$B$5:$B$1004,"&gt;="&amp;DATE($B$3,1,1),업무일지!$B$5:$B$1004,"&lt;"&amp;DATE($B$3,1+1,1))&gt;0,1,0))</f>
        <v/>
      </c>
      <c r="AO110">
        <f>IF($O110="",0,IF(COUNTIFS(업무일지!$F$5:$F$1004,$O110,업무일지!$B$5:$B$1004,"&gt;="&amp;DATE($B$3,2,1),업무일지!$B$5:$B$1004,"&lt;"&amp;DATE($B$3,2+1,1))&gt;0,1,0))</f>
        <v/>
      </c>
      <c r="AP110">
        <f>IF($O110="",0,IF(COUNTIFS(업무일지!$F$5:$F$1004,$O110,업무일지!$B$5:$B$1004,"&gt;="&amp;DATE($B$3,3,1),업무일지!$B$5:$B$1004,"&lt;"&amp;DATE($B$3,3+1,1))&gt;0,1,0))</f>
        <v/>
      </c>
      <c r="AQ110">
        <f>IF($O110="",0,IF(COUNTIFS(업무일지!$F$5:$F$1004,$O110,업무일지!$B$5:$B$1004,"&gt;="&amp;DATE($B$3,4,1),업무일지!$B$5:$B$1004,"&lt;"&amp;DATE($B$3,4+1,1))&gt;0,1,0))</f>
        <v/>
      </c>
      <c r="AR110">
        <f>IF($O110="",0,IF(COUNTIFS(업무일지!$F$5:$F$1004,$O110,업무일지!$B$5:$B$1004,"&gt;="&amp;DATE($B$3,5,1),업무일지!$B$5:$B$1004,"&lt;"&amp;DATE($B$3,5+1,1))&gt;0,1,0))</f>
        <v/>
      </c>
      <c r="AS110">
        <f>IF($O110="",0,IF(COUNTIFS(업무일지!$F$5:$F$1004,$O110,업무일지!$B$5:$B$1004,"&gt;="&amp;DATE($B$3,6,1),업무일지!$B$5:$B$1004,"&lt;"&amp;DATE($B$3,6+1,1))&gt;0,1,0))</f>
        <v/>
      </c>
      <c r="AT110">
        <f>IF($O110="",0,IF(COUNTIFS(업무일지!$F$5:$F$1004,$O110,업무일지!$B$5:$B$1004,"&gt;="&amp;DATE($B$3,7,1),업무일지!$B$5:$B$1004,"&lt;"&amp;DATE($B$3,7+1,1))&gt;0,1,0))</f>
        <v/>
      </c>
      <c r="AU110">
        <f>IF($O110="",0,IF(COUNTIFS(업무일지!$F$5:$F$1004,$O110,업무일지!$B$5:$B$1004,"&gt;="&amp;DATE($B$3,8,1),업무일지!$B$5:$B$1004,"&lt;"&amp;DATE($B$3,8+1,1))&gt;0,1,0))</f>
        <v/>
      </c>
      <c r="AV110">
        <f>IF($O110="",0,IF(COUNTIFS(업무일지!$F$5:$F$1004,$O110,업무일지!$B$5:$B$1004,"&gt;="&amp;DATE($B$3,9,1),업무일지!$B$5:$B$1004,"&lt;"&amp;DATE($B$3,9+1,1))&gt;0,1,0))</f>
        <v/>
      </c>
      <c r="AW110">
        <f>IF($O110="",0,IF(COUNTIFS(업무일지!$F$5:$F$1004,$O110,업무일지!$B$5:$B$1004,"&gt;="&amp;DATE($B$3,10,1),업무일지!$B$5:$B$1004,"&lt;"&amp;DATE($B$3,10+1,1))&gt;0,1,0))</f>
        <v/>
      </c>
      <c r="AX110">
        <f>IF($O110="",0,IF(COUNTIFS(업무일지!$F$5:$F$1004,$O110,업무일지!$B$5:$B$1004,"&gt;="&amp;DATE($B$3,11,1),업무일지!$B$5:$B$1004,"&lt;"&amp;DATE($B$3,11+1,1))&gt;0,1,0))</f>
        <v/>
      </c>
      <c r="AY110">
        <f>IF($O110="",0,IF(COUNTIFS(업무일지!$F$5:$F$1004,$O110,업무일지!$B$5:$B$1004,"&gt;="&amp;DATE($B$3,12,1),업무일지!$B$5:$B$1004,"&lt;"&amp;DATE($B$3,12+1,1))&gt;0,1,0))</f>
        <v/>
      </c>
      <c r="AZ110">
        <f>IF($O110="",0,IF(COUNTIFS(업무일지!$F$5:$F$1004,$O110,업무일지!$B$5:$B$1004,"&gt;="&amp;DATE($B$3,1,1),업무일지!$B$5:$B$1004,"&lt;"&amp;DATE($B$3+1,1,1),업무일지!$D$5:$D$1004,"출장")&gt;0,1,0))</f>
        <v/>
      </c>
      <c r="BA110">
        <f>IF($O110="",0,IF(COUNTIFS(업무일지!$F$5:$F$1004,$O110,업무일지!$B$5:$B$1004,"&gt;="&amp;DATE($B$3,1,1),업무일지!$B$5:$B$1004,"&lt;"&amp;DATE($B$3+1,1,1),업무일지!$D$5:$D$1004,"분석")&gt;0,1,0))</f>
        <v/>
      </c>
      <c r="BB110">
        <f>IF($O110="",0,IF(COUNTIFS(업무일지!$F$5:$F$1004,$O110,업무일지!$B$5:$B$1004,"&gt;="&amp;DATE($B$3,1,1),업무일지!$B$5:$B$1004,"&lt;"&amp;DATE($B$3+1,1,1))&gt;0,1,0))</f>
        <v/>
      </c>
    </row>
    <row r="111">
      <c r="O111">
        <f>IF(사건마스터!$A31="","",사건마스터!$A31)</f>
        <v/>
      </c>
      <c r="P111">
        <f>IF($O111="",0,IF(COUNTIFS(업무일지!$F$5:$F$1004,$O111,업무일지!$B$5:$B$1004,"&gt;="&amp;DATE($B$3,1,1),업무일지!$B$5:$B$1004,"&lt;"&amp;DATE($B$3,1+1,1),업무일지!$D$5:$D$1004,"출장")&gt;0,1,0))</f>
        <v/>
      </c>
      <c r="Q111">
        <f>IF($O111="",0,IF(COUNTIFS(업무일지!$F$5:$F$1004,$O111,업무일지!$B$5:$B$1004,"&gt;="&amp;DATE($B$3,2,1),업무일지!$B$5:$B$1004,"&lt;"&amp;DATE($B$3,2+1,1),업무일지!$D$5:$D$1004,"출장")&gt;0,1,0))</f>
        <v/>
      </c>
      <c r="R111">
        <f>IF($O111="",0,IF(COUNTIFS(업무일지!$F$5:$F$1004,$O111,업무일지!$B$5:$B$1004,"&gt;="&amp;DATE($B$3,3,1),업무일지!$B$5:$B$1004,"&lt;"&amp;DATE($B$3,3+1,1),업무일지!$D$5:$D$1004,"출장")&gt;0,1,0))</f>
        <v/>
      </c>
      <c r="S111">
        <f>IF($O111="",0,IF(COUNTIFS(업무일지!$F$5:$F$1004,$O111,업무일지!$B$5:$B$1004,"&gt;="&amp;DATE($B$3,4,1),업무일지!$B$5:$B$1004,"&lt;"&amp;DATE($B$3,4+1,1),업무일지!$D$5:$D$1004,"출장")&gt;0,1,0))</f>
        <v/>
      </c>
      <c r="T111">
        <f>IF($O111="",0,IF(COUNTIFS(업무일지!$F$5:$F$1004,$O111,업무일지!$B$5:$B$1004,"&gt;="&amp;DATE($B$3,5,1),업무일지!$B$5:$B$1004,"&lt;"&amp;DATE($B$3,5+1,1),업무일지!$D$5:$D$1004,"출장")&gt;0,1,0))</f>
        <v/>
      </c>
      <c r="U111">
        <f>IF($O111="",0,IF(COUNTIFS(업무일지!$F$5:$F$1004,$O111,업무일지!$B$5:$B$1004,"&gt;="&amp;DATE($B$3,6,1),업무일지!$B$5:$B$1004,"&lt;"&amp;DATE($B$3,6+1,1),업무일지!$D$5:$D$1004,"출장")&gt;0,1,0))</f>
        <v/>
      </c>
      <c r="V111">
        <f>IF($O111="",0,IF(COUNTIFS(업무일지!$F$5:$F$1004,$O111,업무일지!$B$5:$B$1004,"&gt;="&amp;DATE($B$3,7,1),업무일지!$B$5:$B$1004,"&lt;"&amp;DATE($B$3,7+1,1),업무일지!$D$5:$D$1004,"출장")&gt;0,1,0))</f>
        <v/>
      </c>
      <c r="W111">
        <f>IF($O111="",0,IF(COUNTIFS(업무일지!$F$5:$F$1004,$O111,업무일지!$B$5:$B$1004,"&gt;="&amp;DATE($B$3,8,1),업무일지!$B$5:$B$1004,"&lt;"&amp;DATE($B$3,8+1,1),업무일지!$D$5:$D$1004,"출장")&gt;0,1,0))</f>
        <v/>
      </c>
      <c r="X111">
        <f>IF($O111="",0,IF(COUNTIFS(업무일지!$F$5:$F$1004,$O111,업무일지!$B$5:$B$1004,"&gt;="&amp;DATE($B$3,9,1),업무일지!$B$5:$B$1004,"&lt;"&amp;DATE($B$3,9+1,1),업무일지!$D$5:$D$1004,"출장")&gt;0,1,0))</f>
        <v/>
      </c>
      <c r="Y111">
        <f>IF($O111="",0,IF(COUNTIFS(업무일지!$F$5:$F$1004,$O111,업무일지!$B$5:$B$1004,"&gt;="&amp;DATE($B$3,10,1),업무일지!$B$5:$B$1004,"&lt;"&amp;DATE($B$3,10+1,1),업무일지!$D$5:$D$1004,"출장")&gt;0,1,0))</f>
        <v/>
      </c>
      <c r="Z111">
        <f>IF($O111="",0,IF(COUNTIFS(업무일지!$F$5:$F$1004,$O111,업무일지!$B$5:$B$1004,"&gt;="&amp;DATE($B$3,11,1),업무일지!$B$5:$B$1004,"&lt;"&amp;DATE($B$3,11+1,1),업무일지!$D$5:$D$1004,"출장")&gt;0,1,0))</f>
        <v/>
      </c>
      <c r="AA111">
        <f>IF($O111="",0,IF(COUNTIFS(업무일지!$F$5:$F$1004,$O111,업무일지!$B$5:$B$1004,"&gt;="&amp;DATE($B$3,12,1),업무일지!$B$5:$B$1004,"&lt;"&amp;DATE($B$3,12+1,1),업무일지!$D$5:$D$1004,"출장")&gt;0,1,0))</f>
        <v/>
      </c>
      <c r="AB111">
        <f>IF($O111="",0,IF(COUNTIFS(업무일지!$F$5:$F$1004,$O111,업무일지!$B$5:$B$1004,"&gt;="&amp;DATE($B$3,1,1),업무일지!$B$5:$B$1004,"&lt;"&amp;DATE($B$3,1+1,1),업무일지!$D$5:$D$1004,"분석")&gt;0,1,0))</f>
        <v/>
      </c>
      <c r="AC111">
        <f>IF($O111="",0,IF(COUNTIFS(업무일지!$F$5:$F$1004,$O111,업무일지!$B$5:$B$1004,"&gt;="&amp;DATE($B$3,2,1),업무일지!$B$5:$B$1004,"&lt;"&amp;DATE($B$3,2+1,1),업무일지!$D$5:$D$1004,"분석")&gt;0,1,0))</f>
        <v/>
      </c>
      <c r="AD111">
        <f>IF($O111="",0,IF(COUNTIFS(업무일지!$F$5:$F$1004,$O111,업무일지!$B$5:$B$1004,"&gt;="&amp;DATE($B$3,3,1),업무일지!$B$5:$B$1004,"&lt;"&amp;DATE($B$3,3+1,1),업무일지!$D$5:$D$1004,"분석")&gt;0,1,0))</f>
        <v/>
      </c>
      <c r="AE111">
        <f>IF($O111="",0,IF(COUNTIFS(업무일지!$F$5:$F$1004,$O111,업무일지!$B$5:$B$1004,"&gt;="&amp;DATE($B$3,4,1),업무일지!$B$5:$B$1004,"&lt;"&amp;DATE($B$3,4+1,1),업무일지!$D$5:$D$1004,"분석")&gt;0,1,0))</f>
        <v/>
      </c>
      <c r="AF111">
        <f>IF($O111="",0,IF(COUNTIFS(업무일지!$F$5:$F$1004,$O111,업무일지!$B$5:$B$1004,"&gt;="&amp;DATE($B$3,5,1),업무일지!$B$5:$B$1004,"&lt;"&amp;DATE($B$3,5+1,1),업무일지!$D$5:$D$1004,"분석")&gt;0,1,0))</f>
        <v/>
      </c>
      <c r="AG111">
        <f>IF($O111="",0,IF(COUNTIFS(업무일지!$F$5:$F$1004,$O111,업무일지!$B$5:$B$1004,"&gt;="&amp;DATE($B$3,6,1),업무일지!$B$5:$B$1004,"&lt;"&amp;DATE($B$3,6+1,1),업무일지!$D$5:$D$1004,"분석")&gt;0,1,0))</f>
        <v/>
      </c>
      <c r="AH111">
        <f>IF($O111="",0,IF(COUNTIFS(업무일지!$F$5:$F$1004,$O111,업무일지!$B$5:$B$1004,"&gt;="&amp;DATE($B$3,7,1),업무일지!$B$5:$B$1004,"&lt;"&amp;DATE($B$3,7+1,1),업무일지!$D$5:$D$1004,"분석")&gt;0,1,0))</f>
        <v/>
      </c>
      <c r="AI111">
        <f>IF($O111="",0,IF(COUNTIFS(업무일지!$F$5:$F$1004,$O111,업무일지!$B$5:$B$1004,"&gt;="&amp;DATE($B$3,8,1),업무일지!$B$5:$B$1004,"&lt;"&amp;DATE($B$3,8+1,1),업무일지!$D$5:$D$1004,"분석")&gt;0,1,0))</f>
        <v/>
      </c>
      <c r="AJ111">
        <f>IF($O111="",0,IF(COUNTIFS(업무일지!$F$5:$F$1004,$O111,업무일지!$B$5:$B$1004,"&gt;="&amp;DATE($B$3,9,1),업무일지!$B$5:$B$1004,"&lt;"&amp;DATE($B$3,9+1,1),업무일지!$D$5:$D$1004,"분석")&gt;0,1,0))</f>
        <v/>
      </c>
      <c r="AK111">
        <f>IF($O111="",0,IF(COUNTIFS(업무일지!$F$5:$F$1004,$O111,업무일지!$B$5:$B$1004,"&gt;="&amp;DATE($B$3,10,1),업무일지!$B$5:$B$1004,"&lt;"&amp;DATE($B$3,10+1,1),업무일지!$D$5:$D$1004,"분석")&gt;0,1,0))</f>
        <v/>
      </c>
      <c r="AL111">
        <f>IF($O111="",0,IF(COUNTIFS(업무일지!$F$5:$F$1004,$O111,업무일지!$B$5:$B$1004,"&gt;="&amp;DATE($B$3,11,1),업무일지!$B$5:$B$1004,"&lt;"&amp;DATE($B$3,11+1,1),업무일지!$D$5:$D$1004,"분석")&gt;0,1,0))</f>
        <v/>
      </c>
      <c r="AM111">
        <f>IF($O111="",0,IF(COUNTIFS(업무일지!$F$5:$F$1004,$O111,업무일지!$B$5:$B$1004,"&gt;="&amp;DATE($B$3,12,1),업무일지!$B$5:$B$1004,"&lt;"&amp;DATE($B$3,12+1,1),업무일지!$D$5:$D$1004,"분석")&gt;0,1,0))</f>
        <v/>
      </c>
      <c r="AN111">
        <f>IF($O111="",0,IF(COUNTIFS(업무일지!$F$5:$F$1004,$O111,업무일지!$B$5:$B$1004,"&gt;="&amp;DATE($B$3,1,1),업무일지!$B$5:$B$1004,"&lt;"&amp;DATE($B$3,1+1,1))&gt;0,1,0))</f>
        <v/>
      </c>
      <c r="AO111">
        <f>IF($O111="",0,IF(COUNTIFS(업무일지!$F$5:$F$1004,$O111,업무일지!$B$5:$B$1004,"&gt;="&amp;DATE($B$3,2,1),업무일지!$B$5:$B$1004,"&lt;"&amp;DATE($B$3,2+1,1))&gt;0,1,0))</f>
        <v/>
      </c>
      <c r="AP111">
        <f>IF($O111="",0,IF(COUNTIFS(업무일지!$F$5:$F$1004,$O111,업무일지!$B$5:$B$1004,"&gt;="&amp;DATE($B$3,3,1),업무일지!$B$5:$B$1004,"&lt;"&amp;DATE($B$3,3+1,1))&gt;0,1,0))</f>
        <v/>
      </c>
      <c r="AQ111">
        <f>IF($O111="",0,IF(COUNTIFS(업무일지!$F$5:$F$1004,$O111,업무일지!$B$5:$B$1004,"&gt;="&amp;DATE($B$3,4,1),업무일지!$B$5:$B$1004,"&lt;"&amp;DATE($B$3,4+1,1))&gt;0,1,0))</f>
        <v/>
      </c>
      <c r="AR111">
        <f>IF($O111="",0,IF(COUNTIFS(업무일지!$F$5:$F$1004,$O111,업무일지!$B$5:$B$1004,"&gt;="&amp;DATE($B$3,5,1),업무일지!$B$5:$B$1004,"&lt;"&amp;DATE($B$3,5+1,1))&gt;0,1,0))</f>
        <v/>
      </c>
      <c r="AS111">
        <f>IF($O111="",0,IF(COUNTIFS(업무일지!$F$5:$F$1004,$O111,업무일지!$B$5:$B$1004,"&gt;="&amp;DATE($B$3,6,1),업무일지!$B$5:$B$1004,"&lt;"&amp;DATE($B$3,6+1,1))&gt;0,1,0))</f>
        <v/>
      </c>
      <c r="AT111">
        <f>IF($O111="",0,IF(COUNTIFS(업무일지!$F$5:$F$1004,$O111,업무일지!$B$5:$B$1004,"&gt;="&amp;DATE($B$3,7,1),업무일지!$B$5:$B$1004,"&lt;"&amp;DATE($B$3,7+1,1))&gt;0,1,0))</f>
        <v/>
      </c>
      <c r="AU111">
        <f>IF($O111="",0,IF(COUNTIFS(업무일지!$F$5:$F$1004,$O111,업무일지!$B$5:$B$1004,"&gt;="&amp;DATE($B$3,8,1),업무일지!$B$5:$B$1004,"&lt;"&amp;DATE($B$3,8+1,1))&gt;0,1,0))</f>
        <v/>
      </c>
      <c r="AV111">
        <f>IF($O111="",0,IF(COUNTIFS(업무일지!$F$5:$F$1004,$O111,업무일지!$B$5:$B$1004,"&gt;="&amp;DATE($B$3,9,1),업무일지!$B$5:$B$1004,"&lt;"&amp;DATE($B$3,9+1,1))&gt;0,1,0))</f>
        <v/>
      </c>
      <c r="AW111">
        <f>IF($O111="",0,IF(COUNTIFS(업무일지!$F$5:$F$1004,$O111,업무일지!$B$5:$B$1004,"&gt;="&amp;DATE($B$3,10,1),업무일지!$B$5:$B$1004,"&lt;"&amp;DATE($B$3,10+1,1))&gt;0,1,0))</f>
        <v/>
      </c>
      <c r="AX111">
        <f>IF($O111="",0,IF(COUNTIFS(업무일지!$F$5:$F$1004,$O111,업무일지!$B$5:$B$1004,"&gt;="&amp;DATE($B$3,11,1),업무일지!$B$5:$B$1004,"&lt;"&amp;DATE($B$3,11+1,1))&gt;0,1,0))</f>
        <v/>
      </c>
      <c r="AY111">
        <f>IF($O111="",0,IF(COUNTIFS(업무일지!$F$5:$F$1004,$O111,업무일지!$B$5:$B$1004,"&gt;="&amp;DATE($B$3,12,1),업무일지!$B$5:$B$1004,"&lt;"&amp;DATE($B$3,12+1,1))&gt;0,1,0))</f>
        <v/>
      </c>
      <c r="AZ111">
        <f>IF($O111="",0,IF(COUNTIFS(업무일지!$F$5:$F$1004,$O111,업무일지!$B$5:$B$1004,"&gt;="&amp;DATE($B$3,1,1),업무일지!$B$5:$B$1004,"&lt;"&amp;DATE($B$3+1,1,1),업무일지!$D$5:$D$1004,"출장")&gt;0,1,0))</f>
        <v/>
      </c>
      <c r="BA111">
        <f>IF($O111="",0,IF(COUNTIFS(업무일지!$F$5:$F$1004,$O111,업무일지!$B$5:$B$1004,"&gt;="&amp;DATE($B$3,1,1),업무일지!$B$5:$B$1004,"&lt;"&amp;DATE($B$3+1,1,1),업무일지!$D$5:$D$1004,"분석")&gt;0,1,0))</f>
        <v/>
      </c>
      <c r="BB111">
        <f>IF($O111="",0,IF(COUNTIFS(업무일지!$F$5:$F$1004,$O111,업무일지!$B$5:$B$1004,"&gt;="&amp;DATE($B$3,1,1),업무일지!$B$5:$B$1004,"&lt;"&amp;DATE($B$3+1,1,1))&gt;0,1,0))</f>
        <v/>
      </c>
    </row>
    <row r="112">
      <c r="O112">
        <f>IF(사건마스터!$A32="","",사건마스터!$A32)</f>
        <v/>
      </c>
      <c r="P112">
        <f>IF($O112="",0,IF(COUNTIFS(업무일지!$F$5:$F$1004,$O112,업무일지!$B$5:$B$1004,"&gt;="&amp;DATE($B$3,1,1),업무일지!$B$5:$B$1004,"&lt;"&amp;DATE($B$3,1+1,1),업무일지!$D$5:$D$1004,"출장")&gt;0,1,0))</f>
        <v/>
      </c>
      <c r="Q112">
        <f>IF($O112="",0,IF(COUNTIFS(업무일지!$F$5:$F$1004,$O112,업무일지!$B$5:$B$1004,"&gt;="&amp;DATE($B$3,2,1),업무일지!$B$5:$B$1004,"&lt;"&amp;DATE($B$3,2+1,1),업무일지!$D$5:$D$1004,"출장")&gt;0,1,0))</f>
        <v/>
      </c>
      <c r="R112">
        <f>IF($O112="",0,IF(COUNTIFS(업무일지!$F$5:$F$1004,$O112,업무일지!$B$5:$B$1004,"&gt;="&amp;DATE($B$3,3,1),업무일지!$B$5:$B$1004,"&lt;"&amp;DATE($B$3,3+1,1),업무일지!$D$5:$D$1004,"출장")&gt;0,1,0))</f>
        <v/>
      </c>
      <c r="S112">
        <f>IF($O112="",0,IF(COUNTIFS(업무일지!$F$5:$F$1004,$O112,업무일지!$B$5:$B$1004,"&gt;="&amp;DATE($B$3,4,1),업무일지!$B$5:$B$1004,"&lt;"&amp;DATE($B$3,4+1,1),업무일지!$D$5:$D$1004,"출장")&gt;0,1,0))</f>
        <v/>
      </c>
      <c r="T112">
        <f>IF($O112="",0,IF(COUNTIFS(업무일지!$F$5:$F$1004,$O112,업무일지!$B$5:$B$1004,"&gt;="&amp;DATE($B$3,5,1),업무일지!$B$5:$B$1004,"&lt;"&amp;DATE($B$3,5+1,1),업무일지!$D$5:$D$1004,"출장")&gt;0,1,0))</f>
        <v/>
      </c>
      <c r="U112">
        <f>IF($O112="",0,IF(COUNTIFS(업무일지!$F$5:$F$1004,$O112,업무일지!$B$5:$B$1004,"&gt;="&amp;DATE($B$3,6,1),업무일지!$B$5:$B$1004,"&lt;"&amp;DATE($B$3,6+1,1),업무일지!$D$5:$D$1004,"출장")&gt;0,1,0))</f>
        <v/>
      </c>
      <c r="V112">
        <f>IF($O112="",0,IF(COUNTIFS(업무일지!$F$5:$F$1004,$O112,업무일지!$B$5:$B$1004,"&gt;="&amp;DATE($B$3,7,1),업무일지!$B$5:$B$1004,"&lt;"&amp;DATE($B$3,7+1,1),업무일지!$D$5:$D$1004,"출장")&gt;0,1,0))</f>
        <v/>
      </c>
      <c r="W112">
        <f>IF($O112="",0,IF(COUNTIFS(업무일지!$F$5:$F$1004,$O112,업무일지!$B$5:$B$1004,"&gt;="&amp;DATE($B$3,8,1),업무일지!$B$5:$B$1004,"&lt;"&amp;DATE($B$3,8+1,1),업무일지!$D$5:$D$1004,"출장")&gt;0,1,0))</f>
        <v/>
      </c>
      <c r="X112">
        <f>IF($O112="",0,IF(COUNTIFS(업무일지!$F$5:$F$1004,$O112,업무일지!$B$5:$B$1004,"&gt;="&amp;DATE($B$3,9,1),업무일지!$B$5:$B$1004,"&lt;"&amp;DATE($B$3,9+1,1),업무일지!$D$5:$D$1004,"출장")&gt;0,1,0))</f>
        <v/>
      </c>
      <c r="Y112">
        <f>IF($O112="",0,IF(COUNTIFS(업무일지!$F$5:$F$1004,$O112,업무일지!$B$5:$B$1004,"&gt;="&amp;DATE($B$3,10,1),업무일지!$B$5:$B$1004,"&lt;"&amp;DATE($B$3,10+1,1),업무일지!$D$5:$D$1004,"출장")&gt;0,1,0))</f>
        <v/>
      </c>
      <c r="Z112">
        <f>IF($O112="",0,IF(COUNTIFS(업무일지!$F$5:$F$1004,$O112,업무일지!$B$5:$B$1004,"&gt;="&amp;DATE($B$3,11,1),업무일지!$B$5:$B$1004,"&lt;"&amp;DATE($B$3,11+1,1),업무일지!$D$5:$D$1004,"출장")&gt;0,1,0))</f>
        <v/>
      </c>
      <c r="AA112">
        <f>IF($O112="",0,IF(COUNTIFS(업무일지!$F$5:$F$1004,$O112,업무일지!$B$5:$B$1004,"&gt;="&amp;DATE($B$3,12,1),업무일지!$B$5:$B$1004,"&lt;"&amp;DATE($B$3,12+1,1),업무일지!$D$5:$D$1004,"출장")&gt;0,1,0))</f>
        <v/>
      </c>
      <c r="AB112">
        <f>IF($O112="",0,IF(COUNTIFS(업무일지!$F$5:$F$1004,$O112,업무일지!$B$5:$B$1004,"&gt;="&amp;DATE($B$3,1,1),업무일지!$B$5:$B$1004,"&lt;"&amp;DATE($B$3,1+1,1),업무일지!$D$5:$D$1004,"분석")&gt;0,1,0))</f>
        <v/>
      </c>
      <c r="AC112">
        <f>IF($O112="",0,IF(COUNTIFS(업무일지!$F$5:$F$1004,$O112,업무일지!$B$5:$B$1004,"&gt;="&amp;DATE($B$3,2,1),업무일지!$B$5:$B$1004,"&lt;"&amp;DATE($B$3,2+1,1),업무일지!$D$5:$D$1004,"분석")&gt;0,1,0))</f>
        <v/>
      </c>
      <c r="AD112">
        <f>IF($O112="",0,IF(COUNTIFS(업무일지!$F$5:$F$1004,$O112,업무일지!$B$5:$B$1004,"&gt;="&amp;DATE($B$3,3,1),업무일지!$B$5:$B$1004,"&lt;"&amp;DATE($B$3,3+1,1),업무일지!$D$5:$D$1004,"분석")&gt;0,1,0))</f>
        <v/>
      </c>
      <c r="AE112">
        <f>IF($O112="",0,IF(COUNTIFS(업무일지!$F$5:$F$1004,$O112,업무일지!$B$5:$B$1004,"&gt;="&amp;DATE($B$3,4,1),업무일지!$B$5:$B$1004,"&lt;"&amp;DATE($B$3,4+1,1),업무일지!$D$5:$D$1004,"분석")&gt;0,1,0))</f>
        <v/>
      </c>
      <c r="AF112">
        <f>IF($O112="",0,IF(COUNTIFS(업무일지!$F$5:$F$1004,$O112,업무일지!$B$5:$B$1004,"&gt;="&amp;DATE($B$3,5,1),업무일지!$B$5:$B$1004,"&lt;"&amp;DATE($B$3,5+1,1),업무일지!$D$5:$D$1004,"분석")&gt;0,1,0))</f>
        <v/>
      </c>
      <c r="AG112">
        <f>IF($O112="",0,IF(COUNTIFS(업무일지!$F$5:$F$1004,$O112,업무일지!$B$5:$B$1004,"&gt;="&amp;DATE($B$3,6,1),업무일지!$B$5:$B$1004,"&lt;"&amp;DATE($B$3,6+1,1),업무일지!$D$5:$D$1004,"분석")&gt;0,1,0))</f>
        <v/>
      </c>
      <c r="AH112">
        <f>IF($O112="",0,IF(COUNTIFS(업무일지!$F$5:$F$1004,$O112,업무일지!$B$5:$B$1004,"&gt;="&amp;DATE($B$3,7,1),업무일지!$B$5:$B$1004,"&lt;"&amp;DATE($B$3,7+1,1),업무일지!$D$5:$D$1004,"분석")&gt;0,1,0))</f>
        <v/>
      </c>
      <c r="AI112">
        <f>IF($O112="",0,IF(COUNTIFS(업무일지!$F$5:$F$1004,$O112,업무일지!$B$5:$B$1004,"&gt;="&amp;DATE($B$3,8,1),업무일지!$B$5:$B$1004,"&lt;"&amp;DATE($B$3,8+1,1),업무일지!$D$5:$D$1004,"분석")&gt;0,1,0))</f>
        <v/>
      </c>
      <c r="AJ112">
        <f>IF($O112="",0,IF(COUNTIFS(업무일지!$F$5:$F$1004,$O112,업무일지!$B$5:$B$1004,"&gt;="&amp;DATE($B$3,9,1),업무일지!$B$5:$B$1004,"&lt;"&amp;DATE($B$3,9+1,1),업무일지!$D$5:$D$1004,"분석")&gt;0,1,0))</f>
        <v/>
      </c>
      <c r="AK112">
        <f>IF($O112="",0,IF(COUNTIFS(업무일지!$F$5:$F$1004,$O112,업무일지!$B$5:$B$1004,"&gt;="&amp;DATE($B$3,10,1),업무일지!$B$5:$B$1004,"&lt;"&amp;DATE($B$3,10+1,1),업무일지!$D$5:$D$1004,"분석")&gt;0,1,0))</f>
        <v/>
      </c>
      <c r="AL112">
        <f>IF($O112="",0,IF(COUNTIFS(업무일지!$F$5:$F$1004,$O112,업무일지!$B$5:$B$1004,"&gt;="&amp;DATE($B$3,11,1),업무일지!$B$5:$B$1004,"&lt;"&amp;DATE($B$3,11+1,1),업무일지!$D$5:$D$1004,"분석")&gt;0,1,0))</f>
        <v/>
      </c>
      <c r="AM112">
        <f>IF($O112="",0,IF(COUNTIFS(업무일지!$F$5:$F$1004,$O112,업무일지!$B$5:$B$1004,"&gt;="&amp;DATE($B$3,12,1),업무일지!$B$5:$B$1004,"&lt;"&amp;DATE($B$3,12+1,1),업무일지!$D$5:$D$1004,"분석")&gt;0,1,0))</f>
        <v/>
      </c>
      <c r="AN112">
        <f>IF($O112="",0,IF(COUNTIFS(업무일지!$F$5:$F$1004,$O112,업무일지!$B$5:$B$1004,"&gt;="&amp;DATE($B$3,1,1),업무일지!$B$5:$B$1004,"&lt;"&amp;DATE($B$3,1+1,1))&gt;0,1,0))</f>
        <v/>
      </c>
      <c r="AO112">
        <f>IF($O112="",0,IF(COUNTIFS(업무일지!$F$5:$F$1004,$O112,업무일지!$B$5:$B$1004,"&gt;="&amp;DATE($B$3,2,1),업무일지!$B$5:$B$1004,"&lt;"&amp;DATE($B$3,2+1,1))&gt;0,1,0))</f>
        <v/>
      </c>
      <c r="AP112">
        <f>IF($O112="",0,IF(COUNTIFS(업무일지!$F$5:$F$1004,$O112,업무일지!$B$5:$B$1004,"&gt;="&amp;DATE($B$3,3,1),업무일지!$B$5:$B$1004,"&lt;"&amp;DATE($B$3,3+1,1))&gt;0,1,0))</f>
        <v/>
      </c>
      <c r="AQ112">
        <f>IF($O112="",0,IF(COUNTIFS(업무일지!$F$5:$F$1004,$O112,업무일지!$B$5:$B$1004,"&gt;="&amp;DATE($B$3,4,1),업무일지!$B$5:$B$1004,"&lt;"&amp;DATE($B$3,4+1,1))&gt;0,1,0))</f>
        <v/>
      </c>
      <c r="AR112">
        <f>IF($O112="",0,IF(COUNTIFS(업무일지!$F$5:$F$1004,$O112,업무일지!$B$5:$B$1004,"&gt;="&amp;DATE($B$3,5,1),업무일지!$B$5:$B$1004,"&lt;"&amp;DATE($B$3,5+1,1))&gt;0,1,0))</f>
        <v/>
      </c>
      <c r="AS112">
        <f>IF($O112="",0,IF(COUNTIFS(업무일지!$F$5:$F$1004,$O112,업무일지!$B$5:$B$1004,"&gt;="&amp;DATE($B$3,6,1),업무일지!$B$5:$B$1004,"&lt;"&amp;DATE($B$3,6+1,1))&gt;0,1,0))</f>
        <v/>
      </c>
      <c r="AT112">
        <f>IF($O112="",0,IF(COUNTIFS(업무일지!$F$5:$F$1004,$O112,업무일지!$B$5:$B$1004,"&gt;="&amp;DATE($B$3,7,1),업무일지!$B$5:$B$1004,"&lt;"&amp;DATE($B$3,7+1,1))&gt;0,1,0))</f>
        <v/>
      </c>
      <c r="AU112">
        <f>IF($O112="",0,IF(COUNTIFS(업무일지!$F$5:$F$1004,$O112,업무일지!$B$5:$B$1004,"&gt;="&amp;DATE($B$3,8,1),업무일지!$B$5:$B$1004,"&lt;"&amp;DATE($B$3,8+1,1))&gt;0,1,0))</f>
        <v/>
      </c>
      <c r="AV112">
        <f>IF($O112="",0,IF(COUNTIFS(업무일지!$F$5:$F$1004,$O112,업무일지!$B$5:$B$1004,"&gt;="&amp;DATE($B$3,9,1),업무일지!$B$5:$B$1004,"&lt;"&amp;DATE($B$3,9+1,1))&gt;0,1,0))</f>
        <v/>
      </c>
      <c r="AW112">
        <f>IF($O112="",0,IF(COUNTIFS(업무일지!$F$5:$F$1004,$O112,업무일지!$B$5:$B$1004,"&gt;="&amp;DATE($B$3,10,1),업무일지!$B$5:$B$1004,"&lt;"&amp;DATE($B$3,10+1,1))&gt;0,1,0))</f>
        <v/>
      </c>
      <c r="AX112">
        <f>IF($O112="",0,IF(COUNTIFS(업무일지!$F$5:$F$1004,$O112,업무일지!$B$5:$B$1004,"&gt;="&amp;DATE($B$3,11,1),업무일지!$B$5:$B$1004,"&lt;"&amp;DATE($B$3,11+1,1))&gt;0,1,0))</f>
        <v/>
      </c>
      <c r="AY112">
        <f>IF($O112="",0,IF(COUNTIFS(업무일지!$F$5:$F$1004,$O112,업무일지!$B$5:$B$1004,"&gt;="&amp;DATE($B$3,12,1),업무일지!$B$5:$B$1004,"&lt;"&amp;DATE($B$3,12+1,1))&gt;0,1,0))</f>
        <v/>
      </c>
      <c r="AZ112">
        <f>IF($O112="",0,IF(COUNTIFS(업무일지!$F$5:$F$1004,$O112,업무일지!$B$5:$B$1004,"&gt;="&amp;DATE($B$3,1,1),업무일지!$B$5:$B$1004,"&lt;"&amp;DATE($B$3+1,1,1),업무일지!$D$5:$D$1004,"출장")&gt;0,1,0))</f>
        <v/>
      </c>
      <c r="BA112">
        <f>IF($O112="",0,IF(COUNTIFS(업무일지!$F$5:$F$1004,$O112,업무일지!$B$5:$B$1004,"&gt;="&amp;DATE($B$3,1,1),업무일지!$B$5:$B$1004,"&lt;"&amp;DATE($B$3+1,1,1),업무일지!$D$5:$D$1004,"분석")&gt;0,1,0))</f>
        <v/>
      </c>
      <c r="BB112">
        <f>IF($O112="",0,IF(COUNTIFS(업무일지!$F$5:$F$1004,$O112,업무일지!$B$5:$B$1004,"&gt;="&amp;DATE($B$3,1,1),업무일지!$B$5:$B$1004,"&lt;"&amp;DATE($B$3+1,1,1))&gt;0,1,0))</f>
        <v/>
      </c>
    </row>
    <row r="113">
      <c r="O113">
        <f>IF(사건마스터!$A33="","",사건마스터!$A33)</f>
        <v/>
      </c>
      <c r="P113">
        <f>IF($O113="",0,IF(COUNTIFS(업무일지!$F$5:$F$1004,$O113,업무일지!$B$5:$B$1004,"&gt;="&amp;DATE($B$3,1,1),업무일지!$B$5:$B$1004,"&lt;"&amp;DATE($B$3,1+1,1),업무일지!$D$5:$D$1004,"출장")&gt;0,1,0))</f>
        <v/>
      </c>
      <c r="Q113">
        <f>IF($O113="",0,IF(COUNTIFS(업무일지!$F$5:$F$1004,$O113,업무일지!$B$5:$B$1004,"&gt;="&amp;DATE($B$3,2,1),업무일지!$B$5:$B$1004,"&lt;"&amp;DATE($B$3,2+1,1),업무일지!$D$5:$D$1004,"출장")&gt;0,1,0))</f>
        <v/>
      </c>
      <c r="R113">
        <f>IF($O113="",0,IF(COUNTIFS(업무일지!$F$5:$F$1004,$O113,업무일지!$B$5:$B$1004,"&gt;="&amp;DATE($B$3,3,1),업무일지!$B$5:$B$1004,"&lt;"&amp;DATE($B$3,3+1,1),업무일지!$D$5:$D$1004,"출장")&gt;0,1,0))</f>
        <v/>
      </c>
      <c r="S113">
        <f>IF($O113="",0,IF(COUNTIFS(업무일지!$F$5:$F$1004,$O113,업무일지!$B$5:$B$1004,"&gt;="&amp;DATE($B$3,4,1),업무일지!$B$5:$B$1004,"&lt;"&amp;DATE($B$3,4+1,1),업무일지!$D$5:$D$1004,"출장")&gt;0,1,0))</f>
        <v/>
      </c>
      <c r="T113">
        <f>IF($O113="",0,IF(COUNTIFS(업무일지!$F$5:$F$1004,$O113,업무일지!$B$5:$B$1004,"&gt;="&amp;DATE($B$3,5,1),업무일지!$B$5:$B$1004,"&lt;"&amp;DATE($B$3,5+1,1),업무일지!$D$5:$D$1004,"출장")&gt;0,1,0))</f>
        <v/>
      </c>
      <c r="U113">
        <f>IF($O113="",0,IF(COUNTIFS(업무일지!$F$5:$F$1004,$O113,업무일지!$B$5:$B$1004,"&gt;="&amp;DATE($B$3,6,1),업무일지!$B$5:$B$1004,"&lt;"&amp;DATE($B$3,6+1,1),업무일지!$D$5:$D$1004,"출장")&gt;0,1,0))</f>
        <v/>
      </c>
      <c r="V113">
        <f>IF($O113="",0,IF(COUNTIFS(업무일지!$F$5:$F$1004,$O113,업무일지!$B$5:$B$1004,"&gt;="&amp;DATE($B$3,7,1),업무일지!$B$5:$B$1004,"&lt;"&amp;DATE($B$3,7+1,1),업무일지!$D$5:$D$1004,"출장")&gt;0,1,0))</f>
        <v/>
      </c>
      <c r="W113">
        <f>IF($O113="",0,IF(COUNTIFS(업무일지!$F$5:$F$1004,$O113,업무일지!$B$5:$B$1004,"&gt;="&amp;DATE($B$3,8,1),업무일지!$B$5:$B$1004,"&lt;"&amp;DATE($B$3,8+1,1),업무일지!$D$5:$D$1004,"출장")&gt;0,1,0))</f>
        <v/>
      </c>
      <c r="X113">
        <f>IF($O113="",0,IF(COUNTIFS(업무일지!$F$5:$F$1004,$O113,업무일지!$B$5:$B$1004,"&gt;="&amp;DATE($B$3,9,1),업무일지!$B$5:$B$1004,"&lt;"&amp;DATE($B$3,9+1,1),업무일지!$D$5:$D$1004,"출장")&gt;0,1,0))</f>
        <v/>
      </c>
      <c r="Y113">
        <f>IF($O113="",0,IF(COUNTIFS(업무일지!$F$5:$F$1004,$O113,업무일지!$B$5:$B$1004,"&gt;="&amp;DATE($B$3,10,1),업무일지!$B$5:$B$1004,"&lt;"&amp;DATE($B$3,10+1,1),업무일지!$D$5:$D$1004,"출장")&gt;0,1,0))</f>
        <v/>
      </c>
      <c r="Z113">
        <f>IF($O113="",0,IF(COUNTIFS(업무일지!$F$5:$F$1004,$O113,업무일지!$B$5:$B$1004,"&gt;="&amp;DATE($B$3,11,1),업무일지!$B$5:$B$1004,"&lt;"&amp;DATE($B$3,11+1,1),업무일지!$D$5:$D$1004,"출장")&gt;0,1,0))</f>
        <v/>
      </c>
      <c r="AA113">
        <f>IF($O113="",0,IF(COUNTIFS(업무일지!$F$5:$F$1004,$O113,업무일지!$B$5:$B$1004,"&gt;="&amp;DATE($B$3,12,1),업무일지!$B$5:$B$1004,"&lt;"&amp;DATE($B$3,12+1,1),업무일지!$D$5:$D$1004,"출장")&gt;0,1,0))</f>
        <v/>
      </c>
      <c r="AB113">
        <f>IF($O113="",0,IF(COUNTIFS(업무일지!$F$5:$F$1004,$O113,업무일지!$B$5:$B$1004,"&gt;="&amp;DATE($B$3,1,1),업무일지!$B$5:$B$1004,"&lt;"&amp;DATE($B$3,1+1,1),업무일지!$D$5:$D$1004,"분석")&gt;0,1,0))</f>
        <v/>
      </c>
      <c r="AC113">
        <f>IF($O113="",0,IF(COUNTIFS(업무일지!$F$5:$F$1004,$O113,업무일지!$B$5:$B$1004,"&gt;="&amp;DATE($B$3,2,1),업무일지!$B$5:$B$1004,"&lt;"&amp;DATE($B$3,2+1,1),업무일지!$D$5:$D$1004,"분석")&gt;0,1,0))</f>
        <v/>
      </c>
      <c r="AD113">
        <f>IF($O113="",0,IF(COUNTIFS(업무일지!$F$5:$F$1004,$O113,업무일지!$B$5:$B$1004,"&gt;="&amp;DATE($B$3,3,1),업무일지!$B$5:$B$1004,"&lt;"&amp;DATE($B$3,3+1,1),업무일지!$D$5:$D$1004,"분석")&gt;0,1,0))</f>
        <v/>
      </c>
      <c r="AE113">
        <f>IF($O113="",0,IF(COUNTIFS(업무일지!$F$5:$F$1004,$O113,업무일지!$B$5:$B$1004,"&gt;="&amp;DATE($B$3,4,1),업무일지!$B$5:$B$1004,"&lt;"&amp;DATE($B$3,4+1,1),업무일지!$D$5:$D$1004,"분석")&gt;0,1,0))</f>
        <v/>
      </c>
      <c r="AF113">
        <f>IF($O113="",0,IF(COUNTIFS(업무일지!$F$5:$F$1004,$O113,업무일지!$B$5:$B$1004,"&gt;="&amp;DATE($B$3,5,1),업무일지!$B$5:$B$1004,"&lt;"&amp;DATE($B$3,5+1,1),업무일지!$D$5:$D$1004,"분석")&gt;0,1,0))</f>
        <v/>
      </c>
      <c r="AG113">
        <f>IF($O113="",0,IF(COUNTIFS(업무일지!$F$5:$F$1004,$O113,업무일지!$B$5:$B$1004,"&gt;="&amp;DATE($B$3,6,1),업무일지!$B$5:$B$1004,"&lt;"&amp;DATE($B$3,6+1,1),업무일지!$D$5:$D$1004,"분석")&gt;0,1,0))</f>
        <v/>
      </c>
      <c r="AH113">
        <f>IF($O113="",0,IF(COUNTIFS(업무일지!$F$5:$F$1004,$O113,업무일지!$B$5:$B$1004,"&gt;="&amp;DATE($B$3,7,1),업무일지!$B$5:$B$1004,"&lt;"&amp;DATE($B$3,7+1,1),업무일지!$D$5:$D$1004,"분석")&gt;0,1,0))</f>
        <v/>
      </c>
      <c r="AI113">
        <f>IF($O113="",0,IF(COUNTIFS(업무일지!$F$5:$F$1004,$O113,업무일지!$B$5:$B$1004,"&gt;="&amp;DATE($B$3,8,1),업무일지!$B$5:$B$1004,"&lt;"&amp;DATE($B$3,8+1,1),업무일지!$D$5:$D$1004,"분석")&gt;0,1,0))</f>
        <v/>
      </c>
      <c r="AJ113">
        <f>IF($O113="",0,IF(COUNTIFS(업무일지!$F$5:$F$1004,$O113,업무일지!$B$5:$B$1004,"&gt;="&amp;DATE($B$3,9,1),업무일지!$B$5:$B$1004,"&lt;"&amp;DATE($B$3,9+1,1),업무일지!$D$5:$D$1004,"분석")&gt;0,1,0))</f>
        <v/>
      </c>
      <c r="AK113">
        <f>IF($O113="",0,IF(COUNTIFS(업무일지!$F$5:$F$1004,$O113,업무일지!$B$5:$B$1004,"&gt;="&amp;DATE($B$3,10,1),업무일지!$B$5:$B$1004,"&lt;"&amp;DATE($B$3,10+1,1),업무일지!$D$5:$D$1004,"분석")&gt;0,1,0))</f>
        <v/>
      </c>
      <c r="AL113">
        <f>IF($O113="",0,IF(COUNTIFS(업무일지!$F$5:$F$1004,$O113,업무일지!$B$5:$B$1004,"&gt;="&amp;DATE($B$3,11,1),업무일지!$B$5:$B$1004,"&lt;"&amp;DATE($B$3,11+1,1),업무일지!$D$5:$D$1004,"분석")&gt;0,1,0))</f>
        <v/>
      </c>
      <c r="AM113">
        <f>IF($O113="",0,IF(COUNTIFS(업무일지!$F$5:$F$1004,$O113,업무일지!$B$5:$B$1004,"&gt;="&amp;DATE($B$3,12,1),업무일지!$B$5:$B$1004,"&lt;"&amp;DATE($B$3,12+1,1),업무일지!$D$5:$D$1004,"분석")&gt;0,1,0))</f>
        <v/>
      </c>
      <c r="AN113">
        <f>IF($O113="",0,IF(COUNTIFS(업무일지!$F$5:$F$1004,$O113,업무일지!$B$5:$B$1004,"&gt;="&amp;DATE($B$3,1,1),업무일지!$B$5:$B$1004,"&lt;"&amp;DATE($B$3,1+1,1))&gt;0,1,0))</f>
        <v/>
      </c>
      <c r="AO113">
        <f>IF($O113="",0,IF(COUNTIFS(업무일지!$F$5:$F$1004,$O113,업무일지!$B$5:$B$1004,"&gt;="&amp;DATE($B$3,2,1),업무일지!$B$5:$B$1004,"&lt;"&amp;DATE($B$3,2+1,1))&gt;0,1,0))</f>
        <v/>
      </c>
      <c r="AP113">
        <f>IF($O113="",0,IF(COUNTIFS(업무일지!$F$5:$F$1004,$O113,업무일지!$B$5:$B$1004,"&gt;="&amp;DATE($B$3,3,1),업무일지!$B$5:$B$1004,"&lt;"&amp;DATE($B$3,3+1,1))&gt;0,1,0))</f>
        <v/>
      </c>
      <c r="AQ113">
        <f>IF($O113="",0,IF(COUNTIFS(업무일지!$F$5:$F$1004,$O113,업무일지!$B$5:$B$1004,"&gt;="&amp;DATE($B$3,4,1),업무일지!$B$5:$B$1004,"&lt;"&amp;DATE($B$3,4+1,1))&gt;0,1,0))</f>
        <v/>
      </c>
      <c r="AR113">
        <f>IF($O113="",0,IF(COUNTIFS(업무일지!$F$5:$F$1004,$O113,업무일지!$B$5:$B$1004,"&gt;="&amp;DATE($B$3,5,1),업무일지!$B$5:$B$1004,"&lt;"&amp;DATE($B$3,5+1,1))&gt;0,1,0))</f>
        <v/>
      </c>
      <c r="AS113">
        <f>IF($O113="",0,IF(COUNTIFS(업무일지!$F$5:$F$1004,$O113,업무일지!$B$5:$B$1004,"&gt;="&amp;DATE($B$3,6,1),업무일지!$B$5:$B$1004,"&lt;"&amp;DATE($B$3,6+1,1))&gt;0,1,0))</f>
        <v/>
      </c>
      <c r="AT113">
        <f>IF($O113="",0,IF(COUNTIFS(업무일지!$F$5:$F$1004,$O113,업무일지!$B$5:$B$1004,"&gt;="&amp;DATE($B$3,7,1),업무일지!$B$5:$B$1004,"&lt;"&amp;DATE($B$3,7+1,1))&gt;0,1,0))</f>
        <v/>
      </c>
      <c r="AU113">
        <f>IF($O113="",0,IF(COUNTIFS(업무일지!$F$5:$F$1004,$O113,업무일지!$B$5:$B$1004,"&gt;="&amp;DATE($B$3,8,1),업무일지!$B$5:$B$1004,"&lt;"&amp;DATE($B$3,8+1,1))&gt;0,1,0))</f>
        <v/>
      </c>
      <c r="AV113">
        <f>IF($O113="",0,IF(COUNTIFS(업무일지!$F$5:$F$1004,$O113,업무일지!$B$5:$B$1004,"&gt;="&amp;DATE($B$3,9,1),업무일지!$B$5:$B$1004,"&lt;"&amp;DATE($B$3,9+1,1))&gt;0,1,0))</f>
        <v/>
      </c>
      <c r="AW113">
        <f>IF($O113="",0,IF(COUNTIFS(업무일지!$F$5:$F$1004,$O113,업무일지!$B$5:$B$1004,"&gt;="&amp;DATE($B$3,10,1),업무일지!$B$5:$B$1004,"&lt;"&amp;DATE($B$3,10+1,1))&gt;0,1,0))</f>
        <v/>
      </c>
      <c r="AX113">
        <f>IF($O113="",0,IF(COUNTIFS(업무일지!$F$5:$F$1004,$O113,업무일지!$B$5:$B$1004,"&gt;="&amp;DATE($B$3,11,1),업무일지!$B$5:$B$1004,"&lt;"&amp;DATE($B$3,11+1,1))&gt;0,1,0))</f>
        <v/>
      </c>
      <c r="AY113">
        <f>IF($O113="",0,IF(COUNTIFS(업무일지!$F$5:$F$1004,$O113,업무일지!$B$5:$B$1004,"&gt;="&amp;DATE($B$3,12,1),업무일지!$B$5:$B$1004,"&lt;"&amp;DATE($B$3,12+1,1))&gt;0,1,0))</f>
        <v/>
      </c>
      <c r="AZ113">
        <f>IF($O113="",0,IF(COUNTIFS(업무일지!$F$5:$F$1004,$O113,업무일지!$B$5:$B$1004,"&gt;="&amp;DATE($B$3,1,1),업무일지!$B$5:$B$1004,"&lt;"&amp;DATE($B$3+1,1,1),업무일지!$D$5:$D$1004,"출장")&gt;0,1,0))</f>
        <v/>
      </c>
      <c r="BA113">
        <f>IF($O113="",0,IF(COUNTIFS(업무일지!$F$5:$F$1004,$O113,업무일지!$B$5:$B$1004,"&gt;="&amp;DATE($B$3,1,1),업무일지!$B$5:$B$1004,"&lt;"&amp;DATE($B$3+1,1,1),업무일지!$D$5:$D$1004,"분석")&gt;0,1,0))</f>
        <v/>
      </c>
      <c r="BB113">
        <f>IF($O113="",0,IF(COUNTIFS(업무일지!$F$5:$F$1004,$O113,업무일지!$B$5:$B$1004,"&gt;="&amp;DATE($B$3,1,1),업무일지!$B$5:$B$1004,"&lt;"&amp;DATE($B$3+1,1,1))&gt;0,1,0))</f>
        <v/>
      </c>
    </row>
    <row r="114">
      <c r="O114">
        <f>IF(사건마스터!$A34="","",사건마스터!$A34)</f>
        <v/>
      </c>
      <c r="P114">
        <f>IF($O114="",0,IF(COUNTIFS(업무일지!$F$5:$F$1004,$O114,업무일지!$B$5:$B$1004,"&gt;="&amp;DATE($B$3,1,1),업무일지!$B$5:$B$1004,"&lt;"&amp;DATE($B$3,1+1,1),업무일지!$D$5:$D$1004,"출장")&gt;0,1,0))</f>
        <v/>
      </c>
      <c r="Q114">
        <f>IF($O114="",0,IF(COUNTIFS(업무일지!$F$5:$F$1004,$O114,업무일지!$B$5:$B$1004,"&gt;="&amp;DATE($B$3,2,1),업무일지!$B$5:$B$1004,"&lt;"&amp;DATE($B$3,2+1,1),업무일지!$D$5:$D$1004,"출장")&gt;0,1,0))</f>
        <v/>
      </c>
      <c r="R114">
        <f>IF($O114="",0,IF(COUNTIFS(업무일지!$F$5:$F$1004,$O114,업무일지!$B$5:$B$1004,"&gt;="&amp;DATE($B$3,3,1),업무일지!$B$5:$B$1004,"&lt;"&amp;DATE($B$3,3+1,1),업무일지!$D$5:$D$1004,"출장")&gt;0,1,0))</f>
        <v/>
      </c>
      <c r="S114">
        <f>IF($O114="",0,IF(COUNTIFS(업무일지!$F$5:$F$1004,$O114,업무일지!$B$5:$B$1004,"&gt;="&amp;DATE($B$3,4,1),업무일지!$B$5:$B$1004,"&lt;"&amp;DATE($B$3,4+1,1),업무일지!$D$5:$D$1004,"출장")&gt;0,1,0))</f>
        <v/>
      </c>
      <c r="T114">
        <f>IF($O114="",0,IF(COUNTIFS(업무일지!$F$5:$F$1004,$O114,업무일지!$B$5:$B$1004,"&gt;="&amp;DATE($B$3,5,1),업무일지!$B$5:$B$1004,"&lt;"&amp;DATE($B$3,5+1,1),업무일지!$D$5:$D$1004,"출장")&gt;0,1,0))</f>
        <v/>
      </c>
      <c r="U114">
        <f>IF($O114="",0,IF(COUNTIFS(업무일지!$F$5:$F$1004,$O114,업무일지!$B$5:$B$1004,"&gt;="&amp;DATE($B$3,6,1),업무일지!$B$5:$B$1004,"&lt;"&amp;DATE($B$3,6+1,1),업무일지!$D$5:$D$1004,"출장")&gt;0,1,0))</f>
        <v/>
      </c>
      <c r="V114">
        <f>IF($O114="",0,IF(COUNTIFS(업무일지!$F$5:$F$1004,$O114,업무일지!$B$5:$B$1004,"&gt;="&amp;DATE($B$3,7,1),업무일지!$B$5:$B$1004,"&lt;"&amp;DATE($B$3,7+1,1),업무일지!$D$5:$D$1004,"출장")&gt;0,1,0))</f>
        <v/>
      </c>
      <c r="W114">
        <f>IF($O114="",0,IF(COUNTIFS(업무일지!$F$5:$F$1004,$O114,업무일지!$B$5:$B$1004,"&gt;="&amp;DATE($B$3,8,1),업무일지!$B$5:$B$1004,"&lt;"&amp;DATE($B$3,8+1,1),업무일지!$D$5:$D$1004,"출장")&gt;0,1,0))</f>
        <v/>
      </c>
      <c r="X114">
        <f>IF($O114="",0,IF(COUNTIFS(업무일지!$F$5:$F$1004,$O114,업무일지!$B$5:$B$1004,"&gt;="&amp;DATE($B$3,9,1),업무일지!$B$5:$B$1004,"&lt;"&amp;DATE($B$3,9+1,1),업무일지!$D$5:$D$1004,"출장")&gt;0,1,0))</f>
        <v/>
      </c>
      <c r="Y114">
        <f>IF($O114="",0,IF(COUNTIFS(업무일지!$F$5:$F$1004,$O114,업무일지!$B$5:$B$1004,"&gt;="&amp;DATE($B$3,10,1),업무일지!$B$5:$B$1004,"&lt;"&amp;DATE($B$3,10+1,1),업무일지!$D$5:$D$1004,"출장")&gt;0,1,0))</f>
        <v/>
      </c>
      <c r="Z114">
        <f>IF($O114="",0,IF(COUNTIFS(업무일지!$F$5:$F$1004,$O114,업무일지!$B$5:$B$1004,"&gt;="&amp;DATE($B$3,11,1),업무일지!$B$5:$B$1004,"&lt;"&amp;DATE($B$3,11+1,1),업무일지!$D$5:$D$1004,"출장")&gt;0,1,0))</f>
        <v/>
      </c>
      <c r="AA114">
        <f>IF($O114="",0,IF(COUNTIFS(업무일지!$F$5:$F$1004,$O114,업무일지!$B$5:$B$1004,"&gt;="&amp;DATE($B$3,12,1),업무일지!$B$5:$B$1004,"&lt;"&amp;DATE($B$3,12+1,1),업무일지!$D$5:$D$1004,"출장")&gt;0,1,0))</f>
        <v/>
      </c>
      <c r="AB114">
        <f>IF($O114="",0,IF(COUNTIFS(업무일지!$F$5:$F$1004,$O114,업무일지!$B$5:$B$1004,"&gt;="&amp;DATE($B$3,1,1),업무일지!$B$5:$B$1004,"&lt;"&amp;DATE($B$3,1+1,1),업무일지!$D$5:$D$1004,"분석")&gt;0,1,0))</f>
        <v/>
      </c>
      <c r="AC114">
        <f>IF($O114="",0,IF(COUNTIFS(업무일지!$F$5:$F$1004,$O114,업무일지!$B$5:$B$1004,"&gt;="&amp;DATE($B$3,2,1),업무일지!$B$5:$B$1004,"&lt;"&amp;DATE($B$3,2+1,1),업무일지!$D$5:$D$1004,"분석")&gt;0,1,0))</f>
        <v/>
      </c>
      <c r="AD114">
        <f>IF($O114="",0,IF(COUNTIFS(업무일지!$F$5:$F$1004,$O114,업무일지!$B$5:$B$1004,"&gt;="&amp;DATE($B$3,3,1),업무일지!$B$5:$B$1004,"&lt;"&amp;DATE($B$3,3+1,1),업무일지!$D$5:$D$1004,"분석")&gt;0,1,0))</f>
        <v/>
      </c>
      <c r="AE114">
        <f>IF($O114="",0,IF(COUNTIFS(업무일지!$F$5:$F$1004,$O114,업무일지!$B$5:$B$1004,"&gt;="&amp;DATE($B$3,4,1),업무일지!$B$5:$B$1004,"&lt;"&amp;DATE($B$3,4+1,1),업무일지!$D$5:$D$1004,"분석")&gt;0,1,0))</f>
        <v/>
      </c>
      <c r="AF114">
        <f>IF($O114="",0,IF(COUNTIFS(업무일지!$F$5:$F$1004,$O114,업무일지!$B$5:$B$1004,"&gt;="&amp;DATE($B$3,5,1),업무일지!$B$5:$B$1004,"&lt;"&amp;DATE($B$3,5+1,1),업무일지!$D$5:$D$1004,"분석")&gt;0,1,0))</f>
        <v/>
      </c>
      <c r="AG114">
        <f>IF($O114="",0,IF(COUNTIFS(업무일지!$F$5:$F$1004,$O114,업무일지!$B$5:$B$1004,"&gt;="&amp;DATE($B$3,6,1),업무일지!$B$5:$B$1004,"&lt;"&amp;DATE($B$3,6+1,1),업무일지!$D$5:$D$1004,"분석")&gt;0,1,0))</f>
        <v/>
      </c>
      <c r="AH114">
        <f>IF($O114="",0,IF(COUNTIFS(업무일지!$F$5:$F$1004,$O114,업무일지!$B$5:$B$1004,"&gt;="&amp;DATE($B$3,7,1),업무일지!$B$5:$B$1004,"&lt;"&amp;DATE($B$3,7+1,1),업무일지!$D$5:$D$1004,"분석")&gt;0,1,0))</f>
        <v/>
      </c>
      <c r="AI114">
        <f>IF($O114="",0,IF(COUNTIFS(업무일지!$F$5:$F$1004,$O114,업무일지!$B$5:$B$1004,"&gt;="&amp;DATE($B$3,8,1),업무일지!$B$5:$B$1004,"&lt;"&amp;DATE($B$3,8+1,1),업무일지!$D$5:$D$1004,"분석")&gt;0,1,0))</f>
        <v/>
      </c>
      <c r="AJ114">
        <f>IF($O114="",0,IF(COUNTIFS(업무일지!$F$5:$F$1004,$O114,업무일지!$B$5:$B$1004,"&gt;="&amp;DATE($B$3,9,1),업무일지!$B$5:$B$1004,"&lt;"&amp;DATE($B$3,9+1,1),업무일지!$D$5:$D$1004,"분석")&gt;0,1,0))</f>
        <v/>
      </c>
      <c r="AK114">
        <f>IF($O114="",0,IF(COUNTIFS(업무일지!$F$5:$F$1004,$O114,업무일지!$B$5:$B$1004,"&gt;="&amp;DATE($B$3,10,1),업무일지!$B$5:$B$1004,"&lt;"&amp;DATE($B$3,10+1,1),업무일지!$D$5:$D$1004,"분석")&gt;0,1,0))</f>
        <v/>
      </c>
      <c r="AL114">
        <f>IF($O114="",0,IF(COUNTIFS(업무일지!$F$5:$F$1004,$O114,업무일지!$B$5:$B$1004,"&gt;="&amp;DATE($B$3,11,1),업무일지!$B$5:$B$1004,"&lt;"&amp;DATE($B$3,11+1,1),업무일지!$D$5:$D$1004,"분석")&gt;0,1,0))</f>
        <v/>
      </c>
      <c r="AM114">
        <f>IF($O114="",0,IF(COUNTIFS(업무일지!$F$5:$F$1004,$O114,업무일지!$B$5:$B$1004,"&gt;="&amp;DATE($B$3,12,1),업무일지!$B$5:$B$1004,"&lt;"&amp;DATE($B$3,12+1,1),업무일지!$D$5:$D$1004,"분석")&gt;0,1,0))</f>
        <v/>
      </c>
      <c r="AN114">
        <f>IF($O114="",0,IF(COUNTIFS(업무일지!$F$5:$F$1004,$O114,업무일지!$B$5:$B$1004,"&gt;="&amp;DATE($B$3,1,1),업무일지!$B$5:$B$1004,"&lt;"&amp;DATE($B$3,1+1,1))&gt;0,1,0))</f>
        <v/>
      </c>
      <c r="AO114">
        <f>IF($O114="",0,IF(COUNTIFS(업무일지!$F$5:$F$1004,$O114,업무일지!$B$5:$B$1004,"&gt;="&amp;DATE($B$3,2,1),업무일지!$B$5:$B$1004,"&lt;"&amp;DATE($B$3,2+1,1))&gt;0,1,0))</f>
        <v/>
      </c>
      <c r="AP114">
        <f>IF($O114="",0,IF(COUNTIFS(업무일지!$F$5:$F$1004,$O114,업무일지!$B$5:$B$1004,"&gt;="&amp;DATE($B$3,3,1),업무일지!$B$5:$B$1004,"&lt;"&amp;DATE($B$3,3+1,1))&gt;0,1,0))</f>
        <v/>
      </c>
      <c r="AQ114">
        <f>IF($O114="",0,IF(COUNTIFS(업무일지!$F$5:$F$1004,$O114,업무일지!$B$5:$B$1004,"&gt;="&amp;DATE($B$3,4,1),업무일지!$B$5:$B$1004,"&lt;"&amp;DATE($B$3,4+1,1))&gt;0,1,0))</f>
        <v/>
      </c>
      <c r="AR114">
        <f>IF($O114="",0,IF(COUNTIFS(업무일지!$F$5:$F$1004,$O114,업무일지!$B$5:$B$1004,"&gt;="&amp;DATE($B$3,5,1),업무일지!$B$5:$B$1004,"&lt;"&amp;DATE($B$3,5+1,1))&gt;0,1,0))</f>
        <v/>
      </c>
      <c r="AS114">
        <f>IF($O114="",0,IF(COUNTIFS(업무일지!$F$5:$F$1004,$O114,업무일지!$B$5:$B$1004,"&gt;="&amp;DATE($B$3,6,1),업무일지!$B$5:$B$1004,"&lt;"&amp;DATE($B$3,6+1,1))&gt;0,1,0))</f>
        <v/>
      </c>
      <c r="AT114">
        <f>IF($O114="",0,IF(COUNTIFS(업무일지!$F$5:$F$1004,$O114,업무일지!$B$5:$B$1004,"&gt;="&amp;DATE($B$3,7,1),업무일지!$B$5:$B$1004,"&lt;"&amp;DATE($B$3,7+1,1))&gt;0,1,0))</f>
        <v/>
      </c>
      <c r="AU114">
        <f>IF($O114="",0,IF(COUNTIFS(업무일지!$F$5:$F$1004,$O114,업무일지!$B$5:$B$1004,"&gt;="&amp;DATE($B$3,8,1),업무일지!$B$5:$B$1004,"&lt;"&amp;DATE($B$3,8+1,1))&gt;0,1,0))</f>
        <v/>
      </c>
      <c r="AV114">
        <f>IF($O114="",0,IF(COUNTIFS(업무일지!$F$5:$F$1004,$O114,업무일지!$B$5:$B$1004,"&gt;="&amp;DATE($B$3,9,1),업무일지!$B$5:$B$1004,"&lt;"&amp;DATE($B$3,9+1,1))&gt;0,1,0))</f>
        <v/>
      </c>
      <c r="AW114">
        <f>IF($O114="",0,IF(COUNTIFS(업무일지!$F$5:$F$1004,$O114,업무일지!$B$5:$B$1004,"&gt;="&amp;DATE($B$3,10,1),업무일지!$B$5:$B$1004,"&lt;"&amp;DATE($B$3,10+1,1))&gt;0,1,0))</f>
        <v/>
      </c>
      <c r="AX114">
        <f>IF($O114="",0,IF(COUNTIFS(업무일지!$F$5:$F$1004,$O114,업무일지!$B$5:$B$1004,"&gt;="&amp;DATE($B$3,11,1),업무일지!$B$5:$B$1004,"&lt;"&amp;DATE($B$3,11+1,1))&gt;0,1,0))</f>
        <v/>
      </c>
      <c r="AY114">
        <f>IF($O114="",0,IF(COUNTIFS(업무일지!$F$5:$F$1004,$O114,업무일지!$B$5:$B$1004,"&gt;="&amp;DATE($B$3,12,1),업무일지!$B$5:$B$1004,"&lt;"&amp;DATE($B$3,12+1,1))&gt;0,1,0))</f>
        <v/>
      </c>
      <c r="AZ114">
        <f>IF($O114="",0,IF(COUNTIFS(업무일지!$F$5:$F$1004,$O114,업무일지!$B$5:$B$1004,"&gt;="&amp;DATE($B$3,1,1),업무일지!$B$5:$B$1004,"&lt;"&amp;DATE($B$3+1,1,1),업무일지!$D$5:$D$1004,"출장")&gt;0,1,0))</f>
        <v/>
      </c>
      <c r="BA114">
        <f>IF($O114="",0,IF(COUNTIFS(업무일지!$F$5:$F$1004,$O114,업무일지!$B$5:$B$1004,"&gt;="&amp;DATE($B$3,1,1),업무일지!$B$5:$B$1004,"&lt;"&amp;DATE($B$3+1,1,1),업무일지!$D$5:$D$1004,"분석")&gt;0,1,0))</f>
        <v/>
      </c>
      <c r="BB114">
        <f>IF($O114="",0,IF(COUNTIFS(업무일지!$F$5:$F$1004,$O114,업무일지!$B$5:$B$1004,"&gt;="&amp;DATE($B$3,1,1),업무일지!$B$5:$B$1004,"&lt;"&amp;DATE($B$3+1,1,1))&gt;0,1,0))</f>
        <v/>
      </c>
    </row>
    <row r="115">
      <c r="O115">
        <f>IF(사건마스터!$A35="","",사건마스터!$A35)</f>
        <v/>
      </c>
      <c r="P115">
        <f>IF($O115="",0,IF(COUNTIFS(업무일지!$F$5:$F$1004,$O115,업무일지!$B$5:$B$1004,"&gt;="&amp;DATE($B$3,1,1),업무일지!$B$5:$B$1004,"&lt;"&amp;DATE($B$3,1+1,1),업무일지!$D$5:$D$1004,"출장")&gt;0,1,0))</f>
        <v/>
      </c>
      <c r="Q115">
        <f>IF($O115="",0,IF(COUNTIFS(업무일지!$F$5:$F$1004,$O115,업무일지!$B$5:$B$1004,"&gt;="&amp;DATE($B$3,2,1),업무일지!$B$5:$B$1004,"&lt;"&amp;DATE($B$3,2+1,1),업무일지!$D$5:$D$1004,"출장")&gt;0,1,0))</f>
        <v/>
      </c>
      <c r="R115">
        <f>IF($O115="",0,IF(COUNTIFS(업무일지!$F$5:$F$1004,$O115,업무일지!$B$5:$B$1004,"&gt;="&amp;DATE($B$3,3,1),업무일지!$B$5:$B$1004,"&lt;"&amp;DATE($B$3,3+1,1),업무일지!$D$5:$D$1004,"출장")&gt;0,1,0))</f>
        <v/>
      </c>
      <c r="S115">
        <f>IF($O115="",0,IF(COUNTIFS(업무일지!$F$5:$F$1004,$O115,업무일지!$B$5:$B$1004,"&gt;="&amp;DATE($B$3,4,1),업무일지!$B$5:$B$1004,"&lt;"&amp;DATE($B$3,4+1,1),업무일지!$D$5:$D$1004,"출장")&gt;0,1,0))</f>
        <v/>
      </c>
      <c r="T115">
        <f>IF($O115="",0,IF(COUNTIFS(업무일지!$F$5:$F$1004,$O115,업무일지!$B$5:$B$1004,"&gt;="&amp;DATE($B$3,5,1),업무일지!$B$5:$B$1004,"&lt;"&amp;DATE($B$3,5+1,1),업무일지!$D$5:$D$1004,"출장")&gt;0,1,0))</f>
        <v/>
      </c>
      <c r="U115">
        <f>IF($O115="",0,IF(COUNTIFS(업무일지!$F$5:$F$1004,$O115,업무일지!$B$5:$B$1004,"&gt;="&amp;DATE($B$3,6,1),업무일지!$B$5:$B$1004,"&lt;"&amp;DATE($B$3,6+1,1),업무일지!$D$5:$D$1004,"출장")&gt;0,1,0))</f>
        <v/>
      </c>
      <c r="V115">
        <f>IF($O115="",0,IF(COUNTIFS(업무일지!$F$5:$F$1004,$O115,업무일지!$B$5:$B$1004,"&gt;="&amp;DATE($B$3,7,1),업무일지!$B$5:$B$1004,"&lt;"&amp;DATE($B$3,7+1,1),업무일지!$D$5:$D$1004,"출장")&gt;0,1,0))</f>
        <v/>
      </c>
      <c r="W115">
        <f>IF($O115="",0,IF(COUNTIFS(업무일지!$F$5:$F$1004,$O115,업무일지!$B$5:$B$1004,"&gt;="&amp;DATE($B$3,8,1),업무일지!$B$5:$B$1004,"&lt;"&amp;DATE($B$3,8+1,1),업무일지!$D$5:$D$1004,"출장")&gt;0,1,0))</f>
        <v/>
      </c>
      <c r="X115">
        <f>IF($O115="",0,IF(COUNTIFS(업무일지!$F$5:$F$1004,$O115,업무일지!$B$5:$B$1004,"&gt;="&amp;DATE($B$3,9,1),업무일지!$B$5:$B$1004,"&lt;"&amp;DATE($B$3,9+1,1),업무일지!$D$5:$D$1004,"출장")&gt;0,1,0))</f>
        <v/>
      </c>
      <c r="Y115">
        <f>IF($O115="",0,IF(COUNTIFS(업무일지!$F$5:$F$1004,$O115,업무일지!$B$5:$B$1004,"&gt;="&amp;DATE($B$3,10,1),업무일지!$B$5:$B$1004,"&lt;"&amp;DATE($B$3,10+1,1),업무일지!$D$5:$D$1004,"출장")&gt;0,1,0))</f>
        <v/>
      </c>
      <c r="Z115">
        <f>IF($O115="",0,IF(COUNTIFS(업무일지!$F$5:$F$1004,$O115,업무일지!$B$5:$B$1004,"&gt;="&amp;DATE($B$3,11,1),업무일지!$B$5:$B$1004,"&lt;"&amp;DATE($B$3,11+1,1),업무일지!$D$5:$D$1004,"출장")&gt;0,1,0))</f>
        <v/>
      </c>
      <c r="AA115">
        <f>IF($O115="",0,IF(COUNTIFS(업무일지!$F$5:$F$1004,$O115,업무일지!$B$5:$B$1004,"&gt;="&amp;DATE($B$3,12,1),업무일지!$B$5:$B$1004,"&lt;"&amp;DATE($B$3,12+1,1),업무일지!$D$5:$D$1004,"출장")&gt;0,1,0))</f>
        <v/>
      </c>
      <c r="AB115">
        <f>IF($O115="",0,IF(COUNTIFS(업무일지!$F$5:$F$1004,$O115,업무일지!$B$5:$B$1004,"&gt;="&amp;DATE($B$3,1,1),업무일지!$B$5:$B$1004,"&lt;"&amp;DATE($B$3,1+1,1),업무일지!$D$5:$D$1004,"분석")&gt;0,1,0))</f>
        <v/>
      </c>
      <c r="AC115">
        <f>IF($O115="",0,IF(COUNTIFS(업무일지!$F$5:$F$1004,$O115,업무일지!$B$5:$B$1004,"&gt;="&amp;DATE($B$3,2,1),업무일지!$B$5:$B$1004,"&lt;"&amp;DATE($B$3,2+1,1),업무일지!$D$5:$D$1004,"분석")&gt;0,1,0))</f>
        <v/>
      </c>
      <c r="AD115">
        <f>IF($O115="",0,IF(COUNTIFS(업무일지!$F$5:$F$1004,$O115,업무일지!$B$5:$B$1004,"&gt;="&amp;DATE($B$3,3,1),업무일지!$B$5:$B$1004,"&lt;"&amp;DATE($B$3,3+1,1),업무일지!$D$5:$D$1004,"분석")&gt;0,1,0))</f>
        <v/>
      </c>
      <c r="AE115">
        <f>IF($O115="",0,IF(COUNTIFS(업무일지!$F$5:$F$1004,$O115,업무일지!$B$5:$B$1004,"&gt;="&amp;DATE($B$3,4,1),업무일지!$B$5:$B$1004,"&lt;"&amp;DATE($B$3,4+1,1),업무일지!$D$5:$D$1004,"분석")&gt;0,1,0))</f>
        <v/>
      </c>
      <c r="AF115">
        <f>IF($O115="",0,IF(COUNTIFS(업무일지!$F$5:$F$1004,$O115,업무일지!$B$5:$B$1004,"&gt;="&amp;DATE($B$3,5,1),업무일지!$B$5:$B$1004,"&lt;"&amp;DATE($B$3,5+1,1),업무일지!$D$5:$D$1004,"분석")&gt;0,1,0))</f>
        <v/>
      </c>
      <c r="AG115">
        <f>IF($O115="",0,IF(COUNTIFS(업무일지!$F$5:$F$1004,$O115,업무일지!$B$5:$B$1004,"&gt;="&amp;DATE($B$3,6,1),업무일지!$B$5:$B$1004,"&lt;"&amp;DATE($B$3,6+1,1),업무일지!$D$5:$D$1004,"분석")&gt;0,1,0))</f>
        <v/>
      </c>
      <c r="AH115">
        <f>IF($O115="",0,IF(COUNTIFS(업무일지!$F$5:$F$1004,$O115,업무일지!$B$5:$B$1004,"&gt;="&amp;DATE($B$3,7,1),업무일지!$B$5:$B$1004,"&lt;"&amp;DATE($B$3,7+1,1),업무일지!$D$5:$D$1004,"분석")&gt;0,1,0))</f>
        <v/>
      </c>
      <c r="AI115">
        <f>IF($O115="",0,IF(COUNTIFS(업무일지!$F$5:$F$1004,$O115,업무일지!$B$5:$B$1004,"&gt;="&amp;DATE($B$3,8,1),업무일지!$B$5:$B$1004,"&lt;"&amp;DATE($B$3,8+1,1),업무일지!$D$5:$D$1004,"분석")&gt;0,1,0))</f>
        <v/>
      </c>
      <c r="AJ115">
        <f>IF($O115="",0,IF(COUNTIFS(업무일지!$F$5:$F$1004,$O115,업무일지!$B$5:$B$1004,"&gt;="&amp;DATE($B$3,9,1),업무일지!$B$5:$B$1004,"&lt;"&amp;DATE($B$3,9+1,1),업무일지!$D$5:$D$1004,"분석")&gt;0,1,0))</f>
        <v/>
      </c>
      <c r="AK115">
        <f>IF($O115="",0,IF(COUNTIFS(업무일지!$F$5:$F$1004,$O115,업무일지!$B$5:$B$1004,"&gt;="&amp;DATE($B$3,10,1),업무일지!$B$5:$B$1004,"&lt;"&amp;DATE($B$3,10+1,1),업무일지!$D$5:$D$1004,"분석")&gt;0,1,0))</f>
        <v/>
      </c>
      <c r="AL115">
        <f>IF($O115="",0,IF(COUNTIFS(업무일지!$F$5:$F$1004,$O115,업무일지!$B$5:$B$1004,"&gt;="&amp;DATE($B$3,11,1),업무일지!$B$5:$B$1004,"&lt;"&amp;DATE($B$3,11+1,1),업무일지!$D$5:$D$1004,"분석")&gt;0,1,0))</f>
        <v/>
      </c>
      <c r="AM115">
        <f>IF($O115="",0,IF(COUNTIFS(업무일지!$F$5:$F$1004,$O115,업무일지!$B$5:$B$1004,"&gt;="&amp;DATE($B$3,12,1),업무일지!$B$5:$B$1004,"&lt;"&amp;DATE($B$3,12+1,1),업무일지!$D$5:$D$1004,"분석")&gt;0,1,0))</f>
        <v/>
      </c>
      <c r="AN115">
        <f>IF($O115="",0,IF(COUNTIFS(업무일지!$F$5:$F$1004,$O115,업무일지!$B$5:$B$1004,"&gt;="&amp;DATE($B$3,1,1),업무일지!$B$5:$B$1004,"&lt;"&amp;DATE($B$3,1+1,1))&gt;0,1,0))</f>
        <v/>
      </c>
      <c r="AO115">
        <f>IF($O115="",0,IF(COUNTIFS(업무일지!$F$5:$F$1004,$O115,업무일지!$B$5:$B$1004,"&gt;="&amp;DATE($B$3,2,1),업무일지!$B$5:$B$1004,"&lt;"&amp;DATE($B$3,2+1,1))&gt;0,1,0))</f>
        <v/>
      </c>
      <c r="AP115">
        <f>IF($O115="",0,IF(COUNTIFS(업무일지!$F$5:$F$1004,$O115,업무일지!$B$5:$B$1004,"&gt;="&amp;DATE($B$3,3,1),업무일지!$B$5:$B$1004,"&lt;"&amp;DATE($B$3,3+1,1))&gt;0,1,0))</f>
        <v/>
      </c>
      <c r="AQ115">
        <f>IF($O115="",0,IF(COUNTIFS(업무일지!$F$5:$F$1004,$O115,업무일지!$B$5:$B$1004,"&gt;="&amp;DATE($B$3,4,1),업무일지!$B$5:$B$1004,"&lt;"&amp;DATE($B$3,4+1,1))&gt;0,1,0))</f>
        <v/>
      </c>
      <c r="AR115">
        <f>IF($O115="",0,IF(COUNTIFS(업무일지!$F$5:$F$1004,$O115,업무일지!$B$5:$B$1004,"&gt;="&amp;DATE($B$3,5,1),업무일지!$B$5:$B$1004,"&lt;"&amp;DATE($B$3,5+1,1))&gt;0,1,0))</f>
        <v/>
      </c>
      <c r="AS115">
        <f>IF($O115="",0,IF(COUNTIFS(업무일지!$F$5:$F$1004,$O115,업무일지!$B$5:$B$1004,"&gt;="&amp;DATE($B$3,6,1),업무일지!$B$5:$B$1004,"&lt;"&amp;DATE($B$3,6+1,1))&gt;0,1,0))</f>
        <v/>
      </c>
      <c r="AT115">
        <f>IF($O115="",0,IF(COUNTIFS(업무일지!$F$5:$F$1004,$O115,업무일지!$B$5:$B$1004,"&gt;="&amp;DATE($B$3,7,1),업무일지!$B$5:$B$1004,"&lt;"&amp;DATE($B$3,7+1,1))&gt;0,1,0))</f>
        <v/>
      </c>
      <c r="AU115">
        <f>IF($O115="",0,IF(COUNTIFS(업무일지!$F$5:$F$1004,$O115,업무일지!$B$5:$B$1004,"&gt;="&amp;DATE($B$3,8,1),업무일지!$B$5:$B$1004,"&lt;"&amp;DATE($B$3,8+1,1))&gt;0,1,0))</f>
        <v/>
      </c>
      <c r="AV115">
        <f>IF($O115="",0,IF(COUNTIFS(업무일지!$F$5:$F$1004,$O115,업무일지!$B$5:$B$1004,"&gt;="&amp;DATE($B$3,9,1),업무일지!$B$5:$B$1004,"&lt;"&amp;DATE($B$3,9+1,1))&gt;0,1,0))</f>
        <v/>
      </c>
      <c r="AW115">
        <f>IF($O115="",0,IF(COUNTIFS(업무일지!$F$5:$F$1004,$O115,업무일지!$B$5:$B$1004,"&gt;="&amp;DATE($B$3,10,1),업무일지!$B$5:$B$1004,"&lt;"&amp;DATE($B$3,10+1,1))&gt;0,1,0))</f>
        <v/>
      </c>
      <c r="AX115">
        <f>IF($O115="",0,IF(COUNTIFS(업무일지!$F$5:$F$1004,$O115,업무일지!$B$5:$B$1004,"&gt;="&amp;DATE($B$3,11,1),업무일지!$B$5:$B$1004,"&lt;"&amp;DATE($B$3,11+1,1))&gt;0,1,0))</f>
        <v/>
      </c>
      <c r="AY115">
        <f>IF($O115="",0,IF(COUNTIFS(업무일지!$F$5:$F$1004,$O115,업무일지!$B$5:$B$1004,"&gt;="&amp;DATE($B$3,12,1),업무일지!$B$5:$B$1004,"&lt;"&amp;DATE($B$3,12+1,1))&gt;0,1,0))</f>
        <v/>
      </c>
      <c r="AZ115">
        <f>IF($O115="",0,IF(COUNTIFS(업무일지!$F$5:$F$1004,$O115,업무일지!$B$5:$B$1004,"&gt;="&amp;DATE($B$3,1,1),업무일지!$B$5:$B$1004,"&lt;"&amp;DATE($B$3+1,1,1),업무일지!$D$5:$D$1004,"출장")&gt;0,1,0))</f>
        <v/>
      </c>
      <c r="BA115">
        <f>IF($O115="",0,IF(COUNTIFS(업무일지!$F$5:$F$1004,$O115,업무일지!$B$5:$B$1004,"&gt;="&amp;DATE($B$3,1,1),업무일지!$B$5:$B$1004,"&lt;"&amp;DATE($B$3+1,1,1),업무일지!$D$5:$D$1004,"분석")&gt;0,1,0))</f>
        <v/>
      </c>
      <c r="BB115">
        <f>IF($O115="",0,IF(COUNTIFS(업무일지!$F$5:$F$1004,$O115,업무일지!$B$5:$B$1004,"&gt;="&amp;DATE($B$3,1,1),업무일지!$B$5:$B$1004,"&lt;"&amp;DATE($B$3+1,1,1))&gt;0,1,0))</f>
        <v/>
      </c>
    </row>
    <row r="116">
      <c r="O116">
        <f>IF(사건마스터!$A36="","",사건마스터!$A36)</f>
        <v/>
      </c>
      <c r="P116">
        <f>IF($O116="",0,IF(COUNTIFS(업무일지!$F$5:$F$1004,$O116,업무일지!$B$5:$B$1004,"&gt;="&amp;DATE($B$3,1,1),업무일지!$B$5:$B$1004,"&lt;"&amp;DATE($B$3,1+1,1),업무일지!$D$5:$D$1004,"출장")&gt;0,1,0))</f>
        <v/>
      </c>
      <c r="Q116">
        <f>IF($O116="",0,IF(COUNTIFS(업무일지!$F$5:$F$1004,$O116,업무일지!$B$5:$B$1004,"&gt;="&amp;DATE($B$3,2,1),업무일지!$B$5:$B$1004,"&lt;"&amp;DATE($B$3,2+1,1),업무일지!$D$5:$D$1004,"출장")&gt;0,1,0))</f>
        <v/>
      </c>
      <c r="R116">
        <f>IF($O116="",0,IF(COUNTIFS(업무일지!$F$5:$F$1004,$O116,업무일지!$B$5:$B$1004,"&gt;="&amp;DATE($B$3,3,1),업무일지!$B$5:$B$1004,"&lt;"&amp;DATE($B$3,3+1,1),업무일지!$D$5:$D$1004,"출장")&gt;0,1,0))</f>
        <v/>
      </c>
      <c r="S116">
        <f>IF($O116="",0,IF(COUNTIFS(업무일지!$F$5:$F$1004,$O116,업무일지!$B$5:$B$1004,"&gt;="&amp;DATE($B$3,4,1),업무일지!$B$5:$B$1004,"&lt;"&amp;DATE($B$3,4+1,1),업무일지!$D$5:$D$1004,"출장")&gt;0,1,0))</f>
        <v/>
      </c>
      <c r="T116">
        <f>IF($O116="",0,IF(COUNTIFS(업무일지!$F$5:$F$1004,$O116,업무일지!$B$5:$B$1004,"&gt;="&amp;DATE($B$3,5,1),업무일지!$B$5:$B$1004,"&lt;"&amp;DATE($B$3,5+1,1),업무일지!$D$5:$D$1004,"출장")&gt;0,1,0))</f>
        <v/>
      </c>
      <c r="U116">
        <f>IF($O116="",0,IF(COUNTIFS(업무일지!$F$5:$F$1004,$O116,업무일지!$B$5:$B$1004,"&gt;="&amp;DATE($B$3,6,1),업무일지!$B$5:$B$1004,"&lt;"&amp;DATE($B$3,6+1,1),업무일지!$D$5:$D$1004,"출장")&gt;0,1,0))</f>
        <v/>
      </c>
      <c r="V116">
        <f>IF($O116="",0,IF(COUNTIFS(업무일지!$F$5:$F$1004,$O116,업무일지!$B$5:$B$1004,"&gt;="&amp;DATE($B$3,7,1),업무일지!$B$5:$B$1004,"&lt;"&amp;DATE($B$3,7+1,1),업무일지!$D$5:$D$1004,"출장")&gt;0,1,0))</f>
        <v/>
      </c>
      <c r="W116">
        <f>IF($O116="",0,IF(COUNTIFS(업무일지!$F$5:$F$1004,$O116,업무일지!$B$5:$B$1004,"&gt;="&amp;DATE($B$3,8,1),업무일지!$B$5:$B$1004,"&lt;"&amp;DATE($B$3,8+1,1),업무일지!$D$5:$D$1004,"출장")&gt;0,1,0))</f>
        <v/>
      </c>
      <c r="X116">
        <f>IF($O116="",0,IF(COUNTIFS(업무일지!$F$5:$F$1004,$O116,업무일지!$B$5:$B$1004,"&gt;="&amp;DATE($B$3,9,1),업무일지!$B$5:$B$1004,"&lt;"&amp;DATE($B$3,9+1,1),업무일지!$D$5:$D$1004,"출장")&gt;0,1,0))</f>
        <v/>
      </c>
      <c r="Y116">
        <f>IF($O116="",0,IF(COUNTIFS(업무일지!$F$5:$F$1004,$O116,업무일지!$B$5:$B$1004,"&gt;="&amp;DATE($B$3,10,1),업무일지!$B$5:$B$1004,"&lt;"&amp;DATE($B$3,10+1,1),업무일지!$D$5:$D$1004,"출장")&gt;0,1,0))</f>
        <v/>
      </c>
      <c r="Z116">
        <f>IF($O116="",0,IF(COUNTIFS(업무일지!$F$5:$F$1004,$O116,업무일지!$B$5:$B$1004,"&gt;="&amp;DATE($B$3,11,1),업무일지!$B$5:$B$1004,"&lt;"&amp;DATE($B$3,11+1,1),업무일지!$D$5:$D$1004,"출장")&gt;0,1,0))</f>
        <v/>
      </c>
      <c r="AA116">
        <f>IF($O116="",0,IF(COUNTIFS(업무일지!$F$5:$F$1004,$O116,업무일지!$B$5:$B$1004,"&gt;="&amp;DATE($B$3,12,1),업무일지!$B$5:$B$1004,"&lt;"&amp;DATE($B$3,12+1,1),업무일지!$D$5:$D$1004,"출장")&gt;0,1,0))</f>
        <v/>
      </c>
      <c r="AB116">
        <f>IF($O116="",0,IF(COUNTIFS(업무일지!$F$5:$F$1004,$O116,업무일지!$B$5:$B$1004,"&gt;="&amp;DATE($B$3,1,1),업무일지!$B$5:$B$1004,"&lt;"&amp;DATE($B$3,1+1,1),업무일지!$D$5:$D$1004,"분석")&gt;0,1,0))</f>
        <v/>
      </c>
      <c r="AC116">
        <f>IF($O116="",0,IF(COUNTIFS(업무일지!$F$5:$F$1004,$O116,업무일지!$B$5:$B$1004,"&gt;="&amp;DATE($B$3,2,1),업무일지!$B$5:$B$1004,"&lt;"&amp;DATE($B$3,2+1,1),업무일지!$D$5:$D$1004,"분석")&gt;0,1,0))</f>
        <v/>
      </c>
      <c r="AD116">
        <f>IF($O116="",0,IF(COUNTIFS(업무일지!$F$5:$F$1004,$O116,업무일지!$B$5:$B$1004,"&gt;="&amp;DATE($B$3,3,1),업무일지!$B$5:$B$1004,"&lt;"&amp;DATE($B$3,3+1,1),업무일지!$D$5:$D$1004,"분석")&gt;0,1,0))</f>
        <v/>
      </c>
      <c r="AE116">
        <f>IF($O116="",0,IF(COUNTIFS(업무일지!$F$5:$F$1004,$O116,업무일지!$B$5:$B$1004,"&gt;="&amp;DATE($B$3,4,1),업무일지!$B$5:$B$1004,"&lt;"&amp;DATE($B$3,4+1,1),업무일지!$D$5:$D$1004,"분석")&gt;0,1,0))</f>
        <v/>
      </c>
      <c r="AF116">
        <f>IF($O116="",0,IF(COUNTIFS(업무일지!$F$5:$F$1004,$O116,업무일지!$B$5:$B$1004,"&gt;="&amp;DATE($B$3,5,1),업무일지!$B$5:$B$1004,"&lt;"&amp;DATE($B$3,5+1,1),업무일지!$D$5:$D$1004,"분석")&gt;0,1,0))</f>
        <v/>
      </c>
      <c r="AG116">
        <f>IF($O116="",0,IF(COUNTIFS(업무일지!$F$5:$F$1004,$O116,업무일지!$B$5:$B$1004,"&gt;="&amp;DATE($B$3,6,1),업무일지!$B$5:$B$1004,"&lt;"&amp;DATE($B$3,6+1,1),업무일지!$D$5:$D$1004,"분석")&gt;0,1,0))</f>
        <v/>
      </c>
      <c r="AH116">
        <f>IF($O116="",0,IF(COUNTIFS(업무일지!$F$5:$F$1004,$O116,업무일지!$B$5:$B$1004,"&gt;="&amp;DATE($B$3,7,1),업무일지!$B$5:$B$1004,"&lt;"&amp;DATE($B$3,7+1,1),업무일지!$D$5:$D$1004,"분석")&gt;0,1,0))</f>
        <v/>
      </c>
      <c r="AI116">
        <f>IF($O116="",0,IF(COUNTIFS(업무일지!$F$5:$F$1004,$O116,업무일지!$B$5:$B$1004,"&gt;="&amp;DATE($B$3,8,1),업무일지!$B$5:$B$1004,"&lt;"&amp;DATE($B$3,8+1,1),업무일지!$D$5:$D$1004,"분석")&gt;0,1,0))</f>
        <v/>
      </c>
      <c r="AJ116">
        <f>IF($O116="",0,IF(COUNTIFS(업무일지!$F$5:$F$1004,$O116,업무일지!$B$5:$B$1004,"&gt;="&amp;DATE($B$3,9,1),업무일지!$B$5:$B$1004,"&lt;"&amp;DATE($B$3,9+1,1),업무일지!$D$5:$D$1004,"분석")&gt;0,1,0))</f>
        <v/>
      </c>
      <c r="AK116">
        <f>IF($O116="",0,IF(COUNTIFS(업무일지!$F$5:$F$1004,$O116,업무일지!$B$5:$B$1004,"&gt;="&amp;DATE($B$3,10,1),업무일지!$B$5:$B$1004,"&lt;"&amp;DATE($B$3,10+1,1),업무일지!$D$5:$D$1004,"분석")&gt;0,1,0))</f>
        <v/>
      </c>
      <c r="AL116">
        <f>IF($O116="",0,IF(COUNTIFS(업무일지!$F$5:$F$1004,$O116,업무일지!$B$5:$B$1004,"&gt;="&amp;DATE($B$3,11,1),업무일지!$B$5:$B$1004,"&lt;"&amp;DATE($B$3,11+1,1),업무일지!$D$5:$D$1004,"분석")&gt;0,1,0))</f>
        <v/>
      </c>
      <c r="AM116">
        <f>IF($O116="",0,IF(COUNTIFS(업무일지!$F$5:$F$1004,$O116,업무일지!$B$5:$B$1004,"&gt;="&amp;DATE($B$3,12,1),업무일지!$B$5:$B$1004,"&lt;"&amp;DATE($B$3,12+1,1),업무일지!$D$5:$D$1004,"분석")&gt;0,1,0))</f>
        <v/>
      </c>
      <c r="AN116">
        <f>IF($O116="",0,IF(COUNTIFS(업무일지!$F$5:$F$1004,$O116,업무일지!$B$5:$B$1004,"&gt;="&amp;DATE($B$3,1,1),업무일지!$B$5:$B$1004,"&lt;"&amp;DATE($B$3,1+1,1))&gt;0,1,0))</f>
        <v/>
      </c>
      <c r="AO116">
        <f>IF($O116="",0,IF(COUNTIFS(업무일지!$F$5:$F$1004,$O116,업무일지!$B$5:$B$1004,"&gt;="&amp;DATE($B$3,2,1),업무일지!$B$5:$B$1004,"&lt;"&amp;DATE($B$3,2+1,1))&gt;0,1,0))</f>
        <v/>
      </c>
      <c r="AP116">
        <f>IF($O116="",0,IF(COUNTIFS(업무일지!$F$5:$F$1004,$O116,업무일지!$B$5:$B$1004,"&gt;="&amp;DATE($B$3,3,1),업무일지!$B$5:$B$1004,"&lt;"&amp;DATE($B$3,3+1,1))&gt;0,1,0))</f>
        <v/>
      </c>
      <c r="AQ116">
        <f>IF($O116="",0,IF(COUNTIFS(업무일지!$F$5:$F$1004,$O116,업무일지!$B$5:$B$1004,"&gt;="&amp;DATE($B$3,4,1),업무일지!$B$5:$B$1004,"&lt;"&amp;DATE($B$3,4+1,1))&gt;0,1,0))</f>
        <v/>
      </c>
      <c r="AR116">
        <f>IF($O116="",0,IF(COUNTIFS(업무일지!$F$5:$F$1004,$O116,업무일지!$B$5:$B$1004,"&gt;="&amp;DATE($B$3,5,1),업무일지!$B$5:$B$1004,"&lt;"&amp;DATE($B$3,5+1,1))&gt;0,1,0))</f>
        <v/>
      </c>
      <c r="AS116">
        <f>IF($O116="",0,IF(COUNTIFS(업무일지!$F$5:$F$1004,$O116,업무일지!$B$5:$B$1004,"&gt;="&amp;DATE($B$3,6,1),업무일지!$B$5:$B$1004,"&lt;"&amp;DATE($B$3,6+1,1))&gt;0,1,0))</f>
        <v/>
      </c>
      <c r="AT116">
        <f>IF($O116="",0,IF(COUNTIFS(업무일지!$F$5:$F$1004,$O116,업무일지!$B$5:$B$1004,"&gt;="&amp;DATE($B$3,7,1),업무일지!$B$5:$B$1004,"&lt;"&amp;DATE($B$3,7+1,1))&gt;0,1,0))</f>
        <v/>
      </c>
      <c r="AU116">
        <f>IF($O116="",0,IF(COUNTIFS(업무일지!$F$5:$F$1004,$O116,업무일지!$B$5:$B$1004,"&gt;="&amp;DATE($B$3,8,1),업무일지!$B$5:$B$1004,"&lt;"&amp;DATE($B$3,8+1,1))&gt;0,1,0))</f>
        <v/>
      </c>
      <c r="AV116">
        <f>IF($O116="",0,IF(COUNTIFS(업무일지!$F$5:$F$1004,$O116,업무일지!$B$5:$B$1004,"&gt;="&amp;DATE($B$3,9,1),업무일지!$B$5:$B$1004,"&lt;"&amp;DATE($B$3,9+1,1))&gt;0,1,0))</f>
        <v/>
      </c>
      <c r="AW116">
        <f>IF($O116="",0,IF(COUNTIFS(업무일지!$F$5:$F$1004,$O116,업무일지!$B$5:$B$1004,"&gt;="&amp;DATE($B$3,10,1),업무일지!$B$5:$B$1004,"&lt;"&amp;DATE($B$3,10+1,1))&gt;0,1,0))</f>
        <v/>
      </c>
      <c r="AX116">
        <f>IF($O116="",0,IF(COUNTIFS(업무일지!$F$5:$F$1004,$O116,업무일지!$B$5:$B$1004,"&gt;="&amp;DATE($B$3,11,1),업무일지!$B$5:$B$1004,"&lt;"&amp;DATE($B$3,11+1,1))&gt;0,1,0))</f>
        <v/>
      </c>
      <c r="AY116">
        <f>IF($O116="",0,IF(COUNTIFS(업무일지!$F$5:$F$1004,$O116,업무일지!$B$5:$B$1004,"&gt;="&amp;DATE($B$3,12,1),업무일지!$B$5:$B$1004,"&lt;"&amp;DATE($B$3,12+1,1))&gt;0,1,0))</f>
        <v/>
      </c>
      <c r="AZ116">
        <f>IF($O116="",0,IF(COUNTIFS(업무일지!$F$5:$F$1004,$O116,업무일지!$B$5:$B$1004,"&gt;="&amp;DATE($B$3,1,1),업무일지!$B$5:$B$1004,"&lt;"&amp;DATE($B$3+1,1,1),업무일지!$D$5:$D$1004,"출장")&gt;0,1,0))</f>
        <v/>
      </c>
      <c r="BA116">
        <f>IF($O116="",0,IF(COUNTIFS(업무일지!$F$5:$F$1004,$O116,업무일지!$B$5:$B$1004,"&gt;="&amp;DATE($B$3,1,1),업무일지!$B$5:$B$1004,"&lt;"&amp;DATE($B$3+1,1,1),업무일지!$D$5:$D$1004,"분석")&gt;0,1,0))</f>
        <v/>
      </c>
      <c r="BB116">
        <f>IF($O116="",0,IF(COUNTIFS(업무일지!$F$5:$F$1004,$O116,업무일지!$B$5:$B$1004,"&gt;="&amp;DATE($B$3,1,1),업무일지!$B$5:$B$1004,"&lt;"&amp;DATE($B$3+1,1,1))&gt;0,1,0))</f>
        <v/>
      </c>
    </row>
    <row r="117">
      <c r="O117">
        <f>IF(사건마스터!$A37="","",사건마스터!$A37)</f>
        <v/>
      </c>
      <c r="P117">
        <f>IF($O117="",0,IF(COUNTIFS(업무일지!$F$5:$F$1004,$O117,업무일지!$B$5:$B$1004,"&gt;="&amp;DATE($B$3,1,1),업무일지!$B$5:$B$1004,"&lt;"&amp;DATE($B$3,1+1,1),업무일지!$D$5:$D$1004,"출장")&gt;0,1,0))</f>
        <v/>
      </c>
      <c r="Q117">
        <f>IF($O117="",0,IF(COUNTIFS(업무일지!$F$5:$F$1004,$O117,업무일지!$B$5:$B$1004,"&gt;="&amp;DATE($B$3,2,1),업무일지!$B$5:$B$1004,"&lt;"&amp;DATE($B$3,2+1,1),업무일지!$D$5:$D$1004,"출장")&gt;0,1,0))</f>
        <v/>
      </c>
      <c r="R117">
        <f>IF($O117="",0,IF(COUNTIFS(업무일지!$F$5:$F$1004,$O117,업무일지!$B$5:$B$1004,"&gt;="&amp;DATE($B$3,3,1),업무일지!$B$5:$B$1004,"&lt;"&amp;DATE($B$3,3+1,1),업무일지!$D$5:$D$1004,"출장")&gt;0,1,0))</f>
        <v/>
      </c>
      <c r="S117">
        <f>IF($O117="",0,IF(COUNTIFS(업무일지!$F$5:$F$1004,$O117,업무일지!$B$5:$B$1004,"&gt;="&amp;DATE($B$3,4,1),업무일지!$B$5:$B$1004,"&lt;"&amp;DATE($B$3,4+1,1),업무일지!$D$5:$D$1004,"출장")&gt;0,1,0))</f>
        <v/>
      </c>
      <c r="T117">
        <f>IF($O117="",0,IF(COUNTIFS(업무일지!$F$5:$F$1004,$O117,업무일지!$B$5:$B$1004,"&gt;="&amp;DATE($B$3,5,1),업무일지!$B$5:$B$1004,"&lt;"&amp;DATE($B$3,5+1,1),업무일지!$D$5:$D$1004,"출장")&gt;0,1,0))</f>
        <v/>
      </c>
      <c r="U117">
        <f>IF($O117="",0,IF(COUNTIFS(업무일지!$F$5:$F$1004,$O117,업무일지!$B$5:$B$1004,"&gt;="&amp;DATE($B$3,6,1),업무일지!$B$5:$B$1004,"&lt;"&amp;DATE($B$3,6+1,1),업무일지!$D$5:$D$1004,"출장")&gt;0,1,0))</f>
        <v/>
      </c>
      <c r="V117">
        <f>IF($O117="",0,IF(COUNTIFS(업무일지!$F$5:$F$1004,$O117,업무일지!$B$5:$B$1004,"&gt;="&amp;DATE($B$3,7,1),업무일지!$B$5:$B$1004,"&lt;"&amp;DATE($B$3,7+1,1),업무일지!$D$5:$D$1004,"출장")&gt;0,1,0))</f>
        <v/>
      </c>
      <c r="W117">
        <f>IF($O117="",0,IF(COUNTIFS(업무일지!$F$5:$F$1004,$O117,업무일지!$B$5:$B$1004,"&gt;="&amp;DATE($B$3,8,1),업무일지!$B$5:$B$1004,"&lt;"&amp;DATE($B$3,8+1,1),업무일지!$D$5:$D$1004,"출장")&gt;0,1,0))</f>
        <v/>
      </c>
      <c r="X117">
        <f>IF($O117="",0,IF(COUNTIFS(업무일지!$F$5:$F$1004,$O117,업무일지!$B$5:$B$1004,"&gt;="&amp;DATE($B$3,9,1),업무일지!$B$5:$B$1004,"&lt;"&amp;DATE($B$3,9+1,1),업무일지!$D$5:$D$1004,"출장")&gt;0,1,0))</f>
        <v/>
      </c>
      <c r="Y117">
        <f>IF($O117="",0,IF(COUNTIFS(업무일지!$F$5:$F$1004,$O117,업무일지!$B$5:$B$1004,"&gt;="&amp;DATE($B$3,10,1),업무일지!$B$5:$B$1004,"&lt;"&amp;DATE($B$3,10+1,1),업무일지!$D$5:$D$1004,"출장")&gt;0,1,0))</f>
        <v/>
      </c>
      <c r="Z117">
        <f>IF($O117="",0,IF(COUNTIFS(업무일지!$F$5:$F$1004,$O117,업무일지!$B$5:$B$1004,"&gt;="&amp;DATE($B$3,11,1),업무일지!$B$5:$B$1004,"&lt;"&amp;DATE($B$3,11+1,1),업무일지!$D$5:$D$1004,"출장")&gt;0,1,0))</f>
        <v/>
      </c>
      <c r="AA117">
        <f>IF($O117="",0,IF(COUNTIFS(업무일지!$F$5:$F$1004,$O117,업무일지!$B$5:$B$1004,"&gt;="&amp;DATE($B$3,12,1),업무일지!$B$5:$B$1004,"&lt;"&amp;DATE($B$3,12+1,1),업무일지!$D$5:$D$1004,"출장")&gt;0,1,0))</f>
        <v/>
      </c>
      <c r="AB117">
        <f>IF($O117="",0,IF(COUNTIFS(업무일지!$F$5:$F$1004,$O117,업무일지!$B$5:$B$1004,"&gt;="&amp;DATE($B$3,1,1),업무일지!$B$5:$B$1004,"&lt;"&amp;DATE($B$3,1+1,1),업무일지!$D$5:$D$1004,"분석")&gt;0,1,0))</f>
        <v/>
      </c>
      <c r="AC117">
        <f>IF($O117="",0,IF(COUNTIFS(업무일지!$F$5:$F$1004,$O117,업무일지!$B$5:$B$1004,"&gt;="&amp;DATE($B$3,2,1),업무일지!$B$5:$B$1004,"&lt;"&amp;DATE($B$3,2+1,1),업무일지!$D$5:$D$1004,"분석")&gt;0,1,0))</f>
        <v/>
      </c>
      <c r="AD117">
        <f>IF($O117="",0,IF(COUNTIFS(업무일지!$F$5:$F$1004,$O117,업무일지!$B$5:$B$1004,"&gt;="&amp;DATE($B$3,3,1),업무일지!$B$5:$B$1004,"&lt;"&amp;DATE($B$3,3+1,1),업무일지!$D$5:$D$1004,"분석")&gt;0,1,0))</f>
        <v/>
      </c>
      <c r="AE117">
        <f>IF($O117="",0,IF(COUNTIFS(업무일지!$F$5:$F$1004,$O117,업무일지!$B$5:$B$1004,"&gt;="&amp;DATE($B$3,4,1),업무일지!$B$5:$B$1004,"&lt;"&amp;DATE($B$3,4+1,1),업무일지!$D$5:$D$1004,"분석")&gt;0,1,0))</f>
        <v/>
      </c>
      <c r="AF117">
        <f>IF($O117="",0,IF(COUNTIFS(업무일지!$F$5:$F$1004,$O117,업무일지!$B$5:$B$1004,"&gt;="&amp;DATE($B$3,5,1),업무일지!$B$5:$B$1004,"&lt;"&amp;DATE($B$3,5+1,1),업무일지!$D$5:$D$1004,"분석")&gt;0,1,0))</f>
        <v/>
      </c>
      <c r="AG117">
        <f>IF($O117="",0,IF(COUNTIFS(업무일지!$F$5:$F$1004,$O117,업무일지!$B$5:$B$1004,"&gt;="&amp;DATE($B$3,6,1),업무일지!$B$5:$B$1004,"&lt;"&amp;DATE($B$3,6+1,1),업무일지!$D$5:$D$1004,"분석")&gt;0,1,0))</f>
        <v/>
      </c>
      <c r="AH117">
        <f>IF($O117="",0,IF(COUNTIFS(업무일지!$F$5:$F$1004,$O117,업무일지!$B$5:$B$1004,"&gt;="&amp;DATE($B$3,7,1),업무일지!$B$5:$B$1004,"&lt;"&amp;DATE($B$3,7+1,1),업무일지!$D$5:$D$1004,"분석")&gt;0,1,0))</f>
        <v/>
      </c>
      <c r="AI117">
        <f>IF($O117="",0,IF(COUNTIFS(업무일지!$F$5:$F$1004,$O117,업무일지!$B$5:$B$1004,"&gt;="&amp;DATE($B$3,8,1),업무일지!$B$5:$B$1004,"&lt;"&amp;DATE($B$3,8+1,1),업무일지!$D$5:$D$1004,"분석")&gt;0,1,0))</f>
        <v/>
      </c>
      <c r="AJ117">
        <f>IF($O117="",0,IF(COUNTIFS(업무일지!$F$5:$F$1004,$O117,업무일지!$B$5:$B$1004,"&gt;="&amp;DATE($B$3,9,1),업무일지!$B$5:$B$1004,"&lt;"&amp;DATE($B$3,9+1,1),업무일지!$D$5:$D$1004,"분석")&gt;0,1,0))</f>
        <v/>
      </c>
      <c r="AK117">
        <f>IF($O117="",0,IF(COUNTIFS(업무일지!$F$5:$F$1004,$O117,업무일지!$B$5:$B$1004,"&gt;="&amp;DATE($B$3,10,1),업무일지!$B$5:$B$1004,"&lt;"&amp;DATE($B$3,10+1,1),업무일지!$D$5:$D$1004,"분석")&gt;0,1,0))</f>
        <v/>
      </c>
      <c r="AL117">
        <f>IF($O117="",0,IF(COUNTIFS(업무일지!$F$5:$F$1004,$O117,업무일지!$B$5:$B$1004,"&gt;="&amp;DATE($B$3,11,1),업무일지!$B$5:$B$1004,"&lt;"&amp;DATE($B$3,11+1,1),업무일지!$D$5:$D$1004,"분석")&gt;0,1,0))</f>
        <v/>
      </c>
      <c r="AM117">
        <f>IF($O117="",0,IF(COUNTIFS(업무일지!$F$5:$F$1004,$O117,업무일지!$B$5:$B$1004,"&gt;="&amp;DATE($B$3,12,1),업무일지!$B$5:$B$1004,"&lt;"&amp;DATE($B$3,12+1,1),업무일지!$D$5:$D$1004,"분석")&gt;0,1,0))</f>
        <v/>
      </c>
      <c r="AN117">
        <f>IF($O117="",0,IF(COUNTIFS(업무일지!$F$5:$F$1004,$O117,업무일지!$B$5:$B$1004,"&gt;="&amp;DATE($B$3,1,1),업무일지!$B$5:$B$1004,"&lt;"&amp;DATE($B$3,1+1,1))&gt;0,1,0))</f>
        <v/>
      </c>
      <c r="AO117">
        <f>IF($O117="",0,IF(COUNTIFS(업무일지!$F$5:$F$1004,$O117,업무일지!$B$5:$B$1004,"&gt;="&amp;DATE($B$3,2,1),업무일지!$B$5:$B$1004,"&lt;"&amp;DATE($B$3,2+1,1))&gt;0,1,0))</f>
        <v/>
      </c>
      <c r="AP117">
        <f>IF($O117="",0,IF(COUNTIFS(업무일지!$F$5:$F$1004,$O117,업무일지!$B$5:$B$1004,"&gt;="&amp;DATE($B$3,3,1),업무일지!$B$5:$B$1004,"&lt;"&amp;DATE($B$3,3+1,1))&gt;0,1,0))</f>
        <v/>
      </c>
      <c r="AQ117">
        <f>IF($O117="",0,IF(COUNTIFS(업무일지!$F$5:$F$1004,$O117,업무일지!$B$5:$B$1004,"&gt;="&amp;DATE($B$3,4,1),업무일지!$B$5:$B$1004,"&lt;"&amp;DATE($B$3,4+1,1))&gt;0,1,0))</f>
        <v/>
      </c>
      <c r="AR117">
        <f>IF($O117="",0,IF(COUNTIFS(업무일지!$F$5:$F$1004,$O117,업무일지!$B$5:$B$1004,"&gt;="&amp;DATE($B$3,5,1),업무일지!$B$5:$B$1004,"&lt;"&amp;DATE($B$3,5+1,1))&gt;0,1,0))</f>
        <v/>
      </c>
      <c r="AS117">
        <f>IF($O117="",0,IF(COUNTIFS(업무일지!$F$5:$F$1004,$O117,업무일지!$B$5:$B$1004,"&gt;="&amp;DATE($B$3,6,1),업무일지!$B$5:$B$1004,"&lt;"&amp;DATE($B$3,6+1,1))&gt;0,1,0))</f>
        <v/>
      </c>
      <c r="AT117">
        <f>IF($O117="",0,IF(COUNTIFS(업무일지!$F$5:$F$1004,$O117,업무일지!$B$5:$B$1004,"&gt;="&amp;DATE($B$3,7,1),업무일지!$B$5:$B$1004,"&lt;"&amp;DATE($B$3,7+1,1))&gt;0,1,0))</f>
        <v/>
      </c>
      <c r="AU117">
        <f>IF($O117="",0,IF(COUNTIFS(업무일지!$F$5:$F$1004,$O117,업무일지!$B$5:$B$1004,"&gt;="&amp;DATE($B$3,8,1),업무일지!$B$5:$B$1004,"&lt;"&amp;DATE($B$3,8+1,1))&gt;0,1,0))</f>
        <v/>
      </c>
      <c r="AV117">
        <f>IF($O117="",0,IF(COUNTIFS(업무일지!$F$5:$F$1004,$O117,업무일지!$B$5:$B$1004,"&gt;="&amp;DATE($B$3,9,1),업무일지!$B$5:$B$1004,"&lt;"&amp;DATE($B$3,9+1,1))&gt;0,1,0))</f>
        <v/>
      </c>
      <c r="AW117">
        <f>IF($O117="",0,IF(COUNTIFS(업무일지!$F$5:$F$1004,$O117,업무일지!$B$5:$B$1004,"&gt;="&amp;DATE($B$3,10,1),업무일지!$B$5:$B$1004,"&lt;"&amp;DATE($B$3,10+1,1))&gt;0,1,0))</f>
        <v/>
      </c>
      <c r="AX117">
        <f>IF($O117="",0,IF(COUNTIFS(업무일지!$F$5:$F$1004,$O117,업무일지!$B$5:$B$1004,"&gt;="&amp;DATE($B$3,11,1),업무일지!$B$5:$B$1004,"&lt;"&amp;DATE($B$3,11+1,1))&gt;0,1,0))</f>
        <v/>
      </c>
      <c r="AY117">
        <f>IF($O117="",0,IF(COUNTIFS(업무일지!$F$5:$F$1004,$O117,업무일지!$B$5:$B$1004,"&gt;="&amp;DATE($B$3,12,1),업무일지!$B$5:$B$1004,"&lt;"&amp;DATE($B$3,12+1,1))&gt;0,1,0))</f>
        <v/>
      </c>
      <c r="AZ117">
        <f>IF($O117="",0,IF(COUNTIFS(업무일지!$F$5:$F$1004,$O117,업무일지!$B$5:$B$1004,"&gt;="&amp;DATE($B$3,1,1),업무일지!$B$5:$B$1004,"&lt;"&amp;DATE($B$3+1,1,1),업무일지!$D$5:$D$1004,"출장")&gt;0,1,0))</f>
        <v/>
      </c>
      <c r="BA117">
        <f>IF($O117="",0,IF(COUNTIFS(업무일지!$F$5:$F$1004,$O117,업무일지!$B$5:$B$1004,"&gt;="&amp;DATE($B$3,1,1),업무일지!$B$5:$B$1004,"&lt;"&amp;DATE($B$3+1,1,1),업무일지!$D$5:$D$1004,"분석")&gt;0,1,0))</f>
        <v/>
      </c>
      <c r="BB117">
        <f>IF($O117="",0,IF(COUNTIFS(업무일지!$F$5:$F$1004,$O117,업무일지!$B$5:$B$1004,"&gt;="&amp;DATE($B$3,1,1),업무일지!$B$5:$B$1004,"&lt;"&amp;DATE($B$3+1,1,1))&gt;0,1,0))</f>
        <v/>
      </c>
    </row>
    <row r="118">
      <c r="O118">
        <f>IF(사건마스터!$A38="","",사건마스터!$A38)</f>
        <v/>
      </c>
      <c r="P118">
        <f>IF($O118="",0,IF(COUNTIFS(업무일지!$F$5:$F$1004,$O118,업무일지!$B$5:$B$1004,"&gt;="&amp;DATE($B$3,1,1),업무일지!$B$5:$B$1004,"&lt;"&amp;DATE($B$3,1+1,1),업무일지!$D$5:$D$1004,"출장")&gt;0,1,0))</f>
        <v/>
      </c>
      <c r="Q118">
        <f>IF($O118="",0,IF(COUNTIFS(업무일지!$F$5:$F$1004,$O118,업무일지!$B$5:$B$1004,"&gt;="&amp;DATE($B$3,2,1),업무일지!$B$5:$B$1004,"&lt;"&amp;DATE($B$3,2+1,1),업무일지!$D$5:$D$1004,"출장")&gt;0,1,0))</f>
        <v/>
      </c>
      <c r="R118">
        <f>IF($O118="",0,IF(COUNTIFS(업무일지!$F$5:$F$1004,$O118,업무일지!$B$5:$B$1004,"&gt;="&amp;DATE($B$3,3,1),업무일지!$B$5:$B$1004,"&lt;"&amp;DATE($B$3,3+1,1),업무일지!$D$5:$D$1004,"출장")&gt;0,1,0))</f>
        <v/>
      </c>
      <c r="S118">
        <f>IF($O118="",0,IF(COUNTIFS(업무일지!$F$5:$F$1004,$O118,업무일지!$B$5:$B$1004,"&gt;="&amp;DATE($B$3,4,1),업무일지!$B$5:$B$1004,"&lt;"&amp;DATE($B$3,4+1,1),업무일지!$D$5:$D$1004,"출장")&gt;0,1,0))</f>
        <v/>
      </c>
      <c r="T118">
        <f>IF($O118="",0,IF(COUNTIFS(업무일지!$F$5:$F$1004,$O118,업무일지!$B$5:$B$1004,"&gt;="&amp;DATE($B$3,5,1),업무일지!$B$5:$B$1004,"&lt;"&amp;DATE($B$3,5+1,1),업무일지!$D$5:$D$1004,"출장")&gt;0,1,0))</f>
        <v/>
      </c>
      <c r="U118">
        <f>IF($O118="",0,IF(COUNTIFS(업무일지!$F$5:$F$1004,$O118,업무일지!$B$5:$B$1004,"&gt;="&amp;DATE($B$3,6,1),업무일지!$B$5:$B$1004,"&lt;"&amp;DATE($B$3,6+1,1),업무일지!$D$5:$D$1004,"출장")&gt;0,1,0))</f>
        <v/>
      </c>
      <c r="V118">
        <f>IF($O118="",0,IF(COUNTIFS(업무일지!$F$5:$F$1004,$O118,업무일지!$B$5:$B$1004,"&gt;="&amp;DATE($B$3,7,1),업무일지!$B$5:$B$1004,"&lt;"&amp;DATE($B$3,7+1,1),업무일지!$D$5:$D$1004,"출장")&gt;0,1,0))</f>
        <v/>
      </c>
      <c r="W118">
        <f>IF($O118="",0,IF(COUNTIFS(업무일지!$F$5:$F$1004,$O118,업무일지!$B$5:$B$1004,"&gt;="&amp;DATE($B$3,8,1),업무일지!$B$5:$B$1004,"&lt;"&amp;DATE($B$3,8+1,1),업무일지!$D$5:$D$1004,"출장")&gt;0,1,0))</f>
        <v/>
      </c>
      <c r="X118">
        <f>IF($O118="",0,IF(COUNTIFS(업무일지!$F$5:$F$1004,$O118,업무일지!$B$5:$B$1004,"&gt;="&amp;DATE($B$3,9,1),업무일지!$B$5:$B$1004,"&lt;"&amp;DATE($B$3,9+1,1),업무일지!$D$5:$D$1004,"출장")&gt;0,1,0))</f>
        <v/>
      </c>
      <c r="Y118">
        <f>IF($O118="",0,IF(COUNTIFS(업무일지!$F$5:$F$1004,$O118,업무일지!$B$5:$B$1004,"&gt;="&amp;DATE($B$3,10,1),업무일지!$B$5:$B$1004,"&lt;"&amp;DATE($B$3,10+1,1),업무일지!$D$5:$D$1004,"출장")&gt;0,1,0))</f>
        <v/>
      </c>
      <c r="Z118">
        <f>IF($O118="",0,IF(COUNTIFS(업무일지!$F$5:$F$1004,$O118,업무일지!$B$5:$B$1004,"&gt;="&amp;DATE($B$3,11,1),업무일지!$B$5:$B$1004,"&lt;"&amp;DATE($B$3,11+1,1),업무일지!$D$5:$D$1004,"출장")&gt;0,1,0))</f>
        <v/>
      </c>
      <c r="AA118">
        <f>IF($O118="",0,IF(COUNTIFS(업무일지!$F$5:$F$1004,$O118,업무일지!$B$5:$B$1004,"&gt;="&amp;DATE($B$3,12,1),업무일지!$B$5:$B$1004,"&lt;"&amp;DATE($B$3,12+1,1),업무일지!$D$5:$D$1004,"출장")&gt;0,1,0))</f>
        <v/>
      </c>
      <c r="AB118">
        <f>IF($O118="",0,IF(COUNTIFS(업무일지!$F$5:$F$1004,$O118,업무일지!$B$5:$B$1004,"&gt;="&amp;DATE($B$3,1,1),업무일지!$B$5:$B$1004,"&lt;"&amp;DATE($B$3,1+1,1),업무일지!$D$5:$D$1004,"분석")&gt;0,1,0))</f>
        <v/>
      </c>
      <c r="AC118">
        <f>IF($O118="",0,IF(COUNTIFS(업무일지!$F$5:$F$1004,$O118,업무일지!$B$5:$B$1004,"&gt;="&amp;DATE($B$3,2,1),업무일지!$B$5:$B$1004,"&lt;"&amp;DATE($B$3,2+1,1),업무일지!$D$5:$D$1004,"분석")&gt;0,1,0))</f>
        <v/>
      </c>
      <c r="AD118">
        <f>IF($O118="",0,IF(COUNTIFS(업무일지!$F$5:$F$1004,$O118,업무일지!$B$5:$B$1004,"&gt;="&amp;DATE($B$3,3,1),업무일지!$B$5:$B$1004,"&lt;"&amp;DATE($B$3,3+1,1),업무일지!$D$5:$D$1004,"분석")&gt;0,1,0))</f>
        <v/>
      </c>
      <c r="AE118">
        <f>IF($O118="",0,IF(COUNTIFS(업무일지!$F$5:$F$1004,$O118,업무일지!$B$5:$B$1004,"&gt;="&amp;DATE($B$3,4,1),업무일지!$B$5:$B$1004,"&lt;"&amp;DATE($B$3,4+1,1),업무일지!$D$5:$D$1004,"분석")&gt;0,1,0))</f>
        <v/>
      </c>
      <c r="AF118">
        <f>IF($O118="",0,IF(COUNTIFS(업무일지!$F$5:$F$1004,$O118,업무일지!$B$5:$B$1004,"&gt;="&amp;DATE($B$3,5,1),업무일지!$B$5:$B$1004,"&lt;"&amp;DATE($B$3,5+1,1),업무일지!$D$5:$D$1004,"분석")&gt;0,1,0))</f>
        <v/>
      </c>
      <c r="AG118">
        <f>IF($O118="",0,IF(COUNTIFS(업무일지!$F$5:$F$1004,$O118,업무일지!$B$5:$B$1004,"&gt;="&amp;DATE($B$3,6,1),업무일지!$B$5:$B$1004,"&lt;"&amp;DATE($B$3,6+1,1),업무일지!$D$5:$D$1004,"분석")&gt;0,1,0))</f>
        <v/>
      </c>
      <c r="AH118">
        <f>IF($O118="",0,IF(COUNTIFS(업무일지!$F$5:$F$1004,$O118,업무일지!$B$5:$B$1004,"&gt;="&amp;DATE($B$3,7,1),업무일지!$B$5:$B$1004,"&lt;"&amp;DATE($B$3,7+1,1),업무일지!$D$5:$D$1004,"분석")&gt;0,1,0))</f>
        <v/>
      </c>
      <c r="AI118">
        <f>IF($O118="",0,IF(COUNTIFS(업무일지!$F$5:$F$1004,$O118,업무일지!$B$5:$B$1004,"&gt;="&amp;DATE($B$3,8,1),업무일지!$B$5:$B$1004,"&lt;"&amp;DATE($B$3,8+1,1),업무일지!$D$5:$D$1004,"분석")&gt;0,1,0))</f>
        <v/>
      </c>
      <c r="AJ118">
        <f>IF($O118="",0,IF(COUNTIFS(업무일지!$F$5:$F$1004,$O118,업무일지!$B$5:$B$1004,"&gt;="&amp;DATE($B$3,9,1),업무일지!$B$5:$B$1004,"&lt;"&amp;DATE($B$3,9+1,1),업무일지!$D$5:$D$1004,"분석")&gt;0,1,0))</f>
        <v/>
      </c>
      <c r="AK118">
        <f>IF($O118="",0,IF(COUNTIFS(업무일지!$F$5:$F$1004,$O118,업무일지!$B$5:$B$1004,"&gt;="&amp;DATE($B$3,10,1),업무일지!$B$5:$B$1004,"&lt;"&amp;DATE($B$3,10+1,1),업무일지!$D$5:$D$1004,"분석")&gt;0,1,0))</f>
        <v/>
      </c>
      <c r="AL118">
        <f>IF($O118="",0,IF(COUNTIFS(업무일지!$F$5:$F$1004,$O118,업무일지!$B$5:$B$1004,"&gt;="&amp;DATE($B$3,11,1),업무일지!$B$5:$B$1004,"&lt;"&amp;DATE($B$3,11+1,1),업무일지!$D$5:$D$1004,"분석")&gt;0,1,0))</f>
        <v/>
      </c>
      <c r="AM118">
        <f>IF($O118="",0,IF(COUNTIFS(업무일지!$F$5:$F$1004,$O118,업무일지!$B$5:$B$1004,"&gt;="&amp;DATE($B$3,12,1),업무일지!$B$5:$B$1004,"&lt;"&amp;DATE($B$3,12+1,1),업무일지!$D$5:$D$1004,"분석")&gt;0,1,0))</f>
        <v/>
      </c>
      <c r="AN118">
        <f>IF($O118="",0,IF(COUNTIFS(업무일지!$F$5:$F$1004,$O118,업무일지!$B$5:$B$1004,"&gt;="&amp;DATE($B$3,1,1),업무일지!$B$5:$B$1004,"&lt;"&amp;DATE($B$3,1+1,1))&gt;0,1,0))</f>
        <v/>
      </c>
      <c r="AO118">
        <f>IF($O118="",0,IF(COUNTIFS(업무일지!$F$5:$F$1004,$O118,업무일지!$B$5:$B$1004,"&gt;="&amp;DATE($B$3,2,1),업무일지!$B$5:$B$1004,"&lt;"&amp;DATE($B$3,2+1,1))&gt;0,1,0))</f>
        <v/>
      </c>
      <c r="AP118">
        <f>IF($O118="",0,IF(COUNTIFS(업무일지!$F$5:$F$1004,$O118,업무일지!$B$5:$B$1004,"&gt;="&amp;DATE($B$3,3,1),업무일지!$B$5:$B$1004,"&lt;"&amp;DATE($B$3,3+1,1))&gt;0,1,0))</f>
        <v/>
      </c>
      <c r="AQ118">
        <f>IF($O118="",0,IF(COUNTIFS(업무일지!$F$5:$F$1004,$O118,업무일지!$B$5:$B$1004,"&gt;="&amp;DATE($B$3,4,1),업무일지!$B$5:$B$1004,"&lt;"&amp;DATE($B$3,4+1,1))&gt;0,1,0))</f>
        <v/>
      </c>
      <c r="AR118">
        <f>IF($O118="",0,IF(COUNTIFS(업무일지!$F$5:$F$1004,$O118,업무일지!$B$5:$B$1004,"&gt;="&amp;DATE($B$3,5,1),업무일지!$B$5:$B$1004,"&lt;"&amp;DATE($B$3,5+1,1))&gt;0,1,0))</f>
        <v/>
      </c>
      <c r="AS118">
        <f>IF($O118="",0,IF(COUNTIFS(업무일지!$F$5:$F$1004,$O118,업무일지!$B$5:$B$1004,"&gt;="&amp;DATE($B$3,6,1),업무일지!$B$5:$B$1004,"&lt;"&amp;DATE($B$3,6+1,1))&gt;0,1,0))</f>
        <v/>
      </c>
      <c r="AT118">
        <f>IF($O118="",0,IF(COUNTIFS(업무일지!$F$5:$F$1004,$O118,업무일지!$B$5:$B$1004,"&gt;="&amp;DATE($B$3,7,1),업무일지!$B$5:$B$1004,"&lt;"&amp;DATE($B$3,7+1,1))&gt;0,1,0))</f>
        <v/>
      </c>
      <c r="AU118">
        <f>IF($O118="",0,IF(COUNTIFS(업무일지!$F$5:$F$1004,$O118,업무일지!$B$5:$B$1004,"&gt;="&amp;DATE($B$3,8,1),업무일지!$B$5:$B$1004,"&lt;"&amp;DATE($B$3,8+1,1))&gt;0,1,0))</f>
        <v/>
      </c>
      <c r="AV118">
        <f>IF($O118="",0,IF(COUNTIFS(업무일지!$F$5:$F$1004,$O118,업무일지!$B$5:$B$1004,"&gt;="&amp;DATE($B$3,9,1),업무일지!$B$5:$B$1004,"&lt;"&amp;DATE($B$3,9+1,1))&gt;0,1,0))</f>
        <v/>
      </c>
      <c r="AW118">
        <f>IF($O118="",0,IF(COUNTIFS(업무일지!$F$5:$F$1004,$O118,업무일지!$B$5:$B$1004,"&gt;="&amp;DATE($B$3,10,1),업무일지!$B$5:$B$1004,"&lt;"&amp;DATE($B$3,10+1,1))&gt;0,1,0))</f>
        <v/>
      </c>
      <c r="AX118">
        <f>IF($O118="",0,IF(COUNTIFS(업무일지!$F$5:$F$1004,$O118,업무일지!$B$5:$B$1004,"&gt;="&amp;DATE($B$3,11,1),업무일지!$B$5:$B$1004,"&lt;"&amp;DATE($B$3,11+1,1))&gt;0,1,0))</f>
        <v/>
      </c>
      <c r="AY118">
        <f>IF($O118="",0,IF(COUNTIFS(업무일지!$F$5:$F$1004,$O118,업무일지!$B$5:$B$1004,"&gt;="&amp;DATE($B$3,12,1),업무일지!$B$5:$B$1004,"&lt;"&amp;DATE($B$3,12+1,1))&gt;0,1,0))</f>
        <v/>
      </c>
      <c r="AZ118">
        <f>IF($O118="",0,IF(COUNTIFS(업무일지!$F$5:$F$1004,$O118,업무일지!$B$5:$B$1004,"&gt;="&amp;DATE($B$3,1,1),업무일지!$B$5:$B$1004,"&lt;"&amp;DATE($B$3+1,1,1),업무일지!$D$5:$D$1004,"출장")&gt;0,1,0))</f>
        <v/>
      </c>
      <c r="BA118">
        <f>IF($O118="",0,IF(COUNTIFS(업무일지!$F$5:$F$1004,$O118,업무일지!$B$5:$B$1004,"&gt;="&amp;DATE($B$3,1,1),업무일지!$B$5:$B$1004,"&lt;"&amp;DATE($B$3+1,1,1),업무일지!$D$5:$D$1004,"분석")&gt;0,1,0))</f>
        <v/>
      </c>
      <c r="BB118">
        <f>IF($O118="",0,IF(COUNTIFS(업무일지!$F$5:$F$1004,$O118,업무일지!$B$5:$B$1004,"&gt;="&amp;DATE($B$3,1,1),업무일지!$B$5:$B$1004,"&lt;"&amp;DATE($B$3+1,1,1))&gt;0,1,0))</f>
        <v/>
      </c>
    </row>
    <row r="119">
      <c r="O119">
        <f>IF(사건마스터!$A39="","",사건마스터!$A39)</f>
        <v/>
      </c>
      <c r="P119">
        <f>IF($O119="",0,IF(COUNTIFS(업무일지!$F$5:$F$1004,$O119,업무일지!$B$5:$B$1004,"&gt;="&amp;DATE($B$3,1,1),업무일지!$B$5:$B$1004,"&lt;"&amp;DATE($B$3,1+1,1),업무일지!$D$5:$D$1004,"출장")&gt;0,1,0))</f>
        <v/>
      </c>
      <c r="Q119">
        <f>IF($O119="",0,IF(COUNTIFS(업무일지!$F$5:$F$1004,$O119,업무일지!$B$5:$B$1004,"&gt;="&amp;DATE($B$3,2,1),업무일지!$B$5:$B$1004,"&lt;"&amp;DATE($B$3,2+1,1),업무일지!$D$5:$D$1004,"출장")&gt;0,1,0))</f>
        <v/>
      </c>
      <c r="R119">
        <f>IF($O119="",0,IF(COUNTIFS(업무일지!$F$5:$F$1004,$O119,업무일지!$B$5:$B$1004,"&gt;="&amp;DATE($B$3,3,1),업무일지!$B$5:$B$1004,"&lt;"&amp;DATE($B$3,3+1,1),업무일지!$D$5:$D$1004,"출장")&gt;0,1,0))</f>
        <v/>
      </c>
      <c r="S119">
        <f>IF($O119="",0,IF(COUNTIFS(업무일지!$F$5:$F$1004,$O119,업무일지!$B$5:$B$1004,"&gt;="&amp;DATE($B$3,4,1),업무일지!$B$5:$B$1004,"&lt;"&amp;DATE($B$3,4+1,1),업무일지!$D$5:$D$1004,"출장")&gt;0,1,0))</f>
        <v/>
      </c>
      <c r="T119">
        <f>IF($O119="",0,IF(COUNTIFS(업무일지!$F$5:$F$1004,$O119,업무일지!$B$5:$B$1004,"&gt;="&amp;DATE($B$3,5,1),업무일지!$B$5:$B$1004,"&lt;"&amp;DATE($B$3,5+1,1),업무일지!$D$5:$D$1004,"출장")&gt;0,1,0))</f>
        <v/>
      </c>
      <c r="U119">
        <f>IF($O119="",0,IF(COUNTIFS(업무일지!$F$5:$F$1004,$O119,업무일지!$B$5:$B$1004,"&gt;="&amp;DATE($B$3,6,1),업무일지!$B$5:$B$1004,"&lt;"&amp;DATE($B$3,6+1,1),업무일지!$D$5:$D$1004,"출장")&gt;0,1,0))</f>
        <v/>
      </c>
      <c r="V119">
        <f>IF($O119="",0,IF(COUNTIFS(업무일지!$F$5:$F$1004,$O119,업무일지!$B$5:$B$1004,"&gt;="&amp;DATE($B$3,7,1),업무일지!$B$5:$B$1004,"&lt;"&amp;DATE($B$3,7+1,1),업무일지!$D$5:$D$1004,"출장")&gt;0,1,0))</f>
        <v/>
      </c>
      <c r="W119">
        <f>IF($O119="",0,IF(COUNTIFS(업무일지!$F$5:$F$1004,$O119,업무일지!$B$5:$B$1004,"&gt;="&amp;DATE($B$3,8,1),업무일지!$B$5:$B$1004,"&lt;"&amp;DATE($B$3,8+1,1),업무일지!$D$5:$D$1004,"출장")&gt;0,1,0))</f>
        <v/>
      </c>
      <c r="X119">
        <f>IF($O119="",0,IF(COUNTIFS(업무일지!$F$5:$F$1004,$O119,업무일지!$B$5:$B$1004,"&gt;="&amp;DATE($B$3,9,1),업무일지!$B$5:$B$1004,"&lt;"&amp;DATE($B$3,9+1,1),업무일지!$D$5:$D$1004,"출장")&gt;0,1,0))</f>
        <v/>
      </c>
      <c r="Y119">
        <f>IF($O119="",0,IF(COUNTIFS(업무일지!$F$5:$F$1004,$O119,업무일지!$B$5:$B$1004,"&gt;="&amp;DATE($B$3,10,1),업무일지!$B$5:$B$1004,"&lt;"&amp;DATE($B$3,10+1,1),업무일지!$D$5:$D$1004,"출장")&gt;0,1,0))</f>
        <v/>
      </c>
      <c r="Z119">
        <f>IF($O119="",0,IF(COUNTIFS(업무일지!$F$5:$F$1004,$O119,업무일지!$B$5:$B$1004,"&gt;="&amp;DATE($B$3,11,1),업무일지!$B$5:$B$1004,"&lt;"&amp;DATE($B$3,11+1,1),업무일지!$D$5:$D$1004,"출장")&gt;0,1,0))</f>
        <v/>
      </c>
      <c r="AA119">
        <f>IF($O119="",0,IF(COUNTIFS(업무일지!$F$5:$F$1004,$O119,업무일지!$B$5:$B$1004,"&gt;="&amp;DATE($B$3,12,1),업무일지!$B$5:$B$1004,"&lt;"&amp;DATE($B$3,12+1,1),업무일지!$D$5:$D$1004,"출장")&gt;0,1,0))</f>
        <v/>
      </c>
      <c r="AB119">
        <f>IF($O119="",0,IF(COUNTIFS(업무일지!$F$5:$F$1004,$O119,업무일지!$B$5:$B$1004,"&gt;="&amp;DATE($B$3,1,1),업무일지!$B$5:$B$1004,"&lt;"&amp;DATE($B$3,1+1,1),업무일지!$D$5:$D$1004,"분석")&gt;0,1,0))</f>
        <v/>
      </c>
      <c r="AC119">
        <f>IF($O119="",0,IF(COUNTIFS(업무일지!$F$5:$F$1004,$O119,업무일지!$B$5:$B$1004,"&gt;="&amp;DATE($B$3,2,1),업무일지!$B$5:$B$1004,"&lt;"&amp;DATE($B$3,2+1,1),업무일지!$D$5:$D$1004,"분석")&gt;0,1,0))</f>
        <v/>
      </c>
      <c r="AD119">
        <f>IF($O119="",0,IF(COUNTIFS(업무일지!$F$5:$F$1004,$O119,업무일지!$B$5:$B$1004,"&gt;="&amp;DATE($B$3,3,1),업무일지!$B$5:$B$1004,"&lt;"&amp;DATE($B$3,3+1,1),업무일지!$D$5:$D$1004,"분석")&gt;0,1,0))</f>
        <v/>
      </c>
      <c r="AE119">
        <f>IF($O119="",0,IF(COUNTIFS(업무일지!$F$5:$F$1004,$O119,업무일지!$B$5:$B$1004,"&gt;="&amp;DATE($B$3,4,1),업무일지!$B$5:$B$1004,"&lt;"&amp;DATE($B$3,4+1,1),업무일지!$D$5:$D$1004,"분석")&gt;0,1,0))</f>
        <v/>
      </c>
      <c r="AF119">
        <f>IF($O119="",0,IF(COUNTIFS(업무일지!$F$5:$F$1004,$O119,업무일지!$B$5:$B$1004,"&gt;="&amp;DATE($B$3,5,1),업무일지!$B$5:$B$1004,"&lt;"&amp;DATE($B$3,5+1,1),업무일지!$D$5:$D$1004,"분석")&gt;0,1,0))</f>
        <v/>
      </c>
      <c r="AG119">
        <f>IF($O119="",0,IF(COUNTIFS(업무일지!$F$5:$F$1004,$O119,업무일지!$B$5:$B$1004,"&gt;="&amp;DATE($B$3,6,1),업무일지!$B$5:$B$1004,"&lt;"&amp;DATE($B$3,6+1,1),업무일지!$D$5:$D$1004,"분석")&gt;0,1,0))</f>
        <v/>
      </c>
      <c r="AH119">
        <f>IF($O119="",0,IF(COUNTIFS(업무일지!$F$5:$F$1004,$O119,업무일지!$B$5:$B$1004,"&gt;="&amp;DATE($B$3,7,1),업무일지!$B$5:$B$1004,"&lt;"&amp;DATE($B$3,7+1,1),업무일지!$D$5:$D$1004,"분석")&gt;0,1,0))</f>
        <v/>
      </c>
      <c r="AI119">
        <f>IF($O119="",0,IF(COUNTIFS(업무일지!$F$5:$F$1004,$O119,업무일지!$B$5:$B$1004,"&gt;="&amp;DATE($B$3,8,1),업무일지!$B$5:$B$1004,"&lt;"&amp;DATE($B$3,8+1,1),업무일지!$D$5:$D$1004,"분석")&gt;0,1,0))</f>
        <v/>
      </c>
      <c r="AJ119">
        <f>IF($O119="",0,IF(COUNTIFS(업무일지!$F$5:$F$1004,$O119,업무일지!$B$5:$B$1004,"&gt;="&amp;DATE($B$3,9,1),업무일지!$B$5:$B$1004,"&lt;"&amp;DATE($B$3,9+1,1),업무일지!$D$5:$D$1004,"분석")&gt;0,1,0))</f>
        <v/>
      </c>
      <c r="AK119">
        <f>IF($O119="",0,IF(COUNTIFS(업무일지!$F$5:$F$1004,$O119,업무일지!$B$5:$B$1004,"&gt;="&amp;DATE($B$3,10,1),업무일지!$B$5:$B$1004,"&lt;"&amp;DATE($B$3,10+1,1),업무일지!$D$5:$D$1004,"분석")&gt;0,1,0))</f>
        <v/>
      </c>
      <c r="AL119">
        <f>IF($O119="",0,IF(COUNTIFS(업무일지!$F$5:$F$1004,$O119,업무일지!$B$5:$B$1004,"&gt;="&amp;DATE($B$3,11,1),업무일지!$B$5:$B$1004,"&lt;"&amp;DATE($B$3,11+1,1),업무일지!$D$5:$D$1004,"분석")&gt;0,1,0))</f>
        <v/>
      </c>
      <c r="AM119">
        <f>IF($O119="",0,IF(COUNTIFS(업무일지!$F$5:$F$1004,$O119,업무일지!$B$5:$B$1004,"&gt;="&amp;DATE($B$3,12,1),업무일지!$B$5:$B$1004,"&lt;"&amp;DATE($B$3,12+1,1),업무일지!$D$5:$D$1004,"분석")&gt;0,1,0))</f>
        <v/>
      </c>
      <c r="AN119">
        <f>IF($O119="",0,IF(COUNTIFS(업무일지!$F$5:$F$1004,$O119,업무일지!$B$5:$B$1004,"&gt;="&amp;DATE($B$3,1,1),업무일지!$B$5:$B$1004,"&lt;"&amp;DATE($B$3,1+1,1))&gt;0,1,0))</f>
        <v/>
      </c>
      <c r="AO119">
        <f>IF($O119="",0,IF(COUNTIFS(업무일지!$F$5:$F$1004,$O119,업무일지!$B$5:$B$1004,"&gt;="&amp;DATE($B$3,2,1),업무일지!$B$5:$B$1004,"&lt;"&amp;DATE($B$3,2+1,1))&gt;0,1,0))</f>
        <v/>
      </c>
      <c r="AP119">
        <f>IF($O119="",0,IF(COUNTIFS(업무일지!$F$5:$F$1004,$O119,업무일지!$B$5:$B$1004,"&gt;="&amp;DATE($B$3,3,1),업무일지!$B$5:$B$1004,"&lt;"&amp;DATE($B$3,3+1,1))&gt;0,1,0))</f>
        <v/>
      </c>
      <c r="AQ119">
        <f>IF($O119="",0,IF(COUNTIFS(업무일지!$F$5:$F$1004,$O119,업무일지!$B$5:$B$1004,"&gt;="&amp;DATE($B$3,4,1),업무일지!$B$5:$B$1004,"&lt;"&amp;DATE($B$3,4+1,1))&gt;0,1,0))</f>
        <v/>
      </c>
      <c r="AR119">
        <f>IF($O119="",0,IF(COUNTIFS(업무일지!$F$5:$F$1004,$O119,업무일지!$B$5:$B$1004,"&gt;="&amp;DATE($B$3,5,1),업무일지!$B$5:$B$1004,"&lt;"&amp;DATE($B$3,5+1,1))&gt;0,1,0))</f>
        <v/>
      </c>
      <c r="AS119">
        <f>IF($O119="",0,IF(COUNTIFS(업무일지!$F$5:$F$1004,$O119,업무일지!$B$5:$B$1004,"&gt;="&amp;DATE($B$3,6,1),업무일지!$B$5:$B$1004,"&lt;"&amp;DATE($B$3,6+1,1))&gt;0,1,0))</f>
        <v/>
      </c>
      <c r="AT119">
        <f>IF($O119="",0,IF(COUNTIFS(업무일지!$F$5:$F$1004,$O119,업무일지!$B$5:$B$1004,"&gt;="&amp;DATE($B$3,7,1),업무일지!$B$5:$B$1004,"&lt;"&amp;DATE($B$3,7+1,1))&gt;0,1,0))</f>
        <v/>
      </c>
      <c r="AU119">
        <f>IF($O119="",0,IF(COUNTIFS(업무일지!$F$5:$F$1004,$O119,업무일지!$B$5:$B$1004,"&gt;="&amp;DATE($B$3,8,1),업무일지!$B$5:$B$1004,"&lt;"&amp;DATE($B$3,8+1,1))&gt;0,1,0))</f>
        <v/>
      </c>
      <c r="AV119">
        <f>IF($O119="",0,IF(COUNTIFS(업무일지!$F$5:$F$1004,$O119,업무일지!$B$5:$B$1004,"&gt;="&amp;DATE($B$3,9,1),업무일지!$B$5:$B$1004,"&lt;"&amp;DATE($B$3,9+1,1))&gt;0,1,0))</f>
        <v/>
      </c>
      <c r="AW119">
        <f>IF($O119="",0,IF(COUNTIFS(업무일지!$F$5:$F$1004,$O119,업무일지!$B$5:$B$1004,"&gt;="&amp;DATE($B$3,10,1),업무일지!$B$5:$B$1004,"&lt;"&amp;DATE($B$3,10+1,1))&gt;0,1,0))</f>
        <v/>
      </c>
      <c r="AX119">
        <f>IF($O119="",0,IF(COUNTIFS(업무일지!$F$5:$F$1004,$O119,업무일지!$B$5:$B$1004,"&gt;="&amp;DATE($B$3,11,1),업무일지!$B$5:$B$1004,"&lt;"&amp;DATE($B$3,11+1,1))&gt;0,1,0))</f>
        <v/>
      </c>
      <c r="AY119">
        <f>IF($O119="",0,IF(COUNTIFS(업무일지!$F$5:$F$1004,$O119,업무일지!$B$5:$B$1004,"&gt;="&amp;DATE($B$3,12,1),업무일지!$B$5:$B$1004,"&lt;"&amp;DATE($B$3,12+1,1))&gt;0,1,0))</f>
        <v/>
      </c>
      <c r="AZ119">
        <f>IF($O119="",0,IF(COUNTIFS(업무일지!$F$5:$F$1004,$O119,업무일지!$B$5:$B$1004,"&gt;="&amp;DATE($B$3,1,1),업무일지!$B$5:$B$1004,"&lt;"&amp;DATE($B$3+1,1,1),업무일지!$D$5:$D$1004,"출장")&gt;0,1,0))</f>
        <v/>
      </c>
      <c r="BA119">
        <f>IF($O119="",0,IF(COUNTIFS(업무일지!$F$5:$F$1004,$O119,업무일지!$B$5:$B$1004,"&gt;="&amp;DATE($B$3,1,1),업무일지!$B$5:$B$1004,"&lt;"&amp;DATE($B$3+1,1,1),업무일지!$D$5:$D$1004,"분석")&gt;0,1,0))</f>
        <v/>
      </c>
      <c r="BB119">
        <f>IF($O119="",0,IF(COUNTIFS(업무일지!$F$5:$F$1004,$O119,업무일지!$B$5:$B$1004,"&gt;="&amp;DATE($B$3,1,1),업무일지!$B$5:$B$1004,"&lt;"&amp;DATE($B$3+1,1,1))&gt;0,1,0))</f>
        <v/>
      </c>
    </row>
    <row r="120">
      <c r="O120">
        <f>IF(사건마스터!$A40="","",사건마스터!$A40)</f>
        <v/>
      </c>
      <c r="P120">
        <f>IF($O120="",0,IF(COUNTIFS(업무일지!$F$5:$F$1004,$O120,업무일지!$B$5:$B$1004,"&gt;="&amp;DATE($B$3,1,1),업무일지!$B$5:$B$1004,"&lt;"&amp;DATE($B$3,1+1,1),업무일지!$D$5:$D$1004,"출장")&gt;0,1,0))</f>
        <v/>
      </c>
      <c r="Q120">
        <f>IF($O120="",0,IF(COUNTIFS(업무일지!$F$5:$F$1004,$O120,업무일지!$B$5:$B$1004,"&gt;="&amp;DATE($B$3,2,1),업무일지!$B$5:$B$1004,"&lt;"&amp;DATE($B$3,2+1,1),업무일지!$D$5:$D$1004,"출장")&gt;0,1,0))</f>
        <v/>
      </c>
      <c r="R120">
        <f>IF($O120="",0,IF(COUNTIFS(업무일지!$F$5:$F$1004,$O120,업무일지!$B$5:$B$1004,"&gt;="&amp;DATE($B$3,3,1),업무일지!$B$5:$B$1004,"&lt;"&amp;DATE($B$3,3+1,1),업무일지!$D$5:$D$1004,"출장")&gt;0,1,0))</f>
        <v/>
      </c>
      <c r="S120">
        <f>IF($O120="",0,IF(COUNTIFS(업무일지!$F$5:$F$1004,$O120,업무일지!$B$5:$B$1004,"&gt;="&amp;DATE($B$3,4,1),업무일지!$B$5:$B$1004,"&lt;"&amp;DATE($B$3,4+1,1),업무일지!$D$5:$D$1004,"출장")&gt;0,1,0))</f>
        <v/>
      </c>
      <c r="T120">
        <f>IF($O120="",0,IF(COUNTIFS(업무일지!$F$5:$F$1004,$O120,업무일지!$B$5:$B$1004,"&gt;="&amp;DATE($B$3,5,1),업무일지!$B$5:$B$1004,"&lt;"&amp;DATE($B$3,5+1,1),업무일지!$D$5:$D$1004,"출장")&gt;0,1,0))</f>
        <v/>
      </c>
      <c r="U120">
        <f>IF($O120="",0,IF(COUNTIFS(업무일지!$F$5:$F$1004,$O120,업무일지!$B$5:$B$1004,"&gt;="&amp;DATE($B$3,6,1),업무일지!$B$5:$B$1004,"&lt;"&amp;DATE($B$3,6+1,1),업무일지!$D$5:$D$1004,"출장")&gt;0,1,0))</f>
        <v/>
      </c>
      <c r="V120">
        <f>IF($O120="",0,IF(COUNTIFS(업무일지!$F$5:$F$1004,$O120,업무일지!$B$5:$B$1004,"&gt;="&amp;DATE($B$3,7,1),업무일지!$B$5:$B$1004,"&lt;"&amp;DATE($B$3,7+1,1),업무일지!$D$5:$D$1004,"출장")&gt;0,1,0))</f>
        <v/>
      </c>
      <c r="W120">
        <f>IF($O120="",0,IF(COUNTIFS(업무일지!$F$5:$F$1004,$O120,업무일지!$B$5:$B$1004,"&gt;="&amp;DATE($B$3,8,1),업무일지!$B$5:$B$1004,"&lt;"&amp;DATE($B$3,8+1,1),업무일지!$D$5:$D$1004,"출장")&gt;0,1,0))</f>
        <v/>
      </c>
      <c r="X120">
        <f>IF($O120="",0,IF(COUNTIFS(업무일지!$F$5:$F$1004,$O120,업무일지!$B$5:$B$1004,"&gt;="&amp;DATE($B$3,9,1),업무일지!$B$5:$B$1004,"&lt;"&amp;DATE($B$3,9+1,1),업무일지!$D$5:$D$1004,"출장")&gt;0,1,0))</f>
        <v/>
      </c>
      <c r="Y120">
        <f>IF($O120="",0,IF(COUNTIFS(업무일지!$F$5:$F$1004,$O120,업무일지!$B$5:$B$1004,"&gt;="&amp;DATE($B$3,10,1),업무일지!$B$5:$B$1004,"&lt;"&amp;DATE($B$3,10+1,1),업무일지!$D$5:$D$1004,"출장")&gt;0,1,0))</f>
        <v/>
      </c>
      <c r="Z120">
        <f>IF($O120="",0,IF(COUNTIFS(업무일지!$F$5:$F$1004,$O120,업무일지!$B$5:$B$1004,"&gt;="&amp;DATE($B$3,11,1),업무일지!$B$5:$B$1004,"&lt;"&amp;DATE($B$3,11+1,1),업무일지!$D$5:$D$1004,"출장")&gt;0,1,0))</f>
        <v/>
      </c>
      <c r="AA120">
        <f>IF($O120="",0,IF(COUNTIFS(업무일지!$F$5:$F$1004,$O120,업무일지!$B$5:$B$1004,"&gt;="&amp;DATE($B$3,12,1),업무일지!$B$5:$B$1004,"&lt;"&amp;DATE($B$3,12+1,1),업무일지!$D$5:$D$1004,"출장")&gt;0,1,0))</f>
        <v/>
      </c>
      <c r="AB120">
        <f>IF($O120="",0,IF(COUNTIFS(업무일지!$F$5:$F$1004,$O120,업무일지!$B$5:$B$1004,"&gt;="&amp;DATE($B$3,1,1),업무일지!$B$5:$B$1004,"&lt;"&amp;DATE($B$3,1+1,1),업무일지!$D$5:$D$1004,"분석")&gt;0,1,0))</f>
        <v/>
      </c>
      <c r="AC120">
        <f>IF($O120="",0,IF(COUNTIFS(업무일지!$F$5:$F$1004,$O120,업무일지!$B$5:$B$1004,"&gt;="&amp;DATE($B$3,2,1),업무일지!$B$5:$B$1004,"&lt;"&amp;DATE($B$3,2+1,1),업무일지!$D$5:$D$1004,"분석")&gt;0,1,0))</f>
        <v/>
      </c>
      <c r="AD120">
        <f>IF($O120="",0,IF(COUNTIFS(업무일지!$F$5:$F$1004,$O120,업무일지!$B$5:$B$1004,"&gt;="&amp;DATE($B$3,3,1),업무일지!$B$5:$B$1004,"&lt;"&amp;DATE($B$3,3+1,1),업무일지!$D$5:$D$1004,"분석")&gt;0,1,0))</f>
        <v/>
      </c>
      <c r="AE120">
        <f>IF($O120="",0,IF(COUNTIFS(업무일지!$F$5:$F$1004,$O120,업무일지!$B$5:$B$1004,"&gt;="&amp;DATE($B$3,4,1),업무일지!$B$5:$B$1004,"&lt;"&amp;DATE($B$3,4+1,1),업무일지!$D$5:$D$1004,"분석")&gt;0,1,0))</f>
        <v/>
      </c>
      <c r="AF120">
        <f>IF($O120="",0,IF(COUNTIFS(업무일지!$F$5:$F$1004,$O120,업무일지!$B$5:$B$1004,"&gt;="&amp;DATE($B$3,5,1),업무일지!$B$5:$B$1004,"&lt;"&amp;DATE($B$3,5+1,1),업무일지!$D$5:$D$1004,"분석")&gt;0,1,0))</f>
        <v/>
      </c>
      <c r="AG120">
        <f>IF($O120="",0,IF(COUNTIFS(업무일지!$F$5:$F$1004,$O120,업무일지!$B$5:$B$1004,"&gt;="&amp;DATE($B$3,6,1),업무일지!$B$5:$B$1004,"&lt;"&amp;DATE($B$3,6+1,1),업무일지!$D$5:$D$1004,"분석")&gt;0,1,0))</f>
        <v/>
      </c>
      <c r="AH120">
        <f>IF($O120="",0,IF(COUNTIFS(업무일지!$F$5:$F$1004,$O120,업무일지!$B$5:$B$1004,"&gt;="&amp;DATE($B$3,7,1),업무일지!$B$5:$B$1004,"&lt;"&amp;DATE($B$3,7+1,1),업무일지!$D$5:$D$1004,"분석")&gt;0,1,0))</f>
        <v/>
      </c>
      <c r="AI120">
        <f>IF($O120="",0,IF(COUNTIFS(업무일지!$F$5:$F$1004,$O120,업무일지!$B$5:$B$1004,"&gt;="&amp;DATE($B$3,8,1),업무일지!$B$5:$B$1004,"&lt;"&amp;DATE($B$3,8+1,1),업무일지!$D$5:$D$1004,"분석")&gt;0,1,0))</f>
        <v/>
      </c>
      <c r="AJ120">
        <f>IF($O120="",0,IF(COUNTIFS(업무일지!$F$5:$F$1004,$O120,업무일지!$B$5:$B$1004,"&gt;="&amp;DATE($B$3,9,1),업무일지!$B$5:$B$1004,"&lt;"&amp;DATE($B$3,9+1,1),업무일지!$D$5:$D$1004,"분석")&gt;0,1,0))</f>
        <v/>
      </c>
      <c r="AK120">
        <f>IF($O120="",0,IF(COUNTIFS(업무일지!$F$5:$F$1004,$O120,업무일지!$B$5:$B$1004,"&gt;="&amp;DATE($B$3,10,1),업무일지!$B$5:$B$1004,"&lt;"&amp;DATE($B$3,10+1,1),업무일지!$D$5:$D$1004,"분석")&gt;0,1,0))</f>
        <v/>
      </c>
      <c r="AL120">
        <f>IF($O120="",0,IF(COUNTIFS(업무일지!$F$5:$F$1004,$O120,업무일지!$B$5:$B$1004,"&gt;="&amp;DATE($B$3,11,1),업무일지!$B$5:$B$1004,"&lt;"&amp;DATE($B$3,11+1,1),업무일지!$D$5:$D$1004,"분석")&gt;0,1,0))</f>
        <v/>
      </c>
      <c r="AM120">
        <f>IF($O120="",0,IF(COUNTIFS(업무일지!$F$5:$F$1004,$O120,업무일지!$B$5:$B$1004,"&gt;="&amp;DATE($B$3,12,1),업무일지!$B$5:$B$1004,"&lt;"&amp;DATE($B$3,12+1,1),업무일지!$D$5:$D$1004,"분석")&gt;0,1,0))</f>
        <v/>
      </c>
      <c r="AN120">
        <f>IF($O120="",0,IF(COUNTIFS(업무일지!$F$5:$F$1004,$O120,업무일지!$B$5:$B$1004,"&gt;="&amp;DATE($B$3,1,1),업무일지!$B$5:$B$1004,"&lt;"&amp;DATE($B$3,1+1,1))&gt;0,1,0))</f>
        <v/>
      </c>
      <c r="AO120">
        <f>IF($O120="",0,IF(COUNTIFS(업무일지!$F$5:$F$1004,$O120,업무일지!$B$5:$B$1004,"&gt;="&amp;DATE($B$3,2,1),업무일지!$B$5:$B$1004,"&lt;"&amp;DATE($B$3,2+1,1))&gt;0,1,0))</f>
        <v/>
      </c>
      <c r="AP120">
        <f>IF($O120="",0,IF(COUNTIFS(업무일지!$F$5:$F$1004,$O120,업무일지!$B$5:$B$1004,"&gt;="&amp;DATE($B$3,3,1),업무일지!$B$5:$B$1004,"&lt;"&amp;DATE($B$3,3+1,1))&gt;0,1,0))</f>
        <v/>
      </c>
      <c r="AQ120">
        <f>IF($O120="",0,IF(COUNTIFS(업무일지!$F$5:$F$1004,$O120,업무일지!$B$5:$B$1004,"&gt;="&amp;DATE($B$3,4,1),업무일지!$B$5:$B$1004,"&lt;"&amp;DATE($B$3,4+1,1))&gt;0,1,0))</f>
        <v/>
      </c>
      <c r="AR120">
        <f>IF($O120="",0,IF(COUNTIFS(업무일지!$F$5:$F$1004,$O120,업무일지!$B$5:$B$1004,"&gt;="&amp;DATE($B$3,5,1),업무일지!$B$5:$B$1004,"&lt;"&amp;DATE($B$3,5+1,1))&gt;0,1,0))</f>
        <v/>
      </c>
      <c r="AS120">
        <f>IF($O120="",0,IF(COUNTIFS(업무일지!$F$5:$F$1004,$O120,업무일지!$B$5:$B$1004,"&gt;="&amp;DATE($B$3,6,1),업무일지!$B$5:$B$1004,"&lt;"&amp;DATE($B$3,6+1,1))&gt;0,1,0))</f>
        <v/>
      </c>
      <c r="AT120">
        <f>IF($O120="",0,IF(COUNTIFS(업무일지!$F$5:$F$1004,$O120,업무일지!$B$5:$B$1004,"&gt;="&amp;DATE($B$3,7,1),업무일지!$B$5:$B$1004,"&lt;"&amp;DATE($B$3,7+1,1))&gt;0,1,0))</f>
        <v/>
      </c>
      <c r="AU120">
        <f>IF($O120="",0,IF(COUNTIFS(업무일지!$F$5:$F$1004,$O120,업무일지!$B$5:$B$1004,"&gt;="&amp;DATE($B$3,8,1),업무일지!$B$5:$B$1004,"&lt;"&amp;DATE($B$3,8+1,1))&gt;0,1,0))</f>
        <v/>
      </c>
      <c r="AV120">
        <f>IF($O120="",0,IF(COUNTIFS(업무일지!$F$5:$F$1004,$O120,업무일지!$B$5:$B$1004,"&gt;="&amp;DATE($B$3,9,1),업무일지!$B$5:$B$1004,"&lt;"&amp;DATE($B$3,9+1,1))&gt;0,1,0))</f>
        <v/>
      </c>
      <c r="AW120">
        <f>IF($O120="",0,IF(COUNTIFS(업무일지!$F$5:$F$1004,$O120,업무일지!$B$5:$B$1004,"&gt;="&amp;DATE($B$3,10,1),업무일지!$B$5:$B$1004,"&lt;"&amp;DATE($B$3,10+1,1))&gt;0,1,0))</f>
        <v/>
      </c>
      <c r="AX120">
        <f>IF($O120="",0,IF(COUNTIFS(업무일지!$F$5:$F$1004,$O120,업무일지!$B$5:$B$1004,"&gt;="&amp;DATE($B$3,11,1),업무일지!$B$5:$B$1004,"&lt;"&amp;DATE($B$3,11+1,1))&gt;0,1,0))</f>
        <v/>
      </c>
      <c r="AY120">
        <f>IF($O120="",0,IF(COUNTIFS(업무일지!$F$5:$F$1004,$O120,업무일지!$B$5:$B$1004,"&gt;="&amp;DATE($B$3,12,1),업무일지!$B$5:$B$1004,"&lt;"&amp;DATE($B$3,12+1,1))&gt;0,1,0))</f>
        <v/>
      </c>
      <c r="AZ120">
        <f>IF($O120="",0,IF(COUNTIFS(업무일지!$F$5:$F$1004,$O120,업무일지!$B$5:$B$1004,"&gt;="&amp;DATE($B$3,1,1),업무일지!$B$5:$B$1004,"&lt;"&amp;DATE($B$3+1,1,1),업무일지!$D$5:$D$1004,"출장")&gt;0,1,0))</f>
        <v/>
      </c>
      <c r="BA120">
        <f>IF($O120="",0,IF(COUNTIFS(업무일지!$F$5:$F$1004,$O120,업무일지!$B$5:$B$1004,"&gt;="&amp;DATE($B$3,1,1),업무일지!$B$5:$B$1004,"&lt;"&amp;DATE($B$3+1,1,1),업무일지!$D$5:$D$1004,"분석")&gt;0,1,0))</f>
        <v/>
      </c>
      <c r="BB120">
        <f>IF($O120="",0,IF(COUNTIFS(업무일지!$F$5:$F$1004,$O120,업무일지!$B$5:$B$1004,"&gt;="&amp;DATE($B$3,1,1),업무일지!$B$5:$B$1004,"&lt;"&amp;DATE($B$3+1,1,1))&gt;0,1,0))</f>
        <v/>
      </c>
    </row>
    <row r="121">
      <c r="O121">
        <f>IF(사건마스터!$A41="","",사건마스터!$A41)</f>
        <v/>
      </c>
      <c r="P121">
        <f>IF($O121="",0,IF(COUNTIFS(업무일지!$F$5:$F$1004,$O121,업무일지!$B$5:$B$1004,"&gt;="&amp;DATE($B$3,1,1),업무일지!$B$5:$B$1004,"&lt;"&amp;DATE($B$3,1+1,1),업무일지!$D$5:$D$1004,"출장")&gt;0,1,0))</f>
        <v/>
      </c>
      <c r="Q121">
        <f>IF($O121="",0,IF(COUNTIFS(업무일지!$F$5:$F$1004,$O121,업무일지!$B$5:$B$1004,"&gt;="&amp;DATE($B$3,2,1),업무일지!$B$5:$B$1004,"&lt;"&amp;DATE($B$3,2+1,1),업무일지!$D$5:$D$1004,"출장")&gt;0,1,0))</f>
        <v/>
      </c>
      <c r="R121">
        <f>IF($O121="",0,IF(COUNTIFS(업무일지!$F$5:$F$1004,$O121,업무일지!$B$5:$B$1004,"&gt;="&amp;DATE($B$3,3,1),업무일지!$B$5:$B$1004,"&lt;"&amp;DATE($B$3,3+1,1),업무일지!$D$5:$D$1004,"출장")&gt;0,1,0))</f>
        <v/>
      </c>
      <c r="S121">
        <f>IF($O121="",0,IF(COUNTIFS(업무일지!$F$5:$F$1004,$O121,업무일지!$B$5:$B$1004,"&gt;="&amp;DATE($B$3,4,1),업무일지!$B$5:$B$1004,"&lt;"&amp;DATE($B$3,4+1,1),업무일지!$D$5:$D$1004,"출장")&gt;0,1,0))</f>
        <v/>
      </c>
      <c r="T121">
        <f>IF($O121="",0,IF(COUNTIFS(업무일지!$F$5:$F$1004,$O121,업무일지!$B$5:$B$1004,"&gt;="&amp;DATE($B$3,5,1),업무일지!$B$5:$B$1004,"&lt;"&amp;DATE($B$3,5+1,1),업무일지!$D$5:$D$1004,"출장")&gt;0,1,0))</f>
        <v/>
      </c>
      <c r="U121">
        <f>IF($O121="",0,IF(COUNTIFS(업무일지!$F$5:$F$1004,$O121,업무일지!$B$5:$B$1004,"&gt;="&amp;DATE($B$3,6,1),업무일지!$B$5:$B$1004,"&lt;"&amp;DATE($B$3,6+1,1),업무일지!$D$5:$D$1004,"출장")&gt;0,1,0))</f>
        <v/>
      </c>
      <c r="V121">
        <f>IF($O121="",0,IF(COUNTIFS(업무일지!$F$5:$F$1004,$O121,업무일지!$B$5:$B$1004,"&gt;="&amp;DATE($B$3,7,1),업무일지!$B$5:$B$1004,"&lt;"&amp;DATE($B$3,7+1,1),업무일지!$D$5:$D$1004,"출장")&gt;0,1,0))</f>
        <v/>
      </c>
      <c r="W121">
        <f>IF($O121="",0,IF(COUNTIFS(업무일지!$F$5:$F$1004,$O121,업무일지!$B$5:$B$1004,"&gt;="&amp;DATE($B$3,8,1),업무일지!$B$5:$B$1004,"&lt;"&amp;DATE($B$3,8+1,1),업무일지!$D$5:$D$1004,"출장")&gt;0,1,0))</f>
        <v/>
      </c>
      <c r="X121">
        <f>IF($O121="",0,IF(COUNTIFS(업무일지!$F$5:$F$1004,$O121,업무일지!$B$5:$B$1004,"&gt;="&amp;DATE($B$3,9,1),업무일지!$B$5:$B$1004,"&lt;"&amp;DATE($B$3,9+1,1),업무일지!$D$5:$D$1004,"출장")&gt;0,1,0))</f>
        <v/>
      </c>
      <c r="Y121">
        <f>IF($O121="",0,IF(COUNTIFS(업무일지!$F$5:$F$1004,$O121,업무일지!$B$5:$B$1004,"&gt;="&amp;DATE($B$3,10,1),업무일지!$B$5:$B$1004,"&lt;"&amp;DATE($B$3,10+1,1),업무일지!$D$5:$D$1004,"출장")&gt;0,1,0))</f>
        <v/>
      </c>
      <c r="Z121">
        <f>IF($O121="",0,IF(COUNTIFS(업무일지!$F$5:$F$1004,$O121,업무일지!$B$5:$B$1004,"&gt;="&amp;DATE($B$3,11,1),업무일지!$B$5:$B$1004,"&lt;"&amp;DATE($B$3,11+1,1),업무일지!$D$5:$D$1004,"출장")&gt;0,1,0))</f>
        <v/>
      </c>
      <c r="AA121">
        <f>IF($O121="",0,IF(COUNTIFS(업무일지!$F$5:$F$1004,$O121,업무일지!$B$5:$B$1004,"&gt;="&amp;DATE($B$3,12,1),업무일지!$B$5:$B$1004,"&lt;"&amp;DATE($B$3,12+1,1),업무일지!$D$5:$D$1004,"출장")&gt;0,1,0))</f>
        <v/>
      </c>
      <c r="AB121">
        <f>IF($O121="",0,IF(COUNTIFS(업무일지!$F$5:$F$1004,$O121,업무일지!$B$5:$B$1004,"&gt;="&amp;DATE($B$3,1,1),업무일지!$B$5:$B$1004,"&lt;"&amp;DATE($B$3,1+1,1),업무일지!$D$5:$D$1004,"분석")&gt;0,1,0))</f>
        <v/>
      </c>
      <c r="AC121">
        <f>IF($O121="",0,IF(COUNTIFS(업무일지!$F$5:$F$1004,$O121,업무일지!$B$5:$B$1004,"&gt;="&amp;DATE($B$3,2,1),업무일지!$B$5:$B$1004,"&lt;"&amp;DATE($B$3,2+1,1),업무일지!$D$5:$D$1004,"분석")&gt;0,1,0))</f>
        <v/>
      </c>
      <c r="AD121">
        <f>IF($O121="",0,IF(COUNTIFS(업무일지!$F$5:$F$1004,$O121,업무일지!$B$5:$B$1004,"&gt;="&amp;DATE($B$3,3,1),업무일지!$B$5:$B$1004,"&lt;"&amp;DATE($B$3,3+1,1),업무일지!$D$5:$D$1004,"분석")&gt;0,1,0))</f>
        <v/>
      </c>
      <c r="AE121">
        <f>IF($O121="",0,IF(COUNTIFS(업무일지!$F$5:$F$1004,$O121,업무일지!$B$5:$B$1004,"&gt;="&amp;DATE($B$3,4,1),업무일지!$B$5:$B$1004,"&lt;"&amp;DATE($B$3,4+1,1),업무일지!$D$5:$D$1004,"분석")&gt;0,1,0))</f>
        <v/>
      </c>
      <c r="AF121">
        <f>IF($O121="",0,IF(COUNTIFS(업무일지!$F$5:$F$1004,$O121,업무일지!$B$5:$B$1004,"&gt;="&amp;DATE($B$3,5,1),업무일지!$B$5:$B$1004,"&lt;"&amp;DATE($B$3,5+1,1),업무일지!$D$5:$D$1004,"분석")&gt;0,1,0))</f>
        <v/>
      </c>
      <c r="AG121">
        <f>IF($O121="",0,IF(COUNTIFS(업무일지!$F$5:$F$1004,$O121,업무일지!$B$5:$B$1004,"&gt;="&amp;DATE($B$3,6,1),업무일지!$B$5:$B$1004,"&lt;"&amp;DATE($B$3,6+1,1),업무일지!$D$5:$D$1004,"분석")&gt;0,1,0))</f>
        <v/>
      </c>
      <c r="AH121">
        <f>IF($O121="",0,IF(COUNTIFS(업무일지!$F$5:$F$1004,$O121,업무일지!$B$5:$B$1004,"&gt;="&amp;DATE($B$3,7,1),업무일지!$B$5:$B$1004,"&lt;"&amp;DATE($B$3,7+1,1),업무일지!$D$5:$D$1004,"분석")&gt;0,1,0))</f>
        <v/>
      </c>
      <c r="AI121">
        <f>IF($O121="",0,IF(COUNTIFS(업무일지!$F$5:$F$1004,$O121,업무일지!$B$5:$B$1004,"&gt;="&amp;DATE($B$3,8,1),업무일지!$B$5:$B$1004,"&lt;"&amp;DATE($B$3,8+1,1),업무일지!$D$5:$D$1004,"분석")&gt;0,1,0))</f>
        <v/>
      </c>
      <c r="AJ121">
        <f>IF($O121="",0,IF(COUNTIFS(업무일지!$F$5:$F$1004,$O121,업무일지!$B$5:$B$1004,"&gt;="&amp;DATE($B$3,9,1),업무일지!$B$5:$B$1004,"&lt;"&amp;DATE($B$3,9+1,1),업무일지!$D$5:$D$1004,"분석")&gt;0,1,0))</f>
        <v/>
      </c>
      <c r="AK121">
        <f>IF($O121="",0,IF(COUNTIFS(업무일지!$F$5:$F$1004,$O121,업무일지!$B$5:$B$1004,"&gt;="&amp;DATE($B$3,10,1),업무일지!$B$5:$B$1004,"&lt;"&amp;DATE($B$3,10+1,1),업무일지!$D$5:$D$1004,"분석")&gt;0,1,0))</f>
        <v/>
      </c>
      <c r="AL121">
        <f>IF($O121="",0,IF(COUNTIFS(업무일지!$F$5:$F$1004,$O121,업무일지!$B$5:$B$1004,"&gt;="&amp;DATE($B$3,11,1),업무일지!$B$5:$B$1004,"&lt;"&amp;DATE($B$3,11+1,1),업무일지!$D$5:$D$1004,"분석")&gt;0,1,0))</f>
        <v/>
      </c>
      <c r="AM121">
        <f>IF($O121="",0,IF(COUNTIFS(업무일지!$F$5:$F$1004,$O121,업무일지!$B$5:$B$1004,"&gt;="&amp;DATE($B$3,12,1),업무일지!$B$5:$B$1004,"&lt;"&amp;DATE($B$3,12+1,1),업무일지!$D$5:$D$1004,"분석")&gt;0,1,0))</f>
        <v/>
      </c>
      <c r="AN121">
        <f>IF($O121="",0,IF(COUNTIFS(업무일지!$F$5:$F$1004,$O121,업무일지!$B$5:$B$1004,"&gt;="&amp;DATE($B$3,1,1),업무일지!$B$5:$B$1004,"&lt;"&amp;DATE($B$3,1+1,1))&gt;0,1,0))</f>
        <v/>
      </c>
      <c r="AO121">
        <f>IF($O121="",0,IF(COUNTIFS(업무일지!$F$5:$F$1004,$O121,업무일지!$B$5:$B$1004,"&gt;="&amp;DATE($B$3,2,1),업무일지!$B$5:$B$1004,"&lt;"&amp;DATE($B$3,2+1,1))&gt;0,1,0))</f>
        <v/>
      </c>
      <c r="AP121">
        <f>IF($O121="",0,IF(COUNTIFS(업무일지!$F$5:$F$1004,$O121,업무일지!$B$5:$B$1004,"&gt;="&amp;DATE($B$3,3,1),업무일지!$B$5:$B$1004,"&lt;"&amp;DATE($B$3,3+1,1))&gt;0,1,0))</f>
        <v/>
      </c>
      <c r="AQ121">
        <f>IF($O121="",0,IF(COUNTIFS(업무일지!$F$5:$F$1004,$O121,업무일지!$B$5:$B$1004,"&gt;="&amp;DATE($B$3,4,1),업무일지!$B$5:$B$1004,"&lt;"&amp;DATE($B$3,4+1,1))&gt;0,1,0))</f>
        <v/>
      </c>
      <c r="AR121">
        <f>IF($O121="",0,IF(COUNTIFS(업무일지!$F$5:$F$1004,$O121,업무일지!$B$5:$B$1004,"&gt;="&amp;DATE($B$3,5,1),업무일지!$B$5:$B$1004,"&lt;"&amp;DATE($B$3,5+1,1))&gt;0,1,0))</f>
        <v/>
      </c>
      <c r="AS121">
        <f>IF($O121="",0,IF(COUNTIFS(업무일지!$F$5:$F$1004,$O121,업무일지!$B$5:$B$1004,"&gt;="&amp;DATE($B$3,6,1),업무일지!$B$5:$B$1004,"&lt;"&amp;DATE($B$3,6+1,1))&gt;0,1,0))</f>
        <v/>
      </c>
      <c r="AT121">
        <f>IF($O121="",0,IF(COUNTIFS(업무일지!$F$5:$F$1004,$O121,업무일지!$B$5:$B$1004,"&gt;="&amp;DATE($B$3,7,1),업무일지!$B$5:$B$1004,"&lt;"&amp;DATE($B$3,7+1,1))&gt;0,1,0))</f>
        <v/>
      </c>
      <c r="AU121">
        <f>IF($O121="",0,IF(COUNTIFS(업무일지!$F$5:$F$1004,$O121,업무일지!$B$5:$B$1004,"&gt;="&amp;DATE($B$3,8,1),업무일지!$B$5:$B$1004,"&lt;"&amp;DATE($B$3,8+1,1))&gt;0,1,0))</f>
        <v/>
      </c>
      <c r="AV121">
        <f>IF($O121="",0,IF(COUNTIFS(업무일지!$F$5:$F$1004,$O121,업무일지!$B$5:$B$1004,"&gt;="&amp;DATE($B$3,9,1),업무일지!$B$5:$B$1004,"&lt;"&amp;DATE($B$3,9+1,1))&gt;0,1,0))</f>
        <v/>
      </c>
      <c r="AW121">
        <f>IF($O121="",0,IF(COUNTIFS(업무일지!$F$5:$F$1004,$O121,업무일지!$B$5:$B$1004,"&gt;="&amp;DATE($B$3,10,1),업무일지!$B$5:$B$1004,"&lt;"&amp;DATE($B$3,10+1,1))&gt;0,1,0))</f>
        <v/>
      </c>
      <c r="AX121">
        <f>IF($O121="",0,IF(COUNTIFS(업무일지!$F$5:$F$1004,$O121,업무일지!$B$5:$B$1004,"&gt;="&amp;DATE($B$3,11,1),업무일지!$B$5:$B$1004,"&lt;"&amp;DATE($B$3,11+1,1))&gt;0,1,0))</f>
        <v/>
      </c>
      <c r="AY121">
        <f>IF($O121="",0,IF(COUNTIFS(업무일지!$F$5:$F$1004,$O121,업무일지!$B$5:$B$1004,"&gt;="&amp;DATE($B$3,12,1),업무일지!$B$5:$B$1004,"&lt;"&amp;DATE($B$3,12+1,1))&gt;0,1,0))</f>
        <v/>
      </c>
      <c r="AZ121">
        <f>IF($O121="",0,IF(COUNTIFS(업무일지!$F$5:$F$1004,$O121,업무일지!$B$5:$B$1004,"&gt;="&amp;DATE($B$3,1,1),업무일지!$B$5:$B$1004,"&lt;"&amp;DATE($B$3+1,1,1),업무일지!$D$5:$D$1004,"출장")&gt;0,1,0))</f>
        <v/>
      </c>
      <c r="BA121">
        <f>IF($O121="",0,IF(COUNTIFS(업무일지!$F$5:$F$1004,$O121,업무일지!$B$5:$B$1004,"&gt;="&amp;DATE($B$3,1,1),업무일지!$B$5:$B$1004,"&lt;"&amp;DATE($B$3+1,1,1),업무일지!$D$5:$D$1004,"분석")&gt;0,1,0))</f>
        <v/>
      </c>
      <c r="BB121">
        <f>IF($O121="",0,IF(COUNTIFS(업무일지!$F$5:$F$1004,$O121,업무일지!$B$5:$B$1004,"&gt;="&amp;DATE($B$3,1,1),업무일지!$B$5:$B$1004,"&lt;"&amp;DATE($B$3+1,1,1))&gt;0,1,0))</f>
        <v/>
      </c>
    </row>
    <row r="122">
      <c r="O122">
        <f>IF(사건마스터!$A42="","",사건마스터!$A42)</f>
        <v/>
      </c>
      <c r="P122">
        <f>IF($O122="",0,IF(COUNTIFS(업무일지!$F$5:$F$1004,$O122,업무일지!$B$5:$B$1004,"&gt;="&amp;DATE($B$3,1,1),업무일지!$B$5:$B$1004,"&lt;"&amp;DATE($B$3,1+1,1),업무일지!$D$5:$D$1004,"출장")&gt;0,1,0))</f>
        <v/>
      </c>
      <c r="Q122">
        <f>IF($O122="",0,IF(COUNTIFS(업무일지!$F$5:$F$1004,$O122,업무일지!$B$5:$B$1004,"&gt;="&amp;DATE($B$3,2,1),업무일지!$B$5:$B$1004,"&lt;"&amp;DATE($B$3,2+1,1),업무일지!$D$5:$D$1004,"출장")&gt;0,1,0))</f>
        <v/>
      </c>
      <c r="R122">
        <f>IF($O122="",0,IF(COUNTIFS(업무일지!$F$5:$F$1004,$O122,업무일지!$B$5:$B$1004,"&gt;="&amp;DATE($B$3,3,1),업무일지!$B$5:$B$1004,"&lt;"&amp;DATE($B$3,3+1,1),업무일지!$D$5:$D$1004,"출장")&gt;0,1,0))</f>
        <v/>
      </c>
      <c r="S122">
        <f>IF($O122="",0,IF(COUNTIFS(업무일지!$F$5:$F$1004,$O122,업무일지!$B$5:$B$1004,"&gt;="&amp;DATE($B$3,4,1),업무일지!$B$5:$B$1004,"&lt;"&amp;DATE($B$3,4+1,1),업무일지!$D$5:$D$1004,"출장")&gt;0,1,0))</f>
        <v/>
      </c>
      <c r="T122">
        <f>IF($O122="",0,IF(COUNTIFS(업무일지!$F$5:$F$1004,$O122,업무일지!$B$5:$B$1004,"&gt;="&amp;DATE($B$3,5,1),업무일지!$B$5:$B$1004,"&lt;"&amp;DATE($B$3,5+1,1),업무일지!$D$5:$D$1004,"출장")&gt;0,1,0))</f>
        <v/>
      </c>
      <c r="U122">
        <f>IF($O122="",0,IF(COUNTIFS(업무일지!$F$5:$F$1004,$O122,업무일지!$B$5:$B$1004,"&gt;="&amp;DATE($B$3,6,1),업무일지!$B$5:$B$1004,"&lt;"&amp;DATE($B$3,6+1,1),업무일지!$D$5:$D$1004,"출장")&gt;0,1,0))</f>
        <v/>
      </c>
      <c r="V122">
        <f>IF($O122="",0,IF(COUNTIFS(업무일지!$F$5:$F$1004,$O122,업무일지!$B$5:$B$1004,"&gt;="&amp;DATE($B$3,7,1),업무일지!$B$5:$B$1004,"&lt;"&amp;DATE($B$3,7+1,1),업무일지!$D$5:$D$1004,"출장")&gt;0,1,0))</f>
        <v/>
      </c>
      <c r="W122">
        <f>IF($O122="",0,IF(COUNTIFS(업무일지!$F$5:$F$1004,$O122,업무일지!$B$5:$B$1004,"&gt;="&amp;DATE($B$3,8,1),업무일지!$B$5:$B$1004,"&lt;"&amp;DATE($B$3,8+1,1),업무일지!$D$5:$D$1004,"출장")&gt;0,1,0))</f>
        <v/>
      </c>
      <c r="X122">
        <f>IF($O122="",0,IF(COUNTIFS(업무일지!$F$5:$F$1004,$O122,업무일지!$B$5:$B$1004,"&gt;="&amp;DATE($B$3,9,1),업무일지!$B$5:$B$1004,"&lt;"&amp;DATE($B$3,9+1,1),업무일지!$D$5:$D$1004,"출장")&gt;0,1,0))</f>
        <v/>
      </c>
      <c r="Y122">
        <f>IF($O122="",0,IF(COUNTIFS(업무일지!$F$5:$F$1004,$O122,업무일지!$B$5:$B$1004,"&gt;="&amp;DATE($B$3,10,1),업무일지!$B$5:$B$1004,"&lt;"&amp;DATE($B$3,10+1,1),업무일지!$D$5:$D$1004,"출장")&gt;0,1,0))</f>
        <v/>
      </c>
      <c r="Z122">
        <f>IF($O122="",0,IF(COUNTIFS(업무일지!$F$5:$F$1004,$O122,업무일지!$B$5:$B$1004,"&gt;="&amp;DATE($B$3,11,1),업무일지!$B$5:$B$1004,"&lt;"&amp;DATE($B$3,11+1,1),업무일지!$D$5:$D$1004,"출장")&gt;0,1,0))</f>
        <v/>
      </c>
      <c r="AA122">
        <f>IF($O122="",0,IF(COUNTIFS(업무일지!$F$5:$F$1004,$O122,업무일지!$B$5:$B$1004,"&gt;="&amp;DATE($B$3,12,1),업무일지!$B$5:$B$1004,"&lt;"&amp;DATE($B$3,12+1,1),업무일지!$D$5:$D$1004,"출장")&gt;0,1,0))</f>
        <v/>
      </c>
      <c r="AB122">
        <f>IF($O122="",0,IF(COUNTIFS(업무일지!$F$5:$F$1004,$O122,업무일지!$B$5:$B$1004,"&gt;="&amp;DATE($B$3,1,1),업무일지!$B$5:$B$1004,"&lt;"&amp;DATE($B$3,1+1,1),업무일지!$D$5:$D$1004,"분석")&gt;0,1,0))</f>
        <v/>
      </c>
      <c r="AC122">
        <f>IF($O122="",0,IF(COUNTIFS(업무일지!$F$5:$F$1004,$O122,업무일지!$B$5:$B$1004,"&gt;="&amp;DATE($B$3,2,1),업무일지!$B$5:$B$1004,"&lt;"&amp;DATE($B$3,2+1,1),업무일지!$D$5:$D$1004,"분석")&gt;0,1,0))</f>
        <v/>
      </c>
      <c r="AD122">
        <f>IF($O122="",0,IF(COUNTIFS(업무일지!$F$5:$F$1004,$O122,업무일지!$B$5:$B$1004,"&gt;="&amp;DATE($B$3,3,1),업무일지!$B$5:$B$1004,"&lt;"&amp;DATE($B$3,3+1,1),업무일지!$D$5:$D$1004,"분석")&gt;0,1,0))</f>
        <v/>
      </c>
      <c r="AE122">
        <f>IF($O122="",0,IF(COUNTIFS(업무일지!$F$5:$F$1004,$O122,업무일지!$B$5:$B$1004,"&gt;="&amp;DATE($B$3,4,1),업무일지!$B$5:$B$1004,"&lt;"&amp;DATE($B$3,4+1,1),업무일지!$D$5:$D$1004,"분석")&gt;0,1,0))</f>
        <v/>
      </c>
      <c r="AF122">
        <f>IF($O122="",0,IF(COUNTIFS(업무일지!$F$5:$F$1004,$O122,업무일지!$B$5:$B$1004,"&gt;="&amp;DATE($B$3,5,1),업무일지!$B$5:$B$1004,"&lt;"&amp;DATE($B$3,5+1,1),업무일지!$D$5:$D$1004,"분석")&gt;0,1,0))</f>
        <v/>
      </c>
      <c r="AG122">
        <f>IF($O122="",0,IF(COUNTIFS(업무일지!$F$5:$F$1004,$O122,업무일지!$B$5:$B$1004,"&gt;="&amp;DATE($B$3,6,1),업무일지!$B$5:$B$1004,"&lt;"&amp;DATE($B$3,6+1,1),업무일지!$D$5:$D$1004,"분석")&gt;0,1,0))</f>
        <v/>
      </c>
      <c r="AH122">
        <f>IF($O122="",0,IF(COUNTIFS(업무일지!$F$5:$F$1004,$O122,업무일지!$B$5:$B$1004,"&gt;="&amp;DATE($B$3,7,1),업무일지!$B$5:$B$1004,"&lt;"&amp;DATE($B$3,7+1,1),업무일지!$D$5:$D$1004,"분석")&gt;0,1,0))</f>
        <v/>
      </c>
      <c r="AI122">
        <f>IF($O122="",0,IF(COUNTIFS(업무일지!$F$5:$F$1004,$O122,업무일지!$B$5:$B$1004,"&gt;="&amp;DATE($B$3,8,1),업무일지!$B$5:$B$1004,"&lt;"&amp;DATE($B$3,8+1,1),업무일지!$D$5:$D$1004,"분석")&gt;0,1,0))</f>
        <v/>
      </c>
      <c r="AJ122">
        <f>IF($O122="",0,IF(COUNTIFS(업무일지!$F$5:$F$1004,$O122,업무일지!$B$5:$B$1004,"&gt;="&amp;DATE($B$3,9,1),업무일지!$B$5:$B$1004,"&lt;"&amp;DATE($B$3,9+1,1),업무일지!$D$5:$D$1004,"분석")&gt;0,1,0))</f>
        <v/>
      </c>
      <c r="AK122">
        <f>IF($O122="",0,IF(COUNTIFS(업무일지!$F$5:$F$1004,$O122,업무일지!$B$5:$B$1004,"&gt;="&amp;DATE($B$3,10,1),업무일지!$B$5:$B$1004,"&lt;"&amp;DATE($B$3,10+1,1),업무일지!$D$5:$D$1004,"분석")&gt;0,1,0))</f>
        <v/>
      </c>
      <c r="AL122">
        <f>IF($O122="",0,IF(COUNTIFS(업무일지!$F$5:$F$1004,$O122,업무일지!$B$5:$B$1004,"&gt;="&amp;DATE($B$3,11,1),업무일지!$B$5:$B$1004,"&lt;"&amp;DATE($B$3,11+1,1),업무일지!$D$5:$D$1004,"분석")&gt;0,1,0))</f>
        <v/>
      </c>
      <c r="AM122">
        <f>IF($O122="",0,IF(COUNTIFS(업무일지!$F$5:$F$1004,$O122,업무일지!$B$5:$B$1004,"&gt;="&amp;DATE($B$3,12,1),업무일지!$B$5:$B$1004,"&lt;"&amp;DATE($B$3,12+1,1),업무일지!$D$5:$D$1004,"분석")&gt;0,1,0))</f>
        <v/>
      </c>
      <c r="AN122">
        <f>IF($O122="",0,IF(COUNTIFS(업무일지!$F$5:$F$1004,$O122,업무일지!$B$5:$B$1004,"&gt;="&amp;DATE($B$3,1,1),업무일지!$B$5:$B$1004,"&lt;"&amp;DATE($B$3,1+1,1))&gt;0,1,0))</f>
        <v/>
      </c>
      <c r="AO122">
        <f>IF($O122="",0,IF(COUNTIFS(업무일지!$F$5:$F$1004,$O122,업무일지!$B$5:$B$1004,"&gt;="&amp;DATE($B$3,2,1),업무일지!$B$5:$B$1004,"&lt;"&amp;DATE($B$3,2+1,1))&gt;0,1,0))</f>
        <v/>
      </c>
      <c r="AP122">
        <f>IF($O122="",0,IF(COUNTIFS(업무일지!$F$5:$F$1004,$O122,업무일지!$B$5:$B$1004,"&gt;="&amp;DATE($B$3,3,1),업무일지!$B$5:$B$1004,"&lt;"&amp;DATE($B$3,3+1,1))&gt;0,1,0))</f>
        <v/>
      </c>
      <c r="AQ122">
        <f>IF($O122="",0,IF(COUNTIFS(업무일지!$F$5:$F$1004,$O122,업무일지!$B$5:$B$1004,"&gt;="&amp;DATE($B$3,4,1),업무일지!$B$5:$B$1004,"&lt;"&amp;DATE($B$3,4+1,1))&gt;0,1,0))</f>
        <v/>
      </c>
      <c r="AR122">
        <f>IF($O122="",0,IF(COUNTIFS(업무일지!$F$5:$F$1004,$O122,업무일지!$B$5:$B$1004,"&gt;="&amp;DATE($B$3,5,1),업무일지!$B$5:$B$1004,"&lt;"&amp;DATE($B$3,5+1,1))&gt;0,1,0))</f>
        <v/>
      </c>
      <c r="AS122">
        <f>IF($O122="",0,IF(COUNTIFS(업무일지!$F$5:$F$1004,$O122,업무일지!$B$5:$B$1004,"&gt;="&amp;DATE($B$3,6,1),업무일지!$B$5:$B$1004,"&lt;"&amp;DATE($B$3,6+1,1))&gt;0,1,0))</f>
        <v/>
      </c>
      <c r="AT122">
        <f>IF($O122="",0,IF(COUNTIFS(업무일지!$F$5:$F$1004,$O122,업무일지!$B$5:$B$1004,"&gt;="&amp;DATE($B$3,7,1),업무일지!$B$5:$B$1004,"&lt;"&amp;DATE($B$3,7+1,1))&gt;0,1,0))</f>
        <v/>
      </c>
      <c r="AU122">
        <f>IF($O122="",0,IF(COUNTIFS(업무일지!$F$5:$F$1004,$O122,업무일지!$B$5:$B$1004,"&gt;="&amp;DATE($B$3,8,1),업무일지!$B$5:$B$1004,"&lt;"&amp;DATE($B$3,8+1,1))&gt;0,1,0))</f>
        <v/>
      </c>
      <c r="AV122">
        <f>IF($O122="",0,IF(COUNTIFS(업무일지!$F$5:$F$1004,$O122,업무일지!$B$5:$B$1004,"&gt;="&amp;DATE($B$3,9,1),업무일지!$B$5:$B$1004,"&lt;"&amp;DATE($B$3,9+1,1))&gt;0,1,0))</f>
        <v/>
      </c>
      <c r="AW122">
        <f>IF($O122="",0,IF(COUNTIFS(업무일지!$F$5:$F$1004,$O122,업무일지!$B$5:$B$1004,"&gt;="&amp;DATE($B$3,10,1),업무일지!$B$5:$B$1004,"&lt;"&amp;DATE($B$3,10+1,1))&gt;0,1,0))</f>
        <v/>
      </c>
      <c r="AX122">
        <f>IF($O122="",0,IF(COUNTIFS(업무일지!$F$5:$F$1004,$O122,업무일지!$B$5:$B$1004,"&gt;="&amp;DATE($B$3,11,1),업무일지!$B$5:$B$1004,"&lt;"&amp;DATE($B$3,11+1,1))&gt;0,1,0))</f>
        <v/>
      </c>
      <c r="AY122">
        <f>IF($O122="",0,IF(COUNTIFS(업무일지!$F$5:$F$1004,$O122,업무일지!$B$5:$B$1004,"&gt;="&amp;DATE($B$3,12,1),업무일지!$B$5:$B$1004,"&lt;"&amp;DATE($B$3,12+1,1))&gt;0,1,0))</f>
        <v/>
      </c>
      <c r="AZ122">
        <f>IF($O122="",0,IF(COUNTIFS(업무일지!$F$5:$F$1004,$O122,업무일지!$B$5:$B$1004,"&gt;="&amp;DATE($B$3,1,1),업무일지!$B$5:$B$1004,"&lt;"&amp;DATE($B$3+1,1,1),업무일지!$D$5:$D$1004,"출장")&gt;0,1,0))</f>
        <v/>
      </c>
      <c r="BA122">
        <f>IF($O122="",0,IF(COUNTIFS(업무일지!$F$5:$F$1004,$O122,업무일지!$B$5:$B$1004,"&gt;="&amp;DATE($B$3,1,1),업무일지!$B$5:$B$1004,"&lt;"&amp;DATE($B$3+1,1,1),업무일지!$D$5:$D$1004,"분석")&gt;0,1,0))</f>
        <v/>
      </c>
      <c r="BB122">
        <f>IF($O122="",0,IF(COUNTIFS(업무일지!$F$5:$F$1004,$O122,업무일지!$B$5:$B$1004,"&gt;="&amp;DATE($B$3,1,1),업무일지!$B$5:$B$1004,"&lt;"&amp;DATE($B$3+1,1,1))&gt;0,1,0))</f>
        <v/>
      </c>
    </row>
    <row r="123">
      <c r="O123">
        <f>IF(사건마스터!$A43="","",사건마스터!$A43)</f>
        <v/>
      </c>
      <c r="P123">
        <f>IF($O123="",0,IF(COUNTIFS(업무일지!$F$5:$F$1004,$O123,업무일지!$B$5:$B$1004,"&gt;="&amp;DATE($B$3,1,1),업무일지!$B$5:$B$1004,"&lt;"&amp;DATE($B$3,1+1,1),업무일지!$D$5:$D$1004,"출장")&gt;0,1,0))</f>
        <v/>
      </c>
      <c r="Q123">
        <f>IF($O123="",0,IF(COUNTIFS(업무일지!$F$5:$F$1004,$O123,업무일지!$B$5:$B$1004,"&gt;="&amp;DATE($B$3,2,1),업무일지!$B$5:$B$1004,"&lt;"&amp;DATE($B$3,2+1,1),업무일지!$D$5:$D$1004,"출장")&gt;0,1,0))</f>
        <v/>
      </c>
      <c r="R123">
        <f>IF($O123="",0,IF(COUNTIFS(업무일지!$F$5:$F$1004,$O123,업무일지!$B$5:$B$1004,"&gt;="&amp;DATE($B$3,3,1),업무일지!$B$5:$B$1004,"&lt;"&amp;DATE($B$3,3+1,1),업무일지!$D$5:$D$1004,"출장")&gt;0,1,0))</f>
        <v/>
      </c>
      <c r="S123">
        <f>IF($O123="",0,IF(COUNTIFS(업무일지!$F$5:$F$1004,$O123,업무일지!$B$5:$B$1004,"&gt;="&amp;DATE($B$3,4,1),업무일지!$B$5:$B$1004,"&lt;"&amp;DATE($B$3,4+1,1),업무일지!$D$5:$D$1004,"출장")&gt;0,1,0))</f>
        <v/>
      </c>
      <c r="T123">
        <f>IF($O123="",0,IF(COUNTIFS(업무일지!$F$5:$F$1004,$O123,업무일지!$B$5:$B$1004,"&gt;="&amp;DATE($B$3,5,1),업무일지!$B$5:$B$1004,"&lt;"&amp;DATE($B$3,5+1,1),업무일지!$D$5:$D$1004,"출장")&gt;0,1,0))</f>
        <v/>
      </c>
      <c r="U123">
        <f>IF($O123="",0,IF(COUNTIFS(업무일지!$F$5:$F$1004,$O123,업무일지!$B$5:$B$1004,"&gt;="&amp;DATE($B$3,6,1),업무일지!$B$5:$B$1004,"&lt;"&amp;DATE($B$3,6+1,1),업무일지!$D$5:$D$1004,"출장")&gt;0,1,0))</f>
        <v/>
      </c>
      <c r="V123">
        <f>IF($O123="",0,IF(COUNTIFS(업무일지!$F$5:$F$1004,$O123,업무일지!$B$5:$B$1004,"&gt;="&amp;DATE($B$3,7,1),업무일지!$B$5:$B$1004,"&lt;"&amp;DATE($B$3,7+1,1),업무일지!$D$5:$D$1004,"출장")&gt;0,1,0))</f>
        <v/>
      </c>
      <c r="W123">
        <f>IF($O123="",0,IF(COUNTIFS(업무일지!$F$5:$F$1004,$O123,업무일지!$B$5:$B$1004,"&gt;="&amp;DATE($B$3,8,1),업무일지!$B$5:$B$1004,"&lt;"&amp;DATE($B$3,8+1,1),업무일지!$D$5:$D$1004,"출장")&gt;0,1,0))</f>
        <v/>
      </c>
      <c r="X123">
        <f>IF($O123="",0,IF(COUNTIFS(업무일지!$F$5:$F$1004,$O123,업무일지!$B$5:$B$1004,"&gt;="&amp;DATE($B$3,9,1),업무일지!$B$5:$B$1004,"&lt;"&amp;DATE($B$3,9+1,1),업무일지!$D$5:$D$1004,"출장")&gt;0,1,0))</f>
        <v/>
      </c>
      <c r="Y123">
        <f>IF($O123="",0,IF(COUNTIFS(업무일지!$F$5:$F$1004,$O123,업무일지!$B$5:$B$1004,"&gt;="&amp;DATE($B$3,10,1),업무일지!$B$5:$B$1004,"&lt;"&amp;DATE($B$3,10+1,1),업무일지!$D$5:$D$1004,"출장")&gt;0,1,0))</f>
        <v/>
      </c>
      <c r="Z123">
        <f>IF($O123="",0,IF(COUNTIFS(업무일지!$F$5:$F$1004,$O123,업무일지!$B$5:$B$1004,"&gt;="&amp;DATE($B$3,11,1),업무일지!$B$5:$B$1004,"&lt;"&amp;DATE($B$3,11+1,1),업무일지!$D$5:$D$1004,"출장")&gt;0,1,0))</f>
        <v/>
      </c>
      <c r="AA123">
        <f>IF($O123="",0,IF(COUNTIFS(업무일지!$F$5:$F$1004,$O123,업무일지!$B$5:$B$1004,"&gt;="&amp;DATE($B$3,12,1),업무일지!$B$5:$B$1004,"&lt;"&amp;DATE($B$3,12+1,1),업무일지!$D$5:$D$1004,"출장")&gt;0,1,0))</f>
        <v/>
      </c>
      <c r="AB123">
        <f>IF($O123="",0,IF(COUNTIFS(업무일지!$F$5:$F$1004,$O123,업무일지!$B$5:$B$1004,"&gt;="&amp;DATE($B$3,1,1),업무일지!$B$5:$B$1004,"&lt;"&amp;DATE($B$3,1+1,1),업무일지!$D$5:$D$1004,"분석")&gt;0,1,0))</f>
        <v/>
      </c>
      <c r="AC123">
        <f>IF($O123="",0,IF(COUNTIFS(업무일지!$F$5:$F$1004,$O123,업무일지!$B$5:$B$1004,"&gt;="&amp;DATE($B$3,2,1),업무일지!$B$5:$B$1004,"&lt;"&amp;DATE($B$3,2+1,1),업무일지!$D$5:$D$1004,"분석")&gt;0,1,0))</f>
        <v/>
      </c>
      <c r="AD123">
        <f>IF($O123="",0,IF(COUNTIFS(업무일지!$F$5:$F$1004,$O123,업무일지!$B$5:$B$1004,"&gt;="&amp;DATE($B$3,3,1),업무일지!$B$5:$B$1004,"&lt;"&amp;DATE($B$3,3+1,1),업무일지!$D$5:$D$1004,"분석")&gt;0,1,0))</f>
        <v/>
      </c>
      <c r="AE123">
        <f>IF($O123="",0,IF(COUNTIFS(업무일지!$F$5:$F$1004,$O123,업무일지!$B$5:$B$1004,"&gt;="&amp;DATE($B$3,4,1),업무일지!$B$5:$B$1004,"&lt;"&amp;DATE($B$3,4+1,1),업무일지!$D$5:$D$1004,"분석")&gt;0,1,0))</f>
        <v/>
      </c>
      <c r="AF123">
        <f>IF($O123="",0,IF(COUNTIFS(업무일지!$F$5:$F$1004,$O123,업무일지!$B$5:$B$1004,"&gt;="&amp;DATE($B$3,5,1),업무일지!$B$5:$B$1004,"&lt;"&amp;DATE($B$3,5+1,1),업무일지!$D$5:$D$1004,"분석")&gt;0,1,0))</f>
        <v/>
      </c>
      <c r="AG123">
        <f>IF($O123="",0,IF(COUNTIFS(업무일지!$F$5:$F$1004,$O123,업무일지!$B$5:$B$1004,"&gt;="&amp;DATE($B$3,6,1),업무일지!$B$5:$B$1004,"&lt;"&amp;DATE($B$3,6+1,1),업무일지!$D$5:$D$1004,"분석")&gt;0,1,0))</f>
        <v/>
      </c>
      <c r="AH123">
        <f>IF($O123="",0,IF(COUNTIFS(업무일지!$F$5:$F$1004,$O123,업무일지!$B$5:$B$1004,"&gt;="&amp;DATE($B$3,7,1),업무일지!$B$5:$B$1004,"&lt;"&amp;DATE($B$3,7+1,1),업무일지!$D$5:$D$1004,"분석")&gt;0,1,0))</f>
        <v/>
      </c>
      <c r="AI123">
        <f>IF($O123="",0,IF(COUNTIFS(업무일지!$F$5:$F$1004,$O123,업무일지!$B$5:$B$1004,"&gt;="&amp;DATE($B$3,8,1),업무일지!$B$5:$B$1004,"&lt;"&amp;DATE($B$3,8+1,1),업무일지!$D$5:$D$1004,"분석")&gt;0,1,0))</f>
        <v/>
      </c>
      <c r="AJ123">
        <f>IF($O123="",0,IF(COUNTIFS(업무일지!$F$5:$F$1004,$O123,업무일지!$B$5:$B$1004,"&gt;="&amp;DATE($B$3,9,1),업무일지!$B$5:$B$1004,"&lt;"&amp;DATE($B$3,9+1,1),업무일지!$D$5:$D$1004,"분석")&gt;0,1,0))</f>
        <v/>
      </c>
      <c r="AK123">
        <f>IF($O123="",0,IF(COUNTIFS(업무일지!$F$5:$F$1004,$O123,업무일지!$B$5:$B$1004,"&gt;="&amp;DATE($B$3,10,1),업무일지!$B$5:$B$1004,"&lt;"&amp;DATE($B$3,10+1,1),업무일지!$D$5:$D$1004,"분석")&gt;0,1,0))</f>
        <v/>
      </c>
      <c r="AL123">
        <f>IF($O123="",0,IF(COUNTIFS(업무일지!$F$5:$F$1004,$O123,업무일지!$B$5:$B$1004,"&gt;="&amp;DATE($B$3,11,1),업무일지!$B$5:$B$1004,"&lt;"&amp;DATE($B$3,11+1,1),업무일지!$D$5:$D$1004,"분석")&gt;0,1,0))</f>
        <v/>
      </c>
      <c r="AM123">
        <f>IF($O123="",0,IF(COUNTIFS(업무일지!$F$5:$F$1004,$O123,업무일지!$B$5:$B$1004,"&gt;="&amp;DATE($B$3,12,1),업무일지!$B$5:$B$1004,"&lt;"&amp;DATE($B$3,12+1,1),업무일지!$D$5:$D$1004,"분석")&gt;0,1,0))</f>
        <v/>
      </c>
      <c r="AN123">
        <f>IF($O123="",0,IF(COUNTIFS(업무일지!$F$5:$F$1004,$O123,업무일지!$B$5:$B$1004,"&gt;="&amp;DATE($B$3,1,1),업무일지!$B$5:$B$1004,"&lt;"&amp;DATE($B$3,1+1,1))&gt;0,1,0))</f>
        <v/>
      </c>
      <c r="AO123">
        <f>IF($O123="",0,IF(COUNTIFS(업무일지!$F$5:$F$1004,$O123,업무일지!$B$5:$B$1004,"&gt;="&amp;DATE($B$3,2,1),업무일지!$B$5:$B$1004,"&lt;"&amp;DATE($B$3,2+1,1))&gt;0,1,0))</f>
        <v/>
      </c>
      <c r="AP123">
        <f>IF($O123="",0,IF(COUNTIFS(업무일지!$F$5:$F$1004,$O123,업무일지!$B$5:$B$1004,"&gt;="&amp;DATE($B$3,3,1),업무일지!$B$5:$B$1004,"&lt;"&amp;DATE($B$3,3+1,1))&gt;0,1,0))</f>
        <v/>
      </c>
      <c r="AQ123">
        <f>IF($O123="",0,IF(COUNTIFS(업무일지!$F$5:$F$1004,$O123,업무일지!$B$5:$B$1004,"&gt;="&amp;DATE($B$3,4,1),업무일지!$B$5:$B$1004,"&lt;"&amp;DATE($B$3,4+1,1))&gt;0,1,0))</f>
        <v/>
      </c>
      <c r="AR123">
        <f>IF($O123="",0,IF(COUNTIFS(업무일지!$F$5:$F$1004,$O123,업무일지!$B$5:$B$1004,"&gt;="&amp;DATE($B$3,5,1),업무일지!$B$5:$B$1004,"&lt;"&amp;DATE($B$3,5+1,1))&gt;0,1,0))</f>
        <v/>
      </c>
      <c r="AS123">
        <f>IF($O123="",0,IF(COUNTIFS(업무일지!$F$5:$F$1004,$O123,업무일지!$B$5:$B$1004,"&gt;="&amp;DATE($B$3,6,1),업무일지!$B$5:$B$1004,"&lt;"&amp;DATE($B$3,6+1,1))&gt;0,1,0))</f>
        <v/>
      </c>
      <c r="AT123">
        <f>IF($O123="",0,IF(COUNTIFS(업무일지!$F$5:$F$1004,$O123,업무일지!$B$5:$B$1004,"&gt;="&amp;DATE($B$3,7,1),업무일지!$B$5:$B$1004,"&lt;"&amp;DATE($B$3,7+1,1))&gt;0,1,0))</f>
        <v/>
      </c>
      <c r="AU123">
        <f>IF($O123="",0,IF(COUNTIFS(업무일지!$F$5:$F$1004,$O123,업무일지!$B$5:$B$1004,"&gt;="&amp;DATE($B$3,8,1),업무일지!$B$5:$B$1004,"&lt;"&amp;DATE($B$3,8+1,1))&gt;0,1,0))</f>
        <v/>
      </c>
      <c r="AV123">
        <f>IF($O123="",0,IF(COUNTIFS(업무일지!$F$5:$F$1004,$O123,업무일지!$B$5:$B$1004,"&gt;="&amp;DATE($B$3,9,1),업무일지!$B$5:$B$1004,"&lt;"&amp;DATE($B$3,9+1,1))&gt;0,1,0))</f>
        <v/>
      </c>
      <c r="AW123">
        <f>IF($O123="",0,IF(COUNTIFS(업무일지!$F$5:$F$1004,$O123,업무일지!$B$5:$B$1004,"&gt;="&amp;DATE($B$3,10,1),업무일지!$B$5:$B$1004,"&lt;"&amp;DATE($B$3,10+1,1))&gt;0,1,0))</f>
        <v/>
      </c>
      <c r="AX123">
        <f>IF($O123="",0,IF(COUNTIFS(업무일지!$F$5:$F$1004,$O123,업무일지!$B$5:$B$1004,"&gt;="&amp;DATE($B$3,11,1),업무일지!$B$5:$B$1004,"&lt;"&amp;DATE($B$3,11+1,1))&gt;0,1,0))</f>
        <v/>
      </c>
      <c r="AY123">
        <f>IF($O123="",0,IF(COUNTIFS(업무일지!$F$5:$F$1004,$O123,업무일지!$B$5:$B$1004,"&gt;="&amp;DATE($B$3,12,1),업무일지!$B$5:$B$1004,"&lt;"&amp;DATE($B$3,12+1,1))&gt;0,1,0))</f>
        <v/>
      </c>
      <c r="AZ123">
        <f>IF($O123="",0,IF(COUNTIFS(업무일지!$F$5:$F$1004,$O123,업무일지!$B$5:$B$1004,"&gt;="&amp;DATE($B$3,1,1),업무일지!$B$5:$B$1004,"&lt;"&amp;DATE($B$3+1,1,1),업무일지!$D$5:$D$1004,"출장")&gt;0,1,0))</f>
        <v/>
      </c>
      <c r="BA123">
        <f>IF($O123="",0,IF(COUNTIFS(업무일지!$F$5:$F$1004,$O123,업무일지!$B$5:$B$1004,"&gt;="&amp;DATE($B$3,1,1),업무일지!$B$5:$B$1004,"&lt;"&amp;DATE($B$3+1,1,1),업무일지!$D$5:$D$1004,"분석")&gt;0,1,0))</f>
        <v/>
      </c>
      <c r="BB123">
        <f>IF($O123="",0,IF(COUNTIFS(업무일지!$F$5:$F$1004,$O123,업무일지!$B$5:$B$1004,"&gt;="&amp;DATE($B$3,1,1),업무일지!$B$5:$B$1004,"&lt;"&amp;DATE($B$3+1,1,1))&gt;0,1,0))</f>
        <v/>
      </c>
    </row>
    <row r="124">
      <c r="O124">
        <f>IF(사건마스터!$A44="","",사건마스터!$A44)</f>
        <v/>
      </c>
      <c r="P124">
        <f>IF($O124="",0,IF(COUNTIFS(업무일지!$F$5:$F$1004,$O124,업무일지!$B$5:$B$1004,"&gt;="&amp;DATE($B$3,1,1),업무일지!$B$5:$B$1004,"&lt;"&amp;DATE($B$3,1+1,1),업무일지!$D$5:$D$1004,"출장")&gt;0,1,0))</f>
        <v/>
      </c>
      <c r="Q124">
        <f>IF($O124="",0,IF(COUNTIFS(업무일지!$F$5:$F$1004,$O124,업무일지!$B$5:$B$1004,"&gt;="&amp;DATE($B$3,2,1),업무일지!$B$5:$B$1004,"&lt;"&amp;DATE($B$3,2+1,1),업무일지!$D$5:$D$1004,"출장")&gt;0,1,0))</f>
        <v/>
      </c>
      <c r="R124">
        <f>IF($O124="",0,IF(COUNTIFS(업무일지!$F$5:$F$1004,$O124,업무일지!$B$5:$B$1004,"&gt;="&amp;DATE($B$3,3,1),업무일지!$B$5:$B$1004,"&lt;"&amp;DATE($B$3,3+1,1),업무일지!$D$5:$D$1004,"출장")&gt;0,1,0))</f>
        <v/>
      </c>
      <c r="S124">
        <f>IF($O124="",0,IF(COUNTIFS(업무일지!$F$5:$F$1004,$O124,업무일지!$B$5:$B$1004,"&gt;="&amp;DATE($B$3,4,1),업무일지!$B$5:$B$1004,"&lt;"&amp;DATE($B$3,4+1,1),업무일지!$D$5:$D$1004,"출장")&gt;0,1,0))</f>
        <v/>
      </c>
      <c r="T124">
        <f>IF($O124="",0,IF(COUNTIFS(업무일지!$F$5:$F$1004,$O124,업무일지!$B$5:$B$1004,"&gt;="&amp;DATE($B$3,5,1),업무일지!$B$5:$B$1004,"&lt;"&amp;DATE($B$3,5+1,1),업무일지!$D$5:$D$1004,"출장")&gt;0,1,0))</f>
        <v/>
      </c>
      <c r="U124">
        <f>IF($O124="",0,IF(COUNTIFS(업무일지!$F$5:$F$1004,$O124,업무일지!$B$5:$B$1004,"&gt;="&amp;DATE($B$3,6,1),업무일지!$B$5:$B$1004,"&lt;"&amp;DATE($B$3,6+1,1),업무일지!$D$5:$D$1004,"출장")&gt;0,1,0))</f>
        <v/>
      </c>
      <c r="V124">
        <f>IF($O124="",0,IF(COUNTIFS(업무일지!$F$5:$F$1004,$O124,업무일지!$B$5:$B$1004,"&gt;="&amp;DATE($B$3,7,1),업무일지!$B$5:$B$1004,"&lt;"&amp;DATE($B$3,7+1,1),업무일지!$D$5:$D$1004,"출장")&gt;0,1,0))</f>
        <v/>
      </c>
      <c r="W124">
        <f>IF($O124="",0,IF(COUNTIFS(업무일지!$F$5:$F$1004,$O124,업무일지!$B$5:$B$1004,"&gt;="&amp;DATE($B$3,8,1),업무일지!$B$5:$B$1004,"&lt;"&amp;DATE($B$3,8+1,1),업무일지!$D$5:$D$1004,"출장")&gt;0,1,0))</f>
        <v/>
      </c>
      <c r="X124">
        <f>IF($O124="",0,IF(COUNTIFS(업무일지!$F$5:$F$1004,$O124,업무일지!$B$5:$B$1004,"&gt;="&amp;DATE($B$3,9,1),업무일지!$B$5:$B$1004,"&lt;"&amp;DATE($B$3,9+1,1),업무일지!$D$5:$D$1004,"출장")&gt;0,1,0))</f>
        <v/>
      </c>
      <c r="Y124">
        <f>IF($O124="",0,IF(COUNTIFS(업무일지!$F$5:$F$1004,$O124,업무일지!$B$5:$B$1004,"&gt;="&amp;DATE($B$3,10,1),업무일지!$B$5:$B$1004,"&lt;"&amp;DATE($B$3,10+1,1),업무일지!$D$5:$D$1004,"출장")&gt;0,1,0))</f>
        <v/>
      </c>
      <c r="Z124">
        <f>IF($O124="",0,IF(COUNTIFS(업무일지!$F$5:$F$1004,$O124,업무일지!$B$5:$B$1004,"&gt;="&amp;DATE($B$3,11,1),업무일지!$B$5:$B$1004,"&lt;"&amp;DATE($B$3,11+1,1),업무일지!$D$5:$D$1004,"출장")&gt;0,1,0))</f>
        <v/>
      </c>
      <c r="AA124">
        <f>IF($O124="",0,IF(COUNTIFS(업무일지!$F$5:$F$1004,$O124,업무일지!$B$5:$B$1004,"&gt;="&amp;DATE($B$3,12,1),업무일지!$B$5:$B$1004,"&lt;"&amp;DATE($B$3,12+1,1),업무일지!$D$5:$D$1004,"출장")&gt;0,1,0))</f>
        <v/>
      </c>
      <c r="AB124">
        <f>IF($O124="",0,IF(COUNTIFS(업무일지!$F$5:$F$1004,$O124,업무일지!$B$5:$B$1004,"&gt;="&amp;DATE($B$3,1,1),업무일지!$B$5:$B$1004,"&lt;"&amp;DATE($B$3,1+1,1),업무일지!$D$5:$D$1004,"분석")&gt;0,1,0))</f>
        <v/>
      </c>
      <c r="AC124">
        <f>IF($O124="",0,IF(COUNTIFS(업무일지!$F$5:$F$1004,$O124,업무일지!$B$5:$B$1004,"&gt;="&amp;DATE($B$3,2,1),업무일지!$B$5:$B$1004,"&lt;"&amp;DATE($B$3,2+1,1),업무일지!$D$5:$D$1004,"분석")&gt;0,1,0))</f>
        <v/>
      </c>
      <c r="AD124">
        <f>IF($O124="",0,IF(COUNTIFS(업무일지!$F$5:$F$1004,$O124,업무일지!$B$5:$B$1004,"&gt;="&amp;DATE($B$3,3,1),업무일지!$B$5:$B$1004,"&lt;"&amp;DATE($B$3,3+1,1),업무일지!$D$5:$D$1004,"분석")&gt;0,1,0))</f>
        <v/>
      </c>
      <c r="AE124">
        <f>IF($O124="",0,IF(COUNTIFS(업무일지!$F$5:$F$1004,$O124,업무일지!$B$5:$B$1004,"&gt;="&amp;DATE($B$3,4,1),업무일지!$B$5:$B$1004,"&lt;"&amp;DATE($B$3,4+1,1),업무일지!$D$5:$D$1004,"분석")&gt;0,1,0))</f>
        <v/>
      </c>
      <c r="AF124">
        <f>IF($O124="",0,IF(COUNTIFS(업무일지!$F$5:$F$1004,$O124,업무일지!$B$5:$B$1004,"&gt;="&amp;DATE($B$3,5,1),업무일지!$B$5:$B$1004,"&lt;"&amp;DATE($B$3,5+1,1),업무일지!$D$5:$D$1004,"분석")&gt;0,1,0))</f>
        <v/>
      </c>
      <c r="AG124">
        <f>IF($O124="",0,IF(COUNTIFS(업무일지!$F$5:$F$1004,$O124,업무일지!$B$5:$B$1004,"&gt;="&amp;DATE($B$3,6,1),업무일지!$B$5:$B$1004,"&lt;"&amp;DATE($B$3,6+1,1),업무일지!$D$5:$D$1004,"분석")&gt;0,1,0))</f>
        <v/>
      </c>
      <c r="AH124">
        <f>IF($O124="",0,IF(COUNTIFS(업무일지!$F$5:$F$1004,$O124,업무일지!$B$5:$B$1004,"&gt;="&amp;DATE($B$3,7,1),업무일지!$B$5:$B$1004,"&lt;"&amp;DATE($B$3,7+1,1),업무일지!$D$5:$D$1004,"분석")&gt;0,1,0))</f>
        <v/>
      </c>
      <c r="AI124">
        <f>IF($O124="",0,IF(COUNTIFS(업무일지!$F$5:$F$1004,$O124,업무일지!$B$5:$B$1004,"&gt;="&amp;DATE($B$3,8,1),업무일지!$B$5:$B$1004,"&lt;"&amp;DATE($B$3,8+1,1),업무일지!$D$5:$D$1004,"분석")&gt;0,1,0))</f>
        <v/>
      </c>
      <c r="AJ124">
        <f>IF($O124="",0,IF(COUNTIFS(업무일지!$F$5:$F$1004,$O124,업무일지!$B$5:$B$1004,"&gt;="&amp;DATE($B$3,9,1),업무일지!$B$5:$B$1004,"&lt;"&amp;DATE($B$3,9+1,1),업무일지!$D$5:$D$1004,"분석")&gt;0,1,0))</f>
        <v/>
      </c>
      <c r="AK124">
        <f>IF($O124="",0,IF(COUNTIFS(업무일지!$F$5:$F$1004,$O124,업무일지!$B$5:$B$1004,"&gt;="&amp;DATE($B$3,10,1),업무일지!$B$5:$B$1004,"&lt;"&amp;DATE($B$3,10+1,1),업무일지!$D$5:$D$1004,"분석")&gt;0,1,0))</f>
        <v/>
      </c>
      <c r="AL124">
        <f>IF($O124="",0,IF(COUNTIFS(업무일지!$F$5:$F$1004,$O124,업무일지!$B$5:$B$1004,"&gt;="&amp;DATE($B$3,11,1),업무일지!$B$5:$B$1004,"&lt;"&amp;DATE($B$3,11+1,1),업무일지!$D$5:$D$1004,"분석")&gt;0,1,0))</f>
        <v/>
      </c>
      <c r="AM124">
        <f>IF($O124="",0,IF(COUNTIFS(업무일지!$F$5:$F$1004,$O124,업무일지!$B$5:$B$1004,"&gt;="&amp;DATE($B$3,12,1),업무일지!$B$5:$B$1004,"&lt;"&amp;DATE($B$3,12+1,1),업무일지!$D$5:$D$1004,"분석")&gt;0,1,0))</f>
        <v/>
      </c>
      <c r="AN124">
        <f>IF($O124="",0,IF(COUNTIFS(업무일지!$F$5:$F$1004,$O124,업무일지!$B$5:$B$1004,"&gt;="&amp;DATE($B$3,1,1),업무일지!$B$5:$B$1004,"&lt;"&amp;DATE($B$3,1+1,1))&gt;0,1,0))</f>
        <v/>
      </c>
      <c r="AO124">
        <f>IF($O124="",0,IF(COUNTIFS(업무일지!$F$5:$F$1004,$O124,업무일지!$B$5:$B$1004,"&gt;="&amp;DATE($B$3,2,1),업무일지!$B$5:$B$1004,"&lt;"&amp;DATE($B$3,2+1,1))&gt;0,1,0))</f>
        <v/>
      </c>
      <c r="AP124">
        <f>IF($O124="",0,IF(COUNTIFS(업무일지!$F$5:$F$1004,$O124,업무일지!$B$5:$B$1004,"&gt;="&amp;DATE($B$3,3,1),업무일지!$B$5:$B$1004,"&lt;"&amp;DATE($B$3,3+1,1))&gt;0,1,0))</f>
        <v/>
      </c>
      <c r="AQ124">
        <f>IF($O124="",0,IF(COUNTIFS(업무일지!$F$5:$F$1004,$O124,업무일지!$B$5:$B$1004,"&gt;="&amp;DATE($B$3,4,1),업무일지!$B$5:$B$1004,"&lt;"&amp;DATE($B$3,4+1,1))&gt;0,1,0))</f>
        <v/>
      </c>
      <c r="AR124">
        <f>IF($O124="",0,IF(COUNTIFS(업무일지!$F$5:$F$1004,$O124,업무일지!$B$5:$B$1004,"&gt;="&amp;DATE($B$3,5,1),업무일지!$B$5:$B$1004,"&lt;"&amp;DATE($B$3,5+1,1))&gt;0,1,0))</f>
        <v/>
      </c>
      <c r="AS124">
        <f>IF($O124="",0,IF(COUNTIFS(업무일지!$F$5:$F$1004,$O124,업무일지!$B$5:$B$1004,"&gt;="&amp;DATE($B$3,6,1),업무일지!$B$5:$B$1004,"&lt;"&amp;DATE($B$3,6+1,1))&gt;0,1,0))</f>
        <v/>
      </c>
      <c r="AT124">
        <f>IF($O124="",0,IF(COUNTIFS(업무일지!$F$5:$F$1004,$O124,업무일지!$B$5:$B$1004,"&gt;="&amp;DATE($B$3,7,1),업무일지!$B$5:$B$1004,"&lt;"&amp;DATE($B$3,7+1,1))&gt;0,1,0))</f>
        <v/>
      </c>
      <c r="AU124">
        <f>IF($O124="",0,IF(COUNTIFS(업무일지!$F$5:$F$1004,$O124,업무일지!$B$5:$B$1004,"&gt;="&amp;DATE($B$3,8,1),업무일지!$B$5:$B$1004,"&lt;"&amp;DATE($B$3,8+1,1))&gt;0,1,0))</f>
        <v/>
      </c>
      <c r="AV124">
        <f>IF($O124="",0,IF(COUNTIFS(업무일지!$F$5:$F$1004,$O124,업무일지!$B$5:$B$1004,"&gt;="&amp;DATE($B$3,9,1),업무일지!$B$5:$B$1004,"&lt;"&amp;DATE($B$3,9+1,1))&gt;0,1,0))</f>
        <v/>
      </c>
      <c r="AW124">
        <f>IF($O124="",0,IF(COUNTIFS(업무일지!$F$5:$F$1004,$O124,업무일지!$B$5:$B$1004,"&gt;="&amp;DATE($B$3,10,1),업무일지!$B$5:$B$1004,"&lt;"&amp;DATE($B$3,10+1,1))&gt;0,1,0))</f>
        <v/>
      </c>
      <c r="AX124">
        <f>IF($O124="",0,IF(COUNTIFS(업무일지!$F$5:$F$1004,$O124,업무일지!$B$5:$B$1004,"&gt;="&amp;DATE($B$3,11,1),업무일지!$B$5:$B$1004,"&lt;"&amp;DATE($B$3,11+1,1))&gt;0,1,0))</f>
        <v/>
      </c>
      <c r="AY124">
        <f>IF($O124="",0,IF(COUNTIFS(업무일지!$F$5:$F$1004,$O124,업무일지!$B$5:$B$1004,"&gt;="&amp;DATE($B$3,12,1),업무일지!$B$5:$B$1004,"&lt;"&amp;DATE($B$3,12+1,1))&gt;0,1,0))</f>
        <v/>
      </c>
      <c r="AZ124">
        <f>IF($O124="",0,IF(COUNTIFS(업무일지!$F$5:$F$1004,$O124,업무일지!$B$5:$B$1004,"&gt;="&amp;DATE($B$3,1,1),업무일지!$B$5:$B$1004,"&lt;"&amp;DATE($B$3+1,1,1),업무일지!$D$5:$D$1004,"출장")&gt;0,1,0))</f>
        <v/>
      </c>
      <c r="BA124">
        <f>IF($O124="",0,IF(COUNTIFS(업무일지!$F$5:$F$1004,$O124,업무일지!$B$5:$B$1004,"&gt;="&amp;DATE($B$3,1,1),업무일지!$B$5:$B$1004,"&lt;"&amp;DATE($B$3+1,1,1),업무일지!$D$5:$D$1004,"분석")&gt;0,1,0))</f>
        <v/>
      </c>
      <c r="BB124">
        <f>IF($O124="",0,IF(COUNTIFS(업무일지!$F$5:$F$1004,$O124,업무일지!$B$5:$B$1004,"&gt;="&amp;DATE($B$3,1,1),업무일지!$B$5:$B$1004,"&lt;"&amp;DATE($B$3+1,1,1))&gt;0,1,0))</f>
        <v/>
      </c>
    </row>
    <row r="125">
      <c r="O125">
        <f>IF(사건마스터!$A45="","",사건마스터!$A45)</f>
        <v/>
      </c>
      <c r="P125">
        <f>IF($O125="",0,IF(COUNTIFS(업무일지!$F$5:$F$1004,$O125,업무일지!$B$5:$B$1004,"&gt;="&amp;DATE($B$3,1,1),업무일지!$B$5:$B$1004,"&lt;"&amp;DATE($B$3,1+1,1),업무일지!$D$5:$D$1004,"출장")&gt;0,1,0))</f>
        <v/>
      </c>
      <c r="Q125">
        <f>IF($O125="",0,IF(COUNTIFS(업무일지!$F$5:$F$1004,$O125,업무일지!$B$5:$B$1004,"&gt;="&amp;DATE($B$3,2,1),업무일지!$B$5:$B$1004,"&lt;"&amp;DATE($B$3,2+1,1),업무일지!$D$5:$D$1004,"출장")&gt;0,1,0))</f>
        <v/>
      </c>
      <c r="R125">
        <f>IF($O125="",0,IF(COUNTIFS(업무일지!$F$5:$F$1004,$O125,업무일지!$B$5:$B$1004,"&gt;="&amp;DATE($B$3,3,1),업무일지!$B$5:$B$1004,"&lt;"&amp;DATE($B$3,3+1,1),업무일지!$D$5:$D$1004,"출장")&gt;0,1,0))</f>
        <v/>
      </c>
      <c r="S125">
        <f>IF($O125="",0,IF(COUNTIFS(업무일지!$F$5:$F$1004,$O125,업무일지!$B$5:$B$1004,"&gt;="&amp;DATE($B$3,4,1),업무일지!$B$5:$B$1004,"&lt;"&amp;DATE($B$3,4+1,1),업무일지!$D$5:$D$1004,"출장")&gt;0,1,0))</f>
        <v/>
      </c>
      <c r="T125">
        <f>IF($O125="",0,IF(COUNTIFS(업무일지!$F$5:$F$1004,$O125,업무일지!$B$5:$B$1004,"&gt;="&amp;DATE($B$3,5,1),업무일지!$B$5:$B$1004,"&lt;"&amp;DATE($B$3,5+1,1),업무일지!$D$5:$D$1004,"출장")&gt;0,1,0))</f>
        <v/>
      </c>
      <c r="U125">
        <f>IF($O125="",0,IF(COUNTIFS(업무일지!$F$5:$F$1004,$O125,업무일지!$B$5:$B$1004,"&gt;="&amp;DATE($B$3,6,1),업무일지!$B$5:$B$1004,"&lt;"&amp;DATE($B$3,6+1,1),업무일지!$D$5:$D$1004,"출장")&gt;0,1,0))</f>
        <v/>
      </c>
      <c r="V125">
        <f>IF($O125="",0,IF(COUNTIFS(업무일지!$F$5:$F$1004,$O125,업무일지!$B$5:$B$1004,"&gt;="&amp;DATE($B$3,7,1),업무일지!$B$5:$B$1004,"&lt;"&amp;DATE($B$3,7+1,1),업무일지!$D$5:$D$1004,"출장")&gt;0,1,0))</f>
        <v/>
      </c>
      <c r="W125">
        <f>IF($O125="",0,IF(COUNTIFS(업무일지!$F$5:$F$1004,$O125,업무일지!$B$5:$B$1004,"&gt;="&amp;DATE($B$3,8,1),업무일지!$B$5:$B$1004,"&lt;"&amp;DATE($B$3,8+1,1),업무일지!$D$5:$D$1004,"출장")&gt;0,1,0))</f>
        <v/>
      </c>
      <c r="X125">
        <f>IF($O125="",0,IF(COUNTIFS(업무일지!$F$5:$F$1004,$O125,업무일지!$B$5:$B$1004,"&gt;="&amp;DATE($B$3,9,1),업무일지!$B$5:$B$1004,"&lt;"&amp;DATE($B$3,9+1,1),업무일지!$D$5:$D$1004,"출장")&gt;0,1,0))</f>
        <v/>
      </c>
      <c r="Y125">
        <f>IF($O125="",0,IF(COUNTIFS(업무일지!$F$5:$F$1004,$O125,업무일지!$B$5:$B$1004,"&gt;="&amp;DATE($B$3,10,1),업무일지!$B$5:$B$1004,"&lt;"&amp;DATE($B$3,10+1,1),업무일지!$D$5:$D$1004,"출장")&gt;0,1,0))</f>
        <v/>
      </c>
      <c r="Z125">
        <f>IF($O125="",0,IF(COUNTIFS(업무일지!$F$5:$F$1004,$O125,업무일지!$B$5:$B$1004,"&gt;="&amp;DATE($B$3,11,1),업무일지!$B$5:$B$1004,"&lt;"&amp;DATE($B$3,11+1,1),업무일지!$D$5:$D$1004,"출장")&gt;0,1,0))</f>
        <v/>
      </c>
      <c r="AA125">
        <f>IF($O125="",0,IF(COUNTIFS(업무일지!$F$5:$F$1004,$O125,업무일지!$B$5:$B$1004,"&gt;="&amp;DATE($B$3,12,1),업무일지!$B$5:$B$1004,"&lt;"&amp;DATE($B$3,12+1,1),업무일지!$D$5:$D$1004,"출장")&gt;0,1,0))</f>
        <v/>
      </c>
      <c r="AB125">
        <f>IF($O125="",0,IF(COUNTIFS(업무일지!$F$5:$F$1004,$O125,업무일지!$B$5:$B$1004,"&gt;="&amp;DATE($B$3,1,1),업무일지!$B$5:$B$1004,"&lt;"&amp;DATE($B$3,1+1,1),업무일지!$D$5:$D$1004,"분석")&gt;0,1,0))</f>
        <v/>
      </c>
      <c r="AC125">
        <f>IF($O125="",0,IF(COUNTIFS(업무일지!$F$5:$F$1004,$O125,업무일지!$B$5:$B$1004,"&gt;="&amp;DATE($B$3,2,1),업무일지!$B$5:$B$1004,"&lt;"&amp;DATE($B$3,2+1,1),업무일지!$D$5:$D$1004,"분석")&gt;0,1,0))</f>
        <v/>
      </c>
      <c r="AD125">
        <f>IF($O125="",0,IF(COUNTIFS(업무일지!$F$5:$F$1004,$O125,업무일지!$B$5:$B$1004,"&gt;="&amp;DATE($B$3,3,1),업무일지!$B$5:$B$1004,"&lt;"&amp;DATE($B$3,3+1,1),업무일지!$D$5:$D$1004,"분석")&gt;0,1,0))</f>
        <v/>
      </c>
      <c r="AE125">
        <f>IF($O125="",0,IF(COUNTIFS(업무일지!$F$5:$F$1004,$O125,업무일지!$B$5:$B$1004,"&gt;="&amp;DATE($B$3,4,1),업무일지!$B$5:$B$1004,"&lt;"&amp;DATE($B$3,4+1,1),업무일지!$D$5:$D$1004,"분석")&gt;0,1,0))</f>
        <v/>
      </c>
      <c r="AF125">
        <f>IF($O125="",0,IF(COUNTIFS(업무일지!$F$5:$F$1004,$O125,업무일지!$B$5:$B$1004,"&gt;="&amp;DATE($B$3,5,1),업무일지!$B$5:$B$1004,"&lt;"&amp;DATE($B$3,5+1,1),업무일지!$D$5:$D$1004,"분석")&gt;0,1,0))</f>
        <v/>
      </c>
      <c r="AG125">
        <f>IF($O125="",0,IF(COUNTIFS(업무일지!$F$5:$F$1004,$O125,업무일지!$B$5:$B$1004,"&gt;="&amp;DATE($B$3,6,1),업무일지!$B$5:$B$1004,"&lt;"&amp;DATE($B$3,6+1,1),업무일지!$D$5:$D$1004,"분석")&gt;0,1,0))</f>
        <v/>
      </c>
      <c r="AH125">
        <f>IF($O125="",0,IF(COUNTIFS(업무일지!$F$5:$F$1004,$O125,업무일지!$B$5:$B$1004,"&gt;="&amp;DATE($B$3,7,1),업무일지!$B$5:$B$1004,"&lt;"&amp;DATE($B$3,7+1,1),업무일지!$D$5:$D$1004,"분석")&gt;0,1,0))</f>
        <v/>
      </c>
      <c r="AI125">
        <f>IF($O125="",0,IF(COUNTIFS(업무일지!$F$5:$F$1004,$O125,업무일지!$B$5:$B$1004,"&gt;="&amp;DATE($B$3,8,1),업무일지!$B$5:$B$1004,"&lt;"&amp;DATE($B$3,8+1,1),업무일지!$D$5:$D$1004,"분석")&gt;0,1,0))</f>
        <v/>
      </c>
      <c r="AJ125">
        <f>IF($O125="",0,IF(COUNTIFS(업무일지!$F$5:$F$1004,$O125,업무일지!$B$5:$B$1004,"&gt;="&amp;DATE($B$3,9,1),업무일지!$B$5:$B$1004,"&lt;"&amp;DATE($B$3,9+1,1),업무일지!$D$5:$D$1004,"분석")&gt;0,1,0))</f>
        <v/>
      </c>
      <c r="AK125">
        <f>IF($O125="",0,IF(COUNTIFS(업무일지!$F$5:$F$1004,$O125,업무일지!$B$5:$B$1004,"&gt;="&amp;DATE($B$3,10,1),업무일지!$B$5:$B$1004,"&lt;"&amp;DATE($B$3,10+1,1),업무일지!$D$5:$D$1004,"분석")&gt;0,1,0))</f>
        <v/>
      </c>
      <c r="AL125">
        <f>IF($O125="",0,IF(COUNTIFS(업무일지!$F$5:$F$1004,$O125,업무일지!$B$5:$B$1004,"&gt;="&amp;DATE($B$3,11,1),업무일지!$B$5:$B$1004,"&lt;"&amp;DATE($B$3,11+1,1),업무일지!$D$5:$D$1004,"분석")&gt;0,1,0))</f>
        <v/>
      </c>
      <c r="AM125">
        <f>IF($O125="",0,IF(COUNTIFS(업무일지!$F$5:$F$1004,$O125,업무일지!$B$5:$B$1004,"&gt;="&amp;DATE($B$3,12,1),업무일지!$B$5:$B$1004,"&lt;"&amp;DATE($B$3,12+1,1),업무일지!$D$5:$D$1004,"분석")&gt;0,1,0))</f>
        <v/>
      </c>
      <c r="AN125">
        <f>IF($O125="",0,IF(COUNTIFS(업무일지!$F$5:$F$1004,$O125,업무일지!$B$5:$B$1004,"&gt;="&amp;DATE($B$3,1,1),업무일지!$B$5:$B$1004,"&lt;"&amp;DATE($B$3,1+1,1))&gt;0,1,0))</f>
        <v/>
      </c>
      <c r="AO125">
        <f>IF($O125="",0,IF(COUNTIFS(업무일지!$F$5:$F$1004,$O125,업무일지!$B$5:$B$1004,"&gt;="&amp;DATE($B$3,2,1),업무일지!$B$5:$B$1004,"&lt;"&amp;DATE($B$3,2+1,1))&gt;0,1,0))</f>
        <v/>
      </c>
      <c r="AP125">
        <f>IF($O125="",0,IF(COUNTIFS(업무일지!$F$5:$F$1004,$O125,업무일지!$B$5:$B$1004,"&gt;="&amp;DATE($B$3,3,1),업무일지!$B$5:$B$1004,"&lt;"&amp;DATE($B$3,3+1,1))&gt;0,1,0))</f>
        <v/>
      </c>
      <c r="AQ125">
        <f>IF($O125="",0,IF(COUNTIFS(업무일지!$F$5:$F$1004,$O125,업무일지!$B$5:$B$1004,"&gt;="&amp;DATE($B$3,4,1),업무일지!$B$5:$B$1004,"&lt;"&amp;DATE($B$3,4+1,1))&gt;0,1,0))</f>
        <v/>
      </c>
      <c r="AR125">
        <f>IF($O125="",0,IF(COUNTIFS(업무일지!$F$5:$F$1004,$O125,업무일지!$B$5:$B$1004,"&gt;="&amp;DATE($B$3,5,1),업무일지!$B$5:$B$1004,"&lt;"&amp;DATE($B$3,5+1,1))&gt;0,1,0))</f>
        <v/>
      </c>
      <c r="AS125">
        <f>IF($O125="",0,IF(COUNTIFS(업무일지!$F$5:$F$1004,$O125,업무일지!$B$5:$B$1004,"&gt;="&amp;DATE($B$3,6,1),업무일지!$B$5:$B$1004,"&lt;"&amp;DATE($B$3,6+1,1))&gt;0,1,0))</f>
        <v/>
      </c>
      <c r="AT125">
        <f>IF($O125="",0,IF(COUNTIFS(업무일지!$F$5:$F$1004,$O125,업무일지!$B$5:$B$1004,"&gt;="&amp;DATE($B$3,7,1),업무일지!$B$5:$B$1004,"&lt;"&amp;DATE($B$3,7+1,1))&gt;0,1,0))</f>
        <v/>
      </c>
      <c r="AU125">
        <f>IF($O125="",0,IF(COUNTIFS(업무일지!$F$5:$F$1004,$O125,업무일지!$B$5:$B$1004,"&gt;="&amp;DATE($B$3,8,1),업무일지!$B$5:$B$1004,"&lt;"&amp;DATE($B$3,8+1,1))&gt;0,1,0))</f>
        <v/>
      </c>
      <c r="AV125">
        <f>IF($O125="",0,IF(COUNTIFS(업무일지!$F$5:$F$1004,$O125,업무일지!$B$5:$B$1004,"&gt;="&amp;DATE($B$3,9,1),업무일지!$B$5:$B$1004,"&lt;"&amp;DATE($B$3,9+1,1))&gt;0,1,0))</f>
        <v/>
      </c>
      <c r="AW125">
        <f>IF($O125="",0,IF(COUNTIFS(업무일지!$F$5:$F$1004,$O125,업무일지!$B$5:$B$1004,"&gt;="&amp;DATE($B$3,10,1),업무일지!$B$5:$B$1004,"&lt;"&amp;DATE($B$3,10+1,1))&gt;0,1,0))</f>
        <v/>
      </c>
      <c r="AX125">
        <f>IF($O125="",0,IF(COUNTIFS(업무일지!$F$5:$F$1004,$O125,업무일지!$B$5:$B$1004,"&gt;="&amp;DATE($B$3,11,1),업무일지!$B$5:$B$1004,"&lt;"&amp;DATE($B$3,11+1,1))&gt;0,1,0))</f>
        <v/>
      </c>
      <c r="AY125">
        <f>IF($O125="",0,IF(COUNTIFS(업무일지!$F$5:$F$1004,$O125,업무일지!$B$5:$B$1004,"&gt;="&amp;DATE($B$3,12,1),업무일지!$B$5:$B$1004,"&lt;"&amp;DATE($B$3,12+1,1))&gt;0,1,0))</f>
        <v/>
      </c>
      <c r="AZ125">
        <f>IF($O125="",0,IF(COUNTIFS(업무일지!$F$5:$F$1004,$O125,업무일지!$B$5:$B$1004,"&gt;="&amp;DATE($B$3,1,1),업무일지!$B$5:$B$1004,"&lt;"&amp;DATE($B$3+1,1,1),업무일지!$D$5:$D$1004,"출장")&gt;0,1,0))</f>
        <v/>
      </c>
      <c r="BA125">
        <f>IF($O125="",0,IF(COUNTIFS(업무일지!$F$5:$F$1004,$O125,업무일지!$B$5:$B$1004,"&gt;="&amp;DATE($B$3,1,1),업무일지!$B$5:$B$1004,"&lt;"&amp;DATE($B$3+1,1,1),업무일지!$D$5:$D$1004,"분석")&gt;0,1,0))</f>
        <v/>
      </c>
      <c r="BB125">
        <f>IF($O125="",0,IF(COUNTIFS(업무일지!$F$5:$F$1004,$O125,업무일지!$B$5:$B$1004,"&gt;="&amp;DATE($B$3,1,1),업무일지!$B$5:$B$1004,"&lt;"&amp;DATE($B$3+1,1,1))&gt;0,1,0))</f>
        <v/>
      </c>
    </row>
    <row r="126">
      <c r="O126">
        <f>IF(사건마스터!$A46="","",사건마스터!$A46)</f>
        <v/>
      </c>
      <c r="P126">
        <f>IF($O126="",0,IF(COUNTIFS(업무일지!$F$5:$F$1004,$O126,업무일지!$B$5:$B$1004,"&gt;="&amp;DATE($B$3,1,1),업무일지!$B$5:$B$1004,"&lt;"&amp;DATE($B$3,1+1,1),업무일지!$D$5:$D$1004,"출장")&gt;0,1,0))</f>
        <v/>
      </c>
      <c r="Q126">
        <f>IF($O126="",0,IF(COUNTIFS(업무일지!$F$5:$F$1004,$O126,업무일지!$B$5:$B$1004,"&gt;="&amp;DATE($B$3,2,1),업무일지!$B$5:$B$1004,"&lt;"&amp;DATE($B$3,2+1,1),업무일지!$D$5:$D$1004,"출장")&gt;0,1,0))</f>
        <v/>
      </c>
      <c r="R126">
        <f>IF($O126="",0,IF(COUNTIFS(업무일지!$F$5:$F$1004,$O126,업무일지!$B$5:$B$1004,"&gt;="&amp;DATE($B$3,3,1),업무일지!$B$5:$B$1004,"&lt;"&amp;DATE($B$3,3+1,1),업무일지!$D$5:$D$1004,"출장")&gt;0,1,0))</f>
        <v/>
      </c>
      <c r="S126">
        <f>IF($O126="",0,IF(COUNTIFS(업무일지!$F$5:$F$1004,$O126,업무일지!$B$5:$B$1004,"&gt;="&amp;DATE($B$3,4,1),업무일지!$B$5:$B$1004,"&lt;"&amp;DATE($B$3,4+1,1),업무일지!$D$5:$D$1004,"출장")&gt;0,1,0))</f>
        <v/>
      </c>
      <c r="T126">
        <f>IF($O126="",0,IF(COUNTIFS(업무일지!$F$5:$F$1004,$O126,업무일지!$B$5:$B$1004,"&gt;="&amp;DATE($B$3,5,1),업무일지!$B$5:$B$1004,"&lt;"&amp;DATE($B$3,5+1,1),업무일지!$D$5:$D$1004,"출장")&gt;0,1,0))</f>
        <v/>
      </c>
      <c r="U126">
        <f>IF($O126="",0,IF(COUNTIFS(업무일지!$F$5:$F$1004,$O126,업무일지!$B$5:$B$1004,"&gt;="&amp;DATE($B$3,6,1),업무일지!$B$5:$B$1004,"&lt;"&amp;DATE($B$3,6+1,1),업무일지!$D$5:$D$1004,"출장")&gt;0,1,0))</f>
        <v/>
      </c>
      <c r="V126">
        <f>IF($O126="",0,IF(COUNTIFS(업무일지!$F$5:$F$1004,$O126,업무일지!$B$5:$B$1004,"&gt;="&amp;DATE($B$3,7,1),업무일지!$B$5:$B$1004,"&lt;"&amp;DATE($B$3,7+1,1),업무일지!$D$5:$D$1004,"출장")&gt;0,1,0))</f>
        <v/>
      </c>
      <c r="W126">
        <f>IF($O126="",0,IF(COUNTIFS(업무일지!$F$5:$F$1004,$O126,업무일지!$B$5:$B$1004,"&gt;="&amp;DATE($B$3,8,1),업무일지!$B$5:$B$1004,"&lt;"&amp;DATE($B$3,8+1,1),업무일지!$D$5:$D$1004,"출장")&gt;0,1,0))</f>
        <v/>
      </c>
      <c r="X126">
        <f>IF($O126="",0,IF(COUNTIFS(업무일지!$F$5:$F$1004,$O126,업무일지!$B$5:$B$1004,"&gt;="&amp;DATE($B$3,9,1),업무일지!$B$5:$B$1004,"&lt;"&amp;DATE($B$3,9+1,1),업무일지!$D$5:$D$1004,"출장")&gt;0,1,0))</f>
        <v/>
      </c>
      <c r="Y126">
        <f>IF($O126="",0,IF(COUNTIFS(업무일지!$F$5:$F$1004,$O126,업무일지!$B$5:$B$1004,"&gt;="&amp;DATE($B$3,10,1),업무일지!$B$5:$B$1004,"&lt;"&amp;DATE($B$3,10+1,1),업무일지!$D$5:$D$1004,"출장")&gt;0,1,0))</f>
        <v/>
      </c>
      <c r="Z126">
        <f>IF($O126="",0,IF(COUNTIFS(업무일지!$F$5:$F$1004,$O126,업무일지!$B$5:$B$1004,"&gt;="&amp;DATE($B$3,11,1),업무일지!$B$5:$B$1004,"&lt;"&amp;DATE($B$3,11+1,1),업무일지!$D$5:$D$1004,"출장")&gt;0,1,0))</f>
        <v/>
      </c>
      <c r="AA126">
        <f>IF($O126="",0,IF(COUNTIFS(업무일지!$F$5:$F$1004,$O126,업무일지!$B$5:$B$1004,"&gt;="&amp;DATE($B$3,12,1),업무일지!$B$5:$B$1004,"&lt;"&amp;DATE($B$3,12+1,1),업무일지!$D$5:$D$1004,"출장")&gt;0,1,0))</f>
        <v/>
      </c>
      <c r="AB126">
        <f>IF($O126="",0,IF(COUNTIFS(업무일지!$F$5:$F$1004,$O126,업무일지!$B$5:$B$1004,"&gt;="&amp;DATE($B$3,1,1),업무일지!$B$5:$B$1004,"&lt;"&amp;DATE($B$3,1+1,1),업무일지!$D$5:$D$1004,"분석")&gt;0,1,0))</f>
        <v/>
      </c>
      <c r="AC126">
        <f>IF($O126="",0,IF(COUNTIFS(업무일지!$F$5:$F$1004,$O126,업무일지!$B$5:$B$1004,"&gt;="&amp;DATE($B$3,2,1),업무일지!$B$5:$B$1004,"&lt;"&amp;DATE($B$3,2+1,1),업무일지!$D$5:$D$1004,"분석")&gt;0,1,0))</f>
        <v/>
      </c>
      <c r="AD126">
        <f>IF($O126="",0,IF(COUNTIFS(업무일지!$F$5:$F$1004,$O126,업무일지!$B$5:$B$1004,"&gt;="&amp;DATE($B$3,3,1),업무일지!$B$5:$B$1004,"&lt;"&amp;DATE($B$3,3+1,1),업무일지!$D$5:$D$1004,"분석")&gt;0,1,0))</f>
        <v/>
      </c>
      <c r="AE126">
        <f>IF($O126="",0,IF(COUNTIFS(업무일지!$F$5:$F$1004,$O126,업무일지!$B$5:$B$1004,"&gt;="&amp;DATE($B$3,4,1),업무일지!$B$5:$B$1004,"&lt;"&amp;DATE($B$3,4+1,1),업무일지!$D$5:$D$1004,"분석")&gt;0,1,0))</f>
        <v/>
      </c>
      <c r="AF126">
        <f>IF($O126="",0,IF(COUNTIFS(업무일지!$F$5:$F$1004,$O126,업무일지!$B$5:$B$1004,"&gt;="&amp;DATE($B$3,5,1),업무일지!$B$5:$B$1004,"&lt;"&amp;DATE($B$3,5+1,1),업무일지!$D$5:$D$1004,"분석")&gt;0,1,0))</f>
        <v/>
      </c>
      <c r="AG126">
        <f>IF($O126="",0,IF(COUNTIFS(업무일지!$F$5:$F$1004,$O126,업무일지!$B$5:$B$1004,"&gt;="&amp;DATE($B$3,6,1),업무일지!$B$5:$B$1004,"&lt;"&amp;DATE($B$3,6+1,1),업무일지!$D$5:$D$1004,"분석")&gt;0,1,0))</f>
        <v/>
      </c>
      <c r="AH126">
        <f>IF($O126="",0,IF(COUNTIFS(업무일지!$F$5:$F$1004,$O126,업무일지!$B$5:$B$1004,"&gt;="&amp;DATE($B$3,7,1),업무일지!$B$5:$B$1004,"&lt;"&amp;DATE($B$3,7+1,1),업무일지!$D$5:$D$1004,"분석")&gt;0,1,0))</f>
        <v/>
      </c>
      <c r="AI126">
        <f>IF($O126="",0,IF(COUNTIFS(업무일지!$F$5:$F$1004,$O126,업무일지!$B$5:$B$1004,"&gt;="&amp;DATE($B$3,8,1),업무일지!$B$5:$B$1004,"&lt;"&amp;DATE($B$3,8+1,1),업무일지!$D$5:$D$1004,"분석")&gt;0,1,0))</f>
        <v/>
      </c>
      <c r="AJ126">
        <f>IF($O126="",0,IF(COUNTIFS(업무일지!$F$5:$F$1004,$O126,업무일지!$B$5:$B$1004,"&gt;="&amp;DATE($B$3,9,1),업무일지!$B$5:$B$1004,"&lt;"&amp;DATE($B$3,9+1,1),업무일지!$D$5:$D$1004,"분석")&gt;0,1,0))</f>
        <v/>
      </c>
      <c r="AK126">
        <f>IF($O126="",0,IF(COUNTIFS(업무일지!$F$5:$F$1004,$O126,업무일지!$B$5:$B$1004,"&gt;="&amp;DATE($B$3,10,1),업무일지!$B$5:$B$1004,"&lt;"&amp;DATE($B$3,10+1,1),업무일지!$D$5:$D$1004,"분석")&gt;0,1,0))</f>
        <v/>
      </c>
      <c r="AL126">
        <f>IF($O126="",0,IF(COUNTIFS(업무일지!$F$5:$F$1004,$O126,업무일지!$B$5:$B$1004,"&gt;="&amp;DATE($B$3,11,1),업무일지!$B$5:$B$1004,"&lt;"&amp;DATE($B$3,11+1,1),업무일지!$D$5:$D$1004,"분석")&gt;0,1,0))</f>
        <v/>
      </c>
      <c r="AM126">
        <f>IF($O126="",0,IF(COUNTIFS(업무일지!$F$5:$F$1004,$O126,업무일지!$B$5:$B$1004,"&gt;="&amp;DATE($B$3,12,1),업무일지!$B$5:$B$1004,"&lt;"&amp;DATE($B$3,12+1,1),업무일지!$D$5:$D$1004,"분석")&gt;0,1,0))</f>
        <v/>
      </c>
      <c r="AN126">
        <f>IF($O126="",0,IF(COUNTIFS(업무일지!$F$5:$F$1004,$O126,업무일지!$B$5:$B$1004,"&gt;="&amp;DATE($B$3,1,1),업무일지!$B$5:$B$1004,"&lt;"&amp;DATE($B$3,1+1,1))&gt;0,1,0))</f>
        <v/>
      </c>
      <c r="AO126">
        <f>IF($O126="",0,IF(COUNTIFS(업무일지!$F$5:$F$1004,$O126,업무일지!$B$5:$B$1004,"&gt;="&amp;DATE($B$3,2,1),업무일지!$B$5:$B$1004,"&lt;"&amp;DATE($B$3,2+1,1))&gt;0,1,0))</f>
        <v/>
      </c>
      <c r="AP126">
        <f>IF($O126="",0,IF(COUNTIFS(업무일지!$F$5:$F$1004,$O126,업무일지!$B$5:$B$1004,"&gt;="&amp;DATE($B$3,3,1),업무일지!$B$5:$B$1004,"&lt;"&amp;DATE($B$3,3+1,1))&gt;0,1,0))</f>
        <v/>
      </c>
      <c r="AQ126">
        <f>IF($O126="",0,IF(COUNTIFS(업무일지!$F$5:$F$1004,$O126,업무일지!$B$5:$B$1004,"&gt;="&amp;DATE($B$3,4,1),업무일지!$B$5:$B$1004,"&lt;"&amp;DATE($B$3,4+1,1))&gt;0,1,0))</f>
        <v/>
      </c>
      <c r="AR126">
        <f>IF($O126="",0,IF(COUNTIFS(업무일지!$F$5:$F$1004,$O126,업무일지!$B$5:$B$1004,"&gt;="&amp;DATE($B$3,5,1),업무일지!$B$5:$B$1004,"&lt;"&amp;DATE($B$3,5+1,1))&gt;0,1,0))</f>
        <v/>
      </c>
      <c r="AS126">
        <f>IF($O126="",0,IF(COUNTIFS(업무일지!$F$5:$F$1004,$O126,업무일지!$B$5:$B$1004,"&gt;="&amp;DATE($B$3,6,1),업무일지!$B$5:$B$1004,"&lt;"&amp;DATE($B$3,6+1,1))&gt;0,1,0))</f>
        <v/>
      </c>
      <c r="AT126">
        <f>IF($O126="",0,IF(COUNTIFS(업무일지!$F$5:$F$1004,$O126,업무일지!$B$5:$B$1004,"&gt;="&amp;DATE($B$3,7,1),업무일지!$B$5:$B$1004,"&lt;"&amp;DATE($B$3,7+1,1))&gt;0,1,0))</f>
        <v/>
      </c>
      <c r="AU126">
        <f>IF($O126="",0,IF(COUNTIFS(업무일지!$F$5:$F$1004,$O126,업무일지!$B$5:$B$1004,"&gt;="&amp;DATE($B$3,8,1),업무일지!$B$5:$B$1004,"&lt;"&amp;DATE($B$3,8+1,1))&gt;0,1,0))</f>
        <v/>
      </c>
      <c r="AV126">
        <f>IF($O126="",0,IF(COUNTIFS(업무일지!$F$5:$F$1004,$O126,업무일지!$B$5:$B$1004,"&gt;="&amp;DATE($B$3,9,1),업무일지!$B$5:$B$1004,"&lt;"&amp;DATE($B$3,9+1,1))&gt;0,1,0))</f>
        <v/>
      </c>
      <c r="AW126">
        <f>IF($O126="",0,IF(COUNTIFS(업무일지!$F$5:$F$1004,$O126,업무일지!$B$5:$B$1004,"&gt;="&amp;DATE($B$3,10,1),업무일지!$B$5:$B$1004,"&lt;"&amp;DATE($B$3,10+1,1))&gt;0,1,0))</f>
        <v/>
      </c>
      <c r="AX126">
        <f>IF($O126="",0,IF(COUNTIFS(업무일지!$F$5:$F$1004,$O126,업무일지!$B$5:$B$1004,"&gt;="&amp;DATE($B$3,11,1),업무일지!$B$5:$B$1004,"&lt;"&amp;DATE($B$3,11+1,1))&gt;0,1,0))</f>
        <v/>
      </c>
      <c r="AY126">
        <f>IF($O126="",0,IF(COUNTIFS(업무일지!$F$5:$F$1004,$O126,업무일지!$B$5:$B$1004,"&gt;="&amp;DATE($B$3,12,1),업무일지!$B$5:$B$1004,"&lt;"&amp;DATE($B$3,12+1,1))&gt;0,1,0))</f>
        <v/>
      </c>
      <c r="AZ126">
        <f>IF($O126="",0,IF(COUNTIFS(업무일지!$F$5:$F$1004,$O126,업무일지!$B$5:$B$1004,"&gt;="&amp;DATE($B$3,1,1),업무일지!$B$5:$B$1004,"&lt;"&amp;DATE($B$3+1,1,1),업무일지!$D$5:$D$1004,"출장")&gt;0,1,0))</f>
        <v/>
      </c>
      <c r="BA126">
        <f>IF($O126="",0,IF(COUNTIFS(업무일지!$F$5:$F$1004,$O126,업무일지!$B$5:$B$1004,"&gt;="&amp;DATE($B$3,1,1),업무일지!$B$5:$B$1004,"&lt;"&amp;DATE($B$3+1,1,1),업무일지!$D$5:$D$1004,"분석")&gt;0,1,0))</f>
        <v/>
      </c>
      <c r="BB126">
        <f>IF($O126="",0,IF(COUNTIFS(업무일지!$F$5:$F$1004,$O126,업무일지!$B$5:$B$1004,"&gt;="&amp;DATE($B$3,1,1),업무일지!$B$5:$B$1004,"&lt;"&amp;DATE($B$3+1,1,1))&gt;0,1,0))</f>
        <v/>
      </c>
    </row>
    <row r="127">
      <c r="O127">
        <f>IF(사건마스터!$A47="","",사건마스터!$A47)</f>
        <v/>
      </c>
      <c r="P127">
        <f>IF($O127="",0,IF(COUNTIFS(업무일지!$F$5:$F$1004,$O127,업무일지!$B$5:$B$1004,"&gt;="&amp;DATE($B$3,1,1),업무일지!$B$5:$B$1004,"&lt;"&amp;DATE($B$3,1+1,1),업무일지!$D$5:$D$1004,"출장")&gt;0,1,0))</f>
        <v/>
      </c>
      <c r="Q127">
        <f>IF($O127="",0,IF(COUNTIFS(업무일지!$F$5:$F$1004,$O127,업무일지!$B$5:$B$1004,"&gt;="&amp;DATE($B$3,2,1),업무일지!$B$5:$B$1004,"&lt;"&amp;DATE($B$3,2+1,1),업무일지!$D$5:$D$1004,"출장")&gt;0,1,0))</f>
        <v/>
      </c>
      <c r="R127">
        <f>IF($O127="",0,IF(COUNTIFS(업무일지!$F$5:$F$1004,$O127,업무일지!$B$5:$B$1004,"&gt;="&amp;DATE($B$3,3,1),업무일지!$B$5:$B$1004,"&lt;"&amp;DATE($B$3,3+1,1),업무일지!$D$5:$D$1004,"출장")&gt;0,1,0))</f>
        <v/>
      </c>
      <c r="S127">
        <f>IF($O127="",0,IF(COUNTIFS(업무일지!$F$5:$F$1004,$O127,업무일지!$B$5:$B$1004,"&gt;="&amp;DATE($B$3,4,1),업무일지!$B$5:$B$1004,"&lt;"&amp;DATE($B$3,4+1,1),업무일지!$D$5:$D$1004,"출장")&gt;0,1,0))</f>
        <v/>
      </c>
      <c r="T127">
        <f>IF($O127="",0,IF(COUNTIFS(업무일지!$F$5:$F$1004,$O127,업무일지!$B$5:$B$1004,"&gt;="&amp;DATE($B$3,5,1),업무일지!$B$5:$B$1004,"&lt;"&amp;DATE($B$3,5+1,1),업무일지!$D$5:$D$1004,"출장")&gt;0,1,0))</f>
        <v/>
      </c>
      <c r="U127">
        <f>IF($O127="",0,IF(COUNTIFS(업무일지!$F$5:$F$1004,$O127,업무일지!$B$5:$B$1004,"&gt;="&amp;DATE($B$3,6,1),업무일지!$B$5:$B$1004,"&lt;"&amp;DATE($B$3,6+1,1),업무일지!$D$5:$D$1004,"출장")&gt;0,1,0))</f>
        <v/>
      </c>
      <c r="V127">
        <f>IF($O127="",0,IF(COUNTIFS(업무일지!$F$5:$F$1004,$O127,업무일지!$B$5:$B$1004,"&gt;="&amp;DATE($B$3,7,1),업무일지!$B$5:$B$1004,"&lt;"&amp;DATE($B$3,7+1,1),업무일지!$D$5:$D$1004,"출장")&gt;0,1,0))</f>
        <v/>
      </c>
      <c r="W127">
        <f>IF($O127="",0,IF(COUNTIFS(업무일지!$F$5:$F$1004,$O127,업무일지!$B$5:$B$1004,"&gt;="&amp;DATE($B$3,8,1),업무일지!$B$5:$B$1004,"&lt;"&amp;DATE($B$3,8+1,1),업무일지!$D$5:$D$1004,"출장")&gt;0,1,0))</f>
        <v/>
      </c>
      <c r="X127">
        <f>IF($O127="",0,IF(COUNTIFS(업무일지!$F$5:$F$1004,$O127,업무일지!$B$5:$B$1004,"&gt;="&amp;DATE($B$3,9,1),업무일지!$B$5:$B$1004,"&lt;"&amp;DATE($B$3,9+1,1),업무일지!$D$5:$D$1004,"출장")&gt;0,1,0))</f>
        <v/>
      </c>
      <c r="Y127">
        <f>IF($O127="",0,IF(COUNTIFS(업무일지!$F$5:$F$1004,$O127,업무일지!$B$5:$B$1004,"&gt;="&amp;DATE($B$3,10,1),업무일지!$B$5:$B$1004,"&lt;"&amp;DATE($B$3,10+1,1),업무일지!$D$5:$D$1004,"출장")&gt;0,1,0))</f>
        <v/>
      </c>
      <c r="Z127">
        <f>IF($O127="",0,IF(COUNTIFS(업무일지!$F$5:$F$1004,$O127,업무일지!$B$5:$B$1004,"&gt;="&amp;DATE($B$3,11,1),업무일지!$B$5:$B$1004,"&lt;"&amp;DATE($B$3,11+1,1),업무일지!$D$5:$D$1004,"출장")&gt;0,1,0))</f>
        <v/>
      </c>
      <c r="AA127">
        <f>IF($O127="",0,IF(COUNTIFS(업무일지!$F$5:$F$1004,$O127,업무일지!$B$5:$B$1004,"&gt;="&amp;DATE($B$3,12,1),업무일지!$B$5:$B$1004,"&lt;"&amp;DATE($B$3,12+1,1),업무일지!$D$5:$D$1004,"출장")&gt;0,1,0))</f>
        <v/>
      </c>
      <c r="AB127">
        <f>IF($O127="",0,IF(COUNTIFS(업무일지!$F$5:$F$1004,$O127,업무일지!$B$5:$B$1004,"&gt;="&amp;DATE($B$3,1,1),업무일지!$B$5:$B$1004,"&lt;"&amp;DATE($B$3,1+1,1),업무일지!$D$5:$D$1004,"분석")&gt;0,1,0))</f>
        <v/>
      </c>
      <c r="AC127">
        <f>IF($O127="",0,IF(COUNTIFS(업무일지!$F$5:$F$1004,$O127,업무일지!$B$5:$B$1004,"&gt;="&amp;DATE($B$3,2,1),업무일지!$B$5:$B$1004,"&lt;"&amp;DATE($B$3,2+1,1),업무일지!$D$5:$D$1004,"분석")&gt;0,1,0))</f>
        <v/>
      </c>
      <c r="AD127">
        <f>IF($O127="",0,IF(COUNTIFS(업무일지!$F$5:$F$1004,$O127,업무일지!$B$5:$B$1004,"&gt;="&amp;DATE($B$3,3,1),업무일지!$B$5:$B$1004,"&lt;"&amp;DATE($B$3,3+1,1),업무일지!$D$5:$D$1004,"분석")&gt;0,1,0))</f>
        <v/>
      </c>
      <c r="AE127">
        <f>IF($O127="",0,IF(COUNTIFS(업무일지!$F$5:$F$1004,$O127,업무일지!$B$5:$B$1004,"&gt;="&amp;DATE($B$3,4,1),업무일지!$B$5:$B$1004,"&lt;"&amp;DATE($B$3,4+1,1),업무일지!$D$5:$D$1004,"분석")&gt;0,1,0))</f>
        <v/>
      </c>
      <c r="AF127">
        <f>IF($O127="",0,IF(COUNTIFS(업무일지!$F$5:$F$1004,$O127,업무일지!$B$5:$B$1004,"&gt;="&amp;DATE($B$3,5,1),업무일지!$B$5:$B$1004,"&lt;"&amp;DATE($B$3,5+1,1),업무일지!$D$5:$D$1004,"분석")&gt;0,1,0))</f>
        <v/>
      </c>
      <c r="AG127">
        <f>IF($O127="",0,IF(COUNTIFS(업무일지!$F$5:$F$1004,$O127,업무일지!$B$5:$B$1004,"&gt;="&amp;DATE($B$3,6,1),업무일지!$B$5:$B$1004,"&lt;"&amp;DATE($B$3,6+1,1),업무일지!$D$5:$D$1004,"분석")&gt;0,1,0))</f>
        <v/>
      </c>
      <c r="AH127">
        <f>IF($O127="",0,IF(COUNTIFS(업무일지!$F$5:$F$1004,$O127,업무일지!$B$5:$B$1004,"&gt;="&amp;DATE($B$3,7,1),업무일지!$B$5:$B$1004,"&lt;"&amp;DATE($B$3,7+1,1),업무일지!$D$5:$D$1004,"분석")&gt;0,1,0))</f>
        <v/>
      </c>
      <c r="AI127">
        <f>IF($O127="",0,IF(COUNTIFS(업무일지!$F$5:$F$1004,$O127,업무일지!$B$5:$B$1004,"&gt;="&amp;DATE($B$3,8,1),업무일지!$B$5:$B$1004,"&lt;"&amp;DATE($B$3,8+1,1),업무일지!$D$5:$D$1004,"분석")&gt;0,1,0))</f>
        <v/>
      </c>
      <c r="AJ127">
        <f>IF($O127="",0,IF(COUNTIFS(업무일지!$F$5:$F$1004,$O127,업무일지!$B$5:$B$1004,"&gt;="&amp;DATE($B$3,9,1),업무일지!$B$5:$B$1004,"&lt;"&amp;DATE($B$3,9+1,1),업무일지!$D$5:$D$1004,"분석")&gt;0,1,0))</f>
        <v/>
      </c>
      <c r="AK127">
        <f>IF($O127="",0,IF(COUNTIFS(업무일지!$F$5:$F$1004,$O127,업무일지!$B$5:$B$1004,"&gt;="&amp;DATE($B$3,10,1),업무일지!$B$5:$B$1004,"&lt;"&amp;DATE($B$3,10+1,1),업무일지!$D$5:$D$1004,"분석")&gt;0,1,0))</f>
        <v/>
      </c>
      <c r="AL127">
        <f>IF($O127="",0,IF(COUNTIFS(업무일지!$F$5:$F$1004,$O127,업무일지!$B$5:$B$1004,"&gt;="&amp;DATE($B$3,11,1),업무일지!$B$5:$B$1004,"&lt;"&amp;DATE($B$3,11+1,1),업무일지!$D$5:$D$1004,"분석")&gt;0,1,0))</f>
        <v/>
      </c>
      <c r="AM127">
        <f>IF($O127="",0,IF(COUNTIFS(업무일지!$F$5:$F$1004,$O127,업무일지!$B$5:$B$1004,"&gt;="&amp;DATE($B$3,12,1),업무일지!$B$5:$B$1004,"&lt;"&amp;DATE($B$3,12+1,1),업무일지!$D$5:$D$1004,"분석")&gt;0,1,0))</f>
        <v/>
      </c>
      <c r="AN127">
        <f>IF($O127="",0,IF(COUNTIFS(업무일지!$F$5:$F$1004,$O127,업무일지!$B$5:$B$1004,"&gt;="&amp;DATE($B$3,1,1),업무일지!$B$5:$B$1004,"&lt;"&amp;DATE($B$3,1+1,1))&gt;0,1,0))</f>
        <v/>
      </c>
      <c r="AO127">
        <f>IF($O127="",0,IF(COUNTIFS(업무일지!$F$5:$F$1004,$O127,업무일지!$B$5:$B$1004,"&gt;="&amp;DATE($B$3,2,1),업무일지!$B$5:$B$1004,"&lt;"&amp;DATE($B$3,2+1,1))&gt;0,1,0))</f>
        <v/>
      </c>
      <c r="AP127">
        <f>IF($O127="",0,IF(COUNTIFS(업무일지!$F$5:$F$1004,$O127,업무일지!$B$5:$B$1004,"&gt;="&amp;DATE($B$3,3,1),업무일지!$B$5:$B$1004,"&lt;"&amp;DATE($B$3,3+1,1))&gt;0,1,0))</f>
        <v/>
      </c>
      <c r="AQ127">
        <f>IF($O127="",0,IF(COUNTIFS(업무일지!$F$5:$F$1004,$O127,업무일지!$B$5:$B$1004,"&gt;="&amp;DATE($B$3,4,1),업무일지!$B$5:$B$1004,"&lt;"&amp;DATE($B$3,4+1,1))&gt;0,1,0))</f>
        <v/>
      </c>
      <c r="AR127">
        <f>IF($O127="",0,IF(COUNTIFS(업무일지!$F$5:$F$1004,$O127,업무일지!$B$5:$B$1004,"&gt;="&amp;DATE($B$3,5,1),업무일지!$B$5:$B$1004,"&lt;"&amp;DATE($B$3,5+1,1))&gt;0,1,0))</f>
        <v/>
      </c>
      <c r="AS127">
        <f>IF($O127="",0,IF(COUNTIFS(업무일지!$F$5:$F$1004,$O127,업무일지!$B$5:$B$1004,"&gt;="&amp;DATE($B$3,6,1),업무일지!$B$5:$B$1004,"&lt;"&amp;DATE($B$3,6+1,1))&gt;0,1,0))</f>
        <v/>
      </c>
      <c r="AT127">
        <f>IF($O127="",0,IF(COUNTIFS(업무일지!$F$5:$F$1004,$O127,업무일지!$B$5:$B$1004,"&gt;="&amp;DATE($B$3,7,1),업무일지!$B$5:$B$1004,"&lt;"&amp;DATE($B$3,7+1,1))&gt;0,1,0))</f>
        <v/>
      </c>
      <c r="AU127">
        <f>IF($O127="",0,IF(COUNTIFS(업무일지!$F$5:$F$1004,$O127,업무일지!$B$5:$B$1004,"&gt;="&amp;DATE($B$3,8,1),업무일지!$B$5:$B$1004,"&lt;"&amp;DATE($B$3,8+1,1))&gt;0,1,0))</f>
        <v/>
      </c>
      <c r="AV127">
        <f>IF($O127="",0,IF(COUNTIFS(업무일지!$F$5:$F$1004,$O127,업무일지!$B$5:$B$1004,"&gt;="&amp;DATE($B$3,9,1),업무일지!$B$5:$B$1004,"&lt;"&amp;DATE($B$3,9+1,1))&gt;0,1,0))</f>
        <v/>
      </c>
      <c r="AW127">
        <f>IF($O127="",0,IF(COUNTIFS(업무일지!$F$5:$F$1004,$O127,업무일지!$B$5:$B$1004,"&gt;="&amp;DATE($B$3,10,1),업무일지!$B$5:$B$1004,"&lt;"&amp;DATE($B$3,10+1,1))&gt;0,1,0))</f>
        <v/>
      </c>
      <c r="AX127">
        <f>IF($O127="",0,IF(COUNTIFS(업무일지!$F$5:$F$1004,$O127,업무일지!$B$5:$B$1004,"&gt;="&amp;DATE($B$3,11,1),업무일지!$B$5:$B$1004,"&lt;"&amp;DATE($B$3,11+1,1))&gt;0,1,0))</f>
        <v/>
      </c>
      <c r="AY127">
        <f>IF($O127="",0,IF(COUNTIFS(업무일지!$F$5:$F$1004,$O127,업무일지!$B$5:$B$1004,"&gt;="&amp;DATE($B$3,12,1),업무일지!$B$5:$B$1004,"&lt;"&amp;DATE($B$3,12+1,1))&gt;0,1,0))</f>
        <v/>
      </c>
      <c r="AZ127">
        <f>IF($O127="",0,IF(COUNTIFS(업무일지!$F$5:$F$1004,$O127,업무일지!$B$5:$B$1004,"&gt;="&amp;DATE($B$3,1,1),업무일지!$B$5:$B$1004,"&lt;"&amp;DATE($B$3+1,1,1),업무일지!$D$5:$D$1004,"출장")&gt;0,1,0))</f>
        <v/>
      </c>
      <c r="BA127">
        <f>IF($O127="",0,IF(COUNTIFS(업무일지!$F$5:$F$1004,$O127,업무일지!$B$5:$B$1004,"&gt;="&amp;DATE($B$3,1,1),업무일지!$B$5:$B$1004,"&lt;"&amp;DATE($B$3+1,1,1),업무일지!$D$5:$D$1004,"분석")&gt;0,1,0))</f>
        <v/>
      </c>
      <c r="BB127">
        <f>IF($O127="",0,IF(COUNTIFS(업무일지!$F$5:$F$1004,$O127,업무일지!$B$5:$B$1004,"&gt;="&amp;DATE($B$3,1,1),업무일지!$B$5:$B$1004,"&lt;"&amp;DATE($B$3+1,1,1))&gt;0,1,0))</f>
        <v/>
      </c>
    </row>
    <row r="128">
      <c r="O128">
        <f>IF(사건마스터!$A48="","",사건마스터!$A48)</f>
        <v/>
      </c>
      <c r="P128">
        <f>IF($O128="",0,IF(COUNTIFS(업무일지!$F$5:$F$1004,$O128,업무일지!$B$5:$B$1004,"&gt;="&amp;DATE($B$3,1,1),업무일지!$B$5:$B$1004,"&lt;"&amp;DATE($B$3,1+1,1),업무일지!$D$5:$D$1004,"출장")&gt;0,1,0))</f>
        <v/>
      </c>
      <c r="Q128">
        <f>IF($O128="",0,IF(COUNTIFS(업무일지!$F$5:$F$1004,$O128,업무일지!$B$5:$B$1004,"&gt;="&amp;DATE($B$3,2,1),업무일지!$B$5:$B$1004,"&lt;"&amp;DATE($B$3,2+1,1),업무일지!$D$5:$D$1004,"출장")&gt;0,1,0))</f>
        <v/>
      </c>
      <c r="R128">
        <f>IF($O128="",0,IF(COUNTIFS(업무일지!$F$5:$F$1004,$O128,업무일지!$B$5:$B$1004,"&gt;="&amp;DATE($B$3,3,1),업무일지!$B$5:$B$1004,"&lt;"&amp;DATE($B$3,3+1,1),업무일지!$D$5:$D$1004,"출장")&gt;0,1,0))</f>
        <v/>
      </c>
      <c r="S128">
        <f>IF($O128="",0,IF(COUNTIFS(업무일지!$F$5:$F$1004,$O128,업무일지!$B$5:$B$1004,"&gt;="&amp;DATE($B$3,4,1),업무일지!$B$5:$B$1004,"&lt;"&amp;DATE($B$3,4+1,1),업무일지!$D$5:$D$1004,"출장")&gt;0,1,0))</f>
        <v/>
      </c>
      <c r="T128">
        <f>IF($O128="",0,IF(COUNTIFS(업무일지!$F$5:$F$1004,$O128,업무일지!$B$5:$B$1004,"&gt;="&amp;DATE($B$3,5,1),업무일지!$B$5:$B$1004,"&lt;"&amp;DATE($B$3,5+1,1),업무일지!$D$5:$D$1004,"출장")&gt;0,1,0))</f>
        <v/>
      </c>
      <c r="U128">
        <f>IF($O128="",0,IF(COUNTIFS(업무일지!$F$5:$F$1004,$O128,업무일지!$B$5:$B$1004,"&gt;="&amp;DATE($B$3,6,1),업무일지!$B$5:$B$1004,"&lt;"&amp;DATE($B$3,6+1,1),업무일지!$D$5:$D$1004,"출장")&gt;0,1,0))</f>
        <v/>
      </c>
      <c r="V128">
        <f>IF($O128="",0,IF(COUNTIFS(업무일지!$F$5:$F$1004,$O128,업무일지!$B$5:$B$1004,"&gt;="&amp;DATE($B$3,7,1),업무일지!$B$5:$B$1004,"&lt;"&amp;DATE($B$3,7+1,1),업무일지!$D$5:$D$1004,"출장")&gt;0,1,0))</f>
        <v/>
      </c>
      <c r="W128">
        <f>IF($O128="",0,IF(COUNTIFS(업무일지!$F$5:$F$1004,$O128,업무일지!$B$5:$B$1004,"&gt;="&amp;DATE($B$3,8,1),업무일지!$B$5:$B$1004,"&lt;"&amp;DATE($B$3,8+1,1),업무일지!$D$5:$D$1004,"출장")&gt;0,1,0))</f>
        <v/>
      </c>
      <c r="X128">
        <f>IF($O128="",0,IF(COUNTIFS(업무일지!$F$5:$F$1004,$O128,업무일지!$B$5:$B$1004,"&gt;="&amp;DATE($B$3,9,1),업무일지!$B$5:$B$1004,"&lt;"&amp;DATE($B$3,9+1,1),업무일지!$D$5:$D$1004,"출장")&gt;0,1,0))</f>
        <v/>
      </c>
      <c r="Y128">
        <f>IF($O128="",0,IF(COUNTIFS(업무일지!$F$5:$F$1004,$O128,업무일지!$B$5:$B$1004,"&gt;="&amp;DATE($B$3,10,1),업무일지!$B$5:$B$1004,"&lt;"&amp;DATE($B$3,10+1,1),업무일지!$D$5:$D$1004,"출장")&gt;0,1,0))</f>
        <v/>
      </c>
      <c r="Z128">
        <f>IF($O128="",0,IF(COUNTIFS(업무일지!$F$5:$F$1004,$O128,업무일지!$B$5:$B$1004,"&gt;="&amp;DATE($B$3,11,1),업무일지!$B$5:$B$1004,"&lt;"&amp;DATE($B$3,11+1,1),업무일지!$D$5:$D$1004,"출장")&gt;0,1,0))</f>
        <v/>
      </c>
      <c r="AA128">
        <f>IF($O128="",0,IF(COUNTIFS(업무일지!$F$5:$F$1004,$O128,업무일지!$B$5:$B$1004,"&gt;="&amp;DATE($B$3,12,1),업무일지!$B$5:$B$1004,"&lt;"&amp;DATE($B$3,12+1,1),업무일지!$D$5:$D$1004,"출장")&gt;0,1,0))</f>
        <v/>
      </c>
      <c r="AB128">
        <f>IF($O128="",0,IF(COUNTIFS(업무일지!$F$5:$F$1004,$O128,업무일지!$B$5:$B$1004,"&gt;="&amp;DATE($B$3,1,1),업무일지!$B$5:$B$1004,"&lt;"&amp;DATE($B$3,1+1,1),업무일지!$D$5:$D$1004,"분석")&gt;0,1,0))</f>
        <v/>
      </c>
      <c r="AC128">
        <f>IF($O128="",0,IF(COUNTIFS(업무일지!$F$5:$F$1004,$O128,업무일지!$B$5:$B$1004,"&gt;="&amp;DATE($B$3,2,1),업무일지!$B$5:$B$1004,"&lt;"&amp;DATE($B$3,2+1,1),업무일지!$D$5:$D$1004,"분석")&gt;0,1,0))</f>
        <v/>
      </c>
      <c r="AD128">
        <f>IF($O128="",0,IF(COUNTIFS(업무일지!$F$5:$F$1004,$O128,업무일지!$B$5:$B$1004,"&gt;="&amp;DATE($B$3,3,1),업무일지!$B$5:$B$1004,"&lt;"&amp;DATE($B$3,3+1,1),업무일지!$D$5:$D$1004,"분석")&gt;0,1,0))</f>
        <v/>
      </c>
      <c r="AE128">
        <f>IF($O128="",0,IF(COUNTIFS(업무일지!$F$5:$F$1004,$O128,업무일지!$B$5:$B$1004,"&gt;="&amp;DATE($B$3,4,1),업무일지!$B$5:$B$1004,"&lt;"&amp;DATE($B$3,4+1,1),업무일지!$D$5:$D$1004,"분석")&gt;0,1,0))</f>
        <v/>
      </c>
      <c r="AF128">
        <f>IF($O128="",0,IF(COUNTIFS(업무일지!$F$5:$F$1004,$O128,업무일지!$B$5:$B$1004,"&gt;="&amp;DATE($B$3,5,1),업무일지!$B$5:$B$1004,"&lt;"&amp;DATE($B$3,5+1,1),업무일지!$D$5:$D$1004,"분석")&gt;0,1,0))</f>
        <v/>
      </c>
      <c r="AG128">
        <f>IF($O128="",0,IF(COUNTIFS(업무일지!$F$5:$F$1004,$O128,업무일지!$B$5:$B$1004,"&gt;="&amp;DATE($B$3,6,1),업무일지!$B$5:$B$1004,"&lt;"&amp;DATE($B$3,6+1,1),업무일지!$D$5:$D$1004,"분석")&gt;0,1,0))</f>
        <v/>
      </c>
      <c r="AH128">
        <f>IF($O128="",0,IF(COUNTIFS(업무일지!$F$5:$F$1004,$O128,업무일지!$B$5:$B$1004,"&gt;="&amp;DATE($B$3,7,1),업무일지!$B$5:$B$1004,"&lt;"&amp;DATE($B$3,7+1,1),업무일지!$D$5:$D$1004,"분석")&gt;0,1,0))</f>
        <v/>
      </c>
      <c r="AI128">
        <f>IF($O128="",0,IF(COUNTIFS(업무일지!$F$5:$F$1004,$O128,업무일지!$B$5:$B$1004,"&gt;="&amp;DATE($B$3,8,1),업무일지!$B$5:$B$1004,"&lt;"&amp;DATE($B$3,8+1,1),업무일지!$D$5:$D$1004,"분석")&gt;0,1,0))</f>
        <v/>
      </c>
      <c r="AJ128">
        <f>IF($O128="",0,IF(COUNTIFS(업무일지!$F$5:$F$1004,$O128,업무일지!$B$5:$B$1004,"&gt;="&amp;DATE($B$3,9,1),업무일지!$B$5:$B$1004,"&lt;"&amp;DATE($B$3,9+1,1),업무일지!$D$5:$D$1004,"분석")&gt;0,1,0))</f>
        <v/>
      </c>
      <c r="AK128">
        <f>IF($O128="",0,IF(COUNTIFS(업무일지!$F$5:$F$1004,$O128,업무일지!$B$5:$B$1004,"&gt;="&amp;DATE($B$3,10,1),업무일지!$B$5:$B$1004,"&lt;"&amp;DATE($B$3,10+1,1),업무일지!$D$5:$D$1004,"분석")&gt;0,1,0))</f>
        <v/>
      </c>
      <c r="AL128">
        <f>IF($O128="",0,IF(COUNTIFS(업무일지!$F$5:$F$1004,$O128,업무일지!$B$5:$B$1004,"&gt;="&amp;DATE($B$3,11,1),업무일지!$B$5:$B$1004,"&lt;"&amp;DATE($B$3,11+1,1),업무일지!$D$5:$D$1004,"분석")&gt;0,1,0))</f>
        <v/>
      </c>
      <c r="AM128">
        <f>IF($O128="",0,IF(COUNTIFS(업무일지!$F$5:$F$1004,$O128,업무일지!$B$5:$B$1004,"&gt;="&amp;DATE($B$3,12,1),업무일지!$B$5:$B$1004,"&lt;"&amp;DATE($B$3,12+1,1),업무일지!$D$5:$D$1004,"분석")&gt;0,1,0))</f>
        <v/>
      </c>
      <c r="AN128">
        <f>IF($O128="",0,IF(COUNTIFS(업무일지!$F$5:$F$1004,$O128,업무일지!$B$5:$B$1004,"&gt;="&amp;DATE($B$3,1,1),업무일지!$B$5:$B$1004,"&lt;"&amp;DATE($B$3,1+1,1))&gt;0,1,0))</f>
        <v/>
      </c>
      <c r="AO128">
        <f>IF($O128="",0,IF(COUNTIFS(업무일지!$F$5:$F$1004,$O128,업무일지!$B$5:$B$1004,"&gt;="&amp;DATE($B$3,2,1),업무일지!$B$5:$B$1004,"&lt;"&amp;DATE($B$3,2+1,1))&gt;0,1,0))</f>
        <v/>
      </c>
      <c r="AP128">
        <f>IF($O128="",0,IF(COUNTIFS(업무일지!$F$5:$F$1004,$O128,업무일지!$B$5:$B$1004,"&gt;="&amp;DATE($B$3,3,1),업무일지!$B$5:$B$1004,"&lt;"&amp;DATE($B$3,3+1,1))&gt;0,1,0))</f>
        <v/>
      </c>
      <c r="AQ128">
        <f>IF($O128="",0,IF(COUNTIFS(업무일지!$F$5:$F$1004,$O128,업무일지!$B$5:$B$1004,"&gt;="&amp;DATE($B$3,4,1),업무일지!$B$5:$B$1004,"&lt;"&amp;DATE($B$3,4+1,1))&gt;0,1,0))</f>
        <v/>
      </c>
      <c r="AR128">
        <f>IF($O128="",0,IF(COUNTIFS(업무일지!$F$5:$F$1004,$O128,업무일지!$B$5:$B$1004,"&gt;="&amp;DATE($B$3,5,1),업무일지!$B$5:$B$1004,"&lt;"&amp;DATE($B$3,5+1,1))&gt;0,1,0))</f>
        <v/>
      </c>
      <c r="AS128">
        <f>IF($O128="",0,IF(COUNTIFS(업무일지!$F$5:$F$1004,$O128,업무일지!$B$5:$B$1004,"&gt;="&amp;DATE($B$3,6,1),업무일지!$B$5:$B$1004,"&lt;"&amp;DATE($B$3,6+1,1))&gt;0,1,0))</f>
        <v/>
      </c>
      <c r="AT128">
        <f>IF($O128="",0,IF(COUNTIFS(업무일지!$F$5:$F$1004,$O128,업무일지!$B$5:$B$1004,"&gt;="&amp;DATE($B$3,7,1),업무일지!$B$5:$B$1004,"&lt;"&amp;DATE($B$3,7+1,1))&gt;0,1,0))</f>
        <v/>
      </c>
      <c r="AU128">
        <f>IF($O128="",0,IF(COUNTIFS(업무일지!$F$5:$F$1004,$O128,업무일지!$B$5:$B$1004,"&gt;="&amp;DATE($B$3,8,1),업무일지!$B$5:$B$1004,"&lt;"&amp;DATE($B$3,8+1,1))&gt;0,1,0))</f>
        <v/>
      </c>
      <c r="AV128">
        <f>IF($O128="",0,IF(COUNTIFS(업무일지!$F$5:$F$1004,$O128,업무일지!$B$5:$B$1004,"&gt;="&amp;DATE($B$3,9,1),업무일지!$B$5:$B$1004,"&lt;"&amp;DATE($B$3,9+1,1))&gt;0,1,0))</f>
        <v/>
      </c>
      <c r="AW128">
        <f>IF($O128="",0,IF(COUNTIFS(업무일지!$F$5:$F$1004,$O128,업무일지!$B$5:$B$1004,"&gt;="&amp;DATE($B$3,10,1),업무일지!$B$5:$B$1004,"&lt;"&amp;DATE($B$3,10+1,1))&gt;0,1,0))</f>
        <v/>
      </c>
      <c r="AX128">
        <f>IF($O128="",0,IF(COUNTIFS(업무일지!$F$5:$F$1004,$O128,업무일지!$B$5:$B$1004,"&gt;="&amp;DATE($B$3,11,1),업무일지!$B$5:$B$1004,"&lt;"&amp;DATE($B$3,11+1,1))&gt;0,1,0))</f>
        <v/>
      </c>
      <c r="AY128">
        <f>IF($O128="",0,IF(COUNTIFS(업무일지!$F$5:$F$1004,$O128,업무일지!$B$5:$B$1004,"&gt;="&amp;DATE($B$3,12,1),업무일지!$B$5:$B$1004,"&lt;"&amp;DATE($B$3,12+1,1))&gt;0,1,0))</f>
        <v/>
      </c>
      <c r="AZ128">
        <f>IF($O128="",0,IF(COUNTIFS(업무일지!$F$5:$F$1004,$O128,업무일지!$B$5:$B$1004,"&gt;="&amp;DATE($B$3,1,1),업무일지!$B$5:$B$1004,"&lt;"&amp;DATE($B$3+1,1,1),업무일지!$D$5:$D$1004,"출장")&gt;0,1,0))</f>
        <v/>
      </c>
      <c r="BA128">
        <f>IF($O128="",0,IF(COUNTIFS(업무일지!$F$5:$F$1004,$O128,업무일지!$B$5:$B$1004,"&gt;="&amp;DATE($B$3,1,1),업무일지!$B$5:$B$1004,"&lt;"&amp;DATE($B$3+1,1,1),업무일지!$D$5:$D$1004,"분석")&gt;0,1,0))</f>
        <v/>
      </c>
      <c r="BB128">
        <f>IF($O128="",0,IF(COUNTIFS(업무일지!$F$5:$F$1004,$O128,업무일지!$B$5:$B$1004,"&gt;="&amp;DATE($B$3,1,1),업무일지!$B$5:$B$1004,"&lt;"&amp;DATE($B$3+1,1,1))&gt;0,1,0))</f>
        <v/>
      </c>
    </row>
    <row r="129">
      <c r="O129">
        <f>IF(사건마스터!$A49="","",사건마스터!$A49)</f>
        <v/>
      </c>
      <c r="P129">
        <f>IF($O129="",0,IF(COUNTIFS(업무일지!$F$5:$F$1004,$O129,업무일지!$B$5:$B$1004,"&gt;="&amp;DATE($B$3,1,1),업무일지!$B$5:$B$1004,"&lt;"&amp;DATE($B$3,1+1,1),업무일지!$D$5:$D$1004,"출장")&gt;0,1,0))</f>
        <v/>
      </c>
      <c r="Q129">
        <f>IF($O129="",0,IF(COUNTIFS(업무일지!$F$5:$F$1004,$O129,업무일지!$B$5:$B$1004,"&gt;="&amp;DATE($B$3,2,1),업무일지!$B$5:$B$1004,"&lt;"&amp;DATE($B$3,2+1,1),업무일지!$D$5:$D$1004,"출장")&gt;0,1,0))</f>
        <v/>
      </c>
      <c r="R129">
        <f>IF($O129="",0,IF(COUNTIFS(업무일지!$F$5:$F$1004,$O129,업무일지!$B$5:$B$1004,"&gt;="&amp;DATE($B$3,3,1),업무일지!$B$5:$B$1004,"&lt;"&amp;DATE($B$3,3+1,1),업무일지!$D$5:$D$1004,"출장")&gt;0,1,0))</f>
        <v/>
      </c>
      <c r="S129">
        <f>IF($O129="",0,IF(COUNTIFS(업무일지!$F$5:$F$1004,$O129,업무일지!$B$5:$B$1004,"&gt;="&amp;DATE($B$3,4,1),업무일지!$B$5:$B$1004,"&lt;"&amp;DATE($B$3,4+1,1),업무일지!$D$5:$D$1004,"출장")&gt;0,1,0))</f>
        <v/>
      </c>
      <c r="T129">
        <f>IF($O129="",0,IF(COUNTIFS(업무일지!$F$5:$F$1004,$O129,업무일지!$B$5:$B$1004,"&gt;="&amp;DATE($B$3,5,1),업무일지!$B$5:$B$1004,"&lt;"&amp;DATE($B$3,5+1,1),업무일지!$D$5:$D$1004,"출장")&gt;0,1,0))</f>
        <v/>
      </c>
      <c r="U129">
        <f>IF($O129="",0,IF(COUNTIFS(업무일지!$F$5:$F$1004,$O129,업무일지!$B$5:$B$1004,"&gt;="&amp;DATE($B$3,6,1),업무일지!$B$5:$B$1004,"&lt;"&amp;DATE($B$3,6+1,1),업무일지!$D$5:$D$1004,"출장")&gt;0,1,0))</f>
        <v/>
      </c>
      <c r="V129">
        <f>IF($O129="",0,IF(COUNTIFS(업무일지!$F$5:$F$1004,$O129,업무일지!$B$5:$B$1004,"&gt;="&amp;DATE($B$3,7,1),업무일지!$B$5:$B$1004,"&lt;"&amp;DATE($B$3,7+1,1),업무일지!$D$5:$D$1004,"출장")&gt;0,1,0))</f>
        <v/>
      </c>
      <c r="W129">
        <f>IF($O129="",0,IF(COUNTIFS(업무일지!$F$5:$F$1004,$O129,업무일지!$B$5:$B$1004,"&gt;="&amp;DATE($B$3,8,1),업무일지!$B$5:$B$1004,"&lt;"&amp;DATE($B$3,8+1,1),업무일지!$D$5:$D$1004,"출장")&gt;0,1,0))</f>
        <v/>
      </c>
      <c r="X129">
        <f>IF($O129="",0,IF(COUNTIFS(업무일지!$F$5:$F$1004,$O129,업무일지!$B$5:$B$1004,"&gt;="&amp;DATE($B$3,9,1),업무일지!$B$5:$B$1004,"&lt;"&amp;DATE($B$3,9+1,1),업무일지!$D$5:$D$1004,"출장")&gt;0,1,0))</f>
        <v/>
      </c>
      <c r="Y129">
        <f>IF($O129="",0,IF(COUNTIFS(업무일지!$F$5:$F$1004,$O129,업무일지!$B$5:$B$1004,"&gt;="&amp;DATE($B$3,10,1),업무일지!$B$5:$B$1004,"&lt;"&amp;DATE($B$3,10+1,1),업무일지!$D$5:$D$1004,"출장")&gt;0,1,0))</f>
        <v/>
      </c>
      <c r="Z129">
        <f>IF($O129="",0,IF(COUNTIFS(업무일지!$F$5:$F$1004,$O129,업무일지!$B$5:$B$1004,"&gt;="&amp;DATE($B$3,11,1),업무일지!$B$5:$B$1004,"&lt;"&amp;DATE($B$3,11+1,1),업무일지!$D$5:$D$1004,"출장")&gt;0,1,0))</f>
        <v/>
      </c>
      <c r="AA129">
        <f>IF($O129="",0,IF(COUNTIFS(업무일지!$F$5:$F$1004,$O129,업무일지!$B$5:$B$1004,"&gt;="&amp;DATE($B$3,12,1),업무일지!$B$5:$B$1004,"&lt;"&amp;DATE($B$3,12+1,1),업무일지!$D$5:$D$1004,"출장")&gt;0,1,0))</f>
        <v/>
      </c>
      <c r="AB129">
        <f>IF($O129="",0,IF(COUNTIFS(업무일지!$F$5:$F$1004,$O129,업무일지!$B$5:$B$1004,"&gt;="&amp;DATE($B$3,1,1),업무일지!$B$5:$B$1004,"&lt;"&amp;DATE($B$3,1+1,1),업무일지!$D$5:$D$1004,"분석")&gt;0,1,0))</f>
        <v/>
      </c>
      <c r="AC129">
        <f>IF($O129="",0,IF(COUNTIFS(업무일지!$F$5:$F$1004,$O129,업무일지!$B$5:$B$1004,"&gt;="&amp;DATE($B$3,2,1),업무일지!$B$5:$B$1004,"&lt;"&amp;DATE($B$3,2+1,1),업무일지!$D$5:$D$1004,"분석")&gt;0,1,0))</f>
        <v/>
      </c>
      <c r="AD129">
        <f>IF($O129="",0,IF(COUNTIFS(업무일지!$F$5:$F$1004,$O129,업무일지!$B$5:$B$1004,"&gt;="&amp;DATE($B$3,3,1),업무일지!$B$5:$B$1004,"&lt;"&amp;DATE($B$3,3+1,1),업무일지!$D$5:$D$1004,"분석")&gt;0,1,0))</f>
        <v/>
      </c>
      <c r="AE129">
        <f>IF($O129="",0,IF(COUNTIFS(업무일지!$F$5:$F$1004,$O129,업무일지!$B$5:$B$1004,"&gt;="&amp;DATE($B$3,4,1),업무일지!$B$5:$B$1004,"&lt;"&amp;DATE($B$3,4+1,1),업무일지!$D$5:$D$1004,"분석")&gt;0,1,0))</f>
        <v/>
      </c>
      <c r="AF129">
        <f>IF($O129="",0,IF(COUNTIFS(업무일지!$F$5:$F$1004,$O129,업무일지!$B$5:$B$1004,"&gt;="&amp;DATE($B$3,5,1),업무일지!$B$5:$B$1004,"&lt;"&amp;DATE($B$3,5+1,1),업무일지!$D$5:$D$1004,"분석")&gt;0,1,0))</f>
        <v/>
      </c>
      <c r="AG129">
        <f>IF($O129="",0,IF(COUNTIFS(업무일지!$F$5:$F$1004,$O129,업무일지!$B$5:$B$1004,"&gt;="&amp;DATE($B$3,6,1),업무일지!$B$5:$B$1004,"&lt;"&amp;DATE($B$3,6+1,1),업무일지!$D$5:$D$1004,"분석")&gt;0,1,0))</f>
        <v/>
      </c>
      <c r="AH129">
        <f>IF($O129="",0,IF(COUNTIFS(업무일지!$F$5:$F$1004,$O129,업무일지!$B$5:$B$1004,"&gt;="&amp;DATE($B$3,7,1),업무일지!$B$5:$B$1004,"&lt;"&amp;DATE($B$3,7+1,1),업무일지!$D$5:$D$1004,"분석")&gt;0,1,0))</f>
        <v/>
      </c>
      <c r="AI129">
        <f>IF($O129="",0,IF(COUNTIFS(업무일지!$F$5:$F$1004,$O129,업무일지!$B$5:$B$1004,"&gt;="&amp;DATE($B$3,8,1),업무일지!$B$5:$B$1004,"&lt;"&amp;DATE($B$3,8+1,1),업무일지!$D$5:$D$1004,"분석")&gt;0,1,0))</f>
        <v/>
      </c>
      <c r="AJ129">
        <f>IF($O129="",0,IF(COUNTIFS(업무일지!$F$5:$F$1004,$O129,업무일지!$B$5:$B$1004,"&gt;="&amp;DATE($B$3,9,1),업무일지!$B$5:$B$1004,"&lt;"&amp;DATE($B$3,9+1,1),업무일지!$D$5:$D$1004,"분석")&gt;0,1,0))</f>
        <v/>
      </c>
      <c r="AK129">
        <f>IF($O129="",0,IF(COUNTIFS(업무일지!$F$5:$F$1004,$O129,업무일지!$B$5:$B$1004,"&gt;="&amp;DATE($B$3,10,1),업무일지!$B$5:$B$1004,"&lt;"&amp;DATE($B$3,10+1,1),업무일지!$D$5:$D$1004,"분석")&gt;0,1,0))</f>
        <v/>
      </c>
      <c r="AL129">
        <f>IF($O129="",0,IF(COUNTIFS(업무일지!$F$5:$F$1004,$O129,업무일지!$B$5:$B$1004,"&gt;="&amp;DATE($B$3,11,1),업무일지!$B$5:$B$1004,"&lt;"&amp;DATE($B$3,11+1,1),업무일지!$D$5:$D$1004,"분석")&gt;0,1,0))</f>
        <v/>
      </c>
      <c r="AM129">
        <f>IF($O129="",0,IF(COUNTIFS(업무일지!$F$5:$F$1004,$O129,업무일지!$B$5:$B$1004,"&gt;="&amp;DATE($B$3,12,1),업무일지!$B$5:$B$1004,"&lt;"&amp;DATE($B$3,12+1,1),업무일지!$D$5:$D$1004,"분석")&gt;0,1,0))</f>
        <v/>
      </c>
      <c r="AN129">
        <f>IF($O129="",0,IF(COUNTIFS(업무일지!$F$5:$F$1004,$O129,업무일지!$B$5:$B$1004,"&gt;="&amp;DATE($B$3,1,1),업무일지!$B$5:$B$1004,"&lt;"&amp;DATE($B$3,1+1,1))&gt;0,1,0))</f>
        <v/>
      </c>
      <c r="AO129">
        <f>IF($O129="",0,IF(COUNTIFS(업무일지!$F$5:$F$1004,$O129,업무일지!$B$5:$B$1004,"&gt;="&amp;DATE($B$3,2,1),업무일지!$B$5:$B$1004,"&lt;"&amp;DATE($B$3,2+1,1))&gt;0,1,0))</f>
        <v/>
      </c>
      <c r="AP129">
        <f>IF($O129="",0,IF(COUNTIFS(업무일지!$F$5:$F$1004,$O129,업무일지!$B$5:$B$1004,"&gt;="&amp;DATE($B$3,3,1),업무일지!$B$5:$B$1004,"&lt;"&amp;DATE($B$3,3+1,1))&gt;0,1,0))</f>
        <v/>
      </c>
      <c r="AQ129">
        <f>IF($O129="",0,IF(COUNTIFS(업무일지!$F$5:$F$1004,$O129,업무일지!$B$5:$B$1004,"&gt;="&amp;DATE($B$3,4,1),업무일지!$B$5:$B$1004,"&lt;"&amp;DATE($B$3,4+1,1))&gt;0,1,0))</f>
        <v/>
      </c>
      <c r="AR129">
        <f>IF($O129="",0,IF(COUNTIFS(업무일지!$F$5:$F$1004,$O129,업무일지!$B$5:$B$1004,"&gt;="&amp;DATE($B$3,5,1),업무일지!$B$5:$B$1004,"&lt;"&amp;DATE($B$3,5+1,1))&gt;0,1,0))</f>
        <v/>
      </c>
      <c r="AS129">
        <f>IF($O129="",0,IF(COUNTIFS(업무일지!$F$5:$F$1004,$O129,업무일지!$B$5:$B$1004,"&gt;="&amp;DATE($B$3,6,1),업무일지!$B$5:$B$1004,"&lt;"&amp;DATE($B$3,6+1,1))&gt;0,1,0))</f>
        <v/>
      </c>
      <c r="AT129">
        <f>IF($O129="",0,IF(COUNTIFS(업무일지!$F$5:$F$1004,$O129,업무일지!$B$5:$B$1004,"&gt;="&amp;DATE($B$3,7,1),업무일지!$B$5:$B$1004,"&lt;"&amp;DATE($B$3,7+1,1))&gt;0,1,0))</f>
        <v/>
      </c>
      <c r="AU129">
        <f>IF($O129="",0,IF(COUNTIFS(업무일지!$F$5:$F$1004,$O129,업무일지!$B$5:$B$1004,"&gt;="&amp;DATE($B$3,8,1),업무일지!$B$5:$B$1004,"&lt;"&amp;DATE($B$3,8+1,1))&gt;0,1,0))</f>
        <v/>
      </c>
      <c r="AV129">
        <f>IF($O129="",0,IF(COUNTIFS(업무일지!$F$5:$F$1004,$O129,업무일지!$B$5:$B$1004,"&gt;="&amp;DATE($B$3,9,1),업무일지!$B$5:$B$1004,"&lt;"&amp;DATE($B$3,9+1,1))&gt;0,1,0))</f>
        <v/>
      </c>
      <c r="AW129">
        <f>IF($O129="",0,IF(COUNTIFS(업무일지!$F$5:$F$1004,$O129,업무일지!$B$5:$B$1004,"&gt;="&amp;DATE($B$3,10,1),업무일지!$B$5:$B$1004,"&lt;"&amp;DATE($B$3,10+1,1))&gt;0,1,0))</f>
        <v/>
      </c>
      <c r="AX129">
        <f>IF($O129="",0,IF(COUNTIFS(업무일지!$F$5:$F$1004,$O129,업무일지!$B$5:$B$1004,"&gt;="&amp;DATE($B$3,11,1),업무일지!$B$5:$B$1004,"&lt;"&amp;DATE($B$3,11+1,1))&gt;0,1,0))</f>
        <v/>
      </c>
      <c r="AY129">
        <f>IF($O129="",0,IF(COUNTIFS(업무일지!$F$5:$F$1004,$O129,업무일지!$B$5:$B$1004,"&gt;="&amp;DATE($B$3,12,1),업무일지!$B$5:$B$1004,"&lt;"&amp;DATE($B$3,12+1,1))&gt;0,1,0))</f>
        <v/>
      </c>
      <c r="AZ129">
        <f>IF($O129="",0,IF(COUNTIFS(업무일지!$F$5:$F$1004,$O129,업무일지!$B$5:$B$1004,"&gt;="&amp;DATE($B$3,1,1),업무일지!$B$5:$B$1004,"&lt;"&amp;DATE($B$3+1,1,1),업무일지!$D$5:$D$1004,"출장")&gt;0,1,0))</f>
        <v/>
      </c>
      <c r="BA129">
        <f>IF($O129="",0,IF(COUNTIFS(업무일지!$F$5:$F$1004,$O129,업무일지!$B$5:$B$1004,"&gt;="&amp;DATE($B$3,1,1),업무일지!$B$5:$B$1004,"&lt;"&amp;DATE($B$3+1,1,1),업무일지!$D$5:$D$1004,"분석")&gt;0,1,0))</f>
        <v/>
      </c>
      <c r="BB129">
        <f>IF($O129="",0,IF(COUNTIFS(업무일지!$F$5:$F$1004,$O129,업무일지!$B$5:$B$1004,"&gt;="&amp;DATE($B$3,1,1),업무일지!$B$5:$B$1004,"&lt;"&amp;DATE($B$3+1,1,1))&gt;0,1,0))</f>
        <v/>
      </c>
    </row>
    <row r="130">
      <c r="O130">
        <f>IF(사건마스터!$A50="","",사건마스터!$A50)</f>
        <v/>
      </c>
      <c r="P130">
        <f>IF($O130="",0,IF(COUNTIFS(업무일지!$F$5:$F$1004,$O130,업무일지!$B$5:$B$1004,"&gt;="&amp;DATE($B$3,1,1),업무일지!$B$5:$B$1004,"&lt;"&amp;DATE($B$3,1+1,1),업무일지!$D$5:$D$1004,"출장")&gt;0,1,0))</f>
        <v/>
      </c>
      <c r="Q130">
        <f>IF($O130="",0,IF(COUNTIFS(업무일지!$F$5:$F$1004,$O130,업무일지!$B$5:$B$1004,"&gt;="&amp;DATE($B$3,2,1),업무일지!$B$5:$B$1004,"&lt;"&amp;DATE($B$3,2+1,1),업무일지!$D$5:$D$1004,"출장")&gt;0,1,0))</f>
        <v/>
      </c>
      <c r="R130">
        <f>IF($O130="",0,IF(COUNTIFS(업무일지!$F$5:$F$1004,$O130,업무일지!$B$5:$B$1004,"&gt;="&amp;DATE($B$3,3,1),업무일지!$B$5:$B$1004,"&lt;"&amp;DATE($B$3,3+1,1),업무일지!$D$5:$D$1004,"출장")&gt;0,1,0))</f>
        <v/>
      </c>
      <c r="S130">
        <f>IF($O130="",0,IF(COUNTIFS(업무일지!$F$5:$F$1004,$O130,업무일지!$B$5:$B$1004,"&gt;="&amp;DATE($B$3,4,1),업무일지!$B$5:$B$1004,"&lt;"&amp;DATE($B$3,4+1,1),업무일지!$D$5:$D$1004,"출장")&gt;0,1,0))</f>
        <v/>
      </c>
      <c r="T130">
        <f>IF($O130="",0,IF(COUNTIFS(업무일지!$F$5:$F$1004,$O130,업무일지!$B$5:$B$1004,"&gt;="&amp;DATE($B$3,5,1),업무일지!$B$5:$B$1004,"&lt;"&amp;DATE($B$3,5+1,1),업무일지!$D$5:$D$1004,"출장")&gt;0,1,0))</f>
        <v/>
      </c>
      <c r="U130">
        <f>IF($O130="",0,IF(COUNTIFS(업무일지!$F$5:$F$1004,$O130,업무일지!$B$5:$B$1004,"&gt;="&amp;DATE($B$3,6,1),업무일지!$B$5:$B$1004,"&lt;"&amp;DATE($B$3,6+1,1),업무일지!$D$5:$D$1004,"출장")&gt;0,1,0))</f>
        <v/>
      </c>
      <c r="V130">
        <f>IF($O130="",0,IF(COUNTIFS(업무일지!$F$5:$F$1004,$O130,업무일지!$B$5:$B$1004,"&gt;="&amp;DATE($B$3,7,1),업무일지!$B$5:$B$1004,"&lt;"&amp;DATE($B$3,7+1,1),업무일지!$D$5:$D$1004,"출장")&gt;0,1,0))</f>
        <v/>
      </c>
      <c r="W130">
        <f>IF($O130="",0,IF(COUNTIFS(업무일지!$F$5:$F$1004,$O130,업무일지!$B$5:$B$1004,"&gt;="&amp;DATE($B$3,8,1),업무일지!$B$5:$B$1004,"&lt;"&amp;DATE($B$3,8+1,1),업무일지!$D$5:$D$1004,"출장")&gt;0,1,0))</f>
        <v/>
      </c>
      <c r="X130">
        <f>IF($O130="",0,IF(COUNTIFS(업무일지!$F$5:$F$1004,$O130,업무일지!$B$5:$B$1004,"&gt;="&amp;DATE($B$3,9,1),업무일지!$B$5:$B$1004,"&lt;"&amp;DATE($B$3,9+1,1),업무일지!$D$5:$D$1004,"출장")&gt;0,1,0))</f>
        <v/>
      </c>
      <c r="Y130">
        <f>IF($O130="",0,IF(COUNTIFS(업무일지!$F$5:$F$1004,$O130,업무일지!$B$5:$B$1004,"&gt;="&amp;DATE($B$3,10,1),업무일지!$B$5:$B$1004,"&lt;"&amp;DATE($B$3,10+1,1),업무일지!$D$5:$D$1004,"출장")&gt;0,1,0))</f>
        <v/>
      </c>
      <c r="Z130">
        <f>IF($O130="",0,IF(COUNTIFS(업무일지!$F$5:$F$1004,$O130,업무일지!$B$5:$B$1004,"&gt;="&amp;DATE($B$3,11,1),업무일지!$B$5:$B$1004,"&lt;"&amp;DATE($B$3,11+1,1),업무일지!$D$5:$D$1004,"출장")&gt;0,1,0))</f>
        <v/>
      </c>
      <c r="AA130">
        <f>IF($O130="",0,IF(COUNTIFS(업무일지!$F$5:$F$1004,$O130,업무일지!$B$5:$B$1004,"&gt;="&amp;DATE($B$3,12,1),업무일지!$B$5:$B$1004,"&lt;"&amp;DATE($B$3,12+1,1),업무일지!$D$5:$D$1004,"출장")&gt;0,1,0))</f>
        <v/>
      </c>
      <c r="AB130">
        <f>IF($O130="",0,IF(COUNTIFS(업무일지!$F$5:$F$1004,$O130,업무일지!$B$5:$B$1004,"&gt;="&amp;DATE($B$3,1,1),업무일지!$B$5:$B$1004,"&lt;"&amp;DATE($B$3,1+1,1),업무일지!$D$5:$D$1004,"분석")&gt;0,1,0))</f>
        <v/>
      </c>
      <c r="AC130">
        <f>IF($O130="",0,IF(COUNTIFS(업무일지!$F$5:$F$1004,$O130,업무일지!$B$5:$B$1004,"&gt;="&amp;DATE($B$3,2,1),업무일지!$B$5:$B$1004,"&lt;"&amp;DATE($B$3,2+1,1),업무일지!$D$5:$D$1004,"분석")&gt;0,1,0))</f>
        <v/>
      </c>
      <c r="AD130">
        <f>IF($O130="",0,IF(COUNTIFS(업무일지!$F$5:$F$1004,$O130,업무일지!$B$5:$B$1004,"&gt;="&amp;DATE($B$3,3,1),업무일지!$B$5:$B$1004,"&lt;"&amp;DATE($B$3,3+1,1),업무일지!$D$5:$D$1004,"분석")&gt;0,1,0))</f>
        <v/>
      </c>
      <c r="AE130">
        <f>IF($O130="",0,IF(COUNTIFS(업무일지!$F$5:$F$1004,$O130,업무일지!$B$5:$B$1004,"&gt;="&amp;DATE($B$3,4,1),업무일지!$B$5:$B$1004,"&lt;"&amp;DATE($B$3,4+1,1),업무일지!$D$5:$D$1004,"분석")&gt;0,1,0))</f>
        <v/>
      </c>
      <c r="AF130">
        <f>IF($O130="",0,IF(COUNTIFS(업무일지!$F$5:$F$1004,$O130,업무일지!$B$5:$B$1004,"&gt;="&amp;DATE($B$3,5,1),업무일지!$B$5:$B$1004,"&lt;"&amp;DATE($B$3,5+1,1),업무일지!$D$5:$D$1004,"분석")&gt;0,1,0))</f>
        <v/>
      </c>
      <c r="AG130">
        <f>IF($O130="",0,IF(COUNTIFS(업무일지!$F$5:$F$1004,$O130,업무일지!$B$5:$B$1004,"&gt;="&amp;DATE($B$3,6,1),업무일지!$B$5:$B$1004,"&lt;"&amp;DATE($B$3,6+1,1),업무일지!$D$5:$D$1004,"분석")&gt;0,1,0))</f>
        <v/>
      </c>
      <c r="AH130">
        <f>IF($O130="",0,IF(COUNTIFS(업무일지!$F$5:$F$1004,$O130,업무일지!$B$5:$B$1004,"&gt;="&amp;DATE($B$3,7,1),업무일지!$B$5:$B$1004,"&lt;"&amp;DATE($B$3,7+1,1),업무일지!$D$5:$D$1004,"분석")&gt;0,1,0))</f>
        <v/>
      </c>
      <c r="AI130">
        <f>IF($O130="",0,IF(COUNTIFS(업무일지!$F$5:$F$1004,$O130,업무일지!$B$5:$B$1004,"&gt;="&amp;DATE($B$3,8,1),업무일지!$B$5:$B$1004,"&lt;"&amp;DATE($B$3,8+1,1),업무일지!$D$5:$D$1004,"분석")&gt;0,1,0))</f>
        <v/>
      </c>
      <c r="AJ130">
        <f>IF($O130="",0,IF(COUNTIFS(업무일지!$F$5:$F$1004,$O130,업무일지!$B$5:$B$1004,"&gt;="&amp;DATE($B$3,9,1),업무일지!$B$5:$B$1004,"&lt;"&amp;DATE($B$3,9+1,1),업무일지!$D$5:$D$1004,"분석")&gt;0,1,0))</f>
        <v/>
      </c>
      <c r="AK130">
        <f>IF($O130="",0,IF(COUNTIFS(업무일지!$F$5:$F$1004,$O130,업무일지!$B$5:$B$1004,"&gt;="&amp;DATE($B$3,10,1),업무일지!$B$5:$B$1004,"&lt;"&amp;DATE($B$3,10+1,1),업무일지!$D$5:$D$1004,"분석")&gt;0,1,0))</f>
        <v/>
      </c>
      <c r="AL130">
        <f>IF($O130="",0,IF(COUNTIFS(업무일지!$F$5:$F$1004,$O130,업무일지!$B$5:$B$1004,"&gt;="&amp;DATE($B$3,11,1),업무일지!$B$5:$B$1004,"&lt;"&amp;DATE($B$3,11+1,1),업무일지!$D$5:$D$1004,"분석")&gt;0,1,0))</f>
        <v/>
      </c>
      <c r="AM130">
        <f>IF($O130="",0,IF(COUNTIFS(업무일지!$F$5:$F$1004,$O130,업무일지!$B$5:$B$1004,"&gt;="&amp;DATE($B$3,12,1),업무일지!$B$5:$B$1004,"&lt;"&amp;DATE($B$3,12+1,1),업무일지!$D$5:$D$1004,"분석")&gt;0,1,0))</f>
        <v/>
      </c>
      <c r="AN130">
        <f>IF($O130="",0,IF(COUNTIFS(업무일지!$F$5:$F$1004,$O130,업무일지!$B$5:$B$1004,"&gt;="&amp;DATE($B$3,1,1),업무일지!$B$5:$B$1004,"&lt;"&amp;DATE($B$3,1+1,1))&gt;0,1,0))</f>
        <v/>
      </c>
      <c r="AO130">
        <f>IF($O130="",0,IF(COUNTIFS(업무일지!$F$5:$F$1004,$O130,업무일지!$B$5:$B$1004,"&gt;="&amp;DATE($B$3,2,1),업무일지!$B$5:$B$1004,"&lt;"&amp;DATE($B$3,2+1,1))&gt;0,1,0))</f>
        <v/>
      </c>
      <c r="AP130">
        <f>IF($O130="",0,IF(COUNTIFS(업무일지!$F$5:$F$1004,$O130,업무일지!$B$5:$B$1004,"&gt;="&amp;DATE($B$3,3,1),업무일지!$B$5:$B$1004,"&lt;"&amp;DATE($B$3,3+1,1))&gt;0,1,0))</f>
        <v/>
      </c>
      <c r="AQ130">
        <f>IF($O130="",0,IF(COUNTIFS(업무일지!$F$5:$F$1004,$O130,업무일지!$B$5:$B$1004,"&gt;="&amp;DATE($B$3,4,1),업무일지!$B$5:$B$1004,"&lt;"&amp;DATE($B$3,4+1,1))&gt;0,1,0))</f>
        <v/>
      </c>
      <c r="AR130">
        <f>IF($O130="",0,IF(COUNTIFS(업무일지!$F$5:$F$1004,$O130,업무일지!$B$5:$B$1004,"&gt;="&amp;DATE($B$3,5,1),업무일지!$B$5:$B$1004,"&lt;"&amp;DATE($B$3,5+1,1))&gt;0,1,0))</f>
        <v/>
      </c>
      <c r="AS130">
        <f>IF($O130="",0,IF(COUNTIFS(업무일지!$F$5:$F$1004,$O130,업무일지!$B$5:$B$1004,"&gt;="&amp;DATE($B$3,6,1),업무일지!$B$5:$B$1004,"&lt;"&amp;DATE($B$3,6+1,1))&gt;0,1,0))</f>
        <v/>
      </c>
      <c r="AT130">
        <f>IF($O130="",0,IF(COUNTIFS(업무일지!$F$5:$F$1004,$O130,업무일지!$B$5:$B$1004,"&gt;="&amp;DATE($B$3,7,1),업무일지!$B$5:$B$1004,"&lt;"&amp;DATE($B$3,7+1,1))&gt;0,1,0))</f>
        <v/>
      </c>
      <c r="AU130">
        <f>IF($O130="",0,IF(COUNTIFS(업무일지!$F$5:$F$1004,$O130,업무일지!$B$5:$B$1004,"&gt;="&amp;DATE($B$3,8,1),업무일지!$B$5:$B$1004,"&lt;"&amp;DATE($B$3,8+1,1))&gt;0,1,0))</f>
        <v/>
      </c>
      <c r="AV130">
        <f>IF($O130="",0,IF(COUNTIFS(업무일지!$F$5:$F$1004,$O130,업무일지!$B$5:$B$1004,"&gt;="&amp;DATE($B$3,9,1),업무일지!$B$5:$B$1004,"&lt;"&amp;DATE($B$3,9+1,1))&gt;0,1,0))</f>
        <v/>
      </c>
      <c r="AW130">
        <f>IF($O130="",0,IF(COUNTIFS(업무일지!$F$5:$F$1004,$O130,업무일지!$B$5:$B$1004,"&gt;="&amp;DATE($B$3,10,1),업무일지!$B$5:$B$1004,"&lt;"&amp;DATE($B$3,10+1,1))&gt;0,1,0))</f>
        <v/>
      </c>
      <c r="AX130">
        <f>IF($O130="",0,IF(COUNTIFS(업무일지!$F$5:$F$1004,$O130,업무일지!$B$5:$B$1004,"&gt;="&amp;DATE($B$3,11,1),업무일지!$B$5:$B$1004,"&lt;"&amp;DATE($B$3,11+1,1))&gt;0,1,0))</f>
        <v/>
      </c>
      <c r="AY130">
        <f>IF($O130="",0,IF(COUNTIFS(업무일지!$F$5:$F$1004,$O130,업무일지!$B$5:$B$1004,"&gt;="&amp;DATE($B$3,12,1),업무일지!$B$5:$B$1004,"&lt;"&amp;DATE($B$3,12+1,1))&gt;0,1,0))</f>
        <v/>
      </c>
      <c r="AZ130">
        <f>IF($O130="",0,IF(COUNTIFS(업무일지!$F$5:$F$1004,$O130,업무일지!$B$5:$B$1004,"&gt;="&amp;DATE($B$3,1,1),업무일지!$B$5:$B$1004,"&lt;"&amp;DATE($B$3+1,1,1),업무일지!$D$5:$D$1004,"출장")&gt;0,1,0))</f>
        <v/>
      </c>
      <c r="BA130">
        <f>IF($O130="",0,IF(COUNTIFS(업무일지!$F$5:$F$1004,$O130,업무일지!$B$5:$B$1004,"&gt;="&amp;DATE($B$3,1,1),업무일지!$B$5:$B$1004,"&lt;"&amp;DATE($B$3+1,1,1),업무일지!$D$5:$D$1004,"분석")&gt;0,1,0))</f>
        <v/>
      </c>
      <c r="BB130">
        <f>IF($O130="",0,IF(COUNTIFS(업무일지!$F$5:$F$1004,$O130,업무일지!$B$5:$B$1004,"&gt;="&amp;DATE($B$3,1,1),업무일지!$B$5:$B$1004,"&lt;"&amp;DATE($B$3+1,1,1))&gt;0,1,0))</f>
        <v/>
      </c>
    </row>
    <row r="131">
      <c r="O131">
        <f>IF(사건마스터!$A51="","",사건마스터!$A51)</f>
        <v/>
      </c>
      <c r="P131">
        <f>IF($O131="",0,IF(COUNTIFS(업무일지!$F$5:$F$1004,$O131,업무일지!$B$5:$B$1004,"&gt;="&amp;DATE($B$3,1,1),업무일지!$B$5:$B$1004,"&lt;"&amp;DATE($B$3,1+1,1),업무일지!$D$5:$D$1004,"출장")&gt;0,1,0))</f>
        <v/>
      </c>
      <c r="Q131">
        <f>IF($O131="",0,IF(COUNTIFS(업무일지!$F$5:$F$1004,$O131,업무일지!$B$5:$B$1004,"&gt;="&amp;DATE($B$3,2,1),업무일지!$B$5:$B$1004,"&lt;"&amp;DATE($B$3,2+1,1),업무일지!$D$5:$D$1004,"출장")&gt;0,1,0))</f>
        <v/>
      </c>
      <c r="R131">
        <f>IF($O131="",0,IF(COUNTIFS(업무일지!$F$5:$F$1004,$O131,업무일지!$B$5:$B$1004,"&gt;="&amp;DATE($B$3,3,1),업무일지!$B$5:$B$1004,"&lt;"&amp;DATE($B$3,3+1,1),업무일지!$D$5:$D$1004,"출장")&gt;0,1,0))</f>
        <v/>
      </c>
      <c r="S131">
        <f>IF($O131="",0,IF(COUNTIFS(업무일지!$F$5:$F$1004,$O131,업무일지!$B$5:$B$1004,"&gt;="&amp;DATE($B$3,4,1),업무일지!$B$5:$B$1004,"&lt;"&amp;DATE($B$3,4+1,1),업무일지!$D$5:$D$1004,"출장")&gt;0,1,0))</f>
        <v/>
      </c>
      <c r="T131">
        <f>IF($O131="",0,IF(COUNTIFS(업무일지!$F$5:$F$1004,$O131,업무일지!$B$5:$B$1004,"&gt;="&amp;DATE($B$3,5,1),업무일지!$B$5:$B$1004,"&lt;"&amp;DATE($B$3,5+1,1),업무일지!$D$5:$D$1004,"출장")&gt;0,1,0))</f>
        <v/>
      </c>
      <c r="U131">
        <f>IF($O131="",0,IF(COUNTIFS(업무일지!$F$5:$F$1004,$O131,업무일지!$B$5:$B$1004,"&gt;="&amp;DATE($B$3,6,1),업무일지!$B$5:$B$1004,"&lt;"&amp;DATE($B$3,6+1,1),업무일지!$D$5:$D$1004,"출장")&gt;0,1,0))</f>
        <v/>
      </c>
      <c r="V131">
        <f>IF($O131="",0,IF(COUNTIFS(업무일지!$F$5:$F$1004,$O131,업무일지!$B$5:$B$1004,"&gt;="&amp;DATE($B$3,7,1),업무일지!$B$5:$B$1004,"&lt;"&amp;DATE($B$3,7+1,1),업무일지!$D$5:$D$1004,"출장")&gt;0,1,0))</f>
        <v/>
      </c>
      <c r="W131">
        <f>IF($O131="",0,IF(COUNTIFS(업무일지!$F$5:$F$1004,$O131,업무일지!$B$5:$B$1004,"&gt;="&amp;DATE($B$3,8,1),업무일지!$B$5:$B$1004,"&lt;"&amp;DATE($B$3,8+1,1),업무일지!$D$5:$D$1004,"출장")&gt;0,1,0))</f>
        <v/>
      </c>
      <c r="X131">
        <f>IF($O131="",0,IF(COUNTIFS(업무일지!$F$5:$F$1004,$O131,업무일지!$B$5:$B$1004,"&gt;="&amp;DATE($B$3,9,1),업무일지!$B$5:$B$1004,"&lt;"&amp;DATE($B$3,9+1,1),업무일지!$D$5:$D$1004,"출장")&gt;0,1,0))</f>
        <v/>
      </c>
      <c r="Y131">
        <f>IF($O131="",0,IF(COUNTIFS(업무일지!$F$5:$F$1004,$O131,업무일지!$B$5:$B$1004,"&gt;="&amp;DATE($B$3,10,1),업무일지!$B$5:$B$1004,"&lt;"&amp;DATE($B$3,10+1,1),업무일지!$D$5:$D$1004,"출장")&gt;0,1,0))</f>
        <v/>
      </c>
      <c r="Z131">
        <f>IF($O131="",0,IF(COUNTIFS(업무일지!$F$5:$F$1004,$O131,업무일지!$B$5:$B$1004,"&gt;="&amp;DATE($B$3,11,1),업무일지!$B$5:$B$1004,"&lt;"&amp;DATE($B$3,11+1,1),업무일지!$D$5:$D$1004,"출장")&gt;0,1,0))</f>
        <v/>
      </c>
      <c r="AA131">
        <f>IF($O131="",0,IF(COUNTIFS(업무일지!$F$5:$F$1004,$O131,업무일지!$B$5:$B$1004,"&gt;="&amp;DATE($B$3,12,1),업무일지!$B$5:$B$1004,"&lt;"&amp;DATE($B$3,12+1,1),업무일지!$D$5:$D$1004,"출장")&gt;0,1,0))</f>
        <v/>
      </c>
      <c r="AB131">
        <f>IF($O131="",0,IF(COUNTIFS(업무일지!$F$5:$F$1004,$O131,업무일지!$B$5:$B$1004,"&gt;="&amp;DATE($B$3,1,1),업무일지!$B$5:$B$1004,"&lt;"&amp;DATE($B$3,1+1,1),업무일지!$D$5:$D$1004,"분석")&gt;0,1,0))</f>
        <v/>
      </c>
      <c r="AC131">
        <f>IF($O131="",0,IF(COUNTIFS(업무일지!$F$5:$F$1004,$O131,업무일지!$B$5:$B$1004,"&gt;="&amp;DATE($B$3,2,1),업무일지!$B$5:$B$1004,"&lt;"&amp;DATE($B$3,2+1,1),업무일지!$D$5:$D$1004,"분석")&gt;0,1,0))</f>
        <v/>
      </c>
      <c r="AD131">
        <f>IF($O131="",0,IF(COUNTIFS(업무일지!$F$5:$F$1004,$O131,업무일지!$B$5:$B$1004,"&gt;="&amp;DATE($B$3,3,1),업무일지!$B$5:$B$1004,"&lt;"&amp;DATE($B$3,3+1,1),업무일지!$D$5:$D$1004,"분석")&gt;0,1,0))</f>
        <v/>
      </c>
      <c r="AE131">
        <f>IF($O131="",0,IF(COUNTIFS(업무일지!$F$5:$F$1004,$O131,업무일지!$B$5:$B$1004,"&gt;="&amp;DATE($B$3,4,1),업무일지!$B$5:$B$1004,"&lt;"&amp;DATE($B$3,4+1,1),업무일지!$D$5:$D$1004,"분석")&gt;0,1,0))</f>
        <v/>
      </c>
      <c r="AF131">
        <f>IF($O131="",0,IF(COUNTIFS(업무일지!$F$5:$F$1004,$O131,업무일지!$B$5:$B$1004,"&gt;="&amp;DATE($B$3,5,1),업무일지!$B$5:$B$1004,"&lt;"&amp;DATE($B$3,5+1,1),업무일지!$D$5:$D$1004,"분석")&gt;0,1,0))</f>
        <v/>
      </c>
      <c r="AG131">
        <f>IF($O131="",0,IF(COUNTIFS(업무일지!$F$5:$F$1004,$O131,업무일지!$B$5:$B$1004,"&gt;="&amp;DATE($B$3,6,1),업무일지!$B$5:$B$1004,"&lt;"&amp;DATE($B$3,6+1,1),업무일지!$D$5:$D$1004,"분석")&gt;0,1,0))</f>
        <v/>
      </c>
      <c r="AH131">
        <f>IF($O131="",0,IF(COUNTIFS(업무일지!$F$5:$F$1004,$O131,업무일지!$B$5:$B$1004,"&gt;="&amp;DATE($B$3,7,1),업무일지!$B$5:$B$1004,"&lt;"&amp;DATE($B$3,7+1,1),업무일지!$D$5:$D$1004,"분석")&gt;0,1,0))</f>
        <v/>
      </c>
      <c r="AI131">
        <f>IF($O131="",0,IF(COUNTIFS(업무일지!$F$5:$F$1004,$O131,업무일지!$B$5:$B$1004,"&gt;="&amp;DATE($B$3,8,1),업무일지!$B$5:$B$1004,"&lt;"&amp;DATE($B$3,8+1,1),업무일지!$D$5:$D$1004,"분석")&gt;0,1,0))</f>
        <v/>
      </c>
      <c r="AJ131">
        <f>IF($O131="",0,IF(COUNTIFS(업무일지!$F$5:$F$1004,$O131,업무일지!$B$5:$B$1004,"&gt;="&amp;DATE($B$3,9,1),업무일지!$B$5:$B$1004,"&lt;"&amp;DATE($B$3,9+1,1),업무일지!$D$5:$D$1004,"분석")&gt;0,1,0))</f>
        <v/>
      </c>
      <c r="AK131">
        <f>IF($O131="",0,IF(COUNTIFS(업무일지!$F$5:$F$1004,$O131,업무일지!$B$5:$B$1004,"&gt;="&amp;DATE($B$3,10,1),업무일지!$B$5:$B$1004,"&lt;"&amp;DATE($B$3,10+1,1),업무일지!$D$5:$D$1004,"분석")&gt;0,1,0))</f>
        <v/>
      </c>
      <c r="AL131">
        <f>IF($O131="",0,IF(COUNTIFS(업무일지!$F$5:$F$1004,$O131,업무일지!$B$5:$B$1004,"&gt;="&amp;DATE($B$3,11,1),업무일지!$B$5:$B$1004,"&lt;"&amp;DATE($B$3,11+1,1),업무일지!$D$5:$D$1004,"분석")&gt;0,1,0))</f>
        <v/>
      </c>
      <c r="AM131">
        <f>IF($O131="",0,IF(COUNTIFS(업무일지!$F$5:$F$1004,$O131,업무일지!$B$5:$B$1004,"&gt;="&amp;DATE($B$3,12,1),업무일지!$B$5:$B$1004,"&lt;"&amp;DATE($B$3,12+1,1),업무일지!$D$5:$D$1004,"분석")&gt;0,1,0))</f>
        <v/>
      </c>
      <c r="AN131">
        <f>IF($O131="",0,IF(COUNTIFS(업무일지!$F$5:$F$1004,$O131,업무일지!$B$5:$B$1004,"&gt;="&amp;DATE($B$3,1,1),업무일지!$B$5:$B$1004,"&lt;"&amp;DATE($B$3,1+1,1))&gt;0,1,0))</f>
        <v/>
      </c>
      <c r="AO131">
        <f>IF($O131="",0,IF(COUNTIFS(업무일지!$F$5:$F$1004,$O131,업무일지!$B$5:$B$1004,"&gt;="&amp;DATE($B$3,2,1),업무일지!$B$5:$B$1004,"&lt;"&amp;DATE($B$3,2+1,1))&gt;0,1,0))</f>
        <v/>
      </c>
      <c r="AP131">
        <f>IF($O131="",0,IF(COUNTIFS(업무일지!$F$5:$F$1004,$O131,업무일지!$B$5:$B$1004,"&gt;="&amp;DATE($B$3,3,1),업무일지!$B$5:$B$1004,"&lt;"&amp;DATE($B$3,3+1,1))&gt;0,1,0))</f>
        <v/>
      </c>
      <c r="AQ131">
        <f>IF($O131="",0,IF(COUNTIFS(업무일지!$F$5:$F$1004,$O131,업무일지!$B$5:$B$1004,"&gt;="&amp;DATE($B$3,4,1),업무일지!$B$5:$B$1004,"&lt;"&amp;DATE($B$3,4+1,1))&gt;0,1,0))</f>
        <v/>
      </c>
      <c r="AR131">
        <f>IF($O131="",0,IF(COUNTIFS(업무일지!$F$5:$F$1004,$O131,업무일지!$B$5:$B$1004,"&gt;="&amp;DATE($B$3,5,1),업무일지!$B$5:$B$1004,"&lt;"&amp;DATE($B$3,5+1,1))&gt;0,1,0))</f>
        <v/>
      </c>
      <c r="AS131">
        <f>IF($O131="",0,IF(COUNTIFS(업무일지!$F$5:$F$1004,$O131,업무일지!$B$5:$B$1004,"&gt;="&amp;DATE($B$3,6,1),업무일지!$B$5:$B$1004,"&lt;"&amp;DATE($B$3,6+1,1))&gt;0,1,0))</f>
        <v/>
      </c>
      <c r="AT131">
        <f>IF($O131="",0,IF(COUNTIFS(업무일지!$F$5:$F$1004,$O131,업무일지!$B$5:$B$1004,"&gt;="&amp;DATE($B$3,7,1),업무일지!$B$5:$B$1004,"&lt;"&amp;DATE($B$3,7+1,1))&gt;0,1,0))</f>
        <v/>
      </c>
      <c r="AU131">
        <f>IF($O131="",0,IF(COUNTIFS(업무일지!$F$5:$F$1004,$O131,업무일지!$B$5:$B$1004,"&gt;="&amp;DATE($B$3,8,1),업무일지!$B$5:$B$1004,"&lt;"&amp;DATE($B$3,8+1,1))&gt;0,1,0))</f>
        <v/>
      </c>
      <c r="AV131">
        <f>IF($O131="",0,IF(COUNTIFS(업무일지!$F$5:$F$1004,$O131,업무일지!$B$5:$B$1004,"&gt;="&amp;DATE($B$3,9,1),업무일지!$B$5:$B$1004,"&lt;"&amp;DATE($B$3,9+1,1))&gt;0,1,0))</f>
        <v/>
      </c>
      <c r="AW131">
        <f>IF($O131="",0,IF(COUNTIFS(업무일지!$F$5:$F$1004,$O131,업무일지!$B$5:$B$1004,"&gt;="&amp;DATE($B$3,10,1),업무일지!$B$5:$B$1004,"&lt;"&amp;DATE($B$3,10+1,1))&gt;0,1,0))</f>
        <v/>
      </c>
      <c r="AX131">
        <f>IF($O131="",0,IF(COUNTIFS(업무일지!$F$5:$F$1004,$O131,업무일지!$B$5:$B$1004,"&gt;="&amp;DATE($B$3,11,1),업무일지!$B$5:$B$1004,"&lt;"&amp;DATE($B$3,11+1,1))&gt;0,1,0))</f>
        <v/>
      </c>
      <c r="AY131">
        <f>IF($O131="",0,IF(COUNTIFS(업무일지!$F$5:$F$1004,$O131,업무일지!$B$5:$B$1004,"&gt;="&amp;DATE($B$3,12,1),업무일지!$B$5:$B$1004,"&lt;"&amp;DATE($B$3,12+1,1))&gt;0,1,0))</f>
        <v/>
      </c>
      <c r="AZ131">
        <f>IF($O131="",0,IF(COUNTIFS(업무일지!$F$5:$F$1004,$O131,업무일지!$B$5:$B$1004,"&gt;="&amp;DATE($B$3,1,1),업무일지!$B$5:$B$1004,"&lt;"&amp;DATE($B$3+1,1,1),업무일지!$D$5:$D$1004,"출장")&gt;0,1,0))</f>
        <v/>
      </c>
      <c r="BA131">
        <f>IF($O131="",0,IF(COUNTIFS(업무일지!$F$5:$F$1004,$O131,업무일지!$B$5:$B$1004,"&gt;="&amp;DATE($B$3,1,1),업무일지!$B$5:$B$1004,"&lt;"&amp;DATE($B$3+1,1,1),업무일지!$D$5:$D$1004,"분석")&gt;0,1,0))</f>
        <v/>
      </c>
      <c r="BB131">
        <f>IF($O131="",0,IF(COUNTIFS(업무일지!$F$5:$F$1004,$O131,업무일지!$B$5:$B$1004,"&gt;="&amp;DATE($B$3,1,1),업무일지!$B$5:$B$1004,"&lt;"&amp;DATE($B$3+1,1,1))&gt;0,1,0))</f>
        <v/>
      </c>
    </row>
    <row r="132">
      <c r="O132">
        <f>IF(사건마스터!$A52="","",사건마스터!$A52)</f>
        <v/>
      </c>
      <c r="P132">
        <f>IF($O132="",0,IF(COUNTIFS(업무일지!$F$5:$F$1004,$O132,업무일지!$B$5:$B$1004,"&gt;="&amp;DATE($B$3,1,1),업무일지!$B$5:$B$1004,"&lt;"&amp;DATE($B$3,1+1,1),업무일지!$D$5:$D$1004,"출장")&gt;0,1,0))</f>
        <v/>
      </c>
      <c r="Q132">
        <f>IF($O132="",0,IF(COUNTIFS(업무일지!$F$5:$F$1004,$O132,업무일지!$B$5:$B$1004,"&gt;="&amp;DATE($B$3,2,1),업무일지!$B$5:$B$1004,"&lt;"&amp;DATE($B$3,2+1,1),업무일지!$D$5:$D$1004,"출장")&gt;0,1,0))</f>
        <v/>
      </c>
      <c r="R132">
        <f>IF($O132="",0,IF(COUNTIFS(업무일지!$F$5:$F$1004,$O132,업무일지!$B$5:$B$1004,"&gt;="&amp;DATE($B$3,3,1),업무일지!$B$5:$B$1004,"&lt;"&amp;DATE($B$3,3+1,1),업무일지!$D$5:$D$1004,"출장")&gt;0,1,0))</f>
        <v/>
      </c>
      <c r="S132">
        <f>IF($O132="",0,IF(COUNTIFS(업무일지!$F$5:$F$1004,$O132,업무일지!$B$5:$B$1004,"&gt;="&amp;DATE($B$3,4,1),업무일지!$B$5:$B$1004,"&lt;"&amp;DATE($B$3,4+1,1),업무일지!$D$5:$D$1004,"출장")&gt;0,1,0))</f>
        <v/>
      </c>
      <c r="T132">
        <f>IF($O132="",0,IF(COUNTIFS(업무일지!$F$5:$F$1004,$O132,업무일지!$B$5:$B$1004,"&gt;="&amp;DATE($B$3,5,1),업무일지!$B$5:$B$1004,"&lt;"&amp;DATE($B$3,5+1,1),업무일지!$D$5:$D$1004,"출장")&gt;0,1,0))</f>
        <v/>
      </c>
      <c r="U132">
        <f>IF($O132="",0,IF(COUNTIFS(업무일지!$F$5:$F$1004,$O132,업무일지!$B$5:$B$1004,"&gt;="&amp;DATE($B$3,6,1),업무일지!$B$5:$B$1004,"&lt;"&amp;DATE($B$3,6+1,1),업무일지!$D$5:$D$1004,"출장")&gt;0,1,0))</f>
        <v/>
      </c>
      <c r="V132">
        <f>IF($O132="",0,IF(COUNTIFS(업무일지!$F$5:$F$1004,$O132,업무일지!$B$5:$B$1004,"&gt;="&amp;DATE($B$3,7,1),업무일지!$B$5:$B$1004,"&lt;"&amp;DATE($B$3,7+1,1),업무일지!$D$5:$D$1004,"출장")&gt;0,1,0))</f>
        <v/>
      </c>
      <c r="W132">
        <f>IF($O132="",0,IF(COUNTIFS(업무일지!$F$5:$F$1004,$O132,업무일지!$B$5:$B$1004,"&gt;="&amp;DATE($B$3,8,1),업무일지!$B$5:$B$1004,"&lt;"&amp;DATE($B$3,8+1,1),업무일지!$D$5:$D$1004,"출장")&gt;0,1,0))</f>
        <v/>
      </c>
      <c r="X132">
        <f>IF($O132="",0,IF(COUNTIFS(업무일지!$F$5:$F$1004,$O132,업무일지!$B$5:$B$1004,"&gt;="&amp;DATE($B$3,9,1),업무일지!$B$5:$B$1004,"&lt;"&amp;DATE($B$3,9+1,1),업무일지!$D$5:$D$1004,"출장")&gt;0,1,0))</f>
        <v/>
      </c>
      <c r="Y132">
        <f>IF($O132="",0,IF(COUNTIFS(업무일지!$F$5:$F$1004,$O132,업무일지!$B$5:$B$1004,"&gt;="&amp;DATE($B$3,10,1),업무일지!$B$5:$B$1004,"&lt;"&amp;DATE($B$3,10+1,1),업무일지!$D$5:$D$1004,"출장")&gt;0,1,0))</f>
        <v/>
      </c>
      <c r="Z132">
        <f>IF($O132="",0,IF(COUNTIFS(업무일지!$F$5:$F$1004,$O132,업무일지!$B$5:$B$1004,"&gt;="&amp;DATE($B$3,11,1),업무일지!$B$5:$B$1004,"&lt;"&amp;DATE($B$3,11+1,1),업무일지!$D$5:$D$1004,"출장")&gt;0,1,0))</f>
        <v/>
      </c>
      <c r="AA132">
        <f>IF($O132="",0,IF(COUNTIFS(업무일지!$F$5:$F$1004,$O132,업무일지!$B$5:$B$1004,"&gt;="&amp;DATE($B$3,12,1),업무일지!$B$5:$B$1004,"&lt;"&amp;DATE($B$3,12+1,1),업무일지!$D$5:$D$1004,"출장")&gt;0,1,0))</f>
        <v/>
      </c>
      <c r="AB132">
        <f>IF($O132="",0,IF(COUNTIFS(업무일지!$F$5:$F$1004,$O132,업무일지!$B$5:$B$1004,"&gt;="&amp;DATE($B$3,1,1),업무일지!$B$5:$B$1004,"&lt;"&amp;DATE($B$3,1+1,1),업무일지!$D$5:$D$1004,"분석")&gt;0,1,0))</f>
        <v/>
      </c>
      <c r="AC132">
        <f>IF($O132="",0,IF(COUNTIFS(업무일지!$F$5:$F$1004,$O132,업무일지!$B$5:$B$1004,"&gt;="&amp;DATE($B$3,2,1),업무일지!$B$5:$B$1004,"&lt;"&amp;DATE($B$3,2+1,1),업무일지!$D$5:$D$1004,"분석")&gt;0,1,0))</f>
        <v/>
      </c>
      <c r="AD132">
        <f>IF($O132="",0,IF(COUNTIFS(업무일지!$F$5:$F$1004,$O132,업무일지!$B$5:$B$1004,"&gt;="&amp;DATE($B$3,3,1),업무일지!$B$5:$B$1004,"&lt;"&amp;DATE($B$3,3+1,1),업무일지!$D$5:$D$1004,"분석")&gt;0,1,0))</f>
        <v/>
      </c>
      <c r="AE132">
        <f>IF($O132="",0,IF(COUNTIFS(업무일지!$F$5:$F$1004,$O132,업무일지!$B$5:$B$1004,"&gt;="&amp;DATE($B$3,4,1),업무일지!$B$5:$B$1004,"&lt;"&amp;DATE($B$3,4+1,1),업무일지!$D$5:$D$1004,"분석")&gt;0,1,0))</f>
        <v/>
      </c>
      <c r="AF132">
        <f>IF($O132="",0,IF(COUNTIFS(업무일지!$F$5:$F$1004,$O132,업무일지!$B$5:$B$1004,"&gt;="&amp;DATE($B$3,5,1),업무일지!$B$5:$B$1004,"&lt;"&amp;DATE($B$3,5+1,1),업무일지!$D$5:$D$1004,"분석")&gt;0,1,0))</f>
        <v/>
      </c>
      <c r="AG132">
        <f>IF($O132="",0,IF(COUNTIFS(업무일지!$F$5:$F$1004,$O132,업무일지!$B$5:$B$1004,"&gt;="&amp;DATE($B$3,6,1),업무일지!$B$5:$B$1004,"&lt;"&amp;DATE($B$3,6+1,1),업무일지!$D$5:$D$1004,"분석")&gt;0,1,0))</f>
        <v/>
      </c>
      <c r="AH132">
        <f>IF($O132="",0,IF(COUNTIFS(업무일지!$F$5:$F$1004,$O132,업무일지!$B$5:$B$1004,"&gt;="&amp;DATE($B$3,7,1),업무일지!$B$5:$B$1004,"&lt;"&amp;DATE($B$3,7+1,1),업무일지!$D$5:$D$1004,"분석")&gt;0,1,0))</f>
        <v/>
      </c>
      <c r="AI132">
        <f>IF($O132="",0,IF(COUNTIFS(업무일지!$F$5:$F$1004,$O132,업무일지!$B$5:$B$1004,"&gt;="&amp;DATE($B$3,8,1),업무일지!$B$5:$B$1004,"&lt;"&amp;DATE($B$3,8+1,1),업무일지!$D$5:$D$1004,"분석")&gt;0,1,0))</f>
        <v/>
      </c>
      <c r="AJ132">
        <f>IF($O132="",0,IF(COUNTIFS(업무일지!$F$5:$F$1004,$O132,업무일지!$B$5:$B$1004,"&gt;="&amp;DATE($B$3,9,1),업무일지!$B$5:$B$1004,"&lt;"&amp;DATE($B$3,9+1,1),업무일지!$D$5:$D$1004,"분석")&gt;0,1,0))</f>
        <v/>
      </c>
      <c r="AK132">
        <f>IF($O132="",0,IF(COUNTIFS(업무일지!$F$5:$F$1004,$O132,업무일지!$B$5:$B$1004,"&gt;="&amp;DATE($B$3,10,1),업무일지!$B$5:$B$1004,"&lt;"&amp;DATE($B$3,10+1,1),업무일지!$D$5:$D$1004,"분석")&gt;0,1,0))</f>
        <v/>
      </c>
      <c r="AL132">
        <f>IF($O132="",0,IF(COUNTIFS(업무일지!$F$5:$F$1004,$O132,업무일지!$B$5:$B$1004,"&gt;="&amp;DATE($B$3,11,1),업무일지!$B$5:$B$1004,"&lt;"&amp;DATE($B$3,11+1,1),업무일지!$D$5:$D$1004,"분석")&gt;0,1,0))</f>
        <v/>
      </c>
      <c r="AM132">
        <f>IF($O132="",0,IF(COUNTIFS(업무일지!$F$5:$F$1004,$O132,업무일지!$B$5:$B$1004,"&gt;="&amp;DATE($B$3,12,1),업무일지!$B$5:$B$1004,"&lt;"&amp;DATE($B$3,12+1,1),업무일지!$D$5:$D$1004,"분석")&gt;0,1,0))</f>
        <v/>
      </c>
      <c r="AN132">
        <f>IF($O132="",0,IF(COUNTIFS(업무일지!$F$5:$F$1004,$O132,업무일지!$B$5:$B$1004,"&gt;="&amp;DATE($B$3,1,1),업무일지!$B$5:$B$1004,"&lt;"&amp;DATE($B$3,1+1,1))&gt;0,1,0))</f>
        <v/>
      </c>
      <c r="AO132">
        <f>IF($O132="",0,IF(COUNTIFS(업무일지!$F$5:$F$1004,$O132,업무일지!$B$5:$B$1004,"&gt;="&amp;DATE($B$3,2,1),업무일지!$B$5:$B$1004,"&lt;"&amp;DATE($B$3,2+1,1))&gt;0,1,0))</f>
        <v/>
      </c>
      <c r="AP132">
        <f>IF($O132="",0,IF(COUNTIFS(업무일지!$F$5:$F$1004,$O132,업무일지!$B$5:$B$1004,"&gt;="&amp;DATE($B$3,3,1),업무일지!$B$5:$B$1004,"&lt;"&amp;DATE($B$3,3+1,1))&gt;0,1,0))</f>
        <v/>
      </c>
      <c r="AQ132">
        <f>IF($O132="",0,IF(COUNTIFS(업무일지!$F$5:$F$1004,$O132,업무일지!$B$5:$B$1004,"&gt;="&amp;DATE($B$3,4,1),업무일지!$B$5:$B$1004,"&lt;"&amp;DATE($B$3,4+1,1))&gt;0,1,0))</f>
        <v/>
      </c>
      <c r="AR132">
        <f>IF($O132="",0,IF(COUNTIFS(업무일지!$F$5:$F$1004,$O132,업무일지!$B$5:$B$1004,"&gt;="&amp;DATE($B$3,5,1),업무일지!$B$5:$B$1004,"&lt;"&amp;DATE($B$3,5+1,1))&gt;0,1,0))</f>
        <v/>
      </c>
      <c r="AS132">
        <f>IF($O132="",0,IF(COUNTIFS(업무일지!$F$5:$F$1004,$O132,업무일지!$B$5:$B$1004,"&gt;="&amp;DATE($B$3,6,1),업무일지!$B$5:$B$1004,"&lt;"&amp;DATE($B$3,6+1,1))&gt;0,1,0))</f>
        <v/>
      </c>
      <c r="AT132">
        <f>IF($O132="",0,IF(COUNTIFS(업무일지!$F$5:$F$1004,$O132,업무일지!$B$5:$B$1004,"&gt;="&amp;DATE($B$3,7,1),업무일지!$B$5:$B$1004,"&lt;"&amp;DATE($B$3,7+1,1))&gt;0,1,0))</f>
        <v/>
      </c>
      <c r="AU132">
        <f>IF($O132="",0,IF(COUNTIFS(업무일지!$F$5:$F$1004,$O132,업무일지!$B$5:$B$1004,"&gt;="&amp;DATE($B$3,8,1),업무일지!$B$5:$B$1004,"&lt;"&amp;DATE($B$3,8+1,1))&gt;0,1,0))</f>
        <v/>
      </c>
      <c r="AV132">
        <f>IF($O132="",0,IF(COUNTIFS(업무일지!$F$5:$F$1004,$O132,업무일지!$B$5:$B$1004,"&gt;="&amp;DATE($B$3,9,1),업무일지!$B$5:$B$1004,"&lt;"&amp;DATE($B$3,9+1,1))&gt;0,1,0))</f>
        <v/>
      </c>
      <c r="AW132">
        <f>IF($O132="",0,IF(COUNTIFS(업무일지!$F$5:$F$1004,$O132,업무일지!$B$5:$B$1004,"&gt;="&amp;DATE($B$3,10,1),업무일지!$B$5:$B$1004,"&lt;"&amp;DATE($B$3,10+1,1))&gt;0,1,0))</f>
        <v/>
      </c>
      <c r="AX132">
        <f>IF($O132="",0,IF(COUNTIFS(업무일지!$F$5:$F$1004,$O132,업무일지!$B$5:$B$1004,"&gt;="&amp;DATE($B$3,11,1),업무일지!$B$5:$B$1004,"&lt;"&amp;DATE($B$3,11+1,1))&gt;0,1,0))</f>
        <v/>
      </c>
      <c r="AY132">
        <f>IF($O132="",0,IF(COUNTIFS(업무일지!$F$5:$F$1004,$O132,업무일지!$B$5:$B$1004,"&gt;="&amp;DATE($B$3,12,1),업무일지!$B$5:$B$1004,"&lt;"&amp;DATE($B$3,12+1,1))&gt;0,1,0))</f>
        <v/>
      </c>
      <c r="AZ132">
        <f>IF($O132="",0,IF(COUNTIFS(업무일지!$F$5:$F$1004,$O132,업무일지!$B$5:$B$1004,"&gt;="&amp;DATE($B$3,1,1),업무일지!$B$5:$B$1004,"&lt;"&amp;DATE($B$3+1,1,1),업무일지!$D$5:$D$1004,"출장")&gt;0,1,0))</f>
        <v/>
      </c>
      <c r="BA132">
        <f>IF($O132="",0,IF(COUNTIFS(업무일지!$F$5:$F$1004,$O132,업무일지!$B$5:$B$1004,"&gt;="&amp;DATE($B$3,1,1),업무일지!$B$5:$B$1004,"&lt;"&amp;DATE($B$3+1,1,1),업무일지!$D$5:$D$1004,"분석")&gt;0,1,0))</f>
        <v/>
      </c>
      <c r="BB132">
        <f>IF($O132="",0,IF(COUNTIFS(업무일지!$F$5:$F$1004,$O132,업무일지!$B$5:$B$1004,"&gt;="&amp;DATE($B$3,1,1),업무일지!$B$5:$B$1004,"&lt;"&amp;DATE($B$3+1,1,1))&gt;0,1,0))</f>
        <v/>
      </c>
    </row>
    <row r="133">
      <c r="O133">
        <f>IF(사건마스터!$A53="","",사건마스터!$A53)</f>
        <v/>
      </c>
      <c r="P133">
        <f>IF($O133="",0,IF(COUNTIFS(업무일지!$F$5:$F$1004,$O133,업무일지!$B$5:$B$1004,"&gt;="&amp;DATE($B$3,1,1),업무일지!$B$5:$B$1004,"&lt;"&amp;DATE($B$3,1+1,1),업무일지!$D$5:$D$1004,"출장")&gt;0,1,0))</f>
        <v/>
      </c>
      <c r="Q133">
        <f>IF($O133="",0,IF(COUNTIFS(업무일지!$F$5:$F$1004,$O133,업무일지!$B$5:$B$1004,"&gt;="&amp;DATE($B$3,2,1),업무일지!$B$5:$B$1004,"&lt;"&amp;DATE($B$3,2+1,1),업무일지!$D$5:$D$1004,"출장")&gt;0,1,0))</f>
        <v/>
      </c>
      <c r="R133">
        <f>IF($O133="",0,IF(COUNTIFS(업무일지!$F$5:$F$1004,$O133,업무일지!$B$5:$B$1004,"&gt;="&amp;DATE($B$3,3,1),업무일지!$B$5:$B$1004,"&lt;"&amp;DATE($B$3,3+1,1),업무일지!$D$5:$D$1004,"출장")&gt;0,1,0))</f>
        <v/>
      </c>
      <c r="S133">
        <f>IF($O133="",0,IF(COUNTIFS(업무일지!$F$5:$F$1004,$O133,업무일지!$B$5:$B$1004,"&gt;="&amp;DATE($B$3,4,1),업무일지!$B$5:$B$1004,"&lt;"&amp;DATE($B$3,4+1,1),업무일지!$D$5:$D$1004,"출장")&gt;0,1,0))</f>
        <v/>
      </c>
      <c r="T133">
        <f>IF($O133="",0,IF(COUNTIFS(업무일지!$F$5:$F$1004,$O133,업무일지!$B$5:$B$1004,"&gt;="&amp;DATE($B$3,5,1),업무일지!$B$5:$B$1004,"&lt;"&amp;DATE($B$3,5+1,1),업무일지!$D$5:$D$1004,"출장")&gt;0,1,0))</f>
        <v/>
      </c>
      <c r="U133">
        <f>IF($O133="",0,IF(COUNTIFS(업무일지!$F$5:$F$1004,$O133,업무일지!$B$5:$B$1004,"&gt;="&amp;DATE($B$3,6,1),업무일지!$B$5:$B$1004,"&lt;"&amp;DATE($B$3,6+1,1),업무일지!$D$5:$D$1004,"출장")&gt;0,1,0))</f>
        <v/>
      </c>
      <c r="V133">
        <f>IF($O133="",0,IF(COUNTIFS(업무일지!$F$5:$F$1004,$O133,업무일지!$B$5:$B$1004,"&gt;="&amp;DATE($B$3,7,1),업무일지!$B$5:$B$1004,"&lt;"&amp;DATE($B$3,7+1,1),업무일지!$D$5:$D$1004,"출장")&gt;0,1,0))</f>
        <v/>
      </c>
      <c r="W133">
        <f>IF($O133="",0,IF(COUNTIFS(업무일지!$F$5:$F$1004,$O133,업무일지!$B$5:$B$1004,"&gt;="&amp;DATE($B$3,8,1),업무일지!$B$5:$B$1004,"&lt;"&amp;DATE($B$3,8+1,1),업무일지!$D$5:$D$1004,"출장")&gt;0,1,0))</f>
        <v/>
      </c>
      <c r="X133">
        <f>IF($O133="",0,IF(COUNTIFS(업무일지!$F$5:$F$1004,$O133,업무일지!$B$5:$B$1004,"&gt;="&amp;DATE($B$3,9,1),업무일지!$B$5:$B$1004,"&lt;"&amp;DATE($B$3,9+1,1),업무일지!$D$5:$D$1004,"출장")&gt;0,1,0))</f>
        <v/>
      </c>
      <c r="Y133">
        <f>IF($O133="",0,IF(COUNTIFS(업무일지!$F$5:$F$1004,$O133,업무일지!$B$5:$B$1004,"&gt;="&amp;DATE($B$3,10,1),업무일지!$B$5:$B$1004,"&lt;"&amp;DATE($B$3,10+1,1),업무일지!$D$5:$D$1004,"출장")&gt;0,1,0))</f>
        <v/>
      </c>
      <c r="Z133">
        <f>IF($O133="",0,IF(COUNTIFS(업무일지!$F$5:$F$1004,$O133,업무일지!$B$5:$B$1004,"&gt;="&amp;DATE($B$3,11,1),업무일지!$B$5:$B$1004,"&lt;"&amp;DATE($B$3,11+1,1),업무일지!$D$5:$D$1004,"출장")&gt;0,1,0))</f>
        <v/>
      </c>
      <c r="AA133">
        <f>IF($O133="",0,IF(COUNTIFS(업무일지!$F$5:$F$1004,$O133,업무일지!$B$5:$B$1004,"&gt;="&amp;DATE($B$3,12,1),업무일지!$B$5:$B$1004,"&lt;"&amp;DATE($B$3,12+1,1),업무일지!$D$5:$D$1004,"출장")&gt;0,1,0))</f>
        <v/>
      </c>
      <c r="AB133">
        <f>IF($O133="",0,IF(COUNTIFS(업무일지!$F$5:$F$1004,$O133,업무일지!$B$5:$B$1004,"&gt;="&amp;DATE($B$3,1,1),업무일지!$B$5:$B$1004,"&lt;"&amp;DATE($B$3,1+1,1),업무일지!$D$5:$D$1004,"분석")&gt;0,1,0))</f>
        <v/>
      </c>
      <c r="AC133">
        <f>IF($O133="",0,IF(COUNTIFS(업무일지!$F$5:$F$1004,$O133,업무일지!$B$5:$B$1004,"&gt;="&amp;DATE($B$3,2,1),업무일지!$B$5:$B$1004,"&lt;"&amp;DATE($B$3,2+1,1),업무일지!$D$5:$D$1004,"분석")&gt;0,1,0))</f>
        <v/>
      </c>
      <c r="AD133">
        <f>IF($O133="",0,IF(COUNTIFS(업무일지!$F$5:$F$1004,$O133,업무일지!$B$5:$B$1004,"&gt;="&amp;DATE($B$3,3,1),업무일지!$B$5:$B$1004,"&lt;"&amp;DATE($B$3,3+1,1),업무일지!$D$5:$D$1004,"분석")&gt;0,1,0))</f>
        <v/>
      </c>
      <c r="AE133">
        <f>IF($O133="",0,IF(COUNTIFS(업무일지!$F$5:$F$1004,$O133,업무일지!$B$5:$B$1004,"&gt;="&amp;DATE($B$3,4,1),업무일지!$B$5:$B$1004,"&lt;"&amp;DATE($B$3,4+1,1),업무일지!$D$5:$D$1004,"분석")&gt;0,1,0))</f>
        <v/>
      </c>
      <c r="AF133">
        <f>IF($O133="",0,IF(COUNTIFS(업무일지!$F$5:$F$1004,$O133,업무일지!$B$5:$B$1004,"&gt;="&amp;DATE($B$3,5,1),업무일지!$B$5:$B$1004,"&lt;"&amp;DATE($B$3,5+1,1),업무일지!$D$5:$D$1004,"분석")&gt;0,1,0))</f>
        <v/>
      </c>
      <c r="AG133">
        <f>IF($O133="",0,IF(COUNTIFS(업무일지!$F$5:$F$1004,$O133,업무일지!$B$5:$B$1004,"&gt;="&amp;DATE($B$3,6,1),업무일지!$B$5:$B$1004,"&lt;"&amp;DATE($B$3,6+1,1),업무일지!$D$5:$D$1004,"분석")&gt;0,1,0))</f>
        <v/>
      </c>
      <c r="AH133">
        <f>IF($O133="",0,IF(COUNTIFS(업무일지!$F$5:$F$1004,$O133,업무일지!$B$5:$B$1004,"&gt;="&amp;DATE($B$3,7,1),업무일지!$B$5:$B$1004,"&lt;"&amp;DATE($B$3,7+1,1),업무일지!$D$5:$D$1004,"분석")&gt;0,1,0))</f>
        <v/>
      </c>
      <c r="AI133">
        <f>IF($O133="",0,IF(COUNTIFS(업무일지!$F$5:$F$1004,$O133,업무일지!$B$5:$B$1004,"&gt;="&amp;DATE($B$3,8,1),업무일지!$B$5:$B$1004,"&lt;"&amp;DATE($B$3,8+1,1),업무일지!$D$5:$D$1004,"분석")&gt;0,1,0))</f>
        <v/>
      </c>
      <c r="AJ133">
        <f>IF($O133="",0,IF(COUNTIFS(업무일지!$F$5:$F$1004,$O133,업무일지!$B$5:$B$1004,"&gt;="&amp;DATE($B$3,9,1),업무일지!$B$5:$B$1004,"&lt;"&amp;DATE($B$3,9+1,1),업무일지!$D$5:$D$1004,"분석")&gt;0,1,0))</f>
        <v/>
      </c>
      <c r="AK133">
        <f>IF($O133="",0,IF(COUNTIFS(업무일지!$F$5:$F$1004,$O133,업무일지!$B$5:$B$1004,"&gt;="&amp;DATE($B$3,10,1),업무일지!$B$5:$B$1004,"&lt;"&amp;DATE($B$3,10+1,1),업무일지!$D$5:$D$1004,"분석")&gt;0,1,0))</f>
        <v/>
      </c>
      <c r="AL133">
        <f>IF($O133="",0,IF(COUNTIFS(업무일지!$F$5:$F$1004,$O133,업무일지!$B$5:$B$1004,"&gt;="&amp;DATE($B$3,11,1),업무일지!$B$5:$B$1004,"&lt;"&amp;DATE($B$3,11+1,1),업무일지!$D$5:$D$1004,"분석")&gt;0,1,0))</f>
        <v/>
      </c>
      <c r="AM133">
        <f>IF($O133="",0,IF(COUNTIFS(업무일지!$F$5:$F$1004,$O133,업무일지!$B$5:$B$1004,"&gt;="&amp;DATE($B$3,12,1),업무일지!$B$5:$B$1004,"&lt;"&amp;DATE($B$3,12+1,1),업무일지!$D$5:$D$1004,"분석")&gt;0,1,0))</f>
        <v/>
      </c>
      <c r="AN133">
        <f>IF($O133="",0,IF(COUNTIFS(업무일지!$F$5:$F$1004,$O133,업무일지!$B$5:$B$1004,"&gt;="&amp;DATE($B$3,1,1),업무일지!$B$5:$B$1004,"&lt;"&amp;DATE($B$3,1+1,1))&gt;0,1,0))</f>
        <v/>
      </c>
      <c r="AO133">
        <f>IF($O133="",0,IF(COUNTIFS(업무일지!$F$5:$F$1004,$O133,업무일지!$B$5:$B$1004,"&gt;="&amp;DATE($B$3,2,1),업무일지!$B$5:$B$1004,"&lt;"&amp;DATE($B$3,2+1,1))&gt;0,1,0))</f>
        <v/>
      </c>
      <c r="AP133">
        <f>IF($O133="",0,IF(COUNTIFS(업무일지!$F$5:$F$1004,$O133,업무일지!$B$5:$B$1004,"&gt;="&amp;DATE($B$3,3,1),업무일지!$B$5:$B$1004,"&lt;"&amp;DATE($B$3,3+1,1))&gt;0,1,0))</f>
        <v/>
      </c>
      <c r="AQ133">
        <f>IF($O133="",0,IF(COUNTIFS(업무일지!$F$5:$F$1004,$O133,업무일지!$B$5:$B$1004,"&gt;="&amp;DATE($B$3,4,1),업무일지!$B$5:$B$1004,"&lt;"&amp;DATE($B$3,4+1,1))&gt;0,1,0))</f>
        <v/>
      </c>
      <c r="AR133">
        <f>IF($O133="",0,IF(COUNTIFS(업무일지!$F$5:$F$1004,$O133,업무일지!$B$5:$B$1004,"&gt;="&amp;DATE($B$3,5,1),업무일지!$B$5:$B$1004,"&lt;"&amp;DATE($B$3,5+1,1))&gt;0,1,0))</f>
        <v/>
      </c>
      <c r="AS133">
        <f>IF($O133="",0,IF(COUNTIFS(업무일지!$F$5:$F$1004,$O133,업무일지!$B$5:$B$1004,"&gt;="&amp;DATE($B$3,6,1),업무일지!$B$5:$B$1004,"&lt;"&amp;DATE($B$3,6+1,1))&gt;0,1,0))</f>
        <v/>
      </c>
      <c r="AT133">
        <f>IF($O133="",0,IF(COUNTIFS(업무일지!$F$5:$F$1004,$O133,업무일지!$B$5:$B$1004,"&gt;="&amp;DATE($B$3,7,1),업무일지!$B$5:$B$1004,"&lt;"&amp;DATE($B$3,7+1,1))&gt;0,1,0))</f>
        <v/>
      </c>
      <c r="AU133">
        <f>IF($O133="",0,IF(COUNTIFS(업무일지!$F$5:$F$1004,$O133,업무일지!$B$5:$B$1004,"&gt;="&amp;DATE($B$3,8,1),업무일지!$B$5:$B$1004,"&lt;"&amp;DATE($B$3,8+1,1))&gt;0,1,0))</f>
        <v/>
      </c>
      <c r="AV133">
        <f>IF($O133="",0,IF(COUNTIFS(업무일지!$F$5:$F$1004,$O133,업무일지!$B$5:$B$1004,"&gt;="&amp;DATE($B$3,9,1),업무일지!$B$5:$B$1004,"&lt;"&amp;DATE($B$3,9+1,1))&gt;0,1,0))</f>
        <v/>
      </c>
      <c r="AW133">
        <f>IF($O133="",0,IF(COUNTIFS(업무일지!$F$5:$F$1004,$O133,업무일지!$B$5:$B$1004,"&gt;="&amp;DATE($B$3,10,1),업무일지!$B$5:$B$1004,"&lt;"&amp;DATE($B$3,10+1,1))&gt;0,1,0))</f>
        <v/>
      </c>
      <c r="AX133">
        <f>IF($O133="",0,IF(COUNTIFS(업무일지!$F$5:$F$1004,$O133,업무일지!$B$5:$B$1004,"&gt;="&amp;DATE($B$3,11,1),업무일지!$B$5:$B$1004,"&lt;"&amp;DATE($B$3,11+1,1))&gt;0,1,0))</f>
        <v/>
      </c>
      <c r="AY133">
        <f>IF($O133="",0,IF(COUNTIFS(업무일지!$F$5:$F$1004,$O133,업무일지!$B$5:$B$1004,"&gt;="&amp;DATE($B$3,12,1),업무일지!$B$5:$B$1004,"&lt;"&amp;DATE($B$3,12+1,1))&gt;0,1,0))</f>
        <v/>
      </c>
      <c r="AZ133">
        <f>IF($O133="",0,IF(COUNTIFS(업무일지!$F$5:$F$1004,$O133,업무일지!$B$5:$B$1004,"&gt;="&amp;DATE($B$3,1,1),업무일지!$B$5:$B$1004,"&lt;"&amp;DATE($B$3+1,1,1),업무일지!$D$5:$D$1004,"출장")&gt;0,1,0))</f>
        <v/>
      </c>
      <c r="BA133">
        <f>IF($O133="",0,IF(COUNTIFS(업무일지!$F$5:$F$1004,$O133,업무일지!$B$5:$B$1004,"&gt;="&amp;DATE($B$3,1,1),업무일지!$B$5:$B$1004,"&lt;"&amp;DATE($B$3+1,1,1),업무일지!$D$5:$D$1004,"분석")&gt;0,1,0))</f>
        <v/>
      </c>
      <c r="BB133">
        <f>IF($O133="",0,IF(COUNTIFS(업무일지!$F$5:$F$1004,$O133,업무일지!$B$5:$B$1004,"&gt;="&amp;DATE($B$3,1,1),업무일지!$B$5:$B$1004,"&lt;"&amp;DATE($B$3+1,1,1))&gt;0,1,0))</f>
        <v/>
      </c>
    </row>
    <row r="134">
      <c r="O134">
        <f>IF(사건마스터!$A54="","",사건마스터!$A54)</f>
        <v/>
      </c>
      <c r="P134">
        <f>IF($O134="",0,IF(COUNTIFS(업무일지!$F$5:$F$1004,$O134,업무일지!$B$5:$B$1004,"&gt;="&amp;DATE($B$3,1,1),업무일지!$B$5:$B$1004,"&lt;"&amp;DATE($B$3,1+1,1),업무일지!$D$5:$D$1004,"출장")&gt;0,1,0))</f>
        <v/>
      </c>
      <c r="Q134">
        <f>IF($O134="",0,IF(COUNTIFS(업무일지!$F$5:$F$1004,$O134,업무일지!$B$5:$B$1004,"&gt;="&amp;DATE($B$3,2,1),업무일지!$B$5:$B$1004,"&lt;"&amp;DATE($B$3,2+1,1),업무일지!$D$5:$D$1004,"출장")&gt;0,1,0))</f>
        <v/>
      </c>
      <c r="R134">
        <f>IF($O134="",0,IF(COUNTIFS(업무일지!$F$5:$F$1004,$O134,업무일지!$B$5:$B$1004,"&gt;="&amp;DATE($B$3,3,1),업무일지!$B$5:$B$1004,"&lt;"&amp;DATE($B$3,3+1,1),업무일지!$D$5:$D$1004,"출장")&gt;0,1,0))</f>
        <v/>
      </c>
      <c r="S134">
        <f>IF($O134="",0,IF(COUNTIFS(업무일지!$F$5:$F$1004,$O134,업무일지!$B$5:$B$1004,"&gt;="&amp;DATE($B$3,4,1),업무일지!$B$5:$B$1004,"&lt;"&amp;DATE($B$3,4+1,1),업무일지!$D$5:$D$1004,"출장")&gt;0,1,0))</f>
        <v/>
      </c>
      <c r="T134">
        <f>IF($O134="",0,IF(COUNTIFS(업무일지!$F$5:$F$1004,$O134,업무일지!$B$5:$B$1004,"&gt;="&amp;DATE($B$3,5,1),업무일지!$B$5:$B$1004,"&lt;"&amp;DATE($B$3,5+1,1),업무일지!$D$5:$D$1004,"출장")&gt;0,1,0))</f>
        <v/>
      </c>
      <c r="U134">
        <f>IF($O134="",0,IF(COUNTIFS(업무일지!$F$5:$F$1004,$O134,업무일지!$B$5:$B$1004,"&gt;="&amp;DATE($B$3,6,1),업무일지!$B$5:$B$1004,"&lt;"&amp;DATE($B$3,6+1,1),업무일지!$D$5:$D$1004,"출장")&gt;0,1,0))</f>
        <v/>
      </c>
      <c r="V134">
        <f>IF($O134="",0,IF(COUNTIFS(업무일지!$F$5:$F$1004,$O134,업무일지!$B$5:$B$1004,"&gt;="&amp;DATE($B$3,7,1),업무일지!$B$5:$B$1004,"&lt;"&amp;DATE($B$3,7+1,1),업무일지!$D$5:$D$1004,"출장")&gt;0,1,0))</f>
        <v/>
      </c>
      <c r="W134">
        <f>IF($O134="",0,IF(COUNTIFS(업무일지!$F$5:$F$1004,$O134,업무일지!$B$5:$B$1004,"&gt;="&amp;DATE($B$3,8,1),업무일지!$B$5:$B$1004,"&lt;"&amp;DATE($B$3,8+1,1),업무일지!$D$5:$D$1004,"출장")&gt;0,1,0))</f>
        <v/>
      </c>
      <c r="X134">
        <f>IF($O134="",0,IF(COUNTIFS(업무일지!$F$5:$F$1004,$O134,업무일지!$B$5:$B$1004,"&gt;="&amp;DATE($B$3,9,1),업무일지!$B$5:$B$1004,"&lt;"&amp;DATE($B$3,9+1,1),업무일지!$D$5:$D$1004,"출장")&gt;0,1,0))</f>
        <v/>
      </c>
      <c r="Y134">
        <f>IF($O134="",0,IF(COUNTIFS(업무일지!$F$5:$F$1004,$O134,업무일지!$B$5:$B$1004,"&gt;="&amp;DATE($B$3,10,1),업무일지!$B$5:$B$1004,"&lt;"&amp;DATE($B$3,10+1,1),업무일지!$D$5:$D$1004,"출장")&gt;0,1,0))</f>
        <v/>
      </c>
      <c r="Z134">
        <f>IF($O134="",0,IF(COUNTIFS(업무일지!$F$5:$F$1004,$O134,업무일지!$B$5:$B$1004,"&gt;="&amp;DATE($B$3,11,1),업무일지!$B$5:$B$1004,"&lt;"&amp;DATE($B$3,11+1,1),업무일지!$D$5:$D$1004,"출장")&gt;0,1,0))</f>
        <v/>
      </c>
      <c r="AA134">
        <f>IF($O134="",0,IF(COUNTIFS(업무일지!$F$5:$F$1004,$O134,업무일지!$B$5:$B$1004,"&gt;="&amp;DATE($B$3,12,1),업무일지!$B$5:$B$1004,"&lt;"&amp;DATE($B$3,12+1,1),업무일지!$D$5:$D$1004,"출장")&gt;0,1,0))</f>
        <v/>
      </c>
      <c r="AB134">
        <f>IF($O134="",0,IF(COUNTIFS(업무일지!$F$5:$F$1004,$O134,업무일지!$B$5:$B$1004,"&gt;="&amp;DATE($B$3,1,1),업무일지!$B$5:$B$1004,"&lt;"&amp;DATE($B$3,1+1,1),업무일지!$D$5:$D$1004,"분석")&gt;0,1,0))</f>
        <v/>
      </c>
      <c r="AC134">
        <f>IF($O134="",0,IF(COUNTIFS(업무일지!$F$5:$F$1004,$O134,업무일지!$B$5:$B$1004,"&gt;="&amp;DATE($B$3,2,1),업무일지!$B$5:$B$1004,"&lt;"&amp;DATE($B$3,2+1,1),업무일지!$D$5:$D$1004,"분석")&gt;0,1,0))</f>
        <v/>
      </c>
      <c r="AD134">
        <f>IF($O134="",0,IF(COUNTIFS(업무일지!$F$5:$F$1004,$O134,업무일지!$B$5:$B$1004,"&gt;="&amp;DATE($B$3,3,1),업무일지!$B$5:$B$1004,"&lt;"&amp;DATE($B$3,3+1,1),업무일지!$D$5:$D$1004,"분석")&gt;0,1,0))</f>
        <v/>
      </c>
      <c r="AE134">
        <f>IF($O134="",0,IF(COUNTIFS(업무일지!$F$5:$F$1004,$O134,업무일지!$B$5:$B$1004,"&gt;="&amp;DATE($B$3,4,1),업무일지!$B$5:$B$1004,"&lt;"&amp;DATE($B$3,4+1,1),업무일지!$D$5:$D$1004,"분석")&gt;0,1,0))</f>
        <v/>
      </c>
      <c r="AF134">
        <f>IF($O134="",0,IF(COUNTIFS(업무일지!$F$5:$F$1004,$O134,업무일지!$B$5:$B$1004,"&gt;="&amp;DATE($B$3,5,1),업무일지!$B$5:$B$1004,"&lt;"&amp;DATE($B$3,5+1,1),업무일지!$D$5:$D$1004,"분석")&gt;0,1,0))</f>
        <v/>
      </c>
      <c r="AG134">
        <f>IF($O134="",0,IF(COUNTIFS(업무일지!$F$5:$F$1004,$O134,업무일지!$B$5:$B$1004,"&gt;="&amp;DATE($B$3,6,1),업무일지!$B$5:$B$1004,"&lt;"&amp;DATE($B$3,6+1,1),업무일지!$D$5:$D$1004,"분석")&gt;0,1,0))</f>
        <v/>
      </c>
      <c r="AH134">
        <f>IF($O134="",0,IF(COUNTIFS(업무일지!$F$5:$F$1004,$O134,업무일지!$B$5:$B$1004,"&gt;="&amp;DATE($B$3,7,1),업무일지!$B$5:$B$1004,"&lt;"&amp;DATE($B$3,7+1,1),업무일지!$D$5:$D$1004,"분석")&gt;0,1,0))</f>
        <v/>
      </c>
      <c r="AI134">
        <f>IF($O134="",0,IF(COUNTIFS(업무일지!$F$5:$F$1004,$O134,업무일지!$B$5:$B$1004,"&gt;="&amp;DATE($B$3,8,1),업무일지!$B$5:$B$1004,"&lt;"&amp;DATE($B$3,8+1,1),업무일지!$D$5:$D$1004,"분석")&gt;0,1,0))</f>
        <v/>
      </c>
      <c r="AJ134">
        <f>IF($O134="",0,IF(COUNTIFS(업무일지!$F$5:$F$1004,$O134,업무일지!$B$5:$B$1004,"&gt;="&amp;DATE($B$3,9,1),업무일지!$B$5:$B$1004,"&lt;"&amp;DATE($B$3,9+1,1),업무일지!$D$5:$D$1004,"분석")&gt;0,1,0))</f>
        <v/>
      </c>
      <c r="AK134">
        <f>IF($O134="",0,IF(COUNTIFS(업무일지!$F$5:$F$1004,$O134,업무일지!$B$5:$B$1004,"&gt;="&amp;DATE($B$3,10,1),업무일지!$B$5:$B$1004,"&lt;"&amp;DATE($B$3,10+1,1),업무일지!$D$5:$D$1004,"분석")&gt;0,1,0))</f>
        <v/>
      </c>
      <c r="AL134">
        <f>IF($O134="",0,IF(COUNTIFS(업무일지!$F$5:$F$1004,$O134,업무일지!$B$5:$B$1004,"&gt;="&amp;DATE($B$3,11,1),업무일지!$B$5:$B$1004,"&lt;"&amp;DATE($B$3,11+1,1),업무일지!$D$5:$D$1004,"분석")&gt;0,1,0))</f>
        <v/>
      </c>
      <c r="AM134">
        <f>IF($O134="",0,IF(COUNTIFS(업무일지!$F$5:$F$1004,$O134,업무일지!$B$5:$B$1004,"&gt;="&amp;DATE($B$3,12,1),업무일지!$B$5:$B$1004,"&lt;"&amp;DATE($B$3,12+1,1),업무일지!$D$5:$D$1004,"분석")&gt;0,1,0))</f>
        <v/>
      </c>
      <c r="AN134">
        <f>IF($O134="",0,IF(COUNTIFS(업무일지!$F$5:$F$1004,$O134,업무일지!$B$5:$B$1004,"&gt;="&amp;DATE($B$3,1,1),업무일지!$B$5:$B$1004,"&lt;"&amp;DATE($B$3,1+1,1))&gt;0,1,0))</f>
        <v/>
      </c>
      <c r="AO134">
        <f>IF($O134="",0,IF(COUNTIFS(업무일지!$F$5:$F$1004,$O134,업무일지!$B$5:$B$1004,"&gt;="&amp;DATE($B$3,2,1),업무일지!$B$5:$B$1004,"&lt;"&amp;DATE($B$3,2+1,1))&gt;0,1,0))</f>
        <v/>
      </c>
      <c r="AP134">
        <f>IF($O134="",0,IF(COUNTIFS(업무일지!$F$5:$F$1004,$O134,업무일지!$B$5:$B$1004,"&gt;="&amp;DATE($B$3,3,1),업무일지!$B$5:$B$1004,"&lt;"&amp;DATE($B$3,3+1,1))&gt;0,1,0))</f>
        <v/>
      </c>
      <c r="AQ134">
        <f>IF($O134="",0,IF(COUNTIFS(업무일지!$F$5:$F$1004,$O134,업무일지!$B$5:$B$1004,"&gt;="&amp;DATE($B$3,4,1),업무일지!$B$5:$B$1004,"&lt;"&amp;DATE($B$3,4+1,1))&gt;0,1,0))</f>
        <v/>
      </c>
      <c r="AR134">
        <f>IF($O134="",0,IF(COUNTIFS(업무일지!$F$5:$F$1004,$O134,업무일지!$B$5:$B$1004,"&gt;="&amp;DATE($B$3,5,1),업무일지!$B$5:$B$1004,"&lt;"&amp;DATE($B$3,5+1,1))&gt;0,1,0))</f>
        <v/>
      </c>
      <c r="AS134">
        <f>IF($O134="",0,IF(COUNTIFS(업무일지!$F$5:$F$1004,$O134,업무일지!$B$5:$B$1004,"&gt;="&amp;DATE($B$3,6,1),업무일지!$B$5:$B$1004,"&lt;"&amp;DATE($B$3,6+1,1))&gt;0,1,0))</f>
        <v/>
      </c>
      <c r="AT134">
        <f>IF($O134="",0,IF(COUNTIFS(업무일지!$F$5:$F$1004,$O134,업무일지!$B$5:$B$1004,"&gt;="&amp;DATE($B$3,7,1),업무일지!$B$5:$B$1004,"&lt;"&amp;DATE($B$3,7+1,1))&gt;0,1,0))</f>
        <v/>
      </c>
      <c r="AU134">
        <f>IF($O134="",0,IF(COUNTIFS(업무일지!$F$5:$F$1004,$O134,업무일지!$B$5:$B$1004,"&gt;="&amp;DATE($B$3,8,1),업무일지!$B$5:$B$1004,"&lt;"&amp;DATE($B$3,8+1,1))&gt;0,1,0))</f>
        <v/>
      </c>
      <c r="AV134">
        <f>IF($O134="",0,IF(COUNTIFS(업무일지!$F$5:$F$1004,$O134,업무일지!$B$5:$B$1004,"&gt;="&amp;DATE($B$3,9,1),업무일지!$B$5:$B$1004,"&lt;"&amp;DATE($B$3,9+1,1))&gt;0,1,0))</f>
        <v/>
      </c>
      <c r="AW134">
        <f>IF($O134="",0,IF(COUNTIFS(업무일지!$F$5:$F$1004,$O134,업무일지!$B$5:$B$1004,"&gt;="&amp;DATE($B$3,10,1),업무일지!$B$5:$B$1004,"&lt;"&amp;DATE($B$3,10+1,1))&gt;0,1,0))</f>
        <v/>
      </c>
      <c r="AX134">
        <f>IF($O134="",0,IF(COUNTIFS(업무일지!$F$5:$F$1004,$O134,업무일지!$B$5:$B$1004,"&gt;="&amp;DATE($B$3,11,1),업무일지!$B$5:$B$1004,"&lt;"&amp;DATE($B$3,11+1,1))&gt;0,1,0))</f>
        <v/>
      </c>
      <c r="AY134">
        <f>IF($O134="",0,IF(COUNTIFS(업무일지!$F$5:$F$1004,$O134,업무일지!$B$5:$B$1004,"&gt;="&amp;DATE($B$3,12,1),업무일지!$B$5:$B$1004,"&lt;"&amp;DATE($B$3,12+1,1))&gt;0,1,0))</f>
        <v/>
      </c>
      <c r="AZ134">
        <f>IF($O134="",0,IF(COUNTIFS(업무일지!$F$5:$F$1004,$O134,업무일지!$B$5:$B$1004,"&gt;="&amp;DATE($B$3,1,1),업무일지!$B$5:$B$1004,"&lt;"&amp;DATE($B$3+1,1,1),업무일지!$D$5:$D$1004,"출장")&gt;0,1,0))</f>
        <v/>
      </c>
      <c r="BA134">
        <f>IF($O134="",0,IF(COUNTIFS(업무일지!$F$5:$F$1004,$O134,업무일지!$B$5:$B$1004,"&gt;="&amp;DATE($B$3,1,1),업무일지!$B$5:$B$1004,"&lt;"&amp;DATE($B$3+1,1,1),업무일지!$D$5:$D$1004,"분석")&gt;0,1,0))</f>
        <v/>
      </c>
      <c r="BB134">
        <f>IF($O134="",0,IF(COUNTIFS(업무일지!$F$5:$F$1004,$O134,업무일지!$B$5:$B$1004,"&gt;="&amp;DATE($B$3,1,1),업무일지!$B$5:$B$1004,"&lt;"&amp;DATE($B$3+1,1,1))&gt;0,1,0))</f>
        <v/>
      </c>
    </row>
    <row r="135">
      <c r="O135">
        <f>IF(사건마스터!$A55="","",사건마스터!$A55)</f>
        <v/>
      </c>
      <c r="P135">
        <f>IF($O135="",0,IF(COUNTIFS(업무일지!$F$5:$F$1004,$O135,업무일지!$B$5:$B$1004,"&gt;="&amp;DATE($B$3,1,1),업무일지!$B$5:$B$1004,"&lt;"&amp;DATE($B$3,1+1,1),업무일지!$D$5:$D$1004,"출장")&gt;0,1,0))</f>
        <v/>
      </c>
      <c r="Q135">
        <f>IF($O135="",0,IF(COUNTIFS(업무일지!$F$5:$F$1004,$O135,업무일지!$B$5:$B$1004,"&gt;="&amp;DATE($B$3,2,1),업무일지!$B$5:$B$1004,"&lt;"&amp;DATE($B$3,2+1,1),업무일지!$D$5:$D$1004,"출장")&gt;0,1,0))</f>
        <v/>
      </c>
      <c r="R135">
        <f>IF($O135="",0,IF(COUNTIFS(업무일지!$F$5:$F$1004,$O135,업무일지!$B$5:$B$1004,"&gt;="&amp;DATE($B$3,3,1),업무일지!$B$5:$B$1004,"&lt;"&amp;DATE($B$3,3+1,1),업무일지!$D$5:$D$1004,"출장")&gt;0,1,0))</f>
        <v/>
      </c>
      <c r="S135">
        <f>IF($O135="",0,IF(COUNTIFS(업무일지!$F$5:$F$1004,$O135,업무일지!$B$5:$B$1004,"&gt;="&amp;DATE($B$3,4,1),업무일지!$B$5:$B$1004,"&lt;"&amp;DATE($B$3,4+1,1),업무일지!$D$5:$D$1004,"출장")&gt;0,1,0))</f>
        <v/>
      </c>
      <c r="T135">
        <f>IF($O135="",0,IF(COUNTIFS(업무일지!$F$5:$F$1004,$O135,업무일지!$B$5:$B$1004,"&gt;="&amp;DATE($B$3,5,1),업무일지!$B$5:$B$1004,"&lt;"&amp;DATE($B$3,5+1,1),업무일지!$D$5:$D$1004,"출장")&gt;0,1,0))</f>
        <v/>
      </c>
      <c r="U135">
        <f>IF($O135="",0,IF(COUNTIFS(업무일지!$F$5:$F$1004,$O135,업무일지!$B$5:$B$1004,"&gt;="&amp;DATE($B$3,6,1),업무일지!$B$5:$B$1004,"&lt;"&amp;DATE($B$3,6+1,1),업무일지!$D$5:$D$1004,"출장")&gt;0,1,0))</f>
        <v/>
      </c>
      <c r="V135">
        <f>IF($O135="",0,IF(COUNTIFS(업무일지!$F$5:$F$1004,$O135,업무일지!$B$5:$B$1004,"&gt;="&amp;DATE($B$3,7,1),업무일지!$B$5:$B$1004,"&lt;"&amp;DATE($B$3,7+1,1),업무일지!$D$5:$D$1004,"출장")&gt;0,1,0))</f>
        <v/>
      </c>
      <c r="W135">
        <f>IF($O135="",0,IF(COUNTIFS(업무일지!$F$5:$F$1004,$O135,업무일지!$B$5:$B$1004,"&gt;="&amp;DATE($B$3,8,1),업무일지!$B$5:$B$1004,"&lt;"&amp;DATE($B$3,8+1,1),업무일지!$D$5:$D$1004,"출장")&gt;0,1,0))</f>
        <v/>
      </c>
      <c r="X135">
        <f>IF($O135="",0,IF(COUNTIFS(업무일지!$F$5:$F$1004,$O135,업무일지!$B$5:$B$1004,"&gt;="&amp;DATE($B$3,9,1),업무일지!$B$5:$B$1004,"&lt;"&amp;DATE($B$3,9+1,1),업무일지!$D$5:$D$1004,"출장")&gt;0,1,0))</f>
        <v/>
      </c>
      <c r="Y135">
        <f>IF($O135="",0,IF(COUNTIFS(업무일지!$F$5:$F$1004,$O135,업무일지!$B$5:$B$1004,"&gt;="&amp;DATE($B$3,10,1),업무일지!$B$5:$B$1004,"&lt;"&amp;DATE($B$3,10+1,1),업무일지!$D$5:$D$1004,"출장")&gt;0,1,0))</f>
        <v/>
      </c>
      <c r="Z135">
        <f>IF($O135="",0,IF(COUNTIFS(업무일지!$F$5:$F$1004,$O135,업무일지!$B$5:$B$1004,"&gt;="&amp;DATE($B$3,11,1),업무일지!$B$5:$B$1004,"&lt;"&amp;DATE($B$3,11+1,1),업무일지!$D$5:$D$1004,"출장")&gt;0,1,0))</f>
        <v/>
      </c>
      <c r="AA135">
        <f>IF($O135="",0,IF(COUNTIFS(업무일지!$F$5:$F$1004,$O135,업무일지!$B$5:$B$1004,"&gt;="&amp;DATE($B$3,12,1),업무일지!$B$5:$B$1004,"&lt;"&amp;DATE($B$3,12+1,1),업무일지!$D$5:$D$1004,"출장")&gt;0,1,0))</f>
        <v/>
      </c>
      <c r="AB135">
        <f>IF($O135="",0,IF(COUNTIFS(업무일지!$F$5:$F$1004,$O135,업무일지!$B$5:$B$1004,"&gt;="&amp;DATE($B$3,1,1),업무일지!$B$5:$B$1004,"&lt;"&amp;DATE($B$3,1+1,1),업무일지!$D$5:$D$1004,"분석")&gt;0,1,0))</f>
        <v/>
      </c>
      <c r="AC135">
        <f>IF($O135="",0,IF(COUNTIFS(업무일지!$F$5:$F$1004,$O135,업무일지!$B$5:$B$1004,"&gt;="&amp;DATE($B$3,2,1),업무일지!$B$5:$B$1004,"&lt;"&amp;DATE($B$3,2+1,1),업무일지!$D$5:$D$1004,"분석")&gt;0,1,0))</f>
        <v/>
      </c>
      <c r="AD135">
        <f>IF($O135="",0,IF(COUNTIFS(업무일지!$F$5:$F$1004,$O135,업무일지!$B$5:$B$1004,"&gt;="&amp;DATE($B$3,3,1),업무일지!$B$5:$B$1004,"&lt;"&amp;DATE($B$3,3+1,1),업무일지!$D$5:$D$1004,"분석")&gt;0,1,0))</f>
        <v/>
      </c>
      <c r="AE135">
        <f>IF($O135="",0,IF(COUNTIFS(업무일지!$F$5:$F$1004,$O135,업무일지!$B$5:$B$1004,"&gt;="&amp;DATE($B$3,4,1),업무일지!$B$5:$B$1004,"&lt;"&amp;DATE($B$3,4+1,1),업무일지!$D$5:$D$1004,"분석")&gt;0,1,0))</f>
        <v/>
      </c>
      <c r="AF135">
        <f>IF($O135="",0,IF(COUNTIFS(업무일지!$F$5:$F$1004,$O135,업무일지!$B$5:$B$1004,"&gt;="&amp;DATE($B$3,5,1),업무일지!$B$5:$B$1004,"&lt;"&amp;DATE($B$3,5+1,1),업무일지!$D$5:$D$1004,"분석")&gt;0,1,0))</f>
        <v/>
      </c>
      <c r="AG135">
        <f>IF($O135="",0,IF(COUNTIFS(업무일지!$F$5:$F$1004,$O135,업무일지!$B$5:$B$1004,"&gt;="&amp;DATE($B$3,6,1),업무일지!$B$5:$B$1004,"&lt;"&amp;DATE($B$3,6+1,1),업무일지!$D$5:$D$1004,"분석")&gt;0,1,0))</f>
        <v/>
      </c>
      <c r="AH135">
        <f>IF($O135="",0,IF(COUNTIFS(업무일지!$F$5:$F$1004,$O135,업무일지!$B$5:$B$1004,"&gt;="&amp;DATE($B$3,7,1),업무일지!$B$5:$B$1004,"&lt;"&amp;DATE($B$3,7+1,1),업무일지!$D$5:$D$1004,"분석")&gt;0,1,0))</f>
        <v/>
      </c>
      <c r="AI135">
        <f>IF($O135="",0,IF(COUNTIFS(업무일지!$F$5:$F$1004,$O135,업무일지!$B$5:$B$1004,"&gt;="&amp;DATE($B$3,8,1),업무일지!$B$5:$B$1004,"&lt;"&amp;DATE($B$3,8+1,1),업무일지!$D$5:$D$1004,"분석")&gt;0,1,0))</f>
        <v/>
      </c>
      <c r="AJ135">
        <f>IF($O135="",0,IF(COUNTIFS(업무일지!$F$5:$F$1004,$O135,업무일지!$B$5:$B$1004,"&gt;="&amp;DATE($B$3,9,1),업무일지!$B$5:$B$1004,"&lt;"&amp;DATE($B$3,9+1,1),업무일지!$D$5:$D$1004,"분석")&gt;0,1,0))</f>
        <v/>
      </c>
      <c r="AK135">
        <f>IF($O135="",0,IF(COUNTIFS(업무일지!$F$5:$F$1004,$O135,업무일지!$B$5:$B$1004,"&gt;="&amp;DATE($B$3,10,1),업무일지!$B$5:$B$1004,"&lt;"&amp;DATE($B$3,10+1,1),업무일지!$D$5:$D$1004,"분석")&gt;0,1,0))</f>
        <v/>
      </c>
      <c r="AL135">
        <f>IF($O135="",0,IF(COUNTIFS(업무일지!$F$5:$F$1004,$O135,업무일지!$B$5:$B$1004,"&gt;="&amp;DATE($B$3,11,1),업무일지!$B$5:$B$1004,"&lt;"&amp;DATE($B$3,11+1,1),업무일지!$D$5:$D$1004,"분석")&gt;0,1,0))</f>
        <v/>
      </c>
      <c r="AM135">
        <f>IF($O135="",0,IF(COUNTIFS(업무일지!$F$5:$F$1004,$O135,업무일지!$B$5:$B$1004,"&gt;="&amp;DATE($B$3,12,1),업무일지!$B$5:$B$1004,"&lt;"&amp;DATE($B$3,12+1,1),업무일지!$D$5:$D$1004,"분석")&gt;0,1,0))</f>
        <v/>
      </c>
      <c r="AN135">
        <f>IF($O135="",0,IF(COUNTIFS(업무일지!$F$5:$F$1004,$O135,업무일지!$B$5:$B$1004,"&gt;="&amp;DATE($B$3,1,1),업무일지!$B$5:$B$1004,"&lt;"&amp;DATE($B$3,1+1,1))&gt;0,1,0))</f>
        <v/>
      </c>
      <c r="AO135">
        <f>IF($O135="",0,IF(COUNTIFS(업무일지!$F$5:$F$1004,$O135,업무일지!$B$5:$B$1004,"&gt;="&amp;DATE($B$3,2,1),업무일지!$B$5:$B$1004,"&lt;"&amp;DATE($B$3,2+1,1))&gt;0,1,0))</f>
        <v/>
      </c>
      <c r="AP135">
        <f>IF($O135="",0,IF(COUNTIFS(업무일지!$F$5:$F$1004,$O135,업무일지!$B$5:$B$1004,"&gt;="&amp;DATE($B$3,3,1),업무일지!$B$5:$B$1004,"&lt;"&amp;DATE($B$3,3+1,1))&gt;0,1,0))</f>
        <v/>
      </c>
      <c r="AQ135">
        <f>IF($O135="",0,IF(COUNTIFS(업무일지!$F$5:$F$1004,$O135,업무일지!$B$5:$B$1004,"&gt;="&amp;DATE($B$3,4,1),업무일지!$B$5:$B$1004,"&lt;"&amp;DATE($B$3,4+1,1))&gt;0,1,0))</f>
        <v/>
      </c>
      <c r="AR135">
        <f>IF($O135="",0,IF(COUNTIFS(업무일지!$F$5:$F$1004,$O135,업무일지!$B$5:$B$1004,"&gt;="&amp;DATE($B$3,5,1),업무일지!$B$5:$B$1004,"&lt;"&amp;DATE($B$3,5+1,1))&gt;0,1,0))</f>
        <v/>
      </c>
      <c r="AS135">
        <f>IF($O135="",0,IF(COUNTIFS(업무일지!$F$5:$F$1004,$O135,업무일지!$B$5:$B$1004,"&gt;="&amp;DATE($B$3,6,1),업무일지!$B$5:$B$1004,"&lt;"&amp;DATE($B$3,6+1,1))&gt;0,1,0))</f>
        <v/>
      </c>
      <c r="AT135">
        <f>IF($O135="",0,IF(COUNTIFS(업무일지!$F$5:$F$1004,$O135,업무일지!$B$5:$B$1004,"&gt;="&amp;DATE($B$3,7,1),업무일지!$B$5:$B$1004,"&lt;"&amp;DATE($B$3,7+1,1))&gt;0,1,0))</f>
        <v/>
      </c>
      <c r="AU135">
        <f>IF($O135="",0,IF(COUNTIFS(업무일지!$F$5:$F$1004,$O135,업무일지!$B$5:$B$1004,"&gt;="&amp;DATE($B$3,8,1),업무일지!$B$5:$B$1004,"&lt;"&amp;DATE($B$3,8+1,1))&gt;0,1,0))</f>
        <v/>
      </c>
      <c r="AV135">
        <f>IF($O135="",0,IF(COUNTIFS(업무일지!$F$5:$F$1004,$O135,업무일지!$B$5:$B$1004,"&gt;="&amp;DATE($B$3,9,1),업무일지!$B$5:$B$1004,"&lt;"&amp;DATE($B$3,9+1,1))&gt;0,1,0))</f>
        <v/>
      </c>
      <c r="AW135">
        <f>IF($O135="",0,IF(COUNTIFS(업무일지!$F$5:$F$1004,$O135,업무일지!$B$5:$B$1004,"&gt;="&amp;DATE($B$3,10,1),업무일지!$B$5:$B$1004,"&lt;"&amp;DATE($B$3,10+1,1))&gt;0,1,0))</f>
        <v/>
      </c>
      <c r="AX135">
        <f>IF($O135="",0,IF(COUNTIFS(업무일지!$F$5:$F$1004,$O135,업무일지!$B$5:$B$1004,"&gt;="&amp;DATE($B$3,11,1),업무일지!$B$5:$B$1004,"&lt;"&amp;DATE($B$3,11+1,1))&gt;0,1,0))</f>
        <v/>
      </c>
      <c r="AY135">
        <f>IF($O135="",0,IF(COUNTIFS(업무일지!$F$5:$F$1004,$O135,업무일지!$B$5:$B$1004,"&gt;="&amp;DATE($B$3,12,1),업무일지!$B$5:$B$1004,"&lt;"&amp;DATE($B$3,12+1,1))&gt;0,1,0))</f>
        <v/>
      </c>
      <c r="AZ135">
        <f>IF($O135="",0,IF(COUNTIFS(업무일지!$F$5:$F$1004,$O135,업무일지!$B$5:$B$1004,"&gt;="&amp;DATE($B$3,1,1),업무일지!$B$5:$B$1004,"&lt;"&amp;DATE($B$3+1,1,1),업무일지!$D$5:$D$1004,"출장")&gt;0,1,0))</f>
        <v/>
      </c>
      <c r="BA135">
        <f>IF($O135="",0,IF(COUNTIFS(업무일지!$F$5:$F$1004,$O135,업무일지!$B$5:$B$1004,"&gt;="&amp;DATE($B$3,1,1),업무일지!$B$5:$B$1004,"&lt;"&amp;DATE($B$3+1,1,1),업무일지!$D$5:$D$1004,"분석")&gt;0,1,0))</f>
        <v/>
      </c>
      <c r="BB135">
        <f>IF($O135="",0,IF(COUNTIFS(업무일지!$F$5:$F$1004,$O135,업무일지!$B$5:$B$1004,"&gt;="&amp;DATE($B$3,1,1),업무일지!$B$5:$B$1004,"&lt;"&amp;DATE($B$3+1,1,1))&gt;0,1,0))</f>
        <v/>
      </c>
    </row>
    <row r="136">
      <c r="O136">
        <f>IF(사건마스터!$A56="","",사건마스터!$A56)</f>
        <v/>
      </c>
      <c r="P136">
        <f>IF($O136="",0,IF(COUNTIFS(업무일지!$F$5:$F$1004,$O136,업무일지!$B$5:$B$1004,"&gt;="&amp;DATE($B$3,1,1),업무일지!$B$5:$B$1004,"&lt;"&amp;DATE($B$3,1+1,1),업무일지!$D$5:$D$1004,"출장")&gt;0,1,0))</f>
        <v/>
      </c>
      <c r="Q136">
        <f>IF($O136="",0,IF(COUNTIFS(업무일지!$F$5:$F$1004,$O136,업무일지!$B$5:$B$1004,"&gt;="&amp;DATE($B$3,2,1),업무일지!$B$5:$B$1004,"&lt;"&amp;DATE($B$3,2+1,1),업무일지!$D$5:$D$1004,"출장")&gt;0,1,0))</f>
        <v/>
      </c>
      <c r="R136">
        <f>IF($O136="",0,IF(COUNTIFS(업무일지!$F$5:$F$1004,$O136,업무일지!$B$5:$B$1004,"&gt;="&amp;DATE($B$3,3,1),업무일지!$B$5:$B$1004,"&lt;"&amp;DATE($B$3,3+1,1),업무일지!$D$5:$D$1004,"출장")&gt;0,1,0))</f>
        <v/>
      </c>
      <c r="S136">
        <f>IF($O136="",0,IF(COUNTIFS(업무일지!$F$5:$F$1004,$O136,업무일지!$B$5:$B$1004,"&gt;="&amp;DATE($B$3,4,1),업무일지!$B$5:$B$1004,"&lt;"&amp;DATE($B$3,4+1,1),업무일지!$D$5:$D$1004,"출장")&gt;0,1,0))</f>
        <v/>
      </c>
      <c r="T136">
        <f>IF($O136="",0,IF(COUNTIFS(업무일지!$F$5:$F$1004,$O136,업무일지!$B$5:$B$1004,"&gt;="&amp;DATE($B$3,5,1),업무일지!$B$5:$B$1004,"&lt;"&amp;DATE($B$3,5+1,1),업무일지!$D$5:$D$1004,"출장")&gt;0,1,0))</f>
        <v/>
      </c>
      <c r="U136">
        <f>IF($O136="",0,IF(COUNTIFS(업무일지!$F$5:$F$1004,$O136,업무일지!$B$5:$B$1004,"&gt;="&amp;DATE($B$3,6,1),업무일지!$B$5:$B$1004,"&lt;"&amp;DATE($B$3,6+1,1),업무일지!$D$5:$D$1004,"출장")&gt;0,1,0))</f>
        <v/>
      </c>
      <c r="V136">
        <f>IF($O136="",0,IF(COUNTIFS(업무일지!$F$5:$F$1004,$O136,업무일지!$B$5:$B$1004,"&gt;="&amp;DATE($B$3,7,1),업무일지!$B$5:$B$1004,"&lt;"&amp;DATE($B$3,7+1,1),업무일지!$D$5:$D$1004,"출장")&gt;0,1,0))</f>
        <v/>
      </c>
      <c r="W136">
        <f>IF($O136="",0,IF(COUNTIFS(업무일지!$F$5:$F$1004,$O136,업무일지!$B$5:$B$1004,"&gt;="&amp;DATE($B$3,8,1),업무일지!$B$5:$B$1004,"&lt;"&amp;DATE($B$3,8+1,1),업무일지!$D$5:$D$1004,"출장")&gt;0,1,0))</f>
        <v/>
      </c>
      <c r="X136">
        <f>IF($O136="",0,IF(COUNTIFS(업무일지!$F$5:$F$1004,$O136,업무일지!$B$5:$B$1004,"&gt;="&amp;DATE($B$3,9,1),업무일지!$B$5:$B$1004,"&lt;"&amp;DATE($B$3,9+1,1),업무일지!$D$5:$D$1004,"출장")&gt;0,1,0))</f>
        <v/>
      </c>
      <c r="Y136">
        <f>IF($O136="",0,IF(COUNTIFS(업무일지!$F$5:$F$1004,$O136,업무일지!$B$5:$B$1004,"&gt;="&amp;DATE($B$3,10,1),업무일지!$B$5:$B$1004,"&lt;"&amp;DATE($B$3,10+1,1),업무일지!$D$5:$D$1004,"출장")&gt;0,1,0))</f>
        <v/>
      </c>
      <c r="Z136">
        <f>IF($O136="",0,IF(COUNTIFS(업무일지!$F$5:$F$1004,$O136,업무일지!$B$5:$B$1004,"&gt;="&amp;DATE($B$3,11,1),업무일지!$B$5:$B$1004,"&lt;"&amp;DATE($B$3,11+1,1),업무일지!$D$5:$D$1004,"출장")&gt;0,1,0))</f>
        <v/>
      </c>
      <c r="AA136">
        <f>IF($O136="",0,IF(COUNTIFS(업무일지!$F$5:$F$1004,$O136,업무일지!$B$5:$B$1004,"&gt;="&amp;DATE($B$3,12,1),업무일지!$B$5:$B$1004,"&lt;"&amp;DATE($B$3,12+1,1),업무일지!$D$5:$D$1004,"출장")&gt;0,1,0))</f>
        <v/>
      </c>
      <c r="AB136">
        <f>IF($O136="",0,IF(COUNTIFS(업무일지!$F$5:$F$1004,$O136,업무일지!$B$5:$B$1004,"&gt;="&amp;DATE($B$3,1,1),업무일지!$B$5:$B$1004,"&lt;"&amp;DATE($B$3,1+1,1),업무일지!$D$5:$D$1004,"분석")&gt;0,1,0))</f>
        <v/>
      </c>
      <c r="AC136">
        <f>IF($O136="",0,IF(COUNTIFS(업무일지!$F$5:$F$1004,$O136,업무일지!$B$5:$B$1004,"&gt;="&amp;DATE($B$3,2,1),업무일지!$B$5:$B$1004,"&lt;"&amp;DATE($B$3,2+1,1),업무일지!$D$5:$D$1004,"분석")&gt;0,1,0))</f>
        <v/>
      </c>
      <c r="AD136">
        <f>IF($O136="",0,IF(COUNTIFS(업무일지!$F$5:$F$1004,$O136,업무일지!$B$5:$B$1004,"&gt;="&amp;DATE($B$3,3,1),업무일지!$B$5:$B$1004,"&lt;"&amp;DATE($B$3,3+1,1),업무일지!$D$5:$D$1004,"분석")&gt;0,1,0))</f>
        <v/>
      </c>
      <c r="AE136">
        <f>IF($O136="",0,IF(COUNTIFS(업무일지!$F$5:$F$1004,$O136,업무일지!$B$5:$B$1004,"&gt;="&amp;DATE($B$3,4,1),업무일지!$B$5:$B$1004,"&lt;"&amp;DATE($B$3,4+1,1),업무일지!$D$5:$D$1004,"분석")&gt;0,1,0))</f>
        <v/>
      </c>
      <c r="AF136">
        <f>IF($O136="",0,IF(COUNTIFS(업무일지!$F$5:$F$1004,$O136,업무일지!$B$5:$B$1004,"&gt;="&amp;DATE($B$3,5,1),업무일지!$B$5:$B$1004,"&lt;"&amp;DATE($B$3,5+1,1),업무일지!$D$5:$D$1004,"분석")&gt;0,1,0))</f>
        <v/>
      </c>
      <c r="AG136">
        <f>IF($O136="",0,IF(COUNTIFS(업무일지!$F$5:$F$1004,$O136,업무일지!$B$5:$B$1004,"&gt;="&amp;DATE($B$3,6,1),업무일지!$B$5:$B$1004,"&lt;"&amp;DATE($B$3,6+1,1),업무일지!$D$5:$D$1004,"분석")&gt;0,1,0))</f>
        <v/>
      </c>
      <c r="AH136">
        <f>IF($O136="",0,IF(COUNTIFS(업무일지!$F$5:$F$1004,$O136,업무일지!$B$5:$B$1004,"&gt;="&amp;DATE($B$3,7,1),업무일지!$B$5:$B$1004,"&lt;"&amp;DATE($B$3,7+1,1),업무일지!$D$5:$D$1004,"분석")&gt;0,1,0))</f>
        <v/>
      </c>
      <c r="AI136">
        <f>IF($O136="",0,IF(COUNTIFS(업무일지!$F$5:$F$1004,$O136,업무일지!$B$5:$B$1004,"&gt;="&amp;DATE($B$3,8,1),업무일지!$B$5:$B$1004,"&lt;"&amp;DATE($B$3,8+1,1),업무일지!$D$5:$D$1004,"분석")&gt;0,1,0))</f>
        <v/>
      </c>
      <c r="AJ136">
        <f>IF($O136="",0,IF(COUNTIFS(업무일지!$F$5:$F$1004,$O136,업무일지!$B$5:$B$1004,"&gt;="&amp;DATE($B$3,9,1),업무일지!$B$5:$B$1004,"&lt;"&amp;DATE($B$3,9+1,1),업무일지!$D$5:$D$1004,"분석")&gt;0,1,0))</f>
        <v/>
      </c>
      <c r="AK136">
        <f>IF($O136="",0,IF(COUNTIFS(업무일지!$F$5:$F$1004,$O136,업무일지!$B$5:$B$1004,"&gt;="&amp;DATE($B$3,10,1),업무일지!$B$5:$B$1004,"&lt;"&amp;DATE($B$3,10+1,1),업무일지!$D$5:$D$1004,"분석")&gt;0,1,0))</f>
        <v/>
      </c>
      <c r="AL136">
        <f>IF($O136="",0,IF(COUNTIFS(업무일지!$F$5:$F$1004,$O136,업무일지!$B$5:$B$1004,"&gt;="&amp;DATE($B$3,11,1),업무일지!$B$5:$B$1004,"&lt;"&amp;DATE($B$3,11+1,1),업무일지!$D$5:$D$1004,"분석")&gt;0,1,0))</f>
        <v/>
      </c>
      <c r="AM136">
        <f>IF($O136="",0,IF(COUNTIFS(업무일지!$F$5:$F$1004,$O136,업무일지!$B$5:$B$1004,"&gt;="&amp;DATE($B$3,12,1),업무일지!$B$5:$B$1004,"&lt;"&amp;DATE($B$3,12+1,1),업무일지!$D$5:$D$1004,"분석")&gt;0,1,0))</f>
        <v/>
      </c>
      <c r="AN136">
        <f>IF($O136="",0,IF(COUNTIFS(업무일지!$F$5:$F$1004,$O136,업무일지!$B$5:$B$1004,"&gt;="&amp;DATE($B$3,1,1),업무일지!$B$5:$B$1004,"&lt;"&amp;DATE($B$3,1+1,1))&gt;0,1,0))</f>
        <v/>
      </c>
      <c r="AO136">
        <f>IF($O136="",0,IF(COUNTIFS(업무일지!$F$5:$F$1004,$O136,업무일지!$B$5:$B$1004,"&gt;="&amp;DATE($B$3,2,1),업무일지!$B$5:$B$1004,"&lt;"&amp;DATE($B$3,2+1,1))&gt;0,1,0))</f>
        <v/>
      </c>
      <c r="AP136">
        <f>IF($O136="",0,IF(COUNTIFS(업무일지!$F$5:$F$1004,$O136,업무일지!$B$5:$B$1004,"&gt;="&amp;DATE($B$3,3,1),업무일지!$B$5:$B$1004,"&lt;"&amp;DATE($B$3,3+1,1))&gt;0,1,0))</f>
        <v/>
      </c>
      <c r="AQ136">
        <f>IF($O136="",0,IF(COUNTIFS(업무일지!$F$5:$F$1004,$O136,업무일지!$B$5:$B$1004,"&gt;="&amp;DATE($B$3,4,1),업무일지!$B$5:$B$1004,"&lt;"&amp;DATE($B$3,4+1,1))&gt;0,1,0))</f>
        <v/>
      </c>
      <c r="AR136">
        <f>IF($O136="",0,IF(COUNTIFS(업무일지!$F$5:$F$1004,$O136,업무일지!$B$5:$B$1004,"&gt;="&amp;DATE($B$3,5,1),업무일지!$B$5:$B$1004,"&lt;"&amp;DATE($B$3,5+1,1))&gt;0,1,0))</f>
        <v/>
      </c>
      <c r="AS136">
        <f>IF($O136="",0,IF(COUNTIFS(업무일지!$F$5:$F$1004,$O136,업무일지!$B$5:$B$1004,"&gt;="&amp;DATE($B$3,6,1),업무일지!$B$5:$B$1004,"&lt;"&amp;DATE($B$3,6+1,1))&gt;0,1,0))</f>
        <v/>
      </c>
      <c r="AT136">
        <f>IF($O136="",0,IF(COUNTIFS(업무일지!$F$5:$F$1004,$O136,업무일지!$B$5:$B$1004,"&gt;="&amp;DATE($B$3,7,1),업무일지!$B$5:$B$1004,"&lt;"&amp;DATE($B$3,7+1,1))&gt;0,1,0))</f>
        <v/>
      </c>
      <c r="AU136">
        <f>IF($O136="",0,IF(COUNTIFS(업무일지!$F$5:$F$1004,$O136,업무일지!$B$5:$B$1004,"&gt;="&amp;DATE($B$3,8,1),업무일지!$B$5:$B$1004,"&lt;"&amp;DATE($B$3,8+1,1))&gt;0,1,0))</f>
        <v/>
      </c>
      <c r="AV136">
        <f>IF($O136="",0,IF(COUNTIFS(업무일지!$F$5:$F$1004,$O136,업무일지!$B$5:$B$1004,"&gt;="&amp;DATE($B$3,9,1),업무일지!$B$5:$B$1004,"&lt;"&amp;DATE($B$3,9+1,1))&gt;0,1,0))</f>
        <v/>
      </c>
      <c r="AW136">
        <f>IF($O136="",0,IF(COUNTIFS(업무일지!$F$5:$F$1004,$O136,업무일지!$B$5:$B$1004,"&gt;="&amp;DATE($B$3,10,1),업무일지!$B$5:$B$1004,"&lt;"&amp;DATE($B$3,10+1,1))&gt;0,1,0))</f>
        <v/>
      </c>
      <c r="AX136">
        <f>IF($O136="",0,IF(COUNTIFS(업무일지!$F$5:$F$1004,$O136,업무일지!$B$5:$B$1004,"&gt;="&amp;DATE($B$3,11,1),업무일지!$B$5:$B$1004,"&lt;"&amp;DATE($B$3,11+1,1))&gt;0,1,0))</f>
        <v/>
      </c>
      <c r="AY136">
        <f>IF($O136="",0,IF(COUNTIFS(업무일지!$F$5:$F$1004,$O136,업무일지!$B$5:$B$1004,"&gt;="&amp;DATE($B$3,12,1),업무일지!$B$5:$B$1004,"&lt;"&amp;DATE($B$3,12+1,1))&gt;0,1,0))</f>
        <v/>
      </c>
      <c r="AZ136">
        <f>IF($O136="",0,IF(COUNTIFS(업무일지!$F$5:$F$1004,$O136,업무일지!$B$5:$B$1004,"&gt;="&amp;DATE($B$3,1,1),업무일지!$B$5:$B$1004,"&lt;"&amp;DATE($B$3+1,1,1),업무일지!$D$5:$D$1004,"출장")&gt;0,1,0))</f>
        <v/>
      </c>
      <c r="BA136">
        <f>IF($O136="",0,IF(COUNTIFS(업무일지!$F$5:$F$1004,$O136,업무일지!$B$5:$B$1004,"&gt;="&amp;DATE($B$3,1,1),업무일지!$B$5:$B$1004,"&lt;"&amp;DATE($B$3+1,1,1),업무일지!$D$5:$D$1004,"분석")&gt;0,1,0))</f>
        <v/>
      </c>
      <c r="BB136">
        <f>IF($O136="",0,IF(COUNTIFS(업무일지!$F$5:$F$1004,$O136,업무일지!$B$5:$B$1004,"&gt;="&amp;DATE($B$3,1,1),업무일지!$B$5:$B$1004,"&lt;"&amp;DATE($B$3+1,1,1))&gt;0,1,0))</f>
        <v/>
      </c>
    </row>
    <row r="137">
      <c r="O137">
        <f>IF(사건마스터!$A57="","",사건마스터!$A57)</f>
        <v/>
      </c>
      <c r="P137">
        <f>IF($O137="",0,IF(COUNTIFS(업무일지!$F$5:$F$1004,$O137,업무일지!$B$5:$B$1004,"&gt;="&amp;DATE($B$3,1,1),업무일지!$B$5:$B$1004,"&lt;"&amp;DATE($B$3,1+1,1),업무일지!$D$5:$D$1004,"출장")&gt;0,1,0))</f>
        <v/>
      </c>
      <c r="Q137">
        <f>IF($O137="",0,IF(COUNTIFS(업무일지!$F$5:$F$1004,$O137,업무일지!$B$5:$B$1004,"&gt;="&amp;DATE($B$3,2,1),업무일지!$B$5:$B$1004,"&lt;"&amp;DATE($B$3,2+1,1),업무일지!$D$5:$D$1004,"출장")&gt;0,1,0))</f>
        <v/>
      </c>
      <c r="R137">
        <f>IF($O137="",0,IF(COUNTIFS(업무일지!$F$5:$F$1004,$O137,업무일지!$B$5:$B$1004,"&gt;="&amp;DATE($B$3,3,1),업무일지!$B$5:$B$1004,"&lt;"&amp;DATE($B$3,3+1,1),업무일지!$D$5:$D$1004,"출장")&gt;0,1,0))</f>
        <v/>
      </c>
      <c r="S137">
        <f>IF($O137="",0,IF(COUNTIFS(업무일지!$F$5:$F$1004,$O137,업무일지!$B$5:$B$1004,"&gt;="&amp;DATE($B$3,4,1),업무일지!$B$5:$B$1004,"&lt;"&amp;DATE($B$3,4+1,1),업무일지!$D$5:$D$1004,"출장")&gt;0,1,0))</f>
        <v/>
      </c>
      <c r="T137">
        <f>IF($O137="",0,IF(COUNTIFS(업무일지!$F$5:$F$1004,$O137,업무일지!$B$5:$B$1004,"&gt;="&amp;DATE($B$3,5,1),업무일지!$B$5:$B$1004,"&lt;"&amp;DATE($B$3,5+1,1),업무일지!$D$5:$D$1004,"출장")&gt;0,1,0))</f>
        <v/>
      </c>
      <c r="U137">
        <f>IF($O137="",0,IF(COUNTIFS(업무일지!$F$5:$F$1004,$O137,업무일지!$B$5:$B$1004,"&gt;="&amp;DATE($B$3,6,1),업무일지!$B$5:$B$1004,"&lt;"&amp;DATE($B$3,6+1,1),업무일지!$D$5:$D$1004,"출장")&gt;0,1,0))</f>
        <v/>
      </c>
      <c r="V137">
        <f>IF($O137="",0,IF(COUNTIFS(업무일지!$F$5:$F$1004,$O137,업무일지!$B$5:$B$1004,"&gt;="&amp;DATE($B$3,7,1),업무일지!$B$5:$B$1004,"&lt;"&amp;DATE($B$3,7+1,1),업무일지!$D$5:$D$1004,"출장")&gt;0,1,0))</f>
        <v/>
      </c>
      <c r="W137">
        <f>IF($O137="",0,IF(COUNTIFS(업무일지!$F$5:$F$1004,$O137,업무일지!$B$5:$B$1004,"&gt;="&amp;DATE($B$3,8,1),업무일지!$B$5:$B$1004,"&lt;"&amp;DATE($B$3,8+1,1),업무일지!$D$5:$D$1004,"출장")&gt;0,1,0))</f>
        <v/>
      </c>
      <c r="X137">
        <f>IF($O137="",0,IF(COUNTIFS(업무일지!$F$5:$F$1004,$O137,업무일지!$B$5:$B$1004,"&gt;="&amp;DATE($B$3,9,1),업무일지!$B$5:$B$1004,"&lt;"&amp;DATE($B$3,9+1,1),업무일지!$D$5:$D$1004,"출장")&gt;0,1,0))</f>
        <v/>
      </c>
      <c r="Y137">
        <f>IF($O137="",0,IF(COUNTIFS(업무일지!$F$5:$F$1004,$O137,업무일지!$B$5:$B$1004,"&gt;="&amp;DATE($B$3,10,1),업무일지!$B$5:$B$1004,"&lt;"&amp;DATE($B$3,10+1,1),업무일지!$D$5:$D$1004,"출장")&gt;0,1,0))</f>
        <v/>
      </c>
      <c r="Z137">
        <f>IF($O137="",0,IF(COUNTIFS(업무일지!$F$5:$F$1004,$O137,업무일지!$B$5:$B$1004,"&gt;="&amp;DATE($B$3,11,1),업무일지!$B$5:$B$1004,"&lt;"&amp;DATE($B$3,11+1,1),업무일지!$D$5:$D$1004,"출장")&gt;0,1,0))</f>
        <v/>
      </c>
      <c r="AA137">
        <f>IF($O137="",0,IF(COUNTIFS(업무일지!$F$5:$F$1004,$O137,업무일지!$B$5:$B$1004,"&gt;="&amp;DATE($B$3,12,1),업무일지!$B$5:$B$1004,"&lt;"&amp;DATE($B$3,12+1,1),업무일지!$D$5:$D$1004,"출장")&gt;0,1,0))</f>
        <v/>
      </c>
      <c r="AB137">
        <f>IF($O137="",0,IF(COUNTIFS(업무일지!$F$5:$F$1004,$O137,업무일지!$B$5:$B$1004,"&gt;="&amp;DATE($B$3,1,1),업무일지!$B$5:$B$1004,"&lt;"&amp;DATE($B$3,1+1,1),업무일지!$D$5:$D$1004,"분석")&gt;0,1,0))</f>
        <v/>
      </c>
      <c r="AC137">
        <f>IF($O137="",0,IF(COUNTIFS(업무일지!$F$5:$F$1004,$O137,업무일지!$B$5:$B$1004,"&gt;="&amp;DATE($B$3,2,1),업무일지!$B$5:$B$1004,"&lt;"&amp;DATE($B$3,2+1,1),업무일지!$D$5:$D$1004,"분석")&gt;0,1,0))</f>
        <v/>
      </c>
      <c r="AD137">
        <f>IF($O137="",0,IF(COUNTIFS(업무일지!$F$5:$F$1004,$O137,업무일지!$B$5:$B$1004,"&gt;="&amp;DATE($B$3,3,1),업무일지!$B$5:$B$1004,"&lt;"&amp;DATE($B$3,3+1,1),업무일지!$D$5:$D$1004,"분석")&gt;0,1,0))</f>
        <v/>
      </c>
      <c r="AE137">
        <f>IF($O137="",0,IF(COUNTIFS(업무일지!$F$5:$F$1004,$O137,업무일지!$B$5:$B$1004,"&gt;="&amp;DATE($B$3,4,1),업무일지!$B$5:$B$1004,"&lt;"&amp;DATE($B$3,4+1,1),업무일지!$D$5:$D$1004,"분석")&gt;0,1,0))</f>
        <v/>
      </c>
      <c r="AF137">
        <f>IF($O137="",0,IF(COUNTIFS(업무일지!$F$5:$F$1004,$O137,업무일지!$B$5:$B$1004,"&gt;="&amp;DATE($B$3,5,1),업무일지!$B$5:$B$1004,"&lt;"&amp;DATE($B$3,5+1,1),업무일지!$D$5:$D$1004,"분석")&gt;0,1,0))</f>
        <v/>
      </c>
      <c r="AG137">
        <f>IF($O137="",0,IF(COUNTIFS(업무일지!$F$5:$F$1004,$O137,업무일지!$B$5:$B$1004,"&gt;="&amp;DATE($B$3,6,1),업무일지!$B$5:$B$1004,"&lt;"&amp;DATE($B$3,6+1,1),업무일지!$D$5:$D$1004,"분석")&gt;0,1,0))</f>
        <v/>
      </c>
      <c r="AH137">
        <f>IF($O137="",0,IF(COUNTIFS(업무일지!$F$5:$F$1004,$O137,업무일지!$B$5:$B$1004,"&gt;="&amp;DATE($B$3,7,1),업무일지!$B$5:$B$1004,"&lt;"&amp;DATE($B$3,7+1,1),업무일지!$D$5:$D$1004,"분석")&gt;0,1,0))</f>
        <v/>
      </c>
      <c r="AI137">
        <f>IF($O137="",0,IF(COUNTIFS(업무일지!$F$5:$F$1004,$O137,업무일지!$B$5:$B$1004,"&gt;="&amp;DATE($B$3,8,1),업무일지!$B$5:$B$1004,"&lt;"&amp;DATE($B$3,8+1,1),업무일지!$D$5:$D$1004,"분석")&gt;0,1,0))</f>
        <v/>
      </c>
      <c r="AJ137">
        <f>IF($O137="",0,IF(COUNTIFS(업무일지!$F$5:$F$1004,$O137,업무일지!$B$5:$B$1004,"&gt;="&amp;DATE($B$3,9,1),업무일지!$B$5:$B$1004,"&lt;"&amp;DATE($B$3,9+1,1),업무일지!$D$5:$D$1004,"분석")&gt;0,1,0))</f>
        <v/>
      </c>
      <c r="AK137">
        <f>IF($O137="",0,IF(COUNTIFS(업무일지!$F$5:$F$1004,$O137,업무일지!$B$5:$B$1004,"&gt;="&amp;DATE($B$3,10,1),업무일지!$B$5:$B$1004,"&lt;"&amp;DATE($B$3,10+1,1),업무일지!$D$5:$D$1004,"분석")&gt;0,1,0))</f>
        <v/>
      </c>
      <c r="AL137">
        <f>IF($O137="",0,IF(COUNTIFS(업무일지!$F$5:$F$1004,$O137,업무일지!$B$5:$B$1004,"&gt;="&amp;DATE($B$3,11,1),업무일지!$B$5:$B$1004,"&lt;"&amp;DATE($B$3,11+1,1),업무일지!$D$5:$D$1004,"분석")&gt;0,1,0))</f>
        <v/>
      </c>
      <c r="AM137">
        <f>IF($O137="",0,IF(COUNTIFS(업무일지!$F$5:$F$1004,$O137,업무일지!$B$5:$B$1004,"&gt;="&amp;DATE($B$3,12,1),업무일지!$B$5:$B$1004,"&lt;"&amp;DATE($B$3,12+1,1),업무일지!$D$5:$D$1004,"분석")&gt;0,1,0))</f>
        <v/>
      </c>
      <c r="AN137">
        <f>IF($O137="",0,IF(COUNTIFS(업무일지!$F$5:$F$1004,$O137,업무일지!$B$5:$B$1004,"&gt;="&amp;DATE($B$3,1,1),업무일지!$B$5:$B$1004,"&lt;"&amp;DATE($B$3,1+1,1))&gt;0,1,0))</f>
        <v/>
      </c>
      <c r="AO137">
        <f>IF($O137="",0,IF(COUNTIFS(업무일지!$F$5:$F$1004,$O137,업무일지!$B$5:$B$1004,"&gt;="&amp;DATE($B$3,2,1),업무일지!$B$5:$B$1004,"&lt;"&amp;DATE($B$3,2+1,1))&gt;0,1,0))</f>
        <v/>
      </c>
      <c r="AP137">
        <f>IF($O137="",0,IF(COUNTIFS(업무일지!$F$5:$F$1004,$O137,업무일지!$B$5:$B$1004,"&gt;="&amp;DATE($B$3,3,1),업무일지!$B$5:$B$1004,"&lt;"&amp;DATE($B$3,3+1,1))&gt;0,1,0))</f>
        <v/>
      </c>
      <c r="AQ137">
        <f>IF($O137="",0,IF(COUNTIFS(업무일지!$F$5:$F$1004,$O137,업무일지!$B$5:$B$1004,"&gt;="&amp;DATE($B$3,4,1),업무일지!$B$5:$B$1004,"&lt;"&amp;DATE($B$3,4+1,1))&gt;0,1,0))</f>
        <v/>
      </c>
      <c r="AR137">
        <f>IF($O137="",0,IF(COUNTIFS(업무일지!$F$5:$F$1004,$O137,업무일지!$B$5:$B$1004,"&gt;="&amp;DATE($B$3,5,1),업무일지!$B$5:$B$1004,"&lt;"&amp;DATE($B$3,5+1,1))&gt;0,1,0))</f>
        <v/>
      </c>
      <c r="AS137">
        <f>IF($O137="",0,IF(COUNTIFS(업무일지!$F$5:$F$1004,$O137,업무일지!$B$5:$B$1004,"&gt;="&amp;DATE($B$3,6,1),업무일지!$B$5:$B$1004,"&lt;"&amp;DATE($B$3,6+1,1))&gt;0,1,0))</f>
        <v/>
      </c>
      <c r="AT137">
        <f>IF($O137="",0,IF(COUNTIFS(업무일지!$F$5:$F$1004,$O137,업무일지!$B$5:$B$1004,"&gt;="&amp;DATE($B$3,7,1),업무일지!$B$5:$B$1004,"&lt;"&amp;DATE($B$3,7+1,1))&gt;0,1,0))</f>
        <v/>
      </c>
      <c r="AU137">
        <f>IF($O137="",0,IF(COUNTIFS(업무일지!$F$5:$F$1004,$O137,업무일지!$B$5:$B$1004,"&gt;="&amp;DATE($B$3,8,1),업무일지!$B$5:$B$1004,"&lt;"&amp;DATE($B$3,8+1,1))&gt;0,1,0))</f>
        <v/>
      </c>
      <c r="AV137">
        <f>IF($O137="",0,IF(COUNTIFS(업무일지!$F$5:$F$1004,$O137,업무일지!$B$5:$B$1004,"&gt;="&amp;DATE($B$3,9,1),업무일지!$B$5:$B$1004,"&lt;"&amp;DATE($B$3,9+1,1))&gt;0,1,0))</f>
        <v/>
      </c>
      <c r="AW137">
        <f>IF($O137="",0,IF(COUNTIFS(업무일지!$F$5:$F$1004,$O137,업무일지!$B$5:$B$1004,"&gt;="&amp;DATE($B$3,10,1),업무일지!$B$5:$B$1004,"&lt;"&amp;DATE($B$3,10+1,1))&gt;0,1,0))</f>
        <v/>
      </c>
      <c r="AX137">
        <f>IF($O137="",0,IF(COUNTIFS(업무일지!$F$5:$F$1004,$O137,업무일지!$B$5:$B$1004,"&gt;="&amp;DATE($B$3,11,1),업무일지!$B$5:$B$1004,"&lt;"&amp;DATE($B$3,11+1,1))&gt;0,1,0))</f>
        <v/>
      </c>
      <c r="AY137">
        <f>IF($O137="",0,IF(COUNTIFS(업무일지!$F$5:$F$1004,$O137,업무일지!$B$5:$B$1004,"&gt;="&amp;DATE($B$3,12,1),업무일지!$B$5:$B$1004,"&lt;"&amp;DATE($B$3,12+1,1))&gt;0,1,0))</f>
        <v/>
      </c>
      <c r="AZ137">
        <f>IF($O137="",0,IF(COUNTIFS(업무일지!$F$5:$F$1004,$O137,업무일지!$B$5:$B$1004,"&gt;="&amp;DATE($B$3,1,1),업무일지!$B$5:$B$1004,"&lt;"&amp;DATE($B$3+1,1,1),업무일지!$D$5:$D$1004,"출장")&gt;0,1,0))</f>
        <v/>
      </c>
      <c r="BA137">
        <f>IF($O137="",0,IF(COUNTIFS(업무일지!$F$5:$F$1004,$O137,업무일지!$B$5:$B$1004,"&gt;="&amp;DATE($B$3,1,1),업무일지!$B$5:$B$1004,"&lt;"&amp;DATE($B$3+1,1,1),업무일지!$D$5:$D$1004,"분석")&gt;0,1,0))</f>
        <v/>
      </c>
      <c r="BB137">
        <f>IF($O137="",0,IF(COUNTIFS(업무일지!$F$5:$F$1004,$O137,업무일지!$B$5:$B$1004,"&gt;="&amp;DATE($B$3,1,1),업무일지!$B$5:$B$1004,"&lt;"&amp;DATE($B$3+1,1,1))&gt;0,1,0))</f>
        <v/>
      </c>
    </row>
    <row r="138">
      <c r="O138">
        <f>IF(사건마스터!$A58="","",사건마스터!$A58)</f>
        <v/>
      </c>
      <c r="P138">
        <f>IF($O138="",0,IF(COUNTIFS(업무일지!$F$5:$F$1004,$O138,업무일지!$B$5:$B$1004,"&gt;="&amp;DATE($B$3,1,1),업무일지!$B$5:$B$1004,"&lt;"&amp;DATE($B$3,1+1,1),업무일지!$D$5:$D$1004,"출장")&gt;0,1,0))</f>
        <v/>
      </c>
      <c r="Q138">
        <f>IF($O138="",0,IF(COUNTIFS(업무일지!$F$5:$F$1004,$O138,업무일지!$B$5:$B$1004,"&gt;="&amp;DATE($B$3,2,1),업무일지!$B$5:$B$1004,"&lt;"&amp;DATE($B$3,2+1,1),업무일지!$D$5:$D$1004,"출장")&gt;0,1,0))</f>
        <v/>
      </c>
      <c r="R138">
        <f>IF($O138="",0,IF(COUNTIFS(업무일지!$F$5:$F$1004,$O138,업무일지!$B$5:$B$1004,"&gt;="&amp;DATE($B$3,3,1),업무일지!$B$5:$B$1004,"&lt;"&amp;DATE($B$3,3+1,1),업무일지!$D$5:$D$1004,"출장")&gt;0,1,0))</f>
        <v/>
      </c>
      <c r="S138">
        <f>IF($O138="",0,IF(COUNTIFS(업무일지!$F$5:$F$1004,$O138,업무일지!$B$5:$B$1004,"&gt;="&amp;DATE($B$3,4,1),업무일지!$B$5:$B$1004,"&lt;"&amp;DATE($B$3,4+1,1),업무일지!$D$5:$D$1004,"출장")&gt;0,1,0))</f>
        <v/>
      </c>
      <c r="T138">
        <f>IF($O138="",0,IF(COUNTIFS(업무일지!$F$5:$F$1004,$O138,업무일지!$B$5:$B$1004,"&gt;="&amp;DATE($B$3,5,1),업무일지!$B$5:$B$1004,"&lt;"&amp;DATE($B$3,5+1,1),업무일지!$D$5:$D$1004,"출장")&gt;0,1,0))</f>
        <v/>
      </c>
      <c r="U138">
        <f>IF($O138="",0,IF(COUNTIFS(업무일지!$F$5:$F$1004,$O138,업무일지!$B$5:$B$1004,"&gt;="&amp;DATE($B$3,6,1),업무일지!$B$5:$B$1004,"&lt;"&amp;DATE($B$3,6+1,1),업무일지!$D$5:$D$1004,"출장")&gt;0,1,0))</f>
        <v/>
      </c>
      <c r="V138">
        <f>IF($O138="",0,IF(COUNTIFS(업무일지!$F$5:$F$1004,$O138,업무일지!$B$5:$B$1004,"&gt;="&amp;DATE($B$3,7,1),업무일지!$B$5:$B$1004,"&lt;"&amp;DATE($B$3,7+1,1),업무일지!$D$5:$D$1004,"출장")&gt;0,1,0))</f>
        <v/>
      </c>
      <c r="W138">
        <f>IF($O138="",0,IF(COUNTIFS(업무일지!$F$5:$F$1004,$O138,업무일지!$B$5:$B$1004,"&gt;="&amp;DATE($B$3,8,1),업무일지!$B$5:$B$1004,"&lt;"&amp;DATE($B$3,8+1,1),업무일지!$D$5:$D$1004,"출장")&gt;0,1,0))</f>
        <v/>
      </c>
      <c r="X138">
        <f>IF($O138="",0,IF(COUNTIFS(업무일지!$F$5:$F$1004,$O138,업무일지!$B$5:$B$1004,"&gt;="&amp;DATE($B$3,9,1),업무일지!$B$5:$B$1004,"&lt;"&amp;DATE($B$3,9+1,1),업무일지!$D$5:$D$1004,"출장")&gt;0,1,0))</f>
        <v/>
      </c>
      <c r="Y138">
        <f>IF($O138="",0,IF(COUNTIFS(업무일지!$F$5:$F$1004,$O138,업무일지!$B$5:$B$1004,"&gt;="&amp;DATE($B$3,10,1),업무일지!$B$5:$B$1004,"&lt;"&amp;DATE($B$3,10+1,1),업무일지!$D$5:$D$1004,"출장")&gt;0,1,0))</f>
        <v/>
      </c>
      <c r="Z138">
        <f>IF($O138="",0,IF(COUNTIFS(업무일지!$F$5:$F$1004,$O138,업무일지!$B$5:$B$1004,"&gt;="&amp;DATE($B$3,11,1),업무일지!$B$5:$B$1004,"&lt;"&amp;DATE($B$3,11+1,1),업무일지!$D$5:$D$1004,"출장")&gt;0,1,0))</f>
        <v/>
      </c>
      <c r="AA138">
        <f>IF($O138="",0,IF(COUNTIFS(업무일지!$F$5:$F$1004,$O138,업무일지!$B$5:$B$1004,"&gt;="&amp;DATE($B$3,12,1),업무일지!$B$5:$B$1004,"&lt;"&amp;DATE($B$3,12+1,1),업무일지!$D$5:$D$1004,"출장")&gt;0,1,0))</f>
        <v/>
      </c>
      <c r="AB138">
        <f>IF($O138="",0,IF(COUNTIFS(업무일지!$F$5:$F$1004,$O138,업무일지!$B$5:$B$1004,"&gt;="&amp;DATE($B$3,1,1),업무일지!$B$5:$B$1004,"&lt;"&amp;DATE($B$3,1+1,1),업무일지!$D$5:$D$1004,"분석")&gt;0,1,0))</f>
        <v/>
      </c>
      <c r="AC138">
        <f>IF($O138="",0,IF(COUNTIFS(업무일지!$F$5:$F$1004,$O138,업무일지!$B$5:$B$1004,"&gt;="&amp;DATE($B$3,2,1),업무일지!$B$5:$B$1004,"&lt;"&amp;DATE($B$3,2+1,1),업무일지!$D$5:$D$1004,"분석")&gt;0,1,0))</f>
        <v/>
      </c>
      <c r="AD138">
        <f>IF($O138="",0,IF(COUNTIFS(업무일지!$F$5:$F$1004,$O138,업무일지!$B$5:$B$1004,"&gt;="&amp;DATE($B$3,3,1),업무일지!$B$5:$B$1004,"&lt;"&amp;DATE($B$3,3+1,1),업무일지!$D$5:$D$1004,"분석")&gt;0,1,0))</f>
        <v/>
      </c>
      <c r="AE138">
        <f>IF($O138="",0,IF(COUNTIFS(업무일지!$F$5:$F$1004,$O138,업무일지!$B$5:$B$1004,"&gt;="&amp;DATE($B$3,4,1),업무일지!$B$5:$B$1004,"&lt;"&amp;DATE($B$3,4+1,1),업무일지!$D$5:$D$1004,"분석")&gt;0,1,0))</f>
        <v/>
      </c>
      <c r="AF138">
        <f>IF($O138="",0,IF(COUNTIFS(업무일지!$F$5:$F$1004,$O138,업무일지!$B$5:$B$1004,"&gt;="&amp;DATE($B$3,5,1),업무일지!$B$5:$B$1004,"&lt;"&amp;DATE($B$3,5+1,1),업무일지!$D$5:$D$1004,"분석")&gt;0,1,0))</f>
        <v/>
      </c>
      <c r="AG138">
        <f>IF($O138="",0,IF(COUNTIFS(업무일지!$F$5:$F$1004,$O138,업무일지!$B$5:$B$1004,"&gt;="&amp;DATE($B$3,6,1),업무일지!$B$5:$B$1004,"&lt;"&amp;DATE($B$3,6+1,1),업무일지!$D$5:$D$1004,"분석")&gt;0,1,0))</f>
        <v/>
      </c>
      <c r="AH138">
        <f>IF($O138="",0,IF(COUNTIFS(업무일지!$F$5:$F$1004,$O138,업무일지!$B$5:$B$1004,"&gt;="&amp;DATE($B$3,7,1),업무일지!$B$5:$B$1004,"&lt;"&amp;DATE($B$3,7+1,1),업무일지!$D$5:$D$1004,"분석")&gt;0,1,0))</f>
        <v/>
      </c>
      <c r="AI138">
        <f>IF($O138="",0,IF(COUNTIFS(업무일지!$F$5:$F$1004,$O138,업무일지!$B$5:$B$1004,"&gt;="&amp;DATE($B$3,8,1),업무일지!$B$5:$B$1004,"&lt;"&amp;DATE($B$3,8+1,1),업무일지!$D$5:$D$1004,"분석")&gt;0,1,0))</f>
        <v/>
      </c>
      <c r="AJ138">
        <f>IF($O138="",0,IF(COUNTIFS(업무일지!$F$5:$F$1004,$O138,업무일지!$B$5:$B$1004,"&gt;="&amp;DATE($B$3,9,1),업무일지!$B$5:$B$1004,"&lt;"&amp;DATE($B$3,9+1,1),업무일지!$D$5:$D$1004,"분석")&gt;0,1,0))</f>
        <v/>
      </c>
      <c r="AK138">
        <f>IF($O138="",0,IF(COUNTIFS(업무일지!$F$5:$F$1004,$O138,업무일지!$B$5:$B$1004,"&gt;="&amp;DATE($B$3,10,1),업무일지!$B$5:$B$1004,"&lt;"&amp;DATE($B$3,10+1,1),업무일지!$D$5:$D$1004,"분석")&gt;0,1,0))</f>
        <v/>
      </c>
      <c r="AL138">
        <f>IF($O138="",0,IF(COUNTIFS(업무일지!$F$5:$F$1004,$O138,업무일지!$B$5:$B$1004,"&gt;="&amp;DATE($B$3,11,1),업무일지!$B$5:$B$1004,"&lt;"&amp;DATE($B$3,11+1,1),업무일지!$D$5:$D$1004,"분석")&gt;0,1,0))</f>
        <v/>
      </c>
      <c r="AM138">
        <f>IF($O138="",0,IF(COUNTIFS(업무일지!$F$5:$F$1004,$O138,업무일지!$B$5:$B$1004,"&gt;="&amp;DATE($B$3,12,1),업무일지!$B$5:$B$1004,"&lt;"&amp;DATE($B$3,12+1,1),업무일지!$D$5:$D$1004,"분석")&gt;0,1,0))</f>
        <v/>
      </c>
      <c r="AN138">
        <f>IF($O138="",0,IF(COUNTIFS(업무일지!$F$5:$F$1004,$O138,업무일지!$B$5:$B$1004,"&gt;="&amp;DATE($B$3,1,1),업무일지!$B$5:$B$1004,"&lt;"&amp;DATE($B$3,1+1,1))&gt;0,1,0))</f>
        <v/>
      </c>
      <c r="AO138">
        <f>IF($O138="",0,IF(COUNTIFS(업무일지!$F$5:$F$1004,$O138,업무일지!$B$5:$B$1004,"&gt;="&amp;DATE($B$3,2,1),업무일지!$B$5:$B$1004,"&lt;"&amp;DATE($B$3,2+1,1))&gt;0,1,0))</f>
        <v/>
      </c>
      <c r="AP138">
        <f>IF($O138="",0,IF(COUNTIFS(업무일지!$F$5:$F$1004,$O138,업무일지!$B$5:$B$1004,"&gt;="&amp;DATE($B$3,3,1),업무일지!$B$5:$B$1004,"&lt;"&amp;DATE($B$3,3+1,1))&gt;0,1,0))</f>
        <v/>
      </c>
      <c r="AQ138">
        <f>IF($O138="",0,IF(COUNTIFS(업무일지!$F$5:$F$1004,$O138,업무일지!$B$5:$B$1004,"&gt;="&amp;DATE($B$3,4,1),업무일지!$B$5:$B$1004,"&lt;"&amp;DATE($B$3,4+1,1))&gt;0,1,0))</f>
        <v/>
      </c>
      <c r="AR138">
        <f>IF($O138="",0,IF(COUNTIFS(업무일지!$F$5:$F$1004,$O138,업무일지!$B$5:$B$1004,"&gt;="&amp;DATE($B$3,5,1),업무일지!$B$5:$B$1004,"&lt;"&amp;DATE($B$3,5+1,1))&gt;0,1,0))</f>
        <v/>
      </c>
      <c r="AS138">
        <f>IF($O138="",0,IF(COUNTIFS(업무일지!$F$5:$F$1004,$O138,업무일지!$B$5:$B$1004,"&gt;="&amp;DATE($B$3,6,1),업무일지!$B$5:$B$1004,"&lt;"&amp;DATE($B$3,6+1,1))&gt;0,1,0))</f>
        <v/>
      </c>
      <c r="AT138">
        <f>IF($O138="",0,IF(COUNTIFS(업무일지!$F$5:$F$1004,$O138,업무일지!$B$5:$B$1004,"&gt;="&amp;DATE($B$3,7,1),업무일지!$B$5:$B$1004,"&lt;"&amp;DATE($B$3,7+1,1))&gt;0,1,0))</f>
        <v/>
      </c>
      <c r="AU138">
        <f>IF($O138="",0,IF(COUNTIFS(업무일지!$F$5:$F$1004,$O138,업무일지!$B$5:$B$1004,"&gt;="&amp;DATE($B$3,8,1),업무일지!$B$5:$B$1004,"&lt;"&amp;DATE($B$3,8+1,1))&gt;0,1,0))</f>
        <v/>
      </c>
      <c r="AV138">
        <f>IF($O138="",0,IF(COUNTIFS(업무일지!$F$5:$F$1004,$O138,업무일지!$B$5:$B$1004,"&gt;="&amp;DATE($B$3,9,1),업무일지!$B$5:$B$1004,"&lt;"&amp;DATE($B$3,9+1,1))&gt;0,1,0))</f>
        <v/>
      </c>
      <c r="AW138">
        <f>IF($O138="",0,IF(COUNTIFS(업무일지!$F$5:$F$1004,$O138,업무일지!$B$5:$B$1004,"&gt;="&amp;DATE($B$3,10,1),업무일지!$B$5:$B$1004,"&lt;"&amp;DATE($B$3,10+1,1))&gt;0,1,0))</f>
        <v/>
      </c>
      <c r="AX138">
        <f>IF($O138="",0,IF(COUNTIFS(업무일지!$F$5:$F$1004,$O138,업무일지!$B$5:$B$1004,"&gt;="&amp;DATE($B$3,11,1),업무일지!$B$5:$B$1004,"&lt;"&amp;DATE($B$3,11+1,1))&gt;0,1,0))</f>
        <v/>
      </c>
      <c r="AY138">
        <f>IF($O138="",0,IF(COUNTIFS(업무일지!$F$5:$F$1004,$O138,업무일지!$B$5:$B$1004,"&gt;="&amp;DATE($B$3,12,1),업무일지!$B$5:$B$1004,"&lt;"&amp;DATE($B$3,12+1,1))&gt;0,1,0))</f>
        <v/>
      </c>
      <c r="AZ138">
        <f>IF($O138="",0,IF(COUNTIFS(업무일지!$F$5:$F$1004,$O138,업무일지!$B$5:$B$1004,"&gt;="&amp;DATE($B$3,1,1),업무일지!$B$5:$B$1004,"&lt;"&amp;DATE($B$3+1,1,1),업무일지!$D$5:$D$1004,"출장")&gt;0,1,0))</f>
        <v/>
      </c>
      <c r="BA138">
        <f>IF($O138="",0,IF(COUNTIFS(업무일지!$F$5:$F$1004,$O138,업무일지!$B$5:$B$1004,"&gt;="&amp;DATE($B$3,1,1),업무일지!$B$5:$B$1004,"&lt;"&amp;DATE($B$3+1,1,1),업무일지!$D$5:$D$1004,"분석")&gt;0,1,0))</f>
        <v/>
      </c>
      <c r="BB138">
        <f>IF($O138="",0,IF(COUNTIFS(업무일지!$F$5:$F$1004,$O138,업무일지!$B$5:$B$1004,"&gt;="&amp;DATE($B$3,1,1),업무일지!$B$5:$B$1004,"&lt;"&amp;DATE($B$3+1,1,1))&gt;0,1,0))</f>
        <v/>
      </c>
    </row>
    <row r="139">
      <c r="O139">
        <f>IF(사건마스터!$A59="","",사건마스터!$A59)</f>
        <v/>
      </c>
      <c r="P139">
        <f>IF($O139="",0,IF(COUNTIFS(업무일지!$F$5:$F$1004,$O139,업무일지!$B$5:$B$1004,"&gt;="&amp;DATE($B$3,1,1),업무일지!$B$5:$B$1004,"&lt;"&amp;DATE($B$3,1+1,1),업무일지!$D$5:$D$1004,"출장")&gt;0,1,0))</f>
        <v/>
      </c>
      <c r="Q139">
        <f>IF($O139="",0,IF(COUNTIFS(업무일지!$F$5:$F$1004,$O139,업무일지!$B$5:$B$1004,"&gt;="&amp;DATE($B$3,2,1),업무일지!$B$5:$B$1004,"&lt;"&amp;DATE($B$3,2+1,1),업무일지!$D$5:$D$1004,"출장")&gt;0,1,0))</f>
        <v/>
      </c>
      <c r="R139">
        <f>IF($O139="",0,IF(COUNTIFS(업무일지!$F$5:$F$1004,$O139,업무일지!$B$5:$B$1004,"&gt;="&amp;DATE($B$3,3,1),업무일지!$B$5:$B$1004,"&lt;"&amp;DATE($B$3,3+1,1),업무일지!$D$5:$D$1004,"출장")&gt;0,1,0))</f>
        <v/>
      </c>
      <c r="S139">
        <f>IF($O139="",0,IF(COUNTIFS(업무일지!$F$5:$F$1004,$O139,업무일지!$B$5:$B$1004,"&gt;="&amp;DATE($B$3,4,1),업무일지!$B$5:$B$1004,"&lt;"&amp;DATE($B$3,4+1,1),업무일지!$D$5:$D$1004,"출장")&gt;0,1,0))</f>
        <v/>
      </c>
      <c r="T139">
        <f>IF($O139="",0,IF(COUNTIFS(업무일지!$F$5:$F$1004,$O139,업무일지!$B$5:$B$1004,"&gt;="&amp;DATE($B$3,5,1),업무일지!$B$5:$B$1004,"&lt;"&amp;DATE($B$3,5+1,1),업무일지!$D$5:$D$1004,"출장")&gt;0,1,0))</f>
        <v/>
      </c>
      <c r="U139">
        <f>IF($O139="",0,IF(COUNTIFS(업무일지!$F$5:$F$1004,$O139,업무일지!$B$5:$B$1004,"&gt;="&amp;DATE($B$3,6,1),업무일지!$B$5:$B$1004,"&lt;"&amp;DATE($B$3,6+1,1),업무일지!$D$5:$D$1004,"출장")&gt;0,1,0))</f>
        <v/>
      </c>
      <c r="V139">
        <f>IF($O139="",0,IF(COUNTIFS(업무일지!$F$5:$F$1004,$O139,업무일지!$B$5:$B$1004,"&gt;="&amp;DATE($B$3,7,1),업무일지!$B$5:$B$1004,"&lt;"&amp;DATE($B$3,7+1,1),업무일지!$D$5:$D$1004,"출장")&gt;0,1,0))</f>
        <v/>
      </c>
      <c r="W139">
        <f>IF($O139="",0,IF(COUNTIFS(업무일지!$F$5:$F$1004,$O139,업무일지!$B$5:$B$1004,"&gt;="&amp;DATE($B$3,8,1),업무일지!$B$5:$B$1004,"&lt;"&amp;DATE($B$3,8+1,1),업무일지!$D$5:$D$1004,"출장")&gt;0,1,0))</f>
        <v/>
      </c>
      <c r="X139">
        <f>IF($O139="",0,IF(COUNTIFS(업무일지!$F$5:$F$1004,$O139,업무일지!$B$5:$B$1004,"&gt;="&amp;DATE($B$3,9,1),업무일지!$B$5:$B$1004,"&lt;"&amp;DATE($B$3,9+1,1),업무일지!$D$5:$D$1004,"출장")&gt;0,1,0))</f>
        <v/>
      </c>
      <c r="Y139">
        <f>IF($O139="",0,IF(COUNTIFS(업무일지!$F$5:$F$1004,$O139,업무일지!$B$5:$B$1004,"&gt;="&amp;DATE($B$3,10,1),업무일지!$B$5:$B$1004,"&lt;"&amp;DATE($B$3,10+1,1),업무일지!$D$5:$D$1004,"출장")&gt;0,1,0))</f>
        <v/>
      </c>
      <c r="Z139">
        <f>IF($O139="",0,IF(COUNTIFS(업무일지!$F$5:$F$1004,$O139,업무일지!$B$5:$B$1004,"&gt;="&amp;DATE($B$3,11,1),업무일지!$B$5:$B$1004,"&lt;"&amp;DATE($B$3,11+1,1),업무일지!$D$5:$D$1004,"출장")&gt;0,1,0))</f>
        <v/>
      </c>
      <c r="AA139">
        <f>IF($O139="",0,IF(COUNTIFS(업무일지!$F$5:$F$1004,$O139,업무일지!$B$5:$B$1004,"&gt;="&amp;DATE($B$3,12,1),업무일지!$B$5:$B$1004,"&lt;"&amp;DATE($B$3,12+1,1),업무일지!$D$5:$D$1004,"출장")&gt;0,1,0))</f>
        <v/>
      </c>
      <c r="AB139">
        <f>IF($O139="",0,IF(COUNTIFS(업무일지!$F$5:$F$1004,$O139,업무일지!$B$5:$B$1004,"&gt;="&amp;DATE($B$3,1,1),업무일지!$B$5:$B$1004,"&lt;"&amp;DATE($B$3,1+1,1),업무일지!$D$5:$D$1004,"분석")&gt;0,1,0))</f>
        <v/>
      </c>
      <c r="AC139">
        <f>IF($O139="",0,IF(COUNTIFS(업무일지!$F$5:$F$1004,$O139,업무일지!$B$5:$B$1004,"&gt;="&amp;DATE($B$3,2,1),업무일지!$B$5:$B$1004,"&lt;"&amp;DATE($B$3,2+1,1),업무일지!$D$5:$D$1004,"분석")&gt;0,1,0))</f>
        <v/>
      </c>
      <c r="AD139">
        <f>IF($O139="",0,IF(COUNTIFS(업무일지!$F$5:$F$1004,$O139,업무일지!$B$5:$B$1004,"&gt;="&amp;DATE($B$3,3,1),업무일지!$B$5:$B$1004,"&lt;"&amp;DATE($B$3,3+1,1),업무일지!$D$5:$D$1004,"분석")&gt;0,1,0))</f>
        <v/>
      </c>
      <c r="AE139">
        <f>IF($O139="",0,IF(COUNTIFS(업무일지!$F$5:$F$1004,$O139,업무일지!$B$5:$B$1004,"&gt;="&amp;DATE($B$3,4,1),업무일지!$B$5:$B$1004,"&lt;"&amp;DATE($B$3,4+1,1),업무일지!$D$5:$D$1004,"분석")&gt;0,1,0))</f>
        <v/>
      </c>
      <c r="AF139">
        <f>IF($O139="",0,IF(COUNTIFS(업무일지!$F$5:$F$1004,$O139,업무일지!$B$5:$B$1004,"&gt;="&amp;DATE($B$3,5,1),업무일지!$B$5:$B$1004,"&lt;"&amp;DATE($B$3,5+1,1),업무일지!$D$5:$D$1004,"분석")&gt;0,1,0))</f>
        <v/>
      </c>
      <c r="AG139">
        <f>IF($O139="",0,IF(COUNTIFS(업무일지!$F$5:$F$1004,$O139,업무일지!$B$5:$B$1004,"&gt;="&amp;DATE($B$3,6,1),업무일지!$B$5:$B$1004,"&lt;"&amp;DATE($B$3,6+1,1),업무일지!$D$5:$D$1004,"분석")&gt;0,1,0))</f>
        <v/>
      </c>
      <c r="AH139">
        <f>IF($O139="",0,IF(COUNTIFS(업무일지!$F$5:$F$1004,$O139,업무일지!$B$5:$B$1004,"&gt;="&amp;DATE($B$3,7,1),업무일지!$B$5:$B$1004,"&lt;"&amp;DATE($B$3,7+1,1),업무일지!$D$5:$D$1004,"분석")&gt;0,1,0))</f>
        <v/>
      </c>
      <c r="AI139">
        <f>IF($O139="",0,IF(COUNTIFS(업무일지!$F$5:$F$1004,$O139,업무일지!$B$5:$B$1004,"&gt;="&amp;DATE($B$3,8,1),업무일지!$B$5:$B$1004,"&lt;"&amp;DATE($B$3,8+1,1),업무일지!$D$5:$D$1004,"분석")&gt;0,1,0))</f>
        <v/>
      </c>
      <c r="AJ139">
        <f>IF($O139="",0,IF(COUNTIFS(업무일지!$F$5:$F$1004,$O139,업무일지!$B$5:$B$1004,"&gt;="&amp;DATE($B$3,9,1),업무일지!$B$5:$B$1004,"&lt;"&amp;DATE($B$3,9+1,1),업무일지!$D$5:$D$1004,"분석")&gt;0,1,0))</f>
        <v/>
      </c>
      <c r="AK139">
        <f>IF($O139="",0,IF(COUNTIFS(업무일지!$F$5:$F$1004,$O139,업무일지!$B$5:$B$1004,"&gt;="&amp;DATE($B$3,10,1),업무일지!$B$5:$B$1004,"&lt;"&amp;DATE($B$3,10+1,1),업무일지!$D$5:$D$1004,"분석")&gt;0,1,0))</f>
        <v/>
      </c>
      <c r="AL139">
        <f>IF($O139="",0,IF(COUNTIFS(업무일지!$F$5:$F$1004,$O139,업무일지!$B$5:$B$1004,"&gt;="&amp;DATE($B$3,11,1),업무일지!$B$5:$B$1004,"&lt;"&amp;DATE($B$3,11+1,1),업무일지!$D$5:$D$1004,"분석")&gt;0,1,0))</f>
        <v/>
      </c>
      <c r="AM139">
        <f>IF($O139="",0,IF(COUNTIFS(업무일지!$F$5:$F$1004,$O139,업무일지!$B$5:$B$1004,"&gt;="&amp;DATE($B$3,12,1),업무일지!$B$5:$B$1004,"&lt;"&amp;DATE($B$3,12+1,1),업무일지!$D$5:$D$1004,"분석")&gt;0,1,0))</f>
        <v/>
      </c>
      <c r="AN139">
        <f>IF($O139="",0,IF(COUNTIFS(업무일지!$F$5:$F$1004,$O139,업무일지!$B$5:$B$1004,"&gt;="&amp;DATE($B$3,1,1),업무일지!$B$5:$B$1004,"&lt;"&amp;DATE($B$3,1+1,1))&gt;0,1,0))</f>
        <v/>
      </c>
      <c r="AO139">
        <f>IF($O139="",0,IF(COUNTIFS(업무일지!$F$5:$F$1004,$O139,업무일지!$B$5:$B$1004,"&gt;="&amp;DATE($B$3,2,1),업무일지!$B$5:$B$1004,"&lt;"&amp;DATE($B$3,2+1,1))&gt;0,1,0))</f>
        <v/>
      </c>
      <c r="AP139">
        <f>IF($O139="",0,IF(COUNTIFS(업무일지!$F$5:$F$1004,$O139,업무일지!$B$5:$B$1004,"&gt;="&amp;DATE($B$3,3,1),업무일지!$B$5:$B$1004,"&lt;"&amp;DATE($B$3,3+1,1))&gt;0,1,0))</f>
        <v/>
      </c>
      <c r="AQ139">
        <f>IF($O139="",0,IF(COUNTIFS(업무일지!$F$5:$F$1004,$O139,업무일지!$B$5:$B$1004,"&gt;="&amp;DATE($B$3,4,1),업무일지!$B$5:$B$1004,"&lt;"&amp;DATE($B$3,4+1,1))&gt;0,1,0))</f>
        <v/>
      </c>
      <c r="AR139">
        <f>IF($O139="",0,IF(COUNTIFS(업무일지!$F$5:$F$1004,$O139,업무일지!$B$5:$B$1004,"&gt;="&amp;DATE($B$3,5,1),업무일지!$B$5:$B$1004,"&lt;"&amp;DATE($B$3,5+1,1))&gt;0,1,0))</f>
        <v/>
      </c>
      <c r="AS139">
        <f>IF($O139="",0,IF(COUNTIFS(업무일지!$F$5:$F$1004,$O139,업무일지!$B$5:$B$1004,"&gt;="&amp;DATE($B$3,6,1),업무일지!$B$5:$B$1004,"&lt;"&amp;DATE($B$3,6+1,1))&gt;0,1,0))</f>
        <v/>
      </c>
      <c r="AT139">
        <f>IF($O139="",0,IF(COUNTIFS(업무일지!$F$5:$F$1004,$O139,업무일지!$B$5:$B$1004,"&gt;="&amp;DATE($B$3,7,1),업무일지!$B$5:$B$1004,"&lt;"&amp;DATE($B$3,7+1,1))&gt;0,1,0))</f>
        <v/>
      </c>
      <c r="AU139">
        <f>IF($O139="",0,IF(COUNTIFS(업무일지!$F$5:$F$1004,$O139,업무일지!$B$5:$B$1004,"&gt;="&amp;DATE($B$3,8,1),업무일지!$B$5:$B$1004,"&lt;"&amp;DATE($B$3,8+1,1))&gt;0,1,0))</f>
        <v/>
      </c>
      <c r="AV139">
        <f>IF($O139="",0,IF(COUNTIFS(업무일지!$F$5:$F$1004,$O139,업무일지!$B$5:$B$1004,"&gt;="&amp;DATE($B$3,9,1),업무일지!$B$5:$B$1004,"&lt;"&amp;DATE($B$3,9+1,1))&gt;0,1,0))</f>
        <v/>
      </c>
      <c r="AW139">
        <f>IF($O139="",0,IF(COUNTIFS(업무일지!$F$5:$F$1004,$O139,업무일지!$B$5:$B$1004,"&gt;="&amp;DATE($B$3,10,1),업무일지!$B$5:$B$1004,"&lt;"&amp;DATE($B$3,10+1,1))&gt;0,1,0))</f>
        <v/>
      </c>
      <c r="AX139">
        <f>IF($O139="",0,IF(COUNTIFS(업무일지!$F$5:$F$1004,$O139,업무일지!$B$5:$B$1004,"&gt;="&amp;DATE($B$3,11,1),업무일지!$B$5:$B$1004,"&lt;"&amp;DATE($B$3,11+1,1))&gt;0,1,0))</f>
        <v/>
      </c>
      <c r="AY139">
        <f>IF($O139="",0,IF(COUNTIFS(업무일지!$F$5:$F$1004,$O139,업무일지!$B$5:$B$1004,"&gt;="&amp;DATE($B$3,12,1),업무일지!$B$5:$B$1004,"&lt;"&amp;DATE($B$3,12+1,1))&gt;0,1,0))</f>
        <v/>
      </c>
      <c r="AZ139">
        <f>IF($O139="",0,IF(COUNTIFS(업무일지!$F$5:$F$1004,$O139,업무일지!$B$5:$B$1004,"&gt;="&amp;DATE($B$3,1,1),업무일지!$B$5:$B$1004,"&lt;"&amp;DATE($B$3+1,1,1),업무일지!$D$5:$D$1004,"출장")&gt;0,1,0))</f>
        <v/>
      </c>
      <c r="BA139">
        <f>IF($O139="",0,IF(COUNTIFS(업무일지!$F$5:$F$1004,$O139,업무일지!$B$5:$B$1004,"&gt;="&amp;DATE($B$3,1,1),업무일지!$B$5:$B$1004,"&lt;"&amp;DATE($B$3+1,1,1),업무일지!$D$5:$D$1004,"분석")&gt;0,1,0))</f>
        <v/>
      </c>
      <c r="BB139">
        <f>IF($O139="",0,IF(COUNTIFS(업무일지!$F$5:$F$1004,$O139,업무일지!$B$5:$B$1004,"&gt;="&amp;DATE($B$3,1,1),업무일지!$B$5:$B$1004,"&lt;"&amp;DATE($B$3+1,1,1))&gt;0,1,0))</f>
        <v/>
      </c>
    </row>
    <row r="140">
      <c r="O140">
        <f>IF(사건마스터!$A60="","",사건마스터!$A60)</f>
        <v/>
      </c>
      <c r="P140">
        <f>IF($O140="",0,IF(COUNTIFS(업무일지!$F$5:$F$1004,$O140,업무일지!$B$5:$B$1004,"&gt;="&amp;DATE($B$3,1,1),업무일지!$B$5:$B$1004,"&lt;"&amp;DATE($B$3,1+1,1),업무일지!$D$5:$D$1004,"출장")&gt;0,1,0))</f>
        <v/>
      </c>
      <c r="Q140">
        <f>IF($O140="",0,IF(COUNTIFS(업무일지!$F$5:$F$1004,$O140,업무일지!$B$5:$B$1004,"&gt;="&amp;DATE($B$3,2,1),업무일지!$B$5:$B$1004,"&lt;"&amp;DATE($B$3,2+1,1),업무일지!$D$5:$D$1004,"출장")&gt;0,1,0))</f>
        <v/>
      </c>
      <c r="R140">
        <f>IF($O140="",0,IF(COUNTIFS(업무일지!$F$5:$F$1004,$O140,업무일지!$B$5:$B$1004,"&gt;="&amp;DATE($B$3,3,1),업무일지!$B$5:$B$1004,"&lt;"&amp;DATE($B$3,3+1,1),업무일지!$D$5:$D$1004,"출장")&gt;0,1,0))</f>
        <v/>
      </c>
      <c r="S140">
        <f>IF($O140="",0,IF(COUNTIFS(업무일지!$F$5:$F$1004,$O140,업무일지!$B$5:$B$1004,"&gt;="&amp;DATE($B$3,4,1),업무일지!$B$5:$B$1004,"&lt;"&amp;DATE($B$3,4+1,1),업무일지!$D$5:$D$1004,"출장")&gt;0,1,0))</f>
        <v/>
      </c>
      <c r="T140">
        <f>IF($O140="",0,IF(COUNTIFS(업무일지!$F$5:$F$1004,$O140,업무일지!$B$5:$B$1004,"&gt;="&amp;DATE($B$3,5,1),업무일지!$B$5:$B$1004,"&lt;"&amp;DATE($B$3,5+1,1),업무일지!$D$5:$D$1004,"출장")&gt;0,1,0))</f>
        <v/>
      </c>
      <c r="U140">
        <f>IF($O140="",0,IF(COUNTIFS(업무일지!$F$5:$F$1004,$O140,업무일지!$B$5:$B$1004,"&gt;="&amp;DATE($B$3,6,1),업무일지!$B$5:$B$1004,"&lt;"&amp;DATE($B$3,6+1,1),업무일지!$D$5:$D$1004,"출장")&gt;0,1,0))</f>
        <v/>
      </c>
      <c r="V140">
        <f>IF($O140="",0,IF(COUNTIFS(업무일지!$F$5:$F$1004,$O140,업무일지!$B$5:$B$1004,"&gt;="&amp;DATE($B$3,7,1),업무일지!$B$5:$B$1004,"&lt;"&amp;DATE($B$3,7+1,1),업무일지!$D$5:$D$1004,"출장")&gt;0,1,0))</f>
        <v/>
      </c>
      <c r="W140">
        <f>IF($O140="",0,IF(COUNTIFS(업무일지!$F$5:$F$1004,$O140,업무일지!$B$5:$B$1004,"&gt;="&amp;DATE($B$3,8,1),업무일지!$B$5:$B$1004,"&lt;"&amp;DATE($B$3,8+1,1),업무일지!$D$5:$D$1004,"출장")&gt;0,1,0))</f>
        <v/>
      </c>
      <c r="X140">
        <f>IF($O140="",0,IF(COUNTIFS(업무일지!$F$5:$F$1004,$O140,업무일지!$B$5:$B$1004,"&gt;="&amp;DATE($B$3,9,1),업무일지!$B$5:$B$1004,"&lt;"&amp;DATE($B$3,9+1,1),업무일지!$D$5:$D$1004,"출장")&gt;0,1,0))</f>
        <v/>
      </c>
      <c r="Y140">
        <f>IF($O140="",0,IF(COUNTIFS(업무일지!$F$5:$F$1004,$O140,업무일지!$B$5:$B$1004,"&gt;="&amp;DATE($B$3,10,1),업무일지!$B$5:$B$1004,"&lt;"&amp;DATE($B$3,10+1,1),업무일지!$D$5:$D$1004,"출장")&gt;0,1,0))</f>
        <v/>
      </c>
      <c r="Z140">
        <f>IF($O140="",0,IF(COUNTIFS(업무일지!$F$5:$F$1004,$O140,업무일지!$B$5:$B$1004,"&gt;="&amp;DATE($B$3,11,1),업무일지!$B$5:$B$1004,"&lt;"&amp;DATE($B$3,11+1,1),업무일지!$D$5:$D$1004,"출장")&gt;0,1,0))</f>
        <v/>
      </c>
      <c r="AA140">
        <f>IF($O140="",0,IF(COUNTIFS(업무일지!$F$5:$F$1004,$O140,업무일지!$B$5:$B$1004,"&gt;="&amp;DATE($B$3,12,1),업무일지!$B$5:$B$1004,"&lt;"&amp;DATE($B$3,12+1,1),업무일지!$D$5:$D$1004,"출장")&gt;0,1,0))</f>
        <v/>
      </c>
      <c r="AB140">
        <f>IF($O140="",0,IF(COUNTIFS(업무일지!$F$5:$F$1004,$O140,업무일지!$B$5:$B$1004,"&gt;="&amp;DATE($B$3,1,1),업무일지!$B$5:$B$1004,"&lt;"&amp;DATE($B$3,1+1,1),업무일지!$D$5:$D$1004,"분석")&gt;0,1,0))</f>
        <v/>
      </c>
      <c r="AC140">
        <f>IF($O140="",0,IF(COUNTIFS(업무일지!$F$5:$F$1004,$O140,업무일지!$B$5:$B$1004,"&gt;="&amp;DATE($B$3,2,1),업무일지!$B$5:$B$1004,"&lt;"&amp;DATE($B$3,2+1,1),업무일지!$D$5:$D$1004,"분석")&gt;0,1,0))</f>
        <v/>
      </c>
      <c r="AD140">
        <f>IF($O140="",0,IF(COUNTIFS(업무일지!$F$5:$F$1004,$O140,업무일지!$B$5:$B$1004,"&gt;="&amp;DATE($B$3,3,1),업무일지!$B$5:$B$1004,"&lt;"&amp;DATE($B$3,3+1,1),업무일지!$D$5:$D$1004,"분석")&gt;0,1,0))</f>
        <v/>
      </c>
      <c r="AE140">
        <f>IF($O140="",0,IF(COUNTIFS(업무일지!$F$5:$F$1004,$O140,업무일지!$B$5:$B$1004,"&gt;="&amp;DATE($B$3,4,1),업무일지!$B$5:$B$1004,"&lt;"&amp;DATE($B$3,4+1,1),업무일지!$D$5:$D$1004,"분석")&gt;0,1,0))</f>
        <v/>
      </c>
      <c r="AF140">
        <f>IF($O140="",0,IF(COUNTIFS(업무일지!$F$5:$F$1004,$O140,업무일지!$B$5:$B$1004,"&gt;="&amp;DATE($B$3,5,1),업무일지!$B$5:$B$1004,"&lt;"&amp;DATE($B$3,5+1,1),업무일지!$D$5:$D$1004,"분석")&gt;0,1,0))</f>
        <v/>
      </c>
      <c r="AG140">
        <f>IF($O140="",0,IF(COUNTIFS(업무일지!$F$5:$F$1004,$O140,업무일지!$B$5:$B$1004,"&gt;="&amp;DATE($B$3,6,1),업무일지!$B$5:$B$1004,"&lt;"&amp;DATE($B$3,6+1,1),업무일지!$D$5:$D$1004,"분석")&gt;0,1,0))</f>
        <v/>
      </c>
      <c r="AH140">
        <f>IF($O140="",0,IF(COUNTIFS(업무일지!$F$5:$F$1004,$O140,업무일지!$B$5:$B$1004,"&gt;="&amp;DATE($B$3,7,1),업무일지!$B$5:$B$1004,"&lt;"&amp;DATE($B$3,7+1,1),업무일지!$D$5:$D$1004,"분석")&gt;0,1,0))</f>
        <v/>
      </c>
      <c r="AI140">
        <f>IF($O140="",0,IF(COUNTIFS(업무일지!$F$5:$F$1004,$O140,업무일지!$B$5:$B$1004,"&gt;="&amp;DATE($B$3,8,1),업무일지!$B$5:$B$1004,"&lt;"&amp;DATE($B$3,8+1,1),업무일지!$D$5:$D$1004,"분석")&gt;0,1,0))</f>
        <v/>
      </c>
      <c r="AJ140">
        <f>IF($O140="",0,IF(COUNTIFS(업무일지!$F$5:$F$1004,$O140,업무일지!$B$5:$B$1004,"&gt;="&amp;DATE($B$3,9,1),업무일지!$B$5:$B$1004,"&lt;"&amp;DATE($B$3,9+1,1),업무일지!$D$5:$D$1004,"분석")&gt;0,1,0))</f>
        <v/>
      </c>
      <c r="AK140">
        <f>IF($O140="",0,IF(COUNTIFS(업무일지!$F$5:$F$1004,$O140,업무일지!$B$5:$B$1004,"&gt;="&amp;DATE($B$3,10,1),업무일지!$B$5:$B$1004,"&lt;"&amp;DATE($B$3,10+1,1),업무일지!$D$5:$D$1004,"분석")&gt;0,1,0))</f>
        <v/>
      </c>
      <c r="AL140">
        <f>IF($O140="",0,IF(COUNTIFS(업무일지!$F$5:$F$1004,$O140,업무일지!$B$5:$B$1004,"&gt;="&amp;DATE($B$3,11,1),업무일지!$B$5:$B$1004,"&lt;"&amp;DATE($B$3,11+1,1),업무일지!$D$5:$D$1004,"분석")&gt;0,1,0))</f>
        <v/>
      </c>
      <c r="AM140">
        <f>IF($O140="",0,IF(COUNTIFS(업무일지!$F$5:$F$1004,$O140,업무일지!$B$5:$B$1004,"&gt;="&amp;DATE($B$3,12,1),업무일지!$B$5:$B$1004,"&lt;"&amp;DATE($B$3,12+1,1),업무일지!$D$5:$D$1004,"분석")&gt;0,1,0))</f>
        <v/>
      </c>
      <c r="AN140">
        <f>IF($O140="",0,IF(COUNTIFS(업무일지!$F$5:$F$1004,$O140,업무일지!$B$5:$B$1004,"&gt;="&amp;DATE($B$3,1,1),업무일지!$B$5:$B$1004,"&lt;"&amp;DATE($B$3,1+1,1))&gt;0,1,0))</f>
        <v/>
      </c>
      <c r="AO140">
        <f>IF($O140="",0,IF(COUNTIFS(업무일지!$F$5:$F$1004,$O140,업무일지!$B$5:$B$1004,"&gt;="&amp;DATE($B$3,2,1),업무일지!$B$5:$B$1004,"&lt;"&amp;DATE($B$3,2+1,1))&gt;0,1,0))</f>
        <v/>
      </c>
      <c r="AP140">
        <f>IF($O140="",0,IF(COUNTIFS(업무일지!$F$5:$F$1004,$O140,업무일지!$B$5:$B$1004,"&gt;="&amp;DATE($B$3,3,1),업무일지!$B$5:$B$1004,"&lt;"&amp;DATE($B$3,3+1,1))&gt;0,1,0))</f>
        <v/>
      </c>
      <c r="AQ140">
        <f>IF($O140="",0,IF(COUNTIFS(업무일지!$F$5:$F$1004,$O140,업무일지!$B$5:$B$1004,"&gt;="&amp;DATE($B$3,4,1),업무일지!$B$5:$B$1004,"&lt;"&amp;DATE($B$3,4+1,1))&gt;0,1,0))</f>
        <v/>
      </c>
      <c r="AR140">
        <f>IF($O140="",0,IF(COUNTIFS(업무일지!$F$5:$F$1004,$O140,업무일지!$B$5:$B$1004,"&gt;="&amp;DATE($B$3,5,1),업무일지!$B$5:$B$1004,"&lt;"&amp;DATE($B$3,5+1,1))&gt;0,1,0))</f>
        <v/>
      </c>
      <c r="AS140">
        <f>IF($O140="",0,IF(COUNTIFS(업무일지!$F$5:$F$1004,$O140,업무일지!$B$5:$B$1004,"&gt;="&amp;DATE($B$3,6,1),업무일지!$B$5:$B$1004,"&lt;"&amp;DATE($B$3,6+1,1))&gt;0,1,0))</f>
        <v/>
      </c>
      <c r="AT140">
        <f>IF($O140="",0,IF(COUNTIFS(업무일지!$F$5:$F$1004,$O140,업무일지!$B$5:$B$1004,"&gt;="&amp;DATE($B$3,7,1),업무일지!$B$5:$B$1004,"&lt;"&amp;DATE($B$3,7+1,1))&gt;0,1,0))</f>
        <v/>
      </c>
      <c r="AU140">
        <f>IF($O140="",0,IF(COUNTIFS(업무일지!$F$5:$F$1004,$O140,업무일지!$B$5:$B$1004,"&gt;="&amp;DATE($B$3,8,1),업무일지!$B$5:$B$1004,"&lt;"&amp;DATE($B$3,8+1,1))&gt;0,1,0))</f>
        <v/>
      </c>
      <c r="AV140">
        <f>IF($O140="",0,IF(COUNTIFS(업무일지!$F$5:$F$1004,$O140,업무일지!$B$5:$B$1004,"&gt;="&amp;DATE($B$3,9,1),업무일지!$B$5:$B$1004,"&lt;"&amp;DATE($B$3,9+1,1))&gt;0,1,0))</f>
        <v/>
      </c>
      <c r="AW140">
        <f>IF($O140="",0,IF(COUNTIFS(업무일지!$F$5:$F$1004,$O140,업무일지!$B$5:$B$1004,"&gt;="&amp;DATE($B$3,10,1),업무일지!$B$5:$B$1004,"&lt;"&amp;DATE($B$3,10+1,1))&gt;0,1,0))</f>
        <v/>
      </c>
      <c r="AX140">
        <f>IF($O140="",0,IF(COUNTIFS(업무일지!$F$5:$F$1004,$O140,업무일지!$B$5:$B$1004,"&gt;="&amp;DATE($B$3,11,1),업무일지!$B$5:$B$1004,"&lt;"&amp;DATE($B$3,11+1,1))&gt;0,1,0))</f>
        <v/>
      </c>
      <c r="AY140">
        <f>IF($O140="",0,IF(COUNTIFS(업무일지!$F$5:$F$1004,$O140,업무일지!$B$5:$B$1004,"&gt;="&amp;DATE($B$3,12,1),업무일지!$B$5:$B$1004,"&lt;"&amp;DATE($B$3,12+1,1))&gt;0,1,0))</f>
        <v/>
      </c>
      <c r="AZ140">
        <f>IF($O140="",0,IF(COUNTIFS(업무일지!$F$5:$F$1004,$O140,업무일지!$B$5:$B$1004,"&gt;="&amp;DATE($B$3,1,1),업무일지!$B$5:$B$1004,"&lt;"&amp;DATE($B$3+1,1,1),업무일지!$D$5:$D$1004,"출장")&gt;0,1,0))</f>
        <v/>
      </c>
      <c r="BA140">
        <f>IF($O140="",0,IF(COUNTIFS(업무일지!$F$5:$F$1004,$O140,업무일지!$B$5:$B$1004,"&gt;="&amp;DATE($B$3,1,1),업무일지!$B$5:$B$1004,"&lt;"&amp;DATE($B$3+1,1,1),업무일지!$D$5:$D$1004,"분석")&gt;0,1,0))</f>
        <v/>
      </c>
      <c r="BB140">
        <f>IF($O140="",0,IF(COUNTIFS(업무일지!$F$5:$F$1004,$O140,업무일지!$B$5:$B$1004,"&gt;="&amp;DATE($B$3,1,1),업무일지!$B$5:$B$1004,"&lt;"&amp;DATE($B$3+1,1,1))&gt;0,1,0))</f>
        <v/>
      </c>
    </row>
    <row r="141">
      <c r="O141">
        <f>IF(사건마스터!$A61="","",사건마스터!$A61)</f>
        <v/>
      </c>
      <c r="P141">
        <f>IF($O141="",0,IF(COUNTIFS(업무일지!$F$5:$F$1004,$O141,업무일지!$B$5:$B$1004,"&gt;="&amp;DATE($B$3,1,1),업무일지!$B$5:$B$1004,"&lt;"&amp;DATE($B$3,1+1,1),업무일지!$D$5:$D$1004,"출장")&gt;0,1,0))</f>
        <v/>
      </c>
      <c r="Q141">
        <f>IF($O141="",0,IF(COUNTIFS(업무일지!$F$5:$F$1004,$O141,업무일지!$B$5:$B$1004,"&gt;="&amp;DATE($B$3,2,1),업무일지!$B$5:$B$1004,"&lt;"&amp;DATE($B$3,2+1,1),업무일지!$D$5:$D$1004,"출장")&gt;0,1,0))</f>
        <v/>
      </c>
      <c r="R141">
        <f>IF($O141="",0,IF(COUNTIFS(업무일지!$F$5:$F$1004,$O141,업무일지!$B$5:$B$1004,"&gt;="&amp;DATE($B$3,3,1),업무일지!$B$5:$B$1004,"&lt;"&amp;DATE($B$3,3+1,1),업무일지!$D$5:$D$1004,"출장")&gt;0,1,0))</f>
        <v/>
      </c>
      <c r="S141">
        <f>IF($O141="",0,IF(COUNTIFS(업무일지!$F$5:$F$1004,$O141,업무일지!$B$5:$B$1004,"&gt;="&amp;DATE($B$3,4,1),업무일지!$B$5:$B$1004,"&lt;"&amp;DATE($B$3,4+1,1),업무일지!$D$5:$D$1004,"출장")&gt;0,1,0))</f>
        <v/>
      </c>
      <c r="T141">
        <f>IF($O141="",0,IF(COUNTIFS(업무일지!$F$5:$F$1004,$O141,업무일지!$B$5:$B$1004,"&gt;="&amp;DATE($B$3,5,1),업무일지!$B$5:$B$1004,"&lt;"&amp;DATE($B$3,5+1,1),업무일지!$D$5:$D$1004,"출장")&gt;0,1,0))</f>
        <v/>
      </c>
      <c r="U141">
        <f>IF($O141="",0,IF(COUNTIFS(업무일지!$F$5:$F$1004,$O141,업무일지!$B$5:$B$1004,"&gt;="&amp;DATE($B$3,6,1),업무일지!$B$5:$B$1004,"&lt;"&amp;DATE($B$3,6+1,1),업무일지!$D$5:$D$1004,"출장")&gt;0,1,0))</f>
        <v/>
      </c>
      <c r="V141">
        <f>IF($O141="",0,IF(COUNTIFS(업무일지!$F$5:$F$1004,$O141,업무일지!$B$5:$B$1004,"&gt;="&amp;DATE($B$3,7,1),업무일지!$B$5:$B$1004,"&lt;"&amp;DATE($B$3,7+1,1),업무일지!$D$5:$D$1004,"출장")&gt;0,1,0))</f>
        <v/>
      </c>
      <c r="W141">
        <f>IF($O141="",0,IF(COUNTIFS(업무일지!$F$5:$F$1004,$O141,업무일지!$B$5:$B$1004,"&gt;="&amp;DATE($B$3,8,1),업무일지!$B$5:$B$1004,"&lt;"&amp;DATE($B$3,8+1,1),업무일지!$D$5:$D$1004,"출장")&gt;0,1,0))</f>
        <v/>
      </c>
      <c r="X141">
        <f>IF($O141="",0,IF(COUNTIFS(업무일지!$F$5:$F$1004,$O141,업무일지!$B$5:$B$1004,"&gt;="&amp;DATE($B$3,9,1),업무일지!$B$5:$B$1004,"&lt;"&amp;DATE($B$3,9+1,1),업무일지!$D$5:$D$1004,"출장")&gt;0,1,0))</f>
        <v/>
      </c>
      <c r="Y141">
        <f>IF($O141="",0,IF(COUNTIFS(업무일지!$F$5:$F$1004,$O141,업무일지!$B$5:$B$1004,"&gt;="&amp;DATE($B$3,10,1),업무일지!$B$5:$B$1004,"&lt;"&amp;DATE($B$3,10+1,1),업무일지!$D$5:$D$1004,"출장")&gt;0,1,0))</f>
        <v/>
      </c>
      <c r="Z141">
        <f>IF($O141="",0,IF(COUNTIFS(업무일지!$F$5:$F$1004,$O141,업무일지!$B$5:$B$1004,"&gt;="&amp;DATE($B$3,11,1),업무일지!$B$5:$B$1004,"&lt;"&amp;DATE($B$3,11+1,1),업무일지!$D$5:$D$1004,"출장")&gt;0,1,0))</f>
        <v/>
      </c>
      <c r="AA141">
        <f>IF($O141="",0,IF(COUNTIFS(업무일지!$F$5:$F$1004,$O141,업무일지!$B$5:$B$1004,"&gt;="&amp;DATE($B$3,12,1),업무일지!$B$5:$B$1004,"&lt;"&amp;DATE($B$3,12+1,1),업무일지!$D$5:$D$1004,"출장")&gt;0,1,0))</f>
        <v/>
      </c>
      <c r="AB141">
        <f>IF($O141="",0,IF(COUNTIFS(업무일지!$F$5:$F$1004,$O141,업무일지!$B$5:$B$1004,"&gt;="&amp;DATE($B$3,1,1),업무일지!$B$5:$B$1004,"&lt;"&amp;DATE($B$3,1+1,1),업무일지!$D$5:$D$1004,"분석")&gt;0,1,0))</f>
        <v/>
      </c>
      <c r="AC141">
        <f>IF($O141="",0,IF(COUNTIFS(업무일지!$F$5:$F$1004,$O141,업무일지!$B$5:$B$1004,"&gt;="&amp;DATE($B$3,2,1),업무일지!$B$5:$B$1004,"&lt;"&amp;DATE($B$3,2+1,1),업무일지!$D$5:$D$1004,"분석")&gt;0,1,0))</f>
        <v/>
      </c>
      <c r="AD141">
        <f>IF($O141="",0,IF(COUNTIFS(업무일지!$F$5:$F$1004,$O141,업무일지!$B$5:$B$1004,"&gt;="&amp;DATE($B$3,3,1),업무일지!$B$5:$B$1004,"&lt;"&amp;DATE($B$3,3+1,1),업무일지!$D$5:$D$1004,"분석")&gt;0,1,0))</f>
        <v/>
      </c>
      <c r="AE141">
        <f>IF($O141="",0,IF(COUNTIFS(업무일지!$F$5:$F$1004,$O141,업무일지!$B$5:$B$1004,"&gt;="&amp;DATE($B$3,4,1),업무일지!$B$5:$B$1004,"&lt;"&amp;DATE($B$3,4+1,1),업무일지!$D$5:$D$1004,"분석")&gt;0,1,0))</f>
        <v/>
      </c>
      <c r="AF141">
        <f>IF($O141="",0,IF(COUNTIFS(업무일지!$F$5:$F$1004,$O141,업무일지!$B$5:$B$1004,"&gt;="&amp;DATE($B$3,5,1),업무일지!$B$5:$B$1004,"&lt;"&amp;DATE($B$3,5+1,1),업무일지!$D$5:$D$1004,"분석")&gt;0,1,0))</f>
        <v/>
      </c>
      <c r="AG141">
        <f>IF($O141="",0,IF(COUNTIFS(업무일지!$F$5:$F$1004,$O141,업무일지!$B$5:$B$1004,"&gt;="&amp;DATE($B$3,6,1),업무일지!$B$5:$B$1004,"&lt;"&amp;DATE($B$3,6+1,1),업무일지!$D$5:$D$1004,"분석")&gt;0,1,0))</f>
        <v/>
      </c>
      <c r="AH141">
        <f>IF($O141="",0,IF(COUNTIFS(업무일지!$F$5:$F$1004,$O141,업무일지!$B$5:$B$1004,"&gt;="&amp;DATE($B$3,7,1),업무일지!$B$5:$B$1004,"&lt;"&amp;DATE($B$3,7+1,1),업무일지!$D$5:$D$1004,"분석")&gt;0,1,0))</f>
        <v/>
      </c>
      <c r="AI141">
        <f>IF($O141="",0,IF(COUNTIFS(업무일지!$F$5:$F$1004,$O141,업무일지!$B$5:$B$1004,"&gt;="&amp;DATE($B$3,8,1),업무일지!$B$5:$B$1004,"&lt;"&amp;DATE($B$3,8+1,1),업무일지!$D$5:$D$1004,"분석")&gt;0,1,0))</f>
        <v/>
      </c>
      <c r="AJ141">
        <f>IF($O141="",0,IF(COUNTIFS(업무일지!$F$5:$F$1004,$O141,업무일지!$B$5:$B$1004,"&gt;="&amp;DATE($B$3,9,1),업무일지!$B$5:$B$1004,"&lt;"&amp;DATE($B$3,9+1,1),업무일지!$D$5:$D$1004,"분석")&gt;0,1,0))</f>
        <v/>
      </c>
      <c r="AK141">
        <f>IF($O141="",0,IF(COUNTIFS(업무일지!$F$5:$F$1004,$O141,업무일지!$B$5:$B$1004,"&gt;="&amp;DATE($B$3,10,1),업무일지!$B$5:$B$1004,"&lt;"&amp;DATE($B$3,10+1,1),업무일지!$D$5:$D$1004,"분석")&gt;0,1,0))</f>
        <v/>
      </c>
      <c r="AL141">
        <f>IF($O141="",0,IF(COUNTIFS(업무일지!$F$5:$F$1004,$O141,업무일지!$B$5:$B$1004,"&gt;="&amp;DATE($B$3,11,1),업무일지!$B$5:$B$1004,"&lt;"&amp;DATE($B$3,11+1,1),업무일지!$D$5:$D$1004,"분석")&gt;0,1,0))</f>
        <v/>
      </c>
      <c r="AM141">
        <f>IF($O141="",0,IF(COUNTIFS(업무일지!$F$5:$F$1004,$O141,업무일지!$B$5:$B$1004,"&gt;="&amp;DATE($B$3,12,1),업무일지!$B$5:$B$1004,"&lt;"&amp;DATE($B$3,12+1,1),업무일지!$D$5:$D$1004,"분석")&gt;0,1,0))</f>
        <v/>
      </c>
      <c r="AN141">
        <f>IF($O141="",0,IF(COUNTIFS(업무일지!$F$5:$F$1004,$O141,업무일지!$B$5:$B$1004,"&gt;="&amp;DATE($B$3,1,1),업무일지!$B$5:$B$1004,"&lt;"&amp;DATE($B$3,1+1,1))&gt;0,1,0))</f>
        <v/>
      </c>
      <c r="AO141">
        <f>IF($O141="",0,IF(COUNTIFS(업무일지!$F$5:$F$1004,$O141,업무일지!$B$5:$B$1004,"&gt;="&amp;DATE($B$3,2,1),업무일지!$B$5:$B$1004,"&lt;"&amp;DATE($B$3,2+1,1))&gt;0,1,0))</f>
        <v/>
      </c>
      <c r="AP141">
        <f>IF($O141="",0,IF(COUNTIFS(업무일지!$F$5:$F$1004,$O141,업무일지!$B$5:$B$1004,"&gt;="&amp;DATE($B$3,3,1),업무일지!$B$5:$B$1004,"&lt;"&amp;DATE($B$3,3+1,1))&gt;0,1,0))</f>
        <v/>
      </c>
      <c r="AQ141">
        <f>IF($O141="",0,IF(COUNTIFS(업무일지!$F$5:$F$1004,$O141,업무일지!$B$5:$B$1004,"&gt;="&amp;DATE($B$3,4,1),업무일지!$B$5:$B$1004,"&lt;"&amp;DATE($B$3,4+1,1))&gt;0,1,0))</f>
        <v/>
      </c>
      <c r="AR141">
        <f>IF($O141="",0,IF(COUNTIFS(업무일지!$F$5:$F$1004,$O141,업무일지!$B$5:$B$1004,"&gt;="&amp;DATE($B$3,5,1),업무일지!$B$5:$B$1004,"&lt;"&amp;DATE($B$3,5+1,1))&gt;0,1,0))</f>
        <v/>
      </c>
      <c r="AS141">
        <f>IF($O141="",0,IF(COUNTIFS(업무일지!$F$5:$F$1004,$O141,업무일지!$B$5:$B$1004,"&gt;="&amp;DATE($B$3,6,1),업무일지!$B$5:$B$1004,"&lt;"&amp;DATE($B$3,6+1,1))&gt;0,1,0))</f>
        <v/>
      </c>
      <c r="AT141">
        <f>IF($O141="",0,IF(COUNTIFS(업무일지!$F$5:$F$1004,$O141,업무일지!$B$5:$B$1004,"&gt;="&amp;DATE($B$3,7,1),업무일지!$B$5:$B$1004,"&lt;"&amp;DATE($B$3,7+1,1))&gt;0,1,0))</f>
        <v/>
      </c>
      <c r="AU141">
        <f>IF($O141="",0,IF(COUNTIFS(업무일지!$F$5:$F$1004,$O141,업무일지!$B$5:$B$1004,"&gt;="&amp;DATE($B$3,8,1),업무일지!$B$5:$B$1004,"&lt;"&amp;DATE($B$3,8+1,1))&gt;0,1,0))</f>
        <v/>
      </c>
      <c r="AV141">
        <f>IF($O141="",0,IF(COUNTIFS(업무일지!$F$5:$F$1004,$O141,업무일지!$B$5:$B$1004,"&gt;="&amp;DATE($B$3,9,1),업무일지!$B$5:$B$1004,"&lt;"&amp;DATE($B$3,9+1,1))&gt;0,1,0))</f>
        <v/>
      </c>
      <c r="AW141">
        <f>IF($O141="",0,IF(COUNTIFS(업무일지!$F$5:$F$1004,$O141,업무일지!$B$5:$B$1004,"&gt;="&amp;DATE($B$3,10,1),업무일지!$B$5:$B$1004,"&lt;"&amp;DATE($B$3,10+1,1))&gt;0,1,0))</f>
        <v/>
      </c>
      <c r="AX141">
        <f>IF($O141="",0,IF(COUNTIFS(업무일지!$F$5:$F$1004,$O141,업무일지!$B$5:$B$1004,"&gt;="&amp;DATE($B$3,11,1),업무일지!$B$5:$B$1004,"&lt;"&amp;DATE($B$3,11+1,1))&gt;0,1,0))</f>
        <v/>
      </c>
      <c r="AY141">
        <f>IF($O141="",0,IF(COUNTIFS(업무일지!$F$5:$F$1004,$O141,업무일지!$B$5:$B$1004,"&gt;="&amp;DATE($B$3,12,1),업무일지!$B$5:$B$1004,"&lt;"&amp;DATE($B$3,12+1,1))&gt;0,1,0))</f>
        <v/>
      </c>
      <c r="AZ141">
        <f>IF($O141="",0,IF(COUNTIFS(업무일지!$F$5:$F$1004,$O141,업무일지!$B$5:$B$1004,"&gt;="&amp;DATE($B$3,1,1),업무일지!$B$5:$B$1004,"&lt;"&amp;DATE($B$3+1,1,1),업무일지!$D$5:$D$1004,"출장")&gt;0,1,0))</f>
        <v/>
      </c>
      <c r="BA141">
        <f>IF($O141="",0,IF(COUNTIFS(업무일지!$F$5:$F$1004,$O141,업무일지!$B$5:$B$1004,"&gt;="&amp;DATE($B$3,1,1),업무일지!$B$5:$B$1004,"&lt;"&amp;DATE($B$3+1,1,1),업무일지!$D$5:$D$1004,"분석")&gt;0,1,0))</f>
        <v/>
      </c>
      <c r="BB141">
        <f>IF($O141="",0,IF(COUNTIFS(업무일지!$F$5:$F$1004,$O141,업무일지!$B$5:$B$1004,"&gt;="&amp;DATE($B$3,1,1),업무일지!$B$5:$B$1004,"&lt;"&amp;DATE($B$3+1,1,1))&gt;0,1,0))</f>
        <v/>
      </c>
    </row>
    <row r="142">
      <c r="O142">
        <f>IF(사건마스터!$A62="","",사건마스터!$A62)</f>
        <v/>
      </c>
      <c r="P142">
        <f>IF($O142="",0,IF(COUNTIFS(업무일지!$F$5:$F$1004,$O142,업무일지!$B$5:$B$1004,"&gt;="&amp;DATE($B$3,1,1),업무일지!$B$5:$B$1004,"&lt;"&amp;DATE($B$3,1+1,1),업무일지!$D$5:$D$1004,"출장")&gt;0,1,0))</f>
        <v/>
      </c>
      <c r="Q142">
        <f>IF($O142="",0,IF(COUNTIFS(업무일지!$F$5:$F$1004,$O142,업무일지!$B$5:$B$1004,"&gt;="&amp;DATE($B$3,2,1),업무일지!$B$5:$B$1004,"&lt;"&amp;DATE($B$3,2+1,1),업무일지!$D$5:$D$1004,"출장")&gt;0,1,0))</f>
        <v/>
      </c>
      <c r="R142">
        <f>IF($O142="",0,IF(COUNTIFS(업무일지!$F$5:$F$1004,$O142,업무일지!$B$5:$B$1004,"&gt;="&amp;DATE($B$3,3,1),업무일지!$B$5:$B$1004,"&lt;"&amp;DATE($B$3,3+1,1),업무일지!$D$5:$D$1004,"출장")&gt;0,1,0))</f>
        <v/>
      </c>
      <c r="S142">
        <f>IF($O142="",0,IF(COUNTIFS(업무일지!$F$5:$F$1004,$O142,업무일지!$B$5:$B$1004,"&gt;="&amp;DATE($B$3,4,1),업무일지!$B$5:$B$1004,"&lt;"&amp;DATE($B$3,4+1,1),업무일지!$D$5:$D$1004,"출장")&gt;0,1,0))</f>
        <v/>
      </c>
      <c r="T142">
        <f>IF($O142="",0,IF(COUNTIFS(업무일지!$F$5:$F$1004,$O142,업무일지!$B$5:$B$1004,"&gt;="&amp;DATE($B$3,5,1),업무일지!$B$5:$B$1004,"&lt;"&amp;DATE($B$3,5+1,1),업무일지!$D$5:$D$1004,"출장")&gt;0,1,0))</f>
        <v/>
      </c>
      <c r="U142">
        <f>IF($O142="",0,IF(COUNTIFS(업무일지!$F$5:$F$1004,$O142,업무일지!$B$5:$B$1004,"&gt;="&amp;DATE($B$3,6,1),업무일지!$B$5:$B$1004,"&lt;"&amp;DATE($B$3,6+1,1),업무일지!$D$5:$D$1004,"출장")&gt;0,1,0))</f>
        <v/>
      </c>
      <c r="V142">
        <f>IF($O142="",0,IF(COUNTIFS(업무일지!$F$5:$F$1004,$O142,업무일지!$B$5:$B$1004,"&gt;="&amp;DATE($B$3,7,1),업무일지!$B$5:$B$1004,"&lt;"&amp;DATE($B$3,7+1,1),업무일지!$D$5:$D$1004,"출장")&gt;0,1,0))</f>
        <v/>
      </c>
      <c r="W142">
        <f>IF($O142="",0,IF(COUNTIFS(업무일지!$F$5:$F$1004,$O142,업무일지!$B$5:$B$1004,"&gt;="&amp;DATE($B$3,8,1),업무일지!$B$5:$B$1004,"&lt;"&amp;DATE($B$3,8+1,1),업무일지!$D$5:$D$1004,"출장")&gt;0,1,0))</f>
        <v/>
      </c>
      <c r="X142">
        <f>IF($O142="",0,IF(COUNTIFS(업무일지!$F$5:$F$1004,$O142,업무일지!$B$5:$B$1004,"&gt;="&amp;DATE($B$3,9,1),업무일지!$B$5:$B$1004,"&lt;"&amp;DATE($B$3,9+1,1),업무일지!$D$5:$D$1004,"출장")&gt;0,1,0))</f>
        <v/>
      </c>
      <c r="Y142">
        <f>IF($O142="",0,IF(COUNTIFS(업무일지!$F$5:$F$1004,$O142,업무일지!$B$5:$B$1004,"&gt;="&amp;DATE($B$3,10,1),업무일지!$B$5:$B$1004,"&lt;"&amp;DATE($B$3,10+1,1),업무일지!$D$5:$D$1004,"출장")&gt;0,1,0))</f>
        <v/>
      </c>
      <c r="Z142">
        <f>IF($O142="",0,IF(COUNTIFS(업무일지!$F$5:$F$1004,$O142,업무일지!$B$5:$B$1004,"&gt;="&amp;DATE($B$3,11,1),업무일지!$B$5:$B$1004,"&lt;"&amp;DATE($B$3,11+1,1),업무일지!$D$5:$D$1004,"출장")&gt;0,1,0))</f>
        <v/>
      </c>
      <c r="AA142">
        <f>IF($O142="",0,IF(COUNTIFS(업무일지!$F$5:$F$1004,$O142,업무일지!$B$5:$B$1004,"&gt;="&amp;DATE($B$3,12,1),업무일지!$B$5:$B$1004,"&lt;"&amp;DATE($B$3,12+1,1),업무일지!$D$5:$D$1004,"출장")&gt;0,1,0))</f>
        <v/>
      </c>
      <c r="AB142">
        <f>IF($O142="",0,IF(COUNTIFS(업무일지!$F$5:$F$1004,$O142,업무일지!$B$5:$B$1004,"&gt;="&amp;DATE($B$3,1,1),업무일지!$B$5:$B$1004,"&lt;"&amp;DATE($B$3,1+1,1),업무일지!$D$5:$D$1004,"분석")&gt;0,1,0))</f>
        <v/>
      </c>
      <c r="AC142">
        <f>IF($O142="",0,IF(COUNTIFS(업무일지!$F$5:$F$1004,$O142,업무일지!$B$5:$B$1004,"&gt;="&amp;DATE($B$3,2,1),업무일지!$B$5:$B$1004,"&lt;"&amp;DATE($B$3,2+1,1),업무일지!$D$5:$D$1004,"분석")&gt;0,1,0))</f>
        <v/>
      </c>
      <c r="AD142">
        <f>IF($O142="",0,IF(COUNTIFS(업무일지!$F$5:$F$1004,$O142,업무일지!$B$5:$B$1004,"&gt;="&amp;DATE($B$3,3,1),업무일지!$B$5:$B$1004,"&lt;"&amp;DATE($B$3,3+1,1),업무일지!$D$5:$D$1004,"분석")&gt;0,1,0))</f>
        <v/>
      </c>
      <c r="AE142">
        <f>IF($O142="",0,IF(COUNTIFS(업무일지!$F$5:$F$1004,$O142,업무일지!$B$5:$B$1004,"&gt;="&amp;DATE($B$3,4,1),업무일지!$B$5:$B$1004,"&lt;"&amp;DATE($B$3,4+1,1),업무일지!$D$5:$D$1004,"분석")&gt;0,1,0))</f>
        <v/>
      </c>
      <c r="AF142">
        <f>IF($O142="",0,IF(COUNTIFS(업무일지!$F$5:$F$1004,$O142,업무일지!$B$5:$B$1004,"&gt;="&amp;DATE($B$3,5,1),업무일지!$B$5:$B$1004,"&lt;"&amp;DATE($B$3,5+1,1),업무일지!$D$5:$D$1004,"분석")&gt;0,1,0))</f>
        <v/>
      </c>
      <c r="AG142">
        <f>IF($O142="",0,IF(COUNTIFS(업무일지!$F$5:$F$1004,$O142,업무일지!$B$5:$B$1004,"&gt;="&amp;DATE($B$3,6,1),업무일지!$B$5:$B$1004,"&lt;"&amp;DATE($B$3,6+1,1),업무일지!$D$5:$D$1004,"분석")&gt;0,1,0))</f>
        <v/>
      </c>
      <c r="AH142">
        <f>IF($O142="",0,IF(COUNTIFS(업무일지!$F$5:$F$1004,$O142,업무일지!$B$5:$B$1004,"&gt;="&amp;DATE($B$3,7,1),업무일지!$B$5:$B$1004,"&lt;"&amp;DATE($B$3,7+1,1),업무일지!$D$5:$D$1004,"분석")&gt;0,1,0))</f>
        <v/>
      </c>
      <c r="AI142">
        <f>IF($O142="",0,IF(COUNTIFS(업무일지!$F$5:$F$1004,$O142,업무일지!$B$5:$B$1004,"&gt;="&amp;DATE($B$3,8,1),업무일지!$B$5:$B$1004,"&lt;"&amp;DATE($B$3,8+1,1),업무일지!$D$5:$D$1004,"분석")&gt;0,1,0))</f>
        <v/>
      </c>
      <c r="AJ142">
        <f>IF($O142="",0,IF(COUNTIFS(업무일지!$F$5:$F$1004,$O142,업무일지!$B$5:$B$1004,"&gt;="&amp;DATE($B$3,9,1),업무일지!$B$5:$B$1004,"&lt;"&amp;DATE($B$3,9+1,1),업무일지!$D$5:$D$1004,"분석")&gt;0,1,0))</f>
        <v/>
      </c>
      <c r="AK142">
        <f>IF($O142="",0,IF(COUNTIFS(업무일지!$F$5:$F$1004,$O142,업무일지!$B$5:$B$1004,"&gt;="&amp;DATE($B$3,10,1),업무일지!$B$5:$B$1004,"&lt;"&amp;DATE($B$3,10+1,1),업무일지!$D$5:$D$1004,"분석")&gt;0,1,0))</f>
        <v/>
      </c>
      <c r="AL142">
        <f>IF($O142="",0,IF(COUNTIFS(업무일지!$F$5:$F$1004,$O142,업무일지!$B$5:$B$1004,"&gt;="&amp;DATE($B$3,11,1),업무일지!$B$5:$B$1004,"&lt;"&amp;DATE($B$3,11+1,1),업무일지!$D$5:$D$1004,"분석")&gt;0,1,0))</f>
        <v/>
      </c>
      <c r="AM142">
        <f>IF($O142="",0,IF(COUNTIFS(업무일지!$F$5:$F$1004,$O142,업무일지!$B$5:$B$1004,"&gt;="&amp;DATE($B$3,12,1),업무일지!$B$5:$B$1004,"&lt;"&amp;DATE($B$3,12+1,1),업무일지!$D$5:$D$1004,"분석")&gt;0,1,0))</f>
        <v/>
      </c>
      <c r="AN142">
        <f>IF($O142="",0,IF(COUNTIFS(업무일지!$F$5:$F$1004,$O142,업무일지!$B$5:$B$1004,"&gt;="&amp;DATE($B$3,1,1),업무일지!$B$5:$B$1004,"&lt;"&amp;DATE($B$3,1+1,1))&gt;0,1,0))</f>
        <v/>
      </c>
      <c r="AO142">
        <f>IF($O142="",0,IF(COUNTIFS(업무일지!$F$5:$F$1004,$O142,업무일지!$B$5:$B$1004,"&gt;="&amp;DATE($B$3,2,1),업무일지!$B$5:$B$1004,"&lt;"&amp;DATE($B$3,2+1,1))&gt;0,1,0))</f>
        <v/>
      </c>
      <c r="AP142">
        <f>IF($O142="",0,IF(COUNTIFS(업무일지!$F$5:$F$1004,$O142,업무일지!$B$5:$B$1004,"&gt;="&amp;DATE($B$3,3,1),업무일지!$B$5:$B$1004,"&lt;"&amp;DATE($B$3,3+1,1))&gt;0,1,0))</f>
        <v/>
      </c>
      <c r="AQ142">
        <f>IF($O142="",0,IF(COUNTIFS(업무일지!$F$5:$F$1004,$O142,업무일지!$B$5:$B$1004,"&gt;="&amp;DATE($B$3,4,1),업무일지!$B$5:$B$1004,"&lt;"&amp;DATE($B$3,4+1,1))&gt;0,1,0))</f>
        <v/>
      </c>
      <c r="AR142">
        <f>IF($O142="",0,IF(COUNTIFS(업무일지!$F$5:$F$1004,$O142,업무일지!$B$5:$B$1004,"&gt;="&amp;DATE($B$3,5,1),업무일지!$B$5:$B$1004,"&lt;"&amp;DATE($B$3,5+1,1))&gt;0,1,0))</f>
        <v/>
      </c>
      <c r="AS142">
        <f>IF($O142="",0,IF(COUNTIFS(업무일지!$F$5:$F$1004,$O142,업무일지!$B$5:$B$1004,"&gt;="&amp;DATE($B$3,6,1),업무일지!$B$5:$B$1004,"&lt;"&amp;DATE($B$3,6+1,1))&gt;0,1,0))</f>
        <v/>
      </c>
      <c r="AT142">
        <f>IF($O142="",0,IF(COUNTIFS(업무일지!$F$5:$F$1004,$O142,업무일지!$B$5:$B$1004,"&gt;="&amp;DATE($B$3,7,1),업무일지!$B$5:$B$1004,"&lt;"&amp;DATE($B$3,7+1,1))&gt;0,1,0))</f>
        <v/>
      </c>
      <c r="AU142">
        <f>IF($O142="",0,IF(COUNTIFS(업무일지!$F$5:$F$1004,$O142,업무일지!$B$5:$B$1004,"&gt;="&amp;DATE($B$3,8,1),업무일지!$B$5:$B$1004,"&lt;"&amp;DATE($B$3,8+1,1))&gt;0,1,0))</f>
        <v/>
      </c>
      <c r="AV142">
        <f>IF($O142="",0,IF(COUNTIFS(업무일지!$F$5:$F$1004,$O142,업무일지!$B$5:$B$1004,"&gt;="&amp;DATE($B$3,9,1),업무일지!$B$5:$B$1004,"&lt;"&amp;DATE($B$3,9+1,1))&gt;0,1,0))</f>
        <v/>
      </c>
      <c r="AW142">
        <f>IF($O142="",0,IF(COUNTIFS(업무일지!$F$5:$F$1004,$O142,업무일지!$B$5:$B$1004,"&gt;="&amp;DATE($B$3,10,1),업무일지!$B$5:$B$1004,"&lt;"&amp;DATE($B$3,10+1,1))&gt;0,1,0))</f>
        <v/>
      </c>
      <c r="AX142">
        <f>IF($O142="",0,IF(COUNTIFS(업무일지!$F$5:$F$1004,$O142,업무일지!$B$5:$B$1004,"&gt;="&amp;DATE($B$3,11,1),업무일지!$B$5:$B$1004,"&lt;"&amp;DATE($B$3,11+1,1))&gt;0,1,0))</f>
        <v/>
      </c>
      <c r="AY142">
        <f>IF($O142="",0,IF(COUNTIFS(업무일지!$F$5:$F$1004,$O142,업무일지!$B$5:$B$1004,"&gt;="&amp;DATE($B$3,12,1),업무일지!$B$5:$B$1004,"&lt;"&amp;DATE($B$3,12+1,1))&gt;0,1,0))</f>
        <v/>
      </c>
      <c r="AZ142">
        <f>IF($O142="",0,IF(COUNTIFS(업무일지!$F$5:$F$1004,$O142,업무일지!$B$5:$B$1004,"&gt;="&amp;DATE($B$3,1,1),업무일지!$B$5:$B$1004,"&lt;"&amp;DATE($B$3+1,1,1),업무일지!$D$5:$D$1004,"출장")&gt;0,1,0))</f>
        <v/>
      </c>
      <c r="BA142">
        <f>IF($O142="",0,IF(COUNTIFS(업무일지!$F$5:$F$1004,$O142,업무일지!$B$5:$B$1004,"&gt;="&amp;DATE($B$3,1,1),업무일지!$B$5:$B$1004,"&lt;"&amp;DATE($B$3+1,1,1),업무일지!$D$5:$D$1004,"분석")&gt;0,1,0))</f>
        <v/>
      </c>
      <c r="BB142">
        <f>IF($O142="",0,IF(COUNTIFS(업무일지!$F$5:$F$1004,$O142,업무일지!$B$5:$B$1004,"&gt;="&amp;DATE($B$3,1,1),업무일지!$B$5:$B$1004,"&lt;"&amp;DATE($B$3+1,1,1))&gt;0,1,0))</f>
        <v/>
      </c>
    </row>
    <row r="143">
      <c r="O143">
        <f>IF(사건마스터!$A63="","",사건마스터!$A63)</f>
        <v/>
      </c>
      <c r="P143">
        <f>IF($O143="",0,IF(COUNTIFS(업무일지!$F$5:$F$1004,$O143,업무일지!$B$5:$B$1004,"&gt;="&amp;DATE($B$3,1,1),업무일지!$B$5:$B$1004,"&lt;"&amp;DATE($B$3,1+1,1),업무일지!$D$5:$D$1004,"출장")&gt;0,1,0))</f>
        <v/>
      </c>
      <c r="Q143">
        <f>IF($O143="",0,IF(COUNTIFS(업무일지!$F$5:$F$1004,$O143,업무일지!$B$5:$B$1004,"&gt;="&amp;DATE($B$3,2,1),업무일지!$B$5:$B$1004,"&lt;"&amp;DATE($B$3,2+1,1),업무일지!$D$5:$D$1004,"출장")&gt;0,1,0))</f>
        <v/>
      </c>
      <c r="R143">
        <f>IF($O143="",0,IF(COUNTIFS(업무일지!$F$5:$F$1004,$O143,업무일지!$B$5:$B$1004,"&gt;="&amp;DATE($B$3,3,1),업무일지!$B$5:$B$1004,"&lt;"&amp;DATE($B$3,3+1,1),업무일지!$D$5:$D$1004,"출장")&gt;0,1,0))</f>
        <v/>
      </c>
      <c r="S143">
        <f>IF($O143="",0,IF(COUNTIFS(업무일지!$F$5:$F$1004,$O143,업무일지!$B$5:$B$1004,"&gt;="&amp;DATE($B$3,4,1),업무일지!$B$5:$B$1004,"&lt;"&amp;DATE($B$3,4+1,1),업무일지!$D$5:$D$1004,"출장")&gt;0,1,0))</f>
        <v/>
      </c>
      <c r="T143">
        <f>IF($O143="",0,IF(COUNTIFS(업무일지!$F$5:$F$1004,$O143,업무일지!$B$5:$B$1004,"&gt;="&amp;DATE($B$3,5,1),업무일지!$B$5:$B$1004,"&lt;"&amp;DATE($B$3,5+1,1),업무일지!$D$5:$D$1004,"출장")&gt;0,1,0))</f>
        <v/>
      </c>
      <c r="U143">
        <f>IF($O143="",0,IF(COUNTIFS(업무일지!$F$5:$F$1004,$O143,업무일지!$B$5:$B$1004,"&gt;="&amp;DATE($B$3,6,1),업무일지!$B$5:$B$1004,"&lt;"&amp;DATE($B$3,6+1,1),업무일지!$D$5:$D$1004,"출장")&gt;0,1,0))</f>
        <v/>
      </c>
      <c r="V143">
        <f>IF($O143="",0,IF(COUNTIFS(업무일지!$F$5:$F$1004,$O143,업무일지!$B$5:$B$1004,"&gt;="&amp;DATE($B$3,7,1),업무일지!$B$5:$B$1004,"&lt;"&amp;DATE($B$3,7+1,1),업무일지!$D$5:$D$1004,"출장")&gt;0,1,0))</f>
        <v/>
      </c>
      <c r="W143">
        <f>IF($O143="",0,IF(COUNTIFS(업무일지!$F$5:$F$1004,$O143,업무일지!$B$5:$B$1004,"&gt;="&amp;DATE($B$3,8,1),업무일지!$B$5:$B$1004,"&lt;"&amp;DATE($B$3,8+1,1),업무일지!$D$5:$D$1004,"출장")&gt;0,1,0))</f>
        <v/>
      </c>
      <c r="X143">
        <f>IF($O143="",0,IF(COUNTIFS(업무일지!$F$5:$F$1004,$O143,업무일지!$B$5:$B$1004,"&gt;="&amp;DATE($B$3,9,1),업무일지!$B$5:$B$1004,"&lt;"&amp;DATE($B$3,9+1,1),업무일지!$D$5:$D$1004,"출장")&gt;0,1,0))</f>
        <v/>
      </c>
      <c r="Y143">
        <f>IF($O143="",0,IF(COUNTIFS(업무일지!$F$5:$F$1004,$O143,업무일지!$B$5:$B$1004,"&gt;="&amp;DATE($B$3,10,1),업무일지!$B$5:$B$1004,"&lt;"&amp;DATE($B$3,10+1,1),업무일지!$D$5:$D$1004,"출장")&gt;0,1,0))</f>
        <v/>
      </c>
      <c r="Z143">
        <f>IF($O143="",0,IF(COUNTIFS(업무일지!$F$5:$F$1004,$O143,업무일지!$B$5:$B$1004,"&gt;="&amp;DATE($B$3,11,1),업무일지!$B$5:$B$1004,"&lt;"&amp;DATE($B$3,11+1,1),업무일지!$D$5:$D$1004,"출장")&gt;0,1,0))</f>
        <v/>
      </c>
      <c r="AA143">
        <f>IF($O143="",0,IF(COUNTIFS(업무일지!$F$5:$F$1004,$O143,업무일지!$B$5:$B$1004,"&gt;="&amp;DATE($B$3,12,1),업무일지!$B$5:$B$1004,"&lt;"&amp;DATE($B$3,12+1,1),업무일지!$D$5:$D$1004,"출장")&gt;0,1,0))</f>
        <v/>
      </c>
      <c r="AB143">
        <f>IF($O143="",0,IF(COUNTIFS(업무일지!$F$5:$F$1004,$O143,업무일지!$B$5:$B$1004,"&gt;="&amp;DATE($B$3,1,1),업무일지!$B$5:$B$1004,"&lt;"&amp;DATE($B$3,1+1,1),업무일지!$D$5:$D$1004,"분석")&gt;0,1,0))</f>
        <v/>
      </c>
      <c r="AC143">
        <f>IF($O143="",0,IF(COUNTIFS(업무일지!$F$5:$F$1004,$O143,업무일지!$B$5:$B$1004,"&gt;="&amp;DATE($B$3,2,1),업무일지!$B$5:$B$1004,"&lt;"&amp;DATE($B$3,2+1,1),업무일지!$D$5:$D$1004,"분석")&gt;0,1,0))</f>
        <v/>
      </c>
      <c r="AD143">
        <f>IF($O143="",0,IF(COUNTIFS(업무일지!$F$5:$F$1004,$O143,업무일지!$B$5:$B$1004,"&gt;="&amp;DATE($B$3,3,1),업무일지!$B$5:$B$1004,"&lt;"&amp;DATE($B$3,3+1,1),업무일지!$D$5:$D$1004,"분석")&gt;0,1,0))</f>
        <v/>
      </c>
      <c r="AE143">
        <f>IF($O143="",0,IF(COUNTIFS(업무일지!$F$5:$F$1004,$O143,업무일지!$B$5:$B$1004,"&gt;="&amp;DATE($B$3,4,1),업무일지!$B$5:$B$1004,"&lt;"&amp;DATE($B$3,4+1,1),업무일지!$D$5:$D$1004,"분석")&gt;0,1,0))</f>
        <v/>
      </c>
      <c r="AF143">
        <f>IF($O143="",0,IF(COUNTIFS(업무일지!$F$5:$F$1004,$O143,업무일지!$B$5:$B$1004,"&gt;="&amp;DATE($B$3,5,1),업무일지!$B$5:$B$1004,"&lt;"&amp;DATE($B$3,5+1,1),업무일지!$D$5:$D$1004,"분석")&gt;0,1,0))</f>
        <v/>
      </c>
      <c r="AG143">
        <f>IF($O143="",0,IF(COUNTIFS(업무일지!$F$5:$F$1004,$O143,업무일지!$B$5:$B$1004,"&gt;="&amp;DATE($B$3,6,1),업무일지!$B$5:$B$1004,"&lt;"&amp;DATE($B$3,6+1,1),업무일지!$D$5:$D$1004,"분석")&gt;0,1,0))</f>
        <v/>
      </c>
      <c r="AH143">
        <f>IF($O143="",0,IF(COUNTIFS(업무일지!$F$5:$F$1004,$O143,업무일지!$B$5:$B$1004,"&gt;="&amp;DATE($B$3,7,1),업무일지!$B$5:$B$1004,"&lt;"&amp;DATE($B$3,7+1,1),업무일지!$D$5:$D$1004,"분석")&gt;0,1,0))</f>
        <v/>
      </c>
      <c r="AI143">
        <f>IF($O143="",0,IF(COUNTIFS(업무일지!$F$5:$F$1004,$O143,업무일지!$B$5:$B$1004,"&gt;="&amp;DATE($B$3,8,1),업무일지!$B$5:$B$1004,"&lt;"&amp;DATE($B$3,8+1,1),업무일지!$D$5:$D$1004,"분석")&gt;0,1,0))</f>
        <v/>
      </c>
      <c r="AJ143">
        <f>IF($O143="",0,IF(COUNTIFS(업무일지!$F$5:$F$1004,$O143,업무일지!$B$5:$B$1004,"&gt;="&amp;DATE($B$3,9,1),업무일지!$B$5:$B$1004,"&lt;"&amp;DATE($B$3,9+1,1),업무일지!$D$5:$D$1004,"분석")&gt;0,1,0))</f>
        <v/>
      </c>
      <c r="AK143">
        <f>IF($O143="",0,IF(COUNTIFS(업무일지!$F$5:$F$1004,$O143,업무일지!$B$5:$B$1004,"&gt;="&amp;DATE($B$3,10,1),업무일지!$B$5:$B$1004,"&lt;"&amp;DATE($B$3,10+1,1),업무일지!$D$5:$D$1004,"분석")&gt;0,1,0))</f>
        <v/>
      </c>
      <c r="AL143">
        <f>IF($O143="",0,IF(COUNTIFS(업무일지!$F$5:$F$1004,$O143,업무일지!$B$5:$B$1004,"&gt;="&amp;DATE($B$3,11,1),업무일지!$B$5:$B$1004,"&lt;"&amp;DATE($B$3,11+1,1),업무일지!$D$5:$D$1004,"분석")&gt;0,1,0))</f>
        <v/>
      </c>
      <c r="AM143">
        <f>IF($O143="",0,IF(COUNTIFS(업무일지!$F$5:$F$1004,$O143,업무일지!$B$5:$B$1004,"&gt;="&amp;DATE($B$3,12,1),업무일지!$B$5:$B$1004,"&lt;"&amp;DATE($B$3,12+1,1),업무일지!$D$5:$D$1004,"분석")&gt;0,1,0))</f>
        <v/>
      </c>
      <c r="AN143">
        <f>IF($O143="",0,IF(COUNTIFS(업무일지!$F$5:$F$1004,$O143,업무일지!$B$5:$B$1004,"&gt;="&amp;DATE($B$3,1,1),업무일지!$B$5:$B$1004,"&lt;"&amp;DATE($B$3,1+1,1))&gt;0,1,0))</f>
        <v/>
      </c>
      <c r="AO143">
        <f>IF($O143="",0,IF(COUNTIFS(업무일지!$F$5:$F$1004,$O143,업무일지!$B$5:$B$1004,"&gt;="&amp;DATE($B$3,2,1),업무일지!$B$5:$B$1004,"&lt;"&amp;DATE($B$3,2+1,1))&gt;0,1,0))</f>
        <v/>
      </c>
      <c r="AP143">
        <f>IF($O143="",0,IF(COUNTIFS(업무일지!$F$5:$F$1004,$O143,업무일지!$B$5:$B$1004,"&gt;="&amp;DATE($B$3,3,1),업무일지!$B$5:$B$1004,"&lt;"&amp;DATE($B$3,3+1,1))&gt;0,1,0))</f>
        <v/>
      </c>
      <c r="AQ143">
        <f>IF($O143="",0,IF(COUNTIFS(업무일지!$F$5:$F$1004,$O143,업무일지!$B$5:$B$1004,"&gt;="&amp;DATE($B$3,4,1),업무일지!$B$5:$B$1004,"&lt;"&amp;DATE($B$3,4+1,1))&gt;0,1,0))</f>
        <v/>
      </c>
      <c r="AR143">
        <f>IF($O143="",0,IF(COUNTIFS(업무일지!$F$5:$F$1004,$O143,업무일지!$B$5:$B$1004,"&gt;="&amp;DATE($B$3,5,1),업무일지!$B$5:$B$1004,"&lt;"&amp;DATE($B$3,5+1,1))&gt;0,1,0))</f>
        <v/>
      </c>
      <c r="AS143">
        <f>IF($O143="",0,IF(COUNTIFS(업무일지!$F$5:$F$1004,$O143,업무일지!$B$5:$B$1004,"&gt;="&amp;DATE($B$3,6,1),업무일지!$B$5:$B$1004,"&lt;"&amp;DATE($B$3,6+1,1))&gt;0,1,0))</f>
        <v/>
      </c>
      <c r="AT143">
        <f>IF($O143="",0,IF(COUNTIFS(업무일지!$F$5:$F$1004,$O143,업무일지!$B$5:$B$1004,"&gt;="&amp;DATE($B$3,7,1),업무일지!$B$5:$B$1004,"&lt;"&amp;DATE($B$3,7+1,1))&gt;0,1,0))</f>
        <v/>
      </c>
      <c r="AU143">
        <f>IF($O143="",0,IF(COUNTIFS(업무일지!$F$5:$F$1004,$O143,업무일지!$B$5:$B$1004,"&gt;="&amp;DATE($B$3,8,1),업무일지!$B$5:$B$1004,"&lt;"&amp;DATE($B$3,8+1,1))&gt;0,1,0))</f>
        <v/>
      </c>
      <c r="AV143">
        <f>IF($O143="",0,IF(COUNTIFS(업무일지!$F$5:$F$1004,$O143,업무일지!$B$5:$B$1004,"&gt;="&amp;DATE($B$3,9,1),업무일지!$B$5:$B$1004,"&lt;"&amp;DATE($B$3,9+1,1))&gt;0,1,0))</f>
        <v/>
      </c>
      <c r="AW143">
        <f>IF($O143="",0,IF(COUNTIFS(업무일지!$F$5:$F$1004,$O143,업무일지!$B$5:$B$1004,"&gt;="&amp;DATE($B$3,10,1),업무일지!$B$5:$B$1004,"&lt;"&amp;DATE($B$3,10+1,1))&gt;0,1,0))</f>
        <v/>
      </c>
      <c r="AX143">
        <f>IF($O143="",0,IF(COUNTIFS(업무일지!$F$5:$F$1004,$O143,업무일지!$B$5:$B$1004,"&gt;="&amp;DATE($B$3,11,1),업무일지!$B$5:$B$1004,"&lt;"&amp;DATE($B$3,11+1,1))&gt;0,1,0))</f>
        <v/>
      </c>
      <c r="AY143">
        <f>IF($O143="",0,IF(COUNTIFS(업무일지!$F$5:$F$1004,$O143,업무일지!$B$5:$B$1004,"&gt;="&amp;DATE($B$3,12,1),업무일지!$B$5:$B$1004,"&lt;"&amp;DATE($B$3,12+1,1))&gt;0,1,0))</f>
        <v/>
      </c>
      <c r="AZ143">
        <f>IF($O143="",0,IF(COUNTIFS(업무일지!$F$5:$F$1004,$O143,업무일지!$B$5:$B$1004,"&gt;="&amp;DATE($B$3,1,1),업무일지!$B$5:$B$1004,"&lt;"&amp;DATE($B$3+1,1,1),업무일지!$D$5:$D$1004,"출장")&gt;0,1,0))</f>
        <v/>
      </c>
      <c r="BA143">
        <f>IF($O143="",0,IF(COUNTIFS(업무일지!$F$5:$F$1004,$O143,업무일지!$B$5:$B$1004,"&gt;="&amp;DATE($B$3,1,1),업무일지!$B$5:$B$1004,"&lt;"&amp;DATE($B$3+1,1,1),업무일지!$D$5:$D$1004,"분석")&gt;0,1,0))</f>
        <v/>
      </c>
      <c r="BB143">
        <f>IF($O143="",0,IF(COUNTIFS(업무일지!$F$5:$F$1004,$O143,업무일지!$B$5:$B$1004,"&gt;="&amp;DATE($B$3,1,1),업무일지!$B$5:$B$1004,"&lt;"&amp;DATE($B$3+1,1,1))&gt;0,1,0))</f>
        <v/>
      </c>
    </row>
    <row r="144">
      <c r="O144">
        <f>IF(사건마스터!$A64="","",사건마스터!$A64)</f>
        <v/>
      </c>
      <c r="P144">
        <f>IF($O144="",0,IF(COUNTIFS(업무일지!$F$5:$F$1004,$O144,업무일지!$B$5:$B$1004,"&gt;="&amp;DATE($B$3,1,1),업무일지!$B$5:$B$1004,"&lt;"&amp;DATE($B$3,1+1,1),업무일지!$D$5:$D$1004,"출장")&gt;0,1,0))</f>
        <v/>
      </c>
      <c r="Q144">
        <f>IF($O144="",0,IF(COUNTIFS(업무일지!$F$5:$F$1004,$O144,업무일지!$B$5:$B$1004,"&gt;="&amp;DATE($B$3,2,1),업무일지!$B$5:$B$1004,"&lt;"&amp;DATE($B$3,2+1,1),업무일지!$D$5:$D$1004,"출장")&gt;0,1,0))</f>
        <v/>
      </c>
      <c r="R144">
        <f>IF($O144="",0,IF(COUNTIFS(업무일지!$F$5:$F$1004,$O144,업무일지!$B$5:$B$1004,"&gt;="&amp;DATE($B$3,3,1),업무일지!$B$5:$B$1004,"&lt;"&amp;DATE($B$3,3+1,1),업무일지!$D$5:$D$1004,"출장")&gt;0,1,0))</f>
        <v/>
      </c>
      <c r="S144">
        <f>IF($O144="",0,IF(COUNTIFS(업무일지!$F$5:$F$1004,$O144,업무일지!$B$5:$B$1004,"&gt;="&amp;DATE($B$3,4,1),업무일지!$B$5:$B$1004,"&lt;"&amp;DATE($B$3,4+1,1),업무일지!$D$5:$D$1004,"출장")&gt;0,1,0))</f>
        <v/>
      </c>
      <c r="T144">
        <f>IF($O144="",0,IF(COUNTIFS(업무일지!$F$5:$F$1004,$O144,업무일지!$B$5:$B$1004,"&gt;="&amp;DATE($B$3,5,1),업무일지!$B$5:$B$1004,"&lt;"&amp;DATE($B$3,5+1,1),업무일지!$D$5:$D$1004,"출장")&gt;0,1,0))</f>
        <v/>
      </c>
      <c r="U144">
        <f>IF($O144="",0,IF(COUNTIFS(업무일지!$F$5:$F$1004,$O144,업무일지!$B$5:$B$1004,"&gt;="&amp;DATE($B$3,6,1),업무일지!$B$5:$B$1004,"&lt;"&amp;DATE($B$3,6+1,1),업무일지!$D$5:$D$1004,"출장")&gt;0,1,0))</f>
        <v/>
      </c>
      <c r="V144">
        <f>IF($O144="",0,IF(COUNTIFS(업무일지!$F$5:$F$1004,$O144,업무일지!$B$5:$B$1004,"&gt;="&amp;DATE($B$3,7,1),업무일지!$B$5:$B$1004,"&lt;"&amp;DATE($B$3,7+1,1),업무일지!$D$5:$D$1004,"출장")&gt;0,1,0))</f>
        <v/>
      </c>
      <c r="W144">
        <f>IF($O144="",0,IF(COUNTIFS(업무일지!$F$5:$F$1004,$O144,업무일지!$B$5:$B$1004,"&gt;="&amp;DATE($B$3,8,1),업무일지!$B$5:$B$1004,"&lt;"&amp;DATE($B$3,8+1,1),업무일지!$D$5:$D$1004,"출장")&gt;0,1,0))</f>
        <v/>
      </c>
      <c r="X144">
        <f>IF($O144="",0,IF(COUNTIFS(업무일지!$F$5:$F$1004,$O144,업무일지!$B$5:$B$1004,"&gt;="&amp;DATE($B$3,9,1),업무일지!$B$5:$B$1004,"&lt;"&amp;DATE($B$3,9+1,1),업무일지!$D$5:$D$1004,"출장")&gt;0,1,0))</f>
        <v/>
      </c>
      <c r="Y144">
        <f>IF($O144="",0,IF(COUNTIFS(업무일지!$F$5:$F$1004,$O144,업무일지!$B$5:$B$1004,"&gt;="&amp;DATE($B$3,10,1),업무일지!$B$5:$B$1004,"&lt;"&amp;DATE($B$3,10+1,1),업무일지!$D$5:$D$1004,"출장")&gt;0,1,0))</f>
        <v/>
      </c>
      <c r="Z144">
        <f>IF($O144="",0,IF(COUNTIFS(업무일지!$F$5:$F$1004,$O144,업무일지!$B$5:$B$1004,"&gt;="&amp;DATE($B$3,11,1),업무일지!$B$5:$B$1004,"&lt;"&amp;DATE($B$3,11+1,1),업무일지!$D$5:$D$1004,"출장")&gt;0,1,0))</f>
        <v/>
      </c>
      <c r="AA144">
        <f>IF($O144="",0,IF(COUNTIFS(업무일지!$F$5:$F$1004,$O144,업무일지!$B$5:$B$1004,"&gt;="&amp;DATE($B$3,12,1),업무일지!$B$5:$B$1004,"&lt;"&amp;DATE($B$3,12+1,1),업무일지!$D$5:$D$1004,"출장")&gt;0,1,0))</f>
        <v/>
      </c>
      <c r="AB144">
        <f>IF($O144="",0,IF(COUNTIFS(업무일지!$F$5:$F$1004,$O144,업무일지!$B$5:$B$1004,"&gt;="&amp;DATE($B$3,1,1),업무일지!$B$5:$B$1004,"&lt;"&amp;DATE($B$3,1+1,1),업무일지!$D$5:$D$1004,"분석")&gt;0,1,0))</f>
        <v/>
      </c>
      <c r="AC144">
        <f>IF($O144="",0,IF(COUNTIFS(업무일지!$F$5:$F$1004,$O144,업무일지!$B$5:$B$1004,"&gt;="&amp;DATE($B$3,2,1),업무일지!$B$5:$B$1004,"&lt;"&amp;DATE($B$3,2+1,1),업무일지!$D$5:$D$1004,"분석")&gt;0,1,0))</f>
        <v/>
      </c>
      <c r="AD144">
        <f>IF($O144="",0,IF(COUNTIFS(업무일지!$F$5:$F$1004,$O144,업무일지!$B$5:$B$1004,"&gt;="&amp;DATE($B$3,3,1),업무일지!$B$5:$B$1004,"&lt;"&amp;DATE($B$3,3+1,1),업무일지!$D$5:$D$1004,"분석")&gt;0,1,0))</f>
        <v/>
      </c>
      <c r="AE144">
        <f>IF($O144="",0,IF(COUNTIFS(업무일지!$F$5:$F$1004,$O144,업무일지!$B$5:$B$1004,"&gt;="&amp;DATE($B$3,4,1),업무일지!$B$5:$B$1004,"&lt;"&amp;DATE($B$3,4+1,1),업무일지!$D$5:$D$1004,"분석")&gt;0,1,0))</f>
        <v/>
      </c>
      <c r="AF144">
        <f>IF($O144="",0,IF(COUNTIFS(업무일지!$F$5:$F$1004,$O144,업무일지!$B$5:$B$1004,"&gt;="&amp;DATE($B$3,5,1),업무일지!$B$5:$B$1004,"&lt;"&amp;DATE($B$3,5+1,1),업무일지!$D$5:$D$1004,"분석")&gt;0,1,0))</f>
        <v/>
      </c>
      <c r="AG144">
        <f>IF($O144="",0,IF(COUNTIFS(업무일지!$F$5:$F$1004,$O144,업무일지!$B$5:$B$1004,"&gt;="&amp;DATE($B$3,6,1),업무일지!$B$5:$B$1004,"&lt;"&amp;DATE($B$3,6+1,1),업무일지!$D$5:$D$1004,"분석")&gt;0,1,0))</f>
        <v/>
      </c>
      <c r="AH144">
        <f>IF($O144="",0,IF(COUNTIFS(업무일지!$F$5:$F$1004,$O144,업무일지!$B$5:$B$1004,"&gt;="&amp;DATE($B$3,7,1),업무일지!$B$5:$B$1004,"&lt;"&amp;DATE($B$3,7+1,1),업무일지!$D$5:$D$1004,"분석")&gt;0,1,0))</f>
        <v/>
      </c>
      <c r="AI144">
        <f>IF($O144="",0,IF(COUNTIFS(업무일지!$F$5:$F$1004,$O144,업무일지!$B$5:$B$1004,"&gt;="&amp;DATE($B$3,8,1),업무일지!$B$5:$B$1004,"&lt;"&amp;DATE($B$3,8+1,1),업무일지!$D$5:$D$1004,"분석")&gt;0,1,0))</f>
        <v/>
      </c>
      <c r="AJ144">
        <f>IF($O144="",0,IF(COUNTIFS(업무일지!$F$5:$F$1004,$O144,업무일지!$B$5:$B$1004,"&gt;="&amp;DATE($B$3,9,1),업무일지!$B$5:$B$1004,"&lt;"&amp;DATE($B$3,9+1,1),업무일지!$D$5:$D$1004,"분석")&gt;0,1,0))</f>
        <v/>
      </c>
      <c r="AK144">
        <f>IF($O144="",0,IF(COUNTIFS(업무일지!$F$5:$F$1004,$O144,업무일지!$B$5:$B$1004,"&gt;="&amp;DATE($B$3,10,1),업무일지!$B$5:$B$1004,"&lt;"&amp;DATE($B$3,10+1,1),업무일지!$D$5:$D$1004,"분석")&gt;0,1,0))</f>
        <v/>
      </c>
      <c r="AL144">
        <f>IF($O144="",0,IF(COUNTIFS(업무일지!$F$5:$F$1004,$O144,업무일지!$B$5:$B$1004,"&gt;="&amp;DATE($B$3,11,1),업무일지!$B$5:$B$1004,"&lt;"&amp;DATE($B$3,11+1,1),업무일지!$D$5:$D$1004,"분석")&gt;0,1,0))</f>
        <v/>
      </c>
      <c r="AM144">
        <f>IF($O144="",0,IF(COUNTIFS(업무일지!$F$5:$F$1004,$O144,업무일지!$B$5:$B$1004,"&gt;="&amp;DATE($B$3,12,1),업무일지!$B$5:$B$1004,"&lt;"&amp;DATE($B$3,12+1,1),업무일지!$D$5:$D$1004,"분석")&gt;0,1,0))</f>
        <v/>
      </c>
      <c r="AN144">
        <f>IF($O144="",0,IF(COUNTIFS(업무일지!$F$5:$F$1004,$O144,업무일지!$B$5:$B$1004,"&gt;="&amp;DATE($B$3,1,1),업무일지!$B$5:$B$1004,"&lt;"&amp;DATE($B$3,1+1,1))&gt;0,1,0))</f>
        <v/>
      </c>
      <c r="AO144">
        <f>IF($O144="",0,IF(COUNTIFS(업무일지!$F$5:$F$1004,$O144,업무일지!$B$5:$B$1004,"&gt;="&amp;DATE($B$3,2,1),업무일지!$B$5:$B$1004,"&lt;"&amp;DATE($B$3,2+1,1))&gt;0,1,0))</f>
        <v/>
      </c>
      <c r="AP144">
        <f>IF($O144="",0,IF(COUNTIFS(업무일지!$F$5:$F$1004,$O144,업무일지!$B$5:$B$1004,"&gt;="&amp;DATE($B$3,3,1),업무일지!$B$5:$B$1004,"&lt;"&amp;DATE($B$3,3+1,1))&gt;0,1,0))</f>
        <v/>
      </c>
      <c r="AQ144">
        <f>IF($O144="",0,IF(COUNTIFS(업무일지!$F$5:$F$1004,$O144,업무일지!$B$5:$B$1004,"&gt;="&amp;DATE($B$3,4,1),업무일지!$B$5:$B$1004,"&lt;"&amp;DATE($B$3,4+1,1))&gt;0,1,0))</f>
        <v/>
      </c>
      <c r="AR144">
        <f>IF($O144="",0,IF(COUNTIFS(업무일지!$F$5:$F$1004,$O144,업무일지!$B$5:$B$1004,"&gt;="&amp;DATE($B$3,5,1),업무일지!$B$5:$B$1004,"&lt;"&amp;DATE($B$3,5+1,1))&gt;0,1,0))</f>
        <v/>
      </c>
      <c r="AS144">
        <f>IF($O144="",0,IF(COUNTIFS(업무일지!$F$5:$F$1004,$O144,업무일지!$B$5:$B$1004,"&gt;="&amp;DATE($B$3,6,1),업무일지!$B$5:$B$1004,"&lt;"&amp;DATE($B$3,6+1,1))&gt;0,1,0))</f>
        <v/>
      </c>
      <c r="AT144">
        <f>IF($O144="",0,IF(COUNTIFS(업무일지!$F$5:$F$1004,$O144,업무일지!$B$5:$B$1004,"&gt;="&amp;DATE($B$3,7,1),업무일지!$B$5:$B$1004,"&lt;"&amp;DATE($B$3,7+1,1))&gt;0,1,0))</f>
        <v/>
      </c>
      <c r="AU144">
        <f>IF($O144="",0,IF(COUNTIFS(업무일지!$F$5:$F$1004,$O144,업무일지!$B$5:$B$1004,"&gt;="&amp;DATE($B$3,8,1),업무일지!$B$5:$B$1004,"&lt;"&amp;DATE($B$3,8+1,1))&gt;0,1,0))</f>
        <v/>
      </c>
      <c r="AV144">
        <f>IF($O144="",0,IF(COUNTIFS(업무일지!$F$5:$F$1004,$O144,업무일지!$B$5:$B$1004,"&gt;="&amp;DATE($B$3,9,1),업무일지!$B$5:$B$1004,"&lt;"&amp;DATE($B$3,9+1,1))&gt;0,1,0))</f>
        <v/>
      </c>
      <c r="AW144">
        <f>IF($O144="",0,IF(COUNTIFS(업무일지!$F$5:$F$1004,$O144,업무일지!$B$5:$B$1004,"&gt;="&amp;DATE($B$3,10,1),업무일지!$B$5:$B$1004,"&lt;"&amp;DATE($B$3,10+1,1))&gt;0,1,0))</f>
        <v/>
      </c>
      <c r="AX144">
        <f>IF($O144="",0,IF(COUNTIFS(업무일지!$F$5:$F$1004,$O144,업무일지!$B$5:$B$1004,"&gt;="&amp;DATE($B$3,11,1),업무일지!$B$5:$B$1004,"&lt;"&amp;DATE($B$3,11+1,1))&gt;0,1,0))</f>
        <v/>
      </c>
      <c r="AY144">
        <f>IF($O144="",0,IF(COUNTIFS(업무일지!$F$5:$F$1004,$O144,업무일지!$B$5:$B$1004,"&gt;="&amp;DATE($B$3,12,1),업무일지!$B$5:$B$1004,"&lt;"&amp;DATE($B$3,12+1,1))&gt;0,1,0))</f>
        <v/>
      </c>
      <c r="AZ144">
        <f>IF($O144="",0,IF(COUNTIFS(업무일지!$F$5:$F$1004,$O144,업무일지!$B$5:$B$1004,"&gt;="&amp;DATE($B$3,1,1),업무일지!$B$5:$B$1004,"&lt;"&amp;DATE($B$3+1,1,1),업무일지!$D$5:$D$1004,"출장")&gt;0,1,0))</f>
        <v/>
      </c>
      <c r="BA144">
        <f>IF($O144="",0,IF(COUNTIFS(업무일지!$F$5:$F$1004,$O144,업무일지!$B$5:$B$1004,"&gt;="&amp;DATE($B$3,1,1),업무일지!$B$5:$B$1004,"&lt;"&amp;DATE($B$3+1,1,1),업무일지!$D$5:$D$1004,"분석")&gt;0,1,0))</f>
        <v/>
      </c>
      <c r="BB144">
        <f>IF($O144="",0,IF(COUNTIFS(업무일지!$F$5:$F$1004,$O144,업무일지!$B$5:$B$1004,"&gt;="&amp;DATE($B$3,1,1),업무일지!$B$5:$B$1004,"&lt;"&amp;DATE($B$3+1,1,1))&gt;0,1,0))</f>
        <v/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S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회차</t>
        </is>
      </c>
      <c r="G5" s="23" t="inlineStr">
        <is>
          <t>분석 회차</t>
        </is>
      </c>
      <c r="H5" s="23" t="inlineStr">
        <is>
          <t>실시 구분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4">
        <f>IF($A6="","",IF(F6+G6=0,"미착수",IF(F6=0,"분석만",IF(G6=0,"출장만","출장+분석"))))</f>
        <v/>
      </c>
      <c r="I6" s="24">
        <f>IF($A6="","",SUMIFS(업무일지!$AF$5:$AF$1004,업무일지!$F$5:$F$1004,$A6,업무일지!$D$5:$D$1004,"출장"))</f>
        <v/>
      </c>
      <c r="J6" s="24">
        <f>IF($A6="","",SUMIFS(업무일지!$AD$5:$AD$1004,업무일지!$F$5:$F$1004,$A6))</f>
        <v/>
      </c>
      <c r="K6" s="25">
        <f>IF($A6="","",SUMIFS(업무일지!$AE$5:$AE$1004,업무일지!$F$5:$F$1004,$A6))</f>
        <v/>
      </c>
      <c r="L6" s="24">
        <f>IF($A6="","",COUNTIF(일일실시사항!$G$5:$G$1004,$A6))</f>
        <v/>
      </c>
      <c r="M6" s="51">
        <f>IF($R6=0,"",1000000-$R6)</f>
        <v/>
      </c>
      <c r="N6" s="51">
        <f>IF($S6=0,"",$S6)</f>
        <v/>
      </c>
      <c r="O6" s="43">
        <f>IF(OR($M6="",$N6=""),"",$N6-$M6+1)</f>
        <v/>
      </c>
      <c r="P6" s="52">
        <f>IF($A6="","",사건마스터!$E5)</f>
        <v/>
      </c>
      <c r="R6">
        <f>IF($A6="",0,SUMPRODUCT(MAX((업무일지!$F$5:$F$1004=$A6)*(업무일지!$B$5:$B$1004&gt;0)*(1000000-업무일지!$B$5:$B$1004))))</f>
        <v/>
      </c>
      <c r="S6">
        <f>IF($A6="",0,SUMPRODUCT(MAX((업무일지!$F$5:$F$1004=$A6)*업무일지!$C$5:$C$1004)))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4">
        <f>IF($A7="","",IF(F7+G7=0,"미착수",IF(F7=0,"분석만",IF(G7=0,"출장만","출장+분석"))))</f>
        <v/>
      </c>
      <c r="I7" s="24">
        <f>IF($A7="","",SUMIFS(업무일지!$AF$5:$AF$1004,업무일지!$F$5:$F$1004,$A7,업무일지!$D$5:$D$1004,"출장"))</f>
        <v/>
      </c>
      <c r="J7" s="24">
        <f>IF($A7="","",SUMIFS(업무일지!$AD$5:$AD$1004,업무일지!$F$5:$F$1004,$A7))</f>
        <v/>
      </c>
      <c r="K7" s="25">
        <f>IF($A7="","",SUMIFS(업무일지!$AE$5:$AE$1004,업무일지!$F$5:$F$1004,$A7))</f>
        <v/>
      </c>
      <c r="L7" s="24">
        <f>IF($A7="","",COUNTIF(일일실시사항!$G$5:$G$1004,$A7))</f>
        <v/>
      </c>
      <c r="M7" s="51">
        <f>IF($R7=0,"",1000000-$R7)</f>
        <v/>
      </c>
      <c r="N7" s="51">
        <f>IF($S7=0,"",$S7)</f>
        <v/>
      </c>
      <c r="O7" s="43">
        <f>IF(OR($M7="",$N7=""),"",$N7-$M7+1)</f>
        <v/>
      </c>
      <c r="P7" s="52">
        <f>IF($A7="","",사건마스터!$E6)</f>
        <v/>
      </c>
      <c r="R7">
        <f>IF($A7="",0,SUMPRODUCT(MAX((업무일지!$F$5:$F$1004=$A7)*(업무일지!$B$5:$B$1004&gt;0)*(1000000-업무일지!$B$5:$B$1004))))</f>
        <v/>
      </c>
      <c r="S7">
        <f>IF($A7="",0,SUMPRODUCT(MAX((업무일지!$F$5:$F$1004=$A7)*업무일지!$C$5:$C$1004)))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4">
        <f>IF($A8="","",IF(F8+G8=0,"미착수",IF(F8=0,"분석만",IF(G8=0,"출장만","출장+분석"))))</f>
        <v/>
      </c>
      <c r="I8" s="24">
        <f>IF($A8="","",SUMIFS(업무일지!$AF$5:$AF$1004,업무일지!$F$5:$F$1004,$A8,업무일지!$D$5:$D$1004,"출장"))</f>
        <v/>
      </c>
      <c r="J8" s="24">
        <f>IF($A8="","",SUMIFS(업무일지!$AD$5:$AD$1004,업무일지!$F$5:$F$1004,$A8))</f>
        <v/>
      </c>
      <c r="K8" s="25">
        <f>IF($A8="","",SUMIFS(업무일지!$AE$5:$AE$1004,업무일지!$F$5:$F$1004,$A8))</f>
        <v/>
      </c>
      <c r="L8" s="24">
        <f>IF($A8="","",COUNTIF(일일실시사항!$G$5:$G$1004,$A8))</f>
        <v/>
      </c>
      <c r="M8" s="51">
        <f>IF($R8=0,"",1000000-$R8)</f>
        <v/>
      </c>
      <c r="N8" s="51">
        <f>IF($S8=0,"",$S8)</f>
        <v/>
      </c>
      <c r="O8" s="43">
        <f>IF(OR($M8="",$N8=""),"",$N8-$M8+1)</f>
        <v/>
      </c>
      <c r="P8" s="52">
        <f>IF($A8="","",사건마스터!$E7)</f>
        <v/>
      </c>
      <c r="R8">
        <f>IF($A8="",0,SUMPRODUCT(MAX((업무일지!$F$5:$F$1004=$A8)*(업무일지!$B$5:$B$1004&gt;0)*(1000000-업무일지!$B$5:$B$1004))))</f>
        <v/>
      </c>
      <c r="S8">
        <f>IF($A8="",0,SUMPRODUCT(MAX((업무일지!$F$5:$F$1004=$A8)*업무일지!$C$5:$C$1004)))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4">
        <f>IF($A9="","",IF(F9+G9=0,"미착수",IF(F9=0,"분석만",IF(G9=0,"출장만","출장+분석"))))</f>
        <v/>
      </c>
      <c r="I9" s="24">
        <f>IF($A9="","",SUMIFS(업무일지!$AF$5:$AF$1004,업무일지!$F$5:$F$1004,$A9,업무일지!$D$5:$D$1004,"출장"))</f>
        <v/>
      </c>
      <c r="J9" s="24">
        <f>IF($A9="","",SUMIFS(업무일지!$AD$5:$AD$1004,업무일지!$F$5:$F$1004,$A9))</f>
        <v/>
      </c>
      <c r="K9" s="25">
        <f>IF($A9="","",SUMIFS(업무일지!$AE$5:$AE$1004,업무일지!$F$5:$F$1004,$A9))</f>
        <v/>
      </c>
      <c r="L9" s="24">
        <f>IF($A9="","",COUNTIF(일일실시사항!$G$5:$G$1004,$A9))</f>
        <v/>
      </c>
      <c r="M9" s="51">
        <f>IF($R9=0,"",1000000-$R9)</f>
        <v/>
      </c>
      <c r="N9" s="51">
        <f>IF($S9=0,"",$S9)</f>
        <v/>
      </c>
      <c r="O9" s="43">
        <f>IF(OR($M9="",$N9=""),"",$N9-$M9+1)</f>
        <v/>
      </c>
      <c r="P9" s="52">
        <f>IF($A9="","",사건마스터!$E8)</f>
        <v/>
      </c>
      <c r="R9">
        <f>IF($A9="",0,SUMPRODUCT(MAX((업무일지!$F$5:$F$1004=$A9)*(업무일지!$B$5:$B$1004&gt;0)*(1000000-업무일지!$B$5:$B$1004))))</f>
        <v/>
      </c>
      <c r="S9">
        <f>IF($A9="",0,SUMPRODUCT(MAX((업무일지!$F$5:$F$1004=$A9)*업무일지!$C$5:$C$1004)))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4">
        <f>IF($A10="","",IF(F10+G10=0,"미착수",IF(F10=0,"분석만",IF(G10=0,"출장만","출장+분석"))))</f>
        <v/>
      </c>
      <c r="I10" s="24">
        <f>IF($A10="","",SUMIFS(업무일지!$AF$5:$AF$1004,업무일지!$F$5:$F$1004,$A10,업무일지!$D$5:$D$1004,"출장"))</f>
        <v/>
      </c>
      <c r="J10" s="24">
        <f>IF($A10="","",SUMIFS(업무일지!$AD$5:$AD$1004,업무일지!$F$5:$F$1004,$A10))</f>
        <v/>
      </c>
      <c r="K10" s="25">
        <f>IF($A10="","",SUMIFS(업무일지!$AE$5:$AE$1004,업무일지!$F$5:$F$1004,$A10))</f>
        <v/>
      </c>
      <c r="L10" s="24">
        <f>IF($A10="","",COUNTIF(일일실시사항!$G$5:$G$1004,$A10))</f>
        <v/>
      </c>
      <c r="M10" s="51">
        <f>IF($R10=0,"",1000000-$R10)</f>
        <v/>
      </c>
      <c r="N10" s="51">
        <f>IF($S10=0,"",$S10)</f>
        <v/>
      </c>
      <c r="O10" s="43">
        <f>IF(OR($M10="",$N10=""),"",$N10-$M10+1)</f>
        <v/>
      </c>
      <c r="P10" s="52">
        <f>IF($A10="","",사건마스터!$E9)</f>
        <v/>
      </c>
      <c r="R10">
        <f>IF($A10="",0,SUMPRODUCT(MAX((업무일지!$F$5:$F$1004=$A10)*(업무일지!$B$5:$B$1004&gt;0)*(1000000-업무일지!$B$5:$B$1004))))</f>
        <v/>
      </c>
      <c r="S10">
        <f>IF($A10="",0,SUMPRODUCT(MAX((업무일지!$F$5:$F$1004=$A10)*업무일지!$C$5:$C$1004)))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4">
        <f>IF($A11="","",IF(F11+G11=0,"미착수",IF(F11=0,"분석만",IF(G11=0,"출장만","출장+분석"))))</f>
        <v/>
      </c>
      <c r="I11" s="24">
        <f>IF($A11="","",SUMIFS(업무일지!$AF$5:$AF$1004,업무일지!$F$5:$F$1004,$A11,업무일지!$D$5:$D$1004,"출장"))</f>
        <v/>
      </c>
      <c r="J11" s="24">
        <f>IF($A11="","",SUMIFS(업무일지!$AD$5:$AD$1004,업무일지!$F$5:$F$1004,$A11))</f>
        <v/>
      </c>
      <c r="K11" s="25">
        <f>IF($A11="","",SUMIFS(업무일지!$AE$5:$AE$1004,업무일지!$F$5:$F$1004,$A11))</f>
        <v/>
      </c>
      <c r="L11" s="24">
        <f>IF($A11="","",COUNTIF(일일실시사항!$G$5:$G$1004,$A11))</f>
        <v/>
      </c>
      <c r="M11" s="51">
        <f>IF($R11=0,"",1000000-$R11)</f>
        <v/>
      </c>
      <c r="N11" s="51">
        <f>IF($S11=0,"",$S11)</f>
        <v/>
      </c>
      <c r="O11" s="43">
        <f>IF(OR($M11="",$N11=""),"",$N11-$M11+1)</f>
        <v/>
      </c>
      <c r="P11" s="52">
        <f>IF($A11="","",사건마스터!$E10)</f>
        <v/>
      </c>
      <c r="R11">
        <f>IF($A11="",0,SUMPRODUCT(MAX((업무일지!$F$5:$F$1004=$A11)*(업무일지!$B$5:$B$1004&gt;0)*(1000000-업무일지!$B$5:$B$1004))))</f>
        <v/>
      </c>
      <c r="S11">
        <f>IF($A11="",0,SUMPRODUCT(MAX((업무일지!$F$5:$F$1004=$A11)*업무일지!$C$5:$C$1004)))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4">
        <f>IF($A12="","",IF(F12+G12=0,"미착수",IF(F12=0,"분석만",IF(G12=0,"출장만","출장+분석"))))</f>
        <v/>
      </c>
      <c r="I12" s="24">
        <f>IF($A12="","",SUMIFS(업무일지!$AF$5:$AF$1004,업무일지!$F$5:$F$1004,$A12,업무일지!$D$5:$D$1004,"출장"))</f>
        <v/>
      </c>
      <c r="J12" s="24">
        <f>IF($A12="","",SUMIFS(업무일지!$AD$5:$AD$1004,업무일지!$F$5:$F$1004,$A12))</f>
        <v/>
      </c>
      <c r="K12" s="25">
        <f>IF($A12="","",SUMIFS(업무일지!$AE$5:$AE$1004,업무일지!$F$5:$F$1004,$A12))</f>
        <v/>
      </c>
      <c r="L12" s="24">
        <f>IF($A12="","",COUNTIF(일일실시사항!$G$5:$G$1004,$A12))</f>
        <v/>
      </c>
      <c r="M12" s="51">
        <f>IF($R12=0,"",1000000-$R12)</f>
        <v/>
      </c>
      <c r="N12" s="51">
        <f>IF($S12=0,"",$S12)</f>
        <v/>
      </c>
      <c r="O12" s="43">
        <f>IF(OR($M12="",$N12=""),"",$N12-$M12+1)</f>
        <v/>
      </c>
      <c r="P12" s="52">
        <f>IF($A12="","",사건마스터!$E11)</f>
        <v/>
      </c>
      <c r="R12">
        <f>IF($A12="",0,SUMPRODUCT(MAX((업무일지!$F$5:$F$1004=$A12)*(업무일지!$B$5:$B$1004&gt;0)*(1000000-업무일지!$B$5:$B$1004))))</f>
        <v/>
      </c>
      <c r="S12">
        <f>IF($A12="",0,SUMPRODUCT(MAX((업무일지!$F$5:$F$1004=$A12)*업무일지!$C$5:$C$1004)))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4">
        <f>IF($A13="","",IF(F13+G13=0,"미착수",IF(F13=0,"분석만",IF(G13=0,"출장만","출장+분석"))))</f>
        <v/>
      </c>
      <c r="I13" s="24">
        <f>IF($A13="","",SUMIFS(업무일지!$AF$5:$AF$1004,업무일지!$F$5:$F$1004,$A13,업무일지!$D$5:$D$1004,"출장"))</f>
        <v/>
      </c>
      <c r="J13" s="24">
        <f>IF($A13="","",SUMIFS(업무일지!$AD$5:$AD$1004,업무일지!$F$5:$F$1004,$A13))</f>
        <v/>
      </c>
      <c r="K13" s="25">
        <f>IF($A13="","",SUMIFS(업무일지!$AE$5:$AE$1004,업무일지!$F$5:$F$1004,$A13))</f>
        <v/>
      </c>
      <c r="L13" s="24">
        <f>IF($A13="","",COUNTIF(일일실시사항!$G$5:$G$1004,$A13))</f>
        <v/>
      </c>
      <c r="M13" s="51">
        <f>IF($R13=0,"",1000000-$R13)</f>
        <v/>
      </c>
      <c r="N13" s="51">
        <f>IF($S13=0,"",$S13)</f>
        <v/>
      </c>
      <c r="O13" s="43">
        <f>IF(OR($M13="",$N13=""),"",$N13-$M13+1)</f>
        <v/>
      </c>
      <c r="P13" s="52">
        <f>IF($A13="","",사건마스터!$E12)</f>
        <v/>
      </c>
      <c r="R13">
        <f>IF($A13="",0,SUMPRODUCT(MAX((업무일지!$F$5:$F$1004=$A13)*(업무일지!$B$5:$B$1004&gt;0)*(1000000-업무일지!$B$5:$B$1004))))</f>
        <v/>
      </c>
      <c r="S13">
        <f>IF($A13="",0,SUMPRODUCT(MAX((업무일지!$F$5:$F$1004=$A13)*업무일지!$C$5:$C$1004)))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4">
        <f>IF($A14="","",IF(F14+G14=0,"미착수",IF(F14=0,"분석만",IF(G14=0,"출장만","출장+분석"))))</f>
        <v/>
      </c>
      <c r="I14" s="24">
        <f>IF($A14="","",SUMIFS(업무일지!$AF$5:$AF$1004,업무일지!$F$5:$F$1004,$A14,업무일지!$D$5:$D$1004,"출장"))</f>
        <v/>
      </c>
      <c r="J14" s="24">
        <f>IF($A14="","",SUMIFS(업무일지!$AD$5:$AD$1004,업무일지!$F$5:$F$1004,$A14))</f>
        <v/>
      </c>
      <c r="K14" s="25">
        <f>IF($A14="","",SUMIFS(업무일지!$AE$5:$AE$1004,업무일지!$F$5:$F$1004,$A14))</f>
        <v/>
      </c>
      <c r="L14" s="24">
        <f>IF($A14="","",COUNTIF(일일실시사항!$G$5:$G$1004,$A14))</f>
        <v/>
      </c>
      <c r="M14" s="51">
        <f>IF($R14=0,"",1000000-$R14)</f>
        <v/>
      </c>
      <c r="N14" s="51">
        <f>IF($S14=0,"",$S14)</f>
        <v/>
      </c>
      <c r="O14" s="43">
        <f>IF(OR($M14="",$N14=""),"",$N14-$M14+1)</f>
        <v/>
      </c>
      <c r="P14" s="52">
        <f>IF($A14="","",사건마스터!$E13)</f>
        <v/>
      </c>
      <c r="R14">
        <f>IF($A14="",0,SUMPRODUCT(MAX((업무일지!$F$5:$F$1004=$A14)*(업무일지!$B$5:$B$1004&gt;0)*(1000000-업무일지!$B$5:$B$1004))))</f>
        <v/>
      </c>
      <c r="S14">
        <f>IF($A14="",0,SUMPRODUCT(MAX((업무일지!$F$5:$F$1004=$A14)*업무일지!$C$5:$C$1004)))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4">
        <f>IF($A15="","",IF(F15+G15=0,"미착수",IF(F15=0,"분석만",IF(G15=0,"출장만","출장+분석"))))</f>
        <v/>
      </c>
      <c r="I15" s="24">
        <f>IF($A15="","",SUMIFS(업무일지!$AF$5:$AF$1004,업무일지!$F$5:$F$1004,$A15,업무일지!$D$5:$D$1004,"출장"))</f>
        <v/>
      </c>
      <c r="J15" s="24">
        <f>IF($A15="","",SUMIFS(업무일지!$AD$5:$AD$1004,업무일지!$F$5:$F$1004,$A15))</f>
        <v/>
      </c>
      <c r="K15" s="25">
        <f>IF($A15="","",SUMIFS(업무일지!$AE$5:$AE$1004,업무일지!$F$5:$F$1004,$A15))</f>
        <v/>
      </c>
      <c r="L15" s="24">
        <f>IF($A15="","",COUNTIF(일일실시사항!$G$5:$G$1004,$A15))</f>
        <v/>
      </c>
      <c r="M15" s="51">
        <f>IF($R15=0,"",1000000-$R15)</f>
        <v/>
      </c>
      <c r="N15" s="51">
        <f>IF($S15=0,"",$S15)</f>
        <v/>
      </c>
      <c r="O15" s="43">
        <f>IF(OR($M15="",$N15=""),"",$N15-$M15+1)</f>
        <v/>
      </c>
      <c r="P15" s="52">
        <f>IF($A15="","",사건마스터!$E14)</f>
        <v/>
      </c>
      <c r="R15">
        <f>IF($A15="",0,SUMPRODUCT(MAX((업무일지!$F$5:$F$1004=$A15)*(업무일지!$B$5:$B$1004&gt;0)*(1000000-업무일지!$B$5:$B$1004))))</f>
        <v/>
      </c>
      <c r="S15">
        <f>IF($A15="",0,SUMPRODUCT(MAX((업무일지!$F$5:$F$1004=$A15)*업무일지!$C$5:$C$1004)))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4">
        <f>IF($A16="","",IF(F16+G16=0,"미착수",IF(F16=0,"분석만",IF(G16=0,"출장만","출장+분석"))))</f>
        <v/>
      </c>
      <c r="I16" s="24">
        <f>IF($A16="","",SUMIFS(업무일지!$AF$5:$AF$1004,업무일지!$F$5:$F$1004,$A16,업무일지!$D$5:$D$1004,"출장"))</f>
        <v/>
      </c>
      <c r="J16" s="24">
        <f>IF($A16="","",SUMIFS(업무일지!$AD$5:$AD$1004,업무일지!$F$5:$F$1004,$A16))</f>
        <v/>
      </c>
      <c r="K16" s="25">
        <f>IF($A16="","",SUMIFS(업무일지!$AE$5:$AE$1004,업무일지!$F$5:$F$1004,$A16))</f>
        <v/>
      </c>
      <c r="L16" s="24">
        <f>IF($A16="","",COUNTIF(일일실시사항!$G$5:$G$1004,$A16))</f>
        <v/>
      </c>
      <c r="M16" s="51">
        <f>IF($R16=0,"",1000000-$R16)</f>
        <v/>
      </c>
      <c r="N16" s="51">
        <f>IF($S16=0,"",$S16)</f>
        <v/>
      </c>
      <c r="O16" s="43">
        <f>IF(OR($M16="",$N16=""),"",$N16-$M16+1)</f>
        <v/>
      </c>
      <c r="P16" s="52">
        <f>IF($A16="","",사건마스터!$E15)</f>
        <v/>
      </c>
      <c r="R16">
        <f>IF($A16="",0,SUMPRODUCT(MAX((업무일지!$F$5:$F$1004=$A16)*(업무일지!$B$5:$B$1004&gt;0)*(1000000-업무일지!$B$5:$B$1004))))</f>
        <v/>
      </c>
      <c r="S16">
        <f>IF($A16="",0,SUMPRODUCT(MAX((업무일지!$F$5:$F$1004=$A16)*업무일지!$C$5:$C$1004)))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4">
        <f>IF($A17="","",IF(F17+G17=0,"미착수",IF(F17=0,"분석만",IF(G17=0,"출장만","출장+분석"))))</f>
        <v/>
      </c>
      <c r="I17" s="24">
        <f>IF($A17="","",SUMIFS(업무일지!$AF$5:$AF$1004,업무일지!$F$5:$F$1004,$A17,업무일지!$D$5:$D$1004,"출장"))</f>
        <v/>
      </c>
      <c r="J17" s="24">
        <f>IF($A17="","",SUMIFS(업무일지!$AD$5:$AD$1004,업무일지!$F$5:$F$1004,$A17))</f>
        <v/>
      </c>
      <c r="K17" s="25">
        <f>IF($A17="","",SUMIFS(업무일지!$AE$5:$AE$1004,업무일지!$F$5:$F$1004,$A17))</f>
        <v/>
      </c>
      <c r="L17" s="24">
        <f>IF($A17="","",COUNTIF(일일실시사항!$G$5:$G$1004,$A17))</f>
        <v/>
      </c>
      <c r="M17" s="51">
        <f>IF($R17=0,"",1000000-$R17)</f>
        <v/>
      </c>
      <c r="N17" s="51">
        <f>IF($S17=0,"",$S17)</f>
        <v/>
      </c>
      <c r="O17" s="43">
        <f>IF(OR($M17="",$N17=""),"",$N17-$M17+1)</f>
        <v/>
      </c>
      <c r="P17" s="52">
        <f>IF($A17="","",사건마스터!$E16)</f>
        <v/>
      </c>
      <c r="R17">
        <f>IF($A17="",0,SUMPRODUCT(MAX((업무일지!$F$5:$F$1004=$A17)*(업무일지!$B$5:$B$1004&gt;0)*(1000000-업무일지!$B$5:$B$1004))))</f>
        <v/>
      </c>
      <c r="S17">
        <f>IF($A17="",0,SUMPRODUCT(MAX((업무일지!$F$5:$F$1004=$A17)*업무일지!$C$5:$C$1004)))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4">
        <f>IF($A18="","",IF(F18+G18=0,"미착수",IF(F18=0,"분석만",IF(G18=0,"출장만","출장+분석"))))</f>
        <v/>
      </c>
      <c r="I18" s="24">
        <f>IF($A18="","",SUMIFS(업무일지!$AF$5:$AF$1004,업무일지!$F$5:$F$1004,$A18,업무일지!$D$5:$D$1004,"출장"))</f>
        <v/>
      </c>
      <c r="J18" s="24">
        <f>IF($A18="","",SUMIFS(업무일지!$AD$5:$AD$1004,업무일지!$F$5:$F$1004,$A18))</f>
        <v/>
      </c>
      <c r="K18" s="25">
        <f>IF($A18="","",SUMIFS(업무일지!$AE$5:$AE$1004,업무일지!$F$5:$F$1004,$A18))</f>
        <v/>
      </c>
      <c r="L18" s="24">
        <f>IF($A18="","",COUNTIF(일일실시사항!$G$5:$G$1004,$A18))</f>
        <v/>
      </c>
      <c r="M18" s="51">
        <f>IF($R18=0,"",1000000-$R18)</f>
        <v/>
      </c>
      <c r="N18" s="51">
        <f>IF($S18=0,"",$S18)</f>
        <v/>
      </c>
      <c r="O18" s="43">
        <f>IF(OR($M18="",$N18=""),"",$N18-$M18+1)</f>
        <v/>
      </c>
      <c r="P18" s="52">
        <f>IF($A18="","",사건마스터!$E17)</f>
        <v/>
      </c>
      <c r="R18">
        <f>IF($A18="",0,SUMPRODUCT(MAX((업무일지!$F$5:$F$1004=$A18)*(업무일지!$B$5:$B$1004&gt;0)*(1000000-업무일지!$B$5:$B$1004))))</f>
        <v/>
      </c>
      <c r="S18">
        <f>IF($A18="",0,SUMPRODUCT(MAX((업무일지!$F$5:$F$1004=$A18)*업무일지!$C$5:$C$1004)))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4">
        <f>IF($A19="","",IF(F19+G19=0,"미착수",IF(F19=0,"분석만",IF(G19=0,"출장만","출장+분석"))))</f>
        <v/>
      </c>
      <c r="I19" s="24">
        <f>IF($A19="","",SUMIFS(업무일지!$AF$5:$AF$1004,업무일지!$F$5:$F$1004,$A19,업무일지!$D$5:$D$1004,"출장"))</f>
        <v/>
      </c>
      <c r="J19" s="24">
        <f>IF($A19="","",SUMIFS(업무일지!$AD$5:$AD$1004,업무일지!$F$5:$F$1004,$A19))</f>
        <v/>
      </c>
      <c r="K19" s="25">
        <f>IF($A19="","",SUMIFS(업무일지!$AE$5:$AE$1004,업무일지!$F$5:$F$1004,$A19))</f>
        <v/>
      </c>
      <c r="L19" s="24">
        <f>IF($A19="","",COUNTIF(일일실시사항!$G$5:$G$1004,$A19))</f>
        <v/>
      </c>
      <c r="M19" s="51">
        <f>IF($R19=0,"",1000000-$R19)</f>
        <v/>
      </c>
      <c r="N19" s="51">
        <f>IF($S19=0,"",$S19)</f>
        <v/>
      </c>
      <c r="O19" s="43">
        <f>IF(OR($M19="",$N19=""),"",$N19-$M19+1)</f>
        <v/>
      </c>
      <c r="P19" s="52">
        <f>IF($A19="","",사건마스터!$E18)</f>
        <v/>
      </c>
      <c r="R19">
        <f>IF($A19="",0,SUMPRODUCT(MAX((업무일지!$F$5:$F$1004=$A19)*(업무일지!$B$5:$B$1004&gt;0)*(1000000-업무일지!$B$5:$B$1004))))</f>
        <v/>
      </c>
      <c r="S19">
        <f>IF($A19="",0,SUMPRODUCT(MAX((업무일지!$F$5:$F$1004=$A19)*업무일지!$C$5:$C$1004)))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4">
        <f>IF($A20="","",IF(F20+G20=0,"미착수",IF(F20=0,"분석만",IF(G20=0,"출장만","출장+분석"))))</f>
        <v/>
      </c>
      <c r="I20" s="24">
        <f>IF($A20="","",SUMIFS(업무일지!$AF$5:$AF$1004,업무일지!$F$5:$F$1004,$A20,업무일지!$D$5:$D$1004,"출장"))</f>
        <v/>
      </c>
      <c r="J20" s="24">
        <f>IF($A20="","",SUMIFS(업무일지!$AD$5:$AD$1004,업무일지!$F$5:$F$1004,$A20))</f>
        <v/>
      </c>
      <c r="K20" s="25">
        <f>IF($A20="","",SUMIFS(업무일지!$AE$5:$AE$1004,업무일지!$F$5:$F$1004,$A20))</f>
        <v/>
      </c>
      <c r="L20" s="24">
        <f>IF($A20="","",COUNTIF(일일실시사항!$G$5:$G$1004,$A20))</f>
        <v/>
      </c>
      <c r="M20" s="51">
        <f>IF($R20=0,"",1000000-$R20)</f>
        <v/>
      </c>
      <c r="N20" s="51">
        <f>IF($S20=0,"",$S20)</f>
        <v/>
      </c>
      <c r="O20" s="43">
        <f>IF(OR($M20="",$N20=""),"",$N20-$M20+1)</f>
        <v/>
      </c>
      <c r="P20" s="52">
        <f>IF($A20="","",사건마스터!$E19)</f>
        <v/>
      </c>
      <c r="R20">
        <f>IF($A20="",0,SUMPRODUCT(MAX((업무일지!$F$5:$F$1004=$A20)*(업무일지!$B$5:$B$1004&gt;0)*(1000000-업무일지!$B$5:$B$1004))))</f>
        <v/>
      </c>
      <c r="S20">
        <f>IF($A20="",0,SUMPRODUCT(MAX((업무일지!$F$5:$F$1004=$A20)*업무일지!$C$5:$C$1004)))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4">
        <f>IF($A21="","",IF(F21+G21=0,"미착수",IF(F21=0,"분석만",IF(G21=0,"출장만","출장+분석"))))</f>
        <v/>
      </c>
      <c r="I21" s="24">
        <f>IF($A21="","",SUMIFS(업무일지!$AF$5:$AF$1004,업무일지!$F$5:$F$1004,$A21,업무일지!$D$5:$D$1004,"출장"))</f>
        <v/>
      </c>
      <c r="J21" s="24">
        <f>IF($A21="","",SUMIFS(업무일지!$AD$5:$AD$1004,업무일지!$F$5:$F$1004,$A21))</f>
        <v/>
      </c>
      <c r="K21" s="25">
        <f>IF($A21="","",SUMIFS(업무일지!$AE$5:$AE$1004,업무일지!$F$5:$F$1004,$A21))</f>
        <v/>
      </c>
      <c r="L21" s="24">
        <f>IF($A21="","",COUNTIF(일일실시사항!$G$5:$G$1004,$A21))</f>
        <v/>
      </c>
      <c r="M21" s="51">
        <f>IF($R21=0,"",1000000-$R21)</f>
        <v/>
      </c>
      <c r="N21" s="51">
        <f>IF($S21=0,"",$S21)</f>
        <v/>
      </c>
      <c r="O21" s="43">
        <f>IF(OR($M21="",$N21=""),"",$N21-$M21+1)</f>
        <v/>
      </c>
      <c r="P21" s="52">
        <f>IF($A21="","",사건마스터!$E20)</f>
        <v/>
      </c>
      <c r="R21">
        <f>IF($A21="",0,SUMPRODUCT(MAX((업무일지!$F$5:$F$1004=$A21)*(업무일지!$B$5:$B$1004&gt;0)*(1000000-업무일지!$B$5:$B$1004))))</f>
        <v/>
      </c>
      <c r="S21">
        <f>IF($A21="",0,SUMPRODUCT(MAX((업무일지!$F$5:$F$1004=$A21)*업무일지!$C$5:$C$1004)))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4">
        <f>IF($A22="","",IF(F22+G22=0,"미착수",IF(F22=0,"분석만",IF(G22=0,"출장만","출장+분석"))))</f>
        <v/>
      </c>
      <c r="I22" s="24">
        <f>IF($A22="","",SUMIFS(업무일지!$AF$5:$AF$1004,업무일지!$F$5:$F$1004,$A22,업무일지!$D$5:$D$1004,"출장"))</f>
        <v/>
      </c>
      <c r="J22" s="24">
        <f>IF($A22="","",SUMIFS(업무일지!$AD$5:$AD$1004,업무일지!$F$5:$F$1004,$A22))</f>
        <v/>
      </c>
      <c r="K22" s="25">
        <f>IF($A22="","",SUMIFS(업무일지!$AE$5:$AE$1004,업무일지!$F$5:$F$1004,$A22))</f>
        <v/>
      </c>
      <c r="L22" s="24">
        <f>IF($A22="","",COUNTIF(일일실시사항!$G$5:$G$1004,$A22))</f>
        <v/>
      </c>
      <c r="M22" s="51">
        <f>IF($R22=0,"",1000000-$R22)</f>
        <v/>
      </c>
      <c r="N22" s="51">
        <f>IF($S22=0,"",$S22)</f>
        <v/>
      </c>
      <c r="O22" s="43">
        <f>IF(OR($M22="",$N22=""),"",$N22-$M22+1)</f>
        <v/>
      </c>
      <c r="P22" s="52">
        <f>IF($A22="","",사건마스터!$E21)</f>
        <v/>
      </c>
      <c r="R22">
        <f>IF($A22="",0,SUMPRODUCT(MAX((업무일지!$F$5:$F$1004=$A22)*(업무일지!$B$5:$B$1004&gt;0)*(1000000-업무일지!$B$5:$B$1004))))</f>
        <v/>
      </c>
      <c r="S22">
        <f>IF($A22="",0,SUMPRODUCT(MAX((업무일지!$F$5:$F$1004=$A22)*업무일지!$C$5:$C$1004)))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4">
        <f>IF($A23="","",IF(F23+G23=0,"미착수",IF(F23=0,"분석만",IF(G23=0,"출장만","출장+분석"))))</f>
        <v/>
      </c>
      <c r="I23" s="24">
        <f>IF($A23="","",SUMIFS(업무일지!$AF$5:$AF$1004,업무일지!$F$5:$F$1004,$A23,업무일지!$D$5:$D$1004,"출장"))</f>
        <v/>
      </c>
      <c r="J23" s="24">
        <f>IF($A23="","",SUMIFS(업무일지!$AD$5:$AD$1004,업무일지!$F$5:$F$1004,$A23))</f>
        <v/>
      </c>
      <c r="K23" s="25">
        <f>IF($A23="","",SUMIFS(업무일지!$AE$5:$AE$1004,업무일지!$F$5:$F$1004,$A23))</f>
        <v/>
      </c>
      <c r="L23" s="24">
        <f>IF($A23="","",COUNTIF(일일실시사항!$G$5:$G$1004,$A23))</f>
        <v/>
      </c>
      <c r="M23" s="51">
        <f>IF($R23=0,"",1000000-$R23)</f>
        <v/>
      </c>
      <c r="N23" s="51">
        <f>IF($S23=0,"",$S23)</f>
        <v/>
      </c>
      <c r="O23" s="43">
        <f>IF(OR($M23="",$N23=""),"",$N23-$M23+1)</f>
        <v/>
      </c>
      <c r="P23" s="52">
        <f>IF($A23="","",사건마스터!$E22)</f>
        <v/>
      </c>
      <c r="R23">
        <f>IF($A23="",0,SUMPRODUCT(MAX((업무일지!$F$5:$F$1004=$A23)*(업무일지!$B$5:$B$1004&gt;0)*(1000000-업무일지!$B$5:$B$1004))))</f>
        <v/>
      </c>
      <c r="S23">
        <f>IF($A23="",0,SUMPRODUCT(MAX((업무일지!$F$5:$F$1004=$A23)*업무일지!$C$5:$C$1004)))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4">
        <f>IF($A24="","",IF(F24+G24=0,"미착수",IF(F24=0,"분석만",IF(G24=0,"출장만","출장+분석"))))</f>
        <v/>
      </c>
      <c r="I24" s="24">
        <f>IF($A24="","",SUMIFS(업무일지!$AF$5:$AF$1004,업무일지!$F$5:$F$1004,$A24,업무일지!$D$5:$D$1004,"출장"))</f>
        <v/>
      </c>
      <c r="J24" s="24">
        <f>IF($A24="","",SUMIFS(업무일지!$AD$5:$AD$1004,업무일지!$F$5:$F$1004,$A24))</f>
        <v/>
      </c>
      <c r="K24" s="25">
        <f>IF($A24="","",SUMIFS(업무일지!$AE$5:$AE$1004,업무일지!$F$5:$F$1004,$A24))</f>
        <v/>
      </c>
      <c r="L24" s="24">
        <f>IF($A24="","",COUNTIF(일일실시사항!$G$5:$G$1004,$A24))</f>
        <v/>
      </c>
      <c r="M24" s="51">
        <f>IF($R24=0,"",1000000-$R24)</f>
        <v/>
      </c>
      <c r="N24" s="51">
        <f>IF($S24=0,"",$S24)</f>
        <v/>
      </c>
      <c r="O24" s="43">
        <f>IF(OR($M24="",$N24=""),"",$N24-$M24+1)</f>
        <v/>
      </c>
      <c r="P24" s="52">
        <f>IF($A24="","",사건마스터!$E23)</f>
        <v/>
      </c>
      <c r="R24">
        <f>IF($A24="",0,SUMPRODUCT(MAX((업무일지!$F$5:$F$1004=$A24)*(업무일지!$B$5:$B$1004&gt;0)*(1000000-업무일지!$B$5:$B$1004))))</f>
        <v/>
      </c>
      <c r="S24">
        <f>IF($A24="",0,SUMPRODUCT(MAX((업무일지!$F$5:$F$1004=$A24)*업무일지!$C$5:$C$1004)))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4">
        <f>IF($A25="","",IF(F25+G25=0,"미착수",IF(F25=0,"분석만",IF(G25=0,"출장만","출장+분석"))))</f>
        <v/>
      </c>
      <c r="I25" s="24">
        <f>IF($A25="","",SUMIFS(업무일지!$AF$5:$AF$1004,업무일지!$F$5:$F$1004,$A25,업무일지!$D$5:$D$1004,"출장"))</f>
        <v/>
      </c>
      <c r="J25" s="24">
        <f>IF($A25="","",SUMIFS(업무일지!$AD$5:$AD$1004,업무일지!$F$5:$F$1004,$A25))</f>
        <v/>
      </c>
      <c r="K25" s="25">
        <f>IF($A25="","",SUMIFS(업무일지!$AE$5:$AE$1004,업무일지!$F$5:$F$1004,$A25))</f>
        <v/>
      </c>
      <c r="L25" s="24">
        <f>IF($A25="","",COUNTIF(일일실시사항!$G$5:$G$1004,$A25))</f>
        <v/>
      </c>
      <c r="M25" s="51">
        <f>IF($R25=0,"",1000000-$R25)</f>
        <v/>
      </c>
      <c r="N25" s="51">
        <f>IF($S25=0,"",$S25)</f>
        <v/>
      </c>
      <c r="O25" s="43">
        <f>IF(OR($M25="",$N25=""),"",$N25-$M25+1)</f>
        <v/>
      </c>
      <c r="P25" s="52">
        <f>IF($A25="","",사건마스터!$E24)</f>
        <v/>
      </c>
      <c r="R25">
        <f>IF($A25="",0,SUMPRODUCT(MAX((업무일지!$F$5:$F$1004=$A25)*(업무일지!$B$5:$B$1004&gt;0)*(1000000-업무일지!$B$5:$B$1004))))</f>
        <v/>
      </c>
      <c r="S25">
        <f>IF($A25="",0,SUMPRODUCT(MAX((업무일지!$F$5:$F$1004=$A25)*업무일지!$C$5:$C$1004)))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4">
        <f>IF($A26="","",IF(F26+G26=0,"미착수",IF(F26=0,"분석만",IF(G26=0,"출장만","출장+분석"))))</f>
        <v/>
      </c>
      <c r="I26" s="24">
        <f>IF($A26="","",SUMIFS(업무일지!$AF$5:$AF$1004,업무일지!$F$5:$F$1004,$A26,업무일지!$D$5:$D$1004,"출장"))</f>
        <v/>
      </c>
      <c r="J26" s="24">
        <f>IF($A26="","",SUMIFS(업무일지!$AD$5:$AD$1004,업무일지!$F$5:$F$1004,$A26))</f>
        <v/>
      </c>
      <c r="K26" s="25">
        <f>IF($A26="","",SUMIFS(업무일지!$AE$5:$AE$1004,업무일지!$F$5:$F$1004,$A26))</f>
        <v/>
      </c>
      <c r="L26" s="24">
        <f>IF($A26="","",COUNTIF(일일실시사항!$G$5:$G$1004,$A26))</f>
        <v/>
      </c>
      <c r="M26" s="51">
        <f>IF($R26=0,"",1000000-$R26)</f>
        <v/>
      </c>
      <c r="N26" s="51">
        <f>IF($S26=0,"",$S26)</f>
        <v/>
      </c>
      <c r="O26" s="43">
        <f>IF(OR($M26="",$N26=""),"",$N26-$M26+1)</f>
        <v/>
      </c>
      <c r="P26" s="52">
        <f>IF($A26="","",사건마스터!$E25)</f>
        <v/>
      </c>
      <c r="R26">
        <f>IF($A26="",0,SUMPRODUCT(MAX((업무일지!$F$5:$F$1004=$A26)*(업무일지!$B$5:$B$1004&gt;0)*(1000000-업무일지!$B$5:$B$1004))))</f>
        <v/>
      </c>
      <c r="S26">
        <f>IF($A26="",0,SUMPRODUCT(MAX((업무일지!$F$5:$F$1004=$A26)*업무일지!$C$5:$C$1004)))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4">
        <f>IF($A27="","",IF(F27+G27=0,"미착수",IF(F27=0,"분석만",IF(G27=0,"출장만","출장+분석"))))</f>
        <v/>
      </c>
      <c r="I27" s="24">
        <f>IF($A27="","",SUMIFS(업무일지!$AF$5:$AF$1004,업무일지!$F$5:$F$1004,$A27,업무일지!$D$5:$D$1004,"출장"))</f>
        <v/>
      </c>
      <c r="J27" s="24">
        <f>IF($A27="","",SUMIFS(업무일지!$AD$5:$AD$1004,업무일지!$F$5:$F$1004,$A27))</f>
        <v/>
      </c>
      <c r="K27" s="25">
        <f>IF($A27="","",SUMIFS(업무일지!$AE$5:$AE$1004,업무일지!$F$5:$F$1004,$A27))</f>
        <v/>
      </c>
      <c r="L27" s="24">
        <f>IF($A27="","",COUNTIF(일일실시사항!$G$5:$G$1004,$A27))</f>
        <v/>
      </c>
      <c r="M27" s="51">
        <f>IF($R27=0,"",1000000-$R27)</f>
        <v/>
      </c>
      <c r="N27" s="51">
        <f>IF($S27=0,"",$S27)</f>
        <v/>
      </c>
      <c r="O27" s="43">
        <f>IF(OR($M27="",$N27=""),"",$N27-$M27+1)</f>
        <v/>
      </c>
      <c r="P27" s="52">
        <f>IF($A27="","",사건마스터!$E26)</f>
        <v/>
      </c>
      <c r="R27">
        <f>IF($A27="",0,SUMPRODUCT(MAX((업무일지!$F$5:$F$1004=$A27)*(업무일지!$B$5:$B$1004&gt;0)*(1000000-업무일지!$B$5:$B$1004))))</f>
        <v/>
      </c>
      <c r="S27">
        <f>IF($A27="",0,SUMPRODUCT(MAX((업무일지!$F$5:$F$1004=$A27)*업무일지!$C$5:$C$1004)))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4">
        <f>IF($A28="","",IF(F28+G28=0,"미착수",IF(F28=0,"분석만",IF(G28=0,"출장만","출장+분석"))))</f>
        <v/>
      </c>
      <c r="I28" s="24">
        <f>IF($A28="","",SUMIFS(업무일지!$AF$5:$AF$1004,업무일지!$F$5:$F$1004,$A28,업무일지!$D$5:$D$1004,"출장"))</f>
        <v/>
      </c>
      <c r="J28" s="24">
        <f>IF($A28="","",SUMIFS(업무일지!$AD$5:$AD$1004,업무일지!$F$5:$F$1004,$A28))</f>
        <v/>
      </c>
      <c r="K28" s="25">
        <f>IF($A28="","",SUMIFS(업무일지!$AE$5:$AE$1004,업무일지!$F$5:$F$1004,$A28))</f>
        <v/>
      </c>
      <c r="L28" s="24">
        <f>IF($A28="","",COUNTIF(일일실시사항!$G$5:$G$1004,$A28))</f>
        <v/>
      </c>
      <c r="M28" s="51">
        <f>IF($R28=0,"",1000000-$R28)</f>
        <v/>
      </c>
      <c r="N28" s="51">
        <f>IF($S28=0,"",$S28)</f>
        <v/>
      </c>
      <c r="O28" s="43">
        <f>IF(OR($M28="",$N28=""),"",$N28-$M28+1)</f>
        <v/>
      </c>
      <c r="P28" s="52">
        <f>IF($A28="","",사건마스터!$E27)</f>
        <v/>
      </c>
      <c r="R28">
        <f>IF($A28="",0,SUMPRODUCT(MAX((업무일지!$F$5:$F$1004=$A28)*(업무일지!$B$5:$B$1004&gt;0)*(1000000-업무일지!$B$5:$B$1004))))</f>
        <v/>
      </c>
      <c r="S28">
        <f>IF($A28="",0,SUMPRODUCT(MAX((업무일지!$F$5:$F$1004=$A28)*업무일지!$C$5:$C$1004)))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4">
        <f>IF($A29="","",IF(F29+G29=0,"미착수",IF(F29=0,"분석만",IF(G29=0,"출장만","출장+분석"))))</f>
        <v/>
      </c>
      <c r="I29" s="24">
        <f>IF($A29="","",SUMIFS(업무일지!$AF$5:$AF$1004,업무일지!$F$5:$F$1004,$A29,업무일지!$D$5:$D$1004,"출장"))</f>
        <v/>
      </c>
      <c r="J29" s="24">
        <f>IF($A29="","",SUMIFS(업무일지!$AD$5:$AD$1004,업무일지!$F$5:$F$1004,$A29))</f>
        <v/>
      </c>
      <c r="K29" s="25">
        <f>IF($A29="","",SUMIFS(업무일지!$AE$5:$AE$1004,업무일지!$F$5:$F$1004,$A29))</f>
        <v/>
      </c>
      <c r="L29" s="24">
        <f>IF($A29="","",COUNTIF(일일실시사항!$G$5:$G$1004,$A29))</f>
        <v/>
      </c>
      <c r="M29" s="51">
        <f>IF($R29=0,"",1000000-$R29)</f>
        <v/>
      </c>
      <c r="N29" s="51">
        <f>IF($S29=0,"",$S29)</f>
        <v/>
      </c>
      <c r="O29" s="43">
        <f>IF(OR($M29="",$N29=""),"",$N29-$M29+1)</f>
        <v/>
      </c>
      <c r="P29" s="52">
        <f>IF($A29="","",사건마스터!$E28)</f>
        <v/>
      </c>
      <c r="R29">
        <f>IF($A29="",0,SUMPRODUCT(MAX((업무일지!$F$5:$F$1004=$A29)*(업무일지!$B$5:$B$1004&gt;0)*(1000000-업무일지!$B$5:$B$1004))))</f>
        <v/>
      </c>
      <c r="S29">
        <f>IF($A29="",0,SUMPRODUCT(MAX((업무일지!$F$5:$F$1004=$A29)*업무일지!$C$5:$C$1004)))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4">
        <f>IF($A30="","",IF(F30+G30=0,"미착수",IF(F30=0,"분석만",IF(G30=0,"출장만","출장+분석"))))</f>
        <v/>
      </c>
      <c r="I30" s="24">
        <f>IF($A30="","",SUMIFS(업무일지!$AF$5:$AF$1004,업무일지!$F$5:$F$1004,$A30,업무일지!$D$5:$D$1004,"출장"))</f>
        <v/>
      </c>
      <c r="J30" s="24">
        <f>IF($A30="","",SUMIFS(업무일지!$AD$5:$AD$1004,업무일지!$F$5:$F$1004,$A30))</f>
        <v/>
      </c>
      <c r="K30" s="25">
        <f>IF($A30="","",SUMIFS(업무일지!$AE$5:$AE$1004,업무일지!$F$5:$F$1004,$A30))</f>
        <v/>
      </c>
      <c r="L30" s="24">
        <f>IF($A30="","",COUNTIF(일일실시사항!$G$5:$G$1004,$A30))</f>
        <v/>
      </c>
      <c r="M30" s="51">
        <f>IF($R30=0,"",1000000-$R30)</f>
        <v/>
      </c>
      <c r="N30" s="51">
        <f>IF($S30=0,"",$S30)</f>
        <v/>
      </c>
      <c r="O30" s="43">
        <f>IF(OR($M30="",$N30=""),"",$N30-$M30+1)</f>
        <v/>
      </c>
      <c r="P30" s="52">
        <f>IF($A30="","",사건마스터!$E29)</f>
        <v/>
      </c>
      <c r="R30">
        <f>IF($A30="",0,SUMPRODUCT(MAX((업무일지!$F$5:$F$1004=$A30)*(업무일지!$B$5:$B$1004&gt;0)*(1000000-업무일지!$B$5:$B$1004))))</f>
        <v/>
      </c>
      <c r="S30">
        <f>IF($A30="",0,SUMPRODUCT(MAX((업무일지!$F$5:$F$1004=$A30)*업무일지!$C$5:$C$1004)))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4">
        <f>IF($A31="","",IF(F31+G31=0,"미착수",IF(F31=0,"분석만",IF(G31=0,"출장만","출장+분석"))))</f>
        <v/>
      </c>
      <c r="I31" s="24">
        <f>IF($A31="","",SUMIFS(업무일지!$AF$5:$AF$1004,업무일지!$F$5:$F$1004,$A31,업무일지!$D$5:$D$1004,"출장"))</f>
        <v/>
      </c>
      <c r="J31" s="24">
        <f>IF($A31="","",SUMIFS(업무일지!$AD$5:$AD$1004,업무일지!$F$5:$F$1004,$A31))</f>
        <v/>
      </c>
      <c r="K31" s="25">
        <f>IF($A31="","",SUMIFS(업무일지!$AE$5:$AE$1004,업무일지!$F$5:$F$1004,$A31))</f>
        <v/>
      </c>
      <c r="L31" s="24">
        <f>IF($A31="","",COUNTIF(일일실시사항!$G$5:$G$1004,$A31))</f>
        <v/>
      </c>
      <c r="M31" s="51">
        <f>IF($R31=0,"",1000000-$R31)</f>
        <v/>
      </c>
      <c r="N31" s="51">
        <f>IF($S31=0,"",$S31)</f>
        <v/>
      </c>
      <c r="O31" s="43">
        <f>IF(OR($M31="",$N31=""),"",$N31-$M31+1)</f>
        <v/>
      </c>
      <c r="P31" s="52">
        <f>IF($A31="","",사건마스터!$E30)</f>
        <v/>
      </c>
      <c r="R31">
        <f>IF($A31="",0,SUMPRODUCT(MAX((업무일지!$F$5:$F$1004=$A31)*(업무일지!$B$5:$B$1004&gt;0)*(1000000-업무일지!$B$5:$B$1004))))</f>
        <v/>
      </c>
      <c r="S31">
        <f>IF($A31="",0,SUMPRODUCT(MAX((업무일지!$F$5:$F$1004=$A31)*업무일지!$C$5:$C$1004)))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4">
        <f>IF($A32="","",IF(F32+G32=0,"미착수",IF(F32=0,"분석만",IF(G32=0,"출장만","출장+분석"))))</f>
        <v/>
      </c>
      <c r="I32" s="24">
        <f>IF($A32="","",SUMIFS(업무일지!$AF$5:$AF$1004,업무일지!$F$5:$F$1004,$A32,업무일지!$D$5:$D$1004,"출장"))</f>
        <v/>
      </c>
      <c r="J32" s="24">
        <f>IF($A32="","",SUMIFS(업무일지!$AD$5:$AD$1004,업무일지!$F$5:$F$1004,$A32))</f>
        <v/>
      </c>
      <c r="K32" s="25">
        <f>IF($A32="","",SUMIFS(업무일지!$AE$5:$AE$1004,업무일지!$F$5:$F$1004,$A32))</f>
        <v/>
      </c>
      <c r="L32" s="24">
        <f>IF($A32="","",COUNTIF(일일실시사항!$G$5:$G$1004,$A32))</f>
        <v/>
      </c>
      <c r="M32" s="51">
        <f>IF($R32=0,"",1000000-$R32)</f>
        <v/>
      </c>
      <c r="N32" s="51">
        <f>IF($S32=0,"",$S32)</f>
        <v/>
      </c>
      <c r="O32" s="43">
        <f>IF(OR($M32="",$N32=""),"",$N32-$M32+1)</f>
        <v/>
      </c>
      <c r="P32" s="52">
        <f>IF($A32="","",사건마스터!$E31)</f>
        <v/>
      </c>
      <c r="R32">
        <f>IF($A32="",0,SUMPRODUCT(MAX((업무일지!$F$5:$F$1004=$A32)*(업무일지!$B$5:$B$1004&gt;0)*(1000000-업무일지!$B$5:$B$1004))))</f>
        <v/>
      </c>
      <c r="S32">
        <f>IF($A32="",0,SUMPRODUCT(MAX((업무일지!$F$5:$F$1004=$A32)*업무일지!$C$5:$C$1004)))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4">
        <f>IF($A33="","",IF(F33+G33=0,"미착수",IF(F33=0,"분석만",IF(G33=0,"출장만","출장+분석"))))</f>
        <v/>
      </c>
      <c r="I33" s="24">
        <f>IF($A33="","",SUMIFS(업무일지!$AF$5:$AF$1004,업무일지!$F$5:$F$1004,$A33,업무일지!$D$5:$D$1004,"출장"))</f>
        <v/>
      </c>
      <c r="J33" s="24">
        <f>IF($A33="","",SUMIFS(업무일지!$AD$5:$AD$1004,업무일지!$F$5:$F$1004,$A33))</f>
        <v/>
      </c>
      <c r="K33" s="25">
        <f>IF($A33="","",SUMIFS(업무일지!$AE$5:$AE$1004,업무일지!$F$5:$F$1004,$A33))</f>
        <v/>
      </c>
      <c r="L33" s="24">
        <f>IF($A33="","",COUNTIF(일일실시사항!$G$5:$G$1004,$A33))</f>
        <v/>
      </c>
      <c r="M33" s="51">
        <f>IF($R33=0,"",1000000-$R33)</f>
        <v/>
      </c>
      <c r="N33" s="51">
        <f>IF($S33=0,"",$S33)</f>
        <v/>
      </c>
      <c r="O33" s="43">
        <f>IF(OR($M33="",$N33=""),"",$N33-$M33+1)</f>
        <v/>
      </c>
      <c r="P33" s="52">
        <f>IF($A33="","",사건마스터!$E32)</f>
        <v/>
      </c>
      <c r="R33">
        <f>IF($A33="",0,SUMPRODUCT(MAX((업무일지!$F$5:$F$1004=$A33)*(업무일지!$B$5:$B$1004&gt;0)*(1000000-업무일지!$B$5:$B$1004))))</f>
        <v/>
      </c>
      <c r="S33">
        <f>IF($A33="",0,SUMPRODUCT(MAX((업무일지!$F$5:$F$1004=$A33)*업무일지!$C$5:$C$1004)))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4">
        <f>IF($A34="","",IF(F34+G34=0,"미착수",IF(F34=0,"분석만",IF(G34=0,"출장만","출장+분석"))))</f>
        <v/>
      </c>
      <c r="I34" s="24">
        <f>IF($A34="","",SUMIFS(업무일지!$AF$5:$AF$1004,업무일지!$F$5:$F$1004,$A34,업무일지!$D$5:$D$1004,"출장"))</f>
        <v/>
      </c>
      <c r="J34" s="24">
        <f>IF($A34="","",SUMIFS(업무일지!$AD$5:$AD$1004,업무일지!$F$5:$F$1004,$A34))</f>
        <v/>
      </c>
      <c r="K34" s="25">
        <f>IF($A34="","",SUMIFS(업무일지!$AE$5:$AE$1004,업무일지!$F$5:$F$1004,$A34))</f>
        <v/>
      </c>
      <c r="L34" s="24">
        <f>IF($A34="","",COUNTIF(일일실시사항!$G$5:$G$1004,$A34))</f>
        <v/>
      </c>
      <c r="M34" s="51">
        <f>IF($R34=0,"",1000000-$R34)</f>
        <v/>
      </c>
      <c r="N34" s="51">
        <f>IF($S34=0,"",$S34)</f>
        <v/>
      </c>
      <c r="O34" s="43">
        <f>IF(OR($M34="",$N34=""),"",$N34-$M34+1)</f>
        <v/>
      </c>
      <c r="P34" s="52">
        <f>IF($A34="","",사건마스터!$E33)</f>
        <v/>
      </c>
      <c r="R34">
        <f>IF($A34="",0,SUMPRODUCT(MAX((업무일지!$F$5:$F$1004=$A34)*(업무일지!$B$5:$B$1004&gt;0)*(1000000-업무일지!$B$5:$B$1004))))</f>
        <v/>
      </c>
      <c r="S34">
        <f>IF($A34="",0,SUMPRODUCT(MAX((업무일지!$F$5:$F$1004=$A34)*업무일지!$C$5:$C$1004)))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4">
        <f>IF($A35="","",IF(F35+G35=0,"미착수",IF(F35=0,"분석만",IF(G35=0,"출장만","출장+분석"))))</f>
        <v/>
      </c>
      <c r="I35" s="24">
        <f>IF($A35="","",SUMIFS(업무일지!$AF$5:$AF$1004,업무일지!$F$5:$F$1004,$A35,업무일지!$D$5:$D$1004,"출장"))</f>
        <v/>
      </c>
      <c r="J35" s="24">
        <f>IF($A35="","",SUMIFS(업무일지!$AD$5:$AD$1004,업무일지!$F$5:$F$1004,$A35))</f>
        <v/>
      </c>
      <c r="K35" s="25">
        <f>IF($A35="","",SUMIFS(업무일지!$AE$5:$AE$1004,업무일지!$F$5:$F$1004,$A35))</f>
        <v/>
      </c>
      <c r="L35" s="24">
        <f>IF($A35="","",COUNTIF(일일실시사항!$G$5:$G$1004,$A35))</f>
        <v/>
      </c>
      <c r="M35" s="51">
        <f>IF($R35=0,"",1000000-$R35)</f>
        <v/>
      </c>
      <c r="N35" s="51">
        <f>IF($S35=0,"",$S35)</f>
        <v/>
      </c>
      <c r="O35" s="43">
        <f>IF(OR($M35="",$N35=""),"",$N35-$M35+1)</f>
        <v/>
      </c>
      <c r="P35" s="52">
        <f>IF($A35="","",사건마스터!$E34)</f>
        <v/>
      </c>
      <c r="R35">
        <f>IF($A35="",0,SUMPRODUCT(MAX((업무일지!$F$5:$F$1004=$A35)*(업무일지!$B$5:$B$1004&gt;0)*(1000000-업무일지!$B$5:$B$1004))))</f>
        <v/>
      </c>
      <c r="S35">
        <f>IF($A35="",0,SUMPRODUCT(MAX((업무일지!$F$5:$F$1004=$A35)*업무일지!$C$5:$C$1004)))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4">
        <f>IF($A36="","",IF(F36+G36=0,"미착수",IF(F36=0,"분석만",IF(G36=0,"출장만","출장+분석"))))</f>
        <v/>
      </c>
      <c r="I36" s="24">
        <f>IF($A36="","",SUMIFS(업무일지!$AF$5:$AF$1004,업무일지!$F$5:$F$1004,$A36,업무일지!$D$5:$D$1004,"출장"))</f>
        <v/>
      </c>
      <c r="J36" s="24">
        <f>IF($A36="","",SUMIFS(업무일지!$AD$5:$AD$1004,업무일지!$F$5:$F$1004,$A36))</f>
        <v/>
      </c>
      <c r="K36" s="25">
        <f>IF($A36="","",SUMIFS(업무일지!$AE$5:$AE$1004,업무일지!$F$5:$F$1004,$A36))</f>
        <v/>
      </c>
      <c r="L36" s="24">
        <f>IF($A36="","",COUNTIF(일일실시사항!$G$5:$G$1004,$A36))</f>
        <v/>
      </c>
      <c r="M36" s="51">
        <f>IF($R36=0,"",1000000-$R36)</f>
        <v/>
      </c>
      <c r="N36" s="51">
        <f>IF($S36=0,"",$S36)</f>
        <v/>
      </c>
      <c r="O36" s="43">
        <f>IF(OR($M36="",$N36=""),"",$N36-$M36+1)</f>
        <v/>
      </c>
      <c r="P36" s="52">
        <f>IF($A36="","",사건마스터!$E35)</f>
        <v/>
      </c>
      <c r="R36">
        <f>IF($A36="",0,SUMPRODUCT(MAX((업무일지!$F$5:$F$1004=$A36)*(업무일지!$B$5:$B$1004&gt;0)*(1000000-업무일지!$B$5:$B$1004))))</f>
        <v/>
      </c>
      <c r="S36">
        <f>IF($A36="",0,SUMPRODUCT(MAX((업무일지!$F$5:$F$1004=$A36)*업무일지!$C$5:$C$1004)))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4">
        <f>IF($A37="","",IF(F37+G37=0,"미착수",IF(F37=0,"분석만",IF(G37=0,"출장만","출장+분석"))))</f>
        <v/>
      </c>
      <c r="I37" s="24">
        <f>IF($A37="","",SUMIFS(업무일지!$AF$5:$AF$1004,업무일지!$F$5:$F$1004,$A37,업무일지!$D$5:$D$1004,"출장"))</f>
        <v/>
      </c>
      <c r="J37" s="24">
        <f>IF($A37="","",SUMIFS(업무일지!$AD$5:$AD$1004,업무일지!$F$5:$F$1004,$A37))</f>
        <v/>
      </c>
      <c r="K37" s="25">
        <f>IF($A37="","",SUMIFS(업무일지!$AE$5:$AE$1004,업무일지!$F$5:$F$1004,$A37))</f>
        <v/>
      </c>
      <c r="L37" s="24">
        <f>IF($A37="","",COUNTIF(일일실시사항!$G$5:$G$1004,$A37))</f>
        <v/>
      </c>
      <c r="M37" s="51">
        <f>IF($R37=0,"",1000000-$R37)</f>
        <v/>
      </c>
      <c r="N37" s="51">
        <f>IF($S37=0,"",$S37)</f>
        <v/>
      </c>
      <c r="O37" s="43">
        <f>IF(OR($M37="",$N37=""),"",$N37-$M37+1)</f>
        <v/>
      </c>
      <c r="P37" s="52">
        <f>IF($A37="","",사건마스터!$E36)</f>
        <v/>
      </c>
      <c r="R37">
        <f>IF($A37="",0,SUMPRODUCT(MAX((업무일지!$F$5:$F$1004=$A37)*(업무일지!$B$5:$B$1004&gt;0)*(1000000-업무일지!$B$5:$B$1004))))</f>
        <v/>
      </c>
      <c r="S37">
        <f>IF($A37="",0,SUMPRODUCT(MAX((업무일지!$F$5:$F$1004=$A37)*업무일지!$C$5:$C$1004)))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4">
        <f>IF($A38="","",IF(F38+G38=0,"미착수",IF(F38=0,"분석만",IF(G38=0,"출장만","출장+분석"))))</f>
        <v/>
      </c>
      <c r="I38" s="24">
        <f>IF($A38="","",SUMIFS(업무일지!$AF$5:$AF$1004,업무일지!$F$5:$F$1004,$A38,업무일지!$D$5:$D$1004,"출장"))</f>
        <v/>
      </c>
      <c r="J38" s="24">
        <f>IF($A38="","",SUMIFS(업무일지!$AD$5:$AD$1004,업무일지!$F$5:$F$1004,$A38))</f>
        <v/>
      </c>
      <c r="K38" s="25">
        <f>IF($A38="","",SUMIFS(업무일지!$AE$5:$AE$1004,업무일지!$F$5:$F$1004,$A38))</f>
        <v/>
      </c>
      <c r="L38" s="24">
        <f>IF($A38="","",COUNTIF(일일실시사항!$G$5:$G$1004,$A38))</f>
        <v/>
      </c>
      <c r="M38" s="51">
        <f>IF($R38=0,"",1000000-$R38)</f>
        <v/>
      </c>
      <c r="N38" s="51">
        <f>IF($S38=0,"",$S38)</f>
        <v/>
      </c>
      <c r="O38" s="43">
        <f>IF(OR($M38="",$N38=""),"",$N38-$M38+1)</f>
        <v/>
      </c>
      <c r="P38" s="52">
        <f>IF($A38="","",사건마스터!$E37)</f>
        <v/>
      </c>
      <c r="R38">
        <f>IF($A38="",0,SUMPRODUCT(MAX((업무일지!$F$5:$F$1004=$A38)*(업무일지!$B$5:$B$1004&gt;0)*(1000000-업무일지!$B$5:$B$1004))))</f>
        <v/>
      </c>
      <c r="S38">
        <f>IF($A38="",0,SUMPRODUCT(MAX((업무일지!$F$5:$F$1004=$A38)*업무일지!$C$5:$C$1004)))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4">
        <f>IF($A39="","",IF(F39+G39=0,"미착수",IF(F39=0,"분석만",IF(G39=0,"출장만","출장+분석"))))</f>
        <v/>
      </c>
      <c r="I39" s="24">
        <f>IF($A39="","",SUMIFS(업무일지!$AF$5:$AF$1004,업무일지!$F$5:$F$1004,$A39,업무일지!$D$5:$D$1004,"출장"))</f>
        <v/>
      </c>
      <c r="J39" s="24">
        <f>IF($A39="","",SUMIFS(업무일지!$AD$5:$AD$1004,업무일지!$F$5:$F$1004,$A39))</f>
        <v/>
      </c>
      <c r="K39" s="25">
        <f>IF($A39="","",SUMIFS(업무일지!$AE$5:$AE$1004,업무일지!$F$5:$F$1004,$A39))</f>
        <v/>
      </c>
      <c r="L39" s="24">
        <f>IF($A39="","",COUNTIF(일일실시사항!$G$5:$G$1004,$A39))</f>
        <v/>
      </c>
      <c r="M39" s="51">
        <f>IF($R39=0,"",1000000-$R39)</f>
        <v/>
      </c>
      <c r="N39" s="51">
        <f>IF($S39=0,"",$S39)</f>
        <v/>
      </c>
      <c r="O39" s="43">
        <f>IF(OR($M39="",$N39=""),"",$N39-$M39+1)</f>
        <v/>
      </c>
      <c r="P39" s="52">
        <f>IF($A39="","",사건마스터!$E38)</f>
        <v/>
      </c>
      <c r="R39">
        <f>IF($A39="",0,SUMPRODUCT(MAX((업무일지!$F$5:$F$1004=$A39)*(업무일지!$B$5:$B$1004&gt;0)*(1000000-업무일지!$B$5:$B$1004))))</f>
        <v/>
      </c>
      <c r="S39">
        <f>IF($A39="",0,SUMPRODUCT(MAX((업무일지!$F$5:$F$1004=$A39)*업무일지!$C$5:$C$1004)))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4">
        <f>IF($A40="","",IF(F40+G40=0,"미착수",IF(F40=0,"분석만",IF(G40=0,"출장만","출장+분석"))))</f>
        <v/>
      </c>
      <c r="I40" s="24">
        <f>IF($A40="","",SUMIFS(업무일지!$AF$5:$AF$1004,업무일지!$F$5:$F$1004,$A40,업무일지!$D$5:$D$1004,"출장"))</f>
        <v/>
      </c>
      <c r="J40" s="24">
        <f>IF($A40="","",SUMIFS(업무일지!$AD$5:$AD$1004,업무일지!$F$5:$F$1004,$A40))</f>
        <v/>
      </c>
      <c r="K40" s="25">
        <f>IF($A40="","",SUMIFS(업무일지!$AE$5:$AE$1004,업무일지!$F$5:$F$1004,$A40))</f>
        <v/>
      </c>
      <c r="L40" s="24">
        <f>IF($A40="","",COUNTIF(일일실시사항!$G$5:$G$1004,$A40))</f>
        <v/>
      </c>
      <c r="M40" s="51">
        <f>IF($R40=0,"",1000000-$R40)</f>
        <v/>
      </c>
      <c r="N40" s="51">
        <f>IF($S40=0,"",$S40)</f>
        <v/>
      </c>
      <c r="O40" s="43">
        <f>IF(OR($M40="",$N40=""),"",$N40-$M40+1)</f>
        <v/>
      </c>
      <c r="P40" s="52">
        <f>IF($A40="","",사건마스터!$E39)</f>
        <v/>
      </c>
      <c r="R40">
        <f>IF($A40="",0,SUMPRODUCT(MAX((업무일지!$F$5:$F$1004=$A40)*(업무일지!$B$5:$B$1004&gt;0)*(1000000-업무일지!$B$5:$B$1004))))</f>
        <v/>
      </c>
      <c r="S40">
        <f>IF($A40="",0,SUMPRODUCT(MAX((업무일지!$F$5:$F$1004=$A40)*업무일지!$C$5:$C$1004)))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4">
        <f>IF($A41="","",IF(F41+G41=0,"미착수",IF(F41=0,"분석만",IF(G41=0,"출장만","출장+분석"))))</f>
        <v/>
      </c>
      <c r="I41" s="24">
        <f>IF($A41="","",SUMIFS(업무일지!$AF$5:$AF$1004,업무일지!$F$5:$F$1004,$A41,업무일지!$D$5:$D$1004,"출장"))</f>
        <v/>
      </c>
      <c r="J41" s="24">
        <f>IF($A41="","",SUMIFS(업무일지!$AD$5:$AD$1004,업무일지!$F$5:$F$1004,$A41))</f>
        <v/>
      </c>
      <c r="K41" s="25">
        <f>IF($A41="","",SUMIFS(업무일지!$AE$5:$AE$1004,업무일지!$F$5:$F$1004,$A41))</f>
        <v/>
      </c>
      <c r="L41" s="24">
        <f>IF($A41="","",COUNTIF(일일실시사항!$G$5:$G$1004,$A41))</f>
        <v/>
      </c>
      <c r="M41" s="51">
        <f>IF($R41=0,"",1000000-$R41)</f>
        <v/>
      </c>
      <c r="N41" s="51">
        <f>IF($S41=0,"",$S41)</f>
        <v/>
      </c>
      <c r="O41" s="43">
        <f>IF(OR($M41="",$N41=""),"",$N41-$M41+1)</f>
        <v/>
      </c>
      <c r="P41" s="52">
        <f>IF($A41="","",사건마스터!$E40)</f>
        <v/>
      </c>
      <c r="R41">
        <f>IF($A41="",0,SUMPRODUCT(MAX((업무일지!$F$5:$F$1004=$A41)*(업무일지!$B$5:$B$1004&gt;0)*(1000000-업무일지!$B$5:$B$1004))))</f>
        <v/>
      </c>
      <c r="S41">
        <f>IF($A41="",0,SUMPRODUCT(MAX((업무일지!$F$5:$F$1004=$A41)*업무일지!$C$5:$C$1004)))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4">
        <f>IF($A42="","",IF(F42+G42=0,"미착수",IF(F42=0,"분석만",IF(G42=0,"출장만","출장+분석"))))</f>
        <v/>
      </c>
      <c r="I42" s="24">
        <f>IF($A42="","",SUMIFS(업무일지!$AF$5:$AF$1004,업무일지!$F$5:$F$1004,$A42,업무일지!$D$5:$D$1004,"출장"))</f>
        <v/>
      </c>
      <c r="J42" s="24">
        <f>IF($A42="","",SUMIFS(업무일지!$AD$5:$AD$1004,업무일지!$F$5:$F$1004,$A42))</f>
        <v/>
      </c>
      <c r="K42" s="25">
        <f>IF($A42="","",SUMIFS(업무일지!$AE$5:$AE$1004,업무일지!$F$5:$F$1004,$A42))</f>
        <v/>
      </c>
      <c r="L42" s="24">
        <f>IF($A42="","",COUNTIF(일일실시사항!$G$5:$G$1004,$A42))</f>
        <v/>
      </c>
      <c r="M42" s="51">
        <f>IF($R42=0,"",1000000-$R42)</f>
        <v/>
      </c>
      <c r="N42" s="51">
        <f>IF($S42=0,"",$S42)</f>
        <v/>
      </c>
      <c r="O42" s="43">
        <f>IF(OR($M42="",$N42=""),"",$N42-$M42+1)</f>
        <v/>
      </c>
      <c r="P42" s="52">
        <f>IF($A42="","",사건마스터!$E41)</f>
        <v/>
      </c>
      <c r="R42">
        <f>IF($A42="",0,SUMPRODUCT(MAX((업무일지!$F$5:$F$1004=$A42)*(업무일지!$B$5:$B$1004&gt;0)*(1000000-업무일지!$B$5:$B$1004))))</f>
        <v/>
      </c>
      <c r="S42">
        <f>IF($A42="",0,SUMPRODUCT(MAX((업무일지!$F$5:$F$1004=$A42)*업무일지!$C$5:$C$1004)))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4">
        <f>IF($A43="","",IF(F43+G43=0,"미착수",IF(F43=0,"분석만",IF(G43=0,"출장만","출장+분석"))))</f>
        <v/>
      </c>
      <c r="I43" s="24">
        <f>IF($A43="","",SUMIFS(업무일지!$AF$5:$AF$1004,업무일지!$F$5:$F$1004,$A43,업무일지!$D$5:$D$1004,"출장"))</f>
        <v/>
      </c>
      <c r="J43" s="24">
        <f>IF($A43="","",SUMIFS(업무일지!$AD$5:$AD$1004,업무일지!$F$5:$F$1004,$A43))</f>
        <v/>
      </c>
      <c r="K43" s="25">
        <f>IF($A43="","",SUMIFS(업무일지!$AE$5:$AE$1004,업무일지!$F$5:$F$1004,$A43))</f>
        <v/>
      </c>
      <c r="L43" s="24">
        <f>IF($A43="","",COUNTIF(일일실시사항!$G$5:$G$1004,$A43))</f>
        <v/>
      </c>
      <c r="M43" s="51">
        <f>IF($R43=0,"",1000000-$R43)</f>
        <v/>
      </c>
      <c r="N43" s="51">
        <f>IF($S43=0,"",$S43)</f>
        <v/>
      </c>
      <c r="O43" s="43">
        <f>IF(OR($M43="",$N43=""),"",$N43-$M43+1)</f>
        <v/>
      </c>
      <c r="P43" s="52">
        <f>IF($A43="","",사건마스터!$E42)</f>
        <v/>
      </c>
      <c r="R43">
        <f>IF($A43="",0,SUMPRODUCT(MAX((업무일지!$F$5:$F$1004=$A43)*(업무일지!$B$5:$B$1004&gt;0)*(1000000-업무일지!$B$5:$B$1004))))</f>
        <v/>
      </c>
      <c r="S43">
        <f>IF($A43="",0,SUMPRODUCT(MAX((업무일지!$F$5:$F$1004=$A43)*업무일지!$C$5:$C$1004)))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4">
        <f>IF($A44="","",IF(F44+G44=0,"미착수",IF(F44=0,"분석만",IF(G44=0,"출장만","출장+분석"))))</f>
        <v/>
      </c>
      <c r="I44" s="24">
        <f>IF($A44="","",SUMIFS(업무일지!$AF$5:$AF$1004,업무일지!$F$5:$F$1004,$A44,업무일지!$D$5:$D$1004,"출장"))</f>
        <v/>
      </c>
      <c r="J44" s="24">
        <f>IF($A44="","",SUMIFS(업무일지!$AD$5:$AD$1004,업무일지!$F$5:$F$1004,$A44))</f>
        <v/>
      </c>
      <c r="K44" s="25">
        <f>IF($A44="","",SUMIFS(업무일지!$AE$5:$AE$1004,업무일지!$F$5:$F$1004,$A44))</f>
        <v/>
      </c>
      <c r="L44" s="24">
        <f>IF($A44="","",COUNTIF(일일실시사항!$G$5:$G$1004,$A44))</f>
        <v/>
      </c>
      <c r="M44" s="51">
        <f>IF($R44=0,"",1000000-$R44)</f>
        <v/>
      </c>
      <c r="N44" s="51">
        <f>IF($S44=0,"",$S44)</f>
        <v/>
      </c>
      <c r="O44" s="43">
        <f>IF(OR($M44="",$N44=""),"",$N44-$M44+1)</f>
        <v/>
      </c>
      <c r="P44" s="52">
        <f>IF($A44="","",사건마스터!$E43)</f>
        <v/>
      </c>
      <c r="R44">
        <f>IF($A44="",0,SUMPRODUCT(MAX((업무일지!$F$5:$F$1004=$A44)*(업무일지!$B$5:$B$1004&gt;0)*(1000000-업무일지!$B$5:$B$1004))))</f>
        <v/>
      </c>
      <c r="S44">
        <f>IF($A44="",0,SUMPRODUCT(MAX((업무일지!$F$5:$F$1004=$A44)*업무일지!$C$5:$C$1004)))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4">
        <f>IF($A45="","",IF(F45+G45=0,"미착수",IF(F45=0,"분석만",IF(G45=0,"출장만","출장+분석"))))</f>
        <v/>
      </c>
      <c r="I45" s="24">
        <f>IF($A45="","",SUMIFS(업무일지!$AF$5:$AF$1004,업무일지!$F$5:$F$1004,$A45,업무일지!$D$5:$D$1004,"출장"))</f>
        <v/>
      </c>
      <c r="J45" s="24">
        <f>IF($A45="","",SUMIFS(업무일지!$AD$5:$AD$1004,업무일지!$F$5:$F$1004,$A45))</f>
        <v/>
      </c>
      <c r="K45" s="25">
        <f>IF($A45="","",SUMIFS(업무일지!$AE$5:$AE$1004,업무일지!$F$5:$F$1004,$A45))</f>
        <v/>
      </c>
      <c r="L45" s="24">
        <f>IF($A45="","",COUNTIF(일일실시사항!$G$5:$G$1004,$A45))</f>
        <v/>
      </c>
      <c r="M45" s="51">
        <f>IF($R45=0,"",1000000-$R45)</f>
        <v/>
      </c>
      <c r="N45" s="51">
        <f>IF($S45=0,"",$S45)</f>
        <v/>
      </c>
      <c r="O45" s="43">
        <f>IF(OR($M45="",$N45=""),"",$N45-$M45+1)</f>
        <v/>
      </c>
      <c r="P45" s="52">
        <f>IF($A45="","",사건마스터!$E44)</f>
        <v/>
      </c>
      <c r="R45">
        <f>IF($A45="",0,SUMPRODUCT(MAX((업무일지!$F$5:$F$1004=$A45)*(업무일지!$B$5:$B$1004&gt;0)*(1000000-업무일지!$B$5:$B$1004))))</f>
        <v/>
      </c>
      <c r="S45">
        <f>IF($A45="",0,SUMPRODUCT(MAX((업무일지!$F$5:$F$1004=$A45)*업무일지!$C$5:$C$1004)))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4">
        <f>IF($A46="","",IF(F46+G46=0,"미착수",IF(F46=0,"분석만",IF(G46=0,"출장만","출장+분석"))))</f>
        <v/>
      </c>
      <c r="I46" s="24">
        <f>IF($A46="","",SUMIFS(업무일지!$AF$5:$AF$1004,업무일지!$F$5:$F$1004,$A46,업무일지!$D$5:$D$1004,"출장"))</f>
        <v/>
      </c>
      <c r="J46" s="24">
        <f>IF($A46="","",SUMIFS(업무일지!$AD$5:$AD$1004,업무일지!$F$5:$F$1004,$A46))</f>
        <v/>
      </c>
      <c r="K46" s="25">
        <f>IF($A46="","",SUMIFS(업무일지!$AE$5:$AE$1004,업무일지!$F$5:$F$1004,$A46))</f>
        <v/>
      </c>
      <c r="L46" s="24">
        <f>IF($A46="","",COUNTIF(일일실시사항!$G$5:$G$1004,$A46))</f>
        <v/>
      </c>
      <c r="M46" s="51">
        <f>IF($R46=0,"",1000000-$R46)</f>
        <v/>
      </c>
      <c r="N46" s="51">
        <f>IF($S46=0,"",$S46)</f>
        <v/>
      </c>
      <c r="O46" s="43">
        <f>IF(OR($M46="",$N46=""),"",$N46-$M46+1)</f>
        <v/>
      </c>
      <c r="P46" s="52">
        <f>IF($A46="","",사건마스터!$E45)</f>
        <v/>
      </c>
      <c r="R46">
        <f>IF($A46="",0,SUMPRODUCT(MAX((업무일지!$F$5:$F$1004=$A46)*(업무일지!$B$5:$B$1004&gt;0)*(1000000-업무일지!$B$5:$B$1004))))</f>
        <v/>
      </c>
      <c r="S46">
        <f>IF($A46="",0,SUMPRODUCT(MAX((업무일지!$F$5:$F$1004=$A46)*업무일지!$C$5:$C$1004)))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4">
        <f>IF($A47="","",IF(F47+G47=0,"미착수",IF(F47=0,"분석만",IF(G47=0,"출장만","출장+분석"))))</f>
        <v/>
      </c>
      <c r="I47" s="24">
        <f>IF($A47="","",SUMIFS(업무일지!$AF$5:$AF$1004,업무일지!$F$5:$F$1004,$A47,업무일지!$D$5:$D$1004,"출장"))</f>
        <v/>
      </c>
      <c r="J47" s="24">
        <f>IF($A47="","",SUMIFS(업무일지!$AD$5:$AD$1004,업무일지!$F$5:$F$1004,$A47))</f>
        <v/>
      </c>
      <c r="K47" s="25">
        <f>IF($A47="","",SUMIFS(업무일지!$AE$5:$AE$1004,업무일지!$F$5:$F$1004,$A47))</f>
        <v/>
      </c>
      <c r="L47" s="24">
        <f>IF($A47="","",COUNTIF(일일실시사항!$G$5:$G$1004,$A47))</f>
        <v/>
      </c>
      <c r="M47" s="51">
        <f>IF($R47=0,"",1000000-$R47)</f>
        <v/>
      </c>
      <c r="N47" s="51">
        <f>IF($S47=0,"",$S47)</f>
        <v/>
      </c>
      <c r="O47" s="43">
        <f>IF(OR($M47="",$N47=""),"",$N47-$M47+1)</f>
        <v/>
      </c>
      <c r="P47" s="52">
        <f>IF($A47="","",사건마스터!$E46)</f>
        <v/>
      </c>
      <c r="R47">
        <f>IF($A47="",0,SUMPRODUCT(MAX((업무일지!$F$5:$F$1004=$A47)*(업무일지!$B$5:$B$1004&gt;0)*(1000000-업무일지!$B$5:$B$1004))))</f>
        <v/>
      </c>
      <c r="S47">
        <f>IF($A47="",0,SUMPRODUCT(MAX((업무일지!$F$5:$F$1004=$A47)*업무일지!$C$5:$C$1004)))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4">
        <f>IF($A48="","",IF(F48+G48=0,"미착수",IF(F48=0,"분석만",IF(G48=0,"출장만","출장+분석"))))</f>
        <v/>
      </c>
      <c r="I48" s="24">
        <f>IF($A48="","",SUMIFS(업무일지!$AF$5:$AF$1004,업무일지!$F$5:$F$1004,$A48,업무일지!$D$5:$D$1004,"출장"))</f>
        <v/>
      </c>
      <c r="J48" s="24">
        <f>IF($A48="","",SUMIFS(업무일지!$AD$5:$AD$1004,업무일지!$F$5:$F$1004,$A48))</f>
        <v/>
      </c>
      <c r="K48" s="25">
        <f>IF($A48="","",SUMIFS(업무일지!$AE$5:$AE$1004,업무일지!$F$5:$F$1004,$A48))</f>
        <v/>
      </c>
      <c r="L48" s="24">
        <f>IF($A48="","",COUNTIF(일일실시사항!$G$5:$G$1004,$A48))</f>
        <v/>
      </c>
      <c r="M48" s="51">
        <f>IF($R48=0,"",1000000-$R48)</f>
        <v/>
      </c>
      <c r="N48" s="51">
        <f>IF($S48=0,"",$S48)</f>
        <v/>
      </c>
      <c r="O48" s="43">
        <f>IF(OR($M48="",$N48=""),"",$N48-$M48+1)</f>
        <v/>
      </c>
      <c r="P48" s="52">
        <f>IF($A48="","",사건마스터!$E47)</f>
        <v/>
      </c>
      <c r="R48">
        <f>IF($A48="",0,SUMPRODUCT(MAX((업무일지!$F$5:$F$1004=$A48)*(업무일지!$B$5:$B$1004&gt;0)*(1000000-업무일지!$B$5:$B$1004))))</f>
        <v/>
      </c>
      <c r="S48">
        <f>IF($A48="",0,SUMPRODUCT(MAX((업무일지!$F$5:$F$1004=$A48)*업무일지!$C$5:$C$1004)))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4">
        <f>IF($A49="","",IF(F49+G49=0,"미착수",IF(F49=0,"분석만",IF(G49=0,"출장만","출장+분석"))))</f>
        <v/>
      </c>
      <c r="I49" s="24">
        <f>IF($A49="","",SUMIFS(업무일지!$AF$5:$AF$1004,업무일지!$F$5:$F$1004,$A49,업무일지!$D$5:$D$1004,"출장"))</f>
        <v/>
      </c>
      <c r="J49" s="24">
        <f>IF($A49="","",SUMIFS(업무일지!$AD$5:$AD$1004,업무일지!$F$5:$F$1004,$A49))</f>
        <v/>
      </c>
      <c r="K49" s="25">
        <f>IF($A49="","",SUMIFS(업무일지!$AE$5:$AE$1004,업무일지!$F$5:$F$1004,$A49))</f>
        <v/>
      </c>
      <c r="L49" s="24">
        <f>IF($A49="","",COUNTIF(일일실시사항!$G$5:$G$1004,$A49))</f>
        <v/>
      </c>
      <c r="M49" s="51">
        <f>IF($R49=0,"",1000000-$R49)</f>
        <v/>
      </c>
      <c r="N49" s="51">
        <f>IF($S49=0,"",$S49)</f>
        <v/>
      </c>
      <c r="O49" s="43">
        <f>IF(OR($M49="",$N49=""),"",$N49-$M49+1)</f>
        <v/>
      </c>
      <c r="P49" s="52">
        <f>IF($A49="","",사건마스터!$E48)</f>
        <v/>
      </c>
      <c r="R49">
        <f>IF($A49="",0,SUMPRODUCT(MAX((업무일지!$F$5:$F$1004=$A49)*(업무일지!$B$5:$B$1004&gt;0)*(1000000-업무일지!$B$5:$B$1004))))</f>
        <v/>
      </c>
      <c r="S49">
        <f>IF($A49="",0,SUMPRODUCT(MAX((업무일지!$F$5:$F$1004=$A49)*업무일지!$C$5:$C$1004)))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4">
        <f>IF($A50="","",IF(F50+G50=0,"미착수",IF(F50=0,"분석만",IF(G50=0,"출장만","출장+분석"))))</f>
        <v/>
      </c>
      <c r="I50" s="24">
        <f>IF($A50="","",SUMIFS(업무일지!$AF$5:$AF$1004,업무일지!$F$5:$F$1004,$A50,업무일지!$D$5:$D$1004,"출장"))</f>
        <v/>
      </c>
      <c r="J50" s="24">
        <f>IF($A50="","",SUMIFS(업무일지!$AD$5:$AD$1004,업무일지!$F$5:$F$1004,$A50))</f>
        <v/>
      </c>
      <c r="K50" s="25">
        <f>IF($A50="","",SUMIFS(업무일지!$AE$5:$AE$1004,업무일지!$F$5:$F$1004,$A50))</f>
        <v/>
      </c>
      <c r="L50" s="24">
        <f>IF($A50="","",COUNTIF(일일실시사항!$G$5:$G$1004,$A50))</f>
        <v/>
      </c>
      <c r="M50" s="51">
        <f>IF($R50=0,"",1000000-$R50)</f>
        <v/>
      </c>
      <c r="N50" s="51">
        <f>IF($S50=0,"",$S50)</f>
        <v/>
      </c>
      <c r="O50" s="43">
        <f>IF(OR($M50="",$N50=""),"",$N50-$M50+1)</f>
        <v/>
      </c>
      <c r="P50" s="52">
        <f>IF($A50="","",사건마스터!$E49)</f>
        <v/>
      </c>
      <c r="R50">
        <f>IF($A50="",0,SUMPRODUCT(MAX((업무일지!$F$5:$F$1004=$A50)*(업무일지!$B$5:$B$1004&gt;0)*(1000000-업무일지!$B$5:$B$1004))))</f>
        <v/>
      </c>
      <c r="S50">
        <f>IF($A50="",0,SUMPRODUCT(MAX((업무일지!$F$5:$F$1004=$A50)*업무일지!$C$5:$C$1004)))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4">
        <f>IF($A51="","",IF(F51+G51=0,"미착수",IF(F51=0,"분석만",IF(G51=0,"출장만","출장+분석"))))</f>
        <v/>
      </c>
      <c r="I51" s="24">
        <f>IF($A51="","",SUMIFS(업무일지!$AF$5:$AF$1004,업무일지!$F$5:$F$1004,$A51,업무일지!$D$5:$D$1004,"출장"))</f>
        <v/>
      </c>
      <c r="J51" s="24">
        <f>IF($A51="","",SUMIFS(업무일지!$AD$5:$AD$1004,업무일지!$F$5:$F$1004,$A51))</f>
        <v/>
      </c>
      <c r="K51" s="25">
        <f>IF($A51="","",SUMIFS(업무일지!$AE$5:$AE$1004,업무일지!$F$5:$F$1004,$A51))</f>
        <v/>
      </c>
      <c r="L51" s="24">
        <f>IF($A51="","",COUNTIF(일일실시사항!$G$5:$G$1004,$A51))</f>
        <v/>
      </c>
      <c r="M51" s="51">
        <f>IF($R51=0,"",1000000-$R51)</f>
        <v/>
      </c>
      <c r="N51" s="51">
        <f>IF($S51=0,"",$S51)</f>
        <v/>
      </c>
      <c r="O51" s="43">
        <f>IF(OR($M51="",$N51=""),"",$N51-$M51+1)</f>
        <v/>
      </c>
      <c r="P51" s="52">
        <f>IF($A51="","",사건마스터!$E50)</f>
        <v/>
      </c>
      <c r="R51">
        <f>IF($A51="",0,SUMPRODUCT(MAX((업무일지!$F$5:$F$1004=$A51)*(업무일지!$B$5:$B$1004&gt;0)*(1000000-업무일지!$B$5:$B$1004))))</f>
        <v/>
      </c>
      <c r="S51">
        <f>IF($A51="",0,SUMPRODUCT(MAX((업무일지!$F$5:$F$1004=$A51)*업무일지!$C$5:$C$1004)))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4">
        <f>IF($A52="","",IF(F52+G52=0,"미착수",IF(F52=0,"분석만",IF(G52=0,"출장만","출장+분석"))))</f>
        <v/>
      </c>
      <c r="I52" s="24">
        <f>IF($A52="","",SUMIFS(업무일지!$AF$5:$AF$1004,업무일지!$F$5:$F$1004,$A52,업무일지!$D$5:$D$1004,"출장"))</f>
        <v/>
      </c>
      <c r="J52" s="24">
        <f>IF($A52="","",SUMIFS(업무일지!$AD$5:$AD$1004,업무일지!$F$5:$F$1004,$A52))</f>
        <v/>
      </c>
      <c r="K52" s="25">
        <f>IF($A52="","",SUMIFS(업무일지!$AE$5:$AE$1004,업무일지!$F$5:$F$1004,$A52))</f>
        <v/>
      </c>
      <c r="L52" s="24">
        <f>IF($A52="","",COUNTIF(일일실시사항!$G$5:$G$1004,$A52))</f>
        <v/>
      </c>
      <c r="M52" s="51">
        <f>IF($R52=0,"",1000000-$R52)</f>
        <v/>
      </c>
      <c r="N52" s="51">
        <f>IF($S52=0,"",$S52)</f>
        <v/>
      </c>
      <c r="O52" s="43">
        <f>IF(OR($M52="",$N52=""),"",$N52-$M52+1)</f>
        <v/>
      </c>
      <c r="P52" s="52">
        <f>IF($A52="","",사건마스터!$E51)</f>
        <v/>
      </c>
      <c r="R52">
        <f>IF($A52="",0,SUMPRODUCT(MAX((업무일지!$F$5:$F$1004=$A52)*(업무일지!$B$5:$B$1004&gt;0)*(1000000-업무일지!$B$5:$B$1004))))</f>
        <v/>
      </c>
      <c r="S52">
        <f>IF($A52="",0,SUMPRODUCT(MAX((업무일지!$F$5:$F$1004=$A52)*업무일지!$C$5:$C$1004)))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4">
        <f>IF($A53="","",IF(F53+G53=0,"미착수",IF(F53=0,"분석만",IF(G53=0,"출장만","출장+분석"))))</f>
        <v/>
      </c>
      <c r="I53" s="24">
        <f>IF($A53="","",SUMIFS(업무일지!$AF$5:$AF$1004,업무일지!$F$5:$F$1004,$A53,업무일지!$D$5:$D$1004,"출장"))</f>
        <v/>
      </c>
      <c r="J53" s="24">
        <f>IF($A53="","",SUMIFS(업무일지!$AD$5:$AD$1004,업무일지!$F$5:$F$1004,$A53))</f>
        <v/>
      </c>
      <c r="K53" s="25">
        <f>IF($A53="","",SUMIFS(업무일지!$AE$5:$AE$1004,업무일지!$F$5:$F$1004,$A53))</f>
        <v/>
      </c>
      <c r="L53" s="24">
        <f>IF($A53="","",COUNTIF(일일실시사항!$G$5:$G$1004,$A53))</f>
        <v/>
      </c>
      <c r="M53" s="51">
        <f>IF($R53=0,"",1000000-$R53)</f>
        <v/>
      </c>
      <c r="N53" s="51">
        <f>IF($S53=0,"",$S53)</f>
        <v/>
      </c>
      <c r="O53" s="43">
        <f>IF(OR($M53="",$N53=""),"",$N53-$M53+1)</f>
        <v/>
      </c>
      <c r="P53" s="52">
        <f>IF($A53="","",사건마스터!$E52)</f>
        <v/>
      </c>
      <c r="R53">
        <f>IF($A53="",0,SUMPRODUCT(MAX((업무일지!$F$5:$F$1004=$A53)*(업무일지!$B$5:$B$1004&gt;0)*(1000000-업무일지!$B$5:$B$1004))))</f>
        <v/>
      </c>
      <c r="S53">
        <f>IF($A53="",0,SUMPRODUCT(MAX((업무일지!$F$5:$F$1004=$A53)*업무일지!$C$5:$C$1004)))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4">
        <f>IF($A54="","",IF(F54+G54=0,"미착수",IF(F54=0,"분석만",IF(G54=0,"출장만","출장+분석"))))</f>
        <v/>
      </c>
      <c r="I54" s="24">
        <f>IF($A54="","",SUMIFS(업무일지!$AF$5:$AF$1004,업무일지!$F$5:$F$1004,$A54,업무일지!$D$5:$D$1004,"출장"))</f>
        <v/>
      </c>
      <c r="J54" s="24">
        <f>IF($A54="","",SUMIFS(업무일지!$AD$5:$AD$1004,업무일지!$F$5:$F$1004,$A54))</f>
        <v/>
      </c>
      <c r="K54" s="25">
        <f>IF($A54="","",SUMIFS(업무일지!$AE$5:$AE$1004,업무일지!$F$5:$F$1004,$A54))</f>
        <v/>
      </c>
      <c r="L54" s="24">
        <f>IF($A54="","",COUNTIF(일일실시사항!$G$5:$G$1004,$A54))</f>
        <v/>
      </c>
      <c r="M54" s="51">
        <f>IF($R54=0,"",1000000-$R54)</f>
        <v/>
      </c>
      <c r="N54" s="51">
        <f>IF($S54=0,"",$S54)</f>
        <v/>
      </c>
      <c r="O54" s="43">
        <f>IF(OR($M54="",$N54=""),"",$N54-$M54+1)</f>
        <v/>
      </c>
      <c r="P54" s="52">
        <f>IF($A54="","",사건마스터!$E53)</f>
        <v/>
      </c>
      <c r="R54">
        <f>IF($A54="",0,SUMPRODUCT(MAX((업무일지!$F$5:$F$1004=$A54)*(업무일지!$B$5:$B$1004&gt;0)*(1000000-업무일지!$B$5:$B$1004))))</f>
        <v/>
      </c>
      <c r="S54">
        <f>IF($A54="",0,SUMPRODUCT(MAX((업무일지!$F$5:$F$1004=$A54)*업무일지!$C$5:$C$1004)))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4">
        <f>IF($A55="","",IF(F55+G55=0,"미착수",IF(F55=0,"분석만",IF(G55=0,"출장만","출장+분석"))))</f>
        <v/>
      </c>
      <c r="I55" s="24">
        <f>IF($A55="","",SUMIFS(업무일지!$AF$5:$AF$1004,업무일지!$F$5:$F$1004,$A55,업무일지!$D$5:$D$1004,"출장"))</f>
        <v/>
      </c>
      <c r="J55" s="24">
        <f>IF($A55="","",SUMIFS(업무일지!$AD$5:$AD$1004,업무일지!$F$5:$F$1004,$A55))</f>
        <v/>
      </c>
      <c r="K55" s="25">
        <f>IF($A55="","",SUMIFS(업무일지!$AE$5:$AE$1004,업무일지!$F$5:$F$1004,$A55))</f>
        <v/>
      </c>
      <c r="L55" s="24">
        <f>IF($A55="","",COUNTIF(일일실시사항!$G$5:$G$1004,$A55))</f>
        <v/>
      </c>
      <c r="M55" s="51">
        <f>IF($R55=0,"",1000000-$R55)</f>
        <v/>
      </c>
      <c r="N55" s="51">
        <f>IF($S55=0,"",$S55)</f>
        <v/>
      </c>
      <c r="O55" s="43">
        <f>IF(OR($M55="",$N55=""),"",$N55-$M55+1)</f>
        <v/>
      </c>
      <c r="P55" s="52">
        <f>IF($A55="","",사건마스터!$E54)</f>
        <v/>
      </c>
      <c r="R55">
        <f>IF($A55="",0,SUMPRODUCT(MAX((업무일지!$F$5:$F$1004=$A55)*(업무일지!$B$5:$B$1004&gt;0)*(1000000-업무일지!$B$5:$B$1004))))</f>
        <v/>
      </c>
      <c r="S55">
        <f>IF($A55="",0,SUMPRODUCT(MAX((업무일지!$F$5:$F$1004=$A55)*업무일지!$C$5:$C$1004)))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4">
        <f>IF($A56="","",IF(F56+G56=0,"미착수",IF(F56=0,"분석만",IF(G56=0,"출장만","출장+분석"))))</f>
        <v/>
      </c>
      <c r="I56" s="24">
        <f>IF($A56="","",SUMIFS(업무일지!$AF$5:$AF$1004,업무일지!$F$5:$F$1004,$A56,업무일지!$D$5:$D$1004,"출장"))</f>
        <v/>
      </c>
      <c r="J56" s="24">
        <f>IF($A56="","",SUMIFS(업무일지!$AD$5:$AD$1004,업무일지!$F$5:$F$1004,$A56))</f>
        <v/>
      </c>
      <c r="K56" s="25">
        <f>IF($A56="","",SUMIFS(업무일지!$AE$5:$AE$1004,업무일지!$F$5:$F$1004,$A56))</f>
        <v/>
      </c>
      <c r="L56" s="24">
        <f>IF($A56="","",COUNTIF(일일실시사항!$G$5:$G$1004,$A56))</f>
        <v/>
      </c>
      <c r="M56" s="51">
        <f>IF($R56=0,"",1000000-$R56)</f>
        <v/>
      </c>
      <c r="N56" s="51">
        <f>IF($S56=0,"",$S56)</f>
        <v/>
      </c>
      <c r="O56" s="43">
        <f>IF(OR($M56="",$N56=""),"",$N56-$M56+1)</f>
        <v/>
      </c>
      <c r="P56" s="52">
        <f>IF($A56="","",사건마스터!$E55)</f>
        <v/>
      </c>
      <c r="R56">
        <f>IF($A56="",0,SUMPRODUCT(MAX((업무일지!$F$5:$F$1004=$A56)*(업무일지!$B$5:$B$1004&gt;0)*(1000000-업무일지!$B$5:$B$1004))))</f>
        <v/>
      </c>
      <c r="S56">
        <f>IF($A56="",0,SUMPRODUCT(MAX((업무일지!$F$5:$F$1004=$A56)*업무일지!$C$5:$C$1004)))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4">
        <f>IF($A57="","",IF(F57+G57=0,"미착수",IF(F57=0,"분석만",IF(G57=0,"출장만","출장+분석"))))</f>
        <v/>
      </c>
      <c r="I57" s="24">
        <f>IF($A57="","",SUMIFS(업무일지!$AF$5:$AF$1004,업무일지!$F$5:$F$1004,$A57,업무일지!$D$5:$D$1004,"출장"))</f>
        <v/>
      </c>
      <c r="J57" s="24">
        <f>IF($A57="","",SUMIFS(업무일지!$AD$5:$AD$1004,업무일지!$F$5:$F$1004,$A57))</f>
        <v/>
      </c>
      <c r="K57" s="25">
        <f>IF($A57="","",SUMIFS(업무일지!$AE$5:$AE$1004,업무일지!$F$5:$F$1004,$A57))</f>
        <v/>
      </c>
      <c r="L57" s="24">
        <f>IF($A57="","",COUNTIF(일일실시사항!$G$5:$G$1004,$A57))</f>
        <v/>
      </c>
      <c r="M57" s="51">
        <f>IF($R57=0,"",1000000-$R57)</f>
        <v/>
      </c>
      <c r="N57" s="51">
        <f>IF($S57=0,"",$S57)</f>
        <v/>
      </c>
      <c r="O57" s="43">
        <f>IF(OR($M57="",$N57=""),"",$N57-$M57+1)</f>
        <v/>
      </c>
      <c r="P57" s="52">
        <f>IF($A57="","",사건마스터!$E56)</f>
        <v/>
      </c>
      <c r="R57">
        <f>IF($A57="",0,SUMPRODUCT(MAX((업무일지!$F$5:$F$1004=$A57)*(업무일지!$B$5:$B$1004&gt;0)*(1000000-업무일지!$B$5:$B$1004))))</f>
        <v/>
      </c>
      <c r="S57">
        <f>IF($A57="",0,SUMPRODUCT(MAX((업무일지!$F$5:$F$1004=$A57)*업무일지!$C$5:$C$1004)))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4">
        <f>IF($A58="","",IF(F58+G58=0,"미착수",IF(F58=0,"분석만",IF(G58=0,"출장만","출장+분석"))))</f>
        <v/>
      </c>
      <c r="I58" s="24">
        <f>IF($A58="","",SUMIFS(업무일지!$AF$5:$AF$1004,업무일지!$F$5:$F$1004,$A58,업무일지!$D$5:$D$1004,"출장"))</f>
        <v/>
      </c>
      <c r="J58" s="24">
        <f>IF($A58="","",SUMIFS(업무일지!$AD$5:$AD$1004,업무일지!$F$5:$F$1004,$A58))</f>
        <v/>
      </c>
      <c r="K58" s="25">
        <f>IF($A58="","",SUMIFS(업무일지!$AE$5:$AE$1004,업무일지!$F$5:$F$1004,$A58))</f>
        <v/>
      </c>
      <c r="L58" s="24">
        <f>IF($A58="","",COUNTIF(일일실시사항!$G$5:$G$1004,$A58))</f>
        <v/>
      </c>
      <c r="M58" s="51">
        <f>IF($R58=0,"",1000000-$R58)</f>
        <v/>
      </c>
      <c r="N58" s="51">
        <f>IF($S58=0,"",$S58)</f>
        <v/>
      </c>
      <c r="O58" s="43">
        <f>IF(OR($M58="",$N58=""),"",$N58-$M58+1)</f>
        <v/>
      </c>
      <c r="P58" s="52">
        <f>IF($A58="","",사건마스터!$E57)</f>
        <v/>
      </c>
      <c r="R58">
        <f>IF($A58="",0,SUMPRODUCT(MAX((업무일지!$F$5:$F$1004=$A58)*(업무일지!$B$5:$B$1004&gt;0)*(1000000-업무일지!$B$5:$B$1004))))</f>
        <v/>
      </c>
      <c r="S58">
        <f>IF($A58="",0,SUMPRODUCT(MAX((업무일지!$F$5:$F$1004=$A58)*업무일지!$C$5:$C$1004)))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4">
        <f>IF($A59="","",IF(F59+G59=0,"미착수",IF(F59=0,"분석만",IF(G59=0,"출장만","출장+분석"))))</f>
        <v/>
      </c>
      <c r="I59" s="24">
        <f>IF($A59="","",SUMIFS(업무일지!$AF$5:$AF$1004,업무일지!$F$5:$F$1004,$A59,업무일지!$D$5:$D$1004,"출장"))</f>
        <v/>
      </c>
      <c r="J59" s="24">
        <f>IF($A59="","",SUMIFS(업무일지!$AD$5:$AD$1004,업무일지!$F$5:$F$1004,$A59))</f>
        <v/>
      </c>
      <c r="K59" s="25">
        <f>IF($A59="","",SUMIFS(업무일지!$AE$5:$AE$1004,업무일지!$F$5:$F$1004,$A59))</f>
        <v/>
      </c>
      <c r="L59" s="24">
        <f>IF($A59="","",COUNTIF(일일실시사항!$G$5:$G$1004,$A59))</f>
        <v/>
      </c>
      <c r="M59" s="51">
        <f>IF($R59=0,"",1000000-$R59)</f>
        <v/>
      </c>
      <c r="N59" s="51">
        <f>IF($S59=0,"",$S59)</f>
        <v/>
      </c>
      <c r="O59" s="43">
        <f>IF(OR($M59="",$N59=""),"",$N59-$M59+1)</f>
        <v/>
      </c>
      <c r="P59" s="52">
        <f>IF($A59="","",사건마스터!$E58)</f>
        <v/>
      </c>
      <c r="R59">
        <f>IF($A59="",0,SUMPRODUCT(MAX((업무일지!$F$5:$F$1004=$A59)*(업무일지!$B$5:$B$1004&gt;0)*(1000000-업무일지!$B$5:$B$1004))))</f>
        <v/>
      </c>
      <c r="S59">
        <f>IF($A59="",0,SUMPRODUCT(MAX((업무일지!$F$5:$F$1004=$A59)*업무일지!$C$5:$C$1004)))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4">
        <f>IF($A60="","",IF(F60+G60=0,"미착수",IF(F60=0,"분석만",IF(G60=0,"출장만","출장+분석"))))</f>
        <v/>
      </c>
      <c r="I60" s="24">
        <f>IF($A60="","",SUMIFS(업무일지!$AF$5:$AF$1004,업무일지!$F$5:$F$1004,$A60,업무일지!$D$5:$D$1004,"출장"))</f>
        <v/>
      </c>
      <c r="J60" s="24">
        <f>IF($A60="","",SUMIFS(업무일지!$AD$5:$AD$1004,업무일지!$F$5:$F$1004,$A60))</f>
        <v/>
      </c>
      <c r="K60" s="25">
        <f>IF($A60="","",SUMIFS(업무일지!$AE$5:$AE$1004,업무일지!$F$5:$F$1004,$A60))</f>
        <v/>
      </c>
      <c r="L60" s="24">
        <f>IF($A60="","",COUNTIF(일일실시사항!$G$5:$G$1004,$A60))</f>
        <v/>
      </c>
      <c r="M60" s="51">
        <f>IF($R60=0,"",1000000-$R60)</f>
        <v/>
      </c>
      <c r="N60" s="51">
        <f>IF($S60=0,"",$S60)</f>
        <v/>
      </c>
      <c r="O60" s="43">
        <f>IF(OR($M60="",$N60=""),"",$N60-$M60+1)</f>
        <v/>
      </c>
      <c r="P60" s="52">
        <f>IF($A60="","",사건마스터!$E59)</f>
        <v/>
      </c>
      <c r="R60">
        <f>IF($A60="",0,SUMPRODUCT(MAX((업무일지!$F$5:$F$1004=$A60)*(업무일지!$B$5:$B$1004&gt;0)*(1000000-업무일지!$B$5:$B$1004))))</f>
        <v/>
      </c>
      <c r="S60">
        <f>IF($A60="",0,SUMPRODUCT(MAX((업무일지!$F$5:$F$1004=$A60)*업무일지!$C$5:$C$1004)))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4">
        <f>IF($A61="","",IF(F61+G61=0,"미착수",IF(F61=0,"분석만",IF(G61=0,"출장만","출장+분석"))))</f>
        <v/>
      </c>
      <c r="I61" s="24">
        <f>IF($A61="","",SUMIFS(업무일지!$AF$5:$AF$1004,업무일지!$F$5:$F$1004,$A61,업무일지!$D$5:$D$1004,"출장"))</f>
        <v/>
      </c>
      <c r="J61" s="24">
        <f>IF($A61="","",SUMIFS(업무일지!$AD$5:$AD$1004,업무일지!$F$5:$F$1004,$A61))</f>
        <v/>
      </c>
      <c r="K61" s="25">
        <f>IF($A61="","",SUMIFS(업무일지!$AE$5:$AE$1004,업무일지!$F$5:$F$1004,$A61))</f>
        <v/>
      </c>
      <c r="L61" s="24">
        <f>IF($A61="","",COUNTIF(일일실시사항!$G$5:$G$1004,$A61))</f>
        <v/>
      </c>
      <c r="M61" s="51">
        <f>IF($R61=0,"",1000000-$R61)</f>
        <v/>
      </c>
      <c r="N61" s="51">
        <f>IF($S61=0,"",$S61)</f>
        <v/>
      </c>
      <c r="O61" s="43">
        <f>IF(OR($M61="",$N61=""),"",$N61-$M61+1)</f>
        <v/>
      </c>
      <c r="P61" s="52">
        <f>IF($A61="","",사건마스터!$E60)</f>
        <v/>
      </c>
      <c r="R61">
        <f>IF($A61="",0,SUMPRODUCT(MAX((업무일지!$F$5:$F$1004=$A61)*(업무일지!$B$5:$B$1004&gt;0)*(1000000-업무일지!$B$5:$B$1004))))</f>
        <v/>
      </c>
      <c r="S61">
        <f>IF($A61="",0,SUMPRODUCT(MAX((업무일지!$F$5:$F$1004=$A61)*업무일지!$C$5:$C$1004)))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4">
        <f>IF($A62="","",IF(F62+G62=0,"미착수",IF(F62=0,"분석만",IF(G62=0,"출장만","출장+분석"))))</f>
        <v/>
      </c>
      <c r="I62" s="24">
        <f>IF($A62="","",SUMIFS(업무일지!$AF$5:$AF$1004,업무일지!$F$5:$F$1004,$A62,업무일지!$D$5:$D$1004,"출장"))</f>
        <v/>
      </c>
      <c r="J62" s="24">
        <f>IF($A62="","",SUMIFS(업무일지!$AD$5:$AD$1004,업무일지!$F$5:$F$1004,$A62))</f>
        <v/>
      </c>
      <c r="K62" s="25">
        <f>IF($A62="","",SUMIFS(업무일지!$AE$5:$AE$1004,업무일지!$F$5:$F$1004,$A62))</f>
        <v/>
      </c>
      <c r="L62" s="24">
        <f>IF($A62="","",COUNTIF(일일실시사항!$G$5:$G$1004,$A62))</f>
        <v/>
      </c>
      <c r="M62" s="51">
        <f>IF($R62=0,"",1000000-$R62)</f>
        <v/>
      </c>
      <c r="N62" s="51">
        <f>IF($S62=0,"",$S62)</f>
        <v/>
      </c>
      <c r="O62" s="43">
        <f>IF(OR($M62="",$N62=""),"",$N62-$M62+1)</f>
        <v/>
      </c>
      <c r="P62" s="52">
        <f>IF($A62="","",사건마스터!$E61)</f>
        <v/>
      </c>
      <c r="R62">
        <f>IF($A62="",0,SUMPRODUCT(MAX((업무일지!$F$5:$F$1004=$A62)*(업무일지!$B$5:$B$1004&gt;0)*(1000000-업무일지!$B$5:$B$1004))))</f>
        <v/>
      </c>
      <c r="S62">
        <f>IF($A62="",0,SUMPRODUCT(MAX((업무일지!$F$5:$F$1004=$A62)*업무일지!$C$5:$C$1004)))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4">
        <f>IF($A63="","",IF(F63+G63=0,"미착수",IF(F63=0,"분석만",IF(G63=0,"출장만","출장+분석"))))</f>
        <v/>
      </c>
      <c r="I63" s="24">
        <f>IF($A63="","",SUMIFS(업무일지!$AF$5:$AF$1004,업무일지!$F$5:$F$1004,$A63,업무일지!$D$5:$D$1004,"출장"))</f>
        <v/>
      </c>
      <c r="J63" s="24">
        <f>IF($A63="","",SUMIFS(업무일지!$AD$5:$AD$1004,업무일지!$F$5:$F$1004,$A63))</f>
        <v/>
      </c>
      <c r="K63" s="25">
        <f>IF($A63="","",SUMIFS(업무일지!$AE$5:$AE$1004,업무일지!$F$5:$F$1004,$A63))</f>
        <v/>
      </c>
      <c r="L63" s="24">
        <f>IF($A63="","",COUNTIF(일일실시사항!$G$5:$G$1004,$A63))</f>
        <v/>
      </c>
      <c r="M63" s="51">
        <f>IF($R63=0,"",1000000-$R63)</f>
        <v/>
      </c>
      <c r="N63" s="51">
        <f>IF($S63=0,"",$S63)</f>
        <v/>
      </c>
      <c r="O63" s="43">
        <f>IF(OR($M63="",$N63=""),"",$N63-$M63+1)</f>
        <v/>
      </c>
      <c r="P63" s="52">
        <f>IF($A63="","",사건마스터!$E62)</f>
        <v/>
      </c>
      <c r="R63">
        <f>IF($A63="",0,SUMPRODUCT(MAX((업무일지!$F$5:$F$1004=$A63)*(업무일지!$B$5:$B$1004&gt;0)*(1000000-업무일지!$B$5:$B$1004))))</f>
        <v/>
      </c>
      <c r="S63">
        <f>IF($A63="",0,SUMPRODUCT(MAX((업무일지!$F$5:$F$1004=$A63)*업무일지!$C$5:$C$1004)))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4">
        <f>IF($A64="","",IF(F64+G64=0,"미착수",IF(F64=0,"분석만",IF(G64=0,"출장만","출장+분석"))))</f>
        <v/>
      </c>
      <c r="I64" s="24">
        <f>IF($A64="","",SUMIFS(업무일지!$AF$5:$AF$1004,업무일지!$F$5:$F$1004,$A64,업무일지!$D$5:$D$1004,"출장"))</f>
        <v/>
      </c>
      <c r="J64" s="24">
        <f>IF($A64="","",SUMIFS(업무일지!$AD$5:$AD$1004,업무일지!$F$5:$F$1004,$A64))</f>
        <v/>
      </c>
      <c r="K64" s="25">
        <f>IF($A64="","",SUMIFS(업무일지!$AE$5:$AE$1004,업무일지!$F$5:$F$1004,$A64))</f>
        <v/>
      </c>
      <c r="L64" s="24">
        <f>IF($A64="","",COUNTIF(일일실시사항!$G$5:$G$1004,$A64))</f>
        <v/>
      </c>
      <c r="M64" s="51">
        <f>IF($R64=0,"",1000000-$R64)</f>
        <v/>
      </c>
      <c r="N64" s="51">
        <f>IF($S64=0,"",$S64)</f>
        <v/>
      </c>
      <c r="O64" s="43">
        <f>IF(OR($M64="",$N64=""),"",$N64-$M64+1)</f>
        <v/>
      </c>
      <c r="P64" s="52">
        <f>IF($A64="","",사건마스터!$E63)</f>
        <v/>
      </c>
      <c r="R64">
        <f>IF($A64="",0,SUMPRODUCT(MAX((업무일지!$F$5:$F$1004=$A64)*(업무일지!$B$5:$B$1004&gt;0)*(1000000-업무일지!$B$5:$B$1004))))</f>
        <v/>
      </c>
      <c r="S64">
        <f>IF($A64="",0,SUMPRODUCT(MAX((업무일지!$F$5:$F$1004=$A64)*업무일지!$C$5:$C$1004)))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4">
        <f>IF($A65="","",IF(F65+G65=0,"미착수",IF(F65=0,"분석만",IF(G65=0,"출장만","출장+분석"))))</f>
        <v/>
      </c>
      <c r="I65" s="24">
        <f>IF($A65="","",SUMIFS(업무일지!$AF$5:$AF$1004,업무일지!$F$5:$F$1004,$A65,업무일지!$D$5:$D$1004,"출장"))</f>
        <v/>
      </c>
      <c r="J65" s="24">
        <f>IF($A65="","",SUMIFS(업무일지!$AD$5:$AD$1004,업무일지!$F$5:$F$1004,$A65))</f>
        <v/>
      </c>
      <c r="K65" s="25">
        <f>IF($A65="","",SUMIFS(업무일지!$AE$5:$AE$1004,업무일지!$F$5:$F$1004,$A65))</f>
        <v/>
      </c>
      <c r="L65" s="24">
        <f>IF($A65="","",COUNTIF(일일실시사항!$G$5:$G$1004,$A65))</f>
        <v/>
      </c>
      <c r="M65" s="51">
        <f>IF($R65=0,"",1000000-$R65)</f>
        <v/>
      </c>
      <c r="N65" s="51">
        <f>IF($S65=0,"",$S65)</f>
        <v/>
      </c>
      <c r="O65" s="43">
        <f>IF(OR($M65="",$N65=""),"",$N65-$M65+1)</f>
        <v/>
      </c>
      <c r="P65" s="52">
        <f>IF($A65="","",사건마스터!$E64)</f>
        <v/>
      </c>
      <c r="R65">
        <f>IF($A65="",0,SUMPRODUCT(MAX((업무일지!$F$5:$F$1004=$A65)*(업무일지!$B$5:$B$1004&gt;0)*(1000000-업무일지!$B$5:$B$1004))))</f>
        <v/>
      </c>
      <c r="S65">
        <f>IF($A65="",0,SUMPRODUCT(MAX((업무일지!$F$5:$F$1004=$A65)*업무일지!$C$5:$C$1004)))</f>
        <v/>
      </c>
    </row>
    <row r="66">
      <c r="A66" s="27" t="inlineStr">
        <is>
          <t>합계</t>
        </is>
      </c>
      <c r="B66" s="61">
        <f>60-COUNTBLANK(A6:A65)&amp;"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62">
        <f>COUNTIF(H6:H65,"출장*")&amp;" / "&amp;COUNTIF(H6:H65,"*분석*")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회차</t>
        </is>
      </c>
      <c r="C70" s="23" t="inlineStr">
        <is>
          <t>참여 회차</t>
        </is>
      </c>
      <c r="D70" s="23" t="inlineStr">
        <is>
          <t>총 참여회차</t>
        </is>
      </c>
      <c r="F70" s="23" t="inlineStr">
        <is>
          <t>세부유형</t>
        </is>
      </c>
      <c r="G70" s="23" t="inlineStr">
        <is>
          <t>회차</t>
        </is>
      </c>
    </row>
    <row r="71">
      <c r="A71" s="55">
        <f>IF(코드설정!$C5="","",코드설정!$C5)</f>
        <v/>
      </c>
      <c r="B71" s="24">
        <f>IF($A71="","",COUNTIFS(업무일지!$F$5:$F$1004,$B$69,업무일지!$J$5:$J$1004,$A71))</f>
        <v/>
      </c>
      <c r="C71" s="24">
        <f>IF($A71="","",COUNTIFS(업무일지!$F$5:$F$1004,$B$69,업무일지!$AA$5:$AA$1004,"*"&amp;$A71&amp;"*")-COUNTIFS(업무일지!$F$5:$F$1004,$B$69,업무일지!$J$5:$J$1004,$A71))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IF($A72="","",COUNTIFS(업무일지!$F$5:$F$1004,$B$69,업무일지!$J$5:$J$1004,$A72))</f>
        <v/>
      </c>
      <c r="C72" s="24">
        <f>IF($A72="","",COUNTIFS(업무일지!$F$5:$F$1004,$B$69,업무일지!$AA$5:$AA$1004,"*"&amp;$A72&amp;"*")-COUNTIFS(업무일지!$F$5:$F$1004,$B$69,업무일지!$J$5:$J$1004,$A72))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IF($A73="","",COUNTIFS(업무일지!$F$5:$F$1004,$B$69,업무일지!$J$5:$J$1004,$A73))</f>
        <v/>
      </c>
      <c r="C73" s="24">
        <f>IF($A73="","",COUNTIFS(업무일지!$F$5:$F$1004,$B$69,업무일지!$AA$5:$AA$1004,"*"&amp;$A73&amp;"*")-COUNTIFS(업무일지!$F$5:$F$1004,$B$69,업무일지!$J$5:$J$1004,$A73))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IF($A74="","",COUNTIFS(업무일지!$F$5:$F$1004,$B$69,업무일지!$J$5:$J$1004,$A74))</f>
        <v/>
      </c>
      <c r="C74" s="24">
        <f>IF($A74="","",COUNTIFS(업무일지!$F$5:$F$1004,$B$69,업무일지!$AA$5:$AA$1004,"*"&amp;$A74&amp;"*")-COUNTIFS(업무일지!$F$5:$F$1004,$B$69,업무일지!$J$5:$J$1004,$A74))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IF($A75="","",COUNTIFS(업무일지!$F$5:$F$1004,$B$69,업무일지!$J$5:$J$1004,$A75))</f>
        <v/>
      </c>
      <c r="C75" s="24">
        <f>IF($A75="","",COUNTIFS(업무일지!$F$5:$F$1004,$B$69,업무일지!$AA$5:$AA$1004,"*"&amp;$A75&amp;"*")-COUNTIFS(업무일지!$F$5:$F$1004,$B$69,업무일지!$J$5:$J$1004,$A75))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IF($A76="","",COUNTIFS(업무일지!$F$5:$F$1004,$B$69,업무일지!$J$5:$J$1004,$A76))</f>
        <v/>
      </c>
      <c r="C76" s="24">
        <f>IF($A76="","",COUNTIFS(업무일지!$F$5:$F$1004,$B$69,업무일지!$AA$5:$AA$1004,"*"&amp;$A76&amp;"*")-COUNTIFS(업무일지!$F$5:$F$1004,$B$69,업무일지!$J$5:$J$1004,$A76))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IF($A77="","",COUNTIFS(업무일지!$F$5:$F$1004,$B$69,업무일지!$J$5:$J$1004,$A77))</f>
        <v/>
      </c>
      <c r="C77" s="24">
        <f>IF($A77="","",COUNTIFS(업무일지!$F$5:$F$1004,$B$69,업무일지!$AA$5:$AA$1004,"*"&amp;$A77&amp;"*")-COUNTIFS(업무일지!$F$5:$F$1004,$B$69,업무일지!$J$5:$J$1004,$A77))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IF($A78="","",COUNTIFS(업무일지!$F$5:$F$1004,$B$69,업무일지!$J$5:$J$1004,$A78))</f>
        <v/>
      </c>
      <c r="C78" s="24">
        <f>IF($A78="","",COUNTIFS(업무일지!$F$5:$F$1004,$B$69,업무일지!$AA$5:$AA$1004,"*"&amp;$A78&amp;"*")-COUNTIFS(업무일지!$F$5:$F$1004,$B$69,업무일지!$J$5:$J$1004,$A78))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IF($A79="","",COUNTIFS(업무일지!$F$5:$F$1004,$B$69,업무일지!$J$5:$J$1004,$A79))</f>
        <v/>
      </c>
      <c r="C79" s="24">
        <f>IF($A79="","",COUNTIFS(업무일지!$F$5:$F$1004,$B$69,업무일지!$AA$5:$AA$1004,"*"&amp;$A79&amp;"*")-COUNTIFS(업무일지!$F$5:$F$1004,$B$69,업무일지!$J$5:$J$1004,$A79))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IF($A80="","",COUNTIFS(업무일지!$F$5:$F$1004,$B$69,업무일지!$J$5:$J$1004,$A80))</f>
        <v/>
      </c>
      <c r="C80" s="24">
        <f>IF($A80="","",COUNTIFS(업무일지!$F$5:$F$1004,$B$69,업무일지!$AA$5:$AA$1004,"*"&amp;$A80&amp;"*")-COUNTIFS(업무일지!$F$5:$F$1004,$B$69,업무일지!$J$5:$J$1004,$A80))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IF($A81="","",COUNTIFS(업무일지!$F$5:$F$1004,$B$69,업무일지!$J$5:$J$1004,$A81))</f>
        <v/>
      </c>
      <c r="C81" s="24">
        <f>IF($A81="","",COUNTIFS(업무일지!$F$5:$F$1004,$B$69,업무일지!$AA$5:$AA$1004,"*"&amp;$A81&amp;"*")-COUNTIFS(업무일지!$F$5:$F$1004,$B$69,업무일지!$J$5:$J$1004,$A81))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IF($A82="","",COUNTIFS(업무일지!$F$5:$F$1004,$B$69,업무일지!$J$5:$J$1004,$A82))</f>
        <v/>
      </c>
      <c r="C82" s="24">
        <f>IF($A82="","",COUNTIFS(업무일지!$F$5:$F$1004,$B$69,업무일지!$AA$5:$AA$1004,"*"&amp;$A82&amp;"*")-COUNTIFS(업무일지!$F$5:$F$1004,$B$69,업무일지!$J$5:$J$1004,$A82))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IF($A83="","",COUNTIFS(업무일지!$F$5:$F$1004,$B$69,업무일지!$J$5:$J$1004,$A83))</f>
        <v/>
      </c>
      <c r="C83" s="24">
        <f>IF($A83="","",COUNTIFS(업무일지!$F$5:$F$1004,$B$69,업무일지!$AA$5:$AA$1004,"*"&amp;$A83&amp;"*")-COUNTIFS(업무일지!$F$5:$F$1004,$B$69,업무일지!$J$5:$J$1004,$A83))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IF($A84="","",COUNTIFS(업무일지!$F$5:$F$1004,$B$69,업무일지!$J$5:$J$1004,$A84))</f>
        <v/>
      </c>
      <c r="C84" s="24">
        <f>IF($A84="","",COUNTIFS(업무일지!$F$5:$F$1004,$B$69,업무일지!$AA$5:$AA$1004,"*"&amp;$A84&amp;"*")-COUNTIFS(업무일지!$F$5:$F$1004,$B$69,업무일지!$J$5:$J$1004,$A84))</f>
        <v/>
      </c>
      <c r="D84" s="43">
        <f>IF($A84="","",B84+C84)</f>
        <v/>
      </c>
      <c r="F84" s="48">
        <f>IF(코드설정!$B18="","",코드설정!$B18)</f>
        <v/>
      </c>
      <c r="G84" s="24">
        <f>IF($F84="","",COUNTIFS(업무일지!$F$5:$F$1004,$B$69,업무일지!$E$5:$E$1004,$F84))</f>
        <v/>
      </c>
    </row>
    <row r="85">
      <c r="A85" s="55">
        <f>IF(코드설정!$C19="","",코드설정!$C19)</f>
        <v/>
      </c>
      <c r="B85" s="24">
        <f>IF($A85="","",COUNTIFS(업무일지!$F$5:$F$1004,$B$69,업무일지!$J$5:$J$1004,$A85))</f>
        <v/>
      </c>
      <c r="C85" s="24">
        <f>IF($A85="","",COUNTIFS(업무일지!$F$5:$F$1004,$B$69,업무일지!$AA$5:$AA$1004,"*"&amp;$A85&amp;"*")-COUNTIFS(업무일지!$F$5:$F$1004,$B$69,업무일지!$J$5:$J$1004,$A85))</f>
        <v/>
      </c>
      <c r="D85" s="43">
        <f>IF($A85="","",B85+C85)</f>
        <v/>
      </c>
      <c r="F85" s="48">
        <f>IF(코드설정!$B19="","",코드설정!$B19)</f>
        <v/>
      </c>
      <c r="G85" s="24">
        <f>IF($F85="","",COUNTIFS(업무일지!$F$5:$F$1004,$B$69,업무일지!$E$5:$E$1004,$F85))</f>
        <v/>
      </c>
    </row>
    <row r="86">
      <c r="A86" s="55">
        <f>IF(코드설정!$C20="","",코드설정!$C20)</f>
        <v/>
      </c>
      <c r="B86" s="24">
        <f>IF($A86="","",COUNTIFS(업무일지!$F$5:$F$1004,$B$69,업무일지!$J$5:$J$1004,$A86))</f>
        <v/>
      </c>
      <c r="C86" s="24">
        <f>IF($A86="","",COUNTIFS(업무일지!$F$5:$F$1004,$B$69,업무일지!$AA$5:$AA$1004,"*"&amp;$A86&amp;"*")-COUNTIFS(업무일지!$F$5:$F$1004,$B$69,업무일지!$J$5:$J$1004,$A86))</f>
        <v/>
      </c>
      <c r="D86" s="43">
        <f>IF($A86="","",B86+C86)</f>
        <v/>
      </c>
      <c r="F86" s="48">
        <f>IF(코드설정!$B20="","",코드설정!$B20)</f>
        <v/>
      </c>
      <c r="G86" s="24">
        <f>IF($F86="","",COUNTIFS(업무일지!$F$5:$F$1004,$B$69,업무일지!$E$5:$E$1004,$F86))</f>
        <v/>
      </c>
    </row>
    <row r="87">
      <c r="A87" s="55">
        <f>IF(코드설정!$C21="","",코드설정!$C21)</f>
        <v/>
      </c>
      <c r="B87" s="24">
        <f>IF($A87="","",COUNTIFS(업무일지!$F$5:$F$1004,$B$69,업무일지!$J$5:$J$1004,$A87))</f>
        <v/>
      </c>
      <c r="C87" s="24">
        <f>IF($A87="","",COUNTIFS(업무일지!$F$5:$F$1004,$B$69,업무일지!$AA$5:$AA$1004,"*"&amp;$A87&amp;"*")-COUNTIFS(업무일지!$F$5:$F$1004,$B$69,업무일지!$J$5:$J$1004,$A87))</f>
        <v/>
      </c>
      <c r="D87" s="43">
        <f>IF($A87="","",B87+C87)</f>
        <v/>
      </c>
      <c r="F87" s="48">
        <f>IF(코드설정!$B21="","",코드설정!$B21)</f>
        <v/>
      </c>
      <c r="G87" s="24">
        <f>IF($F87="","",COUNTIFS(업무일지!$F$5:$F$1004,$B$69,업무일지!$E$5:$E$1004,$F87))</f>
        <v/>
      </c>
    </row>
    <row r="88">
      <c r="A88" s="55">
        <f>IF(코드설정!$C22="","",코드설정!$C22)</f>
        <v/>
      </c>
      <c r="B88" s="24">
        <f>IF($A88="","",COUNTIFS(업무일지!$F$5:$F$1004,$B$69,업무일지!$J$5:$J$1004,$A88))</f>
        <v/>
      </c>
      <c r="C88" s="24">
        <f>IF($A88="","",COUNTIFS(업무일지!$F$5:$F$1004,$B$69,업무일지!$AA$5:$AA$1004,"*"&amp;$A88&amp;"*")-COUNTIFS(업무일지!$F$5:$F$1004,$B$69,업무일지!$J$5:$J$1004,$A88))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IF($A89="","",COUNTIFS(업무일지!$F$5:$F$1004,$B$69,업무일지!$J$5:$J$1004,$A89))</f>
        <v/>
      </c>
      <c r="C89" s="24">
        <f>IF($A89="","",COUNTIFS(업무일지!$F$5:$F$1004,$B$69,업무일지!$AA$5:$AA$1004,"*"&amp;$A89&amp;"*")-COUNTIFS(업무일지!$F$5:$F$1004,$B$69,업무일지!$J$5:$J$1004,$A89))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IF($A90="","",COUNTIFS(업무일지!$F$5:$F$1004,$B$69,업무일지!$J$5:$J$1004,$A90))</f>
        <v/>
      </c>
      <c r="C90" s="24">
        <f>IF($A90="","",COUNTIFS(업무일지!$F$5:$F$1004,$B$69,업무일지!$AA$5:$AA$1004,"*"&amp;$A90&amp;"*")-COUNTIFS(업무일지!$F$5:$F$1004,$B$69,업무일지!$J$5:$J$1004,$A90))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교육 회차</t>
        </is>
      </c>
      <c r="H6" s="23" t="inlineStr">
        <is>
          <t>총 참여회차</t>
        </is>
      </c>
      <c r="I6" s="23" t="inlineStr">
        <is>
          <t>출장 소요일수</t>
        </is>
      </c>
      <c r="J6" s="23" t="inlineStr">
        <is>
          <t>일일실시 건수</t>
        </is>
      </c>
      <c r="K6" s="23" t="inlineStr">
        <is>
          <t>진행중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IF($A7="","",COUNTIFS(업무일지!$B$5:$B$1004,"&gt;="&amp;DATE($B$3,1,1),업무일지!$B$5:$B$1004,"&lt;"&amp;DATE($B$3+1,1,1),업무일지!$J$5:$J$1004,$A7,업무일지!$D$5:$D$1004,"출장"))</f>
        <v/>
      </c>
      <c r="D7" s="24">
        <f>IF($A7="","",COUNTIFS(업무일지!$B$5:$B$1004,"&gt;="&amp;DATE($B$3,1,1),업무일지!$B$5:$B$1004,"&lt;"&amp;DATE($B$3+1,1,1),업무일지!$AA$5:$AA$1004,"*"&amp;$A7&amp;"*",업무일지!$D$5:$D$1004,"출장")-C7)</f>
        <v/>
      </c>
      <c r="E7" s="24">
        <f>IF($A7="","",COUNTIFS(업무일지!$B$5:$B$1004,"&gt;="&amp;DATE($B$3,1,1),업무일지!$B$5:$B$1004,"&lt;"&amp;DATE($B$3+1,1,1),업무일지!$J$5:$J$1004,$A7,업무일지!$D$5:$D$1004,"분석"))</f>
        <v/>
      </c>
      <c r="F7" s="24">
        <f>IF($A7="","",COUNTIFS(업무일지!$B$5:$B$1004,"&gt;="&amp;DATE($B$3,1,1),업무일지!$B$5:$B$1004,"&lt;"&amp;DATE($B$3+1,1,1),업무일지!$AA$5:$AA$1004,"*"&amp;$A7&amp;"*",업무일지!$D$5:$D$1004,"분석")-E7)</f>
        <v/>
      </c>
      <c r="G7" s="24">
        <f>IF($A7="","",COUNTIFS(업무일지!$B$5:$B$1004,"&gt;="&amp;DATE($B$3,1,1),업무일지!$B$5:$B$1004,"&lt;"&amp;DATE($B$3+1,1,1),업무일지!$AA$5:$AA$1004,"*"&amp;$A7&amp;"*",업무일지!$D$5:$D$1004,"교육"))</f>
        <v/>
      </c>
      <c r="H7" s="43">
        <f>IF($A7="","",C7+D7+E7+F7+G7)</f>
        <v/>
      </c>
      <c r="I7" s="24">
        <f>IF($A7="","",SUMIFS(업무일지!$AF$5:$AF$1004,업무일지!$B$5:$B$1004,"&gt;="&amp;DATE($B$3,1,1),업무일지!$B$5:$B$1004,"&lt;"&amp;DATE($B$3+1,1,1),업무일지!$AA$5:$AA$1004,"*"&amp;$A7&amp;"*",업무일지!$D$5:$D$1004,"출장"))</f>
        <v/>
      </c>
      <c r="J7" s="24">
        <f>IF($A7="","",COUNTIFS(일일실시사항!$B$5:$B$1004,"&gt;="&amp;DATE($B$3,1,1),일일실시사항!$B$5:$B$1004,"&lt;"&amp;DATE($B$3+1,1,1),일일실시사항!$D$5:$D$1004,$A7))</f>
        <v/>
      </c>
      <c r="K7" s="24">
        <f>IF($A7="","",COUNTIFS(업무일지!$B$5:$B$1004,"&gt;="&amp;DATE($B$3,1,1),업무일지!$B$5:$B$1004,"&lt;"&amp;DATE($B$3+1,1,1),업무일지!$AA$5:$AA$1004,"*"&amp;$A7&amp;"*",업무일지!$AG$5:$AG$1004,"진행중"))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IF($A8="","",COUNTIFS(업무일지!$B$5:$B$1004,"&gt;="&amp;DATE($B$3,1,1),업무일지!$B$5:$B$1004,"&lt;"&amp;DATE($B$3+1,1,1),업무일지!$J$5:$J$1004,$A8,업무일지!$D$5:$D$1004,"출장"))</f>
        <v/>
      </c>
      <c r="D8" s="24">
        <f>IF($A8="","",COUNTIFS(업무일지!$B$5:$B$1004,"&gt;="&amp;DATE($B$3,1,1),업무일지!$B$5:$B$1004,"&lt;"&amp;DATE($B$3+1,1,1),업무일지!$AA$5:$AA$1004,"*"&amp;$A8&amp;"*",업무일지!$D$5:$D$1004,"출장")-C8)</f>
        <v/>
      </c>
      <c r="E8" s="24">
        <f>IF($A8="","",COUNTIFS(업무일지!$B$5:$B$1004,"&gt;="&amp;DATE($B$3,1,1),업무일지!$B$5:$B$1004,"&lt;"&amp;DATE($B$3+1,1,1),업무일지!$J$5:$J$1004,$A8,업무일지!$D$5:$D$1004,"분석"))</f>
        <v/>
      </c>
      <c r="F8" s="24">
        <f>IF($A8="","",COUNTIFS(업무일지!$B$5:$B$1004,"&gt;="&amp;DATE($B$3,1,1),업무일지!$B$5:$B$1004,"&lt;"&amp;DATE($B$3+1,1,1),업무일지!$AA$5:$AA$1004,"*"&amp;$A8&amp;"*",업무일지!$D$5:$D$1004,"분석")-E8)</f>
        <v/>
      </c>
      <c r="G8" s="24">
        <f>IF($A8="","",COUNTIFS(업무일지!$B$5:$B$1004,"&gt;="&amp;DATE($B$3,1,1),업무일지!$B$5:$B$1004,"&lt;"&amp;DATE($B$3+1,1,1),업무일지!$AA$5:$AA$1004,"*"&amp;$A8&amp;"*",업무일지!$D$5:$D$1004,"교육"))</f>
        <v/>
      </c>
      <c r="H8" s="43">
        <f>IF($A8="","",C8+D8+E8+F8+G8)</f>
        <v/>
      </c>
      <c r="I8" s="24">
        <f>IF($A8="","",SUMIFS(업무일지!$AF$5:$AF$1004,업무일지!$B$5:$B$1004,"&gt;="&amp;DATE($B$3,1,1),업무일지!$B$5:$B$1004,"&lt;"&amp;DATE($B$3+1,1,1),업무일지!$AA$5:$AA$1004,"*"&amp;$A8&amp;"*",업무일지!$D$5:$D$1004,"출장"))</f>
        <v/>
      </c>
      <c r="J8" s="24">
        <f>IF($A8="","",COUNTIFS(일일실시사항!$B$5:$B$1004,"&gt;="&amp;DATE($B$3,1,1),일일실시사항!$B$5:$B$1004,"&lt;"&amp;DATE($B$3+1,1,1),일일실시사항!$D$5:$D$1004,$A8))</f>
        <v/>
      </c>
      <c r="K8" s="24">
        <f>IF($A8="","",COUNTIFS(업무일지!$B$5:$B$1004,"&gt;="&amp;DATE($B$3,1,1),업무일지!$B$5:$B$1004,"&lt;"&amp;DATE($B$3+1,1,1),업무일지!$AA$5:$AA$1004,"*"&amp;$A8&amp;"*",업무일지!$AG$5:$AG$1004,"진행중"))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IF($A9="","",COUNTIFS(업무일지!$B$5:$B$1004,"&gt;="&amp;DATE($B$3,1,1),업무일지!$B$5:$B$1004,"&lt;"&amp;DATE($B$3+1,1,1),업무일지!$J$5:$J$1004,$A9,업무일지!$D$5:$D$1004,"출장"))</f>
        <v/>
      </c>
      <c r="D9" s="24">
        <f>IF($A9="","",COUNTIFS(업무일지!$B$5:$B$1004,"&gt;="&amp;DATE($B$3,1,1),업무일지!$B$5:$B$1004,"&lt;"&amp;DATE($B$3+1,1,1),업무일지!$AA$5:$AA$1004,"*"&amp;$A9&amp;"*",업무일지!$D$5:$D$1004,"출장")-C9)</f>
        <v/>
      </c>
      <c r="E9" s="24">
        <f>IF($A9="","",COUNTIFS(업무일지!$B$5:$B$1004,"&gt;="&amp;DATE($B$3,1,1),업무일지!$B$5:$B$1004,"&lt;"&amp;DATE($B$3+1,1,1),업무일지!$J$5:$J$1004,$A9,업무일지!$D$5:$D$1004,"분석"))</f>
        <v/>
      </c>
      <c r="F9" s="24">
        <f>IF($A9="","",COUNTIFS(업무일지!$B$5:$B$1004,"&gt;="&amp;DATE($B$3,1,1),업무일지!$B$5:$B$1004,"&lt;"&amp;DATE($B$3+1,1,1),업무일지!$AA$5:$AA$1004,"*"&amp;$A9&amp;"*",업무일지!$D$5:$D$1004,"분석")-E9)</f>
        <v/>
      </c>
      <c r="G9" s="24">
        <f>IF($A9="","",COUNTIFS(업무일지!$B$5:$B$1004,"&gt;="&amp;DATE($B$3,1,1),업무일지!$B$5:$B$1004,"&lt;"&amp;DATE($B$3+1,1,1),업무일지!$AA$5:$AA$1004,"*"&amp;$A9&amp;"*",업무일지!$D$5:$D$1004,"교육"))</f>
        <v/>
      </c>
      <c r="H9" s="43">
        <f>IF($A9="","",C9+D9+E9+F9+G9)</f>
        <v/>
      </c>
      <c r="I9" s="24">
        <f>IF($A9="","",SUMIFS(업무일지!$AF$5:$AF$1004,업무일지!$B$5:$B$1004,"&gt;="&amp;DATE($B$3,1,1),업무일지!$B$5:$B$1004,"&lt;"&amp;DATE($B$3+1,1,1),업무일지!$AA$5:$AA$1004,"*"&amp;$A9&amp;"*",업무일지!$D$5:$D$1004,"출장"))</f>
        <v/>
      </c>
      <c r="J9" s="24">
        <f>IF($A9="","",COUNTIFS(일일실시사항!$B$5:$B$1004,"&gt;="&amp;DATE($B$3,1,1),일일실시사항!$B$5:$B$1004,"&lt;"&amp;DATE($B$3+1,1,1),일일실시사항!$D$5:$D$1004,$A9))</f>
        <v/>
      </c>
      <c r="K9" s="24">
        <f>IF($A9="","",COUNTIFS(업무일지!$B$5:$B$1004,"&gt;="&amp;DATE($B$3,1,1),업무일지!$B$5:$B$1004,"&lt;"&amp;DATE($B$3+1,1,1),업무일지!$AA$5:$AA$1004,"*"&amp;$A9&amp;"*",업무일지!$AG$5:$AG$1004,"진행중"))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IF($A10="","",COUNTIFS(업무일지!$B$5:$B$1004,"&gt;="&amp;DATE($B$3,1,1),업무일지!$B$5:$B$1004,"&lt;"&amp;DATE($B$3+1,1,1),업무일지!$J$5:$J$1004,$A10,업무일지!$D$5:$D$1004,"출장"))</f>
        <v/>
      </c>
      <c r="D10" s="24">
        <f>IF($A10="","",COUNTIFS(업무일지!$B$5:$B$1004,"&gt;="&amp;DATE($B$3,1,1),업무일지!$B$5:$B$1004,"&lt;"&amp;DATE($B$3+1,1,1),업무일지!$AA$5:$AA$1004,"*"&amp;$A10&amp;"*",업무일지!$D$5:$D$1004,"출장")-C10)</f>
        <v/>
      </c>
      <c r="E10" s="24">
        <f>IF($A10="","",COUNTIFS(업무일지!$B$5:$B$1004,"&gt;="&amp;DATE($B$3,1,1),업무일지!$B$5:$B$1004,"&lt;"&amp;DATE($B$3+1,1,1),업무일지!$J$5:$J$1004,$A10,업무일지!$D$5:$D$1004,"분석"))</f>
        <v/>
      </c>
      <c r="F10" s="24">
        <f>IF($A10="","",COUNTIFS(업무일지!$B$5:$B$1004,"&gt;="&amp;DATE($B$3,1,1),업무일지!$B$5:$B$1004,"&lt;"&amp;DATE($B$3+1,1,1),업무일지!$AA$5:$AA$1004,"*"&amp;$A10&amp;"*",업무일지!$D$5:$D$1004,"분석")-E10)</f>
        <v/>
      </c>
      <c r="G10" s="24">
        <f>IF($A10="","",COUNTIFS(업무일지!$B$5:$B$1004,"&gt;="&amp;DATE($B$3,1,1),업무일지!$B$5:$B$1004,"&lt;"&amp;DATE($B$3+1,1,1),업무일지!$AA$5:$AA$1004,"*"&amp;$A10&amp;"*",업무일지!$D$5:$D$1004,"교육"))</f>
        <v/>
      </c>
      <c r="H10" s="43">
        <f>IF($A10="","",C10+D10+E10+F10+G10)</f>
        <v/>
      </c>
      <c r="I10" s="24">
        <f>IF($A10="","",SUMIFS(업무일지!$AF$5:$AF$1004,업무일지!$B$5:$B$1004,"&gt;="&amp;DATE($B$3,1,1),업무일지!$B$5:$B$1004,"&lt;"&amp;DATE($B$3+1,1,1),업무일지!$AA$5:$AA$1004,"*"&amp;$A10&amp;"*",업무일지!$D$5:$D$1004,"출장"))</f>
        <v/>
      </c>
      <c r="J10" s="24">
        <f>IF($A10="","",COUNTIFS(일일실시사항!$B$5:$B$1004,"&gt;="&amp;DATE($B$3,1,1),일일실시사항!$B$5:$B$1004,"&lt;"&amp;DATE($B$3+1,1,1),일일실시사항!$D$5:$D$1004,$A10))</f>
        <v/>
      </c>
      <c r="K10" s="24">
        <f>IF($A10="","",COUNTIFS(업무일지!$B$5:$B$1004,"&gt;="&amp;DATE($B$3,1,1),업무일지!$B$5:$B$1004,"&lt;"&amp;DATE($B$3+1,1,1),업무일지!$AA$5:$AA$1004,"*"&amp;$A10&amp;"*",업무일지!$AG$5:$AG$1004,"진행중"))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IF($A11="","",COUNTIFS(업무일지!$B$5:$B$1004,"&gt;="&amp;DATE($B$3,1,1),업무일지!$B$5:$B$1004,"&lt;"&amp;DATE($B$3+1,1,1),업무일지!$J$5:$J$1004,$A11,업무일지!$D$5:$D$1004,"출장"))</f>
        <v/>
      </c>
      <c r="D11" s="24">
        <f>IF($A11="","",COUNTIFS(업무일지!$B$5:$B$1004,"&gt;="&amp;DATE($B$3,1,1),업무일지!$B$5:$B$1004,"&lt;"&amp;DATE($B$3+1,1,1),업무일지!$AA$5:$AA$1004,"*"&amp;$A11&amp;"*",업무일지!$D$5:$D$1004,"출장")-C11)</f>
        <v/>
      </c>
      <c r="E11" s="24">
        <f>IF($A11="","",COUNTIFS(업무일지!$B$5:$B$1004,"&gt;="&amp;DATE($B$3,1,1),업무일지!$B$5:$B$1004,"&lt;"&amp;DATE($B$3+1,1,1),업무일지!$J$5:$J$1004,$A11,업무일지!$D$5:$D$1004,"분석"))</f>
        <v/>
      </c>
      <c r="F11" s="24">
        <f>IF($A11="","",COUNTIFS(업무일지!$B$5:$B$1004,"&gt;="&amp;DATE($B$3,1,1),업무일지!$B$5:$B$1004,"&lt;"&amp;DATE($B$3+1,1,1),업무일지!$AA$5:$AA$1004,"*"&amp;$A11&amp;"*",업무일지!$D$5:$D$1004,"분석")-E11)</f>
        <v/>
      </c>
      <c r="G11" s="24">
        <f>IF($A11="","",COUNTIFS(업무일지!$B$5:$B$1004,"&gt;="&amp;DATE($B$3,1,1),업무일지!$B$5:$B$1004,"&lt;"&amp;DATE($B$3+1,1,1),업무일지!$AA$5:$AA$1004,"*"&amp;$A11&amp;"*",업무일지!$D$5:$D$1004,"교육"))</f>
        <v/>
      </c>
      <c r="H11" s="43">
        <f>IF($A11="","",C11+D11+E11+F11+G11)</f>
        <v/>
      </c>
      <c r="I11" s="24">
        <f>IF($A11="","",SUMIFS(업무일지!$AF$5:$AF$1004,업무일지!$B$5:$B$1004,"&gt;="&amp;DATE($B$3,1,1),업무일지!$B$5:$B$1004,"&lt;"&amp;DATE($B$3+1,1,1),업무일지!$AA$5:$AA$1004,"*"&amp;$A11&amp;"*",업무일지!$D$5:$D$1004,"출장"))</f>
        <v/>
      </c>
      <c r="J11" s="24">
        <f>IF($A11="","",COUNTIFS(일일실시사항!$B$5:$B$1004,"&gt;="&amp;DATE($B$3,1,1),일일실시사항!$B$5:$B$1004,"&lt;"&amp;DATE($B$3+1,1,1),일일실시사항!$D$5:$D$1004,$A11))</f>
        <v/>
      </c>
      <c r="K11" s="24">
        <f>IF($A11="","",COUNTIFS(업무일지!$B$5:$B$1004,"&gt;="&amp;DATE($B$3,1,1),업무일지!$B$5:$B$1004,"&lt;"&amp;DATE($B$3+1,1,1),업무일지!$AA$5:$AA$1004,"*"&amp;$A11&amp;"*",업무일지!$AG$5:$AG$1004,"진행중"))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IF($A12="","",COUNTIFS(업무일지!$B$5:$B$1004,"&gt;="&amp;DATE($B$3,1,1),업무일지!$B$5:$B$1004,"&lt;"&amp;DATE($B$3+1,1,1),업무일지!$J$5:$J$1004,$A12,업무일지!$D$5:$D$1004,"출장"))</f>
        <v/>
      </c>
      <c r="D12" s="24">
        <f>IF($A12="","",COUNTIFS(업무일지!$B$5:$B$1004,"&gt;="&amp;DATE($B$3,1,1),업무일지!$B$5:$B$1004,"&lt;"&amp;DATE($B$3+1,1,1),업무일지!$AA$5:$AA$1004,"*"&amp;$A12&amp;"*",업무일지!$D$5:$D$1004,"출장")-C12)</f>
        <v/>
      </c>
      <c r="E12" s="24">
        <f>IF($A12="","",COUNTIFS(업무일지!$B$5:$B$1004,"&gt;="&amp;DATE($B$3,1,1),업무일지!$B$5:$B$1004,"&lt;"&amp;DATE($B$3+1,1,1),업무일지!$J$5:$J$1004,$A12,업무일지!$D$5:$D$1004,"분석"))</f>
        <v/>
      </c>
      <c r="F12" s="24">
        <f>IF($A12="","",COUNTIFS(업무일지!$B$5:$B$1004,"&gt;="&amp;DATE($B$3,1,1),업무일지!$B$5:$B$1004,"&lt;"&amp;DATE($B$3+1,1,1),업무일지!$AA$5:$AA$1004,"*"&amp;$A12&amp;"*",업무일지!$D$5:$D$1004,"분석")-E12)</f>
        <v/>
      </c>
      <c r="G12" s="24">
        <f>IF($A12="","",COUNTIFS(업무일지!$B$5:$B$1004,"&gt;="&amp;DATE($B$3,1,1),업무일지!$B$5:$B$1004,"&lt;"&amp;DATE($B$3+1,1,1),업무일지!$AA$5:$AA$1004,"*"&amp;$A12&amp;"*",업무일지!$D$5:$D$1004,"교육"))</f>
        <v/>
      </c>
      <c r="H12" s="43">
        <f>IF($A12="","",C12+D12+E12+F12+G12)</f>
        <v/>
      </c>
      <c r="I12" s="24">
        <f>IF($A12="","",SUMIFS(업무일지!$AF$5:$AF$1004,업무일지!$B$5:$B$1004,"&gt;="&amp;DATE($B$3,1,1),업무일지!$B$5:$B$1004,"&lt;"&amp;DATE($B$3+1,1,1),업무일지!$AA$5:$AA$1004,"*"&amp;$A12&amp;"*",업무일지!$D$5:$D$1004,"출장"))</f>
        <v/>
      </c>
      <c r="J12" s="24">
        <f>IF($A12="","",COUNTIFS(일일실시사항!$B$5:$B$1004,"&gt;="&amp;DATE($B$3,1,1),일일실시사항!$B$5:$B$1004,"&lt;"&amp;DATE($B$3+1,1,1),일일실시사항!$D$5:$D$1004,$A12))</f>
        <v/>
      </c>
      <c r="K12" s="24">
        <f>IF($A12="","",COUNTIFS(업무일지!$B$5:$B$1004,"&gt;="&amp;DATE($B$3,1,1),업무일지!$B$5:$B$1004,"&lt;"&amp;DATE($B$3+1,1,1),업무일지!$AA$5:$AA$1004,"*"&amp;$A12&amp;"*",업무일지!$AG$5:$AG$1004,"진행중"))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IF($A13="","",COUNTIFS(업무일지!$B$5:$B$1004,"&gt;="&amp;DATE($B$3,1,1),업무일지!$B$5:$B$1004,"&lt;"&amp;DATE($B$3+1,1,1),업무일지!$J$5:$J$1004,$A13,업무일지!$D$5:$D$1004,"출장"))</f>
        <v/>
      </c>
      <c r="D13" s="24">
        <f>IF($A13="","",COUNTIFS(업무일지!$B$5:$B$1004,"&gt;="&amp;DATE($B$3,1,1),업무일지!$B$5:$B$1004,"&lt;"&amp;DATE($B$3+1,1,1),업무일지!$AA$5:$AA$1004,"*"&amp;$A13&amp;"*",업무일지!$D$5:$D$1004,"출장")-C13)</f>
        <v/>
      </c>
      <c r="E13" s="24">
        <f>IF($A13="","",COUNTIFS(업무일지!$B$5:$B$1004,"&gt;="&amp;DATE($B$3,1,1),업무일지!$B$5:$B$1004,"&lt;"&amp;DATE($B$3+1,1,1),업무일지!$J$5:$J$1004,$A13,업무일지!$D$5:$D$1004,"분석"))</f>
        <v/>
      </c>
      <c r="F13" s="24">
        <f>IF($A13="","",COUNTIFS(업무일지!$B$5:$B$1004,"&gt;="&amp;DATE($B$3,1,1),업무일지!$B$5:$B$1004,"&lt;"&amp;DATE($B$3+1,1,1),업무일지!$AA$5:$AA$1004,"*"&amp;$A13&amp;"*",업무일지!$D$5:$D$1004,"분석")-E13)</f>
        <v/>
      </c>
      <c r="G13" s="24">
        <f>IF($A13="","",COUNTIFS(업무일지!$B$5:$B$1004,"&gt;="&amp;DATE($B$3,1,1),업무일지!$B$5:$B$1004,"&lt;"&amp;DATE($B$3+1,1,1),업무일지!$AA$5:$AA$1004,"*"&amp;$A13&amp;"*",업무일지!$D$5:$D$1004,"교육"))</f>
        <v/>
      </c>
      <c r="H13" s="43">
        <f>IF($A13="","",C13+D13+E13+F13+G13)</f>
        <v/>
      </c>
      <c r="I13" s="24">
        <f>IF($A13="","",SUMIFS(업무일지!$AF$5:$AF$1004,업무일지!$B$5:$B$1004,"&gt;="&amp;DATE($B$3,1,1),업무일지!$B$5:$B$1004,"&lt;"&amp;DATE($B$3+1,1,1),업무일지!$AA$5:$AA$1004,"*"&amp;$A13&amp;"*",업무일지!$D$5:$D$1004,"출장"))</f>
        <v/>
      </c>
      <c r="J13" s="24">
        <f>IF($A13="","",COUNTIFS(일일실시사항!$B$5:$B$1004,"&gt;="&amp;DATE($B$3,1,1),일일실시사항!$B$5:$B$1004,"&lt;"&amp;DATE($B$3+1,1,1),일일실시사항!$D$5:$D$1004,$A13))</f>
        <v/>
      </c>
      <c r="K13" s="24">
        <f>IF($A13="","",COUNTIFS(업무일지!$B$5:$B$1004,"&gt;="&amp;DATE($B$3,1,1),업무일지!$B$5:$B$1004,"&lt;"&amp;DATE($B$3+1,1,1),업무일지!$AA$5:$AA$1004,"*"&amp;$A13&amp;"*",업무일지!$AG$5:$AG$1004,"진행중"))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IF($A14="","",COUNTIFS(업무일지!$B$5:$B$1004,"&gt;="&amp;DATE($B$3,1,1),업무일지!$B$5:$B$1004,"&lt;"&amp;DATE($B$3+1,1,1),업무일지!$J$5:$J$1004,$A14,업무일지!$D$5:$D$1004,"출장"))</f>
        <v/>
      </c>
      <c r="D14" s="24">
        <f>IF($A14="","",COUNTIFS(업무일지!$B$5:$B$1004,"&gt;="&amp;DATE($B$3,1,1),업무일지!$B$5:$B$1004,"&lt;"&amp;DATE($B$3+1,1,1),업무일지!$AA$5:$AA$1004,"*"&amp;$A14&amp;"*",업무일지!$D$5:$D$1004,"출장")-C14)</f>
        <v/>
      </c>
      <c r="E14" s="24">
        <f>IF($A14="","",COUNTIFS(업무일지!$B$5:$B$1004,"&gt;="&amp;DATE($B$3,1,1),업무일지!$B$5:$B$1004,"&lt;"&amp;DATE($B$3+1,1,1),업무일지!$J$5:$J$1004,$A14,업무일지!$D$5:$D$1004,"분석"))</f>
        <v/>
      </c>
      <c r="F14" s="24">
        <f>IF($A14="","",COUNTIFS(업무일지!$B$5:$B$1004,"&gt;="&amp;DATE($B$3,1,1),업무일지!$B$5:$B$1004,"&lt;"&amp;DATE($B$3+1,1,1),업무일지!$AA$5:$AA$1004,"*"&amp;$A14&amp;"*",업무일지!$D$5:$D$1004,"분석")-E14)</f>
        <v/>
      </c>
      <c r="G14" s="24">
        <f>IF($A14="","",COUNTIFS(업무일지!$B$5:$B$1004,"&gt;="&amp;DATE($B$3,1,1),업무일지!$B$5:$B$1004,"&lt;"&amp;DATE($B$3+1,1,1),업무일지!$AA$5:$AA$1004,"*"&amp;$A14&amp;"*",업무일지!$D$5:$D$1004,"교육"))</f>
        <v/>
      </c>
      <c r="H14" s="43">
        <f>IF($A14="","",C14+D14+E14+F14+G14)</f>
        <v/>
      </c>
      <c r="I14" s="24">
        <f>IF($A14="","",SUMIFS(업무일지!$AF$5:$AF$1004,업무일지!$B$5:$B$1004,"&gt;="&amp;DATE($B$3,1,1),업무일지!$B$5:$B$1004,"&lt;"&amp;DATE($B$3+1,1,1),업무일지!$AA$5:$AA$1004,"*"&amp;$A14&amp;"*",업무일지!$D$5:$D$1004,"출장"))</f>
        <v/>
      </c>
      <c r="J14" s="24">
        <f>IF($A14="","",COUNTIFS(일일실시사항!$B$5:$B$1004,"&gt;="&amp;DATE($B$3,1,1),일일실시사항!$B$5:$B$1004,"&lt;"&amp;DATE($B$3+1,1,1),일일실시사항!$D$5:$D$1004,$A14))</f>
        <v/>
      </c>
      <c r="K14" s="24">
        <f>IF($A14="","",COUNTIFS(업무일지!$B$5:$B$1004,"&gt;="&amp;DATE($B$3,1,1),업무일지!$B$5:$B$1004,"&lt;"&amp;DATE($B$3+1,1,1),업무일지!$AA$5:$AA$1004,"*"&amp;$A14&amp;"*",업무일지!$AG$5:$AG$1004,"진행중"))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IF($A15="","",COUNTIFS(업무일지!$B$5:$B$1004,"&gt;="&amp;DATE($B$3,1,1),업무일지!$B$5:$B$1004,"&lt;"&amp;DATE($B$3+1,1,1),업무일지!$J$5:$J$1004,$A15,업무일지!$D$5:$D$1004,"출장"))</f>
        <v/>
      </c>
      <c r="D15" s="24">
        <f>IF($A15="","",COUNTIFS(업무일지!$B$5:$B$1004,"&gt;="&amp;DATE($B$3,1,1),업무일지!$B$5:$B$1004,"&lt;"&amp;DATE($B$3+1,1,1),업무일지!$AA$5:$AA$1004,"*"&amp;$A15&amp;"*",업무일지!$D$5:$D$1004,"출장")-C15)</f>
        <v/>
      </c>
      <c r="E15" s="24">
        <f>IF($A15="","",COUNTIFS(업무일지!$B$5:$B$1004,"&gt;="&amp;DATE($B$3,1,1),업무일지!$B$5:$B$1004,"&lt;"&amp;DATE($B$3+1,1,1),업무일지!$J$5:$J$1004,$A15,업무일지!$D$5:$D$1004,"분석"))</f>
        <v/>
      </c>
      <c r="F15" s="24">
        <f>IF($A15="","",COUNTIFS(업무일지!$B$5:$B$1004,"&gt;="&amp;DATE($B$3,1,1),업무일지!$B$5:$B$1004,"&lt;"&amp;DATE($B$3+1,1,1),업무일지!$AA$5:$AA$1004,"*"&amp;$A15&amp;"*",업무일지!$D$5:$D$1004,"분석")-E15)</f>
        <v/>
      </c>
      <c r="G15" s="24">
        <f>IF($A15="","",COUNTIFS(업무일지!$B$5:$B$1004,"&gt;="&amp;DATE($B$3,1,1),업무일지!$B$5:$B$1004,"&lt;"&amp;DATE($B$3+1,1,1),업무일지!$AA$5:$AA$1004,"*"&amp;$A15&amp;"*",업무일지!$D$5:$D$1004,"교육"))</f>
        <v/>
      </c>
      <c r="H15" s="43">
        <f>IF($A15="","",C15+D15+E15+F15+G15)</f>
        <v/>
      </c>
      <c r="I15" s="24">
        <f>IF($A15="","",SUMIFS(업무일지!$AF$5:$AF$1004,업무일지!$B$5:$B$1004,"&gt;="&amp;DATE($B$3,1,1),업무일지!$B$5:$B$1004,"&lt;"&amp;DATE($B$3+1,1,1),업무일지!$AA$5:$AA$1004,"*"&amp;$A15&amp;"*",업무일지!$D$5:$D$1004,"출장"))</f>
        <v/>
      </c>
      <c r="J15" s="24">
        <f>IF($A15="","",COUNTIFS(일일실시사항!$B$5:$B$1004,"&gt;="&amp;DATE($B$3,1,1),일일실시사항!$B$5:$B$1004,"&lt;"&amp;DATE($B$3+1,1,1),일일실시사항!$D$5:$D$1004,$A15))</f>
        <v/>
      </c>
      <c r="K15" s="24">
        <f>IF($A15="","",COUNTIFS(업무일지!$B$5:$B$1004,"&gt;="&amp;DATE($B$3,1,1),업무일지!$B$5:$B$1004,"&lt;"&amp;DATE($B$3+1,1,1),업무일지!$AA$5:$AA$1004,"*"&amp;$A15&amp;"*",업무일지!$AG$5:$AG$1004,"진행중"))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IF($A16="","",COUNTIFS(업무일지!$B$5:$B$1004,"&gt;="&amp;DATE($B$3,1,1),업무일지!$B$5:$B$1004,"&lt;"&amp;DATE($B$3+1,1,1),업무일지!$J$5:$J$1004,$A16,업무일지!$D$5:$D$1004,"출장"))</f>
        <v/>
      </c>
      <c r="D16" s="24">
        <f>IF($A16="","",COUNTIFS(업무일지!$B$5:$B$1004,"&gt;="&amp;DATE($B$3,1,1),업무일지!$B$5:$B$1004,"&lt;"&amp;DATE($B$3+1,1,1),업무일지!$AA$5:$AA$1004,"*"&amp;$A16&amp;"*",업무일지!$D$5:$D$1004,"출장")-C16)</f>
        <v/>
      </c>
      <c r="E16" s="24">
        <f>IF($A16="","",COUNTIFS(업무일지!$B$5:$B$1004,"&gt;="&amp;DATE($B$3,1,1),업무일지!$B$5:$B$1004,"&lt;"&amp;DATE($B$3+1,1,1),업무일지!$J$5:$J$1004,$A16,업무일지!$D$5:$D$1004,"분석"))</f>
        <v/>
      </c>
      <c r="F16" s="24">
        <f>IF($A16="","",COUNTIFS(업무일지!$B$5:$B$1004,"&gt;="&amp;DATE($B$3,1,1),업무일지!$B$5:$B$1004,"&lt;"&amp;DATE($B$3+1,1,1),업무일지!$AA$5:$AA$1004,"*"&amp;$A16&amp;"*",업무일지!$D$5:$D$1004,"분석")-E16)</f>
        <v/>
      </c>
      <c r="G16" s="24">
        <f>IF($A16="","",COUNTIFS(업무일지!$B$5:$B$1004,"&gt;="&amp;DATE($B$3,1,1),업무일지!$B$5:$B$1004,"&lt;"&amp;DATE($B$3+1,1,1),업무일지!$AA$5:$AA$1004,"*"&amp;$A16&amp;"*",업무일지!$D$5:$D$1004,"교육"))</f>
        <v/>
      </c>
      <c r="H16" s="43">
        <f>IF($A16="","",C16+D16+E16+F16+G16)</f>
        <v/>
      </c>
      <c r="I16" s="24">
        <f>IF($A16="","",SUMIFS(업무일지!$AF$5:$AF$1004,업무일지!$B$5:$B$1004,"&gt;="&amp;DATE($B$3,1,1),업무일지!$B$5:$B$1004,"&lt;"&amp;DATE($B$3+1,1,1),업무일지!$AA$5:$AA$1004,"*"&amp;$A16&amp;"*",업무일지!$D$5:$D$1004,"출장"))</f>
        <v/>
      </c>
      <c r="J16" s="24">
        <f>IF($A16="","",COUNTIFS(일일실시사항!$B$5:$B$1004,"&gt;="&amp;DATE($B$3,1,1),일일실시사항!$B$5:$B$1004,"&lt;"&amp;DATE($B$3+1,1,1),일일실시사항!$D$5:$D$1004,$A16))</f>
        <v/>
      </c>
      <c r="K16" s="24">
        <f>IF($A16="","",COUNTIFS(업무일지!$B$5:$B$1004,"&gt;="&amp;DATE($B$3,1,1),업무일지!$B$5:$B$1004,"&lt;"&amp;DATE($B$3+1,1,1),업무일지!$AA$5:$AA$1004,"*"&amp;$A16&amp;"*",업무일지!$AG$5:$AG$1004,"진행중"))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IF($A17="","",COUNTIFS(업무일지!$B$5:$B$1004,"&gt;="&amp;DATE($B$3,1,1),업무일지!$B$5:$B$1004,"&lt;"&amp;DATE($B$3+1,1,1),업무일지!$J$5:$J$1004,$A17,업무일지!$D$5:$D$1004,"출장"))</f>
        <v/>
      </c>
      <c r="D17" s="24">
        <f>IF($A17="","",COUNTIFS(업무일지!$B$5:$B$1004,"&gt;="&amp;DATE($B$3,1,1),업무일지!$B$5:$B$1004,"&lt;"&amp;DATE($B$3+1,1,1),업무일지!$AA$5:$AA$1004,"*"&amp;$A17&amp;"*",업무일지!$D$5:$D$1004,"출장")-C17)</f>
        <v/>
      </c>
      <c r="E17" s="24">
        <f>IF($A17="","",COUNTIFS(업무일지!$B$5:$B$1004,"&gt;="&amp;DATE($B$3,1,1),업무일지!$B$5:$B$1004,"&lt;"&amp;DATE($B$3+1,1,1),업무일지!$J$5:$J$1004,$A17,업무일지!$D$5:$D$1004,"분석"))</f>
        <v/>
      </c>
      <c r="F17" s="24">
        <f>IF($A17="","",COUNTIFS(업무일지!$B$5:$B$1004,"&gt;="&amp;DATE($B$3,1,1),업무일지!$B$5:$B$1004,"&lt;"&amp;DATE($B$3+1,1,1),업무일지!$AA$5:$AA$1004,"*"&amp;$A17&amp;"*",업무일지!$D$5:$D$1004,"분석")-E17)</f>
        <v/>
      </c>
      <c r="G17" s="24">
        <f>IF($A17="","",COUNTIFS(업무일지!$B$5:$B$1004,"&gt;="&amp;DATE($B$3,1,1),업무일지!$B$5:$B$1004,"&lt;"&amp;DATE($B$3+1,1,1),업무일지!$AA$5:$AA$1004,"*"&amp;$A17&amp;"*",업무일지!$D$5:$D$1004,"교육"))</f>
        <v/>
      </c>
      <c r="H17" s="43">
        <f>IF($A17="","",C17+D17+E17+F17+G17)</f>
        <v/>
      </c>
      <c r="I17" s="24">
        <f>IF($A17="","",SUMIFS(업무일지!$AF$5:$AF$1004,업무일지!$B$5:$B$1004,"&gt;="&amp;DATE($B$3,1,1),업무일지!$B$5:$B$1004,"&lt;"&amp;DATE($B$3+1,1,1),업무일지!$AA$5:$AA$1004,"*"&amp;$A17&amp;"*",업무일지!$D$5:$D$1004,"출장"))</f>
        <v/>
      </c>
      <c r="J17" s="24">
        <f>IF($A17="","",COUNTIFS(일일실시사항!$B$5:$B$1004,"&gt;="&amp;DATE($B$3,1,1),일일실시사항!$B$5:$B$1004,"&lt;"&amp;DATE($B$3+1,1,1),일일실시사항!$D$5:$D$1004,$A17))</f>
        <v/>
      </c>
      <c r="K17" s="24">
        <f>IF($A17="","",COUNTIFS(업무일지!$B$5:$B$1004,"&gt;="&amp;DATE($B$3,1,1),업무일지!$B$5:$B$1004,"&lt;"&amp;DATE($B$3+1,1,1),업무일지!$AA$5:$AA$1004,"*"&amp;$A17&amp;"*",업무일지!$AG$5:$AG$1004,"진행중"))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IF($A18="","",COUNTIFS(업무일지!$B$5:$B$1004,"&gt;="&amp;DATE($B$3,1,1),업무일지!$B$5:$B$1004,"&lt;"&amp;DATE($B$3+1,1,1),업무일지!$J$5:$J$1004,$A18,업무일지!$D$5:$D$1004,"출장"))</f>
        <v/>
      </c>
      <c r="D18" s="24">
        <f>IF($A18="","",COUNTIFS(업무일지!$B$5:$B$1004,"&gt;="&amp;DATE($B$3,1,1),업무일지!$B$5:$B$1004,"&lt;"&amp;DATE($B$3+1,1,1),업무일지!$AA$5:$AA$1004,"*"&amp;$A18&amp;"*",업무일지!$D$5:$D$1004,"출장")-C18)</f>
        <v/>
      </c>
      <c r="E18" s="24">
        <f>IF($A18="","",COUNTIFS(업무일지!$B$5:$B$1004,"&gt;="&amp;DATE($B$3,1,1),업무일지!$B$5:$B$1004,"&lt;"&amp;DATE($B$3+1,1,1),업무일지!$J$5:$J$1004,$A18,업무일지!$D$5:$D$1004,"분석"))</f>
        <v/>
      </c>
      <c r="F18" s="24">
        <f>IF($A18="","",COUNTIFS(업무일지!$B$5:$B$1004,"&gt;="&amp;DATE($B$3,1,1),업무일지!$B$5:$B$1004,"&lt;"&amp;DATE($B$3+1,1,1),업무일지!$AA$5:$AA$1004,"*"&amp;$A18&amp;"*",업무일지!$D$5:$D$1004,"분석")-E18)</f>
        <v/>
      </c>
      <c r="G18" s="24">
        <f>IF($A18="","",COUNTIFS(업무일지!$B$5:$B$1004,"&gt;="&amp;DATE($B$3,1,1),업무일지!$B$5:$B$1004,"&lt;"&amp;DATE($B$3+1,1,1),업무일지!$AA$5:$AA$1004,"*"&amp;$A18&amp;"*",업무일지!$D$5:$D$1004,"교육"))</f>
        <v/>
      </c>
      <c r="H18" s="43">
        <f>IF($A18="","",C18+D18+E18+F18+G18)</f>
        <v/>
      </c>
      <c r="I18" s="24">
        <f>IF($A18="","",SUMIFS(업무일지!$AF$5:$AF$1004,업무일지!$B$5:$B$1004,"&gt;="&amp;DATE($B$3,1,1),업무일지!$B$5:$B$1004,"&lt;"&amp;DATE($B$3+1,1,1),업무일지!$AA$5:$AA$1004,"*"&amp;$A18&amp;"*",업무일지!$D$5:$D$1004,"출장"))</f>
        <v/>
      </c>
      <c r="J18" s="24">
        <f>IF($A18="","",COUNTIFS(일일실시사항!$B$5:$B$1004,"&gt;="&amp;DATE($B$3,1,1),일일실시사항!$B$5:$B$1004,"&lt;"&amp;DATE($B$3+1,1,1),일일실시사항!$D$5:$D$1004,$A18))</f>
        <v/>
      </c>
      <c r="K18" s="24">
        <f>IF($A18="","",COUNTIFS(업무일지!$B$5:$B$1004,"&gt;="&amp;DATE($B$3,1,1),업무일지!$B$5:$B$1004,"&lt;"&amp;DATE($B$3+1,1,1),업무일지!$AA$5:$AA$1004,"*"&amp;$A18&amp;"*",업무일지!$AG$5:$AG$1004,"진행중"))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IF($A19="","",COUNTIFS(업무일지!$B$5:$B$1004,"&gt;="&amp;DATE($B$3,1,1),업무일지!$B$5:$B$1004,"&lt;"&amp;DATE($B$3+1,1,1),업무일지!$J$5:$J$1004,$A19,업무일지!$D$5:$D$1004,"출장"))</f>
        <v/>
      </c>
      <c r="D19" s="24">
        <f>IF($A19="","",COUNTIFS(업무일지!$B$5:$B$1004,"&gt;="&amp;DATE($B$3,1,1),업무일지!$B$5:$B$1004,"&lt;"&amp;DATE($B$3+1,1,1),업무일지!$AA$5:$AA$1004,"*"&amp;$A19&amp;"*",업무일지!$D$5:$D$1004,"출장")-C19)</f>
        <v/>
      </c>
      <c r="E19" s="24">
        <f>IF($A19="","",COUNTIFS(업무일지!$B$5:$B$1004,"&gt;="&amp;DATE($B$3,1,1),업무일지!$B$5:$B$1004,"&lt;"&amp;DATE($B$3+1,1,1),업무일지!$J$5:$J$1004,$A19,업무일지!$D$5:$D$1004,"분석"))</f>
        <v/>
      </c>
      <c r="F19" s="24">
        <f>IF($A19="","",COUNTIFS(업무일지!$B$5:$B$1004,"&gt;="&amp;DATE($B$3,1,1),업무일지!$B$5:$B$1004,"&lt;"&amp;DATE($B$3+1,1,1),업무일지!$AA$5:$AA$1004,"*"&amp;$A19&amp;"*",업무일지!$D$5:$D$1004,"분석")-E19)</f>
        <v/>
      </c>
      <c r="G19" s="24">
        <f>IF($A19="","",COUNTIFS(업무일지!$B$5:$B$1004,"&gt;="&amp;DATE($B$3,1,1),업무일지!$B$5:$B$1004,"&lt;"&amp;DATE($B$3+1,1,1),업무일지!$AA$5:$AA$1004,"*"&amp;$A19&amp;"*",업무일지!$D$5:$D$1004,"교육"))</f>
        <v/>
      </c>
      <c r="H19" s="43">
        <f>IF($A19="","",C19+D19+E19+F19+G19)</f>
        <v/>
      </c>
      <c r="I19" s="24">
        <f>IF($A19="","",SUMIFS(업무일지!$AF$5:$AF$1004,업무일지!$B$5:$B$1004,"&gt;="&amp;DATE($B$3,1,1),업무일지!$B$5:$B$1004,"&lt;"&amp;DATE($B$3+1,1,1),업무일지!$AA$5:$AA$1004,"*"&amp;$A19&amp;"*",업무일지!$D$5:$D$1004,"출장"))</f>
        <v/>
      </c>
      <c r="J19" s="24">
        <f>IF($A19="","",COUNTIFS(일일실시사항!$B$5:$B$1004,"&gt;="&amp;DATE($B$3,1,1),일일실시사항!$B$5:$B$1004,"&lt;"&amp;DATE($B$3+1,1,1),일일실시사항!$D$5:$D$1004,$A19))</f>
        <v/>
      </c>
      <c r="K19" s="24">
        <f>IF($A19="","",COUNTIFS(업무일지!$B$5:$B$1004,"&gt;="&amp;DATE($B$3,1,1),업무일지!$B$5:$B$1004,"&lt;"&amp;DATE($B$3+1,1,1),업무일지!$AA$5:$AA$1004,"*"&amp;$A19&amp;"*",업무일지!$AG$5:$AG$1004,"진행중"))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IF($A20="","",COUNTIFS(업무일지!$B$5:$B$1004,"&gt;="&amp;DATE($B$3,1,1),업무일지!$B$5:$B$1004,"&lt;"&amp;DATE($B$3+1,1,1),업무일지!$J$5:$J$1004,$A20,업무일지!$D$5:$D$1004,"출장"))</f>
        <v/>
      </c>
      <c r="D20" s="24">
        <f>IF($A20="","",COUNTIFS(업무일지!$B$5:$B$1004,"&gt;="&amp;DATE($B$3,1,1),업무일지!$B$5:$B$1004,"&lt;"&amp;DATE($B$3+1,1,1),업무일지!$AA$5:$AA$1004,"*"&amp;$A20&amp;"*",업무일지!$D$5:$D$1004,"출장")-C20)</f>
        <v/>
      </c>
      <c r="E20" s="24">
        <f>IF($A20="","",COUNTIFS(업무일지!$B$5:$B$1004,"&gt;="&amp;DATE($B$3,1,1),업무일지!$B$5:$B$1004,"&lt;"&amp;DATE($B$3+1,1,1),업무일지!$J$5:$J$1004,$A20,업무일지!$D$5:$D$1004,"분석"))</f>
        <v/>
      </c>
      <c r="F20" s="24">
        <f>IF($A20="","",COUNTIFS(업무일지!$B$5:$B$1004,"&gt;="&amp;DATE($B$3,1,1),업무일지!$B$5:$B$1004,"&lt;"&amp;DATE($B$3+1,1,1),업무일지!$AA$5:$AA$1004,"*"&amp;$A20&amp;"*",업무일지!$D$5:$D$1004,"분석")-E20)</f>
        <v/>
      </c>
      <c r="G20" s="24">
        <f>IF($A20="","",COUNTIFS(업무일지!$B$5:$B$1004,"&gt;="&amp;DATE($B$3,1,1),업무일지!$B$5:$B$1004,"&lt;"&amp;DATE($B$3+1,1,1),업무일지!$AA$5:$AA$1004,"*"&amp;$A20&amp;"*",업무일지!$D$5:$D$1004,"교육"))</f>
        <v/>
      </c>
      <c r="H20" s="43">
        <f>IF($A20="","",C20+D20+E20+F20+G20)</f>
        <v/>
      </c>
      <c r="I20" s="24">
        <f>IF($A20="","",SUMIFS(업무일지!$AF$5:$AF$1004,업무일지!$B$5:$B$1004,"&gt;="&amp;DATE($B$3,1,1),업무일지!$B$5:$B$1004,"&lt;"&amp;DATE($B$3+1,1,1),업무일지!$AA$5:$AA$1004,"*"&amp;$A20&amp;"*",업무일지!$D$5:$D$1004,"출장"))</f>
        <v/>
      </c>
      <c r="J20" s="24">
        <f>IF($A20="","",COUNTIFS(일일실시사항!$B$5:$B$1004,"&gt;="&amp;DATE($B$3,1,1),일일실시사항!$B$5:$B$1004,"&lt;"&amp;DATE($B$3+1,1,1),일일실시사항!$D$5:$D$1004,$A20))</f>
        <v/>
      </c>
      <c r="K20" s="24">
        <f>IF($A20="","",COUNTIFS(업무일지!$B$5:$B$1004,"&gt;="&amp;DATE($B$3,1,1),업무일지!$B$5:$B$1004,"&lt;"&amp;DATE($B$3+1,1,1),업무일지!$AA$5:$AA$1004,"*"&amp;$A20&amp;"*",업무일지!$AG$5:$AG$1004,"진행중"))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IF($A21="","",COUNTIFS(업무일지!$B$5:$B$1004,"&gt;="&amp;DATE($B$3,1,1),업무일지!$B$5:$B$1004,"&lt;"&amp;DATE($B$3+1,1,1),업무일지!$J$5:$J$1004,$A21,업무일지!$D$5:$D$1004,"출장"))</f>
        <v/>
      </c>
      <c r="D21" s="24">
        <f>IF($A21="","",COUNTIFS(업무일지!$B$5:$B$1004,"&gt;="&amp;DATE($B$3,1,1),업무일지!$B$5:$B$1004,"&lt;"&amp;DATE($B$3+1,1,1),업무일지!$AA$5:$AA$1004,"*"&amp;$A21&amp;"*",업무일지!$D$5:$D$1004,"출장")-C21)</f>
        <v/>
      </c>
      <c r="E21" s="24">
        <f>IF($A21="","",COUNTIFS(업무일지!$B$5:$B$1004,"&gt;="&amp;DATE($B$3,1,1),업무일지!$B$5:$B$1004,"&lt;"&amp;DATE($B$3+1,1,1),업무일지!$J$5:$J$1004,$A21,업무일지!$D$5:$D$1004,"분석"))</f>
        <v/>
      </c>
      <c r="F21" s="24">
        <f>IF($A21="","",COUNTIFS(업무일지!$B$5:$B$1004,"&gt;="&amp;DATE($B$3,1,1),업무일지!$B$5:$B$1004,"&lt;"&amp;DATE($B$3+1,1,1),업무일지!$AA$5:$AA$1004,"*"&amp;$A21&amp;"*",업무일지!$D$5:$D$1004,"분석")-E21)</f>
        <v/>
      </c>
      <c r="G21" s="24">
        <f>IF($A21="","",COUNTIFS(업무일지!$B$5:$B$1004,"&gt;="&amp;DATE($B$3,1,1),업무일지!$B$5:$B$1004,"&lt;"&amp;DATE($B$3+1,1,1),업무일지!$AA$5:$AA$1004,"*"&amp;$A21&amp;"*",업무일지!$D$5:$D$1004,"교육"))</f>
        <v/>
      </c>
      <c r="H21" s="43">
        <f>IF($A21="","",C21+D21+E21+F21+G21)</f>
        <v/>
      </c>
      <c r="I21" s="24">
        <f>IF($A21="","",SUMIFS(업무일지!$AF$5:$AF$1004,업무일지!$B$5:$B$1004,"&gt;="&amp;DATE($B$3,1,1),업무일지!$B$5:$B$1004,"&lt;"&amp;DATE($B$3+1,1,1),업무일지!$AA$5:$AA$1004,"*"&amp;$A21&amp;"*",업무일지!$D$5:$D$1004,"출장"))</f>
        <v/>
      </c>
      <c r="J21" s="24">
        <f>IF($A21="","",COUNTIFS(일일실시사항!$B$5:$B$1004,"&gt;="&amp;DATE($B$3,1,1),일일실시사항!$B$5:$B$1004,"&lt;"&amp;DATE($B$3+1,1,1),일일실시사항!$D$5:$D$1004,$A21))</f>
        <v/>
      </c>
      <c r="K21" s="24">
        <f>IF($A21="","",COUNTIFS(업무일지!$B$5:$B$1004,"&gt;="&amp;DATE($B$3,1,1),업무일지!$B$5:$B$1004,"&lt;"&amp;DATE($B$3+1,1,1),업무일지!$AA$5:$AA$1004,"*"&amp;$A21&amp;"*",업무일지!$AG$5:$AG$1004,"진행중"))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IF($A22="","",COUNTIFS(업무일지!$B$5:$B$1004,"&gt;="&amp;DATE($B$3,1,1),업무일지!$B$5:$B$1004,"&lt;"&amp;DATE($B$3+1,1,1),업무일지!$J$5:$J$1004,$A22,업무일지!$D$5:$D$1004,"출장"))</f>
        <v/>
      </c>
      <c r="D22" s="24">
        <f>IF($A22="","",COUNTIFS(업무일지!$B$5:$B$1004,"&gt;="&amp;DATE($B$3,1,1),업무일지!$B$5:$B$1004,"&lt;"&amp;DATE($B$3+1,1,1),업무일지!$AA$5:$AA$1004,"*"&amp;$A22&amp;"*",업무일지!$D$5:$D$1004,"출장")-C22)</f>
        <v/>
      </c>
      <c r="E22" s="24">
        <f>IF($A22="","",COUNTIFS(업무일지!$B$5:$B$1004,"&gt;="&amp;DATE($B$3,1,1),업무일지!$B$5:$B$1004,"&lt;"&amp;DATE($B$3+1,1,1),업무일지!$J$5:$J$1004,$A22,업무일지!$D$5:$D$1004,"분석"))</f>
        <v/>
      </c>
      <c r="F22" s="24">
        <f>IF($A22="","",COUNTIFS(업무일지!$B$5:$B$1004,"&gt;="&amp;DATE($B$3,1,1),업무일지!$B$5:$B$1004,"&lt;"&amp;DATE($B$3+1,1,1),업무일지!$AA$5:$AA$1004,"*"&amp;$A22&amp;"*",업무일지!$D$5:$D$1004,"분석")-E22)</f>
        <v/>
      </c>
      <c r="G22" s="24">
        <f>IF($A22="","",COUNTIFS(업무일지!$B$5:$B$1004,"&gt;="&amp;DATE($B$3,1,1),업무일지!$B$5:$B$1004,"&lt;"&amp;DATE($B$3+1,1,1),업무일지!$AA$5:$AA$1004,"*"&amp;$A22&amp;"*",업무일지!$D$5:$D$1004,"교육"))</f>
        <v/>
      </c>
      <c r="H22" s="43">
        <f>IF($A22="","",C22+D22+E22+F22+G22)</f>
        <v/>
      </c>
      <c r="I22" s="24">
        <f>IF($A22="","",SUMIFS(업무일지!$AF$5:$AF$1004,업무일지!$B$5:$B$1004,"&gt;="&amp;DATE($B$3,1,1),업무일지!$B$5:$B$1004,"&lt;"&amp;DATE($B$3+1,1,1),업무일지!$AA$5:$AA$1004,"*"&amp;$A22&amp;"*",업무일지!$D$5:$D$1004,"출장"))</f>
        <v/>
      </c>
      <c r="J22" s="24">
        <f>IF($A22="","",COUNTIFS(일일실시사항!$B$5:$B$1004,"&gt;="&amp;DATE($B$3,1,1),일일실시사항!$B$5:$B$1004,"&lt;"&amp;DATE($B$3+1,1,1),일일실시사항!$D$5:$D$1004,$A22))</f>
        <v/>
      </c>
      <c r="K22" s="24">
        <f>IF($A22="","",COUNTIFS(업무일지!$B$5:$B$1004,"&gt;="&amp;DATE($B$3,1,1),업무일지!$B$5:$B$1004,"&lt;"&amp;DATE($B$3+1,1,1),업무일지!$AA$5:$AA$1004,"*"&amp;$A22&amp;"*",업무일지!$AG$5:$AG$1004,"진행중"))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IF($A23="","",COUNTIFS(업무일지!$B$5:$B$1004,"&gt;="&amp;DATE($B$3,1,1),업무일지!$B$5:$B$1004,"&lt;"&amp;DATE($B$3+1,1,1),업무일지!$J$5:$J$1004,$A23,업무일지!$D$5:$D$1004,"출장"))</f>
        <v/>
      </c>
      <c r="D23" s="24">
        <f>IF($A23="","",COUNTIFS(업무일지!$B$5:$B$1004,"&gt;="&amp;DATE($B$3,1,1),업무일지!$B$5:$B$1004,"&lt;"&amp;DATE($B$3+1,1,1),업무일지!$AA$5:$AA$1004,"*"&amp;$A23&amp;"*",업무일지!$D$5:$D$1004,"출장")-C23)</f>
        <v/>
      </c>
      <c r="E23" s="24">
        <f>IF($A23="","",COUNTIFS(업무일지!$B$5:$B$1004,"&gt;="&amp;DATE($B$3,1,1),업무일지!$B$5:$B$1004,"&lt;"&amp;DATE($B$3+1,1,1),업무일지!$J$5:$J$1004,$A23,업무일지!$D$5:$D$1004,"분석"))</f>
        <v/>
      </c>
      <c r="F23" s="24">
        <f>IF($A23="","",COUNTIFS(업무일지!$B$5:$B$1004,"&gt;="&amp;DATE($B$3,1,1),업무일지!$B$5:$B$1004,"&lt;"&amp;DATE($B$3+1,1,1),업무일지!$AA$5:$AA$1004,"*"&amp;$A23&amp;"*",업무일지!$D$5:$D$1004,"분석")-E23)</f>
        <v/>
      </c>
      <c r="G23" s="24">
        <f>IF($A23="","",COUNTIFS(업무일지!$B$5:$B$1004,"&gt;="&amp;DATE($B$3,1,1),업무일지!$B$5:$B$1004,"&lt;"&amp;DATE($B$3+1,1,1),업무일지!$AA$5:$AA$1004,"*"&amp;$A23&amp;"*",업무일지!$D$5:$D$1004,"교육"))</f>
        <v/>
      </c>
      <c r="H23" s="43">
        <f>IF($A23="","",C23+D23+E23+F23+G23)</f>
        <v/>
      </c>
      <c r="I23" s="24">
        <f>IF($A23="","",SUMIFS(업무일지!$AF$5:$AF$1004,업무일지!$B$5:$B$1004,"&gt;="&amp;DATE($B$3,1,1),업무일지!$B$5:$B$1004,"&lt;"&amp;DATE($B$3+1,1,1),업무일지!$AA$5:$AA$1004,"*"&amp;$A23&amp;"*",업무일지!$D$5:$D$1004,"출장"))</f>
        <v/>
      </c>
      <c r="J23" s="24">
        <f>IF($A23="","",COUNTIFS(일일실시사항!$B$5:$B$1004,"&gt;="&amp;DATE($B$3,1,1),일일실시사항!$B$5:$B$1004,"&lt;"&amp;DATE($B$3+1,1,1),일일실시사항!$D$5:$D$1004,$A23))</f>
        <v/>
      </c>
      <c r="K23" s="24">
        <f>IF($A23="","",COUNTIFS(업무일지!$B$5:$B$1004,"&gt;="&amp;DATE($B$3,1,1),업무일지!$B$5:$B$1004,"&lt;"&amp;DATE($B$3+1,1,1),업무일지!$AA$5:$AA$1004,"*"&amp;$A23&amp;"*",업무일지!$AG$5:$AG$1004,"진행중"))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IF($A24="","",COUNTIFS(업무일지!$B$5:$B$1004,"&gt;="&amp;DATE($B$3,1,1),업무일지!$B$5:$B$1004,"&lt;"&amp;DATE($B$3+1,1,1),업무일지!$J$5:$J$1004,$A24,업무일지!$D$5:$D$1004,"출장"))</f>
        <v/>
      </c>
      <c r="D24" s="24">
        <f>IF($A24="","",COUNTIFS(업무일지!$B$5:$B$1004,"&gt;="&amp;DATE($B$3,1,1),업무일지!$B$5:$B$1004,"&lt;"&amp;DATE($B$3+1,1,1),업무일지!$AA$5:$AA$1004,"*"&amp;$A24&amp;"*",업무일지!$D$5:$D$1004,"출장")-C24)</f>
        <v/>
      </c>
      <c r="E24" s="24">
        <f>IF($A24="","",COUNTIFS(업무일지!$B$5:$B$1004,"&gt;="&amp;DATE($B$3,1,1),업무일지!$B$5:$B$1004,"&lt;"&amp;DATE($B$3+1,1,1),업무일지!$J$5:$J$1004,$A24,업무일지!$D$5:$D$1004,"분석"))</f>
        <v/>
      </c>
      <c r="F24" s="24">
        <f>IF($A24="","",COUNTIFS(업무일지!$B$5:$B$1004,"&gt;="&amp;DATE($B$3,1,1),업무일지!$B$5:$B$1004,"&lt;"&amp;DATE($B$3+1,1,1),업무일지!$AA$5:$AA$1004,"*"&amp;$A24&amp;"*",업무일지!$D$5:$D$1004,"분석")-E24)</f>
        <v/>
      </c>
      <c r="G24" s="24">
        <f>IF($A24="","",COUNTIFS(업무일지!$B$5:$B$1004,"&gt;="&amp;DATE($B$3,1,1),업무일지!$B$5:$B$1004,"&lt;"&amp;DATE($B$3+1,1,1),업무일지!$AA$5:$AA$1004,"*"&amp;$A24&amp;"*",업무일지!$D$5:$D$1004,"교육"))</f>
        <v/>
      </c>
      <c r="H24" s="43">
        <f>IF($A24="","",C24+D24+E24+F24+G24)</f>
        <v/>
      </c>
      <c r="I24" s="24">
        <f>IF($A24="","",SUMIFS(업무일지!$AF$5:$AF$1004,업무일지!$B$5:$B$1004,"&gt;="&amp;DATE($B$3,1,1),업무일지!$B$5:$B$1004,"&lt;"&amp;DATE($B$3+1,1,1),업무일지!$AA$5:$AA$1004,"*"&amp;$A24&amp;"*",업무일지!$D$5:$D$1004,"출장"))</f>
        <v/>
      </c>
      <c r="J24" s="24">
        <f>IF($A24="","",COUNTIFS(일일실시사항!$B$5:$B$1004,"&gt;="&amp;DATE($B$3,1,1),일일실시사항!$B$5:$B$1004,"&lt;"&amp;DATE($B$3+1,1,1),일일실시사항!$D$5:$D$1004,$A24))</f>
        <v/>
      </c>
      <c r="K24" s="24">
        <f>IF($A24="","",COUNTIFS(업무일지!$B$5:$B$1004,"&gt;="&amp;DATE($B$3,1,1),업무일지!$B$5:$B$1004,"&lt;"&amp;DATE($B$3+1,1,1),업무일지!$AA$5:$AA$1004,"*"&amp;$A24&amp;"*",업무일지!$AG$5:$AG$1004,"진행중"))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IF($A25="","",COUNTIFS(업무일지!$B$5:$B$1004,"&gt;="&amp;DATE($B$3,1,1),업무일지!$B$5:$B$1004,"&lt;"&amp;DATE($B$3+1,1,1),업무일지!$J$5:$J$1004,$A25,업무일지!$D$5:$D$1004,"출장"))</f>
        <v/>
      </c>
      <c r="D25" s="24">
        <f>IF($A25="","",COUNTIFS(업무일지!$B$5:$B$1004,"&gt;="&amp;DATE($B$3,1,1),업무일지!$B$5:$B$1004,"&lt;"&amp;DATE($B$3+1,1,1),업무일지!$AA$5:$AA$1004,"*"&amp;$A25&amp;"*",업무일지!$D$5:$D$1004,"출장")-C25)</f>
        <v/>
      </c>
      <c r="E25" s="24">
        <f>IF($A25="","",COUNTIFS(업무일지!$B$5:$B$1004,"&gt;="&amp;DATE($B$3,1,1),업무일지!$B$5:$B$1004,"&lt;"&amp;DATE($B$3+1,1,1),업무일지!$J$5:$J$1004,$A25,업무일지!$D$5:$D$1004,"분석"))</f>
        <v/>
      </c>
      <c r="F25" s="24">
        <f>IF($A25="","",COUNTIFS(업무일지!$B$5:$B$1004,"&gt;="&amp;DATE($B$3,1,1),업무일지!$B$5:$B$1004,"&lt;"&amp;DATE($B$3+1,1,1),업무일지!$AA$5:$AA$1004,"*"&amp;$A25&amp;"*",업무일지!$D$5:$D$1004,"분석")-E25)</f>
        <v/>
      </c>
      <c r="G25" s="24">
        <f>IF($A25="","",COUNTIFS(업무일지!$B$5:$B$1004,"&gt;="&amp;DATE($B$3,1,1),업무일지!$B$5:$B$1004,"&lt;"&amp;DATE($B$3+1,1,1),업무일지!$AA$5:$AA$1004,"*"&amp;$A25&amp;"*",업무일지!$D$5:$D$1004,"교육"))</f>
        <v/>
      </c>
      <c r="H25" s="43">
        <f>IF($A25="","",C25+D25+E25+F25+G25)</f>
        <v/>
      </c>
      <c r="I25" s="24">
        <f>IF($A25="","",SUMIFS(업무일지!$AF$5:$AF$1004,업무일지!$B$5:$B$1004,"&gt;="&amp;DATE($B$3,1,1),업무일지!$B$5:$B$1004,"&lt;"&amp;DATE($B$3+1,1,1),업무일지!$AA$5:$AA$1004,"*"&amp;$A25&amp;"*",업무일지!$D$5:$D$1004,"출장"))</f>
        <v/>
      </c>
      <c r="J25" s="24">
        <f>IF($A25="","",COUNTIFS(일일실시사항!$B$5:$B$1004,"&gt;="&amp;DATE($B$3,1,1),일일실시사항!$B$5:$B$1004,"&lt;"&amp;DATE($B$3+1,1,1),일일실시사항!$D$5:$D$1004,$A25))</f>
        <v/>
      </c>
      <c r="K25" s="24">
        <f>IF($A25="","",COUNTIFS(업무일지!$B$5:$B$1004,"&gt;="&amp;DATE($B$3,1,1),업무일지!$B$5:$B$1004,"&lt;"&amp;DATE($B$3+1,1,1),업무일지!$AA$5:$AA$1004,"*"&amp;$A25&amp;"*",업무일지!$AG$5:$AG$1004,"진행중"))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IF($A26="","",COUNTIFS(업무일지!$B$5:$B$1004,"&gt;="&amp;DATE($B$3,1,1),업무일지!$B$5:$B$1004,"&lt;"&amp;DATE($B$3+1,1,1),업무일지!$J$5:$J$1004,$A26,업무일지!$D$5:$D$1004,"출장"))</f>
        <v/>
      </c>
      <c r="D26" s="24">
        <f>IF($A26="","",COUNTIFS(업무일지!$B$5:$B$1004,"&gt;="&amp;DATE($B$3,1,1),업무일지!$B$5:$B$1004,"&lt;"&amp;DATE($B$3+1,1,1),업무일지!$AA$5:$AA$1004,"*"&amp;$A26&amp;"*",업무일지!$D$5:$D$1004,"출장")-C26)</f>
        <v/>
      </c>
      <c r="E26" s="24">
        <f>IF($A26="","",COUNTIFS(업무일지!$B$5:$B$1004,"&gt;="&amp;DATE($B$3,1,1),업무일지!$B$5:$B$1004,"&lt;"&amp;DATE($B$3+1,1,1),업무일지!$J$5:$J$1004,$A26,업무일지!$D$5:$D$1004,"분석"))</f>
        <v/>
      </c>
      <c r="F26" s="24">
        <f>IF($A26="","",COUNTIFS(업무일지!$B$5:$B$1004,"&gt;="&amp;DATE($B$3,1,1),업무일지!$B$5:$B$1004,"&lt;"&amp;DATE($B$3+1,1,1),업무일지!$AA$5:$AA$1004,"*"&amp;$A26&amp;"*",업무일지!$D$5:$D$1004,"분석")-E26)</f>
        <v/>
      </c>
      <c r="G26" s="24">
        <f>IF($A26="","",COUNTIFS(업무일지!$B$5:$B$1004,"&gt;="&amp;DATE($B$3,1,1),업무일지!$B$5:$B$1004,"&lt;"&amp;DATE($B$3+1,1,1),업무일지!$AA$5:$AA$1004,"*"&amp;$A26&amp;"*",업무일지!$D$5:$D$1004,"교육"))</f>
        <v/>
      </c>
      <c r="H26" s="43">
        <f>IF($A26="","",C26+D26+E26+F26+G26)</f>
        <v/>
      </c>
      <c r="I26" s="24">
        <f>IF($A26="","",SUMIFS(업무일지!$AF$5:$AF$1004,업무일지!$B$5:$B$1004,"&gt;="&amp;DATE($B$3,1,1),업무일지!$B$5:$B$1004,"&lt;"&amp;DATE($B$3+1,1,1),업무일지!$AA$5:$AA$1004,"*"&amp;$A26&amp;"*",업무일지!$D$5:$D$1004,"출장"))</f>
        <v/>
      </c>
      <c r="J26" s="24">
        <f>IF($A26="","",COUNTIFS(일일실시사항!$B$5:$B$1004,"&gt;="&amp;DATE($B$3,1,1),일일실시사항!$B$5:$B$1004,"&lt;"&amp;DATE($B$3+1,1,1),일일실시사항!$D$5:$D$1004,$A26))</f>
        <v/>
      </c>
      <c r="K26" s="24">
        <f>IF($A26="","",COUNTIFS(업무일지!$B$5:$B$1004,"&gt;="&amp;DATE($B$3,1,1),업무일지!$B$5:$B$1004,"&lt;"&amp;DATE($B$3+1,1,1),업무일지!$AA$5:$AA$1004,"*"&amp;$A26&amp;"*",업무일지!$AG$5:$AG$1004,"진행중"))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  <c r="K27" s="28">
        <f>SUM(K7:K26)</f>
        <v/>
      </c>
    </row>
    <row r="29" ht="20" customHeight="1">
      <c r="A29" s="21" t="inlineStr">
        <is>
          <t>2.  담당자 × 월별 참여회차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AA$5:$AA$1004,"*"&amp;$A32&amp;"*"),COUNTIFS(업무일지!$B$5:$B$1004,"&gt;="&amp;DATE($B$3,1,1),업무일지!$B$5:$B$1004,"&lt;"&amp;DATE($B$3,1+1,1),업무일지!$AA$5:$AA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AA$5:$AA$1004,"*"&amp;$A32&amp;"*"),COUNTIFS(업무일지!$B$5:$B$1004,"&gt;="&amp;DATE($B$3,2,1),업무일지!$B$5:$B$1004,"&lt;"&amp;DATE($B$3,2+1,1),업무일지!$AA$5:$AA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AA$5:$AA$1004,"*"&amp;$A32&amp;"*"),COUNTIFS(업무일지!$B$5:$B$1004,"&gt;="&amp;DATE($B$3,3,1),업무일지!$B$5:$B$1004,"&lt;"&amp;DATE($B$3,3+1,1),업무일지!$AA$5:$AA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AA$5:$AA$1004,"*"&amp;$A32&amp;"*"),COUNTIFS(업무일지!$B$5:$B$1004,"&gt;="&amp;DATE($B$3,4,1),업무일지!$B$5:$B$1004,"&lt;"&amp;DATE($B$3,4+1,1),업무일지!$AA$5:$AA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AA$5:$AA$1004,"*"&amp;$A32&amp;"*"),COUNTIFS(업무일지!$B$5:$B$1004,"&gt;="&amp;DATE($B$3,5,1),업무일지!$B$5:$B$1004,"&lt;"&amp;DATE($B$3,5+1,1),업무일지!$AA$5:$AA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AA$5:$AA$1004,"*"&amp;$A32&amp;"*"),COUNTIFS(업무일지!$B$5:$B$1004,"&gt;="&amp;DATE($B$3,6,1),업무일지!$B$5:$B$1004,"&lt;"&amp;DATE($B$3,6+1,1),업무일지!$AA$5:$AA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AA$5:$AA$1004,"*"&amp;$A32&amp;"*"),COUNTIFS(업무일지!$B$5:$B$1004,"&gt;="&amp;DATE($B$3,7,1),업무일지!$B$5:$B$1004,"&lt;"&amp;DATE($B$3,7+1,1),업무일지!$AA$5:$AA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AA$5:$AA$1004,"*"&amp;$A32&amp;"*"),COUNTIFS(업무일지!$B$5:$B$1004,"&gt;="&amp;DATE($B$3,8,1),업무일지!$B$5:$B$1004,"&lt;"&amp;DATE($B$3,8+1,1),업무일지!$AA$5:$AA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AA$5:$AA$1004,"*"&amp;$A32&amp;"*"),COUNTIFS(업무일지!$B$5:$B$1004,"&gt;="&amp;DATE($B$3,9,1),업무일지!$B$5:$B$1004,"&lt;"&amp;DATE($B$3,9+1,1),업무일지!$AA$5:$AA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AA$5:$AA$1004,"*"&amp;$A32&amp;"*"),COUNTIFS(업무일지!$B$5:$B$1004,"&gt;="&amp;DATE($B$3,10,1),업무일지!$B$5:$B$1004,"&lt;"&amp;DATE($B$3,10+1,1),업무일지!$AA$5:$AA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AA$5:$AA$1004,"*"&amp;$A32&amp;"*"),COUNTIFS(업무일지!$B$5:$B$1004,"&gt;="&amp;DATE($B$3,11,1),업무일지!$B$5:$B$1004,"&lt;"&amp;DATE($B$3,11+1,1),업무일지!$AA$5:$AA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AA$5:$AA$1004,"*"&amp;$A32&amp;"*"),COUNTIFS(업무일지!$B$5:$B$1004,"&gt;="&amp;DATE($B$3,12,1),업무일지!$B$5:$B$1004,"&lt;"&amp;DATE($B$3,12+1,1),업무일지!$AA$5:$AA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AA$5:$AA$1004,"*"&amp;$A33&amp;"*"),COUNTIFS(업무일지!$B$5:$B$1004,"&gt;="&amp;DATE($B$3,1,1),업무일지!$B$5:$B$1004,"&lt;"&amp;DATE($B$3,1+1,1),업무일지!$AA$5:$AA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AA$5:$AA$1004,"*"&amp;$A33&amp;"*"),COUNTIFS(업무일지!$B$5:$B$1004,"&gt;="&amp;DATE($B$3,2,1),업무일지!$B$5:$B$1004,"&lt;"&amp;DATE($B$3,2+1,1),업무일지!$AA$5:$AA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AA$5:$AA$1004,"*"&amp;$A33&amp;"*"),COUNTIFS(업무일지!$B$5:$B$1004,"&gt;="&amp;DATE($B$3,3,1),업무일지!$B$5:$B$1004,"&lt;"&amp;DATE($B$3,3+1,1),업무일지!$AA$5:$AA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AA$5:$AA$1004,"*"&amp;$A33&amp;"*"),COUNTIFS(업무일지!$B$5:$B$1004,"&gt;="&amp;DATE($B$3,4,1),업무일지!$B$5:$B$1004,"&lt;"&amp;DATE($B$3,4+1,1),업무일지!$AA$5:$AA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AA$5:$AA$1004,"*"&amp;$A33&amp;"*"),COUNTIFS(업무일지!$B$5:$B$1004,"&gt;="&amp;DATE($B$3,5,1),업무일지!$B$5:$B$1004,"&lt;"&amp;DATE($B$3,5+1,1),업무일지!$AA$5:$AA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AA$5:$AA$1004,"*"&amp;$A33&amp;"*"),COUNTIFS(업무일지!$B$5:$B$1004,"&gt;="&amp;DATE($B$3,6,1),업무일지!$B$5:$B$1004,"&lt;"&amp;DATE($B$3,6+1,1),업무일지!$AA$5:$AA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AA$5:$AA$1004,"*"&amp;$A33&amp;"*"),COUNTIFS(업무일지!$B$5:$B$1004,"&gt;="&amp;DATE($B$3,7,1),업무일지!$B$5:$B$1004,"&lt;"&amp;DATE($B$3,7+1,1),업무일지!$AA$5:$AA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AA$5:$AA$1004,"*"&amp;$A33&amp;"*"),COUNTIFS(업무일지!$B$5:$B$1004,"&gt;="&amp;DATE($B$3,8,1),업무일지!$B$5:$B$1004,"&lt;"&amp;DATE($B$3,8+1,1),업무일지!$AA$5:$AA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AA$5:$AA$1004,"*"&amp;$A33&amp;"*"),COUNTIFS(업무일지!$B$5:$B$1004,"&gt;="&amp;DATE($B$3,9,1),업무일지!$B$5:$B$1004,"&lt;"&amp;DATE($B$3,9+1,1),업무일지!$AA$5:$AA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AA$5:$AA$1004,"*"&amp;$A33&amp;"*"),COUNTIFS(업무일지!$B$5:$B$1004,"&gt;="&amp;DATE($B$3,10,1),업무일지!$B$5:$B$1004,"&lt;"&amp;DATE($B$3,10+1,1),업무일지!$AA$5:$AA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AA$5:$AA$1004,"*"&amp;$A33&amp;"*"),COUNTIFS(업무일지!$B$5:$B$1004,"&gt;="&amp;DATE($B$3,11,1),업무일지!$B$5:$B$1004,"&lt;"&amp;DATE($B$3,11+1,1),업무일지!$AA$5:$AA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AA$5:$AA$1004,"*"&amp;$A33&amp;"*"),COUNTIFS(업무일지!$B$5:$B$1004,"&gt;="&amp;DATE($B$3,12,1),업무일지!$B$5:$B$1004,"&lt;"&amp;DATE($B$3,12+1,1),업무일지!$AA$5:$AA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AA$5:$AA$1004,"*"&amp;$A34&amp;"*"),COUNTIFS(업무일지!$B$5:$B$1004,"&gt;="&amp;DATE($B$3,1,1),업무일지!$B$5:$B$1004,"&lt;"&amp;DATE($B$3,1+1,1),업무일지!$AA$5:$AA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AA$5:$AA$1004,"*"&amp;$A34&amp;"*"),COUNTIFS(업무일지!$B$5:$B$1004,"&gt;="&amp;DATE($B$3,2,1),업무일지!$B$5:$B$1004,"&lt;"&amp;DATE($B$3,2+1,1),업무일지!$AA$5:$AA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AA$5:$AA$1004,"*"&amp;$A34&amp;"*"),COUNTIFS(업무일지!$B$5:$B$1004,"&gt;="&amp;DATE($B$3,3,1),업무일지!$B$5:$B$1004,"&lt;"&amp;DATE($B$3,3+1,1),업무일지!$AA$5:$AA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AA$5:$AA$1004,"*"&amp;$A34&amp;"*"),COUNTIFS(업무일지!$B$5:$B$1004,"&gt;="&amp;DATE($B$3,4,1),업무일지!$B$5:$B$1004,"&lt;"&amp;DATE($B$3,4+1,1),업무일지!$AA$5:$AA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AA$5:$AA$1004,"*"&amp;$A34&amp;"*"),COUNTIFS(업무일지!$B$5:$B$1004,"&gt;="&amp;DATE($B$3,5,1),업무일지!$B$5:$B$1004,"&lt;"&amp;DATE($B$3,5+1,1),업무일지!$AA$5:$AA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AA$5:$AA$1004,"*"&amp;$A34&amp;"*"),COUNTIFS(업무일지!$B$5:$B$1004,"&gt;="&amp;DATE($B$3,6,1),업무일지!$B$5:$B$1004,"&lt;"&amp;DATE($B$3,6+1,1),업무일지!$AA$5:$AA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AA$5:$AA$1004,"*"&amp;$A34&amp;"*"),COUNTIFS(업무일지!$B$5:$B$1004,"&gt;="&amp;DATE($B$3,7,1),업무일지!$B$5:$B$1004,"&lt;"&amp;DATE($B$3,7+1,1),업무일지!$AA$5:$AA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AA$5:$AA$1004,"*"&amp;$A34&amp;"*"),COUNTIFS(업무일지!$B$5:$B$1004,"&gt;="&amp;DATE($B$3,8,1),업무일지!$B$5:$B$1004,"&lt;"&amp;DATE($B$3,8+1,1),업무일지!$AA$5:$AA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AA$5:$AA$1004,"*"&amp;$A34&amp;"*"),COUNTIFS(업무일지!$B$5:$B$1004,"&gt;="&amp;DATE($B$3,9,1),업무일지!$B$5:$B$1004,"&lt;"&amp;DATE($B$3,9+1,1),업무일지!$AA$5:$AA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AA$5:$AA$1004,"*"&amp;$A34&amp;"*"),COUNTIFS(업무일지!$B$5:$B$1004,"&gt;="&amp;DATE($B$3,10,1),업무일지!$B$5:$B$1004,"&lt;"&amp;DATE($B$3,10+1,1),업무일지!$AA$5:$AA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AA$5:$AA$1004,"*"&amp;$A34&amp;"*"),COUNTIFS(업무일지!$B$5:$B$1004,"&gt;="&amp;DATE($B$3,11,1),업무일지!$B$5:$B$1004,"&lt;"&amp;DATE($B$3,11+1,1),업무일지!$AA$5:$AA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AA$5:$AA$1004,"*"&amp;$A34&amp;"*"),COUNTIFS(업무일지!$B$5:$B$1004,"&gt;="&amp;DATE($B$3,12,1),업무일지!$B$5:$B$1004,"&lt;"&amp;DATE($B$3,12+1,1),업무일지!$AA$5:$AA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AA$5:$AA$1004,"*"&amp;$A35&amp;"*"),COUNTIFS(업무일지!$B$5:$B$1004,"&gt;="&amp;DATE($B$3,1,1),업무일지!$B$5:$B$1004,"&lt;"&amp;DATE($B$3,1+1,1),업무일지!$AA$5:$AA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AA$5:$AA$1004,"*"&amp;$A35&amp;"*"),COUNTIFS(업무일지!$B$5:$B$1004,"&gt;="&amp;DATE($B$3,2,1),업무일지!$B$5:$B$1004,"&lt;"&amp;DATE($B$3,2+1,1),업무일지!$AA$5:$AA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AA$5:$AA$1004,"*"&amp;$A35&amp;"*"),COUNTIFS(업무일지!$B$5:$B$1004,"&gt;="&amp;DATE($B$3,3,1),업무일지!$B$5:$B$1004,"&lt;"&amp;DATE($B$3,3+1,1),업무일지!$AA$5:$AA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AA$5:$AA$1004,"*"&amp;$A35&amp;"*"),COUNTIFS(업무일지!$B$5:$B$1004,"&gt;="&amp;DATE($B$3,4,1),업무일지!$B$5:$B$1004,"&lt;"&amp;DATE($B$3,4+1,1),업무일지!$AA$5:$AA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AA$5:$AA$1004,"*"&amp;$A35&amp;"*"),COUNTIFS(업무일지!$B$5:$B$1004,"&gt;="&amp;DATE($B$3,5,1),업무일지!$B$5:$B$1004,"&lt;"&amp;DATE($B$3,5+1,1),업무일지!$AA$5:$AA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AA$5:$AA$1004,"*"&amp;$A35&amp;"*"),COUNTIFS(업무일지!$B$5:$B$1004,"&gt;="&amp;DATE($B$3,6,1),업무일지!$B$5:$B$1004,"&lt;"&amp;DATE($B$3,6+1,1),업무일지!$AA$5:$AA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AA$5:$AA$1004,"*"&amp;$A35&amp;"*"),COUNTIFS(업무일지!$B$5:$B$1004,"&gt;="&amp;DATE($B$3,7,1),업무일지!$B$5:$B$1004,"&lt;"&amp;DATE($B$3,7+1,1),업무일지!$AA$5:$AA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AA$5:$AA$1004,"*"&amp;$A35&amp;"*"),COUNTIFS(업무일지!$B$5:$B$1004,"&gt;="&amp;DATE($B$3,8,1),업무일지!$B$5:$B$1004,"&lt;"&amp;DATE($B$3,8+1,1),업무일지!$AA$5:$AA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AA$5:$AA$1004,"*"&amp;$A35&amp;"*"),COUNTIFS(업무일지!$B$5:$B$1004,"&gt;="&amp;DATE($B$3,9,1),업무일지!$B$5:$B$1004,"&lt;"&amp;DATE($B$3,9+1,1),업무일지!$AA$5:$AA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AA$5:$AA$1004,"*"&amp;$A35&amp;"*"),COUNTIFS(업무일지!$B$5:$B$1004,"&gt;="&amp;DATE($B$3,10,1),업무일지!$B$5:$B$1004,"&lt;"&amp;DATE($B$3,10+1,1),업무일지!$AA$5:$AA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AA$5:$AA$1004,"*"&amp;$A35&amp;"*"),COUNTIFS(업무일지!$B$5:$B$1004,"&gt;="&amp;DATE($B$3,11,1),업무일지!$B$5:$B$1004,"&lt;"&amp;DATE($B$3,11+1,1),업무일지!$AA$5:$AA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AA$5:$AA$1004,"*"&amp;$A35&amp;"*"),COUNTIFS(업무일지!$B$5:$B$1004,"&gt;="&amp;DATE($B$3,12,1),업무일지!$B$5:$B$1004,"&lt;"&amp;DATE($B$3,12+1,1),업무일지!$AA$5:$AA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AA$5:$AA$1004,"*"&amp;$A36&amp;"*"),COUNTIFS(업무일지!$B$5:$B$1004,"&gt;="&amp;DATE($B$3,1,1),업무일지!$B$5:$B$1004,"&lt;"&amp;DATE($B$3,1+1,1),업무일지!$AA$5:$AA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AA$5:$AA$1004,"*"&amp;$A36&amp;"*"),COUNTIFS(업무일지!$B$5:$B$1004,"&gt;="&amp;DATE($B$3,2,1),업무일지!$B$5:$B$1004,"&lt;"&amp;DATE($B$3,2+1,1),업무일지!$AA$5:$AA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AA$5:$AA$1004,"*"&amp;$A36&amp;"*"),COUNTIFS(업무일지!$B$5:$B$1004,"&gt;="&amp;DATE($B$3,3,1),업무일지!$B$5:$B$1004,"&lt;"&amp;DATE($B$3,3+1,1),업무일지!$AA$5:$AA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AA$5:$AA$1004,"*"&amp;$A36&amp;"*"),COUNTIFS(업무일지!$B$5:$B$1004,"&gt;="&amp;DATE($B$3,4,1),업무일지!$B$5:$B$1004,"&lt;"&amp;DATE($B$3,4+1,1),업무일지!$AA$5:$AA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AA$5:$AA$1004,"*"&amp;$A36&amp;"*"),COUNTIFS(업무일지!$B$5:$B$1004,"&gt;="&amp;DATE($B$3,5,1),업무일지!$B$5:$B$1004,"&lt;"&amp;DATE($B$3,5+1,1),업무일지!$AA$5:$AA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AA$5:$AA$1004,"*"&amp;$A36&amp;"*"),COUNTIFS(업무일지!$B$5:$B$1004,"&gt;="&amp;DATE($B$3,6,1),업무일지!$B$5:$B$1004,"&lt;"&amp;DATE($B$3,6+1,1),업무일지!$AA$5:$AA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AA$5:$AA$1004,"*"&amp;$A36&amp;"*"),COUNTIFS(업무일지!$B$5:$B$1004,"&gt;="&amp;DATE($B$3,7,1),업무일지!$B$5:$B$1004,"&lt;"&amp;DATE($B$3,7+1,1),업무일지!$AA$5:$AA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AA$5:$AA$1004,"*"&amp;$A36&amp;"*"),COUNTIFS(업무일지!$B$5:$B$1004,"&gt;="&amp;DATE($B$3,8,1),업무일지!$B$5:$B$1004,"&lt;"&amp;DATE($B$3,8+1,1),업무일지!$AA$5:$AA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AA$5:$AA$1004,"*"&amp;$A36&amp;"*"),COUNTIFS(업무일지!$B$5:$B$1004,"&gt;="&amp;DATE($B$3,9,1),업무일지!$B$5:$B$1004,"&lt;"&amp;DATE($B$3,9+1,1),업무일지!$AA$5:$AA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AA$5:$AA$1004,"*"&amp;$A36&amp;"*"),COUNTIFS(업무일지!$B$5:$B$1004,"&gt;="&amp;DATE($B$3,10,1),업무일지!$B$5:$B$1004,"&lt;"&amp;DATE($B$3,10+1,1),업무일지!$AA$5:$AA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AA$5:$AA$1004,"*"&amp;$A36&amp;"*"),COUNTIFS(업무일지!$B$5:$B$1004,"&gt;="&amp;DATE($B$3,11,1),업무일지!$B$5:$B$1004,"&lt;"&amp;DATE($B$3,11+1,1),업무일지!$AA$5:$AA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AA$5:$AA$1004,"*"&amp;$A36&amp;"*"),COUNTIFS(업무일지!$B$5:$B$1004,"&gt;="&amp;DATE($B$3,12,1),업무일지!$B$5:$B$1004,"&lt;"&amp;DATE($B$3,12+1,1),업무일지!$AA$5:$AA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AA$5:$AA$1004,"*"&amp;$A37&amp;"*"),COUNTIFS(업무일지!$B$5:$B$1004,"&gt;="&amp;DATE($B$3,1,1),업무일지!$B$5:$B$1004,"&lt;"&amp;DATE($B$3,1+1,1),업무일지!$AA$5:$AA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AA$5:$AA$1004,"*"&amp;$A37&amp;"*"),COUNTIFS(업무일지!$B$5:$B$1004,"&gt;="&amp;DATE($B$3,2,1),업무일지!$B$5:$B$1004,"&lt;"&amp;DATE($B$3,2+1,1),업무일지!$AA$5:$AA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AA$5:$AA$1004,"*"&amp;$A37&amp;"*"),COUNTIFS(업무일지!$B$5:$B$1004,"&gt;="&amp;DATE($B$3,3,1),업무일지!$B$5:$B$1004,"&lt;"&amp;DATE($B$3,3+1,1),업무일지!$AA$5:$AA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AA$5:$AA$1004,"*"&amp;$A37&amp;"*"),COUNTIFS(업무일지!$B$5:$B$1004,"&gt;="&amp;DATE($B$3,4,1),업무일지!$B$5:$B$1004,"&lt;"&amp;DATE($B$3,4+1,1),업무일지!$AA$5:$AA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AA$5:$AA$1004,"*"&amp;$A37&amp;"*"),COUNTIFS(업무일지!$B$5:$B$1004,"&gt;="&amp;DATE($B$3,5,1),업무일지!$B$5:$B$1004,"&lt;"&amp;DATE($B$3,5+1,1),업무일지!$AA$5:$AA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AA$5:$AA$1004,"*"&amp;$A37&amp;"*"),COUNTIFS(업무일지!$B$5:$B$1004,"&gt;="&amp;DATE($B$3,6,1),업무일지!$B$5:$B$1004,"&lt;"&amp;DATE($B$3,6+1,1),업무일지!$AA$5:$AA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AA$5:$AA$1004,"*"&amp;$A37&amp;"*"),COUNTIFS(업무일지!$B$5:$B$1004,"&gt;="&amp;DATE($B$3,7,1),업무일지!$B$5:$B$1004,"&lt;"&amp;DATE($B$3,7+1,1),업무일지!$AA$5:$AA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AA$5:$AA$1004,"*"&amp;$A37&amp;"*"),COUNTIFS(업무일지!$B$5:$B$1004,"&gt;="&amp;DATE($B$3,8,1),업무일지!$B$5:$B$1004,"&lt;"&amp;DATE($B$3,8+1,1),업무일지!$AA$5:$AA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AA$5:$AA$1004,"*"&amp;$A37&amp;"*"),COUNTIFS(업무일지!$B$5:$B$1004,"&gt;="&amp;DATE($B$3,9,1),업무일지!$B$5:$B$1004,"&lt;"&amp;DATE($B$3,9+1,1),업무일지!$AA$5:$AA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AA$5:$AA$1004,"*"&amp;$A37&amp;"*"),COUNTIFS(업무일지!$B$5:$B$1004,"&gt;="&amp;DATE($B$3,10,1),업무일지!$B$5:$B$1004,"&lt;"&amp;DATE($B$3,10+1,1),업무일지!$AA$5:$AA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AA$5:$AA$1004,"*"&amp;$A37&amp;"*"),COUNTIFS(업무일지!$B$5:$B$1004,"&gt;="&amp;DATE($B$3,11,1),업무일지!$B$5:$B$1004,"&lt;"&amp;DATE($B$3,11+1,1),업무일지!$AA$5:$AA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AA$5:$AA$1004,"*"&amp;$A37&amp;"*"),COUNTIFS(업무일지!$B$5:$B$1004,"&gt;="&amp;DATE($B$3,12,1),업무일지!$B$5:$B$1004,"&lt;"&amp;DATE($B$3,12+1,1),업무일지!$AA$5:$AA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AA$5:$AA$1004,"*"&amp;$A38&amp;"*"),COUNTIFS(업무일지!$B$5:$B$1004,"&gt;="&amp;DATE($B$3,1,1),업무일지!$B$5:$B$1004,"&lt;"&amp;DATE($B$3,1+1,1),업무일지!$AA$5:$AA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AA$5:$AA$1004,"*"&amp;$A38&amp;"*"),COUNTIFS(업무일지!$B$5:$B$1004,"&gt;="&amp;DATE($B$3,2,1),업무일지!$B$5:$B$1004,"&lt;"&amp;DATE($B$3,2+1,1),업무일지!$AA$5:$AA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AA$5:$AA$1004,"*"&amp;$A38&amp;"*"),COUNTIFS(업무일지!$B$5:$B$1004,"&gt;="&amp;DATE($B$3,3,1),업무일지!$B$5:$B$1004,"&lt;"&amp;DATE($B$3,3+1,1),업무일지!$AA$5:$AA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AA$5:$AA$1004,"*"&amp;$A38&amp;"*"),COUNTIFS(업무일지!$B$5:$B$1004,"&gt;="&amp;DATE($B$3,4,1),업무일지!$B$5:$B$1004,"&lt;"&amp;DATE($B$3,4+1,1),업무일지!$AA$5:$AA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AA$5:$AA$1004,"*"&amp;$A38&amp;"*"),COUNTIFS(업무일지!$B$5:$B$1004,"&gt;="&amp;DATE($B$3,5,1),업무일지!$B$5:$B$1004,"&lt;"&amp;DATE($B$3,5+1,1),업무일지!$AA$5:$AA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AA$5:$AA$1004,"*"&amp;$A38&amp;"*"),COUNTIFS(업무일지!$B$5:$B$1004,"&gt;="&amp;DATE($B$3,6,1),업무일지!$B$5:$B$1004,"&lt;"&amp;DATE($B$3,6+1,1),업무일지!$AA$5:$AA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AA$5:$AA$1004,"*"&amp;$A38&amp;"*"),COUNTIFS(업무일지!$B$5:$B$1004,"&gt;="&amp;DATE($B$3,7,1),업무일지!$B$5:$B$1004,"&lt;"&amp;DATE($B$3,7+1,1),업무일지!$AA$5:$AA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AA$5:$AA$1004,"*"&amp;$A38&amp;"*"),COUNTIFS(업무일지!$B$5:$B$1004,"&gt;="&amp;DATE($B$3,8,1),업무일지!$B$5:$B$1004,"&lt;"&amp;DATE($B$3,8+1,1),업무일지!$AA$5:$AA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AA$5:$AA$1004,"*"&amp;$A38&amp;"*"),COUNTIFS(업무일지!$B$5:$B$1004,"&gt;="&amp;DATE($B$3,9,1),업무일지!$B$5:$B$1004,"&lt;"&amp;DATE($B$3,9+1,1),업무일지!$AA$5:$AA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AA$5:$AA$1004,"*"&amp;$A38&amp;"*"),COUNTIFS(업무일지!$B$5:$B$1004,"&gt;="&amp;DATE($B$3,10,1),업무일지!$B$5:$B$1004,"&lt;"&amp;DATE($B$3,10+1,1),업무일지!$AA$5:$AA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AA$5:$AA$1004,"*"&amp;$A38&amp;"*"),COUNTIFS(업무일지!$B$5:$B$1004,"&gt;="&amp;DATE($B$3,11,1),업무일지!$B$5:$B$1004,"&lt;"&amp;DATE($B$3,11+1,1),업무일지!$AA$5:$AA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AA$5:$AA$1004,"*"&amp;$A38&amp;"*"),COUNTIFS(업무일지!$B$5:$B$1004,"&gt;="&amp;DATE($B$3,12,1),업무일지!$B$5:$B$1004,"&lt;"&amp;DATE($B$3,12+1,1),업무일지!$AA$5:$AA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AA$5:$AA$1004,"*"&amp;$A39&amp;"*"),COUNTIFS(업무일지!$B$5:$B$1004,"&gt;="&amp;DATE($B$3,1,1),업무일지!$B$5:$B$1004,"&lt;"&amp;DATE($B$3,1+1,1),업무일지!$AA$5:$AA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AA$5:$AA$1004,"*"&amp;$A39&amp;"*"),COUNTIFS(업무일지!$B$5:$B$1004,"&gt;="&amp;DATE($B$3,2,1),업무일지!$B$5:$B$1004,"&lt;"&amp;DATE($B$3,2+1,1),업무일지!$AA$5:$AA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AA$5:$AA$1004,"*"&amp;$A39&amp;"*"),COUNTIFS(업무일지!$B$5:$B$1004,"&gt;="&amp;DATE($B$3,3,1),업무일지!$B$5:$B$1004,"&lt;"&amp;DATE($B$3,3+1,1),업무일지!$AA$5:$AA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AA$5:$AA$1004,"*"&amp;$A39&amp;"*"),COUNTIFS(업무일지!$B$5:$B$1004,"&gt;="&amp;DATE($B$3,4,1),업무일지!$B$5:$B$1004,"&lt;"&amp;DATE($B$3,4+1,1),업무일지!$AA$5:$AA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AA$5:$AA$1004,"*"&amp;$A39&amp;"*"),COUNTIFS(업무일지!$B$5:$B$1004,"&gt;="&amp;DATE($B$3,5,1),업무일지!$B$5:$B$1004,"&lt;"&amp;DATE($B$3,5+1,1),업무일지!$AA$5:$AA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AA$5:$AA$1004,"*"&amp;$A39&amp;"*"),COUNTIFS(업무일지!$B$5:$B$1004,"&gt;="&amp;DATE($B$3,6,1),업무일지!$B$5:$B$1004,"&lt;"&amp;DATE($B$3,6+1,1),업무일지!$AA$5:$AA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AA$5:$AA$1004,"*"&amp;$A39&amp;"*"),COUNTIFS(업무일지!$B$5:$B$1004,"&gt;="&amp;DATE($B$3,7,1),업무일지!$B$5:$B$1004,"&lt;"&amp;DATE($B$3,7+1,1),업무일지!$AA$5:$AA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AA$5:$AA$1004,"*"&amp;$A39&amp;"*"),COUNTIFS(업무일지!$B$5:$B$1004,"&gt;="&amp;DATE($B$3,8,1),업무일지!$B$5:$B$1004,"&lt;"&amp;DATE($B$3,8+1,1),업무일지!$AA$5:$AA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AA$5:$AA$1004,"*"&amp;$A39&amp;"*"),COUNTIFS(업무일지!$B$5:$B$1004,"&gt;="&amp;DATE($B$3,9,1),업무일지!$B$5:$B$1004,"&lt;"&amp;DATE($B$3,9+1,1),업무일지!$AA$5:$AA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AA$5:$AA$1004,"*"&amp;$A39&amp;"*"),COUNTIFS(업무일지!$B$5:$B$1004,"&gt;="&amp;DATE($B$3,10,1),업무일지!$B$5:$B$1004,"&lt;"&amp;DATE($B$3,10+1,1),업무일지!$AA$5:$AA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AA$5:$AA$1004,"*"&amp;$A39&amp;"*"),COUNTIFS(업무일지!$B$5:$B$1004,"&gt;="&amp;DATE($B$3,11,1),업무일지!$B$5:$B$1004,"&lt;"&amp;DATE($B$3,11+1,1),업무일지!$AA$5:$AA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AA$5:$AA$1004,"*"&amp;$A39&amp;"*"),COUNTIFS(업무일지!$B$5:$B$1004,"&gt;="&amp;DATE($B$3,12,1),업무일지!$B$5:$B$1004,"&lt;"&amp;DATE($B$3,12+1,1),업무일지!$AA$5:$AA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AA$5:$AA$1004,"*"&amp;$A40&amp;"*"),COUNTIFS(업무일지!$B$5:$B$1004,"&gt;="&amp;DATE($B$3,1,1),업무일지!$B$5:$B$1004,"&lt;"&amp;DATE($B$3,1+1,1),업무일지!$AA$5:$AA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AA$5:$AA$1004,"*"&amp;$A40&amp;"*"),COUNTIFS(업무일지!$B$5:$B$1004,"&gt;="&amp;DATE($B$3,2,1),업무일지!$B$5:$B$1004,"&lt;"&amp;DATE($B$3,2+1,1),업무일지!$AA$5:$AA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AA$5:$AA$1004,"*"&amp;$A40&amp;"*"),COUNTIFS(업무일지!$B$5:$B$1004,"&gt;="&amp;DATE($B$3,3,1),업무일지!$B$5:$B$1004,"&lt;"&amp;DATE($B$3,3+1,1),업무일지!$AA$5:$AA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AA$5:$AA$1004,"*"&amp;$A40&amp;"*"),COUNTIFS(업무일지!$B$5:$B$1004,"&gt;="&amp;DATE($B$3,4,1),업무일지!$B$5:$B$1004,"&lt;"&amp;DATE($B$3,4+1,1),업무일지!$AA$5:$AA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AA$5:$AA$1004,"*"&amp;$A40&amp;"*"),COUNTIFS(업무일지!$B$5:$B$1004,"&gt;="&amp;DATE($B$3,5,1),업무일지!$B$5:$B$1004,"&lt;"&amp;DATE($B$3,5+1,1),업무일지!$AA$5:$AA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AA$5:$AA$1004,"*"&amp;$A40&amp;"*"),COUNTIFS(업무일지!$B$5:$B$1004,"&gt;="&amp;DATE($B$3,6,1),업무일지!$B$5:$B$1004,"&lt;"&amp;DATE($B$3,6+1,1),업무일지!$AA$5:$AA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AA$5:$AA$1004,"*"&amp;$A40&amp;"*"),COUNTIFS(업무일지!$B$5:$B$1004,"&gt;="&amp;DATE($B$3,7,1),업무일지!$B$5:$B$1004,"&lt;"&amp;DATE($B$3,7+1,1),업무일지!$AA$5:$AA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AA$5:$AA$1004,"*"&amp;$A40&amp;"*"),COUNTIFS(업무일지!$B$5:$B$1004,"&gt;="&amp;DATE($B$3,8,1),업무일지!$B$5:$B$1004,"&lt;"&amp;DATE($B$3,8+1,1),업무일지!$AA$5:$AA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AA$5:$AA$1004,"*"&amp;$A40&amp;"*"),COUNTIFS(업무일지!$B$5:$B$1004,"&gt;="&amp;DATE($B$3,9,1),업무일지!$B$5:$B$1004,"&lt;"&amp;DATE($B$3,9+1,1),업무일지!$AA$5:$AA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AA$5:$AA$1004,"*"&amp;$A40&amp;"*"),COUNTIFS(업무일지!$B$5:$B$1004,"&gt;="&amp;DATE($B$3,10,1),업무일지!$B$5:$B$1004,"&lt;"&amp;DATE($B$3,10+1,1),업무일지!$AA$5:$AA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AA$5:$AA$1004,"*"&amp;$A40&amp;"*"),COUNTIFS(업무일지!$B$5:$B$1004,"&gt;="&amp;DATE($B$3,11,1),업무일지!$B$5:$B$1004,"&lt;"&amp;DATE($B$3,11+1,1),업무일지!$AA$5:$AA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AA$5:$AA$1004,"*"&amp;$A40&amp;"*"),COUNTIFS(업무일지!$B$5:$B$1004,"&gt;="&amp;DATE($B$3,12,1),업무일지!$B$5:$B$1004,"&lt;"&amp;DATE($B$3,12+1,1),업무일지!$AA$5:$AA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AA$5:$AA$1004,"*"&amp;$A41&amp;"*"),COUNTIFS(업무일지!$B$5:$B$1004,"&gt;="&amp;DATE($B$3,1,1),업무일지!$B$5:$B$1004,"&lt;"&amp;DATE($B$3,1+1,1),업무일지!$AA$5:$AA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AA$5:$AA$1004,"*"&amp;$A41&amp;"*"),COUNTIFS(업무일지!$B$5:$B$1004,"&gt;="&amp;DATE($B$3,2,1),업무일지!$B$5:$B$1004,"&lt;"&amp;DATE($B$3,2+1,1),업무일지!$AA$5:$AA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AA$5:$AA$1004,"*"&amp;$A41&amp;"*"),COUNTIFS(업무일지!$B$5:$B$1004,"&gt;="&amp;DATE($B$3,3,1),업무일지!$B$5:$B$1004,"&lt;"&amp;DATE($B$3,3+1,1),업무일지!$AA$5:$AA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AA$5:$AA$1004,"*"&amp;$A41&amp;"*"),COUNTIFS(업무일지!$B$5:$B$1004,"&gt;="&amp;DATE($B$3,4,1),업무일지!$B$5:$B$1004,"&lt;"&amp;DATE($B$3,4+1,1),업무일지!$AA$5:$AA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AA$5:$AA$1004,"*"&amp;$A41&amp;"*"),COUNTIFS(업무일지!$B$5:$B$1004,"&gt;="&amp;DATE($B$3,5,1),업무일지!$B$5:$B$1004,"&lt;"&amp;DATE($B$3,5+1,1),업무일지!$AA$5:$AA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AA$5:$AA$1004,"*"&amp;$A41&amp;"*"),COUNTIFS(업무일지!$B$5:$B$1004,"&gt;="&amp;DATE($B$3,6,1),업무일지!$B$5:$B$1004,"&lt;"&amp;DATE($B$3,6+1,1),업무일지!$AA$5:$AA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AA$5:$AA$1004,"*"&amp;$A41&amp;"*"),COUNTIFS(업무일지!$B$5:$B$1004,"&gt;="&amp;DATE($B$3,7,1),업무일지!$B$5:$B$1004,"&lt;"&amp;DATE($B$3,7+1,1),업무일지!$AA$5:$AA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AA$5:$AA$1004,"*"&amp;$A41&amp;"*"),COUNTIFS(업무일지!$B$5:$B$1004,"&gt;="&amp;DATE($B$3,8,1),업무일지!$B$5:$B$1004,"&lt;"&amp;DATE($B$3,8+1,1),업무일지!$AA$5:$AA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AA$5:$AA$1004,"*"&amp;$A41&amp;"*"),COUNTIFS(업무일지!$B$5:$B$1004,"&gt;="&amp;DATE($B$3,9,1),업무일지!$B$5:$B$1004,"&lt;"&amp;DATE($B$3,9+1,1),업무일지!$AA$5:$AA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AA$5:$AA$1004,"*"&amp;$A41&amp;"*"),COUNTIFS(업무일지!$B$5:$B$1004,"&gt;="&amp;DATE($B$3,10,1),업무일지!$B$5:$B$1004,"&lt;"&amp;DATE($B$3,10+1,1),업무일지!$AA$5:$AA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AA$5:$AA$1004,"*"&amp;$A41&amp;"*"),COUNTIFS(업무일지!$B$5:$B$1004,"&gt;="&amp;DATE($B$3,11,1),업무일지!$B$5:$B$1004,"&lt;"&amp;DATE($B$3,11+1,1),업무일지!$AA$5:$AA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AA$5:$AA$1004,"*"&amp;$A41&amp;"*"),COUNTIFS(업무일지!$B$5:$B$1004,"&gt;="&amp;DATE($B$3,12,1),업무일지!$B$5:$B$1004,"&lt;"&amp;DATE($B$3,12+1,1),업무일지!$AA$5:$AA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AA$5:$AA$1004,"*"&amp;$A42&amp;"*"),COUNTIFS(업무일지!$B$5:$B$1004,"&gt;="&amp;DATE($B$3,1,1),업무일지!$B$5:$B$1004,"&lt;"&amp;DATE($B$3,1+1,1),업무일지!$AA$5:$AA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AA$5:$AA$1004,"*"&amp;$A42&amp;"*"),COUNTIFS(업무일지!$B$5:$B$1004,"&gt;="&amp;DATE($B$3,2,1),업무일지!$B$5:$B$1004,"&lt;"&amp;DATE($B$3,2+1,1),업무일지!$AA$5:$AA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AA$5:$AA$1004,"*"&amp;$A42&amp;"*"),COUNTIFS(업무일지!$B$5:$B$1004,"&gt;="&amp;DATE($B$3,3,1),업무일지!$B$5:$B$1004,"&lt;"&amp;DATE($B$3,3+1,1),업무일지!$AA$5:$AA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AA$5:$AA$1004,"*"&amp;$A42&amp;"*"),COUNTIFS(업무일지!$B$5:$B$1004,"&gt;="&amp;DATE($B$3,4,1),업무일지!$B$5:$B$1004,"&lt;"&amp;DATE($B$3,4+1,1),업무일지!$AA$5:$AA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AA$5:$AA$1004,"*"&amp;$A42&amp;"*"),COUNTIFS(업무일지!$B$5:$B$1004,"&gt;="&amp;DATE($B$3,5,1),업무일지!$B$5:$B$1004,"&lt;"&amp;DATE($B$3,5+1,1),업무일지!$AA$5:$AA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AA$5:$AA$1004,"*"&amp;$A42&amp;"*"),COUNTIFS(업무일지!$B$5:$B$1004,"&gt;="&amp;DATE($B$3,6,1),업무일지!$B$5:$B$1004,"&lt;"&amp;DATE($B$3,6+1,1),업무일지!$AA$5:$AA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AA$5:$AA$1004,"*"&amp;$A42&amp;"*"),COUNTIFS(업무일지!$B$5:$B$1004,"&gt;="&amp;DATE($B$3,7,1),업무일지!$B$5:$B$1004,"&lt;"&amp;DATE($B$3,7+1,1),업무일지!$AA$5:$AA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AA$5:$AA$1004,"*"&amp;$A42&amp;"*"),COUNTIFS(업무일지!$B$5:$B$1004,"&gt;="&amp;DATE($B$3,8,1),업무일지!$B$5:$B$1004,"&lt;"&amp;DATE($B$3,8+1,1),업무일지!$AA$5:$AA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AA$5:$AA$1004,"*"&amp;$A42&amp;"*"),COUNTIFS(업무일지!$B$5:$B$1004,"&gt;="&amp;DATE($B$3,9,1),업무일지!$B$5:$B$1004,"&lt;"&amp;DATE($B$3,9+1,1),업무일지!$AA$5:$AA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AA$5:$AA$1004,"*"&amp;$A42&amp;"*"),COUNTIFS(업무일지!$B$5:$B$1004,"&gt;="&amp;DATE($B$3,10,1),업무일지!$B$5:$B$1004,"&lt;"&amp;DATE($B$3,10+1,1),업무일지!$AA$5:$AA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AA$5:$AA$1004,"*"&amp;$A42&amp;"*"),COUNTIFS(업무일지!$B$5:$B$1004,"&gt;="&amp;DATE($B$3,11,1),업무일지!$B$5:$B$1004,"&lt;"&amp;DATE($B$3,11+1,1),업무일지!$AA$5:$AA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AA$5:$AA$1004,"*"&amp;$A42&amp;"*"),COUNTIFS(업무일지!$B$5:$B$1004,"&gt;="&amp;DATE($B$3,12,1),업무일지!$B$5:$B$1004,"&lt;"&amp;DATE($B$3,12+1,1),업무일지!$AA$5:$AA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AA$5:$AA$1004,"*"&amp;$A43&amp;"*"),COUNTIFS(업무일지!$B$5:$B$1004,"&gt;="&amp;DATE($B$3,1,1),업무일지!$B$5:$B$1004,"&lt;"&amp;DATE($B$3,1+1,1),업무일지!$AA$5:$AA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AA$5:$AA$1004,"*"&amp;$A43&amp;"*"),COUNTIFS(업무일지!$B$5:$B$1004,"&gt;="&amp;DATE($B$3,2,1),업무일지!$B$5:$B$1004,"&lt;"&amp;DATE($B$3,2+1,1),업무일지!$AA$5:$AA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AA$5:$AA$1004,"*"&amp;$A43&amp;"*"),COUNTIFS(업무일지!$B$5:$B$1004,"&gt;="&amp;DATE($B$3,3,1),업무일지!$B$5:$B$1004,"&lt;"&amp;DATE($B$3,3+1,1),업무일지!$AA$5:$AA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AA$5:$AA$1004,"*"&amp;$A43&amp;"*"),COUNTIFS(업무일지!$B$5:$B$1004,"&gt;="&amp;DATE($B$3,4,1),업무일지!$B$5:$B$1004,"&lt;"&amp;DATE($B$3,4+1,1),업무일지!$AA$5:$AA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AA$5:$AA$1004,"*"&amp;$A43&amp;"*"),COUNTIFS(업무일지!$B$5:$B$1004,"&gt;="&amp;DATE($B$3,5,1),업무일지!$B$5:$B$1004,"&lt;"&amp;DATE($B$3,5+1,1),업무일지!$AA$5:$AA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AA$5:$AA$1004,"*"&amp;$A43&amp;"*"),COUNTIFS(업무일지!$B$5:$B$1004,"&gt;="&amp;DATE($B$3,6,1),업무일지!$B$5:$B$1004,"&lt;"&amp;DATE($B$3,6+1,1),업무일지!$AA$5:$AA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AA$5:$AA$1004,"*"&amp;$A43&amp;"*"),COUNTIFS(업무일지!$B$5:$B$1004,"&gt;="&amp;DATE($B$3,7,1),업무일지!$B$5:$B$1004,"&lt;"&amp;DATE($B$3,7+1,1),업무일지!$AA$5:$AA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AA$5:$AA$1004,"*"&amp;$A43&amp;"*"),COUNTIFS(업무일지!$B$5:$B$1004,"&gt;="&amp;DATE($B$3,8,1),업무일지!$B$5:$B$1004,"&lt;"&amp;DATE($B$3,8+1,1),업무일지!$AA$5:$AA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AA$5:$AA$1004,"*"&amp;$A43&amp;"*"),COUNTIFS(업무일지!$B$5:$B$1004,"&gt;="&amp;DATE($B$3,9,1),업무일지!$B$5:$B$1004,"&lt;"&amp;DATE($B$3,9+1,1),업무일지!$AA$5:$AA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AA$5:$AA$1004,"*"&amp;$A43&amp;"*"),COUNTIFS(업무일지!$B$5:$B$1004,"&gt;="&amp;DATE($B$3,10,1),업무일지!$B$5:$B$1004,"&lt;"&amp;DATE($B$3,10+1,1),업무일지!$AA$5:$AA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AA$5:$AA$1004,"*"&amp;$A43&amp;"*"),COUNTIFS(업무일지!$B$5:$B$1004,"&gt;="&amp;DATE($B$3,11,1),업무일지!$B$5:$B$1004,"&lt;"&amp;DATE($B$3,11+1,1),업무일지!$AA$5:$AA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AA$5:$AA$1004,"*"&amp;$A43&amp;"*"),COUNTIFS(업무일지!$B$5:$B$1004,"&gt;="&amp;DATE($B$3,12,1),업무일지!$B$5:$B$1004,"&lt;"&amp;DATE($B$3,12+1,1),업무일지!$AA$5:$AA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AA$5:$AA$1004,"*"&amp;$A44&amp;"*"),COUNTIFS(업무일지!$B$5:$B$1004,"&gt;="&amp;DATE($B$3,1,1),업무일지!$B$5:$B$1004,"&lt;"&amp;DATE($B$3,1+1,1),업무일지!$AA$5:$AA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AA$5:$AA$1004,"*"&amp;$A44&amp;"*"),COUNTIFS(업무일지!$B$5:$B$1004,"&gt;="&amp;DATE($B$3,2,1),업무일지!$B$5:$B$1004,"&lt;"&amp;DATE($B$3,2+1,1),업무일지!$AA$5:$AA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AA$5:$AA$1004,"*"&amp;$A44&amp;"*"),COUNTIFS(업무일지!$B$5:$B$1004,"&gt;="&amp;DATE($B$3,3,1),업무일지!$B$5:$B$1004,"&lt;"&amp;DATE($B$3,3+1,1),업무일지!$AA$5:$AA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AA$5:$AA$1004,"*"&amp;$A44&amp;"*"),COUNTIFS(업무일지!$B$5:$B$1004,"&gt;="&amp;DATE($B$3,4,1),업무일지!$B$5:$B$1004,"&lt;"&amp;DATE($B$3,4+1,1),업무일지!$AA$5:$AA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AA$5:$AA$1004,"*"&amp;$A44&amp;"*"),COUNTIFS(업무일지!$B$5:$B$1004,"&gt;="&amp;DATE($B$3,5,1),업무일지!$B$5:$B$1004,"&lt;"&amp;DATE($B$3,5+1,1),업무일지!$AA$5:$AA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AA$5:$AA$1004,"*"&amp;$A44&amp;"*"),COUNTIFS(업무일지!$B$5:$B$1004,"&gt;="&amp;DATE($B$3,6,1),업무일지!$B$5:$B$1004,"&lt;"&amp;DATE($B$3,6+1,1),업무일지!$AA$5:$AA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AA$5:$AA$1004,"*"&amp;$A44&amp;"*"),COUNTIFS(업무일지!$B$5:$B$1004,"&gt;="&amp;DATE($B$3,7,1),업무일지!$B$5:$B$1004,"&lt;"&amp;DATE($B$3,7+1,1),업무일지!$AA$5:$AA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AA$5:$AA$1004,"*"&amp;$A44&amp;"*"),COUNTIFS(업무일지!$B$5:$B$1004,"&gt;="&amp;DATE($B$3,8,1),업무일지!$B$5:$B$1004,"&lt;"&amp;DATE($B$3,8+1,1),업무일지!$AA$5:$AA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AA$5:$AA$1004,"*"&amp;$A44&amp;"*"),COUNTIFS(업무일지!$B$5:$B$1004,"&gt;="&amp;DATE($B$3,9,1),업무일지!$B$5:$B$1004,"&lt;"&amp;DATE($B$3,9+1,1),업무일지!$AA$5:$AA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AA$5:$AA$1004,"*"&amp;$A44&amp;"*"),COUNTIFS(업무일지!$B$5:$B$1004,"&gt;="&amp;DATE($B$3,10,1),업무일지!$B$5:$B$1004,"&lt;"&amp;DATE($B$3,10+1,1),업무일지!$AA$5:$AA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AA$5:$AA$1004,"*"&amp;$A44&amp;"*"),COUNTIFS(업무일지!$B$5:$B$1004,"&gt;="&amp;DATE($B$3,11,1),업무일지!$B$5:$B$1004,"&lt;"&amp;DATE($B$3,11+1,1),업무일지!$AA$5:$AA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AA$5:$AA$1004,"*"&amp;$A44&amp;"*"),COUNTIFS(업무일지!$B$5:$B$1004,"&gt;="&amp;DATE($B$3,12,1),업무일지!$B$5:$B$1004,"&lt;"&amp;DATE($B$3,12+1,1),업무일지!$AA$5:$AA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AA$5:$AA$1004,"*"&amp;$A45&amp;"*"),COUNTIFS(업무일지!$B$5:$B$1004,"&gt;="&amp;DATE($B$3,1,1),업무일지!$B$5:$B$1004,"&lt;"&amp;DATE($B$3,1+1,1),업무일지!$AA$5:$AA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AA$5:$AA$1004,"*"&amp;$A45&amp;"*"),COUNTIFS(업무일지!$B$5:$B$1004,"&gt;="&amp;DATE($B$3,2,1),업무일지!$B$5:$B$1004,"&lt;"&amp;DATE($B$3,2+1,1),업무일지!$AA$5:$AA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AA$5:$AA$1004,"*"&amp;$A45&amp;"*"),COUNTIFS(업무일지!$B$5:$B$1004,"&gt;="&amp;DATE($B$3,3,1),업무일지!$B$5:$B$1004,"&lt;"&amp;DATE($B$3,3+1,1),업무일지!$AA$5:$AA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AA$5:$AA$1004,"*"&amp;$A45&amp;"*"),COUNTIFS(업무일지!$B$5:$B$1004,"&gt;="&amp;DATE($B$3,4,1),업무일지!$B$5:$B$1004,"&lt;"&amp;DATE($B$3,4+1,1),업무일지!$AA$5:$AA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AA$5:$AA$1004,"*"&amp;$A45&amp;"*"),COUNTIFS(업무일지!$B$5:$B$1004,"&gt;="&amp;DATE($B$3,5,1),업무일지!$B$5:$B$1004,"&lt;"&amp;DATE($B$3,5+1,1),업무일지!$AA$5:$AA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AA$5:$AA$1004,"*"&amp;$A45&amp;"*"),COUNTIFS(업무일지!$B$5:$B$1004,"&gt;="&amp;DATE($B$3,6,1),업무일지!$B$5:$B$1004,"&lt;"&amp;DATE($B$3,6+1,1),업무일지!$AA$5:$AA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AA$5:$AA$1004,"*"&amp;$A45&amp;"*"),COUNTIFS(업무일지!$B$5:$B$1004,"&gt;="&amp;DATE($B$3,7,1),업무일지!$B$5:$B$1004,"&lt;"&amp;DATE($B$3,7+1,1),업무일지!$AA$5:$AA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AA$5:$AA$1004,"*"&amp;$A45&amp;"*"),COUNTIFS(업무일지!$B$5:$B$1004,"&gt;="&amp;DATE($B$3,8,1),업무일지!$B$5:$B$1004,"&lt;"&amp;DATE($B$3,8+1,1),업무일지!$AA$5:$AA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AA$5:$AA$1004,"*"&amp;$A45&amp;"*"),COUNTIFS(업무일지!$B$5:$B$1004,"&gt;="&amp;DATE($B$3,9,1),업무일지!$B$5:$B$1004,"&lt;"&amp;DATE($B$3,9+1,1),업무일지!$AA$5:$AA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AA$5:$AA$1004,"*"&amp;$A45&amp;"*"),COUNTIFS(업무일지!$B$5:$B$1004,"&gt;="&amp;DATE($B$3,10,1),업무일지!$B$5:$B$1004,"&lt;"&amp;DATE($B$3,10+1,1),업무일지!$AA$5:$AA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AA$5:$AA$1004,"*"&amp;$A45&amp;"*"),COUNTIFS(업무일지!$B$5:$B$1004,"&gt;="&amp;DATE($B$3,11,1),업무일지!$B$5:$B$1004,"&lt;"&amp;DATE($B$3,11+1,1),업무일지!$AA$5:$AA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AA$5:$AA$1004,"*"&amp;$A45&amp;"*"),COUNTIFS(업무일지!$B$5:$B$1004,"&gt;="&amp;DATE($B$3,12,1),업무일지!$B$5:$B$1004,"&lt;"&amp;DATE($B$3,12+1,1),업무일지!$AA$5:$AA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AA$5:$AA$1004,"*"&amp;$A46&amp;"*"),COUNTIFS(업무일지!$B$5:$B$1004,"&gt;="&amp;DATE($B$3,1,1),업무일지!$B$5:$B$1004,"&lt;"&amp;DATE($B$3,1+1,1),업무일지!$AA$5:$AA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AA$5:$AA$1004,"*"&amp;$A46&amp;"*"),COUNTIFS(업무일지!$B$5:$B$1004,"&gt;="&amp;DATE($B$3,2,1),업무일지!$B$5:$B$1004,"&lt;"&amp;DATE($B$3,2+1,1),업무일지!$AA$5:$AA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AA$5:$AA$1004,"*"&amp;$A46&amp;"*"),COUNTIFS(업무일지!$B$5:$B$1004,"&gt;="&amp;DATE($B$3,3,1),업무일지!$B$5:$B$1004,"&lt;"&amp;DATE($B$3,3+1,1),업무일지!$AA$5:$AA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AA$5:$AA$1004,"*"&amp;$A46&amp;"*"),COUNTIFS(업무일지!$B$5:$B$1004,"&gt;="&amp;DATE($B$3,4,1),업무일지!$B$5:$B$1004,"&lt;"&amp;DATE($B$3,4+1,1),업무일지!$AA$5:$AA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AA$5:$AA$1004,"*"&amp;$A46&amp;"*"),COUNTIFS(업무일지!$B$5:$B$1004,"&gt;="&amp;DATE($B$3,5,1),업무일지!$B$5:$B$1004,"&lt;"&amp;DATE($B$3,5+1,1),업무일지!$AA$5:$AA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AA$5:$AA$1004,"*"&amp;$A46&amp;"*"),COUNTIFS(업무일지!$B$5:$B$1004,"&gt;="&amp;DATE($B$3,6,1),업무일지!$B$5:$B$1004,"&lt;"&amp;DATE($B$3,6+1,1),업무일지!$AA$5:$AA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AA$5:$AA$1004,"*"&amp;$A46&amp;"*"),COUNTIFS(업무일지!$B$5:$B$1004,"&gt;="&amp;DATE($B$3,7,1),업무일지!$B$5:$B$1004,"&lt;"&amp;DATE($B$3,7+1,1),업무일지!$AA$5:$AA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AA$5:$AA$1004,"*"&amp;$A46&amp;"*"),COUNTIFS(업무일지!$B$5:$B$1004,"&gt;="&amp;DATE($B$3,8,1),업무일지!$B$5:$B$1004,"&lt;"&amp;DATE($B$3,8+1,1),업무일지!$AA$5:$AA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AA$5:$AA$1004,"*"&amp;$A46&amp;"*"),COUNTIFS(업무일지!$B$5:$B$1004,"&gt;="&amp;DATE($B$3,9,1),업무일지!$B$5:$B$1004,"&lt;"&amp;DATE($B$3,9+1,1),업무일지!$AA$5:$AA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AA$5:$AA$1004,"*"&amp;$A46&amp;"*"),COUNTIFS(업무일지!$B$5:$B$1004,"&gt;="&amp;DATE($B$3,10,1),업무일지!$B$5:$B$1004,"&lt;"&amp;DATE($B$3,10+1,1),업무일지!$AA$5:$AA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AA$5:$AA$1004,"*"&amp;$A46&amp;"*"),COUNTIFS(업무일지!$B$5:$B$1004,"&gt;="&amp;DATE($B$3,11,1),업무일지!$B$5:$B$1004,"&lt;"&amp;DATE($B$3,11+1,1),업무일지!$AA$5:$AA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AA$5:$AA$1004,"*"&amp;$A46&amp;"*"),COUNTIFS(업무일지!$B$5:$B$1004,"&gt;="&amp;DATE($B$3,12,1),업무일지!$B$5:$B$1004,"&lt;"&amp;DATE($B$3,12+1,1),업무일지!$AA$5:$AA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AA$5:$AA$1004,"*"&amp;$A47&amp;"*"),COUNTIFS(업무일지!$B$5:$B$1004,"&gt;="&amp;DATE($B$3,1,1),업무일지!$B$5:$B$1004,"&lt;"&amp;DATE($B$3,1+1,1),업무일지!$AA$5:$AA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AA$5:$AA$1004,"*"&amp;$A47&amp;"*"),COUNTIFS(업무일지!$B$5:$B$1004,"&gt;="&amp;DATE($B$3,2,1),업무일지!$B$5:$B$1004,"&lt;"&amp;DATE($B$3,2+1,1),업무일지!$AA$5:$AA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AA$5:$AA$1004,"*"&amp;$A47&amp;"*"),COUNTIFS(업무일지!$B$5:$B$1004,"&gt;="&amp;DATE($B$3,3,1),업무일지!$B$5:$B$1004,"&lt;"&amp;DATE($B$3,3+1,1),업무일지!$AA$5:$AA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AA$5:$AA$1004,"*"&amp;$A47&amp;"*"),COUNTIFS(업무일지!$B$5:$B$1004,"&gt;="&amp;DATE($B$3,4,1),업무일지!$B$5:$B$1004,"&lt;"&amp;DATE($B$3,4+1,1),업무일지!$AA$5:$AA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AA$5:$AA$1004,"*"&amp;$A47&amp;"*"),COUNTIFS(업무일지!$B$5:$B$1004,"&gt;="&amp;DATE($B$3,5,1),업무일지!$B$5:$B$1004,"&lt;"&amp;DATE($B$3,5+1,1),업무일지!$AA$5:$AA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AA$5:$AA$1004,"*"&amp;$A47&amp;"*"),COUNTIFS(업무일지!$B$5:$B$1004,"&gt;="&amp;DATE($B$3,6,1),업무일지!$B$5:$B$1004,"&lt;"&amp;DATE($B$3,6+1,1),업무일지!$AA$5:$AA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AA$5:$AA$1004,"*"&amp;$A47&amp;"*"),COUNTIFS(업무일지!$B$5:$B$1004,"&gt;="&amp;DATE($B$3,7,1),업무일지!$B$5:$B$1004,"&lt;"&amp;DATE($B$3,7+1,1),업무일지!$AA$5:$AA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AA$5:$AA$1004,"*"&amp;$A47&amp;"*"),COUNTIFS(업무일지!$B$5:$B$1004,"&gt;="&amp;DATE($B$3,8,1),업무일지!$B$5:$B$1004,"&lt;"&amp;DATE($B$3,8+1,1),업무일지!$AA$5:$AA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AA$5:$AA$1004,"*"&amp;$A47&amp;"*"),COUNTIFS(업무일지!$B$5:$B$1004,"&gt;="&amp;DATE($B$3,9,1),업무일지!$B$5:$B$1004,"&lt;"&amp;DATE($B$3,9+1,1),업무일지!$AA$5:$AA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AA$5:$AA$1004,"*"&amp;$A47&amp;"*"),COUNTIFS(업무일지!$B$5:$B$1004,"&gt;="&amp;DATE($B$3,10,1),업무일지!$B$5:$B$1004,"&lt;"&amp;DATE($B$3,10+1,1),업무일지!$AA$5:$AA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AA$5:$AA$1004,"*"&amp;$A47&amp;"*"),COUNTIFS(업무일지!$B$5:$B$1004,"&gt;="&amp;DATE($B$3,11,1),업무일지!$B$5:$B$1004,"&lt;"&amp;DATE($B$3,11+1,1),업무일지!$AA$5:$AA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AA$5:$AA$1004,"*"&amp;$A47&amp;"*"),COUNTIFS(업무일지!$B$5:$B$1004,"&gt;="&amp;DATE($B$3,12,1),업무일지!$B$5:$B$1004,"&lt;"&amp;DATE($B$3,12+1,1),업무일지!$AA$5:$AA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AA$5:$AA$1004,"*"&amp;$A48&amp;"*"),COUNTIFS(업무일지!$B$5:$B$1004,"&gt;="&amp;DATE($B$3,1,1),업무일지!$B$5:$B$1004,"&lt;"&amp;DATE($B$3,1+1,1),업무일지!$AA$5:$AA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AA$5:$AA$1004,"*"&amp;$A48&amp;"*"),COUNTIFS(업무일지!$B$5:$B$1004,"&gt;="&amp;DATE($B$3,2,1),업무일지!$B$5:$B$1004,"&lt;"&amp;DATE($B$3,2+1,1),업무일지!$AA$5:$AA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AA$5:$AA$1004,"*"&amp;$A48&amp;"*"),COUNTIFS(업무일지!$B$5:$B$1004,"&gt;="&amp;DATE($B$3,3,1),업무일지!$B$5:$B$1004,"&lt;"&amp;DATE($B$3,3+1,1),업무일지!$AA$5:$AA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AA$5:$AA$1004,"*"&amp;$A48&amp;"*"),COUNTIFS(업무일지!$B$5:$B$1004,"&gt;="&amp;DATE($B$3,4,1),업무일지!$B$5:$B$1004,"&lt;"&amp;DATE($B$3,4+1,1),업무일지!$AA$5:$AA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AA$5:$AA$1004,"*"&amp;$A48&amp;"*"),COUNTIFS(업무일지!$B$5:$B$1004,"&gt;="&amp;DATE($B$3,5,1),업무일지!$B$5:$B$1004,"&lt;"&amp;DATE($B$3,5+1,1),업무일지!$AA$5:$AA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AA$5:$AA$1004,"*"&amp;$A48&amp;"*"),COUNTIFS(업무일지!$B$5:$B$1004,"&gt;="&amp;DATE($B$3,6,1),업무일지!$B$5:$B$1004,"&lt;"&amp;DATE($B$3,6+1,1),업무일지!$AA$5:$AA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AA$5:$AA$1004,"*"&amp;$A48&amp;"*"),COUNTIFS(업무일지!$B$5:$B$1004,"&gt;="&amp;DATE($B$3,7,1),업무일지!$B$5:$B$1004,"&lt;"&amp;DATE($B$3,7+1,1),업무일지!$AA$5:$AA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AA$5:$AA$1004,"*"&amp;$A48&amp;"*"),COUNTIFS(업무일지!$B$5:$B$1004,"&gt;="&amp;DATE($B$3,8,1),업무일지!$B$5:$B$1004,"&lt;"&amp;DATE($B$3,8+1,1),업무일지!$AA$5:$AA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AA$5:$AA$1004,"*"&amp;$A48&amp;"*"),COUNTIFS(업무일지!$B$5:$B$1004,"&gt;="&amp;DATE($B$3,9,1),업무일지!$B$5:$B$1004,"&lt;"&amp;DATE($B$3,9+1,1),업무일지!$AA$5:$AA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AA$5:$AA$1004,"*"&amp;$A48&amp;"*"),COUNTIFS(업무일지!$B$5:$B$1004,"&gt;="&amp;DATE($B$3,10,1),업무일지!$B$5:$B$1004,"&lt;"&amp;DATE($B$3,10+1,1),업무일지!$AA$5:$AA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AA$5:$AA$1004,"*"&amp;$A48&amp;"*"),COUNTIFS(업무일지!$B$5:$B$1004,"&gt;="&amp;DATE($B$3,11,1),업무일지!$B$5:$B$1004,"&lt;"&amp;DATE($B$3,11+1,1),업무일지!$AA$5:$AA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AA$5:$AA$1004,"*"&amp;$A48&amp;"*"),COUNTIFS(업무일지!$B$5:$B$1004,"&gt;="&amp;DATE($B$3,12,1),업무일지!$B$5:$B$1004,"&lt;"&amp;DATE($B$3,12+1,1),업무일지!$AA$5:$AA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AA$5:$AA$1004,"*"&amp;$A49&amp;"*"),COUNTIFS(업무일지!$B$5:$B$1004,"&gt;="&amp;DATE($B$3,1,1),업무일지!$B$5:$B$1004,"&lt;"&amp;DATE($B$3,1+1,1),업무일지!$AA$5:$AA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AA$5:$AA$1004,"*"&amp;$A49&amp;"*"),COUNTIFS(업무일지!$B$5:$B$1004,"&gt;="&amp;DATE($B$3,2,1),업무일지!$B$5:$B$1004,"&lt;"&amp;DATE($B$3,2+1,1),업무일지!$AA$5:$AA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AA$5:$AA$1004,"*"&amp;$A49&amp;"*"),COUNTIFS(업무일지!$B$5:$B$1004,"&gt;="&amp;DATE($B$3,3,1),업무일지!$B$5:$B$1004,"&lt;"&amp;DATE($B$3,3+1,1),업무일지!$AA$5:$AA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AA$5:$AA$1004,"*"&amp;$A49&amp;"*"),COUNTIFS(업무일지!$B$5:$B$1004,"&gt;="&amp;DATE($B$3,4,1),업무일지!$B$5:$B$1004,"&lt;"&amp;DATE($B$3,4+1,1),업무일지!$AA$5:$AA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AA$5:$AA$1004,"*"&amp;$A49&amp;"*"),COUNTIFS(업무일지!$B$5:$B$1004,"&gt;="&amp;DATE($B$3,5,1),업무일지!$B$5:$B$1004,"&lt;"&amp;DATE($B$3,5+1,1),업무일지!$AA$5:$AA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AA$5:$AA$1004,"*"&amp;$A49&amp;"*"),COUNTIFS(업무일지!$B$5:$B$1004,"&gt;="&amp;DATE($B$3,6,1),업무일지!$B$5:$B$1004,"&lt;"&amp;DATE($B$3,6+1,1),업무일지!$AA$5:$AA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AA$5:$AA$1004,"*"&amp;$A49&amp;"*"),COUNTIFS(업무일지!$B$5:$B$1004,"&gt;="&amp;DATE($B$3,7,1),업무일지!$B$5:$B$1004,"&lt;"&amp;DATE($B$3,7+1,1),업무일지!$AA$5:$AA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AA$5:$AA$1004,"*"&amp;$A49&amp;"*"),COUNTIFS(업무일지!$B$5:$B$1004,"&gt;="&amp;DATE($B$3,8,1),업무일지!$B$5:$B$1004,"&lt;"&amp;DATE($B$3,8+1,1),업무일지!$AA$5:$AA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AA$5:$AA$1004,"*"&amp;$A49&amp;"*"),COUNTIFS(업무일지!$B$5:$B$1004,"&gt;="&amp;DATE($B$3,9,1),업무일지!$B$5:$B$1004,"&lt;"&amp;DATE($B$3,9+1,1),업무일지!$AA$5:$AA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AA$5:$AA$1004,"*"&amp;$A49&amp;"*"),COUNTIFS(업무일지!$B$5:$B$1004,"&gt;="&amp;DATE($B$3,10,1),업무일지!$B$5:$B$1004,"&lt;"&amp;DATE($B$3,10+1,1),업무일지!$AA$5:$AA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AA$5:$AA$1004,"*"&amp;$A49&amp;"*"),COUNTIFS(업무일지!$B$5:$B$1004,"&gt;="&amp;DATE($B$3,11,1),업무일지!$B$5:$B$1004,"&lt;"&amp;DATE($B$3,11+1,1),업무일지!$AA$5:$AA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AA$5:$AA$1004,"*"&amp;$A49&amp;"*"),COUNTIFS(업무일지!$B$5:$B$1004,"&gt;="&amp;DATE($B$3,12,1),업무일지!$B$5:$B$1004,"&lt;"&amp;DATE($B$3,12+1,1),업무일지!$AA$5:$AA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AA$5:$AA$1004,"*"&amp;$A50&amp;"*"),COUNTIFS(업무일지!$B$5:$B$1004,"&gt;="&amp;DATE($B$3,1,1),업무일지!$B$5:$B$1004,"&lt;"&amp;DATE($B$3,1+1,1),업무일지!$AA$5:$AA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AA$5:$AA$1004,"*"&amp;$A50&amp;"*"),COUNTIFS(업무일지!$B$5:$B$1004,"&gt;="&amp;DATE($B$3,2,1),업무일지!$B$5:$B$1004,"&lt;"&amp;DATE($B$3,2+1,1),업무일지!$AA$5:$AA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AA$5:$AA$1004,"*"&amp;$A50&amp;"*"),COUNTIFS(업무일지!$B$5:$B$1004,"&gt;="&amp;DATE($B$3,3,1),업무일지!$B$5:$B$1004,"&lt;"&amp;DATE($B$3,3+1,1),업무일지!$AA$5:$AA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AA$5:$AA$1004,"*"&amp;$A50&amp;"*"),COUNTIFS(업무일지!$B$5:$B$1004,"&gt;="&amp;DATE($B$3,4,1),업무일지!$B$5:$B$1004,"&lt;"&amp;DATE($B$3,4+1,1),업무일지!$AA$5:$AA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AA$5:$AA$1004,"*"&amp;$A50&amp;"*"),COUNTIFS(업무일지!$B$5:$B$1004,"&gt;="&amp;DATE($B$3,5,1),업무일지!$B$5:$B$1004,"&lt;"&amp;DATE($B$3,5+1,1),업무일지!$AA$5:$AA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AA$5:$AA$1004,"*"&amp;$A50&amp;"*"),COUNTIFS(업무일지!$B$5:$B$1004,"&gt;="&amp;DATE($B$3,6,1),업무일지!$B$5:$B$1004,"&lt;"&amp;DATE($B$3,6+1,1),업무일지!$AA$5:$AA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AA$5:$AA$1004,"*"&amp;$A50&amp;"*"),COUNTIFS(업무일지!$B$5:$B$1004,"&gt;="&amp;DATE($B$3,7,1),업무일지!$B$5:$B$1004,"&lt;"&amp;DATE($B$3,7+1,1),업무일지!$AA$5:$AA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AA$5:$AA$1004,"*"&amp;$A50&amp;"*"),COUNTIFS(업무일지!$B$5:$B$1004,"&gt;="&amp;DATE($B$3,8,1),업무일지!$B$5:$B$1004,"&lt;"&amp;DATE($B$3,8+1,1),업무일지!$AA$5:$AA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AA$5:$AA$1004,"*"&amp;$A50&amp;"*"),COUNTIFS(업무일지!$B$5:$B$1004,"&gt;="&amp;DATE($B$3,9,1),업무일지!$B$5:$B$1004,"&lt;"&amp;DATE($B$3,9+1,1),업무일지!$AA$5:$AA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AA$5:$AA$1004,"*"&amp;$A50&amp;"*"),COUNTIFS(업무일지!$B$5:$B$1004,"&gt;="&amp;DATE($B$3,10,1),업무일지!$B$5:$B$1004,"&lt;"&amp;DATE($B$3,10+1,1),업무일지!$AA$5:$AA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AA$5:$AA$1004,"*"&amp;$A50&amp;"*"),COUNTIFS(업무일지!$B$5:$B$1004,"&gt;="&amp;DATE($B$3,11,1),업무일지!$B$5:$B$1004,"&lt;"&amp;DATE($B$3,11+1,1),업무일지!$AA$5:$AA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AA$5:$AA$1004,"*"&amp;$A50&amp;"*"),COUNTIFS(업무일지!$B$5:$B$1004,"&gt;="&amp;DATE($B$3,12,1),업무일지!$B$5:$B$1004,"&lt;"&amp;DATE($B$3,12+1,1),업무일지!$AA$5:$AA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AA$5:$AA$1004,"*"&amp;$A51&amp;"*"),COUNTIFS(업무일지!$B$5:$B$1004,"&gt;="&amp;DATE($B$3,1,1),업무일지!$B$5:$B$1004,"&lt;"&amp;DATE($B$3,1+1,1),업무일지!$AA$5:$AA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AA$5:$AA$1004,"*"&amp;$A51&amp;"*"),COUNTIFS(업무일지!$B$5:$B$1004,"&gt;="&amp;DATE($B$3,2,1),업무일지!$B$5:$B$1004,"&lt;"&amp;DATE($B$3,2+1,1),업무일지!$AA$5:$AA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AA$5:$AA$1004,"*"&amp;$A51&amp;"*"),COUNTIFS(업무일지!$B$5:$B$1004,"&gt;="&amp;DATE($B$3,3,1),업무일지!$B$5:$B$1004,"&lt;"&amp;DATE($B$3,3+1,1),업무일지!$AA$5:$AA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AA$5:$AA$1004,"*"&amp;$A51&amp;"*"),COUNTIFS(업무일지!$B$5:$B$1004,"&gt;="&amp;DATE($B$3,4,1),업무일지!$B$5:$B$1004,"&lt;"&amp;DATE($B$3,4+1,1),업무일지!$AA$5:$AA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AA$5:$AA$1004,"*"&amp;$A51&amp;"*"),COUNTIFS(업무일지!$B$5:$B$1004,"&gt;="&amp;DATE($B$3,5,1),업무일지!$B$5:$B$1004,"&lt;"&amp;DATE($B$3,5+1,1),업무일지!$AA$5:$AA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AA$5:$AA$1004,"*"&amp;$A51&amp;"*"),COUNTIFS(업무일지!$B$5:$B$1004,"&gt;="&amp;DATE($B$3,6,1),업무일지!$B$5:$B$1004,"&lt;"&amp;DATE($B$3,6+1,1),업무일지!$AA$5:$AA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AA$5:$AA$1004,"*"&amp;$A51&amp;"*"),COUNTIFS(업무일지!$B$5:$B$1004,"&gt;="&amp;DATE($B$3,7,1),업무일지!$B$5:$B$1004,"&lt;"&amp;DATE($B$3,7+1,1),업무일지!$AA$5:$AA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AA$5:$AA$1004,"*"&amp;$A51&amp;"*"),COUNTIFS(업무일지!$B$5:$B$1004,"&gt;="&amp;DATE($B$3,8,1),업무일지!$B$5:$B$1004,"&lt;"&amp;DATE($B$3,8+1,1),업무일지!$AA$5:$AA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AA$5:$AA$1004,"*"&amp;$A51&amp;"*"),COUNTIFS(업무일지!$B$5:$B$1004,"&gt;="&amp;DATE($B$3,9,1),업무일지!$B$5:$B$1004,"&lt;"&amp;DATE($B$3,9+1,1),업무일지!$AA$5:$AA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AA$5:$AA$1004,"*"&amp;$A51&amp;"*"),COUNTIFS(업무일지!$B$5:$B$1004,"&gt;="&amp;DATE($B$3,10,1),업무일지!$B$5:$B$1004,"&lt;"&amp;DATE($B$3,10+1,1),업무일지!$AA$5:$AA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AA$5:$AA$1004,"*"&amp;$A51&amp;"*"),COUNTIFS(업무일지!$B$5:$B$1004,"&gt;="&amp;DATE($B$3,11,1),업무일지!$B$5:$B$1004,"&lt;"&amp;DATE($B$3,11+1,1),업무일지!$AA$5:$AA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AA$5:$AA$1004,"*"&amp;$A51&amp;"*"),COUNTIFS(업무일지!$B$5:$B$1004,"&gt;="&amp;DATE($B$3,12,1),업무일지!$B$5:$B$1004,"&lt;"&amp;DATE($B$3,12+1,1),업무일지!$AA$5:$AA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"전체,출장,분석,교육"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1000-COUNTBLANK($D$37:$D$1036)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1000-COUNTBLANK($D$1037:$D$2036)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60-COUNTBLANK(사건마스터!$A$5:$A$64)</f>
        <v/>
      </c>
      <c r="C8" s="43">
        <f>60-COUNTBLANK($D$2037:$D$2096)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"&amp;업무일지!$H5)</f>
        <v/>
      </c>
      <c r="D37" s="45">
        <f>IF(NOT(COUNTBLANK(업무일지!$B5:$AH5)&lt;33),"",TRIM(IF(업무일지!$B5="","시작일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","")&amp;IF(COUNTIF(코드설정!$H$5:$H$7,업무일지!$D5)=0,"직무구분 누락; ","")&amp;IF(업무일지!$E5="","세부유형 누락; ",IF(AND(업무일지!$D5&lt;&gt;"",COUNTIFS(코드설정!$A$5:$A$21,업무일지!$D5,코드설정!$B$5:$B$21,업무일지!$E5)=0),"세부유형이 직무구분과 불일치; ",""))&amp;IF(AND(업무일지!$F5&lt;&gt;"",COUNTIF(사건마스터!$A$5:$A$64,업무일지!$F5)=0),"미등록 사건번호; ","")&amp;IF(AND(업무일지!$F5="",업무일지!$H5=""),"사건번호·업무명 모두 없음; ","")&amp;IF(업무일지!$J5="","담당자 없음; ","")&amp;IF(COUNTIF(코드설정!$F$5:$F$7,업무일지!$AG5)=0,"진행상태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"&amp;업무일지!$H6)</f>
        <v/>
      </c>
      <c r="D38" s="45">
        <f>IF(NOT(COUNTBLANK(업무일지!$B6:$AH6)&lt;33),"",TRIM(IF(업무일지!$B6="","시작일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","")&amp;IF(COUNTIF(코드설정!$H$5:$H$7,업무일지!$D6)=0,"직무구분 누락; ","")&amp;IF(업무일지!$E6="","세부유형 누락; ",IF(AND(업무일지!$D6&lt;&gt;"",COUNTIFS(코드설정!$A$5:$A$21,업무일지!$D6,코드설정!$B$5:$B$21,업무일지!$E6)=0),"세부유형이 직무구분과 불일치; ",""))&amp;IF(AND(업무일지!$F6&lt;&gt;"",COUNTIF(사건마스터!$A$5:$A$64,업무일지!$F6)=0),"미등록 사건번호; ","")&amp;IF(AND(업무일지!$F6="",업무일지!$H6=""),"사건번호·업무명 모두 없음; ","")&amp;IF(업무일지!$J6="","담당자 없음; ","")&amp;IF(COUNTIF(코드설정!$F$5:$F$7,업무일지!$AG6)=0,"진행상태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"&amp;업무일지!$H7)</f>
        <v/>
      </c>
      <c r="D39" s="45">
        <f>IF(NOT(COUNTBLANK(업무일지!$B7:$AH7)&lt;33),"",TRIM(IF(업무일지!$B7="","시작일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","")&amp;IF(COUNTIF(코드설정!$H$5:$H$7,업무일지!$D7)=0,"직무구분 누락; ","")&amp;IF(업무일지!$E7="","세부유형 누락; ",IF(AND(업무일지!$D7&lt;&gt;"",COUNTIFS(코드설정!$A$5:$A$21,업무일지!$D7,코드설정!$B$5:$B$21,업무일지!$E7)=0),"세부유형이 직무구분과 불일치; ",""))&amp;IF(AND(업무일지!$F7&lt;&gt;"",COUNTIF(사건마스터!$A$5:$A$64,업무일지!$F7)=0),"미등록 사건번호; ","")&amp;IF(AND(업무일지!$F7="",업무일지!$H7=""),"사건번호·업무명 모두 없음; ","")&amp;IF(업무일지!$J7="","담당자 없음; ","")&amp;IF(COUNTIF(코드설정!$F$5:$F$7,업무일지!$AG7)=0,"진행상태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"&amp;업무일지!$H8)</f>
        <v/>
      </c>
      <c r="D40" s="45">
        <f>IF(NOT(COUNTBLANK(업무일지!$B8:$AH8)&lt;33),"",TRIM(IF(업무일지!$B8="","시작일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","")&amp;IF(COUNTIF(코드설정!$H$5:$H$7,업무일지!$D8)=0,"직무구분 누락; ","")&amp;IF(업무일지!$E8="","세부유형 누락; ",IF(AND(업무일지!$D8&lt;&gt;"",COUNTIFS(코드설정!$A$5:$A$21,업무일지!$D8,코드설정!$B$5:$B$21,업무일지!$E8)=0),"세부유형이 직무구분과 불일치; ",""))&amp;IF(AND(업무일지!$F8&lt;&gt;"",COUNTIF(사건마스터!$A$5:$A$64,업무일지!$F8)=0),"미등록 사건번호; ","")&amp;IF(AND(업무일지!$F8="",업무일지!$H8=""),"사건번호·업무명 모두 없음; ","")&amp;IF(업무일지!$J8="","담당자 없음; ","")&amp;IF(COUNTIF(코드설정!$F$5:$F$7,업무일지!$AG8)=0,"진행상태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"&amp;업무일지!$H9)</f>
        <v/>
      </c>
      <c r="D41" s="45">
        <f>IF(NOT(COUNTBLANK(업무일지!$B9:$AH9)&lt;33),"",TRIM(IF(업무일지!$B9="","시작일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","")&amp;IF(COUNTIF(코드설정!$H$5:$H$7,업무일지!$D9)=0,"직무구분 누락; ","")&amp;IF(업무일지!$E9="","세부유형 누락; ",IF(AND(업무일지!$D9&lt;&gt;"",COUNTIFS(코드설정!$A$5:$A$21,업무일지!$D9,코드설정!$B$5:$B$21,업무일지!$E9)=0),"세부유형이 직무구분과 불일치; ",""))&amp;IF(AND(업무일지!$F9&lt;&gt;"",COUNTIF(사건마스터!$A$5:$A$64,업무일지!$F9)=0),"미등록 사건번호; ","")&amp;IF(AND(업무일지!$F9="",업무일지!$H9=""),"사건번호·업무명 모두 없음; ","")&amp;IF(업무일지!$J9="","담당자 없음; ","")&amp;IF(COUNTIF(코드설정!$F$5:$F$7,업무일지!$AG9)=0,"진행상태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"&amp;업무일지!$H10)</f>
        <v/>
      </c>
      <c r="D42" s="45">
        <f>IF(NOT(COUNTBLANK(업무일지!$B10:$AH10)&lt;33),"",TRIM(IF(업무일지!$B10="","시작일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","")&amp;IF(COUNTIF(코드설정!$H$5:$H$7,업무일지!$D10)=0,"직무구분 누락; ","")&amp;IF(업무일지!$E10="","세부유형 누락; ",IF(AND(업무일지!$D10&lt;&gt;"",COUNTIFS(코드설정!$A$5:$A$21,업무일지!$D10,코드설정!$B$5:$B$21,업무일지!$E10)=0),"세부유형이 직무구분과 불일치; ",""))&amp;IF(AND(업무일지!$F10&lt;&gt;"",COUNTIF(사건마스터!$A$5:$A$64,업무일지!$F10)=0),"미등록 사건번호; ","")&amp;IF(AND(업무일지!$F10="",업무일지!$H10=""),"사건번호·업무명 모두 없음; ","")&amp;IF(업무일지!$J10="","담당자 없음; ","")&amp;IF(COUNTIF(코드설정!$F$5:$F$7,업무일지!$AG10)=0,"진행상태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"&amp;업무일지!$H11)</f>
        <v/>
      </c>
      <c r="D43" s="45">
        <f>IF(NOT(COUNTBLANK(업무일지!$B11:$AH11)&lt;33),"",TRIM(IF(업무일지!$B11="","시작일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","")&amp;IF(COUNTIF(코드설정!$H$5:$H$7,업무일지!$D11)=0,"직무구분 누락; ","")&amp;IF(업무일지!$E11="","세부유형 누락; ",IF(AND(업무일지!$D11&lt;&gt;"",COUNTIFS(코드설정!$A$5:$A$21,업무일지!$D11,코드설정!$B$5:$B$21,업무일지!$E11)=0),"세부유형이 직무구분과 불일치; ",""))&amp;IF(AND(업무일지!$F11&lt;&gt;"",COUNTIF(사건마스터!$A$5:$A$64,업무일지!$F11)=0),"미등록 사건번호; ","")&amp;IF(AND(업무일지!$F11="",업무일지!$H11=""),"사건번호·업무명 모두 없음; ","")&amp;IF(업무일지!$J11="","담당자 없음; ","")&amp;IF(COUNTIF(코드설정!$F$5:$F$7,업무일지!$AG11)=0,"진행상태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"&amp;업무일지!$H12)</f>
        <v/>
      </c>
      <c r="D44" s="45">
        <f>IF(NOT(COUNTBLANK(업무일지!$B12:$AH12)&lt;33),"",TRIM(IF(업무일지!$B12="","시작일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","")&amp;IF(COUNTIF(코드설정!$H$5:$H$7,업무일지!$D12)=0,"직무구분 누락; ","")&amp;IF(업무일지!$E12="","세부유형 누락; ",IF(AND(업무일지!$D12&lt;&gt;"",COUNTIFS(코드설정!$A$5:$A$21,업무일지!$D12,코드설정!$B$5:$B$21,업무일지!$E12)=0),"세부유형이 직무구분과 불일치; ",""))&amp;IF(AND(업무일지!$F12&lt;&gt;"",COUNTIF(사건마스터!$A$5:$A$64,업무일지!$F12)=0),"미등록 사건번호; ","")&amp;IF(AND(업무일지!$F12="",업무일지!$H12=""),"사건번호·업무명 모두 없음; ","")&amp;IF(업무일지!$J12="","담당자 없음; ","")&amp;IF(COUNTIF(코드설정!$F$5:$F$7,업무일지!$AG12)=0,"진행상태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"&amp;업무일지!$H13)</f>
        <v/>
      </c>
      <c r="D45" s="45">
        <f>IF(NOT(COUNTBLANK(업무일지!$B13:$AH13)&lt;33),"",TRIM(IF(업무일지!$B13="","시작일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","")&amp;IF(COUNTIF(코드설정!$H$5:$H$7,업무일지!$D13)=0,"직무구분 누락; ","")&amp;IF(업무일지!$E13="","세부유형 누락; ",IF(AND(업무일지!$D13&lt;&gt;"",COUNTIFS(코드설정!$A$5:$A$21,업무일지!$D13,코드설정!$B$5:$B$21,업무일지!$E13)=0),"세부유형이 직무구분과 불일치; ",""))&amp;IF(AND(업무일지!$F13&lt;&gt;"",COUNTIF(사건마스터!$A$5:$A$64,업무일지!$F13)=0),"미등록 사건번호; ","")&amp;IF(AND(업무일지!$F13="",업무일지!$H13=""),"사건번호·업무명 모두 없음; ","")&amp;IF(업무일지!$J13="","담당자 없음; ","")&amp;IF(COUNTIF(코드설정!$F$5:$F$7,업무일지!$AG13)=0,"진행상태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"&amp;업무일지!$H14)</f>
        <v/>
      </c>
      <c r="D46" s="45">
        <f>IF(NOT(COUNTBLANK(업무일지!$B14:$AH14)&lt;33),"",TRIM(IF(업무일지!$B14="","시작일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","")&amp;IF(COUNTIF(코드설정!$H$5:$H$7,업무일지!$D14)=0,"직무구분 누락; ","")&amp;IF(업무일지!$E14="","세부유형 누락; ",IF(AND(업무일지!$D14&lt;&gt;"",COUNTIFS(코드설정!$A$5:$A$21,업무일지!$D14,코드설정!$B$5:$B$21,업무일지!$E14)=0),"세부유형이 직무구분과 불일치; ",""))&amp;IF(AND(업무일지!$F14&lt;&gt;"",COUNTIF(사건마스터!$A$5:$A$64,업무일지!$F14)=0),"미등록 사건번호; ","")&amp;IF(AND(업무일지!$F14="",업무일지!$H14=""),"사건번호·업무명 모두 없음; ","")&amp;IF(업무일지!$J14="","담당자 없음; ","")&amp;IF(COUNTIF(코드설정!$F$5:$F$7,업무일지!$AG14)=0,"진행상태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"&amp;업무일지!$H15)</f>
        <v/>
      </c>
      <c r="D47" s="45">
        <f>IF(NOT(COUNTBLANK(업무일지!$B15:$AH15)&lt;33),"",TRIM(IF(업무일지!$B15="","시작일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","")&amp;IF(COUNTIF(코드설정!$H$5:$H$7,업무일지!$D15)=0,"직무구분 누락; ","")&amp;IF(업무일지!$E15="","세부유형 누락; ",IF(AND(업무일지!$D15&lt;&gt;"",COUNTIFS(코드설정!$A$5:$A$21,업무일지!$D15,코드설정!$B$5:$B$21,업무일지!$E15)=0),"세부유형이 직무구분과 불일치; ",""))&amp;IF(AND(업무일지!$F15&lt;&gt;"",COUNTIF(사건마스터!$A$5:$A$64,업무일지!$F15)=0),"미등록 사건번호; ","")&amp;IF(AND(업무일지!$F15="",업무일지!$H15=""),"사건번호·업무명 모두 없음; ","")&amp;IF(업무일지!$J15="","담당자 없음; ","")&amp;IF(COUNTIF(코드설정!$F$5:$F$7,업무일지!$AG15)=0,"진행상태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"&amp;업무일지!$H16)</f>
        <v/>
      </c>
      <c r="D48" s="45">
        <f>IF(NOT(COUNTBLANK(업무일지!$B16:$AH16)&lt;33),"",TRIM(IF(업무일지!$B16="","시작일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","")&amp;IF(COUNTIF(코드설정!$H$5:$H$7,업무일지!$D16)=0,"직무구분 누락; ","")&amp;IF(업무일지!$E16="","세부유형 누락; ",IF(AND(업무일지!$D16&lt;&gt;"",COUNTIFS(코드설정!$A$5:$A$21,업무일지!$D16,코드설정!$B$5:$B$21,업무일지!$E16)=0),"세부유형이 직무구분과 불일치; ",""))&amp;IF(AND(업무일지!$F16&lt;&gt;"",COUNTIF(사건마스터!$A$5:$A$64,업무일지!$F16)=0),"미등록 사건번호; ","")&amp;IF(AND(업무일지!$F16="",업무일지!$H16=""),"사건번호·업무명 모두 없음; ","")&amp;IF(업무일지!$J16="","담당자 없음; ","")&amp;IF(COUNTIF(코드설정!$F$5:$F$7,업무일지!$AG16)=0,"진행상태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"&amp;업무일지!$H17)</f>
        <v/>
      </c>
      <c r="D49" s="45">
        <f>IF(NOT(COUNTBLANK(업무일지!$B17:$AH17)&lt;33),"",TRIM(IF(업무일지!$B17="","시작일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","")&amp;IF(COUNTIF(코드설정!$H$5:$H$7,업무일지!$D17)=0,"직무구분 누락; ","")&amp;IF(업무일지!$E17="","세부유형 누락; ",IF(AND(업무일지!$D17&lt;&gt;"",COUNTIFS(코드설정!$A$5:$A$21,업무일지!$D17,코드설정!$B$5:$B$21,업무일지!$E17)=0),"세부유형이 직무구분과 불일치; ",""))&amp;IF(AND(업무일지!$F17&lt;&gt;"",COUNTIF(사건마스터!$A$5:$A$64,업무일지!$F17)=0),"미등록 사건번호; ","")&amp;IF(AND(업무일지!$F17="",업무일지!$H17=""),"사건번호·업무명 모두 없음; ","")&amp;IF(업무일지!$J17="","담당자 없음; ","")&amp;IF(COUNTIF(코드설정!$F$5:$F$7,업무일지!$AG17)=0,"진행상태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"&amp;업무일지!$H18)</f>
        <v/>
      </c>
      <c r="D50" s="45">
        <f>IF(NOT(COUNTBLANK(업무일지!$B18:$AH18)&lt;33),"",TRIM(IF(업무일지!$B18="","시작일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","")&amp;IF(COUNTIF(코드설정!$H$5:$H$7,업무일지!$D18)=0,"직무구분 누락; ","")&amp;IF(업무일지!$E18="","세부유형 누락; ",IF(AND(업무일지!$D18&lt;&gt;"",COUNTIFS(코드설정!$A$5:$A$21,업무일지!$D18,코드설정!$B$5:$B$21,업무일지!$E18)=0),"세부유형이 직무구분과 불일치; ",""))&amp;IF(AND(업무일지!$F18&lt;&gt;"",COUNTIF(사건마스터!$A$5:$A$64,업무일지!$F18)=0),"미등록 사건번호; ","")&amp;IF(AND(업무일지!$F18="",업무일지!$H18=""),"사건번호·업무명 모두 없음; ","")&amp;IF(업무일지!$J18="","담당자 없음; ","")&amp;IF(COUNTIF(코드설정!$F$5:$F$7,업무일지!$AG18)=0,"진행상태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"&amp;업무일지!$H19)</f>
        <v/>
      </c>
      <c r="D51" s="45">
        <f>IF(NOT(COUNTBLANK(업무일지!$B19:$AH19)&lt;33),"",TRIM(IF(업무일지!$B19="","시작일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","")&amp;IF(COUNTIF(코드설정!$H$5:$H$7,업무일지!$D19)=0,"직무구분 누락; ","")&amp;IF(업무일지!$E19="","세부유형 누락; ",IF(AND(업무일지!$D19&lt;&gt;"",COUNTIFS(코드설정!$A$5:$A$21,업무일지!$D19,코드설정!$B$5:$B$21,업무일지!$E19)=0),"세부유형이 직무구분과 불일치; ",""))&amp;IF(AND(업무일지!$F19&lt;&gt;"",COUNTIF(사건마스터!$A$5:$A$64,업무일지!$F19)=0),"미등록 사건번호; ","")&amp;IF(AND(업무일지!$F19="",업무일지!$H19=""),"사건번호·업무명 모두 없음; ","")&amp;IF(업무일지!$J19="","담당자 없음; ","")&amp;IF(COUNTIF(코드설정!$F$5:$F$7,업무일지!$AG19)=0,"진행상태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"&amp;업무일지!$H20)</f>
        <v/>
      </c>
      <c r="D52" s="45">
        <f>IF(NOT(COUNTBLANK(업무일지!$B20:$AH20)&lt;33),"",TRIM(IF(업무일지!$B20="","시작일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","")&amp;IF(COUNTIF(코드설정!$H$5:$H$7,업무일지!$D20)=0,"직무구분 누락; ","")&amp;IF(업무일지!$E20="","세부유형 누락; ",IF(AND(업무일지!$D20&lt;&gt;"",COUNTIFS(코드설정!$A$5:$A$21,업무일지!$D20,코드설정!$B$5:$B$21,업무일지!$E20)=0),"세부유형이 직무구분과 불일치; ",""))&amp;IF(AND(업무일지!$F20&lt;&gt;"",COUNTIF(사건마스터!$A$5:$A$64,업무일지!$F20)=0),"미등록 사건번호; ","")&amp;IF(AND(업무일지!$F20="",업무일지!$H20=""),"사건번호·업무명 모두 없음; ","")&amp;IF(업무일지!$J20="","담당자 없음; ","")&amp;IF(COUNTIF(코드설정!$F$5:$F$7,업무일지!$AG20)=0,"진행상태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"&amp;업무일지!$H21)</f>
        <v/>
      </c>
      <c r="D53" s="45">
        <f>IF(NOT(COUNTBLANK(업무일지!$B21:$AH21)&lt;33),"",TRIM(IF(업무일지!$B21="","시작일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","")&amp;IF(COUNTIF(코드설정!$H$5:$H$7,업무일지!$D21)=0,"직무구분 누락; ","")&amp;IF(업무일지!$E21="","세부유형 누락; ",IF(AND(업무일지!$D21&lt;&gt;"",COUNTIFS(코드설정!$A$5:$A$21,업무일지!$D21,코드설정!$B$5:$B$21,업무일지!$E21)=0),"세부유형이 직무구분과 불일치; ",""))&amp;IF(AND(업무일지!$F21&lt;&gt;"",COUNTIF(사건마스터!$A$5:$A$64,업무일지!$F21)=0),"미등록 사건번호; ","")&amp;IF(AND(업무일지!$F21="",업무일지!$H21=""),"사건번호·업무명 모두 없음; ","")&amp;IF(업무일지!$J21="","담당자 없음; ","")&amp;IF(COUNTIF(코드설정!$F$5:$F$7,업무일지!$AG21)=0,"진행상태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"&amp;업무일지!$H22)</f>
        <v/>
      </c>
      <c r="D54" s="45">
        <f>IF(NOT(COUNTBLANK(업무일지!$B22:$AH22)&lt;33),"",TRIM(IF(업무일지!$B22="","시작일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","")&amp;IF(COUNTIF(코드설정!$H$5:$H$7,업무일지!$D22)=0,"직무구분 누락; ","")&amp;IF(업무일지!$E22="","세부유형 누락; ",IF(AND(업무일지!$D22&lt;&gt;"",COUNTIFS(코드설정!$A$5:$A$21,업무일지!$D22,코드설정!$B$5:$B$21,업무일지!$E22)=0),"세부유형이 직무구분과 불일치; ",""))&amp;IF(AND(업무일지!$F22&lt;&gt;"",COUNTIF(사건마스터!$A$5:$A$64,업무일지!$F22)=0),"미등록 사건번호; ","")&amp;IF(AND(업무일지!$F22="",업무일지!$H22=""),"사건번호·업무명 모두 없음; ","")&amp;IF(업무일지!$J22="","담당자 없음; ","")&amp;IF(COUNTIF(코드설정!$F$5:$F$7,업무일지!$AG22)=0,"진행상태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"&amp;업무일지!$H23)</f>
        <v/>
      </c>
      <c r="D55" s="45">
        <f>IF(NOT(COUNTBLANK(업무일지!$B23:$AH23)&lt;33),"",TRIM(IF(업무일지!$B23="","시작일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","")&amp;IF(COUNTIF(코드설정!$H$5:$H$7,업무일지!$D23)=0,"직무구분 누락; ","")&amp;IF(업무일지!$E23="","세부유형 누락; ",IF(AND(업무일지!$D23&lt;&gt;"",COUNTIFS(코드설정!$A$5:$A$21,업무일지!$D23,코드설정!$B$5:$B$21,업무일지!$E23)=0),"세부유형이 직무구분과 불일치; ",""))&amp;IF(AND(업무일지!$F23&lt;&gt;"",COUNTIF(사건마스터!$A$5:$A$64,업무일지!$F23)=0),"미등록 사건번호; ","")&amp;IF(AND(업무일지!$F23="",업무일지!$H23=""),"사건번호·업무명 모두 없음; ","")&amp;IF(업무일지!$J23="","담당자 없음; ","")&amp;IF(COUNTIF(코드설정!$F$5:$F$7,업무일지!$AG23)=0,"진행상태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"&amp;업무일지!$H24)</f>
        <v/>
      </c>
      <c r="D56" s="45">
        <f>IF(NOT(COUNTBLANK(업무일지!$B24:$AH24)&lt;33),"",TRIM(IF(업무일지!$B24="","시작일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","")&amp;IF(COUNTIF(코드설정!$H$5:$H$7,업무일지!$D24)=0,"직무구분 누락; ","")&amp;IF(업무일지!$E24="","세부유형 누락; ",IF(AND(업무일지!$D24&lt;&gt;"",COUNTIFS(코드설정!$A$5:$A$21,업무일지!$D24,코드설정!$B$5:$B$21,업무일지!$E24)=0),"세부유형이 직무구분과 불일치; ",""))&amp;IF(AND(업무일지!$F24&lt;&gt;"",COUNTIF(사건마스터!$A$5:$A$64,업무일지!$F24)=0),"미등록 사건번호; ","")&amp;IF(AND(업무일지!$F24="",업무일지!$H24=""),"사건번호·업무명 모두 없음; ","")&amp;IF(업무일지!$J24="","담당자 없음; ","")&amp;IF(COUNTIF(코드설정!$F$5:$F$7,업무일지!$AG24)=0,"진행상태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"&amp;업무일지!$H25)</f>
        <v/>
      </c>
      <c r="D57" s="45">
        <f>IF(NOT(COUNTBLANK(업무일지!$B25:$AH25)&lt;33),"",TRIM(IF(업무일지!$B25="","시작일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","")&amp;IF(COUNTIF(코드설정!$H$5:$H$7,업무일지!$D25)=0,"직무구분 누락; ","")&amp;IF(업무일지!$E25="","세부유형 누락; ",IF(AND(업무일지!$D25&lt;&gt;"",COUNTIFS(코드설정!$A$5:$A$21,업무일지!$D25,코드설정!$B$5:$B$21,업무일지!$E25)=0),"세부유형이 직무구분과 불일치; ",""))&amp;IF(AND(업무일지!$F25&lt;&gt;"",COUNTIF(사건마스터!$A$5:$A$64,업무일지!$F25)=0),"미등록 사건번호; ","")&amp;IF(AND(업무일지!$F25="",업무일지!$H25=""),"사건번호·업무명 모두 없음; ","")&amp;IF(업무일지!$J25="","담당자 없음; ","")&amp;IF(COUNTIF(코드설정!$F$5:$F$7,업무일지!$AG25)=0,"진행상태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"&amp;업무일지!$H26)</f>
        <v/>
      </c>
      <c r="D58" s="45">
        <f>IF(NOT(COUNTBLANK(업무일지!$B26:$AH26)&lt;33),"",TRIM(IF(업무일지!$B26="","시작일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","")&amp;IF(COUNTIF(코드설정!$H$5:$H$7,업무일지!$D26)=0,"직무구분 누락; ","")&amp;IF(업무일지!$E26="","세부유형 누락; ",IF(AND(업무일지!$D26&lt;&gt;"",COUNTIFS(코드설정!$A$5:$A$21,업무일지!$D26,코드설정!$B$5:$B$21,업무일지!$E26)=0),"세부유형이 직무구분과 불일치; ",""))&amp;IF(AND(업무일지!$F26&lt;&gt;"",COUNTIF(사건마스터!$A$5:$A$64,업무일지!$F26)=0),"미등록 사건번호; ","")&amp;IF(AND(업무일지!$F26="",업무일지!$H26=""),"사건번호·업무명 모두 없음; ","")&amp;IF(업무일지!$J26="","담당자 없음; ","")&amp;IF(COUNTIF(코드설정!$F$5:$F$7,업무일지!$AG26)=0,"진행상태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"&amp;업무일지!$H27)</f>
        <v/>
      </c>
      <c r="D59" s="45">
        <f>IF(NOT(COUNTBLANK(업무일지!$B27:$AH27)&lt;33),"",TRIM(IF(업무일지!$B27="","시작일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","")&amp;IF(COUNTIF(코드설정!$H$5:$H$7,업무일지!$D27)=0,"직무구분 누락; ","")&amp;IF(업무일지!$E27="","세부유형 누락; ",IF(AND(업무일지!$D27&lt;&gt;"",COUNTIFS(코드설정!$A$5:$A$21,업무일지!$D27,코드설정!$B$5:$B$21,업무일지!$E27)=0),"세부유형이 직무구분과 불일치; ",""))&amp;IF(AND(업무일지!$F27&lt;&gt;"",COUNTIF(사건마스터!$A$5:$A$64,업무일지!$F27)=0),"미등록 사건번호; ","")&amp;IF(AND(업무일지!$F27="",업무일지!$H27=""),"사건번호·업무명 모두 없음; ","")&amp;IF(업무일지!$J27="","담당자 없음; ","")&amp;IF(COUNTIF(코드설정!$F$5:$F$7,업무일지!$AG27)=0,"진행상태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"&amp;업무일지!$H28)</f>
        <v/>
      </c>
      <c r="D60" s="45">
        <f>IF(NOT(COUNTBLANK(업무일지!$B28:$AH28)&lt;33),"",TRIM(IF(업무일지!$B28="","시작일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","")&amp;IF(COUNTIF(코드설정!$H$5:$H$7,업무일지!$D28)=0,"직무구분 누락; ","")&amp;IF(업무일지!$E28="","세부유형 누락; ",IF(AND(업무일지!$D28&lt;&gt;"",COUNTIFS(코드설정!$A$5:$A$21,업무일지!$D28,코드설정!$B$5:$B$21,업무일지!$E28)=0),"세부유형이 직무구분과 불일치; ",""))&amp;IF(AND(업무일지!$F28&lt;&gt;"",COUNTIF(사건마스터!$A$5:$A$64,업무일지!$F28)=0),"미등록 사건번호; ","")&amp;IF(AND(업무일지!$F28="",업무일지!$H28=""),"사건번호·업무명 모두 없음; ","")&amp;IF(업무일지!$J28="","담당자 없음; ","")&amp;IF(COUNTIF(코드설정!$F$5:$F$7,업무일지!$AG28)=0,"진행상태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"&amp;업무일지!$H29)</f>
        <v/>
      </c>
      <c r="D61" s="45">
        <f>IF(NOT(COUNTBLANK(업무일지!$B29:$AH29)&lt;33),"",TRIM(IF(업무일지!$B29="","시작일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","")&amp;IF(COUNTIF(코드설정!$H$5:$H$7,업무일지!$D29)=0,"직무구분 누락; ","")&amp;IF(업무일지!$E29="","세부유형 누락; ",IF(AND(업무일지!$D29&lt;&gt;"",COUNTIFS(코드설정!$A$5:$A$21,업무일지!$D29,코드설정!$B$5:$B$21,업무일지!$E29)=0),"세부유형이 직무구분과 불일치; ",""))&amp;IF(AND(업무일지!$F29&lt;&gt;"",COUNTIF(사건마스터!$A$5:$A$64,업무일지!$F29)=0),"미등록 사건번호; ","")&amp;IF(AND(업무일지!$F29="",업무일지!$H29=""),"사건번호·업무명 모두 없음; ","")&amp;IF(업무일지!$J29="","담당자 없음; ","")&amp;IF(COUNTIF(코드설정!$F$5:$F$7,업무일지!$AG29)=0,"진행상태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"&amp;업무일지!$H30)</f>
        <v/>
      </c>
      <c r="D62" s="45">
        <f>IF(NOT(COUNTBLANK(업무일지!$B30:$AH30)&lt;33),"",TRIM(IF(업무일지!$B30="","시작일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","")&amp;IF(COUNTIF(코드설정!$H$5:$H$7,업무일지!$D30)=0,"직무구분 누락; ","")&amp;IF(업무일지!$E30="","세부유형 누락; ",IF(AND(업무일지!$D30&lt;&gt;"",COUNTIFS(코드설정!$A$5:$A$21,업무일지!$D30,코드설정!$B$5:$B$21,업무일지!$E30)=0),"세부유형이 직무구분과 불일치; ",""))&amp;IF(AND(업무일지!$F30&lt;&gt;"",COUNTIF(사건마스터!$A$5:$A$64,업무일지!$F30)=0),"미등록 사건번호; ","")&amp;IF(AND(업무일지!$F30="",업무일지!$H30=""),"사건번호·업무명 모두 없음; ","")&amp;IF(업무일지!$J30="","담당자 없음; ","")&amp;IF(COUNTIF(코드설정!$F$5:$F$7,업무일지!$AG30)=0,"진행상태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"&amp;업무일지!$H31)</f>
        <v/>
      </c>
      <c r="D63" s="45">
        <f>IF(NOT(COUNTBLANK(업무일지!$B31:$AH31)&lt;33),"",TRIM(IF(업무일지!$B31="","시작일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","")&amp;IF(COUNTIF(코드설정!$H$5:$H$7,업무일지!$D31)=0,"직무구분 누락; ","")&amp;IF(업무일지!$E31="","세부유형 누락; ",IF(AND(업무일지!$D31&lt;&gt;"",COUNTIFS(코드설정!$A$5:$A$21,업무일지!$D31,코드설정!$B$5:$B$21,업무일지!$E31)=0),"세부유형이 직무구분과 불일치; ",""))&amp;IF(AND(업무일지!$F31&lt;&gt;"",COUNTIF(사건마스터!$A$5:$A$64,업무일지!$F31)=0),"미등록 사건번호; ","")&amp;IF(AND(업무일지!$F31="",업무일지!$H31=""),"사건번호·업무명 모두 없음; ","")&amp;IF(업무일지!$J31="","담당자 없음; ","")&amp;IF(COUNTIF(코드설정!$F$5:$F$7,업무일지!$AG31)=0,"진행상태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"&amp;업무일지!$H32)</f>
        <v/>
      </c>
      <c r="D64" s="45">
        <f>IF(NOT(COUNTBLANK(업무일지!$B32:$AH32)&lt;33),"",TRIM(IF(업무일지!$B32="","시작일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","")&amp;IF(COUNTIF(코드설정!$H$5:$H$7,업무일지!$D32)=0,"직무구분 누락; ","")&amp;IF(업무일지!$E32="","세부유형 누락; ",IF(AND(업무일지!$D32&lt;&gt;"",COUNTIFS(코드설정!$A$5:$A$21,업무일지!$D32,코드설정!$B$5:$B$21,업무일지!$E32)=0),"세부유형이 직무구분과 불일치; ",""))&amp;IF(AND(업무일지!$F32&lt;&gt;"",COUNTIF(사건마스터!$A$5:$A$64,업무일지!$F32)=0),"미등록 사건번호; ","")&amp;IF(AND(업무일지!$F32="",업무일지!$H32=""),"사건번호·업무명 모두 없음; ","")&amp;IF(업무일지!$J32="","담당자 없음; ","")&amp;IF(COUNTIF(코드설정!$F$5:$F$7,업무일지!$AG32)=0,"진행상태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"&amp;업무일지!$H33)</f>
        <v/>
      </c>
      <c r="D65" s="45">
        <f>IF(NOT(COUNTBLANK(업무일지!$B33:$AH33)&lt;33),"",TRIM(IF(업무일지!$B33="","시작일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","")&amp;IF(COUNTIF(코드설정!$H$5:$H$7,업무일지!$D33)=0,"직무구분 누락; ","")&amp;IF(업무일지!$E33="","세부유형 누락; ",IF(AND(업무일지!$D33&lt;&gt;"",COUNTIFS(코드설정!$A$5:$A$21,업무일지!$D33,코드설정!$B$5:$B$21,업무일지!$E33)=0),"세부유형이 직무구분과 불일치; ",""))&amp;IF(AND(업무일지!$F33&lt;&gt;"",COUNTIF(사건마스터!$A$5:$A$64,업무일지!$F33)=0),"미등록 사건번호; ","")&amp;IF(AND(업무일지!$F33="",업무일지!$H33=""),"사건번호·업무명 모두 없음; ","")&amp;IF(업무일지!$J33="","담당자 없음; ","")&amp;IF(COUNTIF(코드설정!$F$5:$F$7,업무일지!$AG33)=0,"진행상태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"&amp;업무일지!$H34)</f>
        <v/>
      </c>
      <c r="D66" s="45">
        <f>IF(NOT(COUNTBLANK(업무일지!$B34:$AH34)&lt;33),"",TRIM(IF(업무일지!$B34="","시작일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","")&amp;IF(COUNTIF(코드설정!$H$5:$H$7,업무일지!$D34)=0,"직무구분 누락; ","")&amp;IF(업무일지!$E34="","세부유형 누락; ",IF(AND(업무일지!$D34&lt;&gt;"",COUNTIFS(코드설정!$A$5:$A$21,업무일지!$D34,코드설정!$B$5:$B$21,업무일지!$E34)=0),"세부유형이 직무구분과 불일치; ",""))&amp;IF(AND(업무일지!$F34&lt;&gt;"",COUNTIF(사건마스터!$A$5:$A$64,업무일지!$F34)=0),"미등록 사건번호; ","")&amp;IF(AND(업무일지!$F34="",업무일지!$H34=""),"사건번호·업무명 모두 없음; ","")&amp;IF(업무일지!$J34="","담당자 없음; ","")&amp;IF(COUNTIF(코드설정!$F$5:$F$7,업무일지!$AG34)=0,"진행상태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"&amp;업무일지!$H35)</f>
        <v/>
      </c>
      <c r="D67" s="45">
        <f>IF(NOT(COUNTBLANK(업무일지!$B35:$AH35)&lt;33),"",TRIM(IF(업무일지!$B35="","시작일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","")&amp;IF(COUNTIF(코드설정!$H$5:$H$7,업무일지!$D35)=0,"직무구분 누락; ","")&amp;IF(업무일지!$E35="","세부유형 누락; ",IF(AND(업무일지!$D35&lt;&gt;"",COUNTIFS(코드설정!$A$5:$A$21,업무일지!$D35,코드설정!$B$5:$B$21,업무일지!$E35)=0),"세부유형이 직무구분과 불일치; ",""))&amp;IF(AND(업무일지!$F35&lt;&gt;"",COUNTIF(사건마스터!$A$5:$A$64,업무일지!$F35)=0),"미등록 사건번호; ","")&amp;IF(AND(업무일지!$F35="",업무일지!$H35=""),"사건번호·업무명 모두 없음; ","")&amp;IF(업무일지!$J35="","담당자 없음; ","")&amp;IF(COUNTIF(코드설정!$F$5:$F$7,업무일지!$AG35)=0,"진행상태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"&amp;업무일지!$H36)</f>
        <v/>
      </c>
      <c r="D68" s="45">
        <f>IF(NOT(COUNTBLANK(업무일지!$B36:$AH36)&lt;33),"",TRIM(IF(업무일지!$B36="","시작일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","")&amp;IF(COUNTIF(코드설정!$H$5:$H$7,업무일지!$D36)=0,"직무구분 누락; ","")&amp;IF(업무일지!$E36="","세부유형 누락; ",IF(AND(업무일지!$D36&lt;&gt;"",COUNTIFS(코드설정!$A$5:$A$21,업무일지!$D36,코드설정!$B$5:$B$21,업무일지!$E36)=0),"세부유형이 직무구분과 불일치; ",""))&amp;IF(AND(업무일지!$F36&lt;&gt;"",COUNTIF(사건마스터!$A$5:$A$64,업무일지!$F36)=0),"미등록 사건번호; ","")&amp;IF(AND(업무일지!$F36="",업무일지!$H36=""),"사건번호·업무명 모두 없음; ","")&amp;IF(업무일지!$J36="","담당자 없음; ","")&amp;IF(COUNTIF(코드설정!$F$5:$F$7,업무일지!$AG36)=0,"진행상태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"&amp;업무일지!$H37)</f>
        <v/>
      </c>
      <c r="D69" s="45">
        <f>IF(NOT(COUNTBLANK(업무일지!$B37:$AH37)&lt;33),"",TRIM(IF(업무일지!$B37="","시작일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","")&amp;IF(COUNTIF(코드설정!$H$5:$H$7,업무일지!$D37)=0,"직무구분 누락; ","")&amp;IF(업무일지!$E37="","세부유형 누락; ",IF(AND(업무일지!$D37&lt;&gt;"",COUNTIFS(코드설정!$A$5:$A$21,업무일지!$D37,코드설정!$B$5:$B$21,업무일지!$E37)=0),"세부유형이 직무구분과 불일치; ",""))&amp;IF(AND(업무일지!$F37&lt;&gt;"",COUNTIF(사건마스터!$A$5:$A$64,업무일지!$F37)=0),"미등록 사건번호; ","")&amp;IF(AND(업무일지!$F37="",업무일지!$H37=""),"사건번호·업무명 모두 없음; ","")&amp;IF(업무일지!$J37="","담당자 없음; ","")&amp;IF(COUNTIF(코드설정!$F$5:$F$7,업무일지!$AG37)=0,"진행상태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"&amp;업무일지!$H38)</f>
        <v/>
      </c>
      <c r="D70" s="45">
        <f>IF(NOT(COUNTBLANK(업무일지!$B38:$AH38)&lt;33),"",TRIM(IF(업무일지!$B38="","시작일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","")&amp;IF(COUNTIF(코드설정!$H$5:$H$7,업무일지!$D38)=0,"직무구분 누락; ","")&amp;IF(업무일지!$E38="","세부유형 누락; ",IF(AND(업무일지!$D38&lt;&gt;"",COUNTIFS(코드설정!$A$5:$A$21,업무일지!$D38,코드설정!$B$5:$B$21,업무일지!$E38)=0),"세부유형이 직무구분과 불일치; ",""))&amp;IF(AND(업무일지!$F38&lt;&gt;"",COUNTIF(사건마스터!$A$5:$A$64,업무일지!$F38)=0),"미등록 사건번호; ","")&amp;IF(AND(업무일지!$F38="",업무일지!$H38=""),"사건번호·업무명 모두 없음; ","")&amp;IF(업무일지!$J38="","담당자 없음; ","")&amp;IF(COUNTIF(코드설정!$F$5:$F$7,업무일지!$AG38)=0,"진행상태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"&amp;업무일지!$H39)</f>
        <v/>
      </c>
      <c r="D71" s="45">
        <f>IF(NOT(COUNTBLANK(업무일지!$B39:$AH39)&lt;33),"",TRIM(IF(업무일지!$B39="","시작일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","")&amp;IF(COUNTIF(코드설정!$H$5:$H$7,업무일지!$D39)=0,"직무구분 누락; ","")&amp;IF(업무일지!$E39="","세부유형 누락; ",IF(AND(업무일지!$D39&lt;&gt;"",COUNTIFS(코드설정!$A$5:$A$21,업무일지!$D39,코드설정!$B$5:$B$21,업무일지!$E39)=0),"세부유형이 직무구분과 불일치; ",""))&amp;IF(AND(업무일지!$F39&lt;&gt;"",COUNTIF(사건마스터!$A$5:$A$64,업무일지!$F39)=0),"미등록 사건번호; ","")&amp;IF(AND(업무일지!$F39="",업무일지!$H39=""),"사건번호·업무명 모두 없음; ","")&amp;IF(업무일지!$J39="","담당자 없음; ","")&amp;IF(COUNTIF(코드설정!$F$5:$F$7,업무일지!$AG39)=0,"진행상태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"&amp;업무일지!$H40)</f>
        <v/>
      </c>
      <c r="D72" s="45">
        <f>IF(NOT(COUNTBLANK(업무일지!$B40:$AH40)&lt;33),"",TRIM(IF(업무일지!$B40="","시작일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","")&amp;IF(COUNTIF(코드설정!$H$5:$H$7,업무일지!$D40)=0,"직무구분 누락; ","")&amp;IF(업무일지!$E40="","세부유형 누락; ",IF(AND(업무일지!$D40&lt;&gt;"",COUNTIFS(코드설정!$A$5:$A$21,업무일지!$D40,코드설정!$B$5:$B$21,업무일지!$E40)=0),"세부유형이 직무구분과 불일치; ",""))&amp;IF(AND(업무일지!$F40&lt;&gt;"",COUNTIF(사건마스터!$A$5:$A$64,업무일지!$F40)=0),"미등록 사건번호; ","")&amp;IF(AND(업무일지!$F40="",업무일지!$H40=""),"사건번호·업무명 모두 없음; ","")&amp;IF(업무일지!$J40="","담당자 없음; ","")&amp;IF(COUNTIF(코드설정!$F$5:$F$7,업무일지!$AG40)=0,"진행상태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"&amp;업무일지!$H41)</f>
        <v/>
      </c>
      <c r="D73" s="45">
        <f>IF(NOT(COUNTBLANK(업무일지!$B41:$AH41)&lt;33),"",TRIM(IF(업무일지!$B41="","시작일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","")&amp;IF(COUNTIF(코드설정!$H$5:$H$7,업무일지!$D41)=0,"직무구분 누락; ","")&amp;IF(업무일지!$E41="","세부유형 누락; ",IF(AND(업무일지!$D41&lt;&gt;"",COUNTIFS(코드설정!$A$5:$A$21,업무일지!$D41,코드설정!$B$5:$B$21,업무일지!$E41)=0),"세부유형이 직무구분과 불일치; ",""))&amp;IF(AND(업무일지!$F41&lt;&gt;"",COUNTIF(사건마스터!$A$5:$A$64,업무일지!$F41)=0),"미등록 사건번호; ","")&amp;IF(AND(업무일지!$F41="",업무일지!$H41=""),"사건번호·업무명 모두 없음; ","")&amp;IF(업무일지!$J41="","담당자 없음; ","")&amp;IF(COUNTIF(코드설정!$F$5:$F$7,업무일지!$AG41)=0,"진행상태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"&amp;업무일지!$H42)</f>
        <v/>
      </c>
      <c r="D74" s="45">
        <f>IF(NOT(COUNTBLANK(업무일지!$B42:$AH42)&lt;33),"",TRIM(IF(업무일지!$B42="","시작일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","")&amp;IF(COUNTIF(코드설정!$H$5:$H$7,업무일지!$D42)=0,"직무구분 누락; ","")&amp;IF(업무일지!$E42="","세부유형 누락; ",IF(AND(업무일지!$D42&lt;&gt;"",COUNTIFS(코드설정!$A$5:$A$21,업무일지!$D42,코드설정!$B$5:$B$21,업무일지!$E42)=0),"세부유형이 직무구분과 불일치; ",""))&amp;IF(AND(업무일지!$F42&lt;&gt;"",COUNTIF(사건마스터!$A$5:$A$64,업무일지!$F42)=0),"미등록 사건번호; ","")&amp;IF(AND(업무일지!$F42="",업무일지!$H42=""),"사건번호·업무명 모두 없음; ","")&amp;IF(업무일지!$J42="","담당자 없음; ","")&amp;IF(COUNTIF(코드설정!$F$5:$F$7,업무일지!$AG42)=0,"진행상태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"&amp;업무일지!$H43)</f>
        <v/>
      </c>
      <c r="D75" s="45">
        <f>IF(NOT(COUNTBLANK(업무일지!$B43:$AH43)&lt;33),"",TRIM(IF(업무일지!$B43="","시작일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","")&amp;IF(COUNTIF(코드설정!$H$5:$H$7,업무일지!$D43)=0,"직무구분 누락; ","")&amp;IF(업무일지!$E43="","세부유형 누락; ",IF(AND(업무일지!$D43&lt;&gt;"",COUNTIFS(코드설정!$A$5:$A$21,업무일지!$D43,코드설정!$B$5:$B$21,업무일지!$E43)=0),"세부유형이 직무구분과 불일치; ",""))&amp;IF(AND(업무일지!$F43&lt;&gt;"",COUNTIF(사건마스터!$A$5:$A$64,업무일지!$F43)=0),"미등록 사건번호; ","")&amp;IF(AND(업무일지!$F43="",업무일지!$H43=""),"사건번호·업무명 모두 없음; ","")&amp;IF(업무일지!$J43="","담당자 없음; ","")&amp;IF(COUNTIF(코드설정!$F$5:$F$7,업무일지!$AG43)=0,"진행상태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"&amp;업무일지!$H44)</f>
        <v/>
      </c>
      <c r="D76" s="45">
        <f>IF(NOT(COUNTBLANK(업무일지!$B44:$AH44)&lt;33),"",TRIM(IF(업무일지!$B44="","시작일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","")&amp;IF(COUNTIF(코드설정!$H$5:$H$7,업무일지!$D44)=0,"직무구분 누락; ","")&amp;IF(업무일지!$E44="","세부유형 누락; ",IF(AND(업무일지!$D44&lt;&gt;"",COUNTIFS(코드설정!$A$5:$A$21,업무일지!$D44,코드설정!$B$5:$B$21,업무일지!$E44)=0),"세부유형이 직무구분과 불일치; ",""))&amp;IF(AND(업무일지!$F44&lt;&gt;"",COUNTIF(사건마스터!$A$5:$A$64,업무일지!$F44)=0),"미등록 사건번호; ","")&amp;IF(AND(업무일지!$F44="",업무일지!$H44=""),"사건번호·업무명 모두 없음; ","")&amp;IF(업무일지!$J44="","담당자 없음; ","")&amp;IF(COUNTIF(코드설정!$F$5:$F$7,업무일지!$AG44)=0,"진행상태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"&amp;업무일지!$H45)</f>
        <v/>
      </c>
      <c r="D77" s="45">
        <f>IF(NOT(COUNTBLANK(업무일지!$B45:$AH45)&lt;33),"",TRIM(IF(업무일지!$B45="","시작일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","")&amp;IF(COUNTIF(코드설정!$H$5:$H$7,업무일지!$D45)=0,"직무구분 누락; ","")&amp;IF(업무일지!$E45="","세부유형 누락; ",IF(AND(업무일지!$D45&lt;&gt;"",COUNTIFS(코드설정!$A$5:$A$21,업무일지!$D45,코드설정!$B$5:$B$21,업무일지!$E45)=0),"세부유형이 직무구분과 불일치; ",""))&amp;IF(AND(업무일지!$F45&lt;&gt;"",COUNTIF(사건마스터!$A$5:$A$64,업무일지!$F45)=0),"미등록 사건번호; ","")&amp;IF(AND(업무일지!$F45="",업무일지!$H45=""),"사건번호·업무명 모두 없음; ","")&amp;IF(업무일지!$J45="","담당자 없음; ","")&amp;IF(COUNTIF(코드설정!$F$5:$F$7,업무일지!$AG45)=0,"진행상태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"&amp;업무일지!$H46)</f>
        <v/>
      </c>
      <c r="D78" s="45">
        <f>IF(NOT(COUNTBLANK(업무일지!$B46:$AH46)&lt;33),"",TRIM(IF(업무일지!$B46="","시작일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","")&amp;IF(COUNTIF(코드설정!$H$5:$H$7,업무일지!$D46)=0,"직무구분 누락; ","")&amp;IF(업무일지!$E46="","세부유형 누락; ",IF(AND(업무일지!$D46&lt;&gt;"",COUNTIFS(코드설정!$A$5:$A$21,업무일지!$D46,코드설정!$B$5:$B$21,업무일지!$E46)=0),"세부유형이 직무구분과 불일치; ",""))&amp;IF(AND(업무일지!$F46&lt;&gt;"",COUNTIF(사건마스터!$A$5:$A$64,업무일지!$F46)=0),"미등록 사건번호; ","")&amp;IF(AND(업무일지!$F46="",업무일지!$H46=""),"사건번호·업무명 모두 없음; ","")&amp;IF(업무일지!$J46="","담당자 없음; ","")&amp;IF(COUNTIF(코드설정!$F$5:$F$7,업무일지!$AG46)=0,"진행상태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"&amp;업무일지!$H47)</f>
        <v/>
      </c>
      <c r="D79" s="45">
        <f>IF(NOT(COUNTBLANK(업무일지!$B47:$AH47)&lt;33),"",TRIM(IF(업무일지!$B47="","시작일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","")&amp;IF(COUNTIF(코드설정!$H$5:$H$7,업무일지!$D47)=0,"직무구분 누락; ","")&amp;IF(업무일지!$E47="","세부유형 누락; ",IF(AND(업무일지!$D47&lt;&gt;"",COUNTIFS(코드설정!$A$5:$A$21,업무일지!$D47,코드설정!$B$5:$B$21,업무일지!$E47)=0),"세부유형이 직무구분과 불일치; ",""))&amp;IF(AND(업무일지!$F47&lt;&gt;"",COUNTIF(사건마스터!$A$5:$A$64,업무일지!$F47)=0),"미등록 사건번호; ","")&amp;IF(AND(업무일지!$F47="",업무일지!$H47=""),"사건번호·업무명 모두 없음; ","")&amp;IF(업무일지!$J47="","담당자 없음; ","")&amp;IF(COUNTIF(코드설정!$F$5:$F$7,업무일지!$AG47)=0,"진행상태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"&amp;업무일지!$H48)</f>
        <v/>
      </c>
      <c r="D80" s="45">
        <f>IF(NOT(COUNTBLANK(업무일지!$B48:$AH48)&lt;33),"",TRIM(IF(업무일지!$B48="","시작일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","")&amp;IF(COUNTIF(코드설정!$H$5:$H$7,업무일지!$D48)=0,"직무구분 누락; ","")&amp;IF(업무일지!$E48="","세부유형 누락; ",IF(AND(업무일지!$D48&lt;&gt;"",COUNTIFS(코드설정!$A$5:$A$21,업무일지!$D48,코드설정!$B$5:$B$21,업무일지!$E48)=0),"세부유형이 직무구분과 불일치; ",""))&amp;IF(AND(업무일지!$F48&lt;&gt;"",COUNTIF(사건마스터!$A$5:$A$64,업무일지!$F48)=0),"미등록 사건번호; ","")&amp;IF(AND(업무일지!$F48="",업무일지!$H48=""),"사건번호·업무명 모두 없음; ","")&amp;IF(업무일지!$J48="","담당자 없음; ","")&amp;IF(COUNTIF(코드설정!$F$5:$F$7,업무일지!$AG48)=0,"진행상태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"&amp;업무일지!$H49)</f>
        <v/>
      </c>
      <c r="D81" s="45">
        <f>IF(NOT(COUNTBLANK(업무일지!$B49:$AH49)&lt;33),"",TRIM(IF(업무일지!$B49="","시작일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","")&amp;IF(COUNTIF(코드설정!$H$5:$H$7,업무일지!$D49)=0,"직무구분 누락; ","")&amp;IF(업무일지!$E49="","세부유형 누락; ",IF(AND(업무일지!$D49&lt;&gt;"",COUNTIFS(코드설정!$A$5:$A$21,업무일지!$D49,코드설정!$B$5:$B$21,업무일지!$E49)=0),"세부유형이 직무구분과 불일치; ",""))&amp;IF(AND(업무일지!$F49&lt;&gt;"",COUNTIF(사건마스터!$A$5:$A$64,업무일지!$F49)=0),"미등록 사건번호; ","")&amp;IF(AND(업무일지!$F49="",업무일지!$H49=""),"사건번호·업무명 모두 없음; ","")&amp;IF(업무일지!$J49="","담당자 없음; ","")&amp;IF(COUNTIF(코드설정!$F$5:$F$7,업무일지!$AG49)=0,"진행상태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"&amp;업무일지!$H50)</f>
        <v/>
      </c>
      <c r="D82" s="45">
        <f>IF(NOT(COUNTBLANK(업무일지!$B50:$AH50)&lt;33),"",TRIM(IF(업무일지!$B50="","시작일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","")&amp;IF(COUNTIF(코드설정!$H$5:$H$7,업무일지!$D50)=0,"직무구분 누락; ","")&amp;IF(업무일지!$E50="","세부유형 누락; ",IF(AND(업무일지!$D50&lt;&gt;"",COUNTIFS(코드설정!$A$5:$A$21,업무일지!$D50,코드설정!$B$5:$B$21,업무일지!$E50)=0),"세부유형이 직무구분과 불일치; ",""))&amp;IF(AND(업무일지!$F50&lt;&gt;"",COUNTIF(사건마스터!$A$5:$A$64,업무일지!$F50)=0),"미등록 사건번호; ","")&amp;IF(AND(업무일지!$F50="",업무일지!$H50=""),"사건번호·업무명 모두 없음; ","")&amp;IF(업무일지!$J50="","담당자 없음; ","")&amp;IF(COUNTIF(코드설정!$F$5:$F$7,업무일지!$AG50)=0,"진행상태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"&amp;업무일지!$H51)</f>
        <v/>
      </c>
      <c r="D83" s="45">
        <f>IF(NOT(COUNTBLANK(업무일지!$B51:$AH51)&lt;33),"",TRIM(IF(업무일지!$B51="","시작일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","")&amp;IF(COUNTIF(코드설정!$H$5:$H$7,업무일지!$D51)=0,"직무구분 누락; ","")&amp;IF(업무일지!$E51="","세부유형 누락; ",IF(AND(업무일지!$D51&lt;&gt;"",COUNTIFS(코드설정!$A$5:$A$21,업무일지!$D51,코드설정!$B$5:$B$21,업무일지!$E51)=0),"세부유형이 직무구분과 불일치; ",""))&amp;IF(AND(업무일지!$F51&lt;&gt;"",COUNTIF(사건마스터!$A$5:$A$64,업무일지!$F51)=0),"미등록 사건번호; ","")&amp;IF(AND(업무일지!$F51="",업무일지!$H51=""),"사건번호·업무명 모두 없음; ","")&amp;IF(업무일지!$J51="","담당자 없음; ","")&amp;IF(COUNTIF(코드설정!$F$5:$F$7,업무일지!$AG51)=0,"진행상태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"&amp;업무일지!$H52)</f>
        <v/>
      </c>
      <c r="D84" s="45">
        <f>IF(NOT(COUNTBLANK(업무일지!$B52:$AH52)&lt;33),"",TRIM(IF(업무일지!$B52="","시작일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","")&amp;IF(COUNTIF(코드설정!$H$5:$H$7,업무일지!$D52)=0,"직무구분 누락; ","")&amp;IF(업무일지!$E52="","세부유형 누락; ",IF(AND(업무일지!$D52&lt;&gt;"",COUNTIFS(코드설정!$A$5:$A$21,업무일지!$D52,코드설정!$B$5:$B$21,업무일지!$E52)=0),"세부유형이 직무구분과 불일치; ",""))&amp;IF(AND(업무일지!$F52&lt;&gt;"",COUNTIF(사건마스터!$A$5:$A$64,업무일지!$F52)=0),"미등록 사건번호; ","")&amp;IF(AND(업무일지!$F52="",업무일지!$H52=""),"사건번호·업무명 모두 없음; ","")&amp;IF(업무일지!$J52="","담당자 없음; ","")&amp;IF(COUNTIF(코드설정!$F$5:$F$7,업무일지!$AG52)=0,"진행상태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"&amp;업무일지!$H53)</f>
        <v/>
      </c>
      <c r="D85" s="45">
        <f>IF(NOT(COUNTBLANK(업무일지!$B53:$AH53)&lt;33),"",TRIM(IF(업무일지!$B53="","시작일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","")&amp;IF(COUNTIF(코드설정!$H$5:$H$7,업무일지!$D53)=0,"직무구분 누락; ","")&amp;IF(업무일지!$E53="","세부유형 누락; ",IF(AND(업무일지!$D53&lt;&gt;"",COUNTIFS(코드설정!$A$5:$A$21,업무일지!$D53,코드설정!$B$5:$B$21,업무일지!$E53)=0),"세부유형이 직무구분과 불일치; ",""))&amp;IF(AND(업무일지!$F53&lt;&gt;"",COUNTIF(사건마스터!$A$5:$A$64,업무일지!$F53)=0),"미등록 사건번호; ","")&amp;IF(AND(업무일지!$F53="",업무일지!$H53=""),"사건번호·업무명 모두 없음; ","")&amp;IF(업무일지!$J53="","담당자 없음; ","")&amp;IF(COUNTIF(코드설정!$F$5:$F$7,업무일지!$AG53)=0,"진행상태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"&amp;업무일지!$H54)</f>
        <v/>
      </c>
      <c r="D86" s="45">
        <f>IF(NOT(COUNTBLANK(업무일지!$B54:$AH54)&lt;33),"",TRIM(IF(업무일지!$B54="","시작일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","")&amp;IF(COUNTIF(코드설정!$H$5:$H$7,업무일지!$D54)=0,"직무구분 누락; ","")&amp;IF(업무일지!$E54="","세부유형 누락; ",IF(AND(업무일지!$D54&lt;&gt;"",COUNTIFS(코드설정!$A$5:$A$21,업무일지!$D54,코드설정!$B$5:$B$21,업무일지!$E54)=0),"세부유형이 직무구분과 불일치; ",""))&amp;IF(AND(업무일지!$F54&lt;&gt;"",COUNTIF(사건마스터!$A$5:$A$64,업무일지!$F54)=0),"미등록 사건번호; ","")&amp;IF(AND(업무일지!$F54="",업무일지!$H54=""),"사건번호·업무명 모두 없음; ","")&amp;IF(업무일지!$J54="","담당자 없음; ","")&amp;IF(COUNTIF(코드설정!$F$5:$F$7,업무일지!$AG54)=0,"진행상태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"&amp;업무일지!$H55)</f>
        <v/>
      </c>
      <c r="D87" s="45">
        <f>IF(NOT(COUNTBLANK(업무일지!$B55:$AH55)&lt;33),"",TRIM(IF(업무일지!$B55="","시작일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","")&amp;IF(COUNTIF(코드설정!$H$5:$H$7,업무일지!$D55)=0,"직무구분 누락; ","")&amp;IF(업무일지!$E55="","세부유형 누락; ",IF(AND(업무일지!$D55&lt;&gt;"",COUNTIFS(코드설정!$A$5:$A$21,업무일지!$D55,코드설정!$B$5:$B$21,업무일지!$E55)=0),"세부유형이 직무구분과 불일치; ",""))&amp;IF(AND(업무일지!$F55&lt;&gt;"",COUNTIF(사건마스터!$A$5:$A$64,업무일지!$F55)=0),"미등록 사건번호; ","")&amp;IF(AND(업무일지!$F55="",업무일지!$H55=""),"사건번호·업무명 모두 없음; ","")&amp;IF(업무일지!$J55="","담당자 없음; ","")&amp;IF(COUNTIF(코드설정!$F$5:$F$7,업무일지!$AG55)=0,"진행상태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"&amp;업무일지!$H56)</f>
        <v/>
      </c>
      <c r="D88" s="45">
        <f>IF(NOT(COUNTBLANK(업무일지!$B56:$AH56)&lt;33),"",TRIM(IF(업무일지!$B56="","시작일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","")&amp;IF(COUNTIF(코드설정!$H$5:$H$7,업무일지!$D56)=0,"직무구분 누락; ","")&amp;IF(업무일지!$E56="","세부유형 누락; ",IF(AND(업무일지!$D56&lt;&gt;"",COUNTIFS(코드설정!$A$5:$A$21,업무일지!$D56,코드설정!$B$5:$B$21,업무일지!$E56)=0),"세부유형이 직무구분과 불일치; ",""))&amp;IF(AND(업무일지!$F56&lt;&gt;"",COUNTIF(사건마스터!$A$5:$A$64,업무일지!$F56)=0),"미등록 사건번호; ","")&amp;IF(AND(업무일지!$F56="",업무일지!$H56=""),"사건번호·업무명 모두 없음; ","")&amp;IF(업무일지!$J56="","담당자 없음; ","")&amp;IF(COUNTIF(코드설정!$F$5:$F$7,업무일지!$AG56)=0,"진행상태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"&amp;업무일지!$H57)</f>
        <v/>
      </c>
      <c r="D89" s="45">
        <f>IF(NOT(COUNTBLANK(업무일지!$B57:$AH57)&lt;33),"",TRIM(IF(업무일지!$B57="","시작일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","")&amp;IF(COUNTIF(코드설정!$H$5:$H$7,업무일지!$D57)=0,"직무구분 누락; ","")&amp;IF(업무일지!$E57="","세부유형 누락; ",IF(AND(업무일지!$D57&lt;&gt;"",COUNTIFS(코드설정!$A$5:$A$21,업무일지!$D57,코드설정!$B$5:$B$21,업무일지!$E57)=0),"세부유형이 직무구분과 불일치; ",""))&amp;IF(AND(업무일지!$F57&lt;&gt;"",COUNTIF(사건마스터!$A$5:$A$64,업무일지!$F57)=0),"미등록 사건번호; ","")&amp;IF(AND(업무일지!$F57="",업무일지!$H57=""),"사건번호·업무명 모두 없음; ","")&amp;IF(업무일지!$J57="","담당자 없음; ","")&amp;IF(COUNTIF(코드설정!$F$5:$F$7,업무일지!$AG57)=0,"진행상태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"&amp;업무일지!$H58)</f>
        <v/>
      </c>
      <c r="D90" s="45">
        <f>IF(NOT(COUNTBLANK(업무일지!$B58:$AH58)&lt;33),"",TRIM(IF(업무일지!$B58="","시작일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","")&amp;IF(COUNTIF(코드설정!$H$5:$H$7,업무일지!$D58)=0,"직무구분 누락; ","")&amp;IF(업무일지!$E58="","세부유형 누락; ",IF(AND(업무일지!$D58&lt;&gt;"",COUNTIFS(코드설정!$A$5:$A$21,업무일지!$D58,코드설정!$B$5:$B$21,업무일지!$E58)=0),"세부유형이 직무구분과 불일치; ",""))&amp;IF(AND(업무일지!$F58&lt;&gt;"",COUNTIF(사건마스터!$A$5:$A$64,업무일지!$F58)=0),"미등록 사건번호; ","")&amp;IF(AND(업무일지!$F58="",업무일지!$H58=""),"사건번호·업무명 모두 없음; ","")&amp;IF(업무일지!$J58="","담당자 없음; ","")&amp;IF(COUNTIF(코드설정!$F$5:$F$7,업무일지!$AG58)=0,"진행상태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"&amp;업무일지!$H59)</f>
        <v/>
      </c>
      <c r="D91" s="45">
        <f>IF(NOT(COUNTBLANK(업무일지!$B59:$AH59)&lt;33),"",TRIM(IF(업무일지!$B59="","시작일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","")&amp;IF(COUNTIF(코드설정!$H$5:$H$7,업무일지!$D59)=0,"직무구분 누락; ","")&amp;IF(업무일지!$E59="","세부유형 누락; ",IF(AND(업무일지!$D59&lt;&gt;"",COUNTIFS(코드설정!$A$5:$A$21,업무일지!$D59,코드설정!$B$5:$B$21,업무일지!$E59)=0),"세부유형이 직무구분과 불일치; ",""))&amp;IF(AND(업무일지!$F59&lt;&gt;"",COUNTIF(사건마스터!$A$5:$A$64,업무일지!$F59)=0),"미등록 사건번호; ","")&amp;IF(AND(업무일지!$F59="",업무일지!$H59=""),"사건번호·업무명 모두 없음; ","")&amp;IF(업무일지!$J59="","담당자 없음; ","")&amp;IF(COUNTIF(코드설정!$F$5:$F$7,업무일지!$AG59)=0,"진행상태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"&amp;업무일지!$H60)</f>
        <v/>
      </c>
      <c r="D92" s="45">
        <f>IF(NOT(COUNTBLANK(업무일지!$B60:$AH60)&lt;33),"",TRIM(IF(업무일지!$B60="","시작일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","")&amp;IF(COUNTIF(코드설정!$H$5:$H$7,업무일지!$D60)=0,"직무구분 누락; ","")&amp;IF(업무일지!$E60="","세부유형 누락; ",IF(AND(업무일지!$D60&lt;&gt;"",COUNTIFS(코드설정!$A$5:$A$21,업무일지!$D60,코드설정!$B$5:$B$21,업무일지!$E60)=0),"세부유형이 직무구분과 불일치; ",""))&amp;IF(AND(업무일지!$F60&lt;&gt;"",COUNTIF(사건마스터!$A$5:$A$64,업무일지!$F60)=0),"미등록 사건번호; ","")&amp;IF(AND(업무일지!$F60="",업무일지!$H60=""),"사건번호·업무명 모두 없음; ","")&amp;IF(업무일지!$J60="","담당자 없음; ","")&amp;IF(COUNTIF(코드설정!$F$5:$F$7,업무일지!$AG60)=0,"진행상태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"&amp;업무일지!$H61)</f>
        <v/>
      </c>
      <c r="D93" s="45">
        <f>IF(NOT(COUNTBLANK(업무일지!$B61:$AH61)&lt;33),"",TRIM(IF(업무일지!$B61="","시작일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","")&amp;IF(COUNTIF(코드설정!$H$5:$H$7,업무일지!$D61)=0,"직무구분 누락; ","")&amp;IF(업무일지!$E61="","세부유형 누락; ",IF(AND(업무일지!$D61&lt;&gt;"",COUNTIFS(코드설정!$A$5:$A$21,업무일지!$D61,코드설정!$B$5:$B$21,업무일지!$E61)=0),"세부유형이 직무구분과 불일치; ",""))&amp;IF(AND(업무일지!$F61&lt;&gt;"",COUNTIF(사건마스터!$A$5:$A$64,업무일지!$F61)=0),"미등록 사건번호; ","")&amp;IF(AND(업무일지!$F61="",업무일지!$H61=""),"사건번호·업무명 모두 없음; ","")&amp;IF(업무일지!$J61="","담당자 없음; ","")&amp;IF(COUNTIF(코드설정!$F$5:$F$7,업무일지!$AG61)=0,"진행상태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"&amp;업무일지!$H62)</f>
        <v/>
      </c>
      <c r="D94" s="45">
        <f>IF(NOT(COUNTBLANK(업무일지!$B62:$AH62)&lt;33),"",TRIM(IF(업무일지!$B62="","시작일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","")&amp;IF(COUNTIF(코드설정!$H$5:$H$7,업무일지!$D62)=0,"직무구분 누락; ","")&amp;IF(업무일지!$E62="","세부유형 누락; ",IF(AND(업무일지!$D62&lt;&gt;"",COUNTIFS(코드설정!$A$5:$A$21,업무일지!$D62,코드설정!$B$5:$B$21,업무일지!$E62)=0),"세부유형이 직무구분과 불일치; ",""))&amp;IF(AND(업무일지!$F62&lt;&gt;"",COUNTIF(사건마스터!$A$5:$A$64,업무일지!$F62)=0),"미등록 사건번호; ","")&amp;IF(AND(업무일지!$F62="",업무일지!$H62=""),"사건번호·업무명 모두 없음; ","")&amp;IF(업무일지!$J62="","담당자 없음; ","")&amp;IF(COUNTIF(코드설정!$F$5:$F$7,업무일지!$AG62)=0,"진행상태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"&amp;업무일지!$H63)</f>
        <v/>
      </c>
      <c r="D95" s="45">
        <f>IF(NOT(COUNTBLANK(업무일지!$B63:$AH63)&lt;33),"",TRIM(IF(업무일지!$B63="","시작일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","")&amp;IF(COUNTIF(코드설정!$H$5:$H$7,업무일지!$D63)=0,"직무구분 누락; ","")&amp;IF(업무일지!$E63="","세부유형 누락; ",IF(AND(업무일지!$D63&lt;&gt;"",COUNTIFS(코드설정!$A$5:$A$21,업무일지!$D63,코드설정!$B$5:$B$21,업무일지!$E63)=0),"세부유형이 직무구분과 불일치; ",""))&amp;IF(AND(업무일지!$F63&lt;&gt;"",COUNTIF(사건마스터!$A$5:$A$64,업무일지!$F63)=0),"미등록 사건번호; ","")&amp;IF(AND(업무일지!$F63="",업무일지!$H63=""),"사건번호·업무명 모두 없음; ","")&amp;IF(업무일지!$J63="","담당자 없음; ","")&amp;IF(COUNTIF(코드설정!$F$5:$F$7,업무일지!$AG63)=0,"진행상태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"&amp;업무일지!$H64)</f>
        <v/>
      </c>
      <c r="D96" s="45">
        <f>IF(NOT(COUNTBLANK(업무일지!$B64:$AH64)&lt;33),"",TRIM(IF(업무일지!$B64="","시작일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","")&amp;IF(COUNTIF(코드설정!$H$5:$H$7,업무일지!$D64)=0,"직무구분 누락; ","")&amp;IF(업무일지!$E64="","세부유형 누락; ",IF(AND(업무일지!$D64&lt;&gt;"",COUNTIFS(코드설정!$A$5:$A$21,업무일지!$D64,코드설정!$B$5:$B$21,업무일지!$E64)=0),"세부유형이 직무구분과 불일치; ",""))&amp;IF(AND(업무일지!$F64&lt;&gt;"",COUNTIF(사건마스터!$A$5:$A$64,업무일지!$F64)=0),"미등록 사건번호; ","")&amp;IF(AND(업무일지!$F64="",업무일지!$H64=""),"사건번호·업무명 모두 없음; ","")&amp;IF(업무일지!$J64="","담당자 없음; ","")&amp;IF(COUNTIF(코드설정!$F$5:$F$7,업무일지!$AG64)=0,"진행상태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"&amp;업무일지!$H65)</f>
        <v/>
      </c>
      <c r="D97" s="45">
        <f>IF(NOT(COUNTBLANK(업무일지!$B65:$AH65)&lt;33),"",TRIM(IF(업무일지!$B65="","시작일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","")&amp;IF(COUNTIF(코드설정!$H$5:$H$7,업무일지!$D65)=0,"직무구분 누락; ","")&amp;IF(업무일지!$E65="","세부유형 누락; ",IF(AND(업무일지!$D65&lt;&gt;"",COUNTIFS(코드설정!$A$5:$A$21,업무일지!$D65,코드설정!$B$5:$B$21,업무일지!$E65)=0),"세부유형이 직무구분과 불일치; ",""))&amp;IF(AND(업무일지!$F65&lt;&gt;"",COUNTIF(사건마스터!$A$5:$A$64,업무일지!$F65)=0),"미등록 사건번호; ","")&amp;IF(AND(업무일지!$F65="",업무일지!$H65=""),"사건번호·업무명 모두 없음; ","")&amp;IF(업무일지!$J65="","담당자 없음; ","")&amp;IF(COUNTIF(코드설정!$F$5:$F$7,업무일지!$AG65)=0,"진행상태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"&amp;업무일지!$H66)</f>
        <v/>
      </c>
      <c r="D98" s="45">
        <f>IF(NOT(COUNTBLANK(업무일지!$B66:$AH66)&lt;33),"",TRIM(IF(업무일지!$B66="","시작일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","")&amp;IF(COUNTIF(코드설정!$H$5:$H$7,업무일지!$D66)=0,"직무구분 누락; ","")&amp;IF(업무일지!$E66="","세부유형 누락; ",IF(AND(업무일지!$D66&lt;&gt;"",COUNTIFS(코드설정!$A$5:$A$21,업무일지!$D66,코드설정!$B$5:$B$21,업무일지!$E66)=0),"세부유형이 직무구분과 불일치; ",""))&amp;IF(AND(업무일지!$F66&lt;&gt;"",COUNTIF(사건마스터!$A$5:$A$64,업무일지!$F66)=0),"미등록 사건번호; ","")&amp;IF(AND(업무일지!$F66="",업무일지!$H66=""),"사건번호·업무명 모두 없음; ","")&amp;IF(업무일지!$J66="","담당자 없음; ","")&amp;IF(COUNTIF(코드설정!$F$5:$F$7,업무일지!$AG66)=0,"진행상태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"&amp;업무일지!$H67)</f>
        <v/>
      </c>
      <c r="D99" s="45">
        <f>IF(NOT(COUNTBLANK(업무일지!$B67:$AH67)&lt;33),"",TRIM(IF(업무일지!$B67="","시작일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","")&amp;IF(COUNTIF(코드설정!$H$5:$H$7,업무일지!$D67)=0,"직무구분 누락; ","")&amp;IF(업무일지!$E67="","세부유형 누락; ",IF(AND(업무일지!$D67&lt;&gt;"",COUNTIFS(코드설정!$A$5:$A$21,업무일지!$D67,코드설정!$B$5:$B$21,업무일지!$E67)=0),"세부유형이 직무구분과 불일치; ",""))&amp;IF(AND(업무일지!$F67&lt;&gt;"",COUNTIF(사건마스터!$A$5:$A$64,업무일지!$F67)=0),"미등록 사건번호; ","")&amp;IF(AND(업무일지!$F67="",업무일지!$H67=""),"사건번호·업무명 모두 없음; ","")&amp;IF(업무일지!$J67="","담당자 없음; ","")&amp;IF(COUNTIF(코드설정!$F$5:$F$7,업무일지!$AG67)=0,"진행상태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"&amp;업무일지!$H68)</f>
        <v/>
      </c>
      <c r="D100" s="45">
        <f>IF(NOT(COUNTBLANK(업무일지!$B68:$AH68)&lt;33),"",TRIM(IF(업무일지!$B68="","시작일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","")&amp;IF(COUNTIF(코드설정!$H$5:$H$7,업무일지!$D68)=0,"직무구분 누락; ","")&amp;IF(업무일지!$E68="","세부유형 누락; ",IF(AND(업무일지!$D68&lt;&gt;"",COUNTIFS(코드설정!$A$5:$A$21,업무일지!$D68,코드설정!$B$5:$B$21,업무일지!$E68)=0),"세부유형이 직무구분과 불일치; ",""))&amp;IF(AND(업무일지!$F68&lt;&gt;"",COUNTIF(사건마스터!$A$5:$A$64,업무일지!$F68)=0),"미등록 사건번호; ","")&amp;IF(AND(업무일지!$F68="",업무일지!$H68=""),"사건번호·업무명 모두 없음; ","")&amp;IF(업무일지!$J68="","담당자 없음; ","")&amp;IF(COUNTIF(코드설정!$F$5:$F$7,업무일지!$AG68)=0,"진행상태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"&amp;업무일지!$H69)</f>
        <v/>
      </c>
      <c r="D101" s="45">
        <f>IF(NOT(COUNTBLANK(업무일지!$B69:$AH69)&lt;33),"",TRIM(IF(업무일지!$B69="","시작일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","")&amp;IF(COUNTIF(코드설정!$H$5:$H$7,업무일지!$D69)=0,"직무구분 누락; ","")&amp;IF(업무일지!$E69="","세부유형 누락; ",IF(AND(업무일지!$D69&lt;&gt;"",COUNTIFS(코드설정!$A$5:$A$21,업무일지!$D69,코드설정!$B$5:$B$21,업무일지!$E69)=0),"세부유형이 직무구분과 불일치; ",""))&amp;IF(AND(업무일지!$F69&lt;&gt;"",COUNTIF(사건마스터!$A$5:$A$64,업무일지!$F69)=0),"미등록 사건번호; ","")&amp;IF(AND(업무일지!$F69="",업무일지!$H69=""),"사건번호·업무명 모두 없음; ","")&amp;IF(업무일지!$J69="","담당자 없음; ","")&amp;IF(COUNTIF(코드설정!$F$5:$F$7,업무일지!$AG69)=0,"진행상태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"&amp;업무일지!$H70)</f>
        <v/>
      </c>
      <c r="D102" s="45">
        <f>IF(NOT(COUNTBLANK(업무일지!$B70:$AH70)&lt;33),"",TRIM(IF(업무일지!$B70="","시작일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","")&amp;IF(COUNTIF(코드설정!$H$5:$H$7,업무일지!$D70)=0,"직무구분 누락; ","")&amp;IF(업무일지!$E70="","세부유형 누락; ",IF(AND(업무일지!$D70&lt;&gt;"",COUNTIFS(코드설정!$A$5:$A$21,업무일지!$D70,코드설정!$B$5:$B$21,업무일지!$E70)=0),"세부유형이 직무구분과 불일치; ",""))&amp;IF(AND(업무일지!$F70&lt;&gt;"",COUNTIF(사건마스터!$A$5:$A$64,업무일지!$F70)=0),"미등록 사건번호; ","")&amp;IF(AND(업무일지!$F70="",업무일지!$H70=""),"사건번호·업무명 모두 없음; ","")&amp;IF(업무일지!$J70="","담당자 없음; ","")&amp;IF(COUNTIF(코드설정!$F$5:$F$7,업무일지!$AG70)=0,"진행상태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"&amp;업무일지!$H71)</f>
        <v/>
      </c>
      <c r="D103" s="45">
        <f>IF(NOT(COUNTBLANK(업무일지!$B71:$AH71)&lt;33),"",TRIM(IF(업무일지!$B71="","시작일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","")&amp;IF(COUNTIF(코드설정!$H$5:$H$7,업무일지!$D71)=0,"직무구분 누락; ","")&amp;IF(업무일지!$E71="","세부유형 누락; ",IF(AND(업무일지!$D71&lt;&gt;"",COUNTIFS(코드설정!$A$5:$A$21,업무일지!$D71,코드설정!$B$5:$B$21,업무일지!$E71)=0),"세부유형이 직무구분과 불일치; ",""))&amp;IF(AND(업무일지!$F71&lt;&gt;"",COUNTIF(사건마스터!$A$5:$A$64,업무일지!$F71)=0),"미등록 사건번호; ","")&amp;IF(AND(업무일지!$F71="",업무일지!$H71=""),"사건번호·업무명 모두 없음; ","")&amp;IF(업무일지!$J71="","담당자 없음; ","")&amp;IF(COUNTIF(코드설정!$F$5:$F$7,업무일지!$AG71)=0,"진행상태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"&amp;업무일지!$H72)</f>
        <v/>
      </c>
      <c r="D104" s="45">
        <f>IF(NOT(COUNTBLANK(업무일지!$B72:$AH72)&lt;33),"",TRIM(IF(업무일지!$B72="","시작일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","")&amp;IF(COUNTIF(코드설정!$H$5:$H$7,업무일지!$D72)=0,"직무구분 누락; ","")&amp;IF(업무일지!$E72="","세부유형 누락; ",IF(AND(업무일지!$D72&lt;&gt;"",COUNTIFS(코드설정!$A$5:$A$21,업무일지!$D72,코드설정!$B$5:$B$21,업무일지!$E72)=0),"세부유형이 직무구분과 불일치; ",""))&amp;IF(AND(업무일지!$F72&lt;&gt;"",COUNTIF(사건마스터!$A$5:$A$64,업무일지!$F72)=0),"미등록 사건번호; ","")&amp;IF(AND(업무일지!$F72="",업무일지!$H72=""),"사건번호·업무명 모두 없음; ","")&amp;IF(업무일지!$J72="","담당자 없음; ","")&amp;IF(COUNTIF(코드설정!$F$5:$F$7,업무일지!$AG72)=0,"진행상태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"&amp;업무일지!$H73)</f>
        <v/>
      </c>
      <c r="D105" s="45">
        <f>IF(NOT(COUNTBLANK(업무일지!$B73:$AH73)&lt;33),"",TRIM(IF(업무일지!$B73="","시작일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","")&amp;IF(COUNTIF(코드설정!$H$5:$H$7,업무일지!$D73)=0,"직무구분 누락; ","")&amp;IF(업무일지!$E73="","세부유형 누락; ",IF(AND(업무일지!$D73&lt;&gt;"",COUNTIFS(코드설정!$A$5:$A$21,업무일지!$D73,코드설정!$B$5:$B$21,업무일지!$E73)=0),"세부유형이 직무구분과 불일치; ",""))&amp;IF(AND(업무일지!$F73&lt;&gt;"",COUNTIF(사건마스터!$A$5:$A$64,업무일지!$F73)=0),"미등록 사건번호; ","")&amp;IF(AND(업무일지!$F73="",업무일지!$H73=""),"사건번호·업무명 모두 없음; ","")&amp;IF(업무일지!$J73="","담당자 없음; ","")&amp;IF(COUNTIF(코드설정!$F$5:$F$7,업무일지!$AG73)=0,"진행상태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"&amp;업무일지!$H74)</f>
        <v/>
      </c>
      <c r="D106" s="45">
        <f>IF(NOT(COUNTBLANK(업무일지!$B74:$AH74)&lt;33),"",TRIM(IF(업무일지!$B74="","시작일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","")&amp;IF(COUNTIF(코드설정!$H$5:$H$7,업무일지!$D74)=0,"직무구분 누락; ","")&amp;IF(업무일지!$E74="","세부유형 누락; ",IF(AND(업무일지!$D74&lt;&gt;"",COUNTIFS(코드설정!$A$5:$A$21,업무일지!$D74,코드설정!$B$5:$B$21,업무일지!$E74)=0),"세부유형이 직무구분과 불일치; ",""))&amp;IF(AND(업무일지!$F74&lt;&gt;"",COUNTIF(사건마스터!$A$5:$A$64,업무일지!$F74)=0),"미등록 사건번호; ","")&amp;IF(AND(업무일지!$F74="",업무일지!$H74=""),"사건번호·업무명 모두 없음; ","")&amp;IF(업무일지!$J74="","담당자 없음; ","")&amp;IF(COUNTIF(코드설정!$F$5:$F$7,업무일지!$AG74)=0,"진행상태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"&amp;업무일지!$H75)</f>
        <v/>
      </c>
      <c r="D107" s="45">
        <f>IF(NOT(COUNTBLANK(업무일지!$B75:$AH75)&lt;33),"",TRIM(IF(업무일지!$B75="","시작일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","")&amp;IF(COUNTIF(코드설정!$H$5:$H$7,업무일지!$D75)=0,"직무구분 누락; ","")&amp;IF(업무일지!$E75="","세부유형 누락; ",IF(AND(업무일지!$D75&lt;&gt;"",COUNTIFS(코드설정!$A$5:$A$21,업무일지!$D75,코드설정!$B$5:$B$21,업무일지!$E75)=0),"세부유형이 직무구분과 불일치; ",""))&amp;IF(AND(업무일지!$F75&lt;&gt;"",COUNTIF(사건마스터!$A$5:$A$64,업무일지!$F75)=0),"미등록 사건번호; ","")&amp;IF(AND(업무일지!$F75="",업무일지!$H75=""),"사건번호·업무명 모두 없음; ","")&amp;IF(업무일지!$J75="","담당자 없음; ","")&amp;IF(COUNTIF(코드설정!$F$5:$F$7,업무일지!$AG75)=0,"진행상태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"&amp;업무일지!$H76)</f>
        <v/>
      </c>
      <c r="D108" s="45">
        <f>IF(NOT(COUNTBLANK(업무일지!$B76:$AH76)&lt;33),"",TRIM(IF(업무일지!$B76="","시작일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","")&amp;IF(COUNTIF(코드설정!$H$5:$H$7,업무일지!$D76)=0,"직무구분 누락; ","")&amp;IF(업무일지!$E76="","세부유형 누락; ",IF(AND(업무일지!$D76&lt;&gt;"",COUNTIFS(코드설정!$A$5:$A$21,업무일지!$D76,코드설정!$B$5:$B$21,업무일지!$E76)=0),"세부유형이 직무구분과 불일치; ",""))&amp;IF(AND(업무일지!$F76&lt;&gt;"",COUNTIF(사건마스터!$A$5:$A$64,업무일지!$F76)=0),"미등록 사건번호; ","")&amp;IF(AND(업무일지!$F76="",업무일지!$H76=""),"사건번호·업무명 모두 없음; ","")&amp;IF(업무일지!$J76="","담당자 없음; ","")&amp;IF(COUNTIF(코드설정!$F$5:$F$7,업무일지!$AG76)=0,"진행상태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"&amp;업무일지!$H77)</f>
        <v/>
      </c>
      <c r="D109" s="45">
        <f>IF(NOT(COUNTBLANK(업무일지!$B77:$AH77)&lt;33),"",TRIM(IF(업무일지!$B77="","시작일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","")&amp;IF(COUNTIF(코드설정!$H$5:$H$7,업무일지!$D77)=0,"직무구분 누락; ","")&amp;IF(업무일지!$E77="","세부유형 누락; ",IF(AND(업무일지!$D77&lt;&gt;"",COUNTIFS(코드설정!$A$5:$A$21,업무일지!$D77,코드설정!$B$5:$B$21,업무일지!$E77)=0),"세부유형이 직무구분과 불일치; ",""))&amp;IF(AND(업무일지!$F77&lt;&gt;"",COUNTIF(사건마스터!$A$5:$A$64,업무일지!$F77)=0),"미등록 사건번호; ","")&amp;IF(AND(업무일지!$F77="",업무일지!$H77=""),"사건번호·업무명 모두 없음; ","")&amp;IF(업무일지!$J77="","담당자 없음; ","")&amp;IF(COUNTIF(코드설정!$F$5:$F$7,업무일지!$AG77)=0,"진행상태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"&amp;업무일지!$H78)</f>
        <v/>
      </c>
      <c r="D110" s="45">
        <f>IF(NOT(COUNTBLANK(업무일지!$B78:$AH78)&lt;33),"",TRIM(IF(업무일지!$B78="","시작일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","")&amp;IF(COUNTIF(코드설정!$H$5:$H$7,업무일지!$D78)=0,"직무구분 누락; ","")&amp;IF(업무일지!$E78="","세부유형 누락; ",IF(AND(업무일지!$D78&lt;&gt;"",COUNTIFS(코드설정!$A$5:$A$21,업무일지!$D78,코드설정!$B$5:$B$21,업무일지!$E78)=0),"세부유형이 직무구분과 불일치; ",""))&amp;IF(AND(업무일지!$F78&lt;&gt;"",COUNTIF(사건마스터!$A$5:$A$64,업무일지!$F78)=0),"미등록 사건번호; ","")&amp;IF(AND(업무일지!$F78="",업무일지!$H78=""),"사건번호·업무명 모두 없음; ","")&amp;IF(업무일지!$J78="","담당자 없음; ","")&amp;IF(COUNTIF(코드설정!$F$5:$F$7,업무일지!$AG78)=0,"진행상태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"&amp;업무일지!$H79)</f>
        <v/>
      </c>
      <c r="D111" s="45">
        <f>IF(NOT(COUNTBLANK(업무일지!$B79:$AH79)&lt;33),"",TRIM(IF(업무일지!$B79="","시작일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","")&amp;IF(COUNTIF(코드설정!$H$5:$H$7,업무일지!$D79)=0,"직무구분 누락; ","")&amp;IF(업무일지!$E79="","세부유형 누락; ",IF(AND(업무일지!$D79&lt;&gt;"",COUNTIFS(코드설정!$A$5:$A$21,업무일지!$D79,코드설정!$B$5:$B$21,업무일지!$E79)=0),"세부유형이 직무구분과 불일치; ",""))&amp;IF(AND(업무일지!$F79&lt;&gt;"",COUNTIF(사건마스터!$A$5:$A$64,업무일지!$F79)=0),"미등록 사건번호; ","")&amp;IF(AND(업무일지!$F79="",업무일지!$H79=""),"사건번호·업무명 모두 없음; ","")&amp;IF(업무일지!$J79="","담당자 없음; ","")&amp;IF(COUNTIF(코드설정!$F$5:$F$7,업무일지!$AG79)=0,"진행상태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"&amp;업무일지!$H80)</f>
        <v/>
      </c>
      <c r="D112" s="45">
        <f>IF(NOT(COUNTBLANK(업무일지!$B80:$AH80)&lt;33),"",TRIM(IF(업무일지!$B80="","시작일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","")&amp;IF(COUNTIF(코드설정!$H$5:$H$7,업무일지!$D80)=0,"직무구분 누락; ","")&amp;IF(업무일지!$E80="","세부유형 누락; ",IF(AND(업무일지!$D80&lt;&gt;"",COUNTIFS(코드설정!$A$5:$A$21,업무일지!$D80,코드설정!$B$5:$B$21,업무일지!$E80)=0),"세부유형이 직무구분과 불일치; ",""))&amp;IF(AND(업무일지!$F80&lt;&gt;"",COUNTIF(사건마스터!$A$5:$A$64,업무일지!$F80)=0),"미등록 사건번호; ","")&amp;IF(AND(업무일지!$F80="",업무일지!$H80=""),"사건번호·업무명 모두 없음; ","")&amp;IF(업무일지!$J80="","담당자 없음; ","")&amp;IF(COUNTIF(코드설정!$F$5:$F$7,업무일지!$AG80)=0,"진행상태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"&amp;업무일지!$H81)</f>
        <v/>
      </c>
      <c r="D113" s="45">
        <f>IF(NOT(COUNTBLANK(업무일지!$B81:$AH81)&lt;33),"",TRIM(IF(업무일지!$B81="","시작일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","")&amp;IF(COUNTIF(코드설정!$H$5:$H$7,업무일지!$D81)=0,"직무구분 누락; ","")&amp;IF(업무일지!$E81="","세부유형 누락; ",IF(AND(업무일지!$D81&lt;&gt;"",COUNTIFS(코드설정!$A$5:$A$21,업무일지!$D81,코드설정!$B$5:$B$21,업무일지!$E81)=0),"세부유형이 직무구분과 불일치; ",""))&amp;IF(AND(업무일지!$F81&lt;&gt;"",COUNTIF(사건마스터!$A$5:$A$64,업무일지!$F81)=0),"미등록 사건번호; ","")&amp;IF(AND(업무일지!$F81="",업무일지!$H81=""),"사건번호·업무명 모두 없음; ","")&amp;IF(업무일지!$J81="","담당자 없음; ","")&amp;IF(COUNTIF(코드설정!$F$5:$F$7,업무일지!$AG81)=0,"진행상태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"&amp;업무일지!$H82)</f>
        <v/>
      </c>
      <c r="D114" s="45">
        <f>IF(NOT(COUNTBLANK(업무일지!$B82:$AH82)&lt;33),"",TRIM(IF(업무일지!$B82="","시작일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","")&amp;IF(COUNTIF(코드설정!$H$5:$H$7,업무일지!$D82)=0,"직무구분 누락; ","")&amp;IF(업무일지!$E82="","세부유형 누락; ",IF(AND(업무일지!$D82&lt;&gt;"",COUNTIFS(코드설정!$A$5:$A$21,업무일지!$D82,코드설정!$B$5:$B$21,업무일지!$E82)=0),"세부유형이 직무구분과 불일치; ",""))&amp;IF(AND(업무일지!$F82&lt;&gt;"",COUNTIF(사건마스터!$A$5:$A$64,업무일지!$F82)=0),"미등록 사건번호; ","")&amp;IF(AND(업무일지!$F82="",업무일지!$H82=""),"사건번호·업무명 모두 없음; ","")&amp;IF(업무일지!$J82="","담당자 없음; ","")&amp;IF(COUNTIF(코드설정!$F$5:$F$7,업무일지!$AG82)=0,"진행상태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"&amp;업무일지!$H83)</f>
        <v/>
      </c>
      <c r="D115" s="45">
        <f>IF(NOT(COUNTBLANK(업무일지!$B83:$AH83)&lt;33),"",TRIM(IF(업무일지!$B83="","시작일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","")&amp;IF(COUNTIF(코드설정!$H$5:$H$7,업무일지!$D83)=0,"직무구분 누락; ","")&amp;IF(업무일지!$E83="","세부유형 누락; ",IF(AND(업무일지!$D83&lt;&gt;"",COUNTIFS(코드설정!$A$5:$A$21,업무일지!$D83,코드설정!$B$5:$B$21,업무일지!$E83)=0),"세부유형이 직무구분과 불일치; ",""))&amp;IF(AND(업무일지!$F83&lt;&gt;"",COUNTIF(사건마스터!$A$5:$A$64,업무일지!$F83)=0),"미등록 사건번호; ","")&amp;IF(AND(업무일지!$F83="",업무일지!$H83=""),"사건번호·업무명 모두 없음; ","")&amp;IF(업무일지!$J83="","담당자 없음; ","")&amp;IF(COUNTIF(코드설정!$F$5:$F$7,업무일지!$AG83)=0,"진행상태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"&amp;업무일지!$H84)</f>
        <v/>
      </c>
      <c r="D116" s="45">
        <f>IF(NOT(COUNTBLANK(업무일지!$B84:$AH84)&lt;33),"",TRIM(IF(업무일지!$B84="","시작일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","")&amp;IF(COUNTIF(코드설정!$H$5:$H$7,업무일지!$D84)=0,"직무구분 누락; ","")&amp;IF(업무일지!$E84="","세부유형 누락; ",IF(AND(업무일지!$D84&lt;&gt;"",COUNTIFS(코드설정!$A$5:$A$21,업무일지!$D84,코드설정!$B$5:$B$21,업무일지!$E84)=0),"세부유형이 직무구분과 불일치; ",""))&amp;IF(AND(업무일지!$F84&lt;&gt;"",COUNTIF(사건마스터!$A$5:$A$64,업무일지!$F84)=0),"미등록 사건번호; ","")&amp;IF(AND(업무일지!$F84="",업무일지!$H84=""),"사건번호·업무명 모두 없음; ","")&amp;IF(업무일지!$J84="","담당자 없음; ","")&amp;IF(COUNTIF(코드설정!$F$5:$F$7,업무일지!$AG84)=0,"진행상태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"&amp;업무일지!$H85)</f>
        <v/>
      </c>
      <c r="D117" s="45">
        <f>IF(NOT(COUNTBLANK(업무일지!$B85:$AH85)&lt;33),"",TRIM(IF(업무일지!$B85="","시작일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","")&amp;IF(COUNTIF(코드설정!$H$5:$H$7,업무일지!$D85)=0,"직무구분 누락; ","")&amp;IF(업무일지!$E85="","세부유형 누락; ",IF(AND(업무일지!$D85&lt;&gt;"",COUNTIFS(코드설정!$A$5:$A$21,업무일지!$D85,코드설정!$B$5:$B$21,업무일지!$E85)=0),"세부유형이 직무구분과 불일치; ",""))&amp;IF(AND(업무일지!$F85&lt;&gt;"",COUNTIF(사건마스터!$A$5:$A$64,업무일지!$F85)=0),"미등록 사건번호; ","")&amp;IF(AND(업무일지!$F85="",업무일지!$H85=""),"사건번호·업무명 모두 없음; ","")&amp;IF(업무일지!$J85="","담당자 없음; ","")&amp;IF(COUNTIF(코드설정!$F$5:$F$7,업무일지!$AG85)=0,"진행상태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"&amp;업무일지!$H86)</f>
        <v/>
      </c>
      <c r="D118" s="45">
        <f>IF(NOT(COUNTBLANK(업무일지!$B86:$AH86)&lt;33),"",TRIM(IF(업무일지!$B86="","시작일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","")&amp;IF(COUNTIF(코드설정!$H$5:$H$7,업무일지!$D86)=0,"직무구분 누락; ","")&amp;IF(업무일지!$E86="","세부유형 누락; ",IF(AND(업무일지!$D86&lt;&gt;"",COUNTIFS(코드설정!$A$5:$A$21,업무일지!$D86,코드설정!$B$5:$B$21,업무일지!$E86)=0),"세부유형이 직무구분과 불일치; ",""))&amp;IF(AND(업무일지!$F86&lt;&gt;"",COUNTIF(사건마스터!$A$5:$A$64,업무일지!$F86)=0),"미등록 사건번호; ","")&amp;IF(AND(업무일지!$F86="",업무일지!$H86=""),"사건번호·업무명 모두 없음; ","")&amp;IF(업무일지!$J86="","담당자 없음; ","")&amp;IF(COUNTIF(코드설정!$F$5:$F$7,업무일지!$AG86)=0,"진행상태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"&amp;업무일지!$H87)</f>
        <v/>
      </c>
      <c r="D119" s="45">
        <f>IF(NOT(COUNTBLANK(업무일지!$B87:$AH87)&lt;33),"",TRIM(IF(업무일지!$B87="","시작일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","")&amp;IF(COUNTIF(코드설정!$H$5:$H$7,업무일지!$D87)=0,"직무구분 누락; ","")&amp;IF(업무일지!$E87="","세부유형 누락; ",IF(AND(업무일지!$D87&lt;&gt;"",COUNTIFS(코드설정!$A$5:$A$21,업무일지!$D87,코드설정!$B$5:$B$21,업무일지!$E87)=0),"세부유형이 직무구분과 불일치; ",""))&amp;IF(AND(업무일지!$F87&lt;&gt;"",COUNTIF(사건마스터!$A$5:$A$64,업무일지!$F87)=0),"미등록 사건번호; ","")&amp;IF(AND(업무일지!$F87="",업무일지!$H87=""),"사건번호·업무명 모두 없음; ","")&amp;IF(업무일지!$J87="","담당자 없음; ","")&amp;IF(COUNTIF(코드설정!$F$5:$F$7,업무일지!$AG87)=0,"진행상태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"&amp;업무일지!$H88)</f>
        <v/>
      </c>
      <c r="D120" s="45">
        <f>IF(NOT(COUNTBLANK(업무일지!$B88:$AH88)&lt;33),"",TRIM(IF(업무일지!$B88="","시작일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","")&amp;IF(COUNTIF(코드설정!$H$5:$H$7,업무일지!$D88)=0,"직무구분 누락; ","")&amp;IF(업무일지!$E88="","세부유형 누락; ",IF(AND(업무일지!$D88&lt;&gt;"",COUNTIFS(코드설정!$A$5:$A$21,업무일지!$D88,코드설정!$B$5:$B$21,업무일지!$E88)=0),"세부유형이 직무구분과 불일치; ",""))&amp;IF(AND(업무일지!$F88&lt;&gt;"",COUNTIF(사건마스터!$A$5:$A$64,업무일지!$F88)=0),"미등록 사건번호; ","")&amp;IF(AND(업무일지!$F88="",업무일지!$H88=""),"사건번호·업무명 모두 없음; ","")&amp;IF(업무일지!$J88="","담당자 없음; ","")&amp;IF(COUNTIF(코드설정!$F$5:$F$7,업무일지!$AG88)=0,"진행상태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"&amp;업무일지!$H89)</f>
        <v/>
      </c>
      <c r="D121" s="45">
        <f>IF(NOT(COUNTBLANK(업무일지!$B89:$AH89)&lt;33),"",TRIM(IF(업무일지!$B89="","시작일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","")&amp;IF(COUNTIF(코드설정!$H$5:$H$7,업무일지!$D89)=0,"직무구분 누락; ","")&amp;IF(업무일지!$E89="","세부유형 누락; ",IF(AND(업무일지!$D89&lt;&gt;"",COUNTIFS(코드설정!$A$5:$A$21,업무일지!$D89,코드설정!$B$5:$B$21,업무일지!$E89)=0),"세부유형이 직무구분과 불일치; ",""))&amp;IF(AND(업무일지!$F89&lt;&gt;"",COUNTIF(사건마스터!$A$5:$A$64,업무일지!$F89)=0),"미등록 사건번호; ","")&amp;IF(AND(업무일지!$F89="",업무일지!$H89=""),"사건번호·업무명 모두 없음; ","")&amp;IF(업무일지!$J89="","담당자 없음; ","")&amp;IF(COUNTIF(코드설정!$F$5:$F$7,업무일지!$AG89)=0,"진행상태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"&amp;업무일지!$H90)</f>
        <v/>
      </c>
      <c r="D122" s="45">
        <f>IF(NOT(COUNTBLANK(업무일지!$B90:$AH90)&lt;33),"",TRIM(IF(업무일지!$B90="","시작일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","")&amp;IF(COUNTIF(코드설정!$H$5:$H$7,업무일지!$D90)=0,"직무구분 누락; ","")&amp;IF(업무일지!$E90="","세부유형 누락; ",IF(AND(업무일지!$D90&lt;&gt;"",COUNTIFS(코드설정!$A$5:$A$21,업무일지!$D90,코드설정!$B$5:$B$21,업무일지!$E90)=0),"세부유형이 직무구분과 불일치; ",""))&amp;IF(AND(업무일지!$F90&lt;&gt;"",COUNTIF(사건마스터!$A$5:$A$64,업무일지!$F90)=0),"미등록 사건번호; ","")&amp;IF(AND(업무일지!$F90="",업무일지!$H90=""),"사건번호·업무명 모두 없음; ","")&amp;IF(업무일지!$J90="","담당자 없음; ","")&amp;IF(COUNTIF(코드설정!$F$5:$F$7,업무일지!$AG90)=0,"진행상태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"&amp;업무일지!$H91)</f>
        <v/>
      </c>
      <c r="D123" s="45">
        <f>IF(NOT(COUNTBLANK(업무일지!$B91:$AH91)&lt;33),"",TRIM(IF(업무일지!$B91="","시작일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","")&amp;IF(COUNTIF(코드설정!$H$5:$H$7,업무일지!$D91)=0,"직무구분 누락; ","")&amp;IF(업무일지!$E91="","세부유형 누락; ",IF(AND(업무일지!$D91&lt;&gt;"",COUNTIFS(코드설정!$A$5:$A$21,업무일지!$D91,코드설정!$B$5:$B$21,업무일지!$E91)=0),"세부유형이 직무구분과 불일치; ",""))&amp;IF(AND(업무일지!$F91&lt;&gt;"",COUNTIF(사건마스터!$A$5:$A$64,업무일지!$F91)=0),"미등록 사건번호; ","")&amp;IF(AND(업무일지!$F91="",업무일지!$H91=""),"사건번호·업무명 모두 없음; ","")&amp;IF(업무일지!$J91="","담당자 없음; ","")&amp;IF(COUNTIF(코드설정!$F$5:$F$7,업무일지!$AG91)=0,"진행상태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"&amp;업무일지!$H92)</f>
        <v/>
      </c>
      <c r="D124" s="45">
        <f>IF(NOT(COUNTBLANK(업무일지!$B92:$AH92)&lt;33),"",TRIM(IF(업무일지!$B92="","시작일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","")&amp;IF(COUNTIF(코드설정!$H$5:$H$7,업무일지!$D92)=0,"직무구분 누락; ","")&amp;IF(업무일지!$E92="","세부유형 누락; ",IF(AND(업무일지!$D92&lt;&gt;"",COUNTIFS(코드설정!$A$5:$A$21,업무일지!$D92,코드설정!$B$5:$B$21,업무일지!$E92)=0),"세부유형이 직무구분과 불일치; ",""))&amp;IF(AND(업무일지!$F92&lt;&gt;"",COUNTIF(사건마스터!$A$5:$A$64,업무일지!$F92)=0),"미등록 사건번호; ","")&amp;IF(AND(업무일지!$F92="",업무일지!$H92=""),"사건번호·업무명 모두 없음; ","")&amp;IF(업무일지!$J92="","담당자 없음; ","")&amp;IF(COUNTIF(코드설정!$F$5:$F$7,업무일지!$AG92)=0,"진행상태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"&amp;업무일지!$H93)</f>
        <v/>
      </c>
      <c r="D125" s="45">
        <f>IF(NOT(COUNTBLANK(업무일지!$B93:$AH93)&lt;33),"",TRIM(IF(업무일지!$B93="","시작일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","")&amp;IF(COUNTIF(코드설정!$H$5:$H$7,업무일지!$D93)=0,"직무구분 누락; ","")&amp;IF(업무일지!$E93="","세부유형 누락; ",IF(AND(업무일지!$D93&lt;&gt;"",COUNTIFS(코드설정!$A$5:$A$21,업무일지!$D93,코드설정!$B$5:$B$21,업무일지!$E93)=0),"세부유형이 직무구분과 불일치; ",""))&amp;IF(AND(업무일지!$F93&lt;&gt;"",COUNTIF(사건마스터!$A$5:$A$64,업무일지!$F93)=0),"미등록 사건번호; ","")&amp;IF(AND(업무일지!$F93="",업무일지!$H93=""),"사건번호·업무명 모두 없음; ","")&amp;IF(업무일지!$J93="","담당자 없음; ","")&amp;IF(COUNTIF(코드설정!$F$5:$F$7,업무일지!$AG93)=0,"진행상태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"&amp;업무일지!$H94)</f>
        <v/>
      </c>
      <c r="D126" s="45">
        <f>IF(NOT(COUNTBLANK(업무일지!$B94:$AH94)&lt;33),"",TRIM(IF(업무일지!$B94="","시작일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","")&amp;IF(COUNTIF(코드설정!$H$5:$H$7,업무일지!$D94)=0,"직무구분 누락; ","")&amp;IF(업무일지!$E94="","세부유형 누락; ",IF(AND(업무일지!$D94&lt;&gt;"",COUNTIFS(코드설정!$A$5:$A$21,업무일지!$D94,코드설정!$B$5:$B$21,업무일지!$E94)=0),"세부유형이 직무구분과 불일치; ",""))&amp;IF(AND(업무일지!$F94&lt;&gt;"",COUNTIF(사건마스터!$A$5:$A$64,업무일지!$F94)=0),"미등록 사건번호; ","")&amp;IF(AND(업무일지!$F94="",업무일지!$H94=""),"사건번호·업무명 모두 없음; ","")&amp;IF(업무일지!$J94="","담당자 없음; ","")&amp;IF(COUNTIF(코드설정!$F$5:$F$7,업무일지!$AG94)=0,"진행상태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"&amp;업무일지!$H95)</f>
        <v/>
      </c>
      <c r="D127" s="45">
        <f>IF(NOT(COUNTBLANK(업무일지!$B95:$AH95)&lt;33),"",TRIM(IF(업무일지!$B95="","시작일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","")&amp;IF(COUNTIF(코드설정!$H$5:$H$7,업무일지!$D95)=0,"직무구분 누락; ","")&amp;IF(업무일지!$E95="","세부유형 누락; ",IF(AND(업무일지!$D95&lt;&gt;"",COUNTIFS(코드설정!$A$5:$A$21,업무일지!$D95,코드설정!$B$5:$B$21,업무일지!$E95)=0),"세부유형이 직무구분과 불일치; ",""))&amp;IF(AND(업무일지!$F95&lt;&gt;"",COUNTIF(사건마스터!$A$5:$A$64,업무일지!$F95)=0),"미등록 사건번호; ","")&amp;IF(AND(업무일지!$F95="",업무일지!$H95=""),"사건번호·업무명 모두 없음; ","")&amp;IF(업무일지!$J95="","담당자 없음; ","")&amp;IF(COUNTIF(코드설정!$F$5:$F$7,업무일지!$AG95)=0,"진행상태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"&amp;업무일지!$H96)</f>
        <v/>
      </c>
      <c r="D128" s="45">
        <f>IF(NOT(COUNTBLANK(업무일지!$B96:$AH96)&lt;33),"",TRIM(IF(업무일지!$B96="","시작일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","")&amp;IF(COUNTIF(코드설정!$H$5:$H$7,업무일지!$D96)=0,"직무구분 누락; ","")&amp;IF(업무일지!$E96="","세부유형 누락; ",IF(AND(업무일지!$D96&lt;&gt;"",COUNTIFS(코드설정!$A$5:$A$21,업무일지!$D96,코드설정!$B$5:$B$21,업무일지!$E96)=0),"세부유형이 직무구분과 불일치; ",""))&amp;IF(AND(업무일지!$F96&lt;&gt;"",COUNTIF(사건마스터!$A$5:$A$64,업무일지!$F96)=0),"미등록 사건번호; ","")&amp;IF(AND(업무일지!$F96="",업무일지!$H96=""),"사건번호·업무명 모두 없음; ","")&amp;IF(업무일지!$J96="","담당자 없음; ","")&amp;IF(COUNTIF(코드설정!$F$5:$F$7,업무일지!$AG96)=0,"진행상태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"&amp;업무일지!$H97)</f>
        <v/>
      </c>
      <c r="D129" s="45">
        <f>IF(NOT(COUNTBLANK(업무일지!$B97:$AH97)&lt;33),"",TRIM(IF(업무일지!$B97="","시작일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","")&amp;IF(COUNTIF(코드설정!$H$5:$H$7,업무일지!$D97)=0,"직무구분 누락; ","")&amp;IF(업무일지!$E97="","세부유형 누락; ",IF(AND(업무일지!$D97&lt;&gt;"",COUNTIFS(코드설정!$A$5:$A$21,업무일지!$D97,코드설정!$B$5:$B$21,업무일지!$E97)=0),"세부유형이 직무구분과 불일치; ",""))&amp;IF(AND(업무일지!$F97&lt;&gt;"",COUNTIF(사건마스터!$A$5:$A$64,업무일지!$F97)=0),"미등록 사건번호; ","")&amp;IF(AND(업무일지!$F97="",업무일지!$H97=""),"사건번호·업무명 모두 없음; ","")&amp;IF(업무일지!$J97="","담당자 없음; ","")&amp;IF(COUNTIF(코드설정!$F$5:$F$7,업무일지!$AG97)=0,"진행상태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"&amp;업무일지!$H98)</f>
        <v/>
      </c>
      <c r="D130" s="45">
        <f>IF(NOT(COUNTBLANK(업무일지!$B98:$AH98)&lt;33),"",TRIM(IF(업무일지!$B98="","시작일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","")&amp;IF(COUNTIF(코드설정!$H$5:$H$7,업무일지!$D98)=0,"직무구분 누락; ","")&amp;IF(업무일지!$E98="","세부유형 누락; ",IF(AND(업무일지!$D98&lt;&gt;"",COUNTIFS(코드설정!$A$5:$A$21,업무일지!$D98,코드설정!$B$5:$B$21,업무일지!$E98)=0),"세부유형이 직무구분과 불일치; ",""))&amp;IF(AND(업무일지!$F98&lt;&gt;"",COUNTIF(사건마스터!$A$5:$A$64,업무일지!$F98)=0),"미등록 사건번호; ","")&amp;IF(AND(업무일지!$F98="",업무일지!$H98=""),"사건번호·업무명 모두 없음; ","")&amp;IF(업무일지!$J98="","담당자 없음; ","")&amp;IF(COUNTIF(코드설정!$F$5:$F$7,업무일지!$AG98)=0,"진행상태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"&amp;업무일지!$H99)</f>
        <v/>
      </c>
      <c r="D131" s="45">
        <f>IF(NOT(COUNTBLANK(업무일지!$B99:$AH99)&lt;33),"",TRIM(IF(업무일지!$B99="","시작일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","")&amp;IF(COUNTIF(코드설정!$H$5:$H$7,업무일지!$D99)=0,"직무구분 누락; ","")&amp;IF(업무일지!$E99="","세부유형 누락; ",IF(AND(업무일지!$D99&lt;&gt;"",COUNTIFS(코드설정!$A$5:$A$21,업무일지!$D99,코드설정!$B$5:$B$21,업무일지!$E99)=0),"세부유형이 직무구분과 불일치; ",""))&amp;IF(AND(업무일지!$F99&lt;&gt;"",COUNTIF(사건마스터!$A$5:$A$64,업무일지!$F99)=0),"미등록 사건번호; ","")&amp;IF(AND(업무일지!$F99="",업무일지!$H99=""),"사건번호·업무명 모두 없음; ","")&amp;IF(업무일지!$J99="","담당자 없음; ","")&amp;IF(COUNTIF(코드설정!$F$5:$F$7,업무일지!$AG99)=0,"진행상태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"&amp;업무일지!$H100)</f>
        <v/>
      </c>
      <c r="D132" s="45">
        <f>IF(NOT(COUNTBLANK(업무일지!$B100:$AH100)&lt;33),"",TRIM(IF(업무일지!$B100="","시작일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","")&amp;IF(COUNTIF(코드설정!$H$5:$H$7,업무일지!$D100)=0,"직무구분 누락; ","")&amp;IF(업무일지!$E100="","세부유형 누락; ",IF(AND(업무일지!$D100&lt;&gt;"",COUNTIFS(코드설정!$A$5:$A$21,업무일지!$D100,코드설정!$B$5:$B$21,업무일지!$E100)=0),"세부유형이 직무구분과 불일치; ",""))&amp;IF(AND(업무일지!$F100&lt;&gt;"",COUNTIF(사건마스터!$A$5:$A$64,업무일지!$F100)=0),"미등록 사건번호; ","")&amp;IF(AND(업무일지!$F100="",업무일지!$H100=""),"사건번호·업무명 모두 없음; ","")&amp;IF(업무일지!$J100="","담당자 없음; ","")&amp;IF(COUNTIF(코드설정!$F$5:$F$7,업무일지!$AG100)=0,"진행상태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"&amp;업무일지!$H101)</f>
        <v/>
      </c>
      <c r="D133" s="45">
        <f>IF(NOT(COUNTBLANK(업무일지!$B101:$AH101)&lt;33),"",TRIM(IF(업무일지!$B101="","시작일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","")&amp;IF(COUNTIF(코드설정!$H$5:$H$7,업무일지!$D101)=0,"직무구분 누락; ","")&amp;IF(업무일지!$E101="","세부유형 누락; ",IF(AND(업무일지!$D101&lt;&gt;"",COUNTIFS(코드설정!$A$5:$A$21,업무일지!$D101,코드설정!$B$5:$B$21,업무일지!$E101)=0),"세부유형이 직무구분과 불일치; ",""))&amp;IF(AND(업무일지!$F101&lt;&gt;"",COUNTIF(사건마스터!$A$5:$A$64,업무일지!$F101)=0),"미등록 사건번호; ","")&amp;IF(AND(업무일지!$F101="",업무일지!$H101=""),"사건번호·업무명 모두 없음; ","")&amp;IF(업무일지!$J101="","담당자 없음; ","")&amp;IF(COUNTIF(코드설정!$F$5:$F$7,업무일지!$AG101)=0,"진행상태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"&amp;업무일지!$H102)</f>
        <v/>
      </c>
      <c r="D134" s="45">
        <f>IF(NOT(COUNTBLANK(업무일지!$B102:$AH102)&lt;33),"",TRIM(IF(업무일지!$B102="","시작일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","")&amp;IF(COUNTIF(코드설정!$H$5:$H$7,업무일지!$D102)=0,"직무구분 누락; ","")&amp;IF(업무일지!$E102="","세부유형 누락; ",IF(AND(업무일지!$D102&lt;&gt;"",COUNTIFS(코드설정!$A$5:$A$21,업무일지!$D102,코드설정!$B$5:$B$21,업무일지!$E102)=0),"세부유형이 직무구분과 불일치; ",""))&amp;IF(AND(업무일지!$F102&lt;&gt;"",COUNTIF(사건마스터!$A$5:$A$64,업무일지!$F102)=0),"미등록 사건번호; ","")&amp;IF(AND(업무일지!$F102="",업무일지!$H102=""),"사건번호·업무명 모두 없음; ","")&amp;IF(업무일지!$J102="","담당자 없음; ","")&amp;IF(COUNTIF(코드설정!$F$5:$F$7,업무일지!$AG102)=0,"진행상태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"&amp;업무일지!$H103)</f>
        <v/>
      </c>
      <c r="D135" s="45">
        <f>IF(NOT(COUNTBLANK(업무일지!$B103:$AH103)&lt;33),"",TRIM(IF(업무일지!$B103="","시작일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","")&amp;IF(COUNTIF(코드설정!$H$5:$H$7,업무일지!$D103)=0,"직무구분 누락; ","")&amp;IF(업무일지!$E103="","세부유형 누락; ",IF(AND(업무일지!$D103&lt;&gt;"",COUNTIFS(코드설정!$A$5:$A$21,업무일지!$D103,코드설정!$B$5:$B$21,업무일지!$E103)=0),"세부유형이 직무구분과 불일치; ",""))&amp;IF(AND(업무일지!$F103&lt;&gt;"",COUNTIF(사건마스터!$A$5:$A$64,업무일지!$F103)=0),"미등록 사건번호; ","")&amp;IF(AND(업무일지!$F103="",업무일지!$H103=""),"사건번호·업무명 모두 없음; ","")&amp;IF(업무일지!$J103="","담당자 없음; ","")&amp;IF(COUNTIF(코드설정!$F$5:$F$7,업무일지!$AG103)=0,"진행상태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"&amp;업무일지!$H104)</f>
        <v/>
      </c>
      <c r="D136" s="45">
        <f>IF(NOT(COUNTBLANK(업무일지!$B104:$AH104)&lt;33),"",TRIM(IF(업무일지!$B104="","시작일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","")&amp;IF(COUNTIF(코드설정!$H$5:$H$7,업무일지!$D104)=0,"직무구분 누락; ","")&amp;IF(업무일지!$E104="","세부유형 누락; ",IF(AND(업무일지!$D104&lt;&gt;"",COUNTIFS(코드설정!$A$5:$A$21,업무일지!$D104,코드설정!$B$5:$B$21,업무일지!$E104)=0),"세부유형이 직무구분과 불일치; ",""))&amp;IF(AND(업무일지!$F104&lt;&gt;"",COUNTIF(사건마스터!$A$5:$A$64,업무일지!$F104)=0),"미등록 사건번호; ","")&amp;IF(AND(업무일지!$F104="",업무일지!$H104=""),"사건번호·업무명 모두 없음; ","")&amp;IF(업무일지!$J104="","담당자 없음; ","")&amp;IF(COUNTIF(코드설정!$F$5:$F$7,업무일지!$AG104)=0,"진행상태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"&amp;업무일지!$H105)</f>
        <v/>
      </c>
      <c r="D137" s="45">
        <f>IF(NOT(COUNTBLANK(업무일지!$B105:$AH105)&lt;33),"",TRIM(IF(업무일지!$B105="","시작일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","")&amp;IF(COUNTIF(코드설정!$H$5:$H$7,업무일지!$D105)=0,"직무구분 누락; ","")&amp;IF(업무일지!$E105="","세부유형 누락; ",IF(AND(업무일지!$D105&lt;&gt;"",COUNTIFS(코드설정!$A$5:$A$21,업무일지!$D105,코드설정!$B$5:$B$21,업무일지!$E105)=0),"세부유형이 직무구분과 불일치; ",""))&amp;IF(AND(업무일지!$F105&lt;&gt;"",COUNTIF(사건마스터!$A$5:$A$64,업무일지!$F105)=0),"미등록 사건번호; ","")&amp;IF(AND(업무일지!$F105="",업무일지!$H105=""),"사건번호·업무명 모두 없음; ","")&amp;IF(업무일지!$J105="","담당자 없음; ","")&amp;IF(COUNTIF(코드설정!$F$5:$F$7,업무일지!$AG105)=0,"진행상태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"&amp;업무일지!$H106)</f>
        <v/>
      </c>
      <c r="D138" s="45">
        <f>IF(NOT(COUNTBLANK(업무일지!$B106:$AH106)&lt;33),"",TRIM(IF(업무일지!$B106="","시작일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","")&amp;IF(COUNTIF(코드설정!$H$5:$H$7,업무일지!$D106)=0,"직무구분 누락; ","")&amp;IF(업무일지!$E106="","세부유형 누락; ",IF(AND(업무일지!$D106&lt;&gt;"",COUNTIFS(코드설정!$A$5:$A$21,업무일지!$D106,코드설정!$B$5:$B$21,업무일지!$E106)=0),"세부유형이 직무구분과 불일치; ",""))&amp;IF(AND(업무일지!$F106&lt;&gt;"",COUNTIF(사건마스터!$A$5:$A$64,업무일지!$F106)=0),"미등록 사건번호; ","")&amp;IF(AND(업무일지!$F106="",업무일지!$H106=""),"사건번호·업무명 모두 없음; ","")&amp;IF(업무일지!$J106="","담당자 없음; ","")&amp;IF(COUNTIF(코드설정!$F$5:$F$7,업무일지!$AG106)=0,"진행상태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"&amp;업무일지!$H107)</f>
        <v/>
      </c>
      <c r="D139" s="45">
        <f>IF(NOT(COUNTBLANK(업무일지!$B107:$AH107)&lt;33),"",TRIM(IF(업무일지!$B107="","시작일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","")&amp;IF(COUNTIF(코드설정!$H$5:$H$7,업무일지!$D107)=0,"직무구분 누락; ","")&amp;IF(업무일지!$E107="","세부유형 누락; ",IF(AND(업무일지!$D107&lt;&gt;"",COUNTIFS(코드설정!$A$5:$A$21,업무일지!$D107,코드설정!$B$5:$B$21,업무일지!$E107)=0),"세부유형이 직무구분과 불일치; ",""))&amp;IF(AND(업무일지!$F107&lt;&gt;"",COUNTIF(사건마스터!$A$5:$A$64,업무일지!$F107)=0),"미등록 사건번호; ","")&amp;IF(AND(업무일지!$F107="",업무일지!$H107=""),"사건번호·업무명 모두 없음; ","")&amp;IF(업무일지!$J107="","담당자 없음; ","")&amp;IF(COUNTIF(코드설정!$F$5:$F$7,업무일지!$AG107)=0,"진행상태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"&amp;업무일지!$H108)</f>
        <v/>
      </c>
      <c r="D140" s="45">
        <f>IF(NOT(COUNTBLANK(업무일지!$B108:$AH108)&lt;33),"",TRIM(IF(업무일지!$B108="","시작일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","")&amp;IF(COUNTIF(코드설정!$H$5:$H$7,업무일지!$D108)=0,"직무구분 누락; ","")&amp;IF(업무일지!$E108="","세부유형 누락; ",IF(AND(업무일지!$D108&lt;&gt;"",COUNTIFS(코드설정!$A$5:$A$21,업무일지!$D108,코드설정!$B$5:$B$21,업무일지!$E108)=0),"세부유형이 직무구분과 불일치; ",""))&amp;IF(AND(업무일지!$F108&lt;&gt;"",COUNTIF(사건마스터!$A$5:$A$64,업무일지!$F108)=0),"미등록 사건번호; ","")&amp;IF(AND(업무일지!$F108="",업무일지!$H108=""),"사건번호·업무명 모두 없음; ","")&amp;IF(업무일지!$J108="","담당자 없음; ","")&amp;IF(COUNTIF(코드설정!$F$5:$F$7,업무일지!$AG108)=0,"진행상태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"&amp;업무일지!$H109)</f>
        <v/>
      </c>
      <c r="D141" s="45">
        <f>IF(NOT(COUNTBLANK(업무일지!$B109:$AH109)&lt;33),"",TRIM(IF(업무일지!$B109="","시작일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","")&amp;IF(COUNTIF(코드설정!$H$5:$H$7,업무일지!$D109)=0,"직무구분 누락; ","")&amp;IF(업무일지!$E109="","세부유형 누락; ",IF(AND(업무일지!$D109&lt;&gt;"",COUNTIFS(코드설정!$A$5:$A$21,업무일지!$D109,코드설정!$B$5:$B$21,업무일지!$E109)=0),"세부유형이 직무구분과 불일치; ",""))&amp;IF(AND(업무일지!$F109&lt;&gt;"",COUNTIF(사건마스터!$A$5:$A$64,업무일지!$F109)=0),"미등록 사건번호; ","")&amp;IF(AND(업무일지!$F109="",업무일지!$H109=""),"사건번호·업무명 모두 없음; ","")&amp;IF(업무일지!$J109="","담당자 없음; ","")&amp;IF(COUNTIF(코드설정!$F$5:$F$7,업무일지!$AG109)=0,"진행상태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"&amp;업무일지!$H110)</f>
        <v/>
      </c>
      <c r="D142" s="45">
        <f>IF(NOT(COUNTBLANK(업무일지!$B110:$AH110)&lt;33),"",TRIM(IF(업무일지!$B110="","시작일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","")&amp;IF(COUNTIF(코드설정!$H$5:$H$7,업무일지!$D110)=0,"직무구분 누락; ","")&amp;IF(업무일지!$E110="","세부유형 누락; ",IF(AND(업무일지!$D110&lt;&gt;"",COUNTIFS(코드설정!$A$5:$A$21,업무일지!$D110,코드설정!$B$5:$B$21,업무일지!$E110)=0),"세부유형이 직무구분과 불일치; ",""))&amp;IF(AND(업무일지!$F110&lt;&gt;"",COUNTIF(사건마스터!$A$5:$A$64,업무일지!$F110)=0),"미등록 사건번호; ","")&amp;IF(AND(업무일지!$F110="",업무일지!$H110=""),"사건번호·업무명 모두 없음; ","")&amp;IF(업무일지!$J110="","담당자 없음; ","")&amp;IF(COUNTIF(코드설정!$F$5:$F$7,업무일지!$AG110)=0,"진행상태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"&amp;업무일지!$H111)</f>
        <v/>
      </c>
      <c r="D143" s="45">
        <f>IF(NOT(COUNTBLANK(업무일지!$B111:$AH111)&lt;33),"",TRIM(IF(업무일지!$B111="","시작일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","")&amp;IF(COUNTIF(코드설정!$H$5:$H$7,업무일지!$D111)=0,"직무구분 누락; ","")&amp;IF(업무일지!$E111="","세부유형 누락; ",IF(AND(업무일지!$D111&lt;&gt;"",COUNTIFS(코드설정!$A$5:$A$21,업무일지!$D111,코드설정!$B$5:$B$21,업무일지!$E111)=0),"세부유형이 직무구분과 불일치; ",""))&amp;IF(AND(업무일지!$F111&lt;&gt;"",COUNTIF(사건마스터!$A$5:$A$64,업무일지!$F111)=0),"미등록 사건번호; ","")&amp;IF(AND(업무일지!$F111="",업무일지!$H111=""),"사건번호·업무명 모두 없음; ","")&amp;IF(업무일지!$J111="","담당자 없음; ","")&amp;IF(COUNTIF(코드설정!$F$5:$F$7,업무일지!$AG111)=0,"진행상태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"&amp;업무일지!$H112)</f>
        <v/>
      </c>
      <c r="D144" s="45">
        <f>IF(NOT(COUNTBLANK(업무일지!$B112:$AH112)&lt;33),"",TRIM(IF(업무일지!$B112="","시작일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","")&amp;IF(COUNTIF(코드설정!$H$5:$H$7,업무일지!$D112)=0,"직무구분 누락; ","")&amp;IF(업무일지!$E112="","세부유형 누락; ",IF(AND(업무일지!$D112&lt;&gt;"",COUNTIFS(코드설정!$A$5:$A$21,업무일지!$D112,코드설정!$B$5:$B$21,업무일지!$E112)=0),"세부유형이 직무구분과 불일치; ",""))&amp;IF(AND(업무일지!$F112&lt;&gt;"",COUNTIF(사건마스터!$A$5:$A$64,업무일지!$F112)=0),"미등록 사건번호; ","")&amp;IF(AND(업무일지!$F112="",업무일지!$H112=""),"사건번호·업무명 모두 없음; ","")&amp;IF(업무일지!$J112="","담당자 없음; ","")&amp;IF(COUNTIF(코드설정!$F$5:$F$7,업무일지!$AG112)=0,"진행상태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"&amp;업무일지!$H113)</f>
        <v/>
      </c>
      <c r="D145" s="45">
        <f>IF(NOT(COUNTBLANK(업무일지!$B113:$AH113)&lt;33),"",TRIM(IF(업무일지!$B113="","시작일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","")&amp;IF(COUNTIF(코드설정!$H$5:$H$7,업무일지!$D113)=0,"직무구분 누락; ","")&amp;IF(업무일지!$E113="","세부유형 누락; ",IF(AND(업무일지!$D113&lt;&gt;"",COUNTIFS(코드설정!$A$5:$A$21,업무일지!$D113,코드설정!$B$5:$B$21,업무일지!$E113)=0),"세부유형이 직무구분과 불일치; ",""))&amp;IF(AND(업무일지!$F113&lt;&gt;"",COUNTIF(사건마스터!$A$5:$A$64,업무일지!$F113)=0),"미등록 사건번호; ","")&amp;IF(AND(업무일지!$F113="",업무일지!$H113=""),"사건번호·업무명 모두 없음; ","")&amp;IF(업무일지!$J113="","담당자 없음; ","")&amp;IF(COUNTIF(코드설정!$F$5:$F$7,업무일지!$AG113)=0,"진행상태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"&amp;업무일지!$H114)</f>
        <v/>
      </c>
      <c r="D146" s="45">
        <f>IF(NOT(COUNTBLANK(업무일지!$B114:$AH114)&lt;33),"",TRIM(IF(업무일지!$B114="","시작일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","")&amp;IF(COUNTIF(코드설정!$H$5:$H$7,업무일지!$D114)=0,"직무구분 누락; ","")&amp;IF(업무일지!$E114="","세부유형 누락; ",IF(AND(업무일지!$D114&lt;&gt;"",COUNTIFS(코드설정!$A$5:$A$21,업무일지!$D114,코드설정!$B$5:$B$21,업무일지!$E114)=0),"세부유형이 직무구분과 불일치; ",""))&amp;IF(AND(업무일지!$F114&lt;&gt;"",COUNTIF(사건마스터!$A$5:$A$64,업무일지!$F114)=0),"미등록 사건번호; ","")&amp;IF(AND(업무일지!$F114="",업무일지!$H114=""),"사건번호·업무명 모두 없음; ","")&amp;IF(업무일지!$J114="","담당자 없음; ","")&amp;IF(COUNTIF(코드설정!$F$5:$F$7,업무일지!$AG114)=0,"진행상태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"&amp;업무일지!$H115)</f>
        <v/>
      </c>
      <c r="D147" s="45">
        <f>IF(NOT(COUNTBLANK(업무일지!$B115:$AH115)&lt;33),"",TRIM(IF(업무일지!$B115="","시작일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","")&amp;IF(COUNTIF(코드설정!$H$5:$H$7,업무일지!$D115)=0,"직무구분 누락; ","")&amp;IF(업무일지!$E115="","세부유형 누락; ",IF(AND(업무일지!$D115&lt;&gt;"",COUNTIFS(코드설정!$A$5:$A$21,업무일지!$D115,코드설정!$B$5:$B$21,업무일지!$E115)=0),"세부유형이 직무구분과 불일치; ",""))&amp;IF(AND(업무일지!$F115&lt;&gt;"",COUNTIF(사건마스터!$A$5:$A$64,업무일지!$F115)=0),"미등록 사건번호; ","")&amp;IF(AND(업무일지!$F115="",업무일지!$H115=""),"사건번호·업무명 모두 없음; ","")&amp;IF(업무일지!$J115="","담당자 없음; ","")&amp;IF(COUNTIF(코드설정!$F$5:$F$7,업무일지!$AG115)=0,"진행상태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"&amp;업무일지!$H116)</f>
        <v/>
      </c>
      <c r="D148" s="45">
        <f>IF(NOT(COUNTBLANK(업무일지!$B116:$AH116)&lt;33),"",TRIM(IF(업무일지!$B116="","시작일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","")&amp;IF(COUNTIF(코드설정!$H$5:$H$7,업무일지!$D116)=0,"직무구분 누락; ","")&amp;IF(업무일지!$E116="","세부유형 누락; ",IF(AND(업무일지!$D116&lt;&gt;"",COUNTIFS(코드설정!$A$5:$A$21,업무일지!$D116,코드설정!$B$5:$B$21,업무일지!$E116)=0),"세부유형이 직무구분과 불일치; ",""))&amp;IF(AND(업무일지!$F116&lt;&gt;"",COUNTIF(사건마스터!$A$5:$A$64,업무일지!$F116)=0),"미등록 사건번호; ","")&amp;IF(AND(업무일지!$F116="",업무일지!$H116=""),"사건번호·업무명 모두 없음; ","")&amp;IF(업무일지!$J116="","담당자 없음; ","")&amp;IF(COUNTIF(코드설정!$F$5:$F$7,업무일지!$AG116)=0,"진행상태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"&amp;업무일지!$H117)</f>
        <v/>
      </c>
      <c r="D149" s="45">
        <f>IF(NOT(COUNTBLANK(업무일지!$B117:$AH117)&lt;33),"",TRIM(IF(업무일지!$B117="","시작일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","")&amp;IF(COUNTIF(코드설정!$H$5:$H$7,업무일지!$D117)=0,"직무구분 누락; ","")&amp;IF(업무일지!$E117="","세부유형 누락; ",IF(AND(업무일지!$D117&lt;&gt;"",COUNTIFS(코드설정!$A$5:$A$21,업무일지!$D117,코드설정!$B$5:$B$21,업무일지!$E117)=0),"세부유형이 직무구분과 불일치; ",""))&amp;IF(AND(업무일지!$F117&lt;&gt;"",COUNTIF(사건마스터!$A$5:$A$64,업무일지!$F117)=0),"미등록 사건번호; ","")&amp;IF(AND(업무일지!$F117="",업무일지!$H117=""),"사건번호·업무명 모두 없음; ","")&amp;IF(업무일지!$J117="","담당자 없음; ","")&amp;IF(COUNTIF(코드설정!$F$5:$F$7,업무일지!$AG117)=0,"진행상태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"&amp;업무일지!$H118)</f>
        <v/>
      </c>
      <c r="D150" s="45">
        <f>IF(NOT(COUNTBLANK(업무일지!$B118:$AH118)&lt;33),"",TRIM(IF(업무일지!$B118="","시작일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","")&amp;IF(COUNTIF(코드설정!$H$5:$H$7,업무일지!$D118)=0,"직무구분 누락; ","")&amp;IF(업무일지!$E118="","세부유형 누락; ",IF(AND(업무일지!$D118&lt;&gt;"",COUNTIFS(코드설정!$A$5:$A$21,업무일지!$D118,코드설정!$B$5:$B$21,업무일지!$E118)=0),"세부유형이 직무구분과 불일치; ",""))&amp;IF(AND(업무일지!$F118&lt;&gt;"",COUNTIF(사건마스터!$A$5:$A$64,업무일지!$F118)=0),"미등록 사건번호; ","")&amp;IF(AND(업무일지!$F118="",업무일지!$H118=""),"사건번호·업무명 모두 없음; ","")&amp;IF(업무일지!$J118="","담당자 없음; ","")&amp;IF(COUNTIF(코드설정!$F$5:$F$7,업무일지!$AG118)=0,"진행상태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"&amp;업무일지!$H119)</f>
        <v/>
      </c>
      <c r="D151" s="45">
        <f>IF(NOT(COUNTBLANK(업무일지!$B119:$AH119)&lt;33),"",TRIM(IF(업무일지!$B119="","시작일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","")&amp;IF(COUNTIF(코드설정!$H$5:$H$7,업무일지!$D119)=0,"직무구분 누락; ","")&amp;IF(업무일지!$E119="","세부유형 누락; ",IF(AND(업무일지!$D119&lt;&gt;"",COUNTIFS(코드설정!$A$5:$A$21,업무일지!$D119,코드설정!$B$5:$B$21,업무일지!$E119)=0),"세부유형이 직무구분과 불일치; ",""))&amp;IF(AND(업무일지!$F119&lt;&gt;"",COUNTIF(사건마스터!$A$5:$A$64,업무일지!$F119)=0),"미등록 사건번호; ","")&amp;IF(AND(업무일지!$F119="",업무일지!$H119=""),"사건번호·업무명 모두 없음; ","")&amp;IF(업무일지!$J119="","담당자 없음; ","")&amp;IF(COUNTIF(코드설정!$F$5:$F$7,업무일지!$AG119)=0,"진행상태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"&amp;업무일지!$H120)</f>
        <v/>
      </c>
      <c r="D152" s="45">
        <f>IF(NOT(COUNTBLANK(업무일지!$B120:$AH120)&lt;33),"",TRIM(IF(업무일지!$B120="","시작일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","")&amp;IF(COUNTIF(코드설정!$H$5:$H$7,업무일지!$D120)=0,"직무구분 누락; ","")&amp;IF(업무일지!$E120="","세부유형 누락; ",IF(AND(업무일지!$D120&lt;&gt;"",COUNTIFS(코드설정!$A$5:$A$21,업무일지!$D120,코드설정!$B$5:$B$21,업무일지!$E120)=0),"세부유형이 직무구분과 불일치; ",""))&amp;IF(AND(업무일지!$F120&lt;&gt;"",COUNTIF(사건마스터!$A$5:$A$64,업무일지!$F120)=0),"미등록 사건번호; ","")&amp;IF(AND(업무일지!$F120="",업무일지!$H120=""),"사건번호·업무명 모두 없음; ","")&amp;IF(업무일지!$J120="","담당자 없음; ","")&amp;IF(COUNTIF(코드설정!$F$5:$F$7,업무일지!$AG120)=0,"진행상태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"&amp;업무일지!$H121)</f>
        <v/>
      </c>
      <c r="D153" s="45">
        <f>IF(NOT(COUNTBLANK(업무일지!$B121:$AH121)&lt;33),"",TRIM(IF(업무일지!$B121="","시작일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","")&amp;IF(COUNTIF(코드설정!$H$5:$H$7,업무일지!$D121)=0,"직무구분 누락; ","")&amp;IF(업무일지!$E121="","세부유형 누락; ",IF(AND(업무일지!$D121&lt;&gt;"",COUNTIFS(코드설정!$A$5:$A$21,업무일지!$D121,코드설정!$B$5:$B$21,업무일지!$E121)=0),"세부유형이 직무구분과 불일치; ",""))&amp;IF(AND(업무일지!$F121&lt;&gt;"",COUNTIF(사건마스터!$A$5:$A$64,업무일지!$F121)=0),"미등록 사건번호; ","")&amp;IF(AND(업무일지!$F121="",업무일지!$H121=""),"사건번호·업무명 모두 없음; ","")&amp;IF(업무일지!$J121="","담당자 없음; ","")&amp;IF(COUNTIF(코드설정!$F$5:$F$7,업무일지!$AG121)=0,"진행상태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"&amp;업무일지!$H122)</f>
        <v/>
      </c>
      <c r="D154" s="45">
        <f>IF(NOT(COUNTBLANK(업무일지!$B122:$AH122)&lt;33),"",TRIM(IF(업무일지!$B122="","시작일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","")&amp;IF(COUNTIF(코드설정!$H$5:$H$7,업무일지!$D122)=0,"직무구분 누락; ","")&amp;IF(업무일지!$E122="","세부유형 누락; ",IF(AND(업무일지!$D122&lt;&gt;"",COUNTIFS(코드설정!$A$5:$A$21,업무일지!$D122,코드설정!$B$5:$B$21,업무일지!$E122)=0),"세부유형이 직무구분과 불일치; ",""))&amp;IF(AND(업무일지!$F122&lt;&gt;"",COUNTIF(사건마스터!$A$5:$A$64,업무일지!$F122)=0),"미등록 사건번호; ","")&amp;IF(AND(업무일지!$F122="",업무일지!$H122=""),"사건번호·업무명 모두 없음; ","")&amp;IF(업무일지!$J122="","담당자 없음; ","")&amp;IF(COUNTIF(코드설정!$F$5:$F$7,업무일지!$AG122)=0,"진행상태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"&amp;업무일지!$H123)</f>
        <v/>
      </c>
      <c r="D155" s="45">
        <f>IF(NOT(COUNTBLANK(업무일지!$B123:$AH123)&lt;33),"",TRIM(IF(업무일지!$B123="","시작일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","")&amp;IF(COUNTIF(코드설정!$H$5:$H$7,업무일지!$D123)=0,"직무구분 누락; ","")&amp;IF(업무일지!$E123="","세부유형 누락; ",IF(AND(업무일지!$D123&lt;&gt;"",COUNTIFS(코드설정!$A$5:$A$21,업무일지!$D123,코드설정!$B$5:$B$21,업무일지!$E123)=0),"세부유형이 직무구분과 불일치; ",""))&amp;IF(AND(업무일지!$F123&lt;&gt;"",COUNTIF(사건마스터!$A$5:$A$64,업무일지!$F123)=0),"미등록 사건번호; ","")&amp;IF(AND(업무일지!$F123="",업무일지!$H123=""),"사건번호·업무명 모두 없음; ","")&amp;IF(업무일지!$J123="","담당자 없음; ","")&amp;IF(COUNTIF(코드설정!$F$5:$F$7,업무일지!$AG123)=0,"진행상태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"&amp;업무일지!$H124)</f>
        <v/>
      </c>
      <c r="D156" s="45">
        <f>IF(NOT(COUNTBLANK(업무일지!$B124:$AH124)&lt;33),"",TRIM(IF(업무일지!$B124="","시작일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","")&amp;IF(COUNTIF(코드설정!$H$5:$H$7,업무일지!$D124)=0,"직무구분 누락; ","")&amp;IF(업무일지!$E124="","세부유형 누락; ",IF(AND(업무일지!$D124&lt;&gt;"",COUNTIFS(코드설정!$A$5:$A$21,업무일지!$D124,코드설정!$B$5:$B$21,업무일지!$E124)=0),"세부유형이 직무구분과 불일치; ",""))&amp;IF(AND(업무일지!$F124&lt;&gt;"",COUNTIF(사건마스터!$A$5:$A$64,업무일지!$F124)=0),"미등록 사건번호; ","")&amp;IF(AND(업무일지!$F124="",업무일지!$H124=""),"사건번호·업무명 모두 없음; ","")&amp;IF(업무일지!$J124="","담당자 없음; ","")&amp;IF(COUNTIF(코드설정!$F$5:$F$7,업무일지!$AG124)=0,"진행상태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"&amp;업무일지!$H125)</f>
        <v/>
      </c>
      <c r="D157" s="45">
        <f>IF(NOT(COUNTBLANK(업무일지!$B125:$AH125)&lt;33),"",TRIM(IF(업무일지!$B125="","시작일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","")&amp;IF(COUNTIF(코드설정!$H$5:$H$7,업무일지!$D125)=0,"직무구분 누락; ","")&amp;IF(업무일지!$E125="","세부유형 누락; ",IF(AND(업무일지!$D125&lt;&gt;"",COUNTIFS(코드설정!$A$5:$A$21,업무일지!$D125,코드설정!$B$5:$B$21,업무일지!$E125)=0),"세부유형이 직무구분과 불일치; ",""))&amp;IF(AND(업무일지!$F125&lt;&gt;"",COUNTIF(사건마스터!$A$5:$A$64,업무일지!$F125)=0),"미등록 사건번호; ","")&amp;IF(AND(업무일지!$F125="",업무일지!$H125=""),"사건번호·업무명 모두 없음; ","")&amp;IF(업무일지!$J125="","담당자 없음; ","")&amp;IF(COUNTIF(코드설정!$F$5:$F$7,업무일지!$AG125)=0,"진행상태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"&amp;업무일지!$H126)</f>
        <v/>
      </c>
      <c r="D158" s="45">
        <f>IF(NOT(COUNTBLANK(업무일지!$B126:$AH126)&lt;33),"",TRIM(IF(업무일지!$B126="","시작일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","")&amp;IF(COUNTIF(코드설정!$H$5:$H$7,업무일지!$D126)=0,"직무구분 누락; ","")&amp;IF(업무일지!$E126="","세부유형 누락; ",IF(AND(업무일지!$D126&lt;&gt;"",COUNTIFS(코드설정!$A$5:$A$21,업무일지!$D126,코드설정!$B$5:$B$21,업무일지!$E126)=0),"세부유형이 직무구분과 불일치; ",""))&amp;IF(AND(업무일지!$F126&lt;&gt;"",COUNTIF(사건마스터!$A$5:$A$64,업무일지!$F126)=0),"미등록 사건번호; ","")&amp;IF(AND(업무일지!$F126="",업무일지!$H126=""),"사건번호·업무명 모두 없음; ","")&amp;IF(업무일지!$J126="","담당자 없음; ","")&amp;IF(COUNTIF(코드설정!$F$5:$F$7,업무일지!$AG126)=0,"진행상태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"&amp;업무일지!$H127)</f>
        <v/>
      </c>
      <c r="D159" s="45">
        <f>IF(NOT(COUNTBLANK(업무일지!$B127:$AH127)&lt;33),"",TRIM(IF(업무일지!$B127="","시작일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","")&amp;IF(COUNTIF(코드설정!$H$5:$H$7,업무일지!$D127)=0,"직무구분 누락; ","")&amp;IF(업무일지!$E127="","세부유형 누락; ",IF(AND(업무일지!$D127&lt;&gt;"",COUNTIFS(코드설정!$A$5:$A$21,업무일지!$D127,코드설정!$B$5:$B$21,업무일지!$E127)=0),"세부유형이 직무구분과 불일치; ",""))&amp;IF(AND(업무일지!$F127&lt;&gt;"",COUNTIF(사건마스터!$A$5:$A$64,업무일지!$F127)=0),"미등록 사건번호; ","")&amp;IF(AND(업무일지!$F127="",업무일지!$H127=""),"사건번호·업무명 모두 없음; ","")&amp;IF(업무일지!$J127="","담당자 없음; ","")&amp;IF(COUNTIF(코드설정!$F$5:$F$7,업무일지!$AG127)=0,"진행상태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"&amp;업무일지!$H128)</f>
        <v/>
      </c>
      <c r="D160" s="45">
        <f>IF(NOT(COUNTBLANK(업무일지!$B128:$AH128)&lt;33),"",TRIM(IF(업무일지!$B128="","시작일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","")&amp;IF(COUNTIF(코드설정!$H$5:$H$7,업무일지!$D128)=0,"직무구분 누락; ","")&amp;IF(업무일지!$E128="","세부유형 누락; ",IF(AND(업무일지!$D128&lt;&gt;"",COUNTIFS(코드설정!$A$5:$A$21,업무일지!$D128,코드설정!$B$5:$B$21,업무일지!$E128)=0),"세부유형이 직무구분과 불일치; ",""))&amp;IF(AND(업무일지!$F128&lt;&gt;"",COUNTIF(사건마스터!$A$5:$A$64,업무일지!$F128)=0),"미등록 사건번호; ","")&amp;IF(AND(업무일지!$F128="",업무일지!$H128=""),"사건번호·업무명 모두 없음; ","")&amp;IF(업무일지!$J128="","담당자 없음; ","")&amp;IF(COUNTIF(코드설정!$F$5:$F$7,업무일지!$AG128)=0,"진행상태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"&amp;업무일지!$H129)</f>
        <v/>
      </c>
      <c r="D161" s="45">
        <f>IF(NOT(COUNTBLANK(업무일지!$B129:$AH129)&lt;33),"",TRIM(IF(업무일지!$B129="","시작일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","")&amp;IF(COUNTIF(코드설정!$H$5:$H$7,업무일지!$D129)=0,"직무구분 누락; ","")&amp;IF(업무일지!$E129="","세부유형 누락; ",IF(AND(업무일지!$D129&lt;&gt;"",COUNTIFS(코드설정!$A$5:$A$21,업무일지!$D129,코드설정!$B$5:$B$21,업무일지!$E129)=0),"세부유형이 직무구분과 불일치; ",""))&amp;IF(AND(업무일지!$F129&lt;&gt;"",COUNTIF(사건마스터!$A$5:$A$64,업무일지!$F129)=0),"미등록 사건번호; ","")&amp;IF(AND(업무일지!$F129="",업무일지!$H129=""),"사건번호·업무명 모두 없음; ","")&amp;IF(업무일지!$J129="","담당자 없음; ","")&amp;IF(COUNTIF(코드설정!$F$5:$F$7,업무일지!$AG129)=0,"진행상태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"&amp;업무일지!$H130)</f>
        <v/>
      </c>
      <c r="D162" s="45">
        <f>IF(NOT(COUNTBLANK(업무일지!$B130:$AH130)&lt;33),"",TRIM(IF(업무일지!$B130="","시작일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","")&amp;IF(COUNTIF(코드설정!$H$5:$H$7,업무일지!$D130)=0,"직무구분 누락; ","")&amp;IF(업무일지!$E130="","세부유형 누락; ",IF(AND(업무일지!$D130&lt;&gt;"",COUNTIFS(코드설정!$A$5:$A$21,업무일지!$D130,코드설정!$B$5:$B$21,업무일지!$E130)=0),"세부유형이 직무구분과 불일치; ",""))&amp;IF(AND(업무일지!$F130&lt;&gt;"",COUNTIF(사건마스터!$A$5:$A$64,업무일지!$F130)=0),"미등록 사건번호; ","")&amp;IF(AND(업무일지!$F130="",업무일지!$H130=""),"사건번호·업무명 모두 없음; ","")&amp;IF(업무일지!$J130="","담당자 없음; ","")&amp;IF(COUNTIF(코드설정!$F$5:$F$7,업무일지!$AG130)=0,"진행상태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"&amp;업무일지!$H131)</f>
        <v/>
      </c>
      <c r="D163" s="45">
        <f>IF(NOT(COUNTBLANK(업무일지!$B131:$AH131)&lt;33),"",TRIM(IF(업무일지!$B131="","시작일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","")&amp;IF(COUNTIF(코드설정!$H$5:$H$7,업무일지!$D131)=0,"직무구분 누락; ","")&amp;IF(업무일지!$E131="","세부유형 누락; ",IF(AND(업무일지!$D131&lt;&gt;"",COUNTIFS(코드설정!$A$5:$A$21,업무일지!$D131,코드설정!$B$5:$B$21,업무일지!$E131)=0),"세부유형이 직무구분과 불일치; ",""))&amp;IF(AND(업무일지!$F131&lt;&gt;"",COUNTIF(사건마스터!$A$5:$A$64,업무일지!$F131)=0),"미등록 사건번호; ","")&amp;IF(AND(업무일지!$F131="",업무일지!$H131=""),"사건번호·업무명 모두 없음; ","")&amp;IF(업무일지!$J131="","담당자 없음; ","")&amp;IF(COUNTIF(코드설정!$F$5:$F$7,업무일지!$AG131)=0,"진행상태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"&amp;업무일지!$H132)</f>
        <v/>
      </c>
      <c r="D164" s="45">
        <f>IF(NOT(COUNTBLANK(업무일지!$B132:$AH132)&lt;33),"",TRIM(IF(업무일지!$B132="","시작일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","")&amp;IF(COUNTIF(코드설정!$H$5:$H$7,업무일지!$D132)=0,"직무구분 누락; ","")&amp;IF(업무일지!$E132="","세부유형 누락; ",IF(AND(업무일지!$D132&lt;&gt;"",COUNTIFS(코드설정!$A$5:$A$21,업무일지!$D132,코드설정!$B$5:$B$21,업무일지!$E132)=0),"세부유형이 직무구분과 불일치; ",""))&amp;IF(AND(업무일지!$F132&lt;&gt;"",COUNTIF(사건마스터!$A$5:$A$64,업무일지!$F132)=0),"미등록 사건번호; ","")&amp;IF(AND(업무일지!$F132="",업무일지!$H132=""),"사건번호·업무명 모두 없음; ","")&amp;IF(업무일지!$J132="","담당자 없음; ","")&amp;IF(COUNTIF(코드설정!$F$5:$F$7,업무일지!$AG132)=0,"진행상태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"&amp;업무일지!$H133)</f>
        <v/>
      </c>
      <c r="D165" s="45">
        <f>IF(NOT(COUNTBLANK(업무일지!$B133:$AH133)&lt;33),"",TRIM(IF(업무일지!$B133="","시작일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","")&amp;IF(COUNTIF(코드설정!$H$5:$H$7,업무일지!$D133)=0,"직무구분 누락; ","")&amp;IF(업무일지!$E133="","세부유형 누락; ",IF(AND(업무일지!$D133&lt;&gt;"",COUNTIFS(코드설정!$A$5:$A$21,업무일지!$D133,코드설정!$B$5:$B$21,업무일지!$E133)=0),"세부유형이 직무구분과 불일치; ",""))&amp;IF(AND(업무일지!$F133&lt;&gt;"",COUNTIF(사건마스터!$A$5:$A$64,업무일지!$F133)=0),"미등록 사건번호; ","")&amp;IF(AND(업무일지!$F133="",업무일지!$H133=""),"사건번호·업무명 모두 없음; ","")&amp;IF(업무일지!$J133="","담당자 없음; ","")&amp;IF(COUNTIF(코드설정!$F$5:$F$7,업무일지!$AG133)=0,"진행상태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"&amp;업무일지!$H134)</f>
        <v/>
      </c>
      <c r="D166" s="45">
        <f>IF(NOT(COUNTBLANK(업무일지!$B134:$AH134)&lt;33),"",TRIM(IF(업무일지!$B134="","시작일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","")&amp;IF(COUNTIF(코드설정!$H$5:$H$7,업무일지!$D134)=0,"직무구분 누락; ","")&amp;IF(업무일지!$E134="","세부유형 누락; ",IF(AND(업무일지!$D134&lt;&gt;"",COUNTIFS(코드설정!$A$5:$A$21,업무일지!$D134,코드설정!$B$5:$B$21,업무일지!$E134)=0),"세부유형이 직무구분과 불일치; ",""))&amp;IF(AND(업무일지!$F134&lt;&gt;"",COUNTIF(사건마스터!$A$5:$A$64,업무일지!$F134)=0),"미등록 사건번호; ","")&amp;IF(AND(업무일지!$F134="",업무일지!$H134=""),"사건번호·업무명 모두 없음; ","")&amp;IF(업무일지!$J134="","담당자 없음; ","")&amp;IF(COUNTIF(코드설정!$F$5:$F$7,업무일지!$AG134)=0,"진행상태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"&amp;업무일지!$H135)</f>
        <v/>
      </c>
      <c r="D167" s="45">
        <f>IF(NOT(COUNTBLANK(업무일지!$B135:$AH135)&lt;33),"",TRIM(IF(업무일지!$B135="","시작일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","")&amp;IF(COUNTIF(코드설정!$H$5:$H$7,업무일지!$D135)=0,"직무구분 누락; ","")&amp;IF(업무일지!$E135="","세부유형 누락; ",IF(AND(업무일지!$D135&lt;&gt;"",COUNTIFS(코드설정!$A$5:$A$21,업무일지!$D135,코드설정!$B$5:$B$21,업무일지!$E135)=0),"세부유형이 직무구분과 불일치; ",""))&amp;IF(AND(업무일지!$F135&lt;&gt;"",COUNTIF(사건마스터!$A$5:$A$64,업무일지!$F135)=0),"미등록 사건번호; ","")&amp;IF(AND(업무일지!$F135="",업무일지!$H135=""),"사건번호·업무명 모두 없음; ","")&amp;IF(업무일지!$J135="","담당자 없음; ","")&amp;IF(COUNTIF(코드설정!$F$5:$F$7,업무일지!$AG135)=0,"진행상태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"&amp;업무일지!$H136)</f>
        <v/>
      </c>
      <c r="D168" s="45">
        <f>IF(NOT(COUNTBLANK(업무일지!$B136:$AH136)&lt;33),"",TRIM(IF(업무일지!$B136="","시작일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","")&amp;IF(COUNTIF(코드설정!$H$5:$H$7,업무일지!$D136)=0,"직무구분 누락; ","")&amp;IF(업무일지!$E136="","세부유형 누락; ",IF(AND(업무일지!$D136&lt;&gt;"",COUNTIFS(코드설정!$A$5:$A$21,업무일지!$D136,코드설정!$B$5:$B$21,업무일지!$E136)=0),"세부유형이 직무구분과 불일치; ",""))&amp;IF(AND(업무일지!$F136&lt;&gt;"",COUNTIF(사건마스터!$A$5:$A$64,업무일지!$F136)=0),"미등록 사건번호; ","")&amp;IF(AND(업무일지!$F136="",업무일지!$H136=""),"사건번호·업무명 모두 없음; ","")&amp;IF(업무일지!$J136="","담당자 없음; ","")&amp;IF(COUNTIF(코드설정!$F$5:$F$7,업무일지!$AG136)=0,"진행상태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"&amp;업무일지!$H137)</f>
        <v/>
      </c>
      <c r="D169" s="45">
        <f>IF(NOT(COUNTBLANK(업무일지!$B137:$AH137)&lt;33),"",TRIM(IF(업무일지!$B137="","시작일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","")&amp;IF(COUNTIF(코드설정!$H$5:$H$7,업무일지!$D137)=0,"직무구분 누락; ","")&amp;IF(업무일지!$E137="","세부유형 누락; ",IF(AND(업무일지!$D137&lt;&gt;"",COUNTIFS(코드설정!$A$5:$A$21,업무일지!$D137,코드설정!$B$5:$B$21,업무일지!$E137)=0),"세부유형이 직무구분과 불일치; ",""))&amp;IF(AND(업무일지!$F137&lt;&gt;"",COUNTIF(사건마스터!$A$5:$A$64,업무일지!$F137)=0),"미등록 사건번호; ","")&amp;IF(AND(업무일지!$F137="",업무일지!$H137=""),"사건번호·업무명 모두 없음; ","")&amp;IF(업무일지!$J137="","담당자 없음; ","")&amp;IF(COUNTIF(코드설정!$F$5:$F$7,업무일지!$AG137)=0,"진행상태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"&amp;업무일지!$H138)</f>
        <v/>
      </c>
      <c r="D170" s="45">
        <f>IF(NOT(COUNTBLANK(업무일지!$B138:$AH138)&lt;33),"",TRIM(IF(업무일지!$B138="","시작일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","")&amp;IF(COUNTIF(코드설정!$H$5:$H$7,업무일지!$D138)=0,"직무구분 누락; ","")&amp;IF(업무일지!$E138="","세부유형 누락; ",IF(AND(업무일지!$D138&lt;&gt;"",COUNTIFS(코드설정!$A$5:$A$21,업무일지!$D138,코드설정!$B$5:$B$21,업무일지!$E138)=0),"세부유형이 직무구분과 불일치; ",""))&amp;IF(AND(업무일지!$F138&lt;&gt;"",COUNTIF(사건마스터!$A$5:$A$64,업무일지!$F138)=0),"미등록 사건번호; ","")&amp;IF(AND(업무일지!$F138="",업무일지!$H138=""),"사건번호·업무명 모두 없음; ","")&amp;IF(업무일지!$J138="","담당자 없음; ","")&amp;IF(COUNTIF(코드설정!$F$5:$F$7,업무일지!$AG138)=0,"진행상태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"&amp;업무일지!$H139)</f>
        <v/>
      </c>
      <c r="D171" s="45">
        <f>IF(NOT(COUNTBLANK(업무일지!$B139:$AH139)&lt;33),"",TRIM(IF(업무일지!$B139="","시작일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","")&amp;IF(COUNTIF(코드설정!$H$5:$H$7,업무일지!$D139)=0,"직무구분 누락; ","")&amp;IF(업무일지!$E139="","세부유형 누락; ",IF(AND(업무일지!$D139&lt;&gt;"",COUNTIFS(코드설정!$A$5:$A$21,업무일지!$D139,코드설정!$B$5:$B$21,업무일지!$E139)=0),"세부유형이 직무구분과 불일치; ",""))&amp;IF(AND(업무일지!$F139&lt;&gt;"",COUNTIF(사건마스터!$A$5:$A$64,업무일지!$F139)=0),"미등록 사건번호; ","")&amp;IF(AND(업무일지!$F139="",업무일지!$H139=""),"사건번호·업무명 모두 없음; ","")&amp;IF(업무일지!$J139="","담당자 없음; ","")&amp;IF(COUNTIF(코드설정!$F$5:$F$7,업무일지!$AG139)=0,"진행상태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"&amp;업무일지!$H140)</f>
        <v/>
      </c>
      <c r="D172" s="45">
        <f>IF(NOT(COUNTBLANK(업무일지!$B140:$AH140)&lt;33),"",TRIM(IF(업무일지!$B140="","시작일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","")&amp;IF(COUNTIF(코드설정!$H$5:$H$7,업무일지!$D140)=0,"직무구분 누락; ","")&amp;IF(업무일지!$E140="","세부유형 누락; ",IF(AND(업무일지!$D140&lt;&gt;"",COUNTIFS(코드설정!$A$5:$A$21,업무일지!$D140,코드설정!$B$5:$B$21,업무일지!$E140)=0),"세부유형이 직무구분과 불일치; ",""))&amp;IF(AND(업무일지!$F140&lt;&gt;"",COUNTIF(사건마스터!$A$5:$A$64,업무일지!$F140)=0),"미등록 사건번호; ","")&amp;IF(AND(업무일지!$F140="",업무일지!$H140=""),"사건번호·업무명 모두 없음; ","")&amp;IF(업무일지!$J140="","담당자 없음; ","")&amp;IF(COUNTIF(코드설정!$F$5:$F$7,업무일지!$AG140)=0,"진행상태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"&amp;업무일지!$H141)</f>
        <v/>
      </c>
      <c r="D173" s="45">
        <f>IF(NOT(COUNTBLANK(업무일지!$B141:$AH141)&lt;33),"",TRIM(IF(업무일지!$B141="","시작일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","")&amp;IF(COUNTIF(코드설정!$H$5:$H$7,업무일지!$D141)=0,"직무구분 누락; ","")&amp;IF(업무일지!$E141="","세부유형 누락; ",IF(AND(업무일지!$D141&lt;&gt;"",COUNTIFS(코드설정!$A$5:$A$21,업무일지!$D141,코드설정!$B$5:$B$21,업무일지!$E141)=0),"세부유형이 직무구분과 불일치; ",""))&amp;IF(AND(업무일지!$F141&lt;&gt;"",COUNTIF(사건마스터!$A$5:$A$64,업무일지!$F141)=0),"미등록 사건번호; ","")&amp;IF(AND(업무일지!$F141="",업무일지!$H141=""),"사건번호·업무명 모두 없음; ","")&amp;IF(업무일지!$J141="","담당자 없음; ","")&amp;IF(COUNTIF(코드설정!$F$5:$F$7,업무일지!$AG141)=0,"진행상태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"&amp;업무일지!$H142)</f>
        <v/>
      </c>
      <c r="D174" s="45">
        <f>IF(NOT(COUNTBLANK(업무일지!$B142:$AH142)&lt;33),"",TRIM(IF(업무일지!$B142="","시작일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","")&amp;IF(COUNTIF(코드설정!$H$5:$H$7,업무일지!$D142)=0,"직무구분 누락; ","")&amp;IF(업무일지!$E142="","세부유형 누락; ",IF(AND(업무일지!$D142&lt;&gt;"",COUNTIFS(코드설정!$A$5:$A$21,업무일지!$D142,코드설정!$B$5:$B$21,업무일지!$E142)=0),"세부유형이 직무구분과 불일치; ",""))&amp;IF(AND(업무일지!$F142&lt;&gt;"",COUNTIF(사건마스터!$A$5:$A$64,업무일지!$F142)=0),"미등록 사건번호; ","")&amp;IF(AND(업무일지!$F142="",업무일지!$H142=""),"사건번호·업무명 모두 없음; ","")&amp;IF(업무일지!$J142="","담당자 없음; ","")&amp;IF(COUNTIF(코드설정!$F$5:$F$7,업무일지!$AG142)=0,"진행상태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"&amp;업무일지!$H143)</f>
        <v/>
      </c>
      <c r="D175" s="45">
        <f>IF(NOT(COUNTBLANK(업무일지!$B143:$AH143)&lt;33),"",TRIM(IF(업무일지!$B143="","시작일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","")&amp;IF(COUNTIF(코드설정!$H$5:$H$7,업무일지!$D143)=0,"직무구분 누락; ","")&amp;IF(업무일지!$E143="","세부유형 누락; ",IF(AND(업무일지!$D143&lt;&gt;"",COUNTIFS(코드설정!$A$5:$A$21,업무일지!$D143,코드설정!$B$5:$B$21,업무일지!$E143)=0),"세부유형이 직무구분과 불일치; ",""))&amp;IF(AND(업무일지!$F143&lt;&gt;"",COUNTIF(사건마스터!$A$5:$A$64,업무일지!$F143)=0),"미등록 사건번호; ","")&amp;IF(AND(업무일지!$F143="",업무일지!$H143=""),"사건번호·업무명 모두 없음; ","")&amp;IF(업무일지!$J143="","담당자 없음; ","")&amp;IF(COUNTIF(코드설정!$F$5:$F$7,업무일지!$AG143)=0,"진행상태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"&amp;업무일지!$H144)</f>
        <v/>
      </c>
      <c r="D176" s="45">
        <f>IF(NOT(COUNTBLANK(업무일지!$B144:$AH144)&lt;33),"",TRIM(IF(업무일지!$B144="","시작일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","")&amp;IF(COUNTIF(코드설정!$H$5:$H$7,업무일지!$D144)=0,"직무구분 누락; ","")&amp;IF(업무일지!$E144="","세부유형 누락; ",IF(AND(업무일지!$D144&lt;&gt;"",COUNTIFS(코드설정!$A$5:$A$21,업무일지!$D144,코드설정!$B$5:$B$21,업무일지!$E144)=0),"세부유형이 직무구분과 불일치; ",""))&amp;IF(AND(업무일지!$F144&lt;&gt;"",COUNTIF(사건마스터!$A$5:$A$64,업무일지!$F144)=0),"미등록 사건번호; ","")&amp;IF(AND(업무일지!$F144="",업무일지!$H144=""),"사건번호·업무명 모두 없음; ","")&amp;IF(업무일지!$J144="","담당자 없음; ","")&amp;IF(COUNTIF(코드설정!$F$5:$F$7,업무일지!$AG144)=0,"진행상태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"&amp;업무일지!$H145)</f>
        <v/>
      </c>
      <c r="D177" s="45">
        <f>IF(NOT(COUNTBLANK(업무일지!$B145:$AH145)&lt;33),"",TRIM(IF(업무일지!$B145="","시작일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","")&amp;IF(COUNTIF(코드설정!$H$5:$H$7,업무일지!$D145)=0,"직무구분 누락; ","")&amp;IF(업무일지!$E145="","세부유형 누락; ",IF(AND(업무일지!$D145&lt;&gt;"",COUNTIFS(코드설정!$A$5:$A$21,업무일지!$D145,코드설정!$B$5:$B$21,업무일지!$E145)=0),"세부유형이 직무구분과 불일치; ",""))&amp;IF(AND(업무일지!$F145&lt;&gt;"",COUNTIF(사건마스터!$A$5:$A$64,업무일지!$F145)=0),"미등록 사건번호; ","")&amp;IF(AND(업무일지!$F145="",업무일지!$H145=""),"사건번호·업무명 모두 없음; ","")&amp;IF(업무일지!$J145="","담당자 없음; ","")&amp;IF(COUNTIF(코드설정!$F$5:$F$7,업무일지!$AG145)=0,"진행상태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"&amp;업무일지!$H146)</f>
        <v/>
      </c>
      <c r="D178" s="45">
        <f>IF(NOT(COUNTBLANK(업무일지!$B146:$AH146)&lt;33),"",TRIM(IF(업무일지!$B146="","시작일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","")&amp;IF(COUNTIF(코드설정!$H$5:$H$7,업무일지!$D146)=0,"직무구분 누락; ","")&amp;IF(업무일지!$E146="","세부유형 누락; ",IF(AND(업무일지!$D146&lt;&gt;"",COUNTIFS(코드설정!$A$5:$A$21,업무일지!$D146,코드설정!$B$5:$B$21,업무일지!$E146)=0),"세부유형이 직무구분과 불일치; ",""))&amp;IF(AND(업무일지!$F146&lt;&gt;"",COUNTIF(사건마스터!$A$5:$A$64,업무일지!$F146)=0),"미등록 사건번호; ","")&amp;IF(AND(업무일지!$F146="",업무일지!$H146=""),"사건번호·업무명 모두 없음; ","")&amp;IF(업무일지!$J146="","담당자 없음; ","")&amp;IF(COUNTIF(코드설정!$F$5:$F$7,업무일지!$AG146)=0,"진행상태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"&amp;업무일지!$H147)</f>
        <v/>
      </c>
      <c r="D179" s="45">
        <f>IF(NOT(COUNTBLANK(업무일지!$B147:$AH147)&lt;33),"",TRIM(IF(업무일지!$B147="","시작일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","")&amp;IF(COUNTIF(코드설정!$H$5:$H$7,업무일지!$D147)=0,"직무구분 누락; ","")&amp;IF(업무일지!$E147="","세부유형 누락; ",IF(AND(업무일지!$D147&lt;&gt;"",COUNTIFS(코드설정!$A$5:$A$21,업무일지!$D147,코드설정!$B$5:$B$21,업무일지!$E147)=0),"세부유형이 직무구분과 불일치; ",""))&amp;IF(AND(업무일지!$F147&lt;&gt;"",COUNTIF(사건마스터!$A$5:$A$64,업무일지!$F147)=0),"미등록 사건번호; ","")&amp;IF(AND(업무일지!$F147="",업무일지!$H147=""),"사건번호·업무명 모두 없음; ","")&amp;IF(업무일지!$J147="","담당자 없음; ","")&amp;IF(COUNTIF(코드설정!$F$5:$F$7,업무일지!$AG147)=0,"진행상태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"&amp;업무일지!$H148)</f>
        <v/>
      </c>
      <c r="D180" s="45">
        <f>IF(NOT(COUNTBLANK(업무일지!$B148:$AH148)&lt;33),"",TRIM(IF(업무일지!$B148="","시작일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","")&amp;IF(COUNTIF(코드설정!$H$5:$H$7,업무일지!$D148)=0,"직무구분 누락; ","")&amp;IF(업무일지!$E148="","세부유형 누락; ",IF(AND(업무일지!$D148&lt;&gt;"",COUNTIFS(코드설정!$A$5:$A$21,업무일지!$D148,코드설정!$B$5:$B$21,업무일지!$E148)=0),"세부유형이 직무구분과 불일치; ",""))&amp;IF(AND(업무일지!$F148&lt;&gt;"",COUNTIF(사건마스터!$A$5:$A$64,업무일지!$F148)=0),"미등록 사건번호; ","")&amp;IF(AND(업무일지!$F148="",업무일지!$H148=""),"사건번호·업무명 모두 없음; ","")&amp;IF(업무일지!$J148="","담당자 없음; ","")&amp;IF(COUNTIF(코드설정!$F$5:$F$7,업무일지!$AG148)=0,"진행상태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"&amp;업무일지!$H149)</f>
        <v/>
      </c>
      <c r="D181" s="45">
        <f>IF(NOT(COUNTBLANK(업무일지!$B149:$AH149)&lt;33),"",TRIM(IF(업무일지!$B149="","시작일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","")&amp;IF(COUNTIF(코드설정!$H$5:$H$7,업무일지!$D149)=0,"직무구분 누락; ","")&amp;IF(업무일지!$E149="","세부유형 누락; ",IF(AND(업무일지!$D149&lt;&gt;"",COUNTIFS(코드설정!$A$5:$A$21,업무일지!$D149,코드설정!$B$5:$B$21,업무일지!$E149)=0),"세부유형이 직무구분과 불일치; ",""))&amp;IF(AND(업무일지!$F149&lt;&gt;"",COUNTIF(사건마스터!$A$5:$A$64,업무일지!$F149)=0),"미등록 사건번호; ","")&amp;IF(AND(업무일지!$F149="",업무일지!$H149=""),"사건번호·업무명 모두 없음; ","")&amp;IF(업무일지!$J149="","담당자 없음; ","")&amp;IF(COUNTIF(코드설정!$F$5:$F$7,업무일지!$AG149)=0,"진행상태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"&amp;업무일지!$H150)</f>
        <v/>
      </c>
      <c r="D182" s="45">
        <f>IF(NOT(COUNTBLANK(업무일지!$B150:$AH150)&lt;33),"",TRIM(IF(업무일지!$B150="","시작일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","")&amp;IF(COUNTIF(코드설정!$H$5:$H$7,업무일지!$D150)=0,"직무구분 누락; ","")&amp;IF(업무일지!$E150="","세부유형 누락; ",IF(AND(업무일지!$D150&lt;&gt;"",COUNTIFS(코드설정!$A$5:$A$21,업무일지!$D150,코드설정!$B$5:$B$21,업무일지!$E150)=0),"세부유형이 직무구분과 불일치; ",""))&amp;IF(AND(업무일지!$F150&lt;&gt;"",COUNTIF(사건마스터!$A$5:$A$64,업무일지!$F150)=0),"미등록 사건번호; ","")&amp;IF(AND(업무일지!$F150="",업무일지!$H150=""),"사건번호·업무명 모두 없음; ","")&amp;IF(업무일지!$J150="","담당자 없음; ","")&amp;IF(COUNTIF(코드설정!$F$5:$F$7,업무일지!$AG150)=0,"진행상태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"&amp;업무일지!$H151)</f>
        <v/>
      </c>
      <c r="D183" s="45">
        <f>IF(NOT(COUNTBLANK(업무일지!$B151:$AH151)&lt;33),"",TRIM(IF(업무일지!$B151="","시작일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","")&amp;IF(COUNTIF(코드설정!$H$5:$H$7,업무일지!$D151)=0,"직무구분 누락; ","")&amp;IF(업무일지!$E151="","세부유형 누락; ",IF(AND(업무일지!$D151&lt;&gt;"",COUNTIFS(코드설정!$A$5:$A$21,업무일지!$D151,코드설정!$B$5:$B$21,업무일지!$E151)=0),"세부유형이 직무구분과 불일치; ",""))&amp;IF(AND(업무일지!$F151&lt;&gt;"",COUNTIF(사건마스터!$A$5:$A$64,업무일지!$F151)=0),"미등록 사건번호; ","")&amp;IF(AND(업무일지!$F151="",업무일지!$H151=""),"사건번호·업무명 모두 없음; ","")&amp;IF(업무일지!$J151="","담당자 없음; ","")&amp;IF(COUNTIF(코드설정!$F$5:$F$7,업무일지!$AG151)=0,"진행상태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"&amp;업무일지!$H152)</f>
        <v/>
      </c>
      <c r="D184" s="45">
        <f>IF(NOT(COUNTBLANK(업무일지!$B152:$AH152)&lt;33),"",TRIM(IF(업무일지!$B152="","시작일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","")&amp;IF(COUNTIF(코드설정!$H$5:$H$7,업무일지!$D152)=0,"직무구분 누락; ","")&amp;IF(업무일지!$E152="","세부유형 누락; ",IF(AND(업무일지!$D152&lt;&gt;"",COUNTIFS(코드설정!$A$5:$A$21,업무일지!$D152,코드설정!$B$5:$B$21,업무일지!$E152)=0),"세부유형이 직무구분과 불일치; ",""))&amp;IF(AND(업무일지!$F152&lt;&gt;"",COUNTIF(사건마스터!$A$5:$A$64,업무일지!$F152)=0),"미등록 사건번호; ","")&amp;IF(AND(업무일지!$F152="",업무일지!$H152=""),"사건번호·업무명 모두 없음; ","")&amp;IF(업무일지!$J152="","담당자 없음; ","")&amp;IF(COUNTIF(코드설정!$F$5:$F$7,업무일지!$AG152)=0,"진행상태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"&amp;업무일지!$H153)</f>
        <v/>
      </c>
      <c r="D185" s="45">
        <f>IF(NOT(COUNTBLANK(업무일지!$B153:$AH153)&lt;33),"",TRIM(IF(업무일지!$B153="","시작일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","")&amp;IF(COUNTIF(코드설정!$H$5:$H$7,업무일지!$D153)=0,"직무구분 누락; ","")&amp;IF(업무일지!$E153="","세부유형 누락; ",IF(AND(업무일지!$D153&lt;&gt;"",COUNTIFS(코드설정!$A$5:$A$21,업무일지!$D153,코드설정!$B$5:$B$21,업무일지!$E153)=0),"세부유형이 직무구분과 불일치; ",""))&amp;IF(AND(업무일지!$F153&lt;&gt;"",COUNTIF(사건마스터!$A$5:$A$64,업무일지!$F153)=0),"미등록 사건번호; ","")&amp;IF(AND(업무일지!$F153="",업무일지!$H153=""),"사건번호·업무명 모두 없음; ","")&amp;IF(업무일지!$J153="","담당자 없음; ","")&amp;IF(COUNTIF(코드설정!$F$5:$F$7,업무일지!$AG153)=0,"진행상태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"&amp;업무일지!$H154)</f>
        <v/>
      </c>
      <c r="D186" s="45">
        <f>IF(NOT(COUNTBLANK(업무일지!$B154:$AH154)&lt;33),"",TRIM(IF(업무일지!$B154="","시작일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","")&amp;IF(COUNTIF(코드설정!$H$5:$H$7,업무일지!$D154)=0,"직무구분 누락; ","")&amp;IF(업무일지!$E154="","세부유형 누락; ",IF(AND(업무일지!$D154&lt;&gt;"",COUNTIFS(코드설정!$A$5:$A$21,업무일지!$D154,코드설정!$B$5:$B$21,업무일지!$E154)=0),"세부유형이 직무구분과 불일치; ",""))&amp;IF(AND(업무일지!$F154&lt;&gt;"",COUNTIF(사건마스터!$A$5:$A$64,업무일지!$F154)=0),"미등록 사건번호; ","")&amp;IF(AND(업무일지!$F154="",업무일지!$H154=""),"사건번호·업무명 모두 없음; ","")&amp;IF(업무일지!$J154="","담당자 없음; ","")&amp;IF(COUNTIF(코드설정!$F$5:$F$7,업무일지!$AG154)=0,"진행상태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"&amp;업무일지!$H155)</f>
        <v/>
      </c>
      <c r="D187" s="45">
        <f>IF(NOT(COUNTBLANK(업무일지!$B155:$AH155)&lt;33),"",TRIM(IF(업무일지!$B155="","시작일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","")&amp;IF(COUNTIF(코드설정!$H$5:$H$7,업무일지!$D155)=0,"직무구분 누락; ","")&amp;IF(업무일지!$E155="","세부유형 누락; ",IF(AND(업무일지!$D155&lt;&gt;"",COUNTIFS(코드설정!$A$5:$A$21,업무일지!$D155,코드설정!$B$5:$B$21,업무일지!$E155)=0),"세부유형이 직무구분과 불일치; ",""))&amp;IF(AND(업무일지!$F155&lt;&gt;"",COUNTIF(사건마스터!$A$5:$A$64,업무일지!$F155)=0),"미등록 사건번호; ","")&amp;IF(AND(업무일지!$F155="",업무일지!$H155=""),"사건번호·업무명 모두 없음; ","")&amp;IF(업무일지!$J155="","담당자 없음; ","")&amp;IF(COUNTIF(코드설정!$F$5:$F$7,업무일지!$AG155)=0,"진행상태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"&amp;업무일지!$H156)</f>
        <v/>
      </c>
      <c r="D188" s="45">
        <f>IF(NOT(COUNTBLANK(업무일지!$B156:$AH156)&lt;33),"",TRIM(IF(업무일지!$B156="","시작일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","")&amp;IF(COUNTIF(코드설정!$H$5:$H$7,업무일지!$D156)=0,"직무구분 누락; ","")&amp;IF(업무일지!$E156="","세부유형 누락; ",IF(AND(업무일지!$D156&lt;&gt;"",COUNTIFS(코드설정!$A$5:$A$21,업무일지!$D156,코드설정!$B$5:$B$21,업무일지!$E156)=0),"세부유형이 직무구분과 불일치; ",""))&amp;IF(AND(업무일지!$F156&lt;&gt;"",COUNTIF(사건마스터!$A$5:$A$64,업무일지!$F156)=0),"미등록 사건번호; ","")&amp;IF(AND(업무일지!$F156="",업무일지!$H156=""),"사건번호·업무명 모두 없음; ","")&amp;IF(업무일지!$J156="","담당자 없음; ","")&amp;IF(COUNTIF(코드설정!$F$5:$F$7,업무일지!$AG156)=0,"진행상태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"&amp;업무일지!$H157)</f>
        <v/>
      </c>
      <c r="D189" s="45">
        <f>IF(NOT(COUNTBLANK(업무일지!$B157:$AH157)&lt;33),"",TRIM(IF(업무일지!$B157="","시작일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","")&amp;IF(COUNTIF(코드설정!$H$5:$H$7,업무일지!$D157)=0,"직무구분 누락; ","")&amp;IF(업무일지!$E157="","세부유형 누락; ",IF(AND(업무일지!$D157&lt;&gt;"",COUNTIFS(코드설정!$A$5:$A$21,업무일지!$D157,코드설정!$B$5:$B$21,업무일지!$E157)=0),"세부유형이 직무구분과 불일치; ",""))&amp;IF(AND(업무일지!$F157&lt;&gt;"",COUNTIF(사건마스터!$A$5:$A$64,업무일지!$F157)=0),"미등록 사건번호; ","")&amp;IF(AND(업무일지!$F157="",업무일지!$H157=""),"사건번호·업무명 모두 없음; ","")&amp;IF(업무일지!$J157="","담당자 없음; ","")&amp;IF(COUNTIF(코드설정!$F$5:$F$7,업무일지!$AG157)=0,"진행상태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"&amp;업무일지!$H158)</f>
        <v/>
      </c>
      <c r="D190" s="45">
        <f>IF(NOT(COUNTBLANK(업무일지!$B158:$AH158)&lt;33),"",TRIM(IF(업무일지!$B158="","시작일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","")&amp;IF(COUNTIF(코드설정!$H$5:$H$7,업무일지!$D158)=0,"직무구분 누락; ","")&amp;IF(업무일지!$E158="","세부유형 누락; ",IF(AND(업무일지!$D158&lt;&gt;"",COUNTIFS(코드설정!$A$5:$A$21,업무일지!$D158,코드설정!$B$5:$B$21,업무일지!$E158)=0),"세부유형이 직무구분과 불일치; ",""))&amp;IF(AND(업무일지!$F158&lt;&gt;"",COUNTIF(사건마스터!$A$5:$A$64,업무일지!$F158)=0),"미등록 사건번호; ","")&amp;IF(AND(업무일지!$F158="",업무일지!$H158=""),"사건번호·업무명 모두 없음; ","")&amp;IF(업무일지!$J158="","담당자 없음; ","")&amp;IF(COUNTIF(코드설정!$F$5:$F$7,업무일지!$AG158)=0,"진행상태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"&amp;업무일지!$H159)</f>
        <v/>
      </c>
      <c r="D191" s="45">
        <f>IF(NOT(COUNTBLANK(업무일지!$B159:$AH159)&lt;33),"",TRIM(IF(업무일지!$B159="","시작일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","")&amp;IF(COUNTIF(코드설정!$H$5:$H$7,업무일지!$D159)=0,"직무구분 누락; ","")&amp;IF(업무일지!$E159="","세부유형 누락; ",IF(AND(업무일지!$D159&lt;&gt;"",COUNTIFS(코드설정!$A$5:$A$21,업무일지!$D159,코드설정!$B$5:$B$21,업무일지!$E159)=0),"세부유형이 직무구분과 불일치; ",""))&amp;IF(AND(업무일지!$F159&lt;&gt;"",COUNTIF(사건마스터!$A$5:$A$64,업무일지!$F159)=0),"미등록 사건번호; ","")&amp;IF(AND(업무일지!$F159="",업무일지!$H159=""),"사건번호·업무명 모두 없음; ","")&amp;IF(업무일지!$J159="","담당자 없음; ","")&amp;IF(COUNTIF(코드설정!$F$5:$F$7,업무일지!$AG159)=0,"진행상태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"&amp;업무일지!$H160)</f>
        <v/>
      </c>
      <c r="D192" s="45">
        <f>IF(NOT(COUNTBLANK(업무일지!$B160:$AH160)&lt;33),"",TRIM(IF(업무일지!$B160="","시작일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","")&amp;IF(COUNTIF(코드설정!$H$5:$H$7,업무일지!$D160)=0,"직무구분 누락; ","")&amp;IF(업무일지!$E160="","세부유형 누락; ",IF(AND(업무일지!$D160&lt;&gt;"",COUNTIFS(코드설정!$A$5:$A$21,업무일지!$D160,코드설정!$B$5:$B$21,업무일지!$E160)=0),"세부유형이 직무구분과 불일치; ",""))&amp;IF(AND(업무일지!$F160&lt;&gt;"",COUNTIF(사건마스터!$A$5:$A$64,업무일지!$F160)=0),"미등록 사건번호; ","")&amp;IF(AND(업무일지!$F160="",업무일지!$H160=""),"사건번호·업무명 모두 없음; ","")&amp;IF(업무일지!$J160="","담당자 없음; ","")&amp;IF(COUNTIF(코드설정!$F$5:$F$7,업무일지!$AG160)=0,"진행상태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"&amp;업무일지!$H161)</f>
        <v/>
      </c>
      <c r="D193" s="45">
        <f>IF(NOT(COUNTBLANK(업무일지!$B161:$AH161)&lt;33),"",TRIM(IF(업무일지!$B161="","시작일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","")&amp;IF(COUNTIF(코드설정!$H$5:$H$7,업무일지!$D161)=0,"직무구분 누락; ","")&amp;IF(업무일지!$E161="","세부유형 누락; ",IF(AND(업무일지!$D161&lt;&gt;"",COUNTIFS(코드설정!$A$5:$A$21,업무일지!$D161,코드설정!$B$5:$B$21,업무일지!$E161)=0),"세부유형이 직무구분과 불일치; ",""))&amp;IF(AND(업무일지!$F161&lt;&gt;"",COUNTIF(사건마스터!$A$5:$A$64,업무일지!$F161)=0),"미등록 사건번호; ","")&amp;IF(AND(업무일지!$F161="",업무일지!$H161=""),"사건번호·업무명 모두 없음; ","")&amp;IF(업무일지!$J161="","담당자 없음; ","")&amp;IF(COUNTIF(코드설정!$F$5:$F$7,업무일지!$AG161)=0,"진행상태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"&amp;업무일지!$H162)</f>
        <v/>
      </c>
      <c r="D194" s="45">
        <f>IF(NOT(COUNTBLANK(업무일지!$B162:$AH162)&lt;33),"",TRIM(IF(업무일지!$B162="","시작일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","")&amp;IF(COUNTIF(코드설정!$H$5:$H$7,업무일지!$D162)=0,"직무구분 누락; ","")&amp;IF(업무일지!$E162="","세부유형 누락; ",IF(AND(업무일지!$D162&lt;&gt;"",COUNTIFS(코드설정!$A$5:$A$21,업무일지!$D162,코드설정!$B$5:$B$21,업무일지!$E162)=0),"세부유형이 직무구분과 불일치; ",""))&amp;IF(AND(업무일지!$F162&lt;&gt;"",COUNTIF(사건마스터!$A$5:$A$64,업무일지!$F162)=0),"미등록 사건번호; ","")&amp;IF(AND(업무일지!$F162="",업무일지!$H162=""),"사건번호·업무명 모두 없음; ","")&amp;IF(업무일지!$J162="","담당자 없음; ","")&amp;IF(COUNTIF(코드설정!$F$5:$F$7,업무일지!$AG162)=0,"진행상태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"&amp;업무일지!$H163)</f>
        <v/>
      </c>
      <c r="D195" s="45">
        <f>IF(NOT(COUNTBLANK(업무일지!$B163:$AH163)&lt;33),"",TRIM(IF(업무일지!$B163="","시작일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","")&amp;IF(COUNTIF(코드설정!$H$5:$H$7,업무일지!$D163)=0,"직무구분 누락; ","")&amp;IF(업무일지!$E163="","세부유형 누락; ",IF(AND(업무일지!$D163&lt;&gt;"",COUNTIFS(코드설정!$A$5:$A$21,업무일지!$D163,코드설정!$B$5:$B$21,업무일지!$E163)=0),"세부유형이 직무구분과 불일치; ",""))&amp;IF(AND(업무일지!$F163&lt;&gt;"",COUNTIF(사건마스터!$A$5:$A$64,업무일지!$F163)=0),"미등록 사건번호; ","")&amp;IF(AND(업무일지!$F163="",업무일지!$H163=""),"사건번호·업무명 모두 없음; ","")&amp;IF(업무일지!$J163="","담당자 없음; ","")&amp;IF(COUNTIF(코드설정!$F$5:$F$7,업무일지!$AG163)=0,"진행상태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"&amp;업무일지!$H164)</f>
        <v/>
      </c>
      <c r="D196" s="45">
        <f>IF(NOT(COUNTBLANK(업무일지!$B164:$AH164)&lt;33),"",TRIM(IF(업무일지!$B164="","시작일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","")&amp;IF(COUNTIF(코드설정!$H$5:$H$7,업무일지!$D164)=0,"직무구분 누락; ","")&amp;IF(업무일지!$E164="","세부유형 누락; ",IF(AND(업무일지!$D164&lt;&gt;"",COUNTIFS(코드설정!$A$5:$A$21,업무일지!$D164,코드설정!$B$5:$B$21,업무일지!$E164)=0),"세부유형이 직무구분과 불일치; ",""))&amp;IF(AND(업무일지!$F164&lt;&gt;"",COUNTIF(사건마스터!$A$5:$A$64,업무일지!$F164)=0),"미등록 사건번호; ","")&amp;IF(AND(업무일지!$F164="",업무일지!$H164=""),"사건번호·업무명 모두 없음; ","")&amp;IF(업무일지!$J164="","담당자 없음; ","")&amp;IF(COUNTIF(코드설정!$F$5:$F$7,업무일지!$AG164)=0,"진행상태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"&amp;업무일지!$H165)</f>
        <v/>
      </c>
      <c r="D197" s="45">
        <f>IF(NOT(COUNTBLANK(업무일지!$B165:$AH165)&lt;33),"",TRIM(IF(업무일지!$B165="","시작일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","")&amp;IF(COUNTIF(코드설정!$H$5:$H$7,업무일지!$D165)=0,"직무구분 누락; ","")&amp;IF(업무일지!$E165="","세부유형 누락; ",IF(AND(업무일지!$D165&lt;&gt;"",COUNTIFS(코드설정!$A$5:$A$21,업무일지!$D165,코드설정!$B$5:$B$21,업무일지!$E165)=0),"세부유형이 직무구분과 불일치; ",""))&amp;IF(AND(업무일지!$F165&lt;&gt;"",COUNTIF(사건마스터!$A$5:$A$64,업무일지!$F165)=0),"미등록 사건번호; ","")&amp;IF(AND(업무일지!$F165="",업무일지!$H165=""),"사건번호·업무명 모두 없음; ","")&amp;IF(업무일지!$J165="","담당자 없음; ","")&amp;IF(COUNTIF(코드설정!$F$5:$F$7,업무일지!$AG165)=0,"진행상태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"&amp;업무일지!$H166)</f>
        <v/>
      </c>
      <c r="D198" s="45">
        <f>IF(NOT(COUNTBLANK(업무일지!$B166:$AH166)&lt;33),"",TRIM(IF(업무일지!$B166="","시작일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","")&amp;IF(COUNTIF(코드설정!$H$5:$H$7,업무일지!$D166)=0,"직무구분 누락; ","")&amp;IF(업무일지!$E166="","세부유형 누락; ",IF(AND(업무일지!$D166&lt;&gt;"",COUNTIFS(코드설정!$A$5:$A$21,업무일지!$D166,코드설정!$B$5:$B$21,업무일지!$E166)=0),"세부유형이 직무구분과 불일치; ",""))&amp;IF(AND(업무일지!$F166&lt;&gt;"",COUNTIF(사건마스터!$A$5:$A$64,업무일지!$F166)=0),"미등록 사건번호; ","")&amp;IF(AND(업무일지!$F166="",업무일지!$H166=""),"사건번호·업무명 모두 없음; ","")&amp;IF(업무일지!$J166="","담당자 없음; ","")&amp;IF(COUNTIF(코드설정!$F$5:$F$7,업무일지!$AG166)=0,"진행상태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"&amp;업무일지!$H167)</f>
        <v/>
      </c>
      <c r="D199" s="45">
        <f>IF(NOT(COUNTBLANK(업무일지!$B167:$AH167)&lt;33),"",TRIM(IF(업무일지!$B167="","시작일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","")&amp;IF(COUNTIF(코드설정!$H$5:$H$7,업무일지!$D167)=0,"직무구분 누락; ","")&amp;IF(업무일지!$E167="","세부유형 누락; ",IF(AND(업무일지!$D167&lt;&gt;"",COUNTIFS(코드설정!$A$5:$A$21,업무일지!$D167,코드설정!$B$5:$B$21,업무일지!$E167)=0),"세부유형이 직무구분과 불일치; ",""))&amp;IF(AND(업무일지!$F167&lt;&gt;"",COUNTIF(사건마스터!$A$5:$A$64,업무일지!$F167)=0),"미등록 사건번호; ","")&amp;IF(AND(업무일지!$F167="",업무일지!$H167=""),"사건번호·업무명 모두 없음; ","")&amp;IF(업무일지!$J167="","담당자 없음; ","")&amp;IF(COUNTIF(코드설정!$F$5:$F$7,업무일지!$AG167)=0,"진행상태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"&amp;업무일지!$H168)</f>
        <v/>
      </c>
      <c r="D200" s="45">
        <f>IF(NOT(COUNTBLANK(업무일지!$B168:$AH168)&lt;33),"",TRIM(IF(업무일지!$B168="","시작일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","")&amp;IF(COUNTIF(코드설정!$H$5:$H$7,업무일지!$D168)=0,"직무구분 누락; ","")&amp;IF(업무일지!$E168="","세부유형 누락; ",IF(AND(업무일지!$D168&lt;&gt;"",COUNTIFS(코드설정!$A$5:$A$21,업무일지!$D168,코드설정!$B$5:$B$21,업무일지!$E168)=0),"세부유형이 직무구분과 불일치; ",""))&amp;IF(AND(업무일지!$F168&lt;&gt;"",COUNTIF(사건마스터!$A$5:$A$64,업무일지!$F168)=0),"미등록 사건번호; ","")&amp;IF(AND(업무일지!$F168="",업무일지!$H168=""),"사건번호·업무명 모두 없음; ","")&amp;IF(업무일지!$J168="","담당자 없음; ","")&amp;IF(COUNTIF(코드설정!$F$5:$F$7,업무일지!$AG168)=0,"진행상태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"&amp;업무일지!$H169)</f>
        <v/>
      </c>
      <c r="D201" s="45">
        <f>IF(NOT(COUNTBLANK(업무일지!$B169:$AH169)&lt;33),"",TRIM(IF(업무일지!$B169="","시작일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","")&amp;IF(COUNTIF(코드설정!$H$5:$H$7,업무일지!$D169)=0,"직무구분 누락; ","")&amp;IF(업무일지!$E169="","세부유형 누락; ",IF(AND(업무일지!$D169&lt;&gt;"",COUNTIFS(코드설정!$A$5:$A$21,업무일지!$D169,코드설정!$B$5:$B$21,업무일지!$E169)=0),"세부유형이 직무구분과 불일치; ",""))&amp;IF(AND(업무일지!$F169&lt;&gt;"",COUNTIF(사건마스터!$A$5:$A$64,업무일지!$F169)=0),"미등록 사건번호; ","")&amp;IF(AND(업무일지!$F169="",업무일지!$H169=""),"사건번호·업무명 모두 없음; ","")&amp;IF(업무일지!$J169="","담당자 없음; ","")&amp;IF(COUNTIF(코드설정!$F$5:$F$7,업무일지!$AG169)=0,"진행상태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"&amp;업무일지!$H170)</f>
        <v/>
      </c>
      <c r="D202" s="45">
        <f>IF(NOT(COUNTBLANK(업무일지!$B170:$AH170)&lt;33),"",TRIM(IF(업무일지!$B170="","시작일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","")&amp;IF(COUNTIF(코드설정!$H$5:$H$7,업무일지!$D170)=0,"직무구분 누락; ","")&amp;IF(업무일지!$E170="","세부유형 누락; ",IF(AND(업무일지!$D170&lt;&gt;"",COUNTIFS(코드설정!$A$5:$A$21,업무일지!$D170,코드설정!$B$5:$B$21,업무일지!$E170)=0),"세부유형이 직무구분과 불일치; ",""))&amp;IF(AND(업무일지!$F170&lt;&gt;"",COUNTIF(사건마스터!$A$5:$A$64,업무일지!$F170)=0),"미등록 사건번호; ","")&amp;IF(AND(업무일지!$F170="",업무일지!$H170=""),"사건번호·업무명 모두 없음; ","")&amp;IF(업무일지!$J170="","담당자 없음; ","")&amp;IF(COUNTIF(코드설정!$F$5:$F$7,업무일지!$AG170)=0,"진행상태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"&amp;업무일지!$H171)</f>
        <v/>
      </c>
      <c r="D203" s="45">
        <f>IF(NOT(COUNTBLANK(업무일지!$B171:$AH171)&lt;33),"",TRIM(IF(업무일지!$B171="","시작일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","")&amp;IF(COUNTIF(코드설정!$H$5:$H$7,업무일지!$D171)=0,"직무구분 누락; ","")&amp;IF(업무일지!$E171="","세부유형 누락; ",IF(AND(업무일지!$D171&lt;&gt;"",COUNTIFS(코드설정!$A$5:$A$21,업무일지!$D171,코드설정!$B$5:$B$21,업무일지!$E171)=0),"세부유형이 직무구분과 불일치; ",""))&amp;IF(AND(업무일지!$F171&lt;&gt;"",COUNTIF(사건마스터!$A$5:$A$64,업무일지!$F171)=0),"미등록 사건번호; ","")&amp;IF(AND(업무일지!$F171="",업무일지!$H171=""),"사건번호·업무명 모두 없음; ","")&amp;IF(업무일지!$J171="","담당자 없음; ","")&amp;IF(COUNTIF(코드설정!$F$5:$F$7,업무일지!$AG171)=0,"진행상태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"&amp;업무일지!$H172)</f>
        <v/>
      </c>
      <c r="D204" s="45">
        <f>IF(NOT(COUNTBLANK(업무일지!$B172:$AH172)&lt;33),"",TRIM(IF(업무일지!$B172="","시작일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","")&amp;IF(COUNTIF(코드설정!$H$5:$H$7,업무일지!$D172)=0,"직무구분 누락; ","")&amp;IF(업무일지!$E172="","세부유형 누락; ",IF(AND(업무일지!$D172&lt;&gt;"",COUNTIFS(코드설정!$A$5:$A$21,업무일지!$D172,코드설정!$B$5:$B$21,업무일지!$E172)=0),"세부유형이 직무구분과 불일치; ",""))&amp;IF(AND(업무일지!$F172&lt;&gt;"",COUNTIF(사건마스터!$A$5:$A$64,업무일지!$F172)=0),"미등록 사건번호; ","")&amp;IF(AND(업무일지!$F172="",업무일지!$H172=""),"사건번호·업무명 모두 없음; ","")&amp;IF(업무일지!$J172="","담당자 없음; ","")&amp;IF(COUNTIF(코드설정!$F$5:$F$7,업무일지!$AG172)=0,"진행상태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"&amp;업무일지!$H173)</f>
        <v/>
      </c>
      <c r="D205" s="45">
        <f>IF(NOT(COUNTBLANK(업무일지!$B173:$AH173)&lt;33),"",TRIM(IF(업무일지!$B173="","시작일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","")&amp;IF(COUNTIF(코드설정!$H$5:$H$7,업무일지!$D173)=0,"직무구분 누락; ","")&amp;IF(업무일지!$E173="","세부유형 누락; ",IF(AND(업무일지!$D173&lt;&gt;"",COUNTIFS(코드설정!$A$5:$A$21,업무일지!$D173,코드설정!$B$5:$B$21,업무일지!$E173)=0),"세부유형이 직무구분과 불일치; ",""))&amp;IF(AND(업무일지!$F173&lt;&gt;"",COUNTIF(사건마스터!$A$5:$A$64,업무일지!$F173)=0),"미등록 사건번호; ","")&amp;IF(AND(업무일지!$F173="",업무일지!$H173=""),"사건번호·업무명 모두 없음; ","")&amp;IF(업무일지!$J173="","담당자 없음; ","")&amp;IF(COUNTIF(코드설정!$F$5:$F$7,업무일지!$AG173)=0,"진행상태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"&amp;업무일지!$H174)</f>
        <v/>
      </c>
      <c r="D206" s="45">
        <f>IF(NOT(COUNTBLANK(업무일지!$B174:$AH174)&lt;33),"",TRIM(IF(업무일지!$B174="","시작일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","")&amp;IF(COUNTIF(코드설정!$H$5:$H$7,업무일지!$D174)=0,"직무구분 누락; ","")&amp;IF(업무일지!$E174="","세부유형 누락; ",IF(AND(업무일지!$D174&lt;&gt;"",COUNTIFS(코드설정!$A$5:$A$21,업무일지!$D174,코드설정!$B$5:$B$21,업무일지!$E174)=0),"세부유형이 직무구분과 불일치; ",""))&amp;IF(AND(업무일지!$F174&lt;&gt;"",COUNTIF(사건마스터!$A$5:$A$64,업무일지!$F174)=0),"미등록 사건번호; ","")&amp;IF(AND(업무일지!$F174="",업무일지!$H174=""),"사건번호·업무명 모두 없음; ","")&amp;IF(업무일지!$J174="","담당자 없음; ","")&amp;IF(COUNTIF(코드설정!$F$5:$F$7,업무일지!$AG174)=0,"진행상태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"&amp;업무일지!$H175)</f>
        <v/>
      </c>
      <c r="D207" s="45">
        <f>IF(NOT(COUNTBLANK(업무일지!$B175:$AH175)&lt;33),"",TRIM(IF(업무일지!$B175="","시작일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","")&amp;IF(COUNTIF(코드설정!$H$5:$H$7,업무일지!$D175)=0,"직무구분 누락; ","")&amp;IF(업무일지!$E175="","세부유형 누락; ",IF(AND(업무일지!$D175&lt;&gt;"",COUNTIFS(코드설정!$A$5:$A$21,업무일지!$D175,코드설정!$B$5:$B$21,업무일지!$E175)=0),"세부유형이 직무구분과 불일치; ",""))&amp;IF(AND(업무일지!$F175&lt;&gt;"",COUNTIF(사건마스터!$A$5:$A$64,업무일지!$F175)=0),"미등록 사건번호; ","")&amp;IF(AND(업무일지!$F175="",업무일지!$H175=""),"사건번호·업무명 모두 없음; ","")&amp;IF(업무일지!$J175="","담당자 없음; ","")&amp;IF(COUNTIF(코드설정!$F$5:$F$7,업무일지!$AG175)=0,"진행상태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"&amp;업무일지!$H176)</f>
        <v/>
      </c>
      <c r="D208" s="45">
        <f>IF(NOT(COUNTBLANK(업무일지!$B176:$AH176)&lt;33),"",TRIM(IF(업무일지!$B176="","시작일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","")&amp;IF(COUNTIF(코드설정!$H$5:$H$7,업무일지!$D176)=0,"직무구분 누락; ","")&amp;IF(업무일지!$E176="","세부유형 누락; ",IF(AND(업무일지!$D176&lt;&gt;"",COUNTIFS(코드설정!$A$5:$A$21,업무일지!$D176,코드설정!$B$5:$B$21,업무일지!$E176)=0),"세부유형이 직무구분과 불일치; ",""))&amp;IF(AND(업무일지!$F176&lt;&gt;"",COUNTIF(사건마스터!$A$5:$A$64,업무일지!$F176)=0),"미등록 사건번호; ","")&amp;IF(AND(업무일지!$F176="",업무일지!$H176=""),"사건번호·업무명 모두 없음; ","")&amp;IF(업무일지!$J176="","담당자 없음; ","")&amp;IF(COUNTIF(코드설정!$F$5:$F$7,업무일지!$AG176)=0,"진행상태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"&amp;업무일지!$H177)</f>
        <v/>
      </c>
      <c r="D209" s="45">
        <f>IF(NOT(COUNTBLANK(업무일지!$B177:$AH177)&lt;33),"",TRIM(IF(업무일지!$B177="","시작일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","")&amp;IF(COUNTIF(코드설정!$H$5:$H$7,업무일지!$D177)=0,"직무구분 누락; ","")&amp;IF(업무일지!$E177="","세부유형 누락; ",IF(AND(업무일지!$D177&lt;&gt;"",COUNTIFS(코드설정!$A$5:$A$21,업무일지!$D177,코드설정!$B$5:$B$21,업무일지!$E177)=0),"세부유형이 직무구분과 불일치; ",""))&amp;IF(AND(업무일지!$F177&lt;&gt;"",COUNTIF(사건마스터!$A$5:$A$64,업무일지!$F177)=0),"미등록 사건번호; ","")&amp;IF(AND(업무일지!$F177="",업무일지!$H177=""),"사건번호·업무명 모두 없음; ","")&amp;IF(업무일지!$J177="","담당자 없음; ","")&amp;IF(COUNTIF(코드설정!$F$5:$F$7,업무일지!$AG177)=0,"진행상태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"&amp;업무일지!$H178)</f>
        <v/>
      </c>
      <c r="D210" s="45">
        <f>IF(NOT(COUNTBLANK(업무일지!$B178:$AH178)&lt;33),"",TRIM(IF(업무일지!$B178="","시작일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","")&amp;IF(COUNTIF(코드설정!$H$5:$H$7,업무일지!$D178)=0,"직무구분 누락; ","")&amp;IF(업무일지!$E178="","세부유형 누락; ",IF(AND(업무일지!$D178&lt;&gt;"",COUNTIFS(코드설정!$A$5:$A$21,업무일지!$D178,코드설정!$B$5:$B$21,업무일지!$E178)=0),"세부유형이 직무구분과 불일치; ",""))&amp;IF(AND(업무일지!$F178&lt;&gt;"",COUNTIF(사건마스터!$A$5:$A$64,업무일지!$F178)=0),"미등록 사건번호; ","")&amp;IF(AND(업무일지!$F178="",업무일지!$H178=""),"사건번호·업무명 모두 없음; ","")&amp;IF(업무일지!$J178="","담당자 없음; ","")&amp;IF(COUNTIF(코드설정!$F$5:$F$7,업무일지!$AG178)=0,"진행상태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"&amp;업무일지!$H179)</f>
        <v/>
      </c>
      <c r="D211" s="45">
        <f>IF(NOT(COUNTBLANK(업무일지!$B179:$AH179)&lt;33),"",TRIM(IF(업무일지!$B179="","시작일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","")&amp;IF(COUNTIF(코드설정!$H$5:$H$7,업무일지!$D179)=0,"직무구분 누락; ","")&amp;IF(업무일지!$E179="","세부유형 누락; ",IF(AND(업무일지!$D179&lt;&gt;"",COUNTIFS(코드설정!$A$5:$A$21,업무일지!$D179,코드설정!$B$5:$B$21,업무일지!$E179)=0),"세부유형이 직무구분과 불일치; ",""))&amp;IF(AND(업무일지!$F179&lt;&gt;"",COUNTIF(사건마스터!$A$5:$A$64,업무일지!$F179)=0),"미등록 사건번호; ","")&amp;IF(AND(업무일지!$F179="",업무일지!$H179=""),"사건번호·업무명 모두 없음; ","")&amp;IF(업무일지!$J179="","담당자 없음; ","")&amp;IF(COUNTIF(코드설정!$F$5:$F$7,업무일지!$AG179)=0,"진행상태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"&amp;업무일지!$H180)</f>
        <v/>
      </c>
      <c r="D212" s="45">
        <f>IF(NOT(COUNTBLANK(업무일지!$B180:$AH180)&lt;33),"",TRIM(IF(업무일지!$B180="","시작일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","")&amp;IF(COUNTIF(코드설정!$H$5:$H$7,업무일지!$D180)=0,"직무구분 누락; ","")&amp;IF(업무일지!$E180="","세부유형 누락; ",IF(AND(업무일지!$D180&lt;&gt;"",COUNTIFS(코드설정!$A$5:$A$21,업무일지!$D180,코드설정!$B$5:$B$21,업무일지!$E180)=0),"세부유형이 직무구분과 불일치; ",""))&amp;IF(AND(업무일지!$F180&lt;&gt;"",COUNTIF(사건마스터!$A$5:$A$64,업무일지!$F180)=0),"미등록 사건번호; ","")&amp;IF(AND(업무일지!$F180="",업무일지!$H180=""),"사건번호·업무명 모두 없음; ","")&amp;IF(업무일지!$J180="","담당자 없음; ","")&amp;IF(COUNTIF(코드설정!$F$5:$F$7,업무일지!$AG180)=0,"진행상태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"&amp;업무일지!$H181)</f>
        <v/>
      </c>
      <c r="D213" s="45">
        <f>IF(NOT(COUNTBLANK(업무일지!$B181:$AH181)&lt;33),"",TRIM(IF(업무일지!$B181="","시작일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","")&amp;IF(COUNTIF(코드설정!$H$5:$H$7,업무일지!$D181)=0,"직무구분 누락; ","")&amp;IF(업무일지!$E181="","세부유형 누락; ",IF(AND(업무일지!$D181&lt;&gt;"",COUNTIFS(코드설정!$A$5:$A$21,업무일지!$D181,코드설정!$B$5:$B$21,업무일지!$E181)=0),"세부유형이 직무구분과 불일치; ",""))&amp;IF(AND(업무일지!$F181&lt;&gt;"",COUNTIF(사건마스터!$A$5:$A$64,업무일지!$F181)=0),"미등록 사건번호; ","")&amp;IF(AND(업무일지!$F181="",업무일지!$H181=""),"사건번호·업무명 모두 없음; ","")&amp;IF(업무일지!$J181="","담당자 없음; ","")&amp;IF(COUNTIF(코드설정!$F$5:$F$7,업무일지!$AG181)=0,"진행상태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"&amp;업무일지!$H182)</f>
        <v/>
      </c>
      <c r="D214" s="45">
        <f>IF(NOT(COUNTBLANK(업무일지!$B182:$AH182)&lt;33),"",TRIM(IF(업무일지!$B182="","시작일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","")&amp;IF(COUNTIF(코드설정!$H$5:$H$7,업무일지!$D182)=0,"직무구분 누락; ","")&amp;IF(업무일지!$E182="","세부유형 누락; ",IF(AND(업무일지!$D182&lt;&gt;"",COUNTIFS(코드설정!$A$5:$A$21,업무일지!$D182,코드설정!$B$5:$B$21,업무일지!$E182)=0),"세부유형이 직무구분과 불일치; ",""))&amp;IF(AND(업무일지!$F182&lt;&gt;"",COUNTIF(사건마스터!$A$5:$A$64,업무일지!$F182)=0),"미등록 사건번호; ","")&amp;IF(AND(업무일지!$F182="",업무일지!$H182=""),"사건번호·업무명 모두 없음; ","")&amp;IF(업무일지!$J182="","담당자 없음; ","")&amp;IF(COUNTIF(코드설정!$F$5:$F$7,업무일지!$AG182)=0,"진행상태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"&amp;업무일지!$H183)</f>
        <v/>
      </c>
      <c r="D215" s="45">
        <f>IF(NOT(COUNTBLANK(업무일지!$B183:$AH183)&lt;33),"",TRIM(IF(업무일지!$B183="","시작일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","")&amp;IF(COUNTIF(코드설정!$H$5:$H$7,업무일지!$D183)=0,"직무구분 누락; ","")&amp;IF(업무일지!$E183="","세부유형 누락; ",IF(AND(업무일지!$D183&lt;&gt;"",COUNTIFS(코드설정!$A$5:$A$21,업무일지!$D183,코드설정!$B$5:$B$21,업무일지!$E183)=0),"세부유형이 직무구분과 불일치; ",""))&amp;IF(AND(업무일지!$F183&lt;&gt;"",COUNTIF(사건마스터!$A$5:$A$64,업무일지!$F183)=0),"미등록 사건번호; ","")&amp;IF(AND(업무일지!$F183="",업무일지!$H183=""),"사건번호·업무명 모두 없음; ","")&amp;IF(업무일지!$J183="","담당자 없음; ","")&amp;IF(COUNTIF(코드설정!$F$5:$F$7,업무일지!$AG183)=0,"진행상태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"&amp;업무일지!$H184)</f>
        <v/>
      </c>
      <c r="D216" s="45">
        <f>IF(NOT(COUNTBLANK(업무일지!$B184:$AH184)&lt;33),"",TRIM(IF(업무일지!$B184="","시작일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","")&amp;IF(COUNTIF(코드설정!$H$5:$H$7,업무일지!$D184)=0,"직무구분 누락; ","")&amp;IF(업무일지!$E184="","세부유형 누락; ",IF(AND(업무일지!$D184&lt;&gt;"",COUNTIFS(코드설정!$A$5:$A$21,업무일지!$D184,코드설정!$B$5:$B$21,업무일지!$E184)=0),"세부유형이 직무구분과 불일치; ",""))&amp;IF(AND(업무일지!$F184&lt;&gt;"",COUNTIF(사건마스터!$A$5:$A$64,업무일지!$F184)=0),"미등록 사건번호; ","")&amp;IF(AND(업무일지!$F184="",업무일지!$H184=""),"사건번호·업무명 모두 없음; ","")&amp;IF(업무일지!$J184="","담당자 없음; ","")&amp;IF(COUNTIF(코드설정!$F$5:$F$7,업무일지!$AG184)=0,"진행상태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"&amp;업무일지!$H185)</f>
        <v/>
      </c>
      <c r="D217" s="45">
        <f>IF(NOT(COUNTBLANK(업무일지!$B185:$AH185)&lt;33),"",TRIM(IF(업무일지!$B185="","시작일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","")&amp;IF(COUNTIF(코드설정!$H$5:$H$7,업무일지!$D185)=0,"직무구분 누락; ","")&amp;IF(업무일지!$E185="","세부유형 누락; ",IF(AND(업무일지!$D185&lt;&gt;"",COUNTIFS(코드설정!$A$5:$A$21,업무일지!$D185,코드설정!$B$5:$B$21,업무일지!$E185)=0),"세부유형이 직무구분과 불일치; ",""))&amp;IF(AND(업무일지!$F185&lt;&gt;"",COUNTIF(사건마스터!$A$5:$A$64,업무일지!$F185)=0),"미등록 사건번호; ","")&amp;IF(AND(업무일지!$F185="",업무일지!$H185=""),"사건번호·업무명 모두 없음; ","")&amp;IF(업무일지!$J185="","담당자 없음; ","")&amp;IF(COUNTIF(코드설정!$F$5:$F$7,업무일지!$AG185)=0,"진행상태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"&amp;업무일지!$H186)</f>
        <v/>
      </c>
      <c r="D218" s="45">
        <f>IF(NOT(COUNTBLANK(업무일지!$B186:$AH186)&lt;33),"",TRIM(IF(업무일지!$B186="","시작일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","")&amp;IF(COUNTIF(코드설정!$H$5:$H$7,업무일지!$D186)=0,"직무구분 누락; ","")&amp;IF(업무일지!$E186="","세부유형 누락; ",IF(AND(업무일지!$D186&lt;&gt;"",COUNTIFS(코드설정!$A$5:$A$21,업무일지!$D186,코드설정!$B$5:$B$21,업무일지!$E186)=0),"세부유형이 직무구분과 불일치; ",""))&amp;IF(AND(업무일지!$F186&lt;&gt;"",COUNTIF(사건마스터!$A$5:$A$64,업무일지!$F186)=0),"미등록 사건번호; ","")&amp;IF(AND(업무일지!$F186="",업무일지!$H186=""),"사건번호·업무명 모두 없음; ","")&amp;IF(업무일지!$J186="","담당자 없음; ","")&amp;IF(COUNTIF(코드설정!$F$5:$F$7,업무일지!$AG186)=0,"진행상태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"&amp;업무일지!$H187)</f>
        <v/>
      </c>
      <c r="D219" s="45">
        <f>IF(NOT(COUNTBLANK(업무일지!$B187:$AH187)&lt;33),"",TRIM(IF(업무일지!$B187="","시작일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","")&amp;IF(COUNTIF(코드설정!$H$5:$H$7,업무일지!$D187)=0,"직무구분 누락; ","")&amp;IF(업무일지!$E187="","세부유형 누락; ",IF(AND(업무일지!$D187&lt;&gt;"",COUNTIFS(코드설정!$A$5:$A$21,업무일지!$D187,코드설정!$B$5:$B$21,업무일지!$E187)=0),"세부유형이 직무구분과 불일치; ",""))&amp;IF(AND(업무일지!$F187&lt;&gt;"",COUNTIF(사건마스터!$A$5:$A$64,업무일지!$F187)=0),"미등록 사건번호; ","")&amp;IF(AND(업무일지!$F187="",업무일지!$H187=""),"사건번호·업무명 모두 없음; ","")&amp;IF(업무일지!$J187="","담당자 없음; ","")&amp;IF(COUNTIF(코드설정!$F$5:$F$7,업무일지!$AG187)=0,"진행상태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"&amp;업무일지!$H188)</f>
        <v/>
      </c>
      <c r="D220" s="45">
        <f>IF(NOT(COUNTBLANK(업무일지!$B188:$AH188)&lt;33),"",TRIM(IF(업무일지!$B188="","시작일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","")&amp;IF(COUNTIF(코드설정!$H$5:$H$7,업무일지!$D188)=0,"직무구분 누락; ","")&amp;IF(업무일지!$E188="","세부유형 누락; ",IF(AND(업무일지!$D188&lt;&gt;"",COUNTIFS(코드설정!$A$5:$A$21,업무일지!$D188,코드설정!$B$5:$B$21,업무일지!$E188)=0),"세부유형이 직무구분과 불일치; ",""))&amp;IF(AND(업무일지!$F188&lt;&gt;"",COUNTIF(사건마스터!$A$5:$A$64,업무일지!$F188)=0),"미등록 사건번호; ","")&amp;IF(AND(업무일지!$F188="",업무일지!$H188=""),"사건번호·업무명 모두 없음; ","")&amp;IF(업무일지!$J188="","담당자 없음; ","")&amp;IF(COUNTIF(코드설정!$F$5:$F$7,업무일지!$AG188)=0,"진행상태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"&amp;업무일지!$H189)</f>
        <v/>
      </c>
      <c r="D221" s="45">
        <f>IF(NOT(COUNTBLANK(업무일지!$B189:$AH189)&lt;33),"",TRIM(IF(업무일지!$B189="","시작일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","")&amp;IF(COUNTIF(코드설정!$H$5:$H$7,업무일지!$D189)=0,"직무구분 누락; ","")&amp;IF(업무일지!$E189="","세부유형 누락; ",IF(AND(업무일지!$D189&lt;&gt;"",COUNTIFS(코드설정!$A$5:$A$21,업무일지!$D189,코드설정!$B$5:$B$21,업무일지!$E189)=0),"세부유형이 직무구분과 불일치; ",""))&amp;IF(AND(업무일지!$F189&lt;&gt;"",COUNTIF(사건마스터!$A$5:$A$64,업무일지!$F189)=0),"미등록 사건번호; ","")&amp;IF(AND(업무일지!$F189="",업무일지!$H189=""),"사건번호·업무명 모두 없음; ","")&amp;IF(업무일지!$J189="","담당자 없음; ","")&amp;IF(COUNTIF(코드설정!$F$5:$F$7,업무일지!$AG189)=0,"진행상태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"&amp;업무일지!$H190)</f>
        <v/>
      </c>
      <c r="D222" s="45">
        <f>IF(NOT(COUNTBLANK(업무일지!$B190:$AH190)&lt;33),"",TRIM(IF(업무일지!$B190="","시작일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","")&amp;IF(COUNTIF(코드설정!$H$5:$H$7,업무일지!$D190)=0,"직무구분 누락; ","")&amp;IF(업무일지!$E190="","세부유형 누락; ",IF(AND(업무일지!$D190&lt;&gt;"",COUNTIFS(코드설정!$A$5:$A$21,업무일지!$D190,코드설정!$B$5:$B$21,업무일지!$E190)=0),"세부유형이 직무구분과 불일치; ",""))&amp;IF(AND(업무일지!$F190&lt;&gt;"",COUNTIF(사건마스터!$A$5:$A$64,업무일지!$F190)=0),"미등록 사건번호; ","")&amp;IF(AND(업무일지!$F190="",업무일지!$H190=""),"사건번호·업무명 모두 없음; ","")&amp;IF(업무일지!$J190="","담당자 없음; ","")&amp;IF(COUNTIF(코드설정!$F$5:$F$7,업무일지!$AG190)=0,"진행상태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"&amp;업무일지!$H191)</f>
        <v/>
      </c>
      <c r="D223" s="45">
        <f>IF(NOT(COUNTBLANK(업무일지!$B191:$AH191)&lt;33),"",TRIM(IF(업무일지!$B191="","시작일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","")&amp;IF(COUNTIF(코드설정!$H$5:$H$7,업무일지!$D191)=0,"직무구분 누락; ","")&amp;IF(업무일지!$E191="","세부유형 누락; ",IF(AND(업무일지!$D191&lt;&gt;"",COUNTIFS(코드설정!$A$5:$A$21,업무일지!$D191,코드설정!$B$5:$B$21,업무일지!$E191)=0),"세부유형이 직무구분과 불일치; ",""))&amp;IF(AND(업무일지!$F191&lt;&gt;"",COUNTIF(사건마스터!$A$5:$A$64,업무일지!$F191)=0),"미등록 사건번호; ","")&amp;IF(AND(업무일지!$F191="",업무일지!$H191=""),"사건번호·업무명 모두 없음; ","")&amp;IF(업무일지!$J191="","담당자 없음; ","")&amp;IF(COUNTIF(코드설정!$F$5:$F$7,업무일지!$AG191)=0,"진행상태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"&amp;업무일지!$H192)</f>
        <v/>
      </c>
      <c r="D224" s="45">
        <f>IF(NOT(COUNTBLANK(업무일지!$B192:$AH192)&lt;33),"",TRIM(IF(업무일지!$B192="","시작일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","")&amp;IF(COUNTIF(코드설정!$H$5:$H$7,업무일지!$D192)=0,"직무구분 누락; ","")&amp;IF(업무일지!$E192="","세부유형 누락; ",IF(AND(업무일지!$D192&lt;&gt;"",COUNTIFS(코드설정!$A$5:$A$21,업무일지!$D192,코드설정!$B$5:$B$21,업무일지!$E192)=0),"세부유형이 직무구분과 불일치; ",""))&amp;IF(AND(업무일지!$F192&lt;&gt;"",COUNTIF(사건마스터!$A$5:$A$64,업무일지!$F192)=0),"미등록 사건번호; ","")&amp;IF(AND(업무일지!$F192="",업무일지!$H192=""),"사건번호·업무명 모두 없음; ","")&amp;IF(업무일지!$J192="","담당자 없음; ","")&amp;IF(COUNTIF(코드설정!$F$5:$F$7,업무일지!$AG192)=0,"진행상태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"&amp;업무일지!$H193)</f>
        <v/>
      </c>
      <c r="D225" s="45">
        <f>IF(NOT(COUNTBLANK(업무일지!$B193:$AH193)&lt;33),"",TRIM(IF(업무일지!$B193="","시작일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","")&amp;IF(COUNTIF(코드설정!$H$5:$H$7,업무일지!$D193)=0,"직무구분 누락; ","")&amp;IF(업무일지!$E193="","세부유형 누락; ",IF(AND(업무일지!$D193&lt;&gt;"",COUNTIFS(코드설정!$A$5:$A$21,업무일지!$D193,코드설정!$B$5:$B$21,업무일지!$E193)=0),"세부유형이 직무구분과 불일치; ",""))&amp;IF(AND(업무일지!$F193&lt;&gt;"",COUNTIF(사건마스터!$A$5:$A$64,업무일지!$F193)=0),"미등록 사건번호; ","")&amp;IF(AND(업무일지!$F193="",업무일지!$H193=""),"사건번호·업무명 모두 없음; ","")&amp;IF(업무일지!$J193="","담당자 없음; ","")&amp;IF(COUNTIF(코드설정!$F$5:$F$7,업무일지!$AG193)=0,"진행상태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"&amp;업무일지!$H194)</f>
        <v/>
      </c>
      <c r="D226" s="45">
        <f>IF(NOT(COUNTBLANK(업무일지!$B194:$AH194)&lt;33),"",TRIM(IF(업무일지!$B194="","시작일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","")&amp;IF(COUNTIF(코드설정!$H$5:$H$7,업무일지!$D194)=0,"직무구분 누락; ","")&amp;IF(업무일지!$E194="","세부유형 누락; ",IF(AND(업무일지!$D194&lt;&gt;"",COUNTIFS(코드설정!$A$5:$A$21,업무일지!$D194,코드설정!$B$5:$B$21,업무일지!$E194)=0),"세부유형이 직무구분과 불일치; ",""))&amp;IF(AND(업무일지!$F194&lt;&gt;"",COUNTIF(사건마스터!$A$5:$A$64,업무일지!$F194)=0),"미등록 사건번호; ","")&amp;IF(AND(업무일지!$F194="",업무일지!$H194=""),"사건번호·업무명 모두 없음; ","")&amp;IF(업무일지!$J194="","담당자 없음; ","")&amp;IF(COUNTIF(코드설정!$F$5:$F$7,업무일지!$AG194)=0,"진행상태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"&amp;업무일지!$H195)</f>
        <v/>
      </c>
      <c r="D227" s="45">
        <f>IF(NOT(COUNTBLANK(업무일지!$B195:$AH195)&lt;33),"",TRIM(IF(업무일지!$B195="","시작일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","")&amp;IF(COUNTIF(코드설정!$H$5:$H$7,업무일지!$D195)=0,"직무구분 누락; ","")&amp;IF(업무일지!$E195="","세부유형 누락; ",IF(AND(업무일지!$D195&lt;&gt;"",COUNTIFS(코드설정!$A$5:$A$21,업무일지!$D195,코드설정!$B$5:$B$21,업무일지!$E195)=0),"세부유형이 직무구분과 불일치; ",""))&amp;IF(AND(업무일지!$F195&lt;&gt;"",COUNTIF(사건마스터!$A$5:$A$64,업무일지!$F195)=0),"미등록 사건번호; ","")&amp;IF(AND(업무일지!$F195="",업무일지!$H195=""),"사건번호·업무명 모두 없음; ","")&amp;IF(업무일지!$J195="","담당자 없음; ","")&amp;IF(COUNTIF(코드설정!$F$5:$F$7,업무일지!$AG195)=0,"진행상태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"&amp;업무일지!$H196)</f>
        <v/>
      </c>
      <c r="D228" s="45">
        <f>IF(NOT(COUNTBLANK(업무일지!$B196:$AH196)&lt;33),"",TRIM(IF(업무일지!$B196="","시작일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","")&amp;IF(COUNTIF(코드설정!$H$5:$H$7,업무일지!$D196)=0,"직무구분 누락; ","")&amp;IF(업무일지!$E196="","세부유형 누락; ",IF(AND(업무일지!$D196&lt;&gt;"",COUNTIFS(코드설정!$A$5:$A$21,업무일지!$D196,코드설정!$B$5:$B$21,업무일지!$E196)=0),"세부유형이 직무구분과 불일치; ",""))&amp;IF(AND(업무일지!$F196&lt;&gt;"",COUNTIF(사건마스터!$A$5:$A$64,업무일지!$F196)=0),"미등록 사건번호; ","")&amp;IF(AND(업무일지!$F196="",업무일지!$H196=""),"사건번호·업무명 모두 없음; ","")&amp;IF(업무일지!$J196="","담당자 없음; ","")&amp;IF(COUNTIF(코드설정!$F$5:$F$7,업무일지!$AG196)=0,"진행상태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"&amp;업무일지!$H197)</f>
        <v/>
      </c>
      <c r="D229" s="45">
        <f>IF(NOT(COUNTBLANK(업무일지!$B197:$AH197)&lt;33),"",TRIM(IF(업무일지!$B197="","시작일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","")&amp;IF(COUNTIF(코드설정!$H$5:$H$7,업무일지!$D197)=0,"직무구분 누락; ","")&amp;IF(업무일지!$E197="","세부유형 누락; ",IF(AND(업무일지!$D197&lt;&gt;"",COUNTIFS(코드설정!$A$5:$A$21,업무일지!$D197,코드설정!$B$5:$B$21,업무일지!$E197)=0),"세부유형이 직무구분과 불일치; ",""))&amp;IF(AND(업무일지!$F197&lt;&gt;"",COUNTIF(사건마스터!$A$5:$A$64,업무일지!$F197)=0),"미등록 사건번호; ","")&amp;IF(AND(업무일지!$F197="",업무일지!$H197=""),"사건번호·업무명 모두 없음; ","")&amp;IF(업무일지!$J197="","담당자 없음; ","")&amp;IF(COUNTIF(코드설정!$F$5:$F$7,업무일지!$AG197)=0,"진행상태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"&amp;업무일지!$H198)</f>
        <v/>
      </c>
      <c r="D230" s="45">
        <f>IF(NOT(COUNTBLANK(업무일지!$B198:$AH198)&lt;33),"",TRIM(IF(업무일지!$B198="","시작일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","")&amp;IF(COUNTIF(코드설정!$H$5:$H$7,업무일지!$D198)=0,"직무구분 누락; ","")&amp;IF(업무일지!$E198="","세부유형 누락; ",IF(AND(업무일지!$D198&lt;&gt;"",COUNTIFS(코드설정!$A$5:$A$21,업무일지!$D198,코드설정!$B$5:$B$21,업무일지!$E198)=0),"세부유형이 직무구분과 불일치; ",""))&amp;IF(AND(업무일지!$F198&lt;&gt;"",COUNTIF(사건마스터!$A$5:$A$64,업무일지!$F198)=0),"미등록 사건번호; ","")&amp;IF(AND(업무일지!$F198="",업무일지!$H198=""),"사건번호·업무명 모두 없음; ","")&amp;IF(업무일지!$J198="","담당자 없음; ","")&amp;IF(COUNTIF(코드설정!$F$5:$F$7,업무일지!$AG198)=0,"진행상태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"&amp;업무일지!$H199)</f>
        <v/>
      </c>
      <c r="D231" s="45">
        <f>IF(NOT(COUNTBLANK(업무일지!$B199:$AH199)&lt;33),"",TRIM(IF(업무일지!$B199="","시작일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","")&amp;IF(COUNTIF(코드설정!$H$5:$H$7,업무일지!$D199)=0,"직무구분 누락; ","")&amp;IF(업무일지!$E199="","세부유형 누락; ",IF(AND(업무일지!$D199&lt;&gt;"",COUNTIFS(코드설정!$A$5:$A$21,업무일지!$D199,코드설정!$B$5:$B$21,업무일지!$E199)=0),"세부유형이 직무구분과 불일치; ",""))&amp;IF(AND(업무일지!$F199&lt;&gt;"",COUNTIF(사건마스터!$A$5:$A$64,업무일지!$F199)=0),"미등록 사건번호; ","")&amp;IF(AND(업무일지!$F199="",업무일지!$H199=""),"사건번호·업무명 모두 없음; ","")&amp;IF(업무일지!$J199="","담당자 없음; ","")&amp;IF(COUNTIF(코드설정!$F$5:$F$7,업무일지!$AG199)=0,"진행상태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"&amp;업무일지!$H200)</f>
        <v/>
      </c>
      <c r="D232" s="45">
        <f>IF(NOT(COUNTBLANK(업무일지!$B200:$AH200)&lt;33),"",TRIM(IF(업무일지!$B200="","시작일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","")&amp;IF(COUNTIF(코드설정!$H$5:$H$7,업무일지!$D200)=0,"직무구분 누락; ","")&amp;IF(업무일지!$E200="","세부유형 누락; ",IF(AND(업무일지!$D200&lt;&gt;"",COUNTIFS(코드설정!$A$5:$A$21,업무일지!$D200,코드설정!$B$5:$B$21,업무일지!$E200)=0),"세부유형이 직무구분과 불일치; ",""))&amp;IF(AND(업무일지!$F200&lt;&gt;"",COUNTIF(사건마스터!$A$5:$A$64,업무일지!$F200)=0),"미등록 사건번호; ","")&amp;IF(AND(업무일지!$F200="",업무일지!$H200=""),"사건번호·업무명 모두 없음; ","")&amp;IF(업무일지!$J200="","담당자 없음; ","")&amp;IF(COUNTIF(코드설정!$F$5:$F$7,업무일지!$AG200)=0,"진행상태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"&amp;업무일지!$H201)</f>
        <v/>
      </c>
      <c r="D233" s="45">
        <f>IF(NOT(COUNTBLANK(업무일지!$B201:$AH201)&lt;33),"",TRIM(IF(업무일지!$B201="","시작일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","")&amp;IF(COUNTIF(코드설정!$H$5:$H$7,업무일지!$D201)=0,"직무구분 누락; ","")&amp;IF(업무일지!$E201="","세부유형 누락; ",IF(AND(업무일지!$D201&lt;&gt;"",COUNTIFS(코드설정!$A$5:$A$21,업무일지!$D201,코드설정!$B$5:$B$21,업무일지!$E201)=0),"세부유형이 직무구분과 불일치; ",""))&amp;IF(AND(업무일지!$F201&lt;&gt;"",COUNTIF(사건마스터!$A$5:$A$64,업무일지!$F201)=0),"미등록 사건번호; ","")&amp;IF(AND(업무일지!$F201="",업무일지!$H201=""),"사건번호·업무명 모두 없음; ","")&amp;IF(업무일지!$J201="","담당자 없음; ","")&amp;IF(COUNTIF(코드설정!$F$5:$F$7,업무일지!$AG201)=0,"진행상태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"&amp;업무일지!$H202)</f>
        <v/>
      </c>
      <c r="D234" s="45">
        <f>IF(NOT(COUNTBLANK(업무일지!$B202:$AH202)&lt;33),"",TRIM(IF(업무일지!$B202="","시작일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","")&amp;IF(COUNTIF(코드설정!$H$5:$H$7,업무일지!$D202)=0,"직무구분 누락; ","")&amp;IF(업무일지!$E202="","세부유형 누락; ",IF(AND(업무일지!$D202&lt;&gt;"",COUNTIFS(코드설정!$A$5:$A$21,업무일지!$D202,코드설정!$B$5:$B$21,업무일지!$E202)=0),"세부유형이 직무구분과 불일치; ",""))&amp;IF(AND(업무일지!$F202&lt;&gt;"",COUNTIF(사건마스터!$A$5:$A$64,업무일지!$F202)=0),"미등록 사건번호; ","")&amp;IF(AND(업무일지!$F202="",업무일지!$H202=""),"사건번호·업무명 모두 없음; ","")&amp;IF(업무일지!$J202="","담당자 없음; ","")&amp;IF(COUNTIF(코드설정!$F$5:$F$7,업무일지!$AG202)=0,"진행상태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"&amp;업무일지!$H203)</f>
        <v/>
      </c>
      <c r="D235" s="45">
        <f>IF(NOT(COUNTBLANK(업무일지!$B203:$AH203)&lt;33),"",TRIM(IF(업무일지!$B203="","시작일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","")&amp;IF(COUNTIF(코드설정!$H$5:$H$7,업무일지!$D203)=0,"직무구분 누락; ","")&amp;IF(업무일지!$E203="","세부유형 누락; ",IF(AND(업무일지!$D203&lt;&gt;"",COUNTIFS(코드설정!$A$5:$A$21,업무일지!$D203,코드설정!$B$5:$B$21,업무일지!$E203)=0),"세부유형이 직무구분과 불일치; ",""))&amp;IF(AND(업무일지!$F203&lt;&gt;"",COUNTIF(사건마스터!$A$5:$A$64,업무일지!$F203)=0),"미등록 사건번호; ","")&amp;IF(AND(업무일지!$F203="",업무일지!$H203=""),"사건번호·업무명 모두 없음; ","")&amp;IF(업무일지!$J203="","담당자 없음; ","")&amp;IF(COUNTIF(코드설정!$F$5:$F$7,업무일지!$AG203)=0,"진행상태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"&amp;업무일지!$H204)</f>
        <v/>
      </c>
      <c r="D236" s="45">
        <f>IF(NOT(COUNTBLANK(업무일지!$B204:$AH204)&lt;33),"",TRIM(IF(업무일지!$B204="","시작일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","")&amp;IF(COUNTIF(코드설정!$H$5:$H$7,업무일지!$D204)=0,"직무구분 누락; ","")&amp;IF(업무일지!$E204="","세부유형 누락; ",IF(AND(업무일지!$D204&lt;&gt;"",COUNTIFS(코드설정!$A$5:$A$21,업무일지!$D204,코드설정!$B$5:$B$21,업무일지!$E204)=0),"세부유형이 직무구분과 불일치; ",""))&amp;IF(AND(업무일지!$F204&lt;&gt;"",COUNTIF(사건마스터!$A$5:$A$64,업무일지!$F204)=0),"미등록 사건번호; ","")&amp;IF(AND(업무일지!$F204="",업무일지!$H204=""),"사건번호·업무명 모두 없음; ","")&amp;IF(업무일지!$J204="","담당자 없음; ","")&amp;IF(COUNTIF(코드설정!$F$5:$F$7,업무일지!$AG204)=0,"진행상태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"&amp;업무일지!$H205)</f>
        <v/>
      </c>
      <c r="D237" s="45">
        <f>IF(NOT(COUNTBLANK(업무일지!$B205:$AH205)&lt;33),"",TRIM(IF(업무일지!$B205="","시작일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","")&amp;IF(COUNTIF(코드설정!$H$5:$H$7,업무일지!$D205)=0,"직무구분 누락; ","")&amp;IF(업무일지!$E205="","세부유형 누락; ",IF(AND(업무일지!$D205&lt;&gt;"",COUNTIFS(코드설정!$A$5:$A$21,업무일지!$D205,코드설정!$B$5:$B$21,업무일지!$E205)=0),"세부유형이 직무구분과 불일치; ",""))&amp;IF(AND(업무일지!$F205&lt;&gt;"",COUNTIF(사건마스터!$A$5:$A$64,업무일지!$F205)=0),"미등록 사건번호; ","")&amp;IF(AND(업무일지!$F205="",업무일지!$H205=""),"사건번호·업무명 모두 없음; ","")&amp;IF(업무일지!$J205="","담당자 없음; ","")&amp;IF(COUNTIF(코드설정!$F$5:$F$7,업무일지!$AG205)=0,"진행상태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"&amp;업무일지!$H206)</f>
        <v/>
      </c>
      <c r="D238" s="45">
        <f>IF(NOT(COUNTBLANK(업무일지!$B206:$AH206)&lt;33),"",TRIM(IF(업무일지!$B206="","시작일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","")&amp;IF(COUNTIF(코드설정!$H$5:$H$7,업무일지!$D206)=0,"직무구분 누락; ","")&amp;IF(업무일지!$E206="","세부유형 누락; ",IF(AND(업무일지!$D206&lt;&gt;"",COUNTIFS(코드설정!$A$5:$A$21,업무일지!$D206,코드설정!$B$5:$B$21,업무일지!$E206)=0),"세부유형이 직무구분과 불일치; ",""))&amp;IF(AND(업무일지!$F206&lt;&gt;"",COUNTIF(사건마스터!$A$5:$A$64,업무일지!$F206)=0),"미등록 사건번호; ","")&amp;IF(AND(업무일지!$F206="",업무일지!$H206=""),"사건번호·업무명 모두 없음; ","")&amp;IF(업무일지!$J206="","담당자 없음; ","")&amp;IF(COUNTIF(코드설정!$F$5:$F$7,업무일지!$AG206)=0,"진행상태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"&amp;업무일지!$H207)</f>
        <v/>
      </c>
      <c r="D239" s="45">
        <f>IF(NOT(COUNTBLANK(업무일지!$B207:$AH207)&lt;33),"",TRIM(IF(업무일지!$B207="","시작일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","")&amp;IF(COUNTIF(코드설정!$H$5:$H$7,업무일지!$D207)=0,"직무구분 누락; ","")&amp;IF(업무일지!$E207="","세부유형 누락; ",IF(AND(업무일지!$D207&lt;&gt;"",COUNTIFS(코드설정!$A$5:$A$21,업무일지!$D207,코드설정!$B$5:$B$21,업무일지!$E207)=0),"세부유형이 직무구분과 불일치; ",""))&amp;IF(AND(업무일지!$F207&lt;&gt;"",COUNTIF(사건마스터!$A$5:$A$64,업무일지!$F207)=0),"미등록 사건번호; ","")&amp;IF(AND(업무일지!$F207="",업무일지!$H207=""),"사건번호·업무명 모두 없음; ","")&amp;IF(업무일지!$J207="","담당자 없음; ","")&amp;IF(COUNTIF(코드설정!$F$5:$F$7,업무일지!$AG207)=0,"진행상태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"&amp;업무일지!$H208)</f>
        <v/>
      </c>
      <c r="D240" s="45">
        <f>IF(NOT(COUNTBLANK(업무일지!$B208:$AH208)&lt;33),"",TRIM(IF(업무일지!$B208="","시작일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","")&amp;IF(COUNTIF(코드설정!$H$5:$H$7,업무일지!$D208)=0,"직무구분 누락; ","")&amp;IF(업무일지!$E208="","세부유형 누락; ",IF(AND(업무일지!$D208&lt;&gt;"",COUNTIFS(코드설정!$A$5:$A$21,업무일지!$D208,코드설정!$B$5:$B$21,업무일지!$E208)=0),"세부유형이 직무구분과 불일치; ",""))&amp;IF(AND(업무일지!$F208&lt;&gt;"",COUNTIF(사건마스터!$A$5:$A$64,업무일지!$F208)=0),"미등록 사건번호; ","")&amp;IF(AND(업무일지!$F208="",업무일지!$H208=""),"사건번호·업무명 모두 없음; ","")&amp;IF(업무일지!$J208="","담당자 없음; ","")&amp;IF(COUNTIF(코드설정!$F$5:$F$7,업무일지!$AG208)=0,"진행상태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"&amp;업무일지!$H209)</f>
        <v/>
      </c>
      <c r="D241" s="45">
        <f>IF(NOT(COUNTBLANK(업무일지!$B209:$AH209)&lt;33),"",TRIM(IF(업무일지!$B209="","시작일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","")&amp;IF(COUNTIF(코드설정!$H$5:$H$7,업무일지!$D209)=0,"직무구분 누락; ","")&amp;IF(업무일지!$E209="","세부유형 누락; ",IF(AND(업무일지!$D209&lt;&gt;"",COUNTIFS(코드설정!$A$5:$A$21,업무일지!$D209,코드설정!$B$5:$B$21,업무일지!$E209)=0),"세부유형이 직무구분과 불일치; ",""))&amp;IF(AND(업무일지!$F209&lt;&gt;"",COUNTIF(사건마스터!$A$5:$A$64,업무일지!$F209)=0),"미등록 사건번호; ","")&amp;IF(AND(업무일지!$F209="",업무일지!$H209=""),"사건번호·업무명 모두 없음; ","")&amp;IF(업무일지!$J209="","담당자 없음; ","")&amp;IF(COUNTIF(코드설정!$F$5:$F$7,업무일지!$AG209)=0,"진행상태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"&amp;업무일지!$H210)</f>
        <v/>
      </c>
      <c r="D242" s="45">
        <f>IF(NOT(COUNTBLANK(업무일지!$B210:$AH210)&lt;33),"",TRIM(IF(업무일지!$B210="","시작일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","")&amp;IF(COUNTIF(코드설정!$H$5:$H$7,업무일지!$D210)=0,"직무구분 누락; ","")&amp;IF(업무일지!$E210="","세부유형 누락; ",IF(AND(업무일지!$D210&lt;&gt;"",COUNTIFS(코드설정!$A$5:$A$21,업무일지!$D210,코드설정!$B$5:$B$21,업무일지!$E210)=0),"세부유형이 직무구분과 불일치; ",""))&amp;IF(AND(업무일지!$F210&lt;&gt;"",COUNTIF(사건마스터!$A$5:$A$64,업무일지!$F210)=0),"미등록 사건번호; ","")&amp;IF(AND(업무일지!$F210="",업무일지!$H210=""),"사건번호·업무명 모두 없음; ","")&amp;IF(업무일지!$J210="","담당자 없음; ","")&amp;IF(COUNTIF(코드설정!$F$5:$F$7,업무일지!$AG210)=0,"진행상태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"&amp;업무일지!$H211)</f>
        <v/>
      </c>
      <c r="D243" s="45">
        <f>IF(NOT(COUNTBLANK(업무일지!$B211:$AH211)&lt;33),"",TRIM(IF(업무일지!$B211="","시작일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","")&amp;IF(COUNTIF(코드설정!$H$5:$H$7,업무일지!$D211)=0,"직무구분 누락; ","")&amp;IF(업무일지!$E211="","세부유형 누락; ",IF(AND(업무일지!$D211&lt;&gt;"",COUNTIFS(코드설정!$A$5:$A$21,업무일지!$D211,코드설정!$B$5:$B$21,업무일지!$E211)=0),"세부유형이 직무구분과 불일치; ",""))&amp;IF(AND(업무일지!$F211&lt;&gt;"",COUNTIF(사건마스터!$A$5:$A$64,업무일지!$F211)=0),"미등록 사건번호; ","")&amp;IF(AND(업무일지!$F211="",업무일지!$H211=""),"사건번호·업무명 모두 없음; ","")&amp;IF(업무일지!$J211="","담당자 없음; ","")&amp;IF(COUNTIF(코드설정!$F$5:$F$7,업무일지!$AG211)=0,"진행상태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"&amp;업무일지!$H212)</f>
        <v/>
      </c>
      <c r="D244" s="45">
        <f>IF(NOT(COUNTBLANK(업무일지!$B212:$AH212)&lt;33),"",TRIM(IF(업무일지!$B212="","시작일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","")&amp;IF(COUNTIF(코드설정!$H$5:$H$7,업무일지!$D212)=0,"직무구분 누락; ","")&amp;IF(업무일지!$E212="","세부유형 누락; ",IF(AND(업무일지!$D212&lt;&gt;"",COUNTIFS(코드설정!$A$5:$A$21,업무일지!$D212,코드설정!$B$5:$B$21,업무일지!$E212)=0),"세부유형이 직무구분과 불일치; ",""))&amp;IF(AND(업무일지!$F212&lt;&gt;"",COUNTIF(사건마스터!$A$5:$A$64,업무일지!$F212)=0),"미등록 사건번호; ","")&amp;IF(AND(업무일지!$F212="",업무일지!$H212=""),"사건번호·업무명 모두 없음; ","")&amp;IF(업무일지!$J212="","담당자 없음; ","")&amp;IF(COUNTIF(코드설정!$F$5:$F$7,업무일지!$AG212)=0,"진행상태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"&amp;업무일지!$H213)</f>
        <v/>
      </c>
      <c r="D245" s="45">
        <f>IF(NOT(COUNTBLANK(업무일지!$B213:$AH213)&lt;33),"",TRIM(IF(업무일지!$B213="","시작일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","")&amp;IF(COUNTIF(코드설정!$H$5:$H$7,업무일지!$D213)=0,"직무구분 누락; ","")&amp;IF(업무일지!$E213="","세부유형 누락; ",IF(AND(업무일지!$D213&lt;&gt;"",COUNTIFS(코드설정!$A$5:$A$21,업무일지!$D213,코드설정!$B$5:$B$21,업무일지!$E213)=0),"세부유형이 직무구분과 불일치; ",""))&amp;IF(AND(업무일지!$F213&lt;&gt;"",COUNTIF(사건마스터!$A$5:$A$64,업무일지!$F213)=0),"미등록 사건번호; ","")&amp;IF(AND(업무일지!$F213="",업무일지!$H213=""),"사건번호·업무명 모두 없음; ","")&amp;IF(업무일지!$J213="","담당자 없음; ","")&amp;IF(COUNTIF(코드설정!$F$5:$F$7,업무일지!$AG213)=0,"진행상태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"&amp;업무일지!$H214)</f>
        <v/>
      </c>
      <c r="D246" s="45">
        <f>IF(NOT(COUNTBLANK(업무일지!$B214:$AH214)&lt;33),"",TRIM(IF(업무일지!$B214="","시작일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","")&amp;IF(COUNTIF(코드설정!$H$5:$H$7,업무일지!$D214)=0,"직무구분 누락; ","")&amp;IF(업무일지!$E214="","세부유형 누락; ",IF(AND(업무일지!$D214&lt;&gt;"",COUNTIFS(코드설정!$A$5:$A$21,업무일지!$D214,코드설정!$B$5:$B$21,업무일지!$E214)=0),"세부유형이 직무구분과 불일치; ",""))&amp;IF(AND(업무일지!$F214&lt;&gt;"",COUNTIF(사건마스터!$A$5:$A$64,업무일지!$F214)=0),"미등록 사건번호; ","")&amp;IF(AND(업무일지!$F214="",업무일지!$H214=""),"사건번호·업무명 모두 없음; ","")&amp;IF(업무일지!$J214="","담당자 없음; ","")&amp;IF(COUNTIF(코드설정!$F$5:$F$7,업무일지!$AG214)=0,"진행상태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"&amp;업무일지!$H215)</f>
        <v/>
      </c>
      <c r="D247" s="45">
        <f>IF(NOT(COUNTBLANK(업무일지!$B215:$AH215)&lt;33),"",TRIM(IF(업무일지!$B215="","시작일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","")&amp;IF(COUNTIF(코드설정!$H$5:$H$7,업무일지!$D215)=0,"직무구분 누락; ","")&amp;IF(업무일지!$E215="","세부유형 누락; ",IF(AND(업무일지!$D215&lt;&gt;"",COUNTIFS(코드설정!$A$5:$A$21,업무일지!$D215,코드설정!$B$5:$B$21,업무일지!$E215)=0),"세부유형이 직무구분과 불일치; ",""))&amp;IF(AND(업무일지!$F215&lt;&gt;"",COUNTIF(사건마스터!$A$5:$A$64,업무일지!$F215)=0),"미등록 사건번호; ","")&amp;IF(AND(업무일지!$F215="",업무일지!$H215=""),"사건번호·업무명 모두 없음; ","")&amp;IF(업무일지!$J215="","담당자 없음; ","")&amp;IF(COUNTIF(코드설정!$F$5:$F$7,업무일지!$AG215)=0,"진행상태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"&amp;업무일지!$H216)</f>
        <v/>
      </c>
      <c r="D248" s="45">
        <f>IF(NOT(COUNTBLANK(업무일지!$B216:$AH216)&lt;33),"",TRIM(IF(업무일지!$B216="","시작일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","")&amp;IF(COUNTIF(코드설정!$H$5:$H$7,업무일지!$D216)=0,"직무구분 누락; ","")&amp;IF(업무일지!$E216="","세부유형 누락; ",IF(AND(업무일지!$D216&lt;&gt;"",COUNTIFS(코드설정!$A$5:$A$21,업무일지!$D216,코드설정!$B$5:$B$21,업무일지!$E216)=0),"세부유형이 직무구분과 불일치; ",""))&amp;IF(AND(업무일지!$F216&lt;&gt;"",COUNTIF(사건마스터!$A$5:$A$64,업무일지!$F216)=0),"미등록 사건번호; ","")&amp;IF(AND(업무일지!$F216="",업무일지!$H216=""),"사건번호·업무명 모두 없음; ","")&amp;IF(업무일지!$J216="","담당자 없음; ","")&amp;IF(COUNTIF(코드설정!$F$5:$F$7,업무일지!$AG216)=0,"진행상태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"&amp;업무일지!$H217)</f>
        <v/>
      </c>
      <c r="D249" s="45">
        <f>IF(NOT(COUNTBLANK(업무일지!$B217:$AH217)&lt;33),"",TRIM(IF(업무일지!$B217="","시작일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","")&amp;IF(COUNTIF(코드설정!$H$5:$H$7,업무일지!$D217)=0,"직무구분 누락; ","")&amp;IF(업무일지!$E217="","세부유형 누락; ",IF(AND(업무일지!$D217&lt;&gt;"",COUNTIFS(코드설정!$A$5:$A$21,업무일지!$D217,코드설정!$B$5:$B$21,업무일지!$E217)=0),"세부유형이 직무구분과 불일치; ",""))&amp;IF(AND(업무일지!$F217&lt;&gt;"",COUNTIF(사건마스터!$A$5:$A$64,업무일지!$F217)=0),"미등록 사건번호; ","")&amp;IF(AND(업무일지!$F217="",업무일지!$H217=""),"사건번호·업무명 모두 없음; ","")&amp;IF(업무일지!$J217="","담당자 없음; ","")&amp;IF(COUNTIF(코드설정!$F$5:$F$7,업무일지!$AG217)=0,"진행상태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"&amp;업무일지!$H218)</f>
        <v/>
      </c>
      <c r="D250" s="45">
        <f>IF(NOT(COUNTBLANK(업무일지!$B218:$AH218)&lt;33),"",TRIM(IF(업무일지!$B218="","시작일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","")&amp;IF(COUNTIF(코드설정!$H$5:$H$7,업무일지!$D218)=0,"직무구분 누락; ","")&amp;IF(업무일지!$E218="","세부유형 누락; ",IF(AND(업무일지!$D218&lt;&gt;"",COUNTIFS(코드설정!$A$5:$A$21,업무일지!$D218,코드설정!$B$5:$B$21,업무일지!$E218)=0),"세부유형이 직무구분과 불일치; ",""))&amp;IF(AND(업무일지!$F218&lt;&gt;"",COUNTIF(사건마스터!$A$5:$A$64,업무일지!$F218)=0),"미등록 사건번호; ","")&amp;IF(AND(업무일지!$F218="",업무일지!$H218=""),"사건번호·업무명 모두 없음; ","")&amp;IF(업무일지!$J218="","담당자 없음; ","")&amp;IF(COUNTIF(코드설정!$F$5:$F$7,업무일지!$AG218)=0,"진행상태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"&amp;업무일지!$H219)</f>
        <v/>
      </c>
      <c r="D251" s="45">
        <f>IF(NOT(COUNTBLANK(업무일지!$B219:$AH219)&lt;33),"",TRIM(IF(업무일지!$B219="","시작일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","")&amp;IF(COUNTIF(코드설정!$H$5:$H$7,업무일지!$D219)=0,"직무구분 누락; ","")&amp;IF(업무일지!$E219="","세부유형 누락; ",IF(AND(업무일지!$D219&lt;&gt;"",COUNTIFS(코드설정!$A$5:$A$21,업무일지!$D219,코드설정!$B$5:$B$21,업무일지!$E219)=0),"세부유형이 직무구분과 불일치; ",""))&amp;IF(AND(업무일지!$F219&lt;&gt;"",COUNTIF(사건마스터!$A$5:$A$64,업무일지!$F219)=0),"미등록 사건번호; ","")&amp;IF(AND(업무일지!$F219="",업무일지!$H219=""),"사건번호·업무명 모두 없음; ","")&amp;IF(업무일지!$J219="","담당자 없음; ","")&amp;IF(COUNTIF(코드설정!$F$5:$F$7,업무일지!$AG219)=0,"진행상태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"&amp;업무일지!$H220)</f>
        <v/>
      </c>
      <c r="D252" s="45">
        <f>IF(NOT(COUNTBLANK(업무일지!$B220:$AH220)&lt;33),"",TRIM(IF(업무일지!$B220="","시작일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","")&amp;IF(COUNTIF(코드설정!$H$5:$H$7,업무일지!$D220)=0,"직무구분 누락; ","")&amp;IF(업무일지!$E220="","세부유형 누락; ",IF(AND(업무일지!$D220&lt;&gt;"",COUNTIFS(코드설정!$A$5:$A$21,업무일지!$D220,코드설정!$B$5:$B$21,업무일지!$E220)=0),"세부유형이 직무구분과 불일치; ",""))&amp;IF(AND(업무일지!$F220&lt;&gt;"",COUNTIF(사건마스터!$A$5:$A$64,업무일지!$F220)=0),"미등록 사건번호; ","")&amp;IF(AND(업무일지!$F220="",업무일지!$H220=""),"사건번호·업무명 모두 없음; ","")&amp;IF(업무일지!$J220="","담당자 없음; ","")&amp;IF(COUNTIF(코드설정!$F$5:$F$7,업무일지!$AG220)=0,"진행상태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"&amp;업무일지!$H221)</f>
        <v/>
      </c>
      <c r="D253" s="45">
        <f>IF(NOT(COUNTBLANK(업무일지!$B221:$AH221)&lt;33),"",TRIM(IF(업무일지!$B221="","시작일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","")&amp;IF(COUNTIF(코드설정!$H$5:$H$7,업무일지!$D221)=0,"직무구분 누락; ","")&amp;IF(업무일지!$E221="","세부유형 누락; ",IF(AND(업무일지!$D221&lt;&gt;"",COUNTIFS(코드설정!$A$5:$A$21,업무일지!$D221,코드설정!$B$5:$B$21,업무일지!$E221)=0),"세부유형이 직무구분과 불일치; ",""))&amp;IF(AND(업무일지!$F221&lt;&gt;"",COUNTIF(사건마스터!$A$5:$A$64,업무일지!$F221)=0),"미등록 사건번호; ","")&amp;IF(AND(업무일지!$F221="",업무일지!$H221=""),"사건번호·업무명 모두 없음; ","")&amp;IF(업무일지!$J221="","담당자 없음; ","")&amp;IF(COUNTIF(코드설정!$F$5:$F$7,업무일지!$AG221)=0,"진행상태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"&amp;업무일지!$H222)</f>
        <v/>
      </c>
      <c r="D254" s="45">
        <f>IF(NOT(COUNTBLANK(업무일지!$B222:$AH222)&lt;33),"",TRIM(IF(업무일지!$B222="","시작일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","")&amp;IF(COUNTIF(코드설정!$H$5:$H$7,업무일지!$D222)=0,"직무구분 누락; ","")&amp;IF(업무일지!$E222="","세부유형 누락; ",IF(AND(업무일지!$D222&lt;&gt;"",COUNTIFS(코드설정!$A$5:$A$21,업무일지!$D222,코드설정!$B$5:$B$21,업무일지!$E222)=0),"세부유형이 직무구분과 불일치; ",""))&amp;IF(AND(업무일지!$F222&lt;&gt;"",COUNTIF(사건마스터!$A$5:$A$64,업무일지!$F222)=0),"미등록 사건번호; ","")&amp;IF(AND(업무일지!$F222="",업무일지!$H222=""),"사건번호·업무명 모두 없음; ","")&amp;IF(업무일지!$J222="","담당자 없음; ","")&amp;IF(COUNTIF(코드설정!$F$5:$F$7,업무일지!$AG222)=0,"진행상태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"&amp;업무일지!$H223)</f>
        <v/>
      </c>
      <c r="D255" s="45">
        <f>IF(NOT(COUNTBLANK(업무일지!$B223:$AH223)&lt;33),"",TRIM(IF(업무일지!$B223="","시작일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","")&amp;IF(COUNTIF(코드설정!$H$5:$H$7,업무일지!$D223)=0,"직무구분 누락; ","")&amp;IF(업무일지!$E223="","세부유형 누락; ",IF(AND(업무일지!$D223&lt;&gt;"",COUNTIFS(코드설정!$A$5:$A$21,업무일지!$D223,코드설정!$B$5:$B$21,업무일지!$E223)=0),"세부유형이 직무구분과 불일치; ",""))&amp;IF(AND(업무일지!$F223&lt;&gt;"",COUNTIF(사건마스터!$A$5:$A$64,업무일지!$F223)=0),"미등록 사건번호; ","")&amp;IF(AND(업무일지!$F223="",업무일지!$H223=""),"사건번호·업무명 모두 없음; ","")&amp;IF(업무일지!$J223="","담당자 없음; ","")&amp;IF(COUNTIF(코드설정!$F$5:$F$7,업무일지!$AG223)=0,"진행상태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"&amp;업무일지!$H224)</f>
        <v/>
      </c>
      <c r="D256" s="45">
        <f>IF(NOT(COUNTBLANK(업무일지!$B224:$AH224)&lt;33),"",TRIM(IF(업무일지!$B224="","시작일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","")&amp;IF(COUNTIF(코드설정!$H$5:$H$7,업무일지!$D224)=0,"직무구분 누락; ","")&amp;IF(업무일지!$E224="","세부유형 누락; ",IF(AND(업무일지!$D224&lt;&gt;"",COUNTIFS(코드설정!$A$5:$A$21,업무일지!$D224,코드설정!$B$5:$B$21,업무일지!$E224)=0),"세부유형이 직무구분과 불일치; ",""))&amp;IF(AND(업무일지!$F224&lt;&gt;"",COUNTIF(사건마스터!$A$5:$A$64,업무일지!$F224)=0),"미등록 사건번호; ","")&amp;IF(AND(업무일지!$F224="",업무일지!$H224=""),"사건번호·업무명 모두 없음; ","")&amp;IF(업무일지!$J224="","담당자 없음; ","")&amp;IF(COUNTIF(코드설정!$F$5:$F$7,업무일지!$AG224)=0,"진행상태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"&amp;업무일지!$H225)</f>
        <v/>
      </c>
      <c r="D257" s="45">
        <f>IF(NOT(COUNTBLANK(업무일지!$B225:$AH225)&lt;33),"",TRIM(IF(업무일지!$B225="","시작일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","")&amp;IF(COUNTIF(코드설정!$H$5:$H$7,업무일지!$D225)=0,"직무구분 누락; ","")&amp;IF(업무일지!$E225="","세부유형 누락; ",IF(AND(업무일지!$D225&lt;&gt;"",COUNTIFS(코드설정!$A$5:$A$21,업무일지!$D225,코드설정!$B$5:$B$21,업무일지!$E225)=0),"세부유형이 직무구분과 불일치; ",""))&amp;IF(AND(업무일지!$F225&lt;&gt;"",COUNTIF(사건마스터!$A$5:$A$64,업무일지!$F225)=0),"미등록 사건번호; ","")&amp;IF(AND(업무일지!$F225="",업무일지!$H225=""),"사건번호·업무명 모두 없음; ","")&amp;IF(업무일지!$J225="","담당자 없음; ","")&amp;IF(COUNTIF(코드설정!$F$5:$F$7,업무일지!$AG225)=0,"진행상태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"&amp;업무일지!$H226)</f>
        <v/>
      </c>
      <c r="D258" s="45">
        <f>IF(NOT(COUNTBLANK(업무일지!$B226:$AH226)&lt;33),"",TRIM(IF(업무일지!$B226="","시작일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","")&amp;IF(COUNTIF(코드설정!$H$5:$H$7,업무일지!$D226)=0,"직무구분 누락; ","")&amp;IF(업무일지!$E226="","세부유형 누락; ",IF(AND(업무일지!$D226&lt;&gt;"",COUNTIFS(코드설정!$A$5:$A$21,업무일지!$D226,코드설정!$B$5:$B$21,업무일지!$E226)=0),"세부유형이 직무구분과 불일치; ",""))&amp;IF(AND(업무일지!$F226&lt;&gt;"",COUNTIF(사건마스터!$A$5:$A$64,업무일지!$F226)=0),"미등록 사건번호; ","")&amp;IF(AND(업무일지!$F226="",업무일지!$H226=""),"사건번호·업무명 모두 없음; ","")&amp;IF(업무일지!$J226="","담당자 없음; ","")&amp;IF(COUNTIF(코드설정!$F$5:$F$7,업무일지!$AG226)=0,"진행상태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"&amp;업무일지!$H227)</f>
        <v/>
      </c>
      <c r="D259" s="45">
        <f>IF(NOT(COUNTBLANK(업무일지!$B227:$AH227)&lt;33),"",TRIM(IF(업무일지!$B227="","시작일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","")&amp;IF(COUNTIF(코드설정!$H$5:$H$7,업무일지!$D227)=0,"직무구분 누락; ","")&amp;IF(업무일지!$E227="","세부유형 누락; ",IF(AND(업무일지!$D227&lt;&gt;"",COUNTIFS(코드설정!$A$5:$A$21,업무일지!$D227,코드설정!$B$5:$B$21,업무일지!$E227)=0),"세부유형이 직무구분과 불일치; ",""))&amp;IF(AND(업무일지!$F227&lt;&gt;"",COUNTIF(사건마스터!$A$5:$A$64,업무일지!$F227)=0),"미등록 사건번호; ","")&amp;IF(AND(업무일지!$F227="",업무일지!$H227=""),"사건번호·업무명 모두 없음; ","")&amp;IF(업무일지!$J227="","담당자 없음; ","")&amp;IF(COUNTIF(코드설정!$F$5:$F$7,업무일지!$AG227)=0,"진행상태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"&amp;업무일지!$H228)</f>
        <v/>
      </c>
      <c r="D260" s="45">
        <f>IF(NOT(COUNTBLANK(업무일지!$B228:$AH228)&lt;33),"",TRIM(IF(업무일지!$B228="","시작일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","")&amp;IF(COUNTIF(코드설정!$H$5:$H$7,업무일지!$D228)=0,"직무구분 누락; ","")&amp;IF(업무일지!$E228="","세부유형 누락; ",IF(AND(업무일지!$D228&lt;&gt;"",COUNTIFS(코드설정!$A$5:$A$21,업무일지!$D228,코드설정!$B$5:$B$21,업무일지!$E228)=0),"세부유형이 직무구분과 불일치; ",""))&amp;IF(AND(업무일지!$F228&lt;&gt;"",COUNTIF(사건마스터!$A$5:$A$64,업무일지!$F228)=0),"미등록 사건번호; ","")&amp;IF(AND(업무일지!$F228="",업무일지!$H228=""),"사건번호·업무명 모두 없음; ","")&amp;IF(업무일지!$J228="","담당자 없음; ","")&amp;IF(COUNTIF(코드설정!$F$5:$F$7,업무일지!$AG228)=0,"진행상태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"&amp;업무일지!$H229)</f>
        <v/>
      </c>
      <c r="D261" s="45">
        <f>IF(NOT(COUNTBLANK(업무일지!$B229:$AH229)&lt;33),"",TRIM(IF(업무일지!$B229="","시작일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","")&amp;IF(COUNTIF(코드설정!$H$5:$H$7,업무일지!$D229)=0,"직무구분 누락; ","")&amp;IF(업무일지!$E229="","세부유형 누락; ",IF(AND(업무일지!$D229&lt;&gt;"",COUNTIFS(코드설정!$A$5:$A$21,업무일지!$D229,코드설정!$B$5:$B$21,업무일지!$E229)=0),"세부유형이 직무구분과 불일치; ",""))&amp;IF(AND(업무일지!$F229&lt;&gt;"",COUNTIF(사건마스터!$A$5:$A$64,업무일지!$F229)=0),"미등록 사건번호; ","")&amp;IF(AND(업무일지!$F229="",업무일지!$H229=""),"사건번호·업무명 모두 없음; ","")&amp;IF(업무일지!$J229="","담당자 없음; ","")&amp;IF(COUNTIF(코드설정!$F$5:$F$7,업무일지!$AG229)=0,"진행상태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"&amp;업무일지!$H230)</f>
        <v/>
      </c>
      <c r="D262" s="45">
        <f>IF(NOT(COUNTBLANK(업무일지!$B230:$AH230)&lt;33),"",TRIM(IF(업무일지!$B230="","시작일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","")&amp;IF(COUNTIF(코드설정!$H$5:$H$7,업무일지!$D230)=0,"직무구분 누락; ","")&amp;IF(업무일지!$E230="","세부유형 누락; ",IF(AND(업무일지!$D230&lt;&gt;"",COUNTIFS(코드설정!$A$5:$A$21,업무일지!$D230,코드설정!$B$5:$B$21,업무일지!$E230)=0),"세부유형이 직무구분과 불일치; ",""))&amp;IF(AND(업무일지!$F230&lt;&gt;"",COUNTIF(사건마스터!$A$5:$A$64,업무일지!$F230)=0),"미등록 사건번호; ","")&amp;IF(AND(업무일지!$F230="",업무일지!$H230=""),"사건번호·업무명 모두 없음; ","")&amp;IF(업무일지!$J230="","담당자 없음; ","")&amp;IF(COUNTIF(코드설정!$F$5:$F$7,업무일지!$AG230)=0,"진행상태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"&amp;업무일지!$H231)</f>
        <v/>
      </c>
      <c r="D263" s="45">
        <f>IF(NOT(COUNTBLANK(업무일지!$B231:$AH231)&lt;33),"",TRIM(IF(업무일지!$B231="","시작일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","")&amp;IF(COUNTIF(코드설정!$H$5:$H$7,업무일지!$D231)=0,"직무구분 누락; ","")&amp;IF(업무일지!$E231="","세부유형 누락; ",IF(AND(업무일지!$D231&lt;&gt;"",COUNTIFS(코드설정!$A$5:$A$21,업무일지!$D231,코드설정!$B$5:$B$21,업무일지!$E231)=0),"세부유형이 직무구분과 불일치; ",""))&amp;IF(AND(업무일지!$F231&lt;&gt;"",COUNTIF(사건마스터!$A$5:$A$64,업무일지!$F231)=0),"미등록 사건번호; ","")&amp;IF(AND(업무일지!$F231="",업무일지!$H231=""),"사건번호·업무명 모두 없음; ","")&amp;IF(업무일지!$J231="","담당자 없음; ","")&amp;IF(COUNTIF(코드설정!$F$5:$F$7,업무일지!$AG231)=0,"진행상태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"&amp;업무일지!$H232)</f>
        <v/>
      </c>
      <c r="D264" s="45">
        <f>IF(NOT(COUNTBLANK(업무일지!$B232:$AH232)&lt;33),"",TRIM(IF(업무일지!$B232="","시작일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","")&amp;IF(COUNTIF(코드설정!$H$5:$H$7,업무일지!$D232)=0,"직무구분 누락; ","")&amp;IF(업무일지!$E232="","세부유형 누락; ",IF(AND(업무일지!$D232&lt;&gt;"",COUNTIFS(코드설정!$A$5:$A$21,업무일지!$D232,코드설정!$B$5:$B$21,업무일지!$E232)=0),"세부유형이 직무구분과 불일치; ",""))&amp;IF(AND(업무일지!$F232&lt;&gt;"",COUNTIF(사건마스터!$A$5:$A$64,업무일지!$F232)=0),"미등록 사건번호; ","")&amp;IF(AND(업무일지!$F232="",업무일지!$H232=""),"사건번호·업무명 모두 없음; ","")&amp;IF(업무일지!$J232="","담당자 없음; ","")&amp;IF(COUNTIF(코드설정!$F$5:$F$7,업무일지!$AG232)=0,"진행상태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"&amp;업무일지!$H233)</f>
        <v/>
      </c>
      <c r="D265" s="45">
        <f>IF(NOT(COUNTBLANK(업무일지!$B233:$AH233)&lt;33),"",TRIM(IF(업무일지!$B233="","시작일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","")&amp;IF(COUNTIF(코드설정!$H$5:$H$7,업무일지!$D233)=0,"직무구분 누락; ","")&amp;IF(업무일지!$E233="","세부유형 누락; ",IF(AND(업무일지!$D233&lt;&gt;"",COUNTIFS(코드설정!$A$5:$A$21,업무일지!$D233,코드설정!$B$5:$B$21,업무일지!$E233)=0),"세부유형이 직무구분과 불일치; ",""))&amp;IF(AND(업무일지!$F233&lt;&gt;"",COUNTIF(사건마스터!$A$5:$A$64,업무일지!$F233)=0),"미등록 사건번호; ","")&amp;IF(AND(업무일지!$F233="",업무일지!$H233=""),"사건번호·업무명 모두 없음; ","")&amp;IF(업무일지!$J233="","담당자 없음; ","")&amp;IF(COUNTIF(코드설정!$F$5:$F$7,업무일지!$AG233)=0,"진행상태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"&amp;업무일지!$H234)</f>
        <v/>
      </c>
      <c r="D266" s="45">
        <f>IF(NOT(COUNTBLANK(업무일지!$B234:$AH234)&lt;33),"",TRIM(IF(업무일지!$B234="","시작일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","")&amp;IF(COUNTIF(코드설정!$H$5:$H$7,업무일지!$D234)=0,"직무구분 누락; ","")&amp;IF(업무일지!$E234="","세부유형 누락; ",IF(AND(업무일지!$D234&lt;&gt;"",COUNTIFS(코드설정!$A$5:$A$21,업무일지!$D234,코드설정!$B$5:$B$21,업무일지!$E234)=0),"세부유형이 직무구분과 불일치; ",""))&amp;IF(AND(업무일지!$F234&lt;&gt;"",COUNTIF(사건마스터!$A$5:$A$64,업무일지!$F234)=0),"미등록 사건번호; ","")&amp;IF(AND(업무일지!$F234="",업무일지!$H234=""),"사건번호·업무명 모두 없음; ","")&amp;IF(업무일지!$J234="","담당자 없음; ","")&amp;IF(COUNTIF(코드설정!$F$5:$F$7,업무일지!$AG234)=0,"진행상태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"&amp;업무일지!$H235)</f>
        <v/>
      </c>
      <c r="D267" s="45">
        <f>IF(NOT(COUNTBLANK(업무일지!$B235:$AH235)&lt;33),"",TRIM(IF(업무일지!$B235="","시작일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","")&amp;IF(COUNTIF(코드설정!$H$5:$H$7,업무일지!$D235)=0,"직무구분 누락; ","")&amp;IF(업무일지!$E235="","세부유형 누락; ",IF(AND(업무일지!$D235&lt;&gt;"",COUNTIFS(코드설정!$A$5:$A$21,업무일지!$D235,코드설정!$B$5:$B$21,업무일지!$E235)=0),"세부유형이 직무구분과 불일치; ",""))&amp;IF(AND(업무일지!$F235&lt;&gt;"",COUNTIF(사건마스터!$A$5:$A$64,업무일지!$F235)=0),"미등록 사건번호; ","")&amp;IF(AND(업무일지!$F235="",업무일지!$H235=""),"사건번호·업무명 모두 없음; ","")&amp;IF(업무일지!$J235="","담당자 없음; ","")&amp;IF(COUNTIF(코드설정!$F$5:$F$7,업무일지!$AG235)=0,"진행상태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"&amp;업무일지!$H236)</f>
        <v/>
      </c>
      <c r="D268" s="45">
        <f>IF(NOT(COUNTBLANK(업무일지!$B236:$AH236)&lt;33),"",TRIM(IF(업무일지!$B236="","시작일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","")&amp;IF(COUNTIF(코드설정!$H$5:$H$7,업무일지!$D236)=0,"직무구분 누락; ","")&amp;IF(업무일지!$E236="","세부유형 누락; ",IF(AND(업무일지!$D236&lt;&gt;"",COUNTIFS(코드설정!$A$5:$A$21,업무일지!$D236,코드설정!$B$5:$B$21,업무일지!$E236)=0),"세부유형이 직무구분과 불일치; ",""))&amp;IF(AND(업무일지!$F236&lt;&gt;"",COUNTIF(사건마스터!$A$5:$A$64,업무일지!$F236)=0),"미등록 사건번호; ","")&amp;IF(AND(업무일지!$F236="",업무일지!$H236=""),"사건번호·업무명 모두 없음; ","")&amp;IF(업무일지!$J236="","담당자 없음; ","")&amp;IF(COUNTIF(코드설정!$F$5:$F$7,업무일지!$AG236)=0,"진행상태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"&amp;업무일지!$H237)</f>
        <v/>
      </c>
      <c r="D269" s="45">
        <f>IF(NOT(COUNTBLANK(업무일지!$B237:$AH237)&lt;33),"",TRIM(IF(업무일지!$B237="","시작일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","")&amp;IF(COUNTIF(코드설정!$H$5:$H$7,업무일지!$D237)=0,"직무구분 누락; ","")&amp;IF(업무일지!$E237="","세부유형 누락; ",IF(AND(업무일지!$D237&lt;&gt;"",COUNTIFS(코드설정!$A$5:$A$21,업무일지!$D237,코드설정!$B$5:$B$21,업무일지!$E237)=0),"세부유형이 직무구분과 불일치; ",""))&amp;IF(AND(업무일지!$F237&lt;&gt;"",COUNTIF(사건마스터!$A$5:$A$64,업무일지!$F237)=0),"미등록 사건번호; ","")&amp;IF(AND(업무일지!$F237="",업무일지!$H237=""),"사건번호·업무명 모두 없음; ","")&amp;IF(업무일지!$J237="","담당자 없음; ","")&amp;IF(COUNTIF(코드설정!$F$5:$F$7,업무일지!$AG237)=0,"진행상태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"&amp;업무일지!$H238)</f>
        <v/>
      </c>
      <c r="D270" s="45">
        <f>IF(NOT(COUNTBLANK(업무일지!$B238:$AH238)&lt;33),"",TRIM(IF(업무일지!$B238="","시작일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","")&amp;IF(COUNTIF(코드설정!$H$5:$H$7,업무일지!$D238)=0,"직무구분 누락; ","")&amp;IF(업무일지!$E238="","세부유형 누락; ",IF(AND(업무일지!$D238&lt;&gt;"",COUNTIFS(코드설정!$A$5:$A$21,업무일지!$D238,코드설정!$B$5:$B$21,업무일지!$E238)=0),"세부유형이 직무구분과 불일치; ",""))&amp;IF(AND(업무일지!$F238&lt;&gt;"",COUNTIF(사건마스터!$A$5:$A$64,업무일지!$F238)=0),"미등록 사건번호; ","")&amp;IF(AND(업무일지!$F238="",업무일지!$H238=""),"사건번호·업무명 모두 없음; ","")&amp;IF(업무일지!$J238="","담당자 없음; ","")&amp;IF(COUNTIF(코드설정!$F$5:$F$7,업무일지!$AG238)=0,"진행상태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"&amp;업무일지!$H239)</f>
        <v/>
      </c>
      <c r="D271" s="45">
        <f>IF(NOT(COUNTBLANK(업무일지!$B239:$AH239)&lt;33),"",TRIM(IF(업무일지!$B239="","시작일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","")&amp;IF(COUNTIF(코드설정!$H$5:$H$7,업무일지!$D239)=0,"직무구분 누락; ","")&amp;IF(업무일지!$E239="","세부유형 누락; ",IF(AND(업무일지!$D239&lt;&gt;"",COUNTIFS(코드설정!$A$5:$A$21,업무일지!$D239,코드설정!$B$5:$B$21,업무일지!$E239)=0),"세부유형이 직무구분과 불일치; ",""))&amp;IF(AND(업무일지!$F239&lt;&gt;"",COUNTIF(사건마스터!$A$5:$A$64,업무일지!$F239)=0),"미등록 사건번호; ","")&amp;IF(AND(업무일지!$F239="",업무일지!$H239=""),"사건번호·업무명 모두 없음; ","")&amp;IF(업무일지!$J239="","담당자 없음; ","")&amp;IF(COUNTIF(코드설정!$F$5:$F$7,업무일지!$AG239)=0,"진행상태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"&amp;업무일지!$H240)</f>
        <v/>
      </c>
      <c r="D272" s="45">
        <f>IF(NOT(COUNTBLANK(업무일지!$B240:$AH240)&lt;33),"",TRIM(IF(업무일지!$B240="","시작일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","")&amp;IF(COUNTIF(코드설정!$H$5:$H$7,업무일지!$D240)=0,"직무구분 누락; ","")&amp;IF(업무일지!$E240="","세부유형 누락; ",IF(AND(업무일지!$D240&lt;&gt;"",COUNTIFS(코드설정!$A$5:$A$21,업무일지!$D240,코드설정!$B$5:$B$21,업무일지!$E240)=0),"세부유형이 직무구분과 불일치; ",""))&amp;IF(AND(업무일지!$F240&lt;&gt;"",COUNTIF(사건마스터!$A$5:$A$64,업무일지!$F240)=0),"미등록 사건번호; ","")&amp;IF(AND(업무일지!$F240="",업무일지!$H240=""),"사건번호·업무명 모두 없음; ","")&amp;IF(업무일지!$J240="","담당자 없음; ","")&amp;IF(COUNTIF(코드설정!$F$5:$F$7,업무일지!$AG240)=0,"진행상태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"&amp;업무일지!$H241)</f>
        <v/>
      </c>
      <c r="D273" s="45">
        <f>IF(NOT(COUNTBLANK(업무일지!$B241:$AH241)&lt;33),"",TRIM(IF(업무일지!$B241="","시작일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","")&amp;IF(COUNTIF(코드설정!$H$5:$H$7,업무일지!$D241)=0,"직무구분 누락; ","")&amp;IF(업무일지!$E241="","세부유형 누락; ",IF(AND(업무일지!$D241&lt;&gt;"",COUNTIFS(코드설정!$A$5:$A$21,업무일지!$D241,코드설정!$B$5:$B$21,업무일지!$E241)=0),"세부유형이 직무구분과 불일치; ",""))&amp;IF(AND(업무일지!$F241&lt;&gt;"",COUNTIF(사건마스터!$A$5:$A$64,업무일지!$F241)=0),"미등록 사건번호; ","")&amp;IF(AND(업무일지!$F241="",업무일지!$H241=""),"사건번호·업무명 모두 없음; ","")&amp;IF(업무일지!$J241="","담당자 없음; ","")&amp;IF(COUNTIF(코드설정!$F$5:$F$7,업무일지!$AG241)=0,"진행상태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"&amp;업무일지!$H242)</f>
        <v/>
      </c>
      <c r="D274" s="45">
        <f>IF(NOT(COUNTBLANK(업무일지!$B242:$AH242)&lt;33),"",TRIM(IF(업무일지!$B242="","시작일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","")&amp;IF(COUNTIF(코드설정!$H$5:$H$7,업무일지!$D242)=0,"직무구분 누락; ","")&amp;IF(업무일지!$E242="","세부유형 누락; ",IF(AND(업무일지!$D242&lt;&gt;"",COUNTIFS(코드설정!$A$5:$A$21,업무일지!$D242,코드설정!$B$5:$B$21,업무일지!$E242)=0),"세부유형이 직무구분과 불일치; ",""))&amp;IF(AND(업무일지!$F242&lt;&gt;"",COUNTIF(사건마스터!$A$5:$A$64,업무일지!$F242)=0),"미등록 사건번호; ","")&amp;IF(AND(업무일지!$F242="",업무일지!$H242=""),"사건번호·업무명 모두 없음; ","")&amp;IF(업무일지!$J242="","담당자 없음; ","")&amp;IF(COUNTIF(코드설정!$F$5:$F$7,업무일지!$AG242)=0,"진행상태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"&amp;업무일지!$H243)</f>
        <v/>
      </c>
      <c r="D275" s="45">
        <f>IF(NOT(COUNTBLANK(업무일지!$B243:$AH243)&lt;33),"",TRIM(IF(업무일지!$B243="","시작일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","")&amp;IF(COUNTIF(코드설정!$H$5:$H$7,업무일지!$D243)=0,"직무구분 누락; ","")&amp;IF(업무일지!$E243="","세부유형 누락; ",IF(AND(업무일지!$D243&lt;&gt;"",COUNTIFS(코드설정!$A$5:$A$21,업무일지!$D243,코드설정!$B$5:$B$21,업무일지!$E243)=0),"세부유형이 직무구분과 불일치; ",""))&amp;IF(AND(업무일지!$F243&lt;&gt;"",COUNTIF(사건마스터!$A$5:$A$64,업무일지!$F243)=0),"미등록 사건번호; ","")&amp;IF(AND(업무일지!$F243="",업무일지!$H243=""),"사건번호·업무명 모두 없음; ","")&amp;IF(업무일지!$J243="","담당자 없음; ","")&amp;IF(COUNTIF(코드설정!$F$5:$F$7,업무일지!$AG243)=0,"진행상태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"&amp;업무일지!$H244)</f>
        <v/>
      </c>
      <c r="D276" s="45">
        <f>IF(NOT(COUNTBLANK(업무일지!$B244:$AH244)&lt;33),"",TRIM(IF(업무일지!$B244="","시작일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","")&amp;IF(COUNTIF(코드설정!$H$5:$H$7,업무일지!$D244)=0,"직무구분 누락; ","")&amp;IF(업무일지!$E244="","세부유형 누락; ",IF(AND(업무일지!$D244&lt;&gt;"",COUNTIFS(코드설정!$A$5:$A$21,업무일지!$D244,코드설정!$B$5:$B$21,업무일지!$E244)=0),"세부유형이 직무구분과 불일치; ",""))&amp;IF(AND(업무일지!$F244&lt;&gt;"",COUNTIF(사건마스터!$A$5:$A$64,업무일지!$F244)=0),"미등록 사건번호; ","")&amp;IF(AND(업무일지!$F244="",업무일지!$H244=""),"사건번호·업무명 모두 없음; ","")&amp;IF(업무일지!$J244="","담당자 없음; ","")&amp;IF(COUNTIF(코드설정!$F$5:$F$7,업무일지!$AG244)=0,"진행상태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"&amp;업무일지!$H245)</f>
        <v/>
      </c>
      <c r="D277" s="45">
        <f>IF(NOT(COUNTBLANK(업무일지!$B245:$AH245)&lt;33),"",TRIM(IF(업무일지!$B245="","시작일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","")&amp;IF(COUNTIF(코드설정!$H$5:$H$7,업무일지!$D245)=0,"직무구분 누락; ","")&amp;IF(업무일지!$E245="","세부유형 누락; ",IF(AND(업무일지!$D245&lt;&gt;"",COUNTIFS(코드설정!$A$5:$A$21,업무일지!$D245,코드설정!$B$5:$B$21,업무일지!$E245)=0),"세부유형이 직무구분과 불일치; ",""))&amp;IF(AND(업무일지!$F245&lt;&gt;"",COUNTIF(사건마스터!$A$5:$A$64,업무일지!$F245)=0),"미등록 사건번호; ","")&amp;IF(AND(업무일지!$F245="",업무일지!$H245=""),"사건번호·업무명 모두 없음; ","")&amp;IF(업무일지!$J245="","담당자 없음; ","")&amp;IF(COUNTIF(코드설정!$F$5:$F$7,업무일지!$AG245)=0,"진행상태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"&amp;업무일지!$H246)</f>
        <v/>
      </c>
      <c r="D278" s="45">
        <f>IF(NOT(COUNTBLANK(업무일지!$B246:$AH246)&lt;33),"",TRIM(IF(업무일지!$B246="","시작일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","")&amp;IF(COUNTIF(코드설정!$H$5:$H$7,업무일지!$D246)=0,"직무구분 누락; ","")&amp;IF(업무일지!$E246="","세부유형 누락; ",IF(AND(업무일지!$D246&lt;&gt;"",COUNTIFS(코드설정!$A$5:$A$21,업무일지!$D246,코드설정!$B$5:$B$21,업무일지!$E246)=0),"세부유형이 직무구분과 불일치; ",""))&amp;IF(AND(업무일지!$F246&lt;&gt;"",COUNTIF(사건마스터!$A$5:$A$64,업무일지!$F246)=0),"미등록 사건번호; ","")&amp;IF(AND(업무일지!$F246="",업무일지!$H246=""),"사건번호·업무명 모두 없음; ","")&amp;IF(업무일지!$J246="","담당자 없음; ","")&amp;IF(COUNTIF(코드설정!$F$5:$F$7,업무일지!$AG246)=0,"진행상태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"&amp;업무일지!$H247)</f>
        <v/>
      </c>
      <c r="D279" s="45">
        <f>IF(NOT(COUNTBLANK(업무일지!$B247:$AH247)&lt;33),"",TRIM(IF(업무일지!$B247="","시작일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","")&amp;IF(COUNTIF(코드설정!$H$5:$H$7,업무일지!$D247)=0,"직무구분 누락; ","")&amp;IF(업무일지!$E247="","세부유형 누락; ",IF(AND(업무일지!$D247&lt;&gt;"",COUNTIFS(코드설정!$A$5:$A$21,업무일지!$D247,코드설정!$B$5:$B$21,업무일지!$E247)=0),"세부유형이 직무구분과 불일치; ",""))&amp;IF(AND(업무일지!$F247&lt;&gt;"",COUNTIF(사건마스터!$A$5:$A$64,업무일지!$F247)=0),"미등록 사건번호; ","")&amp;IF(AND(업무일지!$F247="",업무일지!$H247=""),"사건번호·업무명 모두 없음; ","")&amp;IF(업무일지!$J247="","담당자 없음; ","")&amp;IF(COUNTIF(코드설정!$F$5:$F$7,업무일지!$AG247)=0,"진행상태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"&amp;업무일지!$H248)</f>
        <v/>
      </c>
      <c r="D280" s="45">
        <f>IF(NOT(COUNTBLANK(업무일지!$B248:$AH248)&lt;33),"",TRIM(IF(업무일지!$B248="","시작일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","")&amp;IF(COUNTIF(코드설정!$H$5:$H$7,업무일지!$D248)=0,"직무구분 누락; ","")&amp;IF(업무일지!$E248="","세부유형 누락; ",IF(AND(업무일지!$D248&lt;&gt;"",COUNTIFS(코드설정!$A$5:$A$21,업무일지!$D248,코드설정!$B$5:$B$21,업무일지!$E248)=0),"세부유형이 직무구분과 불일치; ",""))&amp;IF(AND(업무일지!$F248&lt;&gt;"",COUNTIF(사건마스터!$A$5:$A$64,업무일지!$F248)=0),"미등록 사건번호; ","")&amp;IF(AND(업무일지!$F248="",업무일지!$H248=""),"사건번호·업무명 모두 없음; ","")&amp;IF(업무일지!$J248="","담당자 없음; ","")&amp;IF(COUNTIF(코드설정!$F$5:$F$7,업무일지!$AG248)=0,"진행상태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"&amp;업무일지!$H249)</f>
        <v/>
      </c>
      <c r="D281" s="45">
        <f>IF(NOT(COUNTBLANK(업무일지!$B249:$AH249)&lt;33),"",TRIM(IF(업무일지!$B249="","시작일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","")&amp;IF(COUNTIF(코드설정!$H$5:$H$7,업무일지!$D249)=0,"직무구분 누락; ","")&amp;IF(업무일지!$E249="","세부유형 누락; ",IF(AND(업무일지!$D249&lt;&gt;"",COUNTIFS(코드설정!$A$5:$A$21,업무일지!$D249,코드설정!$B$5:$B$21,업무일지!$E249)=0),"세부유형이 직무구분과 불일치; ",""))&amp;IF(AND(업무일지!$F249&lt;&gt;"",COUNTIF(사건마스터!$A$5:$A$64,업무일지!$F249)=0),"미등록 사건번호; ","")&amp;IF(AND(업무일지!$F249="",업무일지!$H249=""),"사건번호·업무명 모두 없음; ","")&amp;IF(업무일지!$J249="","담당자 없음; ","")&amp;IF(COUNTIF(코드설정!$F$5:$F$7,업무일지!$AG249)=0,"진행상태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"&amp;업무일지!$H250)</f>
        <v/>
      </c>
      <c r="D282" s="45">
        <f>IF(NOT(COUNTBLANK(업무일지!$B250:$AH250)&lt;33),"",TRIM(IF(업무일지!$B250="","시작일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","")&amp;IF(COUNTIF(코드설정!$H$5:$H$7,업무일지!$D250)=0,"직무구분 누락; ","")&amp;IF(업무일지!$E250="","세부유형 누락; ",IF(AND(업무일지!$D250&lt;&gt;"",COUNTIFS(코드설정!$A$5:$A$21,업무일지!$D250,코드설정!$B$5:$B$21,업무일지!$E250)=0),"세부유형이 직무구분과 불일치; ",""))&amp;IF(AND(업무일지!$F250&lt;&gt;"",COUNTIF(사건마스터!$A$5:$A$64,업무일지!$F250)=0),"미등록 사건번호; ","")&amp;IF(AND(업무일지!$F250="",업무일지!$H250=""),"사건번호·업무명 모두 없음; ","")&amp;IF(업무일지!$J250="","담당자 없음; ","")&amp;IF(COUNTIF(코드설정!$F$5:$F$7,업무일지!$AG250)=0,"진행상태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"&amp;업무일지!$H251)</f>
        <v/>
      </c>
      <c r="D283" s="45">
        <f>IF(NOT(COUNTBLANK(업무일지!$B251:$AH251)&lt;33),"",TRIM(IF(업무일지!$B251="","시작일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","")&amp;IF(COUNTIF(코드설정!$H$5:$H$7,업무일지!$D251)=0,"직무구분 누락; ","")&amp;IF(업무일지!$E251="","세부유형 누락; ",IF(AND(업무일지!$D251&lt;&gt;"",COUNTIFS(코드설정!$A$5:$A$21,업무일지!$D251,코드설정!$B$5:$B$21,업무일지!$E251)=0),"세부유형이 직무구분과 불일치; ",""))&amp;IF(AND(업무일지!$F251&lt;&gt;"",COUNTIF(사건마스터!$A$5:$A$64,업무일지!$F251)=0),"미등록 사건번호; ","")&amp;IF(AND(업무일지!$F251="",업무일지!$H251=""),"사건번호·업무명 모두 없음; ","")&amp;IF(업무일지!$J251="","담당자 없음; ","")&amp;IF(COUNTIF(코드설정!$F$5:$F$7,업무일지!$AG251)=0,"진행상태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"&amp;업무일지!$H252)</f>
        <v/>
      </c>
      <c r="D284" s="45">
        <f>IF(NOT(COUNTBLANK(업무일지!$B252:$AH252)&lt;33),"",TRIM(IF(업무일지!$B252="","시작일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","")&amp;IF(COUNTIF(코드설정!$H$5:$H$7,업무일지!$D252)=0,"직무구분 누락; ","")&amp;IF(업무일지!$E252="","세부유형 누락; ",IF(AND(업무일지!$D252&lt;&gt;"",COUNTIFS(코드설정!$A$5:$A$21,업무일지!$D252,코드설정!$B$5:$B$21,업무일지!$E252)=0),"세부유형이 직무구분과 불일치; ",""))&amp;IF(AND(업무일지!$F252&lt;&gt;"",COUNTIF(사건마스터!$A$5:$A$64,업무일지!$F252)=0),"미등록 사건번호; ","")&amp;IF(AND(업무일지!$F252="",업무일지!$H252=""),"사건번호·업무명 모두 없음; ","")&amp;IF(업무일지!$J252="","담당자 없음; ","")&amp;IF(COUNTIF(코드설정!$F$5:$F$7,업무일지!$AG252)=0,"진행상태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"&amp;업무일지!$H253)</f>
        <v/>
      </c>
      <c r="D285" s="45">
        <f>IF(NOT(COUNTBLANK(업무일지!$B253:$AH253)&lt;33),"",TRIM(IF(업무일지!$B253="","시작일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","")&amp;IF(COUNTIF(코드설정!$H$5:$H$7,업무일지!$D253)=0,"직무구분 누락; ","")&amp;IF(업무일지!$E253="","세부유형 누락; ",IF(AND(업무일지!$D253&lt;&gt;"",COUNTIFS(코드설정!$A$5:$A$21,업무일지!$D253,코드설정!$B$5:$B$21,업무일지!$E253)=0),"세부유형이 직무구분과 불일치; ",""))&amp;IF(AND(업무일지!$F253&lt;&gt;"",COUNTIF(사건마스터!$A$5:$A$64,업무일지!$F253)=0),"미등록 사건번호; ","")&amp;IF(AND(업무일지!$F253="",업무일지!$H253=""),"사건번호·업무명 모두 없음; ","")&amp;IF(업무일지!$J253="","담당자 없음; ","")&amp;IF(COUNTIF(코드설정!$F$5:$F$7,업무일지!$AG253)=0,"진행상태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"&amp;업무일지!$H254)</f>
        <v/>
      </c>
      <c r="D286" s="45">
        <f>IF(NOT(COUNTBLANK(업무일지!$B254:$AH254)&lt;33),"",TRIM(IF(업무일지!$B254="","시작일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","")&amp;IF(COUNTIF(코드설정!$H$5:$H$7,업무일지!$D254)=0,"직무구분 누락; ","")&amp;IF(업무일지!$E254="","세부유형 누락; ",IF(AND(업무일지!$D254&lt;&gt;"",COUNTIFS(코드설정!$A$5:$A$21,업무일지!$D254,코드설정!$B$5:$B$21,업무일지!$E254)=0),"세부유형이 직무구분과 불일치; ",""))&amp;IF(AND(업무일지!$F254&lt;&gt;"",COUNTIF(사건마스터!$A$5:$A$64,업무일지!$F254)=0),"미등록 사건번호; ","")&amp;IF(AND(업무일지!$F254="",업무일지!$H254=""),"사건번호·업무명 모두 없음; ","")&amp;IF(업무일지!$J254="","담당자 없음; ","")&amp;IF(COUNTIF(코드설정!$F$5:$F$7,업무일지!$AG254)=0,"진행상태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"&amp;업무일지!$H255)</f>
        <v/>
      </c>
      <c r="D287" s="45">
        <f>IF(NOT(COUNTBLANK(업무일지!$B255:$AH255)&lt;33),"",TRIM(IF(업무일지!$B255="","시작일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","")&amp;IF(COUNTIF(코드설정!$H$5:$H$7,업무일지!$D255)=0,"직무구분 누락; ","")&amp;IF(업무일지!$E255="","세부유형 누락; ",IF(AND(업무일지!$D255&lt;&gt;"",COUNTIFS(코드설정!$A$5:$A$21,업무일지!$D255,코드설정!$B$5:$B$21,업무일지!$E255)=0),"세부유형이 직무구분과 불일치; ",""))&amp;IF(AND(업무일지!$F255&lt;&gt;"",COUNTIF(사건마스터!$A$5:$A$64,업무일지!$F255)=0),"미등록 사건번호; ","")&amp;IF(AND(업무일지!$F255="",업무일지!$H255=""),"사건번호·업무명 모두 없음; ","")&amp;IF(업무일지!$J255="","담당자 없음; ","")&amp;IF(COUNTIF(코드설정!$F$5:$F$7,업무일지!$AG255)=0,"진행상태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"&amp;업무일지!$H256)</f>
        <v/>
      </c>
      <c r="D288" s="45">
        <f>IF(NOT(COUNTBLANK(업무일지!$B256:$AH256)&lt;33),"",TRIM(IF(업무일지!$B256="","시작일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","")&amp;IF(COUNTIF(코드설정!$H$5:$H$7,업무일지!$D256)=0,"직무구분 누락; ","")&amp;IF(업무일지!$E256="","세부유형 누락; ",IF(AND(업무일지!$D256&lt;&gt;"",COUNTIFS(코드설정!$A$5:$A$21,업무일지!$D256,코드설정!$B$5:$B$21,업무일지!$E256)=0),"세부유형이 직무구분과 불일치; ",""))&amp;IF(AND(업무일지!$F256&lt;&gt;"",COUNTIF(사건마스터!$A$5:$A$64,업무일지!$F256)=0),"미등록 사건번호; ","")&amp;IF(AND(업무일지!$F256="",업무일지!$H256=""),"사건번호·업무명 모두 없음; ","")&amp;IF(업무일지!$J256="","담당자 없음; ","")&amp;IF(COUNTIF(코드설정!$F$5:$F$7,업무일지!$AG256)=0,"진행상태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"&amp;업무일지!$H257)</f>
        <v/>
      </c>
      <c r="D289" s="45">
        <f>IF(NOT(COUNTBLANK(업무일지!$B257:$AH257)&lt;33),"",TRIM(IF(업무일지!$B257="","시작일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","")&amp;IF(COUNTIF(코드설정!$H$5:$H$7,업무일지!$D257)=0,"직무구분 누락; ","")&amp;IF(업무일지!$E257="","세부유형 누락; ",IF(AND(업무일지!$D257&lt;&gt;"",COUNTIFS(코드설정!$A$5:$A$21,업무일지!$D257,코드설정!$B$5:$B$21,업무일지!$E257)=0),"세부유형이 직무구분과 불일치; ",""))&amp;IF(AND(업무일지!$F257&lt;&gt;"",COUNTIF(사건마스터!$A$5:$A$64,업무일지!$F257)=0),"미등록 사건번호; ","")&amp;IF(AND(업무일지!$F257="",업무일지!$H257=""),"사건번호·업무명 모두 없음; ","")&amp;IF(업무일지!$J257="","담당자 없음; ","")&amp;IF(COUNTIF(코드설정!$F$5:$F$7,업무일지!$AG257)=0,"진행상태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"&amp;업무일지!$H258)</f>
        <v/>
      </c>
      <c r="D290" s="45">
        <f>IF(NOT(COUNTBLANK(업무일지!$B258:$AH258)&lt;33),"",TRIM(IF(업무일지!$B258="","시작일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","")&amp;IF(COUNTIF(코드설정!$H$5:$H$7,업무일지!$D258)=0,"직무구분 누락; ","")&amp;IF(업무일지!$E258="","세부유형 누락; ",IF(AND(업무일지!$D258&lt;&gt;"",COUNTIFS(코드설정!$A$5:$A$21,업무일지!$D258,코드설정!$B$5:$B$21,업무일지!$E258)=0),"세부유형이 직무구분과 불일치; ",""))&amp;IF(AND(업무일지!$F258&lt;&gt;"",COUNTIF(사건마스터!$A$5:$A$64,업무일지!$F258)=0),"미등록 사건번호; ","")&amp;IF(AND(업무일지!$F258="",업무일지!$H258=""),"사건번호·업무명 모두 없음; ","")&amp;IF(업무일지!$J258="","담당자 없음; ","")&amp;IF(COUNTIF(코드설정!$F$5:$F$7,업무일지!$AG258)=0,"진행상태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"&amp;업무일지!$H259)</f>
        <v/>
      </c>
      <c r="D291" s="45">
        <f>IF(NOT(COUNTBLANK(업무일지!$B259:$AH259)&lt;33),"",TRIM(IF(업무일지!$B259="","시작일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","")&amp;IF(COUNTIF(코드설정!$H$5:$H$7,업무일지!$D259)=0,"직무구분 누락; ","")&amp;IF(업무일지!$E259="","세부유형 누락; ",IF(AND(업무일지!$D259&lt;&gt;"",COUNTIFS(코드설정!$A$5:$A$21,업무일지!$D259,코드설정!$B$5:$B$21,업무일지!$E259)=0),"세부유형이 직무구분과 불일치; ",""))&amp;IF(AND(업무일지!$F259&lt;&gt;"",COUNTIF(사건마스터!$A$5:$A$64,업무일지!$F259)=0),"미등록 사건번호; ","")&amp;IF(AND(업무일지!$F259="",업무일지!$H259=""),"사건번호·업무명 모두 없음; ","")&amp;IF(업무일지!$J259="","담당자 없음; ","")&amp;IF(COUNTIF(코드설정!$F$5:$F$7,업무일지!$AG259)=0,"진행상태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"&amp;업무일지!$H260)</f>
        <v/>
      </c>
      <c r="D292" s="45">
        <f>IF(NOT(COUNTBLANK(업무일지!$B260:$AH260)&lt;33),"",TRIM(IF(업무일지!$B260="","시작일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","")&amp;IF(COUNTIF(코드설정!$H$5:$H$7,업무일지!$D260)=0,"직무구분 누락; ","")&amp;IF(업무일지!$E260="","세부유형 누락; ",IF(AND(업무일지!$D260&lt;&gt;"",COUNTIFS(코드설정!$A$5:$A$21,업무일지!$D260,코드설정!$B$5:$B$21,업무일지!$E260)=0),"세부유형이 직무구분과 불일치; ",""))&amp;IF(AND(업무일지!$F260&lt;&gt;"",COUNTIF(사건마스터!$A$5:$A$64,업무일지!$F260)=0),"미등록 사건번호; ","")&amp;IF(AND(업무일지!$F260="",업무일지!$H260=""),"사건번호·업무명 모두 없음; ","")&amp;IF(업무일지!$J260="","담당자 없음; ","")&amp;IF(COUNTIF(코드설정!$F$5:$F$7,업무일지!$AG260)=0,"진행상태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"&amp;업무일지!$H261)</f>
        <v/>
      </c>
      <c r="D293" s="45">
        <f>IF(NOT(COUNTBLANK(업무일지!$B261:$AH261)&lt;33),"",TRIM(IF(업무일지!$B261="","시작일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","")&amp;IF(COUNTIF(코드설정!$H$5:$H$7,업무일지!$D261)=0,"직무구분 누락; ","")&amp;IF(업무일지!$E261="","세부유형 누락; ",IF(AND(업무일지!$D261&lt;&gt;"",COUNTIFS(코드설정!$A$5:$A$21,업무일지!$D261,코드설정!$B$5:$B$21,업무일지!$E261)=0),"세부유형이 직무구분과 불일치; ",""))&amp;IF(AND(업무일지!$F261&lt;&gt;"",COUNTIF(사건마스터!$A$5:$A$64,업무일지!$F261)=0),"미등록 사건번호; ","")&amp;IF(AND(업무일지!$F261="",업무일지!$H261=""),"사건번호·업무명 모두 없음; ","")&amp;IF(업무일지!$J261="","담당자 없음; ","")&amp;IF(COUNTIF(코드설정!$F$5:$F$7,업무일지!$AG261)=0,"진행상태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"&amp;업무일지!$H262)</f>
        <v/>
      </c>
      <c r="D294" s="45">
        <f>IF(NOT(COUNTBLANK(업무일지!$B262:$AH262)&lt;33),"",TRIM(IF(업무일지!$B262="","시작일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","")&amp;IF(COUNTIF(코드설정!$H$5:$H$7,업무일지!$D262)=0,"직무구분 누락; ","")&amp;IF(업무일지!$E262="","세부유형 누락; ",IF(AND(업무일지!$D262&lt;&gt;"",COUNTIFS(코드설정!$A$5:$A$21,업무일지!$D262,코드설정!$B$5:$B$21,업무일지!$E262)=0),"세부유형이 직무구분과 불일치; ",""))&amp;IF(AND(업무일지!$F262&lt;&gt;"",COUNTIF(사건마스터!$A$5:$A$64,업무일지!$F262)=0),"미등록 사건번호; ","")&amp;IF(AND(업무일지!$F262="",업무일지!$H262=""),"사건번호·업무명 모두 없음; ","")&amp;IF(업무일지!$J262="","담당자 없음; ","")&amp;IF(COUNTIF(코드설정!$F$5:$F$7,업무일지!$AG262)=0,"진행상태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"&amp;업무일지!$H263)</f>
        <v/>
      </c>
      <c r="D295" s="45">
        <f>IF(NOT(COUNTBLANK(업무일지!$B263:$AH263)&lt;33),"",TRIM(IF(업무일지!$B263="","시작일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","")&amp;IF(COUNTIF(코드설정!$H$5:$H$7,업무일지!$D263)=0,"직무구분 누락; ","")&amp;IF(업무일지!$E263="","세부유형 누락; ",IF(AND(업무일지!$D263&lt;&gt;"",COUNTIFS(코드설정!$A$5:$A$21,업무일지!$D263,코드설정!$B$5:$B$21,업무일지!$E263)=0),"세부유형이 직무구분과 불일치; ",""))&amp;IF(AND(업무일지!$F263&lt;&gt;"",COUNTIF(사건마스터!$A$5:$A$64,업무일지!$F263)=0),"미등록 사건번호; ","")&amp;IF(AND(업무일지!$F263="",업무일지!$H263=""),"사건번호·업무명 모두 없음; ","")&amp;IF(업무일지!$J263="","담당자 없음; ","")&amp;IF(COUNTIF(코드설정!$F$5:$F$7,업무일지!$AG263)=0,"진행상태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"&amp;업무일지!$H264)</f>
        <v/>
      </c>
      <c r="D296" s="45">
        <f>IF(NOT(COUNTBLANK(업무일지!$B264:$AH264)&lt;33),"",TRIM(IF(업무일지!$B264="","시작일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","")&amp;IF(COUNTIF(코드설정!$H$5:$H$7,업무일지!$D264)=0,"직무구분 누락; ","")&amp;IF(업무일지!$E264="","세부유형 누락; ",IF(AND(업무일지!$D264&lt;&gt;"",COUNTIFS(코드설정!$A$5:$A$21,업무일지!$D264,코드설정!$B$5:$B$21,업무일지!$E264)=0),"세부유형이 직무구분과 불일치; ",""))&amp;IF(AND(업무일지!$F264&lt;&gt;"",COUNTIF(사건마스터!$A$5:$A$64,업무일지!$F264)=0),"미등록 사건번호; ","")&amp;IF(AND(업무일지!$F264="",업무일지!$H264=""),"사건번호·업무명 모두 없음; ","")&amp;IF(업무일지!$J264="","담당자 없음; ","")&amp;IF(COUNTIF(코드설정!$F$5:$F$7,업무일지!$AG264)=0,"진행상태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"&amp;업무일지!$H265)</f>
        <v/>
      </c>
      <c r="D297" s="45">
        <f>IF(NOT(COUNTBLANK(업무일지!$B265:$AH265)&lt;33),"",TRIM(IF(업무일지!$B265="","시작일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","")&amp;IF(COUNTIF(코드설정!$H$5:$H$7,업무일지!$D265)=0,"직무구분 누락; ","")&amp;IF(업무일지!$E265="","세부유형 누락; ",IF(AND(업무일지!$D265&lt;&gt;"",COUNTIFS(코드설정!$A$5:$A$21,업무일지!$D265,코드설정!$B$5:$B$21,업무일지!$E265)=0),"세부유형이 직무구분과 불일치; ",""))&amp;IF(AND(업무일지!$F265&lt;&gt;"",COUNTIF(사건마스터!$A$5:$A$64,업무일지!$F265)=0),"미등록 사건번호; ","")&amp;IF(AND(업무일지!$F265="",업무일지!$H265=""),"사건번호·업무명 모두 없음; ","")&amp;IF(업무일지!$J265="","담당자 없음; ","")&amp;IF(COUNTIF(코드설정!$F$5:$F$7,업무일지!$AG265)=0,"진행상태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"&amp;업무일지!$H266)</f>
        <v/>
      </c>
      <c r="D298" s="45">
        <f>IF(NOT(COUNTBLANK(업무일지!$B266:$AH266)&lt;33),"",TRIM(IF(업무일지!$B266="","시작일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","")&amp;IF(COUNTIF(코드설정!$H$5:$H$7,업무일지!$D266)=0,"직무구분 누락; ","")&amp;IF(업무일지!$E266="","세부유형 누락; ",IF(AND(업무일지!$D266&lt;&gt;"",COUNTIFS(코드설정!$A$5:$A$21,업무일지!$D266,코드설정!$B$5:$B$21,업무일지!$E266)=0),"세부유형이 직무구분과 불일치; ",""))&amp;IF(AND(업무일지!$F266&lt;&gt;"",COUNTIF(사건마스터!$A$5:$A$64,업무일지!$F266)=0),"미등록 사건번호; ","")&amp;IF(AND(업무일지!$F266="",업무일지!$H266=""),"사건번호·업무명 모두 없음; ","")&amp;IF(업무일지!$J266="","담당자 없음; ","")&amp;IF(COUNTIF(코드설정!$F$5:$F$7,업무일지!$AG266)=0,"진행상태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"&amp;업무일지!$H267)</f>
        <v/>
      </c>
      <c r="D299" s="45">
        <f>IF(NOT(COUNTBLANK(업무일지!$B267:$AH267)&lt;33),"",TRIM(IF(업무일지!$B267="","시작일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","")&amp;IF(COUNTIF(코드설정!$H$5:$H$7,업무일지!$D267)=0,"직무구분 누락; ","")&amp;IF(업무일지!$E267="","세부유형 누락; ",IF(AND(업무일지!$D267&lt;&gt;"",COUNTIFS(코드설정!$A$5:$A$21,업무일지!$D267,코드설정!$B$5:$B$21,업무일지!$E267)=0),"세부유형이 직무구분과 불일치; ",""))&amp;IF(AND(업무일지!$F267&lt;&gt;"",COUNTIF(사건마스터!$A$5:$A$64,업무일지!$F267)=0),"미등록 사건번호; ","")&amp;IF(AND(업무일지!$F267="",업무일지!$H267=""),"사건번호·업무명 모두 없음; ","")&amp;IF(업무일지!$J267="","담당자 없음; ","")&amp;IF(COUNTIF(코드설정!$F$5:$F$7,업무일지!$AG267)=0,"진행상태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"&amp;업무일지!$H268)</f>
        <v/>
      </c>
      <c r="D300" s="45">
        <f>IF(NOT(COUNTBLANK(업무일지!$B268:$AH268)&lt;33),"",TRIM(IF(업무일지!$B268="","시작일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","")&amp;IF(COUNTIF(코드설정!$H$5:$H$7,업무일지!$D268)=0,"직무구분 누락; ","")&amp;IF(업무일지!$E268="","세부유형 누락; ",IF(AND(업무일지!$D268&lt;&gt;"",COUNTIFS(코드설정!$A$5:$A$21,업무일지!$D268,코드설정!$B$5:$B$21,업무일지!$E268)=0),"세부유형이 직무구분과 불일치; ",""))&amp;IF(AND(업무일지!$F268&lt;&gt;"",COUNTIF(사건마스터!$A$5:$A$64,업무일지!$F268)=0),"미등록 사건번호; ","")&amp;IF(AND(업무일지!$F268="",업무일지!$H268=""),"사건번호·업무명 모두 없음; ","")&amp;IF(업무일지!$J268="","담당자 없음; ","")&amp;IF(COUNTIF(코드설정!$F$5:$F$7,업무일지!$AG268)=0,"진행상태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"&amp;업무일지!$H269)</f>
        <v/>
      </c>
      <c r="D301" s="45">
        <f>IF(NOT(COUNTBLANK(업무일지!$B269:$AH269)&lt;33),"",TRIM(IF(업무일지!$B269="","시작일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","")&amp;IF(COUNTIF(코드설정!$H$5:$H$7,업무일지!$D269)=0,"직무구분 누락; ","")&amp;IF(업무일지!$E269="","세부유형 누락; ",IF(AND(업무일지!$D269&lt;&gt;"",COUNTIFS(코드설정!$A$5:$A$21,업무일지!$D269,코드설정!$B$5:$B$21,업무일지!$E269)=0),"세부유형이 직무구분과 불일치; ",""))&amp;IF(AND(업무일지!$F269&lt;&gt;"",COUNTIF(사건마스터!$A$5:$A$64,업무일지!$F269)=0),"미등록 사건번호; ","")&amp;IF(AND(업무일지!$F269="",업무일지!$H269=""),"사건번호·업무명 모두 없음; ","")&amp;IF(업무일지!$J269="","담당자 없음; ","")&amp;IF(COUNTIF(코드설정!$F$5:$F$7,업무일지!$AG269)=0,"진행상태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"&amp;업무일지!$H270)</f>
        <v/>
      </c>
      <c r="D302" s="45">
        <f>IF(NOT(COUNTBLANK(업무일지!$B270:$AH270)&lt;33),"",TRIM(IF(업무일지!$B270="","시작일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","")&amp;IF(COUNTIF(코드설정!$H$5:$H$7,업무일지!$D270)=0,"직무구분 누락; ","")&amp;IF(업무일지!$E270="","세부유형 누락; ",IF(AND(업무일지!$D270&lt;&gt;"",COUNTIFS(코드설정!$A$5:$A$21,업무일지!$D270,코드설정!$B$5:$B$21,업무일지!$E270)=0),"세부유형이 직무구분과 불일치; ",""))&amp;IF(AND(업무일지!$F270&lt;&gt;"",COUNTIF(사건마스터!$A$5:$A$64,업무일지!$F270)=0),"미등록 사건번호; ","")&amp;IF(AND(업무일지!$F270="",업무일지!$H270=""),"사건번호·업무명 모두 없음; ","")&amp;IF(업무일지!$J270="","담당자 없음; ","")&amp;IF(COUNTIF(코드설정!$F$5:$F$7,업무일지!$AG270)=0,"진행상태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"&amp;업무일지!$H271)</f>
        <v/>
      </c>
      <c r="D303" s="45">
        <f>IF(NOT(COUNTBLANK(업무일지!$B271:$AH271)&lt;33),"",TRIM(IF(업무일지!$B271="","시작일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","")&amp;IF(COUNTIF(코드설정!$H$5:$H$7,업무일지!$D271)=0,"직무구분 누락; ","")&amp;IF(업무일지!$E271="","세부유형 누락; ",IF(AND(업무일지!$D271&lt;&gt;"",COUNTIFS(코드설정!$A$5:$A$21,업무일지!$D271,코드설정!$B$5:$B$21,업무일지!$E271)=0),"세부유형이 직무구분과 불일치; ",""))&amp;IF(AND(업무일지!$F271&lt;&gt;"",COUNTIF(사건마스터!$A$5:$A$64,업무일지!$F271)=0),"미등록 사건번호; ","")&amp;IF(AND(업무일지!$F271="",업무일지!$H271=""),"사건번호·업무명 모두 없음; ","")&amp;IF(업무일지!$J271="","담당자 없음; ","")&amp;IF(COUNTIF(코드설정!$F$5:$F$7,업무일지!$AG271)=0,"진행상태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"&amp;업무일지!$H272)</f>
        <v/>
      </c>
      <c r="D304" s="45">
        <f>IF(NOT(COUNTBLANK(업무일지!$B272:$AH272)&lt;33),"",TRIM(IF(업무일지!$B272="","시작일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","")&amp;IF(COUNTIF(코드설정!$H$5:$H$7,업무일지!$D272)=0,"직무구분 누락; ","")&amp;IF(업무일지!$E272="","세부유형 누락; ",IF(AND(업무일지!$D272&lt;&gt;"",COUNTIFS(코드설정!$A$5:$A$21,업무일지!$D272,코드설정!$B$5:$B$21,업무일지!$E272)=0),"세부유형이 직무구분과 불일치; ",""))&amp;IF(AND(업무일지!$F272&lt;&gt;"",COUNTIF(사건마스터!$A$5:$A$64,업무일지!$F272)=0),"미등록 사건번호; ","")&amp;IF(AND(업무일지!$F272="",업무일지!$H272=""),"사건번호·업무명 모두 없음; ","")&amp;IF(업무일지!$J272="","담당자 없음; ","")&amp;IF(COUNTIF(코드설정!$F$5:$F$7,업무일지!$AG272)=0,"진행상태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"&amp;업무일지!$H273)</f>
        <v/>
      </c>
      <c r="D305" s="45">
        <f>IF(NOT(COUNTBLANK(업무일지!$B273:$AH273)&lt;33),"",TRIM(IF(업무일지!$B273="","시작일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","")&amp;IF(COUNTIF(코드설정!$H$5:$H$7,업무일지!$D273)=0,"직무구분 누락; ","")&amp;IF(업무일지!$E273="","세부유형 누락; ",IF(AND(업무일지!$D273&lt;&gt;"",COUNTIFS(코드설정!$A$5:$A$21,업무일지!$D273,코드설정!$B$5:$B$21,업무일지!$E273)=0),"세부유형이 직무구분과 불일치; ",""))&amp;IF(AND(업무일지!$F273&lt;&gt;"",COUNTIF(사건마스터!$A$5:$A$64,업무일지!$F273)=0),"미등록 사건번호; ","")&amp;IF(AND(업무일지!$F273="",업무일지!$H273=""),"사건번호·업무명 모두 없음; ","")&amp;IF(업무일지!$J273="","담당자 없음; ","")&amp;IF(COUNTIF(코드설정!$F$5:$F$7,업무일지!$AG273)=0,"진행상태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"&amp;업무일지!$H274)</f>
        <v/>
      </c>
      <c r="D306" s="45">
        <f>IF(NOT(COUNTBLANK(업무일지!$B274:$AH274)&lt;33),"",TRIM(IF(업무일지!$B274="","시작일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","")&amp;IF(COUNTIF(코드설정!$H$5:$H$7,업무일지!$D274)=0,"직무구분 누락; ","")&amp;IF(업무일지!$E274="","세부유형 누락; ",IF(AND(업무일지!$D274&lt;&gt;"",COUNTIFS(코드설정!$A$5:$A$21,업무일지!$D274,코드설정!$B$5:$B$21,업무일지!$E274)=0),"세부유형이 직무구분과 불일치; ",""))&amp;IF(AND(업무일지!$F274&lt;&gt;"",COUNTIF(사건마스터!$A$5:$A$64,업무일지!$F274)=0),"미등록 사건번호; ","")&amp;IF(AND(업무일지!$F274="",업무일지!$H274=""),"사건번호·업무명 모두 없음; ","")&amp;IF(업무일지!$J274="","담당자 없음; ","")&amp;IF(COUNTIF(코드설정!$F$5:$F$7,업무일지!$AG274)=0,"진행상태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"&amp;업무일지!$H275)</f>
        <v/>
      </c>
      <c r="D307" s="45">
        <f>IF(NOT(COUNTBLANK(업무일지!$B275:$AH275)&lt;33),"",TRIM(IF(업무일지!$B275="","시작일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","")&amp;IF(COUNTIF(코드설정!$H$5:$H$7,업무일지!$D275)=0,"직무구분 누락; ","")&amp;IF(업무일지!$E275="","세부유형 누락; ",IF(AND(업무일지!$D275&lt;&gt;"",COUNTIFS(코드설정!$A$5:$A$21,업무일지!$D275,코드설정!$B$5:$B$21,업무일지!$E275)=0),"세부유형이 직무구분과 불일치; ",""))&amp;IF(AND(업무일지!$F275&lt;&gt;"",COUNTIF(사건마스터!$A$5:$A$64,업무일지!$F275)=0),"미등록 사건번호; ","")&amp;IF(AND(업무일지!$F275="",업무일지!$H275=""),"사건번호·업무명 모두 없음; ","")&amp;IF(업무일지!$J275="","담당자 없음; ","")&amp;IF(COUNTIF(코드설정!$F$5:$F$7,업무일지!$AG275)=0,"진행상태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"&amp;업무일지!$H276)</f>
        <v/>
      </c>
      <c r="D308" s="45">
        <f>IF(NOT(COUNTBLANK(업무일지!$B276:$AH276)&lt;33),"",TRIM(IF(업무일지!$B276="","시작일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","")&amp;IF(COUNTIF(코드설정!$H$5:$H$7,업무일지!$D276)=0,"직무구분 누락; ","")&amp;IF(업무일지!$E276="","세부유형 누락; ",IF(AND(업무일지!$D276&lt;&gt;"",COUNTIFS(코드설정!$A$5:$A$21,업무일지!$D276,코드설정!$B$5:$B$21,업무일지!$E276)=0),"세부유형이 직무구분과 불일치; ",""))&amp;IF(AND(업무일지!$F276&lt;&gt;"",COUNTIF(사건마스터!$A$5:$A$64,업무일지!$F276)=0),"미등록 사건번호; ","")&amp;IF(AND(업무일지!$F276="",업무일지!$H276=""),"사건번호·업무명 모두 없음; ","")&amp;IF(업무일지!$J276="","담당자 없음; ","")&amp;IF(COUNTIF(코드설정!$F$5:$F$7,업무일지!$AG276)=0,"진행상태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"&amp;업무일지!$H277)</f>
        <v/>
      </c>
      <c r="D309" s="45">
        <f>IF(NOT(COUNTBLANK(업무일지!$B277:$AH277)&lt;33),"",TRIM(IF(업무일지!$B277="","시작일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","")&amp;IF(COUNTIF(코드설정!$H$5:$H$7,업무일지!$D277)=0,"직무구분 누락; ","")&amp;IF(업무일지!$E277="","세부유형 누락; ",IF(AND(업무일지!$D277&lt;&gt;"",COUNTIFS(코드설정!$A$5:$A$21,업무일지!$D277,코드설정!$B$5:$B$21,업무일지!$E277)=0),"세부유형이 직무구분과 불일치; ",""))&amp;IF(AND(업무일지!$F277&lt;&gt;"",COUNTIF(사건마스터!$A$5:$A$64,업무일지!$F277)=0),"미등록 사건번호; ","")&amp;IF(AND(업무일지!$F277="",업무일지!$H277=""),"사건번호·업무명 모두 없음; ","")&amp;IF(업무일지!$J277="","담당자 없음; ","")&amp;IF(COUNTIF(코드설정!$F$5:$F$7,업무일지!$AG277)=0,"진행상태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"&amp;업무일지!$H278)</f>
        <v/>
      </c>
      <c r="D310" s="45">
        <f>IF(NOT(COUNTBLANK(업무일지!$B278:$AH278)&lt;33),"",TRIM(IF(업무일지!$B278="","시작일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","")&amp;IF(COUNTIF(코드설정!$H$5:$H$7,업무일지!$D278)=0,"직무구분 누락; ","")&amp;IF(업무일지!$E278="","세부유형 누락; ",IF(AND(업무일지!$D278&lt;&gt;"",COUNTIFS(코드설정!$A$5:$A$21,업무일지!$D278,코드설정!$B$5:$B$21,업무일지!$E278)=0),"세부유형이 직무구분과 불일치; ",""))&amp;IF(AND(업무일지!$F278&lt;&gt;"",COUNTIF(사건마스터!$A$5:$A$64,업무일지!$F278)=0),"미등록 사건번호; ","")&amp;IF(AND(업무일지!$F278="",업무일지!$H278=""),"사건번호·업무명 모두 없음; ","")&amp;IF(업무일지!$J278="","담당자 없음; ","")&amp;IF(COUNTIF(코드설정!$F$5:$F$7,업무일지!$AG278)=0,"진행상태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"&amp;업무일지!$H279)</f>
        <v/>
      </c>
      <c r="D311" s="45">
        <f>IF(NOT(COUNTBLANK(업무일지!$B279:$AH279)&lt;33),"",TRIM(IF(업무일지!$B279="","시작일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","")&amp;IF(COUNTIF(코드설정!$H$5:$H$7,업무일지!$D279)=0,"직무구분 누락; ","")&amp;IF(업무일지!$E279="","세부유형 누락; ",IF(AND(업무일지!$D279&lt;&gt;"",COUNTIFS(코드설정!$A$5:$A$21,업무일지!$D279,코드설정!$B$5:$B$21,업무일지!$E279)=0),"세부유형이 직무구분과 불일치; ",""))&amp;IF(AND(업무일지!$F279&lt;&gt;"",COUNTIF(사건마스터!$A$5:$A$64,업무일지!$F279)=0),"미등록 사건번호; ","")&amp;IF(AND(업무일지!$F279="",업무일지!$H279=""),"사건번호·업무명 모두 없음; ","")&amp;IF(업무일지!$J279="","담당자 없음; ","")&amp;IF(COUNTIF(코드설정!$F$5:$F$7,업무일지!$AG279)=0,"진행상태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"&amp;업무일지!$H280)</f>
        <v/>
      </c>
      <c r="D312" s="45">
        <f>IF(NOT(COUNTBLANK(업무일지!$B280:$AH280)&lt;33),"",TRIM(IF(업무일지!$B280="","시작일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","")&amp;IF(COUNTIF(코드설정!$H$5:$H$7,업무일지!$D280)=0,"직무구분 누락; ","")&amp;IF(업무일지!$E280="","세부유형 누락; ",IF(AND(업무일지!$D280&lt;&gt;"",COUNTIFS(코드설정!$A$5:$A$21,업무일지!$D280,코드설정!$B$5:$B$21,업무일지!$E280)=0),"세부유형이 직무구분과 불일치; ",""))&amp;IF(AND(업무일지!$F280&lt;&gt;"",COUNTIF(사건마스터!$A$5:$A$64,업무일지!$F280)=0),"미등록 사건번호; ","")&amp;IF(AND(업무일지!$F280="",업무일지!$H280=""),"사건번호·업무명 모두 없음; ","")&amp;IF(업무일지!$J280="","담당자 없음; ","")&amp;IF(COUNTIF(코드설정!$F$5:$F$7,업무일지!$AG280)=0,"진행상태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"&amp;업무일지!$H281)</f>
        <v/>
      </c>
      <c r="D313" s="45">
        <f>IF(NOT(COUNTBLANK(업무일지!$B281:$AH281)&lt;33),"",TRIM(IF(업무일지!$B281="","시작일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","")&amp;IF(COUNTIF(코드설정!$H$5:$H$7,업무일지!$D281)=0,"직무구분 누락; ","")&amp;IF(업무일지!$E281="","세부유형 누락; ",IF(AND(업무일지!$D281&lt;&gt;"",COUNTIFS(코드설정!$A$5:$A$21,업무일지!$D281,코드설정!$B$5:$B$21,업무일지!$E281)=0),"세부유형이 직무구분과 불일치; ",""))&amp;IF(AND(업무일지!$F281&lt;&gt;"",COUNTIF(사건마스터!$A$5:$A$64,업무일지!$F281)=0),"미등록 사건번호; ","")&amp;IF(AND(업무일지!$F281="",업무일지!$H281=""),"사건번호·업무명 모두 없음; ","")&amp;IF(업무일지!$J281="","담당자 없음; ","")&amp;IF(COUNTIF(코드설정!$F$5:$F$7,업무일지!$AG281)=0,"진행상태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"&amp;업무일지!$H282)</f>
        <v/>
      </c>
      <c r="D314" s="45">
        <f>IF(NOT(COUNTBLANK(업무일지!$B282:$AH282)&lt;33),"",TRIM(IF(업무일지!$B282="","시작일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","")&amp;IF(COUNTIF(코드설정!$H$5:$H$7,업무일지!$D282)=0,"직무구분 누락; ","")&amp;IF(업무일지!$E282="","세부유형 누락; ",IF(AND(업무일지!$D282&lt;&gt;"",COUNTIFS(코드설정!$A$5:$A$21,업무일지!$D282,코드설정!$B$5:$B$21,업무일지!$E282)=0),"세부유형이 직무구분과 불일치; ",""))&amp;IF(AND(업무일지!$F282&lt;&gt;"",COUNTIF(사건마스터!$A$5:$A$64,업무일지!$F282)=0),"미등록 사건번호; ","")&amp;IF(AND(업무일지!$F282="",업무일지!$H282=""),"사건번호·업무명 모두 없음; ","")&amp;IF(업무일지!$J282="","담당자 없음; ","")&amp;IF(COUNTIF(코드설정!$F$5:$F$7,업무일지!$AG282)=0,"진행상태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"&amp;업무일지!$H283)</f>
        <v/>
      </c>
      <c r="D315" s="45">
        <f>IF(NOT(COUNTBLANK(업무일지!$B283:$AH283)&lt;33),"",TRIM(IF(업무일지!$B283="","시작일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","")&amp;IF(COUNTIF(코드설정!$H$5:$H$7,업무일지!$D283)=0,"직무구분 누락; ","")&amp;IF(업무일지!$E283="","세부유형 누락; ",IF(AND(업무일지!$D283&lt;&gt;"",COUNTIFS(코드설정!$A$5:$A$21,업무일지!$D283,코드설정!$B$5:$B$21,업무일지!$E283)=0),"세부유형이 직무구분과 불일치; ",""))&amp;IF(AND(업무일지!$F283&lt;&gt;"",COUNTIF(사건마스터!$A$5:$A$64,업무일지!$F283)=0),"미등록 사건번호; ","")&amp;IF(AND(업무일지!$F283="",업무일지!$H283=""),"사건번호·업무명 모두 없음; ","")&amp;IF(업무일지!$J283="","담당자 없음; ","")&amp;IF(COUNTIF(코드설정!$F$5:$F$7,업무일지!$AG283)=0,"진행상태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"&amp;업무일지!$H284)</f>
        <v/>
      </c>
      <c r="D316" s="45">
        <f>IF(NOT(COUNTBLANK(업무일지!$B284:$AH284)&lt;33),"",TRIM(IF(업무일지!$B284="","시작일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","")&amp;IF(COUNTIF(코드설정!$H$5:$H$7,업무일지!$D284)=0,"직무구분 누락; ","")&amp;IF(업무일지!$E284="","세부유형 누락; ",IF(AND(업무일지!$D284&lt;&gt;"",COUNTIFS(코드설정!$A$5:$A$21,업무일지!$D284,코드설정!$B$5:$B$21,업무일지!$E284)=0),"세부유형이 직무구분과 불일치; ",""))&amp;IF(AND(업무일지!$F284&lt;&gt;"",COUNTIF(사건마스터!$A$5:$A$64,업무일지!$F284)=0),"미등록 사건번호; ","")&amp;IF(AND(업무일지!$F284="",업무일지!$H284=""),"사건번호·업무명 모두 없음; ","")&amp;IF(업무일지!$J284="","담당자 없음; ","")&amp;IF(COUNTIF(코드설정!$F$5:$F$7,업무일지!$AG284)=0,"진행상태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"&amp;업무일지!$H285)</f>
        <v/>
      </c>
      <c r="D317" s="45">
        <f>IF(NOT(COUNTBLANK(업무일지!$B285:$AH285)&lt;33),"",TRIM(IF(업무일지!$B285="","시작일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","")&amp;IF(COUNTIF(코드설정!$H$5:$H$7,업무일지!$D285)=0,"직무구분 누락; ","")&amp;IF(업무일지!$E285="","세부유형 누락; ",IF(AND(업무일지!$D285&lt;&gt;"",COUNTIFS(코드설정!$A$5:$A$21,업무일지!$D285,코드설정!$B$5:$B$21,업무일지!$E285)=0),"세부유형이 직무구분과 불일치; ",""))&amp;IF(AND(업무일지!$F285&lt;&gt;"",COUNTIF(사건마스터!$A$5:$A$64,업무일지!$F285)=0),"미등록 사건번호; ","")&amp;IF(AND(업무일지!$F285="",업무일지!$H285=""),"사건번호·업무명 모두 없음; ","")&amp;IF(업무일지!$J285="","담당자 없음; ","")&amp;IF(COUNTIF(코드설정!$F$5:$F$7,업무일지!$AG285)=0,"진행상태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"&amp;업무일지!$H286)</f>
        <v/>
      </c>
      <c r="D318" s="45">
        <f>IF(NOT(COUNTBLANK(업무일지!$B286:$AH286)&lt;33),"",TRIM(IF(업무일지!$B286="","시작일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","")&amp;IF(COUNTIF(코드설정!$H$5:$H$7,업무일지!$D286)=0,"직무구분 누락; ","")&amp;IF(업무일지!$E286="","세부유형 누락; ",IF(AND(업무일지!$D286&lt;&gt;"",COUNTIFS(코드설정!$A$5:$A$21,업무일지!$D286,코드설정!$B$5:$B$21,업무일지!$E286)=0),"세부유형이 직무구분과 불일치; ",""))&amp;IF(AND(업무일지!$F286&lt;&gt;"",COUNTIF(사건마스터!$A$5:$A$64,업무일지!$F286)=0),"미등록 사건번호; ","")&amp;IF(AND(업무일지!$F286="",업무일지!$H286=""),"사건번호·업무명 모두 없음; ","")&amp;IF(업무일지!$J286="","담당자 없음; ","")&amp;IF(COUNTIF(코드설정!$F$5:$F$7,업무일지!$AG286)=0,"진행상태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"&amp;업무일지!$H287)</f>
        <v/>
      </c>
      <c r="D319" s="45">
        <f>IF(NOT(COUNTBLANK(업무일지!$B287:$AH287)&lt;33),"",TRIM(IF(업무일지!$B287="","시작일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","")&amp;IF(COUNTIF(코드설정!$H$5:$H$7,업무일지!$D287)=0,"직무구분 누락; ","")&amp;IF(업무일지!$E287="","세부유형 누락; ",IF(AND(업무일지!$D287&lt;&gt;"",COUNTIFS(코드설정!$A$5:$A$21,업무일지!$D287,코드설정!$B$5:$B$21,업무일지!$E287)=0),"세부유형이 직무구분과 불일치; ",""))&amp;IF(AND(업무일지!$F287&lt;&gt;"",COUNTIF(사건마스터!$A$5:$A$64,업무일지!$F287)=0),"미등록 사건번호; ","")&amp;IF(AND(업무일지!$F287="",업무일지!$H287=""),"사건번호·업무명 모두 없음; ","")&amp;IF(업무일지!$J287="","담당자 없음; ","")&amp;IF(COUNTIF(코드설정!$F$5:$F$7,업무일지!$AG287)=0,"진행상태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"&amp;업무일지!$H288)</f>
        <v/>
      </c>
      <c r="D320" s="45">
        <f>IF(NOT(COUNTBLANK(업무일지!$B288:$AH288)&lt;33),"",TRIM(IF(업무일지!$B288="","시작일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","")&amp;IF(COUNTIF(코드설정!$H$5:$H$7,업무일지!$D288)=0,"직무구분 누락; ","")&amp;IF(업무일지!$E288="","세부유형 누락; ",IF(AND(업무일지!$D288&lt;&gt;"",COUNTIFS(코드설정!$A$5:$A$21,업무일지!$D288,코드설정!$B$5:$B$21,업무일지!$E288)=0),"세부유형이 직무구분과 불일치; ",""))&amp;IF(AND(업무일지!$F288&lt;&gt;"",COUNTIF(사건마스터!$A$5:$A$64,업무일지!$F288)=0),"미등록 사건번호; ","")&amp;IF(AND(업무일지!$F288="",업무일지!$H288=""),"사건번호·업무명 모두 없음; ","")&amp;IF(업무일지!$J288="","담당자 없음; ","")&amp;IF(COUNTIF(코드설정!$F$5:$F$7,업무일지!$AG288)=0,"진행상태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"&amp;업무일지!$H289)</f>
        <v/>
      </c>
      <c r="D321" s="45">
        <f>IF(NOT(COUNTBLANK(업무일지!$B289:$AH289)&lt;33),"",TRIM(IF(업무일지!$B289="","시작일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","")&amp;IF(COUNTIF(코드설정!$H$5:$H$7,업무일지!$D289)=0,"직무구분 누락; ","")&amp;IF(업무일지!$E289="","세부유형 누락; ",IF(AND(업무일지!$D289&lt;&gt;"",COUNTIFS(코드설정!$A$5:$A$21,업무일지!$D289,코드설정!$B$5:$B$21,업무일지!$E289)=0),"세부유형이 직무구분과 불일치; ",""))&amp;IF(AND(업무일지!$F289&lt;&gt;"",COUNTIF(사건마스터!$A$5:$A$64,업무일지!$F289)=0),"미등록 사건번호; ","")&amp;IF(AND(업무일지!$F289="",업무일지!$H289=""),"사건번호·업무명 모두 없음; ","")&amp;IF(업무일지!$J289="","담당자 없음; ","")&amp;IF(COUNTIF(코드설정!$F$5:$F$7,업무일지!$AG289)=0,"진행상태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"&amp;업무일지!$H290)</f>
        <v/>
      </c>
      <c r="D322" s="45">
        <f>IF(NOT(COUNTBLANK(업무일지!$B290:$AH290)&lt;33),"",TRIM(IF(업무일지!$B290="","시작일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","")&amp;IF(COUNTIF(코드설정!$H$5:$H$7,업무일지!$D290)=0,"직무구분 누락; ","")&amp;IF(업무일지!$E290="","세부유형 누락; ",IF(AND(업무일지!$D290&lt;&gt;"",COUNTIFS(코드설정!$A$5:$A$21,업무일지!$D290,코드설정!$B$5:$B$21,업무일지!$E290)=0),"세부유형이 직무구분과 불일치; ",""))&amp;IF(AND(업무일지!$F290&lt;&gt;"",COUNTIF(사건마스터!$A$5:$A$64,업무일지!$F290)=0),"미등록 사건번호; ","")&amp;IF(AND(업무일지!$F290="",업무일지!$H290=""),"사건번호·업무명 모두 없음; ","")&amp;IF(업무일지!$J290="","담당자 없음; ","")&amp;IF(COUNTIF(코드설정!$F$5:$F$7,업무일지!$AG290)=0,"진행상태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"&amp;업무일지!$H291)</f>
        <v/>
      </c>
      <c r="D323" s="45">
        <f>IF(NOT(COUNTBLANK(업무일지!$B291:$AH291)&lt;33),"",TRIM(IF(업무일지!$B291="","시작일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","")&amp;IF(COUNTIF(코드설정!$H$5:$H$7,업무일지!$D291)=0,"직무구분 누락; ","")&amp;IF(업무일지!$E291="","세부유형 누락; ",IF(AND(업무일지!$D291&lt;&gt;"",COUNTIFS(코드설정!$A$5:$A$21,업무일지!$D291,코드설정!$B$5:$B$21,업무일지!$E291)=0),"세부유형이 직무구분과 불일치; ",""))&amp;IF(AND(업무일지!$F291&lt;&gt;"",COUNTIF(사건마스터!$A$5:$A$64,업무일지!$F291)=0),"미등록 사건번호; ","")&amp;IF(AND(업무일지!$F291="",업무일지!$H291=""),"사건번호·업무명 모두 없음; ","")&amp;IF(업무일지!$J291="","담당자 없음; ","")&amp;IF(COUNTIF(코드설정!$F$5:$F$7,업무일지!$AG291)=0,"진행상태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"&amp;업무일지!$H292)</f>
        <v/>
      </c>
      <c r="D324" s="45">
        <f>IF(NOT(COUNTBLANK(업무일지!$B292:$AH292)&lt;33),"",TRIM(IF(업무일지!$B292="","시작일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","")&amp;IF(COUNTIF(코드설정!$H$5:$H$7,업무일지!$D292)=0,"직무구분 누락; ","")&amp;IF(업무일지!$E292="","세부유형 누락; ",IF(AND(업무일지!$D292&lt;&gt;"",COUNTIFS(코드설정!$A$5:$A$21,업무일지!$D292,코드설정!$B$5:$B$21,업무일지!$E292)=0),"세부유형이 직무구분과 불일치; ",""))&amp;IF(AND(업무일지!$F292&lt;&gt;"",COUNTIF(사건마스터!$A$5:$A$64,업무일지!$F292)=0),"미등록 사건번호; ","")&amp;IF(AND(업무일지!$F292="",업무일지!$H292=""),"사건번호·업무명 모두 없음; ","")&amp;IF(업무일지!$J292="","담당자 없음; ","")&amp;IF(COUNTIF(코드설정!$F$5:$F$7,업무일지!$AG292)=0,"진행상태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"&amp;업무일지!$H293)</f>
        <v/>
      </c>
      <c r="D325" s="45">
        <f>IF(NOT(COUNTBLANK(업무일지!$B293:$AH293)&lt;33),"",TRIM(IF(업무일지!$B293="","시작일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","")&amp;IF(COUNTIF(코드설정!$H$5:$H$7,업무일지!$D293)=0,"직무구분 누락; ","")&amp;IF(업무일지!$E293="","세부유형 누락; ",IF(AND(업무일지!$D293&lt;&gt;"",COUNTIFS(코드설정!$A$5:$A$21,업무일지!$D293,코드설정!$B$5:$B$21,업무일지!$E293)=0),"세부유형이 직무구분과 불일치; ",""))&amp;IF(AND(업무일지!$F293&lt;&gt;"",COUNTIF(사건마스터!$A$5:$A$64,업무일지!$F293)=0),"미등록 사건번호; ","")&amp;IF(AND(업무일지!$F293="",업무일지!$H293=""),"사건번호·업무명 모두 없음; ","")&amp;IF(업무일지!$J293="","담당자 없음; ","")&amp;IF(COUNTIF(코드설정!$F$5:$F$7,업무일지!$AG293)=0,"진행상태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"&amp;업무일지!$H294)</f>
        <v/>
      </c>
      <c r="D326" s="45">
        <f>IF(NOT(COUNTBLANK(업무일지!$B294:$AH294)&lt;33),"",TRIM(IF(업무일지!$B294="","시작일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","")&amp;IF(COUNTIF(코드설정!$H$5:$H$7,업무일지!$D294)=0,"직무구분 누락; ","")&amp;IF(업무일지!$E294="","세부유형 누락; ",IF(AND(업무일지!$D294&lt;&gt;"",COUNTIFS(코드설정!$A$5:$A$21,업무일지!$D294,코드설정!$B$5:$B$21,업무일지!$E294)=0),"세부유형이 직무구분과 불일치; ",""))&amp;IF(AND(업무일지!$F294&lt;&gt;"",COUNTIF(사건마스터!$A$5:$A$64,업무일지!$F294)=0),"미등록 사건번호; ","")&amp;IF(AND(업무일지!$F294="",업무일지!$H294=""),"사건번호·업무명 모두 없음; ","")&amp;IF(업무일지!$J294="","담당자 없음; ","")&amp;IF(COUNTIF(코드설정!$F$5:$F$7,업무일지!$AG294)=0,"진행상태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"&amp;업무일지!$H295)</f>
        <v/>
      </c>
      <c r="D327" s="45">
        <f>IF(NOT(COUNTBLANK(업무일지!$B295:$AH295)&lt;33),"",TRIM(IF(업무일지!$B295="","시작일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","")&amp;IF(COUNTIF(코드설정!$H$5:$H$7,업무일지!$D295)=0,"직무구분 누락; ","")&amp;IF(업무일지!$E295="","세부유형 누락; ",IF(AND(업무일지!$D295&lt;&gt;"",COUNTIFS(코드설정!$A$5:$A$21,업무일지!$D295,코드설정!$B$5:$B$21,업무일지!$E295)=0),"세부유형이 직무구분과 불일치; ",""))&amp;IF(AND(업무일지!$F295&lt;&gt;"",COUNTIF(사건마스터!$A$5:$A$64,업무일지!$F295)=0),"미등록 사건번호; ","")&amp;IF(AND(업무일지!$F295="",업무일지!$H295=""),"사건번호·업무명 모두 없음; ","")&amp;IF(업무일지!$J295="","담당자 없음; ","")&amp;IF(COUNTIF(코드설정!$F$5:$F$7,업무일지!$AG295)=0,"진행상태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"&amp;업무일지!$H296)</f>
        <v/>
      </c>
      <c r="D328" s="45">
        <f>IF(NOT(COUNTBLANK(업무일지!$B296:$AH296)&lt;33),"",TRIM(IF(업무일지!$B296="","시작일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","")&amp;IF(COUNTIF(코드설정!$H$5:$H$7,업무일지!$D296)=0,"직무구분 누락; ","")&amp;IF(업무일지!$E296="","세부유형 누락; ",IF(AND(업무일지!$D296&lt;&gt;"",COUNTIFS(코드설정!$A$5:$A$21,업무일지!$D296,코드설정!$B$5:$B$21,업무일지!$E296)=0),"세부유형이 직무구분과 불일치; ",""))&amp;IF(AND(업무일지!$F296&lt;&gt;"",COUNTIF(사건마스터!$A$5:$A$64,업무일지!$F296)=0),"미등록 사건번호; ","")&amp;IF(AND(업무일지!$F296="",업무일지!$H296=""),"사건번호·업무명 모두 없음; ","")&amp;IF(업무일지!$J296="","담당자 없음; ","")&amp;IF(COUNTIF(코드설정!$F$5:$F$7,업무일지!$AG296)=0,"진행상태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"&amp;업무일지!$H297)</f>
        <v/>
      </c>
      <c r="D329" s="45">
        <f>IF(NOT(COUNTBLANK(업무일지!$B297:$AH297)&lt;33),"",TRIM(IF(업무일지!$B297="","시작일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","")&amp;IF(COUNTIF(코드설정!$H$5:$H$7,업무일지!$D297)=0,"직무구분 누락; ","")&amp;IF(업무일지!$E297="","세부유형 누락; ",IF(AND(업무일지!$D297&lt;&gt;"",COUNTIFS(코드설정!$A$5:$A$21,업무일지!$D297,코드설정!$B$5:$B$21,업무일지!$E297)=0),"세부유형이 직무구분과 불일치; ",""))&amp;IF(AND(업무일지!$F297&lt;&gt;"",COUNTIF(사건마스터!$A$5:$A$64,업무일지!$F297)=0),"미등록 사건번호; ","")&amp;IF(AND(업무일지!$F297="",업무일지!$H297=""),"사건번호·업무명 모두 없음; ","")&amp;IF(업무일지!$J297="","담당자 없음; ","")&amp;IF(COUNTIF(코드설정!$F$5:$F$7,업무일지!$AG297)=0,"진행상태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"&amp;업무일지!$H298)</f>
        <v/>
      </c>
      <c r="D330" s="45">
        <f>IF(NOT(COUNTBLANK(업무일지!$B298:$AH298)&lt;33),"",TRIM(IF(업무일지!$B298="","시작일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","")&amp;IF(COUNTIF(코드설정!$H$5:$H$7,업무일지!$D298)=0,"직무구분 누락; ","")&amp;IF(업무일지!$E298="","세부유형 누락; ",IF(AND(업무일지!$D298&lt;&gt;"",COUNTIFS(코드설정!$A$5:$A$21,업무일지!$D298,코드설정!$B$5:$B$21,업무일지!$E298)=0),"세부유형이 직무구분과 불일치; ",""))&amp;IF(AND(업무일지!$F298&lt;&gt;"",COUNTIF(사건마스터!$A$5:$A$64,업무일지!$F298)=0),"미등록 사건번호; ","")&amp;IF(AND(업무일지!$F298="",업무일지!$H298=""),"사건번호·업무명 모두 없음; ","")&amp;IF(업무일지!$J298="","담당자 없음; ","")&amp;IF(COUNTIF(코드설정!$F$5:$F$7,업무일지!$AG298)=0,"진행상태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"&amp;업무일지!$H299)</f>
        <v/>
      </c>
      <c r="D331" s="45">
        <f>IF(NOT(COUNTBLANK(업무일지!$B299:$AH299)&lt;33),"",TRIM(IF(업무일지!$B299="","시작일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","")&amp;IF(COUNTIF(코드설정!$H$5:$H$7,업무일지!$D299)=0,"직무구분 누락; ","")&amp;IF(업무일지!$E299="","세부유형 누락; ",IF(AND(업무일지!$D299&lt;&gt;"",COUNTIFS(코드설정!$A$5:$A$21,업무일지!$D299,코드설정!$B$5:$B$21,업무일지!$E299)=0),"세부유형이 직무구분과 불일치; ",""))&amp;IF(AND(업무일지!$F299&lt;&gt;"",COUNTIF(사건마스터!$A$5:$A$64,업무일지!$F299)=0),"미등록 사건번호; ","")&amp;IF(AND(업무일지!$F299="",업무일지!$H299=""),"사건번호·업무명 모두 없음; ","")&amp;IF(업무일지!$J299="","담당자 없음; ","")&amp;IF(COUNTIF(코드설정!$F$5:$F$7,업무일지!$AG299)=0,"진행상태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"&amp;업무일지!$H300)</f>
        <v/>
      </c>
      <c r="D332" s="45">
        <f>IF(NOT(COUNTBLANK(업무일지!$B300:$AH300)&lt;33),"",TRIM(IF(업무일지!$B300="","시작일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","")&amp;IF(COUNTIF(코드설정!$H$5:$H$7,업무일지!$D300)=0,"직무구분 누락; ","")&amp;IF(업무일지!$E300="","세부유형 누락; ",IF(AND(업무일지!$D300&lt;&gt;"",COUNTIFS(코드설정!$A$5:$A$21,업무일지!$D300,코드설정!$B$5:$B$21,업무일지!$E300)=0),"세부유형이 직무구분과 불일치; ",""))&amp;IF(AND(업무일지!$F300&lt;&gt;"",COUNTIF(사건마스터!$A$5:$A$64,업무일지!$F300)=0),"미등록 사건번호; ","")&amp;IF(AND(업무일지!$F300="",업무일지!$H300=""),"사건번호·업무명 모두 없음; ","")&amp;IF(업무일지!$J300="","담당자 없음; ","")&amp;IF(COUNTIF(코드설정!$F$5:$F$7,업무일지!$AG300)=0,"진행상태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"&amp;업무일지!$H301)</f>
        <v/>
      </c>
      <c r="D333" s="45">
        <f>IF(NOT(COUNTBLANK(업무일지!$B301:$AH301)&lt;33),"",TRIM(IF(업무일지!$B301="","시작일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","")&amp;IF(COUNTIF(코드설정!$H$5:$H$7,업무일지!$D301)=0,"직무구분 누락; ","")&amp;IF(업무일지!$E301="","세부유형 누락; ",IF(AND(업무일지!$D301&lt;&gt;"",COUNTIFS(코드설정!$A$5:$A$21,업무일지!$D301,코드설정!$B$5:$B$21,업무일지!$E301)=0),"세부유형이 직무구분과 불일치; ",""))&amp;IF(AND(업무일지!$F301&lt;&gt;"",COUNTIF(사건마스터!$A$5:$A$64,업무일지!$F301)=0),"미등록 사건번호; ","")&amp;IF(AND(업무일지!$F301="",업무일지!$H301=""),"사건번호·업무명 모두 없음; ","")&amp;IF(업무일지!$J301="","담당자 없음; ","")&amp;IF(COUNTIF(코드설정!$F$5:$F$7,업무일지!$AG301)=0,"진행상태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"&amp;업무일지!$H302)</f>
        <v/>
      </c>
      <c r="D334" s="45">
        <f>IF(NOT(COUNTBLANK(업무일지!$B302:$AH302)&lt;33),"",TRIM(IF(업무일지!$B302="","시작일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","")&amp;IF(COUNTIF(코드설정!$H$5:$H$7,업무일지!$D302)=0,"직무구분 누락; ","")&amp;IF(업무일지!$E302="","세부유형 누락; ",IF(AND(업무일지!$D302&lt;&gt;"",COUNTIFS(코드설정!$A$5:$A$21,업무일지!$D302,코드설정!$B$5:$B$21,업무일지!$E302)=0),"세부유형이 직무구분과 불일치; ",""))&amp;IF(AND(업무일지!$F302&lt;&gt;"",COUNTIF(사건마스터!$A$5:$A$64,업무일지!$F302)=0),"미등록 사건번호; ","")&amp;IF(AND(업무일지!$F302="",업무일지!$H302=""),"사건번호·업무명 모두 없음; ","")&amp;IF(업무일지!$J302="","담당자 없음; ","")&amp;IF(COUNTIF(코드설정!$F$5:$F$7,업무일지!$AG302)=0,"진행상태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"&amp;업무일지!$H303)</f>
        <v/>
      </c>
      <c r="D335" s="45">
        <f>IF(NOT(COUNTBLANK(업무일지!$B303:$AH303)&lt;33),"",TRIM(IF(업무일지!$B303="","시작일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","")&amp;IF(COUNTIF(코드설정!$H$5:$H$7,업무일지!$D303)=0,"직무구분 누락; ","")&amp;IF(업무일지!$E303="","세부유형 누락; ",IF(AND(업무일지!$D303&lt;&gt;"",COUNTIFS(코드설정!$A$5:$A$21,업무일지!$D303,코드설정!$B$5:$B$21,업무일지!$E303)=0),"세부유형이 직무구분과 불일치; ",""))&amp;IF(AND(업무일지!$F303&lt;&gt;"",COUNTIF(사건마스터!$A$5:$A$64,업무일지!$F303)=0),"미등록 사건번호; ","")&amp;IF(AND(업무일지!$F303="",업무일지!$H303=""),"사건번호·업무명 모두 없음; ","")&amp;IF(업무일지!$J303="","담당자 없음; ","")&amp;IF(COUNTIF(코드설정!$F$5:$F$7,업무일지!$AG303)=0,"진행상태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"&amp;업무일지!$H304)</f>
        <v/>
      </c>
      <c r="D336" s="45">
        <f>IF(NOT(COUNTBLANK(업무일지!$B304:$AH304)&lt;33),"",TRIM(IF(업무일지!$B304="","시작일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","")&amp;IF(COUNTIF(코드설정!$H$5:$H$7,업무일지!$D304)=0,"직무구분 누락; ","")&amp;IF(업무일지!$E304="","세부유형 누락; ",IF(AND(업무일지!$D304&lt;&gt;"",COUNTIFS(코드설정!$A$5:$A$21,업무일지!$D304,코드설정!$B$5:$B$21,업무일지!$E304)=0),"세부유형이 직무구분과 불일치; ",""))&amp;IF(AND(업무일지!$F304&lt;&gt;"",COUNTIF(사건마스터!$A$5:$A$64,업무일지!$F304)=0),"미등록 사건번호; ","")&amp;IF(AND(업무일지!$F304="",업무일지!$H304=""),"사건번호·업무명 모두 없음; ","")&amp;IF(업무일지!$J304="","담당자 없음; ","")&amp;IF(COUNTIF(코드설정!$F$5:$F$7,업무일지!$AG304)=0,"진행상태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"&amp;업무일지!$H305)</f>
        <v/>
      </c>
      <c r="D337" s="45">
        <f>IF(NOT(COUNTBLANK(업무일지!$B305:$AH305)&lt;33),"",TRIM(IF(업무일지!$B305="","시작일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","")&amp;IF(COUNTIF(코드설정!$H$5:$H$7,업무일지!$D305)=0,"직무구분 누락; ","")&amp;IF(업무일지!$E305="","세부유형 누락; ",IF(AND(업무일지!$D305&lt;&gt;"",COUNTIFS(코드설정!$A$5:$A$21,업무일지!$D305,코드설정!$B$5:$B$21,업무일지!$E305)=0),"세부유형이 직무구분과 불일치; ",""))&amp;IF(AND(업무일지!$F305&lt;&gt;"",COUNTIF(사건마스터!$A$5:$A$64,업무일지!$F305)=0),"미등록 사건번호; ","")&amp;IF(AND(업무일지!$F305="",업무일지!$H305=""),"사건번호·업무명 모두 없음; ","")&amp;IF(업무일지!$J305="","담당자 없음; ","")&amp;IF(COUNTIF(코드설정!$F$5:$F$7,업무일지!$AG305)=0,"진행상태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"&amp;업무일지!$H306)</f>
        <v/>
      </c>
      <c r="D338" s="45">
        <f>IF(NOT(COUNTBLANK(업무일지!$B306:$AH306)&lt;33),"",TRIM(IF(업무일지!$B306="","시작일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","")&amp;IF(COUNTIF(코드설정!$H$5:$H$7,업무일지!$D306)=0,"직무구분 누락; ","")&amp;IF(업무일지!$E306="","세부유형 누락; ",IF(AND(업무일지!$D306&lt;&gt;"",COUNTIFS(코드설정!$A$5:$A$21,업무일지!$D306,코드설정!$B$5:$B$21,업무일지!$E306)=0),"세부유형이 직무구분과 불일치; ",""))&amp;IF(AND(업무일지!$F306&lt;&gt;"",COUNTIF(사건마스터!$A$5:$A$64,업무일지!$F306)=0),"미등록 사건번호; ","")&amp;IF(AND(업무일지!$F306="",업무일지!$H306=""),"사건번호·업무명 모두 없음; ","")&amp;IF(업무일지!$J306="","담당자 없음; ","")&amp;IF(COUNTIF(코드설정!$F$5:$F$7,업무일지!$AG306)=0,"진행상태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"&amp;업무일지!$H307)</f>
        <v/>
      </c>
      <c r="D339" s="45">
        <f>IF(NOT(COUNTBLANK(업무일지!$B307:$AH307)&lt;33),"",TRIM(IF(업무일지!$B307="","시작일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","")&amp;IF(COUNTIF(코드설정!$H$5:$H$7,업무일지!$D307)=0,"직무구분 누락; ","")&amp;IF(업무일지!$E307="","세부유형 누락; ",IF(AND(업무일지!$D307&lt;&gt;"",COUNTIFS(코드설정!$A$5:$A$21,업무일지!$D307,코드설정!$B$5:$B$21,업무일지!$E307)=0),"세부유형이 직무구분과 불일치; ",""))&amp;IF(AND(업무일지!$F307&lt;&gt;"",COUNTIF(사건마스터!$A$5:$A$64,업무일지!$F307)=0),"미등록 사건번호; ","")&amp;IF(AND(업무일지!$F307="",업무일지!$H307=""),"사건번호·업무명 모두 없음; ","")&amp;IF(업무일지!$J307="","담당자 없음; ","")&amp;IF(COUNTIF(코드설정!$F$5:$F$7,업무일지!$AG307)=0,"진행상태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"&amp;업무일지!$H308)</f>
        <v/>
      </c>
      <c r="D340" s="45">
        <f>IF(NOT(COUNTBLANK(업무일지!$B308:$AH308)&lt;33),"",TRIM(IF(업무일지!$B308="","시작일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","")&amp;IF(COUNTIF(코드설정!$H$5:$H$7,업무일지!$D308)=0,"직무구분 누락; ","")&amp;IF(업무일지!$E308="","세부유형 누락; ",IF(AND(업무일지!$D308&lt;&gt;"",COUNTIFS(코드설정!$A$5:$A$21,업무일지!$D308,코드설정!$B$5:$B$21,업무일지!$E308)=0),"세부유형이 직무구분과 불일치; ",""))&amp;IF(AND(업무일지!$F308&lt;&gt;"",COUNTIF(사건마스터!$A$5:$A$64,업무일지!$F308)=0),"미등록 사건번호; ","")&amp;IF(AND(업무일지!$F308="",업무일지!$H308=""),"사건번호·업무명 모두 없음; ","")&amp;IF(업무일지!$J308="","담당자 없음; ","")&amp;IF(COUNTIF(코드설정!$F$5:$F$7,업무일지!$AG308)=0,"진행상태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"&amp;업무일지!$H309)</f>
        <v/>
      </c>
      <c r="D341" s="45">
        <f>IF(NOT(COUNTBLANK(업무일지!$B309:$AH309)&lt;33),"",TRIM(IF(업무일지!$B309="","시작일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","")&amp;IF(COUNTIF(코드설정!$H$5:$H$7,업무일지!$D309)=0,"직무구분 누락; ","")&amp;IF(업무일지!$E309="","세부유형 누락; ",IF(AND(업무일지!$D309&lt;&gt;"",COUNTIFS(코드설정!$A$5:$A$21,업무일지!$D309,코드설정!$B$5:$B$21,업무일지!$E309)=0),"세부유형이 직무구분과 불일치; ",""))&amp;IF(AND(업무일지!$F309&lt;&gt;"",COUNTIF(사건마스터!$A$5:$A$64,업무일지!$F309)=0),"미등록 사건번호; ","")&amp;IF(AND(업무일지!$F309="",업무일지!$H309=""),"사건번호·업무명 모두 없음; ","")&amp;IF(업무일지!$J309="","담당자 없음; ","")&amp;IF(COUNTIF(코드설정!$F$5:$F$7,업무일지!$AG309)=0,"진행상태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"&amp;업무일지!$H310)</f>
        <v/>
      </c>
      <c r="D342" s="45">
        <f>IF(NOT(COUNTBLANK(업무일지!$B310:$AH310)&lt;33),"",TRIM(IF(업무일지!$B310="","시작일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","")&amp;IF(COUNTIF(코드설정!$H$5:$H$7,업무일지!$D310)=0,"직무구분 누락; ","")&amp;IF(업무일지!$E310="","세부유형 누락; ",IF(AND(업무일지!$D310&lt;&gt;"",COUNTIFS(코드설정!$A$5:$A$21,업무일지!$D310,코드설정!$B$5:$B$21,업무일지!$E310)=0),"세부유형이 직무구분과 불일치; ",""))&amp;IF(AND(업무일지!$F310&lt;&gt;"",COUNTIF(사건마스터!$A$5:$A$64,업무일지!$F310)=0),"미등록 사건번호; ","")&amp;IF(AND(업무일지!$F310="",업무일지!$H310=""),"사건번호·업무명 모두 없음; ","")&amp;IF(업무일지!$J310="","담당자 없음; ","")&amp;IF(COUNTIF(코드설정!$F$5:$F$7,업무일지!$AG310)=0,"진행상태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"&amp;업무일지!$H311)</f>
        <v/>
      </c>
      <c r="D343" s="45">
        <f>IF(NOT(COUNTBLANK(업무일지!$B311:$AH311)&lt;33),"",TRIM(IF(업무일지!$B311="","시작일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","")&amp;IF(COUNTIF(코드설정!$H$5:$H$7,업무일지!$D311)=0,"직무구분 누락; ","")&amp;IF(업무일지!$E311="","세부유형 누락; ",IF(AND(업무일지!$D311&lt;&gt;"",COUNTIFS(코드설정!$A$5:$A$21,업무일지!$D311,코드설정!$B$5:$B$21,업무일지!$E311)=0),"세부유형이 직무구분과 불일치; ",""))&amp;IF(AND(업무일지!$F311&lt;&gt;"",COUNTIF(사건마스터!$A$5:$A$64,업무일지!$F311)=0),"미등록 사건번호; ","")&amp;IF(AND(업무일지!$F311="",업무일지!$H311=""),"사건번호·업무명 모두 없음; ","")&amp;IF(업무일지!$J311="","담당자 없음; ","")&amp;IF(COUNTIF(코드설정!$F$5:$F$7,업무일지!$AG311)=0,"진행상태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"&amp;업무일지!$H312)</f>
        <v/>
      </c>
      <c r="D344" s="45">
        <f>IF(NOT(COUNTBLANK(업무일지!$B312:$AH312)&lt;33),"",TRIM(IF(업무일지!$B312="","시작일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","")&amp;IF(COUNTIF(코드설정!$H$5:$H$7,업무일지!$D312)=0,"직무구분 누락; ","")&amp;IF(업무일지!$E312="","세부유형 누락; ",IF(AND(업무일지!$D312&lt;&gt;"",COUNTIFS(코드설정!$A$5:$A$21,업무일지!$D312,코드설정!$B$5:$B$21,업무일지!$E312)=0),"세부유형이 직무구분과 불일치; ",""))&amp;IF(AND(업무일지!$F312&lt;&gt;"",COUNTIF(사건마스터!$A$5:$A$64,업무일지!$F312)=0),"미등록 사건번호; ","")&amp;IF(AND(업무일지!$F312="",업무일지!$H312=""),"사건번호·업무명 모두 없음; ","")&amp;IF(업무일지!$J312="","담당자 없음; ","")&amp;IF(COUNTIF(코드설정!$F$5:$F$7,업무일지!$AG312)=0,"진행상태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"&amp;업무일지!$H313)</f>
        <v/>
      </c>
      <c r="D345" s="45">
        <f>IF(NOT(COUNTBLANK(업무일지!$B313:$AH313)&lt;33),"",TRIM(IF(업무일지!$B313="","시작일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","")&amp;IF(COUNTIF(코드설정!$H$5:$H$7,업무일지!$D313)=0,"직무구분 누락; ","")&amp;IF(업무일지!$E313="","세부유형 누락; ",IF(AND(업무일지!$D313&lt;&gt;"",COUNTIFS(코드설정!$A$5:$A$21,업무일지!$D313,코드설정!$B$5:$B$21,업무일지!$E313)=0),"세부유형이 직무구분과 불일치; ",""))&amp;IF(AND(업무일지!$F313&lt;&gt;"",COUNTIF(사건마스터!$A$5:$A$64,업무일지!$F313)=0),"미등록 사건번호; ","")&amp;IF(AND(업무일지!$F313="",업무일지!$H313=""),"사건번호·업무명 모두 없음; ","")&amp;IF(업무일지!$J313="","담당자 없음; ","")&amp;IF(COUNTIF(코드설정!$F$5:$F$7,업무일지!$AG313)=0,"진행상태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"&amp;업무일지!$H314)</f>
        <v/>
      </c>
      <c r="D346" s="45">
        <f>IF(NOT(COUNTBLANK(업무일지!$B314:$AH314)&lt;33),"",TRIM(IF(업무일지!$B314="","시작일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","")&amp;IF(COUNTIF(코드설정!$H$5:$H$7,업무일지!$D314)=0,"직무구분 누락; ","")&amp;IF(업무일지!$E314="","세부유형 누락; ",IF(AND(업무일지!$D314&lt;&gt;"",COUNTIFS(코드설정!$A$5:$A$21,업무일지!$D314,코드설정!$B$5:$B$21,업무일지!$E314)=0),"세부유형이 직무구분과 불일치; ",""))&amp;IF(AND(업무일지!$F314&lt;&gt;"",COUNTIF(사건마스터!$A$5:$A$64,업무일지!$F314)=0),"미등록 사건번호; ","")&amp;IF(AND(업무일지!$F314="",업무일지!$H314=""),"사건번호·업무명 모두 없음; ","")&amp;IF(업무일지!$J314="","담당자 없음; ","")&amp;IF(COUNTIF(코드설정!$F$5:$F$7,업무일지!$AG314)=0,"진행상태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"&amp;업무일지!$H315)</f>
        <v/>
      </c>
      <c r="D347" s="45">
        <f>IF(NOT(COUNTBLANK(업무일지!$B315:$AH315)&lt;33),"",TRIM(IF(업무일지!$B315="","시작일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","")&amp;IF(COUNTIF(코드설정!$H$5:$H$7,업무일지!$D315)=0,"직무구분 누락; ","")&amp;IF(업무일지!$E315="","세부유형 누락; ",IF(AND(업무일지!$D315&lt;&gt;"",COUNTIFS(코드설정!$A$5:$A$21,업무일지!$D315,코드설정!$B$5:$B$21,업무일지!$E315)=0),"세부유형이 직무구분과 불일치; ",""))&amp;IF(AND(업무일지!$F315&lt;&gt;"",COUNTIF(사건마스터!$A$5:$A$64,업무일지!$F315)=0),"미등록 사건번호; ","")&amp;IF(AND(업무일지!$F315="",업무일지!$H315=""),"사건번호·업무명 모두 없음; ","")&amp;IF(업무일지!$J315="","담당자 없음; ","")&amp;IF(COUNTIF(코드설정!$F$5:$F$7,업무일지!$AG315)=0,"진행상태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"&amp;업무일지!$H316)</f>
        <v/>
      </c>
      <c r="D348" s="45">
        <f>IF(NOT(COUNTBLANK(업무일지!$B316:$AH316)&lt;33),"",TRIM(IF(업무일지!$B316="","시작일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","")&amp;IF(COUNTIF(코드설정!$H$5:$H$7,업무일지!$D316)=0,"직무구분 누락; ","")&amp;IF(업무일지!$E316="","세부유형 누락; ",IF(AND(업무일지!$D316&lt;&gt;"",COUNTIFS(코드설정!$A$5:$A$21,업무일지!$D316,코드설정!$B$5:$B$21,업무일지!$E316)=0),"세부유형이 직무구분과 불일치; ",""))&amp;IF(AND(업무일지!$F316&lt;&gt;"",COUNTIF(사건마스터!$A$5:$A$64,업무일지!$F316)=0),"미등록 사건번호; ","")&amp;IF(AND(업무일지!$F316="",업무일지!$H316=""),"사건번호·업무명 모두 없음; ","")&amp;IF(업무일지!$J316="","담당자 없음; ","")&amp;IF(COUNTIF(코드설정!$F$5:$F$7,업무일지!$AG316)=0,"진행상태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"&amp;업무일지!$H317)</f>
        <v/>
      </c>
      <c r="D349" s="45">
        <f>IF(NOT(COUNTBLANK(업무일지!$B317:$AH317)&lt;33),"",TRIM(IF(업무일지!$B317="","시작일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","")&amp;IF(COUNTIF(코드설정!$H$5:$H$7,업무일지!$D317)=0,"직무구분 누락; ","")&amp;IF(업무일지!$E317="","세부유형 누락; ",IF(AND(업무일지!$D317&lt;&gt;"",COUNTIFS(코드설정!$A$5:$A$21,업무일지!$D317,코드설정!$B$5:$B$21,업무일지!$E317)=0),"세부유형이 직무구분과 불일치; ",""))&amp;IF(AND(업무일지!$F317&lt;&gt;"",COUNTIF(사건마스터!$A$5:$A$64,업무일지!$F317)=0),"미등록 사건번호; ","")&amp;IF(AND(업무일지!$F317="",업무일지!$H317=""),"사건번호·업무명 모두 없음; ","")&amp;IF(업무일지!$J317="","담당자 없음; ","")&amp;IF(COUNTIF(코드설정!$F$5:$F$7,업무일지!$AG317)=0,"진행상태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"&amp;업무일지!$H318)</f>
        <v/>
      </c>
      <c r="D350" s="45">
        <f>IF(NOT(COUNTBLANK(업무일지!$B318:$AH318)&lt;33),"",TRIM(IF(업무일지!$B318="","시작일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","")&amp;IF(COUNTIF(코드설정!$H$5:$H$7,업무일지!$D318)=0,"직무구분 누락; ","")&amp;IF(업무일지!$E318="","세부유형 누락; ",IF(AND(업무일지!$D318&lt;&gt;"",COUNTIFS(코드설정!$A$5:$A$21,업무일지!$D318,코드설정!$B$5:$B$21,업무일지!$E318)=0),"세부유형이 직무구분과 불일치; ",""))&amp;IF(AND(업무일지!$F318&lt;&gt;"",COUNTIF(사건마스터!$A$5:$A$64,업무일지!$F318)=0),"미등록 사건번호; ","")&amp;IF(AND(업무일지!$F318="",업무일지!$H318=""),"사건번호·업무명 모두 없음; ","")&amp;IF(업무일지!$J318="","담당자 없음; ","")&amp;IF(COUNTIF(코드설정!$F$5:$F$7,업무일지!$AG318)=0,"진행상태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"&amp;업무일지!$H319)</f>
        <v/>
      </c>
      <c r="D351" s="45">
        <f>IF(NOT(COUNTBLANK(업무일지!$B319:$AH319)&lt;33),"",TRIM(IF(업무일지!$B319="","시작일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","")&amp;IF(COUNTIF(코드설정!$H$5:$H$7,업무일지!$D319)=0,"직무구분 누락; ","")&amp;IF(업무일지!$E319="","세부유형 누락; ",IF(AND(업무일지!$D319&lt;&gt;"",COUNTIFS(코드설정!$A$5:$A$21,업무일지!$D319,코드설정!$B$5:$B$21,업무일지!$E319)=0),"세부유형이 직무구분과 불일치; ",""))&amp;IF(AND(업무일지!$F319&lt;&gt;"",COUNTIF(사건마스터!$A$5:$A$64,업무일지!$F319)=0),"미등록 사건번호; ","")&amp;IF(AND(업무일지!$F319="",업무일지!$H319=""),"사건번호·업무명 모두 없음; ","")&amp;IF(업무일지!$J319="","담당자 없음; ","")&amp;IF(COUNTIF(코드설정!$F$5:$F$7,업무일지!$AG319)=0,"진행상태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"&amp;업무일지!$H320)</f>
        <v/>
      </c>
      <c r="D352" s="45">
        <f>IF(NOT(COUNTBLANK(업무일지!$B320:$AH320)&lt;33),"",TRIM(IF(업무일지!$B320="","시작일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","")&amp;IF(COUNTIF(코드설정!$H$5:$H$7,업무일지!$D320)=0,"직무구분 누락; ","")&amp;IF(업무일지!$E320="","세부유형 누락; ",IF(AND(업무일지!$D320&lt;&gt;"",COUNTIFS(코드설정!$A$5:$A$21,업무일지!$D320,코드설정!$B$5:$B$21,업무일지!$E320)=0),"세부유형이 직무구분과 불일치; ",""))&amp;IF(AND(업무일지!$F320&lt;&gt;"",COUNTIF(사건마스터!$A$5:$A$64,업무일지!$F320)=0),"미등록 사건번호; ","")&amp;IF(AND(업무일지!$F320="",업무일지!$H320=""),"사건번호·업무명 모두 없음; ","")&amp;IF(업무일지!$J320="","담당자 없음; ","")&amp;IF(COUNTIF(코드설정!$F$5:$F$7,업무일지!$AG320)=0,"진행상태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"&amp;업무일지!$H321)</f>
        <v/>
      </c>
      <c r="D353" s="45">
        <f>IF(NOT(COUNTBLANK(업무일지!$B321:$AH321)&lt;33),"",TRIM(IF(업무일지!$B321="","시작일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","")&amp;IF(COUNTIF(코드설정!$H$5:$H$7,업무일지!$D321)=0,"직무구분 누락; ","")&amp;IF(업무일지!$E321="","세부유형 누락; ",IF(AND(업무일지!$D321&lt;&gt;"",COUNTIFS(코드설정!$A$5:$A$21,업무일지!$D321,코드설정!$B$5:$B$21,업무일지!$E321)=0),"세부유형이 직무구분과 불일치; ",""))&amp;IF(AND(업무일지!$F321&lt;&gt;"",COUNTIF(사건마스터!$A$5:$A$64,업무일지!$F321)=0),"미등록 사건번호; ","")&amp;IF(AND(업무일지!$F321="",업무일지!$H321=""),"사건번호·업무명 모두 없음; ","")&amp;IF(업무일지!$J321="","담당자 없음; ","")&amp;IF(COUNTIF(코드설정!$F$5:$F$7,업무일지!$AG321)=0,"진행상태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"&amp;업무일지!$H322)</f>
        <v/>
      </c>
      <c r="D354" s="45">
        <f>IF(NOT(COUNTBLANK(업무일지!$B322:$AH322)&lt;33),"",TRIM(IF(업무일지!$B322="","시작일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","")&amp;IF(COUNTIF(코드설정!$H$5:$H$7,업무일지!$D322)=0,"직무구분 누락; ","")&amp;IF(업무일지!$E322="","세부유형 누락; ",IF(AND(업무일지!$D322&lt;&gt;"",COUNTIFS(코드설정!$A$5:$A$21,업무일지!$D322,코드설정!$B$5:$B$21,업무일지!$E322)=0),"세부유형이 직무구분과 불일치; ",""))&amp;IF(AND(업무일지!$F322&lt;&gt;"",COUNTIF(사건마스터!$A$5:$A$64,업무일지!$F322)=0),"미등록 사건번호; ","")&amp;IF(AND(업무일지!$F322="",업무일지!$H322=""),"사건번호·업무명 모두 없음; ","")&amp;IF(업무일지!$J322="","담당자 없음; ","")&amp;IF(COUNTIF(코드설정!$F$5:$F$7,업무일지!$AG322)=0,"진행상태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"&amp;업무일지!$H323)</f>
        <v/>
      </c>
      <c r="D355" s="45">
        <f>IF(NOT(COUNTBLANK(업무일지!$B323:$AH323)&lt;33),"",TRIM(IF(업무일지!$B323="","시작일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","")&amp;IF(COUNTIF(코드설정!$H$5:$H$7,업무일지!$D323)=0,"직무구분 누락; ","")&amp;IF(업무일지!$E323="","세부유형 누락; ",IF(AND(업무일지!$D323&lt;&gt;"",COUNTIFS(코드설정!$A$5:$A$21,업무일지!$D323,코드설정!$B$5:$B$21,업무일지!$E323)=0),"세부유형이 직무구분과 불일치; ",""))&amp;IF(AND(업무일지!$F323&lt;&gt;"",COUNTIF(사건마스터!$A$5:$A$64,업무일지!$F323)=0),"미등록 사건번호; ","")&amp;IF(AND(업무일지!$F323="",업무일지!$H323=""),"사건번호·업무명 모두 없음; ","")&amp;IF(업무일지!$J323="","담당자 없음; ","")&amp;IF(COUNTIF(코드설정!$F$5:$F$7,업무일지!$AG323)=0,"진행상태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"&amp;업무일지!$H324)</f>
        <v/>
      </c>
      <c r="D356" s="45">
        <f>IF(NOT(COUNTBLANK(업무일지!$B324:$AH324)&lt;33),"",TRIM(IF(업무일지!$B324="","시작일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","")&amp;IF(COUNTIF(코드설정!$H$5:$H$7,업무일지!$D324)=0,"직무구분 누락; ","")&amp;IF(업무일지!$E324="","세부유형 누락; ",IF(AND(업무일지!$D324&lt;&gt;"",COUNTIFS(코드설정!$A$5:$A$21,업무일지!$D324,코드설정!$B$5:$B$21,업무일지!$E324)=0),"세부유형이 직무구분과 불일치; ",""))&amp;IF(AND(업무일지!$F324&lt;&gt;"",COUNTIF(사건마스터!$A$5:$A$64,업무일지!$F324)=0),"미등록 사건번호; ","")&amp;IF(AND(업무일지!$F324="",업무일지!$H324=""),"사건번호·업무명 모두 없음; ","")&amp;IF(업무일지!$J324="","담당자 없음; ","")&amp;IF(COUNTIF(코드설정!$F$5:$F$7,업무일지!$AG324)=0,"진행상태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"&amp;업무일지!$H325)</f>
        <v/>
      </c>
      <c r="D357" s="45">
        <f>IF(NOT(COUNTBLANK(업무일지!$B325:$AH325)&lt;33),"",TRIM(IF(업무일지!$B325="","시작일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","")&amp;IF(COUNTIF(코드설정!$H$5:$H$7,업무일지!$D325)=0,"직무구분 누락; ","")&amp;IF(업무일지!$E325="","세부유형 누락; ",IF(AND(업무일지!$D325&lt;&gt;"",COUNTIFS(코드설정!$A$5:$A$21,업무일지!$D325,코드설정!$B$5:$B$21,업무일지!$E325)=0),"세부유형이 직무구분과 불일치; ",""))&amp;IF(AND(업무일지!$F325&lt;&gt;"",COUNTIF(사건마스터!$A$5:$A$64,업무일지!$F325)=0),"미등록 사건번호; ","")&amp;IF(AND(업무일지!$F325="",업무일지!$H325=""),"사건번호·업무명 모두 없음; ","")&amp;IF(업무일지!$J325="","담당자 없음; ","")&amp;IF(COUNTIF(코드설정!$F$5:$F$7,업무일지!$AG325)=0,"진행상태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"&amp;업무일지!$H326)</f>
        <v/>
      </c>
      <c r="D358" s="45">
        <f>IF(NOT(COUNTBLANK(업무일지!$B326:$AH326)&lt;33),"",TRIM(IF(업무일지!$B326="","시작일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","")&amp;IF(COUNTIF(코드설정!$H$5:$H$7,업무일지!$D326)=0,"직무구분 누락; ","")&amp;IF(업무일지!$E326="","세부유형 누락; ",IF(AND(업무일지!$D326&lt;&gt;"",COUNTIFS(코드설정!$A$5:$A$21,업무일지!$D326,코드설정!$B$5:$B$21,업무일지!$E326)=0),"세부유형이 직무구분과 불일치; ",""))&amp;IF(AND(업무일지!$F326&lt;&gt;"",COUNTIF(사건마스터!$A$5:$A$64,업무일지!$F326)=0),"미등록 사건번호; ","")&amp;IF(AND(업무일지!$F326="",업무일지!$H326=""),"사건번호·업무명 모두 없음; ","")&amp;IF(업무일지!$J326="","담당자 없음; ","")&amp;IF(COUNTIF(코드설정!$F$5:$F$7,업무일지!$AG326)=0,"진행상태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"&amp;업무일지!$H327)</f>
        <v/>
      </c>
      <c r="D359" s="45">
        <f>IF(NOT(COUNTBLANK(업무일지!$B327:$AH327)&lt;33),"",TRIM(IF(업무일지!$B327="","시작일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","")&amp;IF(COUNTIF(코드설정!$H$5:$H$7,업무일지!$D327)=0,"직무구분 누락; ","")&amp;IF(업무일지!$E327="","세부유형 누락; ",IF(AND(업무일지!$D327&lt;&gt;"",COUNTIFS(코드설정!$A$5:$A$21,업무일지!$D327,코드설정!$B$5:$B$21,업무일지!$E327)=0),"세부유형이 직무구분과 불일치; ",""))&amp;IF(AND(업무일지!$F327&lt;&gt;"",COUNTIF(사건마스터!$A$5:$A$64,업무일지!$F327)=0),"미등록 사건번호; ","")&amp;IF(AND(업무일지!$F327="",업무일지!$H327=""),"사건번호·업무명 모두 없음; ","")&amp;IF(업무일지!$J327="","담당자 없음; ","")&amp;IF(COUNTIF(코드설정!$F$5:$F$7,업무일지!$AG327)=0,"진행상태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"&amp;업무일지!$H328)</f>
        <v/>
      </c>
      <c r="D360" s="45">
        <f>IF(NOT(COUNTBLANK(업무일지!$B328:$AH328)&lt;33),"",TRIM(IF(업무일지!$B328="","시작일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","")&amp;IF(COUNTIF(코드설정!$H$5:$H$7,업무일지!$D328)=0,"직무구분 누락; ","")&amp;IF(업무일지!$E328="","세부유형 누락; ",IF(AND(업무일지!$D328&lt;&gt;"",COUNTIFS(코드설정!$A$5:$A$21,업무일지!$D328,코드설정!$B$5:$B$21,업무일지!$E328)=0),"세부유형이 직무구분과 불일치; ",""))&amp;IF(AND(업무일지!$F328&lt;&gt;"",COUNTIF(사건마스터!$A$5:$A$64,업무일지!$F328)=0),"미등록 사건번호; ","")&amp;IF(AND(업무일지!$F328="",업무일지!$H328=""),"사건번호·업무명 모두 없음; ","")&amp;IF(업무일지!$J328="","담당자 없음; ","")&amp;IF(COUNTIF(코드설정!$F$5:$F$7,업무일지!$AG328)=0,"진행상태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"&amp;업무일지!$H329)</f>
        <v/>
      </c>
      <c r="D361" s="45">
        <f>IF(NOT(COUNTBLANK(업무일지!$B329:$AH329)&lt;33),"",TRIM(IF(업무일지!$B329="","시작일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","")&amp;IF(COUNTIF(코드설정!$H$5:$H$7,업무일지!$D329)=0,"직무구분 누락; ","")&amp;IF(업무일지!$E329="","세부유형 누락; ",IF(AND(업무일지!$D329&lt;&gt;"",COUNTIFS(코드설정!$A$5:$A$21,업무일지!$D329,코드설정!$B$5:$B$21,업무일지!$E329)=0),"세부유형이 직무구분과 불일치; ",""))&amp;IF(AND(업무일지!$F329&lt;&gt;"",COUNTIF(사건마스터!$A$5:$A$64,업무일지!$F329)=0),"미등록 사건번호; ","")&amp;IF(AND(업무일지!$F329="",업무일지!$H329=""),"사건번호·업무명 모두 없음; ","")&amp;IF(업무일지!$J329="","담당자 없음; ","")&amp;IF(COUNTIF(코드설정!$F$5:$F$7,업무일지!$AG329)=0,"진행상태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"&amp;업무일지!$H330)</f>
        <v/>
      </c>
      <c r="D362" s="45">
        <f>IF(NOT(COUNTBLANK(업무일지!$B330:$AH330)&lt;33),"",TRIM(IF(업무일지!$B330="","시작일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","")&amp;IF(COUNTIF(코드설정!$H$5:$H$7,업무일지!$D330)=0,"직무구분 누락; ","")&amp;IF(업무일지!$E330="","세부유형 누락; ",IF(AND(업무일지!$D330&lt;&gt;"",COUNTIFS(코드설정!$A$5:$A$21,업무일지!$D330,코드설정!$B$5:$B$21,업무일지!$E330)=0),"세부유형이 직무구분과 불일치; ",""))&amp;IF(AND(업무일지!$F330&lt;&gt;"",COUNTIF(사건마스터!$A$5:$A$64,업무일지!$F330)=0),"미등록 사건번호; ","")&amp;IF(AND(업무일지!$F330="",업무일지!$H330=""),"사건번호·업무명 모두 없음; ","")&amp;IF(업무일지!$J330="","담당자 없음; ","")&amp;IF(COUNTIF(코드설정!$F$5:$F$7,업무일지!$AG330)=0,"진행상태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"&amp;업무일지!$H331)</f>
        <v/>
      </c>
      <c r="D363" s="45">
        <f>IF(NOT(COUNTBLANK(업무일지!$B331:$AH331)&lt;33),"",TRIM(IF(업무일지!$B331="","시작일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","")&amp;IF(COUNTIF(코드설정!$H$5:$H$7,업무일지!$D331)=0,"직무구분 누락; ","")&amp;IF(업무일지!$E331="","세부유형 누락; ",IF(AND(업무일지!$D331&lt;&gt;"",COUNTIFS(코드설정!$A$5:$A$21,업무일지!$D331,코드설정!$B$5:$B$21,업무일지!$E331)=0),"세부유형이 직무구분과 불일치; ",""))&amp;IF(AND(업무일지!$F331&lt;&gt;"",COUNTIF(사건마스터!$A$5:$A$64,업무일지!$F331)=0),"미등록 사건번호; ","")&amp;IF(AND(업무일지!$F331="",업무일지!$H331=""),"사건번호·업무명 모두 없음; ","")&amp;IF(업무일지!$J331="","담당자 없음; ","")&amp;IF(COUNTIF(코드설정!$F$5:$F$7,업무일지!$AG331)=0,"진행상태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"&amp;업무일지!$H332)</f>
        <v/>
      </c>
      <c r="D364" s="45">
        <f>IF(NOT(COUNTBLANK(업무일지!$B332:$AH332)&lt;33),"",TRIM(IF(업무일지!$B332="","시작일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","")&amp;IF(COUNTIF(코드설정!$H$5:$H$7,업무일지!$D332)=0,"직무구분 누락; ","")&amp;IF(업무일지!$E332="","세부유형 누락; ",IF(AND(업무일지!$D332&lt;&gt;"",COUNTIFS(코드설정!$A$5:$A$21,업무일지!$D332,코드설정!$B$5:$B$21,업무일지!$E332)=0),"세부유형이 직무구분과 불일치; ",""))&amp;IF(AND(업무일지!$F332&lt;&gt;"",COUNTIF(사건마스터!$A$5:$A$64,업무일지!$F332)=0),"미등록 사건번호; ","")&amp;IF(AND(업무일지!$F332="",업무일지!$H332=""),"사건번호·업무명 모두 없음; ","")&amp;IF(업무일지!$J332="","담당자 없음; ","")&amp;IF(COUNTIF(코드설정!$F$5:$F$7,업무일지!$AG332)=0,"진행상태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"&amp;업무일지!$H333)</f>
        <v/>
      </c>
      <c r="D365" s="45">
        <f>IF(NOT(COUNTBLANK(업무일지!$B333:$AH333)&lt;33),"",TRIM(IF(업무일지!$B333="","시작일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","")&amp;IF(COUNTIF(코드설정!$H$5:$H$7,업무일지!$D333)=0,"직무구분 누락; ","")&amp;IF(업무일지!$E333="","세부유형 누락; ",IF(AND(업무일지!$D333&lt;&gt;"",COUNTIFS(코드설정!$A$5:$A$21,업무일지!$D333,코드설정!$B$5:$B$21,업무일지!$E333)=0),"세부유형이 직무구분과 불일치; ",""))&amp;IF(AND(업무일지!$F333&lt;&gt;"",COUNTIF(사건마스터!$A$5:$A$64,업무일지!$F333)=0),"미등록 사건번호; ","")&amp;IF(AND(업무일지!$F333="",업무일지!$H333=""),"사건번호·업무명 모두 없음; ","")&amp;IF(업무일지!$J333="","담당자 없음; ","")&amp;IF(COUNTIF(코드설정!$F$5:$F$7,업무일지!$AG333)=0,"진행상태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"&amp;업무일지!$H334)</f>
        <v/>
      </c>
      <c r="D366" s="45">
        <f>IF(NOT(COUNTBLANK(업무일지!$B334:$AH334)&lt;33),"",TRIM(IF(업무일지!$B334="","시작일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","")&amp;IF(COUNTIF(코드설정!$H$5:$H$7,업무일지!$D334)=0,"직무구분 누락; ","")&amp;IF(업무일지!$E334="","세부유형 누락; ",IF(AND(업무일지!$D334&lt;&gt;"",COUNTIFS(코드설정!$A$5:$A$21,업무일지!$D334,코드설정!$B$5:$B$21,업무일지!$E334)=0),"세부유형이 직무구분과 불일치; ",""))&amp;IF(AND(업무일지!$F334&lt;&gt;"",COUNTIF(사건마스터!$A$5:$A$64,업무일지!$F334)=0),"미등록 사건번호; ","")&amp;IF(AND(업무일지!$F334="",업무일지!$H334=""),"사건번호·업무명 모두 없음; ","")&amp;IF(업무일지!$J334="","담당자 없음; ","")&amp;IF(COUNTIF(코드설정!$F$5:$F$7,업무일지!$AG334)=0,"진행상태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"&amp;업무일지!$H335)</f>
        <v/>
      </c>
      <c r="D367" s="45">
        <f>IF(NOT(COUNTBLANK(업무일지!$B335:$AH335)&lt;33),"",TRIM(IF(업무일지!$B335="","시작일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","")&amp;IF(COUNTIF(코드설정!$H$5:$H$7,업무일지!$D335)=0,"직무구분 누락; ","")&amp;IF(업무일지!$E335="","세부유형 누락; ",IF(AND(업무일지!$D335&lt;&gt;"",COUNTIFS(코드설정!$A$5:$A$21,업무일지!$D335,코드설정!$B$5:$B$21,업무일지!$E335)=0),"세부유형이 직무구분과 불일치; ",""))&amp;IF(AND(업무일지!$F335&lt;&gt;"",COUNTIF(사건마스터!$A$5:$A$64,업무일지!$F335)=0),"미등록 사건번호; ","")&amp;IF(AND(업무일지!$F335="",업무일지!$H335=""),"사건번호·업무명 모두 없음; ","")&amp;IF(업무일지!$J335="","담당자 없음; ","")&amp;IF(COUNTIF(코드설정!$F$5:$F$7,업무일지!$AG335)=0,"진행상태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"&amp;업무일지!$H336)</f>
        <v/>
      </c>
      <c r="D368" s="45">
        <f>IF(NOT(COUNTBLANK(업무일지!$B336:$AH336)&lt;33),"",TRIM(IF(업무일지!$B336="","시작일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","")&amp;IF(COUNTIF(코드설정!$H$5:$H$7,업무일지!$D336)=0,"직무구분 누락; ","")&amp;IF(업무일지!$E336="","세부유형 누락; ",IF(AND(업무일지!$D336&lt;&gt;"",COUNTIFS(코드설정!$A$5:$A$21,업무일지!$D336,코드설정!$B$5:$B$21,업무일지!$E336)=0),"세부유형이 직무구분과 불일치; ",""))&amp;IF(AND(업무일지!$F336&lt;&gt;"",COUNTIF(사건마스터!$A$5:$A$64,업무일지!$F336)=0),"미등록 사건번호; ","")&amp;IF(AND(업무일지!$F336="",업무일지!$H336=""),"사건번호·업무명 모두 없음; ","")&amp;IF(업무일지!$J336="","담당자 없음; ","")&amp;IF(COUNTIF(코드설정!$F$5:$F$7,업무일지!$AG336)=0,"진행상태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"&amp;업무일지!$H337)</f>
        <v/>
      </c>
      <c r="D369" s="45">
        <f>IF(NOT(COUNTBLANK(업무일지!$B337:$AH337)&lt;33),"",TRIM(IF(업무일지!$B337="","시작일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","")&amp;IF(COUNTIF(코드설정!$H$5:$H$7,업무일지!$D337)=0,"직무구분 누락; ","")&amp;IF(업무일지!$E337="","세부유형 누락; ",IF(AND(업무일지!$D337&lt;&gt;"",COUNTIFS(코드설정!$A$5:$A$21,업무일지!$D337,코드설정!$B$5:$B$21,업무일지!$E337)=0),"세부유형이 직무구분과 불일치; ",""))&amp;IF(AND(업무일지!$F337&lt;&gt;"",COUNTIF(사건마스터!$A$5:$A$64,업무일지!$F337)=0),"미등록 사건번호; ","")&amp;IF(AND(업무일지!$F337="",업무일지!$H337=""),"사건번호·업무명 모두 없음; ","")&amp;IF(업무일지!$J337="","담당자 없음; ","")&amp;IF(COUNTIF(코드설정!$F$5:$F$7,업무일지!$AG337)=0,"진행상태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"&amp;업무일지!$H338)</f>
        <v/>
      </c>
      <c r="D370" s="45">
        <f>IF(NOT(COUNTBLANK(업무일지!$B338:$AH338)&lt;33),"",TRIM(IF(업무일지!$B338="","시작일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","")&amp;IF(COUNTIF(코드설정!$H$5:$H$7,업무일지!$D338)=0,"직무구분 누락; ","")&amp;IF(업무일지!$E338="","세부유형 누락; ",IF(AND(업무일지!$D338&lt;&gt;"",COUNTIFS(코드설정!$A$5:$A$21,업무일지!$D338,코드설정!$B$5:$B$21,업무일지!$E338)=0),"세부유형이 직무구분과 불일치; ",""))&amp;IF(AND(업무일지!$F338&lt;&gt;"",COUNTIF(사건마스터!$A$5:$A$64,업무일지!$F338)=0),"미등록 사건번호; ","")&amp;IF(AND(업무일지!$F338="",업무일지!$H338=""),"사건번호·업무명 모두 없음; ","")&amp;IF(업무일지!$J338="","담당자 없음; ","")&amp;IF(COUNTIF(코드설정!$F$5:$F$7,업무일지!$AG338)=0,"진행상태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"&amp;업무일지!$H339)</f>
        <v/>
      </c>
      <c r="D371" s="45">
        <f>IF(NOT(COUNTBLANK(업무일지!$B339:$AH339)&lt;33),"",TRIM(IF(업무일지!$B339="","시작일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","")&amp;IF(COUNTIF(코드설정!$H$5:$H$7,업무일지!$D339)=0,"직무구분 누락; ","")&amp;IF(업무일지!$E339="","세부유형 누락; ",IF(AND(업무일지!$D339&lt;&gt;"",COUNTIFS(코드설정!$A$5:$A$21,업무일지!$D339,코드설정!$B$5:$B$21,업무일지!$E339)=0),"세부유형이 직무구분과 불일치; ",""))&amp;IF(AND(업무일지!$F339&lt;&gt;"",COUNTIF(사건마스터!$A$5:$A$64,업무일지!$F339)=0),"미등록 사건번호; ","")&amp;IF(AND(업무일지!$F339="",업무일지!$H339=""),"사건번호·업무명 모두 없음; ","")&amp;IF(업무일지!$J339="","담당자 없음; ","")&amp;IF(COUNTIF(코드설정!$F$5:$F$7,업무일지!$AG339)=0,"진행상태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"&amp;업무일지!$H340)</f>
        <v/>
      </c>
      <c r="D372" s="45">
        <f>IF(NOT(COUNTBLANK(업무일지!$B340:$AH340)&lt;33),"",TRIM(IF(업무일지!$B340="","시작일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","")&amp;IF(COUNTIF(코드설정!$H$5:$H$7,업무일지!$D340)=0,"직무구분 누락; ","")&amp;IF(업무일지!$E340="","세부유형 누락; ",IF(AND(업무일지!$D340&lt;&gt;"",COUNTIFS(코드설정!$A$5:$A$21,업무일지!$D340,코드설정!$B$5:$B$21,업무일지!$E340)=0),"세부유형이 직무구분과 불일치; ",""))&amp;IF(AND(업무일지!$F340&lt;&gt;"",COUNTIF(사건마스터!$A$5:$A$64,업무일지!$F340)=0),"미등록 사건번호; ","")&amp;IF(AND(업무일지!$F340="",업무일지!$H340=""),"사건번호·업무명 모두 없음; ","")&amp;IF(업무일지!$J340="","담당자 없음; ","")&amp;IF(COUNTIF(코드설정!$F$5:$F$7,업무일지!$AG340)=0,"진행상태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"&amp;업무일지!$H341)</f>
        <v/>
      </c>
      <c r="D373" s="45">
        <f>IF(NOT(COUNTBLANK(업무일지!$B341:$AH341)&lt;33),"",TRIM(IF(업무일지!$B341="","시작일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","")&amp;IF(COUNTIF(코드설정!$H$5:$H$7,업무일지!$D341)=0,"직무구분 누락; ","")&amp;IF(업무일지!$E341="","세부유형 누락; ",IF(AND(업무일지!$D341&lt;&gt;"",COUNTIFS(코드설정!$A$5:$A$21,업무일지!$D341,코드설정!$B$5:$B$21,업무일지!$E341)=0),"세부유형이 직무구분과 불일치; ",""))&amp;IF(AND(업무일지!$F341&lt;&gt;"",COUNTIF(사건마스터!$A$5:$A$64,업무일지!$F341)=0),"미등록 사건번호; ","")&amp;IF(AND(업무일지!$F341="",업무일지!$H341=""),"사건번호·업무명 모두 없음; ","")&amp;IF(업무일지!$J341="","담당자 없음; ","")&amp;IF(COUNTIF(코드설정!$F$5:$F$7,업무일지!$AG341)=0,"진행상태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"&amp;업무일지!$H342)</f>
        <v/>
      </c>
      <c r="D374" s="45">
        <f>IF(NOT(COUNTBLANK(업무일지!$B342:$AH342)&lt;33),"",TRIM(IF(업무일지!$B342="","시작일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","")&amp;IF(COUNTIF(코드설정!$H$5:$H$7,업무일지!$D342)=0,"직무구분 누락; ","")&amp;IF(업무일지!$E342="","세부유형 누락; ",IF(AND(업무일지!$D342&lt;&gt;"",COUNTIFS(코드설정!$A$5:$A$21,업무일지!$D342,코드설정!$B$5:$B$21,업무일지!$E342)=0),"세부유형이 직무구분과 불일치; ",""))&amp;IF(AND(업무일지!$F342&lt;&gt;"",COUNTIF(사건마스터!$A$5:$A$64,업무일지!$F342)=0),"미등록 사건번호; ","")&amp;IF(AND(업무일지!$F342="",업무일지!$H342=""),"사건번호·업무명 모두 없음; ","")&amp;IF(업무일지!$J342="","담당자 없음; ","")&amp;IF(COUNTIF(코드설정!$F$5:$F$7,업무일지!$AG342)=0,"진행상태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"&amp;업무일지!$H343)</f>
        <v/>
      </c>
      <c r="D375" s="45">
        <f>IF(NOT(COUNTBLANK(업무일지!$B343:$AH343)&lt;33),"",TRIM(IF(업무일지!$B343="","시작일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","")&amp;IF(COUNTIF(코드설정!$H$5:$H$7,업무일지!$D343)=0,"직무구분 누락; ","")&amp;IF(업무일지!$E343="","세부유형 누락; ",IF(AND(업무일지!$D343&lt;&gt;"",COUNTIFS(코드설정!$A$5:$A$21,업무일지!$D343,코드설정!$B$5:$B$21,업무일지!$E343)=0),"세부유형이 직무구분과 불일치; ",""))&amp;IF(AND(업무일지!$F343&lt;&gt;"",COUNTIF(사건마스터!$A$5:$A$64,업무일지!$F343)=0),"미등록 사건번호; ","")&amp;IF(AND(업무일지!$F343="",업무일지!$H343=""),"사건번호·업무명 모두 없음; ","")&amp;IF(업무일지!$J343="","담당자 없음; ","")&amp;IF(COUNTIF(코드설정!$F$5:$F$7,업무일지!$AG343)=0,"진행상태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"&amp;업무일지!$H344)</f>
        <v/>
      </c>
      <c r="D376" s="45">
        <f>IF(NOT(COUNTBLANK(업무일지!$B344:$AH344)&lt;33),"",TRIM(IF(업무일지!$B344="","시작일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","")&amp;IF(COUNTIF(코드설정!$H$5:$H$7,업무일지!$D344)=0,"직무구분 누락; ","")&amp;IF(업무일지!$E344="","세부유형 누락; ",IF(AND(업무일지!$D344&lt;&gt;"",COUNTIFS(코드설정!$A$5:$A$21,업무일지!$D344,코드설정!$B$5:$B$21,업무일지!$E344)=0),"세부유형이 직무구분과 불일치; ",""))&amp;IF(AND(업무일지!$F344&lt;&gt;"",COUNTIF(사건마스터!$A$5:$A$64,업무일지!$F344)=0),"미등록 사건번호; ","")&amp;IF(AND(업무일지!$F344="",업무일지!$H344=""),"사건번호·업무명 모두 없음; ","")&amp;IF(업무일지!$J344="","담당자 없음; ","")&amp;IF(COUNTIF(코드설정!$F$5:$F$7,업무일지!$AG344)=0,"진행상태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"&amp;업무일지!$H345)</f>
        <v/>
      </c>
      <c r="D377" s="45">
        <f>IF(NOT(COUNTBLANK(업무일지!$B345:$AH345)&lt;33),"",TRIM(IF(업무일지!$B345="","시작일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","")&amp;IF(COUNTIF(코드설정!$H$5:$H$7,업무일지!$D345)=0,"직무구분 누락; ","")&amp;IF(업무일지!$E345="","세부유형 누락; ",IF(AND(업무일지!$D345&lt;&gt;"",COUNTIFS(코드설정!$A$5:$A$21,업무일지!$D345,코드설정!$B$5:$B$21,업무일지!$E345)=0),"세부유형이 직무구분과 불일치; ",""))&amp;IF(AND(업무일지!$F345&lt;&gt;"",COUNTIF(사건마스터!$A$5:$A$64,업무일지!$F345)=0),"미등록 사건번호; ","")&amp;IF(AND(업무일지!$F345="",업무일지!$H345=""),"사건번호·업무명 모두 없음; ","")&amp;IF(업무일지!$J345="","담당자 없음; ","")&amp;IF(COUNTIF(코드설정!$F$5:$F$7,업무일지!$AG345)=0,"진행상태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"&amp;업무일지!$H346)</f>
        <v/>
      </c>
      <c r="D378" s="45">
        <f>IF(NOT(COUNTBLANK(업무일지!$B346:$AH346)&lt;33),"",TRIM(IF(업무일지!$B346="","시작일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","")&amp;IF(COUNTIF(코드설정!$H$5:$H$7,업무일지!$D346)=0,"직무구분 누락; ","")&amp;IF(업무일지!$E346="","세부유형 누락; ",IF(AND(업무일지!$D346&lt;&gt;"",COUNTIFS(코드설정!$A$5:$A$21,업무일지!$D346,코드설정!$B$5:$B$21,업무일지!$E346)=0),"세부유형이 직무구분과 불일치; ",""))&amp;IF(AND(업무일지!$F346&lt;&gt;"",COUNTIF(사건마스터!$A$5:$A$64,업무일지!$F346)=0),"미등록 사건번호; ","")&amp;IF(AND(업무일지!$F346="",업무일지!$H346=""),"사건번호·업무명 모두 없음; ","")&amp;IF(업무일지!$J346="","담당자 없음; ","")&amp;IF(COUNTIF(코드설정!$F$5:$F$7,업무일지!$AG346)=0,"진행상태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"&amp;업무일지!$H347)</f>
        <v/>
      </c>
      <c r="D379" s="45">
        <f>IF(NOT(COUNTBLANK(업무일지!$B347:$AH347)&lt;33),"",TRIM(IF(업무일지!$B347="","시작일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","")&amp;IF(COUNTIF(코드설정!$H$5:$H$7,업무일지!$D347)=0,"직무구분 누락; ","")&amp;IF(업무일지!$E347="","세부유형 누락; ",IF(AND(업무일지!$D347&lt;&gt;"",COUNTIFS(코드설정!$A$5:$A$21,업무일지!$D347,코드설정!$B$5:$B$21,업무일지!$E347)=0),"세부유형이 직무구분과 불일치; ",""))&amp;IF(AND(업무일지!$F347&lt;&gt;"",COUNTIF(사건마스터!$A$5:$A$64,업무일지!$F347)=0),"미등록 사건번호; ","")&amp;IF(AND(업무일지!$F347="",업무일지!$H347=""),"사건번호·업무명 모두 없음; ","")&amp;IF(업무일지!$J347="","담당자 없음; ","")&amp;IF(COUNTIF(코드설정!$F$5:$F$7,업무일지!$AG347)=0,"진행상태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"&amp;업무일지!$H348)</f>
        <v/>
      </c>
      <c r="D380" s="45">
        <f>IF(NOT(COUNTBLANK(업무일지!$B348:$AH348)&lt;33),"",TRIM(IF(업무일지!$B348="","시작일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","")&amp;IF(COUNTIF(코드설정!$H$5:$H$7,업무일지!$D348)=0,"직무구분 누락; ","")&amp;IF(업무일지!$E348="","세부유형 누락; ",IF(AND(업무일지!$D348&lt;&gt;"",COUNTIFS(코드설정!$A$5:$A$21,업무일지!$D348,코드설정!$B$5:$B$21,업무일지!$E348)=0),"세부유형이 직무구분과 불일치; ",""))&amp;IF(AND(업무일지!$F348&lt;&gt;"",COUNTIF(사건마스터!$A$5:$A$64,업무일지!$F348)=0),"미등록 사건번호; ","")&amp;IF(AND(업무일지!$F348="",업무일지!$H348=""),"사건번호·업무명 모두 없음; ","")&amp;IF(업무일지!$J348="","담당자 없음; ","")&amp;IF(COUNTIF(코드설정!$F$5:$F$7,업무일지!$AG348)=0,"진행상태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"&amp;업무일지!$H349)</f>
        <v/>
      </c>
      <c r="D381" s="45">
        <f>IF(NOT(COUNTBLANK(업무일지!$B349:$AH349)&lt;33),"",TRIM(IF(업무일지!$B349="","시작일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","")&amp;IF(COUNTIF(코드설정!$H$5:$H$7,업무일지!$D349)=0,"직무구분 누락; ","")&amp;IF(업무일지!$E349="","세부유형 누락; ",IF(AND(업무일지!$D349&lt;&gt;"",COUNTIFS(코드설정!$A$5:$A$21,업무일지!$D349,코드설정!$B$5:$B$21,업무일지!$E349)=0),"세부유형이 직무구분과 불일치; ",""))&amp;IF(AND(업무일지!$F349&lt;&gt;"",COUNTIF(사건마스터!$A$5:$A$64,업무일지!$F349)=0),"미등록 사건번호; ","")&amp;IF(AND(업무일지!$F349="",업무일지!$H349=""),"사건번호·업무명 모두 없음; ","")&amp;IF(업무일지!$J349="","담당자 없음; ","")&amp;IF(COUNTIF(코드설정!$F$5:$F$7,업무일지!$AG349)=0,"진행상태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"&amp;업무일지!$H350)</f>
        <v/>
      </c>
      <c r="D382" s="45">
        <f>IF(NOT(COUNTBLANK(업무일지!$B350:$AH350)&lt;33),"",TRIM(IF(업무일지!$B350="","시작일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","")&amp;IF(COUNTIF(코드설정!$H$5:$H$7,업무일지!$D350)=0,"직무구분 누락; ","")&amp;IF(업무일지!$E350="","세부유형 누락; ",IF(AND(업무일지!$D350&lt;&gt;"",COUNTIFS(코드설정!$A$5:$A$21,업무일지!$D350,코드설정!$B$5:$B$21,업무일지!$E350)=0),"세부유형이 직무구분과 불일치; ",""))&amp;IF(AND(업무일지!$F350&lt;&gt;"",COUNTIF(사건마스터!$A$5:$A$64,업무일지!$F350)=0),"미등록 사건번호; ","")&amp;IF(AND(업무일지!$F350="",업무일지!$H350=""),"사건번호·업무명 모두 없음; ","")&amp;IF(업무일지!$J350="","담당자 없음; ","")&amp;IF(COUNTIF(코드설정!$F$5:$F$7,업무일지!$AG350)=0,"진행상태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"&amp;업무일지!$H351)</f>
        <v/>
      </c>
      <c r="D383" s="45">
        <f>IF(NOT(COUNTBLANK(업무일지!$B351:$AH351)&lt;33),"",TRIM(IF(업무일지!$B351="","시작일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","")&amp;IF(COUNTIF(코드설정!$H$5:$H$7,업무일지!$D351)=0,"직무구분 누락; ","")&amp;IF(업무일지!$E351="","세부유형 누락; ",IF(AND(업무일지!$D351&lt;&gt;"",COUNTIFS(코드설정!$A$5:$A$21,업무일지!$D351,코드설정!$B$5:$B$21,업무일지!$E351)=0),"세부유형이 직무구분과 불일치; ",""))&amp;IF(AND(업무일지!$F351&lt;&gt;"",COUNTIF(사건마스터!$A$5:$A$64,업무일지!$F351)=0),"미등록 사건번호; ","")&amp;IF(AND(업무일지!$F351="",업무일지!$H351=""),"사건번호·업무명 모두 없음; ","")&amp;IF(업무일지!$J351="","담당자 없음; ","")&amp;IF(COUNTIF(코드설정!$F$5:$F$7,업무일지!$AG351)=0,"진행상태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"&amp;업무일지!$H352)</f>
        <v/>
      </c>
      <c r="D384" s="45">
        <f>IF(NOT(COUNTBLANK(업무일지!$B352:$AH352)&lt;33),"",TRIM(IF(업무일지!$B352="","시작일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","")&amp;IF(COUNTIF(코드설정!$H$5:$H$7,업무일지!$D352)=0,"직무구분 누락; ","")&amp;IF(업무일지!$E352="","세부유형 누락; ",IF(AND(업무일지!$D352&lt;&gt;"",COUNTIFS(코드설정!$A$5:$A$21,업무일지!$D352,코드설정!$B$5:$B$21,업무일지!$E352)=0),"세부유형이 직무구분과 불일치; ",""))&amp;IF(AND(업무일지!$F352&lt;&gt;"",COUNTIF(사건마스터!$A$5:$A$64,업무일지!$F352)=0),"미등록 사건번호; ","")&amp;IF(AND(업무일지!$F352="",업무일지!$H352=""),"사건번호·업무명 모두 없음; ","")&amp;IF(업무일지!$J352="","담당자 없음; ","")&amp;IF(COUNTIF(코드설정!$F$5:$F$7,업무일지!$AG352)=0,"진행상태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"&amp;업무일지!$H353)</f>
        <v/>
      </c>
      <c r="D385" s="45">
        <f>IF(NOT(COUNTBLANK(업무일지!$B353:$AH353)&lt;33),"",TRIM(IF(업무일지!$B353="","시작일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","")&amp;IF(COUNTIF(코드설정!$H$5:$H$7,업무일지!$D353)=0,"직무구분 누락; ","")&amp;IF(업무일지!$E353="","세부유형 누락; ",IF(AND(업무일지!$D353&lt;&gt;"",COUNTIFS(코드설정!$A$5:$A$21,업무일지!$D353,코드설정!$B$5:$B$21,업무일지!$E353)=0),"세부유형이 직무구분과 불일치; ",""))&amp;IF(AND(업무일지!$F353&lt;&gt;"",COUNTIF(사건마스터!$A$5:$A$64,업무일지!$F353)=0),"미등록 사건번호; ","")&amp;IF(AND(업무일지!$F353="",업무일지!$H353=""),"사건번호·업무명 모두 없음; ","")&amp;IF(업무일지!$J353="","담당자 없음; ","")&amp;IF(COUNTIF(코드설정!$F$5:$F$7,업무일지!$AG353)=0,"진행상태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"&amp;업무일지!$H354)</f>
        <v/>
      </c>
      <c r="D386" s="45">
        <f>IF(NOT(COUNTBLANK(업무일지!$B354:$AH354)&lt;33),"",TRIM(IF(업무일지!$B354="","시작일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","")&amp;IF(COUNTIF(코드설정!$H$5:$H$7,업무일지!$D354)=0,"직무구분 누락; ","")&amp;IF(업무일지!$E354="","세부유형 누락; ",IF(AND(업무일지!$D354&lt;&gt;"",COUNTIFS(코드설정!$A$5:$A$21,업무일지!$D354,코드설정!$B$5:$B$21,업무일지!$E354)=0),"세부유형이 직무구분과 불일치; ",""))&amp;IF(AND(업무일지!$F354&lt;&gt;"",COUNTIF(사건마스터!$A$5:$A$64,업무일지!$F354)=0),"미등록 사건번호; ","")&amp;IF(AND(업무일지!$F354="",업무일지!$H354=""),"사건번호·업무명 모두 없음; ","")&amp;IF(업무일지!$J354="","담당자 없음; ","")&amp;IF(COUNTIF(코드설정!$F$5:$F$7,업무일지!$AG354)=0,"진행상태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"&amp;업무일지!$H355)</f>
        <v/>
      </c>
      <c r="D387" s="45">
        <f>IF(NOT(COUNTBLANK(업무일지!$B355:$AH355)&lt;33),"",TRIM(IF(업무일지!$B355="","시작일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","")&amp;IF(COUNTIF(코드설정!$H$5:$H$7,업무일지!$D355)=0,"직무구분 누락; ","")&amp;IF(업무일지!$E355="","세부유형 누락; ",IF(AND(업무일지!$D355&lt;&gt;"",COUNTIFS(코드설정!$A$5:$A$21,업무일지!$D355,코드설정!$B$5:$B$21,업무일지!$E355)=0),"세부유형이 직무구분과 불일치; ",""))&amp;IF(AND(업무일지!$F355&lt;&gt;"",COUNTIF(사건마스터!$A$5:$A$64,업무일지!$F355)=0),"미등록 사건번호; ","")&amp;IF(AND(업무일지!$F355="",업무일지!$H355=""),"사건번호·업무명 모두 없음; ","")&amp;IF(업무일지!$J355="","담당자 없음; ","")&amp;IF(COUNTIF(코드설정!$F$5:$F$7,업무일지!$AG355)=0,"진행상태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"&amp;업무일지!$H356)</f>
        <v/>
      </c>
      <c r="D388" s="45">
        <f>IF(NOT(COUNTBLANK(업무일지!$B356:$AH356)&lt;33),"",TRIM(IF(업무일지!$B356="","시작일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","")&amp;IF(COUNTIF(코드설정!$H$5:$H$7,업무일지!$D356)=0,"직무구분 누락; ","")&amp;IF(업무일지!$E356="","세부유형 누락; ",IF(AND(업무일지!$D356&lt;&gt;"",COUNTIFS(코드설정!$A$5:$A$21,업무일지!$D356,코드설정!$B$5:$B$21,업무일지!$E356)=0),"세부유형이 직무구분과 불일치; ",""))&amp;IF(AND(업무일지!$F356&lt;&gt;"",COUNTIF(사건마스터!$A$5:$A$64,업무일지!$F356)=0),"미등록 사건번호; ","")&amp;IF(AND(업무일지!$F356="",업무일지!$H356=""),"사건번호·업무명 모두 없음; ","")&amp;IF(업무일지!$J356="","담당자 없음; ","")&amp;IF(COUNTIF(코드설정!$F$5:$F$7,업무일지!$AG356)=0,"진행상태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"&amp;업무일지!$H357)</f>
        <v/>
      </c>
      <c r="D389" s="45">
        <f>IF(NOT(COUNTBLANK(업무일지!$B357:$AH357)&lt;33),"",TRIM(IF(업무일지!$B357="","시작일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","")&amp;IF(COUNTIF(코드설정!$H$5:$H$7,업무일지!$D357)=0,"직무구분 누락; ","")&amp;IF(업무일지!$E357="","세부유형 누락; ",IF(AND(업무일지!$D357&lt;&gt;"",COUNTIFS(코드설정!$A$5:$A$21,업무일지!$D357,코드설정!$B$5:$B$21,업무일지!$E357)=0),"세부유형이 직무구분과 불일치; ",""))&amp;IF(AND(업무일지!$F357&lt;&gt;"",COUNTIF(사건마스터!$A$5:$A$64,업무일지!$F357)=0),"미등록 사건번호; ","")&amp;IF(AND(업무일지!$F357="",업무일지!$H357=""),"사건번호·업무명 모두 없음; ","")&amp;IF(업무일지!$J357="","담당자 없음; ","")&amp;IF(COUNTIF(코드설정!$F$5:$F$7,업무일지!$AG357)=0,"진행상태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"&amp;업무일지!$H358)</f>
        <v/>
      </c>
      <c r="D390" s="45">
        <f>IF(NOT(COUNTBLANK(업무일지!$B358:$AH358)&lt;33),"",TRIM(IF(업무일지!$B358="","시작일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","")&amp;IF(COUNTIF(코드설정!$H$5:$H$7,업무일지!$D358)=0,"직무구분 누락; ","")&amp;IF(업무일지!$E358="","세부유형 누락; ",IF(AND(업무일지!$D358&lt;&gt;"",COUNTIFS(코드설정!$A$5:$A$21,업무일지!$D358,코드설정!$B$5:$B$21,업무일지!$E358)=0),"세부유형이 직무구분과 불일치; ",""))&amp;IF(AND(업무일지!$F358&lt;&gt;"",COUNTIF(사건마스터!$A$5:$A$64,업무일지!$F358)=0),"미등록 사건번호; ","")&amp;IF(AND(업무일지!$F358="",업무일지!$H358=""),"사건번호·업무명 모두 없음; ","")&amp;IF(업무일지!$J358="","담당자 없음; ","")&amp;IF(COUNTIF(코드설정!$F$5:$F$7,업무일지!$AG358)=0,"진행상태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"&amp;업무일지!$H359)</f>
        <v/>
      </c>
      <c r="D391" s="45">
        <f>IF(NOT(COUNTBLANK(업무일지!$B359:$AH359)&lt;33),"",TRIM(IF(업무일지!$B359="","시작일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","")&amp;IF(COUNTIF(코드설정!$H$5:$H$7,업무일지!$D359)=0,"직무구분 누락; ","")&amp;IF(업무일지!$E359="","세부유형 누락; ",IF(AND(업무일지!$D359&lt;&gt;"",COUNTIFS(코드설정!$A$5:$A$21,업무일지!$D359,코드설정!$B$5:$B$21,업무일지!$E359)=0),"세부유형이 직무구분과 불일치; ",""))&amp;IF(AND(업무일지!$F359&lt;&gt;"",COUNTIF(사건마스터!$A$5:$A$64,업무일지!$F359)=0),"미등록 사건번호; ","")&amp;IF(AND(업무일지!$F359="",업무일지!$H359=""),"사건번호·업무명 모두 없음; ","")&amp;IF(업무일지!$J359="","담당자 없음; ","")&amp;IF(COUNTIF(코드설정!$F$5:$F$7,업무일지!$AG359)=0,"진행상태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"&amp;업무일지!$H360)</f>
        <v/>
      </c>
      <c r="D392" s="45">
        <f>IF(NOT(COUNTBLANK(업무일지!$B360:$AH360)&lt;33),"",TRIM(IF(업무일지!$B360="","시작일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","")&amp;IF(COUNTIF(코드설정!$H$5:$H$7,업무일지!$D360)=0,"직무구분 누락; ","")&amp;IF(업무일지!$E360="","세부유형 누락; ",IF(AND(업무일지!$D360&lt;&gt;"",COUNTIFS(코드설정!$A$5:$A$21,업무일지!$D360,코드설정!$B$5:$B$21,업무일지!$E360)=0),"세부유형이 직무구분과 불일치; ",""))&amp;IF(AND(업무일지!$F360&lt;&gt;"",COUNTIF(사건마스터!$A$5:$A$64,업무일지!$F360)=0),"미등록 사건번호; ","")&amp;IF(AND(업무일지!$F360="",업무일지!$H360=""),"사건번호·업무명 모두 없음; ","")&amp;IF(업무일지!$J360="","담당자 없음; ","")&amp;IF(COUNTIF(코드설정!$F$5:$F$7,업무일지!$AG360)=0,"진행상태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"&amp;업무일지!$H361)</f>
        <v/>
      </c>
      <c r="D393" s="45">
        <f>IF(NOT(COUNTBLANK(업무일지!$B361:$AH361)&lt;33),"",TRIM(IF(업무일지!$B361="","시작일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","")&amp;IF(COUNTIF(코드설정!$H$5:$H$7,업무일지!$D361)=0,"직무구분 누락; ","")&amp;IF(업무일지!$E361="","세부유형 누락; ",IF(AND(업무일지!$D361&lt;&gt;"",COUNTIFS(코드설정!$A$5:$A$21,업무일지!$D361,코드설정!$B$5:$B$21,업무일지!$E361)=0),"세부유형이 직무구분과 불일치; ",""))&amp;IF(AND(업무일지!$F361&lt;&gt;"",COUNTIF(사건마스터!$A$5:$A$64,업무일지!$F361)=0),"미등록 사건번호; ","")&amp;IF(AND(업무일지!$F361="",업무일지!$H361=""),"사건번호·업무명 모두 없음; ","")&amp;IF(업무일지!$J361="","담당자 없음; ","")&amp;IF(COUNTIF(코드설정!$F$5:$F$7,업무일지!$AG361)=0,"진행상태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"&amp;업무일지!$H362)</f>
        <v/>
      </c>
      <c r="D394" s="45">
        <f>IF(NOT(COUNTBLANK(업무일지!$B362:$AH362)&lt;33),"",TRIM(IF(업무일지!$B362="","시작일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","")&amp;IF(COUNTIF(코드설정!$H$5:$H$7,업무일지!$D362)=0,"직무구분 누락; ","")&amp;IF(업무일지!$E362="","세부유형 누락; ",IF(AND(업무일지!$D362&lt;&gt;"",COUNTIFS(코드설정!$A$5:$A$21,업무일지!$D362,코드설정!$B$5:$B$21,업무일지!$E362)=0),"세부유형이 직무구분과 불일치; ",""))&amp;IF(AND(업무일지!$F362&lt;&gt;"",COUNTIF(사건마스터!$A$5:$A$64,업무일지!$F362)=0),"미등록 사건번호; ","")&amp;IF(AND(업무일지!$F362="",업무일지!$H362=""),"사건번호·업무명 모두 없음; ","")&amp;IF(업무일지!$J362="","담당자 없음; ","")&amp;IF(COUNTIF(코드설정!$F$5:$F$7,업무일지!$AG362)=0,"진행상태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"&amp;업무일지!$H363)</f>
        <v/>
      </c>
      <c r="D395" s="45">
        <f>IF(NOT(COUNTBLANK(업무일지!$B363:$AH363)&lt;33),"",TRIM(IF(업무일지!$B363="","시작일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","")&amp;IF(COUNTIF(코드설정!$H$5:$H$7,업무일지!$D363)=0,"직무구분 누락; ","")&amp;IF(업무일지!$E363="","세부유형 누락; ",IF(AND(업무일지!$D363&lt;&gt;"",COUNTIFS(코드설정!$A$5:$A$21,업무일지!$D363,코드설정!$B$5:$B$21,업무일지!$E363)=0),"세부유형이 직무구분과 불일치; ",""))&amp;IF(AND(업무일지!$F363&lt;&gt;"",COUNTIF(사건마스터!$A$5:$A$64,업무일지!$F363)=0),"미등록 사건번호; ","")&amp;IF(AND(업무일지!$F363="",업무일지!$H363=""),"사건번호·업무명 모두 없음; ","")&amp;IF(업무일지!$J363="","담당자 없음; ","")&amp;IF(COUNTIF(코드설정!$F$5:$F$7,업무일지!$AG363)=0,"진행상태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"&amp;업무일지!$H364)</f>
        <v/>
      </c>
      <c r="D396" s="45">
        <f>IF(NOT(COUNTBLANK(업무일지!$B364:$AH364)&lt;33),"",TRIM(IF(업무일지!$B364="","시작일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","")&amp;IF(COUNTIF(코드설정!$H$5:$H$7,업무일지!$D364)=0,"직무구분 누락; ","")&amp;IF(업무일지!$E364="","세부유형 누락; ",IF(AND(업무일지!$D364&lt;&gt;"",COUNTIFS(코드설정!$A$5:$A$21,업무일지!$D364,코드설정!$B$5:$B$21,업무일지!$E364)=0),"세부유형이 직무구분과 불일치; ",""))&amp;IF(AND(업무일지!$F364&lt;&gt;"",COUNTIF(사건마스터!$A$5:$A$64,업무일지!$F364)=0),"미등록 사건번호; ","")&amp;IF(AND(업무일지!$F364="",업무일지!$H364=""),"사건번호·업무명 모두 없음; ","")&amp;IF(업무일지!$J364="","담당자 없음; ","")&amp;IF(COUNTIF(코드설정!$F$5:$F$7,업무일지!$AG364)=0,"진행상태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"&amp;업무일지!$H365)</f>
        <v/>
      </c>
      <c r="D397" s="45">
        <f>IF(NOT(COUNTBLANK(업무일지!$B365:$AH365)&lt;33),"",TRIM(IF(업무일지!$B365="","시작일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","")&amp;IF(COUNTIF(코드설정!$H$5:$H$7,업무일지!$D365)=0,"직무구분 누락; ","")&amp;IF(업무일지!$E365="","세부유형 누락; ",IF(AND(업무일지!$D365&lt;&gt;"",COUNTIFS(코드설정!$A$5:$A$21,업무일지!$D365,코드설정!$B$5:$B$21,업무일지!$E365)=0),"세부유형이 직무구분과 불일치; ",""))&amp;IF(AND(업무일지!$F365&lt;&gt;"",COUNTIF(사건마스터!$A$5:$A$64,업무일지!$F365)=0),"미등록 사건번호; ","")&amp;IF(AND(업무일지!$F365="",업무일지!$H365=""),"사건번호·업무명 모두 없음; ","")&amp;IF(업무일지!$J365="","담당자 없음; ","")&amp;IF(COUNTIF(코드설정!$F$5:$F$7,업무일지!$AG365)=0,"진행상태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"&amp;업무일지!$H366)</f>
        <v/>
      </c>
      <c r="D398" s="45">
        <f>IF(NOT(COUNTBLANK(업무일지!$B366:$AH366)&lt;33),"",TRIM(IF(업무일지!$B366="","시작일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","")&amp;IF(COUNTIF(코드설정!$H$5:$H$7,업무일지!$D366)=0,"직무구분 누락; ","")&amp;IF(업무일지!$E366="","세부유형 누락; ",IF(AND(업무일지!$D366&lt;&gt;"",COUNTIFS(코드설정!$A$5:$A$21,업무일지!$D366,코드설정!$B$5:$B$21,업무일지!$E366)=0),"세부유형이 직무구분과 불일치; ",""))&amp;IF(AND(업무일지!$F366&lt;&gt;"",COUNTIF(사건마스터!$A$5:$A$64,업무일지!$F366)=0),"미등록 사건번호; ","")&amp;IF(AND(업무일지!$F366="",업무일지!$H366=""),"사건번호·업무명 모두 없음; ","")&amp;IF(업무일지!$J366="","담당자 없음; ","")&amp;IF(COUNTIF(코드설정!$F$5:$F$7,업무일지!$AG366)=0,"진행상태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"&amp;업무일지!$H367)</f>
        <v/>
      </c>
      <c r="D399" s="45">
        <f>IF(NOT(COUNTBLANK(업무일지!$B367:$AH367)&lt;33),"",TRIM(IF(업무일지!$B367="","시작일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","")&amp;IF(COUNTIF(코드설정!$H$5:$H$7,업무일지!$D367)=0,"직무구분 누락; ","")&amp;IF(업무일지!$E367="","세부유형 누락; ",IF(AND(업무일지!$D367&lt;&gt;"",COUNTIFS(코드설정!$A$5:$A$21,업무일지!$D367,코드설정!$B$5:$B$21,업무일지!$E367)=0),"세부유형이 직무구분과 불일치; ",""))&amp;IF(AND(업무일지!$F367&lt;&gt;"",COUNTIF(사건마스터!$A$5:$A$64,업무일지!$F367)=0),"미등록 사건번호; ","")&amp;IF(AND(업무일지!$F367="",업무일지!$H367=""),"사건번호·업무명 모두 없음; ","")&amp;IF(업무일지!$J367="","담당자 없음; ","")&amp;IF(COUNTIF(코드설정!$F$5:$F$7,업무일지!$AG367)=0,"진행상태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"&amp;업무일지!$H368)</f>
        <v/>
      </c>
      <c r="D400" s="45">
        <f>IF(NOT(COUNTBLANK(업무일지!$B368:$AH368)&lt;33),"",TRIM(IF(업무일지!$B368="","시작일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","")&amp;IF(COUNTIF(코드설정!$H$5:$H$7,업무일지!$D368)=0,"직무구분 누락; ","")&amp;IF(업무일지!$E368="","세부유형 누락; ",IF(AND(업무일지!$D368&lt;&gt;"",COUNTIFS(코드설정!$A$5:$A$21,업무일지!$D368,코드설정!$B$5:$B$21,업무일지!$E368)=0),"세부유형이 직무구분과 불일치; ",""))&amp;IF(AND(업무일지!$F368&lt;&gt;"",COUNTIF(사건마스터!$A$5:$A$64,업무일지!$F368)=0),"미등록 사건번호; ","")&amp;IF(AND(업무일지!$F368="",업무일지!$H368=""),"사건번호·업무명 모두 없음; ","")&amp;IF(업무일지!$J368="","담당자 없음; ","")&amp;IF(COUNTIF(코드설정!$F$5:$F$7,업무일지!$AG368)=0,"진행상태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"&amp;업무일지!$H369)</f>
        <v/>
      </c>
      <c r="D401" s="45">
        <f>IF(NOT(COUNTBLANK(업무일지!$B369:$AH369)&lt;33),"",TRIM(IF(업무일지!$B369="","시작일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","")&amp;IF(COUNTIF(코드설정!$H$5:$H$7,업무일지!$D369)=0,"직무구분 누락; ","")&amp;IF(업무일지!$E369="","세부유형 누락; ",IF(AND(업무일지!$D369&lt;&gt;"",COUNTIFS(코드설정!$A$5:$A$21,업무일지!$D369,코드설정!$B$5:$B$21,업무일지!$E369)=0),"세부유형이 직무구분과 불일치; ",""))&amp;IF(AND(업무일지!$F369&lt;&gt;"",COUNTIF(사건마스터!$A$5:$A$64,업무일지!$F369)=0),"미등록 사건번호; ","")&amp;IF(AND(업무일지!$F369="",업무일지!$H369=""),"사건번호·업무명 모두 없음; ","")&amp;IF(업무일지!$J369="","담당자 없음; ","")&amp;IF(COUNTIF(코드설정!$F$5:$F$7,업무일지!$AG369)=0,"진행상태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"&amp;업무일지!$H370)</f>
        <v/>
      </c>
      <c r="D402" s="45">
        <f>IF(NOT(COUNTBLANK(업무일지!$B370:$AH370)&lt;33),"",TRIM(IF(업무일지!$B370="","시작일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","")&amp;IF(COUNTIF(코드설정!$H$5:$H$7,업무일지!$D370)=0,"직무구분 누락; ","")&amp;IF(업무일지!$E370="","세부유형 누락; ",IF(AND(업무일지!$D370&lt;&gt;"",COUNTIFS(코드설정!$A$5:$A$21,업무일지!$D370,코드설정!$B$5:$B$21,업무일지!$E370)=0),"세부유형이 직무구분과 불일치; ",""))&amp;IF(AND(업무일지!$F370&lt;&gt;"",COUNTIF(사건마스터!$A$5:$A$64,업무일지!$F370)=0),"미등록 사건번호; ","")&amp;IF(AND(업무일지!$F370="",업무일지!$H370=""),"사건번호·업무명 모두 없음; ","")&amp;IF(업무일지!$J370="","담당자 없음; ","")&amp;IF(COUNTIF(코드설정!$F$5:$F$7,업무일지!$AG370)=0,"진행상태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"&amp;업무일지!$H371)</f>
        <v/>
      </c>
      <c r="D403" s="45">
        <f>IF(NOT(COUNTBLANK(업무일지!$B371:$AH371)&lt;33),"",TRIM(IF(업무일지!$B371="","시작일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","")&amp;IF(COUNTIF(코드설정!$H$5:$H$7,업무일지!$D371)=0,"직무구분 누락; ","")&amp;IF(업무일지!$E371="","세부유형 누락; ",IF(AND(업무일지!$D371&lt;&gt;"",COUNTIFS(코드설정!$A$5:$A$21,업무일지!$D371,코드설정!$B$5:$B$21,업무일지!$E371)=0),"세부유형이 직무구분과 불일치; ",""))&amp;IF(AND(업무일지!$F371&lt;&gt;"",COUNTIF(사건마스터!$A$5:$A$64,업무일지!$F371)=0),"미등록 사건번호; ","")&amp;IF(AND(업무일지!$F371="",업무일지!$H371=""),"사건번호·업무명 모두 없음; ","")&amp;IF(업무일지!$J371="","담당자 없음; ","")&amp;IF(COUNTIF(코드설정!$F$5:$F$7,업무일지!$AG371)=0,"진행상태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"&amp;업무일지!$H372)</f>
        <v/>
      </c>
      <c r="D404" s="45">
        <f>IF(NOT(COUNTBLANK(업무일지!$B372:$AH372)&lt;33),"",TRIM(IF(업무일지!$B372="","시작일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","")&amp;IF(COUNTIF(코드설정!$H$5:$H$7,업무일지!$D372)=0,"직무구분 누락; ","")&amp;IF(업무일지!$E372="","세부유형 누락; ",IF(AND(업무일지!$D372&lt;&gt;"",COUNTIFS(코드설정!$A$5:$A$21,업무일지!$D372,코드설정!$B$5:$B$21,업무일지!$E372)=0),"세부유형이 직무구분과 불일치; ",""))&amp;IF(AND(업무일지!$F372&lt;&gt;"",COUNTIF(사건마스터!$A$5:$A$64,업무일지!$F372)=0),"미등록 사건번호; ","")&amp;IF(AND(업무일지!$F372="",업무일지!$H372=""),"사건번호·업무명 모두 없음; ","")&amp;IF(업무일지!$J372="","담당자 없음; ","")&amp;IF(COUNTIF(코드설정!$F$5:$F$7,업무일지!$AG372)=0,"진행상태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"&amp;업무일지!$H373)</f>
        <v/>
      </c>
      <c r="D405" s="45">
        <f>IF(NOT(COUNTBLANK(업무일지!$B373:$AH373)&lt;33),"",TRIM(IF(업무일지!$B373="","시작일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","")&amp;IF(COUNTIF(코드설정!$H$5:$H$7,업무일지!$D373)=0,"직무구분 누락; ","")&amp;IF(업무일지!$E373="","세부유형 누락; ",IF(AND(업무일지!$D373&lt;&gt;"",COUNTIFS(코드설정!$A$5:$A$21,업무일지!$D373,코드설정!$B$5:$B$21,업무일지!$E373)=0),"세부유형이 직무구분과 불일치; ",""))&amp;IF(AND(업무일지!$F373&lt;&gt;"",COUNTIF(사건마스터!$A$5:$A$64,업무일지!$F373)=0),"미등록 사건번호; ","")&amp;IF(AND(업무일지!$F373="",업무일지!$H373=""),"사건번호·업무명 모두 없음; ","")&amp;IF(업무일지!$J373="","담당자 없음; ","")&amp;IF(COUNTIF(코드설정!$F$5:$F$7,업무일지!$AG373)=0,"진행상태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"&amp;업무일지!$H374)</f>
        <v/>
      </c>
      <c r="D406" s="45">
        <f>IF(NOT(COUNTBLANK(업무일지!$B374:$AH374)&lt;33),"",TRIM(IF(업무일지!$B374="","시작일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","")&amp;IF(COUNTIF(코드설정!$H$5:$H$7,업무일지!$D374)=0,"직무구분 누락; ","")&amp;IF(업무일지!$E374="","세부유형 누락; ",IF(AND(업무일지!$D374&lt;&gt;"",COUNTIFS(코드설정!$A$5:$A$21,업무일지!$D374,코드설정!$B$5:$B$21,업무일지!$E374)=0),"세부유형이 직무구분과 불일치; ",""))&amp;IF(AND(업무일지!$F374&lt;&gt;"",COUNTIF(사건마스터!$A$5:$A$64,업무일지!$F374)=0),"미등록 사건번호; ","")&amp;IF(AND(업무일지!$F374="",업무일지!$H374=""),"사건번호·업무명 모두 없음; ","")&amp;IF(업무일지!$J374="","담당자 없음; ","")&amp;IF(COUNTIF(코드설정!$F$5:$F$7,업무일지!$AG374)=0,"진행상태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"&amp;업무일지!$H375)</f>
        <v/>
      </c>
      <c r="D407" s="45">
        <f>IF(NOT(COUNTBLANK(업무일지!$B375:$AH375)&lt;33),"",TRIM(IF(업무일지!$B375="","시작일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","")&amp;IF(COUNTIF(코드설정!$H$5:$H$7,업무일지!$D375)=0,"직무구분 누락; ","")&amp;IF(업무일지!$E375="","세부유형 누락; ",IF(AND(업무일지!$D375&lt;&gt;"",COUNTIFS(코드설정!$A$5:$A$21,업무일지!$D375,코드설정!$B$5:$B$21,업무일지!$E375)=0),"세부유형이 직무구분과 불일치; ",""))&amp;IF(AND(업무일지!$F375&lt;&gt;"",COUNTIF(사건마스터!$A$5:$A$64,업무일지!$F375)=0),"미등록 사건번호; ","")&amp;IF(AND(업무일지!$F375="",업무일지!$H375=""),"사건번호·업무명 모두 없음; ","")&amp;IF(업무일지!$J375="","담당자 없음; ","")&amp;IF(COUNTIF(코드설정!$F$5:$F$7,업무일지!$AG375)=0,"진행상태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"&amp;업무일지!$H376)</f>
        <v/>
      </c>
      <c r="D408" s="45">
        <f>IF(NOT(COUNTBLANK(업무일지!$B376:$AH376)&lt;33),"",TRIM(IF(업무일지!$B376="","시작일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","")&amp;IF(COUNTIF(코드설정!$H$5:$H$7,업무일지!$D376)=0,"직무구분 누락; ","")&amp;IF(업무일지!$E376="","세부유형 누락; ",IF(AND(업무일지!$D376&lt;&gt;"",COUNTIFS(코드설정!$A$5:$A$21,업무일지!$D376,코드설정!$B$5:$B$21,업무일지!$E376)=0),"세부유형이 직무구분과 불일치; ",""))&amp;IF(AND(업무일지!$F376&lt;&gt;"",COUNTIF(사건마스터!$A$5:$A$64,업무일지!$F376)=0),"미등록 사건번호; ","")&amp;IF(AND(업무일지!$F376="",업무일지!$H376=""),"사건번호·업무명 모두 없음; ","")&amp;IF(업무일지!$J376="","담당자 없음; ","")&amp;IF(COUNTIF(코드설정!$F$5:$F$7,업무일지!$AG376)=0,"진행상태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"&amp;업무일지!$H377)</f>
        <v/>
      </c>
      <c r="D409" s="45">
        <f>IF(NOT(COUNTBLANK(업무일지!$B377:$AH377)&lt;33),"",TRIM(IF(업무일지!$B377="","시작일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","")&amp;IF(COUNTIF(코드설정!$H$5:$H$7,업무일지!$D377)=0,"직무구분 누락; ","")&amp;IF(업무일지!$E377="","세부유형 누락; ",IF(AND(업무일지!$D377&lt;&gt;"",COUNTIFS(코드설정!$A$5:$A$21,업무일지!$D377,코드설정!$B$5:$B$21,업무일지!$E377)=0),"세부유형이 직무구분과 불일치; ",""))&amp;IF(AND(업무일지!$F377&lt;&gt;"",COUNTIF(사건마스터!$A$5:$A$64,업무일지!$F377)=0),"미등록 사건번호; ","")&amp;IF(AND(업무일지!$F377="",업무일지!$H377=""),"사건번호·업무명 모두 없음; ","")&amp;IF(업무일지!$J377="","담당자 없음; ","")&amp;IF(COUNTIF(코드설정!$F$5:$F$7,업무일지!$AG377)=0,"진행상태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"&amp;업무일지!$H378)</f>
        <v/>
      </c>
      <c r="D410" s="45">
        <f>IF(NOT(COUNTBLANK(업무일지!$B378:$AH378)&lt;33),"",TRIM(IF(업무일지!$B378="","시작일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","")&amp;IF(COUNTIF(코드설정!$H$5:$H$7,업무일지!$D378)=0,"직무구분 누락; ","")&amp;IF(업무일지!$E378="","세부유형 누락; ",IF(AND(업무일지!$D378&lt;&gt;"",COUNTIFS(코드설정!$A$5:$A$21,업무일지!$D378,코드설정!$B$5:$B$21,업무일지!$E378)=0),"세부유형이 직무구분과 불일치; ",""))&amp;IF(AND(업무일지!$F378&lt;&gt;"",COUNTIF(사건마스터!$A$5:$A$64,업무일지!$F378)=0),"미등록 사건번호; ","")&amp;IF(AND(업무일지!$F378="",업무일지!$H378=""),"사건번호·업무명 모두 없음; ","")&amp;IF(업무일지!$J378="","담당자 없음; ","")&amp;IF(COUNTIF(코드설정!$F$5:$F$7,업무일지!$AG378)=0,"진행상태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"&amp;업무일지!$H379)</f>
        <v/>
      </c>
      <c r="D411" s="45">
        <f>IF(NOT(COUNTBLANK(업무일지!$B379:$AH379)&lt;33),"",TRIM(IF(업무일지!$B379="","시작일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","")&amp;IF(COUNTIF(코드설정!$H$5:$H$7,업무일지!$D379)=0,"직무구분 누락; ","")&amp;IF(업무일지!$E379="","세부유형 누락; ",IF(AND(업무일지!$D379&lt;&gt;"",COUNTIFS(코드설정!$A$5:$A$21,업무일지!$D379,코드설정!$B$5:$B$21,업무일지!$E379)=0),"세부유형이 직무구분과 불일치; ",""))&amp;IF(AND(업무일지!$F379&lt;&gt;"",COUNTIF(사건마스터!$A$5:$A$64,업무일지!$F379)=0),"미등록 사건번호; ","")&amp;IF(AND(업무일지!$F379="",업무일지!$H379=""),"사건번호·업무명 모두 없음; ","")&amp;IF(업무일지!$J379="","담당자 없음; ","")&amp;IF(COUNTIF(코드설정!$F$5:$F$7,업무일지!$AG379)=0,"진행상태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"&amp;업무일지!$H380)</f>
        <v/>
      </c>
      <c r="D412" s="45">
        <f>IF(NOT(COUNTBLANK(업무일지!$B380:$AH380)&lt;33),"",TRIM(IF(업무일지!$B380="","시작일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","")&amp;IF(COUNTIF(코드설정!$H$5:$H$7,업무일지!$D380)=0,"직무구분 누락; ","")&amp;IF(업무일지!$E380="","세부유형 누락; ",IF(AND(업무일지!$D380&lt;&gt;"",COUNTIFS(코드설정!$A$5:$A$21,업무일지!$D380,코드설정!$B$5:$B$21,업무일지!$E380)=0),"세부유형이 직무구분과 불일치; ",""))&amp;IF(AND(업무일지!$F380&lt;&gt;"",COUNTIF(사건마스터!$A$5:$A$64,업무일지!$F380)=0),"미등록 사건번호; ","")&amp;IF(AND(업무일지!$F380="",업무일지!$H380=""),"사건번호·업무명 모두 없음; ","")&amp;IF(업무일지!$J380="","담당자 없음; ","")&amp;IF(COUNTIF(코드설정!$F$5:$F$7,업무일지!$AG380)=0,"진행상태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"&amp;업무일지!$H381)</f>
        <v/>
      </c>
      <c r="D413" s="45">
        <f>IF(NOT(COUNTBLANK(업무일지!$B381:$AH381)&lt;33),"",TRIM(IF(업무일지!$B381="","시작일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","")&amp;IF(COUNTIF(코드설정!$H$5:$H$7,업무일지!$D381)=0,"직무구분 누락; ","")&amp;IF(업무일지!$E381="","세부유형 누락; ",IF(AND(업무일지!$D381&lt;&gt;"",COUNTIFS(코드설정!$A$5:$A$21,업무일지!$D381,코드설정!$B$5:$B$21,업무일지!$E381)=0),"세부유형이 직무구분과 불일치; ",""))&amp;IF(AND(업무일지!$F381&lt;&gt;"",COUNTIF(사건마스터!$A$5:$A$64,업무일지!$F381)=0),"미등록 사건번호; ","")&amp;IF(AND(업무일지!$F381="",업무일지!$H381=""),"사건번호·업무명 모두 없음; ","")&amp;IF(업무일지!$J381="","담당자 없음; ","")&amp;IF(COUNTIF(코드설정!$F$5:$F$7,업무일지!$AG381)=0,"진행상태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"&amp;업무일지!$H382)</f>
        <v/>
      </c>
      <c r="D414" s="45">
        <f>IF(NOT(COUNTBLANK(업무일지!$B382:$AH382)&lt;33),"",TRIM(IF(업무일지!$B382="","시작일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","")&amp;IF(COUNTIF(코드설정!$H$5:$H$7,업무일지!$D382)=0,"직무구분 누락; ","")&amp;IF(업무일지!$E382="","세부유형 누락; ",IF(AND(업무일지!$D382&lt;&gt;"",COUNTIFS(코드설정!$A$5:$A$21,업무일지!$D382,코드설정!$B$5:$B$21,업무일지!$E382)=0),"세부유형이 직무구분과 불일치; ",""))&amp;IF(AND(업무일지!$F382&lt;&gt;"",COUNTIF(사건마스터!$A$5:$A$64,업무일지!$F382)=0),"미등록 사건번호; ","")&amp;IF(AND(업무일지!$F382="",업무일지!$H382=""),"사건번호·업무명 모두 없음; ","")&amp;IF(업무일지!$J382="","담당자 없음; ","")&amp;IF(COUNTIF(코드설정!$F$5:$F$7,업무일지!$AG382)=0,"진행상태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"&amp;업무일지!$H383)</f>
        <v/>
      </c>
      <c r="D415" s="45">
        <f>IF(NOT(COUNTBLANK(업무일지!$B383:$AH383)&lt;33),"",TRIM(IF(업무일지!$B383="","시작일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","")&amp;IF(COUNTIF(코드설정!$H$5:$H$7,업무일지!$D383)=0,"직무구분 누락; ","")&amp;IF(업무일지!$E383="","세부유형 누락; ",IF(AND(업무일지!$D383&lt;&gt;"",COUNTIFS(코드설정!$A$5:$A$21,업무일지!$D383,코드설정!$B$5:$B$21,업무일지!$E383)=0),"세부유형이 직무구분과 불일치; ",""))&amp;IF(AND(업무일지!$F383&lt;&gt;"",COUNTIF(사건마스터!$A$5:$A$64,업무일지!$F383)=0),"미등록 사건번호; ","")&amp;IF(AND(업무일지!$F383="",업무일지!$H383=""),"사건번호·업무명 모두 없음; ","")&amp;IF(업무일지!$J383="","담당자 없음; ","")&amp;IF(COUNTIF(코드설정!$F$5:$F$7,업무일지!$AG383)=0,"진행상태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"&amp;업무일지!$H384)</f>
        <v/>
      </c>
      <c r="D416" s="45">
        <f>IF(NOT(COUNTBLANK(업무일지!$B384:$AH384)&lt;33),"",TRIM(IF(업무일지!$B384="","시작일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","")&amp;IF(COUNTIF(코드설정!$H$5:$H$7,업무일지!$D384)=0,"직무구분 누락; ","")&amp;IF(업무일지!$E384="","세부유형 누락; ",IF(AND(업무일지!$D384&lt;&gt;"",COUNTIFS(코드설정!$A$5:$A$21,업무일지!$D384,코드설정!$B$5:$B$21,업무일지!$E384)=0),"세부유형이 직무구분과 불일치; ",""))&amp;IF(AND(업무일지!$F384&lt;&gt;"",COUNTIF(사건마스터!$A$5:$A$64,업무일지!$F384)=0),"미등록 사건번호; ","")&amp;IF(AND(업무일지!$F384="",업무일지!$H384=""),"사건번호·업무명 모두 없음; ","")&amp;IF(업무일지!$J384="","담당자 없음; ","")&amp;IF(COUNTIF(코드설정!$F$5:$F$7,업무일지!$AG384)=0,"진행상태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"&amp;업무일지!$H385)</f>
        <v/>
      </c>
      <c r="D417" s="45">
        <f>IF(NOT(COUNTBLANK(업무일지!$B385:$AH385)&lt;33),"",TRIM(IF(업무일지!$B385="","시작일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","")&amp;IF(COUNTIF(코드설정!$H$5:$H$7,업무일지!$D385)=0,"직무구분 누락; ","")&amp;IF(업무일지!$E385="","세부유형 누락; ",IF(AND(업무일지!$D385&lt;&gt;"",COUNTIFS(코드설정!$A$5:$A$21,업무일지!$D385,코드설정!$B$5:$B$21,업무일지!$E385)=0),"세부유형이 직무구분과 불일치; ",""))&amp;IF(AND(업무일지!$F385&lt;&gt;"",COUNTIF(사건마스터!$A$5:$A$64,업무일지!$F385)=0),"미등록 사건번호; ","")&amp;IF(AND(업무일지!$F385="",업무일지!$H385=""),"사건번호·업무명 모두 없음; ","")&amp;IF(업무일지!$J385="","담당자 없음; ","")&amp;IF(COUNTIF(코드설정!$F$5:$F$7,업무일지!$AG385)=0,"진행상태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"&amp;업무일지!$H386)</f>
        <v/>
      </c>
      <c r="D418" s="45">
        <f>IF(NOT(COUNTBLANK(업무일지!$B386:$AH386)&lt;33),"",TRIM(IF(업무일지!$B386="","시작일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","")&amp;IF(COUNTIF(코드설정!$H$5:$H$7,업무일지!$D386)=0,"직무구분 누락; ","")&amp;IF(업무일지!$E386="","세부유형 누락; ",IF(AND(업무일지!$D386&lt;&gt;"",COUNTIFS(코드설정!$A$5:$A$21,업무일지!$D386,코드설정!$B$5:$B$21,업무일지!$E386)=0),"세부유형이 직무구분과 불일치; ",""))&amp;IF(AND(업무일지!$F386&lt;&gt;"",COUNTIF(사건마스터!$A$5:$A$64,업무일지!$F386)=0),"미등록 사건번호; ","")&amp;IF(AND(업무일지!$F386="",업무일지!$H386=""),"사건번호·업무명 모두 없음; ","")&amp;IF(업무일지!$J386="","담당자 없음; ","")&amp;IF(COUNTIF(코드설정!$F$5:$F$7,업무일지!$AG386)=0,"진행상태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"&amp;업무일지!$H387)</f>
        <v/>
      </c>
      <c r="D419" s="45">
        <f>IF(NOT(COUNTBLANK(업무일지!$B387:$AH387)&lt;33),"",TRIM(IF(업무일지!$B387="","시작일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","")&amp;IF(COUNTIF(코드설정!$H$5:$H$7,업무일지!$D387)=0,"직무구분 누락; ","")&amp;IF(업무일지!$E387="","세부유형 누락; ",IF(AND(업무일지!$D387&lt;&gt;"",COUNTIFS(코드설정!$A$5:$A$21,업무일지!$D387,코드설정!$B$5:$B$21,업무일지!$E387)=0),"세부유형이 직무구분과 불일치; ",""))&amp;IF(AND(업무일지!$F387&lt;&gt;"",COUNTIF(사건마스터!$A$5:$A$64,업무일지!$F387)=0),"미등록 사건번호; ","")&amp;IF(AND(업무일지!$F387="",업무일지!$H387=""),"사건번호·업무명 모두 없음; ","")&amp;IF(업무일지!$J387="","담당자 없음; ","")&amp;IF(COUNTIF(코드설정!$F$5:$F$7,업무일지!$AG387)=0,"진행상태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"&amp;업무일지!$H388)</f>
        <v/>
      </c>
      <c r="D420" s="45">
        <f>IF(NOT(COUNTBLANK(업무일지!$B388:$AH388)&lt;33),"",TRIM(IF(업무일지!$B388="","시작일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","")&amp;IF(COUNTIF(코드설정!$H$5:$H$7,업무일지!$D388)=0,"직무구분 누락; ","")&amp;IF(업무일지!$E388="","세부유형 누락; ",IF(AND(업무일지!$D388&lt;&gt;"",COUNTIFS(코드설정!$A$5:$A$21,업무일지!$D388,코드설정!$B$5:$B$21,업무일지!$E388)=0),"세부유형이 직무구분과 불일치; ",""))&amp;IF(AND(업무일지!$F388&lt;&gt;"",COUNTIF(사건마스터!$A$5:$A$64,업무일지!$F388)=0),"미등록 사건번호; ","")&amp;IF(AND(업무일지!$F388="",업무일지!$H388=""),"사건번호·업무명 모두 없음; ","")&amp;IF(업무일지!$J388="","담당자 없음; ","")&amp;IF(COUNTIF(코드설정!$F$5:$F$7,업무일지!$AG388)=0,"진행상태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"&amp;업무일지!$H389)</f>
        <v/>
      </c>
      <c r="D421" s="45">
        <f>IF(NOT(COUNTBLANK(업무일지!$B389:$AH389)&lt;33),"",TRIM(IF(업무일지!$B389="","시작일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","")&amp;IF(COUNTIF(코드설정!$H$5:$H$7,업무일지!$D389)=0,"직무구분 누락; ","")&amp;IF(업무일지!$E389="","세부유형 누락; ",IF(AND(업무일지!$D389&lt;&gt;"",COUNTIFS(코드설정!$A$5:$A$21,업무일지!$D389,코드설정!$B$5:$B$21,업무일지!$E389)=0),"세부유형이 직무구분과 불일치; ",""))&amp;IF(AND(업무일지!$F389&lt;&gt;"",COUNTIF(사건마스터!$A$5:$A$64,업무일지!$F389)=0),"미등록 사건번호; ","")&amp;IF(AND(업무일지!$F389="",업무일지!$H389=""),"사건번호·업무명 모두 없음; ","")&amp;IF(업무일지!$J389="","담당자 없음; ","")&amp;IF(COUNTIF(코드설정!$F$5:$F$7,업무일지!$AG389)=0,"진행상태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"&amp;업무일지!$H390)</f>
        <v/>
      </c>
      <c r="D422" s="45">
        <f>IF(NOT(COUNTBLANK(업무일지!$B390:$AH390)&lt;33),"",TRIM(IF(업무일지!$B390="","시작일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","")&amp;IF(COUNTIF(코드설정!$H$5:$H$7,업무일지!$D390)=0,"직무구분 누락; ","")&amp;IF(업무일지!$E390="","세부유형 누락; ",IF(AND(업무일지!$D390&lt;&gt;"",COUNTIFS(코드설정!$A$5:$A$21,업무일지!$D390,코드설정!$B$5:$B$21,업무일지!$E390)=0),"세부유형이 직무구분과 불일치; ",""))&amp;IF(AND(업무일지!$F390&lt;&gt;"",COUNTIF(사건마스터!$A$5:$A$64,업무일지!$F390)=0),"미등록 사건번호; ","")&amp;IF(AND(업무일지!$F390="",업무일지!$H390=""),"사건번호·업무명 모두 없음; ","")&amp;IF(업무일지!$J390="","담당자 없음; ","")&amp;IF(COUNTIF(코드설정!$F$5:$F$7,업무일지!$AG390)=0,"진행상태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"&amp;업무일지!$H391)</f>
        <v/>
      </c>
      <c r="D423" s="45">
        <f>IF(NOT(COUNTBLANK(업무일지!$B391:$AH391)&lt;33),"",TRIM(IF(업무일지!$B391="","시작일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","")&amp;IF(COUNTIF(코드설정!$H$5:$H$7,업무일지!$D391)=0,"직무구분 누락; ","")&amp;IF(업무일지!$E391="","세부유형 누락; ",IF(AND(업무일지!$D391&lt;&gt;"",COUNTIFS(코드설정!$A$5:$A$21,업무일지!$D391,코드설정!$B$5:$B$21,업무일지!$E391)=0),"세부유형이 직무구분과 불일치; ",""))&amp;IF(AND(업무일지!$F391&lt;&gt;"",COUNTIF(사건마스터!$A$5:$A$64,업무일지!$F391)=0),"미등록 사건번호; ","")&amp;IF(AND(업무일지!$F391="",업무일지!$H391=""),"사건번호·업무명 모두 없음; ","")&amp;IF(업무일지!$J391="","담당자 없음; ","")&amp;IF(COUNTIF(코드설정!$F$5:$F$7,업무일지!$AG391)=0,"진행상태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"&amp;업무일지!$H392)</f>
        <v/>
      </c>
      <c r="D424" s="45">
        <f>IF(NOT(COUNTBLANK(업무일지!$B392:$AH392)&lt;33),"",TRIM(IF(업무일지!$B392="","시작일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","")&amp;IF(COUNTIF(코드설정!$H$5:$H$7,업무일지!$D392)=0,"직무구분 누락; ","")&amp;IF(업무일지!$E392="","세부유형 누락; ",IF(AND(업무일지!$D392&lt;&gt;"",COUNTIFS(코드설정!$A$5:$A$21,업무일지!$D392,코드설정!$B$5:$B$21,업무일지!$E392)=0),"세부유형이 직무구분과 불일치; ",""))&amp;IF(AND(업무일지!$F392&lt;&gt;"",COUNTIF(사건마스터!$A$5:$A$64,업무일지!$F392)=0),"미등록 사건번호; ","")&amp;IF(AND(업무일지!$F392="",업무일지!$H392=""),"사건번호·업무명 모두 없음; ","")&amp;IF(업무일지!$J392="","담당자 없음; ","")&amp;IF(COUNTIF(코드설정!$F$5:$F$7,업무일지!$AG392)=0,"진행상태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"&amp;업무일지!$H393)</f>
        <v/>
      </c>
      <c r="D425" s="45">
        <f>IF(NOT(COUNTBLANK(업무일지!$B393:$AH393)&lt;33),"",TRIM(IF(업무일지!$B393="","시작일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","")&amp;IF(COUNTIF(코드설정!$H$5:$H$7,업무일지!$D393)=0,"직무구분 누락; ","")&amp;IF(업무일지!$E393="","세부유형 누락; ",IF(AND(업무일지!$D393&lt;&gt;"",COUNTIFS(코드설정!$A$5:$A$21,업무일지!$D393,코드설정!$B$5:$B$21,업무일지!$E393)=0),"세부유형이 직무구분과 불일치; ",""))&amp;IF(AND(업무일지!$F393&lt;&gt;"",COUNTIF(사건마스터!$A$5:$A$64,업무일지!$F393)=0),"미등록 사건번호; ","")&amp;IF(AND(업무일지!$F393="",업무일지!$H393=""),"사건번호·업무명 모두 없음; ","")&amp;IF(업무일지!$J393="","담당자 없음; ","")&amp;IF(COUNTIF(코드설정!$F$5:$F$7,업무일지!$AG393)=0,"진행상태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"&amp;업무일지!$H394)</f>
        <v/>
      </c>
      <c r="D426" s="45">
        <f>IF(NOT(COUNTBLANK(업무일지!$B394:$AH394)&lt;33),"",TRIM(IF(업무일지!$B394="","시작일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","")&amp;IF(COUNTIF(코드설정!$H$5:$H$7,업무일지!$D394)=0,"직무구분 누락; ","")&amp;IF(업무일지!$E394="","세부유형 누락; ",IF(AND(업무일지!$D394&lt;&gt;"",COUNTIFS(코드설정!$A$5:$A$21,업무일지!$D394,코드설정!$B$5:$B$21,업무일지!$E394)=0),"세부유형이 직무구분과 불일치; ",""))&amp;IF(AND(업무일지!$F394&lt;&gt;"",COUNTIF(사건마스터!$A$5:$A$64,업무일지!$F394)=0),"미등록 사건번호; ","")&amp;IF(AND(업무일지!$F394="",업무일지!$H394=""),"사건번호·업무명 모두 없음; ","")&amp;IF(업무일지!$J394="","담당자 없음; ","")&amp;IF(COUNTIF(코드설정!$F$5:$F$7,업무일지!$AG394)=0,"진행상태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"&amp;업무일지!$H395)</f>
        <v/>
      </c>
      <c r="D427" s="45">
        <f>IF(NOT(COUNTBLANK(업무일지!$B395:$AH395)&lt;33),"",TRIM(IF(업무일지!$B395="","시작일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","")&amp;IF(COUNTIF(코드설정!$H$5:$H$7,업무일지!$D395)=0,"직무구분 누락; ","")&amp;IF(업무일지!$E395="","세부유형 누락; ",IF(AND(업무일지!$D395&lt;&gt;"",COUNTIFS(코드설정!$A$5:$A$21,업무일지!$D395,코드설정!$B$5:$B$21,업무일지!$E395)=0),"세부유형이 직무구분과 불일치; ",""))&amp;IF(AND(업무일지!$F395&lt;&gt;"",COUNTIF(사건마스터!$A$5:$A$64,업무일지!$F395)=0),"미등록 사건번호; ","")&amp;IF(AND(업무일지!$F395="",업무일지!$H395=""),"사건번호·업무명 모두 없음; ","")&amp;IF(업무일지!$J395="","담당자 없음; ","")&amp;IF(COUNTIF(코드설정!$F$5:$F$7,업무일지!$AG395)=0,"진행상태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"&amp;업무일지!$H396)</f>
        <v/>
      </c>
      <c r="D428" s="45">
        <f>IF(NOT(COUNTBLANK(업무일지!$B396:$AH396)&lt;33),"",TRIM(IF(업무일지!$B396="","시작일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","")&amp;IF(COUNTIF(코드설정!$H$5:$H$7,업무일지!$D396)=0,"직무구분 누락; ","")&amp;IF(업무일지!$E396="","세부유형 누락; ",IF(AND(업무일지!$D396&lt;&gt;"",COUNTIFS(코드설정!$A$5:$A$21,업무일지!$D396,코드설정!$B$5:$B$21,업무일지!$E396)=0),"세부유형이 직무구분과 불일치; ",""))&amp;IF(AND(업무일지!$F396&lt;&gt;"",COUNTIF(사건마스터!$A$5:$A$64,업무일지!$F396)=0),"미등록 사건번호; ","")&amp;IF(AND(업무일지!$F396="",업무일지!$H396=""),"사건번호·업무명 모두 없음; ","")&amp;IF(업무일지!$J396="","담당자 없음; ","")&amp;IF(COUNTIF(코드설정!$F$5:$F$7,업무일지!$AG396)=0,"진행상태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"&amp;업무일지!$H397)</f>
        <v/>
      </c>
      <c r="D429" s="45">
        <f>IF(NOT(COUNTBLANK(업무일지!$B397:$AH397)&lt;33),"",TRIM(IF(업무일지!$B397="","시작일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","")&amp;IF(COUNTIF(코드설정!$H$5:$H$7,업무일지!$D397)=0,"직무구분 누락; ","")&amp;IF(업무일지!$E397="","세부유형 누락; ",IF(AND(업무일지!$D397&lt;&gt;"",COUNTIFS(코드설정!$A$5:$A$21,업무일지!$D397,코드설정!$B$5:$B$21,업무일지!$E397)=0),"세부유형이 직무구분과 불일치; ",""))&amp;IF(AND(업무일지!$F397&lt;&gt;"",COUNTIF(사건마스터!$A$5:$A$64,업무일지!$F397)=0),"미등록 사건번호; ","")&amp;IF(AND(업무일지!$F397="",업무일지!$H397=""),"사건번호·업무명 모두 없음; ","")&amp;IF(업무일지!$J397="","담당자 없음; ","")&amp;IF(COUNTIF(코드설정!$F$5:$F$7,업무일지!$AG397)=0,"진행상태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"&amp;업무일지!$H398)</f>
        <v/>
      </c>
      <c r="D430" s="45">
        <f>IF(NOT(COUNTBLANK(업무일지!$B398:$AH398)&lt;33),"",TRIM(IF(업무일지!$B398="","시작일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","")&amp;IF(COUNTIF(코드설정!$H$5:$H$7,업무일지!$D398)=0,"직무구분 누락; ","")&amp;IF(업무일지!$E398="","세부유형 누락; ",IF(AND(업무일지!$D398&lt;&gt;"",COUNTIFS(코드설정!$A$5:$A$21,업무일지!$D398,코드설정!$B$5:$B$21,업무일지!$E398)=0),"세부유형이 직무구분과 불일치; ",""))&amp;IF(AND(업무일지!$F398&lt;&gt;"",COUNTIF(사건마스터!$A$5:$A$64,업무일지!$F398)=0),"미등록 사건번호; ","")&amp;IF(AND(업무일지!$F398="",업무일지!$H398=""),"사건번호·업무명 모두 없음; ","")&amp;IF(업무일지!$J398="","담당자 없음; ","")&amp;IF(COUNTIF(코드설정!$F$5:$F$7,업무일지!$AG398)=0,"진행상태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"&amp;업무일지!$H399)</f>
        <v/>
      </c>
      <c r="D431" s="45">
        <f>IF(NOT(COUNTBLANK(업무일지!$B399:$AH399)&lt;33),"",TRIM(IF(업무일지!$B399="","시작일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","")&amp;IF(COUNTIF(코드설정!$H$5:$H$7,업무일지!$D399)=0,"직무구분 누락; ","")&amp;IF(업무일지!$E399="","세부유형 누락; ",IF(AND(업무일지!$D399&lt;&gt;"",COUNTIFS(코드설정!$A$5:$A$21,업무일지!$D399,코드설정!$B$5:$B$21,업무일지!$E399)=0),"세부유형이 직무구분과 불일치; ",""))&amp;IF(AND(업무일지!$F399&lt;&gt;"",COUNTIF(사건마스터!$A$5:$A$64,업무일지!$F399)=0),"미등록 사건번호; ","")&amp;IF(AND(업무일지!$F399="",업무일지!$H399=""),"사건번호·업무명 모두 없음; ","")&amp;IF(업무일지!$J399="","담당자 없음; ","")&amp;IF(COUNTIF(코드설정!$F$5:$F$7,업무일지!$AG399)=0,"진행상태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"&amp;업무일지!$H400)</f>
        <v/>
      </c>
      <c r="D432" s="45">
        <f>IF(NOT(COUNTBLANK(업무일지!$B400:$AH400)&lt;33),"",TRIM(IF(업무일지!$B400="","시작일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","")&amp;IF(COUNTIF(코드설정!$H$5:$H$7,업무일지!$D400)=0,"직무구분 누락; ","")&amp;IF(업무일지!$E400="","세부유형 누락; ",IF(AND(업무일지!$D400&lt;&gt;"",COUNTIFS(코드설정!$A$5:$A$21,업무일지!$D400,코드설정!$B$5:$B$21,업무일지!$E400)=0),"세부유형이 직무구분과 불일치; ",""))&amp;IF(AND(업무일지!$F400&lt;&gt;"",COUNTIF(사건마스터!$A$5:$A$64,업무일지!$F400)=0),"미등록 사건번호; ","")&amp;IF(AND(업무일지!$F400="",업무일지!$H400=""),"사건번호·업무명 모두 없음; ","")&amp;IF(업무일지!$J400="","담당자 없음; ","")&amp;IF(COUNTIF(코드설정!$F$5:$F$7,업무일지!$AG400)=0,"진행상태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"&amp;업무일지!$H401)</f>
        <v/>
      </c>
      <c r="D433" s="45">
        <f>IF(NOT(COUNTBLANK(업무일지!$B401:$AH401)&lt;33),"",TRIM(IF(업무일지!$B401="","시작일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","")&amp;IF(COUNTIF(코드설정!$H$5:$H$7,업무일지!$D401)=0,"직무구분 누락; ","")&amp;IF(업무일지!$E401="","세부유형 누락; ",IF(AND(업무일지!$D401&lt;&gt;"",COUNTIFS(코드설정!$A$5:$A$21,업무일지!$D401,코드설정!$B$5:$B$21,업무일지!$E401)=0),"세부유형이 직무구분과 불일치; ",""))&amp;IF(AND(업무일지!$F401&lt;&gt;"",COUNTIF(사건마스터!$A$5:$A$64,업무일지!$F401)=0),"미등록 사건번호; ","")&amp;IF(AND(업무일지!$F401="",업무일지!$H401=""),"사건번호·업무명 모두 없음; ","")&amp;IF(업무일지!$J401="","담당자 없음; ","")&amp;IF(COUNTIF(코드설정!$F$5:$F$7,업무일지!$AG401)=0,"진행상태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"&amp;업무일지!$H402)</f>
        <v/>
      </c>
      <c r="D434" s="45">
        <f>IF(NOT(COUNTBLANK(업무일지!$B402:$AH402)&lt;33),"",TRIM(IF(업무일지!$B402="","시작일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","")&amp;IF(COUNTIF(코드설정!$H$5:$H$7,업무일지!$D402)=0,"직무구분 누락; ","")&amp;IF(업무일지!$E402="","세부유형 누락; ",IF(AND(업무일지!$D402&lt;&gt;"",COUNTIFS(코드설정!$A$5:$A$21,업무일지!$D402,코드설정!$B$5:$B$21,업무일지!$E402)=0),"세부유형이 직무구분과 불일치; ",""))&amp;IF(AND(업무일지!$F402&lt;&gt;"",COUNTIF(사건마스터!$A$5:$A$64,업무일지!$F402)=0),"미등록 사건번호; ","")&amp;IF(AND(업무일지!$F402="",업무일지!$H402=""),"사건번호·업무명 모두 없음; ","")&amp;IF(업무일지!$J402="","담당자 없음; ","")&amp;IF(COUNTIF(코드설정!$F$5:$F$7,업무일지!$AG402)=0,"진행상태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"&amp;업무일지!$H403)</f>
        <v/>
      </c>
      <c r="D435" s="45">
        <f>IF(NOT(COUNTBLANK(업무일지!$B403:$AH403)&lt;33),"",TRIM(IF(업무일지!$B403="","시작일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","")&amp;IF(COUNTIF(코드설정!$H$5:$H$7,업무일지!$D403)=0,"직무구분 누락; ","")&amp;IF(업무일지!$E403="","세부유형 누락; ",IF(AND(업무일지!$D403&lt;&gt;"",COUNTIFS(코드설정!$A$5:$A$21,업무일지!$D403,코드설정!$B$5:$B$21,업무일지!$E403)=0),"세부유형이 직무구분과 불일치; ",""))&amp;IF(AND(업무일지!$F403&lt;&gt;"",COUNTIF(사건마스터!$A$5:$A$64,업무일지!$F403)=0),"미등록 사건번호; ","")&amp;IF(AND(업무일지!$F403="",업무일지!$H403=""),"사건번호·업무명 모두 없음; ","")&amp;IF(업무일지!$J403="","담당자 없음; ","")&amp;IF(COUNTIF(코드설정!$F$5:$F$7,업무일지!$AG403)=0,"진행상태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"&amp;업무일지!$H404)</f>
        <v/>
      </c>
      <c r="D436" s="45">
        <f>IF(NOT(COUNTBLANK(업무일지!$B404:$AH404)&lt;33),"",TRIM(IF(업무일지!$B404="","시작일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","")&amp;IF(COUNTIF(코드설정!$H$5:$H$7,업무일지!$D404)=0,"직무구분 누락; ","")&amp;IF(업무일지!$E404="","세부유형 누락; ",IF(AND(업무일지!$D404&lt;&gt;"",COUNTIFS(코드설정!$A$5:$A$21,업무일지!$D404,코드설정!$B$5:$B$21,업무일지!$E404)=0),"세부유형이 직무구분과 불일치; ",""))&amp;IF(AND(업무일지!$F404&lt;&gt;"",COUNTIF(사건마스터!$A$5:$A$64,업무일지!$F404)=0),"미등록 사건번호; ","")&amp;IF(AND(업무일지!$F404="",업무일지!$H404=""),"사건번호·업무명 모두 없음; ","")&amp;IF(업무일지!$J404="","담당자 없음; ","")&amp;IF(COUNTIF(코드설정!$F$5:$F$7,업무일지!$AG404)=0,"진행상태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"&amp;업무일지!$H405)</f>
        <v/>
      </c>
      <c r="D437" s="45">
        <f>IF(NOT(COUNTBLANK(업무일지!$B405:$AH405)&lt;33),"",TRIM(IF(업무일지!$B405="","시작일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","")&amp;IF(COUNTIF(코드설정!$H$5:$H$7,업무일지!$D405)=0,"직무구분 누락; ","")&amp;IF(업무일지!$E405="","세부유형 누락; ",IF(AND(업무일지!$D405&lt;&gt;"",COUNTIFS(코드설정!$A$5:$A$21,업무일지!$D405,코드설정!$B$5:$B$21,업무일지!$E405)=0),"세부유형이 직무구분과 불일치; ",""))&amp;IF(AND(업무일지!$F405&lt;&gt;"",COUNTIF(사건마스터!$A$5:$A$64,업무일지!$F405)=0),"미등록 사건번호; ","")&amp;IF(AND(업무일지!$F405="",업무일지!$H405=""),"사건번호·업무명 모두 없음; ","")&amp;IF(업무일지!$J405="","담당자 없음; ","")&amp;IF(COUNTIF(코드설정!$F$5:$F$7,업무일지!$AG405)=0,"진행상태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"&amp;업무일지!$H406)</f>
        <v/>
      </c>
      <c r="D438" s="45">
        <f>IF(NOT(COUNTBLANK(업무일지!$B406:$AH406)&lt;33),"",TRIM(IF(업무일지!$B406="","시작일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","")&amp;IF(COUNTIF(코드설정!$H$5:$H$7,업무일지!$D406)=0,"직무구분 누락; ","")&amp;IF(업무일지!$E406="","세부유형 누락; ",IF(AND(업무일지!$D406&lt;&gt;"",COUNTIFS(코드설정!$A$5:$A$21,업무일지!$D406,코드설정!$B$5:$B$21,업무일지!$E406)=0),"세부유형이 직무구분과 불일치; ",""))&amp;IF(AND(업무일지!$F406&lt;&gt;"",COUNTIF(사건마스터!$A$5:$A$64,업무일지!$F406)=0),"미등록 사건번호; ","")&amp;IF(AND(업무일지!$F406="",업무일지!$H406=""),"사건번호·업무명 모두 없음; ","")&amp;IF(업무일지!$J406="","담당자 없음; ","")&amp;IF(COUNTIF(코드설정!$F$5:$F$7,업무일지!$AG406)=0,"진행상태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"&amp;업무일지!$H407)</f>
        <v/>
      </c>
      <c r="D439" s="45">
        <f>IF(NOT(COUNTBLANK(업무일지!$B407:$AH407)&lt;33),"",TRIM(IF(업무일지!$B407="","시작일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","")&amp;IF(COUNTIF(코드설정!$H$5:$H$7,업무일지!$D407)=0,"직무구분 누락; ","")&amp;IF(업무일지!$E407="","세부유형 누락; ",IF(AND(업무일지!$D407&lt;&gt;"",COUNTIFS(코드설정!$A$5:$A$21,업무일지!$D407,코드설정!$B$5:$B$21,업무일지!$E407)=0),"세부유형이 직무구분과 불일치; ",""))&amp;IF(AND(업무일지!$F407&lt;&gt;"",COUNTIF(사건마스터!$A$5:$A$64,업무일지!$F407)=0),"미등록 사건번호; ","")&amp;IF(AND(업무일지!$F407="",업무일지!$H407=""),"사건번호·업무명 모두 없음; ","")&amp;IF(업무일지!$J407="","담당자 없음; ","")&amp;IF(COUNTIF(코드설정!$F$5:$F$7,업무일지!$AG407)=0,"진행상태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"&amp;업무일지!$H408)</f>
        <v/>
      </c>
      <c r="D440" s="45">
        <f>IF(NOT(COUNTBLANK(업무일지!$B408:$AH408)&lt;33),"",TRIM(IF(업무일지!$B408="","시작일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","")&amp;IF(COUNTIF(코드설정!$H$5:$H$7,업무일지!$D408)=0,"직무구분 누락; ","")&amp;IF(업무일지!$E408="","세부유형 누락; ",IF(AND(업무일지!$D408&lt;&gt;"",COUNTIFS(코드설정!$A$5:$A$21,업무일지!$D408,코드설정!$B$5:$B$21,업무일지!$E408)=0),"세부유형이 직무구분과 불일치; ",""))&amp;IF(AND(업무일지!$F408&lt;&gt;"",COUNTIF(사건마스터!$A$5:$A$64,업무일지!$F408)=0),"미등록 사건번호; ","")&amp;IF(AND(업무일지!$F408="",업무일지!$H408=""),"사건번호·업무명 모두 없음; ","")&amp;IF(업무일지!$J408="","담당자 없음; ","")&amp;IF(COUNTIF(코드설정!$F$5:$F$7,업무일지!$AG408)=0,"진행상태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"&amp;업무일지!$H409)</f>
        <v/>
      </c>
      <c r="D441" s="45">
        <f>IF(NOT(COUNTBLANK(업무일지!$B409:$AH409)&lt;33),"",TRIM(IF(업무일지!$B409="","시작일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","")&amp;IF(COUNTIF(코드설정!$H$5:$H$7,업무일지!$D409)=0,"직무구분 누락; ","")&amp;IF(업무일지!$E409="","세부유형 누락; ",IF(AND(업무일지!$D409&lt;&gt;"",COUNTIFS(코드설정!$A$5:$A$21,업무일지!$D409,코드설정!$B$5:$B$21,업무일지!$E409)=0),"세부유형이 직무구분과 불일치; ",""))&amp;IF(AND(업무일지!$F409&lt;&gt;"",COUNTIF(사건마스터!$A$5:$A$64,업무일지!$F409)=0),"미등록 사건번호; ","")&amp;IF(AND(업무일지!$F409="",업무일지!$H409=""),"사건번호·업무명 모두 없음; ","")&amp;IF(업무일지!$J409="","담당자 없음; ","")&amp;IF(COUNTIF(코드설정!$F$5:$F$7,업무일지!$AG409)=0,"진행상태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"&amp;업무일지!$H410)</f>
        <v/>
      </c>
      <c r="D442" s="45">
        <f>IF(NOT(COUNTBLANK(업무일지!$B410:$AH410)&lt;33),"",TRIM(IF(업무일지!$B410="","시작일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","")&amp;IF(COUNTIF(코드설정!$H$5:$H$7,업무일지!$D410)=0,"직무구분 누락; ","")&amp;IF(업무일지!$E410="","세부유형 누락; ",IF(AND(업무일지!$D410&lt;&gt;"",COUNTIFS(코드설정!$A$5:$A$21,업무일지!$D410,코드설정!$B$5:$B$21,업무일지!$E410)=0),"세부유형이 직무구분과 불일치; ",""))&amp;IF(AND(업무일지!$F410&lt;&gt;"",COUNTIF(사건마스터!$A$5:$A$64,업무일지!$F410)=0),"미등록 사건번호; ","")&amp;IF(AND(업무일지!$F410="",업무일지!$H410=""),"사건번호·업무명 모두 없음; ","")&amp;IF(업무일지!$J410="","담당자 없음; ","")&amp;IF(COUNTIF(코드설정!$F$5:$F$7,업무일지!$AG410)=0,"진행상태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"&amp;업무일지!$H411)</f>
        <v/>
      </c>
      <c r="D443" s="45">
        <f>IF(NOT(COUNTBLANK(업무일지!$B411:$AH411)&lt;33),"",TRIM(IF(업무일지!$B411="","시작일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","")&amp;IF(COUNTIF(코드설정!$H$5:$H$7,업무일지!$D411)=0,"직무구분 누락; ","")&amp;IF(업무일지!$E411="","세부유형 누락; ",IF(AND(업무일지!$D411&lt;&gt;"",COUNTIFS(코드설정!$A$5:$A$21,업무일지!$D411,코드설정!$B$5:$B$21,업무일지!$E411)=0),"세부유형이 직무구분과 불일치; ",""))&amp;IF(AND(업무일지!$F411&lt;&gt;"",COUNTIF(사건마스터!$A$5:$A$64,업무일지!$F411)=0),"미등록 사건번호; ","")&amp;IF(AND(업무일지!$F411="",업무일지!$H411=""),"사건번호·업무명 모두 없음; ","")&amp;IF(업무일지!$J411="","담당자 없음; ","")&amp;IF(COUNTIF(코드설정!$F$5:$F$7,업무일지!$AG411)=0,"진행상태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"&amp;업무일지!$H412)</f>
        <v/>
      </c>
      <c r="D444" s="45">
        <f>IF(NOT(COUNTBLANK(업무일지!$B412:$AH412)&lt;33),"",TRIM(IF(업무일지!$B412="","시작일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","")&amp;IF(COUNTIF(코드설정!$H$5:$H$7,업무일지!$D412)=0,"직무구분 누락; ","")&amp;IF(업무일지!$E412="","세부유형 누락; ",IF(AND(업무일지!$D412&lt;&gt;"",COUNTIFS(코드설정!$A$5:$A$21,업무일지!$D412,코드설정!$B$5:$B$21,업무일지!$E412)=0),"세부유형이 직무구분과 불일치; ",""))&amp;IF(AND(업무일지!$F412&lt;&gt;"",COUNTIF(사건마스터!$A$5:$A$64,업무일지!$F412)=0),"미등록 사건번호; ","")&amp;IF(AND(업무일지!$F412="",업무일지!$H412=""),"사건번호·업무명 모두 없음; ","")&amp;IF(업무일지!$J412="","담당자 없음; ","")&amp;IF(COUNTIF(코드설정!$F$5:$F$7,업무일지!$AG412)=0,"진행상태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"&amp;업무일지!$H413)</f>
        <v/>
      </c>
      <c r="D445" s="45">
        <f>IF(NOT(COUNTBLANK(업무일지!$B413:$AH413)&lt;33),"",TRIM(IF(업무일지!$B413="","시작일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","")&amp;IF(COUNTIF(코드설정!$H$5:$H$7,업무일지!$D413)=0,"직무구분 누락; ","")&amp;IF(업무일지!$E413="","세부유형 누락; ",IF(AND(업무일지!$D413&lt;&gt;"",COUNTIFS(코드설정!$A$5:$A$21,업무일지!$D413,코드설정!$B$5:$B$21,업무일지!$E413)=0),"세부유형이 직무구분과 불일치; ",""))&amp;IF(AND(업무일지!$F413&lt;&gt;"",COUNTIF(사건마스터!$A$5:$A$64,업무일지!$F413)=0),"미등록 사건번호; ","")&amp;IF(AND(업무일지!$F413="",업무일지!$H413=""),"사건번호·업무명 모두 없음; ","")&amp;IF(업무일지!$J413="","담당자 없음; ","")&amp;IF(COUNTIF(코드설정!$F$5:$F$7,업무일지!$AG413)=0,"진행상태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"&amp;업무일지!$H414)</f>
        <v/>
      </c>
      <c r="D446" s="45">
        <f>IF(NOT(COUNTBLANK(업무일지!$B414:$AH414)&lt;33),"",TRIM(IF(업무일지!$B414="","시작일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","")&amp;IF(COUNTIF(코드설정!$H$5:$H$7,업무일지!$D414)=0,"직무구분 누락; ","")&amp;IF(업무일지!$E414="","세부유형 누락; ",IF(AND(업무일지!$D414&lt;&gt;"",COUNTIFS(코드설정!$A$5:$A$21,업무일지!$D414,코드설정!$B$5:$B$21,업무일지!$E414)=0),"세부유형이 직무구분과 불일치; ",""))&amp;IF(AND(업무일지!$F414&lt;&gt;"",COUNTIF(사건마스터!$A$5:$A$64,업무일지!$F414)=0),"미등록 사건번호; ","")&amp;IF(AND(업무일지!$F414="",업무일지!$H414=""),"사건번호·업무명 모두 없음; ","")&amp;IF(업무일지!$J414="","담당자 없음; ","")&amp;IF(COUNTIF(코드설정!$F$5:$F$7,업무일지!$AG414)=0,"진행상태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"&amp;업무일지!$H415)</f>
        <v/>
      </c>
      <c r="D447" s="45">
        <f>IF(NOT(COUNTBLANK(업무일지!$B415:$AH415)&lt;33),"",TRIM(IF(업무일지!$B415="","시작일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","")&amp;IF(COUNTIF(코드설정!$H$5:$H$7,업무일지!$D415)=0,"직무구분 누락; ","")&amp;IF(업무일지!$E415="","세부유형 누락; ",IF(AND(업무일지!$D415&lt;&gt;"",COUNTIFS(코드설정!$A$5:$A$21,업무일지!$D415,코드설정!$B$5:$B$21,업무일지!$E415)=0),"세부유형이 직무구분과 불일치; ",""))&amp;IF(AND(업무일지!$F415&lt;&gt;"",COUNTIF(사건마스터!$A$5:$A$64,업무일지!$F415)=0),"미등록 사건번호; ","")&amp;IF(AND(업무일지!$F415="",업무일지!$H415=""),"사건번호·업무명 모두 없음; ","")&amp;IF(업무일지!$J415="","담당자 없음; ","")&amp;IF(COUNTIF(코드설정!$F$5:$F$7,업무일지!$AG415)=0,"진행상태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"&amp;업무일지!$H416)</f>
        <v/>
      </c>
      <c r="D448" s="45">
        <f>IF(NOT(COUNTBLANK(업무일지!$B416:$AH416)&lt;33),"",TRIM(IF(업무일지!$B416="","시작일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","")&amp;IF(COUNTIF(코드설정!$H$5:$H$7,업무일지!$D416)=0,"직무구분 누락; ","")&amp;IF(업무일지!$E416="","세부유형 누락; ",IF(AND(업무일지!$D416&lt;&gt;"",COUNTIFS(코드설정!$A$5:$A$21,업무일지!$D416,코드설정!$B$5:$B$21,업무일지!$E416)=0),"세부유형이 직무구분과 불일치; ",""))&amp;IF(AND(업무일지!$F416&lt;&gt;"",COUNTIF(사건마스터!$A$5:$A$64,업무일지!$F416)=0),"미등록 사건번호; ","")&amp;IF(AND(업무일지!$F416="",업무일지!$H416=""),"사건번호·업무명 모두 없음; ","")&amp;IF(업무일지!$J416="","담당자 없음; ","")&amp;IF(COUNTIF(코드설정!$F$5:$F$7,업무일지!$AG416)=0,"진행상태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"&amp;업무일지!$H417)</f>
        <v/>
      </c>
      <c r="D449" s="45">
        <f>IF(NOT(COUNTBLANK(업무일지!$B417:$AH417)&lt;33),"",TRIM(IF(업무일지!$B417="","시작일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","")&amp;IF(COUNTIF(코드설정!$H$5:$H$7,업무일지!$D417)=0,"직무구분 누락; ","")&amp;IF(업무일지!$E417="","세부유형 누락; ",IF(AND(업무일지!$D417&lt;&gt;"",COUNTIFS(코드설정!$A$5:$A$21,업무일지!$D417,코드설정!$B$5:$B$21,업무일지!$E417)=0),"세부유형이 직무구분과 불일치; ",""))&amp;IF(AND(업무일지!$F417&lt;&gt;"",COUNTIF(사건마스터!$A$5:$A$64,업무일지!$F417)=0),"미등록 사건번호; ","")&amp;IF(AND(업무일지!$F417="",업무일지!$H417=""),"사건번호·업무명 모두 없음; ","")&amp;IF(업무일지!$J417="","담당자 없음; ","")&amp;IF(COUNTIF(코드설정!$F$5:$F$7,업무일지!$AG417)=0,"진행상태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"&amp;업무일지!$H418)</f>
        <v/>
      </c>
      <c r="D450" s="45">
        <f>IF(NOT(COUNTBLANK(업무일지!$B418:$AH418)&lt;33),"",TRIM(IF(업무일지!$B418="","시작일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","")&amp;IF(COUNTIF(코드설정!$H$5:$H$7,업무일지!$D418)=0,"직무구분 누락; ","")&amp;IF(업무일지!$E418="","세부유형 누락; ",IF(AND(업무일지!$D418&lt;&gt;"",COUNTIFS(코드설정!$A$5:$A$21,업무일지!$D418,코드설정!$B$5:$B$21,업무일지!$E418)=0),"세부유형이 직무구분과 불일치; ",""))&amp;IF(AND(업무일지!$F418&lt;&gt;"",COUNTIF(사건마스터!$A$5:$A$64,업무일지!$F418)=0),"미등록 사건번호; ","")&amp;IF(AND(업무일지!$F418="",업무일지!$H418=""),"사건번호·업무명 모두 없음; ","")&amp;IF(업무일지!$J418="","담당자 없음; ","")&amp;IF(COUNTIF(코드설정!$F$5:$F$7,업무일지!$AG418)=0,"진행상태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"&amp;업무일지!$H419)</f>
        <v/>
      </c>
      <c r="D451" s="45">
        <f>IF(NOT(COUNTBLANK(업무일지!$B419:$AH419)&lt;33),"",TRIM(IF(업무일지!$B419="","시작일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","")&amp;IF(COUNTIF(코드설정!$H$5:$H$7,업무일지!$D419)=0,"직무구분 누락; ","")&amp;IF(업무일지!$E419="","세부유형 누락; ",IF(AND(업무일지!$D419&lt;&gt;"",COUNTIFS(코드설정!$A$5:$A$21,업무일지!$D419,코드설정!$B$5:$B$21,업무일지!$E419)=0),"세부유형이 직무구분과 불일치; ",""))&amp;IF(AND(업무일지!$F419&lt;&gt;"",COUNTIF(사건마스터!$A$5:$A$64,업무일지!$F419)=0),"미등록 사건번호; ","")&amp;IF(AND(업무일지!$F419="",업무일지!$H419=""),"사건번호·업무명 모두 없음; ","")&amp;IF(업무일지!$J419="","담당자 없음; ","")&amp;IF(COUNTIF(코드설정!$F$5:$F$7,업무일지!$AG419)=0,"진행상태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"&amp;업무일지!$H420)</f>
        <v/>
      </c>
      <c r="D452" s="45">
        <f>IF(NOT(COUNTBLANK(업무일지!$B420:$AH420)&lt;33),"",TRIM(IF(업무일지!$B420="","시작일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","")&amp;IF(COUNTIF(코드설정!$H$5:$H$7,업무일지!$D420)=0,"직무구분 누락; ","")&amp;IF(업무일지!$E420="","세부유형 누락; ",IF(AND(업무일지!$D420&lt;&gt;"",COUNTIFS(코드설정!$A$5:$A$21,업무일지!$D420,코드설정!$B$5:$B$21,업무일지!$E420)=0),"세부유형이 직무구분과 불일치; ",""))&amp;IF(AND(업무일지!$F420&lt;&gt;"",COUNTIF(사건마스터!$A$5:$A$64,업무일지!$F420)=0),"미등록 사건번호; ","")&amp;IF(AND(업무일지!$F420="",업무일지!$H420=""),"사건번호·업무명 모두 없음; ","")&amp;IF(업무일지!$J420="","담당자 없음; ","")&amp;IF(COUNTIF(코드설정!$F$5:$F$7,업무일지!$AG420)=0,"진행상태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"&amp;업무일지!$H421)</f>
        <v/>
      </c>
      <c r="D453" s="45">
        <f>IF(NOT(COUNTBLANK(업무일지!$B421:$AH421)&lt;33),"",TRIM(IF(업무일지!$B421="","시작일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","")&amp;IF(COUNTIF(코드설정!$H$5:$H$7,업무일지!$D421)=0,"직무구분 누락; ","")&amp;IF(업무일지!$E421="","세부유형 누락; ",IF(AND(업무일지!$D421&lt;&gt;"",COUNTIFS(코드설정!$A$5:$A$21,업무일지!$D421,코드설정!$B$5:$B$21,업무일지!$E421)=0),"세부유형이 직무구분과 불일치; ",""))&amp;IF(AND(업무일지!$F421&lt;&gt;"",COUNTIF(사건마스터!$A$5:$A$64,업무일지!$F421)=0),"미등록 사건번호; ","")&amp;IF(AND(업무일지!$F421="",업무일지!$H421=""),"사건번호·업무명 모두 없음; ","")&amp;IF(업무일지!$J421="","담당자 없음; ","")&amp;IF(COUNTIF(코드설정!$F$5:$F$7,업무일지!$AG421)=0,"진행상태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"&amp;업무일지!$H422)</f>
        <v/>
      </c>
      <c r="D454" s="45">
        <f>IF(NOT(COUNTBLANK(업무일지!$B422:$AH422)&lt;33),"",TRIM(IF(업무일지!$B422="","시작일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","")&amp;IF(COUNTIF(코드설정!$H$5:$H$7,업무일지!$D422)=0,"직무구분 누락; ","")&amp;IF(업무일지!$E422="","세부유형 누락; ",IF(AND(업무일지!$D422&lt;&gt;"",COUNTIFS(코드설정!$A$5:$A$21,업무일지!$D422,코드설정!$B$5:$B$21,업무일지!$E422)=0),"세부유형이 직무구분과 불일치; ",""))&amp;IF(AND(업무일지!$F422&lt;&gt;"",COUNTIF(사건마스터!$A$5:$A$64,업무일지!$F422)=0),"미등록 사건번호; ","")&amp;IF(AND(업무일지!$F422="",업무일지!$H422=""),"사건번호·업무명 모두 없음; ","")&amp;IF(업무일지!$J422="","담당자 없음; ","")&amp;IF(COUNTIF(코드설정!$F$5:$F$7,업무일지!$AG422)=0,"진행상태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"&amp;업무일지!$H423)</f>
        <v/>
      </c>
      <c r="D455" s="45">
        <f>IF(NOT(COUNTBLANK(업무일지!$B423:$AH423)&lt;33),"",TRIM(IF(업무일지!$B423="","시작일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","")&amp;IF(COUNTIF(코드설정!$H$5:$H$7,업무일지!$D423)=0,"직무구분 누락; ","")&amp;IF(업무일지!$E423="","세부유형 누락; ",IF(AND(업무일지!$D423&lt;&gt;"",COUNTIFS(코드설정!$A$5:$A$21,업무일지!$D423,코드설정!$B$5:$B$21,업무일지!$E423)=0),"세부유형이 직무구분과 불일치; ",""))&amp;IF(AND(업무일지!$F423&lt;&gt;"",COUNTIF(사건마스터!$A$5:$A$64,업무일지!$F423)=0),"미등록 사건번호; ","")&amp;IF(AND(업무일지!$F423="",업무일지!$H423=""),"사건번호·업무명 모두 없음; ","")&amp;IF(업무일지!$J423="","담당자 없음; ","")&amp;IF(COUNTIF(코드설정!$F$5:$F$7,업무일지!$AG423)=0,"진행상태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"&amp;업무일지!$H424)</f>
        <v/>
      </c>
      <c r="D456" s="45">
        <f>IF(NOT(COUNTBLANK(업무일지!$B424:$AH424)&lt;33),"",TRIM(IF(업무일지!$B424="","시작일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","")&amp;IF(COUNTIF(코드설정!$H$5:$H$7,업무일지!$D424)=0,"직무구분 누락; ","")&amp;IF(업무일지!$E424="","세부유형 누락; ",IF(AND(업무일지!$D424&lt;&gt;"",COUNTIFS(코드설정!$A$5:$A$21,업무일지!$D424,코드설정!$B$5:$B$21,업무일지!$E424)=0),"세부유형이 직무구분과 불일치; ",""))&amp;IF(AND(업무일지!$F424&lt;&gt;"",COUNTIF(사건마스터!$A$5:$A$64,업무일지!$F424)=0),"미등록 사건번호; ","")&amp;IF(AND(업무일지!$F424="",업무일지!$H424=""),"사건번호·업무명 모두 없음; ","")&amp;IF(업무일지!$J424="","담당자 없음; ","")&amp;IF(COUNTIF(코드설정!$F$5:$F$7,업무일지!$AG424)=0,"진행상태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"&amp;업무일지!$H425)</f>
        <v/>
      </c>
      <c r="D457" s="45">
        <f>IF(NOT(COUNTBLANK(업무일지!$B425:$AH425)&lt;33),"",TRIM(IF(업무일지!$B425="","시작일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","")&amp;IF(COUNTIF(코드설정!$H$5:$H$7,업무일지!$D425)=0,"직무구분 누락; ","")&amp;IF(업무일지!$E425="","세부유형 누락; ",IF(AND(업무일지!$D425&lt;&gt;"",COUNTIFS(코드설정!$A$5:$A$21,업무일지!$D425,코드설정!$B$5:$B$21,업무일지!$E425)=0),"세부유형이 직무구분과 불일치; ",""))&amp;IF(AND(업무일지!$F425&lt;&gt;"",COUNTIF(사건마스터!$A$5:$A$64,업무일지!$F425)=0),"미등록 사건번호; ","")&amp;IF(AND(업무일지!$F425="",업무일지!$H425=""),"사건번호·업무명 모두 없음; ","")&amp;IF(업무일지!$J425="","담당자 없음; ","")&amp;IF(COUNTIF(코드설정!$F$5:$F$7,업무일지!$AG425)=0,"진행상태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"&amp;업무일지!$H426)</f>
        <v/>
      </c>
      <c r="D458" s="45">
        <f>IF(NOT(COUNTBLANK(업무일지!$B426:$AH426)&lt;33),"",TRIM(IF(업무일지!$B426="","시작일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","")&amp;IF(COUNTIF(코드설정!$H$5:$H$7,업무일지!$D426)=0,"직무구분 누락; ","")&amp;IF(업무일지!$E426="","세부유형 누락; ",IF(AND(업무일지!$D426&lt;&gt;"",COUNTIFS(코드설정!$A$5:$A$21,업무일지!$D426,코드설정!$B$5:$B$21,업무일지!$E426)=0),"세부유형이 직무구분과 불일치; ",""))&amp;IF(AND(업무일지!$F426&lt;&gt;"",COUNTIF(사건마스터!$A$5:$A$64,업무일지!$F426)=0),"미등록 사건번호; ","")&amp;IF(AND(업무일지!$F426="",업무일지!$H426=""),"사건번호·업무명 모두 없음; ","")&amp;IF(업무일지!$J426="","담당자 없음; ","")&amp;IF(COUNTIF(코드설정!$F$5:$F$7,업무일지!$AG426)=0,"진행상태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"&amp;업무일지!$H427)</f>
        <v/>
      </c>
      <c r="D459" s="45">
        <f>IF(NOT(COUNTBLANK(업무일지!$B427:$AH427)&lt;33),"",TRIM(IF(업무일지!$B427="","시작일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","")&amp;IF(COUNTIF(코드설정!$H$5:$H$7,업무일지!$D427)=0,"직무구분 누락; ","")&amp;IF(업무일지!$E427="","세부유형 누락; ",IF(AND(업무일지!$D427&lt;&gt;"",COUNTIFS(코드설정!$A$5:$A$21,업무일지!$D427,코드설정!$B$5:$B$21,업무일지!$E427)=0),"세부유형이 직무구분과 불일치; ",""))&amp;IF(AND(업무일지!$F427&lt;&gt;"",COUNTIF(사건마스터!$A$5:$A$64,업무일지!$F427)=0),"미등록 사건번호; ","")&amp;IF(AND(업무일지!$F427="",업무일지!$H427=""),"사건번호·업무명 모두 없음; ","")&amp;IF(업무일지!$J427="","담당자 없음; ","")&amp;IF(COUNTIF(코드설정!$F$5:$F$7,업무일지!$AG427)=0,"진행상태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"&amp;업무일지!$H428)</f>
        <v/>
      </c>
      <c r="D460" s="45">
        <f>IF(NOT(COUNTBLANK(업무일지!$B428:$AH428)&lt;33),"",TRIM(IF(업무일지!$B428="","시작일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","")&amp;IF(COUNTIF(코드설정!$H$5:$H$7,업무일지!$D428)=0,"직무구분 누락; ","")&amp;IF(업무일지!$E428="","세부유형 누락; ",IF(AND(업무일지!$D428&lt;&gt;"",COUNTIFS(코드설정!$A$5:$A$21,업무일지!$D428,코드설정!$B$5:$B$21,업무일지!$E428)=0),"세부유형이 직무구분과 불일치; ",""))&amp;IF(AND(업무일지!$F428&lt;&gt;"",COUNTIF(사건마스터!$A$5:$A$64,업무일지!$F428)=0),"미등록 사건번호; ","")&amp;IF(AND(업무일지!$F428="",업무일지!$H428=""),"사건번호·업무명 모두 없음; ","")&amp;IF(업무일지!$J428="","담당자 없음; ","")&amp;IF(COUNTIF(코드설정!$F$5:$F$7,업무일지!$AG428)=0,"진행상태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"&amp;업무일지!$H429)</f>
        <v/>
      </c>
      <c r="D461" s="45">
        <f>IF(NOT(COUNTBLANK(업무일지!$B429:$AH429)&lt;33),"",TRIM(IF(업무일지!$B429="","시작일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","")&amp;IF(COUNTIF(코드설정!$H$5:$H$7,업무일지!$D429)=0,"직무구분 누락; ","")&amp;IF(업무일지!$E429="","세부유형 누락; ",IF(AND(업무일지!$D429&lt;&gt;"",COUNTIFS(코드설정!$A$5:$A$21,업무일지!$D429,코드설정!$B$5:$B$21,업무일지!$E429)=0),"세부유형이 직무구분과 불일치; ",""))&amp;IF(AND(업무일지!$F429&lt;&gt;"",COUNTIF(사건마스터!$A$5:$A$64,업무일지!$F429)=0),"미등록 사건번호; ","")&amp;IF(AND(업무일지!$F429="",업무일지!$H429=""),"사건번호·업무명 모두 없음; ","")&amp;IF(업무일지!$J429="","담당자 없음; ","")&amp;IF(COUNTIF(코드설정!$F$5:$F$7,업무일지!$AG429)=0,"진행상태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"&amp;업무일지!$H430)</f>
        <v/>
      </c>
      <c r="D462" s="45">
        <f>IF(NOT(COUNTBLANK(업무일지!$B430:$AH430)&lt;33),"",TRIM(IF(업무일지!$B430="","시작일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","")&amp;IF(COUNTIF(코드설정!$H$5:$H$7,업무일지!$D430)=0,"직무구분 누락; ","")&amp;IF(업무일지!$E430="","세부유형 누락; ",IF(AND(업무일지!$D430&lt;&gt;"",COUNTIFS(코드설정!$A$5:$A$21,업무일지!$D430,코드설정!$B$5:$B$21,업무일지!$E430)=0),"세부유형이 직무구분과 불일치; ",""))&amp;IF(AND(업무일지!$F430&lt;&gt;"",COUNTIF(사건마스터!$A$5:$A$64,업무일지!$F430)=0),"미등록 사건번호; ","")&amp;IF(AND(업무일지!$F430="",업무일지!$H430=""),"사건번호·업무명 모두 없음; ","")&amp;IF(업무일지!$J430="","담당자 없음; ","")&amp;IF(COUNTIF(코드설정!$F$5:$F$7,업무일지!$AG430)=0,"진행상태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"&amp;업무일지!$H431)</f>
        <v/>
      </c>
      <c r="D463" s="45">
        <f>IF(NOT(COUNTBLANK(업무일지!$B431:$AH431)&lt;33),"",TRIM(IF(업무일지!$B431="","시작일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","")&amp;IF(COUNTIF(코드설정!$H$5:$H$7,업무일지!$D431)=0,"직무구분 누락; ","")&amp;IF(업무일지!$E431="","세부유형 누락; ",IF(AND(업무일지!$D431&lt;&gt;"",COUNTIFS(코드설정!$A$5:$A$21,업무일지!$D431,코드설정!$B$5:$B$21,업무일지!$E431)=0),"세부유형이 직무구분과 불일치; ",""))&amp;IF(AND(업무일지!$F431&lt;&gt;"",COUNTIF(사건마스터!$A$5:$A$64,업무일지!$F431)=0),"미등록 사건번호; ","")&amp;IF(AND(업무일지!$F431="",업무일지!$H431=""),"사건번호·업무명 모두 없음; ","")&amp;IF(업무일지!$J431="","담당자 없음; ","")&amp;IF(COUNTIF(코드설정!$F$5:$F$7,업무일지!$AG431)=0,"진행상태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"&amp;업무일지!$H432)</f>
        <v/>
      </c>
      <c r="D464" s="45">
        <f>IF(NOT(COUNTBLANK(업무일지!$B432:$AH432)&lt;33),"",TRIM(IF(업무일지!$B432="","시작일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","")&amp;IF(COUNTIF(코드설정!$H$5:$H$7,업무일지!$D432)=0,"직무구분 누락; ","")&amp;IF(업무일지!$E432="","세부유형 누락; ",IF(AND(업무일지!$D432&lt;&gt;"",COUNTIFS(코드설정!$A$5:$A$21,업무일지!$D432,코드설정!$B$5:$B$21,업무일지!$E432)=0),"세부유형이 직무구분과 불일치; ",""))&amp;IF(AND(업무일지!$F432&lt;&gt;"",COUNTIF(사건마스터!$A$5:$A$64,업무일지!$F432)=0),"미등록 사건번호; ","")&amp;IF(AND(업무일지!$F432="",업무일지!$H432=""),"사건번호·업무명 모두 없음; ","")&amp;IF(업무일지!$J432="","담당자 없음; ","")&amp;IF(COUNTIF(코드설정!$F$5:$F$7,업무일지!$AG432)=0,"진행상태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"&amp;업무일지!$H433)</f>
        <v/>
      </c>
      <c r="D465" s="45">
        <f>IF(NOT(COUNTBLANK(업무일지!$B433:$AH433)&lt;33),"",TRIM(IF(업무일지!$B433="","시작일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","")&amp;IF(COUNTIF(코드설정!$H$5:$H$7,업무일지!$D433)=0,"직무구분 누락; ","")&amp;IF(업무일지!$E433="","세부유형 누락; ",IF(AND(업무일지!$D433&lt;&gt;"",COUNTIFS(코드설정!$A$5:$A$21,업무일지!$D433,코드설정!$B$5:$B$21,업무일지!$E433)=0),"세부유형이 직무구분과 불일치; ",""))&amp;IF(AND(업무일지!$F433&lt;&gt;"",COUNTIF(사건마스터!$A$5:$A$64,업무일지!$F433)=0),"미등록 사건번호; ","")&amp;IF(AND(업무일지!$F433="",업무일지!$H433=""),"사건번호·업무명 모두 없음; ","")&amp;IF(업무일지!$J433="","담당자 없음; ","")&amp;IF(COUNTIF(코드설정!$F$5:$F$7,업무일지!$AG433)=0,"진행상태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"&amp;업무일지!$H434)</f>
        <v/>
      </c>
      <c r="D466" s="45">
        <f>IF(NOT(COUNTBLANK(업무일지!$B434:$AH434)&lt;33),"",TRIM(IF(업무일지!$B434="","시작일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","")&amp;IF(COUNTIF(코드설정!$H$5:$H$7,업무일지!$D434)=0,"직무구분 누락; ","")&amp;IF(업무일지!$E434="","세부유형 누락; ",IF(AND(업무일지!$D434&lt;&gt;"",COUNTIFS(코드설정!$A$5:$A$21,업무일지!$D434,코드설정!$B$5:$B$21,업무일지!$E434)=0),"세부유형이 직무구분과 불일치; ",""))&amp;IF(AND(업무일지!$F434&lt;&gt;"",COUNTIF(사건마스터!$A$5:$A$64,업무일지!$F434)=0),"미등록 사건번호; ","")&amp;IF(AND(업무일지!$F434="",업무일지!$H434=""),"사건번호·업무명 모두 없음; ","")&amp;IF(업무일지!$J434="","담당자 없음; ","")&amp;IF(COUNTIF(코드설정!$F$5:$F$7,업무일지!$AG434)=0,"진행상태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"&amp;업무일지!$H435)</f>
        <v/>
      </c>
      <c r="D467" s="45">
        <f>IF(NOT(COUNTBLANK(업무일지!$B435:$AH435)&lt;33),"",TRIM(IF(업무일지!$B435="","시작일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","")&amp;IF(COUNTIF(코드설정!$H$5:$H$7,업무일지!$D435)=0,"직무구분 누락; ","")&amp;IF(업무일지!$E435="","세부유형 누락; ",IF(AND(업무일지!$D435&lt;&gt;"",COUNTIFS(코드설정!$A$5:$A$21,업무일지!$D435,코드설정!$B$5:$B$21,업무일지!$E435)=0),"세부유형이 직무구분과 불일치; ",""))&amp;IF(AND(업무일지!$F435&lt;&gt;"",COUNTIF(사건마스터!$A$5:$A$64,업무일지!$F435)=0),"미등록 사건번호; ","")&amp;IF(AND(업무일지!$F435="",업무일지!$H435=""),"사건번호·업무명 모두 없음; ","")&amp;IF(업무일지!$J435="","담당자 없음; ","")&amp;IF(COUNTIF(코드설정!$F$5:$F$7,업무일지!$AG435)=0,"진행상태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"&amp;업무일지!$H436)</f>
        <v/>
      </c>
      <c r="D468" s="45">
        <f>IF(NOT(COUNTBLANK(업무일지!$B436:$AH436)&lt;33),"",TRIM(IF(업무일지!$B436="","시작일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","")&amp;IF(COUNTIF(코드설정!$H$5:$H$7,업무일지!$D436)=0,"직무구분 누락; ","")&amp;IF(업무일지!$E436="","세부유형 누락; ",IF(AND(업무일지!$D436&lt;&gt;"",COUNTIFS(코드설정!$A$5:$A$21,업무일지!$D436,코드설정!$B$5:$B$21,업무일지!$E436)=0),"세부유형이 직무구분과 불일치; ",""))&amp;IF(AND(업무일지!$F436&lt;&gt;"",COUNTIF(사건마스터!$A$5:$A$64,업무일지!$F436)=0),"미등록 사건번호; ","")&amp;IF(AND(업무일지!$F436="",업무일지!$H436=""),"사건번호·업무명 모두 없음; ","")&amp;IF(업무일지!$J436="","담당자 없음; ","")&amp;IF(COUNTIF(코드설정!$F$5:$F$7,업무일지!$AG436)=0,"진행상태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"&amp;업무일지!$H437)</f>
        <v/>
      </c>
      <c r="D469" s="45">
        <f>IF(NOT(COUNTBLANK(업무일지!$B437:$AH437)&lt;33),"",TRIM(IF(업무일지!$B437="","시작일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","")&amp;IF(COUNTIF(코드설정!$H$5:$H$7,업무일지!$D437)=0,"직무구분 누락; ","")&amp;IF(업무일지!$E437="","세부유형 누락; ",IF(AND(업무일지!$D437&lt;&gt;"",COUNTIFS(코드설정!$A$5:$A$21,업무일지!$D437,코드설정!$B$5:$B$21,업무일지!$E437)=0),"세부유형이 직무구분과 불일치; ",""))&amp;IF(AND(업무일지!$F437&lt;&gt;"",COUNTIF(사건마스터!$A$5:$A$64,업무일지!$F437)=0),"미등록 사건번호; ","")&amp;IF(AND(업무일지!$F437="",업무일지!$H437=""),"사건번호·업무명 모두 없음; ","")&amp;IF(업무일지!$J437="","담당자 없음; ","")&amp;IF(COUNTIF(코드설정!$F$5:$F$7,업무일지!$AG437)=0,"진행상태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"&amp;업무일지!$H438)</f>
        <v/>
      </c>
      <c r="D470" s="45">
        <f>IF(NOT(COUNTBLANK(업무일지!$B438:$AH438)&lt;33),"",TRIM(IF(업무일지!$B438="","시작일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","")&amp;IF(COUNTIF(코드설정!$H$5:$H$7,업무일지!$D438)=0,"직무구분 누락; ","")&amp;IF(업무일지!$E438="","세부유형 누락; ",IF(AND(업무일지!$D438&lt;&gt;"",COUNTIFS(코드설정!$A$5:$A$21,업무일지!$D438,코드설정!$B$5:$B$21,업무일지!$E438)=0),"세부유형이 직무구분과 불일치; ",""))&amp;IF(AND(업무일지!$F438&lt;&gt;"",COUNTIF(사건마스터!$A$5:$A$64,업무일지!$F438)=0),"미등록 사건번호; ","")&amp;IF(AND(업무일지!$F438="",업무일지!$H438=""),"사건번호·업무명 모두 없음; ","")&amp;IF(업무일지!$J438="","담당자 없음; ","")&amp;IF(COUNTIF(코드설정!$F$5:$F$7,업무일지!$AG438)=0,"진행상태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"&amp;업무일지!$H439)</f>
        <v/>
      </c>
      <c r="D471" s="45">
        <f>IF(NOT(COUNTBLANK(업무일지!$B439:$AH439)&lt;33),"",TRIM(IF(업무일지!$B439="","시작일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","")&amp;IF(COUNTIF(코드설정!$H$5:$H$7,업무일지!$D439)=0,"직무구분 누락; ","")&amp;IF(업무일지!$E439="","세부유형 누락; ",IF(AND(업무일지!$D439&lt;&gt;"",COUNTIFS(코드설정!$A$5:$A$21,업무일지!$D439,코드설정!$B$5:$B$21,업무일지!$E439)=0),"세부유형이 직무구분과 불일치; ",""))&amp;IF(AND(업무일지!$F439&lt;&gt;"",COUNTIF(사건마스터!$A$5:$A$64,업무일지!$F439)=0),"미등록 사건번호; ","")&amp;IF(AND(업무일지!$F439="",업무일지!$H439=""),"사건번호·업무명 모두 없음; ","")&amp;IF(업무일지!$J439="","담당자 없음; ","")&amp;IF(COUNTIF(코드설정!$F$5:$F$7,업무일지!$AG439)=0,"진행상태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"&amp;업무일지!$H440)</f>
        <v/>
      </c>
      <c r="D472" s="45">
        <f>IF(NOT(COUNTBLANK(업무일지!$B440:$AH440)&lt;33),"",TRIM(IF(업무일지!$B440="","시작일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","")&amp;IF(COUNTIF(코드설정!$H$5:$H$7,업무일지!$D440)=0,"직무구분 누락; ","")&amp;IF(업무일지!$E440="","세부유형 누락; ",IF(AND(업무일지!$D440&lt;&gt;"",COUNTIFS(코드설정!$A$5:$A$21,업무일지!$D440,코드설정!$B$5:$B$21,업무일지!$E440)=0),"세부유형이 직무구분과 불일치; ",""))&amp;IF(AND(업무일지!$F440&lt;&gt;"",COUNTIF(사건마스터!$A$5:$A$64,업무일지!$F440)=0),"미등록 사건번호; ","")&amp;IF(AND(업무일지!$F440="",업무일지!$H440=""),"사건번호·업무명 모두 없음; ","")&amp;IF(업무일지!$J440="","담당자 없음; ","")&amp;IF(COUNTIF(코드설정!$F$5:$F$7,업무일지!$AG440)=0,"진행상태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"&amp;업무일지!$H441)</f>
        <v/>
      </c>
      <c r="D473" s="45">
        <f>IF(NOT(COUNTBLANK(업무일지!$B441:$AH441)&lt;33),"",TRIM(IF(업무일지!$B441="","시작일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","")&amp;IF(COUNTIF(코드설정!$H$5:$H$7,업무일지!$D441)=0,"직무구분 누락; ","")&amp;IF(업무일지!$E441="","세부유형 누락; ",IF(AND(업무일지!$D441&lt;&gt;"",COUNTIFS(코드설정!$A$5:$A$21,업무일지!$D441,코드설정!$B$5:$B$21,업무일지!$E441)=0),"세부유형이 직무구분과 불일치; ",""))&amp;IF(AND(업무일지!$F441&lt;&gt;"",COUNTIF(사건마스터!$A$5:$A$64,업무일지!$F441)=0),"미등록 사건번호; ","")&amp;IF(AND(업무일지!$F441="",업무일지!$H441=""),"사건번호·업무명 모두 없음; ","")&amp;IF(업무일지!$J441="","담당자 없음; ","")&amp;IF(COUNTIF(코드설정!$F$5:$F$7,업무일지!$AG441)=0,"진행상태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"&amp;업무일지!$H442)</f>
        <v/>
      </c>
      <c r="D474" s="45">
        <f>IF(NOT(COUNTBLANK(업무일지!$B442:$AH442)&lt;33),"",TRIM(IF(업무일지!$B442="","시작일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","")&amp;IF(COUNTIF(코드설정!$H$5:$H$7,업무일지!$D442)=0,"직무구분 누락; ","")&amp;IF(업무일지!$E442="","세부유형 누락; ",IF(AND(업무일지!$D442&lt;&gt;"",COUNTIFS(코드설정!$A$5:$A$21,업무일지!$D442,코드설정!$B$5:$B$21,업무일지!$E442)=0),"세부유형이 직무구분과 불일치; ",""))&amp;IF(AND(업무일지!$F442&lt;&gt;"",COUNTIF(사건마스터!$A$5:$A$64,업무일지!$F442)=0),"미등록 사건번호; ","")&amp;IF(AND(업무일지!$F442="",업무일지!$H442=""),"사건번호·업무명 모두 없음; ","")&amp;IF(업무일지!$J442="","담당자 없음; ","")&amp;IF(COUNTIF(코드설정!$F$5:$F$7,업무일지!$AG442)=0,"진행상태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"&amp;업무일지!$H443)</f>
        <v/>
      </c>
      <c r="D475" s="45">
        <f>IF(NOT(COUNTBLANK(업무일지!$B443:$AH443)&lt;33),"",TRIM(IF(업무일지!$B443="","시작일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","")&amp;IF(COUNTIF(코드설정!$H$5:$H$7,업무일지!$D443)=0,"직무구분 누락; ","")&amp;IF(업무일지!$E443="","세부유형 누락; ",IF(AND(업무일지!$D443&lt;&gt;"",COUNTIFS(코드설정!$A$5:$A$21,업무일지!$D443,코드설정!$B$5:$B$21,업무일지!$E443)=0),"세부유형이 직무구분과 불일치; ",""))&amp;IF(AND(업무일지!$F443&lt;&gt;"",COUNTIF(사건마스터!$A$5:$A$64,업무일지!$F443)=0),"미등록 사건번호; ","")&amp;IF(AND(업무일지!$F443="",업무일지!$H443=""),"사건번호·업무명 모두 없음; ","")&amp;IF(업무일지!$J443="","담당자 없음; ","")&amp;IF(COUNTIF(코드설정!$F$5:$F$7,업무일지!$AG443)=0,"진행상태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"&amp;업무일지!$H444)</f>
        <v/>
      </c>
      <c r="D476" s="45">
        <f>IF(NOT(COUNTBLANK(업무일지!$B444:$AH444)&lt;33),"",TRIM(IF(업무일지!$B444="","시작일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","")&amp;IF(COUNTIF(코드설정!$H$5:$H$7,업무일지!$D444)=0,"직무구분 누락; ","")&amp;IF(업무일지!$E444="","세부유형 누락; ",IF(AND(업무일지!$D444&lt;&gt;"",COUNTIFS(코드설정!$A$5:$A$21,업무일지!$D444,코드설정!$B$5:$B$21,업무일지!$E444)=0),"세부유형이 직무구분과 불일치; ",""))&amp;IF(AND(업무일지!$F444&lt;&gt;"",COUNTIF(사건마스터!$A$5:$A$64,업무일지!$F444)=0),"미등록 사건번호; ","")&amp;IF(AND(업무일지!$F444="",업무일지!$H444=""),"사건번호·업무명 모두 없음; ","")&amp;IF(업무일지!$J444="","담당자 없음; ","")&amp;IF(COUNTIF(코드설정!$F$5:$F$7,업무일지!$AG444)=0,"진행상태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"&amp;업무일지!$H445)</f>
        <v/>
      </c>
      <c r="D477" s="45">
        <f>IF(NOT(COUNTBLANK(업무일지!$B445:$AH445)&lt;33),"",TRIM(IF(업무일지!$B445="","시작일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","")&amp;IF(COUNTIF(코드설정!$H$5:$H$7,업무일지!$D445)=0,"직무구분 누락; ","")&amp;IF(업무일지!$E445="","세부유형 누락; ",IF(AND(업무일지!$D445&lt;&gt;"",COUNTIFS(코드설정!$A$5:$A$21,업무일지!$D445,코드설정!$B$5:$B$21,업무일지!$E445)=0),"세부유형이 직무구분과 불일치; ",""))&amp;IF(AND(업무일지!$F445&lt;&gt;"",COUNTIF(사건마스터!$A$5:$A$64,업무일지!$F445)=0),"미등록 사건번호; ","")&amp;IF(AND(업무일지!$F445="",업무일지!$H445=""),"사건번호·업무명 모두 없음; ","")&amp;IF(업무일지!$J445="","담당자 없음; ","")&amp;IF(COUNTIF(코드설정!$F$5:$F$7,업무일지!$AG445)=0,"진행상태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"&amp;업무일지!$H446)</f>
        <v/>
      </c>
      <c r="D478" s="45">
        <f>IF(NOT(COUNTBLANK(업무일지!$B446:$AH446)&lt;33),"",TRIM(IF(업무일지!$B446="","시작일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","")&amp;IF(COUNTIF(코드설정!$H$5:$H$7,업무일지!$D446)=0,"직무구분 누락; ","")&amp;IF(업무일지!$E446="","세부유형 누락; ",IF(AND(업무일지!$D446&lt;&gt;"",COUNTIFS(코드설정!$A$5:$A$21,업무일지!$D446,코드설정!$B$5:$B$21,업무일지!$E446)=0),"세부유형이 직무구분과 불일치; ",""))&amp;IF(AND(업무일지!$F446&lt;&gt;"",COUNTIF(사건마스터!$A$5:$A$64,업무일지!$F446)=0),"미등록 사건번호; ","")&amp;IF(AND(업무일지!$F446="",업무일지!$H446=""),"사건번호·업무명 모두 없음; ","")&amp;IF(업무일지!$J446="","담당자 없음; ","")&amp;IF(COUNTIF(코드설정!$F$5:$F$7,업무일지!$AG446)=0,"진행상태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"&amp;업무일지!$H447)</f>
        <v/>
      </c>
      <c r="D479" s="45">
        <f>IF(NOT(COUNTBLANK(업무일지!$B447:$AH447)&lt;33),"",TRIM(IF(업무일지!$B447="","시작일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","")&amp;IF(COUNTIF(코드설정!$H$5:$H$7,업무일지!$D447)=0,"직무구분 누락; ","")&amp;IF(업무일지!$E447="","세부유형 누락; ",IF(AND(업무일지!$D447&lt;&gt;"",COUNTIFS(코드설정!$A$5:$A$21,업무일지!$D447,코드설정!$B$5:$B$21,업무일지!$E447)=0),"세부유형이 직무구분과 불일치; ",""))&amp;IF(AND(업무일지!$F447&lt;&gt;"",COUNTIF(사건마스터!$A$5:$A$64,업무일지!$F447)=0),"미등록 사건번호; ","")&amp;IF(AND(업무일지!$F447="",업무일지!$H447=""),"사건번호·업무명 모두 없음; ","")&amp;IF(업무일지!$J447="","담당자 없음; ","")&amp;IF(COUNTIF(코드설정!$F$5:$F$7,업무일지!$AG447)=0,"진행상태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"&amp;업무일지!$H448)</f>
        <v/>
      </c>
      <c r="D480" s="45">
        <f>IF(NOT(COUNTBLANK(업무일지!$B448:$AH448)&lt;33),"",TRIM(IF(업무일지!$B448="","시작일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","")&amp;IF(COUNTIF(코드설정!$H$5:$H$7,업무일지!$D448)=0,"직무구분 누락; ","")&amp;IF(업무일지!$E448="","세부유형 누락; ",IF(AND(업무일지!$D448&lt;&gt;"",COUNTIFS(코드설정!$A$5:$A$21,업무일지!$D448,코드설정!$B$5:$B$21,업무일지!$E448)=0),"세부유형이 직무구분과 불일치; ",""))&amp;IF(AND(업무일지!$F448&lt;&gt;"",COUNTIF(사건마스터!$A$5:$A$64,업무일지!$F448)=0),"미등록 사건번호; ","")&amp;IF(AND(업무일지!$F448="",업무일지!$H448=""),"사건번호·업무명 모두 없음; ","")&amp;IF(업무일지!$J448="","담당자 없음; ","")&amp;IF(COUNTIF(코드설정!$F$5:$F$7,업무일지!$AG448)=0,"진행상태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"&amp;업무일지!$H449)</f>
        <v/>
      </c>
      <c r="D481" s="45">
        <f>IF(NOT(COUNTBLANK(업무일지!$B449:$AH449)&lt;33),"",TRIM(IF(업무일지!$B449="","시작일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","")&amp;IF(COUNTIF(코드설정!$H$5:$H$7,업무일지!$D449)=0,"직무구분 누락; ","")&amp;IF(업무일지!$E449="","세부유형 누락; ",IF(AND(업무일지!$D449&lt;&gt;"",COUNTIFS(코드설정!$A$5:$A$21,업무일지!$D449,코드설정!$B$5:$B$21,업무일지!$E449)=0),"세부유형이 직무구분과 불일치; ",""))&amp;IF(AND(업무일지!$F449&lt;&gt;"",COUNTIF(사건마스터!$A$5:$A$64,업무일지!$F449)=0),"미등록 사건번호; ","")&amp;IF(AND(업무일지!$F449="",업무일지!$H449=""),"사건번호·업무명 모두 없음; ","")&amp;IF(업무일지!$J449="","담당자 없음; ","")&amp;IF(COUNTIF(코드설정!$F$5:$F$7,업무일지!$AG449)=0,"진행상태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"&amp;업무일지!$H450)</f>
        <v/>
      </c>
      <c r="D482" s="45">
        <f>IF(NOT(COUNTBLANK(업무일지!$B450:$AH450)&lt;33),"",TRIM(IF(업무일지!$B450="","시작일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","")&amp;IF(COUNTIF(코드설정!$H$5:$H$7,업무일지!$D450)=0,"직무구분 누락; ","")&amp;IF(업무일지!$E450="","세부유형 누락; ",IF(AND(업무일지!$D450&lt;&gt;"",COUNTIFS(코드설정!$A$5:$A$21,업무일지!$D450,코드설정!$B$5:$B$21,업무일지!$E450)=0),"세부유형이 직무구분과 불일치; ",""))&amp;IF(AND(업무일지!$F450&lt;&gt;"",COUNTIF(사건마스터!$A$5:$A$64,업무일지!$F450)=0),"미등록 사건번호; ","")&amp;IF(AND(업무일지!$F450="",업무일지!$H450=""),"사건번호·업무명 모두 없음; ","")&amp;IF(업무일지!$J450="","담당자 없음; ","")&amp;IF(COUNTIF(코드설정!$F$5:$F$7,업무일지!$AG450)=0,"진행상태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"&amp;업무일지!$H451)</f>
        <v/>
      </c>
      <c r="D483" s="45">
        <f>IF(NOT(COUNTBLANK(업무일지!$B451:$AH451)&lt;33),"",TRIM(IF(업무일지!$B451="","시작일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","")&amp;IF(COUNTIF(코드설정!$H$5:$H$7,업무일지!$D451)=0,"직무구분 누락; ","")&amp;IF(업무일지!$E451="","세부유형 누락; ",IF(AND(업무일지!$D451&lt;&gt;"",COUNTIFS(코드설정!$A$5:$A$21,업무일지!$D451,코드설정!$B$5:$B$21,업무일지!$E451)=0),"세부유형이 직무구분과 불일치; ",""))&amp;IF(AND(업무일지!$F451&lt;&gt;"",COUNTIF(사건마스터!$A$5:$A$64,업무일지!$F451)=0),"미등록 사건번호; ","")&amp;IF(AND(업무일지!$F451="",업무일지!$H451=""),"사건번호·업무명 모두 없음; ","")&amp;IF(업무일지!$J451="","담당자 없음; ","")&amp;IF(COUNTIF(코드설정!$F$5:$F$7,업무일지!$AG451)=0,"진행상태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"&amp;업무일지!$H452)</f>
        <v/>
      </c>
      <c r="D484" s="45">
        <f>IF(NOT(COUNTBLANK(업무일지!$B452:$AH452)&lt;33),"",TRIM(IF(업무일지!$B452="","시작일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","")&amp;IF(COUNTIF(코드설정!$H$5:$H$7,업무일지!$D452)=0,"직무구분 누락; ","")&amp;IF(업무일지!$E452="","세부유형 누락; ",IF(AND(업무일지!$D452&lt;&gt;"",COUNTIFS(코드설정!$A$5:$A$21,업무일지!$D452,코드설정!$B$5:$B$21,업무일지!$E452)=0),"세부유형이 직무구분과 불일치; ",""))&amp;IF(AND(업무일지!$F452&lt;&gt;"",COUNTIF(사건마스터!$A$5:$A$64,업무일지!$F452)=0),"미등록 사건번호; ","")&amp;IF(AND(업무일지!$F452="",업무일지!$H452=""),"사건번호·업무명 모두 없음; ","")&amp;IF(업무일지!$J452="","담당자 없음; ","")&amp;IF(COUNTIF(코드설정!$F$5:$F$7,업무일지!$AG452)=0,"진행상태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"&amp;업무일지!$H453)</f>
        <v/>
      </c>
      <c r="D485" s="45">
        <f>IF(NOT(COUNTBLANK(업무일지!$B453:$AH453)&lt;33),"",TRIM(IF(업무일지!$B453="","시작일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","")&amp;IF(COUNTIF(코드설정!$H$5:$H$7,업무일지!$D453)=0,"직무구분 누락; ","")&amp;IF(업무일지!$E453="","세부유형 누락; ",IF(AND(업무일지!$D453&lt;&gt;"",COUNTIFS(코드설정!$A$5:$A$21,업무일지!$D453,코드설정!$B$5:$B$21,업무일지!$E453)=0),"세부유형이 직무구분과 불일치; ",""))&amp;IF(AND(업무일지!$F453&lt;&gt;"",COUNTIF(사건마스터!$A$5:$A$64,업무일지!$F453)=0),"미등록 사건번호; ","")&amp;IF(AND(업무일지!$F453="",업무일지!$H453=""),"사건번호·업무명 모두 없음; ","")&amp;IF(업무일지!$J453="","담당자 없음; ","")&amp;IF(COUNTIF(코드설정!$F$5:$F$7,업무일지!$AG453)=0,"진행상태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"&amp;업무일지!$H454)</f>
        <v/>
      </c>
      <c r="D486" s="45">
        <f>IF(NOT(COUNTBLANK(업무일지!$B454:$AH454)&lt;33),"",TRIM(IF(업무일지!$B454="","시작일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","")&amp;IF(COUNTIF(코드설정!$H$5:$H$7,업무일지!$D454)=0,"직무구분 누락; ","")&amp;IF(업무일지!$E454="","세부유형 누락; ",IF(AND(업무일지!$D454&lt;&gt;"",COUNTIFS(코드설정!$A$5:$A$21,업무일지!$D454,코드설정!$B$5:$B$21,업무일지!$E454)=0),"세부유형이 직무구분과 불일치; ",""))&amp;IF(AND(업무일지!$F454&lt;&gt;"",COUNTIF(사건마스터!$A$5:$A$64,업무일지!$F454)=0),"미등록 사건번호; ","")&amp;IF(AND(업무일지!$F454="",업무일지!$H454=""),"사건번호·업무명 모두 없음; ","")&amp;IF(업무일지!$J454="","담당자 없음; ","")&amp;IF(COUNTIF(코드설정!$F$5:$F$7,업무일지!$AG454)=0,"진행상태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"&amp;업무일지!$H455)</f>
        <v/>
      </c>
      <c r="D487" s="45">
        <f>IF(NOT(COUNTBLANK(업무일지!$B455:$AH455)&lt;33),"",TRIM(IF(업무일지!$B455="","시작일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","")&amp;IF(COUNTIF(코드설정!$H$5:$H$7,업무일지!$D455)=0,"직무구분 누락; ","")&amp;IF(업무일지!$E455="","세부유형 누락; ",IF(AND(업무일지!$D455&lt;&gt;"",COUNTIFS(코드설정!$A$5:$A$21,업무일지!$D455,코드설정!$B$5:$B$21,업무일지!$E455)=0),"세부유형이 직무구분과 불일치; ",""))&amp;IF(AND(업무일지!$F455&lt;&gt;"",COUNTIF(사건마스터!$A$5:$A$64,업무일지!$F455)=0),"미등록 사건번호; ","")&amp;IF(AND(업무일지!$F455="",업무일지!$H455=""),"사건번호·업무명 모두 없음; ","")&amp;IF(업무일지!$J455="","담당자 없음; ","")&amp;IF(COUNTIF(코드설정!$F$5:$F$7,업무일지!$AG455)=0,"진행상태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"&amp;업무일지!$H456)</f>
        <v/>
      </c>
      <c r="D488" s="45">
        <f>IF(NOT(COUNTBLANK(업무일지!$B456:$AH456)&lt;33),"",TRIM(IF(업무일지!$B456="","시작일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","")&amp;IF(COUNTIF(코드설정!$H$5:$H$7,업무일지!$D456)=0,"직무구분 누락; ","")&amp;IF(업무일지!$E456="","세부유형 누락; ",IF(AND(업무일지!$D456&lt;&gt;"",COUNTIFS(코드설정!$A$5:$A$21,업무일지!$D456,코드설정!$B$5:$B$21,업무일지!$E456)=0),"세부유형이 직무구분과 불일치; ",""))&amp;IF(AND(업무일지!$F456&lt;&gt;"",COUNTIF(사건마스터!$A$5:$A$64,업무일지!$F456)=0),"미등록 사건번호; ","")&amp;IF(AND(업무일지!$F456="",업무일지!$H456=""),"사건번호·업무명 모두 없음; ","")&amp;IF(업무일지!$J456="","담당자 없음; ","")&amp;IF(COUNTIF(코드설정!$F$5:$F$7,업무일지!$AG456)=0,"진행상태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"&amp;업무일지!$H457)</f>
        <v/>
      </c>
      <c r="D489" s="45">
        <f>IF(NOT(COUNTBLANK(업무일지!$B457:$AH457)&lt;33),"",TRIM(IF(업무일지!$B457="","시작일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","")&amp;IF(COUNTIF(코드설정!$H$5:$H$7,업무일지!$D457)=0,"직무구분 누락; ","")&amp;IF(업무일지!$E457="","세부유형 누락; ",IF(AND(업무일지!$D457&lt;&gt;"",COUNTIFS(코드설정!$A$5:$A$21,업무일지!$D457,코드설정!$B$5:$B$21,업무일지!$E457)=0),"세부유형이 직무구분과 불일치; ",""))&amp;IF(AND(업무일지!$F457&lt;&gt;"",COUNTIF(사건마스터!$A$5:$A$64,업무일지!$F457)=0),"미등록 사건번호; ","")&amp;IF(AND(업무일지!$F457="",업무일지!$H457=""),"사건번호·업무명 모두 없음; ","")&amp;IF(업무일지!$J457="","담당자 없음; ","")&amp;IF(COUNTIF(코드설정!$F$5:$F$7,업무일지!$AG457)=0,"진행상태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"&amp;업무일지!$H458)</f>
        <v/>
      </c>
      <c r="D490" s="45">
        <f>IF(NOT(COUNTBLANK(업무일지!$B458:$AH458)&lt;33),"",TRIM(IF(업무일지!$B458="","시작일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","")&amp;IF(COUNTIF(코드설정!$H$5:$H$7,업무일지!$D458)=0,"직무구분 누락; ","")&amp;IF(업무일지!$E458="","세부유형 누락; ",IF(AND(업무일지!$D458&lt;&gt;"",COUNTIFS(코드설정!$A$5:$A$21,업무일지!$D458,코드설정!$B$5:$B$21,업무일지!$E458)=0),"세부유형이 직무구분과 불일치; ",""))&amp;IF(AND(업무일지!$F458&lt;&gt;"",COUNTIF(사건마스터!$A$5:$A$64,업무일지!$F458)=0),"미등록 사건번호; ","")&amp;IF(AND(업무일지!$F458="",업무일지!$H458=""),"사건번호·업무명 모두 없음; ","")&amp;IF(업무일지!$J458="","담당자 없음; ","")&amp;IF(COUNTIF(코드설정!$F$5:$F$7,업무일지!$AG458)=0,"진행상태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"&amp;업무일지!$H459)</f>
        <v/>
      </c>
      <c r="D491" s="45">
        <f>IF(NOT(COUNTBLANK(업무일지!$B459:$AH459)&lt;33),"",TRIM(IF(업무일지!$B459="","시작일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","")&amp;IF(COUNTIF(코드설정!$H$5:$H$7,업무일지!$D459)=0,"직무구분 누락; ","")&amp;IF(업무일지!$E459="","세부유형 누락; ",IF(AND(업무일지!$D459&lt;&gt;"",COUNTIFS(코드설정!$A$5:$A$21,업무일지!$D459,코드설정!$B$5:$B$21,업무일지!$E459)=0),"세부유형이 직무구분과 불일치; ",""))&amp;IF(AND(업무일지!$F459&lt;&gt;"",COUNTIF(사건마스터!$A$5:$A$64,업무일지!$F459)=0),"미등록 사건번호; ","")&amp;IF(AND(업무일지!$F459="",업무일지!$H459=""),"사건번호·업무명 모두 없음; ","")&amp;IF(업무일지!$J459="","담당자 없음; ","")&amp;IF(COUNTIF(코드설정!$F$5:$F$7,업무일지!$AG459)=0,"진행상태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"&amp;업무일지!$H460)</f>
        <v/>
      </c>
      <c r="D492" s="45">
        <f>IF(NOT(COUNTBLANK(업무일지!$B460:$AH460)&lt;33),"",TRIM(IF(업무일지!$B460="","시작일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","")&amp;IF(COUNTIF(코드설정!$H$5:$H$7,업무일지!$D460)=0,"직무구분 누락; ","")&amp;IF(업무일지!$E460="","세부유형 누락; ",IF(AND(업무일지!$D460&lt;&gt;"",COUNTIFS(코드설정!$A$5:$A$21,업무일지!$D460,코드설정!$B$5:$B$21,업무일지!$E460)=0),"세부유형이 직무구분과 불일치; ",""))&amp;IF(AND(업무일지!$F460&lt;&gt;"",COUNTIF(사건마스터!$A$5:$A$64,업무일지!$F460)=0),"미등록 사건번호; ","")&amp;IF(AND(업무일지!$F460="",업무일지!$H460=""),"사건번호·업무명 모두 없음; ","")&amp;IF(업무일지!$J460="","담당자 없음; ","")&amp;IF(COUNTIF(코드설정!$F$5:$F$7,업무일지!$AG460)=0,"진행상태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"&amp;업무일지!$H461)</f>
        <v/>
      </c>
      <c r="D493" s="45">
        <f>IF(NOT(COUNTBLANK(업무일지!$B461:$AH461)&lt;33),"",TRIM(IF(업무일지!$B461="","시작일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","")&amp;IF(COUNTIF(코드설정!$H$5:$H$7,업무일지!$D461)=0,"직무구분 누락; ","")&amp;IF(업무일지!$E461="","세부유형 누락; ",IF(AND(업무일지!$D461&lt;&gt;"",COUNTIFS(코드설정!$A$5:$A$21,업무일지!$D461,코드설정!$B$5:$B$21,업무일지!$E461)=0),"세부유형이 직무구분과 불일치; ",""))&amp;IF(AND(업무일지!$F461&lt;&gt;"",COUNTIF(사건마스터!$A$5:$A$64,업무일지!$F461)=0),"미등록 사건번호; ","")&amp;IF(AND(업무일지!$F461="",업무일지!$H461=""),"사건번호·업무명 모두 없음; ","")&amp;IF(업무일지!$J461="","담당자 없음; ","")&amp;IF(COUNTIF(코드설정!$F$5:$F$7,업무일지!$AG461)=0,"진행상태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"&amp;업무일지!$H462)</f>
        <v/>
      </c>
      <c r="D494" s="45">
        <f>IF(NOT(COUNTBLANK(업무일지!$B462:$AH462)&lt;33),"",TRIM(IF(업무일지!$B462="","시작일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","")&amp;IF(COUNTIF(코드설정!$H$5:$H$7,업무일지!$D462)=0,"직무구분 누락; ","")&amp;IF(업무일지!$E462="","세부유형 누락; ",IF(AND(업무일지!$D462&lt;&gt;"",COUNTIFS(코드설정!$A$5:$A$21,업무일지!$D462,코드설정!$B$5:$B$21,업무일지!$E462)=0),"세부유형이 직무구분과 불일치; ",""))&amp;IF(AND(업무일지!$F462&lt;&gt;"",COUNTIF(사건마스터!$A$5:$A$64,업무일지!$F462)=0),"미등록 사건번호; ","")&amp;IF(AND(업무일지!$F462="",업무일지!$H462=""),"사건번호·업무명 모두 없음; ","")&amp;IF(업무일지!$J462="","담당자 없음; ","")&amp;IF(COUNTIF(코드설정!$F$5:$F$7,업무일지!$AG462)=0,"진행상태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"&amp;업무일지!$H463)</f>
        <v/>
      </c>
      <c r="D495" s="45">
        <f>IF(NOT(COUNTBLANK(업무일지!$B463:$AH463)&lt;33),"",TRIM(IF(업무일지!$B463="","시작일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","")&amp;IF(COUNTIF(코드설정!$H$5:$H$7,업무일지!$D463)=0,"직무구분 누락; ","")&amp;IF(업무일지!$E463="","세부유형 누락; ",IF(AND(업무일지!$D463&lt;&gt;"",COUNTIFS(코드설정!$A$5:$A$21,업무일지!$D463,코드설정!$B$5:$B$21,업무일지!$E463)=0),"세부유형이 직무구분과 불일치; ",""))&amp;IF(AND(업무일지!$F463&lt;&gt;"",COUNTIF(사건마스터!$A$5:$A$64,업무일지!$F463)=0),"미등록 사건번호; ","")&amp;IF(AND(업무일지!$F463="",업무일지!$H463=""),"사건번호·업무명 모두 없음; ","")&amp;IF(업무일지!$J463="","담당자 없음; ","")&amp;IF(COUNTIF(코드설정!$F$5:$F$7,업무일지!$AG463)=0,"진행상태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"&amp;업무일지!$H464)</f>
        <v/>
      </c>
      <c r="D496" s="45">
        <f>IF(NOT(COUNTBLANK(업무일지!$B464:$AH464)&lt;33),"",TRIM(IF(업무일지!$B464="","시작일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","")&amp;IF(COUNTIF(코드설정!$H$5:$H$7,업무일지!$D464)=0,"직무구분 누락; ","")&amp;IF(업무일지!$E464="","세부유형 누락; ",IF(AND(업무일지!$D464&lt;&gt;"",COUNTIFS(코드설정!$A$5:$A$21,업무일지!$D464,코드설정!$B$5:$B$21,업무일지!$E464)=0),"세부유형이 직무구분과 불일치; ",""))&amp;IF(AND(업무일지!$F464&lt;&gt;"",COUNTIF(사건마스터!$A$5:$A$64,업무일지!$F464)=0),"미등록 사건번호; ","")&amp;IF(AND(업무일지!$F464="",업무일지!$H464=""),"사건번호·업무명 모두 없음; ","")&amp;IF(업무일지!$J464="","담당자 없음; ","")&amp;IF(COUNTIF(코드설정!$F$5:$F$7,업무일지!$AG464)=0,"진행상태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"&amp;업무일지!$H465)</f>
        <v/>
      </c>
      <c r="D497" s="45">
        <f>IF(NOT(COUNTBLANK(업무일지!$B465:$AH465)&lt;33),"",TRIM(IF(업무일지!$B465="","시작일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","")&amp;IF(COUNTIF(코드설정!$H$5:$H$7,업무일지!$D465)=0,"직무구분 누락; ","")&amp;IF(업무일지!$E465="","세부유형 누락; ",IF(AND(업무일지!$D465&lt;&gt;"",COUNTIFS(코드설정!$A$5:$A$21,업무일지!$D465,코드설정!$B$5:$B$21,업무일지!$E465)=0),"세부유형이 직무구분과 불일치; ",""))&amp;IF(AND(업무일지!$F465&lt;&gt;"",COUNTIF(사건마스터!$A$5:$A$64,업무일지!$F465)=0),"미등록 사건번호; ","")&amp;IF(AND(업무일지!$F465="",업무일지!$H465=""),"사건번호·업무명 모두 없음; ","")&amp;IF(업무일지!$J465="","담당자 없음; ","")&amp;IF(COUNTIF(코드설정!$F$5:$F$7,업무일지!$AG465)=0,"진행상태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"&amp;업무일지!$H466)</f>
        <v/>
      </c>
      <c r="D498" s="45">
        <f>IF(NOT(COUNTBLANK(업무일지!$B466:$AH466)&lt;33),"",TRIM(IF(업무일지!$B466="","시작일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","")&amp;IF(COUNTIF(코드설정!$H$5:$H$7,업무일지!$D466)=0,"직무구분 누락; ","")&amp;IF(업무일지!$E466="","세부유형 누락; ",IF(AND(업무일지!$D466&lt;&gt;"",COUNTIFS(코드설정!$A$5:$A$21,업무일지!$D466,코드설정!$B$5:$B$21,업무일지!$E466)=0),"세부유형이 직무구분과 불일치; ",""))&amp;IF(AND(업무일지!$F466&lt;&gt;"",COUNTIF(사건마스터!$A$5:$A$64,업무일지!$F466)=0),"미등록 사건번호; ","")&amp;IF(AND(업무일지!$F466="",업무일지!$H466=""),"사건번호·업무명 모두 없음; ","")&amp;IF(업무일지!$J466="","담당자 없음; ","")&amp;IF(COUNTIF(코드설정!$F$5:$F$7,업무일지!$AG466)=0,"진행상태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"&amp;업무일지!$H467)</f>
        <v/>
      </c>
      <c r="D499" s="45">
        <f>IF(NOT(COUNTBLANK(업무일지!$B467:$AH467)&lt;33),"",TRIM(IF(업무일지!$B467="","시작일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","")&amp;IF(COUNTIF(코드설정!$H$5:$H$7,업무일지!$D467)=0,"직무구분 누락; ","")&amp;IF(업무일지!$E467="","세부유형 누락; ",IF(AND(업무일지!$D467&lt;&gt;"",COUNTIFS(코드설정!$A$5:$A$21,업무일지!$D467,코드설정!$B$5:$B$21,업무일지!$E467)=0),"세부유형이 직무구분과 불일치; ",""))&amp;IF(AND(업무일지!$F467&lt;&gt;"",COUNTIF(사건마스터!$A$5:$A$64,업무일지!$F467)=0),"미등록 사건번호; ","")&amp;IF(AND(업무일지!$F467="",업무일지!$H467=""),"사건번호·업무명 모두 없음; ","")&amp;IF(업무일지!$J467="","담당자 없음; ","")&amp;IF(COUNTIF(코드설정!$F$5:$F$7,업무일지!$AG467)=0,"진행상태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"&amp;업무일지!$H468)</f>
        <v/>
      </c>
      <c r="D500" s="45">
        <f>IF(NOT(COUNTBLANK(업무일지!$B468:$AH468)&lt;33),"",TRIM(IF(업무일지!$B468="","시작일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","")&amp;IF(COUNTIF(코드설정!$H$5:$H$7,업무일지!$D468)=0,"직무구분 누락; ","")&amp;IF(업무일지!$E468="","세부유형 누락; ",IF(AND(업무일지!$D468&lt;&gt;"",COUNTIFS(코드설정!$A$5:$A$21,업무일지!$D468,코드설정!$B$5:$B$21,업무일지!$E468)=0),"세부유형이 직무구분과 불일치; ",""))&amp;IF(AND(업무일지!$F468&lt;&gt;"",COUNTIF(사건마스터!$A$5:$A$64,업무일지!$F468)=0),"미등록 사건번호; ","")&amp;IF(AND(업무일지!$F468="",업무일지!$H468=""),"사건번호·업무명 모두 없음; ","")&amp;IF(업무일지!$J468="","담당자 없음; ","")&amp;IF(COUNTIF(코드설정!$F$5:$F$7,업무일지!$AG468)=0,"진행상태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"&amp;업무일지!$H469)</f>
        <v/>
      </c>
      <c r="D501" s="45">
        <f>IF(NOT(COUNTBLANK(업무일지!$B469:$AH469)&lt;33),"",TRIM(IF(업무일지!$B469="","시작일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","")&amp;IF(COUNTIF(코드설정!$H$5:$H$7,업무일지!$D469)=0,"직무구분 누락; ","")&amp;IF(업무일지!$E469="","세부유형 누락; ",IF(AND(업무일지!$D469&lt;&gt;"",COUNTIFS(코드설정!$A$5:$A$21,업무일지!$D469,코드설정!$B$5:$B$21,업무일지!$E469)=0),"세부유형이 직무구분과 불일치; ",""))&amp;IF(AND(업무일지!$F469&lt;&gt;"",COUNTIF(사건마스터!$A$5:$A$64,업무일지!$F469)=0),"미등록 사건번호; ","")&amp;IF(AND(업무일지!$F469="",업무일지!$H469=""),"사건번호·업무명 모두 없음; ","")&amp;IF(업무일지!$J469="","담당자 없음; ","")&amp;IF(COUNTIF(코드설정!$F$5:$F$7,업무일지!$AG469)=0,"진행상태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"&amp;업무일지!$H470)</f>
        <v/>
      </c>
      <c r="D502" s="45">
        <f>IF(NOT(COUNTBLANK(업무일지!$B470:$AH470)&lt;33),"",TRIM(IF(업무일지!$B470="","시작일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","")&amp;IF(COUNTIF(코드설정!$H$5:$H$7,업무일지!$D470)=0,"직무구분 누락; ","")&amp;IF(업무일지!$E470="","세부유형 누락; ",IF(AND(업무일지!$D470&lt;&gt;"",COUNTIFS(코드설정!$A$5:$A$21,업무일지!$D470,코드설정!$B$5:$B$21,업무일지!$E470)=0),"세부유형이 직무구분과 불일치; ",""))&amp;IF(AND(업무일지!$F470&lt;&gt;"",COUNTIF(사건마스터!$A$5:$A$64,업무일지!$F470)=0),"미등록 사건번호; ","")&amp;IF(AND(업무일지!$F470="",업무일지!$H470=""),"사건번호·업무명 모두 없음; ","")&amp;IF(업무일지!$J470="","담당자 없음; ","")&amp;IF(COUNTIF(코드설정!$F$5:$F$7,업무일지!$AG470)=0,"진행상태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"&amp;업무일지!$H471)</f>
        <v/>
      </c>
      <c r="D503" s="45">
        <f>IF(NOT(COUNTBLANK(업무일지!$B471:$AH471)&lt;33),"",TRIM(IF(업무일지!$B471="","시작일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","")&amp;IF(COUNTIF(코드설정!$H$5:$H$7,업무일지!$D471)=0,"직무구분 누락; ","")&amp;IF(업무일지!$E471="","세부유형 누락; ",IF(AND(업무일지!$D471&lt;&gt;"",COUNTIFS(코드설정!$A$5:$A$21,업무일지!$D471,코드설정!$B$5:$B$21,업무일지!$E471)=0),"세부유형이 직무구분과 불일치; ",""))&amp;IF(AND(업무일지!$F471&lt;&gt;"",COUNTIF(사건마스터!$A$5:$A$64,업무일지!$F471)=0),"미등록 사건번호; ","")&amp;IF(AND(업무일지!$F471="",업무일지!$H471=""),"사건번호·업무명 모두 없음; ","")&amp;IF(업무일지!$J471="","담당자 없음; ","")&amp;IF(COUNTIF(코드설정!$F$5:$F$7,업무일지!$AG471)=0,"진행상태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"&amp;업무일지!$H472)</f>
        <v/>
      </c>
      <c r="D504" s="45">
        <f>IF(NOT(COUNTBLANK(업무일지!$B472:$AH472)&lt;33),"",TRIM(IF(업무일지!$B472="","시작일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","")&amp;IF(COUNTIF(코드설정!$H$5:$H$7,업무일지!$D472)=0,"직무구분 누락; ","")&amp;IF(업무일지!$E472="","세부유형 누락; ",IF(AND(업무일지!$D472&lt;&gt;"",COUNTIFS(코드설정!$A$5:$A$21,업무일지!$D472,코드설정!$B$5:$B$21,업무일지!$E472)=0),"세부유형이 직무구분과 불일치; ",""))&amp;IF(AND(업무일지!$F472&lt;&gt;"",COUNTIF(사건마스터!$A$5:$A$64,업무일지!$F472)=0),"미등록 사건번호; ","")&amp;IF(AND(업무일지!$F472="",업무일지!$H472=""),"사건번호·업무명 모두 없음; ","")&amp;IF(업무일지!$J472="","담당자 없음; ","")&amp;IF(COUNTIF(코드설정!$F$5:$F$7,업무일지!$AG472)=0,"진행상태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"&amp;업무일지!$H473)</f>
        <v/>
      </c>
      <c r="D505" s="45">
        <f>IF(NOT(COUNTBLANK(업무일지!$B473:$AH473)&lt;33),"",TRIM(IF(업무일지!$B473="","시작일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","")&amp;IF(COUNTIF(코드설정!$H$5:$H$7,업무일지!$D473)=0,"직무구분 누락; ","")&amp;IF(업무일지!$E473="","세부유형 누락; ",IF(AND(업무일지!$D473&lt;&gt;"",COUNTIFS(코드설정!$A$5:$A$21,업무일지!$D473,코드설정!$B$5:$B$21,업무일지!$E473)=0),"세부유형이 직무구분과 불일치; ",""))&amp;IF(AND(업무일지!$F473&lt;&gt;"",COUNTIF(사건마스터!$A$5:$A$64,업무일지!$F473)=0),"미등록 사건번호; ","")&amp;IF(AND(업무일지!$F473="",업무일지!$H473=""),"사건번호·업무명 모두 없음; ","")&amp;IF(업무일지!$J473="","담당자 없음; ","")&amp;IF(COUNTIF(코드설정!$F$5:$F$7,업무일지!$AG473)=0,"진행상태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"&amp;업무일지!$H474)</f>
        <v/>
      </c>
      <c r="D506" s="45">
        <f>IF(NOT(COUNTBLANK(업무일지!$B474:$AH474)&lt;33),"",TRIM(IF(업무일지!$B474="","시작일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","")&amp;IF(COUNTIF(코드설정!$H$5:$H$7,업무일지!$D474)=0,"직무구분 누락; ","")&amp;IF(업무일지!$E474="","세부유형 누락; ",IF(AND(업무일지!$D474&lt;&gt;"",COUNTIFS(코드설정!$A$5:$A$21,업무일지!$D474,코드설정!$B$5:$B$21,업무일지!$E474)=0),"세부유형이 직무구분과 불일치; ",""))&amp;IF(AND(업무일지!$F474&lt;&gt;"",COUNTIF(사건마스터!$A$5:$A$64,업무일지!$F474)=0),"미등록 사건번호; ","")&amp;IF(AND(업무일지!$F474="",업무일지!$H474=""),"사건번호·업무명 모두 없음; ","")&amp;IF(업무일지!$J474="","담당자 없음; ","")&amp;IF(COUNTIF(코드설정!$F$5:$F$7,업무일지!$AG474)=0,"진행상태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"&amp;업무일지!$H475)</f>
        <v/>
      </c>
      <c r="D507" s="45">
        <f>IF(NOT(COUNTBLANK(업무일지!$B475:$AH475)&lt;33),"",TRIM(IF(업무일지!$B475="","시작일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","")&amp;IF(COUNTIF(코드설정!$H$5:$H$7,업무일지!$D475)=0,"직무구분 누락; ","")&amp;IF(업무일지!$E475="","세부유형 누락; ",IF(AND(업무일지!$D475&lt;&gt;"",COUNTIFS(코드설정!$A$5:$A$21,업무일지!$D475,코드설정!$B$5:$B$21,업무일지!$E475)=0),"세부유형이 직무구분과 불일치; ",""))&amp;IF(AND(업무일지!$F475&lt;&gt;"",COUNTIF(사건마스터!$A$5:$A$64,업무일지!$F475)=0),"미등록 사건번호; ","")&amp;IF(AND(업무일지!$F475="",업무일지!$H475=""),"사건번호·업무명 모두 없음; ","")&amp;IF(업무일지!$J475="","담당자 없음; ","")&amp;IF(COUNTIF(코드설정!$F$5:$F$7,업무일지!$AG475)=0,"진행상태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"&amp;업무일지!$H476)</f>
        <v/>
      </c>
      <c r="D508" s="45">
        <f>IF(NOT(COUNTBLANK(업무일지!$B476:$AH476)&lt;33),"",TRIM(IF(업무일지!$B476="","시작일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","")&amp;IF(COUNTIF(코드설정!$H$5:$H$7,업무일지!$D476)=0,"직무구분 누락; ","")&amp;IF(업무일지!$E476="","세부유형 누락; ",IF(AND(업무일지!$D476&lt;&gt;"",COUNTIFS(코드설정!$A$5:$A$21,업무일지!$D476,코드설정!$B$5:$B$21,업무일지!$E476)=0),"세부유형이 직무구분과 불일치; ",""))&amp;IF(AND(업무일지!$F476&lt;&gt;"",COUNTIF(사건마스터!$A$5:$A$64,업무일지!$F476)=0),"미등록 사건번호; ","")&amp;IF(AND(업무일지!$F476="",업무일지!$H476=""),"사건번호·업무명 모두 없음; ","")&amp;IF(업무일지!$J476="","담당자 없음; ","")&amp;IF(COUNTIF(코드설정!$F$5:$F$7,업무일지!$AG476)=0,"진행상태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"&amp;업무일지!$H477)</f>
        <v/>
      </c>
      <c r="D509" s="45">
        <f>IF(NOT(COUNTBLANK(업무일지!$B477:$AH477)&lt;33),"",TRIM(IF(업무일지!$B477="","시작일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","")&amp;IF(COUNTIF(코드설정!$H$5:$H$7,업무일지!$D477)=0,"직무구분 누락; ","")&amp;IF(업무일지!$E477="","세부유형 누락; ",IF(AND(업무일지!$D477&lt;&gt;"",COUNTIFS(코드설정!$A$5:$A$21,업무일지!$D477,코드설정!$B$5:$B$21,업무일지!$E477)=0),"세부유형이 직무구분과 불일치; ",""))&amp;IF(AND(업무일지!$F477&lt;&gt;"",COUNTIF(사건마스터!$A$5:$A$64,업무일지!$F477)=0),"미등록 사건번호; ","")&amp;IF(AND(업무일지!$F477="",업무일지!$H477=""),"사건번호·업무명 모두 없음; ","")&amp;IF(업무일지!$J477="","담당자 없음; ","")&amp;IF(COUNTIF(코드설정!$F$5:$F$7,업무일지!$AG477)=0,"진행상태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"&amp;업무일지!$H478)</f>
        <v/>
      </c>
      <c r="D510" s="45">
        <f>IF(NOT(COUNTBLANK(업무일지!$B478:$AH478)&lt;33),"",TRIM(IF(업무일지!$B478="","시작일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","")&amp;IF(COUNTIF(코드설정!$H$5:$H$7,업무일지!$D478)=0,"직무구분 누락; ","")&amp;IF(업무일지!$E478="","세부유형 누락; ",IF(AND(업무일지!$D478&lt;&gt;"",COUNTIFS(코드설정!$A$5:$A$21,업무일지!$D478,코드설정!$B$5:$B$21,업무일지!$E478)=0),"세부유형이 직무구분과 불일치; ",""))&amp;IF(AND(업무일지!$F478&lt;&gt;"",COUNTIF(사건마스터!$A$5:$A$64,업무일지!$F478)=0),"미등록 사건번호; ","")&amp;IF(AND(업무일지!$F478="",업무일지!$H478=""),"사건번호·업무명 모두 없음; ","")&amp;IF(업무일지!$J478="","담당자 없음; ","")&amp;IF(COUNTIF(코드설정!$F$5:$F$7,업무일지!$AG478)=0,"진행상태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"&amp;업무일지!$H479)</f>
        <v/>
      </c>
      <c r="D511" s="45">
        <f>IF(NOT(COUNTBLANK(업무일지!$B479:$AH479)&lt;33),"",TRIM(IF(업무일지!$B479="","시작일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","")&amp;IF(COUNTIF(코드설정!$H$5:$H$7,업무일지!$D479)=0,"직무구분 누락; ","")&amp;IF(업무일지!$E479="","세부유형 누락; ",IF(AND(업무일지!$D479&lt;&gt;"",COUNTIFS(코드설정!$A$5:$A$21,업무일지!$D479,코드설정!$B$5:$B$21,업무일지!$E479)=0),"세부유형이 직무구분과 불일치; ",""))&amp;IF(AND(업무일지!$F479&lt;&gt;"",COUNTIF(사건마스터!$A$5:$A$64,업무일지!$F479)=0),"미등록 사건번호; ","")&amp;IF(AND(업무일지!$F479="",업무일지!$H479=""),"사건번호·업무명 모두 없음; ","")&amp;IF(업무일지!$J479="","담당자 없음; ","")&amp;IF(COUNTIF(코드설정!$F$5:$F$7,업무일지!$AG479)=0,"진행상태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"&amp;업무일지!$H480)</f>
        <v/>
      </c>
      <c r="D512" s="45">
        <f>IF(NOT(COUNTBLANK(업무일지!$B480:$AH480)&lt;33),"",TRIM(IF(업무일지!$B480="","시작일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","")&amp;IF(COUNTIF(코드설정!$H$5:$H$7,업무일지!$D480)=0,"직무구분 누락; ","")&amp;IF(업무일지!$E480="","세부유형 누락; ",IF(AND(업무일지!$D480&lt;&gt;"",COUNTIFS(코드설정!$A$5:$A$21,업무일지!$D480,코드설정!$B$5:$B$21,업무일지!$E480)=0),"세부유형이 직무구분과 불일치; ",""))&amp;IF(AND(업무일지!$F480&lt;&gt;"",COUNTIF(사건마스터!$A$5:$A$64,업무일지!$F480)=0),"미등록 사건번호; ","")&amp;IF(AND(업무일지!$F480="",업무일지!$H480=""),"사건번호·업무명 모두 없음; ","")&amp;IF(업무일지!$J480="","담당자 없음; ","")&amp;IF(COUNTIF(코드설정!$F$5:$F$7,업무일지!$AG480)=0,"진행상태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"&amp;업무일지!$H481)</f>
        <v/>
      </c>
      <c r="D513" s="45">
        <f>IF(NOT(COUNTBLANK(업무일지!$B481:$AH481)&lt;33),"",TRIM(IF(업무일지!$B481="","시작일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","")&amp;IF(COUNTIF(코드설정!$H$5:$H$7,업무일지!$D481)=0,"직무구분 누락; ","")&amp;IF(업무일지!$E481="","세부유형 누락; ",IF(AND(업무일지!$D481&lt;&gt;"",COUNTIFS(코드설정!$A$5:$A$21,업무일지!$D481,코드설정!$B$5:$B$21,업무일지!$E481)=0),"세부유형이 직무구분과 불일치; ",""))&amp;IF(AND(업무일지!$F481&lt;&gt;"",COUNTIF(사건마스터!$A$5:$A$64,업무일지!$F481)=0),"미등록 사건번호; ","")&amp;IF(AND(업무일지!$F481="",업무일지!$H481=""),"사건번호·업무명 모두 없음; ","")&amp;IF(업무일지!$J481="","담당자 없음; ","")&amp;IF(COUNTIF(코드설정!$F$5:$F$7,업무일지!$AG481)=0,"진행상태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"&amp;업무일지!$H482)</f>
        <v/>
      </c>
      <c r="D514" s="45">
        <f>IF(NOT(COUNTBLANK(업무일지!$B482:$AH482)&lt;33),"",TRIM(IF(업무일지!$B482="","시작일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","")&amp;IF(COUNTIF(코드설정!$H$5:$H$7,업무일지!$D482)=0,"직무구분 누락; ","")&amp;IF(업무일지!$E482="","세부유형 누락; ",IF(AND(업무일지!$D482&lt;&gt;"",COUNTIFS(코드설정!$A$5:$A$21,업무일지!$D482,코드설정!$B$5:$B$21,업무일지!$E482)=0),"세부유형이 직무구분과 불일치; ",""))&amp;IF(AND(업무일지!$F482&lt;&gt;"",COUNTIF(사건마스터!$A$5:$A$64,업무일지!$F482)=0),"미등록 사건번호; ","")&amp;IF(AND(업무일지!$F482="",업무일지!$H482=""),"사건번호·업무명 모두 없음; ","")&amp;IF(업무일지!$J482="","담당자 없음; ","")&amp;IF(COUNTIF(코드설정!$F$5:$F$7,업무일지!$AG482)=0,"진행상태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"&amp;업무일지!$H483)</f>
        <v/>
      </c>
      <c r="D515" s="45">
        <f>IF(NOT(COUNTBLANK(업무일지!$B483:$AH483)&lt;33),"",TRIM(IF(업무일지!$B483="","시작일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","")&amp;IF(COUNTIF(코드설정!$H$5:$H$7,업무일지!$D483)=0,"직무구분 누락; ","")&amp;IF(업무일지!$E483="","세부유형 누락; ",IF(AND(업무일지!$D483&lt;&gt;"",COUNTIFS(코드설정!$A$5:$A$21,업무일지!$D483,코드설정!$B$5:$B$21,업무일지!$E483)=0),"세부유형이 직무구분과 불일치; ",""))&amp;IF(AND(업무일지!$F483&lt;&gt;"",COUNTIF(사건마스터!$A$5:$A$64,업무일지!$F483)=0),"미등록 사건번호; ","")&amp;IF(AND(업무일지!$F483="",업무일지!$H483=""),"사건번호·업무명 모두 없음; ","")&amp;IF(업무일지!$J483="","담당자 없음; ","")&amp;IF(COUNTIF(코드설정!$F$5:$F$7,업무일지!$AG483)=0,"진행상태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"&amp;업무일지!$H484)</f>
        <v/>
      </c>
      <c r="D516" s="45">
        <f>IF(NOT(COUNTBLANK(업무일지!$B484:$AH484)&lt;33),"",TRIM(IF(업무일지!$B484="","시작일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","")&amp;IF(COUNTIF(코드설정!$H$5:$H$7,업무일지!$D484)=0,"직무구분 누락; ","")&amp;IF(업무일지!$E484="","세부유형 누락; ",IF(AND(업무일지!$D484&lt;&gt;"",COUNTIFS(코드설정!$A$5:$A$21,업무일지!$D484,코드설정!$B$5:$B$21,업무일지!$E484)=0),"세부유형이 직무구분과 불일치; ",""))&amp;IF(AND(업무일지!$F484&lt;&gt;"",COUNTIF(사건마스터!$A$5:$A$64,업무일지!$F484)=0),"미등록 사건번호; ","")&amp;IF(AND(업무일지!$F484="",업무일지!$H484=""),"사건번호·업무명 모두 없음; ","")&amp;IF(업무일지!$J484="","담당자 없음; ","")&amp;IF(COUNTIF(코드설정!$F$5:$F$7,업무일지!$AG484)=0,"진행상태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"&amp;업무일지!$H485)</f>
        <v/>
      </c>
      <c r="D517" s="45">
        <f>IF(NOT(COUNTBLANK(업무일지!$B485:$AH485)&lt;33),"",TRIM(IF(업무일지!$B485="","시작일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","")&amp;IF(COUNTIF(코드설정!$H$5:$H$7,업무일지!$D485)=0,"직무구분 누락; ","")&amp;IF(업무일지!$E485="","세부유형 누락; ",IF(AND(업무일지!$D485&lt;&gt;"",COUNTIFS(코드설정!$A$5:$A$21,업무일지!$D485,코드설정!$B$5:$B$21,업무일지!$E485)=0),"세부유형이 직무구분과 불일치; ",""))&amp;IF(AND(업무일지!$F485&lt;&gt;"",COUNTIF(사건마스터!$A$5:$A$64,업무일지!$F485)=0),"미등록 사건번호; ","")&amp;IF(AND(업무일지!$F485="",업무일지!$H485=""),"사건번호·업무명 모두 없음; ","")&amp;IF(업무일지!$J485="","담당자 없음; ","")&amp;IF(COUNTIF(코드설정!$F$5:$F$7,업무일지!$AG485)=0,"진행상태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"&amp;업무일지!$H486)</f>
        <v/>
      </c>
      <c r="D518" s="45">
        <f>IF(NOT(COUNTBLANK(업무일지!$B486:$AH486)&lt;33),"",TRIM(IF(업무일지!$B486="","시작일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","")&amp;IF(COUNTIF(코드설정!$H$5:$H$7,업무일지!$D486)=0,"직무구분 누락; ","")&amp;IF(업무일지!$E486="","세부유형 누락; ",IF(AND(업무일지!$D486&lt;&gt;"",COUNTIFS(코드설정!$A$5:$A$21,업무일지!$D486,코드설정!$B$5:$B$21,업무일지!$E486)=0),"세부유형이 직무구분과 불일치; ",""))&amp;IF(AND(업무일지!$F486&lt;&gt;"",COUNTIF(사건마스터!$A$5:$A$64,업무일지!$F486)=0),"미등록 사건번호; ","")&amp;IF(AND(업무일지!$F486="",업무일지!$H486=""),"사건번호·업무명 모두 없음; ","")&amp;IF(업무일지!$J486="","담당자 없음; ","")&amp;IF(COUNTIF(코드설정!$F$5:$F$7,업무일지!$AG486)=0,"진행상태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"&amp;업무일지!$H487)</f>
        <v/>
      </c>
      <c r="D519" s="45">
        <f>IF(NOT(COUNTBLANK(업무일지!$B487:$AH487)&lt;33),"",TRIM(IF(업무일지!$B487="","시작일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","")&amp;IF(COUNTIF(코드설정!$H$5:$H$7,업무일지!$D487)=0,"직무구분 누락; ","")&amp;IF(업무일지!$E487="","세부유형 누락; ",IF(AND(업무일지!$D487&lt;&gt;"",COUNTIFS(코드설정!$A$5:$A$21,업무일지!$D487,코드설정!$B$5:$B$21,업무일지!$E487)=0),"세부유형이 직무구분과 불일치; ",""))&amp;IF(AND(업무일지!$F487&lt;&gt;"",COUNTIF(사건마스터!$A$5:$A$64,업무일지!$F487)=0),"미등록 사건번호; ","")&amp;IF(AND(업무일지!$F487="",업무일지!$H487=""),"사건번호·업무명 모두 없음; ","")&amp;IF(업무일지!$J487="","담당자 없음; ","")&amp;IF(COUNTIF(코드설정!$F$5:$F$7,업무일지!$AG487)=0,"진행상태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"&amp;업무일지!$H488)</f>
        <v/>
      </c>
      <c r="D520" s="45">
        <f>IF(NOT(COUNTBLANK(업무일지!$B488:$AH488)&lt;33),"",TRIM(IF(업무일지!$B488="","시작일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","")&amp;IF(COUNTIF(코드설정!$H$5:$H$7,업무일지!$D488)=0,"직무구분 누락; ","")&amp;IF(업무일지!$E488="","세부유형 누락; ",IF(AND(업무일지!$D488&lt;&gt;"",COUNTIFS(코드설정!$A$5:$A$21,업무일지!$D488,코드설정!$B$5:$B$21,업무일지!$E488)=0),"세부유형이 직무구분과 불일치; ",""))&amp;IF(AND(업무일지!$F488&lt;&gt;"",COUNTIF(사건마스터!$A$5:$A$64,업무일지!$F488)=0),"미등록 사건번호; ","")&amp;IF(AND(업무일지!$F488="",업무일지!$H488=""),"사건번호·업무명 모두 없음; ","")&amp;IF(업무일지!$J488="","담당자 없음; ","")&amp;IF(COUNTIF(코드설정!$F$5:$F$7,업무일지!$AG488)=0,"진행상태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"&amp;업무일지!$H489)</f>
        <v/>
      </c>
      <c r="D521" s="45">
        <f>IF(NOT(COUNTBLANK(업무일지!$B489:$AH489)&lt;33),"",TRIM(IF(업무일지!$B489="","시작일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","")&amp;IF(COUNTIF(코드설정!$H$5:$H$7,업무일지!$D489)=0,"직무구분 누락; ","")&amp;IF(업무일지!$E489="","세부유형 누락; ",IF(AND(업무일지!$D489&lt;&gt;"",COUNTIFS(코드설정!$A$5:$A$21,업무일지!$D489,코드설정!$B$5:$B$21,업무일지!$E489)=0),"세부유형이 직무구분과 불일치; ",""))&amp;IF(AND(업무일지!$F489&lt;&gt;"",COUNTIF(사건마스터!$A$5:$A$64,업무일지!$F489)=0),"미등록 사건번호; ","")&amp;IF(AND(업무일지!$F489="",업무일지!$H489=""),"사건번호·업무명 모두 없음; ","")&amp;IF(업무일지!$J489="","담당자 없음; ","")&amp;IF(COUNTIF(코드설정!$F$5:$F$7,업무일지!$AG489)=0,"진행상태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"&amp;업무일지!$H490)</f>
        <v/>
      </c>
      <c r="D522" s="45">
        <f>IF(NOT(COUNTBLANK(업무일지!$B490:$AH490)&lt;33),"",TRIM(IF(업무일지!$B490="","시작일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","")&amp;IF(COUNTIF(코드설정!$H$5:$H$7,업무일지!$D490)=0,"직무구분 누락; ","")&amp;IF(업무일지!$E490="","세부유형 누락; ",IF(AND(업무일지!$D490&lt;&gt;"",COUNTIFS(코드설정!$A$5:$A$21,업무일지!$D490,코드설정!$B$5:$B$21,업무일지!$E490)=0),"세부유형이 직무구분과 불일치; ",""))&amp;IF(AND(업무일지!$F490&lt;&gt;"",COUNTIF(사건마스터!$A$5:$A$64,업무일지!$F490)=0),"미등록 사건번호; ","")&amp;IF(AND(업무일지!$F490="",업무일지!$H490=""),"사건번호·업무명 모두 없음; ","")&amp;IF(업무일지!$J490="","담당자 없음; ","")&amp;IF(COUNTIF(코드설정!$F$5:$F$7,업무일지!$AG490)=0,"진행상태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"&amp;업무일지!$H491)</f>
        <v/>
      </c>
      <c r="D523" s="45">
        <f>IF(NOT(COUNTBLANK(업무일지!$B491:$AH491)&lt;33),"",TRIM(IF(업무일지!$B491="","시작일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","")&amp;IF(COUNTIF(코드설정!$H$5:$H$7,업무일지!$D491)=0,"직무구분 누락; ","")&amp;IF(업무일지!$E491="","세부유형 누락; ",IF(AND(업무일지!$D491&lt;&gt;"",COUNTIFS(코드설정!$A$5:$A$21,업무일지!$D491,코드설정!$B$5:$B$21,업무일지!$E491)=0),"세부유형이 직무구분과 불일치; ",""))&amp;IF(AND(업무일지!$F491&lt;&gt;"",COUNTIF(사건마스터!$A$5:$A$64,업무일지!$F491)=0),"미등록 사건번호; ","")&amp;IF(AND(업무일지!$F491="",업무일지!$H491=""),"사건번호·업무명 모두 없음; ","")&amp;IF(업무일지!$J491="","담당자 없음; ","")&amp;IF(COUNTIF(코드설정!$F$5:$F$7,업무일지!$AG491)=0,"진행상태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"&amp;업무일지!$H492)</f>
        <v/>
      </c>
      <c r="D524" s="45">
        <f>IF(NOT(COUNTBLANK(업무일지!$B492:$AH492)&lt;33),"",TRIM(IF(업무일지!$B492="","시작일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","")&amp;IF(COUNTIF(코드설정!$H$5:$H$7,업무일지!$D492)=0,"직무구분 누락; ","")&amp;IF(업무일지!$E492="","세부유형 누락; ",IF(AND(업무일지!$D492&lt;&gt;"",COUNTIFS(코드설정!$A$5:$A$21,업무일지!$D492,코드설정!$B$5:$B$21,업무일지!$E492)=0),"세부유형이 직무구분과 불일치; ",""))&amp;IF(AND(업무일지!$F492&lt;&gt;"",COUNTIF(사건마스터!$A$5:$A$64,업무일지!$F492)=0),"미등록 사건번호; ","")&amp;IF(AND(업무일지!$F492="",업무일지!$H492=""),"사건번호·업무명 모두 없음; ","")&amp;IF(업무일지!$J492="","담당자 없음; ","")&amp;IF(COUNTIF(코드설정!$F$5:$F$7,업무일지!$AG492)=0,"진행상태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"&amp;업무일지!$H493)</f>
        <v/>
      </c>
      <c r="D525" s="45">
        <f>IF(NOT(COUNTBLANK(업무일지!$B493:$AH493)&lt;33),"",TRIM(IF(업무일지!$B493="","시작일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","")&amp;IF(COUNTIF(코드설정!$H$5:$H$7,업무일지!$D493)=0,"직무구분 누락; ","")&amp;IF(업무일지!$E493="","세부유형 누락; ",IF(AND(업무일지!$D493&lt;&gt;"",COUNTIFS(코드설정!$A$5:$A$21,업무일지!$D493,코드설정!$B$5:$B$21,업무일지!$E493)=0),"세부유형이 직무구분과 불일치; ",""))&amp;IF(AND(업무일지!$F493&lt;&gt;"",COUNTIF(사건마스터!$A$5:$A$64,업무일지!$F493)=0),"미등록 사건번호; ","")&amp;IF(AND(업무일지!$F493="",업무일지!$H493=""),"사건번호·업무명 모두 없음; ","")&amp;IF(업무일지!$J493="","담당자 없음; ","")&amp;IF(COUNTIF(코드설정!$F$5:$F$7,업무일지!$AG493)=0,"진행상태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"&amp;업무일지!$H494)</f>
        <v/>
      </c>
      <c r="D526" s="45">
        <f>IF(NOT(COUNTBLANK(업무일지!$B494:$AH494)&lt;33),"",TRIM(IF(업무일지!$B494="","시작일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","")&amp;IF(COUNTIF(코드설정!$H$5:$H$7,업무일지!$D494)=0,"직무구분 누락; ","")&amp;IF(업무일지!$E494="","세부유형 누락; ",IF(AND(업무일지!$D494&lt;&gt;"",COUNTIFS(코드설정!$A$5:$A$21,업무일지!$D494,코드설정!$B$5:$B$21,업무일지!$E494)=0),"세부유형이 직무구분과 불일치; ",""))&amp;IF(AND(업무일지!$F494&lt;&gt;"",COUNTIF(사건마스터!$A$5:$A$64,업무일지!$F494)=0),"미등록 사건번호; ","")&amp;IF(AND(업무일지!$F494="",업무일지!$H494=""),"사건번호·업무명 모두 없음; ","")&amp;IF(업무일지!$J494="","담당자 없음; ","")&amp;IF(COUNTIF(코드설정!$F$5:$F$7,업무일지!$AG494)=0,"진행상태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"&amp;업무일지!$H495)</f>
        <v/>
      </c>
      <c r="D527" s="45">
        <f>IF(NOT(COUNTBLANK(업무일지!$B495:$AH495)&lt;33),"",TRIM(IF(업무일지!$B495="","시작일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","")&amp;IF(COUNTIF(코드설정!$H$5:$H$7,업무일지!$D495)=0,"직무구분 누락; ","")&amp;IF(업무일지!$E495="","세부유형 누락; ",IF(AND(업무일지!$D495&lt;&gt;"",COUNTIFS(코드설정!$A$5:$A$21,업무일지!$D495,코드설정!$B$5:$B$21,업무일지!$E495)=0),"세부유형이 직무구분과 불일치; ",""))&amp;IF(AND(업무일지!$F495&lt;&gt;"",COUNTIF(사건마스터!$A$5:$A$64,업무일지!$F495)=0),"미등록 사건번호; ","")&amp;IF(AND(업무일지!$F495="",업무일지!$H495=""),"사건번호·업무명 모두 없음; ","")&amp;IF(업무일지!$J495="","담당자 없음; ","")&amp;IF(COUNTIF(코드설정!$F$5:$F$7,업무일지!$AG495)=0,"진행상태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"&amp;업무일지!$H496)</f>
        <v/>
      </c>
      <c r="D528" s="45">
        <f>IF(NOT(COUNTBLANK(업무일지!$B496:$AH496)&lt;33),"",TRIM(IF(업무일지!$B496="","시작일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","")&amp;IF(COUNTIF(코드설정!$H$5:$H$7,업무일지!$D496)=0,"직무구분 누락; ","")&amp;IF(업무일지!$E496="","세부유형 누락; ",IF(AND(업무일지!$D496&lt;&gt;"",COUNTIFS(코드설정!$A$5:$A$21,업무일지!$D496,코드설정!$B$5:$B$21,업무일지!$E496)=0),"세부유형이 직무구분과 불일치; ",""))&amp;IF(AND(업무일지!$F496&lt;&gt;"",COUNTIF(사건마스터!$A$5:$A$64,업무일지!$F496)=0),"미등록 사건번호; ","")&amp;IF(AND(업무일지!$F496="",업무일지!$H496=""),"사건번호·업무명 모두 없음; ","")&amp;IF(업무일지!$J496="","담당자 없음; ","")&amp;IF(COUNTIF(코드설정!$F$5:$F$7,업무일지!$AG496)=0,"진행상태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"&amp;업무일지!$H497)</f>
        <v/>
      </c>
      <c r="D529" s="45">
        <f>IF(NOT(COUNTBLANK(업무일지!$B497:$AH497)&lt;33),"",TRIM(IF(업무일지!$B497="","시작일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","")&amp;IF(COUNTIF(코드설정!$H$5:$H$7,업무일지!$D497)=0,"직무구분 누락; ","")&amp;IF(업무일지!$E497="","세부유형 누락; ",IF(AND(업무일지!$D497&lt;&gt;"",COUNTIFS(코드설정!$A$5:$A$21,업무일지!$D497,코드설정!$B$5:$B$21,업무일지!$E497)=0),"세부유형이 직무구분과 불일치; ",""))&amp;IF(AND(업무일지!$F497&lt;&gt;"",COUNTIF(사건마스터!$A$5:$A$64,업무일지!$F497)=0),"미등록 사건번호; ","")&amp;IF(AND(업무일지!$F497="",업무일지!$H497=""),"사건번호·업무명 모두 없음; ","")&amp;IF(업무일지!$J497="","담당자 없음; ","")&amp;IF(COUNTIF(코드설정!$F$5:$F$7,업무일지!$AG497)=0,"진행상태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"&amp;업무일지!$H498)</f>
        <v/>
      </c>
      <c r="D530" s="45">
        <f>IF(NOT(COUNTBLANK(업무일지!$B498:$AH498)&lt;33),"",TRIM(IF(업무일지!$B498="","시작일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","")&amp;IF(COUNTIF(코드설정!$H$5:$H$7,업무일지!$D498)=0,"직무구분 누락; ","")&amp;IF(업무일지!$E498="","세부유형 누락; ",IF(AND(업무일지!$D498&lt;&gt;"",COUNTIFS(코드설정!$A$5:$A$21,업무일지!$D498,코드설정!$B$5:$B$21,업무일지!$E498)=0),"세부유형이 직무구분과 불일치; ",""))&amp;IF(AND(업무일지!$F498&lt;&gt;"",COUNTIF(사건마스터!$A$5:$A$64,업무일지!$F498)=0),"미등록 사건번호; ","")&amp;IF(AND(업무일지!$F498="",업무일지!$H498=""),"사건번호·업무명 모두 없음; ","")&amp;IF(업무일지!$J498="","담당자 없음; ","")&amp;IF(COUNTIF(코드설정!$F$5:$F$7,업무일지!$AG498)=0,"진행상태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"&amp;업무일지!$H499)</f>
        <v/>
      </c>
      <c r="D531" s="45">
        <f>IF(NOT(COUNTBLANK(업무일지!$B499:$AH499)&lt;33),"",TRIM(IF(업무일지!$B499="","시작일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","")&amp;IF(COUNTIF(코드설정!$H$5:$H$7,업무일지!$D499)=0,"직무구분 누락; ","")&amp;IF(업무일지!$E499="","세부유형 누락; ",IF(AND(업무일지!$D499&lt;&gt;"",COUNTIFS(코드설정!$A$5:$A$21,업무일지!$D499,코드설정!$B$5:$B$21,업무일지!$E499)=0),"세부유형이 직무구분과 불일치; ",""))&amp;IF(AND(업무일지!$F499&lt;&gt;"",COUNTIF(사건마스터!$A$5:$A$64,업무일지!$F499)=0),"미등록 사건번호; ","")&amp;IF(AND(업무일지!$F499="",업무일지!$H499=""),"사건번호·업무명 모두 없음; ","")&amp;IF(업무일지!$J499="","담당자 없음; ","")&amp;IF(COUNTIF(코드설정!$F$5:$F$7,업무일지!$AG499)=0,"진행상태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"&amp;업무일지!$H500)</f>
        <v/>
      </c>
      <c r="D532" s="45">
        <f>IF(NOT(COUNTBLANK(업무일지!$B500:$AH500)&lt;33),"",TRIM(IF(업무일지!$B500="","시작일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","")&amp;IF(COUNTIF(코드설정!$H$5:$H$7,업무일지!$D500)=0,"직무구분 누락; ","")&amp;IF(업무일지!$E500="","세부유형 누락; ",IF(AND(업무일지!$D500&lt;&gt;"",COUNTIFS(코드설정!$A$5:$A$21,업무일지!$D500,코드설정!$B$5:$B$21,업무일지!$E500)=0),"세부유형이 직무구분과 불일치; ",""))&amp;IF(AND(업무일지!$F500&lt;&gt;"",COUNTIF(사건마스터!$A$5:$A$64,업무일지!$F500)=0),"미등록 사건번호; ","")&amp;IF(AND(업무일지!$F500="",업무일지!$H500=""),"사건번호·업무명 모두 없음; ","")&amp;IF(업무일지!$J500="","담당자 없음; ","")&amp;IF(COUNTIF(코드설정!$F$5:$F$7,업무일지!$AG500)=0,"진행상태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"&amp;업무일지!$H501)</f>
        <v/>
      </c>
      <c r="D533" s="45">
        <f>IF(NOT(COUNTBLANK(업무일지!$B501:$AH501)&lt;33),"",TRIM(IF(업무일지!$B501="","시작일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","")&amp;IF(COUNTIF(코드설정!$H$5:$H$7,업무일지!$D501)=0,"직무구분 누락; ","")&amp;IF(업무일지!$E501="","세부유형 누락; ",IF(AND(업무일지!$D501&lt;&gt;"",COUNTIFS(코드설정!$A$5:$A$21,업무일지!$D501,코드설정!$B$5:$B$21,업무일지!$E501)=0),"세부유형이 직무구분과 불일치; ",""))&amp;IF(AND(업무일지!$F501&lt;&gt;"",COUNTIF(사건마스터!$A$5:$A$64,업무일지!$F501)=0),"미등록 사건번호; ","")&amp;IF(AND(업무일지!$F501="",업무일지!$H501=""),"사건번호·업무명 모두 없음; ","")&amp;IF(업무일지!$J501="","담당자 없음; ","")&amp;IF(COUNTIF(코드설정!$F$5:$F$7,업무일지!$AG501)=0,"진행상태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"&amp;업무일지!$H502)</f>
        <v/>
      </c>
      <c r="D534" s="45">
        <f>IF(NOT(COUNTBLANK(업무일지!$B502:$AH502)&lt;33),"",TRIM(IF(업무일지!$B502="","시작일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","")&amp;IF(COUNTIF(코드설정!$H$5:$H$7,업무일지!$D502)=0,"직무구분 누락; ","")&amp;IF(업무일지!$E502="","세부유형 누락; ",IF(AND(업무일지!$D502&lt;&gt;"",COUNTIFS(코드설정!$A$5:$A$21,업무일지!$D502,코드설정!$B$5:$B$21,업무일지!$E502)=0),"세부유형이 직무구분과 불일치; ",""))&amp;IF(AND(업무일지!$F502&lt;&gt;"",COUNTIF(사건마스터!$A$5:$A$64,업무일지!$F502)=0),"미등록 사건번호; ","")&amp;IF(AND(업무일지!$F502="",업무일지!$H502=""),"사건번호·업무명 모두 없음; ","")&amp;IF(업무일지!$J502="","담당자 없음; ","")&amp;IF(COUNTIF(코드설정!$F$5:$F$7,업무일지!$AG502)=0,"진행상태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"&amp;업무일지!$H503)</f>
        <v/>
      </c>
      <c r="D535" s="45">
        <f>IF(NOT(COUNTBLANK(업무일지!$B503:$AH503)&lt;33),"",TRIM(IF(업무일지!$B503="","시작일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","")&amp;IF(COUNTIF(코드설정!$H$5:$H$7,업무일지!$D503)=0,"직무구분 누락; ","")&amp;IF(업무일지!$E503="","세부유형 누락; ",IF(AND(업무일지!$D503&lt;&gt;"",COUNTIFS(코드설정!$A$5:$A$21,업무일지!$D503,코드설정!$B$5:$B$21,업무일지!$E503)=0),"세부유형이 직무구분과 불일치; ",""))&amp;IF(AND(업무일지!$F503&lt;&gt;"",COUNTIF(사건마스터!$A$5:$A$64,업무일지!$F503)=0),"미등록 사건번호; ","")&amp;IF(AND(업무일지!$F503="",업무일지!$H503=""),"사건번호·업무명 모두 없음; ","")&amp;IF(업무일지!$J503="","담당자 없음; ","")&amp;IF(COUNTIF(코드설정!$F$5:$F$7,업무일지!$AG503)=0,"진행상태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"&amp;업무일지!$H504)</f>
        <v/>
      </c>
      <c r="D536" s="45">
        <f>IF(NOT(COUNTBLANK(업무일지!$B504:$AH504)&lt;33),"",TRIM(IF(업무일지!$B504="","시작일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","")&amp;IF(COUNTIF(코드설정!$H$5:$H$7,업무일지!$D504)=0,"직무구분 누락; ","")&amp;IF(업무일지!$E504="","세부유형 누락; ",IF(AND(업무일지!$D504&lt;&gt;"",COUNTIFS(코드설정!$A$5:$A$21,업무일지!$D504,코드설정!$B$5:$B$21,업무일지!$E504)=0),"세부유형이 직무구분과 불일치; ",""))&amp;IF(AND(업무일지!$F504&lt;&gt;"",COUNTIF(사건마스터!$A$5:$A$64,업무일지!$F504)=0),"미등록 사건번호; ","")&amp;IF(AND(업무일지!$F504="",업무일지!$H504=""),"사건번호·업무명 모두 없음; ","")&amp;IF(업무일지!$J504="","담당자 없음; ","")&amp;IF(COUNTIF(코드설정!$F$5:$F$7,업무일지!$AG504)=0,"진행상태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"&amp;업무일지!$H505)</f>
        <v/>
      </c>
      <c r="D537" s="45">
        <f>IF(NOT(COUNTBLANK(업무일지!$B505:$AH505)&lt;33),"",TRIM(IF(업무일지!$B505="","시작일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","")&amp;IF(COUNTIF(코드설정!$H$5:$H$7,업무일지!$D505)=0,"직무구분 누락; ","")&amp;IF(업무일지!$E505="","세부유형 누락; ",IF(AND(업무일지!$D505&lt;&gt;"",COUNTIFS(코드설정!$A$5:$A$21,업무일지!$D505,코드설정!$B$5:$B$21,업무일지!$E505)=0),"세부유형이 직무구분과 불일치; ",""))&amp;IF(AND(업무일지!$F505&lt;&gt;"",COUNTIF(사건마스터!$A$5:$A$64,업무일지!$F505)=0),"미등록 사건번호; ","")&amp;IF(AND(업무일지!$F505="",업무일지!$H505=""),"사건번호·업무명 모두 없음; ","")&amp;IF(업무일지!$J505="","담당자 없음; ","")&amp;IF(COUNTIF(코드설정!$F$5:$F$7,업무일지!$AG505)=0,"진행상태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"&amp;업무일지!$H506)</f>
        <v/>
      </c>
      <c r="D538" s="45">
        <f>IF(NOT(COUNTBLANK(업무일지!$B506:$AH506)&lt;33),"",TRIM(IF(업무일지!$B506="","시작일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","")&amp;IF(COUNTIF(코드설정!$H$5:$H$7,업무일지!$D506)=0,"직무구분 누락; ","")&amp;IF(업무일지!$E506="","세부유형 누락; ",IF(AND(업무일지!$D506&lt;&gt;"",COUNTIFS(코드설정!$A$5:$A$21,업무일지!$D506,코드설정!$B$5:$B$21,업무일지!$E506)=0),"세부유형이 직무구분과 불일치; ",""))&amp;IF(AND(업무일지!$F506&lt;&gt;"",COUNTIF(사건마스터!$A$5:$A$64,업무일지!$F506)=0),"미등록 사건번호; ","")&amp;IF(AND(업무일지!$F506="",업무일지!$H506=""),"사건번호·업무명 모두 없음; ","")&amp;IF(업무일지!$J506="","담당자 없음; ","")&amp;IF(COUNTIF(코드설정!$F$5:$F$7,업무일지!$AG506)=0,"진행상태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"&amp;업무일지!$H507)</f>
        <v/>
      </c>
      <c r="D539" s="45">
        <f>IF(NOT(COUNTBLANK(업무일지!$B507:$AH507)&lt;33),"",TRIM(IF(업무일지!$B507="","시작일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","")&amp;IF(COUNTIF(코드설정!$H$5:$H$7,업무일지!$D507)=0,"직무구분 누락; ","")&amp;IF(업무일지!$E507="","세부유형 누락; ",IF(AND(업무일지!$D507&lt;&gt;"",COUNTIFS(코드설정!$A$5:$A$21,업무일지!$D507,코드설정!$B$5:$B$21,업무일지!$E507)=0),"세부유형이 직무구분과 불일치; ",""))&amp;IF(AND(업무일지!$F507&lt;&gt;"",COUNTIF(사건마스터!$A$5:$A$64,업무일지!$F507)=0),"미등록 사건번호; ","")&amp;IF(AND(업무일지!$F507="",업무일지!$H507=""),"사건번호·업무명 모두 없음; ","")&amp;IF(업무일지!$J507="","담당자 없음; ","")&amp;IF(COUNTIF(코드설정!$F$5:$F$7,업무일지!$AG507)=0,"진행상태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"&amp;업무일지!$H508)</f>
        <v/>
      </c>
      <c r="D540" s="45">
        <f>IF(NOT(COUNTBLANK(업무일지!$B508:$AH508)&lt;33),"",TRIM(IF(업무일지!$B508="","시작일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","")&amp;IF(COUNTIF(코드설정!$H$5:$H$7,업무일지!$D508)=0,"직무구분 누락; ","")&amp;IF(업무일지!$E508="","세부유형 누락; ",IF(AND(업무일지!$D508&lt;&gt;"",COUNTIFS(코드설정!$A$5:$A$21,업무일지!$D508,코드설정!$B$5:$B$21,업무일지!$E508)=0),"세부유형이 직무구분과 불일치; ",""))&amp;IF(AND(업무일지!$F508&lt;&gt;"",COUNTIF(사건마스터!$A$5:$A$64,업무일지!$F508)=0),"미등록 사건번호; ","")&amp;IF(AND(업무일지!$F508="",업무일지!$H508=""),"사건번호·업무명 모두 없음; ","")&amp;IF(업무일지!$J508="","담당자 없음; ","")&amp;IF(COUNTIF(코드설정!$F$5:$F$7,업무일지!$AG508)=0,"진행상태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"&amp;업무일지!$H509)</f>
        <v/>
      </c>
      <c r="D541" s="45">
        <f>IF(NOT(COUNTBLANK(업무일지!$B509:$AH509)&lt;33),"",TRIM(IF(업무일지!$B509="","시작일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","")&amp;IF(COUNTIF(코드설정!$H$5:$H$7,업무일지!$D509)=0,"직무구분 누락; ","")&amp;IF(업무일지!$E509="","세부유형 누락; ",IF(AND(업무일지!$D509&lt;&gt;"",COUNTIFS(코드설정!$A$5:$A$21,업무일지!$D509,코드설정!$B$5:$B$21,업무일지!$E509)=0),"세부유형이 직무구분과 불일치; ",""))&amp;IF(AND(업무일지!$F509&lt;&gt;"",COUNTIF(사건마스터!$A$5:$A$64,업무일지!$F509)=0),"미등록 사건번호; ","")&amp;IF(AND(업무일지!$F509="",업무일지!$H509=""),"사건번호·업무명 모두 없음; ","")&amp;IF(업무일지!$J509="","담당자 없음; ","")&amp;IF(COUNTIF(코드설정!$F$5:$F$7,업무일지!$AG509)=0,"진행상태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"&amp;업무일지!$H510)</f>
        <v/>
      </c>
      <c r="D542" s="45">
        <f>IF(NOT(COUNTBLANK(업무일지!$B510:$AH510)&lt;33),"",TRIM(IF(업무일지!$B510="","시작일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","")&amp;IF(COUNTIF(코드설정!$H$5:$H$7,업무일지!$D510)=0,"직무구분 누락; ","")&amp;IF(업무일지!$E510="","세부유형 누락; ",IF(AND(업무일지!$D510&lt;&gt;"",COUNTIFS(코드설정!$A$5:$A$21,업무일지!$D510,코드설정!$B$5:$B$21,업무일지!$E510)=0),"세부유형이 직무구분과 불일치; ",""))&amp;IF(AND(업무일지!$F510&lt;&gt;"",COUNTIF(사건마스터!$A$5:$A$64,업무일지!$F510)=0),"미등록 사건번호; ","")&amp;IF(AND(업무일지!$F510="",업무일지!$H510=""),"사건번호·업무명 모두 없음; ","")&amp;IF(업무일지!$J510="","담당자 없음; ","")&amp;IF(COUNTIF(코드설정!$F$5:$F$7,업무일지!$AG510)=0,"진행상태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"&amp;업무일지!$H511)</f>
        <v/>
      </c>
      <c r="D543" s="45">
        <f>IF(NOT(COUNTBLANK(업무일지!$B511:$AH511)&lt;33),"",TRIM(IF(업무일지!$B511="","시작일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","")&amp;IF(COUNTIF(코드설정!$H$5:$H$7,업무일지!$D511)=0,"직무구분 누락; ","")&amp;IF(업무일지!$E511="","세부유형 누락; ",IF(AND(업무일지!$D511&lt;&gt;"",COUNTIFS(코드설정!$A$5:$A$21,업무일지!$D511,코드설정!$B$5:$B$21,업무일지!$E511)=0),"세부유형이 직무구분과 불일치; ",""))&amp;IF(AND(업무일지!$F511&lt;&gt;"",COUNTIF(사건마스터!$A$5:$A$64,업무일지!$F511)=0),"미등록 사건번호; ","")&amp;IF(AND(업무일지!$F511="",업무일지!$H511=""),"사건번호·업무명 모두 없음; ","")&amp;IF(업무일지!$J511="","담당자 없음; ","")&amp;IF(COUNTIF(코드설정!$F$5:$F$7,업무일지!$AG511)=0,"진행상태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"&amp;업무일지!$H512)</f>
        <v/>
      </c>
      <c r="D544" s="45">
        <f>IF(NOT(COUNTBLANK(업무일지!$B512:$AH512)&lt;33),"",TRIM(IF(업무일지!$B512="","시작일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","")&amp;IF(COUNTIF(코드설정!$H$5:$H$7,업무일지!$D512)=0,"직무구분 누락; ","")&amp;IF(업무일지!$E512="","세부유형 누락; ",IF(AND(업무일지!$D512&lt;&gt;"",COUNTIFS(코드설정!$A$5:$A$21,업무일지!$D512,코드설정!$B$5:$B$21,업무일지!$E512)=0),"세부유형이 직무구분과 불일치; ",""))&amp;IF(AND(업무일지!$F512&lt;&gt;"",COUNTIF(사건마스터!$A$5:$A$64,업무일지!$F512)=0),"미등록 사건번호; ","")&amp;IF(AND(업무일지!$F512="",업무일지!$H512=""),"사건번호·업무명 모두 없음; ","")&amp;IF(업무일지!$J512="","담당자 없음; ","")&amp;IF(COUNTIF(코드설정!$F$5:$F$7,업무일지!$AG512)=0,"진행상태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"&amp;업무일지!$H513)</f>
        <v/>
      </c>
      <c r="D545" s="45">
        <f>IF(NOT(COUNTBLANK(업무일지!$B513:$AH513)&lt;33),"",TRIM(IF(업무일지!$B513="","시작일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","")&amp;IF(COUNTIF(코드설정!$H$5:$H$7,업무일지!$D513)=0,"직무구분 누락; ","")&amp;IF(업무일지!$E513="","세부유형 누락; ",IF(AND(업무일지!$D513&lt;&gt;"",COUNTIFS(코드설정!$A$5:$A$21,업무일지!$D513,코드설정!$B$5:$B$21,업무일지!$E513)=0),"세부유형이 직무구분과 불일치; ",""))&amp;IF(AND(업무일지!$F513&lt;&gt;"",COUNTIF(사건마스터!$A$5:$A$64,업무일지!$F513)=0),"미등록 사건번호; ","")&amp;IF(AND(업무일지!$F513="",업무일지!$H513=""),"사건번호·업무명 모두 없음; ","")&amp;IF(업무일지!$J513="","담당자 없음; ","")&amp;IF(COUNTIF(코드설정!$F$5:$F$7,업무일지!$AG513)=0,"진행상태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"&amp;업무일지!$H514)</f>
        <v/>
      </c>
      <c r="D546" s="45">
        <f>IF(NOT(COUNTBLANK(업무일지!$B514:$AH514)&lt;33),"",TRIM(IF(업무일지!$B514="","시작일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","")&amp;IF(COUNTIF(코드설정!$H$5:$H$7,업무일지!$D514)=0,"직무구분 누락; ","")&amp;IF(업무일지!$E514="","세부유형 누락; ",IF(AND(업무일지!$D514&lt;&gt;"",COUNTIFS(코드설정!$A$5:$A$21,업무일지!$D514,코드설정!$B$5:$B$21,업무일지!$E514)=0),"세부유형이 직무구분과 불일치; ",""))&amp;IF(AND(업무일지!$F514&lt;&gt;"",COUNTIF(사건마스터!$A$5:$A$64,업무일지!$F514)=0),"미등록 사건번호; ","")&amp;IF(AND(업무일지!$F514="",업무일지!$H514=""),"사건번호·업무명 모두 없음; ","")&amp;IF(업무일지!$J514="","담당자 없음; ","")&amp;IF(COUNTIF(코드설정!$F$5:$F$7,업무일지!$AG514)=0,"진행상태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"&amp;업무일지!$H515)</f>
        <v/>
      </c>
      <c r="D547" s="45">
        <f>IF(NOT(COUNTBLANK(업무일지!$B515:$AH515)&lt;33),"",TRIM(IF(업무일지!$B515="","시작일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","")&amp;IF(COUNTIF(코드설정!$H$5:$H$7,업무일지!$D515)=0,"직무구분 누락; ","")&amp;IF(업무일지!$E515="","세부유형 누락; ",IF(AND(업무일지!$D515&lt;&gt;"",COUNTIFS(코드설정!$A$5:$A$21,업무일지!$D515,코드설정!$B$5:$B$21,업무일지!$E515)=0),"세부유형이 직무구분과 불일치; ",""))&amp;IF(AND(업무일지!$F515&lt;&gt;"",COUNTIF(사건마스터!$A$5:$A$64,업무일지!$F515)=0),"미등록 사건번호; ","")&amp;IF(AND(업무일지!$F515="",업무일지!$H515=""),"사건번호·업무명 모두 없음; ","")&amp;IF(업무일지!$J515="","담당자 없음; ","")&amp;IF(COUNTIF(코드설정!$F$5:$F$7,업무일지!$AG515)=0,"진행상태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"&amp;업무일지!$H516)</f>
        <v/>
      </c>
      <c r="D548" s="45">
        <f>IF(NOT(COUNTBLANK(업무일지!$B516:$AH516)&lt;33),"",TRIM(IF(업무일지!$B516="","시작일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","")&amp;IF(COUNTIF(코드설정!$H$5:$H$7,업무일지!$D516)=0,"직무구분 누락; ","")&amp;IF(업무일지!$E516="","세부유형 누락; ",IF(AND(업무일지!$D516&lt;&gt;"",COUNTIFS(코드설정!$A$5:$A$21,업무일지!$D516,코드설정!$B$5:$B$21,업무일지!$E516)=0),"세부유형이 직무구분과 불일치; ",""))&amp;IF(AND(업무일지!$F516&lt;&gt;"",COUNTIF(사건마스터!$A$5:$A$64,업무일지!$F516)=0),"미등록 사건번호; ","")&amp;IF(AND(업무일지!$F516="",업무일지!$H516=""),"사건번호·업무명 모두 없음; ","")&amp;IF(업무일지!$J516="","담당자 없음; ","")&amp;IF(COUNTIF(코드설정!$F$5:$F$7,업무일지!$AG516)=0,"진행상태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"&amp;업무일지!$H517)</f>
        <v/>
      </c>
      <c r="D549" s="45">
        <f>IF(NOT(COUNTBLANK(업무일지!$B517:$AH517)&lt;33),"",TRIM(IF(업무일지!$B517="","시작일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","")&amp;IF(COUNTIF(코드설정!$H$5:$H$7,업무일지!$D517)=0,"직무구분 누락; ","")&amp;IF(업무일지!$E517="","세부유형 누락; ",IF(AND(업무일지!$D517&lt;&gt;"",COUNTIFS(코드설정!$A$5:$A$21,업무일지!$D517,코드설정!$B$5:$B$21,업무일지!$E517)=0),"세부유형이 직무구분과 불일치; ",""))&amp;IF(AND(업무일지!$F517&lt;&gt;"",COUNTIF(사건마스터!$A$5:$A$64,업무일지!$F517)=0),"미등록 사건번호; ","")&amp;IF(AND(업무일지!$F517="",업무일지!$H517=""),"사건번호·업무명 모두 없음; ","")&amp;IF(업무일지!$J517="","담당자 없음; ","")&amp;IF(COUNTIF(코드설정!$F$5:$F$7,업무일지!$AG517)=0,"진행상태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"&amp;업무일지!$H518)</f>
        <v/>
      </c>
      <c r="D550" s="45">
        <f>IF(NOT(COUNTBLANK(업무일지!$B518:$AH518)&lt;33),"",TRIM(IF(업무일지!$B518="","시작일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","")&amp;IF(COUNTIF(코드설정!$H$5:$H$7,업무일지!$D518)=0,"직무구분 누락; ","")&amp;IF(업무일지!$E518="","세부유형 누락; ",IF(AND(업무일지!$D518&lt;&gt;"",COUNTIFS(코드설정!$A$5:$A$21,업무일지!$D518,코드설정!$B$5:$B$21,업무일지!$E518)=0),"세부유형이 직무구분과 불일치; ",""))&amp;IF(AND(업무일지!$F518&lt;&gt;"",COUNTIF(사건마스터!$A$5:$A$64,업무일지!$F518)=0),"미등록 사건번호; ","")&amp;IF(AND(업무일지!$F518="",업무일지!$H518=""),"사건번호·업무명 모두 없음; ","")&amp;IF(업무일지!$J518="","담당자 없음; ","")&amp;IF(COUNTIF(코드설정!$F$5:$F$7,업무일지!$AG518)=0,"진행상태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"&amp;업무일지!$H519)</f>
        <v/>
      </c>
      <c r="D551" s="45">
        <f>IF(NOT(COUNTBLANK(업무일지!$B519:$AH519)&lt;33),"",TRIM(IF(업무일지!$B519="","시작일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","")&amp;IF(COUNTIF(코드설정!$H$5:$H$7,업무일지!$D519)=0,"직무구분 누락; ","")&amp;IF(업무일지!$E519="","세부유형 누락; ",IF(AND(업무일지!$D519&lt;&gt;"",COUNTIFS(코드설정!$A$5:$A$21,업무일지!$D519,코드설정!$B$5:$B$21,업무일지!$E519)=0),"세부유형이 직무구분과 불일치; ",""))&amp;IF(AND(업무일지!$F519&lt;&gt;"",COUNTIF(사건마스터!$A$5:$A$64,업무일지!$F519)=0),"미등록 사건번호; ","")&amp;IF(AND(업무일지!$F519="",업무일지!$H519=""),"사건번호·업무명 모두 없음; ","")&amp;IF(업무일지!$J519="","담당자 없음; ","")&amp;IF(COUNTIF(코드설정!$F$5:$F$7,업무일지!$AG519)=0,"진행상태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"&amp;업무일지!$H520)</f>
        <v/>
      </c>
      <c r="D552" s="45">
        <f>IF(NOT(COUNTBLANK(업무일지!$B520:$AH520)&lt;33),"",TRIM(IF(업무일지!$B520="","시작일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","")&amp;IF(COUNTIF(코드설정!$H$5:$H$7,업무일지!$D520)=0,"직무구분 누락; ","")&amp;IF(업무일지!$E520="","세부유형 누락; ",IF(AND(업무일지!$D520&lt;&gt;"",COUNTIFS(코드설정!$A$5:$A$21,업무일지!$D520,코드설정!$B$5:$B$21,업무일지!$E520)=0),"세부유형이 직무구분과 불일치; ",""))&amp;IF(AND(업무일지!$F520&lt;&gt;"",COUNTIF(사건마스터!$A$5:$A$64,업무일지!$F520)=0),"미등록 사건번호; ","")&amp;IF(AND(업무일지!$F520="",업무일지!$H520=""),"사건번호·업무명 모두 없음; ","")&amp;IF(업무일지!$J520="","담당자 없음; ","")&amp;IF(COUNTIF(코드설정!$F$5:$F$7,업무일지!$AG520)=0,"진행상태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"&amp;업무일지!$H521)</f>
        <v/>
      </c>
      <c r="D553" s="45">
        <f>IF(NOT(COUNTBLANK(업무일지!$B521:$AH521)&lt;33),"",TRIM(IF(업무일지!$B521="","시작일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","")&amp;IF(COUNTIF(코드설정!$H$5:$H$7,업무일지!$D521)=0,"직무구분 누락; ","")&amp;IF(업무일지!$E521="","세부유형 누락; ",IF(AND(업무일지!$D521&lt;&gt;"",COUNTIFS(코드설정!$A$5:$A$21,업무일지!$D521,코드설정!$B$5:$B$21,업무일지!$E521)=0),"세부유형이 직무구분과 불일치; ",""))&amp;IF(AND(업무일지!$F521&lt;&gt;"",COUNTIF(사건마스터!$A$5:$A$64,업무일지!$F521)=0),"미등록 사건번호; ","")&amp;IF(AND(업무일지!$F521="",업무일지!$H521=""),"사건번호·업무명 모두 없음; ","")&amp;IF(업무일지!$J521="","담당자 없음; ","")&amp;IF(COUNTIF(코드설정!$F$5:$F$7,업무일지!$AG521)=0,"진행상태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"&amp;업무일지!$H522)</f>
        <v/>
      </c>
      <c r="D554" s="45">
        <f>IF(NOT(COUNTBLANK(업무일지!$B522:$AH522)&lt;33),"",TRIM(IF(업무일지!$B522="","시작일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","")&amp;IF(COUNTIF(코드설정!$H$5:$H$7,업무일지!$D522)=0,"직무구분 누락; ","")&amp;IF(업무일지!$E522="","세부유형 누락; ",IF(AND(업무일지!$D522&lt;&gt;"",COUNTIFS(코드설정!$A$5:$A$21,업무일지!$D522,코드설정!$B$5:$B$21,업무일지!$E522)=0),"세부유형이 직무구분과 불일치; ",""))&amp;IF(AND(업무일지!$F522&lt;&gt;"",COUNTIF(사건마스터!$A$5:$A$64,업무일지!$F522)=0),"미등록 사건번호; ","")&amp;IF(AND(업무일지!$F522="",업무일지!$H522=""),"사건번호·업무명 모두 없음; ","")&amp;IF(업무일지!$J522="","담당자 없음; ","")&amp;IF(COUNTIF(코드설정!$F$5:$F$7,업무일지!$AG522)=0,"진행상태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"&amp;업무일지!$H523)</f>
        <v/>
      </c>
      <c r="D555" s="45">
        <f>IF(NOT(COUNTBLANK(업무일지!$B523:$AH523)&lt;33),"",TRIM(IF(업무일지!$B523="","시작일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","")&amp;IF(COUNTIF(코드설정!$H$5:$H$7,업무일지!$D523)=0,"직무구분 누락; ","")&amp;IF(업무일지!$E523="","세부유형 누락; ",IF(AND(업무일지!$D523&lt;&gt;"",COUNTIFS(코드설정!$A$5:$A$21,업무일지!$D523,코드설정!$B$5:$B$21,업무일지!$E523)=0),"세부유형이 직무구분과 불일치; ",""))&amp;IF(AND(업무일지!$F523&lt;&gt;"",COUNTIF(사건마스터!$A$5:$A$64,업무일지!$F523)=0),"미등록 사건번호; ","")&amp;IF(AND(업무일지!$F523="",업무일지!$H523=""),"사건번호·업무명 모두 없음; ","")&amp;IF(업무일지!$J523="","담당자 없음; ","")&amp;IF(COUNTIF(코드설정!$F$5:$F$7,업무일지!$AG523)=0,"진행상태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"&amp;업무일지!$H524)</f>
        <v/>
      </c>
      <c r="D556" s="45">
        <f>IF(NOT(COUNTBLANK(업무일지!$B524:$AH524)&lt;33),"",TRIM(IF(업무일지!$B524="","시작일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","")&amp;IF(COUNTIF(코드설정!$H$5:$H$7,업무일지!$D524)=0,"직무구분 누락; ","")&amp;IF(업무일지!$E524="","세부유형 누락; ",IF(AND(업무일지!$D524&lt;&gt;"",COUNTIFS(코드설정!$A$5:$A$21,업무일지!$D524,코드설정!$B$5:$B$21,업무일지!$E524)=0),"세부유형이 직무구분과 불일치; ",""))&amp;IF(AND(업무일지!$F524&lt;&gt;"",COUNTIF(사건마스터!$A$5:$A$64,업무일지!$F524)=0),"미등록 사건번호; ","")&amp;IF(AND(업무일지!$F524="",업무일지!$H524=""),"사건번호·업무명 모두 없음; ","")&amp;IF(업무일지!$J524="","담당자 없음; ","")&amp;IF(COUNTIF(코드설정!$F$5:$F$7,업무일지!$AG524)=0,"진행상태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"&amp;업무일지!$H525)</f>
        <v/>
      </c>
      <c r="D557" s="45">
        <f>IF(NOT(COUNTBLANK(업무일지!$B525:$AH525)&lt;33),"",TRIM(IF(업무일지!$B525="","시작일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","")&amp;IF(COUNTIF(코드설정!$H$5:$H$7,업무일지!$D525)=0,"직무구분 누락; ","")&amp;IF(업무일지!$E525="","세부유형 누락; ",IF(AND(업무일지!$D525&lt;&gt;"",COUNTIFS(코드설정!$A$5:$A$21,업무일지!$D525,코드설정!$B$5:$B$21,업무일지!$E525)=0),"세부유형이 직무구분과 불일치; ",""))&amp;IF(AND(업무일지!$F525&lt;&gt;"",COUNTIF(사건마스터!$A$5:$A$64,업무일지!$F525)=0),"미등록 사건번호; ","")&amp;IF(AND(업무일지!$F525="",업무일지!$H525=""),"사건번호·업무명 모두 없음; ","")&amp;IF(업무일지!$J525="","담당자 없음; ","")&amp;IF(COUNTIF(코드설정!$F$5:$F$7,업무일지!$AG525)=0,"진행상태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"&amp;업무일지!$H526)</f>
        <v/>
      </c>
      <c r="D558" s="45">
        <f>IF(NOT(COUNTBLANK(업무일지!$B526:$AH526)&lt;33),"",TRIM(IF(업무일지!$B526="","시작일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","")&amp;IF(COUNTIF(코드설정!$H$5:$H$7,업무일지!$D526)=0,"직무구분 누락; ","")&amp;IF(업무일지!$E526="","세부유형 누락; ",IF(AND(업무일지!$D526&lt;&gt;"",COUNTIFS(코드설정!$A$5:$A$21,업무일지!$D526,코드설정!$B$5:$B$21,업무일지!$E526)=0),"세부유형이 직무구분과 불일치; ",""))&amp;IF(AND(업무일지!$F526&lt;&gt;"",COUNTIF(사건마스터!$A$5:$A$64,업무일지!$F526)=0),"미등록 사건번호; ","")&amp;IF(AND(업무일지!$F526="",업무일지!$H526=""),"사건번호·업무명 모두 없음; ","")&amp;IF(업무일지!$J526="","담당자 없음; ","")&amp;IF(COUNTIF(코드설정!$F$5:$F$7,업무일지!$AG526)=0,"진행상태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"&amp;업무일지!$H527)</f>
        <v/>
      </c>
      <c r="D559" s="45">
        <f>IF(NOT(COUNTBLANK(업무일지!$B527:$AH527)&lt;33),"",TRIM(IF(업무일지!$B527="","시작일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","")&amp;IF(COUNTIF(코드설정!$H$5:$H$7,업무일지!$D527)=0,"직무구분 누락; ","")&amp;IF(업무일지!$E527="","세부유형 누락; ",IF(AND(업무일지!$D527&lt;&gt;"",COUNTIFS(코드설정!$A$5:$A$21,업무일지!$D527,코드설정!$B$5:$B$21,업무일지!$E527)=0),"세부유형이 직무구분과 불일치; ",""))&amp;IF(AND(업무일지!$F527&lt;&gt;"",COUNTIF(사건마스터!$A$5:$A$64,업무일지!$F527)=0),"미등록 사건번호; ","")&amp;IF(AND(업무일지!$F527="",업무일지!$H527=""),"사건번호·업무명 모두 없음; ","")&amp;IF(업무일지!$J527="","담당자 없음; ","")&amp;IF(COUNTIF(코드설정!$F$5:$F$7,업무일지!$AG527)=0,"진행상태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"&amp;업무일지!$H528)</f>
        <v/>
      </c>
      <c r="D560" s="45">
        <f>IF(NOT(COUNTBLANK(업무일지!$B528:$AH528)&lt;33),"",TRIM(IF(업무일지!$B528="","시작일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","")&amp;IF(COUNTIF(코드설정!$H$5:$H$7,업무일지!$D528)=0,"직무구분 누락; ","")&amp;IF(업무일지!$E528="","세부유형 누락; ",IF(AND(업무일지!$D528&lt;&gt;"",COUNTIFS(코드설정!$A$5:$A$21,업무일지!$D528,코드설정!$B$5:$B$21,업무일지!$E528)=0),"세부유형이 직무구분과 불일치; ",""))&amp;IF(AND(업무일지!$F528&lt;&gt;"",COUNTIF(사건마스터!$A$5:$A$64,업무일지!$F528)=0),"미등록 사건번호; ","")&amp;IF(AND(업무일지!$F528="",업무일지!$H528=""),"사건번호·업무명 모두 없음; ","")&amp;IF(업무일지!$J528="","담당자 없음; ","")&amp;IF(COUNTIF(코드설정!$F$5:$F$7,업무일지!$AG528)=0,"진행상태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"&amp;업무일지!$H529)</f>
        <v/>
      </c>
      <c r="D561" s="45">
        <f>IF(NOT(COUNTBLANK(업무일지!$B529:$AH529)&lt;33),"",TRIM(IF(업무일지!$B529="","시작일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","")&amp;IF(COUNTIF(코드설정!$H$5:$H$7,업무일지!$D529)=0,"직무구분 누락; ","")&amp;IF(업무일지!$E529="","세부유형 누락; ",IF(AND(업무일지!$D529&lt;&gt;"",COUNTIFS(코드설정!$A$5:$A$21,업무일지!$D529,코드설정!$B$5:$B$21,업무일지!$E529)=0),"세부유형이 직무구분과 불일치; ",""))&amp;IF(AND(업무일지!$F529&lt;&gt;"",COUNTIF(사건마스터!$A$5:$A$64,업무일지!$F529)=0),"미등록 사건번호; ","")&amp;IF(AND(업무일지!$F529="",업무일지!$H529=""),"사건번호·업무명 모두 없음; ","")&amp;IF(업무일지!$J529="","담당자 없음; ","")&amp;IF(COUNTIF(코드설정!$F$5:$F$7,업무일지!$AG529)=0,"진행상태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"&amp;업무일지!$H530)</f>
        <v/>
      </c>
      <c r="D562" s="45">
        <f>IF(NOT(COUNTBLANK(업무일지!$B530:$AH530)&lt;33),"",TRIM(IF(업무일지!$B530="","시작일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","")&amp;IF(COUNTIF(코드설정!$H$5:$H$7,업무일지!$D530)=0,"직무구분 누락; ","")&amp;IF(업무일지!$E530="","세부유형 누락; ",IF(AND(업무일지!$D530&lt;&gt;"",COUNTIFS(코드설정!$A$5:$A$21,업무일지!$D530,코드설정!$B$5:$B$21,업무일지!$E530)=0),"세부유형이 직무구분과 불일치; ",""))&amp;IF(AND(업무일지!$F530&lt;&gt;"",COUNTIF(사건마스터!$A$5:$A$64,업무일지!$F530)=0),"미등록 사건번호; ","")&amp;IF(AND(업무일지!$F530="",업무일지!$H530=""),"사건번호·업무명 모두 없음; ","")&amp;IF(업무일지!$J530="","담당자 없음; ","")&amp;IF(COUNTIF(코드설정!$F$5:$F$7,업무일지!$AG530)=0,"진행상태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"&amp;업무일지!$H531)</f>
        <v/>
      </c>
      <c r="D563" s="45">
        <f>IF(NOT(COUNTBLANK(업무일지!$B531:$AH531)&lt;33),"",TRIM(IF(업무일지!$B531="","시작일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","")&amp;IF(COUNTIF(코드설정!$H$5:$H$7,업무일지!$D531)=0,"직무구분 누락; ","")&amp;IF(업무일지!$E531="","세부유형 누락; ",IF(AND(업무일지!$D531&lt;&gt;"",COUNTIFS(코드설정!$A$5:$A$21,업무일지!$D531,코드설정!$B$5:$B$21,업무일지!$E531)=0),"세부유형이 직무구분과 불일치; ",""))&amp;IF(AND(업무일지!$F531&lt;&gt;"",COUNTIF(사건마스터!$A$5:$A$64,업무일지!$F531)=0),"미등록 사건번호; ","")&amp;IF(AND(업무일지!$F531="",업무일지!$H531=""),"사건번호·업무명 모두 없음; ","")&amp;IF(업무일지!$J531="","담당자 없음; ","")&amp;IF(COUNTIF(코드설정!$F$5:$F$7,업무일지!$AG531)=0,"진행상태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"&amp;업무일지!$H532)</f>
        <v/>
      </c>
      <c r="D564" s="45">
        <f>IF(NOT(COUNTBLANK(업무일지!$B532:$AH532)&lt;33),"",TRIM(IF(업무일지!$B532="","시작일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","")&amp;IF(COUNTIF(코드설정!$H$5:$H$7,업무일지!$D532)=0,"직무구분 누락; ","")&amp;IF(업무일지!$E532="","세부유형 누락; ",IF(AND(업무일지!$D532&lt;&gt;"",COUNTIFS(코드설정!$A$5:$A$21,업무일지!$D532,코드설정!$B$5:$B$21,업무일지!$E532)=0),"세부유형이 직무구분과 불일치; ",""))&amp;IF(AND(업무일지!$F532&lt;&gt;"",COUNTIF(사건마스터!$A$5:$A$64,업무일지!$F532)=0),"미등록 사건번호; ","")&amp;IF(AND(업무일지!$F532="",업무일지!$H532=""),"사건번호·업무명 모두 없음; ","")&amp;IF(업무일지!$J532="","담당자 없음; ","")&amp;IF(COUNTIF(코드설정!$F$5:$F$7,업무일지!$AG532)=0,"진행상태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"&amp;업무일지!$H533)</f>
        <v/>
      </c>
      <c r="D565" s="45">
        <f>IF(NOT(COUNTBLANK(업무일지!$B533:$AH533)&lt;33),"",TRIM(IF(업무일지!$B533="","시작일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","")&amp;IF(COUNTIF(코드설정!$H$5:$H$7,업무일지!$D533)=0,"직무구분 누락; ","")&amp;IF(업무일지!$E533="","세부유형 누락; ",IF(AND(업무일지!$D533&lt;&gt;"",COUNTIFS(코드설정!$A$5:$A$21,업무일지!$D533,코드설정!$B$5:$B$21,업무일지!$E533)=0),"세부유형이 직무구분과 불일치; ",""))&amp;IF(AND(업무일지!$F533&lt;&gt;"",COUNTIF(사건마스터!$A$5:$A$64,업무일지!$F533)=0),"미등록 사건번호; ","")&amp;IF(AND(업무일지!$F533="",업무일지!$H533=""),"사건번호·업무명 모두 없음; ","")&amp;IF(업무일지!$J533="","담당자 없음; ","")&amp;IF(COUNTIF(코드설정!$F$5:$F$7,업무일지!$AG533)=0,"진행상태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"&amp;업무일지!$H534)</f>
        <v/>
      </c>
      <c r="D566" s="45">
        <f>IF(NOT(COUNTBLANK(업무일지!$B534:$AH534)&lt;33),"",TRIM(IF(업무일지!$B534="","시작일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","")&amp;IF(COUNTIF(코드설정!$H$5:$H$7,업무일지!$D534)=0,"직무구분 누락; ","")&amp;IF(업무일지!$E534="","세부유형 누락; ",IF(AND(업무일지!$D534&lt;&gt;"",COUNTIFS(코드설정!$A$5:$A$21,업무일지!$D534,코드설정!$B$5:$B$21,업무일지!$E534)=0),"세부유형이 직무구분과 불일치; ",""))&amp;IF(AND(업무일지!$F534&lt;&gt;"",COUNTIF(사건마스터!$A$5:$A$64,업무일지!$F534)=0),"미등록 사건번호; ","")&amp;IF(AND(업무일지!$F534="",업무일지!$H534=""),"사건번호·업무명 모두 없음; ","")&amp;IF(업무일지!$J534="","담당자 없음; ","")&amp;IF(COUNTIF(코드설정!$F$5:$F$7,업무일지!$AG534)=0,"진행상태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"&amp;업무일지!$H535)</f>
        <v/>
      </c>
      <c r="D567" s="45">
        <f>IF(NOT(COUNTBLANK(업무일지!$B535:$AH535)&lt;33),"",TRIM(IF(업무일지!$B535="","시작일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","")&amp;IF(COUNTIF(코드설정!$H$5:$H$7,업무일지!$D535)=0,"직무구분 누락; ","")&amp;IF(업무일지!$E535="","세부유형 누락; ",IF(AND(업무일지!$D535&lt;&gt;"",COUNTIFS(코드설정!$A$5:$A$21,업무일지!$D535,코드설정!$B$5:$B$21,업무일지!$E535)=0),"세부유형이 직무구분과 불일치; ",""))&amp;IF(AND(업무일지!$F535&lt;&gt;"",COUNTIF(사건마스터!$A$5:$A$64,업무일지!$F535)=0),"미등록 사건번호; ","")&amp;IF(AND(업무일지!$F535="",업무일지!$H535=""),"사건번호·업무명 모두 없음; ","")&amp;IF(업무일지!$J535="","담당자 없음; ","")&amp;IF(COUNTIF(코드설정!$F$5:$F$7,업무일지!$AG535)=0,"진행상태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"&amp;업무일지!$H536)</f>
        <v/>
      </c>
      <c r="D568" s="45">
        <f>IF(NOT(COUNTBLANK(업무일지!$B536:$AH536)&lt;33),"",TRIM(IF(업무일지!$B536="","시작일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","")&amp;IF(COUNTIF(코드설정!$H$5:$H$7,업무일지!$D536)=0,"직무구분 누락; ","")&amp;IF(업무일지!$E536="","세부유형 누락; ",IF(AND(업무일지!$D536&lt;&gt;"",COUNTIFS(코드설정!$A$5:$A$21,업무일지!$D536,코드설정!$B$5:$B$21,업무일지!$E536)=0),"세부유형이 직무구분과 불일치; ",""))&amp;IF(AND(업무일지!$F536&lt;&gt;"",COUNTIF(사건마스터!$A$5:$A$64,업무일지!$F536)=0),"미등록 사건번호; ","")&amp;IF(AND(업무일지!$F536="",업무일지!$H536=""),"사건번호·업무명 모두 없음; ","")&amp;IF(업무일지!$J536="","담당자 없음; ","")&amp;IF(COUNTIF(코드설정!$F$5:$F$7,업무일지!$AG536)=0,"진행상태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"&amp;업무일지!$H537)</f>
        <v/>
      </c>
      <c r="D569" s="45">
        <f>IF(NOT(COUNTBLANK(업무일지!$B537:$AH537)&lt;33),"",TRIM(IF(업무일지!$B537="","시작일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","")&amp;IF(COUNTIF(코드설정!$H$5:$H$7,업무일지!$D537)=0,"직무구분 누락; ","")&amp;IF(업무일지!$E537="","세부유형 누락; ",IF(AND(업무일지!$D537&lt;&gt;"",COUNTIFS(코드설정!$A$5:$A$21,업무일지!$D537,코드설정!$B$5:$B$21,업무일지!$E537)=0),"세부유형이 직무구분과 불일치; ",""))&amp;IF(AND(업무일지!$F537&lt;&gt;"",COUNTIF(사건마스터!$A$5:$A$64,업무일지!$F537)=0),"미등록 사건번호; ","")&amp;IF(AND(업무일지!$F537="",업무일지!$H537=""),"사건번호·업무명 모두 없음; ","")&amp;IF(업무일지!$J537="","담당자 없음; ","")&amp;IF(COUNTIF(코드설정!$F$5:$F$7,업무일지!$AG537)=0,"진행상태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"&amp;업무일지!$H538)</f>
        <v/>
      </c>
      <c r="D570" s="45">
        <f>IF(NOT(COUNTBLANK(업무일지!$B538:$AH538)&lt;33),"",TRIM(IF(업무일지!$B538="","시작일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","")&amp;IF(COUNTIF(코드설정!$H$5:$H$7,업무일지!$D538)=0,"직무구분 누락; ","")&amp;IF(업무일지!$E538="","세부유형 누락; ",IF(AND(업무일지!$D538&lt;&gt;"",COUNTIFS(코드설정!$A$5:$A$21,업무일지!$D538,코드설정!$B$5:$B$21,업무일지!$E538)=0),"세부유형이 직무구분과 불일치; ",""))&amp;IF(AND(업무일지!$F538&lt;&gt;"",COUNTIF(사건마스터!$A$5:$A$64,업무일지!$F538)=0),"미등록 사건번호; ","")&amp;IF(AND(업무일지!$F538="",업무일지!$H538=""),"사건번호·업무명 모두 없음; ","")&amp;IF(업무일지!$J538="","담당자 없음; ","")&amp;IF(COUNTIF(코드설정!$F$5:$F$7,업무일지!$AG538)=0,"진행상태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"&amp;업무일지!$H539)</f>
        <v/>
      </c>
      <c r="D571" s="45">
        <f>IF(NOT(COUNTBLANK(업무일지!$B539:$AH539)&lt;33),"",TRIM(IF(업무일지!$B539="","시작일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","")&amp;IF(COUNTIF(코드설정!$H$5:$H$7,업무일지!$D539)=0,"직무구분 누락; ","")&amp;IF(업무일지!$E539="","세부유형 누락; ",IF(AND(업무일지!$D539&lt;&gt;"",COUNTIFS(코드설정!$A$5:$A$21,업무일지!$D539,코드설정!$B$5:$B$21,업무일지!$E539)=0),"세부유형이 직무구분과 불일치; ",""))&amp;IF(AND(업무일지!$F539&lt;&gt;"",COUNTIF(사건마스터!$A$5:$A$64,업무일지!$F539)=0),"미등록 사건번호; ","")&amp;IF(AND(업무일지!$F539="",업무일지!$H539=""),"사건번호·업무명 모두 없음; ","")&amp;IF(업무일지!$J539="","담당자 없음; ","")&amp;IF(COUNTIF(코드설정!$F$5:$F$7,업무일지!$AG539)=0,"진행상태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"&amp;업무일지!$H540)</f>
        <v/>
      </c>
      <c r="D572" s="45">
        <f>IF(NOT(COUNTBLANK(업무일지!$B540:$AH540)&lt;33),"",TRIM(IF(업무일지!$B540="","시작일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","")&amp;IF(COUNTIF(코드설정!$H$5:$H$7,업무일지!$D540)=0,"직무구분 누락; ","")&amp;IF(업무일지!$E540="","세부유형 누락; ",IF(AND(업무일지!$D540&lt;&gt;"",COUNTIFS(코드설정!$A$5:$A$21,업무일지!$D540,코드설정!$B$5:$B$21,업무일지!$E540)=0),"세부유형이 직무구분과 불일치; ",""))&amp;IF(AND(업무일지!$F540&lt;&gt;"",COUNTIF(사건마스터!$A$5:$A$64,업무일지!$F540)=0),"미등록 사건번호; ","")&amp;IF(AND(업무일지!$F540="",업무일지!$H540=""),"사건번호·업무명 모두 없음; ","")&amp;IF(업무일지!$J540="","담당자 없음; ","")&amp;IF(COUNTIF(코드설정!$F$5:$F$7,업무일지!$AG540)=0,"진행상태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"&amp;업무일지!$H541)</f>
        <v/>
      </c>
      <c r="D573" s="45">
        <f>IF(NOT(COUNTBLANK(업무일지!$B541:$AH541)&lt;33),"",TRIM(IF(업무일지!$B541="","시작일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","")&amp;IF(COUNTIF(코드설정!$H$5:$H$7,업무일지!$D541)=0,"직무구분 누락; ","")&amp;IF(업무일지!$E541="","세부유형 누락; ",IF(AND(업무일지!$D541&lt;&gt;"",COUNTIFS(코드설정!$A$5:$A$21,업무일지!$D541,코드설정!$B$5:$B$21,업무일지!$E541)=0),"세부유형이 직무구분과 불일치; ",""))&amp;IF(AND(업무일지!$F541&lt;&gt;"",COUNTIF(사건마스터!$A$5:$A$64,업무일지!$F541)=0),"미등록 사건번호; ","")&amp;IF(AND(업무일지!$F541="",업무일지!$H541=""),"사건번호·업무명 모두 없음; ","")&amp;IF(업무일지!$J541="","담당자 없음; ","")&amp;IF(COUNTIF(코드설정!$F$5:$F$7,업무일지!$AG541)=0,"진행상태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"&amp;업무일지!$H542)</f>
        <v/>
      </c>
      <c r="D574" s="45">
        <f>IF(NOT(COUNTBLANK(업무일지!$B542:$AH542)&lt;33),"",TRIM(IF(업무일지!$B542="","시작일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","")&amp;IF(COUNTIF(코드설정!$H$5:$H$7,업무일지!$D542)=0,"직무구분 누락; ","")&amp;IF(업무일지!$E542="","세부유형 누락; ",IF(AND(업무일지!$D542&lt;&gt;"",COUNTIFS(코드설정!$A$5:$A$21,업무일지!$D542,코드설정!$B$5:$B$21,업무일지!$E542)=0),"세부유형이 직무구분과 불일치; ",""))&amp;IF(AND(업무일지!$F542&lt;&gt;"",COUNTIF(사건마스터!$A$5:$A$64,업무일지!$F542)=0),"미등록 사건번호; ","")&amp;IF(AND(업무일지!$F542="",업무일지!$H542=""),"사건번호·업무명 모두 없음; ","")&amp;IF(업무일지!$J542="","담당자 없음; ","")&amp;IF(COUNTIF(코드설정!$F$5:$F$7,업무일지!$AG542)=0,"진행상태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"&amp;업무일지!$H543)</f>
        <v/>
      </c>
      <c r="D575" s="45">
        <f>IF(NOT(COUNTBLANK(업무일지!$B543:$AH543)&lt;33),"",TRIM(IF(업무일지!$B543="","시작일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","")&amp;IF(COUNTIF(코드설정!$H$5:$H$7,업무일지!$D543)=0,"직무구분 누락; ","")&amp;IF(업무일지!$E543="","세부유형 누락; ",IF(AND(업무일지!$D543&lt;&gt;"",COUNTIFS(코드설정!$A$5:$A$21,업무일지!$D543,코드설정!$B$5:$B$21,업무일지!$E543)=0),"세부유형이 직무구분과 불일치; ",""))&amp;IF(AND(업무일지!$F543&lt;&gt;"",COUNTIF(사건마스터!$A$5:$A$64,업무일지!$F543)=0),"미등록 사건번호; ","")&amp;IF(AND(업무일지!$F543="",업무일지!$H543=""),"사건번호·업무명 모두 없음; ","")&amp;IF(업무일지!$J543="","담당자 없음; ","")&amp;IF(COUNTIF(코드설정!$F$5:$F$7,업무일지!$AG543)=0,"진행상태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"&amp;업무일지!$H544)</f>
        <v/>
      </c>
      <c r="D576" s="45">
        <f>IF(NOT(COUNTBLANK(업무일지!$B544:$AH544)&lt;33),"",TRIM(IF(업무일지!$B544="","시작일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","")&amp;IF(COUNTIF(코드설정!$H$5:$H$7,업무일지!$D544)=0,"직무구분 누락; ","")&amp;IF(업무일지!$E544="","세부유형 누락; ",IF(AND(업무일지!$D544&lt;&gt;"",COUNTIFS(코드설정!$A$5:$A$21,업무일지!$D544,코드설정!$B$5:$B$21,업무일지!$E544)=0),"세부유형이 직무구분과 불일치; ",""))&amp;IF(AND(업무일지!$F544&lt;&gt;"",COUNTIF(사건마스터!$A$5:$A$64,업무일지!$F544)=0),"미등록 사건번호; ","")&amp;IF(AND(업무일지!$F544="",업무일지!$H544=""),"사건번호·업무명 모두 없음; ","")&amp;IF(업무일지!$J544="","담당자 없음; ","")&amp;IF(COUNTIF(코드설정!$F$5:$F$7,업무일지!$AG544)=0,"진행상태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"&amp;업무일지!$H545)</f>
        <v/>
      </c>
      <c r="D577" s="45">
        <f>IF(NOT(COUNTBLANK(업무일지!$B545:$AH545)&lt;33),"",TRIM(IF(업무일지!$B545="","시작일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","")&amp;IF(COUNTIF(코드설정!$H$5:$H$7,업무일지!$D545)=0,"직무구분 누락; ","")&amp;IF(업무일지!$E545="","세부유형 누락; ",IF(AND(업무일지!$D545&lt;&gt;"",COUNTIFS(코드설정!$A$5:$A$21,업무일지!$D545,코드설정!$B$5:$B$21,업무일지!$E545)=0),"세부유형이 직무구분과 불일치; ",""))&amp;IF(AND(업무일지!$F545&lt;&gt;"",COUNTIF(사건마스터!$A$5:$A$64,업무일지!$F545)=0),"미등록 사건번호; ","")&amp;IF(AND(업무일지!$F545="",업무일지!$H545=""),"사건번호·업무명 모두 없음; ","")&amp;IF(업무일지!$J545="","담당자 없음; ","")&amp;IF(COUNTIF(코드설정!$F$5:$F$7,업무일지!$AG545)=0,"진행상태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"&amp;업무일지!$H546)</f>
        <v/>
      </c>
      <c r="D578" s="45">
        <f>IF(NOT(COUNTBLANK(업무일지!$B546:$AH546)&lt;33),"",TRIM(IF(업무일지!$B546="","시작일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","")&amp;IF(COUNTIF(코드설정!$H$5:$H$7,업무일지!$D546)=0,"직무구분 누락; ","")&amp;IF(업무일지!$E546="","세부유형 누락; ",IF(AND(업무일지!$D546&lt;&gt;"",COUNTIFS(코드설정!$A$5:$A$21,업무일지!$D546,코드설정!$B$5:$B$21,업무일지!$E546)=0),"세부유형이 직무구분과 불일치; ",""))&amp;IF(AND(업무일지!$F546&lt;&gt;"",COUNTIF(사건마스터!$A$5:$A$64,업무일지!$F546)=0),"미등록 사건번호; ","")&amp;IF(AND(업무일지!$F546="",업무일지!$H546=""),"사건번호·업무명 모두 없음; ","")&amp;IF(업무일지!$J546="","담당자 없음; ","")&amp;IF(COUNTIF(코드설정!$F$5:$F$7,업무일지!$AG546)=0,"진행상태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"&amp;업무일지!$H547)</f>
        <v/>
      </c>
      <c r="D579" s="45">
        <f>IF(NOT(COUNTBLANK(업무일지!$B547:$AH547)&lt;33),"",TRIM(IF(업무일지!$B547="","시작일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","")&amp;IF(COUNTIF(코드설정!$H$5:$H$7,업무일지!$D547)=0,"직무구분 누락; ","")&amp;IF(업무일지!$E547="","세부유형 누락; ",IF(AND(업무일지!$D547&lt;&gt;"",COUNTIFS(코드설정!$A$5:$A$21,업무일지!$D547,코드설정!$B$5:$B$21,업무일지!$E547)=0),"세부유형이 직무구분과 불일치; ",""))&amp;IF(AND(업무일지!$F547&lt;&gt;"",COUNTIF(사건마스터!$A$5:$A$64,업무일지!$F547)=0),"미등록 사건번호; ","")&amp;IF(AND(업무일지!$F547="",업무일지!$H547=""),"사건번호·업무명 모두 없음; ","")&amp;IF(업무일지!$J547="","담당자 없음; ","")&amp;IF(COUNTIF(코드설정!$F$5:$F$7,업무일지!$AG547)=0,"진행상태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"&amp;업무일지!$H548)</f>
        <v/>
      </c>
      <c r="D580" s="45">
        <f>IF(NOT(COUNTBLANK(업무일지!$B548:$AH548)&lt;33),"",TRIM(IF(업무일지!$B548="","시작일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","")&amp;IF(COUNTIF(코드설정!$H$5:$H$7,업무일지!$D548)=0,"직무구분 누락; ","")&amp;IF(업무일지!$E548="","세부유형 누락; ",IF(AND(업무일지!$D548&lt;&gt;"",COUNTIFS(코드설정!$A$5:$A$21,업무일지!$D548,코드설정!$B$5:$B$21,업무일지!$E548)=0),"세부유형이 직무구분과 불일치; ",""))&amp;IF(AND(업무일지!$F548&lt;&gt;"",COUNTIF(사건마스터!$A$5:$A$64,업무일지!$F548)=0),"미등록 사건번호; ","")&amp;IF(AND(업무일지!$F548="",업무일지!$H548=""),"사건번호·업무명 모두 없음; ","")&amp;IF(업무일지!$J548="","담당자 없음; ","")&amp;IF(COUNTIF(코드설정!$F$5:$F$7,업무일지!$AG548)=0,"진행상태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"&amp;업무일지!$H549)</f>
        <v/>
      </c>
      <c r="D581" s="45">
        <f>IF(NOT(COUNTBLANK(업무일지!$B549:$AH549)&lt;33),"",TRIM(IF(업무일지!$B549="","시작일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","")&amp;IF(COUNTIF(코드설정!$H$5:$H$7,업무일지!$D549)=0,"직무구분 누락; ","")&amp;IF(업무일지!$E549="","세부유형 누락; ",IF(AND(업무일지!$D549&lt;&gt;"",COUNTIFS(코드설정!$A$5:$A$21,업무일지!$D549,코드설정!$B$5:$B$21,업무일지!$E549)=0),"세부유형이 직무구분과 불일치; ",""))&amp;IF(AND(업무일지!$F549&lt;&gt;"",COUNTIF(사건마스터!$A$5:$A$64,업무일지!$F549)=0),"미등록 사건번호; ","")&amp;IF(AND(업무일지!$F549="",업무일지!$H549=""),"사건번호·업무명 모두 없음; ","")&amp;IF(업무일지!$J549="","담당자 없음; ","")&amp;IF(COUNTIF(코드설정!$F$5:$F$7,업무일지!$AG549)=0,"진행상태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"&amp;업무일지!$H550)</f>
        <v/>
      </c>
      <c r="D582" s="45">
        <f>IF(NOT(COUNTBLANK(업무일지!$B550:$AH550)&lt;33),"",TRIM(IF(업무일지!$B550="","시작일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","")&amp;IF(COUNTIF(코드설정!$H$5:$H$7,업무일지!$D550)=0,"직무구분 누락; ","")&amp;IF(업무일지!$E550="","세부유형 누락; ",IF(AND(업무일지!$D550&lt;&gt;"",COUNTIFS(코드설정!$A$5:$A$21,업무일지!$D550,코드설정!$B$5:$B$21,업무일지!$E550)=0),"세부유형이 직무구분과 불일치; ",""))&amp;IF(AND(업무일지!$F550&lt;&gt;"",COUNTIF(사건마스터!$A$5:$A$64,업무일지!$F550)=0),"미등록 사건번호; ","")&amp;IF(AND(업무일지!$F550="",업무일지!$H550=""),"사건번호·업무명 모두 없음; ","")&amp;IF(업무일지!$J550="","담당자 없음; ","")&amp;IF(COUNTIF(코드설정!$F$5:$F$7,업무일지!$AG550)=0,"진행상태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"&amp;업무일지!$H551)</f>
        <v/>
      </c>
      <c r="D583" s="45">
        <f>IF(NOT(COUNTBLANK(업무일지!$B551:$AH551)&lt;33),"",TRIM(IF(업무일지!$B551="","시작일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","")&amp;IF(COUNTIF(코드설정!$H$5:$H$7,업무일지!$D551)=0,"직무구분 누락; ","")&amp;IF(업무일지!$E551="","세부유형 누락; ",IF(AND(업무일지!$D551&lt;&gt;"",COUNTIFS(코드설정!$A$5:$A$21,업무일지!$D551,코드설정!$B$5:$B$21,업무일지!$E551)=0),"세부유형이 직무구분과 불일치; ",""))&amp;IF(AND(업무일지!$F551&lt;&gt;"",COUNTIF(사건마스터!$A$5:$A$64,업무일지!$F551)=0),"미등록 사건번호; ","")&amp;IF(AND(업무일지!$F551="",업무일지!$H551=""),"사건번호·업무명 모두 없음; ","")&amp;IF(업무일지!$J551="","담당자 없음; ","")&amp;IF(COUNTIF(코드설정!$F$5:$F$7,업무일지!$AG551)=0,"진행상태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"&amp;업무일지!$H552)</f>
        <v/>
      </c>
      <c r="D584" s="45">
        <f>IF(NOT(COUNTBLANK(업무일지!$B552:$AH552)&lt;33),"",TRIM(IF(업무일지!$B552="","시작일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","")&amp;IF(COUNTIF(코드설정!$H$5:$H$7,업무일지!$D552)=0,"직무구분 누락; ","")&amp;IF(업무일지!$E552="","세부유형 누락; ",IF(AND(업무일지!$D552&lt;&gt;"",COUNTIFS(코드설정!$A$5:$A$21,업무일지!$D552,코드설정!$B$5:$B$21,업무일지!$E552)=0),"세부유형이 직무구분과 불일치; ",""))&amp;IF(AND(업무일지!$F552&lt;&gt;"",COUNTIF(사건마스터!$A$5:$A$64,업무일지!$F552)=0),"미등록 사건번호; ","")&amp;IF(AND(업무일지!$F552="",업무일지!$H552=""),"사건번호·업무명 모두 없음; ","")&amp;IF(업무일지!$J552="","담당자 없음; ","")&amp;IF(COUNTIF(코드설정!$F$5:$F$7,업무일지!$AG552)=0,"진행상태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"&amp;업무일지!$H553)</f>
        <v/>
      </c>
      <c r="D585" s="45">
        <f>IF(NOT(COUNTBLANK(업무일지!$B553:$AH553)&lt;33),"",TRIM(IF(업무일지!$B553="","시작일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","")&amp;IF(COUNTIF(코드설정!$H$5:$H$7,업무일지!$D553)=0,"직무구분 누락; ","")&amp;IF(업무일지!$E553="","세부유형 누락; ",IF(AND(업무일지!$D553&lt;&gt;"",COUNTIFS(코드설정!$A$5:$A$21,업무일지!$D553,코드설정!$B$5:$B$21,업무일지!$E553)=0),"세부유형이 직무구분과 불일치; ",""))&amp;IF(AND(업무일지!$F553&lt;&gt;"",COUNTIF(사건마스터!$A$5:$A$64,업무일지!$F553)=0),"미등록 사건번호; ","")&amp;IF(AND(업무일지!$F553="",업무일지!$H553=""),"사건번호·업무명 모두 없음; ","")&amp;IF(업무일지!$J553="","담당자 없음; ","")&amp;IF(COUNTIF(코드설정!$F$5:$F$7,업무일지!$AG553)=0,"진행상태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"&amp;업무일지!$H554)</f>
        <v/>
      </c>
      <c r="D586" s="45">
        <f>IF(NOT(COUNTBLANK(업무일지!$B554:$AH554)&lt;33),"",TRIM(IF(업무일지!$B554="","시작일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","")&amp;IF(COUNTIF(코드설정!$H$5:$H$7,업무일지!$D554)=0,"직무구분 누락; ","")&amp;IF(업무일지!$E554="","세부유형 누락; ",IF(AND(업무일지!$D554&lt;&gt;"",COUNTIFS(코드설정!$A$5:$A$21,업무일지!$D554,코드설정!$B$5:$B$21,업무일지!$E554)=0),"세부유형이 직무구분과 불일치; ",""))&amp;IF(AND(업무일지!$F554&lt;&gt;"",COUNTIF(사건마스터!$A$5:$A$64,업무일지!$F554)=0),"미등록 사건번호; ","")&amp;IF(AND(업무일지!$F554="",업무일지!$H554=""),"사건번호·업무명 모두 없음; ","")&amp;IF(업무일지!$J554="","담당자 없음; ","")&amp;IF(COUNTIF(코드설정!$F$5:$F$7,업무일지!$AG554)=0,"진행상태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"&amp;업무일지!$H555)</f>
        <v/>
      </c>
      <c r="D587" s="45">
        <f>IF(NOT(COUNTBLANK(업무일지!$B555:$AH555)&lt;33),"",TRIM(IF(업무일지!$B555="","시작일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","")&amp;IF(COUNTIF(코드설정!$H$5:$H$7,업무일지!$D555)=0,"직무구분 누락; ","")&amp;IF(업무일지!$E555="","세부유형 누락; ",IF(AND(업무일지!$D555&lt;&gt;"",COUNTIFS(코드설정!$A$5:$A$21,업무일지!$D555,코드설정!$B$5:$B$21,업무일지!$E555)=0),"세부유형이 직무구분과 불일치; ",""))&amp;IF(AND(업무일지!$F555&lt;&gt;"",COUNTIF(사건마스터!$A$5:$A$64,업무일지!$F555)=0),"미등록 사건번호; ","")&amp;IF(AND(업무일지!$F555="",업무일지!$H555=""),"사건번호·업무명 모두 없음; ","")&amp;IF(업무일지!$J555="","담당자 없음; ","")&amp;IF(COUNTIF(코드설정!$F$5:$F$7,업무일지!$AG555)=0,"진행상태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"&amp;업무일지!$H556)</f>
        <v/>
      </c>
      <c r="D588" s="45">
        <f>IF(NOT(COUNTBLANK(업무일지!$B556:$AH556)&lt;33),"",TRIM(IF(업무일지!$B556="","시작일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","")&amp;IF(COUNTIF(코드설정!$H$5:$H$7,업무일지!$D556)=0,"직무구분 누락; ","")&amp;IF(업무일지!$E556="","세부유형 누락; ",IF(AND(업무일지!$D556&lt;&gt;"",COUNTIFS(코드설정!$A$5:$A$21,업무일지!$D556,코드설정!$B$5:$B$21,업무일지!$E556)=0),"세부유형이 직무구분과 불일치; ",""))&amp;IF(AND(업무일지!$F556&lt;&gt;"",COUNTIF(사건마스터!$A$5:$A$64,업무일지!$F556)=0),"미등록 사건번호; ","")&amp;IF(AND(업무일지!$F556="",업무일지!$H556=""),"사건번호·업무명 모두 없음; ","")&amp;IF(업무일지!$J556="","담당자 없음; ","")&amp;IF(COUNTIF(코드설정!$F$5:$F$7,업무일지!$AG556)=0,"진행상태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"&amp;업무일지!$H557)</f>
        <v/>
      </c>
      <c r="D589" s="45">
        <f>IF(NOT(COUNTBLANK(업무일지!$B557:$AH557)&lt;33),"",TRIM(IF(업무일지!$B557="","시작일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","")&amp;IF(COUNTIF(코드설정!$H$5:$H$7,업무일지!$D557)=0,"직무구분 누락; ","")&amp;IF(업무일지!$E557="","세부유형 누락; ",IF(AND(업무일지!$D557&lt;&gt;"",COUNTIFS(코드설정!$A$5:$A$21,업무일지!$D557,코드설정!$B$5:$B$21,업무일지!$E557)=0),"세부유형이 직무구분과 불일치; ",""))&amp;IF(AND(업무일지!$F557&lt;&gt;"",COUNTIF(사건마스터!$A$5:$A$64,업무일지!$F557)=0),"미등록 사건번호; ","")&amp;IF(AND(업무일지!$F557="",업무일지!$H557=""),"사건번호·업무명 모두 없음; ","")&amp;IF(업무일지!$J557="","담당자 없음; ","")&amp;IF(COUNTIF(코드설정!$F$5:$F$7,업무일지!$AG557)=0,"진행상태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"&amp;업무일지!$H558)</f>
        <v/>
      </c>
      <c r="D590" s="45">
        <f>IF(NOT(COUNTBLANK(업무일지!$B558:$AH558)&lt;33),"",TRIM(IF(업무일지!$B558="","시작일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","")&amp;IF(COUNTIF(코드설정!$H$5:$H$7,업무일지!$D558)=0,"직무구분 누락; ","")&amp;IF(업무일지!$E558="","세부유형 누락; ",IF(AND(업무일지!$D558&lt;&gt;"",COUNTIFS(코드설정!$A$5:$A$21,업무일지!$D558,코드설정!$B$5:$B$21,업무일지!$E558)=0),"세부유형이 직무구분과 불일치; ",""))&amp;IF(AND(업무일지!$F558&lt;&gt;"",COUNTIF(사건마스터!$A$5:$A$64,업무일지!$F558)=0),"미등록 사건번호; ","")&amp;IF(AND(업무일지!$F558="",업무일지!$H558=""),"사건번호·업무명 모두 없음; ","")&amp;IF(업무일지!$J558="","담당자 없음; ","")&amp;IF(COUNTIF(코드설정!$F$5:$F$7,업무일지!$AG558)=0,"진행상태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"&amp;업무일지!$H559)</f>
        <v/>
      </c>
      <c r="D591" s="45">
        <f>IF(NOT(COUNTBLANK(업무일지!$B559:$AH559)&lt;33),"",TRIM(IF(업무일지!$B559="","시작일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","")&amp;IF(COUNTIF(코드설정!$H$5:$H$7,업무일지!$D559)=0,"직무구분 누락; ","")&amp;IF(업무일지!$E559="","세부유형 누락; ",IF(AND(업무일지!$D559&lt;&gt;"",COUNTIFS(코드설정!$A$5:$A$21,업무일지!$D559,코드설정!$B$5:$B$21,업무일지!$E559)=0),"세부유형이 직무구분과 불일치; ",""))&amp;IF(AND(업무일지!$F559&lt;&gt;"",COUNTIF(사건마스터!$A$5:$A$64,업무일지!$F559)=0),"미등록 사건번호; ","")&amp;IF(AND(업무일지!$F559="",업무일지!$H559=""),"사건번호·업무명 모두 없음; ","")&amp;IF(업무일지!$J559="","담당자 없음; ","")&amp;IF(COUNTIF(코드설정!$F$5:$F$7,업무일지!$AG559)=0,"진행상태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"&amp;업무일지!$H560)</f>
        <v/>
      </c>
      <c r="D592" s="45">
        <f>IF(NOT(COUNTBLANK(업무일지!$B560:$AH560)&lt;33),"",TRIM(IF(업무일지!$B560="","시작일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","")&amp;IF(COUNTIF(코드설정!$H$5:$H$7,업무일지!$D560)=0,"직무구분 누락; ","")&amp;IF(업무일지!$E560="","세부유형 누락; ",IF(AND(업무일지!$D560&lt;&gt;"",COUNTIFS(코드설정!$A$5:$A$21,업무일지!$D560,코드설정!$B$5:$B$21,업무일지!$E560)=0),"세부유형이 직무구분과 불일치; ",""))&amp;IF(AND(업무일지!$F560&lt;&gt;"",COUNTIF(사건마스터!$A$5:$A$64,업무일지!$F560)=0),"미등록 사건번호; ","")&amp;IF(AND(업무일지!$F560="",업무일지!$H560=""),"사건번호·업무명 모두 없음; ","")&amp;IF(업무일지!$J560="","담당자 없음; ","")&amp;IF(COUNTIF(코드설정!$F$5:$F$7,업무일지!$AG560)=0,"진행상태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"&amp;업무일지!$H561)</f>
        <v/>
      </c>
      <c r="D593" s="45">
        <f>IF(NOT(COUNTBLANK(업무일지!$B561:$AH561)&lt;33),"",TRIM(IF(업무일지!$B561="","시작일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","")&amp;IF(COUNTIF(코드설정!$H$5:$H$7,업무일지!$D561)=0,"직무구분 누락; ","")&amp;IF(업무일지!$E561="","세부유형 누락; ",IF(AND(업무일지!$D561&lt;&gt;"",COUNTIFS(코드설정!$A$5:$A$21,업무일지!$D561,코드설정!$B$5:$B$21,업무일지!$E561)=0),"세부유형이 직무구분과 불일치; ",""))&amp;IF(AND(업무일지!$F561&lt;&gt;"",COUNTIF(사건마스터!$A$5:$A$64,업무일지!$F561)=0),"미등록 사건번호; ","")&amp;IF(AND(업무일지!$F561="",업무일지!$H561=""),"사건번호·업무명 모두 없음; ","")&amp;IF(업무일지!$J561="","담당자 없음; ","")&amp;IF(COUNTIF(코드설정!$F$5:$F$7,업무일지!$AG561)=0,"진행상태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"&amp;업무일지!$H562)</f>
        <v/>
      </c>
      <c r="D594" s="45">
        <f>IF(NOT(COUNTBLANK(업무일지!$B562:$AH562)&lt;33),"",TRIM(IF(업무일지!$B562="","시작일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","")&amp;IF(COUNTIF(코드설정!$H$5:$H$7,업무일지!$D562)=0,"직무구분 누락; ","")&amp;IF(업무일지!$E562="","세부유형 누락; ",IF(AND(업무일지!$D562&lt;&gt;"",COUNTIFS(코드설정!$A$5:$A$21,업무일지!$D562,코드설정!$B$5:$B$21,업무일지!$E562)=0),"세부유형이 직무구분과 불일치; ",""))&amp;IF(AND(업무일지!$F562&lt;&gt;"",COUNTIF(사건마스터!$A$5:$A$64,업무일지!$F562)=0),"미등록 사건번호; ","")&amp;IF(AND(업무일지!$F562="",업무일지!$H562=""),"사건번호·업무명 모두 없음; ","")&amp;IF(업무일지!$J562="","담당자 없음; ","")&amp;IF(COUNTIF(코드설정!$F$5:$F$7,업무일지!$AG562)=0,"진행상태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"&amp;업무일지!$H563)</f>
        <v/>
      </c>
      <c r="D595" s="45">
        <f>IF(NOT(COUNTBLANK(업무일지!$B563:$AH563)&lt;33),"",TRIM(IF(업무일지!$B563="","시작일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","")&amp;IF(COUNTIF(코드설정!$H$5:$H$7,업무일지!$D563)=0,"직무구분 누락; ","")&amp;IF(업무일지!$E563="","세부유형 누락; ",IF(AND(업무일지!$D563&lt;&gt;"",COUNTIFS(코드설정!$A$5:$A$21,업무일지!$D563,코드설정!$B$5:$B$21,업무일지!$E563)=0),"세부유형이 직무구분과 불일치; ",""))&amp;IF(AND(업무일지!$F563&lt;&gt;"",COUNTIF(사건마스터!$A$5:$A$64,업무일지!$F563)=0),"미등록 사건번호; ","")&amp;IF(AND(업무일지!$F563="",업무일지!$H563=""),"사건번호·업무명 모두 없음; ","")&amp;IF(업무일지!$J563="","담당자 없음; ","")&amp;IF(COUNTIF(코드설정!$F$5:$F$7,업무일지!$AG563)=0,"진행상태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"&amp;업무일지!$H564)</f>
        <v/>
      </c>
      <c r="D596" s="45">
        <f>IF(NOT(COUNTBLANK(업무일지!$B564:$AH564)&lt;33),"",TRIM(IF(업무일지!$B564="","시작일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","")&amp;IF(COUNTIF(코드설정!$H$5:$H$7,업무일지!$D564)=0,"직무구분 누락; ","")&amp;IF(업무일지!$E564="","세부유형 누락; ",IF(AND(업무일지!$D564&lt;&gt;"",COUNTIFS(코드설정!$A$5:$A$21,업무일지!$D564,코드설정!$B$5:$B$21,업무일지!$E564)=0),"세부유형이 직무구분과 불일치; ",""))&amp;IF(AND(업무일지!$F564&lt;&gt;"",COUNTIF(사건마스터!$A$5:$A$64,업무일지!$F564)=0),"미등록 사건번호; ","")&amp;IF(AND(업무일지!$F564="",업무일지!$H564=""),"사건번호·업무명 모두 없음; ","")&amp;IF(업무일지!$J564="","담당자 없음; ","")&amp;IF(COUNTIF(코드설정!$F$5:$F$7,업무일지!$AG564)=0,"진행상태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"&amp;업무일지!$H565)</f>
        <v/>
      </c>
      <c r="D597" s="45">
        <f>IF(NOT(COUNTBLANK(업무일지!$B565:$AH565)&lt;33),"",TRIM(IF(업무일지!$B565="","시작일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","")&amp;IF(COUNTIF(코드설정!$H$5:$H$7,업무일지!$D565)=0,"직무구분 누락; ","")&amp;IF(업무일지!$E565="","세부유형 누락; ",IF(AND(업무일지!$D565&lt;&gt;"",COUNTIFS(코드설정!$A$5:$A$21,업무일지!$D565,코드설정!$B$5:$B$21,업무일지!$E565)=0),"세부유형이 직무구분과 불일치; ",""))&amp;IF(AND(업무일지!$F565&lt;&gt;"",COUNTIF(사건마스터!$A$5:$A$64,업무일지!$F565)=0),"미등록 사건번호; ","")&amp;IF(AND(업무일지!$F565="",업무일지!$H565=""),"사건번호·업무명 모두 없음; ","")&amp;IF(업무일지!$J565="","담당자 없음; ","")&amp;IF(COUNTIF(코드설정!$F$5:$F$7,업무일지!$AG565)=0,"진행상태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"&amp;업무일지!$H566)</f>
        <v/>
      </c>
      <c r="D598" s="45">
        <f>IF(NOT(COUNTBLANK(업무일지!$B566:$AH566)&lt;33),"",TRIM(IF(업무일지!$B566="","시작일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","")&amp;IF(COUNTIF(코드설정!$H$5:$H$7,업무일지!$D566)=0,"직무구분 누락; ","")&amp;IF(업무일지!$E566="","세부유형 누락; ",IF(AND(업무일지!$D566&lt;&gt;"",COUNTIFS(코드설정!$A$5:$A$21,업무일지!$D566,코드설정!$B$5:$B$21,업무일지!$E566)=0),"세부유형이 직무구분과 불일치; ",""))&amp;IF(AND(업무일지!$F566&lt;&gt;"",COUNTIF(사건마스터!$A$5:$A$64,업무일지!$F566)=0),"미등록 사건번호; ","")&amp;IF(AND(업무일지!$F566="",업무일지!$H566=""),"사건번호·업무명 모두 없음; ","")&amp;IF(업무일지!$J566="","담당자 없음; ","")&amp;IF(COUNTIF(코드설정!$F$5:$F$7,업무일지!$AG566)=0,"진행상태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"&amp;업무일지!$H567)</f>
        <v/>
      </c>
      <c r="D599" s="45">
        <f>IF(NOT(COUNTBLANK(업무일지!$B567:$AH567)&lt;33),"",TRIM(IF(업무일지!$B567="","시작일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","")&amp;IF(COUNTIF(코드설정!$H$5:$H$7,업무일지!$D567)=0,"직무구분 누락; ","")&amp;IF(업무일지!$E567="","세부유형 누락; ",IF(AND(업무일지!$D567&lt;&gt;"",COUNTIFS(코드설정!$A$5:$A$21,업무일지!$D567,코드설정!$B$5:$B$21,업무일지!$E567)=0),"세부유형이 직무구분과 불일치; ",""))&amp;IF(AND(업무일지!$F567&lt;&gt;"",COUNTIF(사건마스터!$A$5:$A$64,업무일지!$F567)=0),"미등록 사건번호; ","")&amp;IF(AND(업무일지!$F567="",업무일지!$H567=""),"사건번호·업무명 모두 없음; ","")&amp;IF(업무일지!$J567="","담당자 없음; ","")&amp;IF(COUNTIF(코드설정!$F$5:$F$7,업무일지!$AG567)=0,"진행상태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"&amp;업무일지!$H568)</f>
        <v/>
      </c>
      <c r="D600" s="45">
        <f>IF(NOT(COUNTBLANK(업무일지!$B568:$AH568)&lt;33),"",TRIM(IF(업무일지!$B568="","시작일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","")&amp;IF(COUNTIF(코드설정!$H$5:$H$7,업무일지!$D568)=0,"직무구분 누락; ","")&amp;IF(업무일지!$E568="","세부유형 누락; ",IF(AND(업무일지!$D568&lt;&gt;"",COUNTIFS(코드설정!$A$5:$A$21,업무일지!$D568,코드설정!$B$5:$B$21,업무일지!$E568)=0),"세부유형이 직무구분과 불일치; ",""))&amp;IF(AND(업무일지!$F568&lt;&gt;"",COUNTIF(사건마스터!$A$5:$A$64,업무일지!$F568)=0),"미등록 사건번호; ","")&amp;IF(AND(업무일지!$F568="",업무일지!$H568=""),"사건번호·업무명 모두 없음; ","")&amp;IF(업무일지!$J568="","담당자 없음; ","")&amp;IF(COUNTIF(코드설정!$F$5:$F$7,업무일지!$AG568)=0,"진행상태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"&amp;업무일지!$H569)</f>
        <v/>
      </c>
      <c r="D601" s="45">
        <f>IF(NOT(COUNTBLANK(업무일지!$B569:$AH569)&lt;33),"",TRIM(IF(업무일지!$B569="","시작일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","")&amp;IF(COUNTIF(코드설정!$H$5:$H$7,업무일지!$D569)=0,"직무구분 누락; ","")&amp;IF(업무일지!$E569="","세부유형 누락; ",IF(AND(업무일지!$D569&lt;&gt;"",COUNTIFS(코드설정!$A$5:$A$21,업무일지!$D569,코드설정!$B$5:$B$21,업무일지!$E569)=0),"세부유형이 직무구분과 불일치; ",""))&amp;IF(AND(업무일지!$F569&lt;&gt;"",COUNTIF(사건마스터!$A$5:$A$64,업무일지!$F569)=0),"미등록 사건번호; ","")&amp;IF(AND(업무일지!$F569="",업무일지!$H569=""),"사건번호·업무명 모두 없음; ","")&amp;IF(업무일지!$J569="","담당자 없음; ","")&amp;IF(COUNTIF(코드설정!$F$5:$F$7,업무일지!$AG569)=0,"진행상태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"&amp;업무일지!$H570)</f>
        <v/>
      </c>
      <c r="D602" s="45">
        <f>IF(NOT(COUNTBLANK(업무일지!$B570:$AH570)&lt;33),"",TRIM(IF(업무일지!$B570="","시작일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","")&amp;IF(COUNTIF(코드설정!$H$5:$H$7,업무일지!$D570)=0,"직무구분 누락; ","")&amp;IF(업무일지!$E570="","세부유형 누락; ",IF(AND(업무일지!$D570&lt;&gt;"",COUNTIFS(코드설정!$A$5:$A$21,업무일지!$D570,코드설정!$B$5:$B$21,업무일지!$E570)=0),"세부유형이 직무구분과 불일치; ",""))&amp;IF(AND(업무일지!$F570&lt;&gt;"",COUNTIF(사건마스터!$A$5:$A$64,업무일지!$F570)=0),"미등록 사건번호; ","")&amp;IF(AND(업무일지!$F570="",업무일지!$H570=""),"사건번호·업무명 모두 없음; ","")&amp;IF(업무일지!$J570="","담당자 없음; ","")&amp;IF(COUNTIF(코드설정!$F$5:$F$7,업무일지!$AG570)=0,"진행상태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"&amp;업무일지!$H571)</f>
        <v/>
      </c>
      <c r="D603" s="45">
        <f>IF(NOT(COUNTBLANK(업무일지!$B571:$AH571)&lt;33),"",TRIM(IF(업무일지!$B571="","시작일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","")&amp;IF(COUNTIF(코드설정!$H$5:$H$7,업무일지!$D571)=0,"직무구분 누락; ","")&amp;IF(업무일지!$E571="","세부유형 누락; ",IF(AND(업무일지!$D571&lt;&gt;"",COUNTIFS(코드설정!$A$5:$A$21,업무일지!$D571,코드설정!$B$5:$B$21,업무일지!$E571)=0),"세부유형이 직무구분과 불일치; ",""))&amp;IF(AND(업무일지!$F571&lt;&gt;"",COUNTIF(사건마스터!$A$5:$A$64,업무일지!$F571)=0),"미등록 사건번호; ","")&amp;IF(AND(업무일지!$F571="",업무일지!$H571=""),"사건번호·업무명 모두 없음; ","")&amp;IF(업무일지!$J571="","담당자 없음; ","")&amp;IF(COUNTIF(코드설정!$F$5:$F$7,업무일지!$AG571)=0,"진행상태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"&amp;업무일지!$H572)</f>
        <v/>
      </c>
      <c r="D604" s="45">
        <f>IF(NOT(COUNTBLANK(업무일지!$B572:$AH572)&lt;33),"",TRIM(IF(업무일지!$B572="","시작일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","")&amp;IF(COUNTIF(코드설정!$H$5:$H$7,업무일지!$D572)=0,"직무구분 누락; ","")&amp;IF(업무일지!$E572="","세부유형 누락; ",IF(AND(업무일지!$D572&lt;&gt;"",COUNTIFS(코드설정!$A$5:$A$21,업무일지!$D572,코드설정!$B$5:$B$21,업무일지!$E572)=0),"세부유형이 직무구분과 불일치; ",""))&amp;IF(AND(업무일지!$F572&lt;&gt;"",COUNTIF(사건마스터!$A$5:$A$64,업무일지!$F572)=0),"미등록 사건번호; ","")&amp;IF(AND(업무일지!$F572="",업무일지!$H572=""),"사건번호·업무명 모두 없음; ","")&amp;IF(업무일지!$J572="","담당자 없음; ","")&amp;IF(COUNTIF(코드설정!$F$5:$F$7,업무일지!$AG572)=0,"진행상태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"&amp;업무일지!$H573)</f>
        <v/>
      </c>
      <c r="D605" s="45">
        <f>IF(NOT(COUNTBLANK(업무일지!$B573:$AH573)&lt;33),"",TRIM(IF(업무일지!$B573="","시작일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","")&amp;IF(COUNTIF(코드설정!$H$5:$H$7,업무일지!$D573)=0,"직무구분 누락; ","")&amp;IF(업무일지!$E573="","세부유형 누락; ",IF(AND(업무일지!$D573&lt;&gt;"",COUNTIFS(코드설정!$A$5:$A$21,업무일지!$D573,코드설정!$B$5:$B$21,업무일지!$E573)=0),"세부유형이 직무구분과 불일치; ",""))&amp;IF(AND(업무일지!$F573&lt;&gt;"",COUNTIF(사건마스터!$A$5:$A$64,업무일지!$F573)=0),"미등록 사건번호; ","")&amp;IF(AND(업무일지!$F573="",업무일지!$H573=""),"사건번호·업무명 모두 없음; ","")&amp;IF(업무일지!$J573="","담당자 없음; ","")&amp;IF(COUNTIF(코드설정!$F$5:$F$7,업무일지!$AG573)=0,"진행상태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"&amp;업무일지!$H574)</f>
        <v/>
      </c>
      <c r="D606" s="45">
        <f>IF(NOT(COUNTBLANK(업무일지!$B574:$AH574)&lt;33),"",TRIM(IF(업무일지!$B574="","시작일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","")&amp;IF(COUNTIF(코드설정!$H$5:$H$7,업무일지!$D574)=0,"직무구분 누락; ","")&amp;IF(업무일지!$E574="","세부유형 누락; ",IF(AND(업무일지!$D574&lt;&gt;"",COUNTIFS(코드설정!$A$5:$A$21,업무일지!$D574,코드설정!$B$5:$B$21,업무일지!$E574)=0),"세부유형이 직무구분과 불일치; ",""))&amp;IF(AND(업무일지!$F574&lt;&gt;"",COUNTIF(사건마스터!$A$5:$A$64,업무일지!$F574)=0),"미등록 사건번호; ","")&amp;IF(AND(업무일지!$F574="",업무일지!$H574=""),"사건번호·업무명 모두 없음; ","")&amp;IF(업무일지!$J574="","담당자 없음; ","")&amp;IF(COUNTIF(코드설정!$F$5:$F$7,업무일지!$AG574)=0,"진행상태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"&amp;업무일지!$H575)</f>
        <v/>
      </c>
      <c r="D607" s="45">
        <f>IF(NOT(COUNTBLANK(업무일지!$B575:$AH575)&lt;33),"",TRIM(IF(업무일지!$B575="","시작일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","")&amp;IF(COUNTIF(코드설정!$H$5:$H$7,업무일지!$D575)=0,"직무구분 누락; ","")&amp;IF(업무일지!$E575="","세부유형 누락; ",IF(AND(업무일지!$D575&lt;&gt;"",COUNTIFS(코드설정!$A$5:$A$21,업무일지!$D575,코드설정!$B$5:$B$21,업무일지!$E575)=0),"세부유형이 직무구분과 불일치; ",""))&amp;IF(AND(업무일지!$F575&lt;&gt;"",COUNTIF(사건마스터!$A$5:$A$64,업무일지!$F575)=0),"미등록 사건번호; ","")&amp;IF(AND(업무일지!$F575="",업무일지!$H575=""),"사건번호·업무명 모두 없음; ","")&amp;IF(업무일지!$J575="","담당자 없음; ","")&amp;IF(COUNTIF(코드설정!$F$5:$F$7,업무일지!$AG575)=0,"진행상태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"&amp;업무일지!$H576)</f>
        <v/>
      </c>
      <c r="D608" s="45">
        <f>IF(NOT(COUNTBLANK(업무일지!$B576:$AH576)&lt;33),"",TRIM(IF(업무일지!$B576="","시작일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","")&amp;IF(COUNTIF(코드설정!$H$5:$H$7,업무일지!$D576)=0,"직무구분 누락; ","")&amp;IF(업무일지!$E576="","세부유형 누락; ",IF(AND(업무일지!$D576&lt;&gt;"",COUNTIFS(코드설정!$A$5:$A$21,업무일지!$D576,코드설정!$B$5:$B$21,업무일지!$E576)=0),"세부유형이 직무구분과 불일치; ",""))&amp;IF(AND(업무일지!$F576&lt;&gt;"",COUNTIF(사건마스터!$A$5:$A$64,업무일지!$F576)=0),"미등록 사건번호; ","")&amp;IF(AND(업무일지!$F576="",업무일지!$H576=""),"사건번호·업무명 모두 없음; ","")&amp;IF(업무일지!$J576="","담당자 없음; ","")&amp;IF(COUNTIF(코드설정!$F$5:$F$7,업무일지!$AG576)=0,"진행상태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"&amp;업무일지!$H577)</f>
        <v/>
      </c>
      <c r="D609" s="45">
        <f>IF(NOT(COUNTBLANK(업무일지!$B577:$AH577)&lt;33),"",TRIM(IF(업무일지!$B577="","시작일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","")&amp;IF(COUNTIF(코드설정!$H$5:$H$7,업무일지!$D577)=0,"직무구분 누락; ","")&amp;IF(업무일지!$E577="","세부유형 누락; ",IF(AND(업무일지!$D577&lt;&gt;"",COUNTIFS(코드설정!$A$5:$A$21,업무일지!$D577,코드설정!$B$5:$B$21,업무일지!$E577)=0),"세부유형이 직무구분과 불일치; ",""))&amp;IF(AND(업무일지!$F577&lt;&gt;"",COUNTIF(사건마스터!$A$5:$A$64,업무일지!$F577)=0),"미등록 사건번호; ","")&amp;IF(AND(업무일지!$F577="",업무일지!$H577=""),"사건번호·업무명 모두 없음; ","")&amp;IF(업무일지!$J577="","담당자 없음; ","")&amp;IF(COUNTIF(코드설정!$F$5:$F$7,업무일지!$AG577)=0,"진행상태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"&amp;업무일지!$H578)</f>
        <v/>
      </c>
      <c r="D610" s="45">
        <f>IF(NOT(COUNTBLANK(업무일지!$B578:$AH578)&lt;33),"",TRIM(IF(업무일지!$B578="","시작일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","")&amp;IF(COUNTIF(코드설정!$H$5:$H$7,업무일지!$D578)=0,"직무구분 누락; ","")&amp;IF(업무일지!$E578="","세부유형 누락; ",IF(AND(업무일지!$D578&lt;&gt;"",COUNTIFS(코드설정!$A$5:$A$21,업무일지!$D578,코드설정!$B$5:$B$21,업무일지!$E578)=0),"세부유형이 직무구분과 불일치; ",""))&amp;IF(AND(업무일지!$F578&lt;&gt;"",COUNTIF(사건마스터!$A$5:$A$64,업무일지!$F578)=0),"미등록 사건번호; ","")&amp;IF(AND(업무일지!$F578="",업무일지!$H578=""),"사건번호·업무명 모두 없음; ","")&amp;IF(업무일지!$J578="","담당자 없음; ","")&amp;IF(COUNTIF(코드설정!$F$5:$F$7,업무일지!$AG578)=0,"진행상태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"&amp;업무일지!$H579)</f>
        <v/>
      </c>
      <c r="D611" s="45">
        <f>IF(NOT(COUNTBLANK(업무일지!$B579:$AH579)&lt;33),"",TRIM(IF(업무일지!$B579="","시작일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","")&amp;IF(COUNTIF(코드설정!$H$5:$H$7,업무일지!$D579)=0,"직무구분 누락; ","")&amp;IF(업무일지!$E579="","세부유형 누락; ",IF(AND(업무일지!$D579&lt;&gt;"",COUNTIFS(코드설정!$A$5:$A$21,업무일지!$D579,코드설정!$B$5:$B$21,업무일지!$E579)=0),"세부유형이 직무구분과 불일치; ",""))&amp;IF(AND(업무일지!$F579&lt;&gt;"",COUNTIF(사건마스터!$A$5:$A$64,업무일지!$F579)=0),"미등록 사건번호; ","")&amp;IF(AND(업무일지!$F579="",업무일지!$H579=""),"사건번호·업무명 모두 없음; ","")&amp;IF(업무일지!$J579="","담당자 없음; ","")&amp;IF(COUNTIF(코드설정!$F$5:$F$7,업무일지!$AG579)=0,"진행상태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"&amp;업무일지!$H580)</f>
        <v/>
      </c>
      <c r="D612" s="45">
        <f>IF(NOT(COUNTBLANK(업무일지!$B580:$AH580)&lt;33),"",TRIM(IF(업무일지!$B580="","시작일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","")&amp;IF(COUNTIF(코드설정!$H$5:$H$7,업무일지!$D580)=0,"직무구분 누락; ","")&amp;IF(업무일지!$E580="","세부유형 누락; ",IF(AND(업무일지!$D580&lt;&gt;"",COUNTIFS(코드설정!$A$5:$A$21,업무일지!$D580,코드설정!$B$5:$B$21,업무일지!$E580)=0),"세부유형이 직무구분과 불일치; ",""))&amp;IF(AND(업무일지!$F580&lt;&gt;"",COUNTIF(사건마스터!$A$5:$A$64,업무일지!$F580)=0),"미등록 사건번호; ","")&amp;IF(AND(업무일지!$F580="",업무일지!$H580=""),"사건번호·업무명 모두 없음; ","")&amp;IF(업무일지!$J580="","담당자 없음; ","")&amp;IF(COUNTIF(코드설정!$F$5:$F$7,업무일지!$AG580)=0,"진행상태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"&amp;업무일지!$H581)</f>
        <v/>
      </c>
      <c r="D613" s="45">
        <f>IF(NOT(COUNTBLANK(업무일지!$B581:$AH581)&lt;33),"",TRIM(IF(업무일지!$B581="","시작일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","")&amp;IF(COUNTIF(코드설정!$H$5:$H$7,업무일지!$D581)=0,"직무구분 누락; ","")&amp;IF(업무일지!$E581="","세부유형 누락; ",IF(AND(업무일지!$D581&lt;&gt;"",COUNTIFS(코드설정!$A$5:$A$21,업무일지!$D581,코드설정!$B$5:$B$21,업무일지!$E581)=0),"세부유형이 직무구분과 불일치; ",""))&amp;IF(AND(업무일지!$F581&lt;&gt;"",COUNTIF(사건마스터!$A$5:$A$64,업무일지!$F581)=0),"미등록 사건번호; ","")&amp;IF(AND(업무일지!$F581="",업무일지!$H581=""),"사건번호·업무명 모두 없음; ","")&amp;IF(업무일지!$J581="","담당자 없음; ","")&amp;IF(COUNTIF(코드설정!$F$5:$F$7,업무일지!$AG581)=0,"진행상태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"&amp;업무일지!$H582)</f>
        <v/>
      </c>
      <c r="D614" s="45">
        <f>IF(NOT(COUNTBLANK(업무일지!$B582:$AH582)&lt;33),"",TRIM(IF(업무일지!$B582="","시작일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","")&amp;IF(COUNTIF(코드설정!$H$5:$H$7,업무일지!$D582)=0,"직무구분 누락; ","")&amp;IF(업무일지!$E582="","세부유형 누락; ",IF(AND(업무일지!$D582&lt;&gt;"",COUNTIFS(코드설정!$A$5:$A$21,업무일지!$D582,코드설정!$B$5:$B$21,업무일지!$E582)=0),"세부유형이 직무구분과 불일치; ",""))&amp;IF(AND(업무일지!$F582&lt;&gt;"",COUNTIF(사건마스터!$A$5:$A$64,업무일지!$F582)=0),"미등록 사건번호; ","")&amp;IF(AND(업무일지!$F582="",업무일지!$H582=""),"사건번호·업무명 모두 없음; ","")&amp;IF(업무일지!$J582="","담당자 없음; ","")&amp;IF(COUNTIF(코드설정!$F$5:$F$7,업무일지!$AG582)=0,"진행상태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"&amp;업무일지!$H583)</f>
        <v/>
      </c>
      <c r="D615" s="45">
        <f>IF(NOT(COUNTBLANK(업무일지!$B583:$AH583)&lt;33),"",TRIM(IF(업무일지!$B583="","시작일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","")&amp;IF(COUNTIF(코드설정!$H$5:$H$7,업무일지!$D583)=0,"직무구분 누락; ","")&amp;IF(업무일지!$E583="","세부유형 누락; ",IF(AND(업무일지!$D583&lt;&gt;"",COUNTIFS(코드설정!$A$5:$A$21,업무일지!$D583,코드설정!$B$5:$B$21,업무일지!$E583)=0),"세부유형이 직무구분과 불일치; ",""))&amp;IF(AND(업무일지!$F583&lt;&gt;"",COUNTIF(사건마스터!$A$5:$A$64,업무일지!$F583)=0),"미등록 사건번호; ","")&amp;IF(AND(업무일지!$F583="",업무일지!$H583=""),"사건번호·업무명 모두 없음; ","")&amp;IF(업무일지!$J583="","담당자 없음; ","")&amp;IF(COUNTIF(코드설정!$F$5:$F$7,업무일지!$AG583)=0,"진행상태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"&amp;업무일지!$H584)</f>
        <v/>
      </c>
      <c r="D616" s="45">
        <f>IF(NOT(COUNTBLANK(업무일지!$B584:$AH584)&lt;33),"",TRIM(IF(업무일지!$B584="","시작일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","")&amp;IF(COUNTIF(코드설정!$H$5:$H$7,업무일지!$D584)=0,"직무구분 누락; ","")&amp;IF(업무일지!$E584="","세부유형 누락; ",IF(AND(업무일지!$D584&lt;&gt;"",COUNTIFS(코드설정!$A$5:$A$21,업무일지!$D584,코드설정!$B$5:$B$21,업무일지!$E584)=0),"세부유형이 직무구분과 불일치; ",""))&amp;IF(AND(업무일지!$F584&lt;&gt;"",COUNTIF(사건마스터!$A$5:$A$64,업무일지!$F584)=0),"미등록 사건번호; ","")&amp;IF(AND(업무일지!$F584="",업무일지!$H584=""),"사건번호·업무명 모두 없음; ","")&amp;IF(업무일지!$J584="","담당자 없음; ","")&amp;IF(COUNTIF(코드설정!$F$5:$F$7,업무일지!$AG584)=0,"진행상태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"&amp;업무일지!$H585)</f>
        <v/>
      </c>
      <c r="D617" s="45">
        <f>IF(NOT(COUNTBLANK(업무일지!$B585:$AH585)&lt;33),"",TRIM(IF(업무일지!$B585="","시작일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","")&amp;IF(COUNTIF(코드설정!$H$5:$H$7,업무일지!$D585)=0,"직무구분 누락; ","")&amp;IF(업무일지!$E585="","세부유형 누락; ",IF(AND(업무일지!$D585&lt;&gt;"",COUNTIFS(코드설정!$A$5:$A$21,업무일지!$D585,코드설정!$B$5:$B$21,업무일지!$E585)=0),"세부유형이 직무구분과 불일치; ",""))&amp;IF(AND(업무일지!$F585&lt;&gt;"",COUNTIF(사건마스터!$A$5:$A$64,업무일지!$F585)=0),"미등록 사건번호; ","")&amp;IF(AND(업무일지!$F585="",업무일지!$H585=""),"사건번호·업무명 모두 없음; ","")&amp;IF(업무일지!$J585="","담당자 없음; ","")&amp;IF(COUNTIF(코드설정!$F$5:$F$7,업무일지!$AG585)=0,"진행상태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"&amp;업무일지!$H586)</f>
        <v/>
      </c>
      <c r="D618" s="45">
        <f>IF(NOT(COUNTBLANK(업무일지!$B586:$AH586)&lt;33),"",TRIM(IF(업무일지!$B586="","시작일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","")&amp;IF(COUNTIF(코드설정!$H$5:$H$7,업무일지!$D586)=0,"직무구분 누락; ","")&amp;IF(업무일지!$E586="","세부유형 누락; ",IF(AND(업무일지!$D586&lt;&gt;"",COUNTIFS(코드설정!$A$5:$A$21,업무일지!$D586,코드설정!$B$5:$B$21,업무일지!$E586)=0),"세부유형이 직무구분과 불일치; ",""))&amp;IF(AND(업무일지!$F586&lt;&gt;"",COUNTIF(사건마스터!$A$5:$A$64,업무일지!$F586)=0),"미등록 사건번호; ","")&amp;IF(AND(업무일지!$F586="",업무일지!$H586=""),"사건번호·업무명 모두 없음; ","")&amp;IF(업무일지!$J586="","담당자 없음; ","")&amp;IF(COUNTIF(코드설정!$F$5:$F$7,업무일지!$AG586)=0,"진행상태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"&amp;업무일지!$H587)</f>
        <v/>
      </c>
      <c r="D619" s="45">
        <f>IF(NOT(COUNTBLANK(업무일지!$B587:$AH587)&lt;33),"",TRIM(IF(업무일지!$B587="","시작일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","")&amp;IF(COUNTIF(코드설정!$H$5:$H$7,업무일지!$D587)=0,"직무구분 누락; ","")&amp;IF(업무일지!$E587="","세부유형 누락; ",IF(AND(업무일지!$D587&lt;&gt;"",COUNTIFS(코드설정!$A$5:$A$21,업무일지!$D587,코드설정!$B$5:$B$21,업무일지!$E587)=0),"세부유형이 직무구분과 불일치; ",""))&amp;IF(AND(업무일지!$F587&lt;&gt;"",COUNTIF(사건마스터!$A$5:$A$64,업무일지!$F587)=0),"미등록 사건번호; ","")&amp;IF(AND(업무일지!$F587="",업무일지!$H587=""),"사건번호·업무명 모두 없음; ","")&amp;IF(업무일지!$J587="","담당자 없음; ","")&amp;IF(COUNTIF(코드설정!$F$5:$F$7,업무일지!$AG587)=0,"진행상태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"&amp;업무일지!$H588)</f>
        <v/>
      </c>
      <c r="D620" s="45">
        <f>IF(NOT(COUNTBLANK(업무일지!$B588:$AH588)&lt;33),"",TRIM(IF(업무일지!$B588="","시작일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","")&amp;IF(COUNTIF(코드설정!$H$5:$H$7,업무일지!$D588)=0,"직무구분 누락; ","")&amp;IF(업무일지!$E588="","세부유형 누락; ",IF(AND(업무일지!$D588&lt;&gt;"",COUNTIFS(코드설정!$A$5:$A$21,업무일지!$D588,코드설정!$B$5:$B$21,업무일지!$E588)=0),"세부유형이 직무구분과 불일치; ",""))&amp;IF(AND(업무일지!$F588&lt;&gt;"",COUNTIF(사건마스터!$A$5:$A$64,업무일지!$F588)=0),"미등록 사건번호; ","")&amp;IF(AND(업무일지!$F588="",업무일지!$H588=""),"사건번호·업무명 모두 없음; ","")&amp;IF(업무일지!$J588="","담당자 없음; ","")&amp;IF(COUNTIF(코드설정!$F$5:$F$7,업무일지!$AG588)=0,"진행상태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"&amp;업무일지!$H589)</f>
        <v/>
      </c>
      <c r="D621" s="45">
        <f>IF(NOT(COUNTBLANK(업무일지!$B589:$AH589)&lt;33),"",TRIM(IF(업무일지!$B589="","시작일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","")&amp;IF(COUNTIF(코드설정!$H$5:$H$7,업무일지!$D589)=0,"직무구분 누락; ","")&amp;IF(업무일지!$E589="","세부유형 누락; ",IF(AND(업무일지!$D589&lt;&gt;"",COUNTIFS(코드설정!$A$5:$A$21,업무일지!$D589,코드설정!$B$5:$B$21,업무일지!$E589)=0),"세부유형이 직무구분과 불일치; ",""))&amp;IF(AND(업무일지!$F589&lt;&gt;"",COUNTIF(사건마스터!$A$5:$A$64,업무일지!$F589)=0),"미등록 사건번호; ","")&amp;IF(AND(업무일지!$F589="",업무일지!$H589=""),"사건번호·업무명 모두 없음; ","")&amp;IF(업무일지!$J589="","담당자 없음; ","")&amp;IF(COUNTIF(코드설정!$F$5:$F$7,업무일지!$AG589)=0,"진행상태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"&amp;업무일지!$H590)</f>
        <v/>
      </c>
      <c r="D622" s="45">
        <f>IF(NOT(COUNTBLANK(업무일지!$B590:$AH590)&lt;33),"",TRIM(IF(업무일지!$B590="","시작일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","")&amp;IF(COUNTIF(코드설정!$H$5:$H$7,업무일지!$D590)=0,"직무구분 누락; ","")&amp;IF(업무일지!$E590="","세부유형 누락; ",IF(AND(업무일지!$D590&lt;&gt;"",COUNTIFS(코드설정!$A$5:$A$21,업무일지!$D590,코드설정!$B$5:$B$21,업무일지!$E590)=0),"세부유형이 직무구분과 불일치; ",""))&amp;IF(AND(업무일지!$F590&lt;&gt;"",COUNTIF(사건마스터!$A$5:$A$64,업무일지!$F590)=0),"미등록 사건번호; ","")&amp;IF(AND(업무일지!$F590="",업무일지!$H590=""),"사건번호·업무명 모두 없음; ","")&amp;IF(업무일지!$J590="","담당자 없음; ","")&amp;IF(COUNTIF(코드설정!$F$5:$F$7,업무일지!$AG590)=0,"진행상태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"&amp;업무일지!$H591)</f>
        <v/>
      </c>
      <c r="D623" s="45">
        <f>IF(NOT(COUNTBLANK(업무일지!$B591:$AH591)&lt;33),"",TRIM(IF(업무일지!$B591="","시작일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","")&amp;IF(COUNTIF(코드설정!$H$5:$H$7,업무일지!$D591)=0,"직무구분 누락; ","")&amp;IF(업무일지!$E591="","세부유형 누락; ",IF(AND(업무일지!$D591&lt;&gt;"",COUNTIFS(코드설정!$A$5:$A$21,업무일지!$D591,코드설정!$B$5:$B$21,업무일지!$E591)=0),"세부유형이 직무구분과 불일치; ",""))&amp;IF(AND(업무일지!$F591&lt;&gt;"",COUNTIF(사건마스터!$A$5:$A$64,업무일지!$F591)=0),"미등록 사건번호; ","")&amp;IF(AND(업무일지!$F591="",업무일지!$H591=""),"사건번호·업무명 모두 없음; ","")&amp;IF(업무일지!$J591="","담당자 없음; ","")&amp;IF(COUNTIF(코드설정!$F$5:$F$7,업무일지!$AG591)=0,"진행상태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"&amp;업무일지!$H592)</f>
        <v/>
      </c>
      <c r="D624" s="45">
        <f>IF(NOT(COUNTBLANK(업무일지!$B592:$AH592)&lt;33),"",TRIM(IF(업무일지!$B592="","시작일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","")&amp;IF(COUNTIF(코드설정!$H$5:$H$7,업무일지!$D592)=0,"직무구분 누락; ","")&amp;IF(업무일지!$E592="","세부유형 누락; ",IF(AND(업무일지!$D592&lt;&gt;"",COUNTIFS(코드설정!$A$5:$A$21,업무일지!$D592,코드설정!$B$5:$B$21,업무일지!$E592)=0),"세부유형이 직무구분과 불일치; ",""))&amp;IF(AND(업무일지!$F592&lt;&gt;"",COUNTIF(사건마스터!$A$5:$A$64,업무일지!$F592)=0),"미등록 사건번호; ","")&amp;IF(AND(업무일지!$F592="",업무일지!$H592=""),"사건번호·업무명 모두 없음; ","")&amp;IF(업무일지!$J592="","담당자 없음; ","")&amp;IF(COUNTIF(코드설정!$F$5:$F$7,업무일지!$AG592)=0,"진행상태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"&amp;업무일지!$H593)</f>
        <v/>
      </c>
      <c r="D625" s="45">
        <f>IF(NOT(COUNTBLANK(업무일지!$B593:$AH593)&lt;33),"",TRIM(IF(업무일지!$B593="","시작일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","")&amp;IF(COUNTIF(코드설정!$H$5:$H$7,업무일지!$D593)=0,"직무구분 누락; ","")&amp;IF(업무일지!$E593="","세부유형 누락; ",IF(AND(업무일지!$D593&lt;&gt;"",COUNTIFS(코드설정!$A$5:$A$21,업무일지!$D593,코드설정!$B$5:$B$21,업무일지!$E593)=0),"세부유형이 직무구분과 불일치; ",""))&amp;IF(AND(업무일지!$F593&lt;&gt;"",COUNTIF(사건마스터!$A$5:$A$64,업무일지!$F593)=0),"미등록 사건번호; ","")&amp;IF(AND(업무일지!$F593="",업무일지!$H593=""),"사건번호·업무명 모두 없음; ","")&amp;IF(업무일지!$J593="","담당자 없음; ","")&amp;IF(COUNTIF(코드설정!$F$5:$F$7,업무일지!$AG593)=0,"진행상태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"&amp;업무일지!$H594)</f>
        <v/>
      </c>
      <c r="D626" s="45">
        <f>IF(NOT(COUNTBLANK(업무일지!$B594:$AH594)&lt;33),"",TRIM(IF(업무일지!$B594="","시작일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","")&amp;IF(COUNTIF(코드설정!$H$5:$H$7,업무일지!$D594)=0,"직무구분 누락; ","")&amp;IF(업무일지!$E594="","세부유형 누락; ",IF(AND(업무일지!$D594&lt;&gt;"",COUNTIFS(코드설정!$A$5:$A$21,업무일지!$D594,코드설정!$B$5:$B$21,업무일지!$E594)=0),"세부유형이 직무구분과 불일치; ",""))&amp;IF(AND(업무일지!$F594&lt;&gt;"",COUNTIF(사건마스터!$A$5:$A$64,업무일지!$F594)=0),"미등록 사건번호; ","")&amp;IF(AND(업무일지!$F594="",업무일지!$H594=""),"사건번호·업무명 모두 없음; ","")&amp;IF(업무일지!$J594="","담당자 없음; ","")&amp;IF(COUNTIF(코드설정!$F$5:$F$7,업무일지!$AG594)=0,"진행상태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"&amp;업무일지!$H595)</f>
        <v/>
      </c>
      <c r="D627" s="45">
        <f>IF(NOT(COUNTBLANK(업무일지!$B595:$AH595)&lt;33),"",TRIM(IF(업무일지!$B595="","시작일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","")&amp;IF(COUNTIF(코드설정!$H$5:$H$7,업무일지!$D595)=0,"직무구분 누락; ","")&amp;IF(업무일지!$E595="","세부유형 누락; ",IF(AND(업무일지!$D595&lt;&gt;"",COUNTIFS(코드설정!$A$5:$A$21,업무일지!$D595,코드설정!$B$5:$B$21,업무일지!$E595)=0),"세부유형이 직무구분과 불일치; ",""))&amp;IF(AND(업무일지!$F595&lt;&gt;"",COUNTIF(사건마스터!$A$5:$A$64,업무일지!$F595)=0),"미등록 사건번호; ","")&amp;IF(AND(업무일지!$F595="",업무일지!$H595=""),"사건번호·업무명 모두 없음; ","")&amp;IF(업무일지!$J595="","담당자 없음; ","")&amp;IF(COUNTIF(코드설정!$F$5:$F$7,업무일지!$AG595)=0,"진행상태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"&amp;업무일지!$H596)</f>
        <v/>
      </c>
      <c r="D628" s="45">
        <f>IF(NOT(COUNTBLANK(업무일지!$B596:$AH596)&lt;33),"",TRIM(IF(업무일지!$B596="","시작일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","")&amp;IF(COUNTIF(코드설정!$H$5:$H$7,업무일지!$D596)=0,"직무구분 누락; ","")&amp;IF(업무일지!$E596="","세부유형 누락; ",IF(AND(업무일지!$D596&lt;&gt;"",COUNTIFS(코드설정!$A$5:$A$21,업무일지!$D596,코드설정!$B$5:$B$21,업무일지!$E596)=0),"세부유형이 직무구분과 불일치; ",""))&amp;IF(AND(업무일지!$F596&lt;&gt;"",COUNTIF(사건마스터!$A$5:$A$64,업무일지!$F596)=0),"미등록 사건번호; ","")&amp;IF(AND(업무일지!$F596="",업무일지!$H596=""),"사건번호·업무명 모두 없음; ","")&amp;IF(업무일지!$J596="","담당자 없음; ","")&amp;IF(COUNTIF(코드설정!$F$5:$F$7,업무일지!$AG596)=0,"진행상태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"&amp;업무일지!$H597)</f>
        <v/>
      </c>
      <c r="D629" s="45">
        <f>IF(NOT(COUNTBLANK(업무일지!$B597:$AH597)&lt;33),"",TRIM(IF(업무일지!$B597="","시작일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","")&amp;IF(COUNTIF(코드설정!$H$5:$H$7,업무일지!$D597)=0,"직무구분 누락; ","")&amp;IF(업무일지!$E597="","세부유형 누락; ",IF(AND(업무일지!$D597&lt;&gt;"",COUNTIFS(코드설정!$A$5:$A$21,업무일지!$D597,코드설정!$B$5:$B$21,업무일지!$E597)=0),"세부유형이 직무구분과 불일치; ",""))&amp;IF(AND(업무일지!$F597&lt;&gt;"",COUNTIF(사건마스터!$A$5:$A$64,업무일지!$F597)=0),"미등록 사건번호; ","")&amp;IF(AND(업무일지!$F597="",업무일지!$H597=""),"사건번호·업무명 모두 없음; ","")&amp;IF(업무일지!$J597="","담당자 없음; ","")&amp;IF(COUNTIF(코드설정!$F$5:$F$7,업무일지!$AG597)=0,"진행상태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"&amp;업무일지!$H598)</f>
        <v/>
      </c>
      <c r="D630" s="45">
        <f>IF(NOT(COUNTBLANK(업무일지!$B598:$AH598)&lt;33),"",TRIM(IF(업무일지!$B598="","시작일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","")&amp;IF(COUNTIF(코드설정!$H$5:$H$7,업무일지!$D598)=0,"직무구분 누락; ","")&amp;IF(업무일지!$E598="","세부유형 누락; ",IF(AND(업무일지!$D598&lt;&gt;"",COUNTIFS(코드설정!$A$5:$A$21,업무일지!$D598,코드설정!$B$5:$B$21,업무일지!$E598)=0),"세부유형이 직무구분과 불일치; ",""))&amp;IF(AND(업무일지!$F598&lt;&gt;"",COUNTIF(사건마스터!$A$5:$A$64,업무일지!$F598)=0),"미등록 사건번호; ","")&amp;IF(AND(업무일지!$F598="",업무일지!$H598=""),"사건번호·업무명 모두 없음; ","")&amp;IF(업무일지!$J598="","담당자 없음; ","")&amp;IF(COUNTIF(코드설정!$F$5:$F$7,업무일지!$AG598)=0,"진행상태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"&amp;업무일지!$H599)</f>
        <v/>
      </c>
      <c r="D631" s="45">
        <f>IF(NOT(COUNTBLANK(업무일지!$B599:$AH599)&lt;33),"",TRIM(IF(업무일지!$B599="","시작일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","")&amp;IF(COUNTIF(코드설정!$H$5:$H$7,업무일지!$D599)=0,"직무구분 누락; ","")&amp;IF(업무일지!$E599="","세부유형 누락; ",IF(AND(업무일지!$D599&lt;&gt;"",COUNTIFS(코드설정!$A$5:$A$21,업무일지!$D599,코드설정!$B$5:$B$21,업무일지!$E599)=0),"세부유형이 직무구분과 불일치; ",""))&amp;IF(AND(업무일지!$F599&lt;&gt;"",COUNTIF(사건마스터!$A$5:$A$64,업무일지!$F599)=0),"미등록 사건번호; ","")&amp;IF(AND(업무일지!$F599="",업무일지!$H599=""),"사건번호·업무명 모두 없음; ","")&amp;IF(업무일지!$J599="","담당자 없음; ","")&amp;IF(COUNTIF(코드설정!$F$5:$F$7,업무일지!$AG599)=0,"진행상태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"&amp;업무일지!$H600)</f>
        <v/>
      </c>
      <c r="D632" s="45">
        <f>IF(NOT(COUNTBLANK(업무일지!$B600:$AH600)&lt;33),"",TRIM(IF(업무일지!$B600="","시작일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","")&amp;IF(COUNTIF(코드설정!$H$5:$H$7,업무일지!$D600)=0,"직무구분 누락; ","")&amp;IF(업무일지!$E600="","세부유형 누락; ",IF(AND(업무일지!$D600&lt;&gt;"",COUNTIFS(코드설정!$A$5:$A$21,업무일지!$D600,코드설정!$B$5:$B$21,업무일지!$E600)=0),"세부유형이 직무구분과 불일치; ",""))&amp;IF(AND(업무일지!$F600&lt;&gt;"",COUNTIF(사건마스터!$A$5:$A$64,업무일지!$F600)=0),"미등록 사건번호; ","")&amp;IF(AND(업무일지!$F600="",업무일지!$H600=""),"사건번호·업무명 모두 없음; ","")&amp;IF(업무일지!$J600="","담당자 없음; ","")&amp;IF(COUNTIF(코드설정!$F$5:$F$7,업무일지!$AG600)=0,"진행상태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"&amp;업무일지!$H601)</f>
        <v/>
      </c>
      <c r="D633" s="45">
        <f>IF(NOT(COUNTBLANK(업무일지!$B601:$AH601)&lt;33),"",TRIM(IF(업무일지!$B601="","시작일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","")&amp;IF(COUNTIF(코드설정!$H$5:$H$7,업무일지!$D601)=0,"직무구분 누락; ","")&amp;IF(업무일지!$E601="","세부유형 누락; ",IF(AND(업무일지!$D601&lt;&gt;"",COUNTIFS(코드설정!$A$5:$A$21,업무일지!$D601,코드설정!$B$5:$B$21,업무일지!$E601)=0),"세부유형이 직무구분과 불일치; ",""))&amp;IF(AND(업무일지!$F601&lt;&gt;"",COUNTIF(사건마스터!$A$5:$A$64,업무일지!$F601)=0),"미등록 사건번호; ","")&amp;IF(AND(업무일지!$F601="",업무일지!$H601=""),"사건번호·업무명 모두 없음; ","")&amp;IF(업무일지!$J601="","담당자 없음; ","")&amp;IF(COUNTIF(코드설정!$F$5:$F$7,업무일지!$AG601)=0,"진행상태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"&amp;업무일지!$H602)</f>
        <v/>
      </c>
      <c r="D634" s="45">
        <f>IF(NOT(COUNTBLANK(업무일지!$B602:$AH602)&lt;33),"",TRIM(IF(업무일지!$B602="","시작일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","")&amp;IF(COUNTIF(코드설정!$H$5:$H$7,업무일지!$D602)=0,"직무구분 누락; ","")&amp;IF(업무일지!$E602="","세부유형 누락; ",IF(AND(업무일지!$D602&lt;&gt;"",COUNTIFS(코드설정!$A$5:$A$21,업무일지!$D602,코드설정!$B$5:$B$21,업무일지!$E602)=0),"세부유형이 직무구분과 불일치; ",""))&amp;IF(AND(업무일지!$F602&lt;&gt;"",COUNTIF(사건마스터!$A$5:$A$64,업무일지!$F602)=0),"미등록 사건번호; ","")&amp;IF(AND(업무일지!$F602="",업무일지!$H602=""),"사건번호·업무명 모두 없음; ","")&amp;IF(업무일지!$J602="","담당자 없음; ","")&amp;IF(COUNTIF(코드설정!$F$5:$F$7,업무일지!$AG602)=0,"진행상태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"&amp;업무일지!$H603)</f>
        <v/>
      </c>
      <c r="D635" s="45">
        <f>IF(NOT(COUNTBLANK(업무일지!$B603:$AH603)&lt;33),"",TRIM(IF(업무일지!$B603="","시작일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","")&amp;IF(COUNTIF(코드설정!$H$5:$H$7,업무일지!$D603)=0,"직무구분 누락; ","")&amp;IF(업무일지!$E603="","세부유형 누락; ",IF(AND(업무일지!$D603&lt;&gt;"",COUNTIFS(코드설정!$A$5:$A$21,업무일지!$D603,코드설정!$B$5:$B$21,업무일지!$E603)=0),"세부유형이 직무구분과 불일치; ",""))&amp;IF(AND(업무일지!$F603&lt;&gt;"",COUNTIF(사건마스터!$A$5:$A$64,업무일지!$F603)=0),"미등록 사건번호; ","")&amp;IF(AND(업무일지!$F603="",업무일지!$H603=""),"사건번호·업무명 모두 없음; ","")&amp;IF(업무일지!$J603="","담당자 없음; ","")&amp;IF(COUNTIF(코드설정!$F$5:$F$7,업무일지!$AG603)=0,"진행상태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"&amp;업무일지!$H604)</f>
        <v/>
      </c>
      <c r="D636" s="45">
        <f>IF(NOT(COUNTBLANK(업무일지!$B604:$AH604)&lt;33),"",TRIM(IF(업무일지!$B604="","시작일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","")&amp;IF(COUNTIF(코드설정!$H$5:$H$7,업무일지!$D604)=0,"직무구분 누락; ","")&amp;IF(업무일지!$E604="","세부유형 누락; ",IF(AND(업무일지!$D604&lt;&gt;"",COUNTIFS(코드설정!$A$5:$A$21,업무일지!$D604,코드설정!$B$5:$B$21,업무일지!$E604)=0),"세부유형이 직무구분과 불일치; ",""))&amp;IF(AND(업무일지!$F604&lt;&gt;"",COUNTIF(사건마스터!$A$5:$A$64,업무일지!$F604)=0),"미등록 사건번호; ","")&amp;IF(AND(업무일지!$F604="",업무일지!$H604=""),"사건번호·업무명 모두 없음; ","")&amp;IF(업무일지!$J604="","담당자 없음; ","")&amp;IF(COUNTIF(코드설정!$F$5:$F$7,업무일지!$AG604)=0,"진행상태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"&amp;업무일지!$H605)</f>
        <v/>
      </c>
      <c r="D637" s="45">
        <f>IF(NOT(COUNTBLANK(업무일지!$B605:$AH605)&lt;33),"",TRIM(IF(업무일지!$B605="","시작일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","")&amp;IF(COUNTIF(코드설정!$H$5:$H$7,업무일지!$D605)=0,"직무구분 누락; ","")&amp;IF(업무일지!$E605="","세부유형 누락; ",IF(AND(업무일지!$D605&lt;&gt;"",COUNTIFS(코드설정!$A$5:$A$21,업무일지!$D605,코드설정!$B$5:$B$21,업무일지!$E605)=0),"세부유형이 직무구분과 불일치; ",""))&amp;IF(AND(업무일지!$F605&lt;&gt;"",COUNTIF(사건마스터!$A$5:$A$64,업무일지!$F605)=0),"미등록 사건번호; ","")&amp;IF(AND(업무일지!$F605="",업무일지!$H605=""),"사건번호·업무명 모두 없음; ","")&amp;IF(업무일지!$J605="","담당자 없음; ","")&amp;IF(COUNTIF(코드설정!$F$5:$F$7,업무일지!$AG605)=0,"진행상태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"&amp;업무일지!$H606)</f>
        <v/>
      </c>
      <c r="D638" s="45">
        <f>IF(NOT(COUNTBLANK(업무일지!$B606:$AH606)&lt;33),"",TRIM(IF(업무일지!$B606="","시작일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","")&amp;IF(COUNTIF(코드설정!$H$5:$H$7,업무일지!$D606)=0,"직무구분 누락; ","")&amp;IF(업무일지!$E606="","세부유형 누락; ",IF(AND(업무일지!$D606&lt;&gt;"",COUNTIFS(코드설정!$A$5:$A$21,업무일지!$D606,코드설정!$B$5:$B$21,업무일지!$E606)=0),"세부유형이 직무구분과 불일치; ",""))&amp;IF(AND(업무일지!$F606&lt;&gt;"",COUNTIF(사건마스터!$A$5:$A$64,업무일지!$F606)=0),"미등록 사건번호; ","")&amp;IF(AND(업무일지!$F606="",업무일지!$H606=""),"사건번호·업무명 모두 없음; ","")&amp;IF(업무일지!$J606="","담당자 없음; ","")&amp;IF(COUNTIF(코드설정!$F$5:$F$7,업무일지!$AG606)=0,"진행상태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"&amp;업무일지!$H607)</f>
        <v/>
      </c>
      <c r="D639" s="45">
        <f>IF(NOT(COUNTBLANK(업무일지!$B607:$AH607)&lt;33),"",TRIM(IF(업무일지!$B607="","시작일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","")&amp;IF(COUNTIF(코드설정!$H$5:$H$7,업무일지!$D607)=0,"직무구분 누락; ","")&amp;IF(업무일지!$E607="","세부유형 누락; ",IF(AND(업무일지!$D607&lt;&gt;"",COUNTIFS(코드설정!$A$5:$A$21,업무일지!$D607,코드설정!$B$5:$B$21,업무일지!$E607)=0),"세부유형이 직무구분과 불일치; ",""))&amp;IF(AND(업무일지!$F607&lt;&gt;"",COUNTIF(사건마스터!$A$5:$A$64,업무일지!$F607)=0),"미등록 사건번호; ","")&amp;IF(AND(업무일지!$F607="",업무일지!$H607=""),"사건번호·업무명 모두 없음; ","")&amp;IF(업무일지!$J607="","담당자 없음; ","")&amp;IF(COUNTIF(코드설정!$F$5:$F$7,업무일지!$AG607)=0,"진행상태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"&amp;업무일지!$H608)</f>
        <v/>
      </c>
      <c r="D640" s="45">
        <f>IF(NOT(COUNTBLANK(업무일지!$B608:$AH608)&lt;33),"",TRIM(IF(업무일지!$B608="","시작일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","")&amp;IF(COUNTIF(코드설정!$H$5:$H$7,업무일지!$D608)=0,"직무구분 누락; ","")&amp;IF(업무일지!$E608="","세부유형 누락; ",IF(AND(업무일지!$D608&lt;&gt;"",COUNTIFS(코드설정!$A$5:$A$21,업무일지!$D608,코드설정!$B$5:$B$21,업무일지!$E608)=0),"세부유형이 직무구분과 불일치; ",""))&amp;IF(AND(업무일지!$F608&lt;&gt;"",COUNTIF(사건마스터!$A$5:$A$64,업무일지!$F608)=0),"미등록 사건번호; ","")&amp;IF(AND(업무일지!$F608="",업무일지!$H608=""),"사건번호·업무명 모두 없음; ","")&amp;IF(업무일지!$J608="","담당자 없음; ","")&amp;IF(COUNTIF(코드설정!$F$5:$F$7,업무일지!$AG608)=0,"진행상태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"&amp;업무일지!$H609)</f>
        <v/>
      </c>
      <c r="D641" s="45">
        <f>IF(NOT(COUNTBLANK(업무일지!$B609:$AH609)&lt;33),"",TRIM(IF(업무일지!$B609="","시작일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","")&amp;IF(COUNTIF(코드설정!$H$5:$H$7,업무일지!$D609)=0,"직무구분 누락; ","")&amp;IF(업무일지!$E609="","세부유형 누락; ",IF(AND(업무일지!$D609&lt;&gt;"",COUNTIFS(코드설정!$A$5:$A$21,업무일지!$D609,코드설정!$B$5:$B$21,업무일지!$E609)=0),"세부유형이 직무구분과 불일치; ",""))&amp;IF(AND(업무일지!$F609&lt;&gt;"",COUNTIF(사건마스터!$A$5:$A$64,업무일지!$F609)=0),"미등록 사건번호; ","")&amp;IF(AND(업무일지!$F609="",업무일지!$H609=""),"사건번호·업무명 모두 없음; ","")&amp;IF(업무일지!$J609="","담당자 없음; ","")&amp;IF(COUNTIF(코드설정!$F$5:$F$7,업무일지!$AG609)=0,"진행상태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"&amp;업무일지!$H610)</f>
        <v/>
      </c>
      <c r="D642" s="45">
        <f>IF(NOT(COUNTBLANK(업무일지!$B610:$AH610)&lt;33),"",TRIM(IF(업무일지!$B610="","시작일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","")&amp;IF(COUNTIF(코드설정!$H$5:$H$7,업무일지!$D610)=0,"직무구분 누락; ","")&amp;IF(업무일지!$E610="","세부유형 누락; ",IF(AND(업무일지!$D610&lt;&gt;"",COUNTIFS(코드설정!$A$5:$A$21,업무일지!$D610,코드설정!$B$5:$B$21,업무일지!$E610)=0),"세부유형이 직무구분과 불일치; ",""))&amp;IF(AND(업무일지!$F610&lt;&gt;"",COUNTIF(사건마스터!$A$5:$A$64,업무일지!$F610)=0),"미등록 사건번호; ","")&amp;IF(AND(업무일지!$F610="",업무일지!$H610=""),"사건번호·업무명 모두 없음; ","")&amp;IF(업무일지!$J610="","담당자 없음; ","")&amp;IF(COUNTIF(코드설정!$F$5:$F$7,업무일지!$AG610)=0,"진행상태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"&amp;업무일지!$H611)</f>
        <v/>
      </c>
      <c r="D643" s="45">
        <f>IF(NOT(COUNTBLANK(업무일지!$B611:$AH611)&lt;33),"",TRIM(IF(업무일지!$B611="","시작일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","")&amp;IF(COUNTIF(코드설정!$H$5:$H$7,업무일지!$D611)=0,"직무구분 누락; ","")&amp;IF(업무일지!$E611="","세부유형 누락; ",IF(AND(업무일지!$D611&lt;&gt;"",COUNTIFS(코드설정!$A$5:$A$21,업무일지!$D611,코드설정!$B$5:$B$21,업무일지!$E611)=0),"세부유형이 직무구분과 불일치; ",""))&amp;IF(AND(업무일지!$F611&lt;&gt;"",COUNTIF(사건마스터!$A$5:$A$64,업무일지!$F611)=0),"미등록 사건번호; ","")&amp;IF(AND(업무일지!$F611="",업무일지!$H611=""),"사건번호·업무명 모두 없음; ","")&amp;IF(업무일지!$J611="","담당자 없음; ","")&amp;IF(COUNTIF(코드설정!$F$5:$F$7,업무일지!$AG611)=0,"진행상태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"&amp;업무일지!$H612)</f>
        <v/>
      </c>
      <c r="D644" s="45">
        <f>IF(NOT(COUNTBLANK(업무일지!$B612:$AH612)&lt;33),"",TRIM(IF(업무일지!$B612="","시작일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","")&amp;IF(COUNTIF(코드설정!$H$5:$H$7,업무일지!$D612)=0,"직무구분 누락; ","")&amp;IF(업무일지!$E612="","세부유형 누락; ",IF(AND(업무일지!$D612&lt;&gt;"",COUNTIFS(코드설정!$A$5:$A$21,업무일지!$D612,코드설정!$B$5:$B$21,업무일지!$E612)=0),"세부유형이 직무구분과 불일치; ",""))&amp;IF(AND(업무일지!$F612&lt;&gt;"",COUNTIF(사건마스터!$A$5:$A$64,업무일지!$F612)=0),"미등록 사건번호; ","")&amp;IF(AND(업무일지!$F612="",업무일지!$H612=""),"사건번호·업무명 모두 없음; ","")&amp;IF(업무일지!$J612="","담당자 없음; ","")&amp;IF(COUNTIF(코드설정!$F$5:$F$7,업무일지!$AG612)=0,"진행상태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"&amp;업무일지!$H613)</f>
        <v/>
      </c>
      <c r="D645" s="45">
        <f>IF(NOT(COUNTBLANK(업무일지!$B613:$AH613)&lt;33),"",TRIM(IF(업무일지!$B613="","시작일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","")&amp;IF(COUNTIF(코드설정!$H$5:$H$7,업무일지!$D613)=0,"직무구분 누락; ","")&amp;IF(업무일지!$E613="","세부유형 누락; ",IF(AND(업무일지!$D613&lt;&gt;"",COUNTIFS(코드설정!$A$5:$A$21,업무일지!$D613,코드설정!$B$5:$B$21,업무일지!$E613)=0),"세부유형이 직무구분과 불일치; ",""))&amp;IF(AND(업무일지!$F613&lt;&gt;"",COUNTIF(사건마스터!$A$5:$A$64,업무일지!$F613)=0),"미등록 사건번호; ","")&amp;IF(AND(업무일지!$F613="",업무일지!$H613=""),"사건번호·업무명 모두 없음; ","")&amp;IF(업무일지!$J613="","담당자 없음; ","")&amp;IF(COUNTIF(코드설정!$F$5:$F$7,업무일지!$AG613)=0,"진행상태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"&amp;업무일지!$H614)</f>
        <v/>
      </c>
      <c r="D646" s="45">
        <f>IF(NOT(COUNTBLANK(업무일지!$B614:$AH614)&lt;33),"",TRIM(IF(업무일지!$B614="","시작일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","")&amp;IF(COUNTIF(코드설정!$H$5:$H$7,업무일지!$D614)=0,"직무구분 누락; ","")&amp;IF(업무일지!$E614="","세부유형 누락; ",IF(AND(업무일지!$D614&lt;&gt;"",COUNTIFS(코드설정!$A$5:$A$21,업무일지!$D614,코드설정!$B$5:$B$21,업무일지!$E614)=0),"세부유형이 직무구분과 불일치; ",""))&amp;IF(AND(업무일지!$F614&lt;&gt;"",COUNTIF(사건마스터!$A$5:$A$64,업무일지!$F614)=0),"미등록 사건번호; ","")&amp;IF(AND(업무일지!$F614="",업무일지!$H614=""),"사건번호·업무명 모두 없음; ","")&amp;IF(업무일지!$J614="","담당자 없음; ","")&amp;IF(COUNTIF(코드설정!$F$5:$F$7,업무일지!$AG614)=0,"진행상태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"&amp;업무일지!$H615)</f>
        <v/>
      </c>
      <c r="D647" s="45">
        <f>IF(NOT(COUNTBLANK(업무일지!$B615:$AH615)&lt;33),"",TRIM(IF(업무일지!$B615="","시작일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","")&amp;IF(COUNTIF(코드설정!$H$5:$H$7,업무일지!$D615)=0,"직무구분 누락; ","")&amp;IF(업무일지!$E615="","세부유형 누락; ",IF(AND(업무일지!$D615&lt;&gt;"",COUNTIFS(코드설정!$A$5:$A$21,업무일지!$D615,코드설정!$B$5:$B$21,업무일지!$E615)=0),"세부유형이 직무구분과 불일치; ",""))&amp;IF(AND(업무일지!$F615&lt;&gt;"",COUNTIF(사건마스터!$A$5:$A$64,업무일지!$F615)=0),"미등록 사건번호; ","")&amp;IF(AND(업무일지!$F615="",업무일지!$H615=""),"사건번호·업무명 모두 없음; ","")&amp;IF(업무일지!$J615="","담당자 없음; ","")&amp;IF(COUNTIF(코드설정!$F$5:$F$7,업무일지!$AG615)=0,"진행상태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"&amp;업무일지!$H616)</f>
        <v/>
      </c>
      <c r="D648" s="45">
        <f>IF(NOT(COUNTBLANK(업무일지!$B616:$AH616)&lt;33),"",TRIM(IF(업무일지!$B616="","시작일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","")&amp;IF(COUNTIF(코드설정!$H$5:$H$7,업무일지!$D616)=0,"직무구분 누락; ","")&amp;IF(업무일지!$E616="","세부유형 누락; ",IF(AND(업무일지!$D616&lt;&gt;"",COUNTIFS(코드설정!$A$5:$A$21,업무일지!$D616,코드설정!$B$5:$B$21,업무일지!$E616)=0),"세부유형이 직무구분과 불일치; ",""))&amp;IF(AND(업무일지!$F616&lt;&gt;"",COUNTIF(사건마스터!$A$5:$A$64,업무일지!$F616)=0),"미등록 사건번호; ","")&amp;IF(AND(업무일지!$F616="",업무일지!$H616=""),"사건번호·업무명 모두 없음; ","")&amp;IF(업무일지!$J616="","담당자 없음; ","")&amp;IF(COUNTIF(코드설정!$F$5:$F$7,업무일지!$AG616)=0,"진행상태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"&amp;업무일지!$H617)</f>
        <v/>
      </c>
      <c r="D649" s="45">
        <f>IF(NOT(COUNTBLANK(업무일지!$B617:$AH617)&lt;33),"",TRIM(IF(업무일지!$B617="","시작일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","")&amp;IF(COUNTIF(코드설정!$H$5:$H$7,업무일지!$D617)=0,"직무구분 누락; ","")&amp;IF(업무일지!$E617="","세부유형 누락; ",IF(AND(업무일지!$D617&lt;&gt;"",COUNTIFS(코드설정!$A$5:$A$21,업무일지!$D617,코드설정!$B$5:$B$21,업무일지!$E617)=0),"세부유형이 직무구분과 불일치; ",""))&amp;IF(AND(업무일지!$F617&lt;&gt;"",COUNTIF(사건마스터!$A$5:$A$64,업무일지!$F617)=0),"미등록 사건번호; ","")&amp;IF(AND(업무일지!$F617="",업무일지!$H617=""),"사건번호·업무명 모두 없음; ","")&amp;IF(업무일지!$J617="","담당자 없음; ","")&amp;IF(COUNTIF(코드설정!$F$5:$F$7,업무일지!$AG617)=0,"진행상태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"&amp;업무일지!$H618)</f>
        <v/>
      </c>
      <c r="D650" s="45">
        <f>IF(NOT(COUNTBLANK(업무일지!$B618:$AH618)&lt;33),"",TRIM(IF(업무일지!$B618="","시작일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","")&amp;IF(COUNTIF(코드설정!$H$5:$H$7,업무일지!$D618)=0,"직무구분 누락; ","")&amp;IF(업무일지!$E618="","세부유형 누락; ",IF(AND(업무일지!$D618&lt;&gt;"",COUNTIFS(코드설정!$A$5:$A$21,업무일지!$D618,코드설정!$B$5:$B$21,업무일지!$E618)=0),"세부유형이 직무구분과 불일치; ",""))&amp;IF(AND(업무일지!$F618&lt;&gt;"",COUNTIF(사건마스터!$A$5:$A$64,업무일지!$F618)=0),"미등록 사건번호; ","")&amp;IF(AND(업무일지!$F618="",업무일지!$H618=""),"사건번호·업무명 모두 없음; ","")&amp;IF(업무일지!$J618="","담당자 없음; ","")&amp;IF(COUNTIF(코드설정!$F$5:$F$7,업무일지!$AG618)=0,"진행상태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"&amp;업무일지!$H619)</f>
        <v/>
      </c>
      <c r="D651" s="45">
        <f>IF(NOT(COUNTBLANK(업무일지!$B619:$AH619)&lt;33),"",TRIM(IF(업무일지!$B619="","시작일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","")&amp;IF(COUNTIF(코드설정!$H$5:$H$7,업무일지!$D619)=0,"직무구분 누락; ","")&amp;IF(업무일지!$E619="","세부유형 누락; ",IF(AND(업무일지!$D619&lt;&gt;"",COUNTIFS(코드설정!$A$5:$A$21,업무일지!$D619,코드설정!$B$5:$B$21,업무일지!$E619)=0),"세부유형이 직무구분과 불일치; ",""))&amp;IF(AND(업무일지!$F619&lt;&gt;"",COUNTIF(사건마스터!$A$5:$A$64,업무일지!$F619)=0),"미등록 사건번호; ","")&amp;IF(AND(업무일지!$F619="",업무일지!$H619=""),"사건번호·업무명 모두 없음; ","")&amp;IF(업무일지!$J619="","담당자 없음; ","")&amp;IF(COUNTIF(코드설정!$F$5:$F$7,업무일지!$AG619)=0,"진행상태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"&amp;업무일지!$H620)</f>
        <v/>
      </c>
      <c r="D652" s="45">
        <f>IF(NOT(COUNTBLANK(업무일지!$B620:$AH620)&lt;33),"",TRIM(IF(업무일지!$B620="","시작일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","")&amp;IF(COUNTIF(코드설정!$H$5:$H$7,업무일지!$D620)=0,"직무구분 누락; ","")&amp;IF(업무일지!$E620="","세부유형 누락; ",IF(AND(업무일지!$D620&lt;&gt;"",COUNTIFS(코드설정!$A$5:$A$21,업무일지!$D620,코드설정!$B$5:$B$21,업무일지!$E620)=0),"세부유형이 직무구분과 불일치; ",""))&amp;IF(AND(업무일지!$F620&lt;&gt;"",COUNTIF(사건마스터!$A$5:$A$64,업무일지!$F620)=0),"미등록 사건번호; ","")&amp;IF(AND(업무일지!$F620="",업무일지!$H620=""),"사건번호·업무명 모두 없음; ","")&amp;IF(업무일지!$J620="","담당자 없음; ","")&amp;IF(COUNTIF(코드설정!$F$5:$F$7,업무일지!$AG620)=0,"진행상태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"&amp;업무일지!$H621)</f>
        <v/>
      </c>
      <c r="D653" s="45">
        <f>IF(NOT(COUNTBLANK(업무일지!$B621:$AH621)&lt;33),"",TRIM(IF(업무일지!$B621="","시작일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","")&amp;IF(COUNTIF(코드설정!$H$5:$H$7,업무일지!$D621)=0,"직무구분 누락; ","")&amp;IF(업무일지!$E621="","세부유형 누락; ",IF(AND(업무일지!$D621&lt;&gt;"",COUNTIFS(코드설정!$A$5:$A$21,업무일지!$D621,코드설정!$B$5:$B$21,업무일지!$E621)=0),"세부유형이 직무구분과 불일치; ",""))&amp;IF(AND(업무일지!$F621&lt;&gt;"",COUNTIF(사건마스터!$A$5:$A$64,업무일지!$F621)=0),"미등록 사건번호; ","")&amp;IF(AND(업무일지!$F621="",업무일지!$H621=""),"사건번호·업무명 모두 없음; ","")&amp;IF(업무일지!$J621="","담당자 없음; ","")&amp;IF(COUNTIF(코드설정!$F$5:$F$7,업무일지!$AG621)=0,"진행상태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"&amp;업무일지!$H622)</f>
        <v/>
      </c>
      <c r="D654" s="45">
        <f>IF(NOT(COUNTBLANK(업무일지!$B622:$AH622)&lt;33),"",TRIM(IF(업무일지!$B622="","시작일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","")&amp;IF(COUNTIF(코드설정!$H$5:$H$7,업무일지!$D622)=0,"직무구분 누락; ","")&amp;IF(업무일지!$E622="","세부유형 누락; ",IF(AND(업무일지!$D622&lt;&gt;"",COUNTIFS(코드설정!$A$5:$A$21,업무일지!$D622,코드설정!$B$5:$B$21,업무일지!$E622)=0),"세부유형이 직무구분과 불일치; ",""))&amp;IF(AND(업무일지!$F622&lt;&gt;"",COUNTIF(사건마스터!$A$5:$A$64,업무일지!$F622)=0),"미등록 사건번호; ","")&amp;IF(AND(업무일지!$F622="",업무일지!$H622=""),"사건번호·업무명 모두 없음; ","")&amp;IF(업무일지!$J622="","담당자 없음; ","")&amp;IF(COUNTIF(코드설정!$F$5:$F$7,업무일지!$AG622)=0,"진행상태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"&amp;업무일지!$H623)</f>
        <v/>
      </c>
      <c r="D655" s="45">
        <f>IF(NOT(COUNTBLANK(업무일지!$B623:$AH623)&lt;33),"",TRIM(IF(업무일지!$B623="","시작일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","")&amp;IF(COUNTIF(코드설정!$H$5:$H$7,업무일지!$D623)=0,"직무구분 누락; ","")&amp;IF(업무일지!$E623="","세부유형 누락; ",IF(AND(업무일지!$D623&lt;&gt;"",COUNTIFS(코드설정!$A$5:$A$21,업무일지!$D623,코드설정!$B$5:$B$21,업무일지!$E623)=0),"세부유형이 직무구분과 불일치; ",""))&amp;IF(AND(업무일지!$F623&lt;&gt;"",COUNTIF(사건마스터!$A$5:$A$64,업무일지!$F623)=0),"미등록 사건번호; ","")&amp;IF(AND(업무일지!$F623="",업무일지!$H623=""),"사건번호·업무명 모두 없음; ","")&amp;IF(업무일지!$J623="","담당자 없음; ","")&amp;IF(COUNTIF(코드설정!$F$5:$F$7,업무일지!$AG623)=0,"진행상태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"&amp;업무일지!$H624)</f>
        <v/>
      </c>
      <c r="D656" s="45">
        <f>IF(NOT(COUNTBLANK(업무일지!$B624:$AH624)&lt;33),"",TRIM(IF(업무일지!$B624="","시작일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","")&amp;IF(COUNTIF(코드설정!$H$5:$H$7,업무일지!$D624)=0,"직무구분 누락; ","")&amp;IF(업무일지!$E624="","세부유형 누락; ",IF(AND(업무일지!$D624&lt;&gt;"",COUNTIFS(코드설정!$A$5:$A$21,업무일지!$D624,코드설정!$B$5:$B$21,업무일지!$E624)=0),"세부유형이 직무구분과 불일치; ",""))&amp;IF(AND(업무일지!$F624&lt;&gt;"",COUNTIF(사건마스터!$A$5:$A$64,업무일지!$F624)=0),"미등록 사건번호; ","")&amp;IF(AND(업무일지!$F624="",업무일지!$H624=""),"사건번호·업무명 모두 없음; ","")&amp;IF(업무일지!$J624="","담당자 없음; ","")&amp;IF(COUNTIF(코드설정!$F$5:$F$7,업무일지!$AG624)=0,"진행상태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"&amp;업무일지!$H625)</f>
        <v/>
      </c>
      <c r="D657" s="45">
        <f>IF(NOT(COUNTBLANK(업무일지!$B625:$AH625)&lt;33),"",TRIM(IF(업무일지!$B625="","시작일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","")&amp;IF(COUNTIF(코드설정!$H$5:$H$7,업무일지!$D625)=0,"직무구분 누락; ","")&amp;IF(업무일지!$E625="","세부유형 누락; ",IF(AND(업무일지!$D625&lt;&gt;"",COUNTIFS(코드설정!$A$5:$A$21,업무일지!$D625,코드설정!$B$5:$B$21,업무일지!$E625)=0),"세부유형이 직무구분과 불일치; ",""))&amp;IF(AND(업무일지!$F625&lt;&gt;"",COUNTIF(사건마스터!$A$5:$A$64,업무일지!$F625)=0),"미등록 사건번호; ","")&amp;IF(AND(업무일지!$F625="",업무일지!$H625=""),"사건번호·업무명 모두 없음; ","")&amp;IF(업무일지!$J625="","담당자 없음; ","")&amp;IF(COUNTIF(코드설정!$F$5:$F$7,업무일지!$AG625)=0,"진행상태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"&amp;업무일지!$H626)</f>
        <v/>
      </c>
      <c r="D658" s="45">
        <f>IF(NOT(COUNTBLANK(업무일지!$B626:$AH626)&lt;33),"",TRIM(IF(업무일지!$B626="","시작일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","")&amp;IF(COUNTIF(코드설정!$H$5:$H$7,업무일지!$D626)=0,"직무구분 누락; ","")&amp;IF(업무일지!$E626="","세부유형 누락; ",IF(AND(업무일지!$D626&lt;&gt;"",COUNTIFS(코드설정!$A$5:$A$21,업무일지!$D626,코드설정!$B$5:$B$21,업무일지!$E626)=0),"세부유형이 직무구분과 불일치; ",""))&amp;IF(AND(업무일지!$F626&lt;&gt;"",COUNTIF(사건마스터!$A$5:$A$64,업무일지!$F626)=0),"미등록 사건번호; ","")&amp;IF(AND(업무일지!$F626="",업무일지!$H626=""),"사건번호·업무명 모두 없음; ","")&amp;IF(업무일지!$J626="","담당자 없음; ","")&amp;IF(COUNTIF(코드설정!$F$5:$F$7,업무일지!$AG626)=0,"진행상태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"&amp;업무일지!$H627)</f>
        <v/>
      </c>
      <c r="D659" s="45">
        <f>IF(NOT(COUNTBLANK(업무일지!$B627:$AH627)&lt;33),"",TRIM(IF(업무일지!$B627="","시작일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","")&amp;IF(COUNTIF(코드설정!$H$5:$H$7,업무일지!$D627)=0,"직무구분 누락; ","")&amp;IF(업무일지!$E627="","세부유형 누락; ",IF(AND(업무일지!$D627&lt;&gt;"",COUNTIFS(코드설정!$A$5:$A$21,업무일지!$D627,코드설정!$B$5:$B$21,업무일지!$E627)=0),"세부유형이 직무구분과 불일치; ",""))&amp;IF(AND(업무일지!$F627&lt;&gt;"",COUNTIF(사건마스터!$A$5:$A$64,업무일지!$F627)=0),"미등록 사건번호; ","")&amp;IF(AND(업무일지!$F627="",업무일지!$H627=""),"사건번호·업무명 모두 없음; ","")&amp;IF(업무일지!$J627="","담당자 없음; ","")&amp;IF(COUNTIF(코드설정!$F$5:$F$7,업무일지!$AG627)=0,"진행상태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"&amp;업무일지!$H628)</f>
        <v/>
      </c>
      <c r="D660" s="45">
        <f>IF(NOT(COUNTBLANK(업무일지!$B628:$AH628)&lt;33),"",TRIM(IF(업무일지!$B628="","시작일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","")&amp;IF(COUNTIF(코드설정!$H$5:$H$7,업무일지!$D628)=0,"직무구분 누락; ","")&amp;IF(업무일지!$E628="","세부유형 누락; ",IF(AND(업무일지!$D628&lt;&gt;"",COUNTIFS(코드설정!$A$5:$A$21,업무일지!$D628,코드설정!$B$5:$B$21,업무일지!$E628)=0),"세부유형이 직무구분과 불일치; ",""))&amp;IF(AND(업무일지!$F628&lt;&gt;"",COUNTIF(사건마스터!$A$5:$A$64,업무일지!$F628)=0),"미등록 사건번호; ","")&amp;IF(AND(업무일지!$F628="",업무일지!$H628=""),"사건번호·업무명 모두 없음; ","")&amp;IF(업무일지!$J628="","담당자 없음; ","")&amp;IF(COUNTIF(코드설정!$F$5:$F$7,업무일지!$AG628)=0,"진행상태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"&amp;업무일지!$H629)</f>
        <v/>
      </c>
      <c r="D661" s="45">
        <f>IF(NOT(COUNTBLANK(업무일지!$B629:$AH629)&lt;33),"",TRIM(IF(업무일지!$B629="","시작일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","")&amp;IF(COUNTIF(코드설정!$H$5:$H$7,업무일지!$D629)=0,"직무구분 누락; ","")&amp;IF(업무일지!$E629="","세부유형 누락; ",IF(AND(업무일지!$D629&lt;&gt;"",COUNTIFS(코드설정!$A$5:$A$21,업무일지!$D629,코드설정!$B$5:$B$21,업무일지!$E629)=0),"세부유형이 직무구분과 불일치; ",""))&amp;IF(AND(업무일지!$F629&lt;&gt;"",COUNTIF(사건마스터!$A$5:$A$64,업무일지!$F629)=0),"미등록 사건번호; ","")&amp;IF(AND(업무일지!$F629="",업무일지!$H629=""),"사건번호·업무명 모두 없음; ","")&amp;IF(업무일지!$J629="","담당자 없음; ","")&amp;IF(COUNTIF(코드설정!$F$5:$F$7,업무일지!$AG629)=0,"진행상태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"&amp;업무일지!$H630)</f>
        <v/>
      </c>
      <c r="D662" s="45">
        <f>IF(NOT(COUNTBLANK(업무일지!$B630:$AH630)&lt;33),"",TRIM(IF(업무일지!$B630="","시작일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","")&amp;IF(COUNTIF(코드설정!$H$5:$H$7,업무일지!$D630)=0,"직무구분 누락; ","")&amp;IF(업무일지!$E630="","세부유형 누락; ",IF(AND(업무일지!$D630&lt;&gt;"",COUNTIFS(코드설정!$A$5:$A$21,업무일지!$D630,코드설정!$B$5:$B$21,업무일지!$E630)=0),"세부유형이 직무구분과 불일치; ",""))&amp;IF(AND(업무일지!$F630&lt;&gt;"",COUNTIF(사건마스터!$A$5:$A$64,업무일지!$F630)=0),"미등록 사건번호; ","")&amp;IF(AND(업무일지!$F630="",업무일지!$H630=""),"사건번호·업무명 모두 없음; ","")&amp;IF(업무일지!$J630="","담당자 없음; ","")&amp;IF(COUNTIF(코드설정!$F$5:$F$7,업무일지!$AG630)=0,"진행상태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"&amp;업무일지!$H631)</f>
        <v/>
      </c>
      <c r="D663" s="45">
        <f>IF(NOT(COUNTBLANK(업무일지!$B631:$AH631)&lt;33),"",TRIM(IF(업무일지!$B631="","시작일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","")&amp;IF(COUNTIF(코드설정!$H$5:$H$7,업무일지!$D631)=0,"직무구분 누락; ","")&amp;IF(업무일지!$E631="","세부유형 누락; ",IF(AND(업무일지!$D631&lt;&gt;"",COUNTIFS(코드설정!$A$5:$A$21,업무일지!$D631,코드설정!$B$5:$B$21,업무일지!$E631)=0),"세부유형이 직무구분과 불일치; ",""))&amp;IF(AND(업무일지!$F631&lt;&gt;"",COUNTIF(사건마스터!$A$5:$A$64,업무일지!$F631)=0),"미등록 사건번호; ","")&amp;IF(AND(업무일지!$F631="",업무일지!$H631=""),"사건번호·업무명 모두 없음; ","")&amp;IF(업무일지!$J631="","담당자 없음; ","")&amp;IF(COUNTIF(코드설정!$F$5:$F$7,업무일지!$AG631)=0,"진행상태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"&amp;업무일지!$H632)</f>
        <v/>
      </c>
      <c r="D664" s="45">
        <f>IF(NOT(COUNTBLANK(업무일지!$B632:$AH632)&lt;33),"",TRIM(IF(업무일지!$B632="","시작일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","")&amp;IF(COUNTIF(코드설정!$H$5:$H$7,업무일지!$D632)=0,"직무구분 누락; ","")&amp;IF(업무일지!$E632="","세부유형 누락; ",IF(AND(업무일지!$D632&lt;&gt;"",COUNTIFS(코드설정!$A$5:$A$21,업무일지!$D632,코드설정!$B$5:$B$21,업무일지!$E632)=0),"세부유형이 직무구분과 불일치; ",""))&amp;IF(AND(업무일지!$F632&lt;&gt;"",COUNTIF(사건마스터!$A$5:$A$64,업무일지!$F632)=0),"미등록 사건번호; ","")&amp;IF(AND(업무일지!$F632="",업무일지!$H632=""),"사건번호·업무명 모두 없음; ","")&amp;IF(업무일지!$J632="","담당자 없음; ","")&amp;IF(COUNTIF(코드설정!$F$5:$F$7,업무일지!$AG632)=0,"진행상태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"&amp;업무일지!$H633)</f>
        <v/>
      </c>
      <c r="D665" s="45">
        <f>IF(NOT(COUNTBLANK(업무일지!$B633:$AH633)&lt;33),"",TRIM(IF(업무일지!$B633="","시작일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","")&amp;IF(COUNTIF(코드설정!$H$5:$H$7,업무일지!$D633)=0,"직무구분 누락; ","")&amp;IF(업무일지!$E633="","세부유형 누락; ",IF(AND(업무일지!$D633&lt;&gt;"",COUNTIFS(코드설정!$A$5:$A$21,업무일지!$D633,코드설정!$B$5:$B$21,업무일지!$E633)=0),"세부유형이 직무구분과 불일치; ",""))&amp;IF(AND(업무일지!$F633&lt;&gt;"",COUNTIF(사건마스터!$A$5:$A$64,업무일지!$F633)=0),"미등록 사건번호; ","")&amp;IF(AND(업무일지!$F633="",업무일지!$H633=""),"사건번호·업무명 모두 없음; ","")&amp;IF(업무일지!$J633="","담당자 없음; ","")&amp;IF(COUNTIF(코드설정!$F$5:$F$7,업무일지!$AG633)=0,"진행상태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"&amp;업무일지!$H634)</f>
        <v/>
      </c>
      <c r="D666" s="45">
        <f>IF(NOT(COUNTBLANK(업무일지!$B634:$AH634)&lt;33),"",TRIM(IF(업무일지!$B634="","시작일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","")&amp;IF(COUNTIF(코드설정!$H$5:$H$7,업무일지!$D634)=0,"직무구분 누락; ","")&amp;IF(업무일지!$E634="","세부유형 누락; ",IF(AND(업무일지!$D634&lt;&gt;"",COUNTIFS(코드설정!$A$5:$A$21,업무일지!$D634,코드설정!$B$5:$B$21,업무일지!$E634)=0),"세부유형이 직무구분과 불일치; ",""))&amp;IF(AND(업무일지!$F634&lt;&gt;"",COUNTIF(사건마스터!$A$5:$A$64,업무일지!$F634)=0),"미등록 사건번호; ","")&amp;IF(AND(업무일지!$F634="",업무일지!$H634=""),"사건번호·업무명 모두 없음; ","")&amp;IF(업무일지!$J634="","담당자 없음; ","")&amp;IF(COUNTIF(코드설정!$F$5:$F$7,업무일지!$AG634)=0,"진행상태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"&amp;업무일지!$H635)</f>
        <v/>
      </c>
      <c r="D667" s="45">
        <f>IF(NOT(COUNTBLANK(업무일지!$B635:$AH635)&lt;33),"",TRIM(IF(업무일지!$B635="","시작일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","")&amp;IF(COUNTIF(코드설정!$H$5:$H$7,업무일지!$D635)=0,"직무구분 누락; ","")&amp;IF(업무일지!$E635="","세부유형 누락; ",IF(AND(업무일지!$D635&lt;&gt;"",COUNTIFS(코드설정!$A$5:$A$21,업무일지!$D635,코드설정!$B$5:$B$21,업무일지!$E635)=0),"세부유형이 직무구분과 불일치; ",""))&amp;IF(AND(업무일지!$F635&lt;&gt;"",COUNTIF(사건마스터!$A$5:$A$64,업무일지!$F635)=0),"미등록 사건번호; ","")&amp;IF(AND(업무일지!$F635="",업무일지!$H635=""),"사건번호·업무명 모두 없음; ","")&amp;IF(업무일지!$J635="","담당자 없음; ","")&amp;IF(COUNTIF(코드설정!$F$5:$F$7,업무일지!$AG635)=0,"진행상태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"&amp;업무일지!$H636)</f>
        <v/>
      </c>
      <c r="D668" s="45">
        <f>IF(NOT(COUNTBLANK(업무일지!$B636:$AH636)&lt;33),"",TRIM(IF(업무일지!$B636="","시작일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","")&amp;IF(COUNTIF(코드설정!$H$5:$H$7,업무일지!$D636)=0,"직무구분 누락; ","")&amp;IF(업무일지!$E636="","세부유형 누락; ",IF(AND(업무일지!$D636&lt;&gt;"",COUNTIFS(코드설정!$A$5:$A$21,업무일지!$D636,코드설정!$B$5:$B$21,업무일지!$E636)=0),"세부유형이 직무구분과 불일치; ",""))&amp;IF(AND(업무일지!$F636&lt;&gt;"",COUNTIF(사건마스터!$A$5:$A$64,업무일지!$F636)=0),"미등록 사건번호; ","")&amp;IF(AND(업무일지!$F636="",업무일지!$H636=""),"사건번호·업무명 모두 없음; ","")&amp;IF(업무일지!$J636="","담당자 없음; ","")&amp;IF(COUNTIF(코드설정!$F$5:$F$7,업무일지!$AG636)=0,"진행상태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"&amp;업무일지!$H637)</f>
        <v/>
      </c>
      <c r="D669" s="45">
        <f>IF(NOT(COUNTBLANK(업무일지!$B637:$AH637)&lt;33),"",TRIM(IF(업무일지!$B637="","시작일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","")&amp;IF(COUNTIF(코드설정!$H$5:$H$7,업무일지!$D637)=0,"직무구분 누락; ","")&amp;IF(업무일지!$E637="","세부유형 누락; ",IF(AND(업무일지!$D637&lt;&gt;"",COUNTIFS(코드설정!$A$5:$A$21,업무일지!$D637,코드설정!$B$5:$B$21,업무일지!$E637)=0),"세부유형이 직무구분과 불일치; ",""))&amp;IF(AND(업무일지!$F637&lt;&gt;"",COUNTIF(사건마스터!$A$5:$A$64,업무일지!$F637)=0),"미등록 사건번호; ","")&amp;IF(AND(업무일지!$F637="",업무일지!$H637=""),"사건번호·업무명 모두 없음; ","")&amp;IF(업무일지!$J637="","담당자 없음; ","")&amp;IF(COUNTIF(코드설정!$F$5:$F$7,업무일지!$AG637)=0,"진행상태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"&amp;업무일지!$H638)</f>
        <v/>
      </c>
      <c r="D670" s="45">
        <f>IF(NOT(COUNTBLANK(업무일지!$B638:$AH638)&lt;33),"",TRIM(IF(업무일지!$B638="","시작일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","")&amp;IF(COUNTIF(코드설정!$H$5:$H$7,업무일지!$D638)=0,"직무구분 누락; ","")&amp;IF(업무일지!$E638="","세부유형 누락; ",IF(AND(업무일지!$D638&lt;&gt;"",COUNTIFS(코드설정!$A$5:$A$21,업무일지!$D638,코드설정!$B$5:$B$21,업무일지!$E638)=0),"세부유형이 직무구분과 불일치; ",""))&amp;IF(AND(업무일지!$F638&lt;&gt;"",COUNTIF(사건마스터!$A$5:$A$64,업무일지!$F638)=0),"미등록 사건번호; ","")&amp;IF(AND(업무일지!$F638="",업무일지!$H638=""),"사건번호·업무명 모두 없음; ","")&amp;IF(업무일지!$J638="","담당자 없음; ","")&amp;IF(COUNTIF(코드설정!$F$5:$F$7,업무일지!$AG638)=0,"진행상태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"&amp;업무일지!$H639)</f>
        <v/>
      </c>
      <c r="D671" s="45">
        <f>IF(NOT(COUNTBLANK(업무일지!$B639:$AH639)&lt;33),"",TRIM(IF(업무일지!$B639="","시작일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","")&amp;IF(COUNTIF(코드설정!$H$5:$H$7,업무일지!$D639)=0,"직무구분 누락; ","")&amp;IF(업무일지!$E639="","세부유형 누락; ",IF(AND(업무일지!$D639&lt;&gt;"",COUNTIFS(코드설정!$A$5:$A$21,업무일지!$D639,코드설정!$B$5:$B$21,업무일지!$E639)=0),"세부유형이 직무구분과 불일치; ",""))&amp;IF(AND(업무일지!$F639&lt;&gt;"",COUNTIF(사건마스터!$A$5:$A$64,업무일지!$F639)=0),"미등록 사건번호; ","")&amp;IF(AND(업무일지!$F639="",업무일지!$H639=""),"사건번호·업무명 모두 없음; ","")&amp;IF(업무일지!$J639="","담당자 없음; ","")&amp;IF(COUNTIF(코드설정!$F$5:$F$7,업무일지!$AG639)=0,"진행상태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"&amp;업무일지!$H640)</f>
        <v/>
      </c>
      <c r="D672" s="45">
        <f>IF(NOT(COUNTBLANK(업무일지!$B640:$AH640)&lt;33),"",TRIM(IF(업무일지!$B640="","시작일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","")&amp;IF(COUNTIF(코드설정!$H$5:$H$7,업무일지!$D640)=0,"직무구분 누락; ","")&amp;IF(업무일지!$E640="","세부유형 누락; ",IF(AND(업무일지!$D640&lt;&gt;"",COUNTIFS(코드설정!$A$5:$A$21,업무일지!$D640,코드설정!$B$5:$B$21,업무일지!$E640)=0),"세부유형이 직무구분과 불일치; ",""))&amp;IF(AND(업무일지!$F640&lt;&gt;"",COUNTIF(사건마스터!$A$5:$A$64,업무일지!$F640)=0),"미등록 사건번호; ","")&amp;IF(AND(업무일지!$F640="",업무일지!$H640=""),"사건번호·업무명 모두 없음; ","")&amp;IF(업무일지!$J640="","담당자 없음; ","")&amp;IF(COUNTIF(코드설정!$F$5:$F$7,업무일지!$AG640)=0,"진행상태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"&amp;업무일지!$H641)</f>
        <v/>
      </c>
      <c r="D673" s="45">
        <f>IF(NOT(COUNTBLANK(업무일지!$B641:$AH641)&lt;33),"",TRIM(IF(업무일지!$B641="","시작일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","")&amp;IF(COUNTIF(코드설정!$H$5:$H$7,업무일지!$D641)=0,"직무구분 누락; ","")&amp;IF(업무일지!$E641="","세부유형 누락; ",IF(AND(업무일지!$D641&lt;&gt;"",COUNTIFS(코드설정!$A$5:$A$21,업무일지!$D641,코드설정!$B$5:$B$21,업무일지!$E641)=0),"세부유형이 직무구분과 불일치; ",""))&amp;IF(AND(업무일지!$F641&lt;&gt;"",COUNTIF(사건마스터!$A$5:$A$64,업무일지!$F641)=0),"미등록 사건번호; ","")&amp;IF(AND(업무일지!$F641="",업무일지!$H641=""),"사건번호·업무명 모두 없음; ","")&amp;IF(업무일지!$J641="","담당자 없음; ","")&amp;IF(COUNTIF(코드설정!$F$5:$F$7,업무일지!$AG641)=0,"진행상태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"&amp;업무일지!$H642)</f>
        <v/>
      </c>
      <c r="D674" s="45">
        <f>IF(NOT(COUNTBLANK(업무일지!$B642:$AH642)&lt;33),"",TRIM(IF(업무일지!$B642="","시작일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","")&amp;IF(COUNTIF(코드설정!$H$5:$H$7,업무일지!$D642)=0,"직무구분 누락; ","")&amp;IF(업무일지!$E642="","세부유형 누락; ",IF(AND(업무일지!$D642&lt;&gt;"",COUNTIFS(코드설정!$A$5:$A$21,업무일지!$D642,코드설정!$B$5:$B$21,업무일지!$E642)=0),"세부유형이 직무구분과 불일치; ",""))&amp;IF(AND(업무일지!$F642&lt;&gt;"",COUNTIF(사건마스터!$A$5:$A$64,업무일지!$F642)=0),"미등록 사건번호; ","")&amp;IF(AND(업무일지!$F642="",업무일지!$H642=""),"사건번호·업무명 모두 없음; ","")&amp;IF(업무일지!$J642="","담당자 없음; ","")&amp;IF(COUNTIF(코드설정!$F$5:$F$7,업무일지!$AG642)=0,"진행상태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"&amp;업무일지!$H643)</f>
        <v/>
      </c>
      <c r="D675" s="45">
        <f>IF(NOT(COUNTBLANK(업무일지!$B643:$AH643)&lt;33),"",TRIM(IF(업무일지!$B643="","시작일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","")&amp;IF(COUNTIF(코드설정!$H$5:$H$7,업무일지!$D643)=0,"직무구분 누락; ","")&amp;IF(업무일지!$E643="","세부유형 누락; ",IF(AND(업무일지!$D643&lt;&gt;"",COUNTIFS(코드설정!$A$5:$A$21,업무일지!$D643,코드설정!$B$5:$B$21,업무일지!$E643)=0),"세부유형이 직무구분과 불일치; ",""))&amp;IF(AND(업무일지!$F643&lt;&gt;"",COUNTIF(사건마스터!$A$5:$A$64,업무일지!$F643)=0),"미등록 사건번호; ","")&amp;IF(AND(업무일지!$F643="",업무일지!$H643=""),"사건번호·업무명 모두 없음; ","")&amp;IF(업무일지!$J643="","담당자 없음; ","")&amp;IF(COUNTIF(코드설정!$F$5:$F$7,업무일지!$AG643)=0,"진행상태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"&amp;업무일지!$H644)</f>
        <v/>
      </c>
      <c r="D676" s="45">
        <f>IF(NOT(COUNTBLANK(업무일지!$B644:$AH644)&lt;33),"",TRIM(IF(업무일지!$B644="","시작일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","")&amp;IF(COUNTIF(코드설정!$H$5:$H$7,업무일지!$D644)=0,"직무구분 누락; ","")&amp;IF(업무일지!$E644="","세부유형 누락; ",IF(AND(업무일지!$D644&lt;&gt;"",COUNTIFS(코드설정!$A$5:$A$21,업무일지!$D644,코드설정!$B$5:$B$21,업무일지!$E644)=0),"세부유형이 직무구분과 불일치; ",""))&amp;IF(AND(업무일지!$F644&lt;&gt;"",COUNTIF(사건마스터!$A$5:$A$64,업무일지!$F644)=0),"미등록 사건번호; ","")&amp;IF(AND(업무일지!$F644="",업무일지!$H644=""),"사건번호·업무명 모두 없음; ","")&amp;IF(업무일지!$J644="","담당자 없음; ","")&amp;IF(COUNTIF(코드설정!$F$5:$F$7,업무일지!$AG644)=0,"진행상태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"&amp;업무일지!$H645)</f>
        <v/>
      </c>
      <c r="D677" s="45">
        <f>IF(NOT(COUNTBLANK(업무일지!$B645:$AH645)&lt;33),"",TRIM(IF(업무일지!$B645="","시작일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","")&amp;IF(COUNTIF(코드설정!$H$5:$H$7,업무일지!$D645)=0,"직무구분 누락; ","")&amp;IF(업무일지!$E645="","세부유형 누락; ",IF(AND(업무일지!$D645&lt;&gt;"",COUNTIFS(코드설정!$A$5:$A$21,업무일지!$D645,코드설정!$B$5:$B$21,업무일지!$E645)=0),"세부유형이 직무구분과 불일치; ",""))&amp;IF(AND(업무일지!$F645&lt;&gt;"",COUNTIF(사건마스터!$A$5:$A$64,업무일지!$F645)=0),"미등록 사건번호; ","")&amp;IF(AND(업무일지!$F645="",업무일지!$H645=""),"사건번호·업무명 모두 없음; ","")&amp;IF(업무일지!$J645="","담당자 없음; ","")&amp;IF(COUNTIF(코드설정!$F$5:$F$7,업무일지!$AG645)=0,"진행상태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"&amp;업무일지!$H646)</f>
        <v/>
      </c>
      <c r="D678" s="45">
        <f>IF(NOT(COUNTBLANK(업무일지!$B646:$AH646)&lt;33),"",TRIM(IF(업무일지!$B646="","시작일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","")&amp;IF(COUNTIF(코드설정!$H$5:$H$7,업무일지!$D646)=0,"직무구분 누락; ","")&amp;IF(업무일지!$E646="","세부유형 누락; ",IF(AND(업무일지!$D646&lt;&gt;"",COUNTIFS(코드설정!$A$5:$A$21,업무일지!$D646,코드설정!$B$5:$B$21,업무일지!$E646)=0),"세부유형이 직무구분과 불일치; ",""))&amp;IF(AND(업무일지!$F646&lt;&gt;"",COUNTIF(사건마스터!$A$5:$A$64,업무일지!$F646)=0),"미등록 사건번호; ","")&amp;IF(AND(업무일지!$F646="",업무일지!$H646=""),"사건번호·업무명 모두 없음; ","")&amp;IF(업무일지!$J646="","담당자 없음; ","")&amp;IF(COUNTIF(코드설정!$F$5:$F$7,업무일지!$AG646)=0,"진행상태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"&amp;업무일지!$H647)</f>
        <v/>
      </c>
      <c r="D679" s="45">
        <f>IF(NOT(COUNTBLANK(업무일지!$B647:$AH647)&lt;33),"",TRIM(IF(업무일지!$B647="","시작일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","")&amp;IF(COUNTIF(코드설정!$H$5:$H$7,업무일지!$D647)=0,"직무구분 누락; ","")&amp;IF(업무일지!$E647="","세부유형 누락; ",IF(AND(업무일지!$D647&lt;&gt;"",COUNTIFS(코드설정!$A$5:$A$21,업무일지!$D647,코드설정!$B$5:$B$21,업무일지!$E647)=0),"세부유형이 직무구분과 불일치; ",""))&amp;IF(AND(업무일지!$F647&lt;&gt;"",COUNTIF(사건마스터!$A$5:$A$64,업무일지!$F647)=0),"미등록 사건번호; ","")&amp;IF(AND(업무일지!$F647="",업무일지!$H647=""),"사건번호·업무명 모두 없음; ","")&amp;IF(업무일지!$J647="","담당자 없음; ","")&amp;IF(COUNTIF(코드설정!$F$5:$F$7,업무일지!$AG647)=0,"진행상태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"&amp;업무일지!$H648)</f>
        <v/>
      </c>
      <c r="D680" s="45">
        <f>IF(NOT(COUNTBLANK(업무일지!$B648:$AH648)&lt;33),"",TRIM(IF(업무일지!$B648="","시작일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","")&amp;IF(COUNTIF(코드설정!$H$5:$H$7,업무일지!$D648)=0,"직무구분 누락; ","")&amp;IF(업무일지!$E648="","세부유형 누락; ",IF(AND(업무일지!$D648&lt;&gt;"",COUNTIFS(코드설정!$A$5:$A$21,업무일지!$D648,코드설정!$B$5:$B$21,업무일지!$E648)=0),"세부유형이 직무구분과 불일치; ",""))&amp;IF(AND(업무일지!$F648&lt;&gt;"",COUNTIF(사건마스터!$A$5:$A$64,업무일지!$F648)=0),"미등록 사건번호; ","")&amp;IF(AND(업무일지!$F648="",업무일지!$H648=""),"사건번호·업무명 모두 없음; ","")&amp;IF(업무일지!$J648="","담당자 없음; ","")&amp;IF(COUNTIF(코드설정!$F$5:$F$7,업무일지!$AG648)=0,"진행상태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"&amp;업무일지!$H649)</f>
        <v/>
      </c>
      <c r="D681" s="45">
        <f>IF(NOT(COUNTBLANK(업무일지!$B649:$AH649)&lt;33),"",TRIM(IF(업무일지!$B649="","시작일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","")&amp;IF(COUNTIF(코드설정!$H$5:$H$7,업무일지!$D649)=0,"직무구분 누락; ","")&amp;IF(업무일지!$E649="","세부유형 누락; ",IF(AND(업무일지!$D649&lt;&gt;"",COUNTIFS(코드설정!$A$5:$A$21,업무일지!$D649,코드설정!$B$5:$B$21,업무일지!$E649)=0),"세부유형이 직무구분과 불일치; ",""))&amp;IF(AND(업무일지!$F649&lt;&gt;"",COUNTIF(사건마스터!$A$5:$A$64,업무일지!$F649)=0),"미등록 사건번호; ","")&amp;IF(AND(업무일지!$F649="",업무일지!$H649=""),"사건번호·업무명 모두 없음; ","")&amp;IF(업무일지!$J649="","담당자 없음; ","")&amp;IF(COUNTIF(코드설정!$F$5:$F$7,업무일지!$AG649)=0,"진행상태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"&amp;업무일지!$H650)</f>
        <v/>
      </c>
      <c r="D682" s="45">
        <f>IF(NOT(COUNTBLANK(업무일지!$B650:$AH650)&lt;33),"",TRIM(IF(업무일지!$B650="","시작일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","")&amp;IF(COUNTIF(코드설정!$H$5:$H$7,업무일지!$D650)=0,"직무구분 누락; ","")&amp;IF(업무일지!$E650="","세부유형 누락; ",IF(AND(업무일지!$D650&lt;&gt;"",COUNTIFS(코드설정!$A$5:$A$21,업무일지!$D650,코드설정!$B$5:$B$21,업무일지!$E650)=0),"세부유형이 직무구분과 불일치; ",""))&amp;IF(AND(업무일지!$F650&lt;&gt;"",COUNTIF(사건마스터!$A$5:$A$64,업무일지!$F650)=0),"미등록 사건번호; ","")&amp;IF(AND(업무일지!$F650="",업무일지!$H650=""),"사건번호·업무명 모두 없음; ","")&amp;IF(업무일지!$J650="","담당자 없음; ","")&amp;IF(COUNTIF(코드설정!$F$5:$F$7,업무일지!$AG650)=0,"진행상태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"&amp;업무일지!$H651)</f>
        <v/>
      </c>
      <c r="D683" s="45">
        <f>IF(NOT(COUNTBLANK(업무일지!$B651:$AH651)&lt;33),"",TRIM(IF(업무일지!$B651="","시작일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","")&amp;IF(COUNTIF(코드설정!$H$5:$H$7,업무일지!$D651)=0,"직무구분 누락; ","")&amp;IF(업무일지!$E651="","세부유형 누락; ",IF(AND(업무일지!$D651&lt;&gt;"",COUNTIFS(코드설정!$A$5:$A$21,업무일지!$D651,코드설정!$B$5:$B$21,업무일지!$E651)=0),"세부유형이 직무구분과 불일치; ",""))&amp;IF(AND(업무일지!$F651&lt;&gt;"",COUNTIF(사건마스터!$A$5:$A$64,업무일지!$F651)=0),"미등록 사건번호; ","")&amp;IF(AND(업무일지!$F651="",업무일지!$H651=""),"사건번호·업무명 모두 없음; ","")&amp;IF(업무일지!$J651="","담당자 없음; ","")&amp;IF(COUNTIF(코드설정!$F$5:$F$7,업무일지!$AG651)=0,"진행상태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"&amp;업무일지!$H652)</f>
        <v/>
      </c>
      <c r="D684" s="45">
        <f>IF(NOT(COUNTBLANK(업무일지!$B652:$AH652)&lt;33),"",TRIM(IF(업무일지!$B652="","시작일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","")&amp;IF(COUNTIF(코드설정!$H$5:$H$7,업무일지!$D652)=0,"직무구분 누락; ","")&amp;IF(업무일지!$E652="","세부유형 누락; ",IF(AND(업무일지!$D652&lt;&gt;"",COUNTIFS(코드설정!$A$5:$A$21,업무일지!$D652,코드설정!$B$5:$B$21,업무일지!$E652)=0),"세부유형이 직무구분과 불일치; ",""))&amp;IF(AND(업무일지!$F652&lt;&gt;"",COUNTIF(사건마스터!$A$5:$A$64,업무일지!$F652)=0),"미등록 사건번호; ","")&amp;IF(AND(업무일지!$F652="",업무일지!$H652=""),"사건번호·업무명 모두 없음; ","")&amp;IF(업무일지!$J652="","담당자 없음; ","")&amp;IF(COUNTIF(코드설정!$F$5:$F$7,업무일지!$AG652)=0,"진행상태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"&amp;업무일지!$H653)</f>
        <v/>
      </c>
      <c r="D685" s="45">
        <f>IF(NOT(COUNTBLANK(업무일지!$B653:$AH653)&lt;33),"",TRIM(IF(업무일지!$B653="","시작일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","")&amp;IF(COUNTIF(코드설정!$H$5:$H$7,업무일지!$D653)=0,"직무구분 누락; ","")&amp;IF(업무일지!$E653="","세부유형 누락; ",IF(AND(업무일지!$D653&lt;&gt;"",COUNTIFS(코드설정!$A$5:$A$21,업무일지!$D653,코드설정!$B$5:$B$21,업무일지!$E653)=0),"세부유형이 직무구분과 불일치; ",""))&amp;IF(AND(업무일지!$F653&lt;&gt;"",COUNTIF(사건마스터!$A$5:$A$64,업무일지!$F653)=0),"미등록 사건번호; ","")&amp;IF(AND(업무일지!$F653="",업무일지!$H653=""),"사건번호·업무명 모두 없음; ","")&amp;IF(업무일지!$J653="","담당자 없음; ","")&amp;IF(COUNTIF(코드설정!$F$5:$F$7,업무일지!$AG653)=0,"진행상태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"&amp;업무일지!$H654)</f>
        <v/>
      </c>
      <c r="D686" s="45">
        <f>IF(NOT(COUNTBLANK(업무일지!$B654:$AH654)&lt;33),"",TRIM(IF(업무일지!$B654="","시작일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","")&amp;IF(COUNTIF(코드설정!$H$5:$H$7,업무일지!$D654)=0,"직무구분 누락; ","")&amp;IF(업무일지!$E654="","세부유형 누락; ",IF(AND(업무일지!$D654&lt;&gt;"",COUNTIFS(코드설정!$A$5:$A$21,업무일지!$D654,코드설정!$B$5:$B$21,업무일지!$E654)=0),"세부유형이 직무구분과 불일치; ",""))&amp;IF(AND(업무일지!$F654&lt;&gt;"",COUNTIF(사건마스터!$A$5:$A$64,업무일지!$F654)=0),"미등록 사건번호; ","")&amp;IF(AND(업무일지!$F654="",업무일지!$H654=""),"사건번호·업무명 모두 없음; ","")&amp;IF(업무일지!$J654="","담당자 없음; ","")&amp;IF(COUNTIF(코드설정!$F$5:$F$7,업무일지!$AG654)=0,"진행상태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"&amp;업무일지!$H655)</f>
        <v/>
      </c>
      <c r="D687" s="45">
        <f>IF(NOT(COUNTBLANK(업무일지!$B655:$AH655)&lt;33),"",TRIM(IF(업무일지!$B655="","시작일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","")&amp;IF(COUNTIF(코드설정!$H$5:$H$7,업무일지!$D655)=0,"직무구분 누락; ","")&amp;IF(업무일지!$E655="","세부유형 누락; ",IF(AND(업무일지!$D655&lt;&gt;"",COUNTIFS(코드설정!$A$5:$A$21,업무일지!$D655,코드설정!$B$5:$B$21,업무일지!$E655)=0),"세부유형이 직무구분과 불일치; ",""))&amp;IF(AND(업무일지!$F655&lt;&gt;"",COUNTIF(사건마스터!$A$5:$A$64,업무일지!$F655)=0),"미등록 사건번호; ","")&amp;IF(AND(업무일지!$F655="",업무일지!$H655=""),"사건번호·업무명 모두 없음; ","")&amp;IF(업무일지!$J655="","담당자 없음; ","")&amp;IF(COUNTIF(코드설정!$F$5:$F$7,업무일지!$AG655)=0,"진행상태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"&amp;업무일지!$H656)</f>
        <v/>
      </c>
      <c r="D688" s="45">
        <f>IF(NOT(COUNTBLANK(업무일지!$B656:$AH656)&lt;33),"",TRIM(IF(업무일지!$B656="","시작일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","")&amp;IF(COUNTIF(코드설정!$H$5:$H$7,업무일지!$D656)=0,"직무구분 누락; ","")&amp;IF(업무일지!$E656="","세부유형 누락; ",IF(AND(업무일지!$D656&lt;&gt;"",COUNTIFS(코드설정!$A$5:$A$21,업무일지!$D656,코드설정!$B$5:$B$21,업무일지!$E656)=0),"세부유형이 직무구분과 불일치; ",""))&amp;IF(AND(업무일지!$F656&lt;&gt;"",COUNTIF(사건마스터!$A$5:$A$64,업무일지!$F656)=0),"미등록 사건번호; ","")&amp;IF(AND(업무일지!$F656="",업무일지!$H656=""),"사건번호·업무명 모두 없음; ","")&amp;IF(업무일지!$J656="","담당자 없음; ","")&amp;IF(COUNTIF(코드설정!$F$5:$F$7,업무일지!$AG656)=0,"진행상태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"&amp;업무일지!$H657)</f>
        <v/>
      </c>
      <c r="D689" s="45">
        <f>IF(NOT(COUNTBLANK(업무일지!$B657:$AH657)&lt;33),"",TRIM(IF(업무일지!$B657="","시작일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","")&amp;IF(COUNTIF(코드설정!$H$5:$H$7,업무일지!$D657)=0,"직무구분 누락; ","")&amp;IF(업무일지!$E657="","세부유형 누락; ",IF(AND(업무일지!$D657&lt;&gt;"",COUNTIFS(코드설정!$A$5:$A$21,업무일지!$D657,코드설정!$B$5:$B$21,업무일지!$E657)=0),"세부유형이 직무구분과 불일치; ",""))&amp;IF(AND(업무일지!$F657&lt;&gt;"",COUNTIF(사건마스터!$A$5:$A$64,업무일지!$F657)=0),"미등록 사건번호; ","")&amp;IF(AND(업무일지!$F657="",업무일지!$H657=""),"사건번호·업무명 모두 없음; ","")&amp;IF(업무일지!$J657="","담당자 없음; ","")&amp;IF(COUNTIF(코드설정!$F$5:$F$7,업무일지!$AG657)=0,"진행상태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"&amp;업무일지!$H658)</f>
        <v/>
      </c>
      <c r="D690" s="45">
        <f>IF(NOT(COUNTBLANK(업무일지!$B658:$AH658)&lt;33),"",TRIM(IF(업무일지!$B658="","시작일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","")&amp;IF(COUNTIF(코드설정!$H$5:$H$7,업무일지!$D658)=0,"직무구분 누락; ","")&amp;IF(업무일지!$E658="","세부유형 누락; ",IF(AND(업무일지!$D658&lt;&gt;"",COUNTIFS(코드설정!$A$5:$A$21,업무일지!$D658,코드설정!$B$5:$B$21,업무일지!$E658)=0),"세부유형이 직무구분과 불일치; ",""))&amp;IF(AND(업무일지!$F658&lt;&gt;"",COUNTIF(사건마스터!$A$5:$A$64,업무일지!$F658)=0),"미등록 사건번호; ","")&amp;IF(AND(업무일지!$F658="",업무일지!$H658=""),"사건번호·업무명 모두 없음; ","")&amp;IF(업무일지!$J658="","담당자 없음; ","")&amp;IF(COUNTIF(코드설정!$F$5:$F$7,업무일지!$AG658)=0,"진행상태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"&amp;업무일지!$H659)</f>
        <v/>
      </c>
      <c r="D691" s="45">
        <f>IF(NOT(COUNTBLANK(업무일지!$B659:$AH659)&lt;33),"",TRIM(IF(업무일지!$B659="","시작일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","")&amp;IF(COUNTIF(코드설정!$H$5:$H$7,업무일지!$D659)=0,"직무구분 누락; ","")&amp;IF(업무일지!$E659="","세부유형 누락; ",IF(AND(업무일지!$D659&lt;&gt;"",COUNTIFS(코드설정!$A$5:$A$21,업무일지!$D659,코드설정!$B$5:$B$21,업무일지!$E659)=0),"세부유형이 직무구분과 불일치; ",""))&amp;IF(AND(업무일지!$F659&lt;&gt;"",COUNTIF(사건마스터!$A$5:$A$64,업무일지!$F659)=0),"미등록 사건번호; ","")&amp;IF(AND(업무일지!$F659="",업무일지!$H659=""),"사건번호·업무명 모두 없음; ","")&amp;IF(업무일지!$J659="","담당자 없음; ","")&amp;IF(COUNTIF(코드설정!$F$5:$F$7,업무일지!$AG659)=0,"진행상태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"&amp;업무일지!$H660)</f>
        <v/>
      </c>
      <c r="D692" s="45">
        <f>IF(NOT(COUNTBLANK(업무일지!$B660:$AH660)&lt;33),"",TRIM(IF(업무일지!$B660="","시작일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","")&amp;IF(COUNTIF(코드설정!$H$5:$H$7,업무일지!$D660)=0,"직무구분 누락; ","")&amp;IF(업무일지!$E660="","세부유형 누락; ",IF(AND(업무일지!$D660&lt;&gt;"",COUNTIFS(코드설정!$A$5:$A$21,업무일지!$D660,코드설정!$B$5:$B$21,업무일지!$E660)=0),"세부유형이 직무구분과 불일치; ",""))&amp;IF(AND(업무일지!$F660&lt;&gt;"",COUNTIF(사건마스터!$A$5:$A$64,업무일지!$F660)=0),"미등록 사건번호; ","")&amp;IF(AND(업무일지!$F660="",업무일지!$H660=""),"사건번호·업무명 모두 없음; ","")&amp;IF(업무일지!$J660="","담당자 없음; ","")&amp;IF(COUNTIF(코드설정!$F$5:$F$7,업무일지!$AG660)=0,"진행상태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"&amp;업무일지!$H661)</f>
        <v/>
      </c>
      <c r="D693" s="45">
        <f>IF(NOT(COUNTBLANK(업무일지!$B661:$AH661)&lt;33),"",TRIM(IF(업무일지!$B661="","시작일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","")&amp;IF(COUNTIF(코드설정!$H$5:$H$7,업무일지!$D661)=0,"직무구분 누락; ","")&amp;IF(업무일지!$E661="","세부유형 누락; ",IF(AND(업무일지!$D661&lt;&gt;"",COUNTIFS(코드설정!$A$5:$A$21,업무일지!$D661,코드설정!$B$5:$B$21,업무일지!$E661)=0),"세부유형이 직무구분과 불일치; ",""))&amp;IF(AND(업무일지!$F661&lt;&gt;"",COUNTIF(사건마스터!$A$5:$A$64,업무일지!$F661)=0),"미등록 사건번호; ","")&amp;IF(AND(업무일지!$F661="",업무일지!$H661=""),"사건번호·업무명 모두 없음; ","")&amp;IF(업무일지!$J661="","담당자 없음; ","")&amp;IF(COUNTIF(코드설정!$F$5:$F$7,업무일지!$AG661)=0,"진행상태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"&amp;업무일지!$H662)</f>
        <v/>
      </c>
      <c r="D694" s="45">
        <f>IF(NOT(COUNTBLANK(업무일지!$B662:$AH662)&lt;33),"",TRIM(IF(업무일지!$B662="","시작일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","")&amp;IF(COUNTIF(코드설정!$H$5:$H$7,업무일지!$D662)=0,"직무구분 누락; ","")&amp;IF(업무일지!$E662="","세부유형 누락; ",IF(AND(업무일지!$D662&lt;&gt;"",COUNTIFS(코드설정!$A$5:$A$21,업무일지!$D662,코드설정!$B$5:$B$21,업무일지!$E662)=0),"세부유형이 직무구분과 불일치; ",""))&amp;IF(AND(업무일지!$F662&lt;&gt;"",COUNTIF(사건마스터!$A$5:$A$64,업무일지!$F662)=0),"미등록 사건번호; ","")&amp;IF(AND(업무일지!$F662="",업무일지!$H662=""),"사건번호·업무명 모두 없음; ","")&amp;IF(업무일지!$J662="","담당자 없음; ","")&amp;IF(COUNTIF(코드설정!$F$5:$F$7,업무일지!$AG662)=0,"진행상태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"&amp;업무일지!$H663)</f>
        <v/>
      </c>
      <c r="D695" s="45">
        <f>IF(NOT(COUNTBLANK(업무일지!$B663:$AH663)&lt;33),"",TRIM(IF(업무일지!$B663="","시작일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","")&amp;IF(COUNTIF(코드설정!$H$5:$H$7,업무일지!$D663)=0,"직무구분 누락; ","")&amp;IF(업무일지!$E663="","세부유형 누락; ",IF(AND(업무일지!$D663&lt;&gt;"",COUNTIFS(코드설정!$A$5:$A$21,업무일지!$D663,코드설정!$B$5:$B$21,업무일지!$E663)=0),"세부유형이 직무구분과 불일치; ",""))&amp;IF(AND(업무일지!$F663&lt;&gt;"",COUNTIF(사건마스터!$A$5:$A$64,업무일지!$F663)=0),"미등록 사건번호; ","")&amp;IF(AND(업무일지!$F663="",업무일지!$H663=""),"사건번호·업무명 모두 없음; ","")&amp;IF(업무일지!$J663="","담당자 없음; ","")&amp;IF(COUNTIF(코드설정!$F$5:$F$7,업무일지!$AG663)=0,"진행상태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"&amp;업무일지!$H664)</f>
        <v/>
      </c>
      <c r="D696" s="45">
        <f>IF(NOT(COUNTBLANK(업무일지!$B664:$AH664)&lt;33),"",TRIM(IF(업무일지!$B664="","시작일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","")&amp;IF(COUNTIF(코드설정!$H$5:$H$7,업무일지!$D664)=0,"직무구분 누락; ","")&amp;IF(업무일지!$E664="","세부유형 누락; ",IF(AND(업무일지!$D664&lt;&gt;"",COUNTIFS(코드설정!$A$5:$A$21,업무일지!$D664,코드설정!$B$5:$B$21,업무일지!$E664)=0),"세부유형이 직무구분과 불일치; ",""))&amp;IF(AND(업무일지!$F664&lt;&gt;"",COUNTIF(사건마스터!$A$5:$A$64,업무일지!$F664)=0),"미등록 사건번호; ","")&amp;IF(AND(업무일지!$F664="",업무일지!$H664=""),"사건번호·업무명 모두 없음; ","")&amp;IF(업무일지!$J664="","담당자 없음; ","")&amp;IF(COUNTIF(코드설정!$F$5:$F$7,업무일지!$AG664)=0,"진행상태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"&amp;업무일지!$H665)</f>
        <v/>
      </c>
      <c r="D697" s="45">
        <f>IF(NOT(COUNTBLANK(업무일지!$B665:$AH665)&lt;33),"",TRIM(IF(업무일지!$B665="","시작일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","")&amp;IF(COUNTIF(코드설정!$H$5:$H$7,업무일지!$D665)=0,"직무구분 누락; ","")&amp;IF(업무일지!$E665="","세부유형 누락; ",IF(AND(업무일지!$D665&lt;&gt;"",COUNTIFS(코드설정!$A$5:$A$21,업무일지!$D665,코드설정!$B$5:$B$21,업무일지!$E665)=0),"세부유형이 직무구분과 불일치; ",""))&amp;IF(AND(업무일지!$F665&lt;&gt;"",COUNTIF(사건마스터!$A$5:$A$64,업무일지!$F665)=0),"미등록 사건번호; ","")&amp;IF(AND(업무일지!$F665="",업무일지!$H665=""),"사건번호·업무명 모두 없음; ","")&amp;IF(업무일지!$J665="","담당자 없음; ","")&amp;IF(COUNTIF(코드설정!$F$5:$F$7,업무일지!$AG665)=0,"진행상태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"&amp;업무일지!$H666)</f>
        <v/>
      </c>
      <c r="D698" s="45">
        <f>IF(NOT(COUNTBLANK(업무일지!$B666:$AH666)&lt;33),"",TRIM(IF(업무일지!$B666="","시작일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","")&amp;IF(COUNTIF(코드설정!$H$5:$H$7,업무일지!$D666)=0,"직무구분 누락; ","")&amp;IF(업무일지!$E666="","세부유형 누락; ",IF(AND(업무일지!$D666&lt;&gt;"",COUNTIFS(코드설정!$A$5:$A$21,업무일지!$D666,코드설정!$B$5:$B$21,업무일지!$E666)=0),"세부유형이 직무구분과 불일치; ",""))&amp;IF(AND(업무일지!$F666&lt;&gt;"",COUNTIF(사건마스터!$A$5:$A$64,업무일지!$F666)=0),"미등록 사건번호; ","")&amp;IF(AND(업무일지!$F666="",업무일지!$H666=""),"사건번호·업무명 모두 없음; ","")&amp;IF(업무일지!$J666="","담당자 없음; ","")&amp;IF(COUNTIF(코드설정!$F$5:$F$7,업무일지!$AG666)=0,"진행상태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"&amp;업무일지!$H667)</f>
        <v/>
      </c>
      <c r="D699" s="45">
        <f>IF(NOT(COUNTBLANK(업무일지!$B667:$AH667)&lt;33),"",TRIM(IF(업무일지!$B667="","시작일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","")&amp;IF(COUNTIF(코드설정!$H$5:$H$7,업무일지!$D667)=0,"직무구분 누락; ","")&amp;IF(업무일지!$E667="","세부유형 누락; ",IF(AND(업무일지!$D667&lt;&gt;"",COUNTIFS(코드설정!$A$5:$A$21,업무일지!$D667,코드설정!$B$5:$B$21,업무일지!$E667)=0),"세부유형이 직무구분과 불일치; ",""))&amp;IF(AND(업무일지!$F667&lt;&gt;"",COUNTIF(사건마스터!$A$5:$A$64,업무일지!$F667)=0),"미등록 사건번호; ","")&amp;IF(AND(업무일지!$F667="",업무일지!$H667=""),"사건번호·업무명 모두 없음; ","")&amp;IF(업무일지!$J667="","담당자 없음; ","")&amp;IF(COUNTIF(코드설정!$F$5:$F$7,업무일지!$AG667)=0,"진행상태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"&amp;업무일지!$H668)</f>
        <v/>
      </c>
      <c r="D700" s="45">
        <f>IF(NOT(COUNTBLANK(업무일지!$B668:$AH668)&lt;33),"",TRIM(IF(업무일지!$B668="","시작일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","")&amp;IF(COUNTIF(코드설정!$H$5:$H$7,업무일지!$D668)=0,"직무구분 누락; ","")&amp;IF(업무일지!$E668="","세부유형 누락; ",IF(AND(업무일지!$D668&lt;&gt;"",COUNTIFS(코드설정!$A$5:$A$21,업무일지!$D668,코드설정!$B$5:$B$21,업무일지!$E668)=0),"세부유형이 직무구분과 불일치; ",""))&amp;IF(AND(업무일지!$F668&lt;&gt;"",COUNTIF(사건마스터!$A$5:$A$64,업무일지!$F668)=0),"미등록 사건번호; ","")&amp;IF(AND(업무일지!$F668="",업무일지!$H668=""),"사건번호·업무명 모두 없음; ","")&amp;IF(업무일지!$J668="","담당자 없음; ","")&amp;IF(COUNTIF(코드설정!$F$5:$F$7,업무일지!$AG668)=0,"진행상태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"&amp;업무일지!$H669)</f>
        <v/>
      </c>
      <c r="D701" s="45">
        <f>IF(NOT(COUNTBLANK(업무일지!$B669:$AH669)&lt;33),"",TRIM(IF(업무일지!$B669="","시작일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","")&amp;IF(COUNTIF(코드설정!$H$5:$H$7,업무일지!$D669)=0,"직무구분 누락; ","")&amp;IF(업무일지!$E669="","세부유형 누락; ",IF(AND(업무일지!$D669&lt;&gt;"",COUNTIFS(코드설정!$A$5:$A$21,업무일지!$D669,코드설정!$B$5:$B$21,업무일지!$E669)=0),"세부유형이 직무구분과 불일치; ",""))&amp;IF(AND(업무일지!$F669&lt;&gt;"",COUNTIF(사건마스터!$A$5:$A$64,업무일지!$F669)=0),"미등록 사건번호; ","")&amp;IF(AND(업무일지!$F669="",업무일지!$H669=""),"사건번호·업무명 모두 없음; ","")&amp;IF(업무일지!$J669="","담당자 없음; ","")&amp;IF(COUNTIF(코드설정!$F$5:$F$7,업무일지!$AG669)=0,"진행상태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"&amp;업무일지!$H670)</f>
        <v/>
      </c>
      <c r="D702" s="45">
        <f>IF(NOT(COUNTBLANK(업무일지!$B670:$AH670)&lt;33),"",TRIM(IF(업무일지!$B670="","시작일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","")&amp;IF(COUNTIF(코드설정!$H$5:$H$7,업무일지!$D670)=0,"직무구분 누락; ","")&amp;IF(업무일지!$E670="","세부유형 누락; ",IF(AND(업무일지!$D670&lt;&gt;"",COUNTIFS(코드설정!$A$5:$A$21,업무일지!$D670,코드설정!$B$5:$B$21,업무일지!$E670)=0),"세부유형이 직무구분과 불일치; ",""))&amp;IF(AND(업무일지!$F670&lt;&gt;"",COUNTIF(사건마스터!$A$5:$A$64,업무일지!$F670)=0),"미등록 사건번호; ","")&amp;IF(AND(업무일지!$F670="",업무일지!$H670=""),"사건번호·업무명 모두 없음; ","")&amp;IF(업무일지!$J670="","담당자 없음; ","")&amp;IF(COUNTIF(코드설정!$F$5:$F$7,업무일지!$AG670)=0,"진행상태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"&amp;업무일지!$H671)</f>
        <v/>
      </c>
      <c r="D703" s="45">
        <f>IF(NOT(COUNTBLANK(업무일지!$B671:$AH671)&lt;33),"",TRIM(IF(업무일지!$B671="","시작일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","")&amp;IF(COUNTIF(코드설정!$H$5:$H$7,업무일지!$D671)=0,"직무구분 누락; ","")&amp;IF(업무일지!$E671="","세부유형 누락; ",IF(AND(업무일지!$D671&lt;&gt;"",COUNTIFS(코드설정!$A$5:$A$21,업무일지!$D671,코드설정!$B$5:$B$21,업무일지!$E671)=0),"세부유형이 직무구분과 불일치; ",""))&amp;IF(AND(업무일지!$F671&lt;&gt;"",COUNTIF(사건마스터!$A$5:$A$64,업무일지!$F671)=0),"미등록 사건번호; ","")&amp;IF(AND(업무일지!$F671="",업무일지!$H671=""),"사건번호·업무명 모두 없음; ","")&amp;IF(업무일지!$J671="","담당자 없음; ","")&amp;IF(COUNTIF(코드설정!$F$5:$F$7,업무일지!$AG671)=0,"진행상태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"&amp;업무일지!$H672)</f>
        <v/>
      </c>
      <c r="D704" s="45">
        <f>IF(NOT(COUNTBLANK(업무일지!$B672:$AH672)&lt;33),"",TRIM(IF(업무일지!$B672="","시작일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","")&amp;IF(COUNTIF(코드설정!$H$5:$H$7,업무일지!$D672)=0,"직무구분 누락; ","")&amp;IF(업무일지!$E672="","세부유형 누락; ",IF(AND(업무일지!$D672&lt;&gt;"",COUNTIFS(코드설정!$A$5:$A$21,업무일지!$D672,코드설정!$B$5:$B$21,업무일지!$E672)=0),"세부유형이 직무구분과 불일치; ",""))&amp;IF(AND(업무일지!$F672&lt;&gt;"",COUNTIF(사건마스터!$A$5:$A$64,업무일지!$F672)=0),"미등록 사건번호; ","")&amp;IF(AND(업무일지!$F672="",업무일지!$H672=""),"사건번호·업무명 모두 없음; ","")&amp;IF(업무일지!$J672="","담당자 없음; ","")&amp;IF(COUNTIF(코드설정!$F$5:$F$7,업무일지!$AG672)=0,"진행상태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"&amp;업무일지!$H673)</f>
        <v/>
      </c>
      <c r="D705" s="45">
        <f>IF(NOT(COUNTBLANK(업무일지!$B673:$AH673)&lt;33),"",TRIM(IF(업무일지!$B673="","시작일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","")&amp;IF(COUNTIF(코드설정!$H$5:$H$7,업무일지!$D673)=0,"직무구분 누락; ","")&amp;IF(업무일지!$E673="","세부유형 누락; ",IF(AND(업무일지!$D673&lt;&gt;"",COUNTIFS(코드설정!$A$5:$A$21,업무일지!$D673,코드설정!$B$5:$B$21,업무일지!$E673)=0),"세부유형이 직무구분과 불일치; ",""))&amp;IF(AND(업무일지!$F673&lt;&gt;"",COUNTIF(사건마스터!$A$5:$A$64,업무일지!$F673)=0),"미등록 사건번호; ","")&amp;IF(AND(업무일지!$F673="",업무일지!$H673=""),"사건번호·업무명 모두 없음; ","")&amp;IF(업무일지!$J673="","담당자 없음; ","")&amp;IF(COUNTIF(코드설정!$F$5:$F$7,업무일지!$AG673)=0,"진행상태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"&amp;업무일지!$H674)</f>
        <v/>
      </c>
      <c r="D706" s="45">
        <f>IF(NOT(COUNTBLANK(업무일지!$B674:$AH674)&lt;33),"",TRIM(IF(업무일지!$B674="","시작일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","")&amp;IF(COUNTIF(코드설정!$H$5:$H$7,업무일지!$D674)=0,"직무구분 누락; ","")&amp;IF(업무일지!$E674="","세부유형 누락; ",IF(AND(업무일지!$D674&lt;&gt;"",COUNTIFS(코드설정!$A$5:$A$21,업무일지!$D674,코드설정!$B$5:$B$21,업무일지!$E674)=0),"세부유형이 직무구분과 불일치; ",""))&amp;IF(AND(업무일지!$F674&lt;&gt;"",COUNTIF(사건마스터!$A$5:$A$64,업무일지!$F674)=0),"미등록 사건번호; ","")&amp;IF(AND(업무일지!$F674="",업무일지!$H674=""),"사건번호·업무명 모두 없음; ","")&amp;IF(업무일지!$J674="","담당자 없음; ","")&amp;IF(COUNTIF(코드설정!$F$5:$F$7,업무일지!$AG674)=0,"진행상태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"&amp;업무일지!$H675)</f>
        <v/>
      </c>
      <c r="D707" s="45">
        <f>IF(NOT(COUNTBLANK(업무일지!$B675:$AH675)&lt;33),"",TRIM(IF(업무일지!$B675="","시작일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","")&amp;IF(COUNTIF(코드설정!$H$5:$H$7,업무일지!$D675)=0,"직무구분 누락; ","")&amp;IF(업무일지!$E675="","세부유형 누락; ",IF(AND(업무일지!$D675&lt;&gt;"",COUNTIFS(코드설정!$A$5:$A$21,업무일지!$D675,코드설정!$B$5:$B$21,업무일지!$E675)=0),"세부유형이 직무구분과 불일치; ",""))&amp;IF(AND(업무일지!$F675&lt;&gt;"",COUNTIF(사건마스터!$A$5:$A$64,업무일지!$F675)=0),"미등록 사건번호; ","")&amp;IF(AND(업무일지!$F675="",업무일지!$H675=""),"사건번호·업무명 모두 없음; ","")&amp;IF(업무일지!$J675="","담당자 없음; ","")&amp;IF(COUNTIF(코드설정!$F$5:$F$7,업무일지!$AG675)=0,"진행상태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"&amp;업무일지!$H676)</f>
        <v/>
      </c>
      <c r="D708" s="45">
        <f>IF(NOT(COUNTBLANK(업무일지!$B676:$AH676)&lt;33),"",TRIM(IF(업무일지!$B676="","시작일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","")&amp;IF(COUNTIF(코드설정!$H$5:$H$7,업무일지!$D676)=0,"직무구분 누락; ","")&amp;IF(업무일지!$E676="","세부유형 누락; ",IF(AND(업무일지!$D676&lt;&gt;"",COUNTIFS(코드설정!$A$5:$A$21,업무일지!$D676,코드설정!$B$5:$B$21,업무일지!$E676)=0),"세부유형이 직무구분과 불일치; ",""))&amp;IF(AND(업무일지!$F676&lt;&gt;"",COUNTIF(사건마스터!$A$5:$A$64,업무일지!$F676)=0),"미등록 사건번호; ","")&amp;IF(AND(업무일지!$F676="",업무일지!$H676=""),"사건번호·업무명 모두 없음; ","")&amp;IF(업무일지!$J676="","담당자 없음; ","")&amp;IF(COUNTIF(코드설정!$F$5:$F$7,업무일지!$AG676)=0,"진행상태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"&amp;업무일지!$H677)</f>
        <v/>
      </c>
      <c r="D709" s="45">
        <f>IF(NOT(COUNTBLANK(업무일지!$B677:$AH677)&lt;33),"",TRIM(IF(업무일지!$B677="","시작일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","")&amp;IF(COUNTIF(코드설정!$H$5:$H$7,업무일지!$D677)=0,"직무구분 누락; ","")&amp;IF(업무일지!$E677="","세부유형 누락; ",IF(AND(업무일지!$D677&lt;&gt;"",COUNTIFS(코드설정!$A$5:$A$21,업무일지!$D677,코드설정!$B$5:$B$21,업무일지!$E677)=0),"세부유형이 직무구분과 불일치; ",""))&amp;IF(AND(업무일지!$F677&lt;&gt;"",COUNTIF(사건마스터!$A$5:$A$64,업무일지!$F677)=0),"미등록 사건번호; ","")&amp;IF(AND(업무일지!$F677="",업무일지!$H677=""),"사건번호·업무명 모두 없음; ","")&amp;IF(업무일지!$J677="","담당자 없음; ","")&amp;IF(COUNTIF(코드설정!$F$5:$F$7,업무일지!$AG677)=0,"진행상태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"&amp;업무일지!$H678)</f>
        <v/>
      </c>
      <c r="D710" s="45">
        <f>IF(NOT(COUNTBLANK(업무일지!$B678:$AH678)&lt;33),"",TRIM(IF(업무일지!$B678="","시작일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","")&amp;IF(COUNTIF(코드설정!$H$5:$H$7,업무일지!$D678)=0,"직무구분 누락; ","")&amp;IF(업무일지!$E678="","세부유형 누락; ",IF(AND(업무일지!$D678&lt;&gt;"",COUNTIFS(코드설정!$A$5:$A$21,업무일지!$D678,코드설정!$B$5:$B$21,업무일지!$E678)=0),"세부유형이 직무구분과 불일치; ",""))&amp;IF(AND(업무일지!$F678&lt;&gt;"",COUNTIF(사건마스터!$A$5:$A$64,업무일지!$F678)=0),"미등록 사건번호; ","")&amp;IF(AND(업무일지!$F678="",업무일지!$H678=""),"사건번호·업무명 모두 없음; ","")&amp;IF(업무일지!$J678="","담당자 없음; ","")&amp;IF(COUNTIF(코드설정!$F$5:$F$7,업무일지!$AG678)=0,"진행상태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"&amp;업무일지!$H679)</f>
        <v/>
      </c>
      <c r="D711" s="45">
        <f>IF(NOT(COUNTBLANK(업무일지!$B679:$AH679)&lt;33),"",TRIM(IF(업무일지!$B679="","시작일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","")&amp;IF(COUNTIF(코드설정!$H$5:$H$7,업무일지!$D679)=0,"직무구분 누락; ","")&amp;IF(업무일지!$E679="","세부유형 누락; ",IF(AND(업무일지!$D679&lt;&gt;"",COUNTIFS(코드설정!$A$5:$A$21,업무일지!$D679,코드설정!$B$5:$B$21,업무일지!$E679)=0),"세부유형이 직무구분과 불일치; ",""))&amp;IF(AND(업무일지!$F679&lt;&gt;"",COUNTIF(사건마스터!$A$5:$A$64,업무일지!$F679)=0),"미등록 사건번호; ","")&amp;IF(AND(업무일지!$F679="",업무일지!$H679=""),"사건번호·업무명 모두 없음; ","")&amp;IF(업무일지!$J679="","담당자 없음; ","")&amp;IF(COUNTIF(코드설정!$F$5:$F$7,업무일지!$AG679)=0,"진행상태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"&amp;업무일지!$H680)</f>
        <v/>
      </c>
      <c r="D712" s="45">
        <f>IF(NOT(COUNTBLANK(업무일지!$B680:$AH680)&lt;33),"",TRIM(IF(업무일지!$B680="","시작일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","")&amp;IF(COUNTIF(코드설정!$H$5:$H$7,업무일지!$D680)=0,"직무구분 누락; ","")&amp;IF(업무일지!$E680="","세부유형 누락; ",IF(AND(업무일지!$D680&lt;&gt;"",COUNTIFS(코드설정!$A$5:$A$21,업무일지!$D680,코드설정!$B$5:$B$21,업무일지!$E680)=0),"세부유형이 직무구분과 불일치; ",""))&amp;IF(AND(업무일지!$F680&lt;&gt;"",COUNTIF(사건마스터!$A$5:$A$64,업무일지!$F680)=0),"미등록 사건번호; ","")&amp;IF(AND(업무일지!$F680="",업무일지!$H680=""),"사건번호·업무명 모두 없음; ","")&amp;IF(업무일지!$J680="","담당자 없음; ","")&amp;IF(COUNTIF(코드설정!$F$5:$F$7,업무일지!$AG680)=0,"진행상태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"&amp;업무일지!$H681)</f>
        <v/>
      </c>
      <c r="D713" s="45">
        <f>IF(NOT(COUNTBLANK(업무일지!$B681:$AH681)&lt;33),"",TRIM(IF(업무일지!$B681="","시작일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","")&amp;IF(COUNTIF(코드설정!$H$5:$H$7,업무일지!$D681)=0,"직무구분 누락; ","")&amp;IF(업무일지!$E681="","세부유형 누락; ",IF(AND(업무일지!$D681&lt;&gt;"",COUNTIFS(코드설정!$A$5:$A$21,업무일지!$D681,코드설정!$B$5:$B$21,업무일지!$E681)=0),"세부유형이 직무구분과 불일치; ",""))&amp;IF(AND(업무일지!$F681&lt;&gt;"",COUNTIF(사건마스터!$A$5:$A$64,업무일지!$F681)=0),"미등록 사건번호; ","")&amp;IF(AND(업무일지!$F681="",업무일지!$H681=""),"사건번호·업무명 모두 없음; ","")&amp;IF(업무일지!$J681="","담당자 없음; ","")&amp;IF(COUNTIF(코드설정!$F$5:$F$7,업무일지!$AG681)=0,"진행상태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"&amp;업무일지!$H682)</f>
        <v/>
      </c>
      <c r="D714" s="45">
        <f>IF(NOT(COUNTBLANK(업무일지!$B682:$AH682)&lt;33),"",TRIM(IF(업무일지!$B682="","시작일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","")&amp;IF(COUNTIF(코드설정!$H$5:$H$7,업무일지!$D682)=0,"직무구분 누락; ","")&amp;IF(업무일지!$E682="","세부유형 누락; ",IF(AND(업무일지!$D682&lt;&gt;"",COUNTIFS(코드설정!$A$5:$A$21,업무일지!$D682,코드설정!$B$5:$B$21,업무일지!$E682)=0),"세부유형이 직무구분과 불일치; ",""))&amp;IF(AND(업무일지!$F682&lt;&gt;"",COUNTIF(사건마스터!$A$5:$A$64,업무일지!$F682)=0),"미등록 사건번호; ","")&amp;IF(AND(업무일지!$F682="",업무일지!$H682=""),"사건번호·업무명 모두 없음; ","")&amp;IF(업무일지!$J682="","담당자 없음; ","")&amp;IF(COUNTIF(코드설정!$F$5:$F$7,업무일지!$AG682)=0,"진행상태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"&amp;업무일지!$H683)</f>
        <v/>
      </c>
      <c r="D715" s="45">
        <f>IF(NOT(COUNTBLANK(업무일지!$B683:$AH683)&lt;33),"",TRIM(IF(업무일지!$B683="","시작일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","")&amp;IF(COUNTIF(코드설정!$H$5:$H$7,업무일지!$D683)=0,"직무구분 누락; ","")&amp;IF(업무일지!$E683="","세부유형 누락; ",IF(AND(업무일지!$D683&lt;&gt;"",COUNTIFS(코드설정!$A$5:$A$21,업무일지!$D683,코드설정!$B$5:$B$21,업무일지!$E683)=0),"세부유형이 직무구분과 불일치; ",""))&amp;IF(AND(업무일지!$F683&lt;&gt;"",COUNTIF(사건마스터!$A$5:$A$64,업무일지!$F683)=0),"미등록 사건번호; ","")&amp;IF(AND(업무일지!$F683="",업무일지!$H683=""),"사건번호·업무명 모두 없음; ","")&amp;IF(업무일지!$J683="","담당자 없음; ","")&amp;IF(COUNTIF(코드설정!$F$5:$F$7,업무일지!$AG683)=0,"진행상태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"&amp;업무일지!$H684)</f>
        <v/>
      </c>
      <c r="D716" s="45">
        <f>IF(NOT(COUNTBLANK(업무일지!$B684:$AH684)&lt;33),"",TRIM(IF(업무일지!$B684="","시작일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","")&amp;IF(COUNTIF(코드설정!$H$5:$H$7,업무일지!$D684)=0,"직무구분 누락; ","")&amp;IF(업무일지!$E684="","세부유형 누락; ",IF(AND(업무일지!$D684&lt;&gt;"",COUNTIFS(코드설정!$A$5:$A$21,업무일지!$D684,코드설정!$B$5:$B$21,업무일지!$E684)=0),"세부유형이 직무구분과 불일치; ",""))&amp;IF(AND(업무일지!$F684&lt;&gt;"",COUNTIF(사건마스터!$A$5:$A$64,업무일지!$F684)=0),"미등록 사건번호; ","")&amp;IF(AND(업무일지!$F684="",업무일지!$H684=""),"사건번호·업무명 모두 없음; ","")&amp;IF(업무일지!$J684="","담당자 없음; ","")&amp;IF(COUNTIF(코드설정!$F$5:$F$7,업무일지!$AG684)=0,"진행상태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"&amp;업무일지!$H685)</f>
        <v/>
      </c>
      <c r="D717" s="45">
        <f>IF(NOT(COUNTBLANK(업무일지!$B685:$AH685)&lt;33),"",TRIM(IF(업무일지!$B685="","시작일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","")&amp;IF(COUNTIF(코드설정!$H$5:$H$7,업무일지!$D685)=0,"직무구분 누락; ","")&amp;IF(업무일지!$E685="","세부유형 누락; ",IF(AND(업무일지!$D685&lt;&gt;"",COUNTIFS(코드설정!$A$5:$A$21,업무일지!$D685,코드설정!$B$5:$B$21,업무일지!$E685)=0),"세부유형이 직무구분과 불일치; ",""))&amp;IF(AND(업무일지!$F685&lt;&gt;"",COUNTIF(사건마스터!$A$5:$A$64,업무일지!$F685)=0),"미등록 사건번호; ","")&amp;IF(AND(업무일지!$F685="",업무일지!$H685=""),"사건번호·업무명 모두 없음; ","")&amp;IF(업무일지!$J685="","담당자 없음; ","")&amp;IF(COUNTIF(코드설정!$F$5:$F$7,업무일지!$AG685)=0,"진행상태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"&amp;업무일지!$H686)</f>
        <v/>
      </c>
      <c r="D718" s="45">
        <f>IF(NOT(COUNTBLANK(업무일지!$B686:$AH686)&lt;33),"",TRIM(IF(업무일지!$B686="","시작일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","")&amp;IF(COUNTIF(코드설정!$H$5:$H$7,업무일지!$D686)=0,"직무구분 누락; ","")&amp;IF(업무일지!$E686="","세부유형 누락; ",IF(AND(업무일지!$D686&lt;&gt;"",COUNTIFS(코드설정!$A$5:$A$21,업무일지!$D686,코드설정!$B$5:$B$21,업무일지!$E686)=0),"세부유형이 직무구분과 불일치; ",""))&amp;IF(AND(업무일지!$F686&lt;&gt;"",COUNTIF(사건마스터!$A$5:$A$64,업무일지!$F686)=0),"미등록 사건번호; ","")&amp;IF(AND(업무일지!$F686="",업무일지!$H686=""),"사건번호·업무명 모두 없음; ","")&amp;IF(업무일지!$J686="","담당자 없음; ","")&amp;IF(COUNTIF(코드설정!$F$5:$F$7,업무일지!$AG686)=0,"진행상태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"&amp;업무일지!$H687)</f>
        <v/>
      </c>
      <c r="D719" s="45">
        <f>IF(NOT(COUNTBLANK(업무일지!$B687:$AH687)&lt;33),"",TRIM(IF(업무일지!$B687="","시작일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","")&amp;IF(COUNTIF(코드설정!$H$5:$H$7,업무일지!$D687)=0,"직무구분 누락; ","")&amp;IF(업무일지!$E687="","세부유형 누락; ",IF(AND(업무일지!$D687&lt;&gt;"",COUNTIFS(코드설정!$A$5:$A$21,업무일지!$D687,코드설정!$B$5:$B$21,업무일지!$E687)=0),"세부유형이 직무구분과 불일치; ",""))&amp;IF(AND(업무일지!$F687&lt;&gt;"",COUNTIF(사건마스터!$A$5:$A$64,업무일지!$F687)=0),"미등록 사건번호; ","")&amp;IF(AND(업무일지!$F687="",업무일지!$H687=""),"사건번호·업무명 모두 없음; ","")&amp;IF(업무일지!$J687="","담당자 없음; ","")&amp;IF(COUNTIF(코드설정!$F$5:$F$7,업무일지!$AG687)=0,"진행상태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"&amp;업무일지!$H688)</f>
        <v/>
      </c>
      <c r="D720" s="45">
        <f>IF(NOT(COUNTBLANK(업무일지!$B688:$AH688)&lt;33),"",TRIM(IF(업무일지!$B688="","시작일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","")&amp;IF(COUNTIF(코드설정!$H$5:$H$7,업무일지!$D688)=0,"직무구분 누락; ","")&amp;IF(업무일지!$E688="","세부유형 누락; ",IF(AND(업무일지!$D688&lt;&gt;"",COUNTIFS(코드설정!$A$5:$A$21,업무일지!$D688,코드설정!$B$5:$B$21,업무일지!$E688)=0),"세부유형이 직무구분과 불일치; ",""))&amp;IF(AND(업무일지!$F688&lt;&gt;"",COUNTIF(사건마스터!$A$5:$A$64,업무일지!$F688)=0),"미등록 사건번호; ","")&amp;IF(AND(업무일지!$F688="",업무일지!$H688=""),"사건번호·업무명 모두 없음; ","")&amp;IF(업무일지!$J688="","담당자 없음; ","")&amp;IF(COUNTIF(코드설정!$F$5:$F$7,업무일지!$AG688)=0,"진행상태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"&amp;업무일지!$H689)</f>
        <v/>
      </c>
      <c r="D721" s="45">
        <f>IF(NOT(COUNTBLANK(업무일지!$B689:$AH689)&lt;33),"",TRIM(IF(업무일지!$B689="","시작일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","")&amp;IF(COUNTIF(코드설정!$H$5:$H$7,업무일지!$D689)=0,"직무구분 누락; ","")&amp;IF(업무일지!$E689="","세부유형 누락; ",IF(AND(업무일지!$D689&lt;&gt;"",COUNTIFS(코드설정!$A$5:$A$21,업무일지!$D689,코드설정!$B$5:$B$21,업무일지!$E689)=0),"세부유형이 직무구분과 불일치; ",""))&amp;IF(AND(업무일지!$F689&lt;&gt;"",COUNTIF(사건마스터!$A$5:$A$64,업무일지!$F689)=0),"미등록 사건번호; ","")&amp;IF(AND(업무일지!$F689="",업무일지!$H689=""),"사건번호·업무명 모두 없음; ","")&amp;IF(업무일지!$J689="","담당자 없음; ","")&amp;IF(COUNTIF(코드설정!$F$5:$F$7,업무일지!$AG689)=0,"진행상태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"&amp;업무일지!$H690)</f>
        <v/>
      </c>
      <c r="D722" s="45">
        <f>IF(NOT(COUNTBLANK(업무일지!$B690:$AH690)&lt;33),"",TRIM(IF(업무일지!$B690="","시작일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","")&amp;IF(COUNTIF(코드설정!$H$5:$H$7,업무일지!$D690)=0,"직무구분 누락; ","")&amp;IF(업무일지!$E690="","세부유형 누락; ",IF(AND(업무일지!$D690&lt;&gt;"",COUNTIFS(코드설정!$A$5:$A$21,업무일지!$D690,코드설정!$B$5:$B$21,업무일지!$E690)=0),"세부유형이 직무구분과 불일치; ",""))&amp;IF(AND(업무일지!$F690&lt;&gt;"",COUNTIF(사건마스터!$A$5:$A$64,업무일지!$F690)=0),"미등록 사건번호; ","")&amp;IF(AND(업무일지!$F690="",업무일지!$H690=""),"사건번호·업무명 모두 없음; ","")&amp;IF(업무일지!$J690="","담당자 없음; ","")&amp;IF(COUNTIF(코드설정!$F$5:$F$7,업무일지!$AG690)=0,"진행상태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"&amp;업무일지!$H691)</f>
        <v/>
      </c>
      <c r="D723" s="45">
        <f>IF(NOT(COUNTBLANK(업무일지!$B691:$AH691)&lt;33),"",TRIM(IF(업무일지!$B691="","시작일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","")&amp;IF(COUNTIF(코드설정!$H$5:$H$7,업무일지!$D691)=0,"직무구분 누락; ","")&amp;IF(업무일지!$E691="","세부유형 누락; ",IF(AND(업무일지!$D691&lt;&gt;"",COUNTIFS(코드설정!$A$5:$A$21,업무일지!$D691,코드설정!$B$5:$B$21,업무일지!$E691)=0),"세부유형이 직무구분과 불일치; ",""))&amp;IF(AND(업무일지!$F691&lt;&gt;"",COUNTIF(사건마스터!$A$5:$A$64,업무일지!$F691)=0),"미등록 사건번호; ","")&amp;IF(AND(업무일지!$F691="",업무일지!$H691=""),"사건번호·업무명 모두 없음; ","")&amp;IF(업무일지!$J691="","담당자 없음; ","")&amp;IF(COUNTIF(코드설정!$F$5:$F$7,업무일지!$AG691)=0,"진행상태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"&amp;업무일지!$H692)</f>
        <v/>
      </c>
      <c r="D724" s="45">
        <f>IF(NOT(COUNTBLANK(업무일지!$B692:$AH692)&lt;33),"",TRIM(IF(업무일지!$B692="","시작일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","")&amp;IF(COUNTIF(코드설정!$H$5:$H$7,업무일지!$D692)=0,"직무구분 누락; ","")&amp;IF(업무일지!$E692="","세부유형 누락; ",IF(AND(업무일지!$D692&lt;&gt;"",COUNTIFS(코드설정!$A$5:$A$21,업무일지!$D692,코드설정!$B$5:$B$21,업무일지!$E692)=0),"세부유형이 직무구분과 불일치; ",""))&amp;IF(AND(업무일지!$F692&lt;&gt;"",COUNTIF(사건마스터!$A$5:$A$64,업무일지!$F692)=0),"미등록 사건번호; ","")&amp;IF(AND(업무일지!$F692="",업무일지!$H692=""),"사건번호·업무명 모두 없음; ","")&amp;IF(업무일지!$J692="","담당자 없음; ","")&amp;IF(COUNTIF(코드설정!$F$5:$F$7,업무일지!$AG692)=0,"진행상태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"&amp;업무일지!$H693)</f>
        <v/>
      </c>
      <c r="D725" s="45">
        <f>IF(NOT(COUNTBLANK(업무일지!$B693:$AH693)&lt;33),"",TRIM(IF(업무일지!$B693="","시작일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","")&amp;IF(COUNTIF(코드설정!$H$5:$H$7,업무일지!$D693)=0,"직무구분 누락; ","")&amp;IF(업무일지!$E693="","세부유형 누락; ",IF(AND(업무일지!$D693&lt;&gt;"",COUNTIFS(코드설정!$A$5:$A$21,업무일지!$D693,코드설정!$B$5:$B$21,업무일지!$E693)=0),"세부유형이 직무구분과 불일치; ",""))&amp;IF(AND(업무일지!$F693&lt;&gt;"",COUNTIF(사건마스터!$A$5:$A$64,업무일지!$F693)=0),"미등록 사건번호; ","")&amp;IF(AND(업무일지!$F693="",업무일지!$H693=""),"사건번호·업무명 모두 없음; ","")&amp;IF(업무일지!$J693="","담당자 없음; ","")&amp;IF(COUNTIF(코드설정!$F$5:$F$7,업무일지!$AG693)=0,"진행상태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"&amp;업무일지!$H694)</f>
        <v/>
      </c>
      <c r="D726" s="45">
        <f>IF(NOT(COUNTBLANK(업무일지!$B694:$AH694)&lt;33),"",TRIM(IF(업무일지!$B694="","시작일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","")&amp;IF(COUNTIF(코드설정!$H$5:$H$7,업무일지!$D694)=0,"직무구분 누락; ","")&amp;IF(업무일지!$E694="","세부유형 누락; ",IF(AND(업무일지!$D694&lt;&gt;"",COUNTIFS(코드설정!$A$5:$A$21,업무일지!$D694,코드설정!$B$5:$B$21,업무일지!$E694)=0),"세부유형이 직무구분과 불일치; ",""))&amp;IF(AND(업무일지!$F694&lt;&gt;"",COUNTIF(사건마스터!$A$5:$A$64,업무일지!$F694)=0),"미등록 사건번호; ","")&amp;IF(AND(업무일지!$F694="",업무일지!$H694=""),"사건번호·업무명 모두 없음; ","")&amp;IF(업무일지!$J694="","담당자 없음; ","")&amp;IF(COUNTIF(코드설정!$F$5:$F$7,업무일지!$AG694)=0,"진행상태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"&amp;업무일지!$H695)</f>
        <v/>
      </c>
      <c r="D727" s="45">
        <f>IF(NOT(COUNTBLANK(업무일지!$B695:$AH695)&lt;33),"",TRIM(IF(업무일지!$B695="","시작일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","")&amp;IF(COUNTIF(코드설정!$H$5:$H$7,업무일지!$D695)=0,"직무구분 누락; ","")&amp;IF(업무일지!$E695="","세부유형 누락; ",IF(AND(업무일지!$D695&lt;&gt;"",COUNTIFS(코드설정!$A$5:$A$21,업무일지!$D695,코드설정!$B$5:$B$21,업무일지!$E695)=0),"세부유형이 직무구분과 불일치; ",""))&amp;IF(AND(업무일지!$F695&lt;&gt;"",COUNTIF(사건마스터!$A$5:$A$64,업무일지!$F695)=0),"미등록 사건번호; ","")&amp;IF(AND(업무일지!$F695="",업무일지!$H695=""),"사건번호·업무명 모두 없음; ","")&amp;IF(업무일지!$J695="","담당자 없음; ","")&amp;IF(COUNTIF(코드설정!$F$5:$F$7,업무일지!$AG695)=0,"진행상태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"&amp;업무일지!$H696)</f>
        <v/>
      </c>
      <c r="D728" s="45">
        <f>IF(NOT(COUNTBLANK(업무일지!$B696:$AH696)&lt;33),"",TRIM(IF(업무일지!$B696="","시작일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","")&amp;IF(COUNTIF(코드설정!$H$5:$H$7,업무일지!$D696)=0,"직무구분 누락; ","")&amp;IF(업무일지!$E696="","세부유형 누락; ",IF(AND(업무일지!$D696&lt;&gt;"",COUNTIFS(코드설정!$A$5:$A$21,업무일지!$D696,코드설정!$B$5:$B$21,업무일지!$E696)=0),"세부유형이 직무구분과 불일치; ",""))&amp;IF(AND(업무일지!$F696&lt;&gt;"",COUNTIF(사건마스터!$A$5:$A$64,업무일지!$F696)=0),"미등록 사건번호; ","")&amp;IF(AND(업무일지!$F696="",업무일지!$H696=""),"사건번호·업무명 모두 없음; ","")&amp;IF(업무일지!$J696="","담당자 없음; ","")&amp;IF(COUNTIF(코드설정!$F$5:$F$7,업무일지!$AG696)=0,"진행상태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"&amp;업무일지!$H697)</f>
        <v/>
      </c>
      <c r="D729" s="45">
        <f>IF(NOT(COUNTBLANK(업무일지!$B697:$AH697)&lt;33),"",TRIM(IF(업무일지!$B697="","시작일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","")&amp;IF(COUNTIF(코드설정!$H$5:$H$7,업무일지!$D697)=0,"직무구분 누락; ","")&amp;IF(업무일지!$E697="","세부유형 누락; ",IF(AND(업무일지!$D697&lt;&gt;"",COUNTIFS(코드설정!$A$5:$A$21,업무일지!$D697,코드설정!$B$5:$B$21,업무일지!$E697)=0),"세부유형이 직무구분과 불일치; ",""))&amp;IF(AND(업무일지!$F697&lt;&gt;"",COUNTIF(사건마스터!$A$5:$A$64,업무일지!$F697)=0),"미등록 사건번호; ","")&amp;IF(AND(업무일지!$F697="",업무일지!$H697=""),"사건번호·업무명 모두 없음; ","")&amp;IF(업무일지!$J697="","담당자 없음; ","")&amp;IF(COUNTIF(코드설정!$F$5:$F$7,업무일지!$AG697)=0,"진행상태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"&amp;업무일지!$H698)</f>
        <v/>
      </c>
      <c r="D730" s="45">
        <f>IF(NOT(COUNTBLANK(업무일지!$B698:$AH698)&lt;33),"",TRIM(IF(업무일지!$B698="","시작일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","")&amp;IF(COUNTIF(코드설정!$H$5:$H$7,업무일지!$D698)=0,"직무구분 누락; ","")&amp;IF(업무일지!$E698="","세부유형 누락; ",IF(AND(업무일지!$D698&lt;&gt;"",COUNTIFS(코드설정!$A$5:$A$21,업무일지!$D698,코드설정!$B$5:$B$21,업무일지!$E698)=0),"세부유형이 직무구분과 불일치; ",""))&amp;IF(AND(업무일지!$F698&lt;&gt;"",COUNTIF(사건마스터!$A$5:$A$64,업무일지!$F698)=0),"미등록 사건번호; ","")&amp;IF(AND(업무일지!$F698="",업무일지!$H698=""),"사건번호·업무명 모두 없음; ","")&amp;IF(업무일지!$J698="","담당자 없음; ","")&amp;IF(COUNTIF(코드설정!$F$5:$F$7,업무일지!$AG698)=0,"진행상태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"&amp;업무일지!$H699)</f>
        <v/>
      </c>
      <c r="D731" s="45">
        <f>IF(NOT(COUNTBLANK(업무일지!$B699:$AH699)&lt;33),"",TRIM(IF(업무일지!$B699="","시작일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","")&amp;IF(COUNTIF(코드설정!$H$5:$H$7,업무일지!$D699)=0,"직무구분 누락; ","")&amp;IF(업무일지!$E699="","세부유형 누락; ",IF(AND(업무일지!$D699&lt;&gt;"",COUNTIFS(코드설정!$A$5:$A$21,업무일지!$D699,코드설정!$B$5:$B$21,업무일지!$E699)=0),"세부유형이 직무구분과 불일치; ",""))&amp;IF(AND(업무일지!$F699&lt;&gt;"",COUNTIF(사건마스터!$A$5:$A$64,업무일지!$F699)=0),"미등록 사건번호; ","")&amp;IF(AND(업무일지!$F699="",업무일지!$H699=""),"사건번호·업무명 모두 없음; ","")&amp;IF(업무일지!$J699="","담당자 없음; ","")&amp;IF(COUNTIF(코드설정!$F$5:$F$7,업무일지!$AG699)=0,"진행상태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"&amp;업무일지!$H700)</f>
        <v/>
      </c>
      <c r="D732" s="45">
        <f>IF(NOT(COUNTBLANK(업무일지!$B700:$AH700)&lt;33),"",TRIM(IF(업무일지!$B700="","시작일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","")&amp;IF(COUNTIF(코드설정!$H$5:$H$7,업무일지!$D700)=0,"직무구분 누락; ","")&amp;IF(업무일지!$E700="","세부유형 누락; ",IF(AND(업무일지!$D700&lt;&gt;"",COUNTIFS(코드설정!$A$5:$A$21,업무일지!$D700,코드설정!$B$5:$B$21,업무일지!$E700)=0),"세부유형이 직무구분과 불일치; ",""))&amp;IF(AND(업무일지!$F700&lt;&gt;"",COUNTIF(사건마스터!$A$5:$A$64,업무일지!$F700)=0),"미등록 사건번호; ","")&amp;IF(AND(업무일지!$F700="",업무일지!$H700=""),"사건번호·업무명 모두 없음; ","")&amp;IF(업무일지!$J700="","담당자 없음; ","")&amp;IF(COUNTIF(코드설정!$F$5:$F$7,업무일지!$AG700)=0,"진행상태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"&amp;업무일지!$H701)</f>
        <v/>
      </c>
      <c r="D733" s="45">
        <f>IF(NOT(COUNTBLANK(업무일지!$B701:$AH701)&lt;33),"",TRIM(IF(업무일지!$B701="","시작일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","")&amp;IF(COUNTIF(코드설정!$H$5:$H$7,업무일지!$D701)=0,"직무구분 누락; ","")&amp;IF(업무일지!$E701="","세부유형 누락; ",IF(AND(업무일지!$D701&lt;&gt;"",COUNTIFS(코드설정!$A$5:$A$21,업무일지!$D701,코드설정!$B$5:$B$21,업무일지!$E701)=0),"세부유형이 직무구분과 불일치; ",""))&amp;IF(AND(업무일지!$F701&lt;&gt;"",COUNTIF(사건마스터!$A$5:$A$64,업무일지!$F701)=0),"미등록 사건번호; ","")&amp;IF(AND(업무일지!$F701="",업무일지!$H701=""),"사건번호·업무명 모두 없음; ","")&amp;IF(업무일지!$J701="","담당자 없음; ","")&amp;IF(COUNTIF(코드설정!$F$5:$F$7,업무일지!$AG701)=0,"진행상태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"&amp;업무일지!$H702)</f>
        <v/>
      </c>
      <c r="D734" s="45">
        <f>IF(NOT(COUNTBLANK(업무일지!$B702:$AH702)&lt;33),"",TRIM(IF(업무일지!$B702="","시작일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","")&amp;IF(COUNTIF(코드설정!$H$5:$H$7,업무일지!$D702)=0,"직무구분 누락; ","")&amp;IF(업무일지!$E702="","세부유형 누락; ",IF(AND(업무일지!$D702&lt;&gt;"",COUNTIFS(코드설정!$A$5:$A$21,업무일지!$D702,코드설정!$B$5:$B$21,업무일지!$E702)=0),"세부유형이 직무구분과 불일치; ",""))&amp;IF(AND(업무일지!$F702&lt;&gt;"",COUNTIF(사건마스터!$A$5:$A$64,업무일지!$F702)=0),"미등록 사건번호; ","")&amp;IF(AND(업무일지!$F702="",업무일지!$H702=""),"사건번호·업무명 모두 없음; ","")&amp;IF(업무일지!$J702="","담당자 없음; ","")&amp;IF(COUNTIF(코드설정!$F$5:$F$7,업무일지!$AG702)=0,"진행상태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"&amp;업무일지!$H703)</f>
        <v/>
      </c>
      <c r="D735" s="45">
        <f>IF(NOT(COUNTBLANK(업무일지!$B703:$AH703)&lt;33),"",TRIM(IF(업무일지!$B703="","시작일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","")&amp;IF(COUNTIF(코드설정!$H$5:$H$7,업무일지!$D703)=0,"직무구분 누락; ","")&amp;IF(업무일지!$E703="","세부유형 누락; ",IF(AND(업무일지!$D703&lt;&gt;"",COUNTIFS(코드설정!$A$5:$A$21,업무일지!$D703,코드설정!$B$5:$B$21,업무일지!$E703)=0),"세부유형이 직무구분과 불일치; ",""))&amp;IF(AND(업무일지!$F703&lt;&gt;"",COUNTIF(사건마스터!$A$5:$A$64,업무일지!$F703)=0),"미등록 사건번호; ","")&amp;IF(AND(업무일지!$F703="",업무일지!$H703=""),"사건번호·업무명 모두 없음; ","")&amp;IF(업무일지!$J703="","담당자 없음; ","")&amp;IF(COUNTIF(코드설정!$F$5:$F$7,업무일지!$AG703)=0,"진행상태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"&amp;업무일지!$H704)</f>
        <v/>
      </c>
      <c r="D736" s="45">
        <f>IF(NOT(COUNTBLANK(업무일지!$B704:$AH704)&lt;33),"",TRIM(IF(업무일지!$B704="","시작일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","")&amp;IF(COUNTIF(코드설정!$H$5:$H$7,업무일지!$D704)=0,"직무구분 누락; ","")&amp;IF(업무일지!$E704="","세부유형 누락; ",IF(AND(업무일지!$D704&lt;&gt;"",COUNTIFS(코드설정!$A$5:$A$21,업무일지!$D704,코드설정!$B$5:$B$21,업무일지!$E704)=0),"세부유형이 직무구분과 불일치; ",""))&amp;IF(AND(업무일지!$F704&lt;&gt;"",COUNTIF(사건마스터!$A$5:$A$64,업무일지!$F704)=0),"미등록 사건번호; ","")&amp;IF(AND(업무일지!$F704="",업무일지!$H704=""),"사건번호·업무명 모두 없음; ","")&amp;IF(업무일지!$J704="","담당자 없음; ","")&amp;IF(COUNTIF(코드설정!$F$5:$F$7,업무일지!$AG704)=0,"진행상태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"&amp;업무일지!$H705)</f>
        <v/>
      </c>
      <c r="D737" s="45">
        <f>IF(NOT(COUNTBLANK(업무일지!$B705:$AH705)&lt;33),"",TRIM(IF(업무일지!$B705="","시작일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","")&amp;IF(COUNTIF(코드설정!$H$5:$H$7,업무일지!$D705)=0,"직무구분 누락; ","")&amp;IF(업무일지!$E705="","세부유형 누락; ",IF(AND(업무일지!$D705&lt;&gt;"",COUNTIFS(코드설정!$A$5:$A$21,업무일지!$D705,코드설정!$B$5:$B$21,업무일지!$E705)=0),"세부유형이 직무구분과 불일치; ",""))&amp;IF(AND(업무일지!$F705&lt;&gt;"",COUNTIF(사건마스터!$A$5:$A$64,업무일지!$F705)=0),"미등록 사건번호; ","")&amp;IF(AND(업무일지!$F705="",업무일지!$H705=""),"사건번호·업무명 모두 없음; ","")&amp;IF(업무일지!$J705="","담당자 없음; ","")&amp;IF(COUNTIF(코드설정!$F$5:$F$7,업무일지!$AG705)=0,"진행상태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"&amp;업무일지!$H706)</f>
        <v/>
      </c>
      <c r="D738" s="45">
        <f>IF(NOT(COUNTBLANK(업무일지!$B706:$AH706)&lt;33),"",TRIM(IF(업무일지!$B706="","시작일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","")&amp;IF(COUNTIF(코드설정!$H$5:$H$7,업무일지!$D706)=0,"직무구분 누락; ","")&amp;IF(업무일지!$E706="","세부유형 누락; ",IF(AND(업무일지!$D706&lt;&gt;"",COUNTIFS(코드설정!$A$5:$A$21,업무일지!$D706,코드설정!$B$5:$B$21,업무일지!$E706)=0),"세부유형이 직무구분과 불일치; ",""))&amp;IF(AND(업무일지!$F706&lt;&gt;"",COUNTIF(사건마스터!$A$5:$A$64,업무일지!$F706)=0),"미등록 사건번호; ","")&amp;IF(AND(업무일지!$F706="",업무일지!$H706=""),"사건번호·업무명 모두 없음; ","")&amp;IF(업무일지!$J706="","담당자 없음; ","")&amp;IF(COUNTIF(코드설정!$F$5:$F$7,업무일지!$AG706)=0,"진행상태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"&amp;업무일지!$H707)</f>
        <v/>
      </c>
      <c r="D739" s="45">
        <f>IF(NOT(COUNTBLANK(업무일지!$B707:$AH707)&lt;33),"",TRIM(IF(업무일지!$B707="","시작일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","")&amp;IF(COUNTIF(코드설정!$H$5:$H$7,업무일지!$D707)=0,"직무구분 누락; ","")&amp;IF(업무일지!$E707="","세부유형 누락; ",IF(AND(업무일지!$D707&lt;&gt;"",COUNTIFS(코드설정!$A$5:$A$21,업무일지!$D707,코드설정!$B$5:$B$21,업무일지!$E707)=0),"세부유형이 직무구분과 불일치; ",""))&amp;IF(AND(업무일지!$F707&lt;&gt;"",COUNTIF(사건마스터!$A$5:$A$64,업무일지!$F707)=0),"미등록 사건번호; ","")&amp;IF(AND(업무일지!$F707="",업무일지!$H707=""),"사건번호·업무명 모두 없음; ","")&amp;IF(업무일지!$J707="","담당자 없음; ","")&amp;IF(COUNTIF(코드설정!$F$5:$F$7,업무일지!$AG707)=0,"진행상태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"&amp;업무일지!$H708)</f>
        <v/>
      </c>
      <c r="D740" s="45">
        <f>IF(NOT(COUNTBLANK(업무일지!$B708:$AH708)&lt;33),"",TRIM(IF(업무일지!$B708="","시작일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","")&amp;IF(COUNTIF(코드설정!$H$5:$H$7,업무일지!$D708)=0,"직무구분 누락; ","")&amp;IF(업무일지!$E708="","세부유형 누락; ",IF(AND(업무일지!$D708&lt;&gt;"",COUNTIFS(코드설정!$A$5:$A$21,업무일지!$D708,코드설정!$B$5:$B$21,업무일지!$E708)=0),"세부유형이 직무구분과 불일치; ",""))&amp;IF(AND(업무일지!$F708&lt;&gt;"",COUNTIF(사건마스터!$A$5:$A$64,업무일지!$F708)=0),"미등록 사건번호; ","")&amp;IF(AND(업무일지!$F708="",업무일지!$H708=""),"사건번호·업무명 모두 없음; ","")&amp;IF(업무일지!$J708="","담당자 없음; ","")&amp;IF(COUNTIF(코드설정!$F$5:$F$7,업무일지!$AG708)=0,"진행상태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"&amp;업무일지!$H709)</f>
        <v/>
      </c>
      <c r="D741" s="45">
        <f>IF(NOT(COUNTBLANK(업무일지!$B709:$AH709)&lt;33),"",TRIM(IF(업무일지!$B709="","시작일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","")&amp;IF(COUNTIF(코드설정!$H$5:$H$7,업무일지!$D709)=0,"직무구분 누락; ","")&amp;IF(업무일지!$E709="","세부유형 누락; ",IF(AND(업무일지!$D709&lt;&gt;"",COUNTIFS(코드설정!$A$5:$A$21,업무일지!$D709,코드설정!$B$5:$B$21,업무일지!$E709)=0),"세부유형이 직무구분과 불일치; ",""))&amp;IF(AND(업무일지!$F709&lt;&gt;"",COUNTIF(사건마스터!$A$5:$A$64,업무일지!$F709)=0),"미등록 사건번호; ","")&amp;IF(AND(업무일지!$F709="",업무일지!$H709=""),"사건번호·업무명 모두 없음; ","")&amp;IF(업무일지!$J709="","담당자 없음; ","")&amp;IF(COUNTIF(코드설정!$F$5:$F$7,업무일지!$AG709)=0,"진행상태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"&amp;업무일지!$H710)</f>
        <v/>
      </c>
      <c r="D742" s="45">
        <f>IF(NOT(COUNTBLANK(업무일지!$B710:$AH710)&lt;33),"",TRIM(IF(업무일지!$B710="","시작일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","")&amp;IF(COUNTIF(코드설정!$H$5:$H$7,업무일지!$D710)=0,"직무구분 누락; ","")&amp;IF(업무일지!$E710="","세부유형 누락; ",IF(AND(업무일지!$D710&lt;&gt;"",COUNTIFS(코드설정!$A$5:$A$21,업무일지!$D710,코드설정!$B$5:$B$21,업무일지!$E710)=0),"세부유형이 직무구분과 불일치; ",""))&amp;IF(AND(업무일지!$F710&lt;&gt;"",COUNTIF(사건마스터!$A$5:$A$64,업무일지!$F710)=0),"미등록 사건번호; ","")&amp;IF(AND(업무일지!$F710="",업무일지!$H710=""),"사건번호·업무명 모두 없음; ","")&amp;IF(업무일지!$J710="","담당자 없음; ","")&amp;IF(COUNTIF(코드설정!$F$5:$F$7,업무일지!$AG710)=0,"진행상태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"&amp;업무일지!$H711)</f>
        <v/>
      </c>
      <c r="D743" s="45">
        <f>IF(NOT(COUNTBLANK(업무일지!$B711:$AH711)&lt;33),"",TRIM(IF(업무일지!$B711="","시작일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","")&amp;IF(COUNTIF(코드설정!$H$5:$H$7,업무일지!$D711)=0,"직무구분 누락; ","")&amp;IF(업무일지!$E711="","세부유형 누락; ",IF(AND(업무일지!$D711&lt;&gt;"",COUNTIFS(코드설정!$A$5:$A$21,업무일지!$D711,코드설정!$B$5:$B$21,업무일지!$E711)=0),"세부유형이 직무구분과 불일치; ",""))&amp;IF(AND(업무일지!$F711&lt;&gt;"",COUNTIF(사건마스터!$A$5:$A$64,업무일지!$F711)=0),"미등록 사건번호; ","")&amp;IF(AND(업무일지!$F711="",업무일지!$H711=""),"사건번호·업무명 모두 없음; ","")&amp;IF(업무일지!$J711="","담당자 없음; ","")&amp;IF(COUNTIF(코드설정!$F$5:$F$7,업무일지!$AG711)=0,"진행상태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"&amp;업무일지!$H712)</f>
        <v/>
      </c>
      <c r="D744" s="45">
        <f>IF(NOT(COUNTBLANK(업무일지!$B712:$AH712)&lt;33),"",TRIM(IF(업무일지!$B712="","시작일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","")&amp;IF(COUNTIF(코드설정!$H$5:$H$7,업무일지!$D712)=0,"직무구분 누락; ","")&amp;IF(업무일지!$E712="","세부유형 누락; ",IF(AND(업무일지!$D712&lt;&gt;"",COUNTIFS(코드설정!$A$5:$A$21,업무일지!$D712,코드설정!$B$5:$B$21,업무일지!$E712)=0),"세부유형이 직무구분과 불일치; ",""))&amp;IF(AND(업무일지!$F712&lt;&gt;"",COUNTIF(사건마스터!$A$5:$A$64,업무일지!$F712)=0),"미등록 사건번호; ","")&amp;IF(AND(업무일지!$F712="",업무일지!$H712=""),"사건번호·업무명 모두 없음; ","")&amp;IF(업무일지!$J712="","담당자 없음; ","")&amp;IF(COUNTIF(코드설정!$F$5:$F$7,업무일지!$AG712)=0,"진행상태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"&amp;업무일지!$H713)</f>
        <v/>
      </c>
      <c r="D745" s="45">
        <f>IF(NOT(COUNTBLANK(업무일지!$B713:$AH713)&lt;33),"",TRIM(IF(업무일지!$B713="","시작일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","")&amp;IF(COUNTIF(코드설정!$H$5:$H$7,업무일지!$D713)=0,"직무구분 누락; ","")&amp;IF(업무일지!$E713="","세부유형 누락; ",IF(AND(업무일지!$D713&lt;&gt;"",COUNTIFS(코드설정!$A$5:$A$21,업무일지!$D713,코드설정!$B$5:$B$21,업무일지!$E713)=0),"세부유형이 직무구분과 불일치; ",""))&amp;IF(AND(업무일지!$F713&lt;&gt;"",COUNTIF(사건마스터!$A$5:$A$64,업무일지!$F713)=0),"미등록 사건번호; ","")&amp;IF(AND(업무일지!$F713="",업무일지!$H713=""),"사건번호·업무명 모두 없음; ","")&amp;IF(업무일지!$J713="","담당자 없음; ","")&amp;IF(COUNTIF(코드설정!$F$5:$F$7,업무일지!$AG713)=0,"진행상태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"&amp;업무일지!$H714)</f>
        <v/>
      </c>
      <c r="D746" s="45">
        <f>IF(NOT(COUNTBLANK(업무일지!$B714:$AH714)&lt;33),"",TRIM(IF(업무일지!$B714="","시작일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","")&amp;IF(COUNTIF(코드설정!$H$5:$H$7,업무일지!$D714)=0,"직무구분 누락; ","")&amp;IF(업무일지!$E714="","세부유형 누락; ",IF(AND(업무일지!$D714&lt;&gt;"",COUNTIFS(코드설정!$A$5:$A$21,업무일지!$D714,코드설정!$B$5:$B$21,업무일지!$E714)=0),"세부유형이 직무구분과 불일치; ",""))&amp;IF(AND(업무일지!$F714&lt;&gt;"",COUNTIF(사건마스터!$A$5:$A$64,업무일지!$F714)=0),"미등록 사건번호; ","")&amp;IF(AND(업무일지!$F714="",업무일지!$H714=""),"사건번호·업무명 모두 없음; ","")&amp;IF(업무일지!$J714="","담당자 없음; ","")&amp;IF(COUNTIF(코드설정!$F$5:$F$7,업무일지!$AG714)=0,"진행상태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"&amp;업무일지!$H715)</f>
        <v/>
      </c>
      <c r="D747" s="45">
        <f>IF(NOT(COUNTBLANK(업무일지!$B715:$AH715)&lt;33),"",TRIM(IF(업무일지!$B715="","시작일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","")&amp;IF(COUNTIF(코드설정!$H$5:$H$7,업무일지!$D715)=0,"직무구분 누락; ","")&amp;IF(업무일지!$E715="","세부유형 누락; ",IF(AND(업무일지!$D715&lt;&gt;"",COUNTIFS(코드설정!$A$5:$A$21,업무일지!$D715,코드설정!$B$5:$B$21,업무일지!$E715)=0),"세부유형이 직무구분과 불일치; ",""))&amp;IF(AND(업무일지!$F715&lt;&gt;"",COUNTIF(사건마스터!$A$5:$A$64,업무일지!$F715)=0),"미등록 사건번호; ","")&amp;IF(AND(업무일지!$F715="",업무일지!$H715=""),"사건번호·업무명 모두 없음; ","")&amp;IF(업무일지!$J715="","담당자 없음; ","")&amp;IF(COUNTIF(코드설정!$F$5:$F$7,업무일지!$AG715)=0,"진행상태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"&amp;업무일지!$H716)</f>
        <v/>
      </c>
      <c r="D748" s="45">
        <f>IF(NOT(COUNTBLANK(업무일지!$B716:$AH716)&lt;33),"",TRIM(IF(업무일지!$B716="","시작일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","")&amp;IF(COUNTIF(코드설정!$H$5:$H$7,업무일지!$D716)=0,"직무구분 누락; ","")&amp;IF(업무일지!$E716="","세부유형 누락; ",IF(AND(업무일지!$D716&lt;&gt;"",COUNTIFS(코드설정!$A$5:$A$21,업무일지!$D716,코드설정!$B$5:$B$21,업무일지!$E716)=0),"세부유형이 직무구분과 불일치; ",""))&amp;IF(AND(업무일지!$F716&lt;&gt;"",COUNTIF(사건마스터!$A$5:$A$64,업무일지!$F716)=0),"미등록 사건번호; ","")&amp;IF(AND(업무일지!$F716="",업무일지!$H716=""),"사건번호·업무명 모두 없음; ","")&amp;IF(업무일지!$J716="","담당자 없음; ","")&amp;IF(COUNTIF(코드설정!$F$5:$F$7,업무일지!$AG716)=0,"진행상태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"&amp;업무일지!$H717)</f>
        <v/>
      </c>
      <c r="D749" s="45">
        <f>IF(NOT(COUNTBLANK(업무일지!$B717:$AH717)&lt;33),"",TRIM(IF(업무일지!$B717="","시작일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","")&amp;IF(COUNTIF(코드설정!$H$5:$H$7,업무일지!$D717)=0,"직무구분 누락; ","")&amp;IF(업무일지!$E717="","세부유형 누락; ",IF(AND(업무일지!$D717&lt;&gt;"",COUNTIFS(코드설정!$A$5:$A$21,업무일지!$D717,코드설정!$B$5:$B$21,업무일지!$E717)=0),"세부유형이 직무구분과 불일치; ",""))&amp;IF(AND(업무일지!$F717&lt;&gt;"",COUNTIF(사건마스터!$A$5:$A$64,업무일지!$F717)=0),"미등록 사건번호; ","")&amp;IF(AND(업무일지!$F717="",업무일지!$H717=""),"사건번호·업무명 모두 없음; ","")&amp;IF(업무일지!$J717="","담당자 없음; ","")&amp;IF(COUNTIF(코드설정!$F$5:$F$7,업무일지!$AG717)=0,"진행상태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"&amp;업무일지!$H718)</f>
        <v/>
      </c>
      <c r="D750" s="45">
        <f>IF(NOT(COUNTBLANK(업무일지!$B718:$AH718)&lt;33),"",TRIM(IF(업무일지!$B718="","시작일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","")&amp;IF(COUNTIF(코드설정!$H$5:$H$7,업무일지!$D718)=0,"직무구분 누락; ","")&amp;IF(업무일지!$E718="","세부유형 누락; ",IF(AND(업무일지!$D718&lt;&gt;"",COUNTIFS(코드설정!$A$5:$A$21,업무일지!$D718,코드설정!$B$5:$B$21,업무일지!$E718)=0),"세부유형이 직무구분과 불일치; ",""))&amp;IF(AND(업무일지!$F718&lt;&gt;"",COUNTIF(사건마스터!$A$5:$A$64,업무일지!$F718)=0),"미등록 사건번호; ","")&amp;IF(AND(업무일지!$F718="",업무일지!$H718=""),"사건번호·업무명 모두 없음; ","")&amp;IF(업무일지!$J718="","담당자 없음; ","")&amp;IF(COUNTIF(코드설정!$F$5:$F$7,업무일지!$AG718)=0,"진행상태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"&amp;업무일지!$H719)</f>
        <v/>
      </c>
      <c r="D751" s="45">
        <f>IF(NOT(COUNTBLANK(업무일지!$B719:$AH719)&lt;33),"",TRIM(IF(업무일지!$B719="","시작일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","")&amp;IF(COUNTIF(코드설정!$H$5:$H$7,업무일지!$D719)=0,"직무구분 누락; ","")&amp;IF(업무일지!$E719="","세부유형 누락; ",IF(AND(업무일지!$D719&lt;&gt;"",COUNTIFS(코드설정!$A$5:$A$21,업무일지!$D719,코드설정!$B$5:$B$21,업무일지!$E719)=0),"세부유형이 직무구분과 불일치; ",""))&amp;IF(AND(업무일지!$F719&lt;&gt;"",COUNTIF(사건마스터!$A$5:$A$64,업무일지!$F719)=0),"미등록 사건번호; ","")&amp;IF(AND(업무일지!$F719="",업무일지!$H719=""),"사건번호·업무명 모두 없음; ","")&amp;IF(업무일지!$J719="","담당자 없음; ","")&amp;IF(COUNTIF(코드설정!$F$5:$F$7,업무일지!$AG719)=0,"진행상태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"&amp;업무일지!$H720)</f>
        <v/>
      </c>
      <c r="D752" s="45">
        <f>IF(NOT(COUNTBLANK(업무일지!$B720:$AH720)&lt;33),"",TRIM(IF(업무일지!$B720="","시작일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","")&amp;IF(COUNTIF(코드설정!$H$5:$H$7,업무일지!$D720)=0,"직무구분 누락; ","")&amp;IF(업무일지!$E720="","세부유형 누락; ",IF(AND(업무일지!$D720&lt;&gt;"",COUNTIFS(코드설정!$A$5:$A$21,업무일지!$D720,코드설정!$B$5:$B$21,업무일지!$E720)=0),"세부유형이 직무구분과 불일치; ",""))&amp;IF(AND(업무일지!$F720&lt;&gt;"",COUNTIF(사건마스터!$A$5:$A$64,업무일지!$F720)=0),"미등록 사건번호; ","")&amp;IF(AND(업무일지!$F720="",업무일지!$H720=""),"사건번호·업무명 모두 없음; ","")&amp;IF(업무일지!$J720="","담당자 없음; ","")&amp;IF(COUNTIF(코드설정!$F$5:$F$7,업무일지!$AG720)=0,"진행상태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"&amp;업무일지!$H721)</f>
        <v/>
      </c>
      <c r="D753" s="45">
        <f>IF(NOT(COUNTBLANK(업무일지!$B721:$AH721)&lt;33),"",TRIM(IF(업무일지!$B721="","시작일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","")&amp;IF(COUNTIF(코드설정!$H$5:$H$7,업무일지!$D721)=0,"직무구분 누락; ","")&amp;IF(업무일지!$E721="","세부유형 누락; ",IF(AND(업무일지!$D721&lt;&gt;"",COUNTIFS(코드설정!$A$5:$A$21,업무일지!$D721,코드설정!$B$5:$B$21,업무일지!$E721)=0),"세부유형이 직무구분과 불일치; ",""))&amp;IF(AND(업무일지!$F721&lt;&gt;"",COUNTIF(사건마스터!$A$5:$A$64,업무일지!$F721)=0),"미등록 사건번호; ","")&amp;IF(AND(업무일지!$F721="",업무일지!$H721=""),"사건번호·업무명 모두 없음; ","")&amp;IF(업무일지!$J721="","담당자 없음; ","")&amp;IF(COUNTIF(코드설정!$F$5:$F$7,업무일지!$AG721)=0,"진행상태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"&amp;업무일지!$H722)</f>
        <v/>
      </c>
      <c r="D754" s="45">
        <f>IF(NOT(COUNTBLANK(업무일지!$B722:$AH722)&lt;33),"",TRIM(IF(업무일지!$B722="","시작일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","")&amp;IF(COUNTIF(코드설정!$H$5:$H$7,업무일지!$D722)=0,"직무구분 누락; ","")&amp;IF(업무일지!$E722="","세부유형 누락; ",IF(AND(업무일지!$D722&lt;&gt;"",COUNTIFS(코드설정!$A$5:$A$21,업무일지!$D722,코드설정!$B$5:$B$21,업무일지!$E722)=0),"세부유형이 직무구분과 불일치; ",""))&amp;IF(AND(업무일지!$F722&lt;&gt;"",COUNTIF(사건마스터!$A$5:$A$64,업무일지!$F722)=0),"미등록 사건번호; ","")&amp;IF(AND(업무일지!$F722="",업무일지!$H722=""),"사건번호·업무명 모두 없음; ","")&amp;IF(업무일지!$J722="","담당자 없음; ","")&amp;IF(COUNTIF(코드설정!$F$5:$F$7,업무일지!$AG722)=0,"진행상태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"&amp;업무일지!$H723)</f>
        <v/>
      </c>
      <c r="D755" s="45">
        <f>IF(NOT(COUNTBLANK(업무일지!$B723:$AH723)&lt;33),"",TRIM(IF(업무일지!$B723="","시작일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","")&amp;IF(COUNTIF(코드설정!$H$5:$H$7,업무일지!$D723)=0,"직무구분 누락; ","")&amp;IF(업무일지!$E723="","세부유형 누락; ",IF(AND(업무일지!$D723&lt;&gt;"",COUNTIFS(코드설정!$A$5:$A$21,업무일지!$D723,코드설정!$B$5:$B$21,업무일지!$E723)=0),"세부유형이 직무구분과 불일치; ",""))&amp;IF(AND(업무일지!$F723&lt;&gt;"",COUNTIF(사건마스터!$A$5:$A$64,업무일지!$F723)=0),"미등록 사건번호; ","")&amp;IF(AND(업무일지!$F723="",업무일지!$H723=""),"사건번호·업무명 모두 없음; ","")&amp;IF(업무일지!$J723="","담당자 없음; ","")&amp;IF(COUNTIF(코드설정!$F$5:$F$7,업무일지!$AG723)=0,"진행상태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"&amp;업무일지!$H724)</f>
        <v/>
      </c>
      <c r="D756" s="45">
        <f>IF(NOT(COUNTBLANK(업무일지!$B724:$AH724)&lt;33),"",TRIM(IF(업무일지!$B724="","시작일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","")&amp;IF(COUNTIF(코드설정!$H$5:$H$7,업무일지!$D724)=0,"직무구분 누락; ","")&amp;IF(업무일지!$E724="","세부유형 누락; ",IF(AND(업무일지!$D724&lt;&gt;"",COUNTIFS(코드설정!$A$5:$A$21,업무일지!$D724,코드설정!$B$5:$B$21,업무일지!$E724)=0),"세부유형이 직무구분과 불일치; ",""))&amp;IF(AND(업무일지!$F724&lt;&gt;"",COUNTIF(사건마스터!$A$5:$A$64,업무일지!$F724)=0),"미등록 사건번호; ","")&amp;IF(AND(업무일지!$F724="",업무일지!$H724=""),"사건번호·업무명 모두 없음; ","")&amp;IF(업무일지!$J724="","담당자 없음; ","")&amp;IF(COUNTIF(코드설정!$F$5:$F$7,업무일지!$AG724)=0,"진행상태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"&amp;업무일지!$H725)</f>
        <v/>
      </c>
      <c r="D757" s="45">
        <f>IF(NOT(COUNTBLANK(업무일지!$B725:$AH725)&lt;33),"",TRIM(IF(업무일지!$B725="","시작일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","")&amp;IF(COUNTIF(코드설정!$H$5:$H$7,업무일지!$D725)=0,"직무구분 누락; ","")&amp;IF(업무일지!$E725="","세부유형 누락; ",IF(AND(업무일지!$D725&lt;&gt;"",COUNTIFS(코드설정!$A$5:$A$21,업무일지!$D725,코드설정!$B$5:$B$21,업무일지!$E725)=0),"세부유형이 직무구분과 불일치; ",""))&amp;IF(AND(업무일지!$F725&lt;&gt;"",COUNTIF(사건마스터!$A$5:$A$64,업무일지!$F725)=0),"미등록 사건번호; ","")&amp;IF(AND(업무일지!$F725="",업무일지!$H725=""),"사건번호·업무명 모두 없음; ","")&amp;IF(업무일지!$J725="","담당자 없음; ","")&amp;IF(COUNTIF(코드설정!$F$5:$F$7,업무일지!$AG725)=0,"진행상태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"&amp;업무일지!$H726)</f>
        <v/>
      </c>
      <c r="D758" s="45">
        <f>IF(NOT(COUNTBLANK(업무일지!$B726:$AH726)&lt;33),"",TRIM(IF(업무일지!$B726="","시작일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","")&amp;IF(COUNTIF(코드설정!$H$5:$H$7,업무일지!$D726)=0,"직무구분 누락; ","")&amp;IF(업무일지!$E726="","세부유형 누락; ",IF(AND(업무일지!$D726&lt;&gt;"",COUNTIFS(코드설정!$A$5:$A$21,업무일지!$D726,코드설정!$B$5:$B$21,업무일지!$E726)=0),"세부유형이 직무구분과 불일치; ",""))&amp;IF(AND(업무일지!$F726&lt;&gt;"",COUNTIF(사건마스터!$A$5:$A$64,업무일지!$F726)=0),"미등록 사건번호; ","")&amp;IF(AND(업무일지!$F726="",업무일지!$H726=""),"사건번호·업무명 모두 없음; ","")&amp;IF(업무일지!$J726="","담당자 없음; ","")&amp;IF(COUNTIF(코드설정!$F$5:$F$7,업무일지!$AG726)=0,"진행상태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"&amp;업무일지!$H727)</f>
        <v/>
      </c>
      <c r="D759" s="45">
        <f>IF(NOT(COUNTBLANK(업무일지!$B727:$AH727)&lt;33),"",TRIM(IF(업무일지!$B727="","시작일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","")&amp;IF(COUNTIF(코드설정!$H$5:$H$7,업무일지!$D727)=0,"직무구분 누락; ","")&amp;IF(업무일지!$E727="","세부유형 누락; ",IF(AND(업무일지!$D727&lt;&gt;"",COUNTIFS(코드설정!$A$5:$A$21,업무일지!$D727,코드설정!$B$5:$B$21,업무일지!$E727)=0),"세부유형이 직무구분과 불일치; ",""))&amp;IF(AND(업무일지!$F727&lt;&gt;"",COUNTIF(사건마스터!$A$5:$A$64,업무일지!$F727)=0),"미등록 사건번호; ","")&amp;IF(AND(업무일지!$F727="",업무일지!$H727=""),"사건번호·업무명 모두 없음; ","")&amp;IF(업무일지!$J727="","담당자 없음; ","")&amp;IF(COUNTIF(코드설정!$F$5:$F$7,업무일지!$AG727)=0,"진행상태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"&amp;업무일지!$H728)</f>
        <v/>
      </c>
      <c r="D760" s="45">
        <f>IF(NOT(COUNTBLANK(업무일지!$B728:$AH728)&lt;33),"",TRIM(IF(업무일지!$B728="","시작일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","")&amp;IF(COUNTIF(코드설정!$H$5:$H$7,업무일지!$D728)=0,"직무구분 누락; ","")&amp;IF(업무일지!$E728="","세부유형 누락; ",IF(AND(업무일지!$D728&lt;&gt;"",COUNTIFS(코드설정!$A$5:$A$21,업무일지!$D728,코드설정!$B$5:$B$21,업무일지!$E728)=0),"세부유형이 직무구분과 불일치; ",""))&amp;IF(AND(업무일지!$F728&lt;&gt;"",COUNTIF(사건마스터!$A$5:$A$64,업무일지!$F728)=0),"미등록 사건번호; ","")&amp;IF(AND(업무일지!$F728="",업무일지!$H728=""),"사건번호·업무명 모두 없음; ","")&amp;IF(업무일지!$J728="","담당자 없음; ","")&amp;IF(COUNTIF(코드설정!$F$5:$F$7,업무일지!$AG728)=0,"진행상태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"&amp;업무일지!$H729)</f>
        <v/>
      </c>
      <c r="D761" s="45">
        <f>IF(NOT(COUNTBLANK(업무일지!$B729:$AH729)&lt;33),"",TRIM(IF(업무일지!$B729="","시작일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","")&amp;IF(COUNTIF(코드설정!$H$5:$H$7,업무일지!$D729)=0,"직무구분 누락; ","")&amp;IF(업무일지!$E729="","세부유형 누락; ",IF(AND(업무일지!$D729&lt;&gt;"",COUNTIFS(코드설정!$A$5:$A$21,업무일지!$D729,코드설정!$B$5:$B$21,업무일지!$E729)=0),"세부유형이 직무구분과 불일치; ",""))&amp;IF(AND(업무일지!$F729&lt;&gt;"",COUNTIF(사건마스터!$A$5:$A$64,업무일지!$F729)=0),"미등록 사건번호; ","")&amp;IF(AND(업무일지!$F729="",업무일지!$H729=""),"사건번호·업무명 모두 없음; ","")&amp;IF(업무일지!$J729="","담당자 없음; ","")&amp;IF(COUNTIF(코드설정!$F$5:$F$7,업무일지!$AG729)=0,"진행상태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"&amp;업무일지!$H730)</f>
        <v/>
      </c>
      <c r="D762" s="45">
        <f>IF(NOT(COUNTBLANK(업무일지!$B730:$AH730)&lt;33),"",TRIM(IF(업무일지!$B730="","시작일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","")&amp;IF(COUNTIF(코드설정!$H$5:$H$7,업무일지!$D730)=0,"직무구분 누락; ","")&amp;IF(업무일지!$E730="","세부유형 누락; ",IF(AND(업무일지!$D730&lt;&gt;"",COUNTIFS(코드설정!$A$5:$A$21,업무일지!$D730,코드설정!$B$5:$B$21,업무일지!$E730)=0),"세부유형이 직무구분과 불일치; ",""))&amp;IF(AND(업무일지!$F730&lt;&gt;"",COUNTIF(사건마스터!$A$5:$A$64,업무일지!$F730)=0),"미등록 사건번호; ","")&amp;IF(AND(업무일지!$F730="",업무일지!$H730=""),"사건번호·업무명 모두 없음; ","")&amp;IF(업무일지!$J730="","담당자 없음; ","")&amp;IF(COUNTIF(코드설정!$F$5:$F$7,업무일지!$AG730)=0,"진행상태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"&amp;업무일지!$H731)</f>
        <v/>
      </c>
      <c r="D763" s="45">
        <f>IF(NOT(COUNTBLANK(업무일지!$B731:$AH731)&lt;33),"",TRIM(IF(업무일지!$B731="","시작일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","")&amp;IF(COUNTIF(코드설정!$H$5:$H$7,업무일지!$D731)=0,"직무구분 누락; ","")&amp;IF(업무일지!$E731="","세부유형 누락; ",IF(AND(업무일지!$D731&lt;&gt;"",COUNTIFS(코드설정!$A$5:$A$21,업무일지!$D731,코드설정!$B$5:$B$21,업무일지!$E731)=0),"세부유형이 직무구분과 불일치; ",""))&amp;IF(AND(업무일지!$F731&lt;&gt;"",COUNTIF(사건마스터!$A$5:$A$64,업무일지!$F731)=0),"미등록 사건번호; ","")&amp;IF(AND(업무일지!$F731="",업무일지!$H731=""),"사건번호·업무명 모두 없음; ","")&amp;IF(업무일지!$J731="","담당자 없음; ","")&amp;IF(COUNTIF(코드설정!$F$5:$F$7,업무일지!$AG731)=0,"진행상태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"&amp;업무일지!$H732)</f>
        <v/>
      </c>
      <c r="D764" s="45">
        <f>IF(NOT(COUNTBLANK(업무일지!$B732:$AH732)&lt;33),"",TRIM(IF(업무일지!$B732="","시작일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","")&amp;IF(COUNTIF(코드설정!$H$5:$H$7,업무일지!$D732)=0,"직무구분 누락; ","")&amp;IF(업무일지!$E732="","세부유형 누락; ",IF(AND(업무일지!$D732&lt;&gt;"",COUNTIFS(코드설정!$A$5:$A$21,업무일지!$D732,코드설정!$B$5:$B$21,업무일지!$E732)=0),"세부유형이 직무구분과 불일치; ",""))&amp;IF(AND(업무일지!$F732&lt;&gt;"",COUNTIF(사건마스터!$A$5:$A$64,업무일지!$F732)=0),"미등록 사건번호; ","")&amp;IF(AND(업무일지!$F732="",업무일지!$H732=""),"사건번호·업무명 모두 없음; ","")&amp;IF(업무일지!$J732="","담당자 없음; ","")&amp;IF(COUNTIF(코드설정!$F$5:$F$7,업무일지!$AG732)=0,"진행상태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"&amp;업무일지!$H733)</f>
        <v/>
      </c>
      <c r="D765" s="45">
        <f>IF(NOT(COUNTBLANK(업무일지!$B733:$AH733)&lt;33),"",TRIM(IF(업무일지!$B733="","시작일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","")&amp;IF(COUNTIF(코드설정!$H$5:$H$7,업무일지!$D733)=0,"직무구분 누락; ","")&amp;IF(업무일지!$E733="","세부유형 누락; ",IF(AND(업무일지!$D733&lt;&gt;"",COUNTIFS(코드설정!$A$5:$A$21,업무일지!$D733,코드설정!$B$5:$B$21,업무일지!$E733)=0),"세부유형이 직무구분과 불일치; ",""))&amp;IF(AND(업무일지!$F733&lt;&gt;"",COUNTIF(사건마스터!$A$5:$A$64,업무일지!$F733)=0),"미등록 사건번호; ","")&amp;IF(AND(업무일지!$F733="",업무일지!$H733=""),"사건번호·업무명 모두 없음; ","")&amp;IF(업무일지!$J733="","담당자 없음; ","")&amp;IF(COUNTIF(코드설정!$F$5:$F$7,업무일지!$AG733)=0,"진행상태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"&amp;업무일지!$H734)</f>
        <v/>
      </c>
      <c r="D766" s="45">
        <f>IF(NOT(COUNTBLANK(업무일지!$B734:$AH734)&lt;33),"",TRIM(IF(업무일지!$B734="","시작일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","")&amp;IF(COUNTIF(코드설정!$H$5:$H$7,업무일지!$D734)=0,"직무구분 누락; ","")&amp;IF(업무일지!$E734="","세부유형 누락; ",IF(AND(업무일지!$D734&lt;&gt;"",COUNTIFS(코드설정!$A$5:$A$21,업무일지!$D734,코드설정!$B$5:$B$21,업무일지!$E734)=0),"세부유형이 직무구분과 불일치; ",""))&amp;IF(AND(업무일지!$F734&lt;&gt;"",COUNTIF(사건마스터!$A$5:$A$64,업무일지!$F734)=0),"미등록 사건번호; ","")&amp;IF(AND(업무일지!$F734="",업무일지!$H734=""),"사건번호·업무명 모두 없음; ","")&amp;IF(업무일지!$J734="","담당자 없음; ","")&amp;IF(COUNTIF(코드설정!$F$5:$F$7,업무일지!$AG734)=0,"진행상태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"&amp;업무일지!$H735)</f>
        <v/>
      </c>
      <c r="D767" s="45">
        <f>IF(NOT(COUNTBLANK(업무일지!$B735:$AH735)&lt;33),"",TRIM(IF(업무일지!$B735="","시작일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","")&amp;IF(COUNTIF(코드설정!$H$5:$H$7,업무일지!$D735)=0,"직무구분 누락; ","")&amp;IF(업무일지!$E735="","세부유형 누락; ",IF(AND(업무일지!$D735&lt;&gt;"",COUNTIFS(코드설정!$A$5:$A$21,업무일지!$D735,코드설정!$B$5:$B$21,업무일지!$E735)=0),"세부유형이 직무구분과 불일치; ",""))&amp;IF(AND(업무일지!$F735&lt;&gt;"",COUNTIF(사건마스터!$A$5:$A$64,업무일지!$F735)=0),"미등록 사건번호; ","")&amp;IF(AND(업무일지!$F735="",업무일지!$H735=""),"사건번호·업무명 모두 없음; ","")&amp;IF(업무일지!$J735="","담당자 없음; ","")&amp;IF(COUNTIF(코드설정!$F$5:$F$7,업무일지!$AG735)=0,"진행상태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"&amp;업무일지!$H736)</f>
        <v/>
      </c>
      <c r="D768" s="45">
        <f>IF(NOT(COUNTBLANK(업무일지!$B736:$AH736)&lt;33),"",TRIM(IF(업무일지!$B736="","시작일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","")&amp;IF(COUNTIF(코드설정!$H$5:$H$7,업무일지!$D736)=0,"직무구분 누락; ","")&amp;IF(업무일지!$E736="","세부유형 누락; ",IF(AND(업무일지!$D736&lt;&gt;"",COUNTIFS(코드설정!$A$5:$A$21,업무일지!$D736,코드설정!$B$5:$B$21,업무일지!$E736)=0),"세부유형이 직무구분과 불일치; ",""))&amp;IF(AND(업무일지!$F736&lt;&gt;"",COUNTIF(사건마스터!$A$5:$A$64,업무일지!$F736)=0),"미등록 사건번호; ","")&amp;IF(AND(업무일지!$F736="",업무일지!$H736=""),"사건번호·업무명 모두 없음; ","")&amp;IF(업무일지!$J736="","담당자 없음; ","")&amp;IF(COUNTIF(코드설정!$F$5:$F$7,업무일지!$AG736)=0,"진행상태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"&amp;업무일지!$H737)</f>
        <v/>
      </c>
      <c r="D769" s="45">
        <f>IF(NOT(COUNTBLANK(업무일지!$B737:$AH737)&lt;33),"",TRIM(IF(업무일지!$B737="","시작일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","")&amp;IF(COUNTIF(코드설정!$H$5:$H$7,업무일지!$D737)=0,"직무구분 누락; ","")&amp;IF(업무일지!$E737="","세부유형 누락; ",IF(AND(업무일지!$D737&lt;&gt;"",COUNTIFS(코드설정!$A$5:$A$21,업무일지!$D737,코드설정!$B$5:$B$21,업무일지!$E737)=0),"세부유형이 직무구분과 불일치; ",""))&amp;IF(AND(업무일지!$F737&lt;&gt;"",COUNTIF(사건마스터!$A$5:$A$64,업무일지!$F737)=0),"미등록 사건번호; ","")&amp;IF(AND(업무일지!$F737="",업무일지!$H737=""),"사건번호·업무명 모두 없음; ","")&amp;IF(업무일지!$J737="","담당자 없음; ","")&amp;IF(COUNTIF(코드설정!$F$5:$F$7,업무일지!$AG737)=0,"진행상태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"&amp;업무일지!$H738)</f>
        <v/>
      </c>
      <c r="D770" s="45">
        <f>IF(NOT(COUNTBLANK(업무일지!$B738:$AH738)&lt;33),"",TRIM(IF(업무일지!$B738="","시작일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","")&amp;IF(COUNTIF(코드설정!$H$5:$H$7,업무일지!$D738)=0,"직무구분 누락; ","")&amp;IF(업무일지!$E738="","세부유형 누락; ",IF(AND(업무일지!$D738&lt;&gt;"",COUNTIFS(코드설정!$A$5:$A$21,업무일지!$D738,코드설정!$B$5:$B$21,업무일지!$E738)=0),"세부유형이 직무구분과 불일치; ",""))&amp;IF(AND(업무일지!$F738&lt;&gt;"",COUNTIF(사건마스터!$A$5:$A$64,업무일지!$F738)=0),"미등록 사건번호; ","")&amp;IF(AND(업무일지!$F738="",업무일지!$H738=""),"사건번호·업무명 모두 없음; ","")&amp;IF(업무일지!$J738="","담당자 없음; ","")&amp;IF(COUNTIF(코드설정!$F$5:$F$7,업무일지!$AG738)=0,"진행상태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"&amp;업무일지!$H739)</f>
        <v/>
      </c>
      <c r="D771" s="45">
        <f>IF(NOT(COUNTBLANK(업무일지!$B739:$AH739)&lt;33),"",TRIM(IF(업무일지!$B739="","시작일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","")&amp;IF(COUNTIF(코드설정!$H$5:$H$7,업무일지!$D739)=0,"직무구분 누락; ","")&amp;IF(업무일지!$E739="","세부유형 누락; ",IF(AND(업무일지!$D739&lt;&gt;"",COUNTIFS(코드설정!$A$5:$A$21,업무일지!$D739,코드설정!$B$5:$B$21,업무일지!$E739)=0),"세부유형이 직무구분과 불일치; ",""))&amp;IF(AND(업무일지!$F739&lt;&gt;"",COUNTIF(사건마스터!$A$5:$A$64,업무일지!$F739)=0),"미등록 사건번호; ","")&amp;IF(AND(업무일지!$F739="",업무일지!$H739=""),"사건번호·업무명 모두 없음; ","")&amp;IF(업무일지!$J739="","담당자 없음; ","")&amp;IF(COUNTIF(코드설정!$F$5:$F$7,업무일지!$AG739)=0,"진행상태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"&amp;업무일지!$H740)</f>
        <v/>
      </c>
      <c r="D772" s="45">
        <f>IF(NOT(COUNTBLANK(업무일지!$B740:$AH740)&lt;33),"",TRIM(IF(업무일지!$B740="","시작일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","")&amp;IF(COUNTIF(코드설정!$H$5:$H$7,업무일지!$D740)=0,"직무구분 누락; ","")&amp;IF(업무일지!$E740="","세부유형 누락; ",IF(AND(업무일지!$D740&lt;&gt;"",COUNTIFS(코드설정!$A$5:$A$21,업무일지!$D740,코드설정!$B$5:$B$21,업무일지!$E740)=0),"세부유형이 직무구분과 불일치; ",""))&amp;IF(AND(업무일지!$F740&lt;&gt;"",COUNTIF(사건마스터!$A$5:$A$64,업무일지!$F740)=0),"미등록 사건번호; ","")&amp;IF(AND(업무일지!$F740="",업무일지!$H740=""),"사건번호·업무명 모두 없음; ","")&amp;IF(업무일지!$J740="","담당자 없음; ","")&amp;IF(COUNTIF(코드설정!$F$5:$F$7,업무일지!$AG740)=0,"진행상태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"&amp;업무일지!$H741)</f>
        <v/>
      </c>
      <c r="D773" s="45">
        <f>IF(NOT(COUNTBLANK(업무일지!$B741:$AH741)&lt;33),"",TRIM(IF(업무일지!$B741="","시작일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","")&amp;IF(COUNTIF(코드설정!$H$5:$H$7,업무일지!$D741)=0,"직무구분 누락; ","")&amp;IF(업무일지!$E741="","세부유형 누락; ",IF(AND(업무일지!$D741&lt;&gt;"",COUNTIFS(코드설정!$A$5:$A$21,업무일지!$D741,코드설정!$B$5:$B$21,업무일지!$E741)=0),"세부유형이 직무구분과 불일치; ",""))&amp;IF(AND(업무일지!$F741&lt;&gt;"",COUNTIF(사건마스터!$A$5:$A$64,업무일지!$F741)=0),"미등록 사건번호; ","")&amp;IF(AND(업무일지!$F741="",업무일지!$H741=""),"사건번호·업무명 모두 없음; ","")&amp;IF(업무일지!$J741="","담당자 없음; ","")&amp;IF(COUNTIF(코드설정!$F$5:$F$7,업무일지!$AG741)=0,"진행상태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"&amp;업무일지!$H742)</f>
        <v/>
      </c>
      <c r="D774" s="45">
        <f>IF(NOT(COUNTBLANK(업무일지!$B742:$AH742)&lt;33),"",TRIM(IF(업무일지!$B742="","시작일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","")&amp;IF(COUNTIF(코드설정!$H$5:$H$7,업무일지!$D742)=0,"직무구분 누락; ","")&amp;IF(업무일지!$E742="","세부유형 누락; ",IF(AND(업무일지!$D742&lt;&gt;"",COUNTIFS(코드설정!$A$5:$A$21,업무일지!$D742,코드설정!$B$5:$B$21,업무일지!$E742)=0),"세부유형이 직무구분과 불일치; ",""))&amp;IF(AND(업무일지!$F742&lt;&gt;"",COUNTIF(사건마스터!$A$5:$A$64,업무일지!$F742)=0),"미등록 사건번호; ","")&amp;IF(AND(업무일지!$F742="",업무일지!$H742=""),"사건번호·업무명 모두 없음; ","")&amp;IF(업무일지!$J742="","담당자 없음; ","")&amp;IF(COUNTIF(코드설정!$F$5:$F$7,업무일지!$AG742)=0,"진행상태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"&amp;업무일지!$H743)</f>
        <v/>
      </c>
      <c r="D775" s="45">
        <f>IF(NOT(COUNTBLANK(업무일지!$B743:$AH743)&lt;33),"",TRIM(IF(업무일지!$B743="","시작일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","")&amp;IF(COUNTIF(코드설정!$H$5:$H$7,업무일지!$D743)=0,"직무구분 누락; ","")&amp;IF(업무일지!$E743="","세부유형 누락; ",IF(AND(업무일지!$D743&lt;&gt;"",COUNTIFS(코드설정!$A$5:$A$21,업무일지!$D743,코드설정!$B$5:$B$21,업무일지!$E743)=0),"세부유형이 직무구분과 불일치; ",""))&amp;IF(AND(업무일지!$F743&lt;&gt;"",COUNTIF(사건마스터!$A$5:$A$64,업무일지!$F743)=0),"미등록 사건번호; ","")&amp;IF(AND(업무일지!$F743="",업무일지!$H743=""),"사건번호·업무명 모두 없음; ","")&amp;IF(업무일지!$J743="","담당자 없음; ","")&amp;IF(COUNTIF(코드설정!$F$5:$F$7,업무일지!$AG743)=0,"진행상태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"&amp;업무일지!$H744)</f>
        <v/>
      </c>
      <c r="D776" s="45">
        <f>IF(NOT(COUNTBLANK(업무일지!$B744:$AH744)&lt;33),"",TRIM(IF(업무일지!$B744="","시작일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","")&amp;IF(COUNTIF(코드설정!$H$5:$H$7,업무일지!$D744)=0,"직무구분 누락; ","")&amp;IF(업무일지!$E744="","세부유형 누락; ",IF(AND(업무일지!$D744&lt;&gt;"",COUNTIFS(코드설정!$A$5:$A$21,업무일지!$D744,코드설정!$B$5:$B$21,업무일지!$E744)=0),"세부유형이 직무구분과 불일치; ",""))&amp;IF(AND(업무일지!$F744&lt;&gt;"",COUNTIF(사건마스터!$A$5:$A$64,업무일지!$F744)=0),"미등록 사건번호; ","")&amp;IF(AND(업무일지!$F744="",업무일지!$H744=""),"사건번호·업무명 모두 없음; ","")&amp;IF(업무일지!$J744="","담당자 없음; ","")&amp;IF(COUNTIF(코드설정!$F$5:$F$7,업무일지!$AG744)=0,"진행상태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"&amp;업무일지!$H745)</f>
        <v/>
      </c>
      <c r="D777" s="45">
        <f>IF(NOT(COUNTBLANK(업무일지!$B745:$AH745)&lt;33),"",TRIM(IF(업무일지!$B745="","시작일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","")&amp;IF(COUNTIF(코드설정!$H$5:$H$7,업무일지!$D745)=0,"직무구분 누락; ","")&amp;IF(업무일지!$E745="","세부유형 누락; ",IF(AND(업무일지!$D745&lt;&gt;"",COUNTIFS(코드설정!$A$5:$A$21,업무일지!$D745,코드설정!$B$5:$B$21,업무일지!$E745)=0),"세부유형이 직무구분과 불일치; ",""))&amp;IF(AND(업무일지!$F745&lt;&gt;"",COUNTIF(사건마스터!$A$5:$A$64,업무일지!$F745)=0),"미등록 사건번호; ","")&amp;IF(AND(업무일지!$F745="",업무일지!$H745=""),"사건번호·업무명 모두 없음; ","")&amp;IF(업무일지!$J745="","담당자 없음; ","")&amp;IF(COUNTIF(코드설정!$F$5:$F$7,업무일지!$AG745)=0,"진행상태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"&amp;업무일지!$H746)</f>
        <v/>
      </c>
      <c r="D778" s="45">
        <f>IF(NOT(COUNTBLANK(업무일지!$B746:$AH746)&lt;33),"",TRIM(IF(업무일지!$B746="","시작일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","")&amp;IF(COUNTIF(코드설정!$H$5:$H$7,업무일지!$D746)=0,"직무구분 누락; ","")&amp;IF(업무일지!$E746="","세부유형 누락; ",IF(AND(업무일지!$D746&lt;&gt;"",COUNTIFS(코드설정!$A$5:$A$21,업무일지!$D746,코드설정!$B$5:$B$21,업무일지!$E746)=0),"세부유형이 직무구분과 불일치; ",""))&amp;IF(AND(업무일지!$F746&lt;&gt;"",COUNTIF(사건마스터!$A$5:$A$64,업무일지!$F746)=0),"미등록 사건번호; ","")&amp;IF(AND(업무일지!$F746="",업무일지!$H746=""),"사건번호·업무명 모두 없음; ","")&amp;IF(업무일지!$J746="","담당자 없음; ","")&amp;IF(COUNTIF(코드설정!$F$5:$F$7,업무일지!$AG746)=0,"진행상태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"&amp;업무일지!$H747)</f>
        <v/>
      </c>
      <c r="D779" s="45">
        <f>IF(NOT(COUNTBLANK(업무일지!$B747:$AH747)&lt;33),"",TRIM(IF(업무일지!$B747="","시작일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","")&amp;IF(COUNTIF(코드설정!$H$5:$H$7,업무일지!$D747)=0,"직무구분 누락; ","")&amp;IF(업무일지!$E747="","세부유형 누락; ",IF(AND(업무일지!$D747&lt;&gt;"",COUNTIFS(코드설정!$A$5:$A$21,업무일지!$D747,코드설정!$B$5:$B$21,업무일지!$E747)=0),"세부유형이 직무구분과 불일치; ",""))&amp;IF(AND(업무일지!$F747&lt;&gt;"",COUNTIF(사건마스터!$A$5:$A$64,업무일지!$F747)=0),"미등록 사건번호; ","")&amp;IF(AND(업무일지!$F747="",업무일지!$H747=""),"사건번호·업무명 모두 없음; ","")&amp;IF(업무일지!$J747="","담당자 없음; ","")&amp;IF(COUNTIF(코드설정!$F$5:$F$7,업무일지!$AG747)=0,"진행상태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"&amp;업무일지!$H748)</f>
        <v/>
      </c>
      <c r="D780" s="45">
        <f>IF(NOT(COUNTBLANK(업무일지!$B748:$AH748)&lt;33),"",TRIM(IF(업무일지!$B748="","시작일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","")&amp;IF(COUNTIF(코드설정!$H$5:$H$7,업무일지!$D748)=0,"직무구분 누락; ","")&amp;IF(업무일지!$E748="","세부유형 누락; ",IF(AND(업무일지!$D748&lt;&gt;"",COUNTIFS(코드설정!$A$5:$A$21,업무일지!$D748,코드설정!$B$5:$B$21,업무일지!$E748)=0),"세부유형이 직무구분과 불일치; ",""))&amp;IF(AND(업무일지!$F748&lt;&gt;"",COUNTIF(사건마스터!$A$5:$A$64,업무일지!$F748)=0),"미등록 사건번호; ","")&amp;IF(AND(업무일지!$F748="",업무일지!$H748=""),"사건번호·업무명 모두 없음; ","")&amp;IF(업무일지!$J748="","담당자 없음; ","")&amp;IF(COUNTIF(코드설정!$F$5:$F$7,업무일지!$AG748)=0,"진행상태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"&amp;업무일지!$H749)</f>
        <v/>
      </c>
      <c r="D781" s="45">
        <f>IF(NOT(COUNTBLANK(업무일지!$B749:$AH749)&lt;33),"",TRIM(IF(업무일지!$B749="","시작일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","")&amp;IF(COUNTIF(코드설정!$H$5:$H$7,업무일지!$D749)=0,"직무구분 누락; ","")&amp;IF(업무일지!$E749="","세부유형 누락; ",IF(AND(업무일지!$D749&lt;&gt;"",COUNTIFS(코드설정!$A$5:$A$21,업무일지!$D749,코드설정!$B$5:$B$21,업무일지!$E749)=0),"세부유형이 직무구분과 불일치; ",""))&amp;IF(AND(업무일지!$F749&lt;&gt;"",COUNTIF(사건마스터!$A$5:$A$64,업무일지!$F749)=0),"미등록 사건번호; ","")&amp;IF(AND(업무일지!$F749="",업무일지!$H749=""),"사건번호·업무명 모두 없음; ","")&amp;IF(업무일지!$J749="","담당자 없음; ","")&amp;IF(COUNTIF(코드설정!$F$5:$F$7,업무일지!$AG749)=0,"진행상태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"&amp;업무일지!$H750)</f>
        <v/>
      </c>
      <c r="D782" s="45">
        <f>IF(NOT(COUNTBLANK(업무일지!$B750:$AH750)&lt;33),"",TRIM(IF(업무일지!$B750="","시작일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","")&amp;IF(COUNTIF(코드설정!$H$5:$H$7,업무일지!$D750)=0,"직무구분 누락; ","")&amp;IF(업무일지!$E750="","세부유형 누락; ",IF(AND(업무일지!$D750&lt;&gt;"",COUNTIFS(코드설정!$A$5:$A$21,업무일지!$D750,코드설정!$B$5:$B$21,업무일지!$E750)=0),"세부유형이 직무구분과 불일치; ",""))&amp;IF(AND(업무일지!$F750&lt;&gt;"",COUNTIF(사건마스터!$A$5:$A$64,업무일지!$F750)=0),"미등록 사건번호; ","")&amp;IF(AND(업무일지!$F750="",업무일지!$H750=""),"사건번호·업무명 모두 없음; ","")&amp;IF(업무일지!$J750="","담당자 없음; ","")&amp;IF(COUNTIF(코드설정!$F$5:$F$7,업무일지!$AG750)=0,"진행상태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"&amp;업무일지!$H751)</f>
        <v/>
      </c>
      <c r="D783" s="45">
        <f>IF(NOT(COUNTBLANK(업무일지!$B751:$AH751)&lt;33),"",TRIM(IF(업무일지!$B751="","시작일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","")&amp;IF(COUNTIF(코드설정!$H$5:$H$7,업무일지!$D751)=0,"직무구분 누락; ","")&amp;IF(업무일지!$E751="","세부유형 누락; ",IF(AND(업무일지!$D751&lt;&gt;"",COUNTIFS(코드설정!$A$5:$A$21,업무일지!$D751,코드설정!$B$5:$B$21,업무일지!$E751)=0),"세부유형이 직무구분과 불일치; ",""))&amp;IF(AND(업무일지!$F751&lt;&gt;"",COUNTIF(사건마스터!$A$5:$A$64,업무일지!$F751)=0),"미등록 사건번호; ","")&amp;IF(AND(업무일지!$F751="",업무일지!$H751=""),"사건번호·업무명 모두 없음; ","")&amp;IF(업무일지!$J751="","담당자 없음; ","")&amp;IF(COUNTIF(코드설정!$F$5:$F$7,업무일지!$AG751)=0,"진행상태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"&amp;업무일지!$H752)</f>
        <v/>
      </c>
      <c r="D784" s="45">
        <f>IF(NOT(COUNTBLANK(업무일지!$B752:$AH752)&lt;33),"",TRIM(IF(업무일지!$B752="","시작일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","")&amp;IF(COUNTIF(코드설정!$H$5:$H$7,업무일지!$D752)=0,"직무구분 누락; ","")&amp;IF(업무일지!$E752="","세부유형 누락; ",IF(AND(업무일지!$D752&lt;&gt;"",COUNTIFS(코드설정!$A$5:$A$21,업무일지!$D752,코드설정!$B$5:$B$21,업무일지!$E752)=0),"세부유형이 직무구분과 불일치; ",""))&amp;IF(AND(업무일지!$F752&lt;&gt;"",COUNTIF(사건마스터!$A$5:$A$64,업무일지!$F752)=0),"미등록 사건번호; ","")&amp;IF(AND(업무일지!$F752="",업무일지!$H752=""),"사건번호·업무명 모두 없음; ","")&amp;IF(업무일지!$J752="","담당자 없음; ","")&amp;IF(COUNTIF(코드설정!$F$5:$F$7,업무일지!$AG752)=0,"진행상태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"&amp;업무일지!$H753)</f>
        <v/>
      </c>
      <c r="D785" s="45">
        <f>IF(NOT(COUNTBLANK(업무일지!$B753:$AH753)&lt;33),"",TRIM(IF(업무일지!$B753="","시작일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","")&amp;IF(COUNTIF(코드설정!$H$5:$H$7,업무일지!$D753)=0,"직무구분 누락; ","")&amp;IF(업무일지!$E753="","세부유형 누락; ",IF(AND(업무일지!$D753&lt;&gt;"",COUNTIFS(코드설정!$A$5:$A$21,업무일지!$D753,코드설정!$B$5:$B$21,업무일지!$E753)=0),"세부유형이 직무구분과 불일치; ",""))&amp;IF(AND(업무일지!$F753&lt;&gt;"",COUNTIF(사건마스터!$A$5:$A$64,업무일지!$F753)=0),"미등록 사건번호; ","")&amp;IF(AND(업무일지!$F753="",업무일지!$H753=""),"사건번호·업무명 모두 없음; ","")&amp;IF(업무일지!$J753="","담당자 없음; ","")&amp;IF(COUNTIF(코드설정!$F$5:$F$7,업무일지!$AG753)=0,"진행상태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"&amp;업무일지!$H754)</f>
        <v/>
      </c>
      <c r="D786" s="45">
        <f>IF(NOT(COUNTBLANK(업무일지!$B754:$AH754)&lt;33),"",TRIM(IF(업무일지!$B754="","시작일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","")&amp;IF(COUNTIF(코드설정!$H$5:$H$7,업무일지!$D754)=0,"직무구분 누락; ","")&amp;IF(업무일지!$E754="","세부유형 누락; ",IF(AND(업무일지!$D754&lt;&gt;"",COUNTIFS(코드설정!$A$5:$A$21,업무일지!$D754,코드설정!$B$5:$B$21,업무일지!$E754)=0),"세부유형이 직무구분과 불일치; ",""))&amp;IF(AND(업무일지!$F754&lt;&gt;"",COUNTIF(사건마스터!$A$5:$A$64,업무일지!$F754)=0),"미등록 사건번호; ","")&amp;IF(AND(업무일지!$F754="",업무일지!$H754=""),"사건번호·업무명 모두 없음; ","")&amp;IF(업무일지!$J754="","담당자 없음; ","")&amp;IF(COUNTIF(코드설정!$F$5:$F$7,업무일지!$AG754)=0,"진행상태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"&amp;업무일지!$H755)</f>
        <v/>
      </c>
      <c r="D787" s="45">
        <f>IF(NOT(COUNTBLANK(업무일지!$B755:$AH755)&lt;33),"",TRIM(IF(업무일지!$B755="","시작일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","")&amp;IF(COUNTIF(코드설정!$H$5:$H$7,업무일지!$D755)=0,"직무구분 누락; ","")&amp;IF(업무일지!$E755="","세부유형 누락; ",IF(AND(업무일지!$D755&lt;&gt;"",COUNTIFS(코드설정!$A$5:$A$21,업무일지!$D755,코드설정!$B$5:$B$21,업무일지!$E755)=0),"세부유형이 직무구분과 불일치; ",""))&amp;IF(AND(업무일지!$F755&lt;&gt;"",COUNTIF(사건마스터!$A$5:$A$64,업무일지!$F755)=0),"미등록 사건번호; ","")&amp;IF(AND(업무일지!$F755="",업무일지!$H755=""),"사건번호·업무명 모두 없음; ","")&amp;IF(업무일지!$J755="","담당자 없음; ","")&amp;IF(COUNTIF(코드설정!$F$5:$F$7,업무일지!$AG755)=0,"진행상태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"&amp;업무일지!$H756)</f>
        <v/>
      </c>
      <c r="D788" s="45">
        <f>IF(NOT(COUNTBLANK(업무일지!$B756:$AH756)&lt;33),"",TRIM(IF(업무일지!$B756="","시작일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","")&amp;IF(COUNTIF(코드설정!$H$5:$H$7,업무일지!$D756)=0,"직무구분 누락; ","")&amp;IF(업무일지!$E756="","세부유형 누락; ",IF(AND(업무일지!$D756&lt;&gt;"",COUNTIFS(코드설정!$A$5:$A$21,업무일지!$D756,코드설정!$B$5:$B$21,업무일지!$E756)=0),"세부유형이 직무구분과 불일치; ",""))&amp;IF(AND(업무일지!$F756&lt;&gt;"",COUNTIF(사건마스터!$A$5:$A$64,업무일지!$F756)=0),"미등록 사건번호; ","")&amp;IF(AND(업무일지!$F756="",업무일지!$H756=""),"사건번호·업무명 모두 없음; ","")&amp;IF(업무일지!$J756="","담당자 없음; ","")&amp;IF(COUNTIF(코드설정!$F$5:$F$7,업무일지!$AG756)=0,"진행상태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"&amp;업무일지!$H757)</f>
        <v/>
      </c>
      <c r="D789" s="45">
        <f>IF(NOT(COUNTBLANK(업무일지!$B757:$AH757)&lt;33),"",TRIM(IF(업무일지!$B757="","시작일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","")&amp;IF(COUNTIF(코드설정!$H$5:$H$7,업무일지!$D757)=0,"직무구분 누락; ","")&amp;IF(업무일지!$E757="","세부유형 누락; ",IF(AND(업무일지!$D757&lt;&gt;"",COUNTIFS(코드설정!$A$5:$A$21,업무일지!$D757,코드설정!$B$5:$B$21,업무일지!$E757)=0),"세부유형이 직무구분과 불일치; ",""))&amp;IF(AND(업무일지!$F757&lt;&gt;"",COUNTIF(사건마스터!$A$5:$A$64,업무일지!$F757)=0),"미등록 사건번호; ","")&amp;IF(AND(업무일지!$F757="",업무일지!$H757=""),"사건번호·업무명 모두 없음; ","")&amp;IF(업무일지!$J757="","담당자 없음; ","")&amp;IF(COUNTIF(코드설정!$F$5:$F$7,업무일지!$AG757)=0,"진행상태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"&amp;업무일지!$H758)</f>
        <v/>
      </c>
      <c r="D790" s="45">
        <f>IF(NOT(COUNTBLANK(업무일지!$B758:$AH758)&lt;33),"",TRIM(IF(업무일지!$B758="","시작일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","")&amp;IF(COUNTIF(코드설정!$H$5:$H$7,업무일지!$D758)=0,"직무구분 누락; ","")&amp;IF(업무일지!$E758="","세부유형 누락; ",IF(AND(업무일지!$D758&lt;&gt;"",COUNTIFS(코드설정!$A$5:$A$21,업무일지!$D758,코드설정!$B$5:$B$21,업무일지!$E758)=0),"세부유형이 직무구분과 불일치; ",""))&amp;IF(AND(업무일지!$F758&lt;&gt;"",COUNTIF(사건마스터!$A$5:$A$64,업무일지!$F758)=0),"미등록 사건번호; ","")&amp;IF(AND(업무일지!$F758="",업무일지!$H758=""),"사건번호·업무명 모두 없음; ","")&amp;IF(업무일지!$J758="","담당자 없음; ","")&amp;IF(COUNTIF(코드설정!$F$5:$F$7,업무일지!$AG758)=0,"진행상태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"&amp;업무일지!$H759)</f>
        <v/>
      </c>
      <c r="D791" s="45">
        <f>IF(NOT(COUNTBLANK(업무일지!$B759:$AH759)&lt;33),"",TRIM(IF(업무일지!$B759="","시작일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","")&amp;IF(COUNTIF(코드설정!$H$5:$H$7,업무일지!$D759)=0,"직무구분 누락; ","")&amp;IF(업무일지!$E759="","세부유형 누락; ",IF(AND(업무일지!$D759&lt;&gt;"",COUNTIFS(코드설정!$A$5:$A$21,업무일지!$D759,코드설정!$B$5:$B$21,업무일지!$E759)=0),"세부유형이 직무구분과 불일치; ",""))&amp;IF(AND(업무일지!$F759&lt;&gt;"",COUNTIF(사건마스터!$A$5:$A$64,업무일지!$F759)=0),"미등록 사건번호; ","")&amp;IF(AND(업무일지!$F759="",업무일지!$H759=""),"사건번호·업무명 모두 없음; ","")&amp;IF(업무일지!$J759="","담당자 없음; ","")&amp;IF(COUNTIF(코드설정!$F$5:$F$7,업무일지!$AG759)=0,"진행상태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"&amp;업무일지!$H760)</f>
        <v/>
      </c>
      <c r="D792" s="45">
        <f>IF(NOT(COUNTBLANK(업무일지!$B760:$AH760)&lt;33),"",TRIM(IF(업무일지!$B760="","시작일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","")&amp;IF(COUNTIF(코드설정!$H$5:$H$7,업무일지!$D760)=0,"직무구분 누락; ","")&amp;IF(업무일지!$E760="","세부유형 누락; ",IF(AND(업무일지!$D760&lt;&gt;"",COUNTIFS(코드설정!$A$5:$A$21,업무일지!$D760,코드설정!$B$5:$B$21,업무일지!$E760)=0),"세부유형이 직무구분과 불일치; ",""))&amp;IF(AND(업무일지!$F760&lt;&gt;"",COUNTIF(사건마스터!$A$5:$A$64,업무일지!$F760)=0),"미등록 사건번호; ","")&amp;IF(AND(업무일지!$F760="",업무일지!$H760=""),"사건번호·업무명 모두 없음; ","")&amp;IF(업무일지!$J760="","담당자 없음; ","")&amp;IF(COUNTIF(코드설정!$F$5:$F$7,업무일지!$AG760)=0,"진행상태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"&amp;업무일지!$H761)</f>
        <v/>
      </c>
      <c r="D793" s="45">
        <f>IF(NOT(COUNTBLANK(업무일지!$B761:$AH761)&lt;33),"",TRIM(IF(업무일지!$B761="","시작일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","")&amp;IF(COUNTIF(코드설정!$H$5:$H$7,업무일지!$D761)=0,"직무구분 누락; ","")&amp;IF(업무일지!$E761="","세부유형 누락; ",IF(AND(업무일지!$D761&lt;&gt;"",COUNTIFS(코드설정!$A$5:$A$21,업무일지!$D761,코드설정!$B$5:$B$21,업무일지!$E761)=0),"세부유형이 직무구분과 불일치; ",""))&amp;IF(AND(업무일지!$F761&lt;&gt;"",COUNTIF(사건마스터!$A$5:$A$64,업무일지!$F761)=0),"미등록 사건번호; ","")&amp;IF(AND(업무일지!$F761="",업무일지!$H761=""),"사건번호·업무명 모두 없음; ","")&amp;IF(업무일지!$J761="","담당자 없음; ","")&amp;IF(COUNTIF(코드설정!$F$5:$F$7,업무일지!$AG761)=0,"진행상태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"&amp;업무일지!$H762)</f>
        <v/>
      </c>
      <c r="D794" s="45">
        <f>IF(NOT(COUNTBLANK(업무일지!$B762:$AH762)&lt;33),"",TRIM(IF(업무일지!$B762="","시작일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","")&amp;IF(COUNTIF(코드설정!$H$5:$H$7,업무일지!$D762)=0,"직무구분 누락; ","")&amp;IF(업무일지!$E762="","세부유형 누락; ",IF(AND(업무일지!$D762&lt;&gt;"",COUNTIFS(코드설정!$A$5:$A$21,업무일지!$D762,코드설정!$B$5:$B$21,업무일지!$E762)=0),"세부유형이 직무구분과 불일치; ",""))&amp;IF(AND(업무일지!$F762&lt;&gt;"",COUNTIF(사건마스터!$A$5:$A$64,업무일지!$F762)=0),"미등록 사건번호; ","")&amp;IF(AND(업무일지!$F762="",업무일지!$H762=""),"사건번호·업무명 모두 없음; ","")&amp;IF(업무일지!$J762="","담당자 없음; ","")&amp;IF(COUNTIF(코드설정!$F$5:$F$7,업무일지!$AG762)=0,"진행상태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"&amp;업무일지!$H763)</f>
        <v/>
      </c>
      <c r="D795" s="45">
        <f>IF(NOT(COUNTBLANK(업무일지!$B763:$AH763)&lt;33),"",TRIM(IF(업무일지!$B763="","시작일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","")&amp;IF(COUNTIF(코드설정!$H$5:$H$7,업무일지!$D763)=0,"직무구분 누락; ","")&amp;IF(업무일지!$E763="","세부유형 누락; ",IF(AND(업무일지!$D763&lt;&gt;"",COUNTIFS(코드설정!$A$5:$A$21,업무일지!$D763,코드설정!$B$5:$B$21,업무일지!$E763)=0),"세부유형이 직무구분과 불일치; ",""))&amp;IF(AND(업무일지!$F763&lt;&gt;"",COUNTIF(사건마스터!$A$5:$A$64,업무일지!$F763)=0),"미등록 사건번호; ","")&amp;IF(AND(업무일지!$F763="",업무일지!$H763=""),"사건번호·업무명 모두 없음; ","")&amp;IF(업무일지!$J763="","담당자 없음; ","")&amp;IF(COUNTIF(코드설정!$F$5:$F$7,업무일지!$AG763)=0,"진행상태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"&amp;업무일지!$H764)</f>
        <v/>
      </c>
      <c r="D796" s="45">
        <f>IF(NOT(COUNTBLANK(업무일지!$B764:$AH764)&lt;33),"",TRIM(IF(업무일지!$B764="","시작일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","")&amp;IF(COUNTIF(코드설정!$H$5:$H$7,업무일지!$D764)=0,"직무구분 누락; ","")&amp;IF(업무일지!$E764="","세부유형 누락; ",IF(AND(업무일지!$D764&lt;&gt;"",COUNTIFS(코드설정!$A$5:$A$21,업무일지!$D764,코드설정!$B$5:$B$21,업무일지!$E764)=0),"세부유형이 직무구분과 불일치; ",""))&amp;IF(AND(업무일지!$F764&lt;&gt;"",COUNTIF(사건마스터!$A$5:$A$64,업무일지!$F764)=0),"미등록 사건번호; ","")&amp;IF(AND(업무일지!$F764="",업무일지!$H764=""),"사건번호·업무명 모두 없음; ","")&amp;IF(업무일지!$J764="","담당자 없음; ","")&amp;IF(COUNTIF(코드설정!$F$5:$F$7,업무일지!$AG764)=0,"진행상태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"&amp;업무일지!$H765)</f>
        <v/>
      </c>
      <c r="D797" s="45">
        <f>IF(NOT(COUNTBLANK(업무일지!$B765:$AH765)&lt;33),"",TRIM(IF(업무일지!$B765="","시작일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","")&amp;IF(COUNTIF(코드설정!$H$5:$H$7,업무일지!$D765)=0,"직무구분 누락; ","")&amp;IF(업무일지!$E765="","세부유형 누락; ",IF(AND(업무일지!$D765&lt;&gt;"",COUNTIFS(코드설정!$A$5:$A$21,업무일지!$D765,코드설정!$B$5:$B$21,업무일지!$E765)=0),"세부유형이 직무구분과 불일치; ",""))&amp;IF(AND(업무일지!$F765&lt;&gt;"",COUNTIF(사건마스터!$A$5:$A$64,업무일지!$F765)=0),"미등록 사건번호; ","")&amp;IF(AND(업무일지!$F765="",업무일지!$H765=""),"사건번호·업무명 모두 없음; ","")&amp;IF(업무일지!$J765="","담당자 없음; ","")&amp;IF(COUNTIF(코드설정!$F$5:$F$7,업무일지!$AG765)=0,"진행상태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"&amp;업무일지!$H766)</f>
        <v/>
      </c>
      <c r="D798" s="45">
        <f>IF(NOT(COUNTBLANK(업무일지!$B766:$AH766)&lt;33),"",TRIM(IF(업무일지!$B766="","시작일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","")&amp;IF(COUNTIF(코드설정!$H$5:$H$7,업무일지!$D766)=0,"직무구분 누락; ","")&amp;IF(업무일지!$E766="","세부유형 누락; ",IF(AND(업무일지!$D766&lt;&gt;"",COUNTIFS(코드설정!$A$5:$A$21,업무일지!$D766,코드설정!$B$5:$B$21,업무일지!$E766)=0),"세부유형이 직무구분과 불일치; ",""))&amp;IF(AND(업무일지!$F766&lt;&gt;"",COUNTIF(사건마스터!$A$5:$A$64,업무일지!$F766)=0),"미등록 사건번호; ","")&amp;IF(AND(업무일지!$F766="",업무일지!$H766=""),"사건번호·업무명 모두 없음; ","")&amp;IF(업무일지!$J766="","담당자 없음; ","")&amp;IF(COUNTIF(코드설정!$F$5:$F$7,업무일지!$AG766)=0,"진행상태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"&amp;업무일지!$H767)</f>
        <v/>
      </c>
      <c r="D799" s="45">
        <f>IF(NOT(COUNTBLANK(업무일지!$B767:$AH767)&lt;33),"",TRIM(IF(업무일지!$B767="","시작일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","")&amp;IF(COUNTIF(코드설정!$H$5:$H$7,업무일지!$D767)=0,"직무구분 누락; ","")&amp;IF(업무일지!$E767="","세부유형 누락; ",IF(AND(업무일지!$D767&lt;&gt;"",COUNTIFS(코드설정!$A$5:$A$21,업무일지!$D767,코드설정!$B$5:$B$21,업무일지!$E767)=0),"세부유형이 직무구분과 불일치; ",""))&amp;IF(AND(업무일지!$F767&lt;&gt;"",COUNTIF(사건마스터!$A$5:$A$64,업무일지!$F767)=0),"미등록 사건번호; ","")&amp;IF(AND(업무일지!$F767="",업무일지!$H767=""),"사건번호·업무명 모두 없음; ","")&amp;IF(업무일지!$J767="","담당자 없음; ","")&amp;IF(COUNTIF(코드설정!$F$5:$F$7,업무일지!$AG767)=0,"진행상태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"&amp;업무일지!$H768)</f>
        <v/>
      </c>
      <c r="D800" s="45">
        <f>IF(NOT(COUNTBLANK(업무일지!$B768:$AH768)&lt;33),"",TRIM(IF(업무일지!$B768="","시작일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","")&amp;IF(COUNTIF(코드설정!$H$5:$H$7,업무일지!$D768)=0,"직무구분 누락; ","")&amp;IF(업무일지!$E768="","세부유형 누락; ",IF(AND(업무일지!$D768&lt;&gt;"",COUNTIFS(코드설정!$A$5:$A$21,업무일지!$D768,코드설정!$B$5:$B$21,업무일지!$E768)=0),"세부유형이 직무구분과 불일치; ",""))&amp;IF(AND(업무일지!$F768&lt;&gt;"",COUNTIF(사건마스터!$A$5:$A$64,업무일지!$F768)=0),"미등록 사건번호; ","")&amp;IF(AND(업무일지!$F768="",업무일지!$H768=""),"사건번호·업무명 모두 없음; ","")&amp;IF(업무일지!$J768="","담당자 없음; ","")&amp;IF(COUNTIF(코드설정!$F$5:$F$7,업무일지!$AG768)=0,"진행상태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"&amp;업무일지!$H769)</f>
        <v/>
      </c>
      <c r="D801" s="45">
        <f>IF(NOT(COUNTBLANK(업무일지!$B769:$AH769)&lt;33),"",TRIM(IF(업무일지!$B769="","시작일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","")&amp;IF(COUNTIF(코드설정!$H$5:$H$7,업무일지!$D769)=0,"직무구분 누락; ","")&amp;IF(업무일지!$E769="","세부유형 누락; ",IF(AND(업무일지!$D769&lt;&gt;"",COUNTIFS(코드설정!$A$5:$A$21,업무일지!$D769,코드설정!$B$5:$B$21,업무일지!$E769)=0),"세부유형이 직무구분과 불일치; ",""))&amp;IF(AND(업무일지!$F769&lt;&gt;"",COUNTIF(사건마스터!$A$5:$A$64,업무일지!$F769)=0),"미등록 사건번호; ","")&amp;IF(AND(업무일지!$F769="",업무일지!$H769=""),"사건번호·업무명 모두 없음; ","")&amp;IF(업무일지!$J769="","담당자 없음; ","")&amp;IF(COUNTIF(코드설정!$F$5:$F$7,업무일지!$AG769)=0,"진행상태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"&amp;업무일지!$H770)</f>
        <v/>
      </c>
      <c r="D802" s="45">
        <f>IF(NOT(COUNTBLANK(업무일지!$B770:$AH770)&lt;33),"",TRIM(IF(업무일지!$B770="","시작일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","")&amp;IF(COUNTIF(코드설정!$H$5:$H$7,업무일지!$D770)=0,"직무구분 누락; ","")&amp;IF(업무일지!$E770="","세부유형 누락; ",IF(AND(업무일지!$D770&lt;&gt;"",COUNTIFS(코드설정!$A$5:$A$21,업무일지!$D770,코드설정!$B$5:$B$21,업무일지!$E770)=0),"세부유형이 직무구분과 불일치; ",""))&amp;IF(AND(업무일지!$F770&lt;&gt;"",COUNTIF(사건마스터!$A$5:$A$64,업무일지!$F770)=0),"미등록 사건번호; ","")&amp;IF(AND(업무일지!$F770="",업무일지!$H770=""),"사건번호·업무명 모두 없음; ","")&amp;IF(업무일지!$J770="","담당자 없음; ","")&amp;IF(COUNTIF(코드설정!$F$5:$F$7,업무일지!$AG770)=0,"진행상태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"&amp;업무일지!$H771)</f>
        <v/>
      </c>
      <c r="D803" s="45">
        <f>IF(NOT(COUNTBLANK(업무일지!$B771:$AH771)&lt;33),"",TRIM(IF(업무일지!$B771="","시작일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","")&amp;IF(COUNTIF(코드설정!$H$5:$H$7,업무일지!$D771)=0,"직무구분 누락; ","")&amp;IF(업무일지!$E771="","세부유형 누락; ",IF(AND(업무일지!$D771&lt;&gt;"",COUNTIFS(코드설정!$A$5:$A$21,업무일지!$D771,코드설정!$B$5:$B$21,업무일지!$E771)=0),"세부유형이 직무구분과 불일치; ",""))&amp;IF(AND(업무일지!$F771&lt;&gt;"",COUNTIF(사건마스터!$A$5:$A$64,업무일지!$F771)=0),"미등록 사건번호; ","")&amp;IF(AND(업무일지!$F771="",업무일지!$H771=""),"사건번호·업무명 모두 없음; ","")&amp;IF(업무일지!$J771="","담당자 없음; ","")&amp;IF(COUNTIF(코드설정!$F$5:$F$7,업무일지!$AG771)=0,"진행상태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"&amp;업무일지!$H772)</f>
        <v/>
      </c>
      <c r="D804" s="45">
        <f>IF(NOT(COUNTBLANK(업무일지!$B772:$AH772)&lt;33),"",TRIM(IF(업무일지!$B772="","시작일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","")&amp;IF(COUNTIF(코드설정!$H$5:$H$7,업무일지!$D772)=0,"직무구분 누락; ","")&amp;IF(업무일지!$E772="","세부유형 누락; ",IF(AND(업무일지!$D772&lt;&gt;"",COUNTIFS(코드설정!$A$5:$A$21,업무일지!$D772,코드설정!$B$5:$B$21,업무일지!$E772)=0),"세부유형이 직무구분과 불일치; ",""))&amp;IF(AND(업무일지!$F772&lt;&gt;"",COUNTIF(사건마스터!$A$5:$A$64,업무일지!$F772)=0),"미등록 사건번호; ","")&amp;IF(AND(업무일지!$F772="",업무일지!$H772=""),"사건번호·업무명 모두 없음; ","")&amp;IF(업무일지!$J772="","담당자 없음; ","")&amp;IF(COUNTIF(코드설정!$F$5:$F$7,업무일지!$AG772)=0,"진행상태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"&amp;업무일지!$H773)</f>
        <v/>
      </c>
      <c r="D805" s="45">
        <f>IF(NOT(COUNTBLANK(업무일지!$B773:$AH773)&lt;33),"",TRIM(IF(업무일지!$B773="","시작일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","")&amp;IF(COUNTIF(코드설정!$H$5:$H$7,업무일지!$D773)=0,"직무구분 누락; ","")&amp;IF(업무일지!$E773="","세부유형 누락; ",IF(AND(업무일지!$D773&lt;&gt;"",COUNTIFS(코드설정!$A$5:$A$21,업무일지!$D773,코드설정!$B$5:$B$21,업무일지!$E773)=0),"세부유형이 직무구분과 불일치; ",""))&amp;IF(AND(업무일지!$F773&lt;&gt;"",COUNTIF(사건마스터!$A$5:$A$64,업무일지!$F773)=0),"미등록 사건번호; ","")&amp;IF(AND(업무일지!$F773="",업무일지!$H773=""),"사건번호·업무명 모두 없음; ","")&amp;IF(업무일지!$J773="","담당자 없음; ","")&amp;IF(COUNTIF(코드설정!$F$5:$F$7,업무일지!$AG773)=0,"진행상태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"&amp;업무일지!$H774)</f>
        <v/>
      </c>
      <c r="D806" s="45">
        <f>IF(NOT(COUNTBLANK(업무일지!$B774:$AH774)&lt;33),"",TRIM(IF(업무일지!$B774="","시작일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","")&amp;IF(COUNTIF(코드설정!$H$5:$H$7,업무일지!$D774)=0,"직무구분 누락; ","")&amp;IF(업무일지!$E774="","세부유형 누락; ",IF(AND(업무일지!$D774&lt;&gt;"",COUNTIFS(코드설정!$A$5:$A$21,업무일지!$D774,코드설정!$B$5:$B$21,업무일지!$E774)=0),"세부유형이 직무구분과 불일치; ",""))&amp;IF(AND(업무일지!$F774&lt;&gt;"",COUNTIF(사건마스터!$A$5:$A$64,업무일지!$F774)=0),"미등록 사건번호; ","")&amp;IF(AND(업무일지!$F774="",업무일지!$H774=""),"사건번호·업무명 모두 없음; ","")&amp;IF(업무일지!$J774="","담당자 없음; ","")&amp;IF(COUNTIF(코드설정!$F$5:$F$7,업무일지!$AG774)=0,"진행상태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"&amp;업무일지!$H775)</f>
        <v/>
      </c>
      <c r="D807" s="45">
        <f>IF(NOT(COUNTBLANK(업무일지!$B775:$AH775)&lt;33),"",TRIM(IF(업무일지!$B775="","시작일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","")&amp;IF(COUNTIF(코드설정!$H$5:$H$7,업무일지!$D775)=0,"직무구분 누락; ","")&amp;IF(업무일지!$E775="","세부유형 누락; ",IF(AND(업무일지!$D775&lt;&gt;"",COUNTIFS(코드설정!$A$5:$A$21,업무일지!$D775,코드설정!$B$5:$B$21,업무일지!$E775)=0),"세부유형이 직무구분과 불일치; ",""))&amp;IF(AND(업무일지!$F775&lt;&gt;"",COUNTIF(사건마스터!$A$5:$A$64,업무일지!$F775)=0),"미등록 사건번호; ","")&amp;IF(AND(업무일지!$F775="",업무일지!$H775=""),"사건번호·업무명 모두 없음; ","")&amp;IF(업무일지!$J775="","담당자 없음; ","")&amp;IF(COUNTIF(코드설정!$F$5:$F$7,업무일지!$AG775)=0,"진행상태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"&amp;업무일지!$H776)</f>
        <v/>
      </c>
      <c r="D808" s="45">
        <f>IF(NOT(COUNTBLANK(업무일지!$B776:$AH776)&lt;33),"",TRIM(IF(업무일지!$B776="","시작일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","")&amp;IF(COUNTIF(코드설정!$H$5:$H$7,업무일지!$D776)=0,"직무구분 누락; ","")&amp;IF(업무일지!$E776="","세부유형 누락; ",IF(AND(업무일지!$D776&lt;&gt;"",COUNTIFS(코드설정!$A$5:$A$21,업무일지!$D776,코드설정!$B$5:$B$21,업무일지!$E776)=0),"세부유형이 직무구분과 불일치; ",""))&amp;IF(AND(업무일지!$F776&lt;&gt;"",COUNTIF(사건마스터!$A$5:$A$64,업무일지!$F776)=0),"미등록 사건번호; ","")&amp;IF(AND(업무일지!$F776="",업무일지!$H776=""),"사건번호·업무명 모두 없음; ","")&amp;IF(업무일지!$J776="","담당자 없음; ","")&amp;IF(COUNTIF(코드설정!$F$5:$F$7,업무일지!$AG776)=0,"진행상태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"&amp;업무일지!$H777)</f>
        <v/>
      </c>
      <c r="D809" s="45">
        <f>IF(NOT(COUNTBLANK(업무일지!$B777:$AH777)&lt;33),"",TRIM(IF(업무일지!$B777="","시작일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","")&amp;IF(COUNTIF(코드설정!$H$5:$H$7,업무일지!$D777)=0,"직무구분 누락; ","")&amp;IF(업무일지!$E777="","세부유형 누락; ",IF(AND(업무일지!$D777&lt;&gt;"",COUNTIFS(코드설정!$A$5:$A$21,업무일지!$D777,코드설정!$B$5:$B$21,업무일지!$E777)=0),"세부유형이 직무구분과 불일치; ",""))&amp;IF(AND(업무일지!$F777&lt;&gt;"",COUNTIF(사건마스터!$A$5:$A$64,업무일지!$F777)=0),"미등록 사건번호; ","")&amp;IF(AND(업무일지!$F777="",업무일지!$H777=""),"사건번호·업무명 모두 없음; ","")&amp;IF(업무일지!$J777="","담당자 없음; ","")&amp;IF(COUNTIF(코드설정!$F$5:$F$7,업무일지!$AG777)=0,"진행상태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"&amp;업무일지!$H778)</f>
        <v/>
      </c>
      <c r="D810" s="45">
        <f>IF(NOT(COUNTBLANK(업무일지!$B778:$AH778)&lt;33),"",TRIM(IF(업무일지!$B778="","시작일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","")&amp;IF(COUNTIF(코드설정!$H$5:$H$7,업무일지!$D778)=0,"직무구분 누락; ","")&amp;IF(업무일지!$E778="","세부유형 누락; ",IF(AND(업무일지!$D778&lt;&gt;"",COUNTIFS(코드설정!$A$5:$A$21,업무일지!$D778,코드설정!$B$5:$B$21,업무일지!$E778)=0),"세부유형이 직무구분과 불일치; ",""))&amp;IF(AND(업무일지!$F778&lt;&gt;"",COUNTIF(사건마스터!$A$5:$A$64,업무일지!$F778)=0),"미등록 사건번호; ","")&amp;IF(AND(업무일지!$F778="",업무일지!$H778=""),"사건번호·업무명 모두 없음; ","")&amp;IF(업무일지!$J778="","담당자 없음; ","")&amp;IF(COUNTIF(코드설정!$F$5:$F$7,업무일지!$AG778)=0,"진행상태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"&amp;업무일지!$H779)</f>
        <v/>
      </c>
      <c r="D811" s="45">
        <f>IF(NOT(COUNTBLANK(업무일지!$B779:$AH779)&lt;33),"",TRIM(IF(업무일지!$B779="","시작일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","")&amp;IF(COUNTIF(코드설정!$H$5:$H$7,업무일지!$D779)=0,"직무구분 누락; ","")&amp;IF(업무일지!$E779="","세부유형 누락; ",IF(AND(업무일지!$D779&lt;&gt;"",COUNTIFS(코드설정!$A$5:$A$21,업무일지!$D779,코드설정!$B$5:$B$21,업무일지!$E779)=0),"세부유형이 직무구분과 불일치; ",""))&amp;IF(AND(업무일지!$F779&lt;&gt;"",COUNTIF(사건마스터!$A$5:$A$64,업무일지!$F779)=0),"미등록 사건번호; ","")&amp;IF(AND(업무일지!$F779="",업무일지!$H779=""),"사건번호·업무명 모두 없음; ","")&amp;IF(업무일지!$J779="","담당자 없음; ","")&amp;IF(COUNTIF(코드설정!$F$5:$F$7,업무일지!$AG779)=0,"진행상태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"&amp;업무일지!$H780)</f>
        <v/>
      </c>
      <c r="D812" s="45">
        <f>IF(NOT(COUNTBLANK(업무일지!$B780:$AH780)&lt;33),"",TRIM(IF(업무일지!$B780="","시작일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","")&amp;IF(COUNTIF(코드설정!$H$5:$H$7,업무일지!$D780)=0,"직무구분 누락; ","")&amp;IF(업무일지!$E780="","세부유형 누락; ",IF(AND(업무일지!$D780&lt;&gt;"",COUNTIFS(코드설정!$A$5:$A$21,업무일지!$D780,코드설정!$B$5:$B$21,업무일지!$E780)=0),"세부유형이 직무구분과 불일치; ",""))&amp;IF(AND(업무일지!$F780&lt;&gt;"",COUNTIF(사건마스터!$A$5:$A$64,업무일지!$F780)=0),"미등록 사건번호; ","")&amp;IF(AND(업무일지!$F780="",업무일지!$H780=""),"사건번호·업무명 모두 없음; ","")&amp;IF(업무일지!$J780="","담당자 없음; ","")&amp;IF(COUNTIF(코드설정!$F$5:$F$7,업무일지!$AG780)=0,"진행상태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"&amp;업무일지!$H781)</f>
        <v/>
      </c>
      <c r="D813" s="45">
        <f>IF(NOT(COUNTBLANK(업무일지!$B781:$AH781)&lt;33),"",TRIM(IF(업무일지!$B781="","시작일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","")&amp;IF(COUNTIF(코드설정!$H$5:$H$7,업무일지!$D781)=0,"직무구분 누락; ","")&amp;IF(업무일지!$E781="","세부유형 누락; ",IF(AND(업무일지!$D781&lt;&gt;"",COUNTIFS(코드설정!$A$5:$A$21,업무일지!$D781,코드설정!$B$5:$B$21,업무일지!$E781)=0),"세부유형이 직무구분과 불일치; ",""))&amp;IF(AND(업무일지!$F781&lt;&gt;"",COUNTIF(사건마스터!$A$5:$A$64,업무일지!$F781)=0),"미등록 사건번호; ","")&amp;IF(AND(업무일지!$F781="",업무일지!$H781=""),"사건번호·업무명 모두 없음; ","")&amp;IF(업무일지!$J781="","담당자 없음; ","")&amp;IF(COUNTIF(코드설정!$F$5:$F$7,업무일지!$AG781)=0,"진행상태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"&amp;업무일지!$H782)</f>
        <v/>
      </c>
      <c r="D814" s="45">
        <f>IF(NOT(COUNTBLANK(업무일지!$B782:$AH782)&lt;33),"",TRIM(IF(업무일지!$B782="","시작일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","")&amp;IF(COUNTIF(코드설정!$H$5:$H$7,업무일지!$D782)=0,"직무구분 누락; ","")&amp;IF(업무일지!$E782="","세부유형 누락; ",IF(AND(업무일지!$D782&lt;&gt;"",COUNTIFS(코드설정!$A$5:$A$21,업무일지!$D782,코드설정!$B$5:$B$21,업무일지!$E782)=0),"세부유형이 직무구분과 불일치; ",""))&amp;IF(AND(업무일지!$F782&lt;&gt;"",COUNTIF(사건마스터!$A$5:$A$64,업무일지!$F782)=0),"미등록 사건번호; ","")&amp;IF(AND(업무일지!$F782="",업무일지!$H782=""),"사건번호·업무명 모두 없음; ","")&amp;IF(업무일지!$J782="","담당자 없음; ","")&amp;IF(COUNTIF(코드설정!$F$5:$F$7,업무일지!$AG782)=0,"진행상태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"&amp;업무일지!$H783)</f>
        <v/>
      </c>
      <c r="D815" s="45">
        <f>IF(NOT(COUNTBLANK(업무일지!$B783:$AH783)&lt;33),"",TRIM(IF(업무일지!$B783="","시작일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","")&amp;IF(COUNTIF(코드설정!$H$5:$H$7,업무일지!$D783)=0,"직무구분 누락; ","")&amp;IF(업무일지!$E783="","세부유형 누락; ",IF(AND(업무일지!$D783&lt;&gt;"",COUNTIFS(코드설정!$A$5:$A$21,업무일지!$D783,코드설정!$B$5:$B$21,업무일지!$E783)=0),"세부유형이 직무구분과 불일치; ",""))&amp;IF(AND(업무일지!$F783&lt;&gt;"",COUNTIF(사건마스터!$A$5:$A$64,업무일지!$F783)=0),"미등록 사건번호; ","")&amp;IF(AND(업무일지!$F783="",업무일지!$H783=""),"사건번호·업무명 모두 없음; ","")&amp;IF(업무일지!$J783="","담당자 없음; ","")&amp;IF(COUNTIF(코드설정!$F$5:$F$7,업무일지!$AG783)=0,"진행상태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"&amp;업무일지!$H784)</f>
        <v/>
      </c>
      <c r="D816" s="45">
        <f>IF(NOT(COUNTBLANK(업무일지!$B784:$AH784)&lt;33),"",TRIM(IF(업무일지!$B784="","시작일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","")&amp;IF(COUNTIF(코드설정!$H$5:$H$7,업무일지!$D784)=0,"직무구분 누락; ","")&amp;IF(업무일지!$E784="","세부유형 누락; ",IF(AND(업무일지!$D784&lt;&gt;"",COUNTIFS(코드설정!$A$5:$A$21,업무일지!$D784,코드설정!$B$5:$B$21,업무일지!$E784)=0),"세부유형이 직무구분과 불일치; ",""))&amp;IF(AND(업무일지!$F784&lt;&gt;"",COUNTIF(사건마스터!$A$5:$A$64,업무일지!$F784)=0),"미등록 사건번호; ","")&amp;IF(AND(업무일지!$F784="",업무일지!$H784=""),"사건번호·업무명 모두 없음; ","")&amp;IF(업무일지!$J784="","담당자 없음; ","")&amp;IF(COUNTIF(코드설정!$F$5:$F$7,업무일지!$AG784)=0,"진행상태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"&amp;업무일지!$H785)</f>
        <v/>
      </c>
      <c r="D817" s="45">
        <f>IF(NOT(COUNTBLANK(업무일지!$B785:$AH785)&lt;33),"",TRIM(IF(업무일지!$B785="","시작일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","")&amp;IF(COUNTIF(코드설정!$H$5:$H$7,업무일지!$D785)=0,"직무구분 누락; ","")&amp;IF(업무일지!$E785="","세부유형 누락; ",IF(AND(업무일지!$D785&lt;&gt;"",COUNTIFS(코드설정!$A$5:$A$21,업무일지!$D785,코드설정!$B$5:$B$21,업무일지!$E785)=0),"세부유형이 직무구분과 불일치; ",""))&amp;IF(AND(업무일지!$F785&lt;&gt;"",COUNTIF(사건마스터!$A$5:$A$64,업무일지!$F785)=0),"미등록 사건번호; ","")&amp;IF(AND(업무일지!$F785="",업무일지!$H785=""),"사건번호·업무명 모두 없음; ","")&amp;IF(업무일지!$J785="","담당자 없음; ","")&amp;IF(COUNTIF(코드설정!$F$5:$F$7,업무일지!$AG785)=0,"진행상태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"&amp;업무일지!$H786)</f>
        <v/>
      </c>
      <c r="D818" s="45">
        <f>IF(NOT(COUNTBLANK(업무일지!$B786:$AH786)&lt;33),"",TRIM(IF(업무일지!$B786="","시작일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","")&amp;IF(COUNTIF(코드설정!$H$5:$H$7,업무일지!$D786)=0,"직무구분 누락; ","")&amp;IF(업무일지!$E786="","세부유형 누락; ",IF(AND(업무일지!$D786&lt;&gt;"",COUNTIFS(코드설정!$A$5:$A$21,업무일지!$D786,코드설정!$B$5:$B$21,업무일지!$E786)=0),"세부유형이 직무구분과 불일치; ",""))&amp;IF(AND(업무일지!$F786&lt;&gt;"",COUNTIF(사건마스터!$A$5:$A$64,업무일지!$F786)=0),"미등록 사건번호; ","")&amp;IF(AND(업무일지!$F786="",업무일지!$H786=""),"사건번호·업무명 모두 없음; ","")&amp;IF(업무일지!$J786="","담당자 없음; ","")&amp;IF(COUNTIF(코드설정!$F$5:$F$7,업무일지!$AG786)=0,"진행상태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"&amp;업무일지!$H787)</f>
        <v/>
      </c>
      <c r="D819" s="45">
        <f>IF(NOT(COUNTBLANK(업무일지!$B787:$AH787)&lt;33),"",TRIM(IF(업무일지!$B787="","시작일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","")&amp;IF(COUNTIF(코드설정!$H$5:$H$7,업무일지!$D787)=0,"직무구분 누락; ","")&amp;IF(업무일지!$E787="","세부유형 누락; ",IF(AND(업무일지!$D787&lt;&gt;"",COUNTIFS(코드설정!$A$5:$A$21,업무일지!$D787,코드설정!$B$5:$B$21,업무일지!$E787)=0),"세부유형이 직무구분과 불일치; ",""))&amp;IF(AND(업무일지!$F787&lt;&gt;"",COUNTIF(사건마스터!$A$5:$A$64,업무일지!$F787)=0),"미등록 사건번호; ","")&amp;IF(AND(업무일지!$F787="",업무일지!$H787=""),"사건번호·업무명 모두 없음; ","")&amp;IF(업무일지!$J787="","담당자 없음; ","")&amp;IF(COUNTIF(코드설정!$F$5:$F$7,업무일지!$AG787)=0,"진행상태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"&amp;업무일지!$H788)</f>
        <v/>
      </c>
      <c r="D820" s="45">
        <f>IF(NOT(COUNTBLANK(업무일지!$B788:$AH788)&lt;33),"",TRIM(IF(업무일지!$B788="","시작일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","")&amp;IF(COUNTIF(코드설정!$H$5:$H$7,업무일지!$D788)=0,"직무구분 누락; ","")&amp;IF(업무일지!$E788="","세부유형 누락; ",IF(AND(업무일지!$D788&lt;&gt;"",COUNTIFS(코드설정!$A$5:$A$21,업무일지!$D788,코드설정!$B$5:$B$21,업무일지!$E788)=0),"세부유형이 직무구분과 불일치; ",""))&amp;IF(AND(업무일지!$F788&lt;&gt;"",COUNTIF(사건마스터!$A$5:$A$64,업무일지!$F788)=0),"미등록 사건번호; ","")&amp;IF(AND(업무일지!$F788="",업무일지!$H788=""),"사건번호·업무명 모두 없음; ","")&amp;IF(업무일지!$J788="","담당자 없음; ","")&amp;IF(COUNTIF(코드설정!$F$5:$F$7,업무일지!$AG788)=0,"진행상태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"&amp;업무일지!$H789)</f>
        <v/>
      </c>
      <c r="D821" s="45">
        <f>IF(NOT(COUNTBLANK(업무일지!$B789:$AH789)&lt;33),"",TRIM(IF(업무일지!$B789="","시작일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","")&amp;IF(COUNTIF(코드설정!$H$5:$H$7,업무일지!$D789)=0,"직무구분 누락; ","")&amp;IF(업무일지!$E789="","세부유형 누락; ",IF(AND(업무일지!$D789&lt;&gt;"",COUNTIFS(코드설정!$A$5:$A$21,업무일지!$D789,코드설정!$B$5:$B$21,업무일지!$E789)=0),"세부유형이 직무구분과 불일치; ",""))&amp;IF(AND(업무일지!$F789&lt;&gt;"",COUNTIF(사건마스터!$A$5:$A$64,업무일지!$F789)=0),"미등록 사건번호; ","")&amp;IF(AND(업무일지!$F789="",업무일지!$H789=""),"사건번호·업무명 모두 없음; ","")&amp;IF(업무일지!$J789="","담당자 없음; ","")&amp;IF(COUNTIF(코드설정!$F$5:$F$7,업무일지!$AG789)=0,"진행상태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"&amp;업무일지!$H790)</f>
        <v/>
      </c>
      <c r="D822" s="45">
        <f>IF(NOT(COUNTBLANK(업무일지!$B790:$AH790)&lt;33),"",TRIM(IF(업무일지!$B790="","시작일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","")&amp;IF(COUNTIF(코드설정!$H$5:$H$7,업무일지!$D790)=0,"직무구분 누락; ","")&amp;IF(업무일지!$E790="","세부유형 누락; ",IF(AND(업무일지!$D790&lt;&gt;"",COUNTIFS(코드설정!$A$5:$A$21,업무일지!$D790,코드설정!$B$5:$B$21,업무일지!$E790)=0),"세부유형이 직무구분과 불일치; ",""))&amp;IF(AND(업무일지!$F790&lt;&gt;"",COUNTIF(사건마스터!$A$5:$A$64,업무일지!$F790)=0),"미등록 사건번호; ","")&amp;IF(AND(업무일지!$F790="",업무일지!$H790=""),"사건번호·업무명 모두 없음; ","")&amp;IF(업무일지!$J790="","담당자 없음; ","")&amp;IF(COUNTIF(코드설정!$F$5:$F$7,업무일지!$AG790)=0,"진행상태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"&amp;업무일지!$H791)</f>
        <v/>
      </c>
      <c r="D823" s="45">
        <f>IF(NOT(COUNTBLANK(업무일지!$B791:$AH791)&lt;33),"",TRIM(IF(업무일지!$B791="","시작일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","")&amp;IF(COUNTIF(코드설정!$H$5:$H$7,업무일지!$D791)=0,"직무구분 누락; ","")&amp;IF(업무일지!$E791="","세부유형 누락; ",IF(AND(업무일지!$D791&lt;&gt;"",COUNTIFS(코드설정!$A$5:$A$21,업무일지!$D791,코드설정!$B$5:$B$21,업무일지!$E791)=0),"세부유형이 직무구분과 불일치; ",""))&amp;IF(AND(업무일지!$F791&lt;&gt;"",COUNTIF(사건마스터!$A$5:$A$64,업무일지!$F791)=0),"미등록 사건번호; ","")&amp;IF(AND(업무일지!$F791="",업무일지!$H791=""),"사건번호·업무명 모두 없음; ","")&amp;IF(업무일지!$J791="","담당자 없음; ","")&amp;IF(COUNTIF(코드설정!$F$5:$F$7,업무일지!$AG791)=0,"진행상태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"&amp;업무일지!$H792)</f>
        <v/>
      </c>
      <c r="D824" s="45">
        <f>IF(NOT(COUNTBLANK(업무일지!$B792:$AH792)&lt;33),"",TRIM(IF(업무일지!$B792="","시작일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","")&amp;IF(COUNTIF(코드설정!$H$5:$H$7,업무일지!$D792)=0,"직무구분 누락; ","")&amp;IF(업무일지!$E792="","세부유형 누락; ",IF(AND(업무일지!$D792&lt;&gt;"",COUNTIFS(코드설정!$A$5:$A$21,업무일지!$D792,코드설정!$B$5:$B$21,업무일지!$E792)=0),"세부유형이 직무구분과 불일치; ",""))&amp;IF(AND(업무일지!$F792&lt;&gt;"",COUNTIF(사건마스터!$A$5:$A$64,업무일지!$F792)=0),"미등록 사건번호; ","")&amp;IF(AND(업무일지!$F792="",업무일지!$H792=""),"사건번호·업무명 모두 없음; ","")&amp;IF(업무일지!$J792="","담당자 없음; ","")&amp;IF(COUNTIF(코드설정!$F$5:$F$7,업무일지!$AG792)=0,"진행상태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"&amp;업무일지!$H793)</f>
        <v/>
      </c>
      <c r="D825" s="45">
        <f>IF(NOT(COUNTBLANK(업무일지!$B793:$AH793)&lt;33),"",TRIM(IF(업무일지!$B793="","시작일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","")&amp;IF(COUNTIF(코드설정!$H$5:$H$7,업무일지!$D793)=0,"직무구분 누락; ","")&amp;IF(업무일지!$E793="","세부유형 누락; ",IF(AND(업무일지!$D793&lt;&gt;"",COUNTIFS(코드설정!$A$5:$A$21,업무일지!$D793,코드설정!$B$5:$B$21,업무일지!$E793)=0),"세부유형이 직무구분과 불일치; ",""))&amp;IF(AND(업무일지!$F793&lt;&gt;"",COUNTIF(사건마스터!$A$5:$A$64,업무일지!$F793)=0),"미등록 사건번호; ","")&amp;IF(AND(업무일지!$F793="",업무일지!$H793=""),"사건번호·업무명 모두 없음; ","")&amp;IF(업무일지!$J793="","담당자 없음; ","")&amp;IF(COUNTIF(코드설정!$F$5:$F$7,업무일지!$AG793)=0,"진행상태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"&amp;업무일지!$H794)</f>
        <v/>
      </c>
      <c r="D826" s="45">
        <f>IF(NOT(COUNTBLANK(업무일지!$B794:$AH794)&lt;33),"",TRIM(IF(업무일지!$B794="","시작일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","")&amp;IF(COUNTIF(코드설정!$H$5:$H$7,업무일지!$D794)=0,"직무구분 누락; ","")&amp;IF(업무일지!$E794="","세부유형 누락; ",IF(AND(업무일지!$D794&lt;&gt;"",COUNTIFS(코드설정!$A$5:$A$21,업무일지!$D794,코드설정!$B$5:$B$21,업무일지!$E794)=0),"세부유형이 직무구분과 불일치; ",""))&amp;IF(AND(업무일지!$F794&lt;&gt;"",COUNTIF(사건마스터!$A$5:$A$64,업무일지!$F794)=0),"미등록 사건번호; ","")&amp;IF(AND(업무일지!$F794="",업무일지!$H794=""),"사건번호·업무명 모두 없음; ","")&amp;IF(업무일지!$J794="","담당자 없음; ","")&amp;IF(COUNTIF(코드설정!$F$5:$F$7,업무일지!$AG794)=0,"진행상태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"&amp;업무일지!$H795)</f>
        <v/>
      </c>
      <c r="D827" s="45">
        <f>IF(NOT(COUNTBLANK(업무일지!$B795:$AH795)&lt;33),"",TRIM(IF(업무일지!$B795="","시작일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","")&amp;IF(COUNTIF(코드설정!$H$5:$H$7,업무일지!$D795)=0,"직무구분 누락; ","")&amp;IF(업무일지!$E795="","세부유형 누락; ",IF(AND(업무일지!$D795&lt;&gt;"",COUNTIFS(코드설정!$A$5:$A$21,업무일지!$D795,코드설정!$B$5:$B$21,업무일지!$E795)=0),"세부유형이 직무구분과 불일치; ",""))&amp;IF(AND(업무일지!$F795&lt;&gt;"",COUNTIF(사건마스터!$A$5:$A$64,업무일지!$F795)=0),"미등록 사건번호; ","")&amp;IF(AND(업무일지!$F795="",업무일지!$H795=""),"사건번호·업무명 모두 없음; ","")&amp;IF(업무일지!$J795="","담당자 없음; ","")&amp;IF(COUNTIF(코드설정!$F$5:$F$7,업무일지!$AG795)=0,"진행상태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"&amp;업무일지!$H796)</f>
        <v/>
      </c>
      <c r="D828" s="45">
        <f>IF(NOT(COUNTBLANK(업무일지!$B796:$AH796)&lt;33),"",TRIM(IF(업무일지!$B796="","시작일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","")&amp;IF(COUNTIF(코드설정!$H$5:$H$7,업무일지!$D796)=0,"직무구분 누락; ","")&amp;IF(업무일지!$E796="","세부유형 누락; ",IF(AND(업무일지!$D796&lt;&gt;"",COUNTIFS(코드설정!$A$5:$A$21,업무일지!$D796,코드설정!$B$5:$B$21,업무일지!$E796)=0),"세부유형이 직무구분과 불일치; ",""))&amp;IF(AND(업무일지!$F796&lt;&gt;"",COUNTIF(사건마스터!$A$5:$A$64,업무일지!$F796)=0),"미등록 사건번호; ","")&amp;IF(AND(업무일지!$F796="",업무일지!$H796=""),"사건번호·업무명 모두 없음; ","")&amp;IF(업무일지!$J796="","담당자 없음; ","")&amp;IF(COUNTIF(코드설정!$F$5:$F$7,업무일지!$AG796)=0,"진행상태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"&amp;업무일지!$H797)</f>
        <v/>
      </c>
      <c r="D829" s="45">
        <f>IF(NOT(COUNTBLANK(업무일지!$B797:$AH797)&lt;33),"",TRIM(IF(업무일지!$B797="","시작일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","")&amp;IF(COUNTIF(코드설정!$H$5:$H$7,업무일지!$D797)=0,"직무구분 누락; ","")&amp;IF(업무일지!$E797="","세부유형 누락; ",IF(AND(업무일지!$D797&lt;&gt;"",COUNTIFS(코드설정!$A$5:$A$21,업무일지!$D797,코드설정!$B$5:$B$21,업무일지!$E797)=0),"세부유형이 직무구분과 불일치; ",""))&amp;IF(AND(업무일지!$F797&lt;&gt;"",COUNTIF(사건마스터!$A$5:$A$64,업무일지!$F797)=0),"미등록 사건번호; ","")&amp;IF(AND(업무일지!$F797="",업무일지!$H797=""),"사건번호·업무명 모두 없음; ","")&amp;IF(업무일지!$J797="","담당자 없음; ","")&amp;IF(COUNTIF(코드설정!$F$5:$F$7,업무일지!$AG797)=0,"진행상태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"&amp;업무일지!$H798)</f>
        <v/>
      </c>
      <c r="D830" s="45">
        <f>IF(NOT(COUNTBLANK(업무일지!$B798:$AH798)&lt;33),"",TRIM(IF(업무일지!$B798="","시작일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","")&amp;IF(COUNTIF(코드설정!$H$5:$H$7,업무일지!$D798)=0,"직무구분 누락; ","")&amp;IF(업무일지!$E798="","세부유형 누락; ",IF(AND(업무일지!$D798&lt;&gt;"",COUNTIFS(코드설정!$A$5:$A$21,업무일지!$D798,코드설정!$B$5:$B$21,업무일지!$E798)=0),"세부유형이 직무구분과 불일치; ",""))&amp;IF(AND(업무일지!$F798&lt;&gt;"",COUNTIF(사건마스터!$A$5:$A$64,업무일지!$F798)=0),"미등록 사건번호; ","")&amp;IF(AND(업무일지!$F798="",업무일지!$H798=""),"사건번호·업무명 모두 없음; ","")&amp;IF(업무일지!$J798="","담당자 없음; ","")&amp;IF(COUNTIF(코드설정!$F$5:$F$7,업무일지!$AG798)=0,"진행상태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"&amp;업무일지!$H799)</f>
        <v/>
      </c>
      <c r="D831" s="45">
        <f>IF(NOT(COUNTBLANK(업무일지!$B799:$AH799)&lt;33),"",TRIM(IF(업무일지!$B799="","시작일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","")&amp;IF(COUNTIF(코드설정!$H$5:$H$7,업무일지!$D799)=0,"직무구분 누락; ","")&amp;IF(업무일지!$E799="","세부유형 누락; ",IF(AND(업무일지!$D799&lt;&gt;"",COUNTIFS(코드설정!$A$5:$A$21,업무일지!$D799,코드설정!$B$5:$B$21,업무일지!$E799)=0),"세부유형이 직무구분과 불일치; ",""))&amp;IF(AND(업무일지!$F799&lt;&gt;"",COUNTIF(사건마스터!$A$5:$A$64,업무일지!$F799)=0),"미등록 사건번호; ","")&amp;IF(AND(업무일지!$F799="",업무일지!$H799=""),"사건번호·업무명 모두 없음; ","")&amp;IF(업무일지!$J799="","담당자 없음; ","")&amp;IF(COUNTIF(코드설정!$F$5:$F$7,업무일지!$AG799)=0,"진행상태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"&amp;업무일지!$H800)</f>
        <v/>
      </c>
      <c r="D832" s="45">
        <f>IF(NOT(COUNTBLANK(업무일지!$B800:$AH800)&lt;33),"",TRIM(IF(업무일지!$B800="","시작일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","")&amp;IF(COUNTIF(코드설정!$H$5:$H$7,업무일지!$D800)=0,"직무구분 누락; ","")&amp;IF(업무일지!$E800="","세부유형 누락; ",IF(AND(업무일지!$D800&lt;&gt;"",COUNTIFS(코드설정!$A$5:$A$21,업무일지!$D800,코드설정!$B$5:$B$21,업무일지!$E800)=0),"세부유형이 직무구분과 불일치; ",""))&amp;IF(AND(업무일지!$F800&lt;&gt;"",COUNTIF(사건마스터!$A$5:$A$64,업무일지!$F800)=0),"미등록 사건번호; ","")&amp;IF(AND(업무일지!$F800="",업무일지!$H800=""),"사건번호·업무명 모두 없음; ","")&amp;IF(업무일지!$J800="","담당자 없음; ","")&amp;IF(COUNTIF(코드설정!$F$5:$F$7,업무일지!$AG800)=0,"진행상태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"&amp;업무일지!$H801)</f>
        <v/>
      </c>
      <c r="D833" s="45">
        <f>IF(NOT(COUNTBLANK(업무일지!$B801:$AH801)&lt;33),"",TRIM(IF(업무일지!$B801="","시작일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","")&amp;IF(COUNTIF(코드설정!$H$5:$H$7,업무일지!$D801)=0,"직무구분 누락; ","")&amp;IF(업무일지!$E801="","세부유형 누락; ",IF(AND(업무일지!$D801&lt;&gt;"",COUNTIFS(코드설정!$A$5:$A$21,업무일지!$D801,코드설정!$B$5:$B$21,업무일지!$E801)=0),"세부유형이 직무구분과 불일치; ",""))&amp;IF(AND(업무일지!$F801&lt;&gt;"",COUNTIF(사건마스터!$A$5:$A$64,업무일지!$F801)=0),"미등록 사건번호; ","")&amp;IF(AND(업무일지!$F801="",업무일지!$H801=""),"사건번호·업무명 모두 없음; ","")&amp;IF(업무일지!$J801="","담당자 없음; ","")&amp;IF(COUNTIF(코드설정!$F$5:$F$7,업무일지!$AG801)=0,"진행상태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"&amp;업무일지!$H802)</f>
        <v/>
      </c>
      <c r="D834" s="45">
        <f>IF(NOT(COUNTBLANK(업무일지!$B802:$AH802)&lt;33),"",TRIM(IF(업무일지!$B802="","시작일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","")&amp;IF(COUNTIF(코드설정!$H$5:$H$7,업무일지!$D802)=0,"직무구분 누락; ","")&amp;IF(업무일지!$E802="","세부유형 누락; ",IF(AND(업무일지!$D802&lt;&gt;"",COUNTIFS(코드설정!$A$5:$A$21,업무일지!$D802,코드설정!$B$5:$B$21,업무일지!$E802)=0),"세부유형이 직무구분과 불일치; ",""))&amp;IF(AND(업무일지!$F802&lt;&gt;"",COUNTIF(사건마스터!$A$5:$A$64,업무일지!$F802)=0),"미등록 사건번호; ","")&amp;IF(AND(업무일지!$F802="",업무일지!$H802=""),"사건번호·업무명 모두 없음; ","")&amp;IF(업무일지!$J802="","담당자 없음; ","")&amp;IF(COUNTIF(코드설정!$F$5:$F$7,업무일지!$AG802)=0,"진행상태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"&amp;업무일지!$H803)</f>
        <v/>
      </c>
      <c r="D835" s="45">
        <f>IF(NOT(COUNTBLANK(업무일지!$B803:$AH803)&lt;33),"",TRIM(IF(업무일지!$B803="","시작일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","")&amp;IF(COUNTIF(코드설정!$H$5:$H$7,업무일지!$D803)=0,"직무구분 누락; ","")&amp;IF(업무일지!$E803="","세부유형 누락; ",IF(AND(업무일지!$D803&lt;&gt;"",COUNTIFS(코드설정!$A$5:$A$21,업무일지!$D803,코드설정!$B$5:$B$21,업무일지!$E803)=0),"세부유형이 직무구분과 불일치; ",""))&amp;IF(AND(업무일지!$F803&lt;&gt;"",COUNTIF(사건마스터!$A$5:$A$64,업무일지!$F803)=0),"미등록 사건번호; ","")&amp;IF(AND(업무일지!$F803="",업무일지!$H803=""),"사건번호·업무명 모두 없음; ","")&amp;IF(업무일지!$J803="","담당자 없음; ","")&amp;IF(COUNTIF(코드설정!$F$5:$F$7,업무일지!$AG803)=0,"진행상태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"&amp;업무일지!$H804)</f>
        <v/>
      </c>
      <c r="D836" s="45">
        <f>IF(NOT(COUNTBLANK(업무일지!$B804:$AH804)&lt;33),"",TRIM(IF(업무일지!$B804="","시작일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","")&amp;IF(COUNTIF(코드설정!$H$5:$H$7,업무일지!$D804)=0,"직무구분 누락; ","")&amp;IF(업무일지!$E804="","세부유형 누락; ",IF(AND(업무일지!$D804&lt;&gt;"",COUNTIFS(코드설정!$A$5:$A$21,업무일지!$D804,코드설정!$B$5:$B$21,업무일지!$E804)=0),"세부유형이 직무구분과 불일치; ",""))&amp;IF(AND(업무일지!$F804&lt;&gt;"",COUNTIF(사건마스터!$A$5:$A$64,업무일지!$F804)=0),"미등록 사건번호; ","")&amp;IF(AND(업무일지!$F804="",업무일지!$H804=""),"사건번호·업무명 모두 없음; ","")&amp;IF(업무일지!$J804="","담당자 없음; ","")&amp;IF(COUNTIF(코드설정!$F$5:$F$7,업무일지!$AG804)=0,"진행상태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"&amp;업무일지!$H805)</f>
        <v/>
      </c>
      <c r="D837" s="45">
        <f>IF(NOT(COUNTBLANK(업무일지!$B805:$AH805)&lt;33),"",TRIM(IF(업무일지!$B805="","시작일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","")&amp;IF(COUNTIF(코드설정!$H$5:$H$7,업무일지!$D805)=0,"직무구분 누락; ","")&amp;IF(업무일지!$E805="","세부유형 누락; ",IF(AND(업무일지!$D805&lt;&gt;"",COUNTIFS(코드설정!$A$5:$A$21,업무일지!$D805,코드설정!$B$5:$B$21,업무일지!$E805)=0),"세부유형이 직무구분과 불일치; ",""))&amp;IF(AND(업무일지!$F805&lt;&gt;"",COUNTIF(사건마스터!$A$5:$A$64,업무일지!$F805)=0),"미등록 사건번호; ","")&amp;IF(AND(업무일지!$F805="",업무일지!$H805=""),"사건번호·업무명 모두 없음; ","")&amp;IF(업무일지!$J805="","담당자 없음; ","")&amp;IF(COUNTIF(코드설정!$F$5:$F$7,업무일지!$AG805)=0,"진행상태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"&amp;업무일지!$H806)</f>
        <v/>
      </c>
      <c r="D838" s="45">
        <f>IF(NOT(COUNTBLANK(업무일지!$B806:$AH806)&lt;33),"",TRIM(IF(업무일지!$B806="","시작일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","")&amp;IF(COUNTIF(코드설정!$H$5:$H$7,업무일지!$D806)=0,"직무구분 누락; ","")&amp;IF(업무일지!$E806="","세부유형 누락; ",IF(AND(업무일지!$D806&lt;&gt;"",COUNTIFS(코드설정!$A$5:$A$21,업무일지!$D806,코드설정!$B$5:$B$21,업무일지!$E806)=0),"세부유형이 직무구분과 불일치; ",""))&amp;IF(AND(업무일지!$F806&lt;&gt;"",COUNTIF(사건마스터!$A$5:$A$64,업무일지!$F806)=0),"미등록 사건번호; ","")&amp;IF(AND(업무일지!$F806="",업무일지!$H806=""),"사건번호·업무명 모두 없음; ","")&amp;IF(업무일지!$J806="","담당자 없음; ","")&amp;IF(COUNTIF(코드설정!$F$5:$F$7,업무일지!$AG806)=0,"진행상태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"&amp;업무일지!$H807)</f>
        <v/>
      </c>
      <c r="D839" s="45">
        <f>IF(NOT(COUNTBLANK(업무일지!$B807:$AH807)&lt;33),"",TRIM(IF(업무일지!$B807="","시작일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","")&amp;IF(COUNTIF(코드설정!$H$5:$H$7,업무일지!$D807)=0,"직무구분 누락; ","")&amp;IF(업무일지!$E807="","세부유형 누락; ",IF(AND(업무일지!$D807&lt;&gt;"",COUNTIFS(코드설정!$A$5:$A$21,업무일지!$D807,코드설정!$B$5:$B$21,업무일지!$E807)=0),"세부유형이 직무구분과 불일치; ",""))&amp;IF(AND(업무일지!$F807&lt;&gt;"",COUNTIF(사건마스터!$A$5:$A$64,업무일지!$F807)=0),"미등록 사건번호; ","")&amp;IF(AND(업무일지!$F807="",업무일지!$H807=""),"사건번호·업무명 모두 없음; ","")&amp;IF(업무일지!$J807="","담당자 없음; ","")&amp;IF(COUNTIF(코드설정!$F$5:$F$7,업무일지!$AG807)=0,"진행상태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"&amp;업무일지!$H808)</f>
        <v/>
      </c>
      <c r="D840" s="45">
        <f>IF(NOT(COUNTBLANK(업무일지!$B808:$AH808)&lt;33),"",TRIM(IF(업무일지!$B808="","시작일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","")&amp;IF(COUNTIF(코드설정!$H$5:$H$7,업무일지!$D808)=0,"직무구분 누락; ","")&amp;IF(업무일지!$E808="","세부유형 누락; ",IF(AND(업무일지!$D808&lt;&gt;"",COUNTIFS(코드설정!$A$5:$A$21,업무일지!$D808,코드설정!$B$5:$B$21,업무일지!$E808)=0),"세부유형이 직무구분과 불일치; ",""))&amp;IF(AND(업무일지!$F808&lt;&gt;"",COUNTIF(사건마스터!$A$5:$A$64,업무일지!$F808)=0),"미등록 사건번호; ","")&amp;IF(AND(업무일지!$F808="",업무일지!$H808=""),"사건번호·업무명 모두 없음; ","")&amp;IF(업무일지!$J808="","담당자 없음; ","")&amp;IF(COUNTIF(코드설정!$F$5:$F$7,업무일지!$AG808)=0,"진행상태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"&amp;업무일지!$H809)</f>
        <v/>
      </c>
      <c r="D841" s="45">
        <f>IF(NOT(COUNTBLANK(업무일지!$B809:$AH809)&lt;33),"",TRIM(IF(업무일지!$B809="","시작일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","")&amp;IF(COUNTIF(코드설정!$H$5:$H$7,업무일지!$D809)=0,"직무구분 누락; ","")&amp;IF(업무일지!$E809="","세부유형 누락; ",IF(AND(업무일지!$D809&lt;&gt;"",COUNTIFS(코드설정!$A$5:$A$21,업무일지!$D809,코드설정!$B$5:$B$21,업무일지!$E809)=0),"세부유형이 직무구분과 불일치; ",""))&amp;IF(AND(업무일지!$F809&lt;&gt;"",COUNTIF(사건마스터!$A$5:$A$64,업무일지!$F809)=0),"미등록 사건번호; ","")&amp;IF(AND(업무일지!$F809="",업무일지!$H809=""),"사건번호·업무명 모두 없음; ","")&amp;IF(업무일지!$J809="","담당자 없음; ","")&amp;IF(COUNTIF(코드설정!$F$5:$F$7,업무일지!$AG809)=0,"진행상태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"&amp;업무일지!$H810)</f>
        <v/>
      </c>
      <c r="D842" s="45">
        <f>IF(NOT(COUNTBLANK(업무일지!$B810:$AH810)&lt;33),"",TRIM(IF(업무일지!$B810="","시작일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","")&amp;IF(COUNTIF(코드설정!$H$5:$H$7,업무일지!$D810)=0,"직무구분 누락; ","")&amp;IF(업무일지!$E810="","세부유형 누락; ",IF(AND(업무일지!$D810&lt;&gt;"",COUNTIFS(코드설정!$A$5:$A$21,업무일지!$D810,코드설정!$B$5:$B$21,업무일지!$E810)=0),"세부유형이 직무구분과 불일치; ",""))&amp;IF(AND(업무일지!$F810&lt;&gt;"",COUNTIF(사건마스터!$A$5:$A$64,업무일지!$F810)=0),"미등록 사건번호; ","")&amp;IF(AND(업무일지!$F810="",업무일지!$H810=""),"사건번호·업무명 모두 없음; ","")&amp;IF(업무일지!$J810="","담당자 없음; ","")&amp;IF(COUNTIF(코드설정!$F$5:$F$7,업무일지!$AG810)=0,"진행상태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"&amp;업무일지!$H811)</f>
        <v/>
      </c>
      <c r="D843" s="45">
        <f>IF(NOT(COUNTBLANK(업무일지!$B811:$AH811)&lt;33),"",TRIM(IF(업무일지!$B811="","시작일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","")&amp;IF(COUNTIF(코드설정!$H$5:$H$7,업무일지!$D811)=0,"직무구분 누락; ","")&amp;IF(업무일지!$E811="","세부유형 누락; ",IF(AND(업무일지!$D811&lt;&gt;"",COUNTIFS(코드설정!$A$5:$A$21,업무일지!$D811,코드설정!$B$5:$B$21,업무일지!$E811)=0),"세부유형이 직무구분과 불일치; ",""))&amp;IF(AND(업무일지!$F811&lt;&gt;"",COUNTIF(사건마스터!$A$5:$A$64,업무일지!$F811)=0),"미등록 사건번호; ","")&amp;IF(AND(업무일지!$F811="",업무일지!$H811=""),"사건번호·업무명 모두 없음; ","")&amp;IF(업무일지!$J811="","담당자 없음; ","")&amp;IF(COUNTIF(코드설정!$F$5:$F$7,업무일지!$AG811)=0,"진행상태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"&amp;업무일지!$H812)</f>
        <v/>
      </c>
      <c r="D844" s="45">
        <f>IF(NOT(COUNTBLANK(업무일지!$B812:$AH812)&lt;33),"",TRIM(IF(업무일지!$B812="","시작일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","")&amp;IF(COUNTIF(코드설정!$H$5:$H$7,업무일지!$D812)=0,"직무구분 누락; ","")&amp;IF(업무일지!$E812="","세부유형 누락; ",IF(AND(업무일지!$D812&lt;&gt;"",COUNTIFS(코드설정!$A$5:$A$21,업무일지!$D812,코드설정!$B$5:$B$21,업무일지!$E812)=0),"세부유형이 직무구분과 불일치; ",""))&amp;IF(AND(업무일지!$F812&lt;&gt;"",COUNTIF(사건마스터!$A$5:$A$64,업무일지!$F812)=0),"미등록 사건번호; ","")&amp;IF(AND(업무일지!$F812="",업무일지!$H812=""),"사건번호·업무명 모두 없음; ","")&amp;IF(업무일지!$J812="","담당자 없음; ","")&amp;IF(COUNTIF(코드설정!$F$5:$F$7,업무일지!$AG812)=0,"진행상태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"&amp;업무일지!$H813)</f>
        <v/>
      </c>
      <c r="D845" s="45">
        <f>IF(NOT(COUNTBLANK(업무일지!$B813:$AH813)&lt;33),"",TRIM(IF(업무일지!$B813="","시작일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","")&amp;IF(COUNTIF(코드설정!$H$5:$H$7,업무일지!$D813)=0,"직무구분 누락; ","")&amp;IF(업무일지!$E813="","세부유형 누락; ",IF(AND(업무일지!$D813&lt;&gt;"",COUNTIFS(코드설정!$A$5:$A$21,업무일지!$D813,코드설정!$B$5:$B$21,업무일지!$E813)=0),"세부유형이 직무구분과 불일치; ",""))&amp;IF(AND(업무일지!$F813&lt;&gt;"",COUNTIF(사건마스터!$A$5:$A$64,업무일지!$F813)=0),"미등록 사건번호; ","")&amp;IF(AND(업무일지!$F813="",업무일지!$H813=""),"사건번호·업무명 모두 없음; ","")&amp;IF(업무일지!$J813="","담당자 없음; ","")&amp;IF(COUNTIF(코드설정!$F$5:$F$7,업무일지!$AG813)=0,"진행상태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"&amp;업무일지!$H814)</f>
        <v/>
      </c>
      <c r="D846" s="45">
        <f>IF(NOT(COUNTBLANK(업무일지!$B814:$AH814)&lt;33),"",TRIM(IF(업무일지!$B814="","시작일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","")&amp;IF(COUNTIF(코드설정!$H$5:$H$7,업무일지!$D814)=0,"직무구분 누락; ","")&amp;IF(업무일지!$E814="","세부유형 누락; ",IF(AND(업무일지!$D814&lt;&gt;"",COUNTIFS(코드설정!$A$5:$A$21,업무일지!$D814,코드설정!$B$5:$B$21,업무일지!$E814)=0),"세부유형이 직무구분과 불일치; ",""))&amp;IF(AND(업무일지!$F814&lt;&gt;"",COUNTIF(사건마스터!$A$5:$A$64,업무일지!$F814)=0),"미등록 사건번호; ","")&amp;IF(AND(업무일지!$F814="",업무일지!$H814=""),"사건번호·업무명 모두 없음; ","")&amp;IF(업무일지!$J814="","담당자 없음; ","")&amp;IF(COUNTIF(코드설정!$F$5:$F$7,업무일지!$AG814)=0,"진행상태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"&amp;업무일지!$H815)</f>
        <v/>
      </c>
      <c r="D847" s="45">
        <f>IF(NOT(COUNTBLANK(업무일지!$B815:$AH815)&lt;33),"",TRIM(IF(업무일지!$B815="","시작일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","")&amp;IF(COUNTIF(코드설정!$H$5:$H$7,업무일지!$D815)=0,"직무구분 누락; ","")&amp;IF(업무일지!$E815="","세부유형 누락; ",IF(AND(업무일지!$D815&lt;&gt;"",COUNTIFS(코드설정!$A$5:$A$21,업무일지!$D815,코드설정!$B$5:$B$21,업무일지!$E815)=0),"세부유형이 직무구분과 불일치; ",""))&amp;IF(AND(업무일지!$F815&lt;&gt;"",COUNTIF(사건마스터!$A$5:$A$64,업무일지!$F815)=0),"미등록 사건번호; ","")&amp;IF(AND(업무일지!$F815="",업무일지!$H815=""),"사건번호·업무명 모두 없음; ","")&amp;IF(업무일지!$J815="","담당자 없음; ","")&amp;IF(COUNTIF(코드설정!$F$5:$F$7,업무일지!$AG815)=0,"진행상태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"&amp;업무일지!$H816)</f>
        <v/>
      </c>
      <c r="D848" s="45">
        <f>IF(NOT(COUNTBLANK(업무일지!$B816:$AH816)&lt;33),"",TRIM(IF(업무일지!$B816="","시작일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","")&amp;IF(COUNTIF(코드설정!$H$5:$H$7,업무일지!$D816)=0,"직무구분 누락; ","")&amp;IF(업무일지!$E816="","세부유형 누락; ",IF(AND(업무일지!$D816&lt;&gt;"",COUNTIFS(코드설정!$A$5:$A$21,업무일지!$D816,코드설정!$B$5:$B$21,업무일지!$E816)=0),"세부유형이 직무구분과 불일치; ",""))&amp;IF(AND(업무일지!$F816&lt;&gt;"",COUNTIF(사건마스터!$A$5:$A$64,업무일지!$F816)=0),"미등록 사건번호; ","")&amp;IF(AND(업무일지!$F816="",업무일지!$H816=""),"사건번호·업무명 모두 없음; ","")&amp;IF(업무일지!$J816="","담당자 없음; ","")&amp;IF(COUNTIF(코드설정!$F$5:$F$7,업무일지!$AG816)=0,"진행상태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"&amp;업무일지!$H817)</f>
        <v/>
      </c>
      <c r="D849" s="45">
        <f>IF(NOT(COUNTBLANK(업무일지!$B817:$AH817)&lt;33),"",TRIM(IF(업무일지!$B817="","시작일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","")&amp;IF(COUNTIF(코드설정!$H$5:$H$7,업무일지!$D817)=0,"직무구분 누락; ","")&amp;IF(업무일지!$E817="","세부유형 누락; ",IF(AND(업무일지!$D817&lt;&gt;"",COUNTIFS(코드설정!$A$5:$A$21,업무일지!$D817,코드설정!$B$5:$B$21,업무일지!$E817)=0),"세부유형이 직무구분과 불일치; ",""))&amp;IF(AND(업무일지!$F817&lt;&gt;"",COUNTIF(사건마스터!$A$5:$A$64,업무일지!$F817)=0),"미등록 사건번호; ","")&amp;IF(AND(업무일지!$F817="",업무일지!$H817=""),"사건번호·업무명 모두 없음; ","")&amp;IF(업무일지!$J817="","담당자 없음; ","")&amp;IF(COUNTIF(코드설정!$F$5:$F$7,업무일지!$AG817)=0,"진행상태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"&amp;업무일지!$H818)</f>
        <v/>
      </c>
      <c r="D850" s="45">
        <f>IF(NOT(COUNTBLANK(업무일지!$B818:$AH818)&lt;33),"",TRIM(IF(업무일지!$B818="","시작일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","")&amp;IF(COUNTIF(코드설정!$H$5:$H$7,업무일지!$D818)=0,"직무구분 누락; ","")&amp;IF(업무일지!$E818="","세부유형 누락; ",IF(AND(업무일지!$D818&lt;&gt;"",COUNTIFS(코드설정!$A$5:$A$21,업무일지!$D818,코드설정!$B$5:$B$21,업무일지!$E818)=0),"세부유형이 직무구분과 불일치; ",""))&amp;IF(AND(업무일지!$F818&lt;&gt;"",COUNTIF(사건마스터!$A$5:$A$64,업무일지!$F818)=0),"미등록 사건번호; ","")&amp;IF(AND(업무일지!$F818="",업무일지!$H818=""),"사건번호·업무명 모두 없음; ","")&amp;IF(업무일지!$J818="","담당자 없음; ","")&amp;IF(COUNTIF(코드설정!$F$5:$F$7,업무일지!$AG818)=0,"진행상태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"&amp;업무일지!$H819)</f>
        <v/>
      </c>
      <c r="D851" s="45">
        <f>IF(NOT(COUNTBLANK(업무일지!$B819:$AH819)&lt;33),"",TRIM(IF(업무일지!$B819="","시작일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","")&amp;IF(COUNTIF(코드설정!$H$5:$H$7,업무일지!$D819)=0,"직무구분 누락; ","")&amp;IF(업무일지!$E819="","세부유형 누락; ",IF(AND(업무일지!$D819&lt;&gt;"",COUNTIFS(코드설정!$A$5:$A$21,업무일지!$D819,코드설정!$B$5:$B$21,업무일지!$E819)=0),"세부유형이 직무구분과 불일치; ",""))&amp;IF(AND(업무일지!$F819&lt;&gt;"",COUNTIF(사건마스터!$A$5:$A$64,업무일지!$F819)=0),"미등록 사건번호; ","")&amp;IF(AND(업무일지!$F819="",업무일지!$H819=""),"사건번호·업무명 모두 없음; ","")&amp;IF(업무일지!$J819="","담당자 없음; ","")&amp;IF(COUNTIF(코드설정!$F$5:$F$7,업무일지!$AG819)=0,"진행상태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"&amp;업무일지!$H820)</f>
        <v/>
      </c>
      <c r="D852" s="45">
        <f>IF(NOT(COUNTBLANK(업무일지!$B820:$AH820)&lt;33),"",TRIM(IF(업무일지!$B820="","시작일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","")&amp;IF(COUNTIF(코드설정!$H$5:$H$7,업무일지!$D820)=0,"직무구분 누락; ","")&amp;IF(업무일지!$E820="","세부유형 누락; ",IF(AND(업무일지!$D820&lt;&gt;"",COUNTIFS(코드설정!$A$5:$A$21,업무일지!$D820,코드설정!$B$5:$B$21,업무일지!$E820)=0),"세부유형이 직무구분과 불일치; ",""))&amp;IF(AND(업무일지!$F820&lt;&gt;"",COUNTIF(사건마스터!$A$5:$A$64,업무일지!$F820)=0),"미등록 사건번호; ","")&amp;IF(AND(업무일지!$F820="",업무일지!$H820=""),"사건번호·업무명 모두 없음; ","")&amp;IF(업무일지!$J820="","담당자 없음; ","")&amp;IF(COUNTIF(코드설정!$F$5:$F$7,업무일지!$AG820)=0,"진행상태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"&amp;업무일지!$H821)</f>
        <v/>
      </c>
      <c r="D853" s="45">
        <f>IF(NOT(COUNTBLANK(업무일지!$B821:$AH821)&lt;33),"",TRIM(IF(업무일지!$B821="","시작일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","")&amp;IF(COUNTIF(코드설정!$H$5:$H$7,업무일지!$D821)=0,"직무구분 누락; ","")&amp;IF(업무일지!$E821="","세부유형 누락; ",IF(AND(업무일지!$D821&lt;&gt;"",COUNTIFS(코드설정!$A$5:$A$21,업무일지!$D821,코드설정!$B$5:$B$21,업무일지!$E821)=0),"세부유형이 직무구분과 불일치; ",""))&amp;IF(AND(업무일지!$F821&lt;&gt;"",COUNTIF(사건마스터!$A$5:$A$64,업무일지!$F821)=0),"미등록 사건번호; ","")&amp;IF(AND(업무일지!$F821="",업무일지!$H821=""),"사건번호·업무명 모두 없음; ","")&amp;IF(업무일지!$J821="","담당자 없음; ","")&amp;IF(COUNTIF(코드설정!$F$5:$F$7,업무일지!$AG821)=0,"진행상태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"&amp;업무일지!$H822)</f>
        <v/>
      </c>
      <c r="D854" s="45">
        <f>IF(NOT(COUNTBLANK(업무일지!$B822:$AH822)&lt;33),"",TRIM(IF(업무일지!$B822="","시작일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","")&amp;IF(COUNTIF(코드설정!$H$5:$H$7,업무일지!$D822)=0,"직무구분 누락; ","")&amp;IF(업무일지!$E822="","세부유형 누락; ",IF(AND(업무일지!$D822&lt;&gt;"",COUNTIFS(코드설정!$A$5:$A$21,업무일지!$D822,코드설정!$B$5:$B$21,업무일지!$E822)=0),"세부유형이 직무구분과 불일치; ",""))&amp;IF(AND(업무일지!$F822&lt;&gt;"",COUNTIF(사건마스터!$A$5:$A$64,업무일지!$F822)=0),"미등록 사건번호; ","")&amp;IF(AND(업무일지!$F822="",업무일지!$H822=""),"사건번호·업무명 모두 없음; ","")&amp;IF(업무일지!$J822="","담당자 없음; ","")&amp;IF(COUNTIF(코드설정!$F$5:$F$7,업무일지!$AG822)=0,"진행상태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"&amp;업무일지!$H823)</f>
        <v/>
      </c>
      <c r="D855" s="45">
        <f>IF(NOT(COUNTBLANK(업무일지!$B823:$AH823)&lt;33),"",TRIM(IF(업무일지!$B823="","시작일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","")&amp;IF(COUNTIF(코드설정!$H$5:$H$7,업무일지!$D823)=0,"직무구분 누락; ","")&amp;IF(업무일지!$E823="","세부유형 누락; ",IF(AND(업무일지!$D823&lt;&gt;"",COUNTIFS(코드설정!$A$5:$A$21,업무일지!$D823,코드설정!$B$5:$B$21,업무일지!$E823)=0),"세부유형이 직무구분과 불일치; ",""))&amp;IF(AND(업무일지!$F823&lt;&gt;"",COUNTIF(사건마스터!$A$5:$A$64,업무일지!$F823)=0),"미등록 사건번호; ","")&amp;IF(AND(업무일지!$F823="",업무일지!$H823=""),"사건번호·업무명 모두 없음; ","")&amp;IF(업무일지!$J823="","담당자 없음; ","")&amp;IF(COUNTIF(코드설정!$F$5:$F$7,업무일지!$AG823)=0,"진행상태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"&amp;업무일지!$H824)</f>
        <v/>
      </c>
      <c r="D856" s="45">
        <f>IF(NOT(COUNTBLANK(업무일지!$B824:$AH824)&lt;33),"",TRIM(IF(업무일지!$B824="","시작일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","")&amp;IF(COUNTIF(코드설정!$H$5:$H$7,업무일지!$D824)=0,"직무구분 누락; ","")&amp;IF(업무일지!$E824="","세부유형 누락; ",IF(AND(업무일지!$D824&lt;&gt;"",COUNTIFS(코드설정!$A$5:$A$21,업무일지!$D824,코드설정!$B$5:$B$21,업무일지!$E824)=0),"세부유형이 직무구분과 불일치; ",""))&amp;IF(AND(업무일지!$F824&lt;&gt;"",COUNTIF(사건마스터!$A$5:$A$64,업무일지!$F824)=0),"미등록 사건번호; ","")&amp;IF(AND(업무일지!$F824="",업무일지!$H824=""),"사건번호·업무명 모두 없음; ","")&amp;IF(업무일지!$J824="","담당자 없음; ","")&amp;IF(COUNTIF(코드설정!$F$5:$F$7,업무일지!$AG824)=0,"진행상태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"&amp;업무일지!$H825)</f>
        <v/>
      </c>
      <c r="D857" s="45">
        <f>IF(NOT(COUNTBLANK(업무일지!$B825:$AH825)&lt;33),"",TRIM(IF(업무일지!$B825="","시작일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","")&amp;IF(COUNTIF(코드설정!$H$5:$H$7,업무일지!$D825)=0,"직무구분 누락; ","")&amp;IF(업무일지!$E825="","세부유형 누락; ",IF(AND(업무일지!$D825&lt;&gt;"",COUNTIFS(코드설정!$A$5:$A$21,업무일지!$D825,코드설정!$B$5:$B$21,업무일지!$E825)=0),"세부유형이 직무구분과 불일치; ",""))&amp;IF(AND(업무일지!$F825&lt;&gt;"",COUNTIF(사건마스터!$A$5:$A$64,업무일지!$F825)=0),"미등록 사건번호; ","")&amp;IF(AND(업무일지!$F825="",업무일지!$H825=""),"사건번호·업무명 모두 없음; ","")&amp;IF(업무일지!$J825="","담당자 없음; ","")&amp;IF(COUNTIF(코드설정!$F$5:$F$7,업무일지!$AG825)=0,"진행상태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"&amp;업무일지!$H826)</f>
        <v/>
      </c>
      <c r="D858" s="45">
        <f>IF(NOT(COUNTBLANK(업무일지!$B826:$AH826)&lt;33),"",TRIM(IF(업무일지!$B826="","시작일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","")&amp;IF(COUNTIF(코드설정!$H$5:$H$7,업무일지!$D826)=0,"직무구분 누락; ","")&amp;IF(업무일지!$E826="","세부유형 누락; ",IF(AND(업무일지!$D826&lt;&gt;"",COUNTIFS(코드설정!$A$5:$A$21,업무일지!$D826,코드설정!$B$5:$B$21,업무일지!$E826)=0),"세부유형이 직무구분과 불일치; ",""))&amp;IF(AND(업무일지!$F826&lt;&gt;"",COUNTIF(사건마스터!$A$5:$A$64,업무일지!$F826)=0),"미등록 사건번호; ","")&amp;IF(AND(업무일지!$F826="",업무일지!$H826=""),"사건번호·업무명 모두 없음; ","")&amp;IF(업무일지!$J826="","담당자 없음; ","")&amp;IF(COUNTIF(코드설정!$F$5:$F$7,업무일지!$AG826)=0,"진행상태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"&amp;업무일지!$H827)</f>
        <v/>
      </c>
      <c r="D859" s="45">
        <f>IF(NOT(COUNTBLANK(업무일지!$B827:$AH827)&lt;33),"",TRIM(IF(업무일지!$B827="","시작일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","")&amp;IF(COUNTIF(코드설정!$H$5:$H$7,업무일지!$D827)=0,"직무구분 누락; ","")&amp;IF(업무일지!$E827="","세부유형 누락; ",IF(AND(업무일지!$D827&lt;&gt;"",COUNTIFS(코드설정!$A$5:$A$21,업무일지!$D827,코드설정!$B$5:$B$21,업무일지!$E827)=0),"세부유형이 직무구분과 불일치; ",""))&amp;IF(AND(업무일지!$F827&lt;&gt;"",COUNTIF(사건마스터!$A$5:$A$64,업무일지!$F827)=0),"미등록 사건번호; ","")&amp;IF(AND(업무일지!$F827="",업무일지!$H827=""),"사건번호·업무명 모두 없음; ","")&amp;IF(업무일지!$J827="","담당자 없음; ","")&amp;IF(COUNTIF(코드설정!$F$5:$F$7,업무일지!$AG827)=0,"진행상태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"&amp;업무일지!$H828)</f>
        <v/>
      </c>
      <c r="D860" s="45">
        <f>IF(NOT(COUNTBLANK(업무일지!$B828:$AH828)&lt;33),"",TRIM(IF(업무일지!$B828="","시작일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","")&amp;IF(COUNTIF(코드설정!$H$5:$H$7,업무일지!$D828)=0,"직무구분 누락; ","")&amp;IF(업무일지!$E828="","세부유형 누락; ",IF(AND(업무일지!$D828&lt;&gt;"",COUNTIFS(코드설정!$A$5:$A$21,업무일지!$D828,코드설정!$B$5:$B$21,업무일지!$E828)=0),"세부유형이 직무구분과 불일치; ",""))&amp;IF(AND(업무일지!$F828&lt;&gt;"",COUNTIF(사건마스터!$A$5:$A$64,업무일지!$F828)=0),"미등록 사건번호; ","")&amp;IF(AND(업무일지!$F828="",업무일지!$H828=""),"사건번호·업무명 모두 없음; ","")&amp;IF(업무일지!$J828="","담당자 없음; ","")&amp;IF(COUNTIF(코드설정!$F$5:$F$7,업무일지!$AG828)=0,"진행상태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"&amp;업무일지!$H829)</f>
        <v/>
      </c>
      <c r="D861" s="45">
        <f>IF(NOT(COUNTBLANK(업무일지!$B829:$AH829)&lt;33),"",TRIM(IF(업무일지!$B829="","시작일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","")&amp;IF(COUNTIF(코드설정!$H$5:$H$7,업무일지!$D829)=0,"직무구분 누락; ","")&amp;IF(업무일지!$E829="","세부유형 누락; ",IF(AND(업무일지!$D829&lt;&gt;"",COUNTIFS(코드설정!$A$5:$A$21,업무일지!$D829,코드설정!$B$5:$B$21,업무일지!$E829)=0),"세부유형이 직무구분과 불일치; ",""))&amp;IF(AND(업무일지!$F829&lt;&gt;"",COUNTIF(사건마스터!$A$5:$A$64,업무일지!$F829)=0),"미등록 사건번호; ","")&amp;IF(AND(업무일지!$F829="",업무일지!$H829=""),"사건번호·업무명 모두 없음; ","")&amp;IF(업무일지!$J829="","담당자 없음; ","")&amp;IF(COUNTIF(코드설정!$F$5:$F$7,업무일지!$AG829)=0,"진행상태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"&amp;업무일지!$H830)</f>
        <v/>
      </c>
      <c r="D862" s="45">
        <f>IF(NOT(COUNTBLANK(업무일지!$B830:$AH830)&lt;33),"",TRIM(IF(업무일지!$B830="","시작일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","")&amp;IF(COUNTIF(코드설정!$H$5:$H$7,업무일지!$D830)=0,"직무구분 누락; ","")&amp;IF(업무일지!$E830="","세부유형 누락; ",IF(AND(업무일지!$D830&lt;&gt;"",COUNTIFS(코드설정!$A$5:$A$21,업무일지!$D830,코드설정!$B$5:$B$21,업무일지!$E830)=0),"세부유형이 직무구분과 불일치; ",""))&amp;IF(AND(업무일지!$F830&lt;&gt;"",COUNTIF(사건마스터!$A$5:$A$64,업무일지!$F830)=0),"미등록 사건번호; ","")&amp;IF(AND(업무일지!$F830="",업무일지!$H830=""),"사건번호·업무명 모두 없음; ","")&amp;IF(업무일지!$J830="","담당자 없음; ","")&amp;IF(COUNTIF(코드설정!$F$5:$F$7,업무일지!$AG830)=0,"진행상태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"&amp;업무일지!$H831)</f>
        <v/>
      </c>
      <c r="D863" s="45">
        <f>IF(NOT(COUNTBLANK(업무일지!$B831:$AH831)&lt;33),"",TRIM(IF(업무일지!$B831="","시작일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","")&amp;IF(COUNTIF(코드설정!$H$5:$H$7,업무일지!$D831)=0,"직무구분 누락; ","")&amp;IF(업무일지!$E831="","세부유형 누락; ",IF(AND(업무일지!$D831&lt;&gt;"",COUNTIFS(코드설정!$A$5:$A$21,업무일지!$D831,코드설정!$B$5:$B$21,업무일지!$E831)=0),"세부유형이 직무구분과 불일치; ",""))&amp;IF(AND(업무일지!$F831&lt;&gt;"",COUNTIF(사건마스터!$A$5:$A$64,업무일지!$F831)=0),"미등록 사건번호; ","")&amp;IF(AND(업무일지!$F831="",업무일지!$H831=""),"사건번호·업무명 모두 없음; ","")&amp;IF(업무일지!$J831="","담당자 없음; ","")&amp;IF(COUNTIF(코드설정!$F$5:$F$7,업무일지!$AG831)=0,"진행상태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"&amp;업무일지!$H832)</f>
        <v/>
      </c>
      <c r="D864" s="45">
        <f>IF(NOT(COUNTBLANK(업무일지!$B832:$AH832)&lt;33),"",TRIM(IF(업무일지!$B832="","시작일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","")&amp;IF(COUNTIF(코드설정!$H$5:$H$7,업무일지!$D832)=0,"직무구분 누락; ","")&amp;IF(업무일지!$E832="","세부유형 누락; ",IF(AND(업무일지!$D832&lt;&gt;"",COUNTIFS(코드설정!$A$5:$A$21,업무일지!$D832,코드설정!$B$5:$B$21,업무일지!$E832)=0),"세부유형이 직무구분과 불일치; ",""))&amp;IF(AND(업무일지!$F832&lt;&gt;"",COUNTIF(사건마스터!$A$5:$A$64,업무일지!$F832)=0),"미등록 사건번호; ","")&amp;IF(AND(업무일지!$F832="",업무일지!$H832=""),"사건번호·업무명 모두 없음; ","")&amp;IF(업무일지!$J832="","담당자 없음; ","")&amp;IF(COUNTIF(코드설정!$F$5:$F$7,업무일지!$AG832)=0,"진행상태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"&amp;업무일지!$H833)</f>
        <v/>
      </c>
      <c r="D865" s="45">
        <f>IF(NOT(COUNTBLANK(업무일지!$B833:$AH833)&lt;33),"",TRIM(IF(업무일지!$B833="","시작일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","")&amp;IF(COUNTIF(코드설정!$H$5:$H$7,업무일지!$D833)=0,"직무구분 누락; ","")&amp;IF(업무일지!$E833="","세부유형 누락; ",IF(AND(업무일지!$D833&lt;&gt;"",COUNTIFS(코드설정!$A$5:$A$21,업무일지!$D833,코드설정!$B$5:$B$21,업무일지!$E833)=0),"세부유형이 직무구분과 불일치; ",""))&amp;IF(AND(업무일지!$F833&lt;&gt;"",COUNTIF(사건마스터!$A$5:$A$64,업무일지!$F833)=0),"미등록 사건번호; ","")&amp;IF(AND(업무일지!$F833="",업무일지!$H833=""),"사건번호·업무명 모두 없음; ","")&amp;IF(업무일지!$J833="","담당자 없음; ","")&amp;IF(COUNTIF(코드설정!$F$5:$F$7,업무일지!$AG833)=0,"진행상태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"&amp;업무일지!$H834)</f>
        <v/>
      </c>
      <c r="D866" s="45">
        <f>IF(NOT(COUNTBLANK(업무일지!$B834:$AH834)&lt;33),"",TRIM(IF(업무일지!$B834="","시작일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","")&amp;IF(COUNTIF(코드설정!$H$5:$H$7,업무일지!$D834)=0,"직무구분 누락; ","")&amp;IF(업무일지!$E834="","세부유형 누락; ",IF(AND(업무일지!$D834&lt;&gt;"",COUNTIFS(코드설정!$A$5:$A$21,업무일지!$D834,코드설정!$B$5:$B$21,업무일지!$E834)=0),"세부유형이 직무구분과 불일치; ",""))&amp;IF(AND(업무일지!$F834&lt;&gt;"",COUNTIF(사건마스터!$A$5:$A$64,업무일지!$F834)=0),"미등록 사건번호; ","")&amp;IF(AND(업무일지!$F834="",업무일지!$H834=""),"사건번호·업무명 모두 없음; ","")&amp;IF(업무일지!$J834="","담당자 없음; ","")&amp;IF(COUNTIF(코드설정!$F$5:$F$7,업무일지!$AG834)=0,"진행상태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"&amp;업무일지!$H835)</f>
        <v/>
      </c>
      <c r="D867" s="45">
        <f>IF(NOT(COUNTBLANK(업무일지!$B835:$AH835)&lt;33),"",TRIM(IF(업무일지!$B835="","시작일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","")&amp;IF(COUNTIF(코드설정!$H$5:$H$7,업무일지!$D835)=0,"직무구분 누락; ","")&amp;IF(업무일지!$E835="","세부유형 누락; ",IF(AND(업무일지!$D835&lt;&gt;"",COUNTIFS(코드설정!$A$5:$A$21,업무일지!$D835,코드설정!$B$5:$B$21,업무일지!$E835)=0),"세부유형이 직무구분과 불일치; ",""))&amp;IF(AND(업무일지!$F835&lt;&gt;"",COUNTIF(사건마스터!$A$5:$A$64,업무일지!$F835)=0),"미등록 사건번호; ","")&amp;IF(AND(업무일지!$F835="",업무일지!$H835=""),"사건번호·업무명 모두 없음; ","")&amp;IF(업무일지!$J835="","담당자 없음; ","")&amp;IF(COUNTIF(코드설정!$F$5:$F$7,업무일지!$AG835)=0,"진행상태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"&amp;업무일지!$H836)</f>
        <v/>
      </c>
      <c r="D868" s="45">
        <f>IF(NOT(COUNTBLANK(업무일지!$B836:$AH836)&lt;33),"",TRIM(IF(업무일지!$B836="","시작일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","")&amp;IF(COUNTIF(코드설정!$H$5:$H$7,업무일지!$D836)=0,"직무구분 누락; ","")&amp;IF(업무일지!$E836="","세부유형 누락; ",IF(AND(업무일지!$D836&lt;&gt;"",COUNTIFS(코드설정!$A$5:$A$21,업무일지!$D836,코드설정!$B$5:$B$21,업무일지!$E836)=0),"세부유형이 직무구분과 불일치; ",""))&amp;IF(AND(업무일지!$F836&lt;&gt;"",COUNTIF(사건마스터!$A$5:$A$64,업무일지!$F836)=0),"미등록 사건번호; ","")&amp;IF(AND(업무일지!$F836="",업무일지!$H836=""),"사건번호·업무명 모두 없음; ","")&amp;IF(업무일지!$J836="","담당자 없음; ","")&amp;IF(COUNTIF(코드설정!$F$5:$F$7,업무일지!$AG836)=0,"진행상태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"&amp;업무일지!$H837)</f>
        <v/>
      </c>
      <c r="D869" s="45">
        <f>IF(NOT(COUNTBLANK(업무일지!$B837:$AH837)&lt;33),"",TRIM(IF(업무일지!$B837="","시작일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","")&amp;IF(COUNTIF(코드설정!$H$5:$H$7,업무일지!$D837)=0,"직무구분 누락; ","")&amp;IF(업무일지!$E837="","세부유형 누락; ",IF(AND(업무일지!$D837&lt;&gt;"",COUNTIFS(코드설정!$A$5:$A$21,업무일지!$D837,코드설정!$B$5:$B$21,업무일지!$E837)=0),"세부유형이 직무구분과 불일치; ",""))&amp;IF(AND(업무일지!$F837&lt;&gt;"",COUNTIF(사건마스터!$A$5:$A$64,업무일지!$F837)=0),"미등록 사건번호; ","")&amp;IF(AND(업무일지!$F837="",업무일지!$H837=""),"사건번호·업무명 모두 없음; ","")&amp;IF(업무일지!$J837="","담당자 없음; ","")&amp;IF(COUNTIF(코드설정!$F$5:$F$7,업무일지!$AG837)=0,"진행상태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"&amp;업무일지!$H838)</f>
        <v/>
      </c>
      <c r="D870" s="45">
        <f>IF(NOT(COUNTBLANK(업무일지!$B838:$AH838)&lt;33),"",TRIM(IF(업무일지!$B838="","시작일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","")&amp;IF(COUNTIF(코드설정!$H$5:$H$7,업무일지!$D838)=0,"직무구분 누락; ","")&amp;IF(업무일지!$E838="","세부유형 누락; ",IF(AND(업무일지!$D838&lt;&gt;"",COUNTIFS(코드설정!$A$5:$A$21,업무일지!$D838,코드설정!$B$5:$B$21,업무일지!$E838)=0),"세부유형이 직무구분과 불일치; ",""))&amp;IF(AND(업무일지!$F838&lt;&gt;"",COUNTIF(사건마스터!$A$5:$A$64,업무일지!$F838)=0),"미등록 사건번호; ","")&amp;IF(AND(업무일지!$F838="",업무일지!$H838=""),"사건번호·업무명 모두 없음; ","")&amp;IF(업무일지!$J838="","담당자 없음; ","")&amp;IF(COUNTIF(코드설정!$F$5:$F$7,업무일지!$AG838)=0,"진행상태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"&amp;업무일지!$H839)</f>
        <v/>
      </c>
      <c r="D871" s="45">
        <f>IF(NOT(COUNTBLANK(업무일지!$B839:$AH839)&lt;33),"",TRIM(IF(업무일지!$B839="","시작일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","")&amp;IF(COUNTIF(코드설정!$H$5:$H$7,업무일지!$D839)=0,"직무구분 누락; ","")&amp;IF(업무일지!$E839="","세부유형 누락; ",IF(AND(업무일지!$D839&lt;&gt;"",COUNTIFS(코드설정!$A$5:$A$21,업무일지!$D839,코드설정!$B$5:$B$21,업무일지!$E839)=0),"세부유형이 직무구분과 불일치; ",""))&amp;IF(AND(업무일지!$F839&lt;&gt;"",COUNTIF(사건마스터!$A$5:$A$64,업무일지!$F839)=0),"미등록 사건번호; ","")&amp;IF(AND(업무일지!$F839="",업무일지!$H839=""),"사건번호·업무명 모두 없음; ","")&amp;IF(업무일지!$J839="","담당자 없음; ","")&amp;IF(COUNTIF(코드설정!$F$5:$F$7,업무일지!$AG839)=0,"진행상태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"&amp;업무일지!$H840)</f>
        <v/>
      </c>
      <c r="D872" s="45">
        <f>IF(NOT(COUNTBLANK(업무일지!$B840:$AH840)&lt;33),"",TRIM(IF(업무일지!$B840="","시작일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","")&amp;IF(COUNTIF(코드설정!$H$5:$H$7,업무일지!$D840)=0,"직무구분 누락; ","")&amp;IF(업무일지!$E840="","세부유형 누락; ",IF(AND(업무일지!$D840&lt;&gt;"",COUNTIFS(코드설정!$A$5:$A$21,업무일지!$D840,코드설정!$B$5:$B$21,업무일지!$E840)=0),"세부유형이 직무구분과 불일치; ",""))&amp;IF(AND(업무일지!$F840&lt;&gt;"",COUNTIF(사건마스터!$A$5:$A$64,업무일지!$F840)=0),"미등록 사건번호; ","")&amp;IF(AND(업무일지!$F840="",업무일지!$H840=""),"사건번호·업무명 모두 없음; ","")&amp;IF(업무일지!$J840="","담당자 없음; ","")&amp;IF(COUNTIF(코드설정!$F$5:$F$7,업무일지!$AG840)=0,"진행상태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"&amp;업무일지!$H841)</f>
        <v/>
      </c>
      <c r="D873" s="45">
        <f>IF(NOT(COUNTBLANK(업무일지!$B841:$AH841)&lt;33),"",TRIM(IF(업무일지!$B841="","시작일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","")&amp;IF(COUNTIF(코드설정!$H$5:$H$7,업무일지!$D841)=0,"직무구분 누락; ","")&amp;IF(업무일지!$E841="","세부유형 누락; ",IF(AND(업무일지!$D841&lt;&gt;"",COUNTIFS(코드설정!$A$5:$A$21,업무일지!$D841,코드설정!$B$5:$B$21,업무일지!$E841)=0),"세부유형이 직무구분과 불일치; ",""))&amp;IF(AND(업무일지!$F841&lt;&gt;"",COUNTIF(사건마스터!$A$5:$A$64,업무일지!$F841)=0),"미등록 사건번호; ","")&amp;IF(AND(업무일지!$F841="",업무일지!$H841=""),"사건번호·업무명 모두 없음; ","")&amp;IF(업무일지!$J841="","담당자 없음; ","")&amp;IF(COUNTIF(코드설정!$F$5:$F$7,업무일지!$AG841)=0,"진행상태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"&amp;업무일지!$H842)</f>
        <v/>
      </c>
      <c r="D874" s="45">
        <f>IF(NOT(COUNTBLANK(업무일지!$B842:$AH842)&lt;33),"",TRIM(IF(업무일지!$B842="","시작일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","")&amp;IF(COUNTIF(코드설정!$H$5:$H$7,업무일지!$D842)=0,"직무구분 누락; ","")&amp;IF(업무일지!$E842="","세부유형 누락; ",IF(AND(업무일지!$D842&lt;&gt;"",COUNTIFS(코드설정!$A$5:$A$21,업무일지!$D842,코드설정!$B$5:$B$21,업무일지!$E842)=0),"세부유형이 직무구분과 불일치; ",""))&amp;IF(AND(업무일지!$F842&lt;&gt;"",COUNTIF(사건마스터!$A$5:$A$64,업무일지!$F842)=0),"미등록 사건번호; ","")&amp;IF(AND(업무일지!$F842="",업무일지!$H842=""),"사건번호·업무명 모두 없음; ","")&amp;IF(업무일지!$J842="","담당자 없음; ","")&amp;IF(COUNTIF(코드설정!$F$5:$F$7,업무일지!$AG842)=0,"진행상태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"&amp;업무일지!$H843)</f>
        <v/>
      </c>
      <c r="D875" s="45">
        <f>IF(NOT(COUNTBLANK(업무일지!$B843:$AH843)&lt;33),"",TRIM(IF(업무일지!$B843="","시작일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","")&amp;IF(COUNTIF(코드설정!$H$5:$H$7,업무일지!$D843)=0,"직무구분 누락; ","")&amp;IF(업무일지!$E843="","세부유형 누락; ",IF(AND(업무일지!$D843&lt;&gt;"",COUNTIFS(코드설정!$A$5:$A$21,업무일지!$D843,코드설정!$B$5:$B$21,업무일지!$E843)=0),"세부유형이 직무구분과 불일치; ",""))&amp;IF(AND(업무일지!$F843&lt;&gt;"",COUNTIF(사건마스터!$A$5:$A$64,업무일지!$F843)=0),"미등록 사건번호; ","")&amp;IF(AND(업무일지!$F843="",업무일지!$H843=""),"사건번호·업무명 모두 없음; ","")&amp;IF(업무일지!$J843="","담당자 없음; ","")&amp;IF(COUNTIF(코드설정!$F$5:$F$7,업무일지!$AG843)=0,"진행상태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"&amp;업무일지!$H844)</f>
        <v/>
      </c>
      <c r="D876" s="45">
        <f>IF(NOT(COUNTBLANK(업무일지!$B844:$AH844)&lt;33),"",TRIM(IF(업무일지!$B844="","시작일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","")&amp;IF(COUNTIF(코드설정!$H$5:$H$7,업무일지!$D844)=0,"직무구분 누락; ","")&amp;IF(업무일지!$E844="","세부유형 누락; ",IF(AND(업무일지!$D844&lt;&gt;"",COUNTIFS(코드설정!$A$5:$A$21,업무일지!$D844,코드설정!$B$5:$B$21,업무일지!$E844)=0),"세부유형이 직무구분과 불일치; ",""))&amp;IF(AND(업무일지!$F844&lt;&gt;"",COUNTIF(사건마스터!$A$5:$A$64,업무일지!$F844)=0),"미등록 사건번호; ","")&amp;IF(AND(업무일지!$F844="",업무일지!$H844=""),"사건번호·업무명 모두 없음; ","")&amp;IF(업무일지!$J844="","담당자 없음; ","")&amp;IF(COUNTIF(코드설정!$F$5:$F$7,업무일지!$AG844)=0,"진행상태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"&amp;업무일지!$H845)</f>
        <v/>
      </c>
      <c r="D877" s="45">
        <f>IF(NOT(COUNTBLANK(업무일지!$B845:$AH845)&lt;33),"",TRIM(IF(업무일지!$B845="","시작일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","")&amp;IF(COUNTIF(코드설정!$H$5:$H$7,업무일지!$D845)=0,"직무구분 누락; ","")&amp;IF(업무일지!$E845="","세부유형 누락; ",IF(AND(업무일지!$D845&lt;&gt;"",COUNTIFS(코드설정!$A$5:$A$21,업무일지!$D845,코드설정!$B$5:$B$21,업무일지!$E845)=0),"세부유형이 직무구분과 불일치; ",""))&amp;IF(AND(업무일지!$F845&lt;&gt;"",COUNTIF(사건마스터!$A$5:$A$64,업무일지!$F845)=0),"미등록 사건번호; ","")&amp;IF(AND(업무일지!$F845="",업무일지!$H845=""),"사건번호·업무명 모두 없음; ","")&amp;IF(업무일지!$J845="","담당자 없음; ","")&amp;IF(COUNTIF(코드설정!$F$5:$F$7,업무일지!$AG845)=0,"진행상태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"&amp;업무일지!$H846)</f>
        <v/>
      </c>
      <c r="D878" s="45">
        <f>IF(NOT(COUNTBLANK(업무일지!$B846:$AH846)&lt;33),"",TRIM(IF(업무일지!$B846="","시작일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","")&amp;IF(COUNTIF(코드설정!$H$5:$H$7,업무일지!$D846)=0,"직무구분 누락; ","")&amp;IF(업무일지!$E846="","세부유형 누락; ",IF(AND(업무일지!$D846&lt;&gt;"",COUNTIFS(코드설정!$A$5:$A$21,업무일지!$D846,코드설정!$B$5:$B$21,업무일지!$E846)=0),"세부유형이 직무구분과 불일치; ",""))&amp;IF(AND(업무일지!$F846&lt;&gt;"",COUNTIF(사건마스터!$A$5:$A$64,업무일지!$F846)=0),"미등록 사건번호; ","")&amp;IF(AND(업무일지!$F846="",업무일지!$H846=""),"사건번호·업무명 모두 없음; ","")&amp;IF(업무일지!$J846="","담당자 없음; ","")&amp;IF(COUNTIF(코드설정!$F$5:$F$7,업무일지!$AG846)=0,"진행상태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"&amp;업무일지!$H847)</f>
        <v/>
      </c>
      <c r="D879" s="45">
        <f>IF(NOT(COUNTBLANK(업무일지!$B847:$AH847)&lt;33),"",TRIM(IF(업무일지!$B847="","시작일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","")&amp;IF(COUNTIF(코드설정!$H$5:$H$7,업무일지!$D847)=0,"직무구분 누락; ","")&amp;IF(업무일지!$E847="","세부유형 누락; ",IF(AND(업무일지!$D847&lt;&gt;"",COUNTIFS(코드설정!$A$5:$A$21,업무일지!$D847,코드설정!$B$5:$B$21,업무일지!$E847)=0),"세부유형이 직무구분과 불일치; ",""))&amp;IF(AND(업무일지!$F847&lt;&gt;"",COUNTIF(사건마스터!$A$5:$A$64,업무일지!$F847)=0),"미등록 사건번호; ","")&amp;IF(AND(업무일지!$F847="",업무일지!$H847=""),"사건번호·업무명 모두 없음; ","")&amp;IF(업무일지!$J847="","담당자 없음; ","")&amp;IF(COUNTIF(코드설정!$F$5:$F$7,업무일지!$AG847)=0,"진행상태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"&amp;업무일지!$H848)</f>
        <v/>
      </c>
      <c r="D880" s="45">
        <f>IF(NOT(COUNTBLANK(업무일지!$B848:$AH848)&lt;33),"",TRIM(IF(업무일지!$B848="","시작일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","")&amp;IF(COUNTIF(코드설정!$H$5:$H$7,업무일지!$D848)=0,"직무구분 누락; ","")&amp;IF(업무일지!$E848="","세부유형 누락; ",IF(AND(업무일지!$D848&lt;&gt;"",COUNTIFS(코드설정!$A$5:$A$21,업무일지!$D848,코드설정!$B$5:$B$21,업무일지!$E848)=0),"세부유형이 직무구분과 불일치; ",""))&amp;IF(AND(업무일지!$F848&lt;&gt;"",COUNTIF(사건마스터!$A$5:$A$64,업무일지!$F848)=0),"미등록 사건번호; ","")&amp;IF(AND(업무일지!$F848="",업무일지!$H848=""),"사건번호·업무명 모두 없음; ","")&amp;IF(업무일지!$J848="","담당자 없음; ","")&amp;IF(COUNTIF(코드설정!$F$5:$F$7,업무일지!$AG848)=0,"진행상태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"&amp;업무일지!$H849)</f>
        <v/>
      </c>
      <c r="D881" s="45">
        <f>IF(NOT(COUNTBLANK(업무일지!$B849:$AH849)&lt;33),"",TRIM(IF(업무일지!$B849="","시작일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","")&amp;IF(COUNTIF(코드설정!$H$5:$H$7,업무일지!$D849)=0,"직무구분 누락; ","")&amp;IF(업무일지!$E849="","세부유형 누락; ",IF(AND(업무일지!$D849&lt;&gt;"",COUNTIFS(코드설정!$A$5:$A$21,업무일지!$D849,코드설정!$B$5:$B$21,업무일지!$E849)=0),"세부유형이 직무구분과 불일치; ",""))&amp;IF(AND(업무일지!$F849&lt;&gt;"",COUNTIF(사건마스터!$A$5:$A$64,업무일지!$F849)=0),"미등록 사건번호; ","")&amp;IF(AND(업무일지!$F849="",업무일지!$H849=""),"사건번호·업무명 모두 없음; ","")&amp;IF(업무일지!$J849="","담당자 없음; ","")&amp;IF(COUNTIF(코드설정!$F$5:$F$7,업무일지!$AG849)=0,"진행상태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"&amp;업무일지!$H850)</f>
        <v/>
      </c>
      <c r="D882" s="45">
        <f>IF(NOT(COUNTBLANK(업무일지!$B850:$AH850)&lt;33),"",TRIM(IF(업무일지!$B850="","시작일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","")&amp;IF(COUNTIF(코드설정!$H$5:$H$7,업무일지!$D850)=0,"직무구분 누락; ","")&amp;IF(업무일지!$E850="","세부유형 누락; ",IF(AND(업무일지!$D850&lt;&gt;"",COUNTIFS(코드설정!$A$5:$A$21,업무일지!$D850,코드설정!$B$5:$B$21,업무일지!$E850)=0),"세부유형이 직무구분과 불일치; ",""))&amp;IF(AND(업무일지!$F850&lt;&gt;"",COUNTIF(사건마스터!$A$5:$A$64,업무일지!$F850)=0),"미등록 사건번호; ","")&amp;IF(AND(업무일지!$F850="",업무일지!$H850=""),"사건번호·업무명 모두 없음; ","")&amp;IF(업무일지!$J850="","담당자 없음; ","")&amp;IF(COUNTIF(코드설정!$F$5:$F$7,업무일지!$AG850)=0,"진행상태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"&amp;업무일지!$H851)</f>
        <v/>
      </c>
      <c r="D883" s="45">
        <f>IF(NOT(COUNTBLANK(업무일지!$B851:$AH851)&lt;33),"",TRIM(IF(업무일지!$B851="","시작일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","")&amp;IF(COUNTIF(코드설정!$H$5:$H$7,업무일지!$D851)=0,"직무구분 누락; ","")&amp;IF(업무일지!$E851="","세부유형 누락; ",IF(AND(업무일지!$D851&lt;&gt;"",COUNTIFS(코드설정!$A$5:$A$21,업무일지!$D851,코드설정!$B$5:$B$21,업무일지!$E851)=0),"세부유형이 직무구분과 불일치; ",""))&amp;IF(AND(업무일지!$F851&lt;&gt;"",COUNTIF(사건마스터!$A$5:$A$64,업무일지!$F851)=0),"미등록 사건번호; ","")&amp;IF(AND(업무일지!$F851="",업무일지!$H851=""),"사건번호·업무명 모두 없음; ","")&amp;IF(업무일지!$J851="","담당자 없음; ","")&amp;IF(COUNTIF(코드설정!$F$5:$F$7,업무일지!$AG851)=0,"진행상태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"&amp;업무일지!$H852)</f>
        <v/>
      </c>
      <c r="D884" s="45">
        <f>IF(NOT(COUNTBLANK(업무일지!$B852:$AH852)&lt;33),"",TRIM(IF(업무일지!$B852="","시작일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","")&amp;IF(COUNTIF(코드설정!$H$5:$H$7,업무일지!$D852)=0,"직무구분 누락; ","")&amp;IF(업무일지!$E852="","세부유형 누락; ",IF(AND(업무일지!$D852&lt;&gt;"",COUNTIFS(코드설정!$A$5:$A$21,업무일지!$D852,코드설정!$B$5:$B$21,업무일지!$E852)=0),"세부유형이 직무구분과 불일치; ",""))&amp;IF(AND(업무일지!$F852&lt;&gt;"",COUNTIF(사건마스터!$A$5:$A$64,업무일지!$F852)=0),"미등록 사건번호; ","")&amp;IF(AND(업무일지!$F852="",업무일지!$H852=""),"사건번호·업무명 모두 없음; ","")&amp;IF(업무일지!$J852="","담당자 없음; ","")&amp;IF(COUNTIF(코드설정!$F$5:$F$7,업무일지!$AG852)=0,"진행상태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"&amp;업무일지!$H853)</f>
        <v/>
      </c>
      <c r="D885" s="45">
        <f>IF(NOT(COUNTBLANK(업무일지!$B853:$AH853)&lt;33),"",TRIM(IF(업무일지!$B853="","시작일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","")&amp;IF(COUNTIF(코드설정!$H$5:$H$7,업무일지!$D853)=0,"직무구분 누락; ","")&amp;IF(업무일지!$E853="","세부유형 누락; ",IF(AND(업무일지!$D853&lt;&gt;"",COUNTIFS(코드설정!$A$5:$A$21,업무일지!$D853,코드설정!$B$5:$B$21,업무일지!$E853)=0),"세부유형이 직무구분과 불일치; ",""))&amp;IF(AND(업무일지!$F853&lt;&gt;"",COUNTIF(사건마스터!$A$5:$A$64,업무일지!$F853)=0),"미등록 사건번호; ","")&amp;IF(AND(업무일지!$F853="",업무일지!$H853=""),"사건번호·업무명 모두 없음; ","")&amp;IF(업무일지!$J853="","담당자 없음; ","")&amp;IF(COUNTIF(코드설정!$F$5:$F$7,업무일지!$AG853)=0,"진행상태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"&amp;업무일지!$H854)</f>
        <v/>
      </c>
      <c r="D886" s="45">
        <f>IF(NOT(COUNTBLANK(업무일지!$B854:$AH854)&lt;33),"",TRIM(IF(업무일지!$B854="","시작일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","")&amp;IF(COUNTIF(코드설정!$H$5:$H$7,업무일지!$D854)=0,"직무구분 누락; ","")&amp;IF(업무일지!$E854="","세부유형 누락; ",IF(AND(업무일지!$D854&lt;&gt;"",COUNTIFS(코드설정!$A$5:$A$21,업무일지!$D854,코드설정!$B$5:$B$21,업무일지!$E854)=0),"세부유형이 직무구분과 불일치; ",""))&amp;IF(AND(업무일지!$F854&lt;&gt;"",COUNTIF(사건마스터!$A$5:$A$64,업무일지!$F854)=0),"미등록 사건번호; ","")&amp;IF(AND(업무일지!$F854="",업무일지!$H854=""),"사건번호·업무명 모두 없음; ","")&amp;IF(업무일지!$J854="","담당자 없음; ","")&amp;IF(COUNTIF(코드설정!$F$5:$F$7,업무일지!$AG854)=0,"진행상태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"&amp;업무일지!$H855)</f>
        <v/>
      </c>
      <c r="D887" s="45">
        <f>IF(NOT(COUNTBLANK(업무일지!$B855:$AH855)&lt;33),"",TRIM(IF(업무일지!$B855="","시작일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","")&amp;IF(COUNTIF(코드설정!$H$5:$H$7,업무일지!$D855)=0,"직무구분 누락; ","")&amp;IF(업무일지!$E855="","세부유형 누락; ",IF(AND(업무일지!$D855&lt;&gt;"",COUNTIFS(코드설정!$A$5:$A$21,업무일지!$D855,코드설정!$B$5:$B$21,업무일지!$E855)=0),"세부유형이 직무구분과 불일치; ",""))&amp;IF(AND(업무일지!$F855&lt;&gt;"",COUNTIF(사건마스터!$A$5:$A$64,업무일지!$F855)=0),"미등록 사건번호; ","")&amp;IF(AND(업무일지!$F855="",업무일지!$H855=""),"사건번호·업무명 모두 없음; ","")&amp;IF(업무일지!$J855="","담당자 없음; ","")&amp;IF(COUNTIF(코드설정!$F$5:$F$7,업무일지!$AG855)=0,"진행상태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"&amp;업무일지!$H856)</f>
        <v/>
      </c>
      <c r="D888" s="45">
        <f>IF(NOT(COUNTBLANK(업무일지!$B856:$AH856)&lt;33),"",TRIM(IF(업무일지!$B856="","시작일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","")&amp;IF(COUNTIF(코드설정!$H$5:$H$7,업무일지!$D856)=0,"직무구분 누락; ","")&amp;IF(업무일지!$E856="","세부유형 누락; ",IF(AND(업무일지!$D856&lt;&gt;"",COUNTIFS(코드설정!$A$5:$A$21,업무일지!$D856,코드설정!$B$5:$B$21,업무일지!$E856)=0),"세부유형이 직무구분과 불일치; ",""))&amp;IF(AND(업무일지!$F856&lt;&gt;"",COUNTIF(사건마스터!$A$5:$A$64,업무일지!$F856)=0),"미등록 사건번호; ","")&amp;IF(AND(업무일지!$F856="",업무일지!$H856=""),"사건번호·업무명 모두 없음; ","")&amp;IF(업무일지!$J856="","담당자 없음; ","")&amp;IF(COUNTIF(코드설정!$F$5:$F$7,업무일지!$AG856)=0,"진행상태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"&amp;업무일지!$H857)</f>
        <v/>
      </c>
      <c r="D889" s="45">
        <f>IF(NOT(COUNTBLANK(업무일지!$B857:$AH857)&lt;33),"",TRIM(IF(업무일지!$B857="","시작일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","")&amp;IF(COUNTIF(코드설정!$H$5:$H$7,업무일지!$D857)=0,"직무구분 누락; ","")&amp;IF(업무일지!$E857="","세부유형 누락; ",IF(AND(업무일지!$D857&lt;&gt;"",COUNTIFS(코드설정!$A$5:$A$21,업무일지!$D857,코드설정!$B$5:$B$21,업무일지!$E857)=0),"세부유형이 직무구분과 불일치; ",""))&amp;IF(AND(업무일지!$F857&lt;&gt;"",COUNTIF(사건마스터!$A$5:$A$64,업무일지!$F857)=0),"미등록 사건번호; ","")&amp;IF(AND(업무일지!$F857="",업무일지!$H857=""),"사건번호·업무명 모두 없음; ","")&amp;IF(업무일지!$J857="","담당자 없음; ","")&amp;IF(COUNTIF(코드설정!$F$5:$F$7,업무일지!$AG857)=0,"진행상태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"&amp;업무일지!$H858)</f>
        <v/>
      </c>
      <c r="D890" s="45">
        <f>IF(NOT(COUNTBLANK(업무일지!$B858:$AH858)&lt;33),"",TRIM(IF(업무일지!$B858="","시작일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","")&amp;IF(COUNTIF(코드설정!$H$5:$H$7,업무일지!$D858)=0,"직무구분 누락; ","")&amp;IF(업무일지!$E858="","세부유형 누락; ",IF(AND(업무일지!$D858&lt;&gt;"",COUNTIFS(코드설정!$A$5:$A$21,업무일지!$D858,코드설정!$B$5:$B$21,업무일지!$E858)=0),"세부유형이 직무구분과 불일치; ",""))&amp;IF(AND(업무일지!$F858&lt;&gt;"",COUNTIF(사건마스터!$A$5:$A$64,업무일지!$F858)=0),"미등록 사건번호; ","")&amp;IF(AND(업무일지!$F858="",업무일지!$H858=""),"사건번호·업무명 모두 없음; ","")&amp;IF(업무일지!$J858="","담당자 없음; ","")&amp;IF(COUNTIF(코드설정!$F$5:$F$7,업무일지!$AG858)=0,"진행상태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"&amp;업무일지!$H859)</f>
        <v/>
      </c>
      <c r="D891" s="45">
        <f>IF(NOT(COUNTBLANK(업무일지!$B859:$AH859)&lt;33),"",TRIM(IF(업무일지!$B859="","시작일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","")&amp;IF(COUNTIF(코드설정!$H$5:$H$7,업무일지!$D859)=0,"직무구분 누락; ","")&amp;IF(업무일지!$E859="","세부유형 누락; ",IF(AND(업무일지!$D859&lt;&gt;"",COUNTIFS(코드설정!$A$5:$A$21,업무일지!$D859,코드설정!$B$5:$B$21,업무일지!$E859)=0),"세부유형이 직무구분과 불일치; ",""))&amp;IF(AND(업무일지!$F859&lt;&gt;"",COUNTIF(사건마스터!$A$5:$A$64,업무일지!$F859)=0),"미등록 사건번호; ","")&amp;IF(AND(업무일지!$F859="",업무일지!$H859=""),"사건번호·업무명 모두 없음; ","")&amp;IF(업무일지!$J859="","담당자 없음; ","")&amp;IF(COUNTIF(코드설정!$F$5:$F$7,업무일지!$AG859)=0,"진행상태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"&amp;업무일지!$H860)</f>
        <v/>
      </c>
      <c r="D892" s="45">
        <f>IF(NOT(COUNTBLANK(업무일지!$B860:$AH860)&lt;33),"",TRIM(IF(업무일지!$B860="","시작일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","")&amp;IF(COUNTIF(코드설정!$H$5:$H$7,업무일지!$D860)=0,"직무구분 누락; ","")&amp;IF(업무일지!$E860="","세부유형 누락; ",IF(AND(업무일지!$D860&lt;&gt;"",COUNTIFS(코드설정!$A$5:$A$21,업무일지!$D860,코드설정!$B$5:$B$21,업무일지!$E860)=0),"세부유형이 직무구분과 불일치; ",""))&amp;IF(AND(업무일지!$F860&lt;&gt;"",COUNTIF(사건마스터!$A$5:$A$64,업무일지!$F860)=0),"미등록 사건번호; ","")&amp;IF(AND(업무일지!$F860="",업무일지!$H860=""),"사건번호·업무명 모두 없음; ","")&amp;IF(업무일지!$J860="","담당자 없음; ","")&amp;IF(COUNTIF(코드설정!$F$5:$F$7,업무일지!$AG860)=0,"진행상태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"&amp;업무일지!$H861)</f>
        <v/>
      </c>
      <c r="D893" s="45">
        <f>IF(NOT(COUNTBLANK(업무일지!$B861:$AH861)&lt;33),"",TRIM(IF(업무일지!$B861="","시작일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","")&amp;IF(COUNTIF(코드설정!$H$5:$H$7,업무일지!$D861)=0,"직무구분 누락; ","")&amp;IF(업무일지!$E861="","세부유형 누락; ",IF(AND(업무일지!$D861&lt;&gt;"",COUNTIFS(코드설정!$A$5:$A$21,업무일지!$D861,코드설정!$B$5:$B$21,업무일지!$E861)=0),"세부유형이 직무구분과 불일치; ",""))&amp;IF(AND(업무일지!$F861&lt;&gt;"",COUNTIF(사건마스터!$A$5:$A$64,업무일지!$F861)=0),"미등록 사건번호; ","")&amp;IF(AND(업무일지!$F861="",업무일지!$H861=""),"사건번호·업무명 모두 없음; ","")&amp;IF(업무일지!$J861="","담당자 없음; ","")&amp;IF(COUNTIF(코드설정!$F$5:$F$7,업무일지!$AG861)=0,"진행상태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"&amp;업무일지!$H862)</f>
        <v/>
      </c>
      <c r="D894" s="45">
        <f>IF(NOT(COUNTBLANK(업무일지!$B862:$AH862)&lt;33),"",TRIM(IF(업무일지!$B862="","시작일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","")&amp;IF(COUNTIF(코드설정!$H$5:$H$7,업무일지!$D862)=0,"직무구분 누락; ","")&amp;IF(업무일지!$E862="","세부유형 누락; ",IF(AND(업무일지!$D862&lt;&gt;"",COUNTIFS(코드설정!$A$5:$A$21,업무일지!$D862,코드설정!$B$5:$B$21,업무일지!$E862)=0),"세부유형이 직무구분과 불일치; ",""))&amp;IF(AND(업무일지!$F862&lt;&gt;"",COUNTIF(사건마스터!$A$5:$A$64,업무일지!$F862)=0),"미등록 사건번호; ","")&amp;IF(AND(업무일지!$F862="",업무일지!$H862=""),"사건번호·업무명 모두 없음; ","")&amp;IF(업무일지!$J862="","담당자 없음; ","")&amp;IF(COUNTIF(코드설정!$F$5:$F$7,업무일지!$AG862)=0,"진행상태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"&amp;업무일지!$H863)</f>
        <v/>
      </c>
      <c r="D895" s="45">
        <f>IF(NOT(COUNTBLANK(업무일지!$B863:$AH863)&lt;33),"",TRIM(IF(업무일지!$B863="","시작일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","")&amp;IF(COUNTIF(코드설정!$H$5:$H$7,업무일지!$D863)=0,"직무구분 누락; ","")&amp;IF(업무일지!$E863="","세부유형 누락; ",IF(AND(업무일지!$D863&lt;&gt;"",COUNTIFS(코드설정!$A$5:$A$21,업무일지!$D863,코드설정!$B$5:$B$21,업무일지!$E863)=0),"세부유형이 직무구분과 불일치; ",""))&amp;IF(AND(업무일지!$F863&lt;&gt;"",COUNTIF(사건마스터!$A$5:$A$64,업무일지!$F863)=0),"미등록 사건번호; ","")&amp;IF(AND(업무일지!$F863="",업무일지!$H863=""),"사건번호·업무명 모두 없음; ","")&amp;IF(업무일지!$J863="","담당자 없음; ","")&amp;IF(COUNTIF(코드설정!$F$5:$F$7,업무일지!$AG863)=0,"진행상태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"&amp;업무일지!$H864)</f>
        <v/>
      </c>
      <c r="D896" s="45">
        <f>IF(NOT(COUNTBLANK(업무일지!$B864:$AH864)&lt;33),"",TRIM(IF(업무일지!$B864="","시작일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","")&amp;IF(COUNTIF(코드설정!$H$5:$H$7,업무일지!$D864)=0,"직무구분 누락; ","")&amp;IF(업무일지!$E864="","세부유형 누락; ",IF(AND(업무일지!$D864&lt;&gt;"",COUNTIFS(코드설정!$A$5:$A$21,업무일지!$D864,코드설정!$B$5:$B$21,업무일지!$E864)=0),"세부유형이 직무구분과 불일치; ",""))&amp;IF(AND(업무일지!$F864&lt;&gt;"",COUNTIF(사건마스터!$A$5:$A$64,업무일지!$F864)=0),"미등록 사건번호; ","")&amp;IF(AND(업무일지!$F864="",업무일지!$H864=""),"사건번호·업무명 모두 없음; ","")&amp;IF(업무일지!$J864="","담당자 없음; ","")&amp;IF(COUNTIF(코드설정!$F$5:$F$7,업무일지!$AG864)=0,"진행상태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"&amp;업무일지!$H865)</f>
        <v/>
      </c>
      <c r="D897" s="45">
        <f>IF(NOT(COUNTBLANK(업무일지!$B865:$AH865)&lt;33),"",TRIM(IF(업무일지!$B865="","시작일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","")&amp;IF(COUNTIF(코드설정!$H$5:$H$7,업무일지!$D865)=0,"직무구분 누락; ","")&amp;IF(업무일지!$E865="","세부유형 누락; ",IF(AND(업무일지!$D865&lt;&gt;"",COUNTIFS(코드설정!$A$5:$A$21,업무일지!$D865,코드설정!$B$5:$B$21,업무일지!$E865)=0),"세부유형이 직무구분과 불일치; ",""))&amp;IF(AND(업무일지!$F865&lt;&gt;"",COUNTIF(사건마스터!$A$5:$A$64,업무일지!$F865)=0),"미등록 사건번호; ","")&amp;IF(AND(업무일지!$F865="",업무일지!$H865=""),"사건번호·업무명 모두 없음; ","")&amp;IF(업무일지!$J865="","담당자 없음; ","")&amp;IF(COUNTIF(코드설정!$F$5:$F$7,업무일지!$AG865)=0,"진행상태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"&amp;업무일지!$H866)</f>
        <v/>
      </c>
      <c r="D898" s="45">
        <f>IF(NOT(COUNTBLANK(업무일지!$B866:$AH866)&lt;33),"",TRIM(IF(업무일지!$B866="","시작일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","")&amp;IF(COUNTIF(코드설정!$H$5:$H$7,업무일지!$D866)=0,"직무구분 누락; ","")&amp;IF(업무일지!$E866="","세부유형 누락; ",IF(AND(업무일지!$D866&lt;&gt;"",COUNTIFS(코드설정!$A$5:$A$21,업무일지!$D866,코드설정!$B$5:$B$21,업무일지!$E866)=0),"세부유형이 직무구분과 불일치; ",""))&amp;IF(AND(업무일지!$F866&lt;&gt;"",COUNTIF(사건마스터!$A$5:$A$64,업무일지!$F866)=0),"미등록 사건번호; ","")&amp;IF(AND(업무일지!$F866="",업무일지!$H866=""),"사건번호·업무명 모두 없음; ","")&amp;IF(업무일지!$J866="","담당자 없음; ","")&amp;IF(COUNTIF(코드설정!$F$5:$F$7,업무일지!$AG866)=0,"진행상태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"&amp;업무일지!$H867)</f>
        <v/>
      </c>
      <c r="D899" s="45">
        <f>IF(NOT(COUNTBLANK(업무일지!$B867:$AH867)&lt;33),"",TRIM(IF(업무일지!$B867="","시작일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","")&amp;IF(COUNTIF(코드설정!$H$5:$H$7,업무일지!$D867)=0,"직무구분 누락; ","")&amp;IF(업무일지!$E867="","세부유형 누락; ",IF(AND(업무일지!$D867&lt;&gt;"",COUNTIFS(코드설정!$A$5:$A$21,업무일지!$D867,코드설정!$B$5:$B$21,업무일지!$E867)=0),"세부유형이 직무구분과 불일치; ",""))&amp;IF(AND(업무일지!$F867&lt;&gt;"",COUNTIF(사건마스터!$A$5:$A$64,업무일지!$F867)=0),"미등록 사건번호; ","")&amp;IF(AND(업무일지!$F867="",업무일지!$H867=""),"사건번호·업무명 모두 없음; ","")&amp;IF(업무일지!$J867="","담당자 없음; ","")&amp;IF(COUNTIF(코드설정!$F$5:$F$7,업무일지!$AG867)=0,"진행상태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"&amp;업무일지!$H868)</f>
        <v/>
      </c>
      <c r="D900" s="45">
        <f>IF(NOT(COUNTBLANK(업무일지!$B868:$AH868)&lt;33),"",TRIM(IF(업무일지!$B868="","시작일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","")&amp;IF(COUNTIF(코드설정!$H$5:$H$7,업무일지!$D868)=0,"직무구분 누락; ","")&amp;IF(업무일지!$E868="","세부유형 누락; ",IF(AND(업무일지!$D868&lt;&gt;"",COUNTIFS(코드설정!$A$5:$A$21,업무일지!$D868,코드설정!$B$5:$B$21,업무일지!$E868)=0),"세부유형이 직무구분과 불일치; ",""))&amp;IF(AND(업무일지!$F868&lt;&gt;"",COUNTIF(사건마스터!$A$5:$A$64,업무일지!$F868)=0),"미등록 사건번호; ","")&amp;IF(AND(업무일지!$F868="",업무일지!$H868=""),"사건번호·업무명 모두 없음; ","")&amp;IF(업무일지!$J868="","담당자 없음; ","")&amp;IF(COUNTIF(코드설정!$F$5:$F$7,업무일지!$AG868)=0,"진행상태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"&amp;업무일지!$H869)</f>
        <v/>
      </c>
      <c r="D901" s="45">
        <f>IF(NOT(COUNTBLANK(업무일지!$B869:$AH869)&lt;33),"",TRIM(IF(업무일지!$B869="","시작일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","")&amp;IF(COUNTIF(코드설정!$H$5:$H$7,업무일지!$D869)=0,"직무구분 누락; ","")&amp;IF(업무일지!$E869="","세부유형 누락; ",IF(AND(업무일지!$D869&lt;&gt;"",COUNTIFS(코드설정!$A$5:$A$21,업무일지!$D869,코드설정!$B$5:$B$21,업무일지!$E869)=0),"세부유형이 직무구분과 불일치; ",""))&amp;IF(AND(업무일지!$F869&lt;&gt;"",COUNTIF(사건마스터!$A$5:$A$64,업무일지!$F869)=0),"미등록 사건번호; ","")&amp;IF(AND(업무일지!$F869="",업무일지!$H869=""),"사건번호·업무명 모두 없음; ","")&amp;IF(업무일지!$J869="","담당자 없음; ","")&amp;IF(COUNTIF(코드설정!$F$5:$F$7,업무일지!$AG869)=0,"진행상태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"&amp;업무일지!$H870)</f>
        <v/>
      </c>
      <c r="D902" s="45">
        <f>IF(NOT(COUNTBLANK(업무일지!$B870:$AH870)&lt;33),"",TRIM(IF(업무일지!$B870="","시작일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","")&amp;IF(COUNTIF(코드설정!$H$5:$H$7,업무일지!$D870)=0,"직무구분 누락; ","")&amp;IF(업무일지!$E870="","세부유형 누락; ",IF(AND(업무일지!$D870&lt;&gt;"",COUNTIFS(코드설정!$A$5:$A$21,업무일지!$D870,코드설정!$B$5:$B$21,업무일지!$E870)=0),"세부유형이 직무구분과 불일치; ",""))&amp;IF(AND(업무일지!$F870&lt;&gt;"",COUNTIF(사건마스터!$A$5:$A$64,업무일지!$F870)=0),"미등록 사건번호; ","")&amp;IF(AND(업무일지!$F870="",업무일지!$H870=""),"사건번호·업무명 모두 없음; ","")&amp;IF(업무일지!$J870="","담당자 없음; ","")&amp;IF(COUNTIF(코드설정!$F$5:$F$7,업무일지!$AG870)=0,"진행상태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"&amp;업무일지!$H871)</f>
        <v/>
      </c>
      <c r="D903" s="45">
        <f>IF(NOT(COUNTBLANK(업무일지!$B871:$AH871)&lt;33),"",TRIM(IF(업무일지!$B871="","시작일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","")&amp;IF(COUNTIF(코드설정!$H$5:$H$7,업무일지!$D871)=0,"직무구분 누락; ","")&amp;IF(업무일지!$E871="","세부유형 누락; ",IF(AND(업무일지!$D871&lt;&gt;"",COUNTIFS(코드설정!$A$5:$A$21,업무일지!$D871,코드설정!$B$5:$B$21,업무일지!$E871)=0),"세부유형이 직무구분과 불일치; ",""))&amp;IF(AND(업무일지!$F871&lt;&gt;"",COUNTIF(사건마스터!$A$5:$A$64,업무일지!$F871)=0),"미등록 사건번호; ","")&amp;IF(AND(업무일지!$F871="",업무일지!$H871=""),"사건번호·업무명 모두 없음; ","")&amp;IF(업무일지!$J871="","담당자 없음; ","")&amp;IF(COUNTIF(코드설정!$F$5:$F$7,업무일지!$AG871)=0,"진행상태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"&amp;업무일지!$H872)</f>
        <v/>
      </c>
      <c r="D904" s="45">
        <f>IF(NOT(COUNTBLANK(업무일지!$B872:$AH872)&lt;33),"",TRIM(IF(업무일지!$B872="","시작일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","")&amp;IF(COUNTIF(코드설정!$H$5:$H$7,업무일지!$D872)=0,"직무구분 누락; ","")&amp;IF(업무일지!$E872="","세부유형 누락; ",IF(AND(업무일지!$D872&lt;&gt;"",COUNTIFS(코드설정!$A$5:$A$21,업무일지!$D872,코드설정!$B$5:$B$21,업무일지!$E872)=0),"세부유형이 직무구분과 불일치; ",""))&amp;IF(AND(업무일지!$F872&lt;&gt;"",COUNTIF(사건마스터!$A$5:$A$64,업무일지!$F872)=0),"미등록 사건번호; ","")&amp;IF(AND(업무일지!$F872="",업무일지!$H872=""),"사건번호·업무명 모두 없음; ","")&amp;IF(업무일지!$J872="","담당자 없음; ","")&amp;IF(COUNTIF(코드설정!$F$5:$F$7,업무일지!$AG872)=0,"진행상태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"&amp;업무일지!$H873)</f>
        <v/>
      </c>
      <c r="D905" s="45">
        <f>IF(NOT(COUNTBLANK(업무일지!$B873:$AH873)&lt;33),"",TRIM(IF(업무일지!$B873="","시작일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","")&amp;IF(COUNTIF(코드설정!$H$5:$H$7,업무일지!$D873)=0,"직무구분 누락; ","")&amp;IF(업무일지!$E873="","세부유형 누락; ",IF(AND(업무일지!$D873&lt;&gt;"",COUNTIFS(코드설정!$A$5:$A$21,업무일지!$D873,코드설정!$B$5:$B$21,업무일지!$E873)=0),"세부유형이 직무구분과 불일치; ",""))&amp;IF(AND(업무일지!$F873&lt;&gt;"",COUNTIF(사건마스터!$A$5:$A$64,업무일지!$F873)=0),"미등록 사건번호; ","")&amp;IF(AND(업무일지!$F873="",업무일지!$H873=""),"사건번호·업무명 모두 없음; ","")&amp;IF(업무일지!$J873="","담당자 없음; ","")&amp;IF(COUNTIF(코드설정!$F$5:$F$7,업무일지!$AG873)=0,"진행상태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"&amp;업무일지!$H874)</f>
        <v/>
      </c>
      <c r="D906" s="45">
        <f>IF(NOT(COUNTBLANK(업무일지!$B874:$AH874)&lt;33),"",TRIM(IF(업무일지!$B874="","시작일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","")&amp;IF(COUNTIF(코드설정!$H$5:$H$7,업무일지!$D874)=0,"직무구분 누락; ","")&amp;IF(업무일지!$E874="","세부유형 누락; ",IF(AND(업무일지!$D874&lt;&gt;"",COUNTIFS(코드설정!$A$5:$A$21,업무일지!$D874,코드설정!$B$5:$B$21,업무일지!$E874)=0),"세부유형이 직무구분과 불일치; ",""))&amp;IF(AND(업무일지!$F874&lt;&gt;"",COUNTIF(사건마스터!$A$5:$A$64,업무일지!$F874)=0),"미등록 사건번호; ","")&amp;IF(AND(업무일지!$F874="",업무일지!$H874=""),"사건번호·업무명 모두 없음; ","")&amp;IF(업무일지!$J874="","담당자 없음; ","")&amp;IF(COUNTIF(코드설정!$F$5:$F$7,업무일지!$AG874)=0,"진행상태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"&amp;업무일지!$H875)</f>
        <v/>
      </c>
      <c r="D907" s="45">
        <f>IF(NOT(COUNTBLANK(업무일지!$B875:$AH875)&lt;33),"",TRIM(IF(업무일지!$B875="","시작일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","")&amp;IF(COUNTIF(코드설정!$H$5:$H$7,업무일지!$D875)=0,"직무구분 누락; ","")&amp;IF(업무일지!$E875="","세부유형 누락; ",IF(AND(업무일지!$D875&lt;&gt;"",COUNTIFS(코드설정!$A$5:$A$21,업무일지!$D875,코드설정!$B$5:$B$21,업무일지!$E875)=0),"세부유형이 직무구분과 불일치; ",""))&amp;IF(AND(업무일지!$F875&lt;&gt;"",COUNTIF(사건마스터!$A$5:$A$64,업무일지!$F875)=0),"미등록 사건번호; ","")&amp;IF(AND(업무일지!$F875="",업무일지!$H875=""),"사건번호·업무명 모두 없음; ","")&amp;IF(업무일지!$J875="","담당자 없음; ","")&amp;IF(COUNTIF(코드설정!$F$5:$F$7,업무일지!$AG875)=0,"진행상태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"&amp;업무일지!$H876)</f>
        <v/>
      </c>
      <c r="D908" s="45">
        <f>IF(NOT(COUNTBLANK(업무일지!$B876:$AH876)&lt;33),"",TRIM(IF(업무일지!$B876="","시작일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","")&amp;IF(COUNTIF(코드설정!$H$5:$H$7,업무일지!$D876)=0,"직무구분 누락; ","")&amp;IF(업무일지!$E876="","세부유형 누락; ",IF(AND(업무일지!$D876&lt;&gt;"",COUNTIFS(코드설정!$A$5:$A$21,업무일지!$D876,코드설정!$B$5:$B$21,업무일지!$E876)=0),"세부유형이 직무구분과 불일치; ",""))&amp;IF(AND(업무일지!$F876&lt;&gt;"",COUNTIF(사건마스터!$A$5:$A$64,업무일지!$F876)=0),"미등록 사건번호; ","")&amp;IF(AND(업무일지!$F876="",업무일지!$H876=""),"사건번호·업무명 모두 없음; ","")&amp;IF(업무일지!$J876="","담당자 없음; ","")&amp;IF(COUNTIF(코드설정!$F$5:$F$7,업무일지!$AG876)=0,"진행상태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"&amp;업무일지!$H877)</f>
        <v/>
      </c>
      <c r="D909" s="45">
        <f>IF(NOT(COUNTBLANK(업무일지!$B877:$AH877)&lt;33),"",TRIM(IF(업무일지!$B877="","시작일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","")&amp;IF(COUNTIF(코드설정!$H$5:$H$7,업무일지!$D877)=0,"직무구분 누락; ","")&amp;IF(업무일지!$E877="","세부유형 누락; ",IF(AND(업무일지!$D877&lt;&gt;"",COUNTIFS(코드설정!$A$5:$A$21,업무일지!$D877,코드설정!$B$5:$B$21,업무일지!$E877)=0),"세부유형이 직무구분과 불일치; ",""))&amp;IF(AND(업무일지!$F877&lt;&gt;"",COUNTIF(사건마스터!$A$5:$A$64,업무일지!$F877)=0),"미등록 사건번호; ","")&amp;IF(AND(업무일지!$F877="",업무일지!$H877=""),"사건번호·업무명 모두 없음; ","")&amp;IF(업무일지!$J877="","담당자 없음; ","")&amp;IF(COUNTIF(코드설정!$F$5:$F$7,업무일지!$AG877)=0,"진행상태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"&amp;업무일지!$H878)</f>
        <v/>
      </c>
      <c r="D910" s="45">
        <f>IF(NOT(COUNTBLANK(업무일지!$B878:$AH878)&lt;33),"",TRIM(IF(업무일지!$B878="","시작일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","")&amp;IF(COUNTIF(코드설정!$H$5:$H$7,업무일지!$D878)=0,"직무구분 누락; ","")&amp;IF(업무일지!$E878="","세부유형 누락; ",IF(AND(업무일지!$D878&lt;&gt;"",COUNTIFS(코드설정!$A$5:$A$21,업무일지!$D878,코드설정!$B$5:$B$21,업무일지!$E878)=0),"세부유형이 직무구분과 불일치; ",""))&amp;IF(AND(업무일지!$F878&lt;&gt;"",COUNTIF(사건마스터!$A$5:$A$64,업무일지!$F878)=0),"미등록 사건번호; ","")&amp;IF(AND(업무일지!$F878="",업무일지!$H878=""),"사건번호·업무명 모두 없음; ","")&amp;IF(업무일지!$J878="","담당자 없음; ","")&amp;IF(COUNTIF(코드설정!$F$5:$F$7,업무일지!$AG878)=0,"진행상태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"&amp;업무일지!$H879)</f>
        <v/>
      </c>
      <c r="D911" s="45">
        <f>IF(NOT(COUNTBLANK(업무일지!$B879:$AH879)&lt;33),"",TRIM(IF(업무일지!$B879="","시작일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","")&amp;IF(COUNTIF(코드설정!$H$5:$H$7,업무일지!$D879)=0,"직무구분 누락; ","")&amp;IF(업무일지!$E879="","세부유형 누락; ",IF(AND(업무일지!$D879&lt;&gt;"",COUNTIFS(코드설정!$A$5:$A$21,업무일지!$D879,코드설정!$B$5:$B$21,업무일지!$E879)=0),"세부유형이 직무구분과 불일치; ",""))&amp;IF(AND(업무일지!$F879&lt;&gt;"",COUNTIF(사건마스터!$A$5:$A$64,업무일지!$F879)=0),"미등록 사건번호; ","")&amp;IF(AND(업무일지!$F879="",업무일지!$H879=""),"사건번호·업무명 모두 없음; ","")&amp;IF(업무일지!$J879="","담당자 없음; ","")&amp;IF(COUNTIF(코드설정!$F$5:$F$7,업무일지!$AG879)=0,"진행상태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"&amp;업무일지!$H880)</f>
        <v/>
      </c>
      <c r="D912" s="45">
        <f>IF(NOT(COUNTBLANK(업무일지!$B880:$AH880)&lt;33),"",TRIM(IF(업무일지!$B880="","시작일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","")&amp;IF(COUNTIF(코드설정!$H$5:$H$7,업무일지!$D880)=0,"직무구분 누락; ","")&amp;IF(업무일지!$E880="","세부유형 누락; ",IF(AND(업무일지!$D880&lt;&gt;"",COUNTIFS(코드설정!$A$5:$A$21,업무일지!$D880,코드설정!$B$5:$B$21,업무일지!$E880)=0),"세부유형이 직무구분과 불일치; ",""))&amp;IF(AND(업무일지!$F880&lt;&gt;"",COUNTIF(사건마스터!$A$5:$A$64,업무일지!$F880)=0),"미등록 사건번호; ","")&amp;IF(AND(업무일지!$F880="",업무일지!$H880=""),"사건번호·업무명 모두 없음; ","")&amp;IF(업무일지!$J880="","담당자 없음; ","")&amp;IF(COUNTIF(코드설정!$F$5:$F$7,업무일지!$AG880)=0,"진행상태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"&amp;업무일지!$H881)</f>
        <v/>
      </c>
      <c r="D913" s="45">
        <f>IF(NOT(COUNTBLANK(업무일지!$B881:$AH881)&lt;33),"",TRIM(IF(업무일지!$B881="","시작일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","")&amp;IF(COUNTIF(코드설정!$H$5:$H$7,업무일지!$D881)=0,"직무구분 누락; ","")&amp;IF(업무일지!$E881="","세부유형 누락; ",IF(AND(업무일지!$D881&lt;&gt;"",COUNTIFS(코드설정!$A$5:$A$21,업무일지!$D881,코드설정!$B$5:$B$21,업무일지!$E881)=0),"세부유형이 직무구분과 불일치; ",""))&amp;IF(AND(업무일지!$F881&lt;&gt;"",COUNTIF(사건마스터!$A$5:$A$64,업무일지!$F881)=0),"미등록 사건번호; ","")&amp;IF(AND(업무일지!$F881="",업무일지!$H881=""),"사건번호·업무명 모두 없음; ","")&amp;IF(업무일지!$J881="","담당자 없음; ","")&amp;IF(COUNTIF(코드설정!$F$5:$F$7,업무일지!$AG881)=0,"진행상태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"&amp;업무일지!$H882)</f>
        <v/>
      </c>
      <c r="D914" s="45">
        <f>IF(NOT(COUNTBLANK(업무일지!$B882:$AH882)&lt;33),"",TRIM(IF(업무일지!$B882="","시작일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","")&amp;IF(COUNTIF(코드설정!$H$5:$H$7,업무일지!$D882)=0,"직무구분 누락; ","")&amp;IF(업무일지!$E882="","세부유형 누락; ",IF(AND(업무일지!$D882&lt;&gt;"",COUNTIFS(코드설정!$A$5:$A$21,업무일지!$D882,코드설정!$B$5:$B$21,업무일지!$E882)=0),"세부유형이 직무구분과 불일치; ",""))&amp;IF(AND(업무일지!$F882&lt;&gt;"",COUNTIF(사건마스터!$A$5:$A$64,업무일지!$F882)=0),"미등록 사건번호; ","")&amp;IF(AND(업무일지!$F882="",업무일지!$H882=""),"사건번호·업무명 모두 없음; ","")&amp;IF(업무일지!$J882="","담당자 없음; ","")&amp;IF(COUNTIF(코드설정!$F$5:$F$7,업무일지!$AG882)=0,"진행상태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"&amp;업무일지!$H883)</f>
        <v/>
      </c>
      <c r="D915" s="45">
        <f>IF(NOT(COUNTBLANK(업무일지!$B883:$AH883)&lt;33),"",TRIM(IF(업무일지!$B883="","시작일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","")&amp;IF(COUNTIF(코드설정!$H$5:$H$7,업무일지!$D883)=0,"직무구분 누락; ","")&amp;IF(업무일지!$E883="","세부유형 누락; ",IF(AND(업무일지!$D883&lt;&gt;"",COUNTIFS(코드설정!$A$5:$A$21,업무일지!$D883,코드설정!$B$5:$B$21,업무일지!$E883)=0),"세부유형이 직무구분과 불일치; ",""))&amp;IF(AND(업무일지!$F883&lt;&gt;"",COUNTIF(사건마스터!$A$5:$A$64,업무일지!$F883)=0),"미등록 사건번호; ","")&amp;IF(AND(업무일지!$F883="",업무일지!$H883=""),"사건번호·업무명 모두 없음; ","")&amp;IF(업무일지!$J883="","담당자 없음; ","")&amp;IF(COUNTIF(코드설정!$F$5:$F$7,업무일지!$AG883)=0,"진행상태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"&amp;업무일지!$H884)</f>
        <v/>
      </c>
      <c r="D916" s="45">
        <f>IF(NOT(COUNTBLANK(업무일지!$B884:$AH884)&lt;33),"",TRIM(IF(업무일지!$B884="","시작일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","")&amp;IF(COUNTIF(코드설정!$H$5:$H$7,업무일지!$D884)=0,"직무구분 누락; ","")&amp;IF(업무일지!$E884="","세부유형 누락; ",IF(AND(업무일지!$D884&lt;&gt;"",COUNTIFS(코드설정!$A$5:$A$21,업무일지!$D884,코드설정!$B$5:$B$21,업무일지!$E884)=0),"세부유형이 직무구분과 불일치; ",""))&amp;IF(AND(업무일지!$F884&lt;&gt;"",COUNTIF(사건마스터!$A$5:$A$64,업무일지!$F884)=0),"미등록 사건번호; ","")&amp;IF(AND(업무일지!$F884="",업무일지!$H884=""),"사건번호·업무명 모두 없음; ","")&amp;IF(업무일지!$J884="","담당자 없음; ","")&amp;IF(COUNTIF(코드설정!$F$5:$F$7,업무일지!$AG884)=0,"진행상태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"&amp;업무일지!$H885)</f>
        <v/>
      </c>
      <c r="D917" s="45">
        <f>IF(NOT(COUNTBLANK(업무일지!$B885:$AH885)&lt;33),"",TRIM(IF(업무일지!$B885="","시작일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","")&amp;IF(COUNTIF(코드설정!$H$5:$H$7,업무일지!$D885)=0,"직무구분 누락; ","")&amp;IF(업무일지!$E885="","세부유형 누락; ",IF(AND(업무일지!$D885&lt;&gt;"",COUNTIFS(코드설정!$A$5:$A$21,업무일지!$D885,코드설정!$B$5:$B$21,업무일지!$E885)=0),"세부유형이 직무구분과 불일치; ",""))&amp;IF(AND(업무일지!$F885&lt;&gt;"",COUNTIF(사건마스터!$A$5:$A$64,업무일지!$F885)=0),"미등록 사건번호; ","")&amp;IF(AND(업무일지!$F885="",업무일지!$H885=""),"사건번호·업무명 모두 없음; ","")&amp;IF(업무일지!$J885="","담당자 없음; ","")&amp;IF(COUNTIF(코드설정!$F$5:$F$7,업무일지!$AG885)=0,"진행상태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"&amp;업무일지!$H886)</f>
        <v/>
      </c>
      <c r="D918" s="45">
        <f>IF(NOT(COUNTBLANK(업무일지!$B886:$AH886)&lt;33),"",TRIM(IF(업무일지!$B886="","시작일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","")&amp;IF(COUNTIF(코드설정!$H$5:$H$7,업무일지!$D886)=0,"직무구분 누락; ","")&amp;IF(업무일지!$E886="","세부유형 누락; ",IF(AND(업무일지!$D886&lt;&gt;"",COUNTIFS(코드설정!$A$5:$A$21,업무일지!$D886,코드설정!$B$5:$B$21,업무일지!$E886)=0),"세부유형이 직무구분과 불일치; ",""))&amp;IF(AND(업무일지!$F886&lt;&gt;"",COUNTIF(사건마스터!$A$5:$A$64,업무일지!$F886)=0),"미등록 사건번호; ","")&amp;IF(AND(업무일지!$F886="",업무일지!$H886=""),"사건번호·업무명 모두 없음; ","")&amp;IF(업무일지!$J886="","담당자 없음; ","")&amp;IF(COUNTIF(코드설정!$F$5:$F$7,업무일지!$AG886)=0,"진행상태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"&amp;업무일지!$H887)</f>
        <v/>
      </c>
      <c r="D919" s="45">
        <f>IF(NOT(COUNTBLANK(업무일지!$B887:$AH887)&lt;33),"",TRIM(IF(업무일지!$B887="","시작일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","")&amp;IF(COUNTIF(코드설정!$H$5:$H$7,업무일지!$D887)=0,"직무구분 누락; ","")&amp;IF(업무일지!$E887="","세부유형 누락; ",IF(AND(업무일지!$D887&lt;&gt;"",COUNTIFS(코드설정!$A$5:$A$21,업무일지!$D887,코드설정!$B$5:$B$21,업무일지!$E887)=0),"세부유형이 직무구분과 불일치; ",""))&amp;IF(AND(업무일지!$F887&lt;&gt;"",COUNTIF(사건마스터!$A$5:$A$64,업무일지!$F887)=0),"미등록 사건번호; ","")&amp;IF(AND(업무일지!$F887="",업무일지!$H887=""),"사건번호·업무명 모두 없음; ","")&amp;IF(업무일지!$J887="","담당자 없음; ","")&amp;IF(COUNTIF(코드설정!$F$5:$F$7,업무일지!$AG887)=0,"진행상태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"&amp;업무일지!$H888)</f>
        <v/>
      </c>
      <c r="D920" s="45">
        <f>IF(NOT(COUNTBLANK(업무일지!$B888:$AH888)&lt;33),"",TRIM(IF(업무일지!$B888="","시작일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","")&amp;IF(COUNTIF(코드설정!$H$5:$H$7,업무일지!$D888)=0,"직무구분 누락; ","")&amp;IF(업무일지!$E888="","세부유형 누락; ",IF(AND(업무일지!$D888&lt;&gt;"",COUNTIFS(코드설정!$A$5:$A$21,업무일지!$D888,코드설정!$B$5:$B$21,업무일지!$E888)=0),"세부유형이 직무구분과 불일치; ",""))&amp;IF(AND(업무일지!$F888&lt;&gt;"",COUNTIF(사건마스터!$A$5:$A$64,업무일지!$F888)=0),"미등록 사건번호; ","")&amp;IF(AND(업무일지!$F888="",업무일지!$H888=""),"사건번호·업무명 모두 없음; ","")&amp;IF(업무일지!$J888="","담당자 없음; ","")&amp;IF(COUNTIF(코드설정!$F$5:$F$7,업무일지!$AG888)=0,"진행상태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"&amp;업무일지!$H889)</f>
        <v/>
      </c>
      <c r="D921" s="45">
        <f>IF(NOT(COUNTBLANK(업무일지!$B889:$AH889)&lt;33),"",TRIM(IF(업무일지!$B889="","시작일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","")&amp;IF(COUNTIF(코드설정!$H$5:$H$7,업무일지!$D889)=0,"직무구분 누락; ","")&amp;IF(업무일지!$E889="","세부유형 누락; ",IF(AND(업무일지!$D889&lt;&gt;"",COUNTIFS(코드설정!$A$5:$A$21,업무일지!$D889,코드설정!$B$5:$B$21,업무일지!$E889)=0),"세부유형이 직무구분과 불일치; ",""))&amp;IF(AND(업무일지!$F889&lt;&gt;"",COUNTIF(사건마스터!$A$5:$A$64,업무일지!$F889)=0),"미등록 사건번호; ","")&amp;IF(AND(업무일지!$F889="",업무일지!$H889=""),"사건번호·업무명 모두 없음; ","")&amp;IF(업무일지!$J889="","담당자 없음; ","")&amp;IF(COUNTIF(코드설정!$F$5:$F$7,업무일지!$AG889)=0,"진행상태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"&amp;업무일지!$H890)</f>
        <v/>
      </c>
      <c r="D922" s="45">
        <f>IF(NOT(COUNTBLANK(업무일지!$B890:$AH890)&lt;33),"",TRIM(IF(업무일지!$B890="","시작일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","")&amp;IF(COUNTIF(코드설정!$H$5:$H$7,업무일지!$D890)=0,"직무구분 누락; ","")&amp;IF(업무일지!$E890="","세부유형 누락; ",IF(AND(업무일지!$D890&lt;&gt;"",COUNTIFS(코드설정!$A$5:$A$21,업무일지!$D890,코드설정!$B$5:$B$21,업무일지!$E890)=0),"세부유형이 직무구분과 불일치; ",""))&amp;IF(AND(업무일지!$F890&lt;&gt;"",COUNTIF(사건마스터!$A$5:$A$64,업무일지!$F890)=0),"미등록 사건번호; ","")&amp;IF(AND(업무일지!$F890="",업무일지!$H890=""),"사건번호·업무명 모두 없음; ","")&amp;IF(업무일지!$J890="","담당자 없음; ","")&amp;IF(COUNTIF(코드설정!$F$5:$F$7,업무일지!$AG890)=0,"진행상태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"&amp;업무일지!$H891)</f>
        <v/>
      </c>
      <c r="D923" s="45">
        <f>IF(NOT(COUNTBLANK(업무일지!$B891:$AH891)&lt;33),"",TRIM(IF(업무일지!$B891="","시작일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","")&amp;IF(COUNTIF(코드설정!$H$5:$H$7,업무일지!$D891)=0,"직무구분 누락; ","")&amp;IF(업무일지!$E891="","세부유형 누락; ",IF(AND(업무일지!$D891&lt;&gt;"",COUNTIFS(코드설정!$A$5:$A$21,업무일지!$D891,코드설정!$B$5:$B$21,업무일지!$E891)=0),"세부유형이 직무구분과 불일치; ",""))&amp;IF(AND(업무일지!$F891&lt;&gt;"",COUNTIF(사건마스터!$A$5:$A$64,업무일지!$F891)=0),"미등록 사건번호; ","")&amp;IF(AND(업무일지!$F891="",업무일지!$H891=""),"사건번호·업무명 모두 없음; ","")&amp;IF(업무일지!$J891="","담당자 없음; ","")&amp;IF(COUNTIF(코드설정!$F$5:$F$7,업무일지!$AG891)=0,"진행상태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"&amp;업무일지!$H892)</f>
        <v/>
      </c>
      <c r="D924" s="45">
        <f>IF(NOT(COUNTBLANK(업무일지!$B892:$AH892)&lt;33),"",TRIM(IF(업무일지!$B892="","시작일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","")&amp;IF(COUNTIF(코드설정!$H$5:$H$7,업무일지!$D892)=0,"직무구분 누락; ","")&amp;IF(업무일지!$E892="","세부유형 누락; ",IF(AND(업무일지!$D892&lt;&gt;"",COUNTIFS(코드설정!$A$5:$A$21,업무일지!$D892,코드설정!$B$5:$B$21,업무일지!$E892)=0),"세부유형이 직무구분과 불일치; ",""))&amp;IF(AND(업무일지!$F892&lt;&gt;"",COUNTIF(사건마스터!$A$5:$A$64,업무일지!$F892)=0),"미등록 사건번호; ","")&amp;IF(AND(업무일지!$F892="",업무일지!$H892=""),"사건번호·업무명 모두 없음; ","")&amp;IF(업무일지!$J892="","담당자 없음; ","")&amp;IF(COUNTIF(코드설정!$F$5:$F$7,업무일지!$AG892)=0,"진행상태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"&amp;업무일지!$H893)</f>
        <v/>
      </c>
      <c r="D925" s="45">
        <f>IF(NOT(COUNTBLANK(업무일지!$B893:$AH893)&lt;33),"",TRIM(IF(업무일지!$B893="","시작일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","")&amp;IF(COUNTIF(코드설정!$H$5:$H$7,업무일지!$D893)=0,"직무구분 누락; ","")&amp;IF(업무일지!$E893="","세부유형 누락; ",IF(AND(업무일지!$D893&lt;&gt;"",COUNTIFS(코드설정!$A$5:$A$21,업무일지!$D893,코드설정!$B$5:$B$21,업무일지!$E893)=0),"세부유형이 직무구분과 불일치; ",""))&amp;IF(AND(업무일지!$F893&lt;&gt;"",COUNTIF(사건마스터!$A$5:$A$64,업무일지!$F893)=0),"미등록 사건번호; ","")&amp;IF(AND(업무일지!$F893="",업무일지!$H893=""),"사건번호·업무명 모두 없음; ","")&amp;IF(업무일지!$J893="","담당자 없음; ","")&amp;IF(COUNTIF(코드설정!$F$5:$F$7,업무일지!$AG893)=0,"진행상태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"&amp;업무일지!$H894)</f>
        <v/>
      </c>
      <c r="D926" s="45">
        <f>IF(NOT(COUNTBLANK(업무일지!$B894:$AH894)&lt;33),"",TRIM(IF(업무일지!$B894="","시작일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","")&amp;IF(COUNTIF(코드설정!$H$5:$H$7,업무일지!$D894)=0,"직무구분 누락; ","")&amp;IF(업무일지!$E894="","세부유형 누락; ",IF(AND(업무일지!$D894&lt;&gt;"",COUNTIFS(코드설정!$A$5:$A$21,업무일지!$D894,코드설정!$B$5:$B$21,업무일지!$E894)=0),"세부유형이 직무구분과 불일치; ",""))&amp;IF(AND(업무일지!$F894&lt;&gt;"",COUNTIF(사건마스터!$A$5:$A$64,업무일지!$F894)=0),"미등록 사건번호; ","")&amp;IF(AND(업무일지!$F894="",업무일지!$H894=""),"사건번호·업무명 모두 없음; ","")&amp;IF(업무일지!$J894="","담당자 없음; ","")&amp;IF(COUNTIF(코드설정!$F$5:$F$7,업무일지!$AG894)=0,"진행상태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"&amp;업무일지!$H895)</f>
        <v/>
      </c>
      <c r="D927" s="45">
        <f>IF(NOT(COUNTBLANK(업무일지!$B895:$AH895)&lt;33),"",TRIM(IF(업무일지!$B895="","시작일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","")&amp;IF(COUNTIF(코드설정!$H$5:$H$7,업무일지!$D895)=0,"직무구분 누락; ","")&amp;IF(업무일지!$E895="","세부유형 누락; ",IF(AND(업무일지!$D895&lt;&gt;"",COUNTIFS(코드설정!$A$5:$A$21,업무일지!$D895,코드설정!$B$5:$B$21,업무일지!$E895)=0),"세부유형이 직무구분과 불일치; ",""))&amp;IF(AND(업무일지!$F895&lt;&gt;"",COUNTIF(사건마스터!$A$5:$A$64,업무일지!$F895)=0),"미등록 사건번호; ","")&amp;IF(AND(업무일지!$F895="",업무일지!$H895=""),"사건번호·업무명 모두 없음; ","")&amp;IF(업무일지!$J895="","담당자 없음; ","")&amp;IF(COUNTIF(코드설정!$F$5:$F$7,업무일지!$AG895)=0,"진행상태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"&amp;업무일지!$H896)</f>
        <v/>
      </c>
      <c r="D928" s="45">
        <f>IF(NOT(COUNTBLANK(업무일지!$B896:$AH896)&lt;33),"",TRIM(IF(업무일지!$B896="","시작일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","")&amp;IF(COUNTIF(코드설정!$H$5:$H$7,업무일지!$D896)=0,"직무구분 누락; ","")&amp;IF(업무일지!$E896="","세부유형 누락; ",IF(AND(업무일지!$D896&lt;&gt;"",COUNTIFS(코드설정!$A$5:$A$21,업무일지!$D896,코드설정!$B$5:$B$21,업무일지!$E896)=0),"세부유형이 직무구분과 불일치; ",""))&amp;IF(AND(업무일지!$F896&lt;&gt;"",COUNTIF(사건마스터!$A$5:$A$64,업무일지!$F896)=0),"미등록 사건번호; ","")&amp;IF(AND(업무일지!$F896="",업무일지!$H896=""),"사건번호·업무명 모두 없음; ","")&amp;IF(업무일지!$J896="","담당자 없음; ","")&amp;IF(COUNTIF(코드설정!$F$5:$F$7,업무일지!$AG896)=0,"진행상태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"&amp;업무일지!$H897)</f>
        <v/>
      </c>
      <c r="D929" s="45">
        <f>IF(NOT(COUNTBLANK(업무일지!$B897:$AH897)&lt;33),"",TRIM(IF(업무일지!$B897="","시작일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","")&amp;IF(COUNTIF(코드설정!$H$5:$H$7,업무일지!$D897)=0,"직무구분 누락; ","")&amp;IF(업무일지!$E897="","세부유형 누락; ",IF(AND(업무일지!$D897&lt;&gt;"",COUNTIFS(코드설정!$A$5:$A$21,업무일지!$D897,코드설정!$B$5:$B$21,업무일지!$E897)=0),"세부유형이 직무구분과 불일치; ",""))&amp;IF(AND(업무일지!$F897&lt;&gt;"",COUNTIF(사건마스터!$A$5:$A$64,업무일지!$F897)=0),"미등록 사건번호; ","")&amp;IF(AND(업무일지!$F897="",업무일지!$H897=""),"사건번호·업무명 모두 없음; ","")&amp;IF(업무일지!$J897="","담당자 없음; ","")&amp;IF(COUNTIF(코드설정!$F$5:$F$7,업무일지!$AG897)=0,"진행상태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"&amp;업무일지!$H898)</f>
        <v/>
      </c>
      <c r="D930" s="45">
        <f>IF(NOT(COUNTBLANK(업무일지!$B898:$AH898)&lt;33),"",TRIM(IF(업무일지!$B898="","시작일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","")&amp;IF(COUNTIF(코드설정!$H$5:$H$7,업무일지!$D898)=0,"직무구분 누락; ","")&amp;IF(업무일지!$E898="","세부유형 누락; ",IF(AND(업무일지!$D898&lt;&gt;"",COUNTIFS(코드설정!$A$5:$A$21,업무일지!$D898,코드설정!$B$5:$B$21,업무일지!$E898)=0),"세부유형이 직무구분과 불일치; ",""))&amp;IF(AND(업무일지!$F898&lt;&gt;"",COUNTIF(사건마스터!$A$5:$A$64,업무일지!$F898)=0),"미등록 사건번호; ","")&amp;IF(AND(업무일지!$F898="",업무일지!$H898=""),"사건번호·업무명 모두 없음; ","")&amp;IF(업무일지!$J898="","담당자 없음; ","")&amp;IF(COUNTIF(코드설정!$F$5:$F$7,업무일지!$AG898)=0,"진행상태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"&amp;업무일지!$H899)</f>
        <v/>
      </c>
      <c r="D931" s="45">
        <f>IF(NOT(COUNTBLANK(업무일지!$B899:$AH899)&lt;33),"",TRIM(IF(업무일지!$B899="","시작일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","")&amp;IF(COUNTIF(코드설정!$H$5:$H$7,업무일지!$D899)=0,"직무구분 누락; ","")&amp;IF(업무일지!$E899="","세부유형 누락; ",IF(AND(업무일지!$D899&lt;&gt;"",COUNTIFS(코드설정!$A$5:$A$21,업무일지!$D899,코드설정!$B$5:$B$21,업무일지!$E899)=0),"세부유형이 직무구분과 불일치; ",""))&amp;IF(AND(업무일지!$F899&lt;&gt;"",COUNTIF(사건마스터!$A$5:$A$64,업무일지!$F899)=0),"미등록 사건번호; ","")&amp;IF(AND(업무일지!$F899="",업무일지!$H899=""),"사건번호·업무명 모두 없음; ","")&amp;IF(업무일지!$J899="","담당자 없음; ","")&amp;IF(COUNTIF(코드설정!$F$5:$F$7,업무일지!$AG899)=0,"진행상태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"&amp;업무일지!$H900)</f>
        <v/>
      </c>
      <c r="D932" s="45">
        <f>IF(NOT(COUNTBLANK(업무일지!$B900:$AH900)&lt;33),"",TRIM(IF(업무일지!$B900="","시작일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","")&amp;IF(COUNTIF(코드설정!$H$5:$H$7,업무일지!$D900)=0,"직무구분 누락; ","")&amp;IF(업무일지!$E900="","세부유형 누락; ",IF(AND(업무일지!$D900&lt;&gt;"",COUNTIFS(코드설정!$A$5:$A$21,업무일지!$D900,코드설정!$B$5:$B$21,업무일지!$E900)=0),"세부유형이 직무구분과 불일치; ",""))&amp;IF(AND(업무일지!$F900&lt;&gt;"",COUNTIF(사건마스터!$A$5:$A$64,업무일지!$F900)=0),"미등록 사건번호; ","")&amp;IF(AND(업무일지!$F900="",업무일지!$H900=""),"사건번호·업무명 모두 없음; ","")&amp;IF(업무일지!$J900="","담당자 없음; ","")&amp;IF(COUNTIF(코드설정!$F$5:$F$7,업무일지!$AG900)=0,"진행상태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"&amp;업무일지!$H901)</f>
        <v/>
      </c>
      <c r="D933" s="45">
        <f>IF(NOT(COUNTBLANK(업무일지!$B901:$AH901)&lt;33),"",TRIM(IF(업무일지!$B901="","시작일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","")&amp;IF(COUNTIF(코드설정!$H$5:$H$7,업무일지!$D901)=0,"직무구분 누락; ","")&amp;IF(업무일지!$E901="","세부유형 누락; ",IF(AND(업무일지!$D901&lt;&gt;"",COUNTIFS(코드설정!$A$5:$A$21,업무일지!$D901,코드설정!$B$5:$B$21,업무일지!$E901)=0),"세부유형이 직무구분과 불일치; ",""))&amp;IF(AND(업무일지!$F901&lt;&gt;"",COUNTIF(사건마스터!$A$5:$A$64,업무일지!$F901)=0),"미등록 사건번호; ","")&amp;IF(AND(업무일지!$F901="",업무일지!$H901=""),"사건번호·업무명 모두 없음; ","")&amp;IF(업무일지!$J901="","담당자 없음; ","")&amp;IF(COUNTIF(코드설정!$F$5:$F$7,업무일지!$AG901)=0,"진행상태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"&amp;업무일지!$H902)</f>
        <v/>
      </c>
      <c r="D934" s="45">
        <f>IF(NOT(COUNTBLANK(업무일지!$B902:$AH902)&lt;33),"",TRIM(IF(업무일지!$B902="","시작일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","")&amp;IF(COUNTIF(코드설정!$H$5:$H$7,업무일지!$D902)=0,"직무구분 누락; ","")&amp;IF(업무일지!$E902="","세부유형 누락; ",IF(AND(업무일지!$D902&lt;&gt;"",COUNTIFS(코드설정!$A$5:$A$21,업무일지!$D902,코드설정!$B$5:$B$21,업무일지!$E902)=0),"세부유형이 직무구분과 불일치; ",""))&amp;IF(AND(업무일지!$F902&lt;&gt;"",COUNTIF(사건마스터!$A$5:$A$64,업무일지!$F902)=0),"미등록 사건번호; ","")&amp;IF(AND(업무일지!$F902="",업무일지!$H902=""),"사건번호·업무명 모두 없음; ","")&amp;IF(업무일지!$J902="","담당자 없음; ","")&amp;IF(COUNTIF(코드설정!$F$5:$F$7,업무일지!$AG902)=0,"진행상태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"&amp;업무일지!$H903)</f>
        <v/>
      </c>
      <c r="D935" s="45">
        <f>IF(NOT(COUNTBLANK(업무일지!$B903:$AH903)&lt;33),"",TRIM(IF(업무일지!$B903="","시작일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","")&amp;IF(COUNTIF(코드설정!$H$5:$H$7,업무일지!$D903)=0,"직무구분 누락; ","")&amp;IF(업무일지!$E903="","세부유형 누락; ",IF(AND(업무일지!$D903&lt;&gt;"",COUNTIFS(코드설정!$A$5:$A$21,업무일지!$D903,코드설정!$B$5:$B$21,업무일지!$E903)=0),"세부유형이 직무구분과 불일치; ",""))&amp;IF(AND(업무일지!$F903&lt;&gt;"",COUNTIF(사건마스터!$A$5:$A$64,업무일지!$F903)=0),"미등록 사건번호; ","")&amp;IF(AND(업무일지!$F903="",업무일지!$H903=""),"사건번호·업무명 모두 없음; ","")&amp;IF(업무일지!$J903="","담당자 없음; ","")&amp;IF(COUNTIF(코드설정!$F$5:$F$7,업무일지!$AG903)=0,"진행상태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"&amp;업무일지!$H904)</f>
        <v/>
      </c>
      <c r="D936" s="45">
        <f>IF(NOT(COUNTBLANK(업무일지!$B904:$AH904)&lt;33),"",TRIM(IF(업무일지!$B904="","시작일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","")&amp;IF(COUNTIF(코드설정!$H$5:$H$7,업무일지!$D904)=0,"직무구분 누락; ","")&amp;IF(업무일지!$E904="","세부유형 누락; ",IF(AND(업무일지!$D904&lt;&gt;"",COUNTIFS(코드설정!$A$5:$A$21,업무일지!$D904,코드설정!$B$5:$B$21,업무일지!$E904)=0),"세부유형이 직무구분과 불일치; ",""))&amp;IF(AND(업무일지!$F904&lt;&gt;"",COUNTIF(사건마스터!$A$5:$A$64,업무일지!$F904)=0),"미등록 사건번호; ","")&amp;IF(AND(업무일지!$F904="",업무일지!$H904=""),"사건번호·업무명 모두 없음; ","")&amp;IF(업무일지!$J904="","담당자 없음; ","")&amp;IF(COUNTIF(코드설정!$F$5:$F$7,업무일지!$AG904)=0,"진행상태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"&amp;업무일지!$H905)</f>
        <v/>
      </c>
      <c r="D937" s="45">
        <f>IF(NOT(COUNTBLANK(업무일지!$B905:$AH905)&lt;33),"",TRIM(IF(업무일지!$B905="","시작일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","")&amp;IF(COUNTIF(코드설정!$H$5:$H$7,업무일지!$D905)=0,"직무구분 누락; ","")&amp;IF(업무일지!$E905="","세부유형 누락; ",IF(AND(업무일지!$D905&lt;&gt;"",COUNTIFS(코드설정!$A$5:$A$21,업무일지!$D905,코드설정!$B$5:$B$21,업무일지!$E905)=0),"세부유형이 직무구분과 불일치; ",""))&amp;IF(AND(업무일지!$F905&lt;&gt;"",COUNTIF(사건마스터!$A$5:$A$64,업무일지!$F905)=0),"미등록 사건번호; ","")&amp;IF(AND(업무일지!$F905="",업무일지!$H905=""),"사건번호·업무명 모두 없음; ","")&amp;IF(업무일지!$J905="","담당자 없음; ","")&amp;IF(COUNTIF(코드설정!$F$5:$F$7,업무일지!$AG905)=0,"진행상태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"&amp;업무일지!$H906)</f>
        <v/>
      </c>
      <c r="D938" s="45">
        <f>IF(NOT(COUNTBLANK(업무일지!$B906:$AH906)&lt;33),"",TRIM(IF(업무일지!$B906="","시작일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","")&amp;IF(COUNTIF(코드설정!$H$5:$H$7,업무일지!$D906)=0,"직무구분 누락; ","")&amp;IF(업무일지!$E906="","세부유형 누락; ",IF(AND(업무일지!$D906&lt;&gt;"",COUNTIFS(코드설정!$A$5:$A$21,업무일지!$D906,코드설정!$B$5:$B$21,업무일지!$E906)=0),"세부유형이 직무구분과 불일치; ",""))&amp;IF(AND(업무일지!$F906&lt;&gt;"",COUNTIF(사건마스터!$A$5:$A$64,업무일지!$F906)=0),"미등록 사건번호; ","")&amp;IF(AND(업무일지!$F906="",업무일지!$H906=""),"사건번호·업무명 모두 없음; ","")&amp;IF(업무일지!$J906="","담당자 없음; ","")&amp;IF(COUNTIF(코드설정!$F$5:$F$7,업무일지!$AG906)=0,"진행상태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"&amp;업무일지!$H907)</f>
        <v/>
      </c>
      <c r="D939" s="45">
        <f>IF(NOT(COUNTBLANK(업무일지!$B907:$AH907)&lt;33),"",TRIM(IF(업무일지!$B907="","시작일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","")&amp;IF(COUNTIF(코드설정!$H$5:$H$7,업무일지!$D907)=0,"직무구분 누락; ","")&amp;IF(업무일지!$E907="","세부유형 누락; ",IF(AND(업무일지!$D907&lt;&gt;"",COUNTIFS(코드설정!$A$5:$A$21,업무일지!$D907,코드설정!$B$5:$B$21,업무일지!$E907)=0),"세부유형이 직무구분과 불일치; ",""))&amp;IF(AND(업무일지!$F907&lt;&gt;"",COUNTIF(사건마스터!$A$5:$A$64,업무일지!$F907)=0),"미등록 사건번호; ","")&amp;IF(AND(업무일지!$F907="",업무일지!$H907=""),"사건번호·업무명 모두 없음; ","")&amp;IF(업무일지!$J907="","담당자 없음; ","")&amp;IF(COUNTIF(코드설정!$F$5:$F$7,업무일지!$AG907)=0,"진행상태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"&amp;업무일지!$H908)</f>
        <v/>
      </c>
      <c r="D940" s="45">
        <f>IF(NOT(COUNTBLANK(업무일지!$B908:$AH908)&lt;33),"",TRIM(IF(업무일지!$B908="","시작일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","")&amp;IF(COUNTIF(코드설정!$H$5:$H$7,업무일지!$D908)=0,"직무구분 누락; ","")&amp;IF(업무일지!$E908="","세부유형 누락; ",IF(AND(업무일지!$D908&lt;&gt;"",COUNTIFS(코드설정!$A$5:$A$21,업무일지!$D908,코드설정!$B$5:$B$21,업무일지!$E908)=0),"세부유형이 직무구분과 불일치; ",""))&amp;IF(AND(업무일지!$F908&lt;&gt;"",COUNTIF(사건마스터!$A$5:$A$64,업무일지!$F908)=0),"미등록 사건번호; ","")&amp;IF(AND(업무일지!$F908="",업무일지!$H908=""),"사건번호·업무명 모두 없음; ","")&amp;IF(업무일지!$J908="","담당자 없음; ","")&amp;IF(COUNTIF(코드설정!$F$5:$F$7,업무일지!$AG908)=0,"진행상태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"&amp;업무일지!$H909)</f>
        <v/>
      </c>
      <c r="D941" s="45">
        <f>IF(NOT(COUNTBLANK(업무일지!$B909:$AH909)&lt;33),"",TRIM(IF(업무일지!$B909="","시작일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","")&amp;IF(COUNTIF(코드설정!$H$5:$H$7,업무일지!$D909)=0,"직무구분 누락; ","")&amp;IF(업무일지!$E909="","세부유형 누락; ",IF(AND(업무일지!$D909&lt;&gt;"",COUNTIFS(코드설정!$A$5:$A$21,업무일지!$D909,코드설정!$B$5:$B$21,업무일지!$E909)=0),"세부유형이 직무구분과 불일치; ",""))&amp;IF(AND(업무일지!$F909&lt;&gt;"",COUNTIF(사건마스터!$A$5:$A$64,업무일지!$F909)=0),"미등록 사건번호; ","")&amp;IF(AND(업무일지!$F909="",업무일지!$H909=""),"사건번호·업무명 모두 없음; ","")&amp;IF(업무일지!$J909="","담당자 없음; ","")&amp;IF(COUNTIF(코드설정!$F$5:$F$7,업무일지!$AG909)=0,"진행상태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"&amp;업무일지!$H910)</f>
        <v/>
      </c>
      <c r="D942" s="45">
        <f>IF(NOT(COUNTBLANK(업무일지!$B910:$AH910)&lt;33),"",TRIM(IF(업무일지!$B910="","시작일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","")&amp;IF(COUNTIF(코드설정!$H$5:$H$7,업무일지!$D910)=0,"직무구분 누락; ","")&amp;IF(업무일지!$E910="","세부유형 누락; ",IF(AND(업무일지!$D910&lt;&gt;"",COUNTIFS(코드설정!$A$5:$A$21,업무일지!$D910,코드설정!$B$5:$B$21,업무일지!$E910)=0),"세부유형이 직무구분과 불일치; ",""))&amp;IF(AND(업무일지!$F910&lt;&gt;"",COUNTIF(사건마스터!$A$5:$A$64,업무일지!$F910)=0),"미등록 사건번호; ","")&amp;IF(AND(업무일지!$F910="",업무일지!$H910=""),"사건번호·업무명 모두 없음; ","")&amp;IF(업무일지!$J910="","담당자 없음; ","")&amp;IF(COUNTIF(코드설정!$F$5:$F$7,업무일지!$AG910)=0,"진행상태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"&amp;업무일지!$H911)</f>
        <v/>
      </c>
      <c r="D943" s="45">
        <f>IF(NOT(COUNTBLANK(업무일지!$B911:$AH911)&lt;33),"",TRIM(IF(업무일지!$B911="","시작일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","")&amp;IF(COUNTIF(코드설정!$H$5:$H$7,업무일지!$D911)=0,"직무구분 누락; ","")&amp;IF(업무일지!$E911="","세부유형 누락; ",IF(AND(업무일지!$D911&lt;&gt;"",COUNTIFS(코드설정!$A$5:$A$21,업무일지!$D911,코드설정!$B$5:$B$21,업무일지!$E911)=0),"세부유형이 직무구분과 불일치; ",""))&amp;IF(AND(업무일지!$F911&lt;&gt;"",COUNTIF(사건마스터!$A$5:$A$64,업무일지!$F911)=0),"미등록 사건번호; ","")&amp;IF(AND(업무일지!$F911="",업무일지!$H911=""),"사건번호·업무명 모두 없음; ","")&amp;IF(업무일지!$J911="","담당자 없음; ","")&amp;IF(COUNTIF(코드설정!$F$5:$F$7,업무일지!$AG911)=0,"진행상태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"&amp;업무일지!$H912)</f>
        <v/>
      </c>
      <c r="D944" s="45">
        <f>IF(NOT(COUNTBLANK(업무일지!$B912:$AH912)&lt;33),"",TRIM(IF(업무일지!$B912="","시작일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","")&amp;IF(COUNTIF(코드설정!$H$5:$H$7,업무일지!$D912)=0,"직무구분 누락; ","")&amp;IF(업무일지!$E912="","세부유형 누락; ",IF(AND(업무일지!$D912&lt;&gt;"",COUNTIFS(코드설정!$A$5:$A$21,업무일지!$D912,코드설정!$B$5:$B$21,업무일지!$E912)=0),"세부유형이 직무구분과 불일치; ",""))&amp;IF(AND(업무일지!$F912&lt;&gt;"",COUNTIF(사건마스터!$A$5:$A$64,업무일지!$F912)=0),"미등록 사건번호; ","")&amp;IF(AND(업무일지!$F912="",업무일지!$H912=""),"사건번호·업무명 모두 없음; ","")&amp;IF(업무일지!$J912="","담당자 없음; ","")&amp;IF(COUNTIF(코드설정!$F$5:$F$7,업무일지!$AG912)=0,"진행상태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"&amp;업무일지!$H913)</f>
        <v/>
      </c>
      <c r="D945" s="45">
        <f>IF(NOT(COUNTBLANK(업무일지!$B913:$AH913)&lt;33),"",TRIM(IF(업무일지!$B913="","시작일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","")&amp;IF(COUNTIF(코드설정!$H$5:$H$7,업무일지!$D913)=0,"직무구분 누락; ","")&amp;IF(업무일지!$E913="","세부유형 누락; ",IF(AND(업무일지!$D913&lt;&gt;"",COUNTIFS(코드설정!$A$5:$A$21,업무일지!$D913,코드설정!$B$5:$B$21,업무일지!$E913)=0),"세부유형이 직무구분과 불일치; ",""))&amp;IF(AND(업무일지!$F913&lt;&gt;"",COUNTIF(사건마스터!$A$5:$A$64,업무일지!$F913)=0),"미등록 사건번호; ","")&amp;IF(AND(업무일지!$F913="",업무일지!$H913=""),"사건번호·업무명 모두 없음; ","")&amp;IF(업무일지!$J913="","담당자 없음; ","")&amp;IF(COUNTIF(코드설정!$F$5:$F$7,업무일지!$AG913)=0,"진행상태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"&amp;업무일지!$H914)</f>
        <v/>
      </c>
      <c r="D946" s="45">
        <f>IF(NOT(COUNTBLANK(업무일지!$B914:$AH914)&lt;33),"",TRIM(IF(업무일지!$B914="","시작일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","")&amp;IF(COUNTIF(코드설정!$H$5:$H$7,업무일지!$D914)=0,"직무구분 누락; ","")&amp;IF(업무일지!$E914="","세부유형 누락; ",IF(AND(업무일지!$D914&lt;&gt;"",COUNTIFS(코드설정!$A$5:$A$21,업무일지!$D914,코드설정!$B$5:$B$21,업무일지!$E914)=0),"세부유형이 직무구분과 불일치; ",""))&amp;IF(AND(업무일지!$F914&lt;&gt;"",COUNTIF(사건마스터!$A$5:$A$64,업무일지!$F914)=0),"미등록 사건번호; ","")&amp;IF(AND(업무일지!$F914="",업무일지!$H914=""),"사건번호·업무명 모두 없음; ","")&amp;IF(업무일지!$J914="","담당자 없음; ","")&amp;IF(COUNTIF(코드설정!$F$5:$F$7,업무일지!$AG914)=0,"진행상태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"&amp;업무일지!$H915)</f>
        <v/>
      </c>
      <c r="D947" s="45">
        <f>IF(NOT(COUNTBLANK(업무일지!$B915:$AH915)&lt;33),"",TRIM(IF(업무일지!$B915="","시작일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","")&amp;IF(COUNTIF(코드설정!$H$5:$H$7,업무일지!$D915)=0,"직무구분 누락; ","")&amp;IF(업무일지!$E915="","세부유형 누락; ",IF(AND(업무일지!$D915&lt;&gt;"",COUNTIFS(코드설정!$A$5:$A$21,업무일지!$D915,코드설정!$B$5:$B$21,업무일지!$E915)=0),"세부유형이 직무구분과 불일치; ",""))&amp;IF(AND(업무일지!$F915&lt;&gt;"",COUNTIF(사건마스터!$A$5:$A$64,업무일지!$F915)=0),"미등록 사건번호; ","")&amp;IF(AND(업무일지!$F915="",업무일지!$H915=""),"사건번호·업무명 모두 없음; ","")&amp;IF(업무일지!$J915="","담당자 없음; ","")&amp;IF(COUNTIF(코드설정!$F$5:$F$7,업무일지!$AG915)=0,"진행상태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"&amp;업무일지!$H916)</f>
        <v/>
      </c>
      <c r="D948" s="45">
        <f>IF(NOT(COUNTBLANK(업무일지!$B916:$AH916)&lt;33),"",TRIM(IF(업무일지!$B916="","시작일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","")&amp;IF(COUNTIF(코드설정!$H$5:$H$7,업무일지!$D916)=0,"직무구분 누락; ","")&amp;IF(업무일지!$E916="","세부유형 누락; ",IF(AND(업무일지!$D916&lt;&gt;"",COUNTIFS(코드설정!$A$5:$A$21,업무일지!$D916,코드설정!$B$5:$B$21,업무일지!$E916)=0),"세부유형이 직무구분과 불일치; ",""))&amp;IF(AND(업무일지!$F916&lt;&gt;"",COUNTIF(사건마스터!$A$5:$A$64,업무일지!$F916)=0),"미등록 사건번호; ","")&amp;IF(AND(업무일지!$F916="",업무일지!$H916=""),"사건번호·업무명 모두 없음; ","")&amp;IF(업무일지!$J916="","담당자 없음; ","")&amp;IF(COUNTIF(코드설정!$F$5:$F$7,업무일지!$AG916)=0,"진행상태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"&amp;업무일지!$H917)</f>
        <v/>
      </c>
      <c r="D949" s="45">
        <f>IF(NOT(COUNTBLANK(업무일지!$B917:$AH917)&lt;33),"",TRIM(IF(업무일지!$B917="","시작일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","")&amp;IF(COUNTIF(코드설정!$H$5:$H$7,업무일지!$D917)=0,"직무구분 누락; ","")&amp;IF(업무일지!$E917="","세부유형 누락; ",IF(AND(업무일지!$D917&lt;&gt;"",COUNTIFS(코드설정!$A$5:$A$21,업무일지!$D917,코드설정!$B$5:$B$21,업무일지!$E917)=0),"세부유형이 직무구분과 불일치; ",""))&amp;IF(AND(업무일지!$F917&lt;&gt;"",COUNTIF(사건마스터!$A$5:$A$64,업무일지!$F917)=0),"미등록 사건번호; ","")&amp;IF(AND(업무일지!$F917="",업무일지!$H917=""),"사건번호·업무명 모두 없음; ","")&amp;IF(업무일지!$J917="","담당자 없음; ","")&amp;IF(COUNTIF(코드설정!$F$5:$F$7,업무일지!$AG917)=0,"진행상태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"&amp;업무일지!$H918)</f>
        <v/>
      </c>
      <c r="D950" s="45">
        <f>IF(NOT(COUNTBLANK(업무일지!$B918:$AH918)&lt;33),"",TRIM(IF(업무일지!$B918="","시작일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","")&amp;IF(COUNTIF(코드설정!$H$5:$H$7,업무일지!$D918)=0,"직무구분 누락; ","")&amp;IF(업무일지!$E918="","세부유형 누락; ",IF(AND(업무일지!$D918&lt;&gt;"",COUNTIFS(코드설정!$A$5:$A$21,업무일지!$D918,코드설정!$B$5:$B$21,업무일지!$E918)=0),"세부유형이 직무구분과 불일치; ",""))&amp;IF(AND(업무일지!$F918&lt;&gt;"",COUNTIF(사건마스터!$A$5:$A$64,업무일지!$F918)=0),"미등록 사건번호; ","")&amp;IF(AND(업무일지!$F918="",업무일지!$H918=""),"사건번호·업무명 모두 없음; ","")&amp;IF(업무일지!$J918="","담당자 없음; ","")&amp;IF(COUNTIF(코드설정!$F$5:$F$7,업무일지!$AG918)=0,"진행상태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"&amp;업무일지!$H919)</f>
        <v/>
      </c>
      <c r="D951" s="45">
        <f>IF(NOT(COUNTBLANK(업무일지!$B919:$AH919)&lt;33),"",TRIM(IF(업무일지!$B919="","시작일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","")&amp;IF(COUNTIF(코드설정!$H$5:$H$7,업무일지!$D919)=0,"직무구분 누락; ","")&amp;IF(업무일지!$E919="","세부유형 누락; ",IF(AND(업무일지!$D919&lt;&gt;"",COUNTIFS(코드설정!$A$5:$A$21,업무일지!$D919,코드설정!$B$5:$B$21,업무일지!$E919)=0),"세부유형이 직무구분과 불일치; ",""))&amp;IF(AND(업무일지!$F919&lt;&gt;"",COUNTIF(사건마스터!$A$5:$A$64,업무일지!$F919)=0),"미등록 사건번호; ","")&amp;IF(AND(업무일지!$F919="",업무일지!$H919=""),"사건번호·업무명 모두 없음; ","")&amp;IF(업무일지!$J919="","담당자 없음; ","")&amp;IF(COUNTIF(코드설정!$F$5:$F$7,업무일지!$AG919)=0,"진행상태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"&amp;업무일지!$H920)</f>
        <v/>
      </c>
      <c r="D952" s="45">
        <f>IF(NOT(COUNTBLANK(업무일지!$B920:$AH920)&lt;33),"",TRIM(IF(업무일지!$B920="","시작일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","")&amp;IF(COUNTIF(코드설정!$H$5:$H$7,업무일지!$D920)=0,"직무구분 누락; ","")&amp;IF(업무일지!$E920="","세부유형 누락; ",IF(AND(업무일지!$D920&lt;&gt;"",COUNTIFS(코드설정!$A$5:$A$21,업무일지!$D920,코드설정!$B$5:$B$21,업무일지!$E920)=0),"세부유형이 직무구분과 불일치; ",""))&amp;IF(AND(업무일지!$F920&lt;&gt;"",COUNTIF(사건마스터!$A$5:$A$64,업무일지!$F920)=0),"미등록 사건번호; ","")&amp;IF(AND(업무일지!$F920="",업무일지!$H920=""),"사건번호·업무명 모두 없음; ","")&amp;IF(업무일지!$J920="","담당자 없음; ","")&amp;IF(COUNTIF(코드설정!$F$5:$F$7,업무일지!$AG920)=0,"진행상태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"&amp;업무일지!$H921)</f>
        <v/>
      </c>
      <c r="D953" s="45">
        <f>IF(NOT(COUNTBLANK(업무일지!$B921:$AH921)&lt;33),"",TRIM(IF(업무일지!$B921="","시작일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","")&amp;IF(COUNTIF(코드설정!$H$5:$H$7,업무일지!$D921)=0,"직무구분 누락; ","")&amp;IF(업무일지!$E921="","세부유형 누락; ",IF(AND(업무일지!$D921&lt;&gt;"",COUNTIFS(코드설정!$A$5:$A$21,업무일지!$D921,코드설정!$B$5:$B$21,업무일지!$E921)=0),"세부유형이 직무구분과 불일치; ",""))&amp;IF(AND(업무일지!$F921&lt;&gt;"",COUNTIF(사건마스터!$A$5:$A$64,업무일지!$F921)=0),"미등록 사건번호; ","")&amp;IF(AND(업무일지!$F921="",업무일지!$H921=""),"사건번호·업무명 모두 없음; ","")&amp;IF(업무일지!$J921="","담당자 없음; ","")&amp;IF(COUNTIF(코드설정!$F$5:$F$7,업무일지!$AG921)=0,"진행상태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"&amp;업무일지!$H922)</f>
        <v/>
      </c>
      <c r="D954" s="45">
        <f>IF(NOT(COUNTBLANK(업무일지!$B922:$AH922)&lt;33),"",TRIM(IF(업무일지!$B922="","시작일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","")&amp;IF(COUNTIF(코드설정!$H$5:$H$7,업무일지!$D922)=0,"직무구분 누락; ","")&amp;IF(업무일지!$E922="","세부유형 누락; ",IF(AND(업무일지!$D922&lt;&gt;"",COUNTIFS(코드설정!$A$5:$A$21,업무일지!$D922,코드설정!$B$5:$B$21,업무일지!$E922)=0),"세부유형이 직무구분과 불일치; ",""))&amp;IF(AND(업무일지!$F922&lt;&gt;"",COUNTIF(사건마스터!$A$5:$A$64,업무일지!$F922)=0),"미등록 사건번호; ","")&amp;IF(AND(업무일지!$F922="",업무일지!$H922=""),"사건번호·업무명 모두 없음; ","")&amp;IF(업무일지!$J922="","담당자 없음; ","")&amp;IF(COUNTIF(코드설정!$F$5:$F$7,업무일지!$AG922)=0,"진행상태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"&amp;업무일지!$H923)</f>
        <v/>
      </c>
      <c r="D955" s="45">
        <f>IF(NOT(COUNTBLANK(업무일지!$B923:$AH923)&lt;33),"",TRIM(IF(업무일지!$B923="","시작일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","")&amp;IF(COUNTIF(코드설정!$H$5:$H$7,업무일지!$D923)=0,"직무구분 누락; ","")&amp;IF(업무일지!$E923="","세부유형 누락; ",IF(AND(업무일지!$D923&lt;&gt;"",COUNTIFS(코드설정!$A$5:$A$21,업무일지!$D923,코드설정!$B$5:$B$21,업무일지!$E923)=0),"세부유형이 직무구분과 불일치; ",""))&amp;IF(AND(업무일지!$F923&lt;&gt;"",COUNTIF(사건마스터!$A$5:$A$64,업무일지!$F923)=0),"미등록 사건번호; ","")&amp;IF(AND(업무일지!$F923="",업무일지!$H923=""),"사건번호·업무명 모두 없음; ","")&amp;IF(업무일지!$J923="","담당자 없음; ","")&amp;IF(COUNTIF(코드설정!$F$5:$F$7,업무일지!$AG923)=0,"진행상태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"&amp;업무일지!$H924)</f>
        <v/>
      </c>
      <c r="D956" s="45">
        <f>IF(NOT(COUNTBLANK(업무일지!$B924:$AH924)&lt;33),"",TRIM(IF(업무일지!$B924="","시작일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","")&amp;IF(COUNTIF(코드설정!$H$5:$H$7,업무일지!$D924)=0,"직무구분 누락; ","")&amp;IF(업무일지!$E924="","세부유형 누락; ",IF(AND(업무일지!$D924&lt;&gt;"",COUNTIFS(코드설정!$A$5:$A$21,업무일지!$D924,코드설정!$B$5:$B$21,업무일지!$E924)=0),"세부유형이 직무구분과 불일치; ",""))&amp;IF(AND(업무일지!$F924&lt;&gt;"",COUNTIF(사건마스터!$A$5:$A$64,업무일지!$F924)=0),"미등록 사건번호; ","")&amp;IF(AND(업무일지!$F924="",업무일지!$H924=""),"사건번호·업무명 모두 없음; ","")&amp;IF(업무일지!$J924="","담당자 없음; ","")&amp;IF(COUNTIF(코드설정!$F$5:$F$7,업무일지!$AG924)=0,"진행상태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"&amp;업무일지!$H925)</f>
        <v/>
      </c>
      <c r="D957" s="45">
        <f>IF(NOT(COUNTBLANK(업무일지!$B925:$AH925)&lt;33),"",TRIM(IF(업무일지!$B925="","시작일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","")&amp;IF(COUNTIF(코드설정!$H$5:$H$7,업무일지!$D925)=0,"직무구분 누락; ","")&amp;IF(업무일지!$E925="","세부유형 누락; ",IF(AND(업무일지!$D925&lt;&gt;"",COUNTIFS(코드설정!$A$5:$A$21,업무일지!$D925,코드설정!$B$5:$B$21,업무일지!$E925)=0),"세부유형이 직무구분과 불일치; ",""))&amp;IF(AND(업무일지!$F925&lt;&gt;"",COUNTIF(사건마스터!$A$5:$A$64,업무일지!$F925)=0),"미등록 사건번호; ","")&amp;IF(AND(업무일지!$F925="",업무일지!$H925=""),"사건번호·업무명 모두 없음; ","")&amp;IF(업무일지!$J925="","담당자 없음; ","")&amp;IF(COUNTIF(코드설정!$F$5:$F$7,업무일지!$AG925)=0,"진행상태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"&amp;업무일지!$H926)</f>
        <v/>
      </c>
      <c r="D958" s="45">
        <f>IF(NOT(COUNTBLANK(업무일지!$B926:$AH926)&lt;33),"",TRIM(IF(업무일지!$B926="","시작일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","")&amp;IF(COUNTIF(코드설정!$H$5:$H$7,업무일지!$D926)=0,"직무구분 누락; ","")&amp;IF(업무일지!$E926="","세부유형 누락; ",IF(AND(업무일지!$D926&lt;&gt;"",COUNTIFS(코드설정!$A$5:$A$21,업무일지!$D926,코드설정!$B$5:$B$21,업무일지!$E926)=0),"세부유형이 직무구분과 불일치; ",""))&amp;IF(AND(업무일지!$F926&lt;&gt;"",COUNTIF(사건마스터!$A$5:$A$64,업무일지!$F926)=0),"미등록 사건번호; ","")&amp;IF(AND(업무일지!$F926="",업무일지!$H926=""),"사건번호·업무명 모두 없음; ","")&amp;IF(업무일지!$J926="","담당자 없음; ","")&amp;IF(COUNTIF(코드설정!$F$5:$F$7,업무일지!$AG926)=0,"진행상태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"&amp;업무일지!$H927)</f>
        <v/>
      </c>
      <c r="D959" s="45">
        <f>IF(NOT(COUNTBLANK(업무일지!$B927:$AH927)&lt;33),"",TRIM(IF(업무일지!$B927="","시작일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","")&amp;IF(COUNTIF(코드설정!$H$5:$H$7,업무일지!$D927)=0,"직무구분 누락; ","")&amp;IF(업무일지!$E927="","세부유형 누락; ",IF(AND(업무일지!$D927&lt;&gt;"",COUNTIFS(코드설정!$A$5:$A$21,업무일지!$D927,코드설정!$B$5:$B$21,업무일지!$E927)=0),"세부유형이 직무구분과 불일치; ",""))&amp;IF(AND(업무일지!$F927&lt;&gt;"",COUNTIF(사건마스터!$A$5:$A$64,업무일지!$F927)=0),"미등록 사건번호; ","")&amp;IF(AND(업무일지!$F927="",업무일지!$H927=""),"사건번호·업무명 모두 없음; ","")&amp;IF(업무일지!$J927="","담당자 없음; ","")&amp;IF(COUNTIF(코드설정!$F$5:$F$7,업무일지!$AG927)=0,"진행상태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"&amp;업무일지!$H928)</f>
        <v/>
      </c>
      <c r="D960" s="45">
        <f>IF(NOT(COUNTBLANK(업무일지!$B928:$AH928)&lt;33),"",TRIM(IF(업무일지!$B928="","시작일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","")&amp;IF(COUNTIF(코드설정!$H$5:$H$7,업무일지!$D928)=0,"직무구분 누락; ","")&amp;IF(업무일지!$E928="","세부유형 누락; ",IF(AND(업무일지!$D928&lt;&gt;"",COUNTIFS(코드설정!$A$5:$A$21,업무일지!$D928,코드설정!$B$5:$B$21,업무일지!$E928)=0),"세부유형이 직무구분과 불일치; ",""))&amp;IF(AND(업무일지!$F928&lt;&gt;"",COUNTIF(사건마스터!$A$5:$A$64,업무일지!$F928)=0),"미등록 사건번호; ","")&amp;IF(AND(업무일지!$F928="",업무일지!$H928=""),"사건번호·업무명 모두 없음; ","")&amp;IF(업무일지!$J928="","담당자 없음; ","")&amp;IF(COUNTIF(코드설정!$F$5:$F$7,업무일지!$AG928)=0,"진행상태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"&amp;업무일지!$H929)</f>
        <v/>
      </c>
      <c r="D961" s="45">
        <f>IF(NOT(COUNTBLANK(업무일지!$B929:$AH929)&lt;33),"",TRIM(IF(업무일지!$B929="","시작일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","")&amp;IF(COUNTIF(코드설정!$H$5:$H$7,업무일지!$D929)=0,"직무구분 누락; ","")&amp;IF(업무일지!$E929="","세부유형 누락; ",IF(AND(업무일지!$D929&lt;&gt;"",COUNTIFS(코드설정!$A$5:$A$21,업무일지!$D929,코드설정!$B$5:$B$21,업무일지!$E929)=0),"세부유형이 직무구분과 불일치; ",""))&amp;IF(AND(업무일지!$F929&lt;&gt;"",COUNTIF(사건마스터!$A$5:$A$64,업무일지!$F929)=0),"미등록 사건번호; ","")&amp;IF(AND(업무일지!$F929="",업무일지!$H929=""),"사건번호·업무명 모두 없음; ","")&amp;IF(업무일지!$J929="","담당자 없음; ","")&amp;IF(COUNTIF(코드설정!$F$5:$F$7,업무일지!$AG929)=0,"진행상태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"&amp;업무일지!$H930)</f>
        <v/>
      </c>
      <c r="D962" s="45">
        <f>IF(NOT(COUNTBLANK(업무일지!$B930:$AH930)&lt;33),"",TRIM(IF(업무일지!$B930="","시작일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","")&amp;IF(COUNTIF(코드설정!$H$5:$H$7,업무일지!$D930)=0,"직무구분 누락; ","")&amp;IF(업무일지!$E930="","세부유형 누락; ",IF(AND(업무일지!$D930&lt;&gt;"",COUNTIFS(코드설정!$A$5:$A$21,업무일지!$D930,코드설정!$B$5:$B$21,업무일지!$E930)=0),"세부유형이 직무구분과 불일치; ",""))&amp;IF(AND(업무일지!$F930&lt;&gt;"",COUNTIF(사건마스터!$A$5:$A$64,업무일지!$F930)=0),"미등록 사건번호; ","")&amp;IF(AND(업무일지!$F930="",업무일지!$H930=""),"사건번호·업무명 모두 없음; ","")&amp;IF(업무일지!$J930="","담당자 없음; ","")&amp;IF(COUNTIF(코드설정!$F$5:$F$7,업무일지!$AG930)=0,"진행상태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"&amp;업무일지!$H931)</f>
        <v/>
      </c>
      <c r="D963" s="45">
        <f>IF(NOT(COUNTBLANK(업무일지!$B931:$AH931)&lt;33),"",TRIM(IF(업무일지!$B931="","시작일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","")&amp;IF(COUNTIF(코드설정!$H$5:$H$7,업무일지!$D931)=0,"직무구분 누락; ","")&amp;IF(업무일지!$E931="","세부유형 누락; ",IF(AND(업무일지!$D931&lt;&gt;"",COUNTIFS(코드설정!$A$5:$A$21,업무일지!$D931,코드설정!$B$5:$B$21,업무일지!$E931)=0),"세부유형이 직무구분과 불일치; ",""))&amp;IF(AND(업무일지!$F931&lt;&gt;"",COUNTIF(사건마스터!$A$5:$A$64,업무일지!$F931)=0),"미등록 사건번호; ","")&amp;IF(AND(업무일지!$F931="",업무일지!$H931=""),"사건번호·업무명 모두 없음; ","")&amp;IF(업무일지!$J931="","담당자 없음; ","")&amp;IF(COUNTIF(코드설정!$F$5:$F$7,업무일지!$AG931)=0,"진행상태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"&amp;업무일지!$H932)</f>
        <v/>
      </c>
      <c r="D964" s="45">
        <f>IF(NOT(COUNTBLANK(업무일지!$B932:$AH932)&lt;33),"",TRIM(IF(업무일지!$B932="","시작일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","")&amp;IF(COUNTIF(코드설정!$H$5:$H$7,업무일지!$D932)=0,"직무구분 누락; ","")&amp;IF(업무일지!$E932="","세부유형 누락; ",IF(AND(업무일지!$D932&lt;&gt;"",COUNTIFS(코드설정!$A$5:$A$21,업무일지!$D932,코드설정!$B$5:$B$21,업무일지!$E932)=0),"세부유형이 직무구분과 불일치; ",""))&amp;IF(AND(업무일지!$F932&lt;&gt;"",COUNTIF(사건마스터!$A$5:$A$64,업무일지!$F932)=0),"미등록 사건번호; ","")&amp;IF(AND(업무일지!$F932="",업무일지!$H932=""),"사건번호·업무명 모두 없음; ","")&amp;IF(업무일지!$J932="","담당자 없음; ","")&amp;IF(COUNTIF(코드설정!$F$5:$F$7,업무일지!$AG932)=0,"진행상태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"&amp;업무일지!$H933)</f>
        <v/>
      </c>
      <c r="D965" s="45">
        <f>IF(NOT(COUNTBLANK(업무일지!$B933:$AH933)&lt;33),"",TRIM(IF(업무일지!$B933="","시작일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","")&amp;IF(COUNTIF(코드설정!$H$5:$H$7,업무일지!$D933)=0,"직무구분 누락; ","")&amp;IF(업무일지!$E933="","세부유형 누락; ",IF(AND(업무일지!$D933&lt;&gt;"",COUNTIFS(코드설정!$A$5:$A$21,업무일지!$D933,코드설정!$B$5:$B$21,업무일지!$E933)=0),"세부유형이 직무구분과 불일치; ",""))&amp;IF(AND(업무일지!$F933&lt;&gt;"",COUNTIF(사건마스터!$A$5:$A$64,업무일지!$F933)=0),"미등록 사건번호; ","")&amp;IF(AND(업무일지!$F933="",업무일지!$H933=""),"사건번호·업무명 모두 없음; ","")&amp;IF(업무일지!$J933="","담당자 없음; ","")&amp;IF(COUNTIF(코드설정!$F$5:$F$7,업무일지!$AG933)=0,"진행상태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"&amp;업무일지!$H934)</f>
        <v/>
      </c>
      <c r="D966" s="45">
        <f>IF(NOT(COUNTBLANK(업무일지!$B934:$AH934)&lt;33),"",TRIM(IF(업무일지!$B934="","시작일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","")&amp;IF(COUNTIF(코드설정!$H$5:$H$7,업무일지!$D934)=0,"직무구분 누락; ","")&amp;IF(업무일지!$E934="","세부유형 누락; ",IF(AND(업무일지!$D934&lt;&gt;"",COUNTIFS(코드설정!$A$5:$A$21,업무일지!$D934,코드설정!$B$5:$B$21,업무일지!$E934)=0),"세부유형이 직무구분과 불일치; ",""))&amp;IF(AND(업무일지!$F934&lt;&gt;"",COUNTIF(사건마스터!$A$5:$A$64,업무일지!$F934)=0),"미등록 사건번호; ","")&amp;IF(AND(업무일지!$F934="",업무일지!$H934=""),"사건번호·업무명 모두 없음; ","")&amp;IF(업무일지!$J934="","담당자 없음; ","")&amp;IF(COUNTIF(코드설정!$F$5:$F$7,업무일지!$AG934)=0,"진행상태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"&amp;업무일지!$H935)</f>
        <v/>
      </c>
      <c r="D967" s="45">
        <f>IF(NOT(COUNTBLANK(업무일지!$B935:$AH935)&lt;33),"",TRIM(IF(업무일지!$B935="","시작일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","")&amp;IF(COUNTIF(코드설정!$H$5:$H$7,업무일지!$D935)=0,"직무구분 누락; ","")&amp;IF(업무일지!$E935="","세부유형 누락; ",IF(AND(업무일지!$D935&lt;&gt;"",COUNTIFS(코드설정!$A$5:$A$21,업무일지!$D935,코드설정!$B$5:$B$21,업무일지!$E935)=0),"세부유형이 직무구분과 불일치; ",""))&amp;IF(AND(업무일지!$F935&lt;&gt;"",COUNTIF(사건마스터!$A$5:$A$64,업무일지!$F935)=0),"미등록 사건번호; ","")&amp;IF(AND(업무일지!$F935="",업무일지!$H935=""),"사건번호·업무명 모두 없음; ","")&amp;IF(업무일지!$J935="","담당자 없음; ","")&amp;IF(COUNTIF(코드설정!$F$5:$F$7,업무일지!$AG935)=0,"진행상태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"&amp;업무일지!$H936)</f>
        <v/>
      </c>
      <c r="D968" s="45">
        <f>IF(NOT(COUNTBLANK(업무일지!$B936:$AH936)&lt;33),"",TRIM(IF(업무일지!$B936="","시작일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","")&amp;IF(COUNTIF(코드설정!$H$5:$H$7,업무일지!$D936)=0,"직무구분 누락; ","")&amp;IF(업무일지!$E936="","세부유형 누락; ",IF(AND(업무일지!$D936&lt;&gt;"",COUNTIFS(코드설정!$A$5:$A$21,업무일지!$D936,코드설정!$B$5:$B$21,업무일지!$E936)=0),"세부유형이 직무구분과 불일치; ",""))&amp;IF(AND(업무일지!$F936&lt;&gt;"",COUNTIF(사건마스터!$A$5:$A$64,업무일지!$F936)=0),"미등록 사건번호; ","")&amp;IF(AND(업무일지!$F936="",업무일지!$H936=""),"사건번호·업무명 모두 없음; ","")&amp;IF(업무일지!$J936="","담당자 없음; ","")&amp;IF(COUNTIF(코드설정!$F$5:$F$7,업무일지!$AG936)=0,"진행상태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"&amp;업무일지!$H937)</f>
        <v/>
      </c>
      <c r="D969" s="45">
        <f>IF(NOT(COUNTBLANK(업무일지!$B937:$AH937)&lt;33),"",TRIM(IF(업무일지!$B937="","시작일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","")&amp;IF(COUNTIF(코드설정!$H$5:$H$7,업무일지!$D937)=0,"직무구분 누락; ","")&amp;IF(업무일지!$E937="","세부유형 누락; ",IF(AND(업무일지!$D937&lt;&gt;"",COUNTIFS(코드설정!$A$5:$A$21,업무일지!$D937,코드설정!$B$5:$B$21,업무일지!$E937)=0),"세부유형이 직무구분과 불일치; ",""))&amp;IF(AND(업무일지!$F937&lt;&gt;"",COUNTIF(사건마스터!$A$5:$A$64,업무일지!$F937)=0),"미등록 사건번호; ","")&amp;IF(AND(업무일지!$F937="",업무일지!$H937=""),"사건번호·업무명 모두 없음; ","")&amp;IF(업무일지!$J937="","담당자 없음; ","")&amp;IF(COUNTIF(코드설정!$F$5:$F$7,업무일지!$AG937)=0,"진행상태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"&amp;업무일지!$H938)</f>
        <v/>
      </c>
      <c r="D970" s="45">
        <f>IF(NOT(COUNTBLANK(업무일지!$B938:$AH938)&lt;33),"",TRIM(IF(업무일지!$B938="","시작일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","")&amp;IF(COUNTIF(코드설정!$H$5:$H$7,업무일지!$D938)=0,"직무구분 누락; ","")&amp;IF(업무일지!$E938="","세부유형 누락; ",IF(AND(업무일지!$D938&lt;&gt;"",COUNTIFS(코드설정!$A$5:$A$21,업무일지!$D938,코드설정!$B$5:$B$21,업무일지!$E938)=0),"세부유형이 직무구분과 불일치; ",""))&amp;IF(AND(업무일지!$F938&lt;&gt;"",COUNTIF(사건마스터!$A$5:$A$64,업무일지!$F938)=0),"미등록 사건번호; ","")&amp;IF(AND(업무일지!$F938="",업무일지!$H938=""),"사건번호·업무명 모두 없음; ","")&amp;IF(업무일지!$J938="","담당자 없음; ","")&amp;IF(COUNTIF(코드설정!$F$5:$F$7,업무일지!$AG938)=0,"진행상태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"&amp;업무일지!$H939)</f>
        <v/>
      </c>
      <c r="D971" s="45">
        <f>IF(NOT(COUNTBLANK(업무일지!$B939:$AH939)&lt;33),"",TRIM(IF(업무일지!$B939="","시작일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","")&amp;IF(COUNTIF(코드설정!$H$5:$H$7,업무일지!$D939)=0,"직무구분 누락; ","")&amp;IF(업무일지!$E939="","세부유형 누락; ",IF(AND(업무일지!$D939&lt;&gt;"",COUNTIFS(코드설정!$A$5:$A$21,업무일지!$D939,코드설정!$B$5:$B$21,업무일지!$E939)=0),"세부유형이 직무구분과 불일치; ",""))&amp;IF(AND(업무일지!$F939&lt;&gt;"",COUNTIF(사건마스터!$A$5:$A$64,업무일지!$F939)=0),"미등록 사건번호; ","")&amp;IF(AND(업무일지!$F939="",업무일지!$H939=""),"사건번호·업무명 모두 없음; ","")&amp;IF(업무일지!$J939="","담당자 없음; ","")&amp;IF(COUNTIF(코드설정!$F$5:$F$7,업무일지!$AG939)=0,"진행상태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"&amp;업무일지!$H940)</f>
        <v/>
      </c>
      <c r="D972" s="45">
        <f>IF(NOT(COUNTBLANK(업무일지!$B940:$AH940)&lt;33),"",TRIM(IF(업무일지!$B940="","시작일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","")&amp;IF(COUNTIF(코드설정!$H$5:$H$7,업무일지!$D940)=0,"직무구분 누락; ","")&amp;IF(업무일지!$E940="","세부유형 누락; ",IF(AND(업무일지!$D940&lt;&gt;"",COUNTIFS(코드설정!$A$5:$A$21,업무일지!$D940,코드설정!$B$5:$B$21,업무일지!$E940)=0),"세부유형이 직무구분과 불일치; ",""))&amp;IF(AND(업무일지!$F940&lt;&gt;"",COUNTIF(사건마스터!$A$5:$A$64,업무일지!$F940)=0),"미등록 사건번호; ","")&amp;IF(AND(업무일지!$F940="",업무일지!$H940=""),"사건번호·업무명 모두 없음; ","")&amp;IF(업무일지!$J940="","담당자 없음; ","")&amp;IF(COUNTIF(코드설정!$F$5:$F$7,업무일지!$AG940)=0,"진행상태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"&amp;업무일지!$H941)</f>
        <v/>
      </c>
      <c r="D973" s="45">
        <f>IF(NOT(COUNTBLANK(업무일지!$B941:$AH941)&lt;33),"",TRIM(IF(업무일지!$B941="","시작일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","")&amp;IF(COUNTIF(코드설정!$H$5:$H$7,업무일지!$D941)=0,"직무구분 누락; ","")&amp;IF(업무일지!$E941="","세부유형 누락; ",IF(AND(업무일지!$D941&lt;&gt;"",COUNTIFS(코드설정!$A$5:$A$21,업무일지!$D941,코드설정!$B$5:$B$21,업무일지!$E941)=0),"세부유형이 직무구분과 불일치; ",""))&amp;IF(AND(업무일지!$F941&lt;&gt;"",COUNTIF(사건마스터!$A$5:$A$64,업무일지!$F941)=0),"미등록 사건번호; ","")&amp;IF(AND(업무일지!$F941="",업무일지!$H941=""),"사건번호·업무명 모두 없음; ","")&amp;IF(업무일지!$J941="","담당자 없음; ","")&amp;IF(COUNTIF(코드설정!$F$5:$F$7,업무일지!$AG941)=0,"진행상태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"&amp;업무일지!$H942)</f>
        <v/>
      </c>
      <c r="D974" s="45">
        <f>IF(NOT(COUNTBLANK(업무일지!$B942:$AH942)&lt;33),"",TRIM(IF(업무일지!$B942="","시작일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","")&amp;IF(COUNTIF(코드설정!$H$5:$H$7,업무일지!$D942)=0,"직무구분 누락; ","")&amp;IF(업무일지!$E942="","세부유형 누락; ",IF(AND(업무일지!$D942&lt;&gt;"",COUNTIFS(코드설정!$A$5:$A$21,업무일지!$D942,코드설정!$B$5:$B$21,업무일지!$E942)=0),"세부유형이 직무구분과 불일치; ",""))&amp;IF(AND(업무일지!$F942&lt;&gt;"",COUNTIF(사건마스터!$A$5:$A$64,업무일지!$F942)=0),"미등록 사건번호; ","")&amp;IF(AND(업무일지!$F942="",업무일지!$H942=""),"사건번호·업무명 모두 없음; ","")&amp;IF(업무일지!$J942="","담당자 없음; ","")&amp;IF(COUNTIF(코드설정!$F$5:$F$7,업무일지!$AG942)=0,"진행상태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"&amp;업무일지!$H943)</f>
        <v/>
      </c>
      <c r="D975" s="45">
        <f>IF(NOT(COUNTBLANK(업무일지!$B943:$AH943)&lt;33),"",TRIM(IF(업무일지!$B943="","시작일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","")&amp;IF(COUNTIF(코드설정!$H$5:$H$7,업무일지!$D943)=0,"직무구분 누락; ","")&amp;IF(업무일지!$E943="","세부유형 누락; ",IF(AND(업무일지!$D943&lt;&gt;"",COUNTIFS(코드설정!$A$5:$A$21,업무일지!$D943,코드설정!$B$5:$B$21,업무일지!$E943)=0),"세부유형이 직무구분과 불일치; ",""))&amp;IF(AND(업무일지!$F943&lt;&gt;"",COUNTIF(사건마스터!$A$5:$A$64,업무일지!$F943)=0),"미등록 사건번호; ","")&amp;IF(AND(업무일지!$F943="",업무일지!$H943=""),"사건번호·업무명 모두 없음; ","")&amp;IF(업무일지!$J943="","담당자 없음; ","")&amp;IF(COUNTIF(코드설정!$F$5:$F$7,업무일지!$AG943)=0,"진행상태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"&amp;업무일지!$H944)</f>
        <v/>
      </c>
      <c r="D976" s="45">
        <f>IF(NOT(COUNTBLANK(업무일지!$B944:$AH944)&lt;33),"",TRIM(IF(업무일지!$B944="","시작일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","")&amp;IF(COUNTIF(코드설정!$H$5:$H$7,업무일지!$D944)=0,"직무구분 누락; ","")&amp;IF(업무일지!$E944="","세부유형 누락; ",IF(AND(업무일지!$D944&lt;&gt;"",COUNTIFS(코드설정!$A$5:$A$21,업무일지!$D944,코드설정!$B$5:$B$21,업무일지!$E944)=0),"세부유형이 직무구분과 불일치; ",""))&amp;IF(AND(업무일지!$F944&lt;&gt;"",COUNTIF(사건마스터!$A$5:$A$64,업무일지!$F944)=0),"미등록 사건번호; ","")&amp;IF(AND(업무일지!$F944="",업무일지!$H944=""),"사건번호·업무명 모두 없음; ","")&amp;IF(업무일지!$J944="","담당자 없음; ","")&amp;IF(COUNTIF(코드설정!$F$5:$F$7,업무일지!$AG944)=0,"진행상태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"&amp;업무일지!$H945)</f>
        <v/>
      </c>
      <c r="D977" s="45">
        <f>IF(NOT(COUNTBLANK(업무일지!$B945:$AH945)&lt;33),"",TRIM(IF(업무일지!$B945="","시작일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","")&amp;IF(COUNTIF(코드설정!$H$5:$H$7,업무일지!$D945)=0,"직무구분 누락; ","")&amp;IF(업무일지!$E945="","세부유형 누락; ",IF(AND(업무일지!$D945&lt;&gt;"",COUNTIFS(코드설정!$A$5:$A$21,업무일지!$D945,코드설정!$B$5:$B$21,업무일지!$E945)=0),"세부유형이 직무구분과 불일치; ",""))&amp;IF(AND(업무일지!$F945&lt;&gt;"",COUNTIF(사건마스터!$A$5:$A$64,업무일지!$F945)=0),"미등록 사건번호; ","")&amp;IF(AND(업무일지!$F945="",업무일지!$H945=""),"사건번호·업무명 모두 없음; ","")&amp;IF(업무일지!$J945="","담당자 없음; ","")&amp;IF(COUNTIF(코드설정!$F$5:$F$7,업무일지!$AG945)=0,"진행상태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"&amp;업무일지!$H946)</f>
        <v/>
      </c>
      <c r="D978" s="45">
        <f>IF(NOT(COUNTBLANK(업무일지!$B946:$AH946)&lt;33),"",TRIM(IF(업무일지!$B946="","시작일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","")&amp;IF(COUNTIF(코드설정!$H$5:$H$7,업무일지!$D946)=0,"직무구분 누락; ","")&amp;IF(업무일지!$E946="","세부유형 누락; ",IF(AND(업무일지!$D946&lt;&gt;"",COUNTIFS(코드설정!$A$5:$A$21,업무일지!$D946,코드설정!$B$5:$B$21,업무일지!$E946)=0),"세부유형이 직무구분과 불일치; ",""))&amp;IF(AND(업무일지!$F946&lt;&gt;"",COUNTIF(사건마스터!$A$5:$A$64,업무일지!$F946)=0),"미등록 사건번호; ","")&amp;IF(AND(업무일지!$F946="",업무일지!$H946=""),"사건번호·업무명 모두 없음; ","")&amp;IF(업무일지!$J946="","담당자 없음; ","")&amp;IF(COUNTIF(코드설정!$F$5:$F$7,업무일지!$AG946)=0,"진행상태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"&amp;업무일지!$H947)</f>
        <v/>
      </c>
      <c r="D979" s="45">
        <f>IF(NOT(COUNTBLANK(업무일지!$B947:$AH947)&lt;33),"",TRIM(IF(업무일지!$B947="","시작일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","")&amp;IF(COUNTIF(코드설정!$H$5:$H$7,업무일지!$D947)=0,"직무구분 누락; ","")&amp;IF(업무일지!$E947="","세부유형 누락; ",IF(AND(업무일지!$D947&lt;&gt;"",COUNTIFS(코드설정!$A$5:$A$21,업무일지!$D947,코드설정!$B$5:$B$21,업무일지!$E947)=0),"세부유형이 직무구분과 불일치; ",""))&amp;IF(AND(업무일지!$F947&lt;&gt;"",COUNTIF(사건마스터!$A$5:$A$64,업무일지!$F947)=0),"미등록 사건번호; ","")&amp;IF(AND(업무일지!$F947="",업무일지!$H947=""),"사건번호·업무명 모두 없음; ","")&amp;IF(업무일지!$J947="","담당자 없음; ","")&amp;IF(COUNTIF(코드설정!$F$5:$F$7,업무일지!$AG947)=0,"진행상태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"&amp;업무일지!$H948)</f>
        <v/>
      </c>
      <c r="D980" s="45">
        <f>IF(NOT(COUNTBLANK(업무일지!$B948:$AH948)&lt;33),"",TRIM(IF(업무일지!$B948="","시작일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","")&amp;IF(COUNTIF(코드설정!$H$5:$H$7,업무일지!$D948)=0,"직무구분 누락; ","")&amp;IF(업무일지!$E948="","세부유형 누락; ",IF(AND(업무일지!$D948&lt;&gt;"",COUNTIFS(코드설정!$A$5:$A$21,업무일지!$D948,코드설정!$B$5:$B$21,업무일지!$E948)=0),"세부유형이 직무구분과 불일치; ",""))&amp;IF(AND(업무일지!$F948&lt;&gt;"",COUNTIF(사건마스터!$A$5:$A$64,업무일지!$F948)=0),"미등록 사건번호; ","")&amp;IF(AND(업무일지!$F948="",업무일지!$H948=""),"사건번호·업무명 모두 없음; ","")&amp;IF(업무일지!$J948="","담당자 없음; ","")&amp;IF(COUNTIF(코드설정!$F$5:$F$7,업무일지!$AG948)=0,"진행상태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"&amp;업무일지!$H949)</f>
        <v/>
      </c>
      <c r="D981" s="45">
        <f>IF(NOT(COUNTBLANK(업무일지!$B949:$AH949)&lt;33),"",TRIM(IF(업무일지!$B949="","시작일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","")&amp;IF(COUNTIF(코드설정!$H$5:$H$7,업무일지!$D949)=0,"직무구분 누락; ","")&amp;IF(업무일지!$E949="","세부유형 누락; ",IF(AND(업무일지!$D949&lt;&gt;"",COUNTIFS(코드설정!$A$5:$A$21,업무일지!$D949,코드설정!$B$5:$B$21,업무일지!$E949)=0),"세부유형이 직무구분과 불일치; ",""))&amp;IF(AND(업무일지!$F949&lt;&gt;"",COUNTIF(사건마스터!$A$5:$A$64,업무일지!$F949)=0),"미등록 사건번호; ","")&amp;IF(AND(업무일지!$F949="",업무일지!$H949=""),"사건번호·업무명 모두 없음; ","")&amp;IF(업무일지!$J949="","담당자 없음; ","")&amp;IF(COUNTIF(코드설정!$F$5:$F$7,업무일지!$AG949)=0,"진행상태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"&amp;업무일지!$H950)</f>
        <v/>
      </c>
      <c r="D982" s="45">
        <f>IF(NOT(COUNTBLANK(업무일지!$B950:$AH950)&lt;33),"",TRIM(IF(업무일지!$B950="","시작일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","")&amp;IF(COUNTIF(코드설정!$H$5:$H$7,업무일지!$D950)=0,"직무구분 누락; ","")&amp;IF(업무일지!$E950="","세부유형 누락; ",IF(AND(업무일지!$D950&lt;&gt;"",COUNTIFS(코드설정!$A$5:$A$21,업무일지!$D950,코드설정!$B$5:$B$21,업무일지!$E950)=0),"세부유형이 직무구분과 불일치; ",""))&amp;IF(AND(업무일지!$F950&lt;&gt;"",COUNTIF(사건마스터!$A$5:$A$64,업무일지!$F950)=0),"미등록 사건번호; ","")&amp;IF(AND(업무일지!$F950="",업무일지!$H950=""),"사건번호·업무명 모두 없음; ","")&amp;IF(업무일지!$J950="","담당자 없음; ","")&amp;IF(COUNTIF(코드설정!$F$5:$F$7,업무일지!$AG950)=0,"진행상태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"&amp;업무일지!$H951)</f>
        <v/>
      </c>
      <c r="D983" s="45">
        <f>IF(NOT(COUNTBLANK(업무일지!$B951:$AH951)&lt;33),"",TRIM(IF(업무일지!$B951="","시작일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","")&amp;IF(COUNTIF(코드설정!$H$5:$H$7,업무일지!$D951)=0,"직무구분 누락; ","")&amp;IF(업무일지!$E951="","세부유형 누락; ",IF(AND(업무일지!$D951&lt;&gt;"",COUNTIFS(코드설정!$A$5:$A$21,업무일지!$D951,코드설정!$B$5:$B$21,업무일지!$E951)=0),"세부유형이 직무구분과 불일치; ",""))&amp;IF(AND(업무일지!$F951&lt;&gt;"",COUNTIF(사건마스터!$A$5:$A$64,업무일지!$F951)=0),"미등록 사건번호; ","")&amp;IF(AND(업무일지!$F951="",업무일지!$H951=""),"사건번호·업무명 모두 없음; ","")&amp;IF(업무일지!$J951="","담당자 없음; ","")&amp;IF(COUNTIF(코드설정!$F$5:$F$7,업무일지!$AG951)=0,"진행상태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"&amp;업무일지!$H952)</f>
        <v/>
      </c>
      <c r="D984" s="45">
        <f>IF(NOT(COUNTBLANK(업무일지!$B952:$AH952)&lt;33),"",TRIM(IF(업무일지!$B952="","시작일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","")&amp;IF(COUNTIF(코드설정!$H$5:$H$7,업무일지!$D952)=0,"직무구분 누락; ","")&amp;IF(업무일지!$E952="","세부유형 누락; ",IF(AND(업무일지!$D952&lt;&gt;"",COUNTIFS(코드설정!$A$5:$A$21,업무일지!$D952,코드설정!$B$5:$B$21,업무일지!$E952)=0),"세부유형이 직무구분과 불일치; ",""))&amp;IF(AND(업무일지!$F952&lt;&gt;"",COUNTIF(사건마스터!$A$5:$A$64,업무일지!$F952)=0),"미등록 사건번호; ","")&amp;IF(AND(업무일지!$F952="",업무일지!$H952=""),"사건번호·업무명 모두 없음; ","")&amp;IF(업무일지!$J952="","담당자 없음; ","")&amp;IF(COUNTIF(코드설정!$F$5:$F$7,업무일지!$AG952)=0,"진행상태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"&amp;업무일지!$H953)</f>
        <v/>
      </c>
      <c r="D985" s="45">
        <f>IF(NOT(COUNTBLANK(업무일지!$B953:$AH953)&lt;33),"",TRIM(IF(업무일지!$B953="","시작일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","")&amp;IF(COUNTIF(코드설정!$H$5:$H$7,업무일지!$D953)=0,"직무구분 누락; ","")&amp;IF(업무일지!$E953="","세부유형 누락; ",IF(AND(업무일지!$D953&lt;&gt;"",COUNTIFS(코드설정!$A$5:$A$21,업무일지!$D953,코드설정!$B$5:$B$21,업무일지!$E953)=0),"세부유형이 직무구분과 불일치; ",""))&amp;IF(AND(업무일지!$F953&lt;&gt;"",COUNTIF(사건마스터!$A$5:$A$64,업무일지!$F953)=0),"미등록 사건번호; ","")&amp;IF(AND(업무일지!$F953="",업무일지!$H953=""),"사건번호·업무명 모두 없음; ","")&amp;IF(업무일지!$J953="","담당자 없음; ","")&amp;IF(COUNTIF(코드설정!$F$5:$F$7,업무일지!$AG953)=0,"진행상태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"&amp;업무일지!$H954)</f>
        <v/>
      </c>
      <c r="D986" s="45">
        <f>IF(NOT(COUNTBLANK(업무일지!$B954:$AH954)&lt;33),"",TRIM(IF(업무일지!$B954="","시작일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","")&amp;IF(COUNTIF(코드설정!$H$5:$H$7,업무일지!$D954)=0,"직무구분 누락; ","")&amp;IF(업무일지!$E954="","세부유형 누락; ",IF(AND(업무일지!$D954&lt;&gt;"",COUNTIFS(코드설정!$A$5:$A$21,업무일지!$D954,코드설정!$B$5:$B$21,업무일지!$E954)=0),"세부유형이 직무구분과 불일치; ",""))&amp;IF(AND(업무일지!$F954&lt;&gt;"",COUNTIF(사건마스터!$A$5:$A$64,업무일지!$F954)=0),"미등록 사건번호; ","")&amp;IF(AND(업무일지!$F954="",업무일지!$H954=""),"사건번호·업무명 모두 없음; ","")&amp;IF(업무일지!$J954="","담당자 없음; ","")&amp;IF(COUNTIF(코드설정!$F$5:$F$7,업무일지!$AG954)=0,"진행상태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"&amp;업무일지!$H955)</f>
        <v/>
      </c>
      <c r="D987" s="45">
        <f>IF(NOT(COUNTBLANK(업무일지!$B955:$AH955)&lt;33),"",TRIM(IF(업무일지!$B955="","시작일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","")&amp;IF(COUNTIF(코드설정!$H$5:$H$7,업무일지!$D955)=0,"직무구분 누락; ","")&amp;IF(업무일지!$E955="","세부유형 누락; ",IF(AND(업무일지!$D955&lt;&gt;"",COUNTIFS(코드설정!$A$5:$A$21,업무일지!$D955,코드설정!$B$5:$B$21,업무일지!$E955)=0),"세부유형이 직무구분과 불일치; ",""))&amp;IF(AND(업무일지!$F955&lt;&gt;"",COUNTIF(사건마스터!$A$5:$A$64,업무일지!$F955)=0),"미등록 사건번호; ","")&amp;IF(AND(업무일지!$F955="",업무일지!$H955=""),"사건번호·업무명 모두 없음; ","")&amp;IF(업무일지!$J955="","담당자 없음; ","")&amp;IF(COUNTIF(코드설정!$F$5:$F$7,업무일지!$AG955)=0,"진행상태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"&amp;업무일지!$H956)</f>
        <v/>
      </c>
      <c r="D988" s="45">
        <f>IF(NOT(COUNTBLANK(업무일지!$B956:$AH956)&lt;33),"",TRIM(IF(업무일지!$B956="","시작일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","")&amp;IF(COUNTIF(코드설정!$H$5:$H$7,업무일지!$D956)=0,"직무구분 누락; ","")&amp;IF(업무일지!$E956="","세부유형 누락; ",IF(AND(업무일지!$D956&lt;&gt;"",COUNTIFS(코드설정!$A$5:$A$21,업무일지!$D956,코드설정!$B$5:$B$21,업무일지!$E956)=0),"세부유형이 직무구분과 불일치; ",""))&amp;IF(AND(업무일지!$F956&lt;&gt;"",COUNTIF(사건마스터!$A$5:$A$64,업무일지!$F956)=0),"미등록 사건번호; ","")&amp;IF(AND(업무일지!$F956="",업무일지!$H956=""),"사건번호·업무명 모두 없음; ","")&amp;IF(업무일지!$J956="","담당자 없음; ","")&amp;IF(COUNTIF(코드설정!$F$5:$F$7,업무일지!$AG956)=0,"진행상태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"&amp;업무일지!$H957)</f>
        <v/>
      </c>
      <c r="D989" s="45">
        <f>IF(NOT(COUNTBLANK(업무일지!$B957:$AH957)&lt;33),"",TRIM(IF(업무일지!$B957="","시작일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","")&amp;IF(COUNTIF(코드설정!$H$5:$H$7,업무일지!$D957)=0,"직무구분 누락; ","")&amp;IF(업무일지!$E957="","세부유형 누락; ",IF(AND(업무일지!$D957&lt;&gt;"",COUNTIFS(코드설정!$A$5:$A$21,업무일지!$D957,코드설정!$B$5:$B$21,업무일지!$E957)=0),"세부유형이 직무구분과 불일치; ",""))&amp;IF(AND(업무일지!$F957&lt;&gt;"",COUNTIF(사건마스터!$A$5:$A$64,업무일지!$F957)=0),"미등록 사건번호; ","")&amp;IF(AND(업무일지!$F957="",업무일지!$H957=""),"사건번호·업무명 모두 없음; ","")&amp;IF(업무일지!$J957="","담당자 없음; ","")&amp;IF(COUNTIF(코드설정!$F$5:$F$7,업무일지!$AG957)=0,"진행상태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"&amp;업무일지!$H958)</f>
        <v/>
      </c>
      <c r="D990" s="45">
        <f>IF(NOT(COUNTBLANK(업무일지!$B958:$AH958)&lt;33),"",TRIM(IF(업무일지!$B958="","시작일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","")&amp;IF(COUNTIF(코드설정!$H$5:$H$7,업무일지!$D958)=0,"직무구분 누락; ","")&amp;IF(업무일지!$E958="","세부유형 누락; ",IF(AND(업무일지!$D958&lt;&gt;"",COUNTIFS(코드설정!$A$5:$A$21,업무일지!$D958,코드설정!$B$5:$B$21,업무일지!$E958)=0),"세부유형이 직무구분과 불일치; ",""))&amp;IF(AND(업무일지!$F958&lt;&gt;"",COUNTIF(사건마스터!$A$5:$A$64,업무일지!$F958)=0),"미등록 사건번호; ","")&amp;IF(AND(업무일지!$F958="",업무일지!$H958=""),"사건번호·업무명 모두 없음; ","")&amp;IF(업무일지!$J958="","담당자 없음; ","")&amp;IF(COUNTIF(코드설정!$F$5:$F$7,업무일지!$AG958)=0,"진행상태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"&amp;업무일지!$H959)</f>
        <v/>
      </c>
      <c r="D991" s="45">
        <f>IF(NOT(COUNTBLANK(업무일지!$B959:$AH959)&lt;33),"",TRIM(IF(업무일지!$B959="","시작일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","")&amp;IF(COUNTIF(코드설정!$H$5:$H$7,업무일지!$D959)=0,"직무구분 누락; ","")&amp;IF(업무일지!$E959="","세부유형 누락; ",IF(AND(업무일지!$D959&lt;&gt;"",COUNTIFS(코드설정!$A$5:$A$21,업무일지!$D959,코드설정!$B$5:$B$21,업무일지!$E959)=0),"세부유형이 직무구분과 불일치; ",""))&amp;IF(AND(업무일지!$F959&lt;&gt;"",COUNTIF(사건마스터!$A$5:$A$64,업무일지!$F959)=0),"미등록 사건번호; ","")&amp;IF(AND(업무일지!$F959="",업무일지!$H959=""),"사건번호·업무명 모두 없음; ","")&amp;IF(업무일지!$J959="","담당자 없음; ","")&amp;IF(COUNTIF(코드설정!$F$5:$F$7,업무일지!$AG959)=0,"진행상태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"&amp;업무일지!$H960)</f>
        <v/>
      </c>
      <c r="D992" s="45">
        <f>IF(NOT(COUNTBLANK(업무일지!$B960:$AH960)&lt;33),"",TRIM(IF(업무일지!$B960="","시작일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","")&amp;IF(COUNTIF(코드설정!$H$5:$H$7,업무일지!$D960)=0,"직무구분 누락; ","")&amp;IF(업무일지!$E960="","세부유형 누락; ",IF(AND(업무일지!$D960&lt;&gt;"",COUNTIFS(코드설정!$A$5:$A$21,업무일지!$D960,코드설정!$B$5:$B$21,업무일지!$E960)=0),"세부유형이 직무구분과 불일치; ",""))&amp;IF(AND(업무일지!$F960&lt;&gt;"",COUNTIF(사건마스터!$A$5:$A$64,업무일지!$F960)=0),"미등록 사건번호; ","")&amp;IF(AND(업무일지!$F960="",업무일지!$H960=""),"사건번호·업무명 모두 없음; ","")&amp;IF(업무일지!$J960="","담당자 없음; ","")&amp;IF(COUNTIF(코드설정!$F$5:$F$7,업무일지!$AG960)=0,"진행상태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"&amp;업무일지!$H961)</f>
        <v/>
      </c>
      <c r="D993" s="45">
        <f>IF(NOT(COUNTBLANK(업무일지!$B961:$AH961)&lt;33),"",TRIM(IF(업무일지!$B961="","시작일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","")&amp;IF(COUNTIF(코드설정!$H$5:$H$7,업무일지!$D961)=0,"직무구분 누락; ","")&amp;IF(업무일지!$E961="","세부유형 누락; ",IF(AND(업무일지!$D961&lt;&gt;"",COUNTIFS(코드설정!$A$5:$A$21,업무일지!$D961,코드설정!$B$5:$B$21,업무일지!$E961)=0),"세부유형이 직무구분과 불일치; ",""))&amp;IF(AND(업무일지!$F961&lt;&gt;"",COUNTIF(사건마스터!$A$5:$A$64,업무일지!$F961)=0),"미등록 사건번호; ","")&amp;IF(AND(업무일지!$F961="",업무일지!$H961=""),"사건번호·업무명 모두 없음; ","")&amp;IF(업무일지!$J961="","담당자 없음; ","")&amp;IF(COUNTIF(코드설정!$F$5:$F$7,업무일지!$AG961)=0,"진행상태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"&amp;업무일지!$H962)</f>
        <v/>
      </c>
      <c r="D994" s="45">
        <f>IF(NOT(COUNTBLANK(업무일지!$B962:$AH962)&lt;33),"",TRIM(IF(업무일지!$B962="","시작일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","")&amp;IF(COUNTIF(코드설정!$H$5:$H$7,업무일지!$D962)=0,"직무구분 누락; ","")&amp;IF(업무일지!$E962="","세부유형 누락; ",IF(AND(업무일지!$D962&lt;&gt;"",COUNTIFS(코드설정!$A$5:$A$21,업무일지!$D962,코드설정!$B$5:$B$21,업무일지!$E962)=0),"세부유형이 직무구분과 불일치; ",""))&amp;IF(AND(업무일지!$F962&lt;&gt;"",COUNTIF(사건마스터!$A$5:$A$64,업무일지!$F962)=0),"미등록 사건번호; ","")&amp;IF(AND(업무일지!$F962="",업무일지!$H962=""),"사건번호·업무명 모두 없음; ","")&amp;IF(업무일지!$J962="","담당자 없음; ","")&amp;IF(COUNTIF(코드설정!$F$5:$F$7,업무일지!$AG962)=0,"진행상태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"&amp;업무일지!$H963)</f>
        <v/>
      </c>
      <c r="D995" s="45">
        <f>IF(NOT(COUNTBLANK(업무일지!$B963:$AH963)&lt;33),"",TRIM(IF(업무일지!$B963="","시작일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","")&amp;IF(COUNTIF(코드설정!$H$5:$H$7,업무일지!$D963)=0,"직무구분 누락; ","")&amp;IF(업무일지!$E963="","세부유형 누락; ",IF(AND(업무일지!$D963&lt;&gt;"",COUNTIFS(코드설정!$A$5:$A$21,업무일지!$D963,코드설정!$B$5:$B$21,업무일지!$E963)=0),"세부유형이 직무구분과 불일치; ",""))&amp;IF(AND(업무일지!$F963&lt;&gt;"",COUNTIF(사건마스터!$A$5:$A$64,업무일지!$F963)=0),"미등록 사건번호; ","")&amp;IF(AND(업무일지!$F963="",업무일지!$H963=""),"사건번호·업무명 모두 없음; ","")&amp;IF(업무일지!$J963="","담당자 없음; ","")&amp;IF(COUNTIF(코드설정!$F$5:$F$7,업무일지!$AG963)=0,"진행상태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"&amp;업무일지!$H964)</f>
        <v/>
      </c>
      <c r="D996" s="45">
        <f>IF(NOT(COUNTBLANK(업무일지!$B964:$AH964)&lt;33),"",TRIM(IF(업무일지!$B964="","시작일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","")&amp;IF(COUNTIF(코드설정!$H$5:$H$7,업무일지!$D964)=0,"직무구분 누락; ","")&amp;IF(업무일지!$E964="","세부유형 누락; ",IF(AND(업무일지!$D964&lt;&gt;"",COUNTIFS(코드설정!$A$5:$A$21,업무일지!$D964,코드설정!$B$5:$B$21,업무일지!$E964)=0),"세부유형이 직무구분과 불일치; ",""))&amp;IF(AND(업무일지!$F964&lt;&gt;"",COUNTIF(사건마스터!$A$5:$A$64,업무일지!$F964)=0),"미등록 사건번호; ","")&amp;IF(AND(업무일지!$F964="",업무일지!$H964=""),"사건번호·업무명 모두 없음; ","")&amp;IF(업무일지!$J964="","담당자 없음; ","")&amp;IF(COUNTIF(코드설정!$F$5:$F$7,업무일지!$AG964)=0,"진행상태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"&amp;업무일지!$H965)</f>
        <v/>
      </c>
      <c r="D997" s="45">
        <f>IF(NOT(COUNTBLANK(업무일지!$B965:$AH965)&lt;33),"",TRIM(IF(업무일지!$B965="","시작일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","")&amp;IF(COUNTIF(코드설정!$H$5:$H$7,업무일지!$D965)=0,"직무구분 누락; ","")&amp;IF(업무일지!$E965="","세부유형 누락; ",IF(AND(업무일지!$D965&lt;&gt;"",COUNTIFS(코드설정!$A$5:$A$21,업무일지!$D965,코드설정!$B$5:$B$21,업무일지!$E965)=0),"세부유형이 직무구분과 불일치; ",""))&amp;IF(AND(업무일지!$F965&lt;&gt;"",COUNTIF(사건마스터!$A$5:$A$64,업무일지!$F965)=0),"미등록 사건번호; ","")&amp;IF(AND(업무일지!$F965="",업무일지!$H965=""),"사건번호·업무명 모두 없음; ","")&amp;IF(업무일지!$J965="","담당자 없음; ","")&amp;IF(COUNTIF(코드설정!$F$5:$F$7,업무일지!$AG965)=0,"진행상태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"&amp;업무일지!$H966)</f>
        <v/>
      </c>
      <c r="D998" s="45">
        <f>IF(NOT(COUNTBLANK(업무일지!$B966:$AH966)&lt;33),"",TRIM(IF(업무일지!$B966="","시작일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","")&amp;IF(COUNTIF(코드설정!$H$5:$H$7,업무일지!$D966)=0,"직무구분 누락; ","")&amp;IF(업무일지!$E966="","세부유형 누락; ",IF(AND(업무일지!$D966&lt;&gt;"",COUNTIFS(코드설정!$A$5:$A$21,업무일지!$D966,코드설정!$B$5:$B$21,업무일지!$E966)=0),"세부유형이 직무구분과 불일치; ",""))&amp;IF(AND(업무일지!$F966&lt;&gt;"",COUNTIF(사건마스터!$A$5:$A$64,업무일지!$F966)=0),"미등록 사건번호; ","")&amp;IF(AND(업무일지!$F966="",업무일지!$H966=""),"사건번호·업무명 모두 없음; ","")&amp;IF(업무일지!$J966="","담당자 없음; ","")&amp;IF(COUNTIF(코드설정!$F$5:$F$7,업무일지!$AG966)=0,"진행상태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"&amp;업무일지!$H967)</f>
        <v/>
      </c>
      <c r="D999" s="45">
        <f>IF(NOT(COUNTBLANK(업무일지!$B967:$AH967)&lt;33),"",TRIM(IF(업무일지!$B967="","시작일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","")&amp;IF(COUNTIF(코드설정!$H$5:$H$7,업무일지!$D967)=0,"직무구분 누락; ","")&amp;IF(업무일지!$E967="","세부유형 누락; ",IF(AND(업무일지!$D967&lt;&gt;"",COUNTIFS(코드설정!$A$5:$A$21,업무일지!$D967,코드설정!$B$5:$B$21,업무일지!$E967)=0),"세부유형이 직무구분과 불일치; ",""))&amp;IF(AND(업무일지!$F967&lt;&gt;"",COUNTIF(사건마스터!$A$5:$A$64,업무일지!$F967)=0),"미등록 사건번호; ","")&amp;IF(AND(업무일지!$F967="",업무일지!$H967=""),"사건번호·업무명 모두 없음; ","")&amp;IF(업무일지!$J967="","담당자 없음; ","")&amp;IF(COUNTIF(코드설정!$F$5:$F$7,업무일지!$AG967)=0,"진행상태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"&amp;업무일지!$H968)</f>
        <v/>
      </c>
      <c r="D1000" s="45">
        <f>IF(NOT(COUNTBLANK(업무일지!$B968:$AH968)&lt;33),"",TRIM(IF(업무일지!$B968="","시작일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","")&amp;IF(COUNTIF(코드설정!$H$5:$H$7,업무일지!$D968)=0,"직무구분 누락; ","")&amp;IF(업무일지!$E968="","세부유형 누락; ",IF(AND(업무일지!$D968&lt;&gt;"",COUNTIFS(코드설정!$A$5:$A$21,업무일지!$D968,코드설정!$B$5:$B$21,업무일지!$E968)=0),"세부유형이 직무구분과 불일치; ",""))&amp;IF(AND(업무일지!$F968&lt;&gt;"",COUNTIF(사건마스터!$A$5:$A$64,업무일지!$F968)=0),"미등록 사건번호; ","")&amp;IF(AND(업무일지!$F968="",업무일지!$H968=""),"사건번호·업무명 모두 없음; ","")&amp;IF(업무일지!$J968="","담당자 없음; ","")&amp;IF(COUNTIF(코드설정!$F$5:$F$7,업무일지!$AG968)=0,"진행상태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"&amp;업무일지!$H969)</f>
        <v/>
      </c>
      <c r="D1001" s="45">
        <f>IF(NOT(COUNTBLANK(업무일지!$B969:$AH969)&lt;33),"",TRIM(IF(업무일지!$B969="","시작일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","")&amp;IF(COUNTIF(코드설정!$H$5:$H$7,업무일지!$D969)=0,"직무구분 누락; ","")&amp;IF(업무일지!$E969="","세부유형 누락; ",IF(AND(업무일지!$D969&lt;&gt;"",COUNTIFS(코드설정!$A$5:$A$21,업무일지!$D969,코드설정!$B$5:$B$21,업무일지!$E969)=0),"세부유형이 직무구분과 불일치; ",""))&amp;IF(AND(업무일지!$F969&lt;&gt;"",COUNTIF(사건마스터!$A$5:$A$64,업무일지!$F969)=0),"미등록 사건번호; ","")&amp;IF(AND(업무일지!$F969="",업무일지!$H969=""),"사건번호·업무명 모두 없음; ","")&amp;IF(업무일지!$J969="","담당자 없음; ","")&amp;IF(COUNTIF(코드설정!$F$5:$F$7,업무일지!$AG969)=0,"진행상태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"&amp;업무일지!$H970)</f>
        <v/>
      </c>
      <c r="D1002" s="45">
        <f>IF(NOT(COUNTBLANK(업무일지!$B970:$AH970)&lt;33),"",TRIM(IF(업무일지!$B970="","시작일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","")&amp;IF(COUNTIF(코드설정!$H$5:$H$7,업무일지!$D970)=0,"직무구분 누락; ","")&amp;IF(업무일지!$E970="","세부유형 누락; ",IF(AND(업무일지!$D970&lt;&gt;"",COUNTIFS(코드설정!$A$5:$A$21,업무일지!$D970,코드설정!$B$5:$B$21,업무일지!$E970)=0),"세부유형이 직무구분과 불일치; ",""))&amp;IF(AND(업무일지!$F970&lt;&gt;"",COUNTIF(사건마스터!$A$5:$A$64,업무일지!$F970)=0),"미등록 사건번호; ","")&amp;IF(AND(업무일지!$F970="",업무일지!$H970=""),"사건번호·업무명 모두 없음; ","")&amp;IF(업무일지!$J970="","담당자 없음; ","")&amp;IF(COUNTIF(코드설정!$F$5:$F$7,업무일지!$AG970)=0,"진행상태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"&amp;업무일지!$H971)</f>
        <v/>
      </c>
      <c r="D1003" s="45">
        <f>IF(NOT(COUNTBLANK(업무일지!$B971:$AH971)&lt;33),"",TRIM(IF(업무일지!$B971="","시작일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","")&amp;IF(COUNTIF(코드설정!$H$5:$H$7,업무일지!$D971)=0,"직무구분 누락; ","")&amp;IF(업무일지!$E971="","세부유형 누락; ",IF(AND(업무일지!$D971&lt;&gt;"",COUNTIFS(코드설정!$A$5:$A$21,업무일지!$D971,코드설정!$B$5:$B$21,업무일지!$E971)=0),"세부유형이 직무구분과 불일치; ",""))&amp;IF(AND(업무일지!$F971&lt;&gt;"",COUNTIF(사건마스터!$A$5:$A$64,업무일지!$F971)=0),"미등록 사건번호; ","")&amp;IF(AND(업무일지!$F971="",업무일지!$H971=""),"사건번호·업무명 모두 없음; ","")&amp;IF(업무일지!$J971="","담당자 없음; ","")&amp;IF(COUNTIF(코드설정!$F$5:$F$7,업무일지!$AG971)=0,"진행상태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"&amp;업무일지!$H972)</f>
        <v/>
      </c>
      <c r="D1004" s="45">
        <f>IF(NOT(COUNTBLANK(업무일지!$B972:$AH972)&lt;33),"",TRIM(IF(업무일지!$B972="","시작일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","")&amp;IF(COUNTIF(코드설정!$H$5:$H$7,업무일지!$D972)=0,"직무구분 누락; ","")&amp;IF(업무일지!$E972="","세부유형 누락; ",IF(AND(업무일지!$D972&lt;&gt;"",COUNTIFS(코드설정!$A$5:$A$21,업무일지!$D972,코드설정!$B$5:$B$21,업무일지!$E972)=0),"세부유형이 직무구분과 불일치; ",""))&amp;IF(AND(업무일지!$F972&lt;&gt;"",COUNTIF(사건마스터!$A$5:$A$64,업무일지!$F972)=0),"미등록 사건번호; ","")&amp;IF(AND(업무일지!$F972="",업무일지!$H972=""),"사건번호·업무명 모두 없음; ","")&amp;IF(업무일지!$J972="","담당자 없음; ","")&amp;IF(COUNTIF(코드설정!$F$5:$F$7,업무일지!$AG972)=0,"진행상태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"&amp;업무일지!$H973)</f>
        <v/>
      </c>
      <c r="D1005" s="45">
        <f>IF(NOT(COUNTBLANK(업무일지!$B973:$AH973)&lt;33),"",TRIM(IF(업무일지!$B973="","시작일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","")&amp;IF(COUNTIF(코드설정!$H$5:$H$7,업무일지!$D973)=0,"직무구분 누락; ","")&amp;IF(업무일지!$E973="","세부유형 누락; ",IF(AND(업무일지!$D973&lt;&gt;"",COUNTIFS(코드설정!$A$5:$A$21,업무일지!$D973,코드설정!$B$5:$B$21,업무일지!$E973)=0),"세부유형이 직무구분과 불일치; ",""))&amp;IF(AND(업무일지!$F973&lt;&gt;"",COUNTIF(사건마스터!$A$5:$A$64,업무일지!$F973)=0),"미등록 사건번호; ","")&amp;IF(AND(업무일지!$F973="",업무일지!$H973=""),"사건번호·업무명 모두 없음; ","")&amp;IF(업무일지!$J973="","담당자 없음; ","")&amp;IF(COUNTIF(코드설정!$F$5:$F$7,업무일지!$AG973)=0,"진행상태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"&amp;업무일지!$H974)</f>
        <v/>
      </c>
      <c r="D1006" s="45">
        <f>IF(NOT(COUNTBLANK(업무일지!$B974:$AH974)&lt;33),"",TRIM(IF(업무일지!$B974="","시작일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","")&amp;IF(COUNTIF(코드설정!$H$5:$H$7,업무일지!$D974)=0,"직무구분 누락; ","")&amp;IF(업무일지!$E974="","세부유형 누락; ",IF(AND(업무일지!$D974&lt;&gt;"",COUNTIFS(코드설정!$A$5:$A$21,업무일지!$D974,코드설정!$B$5:$B$21,업무일지!$E974)=0),"세부유형이 직무구분과 불일치; ",""))&amp;IF(AND(업무일지!$F974&lt;&gt;"",COUNTIF(사건마스터!$A$5:$A$64,업무일지!$F974)=0),"미등록 사건번호; ","")&amp;IF(AND(업무일지!$F974="",업무일지!$H974=""),"사건번호·업무명 모두 없음; ","")&amp;IF(업무일지!$J974="","담당자 없음; ","")&amp;IF(COUNTIF(코드설정!$F$5:$F$7,업무일지!$AG974)=0,"진행상태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"&amp;업무일지!$H975)</f>
        <v/>
      </c>
      <c r="D1007" s="45">
        <f>IF(NOT(COUNTBLANK(업무일지!$B975:$AH975)&lt;33),"",TRIM(IF(업무일지!$B975="","시작일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","")&amp;IF(COUNTIF(코드설정!$H$5:$H$7,업무일지!$D975)=0,"직무구분 누락; ","")&amp;IF(업무일지!$E975="","세부유형 누락; ",IF(AND(업무일지!$D975&lt;&gt;"",COUNTIFS(코드설정!$A$5:$A$21,업무일지!$D975,코드설정!$B$5:$B$21,업무일지!$E975)=0),"세부유형이 직무구분과 불일치; ",""))&amp;IF(AND(업무일지!$F975&lt;&gt;"",COUNTIF(사건마스터!$A$5:$A$64,업무일지!$F975)=0),"미등록 사건번호; ","")&amp;IF(AND(업무일지!$F975="",업무일지!$H975=""),"사건번호·업무명 모두 없음; ","")&amp;IF(업무일지!$J975="","담당자 없음; ","")&amp;IF(COUNTIF(코드설정!$F$5:$F$7,업무일지!$AG975)=0,"진행상태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"&amp;업무일지!$H976)</f>
        <v/>
      </c>
      <c r="D1008" s="45">
        <f>IF(NOT(COUNTBLANK(업무일지!$B976:$AH976)&lt;33),"",TRIM(IF(업무일지!$B976="","시작일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","")&amp;IF(COUNTIF(코드설정!$H$5:$H$7,업무일지!$D976)=0,"직무구분 누락; ","")&amp;IF(업무일지!$E976="","세부유형 누락; ",IF(AND(업무일지!$D976&lt;&gt;"",COUNTIFS(코드설정!$A$5:$A$21,업무일지!$D976,코드설정!$B$5:$B$21,업무일지!$E976)=0),"세부유형이 직무구분과 불일치; ",""))&amp;IF(AND(업무일지!$F976&lt;&gt;"",COUNTIF(사건마스터!$A$5:$A$64,업무일지!$F976)=0),"미등록 사건번호; ","")&amp;IF(AND(업무일지!$F976="",업무일지!$H976=""),"사건번호·업무명 모두 없음; ","")&amp;IF(업무일지!$J976="","담당자 없음; ","")&amp;IF(COUNTIF(코드설정!$F$5:$F$7,업무일지!$AG976)=0,"진행상태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"&amp;업무일지!$H977)</f>
        <v/>
      </c>
      <c r="D1009" s="45">
        <f>IF(NOT(COUNTBLANK(업무일지!$B977:$AH977)&lt;33),"",TRIM(IF(업무일지!$B977="","시작일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","")&amp;IF(COUNTIF(코드설정!$H$5:$H$7,업무일지!$D977)=0,"직무구분 누락; ","")&amp;IF(업무일지!$E977="","세부유형 누락; ",IF(AND(업무일지!$D977&lt;&gt;"",COUNTIFS(코드설정!$A$5:$A$21,업무일지!$D977,코드설정!$B$5:$B$21,업무일지!$E977)=0),"세부유형이 직무구분과 불일치; ",""))&amp;IF(AND(업무일지!$F977&lt;&gt;"",COUNTIF(사건마스터!$A$5:$A$64,업무일지!$F977)=0),"미등록 사건번호; ","")&amp;IF(AND(업무일지!$F977="",업무일지!$H977=""),"사건번호·업무명 모두 없음; ","")&amp;IF(업무일지!$J977="","담당자 없음; ","")&amp;IF(COUNTIF(코드설정!$F$5:$F$7,업무일지!$AG977)=0,"진행상태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"&amp;업무일지!$H978)</f>
        <v/>
      </c>
      <c r="D1010" s="45">
        <f>IF(NOT(COUNTBLANK(업무일지!$B978:$AH978)&lt;33),"",TRIM(IF(업무일지!$B978="","시작일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","")&amp;IF(COUNTIF(코드설정!$H$5:$H$7,업무일지!$D978)=0,"직무구분 누락; ","")&amp;IF(업무일지!$E978="","세부유형 누락; ",IF(AND(업무일지!$D978&lt;&gt;"",COUNTIFS(코드설정!$A$5:$A$21,업무일지!$D978,코드설정!$B$5:$B$21,업무일지!$E978)=0),"세부유형이 직무구분과 불일치; ",""))&amp;IF(AND(업무일지!$F978&lt;&gt;"",COUNTIF(사건마스터!$A$5:$A$64,업무일지!$F978)=0),"미등록 사건번호; ","")&amp;IF(AND(업무일지!$F978="",업무일지!$H978=""),"사건번호·업무명 모두 없음; ","")&amp;IF(업무일지!$J978="","담당자 없음; ","")&amp;IF(COUNTIF(코드설정!$F$5:$F$7,업무일지!$AG978)=0,"진행상태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"&amp;업무일지!$H979)</f>
        <v/>
      </c>
      <c r="D1011" s="45">
        <f>IF(NOT(COUNTBLANK(업무일지!$B979:$AH979)&lt;33),"",TRIM(IF(업무일지!$B979="","시작일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","")&amp;IF(COUNTIF(코드설정!$H$5:$H$7,업무일지!$D979)=0,"직무구분 누락; ","")&amp;IF(업무일지!$E979="","세부유형 누락; ",IF(AND(업무일지!$D979&lt;&gt;"",COUNTIFS(코드설정!$A$5:$A$21,업무일지!$D979,코드설정!$B$5:$B$21,업무일지!$E979)=0),"세부유형이 직무구분과 불일치; ",""))&amp;IF(AND(업무일지!$F979&lt;&gt;"",COUNTIF(사건마스터!$A$5:$A$64,업무일지!$F979)=0),"미등록 사건번호; ","")&amp;IF(AND(업무일지!$F979="",업무일지!$H979=""),"사건번호·업무명 모두 없음; ","")&amp;IF(업무일지!$J979="","담당자 없음; ","")&amp;IF(COUNTIF(코드설정!$F$5:$F$7,업무일지!$AG979)=0,"진행상태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"&amp;업무일지!$H980)</f>
        <v/>
      </c>
      <c r="D1012" s="45">
        <f>IF(NOT(COUNTBLANK(업무일지!$B980:$AH980)&lt;33),"",TRIM(IF(업무일지!$B980="","시작일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","")&amp;IF(COUNTIF(코드설정!$H$5:$H$7,업무일지!$D980)=0,"직무구분 누락; ","")&amp;IF(업무일지!$E980="","세부유형 누락; ",IF(AND(업무일지!$D980&lt;&gt;"",COUNTIFS(코드설정!$A$5:$A$21,업무일지!$D980,코드설정!$B$5:$B$21,업무일지!$E980)=0),"세부유형이 직무구분과 불일치; ",""))&amp;IF(AND(업무일지!$F980&lt;&gt;"",COUNTIF(사건마스터!$A$5:$A$64,업무일지!$F980)=0),"미등록 사건번호; ","")&amp;IF(AND(업무일지!$F980="",업무일지!$H980=""),"사건번호·업무명 모두 없음; ","")&amp;IF(업무일지!$J980="","담당자 없음; ","")&amp;IF(COUNTIF(코드설정!$F$5:$F$7,업무일지!$AG980)=0,"진행상태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"&amp;업무일지!$H981)</f>
        <v/>
      </c>
      <c r="D1013" s="45">
        <f>IF(NOT(COUNTBLANK(업무일지!$B981:$AH981)&lt;33),"",TRIM(IF(업무일지!$B981="","시작일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","")&amp;IF(COUNTIF(코드설정!$H$5:$H$7,업무일지!$D981)=0,"직무구분 누락; ","")&amp;IF(업무일지!$E981="","세부유형 누락; ",IF(AND(업무일지!$D981&lt;&gt;"",COUNTIFS(코드설정!$A$5:$A$21,업무일지!$D981,코드설정!$B$5:$B$21,업무일지!$E981)=0),"세부유형이 직무구분과 불일치; ",""))&amp;IF(AND(업무일지!$F981&lt;&gt;"",COUNTIF(사건마스터!$A$5:$A$64,업무일지!$F981)=0),"미등록 사건번호; ","")&amp;IF(AND(업무일지!$F981="",업무일지!$H981=""),"사건번호·업무명 모두 없음; ","")&amp;IF(업무일지!$J981="","담당자 없음; ","")&amp;IF(COUNTIF(코드설정!$F$5:$F$7,업무일지!$AG981)=0,"진행상태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"&amp;업무일지!$H982)</f>
        <v/>
      </c>
      <c r="D1014" s="45">
        <f>IF(NOT(COUNTBLANK(업무일지!$B982:$AH982)&lt;33),"",TRIM(IF(업무일지!$B982="","시작일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","")&amp;IF(COUNTIF(코드설정!$H$5:$H$7,업무일지!$D982)=0,"직무구분 누락; ","")&amp;IF(업무일지!$E982="","세부유형 누락; ",IF(AND(업무일지!$D982&lt;&gt;"",COUNTIFS(코드설정!$A$5:$A$21,업무일지!$D982,코드설정!$B$5:$B$21,업무일지!$E982)=0),"세부유형이 직무구분과 불일치; ",""))&amp;IF(AND(업무일지!$F982&lt;&gt;"",COUNTIF(사건마스터!$A$5:$A$64,업무일지!$F982)=0),"미등록 사건번호; ","")&amp;IF(AND(업무일지!$F982="",업무일지!$H982=""),"사건번호·업무명 모두 없음; ","")&amp;IF(업무일지!$J982="","담당자 없음; ","")&amp;IF(COUNTIF(코드설정!$F$5:$F$7,업무일지!$AG982)=0,"진행상태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"&amp;업무일지!$H983)</f>
        <v/>
      </c>
      <c r="D1015" s="45">
        <f>IF(NOT(COUNTBLANK(업무일지!$B983:$AH983)&lt;33),"",TRIM(IF(업무일지!$B983="","시작일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","")&amp;IF(COUNTIF(코드설정!$H$5:$H$7,업무일지!$D983)=0,"직무구분 누락; ","")&amp;IF(업무일지!$E983="","세부유형 누락; ",IF(AND(업무일지!$D983&lt;&gt;"",COUNTIFS(코드설정!$A$5:$A$21,업무일지!$D983,코드설정!$B$5:$B$21,업무일지!$E983)=0),"세부유형이 직무구분과 불일치; ",""))&amp;IF(AND(업무일지!$F983&lt;&gt;"",COUNTIF(사건마스터!$A$5:$A$64,업무일지!$F983)=0),"미등록 사건번호; ","")&amp;IF(AND(업무일지!$F983="",업무일지!$H983=""),"사건번호·업무명 모두 없음; ","")&amp;IF(업무일지!$J983="","담당자 없음; ","")&amp;IF(COUNTIF(코드설정!$F$5:$F$7,업무일지!$AG983)=0,"진행상태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"&amp;업무일지!$H984)</f>
        <v/>
      </c>
      <c r="D1016" s="45">
        <f>IF(NOT(COUNTBLANK(업무일지!$B984:$AH984)&lt;33),"",TRIM(IF(업무일지!$B984="","시작일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","")&amp;IF(COUNTIF(코드설정!$H$5:$H$7,업무일지!$D984)=0,"직무구분 누락; ","")&amp;IF(업무일지!$E984="","세부유형 누락; ",IF(AND(업무일지!$D984&lt;&gt;"",COUNTIFS(코드설정!$A$5:$A$21,업무일지!$D984,코드설정!$B$5:$B$21,업무일지!$E984)=0),"세부유형이 직무구분과 불일치; ",""))&amp;IF(AND(업무일지!$F984&lt;&gt;"",COUNTIF(사건마스터!$A$5:$A$64,업무일지!$F984)=0),"미등록 사건번호; ","")&amp;IF(AND(업무일지!$F984="",업무일지!$H984=""),"사건번호·업무명 모두 없음; ","")&amp;IF(업무일지!$J984="","담당자 없음; ","")&amp;IF(COUNTIF(코드설정!$F$5:$F$7,업무일지!$AG984)=0,"진행상태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"&amp;업무일지!$H985)</f>
        <v/>
      </c>
      <c r="D1017" s="45">
        <f>IF(NOT(COUNTBLANK(업무일지!$B985:$AH985)&lt;33),"",TRIM(IF(업무일지!$B985="","시작일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","")&amp;IF(COUNTIF(코드설정!$H$5:$H$7,업무일지!$D985)=0,"직무구분 누락; ","")&amp;IF(업무일지!$E985="","세부유형 누락; ",IF(AND(업무일지!$D985&lt;&gt;"",COUNTIFS(코드설정!$A$5:$A$21,업무일지!$D985,코드설정!$B$5:$B$21,업무일지!$E985)=0),"세부유형이 직무구분과 불일치; ",""))&amp;IF(AND(업무일지!$F985&lt;&gt;"",COUNTIF(사건마스터!$A$5:$A$64,업무일지!$F985)=0),"미등록 사건번호; ","")&amp;IF(AND(업무일지!$F985="",업무일지!$H985=""),"사건번호·업무명 모두 없음; ","")&amp;IF(업무일지!$J985="","담당자 없음; ","")&amp;IF(COUNTIF(코드설정!$F$5:$F$7,업무일지!$AG985)=0,"진행상태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"&amp;업무일지!$H986)</f>
        <v/>
      </c>
      <c r="D1018" s="45">
        <f>IF(NOT(COUNTBLANK(업무일지!$B986:$AH986)&lt;33),"",TRIM(IF(업무일지!$B986="","시작일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","")&amp;IF(COUNTIF(코드설정!$H$5:$H$7,업무일지!$D986)=0,"직무구분 누락; ","")&amp;IF(업무일지!$E986="","세부유형 누락; ",IF(AND(업무일지!$D986&lt;&gt;"",COUNTIFS(코드설정!$A$5:$A$21,업무일지!$D986,코드설정!$B$5:$B$21,업무일지!$E986)=0),"세부유형이 직무구분과 불일치; ",""))&amp;IF(AND(업무일지!$F986&lt;&gt;"",COUNTIF(사건마스터!$A$5:$A$64,업무일지!$F986)=0),"미등록 사건번호; ","")&amp;IF(AND(업무일지!$F986="",업무일지!$H986=""),"사건번호·업무명 모두 없음; ","")&amp;IF(업무일지!$J986="","담당자 없음; ","")&amp;IF(COUNTIF(코드설정!$F$5:$F$7,업무일지!$AG986)=0,"진행상태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"&amp;업무일지!$H987)</f>
        <v/>
      </c>
      <c r="D1019" s="45">
        <f>IF(NOT(COUNTBLANK(업무일지!$B987:$AH987)&lt;33),"",TRIM(IF(업무일지!$B987="","시작일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","")&amp;IF(COUNTIF(코드설정!$H$5:$H$7,업무일지!$D987)=0,"직무구분 누락; ","")&amp;IF(업무일지!$E987="","세부유형 누락; ",IF(AND(업무일지!$D987&lt;&gt;"",COUNTIFS(코드설정!$A$5:$A$21,업무일지!$D987,코드설정!$B$5:$B$21,업무일지!$E987)=0),"세부유형이 직무구분과 불일치; ",""))&amp;IF(AND(업무일지!$F987&lt;&gt;"",COUNTIF(사건마스터!$A$5:$A$64,업무일지!$F987)=0),"미등록 사건번호; ","")&amp;IF(AND(업무일지!$F987="",업무일지!$H987=""),"사건번호·업무명 모두 없음; ","")&amp;IF(업무일지!$J987="","담당자 없음; ","")&amp;IF(COUNTIF(코드설정!$F$5:$F$7,업무일지!$AG987)=0,"진행상태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"&amp;업무일지!$H988)</f>
        <v/>
      </c>
      <c r="D1020" s="45">
        <f>IF(NOT(COUNTBLANK(업무일지!$B988:$AH988)&lt;33),"",TRIM(IF(업무일지!$B988="","시작일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","")&amp;IF(COUNTIF(코드설정!$H$5:$H$7,업무일지!$D988)=0,"직무구분 누락; ","")&amp;IF(업무일지!$E988="","세부유형 누락; ",IF(AND(업무일지!$D988&lt;&gt;"",COUNTIFS(코드설정!$A$5:$A$21,업무일지!$D988,코드설정!$B$5:$B$21,업무일지!$E988)=0),"세부유형이 직무구분과 불일치; ",""))&amp;IF(AND(업무일지!$F988&lt;&gt;"",COUNTIF(사건마스터!$A$5:$A$64,업무일지!$F988)=0),"미등록 사건번호; ","")&amp;IF(AND(업무일지!$F988="",업무일지!$H988=""),"사건번호·업무명 모두 없음; ","")&amp;IF(업무일지!$J988="","담당자 없음; ","")&amp;IF(COUNTIF(코드설정!$F$5:$F$7,업무일지!$AG988)=0,"진행상태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"&amp;업무일지!$H989)</f>
        <v/>
      </c>
      <c r="D1021" s="45">
        <f>IF(NOT(COUNTBLANK(업무일지!$B989:$AH989)&lt;33),"",TRIM(IF(업무일지!$B989="","시작일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","")&amp;IF(COUNTIF(코드설정!$H$5:$H$7,업무일지!$D989)=0,"직무구분 누락; ","")&amp;IF(업무일지!$E989="","세부유형 누락; ",IF(AND(업무일지!$D989&lt;&gt;"",COUNTIFS(코드설정!$A$5:$A$21,업무일지!$D989,코드설정!$B$5:$B$21,업무일지!$E989)=0),"세부유형이 직무구분과 불일치; ",""))&amp;IF(AND(업무일지!$F989&lt;&gt;"",COUNTIF(사건마스터!$A$5:$A$64,업무일지!$F989)=0),"미등록 사건번호; ","")&amp;IF(AND(업무일지!$F989="",업무일지!$H989=""),"사건번호·업무명 모두 없음; ","")&amp;IF(업무일지!$J989="","담당자 없음; ","")&amp;IF(COUNTIF(코드설정!$F$5:$F$7,업무일지!$AG989)=0,"진행상태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"&amp;업무일지!$H990)</f>
        <v/>
      </c>
      <c r="D1022" s="45">
        <f>IF(NOT(COUNTBLANK(업무일지!$B990:$AH990)&lt;33),"",TRIM(IF(업무일지!$B990="","시작일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","")&amp;IF(COUNTIF(코드설정!$H$5:$H$7,업무일지!$D990)=0,"직무구분 누락; ","")&amp;IF(업무일지!$E990="","세부유형 누락; ",IF(AND(업무일지!$D990&lt;&gt;"",COUNTIFS(코드설정!$A$5:$A$21,업무일지!$D990,코드설정!$B$5:$B$21,업무일지!$E990)=0),"세부유형이 직무구분과 불일치; ",""))&amp;IF(AND(업무일지!$F990&lt;&gt;"",COUNTIF(사건마스터!$A$5:$A$64,업무일지!$F990)=0),"미등록 사건번호; ","")&amp;IF(AND(업무일지!$F990="",업무일지!$H990=""),"사건번호·업무명 모두 없음; ","")&amp;IF(업무일지!$J990="","담당자 없음; ","")&amp;IF(COUNTIF(코드설정!$F$5:$F$7,업무일지!$AG990)=0,"진행상태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"&amp;업무일지!$H991)</f>
        <v/>
      </c>
      <c r="D1023" s="45">
        <f>IF(NOT(COUNTBLANK(업무일지!$B991:$AH991)&lt;33),"",TRIM(IF(업무일지!$B991="","시작일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","")&amp;IF(COUNTIF(코드설정!$H$5:$H$7,업무일지!$D991)=0,"직무구분 누락; ","")&amp;IF(업무일지!$E991="","세부유형 누락; ",IF(AND(업무일지!$D991&lt;&gt;"",COUNTIFS(코드설정!$A$5:$A$21,업무일지!$D991,코드설정!$B$5:$B$21,업무일지!$E991)=0),"세부유형이 직무구분과 불일치; ",""))&amp;IF(AND(업무일지!$F991&lt;&gt;"",COUNTIF(사건마스터!$A$5:$A$64,업무일지!$F991)=0),"미등록 사건번호; ","")&amp;IF(AND(업무일지!$F991="",업무일지!$H991=""),"사건번호·업무명 모두 없음; ","")&amp;IF(업무일지!$J991="","담당자 없음; ","")&amp;IF(COUNTIF(코드설정!$F$5:$F$7,업무일지!$AG991)=0,"진행상태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"&amp;업무일지!$H992)</f>
        <v/>
      </c>
      <c r="D1024" s="45">
        <f>IF(NOT(COUNTBLANK(업무일지!$B992:$AH992)&lt;33),"",TRIM(IF(업무일지!$B992="","시작일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","")&amp;IF(COUNTIF(코드설정!$H$5:$H$7,업무일지!$D992)=0,"직무구분 누락; ","")&amp;IF(업무일지!$E992="","세부유형 누락; ",IF(AND(업무일지!$D992&lt;&gt;"",COUNTIFS(코드설정!$A$5:$A$21,업무일지!$D992,코드설정!$B$5:$B$21,업무일지!$E992)=0),"세부유형이 직무구분과 불일치; ",""))&amp;IF(AND(업무일지!$F992&lt;&gt;"",COUNTIF(사건마스터!$A$5:$A$64,업무일지!$F992)=0),"미등록 사건번호; ","")&amp;IF(AND(업무일지!$F992="",업무일지!$H992=""),"사건번호·업무명 모두 없음; ","")&amp;IF(업무일지!$J992="","담당자 없음; ","")&amp;IF(COUNTIF(코드설정!$F$5:$F$7,업무일지!$AG992)=0,"진행상태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"&amp;업무일지!$H993)</f>
        <v/>
      </c>
      <c r="D1025" s="45">
        <f>IF(NOT(COUNTBLANK(업무일지!$B993:$AH993)&lt;33),"",TRIM(IF(업무일지!$B993="","시작일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","")&amp;IF(COUNTIF(코드설정!$H$5:$H$7,업무일지!$D993)=0,"직무구분 누락; ","")&amp;IF(업무일지!$E993="","세부유형 누락; ",IF(AND(업무일지!$D993&lt;&gt;"",COUNTIFS(코드설정!$A$5:$A$21,업무일지!$D993,코드설정!$B$5:$B$21,업무일지!$E993)=0),"세부유형이 직무구분과 불일치; ",""))&amp;IF(AND(업무일지!$F993&lt;&gt;"",COUNTIF(사건마스터!$A$5:$A$64,업무일지!$F993)=0),"미등록 사건번호; ","")&amp;IF(AND(업무일지!$F993="",업무일지!$H993=""),"사건번호·업무명 모두 없음; ","")&amp;IF(업무일지!$J993="","담당자 없음; ","")&amp;IF(COUNTIF(코드설정!$F$5:$F$7,업무일지!$AG993)=0,"진행상태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"&amp;업무일지!$H994)</f>
        <v/>
      </c>
      <c r="D1026" s="45">
        <f>IF(NOT(COUNTBLANK(업무일지!$B994:$AH994)&lt;33),"",TRIM(IF(업무일지!$B994="","시작일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","")&amp;IF(COUNTIF(코드설정!$H$5:$H$7,업무일지!$D994)=0,"직무구분 누락; ","")&amp;IF(업무일지!$E994="","세부유형 누락; ",IF(AND(업무일지!$D994&lt;&gt;"",COUNTIFS(코드설정!$A$5:$A$21,업무일지!$D994,코드설정!$B$5:$B$21,업무일지!$E994)=0),"세부유형이 직무구분과 불일치; ",""))&amp;IF(AND(업무일지!$F994&lt;&gt;"",COUNTIF(사건마스터!$A$5:$A$64,업무일지!$F994)=0),"미등록 사건번호; ","")&amp;IF(AND(업무일지!$F994="",업무일지!$H994=""),"사건번호·업무명 모두 없음; ","")&amp;IF(업무일지!$J994="","담당자 없음; ","")&amp;IF(COUNTIF(코드설정!$F$5:$F$7,업무일지!$AG994)=0,"진행상태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"&amp;업무일지!$H995)</f>
        <v/>
      </c>
      <c r="D1027" s="45">
        <f>IF(NOT(COUNTBLANK(업무일지!$B995:$AH995)&lt;33),"",TRIM(IF(업무일지!$B995="","시작일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","")&amp;IF(COUNTIF(코드설정!$H$5:$H$7,업무일지!$D995)=0,"직무구분 누락; ","")&amp;IF(업무일지!$E995="","세부유형 누락; ",IF(AND(업무일지!$D995&lt;&gt;"",COUNTIFS(코드설정!$A$5:$A$21,업무일지!$D995,코드설정!$B$5:$B$21,업무일지!$E995)=0),"세부유형이 직무구분과 불일치; ",""))&amp;IF(AND(업무일지!$F995&lt;&gt;"",COUNTIF(사건마스터!$A$5:$A$64,업무일지!$F995)=0),"미등록 사건번호; ","")&amp;IF(AND(업무일지!$F995="",업무일지!$H995=""),"사건번호·업무명 모두 없음; ","")&amp;IF(업무일지!$J995="","담당자 없음; ","")&amp;IF(COUNTIF(코드설정!$F$5:$F$7,업무일지!$AG995)=0,"진행상태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"&amp;업무일지!$H996)</f>
        <v/>
      </c>
      <c r="D1028" s="45">
        <f>IF(NOT(COUNTBLANK(업무일지!$B996:$AH996)&lt;33),"",TRIM(IF(업무일지!$B996="","시작일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","")&amp;IF(COUNTIF(코드설정!$H$5:$H$7,업무일지!$D996)=0,"직무구분 누락; ","")&amp;IF(업무일지!$E996="","세부유형 누락; ",IF(AND(업무일지!$D996&lt;&gt;"",COUNTIFS(코드설정!$A$5:$A$21,업무일지!$D996,코드설정!$B$5:$B$21,업무일지!$E996)=0),"세부유형이 직무구분과 불일치; ",""))&amp;IF(AND(업무일지!$F996&lt;&gt;"",COUNTIF(사건마스터!$A$5:$A$64,업무일지!$F996)=0),"미등록 사건번호; ","")&amp;IF(AND(업무일지!$F996="",업무일지!$H996=""),"사건번호·업무명 모두 없음; ","")&amp;IF(업무일지!$J996="","담당자 없음; ","")&amp;IF(COUNTIF(코드설정!$F$5:$F$7,업무일지!$AG996)=0,"진행상태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"&amp;업무일지!$H997)</f>
        <v/>
      </c>
      <c r="D1029" s="45">
        <f>IF(NOT(COUNTBLANK(업무일지!$B997:$AH997)&lt;33),"",TRIM(IF(업무일지!$B997="","시작일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","")&amp;IF(COUNTIF(코드설정!$H$5:$H$7,업무일지!$D997)=0,"직무구분 누락; ","")&amp;IF(업무일지!$E997="","세부유형 누락; ",IF(AND(업무일지!$D997&lt;&gt;"",COUNTIFS(코드설정!$A$5:$A$21,업무일지!$D997,코드설정!$B$5:$B$21,업무일지!$E997)=0),"세부유형이 직무구분과 불일치; ",""))&amp;IF(AND(업무일지!$F997&lt;&gt;"",COUNTIF(사건마스터!$A$5:$A$64,업무일지!$F997)=0),"미등록 사건번호; ","")&amp;IF(AND(업무일지!$F997="",업무일지!$H997=""),"사건번호·업무명 모두 없음; ","")&amp;IF(업무일지!$J997="","담당자 없음; ","")&amp;IF(COUNTIF(코드설정!$F$5:$F$7,업무일지!$AG997)=0,"진행상태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"&amp;업무일지!$H998)</f>
        <v/>
      </c>
      <c r="D1030" s="45">
        <f>IF(NOT(COUNTBLANK(업무일지!$B998:$AH998)&lt;33),"",TRIM(IF(업무일지!$B998="","시작일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","")&amp;IF(COUNTIF(코드설정!$H$5:$H$7,업무일지!$D998)=0,"직무구분 누락; ","")&amp;IF(업무일지!$E998="","세부유형 누락; ",IF(AND(업무일지!$D998&lt;&gt;"",COUNTIFS(코드설정!$A$5:$A$21,업무일지!$D998,코드설정!$B$5:$B$21,업무일지!$E998)=0),"세부유형이 직무구분과 불일치; ",""))&amp;IF(AND(업무일지!$F998&lt;&gt;"",COUNTIF(사건마스터!$A$5:$A$64,업무일지!$F998)=0),"미등록 사건번호; ","")&amp;IF(AND(업무일지!$F998="",업무일지!$H998=""),"사건번호·업무명 모두 없음; ","")&amp;IF(업무일지!$J998="","담당자 없음; ","")&amp;IF(COUNTIF(코드설정!$F$5:$F$7,업무일지!$AG998)=0,"진행상태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"&amp;업무일지!$H999)</f>
        <v/>
      </c>
      <c r="D1031" s="45">
        <f>IF(NOT(COUNTBLANK(업무일지!$B999:$AH999)&lt;33),"",TRIM(IF(업무일지!$B999="","시작일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","")&amp;IF(COUNTIF(코드설정!$H$5:$H$7,업무일지!$D999)=0,"직무구분 누락; ","")&amp;IF(업무일지!$E999="","세부유형 누락; ",IF(AND(업무일지!$D999&lt;&gt;"",COUNTIFS(코드설정!$A$5:$A$21,업무일지!$D999,코드설정!$B$5:$B$21,업무일지!$E999)=0),"세부유형이 직무구분과 불일치; ",""))&amp;IF(AND(업무일지!$F999&lt;&gt;"",COUNTIF(사건마스터!$A$5:$A$64,업무일지!$F999)=0),"미등록 사건번호; ","")&amp;IF(AND(업무일지!$F999="",업무일지!$H999=""),"사건번호·업무명 모두 없음; ","")&amp;IF(업무일지!$J999="","담당자 없음; ","")&amp;IF(COUNTIF(코드설정!$F$5:$F$7,업무일지!$AG999)=0,"진행상태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"&amp;업무일지!$H1000)</f>
        <v/>
      </c>
      <c r="D1032" s="45">
        <f>IF(NOT(COUNTBLANK(업무일지!$B1000:$AH1000)&lt;33),"",TRIM(IF(업무일지!$B1000="","시작일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","")&amp;IF(COUNTIF(코드설정!$H$5:$H$7,업무일지!$D1000)=0,"직무구분 누락; ","")&amp;IF(업무일지!$E1000="","세부유형 누락; ",IF(AND(업무일지!$D1000&lt;&gt;"",COUNTIFS(코드설정!$A$5:$A$21,업무일지!$D1000,코드설정!$B$5:$B$21,업무일지!$E1000)=0),"세부유형이 직무구분과 불일치; ",""))&amp;IF(AND(업무일지!$F1000&lt;&gt;"",COUNTIF(사건마스터!$A$5:$A$64,업무일지!$F1000)=0),"미등록 사건번호; ","")&amp;IF(AND(업무일지!$F1000="",업무일지!$H1000=""),"사건번호·업무명 모두 없음; ","")&amp;IF(업무일지!$J1000="","담당자 없음; ","")&amp;IF(COUNTIF(코드설정!$F$5:$F$7,업무일지!$AG1000)=0,"진행상태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"&amp;업무일지!$H1001)</f>
        <v/>
      </c>
      <c r="D1033" s="45">
        <f>IF(NOT(COUNTBLANK(업무일지!$B1001:$AH1001)&lt;33),"",TRIM(IF(업무일지!$B1001="","시작일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","")&amp;IF(COUNTIF(코드설정!$H$5:$H$7,업무일지!$D1001)=0,"직무구분 누락; ","")&amp;IF(업무일지!$E1001="","세부유형 누락; ",IF(AND(업무일지!$D1001&lt;&gt;"",COUNTIFS(코드설정!$A$5:$A$21,업무일지!$D1001,코드설정!$B$5:$B$21,업무일지!$E1001)=0),"세부유형이 직무구분과 불일치; ",""))&amp;IF(AND(업무일지!$F1001&lt;&gt;"",COUNTIF(사건마스터!$A$5:$A$64,업무일지!$F1001)=0),"미등록 사건번호; ","")&amp;IF(AND(업무일지!$F1001="",업무일지!$H1001=""),"사건번호·업무명 모두 없음; ","")&amp;IF(업무일지!$J1001="","담당자 없음; ","")&amp;IF(COUNTIF(코드설정!$F$5:$F$7,업무일지!$AG1001)=0,"진행상태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"&amp;업무일지!$H1002)</f>
        <v/>
      </c>
      <c r="D1034" s="45">
        <f>IF(NOT(COUNTBLANK(업무일지!$B1002:$AH1002)&lt;33),"",TRIM(IF(업무일지!$B1002="","시작일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","")&amp;IF(COUNTIF(코드설정!$H$5:$H$7,업무일지!$D1002)=0,"직무구분 누락; ","")&amp;IF(업무일지!$E1002="","세부유형 누락; ",IF(AND(업무일지!$D1002&lt;&gt;"",COUNTIFS(코드설정!$A$5:$A$21,업무일지!$D1002,코드설정!$B$5:$B$21,업무일지!$E1002)=0),"세부유형이 직무구분과 불일치; ",""))&amp;IF(AND(업무일지!$F1002&lt;&gt;"",COUNTIF(사건마스터!$A$5:$A$64,업무일지!$F1002)=0),"미등록 사건번호; ","")&amp;IF(AND(업무일지!$F1002="",업무일지!$H1002=""),"사건번호·업무명 모두 없음; ","")&amp;IF(업무일지!$J1002="","담당자 없음; ","")&amp;IF(COUNTIF(코드설정!$F$5:$F$7,업무일지!$AG1002)=0,"진행상태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"&amp;업무일지!$H1003)</f>
        <v/>
      </c>
      <c r="D1035" s="45">
        <f>IF(NOT(COUNTBLANK(업무일지!$B1003:$AH1003)&lt;33),"",TRIM(IF(업무일지!$B1003="","시작일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","")&amp;IF(COUNTIF(코드설정!$H$5:$H$7,업무일지!$D1003)=0,"직무구분 누락; ","")&amp;IF(업무일지!$E1003="","세부유형 누락; ",IF(AND(업무일지!$D1003&lt;&gt;"",COUNTIFS(코드설정!$A$5:$A$21,업무일지!$D1003,코드설정!$B$5:$B$21,업무일지!$E1003)=0),"세부유형이 직무구분과 불일치; ",""))&amp;IF(AND(업무일지!$F1003&lt;&gt;"",COUNTIF(사건마스터!$A$5:$A$64,업무일지!$F1003)=0),"미등록 사건번호; ","")&amp;IF(AND(업무일지!$F1003="",업무일지!$H1003=""),"사건번호·업무명 모두 없음; ","")&amp;IF(업무일지!$J1003="","담당자 없음; ","")&amp;IF(COUNTIF(코드설정!$F$5:$F$7,업무일지!$AG1003)=0,"진행상태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"&amp;업무일지!$H1004)</f>
        <v/>
      </c>
      <c r="D1036" s="45">
        <f>IF(NOT(COUNTBLANK(업무일지!$B1004:$AH1004)&lt;33),"",TRIM(IF(업무일지!$B1004="","시작일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","")&amp;IF(COUNTIF(코드설정!$H$5:$H$7,업무일지!$D1004)=0,"직무구분 누락; ","")&amp;IF(업무일지!$E1004="","세부유형 누락; ",IF(AND(업무일지!$D1004&lt;&gt;"",COUNTIFS(코드설정!$A$5:$A$21,업무일지!$D1004,코드설정!$B$5:$B$21,업무일지!$E1004)=0),"세부유형이 직무구분과 불일치; ",""))&amp;IF(AND(업무일지!$F1004&lt;&gt;"",COUNTIF(사건마스터!$A$5:$A$64,업무일지!$F1004)=0),"미등록 사건번호; ","")&amp;IF(AND(업무일지!$F1004="",업무일지!$H1004=""),"사건번호·업무명 모두 없음; ","")&amp;IF(업무일지!$J1004="","담당자 없음; ","")&amp;IF(COUNTIF(코드설정!$F$5:$F$7,업무일지!$AG1004)=0,"진행상태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H7" s="46" t="inlineStr">
        <is>
          <t>교육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기타 출장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분석</t>
        </is>
      </c>
      <c r="B10" s="46" t="inlineStr">
        <is>
          <t>디스크 이미지 분석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모바일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영상·이미지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로그·네트워크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악성코드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보고서 작성·검증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기타 분석</t>
        </is>
      </c>
      <c r="C16" s="46" t="n"/>
      <c r="D16" s="46" t="n"/>
      <c r="K16" s="67" t="n"/>
    </row>
    <row r="17">
      <c r="A17" s="46" t="inlineStr">
        <is>
          <t>교육</t>
        </is>
      </c>
      <c r="B17" s="46" t="inlineStr">
        <is>
          <t>외부 교육·세미나</t>
        </is>
      </c>
      <c r="C17" s="46" t="n"/>
      <c r="D17" s="46" t="n"/>
      <c r="K17" s="67" t="n"/>
    </row>
    <row r="18">
      <c r="A18" s="46" t="inlineStr">
        <is>
          <t>교육</t>
        </is>
      </c>
      <c r="B18" s="46" t="inlineStr">
        <is>
          <t>내부 직무교육</t>
        </is>
      </c>
      <c r="C18" s="46" t="n"/>
      <c r="D18" s="46" t="n"/>
      <c r="K18" s="67" t="n"/>
    </row>
    <row r="19">
      <c r="A19" s="46" t="inlineStr">
        <is>
          <t>교육</t>
        </is>
      </c>
      <c r="B19" s="46" t="inlineStr">
        <is>
          <t>자격·인증 과정</t>
        </is>
      </c>
      <c r="C19" s="46" t="n"/>
      <c r="D19" s="46" t="n"/>
      <c r="K19" s="67" t="n"/>
    </row>
    <row r="20">
      <c r="A20" s="46" t="inlineStr">
        <is>
          <t>교육</t>
        </is>
      </c>
      <c r="B20" s="46" t="inlineStr">
        <is>
          <t>워크숍·학회</t>
        </is>
      </c>
      <c r="C20" s="46" t="n"/>
      <c r="D20" s="46" t="n"/>
      <c r="K20" s="67" t="n"/>
    </row>
    <row r="21">
      <c r="A21" s="46" t="inlineStr">
        <is>
          <t>교육</t>
        </is>
      </c>
      <c r="B21" s="46" t="inlineStr">
        <is>
          <t>기타 교육</t>
        </is>
      </c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  <row r="36">
      <c r="A36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2026-08-25T06:18:19Z</dcterms:created>
  <dcterms:modified xsi:type="dcterms:W3CDTF">2026-08-25T06:18:22Z</dcterms:modified>
</cp:coreProperties>
</file>