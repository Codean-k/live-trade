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_xlnm._FilterDatabase" localSheetId="2" hidden="1">'업무일지'!$A$4:$AG$1004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투입인원(명)</t>
        </is>
      </c>
      <c r="C34" s="5" t="inlineStr">
        <is>
          <t>그 건에 들어간 주담당 + 참여자 수. [사건마스터] 배정표에서 자동으로 채워집니다.</t>
        </is>
      </c>
    </row>
    <row r="35" ht="17" customHeight="1">
      <c r="B35" s="4" t="inlineStr">
        <is>
          <t>소요일수</t>
        </is>
      </c>
      <c r="C35" s="5" t="inlineStr">
        <is>
          <t>복귀일 − 출발일 + 1. 출발일과 복귀일을 모두 포함해 셉니다.</t>
        </is>
      </c>
    </row>
    <row r="36" ht="17" customHeight="1">
      <c r="B36" s="4" t="inlineStr">
        <is>
          <t>연인원(명)</t>
        </is>
      </c>
      <c r="C36" s="5" t="inlineStr">
        <is>
          <t>각 건의 투입인원을 그대로 합산 — 같은 사람이 여러 건에 참여하면 중복 계상됩니다.</t>
        </is>
      </c>
    </row>
    <row r="37" ht="17" customHeight="1">
      <c r="B37" s="4" t="inlineStr">
        <is>
          <t>월 귀속</t>
        </is>
      </c>
      <c r="C37" s="5" t="inlineStr">
        <is>
          <t>출장·분석은 '시작일', 일일실시사항은 '일자'가 속한 달로 집계됩니다.</t>
        </is>
      </c>
    </row>
    <row r="38" ht="17" customHeight="1">
      <c r="B38" s="4" t="inlineStr">
        <is>
          <t>팀별 집계</t>
        </is>
      </c>
      <c r="C38" s="5" t="inlineStr">
        <is>
          <t>주담당자의 소속팀 기준입니다.</t>
        </is>
      </c>
    </row>
    <row r="40" ht="20" customHeight="1">
      <c r="B40" s="2" t="inlineStr">
        <is>
          <t>주의</t>
        </is>
      </c>
      <c r="C40" s="3" t="n"/>
    </row>
    <row r="41" ht="17" customHeight="1">
      <c r="B41" s="4" t="inlineStr">
        <is>
          <t>동명이인</t>
        </is>
      </c>
      <c r="C41" s="5" t="inlineStr">
        <is>
          <t>참여자 집계가 이름 부분일치 방식이라 '김디지(1팀)'처럼 반드시 구분해 등록하세요.</t>
        </is>
      </c>
    </row>
    <row r="42" ht="17" customHeight="1">
      <c r="B42" s="4" t="inlineStr">
        <is>
          <t>입력 한도</t>
        </is>
      </c>
      <c r="C42" s="5" t="inlineStr">
        <is>
          <t>업무일지·일일실시사항 각 1000건(5~1004행), 사건 60건, 담당자 20명입니다.</t>
        </is>
      </c>
    </row>
    <row r="43" ht="17" customHeight="1">
      <c r="B43" s="4" t="inlineStr">
        <is>
          <t>월력표 메모</t>
        </is>
      </c>
      <c r="C43" s="5" t="inlineStr">
        <is>
          <t>연·월을 바꿔도 메모 칸은 그대로 남습니다. 한 달이 끝나면 시트를 복사해 보관하세요.</t>
        </is>
      </c>
    </row>
    <row r="44" ht="17" customHeight="1">
      <c r="B44" s="4" t="inlineStr">
        <is>
          <t>참여자 16명 초과</t>
        </is>
      </c>
      <c r="C44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SUMIFS(업무일지!$AE$5:$AE$1004,업무일지!$B$5:$B$1004,"&gt;="&amp;DATE($B$4,$D$4,1),업무일지!$B$5:$B$1004,"&lt;"&amp;DATE($B$4,$D$4+1,1),업무일지!$D$5:$D$1004,"출장")</f>
        <v/>
      </c>
      <c r="D28" s="24">
        <f>SUMIFS(업무일지!$AC$5:$AC$1004,업무일지!$B$5:$B$1004,"&gt;="&amp;DATE($B$4,$D$4,1),업무일지!$B$5:$B$1004,"&lt;"&amp;DATE($B$4,$D$4+1,1),업무일지!$D$5:$D$1004,"출장")</f>
        <v/>
      </c>
      <c r="E28" s="25">
        <f>SUMIFS(업무일지!$AD$5:$AD$1004,업무일지!$B$5:$B$1004,"&gt;="&amp;DATE($B$4,$D$4,1),업무일지!$B$5:$B$1004,"&lt;"&amp;DATE($B$4,$D$4+1,1),업무일지!$D$5:$D$1004,"출장")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COUNTIFS(업무일지!$B$5:$B$1004,"&gt;="&amp;DATE($B$4,$D$4,1),업무일지!$B$5:$B$1004,"&lt;"&amp;DATE($B$4,$D$4+1,1),업무일지!$D$5:$D$1004,"출장",업무일지!$AF$5:$AF$1004,"진행중")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SUMIFS(업무일지!$AE$5:$AE$1004,업무일지!$B$5:$B$1004,"&gt;="&amp;DATE($B$4,$D$4,1),업무일지!$B$5:$B$1004,"&lt;"&amp;DATE($B$4,$D$4+1,1),업무일지!$D$5:$D$1004,"분석")</f>
        <v/>
      </c>
      <c r="D29" s="24">
        <f>SUMIFS(업무일지!$AC$5:$AC$1004,업무일지!$B$5:$B$1004,"&gt;="&amp;DATE($B$4,$D$4,1),업무일지!$B$5:$B$1004,"&lt;"&amp;DATE($B$4,$D$4+1,1),업무일지!$D$5:$D$1004,"분석")</f>
        <v/>
      </c>
      <c r="E29" s="25">
        <f>SUMIFS(업무일지!$AD$5:$AD$1004,업무일지!$B$5:$B$1004,"&gt;="&amp;DATE($B$4,$D$4,1),업무일지!$B$5:$B$1004,"&lt;"&amp;DATE($B$4,$D$4+1,1),업무일지!$D$5:$D$1004,"분석")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COUNTIFS(업무일지!$B$5:$B$1004,"&gt;="&amp;DATE($B$4,$D$4,1),업무일지!$B$5:$B$1004,"&lt;"&amp;DATE($B$4,$D$4+1,1),업무일지!$D$5:$D$1004,"분석",업무일지!$AF$5:$AF$1004,"진행중")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G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0" customWidth="1" min="32" max="32"/>
    <col width="22" customWidth="1" min="33" max="33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진행상태</t>
        </is>
      </c>
      <c r="AG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3">
        <f>IF($F5="","",IFERROR(INDEX(사건마스터!$B$5:$B$64,MATCH($F5,사건마스터!$A$5:$A$64,0)),""))</f>
        <v/>
      </c>
      <c r="H5" s="34">
        <f>IF($F5="","",IFERROR(INDEX(사건마스터!$C$5:$C$64,MATCH($F5,사건마스터!$A$5:$A$64,0)),""))</f>
        <v/>
      </c>
      <c r="I5" s="35">
        <f>IF($F5="","",IFERROR(INDEX(사건마스터!$H$5:$H$64,MATCH($F5,사건마스터!$A$5:$A$64,0)),""))</f>
        <v/>
      </c>
      <c r="J5" s="35">
        <f>IF($F5="","",IFERROR(INDEX(사건마스터!$AH$5:$AH$64,MATCH($F5,사건마스터!$A$5:$A$64,0)),""))</f>
        <v/>
      </c>
      <c r="K5" s="35">
        <f>IF($F5="","",IFERROR(INDEX(사건마스터!$AI$5:$AI$64,MATCH($F5,사건마스터!$A$5:$A$64,0)),""))</f>
        <v/>
      </c>
      <c r="L5" s="35">
        <f>IF($F5="","",IFERROR(INDEX(사건마스터!$AJ$5:$AJ$64,MATCH($F5,사건마스터!$A$5:$A$64,0)),""))</f>
        <v/>
      </c>
      <c r="M5" s="35">
        <f>IF($F5="","",IFERROR(INDEX(사건마스터!$AK$5:$AK$64,MATCH($F5,사건마스터!$A$5:$A$64,0)),""))</f>
        <v/>
      </c>
      <c r="N5" s="35">
        <f>IF($F5="","",IFERROR(INDEX(사건마스터!$AL$5:$AL$64,MATCH($F5,사건마스터!$A$5:$A$64,0)),""))</f>
        <v/>
      </c>
      <c r="O5" s="35">
        <f>IF($F5="","",IFERROR(INDEX(사건마스터!$AM$5:$AM$64,MATCH($F5,사건마스터!$A$5:$A$64,0)),""))</f>
        <v/>
      </c>
      <c r="P5" s="35">
        <f>IF($F5="","",IFERROR(INDEX(사건마스터!$AN$5:$AN$64,MATCH($F5,사건마스터!$A$5:$A$64,0)),""))</f>
        <v/>
      </c>
      <c r="Q5" s="35">
        <f>IF($F5="","",IFERROR(INDEX(사건마스터!$AO$5:$AO$64,MATCH($F5,사건마스터!$A$5:$A$64,0)),""))</f>
        <v/>
      </c>
      <c r="R5" s="35">
        <f>IF($F5="","",IFERROR(INDEX(사건마스터!$AP$5:$AP$64,MATCH($F5,사건마스터!$A$5:$A$64,0)),""))</f>
        <v/>
      </c>
      <c r="S5" s="35">
        <f>IF($F5="","",IFERROR(INDEX(사건마스터!$AQ$5:$AQ$64,MATCH($F5,사건마스터!$A$5:$A$64,0)),""))</f>
        <v/>
      </c>
      <c r="T5" s="35">
        <f>IF($F5="","",IFERROR(INDEX(사건마스터!$AR$5:$AR$64,MATCH($F5,사건마스터!$A$5:$A$64,0)),""))</f>
        <v/>
      </c>
      <c r="U5" s="35">
        <f>IF($F5="","",IFERROR(INDEX(사건마스터!$AS$5:$AS$64,MATCH($F5,사건마스터!$A$5:$A$64,0)),""))</f>
        <v/>
      </c>
      <c r="V5" s="35">
        <f>IF($F5="","",IFERROR(INDEX(사건마스터!$AT$5:$AT$64,MATCH($F5,사건마스터!$A$5:$A$64,0)),""))</f>
        <v/>
      </c>
      <c r="W5" s="35">
        <f>IF($F5="","",IFERROR(INDEX(사건마스터!$AU$5:$AU$64,MATCH($F5,사건마스터!$A$5:$A$64,0)),""))</f>
        <v/>
      </c>
      <c r="X5" s="35">
        <f>IF($F5="","",IFERROR(INDEX(사건마스터!$AV$5:$AV$64,MATCH($F5,사건마스터!$A$5:$A$64,0)),""))</f>
        <v/>
      </c>
      <c r="Y5" s="30">
        <f>IF($I5="","",COUNTIF($I5:$X5,"?*"))</f>
        <v/>
      </c>
      <c r="Z5" s="33">
        <f>IF($I5="","",_xlfn.TEXTJOIN(", ",TRUE,$I5:$X5))</f>
        <v/>
      </c>
      <c r="AA5" s="34">
        <f>IF($I5="","",IFERROR(INDEX(코드설정!$D$5:$D$24,MATCH($I5,코드설정!$C$5:$C$24,0)),""))</f>
        <v/>
      </c>
      <c r="AB5" s="36" t="n"/>
      <c r="AC5" s="37" t="n"/>
      <c r="AD5" s="38" t="n"/>
      <c r="AE5" s="30">
        <f>IF(OR($B5="",$C5=""),"",$C5-$B5+1)</f>
        <v/>
      </c>
      <c r="AF5" s="32" t="n"/>
      <c r="AG5" s="36" t="n"/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3">
        <f>IF($F6="","",IFERROR(INDEX(사건마스터!$B$5:$B$64,MATCH($F6,사건마스터!$A$5:$A$64,0)),""))</f>
        <v/>
      </c>
      <c r="H6" s="34">
        <f>IF($F6="","",IFERROR(INDEX(사건마스터!$C$5:$C$64,MATCH($F6,사건마스터!$A$5:$A$64,0)),""))</f>
        <v/>
      </c>
      <c r="I6" s="35">
        <f>IF($F6="","",IFERROR(INDEX(사건마스터!$H$5:$H$64,MATCH($F6,사건마스터!$A$5:$A$64,0)),""))</f>
        <v/>
      </c>
      <c r="J6" s="35">
        <f>IF($F6="","",IFERROR(INDEX(사건마스터!$AH$5:$AH$64,MATCH($F6,사건마스터!$A$5:$A$64,0)),""))</f>
        <v/>
      </c>
      <c r="K6" s="35">
        <f>IF($F6="","",IFERROR(INDEX(사건마스터!$AI$5:$AI$64,MATCH($F6,사건마스터!$A$5:$A$64,0)),""))</f>
        <v/>
      </c>
      <c r="L6" s="35">
        <f>IF($F6="","",IFERROR(INDEX(사건마스터!$AJ$5:$AJ$64,MATCH($F6,사건마스터!$A$5:$A$64,0)),""))</f>
        <v/>
      </c>
      <c r="M6" s="35">
        <f>IF($F6="","",IFERROR(INDEX(사건마스터!$AK$5:$AK$64,MATCH($F6,사건마스터!$A$5:$A$64,0)),""))</f>
        <v/>
      </c>
      <c r="N6" s="35">
        <f>IF($F6="","",IFERROR(INDEX(사건마스터!$AL$5:$AL$64,MATCH($F6,사건마스터!$A$5:$A$64,0)),""))</f>
        <v/>
      </c>
      <c r="O6" s="35">
        <f>IF($F6="","",IFERROR(INDEX(사건마스터!$AM$5:$AM$64,MATCH($F6,사건마스터!$A$5:$A$64,0)),""))</f>
        <v/>
      </c>
      <c r="P6" s="35">
        <f>IF($F6="","",IFERROR(INDEX(사건마스터!$AN$5:$AN$64,MATCH($F6,사건마스터!$A$5:$A$64,0)),""))</f>
        <v/>
      </c>
      <c r="Q6" s="35">
        <f>IF($F6="","",IFERROR(INDEX(사건마스터!$AO$5:$AO$64,MATCH($F6,사건마스터!$A$5:$A$64,0)),""))</f>
        <v/>
      </c>
      <c r="R6" s="35">
        <f>IF($F6="","",IFERROR(INDEX(사건마스터!$AP$5:$AP$64,MATCH($F6,사건마스터!$A$5:$A$64,0)),""))</f>
        <v/>
      </c>
      <c r="S6" s="35">
        <f>IF($F6="","",IFERROR(INDEX(사건마스터!$AQ$5:$AQ$64,MATCH($F6,사건마스터!$A$5:$A$64,0)),""))</f>
        <v/>
      </c>
      <c r="T6" s="35">
        <f>IF($F6="","",IFERROR(INDEX(사건마스터!$AR$5:$AR$64,MATCH($F6,사건마스터!$A$5:$A$64,0)),""))</f>
        <v/>
      </c>
      <c r="U6" s="35">
        <f>IF($F6="","",IFERROR(INDEX(사건마스터!$AS$5:$AS$64,MATCH($F6,사건마스터!$A$5:$A$64,0)),""))</f>
        <v/>
      </c>
      <c r="V6" s="35">
        <f>IF($F6="","",IFERROR(INDEX(사건마스터!$AT$5:$AT$64,MATCH($F6,사건마스터!$A$5:$A$64,0)),""))</f>
        <v/>
      </c>
      <c r="W6" s="35">
        <f>IF($F6="","",IFERROR(INDEX(사건마스터!$AU$5:$AU$64,MATCH($F6,사건마스터!$A$5:$A$64,0)),""))</f>
        <v/>
      </c>
      <c r="X6" s="35">
        <f>IF($F6="","",IFERROR(INDEX(사건마스터!$AV$5:$AV$64,MATCH($F6,사건마스터!$A$5:$A$64,0)),""))</f>
        <v/>
      </c>
      <c r="Y6" s="30">
        <f>IF($I6="","",COUNTIF($I6:$X6,"?*"))</f>
        <v/>
      </c>
      <c r="Z6" s="33">
        <f>IF($I6="","",_xlfn.TEXTJOIN(", ",TRUE,$I6:$X6))</f>
        <v/>
      </c>
      <c r="AA6" s="34">
        <f>IF($I6="","",IFERROR(INDEX(코드설정!$D$5:$D$24,MATCH($I6,코드설정!$C$5:$C$24,0)),""))</f>
        <v/>
      </c>
      <c r="AB6" s="36" t="n"/>
      <c r="AC6" s="37" t="n"/>
      <c r="AD6" s="38" t="n"/>
      <c r="AE6" s="30">
        <f>IF(OR($B6="",$C6=""),"",$C6-$B6+1)</f>
        <v/>
      </c>
      <c r="AF6" s="32" t="n"/>
      <c r="AG6" s="36" t="n"/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3">
        <f>IF($F7="","",IFERROR(INDEX(사건마스터!$B$5:$B$64,MATCH($F7,사건마스터!$A$5:$A$64,0)),""))</f>
        <v/>
      </c>
      <c r="H7" s="34">
        <f>IF($F7="","",IFERROR(INDEX(사건마스터!$C$5:$C$64,MATCH($F7,사건마스터!$A$5:$A$64,0)),""))</f>
        <v/>
      </c>
      <c r="I7" s="35">
        <f>IF($F7="","",IFERROR(INDEX(사건마스터!$H$5:$H$64,MATCH($F7,사건마스터!$A$5:$A$64,0)),""))</f>
        <v/>
      </c>
      <c r="J7" s="35">
        <f>IF($F7="","",IFERROR(INDEX(사건마스터!$AH$5:$AH$64,MATCH($F7,사건마스터!$A$5:$A$64,0)),""))</f>
        <v/>
      </c>
      <c r="K7" s="35">
        <f>IF($F7="","",IFERROR(INDEX(사건마스터!$AI$5:$AI$64,MATCH($F7,사건마스터!$A$5:$A$64,0)),""))</f>
        <v/>
      </c>
      <c r="L7" s="35">
        <f>IF($F7="","",IFERROR(INDEX(사건마스터!$AJ$5:$AJ$64,MATCH($F7,사건마스터!$A$5:$A$64,0)),""))</f>
        <v/>
      </c>
      <c r="M7" s="35">
        <f>IF($F7="","",IFERROR(INDEX(사건마스터!$AK$5:$AK$64,MATCH($F7,사건마스터!$A$5:$A$64,0)),""))</f>
        <v/>
      </c>
      <c r="N7" s="35">
        <f>IF($F7="","",IFERROR(INDEX(사건마스터!$AL$5:$AL$64,MATCH($F7,사건마스터!$A$5:$A$64,0)),""))</f>
        <v/>
      </c>
      <c r="O7" s="35">
        <f>IF($F7="","",IFERROR(INDEX(사건마스터!$AM$5:$AM$64,MATCH($F7,사건마스터!$A$5:$A$64,0)),""))</f>
        <v/>
      </c>
      <c r="P7" s="35">
        <f>IF($F7="","",IFERROR(INDEX(사건마스터!$AN$5:$AN$64,MATCH($F7,사건마스터!$A$5:$A$64,0)),""))</f>
        <v/>
      </c>
      <c r="Q7" s="35">
        <f>IF($F7="","",IFERROR(INDEX(사건마스터!$AO$5:$AO$64,MATCH($F7,사건마스터!$A$5:$A$64,0)),""))</f>
        <v/>
      </c>
      <c r="R7" s="35">
        <f>IF($F7="","",IFERROR(INDEX(사건마스터!$AP$5:$AP$64,MATCH($F7,사건마스터!$A$5:$A$64,0)),""))</f>
        <v/>
      </c>
      <c r="S7" s="35">
        <f>IF($F7="","",IFERROR(INDEX(사건마스터!$AQ$5:$AQ$64,MATCH($F7,사건마스터!$A$5:$A$64,0)),""))</f>
        <v/>
      </c>
      <c r="T7" s="35">
        <f>IF($F7="","",IFERROR(INDEX(사건마스터!$AR$5:$AR$64,MATCH($F7,사건마스터!$A$5:$A$64,0)),""))</f>
        <v/>
      </c>
      <c r="U7" s="35">
        <f>IF($F7="","",IFERROR(INDEX(사건마스터!$AS$5:$AS$64,MATCH($F7,사건마스터!$A$5:$A$64,0)),""))</f>
        <v/>
      </c>
      <c r="V7" s="35">
        <f>IF($F7="","",IFERROR(INDEX(사건마스터!$AT$5:$AT$64,MATCH($F7,사건마스터!$A$5:$A$64,0)),""))</f>
        <v/>
      </c>
      <c r="W7" s="35">
        <f>IF($F7="","",IFERROR(INDEX(사건마스터!$AU$5:$AU$64,MATCH($F7,사건마스터!$A$5:$A$64,0)),""))</f>
        <v/>
      </c>
      <c r="X7" s="35">
        <f>IF($F7="","",IFERROR(INDEX(사건마스터!$AV$5:$AV$64,MATCH($F7,사건마스터!$A$5:$A$64,0)),""))</f>
        <v/>
      </c>
      <c r="Y7" s="30">
        <f>IF($I7="","",COUNTIF($I7:$X7,"?*"))</f>
        <v/>
      </c>
      <c r="Z7" s="33">
        <f>IF($I7="","",_xlfn.TEXTJOIN(", ",TRUE,$I7:$X7))</f>
        <v/>
      </c>
      <c r="AA7" s="34">
        <f>IF($I7="","",IFERROR(INDEX(코드설정!$D$5:$D$24,MATCH($I7,코드설정!$C$5:$C$24,0)),""))</f>
        <v/>
      </c>
      <c r="AB7" s="36" t="n"/>
      <c r="AC7" s="37" t="n"/>
      <c r="AD7" s="38" t="n"/>
      <c r="AE7" s="30">
        <f>IF(OR($B7="",$C7=""),"",$C7-$B7+1)</f>
        <v/>
      </c>
      <c r="AF7" s="32" t="n"/>
      <c r="AG7" s="36" t="n"/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3">
        <f>IF($F8="","",IFERROR(INDEX(사건마스터!$B$5:$B$64,MATCH($F8,사건마스터!$A$5:$A$64,0)),""))</f>
        <v/>
      </c>
      <c r="H8" s="34">
        <f>IF($F8="","",IFERROR(INDEX(사건마스터!$C$5:$C$64,MATCH($F8,사건마스터!$A$5:$A$64,0)),""))</f>
        <v/>
      </c>
      <c r="I8" s="35">
        <f>IF($F8="","",IFERROR(INDEX(사건마스터!$H$5:$H$64,MATCH($F8,사건마스터!$A$5:$A$64,0)),""))</f>
        <v/>
      </c>
      <c r="J8" s="35">
        <f>IF($F8="","",IFERROR(INDEX(사건마스터!$AH$5:$AH$64,MATCH($F8,사건마스터!$A$5:$A$64,0)),""))</f>
        <v/>
      </c>
      <c r="K8" s="35">
        <f>IF($F8="","",IFERROR(INDEX(사건마스터!$AI$5:$AI$64,MATCH($F8,사건마스터!$A$5:$A$64,0)),""))</f>
        <v/>
      </c>
      <c r="L8" s="35">
        <f>IF($F8="","",IFERROR(INDEX(사건마스터!$AJ$5:$AJ$64,MATCH($F8,사건마스터!$A$5:$A$64,0)),""))</f>
        <v/>
      </c>
      <c r="M8" s="35">
        <f>IF($F8="","",IFERROR(INDEX(사건마스터!$AK$5:$AK$64,MATCH($F8,사건마스터!$A$5:$A$64,0)),""))</f>
        <v/>
      </c>
      <c r="N8" s="35">
        <f>IF($F8="","",IFERROR(INDEX(사건마스터!$AL$5:$AL$64,MATCH($F8,사건마스터!$A$5:$A$64,0)),""))</f>
        <v/>
      </c>
      <c r="O8" s="35">
        <f>IF($F8="","",IFERROR(INDEX(사건마스터!$AM$5:$AM$64,MATCH($F8,사건마스터!$A$5:$A$64,0)),""))</f>
        <v/>
      </c>
      <c r="P8" s="35">
        <f>IF($F8="","",IFERROR(INDEX(사건마스터!$AN$5:$AN$64,MATCH($F8,사건마스터!$A$5:$A$64,0)),""))</f>
        <v/>
      </c>
      <c r="Q8" s="35">
        <f>IF($F8="","",IFERROR(INDEX(사건마스터!$AO$5:$AO$64,MATCH($F8,사건마스터!$A$5:$A$64,0)),""))</f>
        <v/>
      </c>
      <c r="R8" s="35">
        <f>IF($F8="","",IFERROR(INDEX(사건마스터!$AP$5:$AP$64,MATCH($F8,사건마스터!$A$5:$A$64,0)),""))</f>
        <v/>
      </c>
      <c r="S8" s="35">
        <f>IF($F8="","",IFERROR(INDEX(사건마스터!$AQ$5:$AQ$64,MATCH($F8,사건마스터!$A$5:$A$64,0)),""))</f>
        <v/>
      </c>
      <c r="T8" s="35">
        <f>IF($F8="","",IFERROR(INDEX(사건마스터!$AR$5:$AR$64,MATCH($F8,사건마스터!$A$5:$A$64,0)),""))</f>
        <v/>
      </c>
      <c r="U8" s="35">
        <f>IF($F8="","",IFERROR(INDEX(사건마스터!$AS$5:$AS$64,MATCH($F8,사건마스터!$A$5:$A$64,0)),""))</f>
        <v/>
      </c>
      <c r="V8" s="35">
        <f>IF($F8="","",IFERROR(INDEX(사건마스터!$AT$5:$AT$64,MATCH($F8,사건마스터!$A$5:$A$64,0)),""))</f>
        <v/>
      </c>
      <c r="W8" s="35">
        <f>IF($F8="","",IFERROR(INDEX(사건마스터!$AU$5:$AU$64,MATCH($F8,사건마스터!$A$5:$A$64,0)),""))</f>
        <v/>
      </c>
      <c r="X8" s="35">
        <f>IF($F8="","",IFERROR(INDEX(사건마스터!$AV$5:$AV$64,MATCH($F8,사건마스터!$A$5:$A$64,0)),""))</f>
        <v/>
      </c>
      <c r="Y8" s="30">
        <f>IF($I8="","",COUNTIF($I8:$X8,"?*"))</f>
        <v/>
      </c>
      <c r="Z8" s="33">
        <f>IF($I8="","",_xlfn.TEXTJOIN(", ",TRUE,$I8:$X8))</f>
        <v/>
      </c>
      <c r="AA8" s="34">
        <f>IF($I8="","",IFERROR(INDEX(코드설정!$D$5:$D$24,MATCH($I8,코드설정!$C$5:$C$24,0)),""))</f>
        <v/>
      </c>
      <c r="AB8" s="36" t="n"/>
      <c r="AC8" s="37" t="n"/>
      <c r="AD8" s="38" t="n"/>
      <c r="AE8" s="30">
        <f>IF(OR($B8="",$C8=""),"",$C8-$B8+1)</f>
        <v/>
      </c>
      <c r="AF8" s="32" t="n"/>
      <c r="AG8" s="36" t="n"/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3">
        <f>IF($F9="","",IFERROR(INDEX(사건마스터!$B$5:$B$64,MATCH($F9,사건마스터!$A$5:$A$64,0)),""))</f>
        <v/>
      </c>
      <c r="H9" s="34">
        <f>IF($F9="","",IFERROR(INDEX(사건마스터!$C$5:$C$64,MATCH($F9,사건마스터!$A$5:$A$64,0)),""))</f>
        <v/>
      </c>
      <c r="I9" s="35">
        <f>IF($F9="","",IFERROR(INDEX(사건마스터!$H$5:$H$64,MATCH($F9,사건마스터!$A$5:$A$64,0)),""))</f>
        <v/>
      </c>
      <c r="J9" s="35">
        <f>IF($F9="","",IFERROR(INDEX(사건마스터!$AH$5:$AH$64,MATCH($F9,사건마스터!$A$5:$A$64,0)),""))</f>
        <v/>
      </c>
      <c r="K9" s="35">
        <f>IF($F9="","",IFERROR(INDEX(사건마스터!$AI$5:$AI$64,MATCH($F9,사건마스터!$A$5:$A$64,0)),""))</f>
        <v/>
      </c>
      <c r="L9" s="35">
        <f>IF($F9="","",IFERROR(INDEX(사건마스터!$AJ$5:$AJ$64,MATCH($F9,사건마스터!$A$5:$A$64,0)),""))</f>
        <v/>
      </c>
      <c r="M9" s="35">
        <f>IF($F9="","",IFERROR(INDEX(사건마스터!$AK$5:$AK$64,MATCH($F9,사건마스터!$A$5:$A$64,0)),""))</f>
        <v/>
      </c>
      <c r="N9" s="35">
        <f>IF($F9="","",IFERROR(INDEX(사건마스터!$AL$5:$AL$64,MATCH($F9,사건마스터!$A$5:$A$64,0)),""))</f>
        <v/>
      </c>
      <c r="O9" s="35">
        <f>IF($F9="","",IFERROR(INDEX(사건마스터!$AM$5:$AM$64,MATCH($F9,사건마스터!$A$5:$A$64,0)),""))</f>
        <v/>
      </c>
      <c r="P9" s="35">
        <f>IF($F9="","",IFERROR(INDEX(사건마스터!$AN$5:$AN$64,MATCH($F9,사건마스터!$A$5:$A$64,0)),""))</f>
        <v/>
      </c>
      <c r="Q9" s="35">
        <f>IF($F9="","",IFERROR(INDEX(사건마스터!$AO$5:$AO$64,MATCH($F9,사건마스터!$A$5:$A$64,0)),""))</f>
        <v/>
      </c>
      <c r="R9" s="35">
        <f>IF($F9="","",IFERROR(INDEX(사건마스터!$AP$5:$AP$64,MATCH($F9,사건마스터!$A$5:$A$64,0)),""))</f>
        <v/>
      </c>
      <c r="S9" s="35">
        <f>IF($F9="","",IFERROR(INDEX(사건마스터!$AQ$5:$AQ$64,MATCH($F9,사건마스터!$A$5:$A$64,0)),""))</f>
        <v/>
      </c>
      <c r="T9" s="35">
        <f>IF($F9="","",IFERROR(INDEX(사건마스터!$AR$5:$AR$64,MATCH($F9,사건마스터!$A$5:$A$64,0)),""))</f>
        <v/>
      </c>
      <c r="U9" s="35">
        <f>IF($F9="","",IFERROR(INDEX(사건마스터!$AS$5:$AS$64,MATCH($F9,사건마스터!$A$5:$A$64,0)),""))</f>
        <v/>
      </c>
      <c r="V9" s="35">
        <f>IF($F9="","",IFERROR(INDEX(사건마스터!$AT$5:$AT$64,MATCH($F9,사건마스터!$A$5:$A$64,0)),""))</f>
        <v/>
      </c>
      <c r="W9" s="35">
        <f>IF($F9="","",IFERROR(INDEX(사건마스터!$AU$5:$AU$64,MATCH($F9,사건마스터!$A$5:$A$64,0)),""))</f>
        <v/>
      </c>
      <c r="X9" s="35">
        <f>IF($F9="","",IFERROR(INDEX(사건마스터!$AV$5:$AV$64,MATCH($F9,사건마스터!$A$5:$A$64,0)),""))</f>
        <v/>
      </c>
      <c r="Y9" s="30">
        <f>IF($I9="","",COUNTIF($I9:$X9,"?*"))</f>
        <v/>
      </c>
      <c r="Z9" s="33">
        <f>IF($I9="","",_xlfn.TEXTJOIN(", ",TRUE,$I9:$X9))</f>
        <v/>
      </c>
      <c r="AA9" s="34">
        <f>IF($I9="","",IFERROR(INDEX(코드설정!$D$5:$D$24,MATCH($I9,코드설정!$C$5:$C$24,0)),""))</f>
        <v/>
      </c>
      <c r="AB9" s="36" t="n"/>
      <c r="AC9" s="37" t="n"/>
      <c r="AD9" s="38" t="n"/>
      <c r="AE9" s="30">
        <f>IF(OR($B9="",$C9=""),"",$C9-$B9+1)</f>
        <v/>
      </c>
      <c r="AF9" s="32" t="n"/>
      <c r="AG9" s="36" t="n"/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3">
        <f>IF($F10="","",IFERROR(INDEX(사건마스터!$B$5:$B$64,MATCH($F10,사건마스터!$A$5:$A$64,0)),""))</f>
        <v/>
      </c>
      <c r="H10" s="34">
        <f>IF($F10="","",IFERROR(INDEX(사건마스터!$C$5:$C$64,MATCH($F10,사건마스터!$A$5:$A$64,0)),""))</f>
        <v/>
      </c>
      <c r="I10" s="35">
        <f>IF($F10="","",IFERROR(INDEX(사건마스터!$H$5:$H$64,MATCH($F10,사건마스터!$A$5:$A$64,0)),""))</f>
        <v/>
      </c>
      <c r="J10" s="35">
        <f>IF($F10="","",IFERROR(INDEX(사건마스터!$AH$5:$AH$64,MATCH($F10,사건마스터!$A$5:$A$64,0)),""))</f>
        <v/>
      </c>
      <c r="K10" s="35">
        <f>IF($F10="","",IFERROR(INDEX(사건마스터!$AI$5:$AI$64,MATCH($F10,사건마스터!$A$5:$A$64,0)),""))</f>
        <v/>
      </c>
      <c r="L10" s="35">
        <f>IF($F10="","",IFERROR(INDEX(사건마스터!$AJ$5:$AJ$64,MATCH($F10,사건마스터!$A$5:$A$64,0)),""))</f>
        <v/>
      </c>
      <c r="M10" s="35">
        <f>IF($F10="","",IFERROR(INDEX(사건마스터!$AK$5:$AK$64,MATCH($F10,사건마스터!$A$5:$A$64,0)),""))</f>
        <v/>
      </c>
      <c r="N10" s="35">
        <f>IF($F10="","",IFERROR(INDEX(사건마스터!$AL$5:$AL$64,MATCH($F10,사건마스터!$A$5:$A$64,0)),""))</f>
        <v/>
      </c>
      <c r="O10" s="35">
        <f>IF($F10="","",IFERROR(INDEX(사건마스터!$AM$5:$AM$64,MATCH($F10,사건마스터!$A$5:$A$64,0)),""))</f>
        <v/>
      </c>
      <c r="P10" s="35">
        <f>IF($F10="","",IFERROR(INDEX(사건마스터!$AN$5:$AN$64,MATCH($F10,사건마스터!$A$5:$A$64,0)),""))</f>
        <v/>
      </c>
      <c r="Q10" s="35">
        <f>IF($F10="","",IFERROR(INDEX(사건마스터!$AO$5:$AO$64,MATCH($F10,사건마스터!$A$5:$A$64,0)),""))</f>
        <v/>
      </c>
      <c r="R10" s="35">
        <f>IF($F10="","",IFERROR(INDEX(사건마스터!$AP$5:$AP$64,MATCH($F10,사건마스터!$A$5:$A$64,0)),""))</f>
        <v/>
      </c>
      <c r="S10" s="35">
        <f>IF($F10="","",IFERROR(INDEX(사건마스터!$AQ$5:$AQ$64,MATCH($F10,사건마스터!$A$5:$A$64,0)),""))</f>
        <v/>
      </c>
      <c r="T10" s="35">
        <f>IF($F10="","",IFERROR(INDEX(사건마스터!$AR$5:$AR$64,MATCH($F10,사건마스터!$A$5:$A$64,0)),""))</f>
        <v/>
      </c>
      <c r="U10" s="35">
        <f>IF($F10="","",IFERROR(INDEX(사건마스터!$AS$5:$AS$64,MATCH($F10,사건마스터!$A$5:$A$64,0)),""))</f>
        <v/>
      </c>
      <c r="V10" s="35">
        <f>IF($F10="","",IFERROR(INDEX(사건마스터!$AT$5:$AT$64,MATCH($F10,사건마스터!$A$5:$A$64,0)),""))</f>
        <v/>
      </c>
      <c r="W10" s="35">
        <f>IF($F10="","",IFERROR(INDEX(사건마스터!$AU$5:$AU$64,MATCH($F10,사건마스터!$A$5:$A$64,0)),""))</f>
        <v/>
      </c>
      <c r="X10" s="35">
        <f>IF($F10="","",IFERROR(INDEX(사건마스터!$AV$5:$AV$64,MATCH($F10,사건마스터!$A$5:$A$64,0)),""))</f>
        <v/>
      </c>
      <c r="Y10" s="30">
        <f>IF($I10="","",COUNTIF($I10:$X10,"?*"))</f>
        <v/>
      </c>
      <c r="Z10" s="33">
        <f>IF($I10="","",_xlfn.TEXTJOIN(", ",TRUE,$I10:$X10))</f>
        <v/>
      </c>
      <c r="AA10" s="34">
        <f>IF($I10="","",IFERROR(INDEX(코드설정!$D$5:$D$24,MATCH($I10,코드설정!$C$5:$C$24,0)),""))</f>
        <v/>
      </c>
      <c r="AB10" s="36" t="n"/>
      <c r="AC10" s="37" t="n"/>
      <c r="AD10" s="38" t="n"/>
      <c r="AE10" s="30">
        <f>IF(OR($B10="",$C10=""),"",$C10-$B10+1)</f>
        <v/>
      </c>
      <c r="AF10" s="32" t="n"/>
      <c r="AG10" s="36" t="n"/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3">
        <f>IF($F11="","",IFERROR(INDEX(사건마스터!$B$5:$B$64,MATCH($F11,사건마스터!$A$5:$A$64,0)),""))</f>
        <v/>
      </c>
      <c r="H11" s="34">
        <f>IF($F11="","",IFERROR(INDEX(사건마스터!$C$5:$C$64,MATCH($F11,사건마스터!$A$5:$A$64,0)),""))</f>
        <v/>
      </c>
      <c r="I11" s="35">
        <f>IF($F11="","",IFERROR(INDEX(사건마스터!$H$5:$H$64,MATCH($F11,사건마스터!$A$5:$A$64,0)),""))</f>
        <v/>
      </c>
      <c r="J11" s="35">
        <f>IF($F11="","",IFERROR(INDEX(사건마스터!$AH$5:$AH$64,MATCH($F11,사건마스터!$A$5:$A$64,0)),""))</f>
        <v/>
      </c>
      <c r="K11" s="35">
        <f>IF($F11="","",IFERROR(INDEX(사건마스터!$AI$5:$AI$64,MATCH($F11,사건마스터!$A$5:$A$64,0)),""))</f>
        <v/>
      </c>
      <c r="L11" s="35">
        <f>IF($F11="","",IFERROR(INDEX(사건마스터!$AJ$5:$AJ$64,MATCH($F11,사건마스터!$A$5:$A$64,0)),""))</f>
        <v/>
      </c>
      <c r="M11" s="35">
        <f>IF($F11="","",IFERROR(INDEX(사건마스터!$AK$5:$AK$64,MATCH($F11,사건마스터!$A$5:$A$64,0)),""))</f>
        <v/>
      </c>
      <c r="N11" s="35">
        <f>IF($F11="","",IFERROR(INDEX(사건마스터!$AL$5:$AL$64,MATCH($F11,사건마스터!$A$5:$A$64,0)),""))</f>
        <v/>
      </c>
      <c r="O11" s="35">
        <f>IF($F11="","",IFERROR(INDEX(사건마스터!$AM$5:$AM$64,MATCH($F11,사건마스터!$A$5:$A$64,0)),""))</f>
        <v/>
      </c>
      <c r="P11" s="35">
        <f>IF($F11="","",IFERROR(INDEX(사건마스터!$AN$5:$AN$64,MATCH($F11,사건마스터!$A$5:$A$64,0)),""))</f>
        <v/>
      </c>
      <c r="Q11" s="35">
        <f>IF($F11="","",IFERROR(INDEX(사건마스터!$AO$5:$AO$64,MATCH($F11,사건마스터!$A$5:$A$64,0)),""))</f>
        <v/>
      </c>
      <c r="R11" s="35">
        <f>IF($F11="","",IFERROR(INDEX(사건마스터!$AP$5:$AP$64,MATCH($F11,사건마스터!$A$5:$A$64,0)),""))</f>
        <v/>
      </c>
      <c r="S11" s="35">
        <f>IF($F11="","",IFERROR(INDEX(사건마스터!$AQ$5:$AQ$64,MATCH($F11,사건마스터!$A$5:$A$64,0)),""))</f>
        <v/>
      </c>
      <c r="T11" s="35">
        <f>IF($F11="","",IFERROR(INDEX(사건마스터!$AR$5:$AR$64,MATCH($F11,사건마스터!$A$5:$A$64,0)),""))</f>
        <v/>
      </c>
      <c r="U11" s="35">
        <f>IF($F11="","",IFERROR(INDEX(사건마스터!$AS$5:$AS$64,MATCH($F11,사건마스터!$A$5:$A$64,0)),""))</f>
        <v/>
      </c>
      <c r="V11" s="35">
        <f>IF($F11="","",IFERROR(INDEX(사건마스터!$AT$5:$AT$64,MATCH($F11,사건마스터!$A$5:$A$64,0)),""))</f>
        <v/>
      </c>
      <c r="W11" s="35">
        <f>IF($F11="","",IFERROR(INDEX(사건마스터!$AU$5:$AU$64,MATCH($F11,사건마스터!$A$5:$A$64,0)),""))</f>
        <v/>
      </c>
      <c r="X11" s="35">
        <f>IF($F11="","",IFERROR(INDEX(사건마스터!$AV$5:$AV$64,MATCH($F11,사건마스터!$A$5:$A$64,0)),""))</f>
        <v/>
      </c>
      <c r="Y11" s="30">
        <f>IF($I11="","",COUNTIF($I11:$X11,"?*"))</f>
        <v/>
      </c>
      <c r="Z11" s="33">
        <f>IF($I11="","",_xlfn.TEXTJOIN(", ",TRUE,$I11:$X11))</f>
        <v/>
      </c>
      <c r="AA11" s="34">
        <f>IF($I11="","",IFERROR(INDEX(코드설정!$D$5:$D$24,MATCH($I11,코드설정!$C$5:$C$24,0)),""))</f>
        <v/>
      </c>
      <c r="AB11" s="36" t="n"/>
      <c r="AC11" s="37" t="n"/>
      <c r="AD11" s="38" t="n"/>
      <c r="AE11" s="30">
        <f>IF(OR($B11="",$C11=""),"",$C11-$B11+1)</f>
        <v/>
      </c>
      <c r="AF11" s="32" t="n"/>
      <c r="AG11" s="36" t="n"/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3">
        <f>IF($F12="","",IFERROR(INDEX(사건마스터!$B$5:$B$64,MATCH($F12,사건마스터!$A$5:$A$64,0)),""))</f>
        <v/>
      </c>
      <c r="H12" s="34">
        <f>IF($F12="","",IFERROR(INDEX(사건마스터!$C$5:$C$64,MATCH($F12,사건마스터!$A$5:$A$64,0)),""))</f>
        <v/>
      </c>
      <c r="I12" s="35">
        <f>IF($F12="","",IFERROR(INDEX(사건마스터!$H$5:$H$64,MATCH($F12,사건마스터!$A$5:$A$64,0)),""))</f>
        <v/>
      </c>
      <c r="J12" s="35">
        <f>IF($F12="","",IFERROR(INDEX(사건마스터!$AH$5:$AH$64,MATCH($F12,사건마스터!$A$5:$A$64,0)),""))</f>
        <v/>
      </c>
      <c r="K12" s="35">
        <f>IF($F12="","",IFERROR(INDEX(사건마스터!$AI$5:$AI$64,MATCH($F12,사건마스터!$A$5:$A$64,0)),""))</f>
        <v/>
      </c>
      <c r="L12" s="35">
        <f>IF($F12="","",IFERROR(INDEX(사건마스터!$AJ$5:$AJ$64,MATCH($F12,사건마스터!$A$5:$A$64,0)),""))</f>
        <v/>
      </c>
      <c r="M12" s="35">
        <f>IF($F12="","",IFERROR(INDEX(사건마스터!$AK$5:$AK$64,MATCH($F12,사건마스터!$A$5:$A$64,0)),""))</f>
        <v/>
      </c>
      <c r="N12" s="35">
        <f>IF($F12="","",IFERROR(INDEX(사건마스터!$AL$5:$AL$64,MATCH($F12,사건마스터!$A$5:$A$64,0)),""))</f>
        <v/>
      </c>
      <c r="O12" s="35">
        <f>IF($F12="","",IFERROR(INDEX(사건마스터!$AM$5:$AM$64,MATCH($F12,사건마스터!$A$5:$A$64,0)),""))</f>
        <v/>
      </c>
      <c r="P12" s="35">
        <f>IF($F12="","",IFERROR(INDEX(사건마스터!$AN$5:$AN$64,MATCH($F12,사건마스터!$A$5:$A$64,0)),""))</f>
        <v/>
      </c>
      <c r="Q12" s="35">
        <f>IF($F12="","",IFERROR(INDEX(사건마스터!$AO$5:$AO$64,MATCH($F12,사건마스터!$A$5:$A$64,0)),""))</f>
        <v/>
      </c>
      <c r="R12" s="35">
        <f>IF($F12="","",IFERROR(INDEX(사건마스터!$AP$5:$AP$64,MATCH($F12,사건마스터!$A$5:$A$64,0)),""))</f>
        <v/>
      </c>
      <c r="S12" s="35">
        <f>IF($F12="","",IFERROR(INDEX(사건마스터!$AQ$5:$AQ$64,MATCH($F12,사건마스터!$A$5:$A$64,0)),""))</f>
        <v/>
      </c>
      <c r="T12" s="35">
        <f>IF($F12="","",IFERROR(INDEX(사건마스터!$AR$5:$AR$64,MATCH($F12,사건마스터!$A$5:$A$64,0)),""))</f>
        <v/>
      </c>
      <c r="U12" s="35">
        <f>IF($F12="","",IFERROR(INDEX(사건마스터!$AS$5:$AS$64,MATCH($F12,사건마스터!$A$5:$A$64,0)),""))</f>
        <v/>
      </c>
      <c r="V12" s="35">
        <f>IF($F12="","",IFERROR(INDEX(사건마스터!$AT$5:$AT$64,MATCH($F12,사건마스터!$A$5:$A$64,0)),""))</f>
        <v/>
      </c>
      <c r="W12" s="35">
        <f>IF($F12="","",IFERROR(INDEX(사건마스터!$AU$5:$AU$64,MATCH($F12,사건마스터!$A$5:$A$64,0)),""))</f>
        <v/>
      </c>
      <c r="X12" s="35">
        <f>IF($F12="","",IFERROR(INDEX(사건마스터!$AV$5:$AV$64,MATCH($F12,사건마스터!$A$5:$A$64,0)),""))</f>
        <v/>
      </c>
      <c r="Y12" s="30">
        <f>IF($I12="","",COUNTIF($I12:$X12,"?*"))</f>
        <v/>
      </c>
      <c r="Z12" s="33">
        <f>IF($I12="","",_xlfn.TEXTJOIN(", ",TRUE,$I12:$X12))</f>
        <v/>
      </c>
      <c r="AA12" s="34">
        <f>IF($I12="","",IFERROR(INDEX(코드설정!$D$5:$D$24,MATCH($I12,코드설정!$C$5:$C$24,0)),""))</f>
        <v/>
      </c>
      <c r="AB12" s="36" t="n"/>
      <c r="AC12" s="37" t="n"/>
      <c r="AD12" s="38" t="n"/>
      <c r="AE12" s="30">
        <f>IF(OR($B12="",$C12=""),"",$C12-$B12+1)</f>
        <v/>
      </c>
      <c r="AF12" s="32" t="n"/>
      <c r="AG12" s="36" t="n"/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3">
        <f>IF($F13="","",IFERROR(INDEX(사건마스터!$B$5:$B$64,MATCH($F13,사건마스터!$A$5:$A$64,0)),""))</f>
        <v/>
      </c>
      <c r="H13" s="34">
        <f>IF($F13="","",IFERROR(INDEX(사건마스터!$C$5:$C$64,MATCH($F13,사건마스터!$A$5:$A$64,0)),""))</f>
        <v/>
      </c>
      <c r="I13" s="35">
        <f>IF($F13="","",IFERROR(INDEX(사건마스터!$H$5:$H$64,MATCH($F13,사건마스터!$A$5:$A$64,0)),""))</f>
        <v/>
      </c>
      <c r="J13" s="35">
        <f>IF($F13="","",IFERROR(INDEX(사건마스터!$AH$5:$AH$64,MATCH($F13,사건마스터!$A$5:$A$64,0)),""))</f>
        <v/>
      </c>
      <c r="K13" s="35">
        <f>IF($F13="","",IFERROR(INDEX(사건마스터!$AI$5:$AI$64,MATCH($F13,사건마스터!$A$5:$A$64,0)),""))</f>
        <v/>
      </c>
      <c r="L13" s="35">
        <f>IF($F13="","",IFERROR(INDEX(사건마스터!$AJ$5:$AJ$64,MATCH($F13,사건마스터!$A$5:$A$64,0)),""))</f>
        <v/>
      </c>
      <c r="M13" s="35">
        <f>IF($F13="","",IFERROR(INDEX(사건마스터!$AK$5:$AK$64,MATCH($F13,사건마스터!$A$5:$A$64,0)),""))</f>
        <v/>
      </c>
      <c r="N13" s="35">
        <f>IF($F13="","",IFERROR(INDEX(사건마스터!$AL$5:$AL$64,MATCH($F13,사건마스터!$A$5:$A$64,0)),""))</f>
        <v/>
      </c>
      <c r="O13" s="35">
        <f>IF($F13="","",IFERROR(INDEX(사건마스터!$AM$5:$AM$64,MATCH($F13,사건마스터!$A$5:$A$64,0)),""))</f>
        <v/>
      </c>
      <c r="P13" s="35">
        <f>IF($F13="","",IFERROR(INDEX(사건마스터!$AN$5:$AN$64,MATCH($F13,사건마스터!$A$5:$A$64,0)),""))</f>
        <v/>
      </c>
      <c r="Q13" s="35">
        <f>IF($F13="","",IFERROR(INDEX(사건마스터!$AO$5:$AO$64,MATCH($F13,사건마스터!$A$5:$A$64,0)),""))</f>
        <v/>
      </c>
      <c r="R13" s="35">
        <f>IF($F13="","",IFERROR(INDEX(사건마스터!$AP$5:$AP$64,MATCH($F13,사건마스터!$A$5:$A$64,0)),""))</f>
        <v/>
      </c>
      <c r="S13" s="35">
        <f>IF($F13="","",IFERROR(INDEX(사건마스터!$AQ$5:$AQ$64,MATCH($F13,사건마스터!$A$5:$A$64,0)),""))</f>
        <v/>
      </c>
      <c r="T13" s="35">
        <f>IF($F13="","",IFERROR(INDEX(사건마스터!$AR$5:$AR$64,MATCH($F13,사건마스터!$A$5:$A$64,0)),""))</f>
        <v/>
      </c>
      <c r="U13" s="35">
        <f>IF($F13="","",IFERROR(INDEX(사건마스터!$AS$5:$AS$64,MATCH($F13,사건마스터!$A$5:$A$64,0)),""))</f>
        <v/>
      </c>
      <c r="V13" s="35">
        <f>IF($F13="","",IFERROR(INDEX(사건마스터!$AT$5:$AT$64,MATCH($F13,사건마스터!$A$5:$A$64,0)),""))</f>
        <v/>
      </c>
      <c r="W13" s="35">
        <f>IF($F13="","",IFERROR(INDEX(사건마스터!$AU$5:$AU$64,MATCH($F13,사건마스터!$A$5:$A$64,0)),""))</f>
        <v/>
      </c>
      <c r="X13" s="35">
        <f>IF($F13="","",IFERROR(INDEX(사건마스터!$AV$5:$AV$64,MATCH($F13,사건마스터!$A$5:$A$64,0)),""))</f>
        <v/>
      </c>
      <c r="Y13" s="30">
        <f>IF($I13="","",COUNTIF($I13:$X13,"?*"))</f>
        <v/>
      </c>
      <c r="Z13" s="33">
        <f>IF($I13="","",_xlfn.TEXTJOIN(", ",TRUE,$I13:$X13))</f>
        <v/>
      </c>
      <c r="AA13" s="34">
        <f>IF($I13="","",IFERROR(INDEX(코드설정!$D$5:$D$24,MATCH($I13,코드설정!$C$5:$C$24,0)),""))</f>
        <v/>
      </c>
      <c r="AB13" s="36" t="n"/>
      <c r="AC13" s="37" t="n"/>
      <c r="AD13" s="38" t="n"/>
      <c r="AE13" s="30">
        <f>IF(OR($B13="",$C13=""),"",$C13-$B13+1)</f>
        <v/>
      </c>
      <c r="AF13" s="32" t="n"/>
      <c r="AG13" s="36" t="n"/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3">
        <f>IF($F14="","",IFERROR(INDEX(사건마스터!$B$5:$B$64,MATCH($F14,사건마스터!$A$5:$A$64,0)),""))</f>
        <v/>
      </c>
      <c r="H14" s="34">
        <f>IF($F14="","",IFERROR(INDEX(사건마스터!$C$5:$C$64,MATCH($F14,사건마스터!$A$5:$A$64,0)),""))</f>
        <v/>
      </c>
      <c r="I14" s="35">
        <f>IF($F14="","",IFERROR(INDEX(사건마스터!$H$5:$H$64,MATCH($F14,사건마스터!$A$5:$A$64,0)),""))</f>
        <v/>
      </c>
      <c r="J14" s="35">
        <f>IF($F14="","",IFERROR(INDEX(사건마스터!$AH$5:$AH$64,MATCH($F14,사건마스터!$A$5:$A$64,0)),""))</f>
        <v/>
      </c>
      <c r="K14" s="35">
        <f>IF($F14="","",IFERROR(INDEX(사건마스터!$AI$5:$AI$64,MATCH($F14,사건마스터!$A$5:$A$64,0)),""))</f>
        <v/>
      </c>
      <c r="L14" s="35">
        <f>IF($F14="","",IFERROR(INDEX(사건마스터!$AJ$5:$AJ$64,MATCH($F14,사건마스터!$A$5:$A$64,0)),""))</f>
        <v/>
      </c>
      <c r="M14" s="35">
        <f>IF($F14="","",IFERROR(INDEX(사건마스터!$AK$5:$AK$64,MATCH($F14,사건마스터!$A$5:$A$64,0)),""))</f>
        <v/>
      </c>
      <c r="N14" s="35">
        <f>IF($F14="","",IFERROR(INDEX(사건마스터!$AL$5:$AL$64,MATCH($F14,사건마스터!$A$5:$A$64,0)),""))</f>
        <v/>
      </c>
      <c r="O14" s="35">
        <f>IF($F14="","",IFERROR(INDEX(사건마스터!$AM$5:$AM$64,MATCH($F14,사건마스터!$A$5:$A$64,0)),""))</f>
        <v/>
      </c>
      <c r="P14" s="35">
        <f>IF($F14="","",IFERROR(INDEX(사건마스터!$AN$5:$AN$64,MATCH($F14,사건마스터!$A$5:$A$64,0)),""))</f>
        <v/>
      </c>
      <c r="Q14" s="35">
        <f>IF($F14="","",IFERROR(INDEX(사건마스터!$AO$5:$AO$64,MATCH($F14,사건마스터!$A$5:$A$64,0)),""))</f>
        <v/>
      </c>
      <c r="R14" s="35">
        <f>IF($F14="","",IFERROR(INDEX(사건마스터!$AP$5:$AP$64,MATCH($F14,사건마스터!$A$5:$A$64,0)),""))</f>
        <v/>
      </c>
      <c r="S14" s="35">
        <f>IF($F14="","",IFERROR(INDEX(사건마스터!$AQ$5:$AQ$64,MATCH($F14,사건마스터!$A$5:$A$64,0)),""))</f>
        <v/>
      </c>
      <c r="T14" s="35">
        <f>IF($F14="","",IFERROR(INDEX(사건마스터!$AR$5:$AR$64,MATCH($F14,사건마스터!$A$5:$A$64,0)),""))</f>
        <v/>
      </c>
      <c r="U14" s="35">
        <f>IF($F14="","",IFERROR(INDEX(사건마스터!$AS$5:$AS$64,MATCH($F14,사건마스터!$A$5:$A$64,0)),""))</f>
        <v/>
      </c>
      <c r="V14" s="35">
        <f>IF($F14="","",IFERROR(INDEX(사건마스터!$AT$5:$AT$64,MATCH($F14,사건마스터!$A$5:$A$64,0)),""))</f>
        <v/>
      </c>
      <c r="W14" s="35">
        <f>IF($F14="","",IFERROR(INDEX(사건마스터!$AU$5:$AU$64,MATCH($F14,사건마스터!$A$5:$A$64,0)),""))</f>
        <v/>
      </c>
      <c r="X14" s="35">
        <f>IF($F14="","",IFERROR(INDEX(사건마스터!$AV$5:$AV$64,MATCH($F14,사건마스터!$A$5:$A$64,0)),""))</f>
        <v/>
      </c>
      <c r="Y14" s="30">
        <f>IF($I14="","",COUNTIF($I14:$X14,"?*"))</f>
        <v/>
      </c>
      <c r="Z14" s="33">
        <f>IF($I14="","",_xlfn.TEXTJOIN(", ",TRUE,$I14:$X14))</f>
        <v/>
      </c>
      <c r="AA14" s="34">
        <f>IF($I14="","",IFERROR(INDEX(코드설정!$D$5:$D$24,MATCH($I14,코드설정!$C$5:$C$24,0)),""))</f>
        <v/>
      </c>
      <c r="AB14" s="36" t="n"/>
      <c r="AC14" s="37" t="n"/>
      <c r="AD14" s="38" t="n"/>
      <c r="AE14" s="30">
        <f>IF(OR($B14="",$C14=""),"",$C14-$B14+1)</f>
        <v/>
      </c>
      <c r="AF14" s="32" t="n"/>
      <c r="AG14" s="36" t="n"/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3">
        <f>IF($F15="","",IFERROR(INDEX(사건마스터!$B$5:$B$64,MATCH($F15,사건마스터!$A$5:$A$64,0)),""))</f>
        <v/>
      </c>
      <c r="H15" s="34">
        <f>IF($F15="","",IFERROR(INDEX(사건마스터!$C$5:$C$64,MATCH($F15,사건마스터!$A$5:$A$64,0)),""))</f>
        <v/>
      </c>
      <c r="I15" s="35">
        <f>IF($F15="","",IFERROR(INDEX(사건마스터!$H$5:$H$64,MATCH($F15,사건마스터!$A$5:$A$64,0)),""))</f>
        <v/>
      </c>
      <c r="J15" s="35">
        <f>IF($F15="","",IFERROR(INDEX(사건마스터!$AH$5:$AH$64,MATCH($F15,사건마스터!$A$5:$A$64,0)),""))</f>
        <v/>
      </c>
      <c r="K15" s="35">
        <f>IF($F15="","",IFERROR(INDEX(사건마스터!$AI$5:$AI$64,MATCH($F15,사건마스터!$A$5:$A$64,0)),""))</f>
        <v/>
      </c>
      <c r="L15" s="35">
        <f>IF($F15="","",IFERROR(INDEX(사건마스터!$AJ$5:$AJ$64,MATCH($F15,사건마스터!$A$5:$A$64,0)),""))</f>
        <v/>
      </c>
      <c r="M15" s="35">
        <f>IF($F15="","",IFERROR(INDEX(사건마스터!$AK$5:$AK$64,MATCH($F15,사건마스터!$A$5:$A$64,0)),""))</f>
        <v/>
      </c>
      <c r="N15" s="35">
        <f>IF($F15="","",IFERROR(INDEX(사건마스터!$AL$5:$AL$64,MATCH($F15,사건마스터!$A$5:$A$64,0)),""))</f>
        <v/>
      </c>
      <c r="O15" s="35">
        <f>IF($F15="","",IFERROR(INDEX(사건마스터!$AM$5:$AM$64,MATCH($F15,사건마스터!$A$5:$A$64,0)),""))</f>
        <v/>
      </c>
      <c r="P15" s="35">
        <f>IF($F15="","",IFERROR(INDEX(사건마스터!$AN$5:$AN$64,MATCH($F15,사건마스터!$A$5:$A$64,0)),""))</f>
        <v/>
      </c>
      <c r="Q15" s="35">
        <f>IF($F15="","",IFERROR(INDEX(사건마스터!$AO$5:$AO$64,MATCH($F15,사건마스터!$A$5:$A$64,0)),""))</f>
        <v/>
      </c>
      <c r="R15" s="35">
        <f>IF($F15="","",IFERROR(INDEX(사건마스터!$AP$5:$AP$64,MATCH($F15,사건마스터!$A$5:$A$64,0)),""))</f>
        <v/>
      </c>
      <c r="S15" s="35">
        <f>IF($F15="","",IFERROR(INDEX(사건마스터!$AQ$5:$AQ$64,MATCH($F15,사건마스터!$A$5:$A$64,0)),""))</f>
        <v/>
      </c>
      <c r="T15" s="35">
        <f>IF($F15="","",IFERROR(INDEX(사건마스터!$AR$5:$AR$64,MATCH($F15,사건마스터!$A$5:$A$64,0)),""))</f>
        <v/>
      </c>
      <c r="U15" s="35">
        <f>IF($F15="","",IFERROR(INDEX(사건마스터!$AS$5:$AS$64,MATCH($F15,사건마스터!$A$5:$A$64,0)),""))</f>
        <v/>
      </c>
      <c r="V15" s="35">
        <f>IF($F15="","",IFERROR(INDEX(사건마스터!$AT$5:$AT$64,MATCH($F15,사건마스터!$A$5:$A$64,0)),""))</f>
        <v/>
      </c>
      <c r="W15" s="35">
        <f>IF($F15="","",IFERROR(INDEX(사건마스터!$AU$5:$AU$64,MATCH($F15,사건마스터!$A$5:$A$64,0)),""))</f>
        <v/>
      </c>
      <c r="X15" s="35">
        <f>IF($F15="","",IFERROR(INDEX(사건마스터!$AV$5:$AV$64,MATCH($F15,사건마스터!$A$5:$A$64,0)),""))</f>
        <v/>
      </c>
      <c r="Y15" s="30">
        <f>IF($I15="","",COUNTIF($I15:$X15,"?*"))</f>
        <v/>
      </c>
      <c r="Z15" s="33">
        <f>IF($I15="","",_xlfn.TEXTJOIN(", ",TRUE,$I15:$X15))</f>
        <v/>
      </c>
      <c r="AA15" s="34">
        <f>IF($I15="","",IFERROR(INDEX(코드설정!$D$5:$D$24,MATCH($I15,코드설정!$C$5:$C$24,0)),""))</f>
        <v/>
      </c>
      <c r="AB15" s="36" t="n"/>
      <c r="AC15" s="37" t="n"/>
      <c r="AD15" s="38" t="n"/>
      <c r="AE15" s="30">
        <f>IF(OR($B15="",$C15=""),"",$C15-$B15+1)</f>
        <v/>
      </c>
      <c r="AF15" s="32" t="n"/>
      <c r="AG15" s="36" t="n"/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3">
        <f>IF($F16="","",IFERROR(INDEX(사건마스터!$B$5:$B$64,MATCH($F16,사건마스터!$A$5:$A$64,0)),""))</f>
        <v/>
      </c>
      <c r="H16" s="34">
        <f>IF($F16="","",IFERROR(INDEX(사건마스터!$C$5:$C$64,MATCH($F16,사건마스터!$A$5:$A$64,0)),""))</f>
        <v/>
      </c>
      <c r="I16" s="35">
        <f>IF($F16="","",IFERROR(INDEX(사건마스터!$H$5:$H$64,MATCH($F16,사건마스터!$A$5:$A$64,0)),""))</f>
        <v/>
      </c>
      <c r="J16" s="35">
        <f>IF($F16="","",IFERROR(INDEX(사건마스터!$AH$5:$AH$64,MATCH($F16,사건마스터!$A$5:$A$64,0)),""))</f>
        <v/>
      </c>
      <c r="K16" s="35">
        <f>IF($F16="","",IFERROR(INDEX(사건마스터!$AI$5:$AI$64,MATCH($F16,사건마스터!$A$5:$A$64,0)),""))</f>
        <v/>
      </c>
      <c r="L16" s="35">
        <f>IF($F16="","",IFERROR(INDEX(사건마스터!$AJ$5:$AJ$64,MATCH($F16,사건마스터!$A$5:$A$64,0)),""))</f>
        <v/>
      </c>
      <c r="M16" s="35">
        <f>IF($F16="","",IFERROR(INDEX(사건마스터!$AK$5:$AK$64,MATCH($F16,사건마스터!$A$5:$A$64,0)),""))</f>
        <v/>
      </c>
      <c r="N16" s="35">
        <f>IF($F16="","",IFERROR(INDEX(사건마스터!$AL$5:$AL$64,MATCH($F16,사건마스터!$A$5:$A$64,0)),""))</f>
        <v/>
      </c>
      <c r="O16" s="35">
        <f>IF($F16="","",IFERROR(INDEX(사건마스터!$AM$5:$AM$64,MATCH($F16,사건마스터!$A$5:$A$64,0)),""))</f>
        <v/>
      </c>
      <c r="P16" s="35">
        <f>IF($F16="","",IFERROR(INDEX(사건마스터!$AN$5:$AN$64,MATCH($F16,사건마스터!$A$5:$A$64,0)),""))</f>
        <v/>
      </c>
      <c r="Q16" s="35">
        <f>IF($F16="","",IFERROR(INDEX(사건마스터!$AO$5:$AO$64,MATCH($F16,사건마스터!$A$5:$A$64,0)),""))</f>
        <v/>
      </c>
      <c r="R16" s="35">
        <f>IF($F16="","",IFERROR(INDEX(사건마스터!$AP$5:$AP$64,MATCH($F16,사건마스터!$A$5:$A$64,0)),""))</f>
        <v/>
      </c>
      <c r="S16" s="35">
        <f>IF($F16="","",IFERROR(INDEX(사건마스터!$AQ$5:$AQ$64,MATCH($F16,사건마스터!$A$5:$A$64,0)),""))</f>
        <v/>
      </c>
      <c r="T16" s="35">
        <f>IF($F16="","",IFERROR(INDEX(사건마스터!$AR$5:$AR$64,MATCH($F16,사건마스터!$A$5:$A$64,0)),""))</f>
        <v/>
      </c>
      <c r="U16" s="35">
        <f>IF($F16="","",IFERROR(INDEX(사건마스터!$AS$5:$AS$64,MATCH($F16,사건마스터!$A$5:$A$64,0)),""))</f>
        <v/>
      </c>
      <c r="V16" s="35">
        <f>IF($F16="","",IFERROR(INDEX(사건마스터!$AT$5:$AT$64,MATCH($F16,사건마스터!$A$5:$A$64,0)),""))</f>
        <v/>
      </c>
      <c r="W16" s="35">
        <f>IF($F16="","",IFERROR(INDEX(사건마스터!$AU$5:$AU$64,MATCH($F16,사건마스터!$A$5:$A$64,0)),""))</f>
        <v/>
      </c>
      <c r="X16" s="35">
        <f>IF($F16="","",IFERROR(INDEX(사건마스터!$AV$5:$AV$64,MATCH($F16,사건마스터!$A$5:$A$64,0)),""))</f>
        <v/>
      </c>
      <c r="Y16" s="30">
        <f>IF($I16="","",COUNTIF($I16:$X16,"?*"))</f>
        <v/>
      </c>
      <c r="Z16" s="33">
        <f>IF($I16="","",_xlfn.TEXTJOIN(", ",TRUE,$I16:$X16))</f>
        <v/>
      </c>
      <c r="AA16" s="34">
        <f>IF($I16="","",IFERROR(INDEX(코드설정!$D$5:$D$24,MATCH($I16,코드설정!$C$5:$C$24,0)),""))</f>
        <v/>
      </c>
      <c r="AB16" s="36" t="n"/>
      <c r="AC16" s="37" t="n"/>
      <c r="AD16" s="38" t="n"/>
      <c r="AE16" s="30">
        <f>IF(OR($B16="",$C16=""),"",$C16-$B16+1)</f>
        <v/>
      </c>
      <c r="AF16" s="32" t="n"/>
      <c r="AG16" s="36" t="n"/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3">
        <f>IF($F17="","",IFERROR(INDEX(사건마스터!$B$5:$B$64,MATCH($F17,사건마스터!$A$5:$A$64,0)),""))</f>
        <v/>
      </c>
      <c r="H17" s="34">
        <f>IF($F17="","",IFERROR(INDEX(사건마스터!$C$5:$C$64,MATCH($F17,사건마스터!$A$5:$A$64,0)),""))</f>
        <v/>
      </c>
      <c r="I17" s="35">
        <f>IF($F17="","",IFERROR(INDEX(사건마스터!$H$5:$H$64,MATCH($F17,사건마스터!$A$5:$A$64,0)),""))</f>
        <v/>
      </c>
      <c r="J17" s="35">
        <f>IF($F17="","",IFERROR(INDEX(사건마스터!$AH$5:$AH$64,MATCH($F17,사건마스터!$A$5:$A$64,0)),""))</f>
        <v/>
      </c>
      <c r="K17" s="35">
        <f>IF($F17="","",IFERROR(INDEX(사건마스터!$AI$5:$AI$64,MATCH($F17,사건마스터!$A$5:$A$64,0)),""))</f>
        <v/>
      </c>
      <c r="L17" s="35">
        <f>IF($F17="","",IFERROR(INDEX(사건마스터!$AJ$5:$AJ$64,MATCH($F17,사건마스터!$A$5:$A$64,0)),""))</f>
        <v/>
      </c>
      <c r="M17" s="35">
        <f>IF($F17="","",IFERROR(INDEX(사건마스터!$AK$5:$AK$64,MATCH($F17,사건마스터!$A$5:$A$64,0)),""))</f>
        <v/>
      </c>
      <c r="N17" s="35">
        <f>IF($F17="","",IFERROR(INDEX(사건마스터!$AL$5:$AL$64,MATCH($F17,사건마스터!$A$5:$A$64,0)),""))</f>
        <v/>
      </c>
      <c r="O17" s="35">
        <f>IF($F17="","",IFERROR(INDEX(사건마스터!$AM$5:$AM$64,MATCH($F17,사건마스터!$A$5:$A$64,0)),""))</f>
        <v/>
      </c>
      <c r="P17" s="35">
        <f>IF($F17="","",IFERROR(INDEX(사건마스터!$AN$5:$AN$64,MATCH($F17,사건마스터!$A$5:$A$64,0)),""))</f>
        <v/>
      </c>
      <c r="Q17" s="35">
        <f>IF($F17="","",IFERROR(INDEX(사건마스터!$AO$5:$AO$64,MATCH($F17,사건마스터!$A$5:$A$64,0)),""))</f>
        <v/>
      </c>
      <c r="R17" s="35">
        <f>IF($F17="","",IFERROR(INDEX(사건마스터!$AP$5:$AP$64,MATCH($F17,사건마스터!$A$5:$A$64,0)),""))</f>
        <v/>
      </c>
      <c r="S17" s="35">
        <f>IF($F17="","",IFERROR(INDEX(사건마스터!$AQ$5:$AQ$64,MATCH($F17,사건마스터!$A$5:$A$64,0)),""))</f>
        <v/>
      </c>
      <c r="T17" s="35">
        <f>IF($F17="","",IFERROR(INDEX(사건마스터!$AR$5:$AR$64,MATCH($F17,사건마스터!$A$5:$A$64,0)),""))</f>
        <v/>
      </c>
      <c r="U17" s="35">
        <f>IF($F17="","",IFERROR(INDEX(사건마스터!$AS$5:$AS$64,MATCH($F17,사건마스터!$A$5:$A$64,0)),""))</f>
        <v/>
      </c>
      <c r="V17" s="35">
        <f>IF($F17="","",IFERROR(INDEX(사건마스터!$AT$5:$AT$64,MATCH($F17,사건마스터!$A$5:$A$64,0)),""))</f>
        <v/>
      </c>
      <c r="W17" s="35">
        <f>IF($F17="","",IFERROR(INDEX(사건마스터!$AU$5:$AU$64,MATCH($F17,사건마스터!$A$5:$A$64,0)),""))</f>
        <v/>
      </c>
      <c r="X17" s="35">
        <f>IF($F17="","",IFERROR(INDEX(사건마스터!$AV$5:$AV$64,MATCH($F17,사건마스터!$A$5:$A$64,0)),""))</f>
        <v/>
      </c>
      <c r="Y17" s="30">
        <f>IF($I17="","",COUNTIF($I17:$X17,"?*"))</f>
        <v/>
      </c>
      <c r="Z17" s="33">
        <f>IF($I17="","",_xlfn.TEXTJOIN(", ",TRUE,$I17:$X17))</f>
        <v/>
      </c>
      <c r="AA17" s="34">
        <f>IF($I17="","",IFERROR(INDEX(코드설정!$D$5:$D$24,MATCH($I17,코드설정!$C$5:$C$24,0)),""))</f>
        <v/>
      </c>
      <c r="AB17" s="36" t="n"/>
      <c r="AC17" s="37" t="n"/>
      <c r="AD17" s="38" t="n"/>
      <c r="AE17" s="30">
        <f>IF(OR($B17="",$C17=""),"",$C17-$B17+1)</f>
        <v/>
      </c>
      <c r="AF17" s="32" t="n"/>
      <c r="AG17" s="36" t="n"/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3">
        <f>IF($F18="","",IFERROR(INDEX(사건마스터!$B$5:$B$64,MATCH($F18,사건마스터!$A$5:$A$64,0)),""))</f>
        <v/>
      </c>
      <c r="H18" s="34">
        <f>IF($F18="","",IFERROR(INDEX(사건마스터!$C$5:$C$64,MATCH($F18,사건마스터!$A$5:$A$64,0)),""))</f>
        <v/>
      </c>
      <c r="I18" s="35">
        <f>IF($F18="","",IFERROR(INDEX(사건마스터!$H$5:$H$64,MATCH($F18,사건마스터!$A$5:$A$64,0)),""))</f>
        <v/>
      </c>
      <c r="J18" s="35">
        <f>IF($F18="","",IFERROR(INDEX(사건마스터!$AH$5:$AH$64,MATCH($F18,사건마스터!$A$5:$A$64,0)),""))</f>
        <v/>
      </c>
      <c r="K18" s="35">
        <f>IF($F18="","",IFERROR(INDEX(사건마스터!$AI$5:$AI$64,MATCH($F18,사건마스터!$A$5:$A$64,0)),""))</f>
        <v/>
      </c>
      <c r="L18" s="35">
        <f>IF($F18="","",IFERROR(INDEX(사건마스터!$AJ$5:$AJ$64,MATCH($F18,사건마스터!$A$5:$A$64,0)),""))</f>
        <v/>
      </c>
      <c r="M18" s="35">
        <f>IF($F18="","",IFERROR(INDEX(사건마스터!$AK$5:$AK$64,MATCH($F18,사건마스터!$A$5:$A$64,0)),""))</f>
        <v/>
      </c>
      <c r="N18" s="35">
        <f>IF($F18="","",IFERROR(INDEX(사건마스터!$AL$5:$AL$64,MATCH($F18,사건마스터!$A$5:$A$64,0)),""))</f>
        <v/>
      </c>
      <c r="O18" s="35">
        <f>IF($F18="","",IFERROR(INDEX(사건마스터!$AM$5:$AM$64,MATCH($F18,사건마스터!$A$5:$A$64,0)),""))</f>
        <v/>
      </c>
      <c r="P18" s="35">
        <f>IF($F18="","",IFERROR(INDEX(사건마스터!$AN$5:$AN$64,MATCH($F18,사건마스터!$A$5:$A$64,0)),""))</f>
        <v/>
      </c>
      <c r="Q18" s="35">
        <f>IF($F18="","",IFERROR(INDEX(사건마스터!$AO$5:$AO$64,MATCH($F18,사건마스터!$A$5:$A$64,0)),""))</f>
        <v/>
      </c>
      <c r="R18" s="35">
        <f>IF($F18="","",IFERROR(INDEX(사건마스터!$AP$5:$AP$64,MATCH($F18,사건마스터!$A$5:$A$64,0)),""))</f>
        <v/>
      </c>
      <c r="S18" s="35">
        <f>IF($F18="","",IFERROR(INDEX(사건마스터!$AQ$5:$AQ$64,MATCH($F18,사건마스터!$A$5:$A$64,0)),""))</f>
        <v/>
      </c>
      <c r="T18" s="35">
        <f>IF($F18="","",IFERROR(INDEX(사건마스터!$AR$5:$AR$64,MATCH($F18,사건마스터!$A$5:$A$64,0)),""))</f>
        <v/>
      </c>
      <c r="U18" s="35">
        <f>IF($F18="","",IFERROR(INDEX(사건마스터!$AS$5:$AS$64,MATCH($F18,사건마스터!$A$5:$A$64,0)),""))</f>
        <v/>
      </c>
      <c r="V18" s="35">
        <f>IF($F18="","",IFERROR(INDEX(사건마스터!$AT$5:$AT$64,MATCH($F18,사건마스터!$A$5:$A$64,0)),""))</f>
        <v/>
      </c>
      <c r="W18" s="35">
        <f>IF($F18="","",IFERROR(INDEX(사건마스터!$AU$5:$AU$64,MATCH($F18,사건마스터!$A$5:$A$64,0)),""))</f>
        <v/>
      </c>
      <c r="X18" s="35">
        <f>IF($F18="","",IFERROR(INDEX(사건마스터!$AV$5:$AV$64,MATCH($F18,사건마스터!$A$5:$A$64,0)),""))</f>
        <v/>
      </c>
      <c r="Y18" s="30">
        <f>IF($I18="","",COUNTIF($I18:$X18,"?*"))</f>
        <v/>
      </c>
      <c r="Z18" s="33">
        <f>IF($I18="","",_xlfn.TEXTJOIN(", ",TRUE,$I18:$X18))</f>
        <v/>
      </c>
      <c r="AA18" s="34">
        <f>IF($I18="","",IFERROR(INDEX(코드설정!$D$5:$D$24,MATCH($I18,코드설정!$C$5:$C$24,0)),""))</f>
        <v/>
      </c>
      <c r="AB18" s="36" t="n"/>
      <c r="AC18" s="37" t="n"/>
      <c r="AD18" s="38" t="n"/>
      <c r="AE18" s="30">
        <f>IF(OR($B18="",$C18=""),"",$C18-$B18+1)</f>
        <v/>
      </c>
      <c r="AF18" s="32" t="n"/>
      <c r="AG18" s="36" t="n"/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3">
        <f>IF($F19="","",IFERROR(INDEX(사건마스터!$B$5:$B$64,MATCH($F19,사건마스터!$A$5:$A$64,0)),""))</f>
        <v/>
      </c>
      <c r="H19" s="34">
        <f>IF($F19="","",IFERROR(INDEX(사건마스터!$C$5:$C$64,MATCH($F19,사건마스터!$A$5:$A$64,0)),""))</f>
        <v/>
      </c>
      <c r="I19" s="35">
        <f>IF($F19="","",IFERROR(INDEX(사건마스터!$H$5:$H$64,MATCH($F19,사건마스터!$A$5:$A$64,0)),""))</f>
        <v/>
      </c>
      <c r="J19" s="35">
        <f>IF($F19="","",IFERROR(INDEX(사건마스터!$AH$5:$AH$64,MATCH($F19,사건마스터!$A$5:$A$64,0)),""))</f>
        <v/>
      </c>
      <c r="K19" s="35">
        <f>IF($F19="","",IFERROR(INDEX(사건마스터!$AI$5:$AI$64,MATCH($F19,사건마스터!$A$5:$A$64,0)),""))</f>
        <v/>
      </c>
      <c r="L19" s="35">
        <f>IF($F19="","",IFERROR(INDEX(사건마스터!$AJ$5:$AJ$64,MATCH($F19,사건마스터!$A$5:$A$64,0)),""))</f>
        <v/>
      </c>
      <c r="M19" s="35">
        <f>IF($F19="","",IFERROR(INDEX(사건마스터!$AK$5:$AK$64,MATCH($F19,사건마스터!$A$5:$A$64,0)),""))</f>
        <v/>
      </c>
      <c r="N19" s="35">
        <f>IF($F19="","",IFERROR(INDEX(사건마스터!$AL$5:$AL$64,MATCH($F19,사건마스터!$A$5:$A$64,0)),""))</f>
        <v/>
      </c>
      <c r="O19" s="35">
        <f>IF($F19="","",IFERROR(INDEX(사건마스터!$AM$5:$AM$64,MATCH($F19,사건마스터!$A$5:$A$64,0)),""))</f>
        <v/>
      </c>
      <c r="P19" s="35">
        <f>IF($F19="","",IFERROR(INDEX(사건마스터!$AN$5:$AN$64,MATCH($F19,사건마스터!$A$5:$A$64,0)),""))</f>
        <v/>
      </c>
      <c r="Q19" s="35">
        <f>IF($F19="","",IFERROR(INDEX(사건마스터!$AO$5:$AO$64,MATCH($F19,사건마스터!$A$5:$A$64,0)),""))</f>
        <v/>
      </c>
      <c r="R19" s="35">
        <f>IF($F19="","",IFERROR(INDEX(사건마스터!$AP$5:$AP$64,MATCH($F19,사건마스터!$A$5:$A$64,0)),""))</f>
        <v/>
      </c>
      <c r="S19" s="35">
        <f>IF($F19="","",IFERROR(INDEX(사건마스터!$AQ$5:$AQ$64,MATCH($F19,사건마스터!$A$5:$A$64,0)),""))</f>
        <v/>
      </c>
      <c r="T19" s="35">
        <f>IF($F19="","",IFERROR(INDEX(사건마스터!$AR$5:$AR$64,MATCH($F19,사건마스터!$A$5:$A$64,0)),""))</f>
        <v/>
      </c>
      <c r="U19" s="35">
        <f>IF($F19="","",IFERROR(INDEX(사건마스터!$AS$5:$AS$64,MATCH($F19,사건마스터!$A$5:$A$64,0)),""))</f>
        <v/>
      </c>
      <c r="V19" s="35">
        <f>IF($F19="","",IFERROR(INDEX(사건마스터!$AT$5:$AT$64,MATCH($F19,사건마스터!$A$5:$A$64,0)),""))</f>
        <v/>
      </c>
      <c r="W19" s="35">
        <f>IF($F19="","",IFERROR(INDEX(사건마스터!$AU$5:$AU$64,MATCH($F19,사건마스터!$A$5:$A$64,0)),""))</f>
        <v/>
      </c>
      <c r="X19" s="35">
        <f>IF($F19="","",IFERROR(INDEX(사건마스터!$AV$5:$AV$64,MATCH($F19,사건마스터!$A$5:$A$64,0)),""))</f>
        <v/>
      </c>
      <c r="Y19" s="30">
        <f>IF($I19="","",COUNTIF($I19:$X19,"?*"))</f>
        <v/>
      </c>
      <c r="Z19" s="33">
        <f>IF($I19="","",_xlfn.TEXTJOIN(", ",TRUE,$I19:$X19))</f>
        <v/>
      </c>
      <c r="AA19" s="34">
        <f>IF($I19="","",IFERROR(INDEX(코드설정!$D$5:$D$24,MATCH($I19,코드설정!$C$5:$C$24,0)),""))</f>
        <v/>
      </c>
      <c r="AB19" s="36" t="n"/>
      <c r="AC19" s="37" t="n"/>
      <c r="AD19" s="38" t="n"/>
      <c r="AE19" s="30">
        <f>IF(OR($B19="",$C19=""),"",$C19-$B19+1)</f>
        <v/>
      </c>
      <c r="AF19" s="32" t="n"/>
      <c r="AG19" s="36" t="n"/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3">
        <f>IF($F20="","",IFERROR(INDEX(사건마스터!$B$5:$B$64,MATCH($F20,사건마스터!$A$5:$A$64,0)),""))</f>
        <v/>
      </c>
      <c r="H20" s="34">
        <f>IF($F20="","",IFERROR(INDEX(사건마스터!$C$5:$C$64,MATCH($F20,사건마스터!$A$5:$A$64,0)),""))</f>
        <v/>
      </c>
      <c r="I20" s="35">
        <f>IF($F20="","",IFERROR(INDEX(사건마스터!$H$5:$H$64,MATCH($F20,사건마스터!$A$5:$A$64,0)),""))</f>
        <v/>
      </c>
      <c r="J20" s="35">
        <f>IF($F20="","",IFERROR(INDEX(사건마스터!$AH$5:$AH$64,MATCH($F20,사건마스터!$A$5:$A$64,0)),""))</f>
        <v/>
      </c>
      <c r="K20" s="35">
        <f>IF($F20="","",IFERROR(INDEX(사건마스터!$AI$5:$AI$64,MATCH($F20,사건마스터!$A$5:$A$64,0)),""))</f>
        <v/>
      </c>
      <c r="L20" s="35">
        <f>IF($F20="","",IFERROR(INDEX(사건마스터!$AJ$5:$AJ$64,MATCH($F20,사건마스터!$A$5:$A$64,0)),""))</f>
        <v/>
      </c>
      <c r="M20" s="35">
        <f>IF($F20="","",IFERROR(INDEX(사건마스터!$AK$5:$AK$64,MATCH($F20,사건마스터!$A$5:$A$64,0)),""))</f>
        <v/>
      </c>
      <c r="N20" s="35">
        <f>IF($F20="","",IFERROR(INDEX(사건마스터!$AL$5:$AL$64,MATCH($F20,사건마스터!$A$5:$A$64,0)),""))</f>
        <v/>
      </c>
      <c r="O20" s="35">
        <f>IF($F20="","",IFERROR(INDEX(사건마스터!$AM$5:$AM$64,MATCH($F20,사건마스터!$A$5:$A$64,0)),""))</f>
        <v/>
      </c>
      <c r="P20" s="35">
        <f>IF($F20="","",IFERROR(INDEX(사건마스터!$AN$5:$AN$64,MATCH($F20,사건마스터!$A$5:$A$64,0)),""))</f>
        <v/>
      </c>
      <c r="Q20" s="35">
        <f>IF($F20="","",IFERROR(INDEX(사건마스터!$AO$5:$AO$64,MATCH($F20,사건마스터!$A$5:$A$64,0)),""))</f>
        <v/>
      </c>
      <c r="R20" s="35">
        <f>IF($F20="","",IFERROR(INDEX(사건마스터!$AP$5:$AP$64,MATCH($F20,사건마스터!$A$5:$A$64,0)),""))</f>
        <v/>
      </c>
      <c r="S20" s="35">
        <f>IF($F20="","",IFERROR(INDEX(사건마스터!$AQ$5:$AQ$64,MATCH($F20,사건마스터!$A$5:$A$64,0)),""))</f>
        <v/>
      </c>
      <c r="T20" s="35">
        <f>IF($F20="","",IFERROR(INDEX(사건마스터!$AR$5:$AR$64,MATCH($F20,사건마스터!$A$5:$A$64,0)),""))</f>
        <v/>
      </c>
      <c r="U20" s="35">
        <f>IF($F20="","",IFERROR(INDEX(사건마스터!$AS$5:$AS$64,MATCH($F20,사건마스터!$A$5:$A$64,0)),""))</f>
        <v/>
      </c>
      <c r="V20" s="35">
        <f>IF($F20="","",IFERROR(INDEX(사건마스터!$AT$5:$AT$64,MATCH($F20,사건마스터!$A$5:$A$64,0)),""))</f>
        <v/>
      </c>
      <c r="W20" s="35">
        <f>IF($F20="","",IFERROR(INDEX(사건마스터!$AU$5:$AU$64,MATCH($F20,사건마스터!$A$5:$A$64,0)),""))</f>
        <v/>
      </c>
      <c r="X20" s="35">
        <f>IF($F20="","",IFERROR(INDEX(사건마스터!$AV$5:$AV$64,MATCH($F20,사건마스터!$A$5:$A$64,0)),""))</f>
        <v/>
      </c>
      <c r="Y20" s="30">
        <f>IF($I20="","",COUNTIF($I20:$X20,"?*"))</f>
        <v/>
      </c>
      <c r="Z20" s="33">
        <f>IF($I20="","",_xlfn.TEXTJOIN(", ",TRUE,$I20:$X20))</f>
        <v/>
      </c>
      <c r="AA20" s="34">
        <f>IF($I20="","",IFERROR(INDEX(코드설정!$D$5:$D$24,MATCH($I20,코드설정!$C$5:$C$24,0)),""))</f>
        <v/>
      </c>
      <c r="AB20" s="36" t="n"/>
      <c r="AC20" s="37" t="n"/>
      <c r="AD20" s="38" t="n"/>
      <c r="AE20" s="30">
        <f>IF(OR($B20="",$C20=""),"",$C20-$B20+1)</f>
        <v/>
      </c>
      <c r="AF20" s="32" t="n"/>
      <c r="AG20" s="36" t="n"/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3">
        <f>IF($F21="","",IFERROR(INDEX(사건마스터!$B$5:$B$64,MATCH($F21,사건마스터!$A$5:$A$64,0)),""))</f>
        <v/>
      </c>
      <c r="H21" s="34">
        <f>IF($F21="","",IFERROR(INDEX(사건마스터!$C$5:$C$64,MATCH($F21,사건마스터!$A$5:$A$64,0)),""))</f>
        <v/>
      </c>
      <c r="I21" s="35">
        <f>IF($F21="","",IFERROR(INDEX(사건마스터!$H$5:$H$64,MATCH($F21,사건마스터!$A$5:$A$64,0)),""))</f>
        <v/>
      </c>
      <c r="J21" s="35">
        <f>IF($F21="","",IFERROR(INDEX(사건마스터!$AH$5:$AH$64,MATCH($F21,사건마스터!$A$5:$A$64,0)),""))</f>
        <v/>
      </c>
      <c r="K21" s="35">
        <f>IF($F21="","",IFERROR(INDEX(사건마스터!$AI$5:$AI$64,MATCH($F21,사건마스터!$A$5:$A$64,0)),""))</f>
        <v/>
      </c>
      <c r="L21" s="35">
        <f>IF($F21="","",IFERROR(INDEX(사건마스터!$AJ$5:$AJ$64,MATCH($F21,사건마스터!$A$5:$A$64,0)),""))</f>
        <v/>
      </c>
      <c r="M21" s="35">
        <f>IF($F21="","",IFERROR(INDEX(사건마스터!$AK$5:$AK$64,MATCH($F21,사건마스터!$A$5:$A$64,0)),""))</f>
        <v/>
      </c>
      <c r="N21" s="35">
        <f>IF($F21="","",IFERROR(INDEX(사건마스터!$AL$5:$AL$64,MATCH($F21,사건마스터!$A$5:$A$64,0)),""))</f>
        <v/>
      </c>
      <c r="O21" s="35">
        <f>IF($F21="","",IFERROR(INDEX(사건마스터!$AM$5:$AM$64,MATCH($F21,사건마스터!$A$5:$A$64,0)),""))</f>
        <v/>
      </c>
      <c r="P21" s="35">
        <f>IF($F21="","",IFERROR(INDEX(사건마스터!$AN$5:$AN$64,MATCH($F21,사건마스터!$A$5:$A$64,0)),""))</f>
        <v/>
      </c>
      <c r="Q21" s="35">
        <f>IF($F21="","",IFERROR(INDEX(사건마스터!$AO$5:$AO$64,MATCH($F21,사건마스터!$A$5:$A$64,0)),""))</f>
        <v/>
      </c>
      <c r="R21" s="35">
        <f>IF($F21="","",IFERROR(INDEX(사건마스터!$AP$5:$AP$64,MATCH($F21,사건마스터!$A$5:$A$64,0)),""))</f>
        <v/>
      </c>
      <c r="S21" s="35">
        <f>IF($F21="","",IFERROR(INDEX(사건마스터!$AQ$5:$AQ$64,MATCH($F21,사건마스터!$A$5:$A$64,0)),""))</f>
        <v/>
      </c>
      <c r="T21" s="35">
        <f>IF($F21="","",IFERROR(INDEX(사건마스터!$AR$5:$AR$64,MATCH($F21,사건마스터!$A$5:$A$64,0)),""))</f>
        <v/>
      </c>
      <c r="U21" s="35">
        <f>IF($F21="","",IFERROR(INDEX(사건마스터!$AS$5:$AS$64,MATCH($F21,사건마스터!$A$5:$A$64,0)),""))</f>
        <v/>
      </c>
      <c r="V21" s="35">
        <f>IF($F21="","",IFERROR(INDEX(사건마스터!$AT$5:$AT$64,MATCH($F21,사건마스터!$A$5:$A$64,0)),""))</f>
        <v/>
      </c>
      <c r="W21" s="35">
        <f>IF($F21="","",IFERROR(INDEX(사건마스터!$AU$5:$AU$64,MATCH($F21,사건마스터!$A$5:$A$64,0)),""))</f>
        <v/>
      </c>
      <c r="X21" s="35">
        <f>IF($F21="","",IFERROR(INDEX(사건마스터!$AV$5:$AV$64,MATCH($F21,사건마스터!$A$5:$A$64,0)),""))</f>
        <v/>
      </c>
      <c r="Y21" s="30">
        <f>IF($I21="","",COUNTIF($I21:$X21,"?*"))</f>
        <v/>
      </c>
      <c r="Z21" s="33">
        <f>IF($I21="","",_xlfn.TEXTJOIN(", ",TRUE,$I21:$X21))</f>
        <v/>
      </c>
      <c r="AA21" s="34">
        <f>IF($I21="","",IFERROR(INDEX(코드설정!$D$5:$D$24,MATCH($I21,코드설정!$C$5:$C$24,0)),""))</f>
        <v/>
      </c>
      <c r="AB21" s="36" t="n"/>
      <c r="AC21" s="37" t="n"/>
      <c r="AD21" s="38" t="n"/>
      <c r="AE21" s="30">
        <f>IF(OR($B21="",$C21=""),"",$C21-$B21+1)</f>
        <v/>
      </c>
      <c r="AF21" s="32" t="n"/>
      <c r="AG21" s="36" t="n"/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3">
        <f>IF($F22="","",IFERROR(INDEX(사건마스터!$B$5:$B$64,MATCH($F22,사건마스터!$A$5:$A$64,0)),""))</f>
        <v/>
      </c>
      <c r="H22" s="34">
        <f>IF($F22="","",IFERROR(INDEX(사건마스터!$C$5:$C$64,MATCH($F22,사건마스터!$A$5:$A$64,0)),""))</f>
        <v/>
      </c>
      <c r="I22" s="35">
        <f>IF($F22="","",IFERROR(INDEX(사건마스터!$H$5:$H$64,MATCH($F22,사건마스터!$A$5:$A$64,0)),""))</f>
        <v/>
      </c>
      <c r="J22" s="35">
        <f>IF($F22="","",IFERROR(INDEX(사건마스터!$AH$5:$AH$64,MATCH($F22,사건마스터!$A$5:$A$64,0)),""))</f>
        <v/>
      </c>
      <c r="K22" s="35">
        <f>IF($F22="","",IFERROR(INDEX(사건마스터!$AI$5:$AI$64,MATCH($F22,사건마스터!$A$5:$A$64,0)),""))</f>
        <v/>
      </c>
      <c r="L22" s="35">
        <f>IF($F22="","",IFERROR(INDEX(사건마스터!$AJ$5:$AJ$64,MATCH($F22,사건마스터!$A$5:$A$64,0)),""))</f>
        <v/>
      </c>
      <c r="M22" s="35">
        <f>IF($F22="","",IFERROR(INDEX(사건마스터!$AK$5:$AK$64,MATCH($F22,사건마스터!$A$5:$A$64,0)),""))</f>
        <v/>
      </c>
      <c r="N22" s="35">
        <f>IF($F22="","",IFERROR(INDEX(사건마스터!$AL$5:$AL$64,MATCH($F22,사건마스터!$A$5:$A$64,0)),""))</f>
        <v/>
      </c>
      <c r="O22" s="35">
        <f>IF($F22="","",IFERROR(INDEX(사건마스터!$AM$5:$AM$64,MATCH($F22,사건마스터!$A$5:$A$64,0)),""))</f>
        <v/>
      </c>
      <c r="P22" s="35">
        <f>IF($F22="","",IFERROR(INDEX(사건마스터!$AN$5:$AN$64,MATCH($F22,사건마스터!$A$5:$A$64,0)),""))</f>
        <v/>
      </c>
      <c r="Q22" s="35">
        <f>IF($F22="","",IFERROR(INDEX(사건마스터!$AO$5:$AO$64,MATCH($F22,사건마스터!$A$5:$A$64,0)),""))</f>
        <v/>
      </c>
      <c r="R22" s="35">
        <f>IF($F22="","",IFERROR(INDEX(사건마스터!$AP$5:$AP$64,MATCH($F22,사건마스터!$A$5:$A$64,0)),""))</f>
        <v/>
      </c>
      <c r="S22" s="35">
        <f>IF($F22="","",IFERROR(INDEX(사건마스터!$AQ$5:$AQ$64,MATCH($F22,사건마스터!$A$5:$A$64,0)),""))</f>
        <v/>
      </c>
      <c r="T22" s="35">
        <f>IF($F22="","",IFERROR(INDEX(사건마스터!$AR$5:$AR$64,MATCH($F22,사건마스터!$A$5:$A$64,0)),""))</f>
        <v/>
      </c>
      <c r="U22" s="35">
        <f>IF($F22="","",IFERROR(INDEX(사건마스터!$AS$5:$AS$64,MATCH($F22,사건마스터!$A$5:$A$64,0)),""))</f>
        <v/>
      </c>
      <c r="V22" s="35">
        <f>IF($F22="","",IFERROR(INDEX(사건마스터!$AT$5:$AT$64,MATCH($F22,사건마스터!$A$5:$A$64,0)),""))</f>
        <v/>
      </c>
      <c r="W22" s="35">
        <f>IF($F22="","",IFERROR(INDEX(사건마스터!$AU$5:$AU$64,MATCH($F22,사건마스터!$A$5:$A$64,0)),""))</f>
        <v/>
      </c>
      <c r="X22" s="35">
        <f>IF($F22="","",IFERROR(INDEX(사건마스터!$AV$5:$AV$64,MATCH($F22,사건마스터!$A$5:$A$64,0)),""))</f>
        <v/>
      </c>
      <c r="Y22" s="30">
        <f>IF($I22="","",COUNTIF($I22:$X22,"?*"))</f>
        <v/>
      </c>
      <c r="Z22" s="33">
        <f>IF($I22="","",_xlfn.TEXTJOIN(", ",TRUE,$I22:$X22))</f>
        <v/>
      </c>
      <c r="AA22" s="34">
        <f>IF($I22="","",IFERROR(INDEX(코드설정!$D$5:$D$24,MATCH($I22,코드설정!$C$5:$C$24,0)),""))</f>
        <v/>
      </c>
      <c r="AB22" s="36" t="n"/>
      <c r="AC22" s="37" t="n"/>
      <c r="AD22" s="38" t="n"/>
      <c r="AE22" s="30">
        <f>IF(OR($B22="",$C22=""),"",$C22-$B22+1)</f>
        <v/>
      </c>
      <c r="AF22" s="32" t="n"/>
      <c r="AG22" s="36" t="n"/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3">
        <f>IF($F23="","",IFERROR(INDEX(사건마스터!$B$5:$B$64,MATCH($F23,사건마스터!$A$5:$A$64,0)),""))</f>
        <v/>
      </c>
      <c r="H23" s="34">
        <f>IF($F23="","",IFERROR(INDEX(사건마스터!$C$5:$C$64,MATCH($F23,사건마스터!$A$5:$A$64,0)),""))</f>
        <v/>
      </c>
      <c r="I23" s="35">
        <f>IF($F23="","",IFERROR(INDEX(사건마스터!$H$5:$H$64,MATCH($F23,사건마스터!$A$5:$A$64,0)),""))</f>
        <v/>
      </c>
      <c r="J23" s="35">
        <f>IF($F23="","",IFERROR(INDEX(사건마스터!$AH$5:$AH$64,MATCH($F23,사건마스터!$A$5:$A$64,0)),""))</f>
        <v/>
      </c>
      <c r="K23" s="35">
        <f>IF($F23="","",IFERROR(INDEX(사건마스터!$AI$5:$AI$64,MATCH($F23,사건마스터!$A$5:$A$64,0)),""))</f>
        <v/>
      </c>
      <c r="L23" s="35">
        <f>IF($F23="","",IFERROR(INDEX(사건마스터!$AJ$5:$AJ$64,MATCH($F23,사건마스터!$A$5:$A$64,0)),""))</f>
        <v/>
      </c>
      <c r="M23" s="35">
        <f>IF($F23="","",IFERROR(INDEX(사건마스터!$AK$5:$AK$64,MATCH($F23,사건마스터!$A$5:$A$64,0)),""))</f>
        <v/>
      </c>
      <c r="N23" s="35">
        <f>IF($F23="","",IFERROR(INDEX(사건마스터!$AL$5:$AL$64,MATCH($F23,사건마스터!$A$5:$A$64,0)),""))</f>
        <v/>
      </c>
      <c r="O23" s="35">
        <f>IF($F23="","",IFERROR(INDEX(사건마스터!$AM$5:$AM$64,MATCH($F23,사건마스터!$A$5:$A$64,0)),""))</f>
        <v/>
      </c>
      <c r="P23" s="35">
        <f>IF($F23="","",IFERROR(INDEX(사건마스터!$AN$5:$AN$64,MATCH($F23,사건마스터!$A$5:$A$64,0)),""))</f>
        <v/>
      </c>
      <c r="Q23" s="35">
        <f>IF($F23="","",IFERROR(INDEX(사건마스터!$AO$5:$AO$64,MATCH($F23,사건마스터!$A$5:$A$64,0)),""))</f>
        <v/>
      </c>
      <c r="R23" s="35">
        <f>IF($F23="","",IFERROR(INDEX(사건마스터!$AP$5:$AP$64,MATCH($F23,사건마스터!$A$5:$A$64,0)),""))</f>
        <v/>
      </c>
      <c r="S23" s="35">
        <f>IF($F23="","",IFERROR(INDEX(사건마스터!$AQ$5:$AQ$64,MATCH($F23,사건마스터!$A$5:$A$64,0)),""))</f>
        <v/>
      </c>
      <c r="T23" s="35">
        <f>IF($F23="","",IFERROR(INDEX(사건마스터!$AR$5:$AR$64,MATCH($F23,사건마스터!$A$5:$A$64,0)),""))</f>
        <v/>
      </c>
      <c r="U23" s="35">
        <f>IF($F23="","",IFERROR(INDEX(사건마스터!$AS$5:$AS$64,MATCH($F23,사건마스터!$A$5:$A$64,0)),""))</f>
        <v/>
      </c>
      <c r="V23" s="35">
        <f>IF($F23="","",IFERROR(INDEX(사건마스터!$AT$5:$AT$64,MATCH($F23,사건마스터!$A$5:$A$64,0)),""))</f>
        <v/>
      </c>
      <c r="W23" s="35">
        <f>IF($F23="","",IFERROR(INDEX(사건마스터!$AU$5:$AU$64,MATCH($F23,사건마스터!$A$5:$A$64,0)),""))</f>
        <v/>
      </c>
      <c r="X23" s="35">
        <f>IF($F23="","",IFERROR(INDEX(사건마스터!$AV$5:$AV$64,MATCH($F23,사건마스터!$A$5:$A$64,0)),""))</f>
        <v/>
      </c>
      <c r="Y23" s="30">
        <f>IF($I23="","",COUNTIF($I23:$X23,"?*"))</f>
        <v/>
      </c>
      <c r="Z23" s="33">
        <f>IF($I23="","",_xlfn.TEXTJOIN(", ",TRUE,$I23:$X23))</f>
        <v/>
      </c>
      <c r="AA23" s="34">
        <f>IF($I23="","",IFERROR(INDEX(코드설정!$D$5:$D$24,MATCH($I23,코드설정!$C$5:$C$24,0)),""))</f>
        <v/>
      </c>
      <c r="AB23" s="36" t="n"/>
      <c r="AC23" s="37" t="n"/>
      <c r="AD23" s="38" t="n"/>
      <c r="AE23" s="30">
        <f>IF(OR($B23="",$C23=""),"",$C23-$B23+1)</f>
        <v/>
      </c>
      <c r="AF23" s="32" t="n"/>
      <c r="AG23" s="36" t="n"/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3">
        <f>IF($F24="","",IFERROR(INDEX(사건마스터!$B$5:$B$64,MATCH($F24,사건마스터!$A$5:$A$64,0)),""))</f>
        <v/>
      </c>
      <c r="H24" s="34">
        <f>IF($F24="","",IFERROR(INDEX(사건마스터!$C$5:$C$64,MATCH($F24,사건마스터!$A$5:$A$64,0)),""))</f>
        <v/>
      </c>
      <c r="I24" s="35">
        <f>IF($F24="","",IFERROR(INDEX(사건마스터!$H$5:$H$64,MATCH($F24,사건마스터!$A$5:$A$64,0)),""))</f>
        <v/>
      </c>
      <c r="J24" s="35">
        <f>IF($F24="","",IFERROR(INDEX(사건마스터!$AH$5:$AH$64,MATCH($F24,사건마스터!$A$5:$A$64,0)),""))</f>
        <v/>
      </c>
      <c r="K24" s="35">
        <f>IF($F24="","",IFERROR(INDEX(사건마스터!$AI$5:$AI$64,MATCH($F24,사건마스터!$A$5:$A$64,0)),""))</f>
        <v/>
      </c>
      <c r="L24" s="35">
        <f>IF($F24="","",IFERROR(INDEX(사건마스터!$AJ$5:$AJ$64,MATCH($F24,사건마스터!$A$5:$A$64,0)),""))</f>
        <v/>
      </c>
      <c r="M24" s="35">
        <f>IF($F24="","",IFERROR(INDEX(사건마스터!$AK$5:$AK$64,MATCH($F24,사건마스터!$A$5:$A$64,0)),""))</f>
        <v/>
      </c>
      <c r="N24" s="35">
        <f>IF($F24="","",IFERROR(INDEX(사건마스터!$AL$5:$AL$64,MATCH($F24,사건마스터!$A$5:$A$64,0)),""))</f>
        <v/>
      </c>
      <c r="O24" s="35">
        <f>IF($F24="","",IFERROR(INDEX(사건마스터!$AM$5:$AM$64,MATCH($F24,사건마스터!$A$5:$A$64,0)),""))</f>
        <v/>
      </c>
      <c r="P24" s="35">
        <f>IF($F24="","",IFERROR(INDEX(사건마스터!$AN$5:$AN$64,MATCH($F24,사건마스터!$A$5:$A$64,0)),""))</f>
        <v/>
      </c>
      <c r="Q24" s="35">
        <f>IF($F24="","",IFERROR(INDEX(사건마스터!$AO$5:$AO$64,MATCH($F24,사건마스터!$A$5:$A$64,0)),""))</f>
        <v/>
      </c>
      <c r="R24" s="35">
        <f>IF($F24="","",IFERROR(INDEX(사건마스터!$AP$5:$AP$64,MATCH($F24,사건마스터!$A$5:$A$64,0)),""))</f>
        <v/>
      </c>
      <c r="S24" s="35">
        <f>IF($F24="","",IFERROR(INDEX(사건마스터!$AQ$5:$AQ$64,MATCH($F24,사건마스터!$A$5:$A$64,0)),""))</f>
        <v/>
      </c>
      <c r="T24" s="35">
        <f>IF($F24="","",IFERROR(INDEX(사건마스터!$AR$5:$AR$64,MATCH($F24,사건마스터!$A$5:$A$64,0)),""))</f>
        <v/>
      </c>
      <c r="U24" s="35">
        <f>IF($F24="","",IFERROR(INDEX(사건마스터!$AS$5:$AS$64,MATCH($F24,사건마스터!$A$5:$A$64,0)),""))</f>
        <v/>
      </c>
      <c r="V24" s="35">
        <f>IF($F24="","",IFERROR(INDEX(사건마스터!$AT$5:$AT$64,MATCH($F24,사건마스터!$A$5:$A$64,0)),""))</f>
        <v/>
      </c>
      <c r="W24" s="35">
        <f>IF($F24="","",IFERROR(INDEX(사건마스터!$AU$5:$AU$64,MATCH($F24,사건마스터!$A$5:$A$64,0)),""))</f>
        <v/>
      </c>
      <c r="X24" s="35">
        <f>IF($F24="","",IFERROR(INDEX(사건마스터!$AV$5:$AV$64,MATCH($F24,사건마스터!$A$5:$A$64,0)),""))</f>
        <v/>
      </c>
      <c r="Y24" s="30">
        <f>IF($I24="","",COUNTIF($I24:$X24,"?*"))</f>
        <v/>
      </c>
      <c r="Z24" s="33">
        <f>IF($I24="","",_xlfn.TEXTJOIN(", ",TRUE,$I24:$X24))</f>
        <v/>
      </c>
      <c r="AA24" s="34">
        <f>IF($I24="","",IFERROR(INDEX(코드설정!$D$5:$D$24,MATCH($I24,코드설정!$C$5:$C$24,0)),""))</f>
        <v/>
      </c>
      <c r="AB24" s="36" t="n"/>
      <c r="AC24" s="37" t="n"/>
      <c r="AD24" s="38" t="n"/>
      <c r="AE24" s="30">
        <f>IF(OR($B24="",$C24=""),"",$C24-$B24+1)</f>
        <v/>
      </c>
      <c r="AF24" s="32" t="n"/>
      <c r="AG24" s="36" t="n"/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3">
        <f>IF($F25="","",IFERROR(INDEX(사건마스터!$B$5:$B$64,MATCH($F25,사건마스터!$A$5:$A$64,0)),""))</f>
        <v/>
      </c>
      <c r="H25" s="34">
        <f>IF($F25="","",IFERROR(INDEX(사건마스터!$C$5:$C$64,MATCH($F25,사건마스터!$A$5:$A$64,0)),""))</f>
        <v/>
      </c>
      <c r="I25" s="35">
        <f>IF($F25="","",IFERROR(INDEX(사건마스터!$H$5:$H$64,MATCH($F25,사건마스터!$A$5:$A$64,0)),""))</f>
        <v/>
      </c>
      <c r="J25" s="35">
        <f>IF($F25="","",IFERROR(INDEX(사건마스터!$AH$5:$AH$64,MATCH($F25,사건마스터!$A$5:$A$64,0)),""))</f>
        <v/>
      </c>
      <c r="K25" s="35">
        <f>IF($F25="","",IFERROR(INDEX(사건마스터!$AI$5:$AI$64,MATCH($F25,사건마스터!$A$5:$A$64,0)),""))</f>
        <v/>
      </c>
      <c r="L25" s="35">
        <f>IF($F25="","",IFERROR(INDEX(사건마스터!$AJ$5:$AJ$64,MATCH($F25,사건마스터!$A$5:$A$64,0)),""))</f>
        <v/>
      </c>
      <c r="M25" s="35">
        <f>IF($F25="","",IFERROR(INDEX(사건마스터!$AK$5:$AK$64,MATCH($F25,사건마스터!$A$5:$A$64,0)),""))</f>
        <v/>
      </c>
      <c r="N25" s="35">
        <f>IF($F25="","",IFERROR(INDEX(사건마스터!$AL$5:$AL$64,MATCH($F25,사건마스터!$A$5:$A$64,0)),""))</f>
        <v/>
      </c>
      <c r="O25" s="35">
        <f>IF($F25="","",IFERROR(INDEX(사건마스터!$AM$5:$AM$64,MATCH($F25,사건마스터!$A$5:$A$64,0)),""))</f>
        <v/>
      </c>
      <c r="P25" s="35">
        <f>IF($F25="","",IFERROR(INDEX(사건마스터!$AN$5:$AN$64,MATCH($F25,사건마스터!$A$5:$A$64,0)),""))</f>
        <v/>
      </c>
      <c r="Q25" s="35">
        <f>IF($F25="","",IFERROR(INDEX(사건마스터!$AO$5:$AO$64,MATCH($F25,사건마스터!$A$5:$A$64,0)),""))</f>
        <v/>
      </c>
      <c r="R25" s="35">
        <f>IF($F25="","",IFERROR(INDEX(사건마스터!$AP$5:$AP$64,MATCH($F25,사건마스터!$A$5:$A$64,0)),""))</f>
        <v/>
      </c>
      <c r="S25" s="35">
        <f>IF($F25="","",IFERROR(INDEX(사건마스터!$AQ$5:$AQ$64,MATCH($F25,사건마스터!$A$5:$A$64,0)),""))</f>
        <v/>
      </c>
      <c r="T25" s="35">
        <f>IF($F25="","",IFERROR(INDEX(사건마스터!$AR$5:$AR$64,MATCH($F25,사건마스터!$A$5:$A$64,0)),""))</f>
        <v/>
      </c>
      <c r="U25" s="35">
        <f>IF($F25="","",IFERROR(INDEX(사건마스터!$AS$5:$AS$64,MATCH($F25,사건마스터!$A$5:$A$64,0)),""))</f>
        <v/>
      </c>
      <c r="V25" s="35">
        <f>IF($F25="","",IFERROR(INDEX(사건마스터!$AT$5:$AT$64,MATCH($F25,사건마스터!$A$5:$A$64,0)),""))</f>
        <v/>
      </c>
      <c r="W25" s="35">
        <f>IF($F25="","",IFERROR(INDEX(사건마스터!$AU$5:$AU$64,MATCH($F25,사건마스터!$A$5:$A$64,0)),""))</f>
        <v/>
      </c>
      <c r="X25" s="35">
        <f>IF($F25="","",IFERROR(INDEX(사건마스터!$AV$5:$AV$64,MATCH($F25,사건마스터!$A$5:$A$64,0)),""))</f>
        <v/>
      </c>
      <c r="Y25" s="30">
        <f>IF($I25="","",COUNTIF($I25:$X25,"?*"))</f>
        <v/>
      </c>
      <c r="Z25" s="33">
        <f>IF($I25="","",_xlfn.TEXTJOIN(", ",TRUE,$I25:$X25))</f>
        <v/>
      </c>
      <c r="AA25" s="34">
        <f>IF($I25="","",IFERROR(INDEX(코드설정!$D$5:$D$24,MATCH($I25,코드설정!$C$5:$C$24,0)),""))</f>
        <v/>
      </c>
      <c r="AB25" s="36" t="n"/>
      <c r="AC25" s="37" t="n"/>
      <c r="AD25" s="38" t="n"/>
      <c r="AE25" s="30">
        <f>IF(OR($B25="",$C25=""),"",$C25-$B25+1)</f>
        <v/>
      </c>
      <c r="AF25" s="32" t="n"/>
      <c r="AG25" s="36" t="n"/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3">
        <f>IF($F26="","",IFERROR(INDEX(사건마스터!$B$5:$B$64,MATCH($F26,사건마스터!$A$5:$A$64,0)),""))</f>
        <v/>
      </c>
      <c r="H26" s="34">
        <f>IF($F26="","",IFERROR(INDEX(사건마스터!$C$5:$C$64,MATCH($F26,사건마스터!$A$5:$A$64,0)),""))</f>
        <v/>
      </c>
      <c r="I26" s="35">
        <f>IF($F26="","",IFERROR(INDEX(사건마스터!$H$5:$H$64,MATCH($F26,사건마스터!$A$5:$A$64,0)),""))</f>
        <v/>
      </c>
      <c r="J26" s="35">
        <f>IF($F26="","",IFERROR(INDEX(사건마스터!$AH$5:$AH$64,MATCH($F26,사건마스터!$A$5:$A$64,0)),""))</f>
        <v/>
      </c>
      <c r="K26" s="35">
        <f>IF($F26="","",IFERROR(INDEX(사건마스터!$AI$5:$AI$64,MATCH($F26,사건마스터!$A$5:$A$64,0)),""))</f>
        <v/>
      </c>
      <c r="L26" s="35">
        <f>IF($F26="","",IFERROR(INDEX(사건마스터!$AJ$5:$AJ$64,MATCH($F26,사건마스터!$A$5:$A$64,0)),""))</f>
        <v/>
      </c>
      <c r="M26" s="35">
        <f>IF($F26="","",IFERROR(INDEX(사건마스터!$AK$5:$AK$64,MATCH($F26,사건마스터!$A$5:$A$64,0)),""))</f>
        <v/>
      </c>
      <c r="N26" s="35">
        <f>IF($F26="","",IFERROR(INDEX(사건마스터!$AL$5:$AL$64,MATCH($F26,사건마스터!$A$5:$A$64,0)),""))</f>
        <v/>
      </c>
      <c r="O26" s="35">
        <f>IF($F26="","",IFERROR(INDEX(사건마스터!$AM$5:$AM$64,MATCH($F26,사건마스터!$A$5:$A$64,0)),""))</f>
        <v/>
      </c>
      <c r="P26" s="35">
        <f>IF($F26="","",IFERROR(INDEX(사건마스터!$AN$5:$AN$64,MATCH($F26,사건마스터!$A$5:$A$64,0)),""))</f>
        <v/>
      </c>
      <c r="Q26" s="35">
        <f>IF($F26="","",IFERROR(INDEX(사건마스터!$AO$5:$AO$64,MATCH($F26,사건마스터!$A$5:$A$64,0)),""))</f>
        <v/>
      </c>
      <c r="R26" s="35">
        <f>IF($F26="","",IFERROR(INDEX(사건마스터!$AP$5:$AP$64,MATCH($F26,사건마스터!$A$5:$A$64,0)),""))</f>
        <v/>
      </c>
      <c r="S26" s="35">
        <f>IF($F26="","",IFERROR(INDEX(사건마스터!$AQ$5:$AQ$64,MATCH($F26,사건마스터!$A$5:$A$64,0)),""))</f>
        <v/>
      </c>
      <c r="T26" s="35">
        <f>IF($F26="","",IFERROR(INDEX(사건마스터!$AR$5:$AR$64,MATCH($F26,사건마스터!$A$5:$A$64,0)),""))</f>
        <v/>
      </c>
      <c r="U26" s="35">
        <f>IF($F26="","",IFERROR(INDEX(사건마스터!$AS$5:$AS$64,MATCH($F26,사건마스터!$A$5:$A$64,0)),""))</f>
        <v/>
      </c>
      <c r="V26" s="35">
        <f>IF($F26="","",IFERROR(INDEX(사건마스터!$AT$5:$AT$64,MATCH($F26,사건마스터!$A$5:$A$64,0)),""))</f>
        <v/>
      </c>
      <c r="W26" s="35">
        <f>IF($F26="","",IFERROR(INDEX(사건마스터!$AU$5:$AU$64,MATCH($F26,사건마스터!$A$5:$A$64,0)),""))</f>
        <v/>
      </c>
      <c r="X26" s="35">
        <f>IF($F26="","",IFERROR(INDEX(사건마스터!$AV$5:$AV$64,MATCH($F26,사건마스터!$A$5:$A$64,0)),""))</f>
        <v/>
      </c>
      <c r="Y26" s="30">
        <f>IF($I26="","",COUNTIF($I26:$X26,"?*"))</f>
        <v/>
      </c>
      <c r="Z26" s="33">
        <f>IF($I26="","",_xlfn.TEXTJOIN(", ",TRUE,$I26:$X26))</f>
        <v/>
      </c>
      <c r="AA26" s="34">
        <f>IF($I26="","",IFERROR(INDEX(코드설정!$D$5:$D$24,MATCH($I26,코드설정!$C$5:$C$24,0)),""))</f>
        <v/>
      </c>
      <c r="AB26" s="36" t="n"/>
      <c r="AC26" s="37" t="n"/>
      <c r="AD26" s="38" t="n"/>
      <c r="AE26" s="30">
        <f>IF(OR($B26="",$C26=""),"",$C26-$B26+1)</f>
        <v/>
      </c>
      <c r="AF26" s="32" t="n"/>
      <c r="AG26" s="36" t="n"/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3">
        <f>IF($F27="","",IFERROR(INDEX(사건마스터!$B$5:$B$64,MATCH($F27,사건마스터!$A$5:$A$64,0)),""))</f>
        <v/>
      </c>
      <c r="H27" s="34">
        <f>IF($F27="","",IFERROR(INDEX(사건마스터!$C$5:$C$64,MATCH($F27,사건마스터!$A$5:$A$64,0)),""))</f>
        <v/>
      </c>
      <c r="I27" s="35">
        <f>IF($F27="","",IFERROR(INDEX(사건마스터!$H$5:$H$64,MATCH($F27,사건마스터!$A$5:$A$64,0)),""))</f>
        <v/>
      </c>
      <c r="J27" s="35">
        <f>IF($F27="","",IFERROR(INDEX(사건마스터!$AH$5:$AH$64,MATCH($F27,사건마스터!$A$5:$A$64,0)),""))</f>
        <v/>
      </c>
      <c r="K27" s="35">
        <f>IF($F27="","",IFERROR(INDEX(사건마스터!$AI$5:$AI$64,MATCH($F27,사건마스터!$A$5:$A$64,0)),""))</f>
        <v/>
      </c>
      <c r="L27" s="35">
        <f>IF($F27="","",IFERROR(INDEX(사건마스터!$AJ$5:$AJ$64,MATCH($F27,사건마스터!$A$5:$A$64,0)),""))</f>
        <v/>
      </c>
      <c r="M27" s="35">
        <f>IF($F27="","",IFERROR(INDEX(사건마스터!$AK$5:$AK$64,MATCH($F27,사건마스터!$A$5:$A$64,0)),""))</f>
        <v/>
      </c>
      <c r="N27" s="35">
        <f>IF($F27="","",IFERROR(INDEX(사건마스터!$AL$5:$AL$64,MATCH($F27,사건마스터!$A$5:$A$64,0)),""))</f>
        <v/>
      </c>
      <c r="O27" s="35">
        <f>IF($F27="","",IFERROR(INDEX(사건마스터!$AM$5:$AM$64,MATCH($F27,사건마스터!$A$5:$A$64,0)),""))</f>
        <v/>
      </c>
      <c r="P27" s="35">
        <f>IF($F27="","",IFERROR(INDEX(사건마스터!$AN$5:$AN$64,MATCH($F27,사건마스터!$A$5:$A$64,0)),""))</f>
        <v/>
      </c>
      <c r="Q27" s="35">
        <f>IF($F27="","",IFERROR(INDEX(사건마스터!$AO$5:$AO$64,MATCH($F27,사건마스터!$A$5:$A$64,0)),""))</f>
        <v/>
      </c>
      <c r="R27" s="35">
        <f>IF($F27="","",IFERROR(INDEX(사건마스터!$AP$5:$AP$64,MATCH($F27,사건마스터!$A$5:$A$64,0)),""))</f>
        <v/>
      </c>
      <c r="S27" s="35">
        <f>IF($F27="","",IFERROR(INDEX(사건마스터!$AQ$5:$AQ$64,MATCH($F27,사건마스터!$A$5:$A$64,0)),""))</f>
        <v/>
      </c>
      <c r="T27" s="35">
        <f>IF($F27="","",IFERROR(INDEX(사건마스터!$AR$5:$AR$64,MATCH($F27,사건마스터!$A$5:$A$64,0)),""))</f>
        <v/>
      </c>
      <c r="U27" s="35">
        <f>IF($F27="","",IFERROR(INDEX(사건마스터!$AS$5:$AS$64,MATCH($F27,사건마스터!$A$5:$A$64,0)),""))</f>
        <v/>
      </c>
      <c r="V27" s="35">
        <f>IF($F27="","",IFERROR(INDEX(사건마스터!$AT$5:$AT$64,MATCH($F27,사건마스터!$A$5:$A$64,0)),""))</f>
        <v/>
      </c>
      <c r="W27" s="35">
        <f>IF($F27="","",IFERROR(INDEX(사건마스터!$AU$5:$AU$64,MATCH($F27,사건마스터!$A$5:$A$64,0)),""))</f>
        <v/>
      </c>
      <c r="X27" s="35">
        <f>IF($F27="","",IFERROR(INDEX(사건마스터!$AV$5:$AV$64,MATCH($F27,사건마스터!$A$5:$A$64,0)),""))</f>
        <v/>
      </c>
      <c r="Y27" s="30">
        <f>IF($I27="","",COUNTIF($I27:$X27,"?*"))</f>
        <v/>
      </c>
      <c r="Z27" s="33">
        <f>IF($I27="","",_xlfn.TEXTJOIN(", ",TRUE,$I27:$X27))</f>
        <v/>
      </c>
      <c r="AA27" s="34">
        <f>IF($I27="","",IFERROR(INDEX(코드설정!$D$5:$D$24,MATCH($I27,코드설정!$C$5:$C$24,0)),""))</f>
        <v/>
      </c>
      <c r="AB27" s="36" t="n"/>
      <c r="AC27" s="37" t="n"/>
      <c r="AD27" s="38" t="n"/>
      <c r="AE27" s="30">
        <f>IF(OR($B27="",$C27=""),"",$C27-$B27+1)</f>
        <v/>
      </c>
      <c r="AF27" s="32" t="n"/>
      <c r="AG27" s="36" t="n"/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3">
        <f>IF($F28="","",IFERROR(INDEX(사건마스터!$B$5:$B$64,MATCH($F28,사건마스터!$A$5:$A$64,0)),""))</f>
        <v/>
      </c>
      <c r="H28" s="34">
        <f>IF($F28="","",IFERROR(INDEX(사건마스터!$C$5:$C$64,MATCH($F28,사건마스터!$A$5:$A$64,0)),""))</f>
        <v/>
      </c>
      <c r="I28" s="35">
        <f>IF($F28="","",IFERROR(INDEX(사건마스터!$H$5:$H$64,MATCH($F28,사건마스터!$A$5:$A$64,0)),""))</f>
        <v/>
      </c>
      <c r="J28" s="35">
        <f>IF($F28="","",IFERROR(INDEX(사건마스터!$AH$5:$AH$64,MATCH($F28,사건마스터!$A$5:$A$64,0)),""))</f>
        <v/>
      </c>
      <c r="K28" s="35">
        <f>IF($F28="","",IFERROR(INDEX(사건마스터!$AI$5:$AI$64,MATCH($F28,사건마스터!$A$5:$A$64,0)),""))</f>
        <v/>
      </c>
      <c r="L28" s="35">
        <f>IF($F28="","",IFERROR(INDEX(사건마스터!$AJ$5:$AJ$64,MATCH($F28,사건마스터!$A$5:$A$64,0)),""))</f>
        <v/>
      </c>
      <c r="M28" s="35">
        <f>IF($F28="","",IFERROR(INDEX(사건마스터!$AK$5:$AK$64,MATCH($F28,사건마스터!$A$5:$A$64,0)),""))</f>
        <v/>
      </c>
      <c r="N28" s="35">
        <f>IF($F28="","",IFERROR(INDEX(사건마스터!$AL$5:$AL$64,MATCH($F28,사건마스터!$A$5:$A$64,0)),""))</f>
        <v/>
      </c>
      <c r="O28" s="35">
        <f>IF($F28="","",IFERROR(INDEX(사건마스터!$AM$5:$AM$64,MATCH($F28,사건마스터!$A$5:$A$64,0)),""))</f>
        <v/>
      </c>
      <c r="P28" s="35">
        <f>IF($F28="","",IFERROR(INDEX(사건마스터!$AN$5:$AN$64,MATCH($F28,사건마스터!$A$5:$A$64,0)),""))</f>
        <v/>
      </c>
      <c r="Q28" s="35">
        <f>IF($F28="","",IFERROR(INDEX(사건마스터!$AO$5:$AO$64,MATCH($F28,사건마스터!$A$5:$A$64,0)),""))</f>
        <v/>
      </c>
      <c r="R28" s="35">
        <f>IF($F28="","",IFERROR(INDEX(사건마스터!$AP$5:$AP$64,MATCH($F28,사건마스터!$A$5:$A$64,0)),""))</f>
        <v/>
      </c>
      <c r="S28" s="35">
        <f>IF($F28="","",IFERROR(INDEX(사건마스터!$AQ$5:$AQ$64,MATCH($F28,사건마스터!$A$5:$A$64,0)),""))</f>
        <v/>
      </c>
      <c r="T28" s="35">
        <f>IF($F28="","",IFERROR(INDEX(사건마스터!$AR$5:$AR$64,MATCH($F28,사건마스터!$A$5:$A$64,0)),""))</f>
        <v/>
      </c>
      <c r="U28" s="35">
        <f>IF($F28="","",IFERROR(INDEX(사건마스터!$AS$5:$AS$64,MATCH($F28,사건마스터!$A$5:$A$64,0)),""))</f>
        <v/>
      </c>
      <c r="V28" s="35">
        <f>IF($F28="","",IFERROR(INDEX(사건마스터!$AT$5:$AT$64,MATCH($F28,사건마스터!$A$5:$A$64,0)),""))</f>
        <v/>
      </c>
      <c r="W28" s="35">
        <f>IF($F28="","",IFERROR(INDEX(사건마스터!$AU$5:$AU$64,MATCH($F28,사건마스터!$A$5:$A$64,0)),""))</f>
        <v/>
      </c>
      <c r="X28" s="35">
        <f>IF($F28="","",IFERROR(INDEX(사건마스터!$AV$5:$AV$64,MATCH($F28,사건마스터!$A$5:$A$64,0)),""))</f>
        <v/>
      </c>
      <c r="Y28" s="30">
        <f>IF($I28="","",COUNTIF($I28:$X28,"?*"))</f>
        <v/>
      </c>
      <c r="Z28" s="33">
        <f>IF($I28="","",_xlfn.TEXTJOIN(", ",TRUE,$I28:$X28))</f>
        <v/>
      </c>
      <c r="AA28" s="34">
        <f>IF($I28="","",IFERROR(INDEX(코드설정!$D$5:$D$24,MATCH($I28,코드설정!$C$5:$C$24,0)),""))</f>
        <v/>
      </c>
      <c r="AB28" s="36" t="n"/>
      <c r="AC28" s="37" t="n"/>
      <c r="AD28" s="38" t="n"/>
      <c r="AE28" s="30">
        <f>IF(OR($B28="",$C28=""),"",$C28-$B28+1)</f>
        <v/>
      </c>
      <c r="AF28" s="32" t="n"/>
      <c r="AG28" s="36" t="n"/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3">
        <f>IF($F29="","",IFERROR(INDEX(사건마스터!$B$5:$B$64,MATCH($F29,사건마스터!$A$5:$A$64,0)),""))</f>
        <v/>
      </c>
      <c r="H29" s="34">
        <f>IF($F29="","",IFERROR(INDEX(사건마스터!$C$5:$C$64,MATCH($F29,사건마스터!$A$5:$A$64,0)),""))</f>
        <v/>
      </c>
      <c r="I29" s="35">
        <f>IF($F29="","",IFERROR(INDEX(사건마스터!$H$5:$H$64,MATCH($F29,사건마스터!$A$5:$A$64,0)),""))</f>
        <v/>
      </c>
      <c r="J29" s="35">
        <f>IF($F29="","",IFERROR(INDEX(사건마스터!$AH$5:$AH$64,MATCH($F29,사건마스터!$A$5:$A$64,0)),""))</f>
        <v/>
      </c>
      <c r="K29" s="35">
        <f>IF($F29="","",IFERROR(INDEX(사건마스터!$AI$5:$AI$64,MATCH($F29,사건마스터!$A$5:$A$64,0)),""))</f>
        <v/>
      </c>
      <c r="L29" s="35">
        <f>IF($F29="","",IFERROR(INDEX(사건마스터!$AJ$5:$AJ$64,MATCH($F29,사건마스터!$A$5:$A$64,0)),""))</f>
        <v/>
      </c>
      <c r="M29" s="35">
        <f>IF($F29="","",IFERROR(INDEX(사건마스터!$AK$5:$AK$64,MATCH($F29,사건마스터!$A$5:$A$64,0)),""))</f>
        <v/>
      </c>
      <c r="N29" s="35">
        <f>IF($F29="","",IFERROR(INDEX(사건마스터!$AL$5:$AL$64,MATCH($F29,사건마스터!$A$5:$A$64,0)),""))</f>
        <v/>
      </c>
      <c r="O29" s="35">
        <f>IF($F29="","",IFERROR(INDEX(사건마스터!$AM$5:$AM$64,MATCH($F29,사건마스터!$A$5:$A$64,0)),""))</f>
        <v/>
      </c>
      <c r="P29" s="35">
        <f>IF($F29="","",IFERROR(INDEX(사건마스터!$AN$5:$AN$64,MATCH($F29,사건마스터!$A$5:$A$64,0)),""))</f>
        <v/>
      </c>
      <c r="Q29" s="35">
        <f>IF($F29="","",IFERROR(INDEX(사건마스터!$AO$5:$AO$64,MATCH($F29,사건마스터!$A$5:$A$64,0)),""))</f>
        <v/>
      </c>
      <c r="R29" s="35">
        <f>IF($F29="","",IFERROR(INDEX(사건마스터!$AP$5:$AP$64,MATCH($F29,사건마스터!$A$5:$A$64,0)),""))</f>
        <v/>
      </c>
      <c r="S29" s="35">
        <f>IF($F29="","",IFERROR(INDEX(사건마스터!$AQ$5:$AQ$64,MATCH($F29,사건마스터!$A$5:$A$64,0)),""))</f>
        <v/>
      </c>
      <c r="T29" s="35">
        <f>IF($F29="","",IFERROR(INDEX(사건마스터!$AR$5:$AR$64,MATCH($F29,사건마스터!$A$5:$A$64,0)),""))</f>
        <v/>
      </c>
      <c r="U29" s="35">
        <f>IF($F29="","",IFERROR(INDEX(사건마스터!$AS$5:$AS$64,MATCH($F29,사건마스터!$A$5:$A$64,0)),""))</f>
        <v/>
      </c>
      <c r="V29" s="35">
        <f>IF($F29="","",IFERROR(INDEX(사건마스터!$AT$5:$AT$64,MATCH($F29,사건마스터!$A$5:$A$64,0)),""))</f>
        <v/>
      </c>
      <c r="W29" s="35">
        <f>IF($F29="","",IFERROR(INDEX(사건마스터!$AU$5:$AU$64,MATCH($F29,사건마스터!$A$5:$A$64,0)),""))</f>
        <v/>
      </c>
      <c r="X29" s="35">
        <f>IF($F29="","",IFERROR(INDEX(사건마스터!$AV$5:$AV$64,MATCH($F29,사건마스터!$A$5:$A$64,0)),""))</f>
        <v/>
      </c>
      <c r="Y29" s="30">
        <f>IF($I29="","",COUNTIF($I29:$X29,"?*"))</f>
        <v/>
      </c>
      <c r="Z29" s="33">
        <f>IF($I29="","",_xlfn.TEXTJOIN(", ",TRUE,$I29:$X29))</f>
        <v/>
      </c>
      <c r="AA29" s="34">
        <f>IF($I29="","",IFERROR(INDEX(코드설정!$D$5:$D$24,MATCH($I29,코드설정!$C$5:$C$24,0)),""))</f>
        <v/>
      </c>
      <c r="AB29" s="36" t="n"/>
      <c r="AC29" s="37" t="n"/>
      <c r="AD29" s="38" t="n"/>
      <c r="AE29" s="30">
        <f>IF(OR($B29="",$C29=""),"",$C29-$B29+1)</f>
        <v/>
      </c>
      <c r="AF29" s="32" t="n"/>
      <c r="AG29" s="36" t="n"/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3">
        <f>IF($F30="","",IFERROR(INDEX(사건마스터!$B$5:$B$64,MATCH($F30,사건마스터!$A$5:$A$64,0)),""))</f>
        <v/>
      </c>
      <c r="H30" s="34">
        <f>IF($F30="","",IFERROR(INDEX(사건마스터!$C$5:$C$64,MATCH($F30,사건마스터!$A$5:$A$64,0)),""))</f>
        <v/>
      </c>
      <c r="I30" s="35">
        <f>IF($F30="","",IFERROR(INDEX(사건마스터!$H$5:$H$64,MATCH($F30,사건마스터!$A$5:$A$64,0)),""))</f>
        <v/>
      </c>
      <c r="J30" s="35">
        <f>IF($F30="","",IFERROR(INDEX(사건마스터!$AH$5:$AH$64,MATCH($F30,사건마스터!$A$5:$A$64,0)),""))</f>
        <v/>
      </c>
      <c r="K30" s="35">
        <f>IF($F30="","",IFERROR(INDEX(사건마스터!$AI$5:$AI$64,MATCH($F30,사건마스터!$A$5:$A$64,0)),""))</f>
        <v/>
      </c>
      <c r="L30" s="35">
        <f>IF($F30="","",IFERROR(INDEX(사건마스터!$AJ$5:$AJ$64,MATCH($F30,사건마스터!$A$5:$A$64,0)),""))</f>
        <v/>
      </c>
      <c r="M30" s="35">
        <f>IF($F30="","",IFERROR(INDEX(사건마스터!$AK$5:$AK$64,MATCH($F30,사건마스터!$A$5:$A$64,0)),""))</f>
        <v/>
      </c>
      <c r="N30" s="35">
        <f>IF($F30="","",IFERROR(INDEX(사건마스터!$AL$5:$AL$64,MATCH($F30,사건마스터!$A$5:$A$64,0)),""))</f>
        <v/>
      </c>
      <c r="O30" s="35">
        <f>IF($F30="","",IFERROR(INDEX(사건마스터!$AM$5:$AM$64,MATCH($F30,사건마스터!$A$5:$A$64,0)),""))</f>
        <v/>
      </c>
      <c r="P30" s="35">
        <f>IF($F30="","",IFERROR(INDEX(사건마스터!$AN$5:$AN$64,MATCH($F30,사건마스터!$A$5:$A$64,0)),""))</f>
        <v/>
      </c>
      <c r="Q30" s="35">
        <f>IF($F30="","",IFERROR(INDEX(사건마스터!$AO$5:$AO$64,MATCH($F30,사건마스터!$A$5:$A$64,0)),""))</f>
        <v/>
      </c>
      <c r="R30" s="35">
        <f>IF($F30="","",IFERROR(INDEX(사건마스터!$AP$5:$AP$64,MATCH($F30,사건마스터!$A$5:$A$64,0)),""))</f>
        <v/>
      </c>
      <c r="S30" s="35">
        <f>IF($F30="","",IFERROR(INDEX(사건마스터!$AQ$5:$AQ$64,MATCH($F30,사건마스터!$A$5:$A$64,0)),""))</f>
        <v/>
      </c>
      <c r="T30" s="35">
        <f>IF($F30="","",IFERROR(INDEX(사건마스터!$AR$5:$AR$64,MATCH($F30,사건마스터!$A$5:$A$64,0)),""))</f>
        <v/>
      </c>
      <c r="U30" s="35">
        <f>IF($F30="","",IFERROR(INDEX(사건마스터!$AS$5:$AS$64,MATCH($F30,사건마스터!$A$5:$A$64,0)),""))</f>
        <v/>
      </c>
      <c r="V30" s="35">
        <f>IF($F30="","",IFERROR(INDEX(사건마스터!$AT$5:$AT$64,MATCH($F30,사건마스터!$A$5:$A$64,0)),""))</f>
        <v/>
      </c>
      <c r="W30" s="35">
        <f>IF($F30="","",IFERROR(INDEX(사건마스터!$AU$5:$AU$64,MATCH($F30,사건마스터!$A$5:$A$64,0)),""))</f>
        <v/>
      </c>
      <c r="X30" s="35">
        <f>IF($F30="","",IFERROR(INDEX(사건마스터!$AV$5:$AV$64,MATCH($F30,사건마스터!$A$5:$A$64,0)),""))</f>
        <v/>
      </c>
      <c r="Y30" s="30">
        <f>IF($I30="","",COUNTIF($I30:$X30,"?*"))</f>
        <v/>
      </c>
      <c r="Z30" s="33">
        <f>IF($I30="","",_xlfn.TEXTJOIN(", ",TRUE,$I30:$X30))</f>
        <v/>
      </c>
      <c r="AA30" s="34">
        <f>IF($I30="","",IFERROR(INDEX(코드설정!$D$5:$D$24,MATCH($I30,코드설정!$C$5:$C$24,0)),""))</f>
        <v/>
      </c>
      <c r="AB30" s="36" t="n"/>
      <c r="AC30" s="37" t="n"/>
      <c r="AD30" s="38" t="n"/>
      <c r="AE30" s="30">
        <f>IF(OR($B30="",$C30=""),"",$C30-$B30+1)</f>
        <v/>
      </c>
      <c r="AF30" s="32" t="n"/>
      <c r="AG30" s="36" t="n"/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3">
        <f>IF($F31="","",IFERROR(INDEX(사건마스터!$B$5:$B$64,MATCH($F31,사건마스터!$A$5:$A$64,0)),""))</f>
        <v/>
      </c>
      <c r="H31" s="34">
        <f>IF($F31="","",IFERROR(INDEX(사건마스터!$C$5:$C$64,MATCH($F31,사건마스터!$A$5:$A$64,0)),""))</f>
        <v/>
      </c>
      <c r="I31" s="35">
        <f>IF($F31="","",IFERROR(INDEX(사건마스터!$H$5:$H$64,MATCH($F31,사건마스터!$A$5:$A$64,0)),""))</f>
        <v/>
      </c>
      <c r="J31" s="35">
        <f>IF($F31="","",IFERROR(INDEX(사건마스터!$AH$5:$AH$64,MATCH($F31,사건마스터!$A$5:$A$64,0)),""))</f>
        <v/>
      </c>
      <c r="K31" s="35">
        <f>IF($F31="","",IFERROR(INDEX(사건마스터!$AI$5:$AI$64,MATCH($F31,사건마스터!$A$5:$A$64,0)),""))</f>
        <v/>
      </c>
      <c r="L31" s="35">
        <f>IF($F31="","",IFERROR(INDEX(사건마스터!$AJ$5:$AJ$64,MATCH($F31,사건마스터!$A$5:$A$64,0)),""))</f>
        <v/>
      </c>
      <c r="M31" s="35">
        <f>IF($F31="","",IFERROR(INDEX(사건마스터!$AK$5:$AK$64,MATCH($F31,사건마스터!$A$5:$A$64,0)),""))</f>
        <v/>
      </c>
      <c r="N31" s="35">
        <f>IF($F31="","",IFERROR(INDEX(사건마스터!$AL$5:$AL$64,MATCH($F31,사건마스터!$A$5:$A$64,0)),""))</f>
        <v/>
      </c>
      <c r="O31" s="35">
        <f>IF($F31="","",IFERROR(INDEX(사건마스터!$AM$5:$AM$64,MATCH($F31,사건마스터!$A$5:$A$64,0)),""))</f>
        <v/>
      </c>
      <c r="P31" s="35">
        <f>IF($F31="","",IFERROR(INDEX(사건마스터!$AN$5:$AN$64,MATCH($F31,사건마스터!$A$5:$A$64,0)),""))</f>
        <v/>
      </c>
      <c r="Q31" s="35">
        <f>IF($F31="","",IFERROR(INDEX(사건마스터!$AO$5:$AO$64,MATCH($F31,사건마스터!$A$5:$A$64,0)),""))</f>
        <v/>
      </c>
      <c r="R31" s="35">
        <f>IF($F31="","",IFERROR(INDEX(사건마스터!$AP$5:$AP$64,MATCH($F31,사건마스터!$A$5:$A$64,0)),""))</f>
        <v/>
      </c>
      <c r="S31" s="35">
        <f>IF($F31="","",IFERROR(INDEX(사건마스터!$AQ$5:$AQ$64,MATCH($F31,사건마스터!$A$5:$A$64,0)),""))</f>
        <v/>
      </c>
      <c r="T31" s="35">
        <f>IF($F31="","",IFERROR(INDEX(사건마스터!$AR$5:$AR$64,MATCH($F31,사건마스터!$A$5:$A$64,0)),""))</f>
        <v/>
      </c>
      <c r="U31" s="35">
        <f>IF($F31="","",IFERROR(INDEX(사건마스터!$AS$5:$AS$64,MATCH($F31,사건마스터!$A$5:$A$64,0)),""))</f>
        <v/>
      </c>
      <c r="V31" s="35">
        <f>IF($F31="","",IFERROR(INDEX(사건마스터!$AT$5:$AT$64,MATCH($F31,사건마스터!$A$5:$A$64,0)),""))</f>
        <v/>
      </c>
      <c r="W31" s="35">
        <f>IF($F31="","",IFERROR(INDEX(사건마스터!$AU$5:$AU$64,MATCH($F31,사건마스터!$A$5:$A$64,0)),""))</f>
        <v/>
      </c>
      <c r="X31" s="35">
        <f>IF($F31="","",IFERROR(INDEX(사건마스터!$AV$5:$AV$64,MATCH($F31,사건마스터!$A$5:$A$64,0)),""))</f>
        <v/>
      </c>
      <c r="Y31" s="30">
        <f>IF($I31="","",COUNTIF($I31:$X31,"?*"))</f>
        <v/>
      </c>
      <c r="Z31" s="33">
        <f>IF($I31="","",_xlfn.TEXTJOIN(", ",TRUE,$I31:$X31))</f>
        <v/>
      </c>
      <c r="AA31" s="34">
        <f>IF($I31="","",IFERROR(INDEX(코드설정!$D$5:$D$24,MATCH($I31,코드설정!$C$5:$C$24,0)),""))</f>
        <v/>
      </c>
      <c r="AB31" s="36" t="n"/>
      <c r="AC31" s="37" t="n"/>
      <c r="AD31" s="38" t="n"/>
      <c r="AE31" s="30">
        <f>IF(OR($B31="",$C31=""),"",$C31-$B31+1)</f>
        <v/>
      </c>
      <c r="AF31" s="32" t="n"/>
      <c r="AG31" s="36" t="n"/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3">
        <f>IF($F32="","",IFERROR(INDEX(사건마스터!$B$5:$B$64,MATCH($F32,사건마스터!$A$5:$A$64,0)),""))</f>
        <v/>
      </c>
      <c r="H32" s="34">
        <f>IF($F32="","",IFERROR(INDEX(사건마스터!$C$5:$C$64,MATCH($F32,사건마스터!$A$5:$A$64,0)),""))</f>
        <v/>
      </c>
      <c r="I32" s="35">
        <f>IF($F32="","",IFERROR(INDEX(사건마스터!$H$5:$H$64,MATCH($F32,사건마스터!$A$5:$A$64,0)),""))</f>
        <v/>
      </c>
      <c r="J32" s="35">
        <f>IF($F32="","",IFERROR(INDEX(사건마스터!$AH$5:$AH$64,MATCH($F32,사건마스터!$A$5:$A$64,0)),""))</f>
        <v/>
      </c>
      <c r="K32" s="35">
        <f>IF($F32="","",IFERROR(INDEX(사건마스터!$AI$5:$AI$64,MATCH($F32,사건마스터!$A$5:$A$64,0)),""))</f>
        <v/>
      </c>
      <c r="L32" s="35">
        <f>IF($F32="","",IFERROR(INDEX(사건마스터!$AJ$5:$AJ$64,MATCH($F32,사건마스터!$A$5:$A$64,0)),""))</f>
        <v/>
      </c>
      <c r="M32" s="35">
        <f>IF($F32="","",IFERROR(INDEX(사건마스터!$AK$5:$AK$64,MATCH($F32,사건마스터!$A$5:$A$64,0)),""))</f>
        <v/>
      </c>
      <c r="N32" s="35">
        <f>IF($F32="","",IFERROR(INDEX(사건마스터!$AL$5:$AL$64,MATCH($F32,사건마스터!$A$5:$A$64,0)),""))</f>
        <v/>
      </c>
      <c r="O32" s="35">
        <f>IF($F32="","",IFERROR(INDEX(사건마스터!$AM$5:$AM$64,MATCH($F32,사건마스터!$A$5:$A$64,0)),""))</f>
        <v/>
      </c>
      <c r="P32" s="35">
        <f>IF($F32="","",IFERROR(INDEX(사건마스터!$AN$5:$AN$64,MATCH($F32,사건마스터!$A$5:$A$64,0)),""))</f>
        <v/>
      </c>
      <c r="Q32" s="35">
        <f>IF($F32="","",IFERROR(INDEX(사건마스터!$AO$5:$AO$64,MATCH($F32,사건마스터!$A$5:$A$64,0)),""))</f>
        <v/>
      </c>
      <c r="R32" s="35">
        <f>IF($F32="","",IFERROR(INDEX(사건마스터!$AP$5:$AP$64,MATCH($F32,사건마스터!$A$5:$A$64,0)),""))</f>
        <v/>
      </c>
      <c r="S32" s="35">
        <f>IF($F32="","",IFERROR(INDEX(사건마스터!$AQ$5:$AQ$64,MATCH($F32,사건마스터!$A$5:$A$64,0)),""))</f>
        <v/>
      </c>
      <c r="T32" s="35">
        <f>IF($F32="","",IFERROR(INDEX(사건마스터!$AR$5:$AR$64,MATCH($F32,사건마스터!$A$5:$A$64,0)),""))</f>
        <v/>
      </c>
      <c r="U32" s="35">
        <f>IF($F32="","",IFERROR(INDEX(사건마스터!$AS$5:$AS$64,MATCH($F32,사건마스터!$A$5:$A$64,0)),""))</f>
        <v/>
      </c>
      <c r="V32" s="35">
        <f>IF($F32="","",IFERROR(INDEX(사건마스터!$AT$5:$AT$64,MATCH($F32,사건마스터!$A$5:$A$64,0)),""))</f>
        <v/>
      </c>
      <c r="W32" s="35">
        <f>IF($F32="","",IFERROR(INDEX(사건마스터!$AU$5:$AU$64,MATCH($F32,사건마스터!$A$5:$A$64,0)),""))</f>
        <v/>
      </c>
      <c r="X32" s="35">
        <f>IF($F32="","",IFERROR(INDEX(사건마스터!$AV$5:$AV$64,MATCH($F32,사건마스터!$A$5:$A$64,0)),""))</f>
        <v/>
      </c>
      <c r="Y32" s="30">
        <f>IF($I32="","",COUNTIF($I32:$X32,"?*"))</f>
        <v/>
      </c>
      <c r="Z32" s="33">
        <f>IF($I32="","",_xlfn.TEXTJOIN(", ",TRUE,$I32:$X32))</f>
        <v/>
      </c>
      <c r="AA32" s="34">
        <f>IF($I32="","",IFERROR(INDEX(코드설정!$D$5:$D$24,MATCH($I32,코드설정!$C$5:$C$24,0)),""))</f>
        <v/>
      </c>
      <c r="AB32" s="36" t="n"/>
      <c r="AC32" s="37" t="n"/>
      <c r="AD32" s="38" t="n"/>
      <c r="AE32" s="30">
        <f>IF(OR($B32="",$C32=""),"",$C32-$B32+1)</f>
        <v/>
      </c>
      <c r="AF32" s="32" t="n"/>
      <c r="AG32" s="36" t="n"/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3">
        <f>IF($F33="","",IFERROR(INDEX(사건마스터!$B$5:$B$64,MATCH($F33,사건마스터!$A$5:$A$64,0)),""))</f>
        <v/>
      </c>
      <c r="H33" s="34">
        <f>IF($F33="","",IFERROR(INDEX(사건마스터!$C$5:$C$64,MATCH($F33,사건마스터!$A$5:$A$64,0)),""))</f>
        <v/>
      </c>
      <c r="I33" s="35">
        <f>IF($F33="","",IFERROR(INDEX(사건마스터!$H$5:$H$64,MATCH($F33,사건마스터!$A$5:$A$64,0)),""))</f>
        <v/>
      </c>
      <c r="J33" s="35">
        <f>IF($F33="","",IFERROR(INDEX(사건마스터!$AH$5:$AH$64,MATCH($F33,사건마스터!$A$5:$A$64,0)),""))</f>
        <v/>
      </c>
      <c r="K33" s="35">
        <f>IF($F33="","",IFERROR(INDEX(사건마스터!$AI$5:$AI$64,MATCH($F33,사건마스터!$A$5:$A$64,0)),""))</f>
        <v/>
      </c>
      <c r="L33" s="35">
        <f>IF($F33="","",IFERROR(INDEX(사건마스터!$AJ$5:$AJ$64,MATCH($F33,사건마스터!$A$5:$A$64,0)),""))</f>
        <v/>
      </c>
      <c r="M33" s="35">
        <f>IF($F33="","",IFERROR(INDEX(사건마스터!$AK$5:$AK$64,MATCH($F33,사건마스터!$A$5:$A$64,0)),""))</f>
        <v/>
      </c>
      <c r="N33" s="35">
        <f>IF($F33="","",IFERROR(INDEX(사건마스터!$AL$5:$AL$64,MATCH($F33,사건마스터!$A$5:$A$64,0)),""))</f>
        <v/>
      </c>
      <c r="O33" s="35">
        <f>IF($F33="","",IFERROR(INDEX(사건마스터!$AM$5:$AM$64,MATCH($F33,사건마스터!$A$5:$A$64,0)),""))</f>
        <v/>
      </c>
      <c r="P33" s="35">
        <f>IF($F33="","",IFERROR(INDEX(사건마스터!$AN$5:$AN$64,MATCH($F33,사건마스터!$A$5:$A$64,0)),""))</f>
        <v/>
      </c>
      <c r="Q33" s="35">
        <f>IF($F33="","",IFERROR(INDEX(사건마스터!$AO$5:$AO$64,MATCH($F33,사건마스터!$A$5:$A$64,0)),""))</f>
        <v/>
      </c>
      <c r="R33" s="35">
        <f>IF($F33="","",IFERROR(INDEX(사건마스터!$AP$5:$AP$64,MATCH($F33,사건마스터!$A$5:$A$64,0)),""))</f>
        <v/>
      </c>
      <c r="S33" s="35">
        <f>IF($F33="","",IFERROR(INDEX(사건마스터!$AQ$5:$AQ$64,MATCH($F33,사건마스터!$A$5:$A$64,0)),""))</f>
        <v/>
      </c>
      <c r="T33" s="35">
        <f>IF($F33="","",IFERROR(INDEX(사건마스터!$AR$5:$AR$64,MATCH($F33,사건마스터!$A$5:$A$64,0)),""))</f>
        <v/>
      </c>
      <c r="U33" s="35">
        <f>IF($F33="","",IFERROR(INDEX(사건마스터!$AS$5:$AS$64,MATCH($F33,사건마스터!$A$5:$A$64,0)),""))</f>
        <v/>
      </c>
      <c r="V33" s="35">
        <f>IF($F33="","",IFERROR(INDEX(사건마스터!$AT$5:$AT$64,MATCH($F33,사건마스터!$A$5:$A$64,0)),""))</f>
        <v/>
      </c>
      <c r="W33" s="35">
        <f>IF($F33="","",IFERROR(INDEX(사건마스터!$AU$5:$AU$64,MATCH($F33,사건마스터!$A$5:$A$64,0)),""))</f>
        <v/>
      </c>
      <c r="X33" s="35">
        <f>IF($F33="","",IFERROR(INDEX(사건마스터!$AV$5:$AV$64,MATCH($F33,사건마스터!$A$5:$A$64,0)),""))</f>
        <v/>
      </c>
      <c r="Y33" s="30">
        <f>IF($I33="","",COUNTIF($I33:$X33,"?*"))</f>
        <v/>
      </c>
      <c r="Z33" s="33">
        <f>IF($I33="","",_xlfn.TEXTJOIN(", ",TRUE,$I33:$X33))</f>
        <v/>
      </c>
      <c r="AA33" s="34">
        <f>IF($I33="","",IFERROR(INDEX(코드설정!$D$5:$D$24,MATCH($I33,코드설정!$C$5:$C$24,0)),""))</f>
        <v/>
      </c>
      <c r="AB33" s="36" t="n"/>
      <c r="AC33" s="37" t="n"/>
      <c r="AD33" s="38" t="n"/>
      <c r="AE33" s="30">
        <f>IF(OR($B33="",$C33=""),"",$C33-$B33+1)</f>
        <v/>
      </c>
      <c r="AF33" s="32" t="n"/>
      <c r="AG33" s="36" t="n"/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3">
        <f>IF($F34="","",IFERROR(INDEX(사건마스터!$B$5:$B$64,MATCH($F34,사건마스터!$A$5:$A$64,0)),""))</f>
        <v/>
      </c>
      <c r="H34" s="34">
        <f>IF($F34="","",IFERROR(INDEX(사건마스터!$C$5:$C$64,MATCH($F34,사건마스터!$A$5:$A$64,0)),""))</f>
        <v/>
      </c>
      <c r="I34" s="35">
        <f>IF($F34="","",IFERROR(INDEX(사건마스터!$H$5:$H$64,MATCH($F34,사건마스터!$A$5:$A$64,0)),""))</f>
        <v/>
      </c>
      <c r="J34" s="35">
        <f>IF($F34="","",IFERROR(INDEX(사건마스터!$AH$5:$AH$64,MATCH($F34,사건마스터!$A$5:$A$64,0)),""))</f>
        <v/>
      </c>
      <c r="K34" s="35">
        <f>IF($F34="","",IFERROR(INDEX(사건마스터!$AI$5:$AI$64,MATCH($F34,사건마스터!$A$5:$A$64,0)),""))</f>
        <v/>
      </c>
      <c r="L34" s="35">
        <f>IF($F34="","",IFERROR(INDEX(사건마스터!$AJ$5:$AJ$64,MATCH($F34,사건마스터!$A$5:$A$64,0)),""))</f>
        <v/>
      </c>
      <c r="M34" s="35">
        <f>IF($F34="","",IFERROR(INDEX(사건마스터!$AK$5:$AK$64,MATCH($F34,사건마스터!$A$5:$A$64,0)),""))</f>
        <v/>
      </c>
      <c r="N34" s="35">
        <f>IF($F34="","",IFERROR(INDEX(사건마스터!$AL$5:$AL$64,MATCH($F34,사건마스터!$A$5:$A$64,0)),""))</f>
        <v/>
      </c>
      <c r="O34" s="35">
        <f>IF($F34="","",IFERROR(INDEX(사건마스터!$AM$5:$AM$64,MATCH($F34,사건마스터!$A$5:$A$64,0)),""))</f>
        <v/>
      </c>
      <c r="P34" s="35">
        <f>IF($F34="","",IFERROR(INDEX(사건마스터!$AN$5:$AN$64,MATCH($F34,사건마스터!$A$5:$A$64,0)),""))</f>
        <v/>
      </c>
      <c r="Q34" s="35">
        <f>IF($F34="","",IFERROR(INDEX(사건마스터!$AO$5:$AO$64,MATCH($F34,사건마스터!$A$5:$A$64,0)),""))</f>
        <v/>
      </c>
      <c r="R34" s="35">
        <f>IF($F34="","",IFERROR(INDEX(사건마스터!$AP$5:$AP$64,MATCH($F34,사건마스터!$A$5:$A$64,0)),""))</f>
        <v/>
      </c>
      <c r="S34" s="35">
        <f>IF($F34="","",IFERROR(INDEX(사건마스터!$AQ$5:$AQ$64,MATCH($F34,사건마스터!$A$5:$A$64,0)),""))</f>
        <v/>
      </c>
      <c r="T34" s="35">
        <f>IF($F34="","",IFERROR(INDEX(사건마스터!$AR$5:$AR$64,MATCH($F34,사건마스터!$A$5:$A$64,0)),""))</f>
        <v/>
      </c>
      <c r="U34" s="35">
        <f>IF($F34="","",IFERROR(INDEX(사건마스터!$AS$5:$AS$64,MATCH($F34,사건마스터!$A$5:$A$64,0)),""))</f>
        <v/>
      </c>
      <c r="V34" s="35">
        <f>IF($F34="","",IFERROR(INDEX(사건마스터!$AT$5:$AT$64,MATCH($F34,사건마스터!$A$5:$A$64,0)),""))</f>
        <v/>
      </c>
      <c r="W34" s="35">
        <f>IF($F34="","",IFERROR(INDEX(사건마스터!$AU$5:$AU$64,MATCH($F34,사건마스터!$A$5:$A$64,0)),""))</f>
        <v/>
      </c>
      <c r="X34" s="35">
        <f>IF($F34="","",IFERROR(INDEX(사건마스터!$AV$5:$AV$64,MATCH($F34,사건마스터!$A$5:$A$64,0)),""))</f>
        <v/>
      </c>
      <c r="Y34" s="30">
        <f>IF($I34="","",COUNTIF($I34:$X34,"?*"))</f>
        <v/>
      </c>
      <c r="Z34" s="33">
        <f>IF($I34="","",_xlfn.TEXTJOIN(", ",TRUE,$I34:$X34))</f>
        <v/>
      </c>
      <c r="AA34" s="34">
        <f>IF($I34="","",IFERROR(INDEX(코드설정!$D$5:$D$24,MATCH($I34,코드설정!$C$5:$C$24,0)),""))</f>
        <v/>
      </c>
      <c r="AB34" s="36" t="n"/>
      <c r="AC34" s="37" t="n"/>
      <c r="AD34" s="38" t="n"/>
      <c r="AE34" s="30">
        <f>IF(OR($B34="",$C34=""),"",$C34-$B34+1)</f>
        <v/>
      </c>
      <c r="AF34" s="32" t="n"/>
      <c r="AG34" s="36" t="n"/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3">
        <f>IF($F35="","",IFERROR(INDEX(사건마스터!$B$5:$B$64,MATCH($F35,사건마스터!$A$5:$A$64,0)),""))</f>
        <v/>
      </c>
      <c r="H35" s="34">
        <f>IF($F35="","",IFERROR(INDEX(사건마스터!$C$5:$C$64,MATCH($F35,사건마스터!$A$5:$A$64,0)),""))</f>
        <v/>
      </c>
      <c r="I35" s="35">
        <f>IF($F35="","",IFERROR(INDEX(사건마스터!$H$5:$H$64,MATCH($F35,사건마스터!$A$5:$A$64,0)),""))</f>
        <v/>
      </c>
      <c r="J35" s="35">
        <f>IF($F35="","",IFERROR(INDEX(사건마스터!$AH$5:$AH$64,MATCH($F35,사건마스터!$A$5:$A$64,0)),""))</f>
        <v/>
      </c>
      <c r="K35" s="35">
        <f>IF($F35="","",IFERROR(INDEX(사건마스터!$AI$5:$AI$64,MATCH($F35,사건마스터!$A$5:$A$64,0)),""))</f>
        <v/>
      </c>
      <c r="L35" s="35">
        <f>IF($F35="","",IFERROR(INDEX(사건마스터!$AJ$5:$AJ$64,MATCH($F35,사건마스터!$A$5:$A$64,0)),""))</f>
        <v/>
      </c>
      <c r="M35" s="35">
        <f>IF($F35="","",IFERROR(INDEX(사건마스터!$AK$5:$AK$64,MATCH($F35,사건마스터!$A$5:$A$64,0)),""))</f>
        <v/>
      </c>
      <c r="N35" s="35">
        <f>IF($F35="","",IFERROR(INDEX(사건마스터!$AL$5:$AL$64,MATCH($F35,사건마스터!$A$5:$A$64,0)),""))</f>
        <v/>
      </c>
      <c r="O35" s="35">
        <f>IF($F35="","",IFERROR(INDEX(사건마스터!$AM$5:$AM$64,MATCH($F35,사건마스터!$A$5:$A$64,0)),""))</f>
        <v/>
      </c>
      <c r="P35" s="35">
        <f>IF($F35="","",IFERROR(INDEX(사건마스터!$AN$5:$AN$64,MATCH($F35,사건마스터!$A$5:$A$64,0)),""))</f>
        <v/>
      </c>
      <c r="Q35" s="35">
        <f>IF($F35="","",IFERROR(INDEX(사건마스터!$AO$5:$AO$64,MATCH($F35,사건마스터!$A$5:$A$64,0)),""))</f>
        <v/>
      </c>
      <c r="R35" s="35">
        <f>IF($F35="","",IFERROR(INDEX(사건마스터!$AP$5:$AP$64,MATCH($F35,사건마스터!$A$5:$A$64,0)),""))</f>
        <v/>
      </c>
      <c r="S35" s="35">
        <f>IF($F35="","",IFERROR(INDEX(사건마스터!$AQ$5:$AQ$64,MATCH($F35,사건마스터!$A$5:$A$64,0)),""))</f>
        <v/>
      </c>
      <c r="T35" s="35">
        <f>IF($F35="","",IFERROR(INDEX(사건마스터!$AR$5:$AR$64,MATCH($F35,사건마스터!$A$5:$A$64,0)),""))</f>
        <v/>
      </c>
      <c r="U35" s="35">
        <f>IF($F35="","",IFERROR(INDEX(사건마스터!$AS$5:$AS$64,MATCH($F35,사건마스터!$A$5:$A$64,0)),""))</f>
        <v/>
      </c>
      <c r="V35" s="35">
        <f>IF($F35="","",IFERROR(INDEX(사건마스터!$AT$5:$AT$64,MATCH($F35,사건마스터!$A$5:$A$64,0)),""))</f>
        <v/>
      </c>
      <c r="W35" s="35">
        <f>IF($F35="","",IFERROR(INDEX(사건마스터!$AU$5:$AU$64,MATCH($F35,사건마스터!$A$5:$A$64,0)),""))</f>
        <v/>
      </c>
      <c r="X35" s="35">
        <f>IF($F35="","",IFERROR(INDEX(사건마스터!$AV$5:$AV$64,MATCH($F35,사건마스터!$A$5:$A$64,0)),""))</f>
        <v/>
      </c>
      <c r="Y35" s="30">
        <f>IF($I35="","",COUNTIF($I35:$X35,"?*"))</f>
        <v/>
      </c>
      <c r="Z35" s="33">
        <f>IF($I35="","",_xlfn.TEXTJOIN(", ",TRUE,$I35:$X35))</f>
        <v/>
      </c>
      <c r="AA35" s="34">
        <f>IF($I35="","",IFERROR(INDEX(코드설정!$D$5:$D$24,MATCH($I35,코드설정!$C$5:$C$24,0)),""))</f>
        <v/>
      </c>
      <c r="AB35" s="36" t="n"/>
      <c r="AC35" s="37" t="n"/>
      <c r="AD35" s="38" t="n"/>
      <c r="AE35" s="30">
        <f>IF(OR($B35="",$C35=""),"",$C35-$B35+1)</f>
        <v/>
      </c>
      <c r="AF35" s="32" t="n"/>
      <c r="AG35" s="36" t="n"/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3">
        <f>IF($F36="","",IFERROR(INDEX(사건마스터!$B$5:$B$64,MATCH($F36,사건마스터!$A$5:$A$64,0)),""))</f>
        <v/>
      </c>
      <c r="H36" s="34">
        <f>IF($F36="","",IFERROR(INDEX(사건마스터!$C$5:$C$64,MATCH($F36,사건마스터!$A$5:$A$64,0)),""))</f>
        <v/>
      </c>
      <c r="I36" s="35">
        <f>IF($F36="","",IFERROR(INDEX(사건마스터!$H$5:$H$64,MATCH($F36,사건마스터!$A$5:$A$64,0)),""))</f>
        <v/>
      </c>
      <c r="J36" s="35">
        <f>IF($F36="","",IFERROR(INDEX(사건마스터!$AH$5:$AH$64,MATCH($F36,사건마스터!$A$5:$A$64,0)),""))</f>
        <v/>
      </c>
      <c r="K36" s="35">
        <f>IF($F36="","",IFERROR(INDEX(사건마스터!$AI$5:$AI$64,MATCH($F36,사건마스터!$A$5:$A$64,0)),""))</f>
        <v/>
      </c>
      <c r="L36" s="35">
        <f>IF($F36="","",IFERROR(INDEX(사건마스터!$AJ$5:$AJ$64,MATCH($F36,사건마스터!$A$5:$A$64,0)),""))</f>
        <v/>
      </c>
      <c r="M36" s="35">
        <f>IF($F36="","",IFERROR(INDEX(사건마스터!$AK$5:$AK$64,MATCH($F36,사건마스터!$A$5:$A$64,0)),""))</f>
        <v/>
      </c>
      <c r="N36" s="35">
        <f>IF($F36="","",IFERROR(INDEX(사건마스터!$AL$5:$AL$64,MATCH($F36,사건마스터!$A$5:$A$64,0)),""))</f>
        <v/>
      </c>
      <c r="O36" s="35">
        <f>IF($F36="","",IFERROR(INDEX(사건마스터!$AM$5:$AM$64,MATCH($F36,사건마스터!$A$5:$A$64,0)),""))</f>
        <v/>
      </c>
      <c r="P36" s="35">
        <f>IF($F36="","",IFERROR(INDEX(사건마스터!$AN$5:$AN$64,MATCH($F36,사건마스터!$A$5:$A$64,0)),""))</f>
        <v/>
      </c>
      <c r="Q36" s="35">
        <f>IF($F36="","",IFERROR(INDEX(사건마스터!$AO$5:$AO$64,MATCH($F36,사건마스터!$A$5:$A$64,0)),""))</f>
        <v/>
      </c>
      <c r="R36" s="35">
        <f>IF($F36="","",IFERROR(INDEX(사건마스터!$AP$5:$AP$64,MATCH($F36,사건마스터!$A$5:$A$64,0)),""))</f>
        <v/>
      </c>
      <c r="S36" s="35">
        <f>IF($F36="","",IFERROR(INDEX(사건마스터!$AQ$5:$AQ$64,MATCH($F36,사건마스터!$A$5:$A$64,0)),""))</f>
        <v/>
      </c>
      <c r="T36" s="35">
        <f>IF($F36="","",IFERROR(INDEX(사건마스터!$AR$5:$AR$64,MATCH($F36,사건마스터!$A$5:$A$64,0)),""))</f>
        <v/>
      </c>
      <c r="U36" s="35">
        <f>IF($F36="","",IFERROR(INDEX(사건마스터!$AS$5:$AS$64,MATCH($F36,사건마스터!$A$5:$A$64,0)),""))</f>
        <v/>
      </c>
      <c r="V36" s="35">
        <f>IF($F36="","",IFERROR(INDEX(사건마스터!$AT$5:$AT$64,MATCH($F36,사건마스터!$A$5:$A$64,0)),""))</f>
        <v/>
      </c>
      <c r="W36" s="35">
        <f>IF($F36="","",IFERROR(INDEX(사건마스터!$AU$5:$AU$64,MATCH($F36,사건마스터!$A$5:$A$64,0)),""))</f>
        <v/>
      </c>
      <c r="X36" s="35">
        <f>IF($F36="","",IFERROR(INDEX(사건마스터!$AV$5:$AV$64,MATCH($F36,사건마스터!$A$5:$A$64,0)),""))</f>
        <v/>
      </c>
      <c r="Y36" s="30">
        <f>IF($I36="","",COUNTIF($I36:$X36,"?*"))</f>
        <v/>
      </c>
      <c r="Z36" s="33">
        <f>IF($I36="","",_xlfn.TEXTJOIN(", ",TRUE,$I36:$X36))</f>
        <v/>
      </c>
      <c r="AA36" s="34">
        <f>IF($I36="","",IFERROR(INDEX(코드설정!$D$5:$D$24,MATCH($I36,코드설정!$C$5:$C$24,0)),""))</f>
        <v/>
      </c>
      <c r="AB36" s="36" t="n"/>
      <c r="AC36" s="37" t="n"/>
      <c r="AD36" s="38" t="n"/>
      <c r="AE36" s="30">
        <f>IF(OR($B36="",$C36=""),"",$C36-$B36+1)</f>
        <v/>
      </c>
      <c r="AF36" s="32" t="n"/>
      <c r="AG36" s="36" t="n"/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3">
        <f>IF($F37="","",IFERROR(INDEX(사건마스터!$B$5:$B$64,MATCH($F37,사건마스터!$A$5:$A$64,0)),""))</f>
        <v/>
      </c>
      <c r="H37" s="34">
        <f>IF($F37="","",IFERROR(INDEX(사건마스터!$C$5:$C$64,MATCH($F37,사건마스터!$A$5:$A$64,0)),""))</f>
        <v/>
      </c>
      <c r="I37" s="35">
        <f>IF($F37="","",IFERROR(INDEX(사건마스터!$H$5:$H$64,MATCH($F37,사건마스터!$A$5:$A$64,0)),""))</f>
        <v/>
      </c>
      <c r="J37" s="35">
        <f>IF($F37="","",IFERROR(INDEX(사건마스터!$AH$5:$AH$64,MATCH($F37,사건마스터!$A$5:$A$64,0)),""))</f>
        <v/>
      </c>
      <c r="K37" s="35">
        <f>IF($F37="","",IFERROR(INDEX(사건마스터!$AI$5:$AI$64,MATCH($F37,사건마스터!$A$5:$A$64,0)),""))</f>
        <v/>
      </c>
      <c r="L37" s="35">
        <f>IF($F37="","",IFERROR(INDEX(사건마스터!$AJ$5:$AJ$64,MATCH($F37,사건마스터!$A$5:$A$64,0)),""))</f>
        <v/>
      </c>
      <c r="M37" s="35">
        <f>IF($F37="","",IFERROR(INDEX(사건마스터!$AK$5:$AK$64,MATCH($F37,사건마스터!$A$5:$A$64,0)),""))</f>
        <v/>
      </c>
      <c r="N37" s="35">
        <f>IF($F37="","",IFERROR(INDEX(사건마스터!$AL$5:$AL$64,MATCH($F37,사건마스터!$A$5:$A$64,0)),""))</f>
        <v/>
      </c>
      <c r="O37" s="35">
        <f>IF($F37="","",IFERROR(INDEX(사건마스터!$AM$5:$AM$64,MATCH($F37,사건마스터!$A$5:$A$64,0)),""))</f>
        <v/>
      </c>
      <c r="P37" s="35">
        <f>IF($F37="","",IFERROR(INDEX(사건마스터!$AN$5:$AN$64,MATCH($F37,사건마스터!$A$5:$A$64,0)),""))</f>
        <v/>
      </c>
      <c r="Q37" s="35">
        <f>IF($F37="","",IFERROR(INDEX(사건마스터!$AO$5:$AO$64,MATCH($F37,사건마스터!$A$5:$A$64,0)),""))</f>
        <v/>
      </c>
      <c r="R37" s="35">
        <f>IF($F37="","",IFERROR(INDEX(사건마스터!$AP$5:$AP$64,MATCH($F37,사건마스터!$A$5:$A$64,0)),""))</f>
        <v/>
      </c>
      <c r="S37" s="35">
        <f>IF($F37="","",IFERROR(INDEX(사건마스터!$AQ$5:$AQ$64,MATCH($F37,사건마스터!$A$5:$A$64,0)),""))</f>
        <v/>
      </c>
      <c r="T37" s="35">
        <f>IF($F37="","",IFERROR(INDEX(사건마스터!$AR$5:$AR$64,MATCH($F37,사건마스터!$A$5:$A$64,0)),""))</f>
        <v/>
      </c>
      <c r="U37" s="35">
        <f>IF($F37="","",IFERROR(INDEX(사건마스터!$AS$5:$AS$64,MATCH($F37,사건마스터!$A$5:$A$64,0)),""))</f>
        <v/>
      </c>
      <c r="V37" s="35">
        <f>IF($F37="","",IFERROR(INDEX(사건마스터!$AT$5:$AT$64,MATCH($F37,사건마스터!$A$5:$A$64,0)),""))</f>
        <v/>
      </c>
      <c r="W37" s="35">
        <f>IF($F37="","",IFERROR(INDEX(사건마스터!$AU$5:$AU$64,MATCH($F37,사건마스터!$A$5:$A$64,0)),""))</f>
        <v/>
      </c>
      <c r="X37" s="35">
        <f>IF($F37="","",IFERROR(INDEX(사건마스터!$AV$5:$AV$64,MATCH($F37,사건마스터!$A$5:$A$64,0)),""))</f>
        <v/>
      </c>
      <c r="Y37" s="30">
        <f>IF($I37="","",COUNTIF($I37:$X37,"?*"))</f>
        <v/>
      </c>
      <c r="Z37" s="33">
        <f>IF($I37="","",_xlfn.TEXTJOIN(", ",TRUE,$I37:$X37))</f>
        <v/>
      </c>
      <c r="AA37" s="34">
        <f>IF($I37="","",IFERROR(INDEX(코드설정!$D$5:$D$24,MATCH($I37,코드설정!$C$5:$C$24,0)),""))</f>
        <v/>
      </c>
      <c r="AB37" s="36" t="n"/>
      <c r="AC37" s="37" t="n"/>
      <c r="AD37" s="38" t="n"/>
      <c r="AE37" s="30">
        <f>IF(OR($B37="",$C37=""),"",$C37-$B37+1)</f>
        <v/>
      </c>
      <c r="AF37" s="32" t="n"/>
      <c r="AG37" s="36" t="n"/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3">
        <f>IF($F38="","",IFERROR(INDEX(사건마스터!$B$5:$B$64,MATCH($F38,사건마스터!$A$5:$A$64,0)),""))</f>
        <v/>
      </c>
      <c r="H38" s="34">
        <f>IF($F38="","",IFERROR(INDEX(사건마스터!$C$5:$C$64,MATCH($F38,사건마스터!$A$5:$A$64,0)),""))</f>
        <v/>
      </c>
      <c r="I38" s="35">
        <f>IF($F38="","",IFERROR(INDEX(사건마스터!$H$5:$H$64,MATCH($F38,사건마스터!$A$5:$A$64,0)),""))</f>
        <v/>
      </c>
      <c r="J38" s="35">
        <f>IF($F38="","",IFERROR(INDEX(사건마스터!$AH$5:$AH$64,MATCH($F38,사건마스터!$A$5:$A$64,0)),""))</f>
        <v/>
      </c>
      <c r="K38" s="35">
        <f>IF($F38="","",IFERROR(INDEX(사건마스터!$AI$5:$AI$64,MATCH($F38,사건마스터!$A$5:$A$64,0)),""))</f>
        <v/>
      </c>
      <c r="L38" s="35">
        <f>IF($F38="","",IFERROR(INDEX(사건마스터!$AJ$5:$AJ$64,MATCH($F38,사건마스터!$A$5:$A$64,0)),""))</f>
        <v/>
      </c>
      <c r="M38" s="35">
        <f>IF($F38="","",IFERROR(INDEX(사건마스터!$AK$5:$AK$64,MATCH($F38,사건마스터!$A$5:$A$64,0)),""))</f>
        <v/>
      </c>
      <c r="N38" s="35">
        <f>IF($F38="","",IFERROR(INDEX(사건마스터!$AL$5:$AL$64,MATCH($F38,사건마스터!$A$5:$A$64,0)),""))</f>
        <v/>
      </c>
      <c r="O38" s="35">
        <f>IF($F38="","",IFERROR(INDEX(사건마스터!$AM$5:$AM$64,MATCH($F38,사건마스터!$A$5:$A$64,0)),""))</f>
        <v/>
      </c>
      <c r="P38" s="35">
        <f>IF($F38="","",IFERROR(INDEX(사건마스터!$AN$5:$AN$64,MATCH($F38,사건마스터!$A$5:$A$64,0)),""))</f>
        <v/>
      </c>
      <c r="Q38" s="35">
        <f>IF($F38="","",IFERROR(INDEX(사건마스터!$AO$5:$AO$64,MATCH($F38,사건마스터!$A$5:$A$64,0)),""))</f>
        <v/>
      </c>
      <c r="R38" s="35">
        <f>IF($F38="","",IFERROR(INDEX(사건마스터!$AP$5:$AP$64,MATCH($F38,사건마스터!$A$5:$A$64,0)),""))</f>
        <v/>
      </c>
      <c r="S38" s="35">
        <f>IF($F38="","",IFERROR(INDEX(사건마스터!$AQ$5:$AQ$64,MATCH($F38,사건마스터!$A$5:$A$64,0)),""))</f>
        <v/>
      </c>
      <c r="T38" s="35">
        <f>IF($F38="","",IFERROR(INDEX(사건마스터!$AR$5:$AR$64,MATCH($F38,사건마스터!$A$5:$A$64,0)),""))</f>
        <v/>
      </c>
      <c r="U38" s="35">
        <f>IF($F38="","",IFERROR(INDEX(사건마스터!$AS$5:$AS$64,MATCH($F38,사건마스터!$A$5:$A$64,0)),""))</f>
        <v/>
      </c>
      <c r="V38" s="35">
        <f>IF($F38="","",IFERROR(INDEX(사건마스터!$AT$5:$AT$64,MATCH($F38,사건마스터!$A$5:$A$64,0)),""))</f>
        <v/>
      </c>
      <c r="W38" s="35">
        <f>IF($F38="","",IFERROR(INDEX(사건마스터!$AU$5:$AU$64,MATCH($F38,사건마스터!$A$5:$A$64,0)),""))</f>
        <v/>
      </c>
      <c r="X38" s="35">
        <f>IF($F38="","",IFERROR(INDEX(사건마스터!$AV$5:$AV$64,MATCH($F38,사건마스터!$A$5:$A$64,0)),""))</f>
        <v/>
      </c>
      <c r="Y38" s="30">
        <f>IF($I38="","",COUNTIF($I38:$X38,"?*"))</f>
        <v/>
      </c>
      <c r="Z38" s="33">
        <f>IF($I38="","",_xlfn.TEXTJOIN(", ",TRUE,$I38:$X38))</f>
        <v/>
      </c>
      <c r="AA38" s="34">
        <f>IF($I38="","",IFERROR(INDEX(코드설정!$D$5:$D$24,MATCH($I38,코드설정!$C$5:$C$24,0)),""))</f>
        <v/>
      </c>
      <c r="AB38" s="36" t="n"/>
      <c r="AC38" s="37" t="n"/>
      <c r="AD38" s="38" t="n"/>
      <c r="AE38" s="30">
        <f>IF(OR($B38="",$C38=""),"",$C38-$B38+1)</f>
        <v/>
      </c>
      <c r="AF38" s="32" t="n"/>
      <c r="AG38" s="36" t="n"/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3">
        <f>IF($F39="","",IFERROR(INDEX(사건마스터!$B$5:$B$64,MATCH($F39,사건마스터!$A$5:$A$64,0)),""))</f>
        <v/>
      </c>
      <c r="H39" s="34">
        <f>IF($F39="","",IFERROR(INDEX(사건마스터!$C$5:$C$64,MATCH($F39,사건마스터!$A$5:$A$64,0)),""))</f>
        <v/>
      </c>
      <c r="I39" s="35">
        <f>IF($F39="","",IFERROR(INDEX(사건마스터!$H$5:$H$64,MATCH($F39,사건마스터!$A$5:$A$64,0)),""))</f>
        <v/>
      </c>
      <c r="J39" s="35">
        <f>IF($F39="","",IFERROR(INDEX(사건마스터!$AH$5:$AH$64,MATCH($F39,사건마스터!$A$5:$A$64,0)),""))</f>
        <v/>
      </c>
      <c r="K39" s="35">
        <f>IF($F39="","",IFERROR(INDEX(사건마스터!$AI$5:$AI$64,MATCH($F39,사건마스터!$A$5:$A$64,0)),""))</f>
        <v/>
      </c>
      <c r="L39" s="35">
        <f>IF($F39="","",IFERROR(INDEX(사건마스터!$AJ$5:$AJ$64,MATCH($F39,사건마스터!$A$5:$A$64,0)),""))</f>
        <v/>
      </c>
      <c r="M39" s="35">
        <f>IF($F39="","",IFERROR(INDEX(사건마스터!$AK$5:$AK$64,MATCH($F39,사건마스터!$A$5:$A$64,0)),""))</f>
        <v/>
      </c>
      <c r="N39" s="35">
        <f>IF($F39="","",IFERROR(INDEX(사건마스터!$AL$5:$AL$64,MATCH($F39,사건마스터!$A$5:$A$64,0)),""))</f>
        <v/>
      </c>
      <c r="O39" s="35">
        <f>IF($F39="","",IFERROR(INDEX(사건마스터!$AM$5:$AM$64,MATCH($F39,사건마스터!$A$5:$A$64,0)),""))</f>
        <v/>
      </c>
      <c r="P39" s="35">
        <f>IF($F39="","",IFERROR(INDEX(사건마스터!$AN$5:$AN$64,MATCH($F39,사건마스터!$A$5:$A$64,0)),""))</f>
        <v/>
      </c>
      <c r="Q39" s="35">
        <f>IF($F39="","",IFERROR(INDEX(사건마스터!$AO$5:$AO$64,MATCH($F39,사건마스터!$A$5:$A$64,0)),""))</f>
        <v/>
      </c>
      <c r="R39" s="35">
        <f>IF($F39="","",IFERROR(INDEX(사건마스터!$AP$5:$AP$64,MATCH($F39,사건마스터!$A$5:$A$64,0)),""))</f>
        <v/>
      </c>
      <c r="S39" s="35">
        <f>IF($F39="","",IFERROR(INDEX(사건마스터!$AQ$5:$AQ$64,MATCH($F39,사건마스터!$A$5:$A$64,0)),""))</f>
        <v/>
      </c>
      <c r="T39" s="35">
        <f>IF($F39="","",IFERROR(INDEX(사건마스터!$AR$5:$AR$64,MATCH($F39,사건마스터!$A$5:$A$64,0)),""))</f>
        <v/>
      </c>
      <c r="U39" s="35">
        <f>IF($F39="","",IFERROR(INDEX(사건마스터!$AS$5:$AS$64,MATCH($F39,사건마스터!$A$5:$A$64,0)),""))</f>
        <v/>
      </c>
      <c r="V39" s="35">
        <f>IF($F39="","",IFERROR(INDEX(사건마스터!$AT$5:$AT$64,MATCH($F39,사건마스터!$A$5:$A$64,0)),""))</f>
        <v/>
      </c>
      <c r="W39" s="35">
        <f>IF($F39="","",IFERROR(INDEX(사건마스터!$AU$5:$AU$64,MATCH($F39,사건마스터!$A$5:$A$64,0)),""))</f>
        <v/>
      </c>
      <c r="X39" s="35">
        <f>IF($F39="","",IFERROR(INDEX(사건마스터!$AV$5:$AV$64,MATCH($F39,사건마스터!$A$5:$A$64,0)),""))</f>
        <v/>
      </c>
      <c r="Y39" s="30">
        <f>IF($I39="","",COUNTIF($I39:$X39,"?*"))</f>
        <v/>
      </c>
      <c r="Z39" s="33">
        <f>IF($I39="","",_xlfn.TEXTJOIN(", ",TRUE,$I39:$X39))</f>
        <v/>
      </c>
      <c r="AA39" s="34">
        <f>IF($I39="","",IFERROR(INDEX(코드설정!$D$5:$D$24,MATCH($I39,코드설정!$C$5:$C$24,0)),""))</f>
        <v/>
      </c>
      <c r="AB39" s="36" t="n"/>
      <c r="AC39" s="37" t="n"/>
      <c r="AD39" s="38" t="n"/>
      <c r="AE39" s="30">
        <f>IF(OR($B39="",$C39=""),"",$C39-$B39+1)</f>
        <v/>
      </c>
      <c r="AF39" s="32" t="n"/>
      <c r="AG39" s="36" t="n"/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3">
        <f>IF($F40="","",IFERROR(INDEX(사건마스터!$B$5:$B$64,MATCH($F40,사건마스터!$A$5:$A$64,0)),""))</f>
        <v/>
      </c>
      <c r="H40" s="34">
        <f>IF($F40="","",IFERROR(INDEX(사건마스터!$C$5:$C$64,MATCH($F40,사건마스터!$A$5:$A$64,0)),""))</f>
        <v/>
      </c>
      <c r="I40" s="35">
        <f>IF($F40="","",IFERROR(INDEX(사건마스터!$H$5:$H$64,MATCH($F40,사건마스터!$A$5:$A$64,0)),""))</f>
        <v/>
      </c>
      <c r="J40" s="35">
        <f>IF($F40="","",IFERROR(INDEX(사건마스터!$AH$5:$AH$64,MATCH($F40,사건마스터!$A$5:$A$64,0)),""))</f>
        <v/>
      </c>
      <c r="K40" s="35">
        <f>IF($F40="","",IFERROR(INDEX(사건마스터!$AI$5:$AI$64,MATCH($F40,사건마스터!$A$5:$A$64,0)),""))</f>
        <v/>
      </c>
      <c r="L40" s="35">
        <f>IF($F40="","",IFERROR(INDEX(사건마스터!$AJ$5:$AJ$64,MATCH($F40,사건마스터!$A$5:$A$64,0)),""))</f>
        <v/>
      </c>
      <c r="M40" s="35">
        <f>IF($F40="","",IFERROR(INDEX(사건마스터!$AK$5:$AK$64,MATCH($F40,사건마스터!$A$5:$A$64,0)),""))</f>
        <v/>
      </c>
      <c r="N40" s="35">
        <f>IF($F40="","",IFERROR(INDEX(사건마스터!$AL$5:$AL$64,MATCH($F40,사건마스터!$A$5:$A$64,0)),""))</f>
        <v/>
      </c>
      <c r="O40" s="35">
        <f>IF($F40="","",IFERROR(INDEX(사건마스터!$AM$5:$AM$64,MATCH($F40,사건마스터!$A$5:$A$64,0)),""))</f>
        <v/>
      </c>
      <c r="P40" s="35">
        <f>IF($F40="","",IFERROR(INDEX(사건마스터!$AN$5:$AN$64,MATCH($F40,사건마스터!$A$5:$A$64,0)),""))</f>
        <v/>
      </c>
      <c r="Q40" s="35">
        <f>IF($F40="","",IFERROR(INDEX(사건마스터!$AO$5:$AO$64,MATCH($F40,사건마스터!$A$5:$A$64,0)),""))</f>
        <v/>
      </c>
      <c r="R40" s="35">
        <f>IF($F40="","",IFERROR(INDEX(사건마스터!$AP$5:$AP$64,MATCH($F40,사건마스터!$A$5:$A$64,0)),""))</f>
        <v/>
      </c>
      <c r="S40" s="35">
        <f>IF($F40="","",IFERROR(INDEX(사건마스터!$AQ$5:$AQ$64,MATCH($F40,사건마스터!$A$5:$A$64,0)),""))</f>
        <v/>
      </c>
      <c r="T40" s="35">
        <f>IF($F40="","",IFERROR(INDEX(사건마스터!$AR$5:$AR$64,MATCH($F40,사건마스터!$A$5:$A$64,0)),""))</f>
        <v/>
      </c>
      <c r="U40" s="35">
        <f>IF($F40="","",IFERROR(INDEX(사건마스터!$AS$5:$AS$64,MATCH($F40,사건마스터!$A$5:$A$64,0)),""))</f>
        <v/>
      </c>
      <c r="V40" s="35">
        <f>IF($F40="","",IFERROR(INDEX(사건마스터!$AT$5:$AT$64,MATCH($F40,사건마스터!$A$5:$A$64,0)),""))</f>
        <v/>
      </c>
      <c r="W40" s="35">
        <f>IF($F40="","",IFERROR(INDEX(사건마스터!$AU$5:$AU$64,MATCH($F40,사건마스터!$A$5:$A$64,0)),""))</f>
        <v/>
      </c>
      <c r="X40" s="35">
        <f>IF($F40="","",IFERROR(INDEX(사건마스터!$AV$5:$AV$64,MATCH($F40,사건마스터!$A$5:$A$64,0)),""))</f>
        <v/>
      </c>
      <c r="Y40" s="30">
        <f>IF($I40="","",COUNTIF($I40:$X40,"?*"))</f>
        <v/>
      </c>
      <c r="Z40" s="33">
        <f>IF($I40="","",_xlfn.TEXTJOIN(", ",TRUE,$I40:$X40))</f>
        <v/>
      </c>
      <c r="AA40" s="34">
        <f>IF($I40="","",IFERROR(INDEX(코드설정!$D$5:$D$24,MATCH($I40,코드설정!$C$5:$C$24,0)),""))</f>
        <v/>
      </c>
      <c r="AB40" s="36" t="n"/>
      <c r="AC40" s="37" t="n"/>
      <c r="AD40" s="38" t="n"/>
      <c r="AE40" s="30">
        <f>IF(OR($B40="",$C40=""),"",$C40-$B40+1)</f>
        <v/>
      </c>
      <c r="AF40" s="32" t="n"/>
      <c r="AG40" s="36" t="n"/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3">
        <f>IF($F41="","",IFERROR(INDEX(사건마스터!$B$5:$B$64,MATCH($F41,사건마스터!$A$5:$A$64,0)),""))</f>
        <v/>
      </c>
      <c r="H41" s="34">
        <f>IF($F41="","",IFERROR(INDEX(사건마스터!$C$5:$C$64,MATCH($F41,사건마스터!$A$5:$A$64,0)),""))</f>
        <v/>
      </c>
      <c r="I41" s="35">
        <f>IF($F41="","",IFERROR(INDEX(사건마스터!$H$5:$H$64,MATCH($F41,사건마스터!$A$5:$A$64,0)),""))</f>
        <v/>
      </c>
      <c r="J41" s="35">
        <f>IF($F41="","",IFERROR(INDEX(사건마스터!$AH$5:$AH$64,MATCH($F41,사건마스터!$A$5:$A$64,0)),""))</f>
        <v/>
      </c>
      <c r="K41" s="35">
        <f>IF($F41="","",IFERROR(INDEX(사건마스터!$AI$5:$AI$64,MATCH($F41,사건마스터!$A$5:$A$64,0)),""))</f>
        <v/>
      </c>
      <c r="L41" s="35">
        <f>IF($F41="","",IFERROR(INDEX(사건마스터!$AJ$5:$AJ$64,MATCH($F41,사건마스터!$A$5:$A$64,0)),""))</f>
        <v/>
      </c>
      <c r="M41" s="35">
        <f>IF($F41="","",IFERROR(INDEX(사건마스터!$AK$5:$AK$64,MATCH($F41,사건마스터!$A$5:$A$64,0)),""))</f>
        <v/>
      </c>
      <c r="N41" s="35">
        <f>IF($F41="","",IFERROR(INDEX(사건마스터!$AL$5:$AL$64,MATCH($F41,사건마스터!$A$5:$A$64,0)),""))</f>
        <v/>
      </c>
      <c r="O41" s="35">
        <f>IF($F41="","",IFERROR(INDEX(사건마스터!$AM$5:$AM$64,MATCH($F41,사건마스터!$A$5:$A$64,0)),""))</f>
        <v/>
      </c>
      <c r="P41" s="35">
        <f>IF($F41="","",IFERROR(INDEX(사건마스터!$AN$5:$AN$64,MATCH($F41,사건마스터!$A$5:$A$64,0)),""))</f>
        <v/>
      </c>
      <c r="Q41" s="35">
        <f>IF($F41="","",IFERROR(INDEX(사건마스터!$AO$5:$AO$64,MATCH($F41,사건마스터!$A$5:$A$64,0)),""))</f>
        <v/>
      </c>
      <c r="R41" s="35">
        <f>IF($F41="","",IFERROR(INDEX(사건마스터!$AP$5:$AP$64,MATCH($F41,사건마스터!$A$5:$A$64,0)),""))</f>
        <v/>
      </c>
      <c r="S41" s="35">
        <f>IF($F41="","",IFERROR(INDEX(사건마스터!$AQ$5:$AQ$64,MATCH($F41,사건마스터!$A$5:$A$64,0)),""))</f>
        <v/>
      </c>
      <c r="T41" s="35">
        <f>IF($F41="","",IFERROR(INDEX(사건마스터!$AR$5:$AR$64,MATCH($F41,사건마스터!$A$5:$A$64,0)),""))</f>
        <v/>
      </c>
      <c r="U41" s="35">
        <f>IF($F41="","",IFERROR(INDEX(사건마스터!$AS$5:$AS$64,MATCH($F41,사건마스터!$A$5:$A$64,0)),""))</f>
        <v/>
      </c>
      <c r="V41" s="35">
        <f>IF($F41="","",IFERROR(INDEX(사건마스터!$AT$5:$AT$64,MATCH($F41,사건마스터!$A$5:$A$64,0)),""))</f>
        <v/>
      </c>
      <c r="W41" s="35">
        <f>IF($F41="","",IFERROR(INDEX(사건마스터!$AU$5:$AU$64,MATCH($F41,사건마스터!$A$5:$A$64,0)),""))</f>
        <v/>
      </c>
      <c r="X41" s="35">
        <f>IF($F41="","",IFERROR(INDEX(사건마스터!$AV$5:$AV$64,MATCH($F41,사건마스터!$A$5:$A$64,0)),""))</f>
        <v/>
      </c>
      <c r="Y41" s="30">
        <f>IF($I41="","",COUNTIF($I41:$X41,"?*"))</f>
        <v/>
      </c>
      <c r="Z41" s="33">
        <f>IF($I41="","",_xlfn.TEXTJOIN(", ",TRUE,$I41:$X41))</f>
        <v/>
      </c>
      <c r="AA41" s="34">
        <f>IF($I41="","",IFERROR(INDEX(코드설정!$D$5:$D$24,MATCH($I41,코드설정!$C$5:$C$24,0)),""))</f>
        <v/>
      </c>
      <c r="AB41" s="36" t="n"/>
      <c r="AC41" s="37" t="n"/>
      <c r="AD41" s="38" t="n"/>
      <c r="AE41" s="30">
        <f>IF(OR($B41="",$C41=""),"",$C41-$B41+1)</f>
        <v/>
      </c>
      <c r="AF41" s="32" t="n"/>
      <c r="AG41" s="36" t="n"/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3">
        <f>IF($F42="","",IFERROR(INDEX(사건마스터!$B$5:$B$64,MATCH($F42,사건마스터!$A$5:$A$64,0)),""))</f>
        <v/>
      </c>
      <c r="H42" s="34">
        <f>IF($F42="","",IFERROR(INDEX(사건마스터!$C$5:$C$64,MATCH($F42,사건마스터!$A$5:$A$64,0)),""))</f>
        <v/>
      </c>
      <c r="I42" s="35">
        <f>IF($F42="","",IFERROR(INDEX(사건마스터!$H$5:$H$64,MATCH($F42,사건마스터!$A$5:$A$64,0)),""))</f>
        <v/>
      </c>
      <c r="J42" s="35">
        <f>IF($F42="","",IFERROR(INDEX(사건마스터!$AH$5:$AH$64,MATCH($F42,사건마스터!$A$5:$A$64,0)),""))</f>
        <v/>
      </c>
      <c r="K42" s="35">
        <f>IF($F42="","",IFERROR(INDEX(사건마스터!$AI$5:$AI$64,MATCH($F42,사건마스터!$A$5:$A$64,0)),""))</f>
        <v/>
      </c>
      <c r="L42" s="35">
        <f>IF($F42="","",IFERROR(INDEX(사건마스터!$AJ$5:$AJ$64,MATCH($F42,사건마스터!$A$5:$A$64,0)),""))</f>
        <v/>
      </c>
      <c r="M42" s="35">
        <f>IF($F42="","",IFERROR(INDEX(사건마스터!$AK$5:$AK$64,MATCH($F42,사건마스터!$A$5:$A$64,0)),""))</f>
        <v/>
      </c>
      <c r="N42" s="35">
        <f>IF($F42="","",IFERROR(INDEX(사건마스터!$AL$5:$AL$64,MATCH($F42,사건마스터!$A$5:$A$64,0)),""))</f>
        <v/>
      </c>
      <c r="O42" s="35">
        <f>IF($F42="","",IFERROR(INDEX(사건마스터!$AM$5:$AM$64,MATCH($F42,사건마스터!$A$5:$A$64,0)),""))</f>
        <v/>
      </c>
      <c r="P42" s="35">
        <f>IF($F42="","",IFERROR(INDEX(사건마스터!$AN$5:$AN$64,MATCH($F42,사건마스터!$A$5:$A$64,0)),""))</f>
        <v/>
      </c>
      <c r="Q42" s="35">
        <f>IF($F42="","",IFERROR(INDEX(사건마스터!$AO$5:$AO$64,MATCH($F42,사건마스터!$A$5:$A$64,0)),""))</f>
        <v/>
      </c>
      <c r="R42" s="35">
        <f>IF($F42="","",IFERROR(INDEX(사건마스터!$AP$5:$AP$64,MATCH($F42,사건마스터!$A$5:$A$64,0)),""))</f>
        <v/>
      </c>
      <c r="S42" s="35">
        <f>IF($F42="","",IFERROR(INDEX(사건마스터!$AQ$5:$AQ$64,MATCH($F42,사건마스터!$A$5:$A$64,0)),""))</f>
        <v/>
      </c>
      <c r="T42" s="35">
        <f>IF($F42="","",IFERROR(INDEX(사건마스터!$AR$5:$AR$64,MATCH($F42,사건마스터!$A$5:$A$64,0)),""))</f>
        <v/>
      </c>
      <c r="U42" s="35">
        <f>IF($F42="","",IFERROR(INDEX(사건마스터!$AS$5:$AS$64,MATCH($F42,사건마스터!$A$5:$A$64,0)),""))</f>
        <v/>
      </c>
      <c r="V42" s="35">
        <f>IF($F42="","",IFERROR(INDEX(사건마스터!$AT$5:$AT$64,MATCH($F42,사건마스터!$A$5:$A$64,0)),""))</f>
        <v/>
      </c>
      <c r="W42" s="35">
        <f>IF($F42="","",IFERROR(INDEX(사건마스터!$AU$5:$AU$64,MATCH($F42,사건마스터!$A$5:$A$64,0)),""))</f>
        <v/>
      </c>
      <c r="X42" s="35">
        <f>IF($F42="","",IFERROR(INDEX(사건마스터!$AV$5:$AV$64,MATCH($F42,사건마스터!$A$5:$A$64,0)),""))</f>
        <v/>
      </c>
      <c r="Y42" s="30">
        <f>IF($I42="","",COUNTIF($I42:$X42,"?*"))</f>
        <v/>
      </c>
      <c r="Z42" s="33">
        <f>IF($I42="","",_xlfn.TEXTJOIN(", ",TRUE,$I42:$X42))</f>
        <v/>
      </c>
      <c r="AA42" s="34">
        <f>IF($I42="","",IFERROR(INDEX(코드설정!$D$5:$D$24,MATCH($I42,코드설정!$C$5:$C$24,0)),""))</f>
        <v/>
      </c>
      <c r="AB42" s="36" t="n"/>
      <c r="AC42" s="37" t="n"/>
      <c r="AD42" s="38" t="n"/>
      <c r="AE42" s="30">
        <f>IF(OR($B42="",$C42=""),"",$C42-$B42+1)</f>
        <v/>
      </c>
      <c r="AF42" s="32" t="n"/>
      <c r="AG42" s="36" t="n"/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3">
        <f>IF($F43="","",IFERROR(INDEX(사건마스터!$B$5:$B$64,MATCH($F43,사건마스터!$A$5:$A$64,0)),""))</f>
        <v/>
      </c>
      <c r="H43" s="34">
        <f>IF($F43="","",IFERROR(INDEX(사건마스터!$C$5:$C$64,MATCH($F43,사건마스터!$A$5:$A$64,0)),""))</f>
        <v/>
      </c>
      <c r="I43" s="35">
        <f>IF($F43="","",IFERROR(INDEX(사건마스터!$H$5:$H$64,MATCH($F43,사건마스터!$A$5:$A$64,0)),""))</f>
        <v/>
      </c>
      <c r="J43" s="35">
        <f>IF($F43="","",IFERROR(INDEX(사건마스터!$AH$5:$AH$64,MATCH($F43,사건마스터!$A$5:$A$64,0)),""))</f>
        <v/>
      </c>
      <c r="K43" s="35">
        <f>IF($F43="","",IFERROR(INDEX(사건마스터!$AI$5:$AI$64,MATCH($F43,사건마스터!$A$5:$A$64,0)),""))</f>
        <v/>
      </c>
      <c r="L43" s="35">
        <f>IF($F43="","",IFERROR(INDEX(사건마스터!$AJ$5:$AJ$64,MATCH($F43,사건마스터!$A$5:$A$64,0)),""))</f>
        <v/>
      </c>
      <c r="M43" s="35">
        <f>IF($F43="","",IFERROR(INDEX(사건마스터!$AK$5:$AK$64,MATCH($F43,사건마스터!$A$5:$A$64,0)),""))</f>
        <v/>
      </c>
      <c r="N43" s="35">
        <f>IF($F43="","",IFERROR(INDEX(사건마스터!$AL$5:$AL$64,MATCH($F43,사건마스터!$A$5:$A$64,0)),""))</f>
        <v/>
      </c>
      <c r="O43" s="35">
        <f>IF($F43="","",IFERROR(INDEX(사건마스터!$AM$5:$AM$64,MATCH($F43,사건마스터!$A$5:$A$64,0)),""))</f>
        <v/>
      </c>
      <c r="P43" s="35">
        <f>IF($F43="","",IFERROR(INDEX(사건마스터!$AN$5:$AN$64,MATCH($F43,사건마스터!$A$5:$A$64,0)),""))</f>
        <v/>
      </c>
      <c r="Q43" s="35">
        <f>IF($F43="","",IFERROR(INDEX(사건마스터!$AO$5:$AO$64,MATCH($F43,사건마스터!$A$5:$A$64,0)),""))</f>
        <v/>
      </c>
      <c r="R43" s="35">
        <f>IF($F43="","",IFERROR(INDEX(사건마스터!$AP$5:$AP$64,MATCH($F43,사건마스터!$A$5:$A$64,0)),""))</f>
        <v/>
      </c>
      <c r="S43" s="35">
        <f>IF($F43="","",IFERROR(INDEX(사건마스터!$AQ$5:$AQ$64,MATCH($F43,사건마스터!$A$5:$A$64,0)),""))</f>
        <v/>
      </c>
      <c r="T43" s="35">
        <f>IF($F43="","",IFERROR(INDEX(사건마스터!$AR$5:$AR$64,MATCH($F43,사건마스터!$A$5:$A$64,0)),""))</f>
        <v/>
      </c>
      <c r="U43" s="35">
        <f>IF($F43="","",IFERROR(INDEX(사건마스터!$AS$5:$AS$64,MATCH($F43,사건마스터!$A$5:$A$64,0)),""))</f>
        <v/>
      </c>
      <c r="V43" s="35">
        <f>IF($F43="","",IFERROR(INDEX(사건마스터!$AT$5:$AT$64,MATCH($F43,사건마스터!$A$5:$A$64,0)),""))</f>
        <v/>
      </c>
      <c r="W43" s="35">
        <f>IF($F43="","",IFERROR(INDEX(사건마스터!$AU$5:$AU$64,MATCH($F43,사건마스터!$A$5:$A$64,0)),""))</f>
        <v/>
      </c>
      <c r="X43" s="35">
        <f>IF($F43="","",IFERROR(INDEX(사건마스터!$AV$5:$AV$64,MATCH($F43,사건마스터!$A$5:$A$64,0)),""))</f>
        <v/>
      </c>
      <c r="Y43" s="30">
        <f>IF($I43="","",COUNTIF($I43:$X43,"?*"))</f>
        <v/>
      </c>
      <c r="Z43" s="33">
        <f>IF($I43="","",_xlfn.TEXTJOIN(", ",TRUE,$I43:$X43))</f>
        <v/>
      </c>
      <c r="AA43" s="34">
        <f>IF($I43="","",IFERROR(INDEX(코드설정!$D$5:$D$24,MATCH($I43,코드설정!$C$5:$C$24,0)),""))</f>
        <v/>
      </c>
      <c r="AB43" s="36" t="n"/>
      <c r="AC43" s="37" t="n"/>
      <c r="AD43" s="38" t="n"/>
      <c r="AE43" s="30">
        <f>IF(OR($B43="",$C43=""),"",$C43-$B43+1)</f>
        <v/>
      </c>
      <c r="AF43" s="32" t="n"/>
      <c r="AG43" s="36" t="n"/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3">
        <f>IF($F44="","",IFERROR(INDEX(사건마스터!$B$5:$B$64,MATCH($F44,사건마스터!$A$5:$A$64,0)),""))</f>
        <v/>
      </c>
      <c r="H44" s="34">
        <f>IF($F44="","",IFERROR(INDEX(사건마스터!$C$5:$C$64,MATCH($F44,사건마스터!$A$5:$A$64,0)),""))</f>
        <v/>
      </c>
      <c r="I44" s="35">
        <f>IF($F44="","",IFERROR(INDEX(사건마스터!$H$5:$H$64,MATCH($F44,사건마스터!$A$5:$A$64,0)),""))</f>
        <v/>
      </c>
      <c r="J44" s="35">
        <f>IF($F44="","",IFERROR(INDEX(사건마스터!$AH$5:$AH$64,MATCH($F44,사건마스터!$A$5:$A$64,0)),""))</f>
        <v/>
      </c>
      <c r="K44" s="35">
        <f>IF($F44="","",IFERROR(INDEX(사건마스터!$AI$5:$AI$64,MATCH($F44,사건마스터!$A$5:$A$64,0)),""))</f>
        <v/>
      </c>
      <c r="L44" s="35">
        <f>IF($F44="","",IFERROR(INDEX(사건마스터!$AJ$5:$AJ$64,MATCH($F44,사건마스터!$A$5:$A$64,0)),""))</f>
        <v/>
      </c>
      <c r="M44" s="35">
        <f>IF($F44="","",IFERROR(INDEX(사건마스터!$AK$5:$AK$64,MATCH($F44,사건마스터!$A$5:$A$64,0)),""))</f>
        <v/>
      </c>
      <c r="N44" s="35">
        <f>IF($F44="","",IFERROR(INDEX(사건마스터!$AL$5:$AL$64,MATCH($F44,사건마스터!$A$5:$A$64,0)),""))</f>
        <v/>
      </c>
      <c r="O44" s="35">
        <f>IF($F44="","",IFERROR(INDEX(사건마스터!$AM$5:$AM$64,MATCH($F44,사건마스터!$A$5:$A$64,0)),""))</f>
        <v/>
      </c>
      <c r="P44" s="35">
        <f>IF($F44="","",IFERROR(INDEX(사건마스터!$AN$5:$AN$64,MATCH($F44,사건마스터!$A$5:$A$64,0)),""))</f>
        <v/>
      </c>
      <c r="Q44" s="35">
        <f>IF($F44="","",IFERROR(INDEX(사건마스터!$AO$5:$AO$64,MATCH($F44,사건마스터!$A$5:$A$64,0)),""))</f>
        <v/>
      </c>
      <c r="R44" s="35">
        <f>IF($F44="","",IFERROR(INDEX(사건마스터!$AP$5:$AP$64,MATCH($F44,사건마스터!$A$5:$A$64,0)),""))</f>
        <v/>
      </c>
      <c r="S44" s="35">
        <f>IF($F44="","",IFERROR(INDEX(사건마스터!$AQ$5:$AQ$64,MATCH($F44,사건마스터!$A$5:$A$64,0)),""))</f>
        <v/>
      </c>
      <c r="T44" s="35">
        <f>IF($F44="","",IFERROR(INDEX(사건마스터!$AR$5:$AR$64,MATCH($F44,사건마스터!$A$5:$A$64,0)),""))</f>
        <v/>
      </c>
      <c r="U44" s="35">
        <f>IF($F44="","",IFERROR(INDEX(사건마스터!$AS$5:$AS$64,MATCH($F44,사건마스터!$A$5:$A$64,0)),""))</f>
        <v/>
      </c>
      <c r="V44" s="35">
        <f>IF($F44="","",IFERROR(INDEX(사건마스터!$AT$5:$AT$64,MATCH($F44,사건마스터!$A$5:$A$64,0)),""))</f>
        <v/>
      </c>
      <c r="W44" s="35">
        <f>IF($F44="","",IFERROR(INDEX(사건마스터!$AU$5:$AU$64,MATCH($F44,사건마스터!$A$5:$A$64,0)),""))</f>
        <v/>
      </c>
      <c r="X44" s="35">
        <f>IF($F44="","",IFERROR(INDEX(사건마스터!$AV$5:$AV$64,MATCH($F44,사건마스터!$A$5:$A$64,0)),""))</f>
        <v/>
      </c>
      <c r="Y44" s="30">
        <f>IF($I44="","",COUNTIF($I44:$X44,"?*"))</f>
        <v/>
      </c>
      <c r="Z44" s="33">
        <f>IF($I44="","",_xlfn.TEXTJOIN(", ",TRUE,$I44:$X44))</f>
        <v/>
      </c>
      <c r="AA44" s="34">
        <f>IF($I44="","",IFERROR(INDEX(코드설정!$D$5:$D$24,MATCH($I44,코드설정!$C$5:$C$24,0)),""))</f>
        <v/>
      </c>
      <c r="AB44" s="36" t="n"/>
      <c r="AC44" s="37" t="n"/>
      <c r="AD44" s="38" t="n"/>
      <c r="AE44" s="30">
        <f>IF(OR($B44="",$C44=""),"",$C44-$B44+1)</f>
        <v/>
      </c>
      <c r="AF44" s="32" t="n"/>
      <c r="AG44" s="36" t="n"/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3">
        <f>IF($F45="","",IFERROR(INDEX(사건마스터!$B$5:$B$64,MATCH($F45,사건마스터!$A$5:$A$64,0)),""))</f>
        <v/>
      </c>
      <c r="H45" s="34">
        <f>IF($F45="","",IFERROR(INDEX(사건마스터!$C$5:$C$64,MATCH($F45,사건마스터!$A$5:$A$64,0)),""))</f>
        <v/>
      </c>
      <c r="I45" s="35">
        <f>IF($F45="","",IFERROR(INDEX(사건마스터!$H$5:$H$64,MATCH($F45,사건마스터!$A$5:$A$64,0)),""))</f>
        <v/>
      </c>
      <c r="J45" s="35">
        <f>IF($F45="","",IFERROR(INDEX(사건마스터!$AH$5:$AH$64,MATCH($F45,사건마스터!$A$5:$A$64,0)),""))</f>
        <v/>
      </c>
      <c r="K45" s="35">
        <f>IF($F45="","",IFERROR(INDEX(사건마스터!$AI$5:$AI$64,MATCH($F45,사건마스터!$A$5:$A$64,0)),""))</f>
        <v/>
      </c>
      <c r="L45" s="35">
        <f>IF($F45="","",IFERROR(INDEX(사건마스터!$AJ$5:$AJ$64,MATCH($F45,사건마스터!$A$5:$A$64,0)),""))</f>
        <v/>
      </c>
      <c r="M45" s="35">
        <f>IF($F45="","",IFERROR(INDEX(사건마스터!$AK$5:$AK$64,MATCH($F45,사건마스터!$A$5:$A$64,0)),""))</f>
        <v/>
      </c>
      <c r="N45" s="35">
        <f>IF($F45="","",IFERROR(INDEX(사건마스터!$AL$5:$AL$64,MATCH($F45,사건마스터!$A$5:$A$64,0)),""))</f>
        <v/>
      </c>
      <c r="O45" s="35">
        <f>IF($F45="","",IFERROR(INDEX(사건마스터!$AM$5:$AM$64,MATCH($F45,사건마스터!$A$5:$A$64,0)),""))</f>
        <v/>
      </c>
      <c r="P45" s="35">
        <f>IF($F45="","",IFERROR(INDEX(사건마스터!$AN$5:$AN$64,MATCH($F45,사건마스터!$A$5:$A$64,0)),""))</f>
        <v/>
      </c>
      <c r="Q45" s="35">
        <f>IF($F45="","",IFERROR(INDEX(사건마스터!$AO$5:$AO$64,MATCH($F45,사건마스터!$A$5:$A$64,0)),""))</f>
        <v/>
      </c>
      <c r="R45" s="35">
        <f>IF($F45="","",IFERROR(INDEX(사건마스터!$AP$5:$AP$64,MATCH($F45,사건마스터!$A$5:$A$64,0)),""))</f>
        <v/>
      </c>
      <c r="S45" s="35">
        <f>IF($F45="","",IFERROR(INDEX(사건마스터!$AQ$5:$AQ$64,MATCH($F45,사건마스터!$A$5:$A$64,0)),""))</f>
        <v/>
      </c>
      <c r="T45" s="35">
        <f>IF($F45="","",IFERROR(INDEX(사건마스터!$AR$5:$AR$64,MATCH($F45,사건마스터!$A$5:$A$64,0)),""))</f>
        <v/>
      </c>
      <c r="U45" s="35">
        <f>IF($F45="","",IFERROR(INDEX(사건마스터!$AS$5:$AS$64,MATCH($F45,사건마스터!$A$5:$A$64,0)),""))</f>
        <v/>
      </c>
      <c r="V45" s="35">
        <f>IF($F45="","",IFERROR(INDEX(사건마스터!$AT$5:$AT$64,MATCH($F45,사건마스터!$A$5:$A$64,0)),""))</f>
        <v/>
      </c>
      <c r="W45" s="35">
        <f>IF($F45="","",IFERROR(INDEX(사건마스터!$AU$5:$AU$64,MATCH($F45,사건마스터!$A$5:$A$64,0)),""))</f>
        <v/>
      </c>
      <c r="X45" s="35">
        <f>IF($F45="","",IFERROR(INDEX(사건마스터!$AV$5:$AV$64,MATCH($F45,사건마스터!$A$5:$A$64,0)),""))</f>
        <v/>
      </c>
      <c r="Y45" s="30">
        <f>IF($I45="","",COUNTIF($I45:$X45,"?*"))</f>
        <v/>
      </c>
      <c r="Z45" s="33">
        <f>IF($I45="","",_xlfn.TEXTJOIN(", ",TRUE,$I45:$X45))</f>
        <v/>
      </c>
      <c r="AA45" s="34">
        <f>IF($I45="","",IFERROR(INDEX(코드설정!$D$5:$D$24,MATCH($I45,코드설정!$C$5:$C$24,0)),""))</f>
        <v/>
      </c>
      <c r="AB45" s="36" t="n"/>
      <c r="AC45" s="37" t="n"/>
      <c r="AD45" s="38" t="n"/>
      <c r="AE45" s="30">
        <f>IF(OR($B45="",$C45=""),"",$C45-$B45+1)</f>
        <v/>
      </c>
      <c r="AF45" s="32" t="n"/>
      <c r="AG45" s="36" t="n"/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3">
        <f>IF($F46="","",IFERROR(INDEX(사건마스터!$B$5:$B$64,MATCH($F46,사건마스터!$A$5:$A$64,0)),""))</f>
        <v/>
      </c>
      <c r="H46" s="34">
        <f>IF($F46="","",IFERROR(INDEX(사건마스터!$C$5:$C$64,MATCH($F46,사건마스터!$A$5:$A$64,0)),""))</f>
        <v/>
      </c>
      <c r="I46" s="35">
        <f>IF($F46="","",IFERROR(INDEX(사건마스터!$H$5:$H$64,MATCH($F46,사건마스터!$A$5:$A$64,0)),""))</f>
        <v/>
      </c>
      <c r="J46" s="35">
        <f>IF($F46="","",IFERROR(INDEX(사건마스터!$AH$5:$AH$64,MATCH($F46,사건마스터!$A$5:$A$64,0)),""))</f>
        <v/>
      </c>
      <c r="K46" s="35">
        <f>IF($F46="","",IFERROR(INDEX(사건마스터!$AI$5:$AI$64,MATCH($F46,사건마스터!$A$5:$A$64,0)),""))</f>
        <v/>
      </c>
      <c r="L46" s="35">
        <f>IF($F46="","",IFERROR(INDEX(사건마스터!$AJ$5:$AJ$64,MATCH($F46,사건마스터!$A$5:$A$64,0)),""))</f>
        <v/>
      </c>
      <c r="M46" s="35">
        <f>IF($F46="","",IFERROR(INDEX(사건마스터!$AK$5:$AK$64,MATCH($F46,사건마스터!$A$5:$A$64,0)),""))</f>
        <v/>
      </c>
      <c r="N46" s="35">
        <f>IF($F46="","",IFERROR(INDEX(사건마스터!$AL$5:$AL$64,MATCH($F46,사건마스터!$A$5:$A$64,0)),""))</f>
        <v/>
      </c>
      <c r="O46" s="35">
        <f>IF($F46="","",IFERROR(INDEX(사건마스터!$AM$5:$AM$64,MATCH($F46,사건마스터!$A$5:$A$64,0)),""))</f>
        <v/>
      </c>
      <c r="P46" s="35">
        <f>IF($F46="","",IFERROR(INDEX(사건마스터!$AN$5:$AN$64,MATCH($F46,사건마스터!$A$5:$A$64,0)),""))</f>
        <v/>
      </c>
      <c r="Q46" s="35">
        <f>IF($F46="","",IFERROR(INDEX(사건마스터!$AO$5:$AO$64,MATCH($F46,사건마스터!$A$5:$A$64,0)),""))</f>
        <v/>
      </c>
      <c r="R46" s="35">
        <f>IF($F46="","",IFERROR(INDEX(사건마스터!$AP$5:$AP$64,MATCH($F46,사건마스터!$A$5:$A$64,0)),""))</f>
        <v/>
      </c>
      <c r="S46" s="35">
        <f>IF($F46="","",IFERROR(INDEX(사건마스터!$AQ$5:$AQ$64,MATCH($F46,사건마스터!$A$5:$A$64,0)),""))</f>
        <v/>
      </c>
      <c r="T46" s="35">
        <f>IF($F46="","",IFERROR(INDEX(사건마스터!$AR$5:$AR$64,MATCH($F46,사건마스터!$A$5:$A$64,0)),""))</f>
        <v/>
      </c>
      <c r="U46" s="35">
        <f>IF($F46="","",IFERROR(INDEX(사건마스터!$AS$5:$AS$64,MATCH($F46,사건마스터!$A$5:$A$64,0)),""))</f>
        <v/>
      </c>
      <c r="V46" s="35">
        <f>IF($F46="","",IFERROR(INDEX(사건마스터!$AT$5:$AT$64,MATCH($F46,사건마스터!$A$5:$A$64,0)),""))</f>
        <v/>
      </c>
      <c r="W46" s="35">
        <f>IF($F46="","",IFERROR(INDEX(사건마스터!$AU$5:$AU$64,MATCH($F46,사건마스터!$A$5:$A$64,0)),""))</f>
        <v/>
      </c>
      <c r="X46" s="35">
        <f>IF($F46="","",IFERROR(INDEX(사건마스터!$AV$5:$AV$64,MATCH($F46,사건마스터!$A$5:$A$64,0)),""))</f>
        <v/>
      </c>
      <c r="Y46" s="30">
        <f>IF($I46="","",COUNTIF($I46:$X46,"?*"))</f>
        <v/>
      </c>
      <c r="Z46" s="33">
        <f>IF($I46="","",_xlfn.TEXTJOIN(", ",TRUE,$I46:$X46))</f>
        <v/>
      </c>
      <c r="AA46" s="34">
        <f>IF($I46="","",IFERROR(INDEX(코드설정!$D$5:$D$24,MATCH($I46,코드설정!$C$5:$C$24,0)),""))</f>
        <v/>
      </c>
      <c r="AB46" s="36" t="n"/>
      <c r="AC46" s="37" t="n"/>
      <c r="AD46" s="38" t="n"/>
      <c r="AE46" s="30">
        <f>IF(OR($B46="",$C46=""),"",$C46-$B46+1)</f>
        <v/>
      </c>
      <c r="AF46" s="32" t="n"/>
      <c r="AG46" s="36" t="n"/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3">
        <f>IF($F47="","",IFERROR(INDEX(사건마스터!$B$5:$B$64,MATCH($F47,사건마스터!$A$5:$A$64,0)),""))</f>
        <v/>
      </c>
      <c r="H47" s="34">
        <f>IF($F47="","",IFERROR(INDEX(사건마스터!$C$5:$C$64,MATCH($F47,사건마스터!$A$5:$A$64,0)),""))</f>
        <v/>
      </c>
      <c r="I47" s="35">
        <f>IF($F47="","",IFERROR(INDEX(사건마스터!$H$5:$H$64,MATCH($F47,사건마스터!$A$5:$A$64,0)),""))</f>
        <v/>
      </c>
      <c r="J47" s="35">
        <f>IF($F47="","",IFERROR(INDEX(사건마스터!$AH$5:$AH$64,MATCH($F47,사건마스터!$A$5:$A$64,0)),""))</f>
        <v/>
      </c>
      <c r="K47" s="35">
        <f>IF($F47="","",IFERROR(INDEX(사건마스터!$AI$5:$AI$64,MATCH($F47,사건마스터!$A$5:$A$64,0)),""))</f>
        <v/>
      </c>
      <c r="L47" s="35">
        <f>IF($F47="","",IFERROR(INDEX(사건마스터!$AJ$5:$AJ$64,MATCH($F47,사건마스터!$A$5:$A$64,0)),""))</f>
        <v/>
      </c>
      <c r="M47" s="35">
        <f>IF($F47="","",IFERROR(INDEX(사건마스터!$AK$5:$AK$64,MATCH($F47,사건마스터!$A$5:$A$64,0)),""))</f>
        <v/>
      </c>
      <c r="N47" s="35">
        <f>IF($F47="","",IFERROR(INDEX(사건마스터!$AL$5:$AL$64,MATCH($F47,사건마스터!$A$5:$A$64,0)),""))</f>
        <v/>
      </c>
      <c r="O47" s="35">
        <f>IF($F47="","",IFERROR(INDEX(사건마스터!$AM$5:$AM$64,MATCH($F47,사건마스터!$A$5:$A$64,0)),""))</f>
        <v/>
      </c>
      <c r="P47" s="35">
        <f>IF($F47="","",IFERROR(INDEX(사건마스터!$AN$5:$AN$64,MATCH($F47,사건마스터!$A$5:$A$64,0)),""))</f>
        <v/>
      </c>
      <c r="Q47" s="35">
        <f>IF($F47="","",IFERROR(INDEX(사건마스터!$AO$5:$AO$64,MATCH($F47,사건마스터!$A$5:$A$64,0)),""))</f>
        <v/>
      </c>
      <c r="R47" s="35">
        <f>IF($F47="","",IFERROR(INDEX(사건마스터!$AP$5:$AP$64,MATCH($F47,사건마스터!$A$5:$A$64,0)),""))</f>
        <v/>
      </c>
      <c r="S47" s="35">
        <f>IF($F47="","",IFERROR(INDEX(사건마스터!$AQ$5:$AQ$64,MATCH($F47,사건마스터!$A$5:$A$64,0)),""))</f>
        <v/>
      </c>
      <c r="T47" s="35">
        <f>IF($F47="","",IFERROR(INDEX(사건마스터!$AR$5:$AR$64,MATCH($F47,사건마스터!$A$5:$A$64,0)),""))</f>
        <v/>
      </c>
      <c r="U47" s="35">
        <f>IF($F47="","",IFERROR(INDEX(사건마스터!$AS$5:$AS$64,MATCH($F47,사건마스터!$A$5:$A$64,0)),""))</f>
        <v/>
      </c>
      <c r="V47" s="35">
        <f>IF($F47="","",IFERROR(INDEX(사건마스터!$AT$5:$AT$64,MATCH($F47,사건마스터!$A$5:$A$64,0)),""))</f>
        <v/>
      </c>
      <c r="W47" s="35">
        <f>IF($F47="","",IFERROR(INDEX(사건마스터!$AU$5:$AU$64,MATCH($F47,사건마스터!$A$5:$A$64,0)),""))</f>
        <v/>
      </c>
      <c r="X47" s="35">
        <f>IF($F47="","",IFERROR(INDEX(사건마스터!$AV$5:$AV$64,MATCH($F47,사건마스터!$A$5:$A$64,0)),""))</f>
        <v/>
      </c>
      <c r="Y47" s="30">
        <f>IF($I47="","",COUNTIF($I47:$X47,"?*"))</f>
        <v/>
      </c>
      <c r="Z47" s="33">
        <f>IF($I47="","",_xlfn.TEXTJOIN(", ",TRUE,$I47:$X47))</f>
        <v/>
      </c>
      <c r="AA47" s="34">
        <f>IF($I47="","",IFERROR(INDEX(코드설정!$D$5:$D$24,MATCH($I47,코드설정!$C$5:$C$24,0)),""))</f>
        <v/>
      </c>
      <c r="AB47" s="36" t="n"/>
      <c r="AC47" s="37" t="n"/>
      <c r="AD47" s="38" t="n"/>
      <c r="AE47" s="30">
        <f>IF(OR($B47="",$C47=""),"",$C47-$B47+1)</f>
        <v/>
      </c>
      <c r="AF47" s="32" t="n"/>
      <c r="AG47" s="36" t="n"/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3">
        <f>IF($F48="","",IFERROR(INDEX(사건마스터!$B$5:$B$64,MATCH($F48,사건마스터!$A$5:$A$64,0)),""))</f>
        <v/>
      </c>
      <c r="H48" s="34">
        <f>IF($F48="","",IFERROR(INDEX(사건마스터!$C$5:$C$64,MATCH($F48,사건마스터!$A$5:$A$64,0)),""))</f>
        <v/>
      </c>
      <c r="I48" s="35">
        <f>IF($F48="","",IFERROR(INDEX(사건마스터!$H$5:$H$64,MATCH($F48,사건마스터!$A$5:$A$64,0)),""))</f>
        <v/>
      </c>
      <c r="J48" s="35">
        <f>IF($F48="","",IFERROR(INDEX(사건마스터!$AH$5:$AH$64,MATCH($F48,사건마스터!$A$5:$A$64,0)),""))</f>
        <v/>
      </c>
      <c r="K48" s="35">
        <f>IF($F48="","",IFERROR(INDEX(사건마스터!$AI$5:$AI$64,MATCH($F48,사건마스터!$A$5:$A$64,0)),""))</f>
        <v/>
      </c>
      <c r="L48" s="35">
        <f>IF($F48="","",IFERROR(INDEX(사건마스터!$AJ$5:$AJ$64,MATCH($F48,사건마스터!$A$5:$A$64,0)),""))</f>
        <v/>
      </c>
      <c r="M48" s="35">
        <f>IF($F48="","",IFERROR(INDEX(사건마스터!$AK$5:$AK$64,MATCH($F48,사건마스터!$A$5:$A$64,0)),""))</f>
        <v/>
      </c>
      <c r="N48" s="35">
        <f>IF($F48="","",IFERROR(INDEX(사건마스터!$AL$5:$AL$64,MATCH($F48,사건마스터!$A$5:$A$64,0)),""))</f>
        <v/>
      </c>
      <c r="O48" s="35">
        <f>IF($F48="","",IFERROR(INDEX(사건마스터!$AM$5:$AM$64,MATCH($F48,사건마스터!$A$5:$A$64,0)),""))</f>
        <v/>
      </c>
      <c r="P48" s="35">
        <f>IF($F48="","",IFERROR(INDEX(사건마스터!$AN$5:$AN$64,MATCH($F48,사건마스터!$A$5:$A$64,0)),""))</f>
        <v/>
      </c>
      <c r="Q48" s="35">
        <f>IF($F48="","",IFERROR(INDEX(사건마스터!$AO$5:$AO$64,MATCH($F48,사건마스터!$A$5:$A$64,0)),""))</f>
        <v/>
      </c>
      <c r="R48" s="35">
        <f>IF($F48="","",IFERROR(INDEX(사건마스터!$AP$5:$AP$64,MATCH($F48,사건마스터!$A$5:$A$64,0)),""))</f>
        <v/>
      </c>
      <c r="S48" s="35">
        <f>IF($F48="","",IFERROR(INDEX(사건마스터!$AQ$5:$AQ$64,MATCH($F48,사건마스터!$A$5:$A$64,0)),""))</f>
        <v/>
      </c>
      <c r="T48" s="35">
        <f>IF($F48="","",IFERROR(INDEX(사건마스터!$AR$5:$AR$64,MATCH($F48,사건마스터!$A$5:$A$64,0)),""))</f>
        <v/>
      </c>
      <c r="U48" s="35">
        <f>IF($F48="","",IFERROR(INDEX(사건마스터!$AS$5:$AS$64,MATCH($F48,사건마스터!$A$5:$A$64,0)),""))</f>
        <v/>
      </c>
      <c r="V48" s="35">
        <f>IF($F48="","",IFERROR(INDEX(사건마스터!$AT$5:$AT$64,MATCH($F48,사건마스터!$A$5:$A$64,0)),""))</f>
        <v/>
      </c>
      <c r="W48" s="35">
        <f>IF($F48="","",IFERROR(INDEX(사건마스터!$AU$5:$AU$64,MATCH($F48,사건마스터!$A$5:$A$64,0)),""))</f>
        <v/>
      </c>
      <c r="X48" s="35">
        <f>IF($F48="","",IFERROR(INDEX(사건마스터!$AV$5:$AV$64,MATCH($F48,사건마스터!$A$5:$A$64,0)),""))</f>
        <v/>
      </c>
      <c r="Y48" s="30">
        <f>IF($I48="","",COUNTIF($I48:$X48,"?*"))</f>
        <v/>
      </c>
      <c r="Z48" s="33">
        <f>IF($I48="","",_xlfn.TEXTJOIN(", ",TRUE,$I48:$X48))</f>
        <v/>
      </c>
      <c r="AA48" s="34">
        <f>IF($I48="","",IFERROR(INDEX(코드설정!$D$5:$D$24,MATCH($I48,코드설정!$C$5:$C$24,0)),""))</f>
        <v/>
      </c>
      <c r="AB48" s="36" t="n"/>
      <c r="AC48" s="37" t="n"/>
      <c r="AD48" s="38" t="n"/>
      <c r="AE48" s="30">
        <f>IF(OR($B48="",$C48=""),"",$C48-$B48+1)</f>
        <v/>
      </c>
      <c r="AF48" s="32" t="n"/>
      <c r="AG48" s="36" t="n"/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3">
        <f>IF($F49="","",IFERROR(INDEX(사건마스터!$B$5:$B$64,MATCH($F49,사건마스터!$A$5:$A$64,0)),""))</f>
        <v/>
      </c>
      <c r="H49" s="34">
        <f>IF($F49="","",IFERROR(INDEX(사건마스터!$C$5:$C$64,MATCH($F49,사건마스터!$A$5:$A$64,0)),""))</f>
        <v/>
      </c>
      <c r="I49" s="35">
        <f>IF($F49="","",IFERROR(INDEX(사건마스터!$H$5:$H$64,MATCH($F49,사건마스터!$A$5:$A$64,0)),""))</f>
        <v/>
      </c>
      <c r="J49" s="35">
        <f>IF($F49="","",IFERROR(INDEX(사건마스터!$AH$5:$AH$64,MATCH($F49,사건마스터!$A$5:$A$64,0)),""))</f>
        <v/>
      </c>
      <c r="K49" s="35">
        <f>IF($F49="","",IFERROR(INDEX(사건마스터!$AI$5:$AI$64,MATCH($F49,사건마스터!$A$5:$A$64,0)),""))</f>
        <v/>
      </c>
      <c r="L49" s="35">
        <f>IF($F49="","",IFERROR(INDEX(사건마스터!$AJ$5:$AJ$64,MATCH($F49,사건마스터!$A$5:$A$64,0)),""))</f>
        <v/>
      </c>
      <c r="M49" s="35">
        <f>IF($F49="","",IFERROR(INDEX(사건마스터!$AK$5:$AK$64,MATCH($F49,사건마스터!$A$5:$A$64,0)),""))</f>
        <v/>
      </c>
      <c r="N49" s="35">
        <f>IF($F49="","",IFERROR(INDEX(사건마스터!$AL$5:$AL$64,MATCH($F49,사건마스터!$A$5:$A$64,0)),""))</f>
        <v/>
      </c>
      <c r="O49" s="35">
        <f>IF($F49="","",IFERROR(INDEX(사건마스터!$AM$5:$AM$64,MATCH($F49,사건마스터!$A$5:$A$64,0)),""))</f>
        <v/>
      </c>
      <c r="P49" s="35">
        <f>IF($F49="","",IFERROR(INDEX(사건마스터!$AN$5:$AN$64,MATCH($F49,사건마스터!$A$5:$A$64,0)),""))</f>
        <v/>
      </c>
      <c r="Q49" s="35">
        <f>IF($F49="","",IFERROR(INDEX(사건마스터!$AO$5:$AO$64,MATCH($F49,사건마스터!$A$5:$A$64,0)),""))</f>
        <v/>
      </c>
      <c r="R49" s="35">
        <f>IF($F49="","",IFERROR(INDEX(사건마스터!$AP$5:$AP$64,MATCH($F49,사건마스터!$A$5:$A$64,0)),""))</f>
        <v/>
      </c>
      <c r="S49" s="35">
        <f>IF($F49="","",IFERROR(INDEX(사건마스터!$AQ$5:$AQ$64,MATCH($F49,사건마스터!$A$5:$A$64,0)),""))</f>
        <v/>
      </c>
      <c r="T49" s="35">
        <f>IF($F49="","",IFERROR(INDEX(사건마스터!$AR$5:$AR$64,MATCH($F49,사건마스터!$A$5:$A$64,0)),""))</f>
        <v/>
      </c>
      <c r="U49" s="35">
        <f>IF($F49="","",IFERROR(INDEX(사건마스터!$AS$5:$AS$64,MATCH($F49,사건마스터!$A$5:$A$64,0)),""))</f>
        <v/>
      </c>
      <c r="V49" s="35">
        <f>IF($F49="","",IFERROR(INDEX(사건마스터!$AT$5:$AT$64,MATCH($F49,사건마스터!$A$5:$A$64,0)),""))</f>
        <v/>
      </c>
      <c r="W49" s="35">
        <f>IF($F49="","",IFERROR(INDEX(사건마스터!$AU$5:$AU$64,MATCH($F49,사건마스터!$A$5:$A$64,0)),""))</f>
        <v/>
      </c>
      <c r="X49" s="35">
        <f>IF($F49="","",IFERROR(INDEX(사건마스터!$AV$5:$AV$64,MATCH($F49,사건마스터!$A$5:$A$64,0)),""))</f>
        <v/>
      </c>
      <c r="Y49" s="30">
        <f>IF($I49="","",COUNTIF($I49:$X49,"?*"))</f>
        <v/>
      </c>
      <c r="Z49" s="33">
        <f>IF($I49="","",_xlfn.TEXTJOIN(", ",TRUE,$I49:$X49))</f>
        <v/>
      </c>
      <c r="AA49" s="34">
        <f>IF($I49="","",IFERROR(INDEX(코드설정!$D$5:$D$24,MATCH($I49,코드설정!$C$5:$C$24,0)),""))</f>
        <v/>
      </c>
      <c r="AB49" s="36" t="n"/>
      <c r="AC49" s="37" t="n"/>
      <c r="AD49" s="38" t="n"/>
      <c r="AE49" s="30">
        <f>IF(OR($B49="",$C49=""),"",$C49-$B49+1)</f>
        <v/>
      </c>
      <c r="AF49" s="32" t="n"/>
      <c r="AG49" s="36" t="n"/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3">
        <f>IF($F50="","",IFERROR(INDEX(사건마스터!$B$5:$B$64,MATCH($F50,사건마스터!$A$5:$A$64,0)),""))</f>
        <v/>
      </c>
      <c r="H50" s="34">
        <f>IF($F50="","",IFERROR(INDEX(사건마스터!$C$5:$C$64,MATCH($F50,사건마스터!$A$5:$A$64,0)),""))</f>
        <v/>
      </c>
      <c r="I50" s="35">
        <f>IF($F50="","",IFERROR(INDEX(사건마스터!$H$5:$H$64,MATCH($F50,사건마스터!$A$5:$A$64,0)),""))</f>
        <v/>
      </c>
      <c r="J50" s="35">
        <f>IF($F50="","",IFERROR(INDEX(사건마스터!$AH$5:$AH$64,MATCH($F50,사건마스터!$A$5:$A$64,0)),""))</f>
        <v/>
      </c>
      <c r="K50" s="35">
        <f>IF($F50="","",IFERROR(INDEX(사건마스터!$AI$5:$AI$64,MATCH($F50,사건마스터!$A$5:$A$64,0)),""))</f>
        <v/>
      </c>
      <c r="L50" s="35">
        <f>IF($F50="","",IFERROR(INDEX(사건마스터!$AJ$5:$AJ$64,MATCH($F50,사건마스터!$A$5:$A$64,0)),""))</f>
        <v/>
      </c>
      <c r="M50" s="35">
        <f>IF($F50="","",IFERROR(INDEX(사건마스터!$AK$5:$AK$64,MATCH($F50,사건마스터!$A$5:$A$64,0)),""))</f>
        <v/>
      </c>
      <c r="N50" s="35">
        <f>IF($F50="","",IFERROR(INDEX(사건마스터!$AL$5:$AL$64,MATCH($F50,사건마스터!$A$5:$A$64,0)),""))</f>
        <v/>
      </c>
      <c r="O50" s="35">
        <f>IF($F50="","",IFERROR(INDEX(사건마스터!$AM$5:$AM$64,MATCH($F50,사건마스터!$A$5:$A$64,0)),""))</f>
        <v/>
      </c>
      <c r="P50" s="35">
        <f>IF($F50="","",IFERROR(INDEX(사건마스터!$AN$5:$AN$64,MATCH($F50,사건마스터!$A$5:$A$64,0)),""))</f>
        <v/>
      </c>
      <c r="Q50" s="35">
        <f>IF($F50="","",IFERROR(INDEX(사건마스터!$AO$5:$AO$64,MATCH($F50,사건마스터!$A$5:$A$64,0)),""))</f>
        <v/>
      </c>
      <c r="R50" s="35">
        <f>IF($F50="","",IFERROR(INDEX(사건마스터!$AP$5:$AP$64,MATCH($F50,사건마스터!$A$5:$A$64,0)),""))</f>
        <v/>
      </c>
      <c r="S50" s="35">
        <f>IF($F50="","",IFERROR(INDEX(사건마스터!$AQ$5:$AQ$64,MATCH($F50,사건마스터!$A$5:$A$64,0)),""))</f>
        <v/>
      </c>
      <c r="T50" s="35">
        <f>IF($F50="","",IFERROR(INDEX(사건마스터!$AR$5:$AR$64,MATCH($F50,사건마스터!$A$5:$A$64,0)),""))</f>
        <v/>
      </c>
      <c r="U50" s="35">
        <f>IF($F50="","",IFERROR(INDEX(사건마스터!$AS$5:$AS$64,MATCH($F50,사건마스터!$A$5:$A$64,0)),""))</f>
        <v/>
      </c>
      <c r="V50" s="35">
        <f>IF($F50="","",IFERROR(INDEX(사건마스터!$AT$5:$AT$64,MATCH($F50,사건마스터!$A$5:$A$64,0)),""))</f>
        <v/>
      </c>
      <c r="W50" s="35">
        <f>IF($F50="","",IFERROR(INDEX(사건마스터!$AU$5:$AU$64,MATCH($F50,사건마스터!$A$5:$A$64,0)),""))</f>
        <v/>
      </c>
      <c r="X50" s="35">
        <f>IF($F50="","",IFERROR(INDEX(사건마스터!$AV$5:$AV$64,MATCH($F50,사건마스터!$A$5:$A$64,0)),""))</f>
        <v/>
      </c>
      <c r="Y50" s="30">
        <f>IF($I50="","",COUNTIF($I50:$X50,"?*"))</f>
        <v/>
      </c>
      <c r="Z50" s="33">
        <f>IF($I50="","",_xlfn.TEXTJOIN(", ",TRUE,$I50:$X50))</f>
        <v/>
      </c>
      <c r="AA50" s="34">
        <f>IF($I50="","",IFERROR(INDEX(코드설정!$D$5:$D$24,MATCH($I50,코드설정!$C$5:$C$24,0)),""))</f>
        <v/>
      </c>
      <c r="AB50" s="36" t="n"/>
      <c r="AC50" s="37" t="n"/>
      <c r="AD50" s="38" t="n"/>
      <c r="AE50" s="30">
        <f>IF(OR($B50="",$C50=""),"",$C50-$B50+1)</f>
        <v/>
      </c>
      <c r="AF50" s="32" t="n"/>
      <c r="AG50" s="36" t="n"/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3">
        <f>IF($F51="","",IFERROR(INDEX(사건마스터!$B$5:$B$64,MATCH($F51,사건마스터!$A$5:$A$64,0)),""))</f>
        <v/>
      </c>
      <c r="H51" s="34">
        <f>IF($F51="","",IFERROR(INDEX(사건마스터!$C$5:$C$64,MATCH($F51,사건마스터!$A$5:$A$64,0)),""))</f>
        <v/>
      </c>
      <c r="I51" s="35">
        <f>IF($F51="","",IFERROR(INDEX(사건마스터!$H$5:$H$64,MATCH($F51,사건마스터!$A$5:$A$64,0)),""))</f>
        <v/>
      </c>
      <c r="J51" s="35">
        <f>IF($F51="","",IFERROR(INDEX(사건마스터!$AH$5:$AH$64,MATCH($F51,사건마스터!$A$5:$A$64,0)),""))</f>
        <v/>
      </c>
      <c r="K51" s="35">
        <f>IF($F51="","",IFERROR(INDEX(사건마스터!$AI$5:$AI$64,MATCH($F51,사건마스터!$A$5:$A$64,0)),""))</f>
        <v/>
      </c>
      <c r="L51" s="35">
        <f>IF($F51="","",IFERROR(INDEX(사건마스터!$AJ$5:$AJ$64,MATCH($F51,사건마스터!$A$5:$A$64,0)),""))</f>
        <v/>
      </c>
      <c r="M51" s="35">
        <f>IF($F51="","",IFERROR(INDEX(사건마스터!$AK$5:$AK$64,MATCH($F51,사건마스터!$A$5:$A$64,0)),""))</f>
        <v/>
      </c>
      <c r="N51" s="35">
        <f>IF($F51="","",IFERROR(INDEX(사건마스터!$AL$5:$AL$64,MATCH($F51,사건마스터!$A$5:$A$64,0)),""))</f>
        <v/>
      </c>
      <c r="O51" s="35">
        <f>IF($F51="","",IFERROR(INDEX(사건마스터!$AM$5:$AM$64,MATCH($F51,사건마스터!$A$5:$A$64,0)),""))</f>
        <v/>
      </c>
      <c r="P51" s="35">
        <f>IF($F51="","",IFERROR(INDEX(사건마스터!$AN$5:$AN$64,MATCH($F51,사건마스터!$A$5:$A$64,0)),""))</f>
        <v/>
      </c>
      <c r="Q51" s="35">
        <f>IF($F51="","",IFERROR(INDEX(사건마스터!$AO$5:$AO$64,MATCH($F51,사건마스터!$A$5:$A$64,0)),""))</f>
        <v/>
      </c>
      <c r="R51" s="35">
        <f>IF($F51="","",IFERROR(INDEX(사건마스터!$AP$5:$AP$64,MATCH($F51,사건마스터!$A$5:$A$64,0)),""))</f>
        <v/>
      </c>
      <c r="S51" s="35">
        <f>IF($F51="","",IFERROR(INDEX(사건마스터!$AQ$5:$AQ$64,MATCH($F51,사건마스터!$A$5:$A$64,0)),""))</f>
        <v/>
      </c>
      <c r="T51" s="35">
        <f>IF($F51="","",IFERROR(INDEX(사건마스터!$AR$5:$AR$64,MATCH($F51,사건마스터!$A$5:$A$64,0)),""))</f>
        <v/>
      </c>
      <c r="U51" s="35">
        <f>IF($F51="","",IFERROR(INDEX(사건마스터!$AS$5:$AS$64,MATCH($F51,사건마스터!$A$5:$A$64,0)),""))</f>
        <v/>
      </c>
      <c r="V51" s="35">
        <f>IF($F51="","",IFERROR(INDEX(사건마스터!$AT$5:$AT$64,MATCH($F51,사건마스터!$A$5:$A$64,0)),""))</f>
        <v/>
      </c>
      <c r="W51" s="35">
        <f>IF($F51="","",IFERROR(INDEX(사건마스터!$AU$5:$AU$64,MATCH($F51,사건마스터!$A$5:$A$64,0)),""))</f>
        <v/>
      </c>
      <c r="X51" s="35">
        <f>IF($F51="","",IFERROR(INDEX(사건마스터!$AV$5:$AV$64,MATCH($F51,사건마스터!$A$5:$A$64,0)),""))</f>
        <v/>
      </c>
      <c r="Y51" s="30">
        <f>IF($I51="","",COUNTIF($I51:$X51,"?*"))</f>
        <v/>
      </c>
      <c r="Z51" s="33">
        <f>IF($I51="","",_xlfn.TEXTJOIN(", ",TRUE,$I51:$X51))</f>
        <v/>
      </c>
      <c r="AA51" s="34">
        <f>IF($I51="","",IFERROR(INDEX(코드설정!$D$5:$D$24,MATCH($I51,코드설정!$C$5:$C$24,0)),""))</f>
        <v/>
      </c>
      <c r="AB51" s="36" t="n"/>
      <c r="AC51" s="37" t="n"/>
      <c r="AD51" s="38" t="n"/>
      <c r="AE51" s="30">
        <f>IF(OR($B51="",$C51=""),"",$C51-$B51+1)</f>
        <v/>
      </c>
      <c r="AF51" s="32" t="n"/>
      <c r="AG51" s="36" t="n"/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3">
        <f>IF($F52="","",IFERROR(INDEX(사건마스터!$B$5:$B$64,MATCH($F52,사건마스터!$A$5:$A$64,0)),""))</f>
        <v/>
      </c>
      <c r="H52" s="34">
        <f>IF($F52="","",IFERROR(INDEX(사건마스터!$C$5:$C$64,MATCH($F52,사건마스터!$A$5:$A$64,0)),""))</f>
        <v/>
      </c>
      <c r="I52" s="35">
        <f>IF($F52="","",IFERROR(INDEX(사건마스터!$H$5:$H$64,MATCH($F52,사건마스터!$A$5:$A$64,0)),""))</f>
        <v/>
      </c>
      <c r="J52" s="35">
        <f>IF($F52="","",IFERROR(INDEX(사건마스터!$AH$5:$AH$64,MATCH($F52,사건마스터!$A$5:$A$64,0)),""))</f>
        <v/>
      </c>
      <c r="K52" s="35">
        <f>IF($F52="","",IFERROR(INDEX(사건마스터!$AI$5:$AI$64,MATCH($F52,사건마스터!$A$5:$A$64,0)),""))</f>
        <v/>
      </c>
      <c r="L52" s="35">
        <f>IF($F52="","",IFERROR(INDEX(사건마스터!$AJ$5:$AJ$64,MATCH($F52,사건마스터!$A$5:$A$64,0)),""))</f>
        <v/>
      </c>
      <c r="M52" s="35">
        <f>IF($F52="","",IFERROR(INDEX(사건마스터!$AK$5:$AK$64,MATCH($F52,사건마스터!$A$5:$A$64,0)),""))</f>
        <v/>
      </c>
      <c r="N52" s="35">
        <f>IF($F52="","",IFERROR(INDEX(사건마스터!$AL$5:$AL$64,MATCH($F52,사건마스터!$A$5:$A$64,0)),""))</f>
        <v/>
      </c>
      <c r="O52" s="35">
        <f>IF($F52="","",IFERROR(INDEX(사건마스터!$AM$5:$AM$64,MATCH($F52,사건마스터!$A$5:$A$64,0)),""))</f>
        <v/>
      </c>
      <c r="P52" s="35">
        <f>IF($F52="","",IFERROR(INDEX(사건마스터!$AN$5:$AN$64,MATCH($F52,사건마스터!$A$5:$A$64,0)),""))</f>
        <v/>
      </c>
      <c r="Q52" s="35">
        <f>IF($F52="","",IFERROR(INDEX(사건마스터!$AO$5:$AO$64,MATCH($F52,사건마스터!$A$5:$A$64,0)),""))</f>
        <v/>
      </c>
      <c r="R52" s="35">
        <f>IF($F52="","",IFERROR(INDEX(사건마스터!$AP$5:$AP$64,MATCH($F52,사건마스터!$A$5:$A$64,0)),""))</f>
        <v/>
      </c>
      <c r="S52" s="35">
        <f>IF($F52="","",IFERROR(INDEX(사건마스터!$AQ$5:$AQ$64,MATCH($F52,사건마스터!$A$5:$A$64,0)),""))</f>
        <v/>
      </c>
      <c r="T52" s="35">
        <f>IF($F52="","",IFERROR(INDEX(사건마스터!$AR$5:$AR$64,MATCH($F52,사건마스터!$A$5:$A$64,0)),""))</f>
        <v/>
      </c>
      <c r="U52" s="35">
        <f>IF($F52="","",IFERROR(INDEX(사건마스터!$AS$5:$AS$64,MATCH($F52,사건마스터!$A$5:$A$64,0)),""))</f>
        <v/>
      </c>
      <c r="V52" s="35">
        <f>IF($F52="","",IFERROR(INDEX(사건마스터!$AT$5:$AT$64,MATCH($F52,사건마스터!$A$5:$A$64,0)),""))</f>
        <v/>
      </c>
      <c r="W52" s="35">
        <f>IF($F52="","",IFERROR(INDEX(사건마스터!$AU$5:$AU$64,MATCH($F52,사건마스터!$A$5:$A$64,0)),""))</f>
        <v/>
      </c>
      <c r="X52" s="35">
        <f>IF($F52="","",IFERROR(INDEX(사건마스터!$AV$5:$AV$64,MATCH($F52,사건마스터!$A$5:$A$64,0)),""))</f>
        <v/>
      </c>
      <c r="Y52" s="30">
        <f>IF($I52="","",COUNTIF($I52:$X52,"?*"))</f>
        <v/>
      </c>
      <c r="Z52" s="33">
        <f>IF($I52="","",_xlfn.TEXTJOIN(", ",TRUE,$I52:$X52))</f>
        <v/>
      </c>
      <c r="AA52" s="34">
        <f>IF($I52="","",IFERROR(INDEX(코드설정!$D$5:$D$24,MATCH($I52,코드설정!$C$5:$C$24,0)),""))</f>
        <v/>
      </c>
      <c r="AB52" s="36" t="n"/>
      <c r="AC52" s="37" t="n"/>
      <c r="AD52" s="38" t="n"/>
      <c r="AE52" s="30">
        <f>IF(OR($B52="",$C52=""),"",$C52-$B52+1)</f>
        <v/>
      </c>
      <c r="AF52" s="32" t="n"/>
      <c r="AG52" s="36" t="n"/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3">
        <f>IF($F53="","",IFERROR(INDEX(사건마스터!$B$5:$B$64,MATCH($F53,사건마스터!$A$5:$A$64,0)),""))</f>
        <v/>
      </c>
      <c r="H53" s="34">
        <f>IF($F53="","",IFERROR(INDEX(사건마스터!$C$5:$C$64,MATCH($F53,사건마스터!$A$5:$A$64,0)),""))</f>
        <v/>
      </c>
      <c r="I53" s="35">
        <f>IF($F53="","",IFERROR(INDEX(사건마스터!$H$5:$H$64,MATCH($F53,사건마스터!$A$5:$A$64,0)),""))</f>
        <v/>
      </c>
      <c r="J53" s="35">
        <f>IF($F53="","",IFERROR(INDEX(사건마스터!$AH$5:$AH$64,MATCH($F53,사건마스터!$A$5:$A$64,0)),""))</f>
        <v/>
      </c>
      <c r="K53" s="35">
        <f>IF($F53="","",IFERROR(INDEX(사건마스터!$AI$5:$AI$64,MATCH($F53,사건마스터!$A$5:$A$64,0)),""))</f>
        <v/>
      </c>
      <c r="L53" s="35">
        <f>IF($F53="","",IFERROR(INDEX(사건마스터!$AJ$5:$AJ$64,MATCH($F53,사건마스터!$A$5:$A$64,0)),""))</f>
        <v/>
      </c>
      <c r="M53" s="35">
        <f>IF($F53="","",IFERROR(INDEX(사건마스터!$AK$5:$AK$64,MATCH($F53,사건마스터!$A$5:$A$64,0)),""))</f>
        <v/>
      </c>
      <c r="N53" s="35">
        <f>IF($F53="","",IFERROR(INDEX(사건마스터!$AL$5:$AL$64,MATCH($F53,사건마스터!$A$5:$A$64,0)),""))</f>
        <v/>
      </c>
      <c r="O53" s="35">
        <f>IF($F53="","",IFERROR(INDEX(사건마스터!$AM$5:$AM$64,MATCH($F53,사건마스터!$A$5:$A$64,0)),""))</f>
        <v/>
      </c>
      <c r="P53" s="35">
        <f>IF($F53="","",IFERROR(INDEX(사건마스터!$AN$5:$AN$64,MATCH($F53,사건마스터!$A$5:$A$64,0)),""))</f>
        <v/>
      </c>
      <c r="Q53" s="35">
        <f>IF($F53="","",IFERROR(INDEX(사건마스터!$AO$5:$AO$64,MATCH($F53,사건마스터!$A$5:$A$64,0)),""))</f>
        <v/>
      </c>
      <c r="R53" s="35">
        <f>IF($F53="","",IFERROR(INDEX(사건마스터!$AP$5:$AP$64,MATCH($F53,사건마스터!$A$5:$A$64,0)),""))</f>
        <v/>
      </c>
      <c r="S53" s="35">
        <f>IF($F53="","",IFERROR(INDEX(사건마스터!$AQ$5:$AQ$64,MATCH($F53,사건마스터!$A$5:$A$64,0)),""))</f>
        <v/>
      </c>
      <c r="T53" s="35">
        <f>IF($F53="","",IFERROR(INDEX(사건마스터!$AR$5:$AR$64,MATCH($F53,사건마스터!$A$5:$A$64,0)),""))</f>
        <v/>
      </c>
      <c r="U53" s="35">
        <f>IF($F53="","",IFERROR(INDEX(사건마스터!$AS$5:$AS$64,MATCH($F53,사건마스터!$A$5:$A$64,0)),""))</f>
        <v/>
      </c>
      <c r="V53" s="35">
        <f>IF($F53="","",IFERROR(INDEX(사건마스터!$AT$5:$AT$64,MATCH($F53,사건마스터!$A$5:$A$64,0)),""))</f>
        <v/>
      </c>
      <c r="W53" s="35">
        <f>IF($F53="","",IFERROR(INDEX(사건마스터!$AU$5:$AU$64,MATCH($F53,사건마스터!$A$5:$A$64,0)),""))</f>
        <v/>
      </c>
      <c r="X53" s="35">
        <f>IF($F53="","",IFERROR(INDEX(사건마스터!$AV$5:$AV$64,MATCH($F53,사건마스터!$A$5:$A$64,0)),""))</f>
        <v/>
      </c>
      <c r="Y53" s="30">
        <f>IF($I53="","",COUNTIF($I53:$X53,"?*"))</f>
        <v/>
      </c>
      <c r="Z53" s="33">
        <f>IF($I53="","",_xlfn.TEXTJOIN(", ",TRUE,$I53:$X53))</f>
        <v/>
      </c>
      <c r="AA53" s="34">
        <f>IF($I53="","",IFERROR(INDEX(코드설정!$D$5:$D$24,MATCH($I53,코드설정!$C$5:$C$24,0)),""))</f>
        <v/>
      </c>
      <c r="AB53" s="36" t="n"/>
      <c r="AC53" s="37" t="n"/>
      <c r="AD53" s="38" t="n"/>
      <c r="AE53" s="30">
        <f>IF(OR($B53="",$C53=""),"",$C53-$B53+1)</f>
        <v/>
      </c>
      <c r="AF53" s="32" t="n"/>
      <c r="AG53" s="36" t="n"/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3">
        <f>IF($F54="","",IFERROR(INDEX(사건마스터!$B$5:$B$64,MATCH($F54,사건마스터!$A$5:$A$64,0)),""))</f>
        <v/>
      </c>
      <c r="H54" s="34">
        <f>IF($F54="","",IFERROR(INDEX(사건마스터!$C$5:$C$64,MATCH($F54,사건마스터!$A$5:$A$64,0)),""))</f>
        <v/>
      </c>
      <c r="I54" s="35">
        <f>IF($F54="","",IFERROR(INDEX(사건마스터!$H$5:$H$64,MATCH($F54,사건마스터!$A$5:$A$64,0)),""))</f>
        <v/>
      </c>
      <c r="J54" s="35">
        <f>IF($F54="","",IFERROR(INDEX(사건마스터!$AH$5:$AH$64,MATCH($F54,사건마스터!$A$5:$A$64,0)),""))</f>
        <v/>
      </c>
      <c r="K54" s="35">
        <f>IF($F54="","",IFERROR(INDEX(사건마스터!$AI$5:$AI$64,MATCH($F54,사건마스터!$A$5:$A$64,0)),""))</f>
        <v/>
      </c>
      <c r="L54" s="35">
        <f>IF($F54="","",IFERROR(INDEX(사건마스터!$AJ$5:$AJ$64,MATCH($F54,사건마스터!$A$5:$A$64,0)),""))</f>
        <v/>
      </c>
      <c r="M54" s="35">
        <f>IF($F54="","",IFERROR(INDEX(사건마스터!$AK$5:$AK$64,MATCH($F54,사건마스터!$A$5:$A$64,0)),""))</f>
        <v/>
      </c>
      <c r="N54" s="35">
        <f>IF($F54="","",IFERROR(INDEX(사건마스터!$AL$5:$AL$64,MATCH($F54,사건마스터!$A$5:$A$64,0)),""))</f>
        <v/>
      </c>
      <c r="O54" s="35">
        <f>IF($F54="","",IFERROR(INDEX(사건마스터!$AM$5:$AM$64,MATCH($F54,사건마스터!$A$5:$A$64,0)),""))</f>
        <v/>
      </c>
      <c r="P54" s="35">
        <f>IF($F54="","",IFERROR(INDEX(사건마스터!$AN$5:$AN$64,MATCH($F54,사건마스터!$A$5:$A$64,0)),""))</f>
        <v/>
      </c>
      <c r="Q54" s="35">
        <f>IF($F54="","",IFERROR(INDEX(사건마스터!$AO$5:$AO$64,MATCH($F54,사건마스터!$A$5:$A$64,0)),""))</f>
        <v/>
      </c>
      <c r="R54" s="35">
        <f>IF($F54="","",IFERROR(INDEX(사건마스터!$AP$5:$AP$64,MATCH($F54,사건마스터!$A$5:$A$64,0)),""))</f>
        <v/>
      </c>
      <c r="S54" s="35">
        <f>IF($F54="","",IFERROR(INDEX(사건마스터!$AQ$5:$AQ$64,MATCH($F54,사건마스터!$A$5:$A$64,0)),""))</f>
        <v/>
      </c>
      <c r="T54" s="35">
        <f>IF($F54="","",IFERROR(INDEX(사건마스터!$AR$5:$AR$64,MATCH($F54,사건마스터!$A$5:$A$64,0)),""))</f>
        <v/>
      </c>
      <c r="U54" s="35">
        <f>IF($F54="","",IFERROR(INDEX(사건마스터!$AS$5:$AS$64,MATCH($F54,사건마스터!$A$5:$A$64,0)),""))</f>
        <v/>
      </c>
      <c r="V54" s="35">
        <f>IF($F54="","",IFERROR(INDEX(사건마스터!$AT$5:$AT$64,MATCH($F54,사건마스터!$A$5:$A$64,0)),""))</f>
        <v/>
      </c>
      <c r="W54" s="35">
        <f>IF($F54="","",IFERROR(INDEX(사건마스터!$AU$5:$AU$64,MATCH($F54,사건마스터!$A$5:$A$64,0)),""))</f>
        <v/>
      </c>
      <c r="X54" s="35">
        <f>IF($F54="","",IFERROR(INDEX(사건마스터!$AV$5:$AV$64,MATCH($F54,사건마스터!$A$5:$A$64,0)),""))</f>
        <v/>
      </c>
      <c r="Y54" s="30">
        <f>IF($I54="","",COUNTIF($I54:$X54,"?*"))</f>
        <v/>
      </c>
      <c r="Z54" s="33">
        <f>IF($I54="","",_xlfn.TEXTJOIN(", ",TRUE,$I54:$X54))</f>
        <v/>
      </c>
      <c r="AA54" s="34">
        <f>IF($I54="","",IFERROR(INDEX(코드설정!$D$5:$D$24,MATCH($I54,코드설정!$C$5:$C$24,0)),""))</f>
        <v/>
      </c>
      <c r="AB54" s="36" t="n"/>
      <c r="AC54" s="37" t="n"/>
      <c r="AD54" s="38" t="n"/>
      <c r="AE54" s="30">
        <f>IF(OR($B54="",$C54=""),"",$C54-$B54+1)</f>
        <v/>
      </c>
      <c r="AF54" s="32" t="n"/>
      <c r="AG54" s="36" t="n"/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3">
        <f>IF($F55="","",IFERROR(INDEX(사건마스터!$B$5:$B$64,MATCH($F55,사건마스터!$A$5:$A$64,0)),""))</f>
        <v/>
      </c>
      <c r="H55" s="34">
        <f>IF($F55="","",IFERROR(INDEX(사건마스터!$C$5:$C$64,MATCH($F55,사건마스터!$A$5:$A$64,0)),""))</f>
        <v/>
      </c>
      <c r="I55" s="35">
        <f>IF($F55="","",IFERROR(INDEX(사건마스터!$H$5:$H$64,MATCH($F55,사건마스터!$A$5:$A$64,0)),""))</f>
        <v/>
      </c>
      <c r="J55" s="35">
        <f>IF($F55="","",IFERROR(INDEX(사건마스터!$AH$5:$AH$64,MATCH($F55,사건마스터!$A$5:$A$64,0)),""))</f>
        <v/>
      </c>
      <c r="K55" s="35">
        <f>IF($F55="","",IFERROR(INDEX(사건마스터!$AI$5:$AI$64,MATCH($F55,사건마스터!$A$5:$A$64,0)),""))</f>
        <v/>
      </c>
      <c r="L55" s="35">
        <f>IF($F55="","",IFERROR(INDEX(사건마스터!$AJ$5:$AJ$64,MATCH($F55,사건마스터!$A$5:$A$64,0)),""))</f>
        <v/>
      </c>
      <c r="M55" s="35">
        <f>IF($F55="","",IFERROR(INDEX(사건마스터!$AK$5:$AK$64,MATCH($F55,사건마스터!$A$5:$A$64,0)),""))</f>
        <v/>
      </c>
      <c r="N55" s="35">
        <f>IF($F55="","",IFERROR(INDEX(사건마스터!$AL$5:$AL$64,MATCH($F55,사건마스터!$A$5:$A$64,0)),""))</f>
        <v/>
      </c>
      <c r="O55" s="35">
        <f>IF($F55="","",IFERROR(INDEX(사건마스터!$AM$5:$AM$64,MATCH($F55,사건마스터!$A$5:$A$64,0)),""))</f>
        <v/>
      </c>
      <c r="P55" s="35">
        <f>IF($F55="","",IFERROR(INDEX(사건마스터!$AN$5:$AN$64,MATCH($F55,사건마스터!$A$5:$A$64,0)),""))</f>
        <v/>
      </c>
      <c r="Q55" s="35">
        <f>IF($F55="","",IFERROR(INDEX(사건마스터!$AO$5:$AO$64,MATCH($F55,사건마스터!$A$5:$A$64,0)),""))</f>
        <v/>
      </c>
      <c r="R55" s="35">
        <f>IF($F55="","",IFERROR(INDEX(사건마스터!$AP$5:$AP$64,MATCH($F55,사건마스터!$A$5:$A$64,0)),""))</f>
        <v/>
      </c>
      <c r="S55" s="35">
        <f>IF($F55="","",IFERROR(INDEX(사건마스터!$AQ$5:$AQ$64,MATCH($F55,사건마스터!$A$5:$A$64,0)),""))</f>
        <v/>
      </c>
      <c r="T55" s="35">
        <f>IF($F55="","",IFERROR(INDEX(사건마스터!$AR$5:$AR$64,MATCH($F55,사건마스터!$A$5:$A$64,0)),""))</f>
        <v/>
      </c>
      <c r="U55" s="35">
        <f>IF($F55="","",IFERROR(INDEX(사건마스터!$AS$5:$AS$64,MATCH($F55,사건마스터!$A$5:$A$64,0)),""))</f>
        <v/>
      </c>
      <c r="V55" s="35">
        <f>IF($F55="","",IFERROR(INDEX(사건마스터!$AT$5:$AT$64,MATCH($F55,사건마스터!$A$5:$A$64,0)),""))</f>
        <v/>
      </c>
      <c r="W55" s="35">
        <f>IF($F55="","",IFERROR(INDEX(사건마스터!$AU$5:$AU$64,MATCH($F55,사건마스터!$A$5:$A$64,0)),""))</f>
        <v/>
      </c>
      <c r="X55" s="35">
        <f>IF($F55="","",IFERROR(INDEX(사건마스터!$AV$5:$AV$64,MATCH($F55,사건마스터!$A$5:$A$64,0)),""))</f>
        <v/>
      </c>
      <c r="Y55" s="30">
        <f>IF($I55="","",COUNTIF($I55:$X55,"?*"))</f>
        <v/>
      </c>
      <c r="Z55" s="33">
        <f>IF($I55="","",_xlfn.TEXTJOIN(", ",TRUE,$I55:$X55))</f>
        <v/>
      </c>
      <c r="AA55" s="34">
        <f>IF($I55="","",IFERROR(INDEX(코드설정!$D$5:$D$24,MATCH($I55,코드설정!$C$5:$C$24,0)),""))</f>
        <v/>
      </c>
      <c r="AB55" s="36" t="n"/>
      <c r="AC55" s="37" t="n"/>
      <c r="AD55" s="38" t="n"/>
      <c r="AE55" s="30">
        <f>IF(OR($B55="",$C55=""),"",$C55-$B55+1)</f>
        <v/>
      </c>
      <c r="AF55" s="32" t="n"/>
      <c r="AG55" s="36" t="n"/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3">
        <f>IF($F56="","",IFERROR(INDEX(사건마스터!$B$5:$B$64,MATCH($F56,사건마스터!$A$5:$A$64,0)),""))</f>
        <v/>
      </c>
      <c r="H56" s="34">
        <f>IF($F56="","",IFERROR(INDEX(사건마스터!$C$5:$C$64,MATCH($F56,사건마스터!$A$5:$A$64,0)),""))</f>
        <v/>
      </c>
      <c r="I56" s="35">
        <f>IF($F56="","",IFERROR(INDEX(사건마스터!$H$5:$H$64,MATCH($F56,사건마스터!$A$5:$A$64,0)),""))</f>
        <v/>
      </c>
      <c r="J56" s="35">
        <f>IF($F56="","",IFERROR(INDEX(사건마스터!$AH$5:$AH$64,MATCH($F56,사건마스터!$A$5:$A$64,0)),""))</f>
        <v/>
      </c>
      <c r="K56" s="35">
        <f>IF($F56="","",IFERROR(INDEX(사건마스터!$AI$5:$AI$64,MATCH($F56,사건마스터!$A$5:$A$64,0)),""))</f>
        <v/>
      </c>
      <c r="L56" s="35">
        <f>IF($F56="","",IFERROR(INDEX(사건마스터!$AJ$5:$AJ$64,MATCH($F56,사건마스터!$A$5:$A$64,0)),""))</f>
        <v/>
      </c>
      <c r="M56" s="35">
        <f>IF($F56="","",IFERROR(INDEX(사건마스터!$AK$5:$AK$64,MATCH($F56,사건마스터!$A$5:$A$64,0)),""))</f>
        <v/>
      </c>
      <c r="N56" s="35">
        <f>IF($F56="","",IFERROR(INDEX(사건마스터!$AL$5:$AL$64,MATCH($F56,사건마스터!$A$5:$A$64,0)),""))</f>
        <v/>
      </c>
      <c r="O56" s="35">
        <f>IF($F56="","",IFERROR(INDEX(사건마스터!$AM$5:$AM$64,MATCH($F56,사건마스터!$A$5:$A$64,0)),""))</f>
        <v/>
      </c>
      <c r="P56" s="35">
        <f>IF($F56="","",IFERROR(INDEX(사건마스터!$AN$5:$AN$64,MATCH($F56,사건마스터!$A$5:$A$64,0)),""))</f>
        <v/>
      </c>
      <c r="Q56" s="35">
        <f>IF($F56="","",IFERROR(INDEX(사건마스터!$AO$5:$AO$64,MATCH($F56,사건마스터!$A$5:$A$64,0)),""))</f>
        <v/>
      </c>
      <c r="R56" s="35">
        <f>IF($F56="","",IFERROR(INDEX(사건마스터!$AP$5:$AP$64,MATCH($F56,사건마스터!$A$5:$A$64,0)),""))</f>
        <v/>
      </c>
      <c r="S56" s="35">
        <f>IF($F56="","",IFERROR(INDEX(사건마스터!$AQ$5:$AQ$64,MATCH($F56,사건마스터!$A$5:$A$64,0)),""))</f>
        <v/>
      </c>
      <c r="T56" s="35">
        <f>IF($F56="","",IFERROR(INDEX(사건마스터!$AR$5:$AR$64,MATCH($F56,사건마스터!$A$5:$A$64,0)),""))</f>
        <v/>
      </c>
      <c r="U56" s="35">
        <f>IF($F56="","",IFERROR(INDEX(사건마스터!$AS$5:$AS$64,MATCH($F56,사건마스터!$A$5:$A$64,0)),""))</f>
        <v/>
      </c>
      <c r="V56" s="35">
        <f>IF($F56="","",IFERROR(INDEX(사건마스터!$AT$5:$AT$64,MATCH($F56,사건마스터!$A$5:$A$64,0)),""))</f>
        <v/>
      </c>
      <c r="W56" s="35">
        <f>IF($F56="","",IFERROR(INDEX(사건마스터!$AU$5:$AU$64,MATCH($F56,사건마스터!$A$5:$A$64,0)),""))</f>
        <v/>
      </c>
      <c r="X56" s="35">
        <f>IF($F56="","",IFERROR(INDEX(사건마스터!$AV$5:$AV$64,MATCH($F56,사건마스터!$A$5:$A$64,0)),""))</f>
        <v/>
      </c>
      <c r="Y56" s="30">
        <f>IF($I56="","",COUNTIF($I56:$X56,"?*"))</f>
        <v/>
      </c>
      <c r="Z56" s="33">
        <f>IF($I56="","",_xlfn.TEXTJOIN(", ",TRUE,$I56:$X56))</f>
        <v/>
      </c>
      <c r="AA56" s="34">
        <f>IF($I56="","",IFERROR(INDEX(코드설정!$D$5:$D$24,MATCH($I56,코드설정!$C$5:$C$24,0)),""))</f>
        <v/>
      </c>
      <c r="AB56" s="36" t="n"/>
      <c r="AC56" s="37" t="n"/>
      <c r="AD56" s="38" t="n"/>
      <c r="AE56" s="30">
        <f>IF(OR($B56="",$C56=""),"",$C56-$B56+1)</f>
        <v/>
      </c>
      <c r="AF56" s="32" t="n"/>
      <c r="AG56" s="36" t="n"/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3">
        <f>IF($F57="","",IFERROR(INDEX(사건마스터!$B$5:$B$64,MATCH($F57,사건마스터!$A$5:$A$64,0)),""))</f>
        <v/>
      </c>
      <c r="H57" s="34">
        <f>IF($F57="","",IFERROR(INDEX(사건마스터!$C$5:$C$64,MATCH($F57,사건마스터!$A$5:$A$64,0)),""))</f>
        <v/>
      </c>
      <c r="I57" s="35">
        <f>IF($F57="","",IFERROR(INDEX(사건마스터!$H$5:$H$64,MATCH($F57,사건마스터!$A$5:$A$64,0)),""))</f>
        <v/>
      </c>
      <c r="J57" s="35">
        <f>IF($F57="","",IFERROR(INDEX(사건마스터!$AH$5:$AH$64,MATCH($F57,사건마스터!$A$5:$A$64,0)),""))</f>
        <v/>
      </c>
      <c r="K57" s="35">
        <f>IF($F57="","",IFERROR(INDEX(사건마스터!$AI$5:$AI$64,MATCH($F57,사건마스터!$A$5:$A$64,0)),""))</f>
        <v/>
      </c>
      <c r="L57" s="35">
        <f>IF($F57="","",IFERROR(INDEX(사건마스터!$AJ$5:$AJ$64,MATCH($F57,사건마스터!$A$5:$A$64,0)),""))</f>
        <v/>
      </c>
      <c r="M57" s="35">
        <f>IF($F57="","",IFERROR(INDEX(사건마스터!$AK$5:$AK$64,MATCH($F57,사건마스터!$A$5:$A$64,0)),""))</f>
        <v/>
      </c>
      <c r="N57" s="35">
        <f>IF($F57="","",IFERROR(INDEX(사건마스터!$AL$5:$AL$64,MATCH($F57,사건마스터!$A$5:$A$64,0)),""))</f>
        <v/>
      </c>
      <c r="O57" s="35">
        <f>IF($F57="","",IFERROR(INDEX(사건마스터!$AM$5:$AM$64,MATCH($F57,사건마스터!$A$5:$A$64,0)),""))</f>
        <v/>
      </c>
      <c r="P57" s="35">
        <f>IF($F57="","",IFERROR(INDEX(사건마스터!$AN$5:$AN$64,MATCH($F57,사건마스터!$A$5:$A$64,0)),""))</f>
        <v/>
      </c>
      <c r="Q57" s="35">
        <f>IF($F57="","",IFERROR(INDEX(사건마스터!$AO$5:$AO$64,MATCH($F57,사건마스터!$A$5:$A$64,0)),""))</f>
        <v/>
      </c>
      <c r="R57" s="35">
        <f>IF($F57="","",IFERROR(INDEX(사건마스터!$AP$5:$AP$64,MATCH($F57,사건마스터!$A$5:$A$64,0)),""))</f>
        <v/>
      </c>
      <c r="S57" s="35">
        <f>IF($F57="","",IFERROR(INDEX(사건마스터!$AQ$5:$AQ$64,MATCH($F57,사건마스터!$A$5:$A$64,0)),""))</f>
        <v/>
      </c>
      <c r="T57" s="35">
        <f>IF($F57="","",IFERROR(INDEX(사건마스터!$AR$5:$AR$64,MATCH($F57,사건마스터!$A$5:$A$64,0)),""))</f>
        <v/>
      </c>
      <c r="U57" s="35">
        <f>IF($F57="","",IFERROR(INDEX(사건마스터!$AS$5:$AS$64,MATCH($F57,사건마스터!$A$5:$A$64,0)),""))</f>
        <v/>
      </c>
      <c r="V57" s="35">
        <f>IF($F57="","",IFERROR(INDEX(사건마스터!$AT$5:$AT$64,MATCH($F57,사건마스터!$A$5:$A$64,0)),""))</f>
        <v/>
      </c>
      <c r="W57" s="35">
        <f>IF($F57="","",IFERROR(INDEX(사건마스터!$AU$5:$AU$64,MATCH($F57,사건마스터!$A$5:$A$64,0)),""))</f>
        <v/>
      </c>
      <c r="X57" s="35">
        <f>IF($F57="","",IFERROR(INDEX(사건마스터!$AV$5:$AV$64,MATCH($F57,사건마스터!$A$5:$A$64,0)),""))</f>
        <v/>
      </c>
      <c r="Y57" s="30">
        <f>IF($I57="","",COUNTIF($I57:$X57,"?*"))</f>
        <v/>
      </c>
      <c r="Z57" s="33">
        <f>IF($I57="","",_xlfn.TEXTJOIN(", ",TRUE,$I57:$X57))</f>
        <v/>
      </c>
      <c r="AA57" s="34">
        <f>IF($I57="","",IFERROR(INDEX(코드설정!$D$5:$D$24,MATCH($I57,코드설정!$C$5:$C$24,0)),""))</f>
        <v/>
      </c>
      <c r="AB57" s="36" t="n"/>
      <c r="AC57" s="37" t="n"/>
      <c r="AD57" s="38" t="n"/>
      <c r="AE57" s="30">
        <f>IF(OR($B57="",$C57=""),"",$C57-$B57+1)</f>
        <v/>
      </c>
      <c r="AF57" s="32" t="n"/>
      <c r="AG57" s="36" t="n"/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3">
        <f>IF($F58="","",IFERROR(INDEX(사건마스터!$B$5:$B$64,MATCH($F58,사건마스터!$A$5:$A$64,0)),""))</f>
        <v/>
      </c>
      <c r="H58" s="34">
        <f>IF($F58="","",IFERROR(INDEX(사건마스터!$C$5:$C$64,MATCH($F58,사건마스터!$A$5:$A$64,0)),""))</f>
        <v/>
      </c>
      <c r="I58" s="35">
        <f>IF($F58="","",IFERROR(INDEX(사건마스터!$H$5:$H$64,MATCH($F58,사건마스터!$A$5:$A$64,0)),""))</f>
        <v/>
      </c>
      <c r="J58" s="35">
        <f>IF($F58="","",IFERROR(INDEX(사건마스터!$AH$5:$AH$64,MATCH($F58,사건마스터!$A$5:$A$64,0)),""))</f>
        <v/>
      </c>
      <c r="K58" s="35">
        <f>IF($F58="","",IFERROR(INDEX(사건마스터!$AI$5:$AI$64,MATCH($F58,사건마스터!$A$5:$A$64,0)),""))</f>
        <v/>
      </c>
      <c r="L58" s="35">
        <f>IF($F58="","",IFERROR(INDEX(사건마스터!$AJ$5:$AJ$64,MATCH($F58,사건마스터!$A$5:$A$64,0)),""))</f>
        <v/>
      </c>
      <c r="M58" s="35">
        <f>IF($F58="","",IFERROR(INDEX(사건마스터!$AK$5:$AK$64,MATCH($F58,사건마스터!$A$5:$A$64,0)),""))</f>
        <v/>
      </c>
      <c r="N58" s="35">
        <f>IF($F58="","",IFERROR(INDEX(사건마스터!$AL$5:$AL$64,MATCH($F58,사건마스터!$A$5:$A$64,0)),""))</f>
        <v/>
      </c>
      <c r="O58" s="35">
        <f>IF($F58="","",IFERROR(INDEX(사건마스터!$AM$5:$AM$64,MATCH($F58,사건마스터!$A$5:$A$64,0)),""))</f>
        <v/>
      </c>
      <c r="P58" s="35">
        <f>IF($F58="","",IFERROR(INDEX(사건마스터!$AN$5:$AN$64,MATCH($F58,사건마스터!$A$5:$A$64,0)),""))</f>
        <v/>
      </c>
      <c r="Q58" s="35">
        <f>IF($F58="","",IFERROR(INDEX(사건마스터!$AO$5:$AO$64,MATCH($F58,사건마스터!$A$5:$A$64,0)),""))</f>
        <v/>
      </c>
      <c r="R58" s="35">
        <f>IF($F58="","",IFERROR(INDEX(사건마스터!$AP$5:$AP$64,MATCH($F58,사건마스터!$A$5:$A$64,0)),""))</f>
        <v/>
      </c>
      <c r="S58" s="35">
        <f>IF($F58="","",IFERROR(INDEX(사건마스터!$AQ$5:$AQ$64,MATCH($F58,사건마스터!$A$5:$A$64,0)),""))</f>
        <v/>
      </c>
      <c r="T58" s="35">
        <f>IF($F58="","",IFERROR(INDEX(사건마스터!$AR$5:$AR$64,MATCH($F58,사건마스터!$A$5:$A$64,0)),""))</f>
        <v/>
      </c>
      <c r="U58" s="35">
        <f>IF($F58="","",IFERROR(INDEX(사건마스터!$AS$5:$AS$64,MATCH($F58,사건마스터!$A$5:$A$64,0)),""))</f>
        <v/>
      </c>
      <c r="V58" s="35">
        <f>IF($F58="","",IFERROR(INDEX(사건마스터!$AT$5:$AT$64,MATCH($F58,사건마스터!$A$5:$A$64,0)),""))</f>
        <v/>
      </c>
      <c r="W58" s="35">
        <f>IF($F58="","",IFERROR(INDEX(사건마스터!$AU$5:$AU$64,MATCH($F58,사건마스터!$A$5:$A$64,0)),""))</f>
        <v/>
      </c>
      <c r="X58" s="35">
        <f>IF($F58="","",IFERROR(INDEX(사건마스터!$AV$5:$AV$64,MATCH($F58,사건마스터!$A$5:$A$64,0)),""))</f>
        <v/>
      </c>
      <c r="Y58" s="30">
        <f>IF($I58="","",COUNTIF($I58:$X58,"?*"))</f>
        <v/>
      </c>
      <c r="Z58" s="33">
        <f>IF($I58="","",_xlfn.TEXTJOIN(", ",TRUE,$I58:$X58))</f>
        <v/>
      </c>
      <c r="AA58" s="34">
        <f>IF($I58="","",IFERROR(INDEX(코드설정!$D$5:$D$24,MATCH($I58,코드설정!$C$5:$C$24,0)),""))</f>
        <v/>
      </c>
      <c r="AB58" s="36" t="n"/>
      <c r="AC58" s="37" t="n"/>
      <c r="AD58" s="38" t="n"/>
      <c r="AE58" s="30">
        <f>IF(OR($B58="",$C58=""),"",$C58-$B58+1)</f>
        <v/>
      </c>
      <c r="AF58" s="32" t="n"/>
      <c r="AG58" s="36" t="n"/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3">
        <f>IF($F59="","",IFERROR(INDEX(사건마스터!$B$5:$B$64,MATCH($F59,사건마스터!$A$5:$A$64,0)),""))</f>
        <v/>
      </c>
      <c r="H59" s="34">
        <f>IF($F59="","",IFERROR(INDEX(사건마스터!$C$5:$C$64,MATCH($F59,사건마스터!$A$5:$A$64,0)),""))</f>
        <v/>
      </c>
      <c r="I59" s="35">
        <f>IF($F59="","",IFERROR(INDEX(사건마스터!$H$5:$H$64,MATCH($F59,사건마스터!$A$5:$A$64,0)),""))</f>
        <v/>
      </c>
      <c r="J59" s="35">
        <f>IF($F59="","",IFERROR(INDEX(사건마스터!$AH$5:$AH$64,MATCH($F59,사건마스터!$A$5:$A$64,0)),""))</f>
        <v/>
      </c>
      <c r="K59" s="35">
        <f>IF($F59="","",IFERROR(INDEX(사건마스터!$AI$5:$AI$64,MATCH($F59,사건마스터!$A$5:$A$64,0)),""))</f>
        <v/>
      </c>
      <c r="L59" s="35">
        <f>IF($F59="","",IFERROR(INDEX(사건마스터!$AJ$5:$AJ$64,MATCH($F59,사건마스터!$A$5:$A$64,0)),""))</f>
        <v/>
      </c>
      <c r="M59" s="35">
        <f>IF($F59="","",IFERROR(INDEX(사건마스터!$AK$5:$AK$64,MATCH($F59,사건마스터!$A$5:$A$64,0)),""))</f>
        <v/>
      </c>
      <c r="N59" s="35">
        <f>IF($F59="","",IFERROR(INDEX(사건마스터!$AL$5:$AL$64,MATCH($F59,사건마스터!$A$5:$A$64,0)),""))</f>
        <v/>
      </c>
      <c r="O59" s="35">
        <f>IF($F59="","",IFERROR(INDEX(사건마스터!$AM$5:$AM$64,MATCH($F59,사건마스터!$A$5:$A$64,0)),""))</f>
        <v/>
      </c>
      <c r="P59" s="35">
        <f>IF($F59="","",IFERROR(INDEX(사건마스터!$AN$5:$AN$64,MATCH($F59,사건마스터!$A$5:$A$64,0)),""))</f>
        <v/>
      </c>
      <c r="Q59" s="35">
        <f>IF($F59="","",IFERROR(INDEX(사건마스터!$AO$5:$AO$64,MATCH($F59,사건마스터!$A$5:$A$64,0)),""))</f>
        <v/>
      </c>
      <c r="R59" s="35">
        <f>IF($F59="","",IFERROR(INDEX(사건마스터!$AP$5:$AP$64,MATCH($F59,사건마스터!$A$5:$A$64,0)),""))</f>
        <v/>
      </c>
      <c r="S59" s="35">
        <f>IF($F59="","",IFERROR(INDEX(사건마스터!$AQ$5:$AQ$64,MATCH($F59,사건마스터!$A$5:$A$64,0)),""))</f>
        <v/>
      </c>
      <c r="T59" s="35">
        <f>IF($F59="","",IFERROR(INDEX(사건마스터!$AR$5:$AR$64,MATCH($F59,사건마스터!$A$5:$A$64,0)),""))</f>
        <v/>
      </c>
      <c r="U59" s="35">
        <f>IF($F59="","",IFERROR(INDEX(사건마스터!$AS$5:$AS$64,MATCH($F59,사건마스터!$A$5:$A$64,0)),""))</f>
        <v/>
      </c>
      <c r="V59" s="35">
        <f>IF($F59="","",IFERROR(INDEX(사건마스터!$AT$5:$AT$64,MATCH($F59,사건마스터!$A$5:$A$64,0)),""))</f>
        <v/>
      </c>
      <c r="W59" s="35">
        <f>IF($F59="","",IFERROR(INDEX(사건마스터!$AU$5:$AU$64,MATCH($F59,사건마스터!$A$5:$A$64,0)),""))</f>
        <v/>
      </c>
      <c r="X59" s="35">
        <f>IF($F59="","",IFERROR(INDEX(사건마스터!$AV$5:$AV$64,MATCH($F59,사건마스터!$A$5:$A$64,0)),""))</f>
        <v/>
      </c>
      <c r="Y59" s="30">
        <f>IF($I59="","",COUNTIF($I59:$X59,"?*"))</f>
        <v/>
      </c>
      <c r="Z59" s="33">
        <f>IF($I59="","",_xlfn.TEXTJOIN(", ",TRUE,$I59:$X59))</f>
        <v/>
      </c>
      <c r="AA59" s="34">
        <f>IF($I59="","",IFERROR(INDEX(코드설정!$D$5:$D$24,MATCH($I59,코드설정!$C$5:$C$24,0)),""))</f>
        <v/>
      </c>
      <c r="AB59" s="36" t="n"/>
      <c r="AC59" s="37" t="n"/>
      <c r="AD59" s="38" t="n"/>
      <c r="AE59" s="30">
        <f>IF(OR($B59="",$C59=""),"",$C59-$B59+1)</f>
        <v/>
      </c>
      <c r="AF59" s="32" t="n"/>
      <c r="AG59" s="36" t="n"/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3">
        <f>IF($F60="","",IFERROR(INDEX(사건마스터!$B$5:$B$64,MATCH($F60,사건마스터!$A$5:$A$64,0)),""))</f>
        <v/>
      </c>
      <c r="H60" s="34">
        <f>IF($F60="","",IFERROR(INDEX(사건마스터!$C$5:$C$64,MATCH($F60,사건마스터!$A$5:$A$64,0)),""))</f>
        <v/>
      </c>
      <c r="I60" s="35">
        <f>IF($F60="","",IFERROR(INDEX(사건마스터!$H$5:$H$64,MATCH($F60,사건마스터!$A$5:$A$64,0)),""))</f>
        <v/>
      </c>
      <c r="J60" s="35">
        <f>IF($F60="","",IFERROR(INDEX(사건마스터!$AH$5:$AH$64,MATCH($F60,사건마스터!$A$5:$A$64,0)),""))</f>
        <v/>
      </c>
      <c r="K60" s="35">
        <f>IF($F60="","",IFERROR(INDEX(사건마스터!$AI$5:$AI$64,MATCH($F60,사건마스터!$A$5:$A$64,0)),""))</f>
        <v/>
      </c>
      <c r="L60" s="35">
        <f>IF($F60="","",IFERROR(INDEX(사건마스터!$AJ$5:$AJ$64,MATCH($F60,사건마스터!$A$5:$A$64,0)),""))</f>
        <v/>
      </c>
      <c r="M60" s="35">
        <f>IF($F60="","",IFERROR(INDEX(사건마스터!$AK$5:$AK$64,MATCH($F60,사건마스터!$A$5:$A$64,0)),""))</f>
        <v/>
      </c>
      <c r="N60" s="35">
        <f>IF($F60="","",IFERROR(INDEX(사건마스터!$AL$5:$AL$64,MATCH($F60,사건마스터!$A$5:$A$64,0)),""))</f>
        <v/>
      </c>
      <c r="O60" s="35">
        <f>IF($F60="","",IFERROR(INDEX(사건마스터!$AM$5:$AM$64,MATCH($F60,사건마스터!$A$5:$A$64,0)),""))</f>
        <v/>
      </c>
      <c r="P60" s="35">
        <f>IF($F60="","",IFERROR(INDEX(사건마스터!$AN$5:$AN$64,MATCH($F60,사건마스터!$A$5:$A$64,0)),""))</f>
        <v/>
      </c>
      <c r="Q60" s="35">
        <f>IF($F60="","",IFERROR(INDEX(사건마스터!$AO$5:$AO$64,MATCH($F60,사건마스터!$A$5:$A$64,0)),""))</f>
        <v/>
      </c>
      <c r="R60" s="35">
        <f>IF($F60="","",IFERROR(INDEX(사건마스터!$AP$5:$AP$64,MATCH($F60,사건마스터!$A$5:$A$64,0)),""))</f>
        <v/>
      </c>
      <c r="S60" s="35">
        <f>IF($F60="","",IFERROR(INDEX(사건마스터!$AQ$5:$AQ$64,MATCH($F60,사건마스터!$A$5:$A$64,0)),""))</f>
        <v/>
      </c>
      <c r="T60" s="35">
        <f>IF($F60="","",IFERROR(INDEX(사건마스터!$AR$5:$AR$64,MATCH($F60,사건마스터!$A$5:$A$64,0)),""))</f>
        <v/>
      </c>
      <c r="U60" s="35">
        <f>IF($F60="","",IFERROR(INDEX(사건마스터!$AS$5:$AS$64,MATCH($F60,사건마스터!$A$5:$A$64,0)),""))</f>
        <v/>
      </c>
      <c r="V60" s="35">
        <f>IF($F60="","",IFERROR(INDEX(사건마스터!$AT$5:$AT$64,MATCH($F60,사건마스터!$A$5:$A$64,0)),""))</f>
        <v/>
      </c>
      <c r="W60" s="35">
        <f>IF($F60="","",IFERROR(INDEX(사건마스터!$AU$5:$AU$64,MATCH($F60,사건마스터!$A$5:$A$64,0)),""))</f>
        <v/>
      </c>
      <c r="X60" s="35">
        <f>IF($F60="","",IFERROR(INDEX(사건마스터!$AV$5:$AV$64,MATCH($F60,사건마스터!$A$5:$A$64,0)),""))</f>
        <v/>
      </c>
      <c r="Y60" s="30">
        <f>IF($I60="","",COUNTIF($I60:$X60,"?*"))</f>
        <v/>
      </c>
      <c r="Z60" s="33">
        <f>IF($I60="","",_xlfn.TEXTJOIN(", ",TRUE,$I60:$X60))</f>
        <v/>
      </c>
      <c r="AA60" s="34">
        <f>IF($I60="","",IFERROR(INDEX(코드설정!$D$5:$D$24,MATCH($I60,코드설정!$C$5:$C$24,0)),""))</f>
        <v/>
      </c>
      <c r="AB60" s="36" t="n"/>
      <c r="AC60" s="37" t="n"/>
      <c r="AD60" s="38" t="n"/>
      <c r="AE60" s="30">
        <f>IF(OR($B60="",$C60=""),"",$C60-$B60+1)</f>
        <v/>
      </c>
      <c r="AF60" s="32" t="n"/>
      <c r="AG60" s="36" t="n"/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3">
        <f>IF($F61="","",IFERROR(INDEX(사건마스터!$B$5:$B$64,MATCH($F61,사건마스터!$A$5:$A$64,0)),""))</f>
        <v/>
      </c>
      <c r="H61" s="34">
        <f>IF($F61="","",IFERROR(INDEX(사건마스터!$C$5:$C$64,MATCH($F61,사건마스터!$A$5:$A$64,0)),""))</f>
        <v/>
      </c>
      <c r="I61" s="35">
        <f>IF($F61="","",IFERROR(INDEX(사건마스터!$H$5:$H$64,MATCH($F61,사건마스터!$A$5:$A$64,0)),""))</f>
        <v/>
      </c>
      <c r="J61" s="35">
        <f>IF($F61="","",IFERROR(INDEX(사건마스터!$AH$5:$AH$64,MATCH($F61,사건마스터!$A$5:$A$64,0)),""))</f>
        <v/>
      </c>
      <c r="K61" s="35">
        <f>IF($F61="","",IFERROR(INDEX(사건마스터!$AI$5:$AI$64,MATCH($F61,사건마스터!$A$5:$A$64,0)),""))</f>
        <v/>
      </c>
      <c r="L61" s="35">
        <f>IF($F61="","",IFERROR(INDEX(사건마스터!$AJ$5:$AJ$64,MATCH($F61,사건마스터!$A$5:$A$64,0)),""))</f>
        <v/>
      </c>
      <c r="M61" s="35">
        <f>IF($F61="","",IFERROR(INDEX(사건마스터!$AK$5:$AK$64,MATCH($F61,사건마스터!$A$5:$A$64,0)),""))</f>
        <v/>
      </c>
      <c r="N61" s="35">
        <f>IF($F61="","",IFERROR(INDEX(사건마스터!$AL$5:$AL$64,MATCH($F61,사건마스터!$A$5:$A$64,0)),""))</f>
        <v/>
      </c>
      <c r="O61" s="35">
        <f>IF($F61="","",IFERROR(INDEX(사건마스터!$AM$5:$AM$64,MATCH($F61,사건마스터!$A$5:$A$64,0)),""))</f>
        <v/>
      </c>
      <c r="P61" s="35">
        <f>IF($F61="","",IFERROR(INDEX(사건마스터!$AN$5:$AN$64,MATCH($F61,사건마스터!$A$5:$A$64,0)),""))</f>
        <v/>
      </c>
      <c r="Q61" s="35">
        <f>IF($F61="","",IFERROR(INDEX(사건마스터!$AO$5:$AO$64,MATCH($F61,사건마스터!$A$5:$A$64,0)),""))</f>
        <v/>
      </c>
      <c r="R61" s="35">
        <f>IF($F61="","",IFERROR(INDEX(사건마스터!$AP$5:$AP$64,MATCH($F61,사건마스터!$A$5:$A$64,0)),""))</f>
        <v/>
      </c>
      <c r="S61" s="35">
        <f>IF($F61="","",IFERROR(INDEX(사건마스터!$AQ$5:$AQ$64,MATCH($F61,사건마스터!$A$5:$A$64,0)),""))</f>
        <v/>
      </c>
      <c r="T61" s="35">
        <f>IF($F61="","",IFERROR(INDEX(사건마스터!$AR$5:$AR$64,MATCH($F61,사건마스터!$A$5:$A$64,0)),""))</f>
        <v/>
      </c>
      <c r="U61" s="35">
        <f>IF($F61="","",IFERROR(INDEX(사건마스터!$AS$5:$AS$64,MATCH($F61,사건마스터!$A$5:$A$64,0)),""))</f>
        <v/>
      </c>
      <c r="V61" s="35">
        <f>IF($F61="","",IFERROR(INDEX(사건마스터!$AT$5:$AT$64,MATCH($F61,사건마스터!$A$5:$A$64,0)),""))</f>
        <v/>
      </c>
      <c r="W61" s="35">
        <f>IF($F61="","",IFERROR(INDEX(사건마스터!$AU$5:$AU$64,MATCH($F61,사건마스터!$A$5:$A$64,0)),""))</f>
        <v/>
      </c>
      <c r="X61" s="35">
        <f>IF($F61="","",IFERROR(INDEX(사건마스터!$AV$5:$AV$64,MATCH($F61,사건마스터!$A$5:$A$64,0)),""))</f>
        <v/>
      </c>
      <c r="Y61" s="30">
        <f>IF($I61="","",COUNTIF($I61:$X61,"?*"))</f>
        <v/>
      </c>
      <c r="Z61" s="33">
        <f>IF($I61="","",_xlfn.TEXTJOIN(", ",TRUE,$I61:$X61))</f>
        <v/>
      </c>
      <c r="AA61" s="34">
        <f>IF($I61="","",IFERROR(INDEX(코드설정!$D$5:$D$24,MATCH($I61,코드설정!$C$5:$C$24,0)),""))</f>
        <v/>
      </c>
      <c r="AB61" s="36" t="n"/>
      <c r="AC61" s="37" t="n"/>
      <c r="AD61" s="38" t="n"/>
      <c r="AE61" s="30">
        <f>IF(OR($B61="",$C61=""),"",$C61-$B61+1)</f>
        <v/>
      </c>
      <c r="AF61" s="32" t="n"/>
      <c r="AG61" s="36" t="n"/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3">
        <f>IF($F62="","",IFERROR(INDEX(사건마스터!$B$5:$B$64,MATCH($F62,사건마스터!$A$5:$A$64,0)),""))</f>
        <v/>
      </c>
      <c r="H62" s="34">
        <f>IF($F62="","",IFERROR(INDEX(사건마스터!$C$5:$C$64,MATCH($F62,사건마스터!$A$5:$A$64,0)),""))</f>
        <v/>
      </c>
      <c r="I62" s="35">
        <f>IF($F62="","",IFERROR(INDEX(사건마스터!$H$5:$H$64,MATCH($F62,사건마스터!$A$5:$A$64,0)),""))</f>
        <v/>
      </c>
      <c r="J62" s="35">
        <f>IF($F62="","",IFERROR(INDEX(사건마스터!$AH$5:$AH$64,MATCH($F62,사건마스터!$A$5:$A$64,0)),""))</f>
        <v/>
      </c>
      <c r="K62" s="35">
        <f>IF($F62="","",IFERROR(INDEX(사건마스터!$AI$5:$AI$64,MATCH($F62,사건마스터!$A$5:$A$64,0)),""))</f>
        <v/>
      </c>
      <c r="L62" s="35">
        <f>IF($F62="","",IFERROR(INDEX(사건마스터!$AJ$5:$AJ$64,MATCH($F62,사건마스터!$A$5:$A$64,0)),""))</f>
        <v/>
      </c>
      <c r="M62" s="35">
        <f>IF($F62="","",IFERROR(INDEX(사건마스터!$AK$5:$AK$64,MATCH($F62,사건마스터!$A$5:$A$64,0)),""))</f>
        <v/>
      </c>
      <c r="N62" s="35">
        <f>IF($F62="","",IFERROR(INDEX(사건마스터!$AL$5:$AL$64,MATCH($F62,사건마스터!$A$5:$A$64,0)),""))</f>
        <v/>
      </c>
      <c r="O62" s="35">
        <f>IF($F62="","",IFERROR(INDEX(사건마스터!$AM$5:$AM$64,MATCH($F62,사건마스터!$A$5:$A$64,0)),""))</f>
        <v/>
      </c>
      <c r="P62" s="35">
        <f>IF($F62="","",IFERROR(INDEX(사건마스터!$AN$5:$AN$64,MATCH($F62,사건마스터!$A$5:$A$64,0)),""))</f>
        <v/>
      </c>
      <c r="Q62" s="35">
        <f>IF($F62="","",IFERROR(INDEX(사건마스터!$AO$5:$AO$64,MATCH($F62,사건마스터!$A$5:$A$64,0)),""))</f>
        <v/>
      </c>
      <c r="R62" s="35">
        <f>IF($F62="","",IFERROR(INDEX(사건마스터!$AP$5:$AP$64,MATCH($F62,사건마스터!$A$5:$A$64,0)),""))</f>
        <v/>
      </c>
      <c r="S62" s="35">
        <f>IF($F62="","",IFERROR(INDEX(사건마스터!$AQ$5:$AQ$64,MATCH($F62,사건마스터!$A$5:$A$64,0)),""))</f>
        <v/>
      </c>
      <c r="T62" s="35">
        <f>IF($F62="","",IFERROR(INDEX(사건마스터!$AR$5:$AR$64,MATCH($F62,사건마스터!$A$5:$A$64,0)),""))</f>
        <v/>
      </c>
      <c r="U62" s="35">
        <f>IF($F62="","",IFERROR(INDEX(사건마스터!$AS$5:$AS$64,MATCH($F62,사건마스터!$A$5:$A$64,0)),""))</f>
        <v/>
      </c>
      <c r="V62" s="35">
        <f>IF($F62="","",IFERROR(INDEX(사건마스터!$AT$5:$AT$64,MATCH($F62,사건마스터!$A$5:$A$64,0)),""))</f>
        <v/>
      </c>
      <c r="W62" s="35">
        <f>IF($F62="","",IFERROR(INDEX(사건마스터!$AU$5:$AU$64,MATCH($F62,사건마스터!$A$5:$A$64,0)),""))</f>
        <v/>
      </c>
      <c r="X62" s="35">
        <f>IF($F62="","",IFERROR(INDEX(사건마스터!$AV$5:$AV$64,MATCH($F62,사건마스터!$A$5:$A$64,0)),""))</f>
        <v/>
      </c>
      <c r="Y62" s="30">
        <f>IF($I62="","",COUNTIF($I62:$X62,"?*"))</f>
        <v/>
      </c>
      <c r="Z62" s="33">
        <f>IF($I62="","",_xlfn.TEXTJOIN(", ",TRUE,$I62:$X62))</f>
        <v/>
      </c>
      <c r="AA62" s="34">
        <f>IF($I62="","",IFERROR(INDEX(코드설정!$D$5:$D$24,MATCH($I62,코드설정!$C$5:$C$24,0)),""))</f>
        <v/>
      </c>
      <c r="AB62" s="36" t="n"/>
      <c r="AC62" s="37" t="n"/>
      <c r="AD62" s="38" t="n"/>
      <c r="AE62" s="30">
        <f>IF(OR($B62="",$C62=""),"",$C62-$B62+1)</f>
        <v/>
      </c>
      <c r="AF62" s="32" t="n"/>
      <c r="AG62" s="36" t="n"/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3">
        <f>IF($F63="","",IFERROR(INDEX(사건마스터!$B$5:$B$64,MATCH($F63,사건마스터!$A$5:$A$64,0)),""))</f>
        <v/>
      </c>
      <c r="H63" s="34">
        <f>IF($F63="","",IFERROR(INDEX(사건마스터!$C$5:$C$64,MATCH($F63,사건마스터!$A$5:$A$64,0)),""))</f>
        <v/>
      </c>
      <c r="I63" s="35">
        <f>IF($F63="","",IFERROR(INDEX(사건마스터!$H$5:$H$64,MATCH($F63,사건마스터!$A$5:$A$64,0)),""))</f>
        <v/>
      </c>
      <c r="J63" s="35">
        <f>IF($F63="","",IFERROR(INDEX(사건마스터!$AH$5:$AH$64,MATCH($F63,사건마스터!$A$5:$A$64,0)),""))</f>
        <v/>
      </c>
      <c r="K63" s="35">
        <f>IF($F63="","",IFERROR(INDEX(사건마스터!$AI$5:$AI$64,MATCH($F63,사건마스터!$A$5:$A$64,0)),""))</f>
        <v/>
      </c>
      <c r="L63" s="35">
        <f>IF($F63="","",IFERROR(INDEX(사건마스터!$AJ$5:$AJ$64,MATCH($F63,사건마스터!$A$5:$A$64,0)),""))</f>
        <v/>
      </c>
      <c r="M63" s="35">
        <f>IF($F63="","",IFERROR(INDEX(사건마스터!$AK$5:$AK$64,MATCH($F63,사건마스터!$A$5:$A$64,0)),""))</f>
        <v/>
      </c>
      <c r="N63" s="35">
        <f>IF($F63="","",IFERROR(INDEX(사건마스터!$AL$5:$AL$64,MATCH($F63,사건마스터!$A$5:$A$64,0)),""))</f>
        <v/>
      </c>
      <c r="O63" s="35">
        <f>IF($F63="","",IFERROR(INDEX(사건마스터!$AM$5:$AM$64,MATCH($F63,사건마스터!$A$5:$A$64,0)),""))</f>
        <v/>
      </c>
      <c r="P63" s="35">
        <f>IF($F63="","",IFERROR(INDEX(사건마스터!$AN$5:$AN$64,MATCH($F63,사건마스터!$A$5:$A$64,0)),""))</f>
        <v/>
      </c>
      <c r="Q63" s="35">
        <f>IF($F63="","",IFERROR(INDEX(사건마스터!$AO$5:$AO$64,MATCH($F63,사건마스터!$A$5:$A$64,0)),""))</f>
        <v/>
      </c>
      <c r="R63" s="35">
        <f>IF($F63="","",IFERROR(INDEX(사건마스터!$AP$5:$AP$64,MATCH($F63,사건마스터!$A$5:$A$64,0)),""))</f>
        <v/>
      </c>
      <c r="S63" s="35">
        <f>IF($F63="","",IFERROR(INDEX(사건마스터!$AQ$5:$AQ$64,MATCH($F63,사건마스터!$A$5:$A$64,0)),""))</f>
        <v/>
      </c>
      <c r="T63" s="35">
        <f>IF($F63="","",IFERROR(INDEX(사건마스터!$AR$5:$AR$64,MATCH($F63,사건마스터!$A$5:$A$64,0)),""))</f>
        <v/>
      </c>
      <c r="U63" s="35">
        <f>IF($F63="","",IFERROR(INDEX(사건마스터!$AS$5:$AS$64,MATCH($F63,사건마스터!$A$5:$A$64,0)),""))</f>
        <v/>
      </c>
      <c r="V63" s="35">
        <f>IF($F63="","",IFERROR(INDEX(사건마스터!$AT$5:$AT$64,MATCH($F63,사건마스터!$A$5:$A$64,0)),""))</f>
        <v/>
      </c>
      <c r="W63" s="35">
        <f>IF($F63="","",IFERROR(INDEX(사건마스터!$AU$5:$AU$64,MATCH($F63,사건마스터!$A$5:$A$64,0)),""))</f>
        <v/>
      </c>
      <c r="X63" s="35">
        <f>IF($F63="","",IFERROR(INDEX(사건마스터!$AV$5:$AV$64,MATCH($F63,사건마스터!$A$5:$A$64,0)),""))</f>
        <v/>
      </c>
      <c r="Y63" s="30">
        <f>IF($I63="","",COUNTIF($I63:$X63,"?*"))</f>
        <v/>
      </c>
      <c r="Z63" s="33">
        <f>IF($I63="","",_xlfn.TEXTJOIN(", ",TRUE,$I63:$X63))</f>
        <v/>
      </c>
      <c r="AA63" s="34">
        <f>IF($I63="","",IFERROR(INDEX(코드설정!$D$5:$D$24,MATCH($I63,코드설정!$C$5:$C$24,0)),""))</f>
        <v/>
      </c>
      <c r="AB63" s="36" t="n"/>
      <c r="AC63" s="37" t="n"/>
      <c r="AD63" s="38" t="n"/>
      <c r="AE63" s="30">
        <f>IF(OR($B63="",$C63=""),"",$C63-$B63+1)</f>
        <v/>
      </c>
      <c r="AF63" s="32" t="n"/>
      <c r="AG63" s="36" t="n"/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3">
        <f>IF($F64="","",IFERROR(INDEX(사건마스터!$B$5:$B$64,MATCH($F64,사건마스터!$A$5:$A$64,0)),""))</f>
        <v/>
      </c>
      <c r="H64" s="34">
        <f>IF($F64="","",IFERROR(INDEX(사건마스터!$C$5:$C$64,MATCH($F64,사건마스터!$A$5:$A$64,0)),""))</f>
        <v/>
      </c>
      <c r="I64" s="35">
        <f>IF($F64="","",IFERROR(INDEX(사건마스터!$H$5:$H$64,MATCH($F64,사건마스터!$A$5:$A$64,0)),""))</f>
        <v/>
      </c>
      <c r="J64" s="35">
        <f>IF($F64="","",IFERROR(INDEX(사건마스터!$AH$5:$AH$64,MATCH($F64,사건마스터!$A$5:$A$64,0)),""))</f>
        <v/>
      </c>
      <c r="K64" s="35">
        <f>IF($F64="","",IFERROR(INDEX(사건마스터!$AI$5:$AI$64,MATCH($F64,사건마스터!$A$5:$A$64,0)),""))</f>
        <v/>
      </c>
      <c r="L64" s="35">
        <f>IF($F64="","",IFERROR(INDEX(사건마스터!$AJ$5:$AJ$64,MATCH($F64,사건마스터!$A$5:$A$64,0)),""))</f>
        <v/>
      </c>
      <c r="M64" s="35">
        <f>IF($F64="","",IFERROR(INDEX(사건마스터!$AK$5:$AK$64,MATCH($F64,사건마스터!$A$5:$A$64,0)),""))</f>
        <v/>
      </c>
      <c r="N64" s="35">
        <f>IF($F64="","",IFERROR(INDEX(사건마스터!$AL$5:$AL$64,MATCH($F64,사건마스터!$A$5:$A$64,0)),""))</f>
        <v/>
      </c>
      <c r="O64" s="35">
        <f>IF($F64="","",IFERROR(INDEX(사건마스터!$AM$5:$AM$64,MATCH($F64,사건마스터!$A$5:$A$64,0)),""))</f>
        <v/>
      </c>
      <c r="P64" s="35">
        <f>IF($F64="","",IFERROR(INDEX(사건마스터!$AN$5:$AN$64,MATCH($F64,사건마스터!$A$5:$A$64,0)),""))</f>
        <v/>
      </c>
      <c r="Q64" s="35">
        <f>IF($F64="","",IFERROR(INDEX(사건마스터!$AO$5:$AO$64,MATCH($F64,사건마스터!$A$5:$A$64,0)),""))</f>
        <v/>
      </c>
      <c r="R64" s="35">
        <f>IF($F64="","",IFERROR(INDEX(사건마스터!$AP$5:$AP$64,MATCH($F64,사건마스터!$A$5:$A$64,0)),""))</f>
        <v/>
      </c>
      <c r="S64" s="35">
        <f>IF($F64="","",IFERROR(INDEX(사건마스터!$AQ$5:$AQ$64,MATCH($F64,사건마스터!$A$5:$A$64,0)),""))</f>
        <v/>
      </c>
      <c r="T64" s="35">
        <f>IF($F64="","",IFERROR(INDEX(사건마스터!$AR$5:$AR$64,MATCH($F64,사건마스터!$A$5:$A$64,0)),""))</f>
        <v/>
      </c>
      <c r="U64" s="35">
        <f>IF($F64="","",IFERROR(INDEX(사건마스터!$AS$5:$AS$64,MATCH($F64,사건마스터!$A$5:$A$64,0)),""))</f>
        <v/>
      </c>
      <c r="V64" s="35">
        <f>IF($F64="","",IFERROR(INDEX(사건마스터!$AT$5:$AT$64,MATCH($F64,사건마스터!$A$5:$A$64,0)),""))</f>
        <v/>
      </c>
      <c r="W64" s="35">
        <f>IF($F64="","",IFERROR(INDEX(사건마스터!$AU$5:$AU$64,MATCH($F64,사건마스터!$A$5:$A$64,0)),""))</f>
        <v/>
      </c>
      <c r="X64" s="35">
        <f>IF($F64="","",IFERROR(INDEX(사건마스터!$AV$5:$AV$64,MATCH($F64,사건마스터!$A$5:$A$64,0)),""))</f>
        <v/>
      </c>
      <c r="Y64" s="30">
        <f>IF($I64="","",COUNTIF($I64:$X64,"?*"))</f>
        <v/>
      </c>
      <c r="Z64" s="33">
        <f>IF($I64="","",_xlfn.TEXTJOIN(", ",TRUE,$I64:$X64))</f>
        <v/>
      </c>
      <c r="AA64" s="34">
        <f>IF($I64="","",IFERROR(INDEX(코드설정!$D$5:$D$24,MATCH($I64,코드설정!$C$5:$C$24,0)),""))</f>
        <v/>
      </c>
      <c r="AB64" s="36" t="n"/>
      <c r="AC64" s="37" t="n"/>
      <c r="AD64" s="38" t="n"/>
      <c r="AE64" s="30">
        <f>IF(OR($B64="",$C64=""),"",$C64-$B64+1)</f>
        <v/>
      </c>
      <c r="AF64" s="32" t="n"/>
      <c r="AG64" s="36" t="n"/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3">
        <f>IF($F65="","",IFERROR(INDEX(사건마스터!$B$5:$B$64,MATCH($F65,사건마스터!$A$5:$A$64,0)),""))</f>
        <v/>
      </c>
      <c r="H65" s="34">
        <f>IF($F65="","",IFERROR(INDEX(사건마스터!$C$5:$C$64,MATCH($F65,사건마스터!$A$5:$A$64,0)),""))</f>
        <v/>
      </c>
      <c r="I65" s="35">
        <f>IF($F65="","",IFERROR(INDEX(사건마스터!$H$5:$H$64,MATCH($F65,사건마스터!$A$5:$A$64,0)),""))</f>
        <v/>
      </c>
      <c r="J65" s="35">
        <f>IF($F65="","",IFERROR(INDEX(사건마스터!$AH$5:$AH$64,MATCH($F65,사건마스터!$A$5:$A$64,0)),""))</f>
        <v/>
      </c>
      <c r="K65" s="35">
        <f>IF($F65="","",IFERROR(INDEX(사건마스터!$AI$5:$AI$64,MATCH($F65,사건마스터!$A$5:$A$64,0)),""))</f>
        <v/>
      </c>
      <c r="L65" s="35">
        <f>IF($F65="","",IFERROR(INDEX(사건마스터!$AJ$5:$AJ$64,MATCH($F65,사건마스터!$A$5:$A$64,0)),""))</f>
        <v/>
      </c>
      <c r="M65" s="35">
        <f>IF($F65="","",IFERROR(INDEX(사건마스터!$AK$5:$AK$64,MATCH($F65,사건마스터!$A$5:$A$64,0)),""))</f>
        <v/>
      </c>
      <c r="N65" s="35">
        <f>IF($F65="","",IFERROR(INDEX(사건마스터!$AL$5:$AL$64,MATCH($F65,사건마스터!$A$5:$A$64,0)),""))</f>
        <v/>
      </c>
      <c r="O65" s="35">
        <f>IF($F65="","",IFERROR(INDEX(사건마스터!$AM$5:$AM$64,MATCH($F65,사건마스터!$A$5:$A$64,0)),""))</f>
        <v/>
      </c>
      <c r="P65" s="35">
        <f>IF($F65="","",IFERROR(INDEX(사건마스터!$AN$5:$AN$64,MATCH($F65,사건마스터!$A$5:$A$64,0)),""))</f>
        <v/>
      </c>
      <c r="Q65" s="35">
        <f>IF($F65="","",IFERROR(INDEX(사건마스터!$AO$5:$AO$64,MATCH($F65,사건마스터!$A$5:$A$64,0)),""))</f>
        <v/>
      </c>
      <c r="R65" s="35">
        <f>IF($F65="","",IFERROR(INDEX(사건마스터!$AP$5:$AP$64,MATCH($F65,사건마스터!$A$5:$A$64,0)),""))</f>
        <v/>
      </c>
      <c r="S65" s="35">
        <f>IF($F65="","",IFERROR(INDEX(사건마스터!$AQ$5:$AQ$64,MATCH($F65,사건마스터!$A$5:$A$64,0)),""))</f>
        <v/>
      </c>
      <c r="T65" s="35">
        <f>IF($F65="","",IFERROR(INDEX(사건마스터!$AR$5:$AR$64,MATCH($F65,사건마스터!$A$5:$A$64,0)),""))</f>
        <v/>
      </c>
      <c r="U65" s="35">
        <f>IF($F65="","",IFERROR(INDEX(사건마스터!$AS$5:$AS$64,MATCH($F65,사건마스터!$A$5:$A$64,0)),""))</f>
        <v/>
      </c>
      <c r="V65" s="35">
        <f>IF($F65="","",IFERROR(INDEX(사건마스터!$AT$5:$AT$64,MATCH($F65,사건마스터!$A$5:$A$64,0)),""))</f>
        <v/>
      </c>
      <c r="W65" s="35">
        <f>IF($F65="","",IFERROR(INDEX(사건마스터!$AU$5:$AU$64,MATCH($F65,사건마스터!$A$5:$A$64,0)),""))</f>
        <v/>
      </c>
      <c r="X65" s="35">
        <f>IF($F65="","",IFERROR(INDEX(사건마스터!$AV$5:$AV$64,MATCH($F65,사건마스터!$A$5:$A$64,0)),""))</f>
        <v/>
      </c>
      <c r="Y65" s="30">
        <f>IF($I65="","",COUNTIF($I65:$X65,"?*"))</f>
        <v/>
      </c>
      <c r="Z65" s="33">
        <f>IF($I65="","",_xlfn.TEXTJOIN(", ",TRUE,$I65:$X65))</f>
        <v/>
      </c>
      <c r="AA65" s="34">
        <f>IF($I65="","",IFERROR(INDEX(코드설정!$D$5:$D$24,MATCH($I65,코드설정!$C$5:$C$24,0)),""))</f>
        <v/>
      </c>
      <c r="AB65" s="36" t="n"/>
      <c r="AC65" s="37" t="n"/>
      <c r="AD65" s="38" t="n"/>
      <c r="AE65" s="30">
        <f>IF(OR($B65="",$C65=""),"",$C65-$B65+1)</f>
        <v/>
      </c>
      <c r="AF65" s="32" t="n"/>
      <c r="AG65" s="36" t="n"/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3">
        <f>IF($F66="","",IFERROR(INDEX(사건마스터!$B$5:$B$64,MATCH($F66,사건마스터!$A$5:$A$64,0)),""))</f>
        <v/>
      </c>
      <c r="H66" s="34">
        <f>IF($F66="","",IFERROR(INDEX(사건마스터!$C$5:$C$64,MATCH($F66,사건마스터!$A$5:$A$64,0)),""))</f>
        <v/>
      </c>
      <c r="I66" s="35">
        <f>IF($F66="","",IFERROR(INDEX(사건마스터!$H$5:$H$64,MATCH($F66,사건마스터!$A$5:$A$64,0)),""))</f>
        <v/>
      </c>
      <c r="J66" s="35">
        <f>IF($F66="","",IFERROR(INDEX(사건마스터!$AH$5:$AH$64,MATCH($F66,사건마스터!$A$5:$A$64,0)),""))</f>
        <v/>
      </c>
      <c r="K66" s="35">
        <f>IF($F66="","",IFERROR(INDEX(사건마스터!$AI$5:$AI$64,MATCH($F66,사건마스터!$A$5:$A$64,0)),""))</f>
        <v/>
      </c>
      <c r="L66" s="35">
        <f>IF($F66="","",IFERROR(INDEX(사건마스터!$AJ$5:$AJ$64,MATCH($F66,사건마스터!$A$5:$A$64,0)),""))</f>
        <v/>
      </c>
      <c r="M66" s="35">
        <f>IF($F66="","",IFERROR(INDEX(사건마스터!$AK$5:$AK$64,MATCH($F66,사건마스터!$A$5:$A$64,0)),""))</f>
        <v/>
      </c>
      <c r="N66" s="35">
        <f>IF($F66="","",IFERROR(INDEX(사건마스터!$AL$5:$AL$64,MATCH($F66,사건마스터!$A$5:$A$64,0)),""))</f>
        <v/>
      </c>
      <c r="O66" s="35">
        <f>IF($F66="","",IFERROR(INDEX(사건마스터!$AM$5:$AM$64,MATCH($F66,사건마스터!$A$5:$A$64,0)),""))</f>
        <v/>
      </c>
      <c r="P66" s="35">
        <f>IF($F66="","",IFERROR(INDEX(사건마스터!$AN$5:$AN$64,MATCH($F66,사건마스터!$A$5:$A$64,0)),""))</f>
        <v/>
      </c>
      <c r="Q66" s="35">
        <f>IF($F66="","",IFERROR(INDEX(사건마스터!$AO$5:$AO$64,MATCH($F66,사건마스터!$A$5:$A$64,0)),""))</f>
        <v/>
      </c>
      <c r="R66" s="35">
        <f>IF($F66="","",IFERROR(INDEX(사건마스터!$AP$5:$AP$64,MATCH($F66,사건마스터!$A$5:$A$64,0)),""))</f>
        <v/>
      </c>
      <c r="S66" s="35">
        <f>IF($F66="","",IFERROR(INDEX(사건마스터!$AQ$5:$AQ$64,MATCH($F66,사건마스터!$A$5:$A$64,0)),""))</f>
        <v/>
      </c>
      <c r="T66" s="35">
        <f>IF($F66="","",IFERROR(INDEX(사건마스터!$AR$5:$AR$64,MATCH($F66,사건마스터!$A$5:$A$64,0)),""))</f>
        <v/>
      </c>
      <c r="U66" s="35">
        <f>IF($F66="","",IFERROR(INDEX(사건마스터!$AS$5:$AS$64,MATCH($F66,사건마스터!$A$5:$A$64,0)),""))</f>
        <v/>
      </c>
      <c r="V66" s="35">
        <f>IF($F66="","",IFERROR(INDEX(사건마스터!$AT$5:$AT$64,MATCH($F66,사건마스터!$A$5:$A$64,0)),""))</f>
        <v/>
      </c>
      <c r="W66" s="35">
        <f>IF($F66="","",IFERROR(INDEX(사건마스터!$AU$5:$AU$64,MATCH($F66,사건마스터!$A$5:$A$64,0)),""))</f>
        <v/>
      </c>
      <c r="X66" s="35">
        <f>IF($F66="","",IFERROR(INDEX(사건마스터!$AV$5:$AV$64,MATCH($F66,사건마스터!$A$5:$A$64,0)),""))</f>
        <v/>
      </c>
      <c r="Y66" s="30">
        <f>IF($I66="","",COUNTIF($I66:$X66,"?*"))</f>
        <v/>
      </c>
      <c r="Z66" s="33">
        <f>IF($I66="","",_xlfn.TEXTJOIN(", ",TRUE,$I66:$X66))</f>
        <v/>
      </c>
      <c r="AA66" s="34">
        <f>IF($I66="","",IFERROR(INDEX(코드설정!$D$5:$D$24,MATCH($I66,코드설정!$C$5:$C$24,0)),""))</f>
        <v/>
      </c>
      <c r="AB66" s="36" t="n"/>
      <c r="AC66" s="37" t="n"/>
      <c r="AD66" s="38" t="n"/>
      <c r="AE66" s="30">
        <f>IF(OR($B66="",$C66=""),"",$C66-$B66+1)</f>
        <v/>
      </c>
      <c r="AF66" s="32" t="n"/>
      <c r="AG66" s="36" t="n"/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3">
        <f>IF($F67="","",IFERROR(INDEX(사건마스터!$B$5:$B$64,MATCH($F67,사건마스터!$A$5:$A$64,0)),""))</f>
        <v/>
      </c>
      <c r="H67" s="34">
        <f>IF($F67="","",IFERROR(INDEX(사건마스터!$C$5:$C$64,MATCH($F67,사건마스터!$A$5:$A$64,0)),""))</f>
        <v/>
      </c>
      <c r="I67" s="35">
        <f>IF($F67="","",IFERROR(INDEX(사건마스터!$H$5:$H$64,MATCH($F67,사건마스터!$A$5:$A$64,0)),""))</f>
        <v/>
      </c>
      <c r="J67" s="35">
        <f>IF($F67="","",IFERROR(INDEX(사건마스터!$AH$5:$AH$64,MATCH($F67,사건마스터!$A$5:$A$64,0)),""))</f>
        <v/>
      </c>
      <c r="K67" s="35">
        <f>IF($F67="","",IFERROR(INDEX(사건마스터!$AI$5:$AI$64,MATCH($F67,사건마스터!$A$5:$A$64,0)),""))</f>
        <v/>
      </c>
      <c r="L67" s="35">
        <f>IF($F67="","",IFERROR(INDEX(사건마스터!$AJ$5:$AJ$64,MATCH($F67,사건마스터!$A$5:$A$64,0)),""))</f>
        <v/>
      </c>
      <c r="M67" s="35">
        <f>IF($F67="","",IFERROR(INDEX(사건마스터!$AK$5:$AK$64,MATCH($F67,사건마스터!$A$5:$A$64,0)),""))</f>
        <v/>
      </c>
      <c r="N67" s="35">
        <f>IF($F67="","",IFERROR(INDEX(사건마스터!$AL$5:$AL$64,MATCH($F67,사건마스터!$A$5:$A$64,0)),""))</f>
        <v/>
      </c>
      <c r="O67" s="35">
        <f>IF($F67="","",IFERROR(INDEX(사건마스터!$AM$5:$AM$64,MATCH($F67,사건마스터!$A$5:$A$64,0)),""))</f>
        <v/>
      </c>
      <c r="P67" s="35">
        <f>IF($F67="","",IFERROR(INDEX(사건마스터!$AN$5:$AN$64,MATCH($F67,사건마스터!$A$5:$A$64,0)),""))</f>
        <v/>
      </c>
      <c r="Q67" s="35">
        <f>IF($F67="","",IFERROR(INDEX(사건마스터!$AO$5:$AO$64,MATCH($F67,사건마스터!$A$5:$A$64,0)),""))</f>
        <v/>
      </c>
      <c r="R67" s="35">
        <f>IF($F67="","",IFERROR(INDEX(사건마스터!$AP$5:$AP$64,MATCH($F67,사건마스터!$A$5:$A$64,0)),""))</f>
        <v/>
      </c>
      <c r="S67" s="35">
        <f>IF($F67="","",IFERROR(INDEX(사건마스터!$AQ$5:$AQ$64,MATCH($F67,사건마스터!$A$5:$A$64,0)),""))</f>
        <v/>
      </c>
      <c r="T67" s="35">
        <f>IF($F67="","",IFERROR(INDEX(사건마스터!$AR$5:$AR$64,MATCH($F67,사건마스터!$A$5:$A$64,0)),""))</f>
        <v/>
      </c>
      <c r="U67" s="35">
        <f>IF($F67="","",IFERROR(INDEX(사건마스터!$AS$5:$AS$64,MATCH($F67,사건마스터!$A$5:$A$64,0)),""))</f>
        <v/>
      </c>
      <c r="V67" s="35">
        <f>IF($F67="","",IFERROR(INDEX(사건마스터!$AT$5:$AT$64,MATCH($F67,사건마스터!$A$5:$A$64,0)),""))</f>
        <v/>
      </c>
      <c r="W67" s="35">
        <f>IF($F67="","",IFERROR(INDEX(사건마스터!$AU$5:$AU$64,MATCH($F67,사건마스터!$A$5:$A$64,0)),""))</f>
        <v/>
      </c>
      <c r="X67" s="35">
        <f>IF($F67="","",IFERROR(INDEX(사건마스터!$AV$5:$AV$64,MATCH($F67,사건마스터!$A$5:$A$64,0)),""))</f>
        <v/>
      </c>
      <c r="Y67" s="30">
        <f>IF($I67="","",COUNTIF($I67:$X67,"?*"))</f>
        <v/>
      </c>
      <c r="Z67" s="33">
        <f>IF($I67="","",_xlfn.TEXTJOIN(", ",TRUE,$I67:$X67))</f>
        <v/>
      </c>
      <c r="AA67" s="34">
        <f>IF($I67="","",IFERROR(INDEX(코드설정!$D$5:$D$24,MATCH($I67,코드설정!$C$5:$C$24,0)),""))</f>
        <v/>
      </c>
      <c r="AB67" s="36" t="n"/>
      <c r="AC67" s="37" t="n"/>
      <c r="AD67" s="38" t="n"/>
      <c r="AE67" s="30">
        <f>IF(OR($B67="",$C67=""),"",$C67-$B67+1)</f>
        <v/>
      </c>
      <c r="AF67" s="32" t="n"/>
      <c r="AG67" s="36" t="n"/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3">
        <f>IF($F68="","",IFERROR(INDEX(사건마스터!$B$5:$B$64,MATCH($F68,사건마스터!$A$5:$A$64,0)),""))</f>
        <v/>
      </c>
      <c r="H68" s="34">
        <f>IF($F68="","",IFERROR(INDEX(사건마스터!$C$5:$C$64,MATCH($F68,사건마스터!$A$5:$A$64,0)),""))</f>
        <v/>
      </c>
      <c r="I68" s="35">
        <f>IF($F68="","",IFERROR(INDEX(사건마스터!$H$5:$H$64,MATCH($F68,사건마스터!$A$5:$A$64,0)),""))</f>
        <v/>
      </c>
      <c r="J68" s="35">
        <f>IF($F68="","",IFERROR(INDEX(사건마스터!$AH$5:$AH$64,MATCH($F68,사건마스터!$A$5:$A$64,0)),""))</f>
        <v/>
      </c>
      <c r="K68" s="35">
        <f>IF($F68="","",IFERROR(INDEX(사건마스터!$AI$5:$AI$64,MATCH($F68,사건마스터!$A$5:$A$64,0)),""))</f>
        <v/>
      </c>
      <c r="L68" s="35">
        <f>IF($F68="","",IFERROR(INDEX(사건마스터!$AJ$5:$AJ$64,MATCH($F68,사건마스터!$A$5:$A$64,0)),""))</f>
        <v/>
      </c>
      <c r="M68" s="35">
        <f>IF($F68="","",IFERROR(INDEX(사건마스터!$AK$5:$AK$64,MATCH($F68,사건마스터!$A$5:$A$64,0)),""))</f>
        <v/>
      </c>
      <c r="N68" s="35">
        <f>IF($F68="","",IFERROR(INDEX(사건마스터!$AL$5:$AL$64,MATCH($F68,사건마스터!$A$5:$A$64,0)),""))</f>
        <v/>
      </c>
      <c r="O68" s="35">
        <f>IF($F68="","",IFERROR(INDEX(사건마스터!$AM$5:$AM$64,MATCH($F68,사건마스터!$A$5:$A$64,0)),""))</f>
        <v/>
      </c>
      <c r="P68" s="35">
        <f>IF($F68="","",IFERROR(INDEX(사건마스터!$AN$5:$AN$64,MATCH($F68,사건마스터!$A$5:$A$64,0)),""))</f>
        <v/>
      </c>
      <c r="Q68" s="35">
        <f>IF($F68="","",IFERROR(INDEX(사건마스터!$AO$5:$AO$64,MATCH($F68,사건마스터!$A$5:$A$64,0)),""))</f>
        <v/>
      </c>
      <c r="R68" s="35">
        <f>IF($F68="","",IFERROR(INDEX(사건마스터!$AP$5:$AP$64,MATCH($F68,사건마스터!$A$5:$A$64,0)),""))</f>
        <v/>
      </c>
      <c r="S68" s="35">
        <f>IF($F68="","",IFERROR(INDEX(사건마스터!$AQ$5:$AQ$64,MATCH($F68,사건마스터!$A$5:$A$64,0)),""))</f>
        <v/>
      </c>
      <c r="T68" s="35">
        <f>IF($F68="","",IFERROR(INDEX(사건마스터!$AR$5:$AR$64,MATCH($F68,사건마스터!$A$5:$A$64,0)),""))</f>
        <v/>
      </c>
      <c r="U68" s="35">
        <f>IF($F68="","",IFERROR(INDEX(사건마스터!$AS$5:$AS$64,MATCH($F68,사건마스터!$A$5:$A$64,0)),""))</f>
        <v/>
      </c>
      <c r="V68" s="35">
        <f>IF($F68="","",IFERROR(INDEX(사건마스터!$AT$5:$AT$64,MATCH($F68,사건마스터!$A$5:$A$64,0)),""))</f>
        <v/>
      </c>
      <c r="W68" s="35">
        <f>IF($F68="","",IFERROR(INDEX(사건마스터!$AU$5:$AU$64,MATCH($F68,사건마스터!$A$5:$A$64,0)),""))</f>
        <v/>
      </c>
      <c r="X68" s="35">
        <f>IF($F68="","",IFERROR(INDEX(사건마스터!$AV$5:$AV$64,MATCH($F68,사건마스터!$A$5:$A$64,0)),""))</f>
        <v/>
      </c>
      <c r="Y68" s="30">
        <f>IF($I68="","",COUNTIF($I68:$X68,"?*"))</f>
        <v/>
      </c>
      <c r="Z68" s="33">
        <f>IF($I68="","",_xlfn.TEXTJOIN(", ",TRUE,$I68:$X68))</f>
        <v/>
      </c>
      <c r="AA68" s="34">
        <f>IF($I68="","",IFERROR(INDEX(코드설정!$D$5:$D$24,MATCH($I68,코드설정!$C$5:$C$24,0)),""))</f>
        <v/>
      </c>
      <c r="AB68" s="36" t="n"/>
      <c r="AC68" s="37" t="n"/>
      <c r="AD68" s="38" t="n"/>
      <c r="AE68" s="30">
        <f>IF(OR($B68="",$C68=""),"",$C68-$B68+1)</f>
        <v/>
      </c>
      <c r="AF68" s="32" t="n"/>
      <c r="AG68" s="36" t="n"/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3">
        <f>IF($F69="","",IFERROR(INDEX(사건마스터!$B$5:$B$64,MATCH($F69,사건마스터!$A$5:$A$64,0)),""))</f>
        <v/>
      </c>
      <c r="H69" s="34">
        <f>IF($F69="","",IFERROR(INDEX(사건마스터!$C$5:$C$64,MATCH($F69,사건마스터!$A$5:$A$64,0)),""))</f>
        <v/>
      </c>
      <c r="I69" s="35">
        <f>IF($F69="","",IFERROR(INDEX(사건마스터!$H$5:$H$64,MATCH($F69,사건마스터!$A$5:$A$64,0)),""))</f>
        <v/>
      </c>
      <c r="J69" s="35">
        <f>IF($F69="","",IFERROR(INDEX(사건마스터!$AH$5:$AH$64,MATCH($F69,사건마스터!$A$5:$A$64,0)),""))</f>
        <v/>
      </c>
      <c r="K69" s="35">
        <f>IF($F69="","",IFERROR(INDEX(사건마스터!$AI$5:$AI$64,MATCH($F69,사건마스터!$A$5:$A$64,0)),""))</f>
        <v/>
      </c>
      <c r="L69" s="35">
        <f>IF($F69="","",IFERROR(INDEX(사건마스터!$AJ$5:$AJ$64,MATCH($F69,사건마스터!$A$5:$A$64,0)),""))</f>
        <v/>
      </c>
      <c r="M69" s="35">
        <f>IF($F69="","",IFERROR(INDEX(사건마스터!$AK$5:$AK$64,MATCH($F69,사건마스터!$A$5:$A$64,0)),""))</f>
        <v/>
      </c>
      <c r="N69" s="35">
        <f>IF($F69="","",IFERROR(INDEX(사건마스터!$AL$5:$AL$64,MATCH($F69,사건마스터!$A$5:$A$64,0)),""))</f>
        <v/>
      </c>
      <c r="O69" s="35">
        <f>IF($F69="","",IFERROR(INDEX(사건마스터!$AM$5:$AM$64,MATCH($F69,사건마스터!$A$5:$A$64,0)),""))</f>
        <v/>
      </c>
      <c r="P69" s="35">
        <f>IF($F69="","",IFERROR(INDEX(사건마스터!$AN$5:$AN$64,MATCH($F69,사건마스터!$A$5:$A$64,0)),""))</f>
        <v/>
      </c>
      <c r="Q69" s="35">
        <f>IF($F69="","",IFERROR(INDEX(사건마스터!$AO$5:$AO$64,MATCH($F69,사건마스터!$A$5:$A$64,0)),""))</f>
        <v/>
      </c>
      <c r="R69" s="35">
        <f>IF($F69="","",IFERROR(INDEX(사건마스터!$AP$5:$AP$64,MATCH($F69,사건마스터!$A$5:$A$64,0)),""))</f>
        <v/>
      </c>
      <c r="S69" s="35">
        <f>IF($F69="","",IFERROR(INDEX(사건마스터!$AQ$5:$AQ$64,MATCH($F69,사건마스터!$A$5:$A$64,0)),""))</f>
        <v/>
      </c>
      <c r="T69" s="35">
        <f>IF($F69="","",IFERROR(INDEX(사건마스터!$AR$5:$AR$64,MATCH($F69,사건마스터!$A$5:$A$64,0)),""))</f>
        <v/>
      </c>
      <c r="U69" s="35">
        <f>IF($F69="","",IFERROR(INDEX(사건마스터!$AS$5:$AS$64,MATCH($F69,사건마스터!$A$5:$A$64,0)),""))</f>
        <v/>
      </c>
      <c r="V69" s="35">
        <f>IF($F69="","",IFERROR(INDEX(사건마스터!$AT$5:$AT$64,MATCH($F69,사건마스터!$A$5:$A$64,0)),""))</f>
        <v/>
      </c>
      <c r="W69" s="35">
        <f>IF($F69="","",IFERROR(INDEX(사건마스터!$AU$5:$AU$64,MATCH($F69,사건마스터!$A$5:$A$64,0)),""))</f>
        <v/>
      </c>
      <c r="X69" s="35">
        <f>IF($F69="","",IFERROR(INDEX(사건마스터!$AV$5:$AV$64,MATCH($F69,사건마스터!$A$5:$A$64,0)),""))</f>
        <v/>
      </c>
      <c r="Y69" s="30">
        <f>IF($I69="","",COUNTIF($I69:$X69,"?*"))</f>
        <v/>
      </c>
      <c r="Z69" s="33">
        <f>IF($I69="","",_xlfn.TEXTJOIN(", ",TRUE,$I69:$X69))</f>
        <v/>
      </c>
      <c r="AA69" s="34">
        <f>IF($I69="","",IFERROR(INDEX(코드설정!$D$5:$D$24,MATCH($I69,코드설정!$C$5:$C$24,0)),""))</f>
        <v/>
      </c>
      <c r="AB69" s="36" t="n"/>
      <c r="AC69" s="37" t="n"/>
      <c r="AD69" s="38" t="n"/>
      <c r="AE69" s="30">
        <f>IF(OR($B69="",$C69=""),"",$C69-$B69+1)</f>
        <v/>
      </c>
      <c r="AF69" s="32" t="n"/>
      <c r="AG69" s="36" t="n"/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3">
        <f>IF($F70="","",IFERROR(INDEX(사건마스터!$B$5:$B$64,MATCH($F70,사건마스터!$A$5:$A$64,0)),""))</f>
        <v/>
      </c>
      <c r="H70" s="34">
        <f>IF($F70="","",IFERROR(INDEX(사건마스터!$C$5:$C$64,MATCH($F70,사건마스터!$A$5:$A$64,0)),""))</f>
        <v/>
      </c>
      <c r="I70" s="35">
        <f>IF($F70="","",IFERROR(INDEX(사건마스터!$H$5:$H$64,MATCH($F70,사건마스터!$A$5:$A$64,0)),""))</f>
        <v/>
      </c>
      <c r="J70" s="35">
        <f>IF($F70="","",IFERROR(INDEX(사건마스터!$AH$5:$AH$64,MATCH($F70,사건마스터!$A$5:$A$64,0)),""))</f>
        <v/>
      </c>
      <c r="K70" s="35">
        <f>IF($F70="","",IFERROR(INDEX(사건마스터!$AI$5:$AI$64,MATCH($F70,사건마스터!$A$5:$A$64,0)),""))</f>
        <v/>
      </c>
      <c r="L70" s="35">
        <f>IF($F70="","",IFERROR(INDEX(사건마스터!$AJ$5:$AJ$64,MATCH($F70,사건마스터!$A$5:$A$64,0)),""))</f>
        <v/>
      </c>
      <c r="M70" s="35">
        <f>IF($F70="","",IFERROR(INDEX(사건마스터!$AK$5:$AK$64,MATCH($F70,사건마스터!$A$5:$A$64,0)),""))</f>
        <v/>
      </c>
      <c r="N70" s="35">
        <f>IF($F70="","",IFERROR(INDEX(사건마스터!$AL$5:$AL$64,MATCH($F70,사건마스터!$A$5:$A$64,0)),""))</f>
        <v/>
      </c>
      <c r="O70" s="35">
        <f>IF($F70="","",IFERROR(INDEX(사건마스터!$AM$5:$AM$64,MATCH($F70,사건마스터!$A$5:$A$64,0)),""))</f>
        <v/>
      </c>
      <c r="P70" s="35">
        <f>IF($F70="","",IFERROR(INDEX(사건마스터!$AN$5:$AN$64,MATCH($F70,사건마스터!$A$5:$A$64,0)),""))</f>
        <v/>
      </c>
      <c r="Q70" s="35">
        <f>IF($F70="","",IFERROR(INDEX(사건마스터!$AO$5:$AO$64,MATCH($F70,사건마스터!$A$5:$A$64,0)),""))</f>
        <v/>
      </c>
      <c r="R70" s="35">
        <f>IF($F70="","",IFERROR(INDEX(사건마스터!$AP$5:$AP$64,MATCH($F70,사건마스터!$A$5:$A$64,0)),""))</f>
        <v/>
      </c>
      <c r="S70" s="35">
        <f>IF($F70="","",IFERROR(INDEX(사건마스터!$AQ$5:$AQ$64,MATCH($F70,사건마스터!$A$5:$A$64,0)),""))</f>
        <v/>
      </c>
      <c r="T70" s="35">
        <f>IF($F70="","",IFERROR(INDEX(사건마스터!$AR$5:$AR$64,MATCH($F70,사건마스터!$A$5:$A$64,0)),""))</f>
        <v/>
      </c>
      <c r="U70" s="35">
        <f>IF($F70="","",IFERROR(INDEX(사건마스터!$AS$5:$AS$64,MATCH($F70,사건마스터!$A$5:$A$64,0)),""))</f>
        <v/>
      </c>
      <c r="V70" s="35">
        <f>IF($F70="","",IFERROR(INDEX(사건마스터!$AT$5:$AT$64,MATCH($F70,사건마스터!$A$5:$A$64,0)),""))</f>
        <v/>
      </c>
      <c r="W70" s="35">
        <f>IF($F70="","",IFERROR(INDEX(사건마스터!$AU$5:$AU$64,MATCH($F70,사건마스터!$A$5:$A$64,0)),""))</f>
        <v/>
      </c>
      <c r="X70" s="35">
        <f>IF($F70="","",IFERROR(INDEX(사건마스터!$AV$5:$AV$64,MATCH($F70,사건마스터!$A$5:$A$64,0)),""))</f>
        <v/>
      </c>
      <c r="Y70" s="30">
        <f>IF($I70="","",COUNTIF($I70:$X70,"?*"))</f>
        <v/>
      </c>
      <c r="Z70" s="33">
        <f>IF($I70="","",_xlfn.TEXTJOIN(", ",TRUE,$I70:$X70))</f>
        <v/>
      </c>
      <c r="AA70" s="34">
        <f>IF($I70="","",IFERROR(INDEX(코드설정!$D$5:$D$24,MATCH($I70,코드설정!$C$5:$C$24,0)),""))</f>
        <v/>
      </c>
      <c r="AB70" s="36" t="n"/>
      <c r="AC70" s="37" t="n"/>
      <c r="AD70" s="38" t="n"/>
      <c r="AE70" s="30">
        <f>IF(OR($B70="",$C70=""),"",$C70-$B70+1)</f>
        <v/>
      </c>
      <c r="AF70" s="32" t="n"/>
      <c r="AG70" s="36" t="n"/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3">
        <f>IF($F71="","",IFERROR(INDEX(사건마스터!$B$5:$B$64,MATCH($F71,사건마스터!$A$5:$A$64,0)),""))</f>
        <v/>
      </c>
      <c r="H71" s="34">
        <f>IF($F71="","",IFERROR(INDEX(사건마스터!$C$5:$C$64,MATCH($F71,사건마스터!$A$5:$A$64,0)),""))</f>
        <v/>
      </c>
      <c r="I71" s="35">
        <f>IF($F71="","",IFERROR(INDEX(사건마스터!$H$5:$H$64,MATCH($F71,사건마스터!$A$5:$A$64,0)),""))</f>
        <v/>
      </c>
      <c r="J71" s="35">
        <f>IF($F71="","",IFERROR(INDEX(사건마스터!$AH$5:$AH$64,MATCH($F71,사건마스터!$A$5:$A$64,0)),""))</f>
        <v/>
      </c>
      <c r="K71" s="35">
        <f>IF($F71="","",IFERROR(INDEX(사건마스터!$AI$5:$AI$64,MATCH($F71,사건마스터!$A$5:$A$64,0)),""))</f>
        <v/>
      </c>
      <c r="L71" s="35">
        <f>IF($F71="","",IFERROR(INDEX(사건마스터!$AJ$5:$AJ$64,MATCH($F71,사건마스터!$A$5:$A$64,0)),""))</f>
        <v/>
      </c>
      <c r="M71" s="35">
        <f>IF($F71="","",IFERROR(INDEX(사건마스터!$AK$5:$AK$64,MATCH($F71,사건마스터!$A$5:$A$64,0)),""))</f>
        <v/>
      </c>
      <c r="N71" s="35">
        <f>IF($F71="","",IFERROR(INDEX(사건마스터!$AL$5:$AL$64,MATCH($F71,사건마스터!$A$5:$A$64,0)),""))</f>
        <v/>
      </c>
      <c r="O71" s="35">
        <f>IF($F71="","",IFERROR(INDEX(사건마스터!$AM$5:$AM$64,MATCH($F71,사건마스터!$A$5:$A$64,0)),""))</f>
        <v/>
      </c>
      <c r="P71" s="35">
        <f>IF($F71="","",IFERROR(INDEX(사건마스터!$AN$5:$AN$64,MATCH($F71,사건마스터!$A$5:$A$64,0)),""))</f>
        <v/>
      </c>
      <c r="Q71" s="35">
        <f>IF($F71="","",IFERROR(INDEX(사건마스터!$AO$5:$AO$64,MATCH($F71,사건마스터!$A$5:$A$64,0)),""))</f>
        <v/>
      </c>
      <c r="R71" s="35">
        <f>IF($F71="","",IFERROR(INDEX(사건마스터!$AP$5:$AP$64,MATCH($F71,사건마스터!$A$5:$A$64,0)),""))</f>
        <v/>
      </c>
      <c r="S71" s="35">
        <f>IF($F71="","",IFERROR(INDEX(사건마스터!$AQ$5:$AQ$64,MATCH($F71,사건마스터!$A$5:$A$64,0)),""))</f>
        <v/>
      </c>
      <c r="T71" s="35">
        <f>IF($F71="","",IFERROR(INDEX(사건마스터!$AR$5:$AR$64,MATCH($F71,사건마스터!$A$5:$A$64,0)),""))</f>
        <v/>
      </c>
      <c r="U71" s="35">
        <f>IF($F71="","",IFERROR(INDEX(사건마스터!$AS$5:$AS$64,MATCH($F71,사건마스터!$A$5:$A$64,0)),""))</f>
        <v/>
      </c>
      <c r="V71" s="35">
        <f>IF($F71="","",IFERROR(INDEX(사건마스터!$AT$5:$AT$64,MATCH($F71,사건마스터!$A$5:$A$64,0)),""))</f>
        <v/>
      </c>
      <c r="W71" s="35">
        <f>IF($F71="","",IFERROR(INDEX(사건마스터!$AU$5:$AU$64,MATCH($F71,사건마스터!$A$5:$A$64,0)),""))</f>
        <v/>
      </c>
      <c r="X71" s="35">
        <f>IF($F71="","",IFERROR(INDEX(사건마스터!$AV$5:$AV$64,MATCH($F71,사건마스터!$A$5:$A$64,0)),""))</f>
        <v/>
      </c>
      <c r="Y71" s="30">
        <f>IF($I71="","",COUNTIF($I71:$X71,"?*"))</f>
        <v/>
      </c>
      <c r="Z71" s="33">
        <f>IF($I71="","",_xlfn.TEXTJOIN(", ",TRUE,$I71:$X71))</f>
        <v/>
      </c>
      <c r="AA71" s="34">
        <f>IF($I71="","",IFERROR(INDEX(코드설정!$D$5:$D$24,MATCH($I71,코드설정!$C$5:$C$24,0)),""))</f>
        <v/>
      </c>
      <c r="AB71" s="36" t="n"/>
      <c r="AC71" s="37" t="n"/>
      <c r="AD71" s="38" t="n"/>
      <c r="AE71" s="30">
        <f>IF(OR($B71="",$C71=""),"",$C71-$B71+1)</f>
        <v/>
      </c>
      <c r="AF71" s="32" t="n"/>
      <c r="AG71" s="36" t="n"/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3">
        <f>IF($F72="","",IFERROR(INDEX(사건마스터!$B$5:$B$64,MATCH($F72,사건마스터!$A$5:$A$64,0)),""))</f>
        <v/>
      </c>
      <c r="H72" s="34">
        <f>IF($F72="","",IFERROR(INDEX(사건마스터!$C$5:$C$64,MATCH($F72,사건마스터!$A$5:$A$64,0)),""))</f>
        <v/>
      </c>
      <c r="I72" s="35">
        <f>IF($F72="","",IFERROR(INDEX(사건마스터!$H$5:$H$64,MATCH($F72,사건마스터!$A$5:$A$64,0)),""))</f>
        <v/>
      </c>
      <c r="J72" s="35">
        <f>IF($F72="","",IFERROR(INDEX(사건마스터!$AH$5:$AH$64,MATCH($F72,사건마스터!$A$5:$A$64,0)),""))</f>
        <v/>
      </c>
      <c r="K72" s="35">
        <f>IF($F72="","",IFERROR(INDEX(사건마스터!$AI$5:$AI$64,MATCH($F72,사건마스터!$A$5:$A$64,0)),""))</f>
        <v/>
      </c>
      <c r="L72" s="35">
        <f>IF($F72="","",IFERROR(INDEX(사건마스터!$AJ$5:$AJ$64,MATCH($F72,사건마스터!$A$5:$A$64,0)),""))</f>
        <v/>
      </c>
      <c r="M72" s="35">
        <f>IF($F72="","",IFERROR(INDEX(사건마스터!$AK$5:$AK$64,MATCH($F72,사건마스터!$A$5:$A$64,0)),""))</f>
        <v/>
      </c>
      <c r="N72" s="35">
        <f>IF($F72="","",IFERROR(INDEX(사건마스터!$AL$5:$AL$64,MATCH($F72,사건마스터!$A$5:$A$64,0)),""))</f>
        <v/>
      </c>
      <c r="O72" s="35">
        <f>IF($F72="","",IFERROR(INDEX(사건마스터!$AM$5:$AM$64,MATCH($F72,사건마스터!$A$5:$A$64,0)),""))</f>
        <v/>
      </c>
      <c r="P72" s="35">
        <f>IF($F72="","",IFERROR(INDEX(사건마스터!$AN$5:$AN$64,MATCH($F72,사건마스터!$A$5:$A$64,0)),""))</f>
        <v/>
      </c>
      <c r="Q72" s="35">
        <f>IF($F72="","",IFERROR(INDEX(사건마스터!$AO$5:$AO$64,MATCH($F72,사건마스터!$A$5:$A$64,0)),""))</f>
        <v/>
      </c>
      <c r="R72" s="35">
        <f>IF($F72="","",IFERROR(INDEX(사건마스터!$AP$5:$AP$64,MATCH($F72,사건마스터!$A$5:$A$64,0)),""))</f>
        <v/>
      </c>
      <c r="S72" s="35">
        <f>IF($F72="","",IFERROR(INDEX(사건마스터!$AQ$5:$AQ$64,MATCH($F72,사건마스터!$A$5:$A$64,0)),""))</f>
        <v/>
      </c>
      <c r="T72" s="35">
        <f>IF($F72="","",IFERROR(INDEX(사건마스터!$AR$5:$AR$64,MATCH($F72,사건마스터!$A$5:$A$64,0)),""))</f>
        <v/>
      </c>
      <c r="U72" s="35">
        <f>IF($F72="","",IFERROR(INDEX(사건마스터!$AS$5:$AS$64,MATCH($F72,사건마스터!$A$5:$A$64,0)),""))</f>
        <v/>
      </c>
      <c r="V72" s="35">
        <f>IF($F72="","",IFERROR(INDEX(사건마스터!$AT$5:$AT$64,MATCH($F72,사건마스터!$A$5:$A$64,0)),""))</f>
        <v/>
      </c>
      <c r="W72" s="35">
        <f>IF($F72="","",IFERROR(INDEX(사건마스터!$AU$5:$AU$64,MATCH($F72,사건마스터!$A$5:$A$64,0)),""))</f>
        <v/>
      </c>
      <c r="X72" s="35">
        <f>IF($F72="","",IFERROR(INDEX(사건마스터!$AV$5:$AV$64,MATCH($F72,사건마스터!$A$5:$A$64,0)),""))</f>
        <v/>
      </c>
      <c r="Y72" s="30">
        <f>IF($I72="","",COUNTIF($I72:$X72,"?*"))</f>
        <v/>
      </c>
      <c r="Z72" s="33">
        <f>IF($I72="","",_xlfn.TEXTJOIN(", ",TRUE,$I72:$X72))</f>
        <v/>
      </c>
      <c r="AA72" s="34">
        <f>IF($I72="","",IFERROR(INDEX(코드설정!$D$5:$D$24,MATCH($I72,코드설정!$C$5:$C$24,0)),""))</f>
        <v/>
      </c>
      <c r="AB72" s="36" t="n"/>
      <c r="AC72" s="37" t="n"/>
      <c r="AD72" s="38" t="n"/>
      <c r="AE72" s="30">
        <f>IF(OR($B72="",$C72=""),"",$C72-$B72+1)</f>
        <v/>
      </c>
      <c r="AF72" s="32" t="n"/>
      <c r="AG72" s="36" t="n"/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3">
        <f>IF($F73="","",IFERROR(INDEX(사건마스터!$B$5:$B$64,MATCH($F73,사건마스터!$A$5:$A$64,0)),""))</f>
        <v/>
      </c>
      <c r="H73" s="34">
        <f>IF($F73="","",IFERROR(INDEX(사건마스터!$C$5:$C$64,MATCH($F73,사건마스터!$A$5:$A$64,0)),""))</f>
        <v/>
      </c>
      <c r="I73" s="35">
        <f>IF($F73="","",IFERROR(INDEX(사건마스터!$H$5:$H$64,MATCH($F73,사건마스터!$A$5:$A$64,0)),""))</f>
        <v/>
      </c>
      <c r="J73" s="35">
        <f>IF($F73="","",IFERROR(INDEX(사건마스터!$AH$5:$AH$64,MATCH($F73,사건마스터!$A$5:$A$64,0)),""))</f>
        <v/>
      </c>
      <c r="K73" s="35">
        <f>IF($F73="","",IFERROR(INDEX(사건마스터!$AI$5:$AI$64,MATCH($F73,사건마스터!$A$5:$A$64,0)),""))</f>
        <v/>
      </c>
      <c r="L73" s="35">
        <f>IF($F73="","",IFERROR(INDEX(사건마스터!$AJ$5:$AJ$64,MATCH($F73,사건마스터!$A$5:$A$64,0)),""))</f>
        <v/>
      </c>
      <c r="M73" s="35">
        <f>IF($F73="","",IFERROR(INDEX(사건마스터!$AK$5:$AK$64,MATCH($F73,사건마스터!$A$5:$A$64,0)),""))</f>
        <v/>
      </c>
      <c r="N73" s="35">
        <f>IF($F73="","",IFERROR(INDEX(사건마스터!$AL$5:$AL$64,MATCH($F73,사건마스터!$A$5:$A$64,0)),""))</f>
        <v/>
      </c>
      <c r="O73" s="35">
        <f>IF($F73="","",IFERROR(INDEX(사건마스터!$AM$5:$AM$64,MATCH($F73,사건마스터!$A$5:$A$64,0)),""))</f>
        <v/>
      </c>
      <c r="P73" s="35">
        <f>IF($F73="","",IFERROR(INDEX(사건마스터!$AN$5:$AN$64,MATCH($F73,사건마스터!$A$5:$A$64,0)),""))</f>
        <v/>
      </c>
      <c r="Q73" s="35">
        <f>IF($F73="","",IFERROR(INDEX(사건마스터!$AO$5:$AO$64,MATCH($F73,사건마스터!$A$5:$A$64,0)),""))</f>
        <v/>
      </c>
      <c r="R73" s="35">
        <f>IF($F73="","",IFERROR(INDEX(사건마스터!$AP$5:$AP$64,MATCH($F73,사건마스터!$A$5:$A$64,0)),""))</f>
        <v/>
      </c>
      <c r="S73" s="35">
        <f>IF($F73="","",IFERROR(INDEX(사건마스터!$AQ$5:$AQ$64,MATCH($F73,사건마스터!$A$5:$A$64,0)),""))</f>
        <v/>
      </c>
      <c r="T73" s="35">
        <f>IF($F73="","",IFERROR(INDEX(사건마스터!$AR$5:$AR$64,MATCH($F73,사건마스터!$A$5:$A$64,0)),""))</f>
        <v/>
      </c>
      <c r="U73" s="35">
        <f>IF($F73="","",IFERROR(INDEX(사건마스터!$AS$5:$AS$64,MATCH($F73,사건마스터!$A$5:$A$64,0)),""))</f>
        <v/>
      </c>
      <c r="V73" s="35">
        <f>IF($F73="","",IFERROR(INDEX(사건마스터!$AT$5:$AT$64,MATCH($F73,사건마스터!$A$5:$A$64,0)),""))</f>
        <v/>
      </c>
      <c r="W73" s="35">
        <f>IF($F73="","",IFERROR(INDEX(사건마스터!$AU$5:$AU$64,MATCH($F73,사건마스터!$A$5:$A$64,0)),""))</f>
        <v/>
      </c>
      <c r="X73" s="35">
        <f>IF($F73="","",IFERROR(INDEX(사건마스터!$AV$5:$AV$64,MATCH($F73,사건마스터!$A$5:$A$64,0)),""))</f>
        <v/>
      </c>
      <c r="Y73" s="30">
        <f>IF($I73="","",COUNTIF($I73:$X73,"?*"))</f>
        <v/>
      </c>
      <c r="Z73" s="33">
        <f>IF($I73="","",_xlfn.TEXTJOIN(", ",TRUE,$I73:$X73))</f>
        <v/>
      </c>
      <c r="AA73" s="34">
        <f>IF($I73="","",IFERROR(INDEX(코드설정!$D$5:$D$24,MATCH($I73,코드설정!$C$5:$C$24,0)),""))</f>
        <v/>
      </c>
      <c r="AB73" s="36" t="n"/>
      <c r="AC73" s="37" t="n"/>
      <c r="AD73" s="38" t="n"/>
      <c r="AE73" s="30">
        <f>IF(OR($B73="",$C73=""),"",$C73-$B73+1)</f>
        <v/>
      </c>
      <c r="AF73" s="32" t="n"/>
      <c r="AG73" s="36" t="n"/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3">
        <f>IF($F74="","",IFERROR(INDEX(사건마스터!$B$5:$B$64,MATCH($F74,사건마스터!$A$5:$A$64,0)),""))</f>
        <v/>
      </c>
      <c r="H74" s="34">
        <f>IF($F74="","",IFERROR(INDEX(사건마스터!$C$5:$C$64,MATCH($F74,사건마스터!$A$5:$A$64,0)),""))</f>
        <v/>
      </c>
      <c r="I74" s="35">
        <f>IF($F74="","",IFERROR(INDEX(사건마스터!$H$5:$H$64,MATCH($F74,사건마스터!$A$5:$A$64,0)),""))</f>
        <v/>
      </c>
      <c r="J74" s="35">
        <f>IF($F74="","",IFERROR(INDEX(사건마스터!$AH$5:$AH$64,MATCH($F74,사건마스터!$A$5:$A$64,0)),""))</f>
        <v/>
      </c>
      <c r="K74" s="35">
        <f>IF($F74="","",IFERROR(INDEX(사건마스터!$AI$5:$AI$64,MATCH($F74,사건마스터!$A$5:$A$64,0)),""))</f>
        <v/>
      </c>
      <c r="L74" s="35">
        <f>IF($F74="","",IFERROR(INDEX(사건마스터!$AJ$5:$AJ$64,MATCH($F74,사건마스터!$A$5:$A$64,0)),""))</f>
        <v/>
      </c>
      <c r="M74" s="35">
        <f>IF($F74="","",IFERROR(INDEX(사건마스터!$AK$5:$AK$64,MATCH($F74,사건마스터!$A$5:$A$64,0)),""))</f>
        <v/>
      </c>
      <c r="N74" s="35">
        <f>IF($F74="","",IFERROR(INDEX(사건마스터!$AL$5:$AL$64,MATCH($F74,사건마스터!$A$5:$A$64,0)),""))</f>
        <v/>
      </c>
      <c r="O74" s="35">
        <f>IF($F74="","",IFERROR(INDEX(사건마스터!$AM$5:$AM$64,MATCH($F74,사건마스터!$A$5:$A$64,0)),""))</f>
        <v/>
      </c>
      <c r="P74" s="35">
        <f>IF($F74="","",IFERROR(INDEX(사건마스터!$AN$5:$AN$64,MATCH($F74,사건마스터!$A$5:$A$64,0)),""))</f>
        <v/>
      </c>
      <c r="Q74" s="35">
        <f>IF($F74="","",IFERROR(INDEX(사건마스터!$AO$5:$AO$64,MATCH($F74,사건마스터!$A$5:$A$64,0)),""))</f>
        <v/>
      </c>
      <c r="R74" s="35">
        <f>IF($F74="","",IFERROR(INDEX(사건마스터!$AP$5:$AP$64,MATCH($F74,사건마스터!$A$5:$A$64,0)),""))</f>
        <v/>
      </c>
      <c r="S74" s="35">
        <f>IF($F74="","",IFERROR(INDEX(사건마스터!$AQ$5:$AQ$64,MATCH($F74,사건마스터!$A$5:$A$64,0)),""))</f>
        <v/>
      </c>
      <c r="T74" s="35">
        <f>IF($F74="","",IFERROR(INDEX(사건마스터!$AR$5:$AR$64,MATCH($F74,사건마스터!$A$5:$A$64,0)),""))</f>
        <v/>
      </c>
      <c r="U74" s="35">
        <f>IF($F74="","",IFERROR(INDEX(사건마스터!$AS$5:$AS$64,MATCH($F74,사건마스터!$A$5:$A$64,0)),""))</f>
        <v/>
      </c>
      <c r="V74" s="35">
        <f>IF($F74="","",IFERROR(INDEX(사건마스터!$AT$5:$AT$64,MATCH($F74,사건마스터!$A$5:$A$64,0)),""))</f>
        <v/>
      </c>
      <c r="W74" s="35">
        <f>IF($F74="","",IFERROR(INDEX(사건마스터!$AU$5:$AU$64,MATCH($F74,사건마스터!$A$5:$A$64,0)),""))</f>
        <v/>
      </c>
      <c r="X74" s="35">
        <f>IF($F74="","",IFERROR(INDEX(사건마스터!$AV$5:$AV$64,MATCH($F74,사건마스터!$A$5:$A$64,0)),""))</f>
        <v/>
      </c>
      <c r="Y74" s="30">
        <f>IF($I74="","",COUNTIF($I74:$X74,"?*"))</f>
        <v/>
      </c>
      <c r="Z74" s="33">
        <f>IF($I74="","",_xlfn.TEXTJOIN(", ",TRUE,$I74:$X74))</f>
        <v/>
      </c>
      <c r="AA74" s="34">
        <f>IF($I74="","",IFERROR(INDEX(코드설정!$D$5:$D$24,MATCH($I74,코드설정!$C$5:$C$24,0)),""))</f>
        <v/>
      </c>
      <c r="AB74" s="36" t="n"/>
      <c r="AC74" s="37" t="n"/>
      <c r="AD74" s="38" t="n"/>
      <c r="AE74" s="30">
        <f>IF(OR($B74="",$C74=""),"",$C74-$B74+1)</f>
        <v/>
      </c>
      <c r="AF74" s="32" t="n"/>
      <c r="AG74" s="36" t="n"/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3">
        <f>IF($F75="","",IFERROR(INDEX(사건마스터!$B$5:$B$64,MATCH($F75,사건마스터!$A$5:$A$64,0)),""))</f>
        <v/>
      </c>
      <c r="H75" s="34">
        <f>IF($F75="","",IFERROR(INDEX(사건마스터!$C$5:$C$64,MATCH($F75,사건마스터!$A$5:$A$64,0)),""))</f>
        <v/>
      </c>
      <c r="I75" s="35">
        <f>IF($F75="","",IFERROR(INDEX(사건마스터!$H$5:$H$64,MATCH($F75,사건마스터!$A$5:$A$64,0)),""))</f>
        <v/>
      </c>
      <c r="J75" s="35">
        <f>IF($F75="","",IFERROR(INDEX(사건마스터!$AH$5:$AH$64,MATCH($F75,사건마스터!$A$5:$A$64,0)),""))</f>
        <v/>
      </c>
      <c r="K75" s="35">
        <f>IF($F75="","",IFERROR(INDEX(사건마스터!$AI$5:$AI$64,MATCH($F75,사건마스터!$A$5:$A$64,0)),""))</f>
        <v/>
      </c>
      <c r="L75" s="35">
        <f>IF($F75="","",IFERROR(INDEX(사건마스터!$AJ$5:$AJ$64,MATCH($F75,사건마스터!$A$5:$A$64,0)),""))</f>
        <v/>
      </c>
      <c r="M75" s="35">
        <f>IF($F75="","",IFERROR(INDEX(사건마스터!$AK$5:$AK$64,MATCH($F75,사건마스터!$A$5:$A$64,0)),""))</f>
        <v/>
      </c>
      <c r="N75" s="35">
        <f>IF($F75="","",IFERROR(INDEX(사건마스터!$AL$5:$AL$64,MATCH($F75,사건마스터!$A$5:$A$64,0)),""))</f>
        <v/>
      </c>
      <c r="O75" s="35">
        <f>IF($F75="","",IFERROR(INDEX(사건마스터!$AM$5:$AM$64,MATCH($F75,사건마스터!$A$5:$A$64,0)),""))</f>
        <v/>
      </c>
      <c r="P75" s="35">
        <f>IF($F75="","",IFERROR(INDEX(사건마스터!$AN$5:$AN$64,MATCH($F75,사건마스터!$A$5:$A$64,0)),""))</f>
        <v/>
      </c>
      <c r="Q75" s="35">
        <f>IF($F75="","",IFERROR(INDEX(사건마스터!$AO$5:$AO$64,MATCH($F75,사건마스터!$A$5:$A$64,0)),""))</f>
        <v/>
      </c>
      <c r="R75" s="35">
        <f>IF($F75="","",IFERROR(INDEX(사건마스터!$AP$5:$AP$64,MATCH($F75,사건마스터!$A$5:$A$64,0)),""))</f>
        <v/>
      </c>
      <c r="S75" s="35">
        <f>IF($F75="","",IFERROR(INDEX(사건마스터!$AQ$5:$AQ$64,MATCH($F75,사건마스터!$A$5:$A$64,0)),""))</f>
        <v/>
      </c>
      <c r="T75" s="35">
        <f>IF($F75="","",IFERROR(INDEX(사건마스터!$AR$5:$AR$64,MATCH($F75,사건마스터!$A$5:$A$64,0)),""))</f>
        <v/>
      </c>
      <c r="U75" s="35">
        <f>IF($F75="","",IFERROR(INDEX(사건마스터!$AS$5:$AS$64,MATCH($F75,사건마스터!$A$5:$A$64,0)),""))</f>
        <v/>
      </c>
      <c r="V75" s="35">
        <f>IF($F75="","",IFERROR(INDEX(사건마스터!$AT$5:$AT$64,MATCH($F75,사건마스터!$A$5:$A$64,0)),""))</f>
        <v/>
      </c>
      <c r="W75" s="35">
        <f>IF($F75="","",IFERROR(INDEX(사건마스터!$AU$5:$AU$64,MATCH($F75,사건마스터!$A$5:$A$64,0)),""))</f>
        <v/>
      </c>
      <c r="X75" s="35">
        <f>IF($F75="","",IFERROR(INDEX(사건마스터!$AV$5:$AV$64,MATCH($F75,사건마스터!$A$5:$A$64,0)),""))</f>
        <v/>
      </c>
      <c r="Y75" s="30">
        <f>IF($I75="","",COUNTIF($I75:$X75,"?*"))</f>
        <v/>
      </c>
      <c r="Z75" s="33">
        <f>IF($I75="","",_xlfn.TEXTJOIN(", ",TRUE,$I75:$X75))</f>
        <v/>
      </c>
      <c r="AA75" s="34">
        <f>IF($I75="","",IFERROR(INDEX(코드설정!$D$5:$D$24,MATCH($I75,코드설정!$C$5:$C$24,0)),""))</f>
        <v/>
      </c>
      <c r="AB75" s="36" t="n"/>
      <c r="AC75" s="37" t="n"/>
      <c r="AD75" s="38" t="n"/>
      <c r="AE75" s="30">
        <f>IF(OR($B75="",$C75=""),"",$C75-$B75+1)</f>
        <v/>
      </c>
      <c r="AF75" s="32" t="n"/>
      <c r="AG75" s="36" t="n"/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3">
        <f>IF($F76="","",IFERROR(INDEX(사건마스터!$B$5:$B$64,MATCH($F76,사건마스터!$A$5:$A$64,0)),""))</f>
        <v/>
      </c>
      <c r="H76" s="34">
        <f>IF($F76="","",IFERROR(INDEX(사건마스터!$C$5:$C$64,MATCH($F76,사건마스터!$A$5:$A$64,0)),""))</f>
        <v/>
      </c>
      <c r="I76" s="35">
        <f>IF($F76="","",IFERROR(INDEX(사건마스터!$H$5:$H$64,MATCH($F76,사건마스터!$A$5:$A$64,0)),""))</f>
        <v/>
      </c>
      <c r="J76" s="35">
        <f>IF($F76="","",IFERROR(INDEX(사건마스터!$AH$5:$AH$64,MATCH($F76,사건마스터!$A$5:$A$64,0)),""))</f>
        <v/>
      </c>
      <c r="K76" s="35">
        <f>IF($F76="","",IFERROR(INDEX(사건마스터!$AI$5:$AI$64,MATCH($F76,사건마스터!$A$5:$A$64,0)),""))</f>
        <v/>
      </c>
      <c r="L76" s="35">
        <f>IF($F76="","",IFERROR(INDEX(사건마스터!$AJ$5:$AJ$64,MATCH($F76,사건마스터!$A$5:$A$64,0)),""))</f>
        <v/>
      </c>
      <c r="M76" s="35">
        <f>IF($F76="","",IFERROR(INDEX(사건마스터!$AK$5:$AK$64,MATCH($F76,사건마스터!$A$5:$A$64,0)),""))</f>
        <v/>
      </c>
      <c r="N76" s="35">
        <f>IF($F76="","",IFERROR(INDEX(사건마스터!$AL$5:$AL$64,MATCH($F76,사건마스터!$A$5:$A$64,0)),""))</f>
        <v/>
      </c>
      <c r="O76" s="35">
        <f>IF($F76="","",IFERROR(INDEX(사건마스터!$AM$5:$AM$64,MATCH($F76,사건마스터!$A$5:$A$64,0)),""))</f>
        <v/>
      </c>
      <c r="P76" s="35">
        <f>IF($F76="","",IFERROR(INDEX(사건마스터!$AN$5:$AN$64,MATCH($F76,사건마스터!$A$5:$A$64,0)),""))</f>
        <v/>
      </c>
      <c r="Q76" s="35">
        <f>IF($F76="","",IFERROR(INDEX(사건마스터!$AO$5:$AO$64,MATCH($F76,사건마스터!$A$5:$A$64,0)),""))</f>
        <v/>
      </c>
      <c r="R76" s="35">
        <f>IF($F76="","",IFERROR(INDEX(사건마스터!$AP$5:$AP$64,MATCH($F76,사건마스터!$A$5:$A$64,0)),""))</f>
        <v/>
      </c>
      <c r="S76" s="35">
        <f>IF($F76="","",IFERROR(INDEX(사건마스터!$AQ$5:$AQ$64,MATCH($F76,사건마스터!$A$5:$A$64,0)),""))</f>
        <v/>
      </c>
      <c r="T76" s="35">
        <f>IF($F76="","",IFERROR(INDEX(사건마스터!$AR$5:$AR$64,MATCH($F76,사건마스터!$A$5:$A$64,0)),""))</f>
        <v/>
      </c>
      <c r="U76" s="35">
        <f>IF($F76="","",IFERROR(INDEX(사건마스터!$AS$5:$AS$64,MATCH($F76,사건마스터!$A$5:$A$64,0)),""))</f>
        <v/>
      </c>
      <c r="V76" s="35">
        <f>IF($F76="","",IFERROR(INDEX(사건마스터!$AT$5:$AT$64,MATCH($F76,사건마스터!$A$5:$A$64,0)),""))</f>
        <v/>
      </c>
      <c r="W76" s="35">
        <f>IF($F76="","",IFERROR(INDEX(사건마스터!$AU$5:$AU$64,MATCH($F76,사건마스터!$A$5:$A$64,0)),""))</f>
        <v/>
      </c>
      <c r="X76" s="35">
        <f>IF($F76="","",IFERROR(INDEX(사건마스터!$AV$5:$AV$64,MATCH($F76,사건마스터!$A$5:$A$64,0)),""))</f>
        <v/>
      </c>
      <c r="Y76" s="30">
        <f>IF($I76="","",COUNTIF($I76:$X76,"?*"))</f>
        <v/>
      </c>
      <c r="Z76" s="33">
        <f>IF($I76="","",_xlfn.TEXTJOIN(", ",TRUE,$I76:$X76))</f>
        <v/>
      </c>
      <c r="AA76" s="34">
        <f>IF($I76="","",IFERROR(INDEX(코드설정!$D$5:$D$24,MATCH($I76,코드설정!$C$5:$C$24,0)),""))</f>
        <v/>
      </c>
      <c r="AB76" s="36" t="n"/>
      <c r="AC76" s="37" t="n"/>
      <c r="AD76" s="38" t="n"/>
      <c r="AE76" s="30">
        <f>IF(OR($B76="",$C76=""),"",$C76-$B76+1)</f>
        <v/>
      </c>
      <c r="AF76" s="32" t="n"/>
      <c r="AG76" s="36" t="n"/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3">
        <f>IF($F77="","",IFERROR(INDEX(사건마스터!$B$5:$B$64,MATCH($F77,사건마스터!$A$5:$A$64,0)),""))</f>
        <v/>
      </c>
      <c r="H77" s="34">
        <f>IF($F77="","",IFERROR(INDEX(사건마스터!$C$5:$C$64,MATCH($F77,사건마스터!$A$5:$A$64,0)),""))</f>
        <v/>
      </c>
      <c r="I77" s="35">
        <f>IF($F77="","",IFERROR(INDEX(사건마스터!$H$5:$H$64,MATCH($F77,사건마스터!$A$5:$A$64,0)),""))</f>
        <v/>
      </c>
      <c r="J77" s="35">
        <f>IF($F77="","",IFERROR(INDEX(사건마스터!$AH$5:$AH$64,MATCH($F77,사건마스터!$A$5:$A$64,0)),""))</f>
        <v/>
      </c>
      <c r="K77" s="35">
        <f>IF($F77="","",IFERROR(INDEX(사건마스터!$AI$5:$AI$64,MATCH($F77,사건마스터!$A$5:$A$64,0)),""))</f>
        <v/>
      </c>
      <c r="L77" s="35">
        <f>IF($F77="","",IFERROR(INDEX(사건마스터!$AJ$5:$AJ$64,MATCH($F77,사건마스터!$A$5:$A$64,0)),""))</f>
        <v/>
      </c>
      <c r="M77" s="35">
        <f>IF($F77="","",IFERROR(INDEX(사건마스터!$AK$5:$AK$64,MATCH($F77,사건마스터!$A$5:$A$64,0)),""))</f>
        <v/>
      </c>
      <c r="N77" s="35">
        <f>IF($F77="","",IFERROR(INDEX(사건마스터!$AL$5:$AL$64,MATCH($F77,사건마스터!$A$5:$A$64,0)),""))</f>
        <v/>
      </c>
      <c r="O77" s="35">
        <f>IF($F77="","",IFERROR(INDEX(사건마스터!$AM$5:$AM$64,MATCH($F77,사건마스터!$A$5:$A$64,0)),""))</f>
        <v/>
      </c>
      <c r="P77" s="35">
        <f>IF($F77="","",IFERROR(INDEX(사건마스터!$AN$5:$AN$64,MATCH($F77,사건마스터!$A$5:$A$64,0)),""))</f>
        <v/>
      </c>
      <c r="Q77" s="35">
        <f>IF($F77="","",IFERROR(INDEX(사건마스터!$AO$5:$AO$64,MATCH($F77,사건마스터!$A$5:$A$64,0)),""))</f>
        <v/>
      </c>
      <c r="R77" s="35">
        <f>IF($F77="","",IFERROR(INDEX(사건마스터!$AP$5:$AP$64,MATCH($F77,사건마스터!$A$5:$A$64,0)),""))</f>
        <v/>
      </c>
      <c r="S77" s="35">
        <f>IF($F77="","",IFERROR(INDEX(사건마스터!$AQ$5:$AQ$64,MATCH($F77,사건마스터!$A$5:$A$64,0)),""))</f>
        <v/>
      </c>
      <c r="T77" s="35">
        <f>IF($F77="","",IFERROR(INDEX(사건마스터!$AR$5:$AR$64,MATCH($F77,사건마스터!$A$5:$A$64,0)),""))</f>
        <v/>
      </c>
      <c r="U77" s="35">
        <f>IF($F77="","",IFERROR(INDEX(사건마스터!$AS$5:$AS$64,MATCH($F77,사건마스터!$A$5:$A$64,0)),""))</f>
        <v/>
      </c>
      <c r="V77" s="35">
        <f>IF($F77="","",IFERROR(INDEX(사건마스터!$AT$5:$AT$64,MATCH($F77,사건마스터!$A$5:$A$64,0)),""))</f>
        <v/>
      </c>
      <c r="W77" s="35">
        <f>IF($F77="","",IFERROR(INDEX(사건마스터!$AU$5:$AU$64,MATCH($F77,사건마스터!$A$5:$A$64,0)),""))</f>
        <v/>
      </c>
      <c r="X77" s="35">
        <f>IF($F77="","",IFERROR(INDEX(사건마스터!$AV$5:$AV$64,MATCH($F77,사건마스터!$A$5:$A$64,0)),""))</f>
        <v/>
      </c>
      <c r="Y77" s="30">
        <f>IF($I77="","",COUNTIF($I77:$X77,"?*"))</f>
        <v/>
      </c>
      <c r="Z77" s="33">
        <f>IF($I77="","",_xlfn.TEXTJOIN(", ",TRUE,$I77:$X77))</f>
        <v/>
      </c>
      <c r="AA77" s="34">
        <f>IF($I77="","",IFERROR(INDEX(코드설정!$D$5:$D$24,MATCH($I77,코드설정!$C$5:$C$24,0)),""))</f>
        <v/>
      </c>
      <c r="AB77" s="36" t="n"/>
      <c r="AC77" s="37" t="n"/>
      <c r="AD77" s="38" t="n"/>
      <c r="AE77" s="30">
        <f>IF(OR($B77="",$C77=""),"",$C77-$B77+1)</f>
        <v/>
      </c>
      <c r="AF77" s="32" t="n"/>
      <c r="AG77" s="36" t="n"/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3">
        <f>IF($F78="","",IFERROR(INDEX(사건마스터!$B$5:$B$64,MATCH($F78,사건마스터!$A$5:$A$64,0)),""))</f>
        <v/>
      </c>
      <c r="H78" s="34">
        <f>IF($F78="","",IFERROR(INDEX(사건마스터!$C$5:$C$64,MATCH($F78,사건마스터!$A$5:$A$64,0)),""))</f>
        <v/>
      </c>
      <c r="I78" s="35">
        <f>IF($F78="","",IFERROR(INDEX(사건마스터!$H$5:$H$64,MATCH($F78,사건마스터!$A$5:$A$64,0)),""))</f>
        <v/>
      </c>
      <c r="J78" s="35">
        <f>IF($F78="","",IFERROR(INDEX(사건마스터!$AH$5:$AH$64,MATCH($F78,사건마스터!$A$5:$A$64,0)),""))</f>
        <v/>
      </c>
      <c r="K78" s="35">
        <f>IF($F78="","",IFERROR(INDEX(사건마스터!$AI$5:$AI$64,MATCH($F78,사건마스터!$A$5:$A$64,0)),""))</f>
        <v/>
      </c>
      <c r="L78" s="35">
        <f>IF($F78="","",IFERROR(INDEX(사건마스터!$AJ$5:$AJ$64,MATCH($F78,사건마스터!$A$5:$A$64,0)),""))</f>
        <v/>
      </c>
      <c r="M78" s="35">
        <f>IF($F78="","",IFERROR(INDEX(사건마스터!$AK$5:$AK$64,MATCH($F78,사건마스터!$A$5:$A$64,0)),""))</f>
        <v/>
      </c>
      <c r="N78" s="35">
        <f>IF($F78="","",IFERROR(INDEX(사건마스터!$AL$5:$AL$64,MATCH($F78,사건마스터!$A$5:$A$64,0)),""))</f>
        <v/>
      </c>
      <c r="O78" s="35">
        <f>IF($F78="","",IFERROR(INDEX(사건마스터!$AM$5:$AM$64,MATCH($F78,사건마스터!$A$5:$A$64,0)),""))</f>
        <v/>
      </c>
      <c r="P78" s="35">
        <f>IF($F78="","",IFERROR(INDEX(사건마스터!$AN$5:$AN$64,MATCH($F78,사건마스터!$A$5:$A$64,0)),""))</f>
        <v/>
      </c>
      <c r="Q78" s="35">
        <f>IF($F78="","",IFERROR(INDEX(사건마스터!$AO$5:$AO$64,MATCH($F78,사건마스터!$A$5:$A$64,0)),""))</f>
        <v/>
      </c>
      <c r="R78" s="35">
        <f>IF($F78="","",IFERROR(INDEX(사건마스터!$AP$5:$AP$64,MATCH($F78,사건마스터!$A$5:$A$64,0)),""))</f>
        <v/>
      </c>
      <c r="S78" s="35">
        <f>IF($F78="","",IFERROR(INDEX(사건마스터!$AQ$5:$AQ$64,MATCH($F78,사건마스터!$A$5:$A$64,0)),""))</f>
        <v/>
      </c>
      <c r="T78" s="35">
        <f>IF($F78="","",IFERROR(INDEX(사건마스터!$AR$5:$AR$64,MATCH($F78,사건마스터!$A$5:$A$64,0)),""))</f>
        <v/>
      </c>
      <c r="U78" s="35">
        <f>IF($F78="","",IFERROR(INDEX(사건마스터!$AS$5:$AS$64,MATCH($F78,사건마스터!$A$5:$A$64,0)),""))</f>
        <v/>
      </c>
      <c r="V78" s="35">
        <f>IF($F78="","",IFERROR(INDEX(사건마스터!$AT$5:$AT$64,MATCH($F78,사건마스터!$A$5:$A$64,0)),""))</f>
        <v/>
      </c>
      <c r="W78" s="35">
        <f>IF($F78="","",IFERROR(INDEX(사건마스터!$AU$5:$AU$64,MATCH($F78,사건마스터!$A$5:$A$64,0)),""))</f>
        <v/>
      </c>
      <c r="X78" s="35">
        <f>IF($F78="","",IFERROR(INDEX(사건마스터!$AV$5:$AV$64,MATCH($F78,사건마스터!$A$5:$A$64,0)),""))</f>
        <v/>
      </c>
      <c r="Y78" s="30">
        <f>IF($I78="","",COUNTIF($I78:$X78,"?*"))</f>
        <v/>
      </c>
      <c r="Z78" s="33">
        <f>IF($I78="","",_xlfn.TEXTJOIN(", ",TRUE,$I78:$X78))</f>
        <v/>
      </c>
      <c r="AA78" s="34">
        <f>IF($I78="","",IFERROR(INDEX(코드설정!$D$5:$D$24,MATCH($I78,코드설정!$C$5:$C$24,0)),""))</f>
        <v/>
      </c>
      <c r="AB78" s="36" t="n"/>
      <c r="AC78" s="37" t="n"/>
      <c r="AD78" s="38" t="n"/>
      <c r="AE78" s="30">
        <f>IF(OR($B78="",$C78=""),"",$C78-$B78+1)</f>
        <v/>
      </c>
      <c r="AF78" s="32" t="n"/>
      <c r="AG78" s="36" t="n"/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3">
        <f>IF($F79="","",IFERROR(INDEX(사건마스터!$B$5:$B$64,MATCH($F79,사건마스터!$A$5:$A$64,0)),""))</f>
        <v/>
      </c>
      <c r="H79" s="34">
        <f>IF($F79="","",IFERROR(INDEX(사건마스터!$C$5:$C$64,MATCH($F79,사건마스터!$A$5:$A$64,0)),""))</f>
        <v/>
      </c>
      <c r="I79" s="35">
        <f>IF($F79="","",IFERROR(INDEX(사건마스터!$H$5:$H$64,MATCH($F79,사건마스터!$A$5:$A$64,0)),""))</f>
        <v/>
      </c>
      <c r="J79" s="35">
        <f>IF($F79="","",IFERROR(INDEX(사건마스터!$AH$5:$AH$64,MATCH($F79,사건마스터!$A$5:$A$64,0)),""))</f>
        <v/>
      </c>
      <c r="K79" s="35">
        <f>IF($F79="","",IFERROR(INDEX(사건마스터!$AI$5:$AI$64,MATCH($F79,사건마스터!$A$5:$A$64,0)),""))</f>
        <v/>
      </c>
      <c r="L79" s="35">
        <f>IF($F79="","",IFERROR(INDEX(사건마스터!$AJ$5:$AJ$64,MATCH($F79,사건마스터!$A$5:$A$64,0)),""))</f>
        <v/>
      </c>
      <c r="M79" s="35">
        <f>IF($F79="","",IFERROR(INDEX(사건마스터!$AK$5:$AK$64,MATCH($F79,사건마스터!$A$5:$A$64,0)),""))</f>
        <v/>
      </c>
      <c r="N79" s="35">
        <f>IF($F79="","",IFERROR(INDEX(사건마스터!$AL$5:$AL$64,MATCH($F79,사건마스터!$A$5:$A$64,0)),""))</f>
        <v/>
      </c>
      <c r="O79" s="35">
        <f>IF($F79="","",IFERROR(INDEX(사건마스터!$AM$5:$AM$64,MATCH($F79,사건마스터!$A$5:$A$64,0)),""))</f>
        <v/>
      </c>
      <c r="P79" s="35">
        <f>IF($F79="","",IFERROR(INDEX(사건마스터!$AN$5:$AN$64,MATCH($F79,사건마스터!$A$5:$A$64,0)),""))</f>
        <v/>
      </c>
      <c r="Q79" s="35">
        <f>IF($F79="","",IFERROR(INDEX(사건마스터!$AO$5:$AO$64,MATCH($F79,사건마스터!$A$5:$A$64,0)),""))</f>
        <v/>
      </c>
      <c r="R79" s="35">
        <f>IF($F79="","",IFERROR(INDEX(사건마스터!$AP$5:$AP$64,MATCH($F79,사건마스터!$A$5:$A$64,0)),""))</f>
        <v/>
      </c>
      <c r="S79" s="35">
        <f>IF($F79="","",IFERROR(INDEX(사건마스터!$AQ$5:$AQ$64,MATCH($F79,사건마스터!$A$5:$A$64,0)),""))</f>
        <v/>
      </c>
      <c r="T79" s="35">
        <f>IF($F79="","",IFERROR(INDEX(사건마스터!$AR$5:$AR$64,MATCH($F79,사건마스터!$A$5:$A$64,0)),""))</f>
        <v/>
      </c>
      <c r="U79" s="35">
        <f>IF($F79="","",IFERROR(INDEX(사건마스터!$AS$5:$AS$64,MATCH($F79,사건마스터!$A$5:$A$64,0)),""))</f>
        <v/>
      </c>
      <c r="V79" s="35">
        <f>IF($F79="","",IFERROR(INDEX(사건마스터!$AT$5:$AT$64,MATCH($F79,사건마스터!$A$5:$A$64,0)),""))</f>
        <v/>
      </c>
      <c r="W79" s="35">
        <f>IF($F79="","",IFERROR(INDEX(사건마스터!$AU$5:$AU$64,MATCH($F79,사건마스터!$A$5:$A$64,0)),""))</f>
        <v/>
      </c>
      <c r="X79" s="35">
        <f>IF($F79="","",IFERROR(INDEX(사건마스터!$AV$5:$AV$64,MATCH($F79,사건마스터!$A$5:$A$64,0)),""))</f>
        <v/>
      </c>
      <c r="Y79" s="30">
        <f>IF($I79="","",COUNTIF($I79:$X79,"?*"))</f>
        <v/>
      </c>
      <c r="Z79" s="33">
        <f>IF($I79="","",_xlfn.TEXTJOIN(", ",TRUE,$I79:$X79))</f>
        <v/>
      </c>
      <c r="AA79" s="34">
        <f>IF($I79="","",IFERROR(INDEX(코드설정!$D$5:$D$24,MATCH($I79,코드설정!$C$5:$C$24,0)),""))</f>
        <v/>
      </c>
      <c r="AB79" s="36" t="n"/>
      <c r="AC79" s="37" t="n"/>
      <c r="AD79" s="38" t="n"/>
      <c r="AE79" s="30">
        <f>IF(OR($B79="",$C79=""),"",$C79-$B79+1)</f>
        <v/>
      </c>
      <c r="AF79" s="32" t="n"/>
      <c r="AG79" s="36" t="n"/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3">
        <f>IF($F80="","",IFERROR(INDEX(사건마스터!$B$5:$B$64,MATCH($F80,사건마스터!$A$5:$A$64,0)),""))</f>
        <v/>
      </c>
      <c r="H80" s="34">
        <f>IF($F80="","",IFERROR(INDEX(사건마스터!$C$5:$C$64,MATCH($F80,사건마스터!$A$5:$A$64,0)),""))</f>
        <v/>
      </c>
      <c r="I80" s="35">
        <f>IF($F80="","",IFERROR(INDEX(사건마스터!$H$5:$H$64,MATCH($F80,사건마스터!$A$5:$A$64,0)),""))</f>
        <v/>
      </c>
      <c r="J80" s="35">
        <f>IF($F80="","",IFERROR(INDEX(사건마스터!$AH$5:$AH$64,MATCH($F80,사건마스터!$A$5:$A$64,0)),""))</f>
        <v/>
      </c>
      <c r="K80" s="35">
        <f>IF($F80="","",IFERROR(INDEX(사건마스터!$AI$5:$AI$64,MATCH($F80,사건마스터!$A$5:$A$64,0)),""))</f>
        <v/>
      </c>
      <c r="L80" s="35">
        <f>IF($F80="","",IFERROR(INDEX(사건마스터!$AJ$5:$AJ$64,MATCH($F80,사건마스터!$A$5:$A$64,0)),""))</f>
        <v/>
      </c>
      <c r="M80" s="35">
        <f>IF($F80="","",IFERROR(INDEX(사건마스터!$AK$5:$AK$64,MATCH($F80,사건마스터!$A$5:$A$64,0)),""))</f>
        <v/>
      </c>
      <c r="N80" s="35">
        <f>IF($F80="","",IFERROR(INDEX(사건마스터!$AL$5:$AL$64,MATCH($F80,사건마스터!$A$5:$A$64,0)),""))</f>
        <v/>
      </c>
      <c r="O80" s="35">
        <f>IF($F80="","",IFERROR(INDEX(사건마스터!$AM$5:$AM$64,MATCH($F80,사건마스터!$A$5:$A$64,0)),""))</f>
        <v/>
      </c>
      <c r="P80" s="35">
        <f>IF($F80="","",IFERROR(INDEX(사건마스터!$AN$5:$AN$64,MATCH($F80,사건마스터!$A$5:$A$64,0)),""))</f>
        <v/>
      </c>
      <c r="Q80" s="35">
        <f>IF($F80="","",IFERROR(INDEX(사건마스터!$AO$5:$AO$64,MATCH($F80,사건마스터!$A$5:$A$64,0)),""))</f>
        <v/>
      </c>
      <c r="R80" s="35">
        <f>IF($F80="","",IFERROR(INDEX(사건마스터!$AP$5:$AP$64,MATCH($F80,사건마스터!$A$5:$A$64,0)),""))</f>
        <v/>
      </c>
      <c r="S80" s="35">
        <f>IF($F80="","",IFERROR(INDEX(사건마스터!$AQ$5:$AQ$64,MATCH($F80,사건마스터!$A$5:$A$64,0)),""))</f>
        <v/>
      </c>
      <c r="T80" s="35">
        <f>IF($F80="","",IFERROR(INDEX(사건마스터!$AR$5:$AR$64,MATCH($F80,사건마스터!$A$5:$A$64,0)),""))</f>
        <v/>
      </c>
      <c r="U80" s="35">
        <f>IF($F80="","",IFERROR(INDEX(사건마스터!$AS$5:$AS$64,MATCH($F80,사건마스터!$A$5:$A$64,0)),""))</f>
        <v/>
      </c>
      <c r="V80" s="35">
        <f>IF($F80="","",IFERROR(INDEX(사건마스터!$AT$5:$AT$64,MATCH($F80,사건마스터!$A$5:$A$64,0)),""))</f>
        <v/>
      </c>
      <c r="W80" s="35">
        <f>IF($F80="","",IFERROR(INDEX(사건마스터!$AU$5:$AU$64,MATCH($F80,사건마스터!$A$5:$A$64,0)),""))</f>
        <v/>
      </c>
      <c r="X80" s="35">
        <f>IF($F80="","",IFERROR(INDEX(사건마스터!$AV$5:$AV$64,MATCH($F80,사건마스터!$A$5:$A$64,0)),""))</f>
        <v/>
      </c>
      <c r="Y80" s="30">
        <f>IF($I80="","",COUNTIF($I80:$X80,"?*"))</f>
        <v/>
      </c>
      <c r="Z80" s="33">
        <f>IF($I80="","",_xlfn.TEXTJOIN(", ",TRUE,$I80:$X80))</f>
        <v/>
      </c>
      <c r="AA80" s="34">
        <f>IF($I80="","",IFERROR(INDEX(코드설정!$D$5:$D$24,MATCH($I80,코드설정!$C$5:$C$24,0)),""))</f>
        <v/>
      </c>
      <c r="AB80" s="36" t="n"/>
      <c r="AC80" s="37" t="n"/>
      <c r="AD80" s="38" t="n"/>
      <c r="AE80" s="30">
        <f>IF(OR($B80="",$C80=""),"",$C80-$B80+1)</f>
        <v/>
      </c>
      <c r="AF80" s="32" t="n"/>
      <c r="AG80" s="36" t="n"/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3">
        <f>IF($F81="","",IFERROR(INDEX(사건마스터!$B$5:$B$64,MATCH($F81,사건마스터!$A$5:$A$64,0)),""))</f>
        <v/>
      </c>
      <c r="H81" s="34">
        <f>IF($F81="","",IFERROR(INDEX(사건마스터!$C$5:$C$64,MATCH($F81,사건마스터!$A$5:$A$64,0)),""))</f>
        <v/>
      </c>
      <c r="I81" s="35">
        <f>IF($F81="","",IFERROR(INDEX(사건마스터!$H$5:$H$64,MATCH($F81,사건마스터!$A$5:$A$64,0)),""))</f>
        <v/>
      </c>
      <c r="J81" s="35">
        <f>IF($F81="","",IFERROR(INDEX(사건마스터!$AH$5:$AH$64,MATCH($F81,사건마스터!$A$5:$A$64,0)),""))</f>
        <v/>
      </c>
      <c r="K81" s="35">
        <f>IF($F81="","",IFERROR(INDEX(사건마스터!$AI$5:$AI$64,MATCH($F81,사건마스터!$A$5:$A$64,0)),""))</f>
        <v/>
      </c>
      <c r="L81" s="35">
        <f>IF($F81="","",IFERROR(INDEX(사건마스터!$AJ$5:$AJ$64,MATCH($F81,사건마스터!$A$5:$A$64,0)),""))</f>
        <v/>
      </c>
      <c r="M81" s="35">
        <f>IF($F81="","",IFERROR(INDEX(사건마스터!$AK$5:$AK$64,MATCH($F81,사건마스터!$A$5:$A$64,0)),""))</f>
        <v/>
      </c>
      <c r="N81" s="35">
        <f>IF($F81="","",IFERROR(INDEX(사건마스터!$AL$5:$AL$64,MATCH($F81,사건마스터!$A$5:$A$64,0)),""))</f>
        <v/>
      </c>
      <c r="O81" s="35">
        <f>IF($F81="","",IFERROR(INDEX(사건마스터!$AM$5:$AM$64,MATCH($F81,사건마스터!$A$5:$A$64,0)),""))</f>
        <v/>
      </c>
      <c r="P81" s="35">
        <f>IF($F81="","",IFERROR(INDEX(사건마스터!$AN$5:$AN$64,MATCH($F81,사건마스터!$A$5:$A$64,0)),""))</f>
        <v/>
      </c>
      <c r="Q81" s="35">
        <f>IF($F81="","",IFERROR(INDEX(사건마스터!$AO$5:$AO$64,MATCH($F81,사건마스터!$A$5:$A$64,0)),""))</f>
        <v/>
      </c>
      <c r="R81" s="35">
        <f>IF($F81="","",IFERROR(INDEX(사건마스터!$AP$5:$AP$64,MATCH($F81,사건마스터!$A$5:$A$64,0)),""))</f>
        <v/>
      </c>
      <c r="S81" s="35">
        <f>IF($F81="","",IFERROR(INDEX(사건마스터!$AQ$5:$AQ$64,MATCH($F81,사건마스터!$A$5:$A$64,0)),""))</f>
        <v/>
      </c>
      <c r="T81" s="35">
        <f>IF($F81="","",IFERROR(INDEX(사건마스터!$AR$5:$AR$64,MATCH($F81,사건마스터!$A$5:$A$64,0)),""))</f>
        <v/>
      </c>
      <c r="U81" s="35">
        <f>IF($F81="","",IFERROR(INDEX(사건마스터!$AS$5:$AS$64,MATCH($F81,사건마스터!$A$5:$A$64,0)),""))</f>
        <v/>
      </c>
      <c r="V81" s="35">
        <f>IF($F81="","",IFERROR(INDEX(사건마스터!$AT$5:$AT$64,MATCH($F81,사건마스터!$A$5:$A$64,0)),""))</f>
        <v/>
      </c>
      <c r="W81" s="35">
        <f>IF($F81="","",IFERROR(INDEX(사건마스터!$AU$5:$AU$64,MATCH($F81,사건마스터!$A$5:$A$64,0)),""))</f>
        <v/>
      </c>
      <c r="X81" s="35">
        <f>IF($F81="","",IFERROR(INDEX(사건마스터!$AV$5:$AV$64,MATCH($F81,사건마스터!$A$5:$A$64,0)),""))</f>
        <v/>
      </c>
      <c r="Y81" s="30">
        <f>IF($I81="","",COUNTIF($I81:$X81,"?*"))</f>
        <v/>
      </c>
      <c r="Z81" s="33">
        <f>IF($I81="","",_xlfn.TEXTJOIN(", ",TRUE,$I81:$X81))</f>
        <v/>
      </c>
      <c r="AA81" s="34">
        <f>IF($I81="","",IFERROR(INDEX(코드설정!$D$5:$D$24,MATCH($I81,코드설정!$C$5:$C$24,0)),""))</f>
        <v/>
      </c>
      <c r="AB81" s="36" t="n"/>
      <c r="AC81" s="37" t="n"/>
      <c r="AD81" s="38" t="n"/>
      <c r="AE81" s="30">
        <f>IF(OR($B81="",$C81=""),"",$C81-$B81+1)</f>
        <v/>
      </c>
      <c r="AF81" s="32" t="n"/>
      <c r="AG81" s="36" t="n"/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3">
        <f>IF($F82="","",IFERROR(INDEX(사건마스터!$B$5:$B$64,MATCH($F82,사건마스터!$A$5:$A$64,0)),""))</f>
        <v/>
      </c>
      <c r="H82" s="34">
        <f>IF($F82="","",IFERROR(INDEX(사건마스터!$C$5:$C$64,MATCH($F82,사건마스터!$A$5:$A$64,0)),""))</f>
        <v/>
      </c>
      <c r="I82" s="35">
        <f>IF($F82="","",IFERROR(INDEX(사건마스터!$H$5:$H$64,MATCH($F82,사건마스터!$A$5:$A$64,0)),""))</f>
        <v/>
      </c>
      <c r="J82" s="35">
        <f>IF($F82="","",IFERROR(INDEX(사건마스터!$AH$5:$AH$64,MATCH($F82,사건마스터!$A$5:$A$64,0)),""))</f>
        <v/>
      </c>
      <c r="K82" s="35">
        <f>IF($F82="","",IFERROR(INDEX(사건마스터!$AI$5:$AI$64,MATCH($F82,사건마스터!$A$5:$A$64,0)),""))</f>
        <v/>
      </c>
      <c r="L82" s="35">
        <f>IF($F82="","",IFERROR(INDEX(사건마스터!$AJ$5:$AJ$64,MATCH($F82,사건마스터!$A$5:$A$64,0)),""))</f>
        <v/>
      </c>
      <c r="M82" s="35">
        <f>IF($F82="","",IFERROR(INDEX(사건마스터!$AK$5:$AK$64,MATCH($F82,사건마스터!$A$5:$A$64,0)),""))</f>
        <v/>
      </c>
      <c r="N82" s="35">
        <f>IF($F82="","",IFERROR(INDEX(사건마스터!$AL$5:$AL$64,MATCH($F82,사건마스터!$A$5:$A$64,0)),""))</f>
        <v/>
      </c>
      <c r="O82" s="35">
        <f>IF($F82="","",IFERROR(INDEX(사건마스터!$AM$5:$AM$64,MATCH($F82,사건마스터!$A$5:$A$64,0)),""))</f>
        <v/>
      </c>
      <c r="P82" s="35">
        <f>IF($F82="","",IFERROR(INDEX(사건마스터!$AN$5:$AN$64,MATCH($F82,사건마스터!$A$5:$A$64,0)),""))</f>
        <v/>
      </c>
      <c r="Q82" s="35">
        <f>IF($F82="","",IFERROR(INDEX(사건마스터!$AO$5:$AO$64,MATCH($F82,사건마스터!$A$5:$A$64,0)),""))</f>
        <v/>
      </c>
      <c r="R82" s="35">
        <f>IF($F82="","",IFERROR(INDEX(사건마스터!$AP$5:$AP$64,MATCH($F82,사건마스터!$A$5:$A$64,0)),""))</f>
        <v/>
      </c>
      <c r="S82" s="35">
        <f>IF($F82="","",IFERROR(INDEX(사건마스터!$AQ$5:$AQ$64,MATCH($F82,사건마스터!$A$5:$A$64,0)),""))</f>
        <v/>
      </c>
      <c r="T82" s="35">
        <f>IF($F82="","",IFERROR(INDEX(사건마스터!$AR$5:$AR$64,MATCH($F82,사건마스터!$A$5:$A$64,0)),""))</f>
        <v/>
      </c>
      <c r="U82" s="35">
        <f>IF($F82="","",IFERROR(INDEX(사건마스터!$AS$5:$AS$64,MATCH($F82,사건마스터!$A$5:$A$64,0)),""))</f>
        <v/>
      </c>
      <c r="V82" s="35">
        <f>IF($F82="","",IFERROR(INDEX(사건마스터!$AT$5:$AT$64,MATCH($F82,사건마스터!$A$5:$A$64,0)),""))</f>
        <v/>
      </c>
      <c r="W82" s="35">
        <f>IF($F82="","",IFERROR(INDEX(사건마스터!$AU$5:$AU$64,MATCH($F82,사건마스터!$A$5:$A$64,0)),""))</f>
        <v/>
      </c>
      <c r="X82" s="35">
        <f>IF($F82="","",IFERROR(INDEX(사건마스터!$AV$5:$AV$64,MATCH($F82,사건마스터!$A$5:$A$64,0)),""))</f>
        <v/>
      </c>
      <c r="Y82" s="30">
        <f>IF($I82="","",COUNTIF($I82:$X82,"?*"))</f>
        <v/>
      </c>
      <c r="Z82" s="33">
        <f>IF($I82="","",_xlfn.TEXTJOIN(", ",TRUE,$I82:$X82))</f>
        <v/>
      </c>
      <c r="AA82" s="34">
        <f>IF($I82="","",IFERROR(INDEX(코드설정!$D$5:$D$24,MATCH($I82,코드설정!$C$5:$C$24,0)),""))</f>
        <v/>
      </c>
      <c r="AB82" s="36" t="n"/>
      <c r="AC82" s="37" t="n"/>
      <c r="AD82" s="38" t="n"/>
      <c r="AE82" s="30">
        <f>IF(OR($B82="",$C82=""),"",$C82-$B82+1)</f>
        <v/>
      </c>
      <c r="AF82" s="32" t="n"/>
      <c r="AG82" s="36" t="n"/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3">
        <f>IF($F83="","",IFERROR(INDEX(사건마스터!$B$5:$B$64,MATCH($F83,사건마스터!$A$5:$A$64,0)),""))</f>
        <v/>
      </c>
      <c r="H83" s="34">
        <f>IF($F83="","",IFERROR(INDEX(사건마스터!$C$5:$C$64,MATCH($F83,사건마스터!$A$5:$A$64,0)),""))</f>
        <v/>
      </c>
      <c r="I83" s="35">
        <f>IF($F83="","",IFERROR(INDEX(사건마스터!$H$5:$H$64,MATCH($F83,사건마스터!$A$5:$A$64,0)),""))</f>
        <v/>
      </c>
      <c r="J83" s="35">
        <f>IF($F83="","",IFERROR(INDEX(사건마스터!$AH$5:$AH$64,MATCH($F83,사건마스터!$A$5:$A$64,0)),""))</f>
        <v/>
      </c>
      <c r="K83" s="35">
        <f>IF($F83="","",IFERROR(INDEX(사건마스터!$AI$5:$AI$64,MATCH($F83,사건마스터!$A$5:$A$64,0)),""))</f>
        <v/>
      </c>
      <c r="L83" s="35">
        <f>IF($F83="","",IFERROR(INDEX(사건마스터!$AJ$5:$AJ$64,MATCH($F83,사건마스터!$A$5:$A$64,0)),""))</f>
        <v/>
      </c>
      <c r="M83" s="35">
        <f>IF($F83="","",IFERROR(INDEX(사건마스터!$AK$5:$AK$64,MATCH($F83,사건마스터!$A$5:$A$64,0)),""))</f>
        <v/>
      </c>
      <c r="N83" s="35">
        <f>IF($F83="","",IFERROR(INDEX(사건마스터!$AL$5:$AL$64,MATCH($F83,사건마스터!$A$5:$A$64,0)),""))</f>
        <v/>
      </c>
      <c r="O83" s="35">
        <f>IF($F83="","",IFERROR(INDEX(사건마스터!$AM$5:$AM$64,MATCH($F83,사건마스터!$A$5:$A$64,0)),""))</f>
        <v/>
      </c>
      <c r="P83" s="35">
        <f>IF($F83="","",IFERROR(INDEX(사건마스터!$AN$5:$AN$64,MATCH($F83,사건마스터!$A$5:$A$64,0)),""))</f>
        <v/>
      </c>
      <c r="Q83" s="35">
        <f>IF($F83="","",IFERROR(INDEX(사건마스터!$AO$5:$AO$64,MATCH($F83,사건마스터!$A$5:$A$64,0)),""))</f>
        <v/>
      </c>
      <c r="R83" s="35">
        <f>IF($F83="","",IFERROR(INDEX(사건마스터!$AP$5:$AP$64,MATCH($F83,사건마스터!$A$5:$A$64,0)),""))</f>
        <v/>
      </c>
      <c r="S83" s="35">
        <f>IF($F83="","",IFERROR(INDEX(사건마스터!$AQ$5:$AQ$64,MATCH($F83,사건마스터!$A$5:$A$64,0)),""))</f>
        <v/>
      </c>
      <c r="T83" s="35">
        <f>IF($F83="","",IFERROR(INDEX(사건마스터!$AR$5:$AR$64,MATCH($F83,사건마스터!$A$5:$A$64,0)),""))</f>
        <v/>
      </c>
      <c r="U83" s="35">
        <f>IF($F83="","",IFERROR(INDEX(사건마스터!$AS$5:$AS$64,MATCH($F83,사건마스터!$A$5:$A$64,0)),""))</f>
        <v/>
      </c>
      <c r="V83" s="35">
        <f>IF($F83="","",IFERROR(INDEX(사건마스터!$AT$5:$AT$64,MATCH($F83,사건마스터!$A$5:$A$64,0)),""))</f>
        <v/>
      </c>
      <c r="W83" s="35">
        <f>IF($F83="","",IFERROR(INDEX(사건마스터!$AU$5:$AU$64,MATCH($F83,사건마스터!$A$5:$A$64,0)),""))</f>
        <v/>
      </c>
      <c r="X83" s="35">
        <f>IF($F83="","",IFERROR(INDEX(사건마스터!$AV$5:$AV$64,MATCH($F83,사건마스터!$A$5:$A$64,0)),""))</f>
        <v/>
      </c>
      <c r="Y83" s="30">
        <f>IF($I83="","",COUNTIF($I83:$X83,"?*"))</f>
        <v/>
      </c>
      <c r="Z83" s="33">
        <f>IF($I83="","",_xlfn.TEXTJOIN(", ",TRUE,$I83:$X83))</f>
        <v/>
      </c>
      <c r="AA83" s="34">
        <f>IF($I83="","",IFERROR(INDEX(코드설정!$D$5:$D$24,MATCH($I83,코드설정!$C$5:$C$24,0)),""))</f>
        <v/>
      </c>
      <c r="AB83" s="36" t="n"/>
      <c r="AC83" s="37" t="n"/>
      <c r="AD83" s="38" t="n"/>
      <c r="AE83" s="30">
        <f>IF(OR($B83="",$C83=""),"",$C83-$B83+1)</f>
        <v/>
      </c>
      <c r="AF83" s="32" t="n"/>
      <c r="AG83" s="36" t="n"/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3">
        <f>IF($F84="","",IFERROR(INDEX(사건마스터!$B$5:$B$64,MATCH($F84,사건마스터!$A$5:$A$64,0)),""))</f>
        <v/>
      </c>
      <c r="H84" s="34">
        <f>IF($F84="","",IFERROR(INDEX(사건마스터!$C$5:$C$64,MATCH($F84,사건마스터!$A$5:$A$64,0)),""))</f>
        <v/>
      </c>
      <c r="I84" s="35">
        <f>IF($F84="","",IFERROR(INDEX(사건마스터!$H$5:$H$64,MATCH($F84,사건마스터!$A$5:$A$64,0)),""))</f>
        <v/>
      </c>
      <c r="J84" s="35">
        <f>IF($F84="","",IFERROR(INDEX(사건마스터!$AH$5:$AH$64,MATCH($F84,사건마스터!$A$5:$A$64,0)),""))</f>
        <v/>
      </c>
      <c r="K84" s="35">
        <f>IF($F84="","",IFERROR(INDEX(사건마스터!$AI$5:$AI$64,MATCH($F84,사건마스터!$A$5:$A$64,0)),""))</f>
        <v/>
      </c>
      <c r="L84" s="35">
        <f>IF($F84="","",IFERROR(INDEX(사건마스터!$AJ$5:$AJ$64,MATCH($F84,사건마스터!$A$5:$A$64,0)),""))</f>
        <v/>
      </c>
      <c r="M84" s="35">
        <f>IF($F84="","",IFERROR(INDEX(사건마스터!$AK$5:$AK$64,MATCH($F84,사건마스터!$A$5:$A$64,0)),""))</f>
        <v/>
      </c>
      <c r="N84" s="35">
        <f>IF($F84="","",IFERROR(INDEX(사건마스터!$AL$5:$AL$64,MATCH($F84,사건마스터!$A$5:$A$64,0)),""))</f>
        <v/>
      </c>
      <c r="O84" s="35">
        <f>IF($F84="","",IFERROR(INDEX(사건마스터!$AM$5:$AM$64,MATCH($F84,사건마스터!$A$5:$A$64,0)),""))</f>
        <v/>
      </c>
      <c r="P84" s="35">
        <f>IF($F84="","",IFERROR(INDEX(사건마스터!$AN$5:$AN$64,MATCH($F84,사건마스터!$A$5:$A$64,0)),""))</f>
        <v/>
      </c>
      <c r="Q84" s="35">
        <f>IF($F84="","",IFERROR(INDEX(사건마스터!$AO$5:$AO$64,MATCH($F84,사건마스터!$A$5:$A$64,0)),""))</f>
        <v/>
      </c>
      <c r="R84" s="35">
        <f>IF($F84="","",IFERROR(INDEX(사건마스터!$AP$5:$AP$64,MATCH($F84,사건마스터!$A$5:$A$64,0)),""))</f>
        <v/>
      </c>
      <c r="S84" s="35">
        <f>IF($F84="","",IFERROR(INDEX(사건마스터!$AQ$5:$AQ$64,MATCH($F84,사건마스터!$A$5:$A$64,0)),""))</f>
        <v/>
      </c>
      <c r="T84" s="35">
        <f>IF($F84="","",IFERROR(INDEX(사건마스터!$AR$5:$AR$64,MATCH($F84,사건마스터!$A$5:$A$64,0)),""))</f>
        <v/>
      </c>
      <c r="U84" s="35">
        <f>IF($F84="","",IFERROR(INDEX(사건마스터!$AS$5:$AS$64,MATCH($F84,사건마스터!$A$5:$A$64,0)),""))</f>
        <v/>
      </c>
      <c r="V84" s="35">
        <f>IF($F84="","",IFERROR(INDEX(사건마스터!$AT$5:$AT$64,MATCH($F84,사건마스터!$A$5:$A$64,0)),""))</f>
        <v/>
      </c>
      <c r="W84" s="35">
        <f>IF($F84="","",IFERROR(INDEX(사건마스터!$AU$5:$AU$64,MATCH($F84,사건마스터!$A$5:$A$64,0)),""))</f>
        <v/>
      </c>
      <c r="X84" s="35">
        <f>IF($F84="","",IFERROR(INDEX(사건마스터!$AV$5:$AV$64,MATCH($F84,사건마스터!$A$5:$A$64,0)),""))</f>
        <v/>
      </c>
      <c r="Y84" s="30">
        <f>IF($I84="","",COUNTIF($I84:$X84,"?*"))</f>
        <v/>
      </c>
      <c r="Z84" s="33">
        <f>IF($I84="","",_xlfn.TEXTJOIN(", ",TRUE,$I84:$X84))</f>
        <v/>
      </c>
      <c r="AA84" s="34">
        <f>IF($I84="","",IFERROR(INDEX(코드설정!$D$5:$D$24,MATCH($I84,코드설정!$C$5:$C$24,0)),""))</f>
        <v/>
      </c>
      <c r="AB84" s="36" t="n"/>
      <c r="AC84" s="37" t="n"/>
      <c r="AD84" s="38" t="n"/>
      <c r="AE84" s="30">
        <f>IF(OR($B84="",$C84=""),"",$C84-$B84+1)</f>
        <v/>
      </c>
      <c r="AF84" s="32" t="n"/>
      <c r="AG84" s="36" t="n"/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3">
        <f>IF($F85="","",IFERROR(INDEX(사건마스터!$B$5:$B$64,MATCH($F85,사건마스터!$A$5:$A$64,0)),""))</f>
        <v/>
      </c>
      <c r="H85" s="34">
        <f>IF($F85="","",IFERROR(INDEX(사건마스터!$C$5:$C$64,MATCH($F85,사건마스터!$A$5:$A$64,0)),""))</f>
        <v/>
      </c>
      <c r="I85" s="35">
        <f>IF($F85="","",IFERROR(INDEX(사건마스터!$H$5:$H$64,MATCH($F85,사건마스터!$A$5:$A$64,0)),""))</f>
        <v/>
      </c>
      <c r="J85" s="35">
        <f>IF($F85="","",IFERROR(INDEX(사건마스터!$AH$5:$AH$64,MATCH($F85,사건마스터!$A$5:$A$64,0)),""))</f>
        <v/>
      </c>
      <c r="K85" s="35">
        <f>IF($F85="","",IFERROR(INDEX(사건마스터!$AI$5:$AI$64,MATCH($F85,사건마스터!$A$5:$A$64,0)),""))</f>
        <v/>
      </c>
      <c r="L85" s="35">
        <f>IF($F85="","",IFERROR(INDEX(사건마스터!$AJ$5:$AJ$64,MATCH($F85,사건마스터!$A$5:$A$64,0)),""))</f>
        <v/>
      </c>
      <c r="M85" s="35">
        <f>IF($F85="","",IFERROR(INDEX(사건마스터!$AK$5:$AK$64,MATCH($F85,사건마스터!$A$5:$A$64,0)),""))</f>
        <v/>
      </c>
      <c r="N85" s="35">
        <f>IF($F85="","",IFERROR(INDEX(사건마스터!$AL$5:$AL$64,MATCH($F85,사건마스터!$A$5:$A$64,0)),""))</f>
        <v/>
      </c>
      <c r="O85" s="35">
        <f>IF($F85="","",IFERROR(INDEX(사건마스터!$AM$5:$AM$64,MATCH($F85,사건마스터!$A$5:$A$64,0)),""))</f>
        <v/>
      </c>
      <c r="P85" s="35">
        <f>IF($F85="","",IFERROR(INDEX(사건마스터!$AN$5:$AN$64,MATCH($F85,사건마스터!$A$5:$A$64,0)),""))</f>
        <v/>
      </c>
      <c r="Q85" s="35">
        <f>IF($F85="","",IFERROR(INDEX(사건마스터!$AO$5:$AO$64,MATCH($F85,사건마스터!$A$5:$A$64,0)),""))</f>
        <v/>
      </c>
      <c r="R85" s="35">
        <f>IF($F85="","",IFERROR(INDEX(사건마스터!$AP$5:$AP$64,MATCH($F85,사건마스터!$A$5:$A$64,0)),""))</f>
        <v/>
      </c>
      <c r="S85" s="35">
        <f>IF($F85="","",IFERROR(INDEX(사건마스터!$AQ$5:$AQ$64,MATCH($F85,사건마스터!$A$5:$A$64,0)),""))</f>
        <v/>
      </c>
      <c r="T85" s="35">
        <f>IF($F85="","",IFERROR(INDEX(사건마스터!$AR$5:$AR$64,MATCH($F85,사건마스터!$A$5:$A$64,0)),""))</f>
        <v/>
      </c>
      <c r="U85" s="35">
        <f>IF($F85="","",IFERROR(INDEX(사건마스터!$AS$5:$AS$64,MATCH($F85,사건마스터!$A$5:$A$64,0)),""))</f>
        <v/>
      </c>
      <c r="V85" s="35">
        <f>IF($F85="","",IFERROR(INDEX(사건마스터!$AT$5:$AT$64,MATCH($F85,사건마스터!$A$5:$A$64,0)),""))</f>
        <v/>
      </c>
      <c r="W85" s="35">
        <f>IF($F85="","",IFERROR(INDEX(사건마스터!$AU$5:$AU$64,MATCH($F85,사건마스터!$A$5:$A$64,0)),""))</f>
        <v/>
      </c>
      <c r="X85" s="35">
        <f>IF($F85="","",IFERROR(INDEX(사건마스터!$AV$5:$AV$64,MATCH($F85,사건마스터!$A$5:$A$64,0)),""))</f>
        <v/>
      </c>
      <c r="Y85" s="30">
        <f>IF($I85="","",COUNTIF($I85:$X85,"?*"))</f>
        <v/>
      </c>
      <c r="Z85" s="33">
        <f>IF($I85="","",_xlfn.TEXTJOIN(", ",TRUE,$I85:$X85))</f>
        <v/>
      </c>
      <c r="AA85" s="34">
        <f>IF($I85="","",IFERROR(INDEX(코드설정!$D$5:$D$24,MATCH($I85,코드설정!$C$5:$C$24,0)),""))</f>
        <v/>
      </c>
      <c r="AB85" s="36" t="n"/>
      <c r="AC85" s="37" t="n"/>
      <c r="AD85" s="38" t="n"/>
      <c r="AE85" s="30">
        <f>IF(OR($B85="",$C85=""),"",$C85-$B85+1)</f>
        <v/>
      </c>
      <c r="AF85" s="32" t="n"/>
      <c r="AG85" s="36" t="n"/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3">
        <f>IF($F86="","",IFERROR(INDEX(사건마스터!$B$5:$B$64,MATCH($F86,사건마스터!$A$5:$A$64,0)),""))</f>
        <v/>
      </c>
      <c r="H86" s="34">
        <f>IF($F86="","",IFERROR(INDEX(사건마스터!$C$5:$C$64,MATCH($F86,사건마스터!$A$5:$A$64,0)),""))</f>
        <v/>
      </c>
      <c r="I86" s="35">
        <f>IF($F86="","",IFERROR(INDEX(사건마스터!$H$5:$H$64,MATCH($F86,사건마스터!$A$5:$A$64,0)),""))</f>
        <v/>
      </c>
      <c r="J86" s="35">
        <f>IF($F86="","",IFERROR(INDEX(사건마스터!$AH$5:$AH$64,MATCH($F86,사건마스터!$A$5:$A$64,0)),""))</f>
        <v/>
      </c>
      <c r="K86" s="35">
        <f>IF($F86="","",IFERROR(INDEX(사건마스터!$AI$5:$AI$64,MATCH($F86,사건마스터!$A$5:$A$64,0)),""))</f>
        <v/>
      </c>
      <c r="L86" s="35">
        <f>IF($F86="","",IFERROR(INDEX(사건마스터!$AJ$5:$AJ$64,MATCH($F86,사건마스터!$A$5:$A$64,0)),""))</f>
        <v/>
      </c>
      <c r="M86" s="35">
        <f>IF($F86="","",IFERROR(INDEX(사건마스터!$AK$5:$AK$64,MATCH($F86,사건마스터!$A$5:$A$64,0)),""))</f>
        <v/>
      </c>
      <c r="N86" s="35">
        <f>IF($F86="","",IFERROR(INDEX(사건마스터!$AL$5:$AL$64,MATCH($F86,사건마스터!$A$5:$A$64,0)),""))</f>
        <v/>
      </c>
      <c r="O86" s="35">
        <f>IF($F86="","",IFERROR(INDEX(사건마스터!$AM$5:$AM$64,MATCH($F86,사건마스터!$A$5:$A$64,0)),""))</f>
        <v/>
      </c>
      <c r="P86" s="35">
        <f>IF($F86="","",IFERROR(INDEX(사건마스터!$AN$5:$AN$64,MATCH($F86,사건마스터!$A$5:$A$64,0)),""))</f>
        <v/>
      </c>
      <c r="Q86" s="35">
        <f>IF($F86="","",IFERROR(INDEX(사건마스터!$AO$5:$AO$64,MATCH($F86,사건마스터!$A$5:$A$64,0)),""))</f>
        <v/>
      </c>
      <c r="R86" s="35">
        <f>IF($F86="","",IFERROR(INDEX(사건마스터!$AP$5:$AP$64,MATCH($F86,사건마스터!$A$5:$A$64,0)),""))</f>
        <v/>
      </c>
      <c r="S86" s="35">
        <f>IF($F86="","",IFERROR(INDEX(사건마스터!$AQ$5:$AQ$64,MATCH($F86,사건마스터!$A$5:$A$64,0)),""))</f>
        <v/>
      </c>
      <c r="T86" s="35">
        <f>IF($F86="","",IFERROR(INDEX(사건마스터!$AR$5:$AR$64,MATCH($F86,사건마스터!$A$5:$A$64,0)),""))</f>
        <v/>
      </c>
      <c r="U86" s="35">
        <f>IF($F86="","",IFERROR(INDEX(사건마스터!$AS$5:$AS$64,MATCH($F86,사건마스터!$A$5:$A$64,0)),""))</f>
        <v/>
      </c>
      <c r="V86" s="35">
        <f>IF($F86="","",IFERROR(INDEX(사건마스터!$AT$5:$AT$64,MATCH($F86,사건마스터!$A$5:$A$64,0)),""))</f>
        <v/>
      </c>
      <c r="W86" s="35">
        <f>IF($F86="","",IFERROR(INDEX(사건마스터!$AU$5:$AU$64,MATCH($F86,사건마스터!$A$5:$A$64,0)),""))</f>
        <v/>
      </c>
      <c r="X86" s="35">
        <f>IF($F86="","",IFERROR(INDEX(사건마스터!$AV$5:$AV$64,MATCH($F86,사건마스터!$A$5:$A$64,0)),""))</f>
        <v/>
      </c>
      <c r="Y86" s="30">
        <f>IF($I86="","",COUNTIF($I86:$X86,"?*"))</f>
        <v/>
      </c>
      <c r="Z86" s="33">
        <f>IF($I86="","",_xlfn.TEXTJOIN(", ",TRUE,$I86:$X86))</f>
        <v/>
      </c>
      <c r="AA86" s="34">
        <f>IF($I86="","",IFERROR(INDEX(코드설정!$D$5:$D$24,MATCH($I86,코드설정!$C$5:$C$24,0)),""))</f>
        <v/>
      </c>
      <c r="AB86" s="36" t="n"/>
      <c r="AC86" s="37" t="n"/>
      <c r="AD86" s="38" t="n"/>
      <c r="AE86" s="30">
        <f>IF(OR($B86="",$C86=""),"",$C86-$B86+1)</f>
        <v/>
      </c>
      <c r="AF86" s="32" t="n"/>
      <c r="AG86" s="36" t="n"/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3">
        <f>IF($F87="","",IFERROR(INDEX(사건마스터!$B$5:$B$64,MATCH($F87,사건마스터!$A$5:$A$64,0)),""))</f>
        <v/>
      </c>
      <c r="H87" s="34">
        <f>IF($F87="","",IFERROR(INDEX(사건마스터!$C$5:$C$64,MATCH($F87,사건마스터!$A$5:$A$64,0)),""))</f>
        <v/>
      </c>
      <c r="I87" s="35">
        <f>IF($F87="","",IFERROR(INDEX(사건마스터!$H$5:$H$64,MATCH($F87,사건마스터!$A$5:$A$64,0)),""))</f>
        <v/>
      </c>
      <c r="J87" s="35">
        <f>IF($F87="","",IFERROR(INDEX(사건마스터!$AH$5:$AH$64,MATCH($F87,사건마스터!$A$5:$A$64,0)),""))</f>
        <v/>
      </c>
      <c r="K87" s="35">
        <f>IF($F87="","",IFERROR(INDEX(사건마스터!$AI$5:$AI$64,MATCH($F87,사건마스터!$A$5:$A$64,0)),""))</f>
        <v/>
      </c>
      <c r="L87" s="35">
        <f>IF($F87="","",IFERROR(INDEX(사건마스터!$AJ$5:$AJ$64,MATCH($F87,사건마스터!$A$5:$A$64,0)),""))</f>
        <v/>
      </c>
      <c r="M87" s="35">
        <f>IF($F87="","",IFERROR(INDEX(사건마스터!$AK$5:$AK$64,MATCH($F87,사건마스터!$A$5:$A$64,0)),""))</f>
        <v/>
      </c>
      <c r="N87" s="35">
        <f>IF($F87="","",IFERROR(INDEX(사건마스터!$AL$5:$AL$64,MATCH($F87,사건마스터!$A$5:$A$64,0)),""))</f>
        <v/>
      </c>
      <c r="O87" s="35">
        <f>IF($F87="","",IFERROR(INDEX(사건마스터!$AM$5:$AM$64,MATCH($F87,사건마스터!$A$5:$A$64,0)),""))</f>
        <v/>
      </c>
      <c r="P87" s="35">
        <f>IF($F87="","",IFERROR(INDEX(사건마스터!$AN$5:$AN$64,MATCH($F87,사건마스터!$A$5:$A$64,0)),""))</f>
        <v/>
      </c>
      <c r="Q87" s="35">
        <f>IF($F87="","",IFERROR(INDEX(사건마스터!$AO$5:$AO$64,MATCH($F87,사건마스터!$A$5:$A$64,0)),""))</f>
        <v/>
      </c>
      <c r="R87" s="35">
        <f>IF($F87="","",IFERROR(INDEX(사건마스터!$AP$5:$AP$64,MATCH($F87,사건마스터!$A$5:$A$64,0)),""))</f>
        <v/>
      </c>
      <c r="S87" s="35">
        <f>IF($F87="","",IFERROR(INDEX(사건마스터!$AQ$5:$AQ$64,MATCH($F87,사건마스터!$A$5:$A$64,0)),""))</f>
        <v/>
      </c>
      <c r="T87" s="35">
        <f>IF($F87="","",IFERROR(INDEX(사건마스터!$AR$5:$AR$64,MATCH($F87,사건마스터!$A$5:$A$64,0)),""))</f>
        <v/>
      </c>
      <c r="U87" s="35">
        <f>IF($F87="","",IFERROR(INDEX(사건마스터!$AS$5:$AS$64,MATCH($F87,사건마스터!$A$5:$A$64,0)),""))</f>
        <v/>
      </c>
      <c r="V87" s="35">
        <f>IF($F87="","",IFERROR(INDEX(사건마스터!$AT$5:$AT$64,MATCH($F87,사건마스터!$A$5:$A$64,0)),""))</f>
        <v/>
      </c>
      <c r="W87" s="35">
        <f>IF($F87="","",IFERROR(INDEX(사건마스터!$AU$5:$AU$64,MATCH($F87,사건마스터!$A$5:$A$64,0)),""))</f>
        <v/>
      </c>
      <c r="X87" s="35">
        <f>IF($F87="","",IFERROR(INDEX(사건마스터!$AV$5:$AV$64,MATCH($F87,사건마스터!$A$5:$A$64,0)),""))</f>
        <v/>
      </c>
      <c r="Y87" s="30">
        <f>IF($I87="","",COUNTIF($I87:$X87,"?*"))</f>
        <v/>
      </c>
      <c r="Z87" s="33">
        <f>IF($I87="","",_xlfn.TEXTJOIN(", ",TRUE,$I87:$X87))</f>
        <v/>
      </c>
      <c r="AA87" s="34">
        <f>IF($I87="","",IFERROR(INDEX(코드설정!$D$5:$D$24,MATCH($I87,코드설정!$C$5:$C$24,0)),""))</f>
        <v/>
      </c>
      <c r="AB87" s="36" t="n"/>
      <c r="AC87" s="37" t="n"/>
      <c r="AD87" s="38" t="n"/>
      <c r="AE87" s="30">
        <f>IF(OR($B87="",$C87=""),"",$C87-$B87+1)</f>
        <v/>
      </c>
      <c r="AF87" s="32" t="n"/>
      <c r="AG87" s="36" t="n"/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3">
        <f>IF($F88="","",IFERROR(INDEX(사건마스터!$B$5:$B$64,MATCH($F88,사건마스터!$A$5:$A$64,0)),""))</f>
        <v/>
      </c>
      <c r="H88" s="34">
        <f>IF($F88="","",IFERROR(INDEX(사건마스터!$C$5:$C$64,MATCH($F88,사건마스터!$A$5:$A$64,0)),""))</f>
        <v/>
      </c>
      <c r="I88" s="35">
        <f>IF($F88="","",IFERROR(INDEX(사건마스터!$H$5:$H$64,MATCH($F88,사건마스터!$A$5:$A$64,0)),""))</f>
        <v/>
      </c>
      <c r="J88" s="35">
        <f>IF($F88="","",IFERROR(INDEX(사건마스터!$AH$5:$AH$64,MATCH($F88,사건마스터!$A$5:$A$64,0)),""))</f>
        <v/>
      </c>
      <c r="K88" s="35">
        <f>IF($F88="","",IFERROR(INDEX(사건마스터!$AI$5:$AI$64,MATCH($F88,사건마스터!$A$5:$A$64,0)),""))</f>
        <v/>
      </c>
      <c r="L88" s="35">
        <f>IF($F88="","",IFERROR(INDEX(사건마스터!$AJ$5:$AJ$64,MATCH($F88,사건마스터!$A$5:$A$64,0)),""))</f>
        <v/>
      </c>
      <c r="M88" s="35">
        <f>IF($F88="","",IFERROR(INDEX(사건마스터!$AK$5:$AK$64,MATCH($F88,사건마스터!$A$5:$A$64,0)),""))</f>
        <v/>
      </c>
      <c r="N88" s="35">
        <f>IF($F88="","",IFERROR(INDEX(사건마스터!$AL$5:$AL$64,MATCH($F88,사건마스터!$A$5:$A$64,0)),""))</f>
        <v/>
      </c>
      <c r="O88" s="35">
        <f>IF($F88="","",IFERROR(INDEX(사건마스터!$AM$5:$AM$64,MATCH($F88,사건마스터!$A$5:$A$64,0)),""))</f>
        <v/>
      </c>
      <c r="P88" s="35">
        <f>IF($F88="","",IFERROR(INDEX(사건마스터!$AN$5:$AN$64,MATCH($F88,사건마스터!$A$5:$A$64,0)),""))</f>
        <v/>
      </c>
      <c r="Q88" s="35">
        <f>IF($F88="","",IFERROR(INDEX(사건마스터!$AO$5:$AO$64,MATCH($F88,사건마스터!$A$5:$A$64,0)),""))</f>
        <v/>
      </c>
      <c r="R88" s="35">
        <f>IF($F88="","",IFERROR(INDEX(사건마스터!$AP$5:$AP$64,MATCH($F88,사건마스터!$A$5:$A$64,0)),""))</f>
        <v/>
      </c>
      <c r="S88" s="35">
        <f>IF($F88="","",IFERROR(INDEX(사건마스터!$AQ$5:$AQ$64,MATCH($F88,사건마스터!$A$5:$A$64,0)),""))</f>
        <v/>
      </c>
      <c r="T88" s="35">
        <f>IF($F88="","",IFERROR(INDEX(사건마스터!$AR$5:$AR$64,MATCH($F88,사건마스터!$A$5:$A$64,0)),""))</f>
        <v/>
      </c>
      <c r="U88" s="35">
        <f>IF($F88="","",IFERROR(INDEX(사건마스터!$AS$5:$AS$64,MATCH($F88,사건마스터!$A$5:$A$64,0)),""))</f>
        <v/>
      </c>
      <c r="V88" s="35">
        <f>IF($F88="","",IFERROR(INDEX(사건마스터!$AT$5:$AT$64,MATCH($F88,사건마스터!$A$5:$A$64,0)),""))</f>
        <v/>
      </c>
      <c r="W88" s="35">
        <f>IF($F88="","",IFERROR(INDEX(사건마스터!$AU$5:$AU$64,MATCH($F88,사건마스터!$A$5:$A$64,0)),""))</f>
        <v/>
      </c>
      <c r="X88" s="35">
        <f>IF($F88="","",IFERROR(INDEX(사건마스터!$AV$5:$AV$64,MATCH($F88,사건마스터!$A$5:$A$64,0)),""))</f>
        <v/>
      </c>
      <c r="Y88" s="30">
        <f>IF($I88="","",COUNTIF($I88:$X88,"?*"))</f>
        <v/>
      </c>
      <c r="Z88" s="33">
        <f>IF($I88="","",_xlfn.TEXTJOIN(", ",TRUE,$I88:$X88))</f>
        <v/>
      </c>
      <c r="AA88" s="34">
        <f>IF($I88="","",IFERROR(INDEX(코드설정!$D$5:$D$24,MATCH($I88,코드설정!$C$5:$C$24,0)),""))</f>
        <v/>
      </c>
      <c r="AB88" s="36" t="n"/>
      <c r="AC88" s="37" t="n"/>
      <c r="AD88" s="38" t="n"/>
      <c r="AE88" s="30">
        <f>IF(OR($B88="",$C88=""),"",$C88-$B88+1)</f>
        <v/>
      </c>
      <c r="AF88" s="32" t="n"/>
      <c r="AG88" s="36" t="n"/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3">
        <f>IF($F89="","",IFERROR(INDEX(사건마스터!$B$5:$B$64,MATCH($F89,사건마스터!$A$5:$A$64,0)),""))</f>
        <v/>
      </c>
      <c r="H89" s="34">
        <f>IF($F89="","",IFERROR(INDEX(사건마스터!$C$5:$C$64,MATCH($F89,사건마스터!$A$5:$A$64,0)),""))</f>
        <v/>
      </c>
      <c r="I89" s="35">
        <f>IF($F89="","",IFERROR(INDEX(사건마스터!$H$5:$H$64,MATCH($F89,사건마스터!$A$5:$A$64,0)),""))</f>
        <v/>
      </c>
      <c r="J89" s="35">
        <f>IF($F89="","",IFERROR(INDEX(사건마스터!$AH$5:$AH$64,MATCH($F89,사건마스터!$A$5:$A$64,0)),""))</f>
        <v/>
      </c>
      <c r="K89" s="35">
        <f>IF($F89="","",IFERROR(INDEX(사건마스터!$AI$5:$AI$64,MATCH($F89,사건마스터!$A$5:$A$64,0)),""))</f>
        <v/>
      </c>
      <c r="L89" s="35">
        <f>IF($F89="","",IFERROR(INDEX(사건마스터!$AJ$5:$AJ$64,MATCH($F89,사건마스터!$A$5:$A$64,0)),""))</f>
        <v/>
      </c>
      <c r="M89" s="35">
        <f>IF($F89="","",IFERROR(INDEX(사건마스터!$AK$5:$AK$64,MATCH($F89,사건마스터!$A$5:$A$64,0)),""))</f>
        <v/>
      </c>
      <c r="N89" s="35">
        <f>IF($F89="","",IFERROR(INDEX(사건마스터!$AL$5:$AL$64,MATCH($F89,사건마스터!$A$5:$A$64,0)),""))</f>
        <v/>
      </c>
      <c r="O89" s="35">
        <f>IF($F89="","",IFERROR(INDEX(사건마스터!$AM$5:$AM$64,MATCH($F89,사건마스터!$A$5:$A$64,0)),""))</f>
        <v/>
      </c>
      <c r="P89" s="35">
        <f>IF($F89="","",IFERROR(INDEX(사건마스터!$AN$5:$AN$64,MATCH($F89,사건마스터!$A$5:$A$64,0)),""))</f>
        <v/>
      </c>
      <c r="Q89" s="35">
        <f>IF($F89="","",IFERROR(INDEX(사건마스터!$AO$5:$AO$64,MATCH($F89,사건마스터!$A$5:$A$64,0)),""))</f>
        <v/>
      </c>
      <c r="R89" s="35">
        <f>IF($F89="","",IFERROR(INDEX(사건마스터!$AP$5:$AP$64,MATCH($F89,사건마스터!$A$5:$A$64,0)),""))</f>
        <v/>
      </c>
      <c r="S89" s="35">
        <f>IF($F89="","",IFERROR(INDEX(사건마스터!$AQ$5:$AQ$64,MATCH($F89,사건마스터!$A$5:$A$64,0)),""))</f>
        <v/>
      </c>
      <c r="T89" s="35">
        <f>IF($F89="","",IFERROR(INDEX(사건마스터!$AR$5:$AR$64,MATCH($F89,사건마스터!$A$5:$A$64,0)),""))</f>
        <v/>
      </c>
      <c r="U89" s="35">
        <f>IF($F89="","",IFERROR(INDEX(사건마스터!$AS$5:$AS$64,MATCH($F89,사건마스터!$A$5:$A$64,0)),""))</f>
        <v/>
      </c>
      <c r="V89" s="35">
        <f>IF($F89="","",IFERROR(INDEX(사건마스터!$AT$5:$AT$64,MATCH($F89,사건마스터!$A$5:$A$64,0)),""))</f>
        <v/>
      </c>
      <c r="W89" s="35">
        <f>IF($F89="","",IFERROR(INDEX(사건마스터!$AU$5:$AU$64,MATCH($F89,사건마스터!$A$5:$A$64,0)),""))</f>
        <v/>
      </c>
      <c r="X89" s="35">
        <f>IF($F89="","",IFERROR(INDEX(사건마스터!$AV$5:$AV$64,MATCH($F89,사건마스터!$A$5:$A$64,0)),""))</f>
        <v/>
      </c>
      <c r="Y89" s="30">
        <f>IF($I89="","",COUNTIF($I89:$X89,"?*"))</f>
        <v/>
      </c>
      <c r="Z89" s="33">
        <f>IF($I89="","",_xlfn.TEXTJOIN(", ",TRUE,$I89:$X89))</f>
        <v/>
      </c>
      <c r="AA89" s="34">
        <f>IF($I89="","",IFERROR(INDEX(코드설정!$D$5:$D$24,MATCH($I89,코드설정!$C$5:$C$24,0)),""))</f>
        <v/>
      </c>
      <c r="AB89" s="36" t="n"/>
      <c r="AC89" s="37" t="n"/>
      <c r="AD89" s="38" t="n"/>
      <c r="AE89" s="30">
        <f>IF(OR($B89="",$C89=""),"",$C89-$B89+1)</f>
        <v/>
      </c>
      <c r="AF89" s="32" t="n"/>
      <c r="AG89" s="36" t="n"/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3">
        <f>IF($F90="","",IFERROR(INDEX(사건마스터!$B$5:$B$64,MATCH($F90,사건마스터!$A$5:$A$64,0)),""))</f>
        <v/>
      </c>
      <c r="H90" s="34">
        <f>IF($F90="","",IFERROR(INDEX(사건마스터!$C$5:$C$64,MATCH($F90,사건마스터!$A$5:$A$64,0)),""))</f>
        <v/>
      </c>
      <c r="I90" s="35">
        <f>IF($F90="","",IFERROR(INDEX(사건마스터!$H$5:$H$64,MATCH($F90,사건마스터!$A$5:$A$64,0)),""))</f>
        <v/>
      </c>
      <c r="J90" s="35">
        <f>IF($F90="","",IFERROR(INDEX(사건마스터!$AH$5:$AH$64,MATCH($F90,사건마스터!$A$5:$A$64,0)),""))</f>
        <v/>
      </c>
      <c r="K90" s="35">
        <f>IF($F90="","",IFERROR(INDEX(사건마스터!$AI$5:$AI$64,MATCH($F90,사건마스터!$A$5:$A$64,0)),""))</f>
        <v/>
      </c>
      <c r="L90" s="35">
        <f>IF($F90="","",IFERROR(INDEX(사건마스터!$AJ$5:$AJ$64,MATCH($F90,사건마스터!$A$5:$A$64,0)),""))</f>
        <v/>
      </c>
      <c r="M90" s="35">
        <f>IF($F90="","",IFERROR(INDEX(사건마스터!$AK$5:$AK$64,MATCH($F90,사건마스터!$A$5:$A$64,0)),""))</f>
        <v/>
      </c>
      <c r="N90" s="35">
        <f>IF($F90="","",IFERROR(INDEX(사건마스터!$AL$5:$AL$64,MATCH($F90,사건마스터!$A$5:$A$64,0)),""))</f>
        <v/>
      </c>
      <c r="O90" s="35">
        <f>IF($F90="","",IFERROR(INDEX(사건마스터!$AM$5:$AM$64,MATCH($F90,사건마스터!$A$5:$A$64,0)),""))</f>
        <v/>
      </c>
      <c r="P90" s="35">
        <f>IF($F90="","",IFERROR(INDEX(사건마스터!$AN$5:$AN$64,MATCH($F90,사건마스터!$A$5:$A$64,0)),""))</f>
        <v/>
      </c>
      <c r="Q90" s="35">
        <f>IF($F90="","",IFERROR(INDEX(사건마스터!$AO$5:$AO$64,MATCH($F90,사건마스터!$A$5:$A$64,0)),""))</f>
        <v/>
      </c>
      <c r="R90" s="35">
        <f>IF($F90="","",IFERROR(INDEX(사건마스터!$AP$5:$AP$64,MATCH($F90,사건마스터!$A$5:$A$64,0)),""))</f>
        <v/>
      </c>
      <c r="S90" s="35">
        <f>IF($F90="","",IFERROR(INDEX(사건마스터!$AQ$5:$AQ$64,MATCH($F90,사건마스터!$A$5:$A$64,0)),""))</f>
        <v/>
      </c>
      <c r="T90" s="35">
        <f>IF($F90="","",IFERROR(INDEX(사건마스터!$AR$5:$AR$64,MATCH($F90,사건마스터!$A$5:$A$64,0)),""))</f>
        <v/>
      </c>
      <c r="U90" s="35">
        <f>IF($F90="","",IFERROR(INDEX(사건마스터!$AS$5:$AS$64,MATCH($F90,사건마스터!$A$5:$A$64,0)),""))</f>
        <v/>
      </c>
      <c r="V90" s="35">
        <f>IF($F90="","",IFERROR(INDEX(사건마스터!$AT$5:$AT$64,MATCH($F90,사건마스터!$A$5:$A$64,0)),""))</f>
        <v/>
      </c>
      <c r="W90" s="35">
        <f>IF($F90="","",IFERROR(INDEX(사건마스터!$AU$5:$AU$64,MATCH($F90,사건마스터!$A$5:$A$64,0)),""))</f>
        <v/>
      </c>
      <c r="X90" s="35">
        <f>IF($F90="","",IFERROR(INDEX(사건마스터!$AV$5:$AV$64,MATCH($F90,사건마스터!$A$5:$A$64,0)),""))</f>
        <v/>
      </c>
      <c r="Y90" s="30">
        <f>IF($I90="","",COUNTIF($I90:$X90,"?*"))</f>
        <v/>
      </c>
      <c r="Z90" s="33">
        <f>IF($I90="","",_xlfn.TEXTJOIN(", ",TRUE,$I90:$X90))</f>
        <v/>
      </c>
      <c r="AA90" s="34">
        <f>IF($I90="","",IFERROR(INDEX(코드설정!$D$5:$D$24,MATCH($I90,코드설정!$C$5:$C$24,0)),""))</f>
        <v/>
      </c>
      <c r="AB90" s="36" t="n"/>
      <c r="AC90" s="37" t="n"/>
      <c r="AD90" s="38" t="n"/>
      <c r="AE90" s="30">
        <f>IF(OR($B90="",$C90=""),"",$C90-$B90+1)</f>
        <v/>
      </c>
      <c r="AF90" s="32" t="n"/>
      <c r="AG90" s="36" t="n"/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3">
        <f>IF($F91="","",IFERROR(INDEX(사건마스터!$B$5:$B$64,MATCH($F91,사건마스터!$A$5:$A$64,0)),""))</f>
        <v/>
      </c>
      <c r="H91" s="34">
        <f>IF($F91="","",IFERROR(INDEX(사건마스터!$C$5:$C$64,MATCH($F91,사건마스터!$A$5:$A$64,0)),""))</f>
        <v/>
      </c>
      <c r="I91" s="35">
        <f>IF($F91="","",IFERROR(INDEX(사건마스터!$H$5:$H$64,MATCH($F91,사건마스터!$A$5:$A$64,0)),""))</f>
        <v/>
      </c>
      <c r="J91" s="35">
        <f>IF($F91="","",IFERROR(INDEX(사건마스터!$AH$5:$AH$64,MATCH($F91,사건마스터!$A$5:$A$64,0)),""))</f>
        <v/>
      </c>
      <c r="K91" s="35">
        <f>IF($F91="","",IFERROR(INDEX(사건마스터!$AI$5:$AI$64,MATCH($F91,사건마스터!$A$5:$A$64,0)),""))</f>
        <v/>
      </c>
      <c r="L91" s="35">
        <f>IF($F91="","",IFERROR(INDEX(사건마스터!$AJ$5:$AJ$64,MATCH($F91,사건마스터!$A$5:$A$64,0)),""))</f>
        <v/>
      </c>
      <c r="M91" s="35">
        <f>IF($F91="","",IFERROR(INDEX(사건마스터!$AK$5:$AK$64,MATCH($F91,사건마스터!$A$5:$A$64,0)),""))</f>
        <v/>
      </c>
      <c r="N91" s="35">
        <f>IF($F91="","",IFERROR(INDEX(사건마스터!$AL$5:$AL$64,MATCH($F91,사건마스터!$A$5:$A$64,0)),""))</f>
        <v/>
      </c>
      <c r="O91" s="35">
        <f>IF($F91="","",IFERROR(INDEX(사건마스터!$AM$5:$AM$64,MATCH($F91,사건마스터!$A$5:$A$64,0)),""))</f>
        <v/>
      </c>
      <c r="P91" s="35">
        <f>IF($F91="","",IFERROR(INDEX(사건마스터!$AN$5:$AN$64,MATCH($F91,사건마스터!$A$5:$A$64,0)),""))</f>
        <v/>
      </c>
      <c r="Q91" s="35">
        <f>IF($F91="","",IFERROR(INDEX(사건마스터!$AO$5:$AO$64,MATCH($F91,사건마스터!$A$5:$A$64,0)),""))</f>
        <v/>
      </c>
      <c r="R91" s="35">
        <f>IF($F91="","",IFERROR(INDEX(사건마스터!$AP$5:$AP$64,MATCH($F91,사건마스터!$A$5:$A$64,0)),""))</f>
        <v/>
      </c>
      <c r="S91" s="35">
        <f>IF($F91="","",IFERROR(INDEX(사건마스터!$AQ$5:$AQ$64,MATCH($F91,사건마스터!$A$5:$A$64,0)),""))</f>
        <v/>
      </c>
      <c r="T91" s="35">
        <f>IF($F91="","",IFERROR(INDEX(사건마스터!$AR$5:$AR$64,MATCH($F91,사건마스터!$A$5:$A$64,0)),""))</f>
        <v/>
      </c>
      <c r="U91" s="35">
        <f>IF($F91="","",IFERROR(INDEX(사건마스터!$AS$5:$AS$64,MATCH($F91,사건마스터!$A$5:$A$64,0)),""))</f>
        <v/>
      </c>
      <c r="V91" s="35">
        <f>IF($F91="","",IFERROR(INDEX(사건마스터!$AT$5:$AT$64,MATCH($F91,사건마스터!$A$5:$A$64,0)),""))</f>
        <v/>
      </c>
      <c r="W91" s="35">
        <f>IF($F91="","",IFERROR(INDEX(사건마스터!$AU$5:$AU$64,MATCH($F91,사건마스터!$A$5:$A$64,0)),""))</f>
        <v/>
      </c>
      <c r="X91" s="35">
        <f>IF($F91="","",IFERROR(INDEX(사건마스터!$AV$5:$AV$64,MATCH($F91,사건마스터!$A$5:$A$64,0)),""))</f>
        <v/>
      </c>
      <c r="Y91" s="30">
        <f>IF($I91="","",COUNTIF($I91:$X91,"?*"))</f>
        <v/>
      </c>
      <c r="Z91" s="33">
        <f>IF($I91="","",_xlfn.TEXTJOIN(", ",TRUE,$I91:$X91))</f>
        <v/>
      </c>
      <c r="AA91" s="34">
        <f>IF($I91="","",IFERROR(INDEX(코드설정!$D$5:$D$24,MATCH($I91,코드설정!$C$5:$C$24,0)),""))</f>
        <v/>
      </c>
      <c r="AB91" s="36" t="n"/>
      <c r="AC91" s="37" t="n"/>
      <c r="AD91" s="38" t="n"/>
      <c r="AE91" s="30">
        <f>IF(OR($B91="",$C91=""),"",$C91-$B91+1)</f>
        <v/>
      </c>
      <c r="AF91" s="32" t="n"/>
      <c r="AG91" s="36" t="n"/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3">
        <f>IF($F92="","",IFERROR(INDEX(사건마스터!$B$5:$B$64,MATCH($F92,사건마스터!$A$5:$A$64,0)),""))</f>
        <v/>
      </c>
      <c r="H92" s="34">
        <f>IF($F92="","",IFERROR(INDEX(사건마스터!$C$5:$C$64,MATCH($F92,사건마스터!$A$5:$A$64,0)),""))</f>
        <v/>
      </c>
      <c r="I92" s="35">
        <f>IF($F92="","",IFERROR(INDEX(사건마스터!$H$5:$H$64,MATCH($F92,사건마스터!$A$5:$A$64,0)),""))</f>
        <v/>
      </c>
      <c r="J92" s="35">
        <f>IF($F92="","",IFERROR(INDEX(사건마스터!$AH$5:$AH$64,MATCH($F92,사건마스터!$A$5:$A$64,0)),""))</f>
        <v/>
      </c>
      <c r="K92" s="35">
        <f>IF($F92="","",IFERROR(INDEX(사건마스터!$AI$5:$AI$64,MATCH($F92,사건마스터!$A$5:$A$64,0)),""))</f>
        <v/>
      </c>
      <c r="L92" s="35">
        <f>IF($F92="","",IFERROR(INDEX(사건마스터!$AJ$5:$AJ$64,MATCH($F92,사건마스터!$A$5:$A$64,0)),""))</f>
        <v/>
      </c>
      <c r="M92" s="35">
        <f>IF($F92="","",IFERROR(INDEX(사건마스터!$AK$5:$AK$64,MATCH($F92,사건마스터!$A$5:$A$64,0)),""))</f>
        <v/>
      </c>
      <c r="N92" s="35">
        <f>IF($F92="","",IFERROR(INDEX(사건마스터!$AL$5:$AL$64,MATCH($F92,사건마스터!$A$5:$A$64,0)),""))</f>
        <v/>
      </c>
      <c r="O92" s="35">
        <f>IF($F92="","",IFERROR(INDEX(사건마스터!$AM$5:$AM$64,MATCH($F92,사건마스터!$A$5:$A$64,0)),""))</f>
        <v/>
      </c>
      <c r="P92" s="35">
        <f>IF($F92="","",IFERROR(INDEX(사건마스터!$AN$5:$AN$64,MATCH($F92,사건마스터!$A$5:$A$64,0)),""))</f>
        <v/>
      </c>
      <c r="Q92" s="35">
        <f>IF($F92="","",IFERROR(INDEX(사건마스터!$AO$5:$AO$64,MATCH($F92,사건마스터!$A$5:$A$64,0)),""))</f>
        <v/>
      </c>
      <c r="R92" s="35">
        <f>IF($F92="","",IFERROR(INDEX(사건마스터!$AP$5:$AP$64,MATCH($F92,사건마스터!$A$5:$A$64,0)),""))</f>
        <v/>
      </c>
      <c r="S92" s="35">
        <f>IF($F92="","",IFERROR(INDEX(사건마스터!$AQ$5:$AQ$64,MATCH($F92,사건마스터!$A$5:$A$64,0)),""))</f>
        <v/>
      </c>
      <c r="T92" s="35">
        <f>IF($F92="","",IFERROR(INDEX(사건마스터!$AR$5:$AR$64,MATCH($F92,사건마스터!$A$5:$A$64,0)),""))</f>
        <v/>
      </c>
      <c r="U92" s="35">
        <f>IF($F92="","",IFERROR(INDEX(사건마스터!$AS$5:$AS$64,MATCH($F92,사건마스터!$A$5:$A$64,0)),""))</f>
        <v/>
      </c>
      <c r="V92" s="35">
        <f>IF($F92="","",IFERROR(INDEX(사건마스터!$AT$5:$AT$64,MATCH($F92,사건마스터!$A$5:$A$64,0)),""))</f>
        <v/>
      </c>
      <c r="W92" s="35">
        <f>IF($F92="","",IFERROR(INDEX(사건마스터!$AU$5:$AU$64,MATCH($F92,사건마스터!$A$5:$A$64,0)),""))</f>
        <v/>
      </c>
      <c r="X92" s="35">
        <f>IF($F92="","",IFERROR(INDEX(사건마스터!$AV$5:$AV$64,MATCH($F92,사건마스터!$A$5:$A$64,0)),""))</f>
        <v/>
      </c>
      <c r="Y92" s="30">
        <f>IF($I92="","",COUNTIF($I92:$X92,"?*"))</f>
        <v/>
      </c>
      <c r="Z92" s="33">
        <f>IF($I92="","",_xlfn.TEXTJOIN(", ",TRUE,$I92:$X92))</f>
        <v/>
      </c>
      <c r="AA92" s="34">
        <f>IF($I92="","",IFERROR(INDEX(코드설정!$D$5:$D$24,MATCH($I92,코드설정!$C$5:$C$24,0)),""))</f>
        <v/>
      </c>
      <c r="AB92" s="36" t="n"/>
      <c r="AC92" s="37" t="n"/>
      <c r="AD92" s="38" t="n"/>
      <c r="AE92" s="30">
        <f>IF(OR($B92="",$C92=""),"",$C92-$B92+1)</f>
        <v/>
      </c>
      <c r="AF92" s="32" t="n"/>
      <c r="AG92" s="36" t="n"/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3">
        <f>IF($F93="","",IFERROR(INDEX(사건마스터!$B$5:$B$64,MATCH($F93,사건마스터!$A$5:$A$64,0)),""))</f>
        <v/>
      </c>
      <c r="H93" s="34">
        <f>IF($F93="","",IFERROR(INDEX(사건마스터!$C$5:$C$64,MATCH($F93,사건마스터!$A$5:$A$64,0)),""))</f>
        <v/>
      </c>
      <c r="I93" s="35">
        <f>IF($F93="","",IFERROR(INDEX(사건마스터!$H$5:$H$64,MATCH($F93,사건마스터!$A$5:$A$64,0)),""))</f>
        <v/>
      </c>
      <c r="J93" s="35">
        <f>IF($F93="","",IFERROR(INDEX(사건마스터!$AH$5:$AH$64,MATCH($F93,사건마스터!$A$5:$A$64,0)),""))</f>
        <v/>
      </c>
      <c r="K93" s="35">
        <f>IF($F93="","",IFERROR(INDEX(사건마스터!$AI$5:$AI$64,MATCH($F93,사건마스터!$A$5:$A$64,0)),""))</f>
        <v/>
      </c>
      <c r="L93" s="35">
        <f>IF($F93="","",IFERROR(INDEX(사건마스터!$AJ$5:$AJ$64,MATCH($F93,사건마스터!$A$5:$A$64,0)),""))</f>
        <v/>
      </c>
      <c r="M93" s="35">
        <f>IF($F93="","",IFERROR(INDEX(사건마스터!$AK$5:$AK$64,MATCH($F93,사건마스터!$A$5:$A$64,0)),""))</f>
        <v/>
      </c>
      <c r="N93" s="35">
        <f>IF($F93="","",IFERROR(INDEX(사건마스터!$AL$5:$AL$64,MATCH($F93,사건마스터!$A$5:$A$64,0)),""))</f>
        <v/>
      </c>
      <c r="O93" s="35">
        <f>IF($F93="","",IFERROR(INDEX(사건마스터!$AM$5:$AM$64,MATCH($F93,사건마스터!$A$5:$A$64,0)),""))</f>
        <v/>
      </c>
      <c r="P93" s="35">
        <f>IF($F93="","",IFERROR(INDEX(사건마스터!$AN$5:$AN$64,MATCH($F93,사건마스터!$A$5:$A$64,0)),""))</f>
        <v/>
      </c>
      <c r="Q93" s="35">
        <f>IF($F93="","",IFERROR(INDEX(사건마스터!$AO$5:$AO$64,MATCH($F93,사건마스터!$A$5:$A$64,0)),""))</f>
        <v/>
      </c>
      <c r="R93" s="35">
        <f>IF($F93="","",IFERROR(INDEX(사건마스터!$AP$5:$AP$64,MATCH($F93,사건마스터!$A$5:$A$64,0)),""))</f>
        <v/>
      </c>
      <c r="S93" s="35">
        <f>IF($F93="","",IFERROR(INDEX(사건마스터!$AQ$5:$AQ$64,MATCH($F93,사건마스터!$A$5:$A$64,0)),""))</f>
        <v/>
      </c>
      <c r="T93" s="35">
        <f>IF($F93="","",IFERROR(INDEX(사건마스터!$AR$5:$AR$64,MATCH($F93,사건마스터!$A$5:$A$64,0)),""))</f>
        <v/>
      </c>
      <c r="U93" s="35">
        <f>IF($F93="","",IFERROR(INDEX(사건마스터!$AS$5:$AS$64,MATCH($F93,사건마스터!$A$5:$A$64,0)),""))</f>
        <v/>
      </c>
      <c r="V93" s="35">
        <f>IF($F93="","",IFERROR(INDEX(사건마스터!$AT$5:$AT$64,MATCH($F93,사건마스터!$A$5:$A$64,0)),""))</f>
        <v/>
      </c>
      <c r="W93" s="35">
        <f>IF($F93="","",IFERROR(INDEX(사건마스터!$AU$5:$AU$64,MATCH($F93,사건마스터!$A$5:$A$64,0)),""))</f>
        <v/>
      </c>
      <c r="X93" s="35">
        <f>IF($F93="","",IFERROR(INDEX(사건마스터!$AV$5:$AV$64,MATCH($F93,사건마스터!$A$5:$A$64,0)),""))</f>
        <v/>
      </c>
      <c r="Y93" s="30">
        <f>IF($I93="","",COUNTIF($I93:$X93,"?*"))</f>
        <v/>
      </c>
      <c r="Z93" s="33">
        <f>IF($I93="","",_xlfn.TEXTJOIN(", ",TRUE,$I93:$X93))</f>
        <v/>
      </c>
      <c r="AA93" s="34">
        <f>IF($I93="","",IFERROR(INDEX(코드설정!$D$5:$D$24,MATCH($I93,코드설정!$C$5:$C$24,0)),""))</f>
        <v/>
      </c>
      <c r="AB93" s="36" t="n"/>
      <c r="AC93" s="37" t="n"/>
      <c r="AD93" s="38" t="n"/>
      <c r="AE93" s="30">
        <f>IF(OR($B93="",$C93=""),"",$C93-$B93+1)</f>
        <v/>
      </c>
      <c r="AF93" s="32" t="n"/>
      <c r="AG93" s="36" t="n"/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3">
        <f>IF($F94="","",IFERROR(INDEX(사건마스터!$B$5:$B$64,MATCH($F94,사건마스터!$A$5:$A$64,0)),""))</f>
        <v/>
      </c>
      <c r="H94" s="34">
        <f>IF($F94="","",IFERROR(INDEX(사건마스터!$C$5:$C$64,MATCH($F94,사건마스터!$A$5:$A$64,0)),""))</f>
        <v/>
      </c>
      <c r="I94" s="35">
        <f>IF($F94="","",IFERROR(INDEX(사건마스터!$H$5:$H$64,MATCH($F94,사건마스터!$A$5:$A$64,0)),""))</f>
        <v/>
      </c>
      <c r="J94" s="35">
        <f>IF($F94="","",IFERROR(INDEX(사건마스터!$AH$5:$AH$64,MATCH($F94,사건마스터!$A$5:$A$64,0)),""))</f>
        <v/>
      </c>
      <c r="K94" s="35">
        <f>IF($F94="","",IFERROR(INDEX(사건마스터!$AI$5:$AI$64,MATCH($F94,사건마스터!$A$5:$A$64,0)),""))</f>
        <v/>
      </c>
      <c r="L94" s="35">
        <f>IF($F94="","",IFERROR(INDEX(사건마스터!$AJ$5:$AJ$64,MATCH($F94,사건마스터!$A$5:$A$64,0)),""))</f>
        <v/>
      </c>
      <c r="M94" s="35">
        <f>IF($F94="","",IFERROR(INDEX(사건마스터!$AK$5:$AK$64,MATCH($F94,사건마스터!$A$5:$A$64,0)),""))</f>
        <v/>
      </c>
      <c r="N94" s="35">
        <f>IF($F94="","",IFERROR(INDEX(사건마스터!$AL$5:$AL$64,MATCH($F94,사건마스터!$A$5:$A$64,0)),""))</f>
        <v/>
      </c>
      <c r="O94" s="35">
        <f>IF($F94="","",IFERROR(INDEX(사건마스터!$AM$5:$AM$64,MATCH($F94,사건마스터!$A$5:$A$64,0)),""))</f>
        <v/>
      </c>
      <c r="P94" s="35">
        <f>IF($F94="","",IFERROR(INDEX(사건마스터!$AN$5:$AN$64,MATCH($F94,사건마스터!$A$5:$A$64,0)),""))</f>
        <v/>
      </c>
      <c r="Q94" s="35">
        <f>IF($F94="","",IFERROR(INDEX(사건마스터!$AO$5:$AO$64,MATCH($F94,사건마스터!$A$5:$A$64,0)),""))</f>
        <v/>
      </c>
      <c r="R94" s="35">
        <f>IF($F94="","",IFERROR(INDEX(사건마스터!$AP$5:$AP$64,MATCH($F94,사건마스터!$A$5:$A$64,0)),""))</f>
        <v/>
      </c>
      <c r="S94" s="35">
        <f>IF($F94="","",IFERROR(INDEX(사건마스터!$AQ$5:$AQ$64,MATCH($F94,사건마스터!$A$5:$A$64,0)),""))</f>
        <v/>
      </c>
      <c r="T94" s="35">
        <f>IF($F94="","",IFERROR(INDEX(사건마스터!$AR$5:$AR$64,MATCH($F94,사건마스터!$A$5:$A$64,0)),""))</f>
        <v/>
      </c>
      <c r="U94" s="35">
        <f>IF($F94="","",IFERROR(INDEX(사건마스터!$AS$5:$AS$64,MATCH($F94,사건마스터!$A$5:$A$64,0)),""))</f>
        <v/>
      </c>
      <c r="V94" s="35">
        <f>IF($F94="","",IFERROR(INDEX(사건마스터!$AT$5:$AT$64,MATCH($F94,사건마스터!$A$5:$A$64,0)),""))</f>
        <v/>
      </c>
      <c r="W94" s="35">
        <f>IF($F94="","",IFERROR(INDEX(사건마스터!$AU$5:$AU$64,MATCH($F94,사건마스터!$A$5:$A$64,0)),""))</f>
        <v/>
      </c>
      <c r="X94" s="35">
        <f>IF($F94="","",IFERROR(INDEX(사건마스터!$AV$5:$AV$64,MATCH($F94,사건마스터!$A$5:$A$64,0)),""))</f>
        <v/>
      </c>
      <c r="Y94" s="30">
        <f>IF($I94="","",COUNTIF($I94:$X94,"?*"))</f>
        <v/>
      </c>
      <c r="Z94" s="33">
        <f>IF($I94="","",_xlfn.TEXTJOIN(", ",TRUE,$I94:$X94))</f>
        <v/>
      </c>
      <c r="AA94" s="34">
        <f>IF($I94="","",IFERROR(INDEX(코드설정!$D$5:$D$24,MATCH($I94,코드설정!$C$5:$C$24,0)),""))</f>
        <v/>
      </c>
      <c r="AB94" s="36" t="n"/>
      <c r="AC94" s="37" t="n"/>
      <c r="AD94" s="38" t="n"/>
      <c r="AE94" s="30">
        <f>IF(OR($B94="",$C94=""),"",$C94-$B94+1)</f>
        <v/>
      </c>
      <c r="AF94" s="32" t="n"/>
      <c r="AG94" s="36" t="n"/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3">
        <f>IF($F95="","",IFERROR(INDEX(사건마스터!$B$5:$B$64,MATCH($F95,사건마스터!$A$5:$A$64,0)),""))</f>
        <v/>
      </c>
      <c r="H95" s="34">
        <f>IF($F95="","",IFERROR(INDEX(사건마스터!$C$5:$C$64,MATCH($F95,사건마스터!$A$5:$A$64,0)),""))</f>
        <v/>
      </c>
      <c r="I95" s="35">
        <f>IF($F95="","",IFERROR(INDEX(사건마스터!$H$5:$H$64,MATCH($F95,사건마스터!$A$5:$A$64,0)),""))</f>
        <v/>
      </c>
      <c r="J95" s="35">
        <f>IF($F95="","",IFERROR(INDEX(사건마스터!$AH$5:$AH$64,MATCH($F95,사건마스터!$A$5:$A$64,0)),""))</f>
        <v/>
      </c>
      <c r="K95" s="35">
        <f>IF($F95="","",IFERROR(INDEX(사건마스터!$AI$5:$AI$64,MATCH($F95,사건마스터!$A$5:$A$64,0)),""))</f>
        <v/>
      </c>
      <c r="L95" s="35">
        <f>IF($F95="","",IFERROR(INDEX(사건마스터!$AJ$5:$AJ$64,MATCH($F95,사건마스터!$A$5:$A$64,0)),""))</f>
        <v/>
      </c>
      <c r="M95" s="35">
        <f>IF($F95="","",IFERROR(INDEX(사건마스터!$AK$5:$AK$64,MATCH($F95,사건마스터!$A$5:$A$64,0)),""))</f>
        <v/>
      </c>
      <c r="N95" s="35">
        <f>IF($F95="","",IFERROR(INDEX(사건마스터!$AL$5:$AL$64,MATCH($F95,사건마스터!$A$5:$A$64,0)),""))</f>
        <v/>
      </c>
      <c r="O95" s="35">
        <f>IF($F95="","",IFERROR(INDEX(사건마스터!$AM$5:$AM$64,MATCH($F95,사건마스터!$A$5:$A$64,0)),""))</f>
        <v/>
      </c>
      <c r="P95" s="35">
        <f>IF($F95="","",IFERROR(INDEX(사건마스터!$AN$5:$AN$64,MATCH($F95,사건마스터!$A$5:$A$64,0)),""))</f>
        <v/>
      </c>
      <c r="Q95" s="35">
        <f>IF($F95="","",IFERROR(INDEX(사건마스터!$AO$5:$AO$64,MATCH($F95,사건마스터!$A$5:$A$64,0)),""))</f>
        <v/>
      </c>
      <c r="R95" s="35">
        <f>IF($F95="","",IFERROR(INDEX(사건마스터!$AP$5:$AP$64,MATCH($F95,사건마스터!$A$5:$A$64,0)),""))</f>
        <v/>
      </c>
      <c r="S95" s="35">
        <f>IF($F95="","",IFERROR(INDEX(사건마스터!$AQ$5:$AQ$64,MATCH($F95,사건마스터!$A$5:$A$64,0)),""))</f>
        <v/>
      </c>
      <c r="T95" s="35">
        <f>IF($F95="","",IFERROR(INDEX(사건마스터!$AR$5:$AR$64,MATCH($F95,사건마스터!$A$5:$A$64,0)),""))</f>
        <v/>
      </c>
      <c r="U95" s="35">
        <f>IF($F95="","",IFERROR(INDEX(사건마스터!$AS$5:$AS$64,MATCH($F95,사건마스터!$A$5:$A$64,0)),""))</f>
        <v/>
      </c>
      <c r="V95" s="35">
        <f>IF($F95="","",IFERROR(INDEX(사건마스터!$AT$5:$AT$64,MATCH($F95,사건마스터!$A$5:$A$64,0)),""))</f>
        <v/>
      </c>
      <c r="W95" s="35">
        <f>IF($F95="","",IFERROR(INDEX(사건마스터!$AU$5:$AU$64,MATCH($F95,사건마스터!$A$5:$A$64,0)),""))</f>
        <v/>
      </c>
      <c r="X95" s="35">
        <f>IF($F95="","",IFERROR(INDEX(사건마스터!$AV$5:$AV$64,MATCH($F95,사건마스터!$A$5:$A$64,0)),""))</f>
        <v/>
      </c>
      <c r="Y95" s="30">
        <f>IF($I95="","",COUNTIF($I95:$X95,"?*"))</f>
        <v/>
      </c>
      <c r="Z95" s="33">
        <f>IF($I95="","",_xlfn.TEXTJOIN(", ",TRUE,$I95:$X95))</f>
        <v/>
      </c>
      <c r="AA95" s="34">
        <f>IF($I95="","",IFERROR(INDEX(코드설정!$D$5:$D$24,MATCH($I95,코드설정!$C$5:$C$24,0)),""))</f>
        <v/>
      </c>
      <c r="AB95" s="36" t="n"/>
      <c r="AC95" s="37" t="n"/>
      <c r="AD95" s="38" t="n"/>
      <c r="AE95" s="30">
        <f>IF(OR($B95="",$C95=""),"",$C95-$B95+1)</f>
        <v/>
      </c>
      <c r="AF95" s="32" t="n"/>
      <c r="AG95" s="36" t="n"/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3">
        <f>IF($F96="","",IFERROR(INDEX(사건마스터!$B$5:$B$64,MATCH($F96,사건마스터!$A$5:$A$64,0)),""))</f>
        <v/>
      </c>
      <c r="H96" s="34">
        <f>IF($F96="","",IFERROR(INDEX(사건마스터!$C$5:$C$64,MATCH($F96,사건마스터!$A$5:$A$64,0)),""))</f>
        <v/>
      </c>
      <c r="I96" s="35">
        <f>IF($F96="","",IFERROR(INDEX(사건마스터!$H$5:$H$64,MATCH($F96,사건마스터!$A$5:$A$64,0)),""))</f>
        <v/>
      </c>
      <c r="J96" s="35">
        <f>IF($F96="","",IFERROR(INDEX(사건마스터!$AH$5:$AH$64,MATCH($F96,사건마스터!$A$5:$A$64,0)),""))</f>
        <v/>
      </c>
      <c r="K96" s="35">
        <f>IF($F96="","",IFERROR(INDEX(사건마스터!$AI$5:$AI$64,MATCH($F96,사건마스터!$A$5:$A$64,0)),""))</f>
        <v/>
      </c>
      <c r="L96" s="35">
        <f>IF($F96="","",IFERROR(INDEX(사건마스터!$AJ$5:$AJ$64,MATCH($F96,사건마스터!$A$5:$A$64,0)),""))</f>
        <v/>
      </c>
      <c r="M96" s="35">
        <f>IF($F96="","",IFERROR(INDEX(사건마스터!$AK$5:$AK$64,MATCH($F96,사건마스터!$A$5:$A$64,0)),""))</f>
        <v/>
      </c>
      <c r="N96" s="35">
        <f>IF($F96="","",IFERROR(INDEX(사건마스터!$AL$5:$AL$64,MATCH($F96,사건마스터!$A$5:$A$64,0)),""))</f>
        <v/>
      </c>
      <c r="O96" s="35">
        <f>IF($F96="","",IFERROR(INDEX(사건마스터!$AM$5:$AM$64,MATCH($F96,사건마스터!$A$5:$A$64,0)),""))</f>
        <v/>
      </c>
      <c r="P96" s="35">
        <f>IF($F96="","",IFERROR(INDEX(사건마스터!$AN$5:$AN$64,MATCH($F96,사건마스터!$A$5:$A$64,0)),""))</f>
        <v/>
      </c>
      <c r="Q96" s="35">
        <f>IF($F96="","",IFERROR(INDEX(사건마스터!$AO$5:$AO$64,MATCH($F96,사건마스터!$A$5:$A$64,0)),""))</f>
        <v/>
      </c>
      <c r="R96" s="35">
        <f>IF($F96="","",IFERROR(INDEX(사건마스터!$AP$5:$AP$64,MATCH($F96,사건마스터!$A$5:$A$64,0)),""))</f>
        <v/>
      </c>
      <c r="S96" s="35">
        <f>IF($F96="","",IFERROR(INDEX(사건마스터!$AQ$5:$AQ$64,MATCH($F96,사건마스터!$A$5:$A$64,0)),""))</f>
        <v/>
      </c>
      <c r="T96" s="35">
        <f>IF($F96="","",IFERROR(INDEX(사건마스터!$AR$5:$AR$64,MATCH($F96,사건마스터!$A$5:$A$64,0)),""))</f>
        <v/>
      </c>
      <c r="U96" s="35">
        <f>IF($F96="","",IFERROR(INDEX(사건마스터!$AS$5:$AS$64,MATCH($F96,사건마스터!$A$5:$A$64,0)),""))</f>
        <v/>
      </c>
      <c r="V96" s="35">
        <f>IF($F96="","",IFERROR(INDEX(사건마스터!$AT$5:$AT$64,MATCH($F96,사건마스터!$A$5:$A$64,0)),""))</f>
        <v/>
      </c>
      <c r="W96" s="35">
        <f>IF($F96="","",IFERROR(INDEX(사건마스터!$AU$5:$AU$64,MATCH($F96,사건마스터!$A$5:$A$64,0)),""))</f>
        <v/>
      </c>
      <c r="X96" s="35">
        <f>IF($F96="","",IFERROR(INDEX(사건마스터!$AV$5:$AV$64,MATCH($F96,사건마스터!$A$5:$A$64,0)),""))</f>
        <v/>
      </c>
      <c r="Y96" s="30">
        <f>IF($I96="","",COUNTIF($I96:$X96,"?*"))</f>
        <v/>
      </c>
      <c r="Z96" s="33">
        <f>IF($I96="","",_xlfn.TEXTJOIN(", ",TRUE,$I96:$X96))</f>
        <v/>
      </c>
      <c r="AA96" s="34">
        <f>IF($I96="","",IFERROR(INDEX(코드설정!$D$5:$D$24,MATCH($I96,코드설정!$C$5:$C$24,0)),""))</f>
        <v/>
      </c>
      <c r="AB96" s="36" t="n"/>
      <c r="AC96" s="37" t="n"/>
      <c r="AD96" s="38" t="n"/>
      <c r="AE96" s="30">
        <f>IF(OR($B96="",$C96=""),"",$C96-$B96+1)</f>
        <v/>
      </c>
      <c r="AF96" s="32" t="n"/>
      <c r="AG96" s="36" t="n"/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3">
        <f>IF($F97="","",IFERROR(INDEX(사건마스터!$B$5:$B$64,MATCH($F97,사건마스터!$A$5:$A$64,0)),""))</f>
        <v/>
      </c>
      <c r="H97" s="34">
        <f>IF($F97="","",IFERROR(INDEX(사건마스터!$C$5:$C$64,MATCH($F97,사건마스터!$A$5:$A$64,0)),""))</f>
        <v/>
      </c>
      <c r="I97" s="35">
        <f>IF($F97="","",IFERROR(INDEX(사건마스터!$H$5:$H$64,MATCH($F97,사건마스터!$A$5:$A$64,0)),""))</f>
        <v/>
      </c>
      <c r="J97" s="35">
        <f>IF($F97="","",IFERROR(INDEX(사건마스터!$AH$5:$AH$64,MATCH($F97,사건마스터!$A$5:$A$64,0)),""))</f>
        <v/>
      </c>
      <c r="K97" s="35">
        <f>IF($F97="","",IFERROR(INDEX(사건마스터!$AI$5:$AI$64,MATCH($F97,사건마스터!$A$5:$A$64,0)),""))</f>
        <v/>
      </c>
      <c r="L97" s="35">
        <f>IF($F97="","",IFERROR(INDEX(사건마스터!$AJ$5:$AJ$64,MATCH($F97,사건마스터!$A$5:$A$64,0)),""))</f>
        <v/>
      </c>
      <c r="M97" s="35">
        <f>IF($F97="","",IFERROR(INDEX(사건마스터!$AK$5:$AK$64,MATCH($F97,사건마스터!$A$5:$A$64,0)),""))</f>
        <v/>
      </c>
      <c r="N97" s="35">
        <f>IF($F97="","",IFERROR(INDEX(사건마스터!$AL$5:$AL$64,MATCH($F97,사건마스터!$A$5:$A$64,0)),""))</f>
        <v/>
      </c>
      <c r="O97" s="35">
        <f>IF($F97="","",IFERROR(INDEX(사건마스터!$AM$5:$AM$64,MATCH($F97,사건마스터!$A$5:$A$64,0)),""))</f>
        <v/>
      </c>
      <c r="P97" s="35">
        <f>IF($F97="","",IFERROR(INDEX(사건마스터!$AN$5:$AN$64,MATCH($F97,사건마스터!$A$5:$A$64,0)),""))</f>
        <v/>
      </c>
      <c r="Q97" s="35">
        <f>IF($F97="","",IFERROR(INDEX(사건마스터!$AO$5:$AO$64,MATCH($F97,사건마스터!$A$5:$A$64,0)),""))</f>
        <v/>
      </c>
      <c r="R97" s="35">
        <f>IF($F97="","",IFERROR(INDEX(사건마스터!$AP$5:$AP$64,MATCH($F97,사건마스터!$A$5:$A$64,0)),""))</f>
        <v/>
      </c>
      <c r="S97" s="35">
        <f>IF($F97="","",IFERROR(INDEX(사건마스터!$AQ$5:$AQ$64,MATCH($F97,사건마스터!$A$5:$A$64,0)),""))</f>
        <v/>
      </c>
      <c r="T97" s="35">
        <f>IF($F97="","",IFERROR(INDEX(사건마스터!$AR$5:$AR$64,MATCH($F97,사건마스터!$A$5:$A$64,0)),""))</f>
        <v/>
      </c>
      <c r="U97" s="35">
        <f>IF($F97="","",IFERROR(INDEX(사건마스터!$AS$5:$AS$64,MATCH($F97,사건마스터!$A$5:$A$64,0)),""))</f>
        <v/>
      </c>
      <c r="V97" s="35">
        <f>IF($F97="","",IFERROR(INDEX(사건마스터!$AT$5:$AT$64,MATCH($F97,사건마스터!$A$5:$A$64,0)),""))</f>
        <v/>
      </c>
      <c r="W97" s="35">
        <f>IF($F97="","",IFERROR(INDEX(사건마스터!$AU$5:$AU$64,MATCH($F97,사건마스터!$A$5:$A$64,0)),""))</f>
        <v/>
      </c>
      <c r="X97" s="35">
        <f>IF($F97="","",IFERROR(INDEX(사건마스터!$AV$5:$AV$64,MATCH($F97,사건마스터!$A$5:$A$64,0)),""))</f>
        <v/>
      </c>
      <c r="Y97" s="30">
        <f>IF($I97="","",COUNTIF($I97:$X97,"?*"))</f>
        <v/>
      </c>
      <c r="Z97" s="33">
        <f>IF($I97="","",_xlfn.TEXTJOIN(", ",TRUE,$I97:$X97))</f>
        <v/>
      </c>
      <c r="AA97" s="34">
        <f>IF($I97="","",IFERROR(INDEX(코드설정!$D$5:$D$24,MATCH($I97,코드설정!$C$5:$C$24,0)),""))</f>
        <v/>
      </c>
      <c r="AB97" s="36" t="n"/>
      <c r="AC97" s="37" t="n"/>
      <c r="AD97" s="38" t="n"/>
      <c r="AE97" s="30">
        <f>IF(OR($B97="",$C97=""),"",$C97-$B97+1)</f>
        <v/>
      </c>
      <c r="AF97" s="32" t="n"/>
      <c r="AG97" s="36" t="n"/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3">
        <f>IF($F98="","",IFERROR(INDEX(사건마스터!$B$5:$B$64,MATCH($F98,사건마스터!$A$5:$A$64,0)),""))</f>
        <v/>
      </c>
      <c r="H98" s="34">
        <f>IF($F98="","",IFERROR(INDEX(사건마스터!$C$5:$C$64,MATCH($F98,사건마스터!$A$5:$A$64,0)),""))</f>
        <v/>
      </c>
      <c r="I98" s="35">
        <f>IF($F98="","",IFERROR(INDEX(사건마스터!$H$5:$H$64,MATCH($F98,사건마스터!$A$5:$A$64,0)),""))</f>
        <v/>
      </c>
      <c r="J98" s="35">
        <f>IF($F98="","",IFERROR(INDEX(사건마스터!$AH$5:$AH$64,MATCH($F98,사건마스터!$A$5:$A$64,0)),""))</f>
        <v/>
      </c>
      <c r="K98" s="35">
        <f>IF($F98="","",IFERROR(INDEX(사건마스터!$AI$5:$AI$64,MATCH($F98,사건마스터!$A$5:$A$64,0)),""))</f>
        <v/>
      </c>
      <c r="L98" s="35">
        <f>IF($F98="","",IFERROR(INDEX(사건마스터!$AJ$5:$AJ$64,MATCH($F98,사건마스터!$A$5:$A$64,0)),""))</f>
        <v/>
      </c>
      <c r="M98" s="35">
        <f>IF($F98="","",IFERROR(INDEX(사건마스터!$AK$5:$AK$64,MATCH($F98,사건마스터!$A$5:$A$64,0)),""))</f>
        <v/>
      </c>
      <c r="N98" s="35">
        <f>IF($F98="","",IFERROR(INDEX(사건마스터!$AL$5:$AL$64,MATCH($F98,사건마스터!$A$5:$A$64,0)),""))</f>
        <v/>
      </c>
      <c r="O98" s="35">
        <f>IF($F98="","",IFERROR(INDEX(사건마스터!$AM$5:$AM$64,MATCH($F98,사건마스터!$A$5:$A$64,0)),""))</f>
        <v/>
      </c>
      <c r="P98" s="35">
        <f>IF($F98="","",IFERROR(INDEX(사건마스터!$AN$5:$AN$64,MATCH($F98,사건마스터!$A$5:$A$64,0)),""))</f>
        <v/>
      </c>
      <c r="Q98" s="35">
        <f>IF($F98="","",IFERROR(INDEX(사건마스터!$AO$5:$AO$64,MATCH($F98,사건마스터!$A$5:$A$64,0)),""))</f>
        <v/>
      </c>
      <c r="R98" s="35">
        <f>IF($F98="","",IFERROR(INDEX(사건마스터!$AP$5:$AP$64,MATCH($F98,사건마스터!$A$5:$A$64,0)),""))</f>
        <v/>
      </c>
      <c r="S98" s="35">
        <f>IF($F98="","",IFERROR(INDEX(사건마스터!$AQ$5:$AQ$64,MATCH($F98,사건마스터!$A$5:$A$64,0)),""))</f>
        <v/>
      </c>
      <c r="T98" s="35">
        <f>IF($F98="","",IFERROR(INDEX(사건마스터!$AR$5:$AR$64,MATCH($F98,사건마스터!$A$5:$A$64,0)),""))</f>
        <v/>
      </c>
      <c r="U98" s="35">
        <f>IF($F98="","",IFERROR(INDEX(사건마스터!$AS$5:$AS$64,MATCH($F98,사건마스터!$A$5:$A$64,0)),""))</f>
        <v/>
      </c>
      <c r="V98" s="35">
        <f>IF($F98="","",IFERROR(INDEX(사건마스터!$AT$5:$AT$64,MATCH($F98,사건마스터!$A$5:$A$64,0)),""))</f>
        <v/>
      </c>
      <c r="W98" s="35">
        <f>IF($F98="","",IFERROR(INDEX(사건마스터!$AU$5:$AU$64,MATCH($F98,사건마스터!$A$5:$A$64,0)),""))</f>
        <v/>
      </c>
      <c r="X98" s="35">
        <f>IF($F98="","",IFERROR(INDEX(사건마스터!$AV$5:$AV$64,MATCH($F98,사건마스터!$A$5:$A$64,0)),""))</f>
        <v/>
      </c>
      <c r="Y98" s="30">
        <f>IF($I98="","",COUNTIF($I98:$X98,"?*"))</f>
        <v/>
      </c>
      <c r="Z98" s="33">
        <f>IF($I98="","",_xlfn.TEXTJOIN(", ",TRUE,$I98:$X98))</f>
        <v/>
      </c>
      <c r="AA98" s="34">
        <f>IF($I98="","",IFERROR(INDEX(코드설정!$D$5:$D$24,MATCH($I98,코드설정!$C$5:$C$24,0)),""))</f>
        <v/>
      </c>
      <c r="AB98" s="36" t="n"/>
      <c r="AC98" s="37" t="n"/>
      <c r="AD98" s="38" t="n"/>
      <c r="AE98" s="30">
        <f>IF(OR($B98="",$C98=""),"",$C98-$B98+1)</f>
        <v/>
      </c>
      <c r="AF98" s="32" t="n"/>
      <c r="AG98" s="36" t="n"/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3">
        <f>IF($F99="","",IFERROR(INDEX(사건마스터!$B$5:$B$64,MATCH($F99,사건마스터!$A$5:$A$64,0)),""))</f>
        <v/>
      </c>
      <c r="H99" s="34">
        <f>IF($F99="","",IFERROR(INDEX(사건마스터!$C$5:$C$64,MATCH($F99,사건마스터!$A$5:$A$64,0)),""))</f>
        <v/>
      </c>
      <c r="I99" s="35">
        <f>IF($F99="","",IFERROR(INDEX(사건마스터!$H$5:$H$64,MATCH($F99,사건마스터!$A$5:$A$64,0)),""))</f>
        <v/>
      </c>
      <c r="J99" s="35">
        <f>IF($F99="","",IFERROR(INDEX(사건마스터!$AH$5:$AH$64,MATCH($F99,사건마스터!$A$5:$A$64,0)),""))</f>
        <v/>
      </c>
      <c r="K99" s="35">
        <f>IF($F99="","",IFERROR(INDEX(사건마스터!$AI$5:$AI$64,MATCH($F99,사건마스터!$A$5:$A$64,0)),""))</f>
        <v/>
      </c>
      <c r="L99" s="35">
        <f>IF($F99="","",IFERROR(INDEX(사건마스터!$AJ$5:$AJ$64,MATCH($F99,사건마스터!$A$5:$A$64,0)),""))</f>
        <v/>
      </c>
      <c r="M99" s="35">
        <f>IF($F99="","",IFERROR(INDEX(사건마스터!$AK$5:$AK$64,MATCH($F99,사건마스터!$A$5:$A$64,0)),""))</f>
        <v/>
      </c>
      <c r="N99" s="35">
        <f>IF($F99="","",IFERROR(INDEX(사건마스터!$AL$5:$AL$64,MATCH($F99,사건마스터!$A$5:$A$64,0)),""))</f>
        <v/>
      </c>
      <c r="O99" s="35">
        <f>IF($F99="","",IFERROR(INDEX(사건마스터!$AM$5:$AM$64,MATCH($F99,사건마스터!$A$5:$A$64,0)),""))</f>
        <v/>
      </c>
      <c r="P99" s="35">
        <f>IF($F99="","",IFERROR(INDEX(사건마스터!$AN$5:$AN$64,MATCH($F99,사건마스터!$A$5:$A$64,0)),""))</f>
        <v/>
      </c>
      <c r="Q99" s="35">
        <f>IF($F99="","",IFERROR(INDEX(사건마스터!$AO$5:$AO$64,MATCH($F99,사건마스터!$A$5:$A$64,0)),""))</f>
        <v/>
      </c>
      <c r="R99" s="35">
        <f>IF($F99="","",IFERROR(INDEX(사건마스터!$AP$5:$AP$64,MATCH($F99,사건마스터!$A$5:$A$64,0)),""))</f>
        <v/>
      </c>
      <c r="S99" s="35">
        <f>IF($F99="","",IFERROR(INDEX(사건마스터!$AQ$5:$AQ$64,MATCH($F99,사건마스터!$A$5:$A$64,0)),""))</f>
        <v/>
      </c>
      <c r="T99" s="35">
        <f>IF($F99="","",IFERROR(INDEX(사건마스터!$AR$5:$AR$64,MATCH($F99,사건마스터!$A$5:$A$64,0)),""))</f>
        <v/>
      </c>
      <c r="U99" s="35">
        <f>IF($F99="","",IFERROR(INDEX(사건마스터!$AS$5:$AS$64,MATCH($F99,사건마스터!$A$5:$A$64,0)),""))</f>
        <v/>
      </c>
      <c r="V99" s="35">
        <f>IF($F99="","",IFERROR(INDEX(사건마스터!$AT$5:$AT$64,MATCH($F99,사건마스터!$A$5:$A$64,0)),""))</f>
        <v/>
      </c>
      <c r="W99" s="35">
        <f>IF($F99="","",IFERROR(INDEX(사건마스터!$AU$5:$AU$64,MATCH($F99,사건마스터!$A$5:$A$64,0)),""))</f>
        <v/>
      </c>
      <c r="X99" s="35">
        <f>IF($F99="","",IFERROR(INDEX(사건마스터!$AV$5:$AV$64,MATCH($F99,사건마스터!$A$5:$A$64,0)),""))</f>
        <v/>
      </c>
      <c r="Y99" s="30">
        <f>IF($I99="","",COUNTIF($I99:$X99,"?*"))</f>
        <v/>
      </c>
      <c r="Z99" s="33">
        <f>IF($I99="","",_xlfn.TEXTJOIN(", ",TRUE,$I99:$X99))</f>
        <v/>
      </c>
      <c r="AA99" s="34">
        <f>IF($I99="","",IFERROR(INDEX(코드설정!$D$5:$D$24,MATCH($I99,코드설정!$C$5:$C$24,0)),""))</f>
        <v/>
      </c>
      <c r="AB99" s="36" t="n"/>
      <c r="AC99" s="37" t="n"/>
      <c r="AD99" s="38" t="n"/>
      <c r="AE99" s="30">
        <f>IF(OR($B99="",$C99=""),"",$C99-$B99+1)</f>
        <v/>
      </c>
      <c r="AF99" s="32" t="n"/>
      <c r="AG99" s="36" t="n"/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3">
        <f>IF($F100="","",IFERROR(INDEX(사건마스터!$B$5:$B$64,MATCH($F100,사건마스터!$A$5:$A$64,0)),""))</f>
        <v/>
      </c>
      <c r="H100" s="34">
        <f>IF($F100="","",IFERROR(INDEX(사건마스터!$C$5:$C$64,MATCH($F100,사건마스터!$A$5:$A$64,0)),""))</f>
        <v/>
      </c>
      <c r="I100" s="35">
        <f>IF($F100="","",IFERROR(INDEX(사건마스터!$H$5:$H$64,MATCH($F100,사건마스터!$A$5:$A$64,0)),""))</f>
        <v/>
      </c>
      <c r="J100" s="35">
        <f>IF($F100="","",IFERROR(INDEX(사건마스터!$AH$5:$AH$64,MATCH($F100,사건마스터!$A$5:$A$64,0)),""))</f>
        <v/>
      </c>
      <c r="K100" s="35">
        <f>IF($F100="","",IFERROR(INDEX(사건마스터!$AI$5:$AI$64,MATCH($F100,사건마스터!$A$5:$A$64,0)),""))</f>
        <v/>
      </c>
      <c r="L100" s="35">
        <f>IF($F100="","",IFERROR(INDEX(사건마스터!$AJ$5:$AJ$64,MATCH($F100,사건마스터!$A$5:$A$64,0)),""))</f>
        <v/>
      </c>
      <c r="M100" s="35">
        <f>IF($F100="","",IFERROR(INDEX(사건마스터!$AK$5:$AK$64,MATCH($F100,사건마스터!$A$5:$A$64,0)),""))</f>
        <v/>
      </c>
      <c r="N100" s="35">
        <f>IF($F100="","",IFERROR(INDEX(사건마스터!$AL$5:$AL$64,MATCH($F100,사건마스터!$A$5:$A$64,0)),""))</f>
        <v/>
      </c>
      <c r="O100" s="35">
        <f>IF($F100="","",IFERROR(INDEX(사건마스터!$AM$5:$AM$64,MATCH($F100,사건마스터!$A$5:$A$64,0)),""))</f>
        <v/>
      </c>
      <c r="P100" s="35">
        <f>IF($F100="","",IFERROR(INDEX(사건마스터!$AN$5:$AN$64,MATCH($F100,사건마스터!$A$5:$A$64,0)),""))</f>
        <v/>
      </c>
      <c r="Q100" s="35">
        <f>IF($F100="","",IFERROR(INDEX(사건마스터!$AO$5:$AO$64,MATCH($F100,사건마스터!$A$5:$A$64,0)),""))</f>
        <v/>
      </c>
      <c r="R100" s="35">
        <f>IF($F100="","",IFERROR(INDEX(사건마스터!$AP$5:$AP$64,MATCH($F100,사건마스터!$A$5:$A$64,0)),""))</f>
        <v/>
      </c>
      <c r="S100" s="35">
        <f>IF($F100="","",IFERROR(INDEX(사건마스터!$AQ$5:$AQ$64,MATCH($F100,사건마스터!$A$5:$A$64,0)),""))</f>
        <v/>
      </c>
      <c r="T100" s="35">
        <f>IF($F100="","",IFERROR(INDEX(사건마스터!$AR$5:$AR$64,MATCH($F100,사건마스터!$A$5:$A$64,0)),""))</f>
        <v/>
      </c>
      <c r="U100" s="35">
        <f>IF($F100="","",IFERROR(INDEX(사건마스터!$AS$5:$AS$64,MATCH($F100,사건마스터!$A$5:$A$64,0)),""))</f>
        <v/>
      </c>
      <c r="V100" s="35">
        <f>IF($F100="","",IFERROR(INDEX(사건마스터!$AT$5:$AT$64,MATCH($F100,사건마스터!$A$5:$A$64,0)),""))</f>
        <v/>
      </c>
      <c r="W100" s="35">
        <f>IF($F100="","",IFERROR(INDEX(사건마스터!$AU$5:$AU$64,MATCH($F100,사건마스터!$A$5:$A$64,0)),""))</f>
        <v/>
      </c>
      <c r="X100" s="35">
        <f>IF($F100="","",IFERROR(INDEX(사건마스터!$AV$5:$AV$64,MATCH($F100,사건마스터!$A$5:$A$64,0)),""))</f>
        <v/>
      </c>
      <c r="Y100" s="30">
        <f>IF($I100="","",COUNTIF($I100:$X100,"?*"))</f>
        <v/>
      </c>
      <c r="Z100" s="33">
        <f>IF($I100="","",_xlfn.TEXTJOIN(", ",TRUE,$I100:$X100))</f>
        <v/>
      </c>
      <c r="AA100" s="34">
        <f>IF($I100="","",IFERROR(INDEX(코드설정!$D$5:$D$24,MATCH($I100,코드설정!$C$5:$C$24,0)),""))</f>
        <v/>
      </c>
      <c r="AB100" s="36" t="n"/>
      <c r="AC100" s="37" t="n"/>
      <c r="AD100" s="38" t="n"/>
      <c r="AE100" s="30">
        <f>IF(OR($B100="",$C100=""),"",$C100-$B100+1)</f>
        <v/>
      </c>
      <c r="AF100" s="32" t="n"/>
      <c r="AG100" s="36" t="n"/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3">
        <f>IF($F101="","",IFERROR(INDEX(사건마스터!$B$5:$B$64,MATCH($F101,사건마스터!$A$5:$A$64,0)),""))</f>
        <v/>
      </c>
      <c r="H101" s="34">
        <f>IF($F101="","",IFERROR(INDEX(사건마스터!$C$5:$C$64,MATCH($F101,사건마스터!$A$5:$A$64,0)),""))</f>
        <v/>
      </c>
      <c r="I101" s="35">
        <f>IF($F101="","",IFERROR(INDEX(사건마스터!$H$5:$H$64,MATCH($F101,사건마스터!$A$5:$A$64,0)),""))</f>
        <v/>
      </c>
      <c r="J101" s="35">
        <f>IF($F101="","",IFERROR(INDEX(사건마스터!$AH$5:$AH$64,MATCH($F101,사건마스터!$A$5:$A$64,0)),""))</f>
        <v/>
      </c>
      <c r="K101" s="35">
        <f>IF($F101="","",IFERROR(INDEX(사건마스터!$AI$5:$AI$64,MATCH($F101,사건마스터!$A$5:$A$64,0)),""))</f>
        <v/>
      </c>
      <c r="L101" s="35">
        <f>IF($F101="","",IFERROR(INDEX(사건마스터!$AJ$5:$AJ$64,MATCH($F101,사건마스터!$A$5:$A$64,0)),""))</f>
        <v/>
      </c>
      <c r="M101" s="35">
        <f>IF($F101="","",IFERROR(INDEX(사건마스터!$AK$5:$AK$64,MATCH($F101,사건마스터!$A$5:$A$64,0)),""))</f>
        <v/>
      </c>
      <c r="N101" s="35">
        <f>IF($F101="","",IFERROR(INDEX(사건마스터!$AL$5:$AL$64,MATCH($F101,사건마스터!$A$5:$A$64,0)),""))</f>
        <v/>
      </c>
      <c r="O101" s="35">
        <f>IF($F101="","",IFERROR(INDEX(사건마스터!$AM$5:$AM$64,MATCH($F101,사건마스터!$A$5:$A$64,0)),""))</f>
        <v/>
      </c>
      <c r="P101" s="35">
        <f>IF($F101="","",IFERROR(INDEX(사건마스터!$AN$5:$AN$64,MATCH($F101,사건마스터!$A$5:$A$64,0)),""))</f>
        <v/>
      </c>
      <c r="Q101" s="35">
        <f>IF($F101="","",IFERROR(INDEX(사건마스터!$AO$5:$AO$64,MATCH($F101,사건마스터!$A$5:$A$64,0)),""))</f>
        <v/>
      </c>
      <c r="R101" s="35">
        <f>IF($F101="","",IFERROR(INDEX(사건마스터!$AP$5:$AP$64,MATCH($F101,사건마스터!$A$5:$A$64,0)),""))</f>
        <v/>
      </c>
      <c r="S101" s="35">
        <f>IF($F101="","",IFERROR(INDEX(사건마스터!$AQ$5:$AQ$64,MATCH($F101,사건마스터!$A$5:$A$64,0)),""))</f>
        <v/>
      </c>
      <c r="T101" s="35">
        <f>IF($F101="","",IFERROR(INDEX(사건마스터!$AR$5:$AR$64,MATCH($F101,사건마스터!$A$5:$A$64,0)),""))</f>
        <v/>
      </c>
      <c r="U101" s="35">
        <f>IF($F101="","",IFERROR(INDEX(사건마스터!$AS$5:$AS$64,MATCH($F101,사건마스터!$A$5:$A$64,0)),""))</f>
        <v/>
      </c>
      <c r="V101" s="35">
        <f>IF($F101="","",IFERROR(INDEX(사건마스터!$AT$5:$AT$64,MATCH($F101,사건마스터!$A$5:$A$64,0)),""))</f>
        <v/>
      </c>
      <c r="W101" s="35">
        <f>IF($F101="","",IFERROR(INDEX(사건마스터!$AU$5:$AU$64,MATCH($F101,사건마스터!$A$5:$A$64,0)),""))</f>
        <v/>
      </c>
      <c r="X101" s="35">
        <f>IF($F101="","",IFERROR(INDEX(사건마스터!$AV$5:$AV$64,MATCH($F101,사건마스터!$A$5:$A$64,0)),""))</f>
        <v/>
      </c>
      <c r="Y101" s="30">
        <f>IF($I101="","",COUNTIF($I101:$X101,"?*"))</f>
        <v/>
      </c>
      <c r="Z101" s="33">
        <f>IF($I101="","",_xlfn.TEXTJOIN(", ",TRUE,$I101:$X101))</f>
        <v/>
      </c>
      <c r="AA101" s="34">
        <f>IF($I101="","",IFERROR(INDEX(코드설정!$D$5:$D$24,MATCH($I101,코드설정!$C$5:$C$24,0)),""))</f>
        <v/>
      </c>
      <c r="AB101" s="36" t="n"/>
      <c r="AC101" s="37" t="n"/>
      <c r="AD101" s="38" t="n"/>
      <c r="AE101" s="30">
        <f>IF(OR($B101="",$C101=""),"",$C101-$B101+1)</f>
        <v/>
      </c>
      <c r="AF101" s="32" t="n"/>
      <c r="AG101" s="36" t="n"/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3">
        <f>IF($F102="","",IFERROR(INDEX(사건마스터!$B$5:$B$64,MATCH($F102,사건마스터!$A$5:$A$64,0)),""))</f>
        <v/>
      </c>
      <c r="H102" s="34">
        <f>IF($F102="","",IFERROR(INDEX(사건마스터!$C$5:$C$64,MATCH($F102,사건마스터!$A$5:$A$64,0)),""))</f>
        <v/>
      </c>
      <c r="I102" s="35">
        <f>IF($F102="","",IFERROR(INDEX(사건마스터!$H$5:$H$64,MATCH($F102,사건마스터!$A$5:$A$64,0)),""))</f>
        <v/>
      </c>
      <c r="J102" s="35">
        <f>IF($F102="","",IFERROR(INDEX(사건마스터!$AH$5:$AH$64,MATCH($F102,사건마스터!$A$5:$A$64,0)),""))</f>
        <v/>
      </c>
      <c r="K102" s="35">
        <f>IF($F102="","",IFERROR(INDEX(사건마스터!$AI$5:$AI$64,MATCH($F102,사건마스터!$A$5:$A$64,0)),""))</f>
        <v/>
      </c>
      <c r="L102" s="35">
        <f>IF($F102="","",IFERROR(INDEX(사건마스터!$AJ$5:$AJ$64,MATCH($F102,사건마스터!$A$5:$A$64,0)),""))</f>
        <v/>
      </c>
      <c r="M102" s="35">
        <f>IF($F102="","",IFERROR(INDEX(사건마스터!$AK$5:$AK$64,MATCH($F102,사건마스터!$A$5:$A$64,0)),""))</f>
        <v/>
      </c>
      <c r="N102" s="35">
        <f>IF($F102="","",IFERROR(INDEX(사건마스터!$AL$5:$AL$64,MATCH($F102,사건마스터!$A$5:$A$64,0)),""))</f>
        <v/>
      </c>
      <c r="O102" s="35">
        <f>IF($F102="","",IFERROR(INDEX(사건마스터!$AM$5:$AM$64,MATCH($F102,사건마스터!$A$5:$A$64,0)),""))</f>
        <v/>
      </c>
      <c r="P102" s="35">
        <f>IF($F102="","",IFERROR(INDEX(사건마스터!$AN$5:$AN$64,MATCH($F102,사건마스터!$A$5:$A$64,0)),""))</f>
        <v/>
      </c>
      <c r="Q102" s="35">
        <f>IF($F102="","",IFERROR(INDEX(사건마스터!$AO$5:$AO$64,MATCH($F102,사건마스터!$A$5:$A$64,0)),""))</f>
        <v/>
      </c>
      <c r="R102" s="35">
        <f>IF($F102="","",IFERROR(INDEX(사건마스터!$AP$5:$AP$64,MATCH($F102,사건마스터!$A$5:$A$64,0)),""))</f>
        <v/>
      </c>
      <c r="S102" s="35">
        <f>IF($F102="","",IFERROR(INDEX(사건마스터!$AQ$5:$AQ$64,MATCH($F102,사건마스터!$A$5:$A$64,0)),""))</f>
        <v/>
      </c>
      <c r="T102" s="35">
        <f>IF($F102="","",IFERROR(INDEX(사건마스터!$AR$5:$AR$64,MATCH($F102,사건마스터!$A$5:$A$64,0)),""))</f>
        <v/>
      </c>
      <c r="U102" s="35">
        <f>IF($F102="","",IFERROR(INDEX(사건마스터!$AS$5:$AS$64,MATCH($F102,사건마스터!$A$5:$A$64,0)),""))</f>
        <v/>
      </c>
      <c r="V102" s="35">
        <f>IF($F102="","",IFERROR(INDEX(사건마스터!$AT$5:$AT$64,MATCH($F102,사건마스터!$A$5:$A$64,0)),""))</f>
        <v/>
      </c>
      <c r="W102" s="35">
        <f>IF($F102="","",IFERROR(INDEX(사건마스터!$AU$5:$AU$64,MATCH($F102,사건마스터!$A$5:$A$64,0)),""))</f>
        <v/>
      </c>
      <c r="X102" s="35">
        <f>IF($F102="","",IFERROR(INDEX(사건마스터!$AV$5:$AV$64,MATCH($F102,사건마스터!$A$5:$A$64,0)),""))</f>
        <v/>
      </c>
      <c r="Y102" s="30">
        <f>IF($I102="","",COUNTIF($I102:$X102,"?*"))</f>
        <v/>
      </c>
      <c r="Z102" s="33">
        <f>IF($I102="","",_xlfn.TEXTJOIN(", ",TRUE,$I102:$X102))</f>
        <v/>
      </c>
      <c r="AA102" s="34">
        <f>IF($I102="","",IFERROR(INDEX(코드설정!$D$5:$D$24,MATCH($I102,코드설정!$C$5:$C$24,0)),""))</f>
        <v/>
      </c>
      <c r="AB102" s="36" t="n"/>
      <c r="AC102" s="37" t="n"/>
      <c r="AD102" s="38" t="n"/>
      <c r="AE102" s="30">
        <f>IF(OR($B102="",$C102=""),"",$C102-$B102+1)</f>
        <v/>
      </c>
      <c r="AF102" s="32" t="n"/>
      <c r="AG102" s="36" t="n"/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3">
        <f>IF($F103="","",IFERROR(INDEX(사건마스터!$B$5:$B$64,MATCH($F103,사건마스터!$A$5:$A$64,0)),""))</f>
        <v/>
      </c>
      <c r="H103" s="34">
        <f>IF($F103="","",IFERROR(INDEX(사건마스터!$C$5:$C$64,MATCH($F103,사건마스터!$A$5:$A$64,0)),""))</f>
        <v/>
      </c>
      <c r="I103" s="35">
        <f>IF($F103="","",IFERROR(INDEX(사건마스터!$H$5:$H$64,MATCH($F103,사건마스터!$A$5:$A$64,0)),""))</f>
        <v/>
      </c>
      <c r="J103" s="35">
        <f>IF($F103="","",IFERROR(INDEX(사건마스터!$AH$5:$AH$64,MATCH($F103,사건마스터!$A$5:$A$64,0)),""))</f>
        <v/>
      </c>
      <c r="K103" s="35">
        <f>IF($F103="","",IFERROR(INDEX(사건마스터!$AI$5:$AI$64,MATCH($F103,사건마스터!$A$5:$A$64,0)),""))</f>
        <v/>
      </c>
      <c r="L103" s="35">
        <f>IF($F103="","",IFERROR(INDEX(사건마스터!$AJ$5:$AJ$64,MATCH($F103,사건마스터!$A$5:$A$64,0)),""))</f>
        <v/>
      </c>
      <c r="M103" s="35">
        <f>IF($F103="","",IFERROR(INDEX(사건마스터!$AK$5:$AK$64,MATCH($F103,사건마스터!$A$5:$A$64,0)),""))</f>
        <v/>
      </c>
      <c r="N103" s="35">
        <f>IF($F103="","",IFERROR(INDEX(사건마스터!$AL$5:$AL$64,MATCH($F103,사건마스터!$A$5:$A$64,0)),""))</f>
        <v/>
      </c>
      <c r="O103" s="35">
        <f>IF($F103="","",IFERROR(INDEX(사건마스터!$AM$5:$AM$64,MATCH($F103,사건마스터!$A$5:$A$64,0)),""))</f>
        <v/>
      </c>
      <c r="P103" s="35">
        <f>IF($F103="","",IFERROR(INDEX(사건마스터!$AN$5:$AN$64,MATCH($F103,사건마스터!$A$5:$A$64,0)),""))</f>
        <v/>
      </c>
      <c r="Q103" s="35">
        <f>IF($F103="","",IFERROR(INDEX(사건마스터!$AO$5:$AO$64,MATCH($F103,사건마스터!$A$5:$A$64,0)),""))</f>
        <v/>
      </c>
      <c r="R103" s="35">
        <f>IF($F103="","",IFERROR(INDEX(사건마스터!$AP$5:$AP$64,MATCH($F103,사건마스터!$A$5:$A$64,0)),""))</f>
        <v/>
      </c>
      <c r="S103" s="35">
        <f>IF($F103="","",IFERROR(INDEX(사건마스터!$AQ$5:$AQ$64,MATCH($F103,사건마스터!$A$5:$A$64,0)),""))</f>
        <v/>
      </c>
      <c r="T103" s="35">
        <f>IF($F103="","",IFERROR(INDEX(사건마스터!$AR$5:$AR$64,MATCH($F103,사건마스터!$A$5:$A$64,0)),""))</f>
        <v/>
      </c>
      <c r="U103" s="35">
        <f>IF($F103="","",IFERROR(INDEX(사건마스터!$AS$5:$AS$64,MATCH($F103,사건마스터!$A$5:$A$64,0)),""))</f>
        <v/>
      </c>
      <c r="V103" s="35">
        <f>IF($F103="","",IFERROR(INDEX(사건마스터!$AT$5:$AT$64,MATCH($F103,사건마스터!$A$5:$A$64,0)),""))</f>
        <v/>
      </c>
      <c r="W103" s="35">
        <f>IF($F103="","",IFERROR(INDEX(사건마스터!$AU$5:$AU$64,MATCH($F103,사건마스터!$A$5:$A$64,0)),""))</f>
        <v/>
      </c>
      <c r="X103" s="35">
        <f>IF($F103="","",IFERROR(INDEX(사건마스터!$AV$5:$AV$64,MATCH($F103,사건마스터!$A$5:$A$64,0)),""))</f>
        <v/>
      </c>
      <c r="Y103" s="30">
        <f>IF($I103="","",COUNTIF($I103:$X103,"?*"))</f>
        <v/>
      </c>
      <c r="Z103" s="33">
        <f>IF($I103="","",_xlfn.TEXTJOIN(", ",TRUE,$I103:$X103))</f>
        <v/>
      </c>
      <c r="AA103" s="34">
        <f>IF($I103="","",IFERROR(INDEX(코드설정!$D$5:$D$24,MATCH($I103,코드설정!$C$5:$C$24,0)),""))</f>
        <v/>
      </c>
      <c r="AB103" s="36" t="n"/>
      <c r="AC103" s="37" t="n"/>
      <c r="AD103" s="38" t="n"/>
      <c r="AE103" s="30">
        <f>IF(OR($B103="",$C103=""),"",$C103-$B103+1)</f>
        <v/>
      </c>
      <c r="AF103" s="32" t="n"/>
      <c r="AG103" s="36" t="n"/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3">
        <f>IF($F104="","",IFERROR(INDEX(사건마스터!$B$5:$B$64,MATCH($F104,사건마스터!$A$5:$A$64,0)),""))</f>
        <v/>
      </c>
      <c r="H104" s="34">
        <f>IF($F104="","",IFERROR(INDEX(사건마스터!$C$5:$C$64,MATCH($F104,사건마스터!$A$5:$A$64,0)),""))</f>
        <v/>
      </c>
      <c r="I104" s="35">
        <f>IF($F104="","",IFERROR(INDEX(사건마스터!$H$5:$H$64,MATCH($F104,사건마스터!$A$5:$A$64,0)),""))</f>
        <v/>
      </c>
      <c r="J104" s="35">
        <f>IF($F104="","",IFERROR(INDEX(사건마스터!$AH$5:$AH$64,MATCH($F104,사건마스터!$A$5:$A$64,0)),""))</f>
        <v/>
      </c>
      <c r="K104" s="35">
        <f>IF($F104="","",IFERROR(INDEX(사건마스터!$AI$5:$AI$64,MATCH($F104,사건마스터!$A$5:$A$64,0)),""))</f>
        <v/>
      </c>
      <c r="L104" s="35">
        <f>IF($F104="","",IFERROR(INDEX(사건마스터!$AJ$5:$AJ$64,MATCH($F104,사건마스터!$A$5:$A$64,0)),""))</f>
        <v/>
      </c>
      <c r="M104" s="35">
        <f>IF($F104="","",IFERROR(INDEX(사건마스터!$AK$5:$AK$64,MATCH($F104,사건마스터!$A$5:$A$64,0)),""))</f>
        <v/>
      </c>
      <c r="N104" s="35">
        <f>IF($F104="","",IFERROR(INDEX(사건마스터!$AL$5:$AL$64,MATCH($F104,사건마스터!$A$5:$A$64,0)),""))</f>
        <v/>
      </c>
      <c r="O104" s="35">
        <f>IF($F104="","",IFERROR(INDEX(사건마스터!$AM$5:$AM$64,MATCH($F104,사건마스터!$A$5:$A$64,0)),""))</f>
        <v/>
      </c>
      <c r="P104" s="35">
        <f>IF($F104="","",IFERROR(INDEX(사건마스터!$AN$5:$AN$64,MATCH($F104,사건마스터!$A$5:$A$64,0)),""))</f>
        <v/>
      </c>
      <c r="Q104" s="35">
        <f>IF($F104="","",IFERROR(INDEX(사건마스터!$AO$5:$AO$64,MATCH($F104,사건마스터!$A$5:$A$64,0)),""))</f>
        <v/>
      </c>
      <c r="R104" s="35">
        <f>IF($F104="","",IFERROR(INDEX(사건마스터!$AP$5:$AP$64,MATCH($F104,사건마스터!$A$5:$A$64,0)),""))</f>
        <v/>
      </c>
      <c r="S104" s="35">
        <f>IF($F104="","",IFERROR(INDEX(사건마스터!$AQ$5:$AQ$64,MATCH($F104,사건마스터!$A$5:$A$64,0)),""))</f>
        <v/>
      </c>
      <c r="T104" s="35">
        <f>IF($F104="","",IFERROR(INDEX(사건마스터!$AR$5:$AR$64,MATCH($F104,사건마스터!$A$5:$A$64,0)),""))</f>
        <v/>
      </c>
      <c r="U104" s="35">
        <f>IF($F104="","",IFERROR(INDEX(사건마스터!$AS$5:$AS$64,MATCH($F104,사건마스터!$A$5:$A$64,0)),""))</f>
        <v/>
      </c>
      <c r="V104" s="35">
        <f>IF($F104="","",IFERROR(INDEX(사건마스터!$AT$5:$AT$64,MATCH($F104,사건마스터!$A$5:$A$64,0)),""))</f>
        <v/>
      </c>
      <c r="W104" s="35">
        <f>IF($F104="","",IFERROR(INDEX(사건마스터!$AU$5:$AU$64,MATCH($F104,사건마스터!$A$5:$A$64,0)),""))</f>
        <v/>
      </c>
      <c r="X104" s="35">
        <f>IF($F104="","",IFERROR(INDEX(사건마스터!$AV$5:$AV$64,MATCH($F104,사건마스터!$A$5:$A$64,0)),""))</f>
        <v/>
      </c>
      <c r="Y104" s="30">
        <f>IF($I104="","",COUNTIF($I104:$X104,"?*"))</f>
        <v/>
      </c>
      <c r="Z104" s="33">
        <f>IF($I104="","",_xlfn.TEXTJOIN(", ",TRUE,$I104:$X104))</f>
        <v/>
      </c>
      <c r="AA104" s="34">
        <f>IF($I104="","",IFERROR(INDEX(코드설정!$D$5:$D$24,MATCH($I104,코드설정!$C$5:$C$24,0)),""))</f>
        <v/>
      </c>
      <c r="AB104" s="36" t="n"/>
      <c r="AC104" s="37" t="n"/>
      <c r="AD104" s="38" t="n"/>
      <c r="AE104" s="30">
        <f>IF(OR($B104="",$C104=""),"",$C104-$B104+1)</f>
        <v/>
      </c>
      <c r="AF104" s="32" t="n"/>
      <c r="AG104" s="36" t="n"/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3">
        <f>IF($F105="","",IFERROR(INDEX(사건마스터!$B$5:$B$64,MATCH($F105,사건마스터!$A$5:$A$64,0)),""))</f>
        <v/>
      </c>
      <c r="H105" s="34">
        <f>IF($F105="","",IFERROR(INDEX(사건마스터!$C$5:$C$64,MATCH($F105,사건마스터!$A$5:$A$64,0)),""))</f>
        <v/>
      </c>
      <c r="I105" s="35">
        <f>IF($F105="","",IFERROR(INDEX(사건마스터!$H$5:$H$64,MATCH($F105,사건마스터!$A$5:$A$64,0)),""))</f>
        <v/>
      </c>
      <c r="J105" s="35">
        <f>IF($F105="","",IFERROR(INDEX(사건마스터!$AH$5:$AH$64,MATCH($F105,사건마스터!$A$5:$A$64,0)),""))</f>
        <v/>
      </c>
      <c r="K105" s="35">
        <f>IF($F105="","",IFERROR(INDEX(사건마스터!$AI$5:$AI$64,MATCH($F105,사건마스터!$A$5:$A$64,0)),""))</f>
        <v/>
      </c>
      <c r="L105" s="35">
        <f>IF($F105="","",IFERROR(INDEX(사건마스터!$AJ$5:$AJ$64,MATCH($F105,사건마스터!$A$5:$A$64,0)),""))</f>
        <v/>
      </c>
      <c r="M105" s="35">
        <f>IF($F105="","",IFERROR(INDEX(사건마스터!$AK$5:$AK$64,MATCH($F105,사건마스터!$A$5:$A$64,0)),""))</f>
        <v/>
      </c>
      <c r="N105" s="35">
        <f>IF($F105="","",IFERROR(INDEX(사건마스터!$AL$5:$AL$64,MATCH($F105,사건마스터!$A$5:$A$64,0)),""))</f>
        <v/>
      </c>
      <c r="O105" s="35">
        <f>IF($F105="","",IFERROR(INDEX(사건마스터!$AM$5:$AM$64,MATCH($F105,사건마스터!$A$5:$A$64,0)),""))</f>
        <v/>
      </c>
      <c r="P105" s="35">
        <f>IF($F105="","",IFERROR(INDEX(사건마스터!$AN$5:$AN$64,MATCH($F105,사건마스터!$A$5:$A$64,0)),""))</f>
        <v/>
      </c>
      <c r="Q105" s="35">
        <f>IF($F105="","",IFERROR(INDEX(사건마스터!$AO$5:$AO$64,MATCH($F105,사건마스터!$A$5:$A$64,0)),""))</f>
        <v/>
      </c>
      <c r="R105" s="35">
        <f>IF($F105="","",IFERROR(INDEX(사건마스터!$AP$5:$AP$64,MATCH($F105,사건마스터!$A$5:$A$64,0)),""))</f>
        <v/>
      </c>
      <c r="S105" s="35">
        <f>IF($F105="","",IFERROR(INDEX(사건마스터!$AQ$5:$AQ$64,MATCH($F105,사건마스터!$A$5:$A$64,0)),""))</f>
        <v/>
      </c>
      <c r="T105" s="35">
        <f>IF($F105="","",IFERROR(INDEX(사건마스터!$AR$5:$AR$64,MATCH($F105,사건마스터!$A$5:$A$64,0)),""))</f>
        <v/>
      </c>
      <c r="U105" s="35">
        <f>IF($F105="","",IFERROR(INDEX(사건마스터!$AS$5:$AS$64,MATCH($F105,사건마스터!$A$5:$A$64,0)),""))</f>
        <v/>
      </c>
      <c r="V105" s="35">
        <f>IF($F105="","",IFERROR(INDEX(사건마스터!$AT$5:$AT$64,MATCH($F105,사건마스터!$A$5:$A$64,0)),""))</f>
        <v/>
      </c>
      <c r="W105" s="35">
        <f>IF($F105="","",IFERROR(INDEX(사건마스터!$AU$5:$AU$64,MATCH($F105,사건마스터!$A$5:$A$64,0)),""))</f>
        <v/>
      </c>
      <c r="X105" s="35">
        <f>IF($F105="","",IFERROR(INDEX(사건마스터!$AV$5:$AV$64,MATCH($F105,사건마스터!$A$5:$A$64,0)),""))</f>
        <v/>
      </c>
      <c r="Y105" s="30">
        <f>IF($I105="","",COUNTIF($I105:$X105,"?*"))</f>
        <v/>
      </c>
      <c r="Z105" s="33">
        <f>IF($I105="","",_xlfn.TEXTJOIN(", ",TRUE,$I105:$X105))</f>
        <v/>
      </c>
      <c r="AA105" s="34">
        <f>IF($I105="","",IFERROR(INDEX(코드설정!$D$5:$D$24,MATCH($I105,코드설정!$C$5:$C$24,0)),""))</f>
        <v/>
      </c>
      <c r="AB105" s="36" t="n"/>
      <c r="AC105" s="37" t="n"/>
      <c r="AD105" s="38" t="n"/>
      <c r="AE105" s="30">
        <f>IF(OR($B105="",$C105=""),"",$C105-$B105+1)</f>
        <v/>
      </c>
      <c r="AF105" s="32" t="n"/>
      <c r="AG105" s="36" t="n"/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3">
        <f>IF($F106="","",IFERROR(INDEX(사건마스터!$B$5:$B$64,MATCH($F106,사건마스터!$A$5:$A$64,0)),""))</f>
        <v/>
      </c>
      <c r="H106" s="34">
        <f>IF($F106="","",IFERROR(INDEX(사건마스터!$C$5:$C$64,MATCH($F106,사건마스터!$A$5:$A$64,0)),""))</f>
        <v/>
      </c>
      <c r="I106" s="35">
        <f>IF($F106="","",IFERROR(INDEX(사건마스터!$H$5:$H$64,MATCH($F106,사건마스터!$A$5:$A$64,0)),""))</f>
        <v/>
      </c>
      <c r="J106" s="35">
        <f>IF($F106="","",IFERROR(INDEX(사건마스터!$AH$5:$AH$64,MATCH($F106,사건마스터!$A$5:$A$64,0)),""))</f>
        <v/>
      </c>
      <c r="K106" s="35">
        <f>IF($F106="","",IFERROR(INDEX(사건마스터!$AI$5:$AI$64,MATCH($F106,사건마스터!$A$5:$A$64,0)),""))</f>
        <v/>
      </c>
      <c r="L106" s="35">
        <f>IF($F106="","",IFERROR(INDEX(사건마스터!$AJ$5:$AJ$64,MATCH($F106,사건마스터!$A$5:$A$64,0)),""))</f>
        <v/>
      </c>
      <c r="M106" s="35">
        <f>IF($F106="","",IFERROR(INDEX(사건마스터!$AK$5:$AK$64,MATCH($F106,사건마스터!$A$5:$A$64,0)),""))</f>
        <v/>
      </c>
      <c r="N106" s="35">
        <f>IF($F106="","",IFERROR(INDEX(사건마스터!$AL$5:$AL$64,MATCH($F106,사건마스터!$A$5:$A$64,0)),""))</f>
        <v/>
      </c>
      <c r="O106" s="35">
        <f>IF($F106="","",IFERROR(INDEX(사건마스터!$AM$5:$AM$64,MATCH($F106,사건마스터!$A$5:$A$64,0)),""))</f>
        <v/>
      </c>
      <c r="P106" s="35">
        <f>IF($F106="","",IFERROR(INDEX(사건마스터!$AN$5:$AN$64,MATCH($F106,사건마스터!$A$5:$A$64,0)),""))</f>
        <v/>
      </c>
      <c r="Q106" s="35">
        <f>IF($F106="","",IFERROR(INDEX(사건마스터!$AO$5:$AO$64,MATCH($F106,사건마스터!$A$5:$A$64,0)),""))</f>
        <v/>
      </c>
      <c r="R106" s="35">
        <f>IF($F106="","",IFERROR(INDEX(사건마스터!$AP$5:$AP$64,MATCH($F106,사건마스터!$A$5:$A$64,0)),""))</f>
        <v/>
      </c>
      <c r="S106" s="35">
        <f>IF($F106="","",IFERROR(INDEX(사건마스터!$AQ$5:$AQ$64,MATCH($F106,사건마스터!$A$5:$A$64,0)),""))</f>
        <v/>
      </c>
      <c r="T106" s="35">
        <f>IF($F106="","",IFERROR(INDEX(사건마스터!$AR$5:$AR$64,MATCH($F106,사건마스터!$A$5:$A$64,0)),""))</f>
        <v/>
      </c>
      <c r="U106" s="35">
        <f>IF($F106="","",IFERROR(INDEX(사건마스터!$AS$5:$AS$64,MATCH($F106,사건마스터!$A$5:$A$64,0)),""))</f>
        <v/>
      </c>
      <c r="V106" s="35">
        <f>IF($F106="","",IFERROR(INDEX(사건마스터!$AT$5:$AT$64,MATCH($F106,사건마스터!$A$5:$A$64,0)),""))</f>
        <v/>
      </c>
      <c r="W106" s="35">
        <f>IF($F106="","",IFERROR(INDEX(사건마스터!$AU$5:$AU$64,MATCH($F106,사건마스터!$A$5:$A$64,0)),""))</f>
        <v/>
      </c>
      <c r="X106" s="35">
        <f>IF($F106="","",IFERROR(INDEX(사건마스터!$AV$5:$AV$64,MATCH($F106,사건마스터!$A$5:$A$64,0)),""))</f>
        <v/>
      </c>
      <c r="Y106" s="30">
        <f>IF($I106="","",COUNTIF($I106:$X106,"?*"))</f>
        <v/>
      </c>
      <c r="Z106" s="33">
        <f>IF($I106="","",_xlfn.TEXTJOIN(", ",TRUE,$I106:$X106))</f>
        <v/>
      </c>
      <c r="AA106" s="34">
        <f>IF($I106="","",IFERROR(INDEX(코드설정!$D$5:$D$24,MATCH($I106,코드설정!$C$5:$C$24,0)),""))</f>
        <v/>
      </c>
      <c r="AB106" s="36" t="n"/>
      <c r="AC106" s="37" t="n"/>
      <c r="AD106" s="38" t="n"/>
      <c r="AE106" s="30">
        <f>IF(OR($B106="",$C106=""),"",$C106-$B106+1)</f>
        <v/>
      </c>
      <c r="AF106" s="32" t="n"/>
      <c r="AG106" s="36" t="n"/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3">
        <f>IF($F107="","",IFERROR(INDEX(사건마스터!$B$5:$B$64,MATCH($F107,사건마스터!$A$5:$A$64,0)),""))</f>
        <v/>
      </c>
      <c r="H107" s="34">
        <f>IF($F107="","",IFERROR(INDEX(사건마스터!$C$5:$C$64,MATCH($F107,사건마스터!$A$5:$A$64,0)),""))</f>
        <v/>
      </c>
      <c r="I107" s="35">
        <f>IF($F107="","",IFERROR(INDEX(사건마스터!$H$5:$H$64,MATCH($F107,사건마스터!$A$5:$A$64,0)),""))</f>
        <v/>
      </c>
      <c r="J107" s="35">
        <f>IF($F107="","",IFERROR(INDEX(사건마스터!$AH$5:$AH$64,MATCH($F107,사건마스터!$A$5:$A$64,0)),""))</f>
        <v/>
      </c>
      <c r="K107" s="35">
        <f>IF($F107="","",IFERROR(INDEX(사건마스터!$AI$5:$AI$64,MATCH($F107,사건마스터!$A$5:$A$64,0)),""))</f>
        <v/>
      </c>
      <c r="L107" s="35">
        <f>IF($F107="","",IFERROR(INDEX(사건마스터!$AJ$5:$AJ$64,MATCH($F107,사건마스터!$A$5:$A$64,0)),""))</f>
        <v/>
      </c>
      <c r="M107" s="35">
        <f>IF($F107="","",IFERROR(INDEX(사건마스터!$AK$5:$AK$64,MATCH($F107,사건마스터!$A$5:$A$64,0)),""))</f>
        <v/>
      </c>
      <c r="N107" s="35">
        <f>IF($F107="","",IFERROR(INDEX(사건마스터!$AL$5:$AL$64,MATCH($F107,사건마스터!$A$5:$A$64,0)),""))</f>
        <v/>
      </c>
      <c r="O107" s="35">
        <f>IF($F107="","",IFERROR(INDEX(사건마스터!$AM$5:$AM$64,MATCH($F107,사건마스터!$A$5:$A$64,0)),""))</f>
        <v/>
      </c>
      <c r="P107" s="35">
        <f>IF($F107="","",IFERROR(INDEX(사건마스터!$AN$5:$AN$64,MATCH($F107,사건마스터!$A$5:$A$64,0)),""))</f>
        <v/>
      </c>
      <c r="Q107" s="35">
        <f>IF($F107="","",IFERROR(INDEX(사건마스터!$AO$5:$AO$64,MATCH($F107,사건마스터!$A$5:$A$64,0)),""))</f>
        <v/>
      </c>
      <c r="R107" s="35">
        <f>IF($F107="","",IFERROR(INDEX(사건마스터!$AP$5:$AP$64,MATCH($F107,사건마스터!$A$5:$A$64,0)),""))</f>
        <v/>
      </c>
      <c r="S107" s="35">
        <f>IF($F107="","",IFERROR(INDEX(사건마스터!$AQ$5:$AQ$64,MATCH($F107,사건마스터!$A$5:$A$64,0)),""))</f>
        <v/>
      </c>
      <c r="T107" s="35">
        <f>IF($F107="","",IFERROR(INDEX(사건마스터!$AR$5:$AR$64,MATCH($F107,사건마스터!$A$5:$A$64,0)),""))</f>
        <v/>
      </c>
      <c r="U107" s="35">
        <f>IF($F107="","",IFERROR(INDEX(사건마스터!$AS$5:$AS$64,MATCH($F107,사건마스터!$A$5:$A$64,0)),""))</f>
        <v/>
      </c>
      <c r="V107" s="35">
        <f>IF($F107="","",IFERROR(INDEX(사건마스터!$AT$5:$AT$64,MATCH($F107,사건마스터!$A$5:$A$64,0)),""))</f>
        <v/>
      </c>
      <c r="W107" s="35">
        <f>IF($F107="","",IFERROR(INDEX(사건마스터!$AU$5:$AU$64,MATCH($F107,사건마스터!$A$5:$A$64,0)),""))</f>
        <v/>
      </c>
      <c r="X107" s="35">
        <f>IF($F107="","",IFERROR(INDEX(사건마스터!$AV$5:$AV$64,MATCH($F107,사건마스터!$A$5:$A$64,0)),""))</f>
        <v/>
      </c>
      <c r="Y107" s="30">
        <f>IF($I107="","",COUNTIF($I107:$X107,"?*"))</f>
        <v/>
      </c>
      <c r="Z107" s="33">
        <f>IF($I107="","",_xlfn.TEXTJOIN(", ",TRUE,$I107:$X107))</f>
        <v/>
      </c>
      <c r="AA107" s="34">
        <f>IF($I107="","",IFERROR(INDEX(코드설정!$D$5:$D$24,MATCH($I107,코드설정!$C$5:$C$24,0)),""))</f>
        <v/>
      </c>
      <c r="AB107" s="36" t="n"/>
      <c r="AC107" s="37" t="n"/>
      <c r="AD107" s="38" t="n"/>
      <c r="AE107" s="30">
        <f>IF(OR($B107="",$C107=""),"",$C107-$B107+1)</f>
        <v/>
      </c>
      <c r="AF107" s="32" t="n"/>
      <c r="AG107" s="36" t="n"/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3">
        <f>IF($F108="","",IFERROR(INDEX(사건마스터!$B$5:$B$64,MATCH($F108,사건마스터!$A$5:$A$64,0)),""))</f>
        <v/>
      </c>
      <c r="H108" s="34">
        <f>IF($F108="","",IFERROR(INDEX(사건마스터!$C$5:$C$64,MATCH($F108,사건마스터!$A$5:$A$64,0)),""))</f>
        <v/>
      </c>
      <c r="I108" s="35">
        <f>IF($F108="","",IFERROR(INDEX(사건마스터!$H$5:$H$64,MATCH($F108,사건마스터!$A$5:$A$64,0)),""))</f>
        <v/>
      </c>
      <c r="J108" s="35">
        <f>IF($F108="","",IFERROR(INDEX(사건마스터!$AH$5:$AH$64,MATCH($F108,사건마스터!$A$5:$A$64,0)),""))</f>
        <v/>
      </c>
      <c r="K108" s="35">
        <f>IF($F108="","",IFERROR(INDEX(사건마스터!$AI$5:$AI$64,MATCH($F108,사건마스터!$A$5:$A$64,0)),""))</f>
        <v/>
      </c>
      <c r="L108" s="35">
        <f>IF($F108="","",IFERROR(INDEX(사건마스터!$AJ$5:$AJ$64,MATCH($F108,사건마스터!$A$5:$A$64,0)),""))</f>
        <v/>
      </c>
      <c r="M108" s="35">
        <f>IF($F108="","",IFERROR(INDEX(사건마스터!$AK$5:$AK$64,MATCH($F108,사건마스터!$A$5:$A$64,0)),""))</f>
        <v/>
      </c>
      <c r="N108" s="35">
        <f>IF($F108="","",IFERROR(INDEX(사건마스터!$AL$5:$AL$64,MATCH($F108,사건마스터!$A$5:$A$64,0)),""))</f>
        <v/>
      </c>
      <c r="O108" s="35">
        <f>IF($F108="","",IFERROR(INDEX(사건마스터!$AM$5:$AM$64,MATCH($F108,사건마스터!$A$5:$A$64,0)),""))</f>
        <v/>
      </c>
      <c r="P108" s="35">
        <f>IF($F108="","",IFERROR(INDEX(사건마스터!$AN$5:$AN$64,MATCH($F108,사건마스터!$A$5:$A$64,0)),""))</f>
        <v/>
      </c>
      <c r="Q108" s="35">
        <f>IF($F108="","",IFERROR(INDEX(사건마스터!$AO$5:$AO$64,MATCH($F108,사건마스터!$A$5:$A$64,0)),""))</f>
        <v/>
      </c>
      <c r="R108" s="35">
        <f>IF($F108="","",IFERROR(INDEX(사건마스터!$AP$5:$AP$64,MATCH($F108,사건마스터!$A$5:$A$64,0)),""))</f>
        <v/>
      </c>
      <c r="S108" s="35">
        <f>IF($F108="","",IFERROR(INDEX(사건마스터!$AQ$5:$AQ$64,MATCH($F108,사건마스터!$A$5:$A$64,0)),""))</f>
        <v/>
      </c>
      <c r="T108" s="35">
        <f>IF($F108="","",IFERROR(INDEX(사건마스터!$AR$5:$AR$64,MATCH($F108,사건마스터!$A$5:$A$64,0)),""))</f>
        <v/>
      </c>
      <c r="U108" s="35">
        <f>IF($F108="","",IFERROR(INDEX(사건마스터!$AS$5:$AS$64,MATCH($F108,사건마스터!$A$5:$A$64,0)),""))</f>
        <v/>
      </c>
      <c r="V108" s="35">
        <f>IF($F108="","",IFERROR(INDEX(사건마스터!$AT$5:$AT$64,MATCH($F108,사건마스터!$A$5:$A$64,0)),""))</f>
        <v/>
      </c>
      <c r="W108" s="35">
        <f>IF($F108="","",IFERROR(INDEX(사건마스터!$AU$5:$AU$64,MATCH($F108,사건마스터!$A$5:$A$64,0)),""))</f>
        <v/>
      </c>
      <c r="X108" s="35">
        <f>IF($F108="","",IFERROR(INDEX(사건마스터!$AV$5:$AV$64,MATCH($F108,사건마스터!$A$5:$A$64,0)),""))</f>
        <v/>
      </c>
      <c r="Y108" s="30">
        <f>IF($I108="","",COUNTIF($I108:$X108,"?*"))</f>
        <v/>
      </c>
      <c r="Z108" s="33">
        <f>IF($I108="","",_xlfn.TEXTJOIN(", ",TRUE,$I108:$X108))</f>
        <v/>
      </c>
      <c r="AA108" s="34">
        <f>IF($I108="","",IFERROR(INDEX(코드설정!$D$5:$D$24,MATCH($I108,코드설정!$C$5:$C$24,0)),""))</f>
        <v/>
      </c>
      <c r="AB108" s="36" t="n"/>
      <c r="AC108" s="37" t="n"/>
      <c r="AD108" s="38" t="n"/>
      <c r="AE108" s="30">
        <f>IF(OR($B108="",$C108=""),"",$C108-$B108+1)</f>
        <v/>
      </c>
      <c r="AF108" s="32" t="n"/>
      <c r="AG108" s="36" t="n"/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3">
        <f>IF($F109="","",IFERROR(INDEX(사건마스터!$B$5:$B$64,MATCH($F109,사건마스터!$A$5:$A$64,0)),""))</f>
        <v/>
      </c>
      <c r="H109" s="34">
        <f>IF($F109="","",IFERROR(INDEX(사건마스터!$C$5:$C$64,MATCH($F109,사건마스터!$A$5:$A$64,0)),""))</f>
        <v/>
      </c>
      <c r="I109" s="35">
        <f>IF($F109="","",IFERROR(INDEX(사건마스터!$H$5:$H$64,MATCH($F109,사건마스터!$A$5:$A$64,0)),""))</f>
        <v/>
      </c>
      <c r="J109" s="35">
        <f>IF($F109="","",IFERROR(INDEX(사건마스터!$AH$5:$AH$64,MATCH($F109,사건마스터!$A$5:$A$64,0)),""))</f>
        <v/>
      </c>
      <c r="K109" s="35">
        <f>IF($F109="","",IFERROR(INDEX(사건마스터!$AI$5:$AI$64,MATCH($F109,사건마스터!$A$5:$A$64,0)),""))</f>
        <v/>
      </c>
      <c r="L109" s="35">
        <f>IF($F109="","",IFERROR(INDEX(사건마스터!$AJ$5:$AJ$64,MATCH($F109,사건마스터!$A$5:$A$64,0)),""))</f>
        <v/>
      </c>
      <c r="M109" s="35">
        <f>IF($F109="","",IFERROR(INDEX(사건마스터!$AK$5:$AK$64,MATCH($F109,사건마스터!$A$5:$A$64,0)),""))</f>
        <v/>
      </c>
      <c r="N109" s="35">
        <f>IF($F109="","",IFERROR(INDEX(사건마스터!$AL$5:$AL$64,MATCH($F109,사건마스터!$A$5:$A$64,0)),""))</f>
        <v/>
      </c>
      <c r="O109" s="35">
        <f>IF($F109="","",IFERROR(INDEX(사건마스터!$AM$5:$AM$64,MATCH($F109,사건마스터!$A$5:$A$64,0)),""))</f>
        <v/>
      </c>
      <c r="P109" s="35">
        <f>IF($F109="","",IFERROR(INDEX(사건마스터!$AN$5:$AN$64,MATCH($F109,사건마스터!$A$5:$A$64,0)),""))</f>
        <v/>
      </c>
      <c r="Q109" s="35">
        <f>IF($F109="","",IFERROR(INDEX(사건마스터!$AO$5:$AO$64,MATCH($F109,사건마스터!$A$5:$A$64,0)),""))</f>
        <v/>
      </c>
      <c r="R109" s="35">
        <f>IF($F109="","",IFERROR(INDEX(사건마스터!$AP$5:$AP$64,MATCH($F109,사건마스터!$A$5:$A$64,0)),""))</f>
        <v/>
      </c>
      <c r="S109" s="35">
        <f>IF($F109="","",IFERROR(INDEX(사건마스터!$AQ$5:$AQ$64,MATCH($F109,사건마스터!$A$5:$A$64,0)),""))</f>
        <v/>
      </c>
      <c r="T109" s="35">
        <f>IF($F109="","",IFERROR(INDEX(사건마스터!$AR$5:$AR$64,MATCH($F109,사건마스터!$A$5:$A$64,0)),""))</f>
        <v/>
      </c>
      <c r="U109" s="35">
        <f>IF($F109="","",IFERROR(INDEX(사건마스터!$AS$5:$AS$64,MATCH($F109,사건마스터!$A$5:$A$64,0)),""))</f>
        <v/>
      </c>
      <c r="V109" s="35">
        <f>IF($F109="","",IFERROR(INDEX(사건마스터!$AT$5:$AT$64,MATCH($F109,사건마스터!$A$5:$A$64,0)),""))</f>
        <v/>
      </c>
      <c r="W109" s="35">
        <f>IF($F109="","",IFERROR(INDEX(사건마스터!$AU$5:$AU$64,MATCH($F109,사건마스터!$A$5:$A$64,0)),""))</f>
        <v/>
      </c>
      <c r="X109" s="35">
        <f>IF($F109="","",IFERROR(INDEX(사건마스터!$AV$5:$AV$64,MATCH($F109,사건마스터!$A$5:$A$64,0)),""))</f>
        <v/>
      </c>
      <c r="Y109" s="30">
        <f>IF($I109="","",COUNTIF($I109:$X109,"?*"))</f>
        <v/>
      </c>
      <c r="Z109" s="33">
        <f>IF($I109="","",_xlfn.TEXTJOIN(", ",TRUE,$I109:$X109))</f>
        <v/>
      </c>
      <c r="AA109" s="34">
        <f>IF($I109="","",IFERROR(INDEX(코드설정!$D$5:$D$24,MATCH($I109,코드설정!$C$5:$C$24,0)),""))</f>
        <v/>
      </c>
      <c r="AB109" s="36" t="n"/>
      <c r="AC109" s="37" t="n"/>
      <c r="AD109" s="38" t="n"/>
      <c r="AE109" s="30">
        <f>IF(OR($B109="",$C109=""),"",$C109-$B109+1)</f>
        <v/>
      </c>
      <c r="AF109" s="32" t="n"/>
      <c r="AG109" s="36" t="n"/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3">
        <f>IF($F110="","",IFERROR(INDEX(사건마스터!$B$5:$B$64,MATCH($F110,사건마스터!$A$5:$A$64,0)),""))</f>
        <v/>
      </c>
      <c r="H110" s="34">
        <f>IF($F110="","",IFERROR(INDEX(사건마스터!$C$5:$C$64,MATCH($F110,사건마스터!$A$5:$A$64,0)),""))</f>
        <v/>
      </c>
      <c r="I110" s="35">
        <f>IF($F110="","",IFERROR(INDEX(사건마스터!$H$5:$H$64,MATCH($F110,사건마스터!$A$5:$A$64,0)),""))</f>
        <v/>
      </c>
      <c r="J110" s="35">
        <f>IF($F110="","",IFERROR(INDEX(사건마스터!$AH$5:$AH$64,MATCH($F110,사건마스터!$A$5:$A$64,0)),""))</f>
        <v/>
      </c>
      <c r="K110" s="35">
        <f>IF($F110="","",IFERROR(INDEX(사건마스터!$AI$5:$AI$64,MATCH($F110,사건마스터!$A$5:$A$64,0)),""))</f>
        <v/>
      </c>
      <c r="L110" s="35">
        <f>IF($F110="","",IFERROR(INDEX(사건마스터!$AJ$5:$AJ$64,MATCH($F110,사건마스터!$A$5:$A$64,0)),""))</f>
        <v/>
      </c>
      <c r="M110" s="35">
        <f>IF($F110="","",IFERROR(INDEX(사건마스터!$AK$5:$AK$64,MATCH($F110,사건마스터!$A$5:$A$64,0)),""))</f>
        <v/>
      </c>
      <c r="N110" s="35">
        <f>IF($F110="","",IFERROR(INDEX(사건마스터!$AL$5:$AL$64,MATCH($F110,사건마스터!$A$5:$A$64,0)),""))</f>
        <v/>
      </c>
      <c r="O110" s="35">
        <f>IF($F110="","",IFERROR(INDEX(사건마스터!$AM$5:$AM$64,MATCH($F110,사건마스터!$A$5:$A$64,0)),""))</f>
        <v/>
      </c>
      <c r="P110" s="35">
        <f>IF($F110="","",IFERROR(INDEX(사건마스터!$AN$5:$AN$64,MATCH($F110,사건마스터!$A$5:$A$64,0)),""))</f>
        <v/>
      </c>
      <c r="Q110" s="35">
        <f>IF($F110="","",IFERROR(INDEX(사건마스터!$AO$5:$AO$64,MATCH($F110,사건마스터!$A$5:$A$64,0)),""))</f>
        <v/>
      </c>
      <c r="R110" s="35">
        <f>IF($F110="","",IFERROR(INDEX(사건마스터!$AP$5:$AP$64,MATCH($F110,사건마스터!$A$5:$A$64,0)),""))</f>
        <v/>
      </c>
      <c r="S110" s="35">
        <f>IF($F110="","",IFERROR(INDEX(사건마스터!$AQ$5:$AQ$64,MATCH($F110,사건마스터!$A$5:$A$64,0)),""))</f>
        <v/>
      </c>
      <c r="T110" s="35">
        <f>IF($F110="","",IFERROR(INDEX(사건마스터!$AR$5:$AR$64,MATCH($F110,사건마스터!$A$5:$A$64,0)),""))</f>
        <v/>
      </c>
      <c r="U110" s="35">
        <f>IF($F110="","",IFERROR(INDEX(사건마스터!$AS$5:$AS$64,MATCH($F110,사건마스터!$A$5:$A$64,0)),""))</f>
        <v/>
      </c>
      <c r="V110" s="35">
        <f>IF($F110="","",IFERROR(INDEX(사건마스터!$AT$5:$AT$64,MATCH($F110,사건마스터!$A$5:$A$64,0)),""))</f>
        <v/>
      </c>
      <c r="W110" s="35">
        <f>IF($F110="","",IFERROR(INDEX(사건마스터!$AU$5:$AU$64,MATCH($F110,사건마스터!$A$5:$A$64,0)),""))</f>
        <v/>
      </c>
      <c r="X110" s="35">
        <f>IF($F110="","",IFERROR(INDEX(사건마스터!$AV$5:$AV$64,MATCH($F110,사건마스터!$A$5:$A$64,0)),""))</f>
        <v/>
      </c>
      <c r="Y110" s="30">
        <f>IF($I110="","",COUNTIF($I110:$X110,"?*"))</f>
        <v/>
      </c>
      <c r="Z110" s="33">
        <f>IF($I110="","",_xlfn.TEXTJOIN(", ",TRUE,$I110:$X110))</f>
        <v/>
      </c>
      <c r="AA110" s="34">
        <f>IF($I110="","",IFERROR(INDEX(코드설정!$D$5:$D$24,MATCH($I110,코드설정!$C$5:$C$24,0)),""))</f>
        <v/>
      </c>
      <c r="AB110" s="36" t="n"/>
      <c r="AC110" s="37" t="n"/>
      <c r="AD110" s="38" t="n"/>
      <c r="AE110" s="30">
        <f>IF(OR($B110="",$C110=""),"",$C110-$B110+1)</f>
        <v/>
      </c>
      <c r="AF110" s="32" t="n"/>
      <c r="AG110" s="36" t="n"/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3">
        <f>IF($F111="","",IFERROR(INDEX(사건마스터!$B$5:$B$64,MATCH($F111,사건마스터!$A$5:$A$64,0)),""))</f>
        <v/>
      </c>
      <c r="H111" s="34">
        <f>IF($F111="","",IFERROR(INDEX(사건마스터!$C$5:$C$64,MATCH($F111,사건마스터!$A$5:$A$64,0)),""))</f>
        <v/>
      </c>
      <c r="I111" s="35">
        <f>IF($F111="","",IFERROR(INDEX(사건마스터!$H$5:$H$64,MATCH($F111,사건마스터!$A$5:$A$64,0)),""))</f>
        <v/>
      </c>
      <c r="J111" s="35">
        <f>IF($F111="","",IFERROR(INDEX(사건마스터!$AH$5:$AH$64,MATCH($F111,사건마스터!$A$5:$A$64,0)),""))</f>
        <v/>
      </c>
      <c r="K111" s="35">
        <f>IF($F111="","",IFERROR(INDEX(사건마스터!$AI$5:$AI$64,MATCH($F111,사건마스터!$A$5:$A$64,0)),""))</f>
        <v/>
      </c>
      <c r="L111" s="35">
        <f>IF($F111="","",IFERROR(INDEX(사건마스터!$AJ$5:$AJ$64,MATCH($F111,사건마스터!$A$5:$A$64,0)),""))</f>
        <v/>
      </c>
      <c r="M111" s="35">
        <f>IF($F111="","",IFERROR(INDEX(사건마스터!$AK$5:$AK$64,MATCH($F111,사건마스터!$A$5:$A$64,0)),""))</f>
        <v/>
      </c>
      <c r="N111" s="35">
        <f>IF($F111="","",IFERROR(INDEX(사건마스터!$AL$5:$AL$64,MATCH($F111,사건마스터!$A$5:$A$64,0)),""))</f>
        <v/>
      </c>
      <c r="O111" s="35">
        <f>IF($F111="","",IFERROR(INDEX(사건마스터!$AM$5:$AM$64,MATCH($F111,사건마스터!$A$5:$A$64,0)),""))</f>
        <v/>
      </c>
      <c r="P111" s="35">
        <f>IF($F111="","",IFERROR(INDEX(사건마스터!$AN$5:$AN$64,MATCH($F111,사건마스터!$A$5:$A$64,0)),""))</f>
        <v/>
      </c>
      <c r="Q111" s="35">
        <f>IF($F111="","",IFERROR(INDEX(사건마스터!$AO$5:$AO$64,MATCH($F111,사건마스터!$A$5:$A$64,0)),""))</f>
        <v/>
      </c>
      <c r="R111" s="35">
        <f>IF($F111="","",IFERROR(INDEX(사건마스터!$AP$5:$AP$64,MATCH($F111,사건마스터!$A$5:$A$64,0)),""))</f>
        <v/>
      </c>
      <c r="S111" s="35">
        <f>IF($F111="","",IFERROR(INDEX(사건마스터!$AQ$5:$AQ$64,MATCH($F111,사건마스터!$A$5:$A$64,0)),""))</f>
        <v/>
      </c>
      <c r="T111" s="35">
        <f>IF($F111="","",IFERROR(INDEX(사건마스터!$AR$5:$AR$64,MATCH($F111,사건마스터!$A$5:$A$64,0)),""))</f>
        <v/>
      </c>
      <c r="U111" s="35">
        <f>IF($F111="","",IFERROR(INDEX(사건마스터!$AS$5:$AS$64,MATCH($F111,사건마스터!$A$5:$A$64,0)),""))</f>
        <v/>
      </c>
      <c r="V111" s="35">
        <f>IF($F111="","",IFERROR(INDEX(사건마스터!$AT$5:$AT$64,MATCH($F111,사건마스터!$A$5:$A$64,0)),""))</f>
        <v/>
      </c>
      <c r="W111" s="35">
        <f>IF($F111="","",IFERROR(INDEX(사건마스터!$AU$5:$AU$64,MATCH($F111,사건마스터!$A$5:$A$64,0)),""))</f>
        <v/>
      </c>
      <c r="X111" s="35">
        <f>IF($F111="","",IFERROR(INDEX(사건마스터!$AV$5:$AV$64,MATCH($F111,사건마스터!$A$5:$A$64,0)),""))</f>
        <v/>
      </c>
      <c r="Y111" s="30">
        <f>IF($I111="","",COUNTIF($I111:$X111,"?*"))</f>
        <v/>
      </c>
      <c r="Z111" s="33">
        <f>IF($I111="","",_xlfn.TEXTJOIN(", ",TRUE,$I111:$X111))</f>
        <v/>
      </c>
      <c r="AA111" s="34">
        <f>IF($I111="","",IFERROR(INDEX(코드설정!$D$5:$D$24,MATCH($I111,코드설정!$C$5:$C$24,0)),""))</f>
        <v/>
      </c>
      <c r="AB111" s="36" t="n"/>
      <c r="AC111" s="37" t="n"/>
      <c r="AD111" s="38" t="n"/>
      <c r="AE111" s="30">
        <f>IF(OR($B111="",$C111=""),"",$C111-$B111+1)</f>
        <v/>
      </c>
      <c r="AF111" s="32" t="n"/>
      <c r="AG111" s="36" t="n"/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3">
        <f>IF($F112="","",IFERROR(INDEX(사건마스터!$B$5:$B$64,MATCH($F112,사건마스터!$A$5:$A$64,0)),""))</f>
        <v/>
      </c>
      <c r="H112" s="34">
        <f>IF($F112="","",IFERROR(INDEX(사건마스터!$C$5:$C$64,MATCH($F112,사건마스터!$A$5:$A$64,0)),""))</f>
        <v/>
      </c>
      <c r="I112" s="35">
        <f>IF($F112="","",IFERROR(INDEX(사건마스터!$H$5:$H$64,MATCH($F112,사건마스터!$A$5:$A$64,0)),""))</f>
        <v/>
      </c>
      <c r="J112" s="35">
        <f>IF($F112="","",IFERROR(INDEX(사건마스터!$AH$5:$AH$64,MATCH($F112,사건마스터!$A$5:$A$64,0)),""))</f>
        <v/>
      </c>
      <c r="K112" s="35">
        <f>IF($F112="","",IFERROR(INDEX(사건마스터!$AI$5:$AI$64,MATCH($F112,사건마스터!$A$5:$A$64,0)),""))</f>
        <v/>
      </c>
      <c r="L112" s="35">
        <f>IF($F112="","",IFERROR(INDEX(사건마스터!$AJ$5:$AJ$64,MATCH($F112,사건마스터!$A$5:$A$64,0)),""))</f>
        <v/>
      </c>
      <c r="M112" s="35">
        <f>IF($F112="","",IFERROR(INDEX(사건마스터!$AK$5:$AK$64,MATCH($F112,사건마스터!$A$5:$A$64,0)),""))</f>
        <v/>
      </c>
      <c r="N112" s="35">
        <f>IF($F112="","",IFERROR(INDEX(사건마스터!$AL$5:$AL$64,MATCH($F112,사건마스터!$A$5:$A$64,0)),""))</f>
        <v/>
      </c>
      <c r="O112" s="35">
        <f>IF($F112="","",IFERROR(INDEX(사건마스터!$AM$5:$AM$64,MATCH($F112,사건마스터!$A$5:$A$64,0)),""))</f>
        <v/>
      </c>
      <c r="P112" s="35">
        <f>IF($F112="","",IFERROR(INDEX(사건마스터!$AN$5:$AN$64,MATCH($F112,사건마스터!$A$5:$A$64,0)),""))</f>
        <v/>
      </c>
      <c r="Q112" s="35">
        <f>IF($F112="","",IFERROR(INDEX(사건마스터!$AO$5:$AO$64,MATCH($F112,사건마스터!$A$5:$A$64,0)),""))</f>
        <v/>
      </c>
      <c r="R112" s="35">
        <f>IF($F112="","",IFERROR(INDEX(사건마스터!$AP$5:$AP$64,MATCH($F112,사건마스터!$A$5:$A$64,0)),""))</f>
        <v/>
      </c>
      <c r="S112" s="35">
        <f>IF($F112="","",IFERROR(INDEX(사건마스터!$AQ$5:$AQ$64,MATCH($F112,사건마스터!$A$5:$A$64,0)),""))</f>
        <v/>
      </c>
      <c r="T112" s="35">
        <f>IF($F112="","",IFERROR(INDEX(사건마스터!$AR$5:$AR$64,MATCH($F112,사건마스터!$A$5:$A$64,0)),""))</f>
        <v/>
      </c>
      <c r="U112" s="35">
        <f>IF($F112="","",IFERROR(INDEX(사건마스터!$AS$5:$AS$64,MATCH($F112,사건마스터!$A$5:$A$64,0)),""))</f>
        <v/>
      </c>
      <c r="V112" s="35">
        <f>IF($F112="","",IFERROR(INDEX(사건마스터!$AT$5:$AT$64,MATCH($F112,사건마스터!$A$5:$A$64,0)),""))</f>
        <v/>
      </c>
      <c r="W112" s="35">
        <f>IF($F112="","",IFERROR(INDEX(사건마스터!$AU$5:$AU$64,MATCH($F112,사건마스터!$A$5:$A$64,0)),""))</f>
        <v/>
      </c>
      <c r="X112" s="35">
        <f>IF($F112="","",IFERROR(INDEX(사건마스터!$AV$5:$AV$64,MATCH($F112,사건마스터!$A$5:$A$64,0)),""))</f>
        <v/>
      </c>
      <c r="Y112" s="30">
        <f>IF($I112="","",COUNTIF($I112:$X112,"?*"))</f>
        <v/>
      </c>
      <c r="Z112" s="33">
        <f>IF($I112="","",_xlfn.TEXTJOIN(", ",TRUE,$I112:$X112))</f>
        <v/>
      </c>
      <c r="AA112" s="34">
        <f>IF($I112="","",IFERROR(INDEX(코드설정!$D$5:$D$24,MATCH($I112,코드설정!$C$5:$C$24,0)),""))</f>
        <v/>
      </c>
      <c r="AB112" s="36" t="n"/>
      <c r="AC112" s="37" t="n"/>
      <c r="AD112" s="38" t="n"/>
      <c r="AE112" s="30">
        <f>IF(OR($B112="",$C112=""),"",$C112-$B112+1)</f>
        <v/>
      </c>
      <c r="AF112" s="32" t="n"/>
      <c r="AG112" s="36" t="n"/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3">
        <f>IF($F113="","",IFERROR(INDEX(사건마스터!$B$5:$B$64,MATCH($F113,사건마스터!$A$5:$A$64,0)),""))</f>
        <v/>
      </c>
      <c r="H113" s="34">
        <f>IF($F113="","",IFERROR(INDEX(사건마스터!$C$5:$C$64,MATCH($F113,사건마스터!$A$5:$A$64,0)),""))</f>
        <v/>
      </c>
      <c r="I113" s="35">
        <f>IF($F113="","",IFERROR(INDEX(사건마스터!$H$5:$H$64,MATCH($F113,사건마스터!$A$5:$A$64,0)),""))</f>
        <v/>
      </c>
      <c r="J113" s="35">
        <f>IF($F113="","",IFERROR(INDEX(사건마스터!$AH$5:$AH$64,MATCH($F113,사건마스터!$A$5:$A$64,0)),""))</f>
        <v/>
      </c>
      <c r="K113" s="35">
        <f>IF($F113="","",IFERROR(INDEX(사건마스터!$AI$5:$AI$64,MATCH($F113,사건마스터!$A$5:$A$64,0)),""))</f>
        <v/>
      </c>
      <c r="L113" s="35">
        <f>IF($F113="","",IFERROR(INDEX(사건마스터!$AJ$5:$AJ$64,MATCH($F113,사건마스터!$A$5:$A$64,0)),""))</f>
        <v/>
      </c>
      <c r="M113" s="35">
        <f>IF($F113="","",IFERROR(INDEX(사건마스터!$AK$5:$AK$64,MATCH($F113,사건마스터!$A$5:$A$64,0)),""))</f>
        <v/>
      </c>
      <c r="N113" s="35">
        <f>IF($F113="","",IFERROR(INDEX(사건마스터!$AL$5:$AL$64,MATCH($F113,사건마스터!$A$5:$A$64,0)),""))</f>
        <v/>
      </c>
      <c r="O113" s="35">
        <f>IF($F113="","",IFERROR(INDEX(사건마스터!$AM$5:$AM$64,MATCH($F113,사건마스터!$A$5:$A$64,0)),""))</f>
        <v/>
      </c>
      <c r="P113" s="35">
        <f>IF($F113="","",IFERROR(INDEX(사건마스터!$AN$5:$AN$64,MATCH($F113,사건마스터!$A$5:$A$64,0)),""))</f>
        <v/>
      </c>
      <c r="Q113" s="35">
        <f>IF($F113="","",IFERROR(INDEX(사건마스터!$AO$5:$AO$64,MATCH($F113,사건마스터!$A$5:$A$64,0)),""))</f>
        <v/>
      </c>
      <c r="R113" s="35">
        <f>IF($F113="","",IFERROR(INDEX(사건마스터!$AP$5:$AP$64,MATCH($F113,사건마스터!$A$5:$A$64,0)),""))</f>
        <v/>
      </c>
      <c r="S113" s="35">
        <f>IF($F113="","",IFERROR(INDEX(사건마스터!$AQ$5:$AQ$64,MATCH($F113,사건마스터!$A$5:$A$64,0)),""))</f>
        <v/>
      </c>
      <c r="T113" s="35">
        <f>IF($F113="","",IFERROR(INDEX(사건마스터!$AR$5:$AR$64,MATCH($F113,사건마스터!$A$5:$A$64,0)),""))</f>
        <v/>
      </c>
      <c r="U113" s="35">
        <f>IF($F113="","",IFERROR(INDEX(사건마스터!$AS$5:$AS$64,MATCH($F113,사건마스터!$A$5:$A$64,0)),""))</f>
        <v/>
      </c>
      <c r="V113" s="35">
        <f>IF($F113="","",IFERROR(INDEX(사건마스터!$AT$5:$AT$64,MATCH($F113,사건마스터!$A$5:$A$64,0)),""))</f>
        <v/>
      </c>
      <c r="W113" s="35">
        <f>IF($F113="","",IFERROR(INDEX(사건마스터!$AU$5:$AU$64,MATCH($F113,사건마스터!$A$5:$A$64,0)),""))</f>
        <v/>
      </c>
      <c r="X113" s="35">
        <f>IF($F113="","",IFERROR(INDEX(사건마스터!$AV$5:$AV$64,MATCH($F113,사건마스터!$A$5:$A$64,0)),""))</f>
        <v/>
      </c>
      <c r="Y113" s="30">
        <f>IF($I113="","",COUNTIF($I113:$X113,"?*"))</f>
        <v/>
      </c>
      <c r="Z113" s="33">
        <f>IF($I113="","",_xlfn.TEXTJOIN(", ",TRUE,$I113:$X113))</f>
        <v/>
      </c>
      <c r="AA113" s="34">
        <f>IF($I113="","",IFERROR(INDEX(코드설정!$D$5:$D$24,MATCH($I113,코드설정!$C$5:$C$24,0)),""))</f>
        <v/>
      </c>
      <c r="AB113" s="36" t="n"/>
      <c r="AC113" s="37" t="n"/>
      <c r="AD113" s="38" t="n"/>
      <c r="AE113" s="30">
        <f>IF(OR($B113="",$C113=""),"",$C113-$B113+1)</f>
        <v/>
      </c>
      <c r="AF113" s="32" t="n"/>
      <c r="AG113" s="36" t="n"/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3">
        <f>IF($F114="","",IFERROR(INDEX(사건마스터!$B$5:$B$64,MATCH($F114,사건마스터!$A$5:$A$64,0)),""))</f>
        <v/>
      </c>
      <c r="H114" s="34">
        <f>IF($F114="","",IFERROR(INDEX(사건마스터!$C$5:$C$64,MATCH($F114,사건마스터!$A$5:$A$64,0)),""))</f>
        <v/>
      </c>
      <c r="I114" s="35">
        <f>IF($F114="","",IFERROR(INDEX(사건마스터!$H$5:$H$64,MATCH($F114,사건마스터!$A$5:$A$64,0)),""))</f>
        <v/>
      </c>
      <c r="J114" s="35">
        <f>IF($F114="","",IFERROR(INDEX(사건마스터!$AH$5:$AH$64,MATCH($F114,사건마스터!$A$5:$A$64,0)),""))</f>
        <v/>
      </c>
      <c r="K114" s="35">
        <f>IF($F114="","",IFERROR(INDEX(사건마스터!$AI$5:$AI$64,MATCH($F114,사건마스터!$A$5:$A$64,0)),""))</f>
        <v/>
      </c>
      <c r="L114" s="35">
        <f>IF($F114="","",IFERROR(INDEX(사건마스터!$AJ$5:$AJ$64,MATCH($F114,사건마스터!$A$5:$A$64,0)),""))</f>
        <v/>
      </c>
      <c r="M114" s="35">
        <f>IF($F114="","",IFERROR(INDEX(사건마스터!$AK$5:$AK$64,MATCH($F114,사건마스터!$A$5:$A$64,0)),""))</f>
        <v/>
      </c>
      <c r="N114" s="35">
        <f>IF($F114="","",IFERROR(INDEX(사건마스터!$AL$5:$AL$64,MATCH($F114,사건마스터!$A$5:$A$64,0)),""))</f>
        <v/>
      </c>
      <c r="O114" s="35">
        <f>IF($F114="","",IFERROR(INDEX(사건마스터!$AM$5:$AM$64,MATCH($F114,사건마스터!$A$5:$A$64,0)),""))</f>
        <v/>
      </c>
      <c r="P114" s="35">
        <f>IF($F114="","",IFERROR(INDEX(사건마스터!$AN$5:$AN$64,MATCH($F114,사건마스터!$A$5:$A$64,0)),""))</f>
        <v/>
      </c>
      <c r="Q114" s="35">
        <f>IF($F114="","",IFERROR(INDEX(사건마스터!$AO$5:$AO$64,MATCH($F114,사건마스터!$A$5:$A$64,0)),""))</f>
        <v/>
      </c>
      <c r="R114" s="35">
        <f>IF($F114="","",IFERROR(INDEX(사건마스터!$AP$5:$AP$64,MATCH($F114,사건마스터!$A$5:$A$64,0)),""))</f>
        <v/>
      </c>
      <c r="S114" s="35">
        <f>IF($F114="","",IFERROR(INDEX(사건마스터!$AQ$5:$AQ$64,MATCH($F114,사건마스터!$A$5:$A$64,0)),""))</f>
        <v/>
      </c>
      <c r="T114" s="35">
        <f>IF($F114="","",IFERROR(INDEX(사건마스터!$AR$5:$AR$64,MATCH($F114,사건마스터!$A$5:$A$64,0)),""))</f>
        <v/>
      </c>
      <c r="U114" s="35">
        <f>IF($F114="","",IFERROR(INDEX(사건마스터!$AS$5:$AS$64,MATCH($F114,사건마스터!$A$5:$A$64,0)),""))</f>
        <v/>
      </c>
      <c r="V114" s="35">
        <f>IF($F114="","",IFERROR(INDEX(사건마스터!$AT$5:$AT$64,MATCH($F114,사건마스터!$A$5:$A$64,0)),""))</f>
        <v/>
      </c>
      <c r="W114" s="35">
        <f>IF($F114="","",IFERROR(INDEX(사건마스터!$AU$5:$AU$64,MATCH($F114,사건마스터!$A$5:$A$64,0)),""))</f>
        <v/>
      </c>
      <c r="X114" s="35">
        <f>IF($F114="","",IFERROR(INDEX(사건마스터!$AV$5:$AV$64,MATCH($F114,사건마스터!$A$5:$A$64,0)),""))</f>
        <v/>
      </c>
      <c r="Y114" s="30">
        <f>IF($I114="","",COUNTIF($I114:$X114,"?*"))</f>
        <v/>
      </c>
      <c r="Z114" s="33">
        <f>IF($I114="","",_xlfn.TEXTJOIN(", ",TRUE,$I114:$X114))</f>
        <v/>
      </c>
      <c r="AA114" s="34">
        <f>IF($I114="","",IFERROR(INDEX(코드설정!$D$5:$D$24,MATCH($I114,코드설정!$C$5:$C$24,0)),""))</f>
        <v/>
      </c>
      <c r="AB114" s="36" t="n"/>
      <c r="AC114" s="37" t="n"/>
      <c r="AD114" s="38" t="n"/>
      <c r="AE114" s="30">
        <f>IF(OR($B114="",$C114=""),"",$C114-$B114+1)</f>
        <v/>
      </c>
      <c r="AF114" s="32" t="n"/>
      <c r="AG114" s="36" t="n"/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3">
        <f>IF($F115="","",IFERROR(INDEX(사건마스터!$B$5:$B$64,MATCH($F115,사건마스터!$A$5:$A$64,0)),""))</f>
        <v/>
      </c>
      <c r="H115" s="34">
        <f>IF($F115="","",IFERROR(INDEX(사건마스터!$C$5:$C$64,MATCH($F115,사건마스터!$A$5:$A$64,0)),""))</f>
        <v/>
      </c>
      <c r="I115" s="35">
        <f>IF($F115="","",IFERROR(INDEX(사건마스터!$H$5:$H$64,MATCH($F115,사건마스터!$A$5:$A$64,0)),""))</f>
        <v/>
      </c>
      <c r="J115" s="35">
        <f>IF($F115="","",IFERROR(INDEX(사건마스터!$AH$5:$AH$64,MATCH($F115,사건마스터!$A$5:$A$64,0)),""))</f>
        <v/>
      </c>
      <c r="K115" s="35">
        <f>IF($F115="","",IFERROR(INDEX(사건마스터!$AI$5:$AI$64,MATCH($F115,사건마스터!$A$5:$A$64,0)),""))</f>
        <v/>
      </c>
      <c r="L115" s="35">
        <f>IF($F115="","",IFERROR(INDEX(사건마스터!$AJ$5:$AJ$64,MATCH($F115,사건마스터!$A$5:$A$64,0)),""))</f>
        <v/>
      </c>
      <c r="M115" s="35">
        <f>IF($F115="","",IFERROR(INDEX(사건마스터!$AK$5:$AK$64,MATCH($F115,사건마스터!$A$5:$A$64,0)),""))</f>
        <v/>
      </c>
      <c r="N115" s="35">
        <f>IF($F115="","",IFERROR(INDEX(사건마스터!$AL$5:$AL$64,MATCH($F115,사건마스터!$A$5:$A$64,0)),""))</f>
        <v/>
      </c>
      <c r="O115" s="35">
        <f>IF($F115="","",IFERROR(INDEX(사건마스터!$AM$5:$AM$64,MATCH($F115,사건마스터!$A$5:$A$64,0)),""))</f>
        <v/>
      </c>
      <c r="P115" s="35">
        <f>IF($F115="","",IFERROR(INDEX(사건마스터!$AN$5:$AN$64,MATCH($F115,사건마스터!$A$5:$A$64,0)),""))</f>
        <v/>
      </c>
      <c r="Q115" s="35">
        <f>IF($F115="","",IFERROR(INDEX(사건마스터!$AO$5:$AO$64,MATCH($F115,사건마스터!$A$5:$A$64,0)),""))</f>
        <v/>
      </c>
      <c r="R115" s="35">
        <f>IF($F115="","",IFERROR(INDEX(사건마스터!$AP$5:$AP$64,MATCH($F115,사건마스터!$A$5:$A$64,0)),""))</f>
        <v/>
      </c>
      <c r="S115" s="35">
        <f>IF($F115="","",IFERROR(INDEX(사건마스터!$AQ$5:$AQ$64,MATCH($F115,사건마스터!$A$5:$A$64,0)),""))</f>
        <v/>
      </c>
      <c r="T115" s="35">
        <f>IF($F115="","",IFERROR(INDEX(사건마스터!$AR$5:$AR$64,MATCH($F115,사건마스터!$A$5:$A$64,0)),""))</f>
        <v/>
      </c>
      <c r="U115" s="35">
        <f>IF($F115="","",IFERROR(INDEX(사건마스터!$AS$5:$AS$64,MATCH($F115,사건마스터!$A$5:$A$64,0)),""))</f>
        <v/>
      </c>
      <c r="V115" s="35">
        <f>IF($F115="","",IFERROR(INDEX(사건마스터!$AT$5:$AT$64,MATCH($F115,사건마스터!$A$5:$A$64,0)),""))</f>
        <v/>
      </c>
      <c r="W115" s="35">
        <f>IF($F115="","",IFERROR(INDEX(사건마스터!$AU$5:$AU$64,MATCH($F115,사건마스터!$A$5:$A$64,0)),""))</f>
        <v/>
      </c>
      <c r="X115" s="35">
        <f>IF($F115="","",IFERROR(INDEX(사건마스터!$AV$5:$AV$64,MATCH($F115,사건마스터!$A$5:$A$64,0)),""))</f>
        <v/>
      </c>
      <c r="Y115" s="30">
        <f>IF($I115="","",COUNTIF($I115:$X115,"?*"))</f>
        <v/>
      </c>
      <c r="Z115" s="33">
        <f>IF($I115="","",_xlfn.TEXTJOIN(", ",TRUE,$I115:$X115))</f>
        <v/>
      </c>
      <c r="AA115" s="34">
        <f>IF($I115="","",IFERROR(INDEX(코드설정!$D$5:$D$24,MATCH($I115,코드설정!$C$5:$C$24,0)),""))</f>
        <v/>
      </c>
      <c r="AB115" s="36" t="n"/>
      <c r="AC115" s="37" t="n"/>
      <c r="AD115" s="38" t="n"/>
      <c r="AE115" s="30">
        <f>IF(OR($B115="",$C115=""),"",$C115-$B115+1)</f>
        <v/>
      </c>
      <c r="AF115" s="32" t="n"/>
      <c r="AG115" s="36" t="n"/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3">
        <f>IF($F116="","",IFERROR(INDEX(사건마스터!$B$5:$B$64,MATCH($F116,사건마스터!$A$5:$A$64,0)),""))</f>
        <v/>
      </c>
      <c r="H116" s="34">
        <f>IF($F116="","",IFERROR(INDEX(사건마스터!$C$5:$C$64,MATCH($F116,사건마스터!$A$5:$A$64,0)),""))</f>
        <v/>
      </c>
      <c r="I116" s="35">
        <f>IF($F116="","",IFERROR(INDEX(사건마스터!$H$5:$H$64,MATCH($F116,사건마스터!$A$5:$A$64,0)),""))</f>
        <v/>
      </c>
      <c r="J116" s="35">
        <f>IF($F116="","",IFERROR(INDEX(사건마스터!$AH$5:$AH$64,MATCH($F116,사건마스터!$A$5:$A$64,0)),""))</f>
        <v/>
      </c>
      <c r="K116" s="35">
        <f>IF($F116="","",IFERROR(INDEX(사건마스터!$AI$5:$AI$64,MATCH($F116,사건마스터!$A$5:$A$64,0)),""))</f>
        <v/>
      </c>
      <c r="L116" s="35">
        <f>IF($F116="","",IFERROR(INDEX(사건마스터!$AJ$5:$AJ$64,MATCH($F116,사건마스터!$A$5:$A$64,0)),""))</f>
        <v/>
      </c>
      <c r="M116" s="35">
        <f>IF($F116="","",IFERROR(INDEX(사건마스터!$AK$5:$AK$64,MATCH($F116,사건마스터!$A$5:$A$64,0)),""))</f>
        <v/>
      </c>
      <c r="N116" s="35">
        <f>IF($F116="","",IFERROR(INDEX(사건마스터!$AL$5:$AL$64,MATCH($F116,사건마스터!$A$5:$A$64,0)),""))</f>
        <v/>
      </c>
      <c r="O116" s="35">
        <f>IF($F116="","",IFERROR(INDEX(사건마스터!$AM$5:$AM$64,MATCH($F116,사건마스터!$A$5:$A$64,0)),""))</f>
        <v/>
      </c>
      <c r="P116" s="35">
        <f>IF($F116="","",IFERROR(INDEX(사건마스터!$AN$5:$AN$64,MATCH($F116,사건마스터!$A$5:$A$64,0)),""))</f>
        <v/>
      </c>
      <c r="Q116" s="35">
        <f>IF($F116="","",IFERROR(INDEX(사건마스터!$AO$5:$AO$64,MATCH($F116,사건마스터!$A$5:$A$64,0)),""))</f>
        <v/>
      </c>
      <c r="R116" s="35">
        <f>IF($F116="","",IFERROR(INDEX(사건마스터!$AP$5:$AP$64,MATCH($F116,사건마스터!$A$5:$A$64,0)),""))</f>
        <v/>
      </c>
      <c r="S116" s="35">
        <f>IF($F116="","",IFERROR(INDEX(사건마스터!$AQ$5:$AQ$64,MATCH($F116,사건마스터!$A$5:$A$64,0)),""))</f>
        <v/>
      </c>
      <c r="T116" s="35">
        <f>IF($F116="","",IFERROR(INDEX(사건마스터!$AR$5:$AR$64,MATCH($F116,사건마스터!$A$5:$A$64,0)),""))</f>
        <v/>
      </c>
      <c r="U116" s="35">
        <f>IF($F116="","",IFERROR(INDEX(사건마스터!$AS$5:$AS$64,MATCH($F116,사건마스터!$A$5:$A$64,0)),""))</f>
        <v/>
      </c>
      <c r="V116" s="35">
        <f>IF($F116="","",IFERROR(INDEX(사건마스터!$AT$5:$AT$64,MATCH($F116,사건마스터!$A$5:$A$64,0)),""))</f>
        <v/>
      </c>
      <c r="W116" s="35">
        <f>IF($F116="","",IFERROR(INDEX(사건마스터!$AU$5:$AU$64,MATCH($F116,사건마스터!$A$5:$A$64,0)),""))</f>
        <v/>
      </c>
      <c r="X116" s="35">
        <f>IF($F116="","",IFERROR(INDEX(사건마스터!$AV$5:$AV$64,MATCH($F116,사건마스터!$A$5:$A$64,0)),""))</f>
        <v/>
      </c>
      <c r="Y116" s="30">
        <f>IF($I116="","",COUNTIF($I116:$X116,"?*"))</f>
        <v/>
      </c>
      <c r="Z116" s="33">
        <f>IF($I116="","",_xlfn.TEXTJOIN(", ",TRUE,$I116:$X116))</f>
        <v/>
      </c>
      <c r="AA116" s="34">
        <f>IF($I116="","",IFERROR(INDEX(코드설정!$D$5:$D$24,MATCH($I116,코드설정!$C$5:$C$24,0)),""))</f>
        <v/>
      </c>
      <c r="AB116" s="36" t="n"/>
      <c r="AC116" s="37" t="n"/>
      <c r="AD116" s="38" t="n"/>
      <c r="AE116" s="30">
        <f>IF(OR($B116="",$C116=""),"",$C116-$B116+1)</f>
        <v/>
      </c>
      <c r="AF116" s="32" t="n"/>
      <c r="AG116" s="36" t="n"/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3">
        <f>IF($F117="","",IFERROR(INDEX(사건마스터!$B$5:$B$64,MATCH($F117,사건마스터!$A$5:$A$64,0)),""))</f>
        <v/>
      </c>
      <c r="H117" s="34">
        <f>IF($F117="","",IFERROR(INDEX(사건마스터!$C$5:$C$64,MATCH($F117,사건마스터!$A$5:$A$64,0)),""))</f>
        <v/>
      </c>
      <c r="I117" s="35">
        <f>IF($F117="","",IFERROR(INDEX(사건마스터!$H$5:$H$64,MATCH($F117,사건마스터!$A$5:$A$64,0)),""))</f>
        <v/>
      </c>
      <c r="J117" s="35">
        <f>IF($F117="","",IFERROR(INDEX(사건마스터!$AH$5:$AH$64,MATCH($F117,사건마스터!$A$5:$A$64,0)),""))</f>
        <v/>
      </c>
      <c r="K117" s="35">
        <f>IF($F117="","",IFERROR(INDEX(사건마스터!$AI$5:$AI$64,MATCH($F117,사건마스터!$A$5:$A$64,0)),""))</f>
        <v/>
      </c>
      <c r="L117" s="35">
        <f>IF($F117="","",IFERROR(INDEX(사건마스터!$AJ$5:$AJ$64,MATCH($F117,사건마스터!$A$5:$A$64,0)),""))</f>
        <v/>
      </c>
      <c r="M117" s="35">
        <f>IF($F117="","",IFERROR(INDEX(사건마스터!$AK$5:$AK$64,MATCH($F117,사건마스터!$A$5:$A$64,0)),""))</f>
        <v/>
      </c>
      <c r="N117" s="35">
        <f>IF($F117="","",IFERROR(INDEX(사건마스터!$AL$5:$AL$64,MATCH($F117,사건마스터!$A$5:$A$64,0)),""))</f>
        <v/>
      </c>
      <c r="O117" s="35">
        <f>IF($F117="","",IFERROR(INDEX(사건마스터!$AM$5:$AM$64,MATCH($F117,사건마스터!$A$5:$A$64,0)),""))</f>
        <v/>
      </c>
      <c r="P117" s="35">
        <f>IF($F117="","",IFERROR(INDEX(사건마스터!$AN$5:$AN$64,MATCH($F117,사건마스터!$A$5:$A$64,0)),""))</f>
        <v/>
      </c>
      <c r="Q117" s="35">
        <f>IF($F117="","",IFERROR(INDEX(사건마스터!$AO$5:$AO$64,MATCH($F117,사건마스터!$A$5:$A$64,0)),""))</f>
        <v/>
      </c>
      <c r="R117" s="35">
        <f>IF($F117="","",IFERROR(INDEX(사건마스터!$AP$5:$AP$64,MATCH($F117,사건마스터!$A$5:$A$64,0)),""))</f>
        <v/>
      </c>
      <c r="S117" s="35">
        <f>IF($F117="","",IFERROR(INDEX(사건마스터!$AQ$5:$AQ$64,MATCH($F117,사건마스터!$A$5:$A$64,0)),""))</f>
        <v/>
      </c>
      <c r="T117" s="35">
        <f>IF($F117="","",IFERROR(INDEX(사건마스터!$AR$5:$AR$64,MATCH($F117,사건마스터!$A$5:$A$64,0)),""))</f>
        <v/>
      </c>
      <c r="U117" s="35">
        <f>IF($F117="","",IFERROR(INDEX(사건마스터!$AS$5:$AS$64,MATCH($F117,사건마스터!$A$5:$A$64,0)),""))</f>
        <v/>
      </c>
      <c r="V117" s="35">
        <f>IF($F117="","",IFERROR(INDEX(사건마스터!$AT$5:$AT$64,MATCH($F117,사건마스터!$A$5:$A$64,0)),""))</f>
        <v/>
      </c>
      <c r="W117" s="35">
        <f>IF($F117="","",IFERROR(INDEX(사건마스터!$AU$5:$AU$64,MATCH($F117,사건마스터!$A$5:$A$64,0)),""))</f>
        <v/>
      </c>
      <c r="X117" s="35">
        <f>IF($F117="","",IFERROR(INDEX(사건마스터!$AV$5:$AV$64,MATCH($F117,사건마스터!$A$5:$A$64,0)),""))</f>
        <v/>
      </c>
      <c r="Y117" s="30">
        <f>IF($I117="","",COUNTIF($I117:$X117,"?*"))</f>
        <v/>
      </c>
      <c r="Z117" s="33">
        <f>IF($I117="","",_xlfn.TEXTJOIN(", ",TRUE,$I117:$X117))</f>
        <v/>
      </c>
      <c r="AA117" s="34">
        <f>IF($I117="","",IFERROR(INDEX(코드설정!$D$5:$D$24,MATCH($I117,코드설정!$C$5:$C$24,0)),""))</f>
        <v/>
      </c>
      <c r="AB117" s="36" t="n"/>
      <c r="AC117" s="37" t="n"/>
      <c r="AD117" s="38" t="n"/>
      <c r="AE117" s="30">
        <f>IF(OR($B117="",$C117=""),"",$C117-$B117+1)</f>
        <v/>
      </c>
      <c r="AF117" s="32" t="n"/>
      <c r="AG117" s="36" t="n"/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3">
        <f>IF($F118="","",IFERROR(INDEX(사건마스터!$B$5:$B$64,MATCH($F118,사건마스터!$A$5:$A$64,0)),""))</f>
        <v/>
      </c>
      <c r="H118" s="34">
        <f>IF($F118="","",IFERROR(INDEX(사건마스터!$C$5:$C$64,MATCH($F118,사건마스터!$A$5:$A$64,0)),""))</f>
        <v/>
      </c>
      <c r="I118" s="35">
        <f>IF($F118="","",IFERROR(INDEX(사건마스터!$H$5:$H$64,MATCH($F118,사건마스터!$A$5:$A$64,0)),""))</f>
        <v/>
      </c>
      <c r="J118" s="35">
        <f>IF($F118="","",IFERROR(INDEX(사건마스터!$AH$5:$AH$64,MATCH($F118,사건마스터!$A$5:$A$64,0)),""))</f>
        <v/>
      </c>
      <c r="K118" s="35">
        <f>IF($F118="","",IFERROR(INDEX(사건마스터!$AI$5:$AI$64,MATCH($F118,사건마스터!$A$5:$A$64,0)),""))</f>
        <v/>
      </c>
      <c r="L118" s="35">
        <f>IF($F118="","",IFERROR(INDEX(사건마스터!$AJ$5:$AJ$64,MATCH($F118,사건마스터!$A$5:$A$64,0)),""))</f>
        <v/>
      </c>
      <c r="M118" s="35">
        <f>IF($F118="","",IFERROR(INDEX(사건마스터!$AK$5:$AK$64,MATCH($F118,사건마스터!$A$5:$A$64,0)),""))</f>
        <v/>
      </c>
      <c r="N118" s="35">
        <f>IF($F118="","",IFERROR(INDEX(사건마스터!$AL$5:$AL$64,MATCH($F118,사건마스터!$A$5:$A$64,0)),""))</f>
        <v/>
      </c>
      <c r="O118" s="35">
        <f>IF($F118="","",IFERROR(INDEX(사건마스터!$AM$5:$AM$64,MATCH($F118,사건마스터!$A$5:$A$64,0)),""))</f>
        <v/>
      </c>
      <c r="P118" s="35">
        <f>IF($F118="","",IFERROR(INDEX(사건마스터!$AN$5:$AN$64,MATCH($F118,사건마스터!$A$5:$A$64,0)),""))</f>
        <v/>
      </c>
      <c r="Q118" s="35">
        <f>IF($F118="","",IFERROR(INDEX(사건마스터!$AO$5:$AO$64,MATCH($F118,사건마스터!$A$5:$A$64,0)),""))</f>
        <v/>
      </c>
      <c r="R118" s="35">
        <f>IF($F118="","",IFERROR(INDEX(사건마스터!$AP$5:$AP$64,MATCH($F118,사건마스터!$A$5:$A$64,0)),""))</f>
        <v/>
      </c>
      <c r="S118" s="35">
        <f>IF($F118="","",IFERROR(INDEX(사건마스터!$AQ$5:$AQ$64,MATCH($F118,사건마스터!$A$5:$A$64,0)),""))</f>
        <v/>
      </c>
      <c r="T118" s="35">
        <f>IF($F118="","",IFERROR(INDEX(사건마스터!$AR$5:$AR$64,MATCH($F118,사건마스터!$A$5:$A$64,0)),""))</f>
        <v/>
      </c>
      <c r="U118" s="35">
        <f>IF($F118="","",IFERROR(INDEX(사건마스터!$AS$5:$AS$64,MATCH($F118,사건마스터!$A$5:$A$64,0)),""))</f>
        <v/>
      </c>
      <c r="V118" s="35">
        <f>IF($F118="","",IFERROR(INDEX(사건마스터!$AT$5:$AT$64,MATCH($F118,사건마스터!$A$5:$A$64,0)),""))</f>
        <v/>
      </c>
      <c r="W118" s="35">
        <f>IF($F118="","",IFERROR(INDEX(사건마스터!$AU$5:$AU$64,MATCH($F118,사건마스터!$A$5:$A$64,0)),""))</f>
        <v/>
      </c>
      <c r="X118" s="35">
        <f>IF($F118="","",IFERROR(INDEX(사건마스터!$AV$5:$AV$64,MATCH($F118,사건마스터!$A$5:$A$64,0)),""))</f>
        <v/>
      </c>
      <c r="Y118" s="30">
        <f>IF($I118="","",COUNTIF($I118:$X118,"?*"))</f>
        <v/>
      </c>
      <c r="Z118" s="33">
        <f>IF($I118="","",_xlfn.TEXTJOIN(", ",TRUE,$I118:$X118))</f>
        <v/>
      </c>
      <c r="AA118" s="34">
        <f>IF($I118="","",IFERROR(INDEX(코드설정!$D$5:$D$24,MATCH($I118,코드설정!$C$5:$C$24,0)),""))</f>
        <v/>
      </c>
      <c r="AB118" s="36" t="n"/>
      <c r="AC118" s="37" t="n"/>
      <c r="AD118" s="38" t="n"/>
      <c r="AE118" s="30">
        <f>IF(OR($B118="",$C118=""),"",$C118-$B118+1)</f>
        <v/>
      </c>
      <c r="AF118" s="32" t="n"/>
      <c r="AG118" s="36" t="n"/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3">
        <f>IF($F119="","",IFERROR(INDEX(사건마스터!$B$5:$B$64,MATCH($F119,사건마스터!$A$5:$A$64,0)),""))</f>
        <v/>
      </c>
      <c r="H119" s="34">
        <f>IF($F119="","",IFERROR(INDEX(사건마스터!$C$5:$C$64,MATCH($F119,사건마스터!$A$5:$A$64,0)),""))</f>
        <v/>
      </c>
      <c r="I119" s="35">
        <f>IF($F119="","",IFERROR(INDEX(사건마스터!$H$5:$H$64,MATCH($F119,사건마스터!$A$5:$A$64,0)),""))</f>
        <v/>
      </c>
      <c r="J119" s="35">
        <f>IF($F119="","",IFERROR(INDEX(사건마스터!$AH$5:$AH$64,MATCH($F119,사건마스터!$A$5:$A$64,0)),""))</f>
        <v/>
      </c>
      <c r="K119" s="35">
        <f>IF($F119="","",IFERROR(INDEX(사건마스터!$AI$5:$AI$64,MATCH($F119,사건마스터!$A$5:$A$64,0)),""))</f>
        <v/>
      </c>
      <c r="L119" s="35">
        <f>IF($F119="","",IFERROR(INDEX(사건마스터!$AJ$5:$AJ$64,MATCH($F119,사건마스터!$A$5:$A$64,0)),""))</f>
        <v/>
      </c>
      <c r="M119" s="35">
        <f>IF($F119="","",IFERROR(INDEX(사건마스터!$AK$5:$AK$64,MATCH($F119,사건마스터!$A$5:$A$64,0)),""))</f>
        <v/>
      </c>
      <c r="N119" s="35">
        <f>IF($F119="","",IFERROR(INDEX(사건마스터!$AL$5:$AL$64,MATCH($F119,사건마스터!$A$5:$A$64,0)),""))</f>
        <v/>
      </c>
      <c r="O119" s="35">
        <f>IF($F119="","",IFERROR(INDEX(사건마스터!$AM$5:$AM$64,MATCH($F119,사건마스터!$A$5:$A$64,0)),""))</f>
        <v/>
      </c>
      <c r="P119" s="35">
        <f>IF($F119="","",IFERROR(INDEX(사건마스터!$AN$5:$AN$64,MATCH($F119,사건마스터!$A$5:$A$64,0)),""))</f>
        <v/>
      </c>
      <c r="Q119" s="35">
        <f>IF($F119="","",IFERROR(INDEX(사건마스터!$AO$5:$AO$64,MATCH($F119,사건마스터!$A$5:$A$64,0)),""))</f>
        <v/>
      </c>
      <c r="R119" s="35">
        <f>IF($F119="","",IFERROR(INDEX(사건마스터!$AP$5:$AP$64,MATCH($F119,사건마스터!$A$5:$A$64,0)),""))</f>
        <v/>
      </c>
      <c r="S119" s="35">
        <f>IF($F119="","",IFERROR(INDEX(사건마스터!$AQ$5:$AQ$64,MATCH($F119,사건마스터!$A$5:$A$64,0)),""))</f>
        <v/>
      </c>
      <c r="T119" s="35">
        <f>IF($F119="","",IFERROR(INDEX(사건마스터!$AR$5:$AR$64,MATCH($F119,사건마스터!$A$5:$A$64,0)),""))</f>
        <v/>
      </c>
      <c r="U119" s="35">
        <f>IF($F119="","",IFERROR(INDEX(사건마스터!$AS$5:$AS$64,MATCH($F119,사건마스터!$A$5:$A$64,0)),""))</f>
        <v/>
      </c>
      <c r="V119" s="35">
        <f>IF($F119="","",IFERROR(INDEX(사건마스터!$AT$5:$AT$64,MATCH($F119,사건마스터!$A$5:$A$64,0)),""))</f>
        <v/>
      </c>
      <c r="W119" s="35">
        <f>IF($F119="","",IFERROR(INDEX(사건마스터!$AU$5:$AU$64,MATCH($F119,사건마스터!$A$5:$A$64,0)),""))</f>
        <v/>
      </c>
      <c r="X119" s="35">
        <f>IF($F119="","",IFERROR(INDEX(사건마스터!$AV$5:$AV$64,MATCH($F119,사건마스터!$A$5:$A$64,0)),""))</f>
        <v/>
      </c>
      <c r="Y119" s="30">
        <f>IF($I119="","",COUNTIF($I119:$X119,"?*"))</f>
        <v/>
      </c>
      <c r="Z119" s="33">
        <f>IF($I119="","",_xlfn.TEXTJOIN(", ",TRUE,$I119:$X119))</f>
        <v/>
      </c>
      <c r="AA119" s="34">
        <f>IF($I119="","",IFERROR(INDEX(코드설정!$D$5:$D$24,MATCH($I119,코드설정!$C$5:$C$24,0)),""))</f>
        <v/>
      </c>
      <c r="AB119" s="36" t="n"/>
      <c r="AC119" s="37" t="n"/>
      <c r="AD119" s="38" t="n"/>
      <c r="AE119" s="30">
        <f>IF(OR($B119="",$C119=""),"",$C119-$B119+1)</f>
        <v/>
      </c>
      <c r="AF119" s="32" t="n"/>
      <c r="AG119" s="36" t="n"/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3">
        <f>IF($F120="","",IFERROR(INDEX(사건마스터!$B$5:$B$64,MATCH($F120,사건마스터!$A$5:$A$64,0)),""))</f>
        <v/>
      </c>
      <c r="H120" s="34">
        <f>IF($F120="","",IFERROR(INDEX(사건마스터!$C$5:$C$64,MATCH($F120,사건마스터!$A$5:$A$64,0)),""))</f>
        <v/>
      </c>
      <c r="I120" s="35">
        <f>IF($F120="","",IFERROR(INDEX(사건마스터!$H$5:$H$64,MATCH($F120,사건마스터!$A$5:$A$64,0)),""))</f>
        <v/>
      </c>
      <c r="J120" s="35">
        <f>IF($F120="","",IFERROR(INDEX(사건마스터!$AH$5:$AH$64,MATCH($F120,사건마스터!$A$5:$A$64,0)),""))</f>
        <v/>
      </c>
      <c r="K120" s="35">
        <f>IF($F120="","",IFERROR(INDEX(사건마스터!$AI$5:$AI$64,MATCH($F120,사건마스터!$A$5:$A$64,0)),""))</f>
        <v/>
      </c>
      <c r="L120" s="35">
        <f>IF($F120="","",IFERROR(INDEX(사건마스터!$AJ$5:$AJ$64,MATCH($F120,사건마스터!$A$5:$A$64,0)),""))</f>
        <v/>
      </c>
      <c r="M120" s="35">
        <f>IF($F120="","",IFERROR(INDEX(사건마스터!$AK$5:$AK$64,MATCH($F120,사건마스터!$A$5:$A$64,0)),""))</f>
        <v/>
      </c>
      <c r="N120" s="35">
        <f>IF($F120="","",IFERROR(INDEX(사건마스터!$AL$5:$AL$64,MATCH($F120,사건마스터!$A$5:$A$64,0)),""))</f>
        <v/>
      </c>
      <c r="O120" s="35">
        <f>IF($F120="","",IFERROR(INDEX(사건마스터!$AM$5:$AM$64,MATCH($F120,사건마스터!$A$5:$A$64,0)),""))</f>
        <v/>
      </c>
      <c r="P120" s="35">
        <f>IF($F120="","",IFERROR(INDEX(사건마스터!$AN$5:$AN$64,MATCH($F120,사건마스터!$A$5:$A$64,0)),""))</f>
        <v/>
      </c>
      <c r="Q120" s="35">
        <f>IF($F120="","",IFERROR(INDEX(사건마스터!$AO$5:$AO$64,MATCH($F120,사건마스터!$A$5:$A$64,0)),""))</f>
        <v/>
      </c>
      <c r="R120" s="35">
        <f>IF($F120="","",IFERROR(INDEX(사건마스터!$AP$5:$AP$64,MATCH($F120,사건마스터!$A$5:$A$64,0)),""))</f>
        <v/>
      </c>
      <c r="S120" s="35">
        <f>IF($F120="","",IFERROR(INDEX(사건마스터!$AQ$5:$AQ$64,MATCH($F120,사건마스터!$A$5:$A$64,0)),""))</f>
        <v/>
      </c>
      <c r="T120" s="35">
        <f>IF($F120="","",IFERROR(INDEX(사건마스터!$AR$5:$AR$64,MATCH($F120,사건마스터!$A$5:$A$64,0)),""))</f>
        <v/>
      </c>
      <c r="U120" s="35">
        <f>IF($F120="","",IFERROR(INDEX(사건마스터!$AS$5:$AS$64,MATCH($F120,사건마스터!$A$5:$A$64,0)),""))</f>
        <v/>
      </c>
      <c r="V120" s="35">
        <f>IF($F120="","",IFERROR(INDEX(사건마스터!$AT$5:$AT$64,MATCH($F120,사건마스터!$A$5:$A$64,0)),""))</f>
        <v/>
      </c>
      <c r="W120" s="35">
        <f>IF($F120="","",IFERROR(INDEX(사건마스터!$AU$5:$AU$64,MATCH($F120,사건마스터!$A$5:$A$64,0)),""))</f>
        <v/>
      </c>
      <c r="X120" s="35">
        <f>IF($F120="","",IFERROR(INDEX(사건마스터!$AV$5:$AV$64,MATCH($F120,사건마스터!$A$5:$A$64,0)),""))</f>
        <v/>
      </c>
      <c r="Y120" s="30">
        <f>IF($I120="","",COUNTIF($I120:$X120,"?*"))</f>
        <v/>
      </c>
      <c r="Z120" s="33">
        <f>IF($I120="","",_xlfn.TEXTJOIN(", ",TRUE,$I120:$X120))</f>
        <v/>
      </c>
      <c r="AA120" s="34">
        <f>IF($I120="","",IFERROR(INDEX(코드설정!$D$5:$D$24,MATCH($I120,코드설정!$C$5:$C$24,0)),""))</f>
        <v/>
      </c>
      <c r="AB120" s="36" t="n"/>
      <c r="AC120" s="37" t="n"/>
      <c r="AD120" s="38" t="n"/>
      <c r="AE120" s="30">
        <f>IF(OR($B120="",$C120=""),"",$C120-$B120+1)</f>
        <v/>
      </c>
      <c r="AF120" s="32" t="n"/>
      <c r="AG120" s="36" t="n"/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3">
        <f>IF($F121="","",IFERROR(INDEX(사건마스터!$B$5:$B$64,MATCH($F121,사건마스터!$A$5:$A$64,0)),""))</f>
        <v/>
      </c>
      <c r="H121" s="34">
        <f>IF($F121="","",IFERROR(INDEX(사건마스터!$C$5:$C$64,MATCH($F121,사건마스터!$A$5:$A$64,0)),""))</f>
        <v/>
      </c>
      <c r="I121" s="35">
        <f>IF($F121="","",IFERROR(INDEX(사건마스터!$H$5:$H$64,MATCH($F121,사건마스터!$A$5:$A$64,0)),""))</f>
        <v/>
      </c>
      <c r="J121" s="35">
        <f>IF($F121="","",IFERROR(INDEX(사건마스터!$AH$5:$AH$64,MATCH($F121,사건마스터!$A$5:$A$64,0)),""))</f>
        <v/>
      </c>
      <c r="K121" s="35">
        <f>IF($F121="","",IFERROR(INDEX(사건마스터!$AI$5:$AI$64,MATCH($F121,사건마스터!$A$5:$A$64,0)),""))</f>
        <v/>
      </c>
      <c r="L121" s="35">
        <f>IF($F121="","",IFERROR(INDEX(사건마스터!$AJ$5:$AJ$64,MATCH($F121,사건마스터!$A$5:$A$64,0)),""))</f>
        <v/>
      </c>
      <c r="M121" s="35">
        <f>IF($F121="","",IFERROR(INDEX(사건마스터!$AK$5:$AK$64,MATCH($F121,사건마스터!$A$5:$A$64,0)),""))</f>
        <v/>
      </c>
      <c r="N121" s="35">
        <f>IF($F121="","",IFERROR(INDEX(사건마스터!$AL$5:$AL$64,MATCH($F121,사건마스터!$A$5:$A$64,0)),""))</f>
        <v/>
      </c>
      <c r="O121" s="35">
        <f>IF($F121="","",IFERROR(INDEX(사건마스터!$AM$5:$AM$64,MATCH($F121,사건마스터!$A$5:$A$64,0)),""))</f>
        <v/>
      </c>
      <c r="P121" s="35">
        <f>IF($F121="","",IFERROR(INDEX(사건마스터!$AN$5:$AN$64,MATCH($F121,사건마스터!$A$5:$A$64,0)),""))</f>
        <v/>
      </c>
      <c r="Q121" s="35">
        <f>IF($F121="","",IFERROR(INDEX(사건마스터!$AO$5:$AO$64,MATCH($F121,사건마스터!$A$5:$A$64,0)),""))</f>
        <v/>
      </c>
      <c r="R121" s="35">
        <f>IF($F121="","",IFERROR(INDEX(사건마스터!$AP$5:$AP$64,MATCH($F121,사건마스터!$A$5:$A$64,0)),""))</f>
        <v/>
      </c>
      <c r="S121" s="35">
        <f>IF($F121="","",IFERROR(INDEX(사건마스터!$AQ$5:$AQ$64,MATCH($F121,사건마스터!$A$5:$A$64,0)),""))</f>
        <v/>
      </c>
      <c r="T121" s="35">
        <f>IF($F121="","",IFERROR(INDEX(사건마스터!$AR$5:$AR$64,MATCH($F121,사건마스터!$A$5:$A$64,0)),""))</f>
        <v/>
      </c>
      <c r="U121" s="35">
        <f>IF($F121="","",IFERROR(INDEX(사건마스터!$AS$5:$AS$64,MATCH($F121,사건마스터!$A$5:$A$64,0)),""))</f>
        <v/>
      </c>
      <c r="V121" s="35">
        <f>IF($F121="","",IFERROR(INDEX(사건마스터!$AT$5:$AT$64,MATCH($F121,사건마스터!$A$5:$A$64,0)),""))</f>
        <v/>
      </c>
      <c r="W121" s="35">
        <f>IF($F121="","",IFERROR(INDEX(사건마스터!$AU$5:$AU$64,MATCH($F121,사건마스터!$A$5:$A$64,0)),""))</f>
        <v/>
      </c>
      <c r="X121" s="35">
        <f>IF($F121="","",IFERROR(INDEX(사건마스터!$AV$5:$AV$64,MATCH($F121,사건마스터!$A$5:$A$64,0)),""))</f>
        <v/>
      </c>
      <c r="Y121" s="30">
        <f>IF($I121="","",COUNTIF($I121:$X121,"?*"))</f>
        <v/>
      </c>
      <c r="Z121" s="33">
        <f>IF($I121="","",_xlfn.TEXTJOIN(", ",TRUE,$I121:$X121))</f>
        <v/>
      </c>
      <c r="AA121" s="34">
        <f>IF($I121="","",IFERROR(INDEX(코드설정!$D$5:$D$24,MATCH($I121,코드설정!$C$5:$C$24,0)),""))</f>
        <v/>
      </c>
      <c r="AB121" s="36" t="n"/>
      <c r="AC121" s="37" t="n"/>
      <c r="AD121" s="38" t="n"/>
      <c r="AE121" s="30">
        <f>IF(OR($B121="",$C121=""),"",$C121-$B121+1)</f>
        <v/>
      </c>
      <c r="AF121" s="32" t="n"/>
      <c r="AG121" s="36" t="n"/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3">
        <f>IF($F122="","",IFERROR(INDEX(사건마스터!$B$5:$B$64,MATCH($F122,사건마스터!$A$5:$A$64,0)),""))</f>
        <v/>
      </c>
      <c r="H122" s="34">
        <f>IF($F122="","",IFERROR(INDEX(사건마스터!$C$5:$C$64,MATCH($F122,사건마스터!$A$5:$A$64,0)),""))</f>
        <v/>
      </c>
      <c r="I122" s="35">
        <f>IF($F122="","",IFERROR(INDEX(사건마스터!$H$5:$H$64,MATCH($F122,사건마스터!$A$5:$A$64,0)),""))</f>
        <v/>
      </c>
      <c r="J122" s="35">
        <f>IF($F122="","",IFERROR(INDEX(사건마스터!$AH$5:$AH$64,MATCH($F122,사건마스터!$A$5:$A$64,0)),""))</f>
        <v/>
      </c>
      <c r="K122" s="35">
        <f>IF($F122="","",IFERROR(INDEX(사건마스터!$AI$5:$AI$64,MATCH($F122,사건마스터!$A$5:$A$64,0)),""))</f>
        <v/>
      </c>
      <c r="L122" s="35">
        <f>IF($F122="","",IFERROR(INDEX(사건마스터!$AJ$5:$AJ$64,MATCH($F122,사건마스터!$A$5:$A$64,0)),""))</f>
        <v/>
      </c>
      <c r="M122" s="35">
        <f>IF($F122="","",IFERROR(INDEX(사건마스터!$AK$5:$AK$64,MATCH($F122,사건마스터!$A$5:$A$64,0)),""))</f>
        <v/>
      </c>
      <c r="N122" s="35">
        <f>IF($F122="","",IFERROR(INDEX(사건마스터!$AL$5:$AL$64,MATCH($F122,사건마스터!$A$5:$A$64,0)),""))</f>
        <v/>
      </c>
      <c r="O122" s="35">
        <f>IF($F122="","",IFERROR(INDEX(사건마스터!$AM$5:$AM$64,MATCH($F122,사건마스터!$A$5:$A$64,0)),""))</f>
        <v/>
      </c>
      <c r="P122" s="35">
        <f>IF($F122="","",IFERROR(INDEX(사건마스터!$AN$5:$AN$64,MATCH($F122,사건마스터!$A$5:$A$64,0)),""))</f>
        <v/>
      </c>
      <c r="Q122" s="35">
        <f>IF($F122="","",IFERROR(INDEX(사건마스터!$AO$5:$AO$64,MATCH($F122,사건마스터!$A$5:$A$64,0)),""))</f>
        <v/>
      </c>
      <c r="R122" s="35">
        <f>IF($F122="","",IFERROR(INDEX(사건마스터!$AP$5:$AP$64,MATCH($F122,사건마스터!$A$5:$A$64,0)),""))</f>
        <v/>
      </c>
      <c r="S122" s="35">
        <f>IF($F122="","",IFERROR(INDEX(사건마스터!$AQ$5:$AQ$64,MATCH($F122,사건마스터!$A$5:$A$64,0)),""))</f>
        <v/>
      </c>
      <c r="T122" s="35">
        <f>IF($F122="","",IFERROR(INDEX(사건마스터!$AR$5:$AR$64,MATCH($F122,사건마스터!$A$5:$A$64,0)),""))</f>
        <v/>
      </c>
      <c r="U122" s="35">
        <f>IF($F122="","",IFERROR(INDEX(사건마스터!$AS$5:$AS$64,MATCH($F122,사건마스터!$A$5:$A$64,0)),""))</f>
        <v/>
      </c>
      <c r="V122" s="35">
        <f>IF($F122="","",IFERROR(INDEX(사건마스터!$AT$5:$AT$64,MATCH($F122,사건마스터!$A$5:$A$64,0)),""))</f>
        <v/>
      </c>
      <c r="W122" s="35">
        <f>IF($F122="","",IFERROR(INDEX(사건마스터!$AU$5:$AU$64,MATCH($F122,사건마스터!$A$5:$A$64,0)),""))</f>
        <v/>
      </c>
      <c r="X122" s="35">
        <f>IF($F122="","",IFERROR(INDEX(사건마스터!$AV$5:$AV$64,MATCH($F122,사건마스터!$A$5:$A$64,0)),""))</f>
        <v/>
      </c>
      <c r="Y122" s="30">
        <f>IF($I122="","",COUNTIF($I122:$X122,"?*"))</f>
        <v/>
      </c>
      <c r="Z122" s="33">
        <f>IF($I122="","",_xlfn.TEXTJOIN(", ",TRUE,$I122:$X122))</f>
        <v/>
      </c>
      <c r="AA122" s="34">
        <f>IF($I122="","",IFERROR(INDEX(코드설정!$D$5:$D$24,MATCH($I122,코드설정!$C$5:$C$24,0)),""))</f>
        <v/>
      </c>
      <c r="AB122" s="36" t="n"/>
      <c r="AC122" s="37" t="n"/>
      <c r="AD122" s="38" t="n"/>
      <c r="AE122" s="30">
        <f>IF(OR($B122="",$C122=""),"",$C122-$B122+1)</f>
        <v/>
      </c>
      <c r="AF122" s="32" t="n"/>
      <c r="AG122" s="36" t="n"/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3">
        <f>IF($F123="","",IFERROR(INDEX(사건마스터!$B$5:$B$64,MATCH($F123,사건마스터!$A$5:$A$64,0)),""))</f>
        <v/>
      </c>
      <c r="H123" s="34">
        <f>IF($F123="","",IFERROR(INDEX(사건마스터!$C$5:$C$64,MATCH($F123,사건마스터!$A$5:$A$64,0)),""))</f>
        <v/>
      </c>
      <c r="I123" s="35">
        <f>IF($F123="","",IFERROR(INDEX(사건마스터!$H$5:$H$64,MATCH($F123,사건마스터!$A$5:$A$64,0)),""))</f>
        <v/>
      </c>
      <c r="J123" s="35">
        <f>IF($F123="","",IFERROR(INDEX(사건마스터!$AH$5:$AH$64,MATCH($F123,사건마스터!$A$5:$A$64,0)),""))</f>
        <v/>
      </c>
      <c r="K123" s="35">
        <f>IF($F123="","",IFERROR(INDEX(사건마스터!$AI$5:$AI$64,MATCH($F123,사건마스터!$A$5:$A$64,0)),""))</f>
        <v/>
      </c>
      <c r="L123" s="35">
        <f>IF($F123="","",IFERROR(INDEX(사건마스터!$AJ$5:$AJ$64,MATCH($F123,사건마스터!$A$5:$A$64,0)),""))</f>
        <v/>
      </c>
      <c r="M123" s="35">
        <f>IF($F123="","",IFERROR(INDEX(사건마스터!$AK$5:$AK$64,MATCH($F123,사건마스터!$A$5:$A$64,0)),""))</f>
        <v/>
      </c>
      <c r="N123" s="35">
        <f>IF($F123="","",IFERROR(INDEX(사건마스터!$AL$5:$AL$64,MATCH($F123,사건마스터!$A$5:$A$64,0)),""))</f>
        <v/>
      </c>
      <c r="O123" s="35">
        <f>IF($F123="","",IFERROR(INDEX(사건마스터!$AM$5:$AM$64,MATCH($F123,사건마스터!$A$5:$A$64,0)),""))</f>
        <v/>
      </c>
      <c r="P123" s="35">
        <f>IF($F123="","",IFERROR(INDEX(사건마스터!$AN$5:$AN$64,MATCH($F123,사건마스터!$A$5:$A$64,0)),""))</f>
        <v/>
      </c>
      <c r="Q123" s="35">
        <f>IF($F123="","",IFERROR(INDEX(사건마스터!$AO$5:$AO$64,MATCH($F123,사건마스터!$A$5:$A$64,0)),""))</f>
        <v/>
      </c>
      <c r="R123" s="35">
        <f>IF($F123="","",IFERROR(INDEX(사건마스터!$AP$5:$AP$64,MATCH($F123,사건마스터!$A$5:$A$64,0)),""))</f>
        <v/>
      </c>
      <c r="S123" s="35">
        <f>IF($F123="","",IFERROR(INDEX(사건마스터!$AQ$5:$AQ$64,MATCH($F123,사건마스터!$A$5:$A$64,0)),""))</f>
        <v/>
      </c>
      <c r="T123" s="35">
        <f>IF($F123="","",IFERROR(INDEX(사건마스터!$AR$5:$AR$64,MATCH($F123,사건마스터!$A$5:$A$64,0)),""))</f>
        <v/>
      </c>
      <c r="U123" s="35">
        <f>IF($F123="","",IFERROR(INDEX(사건마스터!$AS$5:$AS$64,MATCH($F123,사건마스터!$A$5:$A$64,0)),""))</f>
        <v/>
      </c>
      <c r="V123" s="35">
        <f>IF($F123="","",IFERROR(INDEX(사건마스터!$AT$5:$AT$64,MATCH($F123,사건마스터!$A$5:$A$64,0)),""))</f>
        <v/>
      </c>
      <c r="W123" s="35">
        <f>IF($F123="","",IFERROR(INDEX(사건마스터!$AU$5:$AU$64,MATCH($F123,사건마스터!$A$5:$A$64,0)),""))</f>
        <v/>
      </c>
      <c r="X123" s="35">
        <f>IF($F123="","",IFERROR(INDEX(사건마스터!$AV$5:$AV$64,MATCH($F123,사건마스터!$A$5:$A$64,0)),""))</f>
        <v/>
      </c>
      <c r="Y123" s="30">
        <f>IF($I123="","",COUNTIF($I123:$X123,"?*"))</f>
        <v/>
      </c>
      <c r="Z123" s="33">
        <f>IF($I123="","",_xlfn.TEXTJOIN(", ",TRUE,$I123:$X123))</f>
        <v/>
      </c>
      <c r="AA123" s="34">
        <f>IF($I123="","",IFERROR(INDEX(코드설정!$D$5:$D$24,MATCH($I123,코드설정!$C$5:$C$24,0)),""))</f>
        <v/>
      </c>
      <c r="AB123" s="36" t="n"/>
      <c r="AC123" s="37" t="n"/>
      <c r="AD123" s="38" t="n"/>
      <c r="AE123" s="30">
        <f>IF(OR($B123="",$C123=""),"",$C123-$B123+1)</f>
        <v/>
      </c>
      <c r="AF123" s="32" t="n"/>
      <c r="AG123" s="36" t="n"/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3">
        <f>IF($F124="","",IFERROR(INDEX(사건마스터!$B$5:$B$64,MATCH($F124,사건마스터!$A$5:$A$64,0)),""))</f>
        <v/>
      </c>
      <c r="H124" s="34">
        <f>IF($F124="","",IFERROR(INDEX(사건마스터!$C$5:$C$64,MATCH($F124,사건마스터!$A$5:$A$64,0)),""))</f>
        <v/>
      </c>
      <c r="I124" s="35">
        <f>IF($F124="","",IFERROR(INDEX(사건마스터!$H$5:$H$64,MATCH($F124,사건마스터!$A$5:$A$64,0)),""))</f>
        <v/>
      </c>
      <c r="J124" s="35">
        <f>IF($F124="","",IFERROR(INDEX(사건마스터!$AH$5:$AH$64,MATCH($F124,사건마스터!$A$5:$A$64,0)),""))</f>
        <v/>
      </c>
      <c r="K124" s="35">
        <f>IF($F124="","",IFERROR(INDEX(사건마스터!$AI$5:$AI$64,MATCH($F124,사건마스터!$A$5:$A$64,0)),""))</f>
        <v/>
      </c>
      <c r="L124" s="35">
        <f>IF($F124="","",IFERROR(INDEX(사건마스터!$AJ$5:$AJ$64,MATCH($F124,사건마스터!$A$5:$A$64,0)),""))</f>
        <v/>
      </c>
      <c r="M124" s="35">
        <f>IF($F124="","",IFERROR(INDEX(사건마스터!$AK$5:$AK$64,MATCH($F124,사건마스터!$A$5:$A$64,0)),""))</f>
        <v/>
      </c>
      <c r="N124" s="35">
        <f>IF($F124="","",IFERROR(INDEX(사건마스터!$AL$5:$AL$64,MATCH($F124,사건마스터!$A$5:$A$64,0)),""))</f>
        <v/>
      </c>
      <c r="O124" s="35">
        <f>IF($F124="","",IFERROR(INDEX(사건마스터!$AM$5:$AM$64,MATCH($F124,사건마스터!$A$5:$A$64,0)),""))</f>
        <v/>
      </c>
      <c r="P124" s="35">
        <f>IF($F124="","",IFERROR(INDEX(사건마스터!$AN$5:$AN$64,MATCH($F124,사건마스터!$A$5:$A$64,0)),""))</f>
        <v/>
      </c>
      <c r="Q124" s="35">
        <f>IF($F124="","",IFERROR(INDEX(사건마스터!$AO$5:$AO$64,MATCH($F124,사건마스터!$A$5:$A$64,0)),""))</f>
        <v/>
      </c>
      <c r="R124" s="35">
        <f>IF($F124="","",IFERROR(INDEX(사건마스터!$AP$5:$AP$64,MATCH($F124,사건마스터!$A$5:$A$64,0)),""))</f>
        <v/>
      </c>
      <c r="S124" s="35">
        <f>IF($F124="","",IFERROR(INDEX(사건마스터!$AQ$5:$AQ$64,MATCH($F124,사건마스터!$A$5:$A$64,0)),""))</f>
        <v/>
      </c>
      <c r="T124" s="35">
        <f>IF($F124="","",IFERROR(INDEX(사건마스터!$AR$5:$AR$64,MATCH($F124,사건마스터!$A$5:$A$64,0)),""))</f>
        <v/>
      </c>
      <c r="U124" s="35">
        <f>IF($F124="","",IFERROR(INDEX(사건마스터!$AS$5:$AS$64,MATCH($F124,사건마스터!$A$5:$A$64,0)),""))</f>
        <v/>
      </c>
      <c r="V124" s="35">
        <f>IF($F124="","",IFERROR(INDEX(사건마스터!$AT$5:$AT$64,MATCH($F124,사건마스터!$A$5:$A$64,0)),""))</f>
        <v/>
      </c>
      <c r="W124" s="35">
        <f>IF($F124="","",IFERROR(INDEX(사건마스터!$AU$5:$AU$64,MATCH($F124,사건마스터!$A$5:$A$64,0)),""))</f>
        <v/>
      </c>
      <c r="X124" s="35">
        <f>IF($F124="","",IFERROR(INDEX(사건마스터!$AV$5:$AV$64,MATCH($F124,사건마스터!$A$5:$A$64,0)),""))</f>
        <v/>
      </c>
      <c r="Y124" s="30">
        <f>IF($I124="","",COUNTIF($I124:$X124,"?*"))</f>
        <v/>
      </c>
      <c r="Z124" s="33">
        <f>IF($I124="","",_xlfn.TEXTJOIN(", ",TRUE,$I124:$X124))</f>
        <v/>
      </c>
      <c r="AA124" s="34">
        <f>IF($I124="","",IFERROR(INDEX(코드설정!$D$5:$D$24,MATCH($I124,코드설정!$C$5:$C$24,0)),""))</f>
        <v/>
      </c>
      <c r="AB124" s="36" t="n"/>
      <c r="AC124" s="37" t="n"/>
      <c r="AD124" s="38" t="n"/>
      <c r="AE124" s="30">
        <f>IF(OR($B124="",$C124=""),"",$C124-$B124+1)</f>
        <v/>
      </c>
      <c r="AF124" s="32" t="n"/>
      <c r="AG124" s="36" t="n"/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3">
        <f>IF($F125="","",IFERROR(INDEX(사건마스터!$B$5:$B$64,MATCH($F125,사건마스터!$A$5:$A$64,0)),""))</f>
        <v/>
      </c>
      <c r="H125" s="34">
        <f>IF($F125="","",IFERROR(INDEX(사건마스터!$C$5:$C$64,MATCH($F125,사건마스터!$A$5:$A$64,0)),""))</f>
        <v/>
      </c>
      <c r="I125" s="35">
        <f>IF($F125="","",IFERROR(INDEX(사건마스터!$H$5:$H$64,MATCH($F125,사건마스터!$A$5:$A$64,0)),""))</f>
        <v/>
      </c>
      <c r="J125" s="35">
        <f>IF($F125="","",IFERROR(INDEX(사건마스터!$AH$5:$AH$64,MATCH($F125,사건마스터!$A$5:$A$64,0)),""))</f>
        <v/>
      </c>
      <c r="K125" s="35">
        <f>IF($F125="","",IFERROR(INDEX(사건마스터!$AI$5:$AI$64,MATCH($F125,사건마스터!$A$5:$A$64,0)),""))</f>
        <v/>
      </c>
      <c r="L125" s="35">
        <f>IF($F125="","",IFERROR(INDEX(사건마스터!$AJ$5:$AJ$64,MATCH($F125,사건마스터!$A$5:$A$64,0)),""))</f>
        <v/>
      </c>
      <c r="M125" s="35">
        <f>IF($F125="","",IFERROR(INDEX(사건마스터!$AK$5:$AK$64,MATCH($F125,사건마스터!$A$5:$A$64,0)),""))</f>
        <v/>
      </c>
      <c r="N125" s="35">
        <f>IF($F125="","",IFERROR(INDEX(사건마스터!$AL$5:$AL$64,MATCH($F125,사건마스터!$A$5:$A$64,0)),""))</f>
        <v/>
      </c>
      <c r="O125" s="35">
        <f>IF($F125="","",IFERROR(INDEX(사건마스터!$AM$5:$AM$64,MATCH($F125,사건마스터!$A$5:$A$64,0)),""))</f>
        <v/>
      </c>
      <c r="P125" s="35">
        <f>IF($F125="","",IFERROR(INDEX(사건마스터!$AN$5:$AN$64,MATCH($F125,사건마스터!$A$5:$A$64,0)),""))</f>
        <v/>
      </c>
      <c r="Q125" s="35">
        <f>IF($F125="","",IFERROR(INDEX(사건마스터!$AO$5:$AO$64,MATCH($F125,사건마스터!$A$5:$A$64,0)),""))</f>
        <v/>
      </c>
      <c r="R125" s="35">
        <f>IF($F125="","",IFERROR(INDEX(사건마스터!$AP$5:$AP$64,MATCH($F125,사건마스터!$A$5:$A$64,0)),""))</f>
        <v/>
      </c>
      <c r="S125" s="35">
        <f>IF($F125="","",IFERROR(INDEX(사건마스터!$AQ$5:$AQ$64,MATCH($F125,사건마스터!$A$5:$A$64,0)),""))</f>
        <v/>
      </c>
      <c r="T125" s="35">
        <f>IF($F125="","",IFERROR(INDEX(사건마스터!$AR$5:$AR$64,MATCH($F125,사건마스터!$A$5:$A$64,0)),""))</f>
        <v/>
      </c>
      <c r="U125" s="35">
        <f>IF($F125="","",IFERROR(INDEX(사건마스터!$AS$5:$AS$64,MATCH($F125,사건마스터!$A$5:$A$64,0)),""))</f>
        <v/>
      </c>
      <c r="V125" s="35">
        <f>IF($F125="","",IFERROR(INDEX(사건마스터!$AT$5:$AT$64,MATCH($F125,사건마스터!$A$5:$A$64,0)),""))</f>
        <v/>
      </c>
      <c r="W125" s="35">
        <f>IF($F125="","",IFERROR(INDEX(사건마스터!$AU$5:$AU$64,MATCH($F125,사건마스터!$A$5:$A$64,0)),""))</f>
        <v/>
      </c>
      <c r="X125" s="35">
        <f>IF($F125="","",IFERROR(INDEX(사건마스터!$AV$5:$AV$64,MATCH($F125,사건마스터!$A$5:$A$64,0)),""))</f>
        <v/>
      </c>
      <c r="Y125" s="30">
        <f>IF($I125="","",COUNTIF($I125:$X125,"?*"))</f>
        <v/>
      </c>
      <c r="Z125" s="33">
        <f>IF($I125="","",_xlfn.TEXTJOIN(", ",TRUE,$I125:$X125))</f>
        <v/>
      </c>
      <c r="AA125" s="34">
        <f>IF($I125="","",IFERROR(INDEX(코드설정!$D$5:$D$24,MATCH($I125,코드설정!$C$5:$C$24,0)),""))</f>
        <v/>
      </c>
      <c r="AB125" s="36" t="n"/>
      <c r="AC125" s="37" t="n"/>
      <c r="AD125" s="38" t="n"/>
      <c r="AE125" s="30">
        <f>IF(OR($B125="",$C125=""),"",$C125-$B125+1)</f>
        <v/>
      </c>
      <c r="AF125" s="32" t="n"/>
      <c r="AG125" s="36" t="n"/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3">
        <f>IF($F126="","",IFERROR(INDEX(사건마스터!$B$5:$B$64,MATCH($F126,사건마스터!$A$5:$A$64,0)),""))</f>
        <v/>
      </c>
      <c r="H126" s="34">
        <f>IF($F126="","",IFERROR(INDEX(사건마스터!$C$5:$C$64,MATCH($F126,사건마스터!$A$5:$A$64,0)),""))</f>
        <v/>
      </c>
      <c r="I126" s="35">
        <f>IF($F126="","",IFERROR(INDEX(사건마스터!$H$5:$H$64,MATCH($F126,사건마스터!$A$5:$A$64,0)),""))</f>
        <v/>
      </c>
      <c r="J126" s="35">
        <f>IF($F126="","",IFERROR(INDEX(사건마스터!$AH$5:$AH$64,MATCH($F126,사건마스터!$A$5:$A$64,0)),""))</f>
        <v/>
      </c>
      <c r="K126" s="35">
        <f>IF($F126="","",IFERROR(INDEX(사건마스터!$AI$5:$AI$64,MATCH($F126,사건마스터!$A$5:$A$64,0)),""))</f>
        <v/>
      </c>
      <c r="L126" s="35">
        <f>IF($F126="","",IFERROR(INDEX(사건마스터!$AJ$5:$AJ$64,MATCH($F126,사건마스터!$A$5:$A$64,0)),""))</f>
        <v/>
      </c>
      <c r="M126" s="35">
        <f>IF($F126="","",IFERROR(INDEX(사건마스터!$AK$5:$AK$64,MATCH($F126,사건마스터!$A$5:$A$64,0)),""))</f>
        <v/>
      </c>
      <c r="N126" s="35">
        <f>IF($F126="","",IFERROR(INDEX(사건마스터!$AL$5:$AL$64,MATCH($F126,사건마스터!$A$5:$A$64,0)),""))</f>
        <v/>
      </c>
      <c r="O126" s="35">
        <f>IF($F126="","",IFERROR(INDEX(사건마스터!$AM$5:$AM$64,MATCH($F126,사건마스터!$A$5:$A$64,0)),""))</f>
        <v/>
      </c>
      <c r="P126" s="35">
        <f>IF($F126="","",IFERROR(INDEX(사건마스터!$AN$5:$AN$64,MATCH($F126,사건마스터!$A$5:$A$64,0)),""))</f>
        <v/>
      </c>
      <c r="Q126" s="35">
        <f>IF($F126="","",IFERROR(INDEX(사건마스터!$AO$5:$AO$64,MATCH($F126,사건마스터!$A$5:$A$64,0)),""))</f>
        <v/>
      </c>
      <c r="R126" s="35">
        <f>IF($F126="","",IFERROR(INDEX(사건마스터!$AP$5:$AP$64,MATCH($F126,사건마스터!$A$5:$A$64,0)),""))</f>
        <v/>
      </c>
      <c r="S126" s="35">
        <f>IF($F126="","",IFERROR(INDEX(사건마스터!$AQ$5:$AQ$64,MATCH($F126,사건마스터!$A$5:$A$64,0)),""))</f>
        <v/>
      </c>
      <c r="T126" s="35">
        <f>IF($F126="","",IFERROR(INDEX(사건마스터!$AR$5:$AR$64,MATCH($F126,사건마스터!$A$5:$A$64,0)),""))</f>
        <v/>
      </c>
      <c r="U126" s="35">
        <f>IF($F126="","",IFERROR(INDEX(사건마스터!$AS$5:$AS$64,MATCH($F126,사건마스터!$A$5:$A$64,0)),""))</f>
        <v/>
      </c>
      <c r="V126" s="35">
        <f>IF($F126="","",IFERROR(INDEX(사건마스터!$AT$5:$AT$64,MATCH($F126,사건마스터!$A$5:$A$64,0)),""))</f>
        <v/>
      </c>
      <c r="W126" s="35">
        <f>IF($F126="","",IFERROR(INDEX(사건마스터!$AU$5:$AU$64,MATCH($F126,사건마스터!$A$5:$A$64,0)),""))</f>
        <v/>
      </c>
      <c r="X126" s="35">
        <f>IF($F126="","",IFERROR(INDEX(사건마스터!$AV$5:$AV$64,MATCH($F126,사건마스터!$A$5:$A$64,0)),""))</f>
        <v/>
      </c>
      <c r="Y126" s="30">
        <f>IF($I126="","",COUNTIF($I126:$X126,"?*"))</f>
        <v/>
      </c>
      <c r="Z126" s="33">
        <f>IF($I126="","",_xlfn.TEXTJOIN(", ",TRUE,$I126:$X126))</f>
        <v/>
      </c>
      <c r="AA126" s="34">
        <f>IF($I126="","",IFERROR(INDEX(코드설정!$D$5:$D$24,MATCH($I126,코드설정!$C$5:$C$24,0)),""))</f>
        <v/>
      </c>
      <c r="AB126" s="36" t="n"/>
      <c r="AC126" s="37" t="n"/>
      <c r="AD126" s="38" t="n"/>
      <c r="AE126" s="30">
        <f>IF(OR($B126="",$C126=""),"",$C126-$B126+1)</f>
        <v/>
      </c>
      <c r="AF126" s="32" t="n"/>
      <c r="AG126" s="36" t="n"/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3">
        <f>IF($F127="","",IFERROR(INDEX(사건마스터!$B$5:$B$64,MATCH($F127,사건마스터!$A$5:$A$64,0)),""))</f>
        <v/>
      </c>
      <c r="H127" s="34">
        <f>IF($F127="","",IFERROR(INDEX(사건마스터!$C$5:$C$64,MATCH($F127,사건마스터!$A$5:$A$64,0)),""))</f>
        <v/>
      </c>
      <c r="I127" s="35">
        <f>IF($F127="","",IFERROR(INDEX(사건마스터!$H$5:$H$64,MATCH($F127,사건마스터!$A$5:$A$64,0)),""))</f>
        <v/>
      </c>
      <c r="J127" s="35">
        <f>IF($F127="","",IFERROR(INDEX(사건마스터!$AH$5:$AH$64,MATCH($F127,사건마스터!$A$5:$A$64,0)),""))</f>
        <v/>
      </c>
      <c r="K127" s="35">
        <f>IF($F127="","",IFERROR(INDEX(사건마스터!$AI$5:$AI$64,MATCH($F127,사건마스터!$A$5:$A$64,0)),""))</f>
        <v/>
      </c>
      <c r="L127" s="35">
        <f>IF($F127="","",IFERROR(INDEX(사건마스터!$AJ$5:$AJ$64,MATCH($F127,사건마스터!$A$5:$A$64,0)),""))</f>
        <v/>
      </c>
      <c r="M127" s="35">
        <f>IF($F127="","",IFERROR(INDEX(사건마스터!$AK$5:$AK$64,MATCH($F127,사건마스터!$A$5:$A$64,0)),""))</f>
        <v/>
      </c>
      <c r="N127" s="35">
        <f>IF($F127="","",IFERROR(INDEX(사건마스터!$AL$5:$AL$64,MATCH($F127,사건마스터!$A$5:$A$64,0)),""))</f>
        <v/>
      </c>
      <c r="O127" s="35">
        <f>IF($F127="","",IFERROR(INDEX(사건마스터!$AM$5:$AM$64,MATCH($F127,사건마스터!$A$5:$A$64,0)),""))</f>
        <v/>
      </c>
      <c r="P127" s="35">
        <f>IF($F127="","",IFERROR(INDEX(사건마스터!$AN$5:$AN$64,MATCH($F127,사건마스터!$A$5:$A$64,0)),""))</f>
        <v/>
      </c>
      <c r="Q127" s="35">
        <f>IF($F127="","",IFERROR(INDEX(사건마스터!$AO$5:$AO$64,MATCH($F127,사건마스터!$A$5:$A$64,0)),""))</f>
        <v/>
      </c>
      <c r="R127" s="35">
        <f>IF($F127="","",IFERROR(INDEX(사건마스터!$AP$5:$AP$64,MATCH($F127,사건마스터!$A$5:$A$64,0)),""))</f>
        <v/>
      </c>
      <c r="S127" s="35">
        <f>IF($F127="","",IFERROR(INDEX(사건마스터!$AQ$5:$AQ$64,MATCH($F127,사건마스터!$A$5:$A$64,0)),""))</f>
        <v/>
      </c>
      <c r="T127" s="35">
        <f>IF($F127="","",IFERROR(INDEX(사건마스터!$AR$5:$AR$64,MATCH($F127,사건마스터!$A$5:$A$64,0)),""))</f>
        <v/>
      </c>
      <c r="U127" s="35">
        <f>IF($F127="","",IFERROR(INDEX(사건마스터!$AS$5:$AS$64,MATCH($F127,사건마스터!$A$5:$A$64,0)),""))</f>
        <v/>
      </c>
      <c r="V127" s="35">
        <f>IF($F127="","",IFERROR(INDEX(사건마스터!$AT$5:$AT$64,MATCH($F127,사건마스터!$A$5:$A$64,0)),""))</f>
        <v/>
      </c>
      <c r="W127" s="35">
        <f>IF($F127="","",IFERROR(INDEX(사건마스터!$AU$5:$AU$64,MATCH($F127,사건마스터!$A$5:$A$64,0)),""))</f>
        <v/>
      </c>
      <c r="X127" s="35">
        <f>IF($F127="","",IFERROR(INDEX(사건마스터!$AV$5:$AV$64,MATCH($F127,사건마스터!$A$5:$A$64,0)),""))</f>
        <v/>
      </c>
      <c r="Y127" s="30">
        <f>IF($I127="","",COUNTIF($I127:$X127,"?*"))</f>
        <v/>
      </c>
      <c r="Z127" s="33">
        <f>IF($I127="","",_xlfn.TEXTJOIN(", ",TRUE,$I127:$X127))</f>
        <v/>
      </c>
      <c r="AA127" s="34">
        <f>IF($I127="","",IFERROR(INDEX(코드설정!$D$5:$D$24,MATCH($I127,코드설정!$C$5:$C$24,0)),""))</f>
        <v/>
      </c>
      <c r="AB127" s="36" t="n"/>
      <c r="AC127" s="37" t="n"/>
      <c r="AD127" s="38" t="n"/>
      <c r="AE127" s="30">
        <f>IF(OR($B127="",$C127=""),"",$C127-$B127+1)</f>
        <v/>
      </c>
      <c r="AF127" s="32" t="n"/>
      <c r="AG127" s="36" t="n"/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3">
        <f>IF($F128="","",IFERROR(INDEX(사건마스터!$B$5:$B$64,MATCH($F128,사건마스터!$A$5:$A$64,0)),""))</f>
        <v/>
      </c>
      <c r="H128" s="34">
        <f>IF($F128="","",IFERROR(INDEX(사건마스터!$C$5:$C$64,MATCH($F128,사건마스터!$A$5:$A$64,0)),""))</f>
        <v/>
      </c>
      <c r="I128" s="35">
        <f>IF($F128="","",IFERROR(INDEX(사건마스터!$H$5:$H$64,MATCH($F128,사건마스터!$A$5:$A$64,0)),""))</f>
        <v/>
      </c>
      <c r="J128" s="35">
        <f>IF($F128="","",IFERROR(INDEX(사건마스터!$AH$5:$AH$64,MATCH($F128,사건마스터!$A$5:$A$64,0)),""))</f>
        <v/>
      </c>
      <c r="K128" s="35">
        <f>IF($F128="","",IFERROR(INDEX(사건마스터!$AI$5:$AI$64,MATCH($F128,사건마스터!$A$5:$A$64,0)),""))</f>
        <v/>
      </c>
      <c r="L128" s="35">
        <f>IF($F128="","",IFERROR(INDEX(사건마스터!$AJ$5:$AJ$64,MATCH($F128,사건마스터!$A$5:$A$64,0)),""))</f>
        <v/>
      </c>
      <c r="M128" s="35">
        <f>IF($F128="","",IFERROR(INDEX(사건마스터!$AK$5:$AK$64,MATCH($F128,사건마스터!$A$5:$A$64,0)),""))</f>
        <v/>
      </c>
      <c r="N128" s="35">
        <f>IF($F128="","",IFERROR(INDEX(사건마스터!$AL$5:$AL$64,MATCH($F128,사건마스터!$A$5:$A$64,0)),""))</f>
        <v/>
      </c>
      <c r="O128" s="35">
        <f>IF($F128="","",IFERROR(INDEX(사건마스터!$AM$5:$AM$64,MATCH($F128,사건마스터!$A$5:$A$64,0)),""))</f>
        <v/>
      </c>
      <c r="P128" s="35">
        <f>IF($F128="","",IFERROR(INDEX(사건마스터!$AN$5:$AN$64,MATCH($F128,사건마스터!$A$5:$A$64,0)),""))</f>
        <v/>
      </c>
      <c r="Q128" s="35">
        <f>IF($F128="","",IFERROR(INDEX(사건마스터!$AO$5:$AO$64,MATCH($F128,사건마스터!$A$5:$A$64,0)),""))</f>
        <v/>
      </c>
      <c r="R128" s="35">
        <f>IF($F128="","",IFERROR(INDEX(사건마스터!$AP$5:$AP$64,MATCH($F128,사건마스터!$A$5:$A$64,0)),""))</f>
        <v/>
      </c>
      <c r="S128" s="35">
        <f>IF($F128="","",IFERROR(INDEX(사건마스터!$AQ$5:$AQ$64,MATCH($F128,사건마스터!$A$5:$A$64,0)),""))</f>
        <v/>
      </c>
      <c r="T128" s="35">
        <f>IF($F128="","",IFERROR(INDEX(사건마스터!$AR$5:$AR$64,MATCH($F128,사건마스터!$A$5:$A$64,0)),""))</f>
        <v/>
      </c>
      <c r="U128" s="35">
        <f>IF($F128="","",IFERROR(INDEX(사건마스터!$AS$5:$AS$64,MATCH($F128,사건마스터!$A$5:$A$64,0)),""))</f>
        <v/>
      </c>
      <c r="V128" s="35">
        <f>IF($F128="","",IFERROR(INDEX(사건마스터!$AT$5:$AT$64,MATCH($F128,사건마스터!$A$5:$A$64,0)),""))</f>
        <v/>
      </c>
      <c r="W128" s="35">
        <f>IF($F128="","",IFERROR(INDEX(사건마스터!$AU$5:$AU$64,MATCH($F128,사건마스터!$A$5:$A$64,0)),""))</f>
        <v/>
      </c>
      <c r="X128" s="35">
        <f>IF($F128="","",IFERROR(INDEX(사건마스터!$AV$5:$AV$64,MATCH($F128,사건마스터!$A$5:$A$64,0)),""))</f>
        <v/>
      </c>
      <c r="Y128" s="30">
        <f>IF($I128="","",COUNTIF($I128:$X128,"?*"))</f>
        <v/>
      </c>
      <c r="Z128" s="33">
        <f>IF($I128="","",_xlfn.TEXTJOIN(", ",TRUE,$I128:$X128))</f>
        <v/>
      </c>
      <c r="AA128" s="34">
        <f>IF($I128="","",IFERROR(INDEX(코드설정!$D$5:$D$24,MATCH($I128,코드설정!$C$5:$C$24,0)),""))</f>
        <v/>
      </c>
      <c r="AB128" s="36" t="n"/>
      <c r="AC128" s="37" t="n"/>
      <c r="AD128" s="38" t="n"/>
      <c r="AE128" s="30">
        <f>IF(OR($B128="",$C128=""),"",$C128-$B128+1)</f>
        <v/>
      </c>
      <c r="AF128" s="32" t="n"/>
      <c r="AG128" s="36" t="n"/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3">
        <f>IF($F129="","",IFERROR(INDEX(사건마스터!$B$5:$B$64,MATCH($F129,사건마스터!$A$5:$A$64,0)),""))</f>
        <v/>
      </c>
      <c r="H129" s="34">
        <f>IF($F129="","",IFERROR(INDEX(사건마스터!$C$5:$C$64,MATCH($F129,사건마스터!$A$5:$A$64,0)),""))</f>
        <v/>
      </c>
      <c r="I129" s="35">
        <f>IF($F129="","",IFERROR(INDEX(사건마스터!$H$5:$H$64,MATCH($F129,사건마스터!$A$5:$A$64,0)),""))</f>
        <v/>
      </c>
      <c r="J129" s="35">
        <f>IF($F129="","",IFERROR(INDEX(사건마스터!$AH$5:$AH$64,MATCH($F129,사건마스터!$A$5:$A$64,0)),""))</f>
        <v/>
      </c>
      <c r="K129" s="35">
        <f>IF($F129="","",IFERROR(INDEX(사건마스터!$AI$5:$AI$64,MATCH($F129,사건마스터!$A$5:$A$64,0)),""))</f>
        <v/>
      </c>
      <c r="L129" s="35">
        <f>IF($F129="","",IFERROR(INDEX(사건마스터!$AJ$5:$AJ$64,MATCH($F129,사건마스터!$A$5:$A$64,0)),""))</f>
        <v/>
      </c>
      <c r="M129" s="35">
        <f>IF($F129="","",IFERROR(INDEX(사건마스터!$AK$5:$AK$64,MATCH($F129,사건마스터!$A$5:$A$64,0)),""))</f>
        <v/>
      </c>
      <c r="N129" s="35">
        <f>IF($F129="","",IFERROR(INDEX(사건마스터!$AL$5:$AL$64,MATCH($F129,사건마스터!$A$5:$A$64,0)),""))</f>
        <v/>
      </c>
      <c r="O129" s="35">
        <f>IF($F129="","",IFERROR(INDEX(사건마스터!$AM$5:$AM$64,MATCH($F129,사건마스터!$A$5:$A$64,0)),""))</f>
        <v/>
      </c>
      <c r="P129" s="35">
        <f>IF($F129="","",IFERROR(INDEX(사건마스터!$AN$5:$AN$64,MATCH($F129,사건마스터!$A$5:$A$64,0)),""))</f>
        <v/>
      </c>
      <c r="Q129" s="35">
        <f>IF($F129="","",IFERROR(INDEX(사건마스터!$AO$5:$AO$64,MATCH($F129,사건마스터!$A$5:$A$64,0)),""))</f>
        <v/>
      </c>
      <c r="R129" s="35">
        <f>IF($F129="","",IFERROR(INDEX(사건마스터!$AP$5:$AP$64,MATCH($F129,사건마스터!$A$5:$A$64,0)),""))</f>
        <v/>
      </c>
      <c r="S129" s="35">
        <f>IF($F129="","",IFERROR(INDEX(사건마스터!$AQ$5:$AQ$64,MATCH($F129,사건마스터!$A$5:$A$64,0)),""))</f>
        <v/>
      </c>
      <c r="T129" s="35">
        <f>IF($F129="","",IFERROR(INDEX(사건마스터!$AR$5:$AR$64,MATCH($F129,사건마스터!$A$5:$A$64,0)),""))</f>
        <v/>
      </c>
      <c r="U129" s="35">
        <f>IF($F129="","",IFERROR(INDEX(사건마스터!$AS$5:$AS$64,MATCH($F129,사건마스터!$A$5:$A$64,0)),""))</f>
        <v/>
      </c>
      <c r="V129" s="35">
        <f>IF($F129="","",IFERROR(INDEX(사건마스터!$AT$5:$AT$64,MATCH($F129,사건마스터!$A$5:$A$64,0)),""))</f>
        <v/>
      </c>
      <c r="W129" s="35">
        <f>IF($F129="","",IFERROR(INDEX(사건마스터!$AU$5:$AU$64,MATCH($F129,사건마스터!$A$5:$A$64,0)),""))</f>
        <v/>
      </c>
      <c r="X129" s="35">
        <f>IF($F129="","",IFERROR(INDEX(사건마스터!$AV$5:$AV$64,MATCH($F129,사건마스터!$A$5:$A$64,0)),""))</f>
        <v/>
      </c>
      <c r="Y129" s="30">
        <f>IF($I129="","",COUNTIF($I129:$X129,"?*"))</f>
        <v/>
      </c>
      <c r="Z129" s="33">
        <f>IF($I129="","",_xlfn.TEXTJOIN(", ",TRUE,$I129:$X129))</f>
        <v/>
      </c>
      <c r="AA129" s="34">
        <f>IF($I129="","",IFERROR(INDEX(코드설정!$D$5:$D$24,MATCH($I129,코드설정!$C$5:$C$24,0)),""))</f>
        <v/>
      </c>
      <c r="AB129" s="36" t="n"/>
      <c r="AC129" s="37" t="n"/>
      <c r="AD129" s="38" t="n"/>
      <c r="AE129" s="30">
        <f>IF(OR($B129="",$C129=""),"",$C129-$B129+1)</f>
        <v/>
      </c>
      <c r="AF129" s="32" t="n"/>
      <c r="AG129" s="36" t="n"/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3">
        <f>IF($F130="","",IFERROR(INDEX(사건마스터!$B$5:$B$64,MATCH($F130,사건마스터!$A$5:$A$64,0)),""))</f>
        <v/>
      </c>
      <c r="H130" s="34">
        <f>IF($F130="","",IFERROR(INDEX(사건마스터!$C$5:$C$64,MATCH($F130,사건마스터!$A$5:$A$64,0)),""))</f>
        <v/>
      </c>
      <c r="I130" s="35">
        <f>IF($F130="","",IFERROR(INDEX(사건마스터!$H$5:$H$64,MATCH($F130,사건마스터!$A$5:$A$64,0)),""))</f>
        <v/>
      </c>
      <c r="J130" s="35">
        <f>IF($F130="","",IFERROR(INDEX(사건마스터!$AH$5:$AH$64,MATCH($F130,사건마스터!$A$5:$A$64,0)),""))</f>
        <v/>
      </c>
      <c r="K130" s="35">
        <f>IF($F130="","",IFERROR(INDEX(사건마스터!$AI$5:$AI$64,MATCH($F130,사건마스터!$A$5:$A$64,0)),""))</f>
        <v/>
      </c>
      <c r="L130" s="35">
        <f>IF($F130="","",IFERROR(INDEX(사건마스터!$AJ$5:$AJ$64,MATCH($F130,사건마스터!$A$5:$A$64,0)),""))</f>
        <v/>
      </c>
      <c r="M130" s="35">
        <f>IF($F130="","",IFERROR(INDEX(사건마스터!$AK$5:$AK$64,MATCH($F130,사건마스터!$A$5:$A$64,0)),""))</f>
        <v/>
      </c>
      <c r="N130" s="35">
        <f>IF($F130="","",IFERROR(INDEX(사건마스터!$AL$5:$AL$64,MATCH($F130,사건마스터!$A$5:$A$64,0)),""))</f>
        <v/>
      </c>
      <c r="O130" s="35">
        <f>IF($F130="","",IFERROR(INDEX(사건마스터!$AM$5:$AM$64,MATCH($F130,사건마스터!$A$5:$A$64,0)),""))</f>
        <v/>
      </c>
      <c r="P130" s="35">
        <f>IF($F130="","",IFERROR(INDEX(사건마스터!$AN$5:$AN$64,MATCH($F130,사건마스터!$A$5:$A$64,0)),""))</f>
        <v/>
      </c>
      <c r="Q130" s="35">
        <f>IF($F130="","",IFERROR(INDEX(사건마스터!$AO$5:$AO$64,MATCH($F130,사건마스터!$A$5:$A$64,0)),""))</f>
        <v/>
      </c>
      <c r="R130" s="35">
        <f>IF($F130="","",IFERROR(INDEX(사건마스터!$AP$5:$AP$64,MATCH($F130,사건마스터!$A$5:$A$64,0)),""))</f>
        <v/>
      </c>
      <c r="S130" s="35">
        <f>IF($F130="","",IFERROR(INDEX(사건마스터!$AQ$5:$AQ$64,MATCH($F130,사건마스터!$A$5:$A$64,0)),""))</f>
        <v/>
      </c>
      <c r="T130" s="35">
        <f>IF($F130="","",IFERROR(INDEX(사건마스터!$AR$5:$AR$64,MATCH($F130,사건마스터!$A$5:$A$64,0)),""))</f>
        <v/>
      </c>
      <c r="U130" s="35">
        <f>IF($F130="","",IFERROR(INDEX(사건마스터!$AS$5:$AS$64,MATCH($F130,사건마스터!$A$5:$A$64,0)),""))</f>
        <v/>
      </c>
      <c r="V130" s="35">
        <f>IF($F130="","",IFERROR(INDEX(사건마스터!$AT$5:$AT$64,MATCH($F130,사건마스터!$A$5:$A$64,0)),""))</f>
        <v/>
      </c>
      <c r="W130" s="35">
        <f>IF($F130="","",IFERROR(INDEX(사건마스터!$AU$5:$AU$64,MATCH($F130,사건마스터!$A$5:$A$64,0)),""))</f>
        <v/>
      </c>
      <c r="X130" s="35">
        <f>IF($F130="","",IFERROR(INDEX(사건마스터!$AV$5:$AV$64,MATCH($F130,사건마스터!$A$5:$A$64,0)),""))</f>
        <v/>
      </c>
      <c r="Y130" s="30">
        <f>IF($I130="","",COUNTIF($I130:$X130,"?*"))</f>
        <v/>
      </c>
      <c r="Z130" s="33">
        <f>IF($I130="","",_xlfn.TEXTJOIN(", ",TRUE,$I130:$X130))</f>
        <v/>
      </c>
      <c r="AA130" s="34">
        <f>IF($I130="","",IFERROR(INDEX(코드설정!$D$5:$D$24,MATCH($I130,코드설정!$C$5:$C$24,0)),""))</f>
        <v/>
      </c>
      <c r="AB130" s="36" t="n"/>
      <c r="AC130" s="37" t="n"/>
      <c r="AD130" s="38" t="n"/>
      <c r="AE130" s="30">
        <f>IF(OR($B130="",$C130=""),"",$C130-$B130+1)</f>
        <v/>
      </c>
      <c r="AF130" s="32" t="n"/>
      <c r="AG130" s="36" t="n"/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3">
        <f>IF($F131="","",IFERROR(INDEX(사건마스터!$B$5:$B$64,MATCH($F131,사건마스터!$A$5:$A$64,0)),""))</f>
        <v/>
      </c>
      <c r="H131" s="34">
        <f>IF($F131="","",IFERROR(INDEX(사건마스터!$C$5:$C$64,MATCH($F131,사건마스터!$A$5:$A$64,0)),""))</f>
        <v/>
      </c>
      <c r="I131" s="35">
        <f>IF($F131="","",IFERROR(INDEX(사건마스터!$H$5:$H$64,MATCH($F131,사건마스터!$A$5:$A$64,0)),""))</f>
        <v/>
      </c>
      <c r="J131" s="35">
        <f>IF($F131="","",IFERROR(INDEX(사건마스터!$AH$5:$AH$64,MATCH($F131,사건마스터!$A$5:$A$64,0)),""))</f>
        <v/>
      </c>
      <c r="K131" s="35">
        <f>IF($F131="","",IFERROR(INDEX(사건마스터!$AI$5:$AI$64,MATCH($F131,사건마스터!$A$5:$A$64,0)),""))</f>
        <v/>
      </c>
      <c r="L131" s="35">
        <f>IF($F131="","",IFERROR(INDEX(사건마스터!$AJ$5:$AJ$64,MATCH($F131,사건마스터!$A$5:$A$64,0)),""))</f>
        <v/>
      </c>
      <c r="M131" s="35">
        <f>IF($F131="","",IFERROR(INDEX(사건마스터!$AK$5:$AK$64,MATCH($F131,사건마스터!$A$5:$A$64,0)),""))</f>
        <v/>
      </c>
      <c r="N131" s="35">
        <f>IF($F131="","",IFERROR(INDEX(사건마스터!$AL$5:$AL$64,MATCH($F131,사건마스터!$A$5:$A$64,0)),""))</f>
        <v/>
      </c>
      <c r="O131" s="35">
        <f>IF($F131="","",IFERROR(INDEX(사건마스터!$AM$5:$AM$64,MATCH($F131,사건마스터!$A$5:$A$64,0)),""))</f>
        <v/>
      </c>
      <c r="P131" s="35">
        <f>IF($F131="","",IFERROR(INDEX(사건마스터!$AN$5:$AN$64,MATCH($F131,사건마스터!$A$5:$A$64,0)),""))</f>
        <v/>
      </c>
      <c r="Q131" s="35">
        <f>IF($F131="","",IFERROR(INDEX(사건마스터!$AO$5:$AO$64,MATCH($F131,사건마스터!$A$5:$A$64,0)),""))</f>
        <v/>
      </c>
      <c r="R131" s="35">
        <f>IF($F131="","",IFERROR(INDEX(사건마스터!$AP$5:$AP$64,MATCH($F131,사건마스터!$A$5:$A$64,0)),""))</f>
        <v/>
      </c>
      <c r="S131" s="35">
        <f>IF($F131="","",IFERROR(INDEX(사건마스터!$AQ$5:$AQ$64,MATCH($F131,사건마스터!$A$5:$A$64,0)),""))</f>
        <v/>
      </c>
      <c r="T131" s="35">
        <f>IF($F131="","",IFERROR(INDEX(사건마스터!$AR$5:$AR$64,MATCH($F131,사건마스터!$A$5:$A$64,0)),""))</f>
        <v/>
      </c>
      <c r="U131" s="35">
        <f>IF($F131="","",IFERROR(INDEX(사건마스터!$AS$5:$AS$64,MATCH($F131,사건마스터!$A$5:$A$64,0)),""))</f>
        <v/>
      </c>
      <c r="V131" s="35">
        <f>IF($F131="","",IFERROR(INDEX(사건마스터!$AT$5:$AT$64,MATCH($F131,사건마스터!$A$5:$A$64,0)),""))</f>
        <v/>
      </c>
      <c r="W131" s="35">
        <f>IF($F131="","",IFERROR(INDEX(사건마스터!$AU$5:$AU$64,MATCH($F131,사건마스터!$A$5:$A$64,0)),""))</f>
        <v/>
      </c>
      <c r="X131" s="35">
        <f>IF($F131="","",IFERROR(INDEX(사건마스터!$AV$5:$AV$64,MATCH($F131,사건마스터!$A$5:$A$64,0)),""))</f>
        <v/>
      </c>
      <c r="Y131" s="30">
        <f>IF($I131="","",COUNTIF($I131:$X131,"?*"))</f>
        <v/>
      </c>
      <c r="Z131" s="33">
        <f>IF($I131="","",_xlfn.TEXTJOIN(", ",TRUE,$I131:$X131))</f>
        <v/>
      </c>
      <c r="AA131" s="34">
        <f>IF($I131="","",IFERROR(INDEX(코드설정!$D$5:$D$24,MATCH($I131,코드설정!$C$5:$C$24,0)),""))</f>
        <v/>
      </c>
      <c r="AB131" s="36" t="n"/>
      <c r="AC131" s="37" t="n"/>
      <c r="AD131" s="38" t="n"/>
      <c r="AE131" s="30">
        <f>IF(OR($B131="",$C131=""),"",$C131-$B131+1)</f>
        <v/>
      </c>
      <c r="AF131" s="32" t="n"/>
      <c r="AG131" s="36" t="n"/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3">
        <f>IF($F132="","",IFERROR(INDEX(사건마스터!$B$5:$B$64,MATCH($F132,사건마스터!$A$5:$A$64,0)),""))</f>
        <v/>
      </c>
      <c r="H132" s="34">
        <f>IF($F132="","",IFERROR(INDEX(사건마스터!$C$5:$C$64,MATCH($F132,사건마스터!$A$5:$A$64,0)),""))</f>
        <v/>
      </c>
      <c r="I132" s="35">
        <f>IF($F132="","",IFERROR(INDEX(사건마스터!$H$5:$H$64,MATCH($F132,사건마스터!$A$5:$A$64,0)),""))</f>
        <v/>
      </c>
      <c r="J132" s="35">
        <f>IF($F132="","",IFERROR(INDEX(사건마스터!$AH$5:$AH$64,MATCH($F132,사건마스터!$A$5:$A$64,0)),""))</f>
        <v/>
      </c>
      <c r="K132" s="35">
        <f>IF($F132="","",IFERROR(INDEX(사건마스터!$AI$5:$AI$64,MATCH($F132,사건마스터!$A$5:$A$64,0)),""))</f>
        <v/>
      </c>
      <c r="L132" s="35">
        <f>IF($F132="","",IFERROR(INDEX(사건마스터!$AJ$5:$AJ$64,MATCH($F132,사건마스터!$A$5:$A$64,0)),""))</f>
        <v/>
      </c>
      <c r="M132" s="35">
        <f>IF($F132="","",IFERROR(INDEX(사건마스터!$AK$5:$AK$64,MATCH($F132,사건마스터!$A$5:$A$64,0)),""))</f>
        <v/>
      </c>
      <c r="N132" s="35">
        <f>IF($F132="","",IFERROR(INDEX(사건마스터!$AL$5:$AL$64,MATCH($F132,사건마스터!$A$5:$A$64,0)),""))</f>
        <v/>
      </c>
      <c r="O132" s="35">
        <f>IF($F132="","",IFERROR(INDEX(사건마스터!$AM$5:$AM$64,MATCH($F132,사건마스터!$A$5:$A$64,0)),""))</f>
        <v/>
      </c>
      <c r="P132" s="35">
        <f>IF($F132="","",IFERROR(INDEX(사건마스터!$AN$5:$AN$64,MATCH($F132,사건마스터!$A$5:$A$64,0)),""))</f>
        <v/>
      </c>
      <c r="Q132" s="35">
        <f>IF($F132="","",IFERROR(INDEX(사건마스터!$AO$5:$AO$64,MATCH($F132,사건마스터!$A$5:$A$64,0)),""))</f>
        <v/>
      </c>
      <c r="R132" s="35">
        <f>IF($F132="","",IFERROR(INDEX(사건마스터!$AP$5:$AP$64,MATCH($F132,사건마스터!$A$5:$A$64,0)),""))</f>
        <v/>
      </c>
      <c r="S132" s="35">
        <f>IF($F132="","",IFERROR(INDEX(사건마스터!$AQ$5:$AQ$64,MATCH($F132,사건마스터!$A$5:$A$64,0)),""))</f>
        <v/>
      </c>
      <c r="T132" s="35">
        <f>IF($F132="","",IFERROR(INDEX(사건마스터!$AR$5:$AR$64,MATCH($F132,사건마스터!$A$5:$A$64,0)),""))</f>
        <v/>
      </c>
      <c r="U132" s="35">
        <f>IF($F132="","",IFERROR(INDEX(사건마스터!$AS$5:$AS$64,MATCH($F132,사건마스터!$A$5:$A$64,0)),""))</f>
        <v/>
      </c>
      <c r="V132" s="35">
        <f>IF($F132="","",IFERROR(INDEX(사건마스터!$AT$5:$AT$64,MATCH($F132,사건마스터!$A$5:$A$64,0)),""))</f>
        <v/>
      </c>
      <c r="W132" s="35">
        <f>IF($F132="","",IFERROR(INDEX(사건마스터!$AU$5:$AU$64,MATCH($F132,사건마스터!$A$5:$A$64,0)),""))</f>
        <v/>
      </c>
      <c r="X132" s="35">
        <f>IF($F132="","",IFERROR(INDEX(사건마스터!$AV$5:$AV$64,MATCH($F132,사건마스터!$A$5:$A$64,0)),""))</f>
        <v/>
      </c>
      <c r="Y132" s="30">
        <f>IF($I132="","",COUNTIF($I132:$X132,"?*"))</f>
        <v/>
      </c>
      <c r="Z132" s="33">
        <f>IF($I132="","",_xlfn.TEXTJOIN(", ",TRUE,$I132:$X132))</f>
        <v/>
      </c>
      <c r="AA132" s="34">
        <f>IF($I132="","",IFERROR(INDEX(코드설정!$D$5:$D$24,MATCH($I132,코드설정!$C$5:$C$24,0)),""))</f>
        <v/>
      </c>
      <c r="AB132" s="36" t="n"/>
      <c r="AC132" s="37" t="n"/>
      <c r="AD132" s="38" t="n"/>
      <c r="AE132" s="30">
        <f>IF(OR($B132="",$C132=""),"",$C132-$B132+1)</f>
        <v/>
      </c>
      <c r="AF132" s="32" t="n"/>
      <c r="AG132" s="36" t="n"/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3">
        <f>IF($F133="","",IFERROR(INDEX(사건마스터!$B$5:$B$64,MATCH($F133,사건마스터!$A$5:$A$64,0)),""))</f>
        <v/>
      </c>
      <c r="H133" s="34">
        <f>IF($F133="","",IFERROR(INDEX(사건마스터!$C$5:$C$64,MATCH($F133,사건마스터!$A$5:$A$64,0)),""))</f>
        <v/>
      </c>
      <c r="I133" s="35">
        <f>IF($F133="","",IFERROR(INDEX(사건마스터!$H$5:$H$64,MATCH($F133,사건마스터!$A$5:$A$64,0)),""))</f>
        <v/>
      </c>
      <c r="J133" s="35">
        <f>IF($F133="","",IFERROR(INDEX(사건마스터!$AH$5:$AH$64,MATCH($F133,사건마스터!$A$5:$A$64,0)),""))</f>
        <v/>
      </c>
      <c r="K133" s="35">
        <f>IF($F133="","",IFERROR(INDEX(사건마스터!$AI$5:$AI$64,MATCH($F133,사건마스터!$A$5:$A$64,0)),""))</f>
        <v/>
      </c>
      <c r="L133" s="35">
        <f>IF($F133="","",IFERROR(INDEX(사건마스터!$AJ$5:$AJ$64,MATCH($F133,사건마스터!$A$5:$A$64,0)),""))</f>
        <v/>
      </c>
      <c r="M133" s="35">
        <f>IF($F133="","",IFERROR(INDEX(사건마스터!$AK$5:$AK$64,MATCH($F133,사건마스터!$A$5:$A$64,0)),""))</f>
        <v/>
      </c>
      <c r="N133" s="35">
        <f>IF($F133="","",IFERROR(INDEX(사건마스터!$AL$5:$AL$64,MATCH($F133,사건마스터!$A$5:$A$64,0)),""))</f>
        <v/>
      </c>
      <c r="O133" s="35">
        <f>IF($F133="","",IFERROR(INDEX(사건마스터!$AM$5:$AM$64,MATCH($F133,사건마스터!$A$5:$A$64,0)),""))</f>
        <v/>
      </c>
      <c r="P133" s="35">
        <f>IF($F133="","",IFERROR(INDEX(사건마스터!$AN$5:$AN$64,MATCH($F133,사건마스터!$A$5:$A$64,0)),""))</f>
        <v/>
      </c>
      <c r="Q133" s="35">
        <f>IF($F133="","",IFERROR(INDEX(사건마스터!$AO$5:$AO$64,MATCH($F133,사건마스터!$A$5:$A$64,0)),""))</f>
        <v/>
      </c>
      <c r="R133" s="35">
        <f>IF($F133="","",IFERROR(INDEX(사건마스터!$AP$5:$AP$64,MATCH($F133,사건마스터!$A$5:$A$64,0)),""))</f>
        <v/>
      </c>
      <c r="S133" s="35">
        <f>IF($F133="","",IFERROR(INDEX(사건마스터!$AQ$5:$AQ$64,MATCH($F133,사건마스터!$A$5:$A$64,0)),""))</f>
        <v/>
      </c>
      <c r="T133" s="35">
        <f>IF($F133="","",IFERROR(INDEX(사건마스터!$AR$5:$AR$64,MATCH($F133,사건마스터!$A$5:$A$64,0)),""))</f>
        <v/>
      </c>
      <c r="U133" s="35">
        <f>IF($F133="","",IFERROR(INDEX(사건마스터!$AS$5:$AS$64,MATCH($F133,사건마스터!$A$5:$A$64,0)),""))</f>
        <v/>
      </c>
      <c r="V133" s="35">
        <f>IF($F133="","",IFERROR(INDEX(사건마스터!$AT$5:$AT$64,MATCH($F133,사건마스터!$A$5:$A$64,0)),""))</f>
        <v/>
      </c>
      <c r="W133" s="35">
        <f>IF($F133="","",IFERROR(INDEX(사건마스터!$AU$5:$AU$64,MATCH($F133,사건마스터!$A$5:$A$64,0)),""))</f>
        <v/>
      </c>
      <c r="X133" s="35">
        <f>IF($F133="","",IFERROR(INDEX(사건마스터!$AV$5:$AV$64,MATCH($F133,사건마스터!$A$5:$A$64,0)),""))</f>
        <v/>
      </c>
      <c r="Y133" s="30">
        <f>IF($I133="","",COUNTIF($I133:$X133,"?*"))</f>
        <v/>
      </c>
      <c r="Z133" s="33">
        <f>IF($I133="","",_xlfn.TEXTJOIN(", ",TRUE,$I133:$X133))</f>
        <v/>
      </c>
      <c r="AA133" s="34">
        <f>IF($I133="","",IFERROR(INDEX(코드설정!$D$5:$D$24,MATCH($I133,코드설정!$C$5:$C$24,0)),""))</f>
        <v/>
      </c>
      <c r="AB133" s="36" t="n"/>
      <c r="AC133" s="37" t="n"/>
      <c r="AD133" s="38" t="n"/>
      <c r="AE133" s="30">
        <f>IF(OR($B133="",$C133=""),"",$C133-$B133+1)</f>
        <v/>
      </c>
      <c r="AF133" s="32" t="n"/>
      <c r="AG133" s="36" t="n"/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3">
        <f>IF($F134="","",IFERROR(INDEX(사건마스터!$B$5:$B$64,MATCH($F134,사건마스터!$A$5:$A$64,0)),""))</f>
        <v/>
      </c>
      <c r="H134" s="34">
        <f>IF($F134="","",IFERROR(INDEX(사건마스터!$C$5:$C$64,MATCH($F134,사건마스터!$A$5:$A$64,0)),""))</f>
        <v/>
      </c>
      <c r="I134" s="35">
        <f>IF($F134="","",IFERROR(INDEX(사건마스터!$H$5:$H$64,MATCH($F134,사건마스터!$A$5:$A$64,0)),""))</f>
        <v/>
      </c>
      <c r="J134" s="35">
        <f>IF($F134="","",IFERROR(INDEX(사건마스터!$AH$5:$AH$64,MATCH($F134,사건마스터!$A$5:$A$64,0)),""))</f>
        <v/>
      </c>
      <c r="K134" s="35">
        <f>IF($F134="","",IFERROR(INDEX(사건마스터!$AI$5:$AI$64,MATCH($F134,사건마스터!$A$5:$A$64,0)),""))</f>
        <v/>
      </c>
      <c r="L134" s="35">
        <f>IF($F134="","",IFERROR(INDEX(사건마스터!$AJ$5:$AJ$64,MATCH($F134,사건마스터!$A$5:$A$64,0)),""))</f>
        <v/>
      </c>
      <c r="M134" s="35">
        <f>IF($F134="","",IFERROR(INDEX(사건마스터!$AK$5:$AK$64,MATCH($F134,사건마스터!$A$5:$A$64,0)),""))</f>
        <v/>
      </c>
      <c r="N134" s="35">
        <f>IF($F134="","",IFERROR(INDEX(사건마스터!$AL$5:$AL$64,MATCH($F134,사건마스터!$A$5:$A$64,0)),""))</f>
        <v/>
      </c>
      <c r="O134" s="35">
        <f>IF($F134="","",IFERROR(INDEX(사건마스터!$AM$5:$AM$64,MATCH($F134,사건마스터!$A$5:$A$64,0)),""))</f>
        <v/>
      </c>
      <c r="P134" s="35">
        <f>IF($F134="","",IFERROR(INDEX(사건마스터!$AN$5:$AN$64,MATCH($F134,사건마스터!$A$5:$A$64,0)),""))</f>
        <v/>
      </c>
      <c r="Q134" s="35">
        <f>IF($F134="","",IFERROR(INDEX(사건마스터!$AO$5:$AO$64,MATCH($F134,사건마스터!$A$5:$A$64,0)),""))</f>
        <v/>
      </c>
      <c r="R134" s="35">
        <f>IF($F134="","",IFERROR(INDEX(사건마스터!$AP$5:$AP$64,MATCH($F134,사건마스터!$A$5:$A$64,0)),""))</f>
        <v/>
      </c>
      <c r="S134" s="35">
        <f>IF($F134="","",IFERROR(INDEX(사건마스터!$AQ$5:$AQ$64,MATCH($F134,사건마스터!$A$5:$A$64,0)),""))</f>
        <v/>
      </c>
      <c r="T134" s="35">
        <f>IF($F134="","",IFERROR(INDEX(사건마스터!$AR$5:$AR$64,MATCH($F134,사건마스터!$A$5:$A$64,0)),""))</f>
        <v/>
      </c>
      <c r="U134" s="35">
        <f>IF($F134="","",IFERROR(INDEX(사건마스터!$AS$5:$AS$64,MATCH($F134,사건마스터!$A$5:$A$64,0)),""))</f>
        <v/>
      </c>
      <c r="V134" s="35">
        <f>IF($F134="","",IFERROR(INDEX(사건마스터!$AT$5:$AT$64,MATCH($F134,사건마스터!$A$5:$A$64,0)),""))</f>
        <v/>
      </c>
      <c r="W134" s="35">
        <f>IF($F134="","",IFERROR(INDEX(사건마스터!$AU$5:$AU$64,MATCH($F134,사건마스터!$A$5:$A$64,0)),""))</f>
        <v/>
      </c>
      <c r="X134" s="35">
        <f>IF($F134="","",IFERROR(INDEX(사건마스터!$AV$5:$AV$64,MATCH($F134,사건마스터!$A$5:$A$64,0)),""))</f>
        <v/>
      </c>
      <c r="Y134" s="30">
        <f>IF($I134="","",COUNTIF($I134:$X134,"?*"))</f>
        <v/>
      </c>
      <c r="Z134" s="33">
        <f>IF($I134="","",_xlfn.TEXTJOIN(", ",TRUE,$I134:$X134))</f>
        <v/>
      </c>
      <c r="AA134" s="34">
        <f>IF($I134="","",IFERROR(INDEX(코드설정!$D$5:$D$24,MATCH($I134,코드설정!$C$5:$C$24,0)),""))</f>
        <v/>
      </c>
      <c r="AB134" s="36" t="n"/>
      <c r="AC134" s="37" t="n"/>
      <c r="AD134" s="38" t="n"/>
      <c r="AE134" s="30">
        <f>IF(OR($B134="",$C134=""),"",$C134-$B134+1)</f>
        <v/>
      </c>
      <c r="AF134" s="32" t="n"/>
      <c r="AG134" s="36" t="n"/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3">
        <f>IF($F135="","",IFERROR(INDEX(사건마스터!$B$5:$B$64,MATCH($F135,사건마스터!$A$5:$A$64,0)),""))</f>
        <v/>
      </c>
      <c r="H135" s="34">
        <f>IF($F135="","",IFERROR(INDEX(사건마스터!$C$5:$C$64,MATCH($F135,사건마스터!$A$5:$A$64,0)),""))</f>
        <v/>
      </c>
      <c r="I135" s="35">
        <f>IF($F135="","",IFERROR(INDEX(사건마스터!$H$5:$H$64,MATCH($F135,사건마스터!$A$5:$A$64,0)),""))</f>
        <v/>
      </c>
      <c r="J135" s="35">
        <f>IF($F135="","",IFERROR(INDEX(사건마스터!$AH$5:$AH$64,MATCH($F135,사건마스터!$A$5:$A$64,0)),""))</f>
        <v/>
      </c>
      <c r="K135" s="35">
        <f>IF($F135="","",IFERROR(INDEX(사건마스터!$AI$5:$AI$64,MATCH($F135,사건마스터!$A$5:$A$64,0)),""))</f>
        <v/>
      </c>
      <c r="L135" s="35">
        <f>IF($F135="","",IFERROR(INDEX(사건마스터!$AJ$5:$AJ$64,MATCH($F135,사건마스터!$A$5:$A$64,0)),""))</f>
        <v/>
      </c>
      <c r="M135" s="35">
        <f>IF($F135="","",IFERROR(INDEX(사건마스터!$AK$5:$AK$64,MATCH($F135,사건마스터!$A$5:$A$64,0)),""))</f>
        <v/>
      </c>
      <c r="N135" s="35">
        <f>IF($F135="","",IFERROR(INDEX(사건마스터!$AL$5:$AL$64,MATCH($F135,사건마스터!$A$5:$A$64,0)),""))</f>
        <v/>
      </c>
      <c r="O135" s="35">
        <f>IF($F135="","",IFERROR(INDEX(사건마스터!$AM$5:$AM$64,MATCH($F135,사건마스터!$A$5:$A$64,0)),""))</f>
        <v/>
      </c>
      <c r="P135" s="35">
        <f>IF($F135="","",IFERROR(INDEX(사건마스터!$AN$5:$AN$64,MATCH($F135,사건마스터!$A$5:$A$64,0)),""))</f>
        <v/>
      </c>
      <c r="Q135" s="35">
        <f>IF($F135="","",IFERROR(INDEX(사건마스터!$AO$5:$AO$64,MATCH($F135,사건마스터!$A$5:$A$64,0)),""))</f>
        <v/>
      </c>
      <c r="R135" s="35">
        <f>IF($F135="","",IFERROR(INDEX(사건마스터!$AP$5:$AP$64,MATCH($F135,사건마스터!$A$5:$A$64,0)),""))</f>
        <v/>
      </c>
      <c r="S135" s="35">
        <f>IF($F135="","",IFERROR(INDEX(사건마스터!$AQ$5:$AQ$64,MATCH($F135,사건마스터!$A$5:$A$64,0)),""))</f>
        <v/>
      </c>
      <c r="T135" s="35">
        <f>IF($F135="","",IFERROR(INDEX(사건마스터!$AR$5:$AR$64,MATCH($F135,사건마스터!$A$5:$A$64,0)),""))</f>
        <v/>
      </c>
      <c r="U135" s="35">
        <f>IF($F135="","",IFERROR(INDEX(사건마스터!$AS$5:$AS$64,MATCH($F135,사건마스터!$A$5:$A$64,0)),""))</f>
        <v/>
      </c>
      <c r="V135" s="35">
        <f>IF($F135="","",IFERROR(INDEX(사건마스터!$AT$5:$AT$64,MATCH($F135,사건마스터!$A$5:$A$64,0)),""))</f>
        <v/>
      </c>
      <c r="W135" s="35">
        <f>IF($F135="","",IFERROR(INDEX(사건마스터!$AU$5:$AU$64,MATCH($F135,사건마스터!$A$5:$A$64,0)),""))</f>
        <v/>
      </c>
      <c r="X135" s="35">
        <f>IF($F135="","",IFERROR(INDEX(사건마스터!$AV$5:$AV$64,MATCH($F135,사건마스터!$A$5:$A$64,0)),""))</f>
        <v/>
      </c>
      <c r="Y135" s="30">
        <f>IF($I135="","",COUNTIF($I135:$X135,"?*"))</f>
        <v/>
      </c>
      <c r="Z135" s="33">
        <f>IF($I135="","",_xlfn.TEXTJOIN(", ",TRUE,$I135:$X135))</f>
        <v/>
      </c>
      <c r="AA135" s="34">
        <f>IF($I135="","",IFERROR(INDEX(코드설정!$D$5:$D$24,MATCH($I135,코드설정!$C$5:$C$24,0)),""))</f>
        <v/>
      </c>
      <c r="AB135" s="36" t="n"/>
      <c r="AC135" s="37" t="n"/>
      <c r="AD135" s="38" t="n"/>
      <c r="AE135" s="30">
        <f>IF(OR($B135="",$C135=""),"",$C135-$B135+1)</f>
        <v/>
      </c>
      <c r="AF135" s="32" t="n"/>
      <c r="AG135" s="36" t="n"/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3">
        <f>IF($F136="","",IFERROR(INDEX(사건마스터!$B$5:$B$64,MATCH($F136,사건마스터!$A$5:$A$64,0)),""))</f>
        <v/>
      </c>
      <c r="H136" s="34">
        <f>IF($F136="","",IFERROR(INDEX(사건마스터!$C$5:$C$64,MATCH($F136,사건마스터!$A$5:$A$64,0)),""))</f>
        <v/>
      </c>
      <c r="I136" s="35">
        <f>IF($F136="","",IFERROR(INDEX(사건마스터!$H$5:$H$64,MATCH($F136,사건마스터!$A$5:$A$64,0)),""))</f>
        <v/>
      </c>
      <c r="J136" s="35">
        <f>IF($F136="","",IFERROR(INDEX(사건마스터!$AH$5:$AH$64,MATCH($F136,사건마스터!$A$5:$A$64,0)),""))</f>
        <v/>
      </c>
      <c r="K136" s="35">
        <f>IF($F136="","",IFERROR(INDEX(사건마스터!$AI$5:$AI$64,MATCH($F136,사건마스터!$A$5:$A$64,0)),""))</f>
        <v/>
      </c>
      <c r="L136" s="35">
        <f>IF($F136="","",IFERROR(INDEX(사건마스터!$AJ$5:$AJ$64,MATCH($F136,사건마스터!$A$5:$A$64,0)),""))</f>
        <v/>
      </c>
      <c r="M136" s="35">
        <f>IF($F136="","",IFERROR(INDEX(사건마스터!$AK$5:$AK$64,MATCH($F136,사건마스터!$A$5:$A$64,0)),""))</f>
        <v/>
      </c>
      <c r="N136" s="35">
        <f>IF($F136="","",IFERROR(INDEX(사건마스터!$AL$5:$AL$64,MATCH($F136,사건마스터!$A$5:$A$64,0)),""))</f>
        <v/>
      </c>
      <c r="O136" s="35">
        <f>IF($F136="","",IFERROR(INDEX(사건마스터!$AM$5:$AM$64,MATCH($F136,사건마스터!$A$5:$A$64,0)),""))</f>
        <v/>
      </c>
      <c r="P136" s="35">
        <f>IF($F136="","",IFERROR(INDEX(사건마스터!$AN$5:$AN$64,MATCH($F136,사건마스터!$A$5:$A$64,0)),""))</f>
        <v/>
      </c>
      <c r="Q136" s="35">
        <f>IF($F136="","",IFERROR(INDEX(사건마스터!$AO$5:$AO$64,MATCH($F136,사건마스터!$A$5:$A$64,0)),""))</f>
        <v/>
      </c>
      <c r="R136" s="35">
        <f>IF($F136="","",IFERROR(INDEX(사건마스터!$AP$5:$AP$64,MATCH($F136,사건마스터!$A$5:$A$64,0)),""))</f>
        <v/>
      </c>
      <c r="S136" s="35">
        <f>IF($F136="","",IFERROR(INDEX(사건마스터!$AQ$5:$AQ$64,MATCH($F136,사건마스터!$A$5:$A$64,0)),""))</f>
        <v/>
      </c>
      <c r="T136" s="35">
        <f>IF($F136="","",IFERROR(INDEX(사건마스터!$AR$5:$AR$64,MATCH($F136,사건마스터!$A$5:$A$64,0)),""))</f>
        <v/>
      </c>
      <c r="U136" s="35">
        <f>IF($F136="","",IFERROR(INDEX(사건마스터!$AS$5:$AS$64,MATCH($F136,사건마스터!$A$5:$A$64,0)),""))</f>
        <v/>
      </c>
      <c r="V136" s="35">
        <f>IF($F136="","",IFERROR(INDEX(사건마스터!$AT$5:$AT$64,MATCH($F136,사건마스터!$A$5:$A$64,0)),""))</f>
        <v/>
      </c>
      <c r="W136" s="35">
        <f>IF($F136="","",IFERROR(INDEX(사건마스터!$AU$5:$AU$64,MATCH($F136,사건마스터!$A$5:$A$64,0)),""))</f>
        <v/>
      </c>
      <c r="X136" s="35">
        <f>IF($F136="","",IFERROR(INDEX(사건마스터!$AV$5:$AV$64,MATCH($F136,사건마스터!$A$5:$A$64,0)),""))</f>
        <v/>
      </c>
      <c r="Y136" s="30">
        <f>IF($I136="","",COUNTIF($I136:$X136,"?*"))</f>
        <v/>
      </c>
      <c r="Z136" s="33">
        <f>IF($I136="","",_xlfn.TEXTJOIN(", ",TRUE,$I136:$X136))</f>
        <v/>
      </c>
      <c r="AA136" s="34">
        <f>IF($I136="","",IFERROR(INDEX(코드설정!$D$5:$D$24,MATCH($I136,코드설정!$C$5:$C$24,0)),""))</f>
        <v/>
      </c>
      <c r="AB136" s="36" t="n"/>
      <c r="AC136" s="37" t="n"/>
      <c r="AD136" s="38" t="n"/>
      <c r="AE136" s="30">
        <f>IF(OR($B136="",$C136=""),"",$C136-$B136+1)</f>
        <v/>
      </c>
      <c r="AF136" s="32" t="n"/>
      <c r="AG136" s="36" t="n"/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3">
        <f>IF($F137="","",IFERROR(INDEX(사건마스터!$B$5:$B$64,MATCH($F137,사건마스터!$A$5:$A$64,0)),""))</f>
        <v/>
      </c>
      <c r="H137" s="34">
        <f>IF($F137="","",IFERROR(INDEX(사건마스터!$C$5:$C$64,MATCH($F137,사건마스터!$A$5:$A$64,0)),""))</f>
        <v/>
      </c>
      <c r="I137" s="35">
        <f>IF($F137="","",IFERROR(INDEX(사건마스터!$H$5:$H$64,MATCH($F137,사건마스터!$A$5:$A$64,0)),""))</f>
        <v/>
      </c>
      <c r="J137" s="35">
        <f>IF($F137="","",IFERROR(INDEX(사건마스터!$AH$5:$AH$64,MATCH($F137,사건마스터!$A$5:$A$64,0)),""))</f>
        <v/>
      </c>
      <c r="K137" s="35">
        <f>IF($F137="","",IFERROR(INDEX(사건마스터!$AI$5:$AI$64,MATCH($F137,사건마스터!$A$5:$A$64,0)),""))</f>
        <v/>
      </c>
      <c r="L137" s="35">
        <f>IF($F137="","",IFERROR(INDEX(사건마스터!$AJ$5:$AJ$64,MATCH($F137,사건마스터!$A$5:$A$64,0)),""))</f>
        <v/>
      </c>
      <c r="M137" s="35">
        <f>IF($F137="","",IFERROR(INDEX(사건마스터!$AK$5:$AK$64,MATCH($F137,사건마스터!$A$5:$A$64,0)),""))</f>
        <v/>
      </c>
      <c r="N137" s="35">
        <f>IF($F137="","",IFERROR(INDEX(사건마스터!$AL$5:$AL$64,MATCH($F137,사건마스터!$A$5:$A$64,0)),""))</f>
        <v/>
      </c>
      <c r="O137" s="35">
        <f>IF($F137="","",IFERROR(INDEX(사건마스터!$AM$5:$AM$64,MATCH($F137,사건마스터!$A$5:$A$64,0)),""))</f>
        <v/>
      </c>
      <c r="P137" s="35">
        <f>IF($F137="","",IFERROR(INDEX(사건마스터!$AN$5:$AN$64,MATCH($F137,사건마스터!$A$5:$A$64,0)),""))</f>
        <v/>
      </c>
      <c r="Q137" s="35">
        <f>IF($F137="","",IFERROR(INDEX(사건마스터!$AO$5:$AO$64,MATCH($F137,사건마스터!$A$5:$A$64,0)),""))</f>
        <v/>
      </c>
      <c r="R137" s="35">
        <f>IF($F137="","",IFERROR(INDEX(사건마스터!$AP$5:$AP$64,MATCH($F137,사건마스터!$A$5:$A$64,0)),""))</f>
        <v/>
      </c>
      <c r="S137" s="35">
        <f>IF($F137="","",IFERROR(INDEX(사건마스터!$AQ$5:$AQ$64,MATCH($F137,사건마스터!$A$5:$A$64,0)),""))</f>
        <v/>
      </c>
      <c r="T137" s="35">
        <f>IF($F137="","",IFERROR(INDEX(사건마스터!$AR$5:$AR$64,MATCH($F137,사건마스터!$A$5:$A$64,0)),""))</f>
        <v/>
      </c>
      <c r="U137" s="35">
        <f>IF($F137="","",IFERROR(INDEX(사건마스터!$AS$5:$AS$64,MATCH($F137,사건마스터!$A$5:$A$64,0)),""))</f>
        <v/>
      </c>
      <c r="V137" s="35">
        <f>IF($F137="","",IFERROR(INDEX(사건마스터!$AT$5:$AT$64,MATCH($F137,사건마스터!$A$5:$A$64,0)),""))</f>
        <v/>
      </c>
      <c r="W137" s="35">
        <f>IF($F137="","",IFERROR(INDEX(사건마스터!$AU$5:$AU$64,MATCH($F137,사건마스터!$A$5:$A$64,0)),""))</f>
        <v/>
      </c>
      <c r="X137" s="35">
        <f>IF($F137="","",IFERROR(INDEX(사건마스터!$AV$5:$AV$64,MATCH($F137,사건마스터!$A$5:$A$64,0)),""))</f>
        <v/>
      </c>
      <c r="Y137" s="30">
        <f>IF($I137="","",COUNTIF($I137:$X137,"?*"))</f>
        <v/>
      </c>
      <c r="Z137" s="33">
        <f>IF($I137="","",_xlfn.TEXTJOIN(", ",TRUE,$I137:$X137))</f>
        <v/>
      </c>
      <c r="AA137" s="34">
        <f>IF($I137="","",IFERROR(INDEX(코드설정!$D$5:$D$24,MATCH($I137,코드설정!$C$5:$C$24,0)),""))</f>
        <v/>
      </c>
      <c r="AB137" s="36" t="n"/>
      <c r="AC137" s="37" t="n"/>
      <c r="AD137" s="38" t="n"/>
      <c r="AE137" s="30">
        <f>IF(OR($B137="",$C137=""),"",$C137-$B137+1)</f>
        <v/>
      </c>
      <c r="AF137" s="32" t="n"/>
      <c r="AG137" s="36" t="n"/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3">
        <f>IF($F138="","",IFERROR(INDEX(사건마스터!$B$5:$B$64,MATCH($F138,사건마스터!$A$5:$A$64,0)),""))</f>
        <v/>
      </c>
      <c r="H138" s="34">
        <f>IF($F138="","",IFERROR(INDEX(사건마스터!$C$5:$C$64,MATCH($F138,사건마스터!$A$5:$A$64,0)),""))</f>
        <v/>
      </c>
      <c r="I138" s="35">
        <f>IF($F138="","",IFERROR(INDEX(사건마스터!$H$5:$H$64,MATCH($F138,사건마스터!$A$5:$A$64,0)),""))</f>
        <v/>
      </c>
      <c r="J138" s="35">
        <f>IF($F138="","",IFERROR(INDEX(사건마스터!$AH$5:$AH$64,MATCH($F138,사건마스터!$A$5:$A$64,0)),""))</f>
        <v/>
      </c>
      <c r="K138" s="35">
        <f>IF($F138="","",IFERROR(INDEX(사건마스터!$AI$5:$AI$64,MATCH($F138,사건마스터!$A$5:$A$64,0)),""))</f>
        <v/>
      </c>
      <c r="L138" s="35">
        <f>IF($F138="","",IFERROR(INDEX(사건마스터!$AJ$5:$AJ$64,MATCH($F138,사건마스터!$A$5:$A$64,0)),""))</f>
        <v/>
      </c>
      <c r="M138" s="35">
        <f>IF($F138="","",IFERROR(INDEX(사건마스터!$AK$5:$AK$64,MATCH($F138,사건마스터!$A$5:$A$64,0)),""))</f>
        <v/>
      </c>
      <c r="N138" s="35">
        <f>IF($F138="","",IFERROR(INDEX(사건마스터!$AL$5:$AL$64,MATCH($F138,사건마스터!$A$5:$A$64,0)),""))</f>
        <v/>
      </c>
      <c r="O138" s="35">
        <f>IF($F138="","",IFERROR(INDEX(사건마스터!$AM$5:$AM$64,MATCH($F138,사건마스터!$A$5:$A$64,0)),""))</f>
        <v/>
      </c>
      <c r="P138" s="35">
        <f>IF($F138="","",IFERROR(INDEX(사건마스터!$AN$5:$AN$64,MATCH($F138,사건마스터!$A$5:$A$64,0)),""))</f>
        <v/>
      </c>
      <c r="Q138" s="35">
        <f>IF($F138="","",IFERROR(INDEX(사건마스터!$AO$5:$AO$64,MATCH($F138,사건마스터!$A$5:$A$64,0)),""))</f>
        <v/>
      </c>
      <c r="R138" s="35">
        <f>IF($F138="","",IFERROR(INDEX(사건마스터!$AP$5:$AP$64,MATCH($F138,사건마스터!$A$5:$A$64,0)),""))</f>
        <v/>
      </c>
      <c r="S138" s="35">
        <f>IF($F138="","",IFERROR(INDEX(사건마스터!$AQ$5:$AQ$64,MATCH($F138,사건마스터!$A$5:$A$64,0)),""))</f>
        <v/>
      </c>
      <c r="T138" s="35">
        <f>IF($F138="","",IFERROR(INDEX(사건마스터!$AR$5:$AR$64,MATCH($F138,사건마스터!$A$5:$A$64,0)),""))</f>
        <v/>
      </c>
      <c r="U138" s="35">
        <f>IF($F138="","",IFERROR(INDEX(사건마스터!$AS$5:$AS$64,MATCH($F138,사건마스터!$A$5:$A$64,0)),""))</f>
        <v/>
      </c>
      <c r="V138" s="35">
        <f>IF($F138="","",IFERROR(INDEX(사건마스터!$AT$5:$AT$64,MATCH($F138,사건마스터!$A$5:$A$64,0)),""))</f>
        <v/>
      </c>
      <c r="W138" s="35">
        <f>IF($F138="","",IFERROR(INDEX(사건마스터!$AU$5:$AU$64,MATCH($F138,사건마스터!$A$5:$A$64,0)),""))</f>
        <v/>
      </c>
      <c r="X138" s="35">
        <f>IF($F138="","",IFERROR(INDEX(사건마스터!$AV$5:$AV$64,MATCH($F138,사건마스터!$A$5:$A$64,0)),""))</f>
        <v/>
      </c>
      <c r="Y138" s="30">
        <f>IF($I138="","",COUNTIF($I138:$X138,"?*"))</f>
        <v/>
      </c>
      <c r="Z138" s="33">
        <f>IF($I138="","",_xlfn.TEXTJOIN(", ",TRUE,$I138:$X138))</f>
        <v/>
      </c>
      <c r="AA138" s="34">
        <f>IF($I138="","",IFERROR(INDEX(코드설정!$D$5:$D$24,MATCH($I138,코드설정!$C$5:$C$24,0)),""))</f>
        <v/>
      </c>
      <c r="AB138" s="36" t="n"/>
      <c r="AC138" s="37" t="n"/>
      <c r="AD138" s="38" t="n"/>
      <c r="AE138" s="30">
        <f>IF(OR($B138="",$C138=""),"",$C138-$B138+1)</f>
        <v/>
      </c>
      <c r="AF138" s="32" t="n"/>
      <c r="AG138" s="36" t="n"/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3">
        <f>IF($F139="","",IFERROR(INDEX(사건마스터!$B$5:$B$64,MATCH($F139,사건마스터!$A$5:$A$64,0)),""))</f>
        <v/>
      </c>
      <c r="H139" s="34">
        <f>IF($F139="","",IFERROR(INDEX(사건마스터!$C$5:$C$64,MATCH($F139,사건마스터!$A$5:$A$64,0)),""))</f>
        <v/>
      </c>
      <c r="I139" s="35">
        <f>IF($F139="","",IFERROR(INDEX(사건마스터!$H$5:$H$64,MATCH($F139,사건마스터!$A$5:$A$64,0)),""))</f>
        <v/>
      </c>
      <c r="J139" s="35">
        <f>IF($F139="","",IFERROR(INDEX(사건마스터!$AH$5:$AH$64,MATCH($F139,사건마스터!$A$5:$A$64,0)),""))</f>
        <v/>
      </c>
      <c r="K139" s="35">
        <f>IF($F139="","",IFERROR(INDEX(사건마스터!$AI$5:$AI$64,MATCH($F139,사건마스터!$A$5:$A$64,0)),""))</f>
        <v/>
      </c>
      <c r="L139" s="35">
        <f>IF($F139="","",IFERROR(INDEX(사건마스터!$AJ$5:$AJ$64,MATCH($F139,사건마스터!$A$5:$A$64,0)),""))</f>
        <v/>
      </c>
      <c r="M139" s="35">
        <f>IF($F139="","",IFERROR(INDEX(사건마스터!$AK$5:$AK$64,MATCH($F139,사건마스터!$A$5:$A$64,0)),""))</f>
        <v/>
      </c>
      <c r="N139" s="35">
        <f>IF($F139="","",IFERROR(INDEX(사건마스터!$AL$5:$AL$64,MATCH($F139,사건마스터!$A$5:$A$64,0)),""))</f>
        <v/>
      </c>
      <c r="O139" s="35">
        <f>IF($F139="","",IFERROR(INDEX(사건마스터!$AM$5:$AM$64,MATCH($F139,사건마스터!$A$5:$A$64,0)),""))</f>
        <v/>
      </c>
      <c r="P139" s="35">
        <f>IF($F139="","",IFERROR(INDEX(사건마스터!$AN$5:$AN$64,MATCH($F139,사건마스터!$A$5:$A$64,0)),""))</f>
        <v/>
      </c>
      <c r="Q139" s="35">
        <f>IF($F139="","",IFERROR(INDEX(사건마스터!$AO$5:$AO$64,MATCH($F139,사건마스터!$A$5:$A$64,0)),""))</f>
        <v/>
      </c>
      <c r="R139" s="35">
        <f>IF($F139="","",IFERROR(INDEX(사건마스터!$AP$5:$AP$64,MATCH($F139,사건마스터!$A$5:$A$64,0)),""))</f>
        <v/>
      </c>
      <c r="S139" s="35">
        <f>IF($F139="","",IFERROR(INDEX(사건마스터!$AQ$5:$AQ$64,MATCH($F139,사건마스터!$A$5:$A$64,0)),""))</f>
        <v/>
      </c>
      <c r="T139" s="35">
        <f>IF($F139="","",IFERROR(INDEX(사건마스터!$AR$5:$AR$64,MATCH($F139,사건마스터!$A$5:$A$64,0)),""))</f>
        <v/>
      </c>
      <c r="U139" s="35">
        <f>IF($F139="","",IFERROR(INDEX(사건마스터!$AS$5:$AS$64,MATCH($F139,사건마스터!$A$5:$A$64,0)),""))</f>
        <v/>
      </c>
      <c r="V139" s="35">
        <f>IF($F139="","",IFERROR(INDEX(사건마스터!$AT$5:$AT$64,MATCH($F139,사건마스터!$A$5:$A$64,0)),""))</f>
        <v/>
      </c>
      <c r="W139" s="35">
        <f>IF($F139="","",IFERROR(INDEX(사건마스터!$AU$5:$AU$64,MATCH($F139,사건마스터!$A$5:$A$64,0)),""))</f>
        <v/>
      </c>
      <c r="X139" s="35">
        <f>IF($F139="","",IFERROR(INDEX(사건마스터!$AV$5:$AV$64,MATCH($F139,사건마스터!$A$5:$A$64,0)),""))</f>
        <v/>
      </c>
      <c r="Y139" s="30">
        <f>IF($I139="","",COUNTIF($I139:$X139,"?*"))</f>
        <v/>
      </c>
      <c r="Z139" s="33">
        <f>IF($I139="","",_xlfn.TEXTJOIN(", ",TRUE,$I139:$X139))</f>
        <v/>
      </c>
      <c r="AA139" s="34">
        <f>IF($I139="","",IFERROR(INDEX(코드설정!$D$5:$D$24,MATCH($I139,코드설정!$C$5:$C$24,0)),""))</f>
        <v/>
      </c>
      <c r="AB139" s="36" t="n"/>
      <c r="AC139" s="37" t="n"/>
      <c r="AD139" s="38" t="n"/>
      <c r="AE139" s="30">
        <f>IF(OR($B139="",$C139=""),"",$C139-$B139+1)</f>
        <v/>
      </c>
      <c r="AF139" s="32" t="n"/>
      <c r="AG139" s="36" t="n"/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3">
        <f>IF($F140="","",IFERROR(INDEX(사건마스터!$B$5:$B$64,MATCH($F140,사건마스터!$A$5:$A$64,0)),""))</f>
        <v/>
      </c>
      <c r="H140" s="34">
        <f>IF($F140="","",IFERROR(INDEX(사건마스터!$C$5:$C$64,MATCH($F140,사건마스터!$A$5:$A$64,0)),""))</f>
        <v/>
      </c>
      <c r="I140" s="35">
        <f>IF($F140="","",IFERROR(INDEX(사건마스터!$H$5:$H$64,MATCH($F140,사건마스터!$A$5:$A$64,0)),""))</f>
        <v/>
      </c>
      <c r="J140" s="35">
        <f>IF($F140="","",IFERROR(INDEX(사건마스터!$AH$5:$AH$64,MATCH($F140,사건마스터!$A$5:$A$64,0)),""))</f>
        <v/>
      </c>
      <c r="K140" s="35">
        <f>IF($F140="","",IFERROR(INDEX(사건마스터!$AI$5:$AI$64,MATCH($F140,사건마스터!$A$5:$A$64,0)),""))</f>
        <v/>
      </c>
      <c r="L140" s="35">
        <f>IF($F140="","",IFERROR(INDEX(사건마스터!$AJ$5:$AJ$64,MATCH($F140,사건마스터!$A$5:$A$64,0)),""))</f>
        <v/>
      </c>
      <c r="M140" s="35">
        <f>IF($F140="","",IFERROR(INDEX(사건마스터!$AK$5:$AK$64,MATCH($F140,사건마스터!$A$5:$A$64,0)),""))</f>
        <v/>
      </c>
      <c r="N140" s="35">
        <f>IF($F140="","",IFERROR(INDEX(사건마스터!$AL$5:$AL$64,MATCH($F140,사건마스터!$A$5:$A$64,0)),""))</f>
        <v/>
      </c>
      <c r="O140" s="35">
        <f>IF($F140="","",IFERROR(INDEX(사건마스터!$AM$5:$AM$64,MATCH($F140,사건마스터!$A$5:$A$64,0)),""))</f>
        <v/>
      </c>
      <c r="P140" s="35">
        <f>IF($F140="","",IFERROR(INDEX(사건마스터!$AN$5:$AN$64,MATCH($F140,사건마스터!$A$5:$A$64,0)),""))</f>
        <v/>
      </c>
      <c r="Q140" s="35">
        <f>IF($F140="","",IFERROR(INDEX(사건마스터!$AO$5:$AO$64,MATCH($F140,사건마스터!$A$5:$A$64,0)),""))</f>
        <v/>
      </c>
      <c r="R140" s="35">
        <f>IF($F140="","",IFERROR(INDEX(사건마스터!$AP$5:$AP$64,MATCH($F140,사건마스터!$A$5:$A$64,0)),""))</f>
        <v/>
      </c>
      <c r="S140" s="35">
        <f>IF($F140="","",IFERROR(INDEX(사건마스터!$AQ$5:$AQ$64,MATCH($F140,사건마스터!$A$5:$A$64,0)),""))</f>
        <v/>
      </c>
      <c r="T140" s="35">
        <f>IF($F140="","",IFERROR(INDEX(사건마스터!$AR$5:$AR$64,MATCH($F140,사건마스터!$A$5:$A$64,0)),""))</f>
        <v/>
      </c>
      <c r="U140" s="35">
        <f>IF($F140="","",IFERROR(INDEX(사건마스터!$AS$5:$AS$64,MATCH($F140,사건마스터!$A$5:$A$64,0)),""))</f>
        <v/>
      </c>
      <c r="V140" s="35">
        <f>IF($F140="","",IFERROR(INDEX(사건마스터!$AT$5:$AT$64,MATCH($F140,사건마스터!$A$5:$A$64,0)),""))</f>
        <v/>
      </c>
      <c r="W140" s="35">
        <f>IF($F140="","",IFERROR(INDEX(사건마스터!$AU$5:$AU$64,MATCH($F140,사건마스터!$A$5:$A$64,0)),""))</f>
        <v/>
      </c>
      <c r="X140" s="35">
        <f>IF($F140="","",IFERROR(INDEX(사건마스터!$AV$5:$AV$64,MATCH($F140,사건마스터!$A$5:$A$64,0)),""))</f>
        <v/>
      </c>
      <c r="Y140" s="30">
        <f>IF($I140="","",COUNTIF($I140:$X140,"?*"))</f>
        <v/>
      </c>
      <c r="Z140" s="33">
        <f>IF($I140="","",_xlfn.TEXTJOIN(", ",TRUE,$I140:$X140))</f>
        <v/>
      </c>
      <c r="AA140" s="34">
        <f>IF($I140="","",IFERROR(INDEX(코드설정!$D$5:$D$24,MATCH($I140,코드설정!$C$5:$C$24,0)),""))</f>
        <v/>
      </c>
      <c r="AB140" s="36" t="n"/>
      <c r="AC140" s="37" t="n"/>
      <c r="AD140" s="38" t="n"/>
      <c r="AE140" s="30">
        <f>IF(OR($B140="",$C140=""),"",$C140-$B140+1)</f>
        <v/>
      </c>
      <c r="AF140" s="32" t="n"/>
      <c r="AG140" s="36" t="n"/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3">
        <f>IF($F141="","",IFERROR(INDEX(사건마스터!$B$5:$B$64,MATCH($F141,사건마스터!$A$5:$A$64,0)),""))</f>
        <v/>
      </c>
      <c r="H141" s="34">
        <f>IF($F141="","",IFERROR(INDEX(사건마스터!$C$5:$C$64,MATCH($F141,사건마스터!$A$5:$A$64,0)),""))</f>
        <v/>
      </c>
      <c r="I141" s="35">
        <f>IF($F141="","",IFERROR(INDEX(사건마스터!$H$5:$H$64,MATCH($F141,사건마스터!$A$5:$A$64,0)),""))</f>
        <v/>
      </c>
      <c r="J141" s="35">
        <f>IF($F141="","",IFERROR(INDEX(사건마스터!$AH$5:$AH$64,MATCH($F141,사건마스터!$A$5:$A$64,0)),""))</f>
        <v/>
      </c>
      <c r="K141" s="35">
        <f>IF($F141="","",IFERROR(INDEX(사건마스터!$AI$5:$AI$64,MATCH($F141,사건마스터!$A$5:$A$64,0)),""))</f>
        <v/>
      </c>
      <c r="L141" s="35">
        <f>IF($F141="","",IFERROR(INDEX(사건마스터!$AJ$5:$AJ$64,MATCH($F141,사건마스터!$A$5:$A$64,0)),""))</f>
        <v/>
      </c>
      <c r="M141" s="35">
        <f>IF($F141="","",IFERROR(INDEX(사건마스터!$AK$5:$AK$64,MATCH($F141,사건마스터!$A$5:$A$64,0)),""))</f>
        <v/>
      </c>
      <c r="N141" s="35">
        <f>IF($F141="","",IFERROR(INDEX(사건마스터!$AL$5:$AL$64,MATCH($F141,사건마스터!$A$5:$A$64,0)),""))</f>
        <v/>
      </c>
      <c r="O141" s="35">
        <f>IF($F141="","",IFERROR(INDEX(사건마스터!$AM$5:$AM$64,MATCH($F141,사건마스터!$A$5:$A$64,0)),""))</f>
        <v/>
      </c>
      <c r="P141" s="35">
        <f>IF($F141="","",IFERROR(INDEX(사건마스터!$AN$5:$AN$64,MATCH($F141,사건마스터!$A$5:$A$64,0)),""))</f>
        <v/>
      </c>
      <c r="Q141" s="35">
        <f>IF($F141="","",IFERROR(INDEX(사건마스터!$AO$5:$AO$64,MATCH($F141,사건마스터!$A$5:$A$64,0)),""))</f>
        <v/>
      </c>
      <c r="R141" s="35">
        <f>IF($F141="","",IFERROR(INDEX(사건마스터!$AP$5:$AP$64,MATCH($F141,사건마스터!$A$5:$A$64,0)),""))</f>
        <v/>
      </c>
      <c r="S141" s="35">
        <f>IF($F141="","",IFERROR(INDEX(사건마스터!$AQ$5:$AQ$64,MATCH($F141,사건마스터!$A$5:$A$64,0)),""))</f>
        <v/>
      </c>
      <c r="T141" s="35">
        <f>IF($F141="","",IFERROR(INDEX(사건마스터!$AR$5:$AR$64,MATCH($F141,사건마스터!$A$5:$A$64,0)),""))</f>
        <v/>
      </c>
      <c r="U141" s="35">
        <f>IF($F141="","",IFERROR(INDEX(사건마스터!$AS$5:$AS$64,MATCH($F141,사건마스터!$A$5:$A$64,0)),""))</f>
        <v/>
      </c>
      <c r="V141" s="35">
        <f>IF($F141="","",IFERROR(INDEX(사건마스터!$AT$5:$AT$64,MATCH($F141,사건마스터!$A$5:$A$64,0)),""))</f>
        <v/>
      </c>
      <c r="W141" s="35">
        <f>IF($F141="","",IFERROR(INDEX(사건마스터!$AU$5:$AU$64,MATCH($F141,사건마스터!$A$5:$A$64,0)),""))</f>
        <v/>
      </c>
      <c r="X141" s="35">
        <f>IF($F141="","",IFERROR(INDEX(사건마스터!$AV$5:$AV$64,MATCH($F141,사건마스터!$A$5:$A$64,0)),""))</f>
        <v/>
      </c>
      <c r="Y141" s="30">
        <f>IF($I141="","",COUNTIF($I141:$X141,"?*"))</f>
        <v/>
      </c>
      <c r="Z141" s="33">
        <f>IF($I141="","",_xlfn.TEXTJOIN(", ",TRUE,$I141:$X141))</f>
        <v/>
      </c>
      <c r="AA141" s="34">
        <f>IF($I141="","",IFERROR(INDEX(코드설정!$D$5:$D$24,MATCH($I141,코드설정!$C$5:$C$24,0)),""))</f>
        <v/>
      </c>
      <c r="AB141" s="36" t="n"/>
      <c r="AC141" s="37" t="n"/>
      <c r="AD141" s="38" t="n"/>
      <c r="AE141" s="30">
        <f>IF(OR($B141="",$C141=""),"",$C141-$B141+1)</f>
        <v/>
      </c>
      <c r="AF141" s="32" t="n"/>
      <c r="AG141" s="36" t="n"/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3">
        <f>IF($F142="","",IFERROR(INDEX(사건마스터!$B$5:$B$64,MATCH($F142,사건마스터!$A$5:$A$64,0)),""))</f>
        <v/>
      </c>
      <c r="H142" s="34">
        <f>IF($F142="","",IFERROR(INDEX(사건마스터!$C$5:$C$64,MATCH($F142,사건마스터!$A$5:$A$64,0)),""))</f>
        <v/>
      </c>
      <c r="I142" s="35">
        <f>IF($F142="","",IFERROR(INDEX(사건마스터!$H$5:$H$64,MATCH($F142,사건마스터!$A$5:$A$64,0)),""))</f>
        <v/>
      </c>
      <c r="J142" s="35">
        <f>IF($F142="","",IFERROR(INDEX(사건마스터!$AH$5:$AH$64,MATCH($F142,사건마스터!$A$5:$A$64,0)),""))</f>
        <v/>
      </c>
      <c r="K142" s="35">
        <f>IF($F142="","",IFERROR(INDEX(사건마스터!$AI$5:$AI$64,MATCH($F142,사건마스터!$A$5:$A$64,0)),""))</f>
        <v/>
      </c>
      <c r="L142" s="35">
        <f>IF($F142="","",IFERROR(INDEX(사건마스터!$AJ$5:$AJ$64,MATCH($F142,사건마스터!$A$5:$A$64,0)),""))</f>
        <v/>
      </c>
      <c r="M142" s="35">
        <f>IF($F142="","",IFERROR(INDEX(사건마스터!$AK$5:$AK$64,MATCH($F142,사건마스터!$A$5:$A$64,0)),""))</f>
        <v/>
      </c>
      <c r="N142" s="35">
        <f>IF($F142="","",IFERROR(INDEX(사건마스터!$AL$5:$AL$64,MATCH($F142,사건마스터!$A$5:$A$64,0)),""))</f>
        <v/>
      </c>
      <c r="O142" s="35">
        <f>IF($F142="","",IFERROR(INDEX(사건마스터!$AM$5:$AM$64,MATCH($F142,사건마스터!$A$5:$A$64,0)),""))</f>
        <v/>
      </c>
      <c r="P142" s="35">
        <f>IF($F142="","",IFERROR(INDEX(사건마스터!$AN$5:$AN$64,MATCH($F142,사건마스터!$A$5:$A$64,0)),""))</f>
        <v/>
      </c>
      <c r="Q142" s="35">
        <f>IF($F142="","",IFERROR(INDEX(사건마스터!$AO$5:$AO$64,MATCH($F142,사건마스터!$A$5:$A$64,0)),""))</f>
        <v/>
      </c>
      <c r="R142" s="35">
        <f>IF($F142="","",IFERROR(INDEX(사건마스터!$AP$5:$AP$64,MATCH($F142,사건마스터!$A$5:$A$64,0)),""))</f>
        <v/>
      </c>
      <c r="S142" s="35">
        <f>IF($F142="","",IFERROR(INDEX(사건마스터!$AQ$5:$AQ$64,MATCH($F142,사건마스터!$A$5:$A$64,0)),""))</f>
        <v/>
      </c>
      <c r="T142" s="35">
        <f>IF($F142="","",IFERROR(INDEX(사건마스터!$AR$5:$AR$64,MATCH($F142,사건마스터!$A$5:$A$64,0)),""))</f>
        <v/>
      </c>
      <c r="U142" s="35">
        <f>IF($F142="","",IFERROR(INDEX(사건마스터!$AS$5:$AS$64,MATCH($F142,사건마스터!$A$5:$A$64,0)),""))</f>
        <v/>
      </c>
      <c r="V142" s="35">
        <f>IF($F142="","",IFERROR(INDEX(사건마스터!$AT$5:$AT$64,MATCH($F142,사건마스터!$A$5:$A$64,0)),""))</f>
        <v/>
      </c>
      <c r="W142" s="35">
        <f>IF($F142="","",IFERROR(INDEX(사건마스터!$AU$5:$AU$64,MATCH($F142,사건마스터!$A$5:$A$64,0)),""))</f>
        <v/>
      </c>
      <c r="X142" s="35">
        <f>IF($F142="","",IFERROR(INDEX(사건마스터!$AV$5:$AV$64,MATCH($F142,사건마스터!$A$5:$A$64,0)),""))</f>
        <v/>
      </c>
      <c r="Y142" s="30">
        <f>IF($I142="","",COUNTIF($I142:$X142,"?*"))</f>
        <v/>
      </c>
      <c r="Z142" s="33">
        <f>IF($I142="","",_xlfn.TEXTJOIN(", ",TRUE,$I142:$X142))</f>
        <v/>
      </c>
      <c r="AA142" s="34">
        <f>IF($I142="","",IFERROR(INDEX(코드설정!$D$5:$D$24,MATCH($I142,코드설정!$C$5:$C$24,0)),""))</f>
        <v/>
      </c>
      <c r="AB142" s="36" t="n"/>
      <c r="AC142" s="37" t="n"/>
      <c r="AD142" s="38" t="n"/>
      <c r="AE142" s="30">
        <f>IF(OR($B142="",$C142=""),"",$C142-$B142+1)</f>
        <v/>
      </c>
      <c r="AF142" s="32" t="n"/>
      <c r="AG142" s="36" t="n"/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3">
        <f>IF($F143="","",IFERROR(INDEX(사건마스터!$B$5:$B$64,MATCH($F143,사건마스터!$A$5:$A$64,0)),""))</f>
        <v/>
      </c>
      <c r="H143" s="34">
        <f>IF($F143="","",IFERROR(INDEX(사건마스터!$C$5:$C$64,MATCH($F143,사건마스터!$A$5:$A$64,0)),""))</f>
        <v/>
      </c>
      <c r="I143" s="35">
        <f>IF($F143="","",IFERROR(INDEX(사건마스터!$H$5:$H$64,MATCH($F143,사건마스터!$A$5:$A$64,0)),""))</f>
        <v/>
      </c>
      <c r="J143" s="35">
        <f>IF($F143="","",IFERROR(INDEX(사건마스터!$AH$5:$AH$64,MATCH($F143,사건마스터!$A$5:$A$64,0)),""))</f>
        <v/>
      </c>
      <c r="K143" s="35">
        <f>IF($F143="","",IFERROR(INDEX(사건마스터!$AI$5:$AI$64,MATCH($F143,사건마스터!$A$5:$A$64,0)),""))</f>
        <v/>
      </c>
      <c r="L143" s="35">
        <f>IF($F143="","",IFERROR(INDEX(사건마스터!$AJ$5:$AJ$64,MATCH($F143,사건마스터!$A$5:$A$64,0)),""))</f>
        <v/>
      </c>
      <c r="M143" s="35">
        <f>IF($F143="","",IFERROR(INDEX(사건마스터!$AK$5:$AK$64,MATCH($F143,사건마스터!$A$5:$A$64,0)),""))</f>
        <v/>
      </c>
      <c r="N143" s="35">
        <f>IF($F143="","",IFERROR(INDEX(사건마스터!$AL$5:$AL$64,MATCH($F143,사건마스터!$A$5:$A$64,0)),""))</f>
        <v/>
      </c>
      <c r="O143" s="35">
        <f>IF($F143="","",IFERROR(INDEX(사건마스터!$AM$5:$AM$64,MATCH($F143,사건마스터!$A$5:$A$64,0)),""))</f>
        <v/>
      </c>
      <c r="P143" s="35">
        <f>IF($F143="","",IFERROR(INDEX(사건마스터!$AN$5:$AN$64,MATCH($F143,사건마스터!$A$5:$A$64,0)),""))</f>
        <v/>
      </c>
      <c r="Q143" s="35">
        <f>IF($F143="","",IFERROR(INDEX(사건마스터!$AO$5:$AO$64,MATCH($F143,사건마스터!$A$5:$A$64,0)),""))</f>
        <v/>
      </c>
      <c r="R143" s="35">
        <f>IF($F143="","",IFERROR(INDEX(사건마스터!$AP$5:$AP$64,MATCH($F143,사건마스터!$A$5:$A$64,0)),""))</f>
        <v/>
      </c>
      <c r="S143" s="35">
        <f>IF($F143="","",IFERROR(INDEX(사건마스터!$AQ$5:$AQ$64,MATCH($F143,사건마스터!$A$5:$A$64,0)),""))</f>
        <v/>
      </c>
      <c r="T143" s="35">
        <f>IF($F143="","",IFERROR(INDEX(사건마스터!$AR$5:$AR$64,MATCH($F143,사건마스터!$A$5:$A$64,0)),""))</f>
        <v/>
      </c>
      <c r="U143" s="35">
        <f>IF($F143="","",IFERROR(INDEX(사건마스터!$AS$5:$AS$64,MATCH($F143,사건마스터!$A$5:$A$64,0)),""))</f>
        <v/>
      </c>
      <c r="V143" s="35">
        <f>IF($F143="","",IFERROR(INDEX(사건마스터!$AT$5:$AT$64,MATCH($F143,사건마스터!$A$5:$A$64,0)),""))</f>
        <v/>
      </c>
      <c r="W143" s="35">
        <f>IF($F143="","",IFERROR(INDEX(사건마스터!$AU$5:$AU$64,MATCH($F143,사건마스터!$A$5:$A$64,0)),""))</f>
        <v/>
      </c>
      <c r="X143" s="35">
        <f>IF($F143="","",IFERROR(INDEX(사건마스터!$AV$5:$AV$64,MATCH($F143,사건마스터!$A$5:$A$64,0)),""))</f>
        <v/>
      </c>
      <c r="Y143" s="30">
        <f>IF($I143="","",COUNTIF($I143:$X143,"?*"))</f>
        <v/>
      </c>
      <c r="Z143" s="33">
        <f>IF($I143="","",_xlfn.TEXTJOIN(", ",TRUE,$I143:$X143))</f>
        <v/>
      </c>
      <c r="AA143" s="34">
        <f>IF($I143="","",IFERROR(INDEX(코드설정!$D$5:$D$24,MATCH($I143,코드설정!$C$5:$C$24,0)),""))</f>
        <v/>
      </c>
      <c r="AB143" s="36" t="n"/>
      <c r="AC143" s="37" t="n"/>
      <c r="AD143" s="38" t="n"/>
      <c r="AE143" s="30">
        <f>IF(OR($B143="",$C143=""),"",$C143-$B143+1)</f>
        <v/>
      </c>
      <c r="AF143" s="32" t="n"/>
      <c r="AG143" s="36" t="n"/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3">
        <f>IF($F144="","",IFERROR(INDEX(사건마스터!$B$5:$B$64,MATCH($F144,사건마스터!$A$5:$A$64,0)),""))</f>
        <v/>
      </c>
      <c r="H144" s="34">
        <f>IF($F144="","",IFERROR(INDEX(사건마스터!$C$5:$C$64,MATCH($F144,사건마스터!$A$5:$A$64,0)),""))</f>
        <v/>
      </c>
      <c r="I144" s="35">
        <f>IF($F144="","",IFERROR(INDEX(사건마스터!$H$5:$H$64,MATCH($F144,사건마스터!$A$5:$A$64,0)),""))</f>
        <v/>
      </c>
      <c r="J144" s="35">
        <f>IF($F144="","",IFERROR(INDEX(사건마스터!$AH$5:$AH$64,MATCH($F144,사건마스터!$A$5:$A$64,0)),""))</f>
        <v/>
      </c>
      <c r="K144" s="35">
        <f>IF($F144="","",IFERROR(INDEX(사건마스터!$AI$5:$AI$64,MATCH($F144,사건마스터!$A$5:$A$64,0)),""))</f>
        <v/>
      </c>
      <c r="L144" s="35">
        <f>IF($F144="","",IFERROR(INDEX(사건마스터!$AJ$5:$AJ$64,MATCH($F144,사건마스터!$A$5:$A$64,0)),""))</f>
        <v/>
      </c>
      <c r="M144" s="35">
        <f>IF($F144="","",IFERROR(INDEX(사건마스터!$AK$5:$AK$64,MATCH($F144,사건마스터!$A$5:$A$64,0)),""))</f>
        <v/>
      </c>
      <c r="N144" s="35">
        <f>IF($F144="","",IFERROR(INDEX(사건마스터!$AL$5:$AL$64,MATCH($F144,사건마스터!$A$5:$A$64,0)),""))</f>
        <v/>
      </c>
      <c r="O144" s="35">
        <f>IF($F144="","",IFERROR(INDEX(사건마스터!$AM$5:$AM$64,MATCH($F144,사건마스터!$A$5:$A$64,0)),""))</f>
        <v/>
      </c>
      <c r="P144" s="35">
        <f>IF($F144="","",IFERROR(INDEX(사건마스터!$AN$5:$AN$64,MATCH($F144,사건마스터!$A$5:$A$64,0)),""))</f>
        <v/>
      </c>
      <c r="Q144" s="35">
        <f>IF($F144="","",IFERROR(INDEX(사건마스터!$AO$5:$AO$64,MATCH($F144,사건마스터!$A$5:$A$64,0)),""))</f>
        <v/>
      </c>
      <c r="R144" s="35">
        <f>IF($F144="","",IFERROR(INDEX(사건마스터!$AP$5:$AP$64,MATCH($F144,사건마스터!$A$5:$A$64,0)),""))</f>
        <v/>
      </c>
      <c r="S144" s="35">
        <f>IF($F144="","",IFERROR(INDEX(사건마스터!$AQ$5:$AQ$64,MATCH($F144,사건마스터!$A$5:$A$64,0)),""))</f>
        <v/>
      </c>
      <c r="T144" s="35">
        <f>IF($F144="","",IFERROR(INDEX(사건마스터!$AR$5:$AR$64,MATCH($F144,사건마스터!$A$5:$A$64,0)),""))</f>
        <v/>
      </c>
      <c r="U144" s="35">
        <f>IF($F144="","",IFERROR(INDEX(사건마스터!$AS$5:$AS$64,MATCH($F144,사건마스터!$A$5:$A$64,0)),""))</f>
        <v/>
      </c>
      <c r="V144" s="35">
        <f>IF($F144="","",IFERROR(INDEX(사건마스터!$AT$5:$AT$64,MATCH($F144,사건마스터!$A$5:$A$64,0)),""))</f>
        <v/>
      </c>
      <c r="W144" s="35">
        <f>IF($F144="","",IFERROR(INDEX(사건마스터!$AU$5:$AU$64,MATCH($F144,사건마스터!$A$5:$A$64,0)),""))</f>
        <v/>
      </c>
      <c r="X144" s="35">
        <f>IF($F144="","",IFERROR(INDEX(사건마스터!$AV$5:$AV$64,MATCH($F144,사건마스터!$A$5:$A$64,0)),""))</f>
        <v/>
      </c>
      <c r="Y144" s="30">
        <f>IF($I144="","",COUNTIF($I144:$X144,"?*"))</f>
        <v/>
      </c>
      <c r="Z144" s="33">
        <f>IF($I144="","",_xlfn.TEXTJOIN(", ",TRUE,$I144:$X144))</f>
        <v/>
      </c>
      <c r="AA144" s="34">
        <f>IF($I144="","",IFERROR(INDEX(코드설정!$D$5:$D$24,MATCH($I144,코드설정!$C$5:$C$24,0)),""))</f>
        <v/>
      </c>
      <c r="AB144" s="36" t="n"/>
      <c r="AC144" s="37" t="n"/>
      <c r="AD144" s="38" t="n"/>
      <c r="AE144" s="30">
        <f>IF(OR($B144="",$C144=""),"",$C144-$B144+1)</f>
        <v/>
      </c>
      <c r="AF144" s="32" t="n"/>
      <c r="AG144" s="36" t="n"/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3">
        <f>IF($F145="","",IFERROR(INDEX(사건마스터!$B$5:$B$64,MATCH($F145,사건마스터!$A$5:$A$64,0)),""))</f>
        <v/>
      </c>
      <c r="H145" s="34">
        <f>IF($F145="","",IFERROR(INDEX(사건마스터!$C$5:$C$64,MATCH($F145,사건마스터!$A$5:$A$64,0)),""))</f>
        <v/>
      </c>
      <c r="I145" s="35">
        <f>IF($F145="","",IFERROR(INDEX(사건마스터!$H$5:$H$64,MATCH($F145,사건마스터!$A$5:$A$64,0)),""))</f>
        <v/>
      </c>
      <c r="J145" s="35">
        <f>IF($F145="","",IFERROR(INDEX(사건마스터!$AH$5:$AH$64,MATCH($F145,사건마스터!$A$5:$A$64,0)),""))</f>
        <v/>
      </c>
      <c r="K145" s="35">
        <f>IF($F145="","",IFERROR(INDEX(사건마스터!$AI$5:$AI$64,MATCH($F145,사건마스터!$A$5:$A$64,0)),""))</f>
        <v/>
      </c>
      <c r="L145" s="35">
        <f>IF($F145="","",IFERROR(INDEX(사건마스터!$AJ$5:$AJ$64,MATCH($F145,사건마스터!$A$5:$A$64,0)),""))</f>
        <v/>
      </c>
      <c r="M145" s="35">
        <f>IF($F145="","",IFERROR(INDEX(사건마스터!$AK$5:$AK$64,MATCH($F145,사건마스터!$A$5:$A$64,0)),""))</f>
        <v/>
      </c>
      <c r="N145" s="35">
        <f>IF($F145="","",IFERROR(INDEX(사건마스터!$AL$5:$AL$64,MATCH($F145,사건마스터!$A$5:$A$64,0)),""))</f>
        <v/>
      </c>
      <c r="O145" s="35">
        <f>IF($F145="","",IFERROR(INDEX(사건마스터!$AM$5:$AM$64,MATCH($F145,사건마스터!$A$5:$A$64,0)),""))</f>
        <v/>
      </c>
      <c r="P145" s="35">
        <f>IF($F145="","",IFERROR(INDEX(사건마스터!$AN$5:$AN$64,MATCH($F145,사건마스터!$A$5:$A$64,0)),""))</f>
        <v/>
      </c>
      <c r="Q145" s="35">
        <f>IF($F145="","",IFERROR(INDEX(사건마스터!$AO$5:$AO$64,MATCH($F145,사건마스터!$A$5:$A$64,0)),""))</f>
        <v/>
      </c>
      <c r="R145" s="35">
        <f>IF($F145="","",IFERROR(INDEX(사건마스터!$AP$5:$AP$64,MATCH($F145,사건마스터!$A$5:$A$64,0)),""))</f>
        <v/>
      </c>
      <c r="S145" s="35">
        <f>IF($F145="","",IFERROR(INDEX(사건마스터!$AQ$5:$AQ$64,MATCH($F145,사건마스터!$A$5:$A$64,0)),""))</f>
        <v/>
      </c>
      <c r="T145" s="35">
        <f>IF($F145="","",IFERROR(INDEX(사건마스터!$AR$5:$AR$64,MATCH($F145,사건마스터!$A$5:$A$64,0)),""))</f>
        <v/>
      </c>
      <c r="U145" s="35">
        <f>IF($F145="","",IFERROR(INDEX(사건마스터!$AS$5:$AS$64,MATCH($F145,사건마스터!$A$5:$A$64,0)),""))</f>
        <v/>
      </c>
      <c r="V145" s="35">
        <f>IF($F145="","",IFERROR(INDEX(사건마스터!$AT$5:$AT$64,MATCH($F145,사건마스터!$A$5:$A$64,0)),""))</f>
        <v/>
      </c>
      <c r="W145" s="35">
        <f>IF($F145="","",IFERROR(INDEX(사건마스터!$AU$5:$AU$64,MATCH($F145,사건마스터!$A$5:$A$64,0)),""))</f>
        <v/>
      </c>
      <c r="X145" s="35">
        <f>IF($F145="","",IFERROR(INDEX(사건마스터!$AV$5:$AV$64,MATCH($F145,사건마스터!$A$5:$A$64,0)),""))</f>
        <v/>
      </c>
      <c r="Y145" s="30">
        <f>IF($I145="","",COUNTIF($I145:$X145,"?*"))</f>
        <v/>
      </c>
      <c r="Z145" s="33">
        <f>IF($I145="","",_xlfn.TEXTJOIN(", ",TRUE,$I145:$X145))</f>
        <v/>
      </c>
      <c r="AA145" s="34">
        <f>IF($I145="","",IFERROR(INDEX(코드설정!$D$5:$D$24,MATCH($I145,코드설정!$C$5:$C$24,0)),""))</f>
        <v/>
      </c>
      <c r="AB145" s="36" t="n"/>
      <c r="AC145" s="37" t="n"/>
      <c r="AD145" s="38" t="n"/>
      <c r="AE145" s="30">
        <f>IF(OR($B145="",$C145=""),"",$C145-$B145+1)</f>
        <v/>
      </c>
      <c r="AF145" s="32" t="n"/>
      <c r="AG145" s="36" t="n"/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3">
        <f>IF($F146="","",IFERROR(INDEX(사건마스터!$B$5:$B$64,MATCH($F146,사건마스터!$A$5:$A$64,0)),""))</f>
        <v/>
      </c>
      <c r="H146" s="34">
        <f>IF($F146="","",IFERROR(INDEX(사건마스터!$C$5:$C$64,MATCH($F146,사건마스터!$A$5:$A$64,0)),""))</f>
        <v/>
      </c>
      <c r="I146" s="35">
        <f>IF($F146="","",IFERROR(INDEX(사건마스터!$H$5:$H$64,MATCH($F146,사건마스터!$A$5:$A$64,0)),""))</f>
        <v/>
      </c>
      <c r="J146" s="35">
        <f>IF($F146="","",IFERROR(INDEX(사건마스터!$AH$5:$AH$64,MATCH($F146,사건마스터!$A$5:$A$64,0)),""))</f>
        <v/>
      </c>
      <c r="K146" s="35">
        <f>IF($F146="","",IFERROR(INDEX(사건마스터!$AI$5:$AI$64,MATCH($F146,사건마스터!$A$5:$A$64,0)),""))</f>
        <v/>
      </c>
      <c r="L146" s="35">
        <f>IF($F146="","",IFERROR(INDEX(사건마스터!$AJ$5:$AJ$64,MATCH($F146,사건마스터!$A$5:$A$64,0)),""))</f>
        <v/>
      </c>
      <c r="M146" s="35">
        <f>IF($F146="","",IFERROR(INDEX(사건마스터!$AK$5:$AK$64,MATCH($F146,사건마스터!$A$5:$A$64,0)),""))</f>
        <v/>
      </c>
      <c r="N146" s="35">
        <f>IF($F146="","",IFERROR(INDEX(사건마스터!$AL$5:$AL$64,MATCH($F146,사건마스터!$A$5:$A$64,0)),""))</f>
        <v/>
      </c>
      <c r="O146" s="35">
        <f>IF($F146="","",IFERROR(INDEX(사건마스터!$AM$5:$AM$64,MATCH($F146,사건마스터!$A$5:$A$64,0)),""))</f>
        <v/>
      </c>
      <c r="P146" s="35">
        <f>IF($F146="","",IFERROR(INDEX(사건마스터!$AN$5:$AN$64,MATCH($F146,사건마스터!$A$5:$A$64,0)),""))</f>
        <v/>
      </c>
      <c r="Q146" s="35">
        <f>IF($F146="","",IFERROR(INDEX(사건마스터!$AO$5:$AO$64,MATCH($F146,사건마스터!$A$5:$A$64,0)),""))</f>
        <v/>
      </c>
      <c r="R146" s="35">
        <f>IF($F146="","",IFERROR(INDEX(사건마스터!$AP$5:$AP$64,MATCH($F146,사건마스터!$A$5:$A$64,0)),""))</f>
        <v/>
      </c>
      <c r="S146" s="35">
        <f>IF($F146="","",IFERROR(INDEX(사건마스터!$AQ$5:$AQ$64,MATCH($F146,사건마스터!$A$5:$A$64,0)),""))</f>
        <v/>
      </c>
      <c r="T146" s="35">
        <f>IF($F146="","",IFERROR(INDEX(사건마스터!$AR$5:$AR$64,MATCH($F146,사건마스터!$A$5:$A$64,0)),""))</f>
        <v/>
      </c>
      <c r="U146" s="35">
        <f>IF($F146="","",IFERROR(INDEX(사건마스터!$AS$5:$AS$64,MATCH($F146,사건마스터!$A$5:$A$64,0)),""))</f>
        <v/>
      </c>
      <c r="V146" s="35">
        <f>IF($F146="","",IFERROR(INDEX(사건마스터!$AT$5:$AT$64,MATCH($F146,사건마스터!$A$5:$A$64,0)),""))</f>
        <v/>
      </c>
      <c r="W146" s="35">
        <f>IF($F146="","",IFERROR(INDEX(사건마스터!$AU$5:$AU$64,MATCH($F146,사건마스터!$A$5:$A$64,0)),""))</f>
        <v/>
      </c>
      <c r="X146" s="35">
        <f>IF($F146="","",IFERROR(INDEX(사건마스터!$AV$5:$AV$64,MATCH($F146,사건마스터!$A$5:$A$64,0)),""))</f>
        <v/>
      </c>
      <c r="Y146" s="30">
        <f>IF($I146="","",COUNTIF($I146:$X146,"?*"))</f>
        <v/>
      </c>
      <c r="Z146" s="33">
        <f>IF($I146="","",_xlfn.TEXTJOIN(", ",TRUE,$I146:$X146))</f>
        <v/>
      </c>
      <c r="AA146" s="34">
        <f>IF($I146="","",IFERROR(INDEX(코드설정!$D$5:$D$24,MATCH($I146,코드설정!$C$5:$C$24,0)),""))</f>
        <v/>
      </c>
      <c r="AB146" s="36" t="n"/>
      <c r="AC146" s="37" t="n"/>
      <c r="AD146" s="38" t="n"/>
      <c r="AE146" s="30">
        <f>IF(OR($B146="",$C146=""),"",$C146-$B146+1)</f>
        <v/>
      </c>
      <c r="AF146" s="32" t="n"/>
      <c r="AG146" s="36" t="n"/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3">
        <f>IF($F147="","",IFERROR(INDEX(사건마스터!$B$5:$B$64,MATCH($F147,사건마스터!$A$5:$A$64,0)),""))</f>
        <v/>
      </c>
      <c r="H147" s="34">
        <f>IF($F147="","",IFERROR(INDEX(사건마스터!$C$5:$C$64,MATCH($F147,사건마스터!$A$5:$A$64,0)),""))</f>
        <v/>
      </c>
      <c r="I147" s="35">
        <f>IF($F147="","",IFERROR(INDEX(사건마스터!$H$5:$H$64,MATCH($F147,사건마스터!$A$5:$A$64,0)),""))</f>
        <v/>
      </c>
      <c r="J147" s="35">
        <f>IF($F147="","",IFERROR(INDEX(사건마스터!$AH$5:$AH$64,MATCH($F147,사건마스터!$A$5:$A$64,0)),""))</f>
        <v/>
      </c>
      <c r="K147" s="35">
        <f>IF($F147="","",IFERROR(INDEX(사건마스터!$AI$5:$AI$64,MATCH($F147,사건마스터!$A$5:$A$64,0)),""))</f>
        <v/>
      </c>
      <c r="L147" s="35">
        <f>IF($F147="","",IFERROR(INDEX(사건마스터!$AJ$5:$AJ$64,MATCH($F147,사건마스터!$A$5:$A$64,0)),""))</f>
        <v/>
      </c>
      <c r="M147" s="35">
        <f>IF($F147="","",IFERROR(INDEX(사건마스터!$AK$5:$AK$64,MATCH($F147,사건마스터!$A$5:$A$64,0)),""))</f>
        <v/>
      </c>
      <c r="N147" s="35">
        <f>IF($F147="","",IFERROR(INDEX(사건마스터!$AL$5:$AL$64,MATCH($F147,사건마스터!$A$5:$A$64,0)),""))</f>
        <v/>
      </c>
      <c r="O147" s="35">
        <f>IF($F147="","",IFERROR(INDEX(사건마스터!$AM$5:$AM$64,MATCH($F147,사건마스터!$A$5:$A$64,0)),""))</f>
        <v/>
      </c>
      <c r="P147" s="35">
        <f>IF($F147="","",IFERROR(INDEX(사건마스터!$AN$5:$AN$64,MATCH($F147,사건마스터!$A$5:$A$64,0)),""))</f>
        <v/>
      </c>
      <c r="Q147" s="35">
        <f>IF($F147="","",IFERROR(INDEX(사건마스터!$AO$5:$AO$64,MATCH($F147,사건마스터!$A$5:$A$64,0)),""))</f>
        <v/>
      </c>
      <c r="R147" s="35">
        <f>IF($F147="","",IFERROR(INDEX(사건마스터!$AP$5:$AP$64,MATCH($F147,사건마스터!$A$5:$A$64,0)),""))</f>
        <v/>
      </c>
      <c r="S147" s="35">
        <f>IF($F147="","",IFERROR(INDEX(사건마스터!$AQ$5:$AQ$64,MATCH($F147,사건마스터!$A$5:$A$64,0)),""))</f>
        <v/>
      </c>
      <c r="T147" s="35">
        <f>IF($F147="","",IFERROR(INDEX(사건마스터!$AR$5:$AR$64,MATCH($F147,사건마스터!$A$5:$A$64,0)),""))</f>
        <v/>
      </c>
      <c r="U147" s="35">
        <f>IF($F147="","",IFERROR(INDEX(사건마스터!$AS$5:$AS$64,MATCH($F147,사건마스터!$A$5:$A$64,0)),""))</f>
        <v/>
      </c>
      <c r="V147" s="35">
        <f>IF($F147="","",IFERROR(INDEX(사건마스터!$AT$5:$AT$64,MATCH($F147,사건마스터!$A$5:$A$64,0)),""))</f>
        <v/>
      </c>
      <c r="W147" s="35">
        <f>IF($F147="","",IFERROR(INDEX(사건마스터!$AU$5:$AU$64,MATCH($F147,사건마스터!$A$5:$A$64,0)),""))</f>
        <v/>
      </c>
      <c r="X147" s="35">
        <f>IF($F147="","",IFERROR(INDEX(사건마스터!$AV$5:$AV$64,MATCH($F147,사건마스터!$A$5:$A$64,0)),""))</f>
        <v/>
      </c>
      <c r="Y147" s="30">
        <f>IF($I147="","",COUNTIF($I147:$X147,"?*"))</f>
        <v/>
      </c>
      <c r="Z147" s="33">
        <f>IF($I147="","",_xlfn.TEXTJOIN(", ",TRUE,$I147:$X147))</f>
        <v/>
      </c>
      <c r="AA147" s="34">
        <f>IF($I147="","",IFERROR(INDEX(코드설정!$D$5:$D$24,MATCH($I147,코드설정!$C$5:$C$24,0)),""))</f>
        <v/>
      </c>
      <c r="AB147" s="36" t="n"/>
      <c r="AC147" s="37" t="n"/>
      <c r="AD147" s="38" t="n"/>
      <c r="AE147" s="30">
        <f>IF(OR($B147="",$C147=""),"",$C147-$B147+1)</f>
        <v/>
      </c>
      <c r="AF147" s="32" t="n"/>
      <c r="AG147" s="36" t="n"/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3">
        <f>IF($F148="","",IFERROR(INDEX(사건마스터!$B$5:$B$64,MATCH($F148,사건마스터!$A$5:$A$64,0)),""))</f>
        <v/>
      </c>
      <c r="H148" s="34">
        <f>IF($F148="","",IFERROR(INDEX(사건마스터!$C$5:$C$64,MATCH($F148,사건마스터!$A$5:$A$64,0)),""))</f>
        <v/>
      </c>
      <c r="I148" s="35">
        <f>IF($F148="","",IFERROR(INDEX(사건마스터!$H$5:$H$64,MATCH($F148,사건마스터!$A$5:$A$64,0)),""))</f>
        <v/>
      </c>
      <c r="J148" s="35">
        <f>IF($F148="","",IFERROR(INDEX(사건마스터!$AH$5:$AH$64,MATCH($F148,사건마스터!$A$5:$A$64,0)),""))</f>
        <v/>
      </c>
      <c r="K148" s="35">
        <f>IF($F148="","",IFERROR(INDEX(사건마스터!$AI$5:$AI$64,MATCH($F148,사건마스터!$A$5:$A$64,0)),""))</f>
        <v/>
      </c>
      <c r="L148" s="35">
        <f>IF($F148="","",IFERROR(INDEX(사건마스터!$AJ$5:$AJ$64,MATCH($F148,사건마스터!$A$5:$A$64,0)),""))</f>
        <v/>
      </c>
      <c r="M148" s="35">
        <f>IF($F148="","",IFERROR(INDEX(사건마스터!$AK$5:$AK$64,MATCH($F148,사건마스터!$A$5:$A$64,0)),""))</f>
        <v/>
      </c>
      <c r="N148" s="35">
        <f>IF($F148="","",IFERROR(INDEX(사건마스터!$AL$5:$AL$64,MATCH($F148,사건마스터!$A$5:$A$64,0)),""))</f>
        <v/>
      </c>
      <c r="O148" s="35">
        <f>IF($F148="","",IFERROR(INDEX(사건마스터!$AM$5:$AM$64,MATCH($F148,사건마스터!$A$5:$A$64,0)),""))</f>
        <v/>
      </c>
      <c r="P148" s="35">
        <f>IF($F148="","",IFERROR(INDEX(사건마스터!$AN$5:$AN$64,MATCH($F148,사건마스터!$A$5:$A$64,0)),""))</f>
        <v/>
      </c>
      <c r="Q148" s="35">
        <f>IF($F148="","",IFERROR(INDEX(사건마스터!$AO$5:$AO$64,MATCH($F148,사건마스터!$A$5:$A$64,0)),""))</f>
        <v/>
      </c>
      <c r="R148" s="35">
        <f>IF($F148="","",IFERROR(INDEX(사건마스터!$AP$5:$AP$64,MATCH($F148,사건마스터!$A$5:$A$64,0)),""))</f>
        <v/>
      </c>
      <c r="S148" s="35">
        <f>IF($F148="","",IFERROR(INDEX(사건마스터!$AQ$5:$AQ$64,MATCH($F148,사건마스터!$A$5:$A$64,0)),""))</f>
        <v/>
      </c>
      <c r="T148" s="35">
        <f>IF($F148="","",IFERROR(INDEX(사건마스터!$AR$5:$AR$64,MATCH($F148,사건마스터!$A$5:$A$64,0)),""))</f>
        <v/>
      </c>
      <c r="U148" s="35">
        <f>IF($F148="","",IFERROR(INDEX(사건마스터!$AS$5:$AS$64,MATCH($F148,사건마스터!$A$5:$A$64,0)),""))</f>
        <v/>
      </c>
      <c r="V148" s="35">
        <f>IF($F148="","",IFERROR(INDEX(사건마스터!$AT$5:$AT$64,MATCH($F148,사건마스터!$A$5:$A$64,0)),""))</f>
        <v/>
      </c>
      <c r="W148" s="35">
        <f>IF($F148="","",IFERROR(INDEX(사건마스터!$AU$5:$AU$64,MATCH($F148,사건마스터!$A$5:$A$64,0)),""))</f>
        <v/>
      </c>
      <c r="X148" s="35">
        <f>IF($F148="","",IFERROR(INDEX(사건마스터!$AV$5:$AV$64,MATCH($F148,사건마스터!$A$5:$A$64,0)),""))</f>
        <v/>
      </c>
      <c r="Y148" s="30">
        <f>IF($I148="","",COUNTIF($I148:$X148,"?*"))</f>
        <v/>
      </c>
      <c r="Z148" s="33">
        <f>IF($I148="","",_xlfn.TEXTJOIN(", ",TRUE,$I148:$X148))</f>
        <v/>
      </c>
      <c r="AA148" s="34">
        <f>IF($I148="","",IFERROR(INDEX(코드설정!$D$5:$D$24,MATCH($I148,코드설정!$C$5:$C$24,0)),""))</f>
        <v/>
      </c>
      <c r="AB148" s="36" t="n"/>
      <c r="AC148" s="37" t="n"/>
      <c r="AD148" s="38" t="n"/>
      <c r="AE148" s="30">
        <f>IF(OR($B148="",$C148=""),"",$C148-$B148+1)</f>
        <v/>
      </c>
      <c r="AF148" s="32" t="n"/>
      <c r="AG148" s="36" t="n"/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3">
        <f>IF($F149="","",IFERROR(INDEX(사건마스터!$B$5:$B$64,MATCH($F149,사건마스터!$A$5:$A$64,0)),""))</f>
        <v/>
      </c>
      <c r="H149" s="34">
        <f>IF($F149="","",IFERROR(INDEX(사건마스터!$C$5:$C$64,MATCH($F149,사건마스터!$A$5:$A$64,0)),""))</f>
        <v/>
      </c>
      <c r="I149" s="35">
        <f>IF($F149="","",IFERROR(INDEX(사건마스터!$H$5:$H$64,MATCH($F149,사건마스터!$A$5:$A$64,0)),""))</f>
        <v/>
      </c>
      <c r="J149" s="35">
        <f>IF($F149="","",IFERROR(INDEX(사건마스터!$AH$5:$AH$64,MATCH($F149,사건마스터!$A$5:$A$64,0)),""))</f>
        <v/>
      </c>
      <c r="K149" s="35">
        <f>IF($F149="","",IFERROR(INDEX(사건마스터!$AI$5:$AI$64,MATCH($F149,사건마스터!$A$5:$A$64,0)),""))</f>
        <v/>
      </c>
      <c r="L149" s="35">
        <f>IF($F149="","",IFERROR(INDEX(사건마스터!$AJ$5:$AJ$64,MATCH($F149,사건마스터!$A$5:$A$64,0)),""))</f>
        <v/>
      </c>
      <c r="M149" s="35">
        <f>IF($F149="","",IFERROR(INDEX(사건마스터!$AK$5:$AK$64,MATCH($F149,사건마스터!$A$5:$A$64,0)),""))</f>
        <v/>
      </c>
      <c r="N149" s="35">
        <f>IF($F149="","",IFERROR(INDEX(사건마스터!$AL$5:$AL$64,MATCH($F149,사건마스터!$A$5:$A$64,0)),""))</f>
        <v/>
      </c>
      <c r="O149" s="35">
        <f>IF($F149="","",IFERROR(INDEX(사건마스터!$AM$5:$AM$64,MATCH($F149,사건마스터!$A$5:$A$64,0)),""))</f>
        <v/>
      </c>
      <c r="P149" s="35">
        <f>IF($F149="","",IFERROR(INDEX(사건마스터!$AN$5:$AN$64,MATCH($F149,사건마스터!$A$5:$A$64,0)),""))</f>
        <v/>
      </c>
      <c r="Q149" s="35">
        <f>IF($F149="","",IFERROR(INDEX(사건마스터!$AO$5:$AO$64,MATCH($F149,사건마스터!$A$5:$A$64,0)),""))</f>
        <v/>
      </c>
      <c r="R149" s="35">
        <f>IF($F149="","",IFERROR(INDEX(사건마스터!$AP$5:$AP$64,MATCH($F149,사건마스터!$A$5:$A$64,0)),""))</f>
        <v/>
      </c>
      <c r="S149" s="35">
        <f>IF($F149="","",IFERROR(INDEX(사건마스터!$AQ$5:$AQ$64,MATCH($F149,사건마스터!$A$5:$A$64,0)),""))</f>
        <v/>
      </c>
      <c r="T149" s="35">
        <f>IF($F149="","",IFERROR(INDEX(사건마스터!$AR$5:$AR$64,MATCH($F149,사건마스터!$A$5:$A$64,0)),""))</f>
        <v/>
      </c>
      <c r="U149" s="35">
        <f>IF($F149="","",IFERROR(INDEX(사건마스터!$AS$5:$AS$64,MATCH($F149,사건마스터!$A$5:$A$64,0)),""))</f>
        <v/>
      </c>
      <c r="V149" s="35">
        <f>IF($F149="","",IFERROR(INDEX(사건마스터!$AT$5:$AT$64,MATCH($F149,사건마스터!$A$5:$A$64,0)),""))</f>
        <v/>
      </c>
      <c r="W149" s="35">
        <f>IF($F149="","",IFERROR(INDEX(사건마스터!$AU$5:$AU$64,MATCH($F149,사건마스터!$A$5:$A$64,0)),""))</f>
        <v/>
      </c>
      <c r="X149" s="35">
        <f>IF($F149="","",IFERROR(INDEX(사건마스터!$AV$5:$AV$64,MATCH($F149,사건마스터!$A$5:$A$64,0)),""))</f>
        <v/>
      </c>
      <c r="Y149" s="30">
        <f>IF($I149="","",COUNTIF($I149:$X149,"?*"))</f>
        <v/>
      </c>
      <c r="Z149" s="33">
        <f>IF($I149="","",_xlfn.TEXTJOIN(", ",TRUE,$I149:$X149))</f>
        <v/>
      </c>
      <c r="AA149" s="34">
        <f>IF($I149="","",IFERROR(INDEX(코드설정!$D$5:$D$24,MATCH($I149,코드설정!$C$5:$C$24,0)),""))</f>
        <v/>
      </c>
      <c r="AB149" s="36" t="n"/>
      <c r="AC149" s="37" t="n"/>
      <c r="AD149" s="38" t="n"/>
      <c r="AE149" s="30">
        <f>IF(OR($B149="",$C149=""),"",$C149-$B149+1)</f>
        <v/>
      </c>
      <c r="AF149" s="32" t="n"/>
      <c r="AG149" s="36" t="n"/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3">
        <f>IF($F150="","",IFERROR(INDEX(사건마스터!$B$5:$B$64,MATCH($F150,사건마스터!$A$5:$A$64,0)),""))</f>
        <v/>
      </c>
      <c r="H150" s="34">
        <f>IF($F150="","",IFERROR(INDEX(사건마스터!$C$5:$C$64,MATCH($F150,사건마스터!$A$5:$A$64,0)),""))</f>
        <v/>
      </c>
      <c r="I150" s="35">
        <f>IF($F150="","",IFERROR(INDEX(사건마스터!$H$5:$H$64,MATCH($F150,사건마스터!$A$5:$A$64,0)),""))</f>
        <v/>
      </c>
      <c r="J150" s="35">
        <f>IF($F150="","",IFERROR(INDEX(사건마스터!$AH$5:$AH$64,MATCH($F150,사건마스터!$A$5:$A$64,0)),""))</f>
        <v/>
      </c>
      <c r="K150" s="35">
        <f>IF($F150="","",IFERROR(INDEX(사건마스터!$AI$5:$AI$64,MATCH($F150,사건마스터!$A$5:$A$64,0)),""))</f>
        <v/>
      </c>
      <c r="L150" s="35">
        <f>IF($F150="","",IFERROR(INDEX(사건마스터!$AJ$5:$AJ$64,MATCH($F150,사건마스터!$A$5:$A$64,0)),""))</f>
        <v/>
      </c>
      <c r="M150" s="35">
        <f>IF($F150="","",IFERROR(INDEX(사건마스터!$AK$5:$AK$64,MATCH($F150,사건마스터!$A$5:$A$64,0)),""))</f>
        <v/>
      </c>
      <c r="N150" s="35">
        <f>IF($F150="","",IFERROR(INDEX(사건마스터!$AL$5:$AL$64,MATCH($F150,사건마스터!$A$5:$A$64,0)),""))</f>
        <v/>
      </c>
      <c r="O150" s="35">
        <f>IF($F150="","",IFERROR(INDEX(사건마스터!$AM$5:$AM$64,MATCH($F150,사건마스터!$A$5:$A$64,0)),""))</f>
        <v/>
      </c>
      <c r="P150" s="35">
        <f>IF($F150="","",IFERROR(INDEX(사건마스터!$AN$5:$AN$64,MATCH($F150,사건마스터!$A$5:$A$64,0)),""))</f>
        <v/>
      </c>
      <c r="Q150" s="35">
        <f>IF($F150="","",IFERROR(INDEX(사건마스터!$AO$5:$AO$64,MATCH($F150,사건마스터!$A$5:$A$64,0)),""))</f>
        <v/>
      </c>
      <c r="R150" s="35">
        <f>IF($F150="","",IFERROR(INDEX(사건마스터!$AP$5:$AP$64,MATCH($F150,사건마스터!$A$5:$A$64,0)),""))</f>
        <v/>
      </c>
      <c r="S150" s="35">
        <f>IF($F150="","",IFERROR(INDEX(사건마스터!$AQ$5:$AQ$64,MATCH($F150,사건마스터!$A$5:$A$64,0)),""))</f>
        <v/>
      </c>
      <c r="T150" s="35">
        <f>IF($F150="","",IFERROR(INDEX(사건마스터!$AR$5:$AR$64,MATCH($F150,사건마스터!$A$5:$A$64,0)),""))</f>
        <v/>
      </c>
      <c r="U150" s="35">
        <f>IF($F150="","",IFERROR(INDEX(사건마스터!$AS$5:$AS$64,MATCH($F150,사건마스터!$A$5:$A$64,0)),""))</f>
        <v/>
      </c>
      <c r="V150" s="35">
        <f>IF($F150="","",IFERROR(INDEX(사건마스터!$AT$5:$AT$64,MATCH($F150,사건마스터!$A$5:$A$64,0)),""))</f>
        <v/>
      </c>
      <c r="W150" s="35">
        <f>IF($F150="","",IFERROR(INDEX(사건마스터!$AU$5:$AU$64,MATCH($F150,사건마스터!$A$5:$A$64,0)),""))</f>
        <v/>
      </c>
      <c r="X150" s="35">
        <f>IF($F150="","",IFERROR(INDEX(사건마스터!$AV$5:$AV$64,MATCH($F150,사건마스터!$A$5:$A$64,0)),""))</f>
        <v/>
      </c>
      <c r="Y150" s="30">
        <f>IF($I150="","",COUNTIF($I150:$X150,"?*"))</f>
        <v/>
      </c>
      <c r="Z150" s="33">
        <f>IF($I150="","",_xlfn.TEXTJOIN(", ",TRUE,$I150:$X150))</f>
        <v/>
      </c>
      <c r="AA150" s="34">
        <f>IF($I150="","",IFERROR(INDEX(코드설정!$D$5:$D$24,MATCH($I150,코드설정!$C$5:$C$24,0)),""))</f>
        <v/>
      </c>
      <c r="AB150" s="36" t="n"/>
      <c r="AC150" s="37" t="n"/>
      <c r="AD150" s="38" t="n"/>
      <c r="AE150" s="30">
        <f>IF(OR($B150="",$C150=""),"",$C150-$B150+1)</f>
        <v/>
      </c>
      <c r="AF150" s="32" t="n"/>
      <c r="AG150" s="36" t="n"/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3">
        <f>IF($F151="","",IFERROR(INDEX(사건마스터!$B$5:$B$64,MATCH($F151,사건마스터!$A$5:$A$64,0)),""))</f>
        <v/>
      </c>
      <c r="H151" s="34">
        <f>IF($F151="","",IFERROR(INDEX(사건마스터!$C$5:$C$64,MATCH($F151,사건마스터!$A$5:$A$64,0)),""))</f>
        <v/>
      </c>
      <c r="I151" s="35">
        <f>IF($F151="","",IFERROR(INDEX(사건마스터!$H$5:$H$64,MATCH($F151,사건마스터!$A$5:$A$64,0)),""))</f>
        <v/>
      </c>
      <c r="J151" s="35">
        <f>IF($F151="","",IFERROR(INDEX(사건마스터!$AH$5:$AH$64,MATCH($F151,사건마스터!$A$5:$A$64,0)),""))</f>
        <v/>
      </c>
      <c r="K151" s="35">
        <f>IF($F151="","",IFERROR(INDEX(사건마스터!$AI$5:$AI$64,MATCH($F151,사건마스터!$A$5:$A$64,0)),""))</f>
        <v/>
      </c>
      <c r="L151" s="35">
        <f>IF($F151="","",IFERROR(INDEX(사건마스터!$AJ$5:$AJ$64,MATCH($F151,사건마스터!$A$5:$A$64,0)),""))</f>
        <v/>
      </c>
      <c r="M151" s="35">
        <f>IF($F151="","",IFERROR(INDEX(사건마스터!$AK$5:$AK$64,MATCH($F151,사건마스터!$A$5:$A$64,0)),""))</f>
        <v/>
      </c>
      <c r="N151" s="35">
        <f>IF($F151="","",IFERROR(INDEX(사건마스터!$AL$5:$AL$64,MATCH($F151,사건마스터!$A$5:$A$64,0)),""))</f>
        <v/>
      </c>
      <c r="O151" s="35">
        <f>IF($F151="","",IFERROR(INDEX(사건마스터!$AM$5:$AM$64,MATCH($F151,사건마스터!$A$5:$A$64,0)),""))</f>
        <v/>
      </c>
      <c r="P151" s="35">
        <f>IF($F151="","",IFERROR(INDEX(사건마스터!$AN$5:$AN$64,MATCH($F151,사건마스터!$A$5:$A$64,0)),""))</f>
        <v/>
      </c>
      <c r="Q151" s="35">
        <f>IF($F151="","",IFERROR(INDEX(사건마스터!$AO$5:$AO$64,MATCH($F151,사건마스터!$A$5:$A$64,0)),""))</f>
        <v/>
      </c>
      <c r="R151" s="35">
        <f>IF($F151="","",IFERROR(INDEX(사건마스터!$AP$5:$AP$64,MATCH($F151,사건마스터!$A$5:$A$64,0)),""))</f>
        <v/>
      </c>
      <c r="S151" s="35">
        <f>IF($F151="","",IFERROR(INDEX(사건마스터!$AQ$5:$AQ$64,MATCH($F151,사건마스터!$A$5:$A$64,0)),""))</f>
        <v/>
      </c>
      <c r="T151" s="35">
        <f>IF($F151="","",IFERROR(INDEX(사건마스터!$AR$5:$AR$64,MATCH($F151,사건마스터!$A$5:$A$64,0)),""))</f>
        <v/>
      </c>
      <c r="U151" s="35">
        <f>IF($F151="","",IFERROR(INDEX(사건마스터!$AS$5:$AS$64,MATCH($F151,사건마스터!$A$5:$A$64,0)),""))</f>
        <v/>
      </c>
      <c r="V151" s="35">
        <f>IF($F151="","",IFERROR(INDEX(사건마스터!$AT$5:$AT$64,MATCH($F151,사건마스터!$A$5:$A$64,0)),""))</f>
        <v/>
      </c>
      <c r="W151" s="35">
        <f>IF($F151="","",IFERROR(INDEX(사건마스터!$AU$5:$AU$64,MATCH($F151,사건마스터!$A$5:$A$64,0)),""))</f>
        <v/>
      </c>
      <c r="X151" s="35">
        <f>IF($F151="","",IFERROR(INDEX(사건마스터!$AV$5:$AV$64,MATCH($F151,사건마스터!$A$5:$A$64,0)),""))</f>
        <v/>
      </c>
      <c r="Y151" s="30">
        <f>IF($I151="","",COUNTIF($I151:$X151,"?*"))</f>
        <v/>
      </c>
      <c r="Z151" s="33">
        <f>IF($I151="","",_xlfn.TEXTJOIN(", ",TRUE,$I151:$X151))</f>
        <v/>
      </c>
      <c r="AA151" s="34">
        <f>IF($I151="","",IFERROR(INDEX(코드설정!$D$5:$D$24,MATCH($I151,코드설정!$C$5:$C$24,0)),""))</f>
        <v/>
      </c>
      <c r="AB151" s="36" t="n"/>
      <c r="AC151" s="37" t="n"/>
      <c r="AD151" s="38" t="n"/>
      <c r="AE151" s="30">
        <f>IF(OR($B151="",$C151=""),"",$C151-$B151+1)</f>
        <v/>
      </c>
      <c r="AF151" s="32" t="n"/>
      <c r="AG151" s="36" t="n"/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3">
        <f>IF($F152="","",IFERROR(INDEX(사건마스터!$B$5:$B$64,MATCH($F152,사건마스터!$A$5:$A$64,0)),""))</f>
        <v/>
      </c>
      <c r="H152" s="34">
        <f>IF($F152="","",IFERROR(INDEX(사건마스터!$C$5:$C$64,MATCH($F152,사건마스터!$A$5:$A$64,0)),""))</f>
        <v/>
      </c>
      <c r="I152" s="35">
        <f>IF($F152="","",IFERROR(INDEX(사건마스터!$H$5:$H$64,MATCH($F152,사건마스터!$A$5:$A$64,0)),""))</f>
        <v/>
      </c>
      <c r="J152" s="35">
        <f>IF($F152="","",IFERROR(INDEX(사건마스터!$AH$5:$AH$64,MATCH($F152,사건마스터!$A$5:$A$64,0)),""))</f>
        <v/>
      </c>
      <c r="K152" s="35">
        <f>IF($F152="","",IFERROR(INDEX(사건마스터!$AI$5:$AI$64,MATCH($F152,사건마스터!$A$5:$A$64,0)),""))</f>
        <v/>
      </c>
      <c r="L152" s="35">
        <f>IF($F152="","",IFERROR(INDEX(사건마스터!$AJ$5:$AJ$64,MATCH($F152,사건마스터!$A$5:$A$64,0)),""))</f>
        <v/>
      </c>
      <c r="M152" s="35">
        <f>IF($F152="","",IFERROR(INDEX(사건마스터!$AK$5:$AK$64,MATCH($F152,사건마스터!$A$5:$A$64,0)),""))</f>
        <v/>
      </c>
      <c r="N152" s="35">
        <f>IF($F152="","",IFERROR(INDEX(사건마스터!$AL$5:$AL$64,MATCH($F152,사건마스터!$A$5:$A$64,0)),""))</f>
        <v/>
      </c>
      <c r="O152" s="35">
        <f>IF($F152="","",IFERROR(INDEX(사건마스터!$AM$5:$AM$64,MATCH($F152,사건마스터!$A$5:$A$64,0)),""))</f>
        <v/>
      </c>
      <c r="P152" s="35">
        <f>IF($F152="","",IFERROR(INDEX(사건마스터!$AN$5:$AN$64,MATCH($F152,사건마스터!$A$5:$A$64,0)),""))</f>
        <v/>
      </c>
      <c r="Q152" s="35">
        <f>IF($F152="","",IFERROR(INDEX(사건마스터!$AO$5:$AO$64,MATCH($F152,사건마스터!$A$5:$A$64,0)),""))</f>
        <v/>
      </c>
      <c r="R152" s="35">
        <f>IF($F152="","",IFERROR(INDEX(사건마스터!$AP$5:$AP$64,MATCH($F152,사건마스터!$A$5:$A$64,0)),""))</f>
        <v/>
      </c>
      <c r="S152" s="35">
        <f>IF($F152="","",IFERROR(INDEX(사건마스터!$AQ$5:$AQ$64,MATCH($F152,사건마스터!$A$5:$A$64,0)),""))</f>
        <v/>
      </c>
      <c r="T152" s="35">
        <f>IF($F152="","",IFERROR(INDEX(사건마스터!$AR$5:$AR$64,MATCH($F152,사건마스터!$A$5:$A$64,0)),""))</f>
        <v/>
      </c>
      <c r="U152" s="35">
        <f>IF($F152="","",IFERROR(INDEX(사건마스터!$AS$5:$AS$64,MATCH($F152,사건마스터!$A$5:$A$64,0)),""))</f>
        <v/>
      </c>
      <c r="V152" s="35">
        <f>IF($F152="","",IFERROR(INDEX(사건마스터!$AT$5:$AT$64,MATCH($F152,사건마스터!$A$5:$A$64,0)),""))</f>
        <v/>
      </c>
      <c r="W152" s="35">
        <f>IF($F152="","",IFERROR(INDEX(사건마스터!$AU$5:$AU$64,MATCH($F152,사건마스터!$A$5:$A$64,0)),""))</f>
        <v/>
      </c>
      <c r="X152" s="35">
        <f>IF($F152="","",IFERROR(INDEX(사건마스터!$AV$5:$AV$64,MATCH($F152,사건마스터!$A$5:$A$64,0)),""))</f>
        <v/>
      </c>
      <c r="Y152" s="30">
        <f>IF($I152="","",COUNTIF($I152:$X152,"?*"))</f>
        <v/>
      </c>
      <c r="Z152" s="33">
        <f>IF($I152="","",_xlfn.TEXTJOIN(", ",TRUE,$I152:$X152))</f>
        <v/>
      </c>
      <c r="AA152" s="34">
        <f>IF($I152="","",IFERROR(INDEX(코드설정!$D$5:$D$24,MATCH($I152,코드설정!$C$5:$C$24,0)),""))</f>
        <v/>
      </c>
      <c r="AB152" s="36" t="n"/>
      <c r="AC152" s="37" t="n"/>
      <c r="AD152" s="38" t="n"/>
      <c r="AE152" s="30">
        <f>IF(OR($B152="",$C152=""),"",$C152-$B152+1)</f>
        <v/>
      </c>
      <c r="AF152" s="32" t="n"/>
      <c r="AG152" s="36" t="n"/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3">
        <f>IF($F153="","",IFERROR(INDEX(사건마스터!$B$5:$B$64,MATCH($F153,사건마스터!$A$5:$A$64,0)),""))</f>
        <v/>
      </c>
      <c r="H153" s="34">
        <f>IF($F153="","",IFERROR(INDEX(사건마스터!$C$5:$C$64,MATCH($F153,사건마스터!$A$5:$A$64,0)),""))</f>
        <v/>
      </c>
      <c r="I153" s="35">
        <f>IF($F153="","",IFERROR(INDEX(사건마스터!$H$5:$H$64,MATCH($F153,사건마스터!$A$5:$A$64,0)),""))</f>
        <v/>
      </c>
      <c r="J153" s="35">
        <f>IF($F153="","",IFERROR(INDEX(사건마스터!$AH$5:$AH$64,MATCH($F153,사건마스터!$A$5:$A$64,0)),""))</f>
        <v/>
      </c>
      <c r="K153" s="35">
        <f>IF($F153="","",IFERROR(INDEX(사건마스터!$AI$5:$AI$64,MATCH($F153,사건마스터!$A$5:$A$64,0)),""))</f>
        <v/>
      </c>
      <c r="L153" s="35">
        <f>IF($F153="","",IFERROR(INDEX(사건마스터!$AJ$5:$AJ$64,MATCH($F153,사건마스터!$A$5:$A$64,0)),""))</f>
        <v/>
      </c>
      <c r="M153" s="35">
        <f>IF($F153="","",IFERROR(INDEX(사건마스터!$AK$5:$AK$64,MATCH($F153,사건마스터!$A$5:$A$64,0)),""))</f>
        <v/>
      </c>
      <c r="N153" s="35">
        <f>IF($F153="","",IFERROR(INDEX(사건마스터!$AL$5:$AL$64,MATCH($F153,사건마스터!$A$5:$A$64,0)),""))</f>
        <v/>
      </c>
      <c r="O153" s="35">
        <f>IF($F153="","",IFERROR(INDEX(사건마스터!$AM$5:$AM$64,MATCH($F153,사건마스터!$A$5:$A$64,0)),""))</f>
        <v/>
      </c>
      <c r="P153" s="35">
        <f>IF($F153="","",IFERROR(INDEX(사건마스터!$AN$5:$AN$64,MATCH($F153,사건마스터!$A$5:$A$64,0)),""))</f>
        <v/>
      </c>
      <c r="Q153" s="35">
        <f>IF($F153="","",IFERROR(INDEX(사건마스터!$AO$5:$AO$64,MATCH($F153,사건마스터!$A$5:$A$64,0)),""))</f>
        <v/>
      </c>
      <c r="R153" s="35">
        <f>IF($F153="","",IFERROR(INDEX(사건마스터!$AP$5:$AP$64,MATCH($F153,사건마스터!$A$5:$A$64,0)),""))</f>
        <v/>
      </c>
      <c r="S153" s="35">
        <f>IF($F153="","",IFERROR(INDEX(사건마스터!$AQ$5:$AQ$64,MATCH($F153,사건마스터!$A$5:$A$64,0)),""))</f>
        <v/>
      </c>
      <c r="T153" s="35">
        <f>IF($F153="","",IFERROR(INDEX(사건마스터!$AR$5:$AR$64,MATCH($F153,사건마스터!$A$5:$A$64,0)),""))</f>
        <v/>
      </c>
      <c r="U153" s="35">
        <f>IF($F153="","",IFERROR(INDEX(사건마스터!$AS$5:$AS$64,MATCH($F153,사건마스터!$A$5:$A$64,0)),""))</f>
        <v/>
      </c>
      <c r="V153" s="35">
        <f>IF($F153="","",IFERROR(INDEX(사건마스터!$AT$5:$AT$64,MATCH($F153,사건마스터!$A$5:$A$64,0)),""))</f>
        <v/>
      </c>
      <c r="W153" s="35">
        <f>IF($F153="","",IFERROR(INDEX(사건마스터!$AU$5:$AU$64,MATCH($F153,사건마스터!$A$5:$A$64,0)),""))</f>
        <v/>
      </c>
      <c r="X153" s="35">
        <f>IF($F153="","",IFERROR(INDEX(사건마스터!$AV$5:$AV$64,MATCH($F153,사건마스터!$A$5:$A$64,0)),""))</f>
        <v/>
      </c>
      <c r="Y153" s="30">
        <f>IF($I153="","",COUNTIF($I153:$X153,"?*"))</f>
        <v/>
      </c>
      <c r="Z153" s="33">
        <f>IF($I153="","",_xlfn.TEXTJOIN(", ",TRUE,$I153:$X153))</f>
        <v/>
      </c>
      <c r="AA153" s="34">
        <f>IF($I153="","",IFERROR(INDEX(코드설정!$D$5:$D$24,MATCH($I153,코드설정!$C$5:$C$24,0)),""))</f>
        <v/>
      </c>
      <c r="AB153" s="36" t="n"/>
      <c r="AC153" s="37" t="n"/>
      <c r="AD153" s="38" t="n"/>
      <c r="AE153" s="30">
        <f>IF(OR($B153="",$C153=""),"",$C153-$B153+1)</f>
        <v/>
      </c>
      <c r="AF153" s="32" t="n"/>
      <c r="AG153" s="36" t="n"/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3">
        <f>IF($F154="","",IFERROR(INDEX(사건마스터!$B$5:$B$64,MATCH($F154,사건마스터!$A$5:$A$64,0)),""))</f>
        <v/>
      </c>
      <c r="H154" s="34">
        <f>IF($F154="","",IFERROR(INDEX(사건마스터!$C$5:$C$64,MATCH($F154,사건마스터!$A$5:$A$64,0)),""))</f>
        <v/>
      </c>
      <c r="I154" s="35">
        <f>IF($F154="","",IFERROR(INDEX(사건마스터!$H$5:$H$64,MATCH($F154,사건마스터!$A$5:$A$64,0)),""))</f>
        <v/>
      </c>
      <c r="J154" s="35">
        <f>IF($F154="","",IFERROR(INDEX(사건마스터!$AH$5:$AH$64,MATCH($F154,사건마스터!$A$5:$A$64,0)),""))</f>
        <v/>
      </c>
      <c r="K154" s="35">
        <f>IF($F154="","",IFERROR(INDEX(사건마스터!$AI$5:$AI$64,MATCH($F154,사건마스터!$A$5:$A$64,0)),""))</f>
        <v/>
      </c>
      <c r="L154" s="35">
        <f>IF($F154="","",IFERROR(INDEX(사건마스터!$AJ$5:$AJ$64,MATCH($F154,사건마스터!$A$5:$A$64,0)),""))</f>
        <v/>
      </c>
      <c r="M154" s="35">
        <f>IF($F154="","",IFERROR(INDEX(사건마스터!$AK$5:$AK$64,MATCH($F154,사건마스터!$A$5:$A$64,0)),""))</f>
        <v/>
      </c>
      <c r="N154" s="35">
        <f>IF($F154="","",IFERROR(INDEX(사건마스터!$AL$5:$AL$64,MATCH($F154,사건마스터!$A$5:$A$64,0)),""))</f>
        <v/>
      </c>
      <c r="O154" s="35">
        <f>IF($F154="","",IFERROR(INDEX(사건마스터!$AM$5:$AM$64,MATCH($F154,사건마스터!$A$5:$A$64,0)),""))</f>
        <v/>
      </c>
      <c r="P154" s="35">
        <f>IF($F154="","",IFERROR(INDEX(사건마스터!$AN$5:$AN$64,MATCH($F154,사건마스터!$A$5:$A$64,0)),""))</f>
        <v/>
      </c>
      <c r="Q154" s="35">
        <f>IF($F154="","",IFERROR(INDEX(사건마스터!$AO$5:$AO$64,MATCH($F154,사건마스터!$A$5:$A$64,0)),""))</f>
        <v/>
      </c>
      <c r="R154" s="35">
        <f>IF($F154="","",IFERROR(INDEX(사건마스터!$AP$5:$AP$64,MATCH($F154,사건마스터!$A$5:$A$64,0)),""))</f>
        <v/>
      </c>
      <c r="S154" s="35">
        <f>IF($F154="","",IFERROR(INDEX(사건마스터!$AQ$5:$AQ$64,MATCH($F154,사건마스터!$A$5:$A$64,0)),""))</f>
        <v/>
      </c>
      <c r="T154" s="35">
        <f>IF($F154="","",IFERROR(INDEX(사건마스터!$AR$5:$AR$64,MATCH($F154,사건마스터!$A$5:$A$64,0)),""))</f>
        <v/>
      </c>
      <c r="U154" s="35">
        <f>IF($F154="","",IFERROR(INDEX(사건마스터!$AS$5:$AS$64,MATCH($F154,사건마스터!$A$5:$A$64,0)),""))</f>
        <v/>
      </c>
      <c r="V154" s="35">
        <f>IF($F154="","",IFERROR(INDEX(사건마스터!$AT$5:$AT$64,MATCH($F154,사건마스터!$A$5:$A$64,0)),""))</f>
        <v/>
      </c>
      <c r="W154" s="35">
        <f>IF($F154="","",IFERROR(INDEX(사건마스터!$AU$5:$AU$64,MATCH($F154,사건마스터!$A$5:$A$64,0)),""))</f>
        <v/>
      </c>
      <c r="X154" s="35">
        <f>IF($F154="","",IFERROR(INDEX(사건마스터!$AV$5:$AV$64,MATCH($F154,사건마스터!$A$5:$A$64,0)),""))</f>
        <v/>
      </c>
      <c r="Y154" s="30">
        <f>IF($I154="","",COUNTIF($I154:$X154,"?*"))</f>
        <v/>
      </c>
      <c r="Z154" s="33">
        <f>IF($I154="","",_xlfn.TEXTJOIN(", ",TRUE,$I154:$X154))</f>
        <v/>
      </c>
      <c r="AA154" s="34">
        <f>IF($I154="","",IFERROR(INDEX(코드설정!$D$5:$D$24,MATCH($I154,코드설정!$C$5:$C$24,0)),""))</f>
        <v/>
      </c>
      <c r="AB154" s="36" t="n"/>
      <c r="AC154" s="37" t="n"/>
      <c r="AD154" s="38" t="n"/>
      <c r="AE154" s="30">
        <f>IF(OR($B154="",$C154=""),"",$C154-$B154+1)</f>
        <v/>
      </c>
      <c r="AF154" s="32" t="n"/>
      <c r="AG154" s="36" t="n"/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3">
        <f>IF($F155="","",IFERROR(INDEX(사건마스터!$B$5:$B$64,MATCH($F155,사건마스터!$A$5:$A$64,0)),""))</f>
        <v/>
      </c>
      <c r="H155" s="34">
        <f>IF($F155="","",IFERROR(INDEX(사건마스터!$C$5:$C$64,MATCH($F155,사건마스터!$A$5:$A$64,0)),""))</f>
        <v/>
      </c>
      <c r="I155" s="35">
        <f>IF($F155="","",IFERROR(INDEX(사건마스터!$H$5:$H$64,MATCH($F155,사건마스터!$A$5:$A$64,0)),""))</f>
        <v/>
      </c>
      <c r="J155" s="35">
        <f>IF($F155="","",IFERROR(INDEX(사건마스터!$AH$5:$AH$64,MATCH($F155,사건마스터!$A$5:$A$64,0)),""))</f>
        <v/>
      </c>
      <c r="K155" s="35">
        <f>IF($F155="","",IFERROR(INDEX(사건마스터!$AI$5:$AI$64,MATCH($F155,사건마스터!$A$5:$A$64,0)),""))</f>
        <v/>
      </c>
      <c r="L155" s="35">
        <f>IF($F155="","",IFERROR(INDEX(사건마스터!$AJ$5:$AJ$64,MATCH($F155,사건마스터!$A$5:$A$64,0)),""))</f>
        <v/>
      </c>
      <c r="M155" s="35">
        <f>IF($F155="","",IFERROR(INDEX(사건마스터!$AK$5:$AK$64,MATCH($F155,사건마스터!$A$5:$A$64,0)),""))</f>
        <v/>
      </c>
      <c r="N155" s="35">
        <f>IF($F155="","",IFERROR(INDEX(사건마스터!$AL$5:$AL$64,MATCH($F155,사건마스터!$A$5:$A$64,0)),""))</f>
        <v/>
      </c>
      <c r="O155" s="35">
        <f>IF($F155="","",IFERROR(INDEX(사건마스터!$AM$5:$AM$64,MATCH($F155,사건마스터!$A$5:$A$64,0)),""))</f>
        <v/>
      </c>
      <c r="P155" s="35">
        <f>IF($F155="","",IFERROR(INDEX(사건마스터!$AN$5:$AN$64,MATCH($F155,사건마스터!$A$5:$A$64,0)),""))</f>
        <v/>
      </c>
      <c r="Q155" s="35">
        <f>IF($F155="","",IFERROR(INDEX(사건마스터!$AO$5:$AO$64,MATCH($F155,사건마스터!$A$5:$A$64,0)),""))</f>
        <v/>
      </c>
      <c r="R155" s="35">
        <f>IF($F155="","",IFERROR(INDEX(사건마스터!$AP$5:$AP$64,MATCH($F155,사건마스터!$A$5:$A$64,0)),""))</f>
        <v/>
      </c>
      <c r="S155" s="35">
        <f>IF($F155="","",IFERROR(INDEX(사건마스터!$AQ$5:$AQ$64,MATCH($F155,사건마스터!$A$5:$A$64,0)),""))</f>
        <v/>
      </c>
      <c r="T155" s="35">
        <f>IF($F155="","",IFERROR(INDEX(사건마스터!$AR$5:$AR$64,MATCH($F155,사건마스터!$A$5:$A$64,0)),""))</f>
        <v/>
      </c>
      <c r="U155" s="35">
        <f>IF($F155="","",IFERROR(INDEX(사건마스터!$AS$5:$AS$64,MATCH($F155,사건마스터!$A$5:$A$64,0)),""))</f>
        <v/>
      </c>
      <c r="V155" s="35">
        <f>IF($F155="","",IFERROR(INDEX(사건마스터!$AT$5:$AT$64,MATCH($F155,사건마스터!$A$5:$A$64,0)),""))</f>
        <v/>
      </c>
      <c r="W155" s="35">
        <f>IF($F155="","",IFERROR(INDEX(사건마스터!$AU$5:$AU$64,MATCH($F155,사건마스터!$A$5:$A$64,0)),""))</f>
        <v/>
      </c>
      <c r="X155" s="35">
        <f>IF($F155="","",IFERROR(INDEX(사건마스터!$AV$5:$AV$64,MATCH($F155,사건마스터!$A$5:$A$64,0)),""))</f>
        <v/>
      </c>
      <c r="Y155" s="30">
        <f>IF($I155="","",COUNTIF($I155:$X155,"?*"))</f>
        <v/>
      </c>
      <c r="Z155" s="33">
        <f>IF($I155="","",_xlfn.TEXTJOIN(", ",TRUE,$I155:$X155))</f>
        <v/>
      </c>
      <c r="AA155" s="34">
        <f>IF($I155="","",IFERROR(INDEX(코드설정!$D$5:$D$24,MATCH($I155,코드설정!$C$5:$C$24,0)),""))</f>
        <v/>
      </c>
      <c r="AB155" s="36" t="n"/>
      <c r="AC155" s="37" t="n"/>
      <c r="AD155" s="38" t="n"/>
      <c r="AE155" s="30">
        <f>IF(OR($B155="",$C155=""),"",$C155-$B155+1)</f>
        <v/>
      </c>
      <c r="AF155" s="32" t="n"/>
      <c r="AG155" s="36" t="n"/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3">
        <f>IF($F156="","",IFERROR(INDEX(사건마스터!$B$5:$B$64,MATCH($F156,사건마스터!$A$5:$A$64,0)),""))</f>
        <v/>
      </c>
      <c r="H156" s="34">
        <f>IF($F156="","",IFERROR(INDEX(사건마스터!$C$5:$C$64,MATCH($F156,사건마스터!$A$5:$A$64,0)),""))</f>
        <v/>
      </c>
      <c r="I156" s="35">
        <f>IF($F156="","",IFERROR(INDEX(사건마스터!$H$5:$H$64,MATCH($F156,사건마스터!$A$5:$A$64,0)),""))</f>
        <v/>
      </c>
      <c r="J156" s="35">
        <f>IF($F156="","",IFERROR(INDEX(사건마스터!$AH$5:$AH$64,MATCH($F156,사건마스터!$A$5:$A$64,0)),""))</f>
        <v/>
      </c>
      <c r="K156" s="35">
        <f>IF($F156="","",IFERROR(INDEX(사건마스터!$AI$5:$AI$64,MATCH($F156,사건마스터!$A$5:$A$64,0)),""))</f>
        <v/>
      </c>
      <c r="L156" s="35">
        <f>IF($F156="","",IFERROR(INDEX(사건마스터!$AJ$5:$AJ$64,MATCH($F156,사건마스터!$A$5:$A$64,0)),""))</f>
        <v/>
      </c>
      <c r="M156" s="35">
        <f>IF($F156="","",IFERROR(INDEX(사건마스터!$AK$5:$AK$64,MATCH($F156,사건마스터!$A$5:$A$64,0)),""))</f>
        <v/>
      </c>
      <c r="N156" s="35">
        <f>IF($F156="","",IFERROR(INDEX(사건마스터!$AL$5:$AL$64,MATCH($F156,사건마스터!$A$5:$A$64,0)),""))</f>
        <v/>
      </c>
      <c r="O156" s="35">
        <f>IF($F156="","",IFERROR(INDEX(사건마스터!$AM$5:$AM$64,MATCH($F156,사건마스터!$A$5:$A$64,0)),""))</f>
        <v/>
      </c>
      <c r="P156" s="35">
        <f>IF($F156="","",IFERROR(INDEX(사건마스터!$AN$5:$AN$64,MATCH($F156,사건마스터!$A$5:$A$64,0)),""))</f>
        <v/>
      </c>
      <c r="Q156" s="35">
        <f>IF($F156="","",IFERROR(INDEX(사건마스터!$AO$5:$AO$64,MATCH($F156,사건마스터!$A$5:$A$64,0)),""))</f>
        <v/>
      </c>
      <c r="R156" s="35">
        <f>IF($F156="","",IFERROR(INDEX(사건마스터!$AP$5:$AP$64,MATCH($F156,사건마스터!$A$5:$A$64,0)),""))</f>
        <v/>
      </c>
      <c r="S156" s="35">
        <f>IF($F156="","",IFERROR(INDEX(사건마스터!$AQ$5:$AQ$64,MATCH($F156,사건마스터!$A$5:$A$64,0)),""))</f>
        <v/>
      </c>
      <c r="T156" s="35">
        <f>IF($F156="","",IFERROR(INDEX(사건마스터!$AR$5:$AR$64,MATCH($F156,사건마스터!$A$5:$A$64,0)),""))</f>
        <v/>
      </c>
      <c r="U156" s="35">
        <f>IF($F156="","",IFERROR(INDEX(사건마스터!$AS$5:$AS$64,MATCH($F156,사건마스터!$A$5:$A$64,0)),""))</f>
        <v/>
      </c>
      <c r="V156" s="35">
        <f>IF($F156="","",IFERROR(INDEX(사건마스터!$AT$5:$AT$64,MATCH($F156,사건마스터!$A$5:$A$64,0)),""))</f>
        <v/>
      </c>
      <c r="W156" s="35">
        <f>IF($F156="","",IFERROR(INDEX(사건마스터!$AU$5:$AU$64,MATCH($F156,사건마스터!$A$5:$A$64,0)),""))</f>
        <v/>
      </c>
      <c r="X156" s="35">
        <f>IF($F156="","",IFERROR(INDEX(사건마스터!$AV$5:$AV$64,MATCH($F156,사건마스터!$A$5:$A$64,0)),""))</f>
        <v/>
      </c>
      <c r="Y156" s="30">
        <f>IF($I156="","",COUNTIF($I156:$X156,"?*"))</f>
        <v/>
      </c>
      <c r="Z156" s="33">
        <f>IF($I156="","",_xlfn.TEXTJOIN(", ",TRUE,$I156:$X156))</f>
        <v/>
      </c>
      <c r="AA156" s="34">
        <f>IF($I156="","",IFERROR(INDEX(코드설정!$D$5:$D$24,MATCH($I156,코드설정!$C$5:$C$24,0)),""))</f>
        <v/>
      </c>
      <c r="AB156" s="36" t="n"/>
      <c r="AC156" s="37" t="n"/>
      <c r="AD156" s="38" t="n"/>
      <c r="AE156" s="30">
        <f>IF(OR($B156="",$C156=""),"",$C156-$B156+1)</f>
        <v/>
      </c>
      <c r="AF156" s="32" t="n"/>
      <c r="AG156" s="36" t="n"/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3">
        <f>IF($F157="","",IFERROR(INDEX(사건마스터!$B$5:$B$64,MATCH($F157,사건마스터!$A$5:$A$64,0)),""))</f>
        <v/>
      </c>
      <c r="H157" s="34">
        <f>IF($F157="","",IFERROR(INDEX(사건마스터!$C$5:$C$64,MATCH($F157,사건마스터!$A$5:$A$64,0)),""))</f>
        <v/>
      </c>
      <c r="I157" s="35">
        <f>IF($F157="","",IFERROR(INDEX(사건마스터!$H$5:$H$64,MATCH($F157,사건마스터!$A$5:$A$64,0)),""))</f>
        <v/>
      </c>
      <c r="J157" s="35">
        <f>IF($F157="","",IFERROR(INDEX(사건마스터!$AH$5:$AH$64,MATCH($F157,사건마스터!$A$5:$A$64,0)),""))</f>
        <v/>
      </c>
      <c r="K157" s="35">
        <f>IF($F157="","",IFERROR(INDEX(사건마스터!$AI$5:$AI$64,MATCH($F157,사건마스터!$A$5:$A$64,0)),""))</f>
        <v/>
      </c>
      <c r="L157" s="35">
        <f>IF($F157="","",IFERROR(INDEX(사건마스터!$AJ$5:$AJ$64,MATCH($F157,사건마스터!$A$5:$A$64,0)),""))</f>
        <v/>
      </c>
      <c r="M157" s="35">
        <f>IF($F157="","",IFERROR(INDEX(사건마스터!$AK$5:$AK$64,MATCH($F157,사건마스터!$A$5:$A$64,0)),""))</f>
        <v/>
      </c>
      <c r="N157" s="35">
        <f>IF($F157="","",IFERROR(INDEX(사건마스터!$AL$5:$AL$64,MATCH($F157,사건마스터!$A$5:$A$64,0)),""))</f>
        <v/>
      </c>
      <c r="O157" s="35">
        <f>IF($F157="","",IFERROR(INDEX(사건마스터!$AM$5:$AM$64,MATCH($F157,사건마스터!$A$5:$A$64,0)),""))</f>
        <v/>
      </c>
      <c r="P157" s="35">
        <f>IF($F157="","",IFERROR(INDEX(사건마스터!$AN$5:$AN$64,MATCH($F157,사건마스터!$A$5:$A$64,0)),""))</f>
        <v/>
      </c>
      <c r="Q157" s="35">
        <f>IF($F157="","",IFERROR(INDEX(사건마스터!$AO$5:$AO$64,MATCH($F157,사건마스터!$A$5:$A$64,0)),""))</f>
        <v/>
      </c>
      <c r="R157" s="35">
        <f>IF($F157="","",IFERROR(INDEX(사건마스터!$AP$5:$AP$64,MATCH($F157,사건마스터!$A$5:$A$64,0)),""))</f>
        <v/>
      </c>
      <c r="S157" s="35">
        <f>IF($F157="","",IFERROR(INDEX(사건마스터!$AQ$5:$AQ$64,MATCH($F157,사건마스터!$A$5:$A$64,0)),""))</f>
        <v/>
      </c>
      <c r="T157" s="35">
        <f>IF($F157="","",IFERROR(INDEX(사건마스터!$AR$5:$AR$64,MATCH($F157,사건마스터!$A$5:$A$64,0)),""))</f>
        <v/>
      </c>
      <c r="U157" s="35">
        <f>IF($F157="","",IFERROR(INDEX(사건마스터!$AS$5:$AS$64,MATCH($F157,사건마스터!$A$5:$A$64,0)),""))</f>
        <v/>
      </c>
      <c r="V157" s="35">
        <f>IF($F157="","",IFERROR(INDEX(사건마스터!$AT$5:$AT$64,MATCH($F157,사건마스터!$A$5:$A$64,0)),""))</f>
        <v/>
      </c>
      <c r="W157" s="35">
        <f>IF($F157="","",IFERROR(INDEX(사건마스터!$AU$5:$AU$64,MATCH($F157,사건마스터!$A$5:$A$64,0)),""))</f>
        <v/>
      </c>
      <c r="X157" s="35">
        <f>IF($F157="","",IFERROR(INDEX(사건마스터!$AV$5:$AV$64,MATCH($F157,사건마스터!$A$5:$A$64,0)),""))</f>
        <v/>
      </c>
      <c r="Y157" s="30">
        <f>IF($I157="","",COUNTIF($I157:$X157,"?*"))</f>
        <v/>
      </c>
      <c r="Z157" s="33">
        <f>IF($I157="","",_xlfn.TEXTJOIN(", ",TRUE,$I157:$X157))</f>
        <v/>
      </c>
      <c r="AA157" s="34">
        <f>IF($I157="","",IFERROR(INDEX(코드설정!$D$5:$D$24,MATCH($I157,코드설정!$C$5:$C$24,0)),""))</f>
        <v/>
      </c>
      <c r="AB157" s="36" t="n"/>
      <c r="AC157" s="37" t="n"/>
      <c r="AD157" s="38" t="n"/>
      <c r="AE157" s="30">
        <f>IF(OR($B157="",$C157=""),"",$C157-$B157+1)</f>
        <v/>
      </c>
      <c r="AF157" s="32" t="n"/>
      <c r="AG157" s="36" t="n"/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3">
        <f>IF($F158="","",IFERROR(INDEX(사건마스터!$B$5:$B$64,MATCH($F158,사건마스터!$A$5:$A$64,0)),""))</f>
        <v/>
      </c>
      <c r="H158" s="34">
        <f>IF($F158="","",IFERROR(INDEX(사건마스터!$C$5:$C$64,MATCH($F158,사건마스터!$A$5:$A$64,0)),""))</f>
        <v/>
      </c>
      <c r="I158" s="35">
        <f>IF($F158="","",IFERROR(INDEX(사건마스터!$H$5:$H$64,MATCH($F158,사건마스터!$A$5:$A$64,0)),""))</f>
        <v/>
      </c>
      <c r="J158" s="35">
        <f>IF($F158="","",IFERROR(INDEX(사건마스터!$AH$5:$AH$64,MATCH($F158,사건마스터!$A$5:$A$64,0)),""))</f>
        <v/>
      </c>
      <c r="K158" s="35">
        <f>IF($F158="","",IFERROR(INDEX(사건마스터!$AI$5:$AI$64,MATCH($F158,사건마스터!$A$5:$A$64,0)),""))</f>
        <v/>
      </c>
      <c r="L158" s="35">
        <f>IF($F158="","",IFERROR(INDEX(사건마스터!$AJ$5:$AJ$64,MATCH($F158,사건마스터!$A$5:$A$64,0)),""))</f>
        <v/>
      </c>
      <c r="M158" s="35">
        <f>IF($F158="","",IFERROR(INDEX(사건마스터!$AK$5:$AK$64,MATCH($F158,사건마스터!$A$5:$A$64,0)),""))</f>
        <v/>
      </c>
      <c r="N158" s="35">
        <f>IF($F158="","",IFERROR(INDEX(사건마스터!$AL$5:$AL$64,MATCH($F158,사건마스터!$A$5:$A$64,0)),""))</f>
        <v/>
      </c>
      <c r="O158" s="35">
        <f>IF($F158="","",IFERROR(INDEX(사건마스터!$AM$5:$AM$64,MATCH($F158,사건마스터!$A$5:$A$64,0)),""))</f>
        <v/>
      </c>
      <c r="P158" s="35">
        <f>IF($F158="","",IFERROR(INDEX(사건마스터!$AN$5:$AN$64,MATCH($F158,사건마스터!$A$5:$A$64,0)),""))</f>
        <v/>
      </c>
      <c r="Q158" s="35">
        <f>IF($F158="","",IFERROR(INDEX(사건마스터!$AO$5:$AO$64,MATCH($F158,사건마스터!$A$5:$A$64,0)),""))</f>
        <v/>
      </c>
      <c r="R158" s="35">
        <f>IF($F158="","",IFERROR(INDEX(사건마스터!$AP$5:$AP$64,MATCH($F158,사건마스터!$A$5:$A$64,0)),""))</f>
        <v/>
      </c>
      <c r="S158" s="35">
        <f>IF($F158="","",IFERROR(INDEX(사건마스터!$AQ$5:$AQ$64,MATCH($F158,사건마스터!$A$5:$A$64,0)),""))</f>
        <v/>
      </c>
      <c r="T158" s="35">
        <f>IF($F158="","",IFERROR(INDEX(사건마스터!$AR$5:$AR$64,MATCH($F158,사건마스터!$A$5:$A$64,0)),""))</f>
        <v/>
      </c>
      <c r="U158" s="35">
        <f>IF($F158="","",IFERROR(INDEX(사건마스터!$AS$5:$AS$64,MATCH($F158,사건마스터!$A$5:$A$64,0)),""))</f>
        <v/>
      </c>
      <c r="V158" s="35">
        <f>IF($F158="","",IFERROR(INDEX(사건마스터!$AT$5:$AT$64,MATCH($F158,사건마스터!$A$5:$A$64,0)),""))</f>
        <v/>
      </c>
      <c r="W158" s="35">
        <f>IF($F158="","",IFERROR(INDEX(사건마스터!$AU$5:$AU$64,MATCH($F158,사건마스터!$A$5:$A$64,0)),""))</f>
        <v/>
      </c>
      <c r="X158" s="35">
        <f>IF($F158="","",IFERROR(INDEX(사건마스터!$AV$5:$AV$64,MATCH($F158,사건마스터!$A$5:$A$64,0)),""))</f>
        <v/>
      </c>
      <c r="Y158" s="30">
        <f>IF($I158="","",COUNTIF($I158:$X158,"?*"))</f>
        <v/>
      </c>
      <c r="Z158" s="33">
        <f>IF($I158="","",_xlfn.TEXTJOIN(", ",TRUE,$I158:$X158))</f>
        <v/>
      </c>
      <c r="AA158" s="34">
        <f>IF($I158="","",IFERROR(INDEX(코드설정!$D$5:$D$24,MATCH($I158,코드설정!$C$5:$C$24,0)),""))</f>
        <v/>
      </c>
      <c r="AB158" s="36" t="n"/>
      <c r="AC158" s="37" t="n"/>
      <c r="AD158" s="38" t="n"/>
      <c r="AE158" s="30">
        <f>IF(OR($B158="",$C158=""),"",$C158-$B158+1)</f>
        <v/>
      </c>
      <c r="AF158" s="32" t="n"/>
      <c r="AG158" s="36" t="n"/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3">
        <f>IF($F159="","",IFERROR(INDEX(사건마스터!$B$5:$B$64,MATCH($F159,사건마스터!$A$5:$A$64,0)),""))</f>
        <v/>
      </c>
      <c r="H159" s="34">
        <f>IF($F159="","",IFERROR(INDEX(사건마스터!$C$5:$C$64,MATCH($F159,사건마스터!$A$5:$A$64,0)),""))</f>
        <v/>
      </c>
      <c r="I159" s="35">
        <f>IF($F159="","",IFERROR(INDEX(사건마스터!$H$5:$H$64,MATCH($F159,사건마스터!$A$5:$A$64,0)),""))</f>
        <v/>
      </c>
      <c r="J159" s="35">
        <f>IF($F159="","",IFERROR(INDEX(사건마스터!$AH$5:$AH$64,MATCH($F159,사건마스터!$A$5:$A$64,0)),""))</f>
        <v/>
      </c>
      <c r="K159" s="35">
        <f>IF($F159="","",IFERROR(INDEX(사건마스터!$AI$5:$AI$64,MATCH($F159,사건마스터!$A$5:$A$64,0)),""))</f>
        <v/>
      </c>
      <c r="L159" s="35">
        <f>IF($F159="","",IFERROR(INDEX(사건마스터!$AJ$5:$AJ$64,MATCH($F159,사건마스터!$A$5:$A$64,0)),""))</f>
        <v/>
      </c>
      <c r="M159" s="35">
        <f>IF($F159="","",IFERROR(INDEX(사건마스터!$AK$5:$AK$64,MATCH($F159,사건마스터!$A$5:$A$64,0)),""))</f>
        <v/>
      </c>
      <c r="N159" s="35">
        <f>IF($F159="","",IFERROR(INDEX(사건마스터!$AL$5:$AL$64,MATCH($F159,사건마스터!$A$5:$A$64,0)),""))</f>
        <v/>
      </c>
      <c r="O159" s="35">
        <f>IF($F159="","",IFERROR(INDEX(사건마스터!$AM$5:$AM$64,MATCH($F159,사건마스터!$A$5:$A$64,0)),""))</f>
        <v/>
      </c>
      <c r="P159" s="35">
        <f>IF($F159="","",IFERROR(INDEX(사건마스터!$AN$5:$AN$64,MATCH($F159,사건마스터!$A$5:$A$64,0)),""))</f>
        <v/>
      </c>
      <c r="Q159" s="35">
        <f>IF($F159="","",IFERROR(INDEX(사건마스터!$AO$5:$AO$64,MATCH($F159,사건마스터!$A$5:$A$64,0)),""))</f>
        <v/>
      </c>
      <c r="R159" s="35">
        <f>IF($F159="","",IFERROR(INDEX(사건마스터!$AP$5:$AP$64,MATCH($F159,사건마스터!$A$5:$A$64,0)),""))</f>
        <v/>
      </c>
      <c r="S159" s="35">
        <f>IF($F159="","",IFERROR(INDEX(사건마스터!$AQ$5:$AQ$64,MATCH($F159,사건마스터!$A$5:$A$64,0)),""))</f>
        <v/>
      </c>
      <c r="T159" s="35">
        <f>IF($F159="","",IFERROR(INDEX(사건마스터!$AR$5:$AR$64,MATCH($F159,사건마스터!$A$5:$A$64,0)),""))</f>
        <v/>
      </c>
      <c r="U159" s="35">
        <f>IF($F159="","",IFERROR(INDEX(사건마스터!$AS$5:$AS$64,MATCH($F159,사건마스터!$A$5:$A$64,0)),""))</f>
        <v/>
      </c>
      <c r="V159" s="35">
        <f>IF($F159="","",IFERROR(INDEX(사건마스터!$AT$5:$AT$64,MATCH($F159,사건마스터!$A$5:$A$64,0)),""))</f>
        <v/>
      </c>
      <c r="W159" s="35">
        <f>IF($F159="","",IFERROR(INDEX(사건마스터!$AU$5:$AU$64,MATCH($F159,사건마스터!$A$5:$A$64,0)),""))</f>
        <v/>
      </c>
      <c r="X159" s="35">
        <f>IF($F159="","",IFERROR(INDEX(사건마스터!$AV$5:$AV$64,MATCH($F159,사건마스터!$A$5:$A$64,0)),""))</f>
        <v/>
      </c>
      <c r="Y159" s="30">
        <f>IF($I159="","",COUNTIF($I159:$X159,"?*"))</f>
        <v/>
      </c>
      <c r="Z159" s="33">
        <f>IF($I159="","",_xlfn.TEXTJOIN(", ",TRUE,$I159:$X159))</f>
        <v/>
      </c>
      <c r="AA159" s="34">
        <f>IF($I159="","",IFERROR(INDEX(코드설정!$D$5:$D$24,MATCH($I159,코드설정!$C$5:$C$24,0)),""))</f>
        <v/>
      </c>
      <c r="AB159" s="36" t="n"/>
      <c r="AC159" s="37" t="n"/>
      <c r="AD159" s="38" t="n"/>
      <c r="AE159" s="30">
        <f>IF(OR($B159="",$C159=""),"",$C159-$B159+1)</f>
        <v/>
      </c>
      <c r="AF159" s="32" t="n"/>
      <c r="AG159" s="36" t="n"/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3">
        <f>IF($F160="","",IFERROR(INDEX(사건마스터!$B$5:$B$64,MATCH($F160,사건마스터!$A$5:$A$64,0)),""))</f>
        <v/>
      </c>
      <c r="H160" s="34">
        <f>IF($F160="","",IFERROR(INDEX(사건마스터!$C$5:$C$64,MATCH($F160,사건마스터!$A$5:$A$64,0)),""))</f>
        <v/>
      </c>
      <c r="I160" s="35">
        <f>IF($F160="","",IFERROR(INDEX(사건마스터!$H$5:$H$64,MATCH($F160,사건마스터!$A$5:$A$64,0)),""))</f>
        <v/>
      </c>
      <c r="J160" s="35">
        <f>IF($F160="","",IFERROR(INDEX(사건마스터!$AH$5:$AH$64,MATCH($F160,사건마스터!$A$5:$A$64,0)),""))</f>
        <v/>
      </c>
      <c r="K160" s="35">
        <f>IF($F160="","",IFERROR(INDEX(사건마스터!$AI$5:$AI$64,MATCH($F160,사건마스터!$A$5:$A$64,0)),""))</f>
        <v/>
      </c>
      <c r="L160" s="35">
        <f>IF($F160="","",IFERROR(INDEX(사건마스터!$AJ$5:$AJ$64,MATCH($F160,사건마스터!$A$5:$A$64,0)),""))</f>
        <v/>
      </c>
      <c r="M160" s="35">
        <f>IF($F160="","",IFERROR(INDEX(사건마스터!$AK$5:$AK$64,MATCH($F160,사건마스터!$A$5:$A$64,0)),""))</f>
        <v/>
      </c>
      <c r="N160" s="35">
        <f>IF($F160="","",IFERROR(INDEX(사건마스터!$AL$5:$AL$64,MATCH($F160,사건마스터!$A$5:$A$64,0)),""))</f>
        <v/>
      </c>
      <c r="O160" s="35">
        <f>IF($F160="","",IFERROR(INDEX(사건마스터!$AM$5:$AM$64,MATCH($F160,사건마스터!$A$5:$A$64,0)),""))</f>
        <v/>
      </c>
      <c r="P160" s="35">
        <f>IF($F160="","",IFERROR(INDEX(사건마스터!$AN$5:$AN$64,MATCH($F160,사건마스터!$A$5:$A$64,0)),""))</f>
        <v/>
      </c>
      <c r="Q160" s="35">
        <f>IF($F160="","",IFERROR(INDEX(사건마스터!$AO$5:$AO$64,MATCH($F160,사건마스터!$A$5:$A$64,0)),""))</f>
        <v/>
      </c>
      <c r="R160" s="35">
        <f>IF($F160="","",IFERROR(INDEX(사건마스터!$AP$5:$AP$64,MATCH($F160,사건마스터!$A$5:$A$64,0)),""))</f>
        <v/>
      </c>
      <c r="S160" s="35">
        <f>IF($F160="","",IFERROR(INDEX(사건마스터!$AQ$5:$AQ$64,MATCH($F160,사건마스터!$A$5:$A$64,0)),""))</f>
        <v/>
      </c>
      <c r="T160" s="35">
        <f>IF($F160="","",IFERROR(INDEX(사건마스터!$AR$5:$AR$64,MATCH($F160,사건마스터!$A$5:$A$64,0)),""))</f>
        <v/>
      </c>
      <c r="U160" s="35">
        <f>IF($F160="","",IFERROR(INDEX(사건마스터!$AS$5:$AS$64,MATCH($F160,사건마스터!$A$5:$A$64,0)),""))</f>
        <v/>
      </c>
      <c r="V160" s="35">
        <f>IF($F160="","",IFERROR(INDEX(사건마스터!$AT$5:$AT$64,MATCH($F160,사건마스터!$A$5:$A$64,0)),""))</f>
        <v/>
      </c>
      <c r="W160" s="35">
        <f>IF($F160="","",IFERROR(INDEX(사건마스터!$AU$5:$AU$64,MATCH($F160,사건마스터!$A$5:$A$64,0)),""))</f>
        <v/>
      </c>
      <c r="X160" s="35">
        <f>IF($F160="","",IFERROR(INDEX(사건마스터!$AV$5:$AV$64,MATCH($F160,사건마스터!$A$5:$A$64,0)),""))</f>
        <v/>
      </c>
      <c r="Y160" s="30">
        <f>IF($I160="","",COUNTIF($I160:$X160,"?*"))</f>
        <v/>
      </c>
      <c r="Z160" s="33">
        <f>IF($I160="","",_xlfn.TEXTJOIN(", ",TRUE,$I160:$X160))</f>
        <v/>
      </c>
      <c r="AA160" s="34">
        <f>IF($I160="","",IFERROR(INDEX(코드설정!$D$5:$D$24,MATCH($I160,코드설정!$C$5:$C$24,0)),""))</f>
        <v/>
      </c>
      <c r="AB160" s="36" t="n"/>
      <c r="AC160" s="37" t="n"/>
      <c r="AD160" s="38" t="n"/>
      <c r="AE160" s="30">
        <f>IF(OR($B160="",$C160=""),"",$C160-$B160+1)</f>
        <v/>
      </c>
      <c r="AF160" s="32" t="n"/>
      <c r="AG160" s="36" t="n"/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3">
        <f>IF($F161="","",IFERROR(INDEX(사건마스터!$B$5:$B$64,MATCH($F161,사건마스터!$A$5:$A$64,0)),""))</f>
        <v/>
      </c>
      <c r="H161" s="34">
        <f>IF($F161="","",IFERROR(INDEX(사건마스터!$C$5:$C$64,MATCH($F161,사건마스터!$A$5:$A$64,0)),""))</f>
        <v/>
      </c>
      <c r="I161" s="35">
        <f>IF($F161="","",IFERROR(INDEX(사건마스터!$H$5:$H$64,MATCH($F161,사건마스터!$A$5:$A$64,0)),""))</f>
        <v/>
      </c>
      <c r="J161" s="35">
        <f>IF($F161="","",IFERROR(INDEX(사건마스터!$AH$5:$AH$64,MATCH($F161,사건마스터!$A$5:$A$64,0)),""))</f>
        <v/>
      </c>
      <c r="K161" s="35">
        <f>IF($F161="","",IFERROR(INDEX(사건마스터!$AI$5:$AI$64,MATCH($F161,사건마스터!$A$5:$A$64,0)),""))</f>
        <v/>
      </c>
      <c r="L161" s="35">
        <f>IF($F161="","",IFERROR(INDEX(사건마스터!$AJ$5:$AJ$64,MATCH($F161,사건마스터!$A$5:$A$64,0)),""))</f>
        <v/>
      </c>
      <c r="M161" s="35">
        <f>IF($F161="","",IFERROR(INDEX(사건마스터!$AK$5:$AK$64,MATCH($F161,사건마스터!$A$5:$A$64,0)),""))</f>
        <v/>
      </c>
      <c r="N161" s="35">
        <f>IF($F161="","",IFERROR(INDEX(사건마스터!$AL$5:$AL$64,MATCH($F161,사건마스터!$A$5:$A$64,0)),""))</f>
        <v/>
      </c>
      <c r="O161" s="35">
        <f>IF($F161="","",IFERROR(INDEX(사건마스터!$AM$5:$AM$64,MATCH($F161,사건마스터!$A$5:$A$64,0)),""))</f>
        <v/>
      </c>
      <c r="P161" s="35">
        <f>IF($F161="","",IFERROR(INDEX(사건마스터!$AN$5:$AN$64,MATCH($F161,사건마스터!$A$5:$A$64,0)),""))</f>
        <v/>
      </c>
      <c r="Q161" s="35">
        <f>IF($F161="","",IFERROR(INDEX(사건마스터!$AO$5:$AO$64,MATCH($F161,사건마스터!$A$5:$A$64,0)),""))</f>
        <v/>
      </c>
      <c r="R161" s="35">
        <f>IF($F161="","",IFERROR(INDEX(사건마스터!$AP$5:$AP$64,MATCH($F161,사건마스터!$A$5:$A$64,0)),""))</f>
        <v/>
      </c>
      <c r="S161" s="35">
        <f>IF($F161="","",IFERROR(INDEX(사건마스터!$AQ$5:$AQ$64,MATCH($F161,사건마스터!$A$5:$A$64,0)),""))</f>
        <v/>
      </c>
      <c r="T161" s="35">
        <f>IF($F161="","",IFERROR(INDEX(사건마스터!$AR$5:$AR$64,MATCH($F161,사건마스터!$A$5:$A$64,0)),""))</f>
        <v/>
      </c>
      <c r="U161" s="35">
        <f>IF($F161="","",IFERROR(INDEX(사건마스터!$AS$5:$AS$64,MATCH($F161,사건마스터!$A$5:$A$64,0)),""))</f>
        <v/>
      </c>
      <c r="V161" s="35">
        <f>IF($F161="","",IFERROR(INDEX(사건마스터!$AT$5:$AT$64,MATCH($F161,사건마스터!$A$5:$A$64,0)),""))</f>
        <v/>
      </c>
      <c r="W161" s="35">
        <f>IF($F161="","",IFERROR(INDEX(사건마스터!$AU$5:$AU$64,MATCH($F161,사건마스터!$A$5:$A$64,0)),""))</f>
        <v/>
      </c>
      <c r="X161" s="35">
        <f>IF($F161="","",IFERROR(INDEX(사건마스터!$AV$5:$AV$64,MATCH($F161,사건마스터!$A$5:$A$64,0)),""))</f>
        <v/>
      </c>
      <c r="Y161" s="30">
        <f>IF($I161="","",COUNTIF($I161:$X161,"?*"))</f>
        <v/>
      </c>
      <c r="Z161" s="33">
        <f>IF($I161="","",_xlfn.TEXTJOIN(", ",TRUE,$I161:$X161))</f>
        <v/>
      </c>
      <c r="AA161" s="34">
        <f>IF($I161="","",IFERROR(INDEX(코드설정!$D$5:$D$24,MATCH($I161,코드설정!$C$5:$C$24,0)),""))</f>
        <v/>
      </c>
      <c r="AB161" s="36" t="n"/>
      <c r="AC161" s="37" t="n"/>
      <c r="AD161" s="38" t="n"/>
      <c r="AE161" s="30">
        <f>IF(OR($B161="",$C161=""),"",$C161-$B161+1)</f>
        <v/>
      </c>
      <c r="AF161" s="32" t="n"/>
      <c r="AG161" s="36" t="n"/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3">
        <f>IF($F162="","",IFERROR(INDEX(사건마스터!$B$5:$B$64,MATCH($F162,사건마스터!$A$5:$A$64,0)),""))</f>
        <v/>
      </c>
      <c r="H162" s="34">
        <f>IF($F162="","",IFERROR(INDEX(사건마스터!$C$5:$C$64,MATCH($F162,사건마스터!$A$5:$A$64,0)),""))</f>
        <v/>
      </c>
      <c r="I162" s="35">
        <f>IF($F162="","",IFERROR(INDEX(사건마스터!$H$5:$H$64,MATCH($F162,사건마스터!$A$5:$A$64,0)),""))</f>
        <v/>
      </c>
      <c r="J162" s="35">
        <f>IF($F162="","",IFERROR(INDEX(사건마스터!$AH$5:$AH$64,MATCH($F162,사건마스터!$A$5:$A$64,0)),""))</f>
        <v/>
      </c>
      <c r="K162" s="35">
        <f>IF($F162="","",IFERROR(INDEX(사건마스터!$AI$5:$AI$64,MATCH($F162,사건마스터!$A$5:$A$64,0)),""))</f>
        <v/>
      </c>
      <c r="L162" s="35">
        <f>IF($F162="","",IFERROR(INDEX(사건마스터!$AJ$5:$AJ$64,MATCH($F162,사건마스터!$A$5:$A$64,0)),""))</f>
        <v/>
      </c>
      <c r="M162" s="35">
        <f>IF($F162="","",IFERROR(INDEX(사건마스터!$AK$5:$AK$64,MATCH($F162,사건마스터!$A$5:$A$64,0)),""))</f>
        <v/>
      </c>
      <c r="N162" s="35">
        <f>IF($F162="","",IFERROR(INDEX(사건마스터!$AL$5:$AL$64,MATCH($F162,사건마스터!$A$5:$A$64,0)),""))</f>
        <v/>
      </c>
      <c r="O162" s="35">
        <f>IF($F162="","",IFERROR(INDEX(사건마스터!$AM$5:$AM$64,MATCH($F162,사건마스터!$A$5:$A$64,0)),""))</f>
        <v/>
      </c>
      <c r="P162" s="35">
        <f>IF($F162="","",IFERROR(INDEX(사건마스터!$AN$5:$AN$64,MATCH($F162,사건마스터!$A$5:$A$64,0)),""))</f>
        <v/>
      </c>
      <c r="Q162" s="35">
        <f>IF($F162="","",IFERROR(INDEX(사건마스터!$AO$5:$AO$64,MATCH($F162,사건마스터!$A$5:$A$64,0)),""))</f>
        <v/>
      </c>
      <c r="R162" s="35">
        <f>IF($F162="","",IFERROR(INDEX(사건마스터!$AP$5:$AP$64,MATCH($F162,사건마스터!$A$5:$A$64,0)),""))</f>
        <v/>
      </c>
      <c r="S162" s="35">
        <f>IF($F162="","",IFERROR(INDEX(사건마스터!$AQ$5:$AQ$64,MATCH($F162,사건마스터!$A$5:$A$64,0)),""))</f>
        <v/>
      </c>
      <c r="T162" s="35">
        <f>IF($F162="","",IFERROR(INDEX(사건마스터!$AR$5:$AR$64,MATCH($F162,사건마스터!$A$5:$A$64,0)),""))</f>
        <v/>
      </c>
      <c r="U162" s="35">
        <f>IF($F162="","",IFERROR(INDEX(사건마스터!$AS$5:$AS$64,MATCH($F162,사건마스터!$A$5:$A$64,0)),""))</f>
        <v/>
      </c>
      <c r="V162" s="35">
        <f>IF($F162="","",IFERROR(INDEX(사건마스터!$AT$5:$AT$64,MATCH($F162,사건마스터!$A$5:$A$64,0)),""))</f>
        <v/>
      </c>
      <c r="W162" s="35">
        <f>IF($F162="","",IFERROR(INDEX(사건마스터!$AU$5:$AU$64,MATCH($F162,사건마스터!$A$5:$A$64,0)),""))</f>
        <v/>
      </c>
      <c r="X162" s="35">
        <f>IF($F162="","",IFERROR(INDEX(사건마스터!$AV$5:$AV$64,MATCH($F162,사건마스터!$A$5:$A$64,0)),""))</f>
        <v/>
      </c>
      <c r="Y162" s="30">
        <f>IF($I162="","",COUNTIF($I162:$X162,"?*"))</f>
        <v/>
      </c>
      <c r="Z162" s="33">
        <f>IF($I162="","",_xlfn.TEXTJOIN(", ",TRUE,$I162:$X162))</f>
        <v/>
      </c>
      <c r="AA162" s="34">
        <f>IF($I162="","",IFERROR(INDEX(코드설정!$D$5:$D$24,MATCH($I162,코드설정!$C$5:$C$24,0)),""))</f>
        <v/>
      </c>
      <c r="AB162" s="36" t="n"/>
      <c r="AC162" s="37" t="n"/>
      <c r="AD162" s="38" t="n"/>
      <c r="AE162" s="30">
        <f>IF(OR($B162="",$C162=""),"",$C162-$B162+1)</f>
        <v/>
      </c>
      <c r="AF162" s="32" t="n"/>
      <c r="AG162" s="36" t="n"/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3">
        <f>IF($F163="","",IFERROR(INDEX(사건마스터!$B$5:$B$64,MATCH($F163,사건마스터!$A$5:$A$64,0)),""))</f>
        <v/>
      </c>
      <c r="H163" s="34">
        <f>IF($F163="","",IFERROR(INDEX(사건마스터!$C$5:$C$64,MATCH($F163,사건마스터!$A$5:$A$64,0)),""))</f>
        <v/>
      </c>
      <c r="I163" s="35">
        <f>IF($F163="","",IFERROR(INDEX(사건마스터!$H$5:$H$64,MATCH($F163,사건마스터!$A$5:$A$64,0)),""))</f>
        <v/>
      </c>
      <c r="J163" s="35">
        <f>IF($F163="","",IFERROR(INDEX(사건마스터!$AH$5:$AH$64,MATCH($F163,사건마스터!$A$5:$A$64,0)),""))</f>
        <v/>
      </c>
      <c r="K163" s="35">
        <f>IF($F163="","",IFERROR(INDEX(사건마스터!$AI$5:$AI$64,MATCH($F163,사건마스터!$A$5:$A$64,0)),""))</f>
        <v/>
      </c>
      <c r="L163" s="35">
        <f>IF($F163="","",IFERROR(INDEX(사건마스터!$AJ$5:$AJ$64,MATCH($F163,사건마스터!$A$5:$A$64,0)),""))</f>
        <v/>
      </c>
      <c r="M163" s="35">
        <f>IF($F163="","",IFERROR(INDEX(사건마스터!$AK$5:$AK$64,MATCH($F163,사건마스터!$A$5:$A$64,0)),""))</f>
        <v/>
      </c>
      <c r="N163" s="35">
        <f>IF($F163="","",IFERROR(INDEX(사건마스터!$AL$5:$AL$64,MATCH($F163,사건마스터!$A$5:$A$64,0)),""))</f>
        <v/>
      </c>
      <c r="O163" s="35">
        <f>IF($F163="","",IFERROR(INDEX(사건마스터!$AM$5:$AM$64,MATCH($F163,사건마스터!$A$5:$A$64,0)),""))</f>
        <v/>
      </c>
      <c r="P163" s="35">
        <f>IF($F163="","",IFERROR(INDEX(사건마스터!$AN$5:$AN$64,MATCH($F163,사건마스터!$A$5:$A$64,0)),""))</f>
        <v/>
      </c>
      <c r="Q163" s="35">
        <f>IF($F163="","",IFERROR(INDEX(사건마스터!$AO$5:$AO$64,MATCH($F163,사건마스터!$A$5:$A$64,0)),""))</f>
        <v/>
      </c>
      <c r="R163" s="35">
        <f>IF($F163="","",IFERROR(INDEX(사건마스터!$AP$5:$AP$64,MATCH($F163,사건마스터!$A$5:$A$64,0)),""))</f>
        <v/>
      </c>
      <c r="S163" s="35">
        <f>IF($F163="","",IFERROR(INDEX(사건마스터!$AQ$5:$AQ$64,MATCH($F163,사건마스터!$A$5:$A$64,0)),""))</f>
        <v/>
      </c>
      <c r="T163" s="35">
        <f>IF($F163="","",IFERROR(INDEX(사건마스터!$AR$5:$AR$64,MATCH($F163,사건마스터!$A$5:$A$64,0)),""))</f>
        <v/>
      </c>
      <c r="U163" s="35">
        <f>IF($F163="","",IFERROR(INDEX(사건마스터!$AS$5:$AS$64,MATCH($F163,사건마스터!$A$5:$A$64,0)),""))</f>
        <v/>
      </c>
      <c r="V163" s="35">
        <f>IF($F163="","",IFERROR(INDEX(사건마스터!$AT$5:$AT$64,MATCH($F163,사건마스터!$A$5:$A$64,0)),""))</f>
        <v/>
      </c>
      <c r="W163" s="35">
        <f>IF($F163="","",IFERROR(INDEX(사건마스터!$AU$5:$AU$64,MATCH($F163,사건마스터!$A$5:$A$64,0)),""))</f>
        <v/>
      </c>
      <c r="X163" s="35">
        <f>IF($F163="","",IFERROR(INDEX(사건마스터!$AV$5:$AV$64,MATCH($F163,사건마스터!$A$5:$A$64,0)),""))</f>
        <v/>
      </c>
      <c r="Y163" s="30">
        <f>IF($I163="","",COUNTIF($I163:$X163,"?*"))</f>
        <v/>
      </c>
      <c r="Z163" s="33">
        <f>IF($I163="","",_xlfn.TEXTJOIN(", ",TRUE,$I163:$X163))</f>
        <v/>
      </c>
      <c r="AA163" s="34">
        <f>IF($I163="","",IFERROR(INDEX(코드설정!$D$5:$D$24,MATCH($I163,코드설정!$C$5:$C$24,0)),""))</f>
        <v/>
      </c>
      <c r="AB163" s="36" t="n"/>
      <c r="AC163" s="37" t="n"/>
      <c r="AD163" s="38" t="n"/>
      <c r="AE163" s="30">
        <f>IF(OR($B163="",$C163=""),"",$C163-$B163+1)</f>
        <v/>
      </c>
      <c r="AF163" s="32" t="n"/>
      <c r="AG163" s="36" t="n"/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3">
        <f>IF($F164="","",IFERROR(INDEX(사건마스터!$B$5:$B$64,MATCH($F164,사건마스터!$A$5:$A$64,0)),""))</f>
        <v/>
      </c>
      <c r="H164" s="34">
        <f>IF($F164="","",IFERROR(INDEX(사건마스터!$C$5:$C$64,MATCH($F164,사건마스터!$A$5:$A$64,0)),""))</f>
        <v/>
      </c>
      <c r="I164" s="35">
        <f>IF($F164="","",IFERROR(INDEX(사건마스터!$H$5:$H$64,MATCH($F164,사건마스터!$A$5:$A$64,0)),""))</f>
        <v/>
      </c>
      <c r="J164" s="35">
        <f>IF($F164="","",IFERROR(INDEX(사건마스터!$AH$5:$AH$64,MATCH($F164,사건마스터!$A$5:$A$64,0)),""))</f>
        <v/>
      </c>
      <c r="K164" s="35">
        <f>IF($F164="","",IFERROR(INDEX(사건마스터!$AI$5:$AI$64,MATCH($F164,사건마스터!$A$5:$A$64,0)),""))</f>
        <v/>
      </c>
      <c r="L164" s="35">
        <f>IF($F164="","",IFERROR(INDEX(사건마스터!$AJ$5:$AJ$64,MATCH($F164,사건마스터!$A$5:$A$64,0)),""))</f>
        <v/>
      </c>
      <c r="M164" s="35">
        <f>IF($F164="","",IFERROR(INDEX(사건마스터!$AK$5:$AK$64,MATCH($F164,사건마스터!$A$5:$A$64,0)),""))</f>
        <v/>
      </c>
      <c r="N164" s="35">
        <f>IF($F164="","",IFERROR(INDEX(사건마스터!$AL$5:$AL$64,MATCH($F164,사건마스터!$A$5:$A$64,0)),""))</f>
        <v/>
      </c>
      <c r="O164" s="35">
        <f>IF($F164="","",IFERROR(INDEX(사건마스터!$AM$5:$AM$64,MATCH($F164,사건마스터!$A$5:$A$64,0)),""))</f>
        <v/>
      </c>
      <c r="P164" s="35">
        <f>IF($F164="","",IFERROR(INDEX(사건마스터!$AN$5:$AN$64,MATCH($F164,사건마스터!$A$5:$A$64,0)),""))</f>
        <v/>
      </c>
      <c r="Q164" s="35">
        <f>IF($F164="","",IFERROR(INDEX(사건마스터!$AO$5:$AO$64,MATCH($F164,사건마스터!$A$5:$A$64,0)),""))</f>
        <v/>
      </c>
      <c r="R164" s="35">
        <f>IF($F164="","",IFERROR(INDEX(사건마스터!$AP$5:$AP$64,MATCH($F164,사건마스터!$A$5:$A$64,0)),""))</f>
        <v/>
      </c>
      <c r="S164" s="35">
        <f>IF($F164="","",IFERROR(INDEX(사건마스터!$AQ$5:$AQ$64,MATCH($F164,사건마스터!$A$5:$A$64,0)),""))</f>
        <v/>
      </c>
      <c r="T164" s="35">
        <f>IF($F164="","",IFERROR(INDEX(사건마스터!$AR$5:$AR$64,MATCH($F164,사건마스터!$A$5:$A$64,0)),""))</f>
        <v/>
      </c>
      <c r="U164" s="35">
        <f>IF($F164="","",IFERROR(INDEX(사건마스터!$AS$5:$AS$64,MATCH($F164,사건마스터!$A$5:$A$64,0)),""))</f>
        <v/>
      </c>
      <c r="V164" s="35">
        <f>IF($F164="","",IFERROR(INDEX(사건마스터!$AT$5:$AT$64,MATCH($F164,사건마스터!$A$5:$A$64,0)),""))</f>
        <v/>
      </c>
      <c r="W164" s="35">
        <f>IF($F164="","",IFERROR(INDEX(사건마스터!$AU$5:$AU$64,MATCH($F164,사건마스터!$A$5:$A$64,0)),""))</f>
        <v/>
      </c>
      <c r="X164" s="35">
        <f>IF($F164="","",IFERROR(INDEX(사건마스터!$AV$5:$AV$64,MATCH($F164,사건마스터!$A$5:$A$64,0)),""))</f>
        <v/>
      </c>
      <c r="Y164" s="30">
        <f>IF($I164="","",COUNTIF($I164:$X164,"?*"))</f>
        <v/>
      </c>
      <c r="Z164" s="33">
        <f>IF($I164="","",_xlfn.TEXTJOIN(", ",TRUE,$I164:$X164))</f>
        <v/>
      </c>
      <c r="AA164" s="34">
        <f>IF($I164="","",IFERROR(INDEX(코드설정!$D$5:$D$24,MATCH($I164,코드설정!$C$5:$C$24,0)),""))</f>
        <v/>
      </c>
      <c r="AB164" s="36" t="n"/>
      <c r="AC164" s="37" t="n"/>
      <c r="AD164" s="38" t="n"/>
      <c r="AE164" s="30">
        <f>IF(OR($B164="",$C164=""),"",$C164-$B164+1)</f>
        <v/>
      </c>
      <c r="AF164" s="32" t="n"/>
      <c r="AG164" s="36" t="n"/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3">
        <f>IF($F165="","",IFERROR(INDEX(사건마스터!$B$5:$B$64,MATCH($F165,사건마스터!$A$5:$A$64,0)),""))</f>
        <v/>
      </c>
      <c r="H165" s="34">
        <f>IF($F165="","",IFERROR(INDEX(사건마스터!$C$5:$C$64,MATCH($F165,사건마스터!$A$5:$A$64,0)),""))</f>
        <v/>
      </c>
      <c r="I165" s="35">
        <f>IF($F165="","",IFERROR(INDEX(사건마스터!$H$5:$H$64,MATCH($F165,사건마스터!$A$5:$A$64,0)),""))</f>
        <v/>
      </c>
      <c r="J165" s="35">
        <f>IF($F165="","",IFERROR(INDEX(사건마스터!$AH$5:$AH$64,MATCH($F165,사건마스터!$A$5:$A$64,0)),""))</f>
        <v/>
      </c>
      <c r="K165" s="35">
        <f>IF($F165="","",IFERROR(INDEX(사건마스터!$AI$5:$AI$64,MATCH($F165,사건마스터!$A$5:$A$64,0)),""))</f>
        <v/>
      </c>
      <c r="L165" s="35">
        <f>IF($F165="","",IFERROR(INDEX(사건마스터!$AJ$5:$AJ$64,MATCH($F165,사건마스터!$A$5:$A$64,0)),""))</f>
        <v/>
      </c>
      <c r="M165" s="35">
        <f>IF($F165="","",IFERROR(INDEX(사건마스터!$AK$5:$AK$64,MATCH($F165,사건마스터!$A$5:$A$64,0)),""))</f>
        <v/>
      </c>
      <c r="N165" s="35">
        <f>IF($F165="","",IFERROR(INDEX(사건마스터!$AL$5:$AL$64,MATCH($F165,사건마스터!$A$5:$A$64,0)),""))</f>
        <v/>
      </c>
      <c r="O165" s="35">
        <f>IF($F165="","",IFERROR(INDEX(사건마스터!$AM$5:$AM$64,MATCH($F165,사건마스터!$A$5:$A$64,0)),""))</f>
        <v/>
      </c>
      <c r="P165" s="35">
        <f>IF($F165="","",IFERROR(INDEX(사건마스터!$AN$5:$AN$64,MATCH($F165,사건마스터!$A$5:$A$64,0)),""))</f>
        <v/>
      </c>
      <c r="Q165" s="35">
        <f>IF($F165="","",IFERROR(INDEX(사건마스터!$AO$5:$AO$64,MATCH($F165,사건마스터!$A$5:$A$64,0)),""))</f>
        <v/>
      </c>
      <c r="R165" s="35">
        <f>IF($F165="","",IFERROR(INDEX(사건마스터!$AP$5:$AP$64,MATCH($F165,사건마스터!$A$5:$A$64,0)),""))</f>
        <v/>
      </c>
      <c r="S165" s="35">
        <f>IF($F165="","",IFERROR(INDEX(사건마스터!$AQ$5:$AQ$64,MATCH($F165,사건마스터!$A$5:$A$64,0)),""))</f>
        <v/>
      </c>
      <c r="T165" s="35">
        <f>IF($F165="","",IFERROR(INDEX(사건마스터!$AR$5:$AR$64,MATCH($F165,사건마스터!$A$5:$A$64,0)),""))</f>
        <v/>
      </c>
      <c r="U165" s="35">
        <f>IF($F165="","",IFERROR(INDEX(사건마스터!$AS$5:$AS$64,MATCH($F165,사건마스터!$A$5:$A$64,0)),""))</f>
        <v/>
      </c>
      <c r="V165" s="35">
        <f>IF($F165="","",IFERROR(INDEX(사건마스터!$AT$5:$AT$64,MATCH($F165,사건마스터!$A$5:$A$64,0)),""))</f>
        <v/>
      </c>
      <c r="W165" s="35">
        <f>IF($F165="","",IFERROR(INDEX(사건마스터!$AU$5:$AU$64,MATCH($F165,사건마스터!$A$5:$A$64,0)),""))</f>
        <v/>
      </c>
      <c r="X165" s="35">
        <f>IF($F165="","",IFERROR(INDEX(사건마스터!$AV$5:$AV$64,MATCH($F165,사건마스터!$A$5:$A$64,0)),""))</f>
        <v/>
      </c>
      <c r="Y165" s="30">
        <f>IF($I165="","",COUNTIF($I165:$X165,"?*"))</f>
        <v/>
      </c>
      <c r="Z165" s="33">
        <f>IF($I165="","",_xlfn.TEXTJOIN(", ",TRUE,$I165:$X165))</f>
        <v/>
      </c>
      <c r="AA165" s="34">
        <f>IF($I165="","",IFERROR(INDEX(코드설정!$D$5:$D$24,MATCH($I165,코드설정!$C$5:$C$24,0)),""))</f>
        <v/>
      </c>
      <c r="AB165" s="36" t="n"/>
      <c r="AC165" s="37" t="n"/>
      <c r="AD165" s="38" t="n"/>
      <c r="AE165" s="30">
        <f>IF(OR($B165="",$C165=""),"",$C165-$B165+1)</f>
        <v/>
      </c>
      <c r="AF165" s="32" t="n"/>
      <c r="AG165" s="36" t="n"/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3">
        <f>IF($F166="","",IFERROR(INDEX(사건마스터!$B$5:$B$64,MATCH($F166,사건마스터!$A$5:$A$64,0)),""))</f>
        <v/>
      </c>
      <c r="H166" s="34">
        <f>IF($F166="","",IFERROR(INDEX(사건마스터!$C$5:$C$64,MATCH($F166,사건마스터!$A$5:$A$64,0)),""))</f>
        <v/>
      </c>
      <c r="I166" s="35">
        <f>IF($F166="","",IFERROR(INDEX(사건마스터!$H$5:$H$64,MATCH($F166,사건마스터!$A$5:$A$64,0)),""))</f>
        <v/>
      </c>
      <c r="J166" s="35">
        <f>IF($F166="","",IFERROR(INDEX(사건마스터!$AH$5:$AH$64,MATCH($F166,사건마스터!$A$5:$A$64,0)),""))</f>
        <v/>
      </c>
      <c r="K166" s="35">
        <f>IF($F166="","",IFERROR(INDEX(사건마스터!$AI$5:$AI$64,MATCH($F166,사건마스터!$A$5:$A$64,0)),""))</f>
        <v/>
      </c>
      <c r="L166" s="35">
        <f>IF($F166="","",IFERROR(INDEX(사건마스터!$AJ$5:$AJ$64,MATCH($F166,사건마스터!$A$5:$A$64,0)),""))</f>
        <v/>
      </c>
      <c r="M166" s="35">
        <f>IF($F166="","",IFERROR(INDEX(사건마스터!$AK$5:$AK$64,MATCH($F166,사건마스터!$A$5:$A$64,0)),""))</f>
        <v/>
      </c>
      <c r="N166" s="35">
        <f>IF($F166="","",IFERROR(INDEX(사건마스터!$AL$5:$AL$64,MATCH($F166,사건마스터!$A$5:$A$64,0)),""))</f>
        <v/>
      </c>
      <c r="O166" s="35">
        <f>IF($F166="","",IFERROR(INDEX(사건마스터!$AM$5:$AM$64,MATCH($F166,사건마스터!$A$5:$A$64,0)),""))</f>
        <v/>
      </c>
      <c r="P166" s="35">
        <f>IF($F166="","",IFERROR(INDEX(사건마스터!$AN$5:$AN$64,MATCH($F166,사건마스터!$A$5:$A$64,0)),""))</f>
        <v/>
      </c>
      <c r="Q166" s="35">
        <f>IF($F166="","",IFERROR(INDEX(사건마스터!$AO$5:$AO$64,MATCH($F166,사건마스터!$A$5:$A$64,0)),""))</f>
        <v/>
      </c>
      <c r="R166" s="35">
        <f>IF($F166="","",IFERROR(INDEX(사건마스터!$AP$5:$AP$64,MATCH($F166,사건마스터!$A$5:$A$64,0)),""))</f>
        <v/>
      </c>
      <c r="S166" s="35">
        <f>IF($F166="","",IFERROR(INDEX(사건마스터!$AQ$5:$AQ$64,MATCH($F166,사건마스터!$A$5:$A$64,0)),""))</f>
        <v/>
      </c>
      <c r="T166" s="35">
        <f>IF($F166="","",IFERROR(INDEX(사건마스터!$AR$5:$AR$64,MATCH($F166,사건마스터!$A$5:$A$64,0)),""))</f>
        <v/>
      </c>
      <c r="U166" s="35">
        <f>IF($F166="","",IFERROR(INDEX(사건마스터!$AS$5:$AS$64,MATCH($F166,사건마스터!$A$5:$A$64,0)),""))</f>
        <v/>
      </c>
      <c r="V166" s="35">
        <f>IF($F166="","",IFERROR(INDEX(사건마스터!$AT$5:$AT$64,MATCH($F166,사건마스터!$A$5:$A$64,0)),""))</f>
        <v/>
      </c>
      <c r="W166" s="35">
        <f>IF($F166="","",IFERROR(INDEX(사건마스터!$AU$5:$AU$64,MATCH($F166,사건마스터!$A$5:$A$64,0)),""))</f>
        <v/>
      </c>
      <c r="X166" s="35">
        <f>IF($F166="","",IFERROR(INDEX(사건마스터!$AV$5:$AV$64,MATCH($F166,사건마스터!$A$5:$A$64,0)),""))</f>
        <v/>
      </c>
      <c r="Y166" s="30">
        <f>IF($I166="","",COUNTIF($I166:$X166,"?*"))</f>
        <v/>
      </c>
      <c r="Z166" s="33">
        <f>IF($I166="","",_xlfn.TEXTJOIN(", ",TRUE,$I166:$X166))</f>
        <v/>
      </c>
      <c r="AA166" s="34">
        <f>IF($I166="","",IFERROR(INDEX(코드설정!$D$5:$D$24,MATCH($I166,코드설정!$C$5:$C$24,0)),""))</f>
        <v/>
      </c>
      <c r="AB166" s="36" t="n"/>
      <c r="AC166" s="37" t="n"/>
      <c r="AD166" s="38" t="n"/>
      <c r="AE166" s="30">
        <f>IF(OR($B166="",$C166=""),"",$C166-$B166+1)</f>
        <v/>
      </c>
      <c r="AF166" s="32" t="n"/>
      <c r="AG166" s="36" t="n"/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3">
        <f>IF($F167="","",IFERROR(INDEX(사건마스터!$B$5:$B$64,MATCH($F167,사건마스터!$A$5:$A$64,0)),""))</f>
        <v/>
      </c>
      <c r="H167" s="34">
        <f>IF($F167="","",IFERROR(INDEX(사건마스터!$C$5:$C$64,MATCH($F167,사건마스터!$A$5:$A$64,0)),""))</f>
        <v/>
      </c>
      <c r="I167" s="35">
        <f>IF($F167="","",IFERROR(INDEX(사건마스터!$H$5:$H$64,MATCH($F167,사건마스터!$A$5:$A$64,0)),""))</f>
        <v/>
      </c>
      <c r="J167" s="35">
        <f>IF($F167="","",IFERROR(INDEX(사건마스터!$AH$5:$AH$64,MATCH($F167,사건마스터!$A$5:$A$64,0)),""))</f>
        <v/>
      </c>
      <c r="K167" s="35">
        <f>IF($F167="","",IFERROR(INDEX(사건마스터!$AI$5:$AI$64,MATCH($F167,사건마스터!$A$5:$A$64,0)),""))</f>
        <v/>
      </c>
      <c r="L167" s="35">
        <f>IF($F167="","",IFERROR(INDEX(사건마스터!$AJ$5:$AJ$64,MATCH($F167,사건마스터!$A$5:$A$64,0)),""))</f>
        <v/>
      </c>
      <c r="M167" s="35">
        <f>IF($F167="","",IFERROR(INDEX(사건마스터!$AK$5:$AK$64,MATCH($F167,사건마스터!$A$5:$A$64,0)),""))</f>
        <v/>
      </c>
      <c r="N167" s="35">
        <f>IF($F167="","",IFERROR(INDEX(사건마스터!$AL$5:$AL$64,MATCH($F167,사건마스터!$A$5:$A$64,0)),""))</f>
        <v/>
      </c>
      <c r="O167" s="35">
        <f>IF($F167="","",IFERROR(INDEX(사건마스터!$AM$5:$AM$64,MATCH($F167,사건마스터!$A$5:$A$64,0)),""))</f>
        <v/>
      </c>
      <c r="P167" s="35">
        <f>IF($F167="","",IFERROR(INDEX(사건마스터!$AN$5:$AN$64,MATCH($F167,사건마스터!$A$5:$A$64,0)),""))</f>
        <v/>
      </c>
      <c r="Q167" s="35">
        <f>IF($F167="","",IFERROR(INDEX(사건마스터!$AO$5:$AO$64,MATCH($F167,사건마스터!$A$5:$A$64,0)),""))</f>
        <v/>
      </c>
      <c r="R167" s="35">
        <f>IF($F167="","",IFERROR(INDEX(사건마스터!$AP$5:$AP$64,MATCH($F167,사건마스터!$A$5:$A$64,0)),""))</f>
        <v/>
      </c>
      <c r="S167" s="35">
        <f>IF($F167="","",IFERROR(INDEX(사건마스터!$AQ$5:$AQ$64,MATCH($F167,사건마스터!$A$5:$A$64,0)),""))</f>
        <v/>
      </c>
      <c r="T167" s="35">
        <f>IF($F167="","",IFERROR(INDEX(사건마스터!$AR$5:$AR$64,MATCH($F167,사건마스터!$A$5:$A$64,0)),""))</f>
        <v/>
      </c>
      <c r="U167" s="35">
        <f>IF($F167="","",IFERROR(INDEX(사건마스터!$AS$5:$AS$64,MATCH($F167,사건마스터!$A$5:$A$64,0)),""))</f>
        <v/>
      </c>
      <c r="V167" s="35">
        <f>IF($F167="","",IFERROR(INDEX(사건마스터!$AT$5:$AT$64,MATCH($F167,사건마스터!$A$5:$A$64,0)),""))</f>
        <v/>
      </c>
      <c r="W167" s="35">
        <f>IF($F167="","",IFERROR(INDEX(사건마스터!$AU$5:$AU$64,MATCH($F167,사건마스터!$A$5:$A$64,0)),""))</f>
        <v/>
      </c>
      <c r="X167" s="35">
        <f>IF($F167="","",IFERROR(INDEX(사건마스터!$AV$5:$AV$64,MATCH($F167,사건마스터!$A$5:$A$64,0)),""))</f>
        <v/>
      </c>
      <c r="Y167" s="30">
        <f>IF($I167="","",COUNTIF($I167:$X167,"?*"))</f>
        <v/>
      </c>
      <c r="Z167" s="33">
        <f>IF($I167="","",_xlfn.TEXTJOIN(", ",TRUE,$I167:$X167))</f>
        <v/>
      </c>
      <c r="AA167" s="34">
        <f>IF($I167="","",IFERROR(INDEX(코드설정!$D$5:$D$24,MATCH($I167,코드설정!$C$5:$C$24,0)),""))</f>
        <v/>
      </c>
      <c r="AB167" s="36" t="n"/>
      <c r="AC167" s="37" t="n"/>
      <c r="AD167" s="38" t="n"/>
      <c r="AE167" s="30">
        <f>IF(OR($B167="",$C167=""),"",$C167-$B167+1)</f>
        <v/>
      </c>
      <c r="AF167" s="32" t="n"/>
      <c r="AG167" s="36" t="n"/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3">
        <f>IF($F168="","",IFERROR(INDEX(사건마스터!$B$5:$B$64,MATCH($F168,사건마스터!$A$5:$A$64,0)),""))</f>
        <v/>
      </c>
      <c r="H168" s="34">
        <f>IF($F168="","",IFERROR(INDEX(사건마스터!$C$5:$C$64,MATCH($F168,사건마스터!$A$5:$A$64,0)),""))</f>
        <v/>
      </c>
      <c r="I168" s="35">
        <f>IF($F168="","",IFERROR(INDEX(사건마스터!$H$5:$H$64,MATCH($F168,사건마스터!$A$5:$A$64,0)),""))</f>
        <v/>
      </c>
      <c r="J168" s="35">
        <f>IF($F168="","",IFERROR(INDEX(사건마스터!$AH$5:$AH$64,MATCH($F168,사건마스터!$A$5:$A$64,0)),""))</f>
        <v/>
      </c>
      <c r="K168" s="35">
        <f>IF($F168="","",IFERROR(INDEX(사건마스터!$AI$5:$AI$64,MATCH($F168,사건마스터!$A$5:$A$64,0)),""))</f>
        <v/>
      </c>
      <c r="L168" s="35">
        <f>IF($F168="","",IFERROR(INDEX(사건마스터!$AJ$5:$AJ$64,MATCH($F168,사건마스터!$A$5:$A$64,0)),""))</f>
        <v/>
      </c>
      <c r="M168" s="35">
        <f>IF($F168="","",IFERROR(INDEX(사건마스터!$AK$5:$AK$64,MATCH($F168,사건마스터!$A$5:$A$64,0)),""))</f>
        <v/>
      </c>
      <c r="N168" s="35">
        <f>IF($F168="","",IFERROR(INDEX(사건마스터!$AL$5:$AL$64,MATCH($F168,사건마스터!$A$5:$A$64,0)),""))</f>
        <v/>
      </c>
      <c r="O168" s="35">
        <f>IF($F168="","",IFERROR(INDEX(사건마스터!$AM$5:$AM$64,MATCH($F168,사건마스터!$A$5:$A$64,0)),""))</f>
        <v/>
      </c>
      <c r="P168" s="35">
        <f>IF($F168="","",IFERROR(INDEX(사건마스터!$AN$5:$AN$64,MATCH($F168,사건마스터!$A$5:$A$64,0)),""))</f>
        <v/>
      </c>
      <c r="Q168" s="35">
        <f>IF($F168="","",IFERROR(INDEX(사건마스터!$AO$5:$AO$64,MATCH($F168,사건마스터!$A$5:$A$64,0)),""))</f>
        <v/>
      </c>
      <c r="R168" s="35">
        <f>IF($F168="","",IFERROR(INDEX(사건마스터!$AP$5:$AP$64,MATCH($F168,사건마스터!$A$5:$A$64,0)),""))</f>
        <v/>
      </c>
      <c r="S168" s="35">
        <f>IF($F168="","",IFERROR(INDEX(사건마스터!$AQ$5:$AQ$64,MATCH($F168,사건마스터!$A$5:$A$64,0)),""))</f>
        <v/>
      </c>
      <c r="T168" s="35">
        <f>IF($F168="","",IFERROR(INDEX(사건마스터!$AR$5:$AR$64,MATCH($F168,사건마스터!$A$5:$A$64,0)),""))</f>
        <v/>
      </c>
      <c r="U168" s="35">
        <f>IF($F168="","",IFERROR(INDEX(사건마스터!$AS$5:$AS$64,MATCH($F168,사건마스터!$A$5:$A$64,0)),""))</f>
        <v/>
      </c>
      <c r="V168" s="35">
        <f>IF($F168="","",IFERROR(INDEX(사건마스터!$AT$5:$AT$64,MATCH($F168,사건마스터!$A$5:$A$64,0)),""))</f>
        <v/>
      </c>
      <c r="W168" s="35">
        <f>IF($F168="","",IFERROR(INDEX(사건마스터!$AU$5:$AU$64,MATCH($F168,사건마스터!$A$5:$A$64,0)),""))</f>
        <v/>
      </c>
      <c r="X168" s="35">
        <f>IF($F168="","",IFERROR(INDEX(사건마스터!$AV$5:$AV$64,MATCH($F168,사건마스터!$A$5:$A$64,0)),""))</f>
        <v/>
      </c>
      <c r="Y168" s="30">
        <f>IF($I168="","",COUNTIF($I168:$X168,"?*"))</f>
        <v/>
      </c>
      <c r="Z168" s="33">
        <f>IF($I168="","",_xlfn.TEXTJOIN(", ",TRUE,$I168:$X168))</f>
        <v/>
      </c>
      <c r="AA168" s="34">
        <f>IF($I168="","",IFERROR(INDEX(코드설정!$D$5:$D$24,MATCH($I168,코드설정!$C$5:$C$24,0)),""))</f>
        <v/>
      </c>
      <c r="AB168" s="36" t="n"/>
      <c r="AC168" s="37" t="n"/>
      <c r="AD168" s="38" t="n"/>
      <c r="AE168" s="30">
        <f>IF(OR($B168="",$C168=""),"",$C168-$B168+1)</f>
        <v/>
      </c>
      <c r="AF168" s="32" t="n"/>
      <c r="AG168" s="36" t="n"/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3">
        <f>IF($F169="","",IFERROR(INDEX(사건마스터!$B$5:$B$64,MATCH($F169,사건마스터!$A$5:$A$64,0)),""))</f>
        <v/>
      </c>
      <c r="H169" s="34">
        <f>IF($F169="","",IFERROR(INDEX(사건마스터!$C$5:$C$64,MATCH($F169,사건마스터!$A$5:$A$64,0)),""))</f>
        <v/>
      </c>
      <c r="I169" s="35">
        <f>IF($F169="","",IFERROR(INDEX(사건마스터!$H$5:$H$64,MATCH($F169,사건마스터!$A$5:$A$64,0)),""))</f>
        <v/>
      </c>
      <c r="J169" s="35">
        <f>IF($F169="","",IFERROR(INDEX(사건마스터!$AH$5:$AH$64,MATCH($F169,사건마스터!$A$5:$A$64,0)),""))</f>
        <v/>
      </c>
      <c r="K169" s="35">
        <f>IF($F169="","",IFERROR(INDEX(사건마스터!$AI$5:$AI$64,MATCH($F169,사건마스터!$A$5:$A$64,0)),""))</f>
        <v/>
      </c>
      <c r="L169" s="35">
        <f>IF($F169="","",IFERROR(INDEX(사건마스터!$AJ$5:$AJ$64,MATCH($F169,사건마스터!$A$5:$A$64,0)),""))</f>
        <v/>
      </c>
      <c r="M169" s="35">
        <f>IF($F169="","",IFERROR(INDEX(사건마스터!$AK$5:$AK$64,MATCH($F169,사건마스터!$A$5:$A$64,0)),""))</f>
        <v/>
      </c>
      <c r="N169" s="35">
        <f>IF($F169="","",IFERROR(INDEX(사건마스터!$AL$5:$AL$64,MATCH($F169,사건마스터!$A$5:$A$64,0)),""))</f>
        <v/>
      </c>
      <c r="O169" s="35">
        <f>IF($F169="","",IFERROR(INDEX(사건마스터!$AM$5:$AM$64,MATCH($F169,사건마스터!$A$5:$A$64,0)),""))</f>
        <v/>
      </c>
      <c r="P169" s="35">
        <f>IF($F169="","",IFERROR(INDEX(사건마스터!$AN$5:$AN$64,MATCH($F169,사건마스터!$A$5:$A$64,0)),""))</f>
        <v/>
      </c>
      <c r="Q169" s="35">
        <f>IF($F169="","",IFERROR(INDEX(사건마스터!$AO$5:$AO$64,MATCH($F169,사건마스터!$A$5:$A$64,0)),""))</f>
        <v/>
      </c>
      <c r="R169" s="35">
        <f>IF($F169="","",IFERROR(INDEX(사건마스터!$AP$5:$AP$64,MATCH($F169,사건마스터!$A$5:$A$64,0)),""))</f>
        <v/>
      </c>
      <c r="S169" s="35">
        <f>IF($F169="","",IFERROR(INDEX(사건마스터!$AQ$5:$AQ$64,MATCH($F169,사건마스터!$A$5:$A$64,0)),""))</f>
        <v/>
      </c>
      <c r="T169" s="35">
        <f>IF($F169="","",IFERROR(INDEX(사건마스터!$AR$5:$AR$64,MATCH($F169,사건마스터!$A$5:$A$64,0)),""))</f>
        <v/>
      </c>
      <c r="U169" s="35">
        <f>IF($F169="","",IFERROR(INDEX(사건마스터!$AS$5:$AS$64,MATCH($F169,사건마스터!$A$5:$A$64,0)),""))</f>
        <v/>
      </c>
      <c r="V169" s="35">
        <f>IF($F169="","",IFERROR(INDEX(사건마스터!$AT$5:$AT$64,MATCH($F169,사건마스터!$A$5:$A$64,0)),""))</f>
        <v/>
      </c>
      <c r="W169" s="35">
        <f>IF($F169="","",IFERROR(INDEX(사건마스터!$AU$5:$AU$64,MATCH($F169,사건마스터!$A$5:$A$64,0)),""))</f>
        <v/>
      </c>
      <c r="X169" s="35">
        <f>IF($F169="","",IFERROR(INDEX(사건마스터!$AV$5:$AV$64,MATCH($F169,사건마스터!$A$5:$A$64,0)),""))</f>
        <v/>
      </c>
      <c r="Y169" s="30">
        <f>IF($I169="","",COUNTIF($I169:$X169,"?*"))</f>
        <v/>
      </c>
      <c r="Z169" s="33">
        <f>IF($I169="","",_xlfn.TEXTJOIN(", ",TRUE,$I169:$X169))</f>
        <v/>
      </c>
      <c r="AA169" s="34">
        <f>IF($I169="","",IFERROR(INDEX(코드설정!$D$5:$D$24,MATCH($I169,코드설정!$C$5:$C$24,0)),""))</f>
        <v/>
      </c>
      <c r="AB169" s="36" t="n"/>
      <c r="AC169" s="37" t="n"/>
      <c r="AD169" s="38" t="n"/>
      <c r="AE169" s="30">
        <f>IF(OR($B169="",$C169=""),"",$C169-$B169+1)</f>
        <v/>
      </c>
      <c r="AF169" s="32" t="n"/>
      <c r="AG169" s="36" t="n"/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3">
        <f>IF($F170="","",IFERROR(INDEX(사건마스터!$B$5:$B$64,MATCH($F170,사건마스터!$A$5:$A$64,0)),""))</f>
        <v/>
      </c>
      <c r="H170" s="34">
        <f>IF($F170="","",IFERROR(INDEX(사건마스터!$C$5:$C$64,MATCH($F170,사건마스터!$A$5:$A$64,0)),""))</f>
        <v/>
      </c>
      <c r="I170" s="35">
        <f>IF($F170="","",IFERROR(INDEX(사건마스터!$H$5:$H$64,MATCH($F170,사건마스터!$A$5:$A$64,0)),""))</f>
        <v/>
      </c>
      <c r="J170" s="35">
        <f>IF($F170="","",IFERROR(INDEX(사건마스터!$AH$5:$AH$64,MATCH($F170,사건마스터!$A$5:$A$64,0)),""))</f>
        <v/>
      </c>
      <c r="K170" s="35">
        <f>IF($F170="","",IFERROR(INDEX(사건마스터!$AI$5:$AI$64,MATCH($F170,사건마스터!$A$5:$A$64,0)),""))</f>
        <v/>
      </c>
      <c r="L170" s="35">
        <f>IF($F170="","",IFERROR(INDEX(사건마스터!$AJ$5:$AJ$64,MATCH($F170,사건마스터!$A$5:$A$64,0)),""))</f>
        <v/>
      </c>
      <c r="M170" s="35">
        <f>IF($F170="","",IFERROR(INDEX(사건마스터!$AK$5:$AK$64,MATCH($F170,사건마스터!$A$5:$A$64,0)),""))</f>
        <v/>
      </c>
      <c r="N170" s="35">
        <f>IF($F170="","",IFERROR(INDEX(사건마스터!$AL$5:$AL$64,MATCH($F170,사건마스터!$A$5:$A$64,0)),""))</f>
        <v/>
      </c>
      <c r="O170" s="35">
        <f>IF($F170="","",IFERROR(INDEX(사건마스터!$AM$5:$AM$64,MATCH($F170,사건마스터!$A$5:$A$64,0)),""))</f>
        <v/>
      </c>
      <c r="P170" s="35">
        <f>IF($F170="","",IFERROR(INDEX(사건마스터!$AN$5:$AN$64,MATCH($F170,사건마스터!$A$5:$A$64,0)),""))</f>
        <v/>
      </c>
      <c r="Q170" s="35">
        <f>IF($F170="","",IFERROR(INDEX(사건마스터!$AO$5:$AO$64,MATCH($F170,사건마스터!$A$5:$A$64,0)),""))</f>
        <v/>
      </c>
      <c r="R170" s="35">
        <f>IF($F170="","",IFERROR(INDEX(사건마스터!$AP$5:$AP$64,MATCH($F170,사건마스터!$A$5:$A$64,0)),""))</f>
        <v/>
      </c>
      <c r="S170" s="35">
        <f>IF($F170="","",IFERROR(INDEX(사건마스터!$AQ$5:$AQ$64,MATCH($F170,사건마스터!$A$5:$A$64,0)),""))</f>
        <v/>
      </c>
      <c r="T170" s="35">
        <f>IF($F170="","",IFERROR(INDEX(사건마스터!$AR$5:$AR$64,MATCH($F170,사건마스터!$A$5:$A$64,0)),""))</f>
        <v/>
      </c>
      <c r="U170" s="35">
        <f>IF($F170="","",IFERROR(INDEX(사건마스터!$AS$5:$AS$64,MATCH($F170,사건마스터!$A$5:$A$64,0)),""))</f>
        <v/>
      </c>
      <c r="V170" s="35">
        <f>IF($F170="","",IFERROR(INDEX(사건마스터!$AT$5:$AT$64,MATCH($F170,사건마스터!$A$5:$A$64,0)),""))</f>
        <v/>
      </c>
      <c r="W170" s="35">
        <f>IF($F170="","",IFERROR(INDEX(사건마스터!$AU$5:$AU$64,MATCH($F170,사건마스터!$A$5:$A$64,0)),""))</f>
        <v/>
      </c>
      <c r="X170" s="35">
        <f>IF($F170="","",IFERROR(INDEX(사건마스터!$AV$5:$AV$64,MATCH($F170,사건마스터!$A$5:$A$64,0)),""))</f>
        <v/>
      </c>
      <c r="Y170" s="30">
        <f>IF($I170="","",COUNTIF($I170:$X170,"?*"))</f>
        <v/>
      </c>
      <c r="Z170" s="33">
        <f>IF($I170="","",_xlfn.TEXTJOIN(", ",TRUE,$I170:$X170))</f>
        <v/>
      </c>
      <c r="AA170" s="34">
        <f>IF($I170="","",IFERROR(INDEX(코드설정!$D$5:$D$24,MATCH($I170,코드설정!$C$5:$C$24,0)),""))</f>
        <v/>
      </c>
      <c r="AB170" s="36" t="n"/>
      <c r="AC170" s="37" t="n"/>
      <c r="AD170" s="38" t="n"/>
      <c r="AE170" s="30">
        <f>IF(OR($B170="",$C170=""),"",$C170-$B170+1)</f>
        <v/>
      </c>
      <c r="AF170" s="32" t="n"/>
      <c r="AG170" s="36" t="n"/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3">
        <f>IF($F171="","",IFERROR(INDEX(사건마스터!$B$5:$B$64,MATCH($F171,사건마스터!$A$5:$A$64,0)),""))</f>
        <v/>
      </c>
      <c r="H171" s="34">
        <f>IF($F171="","",IFERROR(INDEX(사건마스터!$C$5:$C$64,MATCH($F171,사건마스터!$A$5:$A$64,0)),""))</f>
        <v/>
      </c>
      <c r="I171" s="35">
        <f>IF($F171="","",IFERROR(INDEX(사건마스터!$H$5:$H$64,MATCH($F171,사건마스터!$A$5:$A$64,0)),""))</f>
        <v/>
      </c>
      <c r="J171" s="35">
        <f>IF($F171="","",IFERROR(INDEX(사건마스터!$AH$5:$AH$64,MATCH($F171,사건마스터!$A$5:$A$64,0)),""))</f>
        <v/>
      </c>
      <c r="K171" s="35">
        <f>IF($F171="","",IFERROR(INDEX(사건마스터!$AI$5:$AI$64,MATCH($F171,사건마스터!$A$5:$A$64,0)),""))</f>
        <v/>
      </c>
      <c r="L171" s="35">
        <f>IF($F171="","",IFERROR(INDEX(사건마스터!$AJ$5:$AJ$64,MATCH($F171,사건마스터!$A$5:$A$64,0)),""))</f>
        <v/>
      </c>
      <c r="M171" s="35">
        <f>IF($F171="","",IFERROR(INDEX(사건마스터!$AK$5:$AK$64,MATCH($F171,사건마스터!$A$5:$A$64,0)),""))</f>
        <v/>
      </c>
      <c r="N171" s="35">
        <f>IF($F171="","",IFERROR(INDEX(사건마스터!$AL$5:$AL$64,MATCH($F171,사건마스터!$A$5:$A$64,0)),""))</f>
        <v/>
      </c>
      <c r="O171" s="35">
        <f>IF($F171="","",IFERROR(INDEX(사건마스터!$AM$5:$AM$64,MATCH($F171,사건마스터!$A$5:$A$64,0)),""))</f>
        <v/>
      </c>
      <c r="P171" s="35">
        <f>IF($F171="","",IFERROR(INDEX(사건마스터!$AN$5:$AN$64,MATCH($F171,사건마스터!$A$5:$A$64,0)),""))</f>
        <v/>
      </c>
      <c r="Q171" s="35">
        <f>IF($F171="","",IFERROR(INDEX(사건마스터!$AO$5:$AO$64,MATCH($F171,사건마스터!$A$5:$A$64,0)),""))</f>
        <v/>
      </c>
      <c r="R171" s="35">
        <f>IF($F171="","",IFERROR(INDEX(사건마스터!$AP$5:$AP$64,MATCH($F171,사건마스터!$A$5:$A$64,0)),""))</f>
        <v/>
      </c>
      <c r="S171" s="35">
        <f>IF($F171="","",IFERROR(INDEX(사건마스터!$AQ$5:$AQ$64,MATCH($F171,사건마스터!$A$5:$A$64,0)),""))</f>
        <v/>
      </c>
      <c r="T171" s="35">
        <f>IF($F171="","",IFERROR(INDEX(사건마스터!$AR$5:$AR$64,MATCH($F171,사건마스터!$A$5:$A$64,0)),""))</f>
        <v/>
      </c>
      <c r="U171" s="35">
        <f>IF($F171="","",IFERROR(INDEX(사건마스터!$AS$5:$AS$64,MATCH($F171,사건마스터!$A$5:$A$64,0)),""))</f>
        <v/>
      </c>
      <c r="V171" s="35">
        <f>IF($F171="","",IFERROR(INDEX(사건마스터!$AT$5:$AT$64,MATCH($F171,사건마스터!$A$5:$A$64,0)),""))</f>
        <v/>
      </c>
      <c r="W171" s="35">
        <f>IF($F171="","",IFERROR(INDEX(사건마스터!$AU$5:$AU$64,MATCH($F171,사건마스터!$A$5:$A$64,0)),""))</f>
        <v/>
      </c>
      <c r="X171" s="35">
        <f>IF($F171="","",IFERROR(INDEX(사건마스터!$AV$5:$AV$64,MATCH($F171,사건마스터!$A$5:$A$64,0)),""))</f>
        <v/>
      </c>
      <c r="Y171" s="30">
        <f>IF($I171="","",COUNTIF($I171:$X171,"?*"))</f>
        <v/>
      </c>
      <c r="Z171" s="33">
        <f>IF($I171="","",_xlfn.TEXTJOIN(", ",TRUE,$I171:$X171))</f>
        <v/>
      </c>
      <c r="AA171" s="34">
        <f>IF($I171="","",IFERROR(INDEX(코드설정!$D$5:$D$24,MATCH($I171,코드설정!$C$5:$C$24,0)),""))</f>
        <v/>
      </c>
      <c r="AB171" s="36" t="n"/>
      <c r="AC171" s="37" t="n"/>
      <c r="AD171" s="38" t="n"/>
      <c r="AE171" s="30">
        <f>IF(OR($B171="",$C171=""),"",$C171-$B171+1)</f>
        <v/>
      </c>
      <c r="AF171" s="32" t="n"/>
      <c r="AG171" s="36" t="n"/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3">
        <f>IF($F172="","",IFERROR(INDEX(사건마스터!$B$5:$B$64,MATCH($F172,사건마스터!$A$5:$A$64,0)),""))</f>
        <v/>
      </c>
      <c r="H172" s="34">
        <f>IF($F172="","",IFERROR(INDEX(사건마스터!$C$5:$C$64,MATCH($F172,사건마스터!$A$5:$A$64,0)),""))</f>
        <v/>
      </c>
      <c r="I172" s="35">
        <f>IF($F172="","",IFERROR(INDEX(사건마스터!$H$5:$H$64,MATCH($F172,사건마스터!$A$5:$A$64,0)),""))</f>
        <v/>
      </c>
      <c r="J172" s="35">
        <f>IF($F172="","",IFERROR(INDEX(사건마스터!$AH$5:$AH$64,MATCH($F172,사건마스터!$A$5:$A$64,0)),""))</f>
        <v/>
      </c>
      <c r="K172" s="35">
        <f>IF($F172="","",IFERROR(INDEX(사건마스터!$AI$5:$AI$64,MATCH($F172,사건마스터!$A$5:$A$64,0)),""))</f>
        <v/>
      </c>
      <c r="L172" s="35">
        <f>IF($F172="","",IFERROR(INDEX(사건마스터!$AJ$5:$AJ$64,MATCH($F172,사건마스터!$A$5:$A$64,0)),""))</f>
        <v/>
      </c>
      <c r="M172" s="35">
        <f>IF($F172="","",IFERROR(INDEX(사건마스터!$AK$5:$AK$64,MATCH($F172,사건마스터!$A$5:$A$64,0)),""))</f>
        <v/>
      </c>
      <c r="N172" s="35">
        <f>IF($F172="","",IFERROR(INDEX(사건마스터!$AL$5:$AL$64,MATCH($F172,사건마스터!$A$5:$A$64,0)),""))</f>
        <v/>
      </c>
      <c r="O172" s="35">
        <f>IF($F172="","",IFERROR(INDEX(사건마스터!$AM$5:$AM$64,MATCH($F172,사건마스터!$A$5:$A$64,0)),""))</f>
        <v/>
      </c>
      <c r="P172" s="35">
        <f>IF($F172="","",IFERROR(INDEX(사건마스터!$AN$5:$AN$64,MATCH($F172,사건마스터!$A$5:$A$64,0)),""))</f>
        <v/>
      </c>
      <c r="Q172" s="35">
        <f>IF($F172="","",IFERROR(INDEX(사건마스터!$AO$5:$AO$64,MATCH($F172,사건마스터!$A$5:$A$64,0)),""))</f>
        <v/>
      </c>
      <c r="R172" s="35">
        <f>IF($F172="","",IFERROR(INDEX(사건마스터!$AP$5:$AP$64,MATCH($F172,사건마스터!$A$5:$A$64,0)),""))</f>
        <v/>
      </c>
      <c r="S172" s="35">
        <f>IF($F172="","",IFERROR(INDEX(사건마스터!$AQ$5:$AQ$64,MATCH($F172,사건마스터!$A$5:$A$64,0)),""))</f>
        <v/>
      </c>
      <c r="T172" s="35">
        <f>IF($F172="","",IFERROR(INDEX(사건마스터!$AR$5:$AR$64,MATCH($F172,사건마스터!$A$5:$A$64,0)),""))</f>
        <v/>
      </c>
      <c r="U172" s="35">
        <f>IF($F172="","",IFERROR(INDEX(사건마스터!$AS$5:$AS$64,MATCH($F172,사건마스터!$A$5:$A$64,0)),""))</f>
        <v/>
      </c>
      <c r="V172" s="35">
        <f>IF($F172="","",IFERROR(INDEX(사건마스터!$AT$5:$AT$64,MATCH($F172,사건마스터!$A$5:$A$64,0)),""))</f>
        <v/>
      </c>
      <c r="W172" s="35">
        <f>IF($F172="","",IFERROR(INDEX(사건마스터!$AU$5:$AU$64,MATCH($F172,사건마스터!$A$5:$A$64,0)),""))</f>
        <v/>
      </c>
      <c r="X172" s="35">
        <f>IF($F172="","",IFERROR(INDEX(사건마스터!$AV$5:$AV$64,MATCH($F172,사건마스터!$A$5:$A$64,0)),""))</f>
        <v/>
      </c>
      <c r="Y172" s="30">
        <f>IF($I172="","",COUNTIF($I172:$X172,"?*"))</f>
        <v/>
      </c>
      <c r="Z172" s="33">
        <f>IF($I172="","",_xlfn.TEXTJOIN(", ",TRUE,$I172:$X172))</f>
        <v/>
      </c>
      <c r="AA172" s="34">
        <f>IF($I172="","",IFERROR(INDEX(코드설정!$D$5:$D$24,MATCH($I172,코드설정!$C$5:$C$24,0)),""))</f>
        <v/>
      </c>
      <c r="AB172" s="36" t="n"/>
      <c r="AC172" s="37" t="n"/>
      <c r="AD172" s="38" t="n"/>
      <c r="AE172" s="30">
        <f>IF(OR($B172="",$C172=""),"",$C172-$B172+1)</f>
        <v/>
      </c>
      <c r="AF172" s="32" t="n"/>
      <c r="AG172" s="36" t="n"/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3">
        <f>IF($F173="","",IFERROR(INDEX(사건마스터!$B$5:$B$64,MATCH($F173,사건마스터!$A$5:$A$64,0)),""))</f>
        <v/>
      </c>
      <c r="H173" s="34">
        <f>IF($F173="","",IFERROR(INDEX(사건마스터!$C$5:$C$64,MATCH($F173,사건마스터!$A$5:$A$64,0)),""))</f>
        <v/>
      </c>
      <c r="I173" s="35">
        <f>IF($F173="","",IFERROR(INDEX(사건마스터!$H$5:$H$64,MATCH($F173,사건마스터!$A$5:$A$64,0)),""))</f>
        <v/>
      </c>
      <c r="J173" s="35">
        <f>IF($F173="","",IFERROR(INDEX(사건마스터!$AH$5:$AH$64,MATCH($F173,사건마스터!$A$5:$A$64,0)),""))</f>
        <v/>
      </c>
      <c r="K173" s="35">
        <f>IF($F173="","",IFERROR(INDEX(사건마스터!$AI$5:$AI$64,MATCH($F173,사건마스터!$A$5:$A$64,0)),""))</f>
        <v/>
      </c>
      <c r="L173" s="35">
        <f>IF($F173="","",IFERROR(INDEX(사건마스터!$AJ$5:$AJ$64,MATCH($F173,사건마스터!$A$5:$A$64,0)),""))</f>
        <v/>
      </c>
      <c r="M173" s="35">
        <f>IF($F173="","",IFERROR(INDEX(사건마스터!$AK$5:$AK$64,MATCH($F173,사건마스터!$A$5:$A$64,0)),""))</f>
        <v/>
      </c>
      <c r="N173" s="35">
        <f>IF($F173="","",IFERROR(INDEX(사건마스터!$AL$5:$AL$64,MATCH($F173,사건마스터!$A$5:$A$64,0)),""))</f>
        <v/>
      </c>
      <c r="O173" s="35">
        <f>IF($F173="","",IFERROR(INDEX(사건마스터!$AM$5:$AM$64,MATCH($F173,사건마스터!$A$5:$A$64,0)),""))</f>
        <v/>
      </c>
      <c r="P173" s="35">
        <f>IF($F173="","",IFERROR(INDEX(사건마스터!$AN$5:$AN$64,MATCH($F173,사건마스터!$A$5:$A$64,0)),""))</f>
        <v/>
      </c>
      <c r="Q173" s="35">
        <f>IF($F173="","",IFERROR(INDEX(사건마스터!$AO$5:$AO$64,MATCH($F173,사건마스터!$A$5:$A$64,0)),""))</f>
        <v/>
      </c>
      <c r="R173" s="35">
        <f>IF($F173="","",IFERROR(INDEX(사건마스터!$AP$5:$AP$64,MATCH($F173,사건마스터!$A$5:$A$64,0)),""))</f>
        <v/>
      </c>
      <c r="S173" s="35">
        <f>IF($F173="","",IFERROR(INDEX(사건마스터!$AQ$5:$AQ$64,MATCH($F173,사건마스터!$A$5:$A$64,0)),""))</f>
        <v/>
      </c>
      <c r="T173" s="35">
        <f>IF($F173="","",IFERROR(INDEX(사건마스터!$AR$5:$AR$64,MATCH($F173,사건마스터!$A$5:$A$64,0)),""))</f>
        <v/>
      </c>
      <c r="U173" s="35">
        <f>IF($F173="","",IFERROR(INDEX(사건마스터!$AS$5:$AS$64,MATCH($F173,사건마스터!$A$5:$A$64,0)),""))</f>
        <v/>
      </c>
      <c r="V173" s="35">
        <f>IF($F173="","",IFERROR(INDEX(사건마스터!$AT$5:$AT$64,MATCH($F173,사건마스터!$A$5:$A$64,0)),""))</f>
        <v/>
      </c>
      <c r="W173" s="35">
        <f>IF($F173="","",IFERROR(INDEX(사건마스터!$AU$5:$AU$64,MATCH($F173,사건마스터!$A$5:$A$64,0)),""))</f>
        <v/>
      </c>
      <c r="X173" s="35">
        <f>IF($F173="","",IFERROR(INDEX(사건마스터!$AV$5:$AV$64,MATCH($F173,사건마스터!$A$5:$A$64,0)),""))</f>
        <v/>
      </c>
      <c r="Y173" s="30">
        <f>IF($I173="","",COUNTIF($I173:$X173,"?*"))</f>
        <v/>
      </c>
      <c r="Z173" s="33">
        <f>IF($I173="","",_xlfn.TEXTJOIN(", ",TRUE,$I173:$X173))</f>
        <v/>
      </c>
      <c r="AA173" s="34">
        <f>IF($I173="","",IFERROR(INDEX(코드설정!$D$5:$D$24,MATCH($I173,코드설정!$C$5:$C$24,0)),""))</f>
        <v/>
      </c>
      <c r="AB173" s="36" t="n"/>
      <c r="AC173" s="37" t="n"/>
      <c r="AD173" s="38" t="n"/>
      <c r="AE173" s="30">
        <f>IF(OR($B173="",$C173=""),"",$C173-$B173+1)</f>
        <v/>
      </c>
      <c r="AF173" s="32" t="n"/>
      <c r="AG173" s="36" t="n"/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3">
        <f>IF($F174="","",IFERROR(INDEX(사건마스터!$B$5:$B$64,MATCH($F174,사건마스터!$A$5:$A$64,0)),""))</f>
        <v/>
      </c>
      <c r="H174" s="34">
        <f>IF($F174="","",IFERROR(INDEX(사건마스터!$C$5:$C$64,MATCH($F174,사건마스터!$A$5:$A$64,0)),""))</f>
        <v/>
      </c>
      <c r="I174" s="35">
        <f>IF($F174="","",IFERROR(INDEX(사건마스터!$H$5:$H$64,MATCH($F174,사건마스터!$A$5:$A$64,0)),""))</f>
        <v/>
      </c>
      <c r="J174" s="35">
        <f>IF($F174="","",IFERROR(INDEX(사건마스터!$AH$5:$AH$64,MATCH($F174,사건마스터!$A$5:$A$64,0)),""))</f>
        <v/>
      </c>
      <c r="K174" s="35">
        <f>IF($F174="","",IFERROR(INDEX(사건마스터!$AI$5:$AI$64,MATCH($F174,사건마스터!$A$5:$A$64,0)),""))</f>
        <v/>
      </c>
      <c r="L174" s="35">
        <f>IF($F174="","",IFERROR(INDEX(사건마스터!$AJ$5:$AJ$64,MATCH($F174,사건마스터!$A$5:$A$64,0)),""))</f>
        <v/>
      </c>
      <c r="M174" s="35">
        <f>IF($F174="","",IFERROR(INDEX(사건마스터!$AK$5:$AK$64,MATCH($F174,사건마스터!$A$5:$A$64,0)),""))</f>
        <v/>
      </c>
      <c r="N174" s="35">
        <f>IF($F174="","",IFERROR(INDEX(사건마스터!$AL$5:$AL$64,MATCH($F174,사건마스터!$A$5:$A$64,0)),""))</f>
        <v/>
      </c>
      <c r="O174" s="35">
        <f>IF($F174="","",IFERROR(INDEX(사건마스터!$AM$5:$AM$64,MATCH($F174,사건마스터!$A$5:$A$64,0)),""))</f>
        <v/>
      </c>
      <c r="P174" s="35">
        <f>IF($F174="","",IFERROR(INDEX(사건마스터!$AN$5:$AN$64,MATCH($F174,사건마스터!$A$5:$A$64,0)),""))</f>
        <v/>
      </c>
      <c r="Q174" s="35">
        <f>IF($F174="","",IFERROR(INDEX(사건마스터!$AO$5:$AO$64,MATCH($F174,사건마스터!$A$5:$A$64,0)),""))</f>
        <v/>
      </c>
      <c r="R174" s="35">
        <f>IF($F174="","",IFERROR(INDEX(사건마스터!$AP$5:$AP$64,MATCH($F174,사건마스터!$A$5:$A$64,0)),""))</f>
        <v/>
      </c>
      <c r="S174" s="35">
        <f>IF($F174="","",IFERROR(INDEX(사건마스터!$AQ$5:$AQ$64,MATCH($F174,사건마스터!$A$5:$A$64,0)),""))</f>
        <v/>
      </c>
      <c r="T174" s="35">
        <f>IF($F174="","",IFERROR(INDEX(사건마스터!$AR$5:$AR$64,MATCH($F174,사건마스터!$A$5:$A$64,0)),""))</f>
        <v/>
      </c>
      <c r="U174" s="35">
        <f>IF($F174="","",IFERROR(INDEX(사건마스터!$AS$5:$AS$64,MATCH($F174,사건마스터!$A$5:$A$64,0)),""))</f>
        <v/>
      </c>
      <c r="V174" s="35">
        <f>IF($F174="","",IFERROR(INDEX(사건마스터!$AT$5:$AT$64,MATCH($F174,사건마스터!$A$5:$A$64,0)),""))</f>
        <v/>
      </c>
      <c r="W174" s="35">
        <f>IF($F174="","",IFERROR(INDEX(사건마스터!$AU$5:$AU$64,MATCH($F174,사건마스터!$A$5:$A$64,0)),""))</f>
        <v/>
      </c>
      <c r="X174" s="35">
        <f>IF($F174="","",IFERROR(INDEX(사건마스터!$AV$5:$AV$64,MATCH($F174,사건마스터!$A$5:$A$64,0)),""))</f>
        <v/>
      </c>
      <c r="Y174" s="30">
        <f>IF($I174="","",COUNTIF($I174:$X174,"?*"))</f>
        <v/>
      </c>
      <c r="Z174" s="33">
        <f>IF($I174="","",_xlfn.TEXTJOIN(", ",TRUE,$I174:$X174))</f>
        <v/>
      </c>
      <c r="AA174" s="34">
        <f>IF($I174="","",IFERROR(INDEX(코드설정!$D$5:$D$24,MATCH($I174,코드설정!$C$5:$C$24,0)),""))</f>
        <v/>
      </c>
      <c r="AB174" s="36" t="n"/>
      <c r="AC174" s="37" t="n"/>
      <c r="AD174" s="38" t="n"/>
      <c r="AE174" s="30">
        <f>IF(OR($B174="",$C174=""),"",$C174-$B174+1)</f>
        <v/>
      </c>
      <c r="AF174" s="32" t="n"/>
      <c r="AG174" s="36" t="n"/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3">
        <f>IF($F175="","",IFERROR(INDEX(사건마스터!$B$5:$B$64,MATCH($F175,사건마스터!$A$5:$A$64,0)),""))</f>
        <v/>
      </c>
      <c r="H175" s="34">
        <f>IF($F175="","",IFERROR(INDEX(사건마스터!$C$5:$C$64,MATCH($F175,사건마스터!$A$5:$A$64,0)),""))</f>
        <v/>
      </c>
      <c r="I175" s="35">
        <f>IF($F175="","",IFERROR(INDEX(사건마스터!$H$5:$H$64,MATCH($F175,사건마스터!$A$5:$A$64,0)),""))</f>
        <v/>
      </c>
      <c r="J175" s="35">
        <f>IF($F175="","",IFERROR(INDEX(사건마스터!$AH$5:$AH$64,MATCH($F175,사건마스터!$A$5:$A$64,0)),""))</f>
        <v/>
      </c>
      <c r="K175" s="35">
        <f>IF($F175="","",IFERROR(INDEX(사건마스터!$AI$5:$AI$64,MATCH($F175,사건마스터!$A$5:$A$64,0)),""))</f>
        <v/>
      </c>
      <c r="L175" s="35">
        <f>IF($F175="","",IFERROR(INDEX(사건마스터!$AJ$5:$AJ$64,MATCH($F175,사건마스터!$A$5:$A$64,0)),""))</f>
        <v/>
      </c>
      <c r="M175" s="35">
        <f>IF($F175="","",IFERROR(INDEX(사건마스터!$AK$5:$AK$64,MATCH($F175,사건마스터!$A$5:$A$64,0)),""))</f>
        <v/>
      </c>
      <c r="N175" s="35">
        <f>IF($F175="","",IFERROR(INDEX(사건마스터!$AL$5:$AL$64,MATCH($F175,사건마스터!$A$5:$A$64,0)),""))</f>
        <v/>
      </c>
      <c r="O175" s="35">
        <f>IF($F175="","",IFERROR(INDEX(사건마스터!$AM$5:$AM$64,MATCH($F175,사건마스터!$A$5:$A$64,0)),""))</f>
        <v/>
      </c>
      <c r="P175" s="35">
        <f>IF($F175="","",IFERROR(INDEX(사건마스터!$AN$5:$AN$64,MATCH($F175,사건마스터!$A$5:$A$64,0)),""))</f>
        <v/>
      </c>
      <c r="Q175" s="35">
        <f>IF($F175="","",IFERROR(INDEX(사건마스터!$AO$5:$AO$64,MATCH($F175,사건마스터!$A$5:$A$64,0)),""))</f>
        <v/>
      </c>
      <c r="R175" s="35">
        <f>IF($F175="","",IFERROR(INDEX(사건마스터!$AP$5:$AP$64,MATCH($F175,사건마스터!$A$5:$A$64,0)),""))</f>
        <v/>
      </c>
      <c r="S175" s="35">
        <f>IF($F175="","",IFERROR(INDEX(사건마스터!$AQ$5:$AQ$64,MATCH($F175,사건마스터!$A$5:$A$64,0)),""))</f>
        <v/>
      </c>
      <c r="T175" s="35">
        <f>IF($F175="","",IFERROR(INDEX(사건마스터!$AR$5:$AR$64,MATCH($F175,사건마스터!$A$5:$A$64,0)),""))</f>
        <v/>
      </c>
      <c r="U175" s="35">
        <f>IF($F175="","",IFERROR(INDEX(사건마스터!$AS$5:$AS$64,MATCH($F175,사건마스터!$A$5:$A$64,0)),""))</f>
        <v/>
      </c>
      <c r="V175" s="35">
        <f>IF($F175="","",IFERROR(INDEX(사건마스터!$AT$5:$AT$64,MATCH($F175,사건마스터!$A$5:$A$64,0)),""))</f>
        <v/>
      </c>
      <c r="W175" s="35">
        <f>IF($F175="","",IFERROR(INDEX(사건마스터!$AU$5:$AU$64,MATCH($F175,사건마스터!$A$5:$A$64,0)),""))</f>
        <v/>
      </c>
      <c r="X175" s="35">
        <f>IF($F175="","",IFERROR(INDEX(사건마스터!$AV$5:$AV$64,MATCH($F175,사건마스터!$A$5:$A$64,0)),""))</f>
        <v/>
      </c>
      <c r="Y175" s="30">
        <f>IF($I175="","",COUNTIF($I175:$X175,"?*"))</f>
        <v/>
      </c>
      <c r="Z175" s="33">
        <f>IF($I175="","",_xlfn.TEXTJOIN(", ",TRUE,$I175:$X175))</f>
        <v/>
      </c>
      <c r="AA175" s="34">
        <f>IF($I175="","",IFERROR(INDEX(코드설정!$D$5:$D$24,MATCH($I175,코드설정!$C$5:$C$24,0)),""))</f>
        <v/>
      </c>
      <c r="AB175" s="36" t="n"/>
      <c r="AC175" s="37" t="n"/>
      <c r="AD175" s="38" t="n"/>
      <c r="AE175" s="30">
        <f>IF(OR($B175="",$C175=""),"",$C175-$B175+1)</f>
        <v/>
      </c>
      <c r="AF175" s="32" t="n"/>
      <c r="AG175" s="36" t="n"/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3">
        <f>IF($F176="","",IFERROR(INDEX(사건마스터!$B$5:$B$64,MATCH($F176,사건마스터!$A$5:$A$64,0)),""))</f>
        <v/>
      </c>
      <c r="H176" s="34">
        <f>IF($F176="","",IFERROR(INDEX(사건마스터!$C$5:$C$64,MATCH($F176,사건마스터!$A$5:$A$64,0)),""))</f>
        <v/>
      </c>
      <c r="I176" s="35">
        <f>IF($F176="","",IFERROR(INDEX(사건마스터!$H$5:$H$64,MATCH($F176,사건마스터!$A$5:$A$64,0)),""))</f>
        <v/>
      </c>
      <c r="J176" s="35">
        <f>IF($F176="","",IFERROR(INDEX(사건마스터!$AH$5:$AH$64,MATCH($F176,사건마스터!$A$5:$A$64,0)),""))</f>
        <v/>
      </c>
      <c r="K176" s="35">
        <f>IF($F176="","",IFERROR(INDEX(사건마스터!$AI$5:$AI$64,MATCH($F176,사건마스터!$A$5:$A$64,0)),""))</f>
        <v/>
      </c>
      <c r="L176" s="35">
        <f>IF($F176="","",IFERROR(INDEX(사건마스터!$AJ$5:$AJ$64,MATCH($F176,사건마스터!$A$5:$A$64,0)),""))</f>
        <v/>
      </c>
      <c r="M176" s="35">
        <f>IF($F176="","",IFERROR(INDEX(사건마스터!$AK$5:$AK$64,MATCH($F176,사건마스터!$A$5:$A$64,0)),""))</f>
        <v/>
      </c>
      <c r="N176" s="35">
        <f>IF($F176="","",IFERROR(INDEX(사건마스터!$AL$5:$AL$64,MATCH($F176,사건마스터!$A$5:$A$64,0)),""))</f>
        <v/>
      </c>
      <c r="O176" s="35">
        <f>IF($F176="","",IFERROR(INDEX(사건마스터!$AM$5:$AM$64,MATCH($F176,사건마스터!$A$5:$A$64,0)),""))</f>
        <v/>
      </c>
      <c r="P176" s="35">
        <f>IF($F176="","",IFERROR(INDEX(사건마스터!$AN$5:$AN$64,MATCH($F176,사건마스터!$A$5:$A$64,0)),""))</f>
        <v/>
      </c>
      <c r="Q176" s="35">
        <f>IF($F176="","",IFERROR(INDEX(사건마스터!$AO$5:$AO$64,MATCH($F176,사건마스터!$A$5:$A$64,0)),""))</f>
        <v/>
      </c>
      <c r="R176" s="35">
        <f>IF($F176="","",IFERROR(INDEX(사건마스터!$AP$5:$AP$64,MATCH($F176,사건마스터!$A$5:$A$64,0)),""))</f>
        <v/>
      </c>
      <c r="S176" s="35">
        <f>IF($F176="","",IFERROR(INDEX(사건마스터!$AQ$5:$AQ$64,MATCH($F176,사건마스터!$A$5:$A$64,0)),""))</f>
        <v/>
      </c>
      <c r="T176" s="35">
        <f>IF($F176="","",IFERROR(INDEX(사건마스터!$AR$5:$AR$64,MATCH($F176,사건마스터!$A$5:$A$64,0)),""))</f>
        <v/>
      </c>
      <c r="U176" s="35">
        <f>IF($F176="","",IFERROR(INDEX(사건마스터!$AS$5:$AS$64,MATCH($F176,사건마스터!$A$5:$A$64,0)),""))</f>
        <v/>
      </c>
      <c r="V176" s="35">
        <f>IF($F176="","",IFERROR(INDEX(사건마스터!$AT$5:$AT$64,MATCH($F176,사건마스터!$A$5:$A$64,0)),""))</f>
        <v/>
      </c>
      <c r="W176" s="35">
        <f>IF($F176="","",IFERROR(INDEX(사건마스터!$AU$5:$AU$64,MATCH($F176,사건마스터!$A$5:$A$64,0)),""))</f>
        <v/>
      </c>
      <c r="X176" s="35">
        <f>IF($F176="","",IFERROR(INDEX(사건마스터!$AV$5:$AV$64,MATCH($F176,사건마스터!$A$5:$A$64,0)),""))</f>
        <v/>
      </c>
      <c r="Y176" s="30">
        <f>IF($I176="","",COUNTIF($I176:$X176,"?*"))</f>
        <v/>
      </c>
      <c r="Z176" s="33">
        <f>IF($I176="","",_xlfn.TEXTJOIN(", ",TRUE,$I176:$X176))</f>
        <v/>
      </c>
      <c r="AA176" s="34">
        <f>IF($I176="","",IFERROR(INDEX(코드설정!$D$5:$D$24,MATCH($I176,코드설정!$C$5:$C$24,0)),""))</f>
        <v/>
      </c>
      <c r="AB176" s="36" t="n"/>
      <c r="AC176" s="37" t="n"/>
      <c r="AD176" s="38" t="n"/>
      <c r="AE176" s="30">
        <f>IF(OR($B176="",$C176=""),"",$C176-$B176+1)</f>
        <v/>
      </c>
      <c r="AF176" s="32" t="n"/>
      <c r="AG176" s="36" t="n"/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3">
        <f>IF($F177="","",IFERROR(INDEX(사건마스터!$B$5:$B$64,MATCH($F177,사건마스터!$A$5:$A$64,0)),""))</f>
        <v/>
      </c>
      <c r="H177" s="34">
        <f>IF($F177="","",IFERROR(INDEX(사건마스터!$C$5:$C$64,MATCH($F177,사건마스터!$A$5:$A$64,0)),""))</f>
        <v/>
      </c>
      <c r="I177" s="35">
        <f>IF($F177="","",IFERROR(INDEX(사건마스터!$H$5:$H$64,MATCH($F177,사건마스터!$A$5:$A$64,0)),""))</f>
        <v/>
      </c>
      <c r="J177" s="35">
        <f>IF($F177="","",IFERROR(INDEX(사건마스터!$AH$5:$AH$64,MATCH($F177,사건마스터!$A$5:$A$64,0)),""))</f>
        <v/>
      </c>
      <c r="K177" s="35">
        <f>IF($F177="","",IFERROR(INDEX(사건마스터!$AI$5:$AI$64,MATCH($F177,사건마스터!$A$5:$A$64,0)),""))</f>
        <v/>
      </c>
      <c r="L177" s="35">
        <f>IF($F177="","",IFERROR(INDEX(사건마스터!$AJ$5:$AJ$64,MATCH($F177,사건마스터!$A$5:$A$64,0)),""))</f>
        <v/>
      </c>
      <c r="M177" s="35">
        <f>IF($F177="","",IFERROR(INDEX(사건마스터!$AK$5:$AK$64,MATCH($F177,사건마스터!$A$5:$A$64,0)),""))</f>
        <v/>
      </c>
      <c r="N177" s="35">
        <f>IF($F177="","",IFERROR(INDEX(사건마스터!$AL$5:$AL$64,MATCH($F177,사건마스터!$A$5:$A$64,0)),""))</f>
        <v/>
      </c>
      <c r="O177" s="35">
        <f>IF($F177="","",IFERROR(INDEX(사건마스터!$AM$5:$AM$64,MATCH($F177,사건마스터!$A$5:$A$64,0)),""))</f>
        <v/>
      </c>
      <c r="P177" s="35">
        <f>IF($F177="","",IFERROR(INDEX(사건마스터!$AN$5:$AN$64,MATCH($F177,사건마스터!$A$5:$A$64,0)),""))</f>
        <v/>
      </c>
      <c r="Q177" s="35">
        <f>IF($F177="","",IFERROR(INDEX(사건마스터!$AO$5:$AO$64,MATCH($F177,사건마스터!$A$5:$A$64,0)),""))</f>
        <v/>
      </c>
      <c r="R177" s="35">
        <f>IF($F177="","",IFERROR(INDEX(사건마스터!$AP$5:$AP$64,MATCH($F177,사건마스터!$A$5:$A$64,0)),""))</f>
        <v/>
      </c>
      <c r="S177" s="35">
        <f>IF($F177="","",IFERROR(INDEX(사건마스터!$AQ$5:$AQ$64,MATCH($F177,사건마스터!$A$5:$A$64,0)),""))</f>
        <v/>
      </c>
      <c r="T177" s="35">
        <f>IF($F177="","",IFERROR(INDEX(사건마스터!$AR$5:$AR$64,MATCH($F177,사건마스터!$A$5:$A$64,0)),""))</f>
        <v/>
      </c>
      <c r="U177" s="35">
        <f>IF($F177="","",IFERROR(INDEX(사건마스터!$AS$5:$AS$64,MATCH($F177,사건마스터!$A$5:$A$64,0)),""))</f>
        <v/>
      </c>
      <c r="V177" s="35">
        <f>IF($F177="","",IFERROR(INDEX(사건마스터!$AT$5:$AT$64,MATCH($F177,사건마스터!$A$5:$A$64,0)),""))</f>
        <v/>
      </c>
      <c r="W177" s="35">
        <f>IF($F177="","",IFERROR(INDEX(사건마스터!$AU$5:$AU$64,MATCH($F177,사건마스터!$A$5:$A$64,0)),""))</f>
        <v/>
      </c>
      <c r="X177" s="35">
        <f>IF($F177="","",IFERROR(INDEX(사건마스터!$AV$5:$AV$64,MATCH($F177,사건마스터!$A$5:$A$64,0)),""))</f>
        <v/>
      </c>
      <c r="Y177" s="30">
        <f>IF($I177="","",COUNTIF($I177:$X177,"?*"))</f>
        <v/>
      </c>
      <c r="Z177" s="33">
        <f>IF($I177="","",_xlfn.TEXTJOIN(", ",TRUE,$I177:$X177))</f>
        <v/>
      </c>
      <c r="AA177" s="34">
        <f>IF($I177="","",IFERROR(INDEX(코드설정!$D$5:$D$24,MATCH($I177,코드설정!$C$5:$C$24,0)),""))</f>
        <v/>
      </c>
      <c r="AB177" s="36" t="n"/>
      <c r="AC177" s="37" t="n"/>
      <c r="AD177" s="38" t="n"/>
      <c r="AE177" s="30">
        <f>IF(OR($B177="",$C177=""),"",$C177-$B177+1)</f>
        <v/>
      </c>
      <c r="AF177" s="32" t="n"/>
      <c r="AG177" s="36" t="n"/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3">
        <f>IF($F178="","",IFERROR(INDEX(사건마스터!$B$5:$B$64,MATCH($F178,사건마스터!$A$5:$A$64,0)),""))</f>
        <v/>
      </c>
      <c r="H178" s="34">
        <f>IF($F178="","",IFERROR(INDEX(사건마스터!$C$5:$C$64,MATCH($F178,사건마스터!$A$5:$A$64,0)),""))</f>
        <v/>
      </c>
      <c r="I178" s="35">
        <f>IF($F178="","",IFERROR(INDEX(사건마스터!$H$5:$H$64,MATCH($F178,사건마스터!$A$5:$A$64,0)),""))</f>
        <v/>
      </c>
      <c r="J178" s="35">
        <f>IF($F178="","",IFERROR(INDEX(사건마스터!$AH$5:$AH$64,MATCH($F178,사건마스터!$A$5:$A$64,0)),""))</f>
        <v/>
      </c>
      <c r="K178" s="35">
        <f>IF($F178="","",IFERROR(INDEX(사건마스터!$AI$5:$AI$64,MATCH($F178,사건마스터!$A$5:$A$64,0)),""))</f>
        <v/>
      </c>
      <c r="L178" s="35">
        <f>IF($F178="","",IFERROR(INDEX(사건마스터!$AJ$5:$AJ$64,MATCH($F178,사건마스터!$A$5:$A$64,0)),""))</f>
        <v/>
      </c>
      <c r="M178" s="35">
        <f>IF($F178="","",IFERROR(INDEX(사건마스터!$AK$5:$AK$64,MATCH($F178,사건마스터!$A$5:$A$64,0)),""))</f>
        <v/>
      </c>
      <c r="N178" s="35">
        <f>IF($F178="","",IFERROR(INDEX(사건마스터!$AL$5:$AL$64,MATCH($F178,사건마스터!$A$5:$A$64,0)),""))</f>
        <v/>
      </c>
      <c r="O178" s="35">
        <f>IF($F178="","",IFERROR(INDEX(사건마스터!$AM$5:$AM$64,MATCH($F178,사건마스터!$A$5:$A$64,0)),""))</f>
        <v/>
      </c>
      <c r="P178" s="35">
        <f>IF($F178="","",IFERROR(INDEX(사건마스터!$AN$5:$AN$64,MATCH($F178,사건마스터!$A$5:$A$64,0)),""))</f>
        <v/>
      </c>
      <c r="Q178" s="35">
        <f>IF($F178="","",IFERROR(INDEX(사건마스터!$AO$5:$AO$64,MATCH($F178,사건마스터!$A$5:$A$64,0)),""))</f>
        <v/>
      </c>
      <c r="R178" s="35">
        <f>IF($F178="","",IFERROR(INDEX(사건마스터!$AP$5:$AP$64,MATCH($F178,사건마스터!$A$5:$A$64,0)),""))</f>
        <v/>
      </c>
      <c r="S178" s="35">
        <f>IF($F178="","",IFERROR(INDEX(사건마스터!$AQ$5:$AQ$64,MATCH($F178,사건마스터!$A$5:$A$64,0)),""))</f>
        <v/>
      </c>
      <c r="T178" s="35">
        <f>IF($F178="","",IFERROR(INDEX(사건마스터!$AR$5:$AR$64,MATCH($F178,사건마스터!$A$5:$A$64,0)),""))</f>
        <v/>
      </c>
      <c r="U178" s="35">
        <f>IF($F178="","",IFERROR(INDEX(사건마스터!$AS$5:$AS$64,MATCH($F178,사건마스터!$A$5:$A$64,0)),""))</f>
        <v/>
      </c>
      <c r="V178" s="35">
        <f>IF($F178="","",IFERROR(INDEX(사건마스터!$AT$5:$AT$64,MATCH($F178,사건마스터!$A$5:$A$64,0)),""))</f>
        <v/>
      </c>
      <c r="W178" s="35">
        <f>IF($F178="","",IFERROR(INDEX(사건마스터!$AU$5:$AU$64,MATCH($F178,사건마스터!$A$5:$A$64,0)),""))</f>
        <v/>
      </c>
      <c r="X178" s="35">
        <f>IF($F178="","",IFERROR(INDEX(사건마스터!$AV$5:$AV$64,MATCH($F178,사건마스터!$A$5:$A$64,0)),""))</f>
        <v/>
      </c>
      <c r="Y178" s="30">
        <f>IF($I178="","",COUNTIF($I178:$X178,"?*"))</f>
        <v/>
      </c>
      <c r="Z178" s="33">
        <f>IF($I178="","",_xlfn.TEXTJOIN(", ",TRUE,$I178:$X178))</f>
        <v/>
      </c>
      <c r="AA178" s="34">
        <f>IF($I178="","",IFERROR(INDEX(코드설정!$D$5:$D$24,MATCH($I178,코드설정!$C$5:$C$24,0)),""))</f>
        <v/>
      </c>
      <c r="AB178" s="36" t="n"/>
      <c r="AC178" s="37" t="n"/>
      <c r="AD178" s="38" t="n"/>
      <c r="AE178" s="30">
        <f>IF(OR($B178="",$C178=""),"",$C178-$B178+1)</f>
        <v/>
      </c>
      <c r="AF178" s="32" t="n"/>
      <c r="AG178" s="36" t="n"/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3">
        <f>IF($F179="","",IFERROR(INDEX(사건마스터!$B$5:$B$64,MATCH($F179,사건마스터!$A$5:$A$64,0)),""))</f>
        <v/>
      </c>
      <c r="H179" s="34">
        <f>IF($F179="","",IFERROR(INDEX(사건마스터!$C$5:$C$64,MATCH($F179,사건마스터!$A$5:$A$64,0)),""))</f>
        <v/>
      </c>
      <c r="I179" s="35">
        <f>IF($F179="","",IFERROR(INDEX(사건마스터!$H$5:$H$64,MATCH($F179,사건마스터!$A$5:$A$64,0)),""))</f>
        <v/>
      </c>
      <c r="J179" s="35">
        <f>IF($F179="","",IFERROR(INDEX(사건마스터!$AH$5:$AH$64,MATCH($F179,사건마스터!$A$5:$A$64,0)),""))</f>
        <v/>
      </c>
      <c r="K179" s="35">
        <f>IF($F179="","",IFERROR(INDEX(사건마스터!$AI$5:$AI$64,MATCH($F179,사건마스터!$A$5:$A$64,0)),""))</f>
        <v/>
      </c>
      <c r="L179" s="35">
        <f>IF($F179="","",IFERROR(INDEX(사건마스터!$AJ$5:$AJ$64,MATCH($F179,사건마스터!$A$5:$A$64,0)),""))</f>
        <v/>
      </c>
      <c r="M179" s="35">
        <f>IF($F179="","",IFERROR(INDEX(사건마스터!$AK$5:$AK$64,MATCH($F179,사건마스터!$A$5:$A$64,0)),""))</f>
        <v/>
      </c>
      <c r="N179" s="35">
        <f>IF($F179="","",IFERROR(INDEX(사건마스터!$AL$5:$AL$64,MATCH($F179,사건마스터!$A$5:$A$64,0)),""))</f>
        <v/>
      </c>
      <c r="O179" s="35">
        <f>IF($F179="","",IFERROR(INDEX(사건마스터!$AM$5:$AM$64,MATCH($F179,사건마스터!$A$5:$A$64,0)),""))</f>
        <v/>
      </c>
      <c r="P179" s="35">
        <f>IF($F179="","",IFERROR(INDEX(사건마스터!$AN$5:$AN$64,MATCH($F179,사건마스터!$A$5:$A$64,0)),""))</f>
        <v/>
      </c>
      <c r="Q179" s="35">
        <f>IF($F179="","",IFERROR(INDEX(사건마스터!$AO$5:$AO$64,MATCH($F179,사건마스터!$A$5:$A$64,0)),""))</f>
        <v/>
      </c>
      <c r="R179" s="35">
        <f>IF($F179="","",IFERROR(INDEX(사건마스터!$AP$5:$AP$64,MATCH($F179,사건마스터!$A$5:$A$64,0)),""))</f>
        <v/>
      </c>
      <c r="S179" s="35">
        <f>IF($F179="","",IFERROR(INDEX(사건마스터!$AQ$5:$AQ$64,MATCH($F179,사건마스터!$A$5:$A$64,0)),""))</f>
        <v/>
      </c>
      <c r="T179" s="35">
        <f>IF($F179="","",IFERROR(INDEX(사건마스터!$AR$5:$AR$64,MATCH($F179,사건마스터!$A$5:$A$64,0)),""))</f>
        <v/>
      </c>
      <c r="U179" s="35">
        <f>IF($F179="","",IFERROR(INDEX(사건마스터!$AS$5:$AS$64,MATCH($F179,사건마스터!$A$5:$A$64,0)),""))</f>
        <v/>
      </c>
      <c r="V179" s="35">
        <f>IF($F179="","",IFERROR(INDEX(사건마스터!$AT$5:$AT$64,MATCH($F179,사건마스터!$A$5:$A$64,0)),""))</f>
        <v/>
      </c>
      <c r="W179" s="35">
        <f>IF($F179="","",IFERROR(INDEX(사건마스터!$AU$5:$AU$64,MATCH($F179,사건마스터!$A$5:$A$64,0)),""))</f>
        <v/>
      </c>
      <c r="X179" s="35">
        <f>IF($F179="","",IFERROR(INDEX(사건마스터!$AV$5:$AV$64,MATCH($F179,사건마스터!$A$5:$A$64,0)),""))</f>
        <v/>
      </c>
      <c r="Y179" s="30">
        <f>IF($I179="","",COUNTIF($I179:$X179,"?*"))</f>
        <v/>
      </c>
      <c r="Z179" s="33">
        <f>IF($I179="","",_xlfn.TEXTJOIN(", ",TRUE,$I179:$X179))</f>
        <v/>
      </c>
      <c r="AA179" s="34">
        <f>IF($I179="","",IFERROR(INDEX(코드설정!$D$5:$D$24,MATCH($I179,코드설정!$C$5:$C$24,0)),""))</f>
        <v/>
      </c>
      <c r="AB179" s="36" t="n"/>
      <c r="AC179" s="37" t="n"/>
      <c r="AD179" s="38" t="n"/>
      <c r="AE179" s="30">
        <f>IF(OR($B179="",$C179=""),"",$C179-$B179+1)</f>
        <v/>
      </c>
      <c r="AF179" s="32" t="n"/>
      <c r="AG179" s="36" t="n"/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3">
        <f>IF($F180="","",IFERROR(INDEX(사건마스터!$B$5:$B$64,MATCH($F180,사건마스터!$A$5:$A$64,0)),""))</f>
        <v/>
      </c>
      <c r="H180" s="34">
        <f>IF($F180="","",IFERROR(INDEX(사건마스터!$C$5:$C$64,MATCH($F180,사건마스터!$A$5:$A$64,0)),""))</f>
        <v/>
      </c>
      <c r="I180" s="35">
        <f>IF($F180="","",IFERROR(INDEX(사건마스터!$H$5:$H$64,MATCH($F180,사건마스터!$A$5:$A$64,0)),""))</f>
        <v/>
      </c>
      <c r="J180" s="35">
        <f>IF($F180="","",IFERROR(INDEX(사건마스터!$AH$5:$AH$64,MATCH($F180,사건마스터!$A$5:$A$64,0)),""))</f>
        <v/>
      </c>
      <c r="K180" s="35">
        <f>IF($F180="","",IFERROR(INDEX(사건마스터!$AI$5:$AI$64,MATCH($F180,사건마스터!$A$5:$A$64,0)),""))</f>
        <v/>
      </c>
      <c r="L180" s="35">
        <f>IF($F180="","",IFERROR(INDEX(사건마스터!$AJ$5:$AJ$64,MATCH($F180,사건마스터!$A$5:$A$64,0)),""))</f>
        <v/>
      </c>
      <c r="M180" s="35">
        <f>IF($F180="","",IFERROR(INDEX(사건마스터!$AK$5:$AK$64,MATCH($F180,사건마스터!$A$5:$A$64,0)),""))</f>
        <v/>
      </c>
      <c r="N180" s="35">
        <f>IF($F180="","",IFERROR(INDEX(사건마스터!$AL$5:$AL$64,MATCH($F180,사건마스터!$A$5:$A$64,0)),""))</f>
        <v/>
      </c>
      <c r="O180" s="35">
        <f>IF($F180="","",IFERROR(INDEX(사건마스터!$AM$5:$AM$64,MATCH($F180,사건마스터!$A$5:$A$64,0)),""))</f>
        <v/>
      </c>
      <c r="P180" s="35">
        <f>IF($F180="","",IFERROR(INDEX(사건마스터!$AN$5:$AN$64,MATCH($F180,사건마스터!$A$5:$A$64,0)),""))</f>
        <v/>
      </c>
      <c r="Q180" s="35">
        <f>IF($F180="","",IFERROR(INDEX(사건마스터!$AO$5:$AO$64,MATCH($F180,사건마스터!$A$5:$A$64,0)),""))</f>
        <v/>
      </c>
      <c r="R180" s="35">
        <f>IF($F180="","",IFERROR(INDEX(사건마스터!$AP$5:$AP$64,MATCH($F180,사건마스터!$A$5:$A$64,0)),""))</f>
        <v/>
      </c>
      <c r="S180" s="35">
        <f>IF($F180="","",IFERROR(INDEX(사건마스터!$AQ$5:$AQ$64,MATCH($F180,사건마스터!$A$5:$A$64,0)),""))</f>
        <v/>
      </c>
      <c r="T180" s="35">
        <f>IF($F180="","",IFERROR(INDEX(사건마스터!$AR$5:$AR$64,MATCH($F180,사건마스터!$A$5:$A$64,0)),""))</f>
        <v/>
      </c>
      <c r="U180" s="35">
        <f>IF($F180="","",IFERROR(INDEX(사건마스터!$AS$5:$AS$64,MATCH($F180,사건마스터!$A$5:$A$64,0)),""))</f>
        <v/>
      </c>
      <c r="V180" s="35">
        <f>IF($F180="","",IFERROR(INDEX(사건마스터!$AT$5:$AT$64,MATCH($F180,사건마스터!$A$5:$A$64,0)),""))</f>
        <v/>
      </c>
      <c r="W180" s="35">
        <f>IF($F180="","",IFERROR(INDEX(사건마스터!$AU$5:$AU$64,MATCH($F180,사건마스터!$A$5:$A$64,0)),""))</f>
        <v/>
      </c>
      <c r="X180" s="35">
        <f>IF($F180="","",IFERROR(INDEX(사건마스터!$AV$5:$AV$64,MATCH($F180,사건마스터!$A$5:$A$64,0)),""))</f>
        <v/>
      </c>
      <c r="Y180" s="30">
        <f>IF($I180="","",COUNTIF($I180:$X180,"?*"))</f>
        <v/>
      </c>
      <c r="Z180" s="33">
        <f>IF($I180="","",_xlfn.TEXTJOIN(", ",TRUE,$I180:$X180))</f>
        <v/>
      </c>
      <c r="AA180" s="34">
        <f>IF($I180="","",IFERROR(INDEX(코드설정!$D$5:$D$24,MATCH($I180,코드설정!$C$5:$C$24,0)),""))</f>
        <v/>
      </c>
      <c r="AB180" s="36" t="n"/>
      <c r="AC180" s="37" t="n"/>
      <c r="AD180" s="38" t="n"/>
      <c r="AE180" s="30">
        <f>IF(OR($B180="",$C180=""),"",$C180-$B180+1)</f>
        <v/>
      </c>
      <c r="AF180" s="32" t="n"/>
      <c r="AG180" s="36" t="n"/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3">
        <f>IF($F181="","",IFERROR(INDEX(사건마스터!$B$5:$B$64,MATCH($F181,사건마스터!$A$5:$A$64,0)),""))</f>
        <v/>
      </c>
      <c r="H181" s="34">
        <f>IF($F181="","",IFERROR(INDEX(사건마스터!$C$5:$C$64,MATCH($F181,사건마스터!$A$5:$A$64,0)),""))</f>
        <v/>
      </c>
      <c r="I181" s="35">
        <f>IF($F181="","",IFERROR(INDEX(사건마스터!$H$5:$H$64,MATCH($F181,사건마스터!$A$5:$A$64,0)),""))</f>
        <v/>
      </c>
      <c r="J181" s="35">
        <f>IF($F181="","",IFERROR(INDEX(사건마스터!$AH$5:$AH$64,MATCH($F181,사건마스터!$A$5:$A$64,0)),""))</f>
        <v/>
      </c>
      <c r="K181" s="35">
        <f>IF($F181="","",IFERROR(INDEX(사건마스터!$AI$5:$AI$64,MATCH($F181,사건마스터!$A$5:$A$64,0)),""))</f>
        <v/>
      </c>
      <c r="L181" s="35">
        <f>IF($F181="","",IFERROR(INDEX(사건마스터!$AJ$5:$AJ$64,MATCH($F181,사건마스터!$A$5:$A$64,0)),""))</f>
        <v/>
      </c>
      <c r="M181" s="35">
        <f>IF($F181="","",IFERROR(INDEX(사건마스터!$AK$5:$AK$64,MATCH($F181,사건마스터!$A$5:$A$64,0)),""))</f>
        <v/>
      </c>
      <c r="N181" s="35">
        <f>IF($F181="","",IFERROR(INDEX(사건마스터!$AL$5:$AL$64,MATCH($F181,사건마스터!$A$5:$A$64,0)),""))</f>
        <v/>
      </c>
      <c r="O181" s="35">
        <f>IF($F181="","",IFERROR(INDEX(사건마스터!$AM$5:$AM$64,MATCH($F181,사건마스터!$A$5:$A$64,0)),""))</f>
        <v/>
      </c>
      <c r="P181" s="35">
        <f>IF($F181="","",IFERROR(INDEX(사건마스터!$AN$5:$AN$64,MATCH($F181,사건마스터!$A$5:$A$64,0)),""))</f>
        <v/>
      </c>
      <c r="Q181" s="35">
        <f>IF($F181="","",IFERROR(INDEX(사건마스터!$AO$5:$AO$64,MATCH($F181,사건마스터!$A$5:$A$64,0)),""))</f>
        <v/>
      </c>
      <c r="R181" s="35">
        <f>IF($F181="","",IFERROR(INDEX(사건마스터!$AP$5:$AP$64,MATCH($F181,사건마스터!$A$5:$A$64,0)),""))</f>
        <v/>
      </c>
      <c r="S181" s="35">
        <f>IF($F181="","",IFERROR(INDEX(사건마스터!$AQ$5:$AQ$64,MATCH($F181,사건마스터!$A$5:$A$64,0)),""))</f>
        <v/>
      </c>
      <c r="T181" s="35">
        <f>IF($F181="","",IFERROR(INDEX(사건마스터!$AR$5:$AR$64,MATCH($F181,사건마스터!$A$5:$A$64,0)),""))</f>
        <v/>
      </c>
      <c r="U181" s="35">
        <f>IF($F181="","",IFERROR(INDEX(사건마스터!$AS$5:$AS$64,MATCH($F181,사건마스터!$A$5:$A$64,0)),""))</f>
        <v/>
      </c>
      <c r="V181" s="35">
        <f>IF($F181="","",IFERROR(INDEX(사건마스터!$AT$5:$AT$64,MATCH($F181,사건마스터!$A$5:$A$64,0)),""))</f>
        <v/>
      </c>
      <c r="W181" s="35">
        <f>IF($F181="","",IFERROR(INDEX(사건마스터!$AU$5:$AU$64,MATCH($F181,사건마스터!$A$5:$A$64,0)),""))</f>
        <v/>
      </c>
      <c r="X181" s="35">
        <f>IF($F181="","",IFERROR(INDEX(사건마스터!$AV$5:$AV$64,MATCH($F181,사건마스터!$A$5:$A$64,0)),""))</f>
        <v/>
      </c>
      <c r="Y181" s="30">
        <f>IF($I181="","",COUNTIF($I181:$X181,"?*"))</f>
        <v/>
      </c>
      <c r="Z181" s="33">
        <f>IF($I181="","",_xlfn.TEXTJOIN(", ",TRUE,$I181:$X181))</f>
        <v/>
      </c>
      <c r="AA181" s="34">
        <f>IF($I181="","",IFERROR(INDEX(코드설정!$D$5:$D$24,MATCH($I181,코드설정!$C$5:$C$24,0)),""))</f>
        <v/>
      </c>
      <c r="AB181" s="36" t="n"/>
      <c r="AC181" s="37" t="n"/>
      <c r="AD181" s="38" t="n"/>
      <c r="AE181" s="30">
        <f>IF(OR($B181="",$C181=""),"",$C181-$B181+1)</f>
        <v/>
      </c>
      <c r="AF181" s="32" t="n"/>
      <c r="AG181" s="36" t="n"/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3">
        <f>IF($F182="","",IFERROR(INDEX(사건마스터!$B$5:$B$64,MATCH($F182,사건마스터!$A$5:$A$64,0)),""))</f>
        <v/>
      </c>
      <c r="H182" s="34">
        <f>IF($F182="","",IFERROR(INDEX(사건마스터!$C$5:$C$64,MATCH($F182,사건마스터!$A$5:$A$64,0)),""))</f>
        <v/>
      </c>
      <c r="I182" s="35">
        <f>IF($F182="","",IFERROR(INDEX(사건마스터!$H$5:$H$64,MATCH($F182,사건마스터!$A$5:$A$64,0)),""))</f>
        <v/>
      </c>
      <c r="J182" s="35">
        <f>IF($F182="","",IFERROR(INDEX(사건마스터!$AH$5:$AH$64,MATCH($F182,사건마스터!$A$5:$A$64,0)),""))</f>
        <v/>
      </c>
      <c r="K182" s="35">
        <f>IF($F182="","",IFERROR(INDEX(사건마스터!$AI$5:$AI$64,MATCH($F182,사건마스터!$A$5:$A$64,0)),""))</f>
        <v/>
      </c>
      <c r="L182" s="35">
        <f>IF($F182="","",IFERROR(INDEX(사건마스터!$AJ$5:$AJ$64,MATCH($F182,사건마스터!$A$5:$A$64,0)),""))</f>
        <v/>
      </c>
      <c r="M182" s="35">
        <f>IF($F182="","",IFERROR(INDEX(사건마스터!$AK$5:$AK$64,MATCH($F182,사건마스터!$A$5:$A$64,0)),""))</f>
        <v/>
      </c>
      <c r="N182" s="35">
        <f>IF($F182="","",IFERROR(INDEX(사건마스터!$AL$5:$AL$64,MATCH($F182,사건마스터!$A$5:$A$64,0)),""))</f>
        <v/>
      </c>
      <c r="O182" s="35">
        <f>IF($F182="","",IFERROR(INDEX(사건마스터!$AM$5:$AM$64,MATCH($F182,사건마스터!$A$5:$A$64,0)),""))</f>
        <v/>
      </c>
      <c r="P182" s="35">
        <f>IF($F182="","",IFERROR(INDEX(사건마스터!$AN$5:$AN$64,MATCH($F182,사건마스터!$A$5:$A$64,0)),""))</f>
        <v/>
      </c>
      <c r="Q182" s="35">
        <f>IF($F182="","",IFERROR(INDEX(사건마스터!$AO$5:$AO$64,MATCH($F182,사건마스터!$A$5:$A$64,0)),""))</f>
        <v/>
      </c>
      <c r="R182" s="35">
        <f>IF($F182="","",IFERROR(INDEX(사건마스터!$AP$5:$AP$64,MATCH($F182,사건마스터!$A$5:$A$64,0)),""))</f>
        <v/>
      </c>
      <c r="S182" s="35">
        <f>IF($F182="","",IFERROR(INDEX(사건마스터!$AQ$5:$AQ$64,MATCH($F182,사건마스터!$A$5:$A$64,0)),""))</f>
        <v/>
      </c>
      <c r="T182" s="35">
        <f>IF($F182="","",IFERROR(INDEX(사건마스터!$AR$5:$AR$64,MATCH($F182,사건마스터!$A$5:$A$64,0)),""))</f>
        <v/>
      </c>
      <c r="U182" s="35">
        <f>IF($F182="","",IFERROR(INDEX(사건마스터!$AS$5:$AS$64,MATCH($F182,사건마스터!$A$5:$A$64,0)),""))</f>
        <v/>
      </c>
      <c r="V182" s="35">
        <f>IF($F182="","",IFERROR(INDEX(사건마스터!$AT$5:$AT$64,MATCH($F182,사건마스터!$A$5:$A$64,0)),""))</f>
        <v/>
      </c>
      <c r="W182" s="35">
        <f>IF($F182="","",IFERROR(INDEX(사건마스터!$AU$5:$AU$64,MATCH($F182,사건마스터!$A$5:$A$64,0)),""))</f>
        <v/>
      </c>
      <c r="X182" s="35">
        <f>IF($F182="","",IFERROR(INDEX(사건마스터!$AV$5:$AV$64,MATCH($F182,사건마스터!$A$5:$A$64,0)),""))</f>
        <v/>
      </c>
      <c r="Y182" s="30">
        <f>IF($I182="","",COUNTIF($I182:$X182,"?*"))</f>
        <v/>
      </c>
      <c r="Z182" s="33">
        <f>IF($I182="","",_xlfn.TEXTJOIN(", ",TRUE,$I182:$X182))</f>
        <v/>
      </c>
      <c r="AA182" s="34">
        <f>IF($I182="","",IFERROR(INDEX(코드설정!$D$5:$D$24,MATCH($I182,코드설정!$C$5:$C$24,0)),""))</f>
        <v/>
      </c>
      <c r="AB182" s="36" t="n"/>
      <c r="AC182" s="37" t="n"/>
      <c r="AD182" s="38" t="n"/>
      <c r="AE182" s="30">
        <f>IF(OR($B182="",$C182=""),"",$C182-$B182+1)</f>
        <v/>
      </c>
      <c r="AF182" s="32" t="n"/>
      <c r="AG182" s="36" t="n"/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3">
        <f>IF($F183="","",IFERROR(INDEX(사건마스터!$B$5:$B$64,MATCH($F183,사건마스터!$A$5:$A$64,0)),""))</f>
        <v/>
      </c>
      <c r="H183" s="34">
        <f>IF($F183="","",IFERROR(INDEX(사건마스터!$C$5:$C$64,MATCH($F183,사건마스터!$A$5:$A$64,0)),""))</f>
        <v/>
      </c>
      <c r="I183" s="35">
        <f>IF($F183="","",IFERROR(INDEX(사건마스터!$H$5:$H$64,MATCH($F183,사건마스터!$A$5:$A$64,0)),""))</f>
        <v/>
      </c>
      <c r="J183" s="35">
        <f>IF($F183="","",IFERROR(INDEX(사건마스터!$AH$5:$AH$64,MATCH($F183,사건마스터!$A$5:$A$64,0)),""))</f>
        <v/>
      </c>
      <c r="K183" s="35">
        <f>IF($F183="","",IFERROR(INDEX(사건마스터!$AI$5:$AI$64,MATCH($F183,사건마스터!$A$5:$A$64,0)),""))</f>
        <v/>
      </c>
      <c r="L183" s="35">
        <f>IF($F183="","",IFERROR(INDEX(사건마스터!$AJ$5:$AJ$64,MATCH($F183,사건마스터!$A$5:$A$64,0)),""))</f>
        <v/>
      </c>
      <c r="M183" s="35">
        <f>IF($F183="","",IFERROR(INDEX(사건마스터!$AK$5:$AK$64,MATCH($F183,사건마스터!$A$5:$A$64,0)),""))</f>
        <v/>
      </c>
      <c r="N183" s="35">
        <f>IF($F183="","",IFERROR(INDEX(사건마스터!$AL$5:$AL$64,MATCH($F183,사건마스터!$A$5:$A$64,0)),""))</f>
        <v/>
      </c>
      <c r="O183" s="35">
        <f>IF($F183="","",IFERROR(INDEX(사건마스터!$AM$5:$AM$64,MATCH($F183,사건마스터!$A$5:$A$64,0)),""))</f>
        <v/>
      </c>
      <c r="P183" s="35">
        <f>IF($F183="","",IFERROR(INDEX(사건마스터!$AN$5:$AN$64,MATCH($F183,사건마스터!$A$5:$A$64,0)),""))</f>
        <v/>
      </c>
      <c r="Q183" s="35">
        <f>IF($F183="","",IFERROR(INDEX(사건마스터!$AO$5:$AO$64,MATCH($F183,사건마스터!$A$5:$A$64,0)),""))</f>
        <v/>
      </c>
      <c r="R183" s="35">
        <f>IF($F183="","",IFERROR(INDEX(사건마스터!$AP$5:$AP$64,MATCH($F183,사건마스터!$A$5:$A$64,0)),""))</f>
        <v/>
      </c>
      <c r="S183" s="35">
        <f>IF($F183="","",IFERROR(INDEX(사건마스터!$AQ$5:$AQ$64,MATCH($F183,사건마스터!$A$5:$A$64,0)),""))</f>
        <v/>
      </c>
      <c r="T183" s="35">
        <f>IF($F183="","",IFERROR(INDEX(사건마스터!$AR$5:$AR$64,MATCH($F183,사건마스터!$A$5:$A$64,0)),""))</f>
        <v/>
      </c>
      <c r="U183" s="35">
        <f>IF($F183="","",IFERROR(INDEX(사건마스터!$AS$5:$AS$64,MATCH($F183,사건마스터!$A$5:$A$64,0)),""))</f>
        <v/>
      </c>
      <c r="V183" s="35">
        <f>IF($F183="","",IFERROR(INDEX(사건마스터!$AT$5:$AT$64,MATCH($F183,사건마스터!$A$5:$A$64,0)),""))</f>
        <v/>
      </c>
      <c r="W183" s="35">
        <f>IF($F183="","",IFERROR(INDEX(사건마스터!$AU$5:$AU$64,MATCH($F183,사건마스터!$A$5:$A$64,0)),""))</f>
        <v/>
      </c>
      <c r="X183" s="35">
        <f>IF($F183="","",IFERROR(INDEX(사건마스터!$AV$5:$AV$64,MATCH($F183,사건마스터!$A$5:$A$64,0)),""))</f>
        <v/>
      </c>
      <c r="Y183" s="30">
        <f>IF($I183="","",COUNTIF($I183:$X183,"?*"))</f>
        <v/>
      </c>
      <c r="Z183" s="33">
        <f>IF($I183="","",_xlfn.TEXTJOIN(", ",TRUE,$I183:$X183))</f>
        <v/>
      </c>
      <c r="AA183" s="34">
        <f>IF($I183="","",IFERROR(INDEX(코드설정!$D$5:$D$24,MATCH($I183,코드설정!$C$5:$C$24,0)),""))</f>
        <v/>
      </c>
      <c r="AB183" s="36" t="n"/>
      <c r="AC183" s="37" t="n"/>
      <c r="AD183" s="38" t="n"/>
      <c r="AE183" s="30">
        <f>IF(OR($B183="",$C183=""),"",$C183-$B183+1)</f>
        <v/>
      </c>
      <c r="AF183" s="32" t="n"/>
      <c r="AG183" s="36" t="n"/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3">
        <f>IF($F184="","",IFERROR(INDEX(사건마스터!$B$5:$B$64,MATCH($F184,사건마스터!$A$5:$A$64,0)),""))</f>
        <v/>
      </c>
      <c r="H184" s="34">
        <f>IF($F184="","",IFERROR(INDEX(사건마스터!$C$5:$C$64,MATCH($F184,사건마스터!$A$5:$A$64,0)),""))</f>
        <v/>
      </c>
      <c r="I184" s="35">
        <f>IF($F184="","",IFERROR(INDEX(사건마스터!$H$5:$H$64,MATCH($F184,사건마스터!$A$5:$A$64,0)),""))</f>
        <v/>
      </c>
      <c r="J184" s="35">
        <f>IF($F184="","",IFERROR(INDEX(사건마스터!$AH$5:$AH$64,MATCH($F184,사건마스터!$A$5:$A$64,0)),""))</f>
        <v/>
      </c>
      <c r="K184" s="35">
        <f>IF($F184="","",IFERROR(INDEX(사건마스터!$AI$5:$AI$64,MATCH($F184,사건마스터!$A$5:$A$64,0)),""))</f>
        <v/>
      </c>
      <c r="L184" s="35">
        <f>IF($F184="","",IFERROR(INDEX(사건마스터!$AJ$5:$AJ$64,MATCH($F184,사건마스터!$A$5:$A$64,0)),""))</f>
        <v/>
      </c>
      <c r="M184" s="35">
        <f>IF($F184="","",IFERROR(INDEX(사건마스터!$AK$5:$AK$64,MATCH($F184,사건마스터!$A$5:$A$64,0)),""))</f>
        <v/>
      </c>
      <c r="N184" s="35">
        <f>IF($F184="","",IFERROR(INDEX(사건마스터!$AL$5:$AL$64,MATCH($F184,사건마스터!$A$5:$A$64,0)),""))</f>
        <v/>
      </c>
      <c r="O184" s="35">
        <f>IF($F184="","",IFERROR(INDEX(사건마스터!$AM$5:$AM$64,MATCH($F184,사건마스터!$A$5:$A$64,0)),""))</f>
        <v/>
      </c>
      <c r="P184" s="35">
        <f>IF($F184="","",IFERROR(INDEX(사건마스터!$AN$5:$AN$64,MATCH($F184,사건마스터!$A$5:$A$64,0)),""))</f>
        <v/>
      </c>
      <c r="Q184" s="35">
        <f>IF($F184="","",IFERROR(INDEX(사건마스터!$AO$5:$AO$64,MATCH($F184,사건마스터!$A$5:$A$64,0)),""))</f>
        <v/>
      </c>
      <c r="R184" s="35">
        <f>IF($F184="","",IFERROR(INDEX(사건마스터!$AP$5:$AP$64,MATCH($F184,사건마스터!$A$5:$A$64,0)),""))</f>
        <v/>
      </c>
      <c r="S184" s="35">
        <f>IF($F184="","",IFERROR(INDEX(사건마스터!$AQ$5:$AQ$64,MATCH($F184,사건마스터!$A$5:$A$64,0)),""))</f>
        <v/>
      </c>
      <c r="T184" s="35">
        <f>IF($F184="","",IFERROR(INDEX(사건마스터!$AR$5:$AR$64,MATCH($F184,사건마스터!$A$5:$A$64,0)),""))</f>
        <v/>
      </c>
      <c r="U184" s="35">
        <f>IF($F184="","",IFERROR(INDEX(사건마스터!$AS$5:$AS$64,MATCH($F184,사건마스터!$A$5:$A$64,0)),""))</f>
        <v/>
      </c>
      <c r="V184" s="35">
        <f>IF($F184="","",IFERROR(INDEX(사건마스터!$AT$5:$AT$64,MATCH($F184,사건마스터!$A$5:$A$64,0)),""))</f>
        <v/>
      </c>
      <c r="W184" s="35">
        <f>IF($F184="","",IFERROR(INDEX(사건마스터!$AU$5:$AU$64,MATCH($F184,사건마스터!$A$5:$A$64,0)),""))</f>
        <v/>
      </c>
      <c r="X184" s="35">
        <f>IF($F184="","",IFERROR(INDEX(사건마스터!$AV$5:$AV$64,MATCH($F184,사건마스터!$A$5:$A$64,0)),""))</f>
        <v/>
      </c>
      <c r="Y184" s="30">
        <f>IF($I184="","",COUNTIF($I184:$X184,"?*"))</f>
        <v/>
      </c>
      <c r="Z184" s="33">
        <f>IF($I184="","",_xlfn.TEXTJOIN(", ",TRUE,$I184:$X184))</f>
        <v/>
      </c>
      <c r="AA184" s="34">
        <f>IF($I184="","",IFERROR(INDEX(코드설정!$D$5:$D$24,MATCH($I184,코드설정!$C$5:$C$24,0)),""))</f>
        <v/>
      </c>
      <c r="AB184" s="36" t="n"/>
      <c r="AC184" s="37" t="n"/>
      <c r="AD184" s="38" t="n"/>
      <c r="AE184" s="30">
        <f>IF(OR($B184="",$C184=""),"",$C184-$B184+1)</f>
        <v/>
      </c>
      <c r="AF184" s="32" t="n"/>
      <c r="AG184" s="36" t="n"/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3">
        <f>IF($F185="","",IFERROR(INDEX(사건마스터!$B$5:$B$64,MATCH($F185,사건마스터!$A$5:$A$64,0)),""))</f>
        <v/>
      </c>
      <c r="H185" s="34">
        <f>IF($F185="","",IFERROR(INDEX(사건마스터!$C$5:$C$64,MATCH($F185,사건마스터!$A$5:$A$64,0)),""))</f>
        <v/>
      </c>
      <c r="I185" s="35">
        <f>IF($F185="","",IFERROR(INDEX(사건마스터!$H$5:$H$64,MATCH($F185,사건마스터!$A$5:$A$64,0)),""))</f>
        <v/>
      </c>
      <c r="J185" s="35">
        <f>IF($F185="","",IFERROR(INDEX(사건마스터!$AH$5:$AH$64,MATCH($F185,사건마스터!$A$5:$A$64,0)),""))</f>
        <v/>
      </c>
      <c r="K185" s="35">
        <f>IF($F185="","",IFERROR(INDEX(사건마스터!$AI$5:$AI$64,MATCH($F185,사건마스터!$A$5:$A$64,0)),""))</f>
        <v/>
      </c>
      <c r="L185" s="35">
        <f>IF($F185="","",IFERROR(INDEX(사건마스터!$AJ$5:$AJ$64,MATCH($F185,사건마스터!$A$5:$A$64,0)),""))</f>
        <v/>
      </c>
      <c r="M185" s="35">
        <f>IF($F185="","",IFERROR(INDEX(사건마스터!$AK$5:$AK$64,MATCH($F185,사건마스터!$A$5:$A$64,0)),""))</f>
        <v/>
      </c>
      <c r="N185" s="35">
        <f>IF($F185="","",IFERROR(INDEX(사건마스터!$AL$5:$AL$64,MATCH($F185,사건마스터!$A$5:$A$64,0)),""))</f>
        <v/>
      </c>
      <c r="O185" s="35">
        <f>IF($F185="","",IFERROR(INDEX(사건마스터!$AM$5:$AM$64,MATCH($F185,사건마스터!$A$5:$A$64,0)),""))</f>
        <v/>
      </c>
      <c r="P185" s="35">
        <f>IF($F185="","",IFERROR(INDEX(사건마스터!$AN$5:$AN$64,MATCH($F185,사건마스터!$A$5:$A$64,0)),""))</f>
        <v/>
      </c>
      <c r="Q185" s="35">
        <f>IF($F185="","",IFERROR(INDEX(사건마스터!$AO$5:$AO$64,MATCH($F185,사건마스터!$A$5:$A$64,0)),""))</f>
        <v/>
      </c>
      <c r="R185" s="35">
        <f>IF($F185="","",IFERROR(INDEX(사건마스터!$AP$5:$AP$64,MATCH($F185,사건마스터!$A$5:$A$64,0)),""))</f>
        <v/>
      </c>
      <c r="S185" s="35">
        <f>IF($F185="","",IFERROR(INDEX(사건마스터!$AQ$5:$AQ$64,MATCH($F185,사건마스터!$A$5:$A$64,0)),""))</f>
        <v/>
      </c>
      <c r="T185" s="35">
        <f>IF($F185="","",IFERROR(INDEX(사건마스터!$AR$5:$AR$64,MATCH($F185,사건마스터!$A$5:$A$64,0)),""))</f>
        <v/>
      </c>
      <c r="U185" s="35">
        <f>IF($F185="","",IFERROR(INDEX(사건마스터!$AS$5:$AS$64,MATCH($F185,사건마스터!$A$5:$A$64,0)),""))</f>
        <v/>
      </c>
      <c r="V185" s="35">
        <f>IF($F185="","",IFERROR(INDEX(사건마스터!$AT$5:$AT$64,MATCH($F185,사건마스터!$A$5:$A$64,0)),""))</f>
        <v/>
      </c>
      <c r="W185" s="35">
        <f>IF($F185="","",IFERROR(INDEX(사건마스터!$AU$5:$AU$64,MATCH($F185,사건마스터!$A$5:$A$64,0)),""))</f>
        <v/>
      </c>
      <c r="X185" s="35">
        <f>IF($F185="","",IFERROR(INDEX(사건마스터!$AV$5:$AV$64,MATCH($F185,사건마스터!$A$5:$A$64,0)),""))</f>
        <v/>
      </c>
      <c r="Y185" s="30">
        <f>IF($I185="","",COUNTIF($I185:$X185,"?*"))</f>
        <v/>
      </c>
      <c r="Z185" s="33">
        <f>IF($I185="","",_xlfn.TEXTJOIN(", ",TRUE,$I185:$X185))</f>
        <v/>
      </c>
      <c r="AA185" s="34">
        <f>IF($I185="","",IFERROR(INDEX(코드설정!$D$5:$D$24,MATCH($I185,코드설정!$C$5:$C$24,0)),""))</f>
        <v/>
      </c>
      <c r="AB185" s="36" t="n"/>
      <c r="AC185" s="37" t="n"/>
      <c r="AD185" s="38" t="n"/>
      <c r="AE185" s="30">
        <f>IF(OR($B185="",$C185=""),"",$C185-$B185+1)</f>
        <v/>
      </c>
      <c r="AF185" s="32" t="n"/>
      <c r="AG185" s="36" t="n"/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3">
        <f>IF($F186="","",IFERROR(INDEX(사건마스터!$B$5:$B$64,MATCH($F186,사건마스터!$A$5:$A$64,0)),""))</f>
        <v/>
      </c>
      <c r="H186" s="34">
        <f>IF($F186="","",IFERROR(INDEX(사건마스터!$C$5:$C$64,MATCH($F186,사건마스터!$A$5:$A$64,0)),""))</f>
        <v/>
      </c>
      <c r="I186" s="35">
        <f>IF($F186="","",IFERROR(INDEX(사건마스터!$H$5:$H$64,MATCH($F186,사건마스터!$A$5:$A$64,0)),""))</f>
        <v/>
      </c>
      <c r="J186" s="35">
        <f>IF($F186="","",IFERROR(INDEX(사건마스터!$AH$5:$AH$64,MATCH($F186,사건마스터!$A$5:$A$64,0)),""))</f>
        <v/>
      </c>
      <c r="K186" s="35">
        <f>IF($F186="","",IFERROR(INDEX(사건마스터!$AI$5:$AI$64,MATCH($F186,사건마스터!$A$5:$A$64,0)),""))</f>
        <v/>
      </c>
      <c r="L186" s="35">
        <f>IF($F186="","",IFERROR(INDEX(사건마스터!$AJ$5:$AJ$64,MATCH($F186,사건마스터!$A$5:$A$64,0)),""))</f>
        <v/>
      </c>
      <c r="M186" s="35">
        <f>IF($F186="","",IFERROR(INDEX(사건마스터!$AK$5:$AK$64,MATCH($F186,사건마스터!$A$5:$A$64,0)),""))</f>
        <v/>
      </c>
      <c r="N186" s="35">
        <f>IF($F186="","",IFERROR(INDEX(사건마스터!$AL$5:$AL$64,MATCH($F186,사건마스터!$A$5:$A$64,0)),""))</f>
        <v/>
      </c>
      <c r="O186" s="35">
        <f>IF($F186="","",IFERROR(INDEX(사건마스터!$AM$5:$AM$64,MATCH($F186,사건마스터!$A$5:$A$64,0)),""))</f>
        <v/>
      </c>
      <c r="P186" s="35">
        <f>IF($F186="","",IFERROR(INDEX(사건마스터!$AN$5:$AN$64,MATCH($F186,사건마스터!$A$5:$A$64,0)),""))</f>
        <v/>
      </c>
      <c r="Q186" s="35">
        <f>IF($F186="","",IFERROR(INDEX(사건마스터!$AO$5:$AO$64,MATCH($F186,사건마스터!$A$5:$A$64,0)),""))</f>
        <v/>
      </c>
      <c r="R186" s="35">
        <f>IF($F186="","",IFERROR(INDEX(사건마스터!$AP$5:$AP$64,MATCH($F186,사건마스터!$A$5:$A$64,0)),""))</f>
        <v/>
      </c>
      <c r="S186" s="35">
        <f>IF($F186="","",IFERROR(INDEX(사건마스터!$AQ$5:$AQ$64,MATCH($F186,사건마스터!$A$5:$A$64,0)),""))</f>
        <v/>
      </c>
      <c r="T186" s="35">
        <f>IF($F186="","",IFERROR(INDEX(사건마스터!$AR$5:$AR$64,MATCH($F186,사건마스터!$A$5:$A$64,0)),""))</f>
        <v/>
      </c>
      <c r="U186" s="35">
        <f>IF($F186="","",IFERROR(INDEX(사건마스터!$AS$5:$AS$64,MATCH($F186,사건마스터!$A$5:$A$64,0)),""))</f>
        <v/>
      </c>
      <c r="V186" s="35">
        <f>IF($F186="","",IFERROR(INDEX(사건마스터!$AT$5:$AT$64,MATCH($F186,사건마스터!$A$5:$A$64,0)),""))</f>
        <v/>
      </c>
      <c r="W186" s="35">
        <f>IF($F186="","",IFERROR(INDEX(사건마스터!$AU$5:$AU$64,MATCH($F186,사건마스터!$A$5:$A$64,0)),""))</f>
        <v/>
      </c>
      <c r="X186" s="35">
        <f>IF($F186="","",IFERROR(INDEX(사건마스터!$AV$5:$AV$64,MATCH($F186,사건마스터!$A$5:$A$64,0)),""))</f>
        <v/>
      </c>
      <c r="Y186" s="30">
        <f>IF($I186="","",COUNTIF($I186:$X186,"?*"))</f>
        <v/>
      </c>
      <c r="Z186" s="33">
        <f>IF($I186="","",_xlfn.TEXTJOIN(", ",TRUE,$I186:$X186))</f>
        <v/>
      </c>
      <c r="AA186" s="34">
        <f>IF($I186="","",IFERROR(INDEX(코드설정!$D$5:$D$24,MATCH($I186,코드설정!$C$5:$C$24,0)),""))</f>
        <v/>
      </c>
      <c r="AB186" s="36" t="n"/>
      <c r="AC186" s="37" t="n"/>
      <c r="AD186" s="38" t="n"/>
      <c r="AE186" s="30">
        <f>IF(OR($B186="",$C186=""),"",$C186-$B186+1)</f>
        <v/>
      </c>
      <c r="AF186" s="32" t="n"/>
      <c r="AG186" s="36" t="n"/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3">
        <f>IF($F187="","",IFERROR(INDEX(사건마스터!$B$5:$B$64,MATCH($F187,사건마스터!$A$5:$A$64,0)),""))</f>
        <v/>
      </c>
      <c r="H187" s="34">
        <f>IF($F187="","",IFERROR(INDEX(사건마스터!$C$5:$C$64,MATCH($F187,사건마스터!$A$5:$A$64,0)),""))</f>
        <v/>
      </c>
      <c r="I187" s="35">
        <f>IF($F187="","",IFERROR(INDEX(사건마스터!$H$5:$H$64,MATCH($F187,사건마스터!$A$5:$A$64,0)),""))</f>
        <v/>
      </c>
      <c r="J187" s="35">
        <f>IF($F187="","",IFERROR(INDEX(사건마스터!$AH$5:$AH$64,MATCH($F187,사건마스터!$A$5:$A$64,0)),""))</f>
        <v/>
      </c>
      <c r="K187" s="35">
        <f>IF($F187="","",IFERROR(INDEX(사건마스터!$AI$5:$AI$64,MATCH($F187,사건마스터!$A$5:$A$64,0)),""))</f>
        <v/>
      </c>
      <c r="L187" s="35">
        <f>IF($F187="","",IFERROR(INDEX(사건마스터!$AJ$5:$AJ$64,MATCH($F187,사건마스터!$A$5:$A$64,0)),""))</f>
        <v/>
      </c>
      <c r="M187" s="35">
        <f>IF($F187="","",IFERROR(INDEX(사건마스터!$AK$5:$AK$64,MATCH($F187,사건마스터!$A$5:$A$64,0)),""))</f>
        <v/>
      </c>
      <c r="N187" s="35">
        <f>IF($F187="","",IFERROR(INDEX(사건마스터!$AL$5:$AL$64,MATCH($F187,사건마스터!$A$5:$A$64,0)),""))</f>
        <v/>
      </c>
      <c r="O187" s="35">
        <f>IF($F187="","",IFERROR(INDEX(사건마스터!$AM$5:$AM$64,MATCH($F187,사건마스터!$A$5:$A$64,0)),""))</f>
        <v/>
      </c>
      <c r="P187" s="35">
        <f>IF($F187="","",IFERROR(INDEX(사건마스터!$AN$5:$AN$64,MATCH($F187,사건마스터!$A$5:$A$64,0)),""))</f>
        <v/>
      </c>
      <c r="Q187" s="35">
        <f>IF($F187="","",IFERROR(INDEX(사건마스터!$AO$5:$AO$64,MATCH($F187,사건마스터!$A$5:$A$64,0)),""))</f>
        <v/>
      </c>
      <c r="R187" s="35">
        <f>IF($F187="","",IFERROR(INDEX(사건마스터!$AP$5:$AP$64,MATCH($F187,사건마스터!$A$5:$A$64,0)),""))</f>
        <v/>
      </c>
      <c r="S187" s="35">
        <f>IF($F187="","",IFERROR(INDEX(사건마스터!$AQ$5:$AQ$64,MATCH($F187,사건마스터!$A$5:$A$64,0)),""))</f>
        <v/>
      </c>
      <c r="T187" s="35">
        <f>IF($F187="","",IFERROR(INDEX(사건마스터!$AR$5:$AR$64,MATCH($F187,사건마스터!$A$5:$A$64,0)),""))</f>
        <v/>
      </c>
      <c r="U187" s="35">
        <f>IF($F187="","",IFERROR(INDEX(사건마스터!$AS$5:$AS$64,MATCH($F187,사건마스터!$A$5:$A$64,0)),""))</f>
        <v/>
      </c>
      <c r="V187" s="35">
        <f>IF($F187="","",IFERROR(INDEX(사건마스터!$AT$5:$AT$64,MATCH($F187,사건마스터!$A$5:$A$64,0)),""))</f>
        <v/>
      </c>
      <c r="W187" s="35">
        <f>IF($F187="","",IFERROR(INDEX(사건마스터!$AU$5:$AU$64,MATCH($F187,사건마스터!$A$5:$A$64,0)),""))</f>
        <v/>
      </c>
      <c r="X187" s="35">
        <f>IF($F187="","",IFERROR(INDEX(사건마스터!$AV$5:$AV$64,MATCH($F187,사건마스터!$A$5:$A$64,0)),""))</f>
        <v/>
      </c>
      <c r="Y187" s="30">
        <f>IF($I187="","",COUNTIF($I187:$X187,"?*"))</f>
        <v/>
      </c>
      <c r="Z187" s="33">
        <f>IF($I187="","",_xlfn.TEXTJOIN(", ",TRUE,$I187:$X187))</f>
        <v/>
      </c>
      <c r="AA187" s="34">
        <f>IF($I187="","",IFERROR(INDEX(코드설정!$D$5:$D$24,MATCH($I187,코드설정!$C$5:$C$24,0)),""))</f>
        <v/>
      </c>
      <c r="AB187" s="36" t="n"/>
      <c r="AC187" s="37" t="n"/>
      <c r="AD187" s="38" t="n"/>
      <c r="AE187" s="30">
        <f>IF(OR($B187="",$C187=""),"",$C187-$B187+1)</f>
        <v/>
      </c>
      <c r="AF187" s="32" t="n"/>
      <c r="AG187" s="36" t="n"/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3">
        <f>IF($F188="","",IFERROR(INDEX(사건마스터!$B$5:$B$64,MATCH($F188,사건마스터!$A$5:$A$64,0)),""))</f>
        <v/>
      </c>
      <c r="H188" s="34">
        <f>IF($F188="","",IFERROR(INDEX(사건마스터!$C$5:$C$64,MATCH($F188,사건마스터!$A$5:$A$64,0)),""))</f>
        <v/>
      </c>
      <c r="I188" s="35">
        <f>IF($F188="","",IFERROR(INDEX(사건마스터!$H$5:$H$64,MATCH($F188,사건마스터!$A$5:$A$64,0)),""))</f>
        <v/>
      </c>
      <c r="J188" s="35">
        <f>IF($F188="","",IFERROR(INDEX(사건마스터!$AH$5:$AH$64,MATCH($F188,사건마스터!$A$5:$A$64,0)),""))</f>
        <v/>
      </c>
      <c r="K188" s="35">
        <f>IF($F188="","",IFERROR(INDEX(사건마스터!$AI$5:$AI$64,MATCH($F188,사건마스터!$A$5:$A$64,0)),""))</f>
        <v/>
      </c>
      <c r="L188" s="35">
        <f>IF($F188="","",IFERROR(INDEX(사건마스터!$AJ$5:$AJ$64,MATCH($F188,사건마스터!$A$5:$A$64,0)),""))</f>
        <v/>
      </c>
      <c r="M188" s="35">
        <f>IF($F188="","",IFERROR(INDEX(사건마스터!$AK$5:$AK$64,MATCH($F188,사건마스터!$A$5:$A$64,0)),""))</f>
        <v/>
      </c>
      <c r="N188" s="35">
        <f>IF($F188="","",IFERROR(INDEX(사건마스터!$AL$5:$AL$64,MATCH($F188,사건마스터!$A$5:$A$64,0)),""))</f>
        <v/>
      </c>
      <c r="O188" s="35">
        <f>IF($F188="","",IFERROR(INDEX(사건마스터!$AM$5:$AM$64,MATCH($F188,사건마스터!$A$5:$A$64,0)),""))</f>
        <v/>
      </c>
      <c r="P188" s="35">
        <f>IF($F188="","",IFERROR(INDEX(사건마스터!$AN$5:$AN$64,MATCH($F188,사건마스터!$A$5:$A$64,0)),""))</f>
        <v/>
      </c>
      <c r="Q188" s="35">
        <f>IF($F188="","",IFERROR(INDEX(사건마스터!$AO$5:$AO$64,MATCH($F188,사건마스터!$A$5:$A$64,0)),""))</f>
        <v/>
      </c>
      <c r="R188" s="35">
        <f>IF($F188="","",IFERROR(INDEX(사건마스터!$AP$5:$AP$64,MATCH($F188,사건마스터!$A$5:$A$64,0)),""))</f>
        <v/>
      </c>
      <c r="S188" s="35">
        <f>IF($F188="","",IFERROR(INDEX(사건마스터!$AQ$5:$AQ$64,MATCH($F188,사건마스터!$A$5:$A$64,0)),""))</f>
        <v/>
      </c>
      <c r="T188" s="35">
        <f>IF($F188="","",IFERROR(INDEX(사건마스터!$AR$5:$AR$64,MATCH($F188,사건마스터!$A$5:$A$64,0)),""))</f>
        <v/>
      </c>
      <c r="U188" s="35">
        <f>IF($F188="","",IFERROR(INDEX(사건마스터!$AS$5:$AS$64,MATCH($F188,사건마스터!$A$5:$A$64,0)),""))</f>
        <v/>
      </c>
      <c r="V188" s="35">
        <f>IF($F188="","",IFERROR(INDEX(사건마스터!$AT$5:$AT$64,MATCH($F188,사건마스터!$A$5:$A$64,0)),""))</f>
        <v/>
      </c>
      <c r="W188" s="35">
        <f>IF($F188="","",IFERROR(INDEX(사건마스터!$AU$5:$AU$64,MATCH($F188,사건마스터!$A$5:$A$64,0)),""))</f>
        <v/>
      </c>
      <c r="X188" s="35">
        <f>IF($F188="","",IFERROR(INDEX(사건마스터!$AV$5:$AV$64,MATCH($F188,사건마스터!$A$5:$A$64,0)),""))</f>
        <v/>
      </c>
      <c r="Y188" s="30">
        <f>IF($I188="","",COUNTIF($I188:$X188,"?*"))</f>
        <v/>
      </c>
      <c r="Z188" s="33">
        <f>IF($I188="","",_xlfn.TEXTJOIN(", ",TRUE,$I188:$X188))</f>
        <v/>
      </c>
      <c r="AA188" s="34">
        <f>IF($I188="","",IFERROR(INDEX(코드설정!$D$5:$D$24,MATCH($I188,코드설정!$C$5:$C$24,0)),""))</f>
        <v/>
      </c>
      <c r="AB188" s="36" t="n"/>
      <c r="AC188" s="37" t="n"/>
      <c r="AD188" s="38" t="n"/>
      <c r="AE188" s="30">
        <f>IF(OR($B188="",$C188=""),"",$C188-$B188+1)</f>
        <v/>
      </c>
      <c r="AF188" s="32" t="n"/>
      <c r="AG188" s="36" t="n"/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3">
        <f>IF($F189="","",IFERROR(INDEX(사건마스터!$B$5:$B$64,MATCH($F189,사건마스터!$A$5:$A$64,0)),""))</f>
        <v/>
      </c>
      <c r="H189" s="34">
        <f>IF($F189="","",IFERROR(INDEX(사건마스터!$C$5:$C$64,MATCH($F189,사건마스터!$A$5:$A$64,0)),""))</f>
        <v/>
      </c>
      <c r="I189" s="35">
        <f>IF($F189="","",IFERROR(INDEX(사건마스터!$H$5:$H$64,MATCH($F189,사건마스터!$A$5:$A$64,0)),""))</f>
        <v/>
      </c>
      <c r="J189" s="35">
        <f>IF($F189="","",IFERROR(INDEX(사건마스터!$AH$5:$AH$64,MATCH($F189,사건마스터!$A$5:$A$64,0)),""))</f>
        <v/>
      </c>
      <c r="K189" s="35">
        <f>IF($F189="","",IFERROR(INDEX(사건마스터!$AI$5:$AI$64,MATCH($F189,사건마스터!$A$5:$A$64,0)),""))</f>
        <v/>
      </c>
      <c r="L189" s="35">
        <f>IF($F189="","",IFERROR(INDEX(사건마스터!$AJ$5:$AJ$64,MATCH($F189,사건마스터!$A$5:$A$64,0)),""))</f>
        <v/>
      </c>
      <c r="M189" s="35">
        <f>IF($F189="","",IFERROR(INDEX(사건마스터!$AK$5:$AK$64,MATCH($F189,사건마스터!$A$5:$A$64,0)),""))</f>
        <v/>
      </c>
      <c r="N189" s="35">
        <f>IF($F189="","",IFERROR(INDEX(사건마스터!$AL$5:$AL$64,MATCH($F189,사건마스터!$A$5:$A$64,0)),""))</f>
        <v/>
      </c>
      <c r="O189" s="35">
        <f>IF($F189="","",IFERROR(INDEX(사건마스터!$AM$5:$AM$64,MATCH($F189,사건마스터!$A$5:$A$64,0)),""))</f>
        <v/>
      </c>
      <c r="P189" s="35">
        <f>IF($F189="","",IFERROR(INDEX(사건마스터!$AN$5:$AN$64,MATCH($F189,사건마스터!$A$5:$A$64,0)),""))</f>
        <v/>
      </c>
      <c r="Q189" s="35">
        <f>IF($F189="","",IFERROR(INDEX(사건마스터!$AO$5:$AO$64,MATCH($F189,사건마스터!$A$5:$A$64,0)),""))</f>
        <v/>
      </c>
      <c r="R189" s="35">
        <f>IF($F189="","",IFERROR(INDEX(사건마스터!$AP$5:$AP$64,MATCH($F189,사건마스터!$A$5:$A$64,0)),""))</f>
        <v/>
      </c>
      <c r="S189" s="35">
        <f>IF($F189="","",IFERROR(INDEX(사건마스터!$AQ$5:$AQ$64,MATCH($F189,사건마스터!$A$5:$A$64,0)),""))</f>
        <v/>
      </c>
      <c r="T189" s="35">
        <f>IF($F189="","",IFERROR(INDEX(사건마스터!$AR$5:$AR$64,MATCH($F189,사건마스터!$A$5:$A$64,0)),""))</f>
        <v/>
      </c>
      <c r="U189" s="35">
        <f>IF($F189="","",IFERROR(INDEX(사건마스터!$AS$5:$AS$64,MATCH($F189,사건마스터!$A$5:$A$64,0)),""))</f>
        <v/>
      </c>
      <c r="V189" s="35">
        <f>IF($F189="","",IFERROR(INDEX(사건마스터!$AT$5:$AT$64,MATCH($F189,사건마스터!$A$5:$A$64,0)),""))</f>
        <v/>
      </c>
      <c r="W189" s="35">
        <f>IF($F189="","",IFERROR(INDEX(사건마스터!$AU$5:$AU$64,MATCH($F189,사건마스터!$A$5:$A$64,0)),""))</f>
        <v/>
      </c>
      <c r="X189" s="35">
        <f>IF($F189="","",IFERROR(INDEX(사건마스터!$AV$5:$AV$64,MATCH($F189,사건마스터!$A$5:$A$64,0)),""))</f>
        <v/>
      </c>
      <c r="Y189" s="30">
        <f>IF($I189="","",COUNTIF($I189:$X189,"?*"))</f>
        <v/>
      </c>
      <c r="Z189" s="33">
        <f>IF($I189="","",_xlfn.TEXTJOIN(", ",TRUE,$I189:$X189))</f>
        <v/>
      </c>
      <c r="AA189" s="34">
        <f>IF($I189="","",IFERROR(INDEX(코드설정!$D$5:$D$24,MATCH($I189,코드설정!$C$5:$C$24,0)),""))</f>
        <v/>
      </c>
      <c r="AB189" s="36" t="n"/>
      <c r="AC189" s="37" t="n"/>
      <c r="AD189" s="38" t="n"/>
      <c r="AE189" s="30">
        <f>IF(OR($B189="",$C189=""),"",$C189-$B189+1)</f>
        <v/>
      </c>
      <c r="AF189" s="32" t="n"/>
      <c r="AG189" s="36" t="n"/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3">
        <f>IF($F190="","",IFERROR(INDEX(사건마스터!$B$5:$B$64,MATCH($F190,사건마스터!$A$5:$A$64,0)),""))</f>
        <v/>
      </c>
      <c r="H190" s="34">
        <f>IF($F190="","",IFERROR(INDEX(사건마스터!$C$5:$C$64,MATCH($F190,사건마스터!$A$5:$A$64,0)),""))</f>
        <v/>
      </c>
      <c r="I190" s="35">
        <f>IF($F190="","",IFERROR(INDEX(사건마스터!$H$5:$H$64,MATCH($F190,사건마스터!$A$5:$A$64,0)),""))</f>
        <v/>
      </c>
      <c r="J190" s="35">
        <f>IF($F190="","",IFERROR(INDEX(사건마스터!$AH$5:$AH$64,MATCH($F190,사건마스터!$A$5:$A$64,0)),""))</f>
        <v/>
      </c>
      <c r="K190" s="35">
        <f>IF($F190="","",IFERROR(INDEX(사건마스터!$AI$5:$AI$64,MATCH($F190,사건마스터!$A$5:$A$64,0)),""))</f>
        <v/>
      </c>
      <c r="L190" s="35">
        <f>IF($F190="","",IFERROR(INDEX(사건마스터!$AJ$5:$AJ$64,MATCH($F190,사건마스터!$A$5:$A$64,0)),""))</f>
        <v/>
      </c>
      <c r="M190" s="35">
        <f>IF($F190="","",IFERROR(INDEX(사건마스터!$AK$5:$AK$64,MATCH($F190,사건마스터!$A$5:$A$64,0)),""))</f>
        <v/>
      </c>
      <c r="N190" s="35">
        <f>IF($F190="","",IFERROR(INDEX(사건마스터!$AL$5:$AL$64,MATCH($F190,사건마스터!$A$5:$A$64,0)),""))</f>
        <v/>
      </c>
      <c r="O190" s="35">
        <f>IF($F190="","",IFERROR(INDEX(사건마스터!$AM$5:$AM$64,MATCH($F190,사건마스터!$A$5:$A$64,0)),""))</f>
        <v/>
      </c>
      <c r="P190" s="35">
        <f>IF($F190="","",IFERROR(INDEX(사건마스터!$AN$5:$AN$64,MATCH($F190,사건마스터!$A$5:$A$64,0)),""))</f>
        <v/>
      </c>
      <c r="Q190" s="35">
        <f>IF($F190="","",IFERROR(INDEX(사건마스터!$AO$5:$AO$64,MATCH($F190,사건마스터!$A$5:$A$64,0)),""))</f>
        <v/>
      </c>
      <c r="R190" s="35">
        <f>IF($F190="","",IFERROR(INDEX(사건마스터!$AP$5:$AP$64,MATCH($F190,사건마스터!$A$5:$A$64,0)),""))</f>
        <v/>
      </c>
      <c r="S190" s="35">
        <f>IF($F190="","",IFERROR(INDEX(사건마스터!$AQ$5:$AQ$64,MATCH($F190,사건마스터!$A$5:$A$64,0)),""))</f>
        <v/>
      </c>
      <c r="T190" s="35">
        <f>IF($F190="","",IFERROR(INDEX(사건마스터!$AR$5:$AR$64,MATCH($F190,사건마스터!$A$5:$A$64,0)),""))</f>
        <v/>
      </c>
      <c r="U190" s="35">
        <f>IF($F190="","",IFERROR(INDEX(사건마스터!$AS$5:$AS$64,MATCH($F190,사건마스터!$A$5:$A$64,0)),""))</f>
        <v/>
      </c>
      <c r="V190" s="35">
        <f>IF($F190="","",IFERROR(INDEX(사건마스터!$AT$5:$AT$64,MATCH($F190,사건마스터!$A$5:$A$64,0)),""))</f>
        <v/>
      </c>
      <c r="W190" s="35">
        <f>IF($F190="","",IFERROR(INDEX(사건마스터!$AU$5:$AU$64,MATCH($F190,사건마스터!$A$5:$A$64,0)),""))</f>
        <v/>
      </c>
      <c r="X190" s="35">
        <f>IF($F190="","",IFERROR(INDEX(사건마스터!$AV$5:$AV$64,MATCH($F190,사건마스터!$A$5:$A$64,0)),""))</f>
        <v/>
      </c>
      <c r="Y190" s="30">
        <f>IF($I190="","",COUNTIF($I190:$X190,"?*"))</f>
        <v/>
      </c>
      <c r="Z190" s="33">
        <f>IF($I190="","",_xlfn.TEXTJOIN(", ",TRUE,$I190:$X190))</f>
        <v/>
      </c>
      <c r="AA190" s="34">
        <f>IF($I190="","",IFERROR(INDEX(코드설정!$D$5:$D$24,MATCH($I190,코드설정!$C$5:$C$24,0)),""))</f>
        <v/>
      </c>
      <c r="AB190" s="36" t="n"/>
      <c r="AC190" s="37" t="n"/>
      <c r="AD190" s="38" t="n"/>
      <c r="AE190" s="30">
        <f>IF(OR($B190="",$C190=""),"",$C190-$B190+1)</f>
        <v/>
      </c>
      <c r="AF190" s="32" t="n"/>
      <c r="AG190" s="36" t="n"/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3">
        <f>IF($F191="","",IFERROR(INDEX(사건마스터!$B$5:$B$64,MATCH($F191,사건마스터!$A$5:$A$64,0)),""))</f>
        <v/>
      </c>
      <c r="H191" s="34">
        <f>IF($F191="","",IFERROR(INDEX(사건마스터!$C$5:$C$64,MATCH($F191,사건마스터!$A$5:$A$64,0)),""))</f>
        <v/>
      </c>
      <c r="I191" s="35">
        <f>IF($F191="","",IFERROR(INDEX(사건마스터!$H$5:$H$64,MATCH($F191,사건마스터!$A$5:$A$64,0)),""))</f>
        <v/>
      </c>
      <c r="J191" s="35">
        <f>IF($F191="","",IFERROR(INDEX(사건마스터!$AH$5:$AH$64,MATCH($F191,사건마스터!$A$5:$A$64,0)),""))</f>
        <v/>
      </c>
      <c r="K191" s="35">
        <f>IF($F191="","",IFERROR(INDEX(사건마스터!$AI$5:$AI$64,MATCH($F191,사건마스터!$A$5:$A$64,0)),""))</f>
        <v/>
      </c>
      <c r="L191" s="35">
        <f>IF($F191="","",IFERROR(INDEX(사건마스터!$AJ$5:$AJ$64,MATCH($F191,사건마스터!$A$5:$A$64,0)),""))</f>
        <v/>
      </c>
      <c r="M191" s="35">
        <f>IF($F191="","",IFERROR(INDEX(사건마스터!$AK$5:$AK$64,MATCH($F191,사건마스터!$A$5:$A$64,0)),""))</f>
        <v/>
      </c>
      <c r="N191" s="35">
        <f>IF($F191="","",IFERROR(INDEX(사건마스터!$AL$5:$AL$64,MATCH($F191,사건마스터!$A$5:$A$64,0)),""))</f>
        <v/>
      </c>
      <c r="O191" s="35">
        <f>IF($F191="","",IFERROR(INDEX(사건마스터!$AM$5:$AM$64,MATCH($F191,사건마스터!$A$5:$A$64,0)),""))</f>
        <v/>
      </c>
      <c r="P191" s="35">
        <f>IF($F191="","",IFERROR(INDEX(사건마스터!$AN$5:$AN$64,MATCH($F191,사건마스터!$A$5:$A$64,0)),""))</f>
        <v/>
      </c>
      <c r="Q191" s="35">
        <f>IF($F191="","",IFERROR(INDEX(사건마스터!$AO$5:$AO$64,MATCH($F191,사건마스터!$A$5:$A$64,0)),""))</f>
        <v/>
      </c>
      <c r="R191" s="35">
        <f>IF($F191="","",IFERROR(INDEX(사건마스터!$AP$5:$AP$64,MATCH($F191,사건마스터!$A$5:$A$64,0)),""))</f>
        <v/>
      </c>
      <c r="S191" s="35">
        <f>IF($F191="","",IFERROR(INDEX(사건마스터!$AQ$5:$AQ$64,MATCH($F191,사건마스터!$A$5:$A$64,0)),""))</f>
        <v/>
      </c>
      <c r="T191" s="35">
        <f>IF($F191="","",IFERROR(INDEX(사건마스터!$AR$5:$AR$64,MATCH($F191,사건마스터!$A$5:$A$64,0)),""))</f>
        <v/>
      </c>
      <c r="U191" s="35">
        <f>IF($F191="","",IFERROR(INDEX(사건마스터!$AS$5:$AS$64,MATCH($F191,사건마스터!$A$5:$A$64,0)),""))</f>
        <v/>
      </c>
      <c r="V191" s="35">
        <f>IF($F191="","",IFERROR(INDEX(사건마스터!$AT$5:$AT$64,MATCH($F191,사건마스터!$A$5:$A$64,0)),""))</f>
        <v/>
      </c>
      <c r="W191" s="35">
        <f>IF($F191="","",IFERROR(INDEX(사건마스터!$AU$5:$AU$64,MATCH($F191,사건마스터!$A$5:$A$64,0)),""))</f>
        <v/>
      </c>
      <c r="X191" s="35">
        <f>IF($F191="","",IFERROR(INDEX(사건마스터!$AV$5:$AV$64,MATCH($F191,사건마스터!$A$5:$A$64,0)),""))</f>
        <v/>
      </c>
      <c r="Y191" s="30">
        <f>IF($I191="","",COUNTIF($I191:$X191,"?*"))</f>
        <v/>
      </c>
      <c r="Z191" s="33">
        <f>IF($I191="","",_xlfn.TEXTJOIN(", ",TRUE,$I191:$X191))</f>
        <v/>
      </c>
      <c r="AA191" s="34">
        <f>IF($I191="","",IFERROR(INDEX(코드설정!$D$5:$D$24,MATCH($I191,코드설정!$C$5:$C$24,0)),""))</f>
        <v/>
      </c>
      <c r="AB191" s="36" t="n"/>
      <c r="AC191" s="37" t="n"/>
      <c r="AD191" s="38" t="n"/>
      <c r="AE191" s="30">
        <f>IF(OR($B191="",$C191=""),"",$C191-$B191+1)</f>
        <v/>
      </c>
      <c r="AF191" s="32" t="n"/>
      <c r="AG191" s="36" t="n"/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3">
        <f>IF($F192="","",IFERROR(INDEX(사건마스터!$B$5:$B$64,MATCH($F192,사건마스터!$A$5:$A$64,0)),""))</f>
        <v/>
      </c>
      <c r="H192" s="34">
        <f>IF($F192="","",IFERROR(INDEX(사건마스터!$C$5:$C$64,MATCH($F192,사건마스터!$A$5:$A$64,0)),""))</f>
        <v/>
      </c>
      <c r="I192" s="35">
        <f>IF($F192="","",IFERROR(INDEX(사건마스터!$H$5:$H$64,MATCH($F192,사건마스터!$A$5:$A$64,0)),""))</f>
        <v/>
      </c>
      <c r="J192" s="35">
        <f>IF($F192="","",IFERROR(INDEX(사건마스터!$AH$5:$AH$64,MATCH($F192,사건마스터!$A$5:$A$64,0)),""))</f>
        <v/>
      </c>
      <c r="K192" s="35">
        <f>IF($F192="","",IFERROR(INDEX(사건마스터!$AI$5:$AI$64,MATCH($F192,사건마스터!$A$5:$A$64,0)),""))</f>
        <v/>
      </c>
      <c r="L192" s="35">
        <f>IF($F192="","",IFERROR(INDEX(사건마스터!$AJ$5:$AJ$64,MATCH($F192,사건마스터!$A$5:$A$64,0)),""))</f>
        <v/>
      </c>
      <c r="M192" s="35">
        <f>IF($F192="","",IFERROR(INDEX(사건마스터!$AK$5:$AK$64,MATCH($F192,사건마스터!$A$5:$A$64,0)),""))</f>
        <v/>
      </c>
      <c r="N192" s="35">
        <f>IF($F192="","",IFERROR(INDEX(사건마스터!$AL$5:$AL$64,MATCH($F192,사건마스터!$A$5:$A$64,0)),""))</f>
        <v/>
      </c>
      <c r="O192" s="35">
        <f>IF($F192="","",IFERROR(INDEX(사건마스터!$AM$5:$AM$64,MATCH($F192,사건마스터!$A$5:$A$64,0)),""))</f>
        <v/>
      </c>
      <c r="P192" s="35">
        <f>IF($F192="","",IFERROR(INDEX(사건마스터!$AN$5:$AN$64,MATCH($F192,사건마스터!$A$5:$A$64,0)),""))</f>
        <v/>
      </c>
      <c r="Q192" s="35">
        <f>IF($F192="","",IFERROR(INDEX(사건마스터!$AO$5:$AO$64,MATCH($F192,사건마스터!$A$5:$A$64,0)),""))</f>
        <v/>
      </c>
      <c r="R192" s="35">
        <f>IF($F192="","",IFERROR(INDEX(사건마스터!$AP$5:$AP$64,MATCH($F192,사건마스터!$A$5:$A$64,0)),""))</f>
        <v/>
      </c>
      <c r="S192" s="35">
        <f>IF($F192="","",IFERROR(INDEX(사건마스터!$AQ$5:$AQ$64,MATCH($F192,사건마스터!$A$5:$A$64,0)),""))</f>
        <v/>
      </c>
      <c r="T192" s="35">
        <f>IF($F192="","",IFERROR(INDEX(사건마스터!$AR$5:$AR$64,MATCH($F192,사건마스터!$A$5:$A$64,0)),""))</f>
        <v/>
      </c>
      <c r="U192" s="35">
        <f>IF($F192="","",IFERROR(INDEX(사건마스터!$AS$5:$AS$64,MATCH($F192,사건마스터!$A$5:$A$64,0)),""))</f>
        <v/>
      </c>
      <c r="V192" s="35">
        <f>IF($F192="","",IFERROR(INDEX(사건마스터!$AT$5:$AT$64,MATCH($F192,사건마스터!$A$5:$A$64,0)),""))</f>
        <v/>
      </c>
      <c r="W192" s="35">
        <f>IF($F192="","",IFERROR(INDEX(사건마스터!$AU$5:$AU$64,MATCH($F192,사건마스터!$A$5:$A$64,0)),""))</f>
        <v/>
      </c>
      <c r="X192" s="35">
        <f>IF($F192="","",IFERROR(INDEX(사건마스터!$AV$5:$AV$64,MATCH($F192,사건마스터!$A$5:$A$64,0)),""))</f>
        <v/>
      </c>
      <c r="Y192" s="30">
        <f>IF($I192="","",COUNTIF($I192:$X192,"?*"))</f>
        <v/>
      </c>
      <c r="Z192" s="33">
        <f>IF($I192="","",_xlfn.TEXTJOIN(", ",TRUE,$I192:$X192))</f>
        <v/>
      </c>
      <c r="AA192" s="34">
        <f>IF($I192="","",IFERROR(INDEX(코드설정!$D$5:$D$24,MATCH($I192,코드설정!$C$5:$C$24,0)),""))</f>
        <v/>
      </c>
      <c r="AB192" s="36" t="n"/>
      <c r="AC192" s="37" t="n"/>
      <c r="AD192" s="38" t="n"/>
      <c r="AE192" s="30">
        <f>IF(OR($B192="",$C192=""),"",$C192-$B192+1)</f>
        <v/>
      </c>
      <c r="AF192" s="32" t="n"/>
      <c r="AG192" s="36" t="n"/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3">
        <f>IF($F193="","",IFERROR(INDEX(사건마스터!$B$5:$B$64,MATCH($F193,사건마스터!$A$5:$A$64,0)),""))</f>
        <v/>
      </c>
      <c r="H193" s="34">
        <f>IF($F193="","",IFERROR(INDEX(사건마스터!$C$5:$C$64,MATCH($F193,사건마스터!$A$5:$A$64,0)),""))</f>
        <v/>
      </c>
      <c r="I193" s="35">
        <f>IF($F193="","",IFERROR(INDEX(사건마스터!$H$5:$H$64,MATCH($F193,사건마스터!$A$5:$A$64,0)),""))</f>
        <v/>
      </c>
      <c r="J193" s="35">
        <f>IF($F193="","",IFERROR(INDEX(사건마스터!$AH$5:$AH$64,MATCH($F193,사건마스터!$A$5:$A$64,0)),""))</f>
        <v/>
      </c>
      <c r="K193" s="35">
        <f>IF($F193="","",IFERROR(INDEX(사건마스터!$AI$5:$AI$64,MATCH($F193,사건마스터!$A$5:$A$64,0)),""))</f>
        <v/>
      </c>
      <c r="L193" s="35">
        <f>IF($F193="","",IFERROR(INDEX(사건마스터!$AJ$5:$AJ$64,MATCH($F193,사건마스터!$A$5:$A$64,0)),""))</f>
        <v/>
      </c>
      <c r="M193" s="35">
        <f>IF($F193="","",IFERROR(INDEX(사건마스터!$AK$5:$AK$64,MATCH($F193,사건마스터!$A$5:$A$64,0)),""))</f>
        <v/>
      </c>
      <c r="N193" s="35">
        <f>IF($F193="","",IFERROR(INDEX(사건마스터!$AL$5:$AL$64,MATCH($F193,사건마스터!$A$5:$A$64,0)),""))</f>
        <v/>
      </c>
      <c r="O193" s="35">
        <f>IF($F193="","",IFERROR(INDEX(사건마스터!$AM$5:$AM$64,MATCH($F193,사건마스터!$A$5:$A$64,0)),""))</f>
        <v/>
      </c>
      <c r="P193" s="35">
        <f>IF($F193="","",IFERROR(INDEX(사건마스터!$AN$5:$AN$64,MATCH($F193,사건마스터!$A$5:$A$64,0)),""))</f>
        <v/>
      </c>
      <c r="Q193" s="35">
        <f>IF($F193="","",IFERROR(INDEX(사건마스터!$AO$5:$AO$64,MATCH($F193,사건마스터!$A$5:$A$64,0)),""))</f>
        <v/>
      </c>
      <c r="R193" s="35">
        <f>IF($F193="","",IFERROR(INDEX(사건마스터!$AP$5:$AP$64,MATCH($F193,사건마스터!$A$5:$A$64,0)),""))</f>
        <v/>
      </c>
      <c r="S193" s="35">
        <f>IF($F193="","",IFERROR(INDEX(사건마스터!$AQ$5:$AQ$64,MATCH($F193,사건마스터!$A$5:$A$64,0)),""))</f>
        <v/>
      </c>
      <c r="T193" s="35">
        <f>IF($F193="","",IFERROR(INDEX(사건마스터!$AR$5:$AR$64,MATCH($F193,사건마스터!$A$5:$A$64,0)),""))</f>
        <v/>
      </c>
      <c r="U193" s="35">
        <f>IF($F193="","",IFERROR(INDEX(사건마스터!$AS$5:$AS$64,MATCH($F193,사건마스터!$A$5:$A$64,0)),""))</f>
        <v/>
      </c>
      <c r="V193" s="35">
        <f>IF($F193="","",IFERROR(INDEX(사건마스터!$AT$5:$AT$64,MATCH($F193,사건마스터!$A$5:$A$64,0)),""))</f>
        <v/>
      </c>
      <c r="W193" s="35">
        <f>IF($F193="","",IFERROR(INDEX(사건마스터!$AU$5:$AU$64,MATCH($F193,사건마스터!$A$5:$A$64,0)),""))</f>
        <v/>
      </c>
      <c r="X193" s="35">
        <f>IF($F193="","",IFERROR(INDEX(사건마스터!$AV$5:$AV$64,MATCH($F193,사건마스터!$A$5:$A$64,0)),""))</f>
        <v/>
      </c>
      <c r="Y193" s="30">
        <f>IF($I193="","",COUNTIF($I193:$X193,"?*"))</f>
        <v/>
      </c>
      <c r="Z193" s="33">
        <f>IF($I193="","",_xlfn.TEXTJOIN(", ",TRUE,$I193:$X193))</f>
        <v/>
      </c>
      <c r="AA193" s="34">
        <f>IF($I193="","",IFERROR(INDEX(코드설정!$D$5:$D$24,MATCH($I193,코드설정!$C$5:$C$24,0)),""))</f>
        <v/>
      </c>
      <c r="AB193" s="36" t="n"/>
      <c r="AC193" s="37" t="n"/>
      <c r="AD193" s="38" t="n"/>
      <c r="AE193" s="30">
        <f>IF(OR($B193="",$C193=""),"",$C193-$B193+1)</f>
        <v/>
      </c>
      <c r="AF193" s="32" t="n"/>
      <c r="AG193" s="36" t="n"/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3">
        <f>IF($F194="","",IFERROR(INDEX(사건마스터!$B$5:$B$64,MATCH($F194,사건마스터!$A$5:$A$64,0)),""))</f>
        <v/>
      </c>
      <c r="H194" s="34">
        <f>IF($F194="","",IFERROR(INDEX(사건마스터!$C$5:$C$64,MATCH($F194,사건마스터!$A$5:$A$64,0)),""))</f>
        <v/>
      </c>
      <c r="I194" s="35">
        <f>IF($F194="","",IFERROR(INDEX(사건마스터!$H$5:$H$64,MATCH($F194,사건마스터!$A$5:$A$64,0)),""))</f>
        <v/>
      </c>
      <c r="J194" s="35">
        <f>IF($F194="","",IFERROR(INDEX(사건마스터!$AH$5:$AH$64,MATCH($F194,사건마스터!$A$5:$A$64,0)),""))</f>
        <v/>
      </c>
      <c r="K194" s="35">
        <f>IF($F194="","",IFERROR(INDEX(사건마스터!$AI$5:$AI$64,MATCH($F194,사건마스터!$A$5:$A$64,0)),""))</f>
        <v/>
      </c>
      <c r="L194" s="35">
        <f>IF($F194="","",IFERROR(INDEX(사건마스터!$AJ$5:$AJ$64,MATCH($F194,사건마스터!$A$5:$A$64,0)),""))</f>
        <v/>
      </c>
      <c r="M194" s="35">
        <f>IF($F194="","",IFERROR(INDEX(사건마스터!$AK$5:$AK$64,MATCH($F194,사건마스터!$A$5:$A$64,0)),""))</f>
        <v/>
      </c>
      <c r="N194" s="35">
        <f>IF($F194="","",IFERROR(INDEX(사건마스터!$AL$5:$AL$64,MATCH($F194,사건마스터!$A$5:$A$64,0)),""))</f>
        <v/>
      </c>
      <c r="O194" s="35">
        <f>IF($F194="","",IFERROR(INDEX(사건마스터!$AM$5:$AM$64,MATCH($F194,사건마스터!$A$5:$A$64,0)),""))</f>
        <v/>
      </c>
      <c r="P194" s="35">
        <f>IF($F194="","",IFERROR(INDEX(사건마스터!$AN$5:$AN$64,MATCH($F194,사건마스터!$A$5:$A$64,0)),""))</f>
        <v/>
      </c>
      <c r="Q194" s="35">
        <f>IF($F194="","",IFERROR(INDEX(사건마스터!$AO$5:$AO$64,MATCH($F194,사건마스터!$A$5:$A$64,0)),""))</f>
        <v/>
      </c>
      <c r="R194" s="35">
        <f>IF($F194="","",IFERROR(INDEX(사건마스터!$AP$5:$AP$64,MATCH($F194,사건마스터!$A$5:$A$64,0)),""))</f>
        <v/>
      </c>
      <c r="S194" s="35">
        <f>IF($F194="","",IFERROR(INDEX(사건마스터!$AQ$5:$AQ$64,MATCH($F194,사건마스터!$A$5:$A$64,0)),""))</f>
        <v/>
      </c>
      <c r="T194" s="35">
        <f>IF($F194="","",IFERROR(INDEX(사건마스터!$AR$5:$AR$64,MATCH($F194,사건마스터!$A$5:$A$64,0)),""))</f>
        <v/>
      </c>
      <c r="U194" s="35">
        <f>IF($F194="","",IFERROR(INDEX(사건마스터!$AS$5:$AS$64,MATCH($F194,사건마스터!$A$5:$A$64,0)),""))</f>
        <v/>
      </c>
      <c r="V194" s="35">
        <f>IF($F194="","",IFERROR(INDEX(사건마스터!$AT$5:$AT$64,MATCH($F194,사건마스터!$A$5:$A$64,0)),""))</f>
        <v/>
      </c>
      <c r="W194" s="35">
        <f>IF($F194="","",IFERROR(INDEX(사건마스터!$AU$5:$AU$64,MATCH($F194,사건마스터!$A$5:$A$64,0)),""))</f>
        <v/>
      </c>
      <c r="X194" s="35">
        <f>IF($F194="","",IFERROR(INDEX(사건마스터!$AV$5:$AV$64,MATCH($F194,사건마스터!$A$5:$A$64,0)),""))</f>
        <v/>
      </c>
      <c r="Y194" s="30">
        <f>IF($I194="","",COUNTIF($I194:$X194,"?*"))</f>
        <v/>
      </c>
      <c r="Z194" s="33">
        <f>IF($I194="","",_xlfn.TEXTJOIN(", ",TRUE,$I194:$X194))</f>
        <v/>
      </c>
      <c r="AA194" s="34">
        <f>IF($I194="","",IFERROR(INDEX(코드설정!$D$5:$D$24,MATCH($I194,코드설정!$C$5:$C$24,0)),""))</f>
        <v/>
      </c>
      <c r="AB194" s="36" t="n"/>
      <c r="AC194" s="37" t="n"/>
      <c r="AD194" s="38" t="n"/>
      <c r="AE194" s="30">
        <f>IF(OR($B194="",$C194=""),"",$C194-$B194+1)</f>
        <v/>
      </c>
      <c r="AF194" s="32" t="n"/>
      <c r="AG194" s="36" t="n"/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3">
        <f>IF($F195="","",IFERROR(INDEX(사건마스터!$B$5:$B$64,MATCH($F195,사건마스터!$A$5:$A$64,0)),""))</f>
        <v/>
      </c>
      <c r="H195" s="34">
        <f>IF($F195="","",IFERROR(INDEX(사건마스터!$C$5:$C$64,MATCH($F195,사건마스터!$A$5:$A$64,0)),""))</f>
        <v/>
      </c>
      <c r="I195" s="35">
        <f>IF($F195="","",IFERROR(INDEX(사건마스터!$H$5:$H$64,MATCH($F195,사건마스터!$A$5:$A$64,0)),""))</f>
        <v/>
      </c>
      <c r="J195" s="35">
        <f>IF($F195="","",IFERROR(INDEX(사건마스터!$AH$5:$AH$64,MATCH($F195,사건마스터!$A$5:$A$64,0)),""))</f>
        <v/>
      </c>
      <c r="K195" s="35">
        <f>IF($F195="","",IFERROR(INDEX(사건마스터!$AI$5:$AI$64,MATCH($F195,사건마스터!$A$5:$A$64,0)),""))</f>
        <v/>
      </c>
      <c r="L195" s="35">
        <f>IF($F195="","",IFERROR(INDEX(사건마스터!$AJ$5:$AJ$64,MATCH($F195,사건마스터!$A$5:$A$64,0)),""))</f>
        <v/>
      </c>
      <c r="M195" s="35">
        <f>IF($F195="","",IFERROR(INDEX(사건마스터!$AK$5:$AK$64,MATCH($F195,사건마스터!$A$5:$A$64,0)),""))</f>
        <v/>
      </c>
      <c r="N195" s="35">
        <f>IF($F195="","",IFERROR(INDEX(사건마스터!$AL$5:$AL$64,MATCH($F195,사건마스터!$A$5:$A$64,0)),""))</f>
        <v/>
      </c>
      <c r="O195" s="35">
        <f>IF($F195="","",IFERROR(INDEX(사건마스터!$AM$5:$AM$64,MATCH($F195,사건마스터!$A$5:$A$64,0)),""))</f>
        <v/>
      </c>
      <c r="P195" s="35">
        <f>IF($F195="","",IFERROR(INDEX(사건마스터!$AN$5:$AN$64,MATCH($F195,사건마스터!$A$5:$A$64,0)),""))</f>
        <v/>
      </c>
      <c r="Q195" s="35">
        <f>IF($F195="","",IFERROR(INDEX(사건마스터!$AO$5:$AO$64,MATCH($F195,사건마스터!$A$5:$A$64,0)),""))</f>
        <v/>
      </c>
      <c r="R195" s="35">
        <f>IF($F195="","",IFERROR(INDEX(사건마스터!$AP$5:$AP$64,MATCH($F195,사건마스터!$A$5:$A$64,0)),""))</f>
        <v/>
      </c>
      <c r="S195" s="35">
        <f>IF($F195="","",IFERROR(INDEX(사건마스터!$AQ$5:$AQ$64,MATCH($F195,사건마스터!$A$5:$A$64,0)),""))</f>
        <v/>
      </c>
      <c r="T195" s="35">
        <f>IF($F195="","",IFERROR(INDEX(사건마스터!$AR$5:$AR$64,MATCH($F195,사건마스터!$A$5:$A$64,0)),""))</f>
        <v/>
      </c>
      <c r="U195" s="35">
        <f>IF($F195="","",IFERROR(INDEX(사건마스터!$AS$5:$AS$64,MATCH($F195,사건마스터!$A$5:$A$64,0)),""))</f>
        <v/>
      </c>
      <c r="V195" s="35">
        <f>IF($F195="","",IFERROR(INDEX(사건마스터!$AT$5:$AT$64,MATCH($F195,사건마스터!$A$5:$A$64,0)),""))</f>
        <v/>
      </c>
      <c r="W195" s="35">
        <f>IF($F195="","",IFERROR(INDEX(사건마스터!$AU$5:$AU$64,MATCH($F195,사건마스터!$A$5:$A$64,0)),""))</f>
        <v/>
      </c>
      <c r="X195" s="35">
        <f>IF($F195="","",IFERROR(INDEX(사건마스터!$AV$5:$AV$64,MATCH($F195,사건마스터!$A$5:$A$64,0)),""))</f>
        <v/>
      </c>
      <c r="Y195" s="30">
        <f>IF($I195="","",COUNTIF($I195:$X195,"?*"))</f>
        <v/>
      </c>
      <c r="Z195" s="33">
        <f>IF($I195="","",_xlfn.TEXTJOIN(", ",TRUE,$I195:$X195))</f>
        <v/>
      </c>
      <c r="AA195" s="34">
        <f>IF($I195="","",IFERROR(INDEX(코드설정!$D$5:$D$24,MATCH($I195,코드설정!$C$5:$C$24,0)),""))</f>
        <v/>
      </c>
      <c r="AB195" s="36" t="n"/>
      <c r="AC195" s="37" t="n"/>
      <c r="AD195" s="38" t="n"/>
      <c r="AE195" s="30">
        <f>IF(OR($B195="",$C195=""),"",$C195-$B195+1)</f>
        <v/>
      </c>
      <c r="AF195" s="32" t="n"/>
      <c r="AG195" s="36" t="n"/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3">
        <f>IF($F196="","",IFERROR(INDEX(사건마스터!$B$5:$B$64,MATCH($F196,사건마스터!$A$5:$A$64,0)),""))</f>
        <v/>
      </c>
      <c r="H196" s="34">
        <f>IF($F196="","",IFERROR(INDEX(사건마스터!$C$5:$C$64,MATCH($F196,사건마스터!$A$5:$A$64,0)),""))</f>
        <v/>
      </c>
      <c r="I196" s="35">
        <f>IF($F196="","",IFERROR(INDEX(사건마스터!$H$5:$H$64,MATCH($F196,사건마스터!$A$5:$A$64,0)),""))</f>
        <v/>
      </c>
      <c r="J196" s="35">
        <f>IF($F196="","",IFERROR(INDEX(사건마스터!$AH$5:$AH$64,MATCH($F196,사건마스터!$A$5:$A$64,0)),""))</f>
        <v/>
      </c>
      <c r="K196" s="35">
        <f>IF($F196="","",IFERROR(INDEX(사건마스터!$AI$5:$AI$64,MATCH($F196,사건마스터!$A$5:$A$64,0)),""))</f>
        <v/>
      </c>
      <c r="L196" s="35">
        <f>IF($F196="","",IFERROR(INDEX(사건마스터!$AJ$5:$AJ$64,MATCH($F196,사건마스터!$A$5:$A$64,0)),""))</f>
        <v/>
      </c>
      <c r="M196" s="35">
        <f>IF($F196="","",IFERROR(INDEX(사건마스터!$AK$5:$AK$64,MATCH($F196,사건마스터!$A$5:$A$64,0)),""))</f>
        <v/>
      </c>
      <c r="N196" s="35">
        <f>IF($F196="","",IFERROR(INDEX(사건마스터!$AL$5:$AL$64,MATCH($F196,사건마스터!$A$5:$A$64,0)),""))</f>
        <v/>
      </c>
      <c r="O196" s="35">
        <f>IF($F196="","",IFERROR(INDEX(사건마스터!$AM$5:$AM$64,MATCH($F196,사건마스터!$A$5:$A$64,0)),""))</f>
        <v/>
      </c>
      <c r="P196" s="35">
        <f>IF($F196="","",IFERROR(INDEX(사건마스터!$AN$5:$AN$64,MATCH($F196,사건마스터!$A$5:$A$64,0)),""))</f>
        <v/>
      </c>
      <c r="Q196" s="35">
        <f>IF($F196="","",IFERROR(INDEX(사건마스터!$AO$5:$AO$64,MATCH($F196,사건마스터!$A$5:$A$64,0)),""))</f>
        <v/>
      </c>
      <c r="R196" s="35">
        <f>IF($F196="","",IFERROR(INDEX(사건마스터!$AP$5:$AP$64,MATCH($F196,사건마스터!$A$5:$A$64,0)),""))</f>
        <v/>
      </c>
      <c r="S196" s="35">
        <f>IF($F196="","",IFERROR(INDEX(사건마스터!$AQ$5:$AQ$64,MATCH($F196,사건마스터!$A$5:$A$64,0)),""))</f>
        <v/>
      </c>
      <c r="T196" s="35">
        <f>IF($F196="","",IFERROR(INDEX(사건마스터!$AR$5:$AR$64,MATCH($F196,사건마스터!$A$5:$A$64,0)),""))</f>
        <v/>
      </c>
      <c r="U196" s="35">
        <f>IF($F196="","",IFERROR(INDEX(사건마스터!$AS$5:$AS$64,MATCH($F196,사건마스터!$A$5:$A$64,0)),""))</f>
        <v/>
      </c>
      <c r="V196" s="35">
        <f>IF($F196="","",IFERROR(INDEX(사건마스터!$AT$5:$AT$64,MATCH($F196,사건마스터!$A$5:$A$64,0)),""))</f>
        <v/>
      </c>
      <c r="W196" s="35">
        <f>IF($F196="","",IFERROR(INDEX(사건마스터!$AU$5:$AU$64,MATCH($F196,사건마스터!$A$5:$A$64,0)),""))</f>
        <v/>
      </c>
      <c r="X196" s="35">
        <f>IF($F196="","",IFERROR(INDEX(사건마스터!$AV$5:$AV$64,MATCH($F196,사건마스터!$A$5:$A$64,0)),""))</f>
        <v/>
      </c>
      <c r="Y196" s="30">
        <f>IF($I196="","",COUNTIF($I196:$X196,"?*"))</f>
        <v/>
      </c>
      <c r="Z196" s="33">
        <f>IF($I196="","",_xlfn.TEXTJOIN(", ",TRUE,$I196:$X196))</f>
        <v/>
      </c>
      <c r="AA196" s="34">
        <f>IF($I196="","",IFERROR(INDEX(코드설정!$D$5:$D$24,MATCH($I196,코드설정!$C$5:$C$24,0)),""))</f>
        <v/>
      </c>
      <c r="AB196" s="36" t="n"/>
      <c r="AC196" s="37" t="n"/>
      <c r="AD196" s="38" t="n"/>
      <c r="AE196" s="30">
        <f>IF(OR($B196="",$C196=""),"",$C196-$B196+1)</f>
        <v/>
      </c>
      <c r="AF196" s="32" t="n"/>
      <c r="AG196" s="36" t="n"/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3">
        <f>IF($F197="","",IFERROR(INDEX(사건마스터!$B$5:$B$64,MATCH($F197,사건마스터!$A$5:$A$64,0)),""))</f>
        <v/>
      </c>
      <c r="H197" s="34">
        <f>IF($F197="","",IFERROR(INDEX(사건마스터!$C$5:$C$64,MATCH($F197,사건마스터!$A$5:$A$64,0)),""))</f>
        <v/>
      </c>
      <c r="I197" s="35">
        <f>IF($F197="","",IFERROR(INDEX(사건마스터!$H$5:$H$64,MATCH($F197,사건마스터!$A$5:$A$64,0)),""))</f>
        <v/>
      </c>
      <c r="J197" s="35">
        <f>IF($F197="","",IFERROR(INDEX(사건마스터!$AH$5:$AH$64,MATCH($F197,사건마스터!$A$5:$A$64,0)),""))</f>
        <v/>
      </c>
      <c r="K197" s="35">
        <f>IF($F197="","",IFERROR(INDEX(사건마스터!$AI$5:$AI$64,MATCH($F197,사건마스터!$A$5:$A$64,0)),""))</f>
        <v/>
      </c>
      <c r="L197" s="35">
        <f>IF($F197="","",IFERROR(INDEX(사건마스터!$AJ$5:$AJ$64,MATCH($F197,사건마스터!$A$5:$A$64,0)),""))</f>
        <v/>
      </c>
      <c r="M197" s="35">
        <f>IF($F197="","",IFERROR(INDEX(사건마스터!$AK$5:$AK$64,MATCH($F197,사건마스터!$A$5:$A$64,0)),""))</f>
        <v/>
      </c>
      <c r="N197" s="35">
        <f>IF($F197="","",IFERROR(INDEX(사건마스터!$AL$5:$AL$64,MATCH($F197,사건마스터!$A$5:$A$64,0)),""))</f>
        <v/>
      </c>
      <c r="O197" s="35">
        <f>IF($F197="","",IFERROR(INDEX(사건마스터!$AM$5:$AM$64,MATCH($F197,사건마스터!$A$5:$A$64,0)),""))</f>
        <v/>
      </c>
      <c r="P197" s="35">
        <f>IF($F197="","",IFERROR(INDEX(사건마스터!$AN$5:$AN$64,MATCH($F197,사건마스터!$A$5:$A$64,0)),""))</f>
        <v/>
      </c>
      <c r="Q197" s="35">
        <f>IF($F197="","",IFERROR(INDEX(사건마스터!$AO$5:$AO$64,MATCH($F197,사건마스터!$A$5:$A$64,0)),""))</f>
        <v/>
      </c>
      <c r="R197" s="35">
        <f>IF($F197="","",IFERROR(INDEX(사건마스터!$AP$5:$AP$64,MATCH($F197,사건마스터!$A$5:$A$64,0)),""))</f>
        <v/>
      </c>
      <c r="S197" s="35">
        <f>IF($F197="","",IFERROR(INDEX(사건마스터!$AQ$5:$AQ$64,MATCH($F197,사건마스터!$A$5:$A$64,0)),""))</f>
        <v/>
      </c>
      <c r="T197" s="35">
        <f>IF($F197="","",IFERROR(INDEX(사건마스터!$AR$5:$AR$64,MATCH($F197,사건마스터!$A$5:$A$64,0)),""))</f>
        <v/>
      </c>
      <c r="U197" s="35">
        <f>IF($F197="","",IFERROR(INDEX(사건마스터!$AS$5:$AS$64,MATCH($F197,사건마스터!$A$5:$A$64,0)),""))</f>
        <v/>
      </c>
      <c r="V197" s="35">
        <f>IF($F197="","",IFERROR(INDEX(사건마스터!$AT$5:$AT$64,MATCH($F197,사건마스터!$A$5:$A$64,0)),""))</f>
        <v/>
      </c>
      <c r="W197" s="35">
        <f>IF($F197="","",IFERROR(INDEX(사건마스터!$AU$5:$AU$64,MATCH($F197,사건마스터!$A$5:$A$64,0)),""))</f>
        <v/>
      </c>
      <c r="X197" s="35">
        <f>IF($F197="","",IFERROR(INDEX(사건마스터!$AV$5:$AV$64,MATCH($F197,사건마스터!$A$5:$A$64,0)),""))</f>
        <v/>
      </c>
      <c r="Y197" s="30">
        <f>IF($I197="","",COUNTIF($I197:$X197,"?*"))</f>
        <v/>
      </c>
      <c r="Z197" s="33">
        <f>IF($I197="","",_xlfn.TEXTJOIN(", ",TRUE,$I197:$X197))</f>
        <v/>
      </c>
      <c r="AA197" s="34">
        <f>IF($I197="","",IFERROR(INDEX(코드설정!$D$5:$D$24,MATCH($I197,코드설정!$C$5:$C$24,0)),""))</f>
        <v/>
      </c>
      <c r="AB197" s="36" t="n"/>
      <c r="AC197" s="37" t="n"/>
      <c r="AD197" s="38" t="n"/>
      <c r="AE197" s="30">
        <f>IF(OR($B197="",$C197=""),"",$C197-$B197+1)</f>
        <v/>
      </c>
      <c r="AF197" s="32" t="n"/>
      <c r="AG197" s="36" t="n"/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3">
        <f>IF($F198="","",IFERROR(INDEX(사건마스터!$B$5:$B$64,MATCH($F198,사건마스터!$A$5:$A$64,0)),""))</f>
        <v/>
      </c>
      <c r="H198" s="34">
        <f>IF($F198="","",IFERROR(INDEX(사건마스터!$C$5:$C$64,MATCH($F198,사건마스터!$A$5:$A$64,0)),""))</f>
        <v/>
      </c>
      <c r="I198" s="35">
        <f>IF($F198="","",IFERROR(INDEX(사건마스터!$H$5:$H$64,MATCH($F198,사건마스터!$A$5:$A$64,0)),""))</f>
        <v/>
      </c>
      <c r="J198" s="35">
        <f>IF($F198="","",IFERROR(INDEX(사건마스터!$AH$5:$AH$64,MATCH($F198,사건마스터!$A$5:$A$64,0)),""))</f>
        <v/>
      </c>
      <c r="K198" s="35">
        <f>IF($F198="","",IFERROR(INDEX(사건마스터!$AI$5:$AI$64,MATCH($F198,사건마스터!$A$5:$A$64,0)),""))</f>
        <v/>
      </c>
      <c r="L198" s="35">
        <f>IF($F198="","",IFERROR(INDEX(사건마스터!$AJ$5:$AJ$64,MATCH($F198,사건마스터!$A$5:$A$64,0)),""))</f>
        <v/>
      </c>
      <c r="M198" s="35">
        <f>IF($F198="","",IFERROR(INDEX(사건마스터!$AK$5:$AK$64,MATCH($F198,사건마스터!$A$5:$A$64,0)),""))</f>
        <v/>
      </c>
      <c r="N198" s="35">
        <f>IF($F198="","",IFERROR(INDEX(사건마스터!$AL$5:$AL$64,MATCH($F198,사건마스터!$A$5:$A$64,0)),""))</f>
        <v/>
      </c>
      <c r="O198" s="35">
        <f>IF($F198="","",IFERROR(INDEX(사건마스터!$AM$5:$AM$64,MATCH($F198,사건마스터!$A$5:$A$64,0)),""))</f>
        <v/>
      </c>
      <c r="P198" s="35">
        <f>IF($F198="","",IFERROR(INDEX(사건마스터!$AN$5:$AN$64,MATCH($F198,사건마스터!$A$5:$A$64,0)),""))</f>
        <v/>
      </c>
      <c r="Q198" s="35">
        <f>IF($F198="","",IFERROR(INDEX(사건마스터!$AO$5:$AO$64,MATCH($F198,사건마스터!$A$5:$A$64,0)),""))</f>
        <v/>
      </c>
      <c r="R198" s="35">
        <f>IF($F198="","",IFERROR(INDEX(사건마스터!$AP$5:$AP$64,MATCH($F198,사건마스터!$A$5:$A$64,0)),""))</f>
        <v/>
      </c>
      <c r="S198" s="35">
        <f>IF($F198="","",IFERROR(INDEX(사건마스터!$AQ$5:$AQ$64,MATCH($F198,사건마스터!$A$5:$A$64,0)),""))</f>
        <v/>
      </c>
      <c r="T198" s="35">
        <f>IF($F198="","",IFERROR(INDEX(사건마스터!$AR$5:$AR$64,MATCH($F198,사건마스터!$A$5:$A$64,0)),""))</f>
        <v/>
      </c>
      <c r="U198" s="35">
        <f>IF($F198="","",IFERROR(INDEX(사건마스터!$AS$5:$AS$64,MATCH($F198,사건마스터!$A$5:$A$64,0)),""))</f>
        <v/>
      </c>
      <c r="V198" s="35">
        <f>IF($F198="","",IFERROR(INDEX(사건마스터!$AT$5:$AT$64,MATCH($F198,사건마스터!$A$5:$A$64,0)),""))</f>
        <v/>
      </c>
      <c r="W198" s="35">
        <f>IF($F198="","",IFERROR(INDEX(사건마스터!$AU$5:$AU$64,MATCH($F198,사건마스터!$A$5:$A$64,0)),""))</f>
        <v/>
      </c>
      <c r="X198" s="35">
        <f>IF($F198="","",IFERROR(INDEX(사건마스터!$AV$5:$AV$64,MATCH($F198,사건마스터!$A$5:$A$64,0)),""))</f>
        <v/>
      </c>
      <c r="Y198" s="30">
        <f>IF($I198="","",COUNTIF($I198:$X198,"?*"))</f>
        <v/>
      </c>
      <c r="Z198" s="33">
        <f>IF($I198="","",_xlfn.TEXTJOIN(", ",TRUE,$I198:$X198))</f>
        <v/>
      </c>
      <c r="AA198" s="34">
        <f>IF($I198="","",IFERROR(INDEX(코드설정!$D$5:$D$24,MATCH($I198,코드설정!$C$5:$C$24,0)),""))</f>
        <v/>
      </c>
      <c r="AB198" s="36" t="n"/>
      <c r="AC198" s="37" t="n"/>
      <c r="AD198" s="38" t="n"/>
      <c r="AE198" s="30">
        <f>IF(OR($B198="",$C198=""),"",$C198-$B198+1)</f>
        <v/>
      </c>
      <c r="AF198" s="32" t="n"/>
      <c r="AG198" s="36" t="n"/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3">
        <f>IF($F199="","",IFERROR(INDEX(사건마스터!$B$5:$B$64,MATCH($F199,사건마스터!$A$5:$A$64,0)),""))</f>
        <v/>
      </c>
      <c r="H199" s="34">
        <f>IF($F199="","",IFERROR(INDEX(사건마스터!$C$5:$C$64,MATCH($F199,사건마스터!$A$5:$A$64,0)),""))</f>
        <v/>
      </c>
      <c r="I199" s="35">
        <f>IF($F199="","",IFERROR(INDEX(사건마스터!$H$5:$H$64,MATCH($F199,사건마스터!$A$5:$A$64,0)),""))</f>
        <v/>
      </c>
      <c r="J199" s="35">
        <f>IF($F199="","",IFERROR(INDEX(사건마스터!$AH$5:$AH$64,MATCH($F199,사건마스터!$A$5:$A$64,0)),""))</f>
        <v/>
      </c>
      <c r="K199" s="35">
        <f>IF($F199="","",IFERROR(INDEX(사건마스터!$AI$5:$AI$64,MATCH($F199,사건마스터!$A$5:$A$64,0)),""))</f>
        <v/>
      </c>
      <c r="L199" s="35">
        <f>IF($F199="","",IFERROR(INDEX(사건마스터!$AJ$5:$AJ$64,MATCH($F199,사건마스터!$A$5:$A$64,0)),""))</f>
        <v/>
      </c>
      <c r="M199" s="35">
        <f>IF($F199="","",IFERROR(INDEX(사건마스터!$AK$5:$AK$64,MATCH($F199,사건마스터!$A$5:$A$64,0)),""))</f>
        <v/>
      </c>
      <c r="N199" s="35">
        <f>IF($F199="","",IFERROR(INDEX(사건마스터!$AL$5:$AL$64,MATCH($F199,사건마스터!$A$5:$A$64,0)),""))</f>
        <v/>
      </c>
      <c r="O199" s="35">
        <f>IF($F199="","",IFERROR(INDEX(사건마스터!$AM$5:$AM$64,MATCH($F199,사건마스터!$A$5:$A$64,0)),""))</f>
        <v/>
      </c>
      <c r="P199" s="35">
        <f>IF($F199="","",IFERROR(INDEX(사건마스터!$AN$5:$AN$64,MATCH($F199,사건마스터!$A$5:$A$64,0)),""))</f>
        <v/>
      </c>
      <c r="Q199" s="35">
        <f>IF($F199="","",IFERROR(INDEX(사건마스터!$AO$5:$AO$64,MATCH($F199,사건마스터!$A$5:$A$64,0)),""))</f>
        <v/>
      </c>
      <c r="R199" s="35">
        <f>IF($F199="","",IFERROR(INDEX(사건마스터!$AP$5:$AP$64,MATCH($F199,사건마스터!$A$5:$A$64,0)),""))</f>
        <v/>
      </c>
      <c r="S199" s="35">
        <f>IF($F199="","",IFERROR(INDEX(사건마스터!$AQ$5:$AQ$64,MATCH($F199,사건마스터!$A$5:$A$64,0)),""))</f>
        <v/>
      </c>
      <c r="T199" s="35">
        <f>IF($F199="","",IFERROR(INDEX(사건마스터!$AR$5:$AR$64,MATCH($F199,사건마스터!$A$5:$A$64,0)),""))</f>
        <v/>
      </c>
      <c r="U199" s="35">
        <f>IF($F199="","",IFERROR(INDEX(사건마스터!$AS$5:$AS$64,MATCH($F199,사건마스터!$A$5:$A$64,0)),""))</f>
        <v/>
      </c>
      <c r="V199" s="35">
        <f>IF($F199="","",IFERROR(INDEX(사건마스터!$AT$5:$AT$64,MATCH($F199,사건마스터!$A$5:$A$64,0)),""))</f>
        <v/>
      </c>
      <c r="W199" s="35">
        <f>IF($F199="","",IFERROR(INDEX(사건마스터!$AU$5:$AU$64,MATCH($F199,사건마스터!$A$5:$A$64,0)),""))</f>
        <v/>
      </c>
      <c r="X199" s="35">
        <f>IF($F199="","",IFERROR(INDEX(사건마스터!$AV$5:$AV$64,MATCH($F199,사건마스터!$A$5:$A$64,0)),""))</f>
        <v/>
      </c>
      <c r="Y199" s="30">
        <f>IF($I199="","",COUNTIF($I199:$X199,"?*"))</f>
        <v/>
      </c>
      <c r="Z199" s="33">
        <f>IF($I199="","",_xlfn.TEXTJOIN(", ",TRUE,$I199:$X199))</f>
        <v/>
      </c>
      <c r="AA199" s="34">
        <f>IF($I199="","",IFERROR(INDEX(코드설정!$D$5:$D$24,MATCH($I199,코드설정!$C$5:$C$24,0)),""))</f>
        <v/>
      </c>
      <c r="AB199" s="36" t="n"/>
      <c r="AC199" s="37" t="n"/>
      <c r="AD199" s="38" t="n"/>
      <c r="AE199" s="30">
        <f>IF(OR($B199="",$C199=""),"",$C199-$B199+1)</f>
        <v/>
      </c>
      <c r="AF199" s="32" t="n"/>
      <c r="AG199" s="36" t="n"/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3">
        <f>IF($F200="","",IFERROR(INDEX(사건마스터!$B$5:$B$64,MATCH($F200,사건마스터!$A$5:$A$64,0)),""))</f>
        <v/>
      </c>
      <c r="H200" s="34">
        <f>IF($F200="","",IFERROR(INDEX(사건마스터!$C$5:$C$64,MATCH($F200,사건마스터!$A$5:$A$64,0)),""))</f>
        <v/>
      </c>
      <c r="I200" s="35">
        <f>IF($F200="","",IFERROR(INDEX(사건마스터!$H$5:$H$64,MATCH($F200,사건마스터!$A$5:$A$64,0)),""))</f>
        <v/>
      </c>
      <c r="J200" s="35">
        <f>IF($F200="","",IFERROR(INDEX(사건마스터!$AH$5:$AH$64,MATCH($F200,사건마스터!$A$5:$A$64,0)),""))</f>
        <v/>
      </c>
      <c r="K200" s="35">
        <f>IF($F200="","",IFERROR(INDEX(사건마스터!$AI$5:$AI$64,MATCH($F200,사건마스터!$A$5:$A$64,0)),""))</f>
        <v/>
      </c>
      <c r="L200" s="35">
        <f>IF($F200="","",IFERROR(INDEX(사건마스터!$AJ$5:$AJ$64,MATCH($F200,사건마스터!$A$5:$A$64,0)),""))</f>
        <v/>
      </c>
      <c r="M200" s="35">
        <f>IF($F200="","",IFERROR(INDEX(사건마스터!$AK$5:$AK$64,MATCH($F200,사건마스터!$A$5:$A$64,0)),""))</f>
        <v/>
      </c>
      <c r="N200" s="35">
        <f>IF($F200="","",IFERROR(INDEX(사건마스터!$AL$5:$AL$64,MATCH($F200,사건마스터!$A$5:$A$64,0)),""))</f>
        <v/>
      </c>
      <c r="O200" s="35">
        <f>IF($F200="","",IFERROR(INDEX(사건마스터!$AM$5:$AM$64,MATCH($F200,사건마스터!$A$5:$A$64,0)),""))</f>
        <v/>
      </c>
      <c r="P200" s="35">
        <f>IF($F200="","",IFERROR(INDEX(사건마스터!$AN$5:$AN$64,MATCH($F200,사건마스터!$A$5:$A$64,0)),""))</f>
        <v/>
      </c>
      <c r="Q200" s="35">
        <f>IF($F200="","",IFERROR(INDEX(사건마스터!$AO$5:$AO$64,MATCH($F200,사건마스터!$A$5:$A$64,0)),""))</f>
        <v/>
      </c>
      <c r="R200" s="35">
        <f>IF($F200="","",IFERROR(INDEX(사건마스터!$AP$5:$AP$64,MATCH($F200,사건마스터!$A$5:$A$64,0)),""))</f>
        <v/>
      </c>
      <c r="S200" s="35">
        <f>IF($F200="","",IFERROR(INDEX(사건마스터!$AQ$5:$AQ$64,MATCH($F200,사건마스터!$A$5:$A$64,0)),""))</f>
        <v/>
      </c>
      <c r="T200" s="35">
        <f>IF($F200="","",IFERROR(INDEX(사건마스터!$AR$5:$AR$64,MATCH($F200,사건마스터!$A$5:$A$64,0)),""))</f>
        <v/>
      </c>
      <c r="U200" s="35">
        <f>IF($F200="","",IFERROR(INDEX(사건마스터!$AS$5:$AS$64,MATCH($F200,사건마스터!$A$5:$A$64,0)),""))</f>
        <v/>
      </c>
      <c r="V200" s="35">
        <f>IF($F200="","",IFERROR(INDEX(사건마스터!$AT$5:$AT$64,MATCH($F200,사건마스터!$A$5:$A$64,0)),""))</f>
        <v/>
      </c>
      <c r="W200" s="35">
        <f>IF($F200="","",IFERROR(INDEX(사건마스터!$AU$5:$AU$64,MATCH($F200,사건마스터!$A$5:$A$64,0)),""))</f>
        <v/>
      </c>
      <c r="X200" s="35">
        <f>IF($F200="","",IFERROR(INDEX(사건마스터!$AV$5:$AV$64,MATCH($F200,사건마스터!$A$5:$A$64,0)),""))</f>
        <v/>
      </c>
      <c r="Y200" s="30">
        <f>IF($I200="","",COUNTIF($I200:$X200,"?*"))</f>
        <v/>
      </c>
      <c r="Z200" s="33">
        <f>IF($I200="","",_xlfn.TEXTJOIN(", ",TRUE,$I200:$X200))</f>
        <v/>
      </c>
      <c r="AA200" s="34">
        <f>IF($I200="","",IFERROR(INDEX(코드설정!$D$5:$D$24,MATCH($I200,코드설정!$C$5:$C$24,0)),""))</f>
        <v/>
      </c>
      <c r="AB200" s="36" t="n"/>
      <c r="AC200" s="37" t="n"/>
      <c r="AD200" s="38" t="n"/>
      <c r="AE200" s="30">
        <f>IF(OR($B200="",$C200=""),"",$C200-$B200+1)</f>
        <v/>
      </c>
      <c r="AF200" s="32" t="n"/>
      <c r="AG200" s="36" t="n"/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3">
        <f>IF($F201="","",IFERROR(INDEX(사건마스터!$B$5:$B$64,MATCH($F201,사건마스터!$A$5:$A$64,0)),""))</f>
        <v/>
      </c>
      <c r="H201" s="34">
        <f>IF($F201="","",IFERROR(INDEX(사건마스터!$C$5:$C$64,MATCH($F201,사건마스터!$A$5:$A$64,0)),""))</f>
        <v/>
      </c>
      <c r="I201" s="35">
        <f>IF($F201="","",IFERROR(INDEX(사건마스터!$H$5:$H$64,MATCH($F201,사건마스터!$A$5:$A$64,0)),""))</f>
        <v/>
      </c>
      <c r="J201" s="35">
        <f>IF($F201="","",IFERROR(INDEX(사건마스터!$AH$5:$AH$64,MATCH($F201,사건마스터!$A$5:$A$64,0)),""))</f>
        <v/>
      </c>
      <c r="K201" s="35">
        <f>IF($F201="","",IFERROR(INDEX(사건마스터!$AI$5:$AI$64,MATCH($F201,사건마스터!$A$5:$A$64,0)),""))</f>
        <v/>
      </c>
      <c r="L201" s="35">
        <f>IF($F201="","",IFERROR(INDEX(사건마스터!$AJ$5:$AJ$64,MATCH($F201,사건마스터!$A$5:$A$64,0)),""))</f>
        <v/>
      </c>
      <c r="M201" s="35">
        <f>IF($F201="","",IFERROR(INDEX(사건마스터!$AK$5:$AK$64,MATCH($F201,사건마스터!$A$5:$A$64,0)),""))</f>
        <v/>
      </c>
      <c r="N201" s="35">
        <f>IF($F201="","",IFERROR(INDEX(사건마스터!$AL$5:$AL$64,MATCH($F201,사건마스터!$A$5:$A$64,0)),""))</f>
        <v/>
      </c>
      <c r="O201" s="35">
        <f>IF($F201="","",IFERROR(INDEX(사건마스터!$AM$5:$AM$64,MATCH($F201,사건마스터!$A$5:$A$64,0)),""))</f>
        <v/>
      </c>
      <c r="P201" s="35">
        <f>IF($F201="","",IFERROR(INDEX(사건마스터!$AN$5:$AN$64,MATCH($F201,사건마스터!$A$5:$A$64,0)),""))</f>
        <v/>
      </c>
      <c r="Q201" s="35">
        <f>IF($F201="","",IFERROR(INDEX(사건마스터!$AO$5:$AO$64,MATCH($F201,사건마스터!$A$5:$A$64,0)),""))</f>
        <v/>
      </c>
      <c r="R201" s="35">
        <f>IF($F201="","",IFERROR(INDEX(사건마스터!$AP$5:$AP$64,MATCH($F201,사건마스터!$A$5:$A$64,0)),""))</f>
        <v/>
      </c>
      <c r="S201" s="35">
        <f>IF($F201="","",IFERROR(INDEX(사건마스터!$AQ$5:$AQ$64,MATCH($F201,사건마스터!$A$5:$A$64,0)),""))</f>
        <v/>
      </c>
      <c r="T201" s="35">
        <f>IF($F201="","",IFERROR(INDEX(사건마스터!$AR$5:$AR$64,MATCH($F201,사건마스터!$A$5:$A$64,0)),""))</f>
        <v/>
      </c>
      <c r="U201" s="35">
        <f>IF($F201="","",IFERROR(INDEX(사건마스터!$AS$5:$AS$64,MATCH($F201,사건마스터!$A$5:$A$64,0)),""))</f>
        <v/>
      </c>
      <c r="V201" s="35">
        <f>IF($F201="","",IFERROR(INDEX(사건마스터!$AT$5:$AT$64,MATCH($F201,사건마스터!$A$5:$A$64,0)),""))</f>
        <v/>
      </c>
      <c r="W201" s="35">
        <f>IF($F201="","",IFERROR(INDEX(사건마스터!$AU$5:$AU$64,MATCH($F201,사건마스터!$A$5:$A$64,0)),""))</f>
        <v/>
      </c>
      <c r="X201" s="35">
        <f>IF($F201="","",IFERROR(INDEX(사건마스터!$AV$5:$AV$64,MATCH($F201,사건마스터!$A$5:$A$64,0)),""))</f>
        <v/>
      </c>
      <c r="Y201" s="30">
        <f>IF($I201="","",COUNTIF($I201:$X201,"?*"))</f>
        <v/>
      </c>
      <c r="Z201" s="33">
        <f>IF($I201="","",_xlfn.TEXTJOIN(", ",TRUE,$I201:$X201))</f>
        <v/>
      </c>
      <c r="AA201" s="34">
        <f>IF($I201="","",IFERROR(INDEX(코드설정!$D$5:$D$24,MATCH($I201,코드설정!$C$5:$C$24,0)),""))</f>
        <v/>
      </c>
      <c r="AB201" s="36" t="n"/>
      <c r="AC201" s="37" t="n"/>
      <c r="AD201" s="38" t="n"/>
      <c r="AE201" s="30">
        <f>IF(OR($B201="",$C201=""),"",$C201-$B201+1)</f>
        <v/>
      </c>
      <c r="AF201" s="32" t="n"/>
      <c r="AG201" s="36" t="n"/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3">
        <f>IF($F202="","",IFERROR(INDEX(사건마스터!$B$5:$B$64,MATCH($F202,사건마스터!$A$5:$A$64,0)),""))</f>
        <v/>
      </c>
      <c r="H202" s="34">
        <f>IF($F202="","",IFERROR(INDEX(사건마스터!$C$5:$C$64,MATCH($F202,사건마스터!$A$5:$A$64,0)),""))</f>
        <v/>
      </c>
      <c r="I202" s="35">
        <f>IF($F202="","",IFERROR(INDEX(사건마스터!$H$5:$H$64,MATCH($F202,사건마스터!$A$5:$A$64,0)),""))</f>
        <v/>
      </c>
      <c r="J202" s="35">
        <f>IF($F202="","",IFERROR(INDEX(사건마스터!$AH$5:$AH$64,MATCH($F202,사건마스터!$A$5:$A$64,0)),""))</f>
        <v/>
      </c>
      <c r="K202" s="35">
        <f>IF($F202="","",IFERROR(INDEX(사건마스터!$AI$5:$AI$64,MATCH($F202,사건마스터!$A$5:$A$64,0)),""))</f>
        <v/>
      </c>
      <c r="L202" s="35">
        <f>IF($F202="","",IFERROR(INDEX(사건마스터!$AJ$5:$AJ$64,MATCH($F202,사건마스터!$A$5:$A$64,0)),""))</f>
        <v/>
      </c>
      <c r="M202" s="35">
        <f>IF($F202="","",IFERROR(INDEX(사건마스터!$AK$5:$AK$64,MATCH($F202,사건마스터!$A$5:$A$64,0)),""))</f>
        <v/>
      </c>
      <c r="N202" s="35">
        <f>IF($F202="","",IFERROR(INDEX(사건마스터!$AL$5:$AL$64,MATCH($F202,사건마스터!$A$5:$A$64,0)),""))</f>
        <v/>
      </c>
      <c r="O202" s="35">
        <f>IF($F202="","",IFERROR(INDEX(사건마스터!$AM$5:$AM$64,MATCH($F202,사건마스터!$A$5:$A$64,0)),""))</f>
        <v/>
      </c>
      <c r="P202" s="35">
        <f>IF($F202="","",IFERROR(INDEX(사건마스터!$AN$5:$AN$64,MATCH($F202,사건마스터!$A$5:$A$64,0)),""))</f>
        <v/>
      </c>
      <c r="Q202" s="35">
        <f>IF($F202="","",IFERROR(INDEX(사건마스터!$AO$5:$AO$64,MATCH($F202,사건마스터!$A$5:$A$64,0)),""))</f>
        <v/>
      </c>
      <c r="R202" s="35">
        <f>IF($F202="","",IFERROR(INDEX(사건마스터!$AP$5:$AP$64,MATCH($F202,사건마스터!$A$5:$A$64,0)),""))</f>
        <v/>
      </c>
      <c r="S202" s="35">
        <f>IF($F202="","",IFERROR(INDEX(사건마스터!$AQ$5:$AQ$64,MATCH($F202,사건마스터!$A$5:$A$64,0)),""))</f>
        <v/>
      </c>
      <c r="T202" s="35">
        <f>IF($F202="","",IFERROR(INDEX(사건마스터!$AR$5:$AR$64,MATCH($F202,사건마스터!$A$5:$A$64,0)),""))</f>
        <v/>
      </c>
      <c r="U202" s="35">
        <f>IF($F202="","",IFERROR(INDEX(사건마스터!$AS$5:$AS$64,MATCH($F202,사건마스터!$A$5:$A$64,0)),""))</f>
        <v/>
      </c>
      <c r="V202" s="35">
        <f>IF($F202="","",IFERROR(INDEX(사건마스터!$AT$5:$AT$64,MATCH($F202,사건마스터!$A$5:$A$64,0)),""))</f>
        <v/>
      </c>
      <c r="W202" s="35">
        <f>IF($F202="","",IFERROR(INDEX(사건마스터!$AU$5:$AU$64,MATCH($F202,사건마스터!$A$5:$A$64,0)),""))</f>
        <v/>
      </c>
      <c r="X202" s="35">
        <f>IF($F202="","",IFERROR(INDEX(사건마스터!$AV$5:$AV$64,MATCH($F202,사건마스터!$A$5:$A$64,0)),""))</f>
        <v/>
      </c>
      <c r="Y202" s="30">
        <f>IF($I202="","",COUNTIF($I202:$X202,"?*"))</f>
        <v/>
      </c>
      <c r="Z202" s="33">
        <f>IF($I202="","",_xlfn.TEXTJOIN(", ",TRUE,$I202:$X202))</f>
        <v/>
      </c>
      <c r="AA202" s="34">
        <f>IF($I202="","",IFERROR(INDEX(코드설정!$D$5:$D$24,MATCH($I202,코드설정!$C$5:$C$24,0)),""))</f>
        <v/>
      </c>
      <c r="AB202" s="36" t="n"/>
      <c r="AC202" s="37" t="n"/>
      <c r="AD202" s="38" t="n"/>
      <c r="AE202" s="30">
        <f>IF(OR($B202="",$C202=""),"",$C202-$B202+1)</f>
        <v/>
      </c>
      <c r="AF202" s="32" t="n"/>
      <c r="AG202" s="36" t="n"/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3">
        <f>IF($F203="","",IFERROR(INDEX(사건마스터!$B$5:$B$64,MATCH($F203,사건마스터!$A$5:$A$64,0)),""))</f>
        <v/>
      </c>
      <c r="H203" s="34">
        <f>IF($F203="","",IFERROR(INDEX(사건마스터!$C$5:$C$64,MATCH($F203,사건마스터!$A$5:$A$64,0)),""))</f>
        <v/>
      </c>
      <c r="I203" s="35">
        <f>IF($F203="","",IFERROR(INDEX(사건마스터!$H$5:$H$64,MATCH($F203,사건마스터!$A$5:$A$64,0)),""))</f>
        <v/>
      </c>
      <c r="J203" s="35">
        <f>IF($F203="","",IFERROR(INDEX(사건마스터!$AH$5:$AH$64,MATCH($F203,사건마스터!$A$5:$A$64,0)),""))</f>
        <v/>
      </c>
      <c r="K203" s="35">
        <f>IF($F203="","",IFERROR(INDEX(사건마스터!$AI$5:$AI$64,MATCH($F203,사건마스터!$A$5:$A$64,0)),""))</f>
        <v/>
      </c>
      <c r="L203" s="35">
        <f>IF($F203="","",IFERROR(INDEX(사건마스터!$AJ$5:$AJ$64,MATCH($F203,사건마스터!$A$5:$A$64,0)),""))</f>
        <v/>
      </c>
      <c r="M203" s="35">
        <f>IF($F203="","",IFERROR(INDEX(사건마스터!$AK$5:$AK$64,MATCH($F203,사건마스터!$A$5:$A$64,0)),""))</f>
        <v/>
      </c>
      <c r="N203" s="35">
        <f>IF($F203="","",IFERROR(INDEX(사건마스터!$AL$5:$AL$64,MATCH($F203,사건마스터!$A$5:$A$64,0)),""))</f>
        <v/>
      </c>
      <c r="O203" s="35">
        <f>IF($F203="","",IFERROR(INDEX(사건마스터!$AM$5:$AM$64,MATCH($F203,사건마스터!$A$5:$A$64,0)),""))</f>
        <v/>
      </c>
      <c r="P203" s="35">
        <f>IF($F203="","",IFERROR(INDEX(사건마스터!$AN$5:$AN$64,MATCH($F203,사건마스터!$A$5:$A$64,0)),""))</f>
        <v/>
      </c>
      <c r="Q203" s="35">
        <f>IF($F203="","",IFERROR(INDEX(사건마스터!$AO$5:$AO$64,MATCH($F203,사건마스터!$A$5:$A$64,0)),""))</f>
        <v/>
      </c>
      <c r="R203" s="35">
        <f>IF($F203="","",IFERROR(INDEX(사건마스터!$AP$5:$AP$64,MATCH($F203,사건마스터!$A$5:$A$64,0)),""))</f>
        <v/>
      </c>
      <c r="S203" s="35">
        <f>IF($F203="","",IFERROR(INDEX(사건마스터!$AQ$5:$AQ$64,MATCH($F203,사건마스터!$A$5:$A$64,0)),""))</f>
        <v/>
      </c>
      <c r="T203" s="35">
        <f>IF($F203="","",IFERROR(INDEX(사건마스터!$AR$5:$AR$64,MATCH($F203,사건마스터!$A$5:$A$64,0)),""))</f>
        <v/>
      </c>
      <c r="U203" s="35">
        <f>IF($F203="","",IFERROR(INDEX(사건마스터!$AS$5:$AS$64,MATCH($F203,사건마스터!$A$5:$A$64,0)),""))</f>
        <v/>
      </c>
      <c r="V203" s="35">
        <f>IF($F203="","",IFERROR(INDEX(사건마스터!$AT$5:$AT$64,MATCH($F203,사건마스터!$A$5:$A$64,0)),""))</f>
        <v/>
      </c>
      <c r="W203" s="35">
        <f>IF($F203="","",IFERROR(INDEX(사건마스터!$AU$5:$AU$64,MATCH($F203,사건마스터!$A$5:$A$64,0)),""))</f>
        <v/>
      </c>
      <c r="X203" s="35">
        <f>IF($F203="","",IFERROR(INDEX(사건마스터!$AV$5:$AV$64,MATCH($F203,사건마스터!$A$5:$A$64,0)),""))</f>
        <v/>
      </c>
      <c r="Y203" s="30">
        <f>IF($I203="","",COUNTIF($I203:$X203,"?*"))</f>
        <v/>
      </c>
      <c r="Z203" s="33">
        <f>IF($I203="","",_xlfn.TEXTJOIN(", ",TRUE,$I203:$X203))</f>
        <v/>
      </c>
      <c r="AA203" s="34">
        <f>IF($I203="","",IFERROR(INDEX(코드설정!$D$5:$D$24,MATCH($I203,코드설정!$C$5:$C$24,0)),""))</f>
        <v/>
      </c>
      <c r="AB203" s="36" t="n"/>
      <c r="AC203" s="37" t="n"/>
      <c r="AD203" s="38" t="n"/>
      <c r="AE203" s="30">
        <f>IF(OR($B203="",$C203=""),"",$C203-$B203+1)</f>
        <v/>
      </c>
      <c r="AF203" s="32" t="n"/>
      <c r="AG203" s="36" t="n"/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3">
        <f>IF($F204="","",IFERROR(INDEX(사건마스터!$B$5:$B$64,MATCH($F204,사건마스터!$A$5:$A$64,0)),""))</f>
        <v/>
      </c>
      <c r="H204" s="34">
        <f>IF($F204="","",IFERROR(INDEX(사건마스터!$C$5:$C$64,MATCH($F204,사건마스터!$A$5:$A$64,0)),""))</f>
        <v/>
      </c>
      <c r="I204" s="35">
        <f>IF($F204="","",IFERROR(INDEX(사건마스터!$H$5:$H$64,MATCH($F204,사건마스터!$A$5:$A$64,0)),""))</f>
        <v/>
      </c>
      <c r="J204" s="35">
        <f>IF($F204="","",IFERROR(INDEX(사건마스터!$AH$5:$AH$64,MATCH($F204,사건마스터!$A$5:$A$64,0)),""))</f>
        <v/>
      </c>
      <c r="K204" s="35">
        <f>IF($F204="","",IFERROR(INDEX(사건마스터!$AI$5:$AI$64,MATCH($F204,사건마스터!$A$5:$A$64,0)),""))</f>
        <v/>
      </c>
      <c r="L204" s="35">
        <f>IF($F204="","",IFERROR(INDEX(사건마스터!$AJ$5:$AJ$64,MATCH($F204,사건마스터!$A$5:$A$64,0)),""))</f>
        <v/>
      </c>
      <c r="M204" s="35">
        <f>IF($F204="","",IFERROR(INDEX(사건마스터!$AK$5:$AK$64,MATCH($F204,사건마스터!$A$5:$A$64,0)),""))</f>
        <v/>
      </c>
      <c r="N204" s="35">
        <f>IF($F204="","",IFERROR(INDEX(사건마스터!$AL$5:$AL$64,MATCH($F204,사건마스터!$A$5:$A$64,0)),""))</f>
        <v/>
      </c>
      <c r="O204" s="35">
        <f>IF($F204="","",IFERROR(INDEX(사건마스터!$AM$5:$AM$64,MATCH($F204,사건마스터!$A$5:$A$64,0)),""))</f>
        <v/>
      </c>
      <c r="P204" s="35">
        <f>IF($F204="","",IFERROR(INDEX(사건마스터!$AN$5:$AN$64,MATCH($F204,사건마스터!$A$5:$A$64,0)),""))</f>
        <v/>
      </c>
      <c r="Q204" s="35">
        <f>IF($F204="","",IFERROR(INDEX(사건마스터!$AO$5:$AO$64,MATCH($F204,사건마스터!$A$5:$A$64,0)),""))</f>
        <v/>
      </c>
      <c r="R204" s="35">
        <f>IF($F204="","",IFERROR(INDEX(사건마스터!$AP$5:$AP$64,MATCH($F204,사건마스터!$A$5:$A$64,0)),""))</f>
        <v/>
      </c>
      <c r="S204" s="35">
        <f>IF($F204="","",IFERROR(INDEX(사건마스터!$AQ$5:$AQ$64,MATCH($F204,사건마스터!$A$5:$A$64,0)),""))</f>
        <v/>
      </c>
      <c r="T204" s="35">
        <f>IF($F204="","",IFERROR(INDEX(사건마스터!$AR$5:$AR$64,MATCH($F204,사건마스터!$A$5:$A$64,0)),""))</f>
        <v/>
      </c>
      <c r="U204" s="35">
        <f>IF($F204="","",IFERROR(INDEX(사건마스터!$AS$5:$AS$64,MATCH($F204,사건마스터!$A$5:$A$64,0)),""))</f>
        <v/>
      </c>
      <c r="V204" s="35">
        <f>IF($F204="","",IFERROR(INDEX(사건마스터!$AT$5:$AT$64,MATCH($F204,사건마스터!$A$5:$A$64,0)),""))</f>
        <v/>
      </c>
      <c r="W204" s="35">
        <f>IF($F204="","",IFERROR(INDEX(사건마스터!$AU$5:$AU$64,MATCH($F204,사건마스터!$A$5:$A$64,0)),""))</f>
        <v/>
      </c>
      <c r="X204" s="35">
        <f>IF($F204="","",IFERROR(INDEX(사건마스터!$AV$5:$AV$64,MATCH($F204,사건마스터!$A$5:$A$64,0)),""))</f>
        <v/>
      </c>
      <c r="Y204" s="30">
        <f>IF($I204="","",COUNTIF($I204:$X204,"?*"))</f>
        <v/>
      </c>
      <c r="Z204" s="33">
        <f>IF($I204="","",_xlfn.TEXTJOIN(", ",TRUE,$I204:$X204))</f>
        <v/>
      </c>
      <c r="AA204" s="34">
        <f>IF($I204="","",IFERROR(INDEX(코드설정!$D$5:$D$24,MATCH($I204,코드설정!$C$5:$C$24,0)),""))</f>
        <v/>
      </c>
      <c r="AB204" s="36" t="n"/>
      <c r="AC204" s="37" t="n"/>
      <c r="AD204" s="38" t="n"/>
      <c r="AE204" s="30">
        <f>IF(OR($B204="",$C204=""),"",$C204-$B204+1)</f>
        <v/>
      </c>
      <c r="AF204" s="32" t="n"/>
      <c r="AG204" s="36" t="n"/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3">
        <f>IF($F205="","",IFERROR(INDEX(사건마스터!$B$5:$B$64,MATCH($F205,사건마스터!$A$5:$A$64,0)),""))</f>
        <v/>
      </c>
      <c r="H205" s="34">
        <f>IF($F205="","",IFERROR(INDEX(사건마스터!$C$5:$C$64,MATCH($F205,사건마스터!$A$5:$A$64,0)),""))</f>
        <v/>
      </c>
      <c r="I205" s="35">
        <f>IF($F205="","",IFERROR(INDEX(사건마스터!$H$5:$H$64,MATCH($F205,사건마스터!$A$5:$A$64,0)),""))</f>
        <v/>
      </c>
      <c r="J205" s="35">
        <f>IF($F205="","",IFERROR(INDEX(사건마스터!$AH$5:$AH$64,MATCH($F205,사건마스터!$A$5:$A$64,0)),""))</f>
        <v/>
      </c>
      <c r="K205" s="35">
        <f>IF($F205="","",IFERROR(INDEX(사건마스터!$AI$5:$AI$64,MATCH($F205,사건마스터!$A$5:$A$64,0)),""))</f>
        <v/>
      </c>
      <c r="L205" s="35">
        <f>IF($F205="","",IFERROR(INDEX(사건마스터!$AJ$5:$AJ$64,MATCH($F205,사건마스터!$A$5:$A$64,0)),""))</f>
        <v/>
      </c>
      <c r="M205" s="35">
        <f>IF($F205="","",IFERROR(INDEX(사건마스터!$AK$5:$AK$64,MATCH($F205,사건마스터!$A$5:$A$64,0)),""))</f>
        <v/>
      </c>
      <c r="N205" s="35">
        <f>IF($F205="","",IFERROR(INDEX(사건마스터!$AL$5:$AL$64,MATCH($F205,사건마스터!$A$5:$A$64,0)),""))</f>
        <v/>
      </c>
      <c r="O205" s="35">
        <f>IF($F205="","",IFERROR(INDEX(사건마스터!$AM$5:$AM$64,MATCH($F205,사건마스터!$A$5:$A$64,0)),""))</f>
        <v/>
      </c>
      <c r="P205" s="35">
        <f>IF($F205="","",IFERROR(INDEX(사건마스터!$AN$5:$AN$64,MATCH($F205,사건마스터!$A$5:$A$64,0)),""))</f>
        <v/>
      </c>
      <c r="Q205" s="35">
        <f>IF($F205="","",IFERROR(INDEX(사건마스터!$AO$5:$AO$64,MATCH($F205,사건마스터!$A$5:$A$64,0)),""))</f>
        <v/>
      </c>
      <c r="R205" s="35">
        <f>IF($F205="","",IFERROR(INDEX(사건마스터!$AP$5:$AP$64,MATCH($F205,사건마스터!$A$5:$A$64,0)),""))</f>
        <v/>
      </c>
      <c r="S205" s="35">
        <f>IF($F205="","",IFERROR(INDEX(사건마스터!$AQ$5:$AQ$64,MATCH($F205,사건마스터!$A$5:$A$64,0)),""))</f>
        <v/>
      </c>
      <c r="T205" s="35">
        <f>IF($F205="","",IFERROR(INDEX(사건마스터!$AR$5:$AR$64,MATCH($F205,사건마스터!$A$5:$A$64,0)),""))</f>
        <v/>
      </c>
      <c r="U205" s="35">
        <f>IF($F205="","",IFERROR(INDEX(사건마스터!$AS$5:$AS$64,MATCH($F205,사건마스터!$A$5:$A$64,0)),""))</f>
        <v/>
      </c>
      <c r="V205" s="35">
        <f>IF($F205="","",IFERROR(INDEX(사건마스터!$AT$5:$AT$64,MATCH($F205,사건마스터!$A$5:$A$64,0)),""))</f>
        <v/>
      </c>
      <c r="W205" s="35">
        <f>IF($F205="","",IFERROR(INDEX(사건마스터!$AU$5:$AU$64,MATCH($F205,사건마스터!$A$5:$A$64,0)),""))</f>
        <v/>
      </c>
      <c r="X205" s="35">
        <f>IF($F205="","",IFERROR(INDEX(사건마스터!$AV$5:$AV$64,MATCH($F205,사건마스터!$A$5:$A$64,0)),""))</f>
        <v/>
      </c>
      <c r="Y205" s="30">
        <f>IF($I205="","",COUNTIF($I205:$X205,"?*"))</f>
        <v/>
      </c>
      <c r="Z205" s="33">
        <f>IF($I205="","",_xlfn.TEXTJOIN(", ",TRUE,$I205:$X205))</f>
        <v/>
      </c>
      <c r="AA205" s="34">
        <f>IF($I205="","",IFERROR(INDEX(코드설정!$D$5:$D$24,MATCH($I205,코드설정!$C$5:$C$24,0)),""))</f>
        <v/>
      </c>
      <c r="AB205" s="36" t="n"/>
      <c r="AC205" s="37" t="n"/>
      <c r="AD205" s="38" t="n"/>
      <c r="AE205" s="30">
        <f>IF(OR($B205="",$C205=""),"",$C205-$B205+1)</f>
        <v/>
      </c>
      <c r="AF205" s="32" t="n"/>
      <c r="AG205" s="36" t="n"/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3">
        <f>IF($F206="","",IFERROR(INDEX(사건마스터!$B$5:$B$64,MATCH($F206,사건마스터!$A$5:$A$64,0)),""))</f>
        <v/>
      </c>
      <c r="H206" s="34">
        <f>IF($F206="","",IFERROR(INDEX(사건마스터!$C$5:$C$64,MATCH($F206,사건마스터!$A$5:$A$64,0)),""))</f>
        <v/>
      </c>
      <c r="I206" s="35">
        <f>IF($F206="","",IFERROR(INDEX(사건마스터!$H$5:$H$64,MATCH($F206,사건마스터!$A$5:$A$64,0)),""))</f>
        <v/>
      </c>
      <c r="J206" s="35">
        <f>IF($F206="","",IFERROR(INDEX(사건마스터!$AH$5:$AH$64,MATCH($F206,사건마스터!$A$5:$A$64,0)),""))</f>
        <v/>
      </c>
      <c r="K206" s="35">
        <f>IF($F206="","",IFERROR(INDEX(사건마스터!$AI$5:$AI$64,MATCH($F206,사건마스터!$A$5:$A$64,0)),""))</f>
        <v/>
      </c>
      <c r="L206" s="35">
        <f>IF($F206="","",IFERROR(INDEX(사건마스터!$AJ$5:$AJ$64,MATCH($F206,사건마스터!$A$5:$A$64,0)),""))</f>
        <v/>
      </c>
      <c r="M206" s="35">
        <f>IF($F206="","",IFERROR(INDEX(사건마스터!$AK$5:$AK$64,MATCH($F206,사건마스터!$A$5:$A$64,0)),""))</f>
        <v/>
      </c>
      <c r="N206" s="35">
        <f>IF($F206="","",IFERROR(INDEX(사건마스터!$AL$5:$AL$64,MATCH($F206,사건마스터!$A$5:$A$64,0)),""))</f>
        <v/>
      </c>
      <c r="O206" s="35">
        <f>IF($F206="","",IFERROR(INDEX(사건마스터!$AM$5:$AM$64,MATCH($F206,사건마스터!$A$5:$A$64,0)),""))</f>
        <v/>
      </c>
      <c r="P206" s="35">
        <f>IF($F206="","",IFERROR(INDEX(사건마스터!$AN$5:$AN$64,MATCH($F206,사건마스터!$A$5:$A$64,0)),""))</f>
        <v/>
      </c>
      <c r="Q206" s="35">
        <f>IF($F206="","",IFERROR(INDEX(사건마스터!$AO$5:$AO$64,MATCH($F206,사건마스터!$A$5:$A$64,0)),""))</f>
        <v/>
      </c>
      <c r="R206" s="35">
        <f>IF($F206="","",IFERROR(INDEX(사건마스터!$AP$5:$AP$64,MATCH($F206,사건마스터!$A$5:$A$64,0)),""))</f>
        <v/>
      </c>
      <c r="S206" s="35">
        <f>IF($F206="","",IFERROR(INDEX(사건마스터!$AQ$5:$AQ$64,MATCH($F206,사건마스터!$A$5:$A$64,0)),""))</f>
        <v/>
      </c>
      <c r="T206" s="35">
        <f>IF($F206="","",IFERROR(INDEX(사건마스터!$AR$5:$AR$64,MATCH($F206,사건마스터!$A$5:$A$64,0)),""))</f>
        <v/>
      </c>
      <c r="U206" s="35">
        <f>IF($F206="","",IFERROR(INDEX(사건마스터!$AS$5:$AS$64,MATCH($F206,사건마스터!$A$5:$A$64,0)),""))</f>
        <v/>
      </c>
      <c r="V206" s="35">
        <f>IF($F206="","",IFERROR(INDEX(사건마스터!$AT$5:$AT$64,MATCH($F206,사건마스터!$A$5:$A$64,0)),""))</f>
        <v/>
      </c>
      <c r="W206" s="35">
        <f>IF($F206="","",IFERROR(INDEX(사건마스터!$AU$5:$AU$64,MATCH($F206,사건마스터!$A$5:$A$64,0)),""))</f>
        <v/>
      </c>
      <c r="X206" s="35">
        <f>IF($F206="","",IFERROR(INDEX(사건마스터!$AV$5:$AV$64,MATCH($F206,사건마스터!$A$5:$A$64,0)),""))</f>
        <v/>
      </c>
      <c r="Y206" s="30">
        <f>IF($I206="","",COUNTIF($I206:$X206,"?*"))</f>
        <v/>
      </c>
      <c r="Z206" s="33">
        <f>IF($I206="","",_xlfn.TEXTJOIN(", ",TRUE,$I206:$X206))</f>
        <v/>
      </c>
      <c r="AA206" s="34">
        <f>IF($I206="","",IFERROR(INDEX(코드설정!$D$5:$D$24,MATCH($I206,코드설정!$C$5:$C$24,0)),""))</f>
        <v/>
      </c>
      <c r="AB206" s="36" t="n"/>
      <c r="AC206" s="37" t="n"/>
      <c r="AD206" s="38" t="n"/>
      <c r="AE206" s="30">
        <f>IF(OR($B206="",$C206=""),"",$C206-$B206+1)</f>
        <v/>
      </c>
      <c r="AF206" s="32" t="n"/>
      <c r="AG206" s="36" t="n"/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3">
        <f>IF($F207="","",IFERROR(INDEX(사건마스터!$B$5:$B$64,MATCH($F207,사건마스터!$A$5:$A$64,0)),""))</f>
        <v/>
      </c>
      <c r="H207" s="34">
        <f>IF($F207="","",IFERROR(INDEX(사건마스터!$C$5:$C$64,MATCH($F207,사건마스터!$A$5:$A$64,0)),""))</f>
        <v/>
      </c>
      <c r="I207" s="35">
        <f>IF($F207="","",IFERROR(INDEX(사건마스터!$H$5:$H$64,MATCH($F207,사건마스터!$A$5:$A$64,0)),""))</f>
        <v/>
      </c>
      <c r="J207" s="35">
        <f>IF($F207="","",IFERROR(INDEX(사건마스터!$AH$5:$AH$64,MATCH($F207,사건마스터!$A$5:$A$64,0)),""))</f>
        <v/>
      </c>
      <c r="K207" s="35">
        <f>IF($F207="","",IFERROR(INDEX(사건마스터!$AI$5:$AI$64,MATCH($F207,사건마스터!$A$5:$A$64,0)),""))</f>
        <v/>
      </c>
      <c r="L207" s="35">
        <f>IF($F207="","",IFERROR(INDEX(사건마스터!$AJ$5:$AJ$64,MATCH($F207,사건마스터!$A$5:$A$64,0)),""))</f>
        <v/>
      </c>
      <c r="M207" s="35">
        <f>IF($F207="","",IFERROR(INDEX(사건마스터!$AK$5:$AK$64,MATCH($F207,사건마스터!$A$5:$A$64,0)),""))</f>
        <v/>
      </c>
      <c r="N207" s="35">
        <f>IF($F207="","",IFERROR(INDEX(사건마스터!$AL$5:$AL$64,MATCH($F207,사건마스터!$A$5:$A$64,0)),""))</f>
        <v/>
      </c>
      <c r="O207" s="35">
        <f>IF($F207="","",IFERROR(INDEX(사건마스터!$AM$5:$AM$64,MATCH($F207,사건마스터!$A$5:$A$64,0)),""))</f>
        <v/>
      </c>
      <c r="P207" s="35">
        <f>IF($F207="","",IFERROR(INDEX(사건마스터!$AN$5:$AN$64,MATCH($F207,사건마스터!$A$5:$A$64,0)),""))</f>
        <v/>
      </c>
      <c r="Q207" s="35">
        <f>IF($F207="","",IFERROR(INDEX(사건마스터!$AO$5:$AO$64,MATCH($F207,사건마스터!$A$5:$A$64,0)),""))</f>
        <v/>
      </c>
      <c r="R207" s="35">
        <f>IF($F207="","",IFERROR(INDEX(사건마스터!$AP$5:$AP$64,MATCH($F207,사건마스터!$A$5:$A$64,0)),""))</f>
        <v/>
      </c>
      <c r="S207" s="35">
        <f>IF($F207="","",IFERROR(INDEX(사건마스터!$AQ$5:$AQ$64,MATCH($F207,사건마스터!$A$5:$A$64,0)),""))</f>
        <v/>
      </c>
      <c r="T207" s="35">
        <f>IF($F207="","",IFERROR(INDEX(사건마스터!$AR$5:$AR$64,MATCH($F207,사건마스터!$A$5:$A$64,0)),""))</f>
        <v/>
      </c>
      <c r="U207" s="35">
        <f>IF($F207="","",IFERROR(INDEX(사건마스터!$AS$5:$AS$64,MATCH($F207,사건마스터!$A$5:$A$64,0)),""))</f>
        <v/>
      </c>
      <c r="V207" s="35">
        <f>IF($F207="","",IFERROR(INDEX(사건마스터!$AT$5:$AT$64,MATCH($F207,사건마스터!$A$5:$A$64,0)),""))</f>
        <v/>
      </c>
      <c r="W207" s="35">
        <f>IF($F207="","",IFERROR(INDEX(사건마스터!$AU$5:$AU$64,MATCH($F207,사건마스터!$A$5:$A$64,0)),""))</f>
        <v/>
      </c>
      <c r="X207" s="35">
        <f>IF($F207="","",IFERROR(INDEX(사건마스터!$AV$5:$AV$64,MATCH($F207,사건마스터!$A$5:$A$64,0)),""))</f>
        <v/>
      </c>
      <c r="Y207" s="30">
        <f>IF($I207="","",COUNTIF($I207:$X207,"?*"))</f>
        <v/>
      </c>
      <c r="Z207" s="33">
        <f>IF($I207="","",_xlfn.TEXTJOIN(", ",TRUE,$I207:$X207))</f>
        <v/>
      </c>
      <c r="AA207" s="34">
        <f>IF($I207="","",IFERROR(INDEX(코드설정!$D$5:$D$24,MATCH($I207,코드설정!$C$5:$C$24,0)),""))</f>
        <v/>
      </c>
      <c r="AB207" s="36" t="n"/>
      <c r="AC207" s="37" t="n"/>
      <c r="AD207" s="38" t="n"/>
      <c r="AE207" s="30">
        <f>IF(OR($B207="",$C207=""),"",$C207-$B207+1)</f>
        <v/>
      </c>
      <c r="AF207" s="32" t="n"/>
      <c r="AG207" s="36" t="n"/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3">
        <f>IF($F208="","",IFERROR(INDEX(사건마스터!$B$5:$B$64,MATCH($F208,사건마스터!$A$5:$A$64,0)),""))</f>
        <v/>
      </c>
      <c r="H208" s="34">
        <f>IF($F208="","",IFERROR(INDEX(사건마스터!$C$5:$C$64,MATCH($F208,사건마스터!$A$5:$A$64,0)),""))</f>
        <v/>
      </c>
      <c r="I208" s="35">
        <f>IF($F208="","",IFERROR(INDEX(사건마스터!$H$5:$H$64,MATCH($F208,사건마스터!$A$5:$A$64,0)),""))</f>
        <v/>
      </c>
      <c r="J208" s="35">
        <f>IF($F208="","",IFERROR(INDEX(사건마스터!$AH$5:$AH$64,MATCH($F208,사건마스터!$A$5:$A$64,0)),""))</f>
        <v/>
      </c>
      <c r="K208" s="35">
        <f>IF($F208="","",IFERROR(INDEX(사건마스터!$AI$5:$AI$64,MATCH($F208,사건마스터!$A$5:$A$64,0)),""))</f>
        <v/>
      </c>
      <c r="L208" s="35">
        <f>IF($F208="","",IFERROR(INDEX(사건마스터!$AJ$5:$AJ$64,MATCH($F208,사건마스터!$A$5:$A$64,0)),""))</f>
        <v/>
      </c>
      <c r="M208" s="35">
        <f>IF($F208="","",IFERROR(INDEX(사건마스터!$AK$5:$AK$64,MATCH($F208,사건마스터!$A$5:$A$64,0)),""))</f>
        <v/>
      </c>
      <c r="N208" s="35">
        <f>IF($F208="","",IFERROR(INDEX(사건마스터!$AL$5:$AL$64,MATCH($F208,사건마스터!$A$5:$A$64,0)),""))</f>
        <v/>
      </c>
      <c r="O208" s="35">
        <f>IF($F208="","",IFERROR(INDEX(사건마스터!$AM$5:$AM$64,MATCH($F208,사건마스터!$A$5:$A$64,0)),""))</f>
        <v/>
      </c>
      <c r="P208" s="35">
        <f>IF($F208="","",IFERROR(INDEX(사건마스터!$AN$5:$AN$64,MATCH($F208,사건마스터!$A$5:$A$64,0)),""))</f>
        <v/>
      </c>
      <c r="Q208" s="35">
        <f>IF($F208="","",IFERROR(INDEX(사건마스터!$AO$5:$AO$64,MATCH($F208,사건마스터!$A$5:$A$64,0)),""))</f>
        <v/>
      </c>
      <c r="R208" s="35">
        <f>IF($F208="","",IFERROR(INDEX(사건마스터!$AP$5:$AP$64,MATCH($F208,사건마스터!$A$5:$A$64,0)),""))</f>
        <v/>
      </c>
      <c r="S208" s="35">
        <f>IF($F208="","",IFERROR(INDEX(사건마스터!$AQ$5:$AQ$64,MATCH($F208,사건마스터!$A$5:$A$64,0)),""))</f>
        <v/>
      </c>
      <c r="T208" s="35">
        <f>IF($F208="","",IFERROR(INDEX(사건마스터!$AR$5:$AR$64,MATCH($F208,사건마스터!$A$5:$A$64,0)),""))</f>
        <v/>
      </c>
      <c r="U208" s="35">
        <f>IF($F208="","",IFERROR(INDEX(사건마스터!$AS$5:$AS$64,MATCH($F208,사건마스터!$A$5:$A$64,0)),""))</f>
        <v/>
      </c>
      <c r="V208" s="35">
        <f>IF($F208="","",IFERROR(INDEX(사건마스터!$AT$5:$AT$64,MATCH($F208,사건마스터!$A$5:$A$64,0)),""))</f>
        <v/>
      </c>
      <c r="W208" s="35">
        <f>IF($F208="","",IFERROR(INDEX(사건마스터!$AU$5:$AU$64,MATCH($F208,사건마스터!$A$5:$A$64,0)),""))</f>
        <v/>
      </c>
      <c r="X208" s="35">
        <f>IF($F208="","",IFERROR(INDEX(사건마스터!$AV$5:$AV$64,MATCH($F208,사건마스터!$A$5:$A$64,0)),""))</f>
        <v/>
      </c>
      <c r="Y208" s="30">
        <f>IF($I208="","",COUNTIF($I208:$X208,"?*"))</f>
        <v/>
      </c>
      <c r="Z208" s="33">
        <f>IF($I208="","",_xlfn.TEXTJOIN(", ",TRUE,$I208:$X208))</f>
        <v/>
      </c>
      <c r="AA208" s="34">
        <f>IF($I208="","",IFERROR(INDEX(코드설정!$D$5:$D$24,MATCH($I208,코드설정!$C$5:$C$24,0)),""))</f>
        <v/>
      </c>
      <c r="AB208" s="36" t="n"/>
      <c r="AC208" s="37" t="n"/>
      <c r="AD208" s="38" t="n"/>
      <c r="AE208" s="30">
        <f>IF(OR($B208="",$C208=""),"",$C208-$B208+1)</f>
        <v/>
      </c>
      <c r="AF208" s="32" t="n"/>
      <c r="AG208" s="36" t="n"/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3">
        <f>IF($F209="","",IFERROR(INDEX(사건마스터!$B$5:$B$64,MATCH($F209,사건마스터!$A$5:$A$64,0)),""))</f>
        <v/>
      </c>
      <c r="H209" s="34">
        <f>IF($F209="","",IFERROR(INDEX(사건마스터!$C$5:$C$64,MATCH($F209,사건마스터!$A$5:$A$64,0)),""))</f>
        <v/>
      </c>
      <c r="I209" s="35">
        <f>IF($F209="","",IFERROR(INDEX(사건마스터!$H$5:$H$64,MATCH($F209,사건마스터!$A$5:$A$64,0)),""))</f>
        <v/>
      </c>
      <c r="J209" s="35">
        <f>IF($F209="","",IFERROR(INDEX(사건마스터!$AH$5:$AH$64,MATCH($F209,사건마스터!$A$5:$A$64,0)),""))</f>
        <v/>
      </c>
      <c r="K209" s="35">
        <f>IF($F209="","",IFERROR(INDEX(사건마스터!$AI$5:$AI$64,MATCH($F209,사건마스터!$A$5:$A$64,0)),""))</f>
        <v/>
      </c>
      <c r="L209" s="35">
        <f>IF($F209="","",IFERROR(INDEX(사건마스터!$AJ$5:$AJ$64,MATCH($F209,사건마스터!$A$5:$A$64,0)),""))</f>
        <v/>
      </c>
      <c r="M209" s="35">
        <f>IF($F209="","",IFERROR(INDEX(사건마스터!$AK$5:$AK$64,MATCH($F209,사건마스터!$A$5:$A$64,0)),""))</f>
        <v/>
      </c>
      <c r="N209" s="35">
        <f>IF($F209="","",IFERROR(INDEX(사건마스터!$AL$5:$AL$64,MATCH($F209,사건마스터!$A$5:$A$64,0)),""))</f>
        <v/>
      </c>
      <c r="O209" s="35">
        <f>IF($F209="","",IFERROR(INDEX(사건마스터!$AM$5:$AM$64,MATCH($F209,사건마스터!$A$5:$A$64,0)),""))</f>
        <v/>
      </c>
      <c r="P209" s="35">
        <f>IF($F209="","",IFERROR(INDEX(사건마스터!$AN$5:$AN$64,MATCH($F209,사건마스터!$A$5:$A$64,0)),""))</f>
        <v/>
      </c>
      <c r="Q209" s="35">
        <f>IF($F209="","",IFERROR(INDEX(사건마스터!$AO$5:$AO$64,MATCH($F209,사건마스터!$A$5:$A$64,0)),""))</f>
        <v/>
      </c>
      <c r="R209" s="35">
        <f>IF($F209="","",IFERROR(INDEX(사건마스터!$AP$5:$AP$64,MATCH($F209,사건마스터!$A$5:$A$64,0)),""))</f>
        <v/>
      </c>
      <c r="S209" s="35">
        <f>IF($F209="","",IFERROR(INDEX(사건마스터!$AQ$5:$AQ$64,MATCH($F209,사건마스터!$A$5:$A$64,0)),""))</f>
        <v/>
      </c>
      <c r="T209" s="35">
        <f>IF($F209="","",IFERROR(INDEX(사건마스터!$AR$5:$AR$64,MATCH($F209,사건마스터!$A$5:$A$64,0)),""))</f>
        <v/>
      </c>
      <c r="U209" s="35">
        <f>IF($F209="","",IFERROR(INDEX(사건마스터!$AS$5:$AS$64,MATCH($F209,사건마스터!$A$5:$A$64,0)),""))</f>
        <v/>
      </c>
      <c r="V209" s="35">
        <f>IF($F209="","",IFERROR(INDEX(사건마스터!$AT$5:$AT$64,MATCH($F209,사건마스터!$A$5:$A$64,0)),""))</f>
        <v/>
      </c>
      <c r="W209" s="35">
        <f>IF($F209="","",IFERROR(INDEX(사건마스터!$AU$5:$AU$64,MATCH($F209,사건마스터!$A$5:$A$64,0)),""))</f>
        <v/>
      </c>
      <c r="X209" s="35">
        <f>IF($F209="","",IFERROR(INDEX(사건마스터!$AV$5:$AV$64,MATCH($F209,사건마스터!$A$5:$A$64,0)),""))</f>
        <v/>
      </c>
      <c r="Y209" s="30">
        <f>IF($I209="","",COUNTIF($I209:$X209,"?*"))</f>
        <v/>
      </c>
      <c r="Z209" s="33">
        <f>IF($I209="","",_xlfn.TEXTJOIN(", ",TRUE,$I209:$X209))</f>
        <v/>
      </c>
      <c r="AA209" s="34">
        <f>IF($I209="","",IFERROR(INDEX(코드설정!$D$5:$D$24,MATCH($I209,코드설정!$C$5:$C$24,0)),""))</f>
        <v/>
      </c>
      <c r="AB209" s="36" t="n"/>
      <c r="AC209" s="37" t="n"/>
      <c r="AD209" s="38" t="n"/>
      <c r="AE209" s="30">
        <f>IF(OR($B209="",$C209=""),"",$C209-$B209+1)</f>
        <v/>
      </c>
      <c r="AF209" s="32" t="n"/>
      <c r="AG209" s="36" t="n"/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3">
        <f>IF($F210="","",IFERROR(INDEX(사건마스터!$B$5:$B$64,MATCH($F210,사건마스터!$A$5:$A$64,0)),""))</f>
        <v/>
      </c>
      <c r="H210" s="34">
        <f>IF($F210="","",IFERROR(INDEX(사건마스터!$C$5:$C$64,MATCH($F210,사건마스터!$A$5:$A$64,0)),""))</f>
        <v/>
      </c>
      <c r="I210" s="35">
        <f>IF($F210="","",IFERROR(INDEX(사건마스터!$H$5:$H$64,MATCH($F210,사건마스터!$A$5:$A$64,0)),""))</f>
        <v/>
      </c>
      <c r="J210" s="35">
        <f>IF($F210="","",IFERROR(INDEX(사건마스터!$AH$5:$AH$64,MATCH($F210,사건마스터!$A$5:$A$64,0)),""))</f>
        <v/>
      </c>
      <c r="K210" s="35">
        <f>IF($F210="","",IFERROR(INDEX(사건마스터!$AI$5:$AI$64,MATCH($F210,사건마스터!$A$5:$A$64,0)),""))</f>
        <v/>
      </c>
      <c r="L210" s="35">
        <f>IF($F210="","",IFERROR(INDEX(사건마스터!$AJ$5:$AJ$64,MATCH($F210,사건마스터!$A$5:$A$64,0)),""))</f>
        <v/>
      </c>
      <c r="M210" s="35">
        <f>IF($F210="","",IFERROR(INDEX(사건마스터!$AK$5:$AK$64,MATCH($F210,사건마스터!$A$5:$A$64,0)),""))</f>
        <v/>
      </c>
      <c r="N210" s="35">
        <f>IF($F210="","",IFERROR(INDEX(사건마스터!$AL$5:$AL$64,MATCH($F210,사건마스터!$A$5:$A$64,0)),""))</f>
        <v/>
      </c>
      <c r="O210" s="35">
        <f>IF($F210="","",IFERROR(INDEX(사건마스터!$AM$5:$AM$64,MATCH($F210,사건마스터!$A$5:$A$64,0)),""))</f>
        <v/>
      </c>
      <c r="P210" s="35">
        <f>IF($F210="","",IFERROR(INDEX(사건마스터!$AN$5:$AN$64,MATCH($F210,사건마스터!$A$5:$A$64,0)),""))</f>
        <v/>
      </c>
      <c r="Q210" s="35">
        <f>IF($F210="","",IFERROR(INDEX(사건마스터!$AO$5:$AO$64,MATCH($F210,사건마스터!$A$5:$A$64,0)),""))</f>
        <v/>
      </c>
      <c r="R210" s="35">
        <f>IF($F210="","",IFERROR(INDEX(사건마스터!$AP$5:$AP$64,MATCH($F210,사건마스터!$A$5:$A$64,0)),""))</f>
        <v/>
      </c>
      <c r="S210" s="35">
        <f>IF($F210="","",IFERROR(INDEX(사건마스터!$AQ$5:$AQ$64,MATCH($F210,사건마스터!$A$5:$A$64,0)),""))</f>
        <v/>
      </c>
      <c r="T210" s="35">
        <f>IF($F210="","",IFERROR(INDEX(사건마스터!$AR$5:$AR$64,MATCH($F210,사건마스터!$A$5:$A$64,0)),""))</f>
        <v/>
      </c>
      <c r="U210" s="35">
        <f>IF($F210="","",IFERROR(INDEX(사건마스터!$AS$5:$AS$64,MATCH($F210,사건마스터!$A$5:$A$64,0)),""))</f>
        <v/>
      </c>
      <c r="V210" s="35">
        <f>IF($F210="","",IFERROR(INDEX(사건마스터!$AT$5:$AT$64,MATCH($F210,사건마스터!$A$5:$A$64,0)),""))</f>
        <v/>
      </c>
      <c r="W210" s="35">
        <f>IF($F210="","",IFERROR(INDEX(사건마스터!$AU$5:$AU$64,MATCH($F210,사건마스터!$A$5:$A$64,0)),""))</f>
        <v/>
      </c>
      <c r="X210" s="35">
        <f>IF($F210="","",IFERROR(INDEX(사건마스터!$AV$5:$AV$64,MATCH($F210,사건마스터!$A$5:$A$64,0)),""))</f>
        <v/>
      </c>
      <c r="Y210" s="30">
        <f>IF($I210="","",COUNTIF($I210:$X210,"?*"))</f>
        <v/>
      </c>
      <c r="Z210" s="33">
        <f>IF($I210="","",_xlfn.TEXTJOIN(", ",TRUE,$I210:$X210))</f>
        <v/>
      </c>
      <c r="AA210" s="34">
        <f>IF($I210="","",IFERROR(INDEX(코드설정!$D$5:$D$24,MATCH($I210,코드설정!$C$5:$C$24,0)),""))</f>
        <v/>
      </c>
      <c r="AB210" s="36" t="n"/>
      <c r="AC210" s="37" t="n"/>
      <c r="AD210" s="38" t="n"/>
      <c r="AE210" s="30">
        <f>IF(OR($B210="",$C210=""),"",$C210-$B210+1)</f>
        <v/>
      </c>
      <c r="AF210" s="32" t="n"/>
      <c r="AG210" s="36" t="n"/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3">
        <f>IF($F211="","",IFERROR(INDEX(사건마스터!$B$5:$B$64,MATCH($F211,사건마스터!$A$5:$A$64,0)),""))</f>
        <v/>
      </c>
      <c r="H211" s="34">
        <f>IF($F211="","",IFERROR(INDEX(사건마스터!$C$5:$C$64,MATCH($F211,사건마스터!$A$5:$A$64,0)),""))</f>
        <v/>
      </c>
      <c r="I211" s="35">
        <f>IF($F211="","",IFERROR(INDEX(사건마스터!$H$5:$H$64,MATCH($F211,사건마스터!$A$5:$A$64,0)),""))</f>
        <v/>
      </c>
      <c r="J211" s="35">
        <f>IF($F211="","",IFERROR(INDEX(사건마스터!$AH$5:$AH$64,MATCH($F211,사건마스터!$A$5:$A$64,0)),""))</f>
        <v/>
      </c>
      <c r="K211" s="35">
        <f>IF($F211="","",IFERROR(INDEX(사건마스터!$AI$5:$AI$64,MATCH($F211,사건마스터!$A$5:$A$64,0)),""))</f>
        <v/>
      </c>
      <c r="L211" s="35">
        <f>IF($F211="","",IFERROR(INDEX(사건마스터!$AJ$5:$AJ$64,MATCH($F211,사건마스터!$A$5:$A$64,0)),""))</f>
        <v/>
      </c>
      <c r="M211" s="35">
        <f>IF($F211="","",IFERROR(INDEX(사건마스터!$AK$5:$AK$64,MATCH($F211,사건마스터!$A$5:$A$64,0)),""))</f>
        <v/>
      </c>
      <c r="N211" s="35">
        <f>IF($F211="","",IFERROR(INDEX(사건마스터!$AL$5:$AL$64,MATCH($F211,사건마스터!$A$5:$A$64,0)),""))</f>
        <v/>
      </c>
      <c r="O211" s="35">
        <f>IF($F211="","",IFERROR(INDEX(사건마스터!$AM$5:$AM$64,MATCH($F211,사건마스터!$A$5:$A$64,0)),""))</f>
        <v/>
      </c>
      <c r="P211" s="35">
        <f>IF($F211="","",IFERROR(INDEX(사건마스터!$AN$5:$AN$64,MATCH($F211,사건마스터!$A$5:$A$64,0)),""))</f>
        <v/>
      </c>
      <c r="Q211" s="35">
        <f>IF($F211="","",IFERROR(INDEX(사건마스터!$AO$5:$AO$64,MATCH($F211,사건마스터!$A$5:$A$64,0)),""))</f>
        <v/>
      </c>
      <c r="R211" s="35">
        <f>IF($F211="","",IFERROR(INDEX(사건마스터!$AP$5:$AP$64,MATCH($F211,사건마스터!$A$5:$A$64,0)),""))</f>
        <v/>
      </c>
      <c r="S211" s="35">
        <f>IF($F211="","",IFERROR(INDEX(사건마스터!$AQ$5:$AQ$64,MATCH($F211,사건마스터!$A$5:$A$64,0)),""))</f>
        <v/>
      </c>
      <c r="T211" s="35">
        <f>IF($F211="","",IFERROR(INDEX(사건마스터!$AR$5:$AR$64,MATCH($F211,사건마스터!$A$5:$A$64,0)),""))</f>
        <v/>
      </c>
      <c r="U211" s="35">
        <f>IF($F211="","",IFERROR(INDEX(사건마스터!$AS$5:$AS$64,MATCH($F211,사건마스터!$A$5:$A$64,0)),""))</f>
        <v/>
      </c>
      <c r="V211" s="35">
        <f>IF($F211="","",IFERROR(INDEX(사건마스터!$AT$5:$AT$64,MATCH($F211,사건마스터!$A$5:$A$64,0)),""))</f>
        <v/>
      </c>
      <c r="W211" s="35">
        <f>IF($F211="","",IFERROR(INDEX(사건마스터!$AU$5:$AU$64,MATCH($F211,사건마스터!$A$5:$A$64,0)),""))</f>
        <v/>
      </c>
      <c r="X211" s="35">
        <f>IF($F211="","",IFERROR(INDEX(사건마스터!$AV$5:$AV$64,MATCH($F211,사건마스터!$A$5:$A$64,0)),""))</f>
        <v/>
      </c>
      <c r="Y211" s="30">
        <f>IF($I211="","",COUNTIF($I211:$X211,"?*"))</f>
        <v/>
      </c>
      <c r="Z211" s="33">
        <f>IF($I211="","",_xlfn.TEXTJOIN(", ",TRUE,$I211:$X211))</f>
        <v/>
      </c>
      <c r="AA211" s="34">
        <f>IF($I211="","",IFERROR(INDEX(코드설정!$D$5:$D$24,MATCH($I211,코드설정!$C$5:$C$24,0)),""))</f>
        <v/>
      </c>
      <c r="AB211" s="36" t="n"/>
      <c r="AC211" s="37" t="n"/>
      <c r="AD211" s="38" t="n"/>
      <c r="AE211" s="30">
        <f>IF(OR($B211="",$C211=""),"",$C211-$B211+1)</f>
        <v/>
      </c>
      <c r="AF211" s="32" t="n"/>
      <c r="AG211" s="36" t="n"/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3">
        <f>IF($F212="","",IFERROR(INDEX(사건마스터!$B$5:$B$64,MATCH($F212,사건마스터!$A$5:$A$64,0)),""))</f>
        <v/>
      </c>
      <c r="H212" s="34">
        <f>IF($F212="","",IFERROR(INDEX(사건마스터!$C$5:$C$64,MATCH($F212,사건마스터!$A$5:$A$64,0)),""))</f>
        <v/>
      </c>
      <c r="I212" s="35">
        <f>IF($F212="","",IFERROR(INDEX(사건마스터!$H$5:$H$64,MATCH($F212,사건마스터!$A$5:$A$64,0)),""))</f>
        <v/>
      </c>
      <c r="J212" s="35">
        <f>IF($F212="","",IFERROR(INDEX(사건마스터!$AH$5:$AH$64,MATCH($F212,사건마스터!$A$5:$A$64,0)),""))</f>
        <v/>
      </c>
      <c r="K212" s="35">
        <f>IF($F212="","",IFERROR(INDEX(사건마스터!$AI$5:$AI$64,MATCH($F212,사건마스터!$A$5:$A$64,0)),""))</f>
        <v/>
      </c>
      <c r="L212" s="35">
        <f>IF($F212="","",IFERROR(INDEX(사건마스터!$AJ$5:$AJ$64,MATCH($F212,사건마스터!$A$5:$A$64,0)),""))</f>
        <v/>
      </c>
      <c r="M212" s="35">
        <f>IF($F212="","",IFERROR(INDEX(사건마스터!$AK$5:$AK$64,MATCH($F212,사건마스터!$A$5:$A$64,0)),""))</f>
        <v/>
      </c>
      <c r="N212" s="35">
        <f>IF($F212="","",IFERROR(INDEX(사건마스터!$AL$5:$AL$64,MATCH($F212,사건마스터!$A$5:$A$64,0)),""))</f>
        <v/>
      </c>
      <c r="O212" s="35">
        <f>IF($F212="","",IFERROR(INDEX(사건마스터!$AM$5:$AM$64,MATCH($F212,사건마스터!$A$5:$A$64,0)),""))</f>
        <v/>
      </c>
      <c r="P212" s="35">
        <f>IF($F212="","",IFERROR(INDEX(사건마스터!$AN$5:$AN$64,MATCH($F212,사건마스터!$A$5:$A$64,0)),""))</f>
        <v/>
      </c>
      <c r="Q212" s="35">
        <f>IF($F212="","",IFERROR(INDEX(사건마스터!$AO$5:$AO$64,MATCH($F212,사건마스터!$A$5:$A$64,0)),""))</f>
        <v/>
      </c>
      <c r="R212" s="35">
        <f>IF($F212="","",IFERROR(INDEX(사건마스터!$AP$5:$AP$64,MATCH($F212,사건마스터!$A$5:$A$64,0)),""))</f>
        <v/>
      </c>
      <c r="S212" s="35">
        <f>IF($F212="","",IFERROR(INDEX(사건마스터!$AQ$5:$AQ$64,MATCH($F212,사건마스터!$A$5:$A$64,0)),""))</f>
        <v/>
      </c>
      <c r="T212" s="35">
        <f>IF($F212="","",IFERROR(INDEX(사건마스터!$AR$5:$AR$64,MATCH($F212,사건마스터!$A$5:$A$64,0)),""))</f>
        <v/>
      </c>
      <c r="U212" s="35">
        <f>IF($F212="","",IFERROR(INDEX(사건마스터!$AS$5:$AS$64,MATCH($F212,사건마스터!$A$5:$A$64,0)),""))</f>
        <v/>
      </c>
      <c r="V212" s="35">
        <f>IF($F212="","",IFERROR(INDEX(사건마스터!$AT$5:$AT$64,MATCH($F212,사건마스터!$A$5:$A$64,0)),""))</f>
        <v/>
      </c>
      <c r="W212" s="35">
        <f>IF($F212="","",IFERROR(INDEX(사건마스터!$AU$5:$AU$64,MATCH($F212,사건마스터!$A$5:$A$64,0)),""))</f>
        <v/>
      </c>
      <c r="X212" s="35">
        <f>IF($F212="","",IFERROR(INDEX(사건마스터!$AV$5:$AV$64,MATCH($F212,사건마스터!$A$5:$A$64,0)),""))</f>
        <v/>
      </c>
      <c r="Y212" s="30">
        <f>IF($I212="","",COUNTIF($I212:$X212,"?*"))</f>
        <v/>
      </c>
      <c r="Z212" s="33">
        <f>IF($I212="","",_xlfn.TEXTJOIN(", ",TRUE,$I212:$X212))</f>
        <v/>
      </c>
      <c r="AA212" s="34">
        <f>IF($I212="","",IFERROR(INDEX(코드설정!$D$5:$D$24,MATCH($I212,코드설정!$C$5:$C$24,0)),""))</f>
        <v/>
      </c>
      <c r="AB212" s="36" t="n"/>
      <c r="AC212" s="37" t="n"/>
      <c r="AD212" s="38" t="n"/>
      <c r="AE212" s="30">
        <f>IF(OR($B212="",$C212=""),"",$C212-$B212+1)</f>
        <v/>
      </c>
      <c r="AF212" s="32" t="n"/>
      <c r="AG212" s="36" t="n"/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3">
        <f>IF($F213="","",IFERROR(INDEX(사건마스터!$B$5:$B$64,MATCH($F213,사건마스터!$A$5:$A$64,0)),""))</f>
        <v/>
      </c>
      <c r="H213" s="34">
        <f>IF($F213="","",IFERROR(INDEX(사건마스터!$C$5:$C$64,MATCH($F213,사건마스터!$A$5:$A$64,0)),""))</f>
        <v/>
      </c>
      <c r="I213" s="35">
        <f>IF($F213="","",IFERROR(INDEX(사건마스터!$H$5:$H$64,MATCH($F213,사건마스터!$A$5:$A$64,0)),""))</f>
        <v/>
      </c>
      <c r="J213" s="35">
        <f>IF($F213="","",IFERROR(INDEX(사건마스터!$AH$5:$AH$64,MATCH($F213,사건마스터!$A$5:$A$64,0)),""))</f>
        <v/>
      </c>
      <c r="K213" s="35">
        <f>IF($F213="","",IFERROR(INDEX(사건마스터!$AI$5:$AI$64,MATCH($F213,사건마스터!$A$5:$A$64,0)),""))</f>
        <v/>
      </c>
      <c r="L213" s="35">
        <f>IF($F213="","",IFERROR(INDEX(사건마스터!$AJ$5:$AJ$64,MATCH($F213,사건마스터!$A$5:$A$64,0)),""))</f>
        <v/>
      </c>
      <c r="M213" s="35">
        <f>IF($F213="","",IFERROR(INDEX(사건마스터!$AK$5:$AK$64,MATCH($F213,사건마스터!$A$5:$A$64,0)),""))</f>
        <v/>
      </c>
      <c r="N213" s="35">
        <f>IF($F213="","",IFERROR(INDEX(사건마스터!$AL$5:$AL$64,MATCH($F213,사건마스터!$A$5:$A$64,0)),""))</f>
        <v/>
      </c>
      <c r="O213" s="35">
        <f>IF($F213="","",IFERROR(INDEX(사건마스터!$AM$5:$AM$64,MATCH($F213,사건마스터!$A$5:$A$64,0)),""))</f>
        <v/>
      </c>
      <c r="P213" s="35">
        <f>IF($F213="","",IFERROR(INDEX(사건마스터!$AN$5:$AN$64,MATCH($F213,사건마스터!$A$5:$A$64,0)),""))</f>
        <v/>
      </c>
      <c r="Q213" s="35">
        <f>IF($F213="","",IFERROR(INDEX(사건마스터!$AO$5:$AO$64,MATCH($F213,사건마스터!$A$5:$A$64,0)),""))</f>
        <v/>
      </c>
      <c r="R213" s="35">
        <f>IF($F213="","",IFERROR(INDEX(사건마스터!$AP$5:$AP$64,MATCH($F213,사건마스터!$A$5:$A$64,0)),""))</f>
        <v/>
      </c>
      <c r="S213" s="35">
        <f>IF($F213="","",IFERROR(INDEX(사건마스터!$AQ$5:$AQ$64,MATCH($F213,사건마스터!$A$5:$A$64,0)),""))</f>
        <v/>
      </c>
      <c r="T213" s="35">
        <f>IF($F213="","",IFERROR(INDEX(사건마스터!$AR$5:$AR$64,MATCH($F213,사건마스터!$A$5:$A$64,0)),""))</f>
        <v/>
      </c>
      <c r="U213" s="35">
        <f>IF($F213="","",IFERROR(INDEX(사건마스터!$AS$5:$AS$64,MATCH($F213,사건마스터!$A$5:$A$64,0)),""))</f>
        <v/>
      </c>
      <c r="V213" s="35">
        <f>IF($F213="","",IFERROR(INDEX(사건마스터!$AT$5:$AT$64,MATCH($F213,사건마스터!$A$5:$A$64,0)),""))</f>
        <v/>
      </c>
      <c r="W213" s="35">
        <f>IF($F213="","",IFERROR(INDEX(사건마스터!$AU$5:$AU$64,MATCH($F213,사건마스터!$A$5:$A$64,0)),""))</f>
        <v/>
      </c>
      <c r="X213" s="35">
        <f>IF($F213="","",IFERROR(INDEX(사건마스터!$AV$5:$AV$64,MATCH($F213,사건마스터!$A$5:$A$64,0)),""))</f>
        <v/>
      </c>
      <c r="Y213" s="30">
        <f>IF($I213="","",COUNTIF($I213:$X213,"?*"))</f>
        <v/>
      </c>
      <c r="Z213" s="33">
        <f>IF($I213="","",_xlfn.TEXTJOIN(", ",TRUE,$I213:$X213))</f>
        <v/>
      </c>
      <c r="AA213" s="34">
        <f>IF($I213="","",IFERROR(INDEX(코드설정!$D$5:$D$24,MATCH($I213,코드설정!$C$5:$C$24,0)),""))</f>
        <v/>
      </c>
      <c r="AB213" s="36" t="n"/>
      <c r="AC213" s="37" t="n"/>
      <c r="AD213" s="38" t="n"/>
      <c r="AE213" s="30">
        <f>IF(OR($B213="",$C213=""),"",$C213-$B213+1)</f>
        <v/>
      </c>
      <c r="AF213" s="32" t="n"/>
      <c r="AG213" s="36" t="n"/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3">
        <f>IF($F214="","",IFERROR(INDEX(사건마스터!$B$5:$B$64,MATCH($F214,사건마스터!$A$5:$A$64,0)),""))</f>
        <v/>
      </c>
      <c r="H214" s="34">
        <f>IF($F214="","",IFERROR(INDEX(사건마스터!$C$5:$C$64,MATCH($F214,사건마스터!$A$5:$A$64,0)),""))</f>
        <v/>
      </c>
      <c r="I214" s="35">
        <f>IF($F214="","",IFERROR(INDEX(사건마스터!$H$5:$H$64,MATCH($F214,사건마스터!$A$5:$A$64,0)),""))</f>
        <v/>
      </c>
      <c r="J214" s="35">
        <f>IF($F214="","",IFERROR(INDEX(사건마스터!$AH$5:$AH$64,MATCH($F214,사건마스터!$A$5:$A$64,0)),""))</f>
        <v/>
      </c>
      <c r="K214" s="35">
        <f>IF($F214="","",IFERROR(INDEX(사건마스터!$AI$5:$AI$64,MATCH($F214,사건마스터!$A$5:$A$64,0)),""))</f>
        <v/>
      </c>
      <c r="L214" s="35">
        <f>IF($F214="","",IFERROR(INDEX(사건마스터!$AJ$5:$AJ$64,MATCH($F214,사건마스터!$A$5:$A$64,0)),""))</f>
        <v/>
      </c>
      <c r="M214" s="35">
        <f>IF($F214="","",IFERROR(INDEX(사건마스터!$AK$5:$AK$64,MATCH($F214,사건마스터!$A$5:$A$64,0)),""))</f>
        <v/>
      </c>
      <c r="N214" s="35">
        <f>IF($F214="","",IFERROR(INDEX(사건마스터!$AL$5:$AL$64,MATCH($F214,사건마스터!$A$5:$A$64,0)),""))</f>
        <v/>
      </c>
      <c r="O214" s="35">
        <f>IF($F214="","",IFERROR(INDEX(사건마스터!$AM$5:$AM$64,MATCH($F214,사건마스터!$A$5:$A$64,0)),""))</f>
        <v/>
      </c>
      <c r="P214" s="35">
        <f>IF($F214="","",IFERROR(INDEX(사건마스터!$AN$5:$AN$64,MATCH($F214,사건마스터!$A$5:$A$64,0)),""))</f>
        <v/>
      </c>
      <c r="Q214" s="35">
        <f>IF($F214="","",IFERROR(INDEX(사건마스터!$AO$5:$AO$64,MATCH($F214,사건마스터!$A$5:$A$64,0)),""))</f>
        <v/>
      </c>
      <c r="R214" s="35">
        <f>IF($F214="","",IFERROR(INDEX(사건마스터!$AP$5:$AP$64,MATCH($F214,사건마스터!$A$5:$A$64,0)),""))</f>
        <v/>
      </c>
      <c r="S214" s="35">
        <f>IF($F214="","",IFERROR(INDEX(사건마스터!$AQ$5:$AQ$64,MATCH($F214,사건마스터!$A$5:$A$64,0)),""))</f>
        <v/>
      </c>
      <c r="T214" s="35">
        <f>IF($F214="","",IFERROR(INDEX(사건마스터!$AR$5:$AR$64,MATCH($F214,사건마스터!$A$5:$A$64,0)),""))</f>
        <v/>
      </c>
      <c r="U214" s="35">
        <f>IF($F214="","",IFERROR(INDEX(사건마스터!$AS$5:$AS$64,MATCH($F214,사건마스터!$A$5:$A$64,0)),""))</f>
        <v/>
      </c>
      <c r="V214" s="35">
        <f>IF($F214="","",IFERROR(INDEX(사건마스터!$AT$5:$AT$64,MATCH($F214,사건마스터!$A$5:$A$64,0)),""))</f>
        <v/>
      </c>
      <c r="W214" s="35">
        <f>IF($F214="","",IFERROR(INDEX(사건마스터!$AU$5:$AU$64,MATCH($F214,사건마스터!$A$5:$A$64,0)),""))</f>
        <v/>
      </c>
      <c r="X214" s="35">
        <f>IF($F214="","",IFERROR(INDEX(사건마스터!$AV$5:$AV$64,MATCH($F214,사건마스터!$A$5:$A$64,0)),""))</f>
        <v/>
      </c>
      <c r="Y214" s="30">
        <f>IF($I214="","",COUNTIF($I214:$X214,"?*"))</f>
        <v/>
      </c>
      <c r="Z214" s="33">
        <f>IF($I214="","",_xlfn.TEXTJOIN(", ",TRUE,$I214:$X214))</f>
        <v/>
      </c>
      <c r="AA214" s="34">
        <f>IF($I214="","",IFERROR(INDEX(코드설정!$D$5:$D$24,MATCH($I214,코드설정!$C$5:$C$24,0)),""))</f>
        <v/>
      </c>
      <c r="AB214" s="36" t="n"/>
      <c r="AC214" s="37" t="n"/>
      <c r="AD214" s="38" t="n"/>
      <c r="AE214" s="30">
        <f>IF(OR($B214="",$C214=""),"",$C214-$B214+1)</f>
        <v/>
      </c>
      <c r="AF214" s="32" t="n"/>
      <c r="AG214" s="36" t="n"/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3">
        <f>IF($F215="","",IFERROR(INDEX(사건마스터!$B$5:$B$64,MATCH($F215,사건마스터!$A$5:$A$64,0)),""))</f>
        <v/>
      </c>
      <c r="H215" s="34">
        <f>IF($F215="","",IFERROR(INDEX(사건마스터!$C$5:$C$64,MATCH($F215,사건마스터!$A$5:$A$64,0)),""))</f>
        <v/>
      </c>
      <c r="I215" s="35">
        <f>IF($F215="","",IFERROR(INDEX(사건마스터!$H$5:$H$64,MATCH($F215,사건마스터!$A$5:$A$64,0)),""))</f>
        <v/>
      </c>
      <c r="J215" s="35">
        <f>IF($F215="","",IFERROR(INDEX(사건마스터!$AH$5:$AH$64,MATCH($F215,사건마스터!$A$5:$A$64,0)),""))</f>
        <v/>
      </c>
      <c r="K215" s="35">
        <f>IF($F215="","",IFERROR(INDEX(사건마스터!$AI$5:$AI$64,MATCH($F215,사건마스터!$A$5:$A$64,0)),""))</f>
        <v/>
      </c>
      <c r="L215" s="35">
        <f>IF($F215="","",IFERROR(INDEX(사건마스터!$AJ$5:$AJ$64,MATCH($F215,사건마스터!$A$5:$A$64,0)),""))</f>
        <v/>
      </c>
      <c r="M215" s="35">
        <f>IF($F215="","",IFERROR(INDEX(사건마스터!$AK$5:$AK$64,MATCH($F215,사건마스터!$A$5:$A$64,0)),""))</f>
        <v/>
      </c>
      <c r="N215" s="35">
        <f>IF($F215="","",IFERROR(INDEX(사건마스터!$AL$5:$AL$64,MATCH($F215,사건마스터!$A$5:$A$64,0)),""))</f>
        <v/>
      </c>
      <c r="O215" s="35">
        <f>IF($F215="","",IFERROR(INDEX(사건마스터!$AM$5:$AM$64,MATCH($F215,사건마스터!$A$5:$A$64,0)),""))</f>
        <v/>
      </c>
      <c r="P215" s="35">
        <f>IF($F215="","",IFERROR(INDEX(사건마스터!$AN$5:$AN$64,MATCH($F215,사건마스터!$A$5:$A$64,0)),""))</f>
        <v/>
      </c>
      <c r="Q215" s="35">
        <f>IF($F215="","",IFERROR(INDEX(사건마스터!$AO$5:$AO$64,MATCH($F215,사건마스터!$A$5:$A$64,0)),""))</f>
        <v/>
      </c>
      <c r="R215" s="35">
        <f>IF($F215="","",IFERROR(INDEX(사건마스터!$AP$5:$AP$64,MATCH($F215,사건마스터!$A$5:$A$64,0)),""))</f>
        <v/>
      </c>
      <c r="S215" s="35">
        <f>IF($F215="","",IFERROR(INDEX(사건마스터!$AQ$5:$AQ$64,MATCH($F215,사건마스터!$A$5:$A$64,0)),""))</f>
        <v/>
      </c>
      <c r="T215" s="35">
        <f>IF($F215="","",IFERROR(INDEX(사건마스터!$AR$5:$AR$64,MATCH($F215,사건마스터!$A$5:$A$64,0)),""))</f>
        <v/>
      </c>
      <c r="U215" s="35">
        <f>IF($F215="","",IFERROR(INDEX(사건마스터!$AS$5:$AS$64,MATCH($F215,사건마스터!$A$5:$A$64,0)),""))</f>
        <v/>
      </c>
      <c r="V215" s="35">
        <f>IF($F215="","",IFERROR(INDEX(사건마스터!$AT$5:$AT$64,MATCH($F215,사건마스터!$A$5:$A$64,0)),""))</f>
        <v/>
      </c>
      <c r="W215" s="35">
        <f>IF($F215="","",IFERROR(INDEX(사건마스터!$AU$5:$AU$64,MATCH($F215,사건마스터!$A$5:$A$64,0)),""))</f>
        <v/>
      </c>
      <c r="X215" s="35">
        <f>IF($F215="","",IFERROR(INDEX(사건마스터!$AV$5:$AV$64,MATCH($F215,사건마스터!$A$5:$A$64,0)),""))</f>
        <v/>
      </c>
      <c r="Y215" s="30">
        <f>IF($I215="","",COUNTIF($I215:$X215,"?*"))</f>
        <v/>
      </c>
      <c r="Z215" s="33">
        <f>IF($I215="","",_xlfn.TEXTJOIN(", ",TRUE,$I215:$X215))</f>
        <v/>
      </c>
      <c r="AA215" s="34">
        <f>IF($I215="","",IFERROR(INDEX(코드설정!$D$5:$D$24,MATCH($I215,코드설정!$C$5:$C$24,0)),""))</f>
        <v/>
      </c>
      <c r="AB215" s="36" t="n"/>
      <c r="AC215" s="37" t="n"/>
      <c r="AD215" s="38" t="n"/>
      <c r="AE215" s="30">
        <f>IF(OR($B215="",$C215=""),"",$C215-$B215+1)</f>
        <v/>
      </c>
      <c r="AF215" s="32" t="n"/>
      <c r="AG215" s="36" t="n"/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3">
        <f>IF($F216="","",IFERROR(INDEX(사건마스터!$B$5:$B$64,MATCH($F216,사건마스터!$A$5:$A$64,0)),""))</f>
        <v/>
      </c>
      <c r="H216" s="34">
        <f>IF($F216="","",IFERROR(INDEX(사건마스터!$C$5:$C$64,MATCH($F216,사건마스터!$A$5:$A$64,0)),""))</f>
        <v/>
      </c>
      <c r="I216" s="35">
        <f>IF($F216="","",IFERROR(INDEX(사건마스터!$H$5:$H$64,MATCH($F216,사건마스터!$A$5:$A$64,0)),""))</f>
        <v/>
      </c>
      <c r="J216" s="35">
        <f>IF($F216="","",IFERROR(INDEX(사건마스터!$AH$5:$AH$64,MATCH($F216,사건마스터!$A$5:$A$64,0)),""))</f>
        <v/>
      </c>
      <c r="K216" s="35">
        <f>IF($F216="","",IFERROR(INDEX(사건마스터!$AI$5:$AI$64,MATCH($F216,사건마스터!$A$5:$A$64,0)),""))</f>
        <v/>
      </c>
      <c r="L216" s="35">
        <f>IF($F216="","",IFERROR(INDEX(사건마스터!$AJ$5:$AJ$64,MATCH($F216,사건마스터!$A$5:$A$64,0)),""))</f>
        <v/>
      </c>
      <c r="M216" s="35">
        <f>IF($F216="","",IFERROR(INDEX(사건마스터!$AK$5:$AK$64,MATCH($F216,사건마스터!$A$5:$A$64,0)),""))</f>
        <v/>
      </c>
      <c r="N216" s="35">
        <f>IF($F216="","",IFERROR(INDEX(사건마스터!$AL$5:$AL$64,MATCH($F216,사건마스터!$A$5:$A$64,0)),""))</f>
        <v/>
      </c>
      <c r="O216" s="35">
        <f>IF($F216="","",IFERROR(INDEX(사건마스터!$AM$5:$AM$64,MATCH($F216,사건마스터!$A$5:$A$64,0)),""))</f>
        <v/>
      </c>
      <c r="P216" s="35">
        <f>IF($F216="","",IFERROR(INDEX(사건마스터!$AN$5:$AN$64,MATCH($F216,사건마스터!$A$5:$A$64,0)),""))</f>
        <v/>
      </c>
      <c r="Q216" s="35">
        <f>IF($F216="","",IFERROR(INDEX(사건마스터!$AO$5:$AO$64,MATCH($F216,사건마스터!$A$5:$A$64,0)),""))</f>
        <v/>
      </c>
      <c r="R216" s="35">
        <f>IF($F216="","",IFERROR(INDEX(사건마스터!$AP$5:$AP$64,MATCH($F216,사건마스터!$A$5:$A$64,0)),""))</f>
        <v/>
      </c>
      <c r="S216" s="35">
        <f>IF($F216="","",IFERROR(INDEX(사건마스터!$AQ$5:$AQ$64,MATCH($F216,사건마스터!$A$5:$A$64,0)),""))</f>
        <v/>
      </c>
      <c r="T216" s="35">
        <f>IF($F216="","",IFERROR(INDEX(사건마스터!$AR$5:$AR$64,MATCH($F216,사건마스터!$A$5:$A$64,0)),""))</f>
        <v/>
      </c>
      <c r="U216" s="35">
        <f>IF($F216="","",IFERROR(INDEX(사건마스터!$AS$5:$AS$64,MATCH($F216,사건마스터!$A$5:$A$64,0)),""))</f>
        <v/>
      </c>
      <c r="V216" s="35">
        <f>IF($F216="","",IFERROR(INDEX(사건마스터!$AT$5:$AT$64,MATCH($F216,사건마스터!$A$5:$A$64,0)),""))</f>
        <v/>
      </c>
      <c r="W216" s="35">
        <f>IF($F216="","",IFERROR(INDEX(사건마스터!$AU$5:$AU$64,MATCH($F216,사건마스터!$A$5:$A$64,0)),""))</f>
        <v/>
      </c>
      <c r="X216" s="35">
        <f>IF($F216="","",IFERROR(INDEX(사건마스터!$AV$5:$AV$64,MATCH($F216,사건마스터!$A$5:$A$64,0)),""))</f>
        <v/>
      </c>
      <c r="Y216" s="30">
        <f>IF($I216="","",COUNTIF($I216:$X216,"?*"))</f>
        <v/>
      </c>
      <c r="Z216" s="33">
        <f>IF($I216="","",_xlfn.TEXTJOIN(", ",TRUE,$I216:$X216))</f>
        <v/>
      </c>
      <c r="AA216" s="34">
        <f>IF($I216="","",IFERROR(INDEX(코드설정!$D$5:$D$24,MATCH($I216,코드설정!$C$5:$C$24,0)),""))</f>
        <v/>
      </c>
      <c r="AB216" s="36" t="n"/>
      <c r="AC216" s="37" t="n"/>
      <c r="AD216" s="38" t="n"/>
      <c r="AE216" s="30">
        <f>IF(OR($B216="",$C216=""),"",$C216-$B216+1)</f>
        <v/>
      </c>
      <c r="AF216" s="32" t="n"/>
      <c r="AG216" s="36" t="n"/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3">
        <f>IF($F217="","",IFERROR(INDEX(사건마스터!$B$5:$B$64,MATCH($F217,사건마스터!$A$5:$A$64,0)),""))</f>
        <v/>
      </c>
      <c r="H217" s="34">
        <f>IF($F217="","",IFERROR(INDEX(사건마스터!$C$5:$C$64,MATCH($F217,사건마스터!$A$5:$A$64,0)),""))</f>
        <v/>
      </c>
      <c r="I217" s="35">
        <f>IF($F217="","",IFERROR(INDEX(사건마스터!$H$5:$H$64,MATCH($F217,사건마스터!$A$5:$A$64,0)),""))</f>
        <v/>
      </c>
      <c r="J217" s="35">
        <f>IF($F217="","",IFERROR(INDEX(사건마스터!$AH$5:$AH$64,MATCH($F217,사건마스터!$A$5:$A$64,0)),""))</f>
        <v/>
      </c>
      <c r="K217" s="35">
        <f>IF($F217="","",IFERROR(INDEX(사건마스터!$AI$5:$AI$64,MATCH($F217,사건마스터!$A$5:$A$64,0)),""))</f>
        <v/>
      </c>
      <c r="L217" s="35">
        <f>IF($F217="","",IFERROR(INDEX(사건마스터!$AJ$5:$AJ$64,MATCH($F217,사건마스터!$A$5:$A$64,0)),""))</f>
        <v/>
      </c>
      <c r="M217" s="35">
        <f>IF($F217="","",IFERROR(INDEX(사건마스터!$AK$5:$AK$64,MATCH($F217,사건마스터!$A$5:$A$64,0)),""))</f>
        <v/>
      </c>
      <c r="N217" s="35">
        <f>IF($F217="","",IFERROR(INDEX(사건마스터!$AL$5:$AL$64,MATCH($F217,사건마스터!$A$5:$A$64,0)),""))</f>
        <v/>
      </c>
      <c r="O217" s="35">
        <f>IF($F217="","",IFERROR(INDEX(사건마스터!$AM$5:$AM$64,MATCH($F217,사건마스터!$A$5:$A$64,0)),""))</f>
        <v/>
      </c>
      <c r="P217" s="35">
        <f>IF($F217="","",IFERROR(INDEX(사건마스터!$AN$5:$AN$64,MATCH($F217,사건마스터!$A$5:$A$64,0)),""))</f>
        <v/>
      </c>
      <c r="Q217" s="35">
        <f>IF($F217="","",IFERROR(INDEX(사건마스터!$AO$5:$AO$64,MATCH($F217,사건마스터!$A$5:$A$64,0)),""))</f>
        <v/>
      </c>
      <c r="R217" s="35">
        <f>IF($F217="","",IFERROR(INDEX(사건마스터!$AP$5:$AP$64,MATCH($F217,사건마스터!$A$5:$A$64,0)),""))</f>
        <v/>
      </c>
      <c r="S217" s="35">
        <f>IF($F217="","",IFERROR(INDEX(사건마스터!$AQ$5:$AQ$64,MATCH($F217,사건마스터!$A$5:$A$64,0)),""))</f>
        <v/>
      </c>
      <c r="T217" s="35">
        <f>IF($F217="","",IFERROR(INDEX(사건마스터!$AR$5:$AR$64,MATCH($F217,사건마스터!$A$5:$A$64,0)),""))</f>
        <v/>
      </c>
      <c r="U217" s="35">
        <f>IF($F217="","",IFERROR(INDEX(사건마스터!$AS$5:$AS$64,MATCH($F217,사건마스터!$A$5:$A$64,0)),""))</f>
        <v/>
      </c>
      <c r="V217" s="35">
        <f>IF($F217="","",IFERROR(INDEX(사건마스터!$AT$5:$AT$64,MATCH($F217,사건마스터!$A$5:$A$64,0)),""))</f>
        <v/>
      </c>
      <c r="W217" s="35">
        <f>IF($F217="","",IFERROR(INDEX(사건마스터!$AU$5:$AU$64,MATCH($F217,사건마스터!$A$5:$A$64,0)),""))</f>
        <v/>
      </c>
      <c r="X217" s="35">
        <f>IF($F217="","",IFERROR(INDEX(사건마스터!$AV$5:$AV$64,MATCH($F217,사건마스터!$A$5:$A$64,0)),""))</f>
        <v/>
      </c>
      <c r="Y217" s="30">
        <f>IF($I217="","",COUNTIF($I217:$X217,"?*"))</f>
        <v/>
      </c>
      <c r="Z217" s="33">
        <f>IF($I217="","",_xlfn.TEXTJOIN(", ",TRUE,$I217:$X217))</f>
        <v/>
      </c>
      <c r="AA217" s="34">
        <f>IF($I217="","",IFERROR(INDEX(코드설정!$D$5:$D$24,MATCH($I217,코드설정!$C$5:$C$24,0)),""))</f>
        <v/>
      </c>
      <c r="AB217" s="36" t="n"/>
      <c r="AC217" s="37" t="n"/>
      <c r="AD217" s="38" t="n"/>
      <c r="AE217" s="30">
        <f>IF(OR($B217="",$C217=""),"",$C217-$B217+1)</f>
        <v/>
      </c>
      <c r="AF217" s="32" t="n"/>
      <c r="AG217" s="36" t="n"/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3">
        <f>IF($F218="","",IFERROR(INDEX(사건마스터!$B$5:$B$64,MATCH($F218,사건마스터!$A$5:$A$64,0)),""))</f>
        <v/>
      </c>
      <c r="H218" s="34">
        <f>IF($F218="","",IFERROR(INDEX(사건마스터!$C$5:$C$64,MATCH($F218,사건마스터!$A$5:$A$64,0)),""))</f>
        <v/>
      </c>
      <c r="I218" s="35">
        <f>IF($F218="","",IFERROR(INDEX(사건마스터!$H$5:$H$64,MATCH($F218,사건마스터!$A$5:$A$64,0)),""))</f>
        <v/>
      </c>
      <c r="J218" s="35">
        <f>IF($F218="","",IFERROR(INDEX(사건마스터!$AH$5:$AH$64,MATCH($F218,사건마스터!$A$5:$A$64,0)),""))</f>
        <v/>
      </c>
      <c r="K218" s="35">
        <f>IF($F218="","",IFERROR(INDEX(사건마스터!$AI$5:$AI$64,MATCH($F218,사건마스터!$A$5:$A$64,0)),""))</f>
        <v/>
      </c>
      <c r="L218" s="35">
        <f>IF($F218="","",IFERROR(INDEX(사건마스터!$AJ$5:$AJ$64,MATCH($F218,사건마스터!$A$5:$A$64,0)),""))</f>
        <v/>
      </c>
      <c r="M218" s="35">
        <f>IF($F218="","",IFERROR(INDEX(사건마스터!$AK$5:$AK$64,MATCH($F218,사건마스터!$A$5:$A$64,0)),""))</f>
        <v/>
      </c>
      <c r="N218" s="35">
        <f>IF($F218="","",IFERROR(INDEX(사건마스터!$AL$5:$AL$64,MATCH($F218,사건마스터!$A$5:$A$64,0)),""))</f>
        <v/>
      </c>
      <c r="O218" s="35">
        <f>IF($F218="","",IFERROR(INDEX(사건마스터!$AM$5:$AM$64,MATCH($F218,사건마스터!$A$5:$A$64,0)),""))</f>
        <v/>
      </c>
      <c r="P218" s="35">
        <f>IF($F218="","",IFERROR(INDEX(사건마스터!$AN$5:$AN$64,MATCH($F218,사건마스터!$A$5:$A$64,0)),""))</f>
        <v/>
      </c>
      <c r="Q218" s="35">
        <f>IF($F218="","",IFERROR(INDEX(사건마스터!$AO$5:$AO$64,MATCH($F218,사건마스터!$A$5:$A$64,0)),""))</f>
        <v/>
      </c>
      <c r="R218" s="35">
        <f>IF($F218="","",IFERROR(INDEX(사건마스터!$AP$5:$AP$64,MATCH($F218,사건마스터!$A$5:$A$64,0)),""))</f>
        <v/>
      </c>
      <c r="S218" s="35">
        <f>IF($F218="","",IFERROR(INDEX(사건마스터!$AQ$5:$AQ$64,MATCH($F218,사건마스터!$A$5:$A$64,0)),""))</f>
        <v/>
      </c>
      <c r="T218" s="35">
        <f>IF($F218="","",IFERROR(INDEX(사건마스터!$AR$5:$AR$64,MATCH($F218,사건마스터!$A$5:$A$64,0)),""))</f>
        <v/>
      </c>
      <c r="U218" s="35">
        <f>IF($F218="","",IFERROR(INDEX(사건마스터!$AS$5:$AS$64,MATCH($F218,사건마스터!$A$5:$A$64,0)),""))</f>
        <v/>
      </c>
      <c r="V218" s="35">
        <f>IF($F218="","",IFERROR(INDEX(사건마스터!$AT$5:$AT$64,MATCH($F218,사건마스터!$A$5:$A$64,0)),""))</f>
        <v/>
      </c>
      <c r="W218" s="35">
        <f>IF($F218="","",IFERROR(INDEX(사건마스터!$AU$5:$AU$64,MATCH($F218,사건마스터!$A$5:$A$64,0)),""))</f>
        <v/>
      </c>
      <c r="X218" s="35">
        <f>IF($F218="","",IFERROR(INDEX(사건마스터!$AV$5:$AV$64,MATCH($F218,사건마스터!$A$5:$A$64,0)),""))</f>
        <v/>
      </c>
      <c r="Y218" s="30">
        <f>IF($I218="","",COUNTIF($I218:$X218,"?*"))</f>
        <v/>
      </c>
      <c r="Z218" s="33">
        <f>IF($I218="","",_xlfn.TEXTJOIN(", ",TRUE,$I218:$X218))</f>
        <v/>
      </c>
      <c r="AA218" s="34">
        <f>IF($I218="","",IFERROR(INDEX(코드설정!$D$5:$D$24,MATCH($I218,코드설정!$C$5:$C$24,0)),""))</f>
        <v/>
      </c>
      <c r="AB218" s="36" t="n"/>
      <c r="AC218" s="37" t="n"/>
      <c r="AD218" s="38" t="n"/>
      <c r="AE218" s="30">
        <f>IF(OR($B218="",$C218=""),"",$C218-$B218+1)</f>
        <v/>
      </c>
      <c r="AF218" s="32" t="n"/>
      <c r="AG218" s="36" t="n"/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3">
        <f>IF($F219="","",IFERROR(INDEX(사건마스터!$B$5:$B$64,MATCH($F219,사건마스터!$A$5:$A$64,0)),""))</f>
        <v/>
      </c>
      <c r="H219" s="34">
        <f>IF($F219="","",IFERROR(INDEX(사건마스터!$C$5:$C$64,MATCH($F219,사건마스터!$A$5:$A$64,0)),""))</f>
        <v/>
      </c>
      <c r="I219" s="35">
        <f>IF($F219="","",IFERROR(INDEX(사건마스터!$H$5:$H$64,MATCH($F219,사건마스터!$A$5:$A$64,0)),""))</f>
        <v/>
      </c>
      <c r="J219" s="35">
        <f>IF($F219="","",IFERROR(INDEX(사건마스터!$AH$5:$AH$64,MATCH($F219,사건마스터!$A$5:$A$64,0)),""))</f>
        <v/>
      </c>
      <c r="K219" s="35">
        <f>IF($F219="","",IFERROR(INDEX(사건마스터!$AI$5:$AI$64,MATCH($F219,사건마스터!$A$5:$A$64,0)),""))</f>
        <v/>
      </c>
      <c r="L219" s="35">
        <f>IF($F219="","",IFERROR(INDEX(사건마스터!$AJ$5:$AJ$64,MATCH($F219,사건마스터!$A$5:$A$64,0)),""))</f>
        <v/>
      </c>
      <c r="M219" s="35">
        <f>IF($F219="","",IFERROR(INDEX(사건마스터!$AK$5:$AK$64,MATCH($F219,사건마스터!$A$5:$A$64,0)),""))</f>
        <v/>
      </c>
      <c r="N219" s="35">
        <f>IF($F219="","",IFERROR(INDEX(사건마스터!$AL$5:$AL$64,MATCH($F219,사건마스터!$A$5:$A$64,0)),""))</f>
        <v/>
      </c>
      <c r="O219" s="35">
        <f>IF($F219="","",IFERROR(INDEX(사건마스터!$AM$5:$AM$64,MATCH($F219,사건마스터!$A$5:$A$64,0)),""))</f>
        <v/>
      </c>
      <c r="P219" s="35">
        <f>IF($F219="","",IFERROR(INDEX(사건마스터!$AN$5:$AN$64,MATCH($F219,사건마스터!$A$5:$A$64,0)),""))</f>
        <v/>
      </c>
      <c r="Q219" s="35">
        <f>IF($F219="","",IFERROR(INDEX(사건마스터!$AO$5:$AO$64,MATCH($F219,사건마스터!$A$5:$A$64,0)),""))</f>
        <v/>
      </c>
      <c r="R219" s="35">
        <f>IF($F219="","",IFERROR(INDEX(사건마스터!$AP$5:$AP$64,MATCH($F219,사건마스터!$A$5:$A$64,0)),""))</f>
        <v/>
      </c>
      <c r="S219" s="35">
        <f>IF($F219="","",IFERROR(INDEX(사건마스터!$AQ$5:$AQ$64,MATCH($F219,사건마스터!$A$5:$A$64,0)),""))</f>
        <v/>
      </c>
      <c r="T219" s="35">
        <f>IF($F219="","",IFERROR(INDEX(사건마스터!$AR$5:$AR$64,MATCH($F219,사건마스터!$A$5:$A$64,0)),""))</f>
        <v/>
      </c>
      <c r="U219" s="35">
        <f>IF($F219="","",IFERROR(INDEX(사건마스터!$AS$5:$AS$64,MATCH($F219,사건마스터!$A$5:$A$64,0)),""))</f>
        <v/>
      </c>
      <c r="V219" s="35">
        <f>IF($F219="","",IFERROR(INDEX(사건마스터!$AT$5:$AT$64,MATCH($F219,사건마스터!$A$5:$A$64,0)),""))</f>
        <v/>
      </c>
      <c r="W219" s="35">
        <f>IF($F219="","",IFERROR(INDEX(사건마스터!$AU$5:$AU$64,MATCH($F219,사건마스터!$A$5:$A$64,0)),""))</f>
        <v/>
      </c>
      <c r="X219" s="35">
        <f>IF($F219="","",IFERROR(INDEX(사건마스터!$AV$5:$AV$64,MATCH($F219,사건마스터!$A$5:$A$64,0)),""))</f>
        <v/>
      </c>
      <c r="Y219" s="30">
        <f>IF($I219="","",COUNTIF($I219:$X219,"?*"))</f>
        <v/>
      </c>
      <c r="Z219" s="33">
        <f>IF($I219="","",_xlfn.TEXTJOIN(", ",TRUE,$I219:$X219))</f>
        <v/>
      </c>
      <c r="AA219" s="34">
        <f>IF($I219="","",IFERROR(INDEX(코드설정!$D$5:$D$24,MATCH($I219,코드설정!$C$5:$C$24,0)),""))</f>
        <v/>
      </c>
      <c r="AB219" s="36" t="n"/>
      <c r="AC219" s="37" t="n"/>
      <c r="AD219" s="38" t="n"/>
      <c r="AE219" s="30">
        <f>IF(OR($B219="",$C219=""),"",$C219-$B219+1)</f>
        <v/>
      </c>
      <c r="AF219" s="32" t="n"/>
      <c r="AG219" s="36" t="n"/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3">
        <f>IF($F220="","",IFERROR(INDEX(사건마스터!$B$5:$B$64,MATCH($F220,사건마스터!$A$5:$A$64,0)),""))</f>
        <v/>
      </c>
      <c r="H220" s="34">
        <f>IF($F220="","",IFERROR(INDEX(사건마스터!$C$5:$C$64,MATCH($F220,사건마스터!$A$5:$A$64,0)),""))</f>
        <v/>
      </c>
      <c r="I220" s="35">
        <f>IF($F220="","",IFERROR(INDEX(사건마스터!$H$5:$H$64,MATCH($F220,사건마스터!$A$5:$A$64,0)),""))</f>
        <v/>
      </c>
      <c r="J220" s="35">
        <f>IF($F220="","",IFERROR(INDEX(사건마스터!$AH$5:$AH$64,MATCH($F220,사건마스터!$A$5:$A$64,0)),""))</f>
        <v/>
      </c>
      <c r="K220" s="35">
        <f>IF($F220="","",IFERROR(INDEX(사건마스터!$AI$5:$AI$64,MATCH($F220,사건마스터!$A$5:$A$64,0)),""))</f>
        <v/>
      </c>
      <c r="L220" s="35">
        <f>IF($F220="","",IFERROR(INDEX(사건마스터!$AJ$5:$AJ$64,MATCH($F220,사건마스터!$A$5:$A$64,0)),""))</f>
        <v/>
      </c>
      <c r="M220" s="35">
        <f>IF($F220="","",IFERROR(INDEX(사건마스터!$AK$5:$AK$64,MATCH($F220,사건마스터!$A$5:$A$64,0)),""))</f>
        <v/>
      </c>
      <c r="N220" s="35">
        <f>IF($F220="","",IFERROR(INDEX(사건마스터!$AL$5:$AL$64,MATCH($F220,사건마스터!$A$5:$A$64,0)),""))</f>
        <v/>
      </c>
      <c r="O220" s="35">
        <f>IF($F220="","",IFERROR(INDEX(사건마스터!$AM$5:$AM$64,MATCH($F220,사건마스터!$A$5:$A$64,0)),""))</f>
        <v/>
      </c>
      <c r="P220" s="35">
        <f>IF($F220="","",IFERROR(INDEX(사건마스터!$AN$5:$AN$64,MATCH($F220,사건마스터!$A$5:$A$64,0)),""))</f>
        <v/>
      </c>
      <c r="Q220" s="35">
        <f>IF($F220="","",IFERROR(INDEX(사건마스터!$AO$5:$AO$64,MATCH($F220,사건마스터!$A$5:$A$64,0)),""))</f>
        <v/>
      </c>
      <c r="R220" s="35">
        <f>IF($F220="","",IFERROR(INDEX(사건마스터!$AP$5:$AP$64,MATCH($F220,사건마스터!$A$5:$A$64,0)),""))</f>
        <v/>
      </c>
      <c r="S220" s="35">
        <f>IF($F220="","",IFERROR(INDEX(사건마스터!$AQ$5:$AQ$64,MATCH($F220,사건마스터!$A$5:$A$64,0)),""))</f>
        <v/>
      </c>
      <c r="T220" s="35">
        <f>IF($F220="","",IFERROR(INDEX(사건마스터!$AR$5:$AR$64,MATCH($F220,사건마스터!$A$5:$A$64,0)),""))</f>
        <v/>
      </c>
      <c r="U220" s="35">
        <f>IF($F220="","",IFERROR(INDEX(사건마스터!$AS$5:$AS$64,MATCH($F220,사건마스터!$A$5:$A$64,0)),""))</f>
        <v/>
      </c>
      <c r="V220" s="35">
        <f>IF($F220="","",IFERROR(INDEX(사건마스터!$AT$5:$AT$64,MATCH($F220,사건마스터!$A$5:$A$64,0)),""))</f>
        <v/>
      </c>
      <c r="W220" s="35">
        <f>IF($F220="","",IFERROR(INDEX(사건마스터!$AU$5:$AU$64,MATCH($F220,사건마스터!$A$5:$A$64,0)),""))</f>
        <v/>
      </c>
      <c r="X220" s="35">
        <f>IF($F220="","",IFERROR(INDEX(사건마스터!$AV$5:$AV$64,MATCH($F220,사건마스터!$A$5:$A$64,0)),""))</f>
        <v/>
      </c>
      <c r="Y220" s="30">
        <f>IF($I220="","",COUNTIF($I220:$X220,"?*"))</f>
        <v/>
      </c>
      <c r="Z220" s="33">
        <f>IF($I220="","",_xlfn.TEXTJOIN(", ",TRUE,$I220:$X220))</f>
        <v/>
      </c>
      <c r="AA220" s="34">
        <f>IF($I220="","",IFERROR(INDEX(코드설정!$D$5:$D$24,MATCH($I220,코드설정!$C$5:$C$24,0)),""))</f>
        <v/>
      </c>
      <c r="AB220" s="36" t="n"/>
      <c r="AC220" s="37" t="n"/>
      <c r="AD220" s="38" t="n"/>
      <c r="AE220" s="30">
        <f>IF(OR($B220="",$C220=""),"",$C220-$B220+1)</f>
        <v/>
      </c>
      <c r="AF220" s="32" t="n"/>
      <c r="AG220" s="36" t="n"/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3">
        <f>IF($F221="","",IFERROR(INDEX(사건마스터!$B$5:$B$64,MATCH($F221,사건마스터!$A$5:$A$64,0)),""))</f>
        <v/>
      </c>
      <c r="H221" s="34">
        <f>IF($F221="","",IFERROR(INDEX(사건마스터!$C$5:$C$64,MATCH($F221,사건마스터!$A$5:$A$64,0)),""))</f>
        <v/>
      </c>
      <c r="I221" s="35">
        <f>IF($F221="","",IFERROR(INDEX(사건마스터!$H$5:$H$64,MATCH($F221,사건마스터!$A$5:$A$64,0)),""))</f>
        <v/>
      </c>
      <c r="J221" s="35">
        <f>IF($F221="","",IFERROR(INDEX(사건마스터!$AH$5:$AH$64,MATCH($F221,사건마스터!$A$5:$A$64,0)),""))</f>
        <v/>
      </c>
      <c r="K221" s="35">
        <f>IF($F221="","",IFERROR(INDEX(사건마스터!$AI$5:$AI$64,MATCH($F221,사건마스터!$A$5:$A$64,0)),""))</f>
        <v/>
      </c>
      <c r="L221" s="35">
        <f>IF($F221="","",IFERROR(INDEX(사건마스터!$AJ$5:$AJ$64,MATCH($F221,사건마스터!$A$5:$A$64,0)),""))</f>
        <v/>
      </c>
      <c r="M221" s="35">
        <f>IF($F221="","",IFERROR(INDEX(사건마스터!$AK$5:$AK$64,MATCH($F221,사건마스터!$A$5:$A$64,0)),""))</f>
        <v/>
      </c>
      <c r="N221" s="35">
        <f>IF($F221="","",IFERROR(INDEX(사건마스터!$AL$5:$AL$64,MATCH($F221,사건마스터!$A$5:$A$64,0)),""))</f>
        <v/>
      </c>
      <c r="O221" s="35">
        <f>IF($F221="","",IFERROR(INDEX(사건마스터!$AM$5:$AM$64,MATCH($F221,사건마스터!$A$5:$A$64,0)),""))</f>
        <v/>
      </c>
      <c r="P221" s="35">
        <f>IF($F221="","",IFERROR(INDEX(사건마스터!$AN$5:$AN$64,MATCH($F221,사건마스터!$A$5:$A$64,0)),""))</f>
        <v/>
      </c>
      <c r="Q221" s="35">
        <f>IF($F221="","",IFERROR(INDEX(사건마스터!$AO$5:$AO$64,MATCH($F221,사건마스터!$A$5:$A$64,0)),""))</f>
        <v/>
      </c>
      <c r="R221" s="35">
        <f>IF($F221="","",IFERROR(INDEX(사건마스터!$AP$5:$AP$64,MATCH($F221,사건마스터!$A$5:$A$64,0)),""))</f>
        <v/>
      </c>
      <c r="S221" s="35">
        <f>IF($F221="","",IFERROR(INDEX(사건마스터!$AQ$5:$AQ$64,MATCH($F221,사건마스터!$A$5:$A$64,0)),""))</f>
        <v/>
      </c>
      <c r="T221" s="35">
        <f>IF($F221="","",IFERROR(INDEX(사건마스터!$AR$5:$AR$64,MATCH($F221,사건마스터!$A$5:$A$64,0)),""))</f>
        <v/>
      </c>
      <c r="U221" s="35">
        <f>IF($F221="","",IFERROR(INDEX(사건마스터!$AS$5:$AS$64,MATCH($F221,사건마스터!$A$5:$A$64,0)),""))</f>
        <v/>
      </c>
      <c r="V221" s="35">
        <f>IF($F221="","",IFERROR(INDEX(사건마스터!$AT$5:$AT$64,MATCH($F221,사건마스터!$A$5:$A$64,0)),""))</f>
        <v/>
      </c>
      <c r="W221" s="35">
        <f>IF($F221="","",IFERROR(INDEX(사건마스터!$AU$5:$AU$64,MATCH($F221,사건마스터!$A$5:$A$64,0)),""))</f>
        <v/>
      </c>
      <c r="X221" s="35">
        <f>IF($F221="","",IFERROR(INDEX(사건마스터!$AV$5:$AV$64,MATCH($F221,사건마스터!$A$5:$A$64,0)),""))</f>
        <v/>
      </c>
      <c r="Y221" s="30">
        <f>IF($I221="","",COUNTIF($I221:$X221,"?*"))</f>
        <v/>
      </c>
      <c r="Z221" s="33">
        <f>IF($I221="","",_xlfn.TEXTJOIN(", ",TRUE,$I221:$X221))</f>
        <v/>
      </c>
      <c r="AA221" s="34">
        <f>IF($I221="","",IFERROR(INDEX(코드설정!$D$5:$D$24,MATCH($I221,코드설정!$C$5:$C$24,0)),""))</f>
        <v/>
      </c>
      <c r="AB221" s="36" t="n"/>
      <c r="AC221" s="37" t="n"/>
      <c r="AD221" s="38" t="n"/>
      <c r="AE221" s="30">
        <f>IF(OR($B221="",$C221=""),"",$C221-$B221+1)</f>
        <v/>
      </c>
      <c r="AF221" s="32" t="n"/>
      <c r="AG221" s="36" t="n"/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3">
        <f>IF($F222="","",IFERROR(INDEX(사건마스터!$B$5:$B$64,MATCH($F222,사건마스터!$A$5:$A$64,0)),""))</f>
        <v/>
      </c>
      <c r="H222" s="34">
        <f>IF($F222="","",IFERROR(INDEX(사건마스터!$C$5:$C$64,MATCH($F222,사건마스터!$A$5:$A$64,0)),""))</f>
        <v/>
      </c>
      <c r="I222" s="35">
        <f>IF($F222="","",IFERROR(INDEX(사건마스터!$H$5:$H$64,MATCH($F222,사건마스터!$A$5:$A$64,0)),""))</f>
        <v/>
      </c>
      <c r="J222" s="35">
        <f>IF($F222="","",IFERROR(INDEX(사건마스터!$AH$5:$AH$64,MATCH($F222,사건마스터!$A$5:$A$64,0)),""))</f>
        <v/>
      </c>
      <c r="K222" s="35">
        <f>IF($F222="","",IFERROR(INDEX(사건마스터!$AI$5:$AI$64,MATCH($F222,사건마스터!$A$5:$A$64,0)),""))</f>
        <v/>
      </c>
      <c r="L222" s="35">
        <f>IF($F222="","",IFERROR(INDEX(사건마스터!$AJ$5:$AJ$64,MATCH($F222,사건마스터!$A$5:$A$64,0)),""))</f>
        <v/>
      </c>
      <c r="M222" s="35">
        <f>IF($F222="","",IFERROR(INDEX(사건마스터!$AK$5:$AK$64,MATCH($F222,사건마스터!$A$5:$A$64,0)),""))</f>
        <v/>
      </c>
      <c r="N222" s="35">
        <f>IF($F222="","",IFERROR(INDEX(사건마스터!$AL$5:$AL$64,MATCH($F222,사건마스터!$A$5:$A$64,0)),""))</f>
        <v/>
      </c>
      <c r="O222" s="35">
        <f>IF($F222="","",IFERROR(INDEX(사건마스터!$AM$5:$AM$64,MATCH($F222,사건마스터!$A$5:$A$64,0)),""))</f>
        <v/>
      </c>
      <c r="P222" s="35">
        <f>IF($F222="","",IFERROR(INDEX(사건마스터!$AN$5:$AN$64,MATCH($F222,사건마스터!$A$5:$A$64,0)),""))</f>
        <v/>
      </c>
      <c r="Q222" s="35">
        <f>IF($F222="","",IFERROR(INDEX(사건마스터!$AO$5:$AO$64,MATCH($F222,사건마스터!$A$5:$A$64,0)),""))</f>
        <v/>
      </c>
      <c r="R222" s="35">
        <f>IF($F222="","",IFERROR(INDEX(사건마스터!$AP$5:$AP$64,MATCH($F222,사건마스터!$A$5:$A$64,0)),""))</f>
        <v/>
      </c>
      <c r="S222" s="35">
        <f>IF($F222="","",IFERROR(INDEX(사건마스터!$AQ$5:$AQ$64,MATCH($F222,사건마스터!$A$5:$A$64,0)),""))</f>
        <v/>
      </c>
      <c r="T222" s="35">
        <f>IF($F222="","",IFERROR(INDEX(사건마스터!$AR$5:$AR$64,MATCH($F222,사건마스터!$A$5:$A$64,0)),""))</f>
        <v/>
      </c>
      <c r="U222" s="35">
        <f>IF($F222="","",IFERROR(INDEX(사건마스터!$AS$5:$AS$64,MATCH($F222,사건마스터!$A$5:$A$64,0)),""))</f>
        <v/>
      </c>
      <c r="V222" s="35">
        <f>IF($F222="","",IFERROR(INDEX(사건마스터!$AT$5:$AT$64,MATCH($F222,사건마스터!$A$5:$A$64,0)),""))</f>
        <v/>
      </c>
      <c r="W222" s="35">
        <f>IF($F222="","",IFERROR(INDEX(사건마스터!$AU$5:$AU$64,MATCH($F222,사건마스터!$A$5:$A$64,0)),""))</f>
        <v/>
      </c>
      <c r="X222" s="35">
        <f>IF($F222="","",IFERROR(INDEX(사건마스터!$AV$5:$AV$64,MATCH($F222,사건마스터!$A$5:$A$64,0)),""))</f>
        <v/>
      </c>
      <c r="Y222" s="30">
        <f>IF($I222="","",COUNTIF($I222:$X222,"?*"))</f>
        <v/>
      </c>
      <c r="Z222" s="33">
        <f>IF($I222="","",_xlfn.TEXTJOIN(", ",TRUE,$I222:$X222))</f>
        <v/>
      </c>
      <c r="AA222" s="34">
        <f>IF($I222="","",IFERROR(INDEX(코드설정!$D$5:$D$24,MATCH($I222,코드설정!$C$5:$C$24,0)),""))</f>
        <v/>
      </c>
      <c r="AB222" s="36" t="n"/>
      <c r="AC222" s="37" t="n"/>
      <c r="AD222" s="38" t="n"/>
      <c r="AE222" s="30">
        <f>IF(OR($B222="",$C222=""),"",$C222-$B222+1)</f>
        <v/>
      </c>
      <c r="AF222" s="32" t="n"/>
      <c r="AG222" s="36" t="n"/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3">
        <f>IF($F223="","",IFERROR(INDEX(사건마스터!$B$5:$B$64,MATCH($F223,사건마스터!$A$5:$A$64,0)),""))</f>
        <v/>
      </c>
      <c r="H223" s="34">
        <f>IF($F223="","",IFERROR(INDEX(사건마스터!$C$5:$C$64,MATCH($F223,사건마스터!$A$5:$A$64,0)),""))</f>
        <v/>
      </c>
      <c r="I223" s="35">
        <f>IF($F223="","",IFERROR(INDEX(사건마스터!$H$5:$H$64,MATCH($F223,사건마스터!$A$5:$A$64,0)),""))</f>
        <v/>
      </c>
      <c r="J223" s="35">
        <f>IF($F223="","",IFERROR(INDEX(사건마스터!$AH$5:$AH$64,MATCH($F223,사건마스터!$A$5:$A$64,0)),""))</f>
        <v/>
      </c>
      <c r="K223" s="35">
        <f>IF($F223="","",IFERROR(INDEX(사건마스터!$AI$5:$AI$64,MATCH($F223,사건마스터!$A$5:$A$64,0)),""))</f>
        <v/>
      </c>
      <c r="L223" s="35">
        <f>IF($F223="","",IFERROR(INDEX(사건마스터!$AJ$5:$AJ$64,MATCH($F223,사건마스터!$A$5:$A$64,0)),""))</f>
        <v/>
      </c>
      <c r="M223" s="35">
        <f>IF($F223="","",IFERROR(INDEX(사건마스터!$AK$5:$AK$64,MATCH($F223,사건마스터!$A$5:$A$64,0)),""))</f>
        <v/>
      </c>
      <c r="N223" s="35">
        <f>IF($F223="","",IFERROR(INDEX(사건마스터!$AL$5:$AL$64,MATCH($F223,사건마스터!$A$5:$A$64,0)),""))</f>
        <v/>
      </c>
      <c r="O223" s="35">
        <f>IF($F223="","",IFERROR(INDEX(사건마스터!$AM$5:$AM$64,MATCH($F223,사건마스터!$A$5:$A$64,0)),""))</f>
        <v/>
      </c>
      <c r="P223" s="35">
        <f>IF($F223="","",IFERROR(INDEX(사건마스터!$AN$5:$AN$64,MATCH($F223,사건마스터!$A$5:$A$64,0)),""))</f>
        <v/>
      </c>
      <c r="Q223" s="35">
        <f>IF($F223="","",IFERROR(INDEX(사건마스터!$AO$5:$AO$64,MATCH($F223,사건마스터!$A$5:$A$64,0)),""))</f>
        <v/>
      </c>
      <c r="R223" s="35">
        <f>IF($F223="","",IFERROR(INDEX(사건마스터!$AP$5:$AP$64,MATCH($F223,사건마스터!$A$5:$A$64,0)),""))</f>
        <v/>
      </c>
      <c r="S223" s="35">
        <f>IF($F223="","",IFERROR(INDEX(사건마스터!$AQ$5:$AQ$64,MATCH($F223,사건마스터!$A$5:$A$64,0)),""))</f>
        <v/>
      </c>
      <c r="T223" s="35">
        <f>IF($F223="","",IFERROR(INDEX(사건마스터!$AR$5:$AR$64,MATCH($F223,사건마스터!$A$5:$A$64,0)),""))</f>
        <v/>
      </c>
      <c r="U223" s="35">
        <f>IF($F223="","",IFERROR(INDEX(사건마스터!$AS$5:$AS$64,MATCH($F223,사건마스터!$A$5:$A$64,0)),""))</f>
        <v/>
      </c>
      <c r="V223" s="35">
        <f>IF($F223="","",IFERROR(INDEX(사건마스터!$AT$5:$AT$64,MATCH($F223,사건마스터!$A$5:$A$64,0)),""))</f>
        <v/>
      </c>
      <c r="W223" s="35">
        <f>IF($F223="","",IFERROR(INDEX(사건마스터!$AU$5:$AU$64,MATCH($F223,사건마스터!$A$5:$A$64,0)),""))</f>
        <v/>
      </c>
      <c r="X223" s="35">
        <f>IF($F223="","",IFERROR(INDEX(사건마스터!$AV$5:$AV$64,MATCH($F223,사건마스터!$A$5:$A$64,0)),""))</f>
        <v/>
      </c>
      <c r="Y223" s="30">
        <f>IF($I223="","",COUNTIF($I223:$X223,"?*"))</f>
        <v/>
      </c>
      <c r="Z223" s="33">
        <f>IF($I223="","",_xlfn.TEXTJOIN(", ",TRUE,$I223:$X223))</f>
        <v/>
      </c>
      <c r="AA223" s="34">
        <f>IF($I223="","",IFERROR(INDEX(코드설정!$D$5:$D$24,MATCH($I223,코드설정!$C$5:$C$24,0)),""))</f>
        <v/>
      </c>
      <c r="AB223" s="36" t="n"/>
      <c r="AC223" s="37" t="n"/>
      <c r="AD223" s="38" t="n"/>
      <c r="AE223" s="30">
        <f>IF(OR($B223="",$C223=""),"",$C223-$B223+1)</f>
        <v/>
      </c>
      <c r="AF223" s="32" t="n"/>
      <c r="AG223" s="36" t="n"/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3">
        <f>IF($F224="","",IFERROR(INDEX(사건마스터!$B$5:$B$64,MATCH($F224,사건마스터!$A$5:$A$64,0)),""))</f>
        <v/>
      </c>
      <c r="H224" s="34">
        <f>IF($F224="","",IFERROR(INDEX(사건마스터!$C$5:$C$64,MATCH($F224,사건마스터!$A$5:$A$64,0)),""))</f>
        <v/>
      </c>
      <c r="I224" s="35">
        <f>IF($F224="","",IFERROR(INDEX(사건마스터!$H$5:$H$64,MATCH($F224,사건마스터!$A$5:$A$64,0)),""))</f>
        <v/>
      </c>
      <c r="J224" s="35">
        <f>IF($F224="","",IFERROR(INDEX(사건마스터!$AH$5:$AH$64,MATCH($F224,사건마스터!$A$5:$A$64,0)),""))</f>
        <v/>
      </c>
      <c r="K224" s="35">
        <f>IF($F224="","",IFERROR(INDEX(사건마스터!$AI$5:$AI$64,MATCH($F224,사건마스터!$A$5:$A$64,0)),""))</f>
        <v/>
      </c>
      <c r="L224" s="35">
        <f>IF($F224="","",IFERROR(INDEX(사건마스터!$AJ$5:$AJ$64,MATCH($F224,사건마스터!$A$5:$A$64,0)),""))</f>
        <v/>
      </c>
      <c r="M224" s="35">
        <f>IF($F224="","",IFERROR(INDEX(사건마스터!$AK$5:$AK$64,MATCH($F224,사건마스터!$A$5:$A$64,0)),""))</f>
        <v/>
      </c>
      <c r="N224" s="35">
        <f>IF($F224="","",IFERROR(INDEX(사건마스터!$AL$5:$AL$64,MATCH($F224,사건마스터!$A$5:$A$64,0)),""))</f>
        <v/>
      </c>
      <c r="O224" s="35">
        <f>IF($F224="","",IFERROR(INDEX(사건마스터!$AM$5:$AM$64,MATCH($F224,사건마스터!$A$5:$A$64,0)),""))</f>
        <v/>
      </c>
      <c r="P224" s="35">
        <f>IF($F224="","",IFERROR(INDEX(사건마스터!$AN$5:$AN$64,MATCH($F224,사건마스터!$A$5:$A$64,0)),""))</f>
        <v/>
      </c>
      <c r="Q224" s="35">
        <f>IF($F224="","",IFERROR(INDEX(사건마스터!$AO$5:$AO$64,MATCH($F224,사건마스터!$A$5:$A$64,0)),""))</f>
        <v/>
      </c>
      <c r="R224" s="35">
        <f>IF($F224="","",IFERROR(INDEX(사건마스터!$AP$5:$AP$64,MATCH($F224,사건마스터!$A$5:$A$64,0)),""))</f>
        <v/>
      </c>
      <c r="S224" s="35">
        <f>IF($F224="","",IFERROR(INDEX(사건마스터!$AQ$5:$AQ$64,MATCH($F224,사건마스터!$A$5:$A$64,0)),""))</f>
        <v/>
      </c>
      <c r="T224" s="35">
        <f>IF($F224="","",IFERROR(INDEX(사건마스터!$AR$5:$AR$64,MATCH($F224,사건마스터!$A$5:$A$64,0)),""))</f>
        <v/>
      </c>
      <c r="U224" s="35">
        <f>IF($F224="","",IFERROR(INDEX(사건마스터!$AS$5:$AS$64,MATCH($F224,사건마스터!$A$5:$A$64,0)),""))</f>
        <v/>
      </c>
      <c r="V224" s="35">
        <f>IF($F224="","",IFERROR(INDEX(사건마스터!$AT$5:$AT$64,MATCH($F224,사건마스터!$A$5:$A$64,0)),""))</f>
        <v/>
      </c>
      <c r="W224" s="35">
        <f>IF($F224="","",IFERROR(INDEX(사건마스터!$AU$5:$AU$64,MATCH($F224,사건마스터!$A$5:$A$64,0)),""))</f>
        <v/>
      </c>
      <c r="X224" s="35">
        <f>IF($F224="","",IFERROR(INDEX(사건마스터!$AV$5:$AV$64,MATCH($F224,사건마스터!$A$5:$A$64,0)),""))</f>
        <v/>
      </c>
      <c r="Y224" s="30">
        <f>IF($I224="","",COUNTIF($I224:$X224,"?*"))</f>
        <v/>
      </c>
      <c r="Z224" s="33">
        <f>IF($I224="","",_xlfn.TEXTJOIN(", ",TRUE,$I224:$X224))</f>
        <v/>
      </c>
      <c r="AA224" s="34">
        <f>IF($I224="","",IFERROR(INDEX(코드설정!$D$5:$D$24,MATCH($I224,코드설정!$C$5:$C$24,0)),""))</f>
        <v/>
      </c>
      <c r="AB224" s="36" t="n"/>
      <c r="AC224" s="37" t="n"/>
      <c r="AD224" s="38" t="n"/>
      <c r="AE224" s="30">
        <f>IF(OR($B224="",$C224=""),"",$C224-$B224+1)</f>
        <v/>
      </c>
      <c r="AF224" s="32" t="n"/>
      <c r="AG224" s="36" t="n"/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3">
        <f>IF($F225="","",IFERROR(INDEX(사건마스터!$B$5:$B$64,MATCH($F225,사건마스터!$A$5:$A$64,0)),""))</f>
        <v/>
      </c>
      <c r="H225" s="34">
        <f>IF($F225="","",IFERROR(INDEX(사건마스터!$C$5:$C$64,MATCH($F225,사건마스터!$A$5:$A$64,0)),""))</f>
        <v/>
      </c>
      <c r="I225" s="35">
        <f>IF($F225="","",IFERROR(INDEX(사건마스터!$H$5:$H$64,MATCH($F225,사건마스터!$A$5:$A$64,0)),""))</f>
        <v/>
      </c>
      <c r="J225" s="35">
        <f>IF($F225="","",IFERROR(INDEX(사건마스터!$AH$5:$AH$64,MATCH($F225,사건마스터!$A$5:$A$64,0)),""))</f>
        <v/>
      </c>
      <c r="K225" s="35">
        <f>IF($F225="","",IFERROR(INDEX(사건마스터!$AI$5:$AI$64,MATCH($F225,사건마스터!$A$5:$A$64,0)),""))</f>
        <v/>
      </c>
      <c r="L225" s="35">
        <f>IF($F225="","",IFERROR(INDEX(사건마스터!$AJ$5:$AJ$64,MATCH($F225,사건마스터!$A$5:$A$64,0)),""))</f>
        <v/>
      </c>
      <c r="M225" s="35">
        <f>IF($F225="","",IFERROR(INDEX(사건마스터!$AK$5:$AK$64,MATCH($F225,사건마스터!$A$5:$A$64,0)),""))</f>
        <v/>
      </c>
      <c r="N225" s="35">
        <f>IF($F225="","",IFERROR(INDEX(사건마스터!$AL$5:$AL$64,MATCH($F225,사건마스터!$A$5:$A$64,0)),""))</f>
        <v/>
      </c>
      <c r="O225" s="35">
        <f>IF($F225="","",IFERROR(INDEX(사건마스터!$AM$5:$AM$64,MATCH($F225,사건마스터!$A$5:$A$64,0)),""))</f>
        <v/>
      </c>
      <c r="P225" s="35">
        <f>IF($F225="","",IFERROR(INDEX(사건마스터!$AN$5:$AN$64,MATCH($F225,사건마스터!$A$5:$A$64,0)),""))</f>
        <v/>
      </c>
      <c r="Q225" s="35">
        <f>IF($F225="","",IFERROR(INDEX(사건마스터!$AO$5:$AO$64,MATCH($F225,사건마스터!$A$5:$A$64,0)),""))</f>
        <v/>
      </c>
      <c r="R225" s="35">
        <f>IF($F225="","",IFERROR(INDEX(사건마스터!$AP$5:$AP$64,MATCH($F225,사건마스터!$A$5:$A$64,0)),""))</f>
        <v/>
      </c>
      <c r="S225" s="35">
        <f>IF($F225="","",IFERROR(INDEX(사건마스터!$AQ$5:$AQ$64,MATCH($F225,사건마스터!$A$5:$A$64,0)),""))</f>
        <v/>
      </c>
      <c r="T225" s="35">
        <f>IF($F225="","",IFERROR(INDEX(사건마스터!$AR$5:$AR$64,MATCH($F225,사건마스터!$A$5:$A$64,0)),""))</f>
        <v/>
      </c>
      <c r="U225" s="35">
        <f>IF($F225="","",IFERROR(INDEX(사건마스터!$AS$5:$AS$64,MATCH($F225,사건마스터!$A$5:$A$64,0)),""))</f>
        <v/>
      </c>
      <c r="V225" s="35">
        <f>IF($F225="","",IFERROR(INDEX(사건마스터!$AT$5:$AT$64,MATCH($F225,사건마스터!$A$5:$A$64,0)),""))</f>
        <v/>
      </c>
      <c r="W225" s="35">
        <f>IF($F225="","",IFERROR(INDEX(사건마스터!$AU$5:$AU$64,MATCH($F225,사건마스터!$A$5:$A$64,0)),""))</f>
        <v/>
      </c>
      <c r="X225" s="35">
        <f>IF($F225="","",IFERROR(INDEX(사건마스터!$AV$5:$AV$64,MATCH($F225,사건마스터!$A$5:$A$64,0)),""))</f>
        <v/>
      </c>
      <c r="Y225" s="30">
        <f>IF($I225="","",COUNTIF($I225:$X225,"?*"))</f>
        <v/>
      </c>
      <c r="Z225" s="33">
        <f>IF($I225="","",_xlfn.TEXTJOIN(", ",TRUE,$I225:$X225))</f>
        <v/>
      </c>
      <c r="AA225" s="34">
        <f>IF($I225="","",IFERROR(INDEX(코드설정!$D$5:$D$24,MATCH($I225,코드설정!$C$5:$C$24,0)),""))</f>
        <v/>
      </c>
      <c r="AB225" s="36" t="n"/>
      <c r="AC225" s="37" t="n"/>
      <c r="AD225" s="38" t="n"/>
      <c r="AE225" s="30">
        <f>IF(OR($B225="",$C225=""),"",$C225-$B225+1)</f>
        <v/>
      </c>
      <c r="AF225" s="32" t="n"/>
      <c r="AG225" s="36" t="n"/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3">
        <f>IF($F226="","",IFERROR(INDEX(사건마스터!$B$5:$B$64,MATCH($F226,사건마스터!$A$5:$A$64,0)),""))</f>
        <v/>
      </c>
      <c r="H226" s="34">
        <f>IF($F226="","",IFERROR(INDEX(사건마스터!$C$5:$C$64,MATCH($F226,사건마스터!$A$5:$A$64,0)),""))</f>
        <v/>
      </c>
      <c r="I226" s="35">
        <f>IF($F226="","",IFERROR(INDEX(사건마스터!$H$5:$H$64,MATCH($F226,사건마스터!$A$5:$A$64,0)),""))</f>
        <v/>
      </c>
      <c r="J226" s="35">
        <f>IF($F226="","",IFERROR(INDEX(사건마스터!$AH$5:$AH$64,MATCH($F226,사건마스터!$A$5:$A$64,0)),""))</f>
        <v/>
      </c>
      <c r="K226" s="35">
        <f>IF($F226="","",IFERROR(INDEX(사건마스터!$AI$5:$AI$64,MATCH($F226,사건마스터!$A$5:$A$64,0)),""))</f>
        <v/>
      </c>
      <c r="L226" s="35">
        <f>IF($F226="","",IFERROR(INDEX(사건마스터!$AJ$5:$AJ$64,MATCH($F226,사건마스터!$A$5:$A$64,0)),""))</f>
        <v/>
      </c>
      <c r="M226" s="35">
        <f>IF($F226="","",IFERROR(INDEX(사건마스터!$AK$5:$AK$64,MATCH($F226,사건마스터!$A$5:$A$64,0)),""))</f>
        <v/>
      </c>
      <c r="N226" s="35">
        <f>IF($F226="","",IFERROR(INDEX(사건마스터!$AL$5:$AL$64,MATCH($F226,사건마스터!$A$5:$A$64,0)),""))</f>
        <v/>
      </c>
      <c r="O226" s="35">
        <f>IF($F226="","",IFERROR(INDEX(사건마스터!$AM$5:$AM$64,MATCH($F226,사건마스터!$A$5:$A$64,0)),""))</f>
        <v/>
      </c>
      <c r="P226" s="35">
        <f>IF($F226="","",IFERROR(INDEX(사건마스터!$AN$5:$AN$64,MATCH($F226,사건마스터!$A$5:$A$64,0)),""))</f>
        <v/>
      </c>
      <c r="Q226" s="35">
        <f>IF($F226="","",IFERROR(INDEX(사건마스터!$AO$5:$AO$64,MATCH($F226,사건마스터!$A$5:$A$64,0)),""))</f>
        <v/>
      </c>
      <c r="R226" s="35">
        <f>IF($F226="","",IFERROR(INDEX(사건마스터!$AP$5:$AP$64,MATCH($F226,사건마스터!$A$5:$A$64,0)),""))</f>
        <v/>
      </c>
      <c r="S226" s="35">
        <f>IF($F226="","",IFERROR(INDEX(사건마스터!$AQ$5:$AQ$64,MATCH($F226,사건마스터!$A$5:$A$64,0)),""))</f>
        <v/>
      </c>
      <c r="T226" s="35">
        <f>IF($F226="","",IFERROR(INDEX(사건마스터!$AR$5:$AR$64,MATCH($F226,사건마스터!$A$5:$A$64,0)),""))</f>
        <v/>
      </c>
      <c r="U226" s="35">
        <f>IF($F226="","",IFERROR(INDEX(사건마스터!$AS$5:$AS$64,MATCH($F226,사건마스터!$A$5:$A$64,0)),""))</f>
        <v/>
      </c>
      <c r="V226" s="35">
        <f>IF($F226="","",IFERROR(INDEX(사건마스터!$AT$5:$AT$64,MATCH($F226,사건마스터!$A$5:$A$64,0)),""))</f>
        <v/>
      </c>
      <c r="W226" s="35">
        <f>IF($F226="","",IFERROR(INDEX(사건마스터!$AU$5:$AU$64,MATCH($F226,사건마스터!$A$5:$A$64,0)),""))</f>
        <v/>
      </c>
      <c r="X226" s="35">
        <f>IF($F226="","",IFERROR(INDEX(사건마스터!$AV$5:$AV$64,MATCH($F226,사건마스터!$A$5:$A$64,0)),""))</f>
        <v/>
      </c>
      <c r="Y226" s="30">
        <f>IF($I226="","",COUNTIF($I226:$X226,"?*"))</f>
        <v/>
      </c>
      <c r="Z226" s="33">
        <f>IF($I226="","",_xlfn.TEXTJOIN(", ",TRUE,$I226:$X226))</f>
        <v/>
      </c>
      <c r="AA226" s="34">
        <f>IF($I226="","",IFERROR(INDEX(코드설정!$D$5:$D$24,MATCH($I226,코드설정!$C$5:$C$24,0)),""))</f>
        <v/>
      </c>
      <c r="AB226" s="36" t="n"/>
      <c r="AC226" s="37" t="n"/>
      <c r="AD226" s="38" t="n"/>
      <c r="AE226" s="30">
        <f>IF(OR($B226="",$C226=""),"",$C226-$B226+1)</f>
        <v/>
      </c>
      <c r="AF226" s="32" t="n"/>
      <c r="AG226" s="36" t="n"/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3">
        <f>IF($F227="","",IFERROR(INDEX(사건마스터!$B$5:$B$64,MATCH($F227,사건마스터!$A$5:$A$64,0)),""))</f>
        <v/>
      </c>
      <c r="H227" s="34">
        <f>IF($F227="","",IFERROR(INDEX(사건마스터!$C$5:$C$64,MATCH($F227,사건마스터!$A$5:$A$64,0)),""))</f>
        <v/>
      </c>
      <c r="I227" s="35">
        <f>IF($F227="","",IFERROR(INDEX(사건마스터!$H$5:$H$64,MATCH($F227,사건마스터!$A$5:$A$64,0)),""))</f>
        <v/>
      </c>
      <c r="J227" s="35">
        <f>IF($F227="","",IFERROR(INDEX(사건마스터!$AH$5:$AH$64,MATCH($F227,사건마스터!$A$5:$A$64,0)),""))</f>
        <v/>
      </c>
      <c r="K227" s="35">
        <f>IF($F227="","",IFERROR(INDEX(사건마스터!$AI$5:$AI$64,MATCH($F227,사건마스터!$A$5:$A$64,0)),""))</f>
        <v/>
      </c>
      <c r="L227" s="35">
        <f>IF($F227="","",IFERROR(INDEX(사건마스터!$AJ$5:$AJ$64,MATCH($F227,사건마스터!$A$5:$A$64,0)),""))</f>
        <v/>
      </c>
      <c r="M227" s="35">
        <f>IF($F227="","",IFERROR(INDEX(사건마스터!$AK$5:$AK$64,MATCH($F227,사건마스터!$A$5:$A$64,0)),""))</f>
        <v/>
      </c>
      <c r="N227" s="35">
        <f>IF($F227="","",IFERROR(INDEX(사건마스터!$AL$5:$AL$64,MATCH($F227,사건마스터!$A$5:$A$64,0)),""))</f>
        <v/>
      </c>
      <c r="O227" s="35">
        <f>IF($F227="","",IFERROR(INDEX(사건마스터!$AM$5:$AM$64,MATCH($F227,사건마스터!$A$5:$A$64,0)),""))</f>
        <v/>
      </c>
      <c r="P227" s="35">
        <f>IF($F227="","",IFERROR(INDEX(사건마스터!$AN$5:$AN$64,MATCH($F227,사건마스터!$A$5:$A$64,0)),""))</f>
        <v/>
      </c>
      <c r="Q227" s="35">
        <f>IF($F227="","",IFERROR(INDEX(사건마스터!$AO$5:$AO$64,MATCH($F227,사건마스터!$A$5:$A$64,0)),""))</f>
        <v/>
      </c>
      <c r="R227" s="35">
        <f>IF($F227="","",IFERROR(INDEX(사건마스터!$AP$5:$AP$64,MATCH($F227,사건마스터!$A$5:$A$64,0)),""))</f>
        <v/>
      </c>
      <c r="S227" s="35">
        <f>IF($F227="","",IFERROR(INDEX(사건마스터!$AQ$5:$AQ$64,MATCH($F227,사건마스터!$A$5:$A$64,0)),""))</f>
        <v/>
      </c>
      <c r="T227" s="35">
        <f>IF($F227="","",IFERROR(INDEX(사건마스터!$AR$5:$AR$64,MATCH($F227,사건마스터!$A$5:$A$64,0)),""))</f>
        <v/>
      </c>
      <c r="U227" s="35">
        <f>IF($F227="","",IFERROR(INDEX(사건마스터!$AS$5:$AS$64,MATCH($F227,사건마스터!$A$5:$A$64,0)),""))</f>
        <v/>
      </c>
      <c r="V227" s="35">
        <f>IF($F227="","",IFERROR(INDEX(사건마스터!$AT$5:$AT$64,MATCH($F227,사건마스터!$A$5:$A$64,0)),""))</f>
        <v/>
      </c>
      <c r="W227" s="35">
        <f>IF($F227="","",IFERROR(INDEX(사건마스터!$AU$5:$AU$64,MATCH($F227,사건마스터!$A$5:$A$64,0)),""))</f>
        <v/>
      </c>
      <c r="X227" s="35">
        <f>IF($F227="","",IFERROR(INDEX(사건마스터!$AV$5:$AV$64,MATCH($F227,사건마스터!$A$5:$A$64,0)),""))</f>
        <v/>
      </c>
      <c r="Y227" s="30">
        <f>IF($I227="","",COUNTIF($I227:$X227,"?*"))</f>
        <v/>
      </c>
      <c r="Z227" s="33">
        <f>IF($I227="","",_xlfn.TEXTJOIN(", ",TRUE,$I227:$X227))</f>
        <v/>
      </c>
      <c r="AA227" s="34">
        <f>IF($I227="","",IFERROR(INDEX(코드설정!$D$5:$D$24,MATCH($I227,코드설정!$C$5:$C$24,0)),""))</f>
        <v/>
      </c>
      <c r="AB227" s="36" t="n"/>
      <c r="AC227" s="37" t="n"/>
      <c r="AD227" s="38" t="n"/>
      <c r="AE227" s="30">
        <f>IF(OR($B227="",$C227=""),"",$C227-$B227+1)</f>
        <v/>
      </c>
      <c r="AF227" s="32" t="n"/>
      <c r="AG227" s="36" t="n"/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3">
        <f>IF($F228="","",IFERROR(INDEX(사건마스터!$B$5:$B$64,MATCH($F228,사건마스터!$A$5:$A$64,0)),""))</f>
        <v/>
      </c>
      <c r="H228" s="34">
        <f>IF($F228="","",IFERROR(INDEX(사건마스터!$C$5:$C$64,MATCH($F228,사건마스터!$A$5:$A$64,0)),""))</f>
        <v/>
      </c>
      <c r="I228" s="35">
        <f>IF($F228="","",IFERROR(INDEX(사건마스터!$H$5:$H$64,MATCH($F228,사건마스터!$A$5:$A$64,0)),""))</f>
        <v/>
      </c>
      <c r="J228" s="35">
        <f>IF($F228="","",IFERROR(INDEX(사건마스터!$AH$5:$AH$64,MATCH($F228,사건마스터!$A$5:$A$64,0)),""))</f>
        <v/>
      </c>
      <c r="K228" s="35">
        <f>IF($F228="","",IFERROR(INDEX(사건마스터!$AI$5:$AI$64,MATCH($F228,사건마스터!$A$5:$A$64,0)),""))</f>
        <v/>
      </c>
      <c r="L228" s="35">
        <f>IF($F228="","",IFERROR(INDEX(사건마스터!$AJ$5:$AJ$64,MATCH($F228,사건마스터!$A$5:$A$64,0)),""))</f>
        <v/>
      </c>
      <c r="M228" s="35">
        <f>IF($F228="","",IFERROR(INDEX(사건마스터!$AK$5:$AK$64,MATCH($F228,사건마스터!$A$5:$A$64,0)),""))</f>
        <v/>
      </c>
      <c r="N228" s="35">
        <f>IF($F228="","",IFERROR(INDEX(사건마스터!$AL$5:$AL$64,MATCH($F228,사건마스터!$A$5:$A$64,0)),""))</f>
        <v/>
      </c>
      <c r="O228" s="35">
        <f>IF($F228="","",IFERROR(INDEX(사건마스터!$AM$5:$AM$64,MATCH($F228,사건마스터!$A$5:$A$64,0)),""))</f>
        <v/>
      </c>
      <c r="P228" s="35">
        <f>IF($F228="","",IFERROR(INDEX(사건마스터!$AN$5:$AN$64,MATCH($F228,사건마스터!$A$5:$A$64,0)),""))</f>
        <v/>
      </c>
      <c r="Q228" s="35">
        <f>IF($F228="","",IFERROR(INDEX(사건마스터!$AO$5:$AO$64,MATCH($F228,사건마스터!$A$5:$A$64,0)),""))</f>
        <v/>
      </c>
      <c r="R228" s="35">
        <f>IF($F228="","",IFERROR(INDEX(사건마스터!$AP$5:$AP$64,MATCH($F228,사건마스터!$A$5:$A$64,0)),""))</f>
        <v/>
      </c>
      <c r="S228" s="35">
        <f>IF($F228="","",IFERROR(INDEX(사건마스터!$AQ$5:$AQ$64,MATCH($F228,사건마스터!$A$5:$A$64,0)),""))</f>
        <v/>
      </c>
      <c r="T228" s="35">
        <f>IF($F228="","",IFERROR(INDEX(사건마스터!$AR$5:$AR$64,MATCH($F228,사건마스터!$A$5:$A$64,0)),""))</f>
        <v/>
      </c>
      <c r="U228" s="35">
        <f>IF($F228="","",IFERROR(INDEX(사건마스터!$AS$5:$AS$64,MATCH($F228,사건마스터!$A$5:$A$64,0)),""))</f>
        <v/>
      </c>
      <c r="V228" s="35">
        <f>IF($F228="","",IFERROR(INDEX(사건마스터!$AT$5:$AT$64,MATCH($F228,사건마스터!$A$5:$A$64,0)),""))</f>
        <v/>
      </c>
      <c r="W228" s="35">
        <f>IF($F228="","",IFERROR(INDEX(사건마스터!$AU$5:$AU$64,MATCH($F228,사건마스터!$A$5:$A$64,0)),""))</f>
        <v/>
      </c>
      <c r="X228" s="35">
        <f>IF($F228="","",IFERROR(INDEX(사건마스터!$AV$5:$AV$64,MATCH($F228,사건마스터!$A$5:$A$64,0)),""))</f>
        <v/>
      </c>
      <c r="Y228" s="30">
        <f>IF($I228="","",COUNTIF($I228:$X228,"?*"))</f>
        <v/>
      </c>
      <c r="Z228" s="33">
        <f>IF($I228="","",_xlfn.TEXTJOIN(", ",TRUE,$I228:$X228))</f>
        <v/>
      </c>
      <c r="AA228" s="34">
        <f>IF($I228="","",IFERROR(INDEX(코드설정!$D$5:$D$24,MATCH($I228,코드설정!$C$5:$C$24,0)),""))</f>
        <v/>
      </c>
      <c r="AB228" s="36" t="n"/>
      <c r="AC228" s="37" t="n"/>
      <c r="AD228" s="38" t="n"/>
      <c r="AE228" s="30">
        <f>IF(OR($B228="",$C228=""),"",$C228-$B228+1)</f>
        <v/>
      </c>
      <c r="AF228" s="32" t="n"/>
      <c r="AG228" s="36" t="n"/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3">
        <f>IF($F229="","",IFERROR(INDEX(사건마스터!$B$5:$B$64,MATCH($F229,사건마스터!$A$5:$A$64,0)),""))</f>
        <v/>
      </c>
      <c r="H229" s="34">
        <f>IF($F229="","",IFERROR(INDEX(사건마스터!$C$5:$C$64,MATCH($F229,사건마스터!$A$5:$A$64,0)),""))</f>
        <v/>
      </c>
      <c r="I229" s="35">
        <f>IF($F229="","",IFERROR(INDEX(사건마스터!$H$5:$H$64,MATCH($F229,사건마스터!$A$5:$A$64,0)),""))</f>
        <v/>
      </c>
      <c r="J229" s="35">
        <f>IF($F229="","",IFERROR(INDEX(사건마스터!$AH$5:$AH$64,MATCH($F229,사건마스터!$A$5:$A$64,0)),""))</f>
        <v/>
      </c>
      <c r="K229" s="35">
        <f>IF($F229="","",IFERROR(INDEX(사건마스터!$AI$5:$AI$64,MATCH($F229,사건마스터!$A$5:$A$64,0)),""))</f>
        <v/>
      </c>
      <c r="L229" s="35">
        <f>IF($F229="","",IFERROR(INDEX(사건마스터!$AJ$5:$AJ$64,MATCH($F229,사건마스터!$A$5:$A$64,0)),""))</f>
        <v/>
      </c>
      <c r="M229" s="35">
        <f>IF($F229="","",IFERROR(INDEX(사건마스터!$AK$5:$AK$64,MATCH($F229,사건마스터!$A$5:$A$64,0)),""))</f>
        <v/>
      </c>
      <c r="N229" s="35">
        <f>IF($F229="","",IFERROR(INDEX(사건마스터!$AL$5:$AL$64,MATCH($F229,사건마스터!$A$5:$A$64,0)),""))</f>
        <v/>
      </c>
      <c r="O229" s="35">
        <f>IF($F229="","",IFERROR(INDEX(사건마스터!$AM$5:$AM$64,MATCH($F229,사건마스터!$A$5:$A$64,0)),""))</f>
        <v/>
      </c>
      <c r="P229" s="35">
        <f>IF($F229="","",IFERROR(INDEX(사건마스터!$AN$5:$AN$64,MATCH($F229,사건마스터!$A$5:$A$64,0)),""))</f>
        <v/>
      </c>
      <c r="Q229" s="35">
        <f>IF($F229="","",IFERROR(INDEX(사건마스터!$AO$5:$AO$64,MATCH($F229,사건마스터!$A$5:$A$64,0)),""))</f>
        <v/>
      </c>
      <c r="R229" s="35">
        <f>IF($F229="","",IFERROR(INDEX(사건마스터!$AP$5:$AP$64,MATCH($F229,사건마스터!$A$5:$A$64,0)),""))</f>
        <v/>
      </c>
      <c r="S229" s="35">
        <f>IF($F229="","",IFERROR(INDEX(사건마스터!$AQ$5:$AQ$64,MATCH($F229,사건마스터!$A$5:$A$64,0)),""))</f>
        <v/>
      </c>
      <c r="T229" s="35">
        <f>IF($F229="","",IFERROR(INDEX(사건마스터!$AR$5:$AR$64,MATCH($F229,사건마스터!$A$5:$A$64,0)),""))</f>
        <v/>
      </c>
      <c r="U229" s="35">
        <f>IF($F229="","",IFERROR(INDEX(사건마스터!$AS$5:$AS$64,MATCH($F229,사건마스터!$A$5:$A$64,0)),""))</f>
        <v/>
      </c>
      <c r="V229" s="35">
        <f>IF($F229="","",IFERROR(INDEX(사건마스터!$AT$5:$AT$64,MATCH($F229,사건마스터!$A$5:$A$64,0)),""))</f>
        <v/>
      </c>
      <c r="W229" s="35">
        <f>IF($F229="","",IFERROR(INDEX(사건마스터!$AU$5:$AU$64,MATCH($F229,사건마스터!$A$5:$A$64,0)),""))</f>
        <v/>
      </c>
      <c r="X229" s="35">
        <f>IF($F229="","",IFERROR(INDEX(사건마스터!$AV$5:$AV$64,MATCH($F229,사건마스터!$A$5:$A$64,0)),""))</f>
        <v/>
      </c>
      <c r="Y229" s="30">
        <f>IF($I229="","",COUNTIF($I229:$X229,"?*"))</f>
        <v/>
      </c>
      <c r="Z229" s="33">
        <f>IF($I229="","",_xlfn.TEXTJOIN(", ",TRUE,$I229:$X229))</f>
        <v/>
      </c>
      <c r="AA229" s="34">
        <f>IF($I229="","",IFERROR(INDEX(코드설정!$D$5:$D$24,MATCH($I229,코드설정!$C$5:$C$24,0)),""))</f>
        <v/>
      </c>
      <c r="AB229" s="36" t="n"/>
      <c r="AC229" s="37" t="n"/>
      <c r="AD229" s="38" t="n"/>
      <c r="AE229" s="30">
        <f>IF(OR($B229="",$C229=""),"",$C229-$B229+1)</f>
        <v/>
      </c>
      <c r="AF229" s="32" t="n"/>
      <c r="AG229" s="36" t="n"/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3">
        <f>IF($F230="","",IFERROR(INDEX(사건마스터!$B$5:$B$64,MATCH($F230,사건마스터!$A$5:$A$64,0)),""))</f>
        <v/>
      </c>
      <c r="H230" s="34">
        <f>IF($F230="","",IFERROR(INDEX(사건마스터!$C$5:$C$64,MATCH($F230,사건마스터!$A$5:$A$64,0)),""))</f>
        <v/>
      </c>
      <c r="I230" s="35">
        <f>IF($F230="","",IFERROR(INDEX(사건마스터!$H$5:$H$64,MATCH($F230,사건마스터!$A$5:$A$64,0)),""))</f>
        <v/>
      </c>
      <c r="J230" s="35">
        <f>IF($F230="","",IFERROR(INDEX(사건마스터!$AH$5:$AH$64,MATCH($F230,사건마스터!$A$5:$A$64,0)),""))</f>
        <v/>
      </c>
      <c r="K230" s="35">
        <f>IF($F230="","",IFERROR(INDEX(사건마스터!$AI$5:$AI$64,MATCH($F230,사건마스터!$A$5:$A$64,0)),""))</f>
        <v/>
      </c>
      <c r="L230" s="35">
        <f>IF($F230="","",IFERROR(INDEX(사건마스터!$AJ$5:$AJ$64,MATCH($F230,사건마스터!$A$5:$A$64,0)),""))</f>
        <v/>
      </c>
      <c r="M230" s="35">
        <f>IF($F230="","",IFERROR(INDEX(사건마스터!$AK$5:$AK$64,MATCH($F230,사건마스터!$A$5:$A$64,0)),""))</f>
        <v/>
      </c>
      <c r="N230" s="35">
        <f>IF($F230="","",IFERROR(INDEX(사건마스터!$AL$5:$AL$64,MATCH($F230,사건마스터!$A$5:$A$64,0)),""))</f>
        <v/>
      </c>
      <c r="O230" s="35">
        <f>IF($F230="","",IFERROR(INDEX(사건마스터!$AM$5:$AM$64,MATCH($F230,사건마스터!$A$5:$A$64,0)),""))</f>
        <v/>
      </c>
      <c r="P230" s="35">
        <f>IF($F230="","",IFERROR(INDEX(사건마스터!$AN$5:$AN$64,MATCH($F230,사건마스터!$A$5:$A$64,0)),""))</f>
        <v/>
      </c>
      <c r="Q230" s="35">
        <f>IF($F230="","",IFERROR(INDEX(사건마스터!$AO$5:$AO$64,MATCH($F230,사건마스터!$A$5:$A$64,0)),""))</f>
        <v/>
      </c>
      <c r="R230" s="35">
        <f>IF($F230="","",IFERROR(INDEX(사건마스터!$AP$5:$AP$64,MATCH($F230,사건마스터!$A$5:$A$64,0)),""))</f>
        <v/>
      </c>
      <c r="S230" s="35">
        <f>IF($F230="","",IFERROR(INDEX(사건마스터!$AQ$5:$AQ$64,MATCH($F230,사건마스터!$A$5:$A$64,0)),""))</f>
        <v/>
      </c>
      <c r="T230" s="35">
        <f>IF($F230="","",IFERROR(INDEX(사건마스터!$AR$5:$AR$64,MATCH($F230,사건마스터!$A$5:$A$64,0)),""))</f>
        <v/>
      </c>
      <c r="U230" s="35">
        <f>IF($F230="","",IFERROR(INDEX(사건마스터!$AS$5:$AS$64,MATCH($F230,사건마스터!$A$5:$A$64,0)),""))</f>
        <v/>
      </c>
      <c r="V230" s="35">
        <f>IF($F230="","",IFERROR(INDEX(사건마스터!$AT$5:$AT$64,MATCH($F230,사건마스터!$A$5:$A$64,0)),""))</f>
        <v/>
      </c>
      <c r="W230" s="35">
        <f>IF($F230="","",IFERROR(INDEX(사건마스터!$AU$5:$AU$64,MATCH($F230,사건마스터!$A$5:$A$64,0)),""))</f>
        <v/>
      </c>
      <c r="X230" s="35">
        <f>IF($F230="","",IFERROR(INDEX(사건마스터!$AV$5:$AV$64,MATCH($F230,사건마스터!$A$5:$A$64,0)),""))</f>
        <v/>
      </c>
      <c r="Y230" s="30">
        <f>IF($I230="","",COUNTIF($I230:$X230,"?*"))</f>
        <v/>
      </c>
      <c r="Z230" s="33">
        <f>IF($I230="","",_xlfn.TEXTJOIN(", ",TRUE,$I230:$X230))</f>
        <v/>
      </c>
      <c r="AA230" s="34">
        <f>IF($I230="","",IFERROR(INDEX(코드설정!$D$5:$D$24,MATCH($I230,코드설정!$C$5:$C$24,0)),""))</f>
        <v/>
      </c>
      <c r="AB230" s="36" t="n"/>
      <c r="AC230" s="37" t="n"/>
      <c r="AD230" s="38" t="n"/>
      <c r="AE230" s="30">
        <f>IF(OR($B230="",$C230=""),"",$C230-$B230+1)</f>
        <v/>
      </c>
      <c r="AF230" s="32" t="n"/>
      <c r="AG230" s="36" t="n"/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3">
        <f>IF($F231="","",IFERROR(INDEX(사건마스터!$B$5:$B$64,MATCH($F231,사건마스터!$A$5:$A$64,0)),""))</f>
        <v/>
      </c>
      <c r="H231" s="34">
        <f>IF($F231="","",IFERROR(INDEX(사건마스터!$C$5:$C$64,MATCH($F231,사건마스터!$A$5:$A$64,0)),""))</f>
        <v/>
      </c>
      <c r="I231" s="35">
        <f>IF($F231="","",IFERROR(INDEX(사건마스터!$H$5:$H$64,MATCH($F231,사건마스터!$A$5:$A$64,0)),""))</f>
        <v/>
      </c>
      <c r="J231" s="35">
        <f>IF($F231="","",IFERROR(INDEX(사건마스터!$AH$5:$AH$64,MATCH($F231,사건마스터!$A$5:$A$64,0)),""))</f>
        <v/>
      </c>
      <c r="K231" s="35">
        <f>IF($F231="","",IFERROR(INDEX(사건마스터!$AI$5:$AI$64,MATCH($F231,사건마스터!$A$5:$A$64,0)),""))</f>
        <v/>
      </c>
      <c r="L231" s="35">
        <f>IF($F231="","",IFERROR(INDEX(사건마스터!$AJ$5:$AJ$64,MATCH($F231,사건마스터!$A$5:$A$64,0)),""))</f>
        <v/>
      </c>
      <c r="M231" s="35">
        <f>IF($F231="","",IFERROR(INDEX(사건마스터!$AK$5:$AK$64,MATCH($F231,사건마스터!$A$5:$A$64,0)),""))</f>
        <v/>
      </c>
      <c r="N231" s="35">
        <f>IF($F231="","",IFERROR(INDEX(사건마스터!$AL$5:$AL$64,MATCH($F231,사건마스터!$A$5:$A$64,0)),""))</f>
        <v/>
      </c>
      <c r="O231" s="35">
        <f>IF($F231="","",IFERROR(INDEX(사건마스터!$AM$5:$AM$64,MATCH($F231,사건마스터!$A$5:$A$64,0)),""))</f>
        <v/>
      </c>
      <c r="P231" s="35">
        <f>IF($F231="","",IFERROR(INDEX(사건마스터!$AN$5:$AN$64,MATCH($F231,사건마스터!$A$5:$A$64,0)),""))</f>
        <v/>
      </c>
      <c r="Q231" s="35">
        <f>IF($F231="","",IFERROR(INDEX(사건마스터!$AO$5:$AO$64,MATCH($F231,사건마스터!$A$5:$A$64,0)),""))</f>
        <v/>
      </c>
      <c r="R231" s="35">
        <f>IF($F231="","",IFERROR(INDEX(사건마스터!$AP$5:$AP$64,MATCH($F231,사건마스터!$A$5:$A$64,0)),""))</f>
        <v/>
      </c>
      <c r="S231" s="35">
        <f>IF($F231="","",IFERROR(INDEX(사건마스터!$AQ$5:$AQ$64,MATCH($F231,사건마스터!$A$5:$A$64,0)),""))</f>
        <v/>
      </c>
      <c r="T231" s="35">
        <f>IF($F231="","",IFERROR(INDEX(사건마스터!$AR$5:$AR$64,MATCH($F231,사건마스터!$A$5:$A$64,0)),""))</f>
        <v/>
      </c>
      <c r="U231" s="35">
        <f>IF($F231="","",IFERROR(INDEX(사건마스터!$AS$5:$AS$64,MATCH($F231,사건마스터!$A$5:$A$64,0)),""))</f>
        <v/>
      </c>
      <c r="V231" s="35">
        <f>IF($F231="","",IFERROR(INDEX(사건마스터!$AT$5:$AT$64,MATCH($F231,사건마스터!$A$5:$A$64,0)),""))</f>
        <v/>
      </c>
      <c r="W231" s="35">
        <f>IF($F231="","",IFERROR(INDEX(사건마스터!$AU$5:$AU$64,MATCH($F231,사건마스터!$A$5:$A$64,0)),""))</f>
        <v/>
      </c>
      <c r="X231" s="35">
        <f>IF($F231="","",IFERROR(INDEX(사건마스터!$AV$5:$AV$64,MATCH($F231,사건마스터!$A$5:$A$64,0)),""))</f>
        <v/>
      </c>
      <c r="Y231" s="30">
        <f>IF($I231="","",COUNTIF($I231:$X231,"?*"))</f>
        <v/>
      </c>
      <c r="Z231" s="33">
        <f>IF($I231="","",_xlfn.TEXTJOIN(", ",TRUE,$I231:$X231))</f>
        <v/>
      </c>
      <c r="AA231" s="34">
        <f>IF($I231="","",IFERROR(INDEX(코드설정!$D$5:$D$24,MATCH($I231,코드설정!$C$5:$C$24,0)),""))</f>
        <v/>
      </c>
      <c r="AB231" s="36" t="n"/>
      <c r="AC231" s="37" t="n"/>
      <c r="AD231" s="38" t="n"/>
      <c r="AE231" s="30">
        <f>IF(OR($B231="",$C231=""),"",$C231-$B231+1)</f>
        <v/>
      </c>
      <c r="AF231" s="32" t="n"/>
      <c r="AG231" s="36" t="n"/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3">
        <f>IF($F232="","",IFERROR(INDEX(사건마스터!$B$5:$B$64,MATCH($F232,사건마스터!$A$5:$A$64,0)),""))</f>
        <v/>
      </c>
      <c r="H232" s="34">
        <f>IF($F232="","",IFERROR(INDEX(사건마스터!$C$5:$C$64,MATCH($F232,사건마스터!$A$5:$A$64,0)),""))</f>
        <v/>
      </c>
      <c r="I232" s="35">
        <f>IF($F232="","",IFERROR(INDEX(사건마스터!$H$5:$H$64,MATCH($F232,사건마스터!$A$5:$A$64,0)),""))</f>
        <v/>
      </c>
      <c r="J232" s="35">
        <f>IF($F232="","",IFERROR(INDEX(사건마스터!$AH$5:$AH$64,MATCH($F232,사건마스터!$A$5:$A$64,0)),""))</f>
        <v/>
      </c>
      <c r="K232" s="35">
        <f>IF($F232="","",IFERROR(INDEX(사건마스터!$AI$5:$AI$64,MATCH($F232,사건마스터!$A$5:$A$64,0)),""))</f>
        <v/>
      </c>
      <c r="L232" s="35">
        <f>IF($F232="","",IFERROR(INDEX(사건마스터!$AJ$5:$AJ$64,MATCH($F232,사건마스터!$A$5:$A$64,0)),""))</f>
        <v/>
      </c>
      <c r="M232" s="35">
        <f>IF($F232="","",IFERROR(INDEX(사건마스터!$AK$5:$AK$64,MATCH($F232,사건마스터!$A$5:$A$64,0)),""))</f>
        <v/>
      </c>
      <c r="N232" s="35">
        <f>IF($F232="","",IFERROR(INDEX(사건마스터!$AL$5:$AL$64,MATCH($F232,사건마스터!$A$5:$A$64,0)),""))</f>
        <v/>
      </c>
      <c r="O232" s="35">
        <f>IF($F232="","",IFERROR(INDEX(사건마스터!$AM$5:$AM$64,MATCH($F232,사건마스터!$A$5:$A$64,0)),""))</f>
        <v/>
      </c>
      <c r="P232" s="35">
        <f>IF($F232="","",IFERROR(INDEX(사건마스터!$AN$5:$AN$64,MATCH($F232,사건마스터!$A$5:$A$64,0)),""))</f>
        <v/>
      </c>
      <c r="Q232" s="35">
        <f>IF($F232="","",IFERROR(INDEX(사건마스터!$AO$5:$AO$64,MATCH($F232,사건마스터!$A$5:$A$64,0)),""))</f>
        <v/>
      </c>
      <c r="R232" s="35">
        <f>IF($F232="","",IFERROR(INDEX(사건마스터!$AP$5:$AP$64,MATCH($F232,사건마스터!$A$5:$A$64,0)),""))</f>
        <v/>
      </c>
      <c r="S232" s="35">
        <f>IF($F232="","",IFERROR(INDEX(사건마스터!$AQ$5:$AQ$64,MATCH($F232,사건마스터!$A$5:$A$64,0)),""))</f>
        <v/>
      </c>
      <c r="T232" s="35">
        <f>IF($F232="","",IFERROR(INDEX(사건마스터!$AR$5:$AR$64,MATCH($F232,사건마스터!$A$5:$A$64,0)),""))</f>
        <v/>
      </c>
      <c r="U232" s="35">
        <f>IF($F232="","",IFERROR(INDEX(사건마스터!$AS$5:$AS$64,MATCH($F232,사건마스터!$A$5:$A$64,0)),""))</f>
        <v/>
      </c>
      <c r="V232" s="35">
        <f>IF($F232="","",IFERROR(INDEX(사건마스터!$AT$5:$AT$64,MATCH($F232,사건마스터!$A$5:$A$64,0)),""))</f>
        <v/>
      </c>
      <c r="W232" s="35">
        <f>IF($F232="","",IFERROR(INDEX(사건마스터!$AU$5:$AU$64,MATCH($F232,사건마스터!$A$5:$A$64,0)),""))</f>
        <v/>
      </c>
      <c r="X232" s="35">
        <f>IF($F232="","",IFERROR(INDEX(사건마스터!$AV$5:$AV$64,MATCH($F232,사건마스터!$A$5:$A$64,0)),""))</f>
        <v/>
      </c>
      <c r="Y232" s="30">
        <f>IF($I232="","",COUNTIF($I232:$X232,"?*"))</f>
        <v/>
      </c>
      <c r="Z232" s="33">
        <f>IF($I232="","",_xlfn.TEXTJOIN(", ",TRUE,$I232:$X232))</f>
        <v/>
      </c>
      <c r="AA232" s="34">
        <f>IF($I232="","",IFERROR(INDEX(코드설정!$D$5:$D$24,MATCH($I232,코드설정!$C$5:$C$24,0)),""))</f>
        <v/>
      </c>
      <c r="AB232" s="36" t="n"/>
      <c r="AC232" s="37" t="n"/>
      <c r="AD232" s="38" t="n"/>
      <c r="AE232" s="30">
        <f>IF(OR($B232="",$C232=""),"",$C232-$B232+1)</f>
        <v/>
      </c>
      <c r="AF232" s="32" t="n"/>
      <c r="AG232" s="36" t="n"/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3">
        <f>IF($F233="","",IFERROR(INDEX(사건마스터!$B$5:$B$64,MATCH($F233,사건마스터!$A$5:$A$64,0)),""))</f>
        <v/>
      </c>
      <c r="H233" s="34">
        <f>IF($F233="","",IFERROR(INDEX(사건마스터!$C$5:$C$64,MATCH($F233,사건마스터!$A$5:$A$64,0)),""))</f>
        <v/>
      </c>
      <c r="I233" s="35">
        <f>IF($F233="","",IFERROR(INDEX(사건마스터!$H$5:$H$64,MATCH($F233,사건마스터!$A$5:$A$64,0)),""))</f>
        <v/>
      </c>
      <c r="J233" s="35">
        <f>IF($F233="","",IFERROR(INDEX(사건마스터!$AH$5:$AH$64,MATCH($F233,사건마스터!$A$5:$A$64,0)),""))</f>
        <v/>
      </c>
      <c r="K233" s="35">
        <f>IF($F233="","",IFERROR(INDEX(사건마스터!$AI$5:$AI$64,MATCH($F233,사건마스터!$A$5:$A$64,0)),""))</f>
        <v/>
      </c>
      <c r="L233" s="35">
        <f>IF($F233="","",IFERROR(INDEX(사건마스터!$AJ$5:$AJ$64,MATCH($F233,사건마스터!$A$5:$A$64,0)),""))</f>
        <v/>
      </c>
      <c r="M233" s="35">
        <f>IF($F233="","",IFERROR(INDEX(사건마스터!$AK$5:$AK$64,MATCH($F233,사건마스터!$A$5:$A$64,0)),""))</f>
        <v/>
      </c>
      <c r="N233" s="35">
        <f>IF($F233="","",IFERROR(INDEX(사건마스터!$AL$5:$AL$64,MATCH($F233,사건마스터!$A$5:$A$64,0)),""))</f>
        <v/>
      </c>
      <c r="O233" s="35">
        <f>IF($F233="","",IFERROR(INDEX(사건마스터!$AM$5:$AM$64,MATCH($F233,사건마스터!$A$5:$A$64,0)),""))</f>
        <v/>
      </c>
      <c r="P233" s="35">
        <f>IF($F233="","",IFERROR(INDEX(사건마스터!$AN$5:$AN$64,MATCH($F233,사건마스터!$A$5:$A$64,0)),""))</f>
        <v/>
      </c>
      <c r="Q233" s="35">
        <f>IF($F233="","",IFERROR(INDEX(사건마스터!$AO$5:$AO$64,MATCH($F233,사건마스터!$A$5:$A$64,0)),""))</f>
        <v/>
      </c>
      <c r="R233" s="35">
        <f>IF($F233="","",IFERROR(INDEX(사건마스터!$AP$5:$AP$64,MATCH($F233,사건마스터!$A$5:$A$64,0)),""))</f>
        <v/>
      </c>
      <c r="S233" s="35">
        <f>IF($F233="","",IFERROR(INDEX(사건마스터!$AQ$5:$AQ$64,MATCH($F233,사건마스터!$A$5:$A$64,0)),""))</f>
        <v/>
      </c>
      <c r="T233" s="35">
        <f>IF($F233="","",IFERROR(INDEX(사건마스터!$AR$5:$AR$64,MATCH($F233,사건마스터!$A$5:$A$64,0)),""))</f>
        <v/>
      </c>
      <c r="U233" s="35">
        <f>IF($F233="","",IFERROR(INDEX(사건마스터!$AS$5:$AS$64,MATCH($F233,사건마스터!$A$5:$A$64,0)),""))</f>
        <v/>
      </c>
      <c r="V233" s="35">
        <f>IF($F233="","",IFERROR(INDEX(사건마스터!$AT$5:$AT$64,MATCH($F233,사건마스터!$A$5:$A$64,0)),""))</f>
        <v/>
      </c>
      <c r="W233" s="35">
        <f>IF($F233="","",IFERROR(INDEX(사건마스터!$AU$5:$AU$64,MATCH($F233,사건마스터!$A$5:$A$64,0)),""))</f>
        <v/>
      </c>
      <c r="X233" s="35">
        <f>IF($F233="","",IFERROR(INDEX(사건마스터!$AV$5:$AV$64,MATCH($F233,사건마스터!$A$5:$A$64,0)),""))</f>
        <v/>
      </c>
      <c r="Y233" s="30">
        <f>IF($I233="","",COUNTIF($I233:$X233,"?*"))</f>
        <v/>
      </c>
      <c r="Z233" s="33">
        <f>IF($I233="","",_xlfn.TEXTJOIN(", ",TRUE,$I233:$X233))</f>
        <v/>
      </c>
      <c r="AA233" s="34">
        <f>IF($I233="","",IFERROR(INDEX(코드설정!$D$5:$D$24,MATCH($I233,코드설정!$C$5:$C$24,0)),""))</f>
        <v/>
      </c>
      <c r="AB233" s="36" t="n"/>
      <c r="AC233" s="37" t="n"/>
      <c r="AD233" s="38" t="n"/>
      <c r="AE233" s="30">
        <f>IF(OR($B233="",$C233=""),"",$C233-$B233+1)</f>
        <v/>
      </c>
      <c r="AF233" s="32" t="n"/>
      <c r="AG233" s="36" t="n"/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3">
        <f>IF($F234="","",IFERROR(INDEX(사건마스터!$B$5:$B$64,MATCH($F234,사건마스터!$A$5:$A$64,0)),""))</f>
        <v/>
      </c>
      <c r="H234" s="34">
        <f>IF($F234="","",IFERROR(INDEX(사건마스터!$C$5:$C$64,MATCH($F234,사건마스터!$A$5:$A$64,0)),""))</f>
        <v/>
      </c>
      <c r="I234" s="35">
        <f>IF($F234="","",IFERROR(INDEX(사건마스터!$H$5:$H$64,MATCH($F234,사건마스터!$A$5:$A$64,0)),""))</f>
        <v/>
      </c>
      <c r="J234" s="35">
        <f>IF($F234="","",IFERROR(INDEX(사건마스터!$AH$5:$AH$64,MATCH($F234,사건마스터!$A$5:$A$64,0)),""))</f>
        <v/>
      </c>
      <c r="K234" s="35">
        <f>IF($F234="","",IFERROR(INDEX(사건마스터!$AI$5:$AI$64,MATCH($F234,사건마스터!$A$5:$A$64,0)),""))</f>
        <v/>
      </c>
      <c r="L234" s="35">
        <f>IF($F234="","",IFERROR(INDEX(사건마스터!$AJ$5:$AJ$64,MATCH($F234,사건마스터!$A$5:$A$64,0)),""))</f>
        <v/>
      </c>
      <c r="M234" s="35">
        <f>IF($F234="","",IFERROR(INDEX(사건마스터!$AK$5:$AK$64,MATCH($F234,사건마스터!$A$5:$A$64,0)),""))</f>
        <v/>
      </c>
      <c r="N234" s="35">
        <f>IF($F234="","",IFERROR(INDEX(사건마스터!$AL$5:$AL$64,MATCH($F234,사건마스터!$A$5:$A$64,0)),""))</f>
        <v/>
      </c>
      <c r="O234" s="35">
        <f>IF($F234="","",IFERROR(INDEX(사건마스터!$AM$5:$AM$64,MATCH($F234,사건마스터!$A$5:$A$64,0)),""))</f>
        <v/>
      </c>
      <c r="P234" s="35">
        <f>IF($F234="","",IFERROR(INDEX(사건마스터!$AN$5:$AN$64,MATCH($F234,사건마스터!$A$5:$A$64,0)),""))</f>
        <v/>
      </c>
      <c r="Q234" s="35">
        <f>IF($F234="","",IFERROR(INDEX(사건마스터!$AO$5:$AO$64,MATCH($F234,사건마스터!$A$5:$A$64,0)),""))</f>
        <v/>
      </c>
      <c r="R234" s="35">
        <f>IF($F234="","",IFERROR(INDEX(사건마스터!$AP$5:$AP$64,MATCH($F234,사건마스터!$A$5:$A$64,0)),""))</f>
        <v/>
      </c>
      <c r="S234" s="35">
        <f>IF($F234="","",IFERROR(INDEX(사건마스터!$AQ$5:$AQ$64,MATCH($F234,사건마스터!$A$5:$A$64,0)),""))</f>
        <v/>
      </c>
      <c r="T234" s="35">
        <f>IF($F234="","",IFERROR(INDEX(사건마스터!$AR$5:$AR$64,MATCH($F234,사건마스터!$A$5:$A$64,0)),""))</f>
        <v/>
      </c>
      <c r="U234" s="35">
        <f>IF($F234="","",IFERROR(INDEX(사건마스터!$AS$5:$AS$64,MATCH($F234,사건마스터!$A$5:$A$64,0)),""))</f>
        <v/>
      </c>
      <c r="V234" s="35">
        <f>IF($F234="","",IFERROR(INDEX(사건마스터!$AT$5:$AT$64,MATCH($F234,사건마스터!$A$5:$A$64,0)),""))</f>
        <v/>
      </c>
      <c r="W234" s="35">
        <f>IF($F234="","",IFERROR(INDEX(사건마스터!$AU$5:$AU$64,MATCH($F234,사건마스터!$A$5:$A$64,0)),""))</f>
        <v/>
      </c>
      <c r="X234" s="35">
        <f>IF($F234="","",IFERROR(INDEX(사건마스터!$AV$5:$AV$64,MATCH($F234,사건마스터!$A$5:$A$64,0)),""))</f>
        <v/>
      </c>
      <c r="Y234" s="30">
        <f>IF($I234="","",COUNTIF($I234:$X234,"?*"))</f>
        <v/>
      </c>
      <c r="Z234" s="33">
        <f>IF($I234="","",_xlfn.TEXTJOIN(", ",TRUE,$I234:$X234))</f>
        <v/>
      </c>
      <c r="AA234" s="34">
        <f>IF($I234="","",IFERROR(INDEX(코드설정!$D$5:$D$24,MATCH($I234,코드설정!$C$5:$C$24,0)),""))</f>
        <v/>
      </c>
      <c r="AB234" s="36" t="n"/>
      <c r="AC234" s="37" t="n"/>
      <c r="AD234" s="38" t="n"/>
      <c r="AE234" s="30">
        <f>IF(OR($B234="",$C234=""),"",$C234-$B234+1)</f>
        <v/>
      </c>
      <c r="AF234" s="32" t="n"/>
      <c r="AG234" s="36" t="n"/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3">
        <f>IF($F235="","",IFERROR(INDEX(사건마스터!$B$5:$B$64,MATCH($F235,사건마스터!$A$5:$A$64,0)),""))</f>
        <v/>
      </c>
      <c r="H235" s="34">
        <f>IF($F235="","",IFERROR(INDEX(사건마스터!$C$5:$C$64,MATCH($F235,사건마스터!$A$5:$A$64,0)),""))</f>
        <v/>
      </c>
      <c r="I235" s="35">
        <f>IF($F235="","",IFERROR(INDEX(사건마스터!$H$5:$H$64,MATCH($F235,사건마스터!$A$5:$A$64,0)),""))</f>
        <v/>
      </c>
      <c r="J235" s="35">
        <f>IF($F235="","",IFERROR(INDEX(사건마스터!$AH$5:$AH$64,MATCH($F235,사건마스터!$A$5:$A$64,0)),""))</f>
        <v/>
      </c>
      <c r="K235" s="35">
        <f>IF($F235="","",IFERROR(INDEX(사건마스터!$AI$5:$AI$64,MATCH($F235,사건마스터!$A$5:$A$64,0)),""))</f>
        <v/>
      </c>
      <c r="L235" s="35">
        <f>IF($F235="","",IFERROR(INDEX(사건마스터!$AJ$5:$AJ$64,MATCH($F235,사건마스터!$A$5:$A$64,0)),""))</f>
        <v/>
      </c>
      <c r="M235" s="35">
        <f>IF($F235="","",IFERROR(INDEX(사건마스터!$AK$5:$AK$64,MATCH($F235,사건마스터!$A$5:$A$64,0)),""))</f>
        <v/>
      </c>
      <c r="N235" s="35">
        <f>IF($F235="","",IFERROR(INDEX(사건마스터!$AL$5:$AL$64,MATCH($F235,사건마스터!$A$5:$A$64,0)),""))</f>
        <v/>
      </c>
      <c r="O235" s="35">
        <f>IF($F235="","",IFERROR(INDEX(사건마스터!$AM$5:$AM$64,MATCH($F235,사건마스터!$A$5:$A$64,0)),""))</f>
        <v/>
      </c>
      <c r="P235" s="35">
        <f>IF($F235="","",IFERROR(INDEX(사건마스터!$AN$5:$AN$64,MATCH($F235,사건마스터!$A$5:$A$64,0)),""))</f>
        <v/>
      </c>
      <c r="Q235" s="35">
        <f>IF($F235="","",IFERROR(INDEX(사건마스터!$AO$5:$AO$64,MATCH($F235,사건마스터!$A$5:$A$64,0)),""))</f>
        <v/>
      </c>
      <c r="R235" s="35">
        <f>IF($F235="","",IFERROR(INDEX(사건마스터!$AP$5:$AP$64,MATCH($F235,사건마스터!$A$5:$A$64,0)),""))</f>
        <v/>
      </c>
      <c r="S235" s="35">
        <f>IF($F235="","",IFERROR(INDEX(사건마스터!$AQ$5:$AQ$64,MATCH($F235,사건마스터!$A$5:$A$64,0)),""))</f>
        <v/>
      </c>
      <c r="T235" s="35">
        <f>IF($F235="","",IFERROR(INDEX(사건마스터!$AR$5:$AR$64,MATCH($F235,사건마스터!$A$5:$A$64,0)),""))</f>
        <v/>
      </c>
      <c r="U235" s="35">
        <f>IF($F235="","",IFERROR(INDEX(사건마스터!$AS$5:$AS$64,MATCH($F235,사건마스터!$A$5:$A$64,0)),""))</f>
        <v/>
      </c>
      <c r="V235" s="35">
        <f>IF($F235="","",IFERROR(INDEX(사건마스터!$AT$5:$AT$64,MATCH($F235,사건마스터!$A$5:$A$64,0)),""))</f>
        <v/>
      </c>
      <c r="W235" s="35">
        <f>IF($F235="","",IFERROR(INDEX(사건마스터!$AU$5:$AU$64,MATCH($F235,사건마스터!$A$5:$A$64,0)),""))</f>
        <v/>
      </c>
      <c r="X235" s="35">
        <f>IF($F235="","",IFERROR(INDEX(사건마스터!$AV$5:$AV$64,MATCH($F235,사건마스터!$A$5:$A$64,0)),""))</f>
        <v/>
      </c>
      <c r="Y235" s="30">
        <f>IF($I235="","",COUNTIF($I235:$X235,"?*"))</f>
        <v/>
      </c>
      <c r="Z235" s="33">
        <f>IF($I235="","",_xlfn.TEXTJOIN(", ",TRUE,$I235:$X235))</f>
        <v/>
      </c>
      <c r="AA235" s="34">
        <f>IF($I235="","",IFERROR(INDEX(코드설정!$D$5:$D$24,MATCH($I235,코드설정!$C$5:$C$24,0)),""))</f>
        <v/>
      </c>
      <c r="AB235" s="36" t="n"/>
      <c r="AC235" s="37" t="n"/>
      <c r="AD235" s="38" t="n"/>
      <c r="AE235" s="30">
        <f>IF(OR($B235="",$C235=""),"",$C235-$B235+1)</f>
        <v/>
      </c>
      <c r="AF235" s="32" t="n"/>
      <c r="AG235" s="36" t="n"/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3">
        <f>IF($F236="","",IFERROR(INDEX(사건마스터!$B$5:$B$64,MATCH($F236,사건마스터!$A$5:$A$64,0)),""))</f>
        <v/>
      </c>
      <c r="H236" s="34">
        <f>IF($F236="","",IFERROR(INDEX(사건마스터!$C$5:$C$64,MATCH($F236,사건마스터!$A$5:$A$64,0)),""))</f>
        <v/>
      </c>
      <c r="I236" s="35">
        <f>IF($F236="","",IFERROR(INDEX(사건마스터!$H$5:$H$64,MATCH($F236,사건마스터!$A$5:$A$64,0)),""))</f>
        <v/>
      </c>
      <c r="J236" s="35">
        <f>IF($F236="","",IFERROR(INDEX(사건마스터!$AH$5:$AH$64,MATCH($F236,사건마스터!$A$5:$A$64,0)),""))</f>
        <v/>
      </c>
      <c r="K236" s="35">
        <f>IF($F236="","",IFERROR(INDEX(사건마스터!$AI$5:$AI$64,MATCH($F236,사건마스터!$A$5:$A$64,0)),""))</f>
        <v/>
      </c>
      <c r="L236" s="35">
        <f>IF($F236="","",IFERROR(INDEX(사건마스터!$AJ$5:$AJ$64,MATCH($F236,사건마스터!$A$5:$A$64,0)),""))</f>
        <v/>
      </c>
      <c r="M236" s="35">
        <f>IF($F236="","",IFERROR(INDEX(사건마스터!$AK$5:$AK$64,MATCH($F236,사건마스터!$A$5:$A$64,0)),""))</f>
        <v/>
      </c>
      <c r="N236" s="35">
        <f>IF($F236="","",IFERROR(INDEX(사건마스터!$AL$5:$AL$64,MATCH($F236,사건마스터!$A$5:$A$64,0)),""))</f>
        <v/>
      </c>
      <c r="O236" s="35">
        <f>IF($F236="","",IFERROR(INDEX(사건마스터!$AM$5:$AM$64,MATCH($F236,사건마스터!$A$5:$A$64,0)),""))</f>
        <v/>
      </c>
      <c r="P236" s="35">
        <f>IF($F236="","",IFERROR(INDEX(사건마스터!$AN$5:$AN$64,MATCH($F236,사건마스터!$A$5:$A$64,0)),""))</f>
        <v/>
      </c>
      <c r="Q236" s="35">
        <f>IF($F236="","",IFERROR(INDEX(사건마스터!$AO$5:$AO$64,MATCH($F236,사건마스터!$A$5:$A$64,0)),""))</f>
        <v/>
      </c>
      <c r="R236" s="35">
        <f>IF($F236="","",IFERROR(INDEX(사건마스터!$AP$5:$AP$64,MATCH($F236,사건마스터!$A$5:$A$64,0)),""))</f>
        <v/>
      </c>
      <c r="S236" s="35">
        <f>IF($F236="","",IFERROR(INDEX(사건마스터!$AQ$5:$AQ$64,MATCH($F236,사건마스터!$A$5:$A$64,0)),""))</f>
        <v/>
      </c>
      <c r="T236" s="35">
        <f>IF($F236="","",IFERROR(INDEX(사건마스터!$AR$5:$AR$64,MATCH($F236,사건마스터!$A$5:$A$64,0)),""))</f>
        <v/>
      </c>
      <c r="U236" s="35">
        <f>IF($F236="","",IFERROR(INDEX(사건마스터!$AS$5:$AS$64,MATCH($F236,사건마스터!$A$5:$A$64,0)),""))</f>
        <v/>
      </c>
      <c r="V236" s="35">
        <f>IF($F236="","",IFERROR(INDEX(사건마스터!$AT$5:$AT$64,MATCH($F236,사건마스터!$A$5:$A$64,0)),""))</f>
        <v/>
      </c>
      <c r="W236" s="35">
        <f>IF($F236="","",IFERROR(INDEX(사건마스터!$AU$5:$AU$64,MATCH($F236,사건마스터!$A$5:$A$64,0)),""))</f>
        <v/>
      </c>
      <c r="X236" s="35">
        <f>IF($F236="","",IFERROR(INDEX(사건마스터!$AV$5:$AV$64,MATCH($F236,사건마스터!$A$5:$A$64,0)),""))</f>
        <v/>
      </c>
      <c r="Y236" s="30">
        <f>IF($I236="","",COUNTIF($I236:$X236,"?*"))</f>
        <v/>
      </c>
      <c r="Z236" s="33">
        <f>IF($I236="","",_xlfn.TEXTJOIN(", ",TRUE,$I236:$X236))</f>
        <v/>
      </c>
      <c r="AA236" s="34">
        <f>IF($I236="","",IFERROR(INDEX(코드설정!$D$5:$D$24,MATCH($I236,코드설정!$C$5:$C$24,0)),""))</f>
        <v/>
      </c>
      <c r="AB236" s="36" t="n"/>
      <c r="AC236" s="37" t="n"/>
      <c r="AD236" s="38" t="n"/>
      <c r="AE236" s="30">
        <f>IF(OR($B236="",$C236=""),"",$C236-$B236+1)</f>
        <v/>
      </c>
      <c r="AF236" s="32" t="n"/>
      <c r="AG236" s="36" t="n"/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3">
        <f>IF($F237="","",IFERROR(INDEX(사건마스터!$B$5:$B$64,MATCH($F237,사건마스터!$A$5:$A$64,0)),""))</f>
        <v/>
      </c>
      <c r="H237" s="34">
        <f>IF($F237="","",IFERROR(INDEX(사건마스터!$C$5:$C$64,MATCH($F237,사건마스터!$A$5:$A$64,0)),""))</f>
        <v/>
      </c>
      <c r="I237" s="35">
        <f>IF($F237="","",IFERROR(INDEX(사건마스터!$H$5:$H$64,MATCH($F237,사건마스터!$A$5:$A$64,0)),""))</f>
        <v/>
      </c>
      <c r="J237" s="35">
        <f>IF($F237="","",IFERROR(INDEX(사건마스터!$AH$5:$AH$64,MATCH($F237,사건마스터!$A$5:$A$64,0)),""))</f>
        <v/>
      </c>
      <c r="K237" s="35">
        <f>IF($F237="","",IFERROR(INDEX(사건마스터!$AI$5:$AI$64,MATCH($F237,사건마스터!$A$5:$A$64,0)),""))</f>
        <v/>
      </c>
      <c r="L237" s="35">
        <f>IF($F237="","",IFERROR(INDEX(사건마스터!$AJ$5:$AJ$64,MATCH($F237,사건마스터!$A$5:$A$64,0)),""))</f>
        <v/>
      </c>
      <c r="M237" s="35">
        <f>IF($F237="","",IFERROR(INDEX(사건마스터!$AK$5:$AK$64,MATCH($F237,사건마스터!$A$5:$A$64,0)),""))</f>
        <v/>
      </c>
      <c r="N237" s="35">
        <f>IF($F237="","",IFERROR(INDEX(사건마스터!$AL$5:$AL$64,MATCH($F237,사건마스터!$A$5:$A$64,0)),""))</f>
        <v/>
      </c>
      <c r="O237" s="35">
        <f>IF($F237="","",IFERROR(INDEX(사건마스터!$AM$5:$AM$64,MATCH($F237,사건마스터!$A$5:$A$64,0)),""))</f>
        <v/>
      </c>
      <c r="P237" s="35">
        <f>IF($F237="","",IFERROR(INDEX(사건마스터!$AN$5:$AN$64,MATCH($F237,사건마스터!$A$5:$A$64,0)),""))</f>
        <v/>
      </c>
      <c r="Q237" s="35">
        <f>IF($F237="","",IFERROR(INDEX(사건마스터!$AO$5:$AO$64,MATCH($F237,사건마스터!$A$5:$A$64,0)),""))</f>
        <v/>
      </c>
      <c r="R237" s="35">
        <f>IF($F237="","",IFERROR(INDEX(사건마스터!$AP$5:$AP$64,MATCH($F237,사건마스터!$A$5:$A$64,0)),""))</f>
        <v/>
      </c>
      <c r="S237" s="35">
        <f>IF($F237="","",IFERROR(INDEX(사건마스터!$AQ$5:$AQ$64,MATCH($F237,사건마스터!$A$5:$A$64,0)),""))</f>
        <v/>
      </c>
      <c r="T237" s="35">
        <f>IF($F237="","",IFERROR(INDEX(사건마스터!$AR$5:$AR$64,MATCH($F237,사건마스터!$A$5:$A$64,0)),""))</f>
        <v/>
      </c>
      <c r="U237" s="35">
        <f>IF($F237="","",IFERROR(INDEX(사건마스터!$AS$5:$AS$64,MATCH($F237,사건마스터!$A$5:$A$64,0)),""))</f>
        <v/>
      </c>
      <c r="V237" s="35">
        <f>IF($F237="","",IFERROR(INDEX(사건마스터!$AT$5:$AT$64,MATCH($F237,사건마스터!$A$5:$A$64,0)),""))</f>
        <v/>
      </c>
      <c r="W237" s="35">
        <f>IF($F237="","",IFERROR(INDEX(사건마스터!$AU$5:$AU$64,MATCH($F237,사건마스터!$A$5:$A$64,0)),""))</f>
        <v/>
      </c>
      <c r="X237" s="35">
        <f>IF($F237="","",IFERROR(INDEX(사건마스터!$AV$5:$AV$64,MATCH($F237,사건마스터!$A$5:$A$64,0)),""))</f>
        <v/>
      </c>
      <c r="Y237" s="30">
        <f>IF($I237="","",COUNTIF($I237:$X237,"?*"))</f>
        <v/>
      </c>
      <c r="Z237" s="33">
        <f>IF($I237="","",_xlfn.TEXTJOIN(", ",TRUE,$I237:$X237))</f>
        <v/>
      </c>
      <c r="AA237" s="34">
        <f>IF($I237="","",IFERROR(INDEX(코드설정!$D$5:$D$24,MATCH($I237,코드설정!$C$5:$C$24,0)),""))</f>
        <v/>
      </c>
      <c r="AB237" s="36" t="n"/>
      <c r="AC237" s="37" t="n"/>
      <c r="AD237" s="38" t="n"/>
      <c r="AE237" s="30">
        <f>IF(OR($B237="",$C237=""),"",$C237-$B237+1)</f>
        <v/>
      </c>
      <c r="AF237" s="32" t="n"/>
      <c r="AG237" s="36" t="n"/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3">
        <f>IF($F238="","",IFERROR(INDEX(사건마스터!$B$5:$B$64,MATCH($F238,사건마스터!$A$5:$A$64,0)),""))</f>
        <v/>
      </c>
      <c r="H238" s="34">
        <f>IF($F238="","",IFERROR(INDEX(사건마스터!$C$5:$C$64,MATCH($F238,사건마스터!$A$5:$A$64,0)),""))</f>
        <v/>
      </c>
      <c r="I238" s="35">
        <f>IF($F238="","",IFERROR(INDEX(사건마스터!$H$5:$H$64,MATCH($F238,사건마스터!$A$5:$A$64,0)),""))</f>
        <v/>
      </c>
      <c r="J238" s="35">
        <f>IF($F238="","",IFERROR(INDEX(사건마스터!$AH$5:$AH$64,MATCH($F238,사건마스터!$A$5:$A$64,0)),""))</f>
        <v/>
      </c>
      <c r="K238" s="35">
        <f>IF($F238="","",IFERROR(INDEX(사건마스터!$AI$5:$AI$64,MATCH($F238,사건마스터!$A$5:$A$64,0)),""))</f>
        <v/>
      </c>
      <c r="L238" s="35">
        <f>IF($F238="","",IFERROR(INDEX(사건마스터!$AJ$5:$AJ$64,MATCH($F238,사건마스터!$A$5:$A$64,0)),""))</f>
        <v/>
      </c>
      <c r="M238" s="35">
        <f>IF($F238="","",IFERROR(INDEX(사건마스터!$AK$5:$AK$64,MATCH($F238,사건마스터!$A$5:$A$64,0)),""))</f>
        <v/>
      </c>
      <c r="N238" s="35">
        <f>IF($F238="","",IFERROR(INDEX(사건마스터!$AL$5:$AL$64,MATCH($F238,사건마스터!$A$5:$A$64,0)),""))</f>
        <v/>
      </c>
      <c r="O238" s="35">
        <f>IF($F238="","",IFERROR(INDEX(사건마스터!$AM$5:$AM$64,MATCH($F238,사건마스터!$A$5:$A$64,0)),""))</f>
        <v/>
      </c>
      <c r="P238" s="35">
        <f>IF($F238="","",IFERROR(INDEX(사건마스터!$AN$5:$AN$64,MATCH($F238,사건마스터!$A$5:$A$64,0)),""))</f>
        <v/>
      </c>
      <c r="Q238" s="35">
        <f>IF($F238="","",IFERROR(INDEX(사건마스터!$AO$5:$AO$64,MATCH($F238,사건마스터!$A$5:$A$64,0)),""))</f>
        <v/>
      </c>
      <c r="R238" s="35">
        <f>IF($F238="","",IFERROR(INDEX(사건마스터!$AP$5:$AP$64,MATCH($F238,사건마스터!$A$5:$A$64,0)),""))</f>
        <v/>
      </c>
      <c r="S238" s="35">
        <f>IF($F238="","",IFERROR(INDEX(사건마스터!$AQ$5:$AQ$64,MATCH($F238,사건마스터!$A$5:$A$64,0)),""))</f>
        <v/>
      </c>
      <c r="T238" s="35">
        <f>IF($F238="","",IFERROR(INDEX(사건마스터!$AR$5:$AR$64,MATCH($F238,사건마스터!$A$5:$A$64,0)),""))</f>
        <v/>
      </c>
      <c r="U238" s="35">
        <f>IF($F238="","",IFERROR(INDEX(사건마스터!$AS$5:$AS$64,MATCH($F238,사건마스터!$A$5:$A$64,0)),""))</f>
        <v/>
      </c>
      <c r="V238" s="35">
        <f>IF($F238="","",IFERROR(INDEX(사건마스터!$AT$5:$AT$64,MATCH($F238,사건마스터!$A$5:$A$64,0)),""))</f>
        <v/>
      </c>
      <c r="W238" s="35">
        <f>IF($F238="","",IFERROR(INDEX(사건마스터!$AU$5:$AU$64,MATCH($F238,사건마스터!$A$5:$A$64,0)),""))</f>
        <v/>
      </c>
      <c r="X238" s="35">
        <f>IF($F238="","",IFERROR(INDEX(사건마스터!$AV$5:$AV$64,MATCH($F238,사건마스터!$A$5:$A$64,0)),""))</f>
        <v/>
      </c>
      <c r="Y238" s="30">
        <f>IF($I238="","",COUNTIF($I238:$X238,"?*"))</f>
        <v/>
      </c>
      <c r="Z238" s="33">
        <f>IF($I238="","",_xlfn.TEXTJOIN(", ",TRUE,$I238:$X238))</f>
        <v/>
      </c>
      <c r="AA238" s="34">
        <f>IF($I238="","",IFERROR(INDEX(코드설정!$D$5:$D$24,MATCH($I238,코드설정!$C$5:$C$24,0)),""))</f>
        <v/>
      </c>
      <c r="AB238" s="36" t="n"/>
      <c r="AC238" s="37" t="n"/>
      <c r="AD238" s="38" t="n"/>
      <c r="AE238" s="30">
        <f>IF(OR($B238="",$C238=""),"",$C238-$B238+1)</f>
        <v/>
      </c>
      <c r="AF238" s="32" t="n"/>
      <c r="AG238" s="36" t="n"/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3">
        <f>IF($F239="","",IFERROR(INDEX(사건마스터!$B$5:$B$64,MATCH($F239,사건마스터!$A$5:$A$64,0)),""))</f>
        <v/>
      </c>
      <c r="H239" s="34">
        <f>IF($F239="","",IFERROR(INDEX(사건마스터!$C$5:$C$64,MATCH($F239,사건마스터!$A$5:$A$64,0)),""))</f>
        <v/>
      </c>
      <c r="I239" s="35">
        <f>IF($F239="","",IFERROR(INDEX(사건마스터!$H$5:$H$64,MATCH($F239,사건마스터!$A$5:$A$64,0)),""))</f>
        <v/>
      </c>
      <c r="J239" s="35">
        <f>IF($F239="","",IFERROR(INDEX(사건마스터!$AH$5:$AH$64,MATCH($F239,사건마스터!$A$5:$A$64,0)),""))</f>
        <v/>
      </c>
      <c r="K239" s="35">
        <f>IF($F239="","",IFERROR(INDEX(사건마스터!$AI$5:$AI$64,MATCH($F239,사건마스터!$A$5:$A$64,0)),""))</f>
        <v/>
      </c>
      <c r="L239" s="35">
        <f>IF($F239="","",IFERROR(INDEX(사건마스터!$AJ$5:$AJ$64,MATCH($F239,사건마스터!$A$5:$A$64,0)),""))</f>
        <v/>
      </c>
      <c r="M239" s="35">
        <f>IF($F239="","",IFERROR(INDEX(사건마스터!$AK$5:$AK$64,MATCH($F239,사건마스터!$A$5:$A$64,0)),""))</f>
        <v/>
      </c>
      <c r="N239" s="35">
        <f>IF($F239="","",IFERROR(INDEX(사건마스터!$AL$5:$AL$64,MATCH($F239,사건마스터!$A$5:$A$64,0)),""))</f>
        <v/>
      </c>
      <c r="O239" s="35">
        <f>IF($F239="","",IFERROR(INDEX(사건마스터!$AM$5:$AM$64,MATCH($F239,사건마스터!$A$5:$A$64,0)),""))</f>
        <v/>
      </c>
      <c r="P239" s="35">
        <f>IF($F239="","",IFERROR(INDEX(사건마스터!$AN$5:$AN$64,MATCH($F239,사건마스터!$A$5:$A$64,0)),""))</f>
        <v/>
      </c>
      <c r="Q239" s="35">
        <f>IF($F239="","",IFERROR(INDEX(사건마스터!$AO$5:$AO$64,MATCH($F239,사건마스터!$A$5:$A$64,0)),""))</f>
        <v/>
      </c>
      <c r="R239" s="35">
        <f>IF($F239="","",IFERROR(INDEX(사건마스터!$AP$5:$AP$64,MATCH($F239,사건마스터!$A$5:$A$64,0)),""))</f>
        <v/>
      </c>
      <c r="S239" s="35">
        <f>IF($F239="","",IFERROR(INDEX(사건마스터!$AQ$5:$AQ$64,MATCH($F239,사건마스터!$A$5:$A$64,0)),""))</f>
        <v/>
      </c>
      <c r="T239" s="35">
        <f>IF($F239="","",IFERROR(INDEX(사건마스터!$AR$5:$AR$64,MATCH($F239,사건마스터!$A$5:$A$64,0)),""))</f>
        <v/>
      </c>
      <c r="U239" s="35">
        <f>IF($F239="","",IFERROR(INDEX(사건마스터!$AS$5:$AS$64,MATCH($F239,사건마스터!$A$5:$A$64,0)),""))</f>
        <v/>
      </c>
      <c r="V239" s="35">
        <f>IF($F239="","",IFERROR(INDEX(사건마스터!$AT$5:$AT$64,MATCH($F239,사건마스터!$A$5:$A$64,0)),""))</f>
        <v/>
      </c>
      <c r="W239" s="35">
        <f>IF($F239="","",IFERROR(INDEX(사건마스터!$AU$5:$AU$64,MATCH($F239,사건마스터!$A$5:$A$64,0)),""))</f>
        <v/>
      </c>
      <c r="X239" s="35">
        <f>IF($F239="","",IFERROR(INDEX(사건마스터!$AV$5:$AV$64,MATCH($F239,사건마스터!$A$5:$A$64,0)),""))</f>
        <v/>
      </c>
      <c r="Y239" s="30">
        <f>IF($I239="","",COUNTIF($I239:$X239,"?*"))</f>
        <v/>
      </c>
      <c r="Z239" s="33">
        <f>IF($I239="","",_xlfn.TEXTJOIN(", ",TRUE,$I239:$X239))</f>
        <v/>
      </c>
      <c r="AA239" s="34">
        <f>IF($I239="","",IFERROR(INDEX(코드설정!$D$5:$D$24,MATCH($I239,코드설정!$C$5:$C$24,0)),""))</f>
        <v/>
      </c>
      <c r="AB239" s="36" t="n"/>
      <c r="AC239" s="37" t="n"/>
      <c r="AD239" s="38" t="n"/>
      <c r="AE239" s="30">
        <f>IF(OR($B239="",$C239=""),"",$C239-$B239+1)</f>
        <v/>
      </c>
      <c r="AF239" s="32" t="n"/>
      <c r="AG239" s="36" t="n"/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3">
        <f>IF($F240="","",IFERROR(INDEX(사건마스터!$B$5:$B$64,MATCH($F240,사건마스터!$A$5:$A$64,0)),""))</f>
        <v/>
      </c>
      <c r="H240" s="34">
        <f>IF($F240="","",IFERROR(INDEX(사건마스터!$C$5:$C$64,MATCH($F240,사건마스터!$A$5:$A$64,0)),""))</f>
        <v/>
      </c>
      <c r="I240" s="35">
        <f>IF($F240="","",IFERROR(INDEX(사건마스터!$H$5:$H$64,MATCH($F240,사건마스터!$A$5:$A$64,0)),""))</f>
        <v/>
      </c>
      <c r="J240" s="35">
        <f>IF($F240="","",IFERROR(INDEX(사건마스터!$AH$5:$AH$64,MATCH($F240,사건마스터!$A$5:$A$64,0)),""))</f>
        <v/>
      </c>
      <c r="K240" s="35">
        <f>IF($F240="","",IFERROR(INDEX(사건마스터!$AI$5:$AI$64,MATCH($F240,사건마스터!$A$5:$A$64,0)),""))</f>
        <v/>
      </c>
      <c r="L240" s="35">
        <f>IF($F240="","",IFERROR(INDEX(사건마스터!$AJ$5:$AJ$64,MATCH($F240,사건마스터!$A$5:$A$64,0)),""))</f>
        <v/>
      </c>
      <c r="M240" s="35">
        <f>IF($F240="","",IFERROR(INDEX(사건마스터!$AK$5:$AK$64,MATCH($F240,사건마스터!$A$5:$A$64,0)),""))</f>
        <v/>
      </c>
      <c r="N240" s="35">
        <f>IF($F240="","",IFERROR(INDEX(사건마스터!$AL$5:$AL$64,MATCH($F240,사건마스터!$A$5:$A$64,0)),""))</f>
        <v/>
      </c>
      <c r="O240" s="35">
        <f>IF($F240="","",IFERROR(INDEX(사건마스터!$AM$5:$AM$64,MATCH($F240,사건마스터!$A$5:$A$64,0)),""))</f>
        <v/>
      </c>
      <c r="P240" s="35">
        <f>IF($F240="","",IFERROR(INDEX(사건마스터!$AN$5:$AN$64,MATCH($F240,사건마스터!$A$5:$A$64,0)),""))</f>
        <v/>
      </c>
      <c r="Q240" s="35">
        <f>IF($F240="","",IFERROR(INDEX(사건마스터!$AO$5:$AO$64,MATCH($F240,사건마스터!$A$5:$A$64,0)),""))</f>
        <v/>
      </c>
      <c r="R240" s="35">
        <f>IF($F240="","",IFERROR(INDEX(사건마스터!$AP$5:$AP$64,MATCH($F240,사건마스터!$A$5:$A$64,0)),""))</f>
        <v/>
      </c>
      <c r="S240" s="35">
        <f>IF($F240="","",IFERROR(INDEX(사건마스터!$AQ$5:$AQ$64,MATCH($F240,사건마스터!$A$5:$A$64,0)),""))</f>
        <v/>
      </c>
      <c r="T240" s="35">
        <f>IF($F240="","",IFERROR(INDEX(사건마스터!$AR$5:$AR$64,MATCH($F240,사건마스터!$A$5:$A$64,0)),""))</f>
        <v/>
      </c>
      <c r="U240" s="35">
        <f>IF($F240="","",IFERROR(INDEX(사건마스터!$AS$5:$AS$64,MATCH($F240,사건마스터!$A$5:$A$64,0)),""))</f>
        <v/>
      </c>
      <c r="V240" s="35">
        <f>IF($F240="","",IFERROR(INDEX(사건마스터!$AT$5:$AT$64,MATCH($F240,사건마스터!$A$5:$A$64,0)),""))</f>
        <v/>
      </c>
      <c r="W240" s="35">
        <f>IF($F240="","",IFERROR(INDEX(사건마스터!$AU$5:$AU$64,MATCH($F240,사건마스터!$A$5:$A$64,0)),""))</f>
        <v/>
      </c>
      <c r="X240" s="35">
        <f>IF($F240="","",IFERROR(INDEX(사건마스터!$AV$5:$AV$64,MATCH($F240,사건마스터!$A$5:$A$64,0)),""))</f>
        <v/>
      </c>
      <c r="Y240" s="30">
        <f>IF($I240="","",COUNTIF($I240:$X240,"?*"))</f>
        <v/>
      </c>
      <c r="Z240" s="33">
        <f>IF($I240="","",_xlfn.TEXTJOIN(", ",TRUE,$I240:$X240))</f>
        <v/>
      </c>
      <c r="AA240" s="34">
        <f>IF($I240="","",IFERROR(INDEX(코드설정!$D$5:$D$24,MATCH($I240,코드설정!$C$5:$C$24,0)),""))</f>
        <v/>
      </c>
      <c r="AB240" s="36" t="n"/>
      <c r="AC240" s="37" t="n"/>
      <c r="AD240" s="38" t="n"/>
      <c r="AE240" s="30">
        <f>IF(OR($B240="",$C240=""),"",$C240-$B240+1)</f>
        <v/>
      </c>
      <c r="AF240" s="32" t="n"/>
      <c r="AG240" s="36" t="n"/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3">
        <f>IF($F241="","",IFERROR(INDEX(사건마스터!$B$5:$B$64,MATCH($F241,사건마스터!$A$5:$A$64,0)),""))</f>
        <v/>
      </c>
      <c r="H241" s="34">
        <f>IF($F241="","",IFERROR(INDEX(사건마스터!$C$5:$C$64,MATCH($F241,사건마스터!$A$5:$A$64,0)),""))</f>
        <v/>
      </c>
      <c r="I241" s="35">
        <f>IF($F241="","",IFERROR(INDEX(사건마스터!$H$5:$H$64,MATCH($F241,사건마스터!$A$5:$A$64,0)),""))</f>
        <v/>
      </c>
      <c r="J241" s="35">
        <f>IF($F241="","",IFERROR(INDEX(사건마스터!$AH$5:$AH$64,MATCH($F241,사건마스터!$A$5:$A$64,0)),""))</f>
        <v/>
      </c>
      <c r="K241" s="35">
        <f>IF($F241="","",IFERROR(INDEX(사건마스터!$AI$5:$AI$64,MATCH($F241,사건마스터!$A$5:$A$64,0)),""))</f>
        <v/>
      </c>
      <c r="L241" s="35">
        <f>IF($F241="","",IFERROR(INDEX(사건마스터!$AJ$5:$AJ$64,MATCH($F241,사건마스터!$A$5:$A$64,0)),""))</f>
        <v/>
      </c>
      <c r="M241" s="35">
        <f>IF($F241="","",IFERROR(INDEX(사건마스터!$AK$5:$AK$64,MATCH($F241,사건마스터!$A$5:$A$64,0)),""))</f>
        <v/>
      </c>
      <c r="N241" s="35">
        <f>IF($F241="","",IFERROR(INDEX(사건마스터!$AL$5:$AL$64,MATCH($F241,사건마스터!$A$5:$A$64,0)),""))</f>
        <v/>
      </c>
      <c r="O241" s="35">
        <f>IF($F241="","",IFERROR(INDEX(사건마스터!$AM$5:$AM$64,MATCH($F241,사건마스터!$A$5:$A$64,0)),""))</f>
        <v/>
      </c>
      <c r="P241" s="35">
        <f>IF($F241="","",IFERROR(INDEX(사건마스터!$AN$5:$AN$64,MATCH($F241,사건마스터!$A$5:$A$64,0)),""))</f>
        <v/>
      </c>
      <c r="Q241" s="35">
        <f>IF($F241="","",IFERROR(INDEX(사건마스터!$AO$5:$AO$64,MATCH($F241,사건마스터!$A$5:$A$64,0)),""))</f>
        <v/>
      </c>
      <c r="R241" s="35">
        <f>IF($F241="","",IFERROR(INDEX(사건마스터!$AP$5:$AP$64,MATCH($F241,사건마스터!$A$5:$A$64,0)),""))</f>
        <v/>
      </c>
      <c r="S241" s="35">
        <f>IF($F241="","",IFERROR(INDEX(사건마스터!$AQ$5:$AQ$64,MATCH($F241,사건마스터!$A$5:$A$64,0)),""))</f>
        <v/>
      </c>
      <c r="T241" s="35">
        <f>IF($F241="","",IFERROR(INDEX(사건마스터!$AR$5:$AR$64,MATCH($F241,사건마스터!$A$5:$A$64,0)),""))</f>
        <v/>
      </c>
      <c r="U241" s="35">
        <f>IF($F241="","",IFERROR(INDEX(사건마스터!$AS$5:$AS$64,MATCH($F241,사건마스터!$A$5:$A$64,0)),""))</f>
        <v/>
      </c>
      <c r="V241" s="35">
        <f>IF($F241="","",IFERROR(INDEX(사건마스터!$AT$5:$AT$64,MATCH($F241,사건마스터!$A$5:$A$64,0)),""))</f>
        <v/>
      </c>
      <c r="W241" s="35">
        <f>IF($F241="","",IFERROR(INDEX(사건마스터!$AU$5:$AU$64,MATCH($F241,사건마스터!$A$5:$A$64,0)),""))</f>
        <v/>
      </c>
      <c r="X241" s="35">
        <f>IF($F241="","",IFERROR(INDEX(사건마스터!$AV$5:$AV$64,MATCH($F241,사건마스터!$A$5:$A$64,0)),""))</f>
        <v/>
      </c>
      <c r="Y241" s="30">
        <f>IF($I241="","",COUNTIF($I241:$X241,"?*"))</f>
        <v/>
      </c>
      <c r="Z241" s="33">
        <f>IF($I241="","",_xlfn.TEXTJOIN(", ",TRUE,$I241:$X241))</f>
        <v/>
      </c>
      <c r="AA241" s="34">
        <f>IF($I241="","",IFERROR(INDEX(코드설정!$D$5:$D$24,MATCH($I241,코드설정!$C$5:$C$24,0)),""))</f>
        <v/>
      </c>
      <c r="AB241" s="36" t="n"/>
      <c r="AC241" s="37" t="n"/>
      <c r="AD241" s="38" t="n"/>
      <c r="AE241" s="30">
        <f>IF(OR($B241="",$C241=""),"",$C241-$B241+1)</f>
        <v/>
      </c>
      <c r="AF241" s="32" t="n"/>
      <c r="AG241" s="36" t="n"/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3">
        <f>IF($F242="","",IFERROR(INDEX(사건마스터!$B$5:$B$64,MATCH($F242,사건마스터!$A$5:$A$64,0)),""))</f>
        <v/>
      </c>
      <c r="H242" s="34">
        <f>IF($F242="","",IFERROR(INDEX(사건마스터!$C$5:$C$64,MATCH($F242,사건마스터!$A$5:$A$64,0)),""))</f>
        <v/>
      </c>
      <c r="I242" s="35">
        <f>IF($F242="","",IFERROR(INDEX(사건마스터!$H$5:$H$64,MATCH($F242,사건마스터!$A$5:$A$64,0)),""))</f>
        <v/>
      </c>
      <c r="J242" s="35">
        <f>IF($F242="","",IFERROR(INDEX(사건마스터!$AH$5:$AH$64,MATCH($F242,사건마스터!$A$5:$A$64,0)),""))</f>
        <v/>
      </c>
      <c r="K242" s="35">
        <f>IF($F242="","",IFERROR(INDEX(사건마스터!$AI$5:$AI$64,MATCH($F242,사건마스터!$A$5:$A$64,0)),""))</f>
        <v/>
      </c>
      <c r="L242" s="35">
        <f>IF($F242="","",IFERROR(INDEX(사건마스터!$AJ$5:$AJ$64,MATCH($F242,사건마스터!$A$5:$A$64,0)),""))</f>
        <v/>
      </c>
      <c r="M242" s="35">
        <f>IF($F242="","",IFERROR(INDEX(사건마스터!$AK$5:$AK$64,MATCH($F242,사건마스터!$A$5:$A$64,0)),""))</f>
        <v/>
      </c>
      <c r="N242" s="35">
        <f>IF($F242="","",IFERROR(INDEX(사건마스터!$AL$5:$AL$64,MATCH($F242,사건마스터!$A$5:$A$64,0)),""))</f>
        <v/>
      </c>
      <c r="O242" s="35">
        <f>IF($F242="","",IFERROR(INDEX(사건마스터!$AM$5:$AM$64,MATCH($F242,사건마스터!$A$5:$A$64,0)),""))</f>
        <v/>
      </c>
      <c r="P242" s="35">
        <f>IF($F242="","",IFERROR(INDEX(사건마스터!$AN$5:$AN$64,MATCH($F242,사건마스터!$A$5:$A$64,0)),""))</f>
        <v/>
      </c>
      <c r="Q242" s="35">
        <f>IF($F242="","",IFERROR(INDEX(사건마스터!$AO$5:$AO$64,MATCH($F242,사건마스터!$A$5:$A$64,0)),""))</f>
        <v/>
      </c>
      <c r="R242" s="35">
        <f>IF($F242="","",IFERROR(INDEX(사건마스터!$AP$5:$AP$64,MATCH($F242,사건마스터!$A$5:$A$64,0)),""))</f>
        <v/>
      </c>
      <c r="S242" s="35">
        <f>IF($F242="","",IFERROR(INDEX(사건마스터!$AQ$5:$AQ$64,MATCH($F242,사건마스터!$A$5:$A$64,0)),""))</f>
        <v/>
      </c>
      <c r="T242" s="35">
        <f>IF($F242="","",IFERROR(INDEX(사건마스터!$AR$5:$AR$64,MATCH($F242,사건마스터!$A$5:$A$64,0)),""))</f>
        <v/>
      </c>
      <c r="U242" s="35">
        <f>IF($F242="","",IFERROR(INDEX(사건마스터!$AS$5:$AS$64,MATCH($F242,사건마스터!$A$5:$A$64,0)),""))</f>
        <v/>
      </c>
      <c r="V242" s="35">
        <f>IF($F242="","",IFERROR(INDEX(사건마스터!$AT$5:$AT$64,MATCH($F242,사건마스터!$A$5:$A$64,0)),""))</f>
        <v/>
      </c>
      <c r="W242" s="35">
        <f>IF($F242="","",IFERROR(INDEX(사건마스터!$AU$5:$AU$64,MATCH($F242,사건마스터!$A$5:$A$64,0)),""))</f>
        <v/>
      </c>
      <c r="X242" s="35">
        <f>IF($F242="","",IFERROR(INDEX(사건마스터!$AV$5:$AV$64,MATCH($F242,사건마스터!$A$5:$A$64,0)),""))</f>
        <v/>
      </c>
      <c r="Y242" s="30">
        <f>IF($I242="","",COUNTIF($I242:$X242,"?*"))</f>
        <v/>
      </c>
      <c r="Z242" s="33">
        <f>IF($I242="","",_xlfn.TEXTJOIN(", ",TRUE,$I242:$X242))</f>
        <v/>
      </c>
      <c r="AA242" s="34">
        <f>IF($I242="","",IFERROR(INDEX(코드설정!$D$5:$D$24,MATCH($I242,코드설정!$C$5:$C$24,0)),""))</f>
        <v/>
      </c>
      <c r="AB242" s="36" t="n"/>
      <c r="AC242" s="37" t="n"/>
      <c r="AD242" s="38" t="n"/>
      <c r="AE242" s="30">
        <f>IF(OR($B242="",$C242=""),"",$C242-$B242+1)</f>
        <v/>
      </c>
      <c r="AF242" s="32" t="n"/>
      <c r="AG242" s="36" t="n"/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3">
        <f>IF($F243="","",IFERROR(INDEX(사건마스터!$B$5:$B$64,MATCH($F243,사건마스터!$A$5:$A$64,0)),""))</f>
        <v/>
      </c>
      <c r="H243" s="34">
        <f>IF($F243="","",IFERROR(INDEX(사건마스터!$C$5:$C$64,MATCH($F243,사건마스터!$A$5:$A$64,0)),""))</f>
        <v/>
      </c>
      <c r="I243" s="35">
        <f>IF($F243="","",IFERROR(INDEX(사건마스터!$H$5:$H$64,MATCH($F243,사건마스터!$A$5:$A$64,0)),""))</f>
        <v/>
      </c>
      <c r="J243" s="35">
        <f>IF($F243="","",IFERROR(INDEX(사건마스터!$AH$5:$AH$64,MATCH($F243,사건마스터!$A$5:$A$64,0)),""))</f>
        <v/>
      </c>
      <c r="K243" s="35">
        <f>IF($F243="","",IFERROR(INDEX(사건마스터!$AI$5:$AI$64,MATCH($F243,사건마스터!$A$5:$A$64,0)),""))</f>
        <v/>
      </c>
      <c r="L243" s="35">
        <f>IF($F243="","",IFERROR(INDEX(사건마스터!$AJ$5:$AJ$64,MATCH($F243,사건마스터!$A$5:$A$64,0)),""))</f>
        <v/>
      </c>
      <c r="M243" s="35">
        <f>IF($F243="","",IFERROR(INDEX(사건마스터!$AK$5:$AK$64,MATCH($F243,사건마스터!$A$5:$A$64,0)),""))</f>
        <v/>
      </c>
      <c r="N243" s="35">
        <f>IF($F243="","",IFERROR(INDEX(사건마스터!$AL$5:$AL$64,MATCH($F243,사건마스터!$A$5:$A$64,0)),""))</f>
        <v/>
      </c>
      <c r="O243" s="35">
        <f>IF($F243="","",IFERROR(INDEX(사건마스터!$AM$5:$AM$64,MATCH($F243,사건마스터!$A$5:$A$64,0)),""))</f>
        <v/>
      </c>
      <c r="P243" s="35">
        <f>IF($F243="","",IFERROR(INDEX(사건마스터!$AN$5:$AN$64,MATCH($F243,사건마스터!$A$5:$A$64,0)),""))</f>
        <v/>
      </c>
      <c r="Q243" s="35">
        <f>IF($F243="","",IFERROR(INDEX(사건마스터!$AO$5:$AO$64,MATCH($F243,사건마스터!$A$5:$A$64,0)),""))</f>
        <v/>
      </c>
      <c r="R243" s="35">
        <f>IF($F243="","",IFERROR(INDEX(사건마스터!$AP$5:$AP$64,MATCH($F243,사건마스터!$A$5:$A$64,0)),""))</f>
        <v/>
      </c>
      <c r="S243" s="35">
        <f>IF($F243="","",IFERROR(INDEX(사건마스터!$AQ$5:$AQ$64,MATCH($F243,사건마스터!$A$5:$A$64,0)),""))</f>
        <v/>
      </c>
      <c r="T243" s="35">
        <f>IF($F243="","",IFERROR(INDEX(사건마스터!$AR$5:$AR$64,MATCH($F243,사건마스터!$A$5:$A$64,0)),""))</f>
        <v/>
      </c>
      <c r="U243" s="35">
        <f>IF($F243="","",IFERROR(INDEX(사건마스터!$AS$5:$AS$64,MATCH($F243,사건마스터!$A$5:$A$64,0)),""))</f>
        <v/>
      </c>
      <c r="V243" s="35">
        <f>IF($F243="","",IFERROR(INDEX(사건마스터!$AT$5:$AT$64,MATCH($F243,사건마스터!$A$5:$A$64,0)),""))</f>
        <v/>
      </c>
      <c r="W243" s="35">
        <f>IF($F243="","",IFERROR(INDEX(사건마스터!$AU$5:$AU$64,MATCH($F243,사건마스터!$A$5:$A$64,0)),""))</f>
        <v/>
      </c>
      <c r="X243" s="35">
        <f>IF($F243="","",IFERROR(INDEX(사건마스터!$AV$5:$AV$64,MATCH($F243,사건마스터!$A$5:$A$64,0)),""))</f>
        <v/>
      </c>
      <c r="Y243" s="30">
        <f>IF($I243="","",COUNTIF($I243:$X243,"?*"))</f>
        <v/>
      </c>
      <c r="Z243" s="33">
        <f>IF($I243="","",_xlfn.TEXTJOIN(", ",TRUE,$I243:$X243))</f>
        <v/>
      </c>
      <c r="AA243" s="34">
        <f>IF($I243="","",IFERROR(INDEX(코드설정!$D$5:$D$24,MATCH($I243,코드설정!$C$5:$C$24,0)),""))</f>
        <v/>
      </c>
      <c r="AB243" s="36" t="n"/>
      <c r="AC243" s="37" t="n"/>
      <c r="AD243" s="38" t="n"/>
      <c r="AE243" s="30">
        <f>IF(OR($B243="",$C243=""),"",$C243-$B243+1)</f>
        <v/>
      </c>
      <c r="AF243" s="32" t="n"/>
      <c r="AG243" s="36" t="n"/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3">
        <f>IF($F244="","",IFERROR(INDEX(사건마스터!$B$5:$B$64,MATCH($F244,사건마스터!$A$5:$A$64,0)),""))</f>
        <v/>
      </c>
      <c r="H244" s="34">
        <f>IF($F244="","",IFERROR(INDEX(사건마스터!$C$5:$C$64,MATCH($F244,사건마스터!$A$5:$A$64,0)),""))</f>
        <v/>
      </c>
      <c r="I244" s="35">
        <f>IF($F244="","",IFERROR(INDEX(사건마스터!$H$5:$H$64,MATCH($F244,사건마스터!$A$5:$A$64,0)),""))</f>
        <v/>
      </c>
      <c r="J244" s="35">
        <f>IF($F244="","",IFERROR(INDEX(사건마스터!$AH$5:$AH$64,MATCH($F244,사건마스터!$A$5:$A$64,0)),""))</f>
        <v/>
      </c>
      <c r="K244" s="35">
        <f>IF($F244="","",IFERROR(INDEX(사건마스터!$AI$5:$AI$64,MATCH($F244,사건마스터!$A$5:$A$64,0)),""))</f>
        <v/>
      </c>
      <c r="L244" s="35">
        <f>IF($F244="","",IFERROR(INDEX(사건마스터!$AJ$5:$AJ$64,MATCH($F244,사건마스터!$A$5:$A$64,0)),""))</f>
        <v/>
      </c>
      <c r="M244" s="35">
        <f>IF($F244="","",IFERROR(INDEX(사건마스터!$AK$5:$AK$64,MATCH($F244,사건마스터!$A$5:$A$64,0)),""))</f>
        <v/>
      </c>
      <c r="N244" s="35">
        <f>IF($F244="","",IFERROR(INDEX(사건마스터!$AL$5:$AL$64,MATCH($F244,사건마스터!$A$5:$A$64,0)),""))</f>
        <v/>
      </c>
      <c r="O244" s="35">
        <f>IF($F244="","",IFERROR(INDEX(사건마스터!$AM$5:$AM$64,MATCH($F244,사건마스터!$A$5:$A$64,0)),""))</f>
        <v/>
      </c>
      <c r="P244" s="35">
        <f>IF($F244="","",IFERROR(INDEX(사건마스터!$AN$5:$AN$64,MATCH($F244,사건마스터!$A$5:$A$64,0)),""))</f>
        <v/>
      </c>
      <c r="Q244" s="35">
        <f>IF($F244="","",IFERROR(INDEX(사건마스터!$AO$5:$AO$64,MATCH($F244,사건마스터!$A$5:$A$64,0)),""))</f>
        <v/>
      </c>
      <c r="R244" s="35">
        <f>IF($F244="","",IFERROR(INDEX(사건마스터!$AP$5:$AP$64,MATCH($F244,사건마스터!$A$5:$A$64,0)),""))</f>
        <v/>
      </c>
      <c r="S244" s="35">
        <f>IF($F244="","",IFERROR(INDEX(사건마스터!$AQ$5:$AQ$64,MATCH($F244,사건마스터!$A$5:$A$64,0)),""))</f>
        <v/>
      </c>
      <c r="T244" s="35">
        <f>IF($F244="","",IFERROR(INDEX(사건마스터!$AR$5:$AR$64,MATCH($F244,사건마스터!$A$5:$A$64,0)),""))</f>
        <v/>
      </c>
      <c r="U244" s="35">
        <f>IF($F244="","",IFERROR(INDEX(사건마스터!$AS$5:$AS$64,MATCH($F244,사건마스터!$A$5:$A$64,0)),""))</f>
        <v/>
      </c>
      <c r="V244" s="35">
        <f>IF($F244="","",IFERROR(INDEX(사건마스터!$AT$5:$AT$64,MATCH($F244,사건마스터!$A$5:$A$64,0)),""))</f>
        <v/>
      </c>
      <c r="W244" s="35">
        <f>IF($F244="","",IFERROR(INDEX(사건마스터!$AU$5:$AU$64,MATCH($F244,사건마스터!$A$5:$A$64,0)),""))</f>
        <v/>
      </c>
      <c r="X244" s="35">
        <f>IF($F244="","",IFERROR(INDEX(사건마스터!$AV$5:$AV$64,MATCH($F244,사건마스터!$A$5:$A$64,0)),""))</f>
        <v/>
      </c>
      <c r="Y244" s="30">
        <f>IF($I244="","",COUNTIF($I244:$X244,"?*"))</f>
        <v/>
      </c>
      <c r="Z244" s="33">
        <f>IF($I244="","",_xlfn.TEXTJOIN(", ",TRUE,$I244:$X244))</f>
        <v/>
      </c>
      <c r="AA244" s="34">
        <f>IF($I244="","",IFERROR(INDEX(코드설정!$D$5:$D$24,MATCH($I244,코드설정!$C$5:$C$24,0)),""))</f>
        <v/>
      </c>
      <c r="AB244" s="36" t="n"/>
      <c r="AC244" s="37" t="n"/>
      <c r="AD244" s="38" t="n"/>
      <c r="AE244" s="30">
        <f>IF(OR($B244="",$C244=""),"",$C244-$B244+1)</f>
        <v/>
      </c>
      <c r="AF244" s="32" t="n"/>
      <c r="AG244" s="36" t="n"/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3">
        <f>IF($F245="","",IFERROR(INDEX(사건마스터!$B$5:$B$64,MATCH($F245,사건마스터!$A$5:$A$64,0)),""))</f>
        <v/>
      </c>
      <c r="H245" s="34">
        <f>IF($F245="","",IFERROR(INDEX(사건마스터!$C$5:$C$64,MATCH($F245,사건마스터!$A$5:$A$64,0)),""))</f>
        <v/>
      </c>
      <c r="I245" s="35">
        <f>IF($F245="","",IFERROR(INDEX(사건마스터!$H$5:$H$64,MATCH($F245,사건마스터!$A$5:$A$64,0)),""))</f>
        <v/>
      </c>
      <c r="J245" s="35">
        <f>IF($F245="","",IFERROR(INDEX(사건마스터!$AH$5:$AH$64,MATCH($F245,사건마스터!$A$5:$A$64,0)),""))</f>
        <v/>
      </c>
      <c r="K245" s="35">
        <f>IF($F245="","",IFERROR(INDEX(사건마스터!$AI$5:$AI$64,MATCH($F245,사건마스터!$A$5:$A$64,0)),""))</f>
        <v/>
      </c>
      <c r="L245" s="35">
        <f>IF($F245="","",IFERROR(INDEX(사건마스터!$AJ$5:$AJ$64,MATCH($F245,사건마스터!$A$5:$A$64,0)),""))</f>
        <v/>
      </c>
      <c r="M245" s="35">
        <f>IF($F245="","",IFERROR(INDEX(사건마스터!$AK$5:$AK$64,MATCH($F245,사건마스터!$A$5:$A$64,0)),""))</f>
        <v/>
      </c>
      <c r="N245" s="35">
        <f>IF($F245="","",IFERROR(INDEX(사건마스터!$AL$5:$AL$64,MATCH($F245,사건마스터!$A$5:$A$64,0)),""))</f>
        <v/>
      </c>
      <c r="O245" s="35">
        <f>IF($F245="","",IFERROR(INDEX(사건마스터!$AM$5:$AM$64,MATCH($F245,사건마스터!$A$5:$A$64,0)),""))</f>
        <v/>
      </c>
      <c r="P245" s="35">
        <f>IF($F245="","",IFERROR(INDEX(사건마스터!$AN$5:$AN$64,MATCH($F245,사건마스터!$A$5:$A$64,0)),""))</f>
        <v/>
      </c>
      <c r="Q245" s="35">
        <f>IF($F245="","",IFERROR(INDEX(사건마스터!$AO$5:$AO$64,MATCH($F245,사건마스터!$A$5:$A$64,0)),""))</f>
        <v/>
      </c>
      <c r="R245" s="35">
        <f>IF($F245="","",IFERROR(INDEX(사건마스터!$AP$5:$AP$64,MATCH($F245,사건마스터!$A$5:$A$64,0)),""))</f>
        <v/>
      </c>
      <c r="S245" s="35">
        <f>IF($F245="","",IFERROR(INDEX(사건마스터!$AQ$5:$AQ$64,MATCH($F245,사건마스터!$A$5:$A$64,0)),""))</f>
        <v/>
      </c>
      <c r="T245" s="35">
        <f>IF($F245="","",IFERROR(INDEX(사건마스터!$AR$5:$AR$64,MATCH($F245,사건마스터!$A$5:$A$64,0)),""))</f>
        <v/>
      </c>
      <c r="U245" s="35">
        <f>IF($F245="","",IFERROR(INDEX(사건마스터!$AS$5:$AS$64,MATCH($F245,사건마스터!$A$5:$A$64,0)),""))</f>
        <v/>
      </c>
      <c r="V245" s="35">
        <f>IF($F245="","",IFERROR(INDEX(사건마스터!$AT$5:$AT$64,MATCH($F245,사건마스터!$A$5:$A$64,0)),""))</f>
        <v/>
      </c>
      <c r="W245" s="35">
        <f>IF($F245="","",IFERROR(INDEX(사건마스터!$AU$5:$AU$64,MATCH($F245,사건마스터!$A$5:$A$64,0)),""))</f>
        <v/>
      </c>
      <c r="X245" s="35">
        <f>IF($F245="","",IFERROR(INDEX(사건마스터!$AV$5:$AV$64,MATCH($F245,사건마스터!$A$5:$A$64,0)),""))</f>
        <v/>
      </c>
      <c r="Y245" s="30">
        <f>IF($I245="","",COUNTIF($I245:$X245,"?*"))</f>
        <v/>
      </c>
      <c r="Z245" s="33">
        <f>IF($I245="","",_xlfn.TEXTJOIN(", ",TRUE,$I245:$X245))</f>
        <v/>
      </c>
      <c r="AA245" s="34">
        <f>IF($I245="","",IFERROR(INDEX(코드설정!$D$5:$D$24,MATCH($I245,코드설정!$C$5:$C$24,0)),""))</f>
        <v/>
      </c>
      <c r="AB245" s="36" t="n"/>
      <c r="AC245" s="37" t="n"/>
      <c r="AD245" s="38" t="n"/>
      <c r="AE245" s="30">
        <f>IF(OR($B245="",$C245=""),"",$C245-$B245+1)</f>
        <v/>
      </c>
      <c r="AF245" s="32" t="n"/>
      <c r="AG245" s="36" t="n"/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3">
        <f>IF($F246="","",IFERROR(INDEX(사건마스터!$B$5:$B$64,MATCH($F246,사건마스터!$A$5:$A$64,0)),""))</f>
        <v/>
      </c>
      <c r="H246" s="34">
        <f>IF($F246="","",IFERROR(INDEX(사건마스터!$C$5:$C$64,MATCH($F246,사건마스터!$A$5:$A$64,0)),""))</f>
        <v/>
      </c>
      <c r="I246" s="35">
        <f>IF($F246="","",IFERROR(INDEX(사건마스터!$H$5:$H$64,MATCH($F246,사건마스터!$A$5:$A$64,0)),""))</f>
        <v/>
      </c>
      <c r="J246" s="35">
        <f>IF($F246="","",IFERROR(INDEX(사건마스터!$AH$5:$AH$64,MATCH($F246,사건마스터!$A$5:$A$64,0)),""))</f>
        <v/>
      </c>
      <c r="K246" s="35">
        <f>IF($F246="","",IFERROR(INDEX(사건마스터!$AI$5:$AI$64,MATCH($F246,사건마스터!$A$5:$A$64,0)),""))</f>
        <v/>
      </c>
      <c r="L246" s="35">
        <f>IF($F246="","",IFERROR(INDEX(사건마스터!$AJ$5:$AJ$64,MATCH($F246,사건마스터!$A$5:$A$64,0)),""))</f>
        <v/>
      </c>
      <c r="M246" s="35">
        <f>IF($F246="","",IFERROR(INDEX(사건마스터!$AK$5:$AK$64,MATCH($F246,사건마스터!$A$5:$A$64,0)),""))</f>
        <v/>
      </c>
      <c r="N246" s="35">
        <f>IF($F246="","",IFERROR(INDEX(사건마스터!$AL$5:$AL$64,MATCH($F246,사건마스터!$A$5:$A$64,0)),""))</f>
        <v/>
      </c>
      <c r="O246" s="35">
        <f>IF($F246="","",IFERROR(INDEX(사건마스터!$AM$5:$AM$64,MATCH($F246,사건마스터!$A$5:$A$64,0)),""))</f>
        <v/>
      </c>
      <c r="P246" s="35">
        <f>IF($F246="","",IFERROR(INDEX(사건마스터!$AN$5:$AN$64,MATCH($F246,사건마스터!$A$5:$A$64,0)),""))</f>
        <v/>
      </c>
      <c r="Q246" s="35">
        <f>IF($F246="","",IFERROR(INDEX(사건마스터!$AO$5:$AO$64,MATCH($F246,사건마스터!$A$5:$A$64,0)),""))</f>
        <v/>
      </c>
      <c r="R246" s="35">
        <f>IF($F246="","",IFERROR(INDEX(사건마스터!$AP$5:$AP$64,MATCH($F246,사건마스터!$A$5:$A$64,0)),""))</f>
        <v/>
      </c>
      <c r="S246" s="35">
        <f>IF($F246="","",IFERROR(INDEX(사건마스터!$AQ$5:$AQ$64,MATCH($F246,사건마스터!$A$5:$A$64,0)),""))</f>
        <v/>
      </c>
      <c r="T246" s="35">
        <f>IF($F246="","",IFERROR(INDEX(사건마스터!$AR$5:$AR$64,MATCH($F246,사건마스터!$A$5:$A$64,0)),""))</f>
        <v/>
      </c>
      <c r="U246" s="35">
        <f>IF($F246="","",IFERROR(INDEX(사건마스터!$AS$5:$AS$64,MATCH($F246,사건마스터!$A$5:$A$64,0)),""))</f>
        <v/>
      </c>
      <c r="V246" s="35">
        <f>IF($F246="","",IFERROR(INDEX(사건마스터!$AT$5:$AT$64,MATCH($F246,사건마스터!$A$5:$A$64,0)),""))</f>
        <v/>
      </c>
      <c r="W246" s="35">
        <f>IF($F246="","",IFERROR(INDEX(사건마스터!$AU$5:$AU$64,MATCH($F246,사건마스터!$A$5:$A$64,0)),""))</f>
        <v/>
      </c>
      <c r="X246" s="35">
        <f>IF($F246="","",IFERROR(INDEX(사건마스터!$AV$5:$AV$64,MATCH($F246,사건마스터!$A$5:$A$64,0)),""))</f>
        <v/>
      </c>
      <c r="Y246" s="30">
        <f>IF($I246="","",COUNTIF($I246:$X246,"?*"))</f>
        <v/>
      </c>
      <c r="Z246" s="33">
        <f>IF($I246="","",_xlfn.TEXTJOIN(", ",TRUE,$I246:$X246))</f>
        <v/>
      </c>
      <c r="AA246" s="34">
        <f>IF($I246="","",IFERROR(INDEX(코드설정!$D$5:$D$24,MATCH($I246,코드설정!$C$5:$C$24,0)),""))</f>
        <v/>
      </c>
      <c r="AB246" s="36" t="n"/>
      <c r="AC246" s="37" t="n"/>
      <c r="AD246" s="38" t="n"/>
      <c r="AE246" s="30">
        <f>IF(OR($B246="",$C246=""),"",$C246-$B246+1)</f>
        <v/>
      </c>
      <c r="AF246" s="32" t="n"/>
      <c r="AG246" s="36" t="n"/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3">
        <f>IF($F247="","",IFERROR(INDEX(사건마스터!$B$5:$B$64,MATCH($F247,사건마스터!$A$5:$A$64,0)),""))</f>
        <v/>
      </c>
      <c r="H247" s="34">
        <f>IF($F247="","",IFERROR(INDEX(사건마스터!$C$5:$C$64,MATCH($F247,사건마스터!$A$5:$A$64,0)),""))</f>
        <v/>
      </c>
      <c r="I247" s="35">
        <f>IF($F247="","",IFERROR(INDEX(사건마스터!$H$5:$H$64,MATCH($F247,사건마스터!$A$5:$A$64,0)),""))</f>
        <v/>
      </c>
      <c r="J247" s="35">
        <f>IF($F247="","",IFERROR(INDEX(사건마스터!$AH$5:$AH$64,MATCH($F247,사건마스터!$A$5:$A$64,0)),""))</f>
        <v/>
      </c>
      <c r="K247" s="35">
        <f>IF($F247="","",IFERROR(INDEX(사건마스터!$AI$5:$AI$64,MATCH($F247,사건마스터!$A$5:$A$64,0)),""))</f>
        <v/>
      </c>
      <c r="L247" s="35">
        <f>IF($F247="","",IFERROR(INDEX(사건마스터!$AJ$5:$AJ$64,MATCH($F247,사건마스터!$A$5:$A$64,0)),""))</f>
        <v/>
      </c>
      <c r="M247" s="35">
        <f>IF($F247="","",IFERROR(INDEX(사건마스터!$AK$5:$AK$64,MATCH($F247,사건마스터!$A$5:$A$64,0)),""))</f>
        <v/>
      </c>
      <c r="N247" s="35">
        <f>IF($F247="","",IFERROR(INDEX(사건마스터!$AL$5:$AL$64,MATCH($F247,사건마스터!$A$5:$A$64,0)),""))</f>
        <v/>
      </c>
      <c r="O247" s="35">
        <f>IF($F247="","",IFERROR(INDEX(사건마스터!$AM$5:$AM$64,MATCH($F247,사건마스터!$A$5:$A$64,0)),""))</f>
        <v/>
      </c>
      <c r="P247" s="35">
        <f>IF($F247="","",IFERROR(INDEX(사건마스터!$AN$5:$AN$64,MATCH($F247,사건마스터!$A$5:$A$64,0)),""))</f>
        <v/>
      </c>
      <c r="Q247" s="35">
        <f>IF($F247="","",IFERROR(INDEX(사건마스터!$AO$5:$AO$64,MATCH($F247,사건마스터!$A$5:$A$64,0)),""))</f>
        <v/>
      </c>
      <c r="R247" s="35">
        <f>IF($F247="","",IFERROR(INDEX(사건마스터!$AP$5:$AP$64,MATCH($F247,사건마스터!$A$5:$A$64,0)),""))</f>
        <v/>
      </c>
      <c r="S247" s="35">
        <f>IF($F247="","",IFERROR(INDEX(사건마스터!$AQ$5:$AQ$64,MATCH($F247,사건마스터!$A$5:$A$64,0)),""))</f>
        <v/>
      </c>
      <c r="T247" s="35">
        <f>IF($F247="","",IFERROR(INDEX(사건마스터!$AR$5:$AR$64,MATCH($F247,사건마스터!$A$5:$A$64,0)),""))</f>
        <v/>
      </c>
      <c r="U247" s="35">
        <f>IF($F247="","",IFERROR(INDEX(사건마스터!$AS$5:$AS$64,MATCH($F247,사건마스터!$A$5:$A$64,0)),""))</f>
        <v/>
      </c>
      <c r="V247" s="35">
        <f>IF($F247="","",IFERROR(INDEX(사건마스터!$AT$5:$AT$64,MATCH($F247,사건마스터!$A$5:$A$64,0)),""))</f>
        <v/>
      </c>
      <c r="W247" s="35">
        <f>IF($F247="","",IFERROR(INDEX(사건마스터!$AU$5:$AU$64,MATCH($F247,사건마스터!$A$5:$A$64,0)),""))</f>
        <v/>
      </c>
      <c r="X247" s="35">
        <f>IF($F247="","",IFERROR(INDEX(사건마스터!$AV$5:$AV$64,MATCH($F247,사건마스터!$A$5:$A$64,0)),""))</f>
        <v/>
      </c>
      <c r="Y247" s="30">
        <f>IF($I247="","",COUNTIF($I247:$X247,"?*"))</f>
        <v/>
      </c>
      <c r="Z247" s="33">
        <f>IF($I247="","",_xlfn.TEXTJOIN(", ",TRUE,$I247:$X247))</f>
        <v/>
      </c>
      <c r="AA247" s="34">
        <f>IF($I247="","",IFERROR(INDEX(코드설정!$D$5:$D$24,MATCH($I247,코드설정!$C$5:$C$24,0)),""))</f>
        <v/>
      </c>
      <c r="AB247" s="36" t="n"/>
      <c r="AC247" s="37" t="n"/>
      <c r="AD247" s="38" t="n"/>
      <c r="AE247" s="30">
        <f>IF(OR($B247="",$C247=""),"",$C247-$B247+1)</f>
        <v/>
      </c>
      <c r="AF247" s="32" t="n"/>
      <c r="AG247" s="36" t="n"/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3">
        <f>IF($F248="","",IFERROR(INDEX(사건마스터!$B$5:$B$64,MATCH($F248,사건마스터!$A$5:$A$64,0)),""))</f>
        <v/>
      </c>
      <c r="H248" s="34">
        <f>IF($F248="","",IFERROR(INDEX(사건마스터!$C$5:$C$64,MATCH($F248,사건마스터!$A$5:$A$64,0)),""))</f>
        <v/>
      </c>
      <c r="I248" s="35">
        <f>IF($F248="","",IFERROR(INDEX(사건마스터!$H$5:$H$64,MATCH($F248,사건마스터!$A$5:$A$64,0)),""))</f>
        <v/>
      </c>
      <c r="J248" s="35">
        <f>IF($F248="","",IFERROR(INDEX(사건마스터!$AH$5:$AH$64,MATCH($F248,사건마스터!$A$5:$A$64,0)),""))</f>
        <v/>
      </c>
      <c r="K248" s="35">
        <f>IF($F248="","",IFERROR(INDEX(사건마스터!$AI$5:$AI$64,MATCH($F248,사건마스터!$A$5:$A$64,0)),""))</f>
        <v/>
      </c>
      <c r="L248" s="35">
        <f>IF($F248="","",IFERROR(INDEX(사건마스터!$AJ$5:$AJ$64,MATCH($F248,사건마스터!$A$5:$A$64,0)),""))</f>
        <v/>
      </c>
      <c r="M248" s="35">
        <f>IF($F248="","",IFERROR(INDEX(사건마스터!$AK$5:$AK$64,MATCH($F248,사건마스터!$A$5:$A$64,0)),""))</f>
        <v/>
      </c>
      <c r="N248" s="35">
        <f>IF($F248="","",IFERROR(INDEX(사건마스터!$AL$5:$AL$64,MATCH($F248,사건마스터!$A$5:$A$64,0)),""))</f>
        <v/>
      </c>
      <c r="O248" s="35">
        <f>IF($F248="","",IFERROR(INDEX(사건마스터!$AM$5:$AM$64,MATCH($F248,사건마스터!$A$5:$A$64,0)),""))</f>
        <v/>
      </c>
      <c r="P248" s="35">
        <f>IF($F248="","",IFERROR(INDEX(사건마스터!$AN$5:$AN$64,MATCH($F248,사건마스터!$A$5:$A$64,0)),""))</f>
        <v/>
      </c>
      <c r="Q248" s="35">
        <f>IF($F248="","",IFERROR(INDEX(사건마스터!$AO$5:$AO$64,MATCH($F248,사건마스터!$A$5:$A$64,0)),""))</f>
        <v/>
      </c>
      <c r="R248" s="35">
        <f>IF($F248="","",IFERROR(INDEX(사건마스터!$AP$5:$AP$64,MATCH($F248,사건마스터!$A$5:$A$64,0)),""))</f>
        <v/>
      </c>
      <c r="S248" s="35">
        <f>IF($F248="","",IFERROR(INDEX(사건마스터!$AQ$5:$AQ$64,MATCH($F248,사건마스터!$A$5:$A$64,0)),""))</f>
        <v/>
      </c>
      <c r="T248" s="35">
        <f>IF($F248="","",IFERROR(INDEX(사건마스터!$AR$5:$AR$64,MATCH($F248,사건마스터!$A$5:$A$64,0)),""))</f>
        <v/>
      </c>
      <c r="U248" s="35">
        <f>IF($F248="","",IFERROR(INDEX(사건마스터!$AS$5:$AS$64,MATCH($F248,사건마스터!$A$5:$A$64,0)),""))</f>
        <v/>
      </c>
      <c r="V248" s="35">
        <f>IF($F248="","",IFERROR(INDEX(사건마스터!$AT$5:$AT$64,MATCH($F248,사건마스터!$A$5:$A$64,0)),""))</f>
        <v/>
      </c>
      <c r="W248" s="35">
        <f>IF($F248="","",IFERROR(INDEX(사건마스터!$AU$5:$AU$64,MATCH($F248,사건마스터!$A$5:$A$64,0)),""))</f>
        <v/>
      </c>
      <c r="X248" s="35">
        <f>IF($F248="","",IFERROR(INDEX(사건마스터!$AV$5:$AV$64,MATCH($F248,사건마스터!$A$5:$A$64,0)),""))</f>
        <v/>
      </c>
      <c r="Y248" s="30">
        <f>IF($I248="","",COUNTIF($I248:$X248,"?*"))</f>
        <v/>
      </c>
      <c r="Z248" s="33">
        <f>IF($I248="","",_xlfn.TEXTJOIN(", ",TRUE,$I248:$X248))</f>
        <v/>
      </c>
      <c r="AA248" s="34">
        <f>IF($I248="","",IFERROR(INDEX(코드설정!$D$5:$D$24,MATCH($I248,코드설정!$C$5:$C$24,0)),""))</f>
        <v/>
      </c>
      <c r="AB248" s="36" t="n"/>
      <c r="AC248" s="37" t="n"/>
      <c r="AD248" s="38" t="n"/>
      <c r="AE248" s="30">
        <f>IF(OR($B248="",$C248=""),"",$C248-$B248+1)</f>
        <v/>
      </c>
      <c r="AF248" s="32" t="n"/>
      <c r="AG248" s="36" t="n"/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3">
        <f>IF($F249="","",IFERROR(INDEX(사건마스터!$B$5:$B$64,MATCH($F249,사건마스터!$A$5:$A$64,0)),""))</f>
        <v/>
      </c>
      <c r="H249" s="34">
        <f>IF($F249="","",IFERROR(INDEX(사건마스터!$C$5:$C$64,MATCH($F249,사건마스터!$A$5:$A$64,0)),""))</f>
        <v/>
      </c>
      <c r="I249" s="35">
        <f>IF($F249="","",IFERROR(INDEX(사건마스터!$H$5:$H$64,MATCH($F249,사건마스터!$A$5:$A$64,0)),""))</f>
        <v/>
      </c>
      <c r="J249" s="35">
        <f>IF($F249="","",IFERROR(INDEX(사건마스터!$AH$5:$AH$64,MATCH($F249,사건마스터!$A$5:$A$64,0)),""))</f>
        <v/>
      </c>
      <c r="K249" s="35">
        <f>IF($F249="","",IFERROR(INDEX(사건마스터!$AI$5:$AI$64,MATCH($F249,사건마스터!$A$5:$A$64,0)),""))</f>
        <v/>
      </c>
      <c r="L249" s="35">
        <f>IF($F249="","",IFERROR(INDEX(사건마스터!$AJ$5:$AJ$64,MATCH($F249,사건마스터!$A$5:$A$64,0)),""))</f>
        <v/>
      </c>
      <c r="M249" s="35">
        <f>IF($F249="","",IFERROR(INDEX(사건마스터!$AK$5:$AK$64,MATCH($F249,사건마스터!$A$5:$A$64,0)),""))</f>
        <v/>
      </c>
      <c r="N249" s="35">
        <f>IF($F249="","",IFERROR(INDEX(사건마스터!$AL$5:$AL$64,MATCH($F249,사건마스터!$A$5:$A$64,0)),""))</f>
        <v/>
      </c>
      <c r="O249" s="35">
        <f>IF($F249="","",IFERROR(INDEX(사건마스터!$AM$5:$AM$64,MATCH($F249,사건마스터!$A$5:$A$64,0)),""))</f>
        <v/>
      </c>
      <c r="P249" s="35">
        <f>IF($F249="","",IFERROR(INDEX(사건마스터!$AN$5:$AN$64,MATCH($F249,사건마스터!$A$5:$A$64,0)),""))</f>
        <v/>
      </c>
      <c r="Q249" s="35">
        <f>IF($F249="","",IFERROR(INDEX(사건마스터!$AO$5:$AO$64,MATCH($F249,사건마스터!$A$5:$A$64,0)),""))</f>
        <v/>
      </c>
      <c r="R249" s="35">
        <f>IF($F249="","",IFERROR(INDEX(사건마스터!$AP$5:$AP$64,MATCH($F249,사건마스터!$A$5:$A$64,0)),""))</f>
        <v/>
      </c>
      <c r="S249" s="35">
        <f>IF($F249="","",IFERROR(INDEX(사건마스터!$AQ$5:$AQ$64,MATCH($F249,사건마스터!$A$5:$A$64,0)),""))</f>
        <v/>
      </c>
      <c r="T249" s="35">
        <f>IF($F249="","",IFERROR(INDEX(사건마스터!$AR$5:$AR$64,MATCH($F249,사건마스터!$A$5:$A$64,0)),""))</f>
        <v/>
      </c>
      <c r="U249" s="35">
        <f>IF($F249="","",IFERROR(INDEX(사건마스터!$AS$5:$AS$64,MATCH($F249,사건마스터!$A$5:$A$64,0)),""))</f>
        <v/>
      </c>
      <c r="V249" s="35">
        <f>IF($F249="","",IFERROR(INDEX(사건마스터!$AT$5:$AT$64,MATCH($F249,사건마스터!$A$5:$A$64,0)),""))</f>
        <v/>
      </c>
      <c r="W249" s="35">
        <f>IF($F249="","",IFERROR(INDEX(사건마스터!$AU$5:$AU$64,MATCH($F249,사건마스터!$A$5:$A$64,0)),""))</f>
        <v/>
      </c>
      <c r="X249" s="35">
        <f>IF($F249="","",IFERROR(INDEX(사건마스터!$AV$5:$AV$64,MATCH($F249,사건마스터!$A$5:$A$64,0)),""))</f>
        <v/>
      </c>
      <c r="Y249" s="30">
        <f>IF($I249="","",COUNTIF($I249:$X249,"?*"))</f>
        <v/>
      </c>
      <c r="Z249" s="33">
        <f>IF($I249="","",_xlfn.TEXTJOIN(", ",TRUE,$I249:$X249))</f>
        <v/>
      </c>
      <c r="AA249" s="34">
        <f>IF($I249="","",IFERROR(INDEX(코드설정!$D$5:$D$24,MATCH($I249,코드설정!$C$5:$C$24,0)),""))</f>
        <v/>
      </c>
      <c r="AB249" s="36" t="n"/>
      <c r="AC249" s="37" t="n"/>
      <c r="AD249" s="38" t="n"/>
      <c r="AE249" s="30">
        <f>IF(OR($B249="",$C249=""),"",$C249-$B249+1)</f>
        <v/>
      </c>
      <c r="AF249" s="32" t="n"/>
      <c r="AG249" s="36" t="n"/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3">
        <f>IF($F250="","",IFERROR(INDEX(사건마스터!$B$5:$B$64,MATCH($F250,사건마스터!$A$5:$A$64,0)),""))</f>
        <v/>
      </c>
      <c r="H250" s="34">
        <f>IF($F250="","",IFERROR(INDEX(사건마스터!$C$5:$C$64,MATCH($F250,사건마스터!$A$5:$A$64,0)),""))</f>
        <v/>
      </c>
      <c r="I250" s="35">
        <f>IF($F250="","",IFERROR(INDEX(사건마스터!$H$5:$H$64,MATCH($F250,사건마스터!$A$5:$A$64,0)),""))</f>
        <v/>
      </c>
      <c r="J250" s="35">
        <f>IF($F250="","",IFERROR(INDEX(사건마스터!$AH$5:$AH$64,MATCH($F250,사건마스터!$A$5:$A$64,0)),""))</f>
        <v/>
      </c>
      <c r="K250" s="35">
        <f>IF($F250="","",IFERROR(INDEX(사건마스터!$AI$5:$AI$64,MATCH($F250,사건마스터!$A$5:$A$64,0)),""))</f>
        <v/>
      </c>
      <c r="L250" s="35">
        <f>IF($F250="","",IFERROR(INDEX(사건마스터!$AJ$5:$AJ$64,MATCH($F250,사건마스터!$A$5:$A$64,0)),""))</f>
        <v/>
      </c>
      <c r="M250" s="35">
        <f>IF($F250="","",IFERROR(INDEX(사건마스터!$AK$5:$AK$64,MATCH($F250,사건마스터!$A$5:$A$64,0)),""))</f>
        <v/>
      </c>
      <c r="N250" s="35">
        <f>IF($F250="","",IFERROR(INDEX(사건마스터!$AL$5:$AL$64,MATCH($F250,사건마스터!$A$5:$A$64,0)),""))</f>
        <v/>
      </c>
      <c r="O250" s="35">
        <f>IF($F250="","",IFERROR(INDEX(사건마스터!$AM$5:$AM$64,MATCH($F250,사건마스터!$A$5:$A$64,0)),""))</f>
        <v/>
      </c>
      <c r="P250" s="35">
        <f>IF($F250="","",IFERROR(INDEX(사건마스터!$AN$5:$AN$64,MATCH($F250,사건마스터!$A$5:$A$64,0)),""))</f>
        <v/>
      </c>
      <c r="Q250" s="35">
        <f>IF($F250="","",IFERROR(INDEX(사건마스터!$AO$5:$AO$64,MATCH($F250,사건마스터!$A$5:$A$64,0)),""))</f>
        <v/>
      </c>
      <c r="R250" s="35">
        <f>IF($F250="","",IFERROR(INDEX(사건마스터!$AP$5:$AP$64,MATCH($F250,사건마스터!$A$5:$A$64,0)),""))</f>
        <v/>
      </c>
      <c r="S250" s="35">
        <f>IF($F250="","",IFERROR(INDEX(사건마스터!$AQ$5:$AQ$64,MATCH($F250,사건마스터!$A$5:$A$64,0)),""))</f>
        <v/>
      </c>
      <c r="T250" s="35">
        <f>IF($F250="","",IFERROR(INDEX(사건마스터!$AR$5:$AR$64,MATCH($F250,사건마스터!$A$5:$A$64,0)),""))</f>
        <v/>
      </c>
      <c r="U250" s="35">
        <f>IF($F250="","",IFERROR(INDEX(사건마스터!$AS$5:$AS$64,MATCH($F250,사건마스터!$A$5:$A$64,0)),""))</f>
        <v/>
      </c>
      <c r="V250" s="35">
        <f>IF($F250="","",IFERROR(INDEX(사건마스터!$AT$5:$AT$64,MATCH($F250,사건마스터!$A$5:$A$64,0)),""))</f>
        <v/>
      </c>
      <c r="W250" s="35">
        <f>IF($F250="","",IFERROR(INDEX(사건마스터!$AU$5:$AU$64,MATCH($F250,사건마스터!$A$5:$A$64,0)),""))</f>
        <v/>
      </c>
      <c r="X250" s="35">
        <f>IF($F250="","",IFERROR(INDEX(사건마스터!$AV$5:$AV$64,MATCH($F250,사건마스터!$A$5:$A$64,0)),""))</f>
        <v/>
      </c>
      <c r="Y250" s="30">
        <f>IF($I250="","",COUNTIF($I250:$X250,"?*"))</f>
        <v/>
      </c>
      <c r="Z250" s="33">
        <f>IF($I250="","",_xlfn.TEXTJOIN(", ",TRUE,$I250:$X250))</f>
        <v/>
      </c>
      <c r="AA250" s="34">
        <f>IF($I250="","",IFERROR(INDEX(코드설정!$D$5:$D$24,MATCH($I250,코드설정!$C$5:$C$24,0)),""))</f>
        <v/>
      </c>
      <c r="AB250" s="36" t="n"/>
      <c r="AC250" s="37" t="n"/>
      <c r="AD250" s="38" t="n"/>
      <c r="AE250" s="30">
        <f>IF(OR($B250="",$C250=""),"",$C250-$B250+1)</f>
        <v/>
      </c>
      <c r="AF250" s="32" t="n"/>
      <c r="AG250" s="36" t="n"/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3">
        <f>IF($F251="","",IFERROR(INDEX(사건마스터!$B$5:$B$64,MATCH($F251,사건마스터!$A$5:$A$64,0)),""))</f>
        <v/>
      </c>
      <c r="H251" s="34">
        <f>IF($F251="","",IFERROR(INDEX(사건마스터!$C$5:$C$64,MATCH($F251,사건마스터!$A$5:$A$64,0)),""))</f>
        <v/>
      </c>
      <c r="I251" s="35">
        <f>IF($F251="","",IFERROR(INDEX(사건마스터!$H$5:$H$64,MATCH($F251,사건마스터!$A$5:$A$64,0)),""))</f>
        <v/>
      </c>
      <c r="J251" s="35">
        <f>IF($F251="","",IFERROR(INDEX(사건마스터!$AH$5:$AH$64,MATCH($F251,사건마스터!$A$5:$A$64,0)),""))</f>
        <v/>
      </c>
      <c r="K251" s="35">
        <f>IF($F251="","",IFERROR(INDEX(사건마스터!$AI$5:$AI$64,MATCH($F251,사건마스터!$A$5:$A$64,0)),""))</f>
        <v/>
      </c>
      <c r="L251" s="35">
        <f>IF($F251="","",IFERROR(INDEX(사건마스터!$AJ$5:$AJ$64,MATCH($F251,사건마스터!$A$5:$A$64,0)),""))</f>
        <v/>
      </c>
      <c r="M251" s="35">
        <f>IF($F251="","",IFERROR(INDEX(사건마스터!$AK$5:$AK$64,MATCH($F251,사건마스터!$A$5:$A$64,0)),""))</f>
        <v/>
      </c>
      <c r="N251" s="35">
        <f>IF($F251="","",IFERROR(INDEX(사건마스터!$AL$5:$AL$64,MATCH($F251,사건마스터!$A$5:$A$64,0)),""))</f>
        <v/>
      </c>
      <c r="O251" s="35">
        <f>IF($F251="","",IFERROR(INDEX(사건마스터!$AM$5:$AM$64,MATCH($F251,사건마스터!$A$5:$A$64,0)),""))</f>
        <v/>
      </c>
      <c r="P251" s="35">
        <f>IF($F251="","",IFERROR(INDEX(사건마스터!$AN$5:$AN$64,MATCH($F251,사건마스터!$A$5:$A$64,0)),""))</f>
        <v/>
      </c>
      <c r="Q251" s="35">
        <f>IF($F251="","",IFERROR(INDEX(사건마스터!$AO$5:$AO$64,MATCH($F251,사건마스터!$A$5:$A$64,0)),""))</f>
        <v/>
      </c>
      <c r="R251" s="35">
        <f>IF($F251="","",IFERROR(INDEX(사건마스터!$AP$5:$AP$64,MATCH($F251,사건마스터!$A$5:$A$64,0)),""))</f>
        <v/>
      </c>
      <c r="S251" s="35">
        <f>IF($F251="","",IFERROR(INDEX(사건마스터!$AQ$5:$AQ$64,MATCH($F251,사건마스터!$A$5:$A$64,0)),""))</f>
        <v/>
      </c>
      <c r="T251" s="35">
        <f>IF($F251="","",IFERROR(INDEX(사건마스터!$AR$5:$AR$64,MATCH($F251,사건마스터!$A$5:$A$64,0)),""))</f>
        <v/>
      </c>
      <c r="U251" s="35">
        <f>IF($F251="","",IFERROR(INDEX(사건마스터!$AS$5:$AS$64,MATCH($F251,사건마스터!$A$5:$A$64,0)),""))</f>
        <v/>
      </c>
      <c r="V251" s="35">
        <f>IF($F251="","",IFERROR(INDEX(사건마스터!$AT$5:$AT$64,MATCH($F251,사건마스터!$A$5:$A$64,0)),""))</f>
        <v/>
      </c>
      <c r="W251" s="35">
        <f>IF($F251="","",IFERROR(INDEX(사건마스터!$AU$5:$AU$64,MATCH($F251,사건마스터!$A$5:$A$64,0)),""))</f>
        <v/>
      </c>
      <c r="X251" s="35">
        <f>IF($F251="","",IFERROR(INDEX(사건마스터!$AV$5:$AV$64,MATCH($F251,사건마스터!$A$5:$A$64,0)),""))</f>
        <v/>
      </c>
      <c r="Y251" s="30">
        <f>IF($I251="","",COUNTIF($I251:$X251,"?*"))</f>
        <v/>
      </c>
      <c r="Z251" s="33">
        <f>IF($I251="","",_xlfn.TEXTJOIN(", ",TRUE,$I251:$X251))</f>
        <v/>
      </c>
      <c r="AA251" s="34">
        <f>IF($I251="","",IFERROR(INDEX(코드설정!$D$5:$D$24,MATCH($I251,코드설정!$C$5:$C$24,0)),""))</f>
        <v/>
      </c>
      <c r="AB251" s="36" t="n"/>
      <c r="AC251" s="37" t="n"/>
      <c r="AD251" s="38" t="n"/>
      <c r="AE251" s="30">
        <f>IF(OR($B251="",$C251=""),"",$C251-$B251+1)</f>
        <v/>
      </c>
      <c r="AF251" s="32" t="n"/>
      <c r="AG251" s="36" t="n"/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3">
        <f>IF($F252="","",IFERROR(INDEX(사건마스터!$B$5:$B$64,MATCH($F252,사건마스터!$A$5:$A$64,0)),""))</f>
        <v/>
      </c>
      <c r="H252" s="34">
        <f>IF($F252="","",IFERROR(INDEX(사건마스터!$C$5:$C$64,MATCH($F252,사건마스터!$A$5:$A$64,0)),""))</f>
        <v/>
      </c>
      <c r="I252" s="35">
        <f>IF($F252="","",IFERROR(INDEX(사건마스터!$H$5:$H$64,MATCH($F252,사건마스터!$A$5:$A$64,0)),""))</f>
        <v/>
      </c>
      <c r="J252" s="35">
        <f>IF($F252="","",IFERROR(INDEX(사건마스터!$AH$5:$AH$64,MATCH($F252,사건마스터!$A$5:$A$64,0)),""))</f>
        <v/>
      </c>
      <c r="K252" s="35">
        <f>IF($F252="","",IFERROR(INDEX(사건마스터!$AI$5:$AI$64,MATCH($F252,사건마스터!$A$5:$A$64,0)),""))</f>
        <v/>
      </c>
      <c r="L252" s="35">
        <f>IF($F252="","",IFERROR(INDEX(사건마스터!$AJ$5:$AJ$64,MATCH($F252,사건마스터!$A$5:$A$64,0)),""))</f>
        <v/>
      </c>
      <c r="M252" s="35">
        <f>IF($F252="","",IFERROR(INDEX(사건마스터!$AK$5:$AK$64,MATCH($F252,사건마스터!$A$5:$A$64,0)),""))</f>
        <v/>
      </c>
      <c r="N252" s="35">
        <f>IF($F252="","",IFERROR(INDEX(사건마스터!$AL$5:$AL$64,MATCH($F252,사건마스터!$A$5:$A$64,0)),""))</f>
        <v/>
      </c>
      <c r="O252" s="35">
        <f>IF($F252="","",IFERROR(INDEX(사건마스터!$AM$5:$AM$64,MATCH($F252,사건마스터!$A$5:$A$64,0)),""))</f>
        <v/>
      </c>
      <c r="P252" s="35">
        <f>IF($F252="","",IFERROR(INDEX(사건마스터!$AN$5:$AN$64,MATCH($F252,사건마스터!$A$5:$A$64,0)),""))</f>
        <v/>
      </c>
      <c r="Q252" s="35">
        <f>IF($F252="","",IFERROR(INDEX(사건마스터!$AO$5:$AO$64,MATCH($F252,사건마스터!$A$5:$A$64,0)),""))</f>
        <v/>
      </c>
      <c r="R252" s="35">
        <f>IF($F252="","",IFERROR(INDEX(사건마스터!$AP$5:$AP$64,MATCH($F252,사건마스터!$A$5:$A$64,0)),""))</f>
        <v/>
      </c>
      <c r="S252" s="35">
        <f>IF($F252="","",IFERROR(INDEX(사건마스터!$AQ$5:$AQ$64,MATCH($F252,사건마스터!$A$5:$A$64,0)),""))</f>
        <v/>
      </c>
      <c r="T252" s="35">
        <f>IF($F252="","",IFERROR(INDEX(사건마스터!$AR$5:$AR$64,MATCH($F252,사건마스터!$A$5:$A$64,0)),""))</f>
        <v/>
      </c>
      <c r="U252" s="35">
        <f>IF($F252="","",IFERROR(INDEX(사건마스터!$AS$5:$AS$64,MATCH($F252,사건마스터!$A$5:$A$64,0)),""))</f>
        <v/>
      </c>
      <c r="V252" s="35">
        <f>IF($F252="","",IFERROR(INDEX(사건마스터!$AT$5:$AT$64,MATCH($F252,사건마스터!$A$5:$A$64,0)),""))</f>
        <v/>
      </c>
      <c r="W252" s="35">
        <f>IF($F252="","",IFERROR(INDEX(사건마스터!$AU$5:$AU$64,MATCH($F252,사건마스터!$A$5:$A$64,0)),""))</f>
        <v/>
      </c>
      <c r="X252" s="35">
        <f>IF($F252="","",IFERROR(INDEX(사건마스터!$AV$5:$AV$64,MATCH($F252,사건마스터!$A$5:$A$64,0)),""))</f>
        <v/>
      </c>
      <c r="Y252" s="30">
        <f>IF($I252="","",COUNTIF($I252:$X252,"?*"))</f>
        <v/>
      </c>
      <c r="Z252" s="33">
        <f>IF($I252="","",_xlfn.TEXTJOIN(", ",TRUE,$I252:$X252))</f>
        <v/>
      </c>
      <c r="AA252" s="34">
        <f>IF($I252="","",IFERROR(INDEX(코드설정!$D$5:$D$24,MATCH($I252,코드설정!$C$5:$C$24,0)),""))</f>
        <v/>
      </c>
      <c r="AB252" s="36" t="n"/>
      <c r="AC252" s="37" t="n"/>
      <c r="AD252" s="38" t="n"/>
      <c r="AE252" s="30">
        <f>IF(OR($B252="",$C252=""),"",$C252-$B252+1)</f>
        <v/>
      </c>
      <c r="AF252" s="32" t="n"/>
      <c r="AG252" s="36" t="n"/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3">
        <f>IF($F253="","",IFERROR(INDEX(사건마스터!$B$5:$B$64,MATCH($F253,사건마스터!$A$5:$A$64,0)),""))</f>
        <v/>
      </c>
      <c r="H253" s="34">
        <f>IF($F253="","",IFERROR(INDEX(사건마스터!$C$5:$C$64,MATCH($F253,사건마스터!$A$5:$A$64,0)),""))</f>
        <v/>
      </c>
      <c r="I253" s="35">
        <f>IF($F253="","",IFERROR(INDEX(사건마스터!$H$5:$H$64,MATCH($F253,사건마스터!$A$5:$A$64,0)),""))</f>
        <v/>
      </c>
      <c r="J253" s="35">
        <f>IF($F253="","",IFERROR(INDEX(사건마스터!$AH$5:$AH$64,MATCH($F253,사건마스터!$A$5:$A$64,0)),""))</f>
        <v/>
      </c>
      <c r="K253" s="35">
        <f>IF($F253="","",IFERROR(INDEX(사건마스터!$AI$5:$AI$64,MATCH($F253,사건마스터!$A$5:$A$64,0)),""))</f>
        <v/>
      </c>
      <c r="L253" s="35">
        <f>IF($F253="","",IFERROR(INDEX(사건마스터!$AJ$5:$AJ$64,MATCH($F253,사건마스터!$A$5:$A$64,0)),""))</f>
        <v/>
      </c>
      <c r="M253" s="35">
        <f>IF($F253="","",IFERROR(INDEX(사건마스터!$AK$5:$AK$64,MATCH($F253,사건마스터!$A$5:$A$64,0)),""))</f>
        <v/>
      </c>
      <c r="N253" s="35">
        <f>IF($F253="","",IFERROR(INDEX(사건마스터!$AL$5:$AL$64,MATCH($F253,사건마스터!$A$5:$A$64,0)),""))</f>
        <v/>
      </c>
      <c r="O253" s="35">
        <f>IF($F253="","",IFERROR(INDEX(사건마스터!$AM$5:$AM$64,MATCH($F253,사건마스터!$A$5:$A$64,0)),""))</f>
        <v/>
      </c>
      <c r="P253" s="35">
        <f>IF($F253="","",IFERROR(INDEX(사건마스터!$AN$5:$AN$64,MATCH($F253,사건마스터!$A$5:$A$64,0)),""))</f>
        <v/>
      </c>
      <c r="Q253" s="35">
        <f>IF($F253="","",IFERROR(INDEX(사건마스터!$AO$5:$AO$64,MATCH($F253,사건마스터!$A$5:$A$64,0)),""))</f>
        <v/>
      </c>
      <c r="R253" s="35">
        <f>IF($F253="","",IFERROR(INDEX(사건마스터!$AP$5:$AP$64,MATCH($F253,사건마스터!$A$5:$A$64,0)),""))</f>
        <v/>
      </c>
      <c r="S253" s="35">
        <f>IF($F253="","",IFERROR(INDEX(사건마스터!$AQ$5:$AQ$64,MATCH($F253,사건마스터!$A$5:$A$64,0)),""))</f>
        <v/>
      </c>
      <c r="T253" s="35">
        <f>IF($F253="","",IFERROR(INDEX(사건마스터!$AR$5:$AR$64,MATCH($F253,사건마스터!$A$5:$A$64,0)),""))</f>
        <v/>
      </c>
      <c r="U253" s="35">
        <f>IF($F253="","",IFERROR(INDEX(사건마스터!$AS$5:$AS$64,MATCH($F253,사건마스터!$A$5:$A$64,0)),""))</f>
        <v/>
      </c>
      <c r="V253" s="35">
        <f>IF($F253="","",IFERROR(INDEX(사건마스터!$AT$5:$AT$64,MATCH($F253,사건마스터!$A$5:$A$64,0)),""))</f>
        <v/>
      </c>
      <c r="W253" s="35">
        <f>IF($F253="","",IFERROR(INDEX(사건마스터!$AU$5:$AU$64,MATCH($F253,사건마스터!$A$5:$A$64,0)),""))</f>
        <v/>
      </c>
      <c r="X253" s="35">
        <f>IF($F253="","",IFERROR(INDEX(사건마스터!$AV$5:$AV$64,MATCH($F253,사건마스터!$A$5:$A$64,0)),""))</f>
        <v/>
      </c>
      <c r="Y253" s="30">
        <f>IF($I253="","",COUNTIF($I253:$X253,"?*"))</f>
        <v/>
      </c>
      <c r="Z253" s="33">
        <f>IF($I253="","",_xlfn.TEXTJOIN(", ",TRUE,$I253:$X253))</f>
        <v/>
      </c>
      <c r="AA253" s="34">
        <f>IF($I253="","",IFERROR(INDEX(코드설정!$D$5:$D$24,MATCH($I253,코드설정!$C$5:$C$24,0)),""))</f>
        <v/>
      </c>
      <c r="AB253" s="36" t="n"/>
      <c r="AC253" s="37" t="n"/>
      <c r="AD253" s="38" t="n"/>
      <c r="AE253" s="30">
        <f>IF(OR($B253="",$C253=""),"",$C253-$B253+1)</f>
        <v/>
      </c>
      <c r="AF253" s="32" t="n"/>
      <c r="AG253" s="36" t="n"/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3">
        <f>IF($F254="","",IFERROR(INDEX(사건마스터!$B$5:$B$64,MATCH($F254,사건마스터!$A$5:$A$64,0)),""))</f>
        <v/>
      </c>
      <c r="H254" s="34">
        <f>IF($F254="","",IFERROR(INDEX(사건마스터!$C$5:$C$64,MATCH($F254,사건마스터!$A$5:$A$64,0)),""))</f>
        <v/>
      </c>
      <c r="I254" s="35">
        <f>IF($F254="","",IFERROR(INDEX(사건마스터!$H$5:$H$64,MATCH($F254,사건마스터!$A$5:$A$64,0)),""))</f>
        <v/>
      </c>
      <c r="J254" s="35">
        <f>IF($F254="","",IFERROR(INDEX(사건마스터!$AH$5:$AH$64,MATCH($F254,사건마스터!$A$5:$A$64,0)),""))</f>
        <v/>
      </c>
      <c r="K254" s="35">
        <f>IF($F254="","",IFERROR(INDEX(사건마스터!$AI$5:$AI$64,MATCH($F254,사건마스터!$A$5:$A$64,0)),""))</f>
        <v/>
      </c>
      <c r="L254" s="35">
        <f>IF($F254="","",IFERROR(INDEX(사건마스터!$AJ$5:$AJ$64,MATCH($F254,사건마스터!$A$5:$A$64,0)),""))</f>
        <v/>
      </c>
      <c r="M254" s="35">
        <f>IF($F254="","",IFERROR(INDEX(사건마스터!$AK$5:$AK$64,MATCH($F254,사건마스터!$A$5:$A$64,0)),""))</f>
        <v/>
      </c>
      <c r="N254" s="35">
        <f>IF($F254="","",IFERROR(INDEX(사건마스터!$AL$5:$AL$64,MATCH($F254,사건마스터!$A$5:$A$64,0)),""))</f>
        <v/>
      </c>
      <c r="O254" s="35">
        <f>IF($F254="","",IFERROR(INDEX(사건마스터!$AM$5:$AM$64,MATCH($F254,사건마스터!$A$5:$A$64,0)),""))</f>
        <v/>
      </c>
      <c r="P254" s="35">
        <f>IF($F254="","",IFERROR(INDEX(사건마스터!$AN$5:$AN$64,MATCH($F254,사건마스터!$A$5:$A$64,0)),""))</f>
        <v/>
      </c>
      <c r="Q254" s="35">
        <f>IF($F254="","",IFERROR(INDEX(사건마스터!$AO$5:$AO$64,MATCH($F254,사건마스터!$A$5:$A$64,0)),""))</f>
        <v/>
      </c>
      <c r="R254" s="35">
        <f>IF($F254="","",IFERROR(INDEX(사건마스터!$AP$5:$AP$64,MATCH($F254,사건마스터!$A$5:$A$64,0)),""))</f>
        <v/>
      </c>
      <c r="S254" s="35">
        <f>IF($F254="","",IFERROR(INDEX(사건마스터!$AQ$5:$AQ$64,MATCH($F254,사건마스터!$A$5:$A$64,0)),""))</f>
        <v/>
      </c>
      <c r="T254" s="35">
        <f>IF($F254="","",IFERROR(INDEX(사건마스터!$AR$5:$AR$64,MATCH($F254,사건마스터!$A$5:$A$64,0)),""))</f>
        <v/>
      </c>
      <c r="U254" s="35">
        <f>IF($F254="","",IFERROR(INDEX(사건마스터!$AS$5:$AS$64,MATCH($F254,사건마스터!$A$5:$A$64,0)),""))</f>
        <v/>
      </c>
      <c r="V254" s="35">
        <f>IF($F254="","",IFERROR(INDEX(사건마스터!$AT$5:$AT$64,MATCH($F254,사건마스터!$A$5:$A$64,0)),""))</f>
        <v/>
      </c>
      <c r="W254" s="35">
        <f>IF($F254="","",IFERROR(INDEX(사건마스터!$AU$5:$AU$64,MATCH($F254,사건마스터!$A$5:$A$64,0)),""))</f>
        <v/>
      </c>
      <c r="X254" s="35">
        <f>IF($F254="","",IFERROR(INDEX(사건마스터!$AV$5:$AV$64,MATCH($F254,사건마스터!$A$5:$A$64,0)),""))</f>
        <v/>
      </c>
      <c r="Y254" s="30">
        <f>IF($I254="","",COUNTIF($I254:$X254,"?*"))</f>
        <v/>
      </c>
      <c r="Z254" s="33">
        <f>IF($I254="","",_xlfn.TEXTJOIN(", ",TRUE,$I254:$X254))</f>
        <v/>
      </c>
      <c r="AA254" s="34">
        <f>IF($I254="","",IFERROR(INDEX(코드설정!$D$5:$D$24,MATCH($I254,코드설정!$C$5:$C$24,0)),""))</f>
        <v/>
      </c>
      <c r="AB254" s="36" t="n"/>
      <c r="AC254" s="37" t="n"/>
      <c r="AD254" s="38" t="n"/>
      <c r="AE254" s="30">
        <f>IF(OR($B254="",$C254=""),"",$C254-$B254+1)</f>
        <v/>
      </c>
      <c r="AF254" s="32" t="n"/>
      <c r="AG254" s="36" t="n"/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3">
        <f>IF($F255="","",IFERROR(INDEX(사건마스터!$B$5:$B$64,MATCH($F255,사건마스터!$A$5:$A$64,0)),""))</f>
        <v/>
      </c>
      <c r="H255" s="34">
        <f>IF($F255="","",IFERROR(INDEX(사건마스터!$C$5:$C$64,MATCH($F255,사건마스터!$A$5:$A$64,0)),""))</f>
        <v/>
      </c>
      <c r="I255" s="35">
        <f>IF($F255="","",IFERROR(INDEX(사건마스터!$H$5:$H$64,MATCH($F255,사건마스터!$A$5:$A$64,0)),""))</f>
        <v/>
      </c>
      <c r="J255" s="35">
        <f>IF($F255="","",IFERROR(INDEX(사건마스터!$AH$5:$AH$64,MATCH($F255,사건마스터!$A$5:$A$64,0)),""))</f>
        <v/>
      </c>
      <c r="K255" s="35">
        <f>IF($F255="","",IFERROR(INDEX(사건마스터!$AI$5:$AI$64,MATCH($F255,사건마스터!$A$5:$A$64,0)),""))</f>
        <v/>
      </c>
      <c r="L255" s="35">
        <f>IF($F255="","",IFERROR(INDEX(사건마스터!$AJ$5:$AJ$64,MATCH($F255,사건마스터!$A$5:$A$64,0)),""))</f>
        <v/>
      </c>
      <c r="M255" s="35">
        <f>IF($F255="","",IFERROR(INDEX(사건마스터!$AK$5:$AK$64,MATCH($F255,사건마스터!$A$5:$A$64,0)),""))</f>
        <v/>
      </c>
      <c r="N255" s="35">
        <f>IF($F255="","",IFERROR(INDEX(사건마스터!$AL$5:$AL$64,MATCH($F255,사건마스터!$A$5:$A$64,0)),""))</f>
        <v/>
      </c>
      <c r="O255" s="35">
        <f>IF($F255="","",IFERROR(INDEX(사건마스터!$AM$5:$AM$64,MATCH($F255,사건마스터!$A$5:$A$64,0)),""))</f>
        <v/>
      </c>
      <c r="P255" s="35">
        <f>IF($F255="","",IFERROR(INDEX(사건마스터!$AN$5:$AN$64,MATCH($F255,사건마스터!$A$5:$A$64,0)),""))</f>
        <v/>
      </c>
      <c r="Q255" s="35">
        <f>IF($F255="","",IFERROR(INDEX(사건마스터!$AO$5:$AO$64,MATCH($F255,사건마스터!$A$5:$A$64,0)),""))</f>
        <v/>
      </c>
      <c r="R255" s="35">
        <f>IF($F255="","",IFERROR(INDEX(사건마스터!$AP$5:$AP$64,MATCH($F255,사건마스터!$A$5:$A$64,0)),""))</f>
        <v/>
      </c>
      <c r="S255" s="35">
        <f>IF($F255="","",IFERROR(INDEX(사건마스터!$AQ$5:$AQ$64,MATCH($F255,사건마스터!$A$5:$A$64,0)),""))</f>
        <v/>
      </c>
      <c r="T255" s="35">
        <f>IF($F255="","",IFERROR(INDEX(사건마스터!$AR$5:$AR$64,MATCH($F255,사건마스터!$A$5:$A$64,0)),""))</f>
        <v/>
      </c>
      <c r="U255" s="35">
        <f>IF($F255="","",IFERROR(INDEX(사건마스터!$AS$5:$AS$64,MATCH($F255,사건마스터!$A$5:$A$64,0)),""))</f>
        <v/>
      </c>
      <c r="V255" s="35">
        <f>IF($F255="","",IFERROR(INDEX(사건마스터!$AT$5:$AT$64,MATCH($F255,사건마스터!$A$5:$A$64,0)),""))</f>
        <v/>
      </c>
      <c r="W255" s="35">
        <f>IF($F255="","",IFERROR(INDEX(사건마스터!$AU$5:$AU$64,MATCH($F255,사건마스터!$A$5:$A$64,0)),""))</f>
        <v/>
      </c>
      <c r="X255" s="35">
        <f>IF($F255="","",IFERROR(INDEX(사건마스터!$AV$5:$AV$64,MATCH($F255,사건마스터!$A$5:$A$64,0)),""))</f>
        <v/>
      </c>
      <c r="Y255" s="30">
        <f>IF($I255="","",COUNTIF($I255:$X255,"?*"))</f>
        <v/>
      </c>
      <c r="Z255" s="33">
        <f>IF($I255="","",_xlfn.TEXTJOIN(", ",TRUE,$I255:$X255))</f>
        <v/>
      </c>
      <c r="AA255" s="34">
        <f>IF($I255="","",IFERROR(INDEX(코드설정!$D$5:$D$24,MATCH($I255,코드설정!$C$5:$C$24,0)),""))</f>
        <v/>
      </c>
      <c r="AB255" s="36" t="n"/>
      <c r="AC255" s="37" t="n"/>
      <c r="AD255" s="38" t="n"/>
      <c r="AE255" s="30">
        <f>IF(OR($B255="",$C255=""),"",$C255-$B255+1)</f>
        <v/>
      </c>
      <c r="AF255" s="32" t="n"/>
      <c r="AG255" s="36" t="n"/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3">
        <f>IF($F256="","",IFERROR(INDEX(사건마스터!$B$5:$B$64,MATCH($F256,사건마스터!$A$5:$A$64,0)),""))</f>
        <v/>
      </c>
      <c r="H256" s="34">
        <f>IF($F256="","",IFERROR(INDEX(사건마스터!$C$5:$C$64,MATCH($F256,사건마스터!$A$5:$A$64,0)),""))</f>
        <v/>
      </c>
      <c r="I256" s="35">
        <f>IF($F256="","",IFERROR(INDEX(사건마스터!$H$5:$H$64,MATCH($F256,사건마스터!$A$5:$A$64,0)),""))</f>
        <v/>
      </c>
      <c r="J256" s="35">
        <f>IF($F256="","",IFERROR(INDEX(사건마스터!$AH$5:$AH$64,MATCH($F256,사건마스터!$A$5:$A$64,0)),""))</f>
        <v/>
      </c>
      <c r="K256" s="35">
        <f>IF($F256="","",IFERROR(INDEX(사건마스터!$AI$5:$AI$64,MATCH($F256,사건마스터!$A$5:$A$64,0)),""))</f>
        <v/>
      </c>
      <c r="L256" s="35">
        <f>IF($F256="","",IFERROR(INDEX(사건마스터!$AJ$5:$AJ$64,MATCH($F256,사건마스터!$A$5:$A$64,0)),""))</f>
        <v/>
      </c>
      <c r="M256" s="35">
        <f>IF($F256="","",IFERROR(INDEX(사건마스터!$AK$5:$AK$64,MATCH($F256,사건마스터!$A$5:$A$64,0)),""))</f>
        <v/>
      </c>
      <c r="N256" s="35">
        <f>IF($F256="","",IFERROR(INDEX(사건마스터!$AL$5:$AL$64,MATCH($F256,사건마스터!$A$5:$A$64,0)),""))</f>
        <v/>
      </c>
      <c r="O256" s="35">
        <f>IF($F256="","",IFERROR(INDEX(사건마스터!$AM$5:$AM$64,MATCH($F256,사건마스터!$A$5:$A$64,0)),""))</f>
        <v/>
      </c>
      <c r="P256" s="35">
        <f>IF($F256="","",IFERROR(INDEX(사건마스터!$AN$5:$AN$64,MATCH($F256,사건마스터!$A$5:$A$64,0)),""))</f>
        <v/>
      </c>
      <c r="Q256" s="35">
        <f>IF($F256="","",IFERROR(INDEX(사건마스터!$AO$5:$AO$64,MATCH($F256,사건마스터!$A$5:$A$64,0)),""))</f>
        <v/>
      </c>
      <c r="R256" s="35">
        <f>IF($F256="","",IFERROR(INDEX(사건마스터!$AP$5:$AP$64,MATCH($F256,사건마스터!$A$5:$A$64,0)),""))</f>
        <v/>
      </c>
      <c r="S256" s="35">
        <f>IF($F256="","",IFERROR(INDEX(사건마스터!$AQ$5:$AQ$64,MATCH($F256,사건마스터!$A$5:$A$64,0)),""))</f>
        <v/>
      </c>
      <c r="T256" s="35">
        <f>IF($F256="","",IFERROR(INDEX(사건마스터!$AR$5:$AR$64,MATCH($F256,사건마스터!$A$5:$A$64,0)),""))</f>
        <v/>
      </c>
      <c r="U256" s="35">
        <f>IF($F256="","",IFERROR(INDEX(사건마스터!$AS$5:$AS$64,MATCH($F256,사건마스터!$A$5:$A$64,0)),""))</f>
        <v/>
      </c>
      <c r="V256" s="35">
        <f>IF($F256="","",IFERROR(INDEX(사건마스터!$AT$5:$AT$64,MATCH($F256,사건마스터!$A$5:$A$64,0)),""))</f>
        <v/>
      </c>
      <c r="W256" s="35">
        <f>IF($F256="","",IFERROR(INDEX(사건마스터!$AU$5:$AU$64,MATCH($F256,사건마스터!$A$5:$A$64,0)),""))</f>
        <v/>
      </c>
      <c r="X256" s="35">
        <f>IF($F256="","",IFERROR(INDEX(사건마스터!$AV$5:$AV$64,MATCH($F256,사건마스터!$A$5:$A$64,0)),""))</f>
        <v/>
      </c>
      <c r="Y256" s="30">
        <f>IF($I256="","",COUNTIF($I256:$X256,"?*"))</f>
        <v/>
      </c>
      <c r="Z256" s="33">
        <f>IF($I256="","",_xlfn.TEXTJOIN(", ",TRUE,$I256:$X256))</f>
        <v/>
      </c>
      <c r="AA256" s="34">
        <f>IF($I256="","",IFERROR(INDEX(코드설정!$D$5:$D$24,MATCH($I256,코드설정!$C$5:$C$24,0)),""))</f>
        <v/>
      </c>
      <c r="AB256" s="36" t="n"/>
      <c r="AC256" s="37" t="n"/>
      <c r="AD256" s="38" t="n"/>
      <c r="AE256" s="30">
        <f>IF(OR($B256="",$C256=""),"",$C256-$B256+1)</f>
        <v/>
      </c>
      <c r="AF256" s="32" t="n"/>
      <c r="AG256" s="36" t="n"/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3">
        <f>IF($F257="","",IFERROR(INDEX(사건마스터!$B$5:$B$64,MATCH($F257,사건마스터!$A$5:$A$64,0)),""))</f>
        <v/>
      </c>
      <c r="H257" s="34">
        <f>IF($F257="","",IFERROR(INDEX(사건마스터!$C$5:$C$64,MATCH($F257,사건마스터!$A$5:$A$64,0)),""))</f>
        <v/>
      </c>
      <c r="I257" s="35">
        <f>IF($F257="","",IFERROR(INDEX(사건마스터!$H$5:$H$64,MATCH($F257,사건마스터!$A$5:$A$64,0)),""))</f>
        <v/>
      </c>
      <c r="J257" s="35">
        <f>IF($F257="","",IFERROR(INDEX(사건마스터!$AH$5:$AH$64,MATCH($F257,사건마스터!$A$5:$A$64,0)),""))</f>
        <v/>
      </c>
      <c r="K257" s="35">
        <f>IF($F257="","",IFERROR(INDEX(사건마스터!$AI$5:$AI$64,MATCH($F257,사건마스터!$A$5:$A$64,0)),""))</f>
        <v/>
      </c>
      <c r="L257" s="35">
        <f>IF($F257="","",IFERROR(INDEX(사건마스터!$AJ$5:$AJ$64,MATCH($F257,사건마스터!$A$5:$A$64,0)),""))</f>
        <v/>
      </c>
      <c r="M257" s="35">
        <f>IF($F257="","",IFERROR(INDEX(사건마스터!$AK$5:$AK$64,MATCH($F257,사건마스터!$A$5:$A$64,0)),""))</f>
        <v/>
      </c>
      <c r="N257" s="35">
        <f>IF($F257="","",IFERROR(INDEX(사건마스터!$AL$5:$AL$64,MATCH($F257,사건마스터!$A$5:$A$64,0)),""))</f>
        <v/>
      </c>
      <c r="O257" s="35">
        <f>IF($F257="","",IFERROR(INDEX(사건마스터!$AM$5:$AM$64,MATCH($F257,사건마스터!$A$5:$A$64,0)),""))</f>
        <v/>
      </c>
      <c r="P257" s="35">
        <f>IF($F257="","",IFERROR(INDEX(사건마스터!$AN$5:$AN$64,MATCH($F257,사건마스터!$A$5:$A$64,0)),""))</f>
        <v/>
      </c>
      <c r="Q257" s="35">
        <f>IF($F257="","",IFERROR(INDEX(사건마스터!$AO$5:$AO$64,MATCH($F257,사건마스터!$A$5:$A$64,0)),""))</f>
        <v/>
      </c>
      <c r="R257" s="35">
        <f>IF($F257="","",IFERROR(INDEX(사건마스터!$AP$5:$AP$64,MATCH($F257,사건마스터!$A$5:$A$64,0)),""))</f>
        <v/>
      </c>
      <c r="S257" s="35">
        <f>IF($F257="","",IFERROR(INDEX(사건마스터!$AQ$5:$AQ$64,MATCH($F257,사건마스터!$A$5:$A$64,0)),""))</f>
        <v/>
      </c>
      <c r="T257" s="35">
        <f>IF($F257="","",IFERROR(INDEX(사건마스터!$AR$5:$AR$64,MATCH($F257,사건마스터!$A$5:$A$64,0)),""))</f>
        <v/>
      </c>
      <c r="U257" s="35">
        <f>IF($F257="","",IFERROR(INDEX(사건마스터!$AS$5:$AS$64,MATCH($F257,사건마스터!$A$5:$A$64,0)),""))</f>
        <v/>
      </c>
      <c r="V257" s="35">
        <f>IF($F257="","",IFERROR(INDEX(사건마스터!$AT$5:$AT$64,MATCH($F257,사건마스터!$A$5:$A$64,0)),""))</f>
        <v/>
      </c>
      <c r="W257" s="35">
        <f>IF($F257="","",IFERROR(INDEX(사건마스터!$AU$5:$AU$64,MATCH($F257,사건마스터!$A$5:$A$64,0)),""))</f>
        <v/>
      </c>
      <c r="X257" s="35">
        <f>IF($F257="","",IFERROR(INDEX(사건마스터!$AV$5:$AV$64,MATCH($F257,사건마스터!$A$5:$A$64,0)),""))</f>
        <v/>
      </c>
      <c r="Y257" s="30">
        <f>IF($I257="","",COUNTIF($I257:$X257,"?*"))</f>
        <v/>
      </c>
      <c r="Z257" s="33">
        <f>IF($I257="","",_xlfn.TEXTJOIN(", ",TRUE,$I257:$X257))</f>
        <v/>
      </c>
      <c r="AA257" s="34">
        <f>IF($I257="","",IFERROR(INDEX(코드설정!$D$5:$D$24,MATCH($I257,코드설정!$C$5:$C$24,0)),""))</f>
        <v/>
      </c>
      <c r="AB257" s="36" t="n"/>
      <c r="AC257" s="37" t="n"/>
      <c r="AD257" s="38" t="n"/>
      <c r="AE257" s="30">
        <f>IF(OR($B257="",$C257=""),"",$C257-$B257+1)</f>
        <v/>
      </c>
      <c r="AF257" s="32" t="n"/>
      <c r="AG257" s="36" t="n"/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3">
        <f>IF($F258="","",IFERROR(INDEX(사건마스터!$B$5:$B$64,MATCH($F258,사건마스터!$A$5:$A$64,0)),""))</f>
        <v/>
      </c>
      <c r="H258" s="34">
        <f>IF($F258="","",IFERROR(INDEX(사건마스터!$C$5:$C$64,MATCH($F258,사건마스터!$A$5:$A$64,0)),""))</f>
        <v/>
      </c>
      <c r="I258" s="35">
        <f>IF($F258="","",IFERROR(INDEX(사건마스터!$H$5:$H$64,MATCH($F258,사건마스터!$A$5:$A$64,0)),""))</f>
        <v/>
      </c>
      <c r="J258" s="35">
        <f>IF($F258="","",IFERROR(INDEX(사건마스터!$AH$5:$AH$64,MATCH($F258,사건마스터!$A$5:$A$64,0)),""))</f>
        <v/>
      </c>
      <c r="K258" s="35">
        <f>IF($F258="","",IFERROR(INDEX(사건마스터!$AI$5:$AI$64,MATCH($F258,사건마스터!$A$5:$A$64,0)),""))</f>
        <v/>
      </c>
      <c r="L258" s="35">
        <f>IF($F258="","",IFERROR(INDEX(사건마스터!$AJ$5:$AJ$64,MATCH($F258,사건마스터!$A$5:$A$64,0)),""))</f>
        <v/>
      </c>
      <c r="M258" s="35">
        <f>IF($F258="","",IFERROR(INDEX(사건마스터!$AK$5:$AK$64,MATCH($F258,사건마스터!$A$5:$A$64,0)),""))</f>
        <v/>
      </c>
      <c r="N258" s="35">
        <f>IF($F258="","",IFERROR(INDEX(사건마스터!$AL$5:$AL$64,MATCH($F258,사건마스터!$A$5:$A$64,0)),""))</f>
        <v/>
      </c>
      <c r="O258" s="35">
        <f>IF($F258="","",IFERROR(INDEX(사건마스터!$AM$5:$AM$64,MATCH($F258,사건마스터!$A$5:$A$64,0)),""))</f>
        <v/>
      </c>
      <c r="P258" s="35">
        <f>IF($F258="","",IFERROR(INDEX(사건마스터!$AN$5:$AN$64,MATCH($F258,사건마스터!$A$5:$A$64,0)),""))</f>
        <v/>
      </c>
      <c r="Q258" s="35">
        <f>IF($F258="","",IFERROR(INDEX(사건마스터!$AO$5:$AO$64,MATCH($F258,사건마스터!$A$5:$A$64,0)),""))</f>
        <v/>
      </c>
      <c r="R258" s="35">
        <f>IF($F258="","",IFERROR(INDEX(사건마스터!$AP$5:$AP$64,MATCH($F258,사건마스터!$A$5:$A$64,0)),""))</f>
        <v/>
      </c>
      <c r="S258" s="35">
        <f>IF($F258="","",IFERROR(INDEX(사건마스터!$AQ$5:$AQ$64,MATCH($F258,사건마스터!$A$5:$A$64,0)),""))</f>
        <v/>
      </c>
      <c r="T258" s="35">
        <f>IF($F258="","",IFERROR(INDEX(사건마스터!$AR$5:$AR$64,MATCH($F258,사건마스터!$A$5:$A$64,0)),""))</f>
        <v/>
      </c>
      <c r="U258" s="35">
        <f>IF($F258="","",IFERROR(INDEX(사건마스터!$AS$5:$AS$64,MATCH($F258,사건마스터!$A$5:$A$64,0)),""))</f>
        <v/>
      </c>
      <c r="V258" s="35">
        <f>IF($F258="","",IFERROR(INDEX(사건마스터!$AT$5:$AT$64,MATCH($F258,사건마스터!$A$5:$A$64,0)),""))</f>
        <v/>
      </c>
      <c r="W258" s="35">
        <f>IF($F258="","",IFERROR(INDEX(사건마스터!$AU$5:$AU$64,MATCH($F258,사건마스터!$A$5:$A$64,0)),""))</f>
        <v/>
      </c>
      <c r="X258" s="35">
        <f>IF($F258="","",IFERROR(INDEX(사건마스터!$AV$5:$AV$64,MATCH($F258,사건마스터!$A$5:$A$64,0)),""))</f>
        <v/>
      </c>
      <c r="Y258" s="30">
        <f>IF($I258="","",COUNTIF($I258:$X258,"?*"))</f>
        <v/>
      </c>
      <c r="Z258" s="33">
        <f>IF($I258="","",_xlfn.TEXTJOIN(", ",TRUE,$I258:$X258))</f>
        <v/>
      </c>
      <c r="AA258" s="34">
        <f>IF($I258="","",IFERROR(INDEX(코드설정!$D$5:$D$24,MATCH($I258,코드설정!$C$5:$C$24,0)),""))</f>
        <v/>
      </c>
      <c r="AB258" s="36" t="n"/>
      <c r="AC258" s="37" t="n"/>
      <c r="AD258" s="38" t="n"/>
      <c r="AE258" s="30">
        <f>IF(OR($B258="",$C258=""),"",$C258-$B258+1)</f>
        <v/>
      </c>
      <c r="AF258" s="32" t="n"/>
      <c r="AG258" s="36" t="n"/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3">
        <f>IF($F259="","",IFERROR(INDEX(사건마스터!$B$5:$B$64,MATCH($F259,사건마스터!$A$5:$A$64,0)),""))</f>
        <v/>
      </c>
      <c r="H259" s="34">
        <f>IF($F259="","",IFERROR(INDEX(사건마스터!$C$5:$C$64,MATCH($F259,사건마스터!$A$5:$A$64,0)),""))</f>
        <v/>
      </c>
      <c r="I259" s="35">
        <f>IF($F259="","",IFERROR(INDEX(사건마스터!$H$5:$H$64,MATCH($F259,사건마스터!$A$5:$A$64,0)),""))</f>
        <v/>
      </c>
      <c r="J259" s="35">
        <f>IF($F259="","",IFERROR(INDEX(사건마스터!$AH$5:$AH$64,MATCH($F259,사건마스터!$A$5:$A$64,0)),""))</f>
        <v/>
      </c>
      <c r="K259" s="35">
        <f>IF($F259="","",IFERROR(INDEX(사건마스터!$AI$5:$AI$64,MATCH($F259,사건마스터!$A$5:$A$64,0)),""))</f>
        <v/>
      </c>
      <c r="L259" s="35">
        <f>IF($F259="","",IFERROR(INDEX(사건마스터!$AJ$5:$AJ$64,MATCH($F259,사건마스터!$A$5:$A$64,0)),""))</f>
        <v/>
      </c>
      <c r="M259" s="35">
        <f>IF($F259="","",IFERROR(INDEX(사건마스터!$AK$5:$AK$64,MATCH($F259,사건마스터!$A$5:$A$64,0)),""))</f>
        <v/>
      </c>
      <c r="N259" s="35">
        <f>IF($F259="","",IFERROR(INDEX(사건마스터!$AL$5:$AL$64,MATCH($F259,사건마스터!$A$5:$A$64,0)),""))</f>
        <v/>
      </c>
      <c r="O259" s="35">
        <f>IF($F259="","",IFERROR(INDEX(사건마스터!$AM$5:$AM$64,MATCH($F259,사건마스터!$A$5:$A$64,0)),""))</f>
        <v/>
      </c>
      <c r="P259" s="35">
        <f>IF($F259="","",IFERROR(INDEX(사건마스터!$AN$5:$AN$64,MATCH($F259,사건마스터!$A$5:$A$64,0)),""))</f>
        <v/>
      </c>
      <c r="Q259" s="35">
        <f>IF($F259="","",IFERROR(INDEX(사건마스터!$AO$5:$AO$64,MATCH($F259,사건마스터!$A$5:$A$64,0)),""))</f>
        <v/>
      </c>
      <c r="R259" s="35">
        <f>IF($F259="","",IFERROR(INDEX(사건마스터!$AP$5:$AP$64,MATCH($F259,사건마스터!$A$5:$A$64,0)),""))</f>
        <v/>
      </c>
      <c r="S259" s="35">
        <f>IF($F259="","",IFERROR(INDEX(사건마스터!$AQ$5:$AQ$64,MATCH($F259,사건마스터!$A$5:$A$64,0)),""))</f>
        <v/>
      </c>
      <c r="T259" s="35">
        <f>IF($F259="","",IFERROR(INDEX(사건마스터!$AR$5:$AR$64,MATCH($F259,사건마스터!$A$5:$A$64,0)),""))</f>
        <v/>
      </c>
      <c r="U259" s="35">
        <f>IF($F259="","",IFERROR(INDEX(사건마스터!$AS$5:$AS$64,MATCH($F259,사건마스터!$A$5:$A$64,0)),""))</f>
        <v/>
      </c>
      <c r="V259" s="35">
        <f>IF($F259="","",IFERROR(INDEX(사건마스터!$AT$5:$AT$64,MATCH($F259,사건마스터!$A$5:$A$64,0)),""))</f>
        <v/>
      </c>
      <c r="W259" s="35">
        <f>IF($F259="","",IFERROR(INDEX(사건마스터!$AU$5:$AU$64,MATCH($F259,사건마스터!$A$5:$A$64,0)),""))</f>
        <v/>
      </c>
      <c r="X259" s="35">
        <f>IF($F259="","",IFERROR(INDEX(사건마스터!$AV$5:$AV$64,MATCH($F259,사건마스터!$A$5:$A$64,0)),""))</f>
        <v/>
      </c>
      <c r="Y259" s="30">
        <f>IF($I259="","",COUNTIF($I259:$X259,"?*"))</f>
        <v/>
      </c>
      <c r="Z259" s="33">
        <f>IF($I259="","",_xlfn.TEXTJOIN(", ",TRUE,$I259:$X259))</f>
        <v/>
      </c>
      <c r="AA259" s="34">
        <f>IF($I259="","",IFERROR(INDEX(코드설정!$D$5:$D$24,MATCH($I259,코드설정!$C$5:$C$24,0)),""))</f>
        <v/>
      </c>
      <c r="AB259" s="36" t="n"/>
      <c r="AC259" s="37" t="n"/>
      <c r="AD259" s="38" t="n"/>
      <c r="AE259" s="30">
        <f>IF(OR($B259="",$C259=""),"",$C259-$B259+1)</f>
        <v/>
      </c>
      <c r="AF259" s="32" t="n"/>
      <c r="AG259" s="36" t="n"/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3">
        <f>IF($F260="","",IFERROR(INDEX(사건마스터!$B$5:$B$64,MATCH($F260,사건마스터!$A$5:$A$64,0)),""))</f>
        <v/>
      </c>
      <c r="H260" s="34">
        <f>IF($F260="","",IFERROR(INDEX(사건마스터!$C$5:$C$64,MATCH($F260,사건마스터!$A$5:$A$64,0)),""))</f>
        <v/>
      </c>
      <c r="I260" s="35">
        <f>IF($F260="","",IFERROR(INDEX(사건마스터!$H$5:$H$64,MATCH($F260,사건마스터!$A$5:$A$64,0)),""))</f>
        <v/>
      </c>
      <c r="J260" s="35">
        <f>IF($F260="","",IFERROR(INDEX(사건마스터!$AH$5:$AH$64,MATCH($F260,사건마스터!$A$5:$A$64,0)),""))</f>
        <v/>
      </c>
      <c r="K260" s="35">
        <f>IF($F260="","",IFERROR(INDEX(사건마스터!$AI$5:$AI$64,MATCH($F260,사건마스터!$A$5:$A$64,0)),""))</f>
        <v/>
      </c>
      <c r="L260" s="35">
        <f>IF($F260="","",IFERROR(INDEX(사건마스터!$AJ$5:$AJ$64,MATCH($F260,사건마스터!$A$5:$A$64,0)),""))</f>
        <v/>
      </c>
      <c r="M260" s="35">
        <f>IF($F260="","",IFERROR(INDEX(사건마스터!$AK$5:$AK$64,MATCH($F260,사건마스터!$A$5:$A$64,0)),""))</f>
        <v/>
      </c>
      <c r="N260" s="35">
        <f>IF($F260="","",IFERROR(INDEX(사건마스터!$AL$5:$AL$64,MATCH($F260,사건마스터!$A$5:$A$64,0)),""))</f>
        <v/>
      </c>
      <c r="O260" s="35">
        <f>IF($F260="","",IFERROR(INDEX(사건마스터!$AM$5:$AM$64,MATCH($F260,사건마스터!$A$5:$A$64,0)),""))</f>
        <v/>
      </c>
      <c r="P260" s="35">
        <f>IF($F260="","",IFERROR(INDEX(사건마스터!$AN$5:$AN$64,MATCH($F260,사건마스터!$A$5:$A$64,0)),""))</f>
        <v/>
      </c>
      <c r="Q260" s="35">
        <f>IF($F260="","",IFERROR(INDEX(사건마스터!$AO$5:$AO$64,MATCH($F260,사건마스터!$A$5:$A$64,0)),""))</f>
        <v/>
      </c>
      <c r="R260" s="35">
        <f>IF($F260="","",IFERROR(INDEX(사건마스터!$AP$5:$AP$64,MATCH($F260,사건마스터!$A$5:$A$64,0)),""))</f>
        <v/>
      </c>
      <c r="S260" s="35">
        <f>IF($F260="","",IFERROR(INDEX(사건마스터!$AQ$5:$AQ$64,MATCH($F260,사건마스터!$A$5:$A$64,0)),""))</f>
        <v/>
      </c>
      <c r="T260" s="35">
        <f>IF($F260="","",IFERROR(INDEX(사건마스터!$AR$5:$AR$64,MATCH($F260,사건마스터!$A$5:$A$64,0)),""))</f>
        <v/>
      </c>
      <c r="U260" s="35">
        <f>IF($F260="","",IFERROR(INDEX(사건마스터!$AS$5:$AS$64,MATCH($F260,사건마스터!$A$5:$A$64,0)),""))</f>
        <v/>
      </c>
      <c r="V260" s="35">
        <f>IF($F260="","",IFERROR(INDEX(사건마스터!$AT$5:$AT$64,MATCH($F260,사건마스터!$A$5:$A$64,0)),""))</f>
        <v/>
      </c>
      <c r="W260" s="35">
        <f>IF($F260="","",IFERROR(INDEX(사건마스터!$AU$5:$AU$64,MATCH($F260,사건마스터!$A$5:$A$64,0)),""))</f>
        <v/>
      </c>
      <c r="X260" s="35">
        <f>IF($F260="","",IFERROR(INDEX(사건마스터!$AV$5:$AV$64,MATCH($F260,사건마스터!$A$5:$A$64,0)),""))</f>
        <v/>
      </c>
      <c r="Y260" s="30">
        <f>IF($I260="","",COUNTIF($I260:$X260,"?*"))</f>
        <v/>
      </c>
      <c r="Z260" s="33">
        <f>IF($I260="","",_xlfn.TEXTJOIN(", ",TRUE,$I260:$X260))</f>
        <v/>
      </c>
      <c r="AA260" s="34">
        <f>IF($I260="","",IFERROR(INDEX(코드설정!$D$5:$D$24,MATCH($I260,코드설정!$C$5:$C$24,0)),""))</f>
        <v/>
      </c>
      <c r="AB260" s="36" t="n"/>
      <c r="AC260" s="37" t="n"/>
      <c r="AD260" s="38" t="n"/>
      <c r="AE260" s="30">
        <f>IF(OR($B260="",$C260=""),"",$C260-$B260+1)</f>
        <v/>
      </c>
      <c r="AF260" s="32" t="n"/>
      <c r="AG260" s="36" t="n"/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3">
        <f>IF($F261="","",IFERROR(INDEX(사건마스터!$B$5:$B$64,MATCH($F261,사건마스터!$A$5:$A$64,0)),""))</f>
        <v/>
      </c>
      <c r="H261" s="34">
        <f>IF($F261="","",IFERROR(INDEX(사건마스터!$C$5:$C$64,MATCH($F261,사건마스터!$A$5:$A$64,0)),""))</f>
        <v/>
      </c>
      <c r="I261" s="35">
        <f>IF($F261="","",IFERROR(INDEX(사건마스터!$H$5:$H$64,MATCH($F261,사건마스터!$A$5:$A$64,0)),""))</f>
        <v/>
      </c>
      <c r="J261" s="35">
        <f>IF($F261="","",IFERROR(INDEX(사건마스터!$AH$5:$AH$64,MATCH($F261,사건마스터!$A$5:$A$64,0)),""))</f>
        <v/>
      </c>
      <c r="K261" s="35">
        <f>IF($F261="","",IFERROR(INDEX(사건마스터!$AI$5:$AI$64,MATCH($F261,사건마스터!$A$5:$A$64,0)),""))</f>
        <v/>
      </c>
      <c r="L261" s="35">
        <f>IF($F261="","",IFERROR(INDEX(사건마스터!$AJ$5:$AJ$64,MATCH($F261,사건마스터!$A$5:$A$64,0)),""))</f>
        <v/>
      </c>
      <c r="M261" s="35">
        <f>IF($F261="","",IFERROR(INDEX(사건마스터!$AK$5:$AK$64,MATCH($F261,사건마스터!$A$5:$A$64,0)),""))</f>
        <v/>
      </c>
      <c r="N261" s="35">
        <f>IF($F261="","",IFERROR(INDEX(사건마스터!$AL$5:$AL$64,MATCH($F261,사건마스터!$A$5:$A$64,0)),""))</f>
        <v/>
      </c>
      <c r="O261" s="35">
        <f>IF($F261="","",IFERROR(INDEX(사건마스터!$AM$5:$AM$64,MATCH($F261,사건마스터!$A$5:$A$64,0)),""))</f>
        <v/>
      </c>
      <c r="P261" s="35">
        <f>IF($F261="","",IFERROR(INDEX(사건마스터!$AN$5:$AN$64,MATCH($F261,사건마스터!$A$5:$A$64,0)),""))</f>
        <v/>
      </c>
      <c r="Q261" s="35">
        <f>IF($F261="","",IFERROR(INDEX(사건마스터!$AO$5:$AO$64,MATCH($F261,사건마스터!$A$5:$A$64,0)),""))</f>
        <v/>
      </c>
      <c r="R261" s="35">
        <f>IF($F261="","",IFERROR(INDEX(사건마스터!$AP$5:$AP$64,MATCH($F261,사건마스터!$A$5:$A$64,0)),""))</f>
        <v/>
      </c>
      <c r="S261" s="35">
        <f>IF($F261="","",IFERROR(INDEX(사건마스터!$AQ$5:$AQ$64,MATCH($F261,사건마스터!$A$5:$A$64,0)),""))</f>
        <v/>
      </c>
      <c r="T261" s="35">
        <f>IF($F261="","",IFERROR(INDEX(사건마스터!$AR$5:$AR$64,MATCH($F261,사건마스터!$A$5:$A$64,0)),""))</f>
        <v/>
      </c>
      <c r="U261" s="35">
        <f>IF($F261="","",IFERROR(INDEX(사건마스터!$AS$5:$AS$64,MATCH($F261,사건마스터!$A$5:$A$64,0)),""))</f>
        <v/>
      </c>
      <c r="V261" s="35">
        <f>IF($F261="","",IFERROR(INDEX(사건마스터!$AT$5:$AT$64,MATCH($F261,사건마스터!$A$5:$A$64,0)),""))</f>
        <v/>
      </c>
      <c r="W261" s="35">
        <f>IF($F261="","",IFERROR(INDEX(사건마스터!$AU$5:$AU$64,MATCH($F261,사건마스터!$A$5:$A$64,0)),""))</f>
        <v/>
      </c>
      <c r="X261" s="35">
        <f>IF($F261="","",IFERROR(INDEX(사건마스터!$AV$5:$AV$64,MATCH($F261,사건마스터!$A$5:$A$64,0)),""))</f>
        <v/>
      </c>
      <c r="Y261" s="30">
        <f>IF($I261="","",COUNTIF($I261:$X261,"?*"))</f>
        <v/>
      </c>
      <c r="Z261" s="33">
        <f>IF($I261="","",_xlfn.TEXTJOIN(", ",TRUE,$I261:$X261))</f>
        <v/>
      </c>
      <c r="AA261" s="34">
        <f>IF($I261="","",IFERROR(INDEX(코드설정!$D$5:$D$24,MATCH($I261,코드설정!$C$5:$C$24,0)),""))</f>
        <v/>
      </c>
      <c r="AB261" s="36" t="n"/>
      <c r="AC261" s="37" t="n"/>
      <c r="AD261" s="38" t="n"/>
      <c r="AE261" s="30">
        <f>IF(OR($B261="",$C261=""),"",$C261-$B261+1)</f>
        <v/>
      </c>
      <c r="AF261" s="32" t="n"/>
      <c r="AG261" s="36" t="n"/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3">
        <f>IF($F262="","",IFERROR(INDEX(사건마스터!$B$5:$B$64,MATCH($F262,사건마스터!$A$5:$A$64,0)),""))</f>
        <v/>
      </c>
      <c r="H262" s="34">
        <f>IF($F262="","",IFERROR(INDEX(사건마스터!$C$5:$C$64,MATCH($F262,사건마스터!$A$5:$A$64,0)),""))</f>
        <v/>
      </c>
      <c r="I262" s="35">
        <f>IF($F262="","",IFERROR(INDEX(사건마스터!$H$5:$H$64,MATCH($F262,사건마스터!$A$5:$A$64,0)),""))</f>
        <v/>
      </c>
      <c r="J262" s="35">
        <f>IF($F262="","",IFERROR(INDEX(사건마스터!$AH$5:$AH$64,MATCH($F262,사건마스터!$A$5:$A$64,0)),""))</f>
        <v/>
      </c>
      <c r="K262" s="35">
        <f>IF($F262="","",IFERROR(INDEX(사건마스터!$AI$5:$AI$64,MATCH($F262,사건마스터!$A$5:$A$64,0)),""))</f>
        <v/>
      </c>
      <c r="L262" s="35">
        <f>IF($F262="","",IFERROR(INDEX(사건마스터!$AJ$5:$AJ$64,MATCH($F262,사건마스터!$A$5:$A$64,0)),""))</f>
        <v/>
      </c>
      <c r="M262" s="35">
        <f>IF($F262="","",IFERROR(INDEX(사건마스터!$AK$5:$AK$64,MATCH($F262,사건마스터!$A$5:$A$64,0)),""))</f>
        <v/>
      </c>
      <c r="N262" s="35">
        <f>IF($F262="","",IFERROR(INDEX(사건마스터!$AL$5:$AL$64,MATCH($F262,사건마스터!$A$5:$A$64,0)),""))</f>
        <v/>
      </c>
      <c r="O262" s="35">
        <f>IF($F262="","",IFERROR(INDEX(사건마스터!$AM$5:$AM$64,MATCH($F262,사건마스터!$A$5:$A$64,0)),""))</f>
        <v/>
      </c>
      <c r="P262" s="35">
        <f>IF($F262="","",IFERROR(INDEX(사건마스터!$AN$5:$AN$64,MATCH($F262,사건마스터!$A$5:$A$64,0)),""))</f>
        <v/>
      </c>
      <c r="Q262" s="35">
        <f>IF($F262="","",IFERROR(INDEX(사건마스터!$AO$5:$AO$64,MATCH($F262,사건마스터!$A$5:$A$64,0)),""))</f>
        <v/>
      </c>
      <c r="R262" s="35">
        <f>IF($F262="","",IFERROR(INDEX(사건마스터!$AP$5:$AP$64,MATCH($F262,사건마스터!$A$5:$A$64,0)),""))</f>
        <v/>
      </c>
      <c r="S262" s="35">
        <f>IF($F262="","",IFERROR(INDEX(사건마스터!$AQ$5:$AQ$64,MATCH($F262,사건마스터!$A$5:$A$64,0)),""))</f>
        <v/>
      </c>
      <c r="T262" s="35">
        <f>IF($F262="","",IFERROR(INDEX(사건마스터!$AR$5:$AR$64,MATCH($F262,사건마스터!$A$5:$A$64,0)),""))</f>
        <v/>
      </c>
      <c r="U262" s="35">
        <f>IF($F262="","",IFERROR(INDEX(사건마스터!$AS$5:$AS$64,MATCH($F262,사건마스터!$A$5:$A$64,0)),""))</f>
        <v/>
      </c>
      <c r="V262" s="35">
        <f>IF($F262="","",IFERROR(INDEX(사건마스터!$AT$5:$AT$64,MATCH($F262,사건마스터!$A$5:$A$64,0)),""))</f>
        <v/>
      </c>
      <c r="W262" s="35">
        <f>IF($F262="","",IFERROR(INDEX(사건마스터!$AU$5:$AU$64,MATCH($F262,사건마스터!$A$5:$A$64,0)),""))</f>
        <v/>
      </c>
      <c r="X262" s="35">
        <f>IF($F262="","",IFERROR(INDEX(사건마스터!$AV$5:$AV$64,MATCH($F262,사건마스터!$A$5:$A$64,0)),""))</f>
        <v/>
      </c>
      <c r="Y262" s="30">
        <f>IF($I262="","",COUNTIF($I262:$X262,"?*"))</f>
        <v/>
      </c>
      <c r="Z262" s="33">
        <f>IF($I262="","",_xlfn.TEXTJOIN(", ",TRUE,$I262:$X262))</f>
        <v/>
      </c>
      <c r="AA262" s="34">
        <f>IF($I262="","",IFERROR(INDEX(코드설정!$D$5:$D$24,MATCH($I262,코드설정!$C$5:$C$24,0)),""))</f>
        <v/>
      </c>
      <c r="AB262" s="36" t="n"/>
      <c r="AC262" s="37" t="n"/>
      <c r="AD262" s="38" t="n"/>
      <c r="AE262" s="30">
        <f>IF(OR($B262="",$C262=""),"",$C262-$B262+1)</f>
        <v/>
      </c>
      <c r="AF262" s="32" t="n"/>
      <c r="AG262" s="36" t="n"/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3">
        <f>IF($F263="","",IFERROR(INDEX(사건마스터!$B$5:$B$64,MATCH($F263,사건마스터!$A$5:$A$64,0)),""))</f>
        <v/>
      </c>
      <c r="H263" s="34">
        <f>IF($F263="","",IFERROR(INDEX(사건마스터!$C$5:$C$64,MATCH($F263,사건마스터!$A$5:$A$64,0)),""))</f>
        <v/>
      </c>
      <c r="I263" s="35">
        <f>IF($F263="","",IFERROR(INDEX(사건마스터!$H$5:$H$64,MATCH($F263,사건마스터!$A$5:$A$64,0)),""))</f>
        <v/>
      </c>
      <c r="J263" s="35">
        <f>IF($F263="","",IFERROR(INDEX(사건마스터!$AH$5:$AH$64,MATCH($F263,사건마스터!$A$5:$A$64,0)),""))</f>
        <v/>
      </c>
      <c r="K263" s="35">
        <f>IF($F263="","",IFERROR(INDEX(사건마스터!$AI$5:$AI$64,MATCH($F263,사건마스터!$A$5:$A$64,0)),""))</f>
        <v/>
      </c>
      <c r="L263" s="35">
        <f>IF($F263="","",IFERROR(INDEX(사건마스터!$AJ$5:$AJ$64,MATCH($F263,사건마스터!$A$5:$A$64,0)),""))</f>
        <v/>
      </c>
      <c r="M263" s="35">
        <f>IF($F263="","",IFERROR(INDEX(사건마스터!$AK$5:$AK$64,MATCH($F263,사건마스터!$A$5:$A$64,0)),""))</f>
        <v/>
      </c>
      <c r="N263" s="35">
        <f>IF($F263="","",IFERROR(INDEX(사건마스터!$AL$5:$AL$64,MATCH($F263,사건마스터!$A$5:$A$64,0)),""))</f>
        <v/>
      </c>
      <c r="O263" s="35">
        <f>IF($F263="","",IFERROR(INDEX(사건마스터!$AM$5:$AM$64,MATCH($F263,사건마스터!$A$5:$A$64,0)),""))</f>
        <v/>
      </c>
      <c r="P263" s="35">
        <f>IF($F263="","",IFERROR(INDEX(사건마스터!$AN$5:$AN$64,MATCH($F263,사건마스터!$A$5:$A$64,0)),""))</f>
        <v/>
      </c>
      <c r="Q263" s="35">
        <f>IF($F263="","",IFERROR(INDEX(사건마스터!$AO$5:$AO$64,MATCH($F263,사건마스터!$A$5:$A$64,0)),""))</f>
        <v/>
      </c>
      <c r="R263" s="35">
        <f>IF($F263="","",IFERROR(INDEX(사건마스터!$AP$5:$AP$64,MATCH($F263,사건마스터!$A$5:$A$64,0)),""))</f>
        <v/>
      </c>
      <c r="S263" s="35">
        <f>IF($F263="","",IFERROR(INDEX(사건마스터!$AQ$5:$AQ$64,MATCH($F263,사건마스터!$A$5:$A$64,0)),""))</f>
        <v/>
      </c>
      <c r="T263" s="35">
        <f>IF($F263="","",IFERROR(INDEX(사건마스터!$AR$5:$AR$64,MATCH($F263,사건마스터!$A$5:$A$64,0)),""))</f>
        <v/>
      </c>
      <c r="U263" s="35">
        <f>IF($F263="","",IFERROR(INDEX(사건마스터!$AS$5:$AS$64,MATCH($F263,사건마스터!$A$5:$A$64,0)),""))</f>
        <v/>
      </c>
      <c r="V263" s="35">
        <f>IF($F263="","",IFERROR(INDEX(사건마스터!$AT$5:$AT$64,MATCH($F263,사건마스터!$A$5:$A$64,0)),""))</f>
        <v/>
      </c>
      <c r="W263" s="35">
        <f>IF($F263="","",IFERROR(INDEX(사건마스터!$AU$5:$AU$64,MATCH($F263,사건마스터!$A$5:$A$64,0)),""))</f>
        <v/>
      </c>
      <c r="X263" s="35">
        <f>IF($F263="","",IFERROR(INDEX(사건마스터!$AV$5:$AV$64,MATCH($F263,사건마스터!$A$5:$A$64,0)),""))</f>
        <v/>
      </c>
      <c r="Y263" s="30">
        <f>IF($I263="","",COUNTIF($I263:$X263,"?*"))</f>
        <v/>
      </c>
      <c r="Z263" s="33">
        <f>IF($I263="","",_xlfn.TEXTJOIN(", ",TRUE,$I263:$X263))</f>
        <v/>
      </c>
      <c r="AA263" s="34">
        <f>IF($I263="","",IFERROR(INDEX(코드설정!$D$5:$D$24,MATCH($I263,코드설정!$C$5:$C$24,0)),""))</f>
        <v/>
      </c>
      <c r="AB263" s="36" t="n"/>
      <c r="AC263" s="37" t="n"/>
      <c r="AD263" s="38" t="n"/>
      <c r="AE263" s="30">
        <f>IF(OR($B263="",$C263=""),"",$C263-$B263+1)</f>
        <v/>
      </c>
      <c r="AF263" s="32" t="n"/>
      <c r="AG263" s="36" t="n"/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3">
        <f>IF($F264="","",IFERROR(INDEX(사건마스터!$B$5:$B$64,MATCH($F264,사건마스터!$A$5:$A$64,0)),""))</f>
        <v/>
      </c>
      <c r="H264" s="34">
        <f>IF($F264="","",IFERROR(INDEX(사건마스터!$C$5:$C$64,MATCH($F264,사건마스터!$A$5:$A$64,0)),""))</f>
        <v/>
      </c>
      <c r="I264" s="35">
        <f>IF($F264="","",IFERROR(INDEX(사건마스터!$H$5:$H$64,MATCH($F264,사건마스터!$A$5:$A$64,0)),""))</f>
        <v/>
      </c>
      <c r="J264" s="35">
        <f>IF($F264="","",IFERROR(INDEX(사건마스터!$AH$5:$AH$64,MATCH($F264,사건마스터!$A$5:$A$64,0)),""))</f>
        <v/>
      </c>
      <c r="K264" s="35">
        <f>IF($F264="","",IFERROR(INDEX(사건마스터!$AI$5:$AI$64,MATCH($F264,사건마스터!$A$5:$A$64,0)),""))</f>
        <v/>
      </c>
      <c r="L264" s="35">
        <f>IF($F264="","",IFERROR(INDEX(사건마스터!$AJ$5:$AJ$64,MATCH($F264,사건마스터!$A$5:$A$64,0)),""))</f>
        <v/>
      </c>
      <c r="M264" s="35">
        <f>IF($F264="","",IFERROR(INDEX(사건마스터!$AK$5:$AK$64,MATCH($F264,사건마스터!$A$5:$A$64,0)),""))</f>
        <v/>
      </c>
      <c r="N264" s="35">
        <f>IF($F264="","",IFERROR(INDEX(사건마스터!$AL$5:$AL$64,MATCH($F264,사건마스터!$A$5:$A$64,0)),""))</f>
        <v/>
      </c>
      <c r="O264" s="35">
        <f>IF($F264="","",IFERROR(INDEX(사건마스터!$AM$5:$AM$64,MATCH($F264,사건마스터!$A$5:$A$64,0)),""))</f>
        <v/>
      </c>
      <c r="P264" s="35">
        <f>IF($F264="","",IFERROR(INDEX(사건마스터!$AN$5:$AN$64,MATCH($F264,사건마스터!$A$5:$A$64,0)),""))</f>
        <v/>
      </c>
      <c r="Q264" s="35">
        <f>IF($F264="","",IFERROR(INDEX(사건마스터!$AO$5:$AO$64,MATCH($F264,사건마스터!$A$5:$A$64,0)),""))</f>
        <v/>
      </c>
      <c r="R264" s="35">
        <f>IF($F264="","",IFERROR(INDEX(사건마스터!$AP$5:$AP$64,MATCH($F264,사건마스터!$A$5:$A$64,0)),""))</f>
        <v/>
      </c>
      <c r="S264" s="35">
        <f>IF($F264="","",IFERROR(INDEX(사건마스터!$AQ$5:$AQ$64,MATCH($F264,사건마스터!$A$5:$A$64,0)),""))</f>
        <v/>
      </c>
      <c r="T264" s="35">
        <f>IF($F264="","",IFERROR(INDEX(사건마스터!$AR$5:$AR$64,MATCH($F264,사건마스터!$A$5:$A$64,0)),""))</f>
        <v/>
      </c>
      <c r="U264" s="35">
        <f>IF($F264="","",IFERROR(INDEX(사건마스터!$AS$5:$AS$64,MATCH($F264,사건마스터!$A$5:$A$64,0)),""))</f>
        <v/>
      </c>
      <c r="V264" s="35">
        <f>IF($F264="","",IFERROR(INDEX(사건마스터!$AT$5:$AT$64,MATCH($F264,사건마스터!$A$5:$A$64,0)),""))</f>
        <v/>
      </c>
      <c r="W264" s="35">
        <f>IF($F264="","",IFERROR(INDEX(사건마스터!$AU$5:$AU$64,MATCH($F264,사건마스터!$A$5:$A$64,0)),""))</f>
        <v/>
      </c>
      <c r="X264" s="35">
        <f>IF($F264="","",IFERROR(INDEX(사건마스터!$AV$5:$AV$64,MATCH($F264,사건마스터!$A$5:$A$64,0)),""))</f>
        <v/>
      </c>
      <c r="Y264" s="30">
        <f>IF($I264="","",COUNTIF($I264:$X264,"?*"))</f>
        <v/>
      </c>
      <c r="Z264" s="33">
        <f>IF($I264="","",_xlfn.TEXTJOIN(", ",TRUE,$I264:$X264))</f>
        <v/>
      </c>
      <c r="AA264" s="34">
        <f>IF($I264="","",IFERROR(INDEX(코드설정!$D$5:$D$24,MATCH($I264,코드설정!$C$5:$C$24,0)),""))</f>
        <v/>
      </c>
      <c r="AB264" s="36" t="n"/>
      <c r="AC264" s="37" t="n"/>
      <c r="AD264" s="38" t="n"/>
      <c r="AE264" s="30">
        <f>IF(OR($B264="",$C264=""),"",$C264-$B264+1)</f>
        <v/>
      </c>
      <c r="AF264" s="32" t="n"/>
      <c r="AG264" s="36" t="n"/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3">
        <f>IF($F265="","",IFERROR(INDEX(사건마스터!$B$5:$B$64,MATCH($F265,사건마스터!$A$5:$A$64,0)),""))</f>
        <v/>
      </c>
      <c r="H265" s="34">
        <f>IF($F265="","",IFERROR(INDEX(사건마스터!$C$5:$C$64,MATCH($F265,사건마스터!$A$5:$A$64,0)),""))</f>
        <v/>
      </c>
      <c r="I265" s="35">
        <f>IF($F265="","",IFERROR(INDEX(사건마스터!$H$5:$H$64,MATCH($F265,사건마스터!$A$5:$A$64,0)),""))</f>
        <v/>
      </c>
      <c r="J265" s="35">
        <f>IF($F265="","",IFERROR(INDEX(사건마스터!$AH$5:$AH$64,MATCH($F265,사건마스터!$A$5:$A$64,0)),""))</f>
        <v/>
      </c>
      <c r="K265" s="35">
        <f>IF($F265="","",IFERROR(INDEX(사건마스터!$AI$5:$AI$64,MATCH($F265,사건마스터!$A$5:$A$64,0)),""))</f>
        <v/>
      </c>
      <c r="L265" s="35">
        <f>IF($F265="","",IFERROR(INDEX(사건마스터!$AJ$5:$AJ$64,MATCH($F265,사건마스터!$A$5:$A$64,0)),""))</f>
        <v/>
      </c>
      <c r="M265" s="35">
        <f>IF($F265="","",IFERROR(INDEX(사건마스터!$AK$5:$AK$64,MATCH($F265,사건마스터!$A$5:$A$64,0)),""))</f>
        <v/>
      </c>
      <c r="N265" s="35">
        <f>IF($F265="","",IFERROR(INDEX(사건마스터!$AL$5:$AL$64,MATCH($F265,사건마스터!$A$5:$A$64,0)),""))</f>
        <v/>
      </c>
      <c r="O265" s="35">
        <f>IF($F265="","",IFERROR(INDEX(사건마스터!$AM$5:$AM$64,MATCH($F265,사건마스터!$A$5:$A$64,0)),""))</f>
        <v/>
      </c>
      <c r="P265" s="35">
        <f>IF($F265="","",IFERROR(INDEX(사건마스터!$AN$5:$AN$64,MATCH($F265,사건마스터!$A$5:$A$64,0)),""))</f>
        <v/>
      </c>
      <c r="Q265" s="35">
        <f>IF($F265="","",IFERROR(INDEX(사건마스터!$AO$5:$AO$64,MATCH($F265,사건마스터!$A$5:$A$64,0)),""))</f>
        <v/>
      </c>
      <c r="R265" s="35">
        <f>IF($F265="","",IFERROR(INDEX(사건마스터!$AP$5:$AP$64,MATCH($F265,사건마스터!$A$5:$A$64,0)),""))</f>
        <v/>
      </c>
      <c r="S265" s="35">
        <f>IF($F265="","",IFERROR(INDEX(사건마스터!$AQ$5:$AQ$64,MATCH($F265,사건마스터!$A$5:$A$64,0)),""))</f>
        <v/>
      </c>
      <c r="T265" s="35">
        <f>IF($F265="","",IFERROR(INDEX(사건마스터!$AR$5:$AR$64,MATCH($F265,사건마스터!$A$5:$A$64,0)),""))</f>
        <v/>
      </c>
      <c r="U265" s="35">
        <f>IF($F265="","",IFERROR(INDEX(사건마스터!$AS$5:$AS$64,MATCH($F265,사건마스터!$A$5:$A$64,0)),""))</f>
        <v/>
      </c>
      <c r="V265" s="35">
        <f>IF($F265="","",IFERROR(INDEX(사건마스터!$AT$5:$AT$64,MATCH($F265,사건마스터!$A$5:$A$64,0)),""))</f>
        <v/>
      </c>
      <c r="W265" s="35">
        <f>IF($F265="","",IFERROR(INDEX(사건마스터!$AU$5:$AU$64,MATCH($F265,사건마스터!$A$5:$A$64,0)),""))</f>
        <v/>
      </c>
      <c r="X265" s="35">
        <f>IF($F265="","",IFERROR(INDEX(사건마스터!$AV$5:$AV$64,MATCH($F265,사건마스터!$A$5:$A$64,0)),""))</f>
        <v/>
      </c>
      <c r="Y265" s="30">
        <f>IF($I265="","",COUNTIF($I265:$X265,"?*"))</f>
        <v/>
      </c>
      <c r="Z265" s="33">
        <f>IF($I265="","",_xlfn.TEXTJOIN(", ",TRUE,$I265:$X265))</f>
        <v/>
      </c>
      <c r="AA265" s="34">
        <f>IF($I265="","",IFERROR(INDEX(코드설정!$D$5:$D$24,MATCH($I265,코드설정!$C$5:$C$24,0)),""))</f>
        <v/>
      </c>
      <c r="AB265" s="36" t="n"/>
      <c r="AC265" s="37" t="n"/>
      <c r="AD265" s="38" t="n"/>
      <c r="AE265" s="30">
        <f>IF(OR($B265="",$C265=""),"",$C265-$B265+1)</f>
        <v/>
      </c>
      <c r="AF265" s="32" t="n"/>
      <c r="AG265" s="36" t="n"/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3">
        <f>IF($F266="","",IFERROR(INDEX(사건마스터!$B$5:$B$64,MATCH($F266,사건마스터!$A$5:$A$64,0)),""))</f>
        <v/>
      </c>
      <c r="H266" s="34">
        <f>IF($F266="","",IFERROR(INDEX(사건마스터!$C$5:$C$64,MATCH($F266,사건마스터!$A$5:$A$64,0)),""))</f>
        <v/>
      </c>
      <c r="I266" s="35">
        <f>IF($F266="","",IFERROR(INDEX(사건마스터!$H$5:$H$64,MATCH($F266,사건마스터!$A$5:$A$64,0)),""))</f>
        <v/>
      </c>
      <c r="J266" s="35">
        <f>IF($F266="","",IFERROR(INDEX(사건마스터!$AH$5:$AH$64,MATCH($F266,사건마스터!$A$5:$A$64,0)),""))</f>
        <v/>
      </c>
      <c r="K266" s="35">
        <f>IF($F266="","",IFERROR(INDEX(사건마스터!$AI$5:$AI$64,MATCH($F266,사건마스터!$A$5:$A$64,0)),""))</f>
        <v/>
      </c>
      <c r="L266" s="35">
        <f>IF($F266="","",IFERROR(INDEX(사건마스터!$AJ$5:$AJ$64,MATCH($F266,사건마스터!$A$5:$A$64,0)),""))</f>
        <v/>
      </c>
      <c r="M266" s="35">
        <f>IF($F266="","",IFERROR(INDEX(사건마스터!$AK$5:$AK$64,MATCH($F266,사건마스터!$A$5:$A$64,0)),""))</f>
        <v/>
      </c>
      <c r="N266" s="35">
        <f>IF($F266="","",IFERROR(INDEX(사건마스터!$AL$5:$AL$64,MATCH($F266,사건마스터!$A$5:$A$64,0)),""))</f>
        <v/>
      </c>
      <c r="O266" s="35">
        <f>IF($F266="","",IFERROR(INDEX(사건마스터!$AM$5:$AM$64,MATCH($F266,사건마스터!$A$5:$A$64,0)),""))</f>
        <v/>
      </c>
      <c r="P266" s="35">
        <f>IF($F266="","",IFERROR(INDEX(사건마스터!$AN$5:$AN$64,MATCH($F266,사건마스터!$A$5:$A$64,0)),""))</f>
        <v/>
      </c>
      <c r="Q266" s="35">
        <f>IF($F266="","",IFERROR(INDEX(사건마스터!$AO$5:$AO$64,MATCH($F266,사건마스터!$A$5:$A$64,0)),""))</f>
        <v/>
      </c>
      <c r="R266" s="35">
        <f>IF($F266="","",IFERROR(INDEX(사건마스터!$AP$5:$AP$64,MATCH($F266,사건마스터!$A$5:$A$64,0)),""))</f>
        <v/>
      </c>
      <c r="S266" s="35">
        <f>IF($F266="","",IFERROR(INDEX(사건마스터!$AQ$5:$AQ$64,MATCH($F266,사건마스터!$A$5:$A$64,0)),""))</f>
        <v/>
      </c>
      <c r="T266" s="35">
        <f>IF($F266="","",IFERROR(INDEX(사건마스터!$AR$5:$AR$64,MATCH($F266,사건마스터!$A$5:$A$64,0)),""))</f>
        <v/>
      </c>
      <c r="U266" s="35">
        <f>IF($F266="","",IFERROR(INDEX(사건마스터!$AS$5:$AS$64,MATCH($F266,사건마스터!$A$5:$A$64,0)),""))</f>
        <v/>
      </c>
      <c r="V266" s="35">
        <f>IF($F266="","",IFERROR(INDEX(사건마스터!$AT$5:$AT$64,MATCH($F266,사건마스터!$A$5:$A$64,0)),""))</f>
        <v/>
      </c>
      <c r="W266" s="35">
        <f>IF($F266="","",IFERROR(INDEX(사건마스터!$AU$5:$AU$64,MATCH($F266,사건마스터!$A$5:$A$64,0)),""))</f>
        <v/>
      </c>
      <c r="X266" s="35">
        <f>IF($F266="","",IFERROR(INDEX(사건마스터!$AV$5:$AV$64,MATCH($F266,사건마스터!$A$5:$A$64,0)),""))</f>
        <v/>
      </c>
      <c r="Y266" s="30">
        <f>IF($I266="","",COUNTIF($I266:$X266,"?*"))</f>
        <v/>
      </c>
      <c r="Z266" s="33">
        <f>IF($I266="","",_xlfn.TEXTJOIN(", ",TRUE,$I266:$X266))</f>
        <v/>
      </c>
      <c r="AA266" s="34">
        <f>IF($I266="","",IFERROR(INDEX(코드설정!$D$5:$D$24,MATCH($I266,코드설정!$C$5:$C$24,0)),""))</f>
        <v/>
      </c>
      <c r="AB266" s="36" t="n"/>
      <c r="AC266" s="37" t="n"/>
      <c r="AD266" s="38" t="n"/>
      <c r="AE266" s="30">
        <f>IF(OR($B266="",$C266=""),"",$C266-$B266+1)</f>
        <v/>
      </c>
      <c r="AF266" s="32" t="n"/>
      <c r="AG266" s="36" t="n"/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3">
        <f>IF($F267="","",IFERROR(INDEX(사건마스터!$B$5:$B$64,MATCH($F267,사건마스터!$A$5:$A$64,0)),""))</f>
        <v/>
      </c>
      <c r="H267" s="34">
        <f>IF($F267="","",IFERROR(INDEX(사건마스터!$C$5:$C$64,MATCH($F267,사건마스터!$A$5:$A$64,0)),""))</f>
        <v/>
      </c>
      <c r="I267" s="35">
        <f>IF($F267="","",IFERROR(INDEX(사건마스터!$H$5:$H$64,MATCH($F267,사건마스터!$A$5:$A$64,0)),""))</f>
        <v/>
      </c>
      <c r="J267" s="35">
        <f>IF($F267="","",IFERROR(INDEX(사건마스터!$AH$5:$AH$64,MATCH($F267,사건마스터!$A$5:$A$64,0)),""))</f>
        <v/>
      </c>
      <c r="K267" s="35">
        <f>IF($F267="","",IFERROR(INDEX(사건마스터!$AI$5:$AI$64,MATCH($F267,사건마스터!$A$5:$A$64,0)),""))</f>
        <v/>
      </c>
      <c r="L267" s="35">
        <f>IF($F267="","",IFERROR(INDEX(사건마스터!$AJ$5:$AJ$64,MATCH($F267,사건마스터!$A$5:$A$64,0)),""))</f>
        <v/>
      </c>
      <c r="M267" s="35">
        <f>IF($F267="","",IFERROR(INDEX(사건마스터!$AK$5:$AK$64,MATCH($F267,사건마스터!$A$5:$A$64,0)),""))</f>
        <v/>
      </c>
      <c r="N267" s="35">
        <f>IF($F267="","",IFERROR(INDEX(사건마스터!$AL$5:$AL$64,MATCH($F267,사건마스터!$A$5:$A$64,0)),""))</f>
        <v/>
      </c>
      <c r="O267" s="35">
        <f>IF($F267="","",IFERROR(INDEX(사건마스터!$AM$5:$AM$64,MATCH($F267,사건마스터!$A$5:$A$64,0)),""))</f>
        <v/>
      </c>
      <c r="P267" s="35">
        <f>IF($F267="","",IFERROR(INDEX(사건마스터!$AN$5:$AN$64,MATCH($F267,사건마스터!$A$5:$A$64,0)),""))</f>
        <v/>
      </c>
      <c r="Q267" s="35">
        <f>IF($F267="","",IFERROR(INDEX(사건마스터!$AO$5:$AO$64,MATCH($F267,사건마스터!$A$5:$A$64,0)),""))</f>
        <v/>
      </c>
      <c r="R267" s="35">
        <f>IF($F267="","",IFERROR(INDEX(사건마스터!$AP$5:$AP$64,MATCH($F267,사건마스터!$A$5:$A$64,0)),""))</f>
        <v/>
      </c>
      <c r="S267" s="35">
        <f>IF($F267="","",IFERROR(INDEX(사건마스터!$AQ$5:$AQ$64,MATCH($F267,사건마스터!$A$5:$A$64,0)),""))</f>
        <v/>
      </c>
      <c r="T267" s="35">
        <f>IF($F267="","",IFERROR(INDEX(사건마스터!$AR$5:$AR$64,MATCH($F267,사건마스터!$A$5:$A$64,0)),""))</f>
        <v/>
      </c>
      <c r="U267" s="35">
        <f>IF($F267="","",IFERROR(INDEX(사건마스터!$AS$5:$AS$64,MATCH($F267,사건마스터!$A$5:$A$64,0)),""))</f>
        <v/>
      </c>
      <c r="V267" s="35">
        <f>IF($F267="","",IFERROR(INDEX(사건마스터!$AT$5:$AT$64,MATCH($F267,사건마스터!$A$5:$A$64,0)),""))</f>
        <v/>
      </c>
      <c r="W267" s="35">
        <f>IF($F267="","",IFERROR(INDEX(사건마스터!$AU$5:$AU$64,MATCH($F267,사건마스터!$A$5:$A$64,0)),""))</f>
        <v/>
      </c>
      <c r="X267" s="35">
        <f>IF($F267="","",IFERROR(INDEX(사건마스터!$AV$5:$AV$64,MATCH($F267,사건마스터!$A$5:$A$64,0)),""))</f>
        <v/>
      </c>
      <c r="Y267" s="30">
        <f>IF($I267="","",COUNTIF($I267:$X267,"?*"))</f>
        <v/>
      </c>
      <c r="Z267" s="33">
        <f>IF($I267="","",_xlfn.TEXTJOIN(", ",TRUE,$I267:$X267))</f>
        <v/>
      </c>
      <c r="AA267" s="34">
        <f>IF($I267="","",IFERROR(INDEX(코드설정!$D$5:$D$24,MATCH($I267,코드설정!$C$5:$C$24,0)),""))</f>
        <v/>
      </c>
      <c r="AB267" s="36" t="n"/>
      <c r="AC267" s="37" t="n"/>
      <c r="AD267" s="38" t="n"/>
      <c r="AE267" s="30">
        <f>IF(OR($B267="",$C267=""),"",$C267-$B267+1)</f>
        <v/>
      </c>
      <c r="AF267" s="32" t="n"/>
      <c r="AG267" s="36" t="n"/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3">
        <f>IF($F268="","",IFERROR(INDEX(사건마스터!$B$5:$B$64,MATCH($F268,사건마스터!$A$5:$A$64,0)),""))</f>
        <v/>
      </c>
      <c r="H268" s="34">
        <f>IF($F268="","",IFERROR(INDEX(사건마스터!$C$5:$C$64,MATCH($F268,사건마스터!$A$5:$A$64,0)),""))</f>
        <v/>
      </c>
      <c r="I268" s="35">
        <f>IF($F268="","",IFERROR(INDEX(사건마스터!$H$5:$H$64,MATCH($F268,사건마스터!$A$5:$A$64,0)),""))</f>
        <v/>
      </c>
      <c r="J268" s="35">
        <f>IF($F268="","",IFERROR(INDEX(사건마스터!$AH$5:$AH$64,MATCH($F268,사건마스터!$A$5:$A$64,0)),""))</f>
        <v/>
      </c>
      <c r="K268" s="35">
        <f>IF($F268="","",IFERROR(INDEX(사건마스터!$AI$5:$AI$64,MATCH($F268,사건마스터!$A$5:$A$64,0)),""))</f>
        <v/>
      </c>
      <c r="L268" s="35">
        <f>IF($F268="","",IFERROR(INDEX(사건마스터!$AJ$5:$AJ$64,MATCH($F268,사건마스터!$A$5:$A$64,0)),""))</f>
        <v/>
      </c>
      <c r="M268" s="35">
        <f>IF($F268="","",IFERROR(INDEX(사건마스터!$AK$5:$AK$64,MATCH($F268,사건마스터!$A$5:$A$64,0)),""))</f>
        <v/>
      </c>
      <c r="N268" s="35">
        <f>IF($F268="","",IFERROR(INDEX(사건마스터!$AL$5:$AL$64,MATCH($F268,사건마스터!$A$5:$A$64,0)),""))</f>
        <v/>
      </c>
      <c r="O268" s="35">
        <f>IF($F268="","",IFERROR(INDEX(사건마스터!$AM$5:$AM$64,MATCH($F268,사건마스터!$A$5:$A$64,0)),""))</f>
        <v/>
      </c>
      <c r="P268" s="35">
        <f>IF($F268="","",IFERROR(INDEX(사건마스터!$AN$5:$AN$64,MATCH($F268,사건마스터!$A$5:$A$64,0)),""))</f>
        <v/>
      </c>
      <c r="Q268" s="35">
        <f>IF($F268="","",IFERROR(INDEX(사건마스터!$AO$5:$AO$64,MATCH($F268,사건마스터!$A$5:$A$64,0)),""))</f>
        <v/>
      </c>
      <c r="R268" s="35">
        <f>IF($F268="","",IFERROR(INDEX(사건마스터!$AP$5:$AP$64,MATCH($F268,사건마스터!$A$5:$A$64,0)),""))</f>
        <v/>
      </c>
      <c r="S268" s="35">
        <f>IF($F268="","",IFERROR(INDEX(사건마스터!$AQ$5:$AQ$64,MATCH($F268,사건마스터!$A$5:$A$64,0)),""))</f>
        <v/>
      </c>
      <c r="T268" s="35">
        <f>IF($F268="","",IFERROR(INDEX(사건마스터!$AR$5:$AR$64,MATCH($F268,사건마스터!$A$5:$A$64,0)),""))</f>
        <v/>
      </c>
      <c r="U268" s="35">
        <f>IF($F268="","",IFERROR(INDEX(사건마스터!$AS$5:$AS$64,MATCH($F268,사건마스터!$A$5:$A$64,0)),""))</f>
        <v/>
      </c>
      <c r="V268" s="35">
        <f>IF($F268="","",IFERROR(INDEX(사건마스터!$AT$5:$AT$64,MATCH($F268,사건마스터!$A$5:$A$64,0)),""))</f>
        <v/>
      </c>
      <c r="W268" s="35">
        <f>IF($F268="","",IFERROR(INDEX(사건마스터!$AU$5:$AU$64,MATCH($F268,사건마스터!$A$5:$A$64,0)),""))</f>
        <v/>
      </c>
      <c r="X268" s="35">
        <f>IF($F268="","",IFERROR(INDEX(사건마스터!$AV$5:$AV$64,MATCH($F268,사건마스터!$A$5:$A$64,0)),""))</f>
        <v/>
      </c>
      <c r="Y268" s="30">
        <f>IF($I268="","",COUNTIF($I268:$X268,"?*"))</f>
        <v/>
      </c>
      <c r="Z268" s="33">
        <f>IF($I268="","",_xlfn.TEXTJOIN(", ",TRUE,$I268:$X268))</f>
        <v/>
      </c>
      <c r="AA268" s="34">
        <f>IF($I268="","",IFERROR(INDEX(코드설정!$D$5:$D$24,MATCH($I268,코드설정!$C$5:$C$24,0)),""))</f>
        <v/>
      </c>
      <c r="AB268" s="36" t="n"/>
      <c r="AC268" s="37" t="n"/>
      <c r="AD268" s="38" t="n"/>
      <c r="AE268" s="30">
        <f>IF(OR($B268="",$C268=""),"",$C268-$B268+1)</f>
        <v/>
      </c>
      <c r="AF268" s="32" t="n"/>
      <c r="AG268" s="36" t="n"/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3">
        <f>IF($F269="","",IFERROR(INDEX(사건마스터!$B$5:$B$64,MATCH($F269,사건마스터!$A$5:$A$64,0)),""))</f>
        <v/>
      </c>
      <c r="H269" s="34">
        <f>IF($F269="","",IFERROR(INDEX(사건마스터!$C$5:$C$64,MATCH($F269,사건마스터!$A$5:$A$64,0)),""))</f>
        <v/>
      </c>
      <c r="I269" s="35">
        <f>IF($F269="","",IFERROR(INDEX(사건마스터!$H$5:$H$64,MATCH($F269,사건마스터!$A$5:$A$64,0)),""))</f>
        <v/>
      </c>
      <c r="J269" s="35">
        <f>IF($F269="","",IFERROR(INDEX(사건마스터!$AH$5:$AH$64,MATCH($F269,사건마스터!$A$5:$A$64,0)),""))</f>
        <v/>
      </c>
      <c r="K269" s="35">
        <f>IF($F269="","",IFERROR(INDEX(사건마스터!$AI$5:$AI$64,MATCH($F269,사건마스터!$A$5:$A$64,0)),""))</f>
        <v/>
      </c>
      <c r="L269" s="35">
        <f>IF($F269="","",IFERROR(INDEX(사건마스터!$AJ$5:$AJ$64,MATCH($F269,사건마스터!$A$5:$A$64,0)),""))</f>
        <v/>
      </c>
      <c r="M269" s="35">
        <f>IF($F269="","",IFERROR(INDEX(사건마스터!$AK$5:$AK$64,MATCH($F269,사건마스터!$A$5:$A$64,0)),""))</f>
        <v/>
      </c>
      <c r="N269" s="35">
        <f>IF($F269="","",IFERROR(INDEX(사건마스터!$AL$5:$AL$64,MATCH($F269,사건마스터!$A$5:$A$64,0)),""))</f>
        <v/>
      </c>
      <c r="O269" s="35">
        <f>IF($F269="","",IFERROR(INDEX(사건마스터!$AM$5:$AM$64,MATCH($F269,사건마스터!$A$5:$A$64,0)),""))</f>
        <v/>
      </c>
      <c r="P269" s="35">
        <f>IF($F269="","",IFERROR(INDEX(사건마스터!$AN$5:$AN$64,MATCH($F269,사건마스터!$A$5:$A$64,0)),""))</f>
        <v/>
      </c>
      <c r="Q269" s="35">
        <f>IF($F269="","",IFERROR(INDEX(사건마스터!$AO$5:$AO$64,MATCH($F269,사건마스터!$A$5:$A$64,0)),""))</f>
        <v/>
      </c>
      <c r="R269" s="35">
        <f>IF($F269="","",IFERROR(INDEX(사건마스터!$AP$5:$AP$64,MATCH($F269,사건마스터!$A$5:$A$64,0)),""))</f>
        <v/>
      </c>
      <c r="S269" s="35">
        <f>IF($F269="","",IFERROR(INDEX(사건마스터!$AQ$5:$AQ$64,MATCH($F269,사건마스터!$A$5:$A$64,0)),""))</f>
        <v/>
      </c>
      <c r="T269" s="35">
        <f>IF($F269="","",IFERROR(INDEX(사건마스터!$AR$5:$AR$64,MATCH($F269,사건마스터!$A$5:$A$64,0)),""))</f>
        <v/>
      </c>
      <c r="U269" s="35">
        <f>IF($F269="","",IFERROR(INDEX(사건마스터!$AS$5:$AS$64,MATCH($F269,사건마스터!$A$5:$A$64,0)),""))</f>
        <v/>
      </c>
      <c r="V269" s="35">
        <f>IF($F269="","",IFERROR(INDEX(사건마스터!$AT$5:$AT$64,MATCH($F269,사건마스터!$A$5:$A$64,0)),""))</f>
        <v/>
      </c>
      <c r="W269" s="35">
        <f>IF($F269="","",IFERROR(INDEX(사건마스터!$AU$5:$AU$64,MATCH($F269,사건마스터!$A$5:$A$64,0)),""))</f>
        <v/>
      </c>
      <c r="X269" s="35">
        <f>IF($F269="","",IFERROR(INDEX(사건마스터!$AV$5:$AV$64,MATCH($F269,사건마스터!$A$5:$A$64,0)),""))</f>
        <v/>
      </c>
      <c r="Y269" s="30">
        <f>IF($I269="","",COUNTIF($I269:$X269,"?*"))</f>
        <v/>
      </c>
      <c r="Z269" s="33">
        <f>IF($I269="","",_xlfn.TEXTJOIN(", ",TRUE,$I269:$X269))</f>
        <v/>
      </c>
      <c r="AA269" s="34">
        <f>IF($I269="","",IFERROR(INDEX(코드설정!$D$5:$D$24,MATCH($I269,코드설정!$C$5:$C$24,0)),""))</f>
        <v/>
      </c>
      <c r="AB269" s="36" t="n"/>
      <c r="AC269" s="37" t="n"/>
      <c r="AD269" s="38" t="n"/>
      <c r="AE269" s="30">
        <f>IF(OR($B269="",$C269=""),"",$C269-$B269+1)</f>
        <v/>
      </c>
      <c r="AF269" s="32" t="n"/>
      <c r="AG269" s="36" t="n"/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3">
        <f>IF($F270="","",IFERROR(INDEX(사건마스터!$B$5:$B$64,MATCH($F270,사건마스터!$A$5:$A$64,0)),""))</f>
        <v/>
      </c>
      <c r="H270" s="34">
        <f>IF($F270="","",IFERROR(INDEX(사건마스터!$C$5:$C$64,MATCH($F270,사건마스터!$A$5:$A$64,0)),""))</f>
        <v/>
      </c>
      <c r="I270" s="35">
        <f>IF($F270="","",IFERROR(INDEX(사건마스터!$H$5:$H$64,MATCH($F270,사건마스터!$A$5:$A$64,0)),""))</f>
        <v/>
      </c>
      <c r="J270" s="35">
        <f>IF($F270="","",IFERROR(INDEX(사건마스터!$AH$5:$AH$64,MATCH($F270,사건마스터!$A$5:$A$64,0)),""))</f>
        <v/>
      </c>
      <c r="K270" s="35">
        <f>IF($F270="","",IFERROR(INDEX(사건마스터!$AI$5:$AI$64,MATCH($F270,사건마스터!$A$5:$A$64,0)),""))</f>
        <v/>
      </c>
      <c r="L270" s="35">
        <f>IF($F270="","",IFERROR(INDEX(사건마스터!$AJ$5:$AJ$64,MATCH($F270,사건마스터!$A$5:$A$64,0)),""))</f>
        <v/>
      </c>
      <c r="M270" s="35">
        <f>IF($F270="","",IFERROR(INDEX(사건마스터!$AK$5:$AK$64,MATCH($F270,사건마스터!$A$5:$A$64,0)),""))</f>
        <v/>
      </c>
      <c r="N270" s="35">
        <f>IF($F270="","",IFERROR(INDEX(사건마스터!$AL$5:$AL$64,MATCH($F270,사건마스터!$A$5:$A$64,0)),""))</f>
        <v/>
      </c>
      <c r="O270" s="35">
        <f>IF($F270="","",IFERROR(INDEX(사건마스터!$AM$5:$AM$64,MATCH($F270,사건마스터!$A$5:$A$64,0)),""))</f>
        <v/>
      </c>
      <c r="P270" s="35">
        <f>IF($F270="","",IFERROR(INDEX(사건마스터!$AN$5:$AN$64,MATCH($F270,사건마스터!$A$5:$A$64,0)),""))</f>
        <v/>
      </c>
      <c r="Q270" s="35">
        <f>IF($F270="","",IFERROR(INDEX(사건마스터!$AO$5:$AO$64,MATCH($F270,사건마스터!$A$5:$A$64,0)),""))</f>
        <v/>
      </c>
      <c r="R270" s="35">
        <f>IF($F270="","",IFERROR(INDEX(사건마스터!$AP$5:$AP$64,MATCH($F270,사건마스터!$A$5:$A$64,0)),""))</f>
        <v/>
      </c>
      <c r="S270" s="35">
        <f>IF($F270="","",IFERROR(INDEX(사건마스터!$AQ$5:$AQ$64,MATCH($F270,사건마스터!$A$5:$A$64,0)),""))</f>
        <v/>
      </c>
      <c r="T270" s="35">
        <f>IF($F270="","",IFERROR(INDEX(사건마스터!$AR$5:$AR$64,MATCH($F270,사건마스터!$A$5:$A$64,0)),""))</f>
        <v/>
      </c>
      <c r="U270" s="35">
        <f>IF($F270="","",IFERROR(INDEX(사건마스터!$AS$5:$AS$64,MATCH($F270,사건마스터!$A$5:$A$64,0)),""))</f>
        <v/>
      </c>
      <c r="V270" s="35">
        <f>IF($F270="","",IFERROR(INDEX(사건마스터!$AT$5:$AT$64,MATCH($F270,사건마스터!$A$5:$A$64,0)),""))</f>
        <v/>
      </c>
      <c r="W270" s="35">
        <f>IF($F270="","",IFERROR(INDEX(사건마스터!$AU$5:$AU$64,MATCH($F270,사건마스터!$A$5:$A$64,0)),""))</f>
        <v/>
      </c>
      <c r="X270" s="35">
        <f>IF($F270="","",IFERROR(INDEX(사건마스터!$AV$5:$AV$64,MATCH($F270,사건마스터!$A$5:$A$64,0)),""))</f>
        <v/>
      </c>
      <c r="Y270" s="30">
        <f>IF($I270="","",COUNTIF($I270:$X270,"?*"))</f>
        <v/>
      </c>
      <c r="Z270" s="33">
        <f>IF($I270="","",_xlfn.TEXTJOIN(", ",TRUE,$I270:$X270))</f>
        <v/>
      </c>
      <c r="AA270" s="34">
        <f>IF($I270="","",IFERROR(INDEX(코드설정!$D$5:$D$24,MATCH($I270,코드설정!$C$5:$C$24,0)),""))</f>
        <v/>
      </c>
      <c r="AB270" s="36" t="n"/>
      <c r="AC270" s="37" t="n"/>
      <c r="AD270" s="38" t="n"/>
      <c r="AE270" s="30">
        <f>IF(OR($B270="",$C270=""),"",$C270-$B270+1)</f>
        <v/>
      </c>
      <c r="AF270" s="32" t="n"/>
      <c r="AG270" s="36" t="n"/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3">
        <f>IF($F271="","",IFERROR(INDEX(사건마스터!$B$5:$B$64,MATCH($F271,사건마스터!$A$5:$A$64,0)),""))</f>
        <v/>
      </c>
      <c r="H271" s="34">
        <f>IF($F271="","",IFERROR(INDEX(사건마스터!$C$5:$C$64,MATCH($F271,사건마스터!$A$5:$A$64,0)),""))</f>
        <v/>
      </c>
      <c r="I271" s="35">
        <f>IF($F271="","",IFERROR(INDEX(사건마스터!$H$5:$H$64,MATCH($F271,사건마스터!$A$5:$A$64,0)),""))</f>
        <v/>
      </c>
      <c r="J271" s="35">
        <f>IF($F271="","",IFERROR(INDEX(사건마스터!$AH$5:$AH$64,MATCH($F271,사건마스터!$A$5:$A$64,0)),""))</f>
        <v/>
      </c>
      <c r="K271" s="35">
        <f>IF($F271="","",IFERROR(INDEX(사건마스터!$AI$5:$AI$64,MATCH($F271,사건마스터!$A$5:$A$64,0)),""))</f>
        <v/>
      </c>
      <c r="L271" s="35">
        <f>IF($F271="","",IFERROR(INDEX(사건마스터!$AJ$5:$AJ$64,MATCH($F271,사건마스터!$A$5:$A$64,0)),""))</f>
        <v/>
      </c>
      <c r="M271" s="35">
        <f>IF($F271="","",IFERROR(INDEX(사건마스터!$AK$5:$AK$64,MATCH($F271,사건마스터!$A$5:$A$64,0)),""))</f>
        <v/>
      </c>
      <c r="N271" s="35">
        <f>IF($F271="","",IFERROR(INDEX(사건마스터!$AL$5:$AL$64,MATCH($F271,사건마스터!$A$5:$A$64,0)),""))</f>
        <v/>
      </c>
      <c r="O271" s="35">
        <f>IF($F271="","",IFERROR(INDEX(사건마스터!$AM$5:$AM$64,MATCH($F271,사건마스터!$A$5:$A$64,0)),""))</f>
        <v/>
      </c>
      <c r="P271" s="35">
        <f>IF($F271="","",IFERROR(INDEX(사건마스터!$AN$5:$AN$64,MATCH($F271,사건마스터!$A$5:$A$64,0)),""))</f>
        <v/>
      </c>
      <c r="Q271" s="35">
        <f>IF($F271="","",IFERROR(INDEX(사건마스터!$AO$5:$AO$64,MATCH($F271,사건마스터!$A$5:$A$64,0)),""))</f>
        <v/>
      </c>
      <c r="R271" s="35">
        <f>IF($F271="","",IFERROR(INDEX(사건마스터!$AP$5:$AP$64,MATCH($F271,사건마스터!$A$5:$A$64,0)),""))</f>
        <v/>
      </c>
      <c r="S271" s="35">
        <f>IF($F271="","",IFERROR(INDEX(사건마스터!$AQ$5:$AQ$64,MATCH($F271,사건마스터!$A$5:$A$64,0)),""))</f>
        <v/>
      </c>
      <c r="T271" s="35">
        <f>IF($F271="","",IFERROR(INDEX(사건마스터!$AR$5:$AR$64,MATCH($F271,사건마스터!$A$5:$A$64,0)),""))</f>
        <v/>
      </c>
      <c r="U271" s="35">
        <f>IF($F271="","",IFERROR(INDEX(사건마스터!$AS$5:$AS$64,MATCH($F271,사건마스터!$A$5:$A$64,0)),""))</f>
        <v/>
      </c>
      <c r="V271" s="35">
        <f>IF($F271="","",IFERROR(INDEX(사건마스터!$AT$5:$AT$64,MATCH($F271,사건마스터!$A$5:$A$64,0)),""))</f>
        <v/>
      </c>
      <c r="W271" s="35">
        <f>IF($F271="","",IFERROR(INDEX(사건마스터!$AU$5:$AU$64,MATCH($F271,사건마스터!$A$5:$A$64,0)),""))</f>
        <v/>
      </c>
      <c r="X271" s="35">
        <f>IF($F271="","",IFERROR(INDEX(사건마스터!$AV$5:$AV$64,MATCH($F271,사건마스터!$A$5:$A$64,0)),""))</f>
        <v/>
      </c>
      <c r="Y271" s="30">
        <f>IF($I271="","",COUNTIF($I271:$X271,"?*"))</f>
        <v/>
      </c>
      <c r="Z271" s="33">
        <f>IF($I271="","",_xlfn.TEXTJOIN(", ",TRUE,$I271:$X271))</f>
        <v/>
      </c>
      <c r="AA271" s="34">
        <f>IF($I271="","",IFERROR(INDEX(코드설정!$D$5:$D$24,MATCH($I271,코드설정!$C$5:$C$24,0)),""))</f>
        <v/>
      </c>
      <c r="AB271" s="36" t="n"/>
      <c r="AC271" s="37" t="n"/>
      <c r="AD271" s="38" t="n"/>
      <c r="AE271" s="30">
        <f>IF(OR($B271="",$C271=""),"",$C271-$B271+1)</f>
        <v/>
      </c>
      <c r="AF271" s="32" t="n"/>
      <c r="AG271" s="36" t="n"/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3">
        <f>IF($F272="","",IFERROR(INDEX(사건마스터!$B$5:$B$64,MATCH($F272,사건마스터!$A$5:$A$64,0)),""))</f>
        <v/>
      </c>
      <c r="H272" s="34">
        <f>IF($F272="","",IFERROR(INDEX(사건마스터!$C$5:$C$64,MATCH($F272,사건마스터!$A$5:$A$64,0)),""))</f>
        <v/>
      </c>
      <c r="I272" s="35">
        <f>IF($F272="","",IFERROR(INDEX(사건마스터!$H$5:$H$64,MATCH($F272,사건마스터!$A$5:$A$64,0)),""))</f>
        <v/>
      </c>
      <c r="J272" s="35">
        <f>IF($F272="","",IFERROR(INDEX(사건마스터!$AH$5:$AH$64,MATCH($F272,사건마스터!$A$5:$A$64,0)),""))</f>
        <v/>
      </c>
      <c r="K272" s="35">
        <f>IF($F272="","",IFERROR(INDEX(사건마스터!$AI$5:$AI$64,MATCH($F272,사건마스터!$A$5:$A$64,0)),""))</f>
        <v/>
      </c>
      <c r="L272" s="35">
        <f>IF($F272="","",IFERROR(INDEX(사건마스터!$AJ$5:$AJ$64,MATCH($F272,사건마스터!$A$5:$A$64,0)),""))</f>
        <v/>
      </c>
      <c r="M272" s="35">
        <f>IF($F272="","",IFERROR(INDEX(사건마스터!$AK$5:$AK$64,MATCH($F272,사건마스터!$A$5:$A$64,0)),""))</f>
        <v/>
      </c>
      <c r="N272" s="35">
        <f>IF($F272="","",IFERROR(INDEX(사건마스터!$AL$5:$AL$64,MATCH($F272,사건마스터!$A$5:$A$64,0)),""))</f>
        <v/>
      </c>
      <c r="O272" s="35">
        <f>IF($F272="","",IFERROR(INDEX(사건마스터!$AM$5:$AM$64,MATCH($F272,사건마스터!$A$5:$A$64,0)),""))</f>
        <v/>
      </c>
      <c r="P272" s="35">
        <f>IF($F272="","",IFERROR(INDEX(사건마스터!$AN$5:$AN$64,MATCH($F272,사건마스터!$A$5:$A$64,0)),""))</f>
        <v/>
      </c>
      <c r="Q272" s="35">
        <f>IF($F272="","",IFERROR(INDEX(사건마스터!$AO$5:$AO$64,MATCH($F272,사건마스터!$A$5:$A$64,0)),""))</f>
        <v/>
      </c>
      <c r="R272" s="35">
        <f>IF($F272="","",IFERROR(INDEX(사건마스터!$AP$5:$AP$64,MATCH($F272,사건마스터!$A$5:$A$64,0)),""))</f>
        <v/>
      </c>
      <c r="S272" s="35">
        <f>IF($F272="","",IFERROR(INDEX(사건마스터!$AQ$5:$AQ$64,MATCH($F272,사건마스터!$A$5:$A$64,0)),""))</f>
        <v/>
      </c>
      <c r="T272" s="35">
        <f>IF($F272="","",IFERROR(INDEX(사건마스터!$AR$5:$AR$64,MATCH($F272,사건마스터!$A$5:$A$64,0)),""))</f>
        <v/>
      </c>
      <c r="U272" s="35">
        <f>IF($F272="","",IFERROR(INDEX(사건마스터!$AS$5:$AS$64,MATCH($F272,사건마스터!$A$5:$A$64,0)),""))</f>
        <v/>
      </c>
      <c r="V272" s="35">
        <f>IF($F272="","",IFERROR(INDEX(사건마스터!$AT$5:$AT$64,MATCH($F272,사건마스터!$A$5:$A$64,0)),""))</f>
        <v/>
      </c>
      <c r="W272" s="35">
        <f>IF($F272="","",IFERROR(INDEX(사건마스터!$AU$5:$AU$64,MATCH($F272,사건마스터!$A$5:$A$64,0)),""))</f>
        <v/>
      </c>
      <c r="X272" s="35">
        <f>IF($F272="","",IFERROR(INDEX(사건마스터!$AV$5:$AV$64,MATCH($F272,사건마스터!$A$5:$A$64,0)),""))</f>
        <v/>
      </c>
      <c r="Y272" s="30">
        <f>IF($I272="","",COUNTIF($I272:$X272,"?*"))</f>
        <v/>
      </c>
      <c r="Z272" s="33">
        <f>IF($I272="","",_xlfn.TEXTJOIN(", ",TRUE,$I272:$X272))</f>
        <v/>
      </c>
      <c r="AA272" s="34">
        <f>IF($I272="","",IFERROR(INDEX(코드설정!$D$5:$D$24,MATCH($I272,코드설정!$C$5:$C$24,0)),""))</f>
        <v/>
      </c>
      <c r="AB272" s="36" t="n"/>
      <c r="AC272" s="37" t="n"/>
      <c r="AD272" s="38" t="n"/>
      <c r="AE272" s="30">
        <f>IF(OR($B272="",$C272=""),"",$C272-$B272+1)</f>
        <v/>
      </c>
      <c r="AF272" s="32" t="n"/>
      <c r="AG272" s="36" t="n"/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3">
        <f>IF($F273="","",IFERROR(INDEX(사건마스터!$B$5:$B$64,MATCH($F273,사건마스터!$A$5:$A$64,0)),""))</f>
        <v/>
      </c>
      <c r="H273" s="34">
        <f>IF($F273="","",IFERROR(INDEX(사건마스터!$C$5:$C$64,MATCH($F273,사건마스터!$A$5:$A$64,0)),""))</f>
        <v/>
      </c>
      <c r="I273" s="35">
        <f>IF($F273="","",IFERROR(INDEX(사건마스터!$H$5:$H$64,MATCH($F273,사건마스터!$A$5:$A$64,0)),""))</f>
        <v/>
      </c>
      <c r="J273" s="35">
        <f>IF($F273="","",IFERROR(INDEX(사건마스터!$AH$5:$AH$64,MATCH($F273,사건마스터!$A$5:$A$64,0)),""))</f>
        <v/>
      </c>
      <c r="K273" s="35">
        <f>IF($F273="","",IFERROR(INDEX(사건마스터!$AI$5:$AI$64,MATCH($F273,사건마스터!$A$5:$A$64,0)),""))</f>
        <v/>
      </c>
      <c r="L273" s="35">
        <f>IF($F273="","",IFERROR(INDEX(사건마스터!$AJ$5:$AJ$64,MATCH($F273,사건마스터!$A$5:$A$64,0)),""))</f>
        <v/>
      </c>
      <c r="M273" s="35">
        <f>IF($F273="","",IFERROR(INDEX(사건마스터!$AK$5:$AK$64,MATCH($F273,사건마스터!$A$5:$A$64,0)),""))</f>
        <v/>
      </c>
      <c r="N273" s="35">
        <f>IF($F273="","",IFERROR(INDEX(사건마스터!$AL$5:$AL$64,MATCH($F273,사건마스터!$A$5:$A$64,0)),""))</f>
        <v/>
      </c>
      <c r="O273" s="35">
        <f>IF($F273="","",IFERROR(INDEX(사건마스터!$AM$5:$AM$64,MATCH($F273,사건마스터!$A$5:$A$64,0)),""))</f>
        <v/>
      </c>
      <c r="P273" s="35">
        <f>IF($F273="","",IFERROR(INDEX(사건마스터!$AN$5:$AN$64,MATCH($F273,사건마스터!$A$5:$A$64,0)),""))</f>
        <v/>
      </c>
      <c r="Q273" s="35">
        <f>IF($F273="","",IFERROR(INDEX(사건마스터!$AO$5:$AO$64,MATCH($F273,사건마스터!$A$5:$A$64,0)),""))</f>
        <v/>
      </c>
      <c r="R273" s="35">
        <f>IF($F273="","",IFERROR(INDEX(사건마스터!$AP$5:$AP$64,MATCH($F273,사건마스터!$A$5:$A$64,0)),""))</f>
        <v/>
      </c>
      <c r="S273" s="35">
        <f>IF($F273="","",IFERROR(INDEX(사건마스터!$AQ$5:$AQ$64,MATCH($F273,사건마스터!$A$5:$A$64,0)),""))</f>
        <v/>
      </c>
      <c r="T273" s="35">
        <f>IF($F273="","",IFERROR(INDEX(사건마스터!$AR$5:$AR$64,MATCH($F273,사건마스터!$A$5:$A$64,0)),""))</f>
        <v/>
      </c>
      <c r="U273" s="35">
        <f>IF($F273="","",IFERROR(INDEX(사건마스터!$AS$5:$AS$64,MATCH($F273,사건마스터!$A$5:$A$64,0)),""))</f>
        <v/>
      </c>
      <c r="V273" s="35">
        <f>IF($F273="","",IFERROR(INDEX(사건마스터!$AT$5:$AT$64,MATCH($F273,사건마스터!$A$5:$A$64,0)),""))</f>
        <v/>
      </c>
      <c r="W273" s="35">
        <f>IF($F273="","",IFERROR(INDEX(사건마스터!$AU$5:$AU$64,MATCH($F273,사건마스터!$A$5:$A$64,0)),""))</f>
        <v/>
      </c>
      <c r="X273" s="35">
        <f>IF($F273="","",IFERROR(INDEX(사건마스터!$AV$5:$AV$64,MATCH($F273,사건마스터!$A$5:$A$64,0)),""))</f>
        <v/>
      </c>
      <c r="Y273" s="30">
        <f>IF($I273="","",COUNTIF($I273:$X273,"?*"))</f>
        <v/>
      </c>
      <c r="Z273" s="33">
        <f>IF($I273="","",_xlfn.TEXTJOIN(", ",TRUE,$I273:$X273))</f>
        <v/>
      </c>
      <c r="AA273" s="34">
        <f>IF($I273="","",IFERROR(INDEX(코드설정!$D$5:$D$24,MATCH($I273,코드설정!$C$5:$C$24,0)),""))</f>
        <v/>
      </c>
      <c r="AB273" s="36" t="n"/>
      <c r="AC273" s="37" t="n"/>
      <c r="AD273" s="38" t="n"/>
      <c r="AE273" s="30">
        <f>IF(OR($B273="",$C273=""),"",$C273-$B273+1)</f>
        <v/>
      </c>
      <c r="AF273" s="32" t="n"/>
      <c r="AG273" s="36" t="n"/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3">
        <f>IF($F274="","",IFERROR(INDEX(사건마스터!$B$5:$B$64,MATCH($F274,사건마스터!$A$5:$A$64,0)),""))</f>
        <v/>
      </c>
      <c r="H274" s="34">
        <f>IF($F274="","",IFERROR(INDEX(사건마스터!$C$5:$C$64,MATCH($F274,사건마스터!$A$5:$A$64,0)),""))</f>
        <v/>
      </c>
      <c r="I274" s="35">
        <f>IF($F274="","",IFERROR(INDEX(사건마스터!$H$5:$H$64,MATCH($F274,사건마스터!$A$5:$A$64,0)),""))</f>
        <v/>
      </c>
      <c r="J274" s="35">
        <f>IF($F274="","",IFERROR(INDEX(사건마스터!$AH$5:$AH$64,MATCH($F274,사건마스터!$A$5:$A$64,0)),""))</f>
        <v/>
      </c>
      <c r="K274" s="35">
        <f>IF($F274="","",IFERROR(INDEX(사건마스터!$AI$5:$AI$64,MATCH($F274,사건마스터!$A$5:$A$64,0)),""))</f>
        <v/>
      </c>
      <c r="L274" s="35">
        <f>IF($F274="","",IFERROR(INDEX(사건마스터!$AJ$5:$AJ$64,MATCH($F274,사건마스터!$A$5:$A$64,0)),""))</f>
        <v/>
      </c>
      <c r="M274" s="35">
        <f>IF($F274="","",IFERROR(INDEX(사건마스터!$AK$5:$AK$64,MATCH($F274,사건마스터!$A$5:$A$64,0)),""))</f>
        <v/>
      </c>
      <c r="N274" s="35">
        <f>IF($F274="","",IFERROR(INDEX(사건마스터!$AL$5:$AL$64,MATCH($F274,사건마스터!$A$5:$A$64,0)),""))</f>
        <v/>
      </c>
      <c r="O274" s="35">
        <f>IF($F274="","",IFERROR(INDEX(사건마스터!$AM$5:$AM$64,MATCH($F274,사건마스터!$A$5:$A$64,0)),""))</f>
        <v/>
      </c>
      <c r="P274" s="35">
        <f>IF($F274="","",IFERROR(INDEX(사건마스터!$AN$5:$AN$64,MATCH($F274,사건마스터!$A$5:$A$64,0)),""))</f>
        <v/>
      </c>
      <c r="Q274" s="35">
        <f>IF($F274="","",IFERROR(INDEX(사건마스터!$AO$5:$AO$64,MATCH($F274,사건마스터!$A$5:$A$64,0)),""))</f>
        <v/>
      </c>
      <c r="R274" s="35">
        <f>IF($F274="","",IFERROR(INDEX(사건마스터!$AP$5:$AP$64,MATCH($F274,사건마스터!$A$5:$A$64,0)),""))</f>
        <v/>
      </c>
      <c r="S274" s="35">
        <f>IF($F274="","",IFERROR(INDEX(사건마스터!$AQ$5:$AQ$64,MATCH($F274,사건마스터!$A$5:$A$64,0)),""))</f>
        <v/>
      </c>
      <c r="T274" s="35">
        <f>IF($F274="","",IFERROR(INDEX(사건마스터!$AR$5:$AR$64,MATCH($F274,사건마스터!$A$5:$A$64,0)),""))</f>
        <v/>
      </c>
      <c r="U274" s="35">
        <f>IF($F274="","",IFERROR(INDEX(사건마스터!$AS$5:$AS$64,MATCH($F274,사건마스터!$A$5:$A$64,0)),""))</f>
        <v/>
      </c>
      <c r="V274" s="35">
        <f>IF($F274="","",IFERROR(INDEX(사건마스터!$AT$5:$AT$64,MATCH($F274,사건마스터!$A$5:$A$64,0)),""))</f>
        <v/>
      </c>
      <c r="W274" s="35">
        <f>IF($F274="","",IFERROR(INDEX(사건마스터!$AU$5:$AU$64,MATCH($F274,사건마스터!$A$5:$A$64,0)),""))</f>
        <v/>
      </c>
      <c r="X274" s="35">
        <f>IF($F274="","",IFERROR(INDEX(사건마스터!$AV$5:$AV$64,MATCH($F274,사건마스터!$A$5:$A$64,0)),""))</f>
        <v/>
      </c>
      <c r="Y274" s="30">
        <f>IF($I274="","",COUNTIF($I274:$X274,"?*"))</f>
        <v/>
      </c>
      <c r="Z274" s="33">
        <f>IF($I274="","",_xlfn.TEXTJOIN(", ",TRUE,$I274:$X274))</f>
        <v/>
      </c>
      <c r="AA274" s="34">
        <f>IF($I274="","",IFERROR(INDEX(코드설정!$D$5:$D$24,MATCH($I274,코드설정!$C$5:$C$24,0)),""))</f>
        <v/>
      </c>
      <c r="AB274" s="36" t="n"/>
      <c r="AC274" s="37" t="n"/>
      <c r="AD274" s="38" t="n"/>
      <c r="AE274" s="30">
        <f>IF(OR($B274="",$C274=""),"",$C274-$B274+1)</f>
        <v/>
      </c>
      <c r="AF274" s="32" t="n"/>
      <c r="AG274" s="36" t="n"/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3">
        <f>IF($F275="","",IFERROR(INDEX(사건마스터!$B$5:$B$64,MATCH($F275,사건마스터!$A$5:$A$64,0)),""))</f>
        <v/>
      </c>
      <c r="H275" s="34">
        <f>IF($F275="","",IFERROR(INDEX(사건마스터!$C$5:$C$64,MATCH($F275,사건마스터!$A$5:$A$64,0)),""))</f>
        <v/>
      </c>
      <c r="I275" s="35">
        <f>IF($F275="","",IFERROR(INDEX(사건마스터!$H$5:$H$64,MATCH($F275,사건마스터!$A$5:$A$64,0)),""))</f>
        <v/>
      </c>
      <c r="J275" s="35">
        <f>IF($F275="","",IFERROR(INDEX(사건마스터!$AH$5:$AH$64,MATCH($F275,사건마스터!$A$5:$A$64,0)),""))</f>
        <v/>
      </c>
      <c r="K275" s="35">
        <f>IF($F275="","",IFERROR(INDEX(사건마스터!$AI$5:$AI$64,MATCH($F275,사건마스터!$A$5:$A$64,0)),""))</f>
        <v/>
      </c>
      <c r="L275" s="35">
        <f>IF($F275="","",IFERROR(INDEX(사건마스터!$AJ$5:$AJ$64,MATCH($F275,사건마스터!$A$5:$A$64,0)),""))</f>
        <v/>
      </c>
      <c r="M275" s="35">
        <f>IF($F275="","",IFERROR(INDEX(사건마스터!$AK$5:$AK$64,MATCH($F275,사건마스터!$A$5:$A$64,0)),""))</f>
        <v/>
      </c>
      <c r="N275" s="35">
        <f>IF($F275="","",IFERROR(INDEX(사건마스터!$AL$5:$AL$64,MATCH($F275,사건마스터!$A$5:$A$64,0)),""))</f>
        <v/>
      </c>
      <c r="O275" s="35">
        <f>IF($F275="","",IFERROR(INDEX(사건마스터!$AM$5:$AM$64,MATCH($F275,사건마스터!$A$5:$A$64,0)),""))</f>
        <v/>
      </c>
      <c r="P275" s="35">
        <f>IF($F275="","",IFERROR(INDEX(사건마스터!$AN$5:$AN$64,MATCH($F275,사건마스터!$A$5:$A$64,0)),""))</f>
        <v/>
      </c>
      <c r="Q275" s="35">
        <f>IF($F275="","",IFERROR(INDEX(사건마스터!$AO$5:$AO$64,MATCH($F275,사건마스터!$A$5:$A$64,0)),""))</f>
        <v/>
      </c>
      <c r="R275" s="35">
        <f>IF($F275="","",IFERROR(INDEX(사건마스터!$AP$5:$AP$64,MATCH($F275,사건마스터!$A$5:$A$64,0)),""))</f>
        <v/>
      </c>
      <c r="S275" s="35">
        <f>IF($F275="","",IFERROR(INDEX(사건마스터!$AQ$5:$AQ$64,MATCH($F275,사건마스터!$A$5:$A$64,0)),""))</f>
        <v/>
      </c>
      <c r="T275" s="35">
        <f>IF($F275="","",IFERROR(INDEX(사건마스터!$AR$5:$AR$64,MATCH($F275,사건마스터!$A$5:$A$64,0)),""))</f>
        <v/>
      </c>
      <c r="U275" s="35">
        <f>IF($F275="","",IFERROR(INDEX(사건마스터!$AS$5:$AS$64,MATCH($F275,사건마스터!$A$5:$A$64,0)),""))</f>
        <v/>
      </c>
      <c r="V275" s="35">
        <f>IF($F275="","",IFERROR(INDEX(사건마스터!$AT$5:$AT$64,MATCH($F275,사건마스터!$A$5:$A$64,0)),""))</f>
        <v/>
      </c>
      <c r="W275" s="35">
        <f>IF($F275="","",IFERROR(INDEX(사건마스터!$AU$5:$AU$64,MATCH($F275,사건마스터!$A$5:$A$64,0)),""))</f>
        <v/>
      </c>
      <c r="X275" s="35">
        <f>IF($F275="","",IFERROR(INDEX(사건마스터!$AV$5:$AV$64,MATCH($F275,사건마스터!$A$5:$A$64,0)),""))</f>
        <v/>
      </c>
      <c r="Y275" s="30">
        <f>IF($I275="","",COUNTIF($I275:$X275,"?*"))</f>
        <v/>
      </c>
      <c r="Z275" s="33">
        <f>IF($I275="","",_xlfn.TEXTJOIN(", ",TRUE,$I275:$X275))</f>
        <v/>
      </c>
      <c r="AA275" s="34">
        <f>IF($I275="","",IFERROR(INDEX(코드설정!$D$5:$D$24,MATCH($I275,코드설정!$C$5:$C$24,0)),""))</f>
        <v/>
      </c>
      <c r="AB275" s="36" t="n"/>
      <c r="AC275" s="37" t="n"/>
      <c r="AD275" s="38" t="n"/>
      <c r="AE275" s="30">
        <f>IF(OR($B275="",$C275=""),"",$C275-$B275+1)</f>
        <v/>
      </c>
      <c r="AF275" s="32" t="n"/>
      <c r="AG275" s="36" t="n"/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3">
        <f>IF($F276="","",IFERROR(INDEX(사건마스터!$B$5:$B$64,MATCH($F276,사건마스터!$A$5:$A$64,0)),""))</f>
        <v/>
      </c>
      <c r="H276" s="34">
        <f>IF($F276="","",IFERROR(INDEX(사건마스터!$C$5:$C$64,MATCH($F276,사건마스터!$A$5:$A$64,0)),""))</f>
        <v/>
      </c>
      <c r="I276" s="35">
        <f>IF($F276="","",IFERROR(INDEX(사건마스터!$H$5:$H$64,MATCH($F276,사건마스터!$A$5:$A$64,0)),""))</f>
        <v/>
      </c>
      <c r="J276" s="35">
        <f>IF($F276="","",IFERROR(INDEX(사건마스터!$AH$5:$AH$64,MATCH($F276,사건마스터!$A$5:$A$64,0)),""))</f>
        <v/>
      </c>
      <c r="K276" s="35">
        <f>IF($F276="","",IFERROR(INDEX(사건마스터!$AI$5:$AI$64,MATCH($F276,사건마스터!$A$5:$A$64,0)),""))</f>
        <v/>
      </c>
      <c r="L276" s="35">
        <f>IF($F276="","",IFERROR(INDEX(사건마스터!$AJ$5:$AJ$64,MATCH($F276,사건마스터!$A$5:$A$64,0)),""))</f>
        <v/>
      </c>
      <c r="M276" s="35">
        <f>IF($F276="","",IFERROR(INDEX(사건마스터!$AK$5:$AK$64,MATCH($F276,사건마스터!$A$5:$A$64,0)),""))</f>
        <v/>
      </c>
      <c r="N276" s="35">
        <f>IF($F276="","",IFERROR(INDEX(사건마스터!$AL$5:$AL$64,MATCH($F276,사건마스터!$A$5:$A$64,0)),""))</f>
        <v/>
      </c>
      <c r="O276" s="35">
        <f>IF($F276="","",IFERROR(INDEX(사건마스터!$AM$5:$AM$64,MATCH($F276,사건마스터!$A$5:$A$64,0)),""))</f>
        <v/>
      </c>
      <c r="P276" s="35">
        <f>IF($F276="","",IFERROR(INDEX(사건마스터!$AN$5:$AN$64,MATCH($F276,사건마스터!$A$5:$A$64,0)),""))</f>
        <v/>
      </c>
      <c r="Q276" s="35">
        <f>IF($F276="","",IFERROR(INDEX(사건마스터!$AO$5:$AO$64,MATCH($F276,사건마스터!$A$5:$A$64,0)),""))</f>
        <v/>
      </c>
      <c r="R276" s="35">
        <f>IF($F276="","",IFERROR(INDEX(사건마스터!$AP$5:$AP$64,MATCH($F276,사건마스터!$A$5:$A$64,0)),""))</f>
        <v/>
      </c>
      <c r="S276" s="35">
        <f>IF($F276="","",IFERROR(INDEX(사건마스터!$AQ$5:$AQ$64,MATCH($F276,사건마스터!$A$5:$A$64,0)),""))</f>
        <v/>
      </c>
      <c r="T276" s="35">
        <f>IF($F276="","",IFERROR(INDEX(사건마스터!$AR$5:$AR$64,MATCH($F276,사건마스터!$A$5:$A$64,0)),""))</f>
        <v/>
      </c>
      <c r="U276" s="35">
        <f>IF($F276="","",IFERROR(INDEX(사건마스터!$AS$5:$AS$64,MATCH($F276,사건마스터!$A$5:$A$64,0)),""))</f>
        <v/>
      </c>
      <c r="V276" s="35">
        <f>IF($F276="","",IFERROR(INDEX(사건마스터!$AT$5:$AT$64,MATCH($F276,사건마스터!$A$5:$A$64,0)),""))</f>
        <v/>
      </c>
      <c r="W276" s="35">
        <f>IF($F276="","",IFERROR(INDEX(사건마스터!$AU$5:$AU$64,MATCH($F276,사건마스터!$A$5:$A$64,0)),""))</f>
        <v/>
      </c>
      <c r="X276" s="35">
        <f>IF($F276="","",IFERROR(INDEX(사건마스터!$AV$5:$AV$64,MATCH($F276,사건마스터!$A$5:$A$64,0)),""))</f>
        <v/>
      </c>
      <c r="Y276" s="30">
        <f>IF($I276="","",COUNTIF($I276:$X276,"?*"))</f>
        <v/>
      </c>
      <c r="Z276" s="33">
        <f>IF($I276="","",_xlfn.TEXTJOIN(", ",TRUE,$I276:$X276))</f>
        <v/>
      </c>
      <c r="AA276" s="34">
        <f>IF($I276="","",IFERROR(INDEX(코드설정!$D$5:$D$24,MATCH($I276,코드설정!$C$5:$C$24,0)),""))</f>
        <v/>
      </c>
      <c r="AB276" s="36" t="n"/>
      <c r="AC276" s="37" t="n"/>
      <c r="AD276" s="38" t="n"/>
      <c r="AE276" s="30">
        <f>IF(OR($B276="",$C276=""),"",$C276-$B276+1)</f>
        <v/>
      </c>
      <c r="AF276" s="32" t="n"/>
      <c r="AG276" s="36" t="n"/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3">
        <f>IF($F277="","",IFERROR(INDEX(사건마스터!$B$5:$B$64,MATCH($F277,사건마스터!$A$5:$A$64,0)),""))</f>
        <v/>
      </c>
      <c r="H277" s="34">
        <f>IF($F277="","",IFERROR(INDEX(사건마스터!$C$5:$C$64,MATCH($F277,사건마스터!$A$5:$A$64,0)),""))</f>
        <v/>
      </c>
      <c r="I277" s="35">
        <f>IF($F277="","",IFERROR(INDEX(사건마스터!$H$5:$H$64,MATCH($F277,사건마스터!$A$5:$A$64,0)),""))</f>
        <v/>
      </c>
      <c r="J277" s="35">
        <f>IF($F277="","",IFERROR(INDEX(사건마스터!$AH$5:$AH$64,MATCH($F277,사건마스터!$A$5:$A$64,0)),""))</f>
        <v/>
      </c>
      <c r="K277" s="35">
        <f>IF($F277="","",IFERROR(INDEX(사건마스터!$AI$5:$AI$64,MATCH($F277,사건마스터!$A$5:$A$64,0)),""))</f>
        <v/>
      </c>
      <c r="L277" s="35">
        <f>IF($F277="","",IFERROR(INDEX(사건마스터!$AJ$5:$AJ$64,MATCH($F277,사건마스터!$A$5:$A$64,0)),""))</f>
        <v/>
      </c>
      <c r="M277" s="35">
        <f>IF($F277="","",IFERROR(INDEX(사건마스터!$AK$5:$AK$64,MATCH($F277,사건마스터!$A$5:$A$64,0)),""))</f>
        <v/>
      </c>
      <c r="N277" s="35">
        <f>IF($F277="","",IFERROR(INDEX(사건마스터!$AL$5:$AL$64,MATCH($F277,사건마스터!$A$5:$A$64,0)),""))</f>
        <v/>
      </c>
      <c r="O277" s="35">
        <f>IF($F277="","",IFERROR(INDEX(사건마스터!$AM$5:$AM$64,MATCH($F277,사건마스터!$A$5:$A$64,0)),""))</f>
        <v/>
      </c>
      <c r="P277" s="35">
        <f>IF($F277="","",IFERROR(INDEX(사건마스터!$AN$5:$AN$64,MATCH($F277,사건마스터!$A$5:$A$64,0)),""))</f>
        <v/>
      </c>
      <c r="Q277" s="35">
        <f>IF($F277="","",IFERROR(INDEX(사건마스터!$AO$5:$AO$64,MATCH($F277,사건마스터!$A$5:$A$64,0)),""))</f>
        <v/>
      </c>
      <c r="R277" s="35">
        <f>IF($F277="","",IFERROR(INDEX(사건마스터!$AP$5:$AP$64,MATCH($F277,사건마스터!$A$5:$A$64,0)),""))</f>
        <v/>
      </c>
      <c r="S277" s="35">
        <f>IF($F277="","",IFERROR(INDEX(사건마스터!$AQ$5:$AQ$64,MATCH($F277,사건마스터!$A$5:$A$64,0)),""))</f>
        <v/>
      </c>
      <c r="T277" s="35">
        <f>IF($F277="","",IFERROR(INDEX(사건마스터!$AR$5:$AR$64,MATCH($F277,사건마스터!$A$5:$A$64,0)),""))</f>
        <v/>
      </c>
      <c r="U277" s="35">
        <f>IF($F277="","",IFERROR(INDEX(사건마스터!$AS$5:$AS$64,MATCH($F277,사건마스터!$A$5:$A$64,0)),""))</f>
        <v/>
      </c>
      <c r="V277" s="35">
        <f>IF($F277="","",IFERROR(INDEX(사건마스터!$AT$5:$AT$64,MATCH($F277,사건마스터!$A$5:$A$64,0)),""))</f>
        <v/>
      </c>
      <c r="W277" s="35">
        <f>IF($F277="","",IFERROR(INDEX(사건마스터!$AU$5:$AU$64,MATCH($F277,사건마스터!$A$5:$A$64,0)),""))</f>
        <v/>
      </c>
      <c r="X277" s="35">
        <f>IF($F277="","",IFERROR(INDEX(사건마스터!$AV$5:$AV$64,MATCH($F277,사건마스터!$A$5:$A$64,0)),""))</f>
        <v/>
      </c>
      <c r="Y277" s="30">
        <f>IF($I277="","",COUNTIF($I277:$X277,"?*"))</f>
        <v/>
      </c>
      <c r="Z277" s="33">
        <f>IF($I277="","",_xlfn.TEXTJOIN(", ",TRUE,$I277:$X277))</f>
        <v/>
      </c>
      <c r="AA277" s="34">
        <f>IF($I277="","",IFERROR(INDEX(코드설정!$D$5:$D$24,MATCH($I277,코드설정!$C$5:$C$24,0)),""))</f>
        <v/>
      </c>
      <c r="AB277" s="36" t="n"/>
      <c r="AC277" s="37" t="n"/>
      <c r="AD277" s="38" t="n"/>
      <c r="AE277" s="30">
        <f>IF(OR($B277="",$C277=""),"",$C277-$B277+1)</f>
        <v/>
      </c>
      <c r="AF277" s="32" t="n"/>
      <c r="AG277" s="36" t="n"/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3">
        <f>IF($F278="","",IFERROR(INDEX(사건마스터!$B$5:$B$64,MATCH($F278,사건마스터!$A$5:$A$64,0)),""))</f>
        <v/>
      </c>
      <c r="H278" s="34">
        <f>IF($F278="","",IFERROR(INDEX(사건마스터!$C$5:$C$64,MATCH($F278,사건마스터!$A$5:$A$64,0)),""))</f>
        <v/>
      </c>
      <c r="I278" s="35">
        <f>IF($F278="","",IFERROR(INDEX(사건마스터!$H$5:$H$64,MATCH($F278,사건마스터!$A$5:$A$64,0)),""))</f>
        <v/>
      </c>
      <c r="J278" s="35">
        <f>IF($F278="","",IFERROR(INDEX(사건마스터!$AH$5:$AH$64,MATCH($F278,사건마스터!$A$5:$A$64,0)),""))</f>
        <v/>
      </c>
      <c r="K278" s="35">
        <f>IF($F278="","",IFERROR(INDEX(사건마스터!$AI$5:$AI$64,MATCH($F278,사건마스터!$A$5:$A$64,0)),""))</f>
        <v/>
      </c>
      <c r="L278" s="35">
        <f>IF($F278="","",IFERROR(INDEX(사건마스터!$AJ$5:$AJ$64,MATCH($F278,사건마스터!$A$5:$A$64,0)),""))</f>
        <v/>
      </c>
      <c r="M278" s="35">
        <f>IF($F278="","",IFERROR(INDEX(사건마스터!$AK$5:$AK$64,MATCH($F278,사건마스터!$A$5:$A$64,0)),""))</f>
        <v/>
      </c>
      <c r="N278" s="35">
        <f>IF($F278="","",IFERROR(INDEX(사건마스터!$AL$5:$AL$64,MATCH($F278,사건마스터!$A$5:$A$64,0)),""))</f>
        <v/>
      </c>
      <c r="O278" s="35">
        <f>IF($F278="","",IFERROR(INDEX(사건마스터!$AM$5:$AM$64,MATCH($F278,사건마스터!$A$5:$A$64,0)),""))</f>
        <v/>
      </c>
      <c r="P278" s="35">
        <f>IF($F278="","",IFERROR(INDEX(사건마스터!$AN$5:$AN$64,MATCH($F278,사건마스터!$A$5:$A$64,0)),""))</f>
        <v/>
      </c>
      <c r="Q278" s="35">
        <f>IF($F278="","",IFERROR(INDEX(사건마스터!$AO$5:$AO$64,MATCH($F278,사건마스터!$A$5:$A$64,0)),""))</f>
        <v/>
      </c>
      <c r="R278" s="35">
        <f>IF($F278="","",IFERROR(INDEX(사건마스터!$AP$5:$AP$64,MATCH($F278,사건마스터!$A$5:$A$64,0)),""))</f>
        <v/>
      </c>
      <c r="S278" s="35">
        <f>IF($F278="","",IFERROR(INDEX(사건마스터!$AQ$5:$AQ$64,MATCH($F278,사건마스터!$A$5:$A$64,0)),""))</f>
        <v/>
      </c>
      <c r="T278" s="35">
        <f>IF($F278="","",IFERROR(INDEX(사건마스터!$AR$5:$AR$64,MATCH($F278,사건마스터!$A$5:$A$64,0)),""))</f>
        <v/>
      </c>
      <c r="U278" s="35">
        <f>IF($F278="","",IFERROR(INDEX(사건마스터!$AS$5:$AS$64,MATCH($F278,사건마스터!$A$5:$A$64,0)),""))</f>
        <v/>
      </c>
      <c r="V278" s="35">
        <f>IF($F278="","",IFERROR(INDEX(사건마스터!$AT$5:$AT$64,MATCH($F278,사건마스터!$A$5:$A$64,0)),""))</f>
        <v/>
      </c>
      <c r="W278" s="35">
        <f>IF($F278="","",IFERROR(INDEX(사건마스터!$AU$5:$AU$64,MATCH($F278,사건마스터!$A$5:$A$64,0)),""))</f>
        <v/>
      </c>
      <c r="X278" s="35">
        <f>IF($F278="","",IFERROR(INDEX(사건마스터!$AV$5:$AV$64,MATCH($F278,사건마스터!$A$5:$A$64,0)),""))</f>
        <v/>
      </c>
      <c r="Y278" s="30">
        <f>IF($I278="","",COUNTIF($I278:$X278,"?*"))</f>
        <v/>
      </c>
      <c r="Z278" s="33">
        <f>IF($I278="","",_xlfn.TEXTJOIN(", ",TRUE,$I278:$X278))</f>
        <v/>
      </c>
      <c r="AA278" s="34">
        <f>IF($I278="","",IFERROR(INDEX(코드설정!$D$5:$D$24,MATCH($I278,코드설정!$C$5:$C$24,0)),""))</f>
        <v/>
      </c>
      <c r="AB278" s="36" t="n"/>
      <c r="AC278" s="37" t="n"/>
      <c r="AD278" s="38" t="n"/>
      <c r="AE278" s="30">
        <f>IF(OR($B278="",$C278=""),"",$C278-$B278+1)</f>
        <v/>
      </c>
      <c r="AF278" s="32" t="n"/>
      <c r="AG278" s="36" t="n"/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3">
        <f>IF($F279="","",IFERROR(INDEX(사건마스터!$B$5:$B$64,MATCH($F279,사건마스터!$A$5:$A$64,0)),""))</f>
        <v/>
      </c>
      <c r="H279" s="34">
        <f>IF($F279="","",IFERROR(INDEX(사건마스터!$C$5:$C$64,MATCH($F279,사건마스터!$A$5:$A$64,0)),""))</f>
        <v/>
      </c>
      <c r="I279" s="35">
        <f>IF($F279="","",IFERROR(INDEX(사건마스터!$H$5:$H$64,MATCH($F279,사건마스터!$A$5:$A$64,0)),""))</f>
        <v/>
      </c>
      <c r="J279" s="35">
        <f>IF($F279="","",IFERROR(INDEX(사건마스터!$AH$5:$AH$64,MATCH($F279,사건마스터!$A$5:$A$64,0)),""))</f>
        <v/>
      </c>
      <c r="K279" s="35">
        <f>IF($F279="","",IFERROR(INDEX(사건마스터!$AI$5:$AI$64,MATCH($F279,사건마스터!$A$5:$A$64,0)),""))</f>
        <v/>
      </c>
      <c r="L279" s="35">
        <f>IF($F279="","",IFERROR(INDEX(사건마스터!$AJ$5:$AJ$64,MATCH($F279,사건마스터!$A$5:$A$64,0)),""))</f>
        <v/>
      </c>
      <c r="M279" s="35">
        <f>IF($F279="","",IFERROR(INDEX(사건마스터!$AK$5:$AK$64,MATCH($F279,사건마스터!$A$5:$A$64,0)),""))</f>
        <v/>
      </c>
      <c r="N279" s="35">
        <f>IF($F279="","",IFERROR(INDEX(사건마스터!$AL$5:$AL$64,MATCH($F279,사건마스터!$A$5:$A$64,0)),""))</f>
        <v/>
      </c>
      <c r="O279" s="35">
        <f>IF($F279="","",IFERROR(INDEX(사건마스터!$AM$5:$AM$64,MATCH($F279,사건마스터!$A$5:$A$64,0)),""))</f>
        <v/>
      </c>
      <c r="P279" s="35">
        <f>IF($F279="","",IFERROR(INDEX(사건마스터!$AN$5:$AN$64,MATCH($F279,사건마스터!$A$5:$A$64,0)),""))</f>
        <v/>
      </c>
      <c r="Q279" s="35">
        <f>IF($F279="","",IFERROR(INDEX(사건마스터!$AO$5:$AO$64,MATCH($F279,사건마스터!$A$5:$A$64,0)),""))</f>
        <v/>
      </c>
      <c r="R279" s="35">
        <f>IF($F279="","",IFERROR(INDEX(사건마스터!$AP$5:$AP$64,MATCH($F279,사건마스터!$A$5:$A$64,0)),""))</f>
        <v/>
      </c>
      <c r="S279" s="35">
        <f>IF($F279="","",IFERROR(INDEX(사건마스터!$AQ$5:$AQ$64,MATCH($F279,사건마스터!$A$5:$A$64,0)),""))</f>
        <v/>
      </c>
      <c r="T279" s="35">
        <f>IF($F279="","",IFERROR(INDEX(사건마스터!$AR$5:$AR$64,MATCH($F279,사건마스터!$A$5:$A$64,0)),""))</f>
        <v/>
      </c>
      <c r="U279" s="35">
        <f>IF($F279="","",IFERROR(INDEX(사건마스터!$AS$5:$AS$64,MATCH($F279,사건마스터!$A$5:$A$64,0)),""))</f>
        <v/>
      </c>
      <c r="V279" s="35">
        <f>IF($F279="","",IFERROR(INDEX(사건마스터!$AT$5:$AT$64,MATCH($F279,사건마스터!$A$5:$A$64,0)),""))</f>
        <v/>
      </c>
      <c r="W279" s="35">
        <f>IF($F279="","",IFERROR(INDEX(사건마스터!$AU$5:$AU$64,MATCH($F279,사건마스터!$A$5:$A$64,0)),""))</f>
        <v/>
      </c>
      <c r="X279" s="35">
        <f>IF($F279="","",IFERROR(INDEX(사건마스터!$AV$5:$AV$64,MATCH($F279,사건마스터!$A$5:$A$64,0)),""))</f>
        <v/>
      </c>
      <c r="Y279" s="30">
        <f>IF($I279="","",COUNTIF($I279:$X279,"?*"))</f>
        <v/>
      </c>
      <c r="Z279" s="33">
        <f>IF($I279="","",_xlfn.TEXTJOIN(", ",TRUE,$I279:$X279))</f>
        <v/>
      </c>
      <c r="AA279" s="34">
        <f>IF($I279="","",IFERROR(INDEX(코드설정!$D$5:$D$24,MATCH($I279,코드설정!$C$5:$C$24,0)),""))</f>
        <v/>
      </c>
      <c r="AB279" s="36" t="n"/>
      <c r="AC279" s="37" t="n"/>
      <c r="AD279" s="38" t="n"/>
      <c r="AE279" s="30">
        <f>IF(OR($B279="",$C279=""),"",$C279-$B279+1)</f>
        <v/>
      </c>
      <c r="AF279" s="32" t="n"/>
      <c r="AG279" s="36" t="n"/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3">
        <f>IF($F280="","",IFERROR(INDEX(사건마스터!$B$5:$B$64,MATCH($F280,사건마스터!$A$5:$A$64,0)),""))</f>
        <v/>
      </c>
      <c r="H280" s="34">
        <f>IF($F280="","",IFERROR(INDEX(사건마스터!$C$5:$C$64,MATCH($F280,사건마스터!$A$5:$A$64,0)),""))</f>
        <v/>
      </c>
      <c r="I280" s="35">
        <f>IF($F280="","",IFERROR(INDEX(사건마스터!$H$5:$H$64,MATCH($F280,사건마스터!$A$5:$A$64,0)),""))</f>
        <v/>
      </c>
      <c r="J280" s="35">
        <f>IF($F280="","",IFERROR(INDEX(사건마스터!$AH$5:$AH$64,MATCH($F280,사건마스터!$A$5:$A$64,0)),""))</f>
        <v/>
      </c>
      <c r="K280" s="35">
        <f>IF($F280="","",IFERROR(INDEX(사건마스터!$AI$5:$AI$64,MATCH($F280,사건마스터!$A$5:$A$64,0)),""))</f>
        <v/>
      </c>
      <c r="L280" s="35">
        <f>IF($F280="","",IFERROR(INDEX(사건마스터!$AJ$5:$AJ$64,MATCH($F280,사건마스터!$A$5:$A$64,0)),""))</f>
        <v/>
      </c>
      <c r="M280" s="35">
        <f>IF($F280="","",IFERROR(INDEX(사건마스터!$AK$5:$AK$64,MATCH($F280,사건마스터!$A$5:$A$64,0)),""))</f>
        <v/>
      </c>
      <c r="N280" s="35">
        <f>IF($F280="","",IFERROR(INDEX(사건마스터!$AL$5:$AL$64,MATCH($F280,사건마스터!$A$5:$A$64,0)),""))</f>
        <v/>
      </c>
      <c r="O280" s="35">
        <f>IF($F280="","",IFERROR(INDEX(사건마스터!$AM$5:$AM$64,MATCH($F280,사건마스터!$A$5:$A$64,0)),""))</f>
        <v/>
      </c>
      <c r="P280" s="35">
        <f>IF($F280="","",IFERROR(INDEX(사건마스터!$AN$5:$AN$64,MATCH($F280,사건마스터!$A$5:$A$64,0)),""))</f>
        <v/>
      </c>
      <c r="Q280" s="35">
        <f>IF($F280="","",IFERROR(INDEX(사건마스터!$AO$5:$AO$64,MATCH($F280,사건마스터!$A$5:$A$64,0)),""))</f>
        <v/>
      </c>
      <c r="R280" s="35">
        <f>IF($F280="","",IFERROR(INDEX(사건마스터!$AP$5:$AP$64,MATCH($F280,사건마스터!$A$5:$A$64,0)),""))</f>
        <v/>
      </c>
      <c r="S280" s="35">
        <f>IF($F280="","",IFERROR(INDEX(사건마스터!$AQ$5:$AQ$64,MATCH($F280,사건마스터!$A$5:$A$64,0)),""))</f>
        <v/>
      </c>
      <c r="T280" s="35">
        <f>IF($F280="","",IFERROR(INDEX(사건마스터!$AR$5:$AR$64,MATCH($F280,사건마스터!$A$5:$A$64,0)),""))</f>
        <v/>
      </c>
      <c r="U280" s="35">
        <f>IF($F280="","",IFERROR(INDEX(사건마스터!$AS$5:$AS$64,MATCH($F280,사건마스터!$A$5:$A$64,0)),""))</f>
        <v/>
      </c>
      <c r="V280" s="35">
        <f>IF($F280="","",IFERROR(INDEX(사건마스터!$AT$5:$AT$64,MATCH($F280,사건마스터!$A$5:$A$64,0)),""))</f>
        <v/>
      </c>
      <c r="W280" s="35">
        <f>IF($F280="","",IFERROR(INDEX(사건마스터!$AU$5:$AU$64,MATCH($F280,사건마스터!$A$5:$A$64,0)),""))</f>
        <v/>
      </c>
      <c r="X280" s="35">
        <f>IF($F280="","",IFERROR(INDEX(사건마스터!$AV$5:$AV$64,MATCH($F280,사건마스터!$A$5:$A$64,0)),""))</f>
        <v/>
      </c>
      <c r="Y280" s="30">
        <f>IF($I280="","",COUNTIF($I280:$X280,"?*"))</f>
        <v/>
      </c>
      <c r="Z280" s="33">
        <f>IF($I280="","",_xlfn.TEXTJOIN(", ",TRUE,$I280:$X280))</f>
        <v/>
      </c>
      <c r="AA280" s="34">
        <f>IF($I280="","",IFERROR(INDEX(코드설정!$D$5:$D$24,MATCH($I280,코드설정!$C$5:$C$24,0)),""))</f>
        <v/>
      </c>
      <c r="AB280" s="36" t="n"/>
      <c r="AC280" s="37" t="n"/>
      <c r="AD280" s="38" t="n"/>
      <c r="AE280" s="30">
        <f>IF(OR($B280="",$C280=""),"",$C280-$B280+1)</f>
        <v/>
      </c>
      <c r="AF280" s="32" t="n"/>
      <c r="AG280" s="36" t="n"/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3">
        <f>IF($F281="","",IFERROR(INDEX(사건마스터!$B$5:$B$64,MATCH($F281,사건마스터!$A$5:$A$64,0)),""))</f>
        <v/>
      </c>
      <c r="H281" s="34">
        <f>IF($F281="","",IFERROR(INDEX(사건마스터!$C$5:$C$64,MATCH($F281,사건마스터!$A$5:$A$64,0)),""))</f>
        <v/>
      </c>
      <c r="I281" s="35">
        <f>IF($F281="","",IFERROR(INDEX(사건마스터!$H$5:$H$64,MATCH($F281,사건마스터!$A$5:$A$64,0)),""))</f>
        <v/>
      </c>
      <c r="J281" s="35">
        <f>IF($F281="","",IFERROR(INDEX(사건마스터!$AH$5:$AH$64,MATCH($F281,사건마스터!$A$5:$A$64,0)),""))</f>
        <v/>
      </c>
      <c r="K281" s="35">
        <f>IF($F281="","",IFERROR(INDEX(사건마스터!$AI$5:$AI$64,MATCH($F281,사건마스터!$A$5:$A$64,0)),""))</f>
        <v/>
      </c>
      <c r="L281" s="35">
        <f>IF($F281="","",IFERROR(INDEX(사건마스터!$AJ$5:$AJ$64,MATCH($F281,사건마스터!$A$5:$A$64,0)),""))</f>
        <v/>
      </c>
      <c r="M281" s="35">
        <f>IF($F281="","",IFERROR(INDEX(사건마스터!$AK$5:$AK$64,MATCH($F281,사건마스터!$A$5:$A$64,0)),""))</f>
        <v/>
      </c>
      <c r="N281" s="35">
        <f>IF($F281="","",IFERROR(INDEX(사건마스터!$AL$5:$AL$64,MATCH($F281,사건마스터!$A$5:$A$64,0)),""))</f>
        <v/>
      </c>
      <c r="O281" s="35">
        <f>IF($F281="","",IFERROR(INDEX(사건마스터!$AM$5:$AM$64,MATCH($F281,사건마스터!$A$5:$A$64,0)),""))</f>
        <v/>
      </c>
      <c r="P281" s="35">
        <f>IF($F281="","",IFERROR(INDEX(사건마스터!$AN$5:$AN$64,MATCH($F281,사건마스터!$A$5:$A$64,0)),""))</f>
        <v/>
      </c>
      <c r="Q281" s="35">
        <f>IF($F281="","",IFERROR(INDEX(사건마스터!$AO$5:$AO$64,MATCH($F281,사건마스터!$A$5:$A$64,0)),""))</f>
        <v/>
      </c>
      <c r="R281" s="35">
        <f>IF($F281="","",IFERROR(INDEX(사건마스터!$AP$5:$AP$64,MATCH($F281,사건마스터!$A$5:$A$64,0)),""))</f>
        <v/>
      </c>
      <c r="S281" s="35">
        <f>IF($F281="","",IFERROR(INDEX(사건마스터!$AQ$5:$AQ$64,MATCH($F281,사건마스터!$A$5:$A$64,0)),""))</f>
        <v/>
      </c>
      <c r="T281" s="35">
        <f>IF($F281="","",IFERROR(INDEX(사건마스터!$AR$5:$AR$64,MATCH($F281,사건마스터!$A$5:$A$64,0)),""))</f>
        <v/>
      </c>
      <c r="U281" s="35">
        <f>IF($F281="","",IFERROR(INDEX(사건마스터!$AS$5:$AS$64,MATCH($F281,사건마스터!$A$5:$A$64,0)),""))</f>
        <v/>
      </c>
      <c r="V281" s="35">
        <f>IF($F281="","",IFERROR(INDEX(사건마스터!$AT$5:$AT$64,MATCH($F281,사건마스터!$A$5:$A$64,0)),""))</f>
        <v/>
      </c>
      <c r="W281" s="35">
        <f>IF($F281="","",IFERROR(INDEX(사건마스터!$AU$5:$AU$64,MATCH($F281,사건마스터!$A$5:$A$64,0)),""))</f>
        <v/>
      </c>
      <c r="X281" s="35">
        <f>IF($F281="","",IFERROR(INDEX(사건마스터!$AV$5:$AV$64,MATCH($F281,사건마스터!$A$5:$A$64,0)),""))</f>
        <v/>
      </c>
      <c r="Y281" s="30">
        <f>IF($I281="","",COUNTIF($I281:$X281,"?*"))</f>
        <v/>
      </c>
      <c r="Z281" s="33">
        <f>IF($I281="","",_xlfn.TEXTJOIN(", ",TRUE,$I281:$X281))</f>
        <v/>
      </c>
      <c r="AA281" s="34">
        <f>IF($I281="","",IFERROR(INDEX(코드설정!$D$5:$D$24,MATCH($I281,코드설정!$C$5:$C$24,0)),""))</f>
        <v/>
      </c>
      <c r="AB281" s="36" t="n"/>
      <c r="AC281" s="37" t="n"/>
      <c r="AD281" s="38" t="n"/>
      <c r="AE281" s="30">
        <f>IF(OR($B281="",$C281=""),"",$C281-$B281+1)</f>
        <v/>
      </c>
      <c r="AF281" s="32" t="n"/>
      <c r="AG281" s="36" t="n"/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3">
        <f>IF($F282="","",IFERROR(INDEX(사건마스터!$B$5:$B$64,MATCH($F282,사건마스터!$A$5:$A$64,0)),""))</f>
        <v/>
      </c>
      <c r="H282" s="34">
        <f>IF($F282="","",IFERROR(INDEX(사건마스터!$C$5:$C$64,MATCH($F282,사건마스터!$A$5:$A$64,0)),""))</f>
        <v/>
      </c>
      <c r="I282" s="35">
        <f>IF($F282="","",IFERROR(INDEX(사건마스터!$H$5:$H$64,MATCH($F282,사건마스터!$A$5:$A$64,0)),""))</f>
        <v/>
      </c>
      <c r="J282" s="35">
        <f>IF($F282="","",IFERROR(INDEX(사건마스터!$AH$5:$AH$64,MATCH($F282,사건마스터!$A$5:$A$64,0)),""))</f>
        <v/>
      </c>
      <c r="K282" s="35">
        <f>IF($F282="","",IFERROR(INDEX(사건마스터!$AI$5:$AI$64,MATCH($F282,사건마스터!$A$5:$A$64,0)),""))</f>
        <v/>
      </c>
      <c r="L282" s="35">
        <f>IF($F282="","",IFERROR(INDEX(사건마스터!$AJ$5:$AJ$64,MATCH($F282,사건마스터!$A$5:$A$64,0)),""))</f>
        <v/>
      </c>
      <c r="M282" s="35">
        <f>IF($F282="","",IFERROR(INDEX(사건마스터!$AK$5:$AK$64,MATCH($F282,사건마스터!$A$5:$A$64,0)),""))</f>
        <v/>
      </c>
      <c r="N282" s="35">
        <f>IF($F282="","",IFERROR(INDEX(사건마스터!$AL$5:$AL$64,MATCH($F282,사건마스터!$A$5:$A$64,0)),""))</f>
        <v/>
      </c>
      <c r="O282" s="35">
        <f>IF($F282="","",IFERROR(INDEX(사건마스터!$AM$5:$AM$64,MATCH($F282,사건마스터!$A$5:$A$64,0)),""))</f>
        <v/>
      </c>
      <c r="P282" s="35">
        <f>IF($F282="","",IFERROR(INDEX(사건마스터!$AN$5:$AN$64,MATCH($F282,사건마스터!$A$5:$A$64,0)),""))</f>
        <v/>
      </c>
      <c r="Q282" s="35">
        <f>IF($F282="","",IFERROR(INDEX(사건마스터!$AO$5:$AO$64,MATCH($F282,사건마스터!$A$5:$A$64,0)),""))</f>
        <v/>
      </c>
      <c r="R282" s="35">
        <f>IF($F282="","",IFERROR(INDEX(사건마스터!$AP$5:$AP$64,MATCH($F282,사건마스터!$A$5:$A$64,0)),""))</f>
        <v/>
      </c>
      <c r="S282" s="35">
        <f>IF($F282="","",IFERROR(INDEX(사건마스터!$AQ$5:$AQ$64,MATCH($F282,사건마스터!$A$5:$A$64,0)),""))</f>
        <v/>
      </c>
      <c r="T282" s="35">
        <f>IF($F282="","",IFERROR(INDEX(사건마스터!$AR$5:$AR$64,MATCH($F282,사건마스터!$A$5:$A$64,0)),""))</f>
        <v/>
      </c>
      <c r="U282" s="35">
        <f>IF($F282="","",IFERROR(INDEX(사건마스터!$AS$5:$AS$64,MATCH($F282,사건마스터!$A$5:$A$64,0)),""))</f>
        <v/>
      </c>
      <c r="V282" s="35">
        <f>IF($F282="","",IFERROR(INDEX(사건마스터!$AT$5:$AT$64,MATCH($F282,사건마스터!$A$5:$A$64,0)),""))</f>
        <v/>
      </c>
      <c r="W282" s="35">
        <f>IF($F282="","",IFERROR(INDEX(사건마스터!$AU$5:$AU$64,MATCH($F282,사건마스터!$A$5:$A$64,0)),""))</f>
        <v/>
      </c>
      <c r="X282" s="35">
        <f>IF($F282="","",IFERROR(INDEX(사건마스터!$AV$5:$AV$64,MATCH($F282,사건마스터!$A$5:$A$64,0)),""))</f>
        <v/>
      </c>
      <c r="Y282" s="30">
        <f>IF($I282="","",COUNTIF($I282:$X282,"?*"))</f>
        <v/>
      </c>
      <c r="Z282" s="33">
        <f>IF($I282="","",_xlfn.TEXTJOIN(", ",TRUE,$I282:$X282))</f>
        <v/>
      </c>
      <c r="AA282" s="34">
        <f>IF($I282="","",IFERROR(INDEX(코드설정!$D$5:$D$24,MATCH($I282,코드설정!$C$5:$C$24,0)),""))</f>
        <v/>
      </c>
      <c r="AB282" s="36" t="n"/>
      <c r="AC282" s="37" t="n"/>
      <c r="AD282" s="38" t="n"/>
      <c r="AE282" s="30">
        <f>IF(OR($B282="",$C282=""),"",$C282-$B282+1)</f>
        <v/>
      </c>
      <c r="AF282" s="32" t="n"/>
      <c r="AG282" s="36" t="n"/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3">
        <f>IF($F283="","",IFERROR(INDEX(사건마스터!$B$5:$B$64,MATCH($F283,사건마스터!$A$5:$A$64,0)),""))</f>
        <v/>
      </c>
      <c r="H283" s="34">
        <f>IF($F283="","",IFERROR(INDEX(사건마스터!$C$5:$C$64,MATCH($F283,사건마스터!$A$5:$A$64,0)),""))</f>
        <v/>
      </c>
      <c r="I283" s="35">
        <f>IF($F283="","",IFERROR(INDEX(사건마스터!$H$5:$H$64,MATCH($F283,사건마스터!$A$5:$A$64,0)),""))</f>
        <v/>
      </c>
      <c r="J283" s="35">
        <f>IF($F283="","",IFERROR(INDEX(사건마스터!$AH$5:$AH$64,MATCH($F283,사건마스터!$A$5:$A$64,0)),""))</f>
        <v/>
      </c>
      <c r="K283" s="35">
        <f>IF($F283="","",IFERROR(INDEX(사건마스터!$AI$5:$AI$64,MATCH($F283,사건마스터!$A$5:$A$64,0)),""))</f>
        <v/>
      </c>
      <c r="L283" s="35">
        <f>IF($F283="","",IFERROR(INDEX(사건마스터!$AJ$5:$AJ$64,MATCH($F283,사건마스터!$A$5:$A$64,0)),""))</f>
        <v/>
      </c>
      <c r="M283" s="35">
        <f>IF($F283="","",IFERROR(INDEX(사건마스터!$AK$5:$AK$64,MATCH($F283,사건마스터!$A$5:$A$64,0)),""))</f>
        <v/>
      </c>
      <c r="N283" s="35">
        <f>IF($F283="","",IFERROR(INDEX(사건마스터!$AL$5:$AL$64,MATCH($F283,사건마스터!$A$5:$A$64,0)),""))</f>
        <v/>
      </c>
      <c r="O283" s="35">
        <f>IF($F283="","",IFERROR(INDEX(사건마스터!$AM$5:$AM$64,MATCH($F283,사건마스터!$A$5:$A$64,0)),""))</f>
        <v/>
      </c>
      <c r="P283" s="35">
        <f>IF($F283="","",IFERROR(INDEX(사건마스터!$AN$5:$AN$64,MATCH($F283,사건마스터!$A$5:$A$64,0)),""))</f>
        <v/>
      </c>
      <c r="Q283" s="35">
        <f>IF($F283="","",IFERROR(INDEX(사건마스터!$AO$5:$AO$64,MATCH($F283,사건마스터!$A$5:$A$64,0)),""))</f>
        <v/>
      </c>
      <c r="R283" s="35">
        <f>IF($F283="","",IFERROR(INDEX(사건마스터!$AP$5:$AP$64,MATCH($F283,사건마스터!$A$5:$A$64,0)),""))</f>
        <v/>
      </c>
      <c r="S283" s="35">
        <f>IF($F283="","",IFERROR(INDEX(사건마스터!$AQ$5:$AQ$64,MATCH($F283,사건마스터!$A$5:$A$64,0)),""))</f>
        <v/>
      </c>
      <c r="T283" s="35">
        <f>IF($F283="","",IFERROR(INDEX(사건마스터!$AR$5:$AR$64,MATCH($F283,사건마스터!$A$5:$A$64,0)),""))</f>
        <v/>
      </c>
      <c r="U283" s="35">
        <f>IF($F283="","",IFERROR(INDEX(사건마스터!$AS$5:$AS$64,MATCH($F283,사건마스터!$A$5:$A$64,0)),""))</f>
        <v/>
      </c>
      <c r="V283" s="35">
        <f>IF($F283="","",IFERROR(INDEX(사건마스터!$AT$5:$AT$64,MATCH($F283,사건마스터!$A$5:$A$64,0)),""))</f>
        <v/>
      </c>
      <c r="W283" s="35">
        <f>IF($F283="","",IFERROR(INDEX(사건마스터!$AU$5:$AU$64,MATCH($F283,사건마스터!$A$5:$A$64,0)),""))</f>
        <v/>
      </c>
      <c r="X283" s="35">
        <f>IF($F283="","",IFERROR(INDEX(사건마스터!$AV$5:$AV$64,MATCH($F283,사건마스터!$A$5:$A$64,0)),""))</f>
        <v/>
      </c>
      <c r="Y283" s="30">
        <f>IF($I283="","",COUNTIF($I283:$X283,"?*"))</f>
        <v/>
      </c>
      <c r="Z283" s="33">
        <f>IF($I283="","",_xlfn.TEXTJOIN(", ",TRUE,$I283:$X283))</f>
        <v/>
      </c>
      <c r="AA283" s="34">
        <f>IF($I283="","",IFERROR(INDEX(코드설정!$D$5:$D$24,MATCH($I283,코드설정!$C$5:$C$24,0)),""))</f>
        <v/>
      </c>
      <c r="AB283" s="36" t="n"/>
      <c r="AC283" s="37" t="n"/>
      <c r="AD283" s="38" t="n"/>
      <c r="AE283" s="30">
        <f>IF(OR($B283="",$C283=""),"",$C283-$B283+1)</f>
        <v/>
      </c>
      <c r="AF283" s="32" t="n"/>
      <c r="AG283" s="36" t="n"/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3">
        <f>IF($F284="","",IFERROR(INDEX(사건마스터!$B$5:$B$64,MATCH($F284,사건마스터!$A$5:$A$64,0)),""))</f>
        <v/>
      </c>
      <c r="H284" s="34">
        <f>IF($F284="","",IFERROR(INDEX(사건마스터!$C$5:$C$64,MATCH($F284,사건마스터!$A$5:$A$64,0)),""))</f>
        <v/>
      </c>
      <c r="I284" s="35">
        <f>IF($F284="","",IFERROR(INDEX(사건마스터!$H$5:$H$64,MATCH($F284,사건마스터!$A$5:$A$64,0)),""))</f>
        <v/>
      </c>
      <c r="J284" s="35">
        <f>IF($F284="","",IFERROR(INDEX(사건마스터!$AH$5:$AH$64,MATCH($F284,사건마스터!$A$5:$A$64,0)),""))</f>
        <v/>
      </c>
      <c r="K284" s="35">
        <f>IF($F284="","",IFERROR(INDEX(사건마스터!$AI$5:$AI$64,MATCH($F284,사건마스터!$A$5:$A$64,0)),""))</f>
        <v/>
      </c>
      <c r="L284" s="35">
        <f>IF($F284="","",IFERROR(INDEX(사건마스터!$AJ$5:$AJ$64,MATCH($F284,사건마스터!$A$5:$A$64,0)),""))</f>
        <v/>
      </c>
      <c r="M284" s="35">
        <f>IF($F284="","",IFERROR(INDEX(사건마스터!$AK$5:$AK$64,MATCH($F284,사건마스터!$A$5:$A$64,0)),""))</f>
        <v/>
      </c>
      <c r="N284" s="35">
        <f>IF($F284="","",IFERROR(INDEX(사건마스터!$AL$5:$AL$64,MATCH($F284,사건마스터!$A$5:$A$64,0)),""))</f>
        <v/>
      </c>
      <c r="O284" s="35">
        <f>IF($F284="","",IFERROR(INDEX(사건마스터!$AM$5:$AM$64,MATCH($F284,사건마스터!$A$5:$A$64,0)),""))</f>
        <v/>
      </c>
      <c r="P284" s="35">
        <f>IF($F284="","",IFERROR(INDEX(사건마스터!$AN$5:$AN$64,MATCH($F284,사건마스터!$A$5:$A$64,0)),""))</f>
        <v/>
      </c>
      <c r="Q284" s="35">
        <f>IF($F284="","",IFERROR(INDEX(사건마스터!$AO$5:$AO$64,MATCH($F284,사건마스터!$A$5:$A$64,0)),""))</f>
        <v/>
      </c>
      <c r="R284" s="35">
        <f>IF($F284="","",IFERROR(INDEX(사건마스터!$AP$5:$AP$64,MATCH($F284,사건마스터!$A$5:$A$64,0)),""))</f>
        <v/>
      </c>
      <c r="S284" s="35">
        <f>IF($F284="","",IFERROR(INDEX(사건마스터!$AQ$5:$AQ$64,MATCH($F284,사건마스터!$A$5:$A$64,0)),""))</f>
        <v/>
      </c>
      <c r="T284" s="35">
        <f>IF($F284="","",IFERROR(INDEX(사건마스터!$AR$5:$AR$64,MATCH($F284,사건마스터!$A$5:$A$64,0)),""))</f>
        <v/>
      </c>
      <c r="U284" s="35">
        <f>IF($F284="","",IFERROR(INDEX(사건마스터!$AS$5:$AS$64,MATCH($F284,사건마스터!$A$5:$A$64,0)),""))</f>
        <v/>
      </c>
      <c r="V284" s="35">
        <f>IF($F284="","",IFERROR(INDEX(사건마스터!$AT$5:$AT$64,MATCH($F284,사건마스터!$A$5:$A$64,0)),""))</f>
        <v/>
      </c>
      <c r="W284" s="35">
        <f>IF($F284="","",IFERROR(INDEX(사건마스터!$AU$5:$AU$64,MATCH($F284,사건마스터!$A$5:$A$64,0)),""))</f>
        <v/>
      </c>
      <c r="X284" s="35">
        <f>IF($F284="","",IFERROR(INDEX(사건마스터!$AV$5:$AV$64,MATCH($F284,사건마스터!$A$5:$A$64,0)),""))</f>
        <v/>
      </c>
      <c r="Y284" s="30">
        <f>IF($I284="","",COUNTIF($I284:$X284,"?*"))</f>
        <v/>
      </c>
      <c r="Z284" s="33">
        <f>IF($I284="","",_xlfn.TEXTJOIN(", ",TRUE,$I284:$X284))</f>
        <v/>
      </c>
      <c r="AA284" s="34">
        <f>IF($I284="","",IFERROR(INDEX(코드설정!$D$5:$D$24,MATCH($I284,코드설정!$C$5:$C$24,0)),""))</f>
        <v/>
      </c>
      <c r="AB284" s="36" t="n"/>
      <c r="AC284" s="37" t="n"/>
      <c r="AD284" s="38" t="n"/>
      <c r="AE284" s="30">
        <f>IF(OR($B284="",$C284=""),"",$C284-$B284+1)</f>
        <v/>
      </c>
      <c r="AF284" s="32" t="n"/>
      <c r="AG284" s="36" t="n"/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3">
        <f>IF($F285="","",IFERROR(INDEX(사건마스터!$B$5:$B$64,MATCH($F285,사건마스터!$A$5:$A$64,0)),""))</f>
        <v/>
      </c>
      <c r="H285" s="34">
        <f>IF($F285="","",IFERROR(INDEX(사건마스터!$C$5:$C$64,MATCH($F285,사건마스터!$A$5:$A$64,0)),""))</f>
        <v/>
      </c>
      <c r="I285" s="35">
        <f>IF($F285="","",IFERROR(INDEX(사건마스터!$H$5:$H$64,MATCH($F285,사건마스터!$A$5:$A$64,0)),""))</f>
        <v/>
      </c>
      <c r="J285" s="35">
        <f>IF($F285="","",IFERROR(INDEX(사건마스터!$AH$5:$AH$64,MATCH($F285,사건마스터!$A$5:$A$64,0)),""))</f>
        <v/>
      </c>
      <c r="K285" s="35">
        <f>IF($F285="","",IFERROR(INDEX(사건마스터!$AI$5:$AI$64,MATCH($F285,사건마스터!$A$5:$A$64,0)),""))</f>
        <v/>
      </c>
      <c r="L285" s="35">
        <f>IF($F285="","",IFERROR(INDEX(사건마스터!$AJ$5:$AJ$64,MATCH($F285,사건마스터!$A$5:$A$64,0)),""))</f>
        <v/>
      </c>
      <c r="M285" s="35">
        <f>IF($F285="","",IFERROR(INDEX(사건마스터!$AK$5:$AK$64,MATCH($F285,사건마스터!$A$5:$A$64,0)),""))</f>
        <v/>
      </c>
      <c r="N285" s="35">
        <f>IF($F285="","",IFERROR(INDEX(사건마스터!$AL$5:$AL$64,MATCH($F285,사건마스터!$A$5:$A$64,0)),""))</f>
        <v/>
      </c>
      <c r="O285" s="35">
        <f>IF($F285="","",IFERROR(INDEX(사건마스터!$AM$5:$AM$64,MATCH($F285,사건마스터!$A$5:$A$64,0)),""))</f>
        <v/>
      </c>
      <c r="P285" s="35">
        <f>IF($F285="","",IFERROR(INDEX(사건마스터!$AN$5:$AN$64,MATCH($F285,사건마스터!$A$5:$A$64,0)),""))</f>
        <v/>
      </c>
      <c r="Q285" s="35">
        <f>IF($F285="","",IFERROR(INDEX(사건마스터!$AO$5:$AO$64,MATCH($F285,사건마스터!$A$5:$A$64,0)),""))</f>
        <v/>
      </c>
      <c r="R285" s="35">
        <f>IF($F285="","",IFERROR(INDEX(사건마스터!$AP$5:$AP$64,MATCH($F285,사건마스터!$A$5:$A$64,0)),""))</f>
        <v/>
      </c>
      <c r="S285" s="35">
        <f>IF($F285="","",IFERROR(INDEX(사건마스터!$AQ$5:$AQ$64,MATCH($F285,사건마스터!$A$5:$A$64,0)),""))</f>
        <v/>
      </c>
      <c r="T285" s="35">
        <f>IF($F285="","",IFERROR(INDEX(사건마스터!$AR$5:$AR$64,MATCH($F285,사건마스터!$A$5:$A$64,0)),""))</f>
        <v/>
      </c>
      <c r="U285" s="35">
        <f>IF($F285="","",IFERROR(INDEX(사건마스터!$AS$5:$AS$64,MATCH($F285,사건마스터!$A$5:$A$64,0)),""))</f>
        <v/>
      </c>
      <c r="V285" s="35">
        <f>IF($F285="","",IFERROR(INDEX(사건마스터!$AT$5:$AT$64,MATCH($F285,사건마스터!$A$5:$A$64,0)),""))</f>
        <v/>
      </c>
      <c r="W285" s="35">
        <f>IF($F285="","",IFERROR(INDEX(사건마스터!$AU$5:$AU$64,MATCH($F285,사건마스터!$A$5:$A$64,0)),""))</f>
        <v/>
      </c>
      <c r="X285" s="35">
        <f>IF($F285="","",IFERROR(INDEX(사건마스터!$AV$5:$AV$64,MATCH($F285,사건마스터!$A$5:$A$64,0)),""))</f>
        <v/>
      </c>
      <c r="Y285" s="30">
        <f>IF($I285="","",COUNTIF($I285:$X285,"?*"))</f>
        <v/>
      </c>
      <c r="Z285" s="33">
        <f>IF($I285="","",_xlfn.TEXTJOIN(", ",TRUE,$I285:$X285))</f>
        <v/>
      </c>
      <c r="AA285" s="34">
        <f>IF($I285="","",IFERROR(INDEX(코드설정!$D$5:$D$24,MATCH($I285,코드설정!$C$5:$C$24,0)),""))</f>
        <v/>
      </c>
      <c r="AB285" s="36" t="n"/>
      <c r="AC285" s="37" t="n"/>
      <c r="AD285" s="38" t="n"/>
      <c r="AE285" s="30">
        <f>IF(OR($B285="",$C285=""),"",$C285-$B285+1)</f>
        <v/>
      </c>
      <c r="AF285" s="32" t="n"/>
      <c r="AG285" s="36" t="n"/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3">
        <f>IF($F286="","",IFERROR(INDEX(사건마스터!$B$5:$B$64,MATCH($F286,사건마스터!$A$5:$A$64,0)),""))</f>
        <v/>
      </c>
      <c r="H286" s="34">
        <f>IF($F286="","",IFERROR(INDEX(사건마스터!$C$5:$C$64,MATCH($F286,사건마스터!$A$5:$A$64,0)),""))</f>
        <v/>
      </c>
      <c r="I286" s="35">
        <f>IF($F286="","",IFERROR(INDEX(사건마스터!$H$5:$H$64,MATCH($F286,사건마스터!$A$5:$A$64,0)),""))</f>
        <v/>
      </c>
      <c r="J286" s="35">
        <f>IF($F286="","",IFERROR(INDEX(사건마스터!$AH$5:$AH$64,MATCH($F286,사건마스터!$A$5:$A$64,0)),""))</f>
        <v/>
      </c>
      <c r="K286" s="35">
        <f>IF($F286="","",IFERROR(INDEX(사건마스터!$AI$5:$AI$64,MATCH($F286,사건마스터!$A$5:$A$64,0)),""))</f>
        <v/>
      </c>
      <c r="L286" s="35">
        <f>IF($F286="","",IFERROR(INDEX(사건마스터!$AJ$5:$AJ$64,MATCH($F286,사건마스터!$A$5:$A$64,0)),""))</f>
        <v/>
      </c>
      <c r="M286" s="35">
        <f>IF($F286="","",IFERROR(INDEX(사건마스터!$AK$5:$AK$64,MATCH($F286,사건마스터!$A$5:$A$64,0)),""))</f>
        <v/>
      </c>
      <c r="N286" s="35">
        <f>IF($F286="","",IFERROR(INDEX(사건마스터!$AL$5:$AL$64,MATCH($F286,사건마스터!$A$5:$A$64,0)),""))</f>
        <v/>
      </c>
      <c r="O286" s="35">
        <f>IF($F286="","",IFERROR(INDEX(사건마스터!$AM$5:$AM$64,MATCH($F286,사건마스터!$A$5:$A$64,0)),""))</f>
        <v/>
      </c>
      <c r="P286" s="35">
        <f>IF($F286="","",IFERROR(INDEX(사건마스터!$AN$5:$AN$64,MATCH($F286,사건마스터!$A$5:$A$64,0)),""))</f>
        <v/>
      </c>
      <c r="Q286" s="35">
        <f>IF($F286="","",IFERROR(INDEX(사건마스터!$AO$5:$AO$64,MATCH($F286,사건마스터!$A$5:$A$64,0)),""))</f>
        <v/>
      </c>
      <c r="R286" s="35">
        <f>IF($F286="","",IFERROR(INDEX(사건마스터!$AP$5:$AP$64,MATCH($F286,사건마스터!$A$5:$A$64,0)),""))</f>
        <v/>
      </c>
      <c r="S286" s="35">
        <f>IF($F286="","",IFERROR(INDEX(사건마스터!$AQ$5:$AQ$64,MATCH($F286,사건마스터!$A$5:$A$64,0)),""))</f>
        <v/>
      </c>
      <c r="T286" s="35">
        <f>IF($F286="","",IFERROR(INDEX(사건마스터!$AR$5:$AR$64,MATCH($F286,사건마스터!$A$5:$A$64,0)),""))</f>
        <v/>
      </c>
      <c r="U286" s="35">
        <f>IF($F286="","",IFERROR(INDEX(사건마스터!$AS$5:$AS$64,MATCH($F286,사건마스터!$A$5:$A$64,0)),""))</f>
        <v/>
      </c>
      <c r="V286" s="35">
        <f>IF($F286="","",IFERROR(INDEX(사건마스터!$AT$5:$AT$64,MATCH($F286,사건마스터!$A$5:$A$64,0)),""))</f>
        <v/>
      </c>
      <c r="W286" s="35">
        <f>IF($F286="","",IFERROR(INDEX(사건마스터!$AU$5:$AU$64,MATCH($F286,사건마스터!$A$5:$A$64,0)),""))</f>
        <v/>
      </c>
      <c r="X286" s="35">
        <f>IF($F286="","",IFERROR(INDEX(사건마스터!$AV$5:$AV$64,MATCH($F286,사건마스터!$A$5:$A$64,0)),""))</f>
        <v/>
      </c>
      <c r="Y286" s="30">
        <f>IF($I286="","",COUNTIF($I286:$X286,"?*"))</f>
        <v/>
      </c>
      <c r="Z286" s="33">
        <f>IF($I286="","",_xlfn.TEXTJOIN(", ",TRUE,$I286:$X286))</f>
        <v/>
      </c>
      <c r="AA286" s="34">
        <f>IF($I286="","",IFERROR(INDEX(코드설정!$D$5:$D$24,MATCH($I286,코드설정!$C$5:$C$24,0)),""))</f>
        <v/>
      </c>
      <c r="AB286" s="36" t="n"/>
      <c r="AC286" s="37" t="n"/>
      <c r="AD286" s="38" t="n"/>
      <c r="AE286" s="30">
        <f>IF(OR($B286="",$C286=""),"",$C286-$B286+1)</f>
        <v/>
      </c>
      <c r="AF286" s="32" t="n"/>
      <c r="AG286" s="36" t="n"/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3">
        <f>IF($F287="","",IFERROR(INDEX(사건마스터!$B$5:$B$64,MATCH($F287,사건마스터!$A$5:$A$64,0)),""))</f>
        <v/>
      </c>
      <c r="H287" s="34">
        <f>IF($F287="","",IFERROR(INDEX(사건마스터!$C$5:$C$64,MATCH($F287,사건마스터!$A$5:$A$64,0)),""))</f>
        <v/>
      </c>
      <c r="I287" s="35">
        <f>IF($F287="","",IFERROR(INDEX(사건마스터!$H$5:$H$64,MATCH($F287,사건마스터!$A$5:$A$64,0)),""))</f>
        <v/>
      </c>
      <c r="J287" s="35">
        <f>IF($F287="","",IFERROR(INDEX(사건마스터!$AH$5:$AH$64,MATCH($F287,사건마스터!$A$5:$A$64,0)),""))</f>
        <v/>
      </c>
      <c r="K287" s="35">
        <f>IF($F287="","",IFERROR(INDEX(사건마스터!$AI$5:$AI$64,MATCH($F287,사건마스터!$A$5:$A$64,0)),""))</f>
        <v/>
      </c>
      <c r="L287" s="35">
        <f>IF($F287="","",IFERROR(INDEX(사건마스터!$AJ$5:$AJ$64,MATCH($F287,사건마스터!$A$5:$A$64,0)),""))</f>
        <v/>
      </c>
      <c r="M287" s="35">
        <f>IF($F287="","",IFERROR(INDEX(사건마스터!$AK$5:$AK$64,MATCH($F287,사건마스터!$A$5:$A$64,0)),""))</f>
        <v/>
      </c>
      <c r="N287" s="35">
        <f>IF($F287="","",IFERROR(INDEX(사건마스터!$AL$5:$AL$64,MATCH($F287,사건마스터!$A$5:$A$64,0)),""))</f>
        <v/>
      </c>
      <c r="O287" s="35">
        <f>IF($F287="","",IFERROR(INDEX(사건마스터!$AM$5:$AM$64,MATCH($F287,사건마스터!$A$5:$A$64,0)),""))</f>
        <v/>
      </c>
      <c r="P287" s="35">
        <f>IF($F287="","",IFERROR(INDEX(사건마스터!$AN$5:$AN$64,MATCH($F287,사건마스터!$A$5:$A$64,0)),""))</f>
        <v/>
      </c>
      <c r="Q287" s="35">
        <f>IF($F287="","",IFERROR(INDEX(사건마스터!$AO$5:$AO$64,MATCH($F287,사건마스터!$A$5:$A$64,0)),""))</f>
        <v/>
      </c>
      <c r="R287" s="35">
        <f>IF($F287="","",IFERROR(INDEX(사건마스터!$AP$5:$AP$64,MATCH($F287,사건마스터!$A$5:$A$64,0)),""))</f>
        <v/>
      </c>
      <c r="S287" s="35">
        <f>IF($F287="","",IFERROR(INDEX(사건마스터!$AQ$5:$AQ$64,MATCH($F287,사건마스터!$A$5:$A$64,0)),""))</f>
        <v/>
      </c>
      <c r="T287" s="35">
        <f>IF($F287="","",IFERROR(INDEX(사건마스터!$AR$5:$AR$64,MATCH($F287,사건마스터!$A$5:$A$64,0)),""))</f>
        <v/>
      </c>
      <c r="U287" s="35">
        <f>IF($F287="","",IFERROR(INDEX(사건마스터!$AS$5:$AS$64,MATCH($F287,사건마스터!$A$5:$A$64,0)),""))</f>
        <v/>
      </c>
      <c r="V287" s="35">
        <f>IF($F287="","",IFERROR(INDEX(사건마스터!$AT$5:$AT$64,MATCH($F287,사건마스터!$A$5:$A$64,0)),""))</f>
        <v/>
      </c>
      <c r="W287" s="35">
        <f>IF($F287="","",IFERROR(INDEX(사건마스터!$AU$5:$AU$64,MATCH($F287,사건마스터!$A$5:$A$64,0)),""))</f>
        <v/>
      </c>
      <c r="X287" s="35">
        <f>IF($F287="","",IFERROR(INDEX(사건마스터!$AV$5:$AV$64,MATCH($F287,사건마스터!$A$5:$A$64,0)),""))</f>
        <v/>
      </c>
      <c r="Y287" s="30">
        <f>IF($I287="","",COUNTIF($I287:$X287,"?*"))</f>
        <v/>
      </c>
      <c r="Z287" s="33">
        <f>IF($I287="","",_xlfn.TEXTJOIN(", ",TRUE,$I287:$X287))</f>
        <v/>
      </c>
      <c r="AA287" s="34">
        <f>IF($I287="","",IFERROR(INDEX(코드설정!$D$5:$D$24,MATCH($I287,코드설정!$C$5:$C$24,0)),""))</f>
        <v/>
      </c>
      <c r="AB287" s="36" t="n"/>
      <c r="AC287" s="37" t="n"/>
      <c r="AD287" s="38" t="n"/>
      <c r="AE287" s="30">
        <f>IF(OR($B287="",$C287=""),"",$C287-$B287+1)</f>
        <v/>
      </c>
      <c r="AF287" s="32" t="n"/>
      <c r="AG287" s="36" t="n"/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3">
        <f>IF($F288="","",IFERROR(INDEX(사건마스터!$B$5:$B$64,MATCH($F288,사건마스터!$A$5:$A$64,0)),""))</f>
        <v/>
      </c>
      <c r="H288" s="34">
        <f>IF($F288="","",IFERROR(INDEX(사건마스터!$C$5:$C$64,MATCH($F288,사건마스터!$A$5:$A$64,0)),""))</f>
        <v/>
      </c>
      <c r="I288" s="35">
        <f>IF($F288="","",IFERROR(INDEX(사건마스터!$H$5:$H$64,MATCH($F288,사건마스터!$A$5:$A$64,0)),""))</f>
        <v/>
      </c>
      <c r="J288" s="35">
        <f>IF($F288="","",IFERROR(INDEX(사건마스터!$AH$5:$AH$64,MATCH($F288,사건마스터!$A$5:$A$64,0)),""))</f>
        <v/>
      </c>
      <c r="K288" s="35">
        <f>IF($F288="","",IFERROR(INDEX(사건마스터!$AI$5:$AI$64,MATCH($F288,사건마스터!$A$5:$A$64,0)),""))</f>
        <v/>
      </c>
      <c r="L288" s="35">
        <f>IF($F288="","",IFERROR(INDEX(사건마스터!$AJ$5:$AJ$64,MATCH($F288,사건마스터!$A$5:$A$64,0)),""))</f>
        <v/>
      </c>
      <c r="M288" s="35">
        <f>IF($F288="","",IFERROR(INDEX(사건마스터!$AK$5:$AK$64,MATCH($F288,사건마스터!$A$5:$A$64,0)),""))</f>
        <v/>
      </c>
      <c r="N288" s="35">
        <f>IF($F288="","",IFERROR(INDEX(사건마스터!$AL$5:$AL$64,MATCH($F288,사건마스터!$A$5:$A$64,0)),""))</f>
        <v/>
      </c>
      <c r="O288" s="35">
        <f>IF($F288="","",IFERROR(INDEX(사건마스터!$AM$5:$AM$64,MATCH($F288,사건마스터!$A$5:$A$64,0)),""))</f>
        <v/>
      </c>
      <c r="P288" s="35">
        <f>IF($F288="","",IFERROR(INDEX(사건마스터!$AN$5:$AN$64,MATCH($F288,사건마스터!$A$5:$A$64,0)),""))</f>
        <v/>
      </c>
      <c r="Q288" s="35">
        <f>IF($F288="","",IFERROR(INDEX(사건마스터!$AO$5:$AO$64,MATCH($F288,사건마스터!$A$5:$A$64,0)),""))</f>
        <v/>
      </c>
      <c r="R288" s="35">
        <f>IF($F288="","",IFERROR(INDEX(사건마스터!$AP$5:$AP$64,MATCH($F288,사건마스터!$A$5:$A$64,0)),""))</f>
        <v/>
      </c>
      <c r="S288" s="35">
        <f>IF($F288="","",IFERROR(INDEX(사건마스터!$AQ$5:$AQ$64,MATCH($F288,사건마스터!$A$5:$A$64,0)),""))</f>
        <v/>
      </c>
      <c r="T288" s="35">
        <f>IF($F288="","",IFERROR(INDEX(사건마스터!$AR$5:$AR$64,MATCH($F288,사건마스터!$A$5:$A$64,0)),""))</f>
        <v/>
      </c>
      <c r="U288" s="35">
        <f>IF($F288="","",IFERROR(INDEX(사건마스터!$AS$5:$AS$64,MATCH($F288,사건마스터!$A$5:$A$64,0)),""))</f>
        <v/>
      </c>
      <c r="V288" s="35">
        <f>IF($F288="","",IFERROR(INDEX(사건마스터!$AT$5:$AT$64,MATCH($F288,사건마스터!$A$5:$A$64,0)),""))</f>
        <v/>
      </c>
      <c r="W288" s="35">
        <f>IF($F288="","",IFERROR(INDEX(사건마스터!$AU$5:$AU$64,MATCH($F288,사건마스터!$A$5:$A$64,0)),""))</f>
        <v/>
      </c>
      <c r="X288" s="35">
        <f>IF($F288="","",IFERROR(INDEX(사건마스터!$AV$5:$AV$64,MATCH($F288,사건마스터!$A$5:$A$64,0)),""))</f>
        <v/>
      </c>
      <c r="Y288" s="30">
        <f>IF($I288="","",COUNTIF($I288:$X288,"?*"))</f>
        <v/>
      </c>
      <c r="Z288" s="33">
        <f>IF($I288="","",_xlfn.TEXTJOIN(", ",TRUE,$I288:$X288))</f>
        <v/>
      </c>
      <c r="AA288" s="34">
        <f>IF($I288="","",IFERROR(INDEX(코드설정!$D$5:$D$24,MATCH($I288,코드설정!$C$5:$C$24,0)),""))</f>
        <v/>
      </c>
      <c r="AB288" s="36" t="n"/>
      <c r="AC288" s="37" t="n"/>
      <c r="AD288" s="38" t="n"/>
      <c r="AE288" s="30">
        <f>IF(OR($B288="",$C288=""),"",$C288-$B288+1)</f>
        <v/>
      </c>
      <c r="AF288" s="32" t="n"/>
      <c r="AG288" s="36" t="n"/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3">
        <f>IF($F289="","",IFERROR(INDEX(사건마스터!$B$5:$B$64,MATCH($F289,사건마스터!$A$5:$A$64,0)),""))</f>
        <v/>
      </c>
      <c r="H289" s="34">
        <f>IF($F289="","",IFERROR(INDEX(사건마스터!$C$5:$C$64,MATCH($F289,사건마스터!$A$5:$A$64,0)),""))</f>
        <v/>
      </c>
      <c r="I289" s="35">
        <f>IF($F289="","",IFERROR(INDEX(사건마스터!$H$5:$H$64,MATCH($F289,사건마스터!$A$5:$A$64,0)),""))</f>
        <v/>
      </c>
      <c r="J289" s="35">
        <f>IF($F289="","",IFERROR(INDEX(사건마스터!$AH$5:$AH$64,MATCH($F289,사건마스터!$A$5:$A$64,0)),""))</f>
        <v/>
      </c>
      <c r="K289" s="35">
        <f>IF($F289="","",IFERROR(INDEX(사건마스터!$AI$5:$AI$64,MATCH($F289,사건마스터!$A$5:$A$64,0)),""))</f>
        <v/>
      </c>
      <c r="L289" s="35">
        <f>IF($F289="","",IFERROR(INDEX(사건마스터!$AJ$5:$AJ$64,MATCH($F289,사건마스터!$A$5:$A$64,0)),""))</f>
        <v/>
      </c>
      <c r="M289" s="35">
        <f>IF($F289="","",IFERROR(INDEX(사건마스터!$AK$5:$AK$64,MATCH($F289,사건마스터!$A$5:$A$64,0)),""))</f>
        <v/>
      </c>
      <c r="N289" s="35">
        <f>IF($F289="","",IFERROR(INDEX(사건마스터!$AL$5:$AL$64,MATCH($F289,사건마스터!$A$5:$A$64,0)),""))</f>
        <v/>
      </c>
      <c r="O289" s="35">
        <f>IF($F289="","",IFERROR(INDEX(사건마스터!$AM$5:$AM$64,MATCH($F289,사건마스터!$A$5:$A$64,0)),""))</f>
        <v/>
      </c>
      <c r="P289" s="35">
        <f>IF($F289="","",IFERROR(INDEX(사건마스터!$AN$5:$AN$64,MATCH($F289,사건마스터!$A$5:$A$64,0)),""))</f>
        <v/>
      </c>
      <c r="Q289" s="35">
        <f>IF($F289="","",IFERROR(INDEX(사건마스터!$AO$5:$AO$64,MATCH($F289,사건마스터!$A$5:$A$64,0)),""))</f>
        <v/>
      </c>
      <c r="R289" s="35">
        <f>IF($F289="","",IFERROR(INDEX(사건마스터!$AP$5:$AP$64,MATCH($F289,사건마스터!$A$5:$A$64,0)),""))</f>
        <v/>
      </c>
      <c r="S289" s="35">
        <f>IF($F289="","",IFERROR(INDEX(사건마스터!$AQ$5:$AQ$64,MATCH($F289,사건마스터!$A$5:$A$64,0)),""))</f>
        <v/>
      </c>
      <c r="T289" s="35">
        <f>IF($F289="","",IFERROR(INDEX(사건마스터!$AR$5:$AR$64,MATCH($F289,사건마스터!$A$5:$A$64,0)),""))</f>
        <v/>
      </c>
      <c r="U289" s="35">
        <f>IF($F289="","",IFERROR(INDEX(사건마스터!$AS$5:$AS$64,MATCH($F289,사건마스터!$A$5:$A$64,0)),""))</f>
        <v/>
      </c>
      <c r="V289" s="35">
        <f>IF($F289="","",IFERROR(INDEX(사건마스터!$AT$5:$AT$64,MATCH($F289,사건마스터!$A$5:$A$64,0)),""))</f>
        <v/>
      </c>
      <c r="W289" s="35">
        <f>IF($F289="","",IFERROR(INDEX(사건마스터!$AU$5:$AU$64,MATCH($F289,사건마스터!$A$5:$A$64,0)),""))</f>
        <v/>
      </c>
      <c r="X289" s="35">
        <f>IF($F289="","",IFERROR(INDEX(사건마스터!$AV$5:$AV$64,MATCH($F289,사건마스터!$A$5:$A$64,0)),""))</f>
        <v/>
      </c>
      <c r="Y289" s="30">
        <f>IF($I289="","",COUNTIF($I289:$X289,"?*"))</f>
        <v/>
      </c>
      <c r="Z289" s="33">
        <f>IF($I289="","",_xlfn.TEXTJOIN(", ",TRUE,$I289:$X289))</f>
        <v/>
      </c>
      <c r="AA289" s="34">
        <f>IF($I289="","",IFERROR(INDEX(코드설정!$D$5:$D$24,MATCH($I289,코드설정!$C$5:$C$24,0)),""))</f>
        <v/>
      </c>
      <c r="AB289" s="36" t="n"/>
      <c r="AC289" s="37" t="n"/>
      <c r="AD289" s="38" t="n"/>
      <c r="AE289" s="30">
        <f>IF(OR($B289="",$C289=""),"",$C289-$B289+1)</f>
        <v/>
      </c>
      <c r="AF289" s="32" t="n"/>
      <c r="AG289" s="36" t="n"/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3">
        <f>IF($F290="","",IFERROR(INDEX(사건마스터!$B$5:$B$64,MATCH($F290,사건마스터!$A$5:$A$64,0)),""))</f>
        <v/>
      </c>
      <c r="H290" s="34">
        <f>IF($F290="","",IFERROR(INDEX(사건마스터!$C$5:$C$64,MATCH($F290,사건마스터!$A$5:$A$64,0)),""))</f>
        <v/>
      </c>
      <c r="I290" s="35">
        <f>IF($F290="","",IFERROR(INDEX(사건마스터!$H$5:$H$64,MATCH($F290,사건마스터!$A$5:$A$64,0)),""))</f>
        <v/>
      </c>
      <c r="J290" s="35">
        <f>IF($F290="","",IFERROR(INDEX(사건마스터!$AH$5:$AH$64,MATCH($F290,사건마스터!$A$5:$A$64,0)),""))</f>
        <v/>
      </c>
      <c r="K290" s="35">
        <f>IF($F290="","",IFERROR(INDEX(사건마스터!$AI$5:$AI$64,MATCH($F290,사건마스터!$A$5:$A$64,0)),""))</f>
        <v/>
      </c>
      <c r="L290" s="35">
        <f>IF($F290="","",IFERROR(INDEX(사건마스터!$AJ$5:$AJ$64,MATCH($F290,사건마스터!$A$5:$A$64,0)),""))</f>
        <v/>
      </c>
      <c r="M290" s="35">
        <f>IF($F290="","",IFERROR(INDEX(사건마스터!$AK$5:$AK$64,MATCH($F290,사건마스터!$A$5:$A$64,0)),""))</f>
        <v/>
      </c>
      <c r="N290" s="35">
        <f>IF($F290="","",IFERROR(INDEX(사건마스터!$AL$5:$AL$64,MATCH($F290,사건마스터!$A$5:$A$64,0)),""))</f>
        <v/>
      </c>
      <c r="O290" s="35">
        <f>IF($F290="","",IFERROR(INDEX(사건마스터!$AM$5:$AM$64,MATCH($F290,사건마스터!$A$5:$A$64,0)),""))</f>
        <v/>
      </c>
      <c r="P290" s="35">
        <f>IF($F290="","",IFERROR(INDEX(사건마스터!$AN$5:$AN$64,MATCH($F290,사건마스터!$A$5:$A$64,0)),""))</f>
        <v/>
      </c>
      <c r="Q290" s="35">
        <f>IF($F290="","",IFERROR(INDEX(사건마스터!$AO$5:$AO$64,MATCH($F290,사건마스터!$A$5:$A$64,0)),""))</f>
        <v/>
      </c>
      <c r="R290" s="35">
        <f>IF($F290="","",IFERROR(INDEX(사건마스터!$AP$5:$AP$64,MATCH($F290,사건마스터!$A$5:$A$64,0)),""))</f>
        <v/>
      </c>
      <c r="S290" s="35">
        <f>IF($F290="","",IFERROR(INDEX(사건마스터!$AQ$5:$AQ$64,MATCH($F290,사건마스터!$A$5:$A$64,0)),""))</f>
        <v/>
      </c>
      <c r="T290" s="35">
        <f>IF($F290="","",IFERROR(INDEX(사건마스터!$AR$5:$AR$64,MATCH($F290,사건마스터!$A$5:$A$64,0)),""))</f>
        <v/>
      </c>
      <c r="U290" s="35">
        <f>IF($F290="","",IFERROR(INDEX(사건마스터!$AS$5:$AS$64,MATCH($F290,사건마스터!$A$5:$A$64,0)),""))</f>
        <v/>
      </c>
      <c r="V290" s="35">
        <f>IF($F290="","",IFERROR(INDEX(사건마스터!$AT$5:$AT$64,MATCH($F290,사건마스터!$A$5:$A$64,0)),""))</f>
        <v/>
      </c>
      <c r="W290" s="35">
        <f>IF($F290="","",IFERROR(INDEX(사건마스터!$AU$5:$AU$64,MATCH($F290,사건마스터!$A$5:$A$64,0)),""))</f>
        <v/>
      </c>
      <c r="X290" s="35">
        <f>IF($F290="","",IFERROR(INDEX(사건마스터!$AV$5:$AV$64,MATCH($F290,사건마스터!$A$5:$A$64,0)),""))</f>
        <v/>
      </c>
      <c r="Y290" s="30">
        <f>IF($I290="","",COUNTIF($I290:$X290,"?*"))</f>
        <v/>
      </c>
      <c r="Z290" s="33">
        <f>IF($I290="","",_xlfn.TEXTJOIN(", ",TRUE,$I290:$X290))</f>
        <v/>
      </c>
      <c r="AA290" s="34">
        <f>IF($I290="","",IFERROR(INDEX(코드설정!$D$5:$D$24,MATCH($I290,코드설정!$C$5:$C$24,0)),""))</f>
        <v/>
      </c>
      <c r="AB290" s="36" t="n"/>
      <c r="AC290" s="37" t="n"/>
      <c r="AD290" s="38" t="n"/>
      <c r="AE290" s="30">
        <f>IF(OR($B290="",$C290=""),"",$C290-$B290+1)</f>
        <v/>
      </c>
      <c r="AF290" s="32" t="n"/>
      <c r="AG290" s="36" t="n"/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3">
        <f>IF($F291="","",IFERROR(INDEX(사건마스터!$B$5:$B$64,MATCH($F291,사건마스터!$A$5:$A$64,0)),""))</f>
        <v/>
      </c>
      <c r="H291" s="34">
        <f>IF($F291="","",IFERROR(INDEX(사건마스터!$C$5:$C$64,MATCH($F291,사건마스터!$A$5:$A$64,0)),""))</f>
        <v/>
      </c>
      <c r="I291" s="35">
        <f>IF($F291="","",IFERROR(INDEX(사건마스터!$H$5:$H$64,MATCH($F291,사건마스터!$A$5:$A$64,0)),""))</f>
        <v/>
      </c>
      <c r="J291" s="35">
        <f>IF($F291="","",IFERROR(INDEX(사건마스터!$AH$5:$AH$64,MATCH($F291,사건마스터!$A$5:$A$64,0)),""))</f>
        <v/>
      </c>
      <c r="K291" s="35">
        <f>IF($F291="","",IFERROR(INDEX(사건마스터!$AI$5:$AI$64,MATCH($F291,사건마스터!$A$5:$A$64,0)),""))</f>
        <v/>
      </c>
      <c r="L291" s="35">
        <f>IF($F291="","",IFERROR(INDEX(사건마스터!$AJ$5:$AJ$64,MATCH($F291,사건마스터!$A$5:$A$64,0)),""))</f>
        <v/>
      </c>
      <c r="M291" s="35">
        <f>IF($F291="","",IFERROR(INDEX(사건마스터!$AK$5:$AK$64,MATCH($F291,사건마스터!$A$5:$A$64,0)),""))</f>
        <v/>
      </c>
      <c r="N291" s="35">
        <f>IF($F291="","",IFERROR(INDEX(사건마스터!$AL$5:$AL$64,MATCH($F291,사건마스터!$A$5:$A$64,0)),""))</f>
        <v/>
      </c>
      <c r="O291" s="35">
        <f>IF($F291="","",IFERROR(INDEX(사건마스터!$AM$5:$AM$64,MATCH($F291,사건마스터!$A$5:$A$64,0)),""))</f>
        <v/>
      </c>
      <c r="P291" s="35">
        <f>IF($F291="","",IFERROR(INDEX(사건마스터!$AN$5:$AN$64,MATCH($F291,사건마스터!$A$5:$A$64,0)),""))</f>
        <v/>
      </c>
      <c r="Q291" s="35">
        <f>IF($F291="","",IFERROR(INDEX(사건마스터!$AO$5:$AO$64,MATCH($F291,사건마스터!$A$5:$A$64,0)),""))</f>
        <v/>
      </c>
      <c r="R291" s="35">
        <f>IF($F291="","",IFERROR(INDEX(사건마스터!$AP$5:$AP$64,MATCH($F291,사건마스터!$A$5:$A$64,0)),""))</f>
        <v/>
      </c>
      <c r="S291" s="35">
        <f>IF($F291="","",IFERROR(INDEX(사건마스터!$AQ$5:$AQ$64,MATCH($F291,사건마스터!$A$5:$A$64,0)),""))</f>
        <v/>
      </c>
      <c r="T291" s="35">
        <f>IF($F291="","",IFERROR(INDEX(사건마스터!$AR$5:$AR$64,MATCH($F291,사건마스터!$A$5:$A$64,0)),""))</f>
        <v/>
      </c>
      <c r="U291" s="35">
        <f>IF($F291="","",IFERROR(INDEX(사건마스터!$AS$5:$AS$64,MATCH($F291,사건마스터!$A$5:$A$64,0)),""))</f>
        <v/>
      </c>
      <c r="V291" s="35">
        <f>IF($F291="","",IFERROR(INDEX(사건마스터!$AT$5:$AT$64,MATCH($F291,사건마스터!$A$5:$A$64,0)),""))</f>
        <v/>
      </c>
      <c r="W291" s="35">
        <f>IF($F291="","",IFERROR(INDEX(사건마스터!$AU$5:$AU$64,MATCH($F291,사건마스터!$A$5:$A$64,0)),""))</f>
        <v/>
      </c>
      <c r="X291" s="35">
        <f>IF($F291="","",IFERROR(INDEX(사건마스터!$AV$5:$AV$64,MATCH($F291,사건마스터!$A$5:$A$64,0)),""))</f>
        <v/>
      </c>
      <c r="Y291" s="30">
        <f>IF($I291="","",COUNTIF($I291:$X291,"?*"))</f>
        <v/>
      </c>
      <c r="Z291" s="33">
        <f>IF($I291="","",_xlfn.TEXTJOIN(", ",TRUE,$I291:$X291))</f>
        <v/>
      </c>
      <c r="AA291" s="34">
        <f>IF($I291="","",IFERROR(INDEX(코드설정!$D$5:$D$24,MATCH($I291,코드설정!$C$5:$C$24,0)),""))</f>
        <v/>
      </c>
      <c r="AB291" s="36" t="n"/>
      <c r="AC291" s="37" t="n"/>
      <c r="AD291" s="38" t="n"/>
      <c r="AE291" s="30">
        <f>IF(OR($B291="",$C291=""),"",$C291-$B291+1)</f>
        <v/>
      </c>
      <c r="AF291" s="32" t="n"/>
      <c r="AG291" s="36" t="n"/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3">
        <f>IF($F292="","",IFERROR(INDEX(사건마스터!$B$5:$B$64,MATCH($F292,사건마스터!$A$5:$A$64,0)),""))</f>
        <v/>
      </c>
      <c r="H292" s="34">
        <f>IF($F292="","",IFERROR(INDEX(사건마스터!$C$5:$C$64,MATCH($F292,사건마스터!$A$5:$A$64,0)),""))</f>
        <v/>
      </c>
      <c r="I292" s="35">
        <f>IF($F292="","",IFERROR(INDEX(사건마스터!$H$5:$H$64,MATCH($F292,사건마스터!$A$5:$A$64,0)),""))</f>
        <v/>
      </c>
      <c r="J292" s="35">
        <f>IF($F292="","",IFERROR(INDEX(사건마스터!$AH$5:$AH$64,MATCH($F292,사건마스터!$A$5:$A$64,0)),""))</f>
        <v/>
      </c>
      <c r="K292" s="35">
        <f>IF($F292="","",IFERROR(INDEX(사건마스터!$AI$5:$AI$64,MATCH($F292,사건마스터!$A$5:$A$64,0)),""))</f>
        <v/>
      </c>
      <c r="L292" s="35">
        <f>IF($F292="","",IFERROR(INDEX(사건마스터!$AJ$5:$AJ$64,MATCH($F292,사건마스터!$A$5:$A$64,0)),""))</f>
        <v/>
      </c>
      <c r="M292" s="35">
        <f>IF($F292="","",IFERROR(INDEX(사건마스터!$AK$5:$AK$64,MATCH($F292,사건마스터!$A$5:$A$64,0)),""))</f>
        <v/>
      </c>
      <c r="N292" s="35">
        <f>IF($F292="","",IFERROR(INDEX(사건마스터!$AL$5:$AL$64,MATCH($F292,사건마스터!$A$5:$A$64,0)),""))</f>
        <v/>
      </c>
      <c r="O292" s="35">
        <f>IF($F292="","",IFERROR(INDEX(사건마스터!$AM$5:$AM$64,MATCH($F292,사건마스터!$A$5:$A$64,0)),""))</f>
        <v/>
      </c>
      <c r="P292" s="35">
        <f>IF($F292="","",IFERROR(INDEX(사건마스터!$AN$5:$AN$64,MATCH($F292,사건마스터!$A$5:$A$64,0)),""))</f>
        <v/>
      </c>
      <c r="Q292" s="35">
        <f>IF($F292="","",IFERROR(INDEX(사건마스터!$AO$5:$AO$64,MATCH($F292,사건마스터!$A$5:$A$64,0)),""))</f>
        <v/>
      </c>
      <c r="R292" s="35">
        <f>IF($F292="","",IFERROR(INDEX(사건마스터!$AP$5:$AP$64,MATCH($F292,사건마스터!$A$5:$A$64,0)),""))</f>
        <v/>
      </c>
      <c r="S292" s="35">
        <f>IF($F292="","",IFERROR(INDEX(사건마스터!$AQ$5:$AQ$64,MATCH($F292,사건마스터!$A$5:$A$64,0)),""))</f>
        <v/>
      </c>
      <c r="T292" s="35">
        <f>IF($F292="","",IFERROR(INDEX(사건마스터!$AR$5:$AR$64,MATCH($F292,사건마스터!$A$5:$A$64,0)),""))</f>
        <v/>
      </c>
      <c r="U292" s="35">
        <f>IF($F292="","",IFERROR(INDEX(사건마스터!$AS$5:$AS$64,MATCH($F292,사건마스터!$A$5:$A$64,0)),""))</f>
        <v/>
      </c>
      <c r="V292" s="35">
        <f>IF($F292="","",IFERROR(INDEX(사건마스터!$AT$5:$AT$64,MATCH($F292,사건마스터!$A$5:$A$64,0)),""))</f>
        <v/>
      </c>
      <c r="W292" s="35">
        <f>IF($F292="","",IFERROR(INDEX(사건마스터!$AU$5:$AU$64,MATCH($F292,사건마스터!$A$5:$A$64,0)),""))</f>
        <v/>
      </c>
      <c r="X292" s="35">
        <f>IF($F292="","",IFERROR(INDEX(사건마스터!$AV$5:$AV$64,MATCH($F292,사건마스터!$A$5:$A$64,0)),""))</f>
        <v/>
      </c>
      <c r="Y292" s="30">
        <f>IF($I292="","",COUNTIF($I292:$X292,"?*"))</f>
        <v/>
      </c>
      <c r="Z292" s="33">
        <f>IF($I292="","",_xlfn.TEXTJOIN(", ",TRUE,$I292:$X292))</f>
        <v/>
      </c>
      <c r="AA292" s="34">
        <f>IF($I292="","",IFERROR(INDEX(코드설정!$D$5:$D$24,MATCH($I292,코드설정!$C$5:$C$24,0)),""))</f>
        <v/>
      </c>
      <c r="AB292" s="36" t="n"/>
      <c r="AC292" s="37" t="n"/>
      <c r="AD292" s="38" t="n"/>
      <c r="AE292" s="30">
        <f>IF(OR($B292="",$C292=""),"",$C292-$B292+1)</f>
        <v/>
      </c>
      <c r="AF292" s="32" t="n"/>
      <c r="AG292" s="36" t="n"/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3">
        <f>IF($F293="","",IFERROR(INDEX(사건마스터!$B$5:$B$64,MATCH($F293,사건마스터!$A$5:$A$64,0)),""))</f>
        <v/>
      </c>
      <c r="H293" s="34">
        <f>IF($F293="","",IFERROR(INDEX(사건마스터!$C$5:$C$64,MATCH($F293,사건마스터!$A$5:$A$64,0)),""))</f>
        <v/>
      </c>
      <c r="I293" s="35">
        <f>IF($F293="","",IFERROR(INDEX(사건마스터!$H$5:$H$64,MATCH($F293,사건마스터!$A$5:$A$64,0)),""))</f>
        <v/>
      </c>
      <c r="J293" s="35">
        <f>IF($F293="","",IFERROR(INDEX(사건마스터!$AH$5:$AH$64,MATCH($F293,사건마스터!$A$5:$A$64,0)),""))</f>
        <v/>
      </c>
      <c r="K293" s="35">
        <f>IF($F293="","",IFERROR(INDEX(사건마스터!$AI$5:$AI$64,MATCH($F293,사건마스터!$A$5:$A$64,0)),""))</f>
        <v/>
      </c>
      <c r="L293" s="35">
        <f>IF($F293="","",IFERROR(INDEX(사건마스터!$AJ$5:$AJ$64,MATCH($F293,사건마스터!$A$5:$A$64,0)),""))</f>
        <v/>
      </c>
      <c r="M293" s="35">
        <f>IF($F293="","",IFERROR(INDEX(사건마스터!$AK$5:$AK$64,MATCH($F293,사건마스터!$A$5:$A$64,0)),""))</f>
        <v/>
      </c>
      <c r="N293" s="35">
        <f>IF($F293="","",IFERROR(INDEX(사건마스터!$AL$5:$AL$64,MATCH($F293,사건마스터!$A$5:$A$64,0)),""))</f>
        <v/>
      </c>
      <c r="O293" s="35">
        <f>IF($F293="","",IFERROR(INDEX(사건마스터!$AM$5:$AM$64,MATCH($F293,사건마스터!$A$5:$A$64,0)),""))</f>
        <v/>
      </c>
      <c r="P293" s="35">
        <f>IF($F293="","",IFERROR(INDEX(사건마스터!$AN$5:$AN$64,MATCH($F293,사건마스터!$A$5:$A$64,0)),""))</f>
        <v/>
      </c>
      <c r="Q293" s="35">
        <f>IF($F293="","",IFERROR(INDEX(사건마스터!$AO$5:$AO$64,MATCH($F293,사건마스터!$A$5:$A$64,0)),""))</f>
        <v/>
      </c>
      <c r="R293" s="35">
        <f>IF($F293="","",IFERROR(INDEX(사건마스터!$AP$5:$AP$64,MATCH($F293,사건마스터!$A$5:$A$64,0)),""))</f>
        <v/>
      </c>
      <c r="S293" s="35">
        <f>IF($F293="","",IFERROR(INDEX(사건마스터!$AQ$5:$AQ$64,MATCH($F293,사건마스터!$A$5:$A$64,0)),""))</f>
        <v/>
      </c>
      <c r="T293" s="35">
        <f>IF($F293="","",IFERROR(INDEX(사건마스터!$AR$5:$AR$64,MATCH($F293,사건마스터!$A$5:$A$64,0)),""))</f>
        <v/>
      </c>
      <c r="U293" s="35">
        <f>IF($F293="","",IFERROR(INDEX(사건마스터!$AS$5:$AS$64,MATCH($F293,사건마스터!$A$5:$A$64,0)),""))</f>
        <v/>
      </c>
      <c r="V293" s="35">
        <f>IF($F293="","",IFERROR(INDEX(사건마스터!$AT$5:$AT$64,MATCH($F293,사건마스터!$A$5:$A$64,0)),""))</f>
        <v/>
      </c>
      <c r="W293" s="35">
        <f>IF($F293="","",IFERROR(INDEX(사건마스터!$AU$5:$AU$64,MATCH($F293,사건마스터!$A$5:$A$64,0)),""))</f>
        <v/>
      </c>
      <c r="X293" s="35">
        <f>IF($F293="","",IFERROR(INDEX(사건마스터!$AV$5:$AV$64,MATCH($F293,사건마스터!$A$5:$A$64,0)),""))</f>
        <v/>
      </c>
      <c r="Y293" s="30">
        <f>IF($I293="","",COUNTIF($I293:$X293,"?*"))</f>
        <v/>
      </c>
      <c r="Z293" s="33">
        <f>IF($I293="","",_xlfn.TEXTJOIN(", ",TRUE,$I293:$X293))</f>
        <v/>
      </c>
      <c r="AA293" s="34">
        <f>IF($I293="","",IFERROR(INDEX(코드설정!$D$5:$D$24,MATCH($I293,코드설정!$C$5:$C$24,0)),""))</f>
        <v/>
      </c>
      <c r="AB293" s="36" t="n"/>
      <c r="AC293" s="37" t="n"/>
      <c r="AD293" s="38" t="n"/>
      <c r="AE293" s="30">
        <f>IF(OR($B293="",$C293=""),"",$C293-$B293+1)</f>
        <v/>
      </c>
      <c r="AF293" s="32" t="n"/>
      <c r="AG293" s="36" t="n"/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3">
        <f>IF($F294="","",IFERROR(INDEX(사건마스터!$B$5:$B$64,MATCH($F294,사건마스터!$A$5:$A$64,0)),""))</f>
        <v/>
      </c>
      <c r="H294" s="34">
        <f>IF($F294="","",IFERROR(INDEX(사건마스터!$C$5:$C$64,MATCH($F294,사건마스터!$A$5:$A$64,0)),""))</f>
        <v/>
      </c>
      <c r="I294" s="35">
        <f>IF($F294="","",IFERROR(INDEX(사건마스터!$H$5:$H$64,MATCH($F294,사건마스터!$A$5:$A$64,0)),""))</f>
        <v/>
      </c>
      <c r="J294" s="35">
        <f>IF($F294="","",IFERROR(INDEX(사건마스터!$AH$5:$AH$64,MATCH($F294,사건마스터!$A$5:$A$64,0)),""))</f>
        <v/>
      </c>
      <c r="K294" s="35">
        <f>IF($F294="","",IFERROR(INDEX(사건마스터!$AI$5:$AI$64,MATCH($F294,사건마스터!$A$5:$A$64,0)),""))</f>
        <v/>
      </c>
      <c r="L294" s="35">
        <f>IF($F294="","",IFERROR(INDEX(사건마스터!$AJ$5:$AJ$64,MATCH($F294,사건마스터!$A$5:$A$64,0)),""))</f>
        <v/>
      </c>
      <c r="M294" s="35">
        <f>IF($F294="","",IFERROR(INDEX(사건마스터!$AK$5:$AK$64,MATCH($F294,사건마스터!$A$5:$A$64,0)),""))</f>
        <v/>
      </c>
      <c r="N294" s="35">
        <f>IF($F294="","",IFERROR(INDEX(사건마스터!$AL$5:$AL$64,MATCH($F294,사건마스터!$A$5:$A$64,0)),""))</f>
        <v/>
      </c>
      <c r="O294" s="35">
        <f>IF($F294="","",IFERROR(INDEX(사건마스터!$AM$5:$AM$64,MATCH($F294,사건마스터!$A$5:$A$64,0)),""))</f>
        <v/>
      </c>
      <c r="P294" s="35">
        <f>IF($F294="","",IFERROR(INDEX(사건마스터!$AN$5:$AN$64,MATCH($F294,사건마스터!$A$5:$A$64,0)),""))</f>
        <v/>
      </c>
      <c r="Q294" s="35">
        <f>IF($F294="","",IFERROR(INDEX(사건마스터!$AO$5:$AO$64,MATCH($F294,사건마스터!$A$5:$A$64,0)),""))</f>
        <v/>
      </c>
      <c r="R294" s="35">
        <f>IF($F294="","",IFERROR(INDEX(사건마스터!$AP$5:$AP$64,MATCH($F294,사건마스터!$A$5:$A$64,0)),""))</f>
        <v/>
      </c>
      <c r="S294" s="35">
        <f>IF($F294="","",IFERROR(INDEX(사건마스터!$AQ$5:$AQ$64,MATCH($F294,사건마스터!$A$5:$A$64,0)),""))</f>
        <v/>
      </c>
      <c r="T294" s="35">
        <f>IF($F294="","",IFERROR(INDEX(사건마스터!$AR$5:$AR$64,MATCH($F294,사건마스터!$A$5:$A$64,0)),""))</f>
        <v/>
      </c>
      <c r="U294" s="35">
        <f>IF($F294="","",IFERROR(INDEX(사건마스터!$AS$5:$AS$64,MATCH($F294,사건마스터!$A$5:$A$64,0)),""))</f>
        <v/>
      </c>
      <c r="V294" s="35">
        <f>IF($F294="","",IFERROR(INDEX(사건마스터!$AT$5:$AT$64,MATCH($F294,사건마스터!$A$5:$A$64,0)),""))</f>
        <v/>
      </c>
      <c r="W294" s="35">
        <f>IF($F294="","",IFERROR(INDEX(사건마스터!$AU$5:$AU$64,MATCH($F294,사건마스터!$A$5:$A$64,0)),""))</f>
        <v/>
      </c>
      <c r="X294" s="35">
        <f>IF($F294="","",IFERROR(INDEX(사건마스터!$AV$5:$AV$64,MATCH($F294,사건마스터!$A$5:$A$64,0)),""))</f>
        <v/>
      </c>
      <c r="Y294" s="30">
        <f>IF($I294="","",COUNTIF($I294:$X294,"?*"))</f>
        <v/>
      </c>
      <c r="Z294" s="33">
        <f>IF($I294="","",_xlfn.TEXTJOIN(", ",TRUE,$I294:$X294))</f>
        <v/>
      </c>
      <c r="AA294" s="34">
        <f>IF($I294="","",IFERROR(INDEX(코드설정!$D$5:$D$24,MATCH($I294,코드설정!$C$5:$C$24,0)),""))</f>
        <v/>
      </c>
      <c r="AB294" s="36" t="n"/>
      <c r="AC294" s="37" t="n"/>
      <c r="AD294" s="38" t="n"/>
      <c r="AE294" s="30">
        <f>IF(OR($B294="",$C294=""),"",$C294-$B294+1)</f>
        <v/>
      </c>
      <c r="AF294" s="32" t="n"/>
      <c r="AG294" s="36" t="n"/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3">
        <f>IF($F295="","",IFERROR(INDEX(사건마스터!$B$5:$B$64,MATCH($F295,사건마스터!$A$5:$A$64,0)),""))</f>
        <v/>
      </c>
      <c r="H295" s="34">
        <f>IF($F295="","",IFERROR(INDEX(사건마스터!$C$5:$C$64,MATCH($F295,사건마스터!$A$5:$A$64,0)),""))</f>
        <v/>
      </c>
      <c r="I295" s="35">
        <f>IF($F295="","",IFERROR(INDEX(사건마스터!$H$5:$H$64,MATCH($F295,사건마스터!$A$5:$A$64,0)),""))</f>
        <v/>
      </c>
      <c r="J295" s="35">
        <f>IF($F295="","",IFERROR(INDEX(사건마스터!$AH$5:$AH$64,MATCH($F295,사건마스터!$A$5:$A$64,0)),""))</f>
        <v/>
      </c>
      <c r="K295" s="35">
        <f>IF($F295="","",IFERROR(INDEX(사건마스터!$AI$5:$AI$64,MATCH($F295,사건마스터!$A$5:$A$64,0)),""))</f>
        <v/>
      </c>
      <c r="L295" s="35">
        <f>IF($F295="","",IFERROR(INDEX(사건마스터!$AJ$5:$AJ$64,MATCH($F295,사건마스터!$A$5:$A$64,0)),""))</f>
        <v/>
      </c>
      <c r="M295" s="35">
        <f>IF($F295="","",IFERROR(INDEX(사건마스터!$AK$5:$AK$64,MATCH($F295,사건마스터!$A$5:$A$64,0)),""))</f>
        <v/>
      </c>
      <c r="N295" s="35">
        <f>IF($F295="","",IFERROR(INDEX(사건마스터!$AL$5:$AL$64,MATCH($F295,사건마스터!$A$5:$A$64,0)),""))</f>
        <v/>
      </c>
      <c r="O295" s="35">
        <f>IF($F295="","",IFERROR(INDEX(사건마스터!$AM$5:$AM$64,MATCH($F295,사건마스터!$A$5:$A$64,0)),""))</f>
        <v/>
      </c>
      <c r="P295" s="35">
        <f>IF($F295="","",IFERROR(INDEX(사건마스터!$AN$5:$AN$64,MATCH($F295,사건마스터!$A$5:$A$64,0)),""))</f>
        <v/>
      </c>
      <c r="Q295" s="35">
        <f>IF($F295="","",IFERROR(INDEX(사건마스터!$AO$5:$AO$64,MATCH($F295,사건마스터!$A$5:$A$64,0)),""))</f>
        <v/>
      </c>
      <c r="R295" s="35">
        <f>IF($F295="","",IFERROR(INDEX(사건마스터!$AP$5:$AP$64,MATCH($F295,사건마스터!$A$5:$A$64,0)),""))</f>
        <v/>
      </c>
      <c r="S295" s="35">
        <f>IF($F295="","",IFERROR(INDEX(사건마스터!$AQ$5:$AQ$64,MATCH($F295,사건마스터!$A$5:$A$64,0)),""))</f>
        <v/>
      </c>
      <c r="T295" s="35">
        <f>IF($F295="","",IFERROR(INDEX(사건마스터!$AR$5:$AR$64,MATCH($F295,사건마스터!$A$5:$A$64,0)),""))</f>
        <v/>
      </c>
      <c r="U295" s="35">
        <f>IF($F295="","",IFERROR(INDEX(사건마스터!$AS$5:$AS$64,MATCH($F295,사건마스터!$A$5:$A$64,0)),""))</f>
        <v/>
      </c>
      <c r="V295" s="35">
        <f>IF($F295="","",IFERROR(INDEX(사건마스터!$AT$5:$AT$64,MATCH($F295,사건마스터!$A$5:$A$64,0)),""))</f>
        <v/>
      </c>
      <c r="W295" s="35">
        <f>IF($F295="","",IFERROR(INDEX(사건마스터!$AU$5:$AU$64,MATCH($F295,사건마스터!$A$5:$A$64,0)),""))</f>
        <v/>
      </c>
      <c r="X295" s="35">
        <f>IF($F295="","",IFERROR(INDEX(사건마스터!$AV$5:$AV$64,MATCH($F295,사건마스터!$A$5:$A$64,0)),""))</f>
        <v/>
      </c>
      <c r="Y295" s="30">
        <f>IF($I295="","",COUNTIF($I295:$X295,"?*"))</f>
        <v/>
      </c>
      <c r="Z295" s="33">
        <f>IF($I295="","",_xlfn.TEXTJOIN(", ",TRUE,$I295:$X295))</f>
        <v/>
      </c>
      <c r="AA295" s="34">
        <f>IF($I295="","",IFERROR(INDEX(코드설정!$D$5:$D$24,MATCH($I295,코드설정!$C$5:$C$24,0)),""))</f>
        <v/>
      </c>
      <c r="AB295" s="36" t="n"/>
      <c r="AC295" s="37" t="n"/>
      <c r="AD295" s="38" t="n"/>
      <c r="AE295" s="30">
        <f>IF(OR($B295="",$C295=""),"",$C295-$B295+1)</f>
        <v/>
      </c>
      <c r="AF295" s="32" t="n"/>
      <c r="AG295" s="36" t="n"/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3">
        <f>IF($F296="","",IFERROR(INDEX(사건마스터!$B$5:$B$64,MATCH($F296,사건마스터!$A$5:$A$64,0)),""))</f>
        <v/>
      </c>
      <c r="H296" s="34">
        <f>IF($F296="","",IFERROR(INDEX(사건마스터!$C$5:$C$64,MATCH($F296,사건마스터!$A$5:$A$64,0)),""))</f>
        <v/>
      </c>
      <c r="I296" s="35">
        <f>IF($F296="","",IFERROR(INDEX(사건마스터!$H$5:$H$64,MATCH($F296,사건마스터!$A$5:$A$64,0)),""))</f>
        <v/>
      </c>
      <c r="J296" s="35">
        <f>IF($F296="","",IFERROR(INDEX(사건마스터!$AH$5:$AH$64,MATCH($F296,사건마스터!$A$5:$A$64,0)),""))</f>
        <v/>
      </c>
      <c r="K296" s="35">
        <f>IF($F296="","",IFERROR(INDEX(사건마스터!$AI$5:$AI$64,MATCH($F296,사건마스터!$A$5:$A$64,0)),""))</f>
        <v/>
      </c>
      <c r="L296" s="35">
        <f>IF($F296="","",IFERROR(INDEX(사건마스터!$AJ$5:$AJ$64,MATCH($F296,사건마스터!$A$5:$A$64,0)),""))</f>
        <v/>
      </c>
      <c r="M296" s="35">
        <f>IF($F296="","",IFERROR(INDEX(사건마스터!$AK$5:$AK$64,MATCH($F296,사건마스터!$A$5:$A$64,0)),""))</f>
        <v/>
      </c>
      <c r="N296" s="35">
        <f>IF($F296="","",IFERROR(INDEX(사건마스터!$AL$5:$AL$64,MATCH($F296,사건마스터!$A$5:$A$64,0)),""))</f>
        <v/>
      </c>
      <c r="O296" s="35">
        <f>IF($F296="","",IFERROR(INDEX(사건마스터!$AM$5:$AM$64,MATCH($F296,사건마스터!$A$5:$A$64,0)),""))</f>
        <v/>
      </c>
      <c r="P296" s="35">
        <f>IF($F296="","",IFERROR(INDEX(사건마스터!$AN$5:$AN$64,MATCH($F296,사건마스터!$A$5:$A$64,0)),""))</f>
        <v/>
      </c>
      <c r="Q296" s="35">
        <f>IF($F296="","",IFERROR(INDEX(사건마스터!$AO$5:$AO$64,MATCH($F296,사건마스터!$A$5:$A$64,0)),""))</f>
        <v/>
      </c>
      <c r="R296" s="35">
        <f>IF($F296="","",IFERROR(INDEX(사건마스터!$AP$5:$AP$64,MATCH($F296,사건마스터!$A$5:$A$64,0)),""))</f>
        <v/>
      </c>
      <c r="S296" s="35">
        <f>IF($F296="","",IFERROR(INDEX(사건마스터!$AQ$5:$AQ$64,MATCH($F296,사건마스터!$A$5:$A$64,0)),""))</f>
        <v/>
      </c>
      <c r="T296" s="35">
        <f>IF($F296="","",IFERROR(INDEX(사건마스터!$AR$5:$AR$64,MATCH($F296,사건마스터!$A$5:$A$64,0)),""))</f>
        <v/>
      </c>
      <c r="U296" s="35">
        <f>IF($F296="","",IFERROR(INDEX(사건마스터!$AS$5:$AS$64,MATCH($F296,사건마스터!$A$5:$A$64,0)),""))</f>
        <v/>
      </c>
      <c r="V296" s="35">
        <f>IF($F296="","",IFERROR(INDEX(사건마스터!$AT$5:$AT$64,MATCH($F296,사건마스터!$A$5:$A$64,0)),""))</f>
        <v/>
      </c>
      <c r="W296" s="35">
        <f>IF($F296="","",IFERROR(INDEX(사건마스터!$AU$5:$AU$64,MATCH($F296,사건마스터!$A$5:$A$64,0)),""))</f>
        <v/>
      </c>
      <c r="X296" s="35">
        <f>IF($F296="","",IFERROR(INDEX(사건마스터!$AV$5:$AV$64,MATCH($F296,사건마스터!$A$5:$A$64,0)),""))</f>
        <v/>
      </c>
      <c r="Y296" s="30">
        <f>IF($I296="","",COUNTIF($I296:$X296,"?*"))</f>
        <v/>
      </c>
      <c r="Z296" s="33">
        <f>IF($I296="","",_xlfn.TEXTJOIN(", ",TRUE,$I296:$X296))</f>
        <v/>
      </c>
      <c r="AA296" s="34">
        <f>IF($I296="","",IFERROR(INDEX(코드설정!$D$5:$D$24,MATCH($I296,코드설정!$C$5:$C$24,0)),""))</f>
        <v/>
      </c>
      <c r="AB296" s="36" t="n"/>
      <c r="AC296" s="37" t="n"/>
      <c r="AD296" s="38" t="n"/>
      <c r="AE296" s="30">
        <f>IF(OR($B296="",$C296=""),"",$C296-$B296+1)</f>
        <v/>
      </c>
      <c r="AF296" s="32" t="n"/>
      <c r="AG296" s="36" t="n"/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3">
        <f>IF($F297="","",IFERROR(INDEX(사건마스터!$B$5:$B$64,MATCH($F297,사건마스터!$A$5:$A$64,0)),""))</f>
        <v/>
      </c>
      <c r="H297" s="34">
        <f>IF($F297="","",IFERROR(INDEX(사건마스터!$C$5:$C$64,MATCH($F297,사건마스터!$A$5:$A$64,0)),""))</f>
        <v/>
      </c>
      <c r="I297" s="35">
        <f>IF($F297="","",IFERROR(INDEX(사건마스터!$H$5:$H$64,MATCH($F297,사건마스터!$A$5:$A$64,0)),""))</f>
        <v/>
      </c>
      <c r="J297" s="35">
        <f>IF($F297="","",IFERROR(INDEX(사건마스터!$AH$5:$AH$64,MATCH($F297,사건마스터!$A$5:$A$64,0)),""))</f>
        <v/>
      </c>
      <c r="K297" s="35">
        <f>IF($F297="","",IFERROR(INDEX(사건마스터!$AI$5:$AI$64,MATCH($F297,사건마스터!$A$5:$A$64,0)),""))</f>
        <v/>
      </c>
      <c r="L297" s="35">
        <f>IF($F297="","",IFERROR(INDEX(사건마스터!$AJ$5:$AJ$64,MATCH($F297,사건마스터!$A$5:$A$64,0)),""))</f>
        <v/>
      </c>
      <c r="M297" s="35">
        <f>IF($F297="","",IFERROR(INDEX(사건마스터!$AK$5:$AK$64,MATCH($F297,사건마스터!$A$5:$A$64,0)),""))</f>
        <v/>
      </c>
      <c r="N297" s="35">
        <f>IF($F297="","",IFERROR(INDEX(사건마스터!$AL$5:$AL$64,MATCH($F297,사건마스터!$A$5:$A$64,0)),""))</f>
        <v/>
      </c>
      <c r="O297" s="35">
        <f>IF($F297="","",IFERROR(INDEX(사건마스터!$AM$5:$AM$64,MATCH($F297,사건마스터!$A$5:$A$64,0)),""))</f>
        <v/>
      </c>
      <c r="P297" s="35">
        <f>IF($F297="","",IFERROR(INDEX(사건마스터!$AN$5:$AN$64,MATCH($F297,사건마스터!$A$5:$A$64,0)),""))</f>
        <v/>
      </c>
      <c r="Q297" s="35">
        <f>IF($F297="","",IFERROR(INDEX(사건마스터!$AO$5:$AO$64,MATCH($F297,사건마스터!$A$5:$A$64,0)),""))</f>
        <v/>
      </c>
      <c r="R297" s="35">
        <f>IF($F297="","",IFERROR(INDEX(사건마스터!$AP$5:$AP$64,MATCH($F297,사건마스터!$A$5:$A$64,0)),""))</f>
        <v/>
      </c>
      <c r="S297" s="35">
        <f>IF($F297="","",IFERROR(INDEX(사건마스터!$AQ$5:$AQ$64,MATCH($F297,사건마스터!$A$5:$A$64,0)),""))</f>
        <v/>
      </c>
      <c r="T297" s="35">
        <f>IF($F297="","",IFERROR(INDEX(사건마스터!$AR$5:$AR$64,MATCH($F297,사건마스터!$A$5:$A$64,0)),""))</f>
        <v/>
      </c>
      <c r="U297" s="35">
        <f>IF($F297="","",IFERROR(INDEX(사건마스터!$AS$5:$AS$64,MATCH($F297,사건마스터!$A$5:$A$64,0)),""))</f>
        <v/>
      </c>
      <c r="V297" s="35">
        <f>IF($F297="","",IFERROR(INDEX(사건마스터!$AT$5:$AT$64,MATCH($F297,사건마스터!$A$5:$A$64,0)),""))</f>
        <v/>
      </c>
      <c r="W297" s="35">
        <f>IF($F297="","",IFERROR(INDEX(사건마스터!$AU$5:$AU$64,MATCH($F297,사건마스터!$A$5:$A$64,0)),""))</f>
        <v/>
      </c>
      <c r="X297" s="35">
        <f>IF($F297="","",IFERROR(INDEX(사건마스터!$AV$5:$AV$64,MATCH($F297,사건마스터!$A$5:$A$64,0)),""))</f>
        <v/>
      </c>
      <c r="Y297" s="30">
        <f>IF($I297="","",COUNTIF($I297:$X297,"?*"))</f>
        <v/>
      </c>
      <c r="Z297" s="33">
        <f>IF($I297="","",_xlfn.TEXTJOIN(", ",TRUE,$I297:$X297))</f>
        <v/>
      </c>
      <c r="AA297" s="34">
        <f>IF($I297="","",IFERROR(INDEX(코드설정!$D$5:$D$24,MATCH($I297,코드설정!$C$5:$C$24,0)),""))</f>
        <v/>
      </c>
      <c r="AB297" s="36" t="n"/>
      <c r="AC297" s="37" t="n"/>
      <c r="AD297" s="38" t="n"/>
      <c r="AE297" s="30">
        <f>IF(OR($B297="",$C297=""),"",$C297-$B297+1)</f>
        <v/>
      </c>
      <c r="AF297" s="32" t="n"/>
      <c r="AG297" s="36" t="n"/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3">
        <f>IF($F298="","",IFERROR(INDEX(사건마스터!$B$5:$B$64,MATCH($F298,사건마스터!$A$5:$A$64,0)),""))</f>
        <v/>
      </c>
      <c r="H298" s="34">
        <f>IF($F298="","",IFERROR(INDEX(사건마스터!$C$5:$C$64,MATCH($F298,사건마스터!$A$5:$A$64,0)),""))</f>
        <v/>
      </c>
      <c r="I298" s="35">
        <f>IF($F298="","",IFERROR(INDEX(사건마스터!$H$5:$H$64,MATCH($F298,사건마스터!$A$5:$A$64,0)),""))</f>
        <v/>
      </c>
      <c r="J298" s="35">
        <f>IF($F298="","",IFERROR(INDEX(사건마스터!$AH$5:$AH$64,MATCH($F298,사건마스터!$A$5:$A$64,0)),""))</f>
        <v/>
      </c>
      <c r="K298" s="35">
        <f>IF($F298="","",IFERROR(INDEX(사건마스터!$AI$5:$AI$64,MATCH($F298,사건마스터!$A$5:$A$64,0)),""))</f>
        <v/>
      </c>
      <c r="L298" s="35">
        <f>IF($F298="","",IFERROR(INDEX(사건마스터!$AJ$5:$AJ$64,MATCH($F298,사건마스터!$A$5:$A$64,0)),""))</f>
        <v/>
      </c>
      <c r="M298" s="35">
        <f>IF($F298="","",IFERROR(INDEX(사건마스터!$AK$5:$AK$64,MATCH($F298,사건마스터!$A$5:$A$64,0)),""))</f>
        <v/>
      </c>
      <c r="N298" s="35">
        <f>IF($F298="","",IFERROR(INDEX(사건마스터!$AL$5:$AL$64,MATCH($F298,사건마스터!$A$5:$A$64,0)),""))</f>
        <v/>
      </c>
      <c r="O298" s="35">
        <f>IF($F298="","",IFERROR(INDEX(사건마스터!$AM$5:$AM$64,MATCH($F298,사건마스터!$A$5:$A$64,0)),""))</f>
        <v/>
      </c>
      <c r="P298" s="35">
        <f>IF($F298="","",IFERROR(INDEX(사건마스터!$AN$5:$AN$64,MATCH($F298,사건마스터!$A$5:$A$64,0)),""))</f>
        <v/>
      </c>
      <c r="Q298" s="35">
        <f>IF($F298="","",IFERROR(INDEX(사건마스터!$AO$5:$AO$64,MATCH($F298,사건마스터!$A$5:$A$64,0)),""))</f>
        <v/>
      </c>
      <c r="R298" s="35">
        <f>IF($F298="","",IFERROR(INDEX(사건마스터!$AP$5:$AP$64,MATCH($F298,사건마스터!$A$5:$A$64,0)),""))</f>
        <v/>
      </c>
      <c r="S298" s="35">
        <f>IF($F298="","",IFERROR(INDEX(사건마스터!$AQ$5:$AQ$64,MATCH($F298,사건마스터!$A$5:$A$64,0)),""))</f>
        <v/>
      </c>
      <c r="T298" s="35">
        <f>IF($F298="","",IFERROR(INDEX(사건마스터!$AR$5:$AR$64,MATCH($F298,사건마스터!$A$5:$A$64,0)),""))</f>
        <v/>
      </c>
      <c r="U298" s="35">
        <f>IF($F298="","",IFERROR(INDEX(사건마스터!$AS$5:$AS$64,MATCH($F298,사건마스터!$A$5:$A$64,0)),""))</f>
        <v/>
      </c>
      <c r="V298" s="35">
        <f>IF($F298="","",IFERROR(INDEX(사건마스터!$AT$5:$AT$64,MATCH($F298,사건마스터!$A$5:$A$64,0)),""))</f>
        <v/>
      </c>
      <c r="W298" s="35">
        <f>IF($F298="","",IFERROR(INDEX(사건마스터!$AU$5:$AU$64,MATCH($F298,사건마스터!$A$5:$A$64,0)),""))</f>
        <v/>
      </c>
      <c r="X298" s="35">
        <f>IF($F298="","",IFERROR(INDEX(사건마스터!$AV$5:$AV$64,MATCH($F298,사건마스터!$A$5:$A$64,0)),""))</f>
        <v/>
      </c>
      <c r="Y298" s="30">
        <f>IF($I298="","",COUNTIF($I298:$X298,"?*"))</f>
        <v/>
      </c>
      <c r="Z298" s="33">
        <f>IF($I298="","",_xlfn.TEXTJOIN(", ",TRUE,$I298:$X298))</f>
        <v/>
      </c>
      <c r="AA298" s="34">
        <f>IF($I298="","",IFERROR(INDEX(코드설정!$D$5:$D$24,MATCH($I298,코드설정!$C$5:$C$24,0)),""))</f>
        <v/>
      </c>
      <c r="AB298" s="36" t="n"/>
      <c r="AC298" s="37" t="n"/>
      <c r="AD298" s="38" t="n"/>
      <c r="AE298" s="30">
        <f>IF(OR($B298="",$C298=""),"",$C298-$B298+1)</f>
        <v/>
      </c>
      <c r="AF298" s="32" t="n"/>
      <c r="AG298" s="36" t="n"/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3">
        <f>IF($F299="","",IFERROR(INDEX(사건마스터!$B$5:$B$64,MATCH($F299,사건마스터!$A$5:$A$64,0)),""))</f>
        <v/>
      </c>
      <c r="H299" s="34">
        <f>IF($F299="","",IFERROR(INDEX(사건마스터!$C$5:$C$64,MATCH($F299,사건마스터!$A$5:$A$64,0)),""))</f>
        <v/>
      </c>
      <c r="I299" s="35">
        <f>IF($F299="","",IFERROR(INDEX(사건마스터!$H$5:$H$64,MATCH($F299,사건마스터!$A$5:$A$64,0)),""))</f>
        <v/>
      </c>
      <c r="J299" s="35">
        <f>IF($F299="","",IFERROR(INDEX(사건마스터!$AH$5:$AH$64,MATCH($F299,사건마스터!$A$5:$A$64,0)),""))</f>
        <v/>
      </c>
      <c r="K299" s="35">
        <f>IF($F299="","",IFERROR(INDEX(사건마스터!$AI$5:$AI$64,MATCH($F299,사건마스터!$A$5:$A$64,0)),""))</f>
        <v/>
      </c>
      <c r="L299" s="35">
        <f>IF($F299="","",IFERROR(INDEX(사건마스터!$AJ$5:$AJ$64,MATCH($F299,사건마스터!$A$5:$A$64,0)),""))</f>
        <v/>
      </c>
      <c r="M299" s="35">
        <f>IF($F299="","",IFERROR(INDEX(사건마스터!$AK$5:$AK$64,MATCH($F299,사건마스터!$A$5:$A$64,0)),""))</f>
        <v/>
      </c>
      <c r="N299" s="35">
        <f>IF($F299="","",IFERROR(INDEX(사건마스터!$AL$5:$AL$64,MATCH($F299,사건마스터!$A$5:$A$64,0)),""))</f>
        <v/>
      </c>
      <c r="O299" s="35">
        <f>IF($F299="","",IFERROR(INDEX(사건마스터!$AM$5:$AM$64,MATCH($F299,사건마스터!$A$5:$A$64,0)),""))</f>
        <v/>
      </c>
      <c r="P299" s="35">
        <f>IF($F299="","",IFERROR(INDEX(사건마스터!$AN$5:$AN$64,MATCH($F299,사건마스터!$A$5:$A$64,0)),""))</f>
        <v/>
      </c>
      <c r="Q299" s="35">
        <f>IF($F299="","",IFERROR(INDEX(사건마스터!$AO$5:$AO$64,MATCH($F299,사건마스터!$A$5:$A$64,0)),""))</f>
        <v/>
      </c>
      <c r="R299" s="35">
        <f>IF($F299="","",IFERROR(INDEX(사건마스터!$AP$5:$AP$64,MATCH($F299,사건마스터!$A$5:$A$64,0)),""))</f>
        <v/>
      </c>
      <c r="S299" s="35">
        <f>IF($F299="","",IFERROR(INDEX(사건마스터!$AQ$5:$AQ$64,MATCH($F299,사건마스터!$A$5:$A$64,0)),""))</f>
        <v/>
      </c>
      <c r="T299" s="35">
        <f>IF($F299="","",IFERROR(INDEX(사건마스터!$AR$5:$AR$64,MATCH($F299,사건마스터!$A$5:$A$64,0)),""))</f>
        <v/>
      </c>
      <c r="U299" s="35">
        <f>IF($F299="","",IFERROR(INDEX(사건마스터!$AS$5:$AS$64,MATCH($F299,사건마스터!$A$5:$A$64,0)),""))</f>
        <v/>
      </c>
      <c r="V299" s="35">
        <f>IF($F299="","",IFERROR(INDEX(사건마스터!$AT$5:$AT$64,MATCH($F299,사건마스터!$A$5:$A$64,0)),""))</f>
        <v/>
      </c>
      <c r="W299" s="35">
        <f>IF($F299="","",IFERROR(INDEX(사건마스터!$AU$5:$AU$64,MATCH($F299,사건마스터!$A$5:$A$64,0)),""))</f>
        <v/>
      </c>
      <c r="X299" s="35">
        <f>IF($F299="","",IFERROR(INDEX(사건마스터!$AV$5:$AV$64,MATCH($F299,사건마스터!$A$5:$A$64,0)),""))</f>
        <v/>
      </c>
      <c r="Y299" s="30">
        <f>IF($I299="","",COUNTIF($I299:$X299,"?*"))</f>
        <v/>
      </c>
      <c r="Z299" s="33">
        <f>IF($I299="","",_xlfn.TEXTJOIN(", ",TRUE,$I299:$X299))</f>
        <v/>
      </c>
      <c r="AA299" s="34">
        <f>IF($I299="","",IFERROR(INDEX(코드설정!$D$5:$D$24,MATCH($I299,코드설정!$C$5:$C$24,0)),""))</f>
        <v/>
      </c>
      <c r="AB299" s="36" t="n"/>
      <c r="AC299" s="37" t="n"/>
      <c r="AD299" s="38" t="n"/>
      <c r="AE299" s="30">
        <f>IF(OR($B299="",$C299=""),"",$C299-$B299+1)</f>
        <v/>
      </c>
      <c r="AF299" s="32" t="n"/>
      <c r="AG299" s="36" t="n"/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3">
        <f>IF($F300="","",IFERROR(INDEX(사건마스터!$B$5:$B$64,MATCH($F300,사건마스터!$A$5:$A$64,0)),""))</f>
        <v/>
      </c>
      <c r="H300" s="34">
        <f>IF($F300="","",IFERROR(INDEX(사건마스터!$C$5:$C$64,MATCH($F300,사건마스터!$A$5:$A$64,0)),""))</f>
        <v/>
      </c>
      <c r="I300" s="35">
        <f>IF($F300="","",IFERROR(INDEX(사건마스터!$H$5:$H$64,MATCH($F300,사건마스터!$A$5:$A$64,0)),""))</f>
        <v/>
      </c>
      <c r="J300" s="35">
        <f>IF($F300="","",IFERROR(INDEX(사건마스터!$AH$5:$AH$64,MATCH($F300,사건마스터!$A$5:$A$64,0)),""))</f>
        <v/>
      </c>
      <c r="K300" s="35">
        <f>IF($F300="","",IFERROR(INDEX(사건마스터!$AI$5:$AI$64,MATCH($F300,사건마스터!$A$5:$A$64,0)),""))</f>
        <v/>
      </c>
      <c r="L300" s="35">
        <f>IF($F300="","",IFERROR(INDEX(사건마스터!$AJ$5:$AJ$64,MATCH($F300,사건마스터!$A$5:$A$64,0)),""))</f>
        <v/>
      </c>
      <c r="M300" s="35">
        <f>IF($F300="","",IFERROR(INDEX(사건마스터!$AK$5:$AK$64,MATCH($F300,사건마스터!$A$5:$A$64,0)),""))</f>
        <v/>
      </c>
      <c r="N300" s="35">
        <f>IF($F300="","",IFERROR(INDEX(사건마스터!$AL$5:$AL$64,MATCH($F300,사건마스터!$A$5:$A$64,0)),""))</f>
        <v/>
      </c>
      <c r="O300" s="35">
        <f>IF($F300="","",IFERROR(INDEX(사건마스터!$AM$5:$AM$64,MATCH($F300,사건마스터!$A$5:$A$64,0)),""))</f>
        <v/>
      </c>
      <c r="P300" s="35">
        <f>IF($F300="","",IFERROR(INDEX(사건마스터!$AN$5:$AN$64,MATCH($F300,사건마스터!$A$5:$A$64,0)),""))</f>
        <v/>
      </c>
      <c r="Q300" s="35">
        <f>IF($F300="","",IFERROR(INDEX(사건마스터!$AO$5:$AO$64,MATCH($F300,사건마스터!$A$5:$A$64,0)),""))</f>
        <v/>
      </c>
      <c r="R300" s="35">
        <f>IF($F300="","",IFERROR(INDEX(사건마스터!$AP$5:$AP$64,MATCH($F300,사건마스터!$A$5:$A$64,0)),""))</f>
        <v/>
      </c>
      <c r="S300" s="35">
        <f>IF($F300="","",IFERROR(INDEX(사건마스터!$AQ$5:$AQ$64,MATCH($F300,사건마스터!$A$5:$A$64,0)),""))</f>
        <v/>
      </c>
      <c r="T300" s="35">
        <f>IF($F300="","",IFERROR(INDEX(사건마스터!$AR$5:$AR$64,MATCH($F300,사건마스터!$A$5:$A$64,0)),""))</f>
        <v/>
      </c>
      <c r="U300" s="35">
        <f>IF($F300="","",IFERROR(INDEX(사건마스터!$AS$5:$AS$64,MATCH($F300,사건마스터!$A$5:$A$64,0)),""))</f>
        <v/>
      </c>
      <c r="V300" s="35">
        <f>IF($F300="","",IFERROR(INDEX(사건마스터!$AT$5:$AT$64,MATCH($F300,사건마스터!$A$5:$A$64,0)),""))</f>
        <v/>
      </c>
      <c r="W300" s="35">
        <f>IF($F300="","",IFERROR(INDEX(사건마스터!$AU$5:$AU$64,MATCH($F300,사건마스터!$A$5:$A$64,0)),""))</f>
        <v/>
      </c>
      <c r="X300" s="35">
        <f>IF($F300="","",IFERROR(INDEX(사건마스터!$AV$5:$AV$64,MATCH($F300,사건마스터!$A$5:$A$64,0)),""))</f>
        <v/>
      </c>
      <c r="Y300" s="30">
        <f>IF($I300="","",COUNTIF($I300:$X300,"?*"))</f>
        <v/>
      </c>
      <c r="Z300" s="33">
        <f>IF($I300="","",_xlfn.TEXTJOIN(", ",TRUE,$I300:$X300))</f>
        <v/>
      </c>
      <c r="AA300" s="34">
        <f>IF($I300="","",IFERROR(INDEX(코드설정!$D$5:$D$24,MATCH($I300,코드설정!$C$5:$C$24,0)),""))</f>
        <v/>
      </c>
      <c r="AB300" s="36" t="n"/>
      <c r="AC300" s="37" t="n"/>
      <c r="AD300" s="38" t="n"/>
      <c r="AE300" s="30">
        <f>IF(OR($B300="",$C300=""),"",$C300-$B300+1)</f>
        <v/>
      </c>
      <c r="AF300" s="32" t="n"/>
      <c r="AG300" s="36" t="n"/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3">
        <f>IF($F301="","",IFERROR(INDEX(사건마스터!$B$5:$B$64,MATCH($F301,사건마스터!$A$5:$A$64,0)),""))</f>
        <v/>
      </c>
      <c r="H301" s="34">
        <f>IF($F301="","",IFERROR(INDEX(사건마스터!$C$5:$C$64,MATCH($F301,사건마스터!$A$5:$A$64,0)),""))</f>
        <v/>
      </c>
      <c r="I301" s="35">
        <f>IF($F301="","",IFERROR(INDEX(사건마스터!$H$5:$H$64,MATCH($F301,사건마스터!$A$5:$A$64,0)),""))</f>
        <v/>
      </c>
      <c r="J301" s="35">
        <f>IF($F301="","",IFERROR(INDEX(사건마스터!$AH$5:$AH$64,MATCH($F301,사건마스터!$A$5:$A$64,0)),""))</f>
        <v/>
      </c>
      <c r="K301" s="35">
        <f>IF($F301="","",IFERROR(INDEX(사건마스터!$AI$5:$AI$64,MATCH($F301,사건마스터!$A$5:$A$64,0)),""))</f>
        <v/>
      </c>
      <c r="L301" s="35">
        <f>IF($F301="","",IFERROR(INDEX(사건마스터!$AJ$5:$AJ$64,MATCH($F301,사건마스터!$A$5:$A$64,0)),""))</f>
        <v/>
      </c>
      <c r="M301" s="35">
        <f>IF($F301="","",IFERROR(INDEX(사건마스터!$AK$5:$AK$64,MATCH($F301,사건마스터!$A$5:$A$64,0)),""))</f>
        <v/>
      </c>
      <c r="N301" s="35">
        <f>IF($F301="","",IFERROR(INDEX(사건마스터!$AL$5:$AL$64,MATCH($F301,사건마스터!$A$5:$A$64,0)),""))</f>
        <v/>
      </c>
      <c r="O301" s="35">
        <f>IF($F301="","",IFERROR(INDEX(사건마스터!$AM$5:$AM$64,MATCH($F301,사건마스터!$A$5:$A$64,0)),""))</f>
        <v/>
      </c>
      <c r="P301" s="35">
        <f>IF($F301="","",IFERROR(INDEX(사건마스터!$AN$5:$AN$64,MATCH($F301,사건마스터!$A$5:$A$64,0)),""))</f>
        <v/>
      </c>
      <c r="Q301" s="35">
        <f>IF($F301="","",IFERROR(INDEX(사건마스터!$AO$5:$AO$64,MATCH($F301,사건마스터!$A$5:$A$64,0)),""))</f>
        <v/>
      </c>
      <c r="R301" s="35">
        <f>IF($F301="","",IFERROR(INDEX(사건마스터!$AP$5:$AP$64,MATCH($F301,사건마스터!$A$5:$A$64,0)),""))</f>
        <v/>
      </c>
      <c r="S301" s="35">
        <f>IF($F301="","",IFERROR(INDEX(사건마스터!$AQ$5:$AQ$64,MATCH($F301,사건마스터!$A$5:$A$64,0)),""))</f>
        <v/>
      </c>
      <c r="T301" s="35">
        <f>IF($F301="","",IFERROR(INDEX(사건마스터!$AR$5:$AR$64,MATCH($F301,사건마스터!$A$5:$A$64,0)),""))</f>
        <v/>
      </c>
      <c r="U301" s="35">
        <f>IF($F301="","",IFERROR(INDEX(사건마스터!$AS$5:$AS$64,MATCH($F301,사건마스터!$A$5:$A$64,0)),""))</f>
        <v/>
      </c>
      <c r="V301" s="35">
        <f>IF($F301="","",IFERROR(INDEX(사건마스터!$AT$5:$AT$64,MATCH($F301,사건마스터!$A$5:$A$64,0)),""))</f>
        <v/>
      </c>
      <c r="W301" s="35">
        <f>IF($F301="","",IFERROR(INDEX(사건마스터!$AU$5:$AU$64,MATCH($F301,사건마스터!$A$5:$A$64,0)),""))</f>
        <v/>
      </c>
      <c r="X301" s="35">
        <f>IF($F301="","",IFERROR(INDEX(사건마스터!$AV$5:$AV$64,MATCH($F301,사건마스터!$A$5:$A$64,0)),""))</f>
        <v/>
      </c>
      <c r="Y301" s="30">
        <f>IF($I301="","",COUNTIF($I301:$X301,"?*"))</f>
        <v/>
      </c>
      <c r="Z301" s="33">
        <f>IF($I301="","",_xlfn.TEXTJOIN(", ",TRUE,$I301:$X301))</f>
        <v/>
      </c>
      <c r="AA301" s="34">
        <f>IF($I301="","",IFERROR(INDEX(코드설정!$D$5:$D$24,MATCH($I301,코드설정!$C$5:$C$24,0)),""))</f>
        <v/>
      </c>
      <c r="AB301" s="36" t="n"/>
      <c r="AC301" s="37" t="n"/>
      <c r="AD301" s="38" t="n"/>
      <c r="AE301" s="30">
        <f>IF(OR($B301="",$C301=""),"",$C301-$B301+1)</f>
        <v/>
      </c>
      <c r="AF301" s="32" t="n"/>
      <c r="AG301" s="36" t="n"/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3">
        <f>IF($F302="","",IFERROR(INDEX(사건마스터!$B$5:$B$64,MATCH($F302,사건마스터!$A$5:$A$64,0)),""))</f>
        <v/>
      </c>
      <c r="H302" s="34">
        <f>IF($F302="","",IFERROR(INDEX(사건마스터!$C$5:$C$64,MATCH($F302,사건마스터!$A$5:$A$64,0)),""))</f>
        <v/>
      </c>
      <c r="I302" s="35">
        <f>IF($F302="","",IFERROR(INDEX(사건마스터!$H$5:$H$64,MATCH($F302,사건마스터!$A$5:$A$64,0)),""))</f>
        <v/>
      </c>
      <c r="J302" s="35">
        <f>IF($F302="","",IFERROR(INDEX(사건마스터!$AH$5:$AH$64,MATCH($F302,사건마스터!$A$5:$A$64,0)),""))</f>
        <v/>
      </c>
      <c r="K302" s="35">
        <f>IF($F302="","",IFERROR(INDEX(사건마스터!$AI$5:$AI$64,MATCH($F302,사건마스터!$A$5:$A$64,0)),""))</f>
        <v/>
      </c>
      <c r="L302" s="35">
        <f>IF($F302="","",IFERROR(INDEX(사건마스터!$AJ$5:$AJ$64,MATCH($F302,사건마스터!$A$5:$A$64,0)),""))</f>
        <v/>
      </c>
      <c r="M302" s="35">
        <f>IF($F302="","",IFERROR(INDEX(사건마스터!$AK$5:$AK$64,MATCH($F302,사건마스터!$A$5:$A$64,0)),""))</f>
        <v/>
      </c>
      <c r="N302" s="35">
        <f>IF($F302="","",IFERROR(INDEX(사건마스터!$AL$5:$AL$64,MATCH($F302,사건마스터!$A$5:$A$64,0)),""))</f>
        <v/>
      </c>
      <c r="O302" s="35">
        <f>IF($F302="","",IFERROR(INDEX(사건마스터!$AM$5:$AM$64,MATCH($F302,사건마스터!$A$5:$A$64,0)),""))</f>
        <v/>
      </c>
      <c r="P302" s="35">
        <f>IF($F302="","",IFERROR(INDEX(사건마스터!$AN$5:$AN$64,MATCH($F302,사건마스터!$A$5:$A$64,0)),""))</f>
        <v/>
      </c>
      <c r="Q302" s="35">
        <f>IF($F302="","",IFERROR(INDEX(사건마스터!$AO$5:$AO$64,MATCH($F302,사건마스터!$A$5:$A$64,0)),""))</f>
        <v/>
      </c>
      <c r="R302" s="35">
        <f>IF($F302="","",IFERROR(INDEX(사건마스터!$AP$5:$AP$64,MATCH($F302,사건마스터!$A$5:$A$64,0)),""))</f>
        <v/>
      </c>
      <c r="S302" s="35">
        <f>IF($F302="","",IFERROR(INDEX(사건마스터!$AQ$5:$AQ$64,MATCH($F302,사건마스터!$A$5:$A$64,0)),""))</f>
        <v/>
      </c>
      <c r="T302" s="35">
        <f>IF($F302="","",IFERROR(INDEX(사건마스터!$AR$5:$AR$64,MATCH($F302,사건마스터!$A$5:$A$64,0)),""))</f>
        <v/>
      </c>
      <c r="U302" s="35">
        <f>IF($F302="","",IFERROR(INDEX(사건마스터!$AS$5:$AS$64,MATCH($F302,사건마스터!$A$5:$A$64,0)),""))</f>
        <v/>
      </c>
      <c r="V302" s="35">
        <f>IF($F302="","",IFERROR(INDEX(사건마스터!$AT$5:$AT$64,MATCH($F302,사건마스터!$A$5:$A$64,0)),""))</f>
        <v/>
      </c>
      <c r="W302" s="35">
        <f>IF($F302="","",IFERROR(INDEX(사건마스터!$AU$5:$AU$64,MATCH($F302,사건마스터!$A$5:$A$64,0)),""))</f>
        <v/>
      </c>
      <c r="X302" s="35">
        <f>IF($F302="","",IFERROR(INDEX(사건마스터!$AV$5:$AV$64,MATCH($F302,사건마스터!$A$5:$A$64,0)),""))</f>
        <v/>
      </c>
      <c r="Y302" s="30">
        <f>IF($I302="","",COUNTIF($I302:$X302,"?*"))</f>
        <v/>
      </c>
      <c r="Z302" s="33">
        <f>IF($I302="","",_xlfn.TEXTJOIN(", ",TRUE,$I302:$X302))</f>
        <v/>
      </c>
      <c r="AA302" s="34">
        <f>IF($I302="","",IFERROR(INDEX(코드설정!$D$5:$D$24,MATCH($I302,코드설정!$C$5:$C$24,0)),""))</f>
        <v/>
      </c>
      <c r="AB302" s="36" t="n"/>
      <c r="AC302" s="37" t="n"/>
      <c r="AD302" s="38" t="n"/>
      <c r="AE302" s="30">
        <f>IF(OR($B302="",$C302=""),"",$C302-$B302+1)</f>
        <v/>
      </c>
      <c r="AF302" s="32" t="n"/>
      <c r="AG302" s="36" t="n"/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3">
        <f>IF($F303="","",IFERROR(INDEX(사건마스터!$B$5:$B$64,MATCH($F303,사건마스터!$A$5:$A$64,0)),""))</f>
        <v/>
      </c>
      <c r="H303" s="34">
        <f>IF($F303="","",IFERROR(INDEX(사건마스터!$C$5:$C$64,MATCH($F303,사건마스터!$A$5:$A$64,0)),""))</f>
        <v/>
      </c>
      <c r="I303" s="35">
        <f>IF($F303="","",IFERROR(INDEX(사건마스터!$H$5:$H$64,MATCH($F303,사건마스터!$A$5:$A$64,0)),""))</f>
        <v/>
      </c>
      <c r="J303" s="35">
        <f>IF($F303="","",IFERROR(INDEX(사건마스터!$AH$5:$AH$64,MATCH($F303,사건마스터!$A$5:$A$64,0)),""))</f>
        <v/>
      </c>
      <c r="K303" s="35">
        <f>IF($F303="","",IFERROR(INDEX(사건마스터!$AI$5:$AI$64,MATCH($F303,사건마스터!$A$5:$A$64,0)),""))</f>
        <v/>
      </c>
      <c r="L303" s="35">
        <f>IF($F303="","",IFERROR(INDEX(사건마스터!$AJ$5:$AJ$64,MATCH($F303,사건마스터!$A$5:$A$64,0)),""))</f>
        <v/>
      </c>
      <c r="M303" s="35">
        <f>IF($F303="","",IFERROR(INDEX(사건마스터!$AK$5:$AK$64,MATCH($F303,사건마스터!$A$5:$A$64,0)),""))</f>
        <v/>
      </c>
      <c r="N303" s="35">
        <f>IF($F303="","",IFERROR(INDEX(사건마스터!$AL$5:$AL$64,MATCH($F303,사건마스터!$A$5:$A$64,0)),""))</f>
        <v/>
      </c>
      <c r="O303" s="35">
        <f>IF($F303="","",IFERROR(INDEX(사건마스터!$AM$5:$AM$64,MATCH($F303,사건마스터!$A$5:$A$64,0)),""))</f>
        <v/>
      </c>
      <c r="P303" s="35">
        <f>IF($F303="","",IFERROR(INDEX(사건마스터!$AN$5:$AN$64,MATCH($F303,사건마스터!$A$5:$A$64,0)),""))</f>
        <v/>
      </c>
      <c r="Q303" s="35">
        <f>IF($F303="","",IFERROR(INDEX(사건마스터!$AO$5:$AO$64,MATCH($F303,사건마스터!$A$5:$A$64,0)),""))</f>
        <v/>
      </c>
      <c r="R303" s="35">
        <f>IF($F303="","",IFERROR(INDEX(사건마스터!$AP$5:$AP$64,MATCH($F303,사건마스터!$A$5:$A$64,0)),""))</f>
        <v/>
      </c>
      <c r="S303" s="35">
        <f>IF($F303="","",IFERROR(INDEX(사건마스터!$AQ$5:$AQ$64,MATCH($F303,사건마스터!$A$5:$A$64,0)),""))</f>
        <v/>
      </c>
      <c r="T303" s="35">
        <f>IF($F303="","",IFERROR(INDEX(사건마스터!$AR$5:$AR$64,MATCH($F303,사건마스터!$A$5:$A$64,0)),""))</f>
        <v/>
      </c>
      <c r="U303" s="35">
        <f>IF($F303="","",IFERROR(INDEX(사건마스터!$AS$5:$AS$64,MATCH($F303,사건마스터!$A$5:$A$64,0)),""))</f>
        <v/>
      </c>
      <c r="V303" s="35">
        <f>IF($F303="","",IFERROR(INDEX(사건마스터!$AT$5:$AT$64,MATCH($F303,사건마스터!$A$5:$A$64,0)),""))</f>
        <v/>
      </c>
      <c r="W303" s="35">
        <f>IF($F303="","",IFERROR(INDEX(사건마스터!$AU$5:$AU$64,MATCH($F303,사건마스터!$A$5:$A$64,0)),""))</f>
        <v/>
      </c>
      <c r="X303" s="35">
        <f>IF($F303="","",IFERROR(INDEX(사건마스터!$AV$5:$AV$64,MATCH($F303,사건마스터!$A$5:$A$64,0)),""))</f>
        <v/>
      </c>
      <c r="Y303" s="30">
        <f>IF($I303="","",COUNTIF($I303:$X303,"?*"))</f>
        <v/>
      </c>
      <c r="Z303" s="33">
        <f>IF($I303="","",_xlfn.TEXTJOIN(", ",TRUE,$I303:$X303))</f>
        <v/>
      </c>
      <c r="AA303" s="34">
        <f>IF($I303="","",IFERROR(INDEX(코드설정!$D$5:$D$24,MATCH($I303,코드설정!$C$5:$C$24,0)),""))</f>
        <v/>
      </c>
      <c r="AB303" s="36" t="n"/>
      <c r="AC303" s="37" t="n"/>
      <c r="AD303" s="38" t="n"/>
      <c r="AE303" s="30">
        <f>IF(OR($B303="",$C303=""),"",$C303-$B303+1)</f>
        <v/>
      </c>
      <c r="AF303" s="32" t="n"/>
      <c r="AG303" s="36" t="n"/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3">
        <f>IF($F304="","",IFERROR(INDEX(사건마스터!$B$5:$B$64,MATCH($F304,사건마스터!$A$5:$A$64,0)),""))</f>
        <v/>
      </c>
      <c r="H304" s="34">
        <f>IF($F304="","",IFERROR(INDEX(사건마스터!$C$5:$C$64,MATCH($F304,사건마스터!$A$5:$A$64,0)),""))</f>
        <v/>
      </c>
      <c r="I304" s="35">
        <f>IF($F304="","",IFERROR(INDEX(사건마스터!$H$5:$H$64,MATCH($F304,사건마스터!$A$5:$A$64,0)),""))</f>
        <v/>
      </c>
      <c r="J304" s="35">
        <f>IF($F304="","",IFERROR(INDEX(사건마스터!$AH$5:$AH$64,MATCH($F304,사건마스터!$A$5:$A$64,0)),""))</f>
        <v/>
      </c>
      <c r="K304" s="35">
        <f>IF($F304="","",IFERROR(INDEX(사건마스터!$AI$5:$AI$64,MATCH($F304,사건마스터!$A$5:$A$64,0)),""))</f>
        <v/>
      </c>
      <c r="L304" s="35">
        <f>IF($F304="","",IFERROR(INDEX(사건마스터!$AJ$5:$AJ$64,MATCH($F304,사건마스터!$A$5:$A$64,0)),""))</f>
        <v/>
      </c>
      <c r="M304" s="35">
        <f>IF($F304="","",IFERROR(INDEX(사건마스터!$AK$5:$AK$64,MATCH($F304,사건마스터!$A$5:$A$64,0)),""))</f>
        <v/>
      </c>
      <c r="N304" s="35">
        <f>IF($F304="","",IFERROR(INDEX(사건마스터!$AL$5:$AL$64,MATCH($F304,사건마스터!$A$5:$A$64,0)),""))</f>
        <v/>
      </c>
      <c r="O304" s="35">
        <f>IF($F304="","",IFERROR(INDEX(사건마스터!$AM$5:$AM$64,MATCH($F304,사건마스터!$A$5:$A$64,0)),""))</f>
        <v/>
      </c>
      <c r="P304" s="35">
        <f>IF($F304="","",IFERROR(INDEX(사건마스터!$AN$5:$AN$64,MATCH($F304,사건마스터!$A$5:$A$64,0)),""))</f>
        <v/>
      </c>
      <c r="Q304" s="35">
        <f>IF($F304="","",IFERROR(INDEX(사건마스터!$AO$5:$AO$64,MATCH($F304,사건마스터!$A$5:$A$64,0)),""))</f>
        <v/>
      </c>
      <c r="R304" s="35">
        <f>IF($F304="","",IFERROR(INDEX(사건마스터!$AP$5:$AP$64,MATCH($F304,사건마스터!$A$5:$A$64,0)),""))</f>
        <v/>
      </c>
      <c r="S304" s="35">
        <f>IF($F304="","",IFERROR(INDEX(사건마스터!$AQ$5:$AQ$64,MATCH($F304,사건마스터!$A$5:$A$64,0)),""))</f>
        <v/>
      </c>
      <c r="T304" s="35">
        <f>IF($F304="","",IFERROR(INDEX(사건마스터!$AR$5:$AR$64,MATCH($F304,사건마스터!$A$5:$A$64,0)),""))</f>
        <v/>
      </c>
      <c r="U304" s="35">
        <f>IF($F304="","",IFERROR(INDEX(사건마스터!$AS$5:$AS$64,MATCH($F304,사건마스터!$A$5:$A$64,0)),""))</f>
        <v/>
      </c>
      <c r="V304" s="35">
        <f>IF($F304="","",IFERROR(INDEX(사건마스터!$AT$5:$AT$64,MATCH($F304,사건마스터!$A$5:$A$64,0)),""))</f>
        <v/>
      </c>
      <c r="W304" s="35">
        <f>IF($F304="","",IFERROR(INDEX(사건마스터!$AU$5:$AU$64,MATCH($F304,사건마스터!$A$5:$A$64,0)),""))</f>
        <v/>
      </c>
      <c r="X304" s="35">
        <f>IF($F304="","",IFERROR(INDEX(사건마스터!$AV$5:$AV$64,MATCH($F304,사건마스터!$A$5:$A$64,0)),""))</f>
        <v/>
      </c>
      <c r="Y304" s="30">
        <f>IF($I304="","",COUNTIF($I304:$X304,"?*"))</f>
        <v/>
      </c>
      <c r="Z304" s="33">
        <f>IF($I304="","",_xlfn.TEXTJOIN(", ",TRUE,$I304:$X304))</f>
        <v/>
      </c>
      <c r="AA304" s="34">
        <f>IF($I304="","",IFERROR(INDEX(코드설정!$D$5:$D$24,MATCH($I304,코드설정!$C$5:$C$24,0)),""))</f>
        <v/>
      </c>
      <c r="AB304" s="36" t="n"/>
      <c r="AC304" s="37" t="n"/>
      <c r="AD304" s="38" t="n"/>
      <c r="AE304" s="30">
        <f>IF(OR($B304="",$C304=""),"",$C304-$B304+1)</f>
        <v/>
      </c>
      <c r="AF304" s="32" t="n"/>
      <c r="AG304" s="36" t="n"/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3">
        <f>IF($F305="","",IFERROR(INDEX(사건마스터!$B$5:$B$64,MATCH($F305,사건마스터!$A$5:$A$64,0)),""))</f>
        <v/>
      </c>
      <c r="H305" s="34">
        <f>IF($F305="","",IFERROR(INDEX(사건마스터!$C$5:$C$64,MATCH($F305,사건마스터!$A$5:$A$64,0)),""))</f>
        <v/>
      </c>
      <c r="I305" s="35">
        <f>IF($F305="","",IFERROR(INDEX(사건마스터!$H$5:$H$64,MATCH($F305,사건마스터!$A$5:$A$64,0)),""))</f>
        <v/>
      </c>
      <c r="J305" s="35">
        <f>IF($F305="","",IFERROR(INDEX(사건마스터!$AH$5:$AH$64,MATCH($F305,사건마스터!$A$5:$A$64,0)),""))</f>
        <v/>
      </c>
      <c r="K305" s="35">
        <f>IF($F305="","",IFERROR(INDEX(사건마스터!$AI$5:$AI$64,MATCH($F305,사건마스터!$A$5:$A$64,0)),""))</f>
        <v/>
      </c>
      <c r="L305" s="35">
        <f>IF($F305="","",IFERROR(INDEX(사건마스터!$AJ$5:$AJ$64,MATCH($F305,사건마스터!$A$5:$A$64,0)),""))</f>
        <v/>
      </c>
      <c r="M305" s="35">
        <f>IF($F305="","",IFERROR(INDEX(사건마스터!$AK$5:$AK$64,MATCH($F305,사건마스터!$A$5:$A$64,0)),""))</f>
        <v/>
      </c>
      <c r="N305" s="35">
        <f>IF($F305="","",IFERROR(INDEX(사건마스터!$AL$5:$AL$64,MATCH($F305,사건마스터!$A$5:$A$64,0)),""))</f>
        <v/>
      </c>
      <c r="O305" s="35">
        <f>IF($F305="","",IFERROR(INDEX(사건마스터!$AM$5:$AM$64,MATCH($F305,사건마스터!$A$5:$A$64,0)),""))</f>
        <v/>
      </c>
      <c r="P305" s="35">
        <f>IF($F305="","",IFERROR(INDEX(사건마스터!$AN$5:$AN$64,MATCH($F305,사건마스터!$A$5:$A$64,0)),""))</f>
        <v/>
      </c>
      <c r="Q305" s="35">
        <f>IF($F305="","",IFERROR(INDEX(사건마스터!$AO$5:$AO$64,MATCH($F305,사건마스터!$A$5:$A$64,0)),""))</f>
        <v/>
      </c>
      <c r="R305" s="35">
        <f>IF($F305="","",IFERROR(INDEX(사건마스터!$AP$5:$AP$64,MATCH($F305,사건마스터!$A$5:$A$64,0)),""))</f>
        <v/>
      </c>
      <c r="S305" s="35">
        <f>IF($F305="","",IFERROR(INDEX(사건마스터!$AQ$5:$AQ$64,MATCH($F305,사건마스터!$A$5:$A$64,0)),""))</f>
        <v/>
      </c>
      <c r="T305" s="35">
        <f>IF($F305="","",IFERROR(INDEX(사건마스터!$AR$5:$AR$64,MATCH($F305,사건마스터!$A$5:$A$64,0)),""))</f>
        <v/>
      </c>
      <c r="U305" s="35">
        <f>IF($F305="","",IFERROR(INDEX(사건마스터!$AS$5:$AS$64,MATCH($F305,사건마스터!$A$5:$A$64,0)),""))</f>
        <v/>
      </c>
      <c r="V305" s="35">
        <f>IF($F305="","",IFERROR(INDEX(사건마스터!$AT$5:$AT$64,MATCH($F305,사건마스터!$A$5:$A$64,0)),""))</f>
        <v/>
      </c>
      <c r="W305" s="35">
        <f>IF($F305="","",IFERROR(INDEX(사건마스터!$AU$5:$AU$64,MATCH($F305,사건마스터!$A$5:$A$64,0)),""))</f>
        <v/>
      </c>
      <c r="X305" s="35">
        <f>IF($F305="","",IFERROR(INDEX(사건마스터!$AV$5:$AV$64,MATCH($F305,사건마스터!$A$5:$A$64,0)),""))</f>
        <v/>
      </c>
      <c r="Y305" s="30">
        <f>IF($I305="","",COUNTIF($I305:$X305,"?*"))</f>
        <v/>
      </c>
      <c r="Z305" s="33">
        <f>IF($I305="","",_xlfn.TEXTJOIN(", ",TRUE,$I305:$X305))</f>
        <v/>
      </c>
      <c r="AA305" s="34">
        <f>IF($I305="","",IFERROR(INDEX(코드설정!$D$5:$D$24,MATCH($I305,코드설정!$C$5:$C$24,0)),""))</f>
        <v/>
      </c>
      <c r="AB305" s="36" t="n"/>
      <c r="AC305" s="37" t="n"/>
      <c r="AD305" s="38" t="n"/>
      <c r="AE305" s="30">
        <f>IF(OR($B305="",$C305=""),"",$C305-$B305+1)</f>
        <v/>
      </c>
      <c r="AF305" s="32" t="n"/>
      <c r="AG305" s="36" t="n"/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3">
        <f>IF($F306="","",IFERROR(INDEX(사건마스터!$B$5:$B$64,MATCH($F306,사건마스터!$A$5:$A$64,0)),""))</f>
        <v/>
      </c>
      <c r="H306" s="34">
        <f>IF($F306="","",IFERROR(INDEX(사건마스터!$C$5:$C$64,MATCH($F306,사건마스터!$A$5:$A$64,0)),""))</f>
        <v/>
      </c>
      <c r="I306" s="35">
        <f>IF($F306="","",IFERROR(INDEX(사건마스터!$H$5:$H$64,MATCH($F306,사건마스터!$A$5:$A$64,0)),""))</f>
        <v/>
      </c>
      <c r="J306" s="35">
        <f>IF($F306="","",IFERROR(INDEX(사건마스터!$AH$5:$AH$64,MATCH($F306,사건마스터!$A$5:$A$64,0)),""))</f>
        <v/>
      </c>
      <c r="K306" s="35">
        <f>IF($F306="","",IFERROR(INDEX(사건마스터!$AI$5:$AI$64,MATCH($F306,사건마스터!$A$5:$A$64,0)),""))</f>
        <v/>
      </c>
      <c r="L306" s="35">
        <f>IF($F306="","",IFERROR(INDEX(사건마스터!$AJ$5:$AJ$64,MATCH($F306,사건마스터!$A$5:$A$64,0)),""))</f>
        <v/>
      </c>
      <c r="M306" s="35">
        <f>IF($F306="","",IFERROR(INDEX(사건마스터!$AK$5:$AK$64,MATCH($F306,사건마스터!$A$5:$A$64,0)),""))</f>
        <v/>
      </c>
      <c r="N306" s="35">
        <f>IF($F306="","",IFERROR(INDEX(사건마스터!$AL$5:$AL$64,MATCH($F306,사건마스터!$A$5:$A$64,0)),""))</f>
        <v/>
      </c>
      <c r="O306" s="35">
        <f>IF($F306="","",IFERROR(INDEX(사건마스터!$AM$5:$AM$64,MATCH($F306,사건마스터!$A$5:$A$64,0)),""))</f>
        <v/>
      </c>
      <c r="P306" s="35">
        <f>IF($F306="","",IFERROR(INDEX(사건마스터!$AN$5:$AN$64,MATCH($F306,사건마스터!$A$5:$A$64,0)),""))</f>
        <v/>
      </c>
      <c r="Q306" s="35">
        <f>IF($F306="","",IFERROR(INDEX(사건마스터!$AO$5:$AO$64,MATCH($F306,사건마스터!$A$5:$A$64,0)),""))</f>
        <v/>
      </c>
      <c r="R306" s="35">
        <f>IF($F306="","",IFERROR(INDEX(사건마스터!$AP$5:$AP$64,MATCH($F306,사건마스터!$A$5:$A$64,0)),""))</f>
        <v/>
      </c>
      <c r="S306" s="35">
        <f>IF($F306="","",IFERROR(INDEX(사건마스터!$AQ$5:$AQ$64,MATCH($F306,사건마스터!$A$5:$A$64,0)),""))</f>
        <v/>
      </c>
      <c r="T306" s="35">
        <f>IF($F306="","",IFERROR(INDEX(사건마스터!$AR$5:$AR$64,MATCH($F306,사건마스터!$A$5:$A$64,0)),""))</f>
        <v/>
      </c>
      <c r="U306" s="35">
        <f>IF($F306="","",IFERROR(INDEX(사건마스터!$AS$5:$AS$64,MATCH($F306,사건마스터!$A$5:$A$64,0)),""))</f>
        <v/>
      </c>
      <c r="V306" s="35">
        <f>IF($F306="","",IFERROR(INDEX(사건마스터!$AT$5:$AT$64,MATCH($F306,사건마스터!$A$5:$A$64,0)),""))</f>
        <v/>
      </c>
      <c r="W306" s="35">
        <f>IF($F306="","",IFERROR(INDEX(사건마스터!$AU$5:$AU$64,MATCH($F306,사건마스터!$A$5:$A$64,0)),""))</f>
        <v/>
      </c>
      <c r="X306" s="35">
        <f>IF($F306="","",IFERROR(INDEX(사건마스터!$AV$5:$AV$64,MATCH($F306,사건마스터!$A$5:$A$64,0)),""))</f>
        <v/>
      </c>
      <c r="Y306" s="30">
        <f>IF($I306="","",COUNTIF($I306:$X306,"?*"))</f>
        <v/>
      </c>
      <c r="Z306" s="33">
        <f>IF($I306="","",_xlfn.TEXTJOIN(", ",TRUE,$I306:$X306))</f>
        <v/>
      </c>
      <c r="AA306" s="34">
        <f>IF($I306="","",IFERROR(INDEX(코드설정!$D$5:$D$24,MATCH($I306,코드설정!$C$5:$C$24,0)),""))</f>
        <v/>
      </c>
      <c r="AB306" s="36" t="n"/>
      <c r="AC306" s="37" t="n"/>
      <c r="AD306" s="38" t="n"/>
      <c r="AE306" s="30">
        <f>IF(OR($B306="",$C306=""),"",$C306-$B306+1)</f>
        <v/>
      </c>
      <c r="AF306" s="32" t="n"/>
      <c r="AG306" s="36" t="n"/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3">
        <f>IF($F307="","",IFERROR(INDEX(사건마스터!$B$5:$B$64,MATCH($F307,사건마스터!$A$5:$A$64,0)),""))</f>
        <v/>
      </c>
      <c r="H307" s="34">
        <f>IF($F307="","",IFERROR(INDEX(사건마스터!$C$5:$C$64,MATCH($F307,사건마스터!$A$5:$A$64,0)),""))</f>
        <v/>
      </c>
      <c r="I307" s="35">
        <f>IF($F307="","",IFERROR(INDEX(사건마스터!$H$5:$H$64,MATCH($F307,사건마스터!$A$5:$A$64,0)),""))</f>
        <v/>
      </c>
      <c r="J307" s="35">
        <f>IF($F307="","",IFERROR(INDEX(사건마스터!$AH$5:$AH$64,MATCH($F307,사건마스터!$A$5:$A$64,0)),""))</f>
        <v/>
      </c>
      <c r="K307" s="35">
        <f>IF($F307="","",IFERROR(INDEX(사건마스터!$AI$5:$AI$64,MATCH($F307,사건마스터!$A$5:$A$64,0)),""))</f>
        <v/>
      </c>
      <c r="L307" s="35">
        <f>IF($F307="","",IFERROR(INDEX(사건마스터!$AJ$5:$AJ$64,MATCH($F307,사건마스터!$A$5:$A$64,0)),""))</f>
        <v/>
      </c>
      <c r="M307" s="35">
        <f>IF($F307="","",IFERROR(INDEX(사건마스터!$AK$5:$AK$64,MATCH($F307,사건마스터!$A$5:$A$64,0)),""))</f>
        <v/>
      </c>
      <c r="N307" s="35">
        <f>IF($F307="","",IFERROR(INDEX(사건마스터!$AL$5:$AL$64,MATCH($F307,사건마스터!$A$5:$A$64,0)),""))</f>
        <v/>
      </c>
      <c r="O307" s="35">
        <f>IF($F307="","",IFERROR(INDEX(사건마스터!$AM$5:$AM$64,MATCH($F307,사건마스터!$A$5:$A$64,0)),""))</f>
        <v/>
      </c>
      <c r="P307" s="35">
        <f>IF($F307="","",IFERROR(INDEX(사건마스터!$AN$5:$AN$64,MATCH($F307,사건마스터!$A$5:$A$64,0)),""))</f>
        <v/>
      </c>
      <c r="Q307" s="35">
        <f>IF($F307="","",IFERROR(INDEX(사건마스터!$AO$5:$AO$64,MATCH($F307,사건마스터!$A$5:$A$64,0)),""))</f>
        <v/>
      </c>
      <c r="R307" s="35">
        <f>IF($F307="","",IFERROR(INDEX(사건마스터!$AP$5:$AP$64,MATCH($F307,사건마스터!$A$5:$A$64,0)),""))</f>
        <v/>
      </c>
      <c r="S307" s="35">
        <f>IF($F307="","",IFERROR(INDEX(사건마스터!$AQ$5:$AQ$64,MATCH($F307,사건마스터!$A$5:$A$64,0)),""))</f>
        <v/>
      </c>
      <c r="T307" s="35">
        <f>IF($F307="","",IFERROR(INDEX(사건마스터!$AR$5:$AR$64,MATCH($F307,사건마스터!$A$5:$A$64,0)),""))</f>
        <v/>
      </c>
      <c r="U307" s="35">
        <f>IF($F307="","",IFERROR(INDEX(사건마스터!$AS$5:$AS$64,MATCH($F307,사건마스터!$A$5:$A$64,0)),""))</f>
        <v/>
      </c>
      <c r="V307" s="35">
        <f>IF($F307="","",IFERROR(INDEX(사건마스터!$AT$5:$AT$64,MATCH($F307,사건마스터!$A$5:$A$64,0)),""))</f>
        <v/>
      </c>
      <c r="W307" s="35">
        <f>IF($F307="","",IFERROR(INDEX(사건마스터!$AU$5:$AU$64,MATCH($F307,사건마스터!$A$5:$A$64,0)),""))</f>
        <v/>
      </c>
      <c r="X307" s="35">
        <f>IF($F307="","",IFERROR(INDEX(사건마스터!$AV$5:$AV$64,MATCH($F307,사건마스터!$A$5:$A$64,0)),""))</f>
        <v/>
      </c>
      <c r="Y307" s="30">
        <f>IF($I307="","",COUNTIF($I307:$X307,"?*"))</f>
        <v/>
      </c>
      <c r="Z307" s="33">
        <f>IF($I307="","",_xlfn.TEXTJOIN(", ",TRUE,$I307:$X307))</f>
        <v/>
      </c>
      <c r="AA307" s="34">
        <f>IF($I307="","",IFERROR(INDEX(코드설정!$D$5:$D$24,MATCH($I307,코드설정!$C$5:$C$24,0)),""))</f>
        <v/>
      </c>
      <c r="AB307" s="36" t="n"/>
      <c r="AC307" s="37" t="n"/>
      <c r="AD307" s="38" t="n"/>
      <c r="AE307" s="30">
        <f>IF(OR($B307="",$C307=""),"",$C307-$B307+1)</f>
        <v/>
      </c>
      <c r="AF307" s="32" t="n"/>
      <c r="AG307" s="36" t="n"/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3">
        <f>IF($F308="","",IFERROR(INDEX(사건마스터!$B$5:$B$64,MATCH($F308,사건마스터!$A$5:$A$64,0)),""))</f>
        <v/>
      </c>
      <c r="H308" s="34">
        <f>IF($F308="","",IFERROR(INDEX(사건마스터!$C$5:$C$64,MATCH($F308,사건마스터!$A$5:$A$64,0)),""))</f>
        <v/>
      </c>
      <c r="I308" s="35">
        <f>IF($F308="","",IFERROR(INDEX(사건마스터!$H$5:$H$64,MATCH($F308,사건마스터!$A$5:$A$64,0)),""))</f>
        <v/>
      </c>
      <c r="J308" s="35">
        <f>IF($F308="","",IFERROR(INDEX(사건마스터!$AH$5:$AH$64,MATCH($F308,사건마스터!$A$5:$A$64,0)),""))</f>
        <v/>
      </c>
      <c r="K308" s="35">
        <f>IF($F308="","",IFERROR(INDEX(사건마스터!$AI$5:$AI$64,MATCH($F308,사건마스터!$A$5:$A$64,0)),""))</f>
        <v/>
      </c>
      <c r="L308" s="35">
        <f>IF($F308="","",IFERROR(INDEX(사건마스터!$AJ$5:$AJ$64,MATCH($F308,사건마스터!$A$5:$A$64,0)),""))</f>
        <v/>
      </c>
      <c r="M308" s="35">
        <f>IF($F308="","",IFERROR(INDEX(사건마스터!$AK$5:$AK$64,MATCH($F308,사건마스터!$A$5:$A$64,0)),""))</f>
        <v/>
      </c>
      <c r="N308" s="35">
        <f>IF($F308="","",IFERROR(INDEX(사건마스터!$AL$5:$AL$64,MATCH($F308,사건마스터!$A$5:$A$64,0)),""))</f>
        <v/>
      </c>
      <c r="O308" s="35">
        <f>IF($F308="","",IFERROR(INDEX(사건마스터!$AM$5:$AM$64,MATCH($F308,사건마스터!$A$5:$A$64,0)),""))</f>
        <v/>
      </c>
      <c r="P308" s="35">
        <f>IF($F308="","",IFERROR(INDEX(사건마스터!$AN$5:$AN$64,MATCH($F308,사건마스터!$A$5:$A$64,0)),""))</f>
        <v/>
      </c>
      <c r="Q308" s="35">
        <f>IF($F308="","",IFERROR(INDEX(사건마스터!$AO$5:$AO$64,MATCH($F308,사건마스터!$A$5:$A$64,0)),""))</f>
        <v/>
      </c>
      <c r="R308" s="35">
        <f>IF($F308="","",IFERROR(INDEX(사건마스터!$AP$5:$AP$64,MATCH($F308,사건마스터!$A$5:$A$64,0)),""))</f>
        <v/>
      </c>
      <c r="S308" s="35">
        <f>IF($F308="","",IFERROR(INDEX(사건마스터!$AQ$5:$AQ$64,MATCH($F308,사건마스터!$A$5:$A$64,0)),""))</f>
        <v/>
      </c>
      <c r="T308" s="35">
        <f>IF($F308="","",IFERROR(INDEX(사건마스터!$AR$5:$AR$64,MATCH($F308,사건마스터!$A$5:$A$64,0)),""))</f>
        <v/>
      </c>
      <c r="U308" s="35">
        <f>IF($F308="","",IFERROR(INDEX(사건마스터!$AS$5:$AS$64,MATCH($F308,사건마스터!$A$5:$A$64,0)),""))</f>
        <v/>
      </c>
      <c r="V308" s="35">
        <f>IF($F308="","",IFERROR(INDEX(사건마스터!$AT$5:$AT$64,MATCH($F308,사건마스터!$A$5:$A$64,0)),""))</f>
        <v/>
      </c>
      <c r="W308" s="35">
        <f>IF($F308="","",IFERROR(INDEX(사건마스터!$AU$5:$AU$64,MATCH($F308,사건마스터!$A$5:$A$64,0)),""))</f>
        <v/>
      </c>
      <c r="X308" s="35">
        <f>IF($F308="","",IFERROR(INDEX(사건마스터!$AV$5:$AV$64,MATCH($F308,사건마스터!$A$5:$A$64,0)),""))</f>
        <v/>
      </c>
      <c r="Y308" s="30">
        <f>IF($I308="","",COUNTIF($I308:$X308,"?*"))</f>
        <v/>
      </c>
      <c r="Z308" s="33">
        <f>IF($I308="","",_xlfn.TEXTJOIN(", ",TRUE,$I308:$X308))</f>
        <v/>
      </c>
      <c r="AA308" s="34">
        <f>IF($I308="","",IFERROR(INDEX(코드설정!$D$5:$D$24,MATCH($I308,코드설정!$C$5:$C$24,0)),""))</f>
        <v/>
      </c>
      <c r="AB308" s="36" t="n"/>
      <c r="AC308" s="37" t="n"/>
      <c r="AD308" s="38" t="n"/>
      <c r="AE308" s="30">
        <f>IF(OR($B308="",$C308=""),"",$C308-$B308+1)</f>
        <v/>
      </c>
      <c r="AF308" s="32" t="n"/>
      <c r="AG308" s="36" t="n"/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3">
        <f>IF($F309="","",IFERROR(INDEX(사건마스터!$B$5:$B$64,MATCH($F309,사건마스터!$A$5:$A$64,0)),""))</f>
        <v/>
      </c>
      <c r="H309" s="34">
        <f>IF($F309="","",IFERROR(INDEX(사건마스터!$C$5:$C$64,MATCH($F309,사건마스터!$A$5:$A$64,0)),""))</f>
        <v/>
      </c>
      <c r="I309" s="35">
        <f>IF($F309="","",IFERROR(INDEX(사건마스터!$H$5:$H$64,MATCH($F309,사건마스터!$A$5:$A$64,0)),""))</f>
        <v/>
      </c>
      <c r="J309" s="35">
        <f>IF($F309="","",IFERROR(INDEX(사건마스터!$AH$5:$AH$64,MATCH($F309,사건마스터!$A$5:$A$64,0)),""))</f>
        <v/>
      </c>
      <c r="K309" s="35">
        <f>IF($F309="","",IFERROR(INDEX(사건마스터!$AI$5:$AI$64,MATCH($F309,사건마스터!$A$5:$A$64,0)),""))</f>
        <v/>
      </c>
      <c r="L309" s="35">
        <f>IF($F309="","",IFERROR(INDEX(사건마스터!$AJ$5:$AJ$64,MATCH($F309,사건마스터!$A$5:$A$64,0)),""))</f>
        <v/>
      </c>
      <c r="M309" s="35">
        <f>IF($F309="","",IFERROR(INDEX(사건마스터!$AK$5:$AK$64,MATCH($F309,사건마스터!$A$5:$A$64,0)),""))</f>
        <v/>
      </c>
      <c r="N309" s="35">
        <f>IF($F309="","",IFERROR(INDEX(사건마스터!$AL$5:$AL$64,MATCH($F309,사건마스터!$A$5:$A$64,0)),""))</f>
        <v/>
      </c>
      <c r="O309" s="35">
        <f>IF($F309="","",IFERROR(INDEX(사건마스터!$AM$5:$AM$64,MATCH($F309,사건마스터!$A$5:$A$64,0)),""))</f>
        <v/>
      </c>
      <c r="P309" s="35">
        <f>IF($F309="","",IFERROR(INDEX(사건마스터!$AN$5:$AN$64,MATCH($F309,사건마스터!$A$5:$A$64,0)),""))</f>
        <v/>
      </c>
      <c r="Q309" s="35">
        <f>IF($F309="","",IFERROR(INDEX(사건마스터!$AO$5:$AO$64,MATCH($F309,사건마스터!$A$5:$A$64,0)),""))</f>
        <v/>
      </c>
      <c r="R309" s="35">
        <f>IF($F309="","",IFERROR(INDEX(사건마스터!$AP$5:$AP$64,MATCH($F309,사건마스터!$A$5:$A$64,0)),""))</f>
        <v/>
      </c>
      <c r="S309" s="35">
        <f>IF($F309="","",IFERROR(INDEX(사건마스터!$AQ$5:$AQ$64,MATCH($F309,사건마스터!$A$5:$A$64,0)),""))</f>
        <v/>
      </c>
      <c r="T309" s="35">
        <f>IF($F309="","",IFERROR(INDEX(사건마스터!$AR$5:$AR$64,MATCH($F309,사건마스터!$A$5:$A$64,0)),""))</f>
        <v/>
      </c>
      <c r="U309" s="35">
        <f>IF($F309="","",IFERROR(INDEX(사건마스터!$AS$5:$AS$64,MATCH($F309,사건마스터!$A$5:$A$64,0)),""))</f>
        <v/>
      </c>
      <c r="V309" s="35">
        <f>IF($F309="","",IFERROR(INDEX(사건마스터!$AT$5:$AT$64,MATCH($F309,사건마스터!$A$5:$A$64,0)),""))</f>
        <v/>
      </c>
      <c r="W309" s="35">
        <f>IF($F309="","",IFERROR(INDEX(사건마스터!$AU$5:$AU$64,MATCH($F309,사건마스터!$A$5:$A$64,0)),""))</f>
        <v/>
      </c>
      <c r="X309" s="35">
        <f>IF($F309="","",IFERROR(INDEX(사건마스터!$AV$5:$AV$64,MATCH($F309,사건마스터!$A$5:$A$64,0)),""))</f>
        <v/>
      </c>
      <c r="Y309" s="30">
        <f>IF($I309="","",COUNTIF($I309:$X309,"?*"))</f>
        <v/>
      </c>
      <c r="Z309" s="33">
        <f>IF($I309="","",_xlfn.TEXTJOIN(", ",TRUE,$I309:$X309))</f>
        <v/>
      </c>
      <c r="AA309" s="34">
        <f>IF($I309="","",IFERROR(INDEX(코드설정!$D$5:$D$24,MATCH($I309,코드설정!$C$5:$C$24,0)),""))</f>
        <v/>
      </c>
      <c r="AB309" s="36" t="n"/>
      <c r="AC309" s="37" t="n"/>
      <c r="AD309" s="38" t="n"/>
      <c r="AE309" s="30">
        <f>IF(OR($B309="",$C309=""),"",$C309-$B309+1)</f>
        <v/>
      </c>
      <c r="AF309" s="32" t="n"/>
      <c r="AG309" s="36" t="n"/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3">
        <f>IF($F310="","",IFERROR(INDEX(사건마스터!$B$5:$B$64,MATCH($F310,사건마스터!$A$5:$A$64,0)),""))</f>
        <v/>
      </c>
      <c r="H310" s="34">
        <f>IF($F310="","",IFERROR(INDEX(사건마스터!$C$5:$C$64,MATCH($F310,사건마스터!$A$5:$A$64,0)),""))</f>
        <v/>
      </c>
      <c r="I310" s="35">
        <f>IF($F310="","",IFERROR(INDEX(사건마스터!$H$5:$H$64,MATCH($F310,사건마스터!$A$5:$A$64,0)),""))</f>
        <v/>
      </c>
      <c r="J310" s="35">
        <f>IF($F310="","",IFERROR(INDEX(사건마스터!$AH$5:$AH$64,MATCH($F310,사건마스터!$A$5:$A$64,0)),""))</f>
        <v/>
      </c>
      <c r="K310" s="35">
        <f>IF($F310="","",IFERROR(INDEX(사건마스터!$AI$5:$AI$64,MATCH($F310,사건마스터!$A$5:$A$64,0)),""))</f>
        <v/>
      </c>
      <c r="L310" s="35">
        <f>IF($F310="","",IFERROR(INDEX(사건마스터!$AJ$5:$AJ$64,MATCH($F310,사건마스터!$A$5:$A$64,0)),""))</f>
        <v/>
      </c>
      <c r="M310" s="35">
        <f>IF($F310="","",IFERROR(INDEX(사건마스터!$AK$5:$AK$64,MATCH($F310,사건마스터!$A$5:$A$64,0)),""))</f>
        <v/>
      </c>
      <c r="N310" s="35">
        <f>IF($F310="","",IFERROR(INDEX(사건마스터!$AL$5:$AL$64,MATCH($F310,사건마스터!$A$5:$A$64,0)),""))</f>
        <v/>
      </c>
      <c r="O310" s="35">
        <f>IF($F310="","",IFERROR(INDEX(사건마스터!$AM$5:$AM$64,MATCH($F310,사건마스터!$A$5:$A$64,0)),""))</f>
        <v/>
      </c>
      <c r="P310" s="35">
        <f>IF($F310="","",IFERROR(INDEX(사건마스터!$AN$5:$AN$64,MATCH($F310,사건마스터!$A$5:$A$64,0)),""))</f>
        <v/>
      </c>
      <c r="Q310" s="35">
        <f>IF($F310="","",IFERROR(INDEX(사건마스터!$AO$5:$AO$64,MATCH($F310,사건마스터!$A$5:$A$64,0)),""))</f>
        <v/>
      </c>
      <c r="R310" s="35">
        <f>IF($F310="","",IFERROR(INDEX(사건마스터!$AP$5:$AP$64,MATCH($F310,사건마스터!$A$5:$A$64,0)),""))</f>
        <v/>
      </c>
      <c r="S310" s="35">
        <f>IF($F310="","",IFERROR(INDEX(사건마스터!$AQ$5:$AQ$64,MATCH($F310,사건마스터!$A$5:$A$64,0)),""))</f>
        <v/>
      </c>
      <c r="T310" s="35">
        <f>IF($F310="","",IFERROR(INDEX(사건마스터!$AR$5:$AR$64,MATCH($F310,사건마스터!$A$5:$A$64,0)),""))</f>
        <v/>
      </c>
      <c r="U310" s="35">
        <f>IF($F310="","",IFERROR(INDEX(사건마스터!$AS$5:$AS$64,MATCH($F310,사건마스터!$A$5:$A$64,0)),""))</f>
        <v/>
      </c>
      <c r="V310" s="35">
        <f>IF($F310="","",IFERROR(INDEX(사건마스터!$AT$5:$AT$64,MATCH($F310,사건마스터!$A$5:$A$64,0)),""))</f>
        <v/>
      </c>
      <c r="W310" s="35">
        <f>IF($F310="","",IFERROR(INDEX(사건마스터!$AU$5:$AU$64,MATCH($F310,사건마스터!$A$5:$A$64,0)),""))</f>
        <v/>
      </c>
      <c r="X310" s="35">
        <f>IF($F310="","",IFERROR(INDEX(사건마스터!$AV$5:$AV$64,MATCH($F310,사건마스터!$A$5:$A$64,0)),""))</f>
        <v/>
      </c>
      <c r="Y310" s="30">
        <f>IF($I310="","",COUNTIF($I310:$X310,"?*"))</f>
        <v/>
      </c>
      <c r="Z310" s="33">
        <f>IF($I310="","",_xlfn.TEXTJOIN(", ",TRUE,$I310:$X310))</f>
        <v/>
      </c>
      <c r="AA310" s="34">
        <f>IF($I310="","",IFERROR(INDEX(코드설정!$D$5:$D$24,MATCH($I310,코드설정!$C$5:$C$24,0)),""))</f>
        <v/>
      </c>
      <c r="AB310" s="36" t="n"/>
      <c r="AC310" s="37" t="n"/>
      <c r="AD310" s="38" t="n"/>
      <c r="AE310" s="30">
        <f>IF(OR($B310="",$C310=""),"",$C310-$B310+1)</f>
        <v/>
      </c>
      <c r="AF310" s="32" t="n"/>
      <c r="AG310" s="36" t="n"/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3">
        <f>IF($F311="","",IFERROR(INDEX(사건마스터!$B$5:$B$64,MATCH($F311,사건마스터!$A$5:$A$64,0)),""))</f>
        <v/>
      </c>
      <c r="H311" s="34">
        <f>IF($F311="","",IFERROR(INDEX(사건마스터!$C$5:$C$64,MATCH($F311,사건마스터!$A$5:$A$64,0)),""))</f>
        <v/>
      </c>
      <c r="I311" s="35">
        <f>IF($F311="","",IFERROR(INDEX(사건마스터!$H$5:$H$64,MATCH($F311,사건마스터!$A$5:$A$64,0)),""))</f>
        <v/>
      </c>
      <c r="J311" s="35">
        <f>IF($F311="","",IFERROR(INDEX(사건마스터!$AH$5:$AH$64,MATCH($F311,사건마스터!$A$5:$A$64,0)),""))</f>
        <v/>
      </c>
      <c r="K311" s="35">
        <f>IF($F311="","",IFERROR(INDEX(사건마스터!$AI$5:$AI$64,MATCH($F311,사건마스터!$A$5:$A$64,0)),""))</f>
        <v/>
      </c>
      <c r="L311" s="35">
        <f>IF($F311="","",IFERROR(INDEX(사건마스터!$AJ$5:$AJ$64,MATCH($F311,사건마스터!$A$5:$A$64,0)),""))</f>
        <v/>
      </c>
      <c r="M311" s="35">
        <f>IF($F311="","",IFERROR(INDEX(사건마스터!$AK$5:$AK$64,MATCH($F311,사건마스터!$A$5:$A$64,0)),""))</f>
        <v/>
      </c>
      <c r="N311" s="35">
        <f>IF($F311="","",IFERROR(INDEX(사건마스터!$AL$5:$AL$64,MATCH($F311,사건마스터!$A$5:$A$64,0)),""))</f>
        <v/>
      </c>
      <c r="O311" s="35">
        <f>IF($F311="","",IFERROR(INDEX(사건마스터!$AM$5:$AM$64,MATCH($F311,사건마스터!$A$5:$A$64,0)),""))</f>
        <v/>
      </c>
      <c r="P311" s="35">
        <f>IF($F311="","",IFERROR(INDEX(사건마스터!$AN$5:$AN$64,MATCH($F311,사건마스터!$A$5:$A$64,0)),""))</f>
        <v/>
      </c>
      <c r="Q311" s="35">
        <f>IF($F311="","",IFERROR(INDEX(사건마스터!$AO$5:$AO$64,MATCH($F311,사건마스터!$A$5:$A$64,0)),""))</f>
        <v/>
      </c>
      <c r="R311" s="35">
        <f>IF($F311="","",IFERROR(INDEX(사건마스터!$AP$5:$AP$64,MATCH($F311,사건마스터!$A$5:$A$64,0)),""))</f>
        <v/>
      </c>
      <c r="S311" s="35">
        <f>IF($F311="","",IFERROR(INDEX(사건마스터!$AQ$5:$AQ$64,MATCH($F311,사건마스터!$A$5:$A$64,0)),""))</f>
        <v/>
      </c>
      <c r="T311" s="35">
        <f>IF($F311="","",IFERROR(INDEX(사건마스터!$AR$5:$AR$64,MATCH($F311,사건마스터!$A$5:$A$64,0)),""))</f>
        <v/>
      </c>
      <c r="U311" s="35">
        <f>IF($F311="","",IFERROR(INDEX(사건마스터!$AS$5:$AS$64,MATCH($F311,사건마스터!$A$5:$A$64,0)),""))</f>
        <v/>
      </c>
      <c r="V311" s="35">
        <f>IF($F311="","",IFERROR(INDEX(사건마스터!$AT$5:$AT$64,MATCH($F311,사건마스터!$A$5:$A$64,0)),""))</f>
        <v/>
      </c>
      <c r="W311" s="35">
        <f>IF($F311="","",IFERROR(INDEX(사건마스터!$AU$5:$AU$64,MATCH($F311,사건마스터!$A$5:$A$64,0)),""))</f>
        <v/>
      </c>
      <c r="X311" s="35">
        <f>IF($F311="","",IFERROR(INDEX(사건마스터!$AV$5:$AV$64,MATCH($F311,사건마스터!$A$5:$A$64,0)),""))</f>
        <v/>
      </c>
      <c r="Y311" s="30">
        <f>IF($I311="","",COUNTIF($I311:$X311,"?*"))</f>
        <v/>
      </c>
      <c r="Z311" s="33">
        <f>IF($I311="","",_xlfn.TEXTJOIN(", ",TRUE,$I311:$X311))</f>
        <v/>
      </c>
      <c r="AA311" s="34">
        <f>IF($I311="","",IFERROR(INDEX(코드설정!$D$5:$D$24,MATCH($I311,코드설정!$C$5:$C$24,0)),""))</f>
        <v/>
      </c>
      <c r="AB311" s="36" t="n"/>
      <c r="AC311" s="37" t="n"/>
      <c r="AD311" s="38" t="n"/>
      <c r="AE311" s="30">
        <f>IF(OR($B311="",$C311=""),"",$C311-$B311+1)</f>
        <v/>
      </c>
      <c r="AF311" s="32" t="n"/>
      <c r="AG311" s="36" t="n"/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3">
        <f>IF($F312="","",IFERROR(INDEX(사건마스터!$B$5:$B$64,MATCH($F312,사건마스터!$A$5:$A$64,0)),""))</f>
        <v/>
      </c>
      <c r="H312" s="34">
        <f>IF($F312="","",IFERROR(INDEX(사건마스터!$C$5:$C$64,MATCH($F312,사건마스터!$A$5:$A$64,0)),""))</f>
        <v/>
      </c>
      <c r="I312" s="35">
        <f>IF($F312="","",IFERROR(INDEX(사건마스터!$H$5:$H$64,MATCH($F312,사건마스터!$A$5:$A$64,0)),""))</f>
        <v/>
      </c>
      <c r="J312" s="35">
        <f>IF($F312="","",IFERROR(INDEX(사건마스터!$AH$5:$AH$64,MATCH($F312,사건마스터!$A$5:$A$64,0)),""))</f>
        <v/>
      </c>
      <c r="K312" s="35">
        <f>IF($F312="","",IFERROR(INDEX(사건마스터!$AI$5:$AI$64,MATCH($F312,사건마스터!$A$5:$A$64,0)),""))</f>
        <v/>
      </c>
      <c r="L312" s="35">
        <f>IF($F312="","",IFERROR(INDEX(사건마스터!$AJ$5:$AJ$64,MATCH($F312,사건마스터!$A$5:$A$64,0)),""))</f>
        <v/>
      </c>
      <c r="M312" s="35">
        <f>IF($F312="","",IFERROR(INDEX(사건마스터!$AK$5:$AK$64,MATCH($F312,사건마스터!$A$5:$A$64,0)),""))</f>
        <v/>
      </c>
      <c r="N312" s="35">
        <f>IF($F312="","",IFERROR(INDEX(사건마스터!$AL$5:$AL$64,MATCH($F312,사건마스터!$A$5:$A$64,0)),""))</f>
        <v/>
      </c>
      <c r="O312" s="35">
        <f>IF($F312="","",IFERROR(INDEX(사건마스터!$AM$5:$AM$64,MATCH($F312,사건마스터!$A$5:$A$64,0)),""))</f>
        <v/>
      </c>
      <c r="P312" s="35">
        <f>IF($F312="","",IFERROR(INDEX(사건마스터!$AN$5:$AN$64,MATCH($F312,사건마스터!$A$5:$A$64,0)),""))</f>
        <v/>
      </c>
      <c r="Q312" s="35">
        <f>IF($F312="","",IFERROR(INDEX(사건마스터!$AO$5:$AO$64,MATCH($F312,사건마스터!$A$5:$A$64,0)),""))</f>
        <v/>
      </c>
      <c r="R312" s="35">
        <f>IF($F312="","",IFERROR(INDEX(사건마스터!$AP$5:$AP$64,MATCH($F312,사건마스터!$A$5:$A$64,0)),""))</f>
        <v/>
      </c>
      <c r="S312" s="35">
        <f>IF($F312="","",IFERROR(INDEX(사건마스터!$AQ$5:$AQ$64,MATCH($F312,사건마스터!$A$5:$A$64,0)),""))</f>
        <v/>
      </c>
      <c r="T312" s="35">
        <f>IF($F312="","",IFERROR(INDEX(사건마스터!$AR$5:$AR$64,MATCH($F312,사건마스터!$A$5:$A$64,0)),""))</f>
        <v/>
      </c>
      <c r="U312" s="35">
        <f>IF($F312="","",IFERROR(INDEX(사건마스터!$AS$5:$AS$64,MATCH($F312,사건마스터!$A$5:$A$64,0)),""))</f>
        <v/>
      </c>
      <c r="V312" s="35">
        <f>IF($F312="","",IFERROR(INDEX(사건마스터!$AT$5:$AT$64,MATCH($F312,사건마스터!$A$5:$A$64,0)),""))</f>
        <v/>
      </c>
      <c r="W312" s="35">
        <f>IF($F312="","",IFERROR(INDEX(사건마스터!$AU$5:$AU$64,MATCH($F312,사건마스터!$A$5:$A$64,0)),""))</f>
        <v/>
      </c>
      <c r="X312" s="35">
        <f>IF($F312="","",IFERROR(INDEX(사건마스터!$AV$5:$AV$64,MATCH($F312,사건마스터!$A$5:$A$64,0)),""))</f>
        <v/>
      </c>
      <c r="Y312" s="30">
        <f>IF($I312="","",COUNTIF($I312:$X312,"?*"))</f>
        <v/>
      </c>
      <c r="Z312" s="33">
        <f>IF($I312="","",_xlfn.TEXTJOIN(", ",TRUE,$I312:$X312))</f>
        <v/>
      </c>
      <c r="AA312" s="34">
        <f>IF($I312="","",IFERROR(INDEX(코드설정!$D$5:$D$24,MATCH($I312,코드설정!$C$5:$C$24,0)),""))</f>
        <v/>
      </c>
      <c r="AB312" s="36" t="n"/>
      <c r="AC312" s="37" t="n"/>
      <c r="AD312" s="38" t="n"/>
      <c r="AE312" s="30">
        <f>IF(OR($B312="",$C312=""),"",$C312-$B312+1)</f>
        <v/>
      </c>
      <c r="AF312" s="32" t="n"/>
      <c r="AG312" s="36" t="n"/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3">
        <f>IF($F313="","",IFERROR(INDEX(사건마스터!$B$5:$B$64,MATCH($F313,사건마스터!$A$5:$A$64,0)),""))</f>
        <v/>
      </c>
      <c r="H313" s="34">
        <f>IF($F313="","",IFERROR(INDEX(사건마스터!$C$5:$C$64,MATCH($F313,사건마스터!$A$5:$A$64,0)),""))</f>
        <v/>
      </c>
      <c r="I313" s="35">
        <f>IF($F313="","",IFERROR(INDEX(사건마스터!$H$5:$H$64,MATCH($F313,사건마스터!$A$5:$A$64,0)),""))</f>
        <v/>
      </c>
      <c r="J313" s="35">
        <f>IF($F313="","",IFERROR(INDEX(사건마스터!$AH$5:$AH$64,MATCH($F313,사건마스터!$A$5:$A$64,0)),""))</f>
        <v/>
      </c>
      <c r="K313" s="35">
        <f>IF($F313="","",IFERROR(INDEX(사건마스터!$AI$5:$AI$64,MATCH($F313,사건마스터!$A$5:$A$64,0)),""))</f>
        <v/>
      </c>
      <c r="L313" s="35">
        <f>IF($F313="","",IFERROR(INDEX(사건마스터!$AJ$5:$AJ$64,MATCH($F313,사건마스터!$A$5:$A$64,0)),""))</f>
        <v/>
      </c>
      <c r="M313" s="35">
        <f>IF($F313="","",IFERROR(INDEX(사건마스터!$AK$5:$AK$64,MATCH($F313,사건마스터!$A$5:$A$64,0)),""))</f>
        <v/>
      </c>
      <c r="N313" s="35">
        <f>IF($F313="","",IFERROR(INDEX(사건마스터!$AL$5:$AL$64,MATCH($F313,사건마스터!$A$5:$A$64,0)),""))</f>
        <v/>
      </c>
      <c r="O313" s="35">
        <f>IF($F313="","",IFERROR(INDEX(사건마스터!$AM$5:$AM$64,MATCH($F313,사건마스터!$A$5:$A$64,0)),""))</f>
        <v/>
      </c>
      <c r="P313" s="35">
        <f>IF($F313="","",IFERROR(INDEX(사건마스터!$AN$5:$AN$64,MATCH($F313,사건마스터!$A$5:$A$64,0)),""))</f>
        <v/>
      </c>
      <c r="Q313" s="35">
        <f>IF($F313="","",IFERROR(INDEX(사건마스터!$AO$5:$AO$64,MATCH($F313,사건마스터!$A$5:$A$64,0)),""))</f>
        <v/>
      </c>
      <c r="R313" s="35">
        <f>IF($F313="","",IFERROR(INDEX(사건마스터!$AP$5:$AP$64,MATCH($F313,사건마스터!$A$5:$A$64,0)),""))</f>
        <v/>
      </c>
      <c r="S313" s="35">
        <f>IF($F313="","",IFERROR(INDEX(사건마스터!$AQ$5:$AQ$64,MATCH($F313,사건마스터!$A$5:$A$64,0)),""))</f>
        <v/>
      </c>
      <c r="T313" s="35">
        <f>IF($F313="","",IFERROR(INDEX(사건마스터!$AR$5:$AR$64,MATCH($F313,사건마스터!$A$5:$A$64,0)),""))</f>
        <v/>
      </c>
      <c r="U313" s="35">
        <f>IF($F313="","",IFERROR(INDEX(사건마스터!$AS$5:$AS$64,MATCH($F313,사건마스터!$A$5:$A$64,0)),""))</f>
        <v/>
      </c>
      <c r="V313" s="35">
        <f>IF($F313="","",IFERROR(INDEX(사건마스터!$AT$5:$AT$64,MATCH($F313,사건마스터!$A$5:$A$64,0)),""))</f>
        <v/>
      </c>
      <c r="W313" s="35">
        <f>IF($F313="","",IFERROR(INDEX(사건마스터!$AU$5:$AU$64,MATCH($F313,사건마스터!$A$5:$A$64,0)),""))</f>
        <v/>
      </c>
      <c r="X313" s="35">
        <f>IF($F313="","",IFERROR(INDEX(사건마스터!$AV$5:$AV$64,MATCH($F313,사건마스터!$A$5:$A$64,0)),""))</f>
        <v/>
      </c>
      <c r="Y313" s="30">
        <f>IF($I313="","",COUNTIF($I313:$X313,"?*"))</f>
        <v/>
      </c>
      <c r="Z313" s="33">
        <f>IF($I313="","",_xlfn.TEXTJOIN(", ",TRUE,$I313:$X313))</f>
        <v/>
      </c>
      <c r="AA313" s="34">
        <f>IF($I313="","",IFERROR(INDEX(코드설정!$D$5:$D$24,MATCH($I313,코드설정!$C$5:$C$24,0)),""))</f>
        <v/>
      </c>
      <c r="AB313" s="36" t="n"/>
      <c r="AC313" s="37" t="n"/>
      <c r="AD313" s="38" t="n"/>
      <c r="AE313" s="30">
        <f>IF(OR($B313="",$C313=""),"",$C313-$B313+1)</f>
        <v/>
      </c>
      <c r="AF313" s="32" t="n"/>
      <c r="AG313" s="36" t="n"/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3">
        <f>IF($F314="","",IFERROR(INDEX(사건마스터!$B$5:$B$64,MATCH($F314,사건마스터!$A$5:$A$64,0)),""))</f>
        <v/>
      </c>
      <c r="H314" s="34">
        <f>IF($F314="","",IFERROR(INDEX(사건마스터!$C$5:$C$64,MATCH($F314,사건마스터!$A$5:$A$64,0)),""))</f>
        <v/>
      </c>
      <c r="I314" s="35">
        <f>IF($F314="","",IFERROR(INDEX(사건마스터!$H$5:$H$64,MATCH($F314,사건마스터!$A$5:$A$64,0)),""))</f>
        <v/>
      </c>
      <c r="J314" s="35">
        <f>IF($F314="","",IFERROR(INDEX(사건마스터!$AH$5:$AH$64,MATCH($F314,사건마스터!$A$5:$A$64,0)),""))</f>
        <v/>
      </c>
      <c r="K314" s="35">
        <f>IF($F314="","",IFERROR(INDEX(사건마스터!$AI$5:$AI$64,MATCH($F314,사건마스터!$A$5:$A$64,0)),""))</f>
        <v/>
      </c>
      <c r="L314" s="35">
        <f>IF($F314="","",IFERROR(INDEX(사건마스터!$AJ$5:$AJ$64,MATCH($F314,사건마스터!$A$5:$A$64,0)),""))</f>
        <v/>
      </c>
      <c r="M314" s="35">
        <f>IF($F314="","",IFERROR(INDEX(사건마스터!$AK$5:$AK$64,MATCH($F314,사건마스터!$A$5:$A$64,0)),""))</f>
        <v/>
      </c>
      <c r="N314" s="35">
        <f>IF($F314="","",IFERROR(INDEX(사건마스터!$AL$5:$AL$64,MATCH($F314,사건마스터!$A$5:$A$64,0)),""))</f>
        <v/>
      </c>
      <c r="O314" s="35">
        <f>IF($F314="","",IFERROR(INDEX(사건마스터!$AM$5:$AM$64,MATCH($F314,사건마스터!$A$5:$A$64,0)),""))</f>
        <v/>
      </c>
      <c r="P314" s="35">
        <f>IF($F314="","",IFERROR(INDEX(사건마스터!$AN$5:$AN$64,MATCH($F314,사건마스터!$A$5:$A$64,0)),""))</f>
        <v/>
      </c>
      <c r="Q314" s="35">
        <f>IF($F314="","",IFERROR(INDEX(사건마스터!$AO$5:$AO$64,MATCH($F314,사건마스터!$A$5:$A$64,0)),""))</f>
        <v/>
      </c>
      <c r="R314" s="35">
        <f>IF($F314="","",IFERROR(INDEX(사건마스터!$AP$5:$AP$64,MATCH($F314,사건마스터!$A$5:$A$64,0)),""))</f>
        <v/>
      </c>
      <c r="S314" s="35">
        <f>IF($F314="","",IFERROR(INDEX(사건마스터!$AQ$5:$AQ$64,MATCH($F314,사건마스터!$A$5:$A$64,0)),""))</f>
        <v/>
      </c>
      <c r="T314" s="35">
        <f>IF($F314="","",IFERROR(INDEX(사건마스터!$AR$5:$AR$64,MATCH($F314,사건마스터!$A$5:$A$64,0)),""))</f>
        <v/>
      </c>
      <c r="U314" s="35">
        <f>IF($F314="","",IFERROR(INDEX(사건마스터!$AS$5:$AS$64,MATCH($F314,사건마스터!$A$5:$A$64,0)),""))</f>
        <v/>
      </c>
      <c r="V314" s="35">
        <f>IF($F314="","",IFERROR(INDEX(사건마스터!$AT$5:$AT$64,MATCH($F314,사건마스터!$A$5:$A$64,0)),""))</f>
        <v/>
      </c>
      <c r="W314" s="35">
        <f>IF($F314="","",IFERROR(INDEX(사건마스터!$AU$5:$AU$64,MATCH($F314,사건마스터!$A$5:$A$64,0)),""))</f>
        <v/>
      </c>
      <c r="X314" s="35">
        <f>IF($F314="","",IFERROR(INDEX(사건마스터!$AV$5:$AV$64,MATCH($F314,사건마스터!$A$5:$A$64,0)),""))</f>
        <v/>
      </c>
      <c r="Y314" s="30">
        <f>IF($I314="","",COUNTIF($I314:$X314,"?*"))</f>
        <v/>
      </c>
      <c r="Z314" s="33">
        <f>IF($I314="","",_xlfn.TEXTJOIN(", ",TRUE,$I314:$X314))</f>
        <v/>
      </c>
      <c r="AA314" s="34">
        <f>IF($I314="","",IFERROR(INDEX(코드설정!$D$5:$D$24,MATCH($I314,코드설정!$C$5:$C$24,0)),""))</f>
        <v/>
      </c>
      <c r="AB314" s="36" t="n"/>
      <c r="AC314" s="37" t="n"/>
      <c r="AD314" s="38" t="n"/>
      <c r="AE314" s="30">
        <f>IF(OR($B314="",$C314=""),"",$C314-$B314+1)</f>
        <v/>
      </c>
      <c r="AF314" s="32" t="n"/>
      <c r="AG314" s="36" t="n"/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3">
        <f>IF($F315="","",IFERROR(INDEX(사건마스터!$B$5:$B$64,MATCH($F315,사건마스터!$A$5:$A$64,0)),""))</f>
        <v/>
      </c>
      <c r="H315" s="34">
        <f>IF($F315="","",IFERROR(INDEX(사건마스터!$C$5:$C$64,MATCH($F315,사건마스터!$A$5:$A$64,0)),""))</f>
        <v/>
      </c>
      <c r="I315" s="35">
        <f>IF($F315="","",IFERROR(INDEX(사건마스터!$H$5:$H$64,MATCH($F315,사건마스터!$A$5:$A$64,0)),""))</f>
        <v/>
      </c>
      <c r="J315" s="35">
        <f>IF($F315="","",IFERROR(INDEX(사건마스터!$AH$5:$AH$64,MATCH($F315,사건마스터!$A$5:$A$64,0)),""))</f>
        <v/>
      </c>
      <c r="K315" s="35">
        <f>IF($F315="","",IFERROR(INDEX(사건마스터!$AI$5:$AI$64,MATCH($F315,사건마스터!$A$5:$A$64,0)),""))</f>
        <v/>
      </c>
      <c r="L315" s="35">
        <f>IF($F315="","",IFERROR(INDEX(사건마스터!$AJ$5:$AJ$64,MATCH($F315,사건마스터!$A$5:$A$64,0)),""))</f>
        <v/>
      </c>
      <c r="M315" s="35">
        <f>IF($F315="","",IFERROR(INDEX(사건마스터!$AK$5:$AK$64,MATCH($F315,사건마스터!$A$5:$A$64,0)),""))</f>
        <v/>
      </c>
      <c r="N315" s="35">
        <f>IF($F315="","",IFERROR(INDEX(사건마스터!$AL$5:$AL$64,MATCH($F315,사건마스터!$A$5:$A$64,0)),""))</f>
        <v/>
      </c>
      <c r="O315" s="35">
        <f>IF($F315="","",IFERROR(INDEX(사건마스터!$AM$5:$AM$64,MATCH($F315,사건마스터!$A$5:$A$64,0)),""))</f>
        <v/>
      </c>
      <c r="P315" s="35">
        <f>IF($F315="","",IFERROR(INDEX(사건마스터!$AN$5:$AN$64,MATCH($F315,사건마스터!$A$5:$A$64,0)),""))</f>
        <v/>
      </c>
      <c r="Q315" s="35">
        <f>IF($F315="","",IFERROR(INDEX(사건마스터!$AO$5:$AO$64,MATCH($F315,사건마스터!$A$5:$A$64,0)),""))</f>
        <v/>
      </c>
      <c r="R315" s="35">
        <f>IF($F315="","",IFERROR(INDEX(사건마스터!$AP$5:$AP$64,MATCH($F315,사건마스터!$A$5:$A$64,0)),""))</f>
        <v/>
      </c>
      <c r="S315" s="35">
        <f>IF($F315="","",IFERROR(INDEX(사건마스터!$AQ$5:$AQ$64,MATCH($F315,사건마스터!$A$5:$A$64,0)),""))</f>
        <v/>
      </c>
      <c r="T315" s="35">
        <f>IF($F315="","",IFERROR(INDEX(사건마스터!$AR$5:$AR$64,MATCH($F315,사건마스터!$A$5:$A$64,0)),""))</f>
        <v/>
      </c>
      <c r="U315" s="35">
        <f>IF($F315="","",IFERROR(INDEX(사건마스터!$AS$5:$AS$64,MATCH($F315,사건마스터!$A$5:$A$64,0)),""))</f>
        <v/>
      </c>
      <c r="V315" s="35">
        <f>IF($F315="","",IFERROR(INDEX(사건마스터!$AT$5:$AT$64,MATCH($F315,사건마스터!$A$5:$A$64,0)),""))</f>
        <v/>
      </c>
      <c r="W315" s="35">
        <f>IF($F315="","",IFERROR(INDEX(사건마스터!$AU$5:$AU$64,MATCH($F315,사건마스터!$A$5:$A$64,0)),""))</f>
        <v/>
      </c>
      <c r="X315" s="35">
        <f>IF($F315="","",IFERROR(INDEX(사건마스터!$AV$5:$AV$64,MATCH($F315,사건마스터!$A$5:$A$64,0)),""))</f>
        <v/>
      </c>
      <c r="Y315" s="30">
        <f>IF($I315="","",COUNTIF($I315:$X315,"?*"))</f>
        <v/>
      </c>
      <c r="Z315" s="33">
        <f>IF($I315="","",_xlfn.TEXTJOIN(", ",TRUE,$I315:$X315))</f>
        <v/>
      </c>
      <c r="AA315" s="34">
        <f>IF($I315="","",IFERROR(INDEX(코드설정!$D$5:$D$24,MATCH($I315,코드설정!$C$5:$C$24,0)),""))</f>
        <v/>
      </c>
      <c r="AB315" s="36" t="n"/>
      <c r="AC315" s="37" t="n"/>
      <c r="AD315" s="38" t="n"/>
      <c r="AE315" s="30">
        <f>IF(OR($B315="",$C315=""),"",$C315-$B315+1)</f>
        <v/>
      </c>
      <c r="AF315" s="32" t="n"/>
      <c r="AG315" s="36" t="n"/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3">
        <f>IF($F316="","",IFERROR(INDEX(사건마스터!$B$5:$B$64,MATCH($F316,사건마스터!$A$5:$A$64,0)),""))</f>
        <v/>
      </c>
      <c r="H316" s="34">
        <f>IF($F316="","",IFERROR(INDEX(사건마스터!$C$5:$C$64,MATCH($F316,사건마스터!$A$5:$A$64,0)),""))</f>
        <v/>
      </c>
      <c r="I316" s="35">
        <f>IF($F316="","",IFERROR(INDEX(사건마스터!$H$5:$H$64,MATCH($F316,사건마스터!$A$5:$A$64,0)),""))</f>
        <v/>
      </c>
      <c r="J316" s="35">
        <f>IF($F316="","",IFERROR(INDEX(사건마스터!$AH$5:$AH$64,MATCH($F316,사건마스터!$A$5:$A$64,0)),""))</f>
        <v/>
      </c>
      <c r="K316" s="35">
        <f>IF($F316="","",IFERROR(INDEX(사건마스터!$AI$5:$AI$64,MATCH($F316,사건마스터!$A$5:$A$64,0)),""))</f>
        <v/>
      </c>
      <c r="L316" s="35">
        <f>IF($F316="","",IFERROR(INDEX(사건마스터!$AJ$5:$AJ$64,MATCH($F316,사건마스터!$A$5:$A$64,0)),""))</f>
        <v/>
      </c>
      <c r="M316" s="35">
        <f>IF($F316="","",IFERROR(INDEX(사건마스터!$AK$5:$AK$64,MATCH($F316,사건마스터!$A$5:$A$64,0)),""))</f>
        <v/>
      </c>
      <c r="N316" s="35">
        <f>IF($F316="","",IFERROR(INDEX(사건마스터!$AL$5:$AL$64,MATCH($F316,사건마스터!$A$5:$A$64,0)),""))</f>
        <v/>
      </c>
      <c r="O316" s="35">
        <f>IF($F316="","",IFERROR(INDEX(사건마스터!$AM$5:$AM$64,MATCH($F316,사건마스터!$A$5:$A$64,0)),""))</f>
        <v/>
      </c>
      <c r="P316" s="35">
        <f>IF($F316="","",IFERROR(INDEX(사건마스터!$AN$5:$AN$64,MATCH($F316,사건마스터!$A$5:$A$64,0)),""))</f>
        <v/>
      </c>
      <c r="Q316" s="35">
        <f>IF($F316="","",IFERROR(INDEX(사건마스터!$AO$5:$AO$64,MATCH($F316,사건마스터!$A$5:$A$64,0)),""))</f>
        <v/>
      </c>
      <c r="R316" s="35">
        <f>IF($F316="","",IFERROR(INDEX(사건마스터!$AP$5:$AP$64,MATCH($F316,사건마스터!$A$5:$A$64,0)),""))</f>
        <v/>
      </c>
      <c r="S316" s="35">
        <f>IF($F316="","",IFERROR(INDEX(사건마스터!$AQ$5:$AQ$64,MATCH($F316,사건마스터!$A$5:$A$64,0)),""))</f>
        <v/>
      </c>
      <c r="T316" s="35">
        <f>IF($F316="","",IFERROR(INDEX(사건마스터!$AR$5:$AR$64,MATCH($F316,사건마스터!$A$5:$A$64,0)),""))</f>
        <v/>
      </c>
      <c r="U316" s="35">
        <f>IF($F316="","",IFERROR(INDEX(사건마스터!$AS$5:$AS$64,MATCH($F316,사건마스터!$A$5:$A$64,0)),""))</f>
        <v/>
      </c>
      <c r="V316" s="35">
        <f>IF($F316="","",IFERROR(INDEX(사건마스터!$AT$5:$AT$64,MATCH($F316,사건마스터!$A$5:$A$64,0)),""))</f>
        <v/>
      </c>
      <c r="W316" s="35">
        <f>IF($F316="","",IFERROR(INDEX(사건마스터!$AU$5:$AU$64,MATCH($F316,사건마스터!$A$5:$A$64,0)),""))</f>
        <v/>
      </c>
      <c r="X316" s="35">
        <f>IF($F316="","",IFERROR(INDEX(사건마스터!$AV$5:$AV$64,MATCH($F316,사건마스터!$A$5:$A$64,0)),""))</f>
        <v/>
      </c>
      <c r="Y316" s="30">
        <f>IF($I316="","",COUNTIF($I316:$X316,"?*"))</f>
        <v/>
      </c>
      <c r="Z316" s="33">
        <f>IF($I316="","",_xlfn.TEXTJOIN(", ",TRUE,$I316:$X316))</f>
        <v/>
      </c>
      <c r="AA316" s="34">
        <f>IF($I316="","",IFERROR(INDEX(코드설정!$D$5:$D$24,MATCH($I316,코드설정!$C$5:$C$24,0)),""))</f>
        <v/>
      </c>
      <c r="AB316" s="36" t="n"/>
      <c r="AC316" s="37" t="n"/>
      <c r="AD316" s="38" t="n"/>
      <c r="AE316" s="30">
        <f>IF(OR($B316="",$C316=""),"",$C316-$B316+1)</f>
        <v/>
      </c>
      <c r="AF316" s="32" t="n"/>
      <c r="AG316" s="36" t="n"/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3">
        <f>IF($F317="","",IFERROR(INDEX(사건마스터!$B$5:$B$64,MATCH($F317,사건마스터!$A$5:$A$64,0)),""))</f>
        <v/>
      </c>
      <c r="H317" s="34">
        <f>IF($F317="","",IFERROR(INDEX(사건마스터!$C$5:$C$64,MATCH($F317,사건마스터!$A$5:$A$64,0)),""))</f>
        <v/>
      </c>
      <c r="I317" s="35">
        <f>IF($F317="","",IFERROR(INDEX(사건마스터!$H$5:$H$64,MATCH($F317,사건마스터!$A$5:$A$64,0)),""))</f>
        <v/>
      </c>
      <c r="J317" s="35">
        <f>IF($F317="","",IFERROR(INDEX(사건마스터!$AH$5:$AH$64,MATCH($F317,사건마스터!$A$5:$A$64,0)),""))</f>
        <v/>
      </c>
      <c r="K317" s="35">
        <f>IF($F317="","",IFERROR(INDEX(사건마스터!$AI$5:$AI$64,MATCH($F317,사건마스터!$A$5:$A$64,0)),""))</f>
        <v/>
      </c>
      <c r="L317" s="35">
        <f>IF($F317="","",IFERROR(INDEX(사건마스터!$AJ$5:$AJ$64,MATCH($F317,사건마스터!$A$5:$A$64,0)),""))</f>
        <v/>
      </c>
      <c r="M317" s="35">
        <f>IF($F317="","",IFERROR(INDEX(사건마스터!$AK$5:$AK$64,MATCH($F317,사건마스터!$A$5:$A$64,0)),""))</f>
        <v/>
      </c>
      <c r="N317" s="35">
        <f>IF($F317="","",IFERROR(INDEX(사건마스터!$AL$5:$AL$64,MATCH($F317,사건마스터!$A$5:$A$64,0)),""))</f>
        <v/>
      </c>
      <c r="O317" s="35">
        <f>IF($F317="","",IFERROR(INDEX(사건마스터!$AM$5:$AM$64,MATCH($F317,사건마스터!$A$5:$A$64,0)),""))</f>
        <v/>
      </c>
      <c r="P317" s="35">
        <f>IF($F317="","",IFERROR(INDEX(사건마스터!$AN$5:$AN$64,MATCH($F317,사건마스터!$A$5:$A$64,0)),""))</f>
        <v/>
      </c>
      <c r="Q317" s="35">
        <f>IF($F317="","",IFERROR(INDEX(사건마스터!$AO$5:$AO$64,MATCH($F317,사건마스터!$A$5:$A$64,0)),""))</f>
        <v/>
      </c>
      <c r="R317" s="35">
        <f>IF($F317="","",IFERROR(INDEX(사건마스터!$AP$5:$AP$64,MATCH($F317,사건마스터!$A$5:$A$64,0)),""))</f>
        <v/>
      </c>
      <c r="S317" s="35">
        <f>IF($F317="","",IFERROR(INDEX(사건마스터!$AQ$5:$AQ$64,MATCH($F317,사건마스터!$A$5:$A$64,0)),""))</f>
        <v/>
      </c>
      <c r="T317" s="35">
        <f>IF($F317="","",IFERROR(INDEX(사건마스터!$AR$5:$AR$64,MATCH($F317,사건마스터!$A$5:$A$64,0)),""))</f>
        <v/>
      </c>
      <c r="U317" s="35">
        <f>IF($F317="","",IFERROR(INDEX(사건마스터!$AS$5:$AS$64,MATCH($F317,사건마스터!$A$5:$A$64,0)),""))</f>
        <v/>
      </c>
      <c r="V317" s="35">
        <f>IF($F317="","",IFERROR(INDEX(사건마스터!$AT$5:$AT$64,MATCH($F317,사건마스터!$A$5:$A$64,0)),""))</f>
        <v/>
      </c>
      <c r="W317" s="35">
        <f>IF($F317="","",IFERROR(INDEX(사건마스터!$AU$5:$AU$64,MATCH($F317,사건마스터!$A$5:$A$64,0)),""))</f>
        <v/>
      </c>
      <c r="X317" s="35">
        <f>IF($F317="","",IFERROR(INDEX(사건마스터!$AV$5:$AV$64,MATCH($F317,사건마스터!$A$5:$A$64,0)),""))</f>
        <v/>
      </c>
      <c r="Y317" s="30">
        <f>IF($I317="","",COUNTIF($I317:$X317,"?*"))</f>
        <v/>
      </c>
      <c r="Z317" s="33">
        <f>IF($I317="","",_xlfn.TEXTJOIN(", ",TRUE,$I317:$X317))</f>
        <v/>
      </c>
      <c r="AA317" s="34">
        <f>IF($I317="","",IFERROR(INDEX(코드설정!$D$5:$D$24,MATCH($I317,코드설정!$C$5:$C$24,0)),""))</f>
        <v/>
      </c>
      <c r="AB317" s="36" t="n"/>
      <c r="AC317" s="37" t="n"/>
      <c r="AD317" s="38" t="n"/>
      <c r="AE317" s="30">
        <f>IF(OR($B317="",$C317=""),"",$C317-$B317+1)</f>
        <v/>
      </c>
      <c r="AF317" s="32" t="n"/>
      <c r="AG317" s="36" t="n"/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3">
        <f>IF($F318="","",IFERROR(INDEX(사건마스터!$B$5:$B$64,MATCH($F318,사건마스터!$A$5:$A$64,0)),""))</f>
        <v/>
      </c>
      <c r="H318" s="34">
        <f>IF($F318="","",IFERROR(INDEX(사건마스터!$C$5:$C$64,MATCH($F318,사건마스터!$A$5:$A$64,0)),""))</f>
        <v/>
      </c>
      <c r="I318" s="35">
        <f>IF($F318="","",IFERROR(INDEX(사건마스터!$H$5:$H$64,MATCH($F318,사건마스터!$A$5:$A$64,0)),""))</f>
        <v/>
      </c>
      <c r="J318" s="35">
        <f>IF($F318="","",IFERROR(INDEX(사건마스터!$AH$5:$AH$64,MATCH($F318,사건마스터!$A$5:$A$64,0)),""))</f>
        <v/>
      </c>
      <c r="K318" s="35">
        <f>IF($F318="","",IFERROR(INDEX(사건마스터!$AI$5:$AI$64,MATCH($F318,사건마스터!$A$5:$A$64,0)),""))</f>
        <v/>
      </c>
      <c r="L318" s="35">
        <f>IF($F318="","",IFERROR(INDEX(사건마스터!$AJ$5:$AJ$64,MATCH($F318,사건마스터!$A$5:$A$64,0)),""))</f>
        <v/>
      </c>
      <c r="M318" s="35">
        <f>IF($F318="","",IFERROR(INDEX(사건마스터!$AK$5:$AK$64,MATCH($F318,사건마스터!$A$5:$A$64,0)),""))</f>
        <v/>
      </c>
      <c r="N318" s="35">
        <f>IF($F318="","",IFERROR(INDEX(사건마스터!$AL$5:$AL$64,MATCH($F318,사건마스터!$A$5:$A$64,0)),""))</f>
        <v/>
      </c>
      <c r="O318" s="35">
        <f>IF($F318="","",IFERROR(INDEX(사건마스터!$AM$5:$AM$64,MATCH($F318,사건마스터!$A$5:$A$64,0)),""))</f>
        <v/>
      </c>
      <c r="P318" s="35">
        <f>IF($F318="","",IFERROR(INDEX(사건마스터!$AN$5:$AN$64,MATCH($F318,사건마스터!$A$5:$A$64,0)),""))</f>
        <v/>
      </c>
      <c r="Q318" s="35">
        <f>IF($F318="","",IFERROR(INDEX(사건마스터!$AO$5:$AO$64,MATCH($F318,사건마스터!$A$5:$A$64,0)),""))</f>
        <v/>
      </c>
      <c r="R318" s="35">
        <f>IF($F318="","",IFERROR(INDEX(사건마스터!$AP$5:$AP$64,MATCH($F318,사건마스터!$A$5:$A$64,0)),""))</f>
        <v/>
      </c>
      <c r="S318" s="35">
        <f>IF($F318="","",IFERROR(INDEX(사건마스터!$AQ$5:$AQ$64,MATCH($F318,사건마스터!$A$5:$A$64,0)),""))</f>
        <v/>
      </c>
      <c r="T318" s="35">
        <f>IF($F318="","",IFERROR(INDEX(사건마스터!$AR$5:$AR$64,MATCH($F318,사건마스터!$A$5:$A$64,0)),""))</f>
        <v/>
      </c>
      <c r="U318" s="35">
        <f>IF($F318="","",IFERROR(INDEX(사건마스터!$AS$5:$AS$64,MATCH($F318,사건마스터!$A$5:$A$64,0)),""))</f>
        <v/>
      </c>
      <c r="V318" s="35">
        <f>IF($F318="","",IFERROR(INDEX(사건마스터!$AT$5:$AT$64,MATCH($F318,사건마스터!$A$5:$A$64,0)),""))</f>
        <v/>
      </c>
      <c r="W318" s="35">
        <f>IF($F318="","",IFERROR(INDEX(사건마스터!$AU$5:$AU$64,MATCH($F318,사건마스터!$A$5:$A$64,0)),""))</f>
        <v/>
      </c>
      <c r="X318" s="35">
        <f>IF($F318="","",IFERROR(INDEX(사건마스터!$AV$5:$AV$64,MATCH($F318,사건마스터!$A$5:$A$64,0)),""))</f>
        <v/>
      </c>
      <c r="Y318" s="30">
        <f>IF($I318="","",COUNTIF($I318:$X318,"?*"))</f>
        <v/>
      </c>
      <c r="Z318" s="33">
        <f>IF($I318="","",_xlfn.TEXTJOIN(", ",TRUE,$I318:$X318))</f>
        <v/>
      </c>
      <c r="AA318" s="34">
        <f>IF($I318="","",IFERROR(INDEX(코드설정!$D$5:$D$24,MATCH($I318,코드설정!$C$5:$C$24,0)),""))</f>
        <v/>
      </c>
      <c r="AB318" s="36" t="n"/>
      <c r="AC318" s="37" t="n"/>
      <c r="AD318" s="38" t="n"/>
      <c r="AE318" s="30">
        <f>IF(OR($B318="",$C318=""),"",$C318-$B318+1)</f>
        <v/>
      </c>
      <c r="AF318" s="32" t="n"/>
      <c r="AG318" s="36" t="n"/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3">
        <f>IF($F319="","",IFERROR(INDEX(사건마스터!$B$5:$B$64,MATCH($F319,사건마스터!$A$5:$A$64,0)),""))</f>
        <v/>
      </c>
      <c r="H319" s="34">
        <f>IF($F319="","",IFERROR(INDEX(사건마스터!$C$5:$C$64,MATCH($F319,사건마스터!$A$5:$A$64,0)),""))</f>
        <v/>
      </c>
      <c r="I319" s="35">
        <f>IF($F319="","",IFERROR(INDEX(사건마스터!$H$5:$H$64,MATCH($F319,사건마스터!$A$5:$A$64,0)),""))</f>
        <v/>
      </c>
      <c r="J319" s="35">
        <f>IF($F319="","",IFERROR(INDEX(사건마스터!$AH$5:$AH$64,MATCH($F319,사건마스터!$A$5:$A$64,0)),""))</f>
        <v/>
      </c>
      <c r="K319" s="35">
        <f>IF($F319="","",IFERROR(INDEX(사건마스터!$AI$5:$AI$64,MATCH($F319,사건마스터!$A$5:$A$64,0)),""))</f>
        <v/>
      </c>
      <c r="L319" s="35">
        <f>IF($F319="","",IFERROR(INDEX(사건마스터!$AJ$5:$AJ$64,MATCH($F319,사건마스터!$A$5:$A$64,0)),""))</f>
        <v/>
      </c>
      <c r="M319" s="35">
        <f>IF($F319="","",IFERROR(INDEX(사건마스터!$AK$5:$AK$64,MATCH($F319,사건마스터!$A$5:$A$64,0)),""))</f>
        <v/>
      </c>
      <c r="N319" s="35">
        <f>IF($F319="","",IFERROR(INDEX(사건마스터!$AL$5:$AL$64,MATCH($F319,사건마스터!$A$5:$A$64,0)),""))</f>
        <v/>
      </c>
      <c r="O319" s="35">
        <f>IF($F319="","",IFERROR(INDEX(사건마스터!$AM$5:$AM$64,MATCH($F319,사건마스터!$A$5:$A$64,0)),""))</f>
        <v/>
      </c>
      <c r="P319" s="35">
        <f>IF($F319="","",IFERROR(INDEX(사건마스터!$AN$5:$AN$64,MATCH($F319,사건마스터!$A$5:$A$64,0)),""))</f>
        <v/>
      </c>
      <c r="Q319" s="35">
        <f>IF($F319="","",IFERROR(INDEX(사건마스터!$AO$5:$AO$64,MATCH($F319,사건마스터!$A$5:$A$64,0)),""))</f>
        <v/>
      </c>
      <c r="R319" s="35">
        <f>IF($F319="","",IFERROR(INDEX(사건마스터!$AP$5:$AP$64,MATCH($F319,사건마스터!$A$5:$A$64,0)),""))</f>
        <v/>
      </c>
      <c r="S319" s="35">
        <f>IF($F319="","",IFERROR(INDEX(사건마스터!$AQ$5:$AQ$64,MATCH($F319,사건마스터!$A$5:$A$64,0)),""))</f>
        <v/>
      </c>
      <c r="T319" s="35">
        <f>IF($F319="","",IFERROR(INDEX(사건마스터!$AR$5:$AR$64,MATCH($F319,사건마스터!$A$5:$A$64,0)),""))</f>
        <v/>
      </c>
      <c r="U319" s="35">
        <f>IF($F319="","",IFERROR(INDEX(사건마스터!$AS$5:$AS$64,MATCH($F319,사건마스터!$A$5:$A$64,0)),""))</f>
        <v/>
      </c>
      <c r="V319" s="35">
        <f>IF($F319="","",IFERROR(INDEX(사건마스터!$AT$5:$AT$64,MATCH($F319,사건마스터!$A$5:$A$64,0)),""))</f>
        <v/>
      </c>
      <c r="W319" s="35">
        <f>IF($F319="","",IFERROR(INDEX(사건마스터!$AU$5:$AU$64,MATCH($F319,사건마스터!$A$5:$A$64,0)),""))</f>
        <v/>
      </c>
      <c r="X319" s="35">
        <f>IF($F319="","",IFERROR(INDEX(사건마스터!$AV$5:$AV$64,MATCH($F319,사건마스터!$A$5:$A$64,0)),""))</f>
        <v/>
      </c>
      <c r="Y319" s="30">
        <f>IF($I319="","",COUNTIF($I319:$X319,"?*"))</f>
        <v/>
      </c>
      <c r="Z319" s="33">
        <f>IF($I319="","",_xlfn.TEXTJOIN(", ",TRUE,$I319:$X319))</f>
        <v/>
      </c>
      <c r="AA319" s="34">
        <f>IF($I319="","",IFERROR(INDEX(코드설정!$D$5:$D$24,MATCH($I319,코드설정!$C$5:$C$24,0)),""))</f>
        <v/>
      </c>
      <c r="AB319" s="36" t="n"/>
      <c r="AC319" s="37" t="n"/>
      <c r="AD319" s="38" t="n"/>
      <c r="AE319" s="30">
        <f>IF(OR($B319="",$C319=""),"",$C319-$B319+1)</f>
        <v/>
      </c>
      <c r="AF319" s="32" t="n"/>
      <c r="AG319" s="36" t="n"/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3">
        <f>IF($F320="","",IFERROR(INDEX(사건마스터!$B$5:$B$64,MATCH($F320,사건마스터!$A$5:$A$64,0)),""))</f>
        <v/>
      </c>
      <c r="H320" s="34">
        <f>IF($F320="","",IFERROR(INDEX(사건마스터!$C$5:$C$64,MATCH($F320,사건마스터!$A$5:$A$64,0)),""))</f>
        <v/>
      </c>
      <c r="I320" s="35">
        <f>IF($F320="","",IFERROR(INDEX(사건마스터!$H$5:$H$64,MATCH($F320,사건마스터!$A$5:$A$64,0)),""))</f>
        <v/>
      </c>
      <c r="J320" s="35">
        <f>IF($F320="","",IFERROR(INDEX(사건마스터!$AH$5:$AH$64,MATCH($F320,사건마스터!$A$5:$A$64,0)),""))</f>
        <v/>
      </c>
      <c r="K320" s="35">
        <f>IF($F320="","",IFERROR(INDEX(사건마스터!$AI$5:$AI$64,MATCH($F320,사건마스터!$A$5:$A$64,0)),""))</f>
        <v/>
      </c>
      <c r="L320" s="35">
        <f>IF($F320="","",IFERROR(INDEX(사건마스터!$AJ$5:$AJ$64,MATCH($F320,사건마스터!$A$5:$A$64,0)),""))</f>
        <v/>
      </c>
      <c r="M320" s="35">
        <f>IF($F320="","",IFERROR(INDEX(사건마스터!$AK$5:$AK$64,MATCH($F320,사건마스터!$A$5:$A$64,0)),""))</f>
        <v/>
      </c>
      <c r="N320" s="35">
        <f>IF($F320="","",IFERROR(INDEX(사건마스터!$AL$5:$AL$64,MATCH($F320,사건마스터!$A$5:$A$64,0)),""))</f>
        <v/>
      </c>
      <c r="O320" s="35">
        <f>IF($F320="","",IFERROR(INDEX(사건마스터!$AM$5:$AM$64,MATCH($F320,사건마스터!$A$5:$A$64,0)),""))</f>
        <v/>
      </c>
      <c r="P320" s="35">
        <f>IF($F320="","",IFERROR(INDEX(사건마스터!$AN$5:$AN$64,MATCH($F320,사건마스터!$A$5:$A$64,0)),""))</f>
        <v/>
      </c>
      <c r="Q320" s="35">
        <f>IF($F320="","",IFERROR(INDEX(사건마스터!$AO$5:$AO$64,MATCH($F320,사건마스터!$A$5:$A$64,0)),""))</f>
        <v/>
      </c>
      <c r="R320" s="35">
        <f>IF($F320="","",IFERROR(INDEX(사건마스터!$AP$5:$AP$64,MATCH($F320,사건마스터!$A$5:$A$64,0)),""))</f>
        <v/>
      </c>
      <c r="S320" s="35">
        <f>IF($F320="","",IFERROR(INDEX(사건마스터!$AQ$5:$AQ$64,MATCH($F320,사건마스터!$A$5:$A$64,0)),""))</f>
        <v/>
      </c>
      <c r="T320" s="35">
        <f>IF($F320="","",IFERROR(INDEX(사건마스터!$AR$5:$AR$64,MATCH($F320,사건마스터!$A$5:$A$64,0)),""))</f>
        <v/>
      </c>
      <c r="U320" s="35">
        <f>IF($F320="","",IFERROR(INDEX(사건마스터!$AS$5:$AS$64,MATCH($F320,사건마스터!$A$5:$A$64,0)),""))</f>
        <v/>
      </c>
      <c r="V320" s="35">
        <f>IF($F320="","",IFERROR(INDEX(사건마스터!$AT$5:$AT$64,MATCH($F320,사건마스터!$A$5:$A$64,0)),""))</f>
        <v/>
      </c>
      <c r="W320" s="35">
        <f>IF($F320="","",IFERROR(INDEX(사건마스터!$AU$5:$AU$64,MATCH($F320,사건마스터!$A$5:$A$64,0)),""))</f>
        <v/>
      </c>
      <c r="X320" s="35">
        <f>IF($F320="","",IFERROR(INDEX(사건마스터!$AV$5:$AV$64,MATCH($F320,사건마스터!$A$5:$A$64,0)),""))</f>
        <v/>
      </c>
      <c r="Y320" s="30">
        <f>IF($I320="","",COUNTIF($I320:$X320,"?*"))</f>
        <v/>
      </c>
      <c r="Z320" s="33">
        <f>IF($I320="","",_xlfn.TEXTJOIN(", ",TRUE,$I320:$X320))</f>
        <v/>
      </c>
      <c r="AA320" s="34">
        <f>IF($I320="","",IFERROR(INDEX(코드설정!$D$5:$D$24,MATCH($I320,코드설정!$C$5:$C$24,0)),""))</f>
        <v/>
      </c>
      <c r="AB320" s="36" t="n"/>
      <c r="AC320" s="37" t="n"/>
      <c r="AD320" s="38" t="n"/>
      <c r="AE320" s="30">
        <f>IF(OR($B320="",$C320=""),"",$C320-$B320+1)</f>
        <v/>
      </c>
      <c r="AF320" s="32" t="n"/>
      <c r="AG320" s="36" t="n"/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3">
        <f>IF($F321="","",IFERROR(INDEX(사건마스터!$B$5:$B$64,MATCH($F321,사건마스터!$A$5:$A$64,0)),""))</f>
        <v/>
      </c>
      <c r="H321" s="34">
        <f>IF($F321="","",IFERROR(INDEX(사건마스터!$C$5:$C$64,MATCH($F321,사건마스터!$A$5:$A$64,0)),""))</f>
        <v/>
      </c>
      <c r="I321" s="35">
        <f>IF($F321="","",IFERROR(INDEX(사건마스터!$H$5:$H$64,MATCH($F321,사건마스터!$A$5:$A$64,0)),""))</f>
        <v/>
      </c>
      <c r="J321" s="35">
        <f>IF($F321="","",IFERROR(INDEX(사건마스터!$AH$5:$AH$64,MATCH($F321,사건마스터!$A$5:$A$64,0)),""))</f>
        <v/>
      </c>
      <c r="K321" s="35">
        <f>IF($F321="","",IFERROR(INDEX(사건마스터!$AI$5:$AI$64,MATCH($F321,사건마스터!$A$5:$A$64,0)),""))</f>
        <v/>
      </c>
      <c r="L321" s="35">
        <f>IF($F321="","",IFERROR(INDEX(사건마스터!$AJ$5:$AJ$64,MATCH($F321,사건마스터!$A$5:$A$64,0)),""))</f>
        <v/>
      </c>
      <c r="M321" s="35">
        <f>IF($F321="","",IFERROR(INDEX(사건마스터!$AK$5:$AK$64,MATCH($F321,사건마스터!$A$5:$A$64,0)),""))</f>
        <v/>
      </c>
      <c r="N321" s="35">
        <f>IF($F321="","",IFERROR(INDEX(사건마스터!$AL$5:$AL$64,MATCH($F321,사건마스터!$A$5:$A$64,0)),""))</f>
        <v/>
      </c>
      <c r="O321" s="35">
        <f>IF($F321="","",IFERROR(INDEX(사건마스터!$AM$5:$AM$64,MATCH($F321,사건마스터!$A$5:$A$64,0)),""))</f>
        <v/>
      </c>
      <c r="P321" s="35">
        <f>IF($F321="","",IFERROR(INDEX(사건마스터!$AN$5:$AN$64,MATCH($F321,사건마스터!$A$5:$A$64,0)),""))</f>
        <v/>
      </c>
      <c r="Q321" s="35">
        <f>IF($F321="","",IFERROR(INDEX(사건마스터!$AO$5:$AO$64,MATCH($F321,사건마스터!$A$5:$A$64,0)),""))</f>
        <v/>
      </c>
      <c r="R321" s="35">
        <f>IF($F321="","",IFERROR(INDEX(사건마스터!$AP$5:$AP$64,MATCH($F321,사건마스터!$A$5:$A$64,0)),""))</f>
        <v/>
      </c>
      <c r="S321" s="35">
        <f>IF($F321="","",IFERROR(INDEX(사건마스터!$AQ$5:$AQ$64,MATCH($F321,사건마스터!$A$5:$A$64,0)),""))</f>
        <v/>
      </c>
      <c r="T321" s="35">
        <f>IF($F321="","",IFERROR(INDEX(사건마스터!$AR$5:$AR$64,MATCH($F321,사건마스터!$A$5:$A$64,0)),""))</f>
        <v/>
      </c>
      <c r="U321" s="35">
        <f>IF($F321="","",IFERROR(INDEX(사건마스터!$AS$5:$AS$64,MATCH($F321,사건마스터!$A$5:$A$64,0)),""))</f>
        <v/>
      </c>
      <c r="V321" s="35">
        <f>IF($F321="","",IFERROR(INDEX(사건마스터!$AT$5:$AT$64,MATCH($F321,사건마스터!$A$5:$A$64,0)),""))</f>
        <v/>
      </c>
      <c r="W321" s="35">
        <f>IF($F321="","",IFERROR(INDEX(사건마스터!$AU$5:$AU$64,MATCH($F321,사건마스터!$A$5:$A$64,0)),""))</f>
        <v/>
      </c>
      <c r="X321" s="35">
        <f>IF($F321="","",IFERROR(INDEX(사건마스터!$AV$5:$AV$64,MATCH($F321,사건마스터!$A$5:$A$64,0)),""))</f>
        <v/>
      </c>
      <c r="Y321" s="30">
        <f>IF($I321="","",COUNTIF($I321:$X321,"?*"))</f>
        <v/>
      </c>
      <c r="Z321" s="33">
        <f>IF($I321="","",_xlfn.TEXTJOIN(", ",TRUE,$I321:$X321))</f>
        <v/>
      </c>
      <c r="AA321" s="34">
        <f>IF($I321="","",IFERROR(INDEX(코드설정!$D$5:$D$24,MATCH($I321,코드설정!$C$5:$C$24,0)),""))</f>
        <v/>
      </c>
      <c r="AB321" s="36" t="n"/>
      <c r="AC321" s="37" t="n"/>
      <c r="AD321" s="38" t="n"/>
      <c r="AE321" s="30">
        <f>IF(OR($B321="",$C321=""),"",$C321-$B321+1)</f>
        <v/>
      </c>
      <c r="AF321" s="32" t="n"/>
      <c r="AG321" s="36" t="n"/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3">
        <f>IF($F322="","",IFERROR(INDEX(사건마스터!$B$5:$B$64,MATCH($F322,사건마스터!$A$5:$A$64,0)),""))</f>
        <v/>
      </c>
      <c r="H322" s="34">
        <f>IF($F322="","",IFERROR(INDEX(사건마스터!$C$5:$C$64,MATCH($F322,사건마스터!$A$5:$A$64,0)),""))</f>
        <v/>
      </c>
      <c r="I322" s="35">
        <f>IF($F322="","",IFERROR(INDEX(사건마스터!$H$5:$H$64,MATCH($F322,사건마스터!$A$5:$A$64,0)),""))</f>
        <v/>
      </c>
      <c r="J322" s="35">
        <f>IF($F322="","",IFERROR(INDEX(사건마스터!$AH$5:$AH$64,MATCH($F322,사건마스터!$A$5:$A$64,0)),""))</f>
        <v/>
      </c>
      <c r="K322" s="35">
        <f>IF($F322="","",IFERROR(INDEX(사건마스터!$AI$5:$AI$64,MATCH($F322,사건마스터!$A$5:$A$64,0)),""))</f>
        <v/>
      </c>
      <c r="L322" s="35">
        <f>IF($F322="","",IFERROR(INDEX(사건마스터!$AJ$5:$AJ$64,MATCH($F322,사건마스터!$A$5:$A$64,0)),""))</f>
        <v/>
      </c>
      <c r="M322" s="35">
        <f>IF($F322="","",IFERROR(INDEX(사건마스터!$AK$5:$AK$64,MATCH($F322,사건마스터!$A$5:$A$64,0)),""))</f>
        <v/>
      </c>
      <c r="N322" s="35">
        <f>IF($F322="","",IFERROR(INDEX(사건마스터!$AL$5:$AL$64,MATCH($F322,사건마스터!$A$5:$A$64,0)),""))</f>
        <v/>
      </c>
      <c r="O322" s="35">
        <f>IF($F322="","",IFERROR(INDEX(사건마스터!$AM$5:$AM$64,MATCH($F322,사건마스터!$A$5:$A$64,0)),""))</f>
        <v/>
      </c>
      <c r="P322" s="35">
        <f>IF($F322="","",IFERROR(INDEX(사건마스터!$AN$5:$AN$64,MATCH($F322,사건마스터!$A$5:$A$64,0)),""))</f>
        <v/>
      </c>
      <c r="Q322" s="35">
        <f>IF($F322="","",IFERROR(INDEX(사건마스터!$AO$5:$AO$64,MATCH($F322,사건마스터!$A$5:$A$64,0)),""))</f>
        <v/>
      </c>
      <c r="R322" s="35">
        <f>IF($F322="","",IFERROR(INDEX(사건마스터!$AP$5:$AP$64,MATCH($F322,사건마스터!$A$5:$A$64,0)),""))</f>
        <v/>
      </c>
      <c r="S322" s="35">
        <f>IF($F322="","",IFERROR(INDEX(사건마스터!$AQ$5:$AQ$64,MATCH($F322,사건마스터!$A$5:$A$64,0)),""))</f>
        <v/>
      </c>
      <c r="T322" s="35">
        <f>IF($F322="","",IFERROR(INDEX(사건마스터!$AR$5:$AR$64,MATCH($F322,사건마스터!$A$5:$A$64,0)),""))</f>
        <v/>
      </c>
      <c r="U322" s="35">
        <f>IF($F322="","",IFERROR(INDEX(사건마스터!$AS$5:$AS$64,MATCH($F322,사건마스터!$A$5:$A$64,0)),""))</f>
        <v/>
      </c>
      <c r="V322" s="35">
        <f>IF($F322="","",IFERROR(INDEX(사건마스터!$AT$5:$AT$64,MATCH($F322,사건마스터!$A$5:$A$64,0)),""))</f>
        <v/>
      </c>
      <c r="W322" s="35">
        <f>IF($F322="","",IFERROR(INDEX(사건마스터!$AU$5:$AU$64,MATCH($F322,사건마스터!$A$5:$A$64,0)),""))</f>
        <v/>
      </c>
      <c r="X322" s="35">
        <f>IF($F322="","",IFERROR(INDEX(사건마스터!$AV$5:$AV$64,MATCH($F322,사건마스터!$A$5:$A$64,0)),""))</f>
        <v/>
      </c>
      <c r="Y322" s="30">
        <f>IF($I322="","",COUNTIF($I322:$X322,"?*"))</f>
        <v/>
      </c>
      <c r="Z322" s="33">
        <f>IF($I322="","",_xlfn.TEXTJOIN(", ",TRUE,$I322:$X322))</f>
        <v/>
      </c>
      <c r="AA322" s="34">
        <f>IF($I322="","",IFERROR(INDEX(코드설정!$D$5:$D$24,MATCH($I322,코드설정!$C$5:$C$24,0)),""))</f>
        <v/>
      </c>
      <c r="AB322" s="36" t="n"/>
      <c r="AC322" s="37" t="n"/>
      <c r="AD322" s="38" t="n"/>
      <c r="AE322" s="30">
        <f>IF(OR($B322="",$C322=""),"",$C322-$B322+1)</f>
        <v/>
      </c>
      <c r="AF322" s="32" t="n"/>
      <c r="AG322" s="36" t="n"/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3">
        <f>IF($F323="","",IFERROR(INDEX(사건마스터!$B$5:$B$64,MATCH($F323,사건마스터!$A$5:$A$64,0)),""))</f>
        <v/>
      </c>
      <c r="H323" s="34">
        <f>IF($F323="","",IFERROR(INDEX(사건마스터!$C$5:$C$64,MATCH($F323,사건마스터!$A$5:$A$64,0)),""))</f>
        <v/>
      </c>
      <c r="I323" s="35">
        <f>IF($F323="","",IFERROR(INDEX(사건마스터!$H$5:$H$64,MATCH($F323,사건마스터!$A$5:$A$64,0)),""))</f>
        <v/>
      </c>
      <c r="J323" s="35">
        <f>IF($F323="","",IFERROR(INDEX(사건마스터!$AH$5:$AH$64,MATCH($F323,사건마스터!$A$5:$A$64,0)),""))</f>
        <v/>
      </c>
      <c r="K323" s="35">
        <f>IF($F323="","",IFERROR(INDEX(사건마스터!$AI$5:$AI$64,MATCH($F323,사건마스터!$A$5:$A$64,0)),""))</f>
        <v/>
      </c>
      <c r="L323" s="35">
        <f>IF($F323="","",IFERROR(INDEX(사건마스터!$AJ$5:$AJ$64,MATCH($F323,사건마스터!$A$5:$A$64,0)),""))</f>
        <v/>
      </c>
      <c r="M323" s="35">
        <f>IF($F323="","",IFERROR(INDEX(사건마스터!$AK$5:$AK$64,MATCH($F323,사건마스터!$A$5:$A$64,0)),""))</f>
        <v/>
      </c>
      <c r="N323" s="35">
        <f>IF($F323="","",IFERROR(INDEX(사건마스터!$AL$5:$AL$64,MATCH($F323,사건마스터!$A$5:$A$64,0)),""))</f>
        <v/>
      </c>
      <c r="O323" s="35">
        <f>IF($F323="","",IFERROR(INDEX(사건마스터!$AM$5:$AM$64,MATCH($F323,사건마스터!$A$5:$A$64,0)),""))</f>
        <v/>
      </c>
      <c r="P323" s="35">
        <f>IF($F323="","",IFERROR(INDEX(사건마스터!$AN$5:$AN$64,MATCH($F323,사건마스터!$A$5:$A$64,0)),""))</f>
        <v/>
      </c>
      <c r="Q323" s="35">
        <f>IF($F323="","",IFERROR(INDEX(사건마스터!$AO$5:$AO$64,MATCH($F323,사건마스터!$A$5:$A$64,0)),""))</f>
        <v/>
      </c>
      <c r="R323" s="35">
        <f>IF($F323="","",IFERROR(INDEX(사건마스터!$AP$5:$AP$64,MATCH($F323,사건마스터!$A$5:$A$64,0)),""))</f>
        <v/>
      </c>
      <c r="S323" s="35">
        <f>IF($F323="","",IFERROR(INDEX(사건마스터!$AQ$5:$AQ$64,MATCH($F323,사건마스터!$A$5:$A$64,0)),""))</f>
        <v/>
      </c>
      <c r="T323" s="35">
        <f>IF($F323="","",IFERROR(INDEX(사건마스터!$AR$5:$AR$64,MATCH($F323,사건마스터!$A$5:$A$64,0)),""))</f>
        <v/>
      </c>
      <c r="U323" s="35">
        <f>IF($F323="","",IFERROR(INDEX(사건마스터!$AS$5:$AS$64,MATCH($F323,사건마스터!$A$5:$A$64,0)),""))</f>
        <v/>
      </c>
      <c r="V323" s="35">
        <f>IF($F323="","",IFERROR(INDEX(사건마스터!$AT$5:$AT$64,MATCH($F323,사건마스터!$A$5:$A$64,0)),""))</f>
        <v/>
      </c>
      <c r="W323" s="35">
        <f>IF($F323="","",IFERROR(INDEX(사건마스터!$AU$5:$AU$64,MATCH($F323,사건마스터!$A$5:$A$64,0)),""))</f>
        <v/>
      </c>
      <c r="X323" s="35">
        <f>IF($F323="","",IFERROR(INDEX(사건마스터!$AV$5:$AV$64,MATCH($F323,사건마스터!$A$5:$A$64,0)),""))</f>
        <v/>
      </c>
      <c r="Y323" s="30">
        <f>IF($I323="","",COUNTIF($I323:$X323,"?*"))</f>
        <v/>
      </c>
      <c r="Z323" s="33">
        <f>IF($I323="","",_xlfn.TEXTJOIN(", ",TRUE,$I323:$X323))</f>
        <v/>
      </c>
      <c r="AA323" s="34">
        <f>IF($I323="","",IFERROR(INDEX(코드설정!$D$5:$D$24,MATCH($I323,코드설정!$C$5:$C$24,0)),""))</f>
        <v/>
      </c>
      <c r="AB323" s="36" t="n"/>
      <c r="AC323" s="37" t="n"/>
      <c r="AD323" s="38" t="n"/>
      <c r="AE323" s="30">
        <f>IF(OR($B323="",$C323=""),"",$C323-$B323+1)</f>
        <v/>
      </c>
      <c r="AF323" s="32" t="n"/>
      <c r="AG323" s="36" t="n"/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3">
        <f>IF($F324="","",IFERROR(INDEX(사건마스터!$B$5:$B$64,MATCH($F324,사건마스터!$A$5:$A$64,0)),""))</f>
        <v/>
      </c>
      <c r="H324" s="34">
        <f>IF($F324="","",IFERROR(INDEX(사건마스터!$C$5:$C$64,MATCH($F324,사건마스터!$A$5:$A$64,0)),""))</f>
        <v/>
      </c>
      <c r="I324" s="35">
        <f>IF($F324="","",IFERROR(INDEX(사건마스터!$H$5:$H$64,MATCH($F324,사건마스터!$A$5:$A$64,0)),""))</f>
        <v/>
      </c>
      <c r="J324" s="35">
        <f>IF($F324="","",IFERROR(INDEX(사건마스터!$AH$5:$AH$64,MATCH($F324,사건마스터!$A$5:$A$64,0)),""))</f>
        <v/>
      </c>
      <c r="K324" s="35">
        <f>IF($F324="","",IFERROR(INDEX(사건마스터!$AI$5:$AI$64,MATCH($F324,사건마스터!$A$5:$A$64,0)),""))</f>
        <v/>
      </c>
      <c r="L324" s="35">
        <f>IF($F324="","",IFERROR(INDEX(사건마스터!$AJ$5:$AJ$64,MATCH($F324,사건마스터!$A$5:$A$64,0)),""))</f>
        <v/>
      </c>
      <c r="M324" s="35">
        <f>IF($F324="","",IFERROR(INDEX(사건마스터!$AK$5:$AK$64,MATCH($F324,사건마스터!$A$5:$A$64,0)),""))</f>
        <v/>
      </c>
      <c r="N324" s="35">
        <f>IF($F324="","",IFERROR(INDEX(사건마스터!$AL$5:$AL$64,MATCH($F324,사건마스터!$A$5:$A$64,0)),""))</f>
        <v/>
      </c>
      <c r="O324" s="35">
        <f>IF($F324="","",IFERROR(INDEX(사건마스터!$AM$5:$AM$64,MATCH($F324,사건마스터!$A$5:$A$64,0)),""))</f>
        <v/>
      </c>
      <c r="P324" s="35">
        <f>IF($F324="","",IFERROR(INDEX(사건마스터!$AN$5:$AN$64,MATCH($F324,사건마스터!$A$5:$A$64,0)),""))</f>
        <v/>
      </c>
      <c r="Q324" s="35">
        <f>IF($F324="","",IFERROR(INDEX(사건마스터!$AO$5:$AO$64,MATCH($F324,사건마스터!$A$5:$A$64,0)),""))</f>
        <v/>
      </c>
      <c r="R324" s="35">
        <f>IF($F324="","",IFERROR(INDEX(사건마스터!$AP$5:$AP$64,MATCH($F324,사건마스터!$A$5:$A$64,0)),""))</f>
        <v/>
      </c>
      <c r="S324" s="35">
        <f>IF($F324="","",IFERROR(INDEX(사건마스터!$AQ$5:$AQ$64,MATCH($F324,사건마스터!$A$5:$A$64,0)),""))</f>
        <v/>
      </c>
      <c r="T324" s="35">
        <f>IF($F324="","",IFERROR(INDEX(사건마스터!$AR$5:$AR$64,MATCH($F324,사건마스터!$A$5:$A$64,0)),""))</f>
        <v/>
      </c>
      <c r="U324" s="35">
        <f>IF($F324="","",IFERROR(INDEX(사건마스터!$AS$5:$AS$64,MATCH($F324,사건마스터!$A$5:$A$64,0)),""))</f>
        <v/>
      </c>
      <c r="V324" s="35">
        <f>IF($F324="","",IFERROR(INDEX(사건마스터!$AT$5:$AT$64,MATCH($F324,사건마스터!$A$5:$A$64,0)),""))</f>
        <v/>
      </c>
      <c r="W324" s="35">
        <f>IF($F324="","",IFERROR(INDEX(사건마스터!$AU$5:$AU$64,MATCH($F324,사건마스터!$A$5:$A$64,0)),""))</f>
        <v/>
      </c>
      <c r="X324" s="35">
        <f>IF($F324="","",IFERROR(INDEX(사건마스터!$AV$5:$AV$64,MATCH($F324,사건마스터!$A$5:$A$64,0)),""))</f>
        <v/>
      </c>
      <c r="Y324" s="30">
        <f>IF($I324="","",COUNTIF($I324:$X324,"?*"))</f>
        <v/>
      </c>
      <c r="Z324" s="33">
        <f>IF($I324="","",_xlfn.TEXTJOIN(", ",TRUE,$I324:$X324))</f>
        <v/>
      </c>
      <c r="AA324" s="34">
        <f>IF($I324="","",IFERROR(INDEX(코드설정!$D$5:$D$24,MATCH($I324,코드설정!$C$5:$C$24,0)),""))</f>
        <v/>
      </c>
      <c r="AB324" s="36" t="n"/>
      <c r="AC324" s="37" t="n"/>
      <c r="AD324" s="38" t="n"/>
      <c r="AE324" s="30">
        <f>IF(OR($B324="",$C324=""),"",$C324-$B324+1)</f>
        <v/>
      </c>
      <c r="AF324" s="32" t="n"/>
      <c r="AG324" s="36" t="n"/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3">
        <f>IF($F325="","",IFERROR(INDEX(사건마스터!$B$5:$B$64,MATCH($F325,사건마스터!$A$5:$A$64,0)),""))</f>
        <v/>
      </c>
      <c r="H325" s="34">
        <f>IF($F325="","",IFERROR(INDEX(사건마스터!$C$5:$C$64,MATCH($F325,사건마스터!$A$5:$A$64,0)),""))</f>
        <v/>
      </c>
      <c r="I325" s="35">
        <f>IF($F325="","",IFERROR(INDEX(사건마스터!$H$5:$H$64,MATCH($F325,사건마스터!$A$5:$A$64,0)),""))</f>
        <v/>
      </c>
      <c r="J325" s="35">
        <f>IF($F325="","",IFERROR(INDEX(사건마스터!$AH$5:$AH$64,MATCH($F325,사건마스터!$A$5:$A$64,0)),""))</f>
        <v/>
      </c>
      <c r="K325" s="35">
        <f>IF($F325="","",IFERROR(INDEX(사건마스터!$AI$5:$AI$64,MATCH($F325,사건마스터!$A$5:$A$64,0)),""))</f>
        <v/>
      </c>
      <c r="L325" s="35">
        <f>IF($F325="","",IFERROR(INDEX(사건마스터!$AJ$5:$AJ$64,MATCH($F325,사건마스터!$A$5:$A$64,0)),""))</f>
        <v/>
      </c>
      <c r="M325" s="35">
        <f>IF($F325="","",IFERROR(INDEX(사건마스터!$AK$5:$AK$64,MATCH($F325,사건마스터!$A$5:$A$64,0)),""))</f>
        <v/>
      </c>
      <c r="N325" s="35">
        <f>IF($F325="","",IFERROR(INDEX(사건마스터!$AL$5:$AL$64,MATCH($F325,사건마스터!$A$5:$A$64,0)),""))</f>
        <v/>
      </c>
      <c r="O325" s="35">
        <f>IF($F325="","",IFERROR(INDEX(사건마스터!$AM$5:$AM$64,MATCH($F325,사건마스터!$A$5:$A$64,0)),""))</f>
        <v/>
      </c>
      <c r="P325" s="35">
        <f>IF($F325="","",IFERROR(INDEX(사건마스터!$AN$5:$AN$64,MATCH($F325,사건마스터!$A$5:$A$64,0)),""))</f>
        <v/>
      </c>
      <c r="Q325" s="35">
        <f>IF($F325="","",IFERROR(INDEX(사건마스터!$AO$5:$AO$64,MATCH($F325,사건마스터!$A$5:$A$64,0)),""))</f>
        <v/>
      </c>
      <c r="R325" s="35">
        <f>IF($F325="","",IFERROR(INDEX(사건마스터!$AP$5:$AP$64,MATCH($F325,사건마스터!$A$5:$A$64,0)),""))</f>
        <v/>
      </c>
      <c r="S325" s="35">
        <f>IF($F325="","",IFERROR(INDEX(사건마스터!$AQ$5:$AQ$64,MATCH($F325,사건마스터!$A$5:$A$64,0)),""))</f>
        <v/>
      </c>
      <c r="T325" s="35">
        <f>IF($F325="","",IFERROR(INDEX(사건마스터!$AR$5:$AR$64,MATCH($F325,사건마스터!$A$5:$A$64,0)),""))</f>
        <v/>
      </c>
      <c r="U325" s="35">
        <f>IF($F325="","",IFERROR(INDEX(사건마스터!$AS$5:$AS$64,MATCH($F325,사건마스터!$A$5:$A$64,0)),""))</f>
        <v/>
      </c>
      <c r="V325" s="35">
        <f>IF($F325="","",IFERROR(INDEX(사건마스터!$AT$5:$AT$64,MATCH($F325,사건마스터!$A$5:$A$64,0)),""))</f>
        <v/>
      </c>
      <c r="W325" s="35">
        <f>IF($F325="","",IFERROR(INDEX(사건마스터!$AU$5:$AU$64,MATCH($F325,사건마스터!$A$5:$A$64,0)),""))</f>
        <v/>
      </c>
      <c r="X325" s="35">
        <f>IF($F325="","",IFERROR(INDEX(사건마스터!$AV$5:$AV$64,MATCH($F325,사건마스터!$A$5:$A$64,0)),""))</f>
        <v/>
      </c>
      <c r="Y325" s="30">
        <f>IF($I325="","",COUNTIF($I325:$X325,"?*"))</f>
        <v/>
      </c>
      <c r="Z325" s="33">
        <f>IF($I325="","",_xlfn.TEXTJOIN(", ",TRUE,$I325:$X325))</f>
        <v/>
      </c>
      <c r="AA325" s="34">
        <f>IF($I325="","",IFERROR(INDEX(코드설정!$D$5:$D$24,MATCH($I325,코드설정!$C$5:$C$24,0)),""))</f>
        <v/>
      </c>
      <c r="AB325" s="36" t="n"/>
      <c r="AC325" s="37" t="n"/>
      <c r="AD325" s="38" t="n"/>
      <c r="AE325" s="30">
        <f>IF(OR($B325="",$C325=""),"",$C325-$B325+1)</f>
        <v/>
      </c>
      <c r="AF325" s="32" t="n"/>
      <c r="AG325" s="36" t="n"/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3">
        <f>IF($F326="","",IFERROR(INDEX(사건마스터!$B$5:$B$64,MATCH($F326,사건마스터!$A$5:$A$64,0)),""))</f>
        <v/>
      </c>
      <c r="H326" s="34">
        <f>IF($F326="","",IFERROR(INDEX(사건마스터!$C$5:$C$64,MATCH($F326,사건마스터!$A$5:$A$64,0)),""))</f>
        <v/>
      </c>
      <c r="I326" s="35">
        <f>IF($F326="","",IFERROR(INDEX(사건마스터!$H$5:$H$64,MATCH($F326,사건마스터!$A$5:$A$64,0)),""))</f>
        <v/>
      </c>
      <c r="J326" s="35">
        <f>IF($F326="","",IFERROR(INDEX(사건마스터!$AH$5:$AH$64,MATCH($F326,사건마스터!$A$5:$A$64,0)),""))</f>
        <v/>
      </c>
      <c r="K326" s="35">
        <f>IF($F326="","",IFERROR(INDEX(사건마스터!$AI$5:$AI$64,MATCH($F326,사건마스터!$A$5:$A$64,0)),""))</f>
        <v/>
      </c>
      <c r="L326" s="35">
        <f>IF($F326="","",IFERROR(INDEX(사건마스터!$AJ$5:$AJ$64,MATCH($F326,사건마스터!$A$5:$A$64,0)),""))</f>
        <v/>
      </c>
      <c r="M326" s="35">
        <f>IF($F326="","",IFERROR(INDEX(사건마스터!$AK$5:$AK$64,MATCH($F326,사건마스터!$A$5:$A$64,0)),""))</f>
        <v/>
      </c>
      <c r="N326" s="35">
        <f>IF($F326="","",IFERROR(INDEX(사건마스터!$AL$5:$AL$64,MATCH($F326,사건마스터!$A$5:$A$64,0)),""))</f>
        <v/>
      </c>
      <c r="O326" s="35">
        <f>IF($F326="","",IFERROR(INDEX(사건마스터!$AM$5:$AM$64,MATCH($F326,사건마스터!$A$5:$A$64,0)),""))</f>
        <v/>
      </c>
      <c r="P326" s="35">
        <f>IF($F326="","",IFERROR(INDEX(사건마스터!$AN$5:$AN$64,MATCH($F326,사건마스터!$A$5:$A$64,0)),""))</f>
        <v/>
      </c>
      <c r="Q326" s="35">
        <f>IF($F326="","",IFERROR(INDEX(사건마스터!$AO$5:$AO$64,MATCH($F326,사건마스터!$A$5:$A$64,0)),""))</f>
        <v/>
      </c>
      <c r="R326" s="35">
        <f>IF($F326="","",IFERROR(INDEX(사건마스터!$AP$5:$AP$64,MATCH($F326,사건마스터!$A$5:$A$64,0)),""))</f>
        <v/>
      </c>
      <c r="S326" s="35">
        <f>IF($F326="","",IFERROR(INDEX(사건마스터!$AQ$5:$AQ$64,MATCH($F326,사건마스터!$A$5:$A$64,0)),""))</f>
        <v/>
      </c>
      <c r="T326" s="35">
        <f>IF($F326="","",IFERROR(INDEX(사건마스터!$AR$5:$AR$64,MATCH($F326,사건마스터!$A$5:$A$64,0)),""))</f>
        <v/>
      </c>
      <c r="U326" s="35">
        <f>IF($F326="","",IFERROR(INDEX(사건마스터!$AS$5:$AS$64,MATCH($F326,사건마스터!$A$5:$A$64,0)),""))</f>
        <v/>
      </c>
      <c r="V326" s="35">
        <f>IF($F326="","",IFERROR(INDEX(사건마스터!$AT$5:$AT$64,MATCH($F326,사건마스터!$A$5:$A$64,0)),""))</f>
        <v/>
      </c>
      <c r="W326" s="35">
        <f>IF($F326="","",IFERROR(INDEX(사건마스터!$AU$5:$AU$64,MATCH($F326,사건마스터!$A$5:$A$64,0)),""))</f>
        <v/>
      </c>
      <c r="X326" s="35">
        <f>IF($F326="","",IFERROR(INDEX(사건마스터!$AV$5:$AV$64,MATCH($F326,사건마스터!$A$5:$A$64,0)),""))</f>
        <v/>
      </c>
      <c r="Y326" s="30">
        <f>IF($I326="","",COUNTIF($I326:$X326,"?*"))</f>
        <v/>
      </c>
      <c r="Z326" s="33">
        <f>IF($I326="","",_xlfn.TEXTJOIN(", ",TRUE,$I326:$X326))</f>
        <v/>
      </c>
      <c r="AA326" s="34">
        <f>IF($I326="","",IFERROR(INDEX(코드설정!$D$5:$D$24,MATCH($I326,코드설정!$C$5:$C$24,0)),""))</f>
        <v/>
      </c>
      <c r="AB326" s="36" t="n"/>
      <c r="AC326" s="37" t="n"/>
      <c r="AD326" s="38" t="n"/>
      <c r="AE326" s="30">
        <f>IF(OR($B326="",$C326=""),"",$C326-$B326+1)</f>
        <v/>
      </c>
      <c r="AF326" s="32" t="n"/>
      <c r="AG326" s="36" t="n"/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3">
        <f>IF($F327="","",IFERROR(INDEX(사건마스터!$B$5:$B$64,MATCH($F327,사건마스터!$A$5:$A$64,0)),""))</f>
        <v/>
      </c>
      <c r="H327" s="34">
        <f>IF($F327="","",IFERROR(INDEX(사건마스터!$C$5:$C$64,MATCH($F327,사건마스터!$A$5:$A$64,0)),""))</f>
        <v/>
      </c>
      <c r="I327" s="35">
        <f>IF($F327="","",IFERROR(INDEX(사건마스터!$H$5:$H$64,MATCH($F327,사건마스터!$A$5:$A$64,0)),""))</f>
        <v/>
      </c>
      <c r="J327" s="35">
        <f>IF($F327="","",IFERROR(INDEX(사건마스터!$AH$5:$AH$64,MATCH($F327,사건마스터!$A$5:$A$64,0)),""))</f>
        <v/>
      </c>
      <c r="K327" s="35">
        <f>IF($F327="","",IFERROR(INDEX(사건마스터!$AI$5:$AI$64,MATCH($F327,사건마스터!$A$5:$A$64,0)),""))</f>
        <v/>
      </c>
      <c r="L327" s="35">
        <f>IF($F327="","",IFERROR(INDEX(사건마스터!$AJ$5:$AJ$64,MATCH($F327,사건마스터!$A$5:$A$64,0)),""))</f>
        <v/>
      </c>
      <c r="M327" s="35">
        <f>IF($F327="","",IFERROR(INDEX(사건마스터!$AK$5:$AK$64,MATCH($F327,사건마스터!$A$5:$A$64,0)),""))</f>
        <v/>
      </c>
      <c r="N327" s="35">
        <f>IF($F327="","",IFERROR(INDEX(사건마스터!$AL$5:$AL$64,MATCH($F327,사건마스터!$A$5:$A$64,0)),""))</f>
        <v/>
      </c>
      <c r="O327" s="35">
        <f>IF($F327="","",IFERROR(INDEX(사건마스터!$AM$5:$AM$64,MATCH($F327,사건마스터!$A$5:$A$64,0)),""))</f>
        <v/>
      </c>
      <c r="P327" s="35">
        <f>IF($F327="","",IFERROR(INDEX(사건마스터!$AN$5:$AN$64,MATCH($F327,사건마스터!$A$5:$A$64,0)),""))</f>
        <v/>
      </c>
      <c r="Q327" s="35">
        <f>IF($F327="","",IFERROR(INDEX(사건마스터!$AO$5:$AO$64,MATCH($F327,사건마스터!$A$5:$A$64,0)),""))</f>
        <v/>
      </c>
      <c r="R327" s="35">
        <f>IF($F327="","",IFERROR(INDEX(사건마스터!$AP$5:$AP$64,MATCH($F327,사건마스터!$A$5:$A$64,0)),""))</f>
        <v/>
      </c>
      <c r="S327" s="35">
        <f>IF($F327="","",IFERROR(INDEX(사건마스터!$AQ$5:$AQ$64,MATCH($F327,사건마스터!$A$5:$A$64,0)),""))</f>
        <v/>
      </c>
      <c r="T327" s="35">
        <f>IF($F327="","",IFERROR(INDEX(사건마스터!$AR$5:$AR$64,MATCH($F327,사건마스터!$A$5:$A$64,0)),""))</f>
        <v/>
      </c>
      <c r="U327" s="35">
        <f>IF($F327="","",IFERROR(INDEX(사건마스터!$AS$5:$AS$64,MATCH($F327,사건마스터!$A$5:$A$64,0)),""))</f>
        <v/>
      </c>
      <c r="V327" s="35">
        <f>IF($F327="","",IFERROR(INDEX(사건마스터!$AT$5:$AT$64,MATCH($F327,사건마스터!$A$5:$A$64,0)),""))</f>
        <v/>
      </c>
      <c r="W327" s="35">
        <f>IF($F327="","",IFERROR(INDEX(사건마스터!$AU$5:$AU$64,MATCH($F327,사건마스터!$A$5:$A$64,0)),""))</f>
        <v/>
      </c>
      <c r="X327" s="35">
        <f>IF($F327="","",IFERROR(INDEX(사건마스터!$AV$5:$AV$64,MATCH($F327,사건마스터!$A$5:$A$64,0)),""))</f>
        <v/>
      </c>
      <c r="Y327" s="30">
        <f>IF($I327="","",COUNTIF($I327:$X327,"?*"))</f>
        <v/>
      </c>
      <c r="Z327" s="33">
        <f>IF($I327="","",_xlfn.TEXTJOIN(", ",TRUE,$I327:$X327))</f>
        <v/>
      </c>
      <c r="AA327" s="34">
        <f>IF($I327="","",IFERROR(INDEX(코드설정!$D$5:$D$24,MATCH($I327,코드설정!$C$5:$C$24,0)),""))</f>
        <v/>
      </c>
      <c r="AB327" s="36" t="n"/>
      <c r="AC327" s="37" t="n"/>
      <c r="AD327" s="38" t="n"/>
      <c r="AE327" s="30">
        <f>IF(OR($B327="",$C327=""),"",$C327-$B327+1)</f>
        <v/>
      </c>
      <c r="AF327" s="32" t="n"/>
      <c r="AG327" s="36" t="n"/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3">
        <f>IF($F328="","",IFERROR(INDEX(사건마스터!$B$5:$B$64,MATCH($F328,사건마스터!$A$5:$A$64,0)),""))</f>
        <v/>
      </c>
      <c r="H328" s="34">
        <f>IF($F328="","",IFERROR(INDEX(사건마스터!$C$5:$C$64,MATCH($F328,사건마스터!$A$5:$A$64,0)),""))</f>
        <v/>
      </c>
      <c r="I328" s="35">
        <f>IF($F328="","",IFERROR(INDEX(사건마스터!$H$5:$H$64,MATCH($F328,사건마스터!$A$5:$A$64,0)),""))</f>
        <v/>
      </c>
      <c r="J328" s="35">
        <f>IF($F328="","",IFERROR(INDEX(사건마스터!$AH$5:$AH$64,MATCH($F328,사건마스터!$A$5:$A$64,0)),""))</f>
        <v/>
      </c>
      <c r="K328" s="35">
        <f>IF($F328="","",IFERROR(INDEX(사건마스터!$AI$5:$AI$64,MATCH($F328,사건마스터!$A$5:$A$64,0)),""))</f>
        <v/>
      </c>
      <c r="L328" s="35">
        <f>IF($F328="","",IFERROR(INDEX(사건마스터!$AJ$5:$AJ$64,MATCH($F328,사건마스터!$A$5:$A$64,0)),""))</f>
        <v/>
      </c>
      <c r="M328" s="35">
        <f>IF($F328="","",IFERROR(INDEX(사건마스터!$AK$5:$AK$64,MATCH($F328,사건마스터!$A$5:$A$64,0)),""))</f>
        <v/>
      </c>
      <c r="N328" s="35">
        <f>IF($F328="","",IFERROR(INDEX(사건마스터!$AL$5:$AL$64,MATCH($F328,사건마스터!$A$5:$A$64,0)),""))</f>
        <v/>
      </c>
      <c r="O328" s="35">
        <f>IF($F328="","",IFERROR(INDEX(사건마스터!$AM$5:$AM$64,MATCH($F328,사건마스터!$A$5:$A$64,0)),""))</f>
        <v/>
      </c>
      <c r="P328" s="35">
        <f>IF($F328="","",IFERROR(INDEX(사건마스터!$AN$5:$AN$64,MATCH($F328,사건마스터!$A$5:$A$64,0)),""))</f>
        <v/>
      </c>
      <c r="Q328" s="35">
        <f>IF($F328="","",IFERROR(INDEX(사건마스터!$AO$5:$AO$64,MATCH($F328,사건마스터!$A$5:$A$64,0)),""))</f>
        <v/>
      </c>
      <c r="R328" s="35">
        <f>IF($F328="","",IFERROR(INDEX(사건마스터!$AP$5:$AP$64,MATCH($F328,사건마스터!$A$5:$A$64,0)),""))</f>
        <v/>
      </c>
      <c r="S328" s="35">
        <f>IF($F328="","",IFERROR(INDEX(사건마스터!$AQ$5:$AQ$64,MATCH($F328,사건마스터!$A$5:$A$64,0)),""))</f>
        <v/>
      </c>
      <c r="T328" s="35">
        <f>IF($F328="","",IFERROR(INDEX(사건마스터!$AR$5:$AR$64,MATCH($F328,사건마스터!$A$5:$A$64,0)),""))</f>
        <v/>
      </c>
      <c r="U328" s="35">
        <f>IF($F328="","",IFERROR(INDEX(사건마스터!$AS$5:$AS$64,MATCH($F328,사건마스터!$A$5:$A$64,0)),""))</f>
        <v/>
      </c>
      <c r="V328" s="35">
        <f>IF($F328="","",IFERROR(INDEX(사건마스터!$AT$5:$AT$64,MATCH($F328,사건마스터!$A$5:$A$64,0)),""))</f>
        <v/>
      </c>
      <c r="W328" s="35">
        <f>IF($F328="","",IFERROR(INDEX(사건마스터!$AU$5:$AU$64,MATCH($F328,사건마스터!$A$5:$A$64,0)),""))</f>
        <v/>
      </c>
      <c r="X328" s="35">
        <f>IF($F328="","",IFERROR(INDEX(사건마스터!$AV$5:$AV$64,MATCH($F328,사건마스터!$A$5:$A$64,0)),""))</f>
        <v/>
      </c>
      <c r="Y328" s="30">
        <f>IF($I328="","",COUNTIF($I328:$X328,"?*"))</f>
        <v/>
      </c>
      <c r="Z328" s="33">
        <f>IF($I328="","",_xlfn.TEXTJOIN(", ",TRUE,$I328:$X328))</f>
        <v/>
      </c>
      <c r="AA328" s="34">
        <f>IF($I328="","",IFERROR(INDEX(코드설정!$D$5:$D$24,MATCH($I328,코드설정!$C$5:$C$24,0)),""))</f>
        <v/>
      </c>
      <c r="AB328" s="36" t="n"/>
      <c r="AC328" s="37" t="n"/>
      <c r="AD328" s="38" t="n"/>
      <c r="AE328" s="30">
        <f>IF(OR($B328="",$C328=""),"",$C328-$B328+1)</f>
        <v/>
      </c>
      <c r="AF328" s="32" t="n"/>
      <c r="AG328" s="36" t="n"/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3">
        <f>IF($F329="","",IFERROR(INDEX(사건마스터!$B$5:$B$64,MATCH($F329,사건마스터!$A$5:$A$64,0)),""))</f>
        <v/>
      </c>
      <c r="H329" s="34">
        <f>IF($F329="","",IFERROR(INDEX(사건마스터!$C$5:$C$64,MATCH($F329,사건마스터!$A$5:$A$64,0)),""))</f>
        <v/>
      </c>
      <c r="I329" s="35">
        <f>IF($F329="","",IFERROR(INDEX(사건마스터!$H$5:$H$64,MATCH($F329,사건마스터!$A$5:$A$64,0)),""))</f>
        <v/>
      </c>
      <c r="J329" s="35">
        <f>IF($F329="","",IFERROR(INDEX(사건마스터!$AH$5:$AH$64,MATCH($F329,사건마스터!$A$5:$A$64,0)),""))</f>
        <v/>
      </c>
      <c r="K329" s="35">
        <f>IF($F329="","",IFERROR(INDEX(사건마스터!$AI$5:$AI$64,MATCH($F329,사건마스터!$A$5:$A$64,0)),""))</f>
        <v/>
      </c>
      <c r="L329" s="35">
        <f>IF($F329="","",IFERROR(INDEX(사건마스터!$AJ$5:$AJ$64,MATCH($F329,사건마스터!$A$5:$A$64,0)),""))</f>
        <v/>
      </c>
      <c r="M329" s="35">
        <f>IF($F329="","",IFERROR(INDEX(사건마스터!$AK$5:$AK$64,MATCH($F329,사건마스터!$A$5:$A$64,0)),""))</f>
        <v/>
      </c>
      <c r="N329" s="35">
        <f>IF($F329="","",IFERROR(INDEX(사건마스터!$AL$5:$AL$64,MATCH($F329,사건마스터!$A$5:$A$64,0)),""))</f>
        <v/>
      </c>
      <c r="O329" s="35">
        <f>IF($F329="","",IFERROR(INDEX(사건마스터!$AM$5:$AM$64,MATCH($F329,사건마스터!$A$5:$A$64,0)),""))</f>
        <v/>
      </c>
      <c r="P329" s="35">
        <f>IF($F329="","",IFERROR(INDEX(사건마스터!$AN$5:$AN$64,MATCH($F329,사건마스터!$A$5:$A$64,0)),""))</f>
        <v/>
      </c>
      <c r="Q329" s="35">
        <f>IF($F329="","",IFERROR(INDEX(사건마스터!$AO$5:$AO$64,MATCH($F329,사건마스터!$A$5:$A$64,0)),""))</f>
        <v/>
      </c>
      <c r="R329" s="35">
        <f>IF($F329="","",IFERROR(INDEX(사건마스터!$AP$5:$AP$64,MATCH($F329,사건마스터!$A$5:$A$64,0)),""))</f>
        <v/>
      </c>
      <c r="S329" s="35">
        <f>IF($F329="","",IFERROR(INDEX(사건마스터!$AQ$5:$AQ$64,MATCH($F329,사건마스터!$A$5:$A$64,0)),""))</f>
        <v/>
      </c>
      <c r="T329" s="35">
        <f>IF($F329="","",IFERROR(INDEX(사건마스터!$AR$5:$AR$64,MATCH($F329,사건마스터!$A$5:$A$64,0)),""))</f>
        <v/>
      </c>
      <c r="U329" s="35">
        <f>IF($F329="","",IFERROR(INDEX(사건마스터!$AS$5:$AS$64,MATCH($F329,사건마스터!$A$5:$A$64,0)),""))</f>
        <v/>
      </c>
      <c r="V329" s="35">
        <f>IF($F329="","",IFERROR(INDEX(사건마스터!$AT$5:$AT$64,MATCH($F329,사건마스터!$A$5:$A$64,0)),""))</f>
        <v/>
      </c>
      <c r="W329" s="35">
        <f>IF($F329="","",IFERROR(INDEX(사건마스터!$AU$5:$AU$64,MATCH($F329,사건마스터!$A$5:$A$64,0)),""))</f>
        <v/>
      </c>
      <c r="X329" s="35">
        <f>IF($F329="","",IFERROR(INDEX(사건마스터!$AV$5:$AV$64,MATCH($F329,사건마스터!$A$5:$A$64,0)),""))</f>
        <v/>
      </c>
      <c r="Y329" s="30">
        <f>IF($I329="","",COUNTIF($I329:$X329,"?*"))</f>
        <v/>
      </c>
      <c r="Z329" s="33">
        <f>IF($I329="","",_xlfn.TEXTJOIN(", ",TRUE,$I329:$X329))</f>
        <v/>
      </c>
      <c r="AA329" s="34">
        <f>IF($I329="","",IFERROR(INDEX(코드설정!$D$5:$D$24,MATCH($I329,코드설정!$C$5:$C$24,0)),""))</f>
        <v/>
      </c>
      <c r="AB329" s="36" t="n"/>
      <c r="AC329" s="37" t="n"/>
      <c r="AD329" s="38" t="n"/>
      <c r="AE329" s="30">
        <f>IF(OR($B329="",$C329=""),"",$C329-$B329+1)</f>
        <v/>
      </c>
      <c r="AF329" s="32" t="n"/>
      <c r="AG329" s="36" t="n"/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3">
        <f>IF($F330="","",IFERROR(INDEX(사건마스터!$B$5:$B$64,MATCH($F330,사건마스터!$A$5:$A$64,0)),""))</f>
        <v/>
      </c>
      <c r="H330" s="34">
        <f>IF($F330="","",IFERROR(INDEX(사건마스터!$C$5:$C$64,MATCH($F330,사건마스터!$A$5:$A$64,0)),""))</f>
        <v/>
      </c>
      <c r="I330" s="35">
        <f>IF($F330="","",IFERROR(INDEX(사건마스터!$H$5:$H$64,MATCH($F330,사건마스터!$A$5:$A$64,0)),""))</f>
        <v/>
      </c>
      <c r="J330" s="35">
        <f>IF($F330="","",IFERROR(INDEX(사건마스터!$AH$5:$AH$64,MATCH($F330,사건마스터!$A$5:$A$64,0)),""))</f>
        <v/>
      </c>
      <c r="K330" s="35">
        <f>IF($F330="","",IFERROR(INDEX(사건마스터!$AI$5:$AI$64,MATCH($F330,사건마스터!$A$5:$A$64,0)),""))</f>
        <v/>
      </c>
      <c r="L330" s="35">
        <f>IF($F330="","",IFERROR(INDEX(사건마스터!$AJ$5:$AJ$64,MATCH($F330,사건마스터!$A$5:$A$64,0)),""))</f>
        <v/>
      </c>
      <c r="M330" s="35">
        <f>IF($F330="","",IFERROR(INDEX(사건마스터!$AK$5:$AK$64,MATCH($F330,사건마스터!$A$5:$A$64,0)),""))</f>
        <v/>
      </c>
      <c r="N330" s="35">
        <f>IF($F330="","",IFERROR(INDEX(사건마스터!$AL$5:$AL$64,MATCH($F330,사건마스터!$A$5:$A$64,0)),""))</f>
        <v/>
      </c>
      <c r="O330" s="35">
        <f>IF($F330="","",IFERROR(INDEX(사건마스터!$AM$5:$AM$64,MATCH($F330,사건마스터!$A$5:$A$64,0)),""))</f>
        <v/>
      </c>
      <c r="P330" s="35">
        <f>IF($F330="","",IFERROR(INDEX(사건마스터!$AN$5:$AN$64,MATCH($F330,사건마스터!$A$5:$A$64,0)),""))</f>
        <v/>
      </c>
      <c r="Q330" s="35">
        <f>IF($F330="","",IFERROR(INDEX(사건마스터!$AO$5:$AO$64,MATCH($F330,사건마스터!$A$5:$A$64,0)),""))</f>
        <v/>
      </c>
      <c r="R330" s="35">
        <f>IF($F330="","",IFERROR(INDEX(사건마스터!$AP$5:$AP$64,MATCH($F330,사건마스터!$A$5:$A$64,0)),""))</f>
        <v/>
      </c>
      <c r="S330" s="35">
        <f>IF($F330="","",IFERROR(INDEX(사건마스터!$AQ$5:$AQ$64,MATCH($F330,사건마스터!$A$5:$A$64,0)),""))</f>
        <v/>
      </c>
      <c r="T330" s="35">
        <f>IF($F330="","",IFERROR(INDEX(사건마스터!$AR$5:$AR$64,MATCH($F330,사건마스터!$A$5:$A$64,0)),""))</f>
        <v/>
      </c>
      <c r="U330" s="35">
        <f>IF($F330="","",IFERROR(INDEX(사건마스터!$AS$5:$AS$64,MATCH($F330,사건마스터!$A$5:$A$64,0)),""))</f>
        <v/>
      </c>
      <c r="V330" s="35">
        <f>IF($F330="","",IFERROR(INDEX(사건마스터!$AT$5:$AT$64,MATCH($F330,사건마스터!$A$5:$A$64,0)),""))</f>
        <v/>
      </c>
      <c r="W330" s="35">
        <f>IF($F330="","",IFERROR(INDEX(사건마스터!$AU$5:$AU$64,MATCH($F330,사건마스터!$A$5:$A$64,0)),""))</f>
        <v/>
      </c>
      <c r="X330" s="35">
        <f>IF($F330="","",IFERROR(INDEX(사건마스터!$AV$5:$AV$64,MATCH($F330,사건마스터!$A$5:$A$64,0)),""))</f>
        <v/>
      </c>
      <c r="Y330" s="30">
        <f>IF($I330="","",COUNTIF($I330:$X330,"?*"))</f>
        <v/>
      </c>
      <c r="Z330" s="33">
        <f>IF($I330="","",_xlfn.TEXTJOIN(", ",TRUE,$I330:$X330))</f>
        <v/>
      </c>
      <c r="AA330" s="34">
        <f>IF($I330="","",IFERROR(INDEX(코드설정!$D$5:$D$24,MATCH($I330,코드설정!$C$5:$C$24,0)),""))</f>
        <v/>
      </c>
      <c r="AB330" s="36" t="n"/>
      <c r="AC330" s="37" t="n"/>
      <c r="AD330" s="38" t="n"/>
      <c r="AE330" s="30">
        <f>IF(OR($B330="",$C330=""),"",$C330-$B330+1)</f>
        <v/>
      </c>
      <c r="AF330" s="32" t="n"/>
      <c r="AG330" s="36" t="n"/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3">
        <f>IF($F331="","",IFERROR(INDEX(사건마스터!$B$5:$B$64,MATCH($F331,사건마스터!$A$5:$A$64,0)),""))</f>
        <v/>
      </c>
      <c r="H331" s="34">
        <f>IF($F331="","",IFERROR(INDEX(사건마스터!$C$5:$C$64,MATCH($F331,사건마스터!$A$5:$A$64,0)),""))</f>
        <v/>
      </c>
      <c r="I331" s="35">
        <f>IF($F331="","",IFERROR(INDEX(사건마스터!$H$5:$H$64,MATCH($F331,사건마스터!$A$5:$A$64,0)),""))</f>
        <v/>
      </c>
      <c r="J331" s="35">
        <f>IF($F331="","",IFERROR(INDEX(사건마스터!$AH$5:$AH$64,MATCH($F331,사건마스터!$A$5:$A$64,0)),""))</f>
        <v/>
      </c>
      <c r="K331" s="35">
        <f>IF($F331="","",IFERROR(INDEX(사건마스터!$AI$5:$AI$64,MATCH($F331,사건마스터!$A$5:$A$64,0)),""))</f>
        <v/>
      </c>
      <c r="L331" s="35">
        <f>IF($F331="","",IFERROR(INDEX(사건마스터!$AJ$5:$AJ$64,MATCH($F331,사건마스터!$A$5:$A$64,0)),""))</f>
        <v/>
      </c>
      <c r="M331" s="35">
        <f>IF($F331="","",IFERROR(INDEX(사건마스터!$AK$5:$AK$64,MATCH($F331,사건마스터!$A$5:$A$64,0)),""))</f>
        <v/>
      </c>
      <c r="N331" s="35">
        <f>IF($F331="","",IFERROR(INDEX(사건마스터!$AL$5:$AL$64,MATCH($F331,사건마스터!$A$5:$A$64,0)),""))</f>
        <v/>
      </c>
      <c r="O331" s="35">
        <f>IF($F331="","",IFERROR(INDEX(사건마스터!$AM$5:$AM$64,MATCH($F331,사건마스터!$A$5:$A$64,0)),""))</f>
        <v/>
      </c>
      <c r="P331" s="35">
        <f>IF($F331="","",IFERROR(INDEX(사건마스터!$AN$5:$AN$64,MATCH($F331,사건마스터!$A$5:$A$64,0)),""))</f>
        <v/>
      </c>
      <c r="Q331" s="35">
        <f>IF($F331="","",IFERROR(INDEX(사건마스터!$AO$5:$AO$64,MATCH($F331,사건마스터!$A$5:$A$64,0)),""))</f>
        <v/>
      </c>
      <c r="R331" s="35">
        <f>IF($F331="","",IFERROR(INDEX(사건마스터!$AP$5:$AP$64,MATCH($F331,사건마스터!$A$5:$A$64,0)),""))</f>
        <v/>
      </c>
      <c r="S331" s="35">
        <f>IF($F331="","",IFERROR(INDEX(사건마스터!$AQ$5:$AQ$64,MATCH($F331,사건마스터!$A$5:$A$64,0)),""))</f>
        <v/>
      </c>
      <c r="T331" s="35">
        <f>IF($F331="","",IFERROR(INDEX(사건마스터!$AR$5:$AR$64,MATCH($F331,사건마스터!$A$5:$A$64,0)),""))</f>
        <v/>
      </c>
      <c r="U331" s="35">
        <f>IF($F331="","",IFERROR(INDEX(사건마스터!$AS$5:$AS$64,MATCH($F331,사건마스터!$A$5:$A$64,0)),""))</f>
        <v/>
      </c>
      <c r="V331" s="35">
        <f>IF($F331="","",IFERROR(INDEX(사건마스터!$AT$5:$AT$64,MATCH($F331,사건마스터!$A$5:$A$64,0)),""))</f>
        <v/>
      </c>
      <c r="W331" s="35">
        <f>IF($F331="","",IFERROR(INDEX(사건마스터!$AU$5:$AU$64,MATCH($F331,사건마스터!$A$5:$A$64,0)),""))</f>
        <v/>
      </c>
      <c r="X331" s="35">
        <f>IF($F331="","",IFERROR(INDEX(사건마스터!$AV$5:$AV$64,MATCH($F331,사건마스터!$A$5:$A$64,0)),""))</f>
        <v/>
      </c>
      <c r="Y331" s="30">
        <f>IF($I331="","",COUNTIF($I331:$X331,"?*"))</f>
        <v/>
      </c>
      <c r="Z331" s="33">
        <f>IF($I331="","",_xlfn.TEXTJOIN(", ",TRUE,$I331:$X331))</f>
        <v/>
      </c>
      <c r="AA331" s="34">
        <f>IF($I331="","",IFERROR(INDEX(코드설정!$D$5:$D$24,MATCH($I331,코드설정!$C$5:$C$24,0)),""))</f>
        <v/>
      </c>
      <c r="AB331" s="36" t="n"/>
      <c r="AC331" s="37" t="n"/>
      <c r="AD331" s="38" t="n"/>
      <c r="AE331" s="30">
        <f>IF(OR($B331="",$C331=""),"",$C331-$B331+1)</f>
        <v/>
      </c>
      <c r="AF331" s="32" t="n"/>
      <c r="AG331" s="36" t="n"/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3">
        <f>IF($F332="","",IFERROR(INDEX(사건마스터!$B$5:$B$64,MATCH($F332,사건마스터!$A$5:$A$64,0)),""))</f>
        <v/>
      </c>
      <c r="H332" s="34">
        <f>IF($F332="","",IFERROR(INDEX(사건마스터!$C$5:$C$64,MATCH($F332,사건마스터!$A$5:$A$64,0)),""))</f>
        <v/>
      </c>
      <c r="I332" s="35">
        <f>IF($F332="","",IFERROR(INDEX(사건마스터!$H$5:$H$64,MATCH($F332,사건마스터!$A$5:$A$64,0)),""))</f>
        <v/>
      </c>
      <c r="J332" s="35">
        <f>IF($F332="","",IFERROR(INDEX(사건마스터!$AH$5:$AH$64,MATCH($F332,사건마스터!$A$5:$A$64,0)),""))</f>
        <v/>
      </c>
      <c r="K332" s="35">
        <f>IF($F332="","",IFERROR(INDEX(사건마스터!$AI$5:$AI$64,MATCH($F332,사건마스터!$A$5:$A$64,0)),""))</f>
        <v/>
      </c>
      <c r="L332" s="35">
        <f>IF($F332="","",IFERROR(INDEX(사건마스터!$AJ$5:$AJ$64,MATCH($F332,사건마스터!$A$5:$A$64,0)),""))</f>
        <v/>
      </c>
      <c r="M332" s="35">
        <f>IF($F332="","",IFERROR(INDEX(사건마스터!$AK$5:$AK$64,MATCH($F332,사건마스터!$A$5:$A$64,0)),""))</f>
        <v/>
      </c>
      <c r="N332" s="35">
        <f>IF($F332="","",IFERROR(INDEX(사건마스터!$AL$5:$AL$64,MATCH($F332,사건마스터!$A$5:$A$64,0)),""))</f>
        <v/>
      </c>
      <c r="O332" s="35">
        <f>IF($F332="","",IFERROR(INDEX(사건마스터!$AM$5:$AM$64,MATCH($F332,사건마스터!$A$5:$A$64,0)),""))</f>
        <v/>
      </c>
      <c r="P332" s="35">
        <f>IF($F332="","",IFERROR(INDEX(사건마스터!$AN$5:$AN$64,MATCH($F332,사건마스터!$A$5:$A$64,0)),""))</f>
        <v/>
      </c>
      <c r="Q332" s="35">
        <f>IF($F332="","",IFERROR(INDEX(사건마스터!$AO$5:$AO$64,MATCH($F332,사건마스터!$A$5:$A$64,0)),""))</f>
        <v/>
      </c>
      <c r="R332" s="35">
        <f>IF($F332="","",IFERROR(INDEX(사건마스터!$AP$5:$AP$64,MATCH($F332,사건마스터!$A$5:$A$64,0)),""))</f>
        <v/>
      </c>
      <c r="S332" s="35">
        <f>IF($F332="","",IFERROR(INDEX(사건마스터!$AQ$5:$AQ$64,MATCH($F332,사건마스터!$A$5:$A$64,0)),""))</f>
        <v/>
      </c>
      <c r="T332" s="35">
        <f>IF($F332="","",IFERROR(INDEX(사건마스터!$AR$5:$AR$64,MATCH($F332,사건마스터!$A$5:$A$64,0)),""))</f>
        <v/>
      </c>
      <c r="U332" s="35">
        <f>IF($F332="","",IFERROR(INDEX(사건마스터!$AS$5:$AS$64,MATCH($F332,사건마스터!$A$5:$A$64,0)),""))</f>
        <v/>
      </c>
      <c r="V332" s="35">
        <f>IF($F332="","",IFERROR(INDEX(사건마스터!$AT$5:$AT$64,MATCH($F332,사건마스터!$A$5:$A$64,0)),""))</f>
        <v/>
      </c>
      <c r="W332" s="35">
        <f>IF($F332="","",IFERROR(INDEX(사건마스터!$AU$5:$AU$64,MATCH($F332,사건마스터!$A$5:$A$64,0)),""))</f>
        <v/>
      </c>
      <c r="X332" s="35">
        <f>IF($F332="","",IFERROR(INDEX(사건마스터!$AV$5:$AV$64,MATCH($F332,사건마스터!$A$5:$A$64,0)),""))</f>
        <v/>
      </c>
      <c r="Y332" s="30">
        <f>IF($I332="","",COUNTIF($I332:$X332,"?*"))</f>
        <v/>
      </c>
      <c r="Z332" s="33">
        <f>IF($I332="","",_xlfn.TEXTJOIN(", ",TRUE,$I332:$X332))</f>
        <v/>
      </c>
      <c r="AA332" s="34">
        <f>IF($I332="","",IFERROR(INDEX(코드설정!$D$5:$D$24,MATCH($I332,코드설정!$C$5:$C$24,0)),""))</f>
        <v/>
      </c>
      <c r="AB332" s="36" t="n"/>
      <c r="AC332" s="37" t="n"/>
      <c r="AD332" s="38" t="n"/>
      <c r="AE332" s="30">
        <f>IF(OR($B332="",$C332=""),"",$C332-$B332+1)</f>
        <v/>
      </c>
      <c r="AF332" s="32" t="n"/>
      <c r="AG332" s="36" t="n"/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3">
        <f>IF($F333="","",IFERROR(INDEX(사건마스터!$B$5:$B$64,MATCH($F333,사건마스터!$A$5:$A$64,0)),""))</f>
        <v/>
      </c>
      <c r="H333" s="34">
        <f>IF($F333="","",IFERROR(INDEX(사건마스터!$C$5:$C$64,MATCH($F333,사건마스터!$A$5:$A$64,0)),""))</f>
        <v/>
      </c>
      <c r="I333" s="35">
        <f>IF($F333="","",IFERROR(INDEX(사건마스터!$H$5:$H$64,MATCH($F333,사건마스터!$A$5:$A$64,0)),""))</f>
        <v/>
      </c>
      <c r="J333" s="35">
        <f>IF($F333="","",IFERROR(INDEX(사건마스터!$AH$5:$AH$64,MATCH($F333,사건마스터!$A$5:$A$64,0)),""))</f>
        <v/>
      </c>
      <c r="K333" s="35">
        <f>IF($F333="","",IFERROR(INDEX(사건마스터!$AI$5:$AI$64,MATCH($F333,사건마스터!$A$5:$A$64,0)),""))</f>
        <v/>
      </c>
      <c r="L333" s="35">
        <f>IF($F333="","",IFERROR(INDEX(사건마스터!$AJ$5:$AJ$64,MATCH($F333,사건마스터!$A$5:$A$64,0)),""))</f>
        <v/>
      </c>
      <c r="M333" s="35">
        <f>IF($F333="","",IFERROR(INDEX(사건마스터!$AK$5:$AK$64,MATCH($F333,사건마스터!$A$5:$A$64,0)),""))</f>
        <v/>
      </c>
      <c r="N333" s="35">
        <f>IF($F333="","",IFERROR(INDEX(사건마스터!$AL$5:$AL$64,MATCH($F333,사건마스터!$A$5:$A$64,0)),""))</f>
        <v/>
      </c>
      <c r="O333" s="35">
        <f>IF($F333="","",IFERROR(INDEX(사건마스터!$AM$5:$AM$64,MATCH($F333,사건마스터!$A$5:$A$64,0)),""))</f>
        <v/>
      </c>
      <c r="P333" s="35">
        <f>IF($F333="","",IFERROR(INDEX(사건마스터!$AN$5:$AN$64,MATCH($F333,사건마스터!$A$5:$A$64,0)),""))</f>
        <v/>
      </c>
      <c r="Q333" s="35">
        <f>IF($F333="","",IFERROR(INDEX(사건마스터!$AO$5:$AO$64,MATCH($F333,사건마스터!$A$5:$A$64,0)),""))</f>
        <v/>
      </c>
      <c r="R333" s="35">
        <f>IF($F333="","",IFERROR(INDEX(사건마스터!$AP$5:$AP$64,MATCH($F333,사건마스터!$A$5:$A$64,0)),""))</f>
        <v/>
      </c>
      <c r="S333" s="35">
        <f>IF($F333="","",IFERROR(INDEX(사건마스터!$AQ$5:$AQ$64,MATCH($F333,사건마스터!$A$5:$A$64,0)),""))</f>
        <v/>
      </c>
      <c r="T333" s="35">
        <f>IF($F333="","",IFERROR(INDEX(사건마스터!$AR$5:$AR$64,MATCH($F333,사건마스터!$A$5:$A$64,0)),""))</f>
        <v/>
      </c>
      <c r="U333" s="35">
        <f>IF($F333="","",IFERROR(INDEX(사건마스터!$AS$5:$AS$64,MATCH($F333,사건마스터!$A$5:$A$64,0)),""))</f>
        <v/>
      </c>
      <c r="V333" s="35">
        <f>IF($F333="","",IFERROR(INDEX(사건마스터!$AT$5:$AT$64,MATCH($F333,사건마스터!$A$5:$A$64,0)),""))</f>
        <v/>
      </c>
      <c r="W333" s="35">
        <f>IF($F333="","",IFERROR(INDEX(사건마스터!$AU$5:$AU$64,MATCH($F333,사건마스터!$A$5:$A$64,0)),""))</f>
        <v/>
      </c>
      <c r="X333" s="35">
        <f>IF($F333="","",IFERROR(INDEX(사건마스터!$AV$5:$AV$64,MATCH($F333,사건마스터!$A$5:$A$64,0)),""))</f>
        <v/>
      </c>
      <c r="Y333" s="30">
        <f>IF($I333="","",COUNTIF($I333:$X333,"?*"))</f>
        <v/>
      </c>
      <c r="Z333" s="33">
        <f>IF($I333="","",_xlfn.TEXTJOIN(", ",TRUE,$I333:$X333))</f>
        <v/>
      </c>
      <c r="AA333" s="34">
        <f>IF($I333="","",IFERROR(INDEX(코드설정!$D$5:$D$24,MATCH($I333,코드설정!$C$5:$C$24,0)),""))</f>
        <v/>
      </c>
      <c r="AB333" s="36" t="n"/>
      <c r="AC333" s="37" t="n"/>
      <c r="AD333" s="38" t="n"/>
      <c r="AE333" s="30">
        <f>IF(OR($B333="",$C333=""),"",$C333-$B333+1)</f>
        <v/>
      </c>
      <c r="AF333" s="32" t="n"/>
      <c r="AG333" s="36" t="n"/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3">
        <f>IF($F334="","",IFERROR(INDEX(사건마스터!$B$5:$B$64,MATCH($F334,사건마스터!$A$5:$A$64,0)),""))</f>
        <v/>
      </c>
      <c r="H334" s="34">
        <f>IF($F334="","",IFERROR(INDEX(사건마스터!$C$5:$C$64,MATCH($F334,사건마스터!$A$5:$A$64,0)),""))</f>
        <v/>
      </c>
      <c r="I334" s="35">
        <f>IF($F334="","",IFERROR(INDEX(사건마스터!$H$5:$H$64,MATCH($F334,사건마스터!$A$5:$A$64,0)),""))</f>
        <v/>
      </c>
      <c r="J334" s="35">
        <f>IF($F334="","",IFERROR(INDEX(사건마스터!$AH$5:$AH$64,MATCH($F334,사건마스터!$A$5:$A$64,0)),""))</f>
        <v/>
      </c>
      <c r="K334" s="35">
        <f>IF($F334="","",IFERROR(INDEX(사건마스터!$AI$5:$AI$64,MATCH($F334,사건마스터!$A$5:$A$64,0)),""))</f>
        <v/>
      </c>
      <c r="L334" s="35">
        <f>IF($F334="","",IFERROR(INDEX(사건마스터!$AJ$5:$AJ$64,MATCH($F334,사건마스터!$A$5:$A$64,0)),""))</f>
        <v/>
      </c>
      <c r="M334" s="35">
        <f>IF($F334="","",IFERROR(INDEX(사건마스터!$AK$5:$AK$64,MATCH($F334,사건마스터!$A$5:$A$64,0)),""))</f>
        <v/>
      </c>
      <c r="N334" s="35">
        <f>IF($F334="","",IFERROR(INDEX(사건마스터!$AL$5:$AL$64,MATCH($F334,사건마스터!$A$5:$A$64,0)),""))</f>
        <v/>
      </c>
      <c r="O334" s="35">
        <f>IF($F334="","",IFERROR(INDEX(사건마스터!$AM$5:$AM$64,MATCH($F334,사건마스터!$A$5:$A$64,0)),""))</f>
        <v/>
      </c>
      <c r="P334" s="35">
        <f>IF($F334="","",IFERROR(INDEX(사건마스터!$AN$5:$AN$64,MATCH($F334,사건마스터!$A$5:$A$64,0)),""))</f>
        <v/>
      </c>
      <c r="Q334" s="35">
        <f>IF($F334="","",IFERROR(INDEX(사건마스터!$AO$5:$AO$64,MATCH($F334,사건마스터!$A$5:$A$64,0)),""))</f>
        <v/>
      </c>
      <c r="R334" s="35">
        <f>IF($F334="","",IFERROR(INDEX(사건마스터!$AP$5:$AP$64,MATCH($F334,사건마스터!$A$5:$A$64,0)),""))</f>
        <v/>
      </c>
      <c r="S334" s="35">
        <f>IF($F334="","",IFERROR(INDEX(사건마스터!$AQ$5:$AQ$64,MATCH($F334,사건마스터!$A$5:$A$64,0)),""))</f>
        <v/>
      </c>
      <c r="T334" s="35">
        <f>IF($F334="","",IFERROR(INDEX(사건마스터!$AR$5:$AR$64,MATCH($F334,사건마스터!$A$5:$A$64,0)),""))</f>
        <v/>
      </c>
      <c r="U334" s="35">
        <f>IF($F334="","",IFERROR(INDEX(사건마스터!$AS$5:$AS$64,MATCH($F334,사건마스터!$A$5:$A$64,0)),""))</f>
        <v/>
      </c>
      <c r="V334" s="35">
        <f>IF($F334="","",IFERROR(INDEX(사건마스터!$AT$5:$AT$64,MATCH($F334,사건마스터!$A$5:$A$64,0)),""))</f>
        <v/>
      </c>
      <c r="W334" s="35">
        <f>IF($F334="","",IFERROR(INDEX(사건마스터!$AU$5:$AU$64,MATCH($F334,사건마스터!$A$5:$A$64,0)),""))</f>
        <v/>
      </c>
      <c r="X334" s="35">
        <f>IF($F334="","",IFERROR(INDEX(사건마스터!$AV$5:$AV$64,MATCH($F334,사건마스터!$A$5:$A$64,0)),""))</f>
        <v/>
      </c>
      <c r="Y334" s="30">
        <f>IF($I334="","",COUNTIF($I334:$X334,"?*"))</f>
        <v/>
      </c>
      <c r="Z334" s="33">
        <f>IF($I334="","",_xlfn.TEXTJOIN(", ",TRUE,$I334:$X334))</f>
        <v/>
      </c>
      <c r="AA334" s="34">
        <f>IF($I334="","",IFERROR(INDEX(코드설정!$D$5:$D$24,MATCH($I334,코드설정!$C$5:$C$24,0)),""))</f>
        <v/>
      </c>
      <c r="AB334" s="36" t="n"/>
      <c r="AC334" s="37" t="n"/>
      <c r="AD334" s="38" t="n"/>
      <c r="AE334" s="30">
        <f>IF(OR($B334="",$C334=""),"",$C334-$B334+1)</f>
        <v/>
      </c>
      <c r="AF334" s="32" t="n"/>
      <c r="AG334" s="36" t="n"/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3">
        <f>IF($F335="","",IFERROR(INDEX(사건마스터!$B$5:$B$64,MATCH($F335,사건마스터!$A$5:$A$64,0)),""))</f>
        <v/>
      </c>
      <c r="H335" s="34">
        <f>IF($F335="","",IFERROR(INDEX(사건마스터!$C$5:$C$64,MATCH($F335,사건마스터!$A$5:$A$64,0)),""))</f>
        <v/>
      </c>
      <c r="I335" s="35">
        <f>IF($F335="","",IFERROR(INDEX(사건마스터!$H$5:$H$64,MATCH($F335,사건마스터!$A$5:$A$64,0)),""))</f>
        <v/>
      </c>
      <c r="J335" s="35">
        <f>IF($F335="","",IFERROR(INDEX(사건마스터!$AH$5:$AH$64,MATCH($F335,사건마스터!$A$5:$A$64,0)),""))</f>
        <v/>
      </c>
      <c r="K335" s="35">
        <f>IF($F335="","",IFERROR(INDEX(사건마스터!$AI$5:$AI$64,MATCH($F335,사건마스터!$A$5:$A$64,0)),""))</f>
        <v/>
      </c>
      <c r="L335" s="35">
        <f>IF($F335="","",IFERROR(INDEX(사건마스터!$AJ$5:$AJ$64,MATCH($F335,사건마스터!$A$5:$A$64,0)),""))</f>
        <v/>
      </c>
      <c r="M335" s="35">
        <f>IF($F335="","",IFERROR(INDEX(사건마스터!$AK$5:$AK$64,MATCH($F335,사건마스터!$A$5:$A$64,0)),""))</f>
        <v/>
      </c>
      <c r="N335" s="35">
        <f>IF($F335="","",IFERROR(INDEX(사건마스터!$AL$5:$AL$64,MATCH($F335,사건마스터!$A$5:$A$64,0)),""))</f>
        <v/>
      </c>
      <c r="O335" s="35">
        <f>IF($F335="","",IFERROR(INDEX(사건마스터!$AM$5:$AM$64,MATCH($F335,사건마스터!$A$5:$A$64,0)),""))</f>
        <v/>
      </c>
      <c r="P335" s="35">
        <f>IF($F335="","",IFERROR(INDEX(사건마스터!$AN$5:$AN$64,MATCH($F335,사건마스터!$A$5:$A$64,0)),""))</f>
        <v/>
      </c>
      <c r="Q335" s="35">
        <f>IF($F335="","",IFERROR(INDEX(사건마스터!$AO$5:$AO$64,MATCH($F335,사건마스터!$A$5:$A$64,0)),""))</f>
        <v/>
      </c>
      <c r="R335" s="35">
        <f>IF($F335="","",IFERROR(INDEX(사건마스터!$AP$5:$AP$64,MATCH($F335,사건마스터!$A$5:$A$64,0)),""))</f>
        <v/>
      </c>
      <c r="S335" s="35">
        <f>IF($F335="","",IFERROR(INDEX(사건마스터!$AQ$5:$AQ$64,MATCH($F335,사건마스터!$A$5:$A$64,0)),""))</f>
        <v/>
      </c>
      <c r="T335" s="35">
        <f>IF($F335="","",IFERROR(INDEX(사건마스터!$AR$5:$AR$64,MATCH($F335,사건마스터!$A$5:$A$64,0)),""))</f>
        <v/>
      </c>
      <c r="U335" s="35">
        <f>IF($F335="","",IFERROR(INDEX(사건마스터!$AS$5:$AS$64,MATCH($F335,사건마스터!$A$5:$A$64,0)),""))</f>
        <v/>
      </c>
      <c r="V335" s="35">
        <f>IF($F335="","",IFERROR(INDEX(사건마스터!$AT$5:$AT$64,MATCH($F335,사건마스터!$A$5:$A$64,0)),""))</f>
        <v/>
      </c>
      <c r="W335" s="35">
        <f>IF($F335="","",IFERROR(INDEX(사건마스터!$AU$5:$AU$64,MATCH($F335,사건마스터!$A$5:$A$64,0)),""))</f>
        <v/>
      </c>
      <c r="X335" s="35">
        <f>IF($F335="","",IFERROR(INDEX(사건마스터!$AV$5:$AV$64,MATCH($F335,사건마스터!$A$5:$A$64,0)),""))</f>
        <v/>
      </c>
      <c r="Y335" s="30">
        <f>IF($I335="","",COUNTIF($I335:$X335,"?*"))</f>
        <v/>
      </c>
      <c r="Z335" s="33">
        <f>IF($I335="","",_xlfn.TEXTJOIN(", ",TRUE,$I335:$X335))</f>
        <v/>
      </c>
      <c r="AA335" s="34">
        <f>IF($I335="","",IFERROR(INDEX(코드설정!$D$5:$D$24,MATCH($I335,코드설정!$C$5:$C$24,0)),""))</f>
        <v/>
      </c>
      <c r="AB335" s="36" t="n"/>
      <c r="AC335" s="37" t="n"/>
      <c r="AD335" s="38" t="n"/>
      <c r="AE335" s="30">
        <f>IF(OR($B335="",$C335=""),"",$C335-$B335+1)</f>
        <v/>
      </c>
      <c r="AF335" s="32" t="n"/>
      <c r="AG335" s="36" t="n"/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3">
        <f>IF($F336="","",IFERROR(INDEX(사건마스터!$B$5:$B$64,MATCH($F336,사건마스터!$A$5:$A$64,0)),""))</f>
        <v/>
      </c>
      <c r="H336" s="34">
        <f>IF($F336="","",IFERROR(INDEX(사건마스터!$C$5:$C$64,MATCH($F336,사건마스터!$A$5:$A$64,0)),""))</f>
        <v/>
      </c>
      <c r="I336" s="35">
        <f>IF($F336="","",IFERROR(INDEX(사건마스터!$H$5:$H$64,MATCH($F336,사건마스터!$A$5:$A$64,0)),""))</f>
        <v/>
      </c>
      <c r="J336" s="35">
        <f>IF($F336="","",IFERROR(INDEX(사건마스터!$AH$5:$AH$64,MATCH($F336,사건마스터!$A$5:$A$64,0)),""))</f>
        <v/>
      </c>
      <c r="K336" s="35">
        <f>IF($F336="","",IFERROR(INDEX(사건마스터!$AI$5:$AI$64,MATCH($F336,사건마스터!$A$5:$A$64,0)),""))</f>
        <v/>
      </c>
      <c r="L336" s="35">
        <f>IF($F336="","",IFERROR(INDEX(사건마스터!$AJ$5:$AJ$64,MATCH($F336,사건마스터!$A$5:$A$64,0)),""))</f>
        <v/>
      </c>
      <c r="M336" s="35">
        <f>IF($F336="","",IFERROR(INDEX(사건마스터!$AK$5:$AK$64,MATCH($F336,사건마스터!$A$5:$A$64,0)),""))</f>
        <v/>
      </c>
      <c r="N336" s="35">
        <f>IF($F336="","",IFERROR(INDEX(사건마스터!$AL$5:$AL$64,MATCH($F336,사건마스터!$A$5:$A$64,0)),""))</f>
        <v/>
      </c>
      <c r="O336" s="35">
        <f>IF($F336="","",IFERROR(INDEX(사건마스터!$AM$5:$AM$64,MATCH($F336,사건마스터!$A$5:$A$64,0)),""))</f>
        <v/>
      </c>
      <c r="P336" s="35">
        <f>IF($F336="","",IFERROR(INDEX(사건마스터!$AN$5:$AN$64,MATCH($F336,사건마스터!$A$5:$A$64,0)),""))</f>
        <v/>
      </c>
      <c r="Q336" s="35">
        <f>IF($F336="","",IFERROR(INDEX(사건마스터!$AO$5:$AO$64,MATCH($F336,사건마스터!$A$5:$A$64,0)),""))</f>
        <v/>
      </c>
      <c r="R336" s="35">
        <f>IF($F336="","",IFERROR(INDEX(사건마스터!$AP$5:$AP$64,MATCH($F336,사건마스터!$A$5:$A$64,0)),""))</f>
        <v/>
      </c>
      <c r="S336" s="35">
        <f>IF($F336="","",IFERROR(INDEX(사건마스터!$AQ$5:$AQ$64,MATCH($F336,사건마스터!$A$5:$A$64,0)),""))</f>
        <v/>
      </c>
      <c r="T336" s="35">
        <f>IF($F336="","",IFERROR(INDEX(사건마스터!$AR$5:$AR$64,MATCH($F336,사건마스터!$A$5:$A$64,0)),""))</f>
        <v/>
      </c>
      <c r="U336" s="35">
        <f>IF($F336="","",IFERROR(INDEX(사건마스터!$AS$5:$AS$64,MATCH($F336,사건마스터!$A$5:$A$64,0)),""))</f>
        <v/>
      </c>
      <c r="V336" s="35">
        <f>IF($F336="","",IFERROR(INDEX(사건마스터!$AT$5:$AT$64,MATCH($F336,사건마스터!$A$5:$A$64,0)),""))</f>
        <v/>
      </c>
      <c r="W336" s="35">
        <f>IF($F336="","",IFERROR(INDEX(사건마스터!$AU$5:$AU$64,MATCH($F336,사건마스터!$A$5:$A$64,0)),""))</f>
        <v/>
      </c>
      <c r="X336" s="35">
        <f>IF($F336="","",IFERROR(INDEX(사건마스터!$AV$5:$AV$64,MATCH($F336,사건마스터!$A$5:$A$64,0)),""))</f>
        <v/>
      </c>
      <c r="Y336" s="30">
        <f>IF($I336="","",COUNTIF($I336:$X336,"?*"))</f>
        <v/>
      </c>
      <c r="Z336" s="33">
        <f>IF($I336="","",_xlfn.TEXTJOIN(", ",TRUE,$I336:$X336))</f>
        <v/>
      </c>
      <c r="AA336" s="34">
        <f>IF($I336="","",IFERROR(INDEX(코드설정!$D$5:$D$24,MATCH($I336,코드설정!$C$5:$C$24,0)),""))</f>
        <v/>
      </c>
      <c r="AB336" s="36" t="n"/>
      <c r="AC336" s="37" t="n"/>
      <c r="AD336" s="38" t="n"/>
      <c r="AE336" s="30">
        <f>IF(OR($B336="",$C336=""),"",$C336-$B336+1)</f>
        <v/>
      </c>
      <c r="AF336" s="32" t="n"/>
      <c r="AG336" s="36" t="n"/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3">
        <f>IF($F337="","",IFERROR(INDEX(사건마스터!$B$5:$B$64,MATCH($F337,사건마스터!$A$5:$A$64,0)),""))</f>
        <v/>
      </c>
      <c r="H337" s="34">
        <f>IF($F337="","",IFERROR(INDEX(사건마스터!$C$5:$C$64,MATCH($F337,사건마스터!$A$5:$A$64,0)),""))</f>
        <v/>
      </c>
      <c r="I337" s="35">
        <f>IF($F337="","",IFERROR(INDEX(사건마스터!$H$5:$H$64,MATCH($F337,사건마스터!$A$5:$A$64,0)),""))</f>
        <v/>
      </c>
      <c r="J337" s="35">
        <f>IF($F337="","",IFERROR(INDEX(사건마스터!$AH$5:$AH$64,MATCH($F337,사건마스터!$A$5:$A$64,0)),""))</f>
        <v/>
      </c>
      <c r="K337" s="35">
        <f>IF($F337="","",IFERROR(INDEX(사건마스터!$AI$5:$AI$64,MATCH($F337,사건마스터!$A$5:$A$64,0)),""))</f>
        <v/>
      </c>
      <c r="L337" s="35">
        <f>IF($F337="","",IFERROR(INDEX(사건마스터!$AJ$5:$AJ$64,MATCH($F337,사건마스터!$A$5:$A$64,0)),""))</f>
        <v/>
      </c>
      <c r="M337" s="35">
        <f>IF($F337="","",IFERROR(INDEX(사건마스터!$AK$5:$AK$64,MATCH($F337,사건마스터!$A$5:$A$64,0)),""))</f>
        <v/>
      </c>
      <c r="N337" s="35">
        <f>IF($F337="","",IFERROR(INDEX(사건마스터!$AL$5:$AL$64,MATCH($F337,사건마스터!$A$5:$A$64,0)),""))</f>
        <v/>
      </c>
      <c r="O337" s="35">
        <f>IF($F337="","",IFERROR(INDEX(사건마스터!$AM$5:$AM$64,MATCH($F337,사건마스터!$A$5:$A$64,0)),""))</f>
        <v/>
      </c>
      <c r="P337" s="35">
        <f>IF($F337="","",IFERROR(INDEX(사건마스터!$AN$5:$AN$64,MATCH($F337,사건마스터!$A$5:$A$64,0)),""))</f>
        <v/>
      </c>
      <c r="Q337" s="35">
        <f>IF($F337="","",IFERROR(INDEX(사건마스터!$AO$5:$AO$64,MATCH($F337,사건마스터!$A$5:$A$64,0)),""))</f>
        <v/>
      </c>
      <c r="R337" s="35">
        <f>IF($F337="","",IFERROR(INDEX(사건마스터!$AP$5:$AP$64,MATCH($F337,사건마스터!$A$5:$A$64,0)),""))</f>
        <v/>
      </c>
      <c r="S337" s="35">
        <f>IF($F337="","",IFERROR(INDEX(사건마스터!$AQ$5:$AQ$64,MATCH($F337,사건마스터!$A$5:$A$64,0)),""))</f>
        <v/>
      </c>
      <c r="T337" s="35">
        <f>IF($F337="","",IFERROR(INDEX(사건마스터!$AR$5:$AR$64,MATCH($F337,사건마스터!$A$5:$A$64,0)),""))</f>
        <v/>
      </c>
      <c r="U337" s="35">
        <f>IF($F337="","",IFERROR(INDEX(사건마스터!$AS$5:$AS$64,MATCH($F337,사건마스터!$A$5:$A$64,0)),""))</f>
        <v/>
      </c>
      <c r="V337" s="35">
        <f>IF($F337="","",IFERROR(INDEX(사건마스터!$AT$5:$AT$64,MATCH($F337,사건마스터!$A$5:$A$64,0)),""))</f>
        <v/>
      </c>
      <c r="W337" s="35">
        <f>IF($F337="","",IFERROR(INDEX(사건마스터!$AU$5:$AU$64,MATCH($F337,사건마스터!$A$5:$A$64,0)),""))</f>
        <v/>
      </c>
      <c r="X337" s="35">
        <f>IF($F337="","",IFERROR(INDEX(사건마스터!$AV$5:$AV$64,MATCH($F337,사건마스터!$A$5:$A$64,0)),""))</f>
        <v/>
      </c>
      <c r="Y337" s="30">
        <f>IF($I337="","",COUNTIF($I337:$X337,"?*"))</f>
        <v/>
      </c>
      <c r="Z337" s="33">
        <f>IF($I337="","",_xlfn.TEXTJOIN(", ",TRUE,$I337:$X337))</f>
        <v/>
      </c>
      <c r="AA337" s="34">
        <f>IF($I337="","",IFERROR(INDEX(코드설정!$D$5:$D$24,MATCH($I337,코드설정!$C$5:$C$24,0)),""))</f>
        <v/>
      </c>
      <c r="AB337" s="36" t="n"/>
      <c r="AC337" s="37" t="n"/>
      <c r="AD337" s="38" t="n"/>
      <c r="AE337" s="30">
        <f>IF(OR($B337="",$C337=""),"",$C337-$B337+1)</f>
        <v/>
      </c>
      <c r="AF337" s="32" t="n"/>
      <c r="AG337" s="36" t="n"/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3">
        <f>IF($F338="","",IFERROR(INDEX(사건마스터!$B$5:$B$64,MATCH($F338,사건마스터!$A$5:$A$64,0)),""))</f>
        <v/>
      </c>
      <c r="H338" s="34">
        <f>IF($F338="","",IFERROR(INDEX(사건마스터!$C$5:$C$64,MATCH($F338,사건마스터!$A$5:$A$64,0)),""))</f>
        <v/>
      </c>
      <c r="I338" s="35">
        <f>IF($F338="","",IFERROR(INDEX(사건마스터!$H$5:$H$64,MATCH($F338,사건마스터!$A$5:$A$64,0)),""))</f>
        <v/>
      </c>
      <c r="J338" s="35">
        <f>IF($F338="","",IFERROR(INDEX(사건마스터!$AH$5:$AH$64,MATCH($F338,사건마스터!$A$5:$A$64,0)),""))</f>
        <v/>
      </c>
      <c r="K338" s="35">
        <f>IF($F338="","",IFERROR(INDEX(사건마스터!$AI$5:$AI$64,MATCH($F338,사건마스터!$A$5:$A$64,0)),""))</f>
        <v/>
      </c>
      <c r="L338" s="35">
        <f>IF($F338="","",IFERROR(INDEX(사건마스터!$AJ$5:$AJ$64,MATCH($F338,사건마스터!$A$5:$A$64,0)),""))</f>
        <v/>
      </c>
      <c r="M338" s="35">
        <f>IF($F338="","",IFERROR(INDEX(사건마스터!$AK$5:$AK$64,MATCH($F338,사건마스터!$A$5:$A$64,0)),""))</f>
        <v/>
      </c>
      <c r="N338" s="35">
        <f>IF($F338="","",IFERROR(INDEX(사건마스터!$AL$5:$AL$64,MATCH($F338,사건마스터!$A$5:$A$64,0)),""))</f>
        <v/>
      </c>
      <c r="O338" s="35">
        <f>IF($F338="","",IFERROR(INDEX(사건마스터!$AM$5:$AM$64,MATCH($F338,사건마스터!$A$5:$A$64,0)),""))</f>
        <v/>
      </c>
      <c r="P338" s="35">
        <f>IF($F338="","",IFERROR(INDEX(사건마스터!$AN$5:$AN$64,MATCH($F338,사건마스터!$A$5:$A$64,0)),""))</f>
        <v/>
      </c>
      <c r="Q338" s="35">
        <f>IF($F338="","",IFERROR(INDEX(사건마스터!$AO$5:$AO$64,MATCH($F338,사건마스터!$A$5:$A$64,0)),""))</f>
        <v/>
      </c>
      <c r="R338" s="35">
        <f>IF($F338="","",IFERROR(INDEX(사건마스터!$AP$5:$AP$64,MATCH($F338,사건마스터!$A$5:$A$64,0)),""))</f>
        <v/>
      </c>
      <c r="S338" s="35">
        <f>IF($F338="","",IFERROR(INDEX(사건마스터!$AQ$5:$AQ$64,MATCH($F338,사건마스터!$A$5:$A$64,0)),""))</f>
        <v/>
      </c>
      <c r="T338" s="35">
        <f>IF($F338="","",IFERROR(INDEX(사건마스터!$AR$5:$AR$64,MATCH($F338,사건마스터!$A$5:$A$64,0)),""))</f>
        <v/>
      </c>
      <c r="U338" s="35">
        <f>IF($F338="","",IFERROR(INDEX(사건마스터!$AS$5:$AS$64,MATCH($F338,사건마스터!$A$5:$A$64,0)),""))</f>
        <v/>
      </c>
      <c r="V338" s="35">
        <f>IF($F338="","",IFERROR(INDEX(사건마스터!$AT$5:$AT$64,MATCH($F338,사건마스터!$A$5:$A$64,0)),""))</f>
        <v/>
      </c>
      <c r="W338" s="35">
        <f>IF($F338="","",IFERROR(INDEX(사건마스터!$AU$5:$AU$64,MATCH($F338,사건마스터!$A$5:$A$64,0)),""))</f>
        <v/>
      </c>
      <c r="X338" s="35">
        <f>IF($F338="","",IFERROR(INDEX(사건마스터!$AV$5:$AV$64,MATCH($F338,사건마스터!$A$5:$A$64,0)),""))</f>
        <v/>
      </c>
      <c r="Y338" s="30">
        <f>IF($I338="","",COUNTIF($I338:$X338,"?*"))</f>
        <v/>
      </c>
      <c r="Z338" s="33">
        <f>IF($I338="","",_xlfn.TEXTJOIN(", ",TRUE,$I338:$X338))</f>
        <v/>
      </c>
      <c r="AA338" s="34">
        <f>IF($I338="","",IFERROR(INDEX(코드설정!$D$5:$D$24,MATCH($I338,코드설정!$C$5:$C$24,0)),""))</f>
        <v/>
      </c>
      <c r="AB338" s="36" t="n"/>
      <c r="AC338" s="37" t="n"/>
      <c r="AD338" s="38" t="n"/>
      <c r="AE338" s="30">
        <f>IF(OR($B338="",$C338=""),"",$C338-$B338+1)</f>
        <v/>
      </c>
      <c r="AF338" s="32" t="n"/>
      <c r="AG338" s="36" t="n"/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3">
        <f>IF($F339="","",IFERROR(INDEX(사건마스터!$B$5:$B$64,MATCH($F339,사건마스터!$A$5:$A$64,0)),""))</f>
        <v/>
      </c>
      <c r="H339" s="34">
        <f>IF($F339="","",IFERROR(INDEX(사건마스터!$C$5:$C$64,MATCH($F339,사건마스터!$A$5:$A$64,0)),""))</f>
        <v/>
      </c>
      <c r="I339" s="35">
        <f>IF($F339="","",IFERROR(INDEX(사건마스터!$H$5:$H$64,MATCH($F339,사건마스터!$A$5:$A$64,0)),""))</f>
        <v/>
      </c>
      <c r="J339" s="35">
        <f>IF($F339="","",IFERROR(INDEX(사건마스터!$AH$5:$AH$64,MATCH($F339,사건마스터!$A$5:$A$64,0)),""))</f>
        <v/>
      </c>
      <c r="K339" s="35">
        <f>IF($F339="","",IFERROR(INDEX(사건마스터!$AI$5:$AI$64,MATCH($F339,사건마스터!$A$5:$A$64,0)),""))</f>
        <v/>
      </c>
      <c r="L339" s="35">
        <f>IF($F339="","",IFERROR(INDEX(사건마스터!$AJ$5:$AJ$64,MATCH($F339,사건마스터!$A$5:$A$64,0)),""))</f>
        <v/>
      </c>
      <c r="M339" s="35">
        <f>IF($F339="","",IFERROR(INDEX(사건마스터!$AK$5:$AK$64,MATCH($F339,사건마스터!$A$5:$A$64,0)),""))</f>
        <v/>
      </c>
      <c r="N339" s="35">
        <f>IF($F339="","",IFERROR(INDEX(사건마스터!$AL$5:$AL$64,MATCH($F339,사건마스터!$A$5:$A$64,0)),""))</f>
        <v/>
      </c>
      <c r="O339" s="35">
        <f>IF($F339="","",IFERROR(INDEX(사건마스터!$AM$5:$AM$64,MATCH($F339,사건마스터!$A$5:$A$64,0)),""))</f>
        <v/>
      </c>
      <c r="P339" s="35">
        <f>IF($F339="","",IFERROR(INDEX(사건마스터!$AN$5:$AN$64,MATCH($F339,사건마스터!$A$5:$A$64,0)),""))</f>
        <v/>
      </c>
      <c r="Q339" s="35">
        <f>IF($F339="","",IFERROR(INDEX(사건마스터!$AO$5:$AO$64,MATCH($F339,사건마스터!$A$5:$A$64,0)),""))</f>
        <v/>
      </c>
      <c r="R339" s="35">
        <f>IF($F339="","",IFERROR(INDEX(사건마스터!$AP$5:$AP$64,MATCH($F339,사건마스터!$A$5:$A$64,0)),""))</f>
        <v/>
      </c>
      <c r="S339" s="35">
        <f>IF($F339="","",IFERROR(INDEX(사건마스터!$AQ$5:$AQ$64,MATCH($F339,사건마스터!$A$5:$A$64,0)),""))</f>
        <v/>
      </c>
      <c r="T339" s="35">
        <f>IF($F339="","",IFERROR(INDEX(사건마스터!$AR$5:$AR$64,MATCH($F339,사건마스터!$A$5:$A$64,0)),""))</f>
        <v/>
      </c>
      <c r="U339" s="35">
        <f>IF($F339="","",IFERROR(INDEX(사건마스터!$AS$5:$AS$64,MATCH($F339,사건마스터!$A$5:$A$64,0)),""))</f>
        <v/>
      </c>
      <c r="V339" s="35">
        <f>IF($F339="","",IFERROR(INDEX(사건마스터!$AT$5:$AT$64,MATCH($F339,사건마스터!$A$5:$A$64,0)),""))</f>
        <v/>
      </c>
      <c r="W339" s="35">
        <f>IF($F339="","",IFERROR(INDEX(사건마스터!$AU$5:$AU$64,MATCH($F339,사건마스터!$A$5:$A$64,0)),""))</f>
        <v/>
      </c>
      <c r="X339" s="35">
        <f>IF($F339="","",IFERROR(INDEX(사건마스터!$AV$5:$AV$64,MATCH($F339,사건마스터!$A$5:$A$64,0)),""))</f>
        <v/>
      </c>
      <c r="Y339" s="30">
        <f>IF($I339="","",COUNTIF($I339:$X339,"?*"))</f>
        <v/>
      </c>
      <c r="Z339" s="33">
        <f>IF($I339="","",_xlfn.TEXTJOIN(", ",TRUE,$I339:$X339))</f>
        <v/>
      </c>
      <c r="AA339" s="34">
        <f>IF($I339="","",IFERROR(INDEX(코드설정!$D$5:$D$24,MATCH($I339,코드설정!$C$5:$C$24,0)),""))</f>
        <v/>
      </c>
      <c r="AB339" s="36" t="n"/>
      <c r="AC339" s="37" t="n"/>
      <c r="AD339" s="38" t="n"/>
      <c r="AE339" s="30">
        <f>IF(OR($B339="",$C339=""),"",$C339-$B339+1)</f>
        <v/>
      </c>
      <c r="AF339" s="32" t="n"/>
      <c r="AG339" s="36" t="n"/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3">
        <f>IF($F340="","",IFERROR(INDEX(사건마스터!$B$5:$B$64,MATCH($F340,사건마스터!$A$5:$A$64,0)),""))</f>
        <v/>
      </c>
      <c r="H340" s="34">
        <f>IF($F340="","",IFERROR(INDEX(사건마스터!$C$5:$C$64,MATCH($F340,사건마스터!$A$5:$A$64,0)),""))</f>
        <v/>
      </c>
      <c r="I340" s="35">
        <f>IF($F340="","",IFERROR(INDEX(사건마스터!$H$5:$H$64,MATCH($F340,사건마스터!$A$5:$A$64,0)),""))</f>
        <v/>
      </c>
      <c r="J340" s="35">
        <f>IF($F340="","",IFERROR(INDEX(사건마스터!$AH$5:$AH$64,MATCH($F340,사건마스터!$A$5:$A$64,0)),""))</f>
        <v/>
      </c>
      <c r="K340" s="35">
        <f>IF($F340="","",IFERROR(INDEX(사건마스터!$AI$5:$AI$64,MATCH($F340,사건마스터!$A$5:$A$64,0)),""))</f>
        <v/>
      </c>
      <c r="L340" s="35">
        <f>IF($F340="","",IFERROR(INDEX(사건마스터!$AJ$5:$AJ$64,MATCH($F340,사건마스터!$A$5:$A$64,0)),""))</f>
        <v/>
      </c>
      <c r="M340" s="35">
        <f>IF($F340="","",IFERROR(INDEX(사건마스터!$AK$5:$AK$64,MATCH($F340,사건마스터!$A$5:$A$64,0)),""))</f>
        <v/>
      </c>
      <c r="N340" s="35">
        <f>IF($F340="","",IFERROR(INDEX(사건마스터!$AL$5:$AL$64,MATCH($F340,사건마스터!$A$5:$A$64,0)),""))</f>
        <v/>
      </c>
      <c r="O340" s="35">
        <f>IF($F340="","",IFERROR(INDEX(사건마스터!$AM$5:$AM$64,MATCH($F340,사건마스터!$A$5:$A$64,0)),""))</f>
        <v/>
      </c>
      <c r="P340" s="35">
        <f>IF($F340="","",IFERROR(INDEX(사건마스터!$AN$5:$AN$64,MATCH($F340,사건마스터!$A$5:$A$64,0)),""))</f>
        <v/>
      </c>
      <c r="Q340" s="35">
        <f>IF($F340="","",IFERROR(INDEX(사건마스터!$AO$5:$AO$64,MATCH($F340,사건마스터!$A$5:$A$64,0)),""))</f>
        <v/>
      </c>
      <c r="R340" s="35">
        <f>IF($F340="","",IFERROR(INDEX(사건마스터!$AP$5:$AP$64,MATCH($F340,사건마스터!$A$5:$A$64,0)),""))</f>
        <v/>
      </c>
      <c r="S340" s="35">
        <f>IF($F340="","",IFERROR(INDEX(사건마스터!$AQ$5:$AQ$64,MATCH($F340,사건마스터!$A$5:$A$64,0)),""))</f>
        <v/>
      </c>
      <c r="T340" s="35">
        <f>IF($F340="","",IFERROR(INDEX(사건마스터!$AR$5:$AR$64,MATCH($F340,사건마스터!$A$5:$A$64,0)),""))</f>
        <v/>
      </c>
      <c r="U340" s="35">
        <f>IF($F340="","",IFERROR(INDEX(사건마스터!$AS$5:$AS$64,MATCH($F340,사건마스터!$A$5:$A$64,0)),""))</f>
        <v/>
      </c>
      <c r="V340" s="35">
        <f>IF($F340="","",IFERROR(INDEX(사건마스터!$AT$5:$AT$64,MATCH($F340,사건마스터!$A$5:$A$64,0)),""))</f>
        <v/>
      </c>
      <c r="W340" s="35">
        <f>IF($F340="","",IFERROR(INDEX(사건마스터!$AU$5:$AU$64,MATCH($F340,사건마스터!$A$5:$A$64,0)),""))</f>
        <v/>
      </c>
      <c r="X340" s="35">
        <f>IF($F340="","",IFERROR(INDEX(사건마스터!$AV$5:$AV$64,MATCH($F340,사건마스터!$A$5:$A$64,0)),""))</f>
        <v/>
      </c>
      <c r="Y340" s="30">
        <f>IF($I340="","",COUNTIF($I340:$X340,"?*"))</f>
        <v/>
      </c>
      <c r="Z340" s="33">
        <f>IF($I340="","",_xlfn.TEXTJOIN(", ",TRUE,$I340:$X340))</f>
        <v/>
      </c>
      <c r="AA340" s="34">
        <f>IF($I340="","",IFERROR(INDEX(코드설정!$D$5:$D$24,MATCH($I340,코드설정!$C$5:$C$24,0)),""))</f>
        <v/>
      </c>
      <c r="AB340" s="36" t="n"/>
      <c r="AC340" s="37" t="n"/>
      <c r="AD340" s="38" t="n"/>
      <c r="AE340" s="30">
        <f>IF(OR($B340="",$C340=""),"",$C340-$B340+1)</f>
        <v/>
      </c>
      <c r="AF340" s="32" t="n"/>
      <c r="AG340" s="36" t="n"/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3">
        <f>IF($F341="","",IFERROR(INDEX(사건마스터!$B$5:$B$64,MATCH($F341,사건마스터!$A$5:$A$64,0)),""))</f>
        <v/>
      </c>
      <c r="H341" s="34">
        <f>IF($F341="","",IFERROR(INDEX(사건마스터!$C$5:$C$64,MATCH($F341,사건마스터!$A$5:$A$64,0)),""))</f>
        <v/>
      </c>
      <c r="I341" s="35">
        <f>IF($F341="","",IFERROR(INDEX(사건마스터!$H$5:$H$64,MATCH($F341,사건마스터!$A$5:$A$64,0)),""))</f>
        <v/>
      </c>
      <c r="J341" s="35">
        <f>IF($F341="","",IFERROR(INDEX(사건마스터!$AH$5:$AH$64,MATCH($F341,사건마스터!$A$5:$A$64,0)),""))</f>
        <v/>
      </c>
      <c r="K341" s="35">
        <f>IF($F341="","",IFERROR(INDEX(사건마스터!$AI$5:$AI$64,MATCH($F341,사건마스터!$A$5:$A$64,0)),""))</f>
        <v/>
      </c>
      <c r="L341" s="35">
        <f>IF($F341="","",IFERROR(INDEX(사건마스터!$AJ$5:$AJ$64,MATCH($F341,사건마스터!$A$5:$A$64,0)),""))</f>
        <v/>
      </c>
      <c r="M341" s="35">
        <f>IF($F341="","",IFERROR(INDEX(사건마스터!$AK$5:$AK$64,MATCH($F341,사건마스터!$A$5:$A$64,0)),""))</f>
        <v/>
      </c>
      <c r="N341" s="35">
        <f>IF($F341="","",IFERROR(INDEX(사건마스터!$AL$5:$AL$64,MATCH($F341,사건마스터!$A$5:$A$64,0)),""))</f>
        <v/>
      </c>
      <c r="O341" s="35">
        <f>IF($F341="","",IFERROR(INDEX(사건마스터!$AM$5:$AM$64,MATCH($F341,사건마스터!$A$5:$A$64,0)),""))</f>
        <v/>
      </c>
      <c r="P341" s="35">
        <f>IF($F341="","",IFERROR(INDEX(사건마스터!$AN$5:$AN$64,MATCH($F341,사건마스터!$A$5:$A$64,0)),""))</f>
        <v/>
      </c>
      <c r="Q341" s="35">
        <f>IF($F341="","",IFERROR(INDEX(사건마스터!$AO$5:$AO$64,MATCH($F341,사건마스터!$A$5:$A$64,0)),""))</f>
        <v/>
      </c>
      <c r="R341" s="35">
        <f>IF($F341="","",IFERROR(INDEX(사건마스터!$AP$5:$AP$64,MATCH($F341,사건마스터!$A$5:$A$64,0)),""))</f>
        <v/>
      </c>
      <c r="S341" s="35">
        <f>IF($F341="","",IFERROR(INDEX(사건마스터!$AQ$5:$AQ$64,MATCH($F341,사건마스터!$A$5:$A$64,0)),""))</f>
        <v/>
      </c>
      <c r="T341" s="35">
        <f>IF($F341="","",IFERROR(INDEX(사건마스터!$AR$5:$AR$64,MATCH($F341,사건마스터!$A$5:$A$64,0)),""))</f>
        <v/>
      </c>
      <c r="U341" s="35">
        <f>IF($F341="","",IFERROR(INDEX(사건마스터!$AS$5:$AS$64,MATCH($F341,사건마스터!$A$5:$A$64,0)),""))</f>
        <v/>
      </c>
      <c r="V341" s="35">
        <f>IF($F341="","",IFERROR(INDEX(사건마스터!$AT$5:$AT$64,MATCH($F341,사건마스터!$A$5:$A$64,0)),""))</f>
        <v/>
      </c>
      <c r="W341" s="35">
        <f>IF($F341="","",IFERROR(INDEX(사건마스터!$AU$5:$AU$64,MATCH($F341,사건마스터!$A$5:$A$64,0)),""))</f>
        <v/>
      </c>
      <c r="X341" s="35">
        <f>IF($F341="","",IFERROR(INDEX(사건마스터!$AV$5:$AV$64,MATCH($F341,사건마스터!$A$5:$A$64,0)),""))</f>
        <v/>
      </c>
      <c r="Y341" s="30">
        <f>IF($I341="","",COUNTIF($I341:$X341,"?*"))</f>
        <v/>
      </c>
      <c r="Z341" s="33">
        <f>IF($I341="","",_xlfn.TEXTJOIN(", ",TRUE,$I341:$X341))</f>
        <v/>
      </c>
      <c r="AA341" s="34">
        <f>IF($I341="","",IFERROR(INDEX(코드설정!$D$5:$D$24,MATCH($I341,코드설정!$C$5:$C$24,0)),""))</f>
        <v/>
      </c>
      <c r="AB341" s="36" t="n"/>
      <c r="AC341" s="37" t="n"/>
      <c r="AD341" s="38" t="n"/>
      <c r="AE341" s="30">
        <f>IF(OR($B341="",$C341=""),"",$C341-$B341+1)</f>
        <v/>
      </c>
      <c r="AF341" s="32" t="n"/>
      <c r="AG341" s="36" t="n"/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3">
        <f>IF($F342="","",IFERROR(INDEX(사건마스터!$B$5:$B$64,MATCH($F342,사건마스터!$A$5:$A$64,0)),""))</f>
        <v/>
      </c>
      <c r="H342" s="34">
        <f>IF($F342="","",IFERROR(INDEX(사건마스터!$C$5:$C$64,MATCH($F342,사건마스터!$A$5:$A$64,0)),""))</f>
        <v/>
      </c>
      <c r="I342" s="35">
        <f>IF($F342="","",IFERROR(INDEX(사건마스터!$H$5:$H$64,MATCH($F342,사건마스터!$A$5:$A$64,0)),""))</f>
        <v/>
      </c>
      <c r="J342" s="35">
        <f>IF($F342="","",IFERROR(INDEX(사건마스터!$AH$5:$AH$64,MATCH($F342,사건마스터!$A$5:$A$64,0)),""))</f>
        <v/>
      </c>
      <c r="K342" s="35">
        <f>IF($F342="","",IFERROR(INDEX(사건마스터!$AI$5:$AI$64,MATCH($F342,사건마스터!$A$5:$A$64,0)),""))</f>
        <v/>
      </c>
      <c r="L342" s="35">
        <f>IF($F342="","",IFERROR(INDEX(사건마스터!$AJ$5:$AJ$64,MATCH($F342,사건마스터!$A$5:$A$64,0)),""))</f>
        <v/>
      </c>
      <c r="M342" s="35">
        <f>IF($F342="","",IFERROR(INDEX(사건마스터!$AK$5:$AK$64,MATCH($F342,사건마스터!$A$5:$A$64,0)),""))</f>
        <v/>
      </c>
      <c r="N342" s="35">
        <f>IF($F342="","",IFERROR(INDEX(사건마스터!$AL$5:$AL$64,MATCH($F342,사건마스터!$A$5:$A$64,0)),""))</f>
        <v/>
      </c>
      <c r="O342" s="35">
        <f>IF($F342="","",IFERROR(INDEX(사건마스터!$AM$5:$AM$64,MATCH($F342,사건마스터!$A$5:$A$64,0)),""))</f>
        <v/>
      </c>
      <c r="P342" s="35">
        <f>IF($F342="","",IFERROR(INDEX(사건마스터!$AN$5:$AN$64,MATCH($F342,사건마스터!$A$5:$A$64,0)),""))</f>
        <v/>
      </c>
      <c r="Q342" s="35">
        <f>IF($F342="","",IFERROR(INDEX(사건마스터!$AO$5:$AO$64,MATCH($F342,사건마스터!$A$5:$A$64,0)),""))</f>
        <v/>
      </c>
      <c r="R342" s="35">
        <f>IF($F342="","",IFERROR(INDEX(사건마스터!$AP$5:$AP$64,MATCH($F342,사건마스터!$A$5:$A$64,0)),""))</f>
        <v/>
      </c>
      <c r="S342" s="35">
        <f>IF($F342="","",IFERROR(INDEX(사건마스터!$AQ$5:$AQ$64,MATCH($F342,사건마스터!$A$5:$A$64,0)),""))</f>
        <v/>
      </c>
      <c r="T342" s="35">
        <f>IF($F342="","",IFERROR(INDEX(사건마스터!$AR$5:$AR$64,MATCH($F342,사건마스터!$A$5:$A$64,0)),""))</f>
        <v/>
      </c>
      <c r="U342" s="35">
        <f>IF($F342="","",IFERROR(INDEX(사건마스터!$AS$5:$AS$64,MATCH($F342,사건마스터!$A$5:$A$64,0)),""))</f>
        <v/>
      </c>
      <c r="V342" s="35">
        <f>IF($F342="","",IFERROR(INDEX(사건마스터!$AT$5:$AT$64,MATCH($F342,사건마스터!$A$5:$A$64,0)),""))</f>
        <v/>
      </c>
      <c r="W342" s="35">
        <f>IF($F342="","",IFERROR(INDEX(사건마스터!$AU$5:$AU$64,MATCH($F342,사건마스터!$A$5:$A$64,0)),""))</f>
        <v/>
      </c>
      <c r="X342" s="35">
        <f>IF($F342="","",IFERROR(INDEX(사건마스터!$AV$5:$AV$64,MATCH($F342,사건마스터!$A$5:$A$64,0)),""))</f>
        <v/>
      </c>
      <c r="Y342" s="30">
        <f>IF($I342="","",COUNTIF($I342:$X342,"?*"))</f>
        <v/>
      </c>
      <c r="Z342" s="33">
        <f>IF($I342="","",_xlfn.TEXTJOIN(", ",TRUE,$I342:$X342))</f>
        <v/>
      </c>
      <c r="AA342" s="34">
        <f>IF($I342="","",IFERROR(INDEX(코드설정!$D$5:$D$24,MATCH($I342,코드설정!$C$5:$C$24,0)),""))</f>
        <v/>
      </c>
      <c r="AB342" s="36" t="n"/>
      <c r="AC342" s="37" t="n"/>
      <c r="AD342" s="38" t="n"/>
      <c r="AE342" s="30">
        <f>IF(OR($B342="",$C342=""),"",$C342-$B342+1)</f>
        <v/>
      </c>
      <c r="AF342" s="32" t="n"/>
      <c r="AG342" s="36" t="n"/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3">
        <f>IF($F343="","",IFERROR(INDEX(사건마스터!$B$5:$B$64,MATCH($F343,사건마스터!$A$5:$A$64,0)),""))</f>
        <v/>
      </c>
      <c r="H343" s="34">
        <f>IF($F343="","",IFERROR(INDEX(사건마스터!$C$5:$C$64,MATCH($F343,사건마스터!$A$5:$A$64,0)),""))</f>
        <v/>
      </c>
      <c r="I343" s="35">
        <f>IF($F343="","",IFERROR(INDEX(사건마스터!$H$5:$H$64,MATCH($F343,사건마스터!$A$5:$A$64,0)),""))</f>
        <v/>
      </c>
      <c r="J343" s="35">
        <f>IF($F343="","",IFERROR(INDEX(사건마스터!$AH$5:$AH$64,MATCH($F343,사건마스터!$A$5:$A$64,0)),""))</f>
        <v/>
      </c>
      <c r="K343" s="35">
        <f>IF($F343="","",IFERROR(INDEX(사건마스터!$AI$5:$AI$64,MATCH($F343,사건마스터!$A$5:$A$64,0)),""))</f>
        <v/>
      </c>
      <c r="L343" s="35">
        <f>IF($F343="","",IFERROR(INDEX(사건마스터!$AJ$5:$AJ$64,MATCH($F343,사건마스터!$A$5:$A$64,0)),""))</f>
        <v/>
      </c>
      <c r="M343" s="35">
        <f>IF($F343="","",IFERROR(INDEX(사건마스터!$AK$5:$AK$64,MATCH($F343,사건마스터!$A$5:$A$64,0)),""))</f>
        <v/>
      </c>
      <c r="N343" s="35">
        <f>IF($F343="","",IFERROR(INDEX(사건마스터!$AL$5:$AL$64,MATCH($F343,사건마스터!$A$5:$A$64,0)),""))</f>
        <v/>
      </c>
      <c r="O343" s="35">
        <f>IF($F343="","",IFERROR(INDEX(사건마스터!$AM$5:$AM$64,MATCH($F343,사건마스터!$A$5:$A$64,0)),""))</f>
        <v/>
      </c>
      <c r="P343" s="35">
        <f>IF($F343="","",IFERROR(INDEX(사건마스터!$AN$5:$AN$64,MATCH($F343,사건마스터!$A$5:$A$64,0)),""))</f>
        <v/>
      </c>
      <c r="Q343" s="35">
        <f>IF($F343="","",IFERROR(INDEX(사건마스터!$AO$5:$AO$64,MATCH($F343,사건마스터!$A$5:$A$64,0)),""))</f>
        <v/>
      </c>
      <c r="R343" s="35">
        <f>IF($F343="","",IFERROR(INDEX(사건마스터!$AP$5:$AP$64,MATCH($F343,사건마스터!$A$5:$A$64,0)),""))</f>
        <v/>
      </c>
      <c r="S343" s="35">
        <f>IF($F343="","",IFERROR(INDEX(사건마스터!$AQ$5:$AQ$64,MATCH($F343,사건마스터!$A$5:$A$64,0)),""))</f>
        <v/>
      </c>
      <c r="T343" s="35">
        <f>IF($F343="","",IFERROR(INDEX(사건마스터!$AR$5:$AR$64,MATCH($F343,사건마스터!$A$5:$A$64,0)),""))</f>
        <v/>
      </c>
      <c r="U343" s="35">
        <f>IF($F343="","",IFERROR(INDEX(사건마스터!$AS$5:$AS$64,MATCH($F343,사건마스터!$A$5:$A$64,0)),""))</f>
        <v/>
      </c>
      <c r="V343" s="35">
        <f>IF($F343="","",IFERROR(INDEX(사건마스터!$AT$5:$AT$64,MATCH($F343,사건마스터!$A$5:$A$64,0)),""))</f>
        <v/>
      </c>
      <c r="W343" s="35">
        <f>IF($F343="","",IFERROR(INDEX(사건마스터!$AU$5:$AU$64,MATCH($F343,사건마스터!$A$5:$A$64,0)),""))</f>
        <v/>
      </c>
      <c r="X343" s="35">
        <f>IF($F343="","",IFERROR(INDEX(사건마스터!$AV$5:$AV$64,MATCH($F343,사건마스터!$A$5:$A$64,0)),""))</f>
        <v/>
      </c>
      <c r="Y343" s="30">
        <f>IF($I343="","",COUNTIF($I343:$X343,"?*"))</f>
        <v/>
      </c>
      <c r="Z343" s="33">
        <f>IF($I343="","",_xlfn.TEXTJOIN(", ",TRUE,$I343:$X343))</f>
        <v/>
      </c>
      <c r="AA343" s="34">
        <f>IF($I343="","",IFERROR(INDEX(코드설정!$D$5:$D$24,MATCH($I343,코드설정!$C$5:$C$24,0)),""))</f>
        <v/>
      </c>
      <c r="AB343" s="36" t="n"/>
      <c r="AC343" s="37" t="n"/>
      <c r="AD343" s="38" t="n"/>
      <c r="AE343" s="30">
        <f>IF(OR($B343="",$C343=""),"",$C343-$B343+1)</f>
        <v/>
      </c>
      <c r="AF343" s="32" t="n"/>
      <c r="AG343" s="36" t="n"/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3">
        <f>IF($F344="","",IFERROR(INDEX(사건마스터!$B$5:$B$64,MATCH($F344,사건마스터!$A$5:$A$64,0)),""))</f>
        <v/>
      </c>
      <c r="H344" s="34">
        <f>IF($F344="","",IFERROR(INDEX(사건마스터!$C$5:$C$64,MATCH($F344,사건마스터!$A$5:$A$64,0)),""))</f>
        <v/>
      </c>
      <c r="I344" s="35">
        <f>IF($F344="","",IFERROR(INDEX(사건마스터!$H$5:$H$64,MATCH($F344,사건마스터!$A$5:$A$64,0)),""))</f>
        <v/>
      </c>
      <c r="J344" s="35">
        <f>IF($F344="","",IFERROR(INDEX(사건마스터!$AH$5:$AH$64,MATCH($F344,사건마스터!$A$5:$A$64,0)),""))</f>
        <v/>
      </c>
      <c r="K344" s="35">
        <f>IF($F344="","",IFERROR(INDEX(사건마스터!$AI$5:$AI$64,MATCH($F344,사건마스터!$A$5:$A$64,0)),""))</f>
        <v/>
      </c>
      <c r="L344" s="35">
        <f>IF($F344="","",IFERROR(INDEX(사건마스터!$AJ$5:$AJ$64,MATCH($F344,사건마스터!$A$5:$A$64,0)),""))</f>
        <v/>
      </c>
      <c r="M344" s="35">
        <f>IF($F344="","",IFERROR(INDEX(사건마스터!$AK$5:$AK$64,MATCH($F344,사건마스터!$A$5:$A$64,0)),""))</f>
        <v/>
      </c>
      <c r="N344" s="35">
        <f>IF($F344="","",IFERROR(INDEX(사건마스터!$AL$5:$AL$64,MATCH($F344,사건마스터!$A$5:$A$64,0)),""))</f>
        <v/>
      </c>
      <c r="O344" s="35">
        <f>IF($F344="","",IFERROR(INDEX(사건마스터!$AM$5:$AM$64,MATCH($F344,사건마스터!$A$5:$A$64,0)),""))</f>
        <v/>
      </c>
      <c r="P344" s="35">
        <f>IF($F344="","",IFERROR(INDEX(사건마스터!$AN$5:$AN$64,MATCH($F344,사건마스터!$A$5:$A$64,0)),""))</f>
        <v/>
      </c>
      <c r="Q344" s="35">
        <f>IF($F344="","",IFERROR(INDEX(사건마스터!$AO$5:$AO$64,MATCH($F344,사건마스터!$A$5:$A$64,0)),""))</f>
        <v/>
      </c>
      <c r="R344" s="35">
        <f>IF($F344="","",IFERROR(INDEX(사건마스터!$AP$5:$AP$64,MATCH($F344,사건마스터!$A$5:$A$64,0)),""))</f>
        <v/>
      </c>
      <c r="S344" s="35">
        <f>IF($F344="","",IFERROR(INDEX(사건마스터!$AQ$5:$AQ$64,MATCH($F344,사건마스터!$A$5:$A$64,0)),""))</f>
        <v/>
      </c>
      <c r="T344" s="35">
        <f>IF($F344="","",IFERROR(INDEX(사건마스터!$AR$5:$AR$64,MATCH($F344,사건마스터!$A$5:$A$64,0)),""))</f>
        <v/>
      </c>
      <c r="U344" s="35">
        <f>IF($F344="","",IFERROR(INDEX(사건마스터!$AS$5:$AS$64,MATCH($F344,사건마스터!$A$5:$A$64,0)),""))</f>
        <v/>
      </c>
      <c r="V344" s="35">
        <f>IF($F344="","",IFERROR(INDEX(사건마스터!$AT$5:$AT$64,MATCH($F344,사건마스터!$A$5:$A$64,0)),""))</f>
        <v/>
      </c>
      <c r="W344" s="35">
        <f>IF($F344="","",IFERROR(INDEX(사건마스터!$AU$5:$AU$64,MATCH($F344,사건마스터!$A$5:$A$64,0)),""))</f>
        <v/>
      </c>
      <c r="X344" s="35">
        <f>IF($F344="","",IFERROR(INDEX(사건마스터!$AV$5:$AV$64,MATCH($F344,사건마스터!$A$5:$A$64,0)),""))</f>
        <v/>
      </c>
      <c r="Y344" s="30">
        <f>IF($I344="","",COUNTIF($I344:$X344,"?*"))</f>
        <v/>
      </c>
      <c r="Z344" s="33">
        <f>IF($I344="","",_xlfn.TEXTJOIN(", ",TRUE,$I344:$X344))</f>
        <v/>
      </c>
      <c r="AA344" s="34">
        <f>IF($I344="","",IFERROR(INDEX(코드설정!$D$5:$D$24,MATCH($I344,코드설정!$C$5:$C$24,0)),""))</f>
        <v/>
      </c>
      <c r="AB344" s="36" t="n"/>
      <c r="AC344" s="37" t="n"/>
      <c r="AD344" s="38" t="n"/>
      <c r="AE344" s="30">
        <f>IF(OR($B344="",$C344=""),"",$C344-$B344+1)</f>
        <v/>
      </c>
      <c r="AF344" s="32" t="n"/>
      <c r="AG344" s="36" t="n"/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3">
        <f>IF($F345="","",IFERROR(INDEX(사건마스터!$B$5:$B$64,MATCH($F345,사건마스터!$A$5:$A$64,0)),""))</f>
        <v/>
      </c>
      <c r="H345" s="34">
        <f>IF($F345="","",IFERROR(INDEX(사건마스터!$C$5:$C$64,MATCH($F345,사건마스터!$A$5:$A$64,0)),""))</f>
        <v/>
      </c>
      <c r="I345" s="35">
        <f>IF($F345="","",IFERROR(INDEX(사건마스터!$H$5:$H$64,MATCH($F345,사건마스터!$A$5:$A$64,0)),""))</f>
        <v/>
      </c>
      <c r="J345" s="35">
        <f>IF($F345="","",IFERROR(INDEX(사건마스터!$AH$5:$AH$64,MATCH($F345,사건마스터!$A$5:$A$64,0)),""))</f>
        <v/>
      </c>
      <c r="K345" s="35">
        <f>IF($F345="","",IFERROR(INDEX(사건마스터!$AI$5:$AI$64,MATCH($F345,사건마스터!$A$5:$A$64,0)),""))</f>
        <v/>
      </c>
      <c r="L345" s="35">
        <f>IF($F345="","",IFERROR(INDEX(사건마스터!$AJ$5:$AJ$64,MATCH($F345,사건마스터!$A$5:$A$64,0)),""))</f>
        <v/>
      </c>
      <c r="M345" s="35">
        <f>IF($F345="","",IFERROR(INDEX(사건마스터!$AK$5:$AK$64,MATCH($F345,사건마스터!$A$5:$A$64,0)),""))</f>
        <v/>
      </c>
      <c r="N345" s="35">
        <f>IF($F345="","",IFERROR(INDEX(사건마스터!$AL$5:$AL$64,MATCH($F345,사건마스터!$A$5:$A$64,0)),""))</f>
        <v/>
      </c>
      <c r="O345" s="35">
        <f>IF($F345="","",IFERROR(INDEX(사건마스터!$AM$5:$AM$64,MATCH($F345,사건마스터!$A$5:$A$64,0)),""))</f>
        <v/>
      </c>
      <c r="P345" s="35">
        <f>IF($F345="","",IFERROR(INDEX(사건마스터!$AN$5:$AN$64,MATCH($F345,사건마스터!$A$5:$A$64,0)),""))</f>
        <v/>
      </c>
      <c r="Q345" s="35">
        <f>IF($F345="","",IFERROR(INDEX(사건마스터!$AO$5:$AO$64,MATCH($F345,사건마스터!$A$5:$A$64,0)),""))</f>
        <v/>
      </c>
      <c r="R345" s="35">
        <f>IF($F345="","",IFERROR(INDEX(사건마스터!$AP$5:$AP$64,MATCH($F345,사건마스터!$A$5:$A$64,0)),""))</f>
        <v/>
      </c>
      <c r="S345" s="35">
        <f>IF($F345="","",IFERROR(INDEX(사건마스터!$AQ$5:$AQ$64,MATCH($F345,사건마스터!$A$5:$A$64,0)),""))</f>
        <v/>
      </c>
      <c r="T345" s="35">
        <f>IF($F345="","",IFERROR(INDEX(사건마스터!$AR$5:$AR$64,MATCH($F345,사건마스터!$A$5:$A$64,0)),""))</f>
        <v/>
      </c>
      <c r="U345" s="35">
        <f>IF($F345="","",IFERROR(INDEX(사건마스터!$AS$5:$AS$64,MATCH($F345,사건마스터!$A$5:$A$64,0)),""))</f>
        <v/>
      </c>
      <c r="V345" s="35">
        <f>IF($F345="","",IFERROR(INDEX(사건마스터!$AT$5:$AT$64,MATCH($F345,사건마스터!$A$5:$A$64,0)),""))</f>
        <v/>
      </c>
      <c r="W345" s="35">
        <f>IF($F345="","",IFERROR(INDEX(사건마스터!$AU$5:$AU$64,MATCH($F345,사건마스터!$A$5:$A$64,0)),""))</f>
        <v/>
      </c>
      <c r="X345" s="35">
        <f>IF($F345="","",IFERROR(INDEX(사건마스터!$AV$5:$AV$64,MATCH($F345,사건마스터!$A$5:$A$64,0)),""))</f>
        <v/>
      </c>
      <c r="Y345" s="30">
        <f>IF($I345="","",COUNTIF($I345:$X345,"?*"))</f>
        <v/>
      </c>
      <c r="Z345" s="33">
        <f>IF($I345="","",_xlfn.TEXTJOIN(", ",TRUE,$I345:$X345))</f>
        <v/>
      </c>
      <c r="AA345" s="34">
        <f>IF($I345="","",IFERROR(INDEX(코드설정!$D$5:$D$24,MATCH($I345,코드설정!$C$5:$C$24,0)),""))</f>
        <v/>
      </c>
      <c r="AB345" s="36" t="n"/>
      <c r="AC345" s="37" t="n"/>
      <c r="AD345" s="38" t="n"/>
      <c r="AE345" s="30">
        <f>IF(OR($B345="",$C345=""),"",$C345-$B345+1)</f>
        <v/>
      </c>
      <c r="AF345" s="32" t="n"/>
      <c r="AG345" s="36" t="n"/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3">
        <f>IF($F346="","",IFERROR(INDEX(사건마스터!$B$5:$B$64,MATCH($F346,사건마스터!$A$5:$A$64,0)),""))</f>
        <v/>
      </c>
      <c r="H346" s="34">
        <f>IF($F346="","",IFERROR(INDEX(사건마스터!$C$5:$C$64,MATCH($F346,사건마스터!$A$5:$A$64,0)),""))</f>
        <v/>
      </c>
      <c r="I346" s="35">
        <f>IF($F346="","",IFERROR(INDEX(사건마스터!$H$5:$H$64,MATCH($F346,사건마스터!$A$5:$A$64,0)),""))</f>
        <v/>
      </c>
      <c r="J346" s="35">
        <f>IF($F346="","",IFERROR(INDEX(사건마스터!$AH$5:$AH$64,MATCH($F346,사건마스터!$A$5:$A$64,0)),""))</f>
        <v/>
      </c>
      <c r="K346" s="35">
        <f>IF($F346="","",IFERROR(INDEX(사건마스터!$AI$5:$AI$64,MATCH($F346,사건마스터!$A$5:$A$64,0)),""))</f>
        <v/>
      </c>
      <c r="L346" s="35">
        <f>IF($F346="","",IFERROR(INDEX(사건마스터!$AJ$5:$AJ$64,MATCH($F346,사건마스터!$A$5:$A$64,0)),""))</f>
        <v/>
      </c>
      <c r="M346" s="35">
        <f>IF($F346="","",IFERROR(INDEX(사건마스터!$AK$5:$AK$64,MATCH($F346,사건마스터!$A$5:$A$64,0)),""))</f>
        <v/>
      </c>
      <c r="N346" s="35">
        <f>IF($F346="","",IFERROR(INDEX(사건마스터!$AL$5:$AL$64,MATCH($F346,사건마스터!$A$5:$A$64,0)),""))</f>
        <v/>
      </c>
      <c r="O346" s="35">
        <f>IF($F346="","",IFERROR(INDEX(사건마스터!$AM$5:$AM$64,MATCH($F346,사건마스터!$A$5:$A$64,0)),""))</f>
        <v/>
      </c>
      <c r="P346" s="35">
        <f>IF($F346="","",IFERROR(INDEX(사건마스터!$AN$5:$AN$64,MATCH($F346,사건마스터!$A$5:$A$64,0)),""))</f>
        <v/>
      </c>
      <c r="Q346" s="35">
        <f>IF($F346="","",IFERROR(INDEX(사건마스터!$AO$5:$AO$64,MATCH($F346,사건마스터!$A$5:$A$64,0)),""))</f>
        <v/>
      </c>
      <c r="R346" s="35">
        <f>IF($F346="","",IFERROR(INDEX(사건마스터!$AP$5:$AP$64,MATCH($F346,사건마스터!$A$5:$A$64,0)),""))</f>
        <v/>
      </c>
      <c r="S346" s="35">
        <f>IF($F346="","",IFERROR(INDEX(사건마스터!$AQ$5:$AQ$64,MATCH($F346,사건마스터!$A$5:$A$64,0)),""))</f>
        <v/>
      </c>
      <c r="T346" s="35">
        <f>IF($F346="","",IFERROR(INDEX(사건마스터!$AR$5:$AR$64,MATCH($F346,사건마스터!$A$5:$A$64,0)),""))</f>
        <v/>
      </c>
      <c r="U346" s="35">
        <f>IF($F346="","",IFERROR(INDEX(사건마스터!$AS$5:$AS$64,MATCH($F346,사건마스터!$A$5:$A$64,0)),""))</f>
        <v/>
      </c>
      <c r="V346" s="35">
        <f>IF($F346="","",IFERROR(INDEX(사건마스터!$AT$5:$AT$64,MATCH($F346,사건마스터!$A$5:$A$64,0)),""))</f>
        <v/>
      </c>
      <c r="W346" s="35">
        <f>IF($F346="","",IFERROR(INDEX(사건마스터!$AU$5:$AU$64,MATCH($F346,사건마스터!$A$5:$A$64,0)),""))</f>
        <v/>
      </c>
      <c r="X346" s="35">
        <f>IF($F346="","",IFERROR(INDEX(사건마스터!$AV$5:$AV$64,MATCH($F346,사건마스터!$A$5:$A$64,0)),""))</f>
        <v/>
      </c>
      <c r="Y346" s="30">
        <f>IF($I346="","",COUNTIF($I346:$X346,"?*"))</f>
        <v/>
      </c>
      <c r="Z346" s="33">
        <f>IF($I346="","",_xlfn.TEXTJOIN(", ",TRUE,$I346:$X346))</f>
        <v/>
      </c>
      <c r="AA346" s="34">
        <f>IF($I346="","",IFERROR(INDEX(코드설정!$D$5:$D$24,MATCH($I346,코드설정!$C$5:$C$24,0)),""))</f>
        <v/>
      </c>
      <c r="AB346" s="36" t="n"/>
      <c r="AC346" s="37" t="n"/>
      <c r="AD346" s="38" t="n"/>
      <c r="AE346" s="30">
        <f>IF(OR($B346="",$C346=""),"",$C346-$B346+1)</f>
        <v/>
      </c>
      <c r="AF346" s="32" t="n"/>
      <c r="AG346" s="36" t="n"/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3">
        <f>IF($F347="","",IFERROR(INDEX(사건마스터!$B$5:$B$64,MATCH($F347,사건마스터!$A$5:$A$64,0)),""))</f>
        <v/>
      </c>
      <c r="H347" s="34">
        <f>IF($F347="","",IFERROR(INDEX(사건마스터!$C$5:$C$64,MATCH($F347,사건마스터!$A$5:$A$64,0)),""))</f>
        <v/>
      </c>
      <c r="I347" s="35">
        <f>IF($F347="","",IFERROR(INDEX(사건마스터!$H$5:$H$64,MATCH($F347,사건마스터!$A$5:$A$64,0)),""))</f>
        <v/>
      </c>
      <c r="J347" s="35">
        <f>IF($F347="","",IFERROR(INDEX(사건마스터!$AH$5:$AH$64,MATCH($F347,사건마스터!$A$5:$A$64,0)),""))</f>
        <v/>
      </c>
      <c r="K347" s="35">
        <f>IF($F347="","",IFERROR(INDEX(사건마스터!$AI$5:$AI$64,MATCH($F347,사건마스터!$A$5:$A$64,0)),""))</f>
        <v/>
      </c>
      <c r="L347" s="35">
        <f>IF($F347="","",IFERROR(INDEX(사건마스터!$AJ$5:$AJ$64,MATCH($F347,사건마스터!$A$5:$A$64,0)),""))</f>
        <v/>
      </c>
      <c r="M347" s="35">
        <f>IF($F347="","",IFERROR(INDEX(사건마스터!$AK$5:$AK$64,MATCH($F347,사건마스터!$A$5:$A$64,0)),""))</f>
        <v/>
      </c>
      <c r="N347" s="35">
        <f>IF($F347="","",IFERROR(INDEX(사건마스터!$AL$5:$AL$64,MATCH($F347,사건마스터!$A$5:$A$64,0)),""))</f>
        <v/>
      </c>
      <c r="O347" s="35">
        <f>IF($F347="","",IFERROR(INDEX(사건마스터!$AM$5:$AM$64,MATCH($F347,사건마스터!$A$5:$A$64,0)),""))</f>
        <v/>
      </c>
      <c r="P347" s="35">
        <f>IF($F347="","",IFERROR(INDEX(사건마스터!$AN$5:$AN$64,MATCH($F347,사건마스터!$A$5:$A$64,0)),""))</f>
        <v/>
      </c>
      <c r="Q347" s="35">
        <f>IF($F347="","",IFERROR(INDEX(사건마스터!$AO$5:$AO$64,MATCH($F347,사건마스터!$A$5:$A$64,0)),""))</f>
        <v/>
      </c>
      <c r="R347" s="35">
        <f>IF($F347="","",IFERROR(INDEX(사건마스터!$AP$5:$AP$64,MATCH($F347,사건마스터!$A$5:$A$64,0)),""))</f>
        <v/>
      </c>
      <c r="S347" s="35">
        <f>IF($F347="","",IFERROR(INDEX(사건마스터!$AQ$5:$AQ$64,MATCH($F347,사건마스터!$A$5:$A$64,0)),""))</f>
        <v/>
      </c>
      <c r="T347" s="35">
        <f>IF($F347="","",IFERROR(INDEX(사건마스터!$AR$5:$AR$64,MATCH($F347,사건마스터!$A$5:$A$64,0)),""))</f>
        <v/>
      </c>
      <c r="U347" s="35">
        <f>IF($F347="","",IFERROR(INDEX(사건마스터!$AS$5:$AS$64,MATCH($F347,사건마스터!$A$5:$A$64,0)),""))</f>
        <v/>
      </c>
      <c r="V347" s="35">
        <f>IF($F347="","",IFERROR(INDEX(사건마스터!$AT$5:$AT$64,MATCH($F347,사건마스터!$A$5:$A$64,0)),""))</f>
        <v/>
      </c>
      <c r="W347" s="35">
        <f>IF($F347="","",IFERROR(INDEX(사건마스터!$AU$5:$AU$64,MATCH($F347,사건마스터!$A$5:$A$64,0)),""))</f>
        <v/>
      </c>
      <c r="X347" s="35">
        <f>IF($F347="","",IFERROR(INDEX(사건마스터!$AV$5:$AV$64,MATCH($F347,사건마스터!$A$5:$A$64,0)),""))</f>
        <v/>
      </c>
      <c r="Y347" s="30">
        <f>IF($I347="","",COUNTIF($I347:$X347,"?*"))</f>
        <v/>
      </c>
      <c r="Z347" s="33">
        <f>IF($I347="","",_xlfn.TEXTJOIN(", ",TRUE,$I347:$X347))</f>
        <v/>
      </c>
      <c r="AA347" s="34">
        <f>IF($I347="","",IFERROR(INDEX(코드설정!$D$5:$D$24,MATCH($I347,코드설정!$C$5:$C$24,0)),""))</f>
        <v/>
      </c>
      <c r="AB347" s="36" t="n"/>
      <c r="AC347" s="37" t="n"/>
      <c r="AD347" s="38" t="n"/>
      <c r="AE347" s="30">
        <f>IF(OR($B347="",$C347=""),"",$C347-$B347+1)</f>
        <v/>
      </c>
      <c r="AF347" s="32" t="n"/>
      <c r="AG347" s="36" t="n"/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3">
        <f>IF($F348="","",IFERROR(INDEX(사건마스터!$B$5:$B$64,MATCH($F348,사건마스터!$A$5:$A$64,0)),""))</f>
        <v/>
      </c>
      <c r="H348" s="34">
        <f>IF($F348="","",IFERROR(INDEX(사건마스터!$C$5:$C$64,MATCH($F348,사건마스터!$A$5:$A$64,0)),""))</f>
        <v/>
      </c>
      <c r="I348" s="35">
        <f>IF($F348="","",IFERROR(INDEX(사건마스터!$H$5:$H$64,MATCH($F348,사건마스터!$A$5:$A$64,0)),""))</f>
        <v/>
      </c>
      <c r="J348" s="35">
        <f>IF($F348="","",IFERROR(INDEX(사건마스터!$AH$5:$AH$64,MATCH($F348,사건마스터!$A$5:$A$64,0)),""))</f>
        <v/>
      </c>
      <c r="K348" s="35">
        <f>IF($F348="","",IFERROR(INDEX(사건마스터!$AI$5:$AI$64,MATCH($F348,사건마스터!$A$5:$A$64,0)),""))</f>
        <v/>
      </c>
      <c r="L348" s="35">
        <f>IF($F348="","",IFERROR(INDEX(사건마스터!$AJ$5:$AJ$64,MATCH($F348,사건마스터!$A$5:$A$64,0)),""))</f>
        <v/>
      </c>
      <c r="M348" s="35">
        <f>IF($F348="","",IFERROR(INDEX(사건마스터!$AK$5:$AK$64,MATCH($F348,사건마스터!$A$5:$A$64,0)),""))</f>
        <v/>
      </c>
      <c r="N348" s="35">
        <f>IF($F348="","",IFERROR(INDEX(사건마스터!$AL$5:$AL$64,MATCH($F348,사건마스터!$A$5:$A$64,0)),""))</f>
        <v/>
      </c>
      <c r="O348" s="35">
        <f>IF($F348="","",IFERROR(INDEX(사건마스터!$AM$5:$AM$64,MATCH($F348,사건마스터!$A$5:$A$64,0)),""))</f>
        <v/>
      </c>
      <c r="P348" s="35">
        <f>IF($F348="","",IFERROR(INDEX(사건마스터!$AN$5:$AN$64,MATCH($F348,사건마스터!$A$5:$A$64,0)),""))</f>
        <v/>
      </c>
      <c r="Q348" s="35">
        <f>IF($F348="","",IFERROR(INDEX(사건마스터!$AO$5:$AO$64,MATCH($F348,사건마스터!$A$5:$A$64,0)),""))</f>
        <v/>
      </c>
      <c r="R348" s="35">
        <f>IF($F348="","",IFERROR(INDEX(사건마스터!$AP$5:$AP$64,MATCH($F348,사건마스터!$A$5:$A$64,0)),""))</f>
        <v/>
      </c>
      <c r="S348" s="35">
        <f>IF($F348="","",IFERROR(INDEX(사건마스터!$AQ$5:$AQ$64,MATCH($F348,사건마스터!$A$5:$A$64,0)),""))</f>
        <v/>
      </c>
      <c r="T348" s="35">
        <f>IF($F348="","",IFERROR(INDEX(사건마스터!$AR$5:$AR$64,MATCH($F348,사건마스터!$A$5:$A$64,0)),""))</f>
        <v/>
      </c>
      <c r="U348" s="35">
        <f>IF($F348="","",IFERROR(INDEX(사건마스터!$AS$5:$AS$64,MATCH($F348,사건마스터!$A$5:$A$64,0)),""))</f>
        <v/>
      </c>
      <c r="V348" s="35">
        <f>IF($F348="","",IFERROR(INDEX(사건마스터!$AT$5:$AT$64,MATCH($F348,사건마스터!$A$5:$A$64,0)),""))</f>
        <v/>
      </c>
      <c r="W348" s="35">
        <f>IF($F348="","",IFERROR(INDEX(사건마스터!$AU$5:$AU$64,MATCH($F348,사건마스터!$A$5:$A$64,0)),""))</f>
        <v/>
      </c>
      <c r="X348" s="35">
        <f>IF($F348="","",IFERROR(INDEX(사건마스터!$AV$5:$AV$64,MATCH($F348,사건마스터!$A$5:$A$64,0)),""))</f>
        <v/>
      </c>
      <c r="Y348" s="30">
        <f>IF($I348="","",COUNTIF($I348:$X348,"?*"))</f>
        <v/>
      </c>
      <c r="Z348" s="33">
        <f>IF($I348="","",_xlfn.TEXTJOIN(", ",TRUE,$I348:$X348))</f>
        <v/>
      </c>
      <c r="AA348" s="34">
        <f>IF($I348="","",IFERROR(INDEX(코드설정!$D$5:$D$24,MATCH($I348,코드설정!$C$5:$C$24,0)),""))</f>
        <v/>
      </c>
      <c r="AB348" s="36" t="n"/>
      <c r="AC348" s="37" t="n"/>
      <c r="AD348" s="38" t="n"/>
      <c r="AE348" s="30">
        <f>IF(OR($B348="",$C348=""),"",$C348-$B348+1)</f>
        <v/>
      </c>
      <c r="AF348" s="32" t="n"/>
      <c r="AG348" s="36" t="n"/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3">
        <f>IF($F349="","",IFERROR(INDEX(사건마스터!$B$5:$B$64,MATCH($F349,사건마스터!$A$5:$A$64,0)),""))</f>
        <v/>
      </c>
      <c r="H349" s="34">
        <f>IF($F349="","",IFERROR(INDEX(사건마스터!$C$5:$C$64,MATCH($F349,사건마스터!$A$5:$A$64,0)),""))</f>
        <v/>
      </c>
      <c r="I349" s="35">
        <f>IF($F349="","",IFERROR(INDEX(사건마스터!$H$5:$H$64,MATCH($F349,사건마스터!$A$5:$A$64,0)),""))</f>
        <v/>
      </c>
      <c r="J349" s="35">
        <f>IF($F349="","",IFERROR(INDEX(사건마스터!$AH$5:$AH$64,MATCH($F349,사건마스터!$A$5:$A$64,0)),""))</f>
        <v/>
      </c>
      <c r="K349" s="35">
        <f>IF($F349="","",IFERROR(INDEX(사건마스터!$AI$5:$AI$64,MATCH($F349,사건마스터!$A$5:$A$64,0)),""))</f>
        <v/>
      </c>
      <c r="L349" s="35">
        <f>IF($F349="","",IFERROR(INDEX(사건마스터!$AJ$5:$AJ$64,MATCH($F349,사건마스터!$A$5:$A$64,0)),""))</f>
        <v/>
      </c>
      <c r="M349" s="35">
        <f>IF($F349="","",IFERROR(INDEX(사건마스터!$AK$5:$AK$64,MATCH($F349,사건마스터!$A$5:$A$64,0)),""))</f>
        <v/>
      </c>
      <c r="N349" s="35">
        <f>IF($F349="","",IFERROR(INDEX(사건마스터!$AL$5:$AL$64,MATCH($F349,사건마스터!$A$5:$A$64,0)),""))</f>
        <v/>
      </c>
      <c r="O349" s="35">
        <f>IF($F349="","",IFERROR(INDEX(사건마스터!$AM$5:$AM$64,MATCH($F349,사건마스터!$A$5:$A$64,0)),""))</f>
        <v/>
      </c>
      <c r="P349" s="35">
        <f>IF($F349="","",IFERROR(INDEX(사건마스터!$AN$5:$AN$64,MATCH($F349,사건마스터!$A$5:$A$64,0)),""))</f>
        <v/>
      </c>
      <c r="Q349" s="35">
        <f>IF($F349="","",IFERROR(INDEX(사건마스터!$AO$5:$AO$64,MATCH($F349,사건마스터!$A$5:$A$64,0)),""))</f>
        <v/>
      </c>
      <c r="R349" s="35">
        <f>IF($F349="","",IFERROR(INDEX(사건마스터!$AP$5:$AP$64,MATCH($F349,사건마스터!$A$5:$A$64,0)),""))</f>
        <v/>
      </c>
      <c r="S349" s="35">
        <f>IF($F349="","",IFERROR(INDEX(사건마스터!$AQ$5:$AQ$64,MATCH($F349,사건마스터!$A$5:$A$64,0)),""))</f>
        <v/>
      </c>
      <c r="T349" s="35">
        <f>IF($F349="","",IFERROR(INDEX(사건마스터!$AR$5:$AR$64,MATCH($F349,사건마스터!$A$5:$A$64,0)),""))</f>
        <v/>
      </c>
      <c r="U349" s="35">
        <f>IF($F349="","",IFERROR(INDEX(사건마스터!$AS$5:$AS$64,MATCH($F349,사건마스터!$A$5:$A$64,0)),""))</f>
        <v/>
      </c>
      <c r="V349" s="35">
        <f>IF($F349="","",IFERROR(INDEX(사건마스터!$AT$5:$AT$64,MATCH($F349,사건마스터!$A$5:$A$64,0)),""))</f>
        <v/>
      </c>
      <c r="W349" s="35">
        <f>IF($F349="","",IFERROR(INDEX(사건마스터!$AU$5:$AU$64,MATCH($F349,사건마스터!$A$5:$A$64,0)),""))</f>
        <v/>
      </c>
      <c r="X349" s="35">
        <f>IF($F349="","",IFERROR(INDEX(사건마스터!$AV$5:$AV$64,MATCH($F349,사건마스터!$A$5:$A$64,0)),""))</f>
        <v/>
      </c>
      <c r="Y349" s="30">
        <f>IF($I349="","",COUNTIF($I349:$X349,"?*"))</f>
        <v/>
      </c>
      <c r="Z349" s="33">
        <f>IF($I349="","",_xlfn.TEXTJOIN(", ",TRUE,$I349:$X349))</f>
        <v/>
      </c>
      <c r="AA349" s="34">
        <f>IF($I349="","",IFERROR(INDEX(코드설정!$D$5:$D$24,MATCH($I349,코드설정!$C$5:$C$24,0)),""))</f>
        <v/>
      </c>
      <c r="AB349" s="36" t="n"/>
      <c r="AC349" s="37" t="n"/>
      <c r="AD349" s="38" t="n"/>
      <c r="AE349" s="30">
        <f>IF(OR($B349="",$C349=""),"",$C349-$B349+1)</f>
        <v/>
      </c>
      <c r="AF349" s="32" t="n"/>
      <c r="AG349" s="36" t="n"/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3">
        <f>IF($F350="","",IFERROR(INDEX(사건마스터!$B$5:$B$64,MATCH($F350,사건마스터!$A$5:$A$64,0)),""))</f>
        <v/>
      </c>
      <c r="H350" s="34">
        <f>IF($F350="","",IFERROR(INDEX(사건마스터!$C$5:$C$64,MATCH($F350,사건마스터!$A$5:$A$64,0)),""))</f>
        <v/>
      </c>
      <c r="I350" s="35">
        <f>IF($F350="","",IFERROR(INDEX(사건마스터!$H$5:$H$64,MATCH($F350,사건마스터!$A$5:$A$64,0)),""))</f>
        <v/>
      </c>
      <c r="J350" s="35">
        <f>IF($F350="","",IFERROR(INDEX(사건마스터!$AH$5:$AH$64,MATCH($F350,사건마스터!$A$5:$A$64,0)),""))</f>
        <v/>
      </c>
      <c r="K350" s="35">
        <f>IF($F350="","",IFERROR(INDEX(사건마스터!$AI$5:$AI$64,MATCH($F350,사건마스터!$A$5:$A$64,0)),""))</f>
        <v/>
      </c>
      <c r="L350" s="35">
        <f>IF($F350="","",IFERROR(INDEX(사건마스터!$AJ$5:$AJ$64,MATCH($F350,사건마스터!$A$5:$A$64,0)),""))</f>
        <v/>
      </c>
      <c r="M350" s="35">
        <f>IF($F350="","",IFERROR(INDEX(사건마스터!$AK$5:$AK$64,MATCH($F350,사건마스터!$A$5:$A$64,0)),""))</f>
        <v/>
      </c>
      <c r="N350" s="35">
        <f>IF($F350="","",IFERROR(INDEX(사건마스터!$AL$5:$AL$64,MATCH($F350,사건마스터!$A$5:$A$64,0)),""))</f>
        <v/>
      </c>
      <c r="O350" s="35">
        <f>IF($F350="","",IFERROR(INDEX(사건마스터!$AM$5:$AM$64,MATCH($F350,사건마스터!$A$5:$A$64,0)),""))</f>
        <v/>
      </c>
      <c r="P350" s="35">
        <f>IF($F350="","",IFERROR(INDEX(사건마스터!$AN$5:$AN$64,MATCH($F350,사건마스터!$A$5:$A$64,0)),""))</f>
        <v/>
      </c>
      <c r="Q350" s="35">
        <f>IF($F350="","",IFERROR(INDEX(사건마스터!$AO$5:$AO$64,MATCH($F350,사건마스터!$A$5:$A$64,0)),""))</f>
        <v/>
      </c>
      <c r="R350" s="35">
        <f>IF($F350="","",IFERROR(INDEX(사건마스터!$AP$5:$AP$64,MATCH($F350,사건마스터!$A$5:$A$64,0)),""))</f>
        <v/>
      </c>
      <c r="S350" s="35">
        <f>IF($F350="","",IFERROR(INDEX(사건마스터!$AQ$5:$AQ$64,MATCH($F350,사건마스터!$A$5:$A$64,0)),""))</f>
        <v/>
      </c>
      <c r="T350" s="35">
        <f>IF($F350="","",IFERROR(INDEX(사건마스터!$AR$5:$AR$64,MATCH($F350,사건마스터!$A$5:$A$64,0)),""))</f>
        <v/>
      </c>
      <c r="U350" s="35">
        <f>IF($F350="","",IFERROR(INDEX(사건마스터!$AS$5:$AS$64,MATCH($F350,사건마스터!$A$5:$A$64,0)),""))</f>
        <v/>
      </c>
      <c r="V350" s="35">
        <f>IF($F350="","",IFERROR(INDEX(사건마스터!$AT$5:$AT$64,MATCH($F350,사건마스터!$A$5:$A$64,0)),""))</f>
        <v/>
      </c>
      <c r="W350" s="35">
        <f>IF($F350="","",IFERROR(INDEX(사건마스터!$AU$5:$AU$64,MATCH($F350,사건마스터!$A$5:$A$64,0)),""))</f>
        <v/>
      </c>
      <c r="X350" s="35">
        <f>IF($F350="","",IFERROR(INDEX(사건마스터!$AV$5:$AV$64,MATCH($F350,사건마스터!$A$5:$A$64,0)),""))</f>
        <v/>
      </c>
      <c r="Y350" s="30">
        <f>IF($I350="","",COUNTIF($I350:$X350,"?*"))</f>
        <v/>
      </c>
      <c r="Z350" s="33">
        <f>IF($I350="","",_xlfn.TEXTJOIN(", ",TRUE,$I350:$X350))</f>
        <v/>
      </c>
      <c r="AA350" s="34">
        <f>IF($I350="","",IFERROR(INDEX(코드설정!$D$5:$D$24,MATCH($I350,코드설정!$C$5:$C$24,0)),""))</f>
        <v/>
      </c>
      <c r="AB350" s="36" t="n"/>
      <c r="AC350" s="37" t="n"/>
      <c r="AD350" s="38" t="n"/>
      <c r="AE350" s="30">
        <f>IF(OR($B350="",$C350=""),"",$C350-$B350+1)</f>
        <v/>
      </c>
      <c r="AF350" s="32" t="n"/>
      <c r="AG350" s="36" t="n"/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3">
        <f>IF($F351="","",IFERROR(INDEX(사건마스터!$B$5:$B$64,MATCH($F351,사건마스터!$A$5:$A$64,0)),""))</f>
        <v/>
      </c>
      <c r="H351" s="34">
        <f>IF($F351="","",IFERROR(INDEX(사건마스터!$C$5:$C$64,MATCH($F351,사건마스터!$A$5:$A$64,0)),""))</f>
        <v/>
      </c>
      <c r="I351" s="35">
        <f>IF($F351="","",IFERROR(INDEX(사건마스터!$H$5:$H$64,MATCH($F351,사건마스터!$A$5:$A$64,0)),""))</f>
        <v/>
      </c>
      <c r="J351" s="35">
        <f>IF($F351="","",IFERROR(INDEX(사건마스터!$AH$5:$AH$64,MATCH($F351,사건마스터!$A$5:$A$64,0)),""))</f>
        <v/>
      </c>
      <c r="K351" s="35">
        <f>IF($F351="","",IFERROR(INDEX(사건마스터!$AI$5:$AI$64,MATCH($F351,사건마스터!$A$5:$A$64,0)),""))</f>
        <v/>
      </c>
      <c r="L351" s="35">
        <f>IF($F351="","",IFERROR(INDEX(사건마스터!$AJ$5:$AJ$64,MATCH($F351,사건마스터!$A$5:$A$64,0)),""))</f>
        <v/>
      </c>
      <c r="M351" s="35">
        <f>IF($F351="","",IFERROR(INDEX(사건마스터!$AK$5:$AK$64,MATCH($F351,사건마스터!$A$5:$A$64,0)),""))</f>
        <v/>
      </c>
      <c r="N351" s="35">
        <f>IF($F351="","",IFERROR(INDEX(사건마스터!$AL$5:$AL$64,MATCH($F351,사건마스터!$A$5:$A$64,0)),""))</f>
        <v/>
      </c>
      <c r="O351" s="35">
        <f>IF($F351="","",IFERROR(INDEX(사건마스터!$AM$5:$AM$64,MATCH($F351,사건마스터!$A$5:$A$64,0)),""))</f>
        <v/>
      </c>
      <c r="P351" s="35">
        <f>IF($F351="","",IFERROR(INDEX(사건마스터!$AN$5:$AN$64,MATCH($F351,사건마스터!$A$5:$A$64,0)),""))</f>
        <v/>
      </c>
      <c r="Q351" s="35">
        <f>IF($F351="","",IFERROR(INDEX(사건마스터!$AO$5:$AO$64,MATCH($F351,사건마스터!$A$5:$A$64,0)),""))</f>
        <v/>
      </c>
      <c r="R351" s="35">
        <f>IF($F351="","",IFERROR(INDEX(사건마스터!$AP$5:$AP$64,MATCH($F351,사건마스터!$A$5:$A$64,0)),""))</f>
        <v/>
      </c>
      <c r="S351" s="35">
        <f>IF($F351="","",IFERROR(INDEX(사건마스터!$AQ$5:$AQ$64,MATCH($F351,사건마스터!$A$5:$A$64,0)),""))</f>
        <v/>
      </c>
      <c r="T351" s="35">
        <f>IF($F351="","",IFERROR(INDEX(사건마스터!$AR$5:$AR$64,MATCH($F351,사건마스터!$A$5:$A$64,0)),""))</f>
        <v/>
      </c>
      <c r="U351" s="35">
        <f>IF($F351="","",IFERROR(INDEX(사건마스터!$AS$5:$AS$64,MATCH($F351,사건마스터!$A$5:$A$64,0)),""))</f>
        <v/>
      </c>
      <c r="V351" s="35">
        <f>IF($F351="","",IFERROR(INDEX(사건마스터!$AT$5:$AT$64,MATCH($F351,사건마스터!$A$5:$A$64,0)),""))</f>
        <v/>
      </c>
      <c r="W351" s="35">
        <f>IF($F351="","",IFERROR(INDEX(사건마스터!$AU$5:$AU$64,MATCH($F351,사건마스터!$A$5:$A$64,0)),""))</f>
        <v/>
      </c>
      <c r="X351" s="35">
        <f>IF($F351="","",IFERROR(INDEX(사건마스터!$AV$5:$AV$64,MATCH($F351,사건마스터!$A$5:$A$64,0)),""))</f>
        <v/>
      </c>
      <c r="Y351" s="30">
        <f>IF($I351="","",COUNTIF($I351:$X351,"?*"))</f>
        <v/>
      </c>
      <c r="Z351" s="33">
        <f>IF($I351="","",_xlfn.TEXTJOIN(", ",TRUE,$I351:$X351))</f>
        <v/>
      </c>
      <c r="AA351" s="34">
        <f>IF($I351="","",IFERROR(INDEX(코드설정!$D$5:$D$24,MATCH($I351,코드설정!$C$5:$C$24,0)),""))</f>
        <v/>
      </c>
      <c r="AB351" s="36" t="n"/>
      <c r="AC351" s="37" t="n"/>
      <c r="AD351" s="38" t="n"/>
      <c r="AE351" s="30">
        <f>IF(OR($B351="",$C351=""),"",$C351-$B351+1)</f>
        <v/>
      </c>
      <c r="AF351" s="32" t="n"/>
      <c r="AG351" s="36" t="n"/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3">
        <f>IF($F352="","",IFERROR(INDEX(사건마스터!$B$5:$B$64,MATCH($F352,사건마스터!$A$5:$A$64,0)),""))</f>
        <v/>
      </c>
      <c r="H352" s="34">
        <f>IF($F352="","",IFERROR(INDEX(사건마스터!$C$5:$C$64,MATCH($F352,사건마스터!$A$5:$A$64,0)),""))</f>
        <v/>
      </c>
      <c r="I352" s="35">
        <f>IF($F352="","",IFERROR(INDEX(사건마스터!$H$5:$H$64,MATCH($F352,사건마스터!$A$5:$A$64,0)),""))</f>
        <v/>
      </c>
      <c r="J352" s="35">
        <f>IF($F352="","",IFERROR(INDEX(사건마스터!$AH$5:$AH$64,MATCH($F352,사건마스터!$A$5:$A$64,0)),""))</f>
        <v/>
      </c>
      <c r="K352" s="35">
        <f>IF($F352="","",IFERROR(INDEX(사건마스터!$AI$5:$AI$64,MATCH($F352,사건마스터!$A$5:$A$64,0)),""))</f>
        <v/>
      </c>
      <c r="L352" s="35">
        <f>IF($F352="","",IFERROR(INDEX(사건마스터!$AJ$5:$AJ$64,MATCH($F352,사건마스터!$A$5:$A$64,0)),""))</f>
        <v/>
      </c>
      <c r="M352" s="35">
        <f>IF($F352="","",IFERROR(INDEX(사건마스터!$AK$5:$AK$64,MATCH($F352,사건마스터!$A$5:$A$64,0)),""))</f>
        <v/>
      </c>
      <c r="N352" s="35">
        <f>IF($F352="","",IFERROR(INDEX(사건마스터!$AL$5:$AL$64,MATCH($F352,사건마스터!$A$5:$A$64,0)),""))</f>
        <v/>
      </c>
      <c r="O352" s="35">
        <f>IF($F352="","",IFERROR(INDEX(사건마스터!$AM$5:$AM$64,MATCH($F352,사건마스터!$A$5:$A$64,0)),""))</f>
        <v/>
      </c>
      <c r="P352" s="35">
        <f>IF($F352="","",IFERROR(INDEX(사건마스터!$AN$5:$AN$64,MATCH($F352,사건마스터!$A$5:$A$64,0)),""))</f>
        <v/>
      </c>
      <c r="Q352" s="35">
        <f>IF($F352="","",IFERROR(INDEX(사건마스터!$AO$5:$AO$64,MATCH($F352,사건마스터!$A$5:$A$64,0)),""))</f>
        <v/>
      </c>
      <c r="R352" s="35">
        <f>IF($F352="","",IFERROR(INDEX(사건마스터!$AP$5:$AP$64,MATCH($F352,사건마스터!$A$5:$A$64,0)),""))</f>
        <v/>
      </c>
      <c r="S352" s="35">
        <f>IF($F352="","",IFERROR(INDEX(사건마스터!$AQ$5:$AQ$64,MATCH($F352,사건마스터!$A$5:$A$64,0)),""))</f>
        <v/>
      </c>
      <c r="T352" s="35">
        <f>IF($F352="","",IFERROR(INDEX(사건마스터!$AR$5:$AR$64,MATCH($F352,사건마스터!$A$5:$A$64,0)),""))</f>
        <v/>
      </c>
      <c r="U352" s="35">
        <f>IF($F352="","",IFERROR(INDEX(사건마스터!$AS$5:$AS$64,MATCH($F352,사건마스터!$A$5:$A$64,0)),""))</f>
        <v/>
      </c>
      <c r="V352" s="35">
        <f>IF($F352="","",IFERROR(INDEX(사건마스터!$AT$5:$AT$64,MATCH($F352,사건마스터!$A$5:$A$64,0)),""))</f>
        <v/>
      </c>
      <c r="W352" s="35">
        <f>IF($F352="","",IFERROR(INDEX(사건마스터!$AU$5:$AU$64,MATCH($F352,사건마스터!$A$5:$A$64,0)),""))</f>
        <v/>
      </c>
      <c r="X352" s="35">
        <f>IF($F352="","",IFERROR(INDEX(사건마스터!$AV$5:$AV$64,MATCH($F352,사건마스터!$A$5:$A$64,0)),""))</f>
        <v/>
      </c>
      <c r="Y352" s="30">
        <f>IF($I352="","",COUNTIF($I352:$X352,"?*"))</f>
        <v/>
      </c>
      <c r="Z352" s="33">
        <f>IF($I352="","",_xlfn.TEXTJOIN(", ",TRUE,$I352:$X352))</f>
        <v/>
      </c>
      <c r="AA352" s="34">
        <f>IF($I352="","",IFERROR(INDEX(코드설정!$D$5:$D$24,MATCH($I352,코드설정!$C$5:$C$24,0)),""))</f>
        <v/>
      </c>
      <c r="AB352" s="36" t="n"/>
      <c r="AC352" s="37" t="n"/>
      <c r="AD352" s="38" t="n"/>
      <c r="AE352" s="30">
        <f>IF(OR($B352="",$C352=""),"",$C352-$B352+1)</f>
        <v/>
      </c>
      <c r="AF352" s="32" t="n"/>
      <c r="AG352" s="36" t="n"/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3">
        <f>IF($F353="","",IFERROR(INDEX(사건마스터!$B$5:$B$64,MATCH($F353,사건마스터!$A$5:$A$64,0)),""))</f>
        <v/>
      </c>
      <c r="H353" s="34">
        <f>IF($F353="","",IFERROR(INDEX(사건마스터!$C$5:$C$64,MATCH($F353,사건마스터!$A$5:$A$64,0)),""))</f>
        <v/>
      </c>
      <c r="I353" s="35">
        <f>IF($F353="","",IFERROR(INDEX(사건마스터!$H$5:$H$64,MATCH($F353,사건마스터!$A$5:$A$64,0)),""))</f>
        <v/>
      </c>
      <c r="J353" s="35">
        <f>IF($F353="","",IFERROR(INDEX(사건마스터!$AH$5:$AH$64,MATCH($F353,사건마스터!$A$5:$A$64,0)),""))</f>
        <v/>
      </c>
      <c r="K353" s="35">
        <f>IF($F353="","",IFERROR(INDEX(사건마스터!$AI$5:$AI$64,MATCH($F353,사건마스터!$A$5:$A$64,0)),""))</f>
        <v/>
      </c>
      <c r="L353" s="35">
        <f>IF($F353="","",IFERROR(INDEX(사건마스터!$AJ$5:$AJ$64,MATCH($F353,사건마스터!$A$5:$A$64,0)),""))</f>
        <v/>
      </c>
      <c r="M353" s="35">
        <f>IF($F353="","",IFERROR(INDEX(사건마스터!$AK$5:$AK$64,MATCH($F353,사건마스터!$A$5:$A$64,0)),""))</f>
        <v/>
      </c>
      <c r="N353" s="35">
        <f>IF($F353="","",IFERROR(INDEX(사건마스터!$AL$5:$AL$64,MATCH($F353,사건마스터!$A$5:$A$64,0)),""))</f>
        <v/>
      </c>
      <c r="O353" s="35">
        <f>IF($F353="","",IFERROR(INDEX(사건마스터!$AM$5:$AM$64,MATCH($F353,사건마스터!$A$5:$A$64,0)),""))</f>
        <v/>
      </c>
      <c r="P353" s="35">
        <f>IF($F353="","",IFERROR(INDEX(사건마스터!$AN$5:$AN$64,MATCH($F353,사건마스터!$A$5:$A$64,0)),""))</f>
        <v/>
      </c>
      <c r="Q353" s="35">
        <f>IF($F353="","",IFERROR(INDEX(사건마스터!$AO$5:$AO$64,MATCH($F353,사건마스터!$A$5:$A$64,0)),""))</f>
        <v/>
      </c>
      <c r="R353" s="35">
        <f>IF($F353="","",IFERROR(INDEX(사건마스터!$AP$5:$AP$64,MATCH($F353,사건마스터!$A$5:$A$64,0)),""))</f>
        <v/>
      </c>
      <c r="S353" s="35">
        <f>IF($F353="","",IFERROR(INDEX(사건마스터!$AQ$5:$AQ$64,MATCH($F353,사건마스터!$A$5:$A$64,0)),""))</f>
        <v/>
      </c>
      <c r="T353" s="35">
        <f>IF($F353="","",IFERROR(INDEX(사건마스터!$AR$5:$AR$64,MATCH($F353,사건마스터!$A$5:$A$64,0)),""))</f>
        <v/>
      </c>
      <c r="U353" s="35">
        <f>IF($F353="","",IFERROR(INDEX(사건마스터!$AS$5:$AS$64,MATCH($F353,사건마스터!$A$5:$A$64,0)),""))</f>
        <v/>
      </c>
      <c r="V353" s="35">
        <f>IF($F353="","",IFERROR(INDEX(사건마스터!$AT$5:$AT$64,MATCH($F353,사건마스터!$A$5:$A$64,0)),""))</f>
        <v/>
      </c>
      <c r="W353" s="35">
        <f>IF($F353="","",IFERROR(INDEX(사건마스터!$AU$5:$AU$64,MATCH($F353,사건마스터!$A$5:$A$64,0)),""))</f>
        <v/>
      </c>
      <c r="X353" s="35">
        <f>IF($F353="","",IFERROR(INDEX(사건마스터!$AV$5:$AV$64,MATCH($F353,사건마스터!$A$5:$A$64,0)),""))</f>
        <v/>
      </c>
      <c r="Y353" s="30">
        <f>IF($I353="","",COUNTIF($I353:$X353,"?*"))</f>
        <v/>
      </c>
      <c r="Z353" s="33">
        <f>IF($I353="","",_xlfn.TEXTJOIN(", ",TRUE,$I353:$X353))</f>
        <v/>
      </c>
      <c r="AA353" s="34">
        <f>IF($I353="","",IFERROR(INDEX(코드설정!$D$5:$D$24,MATCH($I353,코드설정!$C$5:$C$24,0)),""))</f>
        <v/>
      </c>
      <c r="AB353" s="36" t="n"/>
      <c r="AC353" s="37" t="n"/>
      <c r="AD353" s="38" t="n"/>
      <c r="AE353" s="30">
        <f>IF(OR($B353="",$C353=""),"",$C353-$B353+1)</f>
        <v/>
      </c>
      <c r="AF353" s="32" t="n"/>
      <c r="AG353" s="36" t="n"/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3">
        <f>IF($F354="","",IFERROR(INDEX(사건마스터!$B$5:$B$64,MATCH($F354,사건마스터!$A$5:$A$64,0)),""))</f>
        <v/>
      </c>
      <c r="H354" s="34">
        <f>IF($F354="","",IFERROR(INDEX(사건마스터!$C$5:$C$64,MATCH($F354,사건마스터!$A$5:$A$64,0)),""))</f>
        <v/>
      </c>
      <c r="I354" s="35">
        <f>IF($F354="","",IFERROR(INDEX(사건마스터!$H$5:$H$64,MATCH($F354,사건마스터!$A$5:$A$64,0)),""))</f>
        <v/>
      </c>
      <c r="J354" s="35">
        <f>IF($F354="","",IFERROR(INDEX(사건마스터!$AH$5:$AH$64,MATCH($F354,사건마스터!$A$5:$A$64,0)),""))</f>
        <v/>
      </c>
      <c r="K354" s="35">
        <f>IF($F354="","",IFERROR(INDEX(사건마스터!$AI$5:$AI$64,MATCH($F354,사건마스터!$A$5:$A$64,0)),""))</f>
        <v/>
      </c>
      <c r="L354" s="35">
        <f>IF($F354="","",IFERROR(INDEX(사건마스터!$AJ$5:$AJ$64,MATCH($F354,사건마스터!$A$5:$A$64,0)),""))</f>
        <v/>
      </c>
      <c r="M354" s="35">
        <f>IF($F354="","",IFERROR(INDEX(사건마스터!$AK$5:$AK$64,MATCH($F354,사건마스터!$A$5:$A$64,0)),""))</f>
        <v/>
      </c>
      <c r="N354" s="35">
        <f>IF($F354="","",IFERROR(INDEX(사건마스터!$AL$5:$AL$64,MATCH($F354,사건마스터!$A$5:$A$64,0)),""))</f>
        <v/>
      </c>
      <c r="O354" s="35">
        <f>IF($F354="","",IFERROR(INDEX(사건마스터!$AM$5:$AM$64,MATCH($F354,사건마스터!$A$5:$A$64,0)),""))</f>
        <v/>
      </c>
      <c r="P354" s="35">
        <f>IF($F354="","",IFERROR(INDEX(사건마스터!$AN$5:$AN$64,MATCH($F354,사건마스터!$A$5:$A$64,0)),""))</f>
        <v/>
      </c>
      <c r="Q354" s="35">
        <f>IF($F354="","",IFERROR(INDEX(사건마스터!$AO$5:$AO$64,MATCH($F354,사건마스터!$A$5:$A$64,0)),""))</f>
        <v/>
      </c>
      <c r="R354" s="35">
        <f>IF($F354="","",IFERROR(INDEX(사건마스터!$AP$5:$AP$64,MATCH($F354,사건마스터!$A$5:$A$64,0)),""))</f>
        <v/>
      </c>
      <c r="S354" s="35">
        <f>IF($F354="","",IFERROR(INDEX(사건마스터!$AQ$5:$AQ$64,MATCH($F354,사건마스터!$A$5:$A$64,0)),""))</f>
        <v/>
      </c>
      <c r="T354" s="35">
        <f>IF($F354="","",IFERROR(INDEX(사건마스터!$AR$5:$AR$64,MATCH($F354,사건마스터!$A$5:$A$64,0)),""))</f>
        <v/>
      </c>
      <c r="U354" s="35">
        <f>IF($F354="","",IFERROR(INDEX(사건마스터!$AS$5:$AS$64,MATCH($F354,사건마스터!$A$5:$A$64,0)),""))</f>
        <v/>
      </c>
      <c r="V354" s="35">
        <f>IF($F354="","",IFERROR(INDEX(사건마스터!$AT$5:$AT$64,MATCH($F354,사건마스터!$A$5:$A$64,0)),""))</f>
        <v/>
      </c>
      <c r="W354" s="35">
        <f>IF($F354="","",IFERROR(INDEX(사건마스터!$AU$5:$AU$64,MATCH($F354,사건마스터!$A$5:$A$64,0)),""))</f>
        <v/>
      </c>
      <c r="X354" s="35">
        <f>IF($F354="","",IFERROR(INDEX(사건마스터!$AV$5:$AV$64,MATCH($F354,사건마스터!$A$5:$A$64,0)),""))</f>
        <v/>
      </c>
      <c r="Y354" s="30">
        <f>IF($I354="","",COUNTIF($I354:$X354,"?*"))</f>
        <v/>
      </c>
      <c r="Z354" s="33">
        <f>IF($I354="","",_xlfn.TEXTJOIN(", ",TRUE,$I354:$X354))</f>
        <v/>
      </c>
      <c r="AA354" s="34">
        <f>IF($I354="","",IFERROR(INDEX(코드설정!$D$5:$D$24,MATCH($I354,코드설정!$C$5:$C$24,0)),""))</f>
        <v/>
      </c>
      <c r="AB354" s="36" t="n"/>
      <c r="AC354" s="37" t="n"/>
      <c r="AD354" s="38" t="n"/>
      <c r="AE354" s="30">
        <f>IF(OR($B354="",$C354=""),"",$C354-$B354+1)</f>
        <v/>
      </c>
      <c r="AF354" s="32" t="n"/>
      <c r="AG354" s="36" t="n"/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3">
        <f>IF($F355="","",IFERROR(INDEX(사건마스터!$B$5:$B$64,MATCH($F355,사건마스터!$A$5:$A$64,0)),""))</f>
        <v/>
      </c>
      <c r="H355" s="34">
        <f>IF($F355="","",IFERROR(INDEX(사건마스터!$C$5:$C$64,MATCH($F355,사건마스터!$A$5:$A$64,0)),""))</f>
        <v/>
      </c>
      <c r="I355" s="35">
        <f>IF($F355="","",IFERROR(INDEX(사건마스터!$H$5:$H$64,MATCH($F355,사건마스터!$A$5:$A$64,0)),""))</f>
        <v/>
      </c>
      <c r="J355" s="35">
        <f>IF($F355="","",IFERROR(INDEX(사건마스터!$AH$5:$AH$64,MATCH($F355,사건마스터!$A$5:$A$64,0)),""))</f>
        <v/>
      </c>
      <c r="K355" s="35">
        <f>IF($F355="","",IFERROR(INDEX(사건마스터!$AI$5:$AI$64,MATCH($F355,사건마스터!$A$5:$A$64,0)),""))</f>
        <v/>
      </c>
      <c r="L355" s="35">
        <f>IF($F355="","",IFERROR(INDEX(사건마스터!$AJ$5:$AJ$64,MATCH($F355,사건마스터!$A$5:$A$64,0)),""))</f>
        <v/>
      </c>
      <c r="M355" s="35">
        <f>IF($F355="","",IFERROR(INDEX(사건마스터!$AK$5:$AK$64,MATCH($F355,사건마스터!$A$5:$A$64,0)),""))</f>
        <v/>
      </c>
      <c r="N355" s="35">
        <f>IF($F355="","",IFERROR(INDEX(사건마스터!$AL$5:$AL$64,MATCH($F355,사건마스터!$A$5:$A$64,0)),""))</f>
        <v/>
      </c>
      <c r="O355" s="35">
        <f>IF($F355="","",IFERROR(INDEX(사건마스터!$AM$5:$AM$64,MATCH($F355,사건마스터!$A$5:$A$64,0)),""))</f>
        <v/>
      </c>
      <c r="P355" s="35">
        <f>IF($F355="","",IFERROR(INDEX(사건마스터!$AN$5:$AN$64,MATCH($F355,사건마스터!$A$5:$A$64,0)),""))</f>
        <v/>
      </c>
      <c r="Q355" s="35">
        <f>IF($F355="","",IFERROR(INDEX(사건마스터!$AO$5:$AO$64,MATCH($F355,사건마스터!$A$5:$A$64,0)),""))</f>
        <v/>
      </c>
      <c r="R355" s="35">
        <f>IF($F355="","",IFERROR(INDEX(사건마스터!$AP$5:$AP$64,MATCH($F355,사건마스터!$A$5:$A$64,0)),""))</f>
        <v/>
      </c>
      <c r="S355" s="35">
        <f>IF($F355="","",IFERROR(INDEX(사건마스터!$AQ$5:$AQ$64,MATCH($F355,사건마스터!$A$5:$A$64,0)),""))</f>
        <v/>
      </c>
      <c r="T355" s="35">
        <f>IF($F355="","",IFERROR(INDEX(사건마스터!$AR$5:$AR$64,MATCH($F355,사건마스터!$A$5:$A$64,0)),""))</f>
        <v/>
      </c>
      <c r="U355" s="35">
        <f>IF($F355="","",IFERROR(INDEX(사건마스터!$AS$5:$AS$64,MATCH($F355,사건마스터!$A$5:$A$64,0)),""))</f>
        <v/>
      </c>
      <c r="V355" s="35">
        <f>IF($F355="","",IFERROR(INDEX(사건마스터!$AT$5:$AT$64,MATCH($F355,사건마스터!$A$5:$A$64,0)),""))</f>
        <v/>
      </c>
      <c r="W355" s="35">
        <f>IF($F355="","",IFERROR(INDEX(사건마스터!$AU$5:$AU$64,MATCH($F355,사건마스터!$A$5:$A$64,0)),""))</f>
        <v/>
      </c>
      <c r="X355" s="35">
        <f>IF($F355="","",IFERROR(INDEX(사건마스터!$AV$5:$AV$64,MATCH($F355,사건마스터!$A$5:$A$64,0)),""))</f>
        <v/>
      </c>
      <c r="Y355" s="30">
        <f>IF($I355="","",COUNTIF($I355:$X355,"?*"))</f>
        <v/>
      </c>
      <c r="Z355" s="33">
        <f>IF($I355="","",_xlfn.TEXTJOIN(", ",TRUE,$I355:$X355))</f>
        <v/>
      </c>
      <c r="AA355" s="34">
        <f>IF($I355="","",IFERROR(INDEX(코드설정!$D$5:$D$24,MATCH($I355,코드설정!$C$5:$C$24,0)),""))</f>
        <v/>
      </c>
      <c r="AB355" s="36" t="n"/>
      <c r="AC355" s="37" t="n"/>
      <c r="AD355" s="38" t="n"/>
      <c r="AE355" s="30">
        <f>IF(OR($B355="",$C355=""),"",$C355-$B355+1)</f>
        <v/>
      </c>
      <c r="AF355" s="32" t="n"/>
      <c r="AG355" s="36" t="n"/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3">
        <f>IF($F356="","",IFERROR(INDEX(사건마스터!$B$5:$B$64,MATCH($F356,사건마스터!$A$5:$A$64,0)),""))</f>
        <v/>
      </c>
      <c r="H356" s="34">
        <f>IF($F356="","",IFERROR(INDEX(사건마스터!$C$5:$C$64,MATCH($F356,사건마스터!$A$5:$A$64,0)),""))</f>
        <v/>
      </c>
      <c r="I356" s="35">
        <f>IF($F356="","",IFERROR(INDEX(사건마스터!$H$5:$H$64,MATCH($F356,사건마스터!$A$5:$A$64,0)),""))</f>
        <v/>
      </c>
      <c r="J356" s="35">
        <f>IF($F356="","",IFERROR(INDEX(사건마스터!$AH$5:$AH$64,MATCH($F356,사건마스터!$A$5:$A$64,0)),""))</f>
        <v/>
      </c>
      <c r="K356" s="35">
        <f>IF($F356="","",IFERROR(INDEX(사건마스터!$AI$5:$AI$64,MATCH($F356,사건마스터!$A$5:$A$64,0)),""))</f>
        <v/>
      </c>
      <c r="L356" s="35">
        <f>IF($F356="","",IFERROR(INDEX(사건마스터!$AJ$5:$AJ$64,MATCH($F356,사건마스터!$A$5:$A$64,0)),""))</f>
        <v/>
      </c>
      <c r="M356" s="35">
        <f>IF($F356="","",IFERROR(INDEX(사건마스터!$AK$5:$AK$64,MATCH($F356,사건마스터!$A$5:$A$64,0)),""))</f>
        <v/>
      </c>
      <c r="N356" s="35">
        <f>IF($F356="","",IFERROR(INDEX(사건마스터!$AL$5:$AL$64,MATCH($F356,사건마스터!$A$5:$A$64,0)),""))</f>
        <v/>
      </c>
      <c r="O356" s="35">
        <f>IF($F356="","",IFERROR(INDEX(사건마스터!$AM$5:$AM$64,MATCH($F356,사건마스터!$A$5:$A$64,0)),""))</f>
        <v/>
      </c>
      <c r="P356" s="35">
        <f>IF($F356="","",IFERROR(INDEX(사건마스터!$AN$5:$AN$64,MATCH($F356,사건마스터!$A$5:$A$64,0)),""))</f>
        <v/>
      </c>
      <c r="Q356" s="35">
        <f>IF($F356="","",IFERROR(INDEX(사건마스터!$AO$5:$AO$64,MATCH($F356,사건마스터!$A$5:$A$64,0)),""))</f>
        <v/>
      </c>
      <c r="R356" s="35">
        <f>IF($F356="","",IFERROR(INDEX(사건마스터!$AP$5:$AP$64,MATCH($F356,사건마스터!$A$5:$A$64,0)),""))</f>
        <v/>
      </c>
      <c r="S356" s="35">
        <f>IF($F356="","",IFERROR(INDEX(사건마스터!$AQ$5:$AQ$64,MATCH($F356,사건마스터!$A$5:$A$64,0)),""))</f>
        <v/>
      </c>
      <c r="T356" s="35">
        <f>IF($F356="","",IFERROR(INDEX(사건마스터!$AR$5:$AR$64,MATCH($F356,사건마스터!$A$5:$A$64,0)),""))</f>
        <v/>
      </c>
      <c r="U356" s="35">
        <f>IF($F356="","",IFERROR(INDEX(사건마스터!$AS$5:$AS$64,MATCH($F356,사건마스터!$A$5:$A$64,0)),""))</f>
        <v/>
      </c>
      <c r="V356" s="35">
        <f>IF($F356="","",IFERROR(INDEX(사건마스터!$AT$5:$AT$64,MATCH($F356,사건마스터!$A$5:$A$64,0)),""))</f>
        <v/>
      </c>
      <c r="W356" s="35">
        <f>IF($F356="","",IFERROR(INDEX(사건마스터!$AU$5:$AU$64,MATCH($F356,사건마스터!$A$5:$A$64,0)),""))</f>
        <v/>
      </c>
      <c r="X356" s="35">
        <f>IF($F356="","",IFERROR(INDEX(사건마스터!$AV$5:$AV$64,MATCH($F356,사건마스터!$A$5:$A$64,0)),""))</f>
        <v/>
      </c>
      <c r="Y356" s="30">
        <f>IF($I356="","",COUNTIF($I356:$X356,"?*"))</f>
        <v/>
      </c>
      <c r="Z356" s="33">
        <f>IF($I356="","",_xlfn.TEXTJOIN(", ",TRUE,$I356:$X356))</f>
        <v/>
      </c>
      <c r="AA356" s="34">
        <f>IF($I356="","",IFERROR(INDEX(코드설정!$D$5:$D$24,MATCH($I356,코드설정!$C$5:$C$24,0)),""))</f>
        <v/>
      </c>
      <c r="AB356" s="36" t="n"/>
      <c r="AC356" s="37" t="n"/>
      <c r="AD356" s="38" t="n"/>
      <c r="AE356" s="30">
        <f>IF(OR($B356="",$C356=""),"",$C356-$B356+1)</f>
        <v/>
      </c>
      <c r="AF356" s="32" t="n"/>
      <c r="AG356" s="36" t="n"/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3">
        <f>IF($F357="","",IFERROR(INDEX(사건마스터!$B$5:$B$64,MATCH($F357,사건마스터!$A$5:$A$64,0)),""))</f>
        <v/>
      </c>
      <c r="H357" s="34">
        <f>IF($F357="","",IFERROR(INDEX(사건마스터!$C$5:$C$64,MATCH($F357,사건마스터!$A$5:$A$64,0)),""))</f>
        <v/>
      </c>
      <c r="I357" s="35">
        <f>IF($F357="","",IFERROR(INDEX(사건마스터!$H$5:$H$64,MATCH($F357,사건마스터!$A$5:$A$64,0)),""))</f>
        <v/>
      </c>
      <c r="J357" s="35">
        <f>IF($F357="","",IFERROR(INDEX(사건마스터!$AH$5:$AH$64,MATCH($F357,사건마스터!$A$5:$A$64,0)),""))</f>
        <v/>
      </c>
      <c r="K357" s="35">
        <f>IF($F357="","",IFERROR(INDEX(사건마스터!$AI$5:$AI$64,MATCH($F357,사건마스터!$A$5:$A$64,0)),""))</f>
        <v/>
      </c>
      <c r="L357" s="35">
        <f>IF($F357="","",IFERROR(INDEX(사건마스터!$AJ$5:$AJ$64,MATCH($F357,사건마스터!$A$5:$A$64,0)),""))</f>
        <v/>
      </c>
      <c r="M357" s="35">
        <f>IF($F357="","",IFERROR(INDEX(사건마스터!$AK$5:$AK$64,MATCH($F357,사건마스터!$A$5:$A$64,0)),""))</f>
        <v/>
      </c>
      <c r="N357" s="35">
        <f>IF($F357="","",IFERROR(INDEX(사건마스터!$AL$5:$AL$64,MATCH($F357,사건마스터!$A$5:$A$64,0)),""))</f>
        <v/>
      </c>
      <c r="O357" s="35">
        <f>IF($F357="","",IFERROR(INDEX(사건마스터!$AM$5:$AM$64,MATCH($F357,사건마스터!$A$5:$A$64,0)),""))</f>
        <v/>
      </c>
      <c r="P357" s="35">
        <f>IF($F357="","",IFERROR(INDEX(사건마스터!$AN$5:$AN$64,MATCH($F357,사건마스터!$A$5:$A$64,0)),""))</f>
        <v/>
      </c>
      <c r="Q357" s="35">
        <f>IF($F357="","",IFERROR(INDEX(사건마스터!$AO$5:$AO$64,MATCH($F357,사건마스터!$A$5:$A$64,0)),""))</f>
        <v/>
      </c>
      <c r="R357" s="35">
        <f>IF($F357="","",IFERROR(INDEX(사건마스터!$AP$5:$AP$64,MATCH($F357,사건마스터!$A$5:$A$64,0)),""))</f>
        <v/>
      </c>
      <c r="S357" s="35">
        <f>IF($F357="","",IFERROR(INDEX(사건마스터!$AQ$5:$AQ$64,MATCH($F357,사건마스터!$A$5:$A$64,0)),""))</f>
        <v/>
      </c>
      <c r="T357" s="35">
        <f>IF($F357="","",IFERROR(INDEX(사건마스터!$AR$5:$AR$64,MATCH($F357,사건마스터!$A$5:$A$64,0)),""))</f>
        <v/>
      </c>
      <c r="U357" s="35">
        <f>IF($F357="","",IFERROR(INDEX(사건마스터!$AS$5:$AS$64,MATCH($F357,사건마스터!$A$5:$A$64,0)),""))</f>
        <v/>
      </c>
      <c r="V357" s="35">
        <f>IF($F357="","",IFERROR(INDEX(사건마스터!$AT$5:$AT$64,MATCH($F357,사건마스터!$A$5:$A$64,0)),""))</f>
        <v/>
      </c>
      <c r="W357" s="35">
        <f>IF($F357="","",IFERROR(INDEX(사건마스터!$AU$5:$AU$64,MATCH($F357,사건마스터!$A$5:$A$64,0)),""))</f>
        <v/>
      </c>
      <c r="X357" s="35">
        <f>IF($F357="","",IFERROR(INDEX(사건마스터!$AV$5:$AV$64,MATCH($F357,사건마스터!$A$5:$A$64,0)),""))</f>
        <v/>
      </c>
      <c r="Y357" s="30">
        <f>IF($I357="","",COUNTIF($I357:$X357,"?*"))</f>
        <v/>
      </c>
      <c r="Z357" s="33">
        <f>IF($I357="","",_xlfn.TEXTJOIN(", ",TRUE,$I357:$X357))</f>
        <v/>
      </c>
      <c r="AA357" s="34">
        <f>IF($I357="","",IFERROR(INDEX(코드설정!$D$5:$D$24,MATCH($I357,코드설정!$C$5:$C$24,0)),""))</f>
        <v/>
      </c>
      <c r="AB357" s="36" t="n"/>
      <c r="AC357" s="37" t="n"/>
      <c r="AD357" s="38" t="n"/>
      <c r="AE357" s="30">
        <f>IF(OR($B357="",$C357=""),"",$C357-$B357+1)</f>
        <v/>
      </c>
      <c r="AF357" s="32" t="n"/>
      <c r="AG357" s="36" t="n"/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3">
        <f>IF($F358="","",IFERROR(INDEX(사건마스터!$B$5:$B$64,MATCH($F358,사건마스터!$A$5:$A$64,0)),""))</f>
        <v/>
      </c>
      <c r="H358" s="34">
        <f>IF($F358="","",IFERROR(INDEX(사건마스터!$C$5:$C$64,MATCH($F358,사건마스터!$A$5:$A$64,0)),""))</f>
        <v/>
      </c>
      <c r="I358" s="35">
        <f>IF($F358="","",IFERROR(INDEX(사건마스터!$H$5:$H$64,MATCH($F358,사건마스터!$A$5:$A$64,0)),""))</f>
        <v/>
      </c>
      <c r="J358" s="35">
        <f>IF($F358="","",IFERROR(INDEX(사건마스터!$AH$5:$AH$64,MATCH($F358,사건마스터!$A$5:$A$64,0)),""))</f>
        <v/>
      </c>
      <c r="K358" s="35">
        <f>IF($F358="","",IFERROR(INDEX(사건마스터!$AI$5:$AI$64,MATCH($F358,사건마스터!$A$5:$A$64,0)),""))</f>
        <v/>
      </c>
      <c r="L358" s="35">
        <f>IF($F358="","",IFERROR(INDEX(사건마스터!$AJ$5:$AJ$64,MATCH($F358,사건마스터!$A$5:$A$64,0)),""))</f>
        <v/>
      </c>
      <c r="M358" s="35">
        <f>IF($F358="","",IFERROR(INDEX(사건마스터!$AK$5:$AK$64,MATCH($F358,사건마스터!$A$5:$A$64,0)),""))</f>
        <v/>
      </c>
      <c r="N358" s="35">
        <f>IF($F358="","",IFERROR(INDEX(사건마스터!$AL$5:$AL$64,MATCH($F358,사건마스터!$A$5:$A$64,0)),""))</f>
        <v/>
      </c>
      <c r="O358" s="35">
        <f>IF($F358="","",IFERROR(INDEX(사건마스터!$AM$5:$AM$64,MATCH($F358,사건마스터!$A$5:$A$64,0)),""))</f>
        <v/>
      </c>
      <c r="P358" s="35">
        <f>IF($F358="","",IFERROR(INDEX(사건마스터!$AN$5:$AN$64,MATCH($F358,사건마스터!$A$5:$A$64,0)),""))</f>
        <v/>
      </c>
      <c r="Q358" s="35">
        <f>IF($F358="","",IFERROR(INDEX(사건마스터!$AO$5:$AO$64,MATCH($F358,사건마스터!$A$5:$A$64,0)),""))</f>
        <v/>
      </c>
      <c r="R358" s="35">
        <f>IF($F358="","",IFERROR(INDEX(사건마스터!$AP$5:$AP$64,MATCH($F358,사건마스터!$A$5:$A$64,0)),""))</f>
        <v/>
      </c>
      <c r="S358" s="35">
        <f>IF($F358="","",IFERROR(INDEX(사건마스터!$AQ$5:$AQ$64,MATCH($F358,사건마스터!$A$5:$A$64,0)),""))</f>
        <v/>
      </c>
      <c r="T358" s="35">
        <f>IF($F358="","",IFERROR(INDEX(사건마스터!$AR$5:$AR$64,MATCH($F358,사건마스터!$A$5:$A$64,0)),""))</f>
        <v/>
      </c>
      <c r="U358" s="35">
        <f>IF($F358="","",IFERROR(INDEX(사건마스터!$AS$5:$AS$64,MATCH($F358,사건마스터!$A$5:$A$64,0)),""))</f>
        <v/>
      </c>
      <c r="V358" s="35">
        <f>IF($F358="","",IFERROR(INDEX(사건마스터!$AT$5:$AT$64,MATCH($F358,사건마스터!$A$5:$A$64,0)),""))</f>
        <v/>
      </c>
      <c r="W358" s="35">
        <f>IF($F358="","",IFERROR(INDEX(사건마스터!$AU$5:$AU$64,MATCH($F358,사건마스터!$A$5:$A$64,0)),""))</f>
        <v/>
      </c>
      <c r="X358" s="35">
        <f>IF($F358="","",IFERROR(INDEX(사건마스터!$AV$5:$AV$64,MATCH($F358,사건마스터!$A$5:$A$64,0)),""))</f>
        <v/>
      </c>
      <c r="Y358" s="30">
        <f>IF($I358="","",COUNTIF($I358:$X358,"?*"))</f>
        <v/>
      </c>
      <c r="Z358" s="33">
        <f>IF($I358="","",_xlfn.TEXTJOIN(", ",TRUE,$I358:$X358))</f>
        <v/>
      </c>
      <c r="AA358" s="34">
        <f>IF($I358="","",IFERROR(INDEX(코드설정!$D$5:$D$24,MATCH($I358,코드설정!$C$5:$C$24,0)),""))</f>
        <v/>
      </c>
      <c r="AB358" s="36" t="n"/>
      <c r="AC358" s="37" t="n"/>
      <c r="AD358" s="38" t="n"/>
      <c r="AE358" s="30">
        <f>IF(OR($B358="",$C358=""),"",$C358-$B358+1)</f>
        <v/>
      </c>
      <c r="AF358" s="32" t="n"/>
      <c r="AG358" s="36" t="n"/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3">
        <f>IF($F359="","",IFERROR(INDEX(사건마스터!$B$5:$B$64,MATCH($F359,사건마스터!$A$5:$A$64,0)),""))</f>
        <v/>
      </c>
      <c r="H359" s="34">
        <f>IF($F359="","",IFERROR(INDEX(사건마스터!$C$5:$C$64,MATCH($F359,사건마스터!$A$5:$A$64,0)),""))</f>
        <v/>
      </c>
      <c r="I359" s="35">
        <f>IF($F359="","",IFERROR(INDEX(사건마스터!$H$5:$H$64,MATCH($F359,사건마스터!$A$5:$A$64,0)),""))</f>
        <v/>
      </c>
      <c r="J359" s="35">
        <f>IF($F359="","",IFERROR(INDEX(사건마스터!$AH$5:$AH$64,MATCH($F359,사건마스터!$A$5:$A$64,0)),""))</f>
        <v/>
      </c>
      <c r="K359" s="35">
        <f>IF($F359="","",IFERROR(INDEX(사건마스터!$AI$5:$AI$64,MATCH($F359,사건마스터!$A$5:$A$64,0)),""))</f>
        <v/>
      </c>
      <c r="L359" s="35">
        <f>IF($F359="","",IFERROR(INDEX(사건마스터!$AJ$5:$AJ$64,MATCH($F359,사건마스터!$A$5:$A$64,0)),""))</f>
        <v/>
      </c>
      <c r="M359" s="35">
        <f>IF($F359="","",IFERROR(INDEX(사건마스터!$AK$5:$AK$64,MATCH($F359,사건마스터!$A$5:$A$64,0)),""))</f>
        <v/>
      </c>
      <c r="N359" s="35">
        <f>IF($F359="","",IFERROR(INDEX(사건마스터!$AL$5:$AL$64,MATCH($F359,사건마스터!$A$5:$A$64,0)),""))</f>
        <v/>
      </c>
      <c r="O359" s="35">
        <f>IF($F359="","",IFERROR(INDEX(사건마스터!$AM$5:$AM$64,MATCH($F359,사건마스터!$A$5:$A$64,0)),""))</f>
        <v/>
      </c>
      <c r="P359" s="35">
        <f>IF($F359="","",IFERROR(INDEX(사건마스터!$AN$5:$AN$64,MATCH($F359,사건마스터!$A$5:$A$64,0)),""))</f>
        <v/>
      </c>
      <c r="Q359" s="35">
        <f>IF($F359="","",IFERROR(INDEX(사건마스터!$AO$5:$AO$64,MATCH($F359,사건마스터!$A$5:$A$64,0)),""))</f>
        <v/>
      </c>
      <c r="R359" s="35">
        <f>IF($F359="","",IFERROR(INDEX(사건마스터!$AP$5:$AP$64,MATCH($F359,사건마스터!$A$5:$A$64,0)),""))</f>
        <v/>
      </c>
      <c r="S359" s="35">
        <f>IF($F359="","",IFERROR(INDEX(사건마스터!$AQ$5:$AQ$64,MATCH($F359,사건마스터!$A$5:$A$64,0)),""))</f>
        <v/>
      </c>
      <c r="T359" s="35">
        <f>IF($F359="","",IFERROR(INDEX(사건마스터!$AR$5:$AR$64,MATCH($F359,사건마스터!$A$5:$A$64,0)),""))</f>
        <v/>
      </c>
      <c r="U359" s="35">
        <f>IF($F359="","",IFERROR(INDEX(사건마스터!$AS$5:$AS$64,MATCH($F359,사건마스터!$A$5:$A$64,0)),""))</f>
        <v/>
      </c>
      <c r="V359" s="35">
        <f>IF($F359="","",IFERROR(INDEX(사건마스터!$AT$5:$AT$64,MATCH($F359,사건마스터!$A$5:$A$64,0)),""))</f>
        <v/>
      </c>
      <c r="W359" s="35">
        <f>IF($F359="","",IFERROR(INDEX(사건마스터!$AU$5:$AU$64,MATCH($F359,사건마스터!$A$5:$A$64,0)),""))</f>
        <v/>
      </c>
      <c r="X359" s="35">
        <f>IF($F359="","",IFERROR(INDEX(사건마스터!$AV$5:$AV$64,MATCH($F359,사건마스터!$A$5:$A$64,0)),""))</f>
        <v/>
      </c>
      <c r="Y359" s="30">
        <f>IF($I359="","",COUNTIF($I359:$X359,"?*"))</f>
        <v/>
      </c>
      <c r="Z359" s="33">
        <f>IF($I359="","",_xlfn.TEXTJOIN(", ",TRUE,$I359:$X359))</f>
        <v/>
      </c>
      <c r="AA359" s="34">
        <f>IF($I359="","",IFERROR(INDEX(코드설정!$D$5:$D$24,MATCH($I359,코드설정!$C$5:$C$24,0)),""))</f>
        <v/>
      </c>
      <c r="AB359" s="36" t="n"/>
      <c r="AC359" s="37" t="n"/>
      <c r="AD359" s="38" t="n"/>
      <c r="AE359" s="30">
        <f>IF(OR($B359="",$C359=""),"",$C359-$B359+1)</f>
        <v/>
      </c>
      <c r="AF359" s="32" t="n"/>
      <c r="AG359" s="36" t="n"/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3">
        <f>IF($F360="","",IFERROR(INDEX(사건마스터!$B$5:$B$64,MATCH($F360,사건마스터!$A$5:$A$64,0)),""))</f>
        <v/>
      </c>
      <c r="H360" s="34">
        <f>IF($F360="","",IFERROR(INDEX(사건마스터!$C$5:$C$64,MATCH($F360,사건마스터!$A$5:$A$64,0)),""))</f>
        <v/>
      </c>
      <c r="I360" s="35">
        <f>IF($F360="","",IFERROR(INDEX(사건마스터!$H$5:$H$64,MATCH($F360,사건마스터!$A$5:$A$64,0)),""))</f>
        <v/>
      </c>
      <c r="J360" s="35">
        <f>IF($F360="","",IFERROR(INDEX(사건마스터!$AH$5:$AH$64,MATCH($F360,사건마스터!$A$5:$A$64,0)),""))</f>
        <v/>
      </c>
      <c r="K360" s="35">
        <f>IF($F360="","",IFERROR(INDEX(사건마스터!$AI$5:$AI$64,MATCH($F360,사건마스터!$A$5:$A$64,0)),""))</f>
        <v/>
      </c>
      <c r="L360" s="35">
        <f>IF($F360="","",IFERROR(INDEX(사건마스터!$AJ$5:$AJ$64,MATCH($F360,사건마스터!$A$5:$A$64,0)),""))</f>
        <v/>
      </c>
      <c r="M360" s="35">
        <f>IF($F360="","",IFERROR(INDEX(사건마스터!$AK$5:$AK$64,MATCH($F360,사건마스터!$A$5:$A$64,0)),""))</f>
        <v/>
      </c>
      <c r="N360" s="35">
        <f>IF($F360="","",IFERROR(INDEX(사건마스터!$AL$5:$AL$64,MATCH($F360,사건마스터!$A$5:$A$64,0)),""))</f>
        <v/>
      </c>
      <c r="O360" s="35">
        <f>IF($F360="","",IFERROR(INDEX(사건마스터!$AM$5:$AM$64,MATCH($F360,사건마스터!$A$5:$A$64,0)),""))</f>
        <v/>
      </c>
      <c r="P360" s="35">
        <f>IF($F360="","",IFERROR(INDEX(사건마스터!$AN$5:$AN$64,MATCH($F360,사건마스터!$A$5:$A$64,0)),""))</f>
        <v/>
      </c>
      <c r="Q360" s="35">
        <f>IF($F360="","",IFERROR(INDEX(사건마스터!$AO$5:$AO$64,MATCH($F360,사건마스터!$A$5:$A$64,0)),""))</f>
        <v/>
      </c>
      <c r="R360" s="35">
        <f>IF($F360="","",IFERROR(INDEX(사건마스터!$AP$5:$AP$64,MATCH($F360,사건마스터!$A$5:$A$64,0)),""))</f>
        <v/>
      </c>
      <c r="S360" s="35">
        <f>IF($F360="","",IFERROR(INDEX(사건마스터!$AQ$5:$AQ$64,MATCH($F360,사건마스터!$A$5:$A$64,0)),""))</f>
        <v/>
      </c>
      <c r="T360" s="35">
        <f>IF($F360="","",IFERROR(INDEX(사건마스터!$AR$5:$AR$64,MATCH($F360,사건마스터!$A$5:$A$64,0)),""))</f>
        <v/>
      </c>
      <c r="U360" s="35">
        <f>IF($F360="","",IFERROR(INDEX(사건마스터!$AS$5:$AS$64,MATCH($F360,사건마스터!$A$5:$A$64,0)),""))</f>
        <v/>
      </c>
      <c r="V360" s="35">
        <f>IF($F360="","",IFERROR(INDEX(사건마스터!$AT$5:$AT$64,MATCH($F360,사건마스터!$A$5:$A$64,0)),""))</f>
        <v/>
      </c>
      <c r="W360" s="35">
        <f>IF($F360="","",IFERROR(INDEX(사건마스터!$AU$5:$AU$64,MATCH($F360,사건마스터!$A$5:$A$64,0)),""))</f>
        <v/>
      </c>
      <c r="X360" s="35">
        <f>IF($F360="","",IFERROR(INDEX(사건마스터!$AV$5:$AV$64,MATCH($F360,사건마스터!$A$5:$A$64,0)),""))</f>
        <v/>
      </c>
      <c r="Y360" s="30">
        <f>IF($I360="","",COUNTIF($I360:$X360,"?*"))</f>
        <v/>
      </c>
      <c r="Z360" s="33">
        <f>IF($I360="","",_xlfn.TEXTJOIN(", ",TRUE,$I360:$X360))</f>
        <v/>
      </c>
      <c r="AA360" s="34">
        <f>IF($I360="","",IFERROR(INDEX(코드설정!$D$5:$D$24,MATCH($I360,코드설정!$C$5:$C$24,0)),""))</f>
        <v/>
      </c>
      <c r="AB360" s="36" t="n"/>
      <c r="AC360" s="37" t="n"/>
      <c r="AD360" s="38" t="n"/>
      <c r="AE360" s="30">
        <f>IF(OR($B360="",$C360=""),"",$C360-$B360+1)</f>
        <v/>
      </c>
      <c r="AF360" s="32" t="n"/>
      <c r="AG360" s="36" t="n"/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3">
        <f>IF($F361="","",IFERROR(INDEX(사건마스터!$B$5:$B$64,MATCH($F361,사건마스터!$A$5:$A$64,0)),""))</f>
        <v/>
      </c>
      <c r="H361" s="34">
        <f>IF($F361="","",IFERROR(INDEX(사건마스터!$C$5:$C$64,MATCH($F361,사건마스터!$A$5:$A$64,0)),""))</f>
        <v/>
      </c>
      <c r="I361" s="35">
        <f>IF($F361="","",IFERROR(INDEX(사건마스터!$H$5:$H$64,MATCH($F361,사건마스터!$A$5:$A$64,0)),""))</f>
        <v/>
      </c>
      <c r="J361" s="35">
        <f>IF($F361="","",IFERROR(INDEX(사건마스터!$AH$5:$AH$64,MATCH($F361,사건마스터!$A$5:$A$64,0)),""))</f>
        <v/>
      </c>
      <c r="K361" s="35">
        <f>IF($F361="","",IFERROR(INDEX(사건마스터!$AI$5:$AI$64,MATCH($F361,사건마스터!$A$5:$A$64,0)),""))</f>
        <v/>
      </c>
      <c r="L361" s="35">
        <f>IF($F361="","",IFERROR(INDEX(사건마스터!$AJ$5:$AJ$64,MATCH($F361,사건마스터!$A$5:$A$64,0)),""))</f>
        <v/>
      </c>
      <c r="M361" s="35">
        <f>IF($F361="","",IFERROR(INDEX(사건마스터!$AK$5:$AK$64,MATCH($F361,사건마스터!$A$5:$A$64,0)),""))</f>
        <v/>
      </c>
      <c r="N361" s="35">
        <f>IF($F361="","",IFERROR(INDEX(사건마스터!$AL$5:$AL$64,MATCH($F361,사건마스터!$A$5:$A$64,0)),""))</f>
        <v/>
      </c>
      <c r="O361" s="35">
        <f>IF($F361="","",IFERROR(INDEX(사건마스터!$AM$5:$AM$64,MATCH($F361,사건마스터!$A$5:$A$64,0)),""))</f>
        <v/>
      </c>
      <c r="P361" s="35">
        <f>IF($F361="","",IFERROR(INDEX(사건마스터!$AN$5:$AN$64,MATCH($F361,사건마스터!$A$5:$A$64,0)),""))</f>
        <v/>
      </c>
      <c r="Q361" s="35">
        <f>IF($F361="","",IFERROR(INDEX(사건마스터!$AO$5:$AO$64,MATCH($F361,사건마스터!$A$5:$A$64,0)),""))</f>
        <v/>
      </c>
      <c r="R361" s="35">
        <f>IF($F361="","",IFERROR(INDEX(사건마스터!$AP$5:$AP$64,MATCH($F361,사건마스터!$A$5:$A$64,0)),""))</f>
        <v/>
      </c>
      <c r="S361" s="35">
        <f>IF($F361="","",IFERROR(INDEX(사건마스터!$AQ$5:$AQ$64,MATCH($F361,사건마스터!$A$5:$A$64,0)),""))</f>
        <v/>
      </c>
      <c r="T361" s="35">
        <f>IF($F361="","",IFERROR(INDEX(사건마스터!$AR$5:$AR$64,MATCH($F361,사건마스터!$A$5:$A$64,0)),""))</f>
        <v/>
      </c>
      <c r="U361" s="35">
        <f>IF($F361="","",IFERROR(INDEX(사건마스터!$AS$5:$AS$64,MATCH($F361,사건마스터!$A$5:$A$64,0)),""))</f>
        <v/>
      </c>
      <c r="V361" s="35">
        <f>IF($F361="","",IFERROR(INDEX(사건마스터!$AT$5:$AT$64,MATCH($F361,사건마스터!$A$5:$A$64,0)),""))</f>
        <v/>
      </c>
      <c r="W361" s="35">
        <f>IF($F361="","",IFERROR(INDEX(사건마스터!$AU$5:$AU$64,MATCH($F361,사건마스터!$A$5:$A$64,0)),""))</f>
        <v/>
      </c>
      <c r="X361" s="35">
        <f>IF($F361="","",IFERROR(INDEX(사건마스터!$AV$5:$AV$64,MATCH($F361,사건마스터!$A$5:$A$64,0)),""))</f>
        <v/>
      </c>
      <c r="Y361" s="30">
        <f>IF($I361="","",COUNTIF($I361:$X361,"?*"))</f>
        <v/>
      </c>
      <c r="Z361" s="33">
        <f>IF($I361="","",_xlfn.TEXTJOIN(", ",TRUE,$I361:$X361))</f>
        <v/>
      </c>
      <c r="AA361" s="34">
        <f>IF($I361="","",IFERROR(INDEX(코드설정!$D$5:$D$24,MATCH($I361,코드설정!$C$5:$C$24,0)),""))</f>
        <v/>
      </c>
      <c r="AB361" s="36" t="n"/>
      <c r="AC361" s="37" t="n"/>
      <c r="AD361" s="38" t="n"/>
      <c r="AE361" s="30">
        <f>IF(OR($B361="",$C361=""),"",$C361-$B361+1)</f>
        <v/>
      </c>
      <c r="AF361" s="32" t="n"/>
      <c r="AG361" s="36" t="n"/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3">
        <f>IF($F362="","",IFERROR(INDEX(사건마스터!$B$5:$B$64,MATCH($F362,사건마스터!$A$5:$A$64,0)),""))</f>
        <v/>
      </c>
      <c r="H362" s="34">
        <f>IF($F362="","",IFERROR(INDEX(사건마스터!$C$5:$C$64,MATCH($F362,사건마스터!$A$5:$A$64,0)),""))</f>
        <v/>
      </c>
      <c r="I362" s="35">
        <f>IF($F362="","",IFERROR(INDEX(사건마스터!$H$5:$H$64,MATCH($F362,사건마스터!$A$5:$A$64,0)),""))</f>
        <v/>
      </c>
      <c r="J362" s="35">
        <f>IF($F362="","",IFERROR(INDEX(사건마스터!$AH$5:$AH$64,MATCH($F362,사건마스터!$A$5:$A$64,0)),""))</f>
        <v/>
      </c>
      <c r="K362" s="35">
        <f>IF($F362="","",IFERROR(INDEX(사건마스터!$AI$5:$AI$64,MATCH($F362,사건마스터!$A$5:$A$64,0)),""))</f>
        <v/>
      </c>
      <c r="L362" s="35">
        <f>IF($F362="","",IFERROR(INDEX(사건마스터!$AJ$5:$AJ$64,MATCH($F362,사건마스터!$A$5:$A$64,0)),""))</f>
        <v/>
      </c>
      <c r="M362" s="35">
        <f>IF($F362="","",IFERROR(INDEX(사건마스터!$AK$5:$AK$64,MATCH($F362,사건마스터!$A$5:$A$64,0)),""))</f>
        <v/>
      </c>
      <c r="N362" s="35">
        <f>IF($F362="","",IFERROR(INDEX(사건마스터!$AL$5:$AL$64,MATCH($F362,사건마스터!$A$5:$A$64,0)),""))</f>
        <v/>
      </c>
      <c r="O362" s="35">
        <f>IF($F362="","",IFERROR(INDEX(사건마스터!$AM$5:$AM$64,MATCH($F362,사건마스터!$A$5:$A$64,0)),""))</f>
        <v/>
      </c>
      <c r="P362" s="35">
        <f>IF($F362="","",IFERROR(INDEX(사건마스터!$AN$5:$AN$64,MATCH($F362,사건마스터!$A$5:$A$64,0)),""))</f>
        <v/>
      </c>
      <c r="Q362" s="35">
        <f>IF($F362="","",IFERROR(INDEX(사건마스터!$AO$5:$AO$64,MATCH($F362,사건마스터!$A$5:$A$64,0)),""))</f>
        <v/>
      </c>
      <c r="R362" s="35">
        <f>IF($F362="","",IFERROR(INDEX(사건마스터!$AP$5:$AP$64,MATCH($F362,사건마스터!$A$5:$A$64,0)),""))</f>
        <v/>
      </c>
      <c r="S362" s="35">
        <f>IF($F362="","",IFERROR(INDEX(사건마스터!$AQ$5:$AQ$64,MATCH($F362,사건마스터!$A$5:$A$64,0)),""))</f>
        <v/>
      </c>
      <c r="T362" s="35">
        <f>IF($F362="","",IFERROR(INDEX(사건마스터!$AR$5:$AR$64,MATCH($F362,사건마스터!$A$5:$A$64,0)),""))</f>
        <v/>
      </c>
      <c r="U362" s="35">
        <f>IF($F362="","",IFERROR(INDEX(사건마스터!$AS$5:$AS$64,MATCH($F362,사건마스터!$A$5:$A$64,0)),""))</f>
        <v/>
      </c>
      <c r="V362" s="35">
        <f>IF($F362="","",IFERROR(INDEX(사건마스터!$AT$5:$AT$64,MATCH($F362,사건마스터!$A$5:$A$64,0)),""))</f>
        <v/>
      </c>
      <c r="W362" s="35">
        <f>IF($F362="","",IFERROR(INDEX(사건마스터!$AU$5:$AU$64,MATCH($F362,사건마스터!$A$5:$A$64,0)),""))</f>
        <v/>
      </c>
      <c r="X362" s="35">
        <f>IF($F362="","",IFERROR(INDEX(사건마스터!$AV$5:$AV$64,MATCH($F362,사건마스터!$A$5:$A$64,0)),""))</f>
        <v/>
      </c>
      <c r="Y362" s="30">
        <f>IF($I362="","",COUNTIF($I362:$X362,"?*"))</f>
        <v/>
      </c>
      <c r="Z362" s="33">
        <f>IF($I362="","",_xlfn.TEXTJOIN(", ",TRUE,$I362:$X362))</f>
        <v/>
      </c>
      <c r="AA362" s="34">
        <f>IF($I362="","",IFERROR(INDEX(코드설정!$D$5:$D$24,MATCH($I362,코드설정!$C$5:$C$24,0)),""))</f>
        <v/>
      </c>
      <c r="AB362" s="36" t="n"/>
      <c r="AC362" s="37" t="n"/>
      <c r="AD362" s="38" t="n"/>
      <c r="AE362" s="30">
        <f>IF(OR($B362="",$C362=""),"",$C362-$B362+1)</f>
        <v/>
      </c>
      <c r="AF362" s="32" t="n"/>
      <c r="AG362" s="36" t="n"/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3">
        <f>IF($F363="","",IFERROR(INDEX(사건마스터!$B$5:$B$64,MATCH($F363,사건마스터!$A$5:$A$64,0)),""))</f>
        <v/>
      </c>
      <c r="H363" s="34">
        <f>IF($F363="","",IFERROR(INDEX(사건마스터!$C$5:$C$64,MATCH($F363,사건마스터!$A$5:$A$64,0)),""))</f>
        <v/>
      </c>
      <c r="I363" s="35">
        <f>IF($F363="","",IFERROR(INDEX(사건마스터!$H$5:$H$64,MATCH($F363,사건마스터!$A$5:$A$64,0)),""))</f>
        <v/>
      </c>
      <c r="J363" s="35">
        <f>IF($F363="","",IFERROR(INDEX(사건마스터!$AH$5:$AH$64,MATCH($F363,사건마스터!$A$5:$A$64,0)),""))</f>
        <v/>
      </c>
      <c r="K363" s="35">
        <f>IF($F363="","",IFERROR(INDEX(사건마스터!$AI$5:$AI$64,MATCH($F363,사건마스터!$A$5:$A$64,0)),""))</f>
        <v/>
      </c>
      <c r="L363" s="35">
        <f>IF($F363="","",IFERROR(INDEX(사건마스터!$AJ$5:$AJ$64,MATCH($F363,사건마스터!$A$5:$A$64,0)),""))</f>
        <v/>
      </c>
      <c r="M363" s="35">
        <f>IF($F363="","",IFERROR(INDEX(사건마스터!$AK$5:$AK$64,MATCH($F363,사건마스터!$A$5:$A$64,0)),""))</f>
        <v/>
      </c>
      <c r="N363" s="35">
        <f>IF($F363="","",IFERROR(INDEX(사건마스터!$AL$5:$AL$64,MATCH($F363,사건마스터!$A$5:$A$64,0)),""))</f>
        <v/>
      </c>
      <c r="O363" s="35">
        <f>IF($F363="","",IFERROR(INDEX(사건마스터!$AM$5:$AM$64,MATCH($F363,사건마스터!$A$5:$A$64,0)),""))</f>
        <v/>
      </c>
      <c r="P363" s="35">
        <f>IF($F363="","",IFERROR(INDEX(사건마스터!$AN$5:$AN$64,MATCH($F363,사건마스터!$A$5:$A$64,0)),""))</f>
        <v/>
      </c>
      <c r="Q363" s="35">
        <f>IF($F363="","",IFERROR(INDEX(사건마스터!$AO$5:$AO$64,MATCH($F363,사건마스터!$A$5:$A$64,0)),""))</f>
        <v/>
      </c>
      <c r="R363" s="35">
        <f>IF($F363="","",IFERROR(INDEX(사건마스터!$AP$5:$AP$64,MATCH($F363,사건마스터!$A$5:$A$64,0)),""))</f>
        <v/>
      </c>
      <c r="S363" s="35">
        <f>IF($F363="","",IFERROR(INDEX(사건마스터!$AQ$5:$AQ$64,MATCH($F363,사건마스터!$A$5:$A$64,0)),""))</f>
        <v/>
      </c>
      <c r="T363" s="35">
        <f>IF($F363="","",IFERROR(INDEX(사건마스터!$AR$5:$AR$64,MATCH($F363,사건마스터!$A$5:$A$64,0)),""))</f>
        <v/>
      </c>
      <c r="U363" s="35">
        <f>IF($F363="","",IFERROR(INDEX(사건마스터!$AS$5:$AS$64,MATCH($F363,사건마스터!$A$5:$A$64,0)),""))</f>
        <v/>
      </c>
      <c r="V363" s="35">
        <f>IF($F363="","",IFERROR(INDEX(사건마스터!$AT$5:$AT$64,MATCH($F363,사건마스터!$A$5:$A$64,0)),""))</f>
        <v/>
      </c>
      <c r="W363" s="35">
        <f>IF($F363="","",IFERROR(INDEX(사건마스터!$AU$5:$AU$64,MATCH($F363,사건마스터!$A$5:$A$64,0)),""))</f>
        <v/>
      </c>
      <c r="X363" s="35">
        <f>IF($F363="","",IFERROR(INDEX(사건마스터!$AV$5:$AV$64,MATCH($F363,사건마스터!$A$5:$A$64,0)),""))</f>
        <v/>
      </c>
      <c r="Y363" s="30">
        <f>IF($I363="","",COUNTIF($I363:$X363,"?*"))</f>
        <v/>
      </c>
      <c r="Z363" s="33">
        <f>IF($I363="","",_xlfn.TEXTJOIN(", ",TRUE,$I363:$X363))</f>
        <v/>
      </c>
      <c r="AA363" s="34">
        <f>IF($I363="","",IFERROR(INDEX(코드설정!$D$5:$D$24,MATCH($I363,코드설정!$C$5:$C$24,0)),""))</f>
        <v/>
      </c>
      <c r="AB363" s="36" t="n"/>
      <c r="AC363" s="37" t="n"/>
      <c r="AD363" s="38" t="n"/>
      <c r="AE363" s="30">
        <f>IF(OR($B363="",$C363=""),"",$C363-$B363+1)</f>
        <v/>
      </c>
      <c r="AF363" s="32" t="n"/>
      <c r="AG363" s="36" t="n"/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3">
        <f>IF($F364="","",IFERROR(INDEX(사건마스터!$B$5:$B$64,MATCH($F364,사건마스터!$A$5:$A$64,0)),""))</f>
        <v/>
      </c>
      <c r="H364" s="34">
        <f>IF($F364="","",IFERROR(INDEX(사건마스터!$C$5:$C$64,MATCH($F364,사건마스터!$A$5:$A$64,0)),""))</f>
        <v/>
      </c>
      <c r="I364" s="35">
        <f>IF($F364="","",IFERROR(INDEX(사건마스터!$H$5:$H$64,MATCH($F364,사건마스터!$A$5:$A$64,0)),""))</f>
        <v/>
      </c>
      <c r="J364" s="35">
        <f>IF($F364="","",IFERROR(INDEX(사건마스터!$AH$5:$AH$64,MATCH($F364,사건마스터!$A$5:$A$64,0)),""))</f>
        <v/>
      </c>
      <c r="K364" s="35">
        <f>IF($F364="","",IFERROR(INDEX(사건마스터!$AI$5:$AI$64,MATCH($F364,사건마스터!$A$5:$A$64,0)),""))</f>
        <v/>
      </c>
      <c r="L364" s="35">
        <f>IF($F364="","",IFERROR(INDEX(사건마스터!$AJ$5:$AJ$64,MATCH($F364,사건마스터!$A$5:$A$64,0)),""))</f>
        <v/>
      </c>
      <c r="M364" s="35">
        <f>IF($F364="","",IFERROR(INDEX(사건마스터!$AK$5:$AK$64,MATCH($F364,사건마스터!$A$5:$A$64,0)),""))</f>
        <v/>
      </c>
      <c r="N364" s="35">
        <f>IF($F364="","",IFERROR(INDEX(사건마스터!$AL$5:$AL$64,MATCH($F364,사건마스터!$A$5:$A$64,0)),""))</f>
        <v/>
      </c>
      <c r="O364" s="35">
        <f>IF($F364="","",IFERROR(INDEX(사건마스터!$AM$5:$AM$64,MATCH($F364,사건마스터!$A$5:$A$64,0)),""))</f>
        <v/>
      </c>
      <c r="P364" s="35">
        <f>IF($F364="","",IFERROR(INDEX(사건마스터!$AN$5:$AN$64,MATCH($F364,사건마스터!$A$5:$A$64,0)),""))</f>
        <v/>
      </c>
      <c r="Q364" s="35">
        <f>IF($F364="","",IFERROR(INDEX(사건마스터!$AO$5:$AO$64,MATCH($F364,사건마스터!$A$5:$A$64,0)),""))</f>
        <v/>
      </c>
      <c r="R364" s="35">
        <f>IF($F364="","",IFERROR(INDEX(사건마스터!$AP$5:$AP$64,MATCH($F364,사건마스터!$A$5:$A$64,0)),""))</f>
        <v/>
      </c>
      <c r="S364" s="35">
        <f>IF($F364="","",IFERROR(INDEX(사건마스터!$AQ$5:$AQ$64,MATCH($F364,사건마스터!$A$5:$A$64,0)),""))</f>
        <v/>
      </c>
      <c r="T364" s="35">
        <f>IF($F364="","",IFERROR(INDEX(사건마스터!$AR$5:$AR$64,MATCH($F364,사건마스터!$A$5:$A$64,0)),""))</f>
        <v/>
      </c>
      <c r="U364" s="35">
        <f>IF($F364="","",IFERROR(INDEX(사건마스터!$AS$5:$AS$64,MATCH($F364,사건마스터!$A$5:$A$64,0)),""))</f>
        <v/>
      </c>
      <c r="V364" s="35">
        <f>IF($F364="","",IFERROR(INDEX(사건마스터!$AT$5:$AT$64,MATCH($F364,사건마스터!$A$5:$A$64,0)),""))</f>
        <v/>
      </c>
      <c r="W364" s="35">
        <f>IF($F364="","",IFERROR(INDEX(사건마스터!$AU$5:$AU$64,MATCH($F364,사건마스터!$A$5:$A$64,0)),""))</f>
        <v/>
      </c>
      <c r="X364" s="35">
        <f>IF($F364="","",IFERROR(INDEX(사건마스터!$AV$5:$AV$64,MATCH($F364,사건마스터!$A$5:$A$64,0)),""))</f>
        <v/>
      </c>
      <c r="Y364" s="30">
        <f>IF($I364="","",COUNTIF($I364:$X364,"?*"))</f>
        <v/>
      </c>
      <c r="Z364" s="33">
        <f>IF($I364="","",_xlfn.TEXTJOIN(", ",TRUE,$I364:$X364))</f>
        <v/>
      </c>
      <c r="AA364" s="34">
        <f>IF($I364="","",IFERROR(INDEX(코드설정!$D$5:$D$24,MATCH($I364,코드설정!$C$5:$C$24,0)),""))</f>
        <v/>
      </c>
      <c r="AB364" s="36" t="n"/>
      <c r="AC364" s="37" t="n"/>
      <c r="AD364" s="38" t="n"/>
      <c r="AE364" s="30">
        <f>IF(OR($B364="",$C364=""),"",$C364-$B364+1)</f>
        <v/>
      </c>
      <c r="AF364" s="32" t="n"/>
      <c r="AG364" s="36" t="n"/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3">
        <f>IF($F365="","",IFERROR(INDEX(사건마스터!$B$5:$B$64,MATCH($F365,사건마스터!$A$5:$A$64,0)),""))</f>
        <v/>
      </c>
      <c r="H365" s="34">
        <f>IF($F365="","",IFERROR(INDEX(사건마스터!$C$5:$C$64,MATCH($F365,사건마스터!$A$5:$A$64,0)),""))</f>
        <v/>
      </c>
      <c r="I365" s="35">
        <f>IF($F365="","",IFERROR(INDEX(사건마스터!$H$5:$H$64,MATCH($F365,사건마스터!$A$5:$A$64,0)),""))</f>
        <v/>
      </c>
      <c r="J365" s="35">
        <f>IF($F365="","",IFERROR(INDEX(사건마스터!$AH$5:$AH$64,MATCH($F365,사건마스터!$A$5:$A$64,0)),""))</f>
        <v/>
      </c>
      <c r="K365" s="35">
        <f>IF($F365="","",IFERROR(INDEX(사건마스터!$AI$5:$AI$64,MATCH($F365,사건마스터!$A$5:$A$64,0)),""))</f>
        <v/>
      </c>
      <c r="L365" s="35">
        <f>IF($F365="","",IFERROR(INDEX(사건마스터!$AJ$5:$AJ$64,MATCH($F365,사건마스터!$A$5:$A$64,0)),""))</f>
        <v/>
      </c>
      <c r="M365" s="35">
        <f>IF($F365="","",IFERROR(INDEX(사건마스터!$AK$5:$AK$64,MATCH($F365,사건마스터!$A$5:$A$64,0)),""))</f>
        <v/>
      </c>
      <c r="N365" s="35">
        <f>IF($F365="","",IFERROR(INDEX(사건마스터!$AL$5:$AL$64,MATCH($F365,사건마스터!$A$5:$A$64,0)),""))</f>
        <v/>
      </c>
      <c r="O365" s="35">
        <f>IF($F365="","",IFERROR(INDEX(사건마스터!$AM$5:$AM$64,MATCH($F365,사건마스터!$A$5:$A$64,0)),""))</f>
        <v/>
      </c>
      <c r="P365" s="35">
        <f>IF($F365="","",IFERROR(INDEX(사건마스터!$AN$5:$AN$64,MATCH($F365,사건마스터!$A$5:$A$64,0)),""))</f>
        <v/>
      </c>
      <c r="Q365" s="35">
        <f>IF($F365="","",IFERROR(INDEX(사건마스터!$AO$5:$AO$64,MATCH($F365,사건마스터!$A$5:$A$64,0)),""))</f>
        <v/>
      </c>
      <c r="R365" s="35">
        <f>IF($F365="","",IFERROR(INDEX(사건마스터!$AP$5:$AP$64,MATCH($F365,사건마스터!$A$5:$A$64,0)),""))</f>
        <v/>
      </c>
      <c r="S365" s="35">
        <f>IF($F365="","",IFERROR(INDEX(사건마스터!$AQ$5:$AQ$64,MATCH($F365,사건마스터!$A$5:$A$64,0)),""))</f>
        <v/>
      </c>
      <c r="T365" s="35">
        <f>IF($F365="","",IFERROR(INDEX(사건마스터!$AR$5:$AR$64,MATCH($F365,사건마스터!$A$5:$A$64,0)),""))</f>
        <v/>
      </c>
      <c r="U365" s="35">
        <f>IF($F365="","",IFERROR(INDEX(사건마스터!$AS$5:$AS$64,MATCH($F365,사건마스터!$A$5:$A$64,0)),""))</f>
        <v/>
      </c>
      <c r="V365" s="35">
        <f>IF($F365="","",IFERROR(INDEX(사건마스터!$AT$5:$AT$64,MATCH($F365,사건마스터!$A$5:$A$64,0)),""))</f>
        <v/>
      </c>
      <c r="W365" s="35">
        <f>IF($F365="","",IFERROR(INDEX(사건마스터!$AU$5:$AU$64,MATCH($F365,사건마스터!$A$5:$A$64,0)),""))</f>
        <v/>
      </c>
      <c r="X365" s="35">
        <f>IF($F365="","",IFERROR(INDEX(사건마스터!$AV$5:$AV$64,MATCH($F365,사건마스터!$A$5:$A$64,0)),""))</f>
        <v/>
      </c>
      <c r="Y365" s="30">
        <f>IF($I365="","",COUNTIF($I365:$X365,"?*"))</f>
        <v/>
      </c>
      <c r="Z365" s="33">
        <f>IF($I365="","",_xlfn.TEXTJOIN(", ",TRUE,$I365:$X365))</f>
        <v/>
      </c>
      <c r="AA365" s="34">
        <f>IF($I365="","",IFERROR(INDEX(코드설정!$D$5:$D$24,MATCH($I365,코드설정!$C$5:$C$24,0)),""))</f>
        <v/>
      </c>
      <c r="AB365" s="36" t="n"/>
      <c r="AC365" s="37" t="n"/>
      <c r="AD365" s="38" t="n"/>
      <c r="AE365" s="30">
        <f>IF(OR($B365="",$C365=""),"",$C365-$B365+1)</f>
        <v/>
      </c>
      <c r="AF365" s="32" t="n"/>
      <c r="AG365" s="36" t="n"/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3">
        <f>IF($F366="","",IFERROR(INDEX(사건마스터!$B$5:$B$64,MATCH($F366,사건마스터!$A$5:$A$64,0)),""))</f>
        <v/>
      </c>
      <c r="H366" s="34">
        <f>IF($F366="","",IFERROR(INDEX(사건마스터!$C$5:$C$64,MATCH($F366,사건마스터!$A$5:$A$64,0)),""))</f>
        <v/>
      </c>
      <c r="I366" s="35">
        <f>IF($F366="","",IFERROR(INDEX(사건마스터!$H$5:$H$64,MATCH($F366,사건마스터!$A$5:$A$64,0)),""))</f>
        <v/>
      </c>
      <c r="J366" s="35">
        <f>IF($F366="","",IFERROR(INDEX(사건마스터!$AH$5:$AH$64,MATCH($F366,사건마스터!$A$5:$A$64,0)),""))</f>
        <v/>
      </c>
      <c r="K366" s="35">
        <f>IF($F366="","",IFERROR(INDEX(사건마스터!$AI$5:$AI$64,MATCH($F366,사건마스터!$A$5:$A$64,0)),""))</f>
        <v/>
      </c>
      <c r="L366" s="35">
        <f>IF($F366="","",IFERROR(INDEX(사건마스터!$AJ$5:$AJ$64,MATCH($F366,사건마스터!$A$5:$A$64,0)),""))</f>
        <v/>
      </c>
      <c r="M366" s="35">
        <f>IF($F366="","",IFERROR(INDEX(사건마스터!$AK$5:$AK$64,MATCH($F366,사건마스터!$A$5:$A$64,0)),""))</f>
        <v/>
      </c>
      <c r="N366" s="35">
        <f>IF($F366="","",IFERROR(INDEX(사건마스터!$AL$5:$AL$64,MATCH($F366,사건마스터!$A$5:$A$64,0)),""))</f>
        <v/>
      </c>
      <c r="O366" s="35">
        <f>IF($F366="","",IFERROR(INDEX(사건마스터!$AM$5:$AM$64,MATCH($F366,사건마스터!$A$5:$A$64,0)),""))</f>
        <v/>
      </c>
      <c r="P366" s="35">
        <f>IF($F366="","",IFERROR(INDEX(사건마스터!$AN$5:$AN$64,MATCH($F366,사건마스터!$A$5:$A$64,0)),""))</f>
        <v/>
      </c>
      <c r="Q366" s="35">
        <f>IF($F366="","",IFERROR(INDEX(사건마스터!$AO$5:$AO$64,MATCH($F366,사건마스터!$A$5:$A$64,0)),""))</f>
        <v/>
      </c>
      <c r="R366" s="35">
        <f>IF($F366="","",IFERROR(INDEX(사건마스터!$AP$5:$AP$64,MATCH($F366,사건마스터!$A$5:$A$64,0)),""))</f>
        <v/>
      </c>
      <c r="S366" s="35">
        <f>IF($F366="","",IFERROR(INDEX(사건마스터!$AQ$5:$AQ$64,MATCH($F366,사건마스터!$A$5:$A$64,0)),""))</f>
        <v/>
      </c>
      <c r="T366" s="35">
        <f>IF($F366="","",IFERROR(INDEX(사건마스터!$AR$5:$AR$64,MATCH($F366,사건마스터!$A$5:$A$64,0)),""))</f>
        <v/>
      </c>
      <c r="U366" s="35">
        <f>IF($F366="","",IFERROR(INDEX(사건마스터!$AS$5:$AS$64,MATCH($F366,사건마스터!$A$5:$A$64,0)),""))</f>
        <v/>
      </c>
      <c r="V366" s="35">
        <f>IF($F366="","",IFERROR(INDEX(사건마스터!$AT$5:$AT$64,MATCH($F366,사건마스터!$A$5:$A$64,0)),""))</f>
        <v/>
      </c>
      <c r="W366" s="35">
        <f>IF($F366="","",IFERROR(INDEX(사건마스터!$AU$5:$AU$64,MATCH($F366,사건마스터!$A$5:$A$64,0)),""))</f>
        <v/>
      </c>
      <c r="X366" s="35">
        <f>IF($F366="","",IFERROR(INDEX(사건마스터!$AV$5:$AV$64,MATCH($F366,사건마스터!$A$5:$A$64,0)),""))</f>
        <v/>
      </c>
      <c r="Y366" s="30">
        <f>IF($I366="","",COUNTIF($I366:$X366,"?*"))</f>
        <v/>
      </c>
      <c r="Z366" s="33">
        <f>IF($I366="","",_xlfn.TEXTJOIN(", ",TRUE,$I366:$X366))</f>
        <v/>
      </c>
      <c r="AA366" s="34">
        <f>IF($I366="","",IFERROR(INDEX(코드설정!$D$5:$D$24,MATCH($I366,코드설정!$C$5:$C$24,0)),""))</f>
        <v/>
      </c>
      <c r="AB366" s="36" t="n"/>
      <c r="AC366" s="37" t="n"/>
      <c r="AD366" s="38" t="n"/>
      <c r="AE366" s="30">
        <f>IF(OR($B366="",$C366=""),"",$C366-$B366+1)</f>
        <v/>
      </c>
      <c r="AF366" s="32" t="n"/>
      <c r="AG366" s="36" t="n"/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3">
        <f>IF($F367="","",IFERROR(INDEX(사건마스터!$B$5:$B$64,MATCH($F367,사건마스터!$A$5:$A$64,0)),""))</f>
        <v/>
      </c>
      <c r="H367" s="34">
        <f>IF($F367="","",IFERROR(INDEX(사건마스터!$C$5:$C$64,MATCH($F367,사건마스터!$A$5:$A$64,0)),""))</f>
        <v/>
      </c>
      <c r="I367" s="35">
        <f>IF($F367="","",IFERROR(INDEX(사건마스터!$H$5:$H$64,MATCH($F367,사건마스터!$A$5:$A$64,0)),""))</f>
        <v/>
      </c>
      <c r="J367" s="35">
        <f>IF($F367="","",IFERROR(INDEX(사건마스터!$AH$5:$AH$64,MATCH($F367,사건마스터!$A$5:$A$64,0)),""))</f>
        <v/>
      </c>
      <c r="K367" s="35">
        <f>IF($F367="","",IFERROR(INDEX(사건마스터!$AI$5:$AI$64,MATCH($F367,사건마스터!$A$5:$A$64,0)),""))</f>
        <v/>
      </c>
      <c r="L367" s="35">
        <f>IF($F367="","",IFERROR(INDEX(사건마스터!$AJ$5:$AJ$64,MATCH($F367,사건마스터!$A$5:$A$64,0)),""))</f>
        <v/>
      </c>
      <c r="M367" s="35">
        <f>IF($F367="","",IFERROR(INDEX(사건마스터!$AK$5:$AK$64,MATCH($F367,사건마스터!$A$5:$A$64,0)),""))</f>
        <v/>
      </c>
      <c r="N367" s="35">
        <f>IF($F367="","",IFERROR(INDEX(사건마스터!$AL$5:$AL$64,MATCH($F367,사건마스터!$A$5:$A$64,0)),""))</f>
        <v/>
      </c>
      <c r="O367" s="35">
        <f>IF($F367="","",IFERROR(INDEX(사건마스터!$AM$5:$AM$64,MATCH($F367,사건마스터!$A$5:$A$64,0)),""))</f>
        <v/>
      </c>
      <c r="P367" s="35">
        <f>IF($F367="","",IFERROR(INDEX(사건마스터!$AN$5:$AN$64,MATCH($F367,사건마스터!$A$5:$A$64,0)),""))</f>
        <v/>
      </c>
      <c r="Q367" s="35">
        <f>IF($F367="","",IFERROR(INDEX(사건마스터!$AO$5:$AO$64,MATCH($F367,사건마스터!$A$5:$A$64,0)),""))</f>
        <v/>
      </c>
      <c r="R367" s="35">
        <f>IF($F367="","",IFERROR(INDEX(사건마스터!$AP$5:$AP$64,MATCH($F367,사건마스터!$A$5:$A$64,0)),""))</f>
        <v/>
      </c>
      <c r="S367" s="35">
        <f>IF($F367="","",IFERROR(INDEX(사건마스터!$AQ$5:$AQ$64,MATCH($F367,사건마스터!$A$5:$A$64,0)),""))</f>
        <v/>
      </c>
      <c r="T367" s="35">
        <f>IF($F367="","",IFERROR(INDEX(사건마스터!$AR$5:$AR$64,MATCH($F367,사건마스터!$A$5:$A$64,0)),""))</f>
        <v/>
      </c>
      <c r="U367" s="35">
        <f>IF($F367="","",IFERROR(INDEX(사건마스터!$AS$5:$AS$64,MATCH($F367,사건마스터!$A$5:$A$64,0)),""))</f>
        <v/>
      </c>
      <c r="V367" s="35">
        <f>IF($F367="","",IFERROR(INDEX(사건마스터!$AT$5:$AT$64,MATCH($F367,사건마스터!$A$5:$A$64,0)),""))</f>
        <v/>
      </c>
      <c r="W367" s="35">
        <f>IF($F367="","",IFERROR(INDEX(사건마스터!$AU$5:$AU$64,MATCH($F367,사건마스터!$A$5:$A$64,0)),""))</f>
        <v/>
      </c>
      <c r="X367" s="35">
        <f>IF($F367="","",IFERROR(INDEX(사건마스터!$AV$5:$AV$64,MATCH($F367,사건마스터!$A$5:$A$64,0)),""))</f>
        <v/>
      </c>
      <c r="Y367" s="30">
        <f>IF($I367="","",COUNTIF($I367:$X367,"?*"))</f>
        <v/>
      </c>
      <c r="Z367" s="33">
        <f>IF($I367="","",_xlfn.TEXTJOIN(", ",TRUE,$I367:$X367))</f>
        <v/>
      </c>
      <c r="AA367" s="34">
        <f>IF($I367="","",IFERROR(INDEX(코드설정!$D$5:$D$24,MATCH($I367,코드설정!$C$5:$C$24,0)),""))</f>
        <v/>
      </c>
      <c r="AB367" s="36" t="n"/>
      <c r="AC367" s="37" t="n"/>
      <c r="AD367" s="38" t="n"/>
      <c r="AE367" s="30">
        <f>IF(OR($B367="",$C367=""),"",$C367-$B367+1)</f>
        <v/>
      </c>
      <c r="AF367" s="32" t="n"/>
      <c r="AG367" s="36" t="n"/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3">
        <f>IF($F368="","",IFERROR(INDEX(사건마스터!$B$5:$B$64,MATCH($F368,사건마스터!$A$5:$A$64,0)),""))</f>
        <v/>
      </c>
      <c r="H368" s="34">
        <f>IF($F368="","",IFERROR(INDEX(사건마스터!$C$5:$C$64,MATCH($F368,사건마스터!$A$5:$A$64,0)),""))</f>
        <v/>
      </c>
      <c r="I368" s="35">
        <f>IF($F368="","",IFERROR(INDEX(사건마스터!$H$5:$H$64,MATCH($F368,사건마스터!$A$5:$A$64,0)),""))</f>
        <v/>
      </c>
      <c r="J368" s="35">
        <f>IF($F368="","",IFERROR(INDEX(사건마스터!$AH$5:$AH$64,MATCH($F368,사건마스터!$A$5:$A$64,0)),""))</f>
        <v/>
      </c>
      <c r="K368" s="35">
        <f>IF($F368="","",IFERROR(INDEX(사건마스터!$AI$5:$AI$64,MATCH($F368,사건마스터!$A$5:$A$64,0)),""))</f>
        <v/>
      </c>
      <c r="L368" s="35">
        <f>IF($F368="","",IFERROR(INDEX(사건마스터!$AJ$5:$AJ$64,MATCH($F368,사건마스터!$A$5:$A$64,0)),""))</f>
        <v/>
      </c>
      <c r="M368" s="35">
        <f>IF($F368="","",IFERROR(INDEX(사건마스터!$AK$5:$AK$64,MATCH($F368,사건마스터!$A$5:$A$64,0)),""))</f>
        <v/>
      </c>
      <c r="N368" s="35">
        <f>IF($F368="","",IFERROR(INDEX(사건마스터!$AL$5:$AL$64,MATCH($F368,사건마스터!$A$5:$A$64,0)),""))</f>
        <v/>
      </c>
      <c r="O368" s="35">
        <f>IF($F368="","",IFERROR(INDEX(사건마스터!$AM$5:$AM$64,MATCH($F368,사건마스터!$A$5:$A$64,0)),""))</f>
        <v/>
      </c>
      <c r="P368" s="35">
        <f>IF($F368="","",IFERROR(INDEX(사건마스터!$AN$5:$AN$64,MATCH($F368,사건마스터!$A$5:$A$64,0)),""))</f>
        <v/>
      </c>
      <c r="Q368" s="35">
        <f>IF($F368="","",IFERROR(INDEX(사건마스터!$AO$5:$AO$64,MATCH($F368,사건마스터!$A$5:$A$64,0)),""))</f>
        <v/>
      </c>
      <c r="R368" s="35">
        <f>IF($F368="","",IFERROR(INDEX(사건마스터!$AP$5:$AP$64,MATCH($F368,사건마스터!$A$5:$A$64,0)),""))</f>
        <v/>
      </c>
      <c r="S368" s="35">
        <f>IF($F368="","",IFERROR(INDEX(사건마스터!$AQ$5:$AQ$64,MATCH($F368,사건마스터!$A$5:$A$64,0)),""))</f>
        <v/>
      </c>
      <c r="T368" s="35">
        <f>IF($F368="","",IFERROR(INDEX(사건마스터!$AR$5:$AR$64,MATCH($F368,사건마스터!$A$5:$A$64,0)),""))</f>
        <v/>
      </c>
      <c r="U368" s="35">
        <f>IF($F368="","",IFERROR(INDEX(사건마스터!$AS$5:$AS$64,MATCH($F368,사건마스터!$A$5:$A$64,0)),""))</f>
        <v/>
      </c>
      <c r="V368" s="35">
        <f>IF($F368="","",IFERROR(INDEX(사건마스터!$AT$5:$AT$64,MATCH($F368,사건마스터!$A$5:$A$64,0)),""))</f>
        <v/>
      </c>
      <c r="W368" s="35">
        <f>IF($F368="","",IFERROR(INDEX(사건마스터!$AU$5:$AU$64,MATCH($F368,사건마스터!$A$5:$A$64,0)),""))</f>
        <v/>
      </c>
      <c r="X368" s="35">
        <f>IF($F368="","",IFERROR(INDEX(사건마스터!$AV$5:$AV$64,MATCH($F368,사건마스터!$A$5:$A$64,0)),""))</f>
        <v/>
      </c>
      <c r="Y368" s="30">
        <f>IF($I368="","",COUNTIF($I368:$X368,"?*"))</f>
        <v/>
      </c>
      <c r="Z368" s="33">
        <f>IF($I368="","",_xlfn.TEXTJOIN(", ",TRUE,$I368:$X368))</f>
        <v/>
      </c>
      <c r="AA368" s="34">
        <f>IF($I368="","",IFERROR(INDEX(코드설정!$D$5:$D$24,MATCH($I368,코드설정!$C$5:$C$24,0)),""))</f>
        <v/>
      </c>
      <c r="AB368" s="36" t="n"/>
      <c r="AC368" s="37" t="n"/>
      <c r="AD368" s="38" t="n"/>
      <c r="AE368" s="30">
        <f>IF(OR($B368="",$C368=""),"",$C368-$B368+1)</f>
        <v/>
      </c>
      <c r="AF368" s="32" t="n"/>
      <c r="AG368" s="36" t="n"/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3">
        <f>IF($F369="","",IFERROR(INDEX(사건마스터!$B$5:$B$64,MATCH($F369,사건마스터!$A$5:$A$64,0)),""))</f>
        <v/>
      </c>
      <c r="H369" s="34">
        <f>IF($F369="","",IFERROR(INDEX(사건마스터!$C$5:$C$64,MATCH($F369,사건마스터!$A$5:$A$64,0)),""))</f>
        <v/>
      </c>
      <c r="I369" s="35">
        <f>IF($F369="","",IFERROR(INDEX(사건마스터!$H$5:$H$64,MATCH($F369,사건마스터!$A$5:$A$64,0)),""))</f>
        <v/>
      </c>
      <c r="J369" s="35">
        <f>IF($F369="","",IFERROR(INDEX(사건마스터!$AH$5:$AH$64,MATCH($F369,사건마스터!$A$5:$A$64,0)),""))</f>
        <v/>
      </c>
      <c r="K369" s="35">
        <f>IF($F369="","",IFERROR(INDEX(사건마스터!$AI$5:$AI$64,MATCH($F369,사건마스터!$A$5:$A$64,0)),""))</f>
        <v/>
      </c>
      <c r="L369" s="35">
        <f>IF($F369="","",IFERROR(INDEX(사건마스터!$AJ$5:$AJ$64,MATCH($F369,사건마스터!$A$5:$A$64,0)),""))</f>
        <v/>
      </c>
      <c r="M369" s="35">
        <f>IF($F369="","",IFERROR(INDEX(사건마스터!$AK$5:$AK$64,MATCH($F369,사건마스터!$A$5:$A$64,0)),""))</f>
        <v/>
      </c>
      <c r="N369" s="35">
        <f>IF($F369="","",IFERROR(INDEX(사건마스터!$AL$5:$AL$64,MATCH($F369,사건마스터!$A$5:$A$64,0)),""))</f>
        <v/>
      </c>
      <c r="O369" s="35">
        <f>IF($F369="","",IFERROR(INDEX(사건마스터!$AM$5:$AM$64,MATCH($F369,사건마스터!$A$5:$A$64,0)),""))</f>
        <v/>
      </c>
      <c r="P369" s="35">
        <f>IF($F369="","",IFERROR(INDEX(사건마스터!$AN$5:$AN$64,MATCH($F369,사건마스터!$A$5:$A$64,0)),""))</f>
        <v/>
      </c>
      <c r="Q369" s="35">
        <f>IF($F369="","",IFERROR(INDEX(사건마스터!$AO$5:$AO$64,MATCH($F369,사건마스터!$A$5:$A$64,0)),""))</f>
        <v/>
      </c>
      <c r="R369" s="35">
        <f>IF($F369="","",IFERROR(INDEX(사건마스터!$AP$5:$AP$64,MATCH($F369,사건마스터!$A$5:$A$64,0)),""))</f>
        <v/>
      </c>
      <c r="S369" s="35">
        <f>IF($F369="","",IFERROR(INDEX(사건마스터!$AQ$5:$AQ$64,MATCH($F369,사건마스터!$A$5:$A$64,0)),""))</f>
        <v/>
      </c>
      <c r="T369" s="35">
        <f>IF($F369="","",IFERROR(INDEX(사건마스터!$AR$5:$AR$64,MATCH($F369,사건마스터!$A$5:$A$64,0)),""))</f>
        <v/>
      </c>
      <c r="U369" s="35">
        <f>IF($F369="","",IFERROR(INDEX(사건마스터!$AS$5:$AS$64,MATCH($F369,사건마스터!$A$5:$A$64,0)),""))</f>
        <v/>
      </c>
      <c r="V369" s="35">
        <f>IF($F369="","",IFERROR(INDEX(사건마스터!$AT$5:$AT$64,MATCH($F369,사건마스터!$A$5:$A$64,0)),""))</f>
        <v/>
      </c>
      <c r="W369" s="35">
        <f>IF($F369="","",IFERROR(INDEX(사건마스터!$AU$5:$AU$64,MATCH($F369,사건마스터!$A$5:$A$64,0)),""))</f>
        <v/>
      </c>
      <c r="X369" s="35">
        <f>IF($F369="","",IFERROR(INDEX(사건마스터!$AV$5:$AV$64,MATCH($F369,사건마스터!$A$5:$A$64,0)),""))</f>
        <v/>
      </c>
      <c r="Y369" s="30">
        <f>IF($I369="","",COUNTIF($I369:$X369,"?*"))</f>
        <v/>
      </c>
      <c r="Z369" s="33">
        <f>IF($I369="","",_xlfn.TEXTJOIN(", ",TRUE,$I369:$X369))</f>
        <v/>
      </c>
      <c r="AA369" s="34">
        <f>IF($I369="","",IFERROR(INDEX(코드설정!$D$5:$D$24,MATCH($I369,코드설정!$C$5:$C$24,0)),""))</f>
        <v/>
      </c>
      <c r="AB369" s="36" t="n"/>
      <c r="AC369" s="37" t="n"/>
      <c r="AD369" s="38" t="n"/>
      <c r="AE369" s="30">
        <f>IF(OR($B369="",$C369=""),"",$C369-$B369+1)</f>
        <v/>
      </c>
      <c r="AF369" s="32" t="n"/>
      <c r="AG369" s="36" t="n"/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3">
        <f>IF($F370="","",IFERROR(INDEX(사건마스터!$B$5:$B$64,MATCH($F370,사건마스터!$A$5:$A$64,0)),""))</f>
        <v/>
      </c>
      <c r="H370" s="34">
        <f>IF($F370="","",IFERROR(INDEX(사건마스터!$C$5:$C$64,MATCH($F370,사건마스터!$A$5:$A$64,0)),""))</f>
        <v/>
      </c>
      <c r="I370" s="35">
        <f>IF($F370="","",IFERROR(INDEX(사건마스터!$H$5:$H$64,MATCH($F370,사건마스터!$A$5:$A$64,0)),""))</f>
        <v/>
      </c>
      <c r="J370" s="35">
        <f>IF($F370="","",IFERROR(INDEX(사건마스터!$AH$5:$AH$64,MATCH($F370,사건마스터!$A$5:$A$64,0)),""))</f>
        <v/>
      </c>
      <c r="K370" s="35">
        <f>IF($F370="","",IFERROR(INDEX(사건마스터!$AI$5:$AI$64,MATCH($F370,사건마스터!$A$5:$A$64,0)),""))</f>
        <v/>
      </c>
      <c r="L370" s="35">
        <f>IF($F370="","",IFERROR(INDEX(사건마스터!$AJ$5:$AJ$64,MATCH($F370,사건마스터!$A$5:$A$64,0)),""))</f>
        <v/>
      </c>
      <c r="M370" s="35">
        <f>IF($F370="","",IFERROR(INDEX(사건마스터!$AK$5:$AK$64,MATCH($F370,사건마스터!$A$5:$A$64,0)),""))</f>
        <v/>
      </c>
      <c r="N370" s="35">
        <f>IF($F370="","",IFERROR(INDEX(사건마스터!$AL$5:$AL$64,MATCH($F370,사건마스터!$A$5:$A$64,0)),""))</f>
        <v/>
      </c>
      <c r="O370" s="35">
        <f>IF($F370="","",IFERROR(INDEX(사건마스터!$AM$5:$AM$64,MATCH($F370,사건마스터!$A$5:$A$64,0)),""))</f>
        <v/>
      </c>
      <c r="P370" s="35">
        <f>IF($F370="","",IFERROR(INDEX(사건마스터!$AN$5:$AN$64,MATCH($F370,사건마스터!$A$5:$A$64,0)),""))</f>
        <v/>
      </c>
      <c r="Q370" s="35">
        <f>IF($F370="","",IFERROR(INDEX(사건마스터!$AO$5:$AO$64,MATCH($F370,사건마스터!$A$5:$A$64,0)),""))</f>
        <v/>
      </c>
      <c r="R370" s="35">
        <f>IF($F370="","",IFERROR(INDEX(사건마스터!$AP$5:$AP$64,MATCH($F370,사건마스터!$A$5:$A$64,0)),""))</f>
        <v/>
      </c>
      <c r="S370" s="35">
        <f>IF($F370="","",IFERROR(INDEX(사건마스터!$AQ$5:$AQ$64,MATCH($F370,사건마스터!$A$5:$A$64,0)),""))</f>
        <v/>
      </c>
      <c r="T370" s="35">
        <f>IF($F370="","",IFERROR(INDEX(사건마스터!$AR$5:$AR$64,MATCH($F370,사건마스터!$A$5:$A$64,0)),""))</f>
        <v/>
      </c>
      <c r="U370" s="35">
        <f>IF($F370="","",IFERROR(INDEX(사건마스터!$AS$5:$AS$64,MATCH($F370,사건마스터!$A$5:$A$64,0)),""))</f>
        <v/>
      </c>
      <c r="V370" s="35">
        <f>IF($F370="","",IFERROR(INDEX(사건마스터!$AT$5:$AT$64,MATCH($F370,사건마스터!$A$5:$A$64,0)),""))</f>
        <v/>
      </c>
      <c r="W370" s="35">
        <f>IF($F370="","",IFERROR(INDEX(사건마스터!$AU$5:$AU$64,MATCH($F370,사건마스터!$A$5:$A$64,0)),""))</f>
        <v/>
      </c>
      <c r="X370" s="35">
        <f>IF($F370="","",IFERROR(INDEX(사건마스터!$AV$5:$AV$64,MATCH($F370,사건마스터!$A$5:$A$64,0)),""))</f>
        <v/>
      </c>
      <c r="Y370" s="30">
        <f>IF($I370="","",COUNTIF($I370:$X370,"?*"))</f>
        <v/>
      </c>
      <c r="Z370" s="33">
        <f>IF($I370="","",_xlfn.TEXTJOIN(", ",TRUE,$I370:$X370))</f>
        <v/>
      </c>
      <c r="AA370" s="34">
        <f>IF($I370="","",IFERROR(INDEX(코드설정!$D$5:$D$24,MATCH($I370,코드설정!$C$5:$C$24,0)),""))</f>
        <v/>
      </c>
      <c r="AB370" s="36" t="n"/>
      <c r="AC370" s="37" t="n"/>
      <c r="AD370" s="38" t="n"/>
      <c r="AE370" s="30">
        <f>IF(OR($B370="",$C370=""),"",$C370-$B370+1)</f>
        <v/>
      </c>
      <c r="AF370" s="32" t="n"/>
      <c r="AG370" s="36" t="n"/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3">
        <f>IF($F371="","",IFERROR(INDEX(사건마스터!$B$5:$B$64,MATCH($F371,사건마스터!$A$5:$A$64,0)),""))</f>
        <v/>
      </c>
      <c r="H371" s="34">
        <f>IF($F371="","",IFERROR(INDEX(사건마스터!$C$5:$C$64,MATCH($F371,사건마스터!$A$5:$A$64,0)),""))</f>
        <v/>
      </c>
      <c r="I371" s="35">
        <f>IF($F371="","",IFERROR(INDEX(사건마스터!$H$5:$H$64,MATCH($F371,사건마스터!$A$5:$A$64,0)),""))</f>
        <v/>
      </c>
      <c r="J371" s="35">
        <f>IF($F371="","",IFERROR(INDEX(사건마스터!$AH$5:$AH$64,MATCH($F371,사건마스터!$A$5:$A$64,0)),""))</f>
        <v/>
      </c>
      <c r="K371" s="35">
        <f>IF($F371="","",IFERROR(INDEX(사건마스터!$AI$5:$AI$64,MATCH($F371,사건마스터!$A$5:$A$64,0)),""))</f>
        <v/>
      </c>
      <c r="L371" s="35">
        <f>IF($F371="","",IFERROR(INDEX(사건마스터!$AJ$5:$AJ$64,MATCH($F371,사건마스터!$A$5:$A$64,0)),""))</f>
        <v/>
      </c>
      <c r="M371" s="35">
        <f>IF($F371="","",IFERROR(INDEX(사건마스터!$AK$5:$AK$64,MATCH($F371,사건마스터!$A$5:$A$64,0)),""))</f>
        <v/>
      </c>
      <c r="N371" s="35">
        <f>IF($F371="","",IFERROR(INDEX(사건마스터!$AL$5:$AL$64,MATCH($F371,사건마스터!$A$5:$A$64,0)),""))</f>
        <v/>
      </c>
      <c r="O371" s="35">
        <f>IF($F371="","",IFERROR(INDEX(사건마스터!$AM$5:$AM$64,MATCH($F371,사건마스터!$A$5:$A$64,0)),""))</f>
        <v/>
      </c>
      <c r="P371" s="35">
        <f>IF($F371="","",IFERROR(INDEX(사건마스터!$AN$5:$AN$64,MATCH($F371,사건마스터!$A$5:$A$64,0)),""))</f>
        <v/>
      </c>
      <c r="Q371" s="35">
        <f>IF($F371="","",IFERROR(INDEX(사건마스터!$AO$5:$AO$64,MATCH($F371,사건마스터!$A$5:$A$64,0)),""))</f>
        <v/>
      </c>
      <c r="R371" s="35">
        <f>IF($F371="","",IFERROR(INDEX(사건마스터!$AP$5:$AP$64,MATCH($F371,사건마스터!$A$5:$A$64,0)),""))</f>
        <v/>
      </c>
      <c r="S371" s="35">
        <f>IF($F371="","",IFERROR(INDEX(사건마스터!$AQ$5:$AQ$64,MATCH($F371,사건마스터!$A$5:$A$64,0)),""))</f>
        <v/>
      </c>
      <c r="T371" s="35">
        <f>IF($F371="","",IFERROR(INDEX(사건마스터!$AR$5:$AR$64,MATCH($F371,사건마스터!$A$5:$A$64,0)),""))</f>
        <v/>
      </c>
      <c r="U371" s="35">
        <f>IF($F371="","",IFERROR(INDEX(사건마스터!$AS$5:$AS$64,MATCH($F371,사건마스터!$A$5:$A$64,0)),""))</f>
        <v/>
      </c>
      <c r="V371" s="35">
        <f>IF($F371="","",IFERROR(INDEX(사건마스터!$AT$5:$AT$64,MATCH($F371,사건마스터!$A$5:$A$64,0)),""))</f>
        <v/>
      </c>
      <c r="W371" s="35">
        <f>IF($F371="","",IFERROR(INDEX(사건마스터!$AU$5:$AU$64,MATCH($F371,사건마스터!$A$5:$A$64,0)),""))</f>
        <v/>
      </c>
      <c r="X371" s="35">
        <f>IF($F371="","",IFERROR(INDEX(사건마스터!$AV$5:$AV$64,MATCH($F371,사건마스터!$A$5:$A$64,0)),""))</f>
        <v/>
      </c>
      <c r="Y371" s="30">
        <f>IF($I371="","",COUNTIF($I371:$X371,"?*"))</f>
        <v/>
      </c>
      <c r="Z371" s="33">
        <f>IF($I371="","",_xlfn.TEXTJOIN(", ",TRUE,$I371:$X371))</f>
        <v/>
      </c>
      <c r="AA371" s="34">
        <f>IF($I371="","",IFERROR(INDEX(코드설정!$D$5:$D$24,MATCH($I371,코드설정!$C$5:$C$24,0)),""))</f>
        <v/>
      </c>
      <c r="AB371" s="36" t="n"/>
      <c r="AC371" s="37" t="n"/>
      <c r="AD371" s="38" t="n"/>
      <c r="AE371" s="30">
        <f>IF(OR($B371="",$C371=""),"",$C371-$B371+1)</f>
        <v/>
      </c>
      <c r="AF371" s="32" t="n"/>
      <c r="AG371" s="36" t="n"/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3">
        <f>IF($F372="","",IFERROR(INDEX(사건마스터!$B$5:$B$64,MATCH($F372,사건마스터!$A$5:$A$64,0)),""))</f>
        <v/>
      </c>
      <c r="H372" s="34">
        <f>IF($F372="","",IFERROR(INDEX(사건마스터!$C$5:$C$64,MATCH($F372,사건마스터!$A$5:$A$64,0)),""))</f>
        <v/>
      </c>
      <c r="I372" s="35">
        <f>IF($F372="","",IFERROR(INDEX(사건마스터!$H$5:$H$64,MATCH($F372,사건마스터!$A$5:$A$64,0)),""))</f>
        <v/>
      </c>
      <c r="J372" s="35">
        <f>IF($F372="","",IFERROR(INDEX(사건마스터!$AH$5:$AH$64,MATCH($F372,사건마스터!$A$5:$A$64,0)),""))</f>
        <v/>
      </c>
      <c r="K372" s="35">
        <f>IF($F372="","",IFERROR(INDEX(사건마스터!$AI$5:$AI$64,MATCH($F372,사건마스터!$A$5:$A$64,0)),""))</f>
        <v/>
      </c>
      <c r="L372" s="35">
        <f>IF($F372="","",IFERROR(INDEX(사건마스터!$AJ$5:$AJ$64,MATCH($F372,사건마스터!$A$5:$A$64,0)),""))</f>
        <v/>
      </c>
      <c r="M372" s="35">
        <f>IF($F372="","",IFERROR(INDEX(사건마스터!$AK$5:$AK$64,MATCH($F372,사건마스터!$A$5:$A$64,0)),""))</f>
        <v/>
      </c>
      <c r="N372" s="35">
        <f>IF($F372="","",IFERROR(INDEX(사건마스터!$AL$5:$AL$64,MATCH($F372,사건마스터!$A$5:$A$64,0)),""))</f>
        <v/>
      </c>
      <c r="O372" s="35">
        <f>IF($F372="","",IFERROR(INDEX(사건마스터!$AM$5:$AM$64,MATCH($F372,사건마스터!$A$5:$A$64,0)),""))</f>
        <v/>
      </c>
      <c r="P372" s="35">
        <f>IF($F372="","",IFERROR(INDEX(사건마스터!$AN$5:$AN$64,MATCH($F372,사건마스터!$A$5:$A$64,0)),""))</f>
        <v/>
      </c>
      <c r="Q372" s="35">
        <f>IF($F372="","",IFERROR(INDEX(사건마스터!$AO$5:$AO$64,MATCH($F372,사건마스터!$A$5:$A$64,0)),""))</f>
        <v/>
      </c>
      <c r="R372" s="35">
        <f>IF($F372="","",IFERROR(INDEX(사건마스터!$AP$5:$AP$64,MATCH($F372,사건마스터!$A$5:$A$64,0)),""))</f>
        <v/>
      </c>
      <c r="S372" s="35">
        <f>IF($F372="","",IFERROR(INDEX(사건마스터!$AQ$5:$AQ$64,MATCH($F372,사건마스터!$A$5:$A$64,0)),""))</f>
        <v/>
      </c>
      <c r="T372" s="35">
        <f>IF($F372="","",IFERROR(INDEX(사건마스터!$AR$5:$AR$64,MATCH($F372,사건마스터!$A$5:$A$64,0)),""))</f>
        <v/>
      </c>
      <c r="U372" s="35">
        <f>IF($F372="","",IFERROR(INDEX(사건마스터!$AS$5:$AS$64,MATCH($F372,사건마스터!$A$5:$A$64,0)),""))</f>
        <v/>
      </c>
      <c r="V372" s="35">
        <f>IF($F372="","",IFERROR(INDEX(사건마스터!$AT$5:$AT$64,MATCH($F372,사건마스터!$A$5:$A$64,0)),""))</f>
        <v/>
      </c>
      <c r="W372" s="35">
        <f>IF($F372="","",IFERROR(INDEX(사건마스터!$AU$5:$AU$64,MATCH($F372,사건마스터!$A$5:$A$64,0)),""))</f>
        <v/>
      </c>
      <c r="X372" s="35">
        <f>IF($F372="","",IFERROR(INDEX(사건마스터!$AV$5:$AV$64,MATCH($F372,사건마스터!$A$5:$A$64,0)),""))</f>
        <v/>
      </c>
      <c r="Y372" s="30">
        <f>IF($I372="","",COUNTIF($I372:$X372,"?*"))</f>
        <v/>
      </c>
      <c r="Z372" s="33">
        <f>IF($I372="","",_xlfn.TEXTJOIN(", ",TRUE,$I372:$X372))</f>
        <v/>
      </c>
      <c r="AA372" s="34">
        <f>IF($I372="","",IFERROR(INDEX(코드설정!$D$5:$D$24,MATCH($I372,코드설정!$C$5:$C$24,0)),""))</f>
        <v/>
      </c>
      <c r="AB372" s="36" t="n"/>
      <c r="AC372" s="37" t="n"/>
      <c r="AD372" s="38" t="n"/>
      <c r="AE372" s="30">
        <f>IF(OR($B372="",$C372=""),"",$C372-$B372+1)</f>
        <v/>
      </c>
      <c r="AF372" s="32" t="n"/>
      <c r="AG372" s="36" t="n"/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3">
        <f>IF($F373="","",IFERROR(INDEX(사건마스터!$B$5:$B$64,MATCH($F373,사건마스터!$A$5:$A$64,0)),""))</f>
        <v/>
      </c>
      <c r="H373" s="34">
        <f>IF($F373="","",IFERROR(INDEX(사건마스터!$C$5:$C$64,MATCH($F373,사건마스터!$A$5:$A$64,0)),""))</f>
        <v/>
      </c>
      <c r="I373" s="35">
        <f>IF($F373="","",IFERROR(INDEX(사건마스터!$H$5:$H$64,MATCH($F373,사건마스터!$A$5:$A$64,0)),""))</f>
        <v/>
      </c>
      <c r="J373" s="35">
        <f>IF($F373="","",IFERROR(INDEX(사건마스터!$AH$5:$AH$64,MATCH($F373,사건마스터!$A$5:$A$64,0)),""))</f>
        <v/>
      </c>
      <c r="K373" s="35">
        <f>IF($F373="","",IFERROR(INDEX(사건마스터!$AI$5:$AI$64,MATCH($F373,사건마스터!$A$5:$A$64,0)),""))</f>
        <v/>
      </c>
      <c r="L373" s="35">
        <f>IF($F373="","",IFERROR(INDEX(사건마스터!$AJ$5:$AJ$64,MATCH($F373,사건마스터!$A$5:$A$64,0)),""))</f>
        <v/>
      </c>
      <c r="M373" s="35">
        <f>IF($F373="","",IFERROR(INDEX(사건마스터!$AK$5:$AK$64,MATCH($F373,사건마스터!$A$5:$A$64,0)),""))</f>
        <v/>
      </c>
      <c r="N373" s="35">
        <f>IF($F373="","",IFERROR(INDEX(사건마스터!$AL$5:$AL$64,MATCH($F373,사건마스터!$A$5:$A$64,0)),""))</f>
        <v/>
      </c>
      <c r="O373" s="35">
        <f>IF($F373="","",IFERROR(INDEX(사건마스터!$AM$5:$AM$64,MATCH($F373,사건마스터!$A$5:$A$64,0)),""))</f>
        <v/>
      </c>
      <c r="P373" s="35">
        <f>IF($F373="","",IFERROR(INDEX(사건마스터!$AN$5:$AN$64,MATCH($F373,사건마스터!$A$5:$A$64,0)),""))</f>
        <v/>
      </c>
      <c r="Q373" s="35">
        <f>IF($F373="","",IFERROR(INDEX(사건마스터!$AO$5:$AO$64,MATCH($F373,사건마스터!$A$5:$A$64,0)),""))</f>
        <v/>
      </c>
      <c r="R373" s="35">
        <f>IF($F373="","",IFERROR(INDEX(사건마스터!$AP$5:$AP$64,MATCH($F373,사건마스터!$A$5:$A$64,0)),""))</f>
        <v/>
      </c>
      <c r="S373" s="35">
        <f>IF($F373="","",IFERROR(INDEX(사건마스터!$AQ$5:$AQ$64,MATCH($F373,사건마스터!$A$5:$A$64,0)),""))</f>
        <v/>
      </c>
      <c r="T373" s="35">
        <f>IF($F373="","",IFERROR(INDEX(사건마스터!$AR$5:$AR$64,MATCH($F373,사건마스터!$A$5:$A$64,0)),""))</f>
        <v/>
      </c>
      <c r="U373" s="35">
        <f>IF($F373="","",IFERROR(INDEX(사건마스터!$AS$5:$AS$64,MATCH($F373,사건마스터!$A$5:$A$64,0)),""))</f>
        <v/>
      </c>
      <c r="V373" s="35">
        <f>IF($F373="","",IFERROR(INDEX(사건마스터!$AT$5:$AT$64,MATCH($F373,사건마스터!$A$5:$A$64,0)),""))</f>
        <v/>
      </c>
      <c r="W373" s="35">
        <f>IF($F373="","",IFERROR(INDEX(사건마스터!$AU$5:$AU$64,MATCH($F373,사건마스터!$A$5:$A$64,0)),""))</f>
        <v/>
      </c>
      <c r="X373" s="35">
        <f>IF($F373="","",IFERROR(INDEX(사건마스터!$AV$5:$AV$64,MATCH($F373,사건마스터!$A$5:$A$64,0)),""))</f>
        <v/>
      </c>
      <c r="Y373" s="30">
        <f>IF($I373="","",COUNTIF($I373:$X373,"?*"))</f>
        <v/>
      </c>
      <c r="Z373" s="33">
        <f>IF($I373="","",_xlfn.TEXTJOIN(", ",TRUE,$I373:$X373))</f>
        <v/>
      </c>
      <c r="AA373" s="34">
        <f>IF($I373="","",IFERROR(INDEX(코드설정!$D$5:$D$24,MATCH($I373,코드설정!$C$5:$C$24,0)),""))</f>
        <v/>
      </c>
      <c r="AB373" s="36" t="n"/>
      <c r="AC373" s="37" t="n"/>
      <c r="AD373" s="38" t="n"/>
      <c r="AE373" s="30">
        <f>IF(OR($B373="",$C373=""),"",$C373-$B373+1)</f>
        <v/>
      </c>
      <c r="AF373" s="32" t="n"/>
      <c r="AG373" s="36" t="n"/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3">
        <f>IF($F374="","",IFERROR(INDEX(사건마스터!$B$5:$B$64,MATCH($F374,사건마스터!$A$5:$A$64,0)),""))</f>
        <v/>
      </c>
      <c r="H374" s="34">
        <f>IF($F374="","",IFERROR(INDEX(사건마스터!$C$5:$C$64,MATCH($F374,사건마스터!$A$5:$A$64,0)),""))</f>
        <v/>
      </c>
      <c r="I374" s="35">
        <f>IF($F374="","",IFERROR(INDEX(사건마스터!$H$5:$H$64,MATCH($F374,사건마스터!$A$5:$A$64,0)),""))</f>
        <v/>
      </c>
      <c r="J374" s="35">
        <f>IF($F374="","",IFERROR(INDEX(사건마스터!$AH$5:$AH$64,MATCH($F374,사건마스터!$A$5:$A$64,0)),""))</f>
        <v/>
      </c>
      <c r="K374" s="35">
        <f>IF($F374="","",IFERROR(INDEX(사건마스터!$AI$5:$AI$64,MATCH($F374,사건마스터!$A$5:$A$64,0)),""))</f>
        <v/>
      </c>
      <c r="L374" s="35">
        <f>IF($F374="","",IFERROR(INDEX(사건마스터!$AJ$5:$AJ$64,MATCH($F374,사건마스터!$A$5:$A$64,0)),""))</f>
        <v/>
      </c>
      <c r="M374" s="35">
        <f>IF($F374="","",IFERROR(INDEX(사건마스터!$AK$5:$AK$64,MATCH($F374,사건마스터!$A$5:$A$64,0)),""))</f>
        <v/>
      </c>
      <c r="N374" s="35">
        <f>IF($F374="","",IFERROR(INDEX(사건마스터!$AL$5:$AL$64,MATCH($F374,사건마스터!$A$5:$A$64,0)),""))</f>
        <v/>
      </c>
      <c r="O374" s="35">
        <f>IF($F374="","",IFERROR(INDEX(사건마스터!$AM$5:$AM$64,MATCH($F374,사건마스터!$A$5:$A$64,0)),""))</f>
        <v/>
      </c>
      <c r="P374" s="35">
        <f>IF($F374="","",IFERROR(INDEX(사건마스터!$AN$5:$AN$64,MATCH($F374,사건마스터!$A$5:$A$64,0)),""))</f>
        <v/>
      </c>
      <c r="Q374" s="35">
        <f>IF($F374="","",IFERROR(INDEX(사건마스터!$AO$5:$AO$64,MATCH($F374,사건마스터!$A$5:$A$64,0)),""))</f>
        <v/>
      </c>
      <c r="R374" s="35">
        <f>IF($F374="","",IFERROR(INDEX(사건마스터!$AP$5:$AP$64,MATCH($F374,사건마스터!$A$5:$A$64,0)),""))</f>
        <v/>
      </c>
      <c r="S374" s="35">
        <f>IF($F374="","",IFERROR(INDEX(사건마스터!$AQ$5:$AQ$64,MATCH($F374,사건마스터!$A$5:$A$64,0)),""))</f>
        <v/>
      </c>
      <c r="T374" s="35">
        <f>IF($F374="","",IFERROR(INDEX(사건마스터!$AR$5:$AR$64,MATCH($F374,사건마스터!$A$5:$A$64,0)),""))</f>
        <v/>
      </c>
      <c r="U374" s="35">
        <f>IF($F374="","",IFERROR(INDEX(사건마스터!$AS$5:$AS$64,MATCH($F374,사건마스터!$A$5:$A$64,0)),""))</f>
        <v/>
      </c>
      <c r="V374" s="35">
        <f>IF($F374="","",IFERROR(INDEX(사건마스터!$AT$5:$AT$64,MATCH($F374,사건마스터!$A$5:$A$64,0)),""))</f>
        <v/>
      </c>
      <c r="W374" s="35">
        <f>IF($F374="","",IFERROR(INDEX(사건마스터!$AU$5:$AU$64,MATCH($F374,사건마스터!$A$5:$A$64,0)),""))</f>
        <v/>
      </c>
      <c r="X374" s="35">
        <f>IF($F374="","",IFERROR(INDEX(사건마스터!$AV$5:$AV$64,MATCH($F374,사건마스터!$A$5:$A$64,0)),""))</f>
        <v/>
      </c>
      <c r="Y374" s="30">
        <f>IF($I374="","",COUNTIF($I374:$X374,"?*"))</f>
        <v/>
      </c>
      <c r="Z374" s="33">
        <f>IF($I374="","",_xlfn.TEXTJOIN(", ",TRUE,$I374:$X374))</f>
        <v/>
      </c>
      <c r="AA374" s="34">
        <f>IF($I374="","",IFERROR(INDEX(코드설정!$D$5:$D$24,MATCH($I374,코드설정!$C$5:$C$24,0)),""))</f>
        <v/>
      </c>
      <c r="AB374" s="36" t="n"/>
      <c r="AC374" s="37" t="n"/>
      <c r="AD374" s="38" t="n"/>
      <c r="AE374" s="30">
        <f>IF(OR($B374="",$C374=""),"",$C374-$B374+1)</f>
        <v/>
      </c>
      <c r="AF374" s="32" t="n"/>
      <c r="AG374" s="36" t="n"/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3">
        <f>IF($F375="","",IFERROR(INDEX(사건마스터!$B$5:$B$64,MATCH($F375,사건마스터!$A$5:$A$64,0)),""))</f>
        <v/>
      </c>
      <c r="H375" s="34">
        <f>IF($F375="","",IFERROR(INDEX(사건마스터!$C$5:$C$64,MATCH($F375,사건마스터!$A$5:$A$64,0)),""))</f>
        <v/>
      </c>
      <c r="I375" s="35">
        <f>IF($F375="","",IFERROR(INDEX(사건마스터!$H$5:$H$64,MATCH($F375,사건마스터!$A$5:$A$64,0)),""))</f>
        <v/>
      </c>
      <c r="J375" s="35">
        <f>IF($F375="","",IFERROR(INDEX(사건마스터!$AH$5:$AH$64,MATCH($F375,사건마스터!$A$5:$A$64,0)),""))</f>
        <v/>
      </c>
      <c r="K375" s="35">
        <f>IF($F375="","",IFERROR(INDEX(사건마스터!$AI$5:$AI$64,MATCH($F375,사건마스터!$A$5:$A$64,0)),""))</f>
        <v/>
      </c>
      <c r="L375" s="35">
        <f>IF($F375="","",IFERROR(INDEX(사건마스터!$AJ$5:$AJ$64,MATCH($F375,사건마스터!$A$5:$A$64,0)),""))</f>
        <v/>
      </c>
      <c r="M375" s="35">
        <f>IF($F375="","",IFERROR(INDEX(사건마스터!$AK$5:$AK$64,MATCH($F375,사건마스터!$A$5:$A$64,0)),""))</f>
        <v/>
      </c>
      <c r="N375" s="35">
        <f>IF($F375="","",IFERROR(INDEX(사건마스터!$AL$5:$AL$64,MATCH($F375,사건마스터!$A$5:$A$64,0)),""))</f>
        <v/>
      </c>
      <c r="O375" s="35">
        <f>IF($F375="","",IFERROR(INDEX(사건마스터!$AM$5:$AM$64,MATCH($F375,사건마스터!$A$5:$A$64,0)),""))</f>
        <v/>
      </c>
      <c r="P375" s="35">
        <f>IF($F375="","",IFERROR(INDEX(사건마스터!$AN$5:$AN$64,MATCH($F375,사건마스터!$A$5:$A$64,0)),""))</f>
        <v/>
      </c>
      <c r="Q375" s="35">
        <f>IF($F375="","",IFERROR(INDEX(사건마스터!$AO$5:$AO$64,MATCH($F375,사건마스터!$A$5:$A$64,0)),""))</f>
        <v/>
      </c>
      <c r="R375" s="35">
        <f>IF($F375="","",IFERROR(INDEX(사건마스터!$AP$5:$AP$64,MATCH($F375,사건마스터!$A$5:$A$64,0)),""))</f>
        <v/>
      </c>
      <c r="S375" s="35">
        <f>IF($F375="","",IFERROR(INDEX(사건마스터!$AQ$5:$AQ$64,MATCH($F375,사건마스터!$A$5:$A$64,0)),""))</f>
        <v/>
      </c>
      <c r="T375" s="35">
        <f>IF($F375="","",IFERROR(INDEX(사건마스터!$AR$5:$AR$64,MATCH($F375,사건마스터!$A$5:$A$64,0)),""))</f>
        <v/>
      </c>
      <c r="U375" s="35">
        <f>IF($F375="","",IFERROR(INDEX(사건마스터!$AS$5:$AS$64,MATCH($F375,사건마스터!$A$5:$A$64,0)),""))</f>
        <v/>
      </c>
      <c r="V375" s="35">
        <f>IF($F375="","",IFERROR(INDEX(사건마스터!$AT$5:$AT$64,MATCH($F375,사건마스터!$A$5:$A$64,0)),""))</f>
        <v/>
      </c>
      <c r="W375" s="35">
        <f>IF($F375="","",IFERROR(INDEX(사건마스터!$AU$5:$AU$64,MATCH($F375,사건마스터!$A$5:$A$64,0)),""))</f>
        <v/>
      </c>
      <c r="X375" s="35">
        <f>IF($F375="","",IFERROR(INDEX(사건마스터!$AV$5:$AV$64,MATCH($F375,사건마스터!$A$5:$A$64,0)),""))</f>
        <v/>
      </c>
      <c r="Y375" s="30">
        <f>IF($I375="","",COUNTIF($I375:$X375,"?*"))</f>
        <v/>
      </c>
      <c r="Z375" s="33">
        <f>IF($I375="","",_xlfn.TEXTJOIN(", ",TRUE,$I375:$X375))</f>
        <v/>
      </c>
      <c r="AA375" s="34">
        <f>IF($I375="","",IFERROR(INDEX(코드설정!$D$5:$D$24,MATCH($I375,코드설정!$C$5:$C$24,0)),""))</f>
        <v/>
      </c>
      <c r="AB375" s="36" t="n"/>
      <c r="AC375" s="37" t="n"/>
      <c r="AD375" s="38" t="n"/>
      <c r="AE375" s="30">
        <f>IF(OR($B375="",$C375=""),"",$C375-$B375+1)</f>
        <v/>
      </c>
      <c r="AF375" s="32" t="n"/>
      <c r="AG375" s="36" t="n"/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3">
        <f>IF($F376="","",IFERROR(INDEX(사건마스터!$B$5:$B$64,MATCH($F376,사건마스터!$A$5:$A$64,0)),""))</f>
        <v/>
      </c>
      <c r="H376" s="34">
        <f>IF($F376="","",IFERROR(INDEX(사건마스터!$C$5:$C$64,MATCH($F376,사건마스터!$A$5:$A$64,0)),""))</f>
        <v/>
      </c>
      <c r="I376" s="35">
        <f>IF($F376="","",IFERROR(INDEX(사건마스터!$H$5:$H$64,MATCH($F376,사건마스터!$A$5:$A$64,0)),""))</f>
        <v/>
      </c>
      <c r="J376" s="35">
        <f>IF($F376="","",IFERROR(INDEX(사건마스터!$AH$5:$AH$64,MATCH($F376,사건마스터!$A$5:$A$64,0)),""))</f>
        <v/>
      </c>
      <c r="K376" s="35">
        <f>IF($F376="","",IFERROR(INDEX(사건마스터!$AI$5:$AI$64,MATCH($F376,사건마스터!$A$5:$A$64,0)),""))</f>
        <v/>
      </c>
      <c r="L376" s="35">
        <f>IF($F376="","",IFERROR(INDEX(사건마스터!$AJ$5:$AJ$64,MATCH($F376,사건마스터!$A$5:$A$64,0)),""))</f>
        <v/>
      </c>
      <c r="M376" s="35">
        <f>IF($F376="","",IFERROR(INDEX(사건마스터!$AK$5:$AK$64,MATCH($F376,사건마스터!$A$5:$A$64,0)),""))</f>
        <v/>
      </c>
      <c r="N376" s="35">
        <f>IF($F376="","",IFERROR(INDEX(사건마스터!$AL$5:$AL$64,MATCH($F376,사건마스터!$A$5:$A$64,0)),""))</f>
        <v/>
      </c>
      <c r="O376" s="35">
        <f>IF($F376="","",IFERROR(INDEX(사건마스터!$AM$5:$AM$64,MATCH($F376,사건마스터!$A$5:$A$64,0)),""))</f>
        <v/>
      </c>
      <c r="P376" s="35">
        <f>IF($F376="","",IFERROR(INDEX(사건마스터!$AN$5:$AN$64,MATCH($F376,사건마스터!$A$5:$A$64,0)),""))</f>
        <v/>
      </c>
      <c r="Q376" s="35">
        <f>IF($F376="","",IFERROR(INDEX(사건마스터!$AO$5:$AO$64,MATCH($F376,사건마스터!$A$5:$A$64,0)),""))</f>
        <v/>
      </c>
      <c r="R376" s="35">
        <f>IF($F376="","",IFERROR(INDEX(사건마스터!$AP$5:$AP$64,MATCH($F376,사건마스터!$A$5:$A$64,0)),""))</f>
        <v/>
      </c>
      <c r="S376" s="35">
        <f>IF($F376="","",IFERROR(INDEX(사건마스터!$AQ$5:$AQ$64,MATCH($F376,사건마스터!$A$5:$A$64,0)),""))</f>
        <v/>
      </c>
      <c r="T376" s="35">
        <f>IF($F376="","",IFERROR(INDEX(사건마스터!$AR$5:$AR$64,MATCH($F376,사건마스터!$A$5:$A$64,0)),""))</f>
        <v/>
      </c>
      <c r="U376" s="35">
        <f>IF($F376="","",IFERROR(INDEX(사건마스터!$AS$5:$AS$64,MATCH($F376,사건마스터!$A$5:$A$64,0)),""))</f>
        <v/>
      </c>
      <c r="V376" s="35">
        <f>IF($F376="","",IFERROR(INDEX(사건마스터!$AT$5:$AT$64,MATCH($F376,사건마스터!$A$5:$A$64,0)),""))</f>
        <v/>
      </c>
      <c r="W376" s="35">
        <f>IF($F376="","",IFERROR(INDEX(사건마스터!$AU$5:$AU$64,MATCH($F376,사건마스터!$A$5:$A$64,0)),""))</f>
        <v/>
      </c>
      <c r="X376" s="35">
        <f>IF($F376="","",IFERROR(INDEX(사건마스터!$AV$5:$AV$64,MATCH($F376,사건마스터!$A$5:$A$64,0)),""))</f>
        <v/>
      </c>
      <c r="Y376" s="30">
        <f>IF($I376="","",COUNTIF($I376:$X376,"?*"))</f>
        <v/>
      </c>
      <c r="Z376" s="33">
        <f>IF($I376="","",_xlfn.TEXTJOIN(", ",TRUE,$I376:$X376))</f>
        <v/>
      </c>
      <c r="AA376" s="34">
        <f>IF($I376="","",IFERROR(INDEX(코드설정!$D$5:$D$24,MATCH($I376,코드설정!$C$5:$C$24,0)),""))</f>
        <v/>
      </c>
      <c r="AB376" s="36" t="n"/>
      <c r="AC376" s="37" t="n"/>
      <c r="AD376" s="38" t="n"/>
      <c r="AE376" s="30">
        <f>IF(OR($B376="",$C376=""),"",$C376-$B376+1)</f>
        <v/>
      </c>
      <c r="AF376" s="32" t="n"/>
      <c r="AG376" s="36" t="n"/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3">
        <f>IF($F377="","",IFERROR(INDEX(사건마스터!$B$5:$B$64,MATCH($F377,사건마스터!$A$5:$A$64,0)),""))</f>
        <v/>
      </c>
      <c r="H377" s="34">
        <f>IF($F377="","",IFERROR(INDEX(사건마스터!$C$5:$C$64,MATCH($F377,사건마스터!$A$5:$A$64,0)),""))</f>
        <v/>
      </c>
      <c r="I377" s="35">
        <f>IF($F377="","",IFERROR(INDEX(사건마스터!$H$5:$H$64,MATCH($F377,사건마스터!$A$5:$A$64,0)),""))</f>
        <v/>
      </c>
      <c r="J377" s="35">
        <f>IF($F377="","",IFERROR(INDEX(사건마스터!$AH$5:$AH$64,MATCH($F377,사건마스터!$A$5:$A$64,0)),""))</f>
        <v/>
      </c>
      <c r="K377" s="35">
        <f>IF($F377="","",IFERROR(INDEX(사건마스터!$AI$5:$AI$64,MATCH($F377,사건마스터!$A$5:$A$64,0)),""))</f>
        <v/>
      </c>
      <c r="L377" s="35">
        <f>IF($F377="","",IFERROR(INDEX(사건마스터!$AJ$5:$AJ$64,MATCH($F377,사건마스터!$A$5:$A$64,0)),""))</f>
        <v/>
      </c>
      <c r="M377" s="35">
        <f>IF($F377="","",IFERROR(INDEX(사건마스터!$AK$5:$AK$64,MATCH($F377,사건마스터!$A$5:$A$64,0)),""))</f>
        <v/>
      </c>
      <c r="N377" s="35">
        <f>IF($F377="","",IFERROR(INDEX(사건마스터!$AL$5:$AL$64,MATCH($F377,사건마스터!$A$5:$A$64,0)),""))</f>
        <v/>
      </c>
      <c r="O377" s="35">
        <f>IF($F377="","",IFERROR(INDEX(사건마스터!$AM$5:$AM$64,MATCH($F377,사건마스터!$A$5:$A$64,0)),""))</f>
        <v/>
      </c>
      <c r="P377" s="35">
        <f>IF($F377="","",IFERROR(INDEX(사건마스터!$AN$5:$AN$64,MATCH($F377,사건마스터!$A$5:$A$64,0)),""))</f>
        <v/>
      </c>
      <c r="Q377" s="35">
        <f>IF($F377="","",IFERROR(INDEX(사건마스터!$AO$5:$AO$64,MATCH($F377,사건마스터!$A$5:$A$64,0)),""))</f>
        <v/>
      </c>
      <c r="R377" s="35">
        <f>IF($F377="","",IFERROR(INDEX(사건마스터!$AP$5:$AP$64,MATCH($F377,사건마스터!$A$5:$A$64,0)),""))</f>
        <v/>
      </c>
      <c r="S377" s="35">
        <f>IF($F377="","",IFERROR(INDEX(사건마스터!$AQ$5:$AQ$64,MATCH($F377,사건마스터!$A$5:$A$64,0)),""))</f>
        <v/>
      </c>
      <c r="T377" s="35">
        <f>IF($F377="","",IFERROR(INDEX(사건마스터!$AR$5:$AR$64,MATCH($F377,사건마스터!$A$5:$A$64,0)),""))</f>
        <v/>
      </c>
      <c r="U377" s="35">
        <f>IF($F377="","",IFERROR(INDEX(사건마스터!$AS$5:$AS$64,MATCH($F377,사건마스터!$A$5:$A$64,0)),""))</f>
        <v/>
      </c>
      <c r="V377" s="35">
        <f>IF($F377="","",IFERROR(INDEX(사건마스터!$AT$5:$AT$64,MATCH($F377,사건마스터!$A$5:$A$64,0)),""))</f>
        <v/>
      </c>
      <c r="W377" s="35">
        <f>IF($F377="","",IFERROR(INDEX(사건마스터!$AU$5:$AU$64,MATCH($F377,사건마스터!$A$5:$A$64,0)),""))</f>
        <v/>
      </c>
      <c r="X377" s="35">
        <f>IF($F377="","",IFERROR(INDEX(사건마스터!$AV$5:$AV$64,MATCH($F377,사건마스터!$A$5:$A$64,0)),""))</f>
        <v/>
      </c>
      <c r="Y377" s="30">
        <f>IF($I377="","",COUNTIF($I377:$X377,"?*"))</f>
        <v/>
      </c>
      <c r="Z377" s="33">
        <f>IF($I377="","",_xlfn.TEXTJOIN(", ",TRUE,$I377:$X377))</f>
        <v/>
      </c>
      <c r="AA377" s="34">
        <f>IF($I377="","",IFERROR(INDEX(코드설정!$D$5:$D$24,MATCH($I377,코드설정!$C$5:$C$24,0)),""))</f>
        <v/>
      </c>
      <c r="AB377" s="36" t="n"/>
      <c r="AC377" s="37" t="n"/>
      <c r="AD377" s="38" t="n"/>
      <c r="AE377" s="30">
        <f>IF(OR($B377="",$C377=""),"",$C377-$B377+1)</f>
        <v/>
      </c>
      <c r="AF377" s="32" t="n"/>
      <c r="AG377" s="36" t="n"/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3">
        <f>IF($F378="","",IFERROR(INDEX(사건마스터!$B$5:$B$64,MATCH($F378,사건마스터!$A$5:$A$64,0)),""))</f>
        <v/>
      </c>
      <c r="H378" s="34">
        <f>IF($F378="","",IFERROR(INDEX(사건마스터!$C$5:$C$64,MATCH($F378,사건마스터!$A$5:$A$64,0)),""))</f>
        <v/>
      </c>
      <c r="I378" s="35">
        <f>IF($F378="","",IFERROR(INDEX(사건마스터!$H$5:$H$64,MATCH($F378,사건마스터!$A$5:$A$64,0)),""))</f>
        <v/>
      </c>
      <c r="J378" s="35">
        <f>IF($F378="","",IFERROR(INDEX(사건마스터!$AH$5:$AH$64,MATCH($F378,사건마스터!$A$5:$A$64,0)),""))</f>
        <v/>
      </c>
      <c r="K378" s="35">
        <f>IF($F378="","",IFERROR(INDEX(사건마스터!$AI$5:$AI$64,MATCH($F378,사건마스터!$A$5:$A$64,0)),""))</f>
        <v/>
      </c>
      <c r="L378" s="35">
        <f>IF($F378="","",IFERROR(INDEX(사건마스터!$AJ$5:$AJ$64,MATCH($F378,사건마스터!$A$5:$A$64,0)),""))</f>
        <v/>
      </c>
      <c r="M378" s="35">
        <f>IF($F378="","",IFERROR(INDEX(사건마스터!$AK$5:$AK$64,MATCH($F378,사건마스터!$A$5:$A$64,0)),""))</f>
        <v/>
      </c>
      <c r="N378" s="35">
        <f>IF($F378="","",IFERROR(INDEX(사건마스터!$AL$5:$AL$64,MATCH($F378,사건마스터!$A$5:$A$64,0)),""))</f>
        <v/>
      </c>
      <c r="O378" s="35">
        <f>IF($F378="","",IFERROR(INDEX(사건마스터!$AM$5:$AM$64,MATCH($F378,사건마스터!$A$5:$A$64,0)),""))</f>
        <v/>
      </c>
      <c r="P378" s="35">
        <f>IF($F378="","",IFERROR(INDEX(사건마스터!$AN$5:$AN$64,MATCH($F378,사건마스터!$A$5:$A$64,0)),""))</f>
        <v/>
      </c>
      <c r="Q378" s="35">
        <f>IF($F378="","",IFERROR(INDEX(사건마스터!$AO$5:$AO$64,MATCH($F378,사건마스터!$A$5:$A$64,0)),""))</f>
        <v/>
      </c>
      <c r="R378" s="35">
        <f>IF($F378="","",IFERROR(INDEX(사건마스터!$AP$5:$AP$64,MATCH($F378,사건마스터!$A$5:$A$64,0)),""))</f>
        <v/>
      </c>
      <c r="S378" s="35">
        <f>IF($F378="","",IFERROR(INDEX(사건마스터!$AQ$5:$AQ$64,MATCH($F378,사건마스터!$A$5:$A$64,0)),""))</f>
        <v/>
      </c>
      <c r="T378" s="35">
        <f>IF($F378="","",IFERROR(INDEX(사건마스터!$AR$5:$AR$64,MATCH($F378,사건마스터!$A$5:$A$64,0)),""))</f>
        <v/>
      </c>
      <c r="U378" s="35">
        <f>IF($F378="","",IFERROR(INDEX(사건마스터!$AS$5:$AS$64,MATCH($F378,사건마스터!$A$5:$A$64,0)),""))</f>
        <v/>
      </c>
      <c r="V378" s="35">
        <f>IF($F378="","",IFERROR(INDEX(사건마스터!$AT$5:$AT$64,MATCH($F378,사건마스터!$A$5:$A$64,0)),""))</f>
        <v/>
      </c>
      <c r="W378" s="35">
        <f>IF($F378="","",IFERROR(INDEX(사건마스터!$AU$5:$AU$64,MATCH($F378,사건마스터!$A$5:$A$64,0)),""))</f>
        <v/>
      </c>
      <c r="X378" s="35">
        <f>IF($F378="","",IFERROR(INDEX(사건마스터!$AV$5:$AV$64,MATCH($F378,사건마스터!$A$5:$A$64,0)),""))</f>
        <v/>
      </c>
      <c r="Y378" s="30">
        <f>IF($I378="","",COUNTIF($I378:$X378,"?*"))</f>
        <v/>
      </c>
      <c r="Z378" s="33">
        <f>IF($I378="","",_xlfn.TEXTJOIN(", ",TRUE,$I378:$X378))</f>
        <v/>
      </c>
      <c r="AA378" s="34">
        <f>IF($I378="","",IFERROR(INDEX(코드설정!$D$5:$D$24,MATCH($I378,코드설정!$C$5:$C$24,0)),""))</f>
        <v/>
      </c>
      <c r="AB378" s="36" t="n"/>
      <c r="AC378" s="37" t="n"/>
      <c r="AD378" s="38" t="n"/>
      <c r="AE378" s="30">
        <f>IF(OR($B378="",$C378=""),"",$C378-$B378+1)</f>
        <v/>
      </c>
      <c r="AF378" s="32" t="n"/>
      <c r="AG378" s="36" t="n"/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3">
        <f>IF($F379="","",IFERROR(INDEX(사건마스터!$B$5:$B$64,MATCH($F379,사건마스터!$A$5:$A$64,0)),""))</f>
        <v/>
      </c>
      <c r="H379" s="34">
        <f>IF($F379="","",IFERROR(INDEX(사건마스터!$C$5:$C$64,MATCH($F379,사건마스터!$A$5:$A$64,0)),""))</f>
        <v/>
      </c>
      <c r="I379" s="35">
        <f>IF($F379="","",IFERROR(INDEX(사건마스터!$H$5:$H$64,MATCH($F379,사건마스터!$A$5:$A$64,0)),""))</f>
        <v/>
      </c>
      <c r="J379" s="35">
        <f>IF($F379="","",IFERROR(INDEX(사건마스터!$AH$5:$AH$64,MATCH($F379,사건마스터!$A$5:$A$64,0)),""))</f>
        <v/>
      </c>
      <c r="K379" s="35">
        <f>IF($F379="","",IFERROR(INDEX(사건마스터!$AI$5:$AI$64,MATCH($F379,사건마스터!$A$5:$A$64,0)),""))</f>
        <v/>
      </c>
      <c r="L379" s="35">
        <f>IF($F379="","",IFERROR(INDEX(사건마스터!$AJ$5:$AJ$64,MATCH($F379,사건마스터!$A$5:$A$64,0)),""))</f>
        <v/>
      </c>
      <c r="M379" s="35">
        <f>IF($F379="","",IFERROR(INDEX(사건마스터!$AK$5:$AK$64,MATCH($F379,사건마스터!$A$5:$A$64,0)),""))</f>
        <v/>
      </c>
      <c r="N379" s="35">
        <f>IF($F379="","",IFERROR(INDEX(사건마스터!$AL$5:$AL$64,MATCH($F379,사건마스터!$A$5:$A$64,0)),""))</f>
        <v/>
      </c>
      <c r="O379" s="35">
        <f>IF($F379="","",IFERROR(INDEX(사건마스터!$AM$5:$AM$64,MATCH($F379,사건마스터!$A$5:$A$64,0)),""))</f>
        <v/>
      </c>
      <c r="P379" s="35">
        <f>IF($F379="","",IFERROR(INDEX(사건마스터!$AN$5:$AN$64,MATCH($F379,사건마스터!$A$5:$A$64,0)),""))</f>
        <v/>
      </c>
      <c r="Q379" s="35">
        <f>IF($F379="","",IFERROR(INDEX(사건마스터!$AO$5:$AO$64,MATCH($F379,사건마스터!$A$5:$A$64,0)),""))</f>
        <v/>
      </c>
      <c r="R379" s="35">
        <f>IF($F379="","",IFERROR(INDEX(사건마스터!$AP$5:$AP$64,MATCH($F379,사건마스터!$A$5:$A$64,0)),""))</f>
        <v/>
      </c>
      <c r="S379" s="35">
        <f>IF($F379="","",IFERROR(INDEX(사건마스터!$AQ$5:$AQ$64,MATCH($F379,사건마스터!$A$5:$A$64,0)),""))</f>
        <v/>
      </c>
      <c r="T379" s="35">
        <f>IF($F379="","",IFERROR(INDEX(사건마스터!$AR$5:$AR$64,MATCH($F379,사건마스터!$A$5:$A$64,0)),""))</f>
        <v/>
      </c>
      <c r="U379" s="35">
        <f>IF($F379="","",IFERROR(INDEX(사건마스터!$AS$5:$AS$64,MATCH($F379,사건마스터!$A$5:$A$64,0)),""))</f>
        <v/>
      </c>
      <c r="V379" s="35">
        <f>IF($F379="","",IFERROR(INDEX(사건마스터!$AT$5:$AT$64,MATCH($F379,사건마스터!$A$5:$A$64,0)),""))</f>
        <v/>
      </c>
      <c r="W379" s="35">
        <f>IF($F379="","",IFERROR(INDEX(사건마스터!$AU$5:$AU$64,MATCH($F379,사건마스터!$A$5:$A$64,0)),""))</f>
        <v/>
      </c>
      <c r="X379" s="35">
        <f>IF($F379="","",IFERROR(INDEX(사건마스터!$AV$5:$AV$64,MATCH($F379,사건마스터!$A$5:$A$64,0)),""))</f>
        <v/>
      </c>
      <c r="Y379" s="30">
        <f>IF($I379="","",COUNTIF($I379:$X379,"?*"))</f>
        <v/>
      </c>
      <c r="Z379" s="33">
        <f>IF($I379="","",_xlfn.TEXTJOIN(", ",TRUE,$I379:$X379))</f>
        <v/>
      </c>
      <c r="AA379" s="34">
        <f>IF($I379="","",IFERROR(INDEX(코드설정!$D$5:$D$24,MATCH($I379,코드설정!$C$5:$C$24,0)),""))</f>
        <v/>
      </c>
      <c r="AB379" s="36" t="n"/>
      <c r="AC379" s="37" t="n"/>
      <c r="AD379" s="38" t="n"/>
      <c r="AE379" s="30">
        <f>IF(OR($B379="",$C379=""),"",$C379-$B379+1)</f>
        <v/>
      </c>
      <c r="AF379" s="32" t="n"/>
      <c r="AG379" s="36" t="n"/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3">
        <f>IF($F380="","",IFERROR(INDEX(사건마스터!$B$5:$B$64,MATCH($F380,사건마스터!$A$5:$A$64,0)),""))</f>
        <v/>
      </c>
      <c r="H380" s="34">
        <f>IF($F380="","",IFERROR(INDEX(사건마스터!$C$5:$C$64,MATCH($F380,사건마스터!$A$5:$A$64,0)),""))</f>
        <v/>
      </c>
      <c r="I380" s="35">
        <f>IF($F380="","",IFERROR(INDEX(사건마스터!$H$5:$H$64,MATCH($F380,사건마스터!$A$5:$A$64,0)),""))</f>
        <v/>
      </c>
      <c r="J380" s="35">
        <f>IF($F380="","",IFERROR(INDEX(사건마스터!$AH$5:$AH$64,MATCH($F380,사건마스터!$A$5:$A$64,0)),""))</f>
        <v/>
      </c>
      <c r="K380" s="35">
        <f>IF($F380="","",IFERROR(INDEX(사건마스터!$AI$5:$AI$64,MATCH($F380,사건마스터!$A$5:$A$64,0)),""))</f>
        <v/>
      </c>
      <c r="L380" s="35">
        <f>IF($F380="","",IFERROR(INDEX(사건마스터!$AJ$5:$AJ$64,MATCH($F380,사건마스터!$A$5:$A$64,0)),""))</f>
        <v/>
      </c>
      <c r="M380" s="35">
        <f>IF($F380="","",IFERROR(INDEX(사건마스터!$AK$5:$AK$64,MATCH($F380,사건마스터!$A$5:$A$64,0)),""))</f>
        <v/>
      </c>
      <c r="N380" s="35">
        <f>IF($F380="","",IFERROR(INDEX(사건마스터!$AL$5:$AL$64,MATCH($F380,사건마스터!$A$5:$A$64,0)),""))</f>
        <v/>
      </c>
      <c r="O380" s="35">
        <f>IF($F380="","",IFERROR(INDEX(사건마스터!$AM$5:$AM$64,MATCH($F380,사건마스터!$A$5:$A$64,0)),""))</f>
        <v/>
      </c>
      <c r="P380" s="35">
        <f>IF($F380="","",IFERROR(INDEX(사건마스터!$AN$5:$AN$64,MATCH($F380,사건마스터!$A$5:$A$64,0)),""))</f>
        <v/>
      </c>
      <c r="Q380" s="35">
        <f>IF($F380="","",IFERROR(INDEX(사건마스터!$AO$5:$AO$64,MATCH($F380,사건마스터!$A$5:$A$64,0)),""))</f>
        <v/>
      </c>
      <c r="R380" s="35">
        <f>IF($F380="","",IFERROR(INDEX(사건마스터!$AP$5:$AP$64,MATCH($F380,사건마스터!$A$5:$A$64,0)),""))</f>
        <v/>
      </c>
      <c r="S380" s="35">
        <f>IF($F380="","",IFERROR(INDEX(사건마스터!$AQ$5:$AQ$64,MATCH($F380,사건마스터!$A$5:$A$64,0)),""))</f>
        <v/>
      </c>
      <c r="T380" s="35">
        <f>IF($F380="","",IFERROR(INDEX(사건마스터!$AR$5:$AR$64,MATCH($F380,사건마스터!$A$5:$A$64,0)),""))</f>
        <v/>
      </c>
      <c r="U380" s="35">
        <f>IF($F380="","",IFERROR(INDEX(사건마스터!$AS$5:$AS$64,MATCH($F380,사건마스터!$A$5:$A$64,0)),""))</f>
        <v/>
      </c>
      <c r="V380" s="35">
        <f>IF($F380="","",IFERROR(INDEX(사건마스터!$AT$5:$AT$64,MATCH($F380,사건마스터!$A$5:$A$64,0)),""))</f>
        <v/>
      </c>
      <c r="W380" s="35">
        <f>IF($F380="","",IFERROR(INDEX(사건마스터!$AU$5:$AU$64,MATCH($F380,사건마스터!$A$5:$A$64,0)),""))</f>
        <v/>
      </c>
      <c r="X380" s="35">
        <f>IF($F380="","",IFERROR(INDEX(사건마스터!$AV$5:$AV$64,MATCH($F380,사건마스터!$A$5:$A$64,0)),""))</f>
        <v/>
      </c>
      <c r="Y380" s="30">
        <f>IF($I380="","",COUNTIF($I380:$X380,"?*"))</f>
        <v/>
      </c>
      <c r="Z380" s="33">
        <f>IF($I380="","",_xlfn.TEXTJOIN(", ",TRUE,$I380:$X380))</f>
        <v/>
      </c>
      <c r="AA380" s="34">
        <f>IF($I380="","",IFERROR(INDEX(코드설정!$D$5:$D$24,MATCH($I380,코드설정!$C$5:$C$24,0)),""))</f>
        <v/>
      </c>
      <c r="AB380" s="36" t="n"/>
      <c r="AC380" s="37" t="n"/>
      <c r="AD380" s="38" t="n"/>
      <c r="AE380" s="30">
        <f>IF(OR($B380="",$C380=""),"",$C380-$B380+1)</f>
        <v/>
      </c>
      <c r="AF380" s="32" t="n"/>
      <c r="AG380" s="36" t="n"/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3">
        <f>IF($F381="","",IFERROR(INDEX(사건마스터!$B$5:$B$64,MATCH($F381,사건마스터!$A$5:$A$64,0)),""))</f>
        <v/>
      </c>
      <c r="H381" s="34">
        <f>IF($F381="","",IFERROR(INDEX(사건마스터!$C$5:$C$64,MATCH($F381,사건마스터!$A$5:$A$64,0)),""))</f>
        <v/>
      </c>
      <c r="I381" s="35">
        <f>IF($F381="","",IFERROR(INDEX(사건마스터!$H$5:$H$64,MATCH($F381,사건마스터!$A$5:$A$64,0)),""))</f>
        <v/>
      </c>
      <c r="J381" s="35">
        <f>IF($F381="","",IFERROR(INDEX(사건마스터!$AH$5:$AH$64,MATCH($F381,사건마스터!$A$5:$A$64,0)),""))</f>
        <v/>
      </c>
      <c r="K381" s="35">
        <f>IF($F381="","",IFERROR(INDEX(사건마스터!$AI$5:$AI$64,MATCH($F381,사건마스터!$A$5:$A$64,0)),""))</f>
        <v/>
      </c>
      <c r="L381" s="35">
        <f>IF($F381="","",IFERROR(INDEX(사건마스터!$AJ$5:$AJ$64,MATCH($F381,사건마스터!$A$5:$A$64,0)),""))</f>
        <v/>
      </c>
      <c r="M381" s="35">
        <f>IF($F381="","",IFERROR(INDEX(사건마스터!$AK$5:$AK$64,MATCH($F381,사건마스터!$A$5:$A$64,0)),""))</f>
        <v/>
      </c>
      <c r="N381" s="35">
        <f>IF($F381="","",IFERROR(INDEX(사건마스터!$AL$5:$AL$64,MATCH($F381,사건마스터!$A$5:$A$64,0)),""))</f>
        <v/>
      </c>
      <c r="O381" s="35">
        <f>IF($F381="","",IFERROR(INDEX(사건마스터!$AM$5:$AM$64,MATCH($F381,사건마스터!$A$5:$A$64,0)),""))</f>
        <v/>
      </c>
      <c r="P381" s="35">
        <f>IF($F381="","",IFERROR(INDEX(사건마스터!$AN$5:$AN$64,MATCH($F381,사건마스터!$A$5:$A$64,0)),""))</f>
        <v/>
      </c>
      <c r="Q381" s="35">
        <f>IF($F381="","",IFERROR(INDEX(사건마스터!$AO$5:$AO$64,MATCH($F381,사건마스터!$A$5:$A$64,0)),""))</f>
        <v/>
      </c>
      <c r="R381" s="35">
        <f>IF($F381="","",IFERROR(INDEX(사건마스터!$AP$5:$AP$64,MATCH($F381,사건마스터!$A$5:$A$64,0)),""))</f>
        <v/>
      </c>
      <c r="S381" s="35">
        <f>IF($F381="","",IFERROR(INDEX(사건마스터!$AQ$5:$AQ$64,MATCH($F381,사건마스터!$A$5:$A$64,0)),""))</f>
        <v/>
      </c>
      <c r="T381" s="35">
        <f>IF($F381="","",IFERROR(INDEX(사건마스터!$AR$5:$AR$64,MATCH($F381,사건마스터!$A$5:$A$64,0)),""))</f>
        <v/>
      </c>
      <c r="U381" s="35">
        <f>IF($F381="","",IFERROR(INDEX(사건마스터!$AS$5:$AS$64,MATCH($F381,사건마스터!$A$5:$A$64,0)),""))</f>
        <v/>
      </c>
      <c r="V381" s="35">
        <f>IF($F381="","",IFERROR(INDEX(사건마스터!$AT$5:$AT$64,MATCH($F381,사건마스터!$A$5:$A$64,0)),""))</f>
        <v/>
      </c>
      <c r="W381" s="35">
        <f>IF($F381="","",IFERROR(INDEX(사건마스터!$AU$5:$AU$64,MATCH($F381,사건마스터!$A$5:$A$64,0)),""))</f>
        <v/>
      </c>
      <c r="X381" s="35">
        <f>IF($F381="","",IFERROR(INDEX(사건마스터!$AV$5:$AV$64,MATCH($F381,사건마스터!$A$5:$A$64,0)),""))</f>
        <v/>
      </c>
      <c r="Y381" s="30">
        <f>IF($I381="","",COUNTIF($I381:$X381,"?*"))</f>
        <v/>
      </c>
      <c r="Z381" s="33">
        <f>IF($I381="","",_xlfn.TEXTJOIN(", ",TRUE,$I381:$X381))</f>
        <v/>
      </c>
      <c r="AA381" s="34">
        <f>IF($I381="","",IFERROR(INDEX(코드설정!$D$5:$D$24,MATCH($I381,코드설정!$C$5:$C$24,0)),""))</f>
        <v/>
      </c>
      <c r="AB381" s="36" t="n"/>
      <c r="AC381" s="37" t="n"/>
      <c r="AD381" s="38" t="n"/>
      <c r="AE381" s="30">
        <f>IF(OR($B381="",$C381=""),"",$C381-$B381+1)</f>
        <v/>
      </c>
      <c r="AF381" s="32" t="n"/>
      <c r="AG381" s="36" t="n"/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3">
        <f>IF($F382="","",IFERROR(INDEX(사건마스터!$B$5:$B$64,MATCH($F382,사건마스터!$A$5:$A$64,0)),""))</f>
        <v/>
      </c>
      <c r="H382" s="34">
        <f>IF($F382="","",IFERROR(INDEX(사건마스터!$C$5:$C$64,MATCH($F382,사건마스터!$A$5:$A$64,0)),""))</f>
        <v/>
      </c>
      <c r="I382" s="35">
        <f>IF($F382="","",IFERROR(INDEX(사건마스터!$H$5:$H$64,MATCH($F382,사건마스터!$A$5:$A$64,0)),""))</f>
        <v/>
      </c>
      <c r="J382" s="35">
        <f>IF($F382="","",IFERROR(INDEX(사건마스터!$AH$5:$AH$64,MATCH($F382,사건마스터!$A$5:$A$64,0)),""))</f>
        <v/>
      </c>
      <c r="K382" s="35">
        <f>IF($F382="","",IFERROR(INDEX(사건마스터!$AI$5:$AI$64,MATCH($F382,사건마스터!$A$5:$A$64,0)),""))</f>
        <v/>
      </c>
      <c r="L382" s="35">
        <f>IF($F382="","",IFERROR(INDEX(사건마스터!$AJ$5:$AJ$64,MATCH($F382,사건마스터!$A$5:$A$64,0)),""))</f>
        <v/>
      </c>
      <c r="M382" s="35">
        <f>IF($F382="","",IFERROR(INDEX(사건마스터!$AK$5:$AK$64,MATCH($F382,사건마스터!$A$5:$A$64,0)),""))</f>
        <v/>
      </c>
      <c r="N382" s="35">
        <f>IF($F382="","",IFERROR(INDEX(사건마스터!$AL$5:$AL$64,MATCH($F382,사건마스터!$A$5:$A$64,0)),""))</f>
        <v/>
      </c>
      <c r="O382" s="35">
        <f>IF($F382="","",IFERROR(INDEX(사건마스터!$AM$5:$AM$64,MATCH($F382,사건마스터!$A$5:$A$64,0)),""))</f>
        <v/>
      </c>
      <c r="P382" s="35">
        <f>IF($F382="","",IFERROR(INDEX(사건마스터!$AN$5:$AN$64,MATCH($F382,사건마스터!$A$5:$A$64,0)),""))</f>
        <v/>
      </c>
      <c r="Q382" s="35">
        <f>IF($F382="","",IFERROR(INDEX(사건마스터!$AO$5:$AO$64,MATCH($F382,사건마스터!$A$5:$A$64,0)),""))</f>
        <v/>
      </c>
      <c r="R382" s="35">
        <f>IF($F382="","",IFERROR(INDEX(사건마스터!$AP$5:$AP$64,MATCH($F382,사건마스터!$A$5:$A$64,0)),""))</f>
        <v/>
      </c>
      <c r="S382" s="35">
        <f>IF($F382="","",IFERROR(INDEX(사건마스터!$AQ$5:$AQ$64,MATCH($F382,사건마스터!$A$5:$A$64,0)),""))</f>
        <v/>
      </c>
      <c r="T382" s="35">
        <f>IF($F382="","",IFERROR(INDEX(사건마스터!$AR$5:$AR$64,MATCH($F382,사건마스터!$A$5:$A$64,0)),""))</f>
        <v/>
      </c>
      <c r="U382" s="35">
        <f>IF($F382="","",IFERROR(INDEX(사건마스터!$AS$5:$AS$64,MATCH($F382,사건마스터!$A$5:$A$64,0)),""))</f>
        <v/>
      </c>
      <c r="V382" s="35">
        <f>IF($F382="","",IFERROR(INDEX(사건마스터!$AT$5:$AT$64,MATCH($F382,사건마스터!$A$5:$A$64,0)),""))</f>
        <v/>
      </c>
      <c r="W382" s="35">
        <f>IF($F382="","",IFERROR(INDEX(사건마스터!$AU$5:$AU$64,MATCH($F382,사건마스터!$A$5:$A$64,0)),""))</f>
        <v/>
      </c>
      <c r="X382" s="35">
        <f>IF($F382="","",IFERROR(INDEX(사건마스터!$AV$5:$AV$64,MATCH($F382,사건마스터!$A$5:$A$64,0)),""))</f>
        <v/>
      </c>
      <c r="Y382" s="30">
        <f>IF($I382="","",COUNTIF($I382:$X382,"?*"))</f>
        <v/>
      </c>
      <c r="Z382" s="33">
        <f>IF($I382="","",_xlfn.TEXTJOIN(", ",TRUE,$I382:$X382))</f>
        <v/>
      </c>
      <c r="AA382" s="34">
        <f>IF($I382="","",IFERROR(INDEX(코드설정!$D$5:$D$24,MATCH($I382,코드설정!$C$5:$C$24,0)),""))</f>
        <v/>
      </c>
      <c r="AB382" s="36" t="n"/>
      <c r="AC382" s="37" t="n"/>
      <c r="AD382" s="38" t="n"/>
      <c r="AE382" s="30">
        <f>IF(OR($B382="",$C382=""),"",$C382-$B382+1)</f>
        <v/>
      </c>
      <c r="AF382" s="32" t="n"/>
      <c r="AG382" s="36" t="n"/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3">
        <f>IF($F383="","",IFERROR(INDEX(사건마스터!$B$5:$B$64,MATCH($F383,사건마스터!$A$5:$A$64,0)),""))</f>
        <v/>
      </c>
      <c r="H383" s="34">
        <f>IF($F383="","",IFERROR(INDEX(사건마스터!$C$5:$C$64,MATCH($F383,사건마스터!$A$5:$A$64,0)),""))</f>
        <v/>
      </c>
      <c r="I383" s="35">
        <f>IF($F383="","",IFERROR(INDEX(사건마스터!$H$5:$H$64,MATCH($F383,사건마스터!$A$5:$A$64,0)),""))</f>
        <v/>
      </c>
      <c r="J383" s="35">
        <f>IF($F383="","",IFERROR(INDEX(사건마스터!$AH$5:$AH$64,MATCH($F383,사건마스터!$A$5:$A$64,0)),""))</f>
        <v/>
      </c>
      <c r="K383" s="35">
        <f>IF($F383="","",IFERROR(INDEX(사건마스터!$AI$5:$AI$64,MATCH($F383,사건마스터!$A$5:$A$64,0)),""))</f>
        <v/>
      </c>
      <c r="L383" s="35">
        <f>IF($F383="","",IFERROR(INDEX(사건마스터!$AJ$5:$AJ$64,MATCH($F383,사건마스터!$A$5:$A$64,0)),""))</f>
        <v/>
      </c>
      <c r="M383" s="35">
        <f>IF($F383="","",IFERROR(INDEX(사건마스터!$AK$5:$AK$64,MATCH($F383,사건마스터!$A$5:$A$64,0)),""))</f>
        <v/>
      </c>
      <c r="N383" s="35">
        <f>IF($F383="","",IFERROR(INDEX(사건마스터!$AL$5:$AL$64,MATCH($F383,사건마스터!$A$5:$A$64,0)),""))</f>
        <v/>
      </c>
      <c r="O383" s="35">
        <f>IF($F383="","",IFERROR(INDEX(사건마스터!$AM$5:$AM$64,MATCH($F383,사건마스터!$A$5:$A$64,0)),""))</f>
        <v/>
      </c>
      <c r="P383" s="35">
        <f>IF($F383="","",IFERROR(INDEX(사건마스터!$AN$5:$AN$64,MATCH($F383,사건마스터!$A$5:$A$64,0)),""))</f>
        <v/>
      </c>
      <c r="Q383" s="35">
        <f>IF($F383="","",IFERROR(INDEX(사건마스터!$AO$5:$AO$64,MATCH($F383,사건마스터!$A$5:$A$64,0)),""))</f>
        <v/>
      </c>
      <c r="R383" s="35">
        <f>IF($F383="","",IFERROR(INDEX(사건마스터!$AP$5:$AP$64,MATCH($F383,사건마스터!$A$5:$A$64,0)),""))</f>
        <v/>
      </c>
      <c r="S383" s="35">
        <f>IF($F383="","",IFERROR(INDEX(사건마스터!$AQ$5:$AQ$64,MATCH($F383,사건마스터!$A$5:$A$64,0)),""))</f>
        <v/>
      </c>
      <c r="T383" s="35">
        <f>IF($F383="","",IFERROR(INDEX(사건마스터!$AR$5:$AR$64,MATCH($F383,사건마스터!$A$5:$A$64,0)),""))</f>
        <v/>
      </c>
      <c r="U383" s="35">
        <f>IF($F383="","",IFERROR(INDEX(사건마스터!$AS$5:$AS$64,MATCH($F383,사건마스터!$A$5:$A$64,0)),""))</f>
        <v/>
      </c>
      <c r="V383" s="35">
        <f>IF($F383="","",IFERROR(INDEX(사건마스터!$AT$5:$AT$64,MATCH($F383,사건마스터!$A$5:$A$64,0)),""))</f>
        <v/>
      </c>
      <c r="W383" s="35">
        <f>IF($F383="","",IFERROR(INDEX(사건마스터!$AU$5:$AU$64,MATCH($F383,사건마스터!$A$5:$A$64,0)),""))</f>
        <v/>
      </c>
      <c r="X383" s="35">
        <f>IF($F383="","",IFERROR(INDEX(사건마스터!$AV$5:$AV$64,MATCH($F383,사건마스터!$A$5:$A$64,0)),""))</f>
        <v/>
      </c>
      <c r="Y383" s="30">
        <f>IF($I383="","",COUNTIF($I383:$X383,"?*"))</f>
        <v/>
      </c>
      <c r="Z383" s="33">
        <f>IF($I383="","",_xlfn.TEXTJOIN(", ",TRUE,$I383:$X383))</f>
        <v/>
      </c>
      <c r="AA383" s="34">
        <f>IF($I383="","",IFERROR(INDEX(코드설정!$D$5:$D$24,MATCH($I383,코드설정!$C$5:$C$24,0)),""))</f>
        <v/>
      </c>
      <c r="AB383" s="36" t="n"/>
      <c r="AC383" s="37" t="n"/>
      <c r="AD383" s="38" t="n"/>
      <c r="AE383" s="30">
        <f>IF(OR($B383="",$C383=""),"",$C383-$B383+1)</f>
        <v/>
      </c>
      <c r="AF383" s="32" t="n"/>
      <c r="AG383" s="36" t="n"/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3">
        <f>IF($F384="","",IFERROR(INDEX(사건마스터!$B$5:$B$64,MATCH($F384,사건마스터!$A$5:$A$64,0)),""))</f>
        <v/>
      </c>
      <c r="H384" s="34">
        <f>IF($F384="","",IFERROR(INDEX(사건마스터!$C$5:$C$64,MATCH($F384,사건마스터!$A$5:$A$64,0)),""))</f>
        <v/>
      </c>
      <c r="I384" s="35">
        <f>IF($F384="","",IFERROR(INDEX(사건마스터!$H$5:$H$64,MATCH($F384,사건마스터!$A$5:$A$64,0)),""))</f>
        <v/>
      </c>
      <c r="J384" s="35">
        <f>IF($F384="","",IFERROR(INDEX(사건마스터!$AH$5:$AH$64,MATCH($F384,사건마스터!$A$5:$A$64,0)),""))</f>
        <v/>
      </c>
      <c r="K384" s="35">
        <f>IF($F384="","",IFERROR(INDEX(사건마스터!$AI$5:$AI$64,MATCH($F384,사건마스터!$A$5:$A$64,0)),""))</f>
        <v/>
      </c>
      <c r="L384" s="35">
        <f>IF($F384="","",IFERROR(INDEX(사건마스터!$AJ$5:$AJ$64,MATCH($F384,사건마스터!$A$5:$A$64,0)),""))</f>
        <v/>
      </c>
      <c r="M384" s="35">
        <f>IF($F384="","",IFERROR(INDEX(사건마스터!$AK$5:$AK$64,MATCH($F384,사건마스터!$A$5:$A$64,0)),""))</f>
        <v/>
      </c>
      <c r="N384" s="35">
        <f>IF($F384="","",IFERROR(INDEX(사건마스터!$AL$5:$AL$64,MATCH($F384,사건마스터!$A$5:$A$64,0)),""))</f>
        <v/>
      </c>
      <c r="O384" s="35">
        <f>IF($F384="","",IFERROR(INDEX(사건마스터!$AM$5:$AM$64,MATCH($F384,사건마스터!$A$5:$A$64,0)),""))</f>
        <v/>
      </c>
      <c r="P384" s="35">
        <f>IF($F384="","",IFERROR(INDEX(사건마스터!$AN$5:$AN$64,MATCH($F384,사건마스터!$A$5:$A$64,0)),""))</f>
        <v/>
      </c>
      <c r="Q384" s="35">
        <f>IF($F384="","",IFERROR(INDEX(사건마스터!$AO$5:$AO$64,MATCH($F384,사건마스터!$A$5:$A$64,0)),""))</f>
        <v/>
      </c>
      <c r="R384" s="35">
        <f>IF($F384="","",IFERROR(INDEX(사건마스터!$AP$5:$AP$64,MATCH($F384,사건마스터!$A$5:$A$64,0)),""))</f>
        <v/>
      </c>
      <c r="S384" s="35">
        <f>IF($F384="","",IFERROR(INDEX(사건마스터!$AQ$5:$AQ$64,MATCH($F384,사건마스터!$A$5:$A$64,0)),""))</f>
        <v/>
      </c>
      <c r="T384" s="35">
        <f>IF($F384="","",IFERROR(INDEX(사건마스터!$AR$5:$AR$64,MATCH($F384,사건마스터!$A$5:$A$64,0)),""))</f>
        <v/>
      </c>
      <c r="U384" s="35">
        <f>IF($F384="","",IFERROR(INDEX(사건마스터!$AS$5:$AS$64,MATCH($F384,사건마스터!$A$5:$A$64,0)),""))</f>
        <v/>
      </c>
      <c r="V384" s="35">
        <f>IF($F384="","",IFERROR(INDEX(사건마스터!$AT$5:$AT$64,MATCH($F384,사건마스터!$A$5:$A$64,0)),""))</f>
        <v/>
      </c>
      <c r="W384" s="35">
        <f>IF($F384="","",IFERROR(INDEX(사건마스터!$AU$5:$AU$64,MATCH($F384,사건마스터!$A$5:$A$64,0)),""))</f>
        <v/>
      </c>
      <c r="X384" s="35">
        <f>IF($F384="","",IFERROR(INDEX(사건마스터!$AV$5:$AV$64,MATCH($F384,사건마스터!$A$5:$A$64,0)),""))</f>
        <v/>
      </c>
      <c r="Y384" s="30">
        <f>IF($I384="","",COUNTIF($I384:$X384,"?*"))</f>
        <v/>
      </c>
      <c r="Z384" s="33">
        <f>IF($I384="","",_xlfn.TEXTJOIN(", ",TRUE,$I384:$X384))</f>
        <v/>
      </c>
      <c r="AA384" s="34">
        <f>IF($I384="","",IFERROR(INDEX(코드설정!$D$5:$D$24,MATCH($I384,코드설정!$C$5:$C$24,0)),""))</f>
        <v/>
      </c>
      <c r="AB384" s="36" t="n"/>
      <c r="AC384" s="37" t="n"/>
      <c r="AD384" s="38" t="n"/>
      <c r="AE384" s="30">
        <f>IF(OR($B384="",$C384=""),"",$C384-$B384+1)</f>
        <v/>
      </c>
      <c r="AF384" s="32" t="n"/>
      <c r="AG384" s="36" t="n"/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3">
        <f>IF($F385="","",IFERROR(INDEX(사건마스터!$B$5:$B$64,MATCH($F385,사건마스터!$A$5:$A$64,0)),""))</f>
        <v/>
      </c>
      <c r="H385" s="34">
        <f>IF($F385="","",IFERROR(INDEX(사건마스터!$C$5:$C$64,MATCH($F385,사건마스터!$A$5:$A$64,0)),""))</f>
        <v/>
      </c>
      <c r="I385" s="35">
        <f>IF($F385="","",IFERROR(INDEX(사건마스터!$H$5:$H$64,MATCH($F385,사건마스터!$A$5:$A$64,0)),""))</f>
        <v/>
      </c>
      <c r="J385" s="35">
        <f>IF($F385="","",IFERROR(INDEX(사건마스터!$AH$5:$AH$64,MATCH($F385,사건마스터!$A$5:$A$64,0)),""))</f>
        <v/>
      </c>
      <c r="K385" s="35">
        <f>IF($F385="","",IFERROR(INDEX(사건마스터!$AI$5:$AI$64,MATCH($F385,사건마스터!$A$5:$A$64,0)),""))</f>
        <v/>
      </c>
      <c r="L385" s="35">
        <f>IF($F385="","",IFERROR(INDEX(사건마스터!$AJ$5:$AJ$64,MATCH($F385,사건마스터!$A$5:$A$64,0)),""))</f>
        <v/>
      </c>
      <c r="M385" s="35">
        <f>IF($F385="","",IFERROR(INDEX(사건마스터!$AK$5:$AK$64,MATCH($F385,사건마스터!$A$5:$A$64,0)),""))</f>
        <v/>
      </c>
      <c r="N385" s="35">
        <f>IF($F385="","",IFERROR(INDEX(사건마스터!$AL$5:$AL$64,MATCH($F385,사건마스터!$A$5:$A$64,0)),""))</f>
        <v/>
      </c>
      <c r="O385" s="35">
        <f>IF($F385="","",IFERROR(INDEX(사건마스터!$AM$5:$AM$64,MATCH($F385,사건마스터!$A$5:$A$64,0)),""))</f>
        <v/>
      </c>
      <c r="P385" s="35">
        <f>IF($F385="","",IFERROR(INDEX(사건마스터!$AN$5:$AN$64,MATCH($F385,사건마스터!$A$5:$A$64,0)),""))</f>
        <v/>
      </c>
      <c r="Q385" s="35">
        <f>IF($F385="","",IFERROR(INDEX(사건마스터!$AO$5:$AO$64,MATCH($F385,사건마스터!$A$5:$A$64,0)),""))</f>
        <v/>
      </c>
      <c r="R385" s="35">
        <f>IF($F385="","",IFERROR(INDEX(사건마스터!$AP$5:$AP$64,MATCH($F385,사건마스터!$A$5:$A$64,0)),""))</f>
        <v/>
      </c>
      <c r="S385" s="35">
        <f>IF($F385="","",IFERROR(INDEX(사건마스터!$AQ$5:$AQ$64,MATCH($F385,사건마스터!$A$5:$A$64,0)),""))</f>
        <v/>
      </c>
      <c r="T385" s="35">
        <f>IF($F385="","",IFERROR(INDEX(사건마스터!$AR$5:$AR$64,MATCH($F385,사건마스터!$A$5:$A$64,0)),""))</f>
        <v/>
      </c>
      <c r="U385" s="35">
        <f>IF($F385="","",IFERROR(INDEX(사건마스터!$AS$5:$AS$64,MATCH($F385,사건마스터!$A$5:$A$64,0)),""))</f>
        <v/>
      </c>
      <c r="V385" s="35">
        <f>IF($F385="","",IFERROR(INDEX(사건마스터!$AT$5:$AT$64,MATCH($F385,사건마스터!$A$5:$A$64,0)),""))</f>
        <v/>
      </c>
      <c r="W385" s="35">
        <f>IF($F385="","",IFERROR(INDEX(사건마스터!$AU$5:$AU$64,MATCH($F385,사건마스터!$A$5:$A$64,0)),""))</f>
        <v/>
      </c>
      <c r="X385" s="35">
        <f>IF($F385="","",IFERROR(INDEX(사건마스터!$AV$5:$AV$64,MATCH($F385,사건마스터!$A$5:$A$64,0)),""))</f>
        <v/>
      </c>
      <c r="Y385" s="30">
        <f>IF($I385="","",COUNTIF($I385:$X385,"?*"))</f>
        <v/>
      </c>
      <c r="Z385" s="33">
        <f>IF($I385="","",_xlfn.TEXTJOIN(", ",TRUE,$I385:$X385))</f>
        <v/>
      </c>
      <c r="AA385" s="34">
        <f>IF($I385="","",IFERROR(INDEX(코드설정!$D$5:$D$24,MATCH($I385,코드설정!$C$5:$C$24,0)),""))</f>
        <v/>
      </c>
      <c r="AB385" s="36" t="n"/>
      <c r="AC385" s="37" t="n"/>
      <c r="AD385" s="38" t="n"/>
      <c r="AE385" s="30">
        <f>IF(OR($B385="",$C385=""),"",$C385-$B385+1)</f>
        <v/>
      </c>
      <c r="AF385" s="32" t="n"/>
      <c r="AG385" s="36" t="n"/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3">
        <f>IF($F386="","",IFERROR(INDEX(사건마스터!$B$5:$B$64,MATCH($F386,사건마스터!$A$5:$A$64,0)),""))</f>
        <v/>
      </c>
      <c r="H386" s="34">
        <f>IF($F386="","",IFERROR(INDEX(사건마스터!$C$5:$C$64,MATCH($F386,사건마스터!$A$5:$A$64,0)),""))</f>
        <v/>
      </c>
      <c r="I386" s="35">
        <f>IF($F386="","",IFERROR(INDEX(사건마스터!$H$5:$H$64,MATCH($F386,사건마스터!$A$5:$A$64,0)),""))</f>
        <v/>
      </c>
      <c r="J386" s="35">
        <f>IF($F386="","",IFERROR(INDEX(사건마스터!$AH$5:$AH$64,MATCH($F386,사건마스터!$A$5:$A$64,0)),""))</f>
        <v/>
      </c>
      <c r="K386" s="35">
        <f>IF($F386="","",IFERROR(INDEX(사건마스터!$AI$5:$AI$64,MATCH($F386,사건마스터!$A$5:$A$64,0)),""))</f>
        <v/>
      </c>
      <c r="L386" s="35">
        <f>IF($F386="","",IFERROR(INDEX(사건마스터!$AJ$5:$AJ$64,MATCH($F386,사건마스터!$A$5:$A$64,0)),""))</f>
        <v/>
      </c>
      <c r="M386" s="35">
        <f>IF($F386="","",IFERROR(INDEX(사건마스터!$AK$5:$AK$64,MATCH($F386,사건마스터!$A$5:$A$64,0)),""))</f>
        <v/>
      </c>
      <c r="N386" s="35">
        <f>IF($F386="","",IFERROR(INDEX(사건마스터!$AL$5:$AL$64,MATCH($F386,사건마스터!$A$5:$A$64,0)),""))</f>
        <v/>
      </c>
      <c r="O386" s="35">
        <f>IF($F386="","",IFERROR(INDEX(사건마스터!$AM$5:$AM$64,MATCH($F386,사건마스터!$A$5:$A$64,0)),""))</f>
        <v/>
      </c>
      <c r="P386" s="35">
        <f>IF($F386="","",IFERROR(INDEX(사건마스터!$AN$5:$AN$64,MATCH($F386,사건마스터!$A$5:$A$64,0)),""))</f>
        <v/>
      </c>
      <c r="Q386" s="35">
        <f>IF($F386="","",IFERROR(INDEX(사건마스터!$AO$5:$AO$64,MATCH($F386,사건마스터!$A$5:$A$64,0)),""))</f>
        <v/>
      </c>
      <c r="R386" s="35">
        <f>IF($F386="","",IFERROR(INDEX(사건마스터!$AP$5:$AP$64,MATCH($F386,사건마스터!$A$5:$A$64,0)),""))</f>
        <v/>
      </c>
      <c r="S386" s="35">
        <f>IF($F386="","",IFERROR(INDEX(사건마스터!$AQ$5:$AQ$64,MATCH($F386,사건마스터!$A$5:$A$64,0)),""))</f>
        <v/>
      </c>
      <c r="T386" s="35">
        <f>IF($F386="","",IFERROR(INDEX(사건마스터!$AR$5:$AR$64,MATCH($F386,사건마스터!$A$5:$A$64,0)),""))</f>
        <v/>
      </c>
      <c r="U386" s="35">
        <f>IF($F386="","",IFERROR(INDEX(사건마스터!$AS$5:$AS$64,MATCH($F386,사건마스터!$A$5:$A$64,0)),""))</f>
        <v/>
      </c>
      <c r="V386" s="35">
        <f>IF($F386="","",IFERROR(INDEX(사건마스터!$AT$5:$AT$64,MATCH($F386,사건마스터!$A$5:$A$64,0)),""))</f>
        <v/>
      </c>
      <c r="W386" s="35">
        <f>IF($F386="","",IFERROR(INDEX(사건마스터!$AU$5:$AU$64,MATCH($F386,사건마스터!$A$5:$A$64,0)),""))</f>
        <v/>
      </c>
      <c r="X386" s="35">
        <f>IF($F386="","",IFERROR(INDEX(사건마스터!$AV$5:$AV$64,MATCH($F386,사건마스터!$A$5:$A$64,0)),""))</f>
        <v/>
      </c>
      <c r="Y386" s="30">
        <f>IF($I386="","",COUNTIF($I386:$X386,"?*"))</f>
        <v/>
      </c>
      <c r="Z386" s="33">
        <f>IF($I386="","",_xlfn.TEXTJOIN(", ",TRUE,$I386:$X386))</f>
        <v/>
      </c>
      <c r="AA386" s="34">
        <f>IF($I386="","",IFERROR(INDEX(코드설정!$D$5:$D$24,MATCH($I386,코드설정!$C$5:$C$24,0)),""))</f>
        <v/>
      </c>
      <c r="AB386" s="36" t="n"/>
      <c r="AC386" s="37" t="n"/>
      <c r="AD386" s="38" t="n"/>
      <c r="AE386" s="30">
        <f>IF(OR($B386="",$C386=""),"",$C386-$B386+1)</f>
        <v/>
      </c>
      <c r="AF386" s="32" t="n"/>
      <c r="AG386" s="36" t="n"/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3">
        <f>IF($F387="","",IFERROR(INDEX(사건마스터!$B$5:$B$64,MATCH($F387,사건마스터!$A$5:$A$64,0)),""))</f>
        <v/>
      </c>
      <c r="H387" s="34">
        <f>IF($F387="","",IFERROR(INDEX(사건마스터!$C$5:$C$64,MATCH($F387,사건마스터!$A$5:$A$64,0)),""))</f>
        <v/>
      </c>
      <c r="I387" s="35">
        <f>IF($F387="","",IFERROR(INDEX(사건마스터!$H$5:$H$64,MATCH($F387,사건마스터!$A$5:$A$64,0)),""))</f>
        <v/>
      </c>
      <c r="J387" s="35">
        <f>IF($F387="","",IFERROR(INDEX(사건마스터!$AH$5:$AH$64,MATCH($F387,사건마스터!$A$5:$A$64,0)),""))</f>
        <v/>
      </c>
      <c r="K387" s="35">
        <f>IF($F387="","",IFERROR(INDEX(사건마스터!$AI$5:$AI$64,MATCH($F387,사건마스터!$A$5:$A$64,0)),""))</f>
        <v/>
      </c>
      <c r="L387" s="35">
        <f>IF($F387="","",IFERROR(INDEX(사건마스터!$AJ$5:$AJ$64,MATCH($F387,사건마스터!$A$5:$A$64,0)),""))</f>
        <v/>
      </c>
      <c r="M387" s="35">
        <f>IF($F387="","",IFERROR(INDEX(사건마스터!$AK$5:$AK$64,MATCH($F387,사건마스터!$A$5:$A$64,0)),""))</f>
        <v/>
      </c>
      <c r="N387" s="35">
        <f>IF($F387="","",IFERROR(INDEX(사건마스터!$AL$5:$AL$64,MATCH($F387,사건마스터!$A$5:$A$64,0)),""))</f>
        <v/>
      </c>
      <c r="O387" s="35">
        <f>IF($F387="","",IFERROR(INDEX(사건마스터!$AM$5:$AM$64,MATCH($F387,사건마스터!$A$5:$A$64,0)),""))</f>
        <v/>
      </c>
      <c r="P387" s="35">
        <f>IF($F387="","",IFERROR(INDEX(사건마스터!$AN$5:$AN$64,MATCH($F387,사건마스터!$A$5:$A$64,0)),""))</f>
        <v/>
      </c>
      <c r="Q387" s="35">
        <f>IF($F387="","",IFERROR(INDEX(사건마스터!$AO$5:$AO$64,MATCH($F387,사건마스터!$A$5:$A$64,0)),""))</f>
        <v/>
      </c>
      <c r="R387" s="35">
        <f>IF($F387="","",IFERROR(INDEX(사건마스터!$AP$5:$AP$64,MATCH($F387,사건마스터!$A$5:$A$64,0)),""))</f>
        <v/>
      </c>
      <c r="S387" s="35">
        <f>IF($F387="","",IFERROR(INDEX(사건마스터!$AQ$5:$AQ$64,MATCH($F387,사건마스터!$A$5:$A$64,0)),""))</f>
        <v/>
      </c>
      <c r="T387" s="35">
        <f>IF($F387="","",IFERROR(INDEX(사건마스터!$AR$5:$AR$64,MATCH($F387,사건마스터!$A$5:$A$64,0)),""))</f>
        <v/>
      </c>
      <c r="U387" s="35">
        <f>IF($F387="","",IFERROR(INDEX(사건마스터!$AS$5:$AS$64,MATCH($F387,사건마스터!$A$5:$A$64,0)),""))</f>
        <v/>
      </c>
      <c r="V387" s="35">
        <f>IF($F387="","",IFERROR(INDEX(사건마스터!$AT$5:$AT$64,MATCH($F387,사건마스터!$A$5:$A$64,0)),""))</f>
        <v/>
      </c>
      <c r="W387" s="35">
        <f>IF($F387="","",IFERROR(INDEX(사건마스터!$AU$5:$AU$64,MATCH($F387,사건마스터!$A$5:$A$64,0)),""))</f>
        <v/>
      </c>
      <c r="X387" s="35">
        <f>IF($F387="","",IFERROR(INDEX(사건마스터!$AV$5:$AV$64,MATCH($F387,사건마스터!$A$5:$A$64,0)),""))</f>
        <v/>
      </c>
      <c r="Y387" s="30">
        <f>IF($I387="","",COUNTIF($I387:$X387,"?*"))</f>
        <v/>
      </c>
      <c r="Z387" s="33">
        <f>IF($I387="","",_xlfn.TEXTJOIN(", ",TRUE,$I387:$X387))</f>
        <v/>
      </c>
      <c r="AA387" s="34">
        <f>IF($I387="","",IFERROR(INDEX(코드설정!$D$5:$D$24,MATCH($I387,코드설정!$C$5:$C$24,0)),""))</f>
        <v/>
      </c>
      <c r="AB387" s="36" t="n"/>
      <c r="AC387" s="37" t="n"/>
      <c r="AD387" s="38" t="n"/>
      <c r="AE387" s="30">
        <f>IF(OR($B387="",$C387=""),"",$C387-$B387+1)</f>
        <v/>
      </c>
      <c r="AF387" s="32" t="n"/>
      <c r="AG387" s="36" t="n"/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3">
        <f>IF($F388="","",IFERROR(INDEX(사건마스터!$B$5:$B$64,MATCH($F388,사건마스터!$A$5:$A$64,0)),""))</f>
        <v/>
      </c>
      <c r="H388" s="34">
        <f>IF($F388="","",IFERROR(INDEX(사건마스터!$C$5:$C$64,MATCH($F388,사건마스터!$A$5:$A$64,0)),""))</f>
        <v/>
      </c>
      <c r="I388" s="35">
        <f>IF($F388="","",IFERROR(INDEX(사건마스터!$H$5:$H$64,MATCH($F388,사건마스터!$A$5:$A$64,0)),""))</f>
        <v/>
      </c>
      <c r="J388" s="35">
        <f>IF($F388="","",IFERROR(INDEX(사건마스터!$AH$5:$AH$64,MATCH($F388,사건마스터!$A$5:$A$64,0)),""))</f>
        <v/>
      </c>
      <c r="K388" s="35">
        <f>IF($F388="","",IFERROR(INDEX(사건마스터!$AI$5:$AI$64,MATCH($F388,사건마스터!$A$5:$A$64,0)),""))</f>
        <v/>
      </c>
      <c r="L388" s="35">
        <f>IF($F388="","",IFERROR(INDEX(사건마스터!$AJ$5:$AJ$64,MATCH($F388,사건마스터!$A$5:$A$64,0)),""))</f>
        <v/>
      </c>
      <c r="M388" s="35">
        <f>IF($F388="","",IFERROR(INDEX(사건마스터!$AK$5:$AK$64,MATCH($F388,사건마스터!$A$5:$A$64,0)),""))</f>
        <v/>
      </c>
      <c r="N388" s="35">
        <f>IF($F388="","",IFERROR(INDEX(사건마스터!$AL$5:$AL$64,MATCH($F388,사건마스터!$A$5:$A$64,0)),""))</f>
        <v/>
      </c>
      <c r="O388" s="35">
        <f>IF($F388="","",IFERROR(INDEX(사건마스터!$AM$5:$AM$64,MATCH($F388,사건마스터!$A$5:$A$64,0)),""))</f>
        <v/>
      </c>
      <c r="P388" s="35">
        <f>IF($F388="","",IFERROR(INDEX(사건마스터!$AN$5:$AN$64,MATCH($F388,사건마스터!$A$5:$A$64,0)),""))</f>
        <v/>
      </c>
      <c r="Q388" s="35">
        <f>IF($F388="","",IFERROR(INDEX(사건마스터!$AO$5:$AO$64,MATCH($F388,사건마스터!$A$5:$A$64,0)),""))</f>
        <v/>
      </c>
      <c r="R388" s="35">
        <f>IF($F388="","",IFERROR(INDEX(사건마스터!$AP$5:$AP$64,MATCH($F388,사건마스터!$A$5:$A$64,0)),""))</f>
        <v/>
      </c>
      <c r="S388" s="35">
        <f>IF($F388="","",IFERROR(INDEX(사건마스터!$AQ$5:$AQ$64,MATCH($F388,사건마스터!$A$5:$A$64,0)),""))</f>
        <v/>
      </c>
      <c r="T388" s="35">
        <f>IF($F388="","",IFERROR(INDEX(사건마스터!$AR$5:$AR$64,MATCH($F388,사건마스터!$A$5:$A$64,0)),""))</f>
        <v/>
      </c>
      <c r="U388" s="35">
        <f>IF($F388="","",IFERROR(INDEX(사건마스터!$AS$5:$AS$64,MATCH($F388,사건마스터!$A$5:$A$64,0)),""))</f>
        <v/>
      </c>
      <c r="V388" s="35">
        <f>IF($F388="","",IFERROR(INDEX(사건마스터!$AT$5:$AT$64,MATCH($F388,사건마스터!$A$5:$A$64,0)),""))</f>
        <v/>
      </c>
      <c r="W388" s="35">
        <f>IF($F388="","",IFERROR(INDEX(사건마스터!$AU$5:$AU$64,MATCH($F388,사건마스터!$A$5:$A$64,0)),""))</f>
        <v/>
      </c>
      <c r="X388" s="35">
        <f>IF($F388="","",IFERROR(INDEX(사건마스터!$AV$5:$AV$64,MATCH($F388,사건마스터!$A$5:$A$64,0)),""))</f>
        <v/>
      </c>
      <c r="Y388" s="30">
        <f>IF($I388="","",COUNTIF($I388:$X388,"?*"))</f>
        <v/>
      </c>
      <c r="Z388" s="33">
        <f>IF($I388="","",_xlfn.TEXTJOIN(", ",TRUE,$I388:$X388))</f>
        <v/>
      </c>
      <c r="AA388" s="34">
        <f>IF($I388="","",IFERROR(INDEX(코드설정!$D$5:$D$24,MATCH($I388,코드설정!$C$5:$C$24,0)),""))</f>
        <v/>
      </c>
      <c r="AB388" s="36" t="n"/>
      <c r="AC388" s="37" t="n"/>
      <c r="AD388" s="38" t="n"/>
      <c r="AE388" s="30">
        <f>IF(OR($B388="",$C388=""),"",$C388-$B388+1)</f>
        <v/>
      </c>
      <c r="AF388" s="32" t="n"/>
      <c r="AG388" s="36" t="n"/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3">
        <f>IF($F389="","",IFERROR(INDEX(사건마스터!$B$5:$B$64,MATCH($F389,사건마스터!$A$5:$A$64,0)),""))</f>
        <v/>
      </c>
      <c r="H389" s="34">
        <f>IF($F389="","",IFERROR(INDEX(사건마스터!$C$5:$C$64,MATCH($F389,사건마스터!$A$5:$A$64,0)),""))</f>
        <v/>
      </c>
      <c r="I389" s="35">
        <f>IF($F389="","",IFERROR(INDEX(사건마스터!$H$5:$H$64,MATCH($F389,사건마스터!$A$5:$A$64,0)),""))</f>
        <v/>
      </c>
      <c r="J389" s="35">
        <f>IF($F389="","",IFERROR(INDEX(사건마스터!$AH$5:$AH$64,MATCH($F389,사건마스터!$A$5:$A$64,0)),""))</f>
        <v/>
      </c>
      <c r="K389" s="35">
        <f>IF($F389="","",IFERROR(INDEX(사건마스터!$AI$5:$AI$64,MATCH($F389,사건마스터!$A$5:$A$64,0)),""))</f>
        <v/>
      </c>
      <c r="L389" s="35">
        <f>IF($F389="","",IFERROR(INDEX(사건마스터!$AJ$5:$AJ$64,MATCH($F389,사건마스터!$A$5:$A$64,0)),""))</f>
        <v/>
      </c>
      <c r="M389" s="35">
        <f>IF($F389="","",IFERROR(INDEX(사건마스터!$AK$5:$AK$64,MATCH($F389,사건마스터!$A$5:$A$64,0)),""))</f>
        <v/>
      </c>
      <c r="N389" s="35">
        <f>IF($F389="","",IFERROR(INDEX(사건마스터!$AL$5:$AL$64,MATCH($F389,사건마스터!$A$5:$A$64,0)),""))</f>
        <v/>
      </c>
      <c r="O389" s="35">
        <f>IF($F389="","",IFERROR(INDEX(사건마스터!$AM$5:$AM$64,MATCH($F389,사건마스터!$A$5:$A$64,0)),""))</f>
        <v/>
      </c>
      <c r="P389" s="35">
        <f>IF($F389="","",IFERROR(INDEX(사건마스터!$AN$5:$AN$64,MATCH($F389,사건마스터!$A$5:$A$64,0)),""))</f>
        <v/>
      </c>
      <c r="Q389" s="35">
        <f>IF($F389="","",IFERROR(INDEX(사건마스터!$AO$5:$AO$64,MATCH($F389,사건마스터!$A$5:$A$64,0)),""))</f>
        <v/>
      </c>
      <c r="R389" s="35">
        <f>IF($F389="","",IFERROR(INDEX(사건마스터!$AP$5:$AP$64,MATCH($F389,사건마스터!$A$5:$A$64,0)),""))</f>
        <v/>
      </c>
      <c r="S389" s="35">
        <f>IF($F389="","",IFERROR(INDEX(사건마스터!$AQ$5:$AQ$64,MATCH($F389,사건마스터!$A$5:$A$64,0)),""))</f>
        <v/>
      </c>
      <c r="T389" s="35">
        <f>IF($F389="","",IFERROR(INDEX(사건마스터!$AR$5:$AR$64,MATCH($F389,사건마스터!$A$5:$A$64,0)),""))</f>
        <v/>
      </c>
      <c r="U389" s="35">
        <f>IF($F389="","",IFERROR(INDEX(사건마스터!$AS$5:$AS$64,MATCH($F389,사건마스터!$A$5:$A$64,0)),""))</f>
        <v/>
      </c>
      <c r="V389" s="35">
        <f>IF($F389="","",IFERROR(INDEX(사건마스터!$AT$5:$AT$64,MATCH($F389,사건마스터!$A$5:$A$64,0)),""))</f>
        <v/>
      </c>
      <c r="W389" s="35">
        <f>IF($F389="","",IFERROR(INDEX(사건마스터!$AU$5:$AU$64,MATCH($F389,사건마스터!$A$5:$A$64,0)),""))</f>
        <v/>
      </c>
      <c r="X389" s="35">
        <f>IF($F389="","",IFERROR(INDEX(사건마스터!$AV$5:$AV$64,MATCH($F389,사건마스터!$A$5:$A$64,0)),""))</f>
        <v/>
      </c>
      <c r="Y389" s="30">
        <f>IF($I389="","",COUNTIF($I389:$X389,"?*"))</f>
        <v/>
      </c>
      <c r="Z389" s="33">
        <f>IF($I389="","",_xlfn.TEXTJOIN(", ",TRUE,$I389:$X389))</f>
        <v/>
      </c>
      <c r="AA389" s="34">
        <f>IF($I389="","",IFERROR(INDEX(코드설정!$D$5:$D$24,MATCH($I389,코드설정!$C$5:$C$24,0)),""))</f>
        <v/>
      </c>
      <c r="AB389" s="36" t="n"/>
      <c r="AC389" s="37" t="n"/>
      <c r="AD389" s="38" t="n"/>
      <c r="AE389" s="30">
        <f>IF(OR($B389="",$C389=""),"",$C389-$B389+1)</f>
        <v/>
      </c>
      <c r="AF389" s="32" t="n"/>
      <c r="AG389" s="36" t="n"/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3">
        <f>IF($F390="","",IFERROR(INDEX(사건마스터!$B$5:$B$64,MATCH($F390,사건마스터!$A$5:$A$64,0)),""))</f>
        <v/>
      </c>
      <c r="H390" s="34">
        <f>IF($F390="","",IFERROR(INDEX(사건마스터!$C$5:$C$64,MATCH($F390,사건마스터!$A$5:$A$64,0)),""))</f>
        <v/>
      </c>
      <c r="I390" s="35">
        <f>IF($F390="","",IFERROR(INDEX(사건마스터!$H$5:$H$64,MATCH($F390,사건마스터!$A$5:$A$64,0)),""))</f>
        <v/>
      </c>
      <c r="J390" s="35">
        <f>IF($F390="","",IFERROR(INDEX(사건마스터!$AH$5:$AH$64,MATCH($F390,사건마스터!$A$5:$A$64,0)),""))</f>
        <v/>
      </c>
      <c r="K390" s="35">
        <f>IF($F390="","",IFERROR(INDEX(사건마스터!$AI$5:$AI$64,MATCH($F390,사건마스터!$A$5:$A$64,0)),""))</f>
        <v/>
      </c>
      <c r="L390" s="35">
        <f>IF($F390="","",IFERROR(INDEX(사건마스터!$AJ$5:$AJ$64,MATCH($F390,사건마스터!$A$5:$A$64,0)),""))</f>
        <v/>
      </c>
      <c r="M390" s="35">
        <f>IF($F390="","",IFERROR(INDEX(사건마스터!$AK$5:$AK$64,MATCH($F390,사건마스터!$A$5:$A$64,0)),""))</f>
        <v/>
      </c>
      <c r="N390" s="35">
        <f>IF($F390="","",IFERROR(INDEX(사건마스터!$AL$5:$AL$64,MATCH($F390,사건마스터!$A$5:$A$64,0)),""))</f>
        <v/>
      </c>
      <c r="O390" s="35">
        <f>IF($F390="","",IFERROR(INDEX(사건마스터!$AM$5:$AM$64,MATCH($F390,사건마스터!$A$5:$A$64,0)),""))</f>
        <v/>
      </c>
      <c r="P390" s="35">
        <f>IF($F390="","",IFERROR(INDEX(사건마스터!$AN$5:$AN$64,MATCH($F390,사건마스터!$A$5:$A$64,0)),""))</f>
        <v/>
      </c>
      <c r="Q390" s="35">
        <f>IF($F390="","",IFERROR(INDEX(사건마스터!$AO$5:$AO$64,MATCH($F390,사건마스터!$A$5:$A$64,0)),""))</f>
        <v/>
      </c>
      <c r="R390" s="35">
        <f>IF($F390="","",IFERROR(INDEX(사건마스터!$AP$5:$AP$64,MATCH($F390,사건마스터!$A$5:$A$64,0)),""))</f>
        <v/>
      </c>
      <c r="S390" s="35">
        <f>IF($F390="","",IFERROR(INDEX(사건마스터!$AQ$5:$AQ$64,MATCH($F390,사건마스터!$A$5:$A$64,0)),""))</f>
        <v/>
      </c>
      <c r="T390" s="35">
        <f>IF($F390="","",IFERROR(INDEX(사건마스터!$AR$5:$AR$64,MATCH($F390,사건마스터!$A$5:$A$64,0)),""))</f>
        <v/>
      </c>
      <c r="U390" s="35">
        <f>IF($F390="","",IFERROR(INDEX(사건마스터!$AS$5:$AS$64,MATCH($F390,사건마스터!$A$5:$A$64,0)),""))</f>
        <v/>
      </c>
      <c r="V390" s="35">
        <f>IF($F390="","",IFERROR(INDEX(사건마스터!$AT$5:$AT$64,MATCH($F390,사건마스터!$A$5:$A$64,0)),""))</f>
        <v/>
      </c>
      <c r="W390" s="35">
        <f>IF($F390="","",IFERROR(INDEX(사건마스터!$AU$5:$AU$64,MATCH($F390,사건마스터!$A$5:$A$64,0)),""))</f>
        <v/>
      </c>
      <c r="X390" s="35">
        <f>IF($F390="","",IFERROR(INDEX(사건마스터!$AV$5:$AV$64,MATCH($F390,사건마스터!$A$5:$A$64,0)),""))</f>
        <v/>
      </c>
      <c r="Y390" s="30">
        <f>IF($I390="","",COUNTIF($I390:$X390,"?*"))</f>
        <v/>
      </c>
      <c r="Z390" s="33">
        <f>IF($I390="","",_xlfn.TEXTJOIN(", ",TRUE,$I390:$X390))</f>
        <v/>
      </c>
      <c r="AA390" s="34">
        <f>IF($I390="","",IFERROR(INDEX(코드설정!$D$5:$D$24,MATCH($I390,코드설정!$C$5:$C$24,0)),""))</f>
        <v/>
      </c>
      <c r="AB390" s="36" t="n"/>
      <c r="AC390" s="37" t="n"/>
      <c r="AD390" s="38" t="n"/>
      <c r="AE390" s="30">
        <f>IF(OR($B390="",$C390=""),"",$C390-$B390+1)</f>
        <v/>
      </c>
      <c r="AF390" s="32" t="n"/>
      <c r="AG390" s="36" t="n"/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3">
        <f>IF($F391="","",IFERROR(INDEX(사건마스터!$B$5:$B$64,MATCH($F391,사건마스터!$A$5:$A$64,0)),""))</f>
        <v/>
      </c>
      <c r="H391" s="34">
        <f>IF($F391="","",IFERROR(INDEX(사건마스터!$C$5:$C$64,MATCH($F391,사건마스터!$A$5:$A$64,0)),""))</f>
        <v/>
      </c>
      <c r="I391" s="35">
        <f>IF($F391="","",IFERROR(INDEX(사건마스터!$H$5:$H$64,MATCH($F391,사건마스터!$A$5:$A$64,0)),""))</f>
        <v/>
      </c>
      <c r="J391" s="35">
        <f>IF($F391="","",IFERROR(INDEX(사건마스터!$AH$5:$AH$64,MATCH($F391,사건마스터!$A$5:$A$64,0)),""))</f>
        <v/>
      </c>
      <c r="K391" s="35">
        <f>IF($F391="","",IFERROR(INDEX(사건마스터!$AI$5:$AI$64,MATCH($F391,사건마스터!$A$5:$A$64,0)),""))</f>
        <v/>
      </c>
      <c r="L391" s="35">
        <f>IF($F391="","",IFERROR(INDEX(사건마스터!$AJ$5:$AJ$64,MATCH($F391,사건마스터!$A$5:$A$64,0)),""))</f>
        <v/>
      </c>
      <c r="M391" s="35">
        <f>IF($F391="","",IFERROR(INDEX(사건마스터!$AK$5:$AK$64,MATCH($F391,사건마스터!$A$5:$A$64,0)),""))</f>
        <v/>
      </c>
      <c r="N391" s="35">
        <f>IF($F391="","",IFERROR(INDEX(사건마스터!$AL$5:$AL$64,MATCH($F391,사건마스터!$A$5:$A$64,0)),""))</f>
        <v/>
      </c>
      <c r="O391" s="35">
        <f>IF($F391="","",IFERROR(INDEX(사건마스터!$AM$5:$AM$64,MATCH($F391,사건마스터!$A$5:$A$64,0)),""))</f>
        <v/>
      </c>
      <c r="P391" s="35">
        <f>IF($F391="","",IFERROR(INDEX(사건마스터!$AN$5:$AN$64,MATCH($F391,사건마스터!$A$5:$A$64,0)),""))</f>
        <v/>
      </c>
      <c r="Q391" s="35">
        <f>IF($F391="","",IFERROR(INDEX(사건마스터!$AO$5:$AO$64,MATCH($F391,사건마스터!$A$5:$A$64,0)),""))</f>
        <v/>
      </c>
      <c r="R391" s="35">
        <f>IF($F391="","",IFERROR(INDEX(사건마스터!$AP$5:$AP$64,MATCH($F391,사건마스터!$A$5:$A$64,0)),""))</f>
        <v/>
      </c>
      <c r="S391" s="35">
        <f>IF($F391="","",IFERROR(INDEX(사건마스터!$AQ$5:$AQ$64,MATCH($F391,사건마스터!$A$5:$A$64,0)),""))</f>
        <v/>
      </c>
      <c r="T391" s="35">
        <f>IF($F391="","",IFERROR(INDEX(사건마스터!$AR$5:$AR$64,MATCH($F391,사건마스터!$A$5:$A$64,0)),""))</f>
        <v/>
      </c>
      <c r="U391" s="35">
        <f>IF($F391="","",IFERROR(INDEX(사건마스터!$AS$5:$AS$64,MATCH($F391,사건마스터!$A$5:$A$64,0)),""))</f>
        <v/>
      </c>
      <c r="V391" s="35">
        <f>IF($F391="","",IFERROR(INDEX(사건마스터!$AT$5:$AT$64,MATCH($F391,사건마스터!$A$5:$A$64,0)),""))</f>
        <v/>
      </c>
      <c r="W391" s="35">
        <f>IF($F391="","",IFERROR(INDEX(사건마스터!$AU$5:$AU$64,MATCH($F391,사건마스터!$A$5:$A$64,0)),""))</f>
        <v/>
      </c>
      <c r="X391" s="35">
        <f>IF($F391="","",IFERROR(INDEX(사건마스터!$AV$5:$AV$64,MATCH($F391,사건마스터!$A$5:$A$64,0)),""))</f>
        <v/>
      </c>
      <c r="Y391" s="30">
        <f>IF($I391="","",COUNTIF($I391:$X391,"?*"))</f>
        <v/>
      </c>
      <c r="Z391" s="33">
        <f>IF($I391="","",_xlfn.TEXTJOIN(", ",TRUE,$I391:$X391))</f>
        <v/>
      </c>
      <c r="AA391" s="34">
        <f>IF($I391="","",IFERROR(INDEX(코드설정!$D$5:$D$24,MATCH($I391,코드설정!$C$5:$C$24,0)),""))</f>
        <v/>
      </c>
      <c r="AB391" s="36" t="n"/>
      <c r="AC391" s="37" t="n"/>
      <c r="AD391" s="38" t="n"/>
      <c r="AE391" s="30">
        <f>IF(OR($B391="",$C391=""),"",$C391-$B391+1)</f>
        <v/>
      </c>
      <c r="AF391" s="32" t="n"/>
      <c r="AG391" s="36" t="n"/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3">
        <f>IF($F392="","",IFERROR(INDEX(사건마스터!$B$5:$B$64,MATCH($F392,사건마스터!$A$5:$A$64,0)),""))</f>
        <v/>
      </c>
      <c r="H392" s="34">
        <f>IF($F392="","",IFERROR(INDEX(사건마스터!$C$5:$C$64,MATCH($F392,사건마스터!$A$5:$A$64,0)),""))</f>
        <v/>
      </c>
      <c r="I392" s="35">
        <f>IF($F392="","",IFERROR(INDEX(사건마스터!$H$5:$H$64,MATCH($F392,사건마스터!$A$5:$A$64,0)),""))</f>
        <v/>
      </c>
      <c r="J392" s="35">
        <f>IF($F392="","",IFERROR(INDEX(사건마스터!$AH$5:$AH$64,MATCH($F392,사건마스터!$A$5:$A$64,0)),""))</f>
        <v/>
      </c>
      <c r="K392" s="35">
        <f>IF($F392="","",IFERROR(INDEX(사건마스터!$AI$5:$AI$64,MATCH($F392,사건마스터!$A$5:$A$64,0)),""))</f>
        <v/>
      </c>
      <c r="L392" s="35">
        <f>IF($F392="","",IFERROR(INDEX(사건마스터!$AJ$5:$AJ$64,MATCH($F392,사건마스터!$A$5:$A$64,0)),""))</f>
        <v/>
      </c>
      <c r="M392" s="35">
        <f>IF($F392="","",IFERROR(INDEX(사건마스터!$AK$5:$AK$64,MATCH($F392,사건마스터!$A$5:$A$64,0)),""))</f>
        <v/>
      </c>
      <c r="N392" s="35">
        <f>IF($F392="","",IFERROR(INDEX(사건마스터!$AL$5:$AL$64,MATCH($F392,사건마스터!$A$5:$A$64,0)),""))</f>
        <v/>
      </c>
      <c r="O392" s="35">
        <f>IF($F392="","",IFERROR(INDEX(사건마스터!$AM$5:$AM$64,MATCH($F392,사건마스터!$A$5:$A$64,0)),""))</f>
        <v/>
      </c>
      <c r="P392" s="35">
        <f>IF($F392="","",IFERROR(INDEX(사건마스터!$AN$5:$AN$64,MATCH($F392,사건마스터!$A$5:$A$64,0)),""))</f>
        <v/>
      </c>
      <c r="Q392" s="35">
        <f>IF($F392="","",IFERROR(INDEX(사건마스터!$AO$5:$AO$64,MATCH($F392,사건마스터!$A$5:$A$64,0)),""))</f>
        <v/>
      </c>
      <c r="R392" s="35">
        <f>IF($F392="","",IFERROR(INDEX(사건마스터!$AP$5:$AP$64,MATCH($F392,사건마스터!$A$5:$A$64,0)),""))</f>
        <v/>
      </c>
      <c r="S392" s="35">
        <f>IF($F392="","",IFERROR(INDEX(사건마스터!$AQ$5:$AQ$64,MATCH($F392,사건마스터!$A$5:$A$64,0)),""))</f>
        <v/>
      </c>
      <c r="T392" s="35">
        <f>IF($F392="","",IFERROR(INDEX(사건마스터!$AR$5:$AR$64,MATCH($F392,사건마스터!$A$5:$A$64,0)),""))</f>
        <v/>
      </c>
      <c r="U392" s="35">
        <f>IF($F392="","",IFERROR(INDEX(사건마스터!$AS$5:$AS$64,MATCH($F392,사건마스터!$A$5:$A$64,0)),""))</f>
        <v/>
      </c>
      <c r="V392" s="35">
        <f>IF($F392="","",IFERROR(INDEX(사건마스터!$AT$5:$AT$64,MATCH($F392,사건마스터!$A$5:$A$64,0)),""))</f>
        <v/>
      </c>
      <c r="W392" s="35">
        <f>IF($F392="","",IFERROR(INDEX(사건마스터!$AU$5:$AU$64,MATCH($F392,사건마스터!$A$5:$A$64,0)),""))</f>
        <v/>
      </c>
      <c r="X392" s="35">
        <f>IF($F392="","",IFERROR(INDEX(사건마스터!$AV$5:$AV$64,MATCH($F392,사건마스터!$A$5:$A$64,0)),""))</f>
        <v/>
      </c>
      <c r="Y392" s="30">
        <f>IF($I392="","",COUNTIF($I392:$X392,"?*"))</f>
        <v/>
      </c>
      <c r="Z392" s="33">
        <f>IF($I392="","",_xlfn.TEXTJOIN(", ",TRUE,$I392:$X392))</f>
        <v/>
      </c>
      <c r="AA392" s="34">
        <f>IF($I392="","",IFERROR(INDEX(코드설정!$D$5:$D$24,MATCH($I392,코드설정!$C$5:$C$24,0)),""))</f>
        <v/>
      </c>
      <c r="AB392" s="36" t="n"/>
      <c r="AC392" s="37" t="n"/>
      <c r="AD392" s="38" t="n"/>
      <c r="AE392" s="30">
        <f>IF(OR($B392="",$C392=""),"",$C392-$B392+1)</f>
        <v/>
      </c>
      <c r="AF392" s="32" t="n"/>
      <c r="AG392" s="36" t="n"/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3">
        <f>IF($F393="","",IFERROR(INDEX(사건마스터!$B$5:$B$64,MATCH($F393,사건마스터!$A$5:$A$64,0)),""))</f>
        <v/>
      </c>
      <c r="H393" s="34">
        <f>IF($F393="","",IFERROR(INDEX(사건마스터!$C$5:$C$64,MATCH($F393,사건마스터!$A$5:$A$64,0)),""))</f>
        <v/>
      </c>
      <c r="I393" s="35">
        <f>IF($F393="","",IFERROR(INDEX(사건마스터!$H$5:$H$64,MATCH($F393,사건마스터!$A$5:$A$64,0)),""))</f>
        <v/>
      </c>
      <c r="J393" s="35">
        <f>IF($F393="","",IFERROR(INDEX(사건마스터!$AH$5:$AH$64,MATCH($F393,사건마스터!$A$5:$A$64,0)),""))</f>
        <v/>
      </c>
      <c r="K393" s="35">
        <f>IF($F393="","",IFERROR(INDEX(사건마스터!$AI$5:$AI$64,MATCH($F393,사건마스터!$A$5:$A$64,0)),""))</f>
        <v/>
      </c>
      <c r="L393" s="35">
        <f>IF($F393="","",IFERROR(INDEX(사건마스터!$AJ$5:$AJ$64,MATCH($F393,사건마스터!$A$5:$A$64,0)),""))</f>
        <v/>
      </c>
      <c r="M393" s="35">
        <f>IF($F393="","",IFERROR(INDEX(사건마스터!$AK$5:$AK$64,MATCH($F393,사건마스터!$A$5:$A$64,0)),""))</f>
        <v/>
      </c>
      <c r="N393" s="35">
        <f>IF($F393="","",IFERROR(INDEX(사건마스터!$AL$5:$AL$64,MATCH($F393,사건마스터!$A$5:$A$64,0)),""))</f>
        <v/>
      </c>
      <c r="O393" s="35">
        <f>IF($F393="","",IFERROR(INDEX(사건마스터!$AM$5:$AM$64,MATCH($F393,사건마스터!$A$5:$A$64,0)),""))</f>
        <v/>
      </c>
      <c r="P393" s="35">
        <f>IF($F393="","",IFERROR(INDEX(사건마스터!$AN$5:$AN$64,MATCH($F393,사건마스터!$A$5:$A$64,0)),""))</f>
        <v/>
      </c>
      <c r="Q393" s="35">
        <f>IF($F393="","",IFERROR(INDEX(사건마스터!$AO$5:$AO$64,MATCH($F393,사건마스터!$A$5:$A$64,0)),""))</f>
        <v/>
      </c>
      <c r="R393" s="35">
        <f>IF($F393="","",IFERROR(INDEX(사건마스터!$AP$5:$AP$64,MATCH($F393,사건마스터!$A$5:$A$64,0)),""))</f>
        <v/>
      </c>
      <c r="S393" s="35">
        <f>IF($F393="","",IFERROR(INDEX(사건마스터!$AQ$5:$AQ$64,MATCH($F393,사건마스터!$A$5:$A$64,0)),""))</f>
        <v/>
      </c>
      <c r="T393" s="35">
        <f>IF($F393="","",IFERROR(INDEX(사건마스터!$AR$5:$AR$64,MATCH($F393,사건마스터!$A$5:$A$64,0)),""))</f>
        <v/>
      </c>
      <c r="U393" s="35">
        <f>IF($F393="","",IFERROR(INDEX(사건마스터!$AS$5:$AS$64,MATCH($F393,사건마스터!$A$5:$A$64,0)),""))</f>
        <v/>
      </c>
      <c r="V393" s="35">
        <f>IF($F393="","",IFERROR(INDEX(사건마스터!$AT$5:$AT$64,MATCH($F393,사건마스터!$A$5:$A$64,0)),""))</f>
        <v/>
      </c>
      <c r="W393" s="35">
        <f>IF($F393="","",IFERROR(INDEX(사건마스터!$AU$5:$AU$64,MATCH($F393,사건마스터!$A$5:$A$64,0)),""))</f>
        <v/>
      </c>
      <c r="X393" s="35">
        <f>IF($F393="","",IFERROR(INDEX(사건마스터!$AV$5:$AV$64,MATCH($F393,사건마스터!$A$5:$A$64,0)),""))</f>
        <v/>
      </c>
      <c r="Y393" s="30">
        <f>IF($I393="","",COUNTIF($I393:$X393,"?*"))</f>
        <v/>
      </c>
      <c r="Z393" s="33">
        <f>IF($I393="","",_xlfn.TEXTJOIN(", ",TRUE,$I393:$X393))</f>
        <v/>
      </c>
      <c r="AA393" s="34">
        <f>IF($I393="","",IFERROR(INDEX(코드설정!$D$5:$D$24,MATCH($I393,코드설정!$C$5:$C$24,0)),""))</f>
        <v/>
      </c>
      <c r="AB393" s="36" t="n"/>
      <c r="AC393" s="37" t="n"/>
      <c r="AD393" s="38" t="n"/>
      <c r="AE393" s="30">
        <f>IF(OR($B393="",$C393=""),"",$C393-$B393+1)</f>
        <v/>
      </c>
      <c r="AF393" s="32" t="n"/>
      <c r="AG393" s="36" t="n"/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3">
        <f>IF($F394="","",IFERROR(INDEX(사건마스터!$B$5:$B$64,MATCH($F394,사건마스터!$A$5:$A$64,0)),""))</f>
        <v/>
      </c>
      <c r="H394" s="34">
        <f>IF($F394="","",IFERROR(INDEX(사건마스터!$C$5:$C$64,MATCH($F394,사건마스터!$A$5:$A$64,0)),""))</f>
        <v/>
      </c>
      <c r="I394" s="35">
        <f>IF($F394="","",IFERROR(INDEX(사건마스터!$H$5:$H$64,MATCH($F394,사건마스터!$A$5:$A$64,0)),""))</f>
        <v/>
      </c>
      <c r="J394" s="35">
        <f>IF($F394="","",IFERROR(INDEX(사건마스터!$AH$5:$AH$64,MATCH($F394,사건마스터!$A$5:$A$64,0)),""))</f>
        <v/>
      </c>
      <c r="K394" s="35">
        <f>IF($F394="","",IFERROR(INDEX(사건마스터!$AI$5:$AI$64,MATCH($F394,사건마스터!$A$5:$A$64,0)),""))</f>
        <v/>
      </c>
      <c r="L394" s="35">
        <f>IF($F394="","",IFERROR(INDEX(사건마스터!$AJ$5:$AJ$64,MATCH($F394,사건마스터!$A$5:$A$64,0)),""))</f>
        <v/>
      </c>
      <c r="M394" s="35">
        <f>IF($F394="","",IFERROR(INDEX(사건마스터!$AK$5:$AK$64,MATCH($F394,사건마스터!$A$5:$A$64,0)),""))</f>
        <v/>
      </c>
      <c r="N394" s="35">
        <f>IF($F394="","",IFERROR(INDEX(사건마스터!$AL$5:$AL$64,MATCH($F394,사건마스터!$A$5:$A$64,0)),""))</f>
        <v/>
      </c>
      <c r="O394" s="35">
        <f>IF($F394="","",IFERROR(INDEX(사건마스터!$AM$5:$AM$64,MATCH($F394,사건마스터!$A$5:$A$64,0)),""))</f>
        <v/>
      </c>
      <c r="P394" s="35">
        <f>IF($F394="","",IFERROR(INDEX(사건마스터!$AN$5:$AN$64,MATCH($F394,사건마스터!$A$5:$A$64,0)),""))</f>
        <v/>
      </c>
      <c r="Q394" s="35">
        <f>IF($F394="","",IFERROR(INDEX(사건마스터!$AO$5:$AO$64,MATCH($F394,사건마스터!$A$5:$A$64,0)),""))</f>
        <v/>
      </c>
      <c r="R394" s="35">
        <f>IF($F394="","",IFERROR(INDEX(사건마스터!$AP$5:$AP$64,MATCH($F394,사건마스터!$A$5:$A$64,0)),""))</f>
        <v/>
      </c>
      <c r="S394" s="35">
        <f>IF($F394="","",IFERROR(INDEX(사건마스터!$AQ$5:$AQ$64,MATCH($F394,사건마스터!$A$5:$A$64,0)),""))</f>
        <v/>
      </c>
      <c r="T394" s="35">
        <f>IF($F394="","",IFERROR(INDEX(사건마스터!$AR$5:$AR$64,MATCH($F394,사건마스터!$A$5:$A$64,0)),""))</f>
        <v/>
      </c>
      <c r="U394" s="35">
        <f>IF($F394="","",IFERROR(INDEX(사건마스터!$AS$5:$AS$64,MATCH($F394,사건마스터!$A$5:$A$64,0)),""))</f>
        <v/>
      </c>
      <c r="V394" s="35">
        <f>IF($F394="","",IFERROR(INDEX(사건마스터!$AT$5:$AT$64,MATCH($F394,사건마스터!$A$5:$A$64,0)),""))</f>
        <v/>
      </c>
      <c r="W394" s="35">
        <f>IF($F394="","",IFERROR(INDEX(사건마스터!$AU$5:$AU$64,MATCH($F394,사건마스터!$A$5:$A$64,0)),""))</f>
        <v/>
      </c>
      <c r="X394" s="35">
        <f>IF($F394="","",IFERROR(INDEX(사건마스터!$AV$5:$AV$64,MATCH($F394,사건마스터!$A$5:$A$64,0)),""))</f>
        <v/>
      </c>
      <c r="Y394" s="30">
        <f>IF($I394="","",COUNTIF($I394:$X394,"?*"))</f>
        <v/>
      </c>
      <c r="Z394" s="33">
        <f>IF($I394="","",_xlfn.TEXTJOIN(", ",TRUE,$I394:$X394))</f>
        <v/>
      </c>
      <c r="AA394" s="34">
        <f>IF($I394="","",IFERROR(INDEX(코드설정!$D$5:$D$24,MATCH($I394,코드설정!$C$5:$C$24,0)),""))</f>
        <v/>
      </c>
      <c r="AB394" s="36" t="n"/>
      <c r="AC394" s="37" t="n"/>
      <c r="AD394" s="38" t="n"/>
      <c r="AE394" s="30">
        <f>IF(OR($B394="",$C394=""),"",$C394-$B394+1)</f>
        <v/>
      </c>
      <c r="AF394" s="32" t="n"/>
      <c r="AG394" s="36" t="n"/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3">
        <f>IF($F395="","",IFERROR(INDEX(사건마스터!$B$5:$B$64,MATCH($F395,사건마스터!$A$5:$A$64,0)),""))</f>
        <v/>
      </c>
      <c r="H395" s="34">
        <f>IF($F395="","",IFERROR(INDEX(사건마스터!$C$5:$C$64,MATCH($F395,사건마스터!$A$5:$A$64,0)),""))</f>
        <v/>
      </c>
      <c r="I395" s="35">
        <f>IF($F395="","",IFERROR(INDEX(사건마스터!$H$5:$H$64,MATCH($F395,사건마스터!$A$5:$A$64,0)),""))</f>
        <v/>
      </c>
      <c r="J395" s="35">
        <f>IF($F395="","",IFERROR(INDEX(사건마스터!$AH$5:$AH$64,MATCH($F395,사건마스터!$A$5:$A$64,0)),""))</f>
        <v/>
      </c>
      <c r="K395" s="35">
        <f>IF($F395="","",IFERROR(INDEX(사건마스터!$AI$5:$AI$64,MATCH($F395,사건마스터!$A$5:$A$64,0)),""))</f>
        <v/>
      </c>
      <c r="L395" s="35">
        <f>IF($F395="","",IFERROR(INDEX(사건마스터!$AJ$5:$AJ$64,MATCH($F395,사건마스터!$A$5:$A$64,0)),""))</f>
        <v/>
      </c>
      <c r="M395" s="35">
        <f>IF($F395="","",IFERROR(INDEX(사건마스터!$AK$5:$AK$64,MATCH($F395,사건마스터!$A$5:$A$64,0)),""))</f>
        <v/>
      </c>
      <c r="N395" s="35">
        <f>IF($F395="","",IFERROR(INDEX(사건마스터!$AL$5:$AL$64,MATCH($F395,사건마스터!$A$5:$A$64,0)),""))</f>
        <v/>
      </c>
      <c r="O395" s="35">
        <f>IF($F395="","",IFERROR(INDEX(사건마스터!$AM$5:$AM$64,MATCH($F395,사건마스터!$A$5:$A$64,0)),""))</f>
        <v/>
      </c>
      <c r="P395" s="35">
        <f>IF($F395="","",IFERROR(INDEX(사건마스터!$AN$5:$AN$64,MATCH($F395,사건마스터!$A$5:$A$64,0)),""))</f>
        <v/>
      </c>
      <c r="Q395" s="35">
        <f>IF($F395="","",IFERROR(INDEX(사건마스터!$AO$5:$AO$64,MATCH($F395,사건마스터!$A$5:$A$64,0)),""))</f>
        <v/>
      </c>
      <c r="R395" s="35">
        <f>IF($F395="","",IFERROR(INDEX(사건마스터!$AP$5:$AP$64,MATCH($F395,사건마스터!$A$5:$A$64,0)),""))</f>
        <v/>
      </c>
      <c r="S395" s="35">
        <f>IF($F395="","",IFERROR(INDEX(사건마스터!$AQ$5:$AQ$64,MATCH($F395,사건마스터!$A$5:$A$64,0)),""))</f>
        <v/>
      </c>
      <c r="T395" s="35">
        <f>IF($F395="","",IFERROR(INDEX(사건마스터!$AR$5:$AR$64,MATCH($F395,사건마스터!$A$5:$A$64,0)),""))</f>
        <v/>
      </c>
      <c r="U395" s="35">
        <f>IF($F395="","",IFERROR(INDEX(사건마스터!$AS$5:$AS$64,MATCH($F395,사건마스터!$A$5:$A$64,0)),""))</f>
        <v/>
      </c>
      <c r="V395" s="35">
        <f>IF($F395="","",IFERROR(INDEX(사건마스터!$AT$5:$AT$64,MATCH($F395,사건마스터!$A$5:$A$64,0)),""))</f>
        <v/>
      </c>
      <c r="W395" s="35">
        <f>IF($F395="","",IFERROR(INDEX(사건마스터!$AU$5:$AU$64,MATCH($F395,사건마스터!$A$5:$A$64,0)),""))</f>
        <v/>
      </c>
      <c r="X395" s="35">
        <f>IF($F395="","",IFERROR(INDEX(사건마스터!$AV$5:$AV$64,MATCH($F395,사건마스터!$A$5:$A$64,0)),""))</f>
        <v/>
      </c>
      <c r="Y395" s="30">
        <f>IF($I395="","",COUNTIF($I395:$X395,"?*"))</f>
        <v/>
      </c>
      <c r="Z395" s="33">
        <f>IF($I395="","",_xlfn.TEXTJOIN(", ",TRUE,$I395:$X395))</f>
        <v/>
      </c>
      <c r="AA395" s="34">
        <f>IF($I395="","",IFERROR(INDEX(코드설정!$D$5:$D$24,MATCH($I395,코드설정!$C$5:$C$24,0)),""))</f>
        <v/>
      </c>
      <c r="AB395" s="36" t="n"/>
      <c r="AC395" s="37" t="n"/>
      <c r="AD395" s="38" t="n"/>
      <c r="AE395" s="30">
        <f>IF(OR($B395="",$C395=""),"",$C395-$B395+1)</f>
        <v/>
      </c>
      <c r="AF395" s="32" t="n"/>
      <c r="AG395" s="36" t="n"/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3">
        <f>IF($F396="","",IFERROR(INDEX(사건마스터!$B$5:$B$64,MATCH($F396,사건마스터!$A$5:$A$64,0)),""))</f>
        <v/>
      </c>
      <c r="H396" s="34">
        <f>IF($F396="","",IFERROR(INDEX(사건마스터!$C$5:$C$64,MATCH($F396,사건마스터!$A$5:$A$64,0)),""))</f>
        <v/>
      </c>
      <c r="I396" s="35">
        <f>IF($F396="","",IFERROR(INDEX(사건마스터!$H$5:$H$64,MATCH($F396,사건마스터!$A$5:$A$64,0)),""))</f>
        <v/>
      </c>
      <c r="J396" s="35">
        <f>IF($F396="","",IFERROR(INDEX(사건마스터!$AH$5:$AH$64,MATCH($F396,사건마스터!$A$5:$A$64,0)),""))</f>
        <v/>
      </c>
      <c r="K396" s="35">
        <f>IF($F396="","",IFERROR(INDEX(사건마스터!$AI$5:$AI$64,MATCH($F396,사건마스터!$A$5:$A$64,0)),""))</f>
        <v/>
      </c>
      <c r="L396" s="35">
        <f>IF($F396="","",IFERROR(INDEX(사건마스터!$AJ$5:$AJ$64,MATCH($F396,사건마스터!$A$5:$A$64,0)),""))</f>
        <v/>
      </c>
      <c r="M396" s="35">
        <f>IF($F396="","",IFERROR(INDEX(사건마스터!$AK$5:$AK$64,MATCH($F396,사건마스터!$A$5:$A$64,0)),""))</f>
        <v/>
      </c>
      <c r="N396" s="35">
        <f>IF($F396="","",IFERROR(INDEX(사건마스터!$AL$5:$AL$64,MATCH($F396,사건마스터!$A$5:$A$64,0)),""))</f>
        <v/>
      </c>
      <c r="O396" s="35">
        <f>IF($F396="","",IFERROR(INDEX(사건마스터!$AM$5:$AM$64,MATCH($F396,사건마스터!$A$5:$A$64,0)),""))</f>
        <v/>
      </c>
      <c r="P396" s="35">
        <f>IF($F396="","",IFERROR(INDEX(사건마스터!$AN$5:$AN$64,MATCH($F396,사건마스터!$A$5:$A$64,0)),""))</f>
        <v/>
      </c>
      <c r="Q396" s="35">
        <f>IF($F396="","",IFERROR(INDEX(사건마스터!$AO$5:$AO$64,MATCH($F396,사건마스터!$A$5:$A$64,0)),""))</f>
        <v/>
      </c>
      <c r="R396" s="35">
        <f>IF($F396="","",IFERROR(INDEX(사건마스터!$AP$5:$AP$64,MATCH($F396,사건마스터!$A$5:$A$64,0)),""))</f>
        <v/>
      </c>
      <c r="S396" s="35">
        <f>IF($F396="","",IFERROR(INDEX(사건마스터!$AQ$5:$AQ$64,MATCH($F396,사건마스터!$A$5:$A$64,0)),""))</f>
        <v/>
      </c>
      <c r="T396" s="35">
        <f>IF($F396="","",IFERROR(INDEX(사건마스터!$AR$5:$AR$64,MATCH($F396,사건마스터!$A$5:$A$64,0)),""))</f>
        <v/>
      </c>
      <c r="U396" s="35">
        <f>IF($F396="","",IFERROR(INDEX(사건마스터!$AS$5:$AS$64,MATCH($F396,사건마스터!$A$5:$A$64,0)),""))</f>
        <v/>
      </c>
      <c r="V396" s="35">
        <f>IF($F396="","",IFERROR(INDEX(사건마스터!$AT$5:$AT$64,MATCH($F396,사건마스터!$A$5:$A$64,0)),""))</f>
        <v/>
      </c>
      <c r="W396" s="35">
        <f>IF($F396="","",IFERROR(INDEX(사건마스터!$AU$5:$AU$64,MATCH($F396,사건마스터!$A$5:$A$64,0)),""))</f>
        <v/>
      </c>
      <c r="X396" s="35">
        <f>IF($F396="","",IFERROR(INDEX(사건마스터!$AV$5:$AV$64,MATCH($F396,사건마스터!$A$5:$A$64,0)),""))</f>
        <v/>
      </c>
      <c r="Y396" s="30">
        <f>IF($I396="","",COUNTIF($I396:$X396,"?*"))</f>
        <v/>
      </c>
      <c r="Z396" s="33">
        <f>IF($I396="","",_xlfn.TEXTJOIN(", ",TRUE,$I396:$X396))</f>
        <v/>
      </c>
      <c r="AA396" s="34">
        <f>IF($I396="","",IFERROR(INDEX(코드설정!$D$5:$D$24,MATCH($I396,코드설정!$C$5:$C$24,0)),""))</f>
        <v/>
      </c>
      <c r="AB396" s="36" t="n"/>
      <c r="AC396" s="37" t="n"/>
      <c r="AD396" s="38" t="n"/>
      <c r="AE396" s="30">
        <f>IF(OR($B396="",$C396=""),"",$C396-$B396+1)</f>
        <v/>
      </c>
      <c r="AF396" s="32" t="n"/>
      <c r="AG396" s="36" t="n"/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3">
        <f>IF($F397="","",IFERROR(INDEX(사건마스터!$B$5:$B$64,MATCH($F397,사건마스터!$A$5:$A$64,0)),""))</f>
        <v/>
      </c>
      <c r="H397" s="34">
        <f>IF($F397="","",IFERROR(INDEX(사건마스터!$C$5:$C$64,MATCH($F397,사건마스터!$A$5:$A$64,0)),""))</f>
        <v/>
      </c>
      <c r="I397" s="35">
        <f>IF($F397="","",IFERROR(INDEX(사건마스터!$H$5:$H$64,MATCH($F397,사건마스터!$A$5:$A$64,0)),""))</f>
        <v/>
      </c>
      <c r="J397" s="35">
        <f>IF($F397="","",IFERROR(INDEX(사건마스터!$AH$5:$AH$64,MATCH($F397,사건마스터!$A$5:$A$64,0)),""))</f>
        <v/>
      </c>
      <c r="K397" s="35">
        <f>IF($F397="","",IFERROR(INDEX(사건마스터!$AI$5:$AI$64,MATCH($F397,사건마스터!$A$5:$A$64,0)),""))</f>
        <v/>
      </c>
      <c r="L397" s="35">
        <f>IF($F397="","",IFERROR(INDEX(사건마스터!$AJ$5:$AJ$64,MATCH($F397,사건마스터!$A$5:$A$64,0)),""))</f>
        <v/>
      </c>
      <c r="M397" s="35">
        <f>IF($F397="","",IFERROR(INDEX(사건마스터!$AK$5:$AK$64,MATCH($F397,사건마스터!$A$5:$A$64,0)),""))</f>
        <v/>
      </c>
      <c r="N397" s="35">
        <f>IF($F397="","",IFERROR(INDEX(사건마스터!$AL$5:$AL$64,MATCH($F397,사건마스터!$A$5:$A$64,0)),""))</f>
        <v/>
      </c>
      <c r="O397" s="35">
        <f>IF($F397="","",IFERROR(INDEX(사건마스터!$AM$5:$AM$64,MATCH($F397,사건마스터!$A$5:$A$64,0)),""))</f>
        <v/>
      </c>
      <c r="P397" s="35">
        <f>IF($F397="","",IFERROR(INDEX(사건마스터!$AN$5:$AN$64,MATCH($F397,사건마스터!$A$5:$A$64,0)),""))</f>
        <v/>
      </c>
      <c r="Q397" s="35">
        <f>IF($F397="","",IFERROR(INDEX(사건마스터!$AO$5:$AO$64,MATCH($F397,사건마스터!$A$5:$A$64,0)),""))</f>
        <v/>
      </c>
      <c r="R397" s="35">
        <f>IF($F397="","",IFERROR(INDEX(사건마스터!$AP$5:$AP$64,MATCH($F397,사건마스터!$A$5:$A$64,0)),""))</f>
        <v/>
      </c>
      <c r="S397" s="35">
        <f>IF($F397="","",IFERROR(INDEX(사건마스터!$AQ$5:$AQ$64,MATCH($F397,사건마스터!$A$5:$A$64,0)),""))</f>
        <v/>
      </c>
      <c r="T397" s="35">
        <f>IF($F397="","",IFERROR(INDEX(사건마스터!$AR$5:$AR$64,MATCH($F397,사건마스터!$A$5:$A$64,0)),""))</f>
        <v/>
      </c>
      <c r="U397" s="35">
        <f>IF($F397="","",IFERROR(INDEX(사건마스터!$AS$5:$AS$64,MATCH($F397,사건마스터!$A$5:$A$64,0)),""))</f>
        <v/>
      </c>
      <c r="V397" s="35">
        <f>IF($F397="","",IFERROR(INDEX(사건마스터!$AT$5:$AT$64,MATCH($F397,사건마스터!$A$5:$A$64,0)),""))</f>
        <v/>
      </c>
      <c r="W397" s="35">
        <f>IF($F397="","",IFERROR(INDEX(사건마스터!$AU$5:$AU$64,MATCH($F397,사건마스터!$A$5:$A$64,0)),""))</f>
        <v/>
      </c>
      <c r="X397" s="35">
        <f>IF($F397="","",IFERROR(INDEX(사건마스터!$AV$5:$AV$64,MATCH($F397,사건마스터!$A$5:$A$64,0)),""))</f>
        <v/>
      </c>
      <c r="Y397" s="30">
        <f>IF($I397="","",COUNTIF($I397:$X397,"?*"))</f>
        <v/>
      </c>
      <c r="Z397" s="33">
        <f>IF($I397="","",_xlfn.TEXTJOIN(", ",TRUE,$I397:$X397))</f>
        <v/>
      </c>
      <c r="AA397" s="34">
        <f>IF($I397="","",IFERROR(INDEX(코드설정!$D$5:$D$24,MATCH($I397,코드설정!$C$5:$C$24,0)),""))</f>
        <v/>
      </c>
      <c r="AB397" s="36" t="n"/>
      <c r="AC397" s="37" t="n"/>
      <c r="AD397" s="38" t="n"/>
      <c r="AE397" s="30">
        <f>IF(OR($B397="",$C397=""),"",$C397-$B397+1)</f>
        <v/>
      </c>
      <c r="AF397" s="32" t="n"/>
      <c r="AG397" s="36" t="n"/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3">
        <f>IF($F398="","",IFERROR(INDEX(사건마스터!$B$5:$B$64,MATCH($F398,사건마스터!$A$5:$A$64,0)),""))</f>
        <v/>
      </c>
      <c r="H398" s="34">
        <f>IF($F398="","",IFERROR(INDEX(사건마스터!$C$5:$C$64,MATCH($F398,사건마스터!$A$5:$A$64,0)),""))</f>
        <v/>
      </c>
      <c r="I398" s="35">
        <f>IF($F398="","",IFERROR(INDEX(사건마스터!$H$5:$H$64,MATCH($F398,사건마스터!$A$5:$A$64,0)),""))</f>
        <v/>
      </c>
      <c r="J398" s="35">
        <f>IF($F398="","",IFERROR(INDEX(사건마스터!$AH$5:$AH$64,MATCH($F398,사건마스터!$A$5:$A$64,0)),""))</f>
        <v/>
      </c>
      <c r="K398" s="35">
        <f>IF($F398="","",IFERROR(INDEX(사건마스터!$AI$5:$AI$64,MATCH($F398,사건마스터!$A$5:$A$64,0)),""))</f>
        <v/>
      </c>
      <c r="L398" s="35">
        <f>IF($F398="","",IFERROR(INDEX(사건마스터!$AJ$5:$AJ$64,MATCH($F398,사건마스터!$A$5:$A$64,0)),""))</f>
        <v/>
      </c>
      <c r="M398" s="35">
        <f>IF($F398="","",IFERROR(INDEX(사건마스터!$AK$5:$AK$64,MATCH($F398,사건마스터!$A$5:$A$64,0)),""))</f>
        <v/>
      </c>
      <c r="N398" s="35">
        <f>IF($F398="","",IFERROR(INDEX(사건마스터!$AL$5:$AL$64,MATCH($F398,사건마스터!$A$5:$A$64,0)),""))</f>
        <v/>
      </c>
      <c r="O398" s="35">
        <f>IF($F398="","",IFERROR(INDEX(사건마스터!$AM$5:$AM$64,MATCH($F398,사건마스터!$A$5:$A$64,0)),""))</f>
        <v/>
      </c>
      <c r="P398" s="35">
        <f>IF($F398="","",IFERROR(INDEX(사건마스터!$AN$5:$AN$64,MATCH($F398,사건마스터!$A$5:$A$64,0)),""))</f>
        <v/>
      </c>
      <c r="Q398" s="35">
        <f>IF($F398="","",IFERROR(INDEX(사건마스터!$AO$5:$AO$64,MATCH($F398,사건마스터!$A$5:$A$64,0)),""))</f>
        <v/>
      </c>
      <c r="R398" s="35">
        <f>IF($F398="","",IFERROR(INDEX(사건마스터!$AP$5:$AP$64,MATCH($F398,사건마스터!$A$5:$A$64,0)),""))</f>
        <v/>
      </c>
      <c r="S398" s="35">
        <f>IF($F398="","",IFERROR(INDEX(사건마스터!$AQ$5:$AQ$64,MATCH($F398,사건마스터!$A$5:$A$64,0)),""))</f>
        <v/>
      </c>
      <c r="T398" s="35">
        <f>IF($F398="","",IFERROR(INDEX(사건마스터!$AR$5:$AR$64,MATCH($F398,사건마스터!$A$5:$A$64,0)),""))</f>
        <v/>
      </c>
      <c r="U398" s="35">
        <f>IF($F398="","",IFERROR(INDEX(사건마스터!$AS$5:$AS$64,MATCH($F398,사건마스터!$A$5:$A$64,0)),""))</f>
        <v/>
      </c>
      <c r="V398" s="35">
        <f>IF($F398="","",IFERROR(INDEX(사건마스터!$AT$5:$AT$64,MATCH($F398,사건마스터!$A$5:$A$64,0)),""))</f>
        <v/>
      </c>
      <c r="W398" s="35">
        <f>IF($F398="","",IFERROR(INDEX(사건마스터!$AU$5:$AU$64,MATCH($F398,사건마스터!$A$5:$A$64,0)),""))</f>
        <v/>
      </c>
      <c r="X398" s="35">
        <f>IF($F398="","",IFERROR(INDEX(사건마스터!$AV$5:$AV$64,MATCH($F398,사건마스터!$A$5:$A$64,0)),""))</f>
        <v/>
      </c>
      <c r="Y398" s="30">
        <f>IF($I398="","",COUNTIF($I398:$X398,"?*"))</f>
        <v/>
      </c>
      <c r="Z398" s="33">
        <f>IF($I398="","",_xlfn.TEXTJOIN(", ",TRUE,$I398:$X398))</f>
        <v/>
      </c>
      <c r="AA398" s="34">
        <f>IF($I398="","",IFERROR(INDEX(코드설정!$D$5:$D$24,MATCH($I398,코드설정!$C$5:$C$24,0)),""))</f>
        <v/>
      </c>
      <c r="AB398" s="36" t="n"/>
      <c r="AC398" s="37" t="n"/>
      <c r="AD398" s="38" t="n"/>
      <c r="AE398" s="30">
        <f>IF(OR($B398="",$C398=""),"",$C398-$B398+1)</f>
        <v/>
      </c>
      <c r="AF398" s="32" t="n"/>
      <c r="AG398" s="36" t="n"/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3">
        <f>IF($F399="","",IFERROR(INDEX(사건마스터!$B$5:$B$64,MATCH($F399,사건마스터!$A$5:$A$64,0)),""))</f>
        <v/>
      </c>
      <c r="H399" s="34">
        <f>IF($F399="","",IFERROR(INDEX(사건마스터!$C$5:$C$64,MATCH($F399,사건마스터!$A$5:$A$64,0)),""))</f>
        <v/>
      </c>
      <c r="I399" s="35">
        <f>IF($F399="","",IFERROR(INDEX(사건마스터!$H$5:$H$64,MATCH($F399,사건마스터!$A$5:$A$64,0)),""))</f>
        <v/>
      </c>
      <c r="J399" s="35">
        <f>IF($F399="","",IFERROR(INDEX(사건마스터!$AH$5:$AH$64,MATCH($F399,사건마스터!$A$5:$A$64,0)),""))</f>
        <v/>
      </c>
      <c r="K399" s="35">
        <f>IF($F399="","",IFERROR(INDEX(사건마스터!$AI$5:$AI$64,MATCH($F399,사건마스터!$A$5:$A$64,0)),""))</f>
        <v/>
      </c>
      <c r="L399" s="35">
        <f>IF($F399="","",IFERROR(INDEX(사건마스터!$AJ$5:$AJ$64,MATCH($F399,사건마스터!$A$5:$A$64,0)),""))</f>
        <v/>
      </c>
      <c r="M399" s="35">
        <f>IF($F399="","",IFERROR(INDEX(사건마스터!$AK$5:$AK$64,MATCH($F399,사건마스터!$A$5:$A$64,0)),""))</f>
        <v/>
      </c>
      <c r="N399" s="35">
        <f>IF($F399="","",IFERROR(INDEX(사건마스터!$AL$5:$AL$64,MATCH($F399,사건마스터!$A$5:$A$64,0)),""))</f>
        <v/>
      </c>
      <c r="O399" s="35">
        <f>IF($F399="","",IFERROR(INDEX(사건마스터!$AM$5:$AM$64,MATCH($F399,사건마스터!$A$5:$A$64,0)),""))</f>
        <v/>
      </c>
      <c r="P399" s="35">
        <f>IF($F399="","",IFERROR(INDEX(사건마스터!$AN$5:$AN$64,MATCH($F399,사건마스터!$A$5:$A$64,0)),""))</f>
        <v/>
      </c>
      <c r="Q399" s="35">
        <f>IF($F399="","",IFERROR(INDEX(사건마스터!$AO$5:$AO$64,MATCH($F399,사건마스터!$A$5:$A$64,0)),""))</f>
        <v/>
      </c>
      <c r="R399" s="35">
        <f>IF($F399="","",IFERROR(INDEX(사건마스터!$AP$5:$AP$64,MATCH($F399,사건마스터!$A$5:$A$64,0)),""))</f>
        <v/>
      </c>
      <c r="S399" s="35">
        <f>IF($F399="","",IFERROR(INDEX(사건마스터!$AQ$5:$AQ$64,MATCH($F399,사건마스터!$A$5:$A$64,0)),""))</f>
        <v/>
      </c>
      <c r="T399" s="35">
        <f>IF($F399="","",IFERROR(INDEX(사건마스터!$AR$5:$AR$64,MATCH($F399,사건마스터!$A$5:$A$64,0)),""))</f>
        <v/>
      </c>
      <c r="U399" s="35">
        <f>IF($F399="","",IFERROR(INDEX(사건마스터!$AS$5:$AS$64,MATCH($F399,사건마스터!$A$5:$A$64,0)),""))</f>
        <v/>
      </c>
      <c r="V399" s="35">
        <f>IF($F399="","",IFERROR(INDEX(사건마스터!$AT$5:$AT$64,MATCH($F399,사건마스터!$A$5:$A$64,0)),""))</f>
        <v/>
      </c>
      <c r="W399" s="35">
        <f>IF($F399="","",IFERROR(INDEX(사건마스터!$AU$5:$AU$64,MATCH($F399,사건마스터!$A$5:$A$64,0)),""))</f>
        <v/>
      </c>
      <c r="X399" s="35">
        <f>IF($F399="","",IFERROR(INDEX(사건마스터!$AV$5:$AV$64,MATCH($F399,사건마스터!$A$5:$A$64,0)),""))</f>
        <v/>
      </c>
      <c r="Y399" s="30">
        <f>IF($I399="","",COUNTIF($I399:$X399,"?*"))</f>
        <v/>
      </c>
      <c r="Z399" s="33">
        <f>IF($I399="","",_xlfn.TEXTJOIN(", ",TRUE,$I399:$X399))</f>
        <v/>
      </c>
      <c r="AA399" s="34">
        <f>IF($I399="","",IFERROR(INDEX(코드설정!$D$5:$D$24,MATCH($I399,코드설정!$C$5:$C$24,0)),""))</f>
        <v/>
      </c>
      <c r="AB399" s="36" t="n"/>
      <c r="AC399" s="37" t="n"/>
      <c r="AD399" s="38" t="n"/>
      <c r="AE399" s="30">
        <f>IF(OR($B399="",$C399=""),"",$C399-$B399+1)</f>
        <v/>
      </c>
      <c r="AF399" s="32" t="n"/>
      <c r="AG399" s="36" t="n"/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3">
        <f>IF($F400="","",IFERROR(INDEX(사건마스터!$B$5:$B$64,MATCH($F400,사건마스터!$A$5:$A$64,0)),""))</f>
        <v/>
      </c>
      <c r="H400" s="34">
        <f>IF($F400="","",IFERROR(INDEX(사건마스터!$C$5:$C$64,MATCH($F400,사건마스터!$A$5:$A$64,0)),""))</f>
        <v/>
      </c>
      <c r="I400" s="35">
        <f>IF($F400="","",IFERROR(INDEX(사건마스터!$H$5:$H$64,MATCH($F400,사건마스터!$A$5:$A$64,0)),""))</f>
        <v/>
      </c>
      <c r="J400" s="35">
        <f>IF($F400="","",IFERROR(INDEX(사건마스터!$AH$5:$AH$64,MATCH($F400,사건마스터!$A$5:$A$64,0)),""))</f>
        <v/>
      </c>
      <c r="K400" s="35">
        <f>IF($F400="","",IFERROR(INDEX(사건마스터!$AI$5:$AI$64,MATCH($F400,사건마스터!$A$5:$A$64,0)),""))</f>
        <v/>
      </c>
      <c r="L400" s="35">
        <f>IF($F400="","",IFERROR(INDEX(사건마스터!$AJ$5:$AJ$64,MATCH($F400,사건마스터!$A$5:$A$64,0)),""))</f>
        <v/>
      </c>
      <c r="M400" s="35">
        <f>IF($F400="","",IFERROR(INDEX(사건마스터!$AK$5:$AK$64,MATCH($F400,사건마스터!$A$5:$A$64,0)),""))</f>
        <v/>
      </c>
      <c r="N400" s="35">
        <f>IF($F400="","",IFERROR(INDEX(사건마스터!$AL$5:$AL$64,MATCH($F400,사건마스터!$A$5:$A$64,0)),""))</f>
        <v/>
      </c>
      <c r="O400" s="35">
        <f>IF($F400="","",IFERROR(INDEX(사건마스터!$AM$5:$AM$64,MATCH($F400,사건마스터!$A$5:$A$64,0)),""))</f>
        <v/>
      </c>
      <c r="P400" s="35">
        <f>IF($F400="","",IFERROR(INDEX(사건마스터!$AN$5:$AN$64,MATCH($F400,사건마스터!$A$5:$A$64,0)),""))</f>
        <v/>
      </c>
      <c r="Q400" s="35">
        <f>IF($F400="","",IFERROR(INDEX(사건마스터!$AO$5:$AO$64,MATCH($F400,사건마스터!$A$5:$A$64,0)),""))</f>
        <v/>
      </c>
      <c r="R400" s="35">
        <f>IF($F400="","",IFERROR(INDEX(사건마스터!$AP$5:$AP$64,MATCH($F400,사건마스터!$A$5:$A$64,0)),""))</f>
        <v/>
      </c>
      <c r="S400" s="35">
        <f>IF($F400="","",IFERROR(INDEX(사건마스터!$AQ$5:$AQ$64,MATCH($F400,사건마스터!$A$5:$A$64,0)),""))</f>
        <v/>
      </c>
      <c r="T400" s="35">
        <f>IF($F400="","",IFERROR(INDEX(사건마스터!$AR$5:$AR$64,MATCH($F400,사건마스터!$A$5:$A$64,0)),""))</f>
        <v/>
      </c>
      <c r="U400" s="35">
        <f>IF($F400="","",IFERROR(INDEX(사건마스터!$AS$5:$AS$64,MATCH($F400,사건마스터!$A$5:$A$64,0)),""))</f>
        <v/>
      </c>
      <c r="V400" s="35">
        <f>IF($F400="","",IFERROR(INDEX(사건마스터!$AT$5:$AT$64,MATCH($F400,사건마스터!$A$5:$A$64,0)),""))</f>
        <v/>
      </c>
      <c r="W400" s="35">
        <f>IF($F400="","",IFERROR(INDEX(사건마스터!$AU$5:$AU$64,MATCH($F400,사건마스터!$A$5:$A$64,0)),""))</f>
        <v/>
      </c>
      <c r="X400" s="35">
        <f>IF($F400="","",IFERROR(INDEX(사건마스터!$AV$5:$AV$64,MATCH($F400,사건마스터!$A$5:$A$64,0)),""))</f>
        <v/>
      </c>
      <c r="Y400" s="30">
        <f>IF($I400="","",COUNTIF($I400:$X400,"?*"))</f>
        <v/>
      </c>
      <c r="Z400" s="33">
        <f>IF($I400="","",_xlfn.TEXTJOIN(", ",TRUE,$I400:$X400))</f>
        <v/>
      </c>
      <c r="AA400" s="34">
        <f>IF($I400="","",IFERROR(INDEX(코드설정!$D$5:$D$24,MATCH($I400,코드설정!$C$5:$C$24,0)),""))</f>
        <v/>
      </c>
      <c r="AB400" s="36" t="n"/>
      <c r="AC400" s="37" t="n"/>
      <c r="AD400" s="38" t="n"/>
      <c r="AE400" s="30">
        <f>IF(OR($B400="",$C400=""),"",$C400-$B400+1)</f>
        <v/>
      </c>
      <c r="AF400" s="32" t="n"/>
      <c r="AG400" s="36" t="n"/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3">
        <f>IF($F401="","",IFERROR(INDEX(사건마스터!$B$5:$B$64,MATCH($F401,사건마스터!$A$5:$A$64,0)),""))</f>
        <v/>
      </c>
      <c r="H401" s="34">
        <f>IF($F401="","",IFERROR(INDEX(사건마스터!$C$5:$C$64,MATCH($F401,사건마스터!$A$5:$A$64,0)),""))</f>
        <v/>
      </c>
      <c r="I401" s="35">
        <f>IF($F401="","",IFERROR(INDEX(사건마스터!$H$5:$H$64,MATCH($F401,사건마스터!$A$5:$A$64,0)),""))</f>
        <v/>
      </c>
      <c r="J401" s="35">
        <f>IF($F401="","",IFERROR(INDEX(사건마스터!$AH$5:$AH$64,MATCH($F401,사건마스터!$A$5:$A$64,0)),""))</f>
        <v/>
      </c>
      <c r="K401" s="35">
        <f>IF($F401="","",IFERROR(INDEX(사건마스터!$AI$5:$AI$64,MATCH($F401,사건마스터!$A$5:$A$64,0)),""))</f>
        <v/>
      </c>
      <c r="L401" s="35">
        <f>IF($F401="","",IFERROR(INDEX(사건마스터!$AJ$5:$AJ$64,MATCH($F401,사건마스터!$A$5:$A$64,0)),""))</f>
        <v/>
      </c>
      <c r="M401" s="35">
        <f>IF($F401="","",IFERROR(INDEX(사건마스터!$AK$5:$AK$64,MATCH($F401,사건마스터!$A$5:$A$64,0)),""))</f>
        <v/>
      </c>
      <c r="N401" s="35">
        <f>IF($F401="","",IFERROR(INDEX(사건마스터!$AL$5:$AL$64,MATCH($F401,사건마스터!$A$5:$A$64,0)),""))</f>
        <v/>
      </c>
      <c r="O401" s="35">
        <f>IF($F401="","",IFERROR(INDEX(사건마스터!$AM$5:$AM$64,MATCH($F401,사건마스터!$A$5:$A$64,0)),""))</f>
        <v/>
      </c>
      <c r="P401" s="35">
        <f>IF($F401="","",IFERROR(INDEX(사건마스터!$AN$5:$AN$64,MATCH($F401,사건마스터!$A$5:$A$64,0)),""))</f>
        <v/>
      </c>
      <c r="Q401" s="35">
        <f>IF($F401="","",IFERROR(INDEX(사건마스터!$AO$5:$AO$64,MATCH($F401,사건마스터!$A$5:$A$64,0)),""))</f>
        <v/>
      </c>
      <c r="R401" s="35">
        <f>IF($F401="","",IFERROR(INDEX(사건마스터!$AP$5:$AP$64,MATCH($F401,사건마스터!$A$5:$A$64,0)),""))</f>
        <v/>
      </c>
      <c r="S401" s="35">
        <f>IF($F401="","",IFERROR(INDEX(사건마스터!$AQ$5:$AQ$64,MATCH($F401,사건마스터!$A$5:$A$64,0)),""))</f>
        <v/>
      </c>
      <c r="T401" s="35">
        <f>IF($F401="","",IFERROR(INDEX(사건마스터!$AR$5:$AR$64,MATCH($F401,사건마스터!$A$5:$A$64,0)),""))</f>
        <v/>
      </c>
      <c r="U401" s="35">
        <f>IF($F401="","",IFERROR(INDEX(사건마스터!$AS$5:$AS$64,MATCH($F401,사건마스터!$A$5:$A$64,0)),""))</f>
        <v/>
      </c>
      <c r="V401" s="35">
        <f>IF($F401="","",IFERROR(INDEX(사건마스터!$AT$5:$AT$64,MATCH($F401,사건마스터!$A$5:$A$64,0)),""))</f>
        <v/>
      </c>
      <c r="W401" s="35">
        <f>IF($F401="","",IFERROR(INDEX(사건마스터!$AU$5:$AU$64,MATCH($F401,사건마스터!$A$5:$A$64,0)),""))</f>
        <v/>
      </c>
      <c r="X401" s="35">
        <f>IF($F401="","",IFERROR(INDEX(사건마스터!$AV$5:$AV$64,MATCH($F401,사건마스터!$A$5:$A$64,0)),""))</f>
        <v/>
      </c>
      <c r="Y401" s="30">
        <f>IF($I401="","",COUNTIF($I401:$X401,"?*"))</f>
        <v/>
      </c>
      <c r="Z401" s="33">
        <f>IF($I401="","",_xlfn.TEXTJOIN(", ",TRUE,$I401:$X401))</f>
        <v/>
      </c>
      <c r="AA401" s="34">
        <f>IF($I401="","",IFERROR(INDEX(코드설정!$D$5:$D$24,MATCH($I401,코드설정!$C$5:$C$24,0)),""))</f>
        <v/>
      </c>
      <c r="AB401" s="36" t="n"/>
      <c r="AC401" s="37" t="n"/>
      <c r="AD401" s="38" t="n"/>
      <c r="AE401" s="30">
        <f>IF(OR($B401="",$C401=""),"",$C401-$B401+1)</f>
        <v/>
      </c>
      <c r="AF401" s="32" t="n"/>
      <c r="AG401" s="36" t="n"/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3">
        <f>IF($F402="","",IFERROR(INDEX(사건마스터!$B$5:$B$64,MATCH($F402,사건마스터!$A$5:$A$64,0)),""))</f>
        <v/>
      </c>
      <c r="H402" s="34">
        <f>IF($F402="","",IFERROR(INDEX(사건마스터!$C$5:$C$64,MATCH($F402,사건마스터!$A$5:$A$64,0)),""))</f>
        <v/>
      </c>
      <c r="I402" s="35">
        <f>IF($F402="","",IFERROR(INDEX(사건마스터!$H$5:$H$64,MATCH($F402,사건마스터!$A$5:$A$64,0)),""))</f>
        <v/>
      </c>
      <c r="J402" s="35">
        <f>IF($F402="","",IFERROR(INDEX(사건마스터!$AH$5:$AH$64,MATCH($F402,사건마스터!$A$5:$A$64,0)),""))</f>
        <v/>
      </c>
      <c r="K402" s="35">
        <f>IF($F402="","",IFERROR(INDEX(사건마스터!$AI$5:$AI$64,MATCH($F402,사건마스터!$A$5:$A$64,0)),""))</f>
        <v/>
      </c>
      <c r="L402" s="35">
        <f>IF($F402="","",IFERROR(INDEX(사건마스터!$AJ$5:$AJ$64,MATCH($F402,사건마스터!$A$5:$A$64,0)),""))</f>
        <v/>
      </c>
      <c r="M402" s="35">
        <f>IF($F402="","",IFERROR(INDEX(사건마스터!$AK$5:$AK$64,MATCH($F402,사건마스터!$A$5:$A$64,0)),""))</f>
        <v/>
      </c>
      <c r="N402" s="35">
        <f>IF($F402="","",IFERROR(INDEX(사건마스터!$AL$5:$AL$64,MATCH($F402,사건마스터!$A$5:$A$64,0)),""))</f>
        <v/>
      </c>
      <c r="O402" s="35">
        <f>IF($F402="","",IFERROR(INDEX(사건마스터!$AM$5:$AM$64,MATCH($F402,사건마스터!$A$5:$A$64,0)),""))</f>
        <v/>
      </c>
      <c r="P402" s="35">
        <f>IF($F402="","",IFERROR(INDEX(사건마스터!$AN$5:$AN$64,MATCH($F402,사건마스터!$A$5:$A$64,0)),""))</f>
        <v/>
      </c>
      <c r="Q402" s="35">
        <f>IF($F402="","",IFERROR(INDEX(사건마스터!$AO$5:$AO$64,MATCH($F402,사건마스터!$A$5:$A$64,0)),""))</f>
        <v/>
      </c>
      <c r="R402" s="35">
        <f>IF($F402="","",IFERROR(INDEX(사건마스터!$AP$5:$AP$64,MATCH($F402,사건마스터!$A$5:$A$64,0)),""))</f>
        <v/>
      </c>
      <c r="S402" s="35">
        <f>IF($F402="","",IFERROR(INDEX(사건마스터!$AQ$5:$AQ$64,MATCH($F402,사건마스터!$A$5:$A$64,0)),""))</f>
        <v/>
      </c>
      <c r="T402" s="35">
        <f>IF($F402="","",IFERROR(INDEX(사건마스터!$AR$5:$AR$64,MATCH($F402,사건마스터!$A$5:$A$64,0)),""))</f>
        <v/>
      </c>
      <c r="U402" s="35">
        <f>IF($F402="","",IFERROR(INDEX(사건마스터!$AS$5:$AS$64,MATCH($F402,사건마스터!$A$5:$A$64,0)),""))</f>
        <v/>
      </c>
      <c r="V402" s="35">
        <f>IF($F402="","",IFERROR(INDEX(사건마스터!$AT$5:$AT$64,MATCH($F402,사건마스터!$A$5:$A$64,0)),""))</f>
        <v/>
      </c>
      <c r="W402" s="35">
        <f>IF($F402="","",IFERROR(INDEX(사건마스터!$AU$5:$AU$64,MATCH($F402,사건마스터!$A$5:$A$64,0)),""))</f>
        <v/>
      </c>
      <c r="X402" s="35">
        <f>IF($F402="","",IFERROR(INDEX(사건마스터!$AV$5:$AV$64,MATCH($F402,사건마스터!$A$5:$A$64,0)),""))</f>
        <v/>
      </c>
      <c r="Y402" s="30">
        <f>IF($I402="","",COUNTIF($I402:$X402,"?*"))</f>
        <v/>
      </c>
      <c r="Z402" s="33">
        <f>IF($I402="","",_xlfn.TEXTJOIN(", ",TRUE,$I402:$X402))</f>
        <v/>
      </c>
      <c r="AA402" s="34">
        <f>IF($I402="","",IFERROR(INDEX(코드설정!$D$5:$D$24,MATCH($I402,코드설정!$C$5:$C$24,0)),""))</f>
        <v/>
      </c>
      <c r="AB402" s="36" t="n"/>
      <c r="AC402" s="37" t="n"/>
      <c r="AD402" s="38" t="n"/>
      <c r="AE402" s="30">
        <f>IF(OR($B402="",$C402=""),"",$C402-$B402+1)</f>
        <v/>
      </c>
      <c r="AF402" s="32" t="n"/>
      <c r="AG402" s="36" t="n"/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3">
        <f>IF($F403="","",IFERROR(INDEX(사건마스터!$B$5:$B$64,MATCH($F403,사건마스터!$A$5:$A$64,0)),""))</f>
        <v/>
      </c>
      <c r="H403" s="34">
        <f>IF($F403="","",IFERROR(INDEX(사건마스터!$C$5:$C$64,MATCH($F403,사건마스터!$A$5:$A$64,0)),""))</f>
        <v/>
      </c>
      <c r="I403" s="35">
        <f>IF($F403="","",IFERROR(INDEX(사건마스터!$H$5:$H$64,MATCH($F403,사건마스터!$A$5:$A$64,0)),""))</f>
        <v/>
      </c>
      <c r="J403" s="35">
        <f>IF($F403="","",IFERROR(INDEX(사건마스터!$AH$5:$AH$64,MATCH($F403,사건마스터!$A$5:$A$64,0)),""))</f>
        <v/>
      </c>
      <c r="K403" s="35">
        <f>IF($F403="","",IFERROR(INDEX(사건마스터!$AI$5:$AI$64,MATCH($F403,사건마스터!$A$5:$A$64,0)),""))</f>
        <v/>
      </c>
      <c r="L403" s="35">
        <f>IF($F403="","",IFERROR(INDEX(사건마스터!$AJ$5:$AJ$64,MATCH($F403,사건마스터!$A$5:$A$64,0)),""))</f>
        <v/>
      </c>
      <c r="M403" s="35">
        <f>IF($F403="","",IFERROR(INDEX(사건마스터!$AK$5:$AK$64,MATCH($F403,사건마스터!$A$5:$A$64,0)),""))</f>
        <v/>
      </c>
      <c r="N403" s="35">
        <f>IF($F403="","",IFERROR(INDEX(사건마스터!$AL$5:$AL$64,MATCH($F403,사건마스터!$A$5:$A$64,0)),""))</f>
        <v/>
      </c>
      <c r="O403" s="35">
        <f>IF($F403="","",IFERROR(INDEX(사건마스터!$AM$5:$AM$64,MATCH($F403,사건마스터!$A$5:$A$64,0)),""))</f>
        <v/>
      </c>
      <c r="P403" s="35">
        <f>IF($F403="","",IFERROR(INDEX(사건마스터!$AN$5:$AN$64,MATCH($F403,사건마스터!$A$5:$A$64,0)),""))</f>
        <v/>
      </c>
      <c r="Q403" s="35">
        <f>IF($F403="","",IFERROR(INDEX(사건마스터!$AO$5:$AO$64,MATCH($F403,사건마스터!$A$5:$A$64,0)),""))</f>
        <v/>
      </c>
      <c r="R403" s="35">
        <f>IF($F403="","",IFERROR(INDEX(사건마스터!$AP$5:$AP$64,MATCH($F403,사건마스터!$A$5:$A$64,0)),""))</f>
        <v/>
      </c>
      <c r="S403" s="35">
        <f>IF($F403="","",IFERROR(INDEX(사건마스터!$AQ$5:$AQ$64,MATCH($F403,사건마스터!$A$5:$A$64,0)),""))</f>
        <v/>
      </c>
      <c r="T403" s="35">
        <f>IF($F403="","",IFERROR(INDEX(사건마스터!$AR$5:$AR$64,MATCH($F403,사건마스터!$A$5:$A$64,0)),""))</f>
        <v/>
      </c>
      <c r="U403" s="35">
        <f>IF($F403="","",IFERROR(INDEX(사건마스터!$AS$5:$AS$64,MATCH($F403,사건마스터!$A$5:$A$64,0)),""))</f>
        <v/>
      </c>
      <c r="V403" s="35">
        <f>IF($F403="","",IFERROR(INDEX(사건마스터!$AT$5:$AT$64,MATCH($F403,사건마스터!$A$5:$A$64,0)),""))</f>
        <v/>
      </c>
      <c r="W403" s="35">
        <f>IF($F403="","",IFERROR(INDEX(사건마스터!$AU$5:$AU$64,MATCH($F403,사건마스터!$A$5:$A$64,0)),""))</f>
        <v/>
      </c>
      <c r="X403" s="35">
        <f>IF($F403="","",IFERROR(INDEX(사건마스터!$AV$5:$AV$64,MATCH($F403,사건마스터!$A$5:$A$64,0)),""))</f>
        <v/>
      </c>
      <c r="Y403" s="30">
        <f>IF($I403="","",COUNTIF($I403:$X403,"?*"))</f>
        <v/>
      </c>
      <c r="Z403" s="33">
        <f>IF($I403="","",_xlfn.TEXTJOIN(", ",TRUE,$I403:$X403))</f>
        <v/>
      </c>
      <c r="AA403" s="34">
        <f>IF($I403="","",IFERROR(INDEX(코드설정!$D$5:$D$24,MATCH($I403,코드설정!$C$5:$C$24,0)),""))</f>
        <v/>
      </c>
      <c r="AB403" s="36" t="n"/>
      <c r="AC403" s="37" t="n"/>
      <c r="AD403" s="38" t="n"/>
      <c r="AE403" s="30">
        <f>IF(OR($B403="",$C403=""),"",$C403-$B403+1)</f>
        <v/>
      </c>
      <c r="AF403" s="32" t="n"/>
      <c r="AG403" s="36" t="n"/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3">
        <f>IF($F404="","",IFERROR(INDEX(사건마스터!$B$5:$B$64,MATCH($F404,사건마스터!$A$5:$A$64,0)),""))</f>
        <v/>
      </c>
      <c r="H404" s="34">
        <f>IF($F404="","",IFERROR(INDEX(사건마스터!$C$5:$C$64,MATCH($F404,사건마스터!$A$5:$A$64,0)),""))</f>
        <v/>
      </c>
      <c r="I404" s="35">
        <f>IF($F404="","",IFERROR(INDEX(사건마스터!$H$5:$H$64,MATCH($F404,사건마스터!$A$5:$A$64,0)),""))</f>
        <v/>
      </c>
      <c r="J404" s="35">
        <f>IF($F404="","",IFERROR(INDEX(사건마스터!$AH$5:$AH$64,MATCH($F404,사건마스터!$A$5:$A$64,0)),""))</f>
        <v/>
      </c>
      <c r="K404" s="35">
        <f>IF($F404="","",IFERROR(INDEX(사건마스터!$AI$5:$AI$64,MATCH($F404,사건마스터!$A$5:$A$64,0)),""))</f>
        <v/>
      </c>
      <c r="L404" s="35">
        <f>IF($F404="","",IFERROR(INDEX(사건마스터!$AJ$5:$AJ$64,MATCH($F404,사건마스터!$A$5:$A$64,0)),""))</f>
        <v/>
      </c>
      <c r="M404" s="35">
        <f>IF($F404="","",IFERROR(INDEX(사건마스터!$AK$5:$AK$64,MATCH($F404,사건마스터!$A$5:$A$64,0)),""))</f>
        <v/>
      </c>
      <c r="N404" s="35">
        <f>IF($F404="","",IFERROR(INDEX(사건마스터!$AL$5:$AL$64,MATCH($F404,사건마스터!$A$5:$A$64,0)),""))</f>
        <v/>
      </c>
      <c r="O404" s="35">
        <f>IF($F404="","",IFERROR(INDEX(사건마스터!$AM$5:$AM$64,MATCH($F404,사건마스터!$A$5:$A$64,0)),""))</f>
        <v/>
      </c>
      <c r="P404" s="35">
        <f>IF($F404="","",IFERROR(INDEX(사건마스터!$AN$5:$AN$64,MATCH($F404,사건마스터!$A$5:$A$64,0)),""))</f>
        <v/>
      </c>
      <c r="Q404" s="35">
        <f>IF($F404="","",IFERROR(INDEX(사건마스터!$AO$5:$AO$64,MATCH($F404,사건마스터!$A$5:$A$64,0)),""))</f>
        <v/>
      </c>
      <c r="R404" s="35">
        <f>IF($F404="","",IFERROR(INDEX(사건마스터!$AP$5:$AP$64,MATCH($F404,사건마스터!$A$5:$A$64,0)),""))</f>
        <v/>
      </c>
      <c r="S404" s="35">
        <f>IF($F404="","",IFERROR(INDEX(사건마스터!$AQ$5:$AQ$64,MATCH($F404,사건마스터!$A$5:$A$64,0)),""))</f>
        <v/>
      </c>
      <c r="T404" s="35">
        <f>IF($F404="","",IFERROR(INDEX(사건마스터!$AR$5:$AR$64,MATCH($F404,사건마스터!$A$5:$A$64,0)),""))</f>
        <v/>
      </c>
      <c r="U404" s="35">
        <f>IF($F404="","",IFERROR(INDEX(사건마스터!$AS$5:$AS$64,MATCH($F404,사건마스터!$A$5:$A$64,0)),""))</f>
        <v/>
      </c>
      <c r="V404" s="35">
        <f>IF($F404="","",IFERROR(INDEX(사건마스터!$AT$5:$AT$64,MATCH($F404,사건마스터!$A$5:$A$64,0)),""))</f>
        <v/>
      </c>
      <c r="W404" s="35">
        <f>IF($F404="","",IFERROR(INDEX(사건마스터!$AU$5:$AU$64,MATCH($F404,사건마스터!$A$5:$A$64,0)),""))</f>
        <v/>
      </c>
      <c r="X404" s="35">
        <f>IF($F404="","",IFERROR(INDEX(사건마스터!$AV$5:$AV$64,MATCH($F404,사건마스터!$A$5:$A$64,0)),""))</f>
        <v/>
      </c>
      <c r="Y404" s="30">
        <f>IF($I404="","",COUNTIF($I404:$X404,"?*"))</f>
        <v/>
      </c>
      <c r="Z404" s="33">
        <f>IF($I404="","",_xlfn.TEXTJOIN(", ",TRUE,$I404:$X404))</f>
        <v/>
      </c>
      <c r="AA404" s="34">
        <f>IF($I404="","",IFERROR(INDEX(코드설정!$D$5:$D$24,MATCH($I404,코드설정!$C$5:$C$24,0)),""))</f>
        <v/>
      </c>
      <c r="AB404" s="36" t="n"/>
      <c r="AC404" s="37" t="n"/>
      <c r="AD404" s="38" t="n"/>
      <c r="AE404" s="30">
        <f>IF(OR($B404="",$C404=""),"",$C404-$B404+1)</f>
        <v/>
      </c>
      <c r="AF404" s="32" t="n"/>
      <c r="AG404" s="36" t="n"/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3">
        <f>IF($F405="","",IFERROR(INDEX(사건마스터!$B$5:$B$64,MATCH($F405,사건마스터!$A$5:$A$64,0)),""))</f>
        <v/>
      </c>
      <c r="H405" s="34">
        <f>IF($F405="","",IFERROR(INDEX(사건마스터!$C$5:$C$64,MATCH($F405,사건마스터!$A$5:$A$64,0)),""))</f>
        <v/>
      </c>
      <c r="I405" s="35">
        <f>IF($F405="","",IFERROR(INDEX(사건마스터!$H$5:$H$64,MATCH($F405,사건마스터!$A$5:$A$64,0)),""))</f>
        <v/>
      </c>
      <c r="J405" s="35">
        <f>IF($F405="","",IFERROR(INDEX(사건마스터!$AH$5:$AH$64,MATCH($F405,사건마스터!$A$5:$A$64,0)),""))</f>
        <v/>
      </c>
      <c r="K405" s="35">
        <f>IF($F405="","",IFERROR(INDEX(사건마스터!$AI$5:$AI$64,MATCH($F405,사건마스터!$A$5:$A$64,0)),""))</f>
        <v/>
      </c>
      <c r="L405" s="35">
        <f>IF($F405="","",IFERROR(INDEX(사건마스터!$AJ$5:$AJ$64,MATCH($F405,사건마스터!$A$5:$A$64,0)),""))</f>
        <v/>
      </c>
      <c r="M405" s="35">
        <f>IF($F405="","",IFERROR(INDEX(사건마스터!$AK$5:$AK$64,MATCH($F405,사건마스터!$A$5:$A$64,0)),""))</f>
        <v/>
      </c>
      <c r="N405" s="35">
        <f>IF($F405="","",IFERROR(INDEX(사건마스터!$AL$5:$AL$64,MATCH($F405,사건마스터!$A$5:$A$64,0)),""))</f>
        <v/>
      </c>
      <c r="O405" s="35">
        <f>IF($F405="","",IFERROR(INDEX(사건마스터!$AM$5:$AM$64,MATCH($F405,사건마스터!$A$5:$A$64,0)),""))</f>
        <v/>
      </c>
      <c r="P405" s="35">
        <f>IF($F405="","",IFERROR(INDEX(사건마스터!$AN$5:$AN$64,MATCH($F405,사건마스터!$A$5:$A$64,0)),""))</f>
        <v/>
      </c>
      <c r="Q405" s="35">
        <f>IF($F405="","",IFERROR(INDEX(사건마스터!$AO$5:$AO$64,MATCH($F405,사건마스터!$A$5:$A$64,0)),""))</f>
        <v/>
      </c>
      <c r="R405" s="35">
        <f>IF($F405="","",IFERROR(INDEX(사건마스터!$AP$5:$AP$64,MATCH($F405,사건마스터!$A$5:$A$64,0)),""))</f>
        <v/>
      </c>
      <c r="S405" s="35">
        <f>IF($F405="","",IFERROR(INDEX(사건마스터!$AQ$5:$AQ$64,MATCH($F405,사건마스터!$A$5:$A$64,0)),""))</f>
        <v/>
      </c>
      <c r="T405" s="35">
        <f>IF($F405="","",IFERROR(INDEX(사건마스터!$AR$5:$AR$64,MATCH($F405,사건마스터!$A$5:$A$64,0)),""))</f>
        <v/>
      </c>
      <c r="U405" s="35">
        <f>IF($F405="","",IFERROR(INDEX(사건마스터!$AS$5:$AS$64,MATCH($F405,사건마스터!$A$5:$A$64,0)),""))</f>
        <v/>
      </c>
      <c r="V405" s="35">
        <f>IF($F405="","",IFERROR(INDEX(사건마스터!$AT$5:$AT$64,MATCH($F405,사건마스터!$A$5:$A$64,0)),""))</f>
        <v/>
      </c>
      <c r="W405" s="35">
        <f>IF($F405="","",IFERROR(INDEX(사건마스터!$AU$5:$AU$64,MATCH($F405,사건마스터!$A$5:$A$64,0)),""))</f>
        <v/>
      </c>
      <c r="X405" s="35">
        <f>IF($F405="","",IFERROR(INDEX(사건마스터!$AV$5:$AV$64,MATCH($F405,사건마스터!$A$5:$A$64,0)),""))</f>
        <v/>
      </c>
      <c r="Y405" s="30">
        <f>IF($I405="","",COUNTIF($I405:$X405,"?*"))</f>
        <v/>
      </c>
      <c r="Z405" s="33">
        <f>IF($I405="","",_xlfn.TEXTJOIN(", ",TRUE,$I405:$X405))</f>
        <v/>
      </c>
      <c r="AA405" s="34">
        <f>IF($I405="","",IFERROR(INDEX(코드설정!$D$5:$D$24,MATCH($I405,코드설정!$C$5:$C$24,0)),""))</f>
        <v/>
      </c>
      <c r="AB405" s="36" t="n"/>
      <c r="AC405" s="37" t="n"/>
      <c r="AD405" s="38" t="n"/>
      <c r="AE405" s="30">
        <f>IF(OR($B405="",$C405=""),"",$C405-$B405+1)</f>
        <v/>
      </c>
      <c r="AF405" s="32" t="n"/>
      <c r="AG405" s="36" t="n"/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3">
        <f>IF($F406="","",IFERROR(INDEX(사건마스터!$B$5:$B$64,MATCH($F406,사건마스터!$A$5:$A$64,0)),""))</f>
        <v/>
      </c>
      <c r="H406" s="34">
        <f>IF($F406="","",IFERROR(INDEX(사건마스터!$C$5:$C$64,MATCH($F406,사건마스터!$A$5:$A$64,0)),""))</f>
        <v/>
      </c>
      <c r="I406" s="35">
        <f>IF($F406="","",IFERROR(INDEX(사건마스터!$H$5:$H$64,MATCH($F406,사건마스터!$A$5:$A$64,0)),""))</f>
        <v/>
      </c>
      <c r="J406" s="35">
        <f>IF($F406="","",IFERROR(INDEX(사건마스터!$AH$5:$AH$64,MATCH($F406,사건마스터!$A$5:$A$64,0)),""))</f>
        <v/>
      </c>
      <c r="K406" s="35">
        <f>IF($F406="","",IFERROR(INDEX(사건마스터!$AI$5:$AI$64,MATCH($F406,사건마스터!$A$5:$A$64,0)),""))</f>
        <v/>
      </c>
      <c r="L406" s="35">
        <f>IF($F406="","",IFERROR(INDEX(사건마스터!$AJ$5:$AJ$64,MATCH($F406,사건마스터!$A$5:$A$64,0)),""))</f>
        <v/>
      </c>
      <c r="M406" s="35">
        <f>IF($F406="","",IFERROR(INDEX(사건마스터!$AK$5:$AK$64,MATCH($F406,사건마스터!$A$5:$A$64,0)),""))</f>
        <v/>
      </c>
      <c r="N406" s="35">
        <f>IF($F406="","",IFERROR(INDEX(사건마스터!$AL$5:$AL$64,MATCH($F406,사건마스터!$A$5:$A$64,0)),""))</f>
        <v/>
      </c>
      <c r="O406" s="35">
        <f>IF($F406="","",IFERROR(INDEX(사건마스터!$AM$5:$AM$64,MATCH($F406,사건마스터!$A$5:$A$64,0)),""))</f>
        <v/>
      </c>
      <c r="P406" s="35">
        <f>IF($F406="","",IFERROR(INDEX(사건마스터!$AN$5:$AN$64,MATCH($F406,사건마스터!$A$5:$A$64,0)),""))</f>
        <v/>
      </c>
      <c r="Q406" s="35">
        <f>IF($F406="","",IFERROR(INDEX(사건마스터!$AO$5:$AO$64,MATCH($F406,사건마스터!$A$5:$A$64,0)),""))</f>
        <v/>
      </c>
      <c r="R406" s="35">
        <f>IF($F406="","",IFERROR(INDEX(사건마스터!$AP$5:$AP$64,MATCH($F406,사건마스터!$A$5:$A$64,0)),""))</f>
        <v/>
      </c>
      <c r="S406" s="35">
        <f>IF($F406="","",IFERROR(INDEX(사건마스터!$AQ$5:$AQ$64,MATCH($F406,사건마스터!$A$5:$A$64,0)),""))</f>
        <v/>
      </c>
      <c r="T406" s="35">
        <f>IF($F406="","",IFERROR(INDEX(사건마스터!$AR$5:$AR$64,MATCH($F406,사건마스터!$A$5:$A$64,0)),""))</f>
        <v/>
      </c>
      <c r="U406" s="35">
        <f>IF($F406="","",IFERROR(INDEX(사건마스터!$AS$5:$AS$64,MATCH($F406,사건마스터!$A$5:$A$64,0)),""))</f>
        <v/>
      </c>
      <c r="V406" s="35">
        <f>IF($F406="","",IFERROR(INDEX(사건마스터!$AT$5:$AT$64,MATCH($F406,사건마스터!$A$5:$A$64,0)),""))</f>
        <v/>
      </c>
      <c r="W406" s="35">
        <f>IF($F406="","",IFERROR(INDEX(사건마스터!$AU$5:$AU$64,MATCH($F406,사건마스터!$A$5:$A$64,0)),""))</f>
        <v/>
      </c>
      <c r="X406" s="35">
        <f>IF($F406="","",IFERROR(INDEX(사건마스터!$AV$5:$AV$64,MATCH($F406,사건마스터!$A$5:$A$64,0)),""))</f>
        <v/>
      </c>
      <c r="Y406" s="30">
        <f>IF($I406="","",COUNTIF($I406:$X406,"?*"))</f>
        <v/>
      </c>
      <c r="Z406" s="33">
        <f>IF($I406="","",_xlfn.TEXTJOIN(", ",TRUE,$I406:$X406))</f>
        <v/>
      </c>
      <c r="AA406" s="34">
        <f>IF($I406="","",IFERROR(INDEX(코드설정!$D$5:$D$24,MATCH($I406,코드설정!$C$5:$C$24,0)),""))</f>
        <v/>
      </c>
      <c r="AB406" s="36" t="n"/>
      <c r="AC406" s="37" t="n"/>
      <c r="AD406" s="38" t="n"/>
      <c r="AE406" s="30">
        <f>IF(OR($B406="",$C406=""),"",$C406-$B406+1)</f>
        <v/>
      </c>
      <c r="AF406" s="32" t="n"/>
      <c r="AG406" s="36" t="n"/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3">
        <f>IF($F407="","",IFERROR(INDEX(사건마스터!$B$5:$B$64,MATCH($F407,사건마스터!$A$5:$A$64,0)),""))</f>
        <v/>
      </c>
      <c r="H407" s="34">
        <f>IF($F407="","",IFERROR(INDEX(사건마스터!$C$5:$C$64,MATCH($F407,사건마스터!$A$5:$A$64,0)),""))</f>
        <v/>
      </c>
      <c r="I407" s="35">
        <f>IF($F407="","",IFERROR(INDEX(사건마스터!$H$5:$H$64,MATCH($F407,사건마스터!$A$5:$A$64,0)),""))</f>
        <v/>
      </c>
      <c r="J407" s="35">
        <f>IF($F407="","",IFERROR(INDEX(사건마스터!$AH$5:$AH$64,MATCH($F407,사건마스터!$A$5:$A$64,0)),""))</f>
        <v/>
      </c>
      <c r="K407" s="35">
        <f>IF($F407="","",IFERROR(INDEX(사건마스터!$AI$5:$AI$64,MATCH($F407,사건마스터!$A$5:$A$64,0)),""))</f>
        <v/>
      </c>
      <c r="L407" s="35">
        <f>IF($F407="","",IFERROR(INDEX(사건마스터!$AJ$5:$AJ$64,MATCH($F407,사건마스터!$A$5:$A$64,0)),""))</f>
        <v/>
      </c>
      <c r="M407" s="35">
        <f>IF($F407="","",IFERROR(INDEX(사건마스터!$AK$5:$AK$64,MATCH($F407,사건마스터!$A$5:$A$64,0)),""))</f>
        <v/>
      </c>
      <c r="N407" s="35">
        <f>IF($F407="","",IFERROR(INDEX(사건마스터!$AL$5:$AL$64,MATCH($F407,사건마스터!$A$5:$A$64,0)),""))</f>
        <v/>
      </c>
      <c r="O407" s="35">
        <f>IF($F407="","",IFERROR(INDEX(사건마스터!$AM$5:$AM$64,MATCH($F407,사건마스터!$A$5:$A$64,0)),""))</f>
        <v/>
      </c>
      <c r="P407" s="35">
        <f>IF($F407="","",IFERROR(INDEX(사건마스터!$AN$5:$AN$64,MATCH($F407,사건마스터!$A$5:$A$64,0)),""))</f>
        <v/>
      </c>
      <c r="Q407" s="35">
        <f>IF($F407="","",IFERROR(INDEX(사건마스터!$AO$5:$AO$64,MATCH($F407,사건마스터!$A$5:$A$64,0)),""))</f>
        <v/>
      </c>
      <c r="R407" s="35">
        <f>IF($F407="","",IFERROR(INDEX(사건마스터!$AP$5:$AP$64,MATCH($F407,사건마스터!$A$5:$A$64,0)),""))</f>
        <v/>
      </c>
      <c r="S407" s="35">
        <f>IF($F407="","",IFERROR(INDEX(사건마스터!$AQ$5:$AQ$64,MATCH($F407,사건마스터!$A$5:$A$64,0)),""))</f>
        <v/>
      </c>
      <c r="T407" s="35">
        <f>IF($F407="","",IFERROR(INDEX(사건마스터!$AR$5:$AR$64,MATCH($F407,사건마스터!$A$5:$A$64,0)),""))</f>
        <v/>
      </c>
      <c r="U407" s="35">
        <f>IF($F407="","",IFERROR(INDEX(사건마스터!$AS$5:$AS$64,MATCH($F407,사건마스터!$A$5:$A$64,0)),""))</f>
        <v/>
      </c>
      <c r="V407" s="35">
        <f>IF($F407="","",IFERROR(INDEX(사건마스터!$AT$5:$AT$64,MATCH($F407,사건마스터!$A$5:$A$64,0)),""))</f>
        <v/>
      </c>
      <c r="W407" s="35">
        <f>IF($F407="","",IFERROR(INDEX(사건마스터!$AU$5:$AU$64,MATCH($F407,사건마스터!$A$5:$A$64,0)),""))</f>
        <v/>
      </c>
      <c r="X407" s="35">
        <f>IF($F407="","",IFERROR(INDEX(사건마스터!$AV$5:$AV$64,MATCH($F407,사건마스터!$A$5:$A$64,0)),""))</f>
        <v/>
      </c>
      <c r="Y407" s="30">
        <f>IF($I407="","",COUNTIF($I407:$X407,"?*"))</f>
        <v/>
      </c>
      <c r="Z407" s="33">
        <f>IF($I407="","",_xlfn.TEXTJOIN(", ",TRUE,$I407:$X407))</f>
        <v/>
      </c>
      <c r="AA407" s="34">
        <f>IF($I407="","",IFERROR(INDEX(코드설정!$D$5:$D$24,MATCH($I407,코드설정!$C$5:$C$24,0)),""))</f>
        <v/>
      </c>
      <c r="AB407" s="36" t="n"/>
      <c r="AC407" s="37" t="n"/>
      <c r="AD407" s="38" t="n"/>
      <c r="AE407" s="30">
        <f>IF(OR($B407="",$C407=""),"",$C407-$B407+1)</f>
        <v/>
      </c>
      <c r="AF407" s="32" t="n"/>
      <c r="AG407" s="36" t="n"/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3">
        <f>IF($F408="","",IFERROR(INDEX(사건마스터!$B$5:$B$64,MATCH($F408,사건마스터!$A$5:$A$64,0)),""))</f>
        <v/>
      </c>
      <c r="H408" s="34">
        <f>IF($F408="","",IFERROR(INDEX(사건마스터!$C$5:$C$64,MATCH($F408,사건마스터!$A$5:$A$64,0)),""))</f>
        <v/>
      </c>
      <c r="I408" s="35">
        <f>IF($F408="","",IFERROR(INDEX(사건마스터!$H$5:$H$64,MATCH($F408,사건마스터!$A$5:$A$64,0)),""))</f>
        <v/>
      </c>
      <c r="J408" s="35">
        <f>IF($F408="","",IFERROR(INDEX(사건마스터!$AH$5:$AH$64,MATCH($F408,사건마스터!$A$5:$A$64,0)),""))</f>
        <v/>
      </c>
      <c r="K408" s="35">
        <f>IF($F408="","",IFERROR(INDEX(사건마스터!$AI$5:$AI$64,MATCH($F408,사건마스터!$A$5:$A$64,0)),""))</f>
        <v/>
      </c>
      <c r="L408" s="35">
        <f>IF($F408="","",IFERROR(INDEX(사건마스터!$AJ$5:$AJ$64,MATCH($F408,사건마스터!$A$5:$A$64,0)),""))</f>
        <v/>
      </c>
      <c r="M408" s="35">
        <f>IF($F408="","",IFERROR(INDEX(사건마스터!$AK$5:$AK$64,MATCH($F408,사건마스터!$A$5:$A$64,0)),""))</f>
        <v/>
      </c>
      <c r="N408" s="35">
        <f>IF($F408="","",IFERROR(INDEX(사건마스터!$AL$5:$AL$64,MATCH($F408,사건마스터!$A$5:$A$64,0)),""))</f>
        <v/>
      </c>
      <c r="O408" s="35">
        <f>IF($F408="","",IFERROR(INDEX(사건마스터!$AM$5:$AM$64,MATCH($F408,사건마스터!$A$5:$A$64,0)),""))</f>
        <v/>
      </c>
      <c r="P408" s="35">
        <f>IF($F408="","",IFERROR(INDEX(사건마스터!$AN$5:$AN$64,MATCH($F408,사건마스터!$A$5:$A$64,0)),""))</f>
        <v/>
      </c>
      <c r="Q408" s="35">
        <f>IF($F408="","",IFERROR(INDEX(사건마스터!$AO$5:$AO$64,MATCH($F408,사건마스터!$A$5:$A$64,0)),""))</f>
        <v/>
      </c>
      <c r="R408" s="35">
        <f>IF($F408="","",IFERROR(INDEX(사건마스터!$AP$5:$AP$64,MATCH($F408,사건마스터!$A$5:$A$64,0)),""))</f>
        <v/>
      </c>
      <c r="S408" s="35">
        <f>IF($F408="","",IFERROR(INDEX(사건마스터!$AQ$5:$AQ$64,MATCH($F408,사건마스터!$A$5:$A$64,0)),""))</f>
        <v/>
      </c>
      <c r="T408" s="35">
        <f>IF($F408="","",IFERROR(INDEX(사건마스터!$AR$5:$AR$64,MATCH($F408,사건마스터!$A$5:$A$64,0)),""))</f>
        <v/>
      </c>
      <c r="U408" s="35">
        <f>IF($F408="","",IFERROR(INDEX(사건마스터!$AS$5:$AS$64,MATCH($F408,사건마스터!$A$5:$A$64,0)),""))</f>
        <v/>
      </c>
      <c r="V408" s="35">
        <f>IF($F408="","",IFERROR(INDEX(사건마스터!$AT$5:$AT$64,MATCH($F408,사건마스터!$A$5:$A$64,0)),""))</f>
        <v/>
      </c>
      <c r="W408" s="35">
        <f>IF($F408="","",IFERROR(INDEX(사건마스터!$AU$5:$AU$64,MATCH($F408,사건마스터!$A$5:$A$64,0)),""))</f>
        <v/>
      </c>
      <c r="X408" s="35">
        <f>IF($F408="","",IFERROR(INDEX(사건마스터!$AV$5:$AV$64,MATCH($F408,사건마스터!$A$5:$A$64,0)),""))</f>
        <v/>
      </c>
      <c r="Y408" s="30">
        <f>IF($I408="","",COUNTIF($I408:$X408,"?*"))</f>
        <v/>
      </c>
      <c r="Z408" s="33">
        <f>IF($I408="","",_xlfn.TEXTJOIN(", ",TRUE,$I408:$X408))</f>
        <v/>
      </c>
      <c r="AA408" s="34">
        <f>IF($I408="","",IFERROR(INDEX(코드설정!$D$5:$D$24,MATCH($I408,코드설정!$C$5:$C$24,0)),""))</f>
        <v/>
      </c>
      <c r="AB408" s="36" t="n"/>
      <c r="AC408" s="37" t="n"/>
      <c r="AD408" s="38" t="n"/>
      <c r="AE408" s="30">
        <f>IF(OR($B408="",$C408=""),"",$C408-$B408+1)</f>
        <v/>
      </c>
      <c r="AF408" s="32" t="n"/>
      <c r="AG408" s="36" t="n"/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3">
        <f>IF($F409="","",IFERROR(INDEX(사건마스터!$B$5:$B$64,MATCH($F409,사건마스터!$A$5:$A$64,0)),""))</f>
        <v/>
      </c>
      <c r="H409" s="34">
        <f>IF($F409="","",IFERROR(INDEX(사건마스터!$C$5:$C$64,MATCH($F409,사건마스터!$A$5:$A$64,0)),""))</f>
        <v/>
      </c>
      <c r="I409" s="35">
        <f>IF($F409="","",IFERROR(INDEX(사건마스터!$H$5:$H$64,MATCH($F409,사건마스터!$A$5:$A$64,0)),""))</f>
        <v/>
      </c>
      <c r="J409" s="35">
        <f>IF($F409="","",IFERROR(INDEX(사건마스터!$AH$5:$AH$64,MATCH($F409,사건마스터!$A$5:$A$64,0)),""))</f>
        <v/>
      </c>
      <c r="K409" s="35">
        <f>IF($F409="","",IFERROR(INDEX(사건마스터!$AI$5:$AI$64,MATCH($F409,사건마스터!$A$5:$A$64,0)),""))</f>
        <v/>
      </c>
      <c r="L409" s="35">
        <f>IF($F409="","",IFERROR(INDEX(사건마스터!$AJ$5:$AJ$64,MATCH($F409,사건마스터!$A$5:$A$64,0)),""))</f>
        <v/>
      </c>
      <c r="M409" s="35">
        <f>IF($F409="","",IFERROR(INDEX(사건마스터!$AK$5:$AK$64,MATCH($F409,사건마스터!$A$5:$A$64,0)),""))</f>
        <v/>
      </c>
      <c r="N409" s="35">
        <f>IF($F409="","",IFERROR(INDEX(사건마스터!$AL$5:$AL$64,MATCH($F409,사건마스터!$A$5:$A$64,0)),""))</f>
        <v/>
      </c>
      <c r="O409" s="35">
        <f>IF($F409="","",IFERROR(INDEX(사건마스터!$AM$5:$AM$64,MATCH($F409,사건마스터!$A$5:$A$64,0)),""))</f>
        <v/>
      </c>
      <c r="P409" s="35">
        <f>IF($F409="","",IFERROR(INDEX(사건마스터!$AN$5:$AN$64,MATCH($F409,사건마스터!$A$5:$A$64,0)),""))</f>
        <v/>
      </c>
      <c r="Q409" s="35">
        <f>IF($F409="","",IFERROR(INDEX(사건마스터!$AO$5:$AO$64,MATCH($F409,사건마스터!$A$5:$A$64,0)),""))</f>
        <v/>
      </c>
      <c r="R409" s="35">
        <f>IF($F409="","",IFERROR(INDEX(사건마스터!$AP$5:$AP$64,MATCH($F409,사건마스터!$A$5:$A$64,0)),""))</f>
        <v/>
      </c>
      <c r="S409" s="35">
        <f>IF($F409="","",IFERROR(INDEX(사건마스터!$AQ$5:$AQ$64,MATCH($F409,사건마스터!$A$5:$A$64,0)),""))</f>
        <v/>
      </c>
      <c r="T409" s="35">
        <f>IF($F409="","",IFERROR(INDEX(사건마스터!$AR$5:$AR$64,MATCH($F409,사건마스터!$A$5:$A$64,0)),""))</f>
        <v/>
      </c>
      <c r="U409" s="35">
        <f>IF($F409="","",IFERROR(INDEX(사건마스터!$AS$5:$AS$64,MATCH($F409,사건마스터!$A$5:$A$64,0)),""))</f>
        <v/>
      </c>
      <c r="V409" s="35">
        <f>IF($F409="","",IFERROR(INDEX(사건마스터!$AT$5:$AT$64,MATCH($F409,사건마스터!$A$5:$A$64,0)),""))</f>
        <v/>
      </c>
      <c r="W409" s="35">
        <f>IF($F409="","",IFERROR(INDEX(사건마스터!$AU$5:$AU$64,MATCH($F409,사건마스터!$A$5:$A$64,0)),""))</f>
        <v/>
      </c>
      <c r="X409" s="35">
        <f>IF($F409="","",IFERROR(INDEX(사건마스터!$AV$5:$AV$64,MATCH($F409,사건마스터!$A$5:$A$64,0)),""))</f>
        <v/>
      </c>
      <c r="Y409" s="30">
        <f>IF($I409="","",COUNTIF($I409:$X409,"?*"))</f>
        <v/>
      </c>
      <c r="Z409" s="33">
        <f>IF($I409="","",_xlfn.TEXTJOIN(", ",TRUE,$I409:$X409))</f>
        <v/>
      </c>
      <c r="AA409" s="34">
        <f>IF($I409="","",IFERROR(INDEX(코드설정!$D$5:$D$24,MATCH($I409,코드설정!$C$5:$C$24,0)),""))</f>
        <v/>
      </c>
      <c r="AB409" s="36" t="n"/>
      <c r="AC409" s="37" t="n"/>
      <c r="AD409" s="38" t="n"/>
      <c r="AE409" s="30">
        <f>IF(OR($B409="",$C409=""),"",$C409-$B409+1)</f>
        <v/>
      </c>
      <c r="AF409" s="32" t="n"/>
      <c r="AG409" s="36" t="n"/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3">
        <f>IF($F410="","",IFERROR(INDEX(사건마스터!$B$5:$B$64,MATCH($F410,사건마스터!$A$5:$A$64,0)),""))</f>
        <v/>
      </c>
      <c r="H410" s="34">
        <f>IF($F410="","",IFERROR(INDEX(사건마스터!$C$5:$C$64,MATCH($F410,사건마스터!$A$5:$A$64,0)),""))</f>
        <v/>
      </c>
      <c r="I410" s="35">
        <f>IF($F410="","",IFERROR(INDEX(사건마스터!$H$5:$H$64,MATCH($F410,사건마스터!$A$5:$A$64,0)),""))</f>
        <v/>
      </c>
      <c r="J410" s="35">
        <f>IF($F410="","",IFERROR(INDEX(사건마스터!$AH$5:$AH$64,MATCH($F410,사건마스터!$A$5:$A$64,0)),""))</f>
        <v/>
      </c>
      <c r="K410" s="35">
        <f>IF($F410="","",IFERROR(INDEX(사건마스터!$AI$5:$AI$64,MATCH($F410,사건마스터!$A$5:$A$64,0)),""))</f>
        <v/>
      </c>
      <c r="L410" s="35">
        <f>IF($F410="","",IFERROR(INDEX(사건마스터!$AJ$5:$AJ$64,MATCH($F410,사건마스터!$A$5:$A$64,0)),""))</f>
        <v/>
      </c>
      <c r="M410" s="35">
        <f>IF($F410="","",IFERROR(INDEX(사건마스터!$AK$5:$AK$64,MATCH($F410,사건마스터!$A$5:$A$64,0)),""))</f>
        <v/>
      </c>
      <c r="N410" s="35">
        <f>IF($F410="","",IFERROR(INDEX(사건마스터!$AL$5:$AL$64,MATCH($F410,사건마스터!$A$5:$A$64,0)),""))</f>
        <v/>
      </c>
      <c r="O410" s="35">
        <f>IF($F410="","",IFERROR(INDEX(사건마스터!$AM$5:$AM$64,MATCH($F410,사건마스터!$A$5:$A$64,0)),""))</f>
        <v/>
      </c>
      <c r="P410" s="35">
        <f>IF($F410="","",IFERROR(INDEX(사건마스터!$AN$5:$AN$64,MATCH($F410,사건마스터!$A$5:$A$64,0)),""))</f>
        <v/>
      </c>
      <c r="Q410" s="35">
        <f>IF($F410="","",IFERROR(INDEX(사건마스터!$AO$5:$AO$64,MATCH($F410,사건마스터!$A$5:$A$64,0)),""))</f>
        <v/>
      </c>
      <c r="R410" s="35">
        <f>IF($F410="","",IFERROR(INDEX(사건마스터!$AP$5:$AP$64,MATCH($F410,사건마스터!$A$5:$A$64,0)),""))</f>
        <v/>
      </c>
      <c r="S410" s="35">
        <f>IF($F410="","",IFERROR(INDEX(사건마스터!$AQ$5:$AQ$64,MATCH($F410,사건마스터!$A$5:$A$64,0)),""))</f>
        <v/>
      </c>
      <c r="T410" s="35">
        <f>IF($F410="","",IFERROR(INDEX(사건마스터!$AR$5:$AR$64,MATCH($F410,사건마스터!$A$5:$A$64,0)),""))</f>
        <v/>
      </c>
      <c r="U410" s="35">
        <f>IF($F410="","",IFERROR(INDEX(사건마스터!$AS$5:$AS$64,MATCH($F410,사건마스터!$A$5:$A$64,0)),""))</f>
        <v/>
      </c>
      <c r="V410" s="35">
        <f>IF($F410="","",IFERROR(INDEX(사건마스터!$AT$5:$AT$64,MATCH($F410,사건마스터!$A$5:$A$64,0)),""))</f>
        <v/>
      </c>
      <c r="W410" s="35">
        <f>IF($F410="","",IFERROR(INDEX(사건마스터!$AU$5:$AU$64,MATCH($F410,사건마스터!$A$5:$A$64,0)),""))</f>
        <v/>
      </c>
      <c r="X410" s="35">
        <f>IF($F410="","",IFERROR(INDEX(사건마스터!$AV$5:$AV$64,MATCH($F410,사건마스터!$A$5:$A$64,0)),""))</f>
        <v/>
      </c>
      <c r="Y410" s="30">
        <f>IF($I410="","",COUNTIF($I410:$X410,"?*"))</f>
        <v/>
      </c>
      <c r="Z410" s="33">
        <f>IF($I410="","",_xlfn.TEXTJOIN(", ",TRUE,$I410:$X410))</f>
        <v/>
      </c>
      <c r="AA410" s="34">
        <f>IF($I410="","",IFERROR(INDEX(코드설정!$D$5:$D$24,MATCH($I410,코드설정!$C$5:$C$24,0)),""))</f>
        <v/>
      </c>
      <c r="AB410" s="36" t="n"/>
      <c r="AC410" s="37" t="n"/>
      <c r="AD410" s="38" t="n"/>
      <c r="AE410" s="30">
        <f>IF(OR($B410="",$C410=""),"",$C410-$B410+1)</f>
        <v/>
      </c>
      <c r="AF410" s="32" t="n"/>
      <c r="AG410" s="36" t="n"/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3">
        <f>IF($F411="","",IFERROR(INDEX(사건마스터!$B$5:$B$64,MATCH($F411,사건마스터!$A$5:$A$64,0)),""))</f>
        <v/>
      </c>
      <c r="H411" s="34">
        <f>IF($F411="","",IFERROR(INDEX(사건마스터!$C$5:$C$64,MATCH($F411,사건마스터!$A$5:$A$64,0)),""))</f>
        <v/>
      </c>
      <c r="I411" s="35">
        <f>IF($F411="","",IFERROR(INDEX(사건마스터!$H$5:$H$64,MATCH($F411,사건마스터!$A$5:$A$64,0)),""))</f>
        <v/>
      </c>
      <c r="J411" s="35">
        <f>IF($F411="","",IFERROR(INDEX(사건마스터!$AH$5:$AH$64,MATCH($F411,사건마스터!$A$5:$A$64,0)),""))</f>
        <v/>
      </c>
      <c r="K411" s="35">
        <f>IF($F411="","",IFERROR(INDEX(사건마스터!$AI$5:$AI$64,MATCH($F411,사건마스터!$A$5:$A$64,0)),""))</f>
        <v/>
      </c>
      <c r="L411" s="35">
        <f>IF($F411="","",IFERROR(INDEX(사건마스터!$AJ$5:$AJ$64,MATCH($F411,사건마스터!$A$5:$A$64,0)),""))</f>
        <v/>
      </c>
      <c r="M411" s="35">
        <f>IF($F411="","",IFERROR(INDEX(사건마스터!$AK$5:$AK$64,MATCH($F411,사건마스터!$A$5:$A$64,0)),""))</f>
        <v/>
      </c>
      <c r="N411" s="35">
        <f>IF($F411="","",IFERROR(INDEX(사건마스터!$AL$5:$AL$64,MATCH($F411,사건마스터!$A$5:$A$64,0)),""))</f>
        <v/>
      </c>
      <c r="O411" s="35">
        <f>IF($F411="","",IFERROR(INDEX(사건마스터!$AM$5:$AM$64,MATCH($F411,사건마스터!$A$5:$A$64,0)),""))</f>
        <v/>
      </c>
      <c r="P411" s="35">
        <f>IF($F411="","",IFERROR(INDEX(사건마스터!$AN$5:$AN$64,MATCH($F411,사건마스터!$A$5:$A$64,0)),""))</f>
        <v/>
      </c>
      <c r="Q411" s="35">
        <f>IF($F411="","",IFERROR(INDEX(사건마스터!$AO$5:$AO$64,MATCH($F411,사건마스터!$A$5:$A$64,0)),""))</f>
        <v/>
      </c>
      <c r="R411" s="35">
        <f>IF($F411="","",IFERROR(INDEX(사건마스터!$AP$5:$AP$64,MATCH($F411,사건마스터!$A$5:$A$64,0)),""))</f>
        <v/>
      </c>
      <c r="S411" s="35">
        <f>IF($F411="","",IFERROR(INDEX(사건마스터!$AQ$5:$AQ$64,MATCH($F411,사건마스터!$A$5:$A$64,0)),""))</f>
        <v/>
      </c>
      <c r="T411" s="35">
        <f>IF($F411="","",IFERROR(INDEX(사건마스터!$AR$5:$AR$64,MATCH($F411,사건마스터!$A$5:$A$64,0)),""))</f>
        <v/>
      </c>
      <c r="U411" s="35">
        <f>IF($F411="","",IFERROR(INDEX(사건마스터!$AS$5:$AS$64,MATCH($F411,사건마스터!$A$5:$A$64,0)),""))</f>
        <v/>
      </c>
      <c r="V411" s="35">
        <f>IF($F411="","",IFERROR(INDEX(사건마스터!$AT$5:$AT$64,MATCH($F411,사건마스터!$A$5:$A$64,0)),""))</f>
        <v/>
      </c>
      <c r="W411" s="35">
        <f>IF($F411="","",IFERROR(INDEX(사건마스터!$AU$5:$AU$64,MATCH($F411,사건마스터!$A$5:$A$64,0)),""))</f>
        <v/>
      </c>
      <c r="X411" s="35">
        <f>IF($F411="","",IFERROR(INDEX(사건마스터!$AV$5:$AV$64,MATCH($F411,사건마스터!$A$5:$A$64,0)),""))</f>
        <v/>
      </c>
      <c r="Y411" s="30">
        <f>IF($I411="","",COUNTIF($I411:$X411,"?*"))</f>
        <v/>
      </c>
      <c r="Z411" s="33">
        <f>IF($I411="","",_xlfn.TEXTJOIN(", ",TRUE,$I411:$X411))</f>
        <v/>
      </c>
      <c r="AA411" s="34">
        <f>IF($I411="","",IFERROR(INDEX(코드설정!$D$5:$D$24,MATCH($I411,코드설정!$C$5:$C$24,0)),""))</f>
        <v/>
      </c>
      <c r="AB411" s="36" t="n"/>
      <c r="AC411" s="37" t="n"/>
      <c r="AD411" s="38" t="n"/>
      <c r="AE411" s="30">
        <f>IF(OR($B411="",$C411=""),"",$C411-$B411+1)</f>
        <v/>
      </c>
      <c r="AF411" s="32" t="n"/>
      <c r="AG411" s="36" t="n"/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3">
        <f>IF($F412="","",IFERROR(INDEX(사건마스터!$B$5:$B$64,MATCH($F412,사건마스터!$A$5:$A$64,0)),""))</f>
        <v/>
      </c>
      <c r="H412" s="34">
        <f>IF($F412="","",IFERROR(INDEX(사건마스터!$C$5:$C$64,MATCH($F412,사건마스터!$A$5:$A$64,0)),""))</f>
        <v/>
      </c>
      <c r="I412" s="35">
        <f>IF($F412="","",IFERROR(INDEX(사건마스터!$H$5:$H$64,MATCH($F412,사건마스터!$A$5:$A$64,0)),""))</f>
        <v/>
      </c>
      <c r="J412" s="35">
        <f>IF($F412="","",IFERROR(INDEX(사건마스터!$AH$5:$AH$64,MATCH($F412,사건마스터!$A$5:$A$64,0)),""))</f>
        <v/>
      </c>
      <c r="K412" s="35">
        <f>IF($F412="","",IFERROR(INDEX(사건마스터!$AI$5:$AI$64,MATCH($F412,사건마스터!$A$5:$A$64,0)),""))</f>
        <v/>
      </c>
      <c r="L412" s="35">
        <f>IF($F412="","",IFERROR(INDEX(사건마스터!$AJ$5:$AJ$64,MATCH($F412,사건마스터!$A$5:$A$64,0)),""))</f>
        <v/>
      </c>
      <c r="M412" s="35">
        <f>IF($F412="","",IFERROR(INDEX(사건마스터!$AK$5:$AK$64,MATCH($F412,사건마스터!$A$5:$A$64,0)),""))</f>
        <v/>
      </c>
      <c r="N412" s="35">
        <f>IF($F412="","",IFERROR(INDEX(사건마스터!$AL$5:$AL$64,MATCH($F412,사건마스터!$A$5:$A$64,0)),""))</f>
        <v/>
      </c>
      <c r="O412" s="35">
        <f>IF($F412="","",IFERROR(INDEX(사건마스터!$AM$5:$AM$64,MATCH($F412,사건마스터!$A$5:$A$64,0)),""))</f>
        <v/>
      </c>
      <c r="P412" s="35">
        <f>IF($F412="","",IFERROR(INDEX(사건마스터!$AN$5:$AN$64,MATCH($F412,사건마스터!$A$5:$A$64,0)),""))</f>
        <v/>
      </c>
      <c r="Q412" s="35">
        <f>IF($F412="","",IFERROR(INDEX(사건마스터!$AO$5:$AO$64,MATCH($F412,사건마스터!$A$5:$A$64,0)),""))</f>
        <v/>
      </c>
      <c r="R412" s="35">
        <f>IF($F412="","",IFERROR(INDEX(사건마스터!$AP$5:$AP$64,MATCH($F412,사건마스터!$A$5:$A$64,0)),""))</f>
        <v/>
      </c>
      <c r="S412" s="35">
        <f>IF($F412="","",IFERROR(INDEX(사건마스터!$AQ$5:$AQ$64,MATCH($F412,사건마스터!$A$5:$A$64,0)),""))</f>
        <v/>
      </c>
      <c r="T412" s="35">
        <f>IF($F412="","",IFERROR(INDEX(사건마스터!$AR$5:$AR$64,MATCH($F412,사건마스터!$A$5:$A$64,0)),""))</f>
        <v/>
      </c>
      <c r="U412" s="35">
        <f>IF($F412="","",IFERROR(INDEX(사건마스터!$AS$5:$AS$64,MATCH($F412,사건마스터!$A$5:$A$64,0)),""))</f>
        <v/>
      </c>
      <c r="V412" s="35">
        <f>IF($F412="","",IFERROR(INDEX(사건마스터!$AT$5:$AT$64,MATCH($F412,사건마스터!$A$5:$A$64,0)),""))</f>
        <v/>
      </c>
      <c r="W412" s="35">
        <f>IF($F412="","",IFERROR(INDEX(사건마스터!$AU$5:$AU$64,MATCH($F412,사건마스터!$A$5:$A$64,0)),""))</f>
        <v/>
      </c>
      <c r="X412" s="35">
        <f>IF($F412="","",IFERROR(INDEX(사건마스터!$AV$5:$AV$64,MATCH($F412,사건마스터!$A$5:$A$64,0)),""))</f>
        <v/>
      </c>
      <c r="Y412" s="30">
        <f>IF($I412="","",COUNTIF($I412:$X412,"?*"))</f>
        <v/>
      </c>
      <c r="Z412" s="33">
        <f>IF($I412="","",_xlfn.TEXTJOIN(", ",TRUE,$I412:$X412))</f>
        <v/>
      </c>
      <c r="AA412" s="34">
        <f>IF($I412="","",IFERROR(INDEX(코드설정!$D$5:$D$24,MATCH($I412,코드설정!$C$5:$C$24,0)),""))</f>
        <v/>
      </c>
      <c r="AB412" s="36" t="n"/>
      <c r="AC412" s="37" t="n"/>
      <c r="AD412" s="38" t="n"/>
      <c r="AE412" s="30">
        <f>IF(OR($B412="",$C412=""),"",$C412-$B412+1)</f>
        <v/>
      </c>
      <c r="AF412" s="32" t="n"/>
      <c r="AG412" s="36" t="n"/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3">
        <f>IF($F413="","",IFERROR(INDEX(사건마스터!$B$5:$B$64,MATCH($F413,사건마스터!$A$5:$A$64,0)),""))</f>
        <v/>
      </c>
      <c r="H413" s="34">
        <f>IF($F413="","",IFERROR(INDEX(사건마스터!$C$5:$C$64,MATCH($F413,사건마스터!$A$5:$A$64,0)),""))</f>
        <v/>
      </c>
      <c r="I413" s="35">
        <f>IF($F413="","",IFERROR(INDEX(사건마스터!$H$5:$H$64,MATCH($F413,사건마스터!$A$5:$A$64,0)),""))</f>
        <v/>
      </c>
      <c r="J413" s="35">
        <f>IF($F413="","",IFERROR(INDEX(사건마스터!$AH$5:$AH$64,MATCH($F413,사건마스터!$A$5:$A$64,0)),""))</f>
        <v/>
      </c>
      <c r="K413" s="35">
        <f>IF($F413="","",IFERROR(INDEX(사건마스터!$AI$5:$AI$64,MATCH($F413,사건마스터!$A$5:$A$64,0)),""))</f>
        <v/>
      </c>
      <c r="L413" s="35">
        <f>IF($F413="","",IFERROR(INDEX(사건마스터!$AJ$5:$AJ$64,MATCH($F413,사건마스터!$A$5:$A$64,0)),""))</f>
        <v/>
      </c>
      <c r="M413" s="35">
        <f>IF($F413="","",IFERROR(INDEX(사건마스터!$AK$5:$AK$64,MATCH($F413,사건마스터!$A$5:$A$64,0)),""))</f>
        <v/>
      </c>
      <c r="N413" s="35">
        <f>IF($F413="","",IFERROR(INDEX(사건마스터!$AL$5:$AL$64,MATCH($F413,사건마스터!$A$5:$A$64,0)),""))</f>
        <v/>
      </c>
      <c r="O413" s="35">
        <f>IF($F413="","",IFERROR(INDEX(사건마스터!$AM$5:$AM$64,MATCH($F413,사건마스터!$A$5:$A$64,0)),""))</f>
        <v/>
      </c>
      <c r="P413" s="35">
        <f>IF($F413="","",IFERROR(INDEX(사건마스터!$AN$5:$AN$64,MATCH($F413,사건마스터!$A$5:$A$64,0)),""))</f>
        <v/>
      </c>
      <c r="Q413" s="35">
        <f>IF($F413="","",IFERROR(INDEX(사건마스터!$AO$5:$AO$64,MATCH($F413,사건마스터!$A$5:$A$64,0)),""))</f>
        <v/>
      </c>
      <c r="R413" s="35">
        <f>IF($F413="","",IFERROR(INDEX(사건마스터!$AP$5:$AP$64,MATCH($F413,사건마스터!$A$5:$A$64,0)),""))</f>
        <v/>
      </c>
      <c r="S413" s="35">
        <f>IF($F413="","",IFERROR(INDEX(사건마스터!$AQ$5:$AQ$64,MATCH($F413,사건마스터!$A$5:$A$64,0)),""))</f>
        <v/>
      </c>
      <c r="T413" s="35">
        <f>IF($F413="","",IFERROR(INDEX(사건마스터!$AR$5:$AR$64,MATCH($F413,사건마스터!$A$5:$A$64,0)),""))</f>
        <v/>
      </c>
      <c r="U413" s="35">
        <f>IF($F413="","",IFERROR(INDEX(사건마스터!$AS$5:$AS$64,MATCH($F413,사건마스터!$A$5:$A$64,0)),""))</f>
        <v/>
      </c>
      <c r="V413" s="35">
        <f>IF($F413="","",IFERROR(INDEX(사건마스터!$AT$5:$AT$64,MATCH($F413,사건마스터!$A$5:$A$64,0)),""))</f>
        <v/>
      </c>
      <c r="W413" s="35">
        <f>IF($F413="","",IFERROR(INDEX(사건마스터!$AU$5:$AU$64,MATCH($F413,사건마스터!$A$5:$A$64,0)),""))</f>
        <v/>
      </c>
      <c r="X413" s="35">
        <f>IF($F413="","",IFERROR(INDEX(사건마스터!$AV$5:$AV$64,MATCH($F413,사건마스터!$A$5:$A$64,0)),""))</f>
        <v/>
      </c>
      <c r="Y413" s="30">
        <f>IF($I413="","",COUNTIF($I413:$X413,"?*"))</f>
        <v/>
      </c>
      <c r="Z413" s="33">
        <f>IF($I413="","",_xlfn.TEXTJOIN(", ",TRUE,$I413:$X413))</f>
        <v/>
      </c>
      <c r="AA413" s="34">
        <f>IF($I413="","",IFERROR(INDEX(코드설정!$D$5:$D$24,MATCH($I413,코드설정!$C$5:$C$24,0)),""))</f>
        <v/>
      </c>
      <c r="AB413" s="36" t="n"/>
      <c r="AC413" s="37" t="n"/>
      <c r="AD413" s="38" t="n"/>
      <c r="AE413" s="30">
        <f>IF(OR($B413="",$C413=""),"",$C413-$B413+1)</f>
        <v/>
      </c>
      <c r="AF413" s="32" t="n"/>
      <c r="AG413" s="36" t="n"/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3">
        <f>IF($F414="","",IFERROR(INDEX(사건마스터!$B$5:$B$64,MATCH($F414,사건마스터!$A$5:$A$64,0)),""))</f>
        <v/>
      </c>
      <c r="H414" s="34">
        <f>IF($F414="","",IFERROR(INDEX(사건마스터!$C$5:$C$64,MATCH($F414,사건마스터!$A$5:$A$64,0)),""))</f>
        <v/>
      </c>
      <c r="I414" s="35">
        <f>IF($F414="","",IFERROR(INDEX(사건마스터!$H$5:$H$64,MATCH($F414,사건마스터!$A$5:$A$64,0)),""))</f>
        <v/>
      </c>
      <c r="J414" s="35">
        <f>IF($F414="","",IFERROR(INDEX(사건마스터!$AH$5:$AH$64,MATCH($F414,사건마스터!$A$5:$A$64,0)),""))</f>
        <v/>
      </c>
      <c r="K414" s="35">
        <f>IF($F414="","",IFERROR(INDEX(사건마스터!$AI$5:$AI$64,MATCH($F414,사건마스터!$A$5:$A$64,0)),""))</f>
        <v/>
      </c>
      <c r="L414" s="35">
        <f>IF($F414="","",IFERROR(INDEX(사건마스터!$AJ$5:$AJ$64,MATCH($F414,사건마스터!$A$5:$A$64,0)),""))</f>
        <v/>
      </c>
      <c r="M414" s="35">
        <f>IF($F414="","",IFERROR(INDEX(사건마스터!$AK$5:$AK$64,MATCH($F414,사건마스터!$A$5:$A$64,0)),""))</f>
        <v/>
      </c>
      <c r="N414" s="35">
        <f>IF($F414="","",IFERROR(INDEX(사건마스터!$AL$5:$AL$64,MATCH($F414,사건마스터!$A$5:$A$64,0)),""))</f>
        <v/>
      </c>
      <c r="O414" s="35">
        <f>IF($F414="","",IFERROR(INDEX(사건마스터!$AM$5:$AM$64,MATCH($F414,사건마스터!$A$5:$A$64,0)),""))</f>
        <v/>
      </c>
      <c r="P414" s="35">
        <f>IF($F414="","",IFERROR(INDEX(사건마스터!$AN$5:$AN$64,MATCH($F414,사건마스터!$A$5:$A$64,0)),""))</f>
        <v/>
      </c>
      <c r="Q414" s="35">
        <f>IF($F414="","",IFERROR(INDEX(사건마스터!$AO$5:$AO$64,MATCH($F414,사건마스터!$A$5:$A$64,0)),""))</f>
        <v/>
      </c>
      <c r="R414" s="35">
        <f>IF($F414="","",IFERROR(INDEX(사건마스터!$AP$5:$AP$64,MATCH($F414,사건마스터!$A$5:$A$64,0)),""))</f>
        <v/>
      </c>
      <c r="S414" s="35">
        <f>IF($F414="","",IFERROR(INDEX(사건마스터!$AQ$5:$AQ$64,MATCH($F414,사건마스터!$A$5:$A$64,0)),""))</f>
        <v/>
      </c>
      <c r="T414" s="35">
        <f>IF($F414="","",IFERROR(INDEX(사건마스터!$AR$5:$AR$64,MATCH($F414,사건마스터!$A$5:$A$64,0)),""))</f>
        <v/>
      </c>
      <c r="U414" s="35">
        <f>IF($F414="","",IFERROR(INDEX(사건마스터!$AS$5:$AS$64,MATCH($F414,사건마스터!$A$5:$A$64,0)),""))</f>
        <v/>
      </c>
      <c r="V414" s="35">
        <f>IF($F414="","",IFERROR(INDEX(사건마스터!$AT$5:$AT$64,MATCH($F414,사건마스터!$A$5:$A$64,0)),""))</f>
        <v/>
      </c>
      <c r="W414" s="35">
        <f>IF($F414="","",IFERROR(INDEX(사건마스터!$AU$5:$AU$64,MATCH($F414,사건마스터!$A$5:$A$64,0)),""))</f>
        <v/>
      </c>
      <c r="X414" s="35">
        <f>IF($F414="","",IFERROR(INDEX(사건마스터!$AV$5:$AV$64,MATCH($F414,사건마스터!$A$5:$A$64,0)),""))</f>
        <v/>
      </c>
      <c r="Y414" s="30">
        <f>IF($I414="","",COUNTIF($I414:$X414,"?*"))</f>
        <v/>
      </c>
      <c r="Z414" s="33">
        <f>IF($I414="","",_xlfn.TEXTJOIN(", ",TRUE,$I414:$X414))</f>
        <v/>
      </c>
      <c r="AA414" s="34">
        <f>IF($I414="","",IFERROR(INDEX(코드설정!$D$5:$D$24,MATCH($I414,코드설정!$C$5:$C$24,0)),""))</f>
        <v/>
      </c>
      <c r="AB414" s="36" t="n"/>
      <c r="AC414" s="37" t="n"/>
      <c r="AD414" s="38" t="n"/>
      <c r="AE414" s="30">
        <f>IF(OR($B414="",$C414=""),"",$C414-$B414+1)</f>
        <v/>
      </c>
      <c r="AF414" s="32" t="n"/>
      <c r="AG414" s="36" t="n"/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3">
        <f>IF($F415="","",IFERROR(INDEX(사건마스터!$B$5:$B$64,MATCH($F415,사건마스터!$A$5:$A$64,0)),""))</f>
        <v/>
      </c>
      <c r="H415" s="34">
        <f>IF($F415="","",IFERROR(INDEX(사건마스터!$C$5:$C$64,MATCH($F415,사건마스터!$A$5:$A$64,0)),""))</f>
        <v/>
      </c>
      <c r="I415" s="35">
        <f>IF($F415="","",IFERROR(INDEX(사건마스터!$H$5:$H$64,MATCH($F415,사건마스터!$A$5:$A$64,0)),""))</f>
        <v/>
      </c>
      <c r="J415" s="35">
        <f>IF($F415="","",IFERROR(INDEX(사건마스터!$AH$5:$AH$64,MATCH($F415,사건마스터!$A$5:$A$64,0)),""))</f>
        <v/>
      </c>
      <c r="K415" s="35">
        <f>IF($F415="","",IFERROR(INDEX(사건마스터!$AI$5:$AI$64,MATCH($F415,사건마스터!$A$5:$A$64,0)),""))</f>
        <v/>
      </c>
      <c r="L415" s="35">
        <f>IF($F415="","",IFERROR(INDEX(사건마스터!$AJ$5:$AJ$64,MATCH($F415,사건마스터!$A$5:$A$64,0)),""))</f>
        <v/>
      </c>
      <c r="M415" s="35">
        <f>IF($F415="","",IFERROR(INDEX(사건마스터!$AK$5:$AK$64,MATCH($F415,사건마스터!$A$5:$A$64,0)),""))</f>
        <v/>
      </c>
      <c r="N415" s="35">
        <f>IF($F415="","",IFERROR(INDEX(사건마스터!$AL$5:$AL$64,MATCH($F415,사건마스터!$A$5:$A$64,0)),""))</f>
        <v/>
      </c>
      <c r="O415" s="35">
        <f>IF($F415="","",IFERROR(INDEX(사건마스터!$AM$5:$AM$64,MATCH($F415,사건마스터!$A$5:$A$64,0)),""))</f>
        <v/>
      </c>
      <c r="P415" s="35">
        <f>IF($F415="","",IFERROR(INDEX(사건마스터!$AN$5:$AN$64,MATCH($F415,사건마스터!$A$5:$A$64,0)),""))</f>
        <v/>
      </c>
      <c r="Q415" s="35">
        <f>IF($F415="","",IFERROR(INDEX(사건마스터!$AO$5:$AO$64,MATCH($F415,사건마스터!$A$5:$A$64,0)),""))</f>
        <v/>
      </c>
      <c r="R415" s="35">
        <f>IF($F415="","",IFERROR(INDEX(사건마스터!$AP$5:$AP$64,MATCH($F415,사건마스터!$A$5:$A$64,0)),""))</f>
        <v/>
      </c>
      <c r="S415" s="35">
        <f>IF($F415="","",IFERROR(INDEX(사건마스터!$AQ$5:$AQ$64,MATCH($F415,사건마스터!$A$5:$A$64,0)),""))</f>
        <v/>
      </c>
      <c r="T415" s="35">
        <f>IF($F415="","",IFERROR(INDEX(사건마스터!$AR$5:$AR$64,MATCH($F415,사건마스터!$A$5:$A$64,0)),""))</f>
        <v/>
      </c>
      <c r="U415" s="35">
        <f>IF($F415="","",IFERROR(INDEX(사건마스터!$AS$5:$AS$64,MATCH($F415,사건마스터!$A$5:$A$64,0)),""))</f>
        <v/>
      </c>
      <c r="V415" s="35">
        <f>IF($F415="","",IFERROR(INDEX(사건마스터!$AT$5:$AT$64,MATCH($F415,사건마스터!$A$5:$A$64,0)),""))</f>
        <v/>
      </c>
      <c r="W415" s="35">
        <f>IF($F415="","",IFERROR(INDEX(사건마스터!$AU$5:$AU$64,MATCH($F415,사건마스터!$A$5:$A$64,0)),""))</f>
        <v/>
      </c>
      <c r="X415" s="35">
        <f>IF($F415="","",IFERROR(INDEX(사건마스터!$AV$5:$AV$64,MATCH($F415,사건마스터!$A$5:$A$64,0)),""))</f>
        <v/>
      </c>
      <c r="Y415" s="30">
        <f>IF($I415="","",COUNTIF($I415:$X415,"?*"))</f>
        <v/>
      </c>
      <c r="Z415" s="33">
        <f>IF($I415="","",_xlfn.TEXTJOIN(", ",TRUE,$I415:$X415))</f>
        <v/>
      </c>
      <c r="AA415" s="34">
        <f>IF($I415="","",IFERROR(INDEX(코드설정!$D$5:$D$24,MATCH($I415,코드설정!$C$5:$C$24,0)),""))</f>
        <v/>
      </c>
      <c r="AB415" s="36" t="n"/>
      <c r="AC415" s="37" t="n"/>
      <c r="AD415" s="38" t="n"/>
      <c r="AE415" s="30">
        <f>IF(OR($B415="",$C415=""),"",$C415-$B415+1)</f>
        <v/>
      </c>
      <c r="AF415" s="32" t="n"/>
      <c r="AG415" s="36" t="n"/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3">
        <f>IF($F416="","",IFERROR(INDEX(사건마스터!$B$5:$B$64,MATCH($F416,사건마스터!$A$5:$A$64,0)),""))</f>
        <v/>
      </c>
      <c r="H416" s="34">
        <f>IF($F416="","",IFERROR(INDEX(사건마스터!$C$5:$C$64,MATCH($F416,사건마스터!$A$5:$A$64,0)),""))</f>
        <v/>
      </c>
      <c r="I416" s="35">
        <f>IF($F416="","",IFERROR(INDEX(사건마스터!$H$5:$H$64,MATCH($F416,사건마스터!$A$5:$A$64,0)),""))</f>
        <v/>
      </c>
      <c r="J416" s="35">
        <f>IF($F416="","",IFERROR(INDEX(사건마스터!$AH$5:$AH$64,MATCH($F416,사건마스터!$A$5:$A$64,0)),""))</f>
        <v/>
      </c>
      <c r="K416" s="35">
        <f>IF($F416="","",IFERROR(INDEX(사건마스터!$AI$5:$AI$64,MATCH($F416,사건마스터!$A$5:$A$64,0)),""))</f>
        <v/>
      </c>
      <c r="L416" s="35">
        <f>IF($F416="","",IFERROR(INDEX(사건마스터!$AJ$5:$AJ$64,MATCH($F416,사건마스터!$A$5:$A$64,0)),""))</f>
        <v/>
      </c>
      <c r="M416" s="35">
        <f>IF($F416="","",IFERROR(INDEX(사건마스터!$AK$5:$AK$64,MATCH($F416,사건마스터!$A$5:$A$64,0)),""))</f>
        <v/>
      </c>
      <c r="N416" s="35">
        <f>IF($F416="","",IFERROR(INDEX(사건마스터!$AL$5:$AL$64,MATCH($F416,사건마스터!$A$5:$A$64,0)),""))</f>
        <v/>
      </c>
      <c r="O416" s="35">
        <f>IF($F416="","",IFERROR(INDEX(사건마스터!$AM$5:$AM$64,MATCH($F416,사건마스터!$A$5:$A$64,0)),""))</f>
        <v/>
      </c>
      <c r="P416" s="35">
        <f>IF($F416="","",IFERROR(INDEX(사건마스터!$AN$5:$AN$64,MATCH($F416,사건마스터!$A$5:$A$64,0)),""))</f>
        <v/>
      </c>
      <c r="Q416" s="35">
        <f>IF($F416="","",IFERROR(INDEX(사건마스터!$AO$5:$AO$64,MATCH($F416,사건마스터!$A$5:$A$64,0)),""))</f>
        <v/>
      </c>
      <c r="R416" s="35">
        <f>IF($F416="","",IFERROR(INDEX(사건마스터!$AP$5:$AP$64,MATCH($F416,사건마스터!$A$5:$A$64,0)),""))</f>
        <v/>
      </c>
      <c r="S416" s="35">
        <f>IF($F416="","",IFERROR(INDEX(사건마스터!$AQ$5:$AQ$64,MATCH($F416,사건마스터!$A$5:$A$64,0)),""))</f>
        <v/>
      </c>
      <c r="T416" s="35">
        <f>IF($F416="","",IFERROR(INDEX(사건마스터!$AR$5:$AR$64,MATCH($F416,사건마스터!$A$5:$A$64,0)),""))</f>
        <v/>
      </c>
      <c r="U416" s="35">
        <f>IF($F416="","",IFERROR(INDEX(사건마스터!$AS$5:$AS$64,MATCH($F416,사건마스터!$A$5:$A$64,0)),""))</f>
        <v/>
      </c>
      <c r="V416" s="35">
        <f>IF($F416="","",IFERROR(INDEX(사건마스터!$AT$5:$AT$64,MATCH($F416,사건마스터!$A$5:$A$64,0)),""))</f>
        <v/>
      </c>
      <c r="W416" s="35">
        <f>IF($F416="","",IFERROR(INDEX(사건마스터!$AU$5:$AU$64,MATCH($F416,사건마스터!$A$5:$A$64,0)),""))</f>
        <v/>
      </c>
      <c r="X416" s="35">
        <f>IF($F416="","",IFERROR(INDEX(사건마스터!$AV$5:$AV$64,MATCH($F416,사건마스터!$A$5:$A$64,0)),""))</f>
        <v/>
      </c>
      <c r="Y416" s="30">
        <f>IF($I416="","",COUNTIF($I416:$X416,"?*"))</f>
        <v/>
      </c>
      <c r="Z416" s="33">
        <f>IF($I416="","",_xlfn.TEXTJOIN(", ",TRUE,$I416:$X416))</f>
        <v/>
      </c>
      <c r="AA416" s="34">
        <f>IF($I416="","",IFERROR(INDEX(코드설정!$D$5:$D$24,MATCH($I416,코드설정!$C$5:$C$24,0)),""))</f>
        <v/>
      </c>
      <c r="AB416" s="36" t="n"/>
      <c r="AC416" s="37" t="n"/>
      <c r="AD416" s="38" t="n"/>
      <c r="AE416" s="30">
        <f>IF(OR($B416="",$C416=""),"",$C416-$B416+1)</f>
        <v/>
      </c>
      <c r="AF416" s="32" t="n"/>
      <c r="AG416" s="36" t="n"/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3">
        <f>IF($F417="","",IFERROR(INDEX(사건마스터!$B$5:$B$64,MATCH($F417,사건마스터!$A$5:$A$64,0)),""))</f>
        <v/>
      </c>
      <c r="H417" s="34">
        <f>IF($F417="","",IFERROR(INDEX(사건마스터!$C$5:$C$64,MATCH($F417,사건마스터!$A$5:$A$64,0)),""))</f>
        <v/>
      </c>
      <c r="I417" s="35">
        <f>IF($F417="","",IFERROR(INDEX(사건마스터!$H$5:$H$64,MATCH($F417,사건마스터!$A$5:$A$64,0)),""))</f>
        <v/>
      </c>
      <c r="J417" s="35">
        <f>IF($F417="","",IFERROR(INDEX(사건마스터!$AH$5:$AH$64,MATCH($F417,사건마스터!$A$5:$A$64,0)),""))</f>
        <v/>
      </c>
      <c r="K417" s="35">
        <f>IF($F417="","",IFERROR(INDEX(사건마스터!$AI$5:$AI$64,MATCH($F417,사건마스터!$A$5:$A$64,0)),""))</f>
        <v/>
      </c>
      <c r="L417" s="35">
        <f>IF($F417="","",IFERROR(INDEX(사건마스터!$AJ$5:$AJ$64,MATCH($F417,사건마스터!$A$5:$A$64,0)),""))</f>
        <v/>
      </c>
      <c r="M417" s="35">
        <f>IF($F417="","",IFERROR(INDEX(사건마스터!$AK$5:$AK$64,MATCH($F417,사건마스터!$A$5:$A$64,0)),""))</f>
        <v/>
      </c>
      <c r="N417" s="35">
        <f>IF($F417="","",IFERROR(INDEX(사건마스터!$AL$5:$AL$64,MATCH($F417,사건마스터!$A$5:$A$64,0)),""))</f>
        <v/>
      </c>
      <c r="O417" s="35">
        <f>IF($F417="","",IFERROR(INDEX(사건마스터!$AM$5:$AM$64,MATCH($F417,사건마스터!$A$5:$A$64,0)),""))</f>
        <v/>
      </c>
      <c r="P417" s="35">
        <f>IF($F417="","",IFERROR(INDEX(사건마스터!$AN$5:$AN$64,MATCH($F417,사건마스터!$A$5:$A$64,0)),""))</f>
        <v/>
      </c>
      <c r="Q417" s="35">
        <f>IF($F417="","",IFERROR(INDEX(사건마스터!$AO$5:$AO$64,MATCH($F417,사건마스터!$A$5:$A$64,0)),""))</f>
        <v/>
      </c>
      <c r="R417" s="35">
        <f>IF($F417="","",IFERROR(INDEX(사건마스터!$AP$5:$AP$64,MATCH($F417,사건마스터!$A$5:$A$64,0)),""))</f>
        <v/>
      </c>
      <c r="S417" s="35">
        <f>IF($F417="","",IFERROR(INDEX(사건마스터!$AQ$5:$AQ$64,MATCH($F417,사건마스터!$A$5:$A$64,0)),""))</f>
        <v/>
      </c>
      <c r="T417" s="35">
        <f>IF($F417="","",IFERROR(INDEX(사건마스터!$AR$5:$AR$64,MATCH($F417,사건마스터!$A$5:$A$64,0)),""))</f>
        <v/>
      </c>
      <c r="U417" s="35">
        <f>IF($F417="","",IFERROR(INDEX(사건마스터!$AS$5:$AS$64,MATCH($F417,사건마스터!$A$5:$A$64,0)),""))</f>
        <v/>
      </c>
      <c r="V417" s="35">
        <f>IF($F417="","",IFERROR(INDEX(사건마스터!$AT$5:$AT$64,MATCH($F417,사건마스터!$A$5:$A$64,0)),""))</f>
        <v/>
      </c>
      <c r="W417" s="35">
        <f>IF($F417="","",IFERROR(INDEX(사건마스터!$AU$5:$AU$64,MATCH($F417,사건마스터!$A$5:$A$64,0)),""))</f>
        <v/>
      </c>
      <c r="X417" s="35">
        <f>IF($F417="","",IFERROR(INDEX(사건마스터!$AV$5:$AV$64,MATCH($F417,사건마스터!$A$5:$A$64,0)),""))</f>
        <v/>
      </c>
      <c r="Y417" s="30">
        <f>IF($I417="","",COUNTIF($I417:$X417,"?*"))</f>
        <v/>
      </c>
      <c r="Z417" s="33">
        <f>IF($I417="","",_xlfn.TEXTJOIN(", ",TRUE,$I417:$X417))</f>
        <v/>
      </c>
      <c r="AA417" s="34">
        <f>IF($I417="","",IFERROR(INDEX(코드설정!$D$5:$D$24,MATCH($I417,코드설정!$C$5:$C$24,0)),""))</f>
        <v/>
      </c>
      <c r="AB417" s="36" t="n"/>
      <c r="AC417" s="37" t="n"/>
      <c r="AD417" s="38" t="n"/>
      <c r="AE417" s="30">
        <f>IF(OR($B417="",$C417=""),"",$C417-$B417+1)</f>
        <v/>
      </c>
      <c r="AF417" s="32" t="n"/>
      <c r="AG417" s="36" t="n"/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3">
        <f>IF($F418="","",IFERROR(INDEX(사건마스터!$B$5:$B$64,MATCH($F418,사건마스터!$A$5:$A$64,0)),""))</f>
        <v/>
      </c>
      <c r="H418" s="34">
        <f>IF($F418="","",IFERROR(INDEX(사건마스터!$C$5:$C$64,MATCH($F418,사건마스터!$A$5:$A$64,0)),""))</f>
        <v/>
      </c>
      <c r="I418" s="35">
        <f>IF($F418="","",IFERROR(INDEX(사건마스터!$H$5:$H$64,MATCH($F418,사건마스터!$A$5:$A$64,0)),""))</f>
        <v/>
      </c>
      <c r="J418" s="35">
        <f>IF($F418="","",IFERROR(INDEX(사건마스터!$AH$5:$AH$64,MATCH($F418,사건마스터!$A$5:$A$64,0)),""))</f>
        <v/>
      </c>
      <c r="K418" s="35">
        <f>IF($F418="","",IFERROR(INDEX(사건마스터!$AI$5:$AI$64,MATCH($F418,사건마스터!$A$5:$A$64,0)),""))</f>
        <v/>
      </c>
      <c r="L418" s="35">
        <f>IF($F418="","",IFERROR(INDEX(사건마스터!$AJ$5:$AJ$64,MATCH($F418,사건마스터!$A$5:$A$64,0)),""))</f>
        <v/>
      </c>
      <c r="M418" s="35">
        <f>IF($F418="","",IFERROR(INDEX(사건마스터!$AK$5:$AK$64,MATCH($F418,사건마스터!$A$5:$A$64,0)),""))</f>
        <v/>
      </c>
      <c r="N418" s="35">
        <f>IF($F418="","",IFERROR(INDEX(사건마스터!$AL$5:$AL$64,MATCH($F418,사건마스터!$A$5:$A$64,0)),""))</f>
        <v/>
      </c>
      <c r="O418" s="35">
        <f>IF($F418="","",IFERROR(INDEX(사건마스터!$AM$5:$AM$64,MATCH($F418,사건마스터!$A$5:$A$64,0)),""))</f>
        <v/>
      </c>
      <c r="P418" s="35">
        <f>IF($F418="","",IFERROR(INDEX(사건마스터!$AN$5:$AN$64,MATCH($F418,사건마스터!$A$5:$A$64,0)),""))</f>
        <v/>
      </c>
      <c r="Q418" s="35">
        <f>IF($F418="","",IFERROR(INDEX(사건마스터!$AO$5:$AO$64,MATCH($F418,사건마스터!$A$5:$A$64,0)),""))</f>
        <v/>
      </c>
      <c r="R418" s="35">
        <f>IF($F418="","",IFERROR(INDEX(사건마스터!$AP$5:$AP$64,MATCH($F418,사건마스터!$A$5:$A$64,0)),""))</f>
        <v/>
      </c>
      <c r="S418" s="35">
        <f>IF($F418="","",IFERROR(INDEX(사건마스터!$AQ$5:$AQ$64,MATCH($F418,사건마스터!$A$5:$A$64,0)),""))</f>
        <v/>
      </c>
      <c r="T418" s="35">
        <f>IF($F418="","",IFERROR(INDEX(사건마스터!$AR$5:$AR$64,MATCH($F418,사건마스터!$A$5:$A$64,0)),""))</f>
        <v/>
      </c>
      <c r="U418" s="35">
        <f>IF($F418="","",IFERROR(INDEX(사건마스터!$AS$5:$AS$64,MATCH($F418,사건마스터!$A$5:$A$64,0)),""))</f>
        <v/>
      </c>
      <c r="V418" s="35">
        <f>IF($F418="","",IFERROR(INDEX(사건마스터!$AT$5:$AT$64,MATCH($F418,사건마스터!$A$5:$A$64,0)),""))</f>
        <v/>
      </c>
      <c r="W418" s="35">
        <f>IF($F418="","",IFERROR(INDEX(사건마스터!$AU$5:$AU$64,MATCH($F418,사건마스터!$A$5:$A$64,0)),""))</f>
        <v/>
      </c>
      <c r="X418" s="35">
        <f>IF($F418="","",IFERROR(INDEX(사건마스터!$AV$5:$AV$64,MATCH($F418,사건마스터!$A$5:$A$64,0)),""))</f>
        <v/>
      </c>
      <c r="Y418" s="30">
        <f>IF($I418="","",COUNTIF($I418:$X418,"?*"))</f>
        <v/>
      </c>
      <c r="Z418" s="33">
        <f>IF($I418="","",_xlfn.TEXTJOIN(", ",TRUE,$I418:$X418))</f>
        <v/>
      </c>
      <c r="AA418" s="34">
        <f>IF($I418="","",IFERROR(INDEX(코드설정!$D$5:$D$24,MATCH($I418,코드설정!$C$5:$C$24,0)),""))</f>
        <v/>
      </c>
      <c r="AB418" s="36" t="n"/>
      <c r="AC418" s="37" t="n"/>
      <c r="AD418" s="38" t="n"/>
      <c r="AE418" s="30">
        <f>IF(OR($B418="",$C418=""),"",$C418-$B418+1)</f>
        <v/>
      </c>
      <c r="AF418" s="32" t="n"/>
      <c r="AG418" s="36" t="n"/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3">
        <f>IF($F419="","",IFERROR(INDEX(사건마스터!$B$5:$B$64,MATCH($F419,사건마스터!$A$5:$A$64,0)),""))</f>
        <v/>
      </c>
      <c r="H419" s="34">
        <f>IF($F419="","",IFERROR(INDEX(사건마스터!$C$5:$C$64,MATCH($F419,사건마스터!$A$5:$A$64,0)),""))</f>
        <v/>
      </c>
      <c r="I419" s="35">
        <f>IF($F419="","",IFERROR(INDEX(사건마스터!$H$5:$H$64,MATCH($F419,사건마스터!$A$5:$A$64,0)),""))</f>
        <v/>
      </c>
      <c r="J419" s="35">
        <f>IF($F419="","",IFERROR(INDEX(사건마스터!$AH$5:$AH$64,MATCH($F419,사건마스터!$A$5:$A$64,0)),""))</f>
        <v/>
      </c>
      <c r="K419" s="35">
        <f>IF($F419="","",IFERROR(INDEX(사건마스터!$AI$5:$AI$64,MATCH($F419,사건마스터!$A$5:$A$64,0)),""))</f>
        <v/>
      </c>
      <c r="L419" s="35">
        <f>IF($F419="","",IFERROR(INDEX(사건마스터!$AJ$5:$AJ$64,MATCH($F419,사건마스터!$A$5:$A$64,0)),""))</f>
        <v/>
      </c>
      <c r="M419" s="35">
        <f>IF($F419="","",IFERROR(INDEX(사건마스터!$AK$5:$AK$64,MATCH($F419,사건마스터!$A$5:$A$64,0)),""))</f>
        <v/>
      </c>
      <c r="N419" s="35">
        <f>IF($F419="","",IFERROR(INDEX(사건마스터!$AL$5:$AL$64,MATCH($F419,사건마스터!$A$5:$A$64,0)),""))</f>
        <v/>
      </c>
      <c r="O419" s="35">
        <f>IF($F419="","",IFERROR(INDEX(사건마스터!$AM$5:$AM$64,MATCH($F419,사건마스터!$A$5:$A$64,0)),""))</f>
        <v/>
      </c>
      <c r="P419" s="35">
        <f>IF($F419="","",IFERROR(INDEX(사건마스터!$AN$5:$AN$64,MATCH($F419,사건마스터!$A$5:$A$64,0)),""))</f>
        <v/>
      </c>
      <c r="Q419" s="35">
        <f>IF($F419="","",IFERROR(INDEX(사건마스터!$AO$5:$AO$64,MATCH($F419,사건마스터!$A$5:$A$64,0)),""))</f>
        <v/>
      </c>
      <c r="R419" s="35">
        <f>IF($F419="","",IFERROR(INDEX(사건마스터!$AP$5:$AP$64,MATCH($F419,사건마스터!$A$5:$A$64,0)),""))</f>
        <v/>
      </c>
      <c r="S419" s="35">
        <f>IF($F419="","",IFERROR(INDEX(사건마스터!$AQ$5:$AQ$64,MATCH($F419,사건마스터!$A$5:$A$64,0)),""))</f>
        <v/>
      </c>
      <c r="T419" s="35">
        <f>IF($F419="","",IFERROR(INDEX(사건마스터!$AR$5:$AR$64,MATCH($F419,사건마스터!$A$5:$A$64,0)),""))</f>
        <v/>
      </c>
      <c r="U419" s="35">
        <f>IF($F419="","",IFERROR(INDEX(사건마스터!$AS$5:$AS$64,MATCH($F419,사건마스터!$A$5:$A$64,0)),""))</f>
        <v/>
      </c>
      <c r="V419" s="35">
        <f>IF($F419="","",IFERROR(INDEX(사건마스터!$AT$5:$AT$64,MATCH($F419,사건마스터!$A$5:$A$64,0)),""))</f>
        <v/>
      </c>
      <c r="W419" s="35">
        <f>IF($F419="","",IFERROR(INDEX(사건마스터!$AU$5:$AU$64,MATCH($F419,사건마스터!$A$5:$A$64,0)),""))</f>
        <v/>
      </c>
      <c r="X419" s="35">
        <f>IF($F419="","",IFERROR(INDEX(사건마스터!$AV$5:$AV$64,MATCH($F419,사건마스터!$A$5:$A$64,0)),""))</f>
        <v/>
      </c>
      <c r="Y419" s="30">
        <f>IF($I419="","",COUNTIF($I419:$X419,"?*"))</f>
        <v/>
      </c>
      <c r="Z419" s="33">
        <f>IF($I419="","",_xlfn.TEXTJOIN(", ",TRUE,$I419:$X419))</f>
        <v/>
      </c>
      <c r="AA419" s="34">
        <f>IF($I419="","",IFERROR(INDEX(코드설정!$D$5:$D$24,MATCH($I419,코드설정!$C$5:$C$24,0)),""))</f>
        <v/>
      </c>
      <c r="AB419" s="36" t="n"/>
      <c r="AC419" s="37" t="n"/>
      <c r="AD419" s="38" t="n"/>
      <c r="AE419" s="30">
        <f>IF(OR($B419="",$C419=""),"",$C419-$B419+1)</f>
        <v/>
      </c>
      <c r="AF419" s="32" t="n"/>
      <c r="AG419" s="36" t="n"/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3">
        <f>IF($F420="","",IFERROR(INDEX(사건마스터!$B$5:$B$64,MATCH($F420,사건마스터!$A$5:$A$64,0)),""))</f>
        <v/>
      </c>
      <c r="H420" s="34">
        <f>IF($F420="","",IFERROR(INDEX(사건마스터!$C$5:$C$64,MATCH($F420,사건마스터!$A$5:$A$64,0)),""))</f>
        <v/>
      </c>
      <c r="I420" s="35">
        <f>IF($F420="","",IFERROR(INDEX(사건마스터!$H$5:$H$64,MATCH($F420,사건마스터!$A$5:$A$64,0)),""))</f>
        <v/>
      </c>
      <c r="J420" s="35">
        <f>IF($F420="","",IFERROR(INDEX(사건마스터!$AH$5:$AH$64,MATCH($F420,사건마스터!$A$5:$A$64,0)),""))</f>
        <v/>
      </c>
      <c r="K420" s="35">
        <f>IF($F420="","",IFERROR(INDEX(사건마스터!$AI$5:$AI$64,MATCH($F420,사건마스터!$A$5:$A$64,0)),""))</f>
        <v/>
      </c>
      <c r="L420" s="35">
        <f>IF($F420="","",IFERROR(INDEX(사건마스터!$AJ$5:$AJ$64,MATCH($F420,사건마스터!$A$5:$A$64,0)),""))</f>
        <v/>
      </c>
      <c r="M420" s="35">
        <f>IF($F420="","",IFERROR(INDEX(사건마스터!$AK$5:$AK$64,MATCH($F420,사건마스터!$A$5:$A$64,0)),""))</f>
        <v/>
      </c>
      <c r="N420" s="35">
        <f>IF($F420="","",IFERROR(INDEX(사건마스터!$AL$5:$AL$64,MATCH($F420,사건마스터!$A$5:$A$64,0)),""))</f>
        <v/>
      </c>
      <c r="O420" s="35">
        <f>IF($F420="","",IFERROR(INDEX(사건마스터!$AM$5:$AM$64,MATCH($F420,사건마스터!$A$5:$A$64,0)),""))</f>
        <v/>
      </c>
      <c r="P420" s="35">
        <f>IF($F420="","",IFERROR(INDEX(사건마스터!$AN$5:$AN$64,MATCH($F420,사건마스터!$A$5:$A$64,0)),""))</f>
        <v/>
      </c>
      <c r="Q420" s="35">
        <f>IF($F420="","",IFERROR(INDEX(사건마스터!$AO$5:$AO$64,MATCH($F420,사건마스터!$A$5:$A$64,0)),""))</f>
        <v/>
      </c>
      <c r="R420" s="35">
        <f>IF($F420="","",IFERROR(INDEX(사건마스터!$AP$5:$AP$64,MATCH($F420,사건마스터!$A$5:$A$64,0)),""))</f>
        <v/>
      </c>
      <c r="S420" s="35">
        <f>IF($F420="","",IFERROR(INDEX(사건마스터!$AQ$5:$AQ$64,MATCH($F420,사건마스터!$A$5:$A$64,0)),""))</f>
        <v/>
      </c>
      <c r="T420" s="35">
        <f>IF($F420="","",IFERROR(INDEX(사건마스터!$AR$5:$AR$64,MATCH($F420,사건마스터!$A$5:$A$64,0)),""))</f>
        <v/>
      </c>
      <c r="U420" s="35">
        <f>IF($F420="","",IFERROR(INDEX(사건마스터!$AS$5:$AS$64,MATCH($F420,사건마스터!$A$5:$A$64,0)),""))</f>
        <v/>
      </c>
      <c r="V420" s="35">
        <f>IF($F420="","",IFERROR(INDEX(사건마스터!$AT$5:$AT$64,MATCH($F420,사건마스터!$A$5:$A$64,0)),""))</f>
        <v/>
      </c>
      <c r="W420" s="35">
        <f>IF($F420="","",IFERROR(INDEX(사건마스터!$AU$5:$AU$64,MATCH($F420,사건마스터!$A$5:$A$64,0)),""))</f>
        <v/>
      </c>
      <c r="X420" s="35">
        <f>IF($F420="","",IFERROR(INDEX(사건마스터!$AV$5:$AV$64,MATCH($F420,사건마스터!$A$5:$A$64,0)),""))</f>
        <v/>
      </c>
      <c r="Y420" s="30">
        <f>IF($I420="","",COUNTIF($I420:$X420,"?*"))</f>
        <v/>
      </c>
      <c r="Z420" s="33">
        <f>IF($I420="","",_xlfn.TEXTJOIN(", ",TRUE,$I420:$X420))</f>
        <v/>
      </c>
      <c r="AA420" s="34">
        <f>IF($I420="","",IFERROR(INDEX(코드설정!$D$5:$D$24,MATCH($I420,코드설정!$C$5:$C$24,0)),""))</f>
        <v/>
      </c>
      <c r="AB420" s="36" t="n"/>
      <c r="AC420" s="37" t="n"/>
      <c r="AD420" s="38" t="n"/>
      <c r="AE420" s="30">
        <f>IF(OR($B420="",$C420=""),"",$C420-$B420+1)</f>
        <v/>
      </c>
      <c r="AF420" s="32" t="n"/>
      <c r="AG420" s="36" t="n"/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3">
        <f>IF($F421="","",IFERROR(INDEX(사건마스터!$B$5:$B$64,MATCH($F421,사건마스터!$A$5:$A$64,0)),""))</f>
        <v/>
      </c>
      <c r="H421" s="34">
        <f>IF($F421="","",IFERROR(INDEX(사건마스터!$C$5:$C$64,MATCH($F421,사건마스터!$A$5:$A$64,0)),""))</f>
        <v/>
      </c>
      <c r="I421" s="35">
        <f>IF($F421="","",IFERROR(INDEX(사건마스터!$H$5:$H$64,MATCH($F421,사건마스터!$A$5:$A$64,0)),""))</f>
        <v/>
      </c>
      <c r="J421" s="35">
        <f>IF($F421="","",IFERROR(INDEX(사건마스터!$AH$5:$AH$64,MATCH($F421,사건마스터!$A$5:$A$64,0)),""))</f>
        <v/>
      </c>
      <c r="K421" s="35">
        <f>IF($F421="","",IFERROR(INDEX(사건마스터!$AI$5:$AI$64,MATCH($F421,사건마스터!$A$5:$A$64,0)),""))</f>
        <v/>
      </c>
      <c r="L421" s="35">
        <f>IF($F421="","",IFERROR(INDEX(사건마스터!$AJ$5:$AJ$64,MATCH($F421,사건마스터!$A$5:$A$64,0)),""))</f>
        <v/>
      </c>
      <c r="M421" s="35">
        <f>IF($F421="","",IFERROR(INDEX(사건마스터!$AK$5:$AK$64,MATCH($F421,사건마스터!$A$5:$A$64,0)),""))</f>
        <v/>
      </c>
      <c r="N421" s="35">
        <f>IF($F421="","",IFERROR(INDEX(사건마스터!$AL$5:$AL$64,MATCH($F421,사건마스터!$A$5:$A$64,0)),""))</f>
        <v/>
      </c>
      <c r="O421" s="35">
        <f>IF($F421="","",IFERROR(INDEX(사건마스터!$AM$5:$AM$64,MATCH($F421,사건마스터!$A$5:$A$64,0)),""))</f>
        <v/>
      </c>
      <c r="P421" s="35">
        <f>IF($F421="","",IFERROR(INDEX(사건마스터!$AN$5:$AN$64,MATCH($F421,사건마스터!$A$5:$A$64,0)),""))</f>
        <v/>
      </c>
      <c r="Q421" s="35">
        <f>IF($F421="","",IFERROR(INDEX(사건마스터!$AO$5:$AO$64,MATCH($F421,사건마스터!$A$5:$A$64,0)),""))</f>
        <v/>
      </c>
      <c r="R421" s="35">
        <f>IF($F421="","",IFERROR(INDEX(사건마스터!$AP$5:$AP$64,MATCH($F421,사건마스터!$A$5:$A$64,0)),""))</f>
        <v/>
      </c>
      <c r="S421" s="35">
        <f>IF($F421="","",IFERROR(INDEX(사건마스터!$AQ$5:$AQ$64,MATCH($F421,사건마스터!$A$5:$A$64,0)),""))</f>
        <v/>
      </c>
      <c r="T421" s="35">
        <f>IF($F421="","",IFERROR(INDEX(사건마스터!$AR$5:$AR$64,MATCH($F421,사건마스터!$A$5:$A$64,0)),""))</f>
        <v/>
      </c>
      <c r="U421" s="35">
        <f>IF($F421="","",IFERROR(INDEX(사건마스터!$AS$5:$AS$64,MATCH($F421,사건마스터!$A$5:$A$64,0)),""))</f>
        <v/>
      </c>
      <c r="V421" s="35">
        <f>IF($F421="","",IFERROR(INDEX(사건마스터!$AT$5:$AT$64,MATCH($F421,사건마스터!$A$5:$A$64,0)),""))</f>
        <v/>
      </c>
      <c r="W421" s="35">
        <f>IF($F421="","",IFERROR(INDEX(사건마스터!$AU$5:$AU$64,MATCH($F421,사건마스터!$A$5:$A$64,0)),""))</f>
        <v/>
      </c>
      <c r="X421" s="35">
        <f>IF($F421="","",IFERROR(INDEX(사건마스터!$AV$5:$AV$64,MATCH($F421,사건마스터!$A$5:$A$64,0)),""))</f>
        <v/>
      </c>
      <c r="Y421" s="30">
        <f>IF($I421="","",COUNTIF($I421:$X421,"?*"))</f>
        <v/>
      </c>
      <c r="Z421" s="33">
        <f>IF($I421="","",_xlfn.TEXTJOIN(", ",TRUE,$I421:$X421))</f>
        <v/>
      </c>
      <c r="AA421" s="34">
        <f>IF($I421="","",IFERROR(INDEX(코드설정!$D$5:$D$24,MATCH($I421,코드설정!$C$5:$C$24,0)),""))</f>
        <v/>
      </c>
      <c r="AB421" s="36" t="n"/>
      <c r="AC421" s="37" t="n"/>
      <c r="AD421" s="38" t="n"/>
      <c r="AE421" s="30">
        <f>IF(OR($B421="",$C421=""),"",$C421-$B421+1)</f>
        <v/>
      </c>
      <c r="AF421" s="32" t="n"/>
      <c r="AG421" s="36" t="n"/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3">
        <f>IF($F422="","",IFERROR(INDEX(사건마스터!$B$5:$B$64,MATCH($F422,사건마스터!$A$5:$A$64,0)),""))</f>
        <v/>
      </c>
      <c r="H422" s="34">
        <f>IF($F422="","",IFERROR(INDEX(사건마스터!$C$5:$C$64,MATCH($F422,사건마스터!$A$5:$A$64,0)),""))</f>
        <v/>
      </c>
      <c r="I422" s="35">
        <f>IF($F422="","",IFERROR(INDEX(사건마스터!$H$5:$H$64,MATCH($F422,사건마스터!$A$5:$A$64,0)),""))</f>
        <v/>
      </c>
      <c r="J422" s="35">
        <f>IF($F422="","",IFERROR(INDEX(사건마스터!$AH$5:$AH$64,MATCH($F422,사건마스터!$A$5:$A$64,0)),""))</f>
        <v/>
      </c>
      <c r="K422" s="35">
        <f>IF($F422="","",IFERROR(INDEX(사건마스터!$AI$5:$AI$64,MATCH($F422,사건마스터!$A$5:$A$64,0)),""))</f>
        <v/>
      </c>
      <c r="L422" s="35">
        <f>IF($F422="","",IFERROR(INDEX(사건마스터!$AJ$5:$AJ$64,MATCH($F422,사건마스터!$A$5:$A$64,0)),""))</f>
        <v/>
      </c>
      <c r="M422" s="35">
        <f>IF($F422="","",IFERROR(INDEX(사건마스터!$AK$5:$AK$64,MATCH($F422,사건마스터!$A$5:$A$64,0)),""))</f>
        <v/>
      </c>
      <c r="N422" s="35">
        <f>IF($F422="","",IFERROR(INDEX(사건마스터!$AL$5:$AL$64,MATCH($F422,사건마스터!$A$5:$A$64,0)),""))</f>
        <v/>
      </c>
      <c r="O422" s="35">
        <f>IF($F422="","",IFERROR(INDEX(사건마스터!$AM$5:$AM$64,MATCH($F422,사건마스터!$A$5:$A$64,0)),""))</f>
        <v/>
      </c>
      <c r="P422" s="35">
        <f>IF($F422="","",IFERROR(INDEX(사건마스터!$AN$5:$AN$64,MATCH($F422,사건마스터!$A$5:$A$64,0)),""))</f>
        <v/>
      </c>
      <c r="Q422" s="35">
        <f>IF($F422="","",IFERROR(INDEX(사건마스터!$AO$5:$AO$64,MATCH($F422,사건마스터!$A$5:$A$64,0)),""))</f>
        <v/>
      </c>
      <c r="R422" s="35">
        <f>IF($F422="","",IFERROR(INDEX(사건마스터!$AP$5:$AP$64,MATCH($F422,사건마스터!$A$5:$A$64,0)),""))</f>
        <v/>
      </c>
      <c r="S422" s="35">
        <f>IF($F422="","",IFERROR(INDEX(사건마스터!$AQ$5:$AQ$64,MATCH($F422,사건마스터!$A$5:$A$64,0)),""))</f>
        <v/>
      </c>
      <c r="T422" s="35">
        <f>IF($F422="","",IFERROR(INDEX(사건마스터!$AR$5:$AR$64,MATCH($F422,사건마스터!$A$5:$A$64,0)),""))</f>
        <v/>
      </c>
      <c r="U422" s="35">
        <f>IF($F422="","",IFERROR(INDEX(사건마스터!$AS$5:$AS$64,MATCH($F422,사건마스터!$A$5:$A$64,0)),""))</f>
        <v/>
      </c>
      <c r="V422" s="35">
        <f>IF($F422="","",IFERROR(INDEX(사건마스터!$AT$5:$AT$64,MATCH($F422,사건마스터!$A$5:$A$64,0)),""))</f>
        <v/>
      </c>
      <c r="W422" s="35">
        <f>IF($F422="","",IFERROR(INDEX(사건마스터!$AU$5:$AU$64,MATCH($F422,사건마스터!$A$5:$A$64,0)),""))</f>
        <v/>
      </c>
      <c r="X422" s="35">
        <f>IF($F422="","",IFERROR(INDEX(사건마스터!$AV$5:$AV$64,MATCH($F422,사건마스터!$A$5:$A$64,0)),""))</f>
        <v/>
      </c>
      <c r="Y422" s="30">
        <f>IF($I422="","",COUNTIF($I422:$X422,"?*"))</f>
        <v/>
      </c>
      <c r="Z422" s="33">
        <f>IF($I422="","",_xlfn.TEXTJOIN(", ",TRUE,$I422:$X422))</f>
        <v/>
      </c>
      <c r="AA422" s="34">
        <f>IF($I422="","",IFERROR(INDEX(코드설정!$D$5:$D$24,MATCH($I422,코드설정!$C$5:$C$24,0)),""))</f>
        <v/>
      </c>
      <c r="AB422" s="36" t="n"/>
      <c r="AC422" s="37" t="n"/>
      <c r="AD422" s="38" t="n"/>
      <c r="AE422" s="30">
        <f>IF(OR($B422="",$C422=""),"",$C422-$B422+1)</f>
        <v/>
      </c>
      <c r="AF422" s="32" t="n"/>
      <c r="AG422" s="36" t="n"/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3">
        <f>IF($F423="","",IFERROR(INDEX(사건마스터!$B$5:$B$64,MATCH($F423,사건마스터!$A$5:$A$64,0)),""))</f>
        <v/>
      </c>
      <c r="H423" s="34">
        <f>IF($F423="","",IFERROR(INDEX(사건마스터!$C$5:$C$64,MATCH($F423,사건마스터!$A$5:$A$64,0)),""))</f>
        <v/>
      </c>
      <c r="I423" s="35">
        <f>IF($F423="","",IFERROR(INDEX(사건마스터!$H$5:$H$64,MATCH($F423,사건마스터!$A$5:$A$64,0)),""))</f>
        <v/>
      </c>
      <c r="J423" s="35">
        <f>IF($F423="","",IFERROR(INDEX(사건마스터!$AH$5:$AH$64,MATCH($F423,사건마스터!$A$5:$A$64,0)),""))</f>
        <v/>
      </c>
      <c r="K423" s="35">
        <f>IF($F423="","",IFERROR(INDEX(사건마스터!$AI$5:$AI$64,MATCH($F423,사건마스터!$A$5:$A$64,0)),""))</f>
        <v/>
      </c>
      <c r="L423" s="35">
        <f>IF($F423="","",IFERROR(INDEX(사건마스터!$AJ$5:$AJ$64,MATCH($F423,사건마스터!$A$5:$A$64,0)),""))</f>
        <v/>
      </c>
      <c r="M423" s="35">
        <f>IF($F423="","",IFERROR(INDEX(사건마스터!$AK$5:$AK$64,MATCH($F423,사건마스터!$A$5:$A$64,0)),""))</f>
        <v/>
      </c>
      <c r="N423" s="35">
        <f>IF($F423="","",IFERROR(INDEX(사건마스터!$AL$5:$AL$64,MATCH($F423,사건마스터!$A$5:$A$64,0)),""))</f>
        <v/>
      </c>
      <c r="O423" s="35">
        <f>IF($F423="","",IFERROR(INDEX(사건마스터!$AM$5:$AM$64,MATCH($F423,사건마스터!$A$5:$A$64,0)),""))</f>
        <v/>
      </c>
      <c r="P423" s="35">
        <f>IF($F423="","",IFERROR(INDEX(사건마스터!$AN$5:$AN$64,MATCH($F423,사건마스터!$A$5:$A$64,0)),""))</f>
        <v/>
      </c>
      <c r="Q423" s="35">
        <f>IF($F423="","",IFERROR(INDEX(사건마스터!$AO$5:$AO$64,MATCH($F423,사건마스터!$A$5:$A$64,0)),""))</f>
        <v/>
      </c>
      <c r="R423" s="35">
        <f>IF($F423="","",IFERROR(INDEX(사건마스터!$AP$5:$AP$64,MATCH($F423,사건마스터!$A$5:$A$64,0)),""))</f>
        <v/>
      </c>
      <c r="S423" s="35">
        <f>IF($F423="","",IFERROR(INDEX(사건마스터!$AQ$5:$AQ$64,MATCH($F423,사건마스터!$A$5:$A$64,0)),""))</f>
        <v/>
      </c>
      <c r="T423" s="35">
        <f>IF($F423="","",IFERROR(INDEX(사건마스터!$AR$5:$AR$64,MATCH($F423,사건마스터!$A$5:$A$64,0)),""))</f>
        <v/>
      </c>
      <c r="U423" s="35">
        <f>IF($F423="","",IFERROR(INDEX(사건마스터!$AS$5:$AS$64,MATCH($F423,사건마스터!$A$5:$A$64,0)),""))</f>
        <v/>
      </c>
      <c r="V423" s="35">
        <f>IF($F423="","",IFERROR(INDEX(사건마스터!$AT$5:$AT$64,MATCH($F423,사건마스터!$A$5:$A$64,0)),""))</f>
        <v/>
      </c>
      <c r="W423" s="35">
        <f>IF($F423="","",IFERROR(INDEX(사건마스터!$AU$5:$AU$64,MATCH($F423,사건마스터!$A$5:$A$64,0)),""))</f>
        <v/>
      </c>
      <c r="X423" s="35">
        <f>IF($F423="","",IFERROR(INDEX(사건마스터!$AV$5:$AV$64,MATCH($F423,사건마스터!$A$5:$A$64,0)),""))</f>
        <v/>
      </c>
      <c r="Y423" s="30">
        <f>IF($I423="","",COUNTIF($I423:$X423,"?*"))</f>
        <v/>
      </c>
      <c r="Z423" s="33">
        <f>IF($I423="","",_xlfn.TEXTJOIN(", ",TRUE,$I423:$X423))</f>
        <v/>
      </c>
      <c r="AA423" s="34">
        <f>IF($I423="","",IFERROR(INDEX(코드설정!$D$5:$D$24,MATCH($I423,코드설정!$C$5:$C$24,0)),""))</f>
        <v/>
      </c>
      <c r="AB423" s="36" t="n"/>
      <c r="AC423" s="37" t="n"/>
      <c r="AD423" s="38" t="n"/>
      <c r="AE423" s="30">
        <f>IF(OR($B423="",$C423=""),"",$C423-$B423+1)</f>
        <v/>
      </c>
      <c r="AF423" s="32" t="n"/>
      <c r="AG423" s="36" t="n"/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3">
        <f>IF($F424="","",IFERROR(INDEX(사건마스터!$B$5:$B$64,MATCH($F424,사건마스터!$A$5:$A$64,0)),""))</f>
        <v/>
      </c>
      <c r="H424" s="34">
        <f>IF($F424="","",IFERROR(INDEX(사건마스터!$C$5:$C$64,MATCH($F424,사건마스터!$A$5:$A$64,0)),""))</f>
        <v/>
      </c>
      <c r="I424" s="35">
        <f>IF($F424="","",IFERROR(INDEX(사건마스터!$H$5:$H$64,MATCH($F424,사건마스터!$A$5:$A$64,0)),""))</f>
        <v/>
      </c>
      <c r="J424" s="35">
        <f>IF($F424="","",IFERROR(INDEX(사건마스터!$AH$5:$AH$64,MATCH($F424,사건마스터!$A$5:$A$64,0)),""))</f>
        <v/>
      </c>
      <c r="K424" s="35">
        <f>IF($F424="","",IFERROR(INDEX(사건마스터!$AI$5:$AI$64,MATCH($F424,사건마스터!$A$5:$A$64,0)),""))</f>
        <v/>
      </c>
      <c r="L424" s="35">
        <f>IF($F424="","",IFERROR(INDEX(사건마스터!$AJ$5:$AJ$64,MATCH($F424,사건마스터!$A$5:$A$64,0)),""))</f>
        <v/>
      </c>
      <c r="M424" s="35">
        <f>IF($F424="","",IFERROR(INDEX(사건마스터!$AK$5:$AK$64,MATCH($F424,사건마스터!$A$5:$A$64,0)),""))</f>
        <v/>
      </c>
      <c r="N424" s="35">
        <f>IF($F424="","",IFERROR(INDEX(사건마스터!$AL$5:$AL$64,MATCH($F424,사건마스터!$A$5:$A$64,0)),""))</f>
        <v/>
      </c>
      <c r="O424" s="35">
        <f>IF($F424="","",IFERROR(INDEX(사건마스터!$AM$5:$AM$64,MATCH($F424,사건마스터!$A$5:$A$64,0)),""))</f>
        <v/>
      </c>
      <c r="P424" s="35">
        <f>IF($F424="","",IFERROR(INDEX(사건마스터!$AN$5:$AN$64,MATCH($F424,사건마스터!$A$5:$A$64,0)),""))</f>
        <v/>
      </c>
      <c r="Q424" s="35">
        <f>IF($F424="","",IFERROR(INDEX(사건마스터!$AO$5:$AO$64,MATCH($F424,사건마스터!$A$5:$A$64,0)),""))</f>
        <v/>
      </c>
      <c r="R424" s="35">
        <f>IF($F424="","",IFERROR(INDEX(사건마스터!$AP$5:$AP$64,MATCH($F424,사건마스터!$A$5:$A$64,0)),""))</f>
        <v/>
      </c>
      <c r="S424" s="35">
        <f>IF($F424="","",IFERROR(INDEX(사건마스터!$AQ$5:$AQ$64,MATCH($F424,사건마스터!$A$5:$A$64,0)),""))</f>
        <v/>
      </c>
      <c r="T424" s="35">
        <f>IF($F424="","",IFERROR(INDEX(사건마스터!$AR$5:$AR$64,MATCH($F424,사건마스터!$A$5:$A$64,0)),""))</f>
        <v/>
      </c>
      <c r="U424" s="35">
        <f>IF($F424="","",IFERROR(INDEX(사건마스터!$AS$5:$AS$64,MATCH($F424,사건마스터!$A$5:$A$64,0)),""))</f>
        <v/>
      </c>
      <c r="V424" s="35">
        <f>IF($F424="","",IFERROR(INDEX(사건마스터!$AT$5:$AT$64,MATCH($F424,사건마스터!$A$5:$A$64,0)),""))</f>
        <v/>
      </c>
      <c r="W424" s="35">
        <f>IF($F424="","",IFERROR(INDEX(사건마스터!$AU$5:$AU$64,MATCH($F424,사건마스터!$A$5:$A$64,0)),""))</f>
        <v/>
      </c>
      <c r="X424" s="35">
        <f>IF($F424="","",IFERROR(INDEX(사건마스터!$AV$5:$AV$64,MATCH($F424,사건마스터!$A$5:$A$64,0)),""))</f>
        <v/>
      </c>
      <c r="Y424" s="30">
        <f>IF($I424="","",COUNTIF($I424:$X424,"?*"))</f>
        <v/>
      </c>
      <c r="Z424" s="33">
        <f>IF($I424="","",_xlfn.TEXTJOIN(", ",TRUE,$I424:$X424))</f>
        <v/>
      </c>
      <c r="AA424" s="34">
        <f>IF($I424="","",IFERROR(INDEX(코드설정!$D$5:$D$24,MATCH($I424,코드설정!$C$5:$C$24,0)),""))</f>
        <v/>
      </c>
      <c r="AB424" s="36" t="n"/>
      <c r="AC424" s="37" t="n"/>
      <c r="AD424" s="38" t="n"/>
      <c r="AE424" s="30">
        <f>IF(OR($B424="",$C424=""),"",$C424-$B424+1)</f>
        <v/>
      </c>
      <c r="AF424" s="32" t="n"/>
      <c r="AG424" s="36" t="n"/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3">
        <f>IF($F425="","",IFERROR(INDEX(사건마스터!$B$5:$B$64,MATCH($F425,사건마스터!$A$5:$A$64,0)),""))</f>
        <v/>
      </c>
      <c r="H425" s="34">
        <f>IF($F425="","",IFERROR(INDEX(사건마스터!$C$5:$C$64,MATCH($F425,사건마스터!$A$5:$A$64,0)),""))</f>
        <v/>
      </c>
      <c r="I425" s="35">
        <f>IF($F425="","",IFERROR(INDEX(사건마스터!$H$5:$H$64,MATCH($F425,사건마스터!$A$5:$A$64,0)),""))</f>
        <v/>
      </c>
      <c r="J425" s="35">
        <f>IF($F425="","",IFERROR(INDEX(사건마스터!$AH$5:$AH$64,MATCH($F425,사건마스터!$A$5:$A$64,0)),""))</f>
        <v/>
      </c>
      <c r="K425" s="35">
        <f>IF($F425="","",IFERROR(INDEX(사건마스터!$AI$5:$AI$64,MATCH($F425,사건마스터!$A$5:$A$64,0)),""))</f>
        <v/>
      </c>
      <c r="L425" s="35">
        <f>IF($F425="","",IFERROR(INDEX(사건마스터!$AJ$5:$AJ$64,MATCH($F425,사건마스터!$A$5:$A$64,0)),""))</f>
        <v/>
      </c>
      <c r="M425" s="35">
        <f>IF($F425="","",IFERROR(INDEX(사건마스터!$AK$5:$AK$64,MATCH($F425,사건마스터!$A$5:$A$64,0)),""))</f>
        <v/>
      </c>
      <c r="N425" s="35">
        <f>IF($F425="","",IFERROR(INDEX(사건마스터!$AL$5:$AL$64,MATCH($F425,사건마스터!$A$5:$A$64,0)),""))</f>
        <v/>
      </c>
      <c r="O425" s="35">
        <f>IF($F425="","",IFERROR(INDEX(사건마스터!$AM$5:$AM$64,MATCH($F425,사건마스터!$A$5:$A$64,0)),""))</f>
        <v/>
      </c>
      <c r="P425" s="35">
        <f>IF($F425="","",IFERROR(INDEX(사건마스터!$AN$5:$AN$64,MATCH($F425,사건마스터!$A$5:$A$64,0)),""))</f>
        <v/>
      </c>
      <c r="Q425" s="35">
        <f>IF($F425="","",IFERROR(INDEX(사건마스터!$AO$5:$AO$64,MATCH($F425,사건마스터!$A$5:$A$64,0)),""))</f>
        <v/>
      </c>
      <c r="R425" s="35">
        <f>IF($F425="","",IFERROR(INDEX(사건마스터!$AP$5:$AP$64,MATCH($F425,사건마스터!$A$5:$A$64,0)),""))</f>
        <v/>
      </c>
      <c r="S425" s="35">
        <f>IF($F425="","",IFERROR(INDEX(사건마스터!$AQ$5:$AQ$64,MATCH($F425,사건마스터!$A$5:$A$64,0)),""))</f>
        <v/>
      </c>
      <c r="T425" s="35">
        <f>IF($F425="","",IFERROR(INDEX(사건마스터!$AR$5:$AR$64,MATCH($F425,사건마스터!$A$5:$A$64,0)),""))</f>
        <v/>
      </c>
      <c r="U425" s="35">
        <f>IF($F425="","",IFERROR(INDEX(사건마스터!$AS$5:$AS$64,MATCH($F425,사건마스터!$A$5:$A$64,0)),""))</f>
        <v/>
      </c>
      <c r="V425" s="35">
        <f>IF($F425="","",IFERROR(INDEX(사건마스터!$AT$5:$AT$64,MATCH($F425,사건마스터!$A$5:$A$64,0)),""))</f>
        <v/>
      </c>
      <c r="W425" s="35">
        <f>IF($F425="","",IFERROR(INDEX(사건마스터!$AU$5:$AU$64,MATCH($F425,사건마스터!$A$5:$A$64,0)),""))</f>
        <v/>
      </c>
      <c r="X425" s="35">
        <f>IF($F425="","",IFERROR(INDEX(사건마스터!$AV$5:$AV$64,MATCH($F425,사건마스터!$A$5:$A$64,0)),""))</f>
        <v/>
      </c>
      <c r="Y425" s="30">
        <f>IF($I425="","",COUNTIF($I425:$X425,"?*"))</f>
        <v/>
      </c>
      <c r="Z425" s="33">
        <f>IF($I425="","",_xlfn.TEXTJOIN(", ",TRUE,$I425:$X425))</f>
        <v/>
      </c>
      <c r="AA425" s="34">
        <f>IF($I425="","",IFERROR(INDEX(코드설정!$D$5:$D$24,MATCH($I425,코드설정!$C$5:$C$24,0)),""))</f>
        <v/>
      </c>
      <c r="AB425" s="36" t="n"/>
      <c r="AC425" s="37" t="n"/>
      <c r="AD425" s="38" t="n"/>
      <c r="AE425" s="30">
        <f>IF(OR($B425="",$C425=""),"",$C425-$B425+1)</f>
        <v/>
      </c>
      <c r="AF425" s="32" t="n"/>
      <c r="AG425" s="36" t="n"/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3">
        <f>IF($F426="","",IFERROR(INDEX(사건마스터!$B$5:$B$64,MATCH($F426,사건마스터!$A$5:$A$64,0)),""))</f>
        <v/>
      </c>
      <c r="H426" s="34">
        <f>IF($F426="","",IFERROR(INDEX(사건마스터!$C$5:$C$64,MATCH($F426,사건마스터!$A$5:$A$64,0)),""))</f>
        <v/>
      </c>
      <c r="I426" s="35">
        <f>IF($F426="","",IFERROR(INDEX(사건마스터!$H$5:$H$64,MATCH($F426,사건마스터!$A$5:$A$64,0)),""))</f>
        <v/>
      </c>
      <c r="J426" s="35">
        <f>IF($F426="","",IFERROR(INDEX(사건마스터!$AH$5:$AH$64,MATCH($F426,사건마스터!$A$5:$A$64,0)),""))</f>
        <v/>
      </c>
      <c r="K426" s="35">
        <f>IF($F426="","",IFERROR(INDEX(사건마스터!$AI$5:$AI$64,MATCH($F426,사건마스터!$A$5:$A$64,0)),""))</f>
        <v/>
      </c>
      <c r="L426" s="35">
        <f>IF($F426="","",IFERROR(INDEX(사건마스터!$AJ$5:$AJ$64,MATCH($F426,사건마스터!$A$5:$A$64,0)),""))</f>
        <v/>
      </c>
      <c r="M426" s="35">
        <f>IF($F426="","",IFERROR(INDEX(사건마스터!$AK$5:$AK$64,MATCH($F426,사건마스터!$A$5:$A$64,0)),""))</f>
        <v/>
      </c>
      <c r="N426" s="35">
        <f>IF($F426="","",IFERROR(INDEX(사건마스터!$AL$5:$AL$64,MATCH($F426,사건마스터!$A$5:$A$64,0)),""))</f>
        <v/>
      </c>
      <c r="O426" s="35">
        <f>IF($F426="","",IFERROR(INDEX(사건마스터!$AM$5:$AM$64,MATCH($F426,사건마스터!$A$5:$A$64,0)),""))</f>
        <v/>
      </c>
      <c r="P426" s="35">
        <f>IF($F426="","",IFERROR(INDEX(사건마스터!$AN$5:$AN$64,MATCH($F426,사건마스터!$A$5:$A$64,0)),""))</f>
        <v/>
      </c>
      <c r="Q426" s="35">
        <f>IF($F426="","",IFERROR(INDEX(사건마스터!$AO$5:$AO$64,MATCH($F426,사건마스터!$A$5:$A$64,0)),""))</f>
        <v/>
      </c>
      <c r="R426" s="35">
        <f>IF($F426="","",IFERROR(INDEX(사건마스터!$AP$5:$AP$64,MATCH($F426,사건마스터!$A$5:$A$64,0)),""))</f>
        <v/>
      </c>
      <c r="S426" s="35">
        <f>IF($F426="","",IFERROR(INDEX(사건마스터!$AQ$5:$AQ$64,MATCH($F426,사건마스터!$A$5:$A$64,0)),""))</f>
        <v/>
      </c>
      <c r="T426" s="35">
        <f>IF($F426="","",IFERROR(INDEX(사건마스터!$AR$5:$AR$64,MATCH($F426,사건마스터!$A$5:$A$64,0)),""))</f>
        <v/>
      </c>
      <c r="U426" s="35">
        <f>IF($F426="","",IFERROR(INDEX(사건마스터!$AS$5:$AS$64,MATCH($F426,사건마스터!$A$5:$A$64,0)),""))</f>
        <v/>
      </c>
      <c r="V426" s="35">
        <f>IF($F426="","",IFERROR(INDEX(사건마스터!$AT$5:$AT$64,MATCH($F426,사건마스터!$A$5:$A$64,0)),""))</f>
        <v/>
      </c>
      <c r="W426" s="35">
        <f>IF($F426="","",IFERROR(INDEX(사건마스터!$AU$5:$AU$64,MATCH($F426,사건마스터!$A$5:$A$64,0)),""))</f>
        <v/>
      </c>
      <c r="X426" s="35">
        <f>IF($F426="","",IFERROR(INDEX(사건마스터!$AV$5:$AV$64,MATCH($F426,사건마스터!$A$5:$A$64,0)),""))</f>
        <v/>
      </c>
      <c r="Y426" s="30">
        <f>IF($I426="","",COUNTIF($I426:$X426,"?*"))</f>
        <v/>
      </c>
      <c r="Z426" s="33">
        <f>IF($I426="","",_xlfn.TEXTJOIN(", ",TRUE,$I426:$X426))</f>
        <v/>
      </c>
      <c r="AA426" s="34">
        <f>IF($I426="","",IFERROR(INDEX(코드설정!$D$5:$D$24,MATCH($I426,코드설정!$C$5:$C$24,0)),""))</f>
        <v/>
      </c>
      <c r="AB426" s="36" t="n"/>
      <c r="AC426" s="37" t="n"/>
      <c r="AD426" s="38" t="n"/>
      <c r="AE426" s="30">
        <f>IF(OR($B426="",$C426=""),"",$C426-$B426+1)</f>
        <v/>
      </c>
      <c r="AF426" s="32" t="n"/>
      <c r="AG426" s="36" t="n"/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3">
        <f>IF($F427="","",IFERROR(INDEX(사건마스터!$B$5:$B$64,MATCH($F427,사건마스터!$A$5:$A$64,0)),""))</f>
        <v/>
      </c>
      <c r="H427" s="34">
        <f>IF($F427="","",IFERROR(INDEX(사건마스터!$C$5:$C$64,MATCH($F427,사건마스터!$A$5:$A$64,0)),""))</f>
        <v/>
      </c>
      <c r="I427" s="35">
        <f>IF($F427="","",IFERROR(INDEX(사건마스터!$H$5:$H$64,MATCH($F427,사건마스터!$A$5:$A$64,0)),""))</f>
        <v/>
      </c>
      <c r="J427" s="35">
        <f>IF($F427="","",IFERROR(INDEX(사건마스터!$AH$5:$AH$64,MATCH($F427,사건마스터!$A$5:$A$64,0)),""))</f>
        <v/>
      </c>
      <c r="K427" s="35">
        <f>IF($F427="","",IFERROR(INDEX(사건마스터!$AI$5:$AI$64,MATCH($F427,사건마스터!$A$5:$A$64,0)),""))</f>
        <v/>
      </c>
      <c r="L427" s="35">
        <f>IF($F427="","",IFERROR(INDEX(사건마스터!$AJ$5:$AJ$64,MATCH($F427,사건마스터!$A$5:$A$64,0)),""))</f>
        <v/>
      </c>
      <c r="M427" s="35">
        <f>IF($F427="","",IFERROR(INDEX(사건마스터!$AK$5:$AK$64,MATCH($F427,사건마스터!$A$5:$A$64,0)),""))</f>
        <v/>
      </c>
      <c r="N427" s="35">
        <f>IF($F427="","",IFERROR(INDEX(사건마스터!$AL$5:$AL$64,MATCH($F427,사건마스터!$A$5:$A$64,0)),""))</f>
        <v/>
      </c>
      <c r="O427" s="35">
        <f>IF($F427="","",IFERROR(INDEX(사건마스터!$AM$5:$AM$64,MATCH($F427,사건마스터!$A$5:$A$64,0)),""))</f>
        <v/>
      </c>
      <c r="P427" s="35">
        <f>IF($F427="","",IFERROR(INDEX(사건마스터!$AN$5:$AN$64,MATCH($F427,사건마스터!$A$5:$A$64,0)),""))</f>
        <v/>
      </c>
      <c r="Q427" s="35">
        <f>IF($F427="","",IFERROR(INDEX(사건마스터!$AO$5:$AO$64,MATCH($F427,사건마스터!$A$5:$A$64,0)),""))</f>
        <v/>
      </c>
      <c r="R427" s="35">
        <f>IF($F427="","",IFERROR(INDEX(사건마스터!$AP$5:$AP$64,MATCH($F427,사건마스터!$A$5:$A$64,0)),""))</f>
        <v/>
      </c>
      <c r="S427" s="35">
        <f>IF($F427="","",IFERROR(INDEX(사건마스터!$AQ$5:$AQ$64,MATCH($F427,사건마스터!$A$5:$A$64,0)),""))</f>
        <v/>
      </c>
      <c r="T427" s="35">
        <f>IF($F427="","",IFERROR(INDEX(사건마스터!$AR$5:$AR$64,MATCH($F427,사건마스터!$A$5:$A$64,0)),""))</f>
        <v/>
      </c>
      <c r="U427" s="35">
        <f>IF($F427="","",IFERROR(INDEX(사건마스터!$AS$5:$AS$64,MATCH($F427,사건마스터!$A$5:$A$64,0)),""))</f>
        <v/>
      </c>
      <c r="V427" s="35">
        <f>IF($F427="","",IFERROR(INDEX(사건마스터!$AT$5:$AT$64,MATCH($F427,사건마스터!$A$5:$A$64,0)),""))</f>
        <v/>
      </c>
      <c r="W427" s="35">
        <f>IF($F427="","",IFERROR(INDEX(사건마스터!$AU$5:$AU$64,MATCH($F427,사건마스터!$A$5:$A$64,0)),""))</f>
        <v/>
      </c>
      <c r="X427" s="35">
        <f>IF($F427="","",IFERROR(INDEX(사건마스터!$AV$5:$AV$64,MATCH($F427,사건마스터!$A$5:$A$64,0)),""))</f>
        <v/>
      </c>
      <c r="Y427" s="30">
        <f>IF($I427="","",COUNTIF($I427:$X427,"?*"))</f>
        <v/>
      </c>
      <c r="Z427" s="33">
        <f>IF($I427="","",_xlfn.TEXTJOIN(", ",TRUE,$I427:$X427))</f>
        <v/>
      </c>
      <c r="AA427" s="34">
        <f>IF($I427="","",IFERROR(INDEX(코드설정!$D$5:$D$24,MATCH($I427,코드설정!$C$5:$C$24,0)),""))</f>
        <v/>
      </c>
      <c r="AB427" s="36" t="n"/>
      <c r="AC427" s="37" t="n"/>
      <c r="AD427" s="38" t="n"/>
      <c r="AE427" s="30">
        <f>IF(OR($B427="",$C427=""),"",$C427-$B427+1)</f>
        <v/>
      </c>
      <c r="AF427" s="32" t="n"/>
      <c r="AG427" s="36" t="n"/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3">
        <f>IF($F428="","",IFERROR(INDEX(사건마스터!$B$5:$B$64,MATCH($F428,사건마스터!$A$5:$A$64,0)),""))</f>
        <v/>
      </c>
      <c r="H428" s="34">
        <f>IF($F428="","",IFERROR(INDEX(사건마스터!$C$5:$C$64,MATCH($F428,사건마스터!$A$5:$A$64,0)),""))</f>
        <v/>
      </c>
      <c r="I428" s="35">
        <f>IF($F428="","",IFERROR(INDEX(사건마스터!$H$5:$H$64,MATCH($F428,사건마스터!$A$5:$A$64,0)),""))</f>
        <v/>
      </c>
      <c r="J428" s="35">
        <f>IF($F428="","",IFERROR(INDEX(사건마스터!$AH$5:$AH$64,MATCH($F428,사건마스터!$A$5:$A$64,0)),""))</f>
        <v/>
      </c>
      <c r="K428" s="35">
        <f>IF($F428="","",IFERROR(INDEX(사건마스터!$AI$5:$AI$64,MATCH($F428,사건마스터!$A$5:$A$64,0)),""))</f>
        <v/>
      </c>
      <c r="L428" s="35">
        <f>IF($F428="","",IFERROR(INDEX(사건마스터!$AJ$5:$AJ$64,MATCH($F428,사건마스터!$A$5:$A$64,0)),""))</f>
        <v/>
      </c>
      <c r="M428" s="35">
        <f>IF($F428="","",IFERROR(INDEX(사건마스터!$AK$5:$AK$64,MATCH($F428,사건마스터!$A$5:$A$64,0)),""))</f>
        <v/>
      </c>
      <c r="N428" s="35">
        <f>IF($F428="","",IFERROR(INDEX(사건마스터!$AL$5:$AL$64,MATCH($F428,사건마스터!$A$5:$A$64,0)),""))</f>
        <v/>
      </c>
      <c r="O428" s="35">
        <f>IF($F428="","",IFERROR(INDEX(사건마스터!$AM$5:$AM$64,MATCH($F428,사건마스터!$A$5:$A$64,0)),""))</f>
        <v/>
      </c>
      <c r="P428" s="35">
        <f>IF($F428="","",IFERROR(INDEX(사건마스터!$AN$5:$AN$64,MATCH($F428,사건마스터!$A$5:$A$64,0)),""))</f>
        <v/>
      </c>
      <c r="Q428" s="35">
        <f>IF($F428="","",IFERROR(INDEX(사건마스터!$AO$5:$AO$64,MATCH($F428,사건마스터!$A$5:$A$64,0)),""))</f>
        <v/>
      </c>
      <c r="R428" s="35">
        <f>IF($F428="","",IFERROR(INDEX(사건마스터!$AP$5:$AP$64,MATCH($F428,사건마스터!$A$5:$A$64,0)),""))</f>
        <v/>
      </c>
      <c r="S428" s="35">
        <f>IF($F428="","",IFERROR(INDEX(사건마스터!$AQ$5:$AQ$64,MATCH($F428,사건마스터!$A$5:$A$64,0)),""))</f>
        <v/>
      </c>
      <c r="T428" s="35">
        <f>IF($F428="","",IFERROR(INDEX(사건마스터!$AR$5:$AR$64,MATCH($F428,사건마스터!$A$5:$A$64,0)),""))</f>
        <v/>
      </c>
      <c r="U428" s="35">
        <f>IF($F428="","",IFERROR(INDEX(사건마스터!$AS$5:$AS$64,MATCH($F428,사건마스터!$A$5:$A$64,0)),""))</f>
        <v/>
      </c>
      <c r="V428" s="35">
        <f>IF($F428="","",IFERROR(INDEX(사건마스터!$AT$5:$AT$64,MATCH($F428,사건마스터!$A$5:$A$64,0)),""))</f>
        <v/>
      </c>
      <c r="W428" s="35">
        <f>IF($F428="","",IFERROR(INDEX(사건마스터!$AU$5:$AU$64,MATCH($F428,사건마스터!$A$5:$A$64,0)),""))</f>
        <v/>
      </c>
      <c r="X428" s="35">
        <f>IF($F428="","",IFERROR(INDEX(사건마스터!$AV$5:$AV$64,MATCH($F428,사건마스터!$A$5:$A$64,0)),""))</f>
        <v/>
      </c>
      <c r="Y428" s="30">
        <f>IF($I428="","",COUNTIF($I428:$X428,"?*"))</f>
        <v/>
      </c>
      <c r="Z428" s="33">
        <f>IF($I428="","",_xlfn.TEXTJOIN(", ",TRUE,$I428:$X428))</f>
        <v/>
      </c>
      <c r="AA428" s="34">
        <f>IF($I428="","",IFERROR(INDEX(코드설정!$D$5:$D$24,MATCH($I428,코드설정!$C$5:$C$24,0)),""))</f>
        <v/>
      </c>
      <c r="AB428" s="36" t="n"/>
      <c r="AC428" s="37" t="n"/>
      <c r="AD428" s="38" t="n"/>
      <c r="AE428" s="30">
        <f>IF(OR($B428="",$C428=""),"",$C428-$B428+1)</f>
        <v/>
      </c>
      <c r="AF428" s="32" t="n"/>
      <c r="AG428" s="36" t="n"/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3">
        <f>IF($F429="","",IFERROR(INDEX(사건마스터!$B$5:$B$64,MATCH($F429,사건마스터!$A$5:$A$64,0)),""))</f>
        <v/>
      </c>
      <c r="H429" s="34">
        <f>IF($F429="","",IFERROR(INDEX(사건마스터!$C$5:$C$64,MATCH($F429,사건마스터!$A$5:$A$64,0)),""))</f>
        <v/>
      </c>
      <c r="I429" s="35">
        <f>IF($F429="","",IFERROR(INDEX(사건마스터!$H$5:$H$64,MATCH($F429,사건마스터!$A$5:$A$64,0)),""))</f>
        <v/>
      </c>
      <c r="J429" s="35">
        <f>IF($F429="","",IFERROR(INDEX(사건마스터!$AH$5:$AH$64,MATCH($F429,사건마스터!$A$5:$A$64,0)),""))</f>
        <v/>
      </c>
      <c r="K429" s="35">
        <f>IF($F429="","",IFERROR(INDEX(사건마스터!$AI$5:$AI$64,MATCH($F429,사건마스터!$A$5:$A$64,0)),""))</f>
        <v/>
      </c>
      <c r="L429" s="35">
        <f>IF($F429="","",IFERROR(INDEX(사건마스터!$AJ$5:$AJ$64,MATCH($F429,사건마스터!$A$5:$A$64,0)),""))</f>
        <v/>
      </c>
      <c r="M429" s="35">
        <f>IF($F429="","",IFERROR(INDEX(사건마스터!$AK$5:$AK$64,MATCH($F429,사건마스터!$A$5:$A$64,0)),""))</f>
        <v/>
      </c>
      <c r="N429" s="35">
        <f>IF($F429="","",IFERROR(INDEX(사건마스터!$AL$5:$AL$64,MATCH($F429,사건마스터!$A$5:$A$64,0)),""))</f>
        <v/>
      </c>
      <c r="O429" s="35">
        <f>IF($F429="","",IFERROR(INDEX(사건마스터!$AM$5:$AM$64,MATCH($F429,사건마스터!$A$5:$A$64,0)),""))</f>
        <v/>
      </c>
      <c r="P429" s="35">
        <f>IF($F429="","",IFERROR(INDEX(사건마스터!$AN$5:$AN$64,MATCH($F429,사건마스터!$A$5:$A$64,0)),""))</f>
        <v/>
      </c>
      <c r="Q429" s="35">
        <f>IF($F429="","",IFERROR(INDEX(사건마스터!$AO$5:$AO$64,MATCH($F429,사건마스터!$A$5:$A$64,0)),""))</f>
        <v/>
      </c>
      <c r="R429" s="35">
        <f>IF($F429="","",IFERROR(INDEX(사건마스터!$AP$5:$AP$64,MATCH($F429,사건마스터!$A$5:$A$64,0)),""))</f>
        <v/>
      </c>
      <c r="S429" s="35">
        <f>IF($F429="","",IFERROR(INDEX(사건마스터!$AQ$5:$AQ$64,MATCH($F429,사건마스터!$A$5:$A$64,0)),""))</f>
        <v/>
      </c>
      <c r="T429" s="35">
        <f>IF($F429="","",IFERROR(INDEX(사건마스터!$AR$5:$AR$64,MATCH($F429,사건마스터!$A$5:$A$64,0)),""))</f>
        <v/>
      </c>
      <c r="U429" s="35">
        <f>IF($F429="","",IFERROR(INDEX(사건마스터!$AS$5:$AS$64,MATCH($F429,사건마스터!$A$5:$A$64,0)),""))</f>
        <v/>
      </c>
      <c r="V429" s="35">
        <f>IF($F429="","",IFERROR(INDEX(사건마스터!$AT$5:$AT$64,MATCH($F429,사건마스터!$A$5:$A$64,0)),""))</f>
        <v/>
      </c>
      <c r="W429" s="35">
        <f>IF($F429="","",IFERROR(INDEX(사건마스터!$AU$5:$AU$64,MATCH($F429,사건마스터!$A$5:$A$64,0)),""))</f>
        <v/>
      </c>
      <c r="X429" s="35">
        <f>IF($F429="","",IFERROR(INDEX(사건마스터!$AV$5:$AV$64,MATCH($F429,사건마스터!$A$5:$A$64,0)),""))</f>
        <v/>
      </c>
      <c r="Y429" s="30">
        <f>IF($I429="","",COUNTIF($I429:$X429,"?*"))</f>
        <v/>
      </c>
      <c r="Z429" s="33">
        <f>IF($I429="","",_xlfn.TEXTJOIN(", ",TRUE,$I429:$X429))</f>
        <v/>
      </c>
      <c r="AA429" s="34">
        <f>IF($I429="","",IFERROR(INDEX(코드설정!$D$5:$D$24,MATCH($I429,코드설정!$C$5:$C$24,0)),""))</f>
        <v/>
      </c>
      <c r="AB429" s="36" t="n"/>
      <c r="AC429" s="37" t="n"/>
      <c r="AD429" s="38" t="n"/>
      <c r="AE429" s="30">
        <f>IF(OR($B429="",$C429=""),"",$C429-$B429+1)</f>
        <v/>
      </c>
      <c r="AF429" s="32" t="n"/>
      <c r="AG429" s="36" t="n"/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3">
        <f>IF($F430="","",IFERROR(INDEX(사건마스터!$B$5:$B$64,MATCH($F430,사건마스터!$A$5:$A$64,0)),""))</f>
        <v/>
      </c>
      <c r="H430" s="34">
        <f>IF($F430="","",IFERROR(INDEX(사건마스터!$C$5:$C$64,MATCH($F430,사건마스터!$A$5:$A$64,0)),""))</f>
        <v/>
      </c>
      <c r="I430" s="35">
        <f>IF($F430="","",IFERROR(INDEX(사건마스터!$H$5:$H$64,MATCH($F430,사건마스터!$A$5:$A$64,0)),""))</f>
        <v/>
      </c>
      <c r="J430" s="35">
        <f>IF($F430="","",IFERROR(INDEX(사건마스터!$AH$5:$AH$64,MATCH($F430,사건마스터!$A$5:$A$64,0)),""))</f>
        <v/>
      </c>
      <c r="K430" s="35">
        <f>IF($F430="","",IFERROR(INDEX(사건마스터!$AI$5:$AI$64,MATCH($F430,사건마스터!$A$5:$A$64,0)),""))</f>
        <v/>
      </c>
      <c r="L430" s="35">
        <f>IF($F430="","",IFERROR(INDEX(사건마스터!$AJ$5:$AJ$64,MATCH($F430,사건마스터!$A$5:$A$64,0)),""))</f>
        <v/>
      </c>
      <c r="M430" s="35">
        <f>IF($F430="","",IFERROR(INDEX(사건마스터!$AK$5:$AK$64,MATCH($F430,사건마스터!$A$5:$A$64,0)),""))</f>
        <v/>
      </c>
      <c r="N430" s="35">
        <f>IF($F430="","",IFERROR(INDEX(사건마스터!$AL$5:$AL$64,MATCH($F430,사건마스터!$A$5:$A$64,0)),""))</f>
        <v/>
      </c>
      <c r="O430" s="35">
        <f>IF($F430="","",IFERROR(INDEX(사건마스터!$AM$5:$AM$64,MATCH($F430,사건마스터!$A$5:$A$64,0)),""))</f>
        <v/>
      </c>
      <c r="P430" s="35">
        <f>IF($F430="","",IFERROR(INDEX(사건마스터!$AN$5:$AN$64,MATCH($F430,사건마스터!$A$5:$A$64,0)),""))</f>
        <v/>
      </c>
      <c r="Q430" s="35">
        <f>IF($F430="","",IFERROR(INDEX(사건마스터!$AO$5:$AO$64,MATCH($F430,사건마스터!$A$5:$A$64,0)),""))</f>
        <v/>
      </c>
      <c r="R430" s="35">
        <f>IF($F430="","",IFERROR(INDEX(사건마스터!$AP$5:$AP$64,MATCH($F430,사건마스터!$A$5:$A$64,0)),""))</f>
        <v/>
      </c>
      <c r="S430" s="35">
        <f>IF($F430="","",IFERROR(INDEX(사건마스터!$AQ$5:$AQ$64,MATCH($F430,사건마스터!$A$5:$A$64,0)),""))</f>
        <v/>
      </c>
      <c r="T430" s="35">
        <f>IF($F430="","",IFERROR(INDEX(사건마스터!$AR$5:$AR$64,MATCH($F430,사건마스터!$A$5:$A$64,0)),""))</f>
        <v/>
      </c>
      <c r="U430" s="35">
        <f>IF($F430="","",IFERROR(INDEX(사건마스터!$AS$5:$AS$64,MATCH($F430,사건마스터!$A$5:$A$64,0)),""))</f>
        <v/>
      </c>
      <c r="V430" s="35">
        <f>IF($F430="","",IFERROR(INDEX(사건마스터!$AT$5:$AT$64,MATCH($F430,사건마스터!$A$5:$A$64,0)),""))</f>
        <v/>
      </c>
      <c r="W430" s="35">
        <f>IF($F430="","",IFERROR(INDEX(사건마스터!$AU$5:$AU$64,MATCH($F430,사건마스터!$A$5:$A$64,0)),""))</f>
        <v/>
      </c>
      <c r="X430" s="35">
        <f>IF($F430="","",IFERROR(INDEX(사건마스터!$AV$5:$AV$64,MATCH($F430,사건마스터!$A$5:$A$64,0)),""))</f>
        <v/>
      </c>
      <c r="Y430" s="30">
        <f>IF($I430="","",COUNTIF($I430:$X430,"?*"))</f>
        <v/>
      </c>
      <c r="Z430" s="33">
        <f>IF($I430="","",_xlfn.TEXTJOIN(", ",TRUE,$I430:$X430))</f>
        <v/>
      </c>
      <c r="AA430" s="34">
        <f>IF($I430="","",IFERROR(INDEX(코드설정!$D$5:$D$24,MATCH($I430,코드설정!$C$5:$C$24,0)),""))</f>
        <v/>
      </c>
      <c r="AB430" s="36" t="n"/>
      <c r="AC430" s="37" t="n"/>
      <c r="AD430" s="38" t="n"/>
      <c r="AE430" s="30">
        <f>IF(OR($B430="",$C430=""),"",$C430-$B430+1)</f>
        <v/>
      </c>
      <c r="AF430" s="32" t="n"/>
      <c r="AG430" s="36" t="n"/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3">
        <f>IF($F431="","",IFERROR(INDEX(사건마스터!$B$5:$B$64,MATCH($F431,사건마스터!$A$5:$A$64,0)),""))</f>
        <v/>
      </c>
      <c r="H431" s="34">
        <f>IF($F431="","",IFERROR(INDEX(사건마스터!$C$5:$C$64,MATCH($F431,사건마스터!$A$5:$A$64,0)),""))</f>
        <v/>
      </c>
      <c r="I431" s="35">
        <f>IF($F431="","",IFERROR(INDEX(사건마스터!$H$5:$H$64,MATCH($F431,사건마스터!$A$5:$A$64,0)),""))</f>
        <v/>
      </c>
      <c r="J431" s="35">
        <f>IF($F431="","",IFERROR(INDEX(사건마스터!$AH$5:$AH$64,MATCH($F431,사건마스터!$A$5:$A$64,0)),""))</f>
        <v/>
      </c>
      <c r="K431" s="35">
        <f>IF($F431="","",IFERROR(INDEX(사건마스터!$AI$5:$AI$64,MATCH($F431,사건마스터!$A$5:$A$64,0)),""))</f>
        <v/>
      </c>
      <c r="L431" s="35">
        <f>IF($F431="","",IFERROR(INDEX(사건마스터!$AJ$5:$AJ$64,MATCH($F431,사건마스터!$A$5:$A$64,0)),""))</f>
        <v/>
      </c>
      <c r="M431" s="35">
        <f>IF($F431="","",IFERROR(INDEX(사건마스터!$AK$5:$AK$64,MATCH($F431,사건마스터!$A$5:$A$64,0)),""))</f>
        <v/>
      </c>
      <c r="N431" s="35">
        <f>IF($F431="","",IFERROR(INDEX(사건마스터!$AL$5:$AL$64,MATCH($F431,사건마스터!$A$5:$A$64,0)),""))</f>
        <v/>
      </c>
      <c r="O431" s="35">
        <f>IF($F431="","",IFERROR(INDEX(사건마스터!$AM$5:$AM$64,MATCH($F431,사건마스터!$A$5:$A$64,0)),""))</f>
        <v/>
      </c>
      <c r="P431" s="35">
        <f>IF($F431="","",IFERROR(INDEX(사건마스터!$AN$5:$AN$64,MATCH($F431,사건마스터!$A$5:$A$64,0)),""))</f>
        <v/>
      </c>
      <c r="Q431" s="35">
        <f>IF($F431="","",IFERROR(INDEX(사건마스터!$AO$5:$AO$64,MATCH($F431,사건마스터!$A$5:$A$64,0)),""))</f>
        <v/>
      </c>
      <c r="R431" s="35">
        <f>IF($F431="","",IFERROR(INDEX(사건마스터!$AP$5:$AP$64,MATCH($F431,사건마스터!$A$5:$A$64,0)),""))</f>
        <v/>
      </c>
      <c r="S431" s="35">
        <f>IF($F431="","",IFERROR(INDEX(사건마스터!$AQ$5:$AQ$64,MATCH($F431,사건마스터!$A$5:$A$64,0)),""))</f>
        <v/>
      </c>
      <c r="T431" s="35">
        <f>IF($F431="","",IFERROR(INDEX(사건마스터!$AR$5:$AR$64,MATCH($F431,사건마스터!$A$5:$A$64,0)),""))</f>
        <v/>
      </c>
      <c r="U431" s="35">
        <f>IF($F431="","",IFERROR(INDEX(사건마스터!$AS$5:$AS$64,MATCH($F431,사건마스터!$A$5:$A$64,0)),""))</f>
        <v/>
      </c>
      <c r="V431" s="35">
        <f>IF($F431="","",IFERROR(INDEX(사건마스터!$AT$5:$AT$64,MATCH($F431,사건마스터!$A$5:$A$64,0)),""))</f>
        <v/>
      </c>
      <c r="W431" s="35">
        <f>IF($F431="","",IFERROR(INDEX(사건마스터!$AU$5:$AU$64,MATCH($F431,사건마스터!$A$5:$A$64,0)),""))</f>
        <v/>
      </c>
      <c r="X431" s="35">
        <f>IF($F431="","",IFERROR(INDEX(사건마스터!$AV$5:$AV$64,MATCH($F431,사건마스터!$A$5:$A$64,0)),""))</f>
        <v/>
      </c>
      <c r="Y431" s="30">
        <f>IF($I431="","",COUNTIF($I431:$X431,"?*"))</f>
        <v/>
      </c>
      <c r="Z431" s="33">
        <f>IF($I431="","",_xlfn.TEXTJOIN(", ",TRUE,$I431:$X431))</f>
        <v/>
      </c>
      <c r="AA431" s="34">
        <f>IF($I431="","",IFERROR(INDEX(코드설정!$D$5:$D$24,MATCH($I431,코드설정!$C$5:$C$24,0)),""))</f>
        <v/>
      </c>
      <c r="AB431" s="36" t="n"/>
      <c r="AC431" s="37" t="n"/>
      <c r="AD431" s="38" t="n"/>
      <c r="AE431" s="30">
        <f>IF(OR($B431="",$C431=""),"",$C431-$B431+1)</f>
        <v/>
      </c>
      <c r="AF431" s="32" t="n"/>
      <c r="AG431" s="36" t="n"/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3">
        <f>IF($F432="","",IFERROR(INDEX(사건마스터!$B$5:$B$64,MATCH($F432,사건마스터!$A$5:$A$64,0)),""))</f>
        <v/>
      </c>
      <c r="H432" s="34">
        <f>IF($F432="","",IFERROR(INDEX(사건마스터!$C$5:$C$64,MATCH($F432,사건마스터!$A$5:$A$64,0)),""))</f>
        <v/>
      </c>
      <c r="I432" s="35">
        <f>IF($F432="","",IFERROR(INDEX(사건마스터!$H$5:$H$64,MATCH($F432,사건마스터!$A$5:$A$64,0)),""))</f>
        <v/>
      </c>
      <c r="J432" s="35">
        <f>IF($F432="","",IFERROR(INDEX(사건마스터!$AH$5:$AH$64,MATCH($F432,사건마스터!$A$5:$A$64,0)),""))</f>
        <v/>
      </c>
      <c r="K432" s="35">
        <f>IF($F432="","",IFERROR(INDEX(사건마스터!$AI$5:$AI$64,MATCH($F432,사건마스터!$A$5:$A$64,0)),""))</f>
        <v/>
      </c>
      <c r="L432" s="35">
        <f>IF($F432="","",IFERROR(INDEX(사건마스터!$AJ$5:$AJ$64,MATCH($F432,사건마스터!$A$5:$A$64,0)),""))</f>
        <v/>
      </c>
      <c r="M432" s="35">
        <f>IF($F432="","",IFERROR(INDEX(사건마스터!$AK$5:$AK$64,MATCH($F432,사건마스터!$A$5:$A$64,0)),""))</f>
        <v/>
      </c>
      <c r="N432" s="35">
        <f>IF($F432="","",IFERROR(INDEX(사건마스터!$AL$5:$AL$64,MATCH($F432,사건마스터!$A$5:$A$64,0)),""))</f>
        <v/>
      </c>
      <c r="O432" s="35">
        <f>IF($F432="","",IFERROR(INDEX(사건마스터!$AM$5:$AM$64,MATCH($F432,사건마스터!$A$5:$A$64,0)),""))</f>
        <v/>
      </c>
      <c r="P432" s="35">
        <f>IF($F432="","",IFERROR(INDEX(사건마스터!$AN$5:$AN$64,MATCH($F432,사건마스터!$A$5:$A$64,0)),""))</f>
        <v/>
      </c>
      <c r="Q432" s="35">
        <f>IF($F432="","",IFERROR(INDEX(사건마스터!$AO$5:$AO$64,MATCH($F432,사건마스터!$A$5:$A$64,0)),""))</f>
        <v/>
      </c>
      <c r="R432" s="35">
        <f>IF($F432="","",IFERROR(INDEX(사건마스터!$AP$5:$AP$64,MATCH($F432,사건마스터!$A$5:$A$64,0)),""))</f>
        <v/>
      </c>
      <c r="S432" s="35">
        <f>IF($F432="","",IFERROR(INDEX(사건마스터!$AQ$5:$AQ$64,MATCH($F432,사건마스터!$A$5:$A$64,0)),""))</f>
        <v/>
      </c>
      <c r="T432" s="35">
        <f>IF($F432="","",IFERROR(INDEX(사건마스터!$AR$5:$AR$64,MATCH($F432,사건마스터!$A$5:$A$64,0)),""))</f>
        <v/>
      </c>
      <c r="U432" s="35">
        <f>IF($F432="","",IFERROR(INDEX(사건마스터!$AS$5:$AS$64,MATCH($F432,사건마스터!$A$5:$A$64,0)),""))</f>
        <v/>
      </c>
      <c r="V432" s="35">
        <f>IF($F432="","",IFERROR(INDEX(사건마스터!$AT$5:$AT$64,MATCH($F432,사건마스터!$A$5:$A$64,0)),""))</f>
        <v/>
      </c>
      <c r="W432" s="35">
        <f>IF($F432="","",IFERROR(INDEX(사건마스터!$AU$5:$AU$64,MATCH($F432,사건마스터!$A$5:$A$64,0)),""))</f>
        <v/>
      </c>
      <c r="X432" s="35">
        <f>IF($F432="","",IFERROR(INDEX(사건마스터!$AV$5:$AV$64,MATCH($F432,사건마스터!$A$5:$A$64,0)),""))</f>
        <v/>
      </c>
      <c r="Y432" s="30">
        <f>IF($I432="","",COUNTIF($I432:$X432,"?*"))</f>
        <v/>
      </c>
      <c r="Z432" s="33">
        <f>IF($I432="","",_xlfn.TEXTJOIN(", ",TRUE,$I432:$X432))</f>
        <v/>
      </c>
      <c r="AA432" s="34">
        <f>IF($I432="","",IFERROR(INDEX(코드설정!$D$5:$D$24,MATCH($I432,코드설정!$C$5:$C$24,0)),""))</f>
        <v/>
      </c>
      <c r="AB432" s="36" t="n"/>
      <c r="AC432" s="37" t="n"/>
      <c r="AD432" s="38" t="n"/>
      <c r="AE432" s="30">
        <f>IF(OR($B432="",$C432=""),"",$C432-$B432+1)</f>
        <v/>
      </c>
      <c r="AF432" s="32" t="n"/>
      <c r="AG432" s="36" t="n"/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3">
        <f>IF($F433="","",IFERROR(INDEX(사건마스터!$B$5:$B$64,MATCH($F433,사건마스터!$A$5:$A$64,0)),""))</f>
        <v/>
      </c>
      <c r="H433" s="34">
        <f>IF($F433="","",IFERROR(INDEX(사건마스터!$C$5:$C$64,MATCH($F433,사건마스터!$A$5:$A$64,0)),""))</f>
        <v/>
      </c>
      <c r="I433" s="35">
        <f>IF($F433="","",IFERROR(INDEX(사건마스터!$H$5:$H$64,MATCH($F433,사건마스터!$A$5:$A$64,0)),""))</f>
        <v/>
      </c>
      <c r="J433" s="35">
        <f>IF($F433="","",IFERROR(INDEX(사건마스터!$AH$5:$AH$64,MATCH($F433,사건마스터!$A$5:$A$64,0)),""))</f>
        <v/>
      </c>
      <c r="K433" s="35">
        <f>IF($F433="","",IFERROR(INDEX(사건마스터!$AI$5:$AI$64,MATCH($F433,사건마스터!$A$5:$A$64,0)),""))</f>
        <v/>
      </c>
      <c r="L433" s="35">
        <f>IF($F433="","",IFERROR(INDEX(사건마스터!$AJ$5:$AJ$64,MATCH($F433,사건마스터!$A$5:$A$64,0)),""))</f>
        <v/>
      </c>
      <c r="M433" s="35">
        <f>IF($F433="","",IFERROR(INDEX(사건마스터!$AK$5:$AK$64,MATCH($F433,사건마스터!$A$5:$A$64,0)),""))</f>
        <v/>
      </c>
      <c r="N433" s="35">
        <f>IF($F433="","",IFERROR(INDEX(사건마스터!$AL$5:$AL$64,MATCH($F433,사건마스터!$A$5:$A$64,0)),""))</f>
        <v/>
      </c>
      <c r="O433" s="35">
        <f>IF($F433="","",IFERROR(INDEX(사건마스터!$AM$5:$AM$64,MATCH($F433,사건마스터!$A$5:$A$64,0)),""))</f>
        <v/>
      </c>
      <c r="P433" s="35">
        <f>IF($F433="","",IFERROR(INDEX(사건마스터!$AN$5:$AN$64,MATCH($F433,사건마스터!$A$5:$A$64,0)),""))</f>
        <v/>
      </c>
      <c r="Q433" s="35">
        <f>IF($F433="","",IFERROR(INDEX(사건마스터!$AO$5:$AO$64,MATCH($F433,사건마스터!$A$5:$A$64,0)),""))</f>
        <v/>
      </c>
      <c r="R433" s="35">
        <f>IF($F433="","",IFERROR(INDEX(사건마스터!$AP$5:$AP$64,MATCH($F433,사건마스터!$A$5:$A$64,0)),""))</f>
        <v/>
      </c>
      <c r="S433" s="35">
        <f>IF($F433="","",IFERROR(INDEX(사건마스터!$AQ$5:$AQ$64,MATCH($F433,사건마스터!$A$5:$A$64,0)),""))</f>
        <v/>
      </c>
      <c r="T433" s="35">
        <f>IF($F433="","",IFERROR(INDEX(사건마스터!$AR$5:$AR$64,MATCH($F433,사건마스터!$A$5:$A$64,0)),""))</f>
        <v/>
      </c>
      <c r="U433" s="35">
        <f>IF($F433="","",IFERROR(INDEX(사건마스터!$AS$5:$AS$64,MATCH($F433,사건마스터!$A$5:$A$64,0)),""))</f>
        <v/>
      </c>
      <c r="V433" s="35">
        <f>IF($F433="","",IFERROR(INDEX(사건마스터!$AT$5:$AT$64,MATCH($F433,사건마스터!$A$5:$A$64,0)),""))</f>
        <v/>
      </c>
      <c r="W433" s="35">
        <f>IF($F433="","",IFERROR(INDEX(사건마스터!$AU$5:$AU$64,MATCH($F433,사건마스터!$A$5:$A$64,0)),""))</f>
        <v/>
      </c>
      <c r="X433" s="35">
        <f>IF($F433="","",IFERROR(INDEX(사건마스터!$AV$5:$AV$64,MATCH($F433,사건마스터!$A$5:$A$64,0)),""))</f>
        <v/>
      </c>
      <c r="Y433" s="30">
        <f>IF($I433="","",COUNTIF($I433:$X433,"?*"))</f>
        <v/>
      </c>
      <c r="Z433" s="33">
        <f>IF($I433="","",_xlfn.TEXTJOIN(", ",TRUE,$I433:$X433))</f>
        <v/>
      </c>
      <c r="AA433" s="34">
        <f>IF($I433="","",IFERROR(INDEX(코드설정!$D$5:$D$24,MATCH($I433,코드설정!$C$5:$C$24,0)),""))</f>
        <v/>
      </c>
      <c r="AB433" s="36" t="n"/>
      <c r="AC433" s="37" t="n"/>
      <c r="AD433" s="38" t="n"/>
      <c r="AE433" s="30">
        <f>IF(OR($B433="",$C433=""),"",$C433-$B433+1)</f>
        <v/>
      </c>
      <c r="AF433" s="32" t="n"/>
      <c r="AG433" s="36" t="n"/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3">
        <f>IF($F434="","",IFERROR(INDEX(사건마스터!$B$5:$B$64,MATCH($F434,사건마스터!$A$5:$A$64,0)),""))</f>
        <v/>
      </c>
      <c r="H434" s="34">
        <f>IF($F434="","",IFERROR(INDEX(사건마스터!$C$5:$C$64,MATCH($F434,사건마스터!$A$5:$A$64,0)),""))</f>
        <v/>
      </c>
      <c r="I434" s="35">
        <f>IF($F434="","",IFERROR(INDEX(사건마스터!$H$5:$H$64,MATCH($F434,사건마스터!$A$5:$A$64,0)),""))</f>
        <v/>
      </c>
      <c r="J434" s="35">
        <f>IF($F434="","",IFERROR(INDEX(사건마스터!$AH$5:$AH$64,MATCH($F434,사건마스터!$A$5:$A$64,0)),""))</f>
        <v/>
      </c>
      <c r="K434" s="35">
        <f>IF($F434="","",IFERROR(INDEX(사건마스터!$AI$5:$AI$64,MATCH($F434,사건마스터!$A$5:$A$64,0)),""))</f>
        <v/>
      </c>
      <c r="L434" s="35">
        <f>IF($F434="","",IFERROR(INDEX(사건마스터!$AJ$5:$AJ$64,MATCH($F434,사건마스터!$A$5:$A$64,0)),""))</f>
        <v/>
      </c>
      <c r="M434" s="35">
        <f>IF($F434="","",IFERROR(INDEX(사건마스터!$AK$5:$AK$64,MATCH($F434,사건마스터!$A$5:$A$64,0)),""))</f>
        <v/>
      </c>
      <c r="N434" s="35">
        <f>IF($F434="","",IFERROR(INDEX(사건마스터!$AL$5:$AL$64,MATCH($F434,사건마스터!$A$5:$A$64,0)),""))</f>
        <v/>
      </c>
      <c r="O434" s="35">
        <f>IF($F434="","",IFERROR(INDEX(사건마스터!$AM$5:$AM$64,MATCH($F434,사건마스터!$A$5:$A$64,0)),""))</f>
        <v/>
      </c>
      <c r="P434" s="35">
        <f>IF($F434="","",IFERROR(INDEX(사건마스터!$AN$5:$AN$64,MATCH($F434,사건마스터!$A$5:$A$64,0)),""))</f>
        <v/>
      </c>
      <c r="Q434" s="35">
        <f>IF($F434="","",IFERROR(INDEX(사건마스터!$AO$5:$AO$64,MATCH($F434,사건마스터!$A$5:$A$64,0)),""))</f>
        <v/>
      </c>
      <c r="R434" s="35">
        <f>IF($F434="","",IFERROR(INDEX(사건마스터!$AP$5:$AP$64,MATCH($F434,사건마스터!$A$5:$A$64,0)),""))</f>
        <v/>
      </c>
      <c r="S434" s="35">
        <f>IF($F434="","",IFERROR(INDEX(사건마스터!$AQ$5:$AQ$64,MATCH($F434,사건마스터!$A$5:$A$64,0)),""))</f>
        <v/>
      </c>
      <c r="T434" s="35">
        <f>IF($F434="","",IFERROR(INDEX(사건마스터!$AR$5:$AR$64,MATCH($F434,사건마스터!$A$5:$A$64,0)),""))</f>
        <v/>
      </c>
      <c r="U434" s="35">
        <f>IF($F434="","",IFERROR(INDEX(사건마스터!$AS$5:$AS$64,MATCH($F434,사건마스터!$A$5:$A$64,0)),""))</f>
        <v/>
      </c>
      <c r="V434" s="35">
        <f>IF($F434="","",IFERROR(INDEX(사건마스터!$AT$5:$AT$64,MATCH($F434,사건마스터!$A$5:$A$64,0)),""))</f>
        <v/>
      </c>
      <c r="W434" s="35">
        <f>IF($F434="","",IFERROR(INDEX(사건마스터!$AU$5:$AU$64,MATCH($F434,사건마스터!$A$5:$A$64,0)),""))</f>
        <v/>
      </c>
      <c r="X434" s="35">
        <f>IF($F434="","",IFERROR(INDEX(사건마스터!$AV$5:$AV$64,MATCH($F434,사건마스터!$A$5:$A$64,0)),""))</f>
        <v/>
      </c>
      <c r="Y434" s="30">
        <f>IF($I434="","",COUNTIF($I434:$X434,"?*"))</f>
        <v/>
      </c>
      <c r="Z434" s="33">
        <f>IF($I434="","",_xlfn.TEXTJOIN(", ",TRUE,$I434:$X434))</f>
        <v/>
      </c>
      <c r="AA434" s="34">
        <f>IF($I434="","",IFERROR(INDEX(코드설정!$D$5:$D$24,MATCH($I434,코드설정!$C$5:$C$24,0)),""))</f>
        <v/>
      </c>
      <c r="AB434" s="36" t="n"/>
      <c r="AC434" s="37" t="n"/>
      <c r="AD434" s="38" t="n"/>
      <c r="AE434" s="30">
        <f>IF(OR($B434="",$C434=""),"",$C434-$B434+1)</f>
        <v/>
      </c>
      <c r="AF434" s="32" t="n"/>
      <c r="AG434" s="36" t="n"/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3">
        <f>IF($F435="","",IFERROR(INDEX(사건마스터!$B$5:$B$64,MATCH($F435,사건마스터!$A$5:$A$64,0)),""))</f>
        <v/>
      </c>
      <c r="H435" s="34">
        <f>IF($F435="","",IFERROR(INDEX(사건마스터!$C$5:$C$64,MATCH($F435,사건마스터!$A$5:$A$64,0)),""))</f>
        <v/>
      </c>
      <c r="I435" s="35">
        <f>IF($F435="","",IFERROR(INDEX(사건마스터!$H$5:$H$64,MATCH($F435,사건마스터!$A$5:$A$64,0)),""))</f>
        <v/>
      </c>
      <c r="J435" s="35">
        <f>IF($F435="","",IFERROR(INDEX(사건마스터!$AH$5:$AH$64,MATCH($F435,사건마스터!$A$5:$A$64,0)),""))</f>
        <v/>
      </c>
      <c r="K435" s="35">
        <f>IF($F435="","",IFERROR(INDEX(사건마스터!$AI$5:$AI$64,MATCH($F435,사건마스터!$A$5:$A$64,0)),""))</f>
        <v/>
      </c>
      <c r="L435" s="35">
        <f>IF($F435="","",IFERROR(INDEX(사건마스터!$AJ$5:$AJ$64,MATCH($F435,사건마스터!$A$5:$A$64,0)),""))</f>
        <v/>
      </c>
      <c r="M435" s="35">
        <f>IF($F435="","",IFERROR(INDEX(사건마스터!$AK$5:$AK$64,MATCH($F435,사건마스터!$A$5:$A$64,0)),""))</f>
        <v/>
      </c>
      <c r="N435" s="35">
        <f>IF($F435="","",IFERROR(INDEX(사건마스터!$AL$5:$AL$64,MATCH($F435,사건마스터!$A$5:$A$64,0)),""))</f>
        <v/>
      </c>
      <c r="O435" s="35">
        <f>IF($F435="","",IFERROR(INDEX(사건마스터!$AM$5:$AM$64,MATCH($F435,사건마스터!$A$5:$A$64,0)),""))</f>
        <v/>
      </c>
      <c r="P435" s="35">
        <f>IF($F435="","",IFERROR(INDEX(사건마스터!$AN$5:$AN$64,MATCH($F435,사건마스터!$A$5:$A$64,0)),""))</f>
        <v/>
      </c>
      <c r="Q435" s="35">
        <f>IF($F435="","",IFERROR(INDEX(사건마스터!$AO$5:$AO$64,MATCH($F435,사건마스터!$A$5:$A$64,0)),""))</f>
        <v/>
      </c>
      <c r="R435" s="35">
        <f>IF($F435="","",IFERROR(INDEX(사건마스터!$AP$5:$AP$64,MATCH($F435,사건마스터!$A$5:$A$64,0)),""))</f>
        <v/>
      </c>
      <c r="S435" s="35">
        <f>IF($F435="","",IFERROR(INDEX(사건마스터!$AQ$5:$AQ$64,MATCH($F435,사건마스터!$A$5:$A$64,0)),""))</f>
        <v/>
      </c>
      <c r="T435" s="35">
        <f>IF($F435="","",IFERROR(INDEX(사건마스터!$AR$5:$AR$64,MATCH($F435,사건마스터!$A$5:$A$64,0)),""))</f>
        <v/>
      </c>
      <c r="U435" s="35">
        <f>IF($F435="","",IFERROR(INDEX(사건마스터!$AS$5:$AS$64,MATCH($F435,사건마스터!$A$5:$A$64,0)),""))</f>
        <v/>
      </c>
      <c r="V435" s="35">
        <f>IF($F435="","",IFERROR(INDEX(사건마스터!$AT$5:$AT$64,MATCH($F435,사건마스터!$A$5:$A$64,0)),""))</f>
        <v/>
      </c>
      <c r="W435" s="35">
        <f>IF($F435="","",IFERROR(INDEX(사건마스터!$AU$5:$AU$64,MATCH($F435,사건마스터!$A$5:$A$64,0)),""))</f>
        <v/>
      </c>
      <c r="X435" s="35">
        <f>IF($F435="","",IFERROR(INDEX(사건마스터!$AV$5:$AV$64,MATCH($F435,사건마스터!$A$5:$A$64,0)),""))</f>
        <v/>
      </c>
      <c r="Y435" s="30">
        <f>IF($I435="","",COUNTIF($I435:$X435,"?*"))</f>
        <v/>
      </c>
      <c r="Z435" s="33">
        <f>IF($I435="","",_xlfn.TEXTJOIN(", ",TRUE,$I435:$X435))</f>
        <v/>
      </c>
      <c r="AA435" s="34">
        <f>IF($I435="","",IFERROR(INDEX(코드설정!$D$5:$D$24,MATCH($I435,코드설정!$C$5:$C$24,0)),""))</f>
        <v/>
      </c>
      <c r="AB435" s="36" t="n"/>
      <c r="AC435" s="37" t="n"/>
      <c r="AD435" s="38" t="n"/>
      <c r="AE435" s="30">
        <f>IF(OR($B435="",$C435=""),"",$C435-$B435+1)</f>
        <v/>
      </c>
      <c r="AF435" s="32" t="n"/>
      <c r="AG435" s="36" t="n"/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3">
        <f>IF($F436="","",IFERROR(INDEX(사건마스터!$B$5:$B$64,MATCH($F436,사건마스터!$A$5:$A$64,0)),""))</f>
        <v/>
      </c>
      <c r="H436" s="34">
        <f>IF($F436="","",IFERROR(INDEX(사건마스터!$C$5:$C$64,MATCH($F436,사건마스터!$A$5:$A$64,0)),""))</f>
        <v/>
      </c>
      <c r="I436" s="35">
        <f>IF($F436="","",IFERROR(INDEX(사건마스터!$H$5:$H$64,MATCH($F436,사건마스터!$A$5:$A$64,0)),""))</f>
        <v/>
      </c>
      <c r="J436" s="35">
        <f>IF($F436="","",IFERROR(INDEX(사건마스터!$AH$5:$AH$64,MATCH($F436,사건마스터!$A$5:$A$64,0)),""))</f>
        <v/>
      </c>
      <c r="K436" s="35">
        <f>IF($F436="","",IFERROR(INDEX(사건마스터!$AI$5:$AI$64,MATCH($F436,사건마스터!$A$5:$A$64,0)),""))</f>
        <v/>
      </c>
      <c r="L436" s="35">
        <f>IF($F436="","",IFERROR(INDEX(사건마스터!$AJ$5:$AJ$64,MATCH($F436,사건마스터!$A$5:$A$64,0)),""))</f>
        <v/>
      </c>
      <c r="M436" s="35">
        <f>IF($F436="","",IFERROR(INDEX(사건마스터!$AK$5:$AK$64,MATCH($F436,사건마스터!$A$5:$A$64,0)),""))</f>
        <v/>
      </c>
      <c r="N436" s="35">
        <f>IF($F436="","",IFERROR(INDEX(사건마스터!$AL$5:$AL$64,MATCH($F436,사건마스터!$A$5:$A$64,0)),""))</f>
        <v/>
      </c>
      <c r="O436" s="35">
        <f>IF($F436="","",IFERROR(INDEX(사건마스터!$AM$5:$AM$64,MATCH($F436,사건마스터!$A$5:$A$64,0)),""))</f>
        <v/>
      </c>
      <c r="P436" s="35">
        <f>IF($F436="","",IFERROR(INDEX(사건마스터!$AN$5:$AN$64,MATCH($F436,사건마스터!$A$5:$A$64,0)),""))</f>
        <v/>
      </c>
      <c r="Q436" s="35">
        <f>IF($F436="","",IFERROR(INDEX(사건마스터!$AO$5:$AO$64,MATCH($F436,사건마스터!$A$5:$A$64,0)),""))</f>
        <v/>
      </c>
      <c r="R436" s="35">
        <f>IF($F436="","",IFERROR(INDEX(사건마스터!$AP$5:$AP$64,MATCH($F436,사건마스터!$A$5:$A$64,0)),""))</f>
        <v/>
      </c>
      <c r="S436" s="35">
        <f>IF($F436="","",IFERROR(INDEX(사건마스터!$AQ$5:$AQ$64,MATCH($F436,사건마스터!$A$5:$A$64,0)),""))</f>
        <v/>
      </c>
      <c r="T436" s="35">
        <f>IF($F436="","",IFERROR(INDEX(사건마스터!$AR$5:$AR$64,MATCH($F436,사건마스터!$A$5:$A$64,0)),""))</f>
        <v/>
      </c>
      <c r="U436" s="35">
        <f>IF($F436="","",IFERROR(INDEX(사건마스터!$AS$5:$AS$64,MATCH($F436,사건마스터!$A$5:$A$64,0)),""))</f>
        <v/>
      </c>
      <c r="V436" s="35">
        <f>IF($F436="","",IFERROR(INDEX(사건마스터!$AT$5:$AT$64,MATCH($F436,사건마스터!$A$5:$A$64,0)),""))</f>
        <v/>
      </c>
      <c r="W436" s="35">
        <f>IF($F436="","",IFERROR(INDEX(사건마스터!$AU$5:$AU$64,MATCH($F436,사건마스터!$A$5:$A$64,0)),""))</f>
        <v/>
      </c>
      <c r="X436" s="35">
        <f>IF($F436="","",IFERROR(INDEX(사건마스터!$AV$5:$AV$64,MATCH($F436,사건마스터!$A$5:$A$64,0)),""))</f>
        <v/>
      </c>
      <c r="Y436" s="30">
        <f>IF($I436="","",COUNTIF($I436:$X436,"?*"))</f>
        <v/>
      </c>
      <c r="Z436" s="33">
        <f>IF($I436="","",_xlfn.TEXTJOIN(", ",TRUE,$I436:$X436))</f>
        <v/>
      </c>
      <c r="AA436" s="34">
        <f>IF($I436="","",IFERROR(INDEX(코드설정!$D$5:$D$24,MATCH($I436,코드설정!$C$5:$C$24,0)),""))</f>
        <v/>
      </c>
      <c r="AB436" s="36" t="n"/>
      <c r="AC436" s="37" t="n"/>
      <c r="AD436" s="38" t="n"/>
      <c r="AE436" s="30">
        <f>IF(OR($B436="",$C436=""),"",$C436-$B436+1)</f>
        <v/>
      </c>
      <c r="AF436" s="32" t="n"/>
      <c r="AG436" s="36" t="n"/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3">
        <f>IF($F437="","",IFERROR(INDEX(사건마스터!$B$5:$B$64,MATCH($F437,사건마스터!$A$5:$A$64,0)),""))</f>
        <v/>
      </c>
      <c r="H437" s="34">
        <f>IF($F437="","",IFERROR(INDEX(사건마스터!$C$5:$C$64,MATCH($F437,사건마스터!$A$5:$A$64,0)),""))</f>
        <v/>
      </c>
      <c r="I437" s="35">
        <f>IF($F437="","",IFERROR(INDEX(사건마스터!$H$5:$H$64,MATCH($F437,사건마스터!$A$5:$A$64,0)),""))</f>
        <v/>
      </c>
      <c r="J437" s="35">
        <f>IF($F437="","",IFERROR(INDEX(사건마스터!$AH$5:$AH$64,MATCH($F437,사건마스터!$A$5:$A$64,0)),""))</f>
        <v/>
      </c>
      <c r="K437" s="35">
        <f>IF($F437="","",IFERROR(INDEX(사건마스터!$AI$5:$AI$64,MATCH($F437,사건마스터!$A$5:$A$64,0)),""))</f>
        <v/>
      </c>
      <c r="L437" s="35">
        <f>IF($F437="","",IFERROR(INDEX(사건마스터!$AJ$5:$AJ$64,MATCH($F437,사건마스터!$A$5:$A$64,0)),""))</f>
        <v/>
      </c>
      <c r="M437" s="35">
        <f>IF($F437="","",IFERROR(INDEX(사건마스터!$AK$5:$AK$64,MATCH($F437,사건마스터!$A$5:$A$64,0)),""))</f>
        <v/>
      </c>
      <c r="N437" s="35">
        <f>IF($F437="","",IFERROR(INDEX(사건마스터!$AL$5:$AL$64,MATCH($F437,사건마스터!$A$5:$A$64,0)),""))</f>
        <v/>
      </c>
      <c r="O437" s="35">
        <f>IF($F437="","",IFERROR(INDEX(사건마스터!$AM$5:$AM$64,MATCH($F437,사건마스터!$A$5:$A$64,0)),""))</f>
        <v/>
      </c>
      <c r="P437" s="35">
        <f>IF($F437="","",IFERROR(INDEX(사건마스터!$AN$5:$AN$64,MATCH($F437,사건마스터!$A$5:$A$64,0)),""))</f>
        <v/>
      </c>
      <c r="Q437" s="35">
        <f>IF($F437="","",IFERROR(INDEX(사건마스터!$AO$5:$AO$64,MATCH($F437,사건마스터!$A$5:$A$64,0)),""))</f>
        <v/>
      </c>
      <c r="R437" s="35">
        <f>IF($F437="","",IFERROR(INDEX(사건마스터!$AP$5:$AP$64,MATCH($F437,사건마스터!$A$5:$A$64,0)),""))</f>
        <v/>
      </c>
      <c r="S437" s="35">
        <f>IF($F437="","",IFERROR(INDEX(사건마스터!$AQ$5:$AQ$64,MATCH($F437,사건마스터!$A$5:$A$64,0)),""))</f>
        <v/>
      </c>
      <c r="T437" s="35">
        <f>IF($F437="","",IFERROR(INDEX(사건마스터!$AR$5:$AR$64,MATCH($F437,사건마스터!$A$5:$A$64,0)),""))</f>
        <v/>
      </c>
      <c r="U437" s="35">
        <f>IF($F437="","",IFERROR(INDEX(사건마스터!$AS$5:$AS$64,MATCH($F437,사건마스터!$A$5:$A$64,0)),""))</f>
        <v/>
      </c>
      <c r="V437" s="35">
        <f>IF($F437="","",IFERROR(INDEX(사건마스터!$AT$5:$AT$64,MATCH($F437,사건마스터!$A$5:$A$64,0)),""))</f>
        <v/>
      </c>
      <c r="W437" s="35">
        <f>IF($F437="","",IFERROR(INDEX(사건마스터!$AU$5:$AU$64,MATCH($F437,사건마스터!$A$5:$A$64,0)),""))</f>
        <v/>
      </c>
      <c r="X437" s="35">
        <f>IF($F437="","",IFERROR(INDEX(사건마스터!$AV$5:$AV$64,MATCH($F437,사건마스터!$A$5:$A$64,0)),""))</f>
        <v/>
      </c>
      <c r="Y437" s="30">
        <f>IF($I437="","",COUNTIF($I437:$X437,"?*"))</f>
        <v/>
      </c>
      <c r="Z437" s="33">
        <f>IF($I437="","",_xlfn.TEXTJOIN(", ",TRUE,$I437:$X437))</f>
        <v/>
      </c>
      <c r="AA437" s="34">
        <f>IF($I437="","",IFERROR(INDEX(코드설정!$D$5:$D$24,MATCH($I437,코드설정!$C$5:$C$24,0)),""))</f>
        <v/>
      </c>
      <c r="AB437" s="36" t="n"/>
      <c r="AC437" s="37" t="n"/>
      <c r="AD437" s="38" t="n"/>
      <c r="AE437" s="30">
        <f>IF(OR($B437="",$C437=""),"",$C437-$B437+1)</f>
        <v/>
      </c>
      <c r="AF437" s="32" t="n"/>
      <c r="AG437" s="36" t="n"/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3">
        <f>IF($F438="","",IFERROR(INDEX(사건마스터!$B$5:$B$64,MATCH($F438,사건마스터!$A$5:$A$64,0)),""))</f>
        <v/>
      </c>
      <c r="H438" s="34">
        <f>IF($F438="","",IFERROR(INDEX(사건마스터!$C$5:$C$64,MATCH($F438,사건마스터!$A$5:$A$64,0)),""))</f>
        <v/>
      </c>
      <c r="I438" s="35">
        <f>IF($F438="","",IFERROR(INDEX(사건마스터!$H$5:$H$64,MATCH($F438,사건마스터!$A$5:$A$64,0)),""))</f>
        <v/>
      </c>
      <c r="J438" s="35">
        <f>IF($F438="","",IFERROR(INDEX(사건마스터!$AH$5:$AH$64,MATCH($F438,사건마스터!$A$5:$A$64,0)),""))</f>
        <v/>
      </c>
      <c r="K438" s="35">
        <f>IF($F438="","",IFERROR(INDEX(사건마스터!$AI$5:$AI$64,MATCH($F438,사건마스터!$A$5:$A$64,0)),""))</f>
        <v/>
      </c>
      <c r="L438" s="35">
        <f>IF($F438="","",IFERROR(INDEX(사건마스터!$AJ$5:$AJ$64,MATCH($F438,사건마스터!$A$5:$A$64,0)),""))</f>
        <v/>
      </c>
      <c r="M438" s="35">
        <f>IF($F438="","",IFERROR(INDEX(사건마스터!$AK$5:$AK$64,MATCH($F438,사건마스터!$A$5:$A$64,0)),""))</f>
        <v/>
      </c>
      <c r="N438" s="35">
        <f>IF($F438="","",IFERROR(INDEX(사건마스터!$AL$5:$AL$64,MATCH($F438,사건마스터!$A$5:$A$64,0)),""))</f>
        <v/>
      </c>
      <c r="O438" s="35">
        <f>IF($F438="","",IFERROR(INDEX(사건마스터!$AM$5:$AM$64,MATCH($F438,사건마스터!$A$5:$A$64,0)),""))</f>
        <v/>
      </c>
      <c r="P438" s="35">
        <f>IF($F438="","",IFERROR(INDEX(사건마스터!$AN$5:$AN$64,MATCH($F438,사건마스터!$A$5:$A$64,0)),""))</f>
        <v/>
      </c>
      <c r="Q438" s="35">
        <f>IF($F438="","",IFERROR(INDEX(사건마스터!$AO$5:$AO$64,MATCH($F438,사건마스터!$A$5:$A$64,0)),""))</f>
        <v/>
      </c>
      <c r="R438" s="35">
        <f>IF($F438="","",IFERROR(INDEX(사건마스터!$AP$5:$AP$64,MATCH($F438,사건마스터!$A$5:$A$64,0)),""))</f>
        <v/>
      </c>
      <c r="S438" s="35">
        <f>IF($F438="","",IFERROR(INDEX(사건마스터!$AQ$5:$AQ$64,MATCH($F438,사건마스터!$A$5:$A$64,0)),""))</f>
        <v/>
      </c>
      <c r="T438" s="35">
        <f>IF($F438="","",IFERROR(INDEX(사건마스터!$AR$5:$AR$64,MATCH($F438,사건마스터!$A$5:$A$64,0)),""))</f>
        <v/>
      </c>
      <c r="U438" s="35">
        <f>IF($F438="","",IFERROR(INDEX(사건마스터!$AS$5:$AS$64,MATCH($F438,사건마스터!$A$5:$A$64,0)),""))</f>
        <v/>
      </c>
      <c r="V438" s="35">
        <f>IF($F438="","",IFERROR(INDEX(사건마스터!$AT$5:$AT$64,MATCH($F438,사건마스터!$A$5:$A$64,0)),""))</f>
        <v/>
      </c>
      <c r="W438" s="35">
        <f>IF($F438="","",IFERROR(INDEX(사건마스터!$AU$5:$AU$64,MATCH($F438,사건마스터!$A$5:$A$64,0)),""))</f>
        <v/>
      </c>
      <c r="X438" s="35">
        <f>IF($F438="","",IFERROR(INDEX(사건마스터!$AV$5:$AV$64,MATCH($F438,사건마스터!$A$5:$A$64,0)),""))</f>
        <v/>
      </c>
      <c r="Y438" s="30">
        <f>IF($I438="","",COUNTIF($I438:$X438,"?*"))</f>
        <v/>
      </c>
      <c r="Z438" s="33">
        <f>IF($I438="","",_xlfn.TEXTJOIN(", ",TRUE,$I438:$X438))</f>
        <v/>
      </c>
      <c r="AA438" s="34">
        <f>IF($I438="","",IFERROR(INDEX(코드설정!$D$5:$D$24,MATCH($I438,코드설정!$C$5:$C$24,0)),""))</f>
        <v/>
      </c>
      <c r="AB438" s="36" t="n"/>
      <c r="AC438" s="37" t="n"/>
      <c r="AD438" s="38" t="n"/>
      <c r="AE438" s="30">
        <f>IF(OR($B438="",$C438=""),"",$C438-$B438+1)</f>
        <v/>
      </c>
      <c r="AF438" s="32" t="n"/>
      <c r="AG438" s="36" t="n"/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3">
        <f>IF($F439="","",IFERROR(INDEX(사건마스터!$B$5:$B$64,MATCH($F439,사건마스터!$A$5:$A$64,0)),""))</f>
        <v/>
      </c>
      <c r="H439" s="34">
        <f>IF($F439="","",IFERROR(INDEX(사건마스터!$C$5:$C$64,MATCH($F439,사건마스터!$A$5:$A$64,0)),""))</f>
        <v/>
      </c>
      <c r="I439" s="35">
        <f>IF($F439="","",IFERROR(INDEX(사건마스터!$H$5:$H$64,MATCH($F439,사건마스터!$A$5:$A$64,0)),""))</f>
        <v/>
      </c>
      <c r="J439" s="35">
        <f>IF($F439="","",IFERROR(INDEX(사건마스터!$AH$5:$AH$64,MATCH($F439,사건마스터!$A$5:$A$64,0)),""))</f>
        <v/>
      </c>
      <c r="K439" s="35">
        <f>IF($F439="","",IFERROR(INDEX(사건마스터!$AI$5:$AI$64,MATCH($F439,사건마스터!$A$5:$A$64,0)),""))</f>
        <v/>
      </c>
      <c r="L439" s="35">
        <f>IF($F439="","",IFERROR(INDEX(사건마스터!$AJ$5:$AJ$64,MATCH($F439,사건마스터!$A$5:$A$64,0)),""))</f>
        <v/>
      </c>
      <c r="M439" s="35">
        <f>IF($F439="","",IFERROR(INDEX(사건마스터!$AK$5:$AK$64,MATCH($F439,사건마스터!$A$5:$A$64,0)),""))</f>
        <v/>
      </c>
      <c r="N439" s="35">
        <f>IF($F439="","",IFERROR(INDEX(사건마스터!$AL$5:$AL$64,MATCH($F439,사건마스터!$A$5:$A$64,0)),""))</f>
        <v/>
      </c>
      <c r="O439" s="35">
        <f>IF($F439="","",IFERROR(INDEX(사건마스터!$AM$5:$AM$64,MATCH($F439,사건마스터!$A$5:$A$64,0)),""))</f>
        <v/>
      </c>
      <c r="P439" s="35">
        <f>IF($F439="","",IFERROR(INDEX(사건마스터!$AN$5:$AN$64,MATCH($F439,사건마스터!$A$5:$A$64,0)),""))</f>
        <v/>
      </c>
      <c r="Q439" s="35">
        <f>IF($F439="","",IFERROR(INDEX(사건마스터!$AO$5:$AO$64,MATCH($F439,사건마스터!$A$5:$A$64,0)),""))</f>
        <v/>
      </c>
      <c r="R439" s="35">
        <f>IF($F439="","",IFERROR(INDEX(사건마스터!$AP$5:$AP$64,MATCH($F439,사건마스터!$A$5:$A$64,0)),""))</f>
        <v/>
      </c>
      <c r="S439" s="35">
        <f>IF($F439="","",IFERROR(INDEX(사건마스터!$AQ$5:$AQ$64,MATCH($F439,사건마스터!$A$5:$A$64,0)),""))</f>
        <v/>
      </c>
      <c r="T439" s="35">
        <f>IF($F439="","",IFERROR(INDEX(사건마스터!$AR$5:$AR$64,MATCH($F439,사건마스터!$A$5:$A$64,0)),""))</f>
        <v/>
      </c>
      <c r="U439" s="35">
        <f>IF($F439="","",IFERROR(INDEX(사건마스터!$AS$5:$AS$64,MATCH($F439,사건마스터!$A$5:$A$64,0)),""))</f>
        <v/>
      </c>
      <c r="V439" s="35">
        <f>IF($F439="","",IFERROR(INDEX(사건마스터!$AT$5:$AT$64,MATCH($F439,사건마스터!$A$5:$A$64,0)),""))</f>
        <v/>
      </c>
      <c r="W439" s="35">
        <f>IF($F439="","",IFERROR(INDEX(사건마스터!$AU$5:$AU$64,MATCH($F439,사건마스터!$A$5:$A$64,0)),""))</f>
        <v/>
      </c>
      <c r="X439" s="35">
        <f>IF($F439="","",IFERROR(INDEX(사건마스터!$AV$5:$AV$64,MATCH($F439,사건마스터!$A$5:$A$64,0)),""))</f>
        <v/>
      </c>
      <c r="Y439" s="30">
        <f>IF($I439="","",COUNTIF($I439:$X439,"?*"))</f>
        <v/>
      </c>
      <c r="Z439" s="33">
        <f>IF($I439="","",_xlfn.TEXTJOIN(", ",TRUE,$I439:$X439))</f>
        <v/>
      </c>
      <c r="AA439" s="34">
        <f>IF($I439="","",IFERROR(INDEX(코드설정!$D$5:$D$24,MATCH($I439,코드설정!$C$5:$C$24,0)),""))</f>
        <v/>
      </c>
      <c r="AB439" s="36" t="n"/>
      <c r="AC439" s="37" t="n"/>
      <c r="AD439" s="38" t="n"/>
      <c r="AE439" s="30">
        <f>IF(OR($B439="",$C439=""),"",$C439-$B439+1)</f>
        <v/>
      </c>
      <c r="AF439" s="32" t="n"/>
      <c r="AG439" s="36" t="n"/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3">
        <f>IF($F440="","",IFERROR(INDEX(사건마스터!$B$5:$B$64,MATCH($F440,사건마스터!$A$5:$A$64,0)),""))</f>
        <v/>
      </c>
      <c r="H440" s="34">
        <f>IF($F440="","",IFERROR(INDEX(사건마스터!$C$5:$C$64,MATCH($F440,사건마스터!$A$5:$A$64,0)),""))</f>
        <v/>
      </c>
      <c r="I440" s="35">
        <f>IF($F440="","",IFERROR(INDEX(사건마스터!$H$5:$H$64,MATCH($F440,사건마스터!$A$5:$A$64,0)),""))</f>
        <v/>
      </c>
      <c r="J440" s="35">
        <f>IF($F440="","",IFERROR(INDEX(사건마스터!$AH$5:$AH$64,MATCH($F440,사건마스터!$A$5:$A$64,0)),""))</f>
        <v/>
      </c>
      <c r="K440" s="35">
        <f>IF($F440="","",IFERROR(INDEX(사건마스터!$AI$5:$AI$64,MATCH($F440,사건마스터!$A$5:$A$64,0)),""))</f>
        <v/>
      </c>
      <c r="L440" s="35">
        <f>IF($F440="","",IFERROR(INDEX(사건마스터!$AJ$5:$AJ$64,MATCH($F440,사건마스터!$A$5:$A$64,0)),""))</f>
        <v/>
      </c>
      <c r="M440" s="35">
        <f>IF($F440="","",IFERROR(INDEX(사건마스터!$AK$5:$AK$64,MATCH($F440,사건마스터!$A$5:$A$64,0)),""))</f>
        <v/>
      </c>
      <c r="N440" s="35">
        <f>IF($F440="","",IFERROR(INDEX(사건마스터!$AL$5:$AL$64,MATCH($F440,사건마스터!$A$5:$A$64,0)),""))</f>
        <v/>
      </c>
      <c r="O440" s="35">
        <f>IF($F440="","",IFERROR(INDEX(사건마스터!$AM$5:$AM$64,MATCH($F440,사건마스터!$A$5:$A$64,0)),""))</f>
        <v/>
      </c>
      <c r="P440" s="35">
        <f>IF($F440="","",IFERROR(INDEX(사건마스터!$AN$5:$AN$64,MATCH($F440,사건마스터!$A$5:$A$64,0)),""))</f>
        <v/>
      </c>
      <c r="Q440" s="35">
        <f>IF($F440="","",IFERROR(INDEX(사건마스터!$AO$5:$AO$64,MATCH($F440,사건마스터!$A$5:$A$64,0)),""))</f>
        <v/>
      </c>
      <c r="R440" s="35">
        <f>IF($F440="","",IFERROR(INDEX(사건마스터!$AP$5:$AP$64,MATCH($F440,사건마스터!$A$5:$A$64,0)),""))</f>
        <v/>
      </c>
      <c r="S440" s="35">
        <f>IF($F440="","",IFERROR(INDEX(사건마스터!$AQ$5:$AQ$64,MATCH($F440,사건마스터!$A$5:$A$64,0)),""))</f>
        <v/>
      </c>
      <c r="T440" s="35">
        <f>IF($F440="","",IFERROR(INDEX(사건마스터!$AR$5:$AR$64,MATCH($F440,사건마스터!$A$5:$A$64,0)),""))</f>
        <v/>
      </c>
      <c r="U440" s="35">
        <f>IF($F440="","",IFERROR(INDEX(사건마스터!$AS$5:$AS$64,MATCH($F440,사건마스터!$A$5:$A$64,0)),""))</f>
        <v/>
      </c>
      <c r="V440" s="35">
        <f>IF($F440="","",IFERROR(INDEX(사건마스터!$AT$5:$AT$64,MATCH($F440,사건마스터!$A$5:$A$64,0)),""))</f>
        <v/>
      </c>
      <c r="W440" s="35">
        <f>IF($F440="","",IFERROR(INDEX(사건마스터!$AU$5:$AU$64,MATCH($F440,사건마스터!$A$5:$A$64,0)),""))</f>
        <v/>
      </c>
      <c r="X440" s="35">
        <f>IF($F440="","",IFERROR(INDEX(사건마스터!$AV$5:$AV$64,MATCH($F440,사건마스터!$A$5:$A$64,0)),""))</f>
        <v/>
      </c>
      <c r="Y440" s="30">
        <f>IF($I440="","",COUNTIF($I440:$X440,"?*"))</f>
        <v/>
      </c>
      <c r="Z440" s="33">
        <f>IF($I440="","",_xlfn.TEXTJOIN(", ",TRUE,$I440:$X440))</f>
        <v/>
      </c>
      <c r="AA440" s="34">
        <f>IF($I440="","",IFERROR(INDEX(코드설정!$D$5:$D$24,MATCH($I440,코드설정!$C$5:$C$24,0)),""))</f>
        <v/>
      </c>
      <c r="AB440" s="36" t="n"/>
      <c r="AC440" s="37" t="n"/>
      <c r="AD440" s="38" t="n"/>
      <c r="AE440" s="30">
        <f>IF(OR($B440="",$C440=""),"",$C440-$B440+1)</f>
        <v/>
      </c>
      <c r="AF440" s="32" t="n"/>
      <c r="AG440" s="36" t="n"/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3">
        <f>IF($F441="","",IFERROR(INDEX(사건마스터!$B$5:$B$64,MATCH($F441,사건마스터!$A$5:$A$64,0)),""))</f>
        <v/>
      </c>
      <c r="H441" s="34">
        <f>IF($F441="","",IFERROR(INDEX(사건마스터!$C$5:$C$64,MATCH($F441,사건마스터!$A$5:$A$64,0)),""))</f>
        <v/>
      </c>
      <c r="I441" s="35">
        <f>IF($F441="","",IFERROR(INDEX(사건마스터!$H$5:$H$64,MATCH($F441,사건마스터!$A$5:$A$64,0)),""))</f>
        <v/>
      </c>
      <c r="J441" s="35">
        <f>IF($F441="","",IFERROR(INDEX(사건마스터!$AH$5:$AH$64,MATCH($F441,사건마스터!$A$5:$A$64,0)),""))</f>
        <v/>
      </c>
      <c r="K441" s="35">
        <f>IF($F441="","",IFERROR(INDEX(사건마스터!$AI$5:$AI$64,MATCH($F441,사건마스터!$A$5:$A$64,0)),""))</f>
        <v/>
      </c>
      <c r="L441" s="35">
        <f>IF($F441="","",IFERROR(INDEX(사건마스터!$AJ$5:$AJ$64,MATCH($F441,사건마스터!$A$5:$A$64,0)),""))</f>
        <v/>
      </c>
      <c r="M441" s="35">
        <f>IF($F441="","",IFERROR(INDEX(사건마스터!$AK$5:$AK$64,MATCH($F441,사건마스터!$A$5:$A$64,0)),""))</f>
        <v/>
      </c>
      <c r="N441" s="35">
        <f>IF($F441="","",IFERROR(INDEX(사건마스터!$AL$5:$AL$64,MATCH($F441,사건마스터!$A$5:$A$64,0)),""))</f>
        <v/>
      </c>
      <c r="O441" s="35">
        <f>IF($F441="","",IFERROR(INDEX(사건마스터!$AM$5:$AM$64,MATCH($F441,사건마스터!$A$5:$A$64,0)),""))</f>
        <v/>
      </c>
      <c r="P441" s="35">
        <f>IF($F441="","",IFERROR(INDEX(사건마스터!$AN$5:$AN$64,MATCH($F441,사건마스터!$A$5:$A$64,0)),""))</f>
        <v/>
      </c>
      <c r="Q441" s="35">
        <f>IF($F441="","",IFERROR(INDEX(사건마스터!$AO$5:$AO$64,MATCH($F441,사건마스터!$A$5:$A$64,0)),""))</f>
        <v/>
      </c>
      <c r="R441" s="35">
        <f>IF($F441="","",IFERROR(INDEX(사건마스터!$AP$5:$AP$64,MATCH($F441,사건마스터!$A$5:$A$64,0)),""))</f>
        <v/>
      </c>
      <c r="S441" s="35">
        <f>IF($F441="","",IFERROR(INDEX(사건마스터!$AQ$5:$AQ$64,MATCH($F441,사건마스터!$A$5:$A$64,0)),""))</f>
        <v/>
      </c>
      <c r="T441" s="35">
        <f>IF($F441="","",IFERROR(INDEX(사건마스터!$AR$5:$AR$64,MATCH($F441,사건마스터!$A$5:$A$64,0)),""))</f>
        <v/>
      </c>
      <c r="U441" s="35">
        <f>IF($F441="","",IFERROR(INDEX(사건마스터!$AS$5:$AS$64,MATCH($F441,사건마스터!$A$5:$A$64,0)),""))</f>
        <v/>
      </c>
      <c r="V441" s="35">
        <f>IF($F441="","",IFERROR(INDEX(사건마스터!$AT$5:$AT$64,MATCH($F441,사건마스터!$A$5:$A$64,0)),""))</f>
        <v/>
      </c>
      <c r="W441" s="35">
        <f>IF($F441="","",IFERROR(INDEX(사건마스터!$AU$5:$AU$64,MATCH($F441,사건마스터!$A$5:$A$64,0)),""))</f>
        <v/>
      </c>
      <c r="X441" s="35">
        <f>IF($F441="","",IFERROR(INDEX(사건마스터!$AV$5:$AV$64,MATCH($F441,사건마스터!$A$5:$A$64,0)),""))</f>
        <v/>
      </c>
      <c r="Y441" s="30">
        <f>IF($I441="","",COUNTIF($I441:$X441,"?*"))</f>
        <v/>
      </c>
      <c r="Z441" s="33">
        <f>IF($I441="","",_xlfn.TEXTJOIN(", ",TRUE,$I441:$X441))</f>
        <v/>
      </c>
      <c r="AA441" s="34">
        <f>IF($I441="","",IFERROR(INDEX(코드설정!$D$5:$D$24,MATCH($I441,코드설정!$C$5:$C$24,0)),""))</f>
        <v/>
      </c>
      <c r="AB441" s="36" t="n"/>
      <c r="AC441" s="37" t="n"/>
      <c r="AD441" s="38" t="n"/>
      <c r="AE441" s="30">
        <f>IF(OR($B441="",$C441=""),"",$C441-$B441+1)</f>
        <v/>
      </c>
      <c r="AF441" s="32" t="n"/>
      <c r="AG441" s="36" t="n"/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3">
        <f>IF($F442="","",IFERROR(INDEX(사건마스터!$B$5:$B$64,MATCH($F442,사건마스터!$A$5:$A$64,0)),""))</f>
        <v/>
      </c>
      <c r="H442" s="34">
        <f>IF($F442="","",IFERROR(INDEX(사건마스터!$C$5:$C$64,MATCH($F442,사건마스터!$A$5:$A$64,0)),""))</f>
        <v/>
      </c>
      <c r="I442" s="35">
        <f>IF($F442="","",IFERROR(INDEX(사건마스터!$H$5:$H$64,MATCH($F442,사건마스터!$A$5:$A$64,0)),""))</f>
        <v/>
      </c>
      <c r="J442" s="35">
        <f>IF($F442="","",IFERROR(INDEX(사건마스터!$AH$5:$AH$64,MATCH($F442,사건마스터!$A$5:$A$64,0)),""))</f>
        <v/>
      </c>
      <c r="K442" s="35">
        <f>IF($F442="","",IFERROR(INDEX(사건마스터!$AI$5:$AI$64,MATCH($F442,사건마스터!$A$5:$A$64,0)),""))</f>
        <v/>
      </c>
      <c r="L442" s="35">
        <f>IF($F442="","",IFERROR(INDEX(사건마스터!$AJ$5:$AJ$64,MATCH($F442,사건마스터!$A$5:$A$64,0)),""))</f>
        <v/>
      </c>
      <c r="M442" s="35">
        <f>IF($F442="","",IFERROR(INDEX(사건마스터!$AK$5:$AK$64,MATCH($F442,사건마스터!$A$5:$A$64,0)),""))</f>
        <v/>
      </c>
      <c r="N442" s="35">
        <f>IF($F442="","",IFERROR(INDEX(사건마스터!$AL$5:$AL$64,MATCH($F442,사건마스터!$A$5:$A$64,0)),""))</f>
        <v/>
      </c>
      <c r="O442" s="35">
        <f>IF($F442="","",IFERROR(INDEX(사건마스터!$AM$5:$AM$64,MATCH($F442,사건마스터!$A$5:$A$64,0)),""))</f>
        <v/>
      </c>
      <c r="P442" s="35">
        <f>IF($F442="","",IFERROR(INDEX(사건마스터!$AN$5:$AN$64,MATCH($F442,사건마스터!$A$5:$A$64,0)),""))</f>
        <v/>
      </c>
      <c r="Q442" s="35">
        <f>IF($F442="","",IFERROR(INDEX(사건마스터!$AO$5:$AO$64,MATCH($F442,사건마스터!$A$5:$A$64,0)),""))</f>
        <v/>
      </c>
      <c r="R442" s="35">
        <f>IF($F442="","",IFERROR(INDEX(사건마스터!$AP$5:$AP$64,MATCH($F442,사건마스터!$A$5:$A$64,0)),""))</f>
        <v/>
      </c>
      <c r="S442" s="35">
        <f>IF($F442="","",IFERROR(INDEX(사건마스터!$AQ$5:$AQ$64,MATCH($F442,사건마스터!$A$5:$A$64,0)),""))</f>
        <v/>
      </c>
      <c r="T442" s="35">
        <f>IF($F442="","",IFERROR(INDEX(사건마스터!$AR$5:$AR$64,MATCH($F442,사건마스터!$A$5:$A$64,0)),""))</f>
        <v/>
      </c>
      <c r="U442" s="35">
        <f>IF($F442="","",IFERROR(INDEX(사건마스터!$AS$5:$AS$64,MATCH($F442,사건마스터!$A$5:$A$64,0)),""))</f>
        <v/>
      </c>
      <c r="V442" s="35">
        <f>IF($F442="","",IFERROR(INDEX(사건마스터!$AT$5:$AT$64,MATCH($F442,사건마스터!$A$5:$A$64,0)),""))</f>
        <v/>
      </c>
      <c r="W442" s="35">
        <f>IF($F442="","",IFERROR(INDEX(사건마스터!$AU$5:$AU$64,MATCH($F442,사건마스터!$A$5:$A$64,0)),""))</f>
        <v/>
      </c>
      <c r="X442" s="35">
        <f>IF($F442="","",IFERROR(INDEX(사건마스터!$AV$5:$AV$64,MATCH($F442,사건마스터!$A$5:$A$64,0)),""))</f>
        <v/>
      </c>
      <c r="Y442" s="30">
        <f>IF($I442="","",COUNTIF($I442:$X442,"?*"))</f>
        <v/>
      </c>
      <c r="Z442" s="33">
        <f>IF($I442="","",_xlfn.TEXTJOIN(", ",TRUE,$I442:$X442))</f>
        <v/>
      </c>
      <c r="AA442" s="34">
        <f>IF($I442="","",IFERROR(INDEX(코드설정!$D$5:$D$24,MATCH($I442,코드설정!$C$5:$C$24,0)),""))</f>
        <v/>
      </c>
      <c r="AB442" s="36" t="n"/>
      <c r="AC442" s="37" t="n"/>
      <c r="AD442" s="38" t="n"/>
      <c r="AE442" s="30">
        <f>IF(OR($B442="",$C442=""),"",$C442-$B442+1)</f>
        <v/>
      </c>
      <c r="AF442" s="32" t="n"/>
      <c r="AG442" s="36" t="n"/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3">
        <f>IF($F443="","",IFERROR(INDEX(사건마스터!$B$5:$B$64,MATCH($F443,사건마스터!$A$5:$A$64,0)),""))</f>
        <v/>
      </c>
      <c r="H443" s="34">
        <f>IF($F443="","",IFERROR(INDEX(사건마스터!$C$5:$C$64,MATCH($F443,사건마스터!$A$5:$A$64,0)),""))</f>
        <v/>
      </c>
      <c r="I443" s="35">
        <f>IF($F443="","",IFERROR(INDEX(사건마스터!$H$5:$H$64,MATCH($F443,사건마스터!$A$5:$A$64,0)),""))</f>
        <v/>
      </c>
      <c r="J443" s="35">
        <f>IF($F443="","",IFERROR(INDEX(사건마스터!$AH$5:$AH$64,MATCH($F443,사건마스터!$A$5:$A$64,0)),""))</f>
        <v/>
      </c>
      <c r="K443" s="35">
        <f>IF($F443="","",IFERROR(INDEX(사건마스터!$AI$5:$AI$64,MATCH($F443,사건마스터!$A$5:$A$64,0)),""))</f>
        <v/>
      </c>
      <c r="L443" s="35">
        <f>IF($F443="","",IFERROR(INDEX(사건마스터!$AJ$5:$AJ$64,MATCH($F443,사건마스터!$A$5:$A$64,0)),""))</f>
        <v/>
      </c>
      <c r="M443" s="35">
        <f>IF($F443="","",IFERROR(INDEX(사건마스터!$AK$5:$AK$64,MATCH($F443,사건마스터!$A$5:$A$64,0)),""))</f>
        <v/>
      </c>
      <c r="N443" s="35">
        <f>IF($F443="","",IFERROR(INDEX(사건마스터!$AL$5:$AL$64,MATCH($F443,사건마스터!$A$5:$A$64,0)),""))</f>
        <v/>
      </c>
      <c r="O443" s="35">
        <f>IF($F443="","",IFERROR(INDEX(사건마스터!$AM$5:$AM$64,MATCH($F443,사건마스터!$A$5:$A$64,0)),""))</f>
        <v/>
      </c>
      <c r="P443" s="35">
        <f>IF($F443="","",IFERROR(INDEX(사건마스터!$AN$5:$AN$64,MATCH($F443,사건마스터!$A$5:$A$64,0)),""))</f>
        <v/>
      </c>
      <c r="Q443" s="35">
        <f>IF($F443="","",IFERROR(INDEX(사건마스터!$AO$5:$AO$64,MATCH($F443,사건마스터!$A$5:$A$64,0)),""))</f>
        <v/>
      </c>
      <c r="R443" s="35">
        <f>IF($F443="","",IFERROR(INDEX(사건마스터!$AP$5:$AP$64,MATCH($F443,사건마스터!$A$5:$A$64,0)),""))</f>
        <v/>
      </c>
      <c r="S443" s="35">
        <f>IF($F443="","",IFERROR(INDEX(사건마스터!$AQ$5:$AQ$64,MATCH($F443,사건마스터!$A$5:$A$64,0)),""))</f>
        <v/>
      </c>
      <c r="T443" s="35">
        <f>IF($F443="","",IFERROR(INDEX(사건마스터!$AR$5:$AR$64,MATCH($F443,사건마스터!$A$5:$A$64,0)),""))</f>
        <v/>
      </c>
      <c r="U443" s="35">
        <f>IF($F443="","",IFERROR(INDEX(사건마스터!$AS$5:$AS$64,MATCH($F443,사건마스터!$A$5:$A$64,0)),""))</f>
        <v/>
      </c>
      <c r="V443" s="35">
        <f>IF($F443="","",IFERROR(INDEX(사건마스터!$AT$5:$AT$64,MATCH($F443,사건마스터!$A$5:$A$64,0)),""))</f>
        <v/>
      </c>
      <c r="W443" s="35">
        <f>IF($F443="","",IFERROR(INDEX(사건마스터!$AU$5:$AU$64,MATCH($F443,사건마스터!$A$5:$A$64,0)),""))</f>
        <v/>
      </c>
      <c r="X443" s="35">
        <f>IF($F443="","",IFERROR(INDEX(사건마스터!$AV$5:$AV$64,MATCH($F443,사건마스터!$A$5:$A$64,0)),""))</f>
        <v/>
      </c>
      <c r="Y443" s="30">
        <f>IF($I443="","",COUNTIF($I443:$X443,"?*"))</f>
        <v/>
      </c>
      <c r="Z443" s="33">
        <f>IF($I443="","",_xlfn.TEXTJOIN(", ",TRUE,$I443:$X443))</f>
        <v/>
      </c>
      <c r="AA443" s="34">
        <f>IF($I443="","",IFERROR(INDEX(코드설정!$D$5:$D$24,MATCH($I443,코드설정!$C$5:$C$24,0)),""))</f>
        <v/>
      </c>
      <c r="AB443" s="36" t="n"/>
      <c r="AC443" s="37" t="n"/>
      <c r="AD443" s="38" t="n"/>
      <c r="AE443" s="30">
        <f>IF(OR($B443="",$C443=""),"",$C443-$B443+1)</f>
        <v/>
      </c>
      <c r="AF443" s="32" t="n"/>
      <c r="AG443" s="36" t="n"/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3">
        <f>IF($F444="","",IFERROR(INDEX(사건마스터!$B$5:$B$64,MATCH($F444,사건마스터!$A$5:$A$64,0)),""))</f>
        <v/>
      </c>
      <c r="H444" s="34">
        <f>IF($F444="","",IFERROR(INDEX(사건마스터!$C$5:$C$64,MATCH($F444,사건마스터!$A$5:$A$64,0)),""))</f>
        <v/>
      </c>
      <c r="I444" s="35">
        <f>IF($F444="","",IFERROR(INDEX(사건마스터!$H$5:$H$64,MATCH($F444,사건마스터!$A$5:$A$64,0)),""))</f>
        <v/>
      </c>
      <c r="J444" s="35">
        <f>IF($F444="","",IFERROR(INDEX(사건마스터!$AH$5:$AH$64,MATCH($F444,사건마스터!$A$5:$A$64,0)),""))</f>
        <v/>
      </c>
      <c r="K444" s="35">
        <f>IF($F444="","",IFERROR(INDEX(사건마스터!$AI$5:$AI$64,MATCH($F444,사건마스터!$A$5:$A$64,0)),""))</f>
        <v/>
      </c>
      <c r="L444" s="35">
        <f>IF($F444="","",IFERROR(INDEX(사건마스터!$AJ$5:$AJ$64,MATCH($F444,사건마스터!$A$5:$A$64,0)),""))</f>
        <v/>
      </c>
      <c r="M444" s="35">
        <f>IF($F444="","",IFERROR(INDEX(사건마스터!$AK$5:$AK$64,MATCH($F444,사건마스터!$A$5:$A$64,0)),""))</f>
        <v/>
      </c>
      <c r="N444" s="35">
        <f>IF($F444="","",IFERROR(INDEX(사건마스터!$AL$5:$AL$64,MATCH($F444,사건마스터!$A$5:$A$64,0)),""))</f>
        <v/>
      </c>
      <c r="O444" s="35">
        <f>IF($F444="","",IFERROR(INDEX(사건마스터!$AM$5:$AM$64,MATCH($F444,사건마스터!$A$5:$A$64,0)),""))</f>
        <v/>
      </c>
      <c r="P444" s="35">
        <f>IF($F444="","",IFERROR(INDEX(사건마스터!$AN$5:$AN$64,MATCH($F444,사건마스터!$A$5:$A$64,0)),""))</f>
        <v/>
      </c>
      <c r="Q444" s="35">
        <f>IF($F444="","",IFERROR(INDEX(사건마스터!$AO$5:$AO$64,MATCH($F444,사건마스터!$A$5:$A$64,0)),""))</f>
        <v/>
      </c>
      <c r="R444" s="35">
        <f>IF($F444="","",IFERROR(INDEX(사건마스터!$AP$5:$AP$64,MATCH($F444,사건마스터!$A$5:$A$64,0)),""))</f>
        <v/>
      </c>
      <c r="S444" s="35">
        <f>IF($F444="","",IFERROR(INDEX(사건마스터!$AQ$5:$AQ$64,MATCH($F444,사건마스터!$A$5:$A$64,0)),""))</f>
        <v/>
      </c>
      <c r="T444" s="35">
        <f>IF($F444="","",IFERROR(INDEX(사건마스터!$AR$5:$AR$64,MATCH($F444,사건마스터!$A$5:$A$64,0)),""))</f>
        <v/>
      </c>
      <c r="U444" s="35">
        <f>IF($F444="","",IFERROR(INDEX(사건마스터!$AS$5:$AS$64,MATCH($F444,사건마스터!$A$5:$A$64,0)),""))</f>
        <v/>
      </c>
      <c r="V444" s="35">
        <f>IF($F444="","",IFERROR(INDEX(사건마스터!$AT$5:$AT$64,MATCH($F444,사건마스터!$A$5:$A$64,0)),""))</f>
        <v/>
      </c>
      <c r="W444" s="35">
        <f>IF($F444="","",IFERROR(INDEX(사건마스터!$AU$5:$AU$64,MATCH($F444,사건마스터!$A$5:$A$64,0)),""))</f>
        <v/>
      </c>
      <c r="X444" s="35">
        <f>IF($F444="","",IFERROR(INDEX(사건마스터!$AV$5:$AV$64,MATCH($F444,사건마스터!$A$5:$A$64,0)),""))</f>
        <v/>
      </c>
      <c r="Y444" s="30">
        <f>IF($I444="","",COUNTIF($I444:$X444,"?*"))</f>
        <v/>
      </c>
      <c r="Z444" s="33">
        <f>IF($I444="","",_xlfn.TEXTJOIN(", ",TRUE,$I444:$X444))</f>
        <v/>
      </c>
      <c r="AA444" s="34">
        <f>IF($I444="","",IFERROR(INDEX(코드설정!$D$5:$D$24,MATCH($I444,코드설정!$C$5:$C$24,0)),""))</f>
        <v/>
      </c>
      <c r="AB444" s="36" t="n"/>
      <c r="AC444" s="37" t="n"/>
      <c r="AD444" s="38" t="n"/>
      <c r="AE444" s="30">
        <f>IF(OR($B444="",$C444=""),"",$C444-$B444+1)</f>
        <v/>
      </c>
      <c r="AF444" s="32" t="n"/>
      <c r="AG444" s="36" t="n"/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3">
        <f>IF($F445="","",IFERROR(INDEX(사건마스터!$B$5:$B$64,MATCH($F445,사건마스터!$A$5:$A$64,0)),""))</f>
        <v/>
      </c>
      <c r="H445" s="34">
        <f>IF($F445="","",IFERROR(INDEX(사건마스터!$C$5:$C$64,MATCH($F445,사건마스터!$A$5:$A$64,0)),""))</f>
        <v/>
      </c>
      <c r="I445" s="35">
        <f>IF($F445="","",IFERROR(INDEX(사건마스터!$H$5:$H$64,MATCH($F445,사건마스터!$A$5:$A$64,0)),""))</f>
        <v/>
      </c>
      <c r="J445" s="35">
        <f>IF($F445="","",IFERROR(INDEX(사건마스터!$AH$5:$AH$64,MATCH($F445,사건마스터!$A$5:$A$64,0)),""))</f>
        <v/>
      </c>
      <c r="K445" s="35">
        <f>IF($F445="","",IFERROR(INDEX(사건마스터!$AI$5:$AI$64,MATCH($F445,사건마스터!$A$5:$A$64,0)),""))</f>
        <v/>
      </c>
      <c r="L445" s="35">
        <f>IF($F445="","",IFERROR(INDEX(사건마스터!$AJ$5:$AJ$64,MATCH($F445,사건마스터!$A$5:$A$64,0)),""))</f>
        <v/>
      </c>
      <c r="M445" s="35">
        <f>IF($F445="","",IFERROR(INDEX(사건마스터!$AK$5:$AK$64,MATCH($F445,사건마스터!$A$5:$A$64,0)),""))</f>
        <v/>
      </c>
      <c r="N445" s="35">
        <f>IF($F445="","",IFERROR(INDEX(사건마스터!$AL$5:$AL$64,MATCH($F445,사건마스터!$A$5:$A$64,0)),""))</f>
        <v/>
      </c>
      <c r="O445" s="35">
        <f>IF($F445="","",IFERROR(INDEX(사건마스터!$AM$5:$AM$64,MATCH($F445,사건마스터!$A$5:$A$64,0)),""))</f>
        <v/>
      </c>
      <c r="P445" s="35">
        <f>IF($F445="","",IFERROR(INDEX(사건마스터!$AN$5:$AN$64,MATCH($F445,사건마스터!$A$5:$A$64,0)),""))</f>
        <v/>
      </c>
      <c r="Q445" s="35">
        <f>IF($F445="","",IFERROR(INDEX(사건마스터!$AO$5:$AO$64,MATCH($F445,사건마스터!$A$5:$A$64,0)),""))</f>
        <v/>
      </c>
      <c r="R445" s="35">
        <f>IF($F445="","",IFERROR(INDEX(사건마스터!$AP$5:$AP$64,MATCH($F445,사건마스터!$A$5:$A$64,0)),""))</f>
        <v/>
      </c>
      <c r="S445" s="35">
        <f>IF($F445="","",IFERROR(INDEX(사건마스터!$AQ$5:$AQ$64,MATCH($F445,사건마스터!$A$5:$A$64,0)),""))</f>
        <v/>
      </c>
      <c r="T445" s="35">
        <f>IF($F445="","",IFERROR(INDEX(사건마스터!$AR$5:$AR$64,MATCH($F445,사건마스터!$A$5:$A$64,0)),""))</f>
        <v/>
      </c>
      <c r="U445" s="35">
        <f>IF($F445="","",IFERROR(INDEX(사건마스터!$AS$5:$AS$64,MATCH($F445,사건마스터!$A$5:$A$64,0)),""))</f>
        <v/>
      </c>
      <c r="V445" s="35">
        <f>IF($F445="","",IFERROR(INDEX(사건마스터!$AT$5:$AT$64,MATCH($F445,사건마스터!$A$5:$A$64,0)),""))</f>
        <v/>
      </c>
      <c r="W445" s="35">
        <f>IF($F445="","",IFERROR(INDEX(사건마스터!$AU$5:$AU$64,MATCH($F445,사건마스터!$A$5:$A$64,0)),""))</f>
        <v/>
      </c>
      <c r="X445" s="35">
        <f>IF($F445="","",IFERROR(INDEX(사건마스터!$AV$5:$AV$64,MATCH($F445,사건마스터!$A$5:$A$64,0)),""))</f>
        <v/>
      </c>
      <c r="Y445" s="30">
        <f>IF($I445="","",COUNTIF($I445:$X445,"?*"))</f>
        <v/>
      </c>
      <c r="Z445" s="33">
        <f>IF($I445="","",_xlfn.TEXTJOIN(", ",TRUE,$I445:$X445))</f>
        <v/>
      </c>
      <c r="AA445" s="34">
        <f>IF($I445="","",IFERROR(INDEX(코드설정!$D$5:$D$24,MATCH($I445,코드설정!$C$5:$C$24,0)),""))</f>
        <v/>
      </c>
      <c r="AB445" s="36" t="n"/>
      <c r="AC445" s="37" t="n"/>
      <c r="AD445" s="38" t="n"/>
      <c r="AE445" s="30">
        <f>IF(OR($B445="",$C445=""),"",$C445-$B445+1)</f>
        <v/>
      </c>
      <c r="AF445" s="32" t="n"/>
      <c r="AG445" s="36" t="n"/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3">
        <f>IF($F446="","",IFERROR(INDEX(사건마스터!$B$5:$B$64,MATCH($F446,사건마스터!$A$5:$A$64,0)),""))</f>
        <v/>
      </c>
      <c r="H446" s="34">
        <f>IF($F446="","",IFERROR(INDEX(사건마스터!$C$5:$C$64,MATCH($F446,사건마스터!$A$5:$A$64,0)),""))</f>
        <v/>
      </c>
      <c r="I446" s="35">
        <f>IF($F446="","",IFERROR(INDEX(사건마스터!$H$5:$H$64,MATCH($F446,사건마스터!$A$5:$A$64,0)),""))</f>
        <v/>
      </c>
      <c r="J446" s="35">
        <f>IF($F446="","",IFERROR(INDEX(사건마스터!$AH$5:$AH$64,MATCH($F446,사건마스터!$A$5:$A$64,0)),""))</f>
        <v/>
      </c>
      <c r="K446" s="35">
        <f>IF($F446="","",IFERROR(INDEX(사건마스터!$AI$5:$AI$64,MATCH($F446,사건마스터!$A$5:$A$64,0)),""))</f>
        <v/>
      </c>
      <c r="L446" s="35">
        <f>IF($F446="","",IFERROR(INDEX(사건마스터!$AJ$5:$AJ$64,MATCH($F446,사건마스터!$A$5:$A$64,0)),""))</f>
        <v/>
      </c>
      <c r="M446" s="35">
        <f>IF($F446="","",IFERROR(INDEX(사건마스터!$AK$5:$AK$64,MATCH($F446,사건마스터!$A$5:$A$64,0)),""))</f>
        <v/>
      </c>
      <c r="N446" s="35">
        <f>IF($F446="","",IFERROR(INDEX(사건마스터!$AL$5:$AL$64,MATCH($F446,사건마스터!$A$5:$A$64,0)),""))</f>
        <v/>
      </c>
      <c r="O446" s="35">
        <f>IF($F446="","",IFERROR(INDEX(사건마스터!$AM$5:$AM$64,MATCH($F446,사건마스터!$A$5:$A$64,0)),""))</f>
        <v/>
      </c>
      <c r="P446" s="35">
        <f>IF($F446="","",IFERROR(INDEX(사건마스터!$AN$5:$AN$64,MATCH($F446,사건마스터!$A$5:$A$64,0)),""))</f>
        <v/>
      </c>
      <c r="Q446" s="35">
        <f>IF($F446="","",IFERROR(INDEX(사건마스터!$AO$5:$AO$64,MATCH($F446,사건마스터!$A$5:$A$64,0)),""))</f>
        <v/>
      </c>
      <c r="R446" s="35">
        <f>IF($F446="","",IFERROR(INDEX(사건마스터!$AP$5:$AP$64,MATCH($F446,사건마스터!$A$5:$A$64,0)),""))</f>
        <v/>
      </c>
      <c r="S446" s="35">
        <f>IF($F446="","",IFERROR(INDEX(사건마스터!$AQ$5:$AQ$64,MATCH($F446,사건마스터!$A$5:$A$64,0)),""))</f>
        <v/>
      </c>
      <c r="T446" s="35">
        <f>IF($F446="","",IFERROR(INDEX(사건마스터!$AR$5:$AR$64,MATCH($F446,사건마스터!$A$5:$A$64,0)),""))</f>
        <v/>
      </c>
      <c r="U446" s="35">
        <f>IF($F446="","",IFERROR(INDEX(사건마스터!$AS$5:$AS$64,MATCH($F446,사건마스터!$A$5:$A$64,0)),""))</f>
        <v/>
      </c>
      <c r="V446" s="35">
        <f>IF($F446="","",IFERROR(INDEX(사건마스터!$AT$5:$AT$64,MATCH($F446,사건마스터!$A$5:$A$64,0)),""))</f>
        <v/>
      </c>
      <c r="W446" s="35">
        <f>IF($F446="","",IFERROR(INDEX(사건마스터!$AU$5:$AU$64,MATCH($F446,사건마스터!$A$5:$A$64,0)),""))</f>
        <v/>
      </c>
      <c r="X446" s="35">
        <f>IF($F446="","",IFERROR(INDEX(사건마스터!$AV$5:$AV$64,MATCH($F446,사건마스터!$A$5:$A$64,0)),""))</f>
        <v/>
      </c>
      <c r="Y446" s="30">
        <f>IF($I446="","",COUNTIF($I446:$X446,"?*"))</f>
        <v/>
      </c>
      <c r="Z446" s="33">
        <f>IF($I446="","",_xlfn.TEXTJOIN(", ",TRUE,$I446:$X446))</f>
        <v/>
      </c>
      <c r="AA446" s="34">
        <f>IF($I446="","",IFERROR(INDEX(코드설정!$D$5:$D$24,MATCH($I446,코드설정!$C$5:$C$24,0)),""))</f>
        <v/>
      </c>
      <c r="AB446" s="36" t="n"/>
      <c r="AC446" s="37" t="n"/>
      <c r="AD446" s="38" t="n"/>
      <c r="AE446" s="30">
        <f>IF(OR($B446="",$C446=""),"",$C446-$B446+1)</f>
        <v/>
      </c>
      <c r="AF446" s="32" t="n"/>
      <c r="AG446" s="36" t="n"/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3">
        <f>IF($F447="","",IFERROR(INDEX(사건마스터!$B$5:$B$64,MATCH($F447,사건마스터!$A$5:$A$64,0)),""))</f>
        <v/>
      </c>
      <c r="H447" s="34">
        <f>IF($F447="","",IFERROR(INDEX(사건마스터!$C$5:$C$64,MATCH($F447,사건마스터!$A$5:$A$64,0)),""))</f>
        <v/>
      </c>
      <c r="I447" s="35">
        <f>IF($F447="","",IFERROR(INDEX(사건마스터!$H$5:$H$64,MATCH($F447,사건마스터!$A$5:$A$64,0)),""))</f>
        <v/>
      </c>
      <c r="J447" s="35">
        <f>IF($F447="","",IFERROR(INDEX(사건마스터!$AH$5:$AH$64,MATCH($F447,사건마스터!$A$5:$A$64,0)),""))</f>
        <v/>
      </c>
      <c r="K447" s="35">
        <f>IF($F447="","",IFERROR(INDEX(사건마스터!$AI$5:$AI$64,MATCH($F447,사건마스터!$A$5:$A$64,0)),""))</f>
        <v/>
      </c>
      <c r="L447" s="35">
        <f>IF($F447="","",IFERROR(INDEX(사건마스터!$AJ$5:$AJ$64,MATCH($F447,사건마스터!$A$5:$A$64,0)),""))</f>
        <v/>
      </c>
      <c r="M447" s="35">
        <f>IF($F447="","",IFERROR(INDEX(사건마스터!$AK$5:$AK$64,MATCH($F447,사건마스터!$A$5:$A$64,0)),""))</f>
        <v/>
      </c>
      <c r="N447" s="35">
        <f>IF($F447="","",IFERROR(INDEX(사건마스터!$AL$5:$AL$64,MATCH($F447,사건마스터!$A$5:$A$64,0)),""))</f>
        <v/>
      </c>
      <c r="O447" s="35">
        <f>IF($F447="","",IFERROR(INDEX(사건마스터!$AM$5:$AM$64,MATCH($F447,사건마스터!$A$5:$A$64,0)),""))</f>
        <v/>
      </c>
      <c r="P447" s="35">
        <f>IF($F447="","",IFERROR(INDEX(사건마스터!$AN$5:$AN$64,MATCH($F447,사건마스터!$A$5:$A$64,0)),""))</f>
        <v/>
      </c>
      <c r="Q447" s="35">
        <f>IF($F447="","",IFERROR(INDEX(사건마스터!$AO$5:$AO$64,MATCH($F447,사건마스터!$A$5:$A$64,0)),""))</f>
        <v/>
      </c>
      <c r="R447" s="35">
        <f>IF($F447="","",IFERROR(INDEX(사건마스터!$AP$5:$AP$64,MATCH($F447,사건마스터!$A$5:$A$64,0)),""))</f>
        <v/>
      </c>
      <c r="S447" s="35">
        <f>IF($F447="","",IFERROR(INDEX(사건마스터!$AQ$5:$AQ$64,MATCH($F447,사건마스터!$A$5:$A$64,0)),""))</f>
        <v/>
      </c>
      <c r="T447" s="35">
        <f>IF($F447="","",IFERROR(INDEX(사건마스터!$AR$5:$AR$64,MATCH($F447,사건마스터!$A$5:$A$64,0)),""))</f>
        <v/>
      </c>
      <c r="U447" s="35">
        <f>IF($F447="","",IFERROR(INDEX(사건마스터!$AS$5:$AS$64,MATCH($F447,사건마스터!$A$5:$A$64,0)),""))</f>
        <v/>
      </c>
      <c r="V447" s="35">
        <f>IF($F447="","",IFERROR(INDEX(사건마스터!$AT$5:$AT$64,MATCH($F447,사건마스터!$A$5:$A$64,0)),""))</f>
        <v/>
      </c>
      <c r="W447" s="35">
        <f>IF($F447="","",IFERROR(INDEX(사건마스터!$AU$5:$AU$64,MATCH($F447,사건마스터!$A$5:$A$64,0)),""))</f>
        <v/>
      </c>
      <c r="X447" s="35">
        <f>IF($F447="","",IFERROR(INDEX(사건마스터!$AV$5:$AV$64,MATCH($F447,사건마스터!$A$5:$A$64,0)),""))</f>
        <v/>
      </c>
      <c r="Y447" s="30">
        <f>IF($I447="","",COUNTIF($I447:$X447,"?*"))</f>
        <v/>
      </c>
      <c r="Z447" s="33">
        <f>IF($I447="","",_xlfn.TEXTJOIN(", ",TRUE,$I447:$X447))</f>
        <v/>
      </c>
      <c r="AA447" s="34">
        <f>IF($I447="","",IFERROR(INDEX(코드설정!$D$5:$D$24,MATCH($I447,코드설정!$C$5:$C$24,0)),""))</f>
        <v/>
      </c>
      <c r="AB447" s="36" t="n"/>
      <c r="AC447" s="37" t="n"/>
      <c r="AD447" s="38" t="n"/>
      <c r="AE447" s="30">
        <f>IF(OR($B447="",$C447=""),"",$C447-$B447+1)</f>
        <v/>
      </c>
      <c r="AF447" s="32" t="n"/>
      <c r="AG447" s="36" t="n"/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3">
        <f>IF($F448="","",IFERROR(INDEX(사건마스터!$B$5:$B$64,MATCH($F448,사건마스터!$A$5:$A$64,0)),""))</f>
        <v/>
      </c>
      <c r="H448" s="34">
        <f>IF($F448="","",IFERROR(INDEX(사건마스터!$C$5:$C$64,MATCH($F448,사건마스터!$A$5:$A$64,0)),""))</f>
        <v/>
      </c>
      <c r="I448" s="35">
        <f>IF($F448="","",IFERROR(INDEX(사건마스터!$H$5:$H$64,MATCH($F448,사건마스터!$A$5:$A$64,0)),""))</f>
        <v/>
      </c>
      <c r="J448" s="35">
        <f>IF($F448="","",IFERROR(INDEX(사건마스터!$AH$5:$AH$64,MATCH($F448,사건마스터!$A$5:$A$64,0)),""))</f>
        <v/>
      </c>
      <c r="K448" s="35">
        <f>IF($F448="","",IFERROR(INDEX(사건마스터!$AI$5:$AI$64,MATCH($F448,사건마스터!$A$5:$A$64,0)),""))</f>
        <v/>
      </c>
      <c r="L448" s="35">
        <f>IF($F448="","",IFERROR(INDEX(사건마스터!$AJ$5:$AJ$64,MATCH($F448,사건마스터!$A$5:$A$64,0)),""))</f>
        <v/>
      </c>
      <c r="M448" s="35">
        <f>IF($F448="","",IFERROR(INDEX(사건마스터!$AK$5:$AK$64,MATCH($F448,사건마스터!$A$5:$A$64,0)),""))</f>
        <v/>
      </c>
      <c r="N448" s="35">
        <f>IF($F448="","",IFERROR(INDEX(사건마스터!$AL$5:$AL$64,MATCH($F448,사건마스터!$A$5:$A$64,0)),""))</f>
        <v/>
      </c>
      <c r="O448" s="35">
        <f>IF($F448="","",IFERROR(INDEX(사건마스터!$AM$5:$AM$64,MATCH($F448,사건마스터!$A$5:$A$64,0)),""))</f>
        <v/>
      </c>
      <c r="P448" s="35">
        <f>IF($F448="","",IFERROR(INDEX(사건마스터!$AN$5:$AN$64,MATCH($F448,사건마스터!$A$5:$A$64,0)),""))</f>
        <v/>
      </c>
      <c r="Q448" s="35">
        <f>IF($F448="","",IFERROR(INDEX(사건마스터!$AO$5:$AO$64,MATCH($F448,사건마스터!$A$5:$A$64,0)),""))</f>
        <v/>
      </c>
      <c r="R448" s="35">
        <f>IF($F448="","",IFERROR(INDEX(사건마스터!$AP$5:$AP$64,MATCH($F448,사건마스터!$A$5:$A$64,0)),""))</f>
        <v/>
      </c>
      <c r="S448" s="35">
        <f>IF($F448="","",IFERROR(INDEX(사건마스터!$AQ$5:$AQ$64,MATCH($F448,사건마스터!$A$5:$A$64,0)),""))</f>
        <v/>
      </c>
      <c r="T448" s="35">
        <f>IF($F448="","",IFERROR(INDEX(사건마스터!$AR$5:$AR$64,MATCH($F448,사건마스터!$A$5:$A$64,0)),""))</f>
        <v/>
      </c>
      <c r="U448" s="35">
        <f>IF($F448="","",IFERROR(INDEX(사건마스터!$AS$5:$AS$64,MATCH($F448,사건마스터!$A$5:$A$64,0)),""))</f>
        <v/>
      </c>
      <c r="V448" s="35">
        <f>IF($F448="","",IFERROR(INDEX(사건마스터!$AT$5:$AT$64,MATCH($F448,사건마스터!$A$5:$A$64,0)),""))</f>
        <v/>
      </c>
      <c r="W448" s="35">
        <f>IF($F448="","",IFERROR(INDEX(사건마스터!$AU$5:$AU$64,MATCH($F448,사건마스터!$A$5:$A$64,0)),""))</f>
        <v/>
      </c>
      <c r="X448" s="35">
        <f>IF($F448="","",IFERROR(INDEX(사건마스터!$AV$5:$AV$64,MATCH($F448,사건마스터!$A$5:$A$64,0)),""))</f>
        <v/>
      </c>
      <c r="Y448" s="30">
        <f>IF($I448="","",COUNTIF($I448:$X448,"?*"))</f>
        <v/>
      </c>
      <c r="Z448" s="33">
        <f>IF($I448="","",_xlfn.TEXTJOIN(", ",TRUE,$I448:$X448))</f>
        <v/>
      </c>
      <c r="AA448" s="34">
        <f>IF($I448="","",IFERROR(INDEX(코드설정!$D$5:$D$24,MATCH($I448,코드설정!$C$5:$C$24,0)),""))</f>
        <v/>
      </c>
      <c r="AB448" s="36" t="n"/>
      <c r="AC448" s="37" t="n"/>
      <c r="AD448" s="38" t="n"/>
      <c r="AE448" s="30">
        <f>IF(OR($B448="",$C448=""),"",$C448-$B448+1)</f>
        <v/>
      </c>
      <c r="AF448" s="32" t="n"/>
      <c r="AG448" s="36" t="n"/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3">
        <f>IF($F449="","",IFERROR(INDEX(사건마스터!$B$5:$B$64,MATCH($F449,사건마스터!$A$5:$A$64,0)),""))</f>
        <v/>
      </c>
      <c r="H449" s="34">
        <f>IF($F449="","",IFERROR(INDEX(사건마스터!$C$5:$C$64,MATCH($F449,사건마스터!$A$5:$A$64,0)),""))</f>
        <v/>
      </c>
      <c r="I449" s="35">
        <f>IF($F449="","",IFERROR(INDEX(사건마스터!$H$5:$H$64,MATCH($F449,사건마스터!$A$5:$A$64,0)),""))</f>
        <v/>
      </c>
      <c r="J449" s="35">
        <f>IF($F449="","",IFERROR(INDEX(사건마스터!$AH$5:$AH$64,MATCH($F449,사건마스터!$A$5:$A$64,0)),""))</f>
        <v/>
      </c>
      <c r="K449" s="35">
        <f>IF($F449="","",IFERROR(INDEX(사건마스터!$AI$5:$AI$64,MATCH($F449,사건마스터!$A$5:$A$64,0)),""))</f>
        <v/>
      </c>
      <c r="L449" s="35">
        <f>IF($F449="","",IFERROR(INDEX(사건마스터!$AJ$5:$AJ$64,MATCH($F449,사건마스터!$A$5:$A$64,0)),""))</f>
        <v/>
      </c>
      <c r="M449" s="35">
        <f>IF($F449="","",IFERROR(INDEX(사건마스터!$AK$5:$AK$64,MATCH($F449,사건마스터!$A$5:$A$64,0)),""))</f>
        <v/>
      </c>
      <c r="N449" s="35">
        <f>IF($F449="","",IFERROR(INDEX(사건마스터!$AL$5:$AL$64,MATCH($F449,사건마스터!$A$5:$A$64,0)),""))</f>
        <v/>
      </c>
      <c r="O449" s="35">
        <f>IF($F449="","",IFERROR(INDEX(사건마스터!$AM$5:$AM$64,MATCH($F449,사건마스터!$A$5:$A$64,0)),""))</f>
        <v/>
      </c>
      <c r="P449" s="35">
        <f>IF($F449="","",IFERROR(INDEX(사건마스터!$AN$5:$AN$64,MATCH($F449,사건마스터!$A$5:$A$64,0)),""))</f>
        <v/>
      </c>
      <c r="Q449" s="35">
        <f>IF($F449="","",IFERROR(INDEX(사건마스터!$AO$5:$AO$64,MATCH($F449,사건마스터!$A$5:$A$64,0)),""))</f>
        <v/>
      </c>
      <c r="R449" s="35">
        <f>IF($F449="","",IFERROR(INDEX(사건마스터!$AP$5:$AP$64,MATCH($F449,사건마스터!$A$5:$A$64,0)),""))</f>
        <v/>
      </c>
      <c r="S449" s="35">
        <f>IF($F449="","",IFERROR(INDEX(사건마스터!$AQ$5:$AQ$64,MATCH($F449,사건마스터!$A$5:$A$64,0)),""))</f>
        <v/>
      </c>
      <c r="T449" s="35">
        <f>IF($F449="","",IFERROR(INDEX(사건마스터!$AR$5:$AR$64,MATCH($F449,사건마스터!$A$5:$A$64,0)),""))</f>
        <v/>
      </c>
      <c r="U449" s="35">
        <f>IF($F449="","",IFERROR(INDEX(사건마스터!$AS$5:$AS$64,MATCH($F449,사건마스터!$A$5:$A$64,0)),""))</f>
        <v/>
      </c>
      <c r="V449" s="35">
        <f>IF($F449="","",IFERROR(INDEX(사건마스터!$AT$5:$AT$64,MATCH($F449,사건마스터!$A$5:$A$64,0)),""))</f>
        <v/>
      </c>
      <c r="W449" s="35">
        <f>IF($F449="","",IFERROR(INDEX(사건마스터!$AU$5:$AU$64,MATCH($F449,사건마스터!$A$5:$A$64,0)),""))</f>
        <v/>
      </c>
      <c r="X449" s="35">
        <f>IF($F449="","",IFERROR(INDEX(사건마스터!$AV$5:$AV$64,MATCH($F449,사건마스터!$A$5:$A$64,0)),""))</f>
        <v/>
      </c>
      <c r="Y449" s="30">
        <f>IF($I449="","",COUNTIF($I449:$X449,"?*"))</f>
        <v/>
      </c>
      <c r="Z449" s="33">
        <f>IF($I449="","",_xlfn.TEXTJOIN(", ",TRUE,$I449:$X449))</f>
        <v/>
      </c>
      <c r="AA449" s="34">
        <f>IF($I449="","",IFERROR(INDEX(코드설정!$D$5:$D$24,MATCH($I449,코드설정!$C$5:$C$24,0)),""))</f>
        <v/>
      </c>
      <c r="AB449" s="36" t="n"/>
      <c r="AC449" s="37" t="n"/>
      <c r="AD449" s="38" t="n"/>
      <c r="AE449" s="30">
        <f>IF(OR($B449="",$C449=""),"",$C449-$B449+1)</f>
        <v/>
      </c>
      <c r="AF449" s="32" t="n"/>
      <c r="AG449" s="36" t="n"/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3">
        <f>IF($F450="","",IFERROR(INDEX(사건마스터!$B$5:$B$64,MATCH($F450,사건마스터!$A$5:$A$64,0)),""))</f>
        <v/>
      </c>
      <c r="H450" s="34">
        <f>IF($F450="","",IFERROR(INDEX(사건마스터!$C$5:$C$64,MATCH($F450,사건마스터!$A$5:$A$64,0)),""))</f>
        <v/>
      </c>
      <c r="I450" s="35">
        <f>IF($F450="","",IFERROR(INDEX(사건마스터!$H$5:$H$64,MATCH($F450,사건마스터!$A$5:$A$64,0)),""))</f>
        <v/>
      </c>
      <c r="J450" s="35">
        <f>IF($F450="","",IFERROR(INDEX(사건마스터!$AH$5:$AH$64,MATCH($F450,사건마스터!$A$5:$A$64,0)),""))</f>
        <v/>
      </c>
      <c r="K450" s="35">
        <f>IF($F450="","",IFERROR(INDEX(사건마스터!$AI$5:$AI$64,MATCH($F450,사건마스터!$A$5:$A$64,0)),""))</f>
        <v/>
      </c>
      <c r="L450" s="35">
        <f>IF($F450="","",IFERROR(INDEX(사건마스터!$AJ$5:$AJ$64,MATCH($F450,사건마스터!$A$5:$A$64,0)),""))</f>
        <v/>
      </c>
      <c r="M450" s="35">
        <f>IF($F450="","",IFERROR(INDEX(사건마스터!$AK$5:$AK$64,MATCH($F450,사건마스터!$A$5:$A$64,0)),""))</f>
        <v/>
      </c>
      <c r="N450" s="35">
        <f>IF($F450="","",IFERROR(INDEX(사건마스터!$AL$5:$AL$64,MATCH($F450,사건마스터!$A$5:$A$64,0)),""))</f>
        <v/>
      </c>
      <c r="O450" s="35">
        <f>IF($F450="","",IFERROR(INDEX(사건마스터!$AM$5:$AM$64,MATCH($F450,사건마스터!$A$5:$A$64,0)),""))</f>
        <v/>
      </c>
      <c r="P450" s="35">
        <f>IF($F450="","",IFERROR(INDEX(사건마스터!$AN$5:$AN$64,MATCH($F450,사건마스터!$A$5:$A$64,0)),""))</f>
        <v/>
      </c>
      <c r="Q450" s="35">
        <f>IF($F450="","",IFERROR(INDEX(사건마스터!$AO$5:$AO$64,MATCH($F450,사건마스터!$A$5:$A$64,0)),""))</f>
        <v/>
      </c>
      <c r="R450" s="35">
        <f>IF($F450="","",IFERROR(INDEX(사건마스터!$AP$5:$AP$64,MATCH($F450,사건마스터!$A$5:$A$64,0)),""))</f>
        <v/>
      </c>
      <c r="S450" s="35">
        <f>IF($F450="","",IFERROR(INDEX(사건마스터!$AQ$5:$AQ$64,MATCH($F450,사건마스터!$A$5:$A$64,0)),""))</f>
        <v/>
      </c>
      <c r="T450" s="35">
        <f>IF($F450="","",IFERROR(INDEX(사건마스터!$AR$5:$AR$64,MATCH($F450,사건마스터!$A$5:$A$64,0)),""))</f>
        <v/>
      </c>
      <c r="U450" s="35">
        <f>IF($F450="","",IFERROR(INDEX(사건마스터!$AS$5:$AS$64,MATCH($F450,사건마스터!$A$5:$A$64,0)),""))</f>
        <v/>
      </c>
      <c r="V450" s="35">
        <f>IF($F450="","",IFERROR(INDEX(사건마스터!$AT$5:$AT$64,MATCH($F450,사건마스터!$A$5:$A$64,0)),""))</f>
        <v/>
      </c>
      <c r="W450" s="35">
        <f>IF($F450="","",IFERROR(INDEX(사건마스터!$AU$5:$AU$64,MATCH($F450,사건마스터!$A$5:$A$64,0)),""))</f>
        <v/>
      </c>
      <c r="X450" s="35">
        <f>IF($F450="","",IFERROR(INDEX(사건마스터!$AV$5:$AV$64,MATCH($F450,사건마스터!$A$5:$A$64,0)),""))</f>
        <v/>
      </c>
      <c r="Y450" s="30">
        <f>IF($I450="","",COUNTIF($I450:$X450,"?*"))</f>
        <v/>
      </c>
      <c r="Z450" s="33">
        <f>IF($I450="","",_xlfn.TEXTJOIN(", ",TRUE,$I450:$X450))</f>
        <v/>
      </c>
      <c r="AA450" s="34">
        <f>IF($I450="","",IFERROR(INDEX(코드설정!$D$5:$D$24,MATCH($I450,코드설정!$C$5:$C$24,0)),""))</f>
        <v/>
      </c>
      <c r="AB450" s="36" t="n"/>
      <c r="AC450" s="37" t="n"/>
      <c r="AD450" s="38" t="n"/>
      <c r="AE450" s="30">
        <f>IF(OR($B450="",$C450=""),"",$C450-$B450+1)</f>
        <v/>
      </c>
      <c r="AF450" s="32" t="n"/>
      <c r="AG450" s="36" t="n"/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3">
        <f>IF($F451="","",IFERROR(INDEX(사건마스터!$B$5:$B$64,MATCH($F451,사건마스터!$A$5:$A$64,0)),""))</f>
        <v/>
      </c>
      <c r="H451" s="34">
        <f>IF($F451="","",IFERROR(INDEX(사건마스터!$C$5:$C$64,MATCH($F451,사건마스터!$A$5:$A$64,0)),""))</f>
        <v/>
      </c>
      <c r="I451" s="35">
        <f>IF($F451="","",IFERROR(INDEX(사건마스터!$H$5:$H$64,MATCH($F451,사건마스터!$A$5:$A$64,0)),""))</f>
        <v/>
      </c>
      <c r="J451" s="35">
        <f>IF($F451="","",IFERROR(INDEX(사건마스터!$AH$5:$AH$64,MATCH($F451,사건마스터!$A$5:$A$64,0)),""))</f>
        <v/>
      </c>
      <c r="K451" s="35">
        <f>IF($F451="","",IFERROR(INDEX(사건마스터!$AI$5:$AI$64,MATCH($F451,사건마스터!$A$5:$A$64,0)),""))</f>
        <v/>
      </c>
      <c r="L451" s="35">
        <f>IF($F451="","",IFERROR(INDEX(사건마스터!$AJ$5:$AJ$64,MATCH($F451,사건마스터!$A$5:$A$64,0)),""))</f>
        <v/>
      </c>
      <c r="M451" s="35">
        <f>IF($F451="","",IFERROR(INDEX(사건마스터!$AK$5:$AK$64,MATCH($F451,사건마스터!$A$5:$A$64,0)),""))</f>
        <v/>
      </c>
      <c r="N451" s="35">
        <f>IF($F451="","",IFERROR(INDEX(사건마스터!$AL$5:$AL$64,MATCH($F451,사건마스터!$A$5:$A$64,0)),""))</f>
        <v/>
      </c>
      <c r="O451" s="35">
        <f>IF($F451="","",IFERROR(INDEX(사건마스터!$AM$5:$AM$64,MATCH($F451,사건마스터!$A$5:$A$64,0)),""))</f>
        <v/>
      </c>
      <c r="P451" s="35">
        <f>IF($F451="","",IFERROR(INDEX(사건마스터!$AN$5:$AN$64,MATCH($F451,사건마스터!$A$5:$A$64,0)),""))</f>
        <v/>
      </c>
      <c r="Q451" s="35">
        <f>IF($F451="","",IFERROR(INDEX(사건마스터!$AO$5:$AO$64,MATCH($F451,사건마스터!$A$5:$A$64,0)),""))</f>
        <v/>
      </c>
      <c r="R451" s="35">
        <f>IF($F451="","",IFERROR(INDEX(사건마스터!$AP$5:$AP$64,MATCH($F451,사건마스터!$A$5:$A$64,0)),""))</f>
        <v/>
      </c>
      <c r="S451" s="35">
        <f>IF($F451="","",IFERROR(INDEX(사건마스터!$AQ$5:$AQ$64,MATCH($F451,사건마스터!$A$5:$A$64,0)),""))</f>
        <v/>
      </c>
      <c r="T451" s="35">
        <f>IF($F451="","",IFERROR(INDEX(사건마스터!$AR$5:$AR$64,MATCH($F451,사건마스터!$A$5:$A$64,0)),""))</f>
        <v/>
      </c>
      <c r="U451" s="35">
        <f>IF($F451="","",IFERROR(INDEX(사건마스터!$AS$5:$AS$64,MATCH($F451,사건마스터!$A$5:$A$64,0)),""))</f>
        <v/>
      </c>
      <c r="V451" s="35">
        <f>IF($F451="","",IFERROR(INDEX(사건마스터!$AT$5:$AT$64,MATCH($F451,사건마스터!$A$5:$A$64,0)),""))</f>
        <v/>
      </c>
      <c r="W451" s="35">
        <f>IF($F451="","",IFERROR(INDEX(사건마스터!$AU$5:$AU$64,MATCH($F451,사건마스터!$A$5:$A$64,0)),""))</f>
        <v/>
      </c>
      <c r="X451" s="35">
        <f>IF($F451="","",IFERROR(INDEX(사건마스터!$AV$5:$AV$64,MATCH($F451,사건마스터!$A$5:$A$64,0)),""))</f>
        <v/>
      </c>
      <c r="Y451" s="30">
        <f>IF($I451="","",COUNTIF($I451:$X451,"?*"))</f>
        <v/>
      </c>
      <c r="Z451" s="33">
        <f>IF($I451="","",_xlfn.TEXTJOIN(", ",TRUE,$I451:$X451))</f>
        <v/>
      </c>
      <c r="AA451" s="34">
        <f>IF($I451="","",IFERROR(INDEX(코드설정!$D$5:$D$24,MATCH($I451,코드설정!$C$5:$C$24,0)),""))</f>
        <v/>
      </c>
      <c r="AB451" s="36" t="n"/>
      <c r="AC451" s="37" t="n"/>
      <c r="AD451" s="38" t="n"/>
      <c r="AE451" s="30">
        <f>IF(OR($B451="",$C451=""),"",$C451-$B451+1)</f>
        <v/>
      </c>
      <c r="AF451" s="32" t="n"/>
      <c r="AG451" s="36" t="n"/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3">
        <f>IF($F452="","",IFERROR(INDEX(사건마스터!$B$5:$B$64,MATCH($F452,사건마스터!$A$5:$A$64,0)),""))</f>
        <v/>
      </c>
      <c r="H452" s="34">
        <f>IF($F452="","",IFERROR(INDEX(사건마스터!$C$5:$C$64,MATCH($F452,사건마스터!$A$5:$A$64,0)),""))</f>
        <v/>
      </c>
      <c r="I452" s="35">
        <f>IF($F452="","",IFERROR(INDEX(사건마스터!$H$5:$H$64,MATCH($F452,사건마스터!$A$5:$A$64,0)),""))</f>
        <v/>
      </c>
      <c r="J452" s="35">
        <f>IF($F452="","",IFERROR(INDEX(사건마스터!$AH$5:$AH$64,MATCH($F452,사건마스터!$A$5:$A$64,0)),""))</f>
        <v/>
      </c>
      <c r="K452" s="35">
        <f>IF($F452="","",IFERROR(INDEX(사건마스터!$AI$5:$AI$64,MATCH($F452,사건마스터!$A$5:$A$64,0)),""))</f>
        <v/>
      </c>
      <c r="L452" s="35">
        <f>IF($F452="","",IFERROR(INDEX(사건마스터!$AJ$5:$AJ$64,MATCH($F452,사건마스터!$A$5:$A$64,0)),""))</f>
        <v/>
      </c>
      <c r="M452" s="35">
        <f>IF($F452="","",IFERROR(INDEX(사건마스터!$AK$5:$AK$64,MATCH($F452,사건마스터!$A$5:$A$64,0)),""))</f>
        <v/>
      </c>
      <c r="N452" s="35">
        <f>IF($F452="","",IFERROR(INDEX(사건마스터!$AL$5:$AL$64,MATCH($F452,사건마스터!$A$5:$A$64,0)),""))</f>
        <v/>
      </c>
      <c r="O452" s="35">
        <f>IF($F452="","",IFERROR(INDEX(사건마스터!$AM$5:$AM$64,MATCH($F452,사건마스터!$A$5:$A$64,0)),""))</f>
        <v/>
      </c>
      <c r="P452" s="35">
        <f>IF($F452="","",IFERROR(INDEX(사건마스터!$AN$5:$AN$64,MATCH($F452,사건마스터!$A$5:$A$64,0)),""))</f>
        <v/>
      </c>
      <c r="Q452" s="35">
        <f>IF($F452="","",IFERROR(INDEX(사건마스터!$AO$5:$AO$64,MATCH($F452,사건마스터!$A$5:$A$64,0)),""))</f>
        <v/>
      </c>
      <c r="R452" s="35">
        <f>IF($F452="","",IFERROR(INDEX(사건마스터!$AP$5:$AP$64,MATCH($F452,사건마스터!$A$5:$A$64,0)),""))</f>
        <v/>
      </c>
      <c r="S452" s="35">
        <f>IF($F452="","",IFERROR(INDEX(사건마스터!$AQ$5:$AQ$64,MATCH($F452,사건마스터!$A$5:$A$64,0)),""))</f>
        <v/>
      </c>
      <c r="T452" s="35">
        <f>IF($F452="","",IFERROR(INDEX(사건마스터!$AR$5:$AR$64,MATCH($F452,사건마스터!$A$5:$A$64,0)),""))</f>
        <v/>
      </c>
      <c r="U452" s="35">
        <f>IF($F452="","",IFERROR(INDEX(사건마스터!$AS$5:$AS$64,MATCH($F452,사건마스터!$A$5:$A$64,0)),""))</f>
        <v/>
      </c>
      <c r="V452" s="35">
        <f>IF($F452="","",IFERROR(INDEX(사건마스터!$AT$5:$AT$64,MATCH($F452,사건마스터!$A$5:$A$64,0)),""))</f>
        <v/>
      </c>
      <c r="W452" s="35">
        <f>IF($F452="","",IFERROR(INDEX(사건마스터!$AU$5:$AU$64,MATCH($F452,사건마스터!$A$5:$A$64,0)),""))</f>
        <v/>
      </c>
      <c r="X452" s="35">
        <f>IF($F452="","",IFERROR(INDEX(사건마스터!$AV$5:$AV$64,MATCH($F452,사건마스터!$A$5:$A$64,0)),""))</f>
        <v/>
      </c>
      <c r="Y452" s="30">
        <f>IF($I452="","",COUNTIF($I452:$X452,"?*"))</f>
        <v/>
      </c>
      <c r="Z452" s="33">
        <f>IF($I452="","",_xlfn.TEXTJOIN(", ",TRUE,$I452:$X452))</f>
        <v/>
      </c>
      <c r="AA452" s="34">
        <f>IF($I452="","",IFERROR(INDEX(코드설정!$D$5:$D$24,MATCH($I452,코드설정!$C$5:$C$24,0)),""))</f>
        <v/>
      </c>
      <c r="AB452" s="36" t="n"/>
      <c r="AC452" s="37" t="n"/>
      <c r="AD452" s="38" t="n"/>
      <c r="AE452" s="30">
        <f>IF(OR($B452="",$C452=""),"",$C452-$B452+1)</f>
        <v/>
      </c>
      <c r="AF452" s="32" t="n"/>
      <c r="AG452" s="36" t="n"/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3">
        <f>IF($F453="","",IFERROR(INDEX(사건마스터!$B$5:$B$64,MATCH($F453,사건마스터!$A$5:$A$64,0)),""))</f>
        <v/>
      </c>
      <c r="H453" s="34">
        <f>IF($F453="","",IFERROR(INDEX(사건마스터!$C$5:$C$64,MATCH($F453,사건마스터!$A$5:$A$64,0)),""))</f>
        <v/>
      </c>
      <c r="I453" s="35">
        <f>IF($F453="","",IFERROR(INDEX(사건마스터!$H$5:$H$64,MATCH($F453,사건마스터!$A$5:$A$64,0)),""))</f>
        <v/>
      </c>
      <c r="J453" s="35">
        <f>IF($F453="","",IFERROR(INDEX(사건마스터!$AH$5:$AH$64,MATCH($F453,사건마스터!$A$5:$A$64,0)),""))</f>
        <v/>
      </c>
      <c r="K453" s="35">
        <f>IF($F453="","",IFERROR(INDEX(사건마스터!$AI$5:$AI$64,MATCH($F453,사건마스터!$A$5:$A$64,0)),""))</f>
        <v/>
      </c>
      <c r="L453" s="35">
        <f>IF($F453="","",IFERROR(INDEX(사건마스터!$AJ$5:$AJ$64,MATCH($F453,사건마스터!$A$5:$A$64,0)),""))</f>
        <v/>
      </c>
      <c r="M453" s="35">
        <f>IF($F453="","",IFERROR(INDEX(사건마스터!$AK$5:$AK$64,MATCH($F453,사건마스터!$A$5:$A$64,0)),""))</f>
        <v/>
      </c>
      <c r="N453" s="35">
        <f>IF($F453="","",IFERROR(INDEX(사건마스터!$AL$5:$AL$64,MATCH($F453,사건마스터!$A$5:$A$64,0)),""))</f>
        <v/>
      </c>
      <c r="O453" s="35">
        <f>IF($F453="","",IFERROR(INDEX(사건마스터!$AM$5:$AM$64,MATCH($F453,사건마스터!$A$5:$A$64,0)),""))</f>
        <v/>
      </c>
      <c r="P453" s="35">
        <f>IF($F453="","",IFERROR(INDEX(사건마스터!$AN$5:$AN$64,MATCH($F453,사건마스터!$A$5:$A$64,0)),""))</f>
        <v/>
      </c>
      <c r="Q453" s="35">
        <f>IF($F453="","",IFERROR(INDEX(사건마스터!$AO$5:$AO$64,MATCH($F453,사건마스터!$A$5:$A$64,0)),""))</f>
        <v/>
      </c>
      <c r="R453" s="35">
        <f>IF($F453="","",IFERROR(INDEX(사건마스터!$AP$5:$AP$64,MATCH($F453,사건마스터!$A$5:$A$64,0)),""))</f>
        <v/>
      </c>
      <c r="S453" s="35">
        <f>IF($F453="","",IFERROR(INDEX(사건마스터!$AQ$5:$AQ$64,MATCH($F453,사건마스터!$A$5:$A$64,0)),""))</f>
        <v/>
      </c>
      <c r="T453" s="35">
        <f>IF($F453="","",IFERROR(INDEX(사건마스터!$AR$5:$AR$64,MATCH($F453,사건마스터!$A$5:$A$64,0)),""))</f>
        <v/>
      </c>
      <c r="U453" s="35">
        <f>IF($F453="","",IFERROR(INDEX(사건마스터!$AS$5:$AS$64,MATCH($F453,사건마스터!$A$5:$A$64,0)),""))</f>
        <v/>
      </c>
      <c r="V453" s="35">
        <f>IF($F453="","",IFERROR(INDEX(사건마스터!$AT$5:$AT$64,MATCH($F453,사건마스터!$A$5:$A$64,0)),""))</f>
        <v/>
      </c>
      <c r="W453" s="35">
        <f>IF($F453="","",IFERROR(INDEX(사건마스터!$AU$5:$AU$64,MATCH($F453,사건마스터!$A$5:$A$64,0)),""))</f>
        <v/>
      </c>
      <c r="X453" s="35">
        <f>IF($F453="","",IFERROR(INDEX(사건마스터!$AV$5:$AV$64,MATCH($F453,사건마스터!$A$5:$A$64,0)),""))</f>
        <v/>
      </c>
      <c r="Y453" s="30">
        <f>IF($I453="","",COUNTIF($I453:$X453,"?*"))</f>
        <v/>
      </c>
      <c r="Z453" s="33">
        <f>IF($I453="","",_xlfn.TEXTJOIN(", ",TRUE,$I453:$X453))</f>
        <v/>
      </c>
      <c r="AA453" s="34">
        <f>IF($I453="","",IFERROR(INDEX(코드설정!$D$5:$D$24,MATCH($I453,코드설정!$C$5:$C$24,0)),""))</f>
        <v/>
      </c>
      <c r="AB453" s="36" t="n"/>
      <c r="AC453" s="37" t="n"/>
      <c r="AD453" s="38" t="n"/>
      <c r="AE453" s="30">
        <f>IF(OR($B453="",$C453=""),"",$C453-$B453+1)</f>
        <v/>
      </c>
      <c r="AF453" s="32" t="n"/>
      <c r="AG453" s="36" t="n"/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3">
        <f>IF($F454="","",IFERROR(INDEX(사건마스터!$B$5:$B$64,MATCH($F454,사건마스터!$A$5:$A$64,0)),""))</f>
        <v/>
      </c>
      <c r="H454" s="34">
        <f>IF($F454="","",IFERROR(INDEX(사건마스터!$C$5:$C$64,MATCH($F454,사건마스터!$A$5:$A$64,0)),""))</f>
        <v/>
      </c>
      <c r="I454" s="35">
        <f>IF($F454="","",IFERROR(INDEX(사건마스터!$H$5:$H$64,MATCH($F454,사건마스터!$A$5:$A$64,0)),""))</f>
        <v/>
      </c>
      <c r="J454" s="35">
        <f>IF($F454="","",IFERROR(INDEX(사건마스터!$AH$5:$AH$64,MATCH($F454,사건마스터!$A$5:$A$64,0)),""))</f>
        <v/>
      </c>
      <c r="K454" s="35">
        <f>IF($F454="","",IFERROR(INDEX(사건마스터!$AI$5:$AI$64,MATCH($F454,사건마스터!$A$5:$A$64,0)),""))</f>
        <v/>
      </c>
      <c r="L454" s="35">
        <f>IF($F454="","",IFERROR(INDEX(사건마스터!$AJ$5:$AJ$64,MATCH($F454,사건마스터!$A$5:$A$64,0)),""))</f>
        <v/>
      </c>
      <c r="M454" s="35">
        <f>IF($F454="","",IFERROR(INDEX(사건마스터!$AK$5:$AK$64,MATCH($F454,사건마스터!$A$5:$A$64,0)),""))</f>
        <v/>
      </c>
      <c r="N454" s="35">
        <f>IF($F454="","",IFERROR(INDEX(사건마스터!$AL$5:$AL$64,MATCH($F454,사건마스터!$A$5:$A$64,0)),""))</f>
        <v/>
      </c>
      <c r="O454" s="35">
        <f>IF($F454="","",IFERROR(INDEX(사건마스터!$AM$5:$AM$64,MATCH($F454,사건마스터!$A$5:$A$64,0)),""))</f>
        <v/>
      </c>
      <c r="P454" s="35">
        <f>IF($F454="","",IFERROR(INDEX(사건마스터!$AN$5:$AN$64,MATCH($F454,사건마스터!$A$5:$A$64,0)),""))</f>
        <v/>
      </c>
      <c r="Q454" s="35">
        <f>IF($F454="","",IFERROR(INDEX(사건마스터!$AO$5:$AO$64,MATCH($F454,사건마스터!$A$5:$A$64,0)),""))</f>
        <v/>
      </c>
      <c r="R454" s="35">
        <f>IF($F454="","",IFERROR(INDEX(사건마스터!$AP$5:$AP$64,MATCH($F454,사건마스터!$A$5:$A$64,0)),""))</f>
        <v/>
      </c>
      <c r="S454" s="35">
        <f>IF($F454="","",IFERROR(INDEX(사건마스터!$AQ$5:$AQ$64,MATCH($F454,사건마스터!$A$5:$A$64,0)),""))</f>
        <v/>
      </c>
      <c r="T454" s="35">
        <f>IF($F454="","",IFERROR(INDEX(사건마스터!$AR$5:$AR$64,MATCH($F454,사건마스터!$A$5:$A$64,0)),""))</f>
        <v/>
      </c>
      <c r="U454" s="35">
        <f>IF($F454="","",IFERROR(INDEX(사건마스터!$AS$5:$AS$64,MATCH($F454,사건마스터!$A$5:$A$64,0)),""))</f>
        <v/>
      </c>
      <c r="V454" s="35">
        <f>IF($F454="","",IFERROR(INDEX(사건마스터!$AT$5:$AT$64,MATCH($F454,사건마스터!$A$5:$A$64,0)),""))</f>
        <v/>
      </c>
      <c r="W454" s="35">
        <f>IF($F454="","",IFERROR(INDEX(사건마스터!$AU$5:$AU$64,MATCH($F454,사건마스터!$A$5:$A$64,0)),""))</f>
        <v/>
      </c>
      <c r="X454" s="35">
        <f>IF($F454="","",IFERROR(INDEX(사건마스터!$AV$5:$AV$64,MATCH($F454,사건마스터!$A$5:$A$64,0)),""))</f>
        <v/>
      </c>
      <c r="Y454" s="30">
        <f>IF($I454="","",COUNTIF($I454:$X454,"?*"))</f>
        <v/>
      </c>
      <c r="Z454" s="33">
        <f>IF($I454="","",_xlfn.TEXTJOIN(", ",TRUE,$I454:$X454))</f>
        <v/>
      </c>
      <c r="AA454" s="34">
        <f>IF($I454="","",IFERROR(INDEX(코드설정!$D$5:$D$24,MATCH($I454,코드설정!$C$5:$C$24,0)),""))</f>
        <v/>
      </c>
      <c r="AB454" s="36" t="n"/>
      <c r="AC454" s="37" t="n"/>
      <c r="AD454" s="38" t="n"/>
      <c r="AE454" s="30">
        <f>IF(OR($B454="",$C454=""),"",$C454-$B454+1)</f>
        <v/>
      </c>
      <c r="AF454" s="32" t="n"/>
      <c r="AG454" s="36" t="n"/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3">
        <f>IF($F455="","",IFERROR(INDEX(사건마스터!$B$5:$B$64,MATCH($F455,사건마스터!$A$5:$A$64,0)),""))</f>
        <v/>
      </c>
      <c r="H455" s="34">
        <f>IF($F455="","",IFERROR(INDEX(사건마스터!$C$5:$C$64,MATCH($F455,사건마스터!$A$5:$A$64,0)),""))</f>
        <v/>
      </c>
      <c r="I455" s="35">
        <f>IF($F455="","",IFERROR(INDEX(사건마스터!$H$5:$H$64,MATCH($F455,사건마스터!$A$5:$A$64,0)),""))</f>
        <v/>
      </c>
      <c r="J455" s="35">
        <f>IF($F455="","",IFERROR(INDEX(사건마스터!$AH$5:$AH$64,MATCH($F455,사건마스터!$A$5:$A$64,0)),""))</f>
        <v/>
      </c>
      <c r="K455" s="35">
        <f>IF($F455="","",IFERROR(INDEX(사건마스터!$AI$5:$AI$64,MATCH($F455,사건마스터!$A$5:$A$64,0)),""))</f>
        <v/>
      </c>
      <c r="L455" s="35">
        <f>IF($F455="","",IFERROR(INDEX(사건마스터!$AJ$5:$AJ$64,MATCH($F455,사건마스터!$A$5:$A$64,0)),""))</f>
        <v/>
      </c>
      <c r="M455" s="35">
        <f>IF($F455="","",IFERROR(INDEX(사건마스터!$AK$5:$AK$64,MATCH($F455,사건마스터!$A$5:$A$64,0)),""))</f>
        <v/>
      </c>
      <c r="N455" s="35">
        <f>IF($F455="","",IFERROR(INDEX(사건마스터!$AL$5:$AL$64,MATCH($F455,사건마스터!$A$5:$A$64,0)),""))</f>
        <v/>
      </c>
      <c r="O455" s="35">
        <f>IF($F455="","",IFERROR(INDEX(사건마스터!$AM$5:$AM$64,MATCH($F455,사건마스터!$A$5:$A$64,0)),""))</f>
        <v/>
      </c>
      <c r="P455" s="35">
        <f>IF($F455="","",IFERROR(INDEX(사건마스터!$AN$5:$AN$64,MATCH($F455,사건마스터!$A$5:$A$64,0)),""))</f>
        <v/>
      </c>
      <c r="Q455" s="35">
        <f>IF($F455="","",IFERROR(INDEX(사건마스터!$AO$5:$AO$64,MATCH($F455,사건마스터!$A$5:$A$64,0)),""))</f>
        <v/>
      </c>
      <c r="R455" s="35">
        <f>IF($F455="","",IFERROR(INDEX(사건마스터!$AP$5:$AP$64,MATCH($F455,사건마스터!$A$5:$A$64,0)),""))</f>
        <v/>
      </c>
      <c r="S455" s="35">
        <f>IF($F455="","",IFERROR(INDEX(사건마스터!$AQ$5:$AQ$64,MATCH($F455,사건마스터!$A$5:$A$64,0)),""))</f>
        <v/>
      </c>
      <c r="T455" s="35">
        <f>IF($F455="","",IFERROR(INDEX(사건마스터!$AR$5:$AR$64,MATCH($F455,사건마스터!$A$5:$A$64,0)),""))</f>
        <v/>
      </c>
      <c r="U455" s="35">
        <f>IF($F455="","",IFERROR(INDEX(사건마스터!$AS$5:$AS$64,MATCH($F455,사건마스터!$A$5:$A$64,0)),""))</f>
        <v/>
      </c>
      <c r="V455" s="35">
        <f>IF($F455="","",IFERROR(INDEX(사건마스터!$AT$5:$AT$64,MATCH($F455,사건마스터!$A$5:$A$64,0)),""))</f>
        <v/>
      </c>
      <c r="W455" s="35">
        <f>IF($F455="","",IFERROR(INDEX(사건마스터!$AU$5:$AU$64,MATCH($F455,사건마스터!$A$5:$A$64,0)),""))</f>
        <v/>
      </c>
      <c r="X455" s="35">
        <f>IF($F455="","",IFERROR(INDEX(사건마스터!$AV$5:$AV$64,MATCH($F455,사건마스터!$A$5:$A$64,0)),""))</f>
        <v/>
      </c>
      <c r="Y455" s="30">
        <f>IF($I455="","",COUNTIF($I455:$X455,"?*"))</f>
        <v/>
      </c>
      <c r="Z455" s="33">
        <f>IF($I455="","",_xlfn.TEXTJOIN(", ",TRUE,$I455:$X455))</f>
        <v/>
      </c>
      <c r="AA455" s="34">
        <f>IF($I455="","",IFERROR(INDEX(코드설정!$D$5:$D$24,MATCH($I455,코드설정!$C$5:$C$24,0)),""))</f>
        <v/>
      </c>
      <c r="AB455" s="36" t="n"/>
      <c r="AC455" s="37" t="n"/>
      <c r="AD455" s="38" t="n"/>
      <c r="AE455" s="30">
        <f>IF(OR($B455="",$C455=""),"",$C455-$B455+1)</f>
        <v/>
      </c>
      <c r="AF455" s="32" t="n"/>
      <c r="AG455" s="36" t="n"/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3">
        <f>IF($F456="","",IFERROR(INDEX(사건마스터!$B$5:$B$64,MATCH($F456,사건마스터!$A$5:$A$64,0)),""))</f>
        <v/>
      </c>
      <c r="H456" s="34">
        <f>IF($F456="","",IFERROR(INDEX(사건마스터!$C$5:$C$64,MATCH($F456,사건마스터!$A$5:$A$64,0)),""))</f>
        <v/>
      </c>
      <c r="I456" s="35">
        <f>IF($F456="","",IFERROR(INDEX(사건마스터!$H$5:$H$64,MATCH($F456,사건마스터!$A$5:$A$64,0)),""))</f>
        <v/>
      </c>
      <c r="J456" s="35">
        <f>IF($F456="","",IFERROR(INDEX(사건마스터!$AH$5:$AH$64,MATCH($F456,사건마스터!$A$5:$A$64,0)),""))</f>
        <v/>
      </c>
      <c r="K456" s="35">
        <f>IF($F456="","",IFERROR(INDEX(사건마스터!$AI$5:$AI$64,MATCH($F456,사건마스터!$A$5:$A$64,0)),""))</f>
        <v/>
      </c>
      <c r="L456" s="35">
        <f>IF($F456="","",IFERROR(INDEX(사건마스터!$AJ$5:$AJ$64,MATCH($F456,사건마스터!$A$5:$A$64,0)),""))</f>
        <v/>
      </c>
      <c r="M456" s="35">
        <f>IF($F456="","",IFERROR(INDEX(사건마스터!$AK$5:$AK$64,MATCH($F456,사건마스터!$A$5:$A$64,0)),""))</f>
        <v/>
      </c>
      <c r="N456" s="35">
        <f>IF($F456="","",IFERROR(INDEX(사건마스터!$AL$5:$AL$64,MATCH($F456,사건마스터!$A$5:$A$64,0)),""))</f>
        <v/>
      </c>
      <c r="O456" s="35">
        <f>IF($F456="","",IFERROR(INDEX(사건마스터!$AM$5:$AM$64,MATCH($F456,사건마스터!$A$5:$A$64,0)),""))</f>
        <v/>
      </c>
      <c r="P456" s="35">
        <f>IF($F456="","",IFERROR(INDEX(사건마스터!$AN$5:$AN$64,MATCH($F456,사건마스터!$A$5:$A$64,0)),""))</f>
        <v/>
      </c>
      <c r="Q456" s="35">
        <f>IF($F456="","",IFERROR(INDEX(사건마스터!$AO$5:$AO$64,MATCH($F456,사건마스터!$A$5:$A$64,0)),""))</f>
        <v/>
      </c>
      <c r="R456" s="35">
        <f>IF($F456="","",IFERROR(INDEX(사건마스터!$AP$5:$AP$64,MATCH($F456,사건마스터!$A$5:$A$64,0)),""))</f>
        <v/>
      </c>
      <c r="S456" s="35">
        <f>IF($F456="","",IFERROR(INDEX(사건마스터!$AQ$5:$AQ$64,MATCH($F456,사건마스터!$A$5:$A$64,0)),""))</f>
        <v/>
      </c>
      <c r="T456" s="35">
        <f>IF($F456="","",IFERROR(INDEX(사건마스터!$AR$5:$AR$64,MATCH($F456,사건마스터!$A$5:$A$64,0)),""))</f>
        <v/>
      </c>
      <c r="U456" s="35">
        <f>IF($F456="","",IFERROR(INDEX(사건마스터!$AS$5:$AS$64,MATCH($F456,사건마스터!$A$5:$A$64,0)),""))</f>
        <v/>
      </c>
      <c r="V456" s="35">
        <f>IF($F456="","",IFERROR(INDEX(사건마스터!$AT$5:$AT$64,MATCH($F456,사건마스터!$A$5:$A$64,0)),""))</f>
        <v/>
      </c>
      <c r="W456" s="35">
        <f>IF($F456="","",IFERROR(INDEX(사건마스터!$AU$5:$AU$64,MATCH($F456,사건마스터!$A$5:$A$64,0)),""))</f>
        <v/>
      </c>
      <c r="X456" s="35">
        <f>IF($F456="","",IFERROR(INDEX(사건마스터!$AV$5:$AV$64,MATCH($F456,사건마스터!$A$5:$A$64,0)),""))</f>
        <v/>
      </c>
      <c r="Y456" s="30">
        <f>IF($I456="","",COUNTIF($I456:$X456,"?*"))</f>
        <v/>
      </c>
      <c r="Z456" s="33">
        <f>IF($I456="","",_xlfn.TEXTJOIN(", ",TRUE,$I456:$X456))</f>
        <v/>
      </c>
      <c r="AA456" s="34">
        <f>IF($I456="","",IFERROR(INDEX(코드설정!$D$5:$D$24,MATCH($I456,코드설정!$C$5:$C$24,0)),""))</f>
        <v/>
      </c>
      <c r="AB456" s="36" t="n"/>
      <c r="AC456" s="37" t="n"/>
      <c r="AD456" s="38" t="n"/>
      <c r="AE456" s="30">
        <f>IF(OR($B456="",$C456=""),"",$C456-$B456+1)</f>
        <v/>
      </c>
      <c r="AF456" s="32" t="n"/>
      <c r="AG456" s="36" t="n"/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3">
        <f>IF($F457="","",IFERROR(INDEX(사건마스터!$B$5:$B$64,MATCH($F457,사건마스터!$A$5:$A$64,0)),""))</f>
        <v/>
      </c>
      <c r="H457" s="34">
        <f>IF($F457="","",IFERROR(INDEX(사건마스터!$C$5:$C$64,MATCH($F457,사건마스터!$A$5:$A$64,0)),""))</f>
        <v/>
      </c>
      <c r="I457" s="35">
        <f>IF($F457="","",IFERROR(INDEX(사건마스터!$H$5:$H$64,MATCH($F457,사건마스터!$A$5:$A$64,0)),""))</f>
        <v/>
      </c>
      <c r="J457" s="35">
        <f>IF($F457="","",IFERROR(INDEX(사건마스터!$AH$5:$AH$64,MATCH($F457,사건마스터!$A$5:$A$64,0)),""))</f>
        <v/>
      </c>
      <c r="K457" s="35">
        <f>IF($F457="","",IFERROR(INDEX(사건마스터!$AI$5:$AI$64,MATCH($F457,사건마스터!$A$5:$A$64,0)),""))</f>
        <v/>
      </c>
      <c r="L457" s="35">
        <f>IF($F457="","",IFERROR(INDEX(사건마스터!$AJ$5:$AJ$64,MATCH($F457,사건마스터!$A$5:$A$64,0)),""))</f>
        <v/>
      </c>
      <c r="M457" s="35">
        <f>IF($F457="","",IFERROR(INDEX(사건마스터!$AK$5:$AK$64,MATCH($F457,사건마스터!$A$5:$A$64,0)),""))</f>
        <v/>
      </c>
      <c r="N457" s="35">
        <f>IF($F457="","",IFERROR(INDEX(사건마스터!$AL$5:$AL$64,MATCH($F457,사건마스터!$A$5:$A$64,0)),""))</f>
        <v/>
      </c>
      <c r="O457" s="35">
        <f>IF($F457="","",IFERROR(INDEX(사건마스터!$AM$5:$AM$64,MATCH($F457,사건마스터!$A$5:$A$64,0)),""))</f>
        <v/>
      </c>
      <c r="P457" s="35">
        <f>IF($F457="","",IFERROR(INDEX(사건마스터!$AN$5:$AN$64,MATCH($F457,사건마스터!$A$5:$A$64,0)),""))</f>
        <v/>
      </c>
      <c r="Q457" s="35">
        <f>IF($F457="","",IFERROR(INDEX(사건마스터!$AO$5:$AO$64,MATCH($F457,사건마스터!$A$5:$A$64,0)),""))</f>
        <v/>
      </c>
      <c r="R457" s="35">
        <f>IF($F457="","",IFERROR(INDEX(사건마스터!$AP$5:$AP$64,MATCH($F457,사건마스터!$A$5:$A$64,0)),""))</f>
        <v/>
      </c>
      <c r="S457" s="35">
        <f>IF($F457="","",IFERROR(INDEX(사건마스터!$AQ$5:$AQ$64,MATCH($F457,사건마스터!$A$5:$A$64,0)),""))</f>
        <v/>
      </c>
      <c r="T457" s="35">
        <f>IF($F457="","",IFERROR(INDEX(사건마스터!$AR$5:$AR$64,MATCH($F457,사건마스터!$A$5:$A$64,0)),""))</f>
        <v/>
      </c>
      <c r="U457" s="35">
        <f>IF($F457="","",IFERROR(INDEX(사건마스터!$AS$5:$AS$64,MATCH($F457,사건마스터!$A$5:$A$64,0)),""))</f>
        <v/>
      </c>
      <c r="V457" s="35">
        <f>IF($F457="","",IFERROR(INDEX(사건마스터!$AT$5:$AT$64,MATCH($F457,사건마스터!$A$5:$A$64,0)),""))</f>
        <v/>
      </c>
      <c r="W457" s="35">
        <f>IF($F457="","",IFERROR(INDEX(사건마스터!$AU$5:$AU$64,MATCH($F457,사건마스터!$A$5:$A$64,0)),""))</f>
        <v/>
      </c>
      <c r="X457" s="35">
        <f>IF($F457="","",IFERROR(INDEX(사건마스터!$AV$5:$AV$64,MATCH($F457,사건마스터!$A$5:$A$64,0)),""))</f>
        <v/>
      </c>
      <c r="Y457" s="30">
        <f>IF($I457="","",COUNTIF($I457:$X457,"?*"))</f>
        <v/>
      </c>
      <c r="Z457" s="33">
        <f>IF($I457="","",_xlfn.TEXTJOIN(", ",TRUE,$I457:$X457))</f>
        <v/>
      </c>
      <c r="AA457" s="34">
        <f>IF($I457="","",IFERROR(INDEX(코드설정!$D$5:$D$24,MATCH($I457,코드설정!$C$5:$C$24,0)),""))</f>
        <v/>
      </c>
      <c r="AB457" s="36" t="n"/>
      <c r="AC457" s="37" t="n"/>
      <c r="AD457" s="38" t="n"/>
      <c r="AE457" s="30">
        <f>IF(OR($B457="",$C457=""),"",$C457-$B457+1)</f>
        <v/>
      </c>
      <c r="AF457" s="32" t="n"/>
      <c r="AG457" s="36" t="n"/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3">
        <f>IF($F458="","",IFERROR(INDEX(사건마스터!$B$5:$B$64,MATCH($F458,사건마스터!$A$5:$A$64,0)),""))</f>
        <v/>
      </c>
      <c r="H458" s="34">
        <f>IF($F458="","",IFERROR(INDEX(사건마스터!$C$5:$C$64,MATCH($F458,사건마스터!$A$5:$A$64,0)),""))</f>
        <v/>
      </c>
      <c r="I458" s="35">
        <f>IF($F458="","",IFERROR(INDEX(사건마스터!$H$5:$H$64,MATCH($F458,사건마스터!$A$5:$A$64,0)),""))</f>
        <v/>
      </c>
      <c r="J458" s="35">
        <f>IF($F458="","",IFERROR(INDEX(사건마스터!$AH$5:$AH$64,MATCH($F458,사건마스터!$A$5:$A$64,0)),""))</f>
        <v/>
      </c>
      <c r="K458" s="35">
        <f>IF($F458="","",IFERROR(INDEX(사건마스터!$AI$5:$AI$64,MATCH($F458,사건마스터!$A$5:$A$64,0)),""))</f>
        <v/>
      </c>
      <c r="L458" s="35">
        <f>IF($F458="","",IFERROR(INDEX(사건마스터!$AJ$5:$AJ$64,MATCH($F458,사건마스터!$A$5:$A$64,0)),""))</f>
        <v/>
      </c>
      <c r="M458" s="35">
        <f>IF($F458="","",IFERROR(INDEX(사건마스터!$AK$5:$AK$64,MATCH($F458,사건마스터!$A$5:$A$64,0)),""))</f>
        <v/>
      </c>
      <c r="N458" s="35">
        <f>IF($F458="","",IFERROR(INDEX(사건마스터!$AL$5:$AL$64,MATCH($F458,사건마스터!$A$5:$A$64,0)),""))</f>
        <v/>
      </c>
      <c r="O458" s="35">
        <f>IF($F458="","",IFERROR(INDEX(사건마스터!$AM$5:$AM$64,MATCH($F458,사건마스터!$A$5:$A$64,0)),""))</f>
        <v/>
      </c>
      <c r="P458" s="35">
        <f>IF($F458="","",IFERROR(INDEX(사건마스터!$AN$5:$AN$64,MATCH($F458,사건마스터!$A$5:$A$64,0)),""))</f>
        <v/>
      </c>
      <c r="Q458" s="35">
        <f>IF($F458="","",IFERROR(INDEX(사건마스터!$AO$5:$AO$64,MATCH($F458,사건마스터!$A$5:$A$64,0)),""))</f>
        <v/>
      </c>
      <c r="R458" s="35">
        <f>IF($F458="","",IFERROR(INDEX(사건마스터!$AP$5:$AP$64,MATCH($F458,사건마스터!$A$5:$A$64,0)),""))</f>
        <v/>
      </c>
      <c r="S458" s="35">
        <f>IF($F458="","",IFERROR(INDEX(사건마스터!$AQ$5:$AQ$64,MATCH($F458,사건마스터!$A$5:$A$64,0)),""))</f>
        <v/>
      </c>
      <c r="T458" s="35">
        <f>IF($F458="","",IFERROR(INDEX(사건마스터!$AR$5:$AR$64,MATCH($F458,사건마스터!$A$5:$A$64,0)),""))</f>
        <v/>
      </c>
      <c r="U458" s="35">
        <f>IF($F458="","",IFERROR(INDEX(사건마스터!$AS$5:$AS$64,MATCH($F458,사건마스터!$A$5:$A$64,0)),""))</f>
        <v/>
      </c>
      <c r="V458" s="35">
        <f>IF($F458="","",IFERROR(INDEX(사건마스터!$AT$5:$AT$64,MATCH($F458,사건마스터!$A$5:$A$64,0)),""))</f>
        <v/>
      </c>
      <c r="W458" s="35">
        <f>IF($F458="","",IFERROR(INDEX(사건마스터!$AU$5:$AU$64,MATCH($F458,사건마스터!$A$5:$A$64,0)),""))</f>
        <v/>
      </c>
      <c r="X458" s="35">
        <f>IF($F458="","",IFERROR(INDEX(사건마스터!$AV$5:$AV$64,MATCH($F458,사건마스터!$A$5:$A$64,0)),""))</f>
        <v/>
      </c>
      <c r="Y458" s="30">
        <f>IF($I458="","",COUNTIF($I458:$X458,"?*"))</f>
        <v/>
      </c>
      <c r="Z458" s="33">
        <f>IF($I458="","",_xlfn.TEXTJOIN(", ",TRUE,$I458:$X458))</f>
        <v/>
      </c>
      <c r="AA458" s="34">
        <f>IF($I458="","",IFERROR(INDEX(코드설정!$D$5:$D$24,MATCH($I458,코드설정!$C$5:$C$24,0)),""))</f>
        <v/>
      </c>
      <c r="AB458" s="36" t="n"/>
      <c r="AC458" s="37" t="n"/>
      <c r="AD458" s="38" t="n"/>
      <c r="AE458" s="30">
        <f>IF(OR($B458="",$C458=""),"",$C458-$B458+1)</f>
        <v/>
      </c>
      <c r="AF458" s="32" t="n"/>
      <c r="AG458" s="36" t="n"/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3">
        <f>IF($F459="","",IFERROR(INDEX(사건마스터!$B$5:$B$64,MATCH($F459,사건마스터!$A$5:$A$64,0)),""))</f>
        <v/>
      </c>
      <c r="H459" s="34">
        <f>IF($F459="","",IFERROR(INDEX(사건마스터!$C$5:$C$64,MATCH($F459,사건마스터!$A$5:$A$64,0)),""))</f>
        <v/>
      </c>
      <c r="I459" s="35">
        <f>IF($F459="","",IFERROR(INDEX(사건마스터!$H$5:$H$64,MATCH($F459,사건마스터!$A$5:$A$64,0)),""))</f>
        <v/>
      </c>
      <c r="J459" s="35">
        <f>IF($F459="","",IFERROR(INDEX(사건마스터!$AH$5:$AH$64,MATCH($F459,사건마스터!$A$5:$A$64,0)),""))</f>
        <v/>
      </c>
      <c r="K459" s="35">
        <f>IF($F459="","",IFERROR(INDEX(사건마스터!$AI$5:$AI$64,MATCH($F459,사건마스터!$A$5:$A$64,0)),""))</f>
        <v/>
      </c>
      <c r="L459" s="35">
        <f>IF($F459="","",IFERROR(INDEX(사건마스터!$AJ$5:$AJ$64,MATCH($F459,사건마스터!$A$5:$A$64,0)),""))</f>
        <v/>
      </c>
      <c r="M459" s="35">
        <f>IF($F459="","",IFERROR(INDEX(사건마스터!$AK$5:$AK$64,MATCH($F459,사건마스터!$A$5:$A$64,0)),""))</f>
        <v/>
      </c>
      <c r="N459" s="35">
        <f>IF($F459="","",IFERROR(INDEX(사건마스터!$AL$5:$AL$64,MATCH($F459,사건마스터!$A$5:$A$64,0)),""))</f>
        <v/>
      </c>
      <c r="O459" s="35">
        <f>IF($F459="","",IFERROR(INDEX(사건마스터!$AM$5:$AM$64,MATCH($F459,사건마스터!$A$5:$A$64,0)),""))</f>
        <v/>
      </c>
      <c r="P459" s="35">
        <f>IF($F459="","",IFERROR(INDEX(사건마스터!$AN$5:$AN$64,MATCH($F459,사건마스터!$A$5:$A$64,0)),""))</f>
        <v/>
      </c>
      <c r="Q459" s="35">
        <f>IF($F459="","",IFERROR(INDEX(사건마스터!$AO$5:$AO$64,MATCH($F459,사건마스터!$A$5:$A$64,0)),""))</f>
        <v/>
      </c>
      <c r="R459" s="35">
        <f>IF($F459="","",IFERROR(INDEX(사건마스터!$AP$5:$AP$64,MATCH($F459,사건마스터!$A$5:$A$64,0)),""))</f>
        <v/>
      </c>
      <c r="S459" s="35">
        <f>IF($F459="","",IFERROR(INDEX(사건마스터!$AQ$5:$AQ$64,MATCH($F459,사건마스터!$A$5:$A$64,0)),""))</f>
        <v/>
      </c>
      <c r="T459" s="35">
        <f>IF($F459="","",IFERROR(INDEX(사건마스터!$AR$5:$AR$64,MATCH($F459,사건마스터!$A$5:$A$64,0)),""))</f>
        <v/>
      </c>
      <c r="U459" s="35">
        <f>IF($F459="","",IFERROR(INDEX(사건마스터!$AS$5:$AS$64,MATCH($F459,사건마스터!$A$5:$A$64,0)),""))</f>
        <v/>
      </c>
      <c r="V459" s="35">
        <f>IF($F459="","",IFERROR(INDEX(사건마스터!$AT$5:$AT$64,MATCH($F459,사건마스터!$A$5:$A$64,0)),""))</f>
        <v/>
      </c>
      <c r="W459" s="35">
        <f>IF($F459="","",IFERROR(INDEX(사건마스터!$AU$5:$AU$64,MATCH($F459,사건마스터!$A$5:$A$64,0)),""))</f>
        <v/>
      </c>
      <c r="X459" s="35">
        <f>IF($F459="","",IFERROR(INDEX(사건마스터!$AV$5:$AV$64,MATCH($F459,사건마스터!$A$5:$A$64,0)),""))</f>
        <v/>
      </c>
      <c r="Y459" s="30">
        <f>IF($I459="","",COUNTIF($I459:$X459,"?*"))</f>
        <v/>
      </c>
      <c r="Z459" s="33">
        <f>IF($I459="","",_xlfn.TEXTJOIN(", ",TRUE,$I459:$X459))</f>
        <v/>
      </c>
      <c r="AA459" s="34">
        <f>IF($I459="","",IFERROR(INDEX(코드설정!$D$5:$D$24,MATCH($I459,코드설정!$C$5:$C$24,0)),""))</f>
        <v/>
      </c>
      <c r="AB459" s="36" t="n"/>
      <c r="AC459" s="37" t="n"/>
      <c r="AD459" s="38" t="n"/>
      <c r="AE459" s="30">
        <f>IF(OR($B459="",$C459=""),"",$C459-$B459+1)</f>
        <v/>
      </c>
      <c r="AF459" s="32" t="n"/>
      <c r="AG459" s="36" t="n"/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3">
        <f>IF($F460="","",IFERROR(INDEX(사건마스터!$B$5:$B$64,MATCH($F460,사건마스터!$A$5:$A$64,0)),""))</f>
        <v/>
      </c>
      <c r="H460" s="34">
        <f>IF($F460="","",IFERROR(INDEX(사건마스터!$C$5:$C$64,MATCH($F460,사건마스터!$A$5:$A$64,0)),""))</f>
        <v/>
      </c>
      <c r="I460" s="35">
        <f>IF($F460="","",IFERROR(INDEX(사건마스터!$H$5:$H$64,MATCH($F460,사건마스터!$A$5:$A$64,0)),""))</f>
        <v/>
      </c>
      <c r="J460" s="35">
        <f>IF($F460="","",IFERROR(INDEX(사건마스터!$AH$5:$AH$64,MATCH($F460,사건마스터!$A$5:$A$64,0)),""))</f>
        <v/>
      </c>
      <c r="K460" s="35">
        <f>IF($F460="","",IFERROR(INDEX(사건마스터!$AI$5:$AI$64,MATCH($F460,사건마스터!$A$5:$A$64,0)),""))</f>
        <v/>
      </c>
      <c r="L460" s="35">
        <f>IF($F460="","",IFERROR(INDEX(사건마스터!$AJ$5:$AJ$64,MATCH($F460,사건마스터!$A$5:$A$64,0)),""))</f>
        <v/>
      </c>
      <c r="M460" s="35">
        <f>IF($F460="","",IFERROR(INDEX(사건마스터!$AK$5:$AK$64,MATCH($F460,사건마스터!$A$5:$A$64,0)),""))</f>
        <v/>
      </c>
      <c r="N460" s="35">
        <f>IF($F460="","",IFERROR(INDEX(사건마스터!$AL$5:$AL$64,MATCH($F460,사건마스터!$A$5:$A$64,0)),""))</f>
        <v/>
      </c>
      <c r="O460" s="35">
        <f>IF($F460="","",IFERROR(INDEX(사건마스터!$AM$5:$AM$64,MATCH($F460,사건마스터!$A$5:$A$64,0)),""))</f>
        <v/>
      </c>
      <c r="P460" s="35">
        <f>IF($F460="","",IFERROR(INDEX(사건마스터!$AN$5:$AN$64,MATCH($F460,사건마스터!$A$5:$A$64,0)),""))</f>
        <v/>
      </c>
      <c r="Q460" s="35">
        <f>IF($F460="","",IFERROR(INDEX(사건마스터!$AO$5:$AO$64,MATCH($F460,사건마스터!$A$5:$A$64,0)),""))</f>
        <v/>
      </c>
      <c r="R460" s="35">
        <f>IF($F460="","",IFERROR(INDEX(사건마스터!$AP$5:$AP$64,MATCH($F460,사건마스터!$A$5:$A$64,0)),""))</f>
        <v/>
      </c>
      <c r="S460" s="35">
        <f>IF($F460="","",IFERROR(INDEX(사건마스터!$AQ$5:$AQ$64,MATCH($F460,사건마스터!$A$5:$A$64,0)),""))</f>
        <v/>
      </c>
      <c r="T460" s="35">
        <f>IF($F460="","",IFERROR(INDEX(사건마스터!$AR$5:$AR$64,MATCH($F460,사건마스터!$A$5:$A$64,0)),""))</f>
        <v/>
      </c>
      <c r="U460" s="35">
        <f>IF($F460="","",IFERROR(INDEX(사건마스터!$AS$5:$AS$64,MATCH($F460,사건마스터!$A$5:$A$64,0)),""))</f>
        <v/>
      </c>
      <c r="V460" s="35">
        <f>IF($F460="","",IFERROR(INDEX(사건마스터!$AT$5:$AT$64,MATCH($F460,사건마스터!$A$5:$A$64,0)),""))</f>
        <v/>
      </c>
      <c r="W460" s="35">
        <f>IF($F460="","",IFERROR(INDEX(사건마스터!$AU$5:$AU$64,MATCH($F460,사건마스터!$A$5:$A$64,0)),""))</f>
        <v/>
      </c>
      <c r="X460" s="35">
        <f>IF($F460="","",IFERROR(INDEX(사건마스터!$AV$5:$AV$64,MATCH($F460,사건마스터!$A$5:$A$64,0)),""))</f>
        <v/>
      </c>
      <c r="Y460" s="30">
        <f>IF($I460="","",COUNTIF($I460:$X460,"?*"))</f>
        <v/>
      </c>
      <c r="Z460" s="33">
        <f>IF($I460="","",_xlfn.TEXTJOIN(", ",TRUE,$I460:$X460))</f>
        <v/>
      </c>
      <c r="AA460" s="34">
        <f>IF($I460="","",IFERROR(INDEX(코드설정!$D$5:$D$24,MATCH($I460,코드설정!$C$5:$C$24,0)),""))</f>
        <v/>
      </c>
      <c r="AB460" s="36" t="n"/>
      <c r="AC460" s="37" t="n"/>
      <c r="AD460" s="38" t="n"/>
      <c r="AE460" s="30">
        <f>IF(OR($B460="",$C460=""),"",$C460-$B460+1)</f>
        <v/>
      </c>
      <c r="AF460" s="32" t="n"/>
      <c r="AG460" s="36" t="n"/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3">
        <f>IF($F461="","",IFERROR(INDEX(사건마스터!$B$5:$B$64,MATCH($F461,사건마스터!$A$5:$A$64,0)),""))</f>
        <v/>
      </c>
      <c r="H461" s="34">
        <f>IF($F461="","",IFERROR(INDEX(사건마스터!$C$5:$C$64,MATCH($F461,사건마스터!$A$5:$A$64,0)),""))</f>
        <v/>
      </c>
      <c r="I461" s="35">
        <f>IF($F461="","",IFERROR(INDEX(사건마스터!$H$5:$H$64,MATCH($F461,사건마스터!$A$5:$A$64,0)),""))</f>
        <v/>
      </c>
      <c r="J461" s="35">
        <f>IF($F461="","",IFERROR(INDEX(사건마스터!$AH$5:$AH$64,MATCH($F461,사건마스터!$A$5:$A$64,0)),""))</f>
        <v/>
      </c>
      <c r="K461" s="35">
        <f>IF($F461="","",IFERROR(INDEX(사건마스터!$AI$5:$AI$64,MATCH($F461,사건마스터!$A$5:$A$64,0)),""))</f>
        <v/>
      </c>
      <c r="L461" s="35">
        <f>IF($F461="","",IFERROR(INDEX(사건마스터!$AJ$5:$AJ$64,MATCH($F461,사건마스터!$A$5:$A$64,0)),""))</f>
        <v/>
      </c>
      <c r="M461" s="35">
        <f>IF($F461="","",IFERROR(INDEX(사건마스터!$AK$5:$AK$64,MATCH($F461,사건마스터!$A$5:$A$64,0)),""))</f>
        <v/>
      </c>
      <c r="N461" s="35">
        <f>IF($F461="","",IFERROR(INDEX(사건마스터!$AL$5:$AL$64,MATCH($F461,사건마스터!$A$5:$A$64,0)),""))</f>
        <v/>
      </c>
      <c r="O461" s="35">
        <f>IF($F461="","",IFERROR(INDEX(사건마스터!$AM$5:$AM$64,MATCH($F461,사건마스터!$A$5:$A$64,0)),""))</f>
        <v/>
      </c>
      <c r="P461" s="35">
        <f>IF($F461="","",IFERROR(INDEX(사건마스터!$AN$5:$AN$64,MATCH($F461,사건마스터!$A$5:$A$64,0)),""))</f>
        <v/>
      </c>
      <c r="Q461" s="35">
        <f>IF($F461="","",IFERROR(INDEX(사건마스터!$AO$5:$AO$64,MATCH($F461,사건마스터!$A$5:$A$64,0)),""))</f>
        <v/>
      </c>
      <c r="R461" s="35">
        <f>IF($F461="","",IFERROR(INDEX(사건마스터!$AP$5:$AP$64,MATCH($F461,사건마스터!$A$5:$A$64,0)),""))</f>
        <v/>
      </c>
      <c r="S461" s="35">
        <f>IF($F461="","",IFERROR(INDEX(사건마스터!$AQ$5:$AQ$64,MATCH($F461,사건마스터!$A$5:$A$64,0)),""))</f>
        <v/>
      </c>
      <c r="T461" s="35">
        <f>IF($F461="","",IFERROR(INDEX(사건마스터!$AR$5:$AR$64,MATCH($F461,사건마스터!$A$5:$A$64,0)),""))</f>
        <v/>
      </c>
      <c r="U461" s="35">
        <f>IF($F461="","",IFERROR(INDEX(사건마스터!$AS$5:$AS$64,MATCH($F461,사건마스터!$A$5:$A$64,0)),""))</f>
        <v/>
      </c>
      <c r="V461" s="35">
        <f>IF($F461="","",IFERROR(INDEX(사건마스터!$AT$5:$AT$64,MATCH($F461,사건마스터!$A$5:$A$64,0)),""))</f>
        <v/>
      </c>
      <c r="W461" s="35">
        <f>IF($F461="","",IFERROR(INDEX(사건마스터!$AU$5:$AU$64,MATCH($F461,사건마스터!$A$5:$A$64,0)),""))</f>
        <v/>
      </c>
      <c r="X461" s="35">
        <f>IF($F461="","",IFERROR(INDEX(사건마스터!$AV$5:$AV$64,MATCH($F461,사건마스터!$A$5:$A$64,0)),""))</f>
        <v/>
      </c>
      <c r="Y461" s="30">
        <f>IF($I461="","",COUNTIF($I461:$X461,"?*"))</f>
        <v/>
      </c>
      <c r="Z461" s="33">
        <f>IF($I461="","",_xlfn.TEXTJOIN(", ",TRUE,$I461:$X461))</f>
        <v/>
      </c>
      <c r="AA461" s="34">
        <f>IF($I461="","",IFERROR(INDEX(코드설정!$D$5:$D$24,MATCH($I461,코드설정!$C$5:$C$24,0)),""))</f>
        <v/>
      </c>
      <c r="AB461" s="36" t="n"/>
      <c r="AC461" s="37" t="n"/>
      <c r="AD461" s="38" t="n"/>
      <c r="AE461" s="30">
        <f>IF(OR($B461="",$C461=""),"",$C461-$B461+1)</f>
        <v/>
      </c>
      <c r="AF461" s="32" t="n"/>
      <c r="AG461" s="36" t="n"/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3">
        <f>IF($F462="","",IFERROR(INDEX(사건마스터!$B$5:$B$64,MATCH($F462,사건마스터!$A$5:$A$64,0)),""))</f>
        <v/>
      </c>
      <c r="H462" s="34">
        <f>IF($F462="","",IFERROR(INDEX(사건마스터!$C$5:$C$64,MATCH($F462,사건마스터!$A$5:$A$64,0)),""))</f>
        <v/>
      </c>
      <c r="I462" s="35">
        <f>IF($F462="","",IFERROR(INDEX(사건마스터!$H$5:$H$64,MATCH($F462,사건마스터!$A$5:$A$64,0)),""))</f>
        <v/>
      </c>
      <c r="J462" s="35">
        <f>IF($F462="","",IFERROR(INDEX(사건마스터!$AH$5:$AH$64,MATCH($F462,사건마스터!$A$5:$A$64,0)),""))</f>
        <v/>
      </c>
      <c r="K462" s="35">
        <f>IF($F462="","",IFERROR(INDEX(사건마스터!$AI$5:$AI$64,MATCH($F462,사건마스터!$A$5:$A$64,0)),""))</f>
        <v/>
      </c>
      <c r="L462" s="35">
        <f>IF($F462="","",IFERROR(INDEX(사건마스터!$AJ$5:$AJ$64,MATCH($F462,사건마스터!$A$5:$A$64,0)),""))</f>
        <v/>
      </c>
      <c r="M462" s="35">
        <f>IF($F462="","",IFERROR(INDEX(사건마스터!$AK$5:$AK$64,MATCH($F462,사건마스터!$A$5:$A$64,0)),""))</f>
        <v/>
      </c>
      <c r="N462" s="35">
        <f>IF($F462="","",IFERROR(INDEX(사건마스터!$AL$5:$AL$64,MATCH($F462,사건마스터!$A$5:$A$64,0)),""))</f>
        <v/>
      </c>
      <c r="O462" s="35">
        <f>IF($F462="","",IFERROR(INDEX(사건마스터!$AM$5:$AM$64,MATCH($F462,사건마스터!$A$5:$A$64,0)),""))</f>
        <v/>
      </c>
      <c r="P462" s="35">
        <f>IF($F462="","",IFERROR(INDEX(사건마스터!$AN$5:$AN$64,MATCH($F462,사건마스터!$A$5:$A$64,0)),""))</f>
        <v/>
      </c>
      <c r="Q462" s="35">
        <f>IF($F462="","",IFERROR(INDEX(사건마스터!$AO$5:$AO$64,MATCH($F462,사건마스터!$A$5:$A$64,0)),""))</f>
        <v/>
      </c>
      <c r="R462" s="35">
        <f>IF($F462="","",IFERROR(INDEX(사건마스터!$AP$5:$AP$64,MATCH($F462,사건마스터!$A$5:$A$64,0)),""))</f>
        <v/>
      </c>
      <c r="S462" s="35">
        <f>IF($F462="","",IFERROR(INDEX(사건마스터!$AQ$5:$AQ$64,MATCH($F462,사건마스터!$A$5:$A$64,0)),""))</f>
        <v/>
      </c>
      <c r="T462" s="35">
        <f>IF($F462="","",IFERROR(INDEX(사건마스터!$AR$5:$AR$64,MATCH($F462,사건마스터!$A$5:$A$64,0)),""))</f>
        <v/>
      </c>
      <c r="U462" s="35">
        <f>IF($F462="","",IFERROR(INDEX(사건마스터!$AS$5:$AS$64,MATCH($F462,사건마스터!$A$5:$A$64,0)),""))</f>
        <v/>
      </c>
      <c r="V462" s="35">
        <f>IF($F462="","",IFERROR(INDEX(사건마스터!$AT$5:$AT$64,MATCH($F462,사건마스터!$A$5:$A$64,0)),""))</f>
        <v/>
      </c>
      <c r="W462" s="35">
        <f>IF($F462="","",IFERROR(INDEX(사건마스터!$AU$5:$AU$64,MATCH($F462,사건마스터!$A$5:$A$64,0)),""))</f>
        <v/>
      </c>
      <c r="X462" s="35">
        <f>IF($F462="","",IFERROR(INDEX(사건마스터!$AV$5:$AV$64,MATCH($F462,사건마스터!$A$5:$A$64,0)),""))</f>
        <v/>
      </c>
      <c r="Y462" s="30">
        <f>IF($I462="","",COUNTIF($I462:$X462,"?*"))</f>
        <v/>
      </c>
      <c r="Z462" s="33">
        <f>IF($I462="","",_xlfn.TEXTJOIN(", ",TRUE,$I462:$X462))</f>
        <v/>
      </c>
      <c r="AA462" s="34">
        <f>IF($I462="","",IFERROR(INDEX(코드설정!$D$5:$D$24,MATCH($I462,코드설정!$C$5:$C$24,0)),""))</f>
        <v/>
      </c>
      <c r="AB462" s="36" t="n"/>
      <c r="AC462" s="37" t="n"/>
      <c r="AD462" s="38" t="n"/>
      <c r="AE462" s="30">
        <f>IF(OR($B462="",$C462=""),"",$C462-$B462+1)</f>
        <v/>
      </c>
      <c r="AF462" s="32" t="n"/>
      <c r="AG462" s="36" t="n"/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3">
        <f>IF($F463="","",IFERROR(INDEX(사건마스터!$B$5:$B$64,MATCH($F463,사건마스터!$A$5:$A$64,0)),""))</f>
        <v/>
      </c>
      <c r="H463" s="34">
        <f>IF($F463="","",IFERROR(INDEX(사건마스터!$C$5:$C$64,MATCH($F463,사건마스터!$A$5:$A$64,0)),""))</f>
        <v/>
      </c>
      <c r="I463" s="35">
        <f>IF($F463="","",IFERROR(INDEX(사건마스터!$H$5:$H$64,MATCH($F463,사건마스터!$A$5:$A$64,0)),""))</f>
        <v/>
      </c>
      <c r="J463" s="35">
        <f>IF($F463="","",IFERROR(INDEX(사건마스터!$AH$5:$AH$64,MATCH($F463,사건마스터!$A$5:$A$64,0)),""))</f>
        <v/>
      </c>
      <c r="K463" s="35">
        <f>IF($F463="","",IFERROR(INDEX(사건마스터!$AI$5:$AI$64,MATCH($F463,사건마스터!$A$5:$A$64,0)),""))</f>
        <v/>
      </c>
      <c r="L463" s="35">
        <f>IF($F463="","",IFERROR(INDEX(사건마스터!$AJ$5:$AJ$64,MATCH($F463,사건마스터!$A$5:$A$64,0)),""))</f>
        <v/>
      </c>
      <c r="M463" s="35">
        <f>IF($F463="","",IFERROR(INDEX(사건마스터!$AK$5:$AK$64,MATCH($F463,사건마스터!$A$5:$A$64,0)),""))</f>
        <v/>
      </c>
      <c r="N463" s="35">
        <f>IF($F463="","",IFERROR(INDEX(사건마스터!$AL$5:$AL$64,MATCH($F463,사건마스터!$A$5:$A$64,0)),""))</f>
        <v/>
      </c>
      <c r="O463" s="35">
        <f>IF($F463="","",IFERROR(INDEX(사건마스터!$AM$5:$AM$64,MATCH($F463,사건마스터!$A$5:$A$64,0)),""))</f>
        <v/>
      </c>
      <c r="P463" s="35">
        <f>IF($F463="","",IFERROR(INDEX(사건마스터!$AN$5:$AN$64,MATCH($F463,사건마스터!$A$5:$A$64,0)),""))</f>
        <v/>
      </c>
      <c r="Q463" s="35">
        <f>IF($F463="","",IFERROR(INDEX(사건마스터!$AO$5:$AO$64,MATCH($F463,사건마스터!$A$5:$A$64,0)),""))</f>
        <v/>
      </c>
      <c r="R463" s="35">
        <f>IF($F463="","",IFERROR(INDEX(사건마스터!$AP$5:$AP$64,MATCH($F463,사건마스터!$A$5:$A$64,0)),""))</f>
        <v/>
      </c>
      <c r="S463" s="35">
        <f>IF($F463="","",IFERROR(INDEX(사건마스터!$AQ$5:$AQ$64,MATCH($F463,사건마스터!$A$5:$A$64,0)),""))</f>
        <v/>
      </c>
      <c r="T463" s="35">
        <f>IF($F463="","",IFERROR(INDEX(사건마스터!$AR$5:$AR$64,MATCH($F463,사건마스터!$A$5:$A$64,0)),""))</f>
        <v/>
      </c>
      <c r="U463" s="35">
        <f>IF($F463="","",IFERROR(INDEX(사건마스터!$AS$5:$AS$64,MATCH($F463,사건마스터!$A$5:$A$64,0)),""))</f>
        <v/>
      </c>
      <c r="V463" s="35">
        <f>IF($F463="","",IFERROR(INDEX(사건마스터!$AT$5:$AT$64,MATCH($F463,사건마스터!$A$5:$A$64,0)),""))</f>
        <v/>
      </c>
      <c r="W463" s="35">
        <f>IF($F463="","",IFERROR(INDEX(사건마스터!$AU$5:$AU$64,MATCH($F463,사건마스터!$A$5:$A$64,0)),""))</f>
        <v/>
      </c>
      <c r="X463" s="35">
        <f>IF($F463="","",IFERROR(INDEX(사건마스터!$AV$5:$AV$64,MATCH($F463,사건마스터!$A$5:$A$64,0)),""))</f>
        <v/>
      </c>
      <c r="Y463" s="30">
        <f>IF($I463="","",COUNTIF($I463:$X463,"?*"))</f>
        <v/>
      </c>
      <c r="Z463" s="33">
        <f>IF($I463="","",_xlfn.TEXTJOIN(", ",TRUE,$I463:$X463))</f>
        <v/>
      </c>
      <c r="AA463" s="34">
        <f>IF($I463="","",IFERROR(INDEX(코드설정!$D$5:$D$24,MATCH($I463,코드설정!$C$5:$C$24,0)),""))</f>
        <v/>
      </c>
      <c r="AB463" s="36" t="n"/>
      <c r="AC463" s="37" t="n"/>
      <c r="AD463" s="38" t="n"/>
      <c r="AE463" s="30">
        <f>IF(OR($B463="",$C463=""),"",$C463-$B463+1)</f>
        <v/>
      </c>
      <c r="AF463" s="32" t="n"/>
      <c r="AG463" s="36" t="n"/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3">
        <f>IF($F464="","",IFERROR(INDEX(사건마스터!$B$5:$B$64,MATCH($F464,사건마스터!$A$5:$A$64,0)),""))</f>
        <v/>
      </c>
      <c r="H464" s="34">
        <f>IF($F464="","",IFERROR(INDEX(사건마스터!$C$5:$C$64,MATCH($F464,사건마스터!$A$5:$A$64,0)),""))</f>
        <v/>
      </c>
      <c r="I464" s="35">
        <f>IF($F464="","",IFERROR(INDEX(사건마스터!$H$5:$H$64,MATCH($F464,사건마스터!$A$5:$A$64,0)),""))</f>
        <v/>
      </c>
      <c r="J464" s="35">
        <f>IF($F464="","",IFERROR(INDEX(사건마스터!$AH$5:$AH$64,MATCH($F464,사건마스터!$A$5:$A$64,0)),""))</f>
        <v/>
      </c>
      <c r="K464" s="35">
        <f>IF($F464="","",IFERROR(INDEX(사건마스터!$AI$5:$AI$64,MATCH($F464,사건마스터!$A$5:$A$64,0)),""))</f>
        <v/>
      </c>
      <c r="L464" s="35">
        <f>IF($F464="","",IFERROR(INDEX(사건마스터!$AJ$5:$AJ$64,MATCH($F464,사건마스터!$A$5:$A$64,0)),""))</f>
        <v/>
      </c>
      <c r="M464" s="35">
        <f>IF($F464="","",IFERROR(INDEX(사건마스터!$AK$5:$AK$64,MATCH($F464,사건마스터!$A$5:$A$64,0)),""))</f>
        <v/>
      </c>
      <c r="N464" s="35">
        <f>IF($F464="","",IFERROR(INDEX(사건마스터!$AL$5:$AL$64,MATCH($F464,사건마스터!$A$5:$A$64,0)),""))</f>
        <v/>
      </c>
      <c r="O464" s="35">
        <f>IF($F464="","",IFERROR(INDEX(사건마스터!$AM$5:$AM$64,MATCH($F464,사건마스터!$A$5:$A$64,0)),""))</f>
        <v/>
      </c>
      <c r="P464" s="35">
        <f>IF($F464="","",IFERROR(INDEX(사건마스터!$AN$5:$AN$64,MATCH($F464,사건마스터!$A$5:$A$64,0)),""))</f>
        <v/>
      </c>
      <c r="Q464" s="35">
        <f>IF($F464="","",IFERROR(INDEX(사건마스터!$AO$5:$AO$64,MATCH($F464,사건마스터!$A$5:$A$64,0)),""))</f>
        <v/>
      </c>
      <c r="R464" s="35">
        <f>IF($F464="","",IFERROR(INDEX(사건마스터!$AP$5:$AP$64,MATCH($F464,사건마스터!$A$5:$A$64,0)),""))</f>
        <v/>
      </c>
      <c r="S464" s="35">
        <f>IF($F464="","",IFERROR(INDEX(사건마스터!$AQ$5:$AQ$64,MATCH($F464,사건마스터!$A$5:$A$64,0)),""))</f>
        <v/>
      </c>
      <c r="T464" s="35">
        <f>IF($F464="","",IFERROR(INDEX(사건마스터!$AR$5:$AR$64,MATCH($F464,사건마스터!$A$5:$A$64,0)),""))</f>
        <v/>
      </c>
      <c r="U464" s="35">
        <f>IF($F464="","",IFERROR(INDEX(사건마스터!$AS$5:$AS$64,MATCH($F464,사건마스터!$A$5:$A$64,0)),""))</f>
        <v/>
      </c>
      <c r="V464" s="35">
        <f>IF($F464="","",IFERROR(INDEX(사건마스터!$AT$5:$AT$64,MATCH($F464,사건마스터!$A$5:$A$64,0)),""))</f>
        <v/>
      </c>
      <c r="W464" s="35">
        <f>IF($F464="","",IFERROR(INDEX(사건마스터!$AU$5:$AU$64,MATCH($F464,사건마스터!$A$5:$A$64,0)),""))</f>
        <v/>
      </c>
      <c r="X464" s="35">
        <f>IF($F464="","",IFERROR(INDEX(사건마스터!$AV$5:$AV$64,MATCH($F464,사건마스터!$A$5:$A$64,0)),""))</f>
        <v/>
      </c>
      <c r="Y464" s="30">
        <f>IF($I464="","",COUNTIF($I464:$X464,"?*"))</f>
        <v/>
      </c>
      <c r="Z464" s="33">
        <f>IF($I464="","",_xlfn.TEXTJOIN(", ",TRUE,$I464:$X464))</f>
        <v/>
      </c>
      <c r="AA464" s="34">
        <f>IF($I464="","",IFERROR(INDEX(코드설정!$D$5:$D$24,MATCH($I464,코드설정!$C$5:$C$24,0)),""))</f>
        <v/>
      </c>
      <c r="AB464" s="36" t="n"/>
      <c r="AC464" s="37" t="n"/>
      <c r="AD464" s="38" t="n"/>
      <c r="AE464" s="30">
        <f>IF(OR($B464="",$C464=""),"",$C464-$B464+1)</f>
        <v/>
      </c>
      <c r="AF464" s="32" t="n"/>
      <c r="AG464" s="36" t="n"/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3">
        <f>IF($F465="","",IFERROR(INDEX(사건마스터!$B$5:$B$64,MATCH($F465,사건마스터!$A$5:$A$64,0)),""))</f>
        <v/>
      </c>
      <c r="H465" s="34">
        <f>IF($F465="","",IFERROR(INDEX(사건마스터!$C$5:$C$64,MATCH($F465,사건마스터!$A$5:$A$64,0)),""))</f>
        <v/>
      </c>
      <c r="I465" s="35">
        <f>IF($F465="","",IFERROR(INDEX(사건마스터!$H$5:$H$64,MATCH($F465,사건마스터!$A$5:$A$64,0)),""))</f>
        <v/>
      </c>
      <c r="J465" s="35">
        <f>IF($F465="","",IFERROR(INDEX(사건마스터!$AH$5:$AH$64,MATCH($F465,사건마스터!$A$5:$A$64,0)),""))</f>
        <v/>
      </c>
      <c r="K465" s="35">
        <f>IF($F465="","",IFERROR(INDEX(사건마스터!$AI$5:$AI$64,MATCH($F465,사건마스터!$A$5:$A$64,0)),""))</f>
        <v/>
      </c>
      <c r="L465" s="35">
        <f>IF($F465="","",IFERROR(INDEX(사건마스터!$AJ$5:$AJ$64,MATCH($F465,사건마스터!$A$5:$A$64,0)),""))</f>
        <v/>
      </c>
      <c r="M465" s="35">
        <f>IF($F465="","",IFERROR(INDEX(사건마스터!$AK$5:$AK$64,MATCH($F465,사건마스터!$A$5:$A$64,0)),""))</f>
        <v/>
      </c>
      <c r="N465" s="35">
        <f>IF($F465="","",IFERROR(INDEX(사건마스터!$AL$5:$AL$64,MATCH($F465,사건마스터!$A$5:$A$64,0)),""))</f>
        <v/>
      </c>
      <c r="O465" s="35">
        <f>IF($F465="","",IFERROR(INDEX(사건마스터!$AM$5:$AM$64,MATCH($F465,사건마스터!$A$5:$A$64,0)),""))</f>
        <v/>
      </c>
      <c r="P465" s="35">
        <f>IF($F465="","",IFERROR(INDEX(사건마스터!$AN$5:$AN$64,MATCH($F465,사건마스터!$A$5:$A$64,0)),""))</f>
        <v/>
      </c>
      <c r="Q465" s="35">
        <f>IF($F465="","",IFERROR(INDEX(사건마스터!$AO$5:$AO$64,MATCH($F465,사건마스터!$A$5:$A$64,0)),""))</f>
        <v/>
      </c>
      <c r="R465" s="35">
        <f>IF($F465="","",IFERROR(INDEX(사건마스터!$AP$5:$AP$64,MATCH($F465,사건마스터!$A$5:$A$64,0)),""))</f>
        <v/>
      </c>
      <c r="S465" s="35">
        <f>IF($F465="","",IFERROR(INDEX(사건마스터!$AQ$5:$AQ$64,MATCH($F465,사건마스터!$A$5:$A$64,0)),""))</f>
        <v/>
      </c>
      <c r="T465" s="35">
        <f>IF($F465="","",IFERROR(INDEX(사건마스터!$AR$5:$AR$64,MATCH($F465,사건마스터!$A$5:$A$64,0)),""))</f>
        <v/>
      </c>
      <c r="U465" s="35">
        <f>IF($F465="","",IFERROR(INDEX(사건마스터!$AS$5:$AS$64,MATCH($F465,사건마스터!$A$5:$A$64,0)),""))</f>
        <v/>
      </c>
      <c r="V465" s="35">
        <f>IF($F465="","",IFERROR(INDEX(사건마스터!$AT$5:$AT$64,MATCH($F465,사건마스터!$A$5:$A$64,0)),""))</f>
        <v/>
      </c>
      <c r="W465" s="35">
        <f>IF($F465="","",IFERROR(INDEX(사건마스터!$AU$5:$AU$64,MATCH($F465,사건마스터!$A$5:$A$64,0)),""))</f>
        <v/>
      </c>
      <c r="X465" s="35">
        <f>IF($F465="","",IFERROR(INDEX(사건마스터!$AV$5:$AV$64,MATCH($F465,사건마스터!$A$5:$A$64,0)),""))</f>
        <v/>
      </c>
      <c r="Y465" s="30">
        <f>IF($I465="","",COUNTIF($I465:$X465,"?*"))</f>
        <v/>
      </c>
      <c r="Z465" s="33">
        <f>IF($I465="","",_xlfn.TEXTJOIN(", ",TRUE,$I465:$X465))</f>
        <v/>
      </c>
      <c r="AA465" s="34">
        <f>IF($I465="","",IFERROR(INDEX(코드설정!$D$5:$D$24,MATCH($I465,코드설정!$C$5:$C$24,0)),""))</f>
        <v/>
      </c>
      <c r="AB465" s="36" t="n"/>
      <c r="AC465" s="37" t="n"/>
      <c r="AD465" s="38" t="n"/>
      <c r="AE465" s="30">
        <f>IF(OR($B465="",$C465=""),"",$C465-$B465+1)</f>
        <v/>
      </c>
      <c r="AF465" s="32" t="n"/>
      <c r="AG465" s="36" t="n"/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3">
        <f>IF($F466="","",IFERROR(INDEX(사건마스터!$B$5:$B$64,MATCH($F466,사건마스터!$A$5:$A$64,0)),""))</f>
        <v/>
      </c>
      <c r="H466" s="34">
        <f>IF($F466="","",IFERROR(INDEX(사건마스터!$C$5:$C$64,MATCH($F466,사건마스터!$A$5:$A$64,0)),""))</f>
        <v/>
      </c>
      <c r="I466" s="35">
        <f>IF($F466="","",IFERROR(INDEX(사건마스터!$H$5:$H$64,MATCH($F466,사건마스터!$A$5:$A$64,0)),""))</f>
        <v/>
      </c>
      <c r="J466" s="35">
        <f>IF($F466="","",IFERROR(INDEX(사건마스터!$AH$5:$AH$64,MATCH($F466,사건마스터!$A$5:$A$64,0)),""))</f>
        <v/>
      </c>
      <c r="K466" s="35">
        <f>IF($F466="","",IFERROR(INDEX(사건마스터!$AI$5:$AI$64,MATCH($F466,사건마스터!$A$5:$A$64,0)),""))</f>
        <v/>
      </c>
      <c r="L466" s="35">
        <f>IF($F466="","",IFERROR(INDEX(사건마스터!$AJ$5:$AJ$64,MATCH($F466,사건마스터!$A$5:$A$64,0)),""))</f>
        <v/>
      </c>
      <c r="M466" s="35">
        <f>IF($F466="","",IFERROR(INDEX(사건마스터!$AK$5:$AK$64,MATCH($F466,사건마스터!$A$5:$A$64,0)),""))</f>
        <v/>
      </c>
      <c r="N466" s="35">
        <f>IF($F466="","",IFERROR(INDEX(사건마스터!$AL$5:$AL$64,MATCH($F466,사건마스터!$A$5:$A$64,0)),""))</f>
        <v/>
      </c>
      <c r="O466" s="35">
        <f>IF($F466="","",IFERROR(INDEX(사건마스터!$AM$5:$AM$64,MATCH($F466,사건마스터!$A$5:$A$64,0)),""))</f>
        <v/>
      </c>
      <c r="P466" s="35">
        <f>IF($F466="","",IFERROR(INDEX(사건마스터!$AN$5:$AN$64,MATCH($F466,사건마스터!$A$5:$A$64,0)),""))</f>
        <v/>
      </c>
      <c r="Q466" s="35">
        <f>IF($F466="","",IFERROR(INDEX(사건마스터!$AO$5:$AO$64,MATCH($F466,사건마스터!$A$5:$A$64,0)),""))</f>
        <v/>
      </c>
      <c r="R466" s="35">
        <f>IF($F466="","",IFERROR(INDEX(사건마스터!$AP$5:$AP$64,MATCH($F466,사건마스터!$A$5:$A$64,0)),""))</f>
        <v/>
      </c>
      <c r="S466" s="35">
        <f>IF($F466="","",IFERROR(INDEX(사건마스터!$AQ$5:$AQ$64,MATCH($F466,사건마스터!$A$5:$A$64,0)),""))</f>
        <v/>
      </c>
      <c r="T466" s="35">
        <f>IF($F466="","",IFERROR(INDEX(사건마스터!$AR$5:$AR$64,MATCH($F466,사건마스터!$A$5:$A$64,0)),""))</f>
        <v/>
      </c>
      <c r="U466" s="35">
        <f>IF($F466="","",IFERROR(INDEX(사건마스터!$AS$5:$AS$64,MATCH($F466,사건마스터!$A$5:$A$64,0)),""))</f>
        <v/>
      </c>
      <c r="V466" s="35">
        <f>IF($F466="","",IFERROR(INDEX(사건마스터!$AT$5:$AT$64,MATCH($F466,사건마스터!$A$5:$A$64,0)),""))</f>
        <v/>
      </c>
      <c r="W466" s="35">
        <f>IF($F466="","",IFERROR(INDEX(사건마스터!$AU$5:$AU$64,MATCH($F466,사건마스터!$A$5:$A$64,0)),""))</f>
        <v/>
      </c>
      <c r="X466" s="35">
        <f>IF($F466="","",IFERROR(INDEX(사건마스터!$AV$5:$AV$64,MATCH($F466,사건마스터!$A$5:$A$64,0)),""))</f>
        <v/>
      </c>
      <c r="Y466" s="30">
        <f>IF($I466="","",COUNTIF($I466:$X466,"?*"))</f>
        <v/>
      </c>
      <c r="Z466" s="33">
        <f>IF($I466="","",_xlfn.TEXTJOIN(", ",TRUE,$I466:$X466))</f>
        <v/>
      </c>
      <c r="AA466" s="34">
        <f>IF($I466="","",IFERROR(INDEX(코드설정!$D$5:$D$24,MATCH($I466,코드설정!$C$5:$C$24,0)),""))</f>
        <v/>
      </c>
      <c r="AB466" s="36" t="n"/>
      <c r="AC466" s="37" t="n"/>
      <c r="AD466" s="38" t="n"/>
      <c r="AE466" s="30">
        <f>IF(OR($B466="",$C466=""),"",$C466-$B466+1)</f>
        <v/>
      </c>
      <c r="AF466" s="32" t="n"/>
      <c r="AG466" s="36" t="n"/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3">
        <f>IF($F467="","",IFERROR(INDEX(사건마스터!$B$5:$B$64,MATCH($F467,사건마스터!$A$5:$A$64,0)),""))</f>
        <v/>
      </c>
      <c r="H467" s="34">
        <f>IF($F467="","",IFERROR(INDEX(사건마스터!$C$5:$C$64,MATCH($F467,사건마스터!$A$5:$A$64,0)),""))</f>
        <v/>
      </c>
      <c r="I467" s="35">
        <f>IF($F467="","",IFERROR(INDEX(사건마스터!$H$5:$H$64,MATCH($F467,사건마스터!$A$5:$A$64,0)),""))</f>
        <v/>
      </c>
      <c r="J467" s="35">
        <f>IF($F467="","",IFERROR(INDEX(사건마스터!$AH$5:$AH$64,MATCH($F467,사건마스터!$A$5:$A$64,0)),""))</f>
        <v/>
      </c>
      <c r="K467" s="35">
        <f>IF($F467="","",IFERROR(INDEX(사건마스터!$AI$5:$AI$64,MATCH($F467,사건마스터!$A$5:$A$64,0)),""))</f>
        <v/>
      </c>
      <c r="L467" s="35">
        <f>IF($F467="","",IFERROR(INDEX(사건마스터!$AJ$5:$AJ$64,MATCH($F467,사건마스터!$A$5:$A$64,0)),""))</f>
        <v/>
      </c>
      <c r="M467" s="35">
        <f>IF($F467="","",IFERROR(INDEX(사건마스터!$AK$5:$AK$64,MATCH($F467,사건마스터!$A$5:$A$64,0)),""))</f>
        <v/>
      </c>
      <c r="N467" s="35">
        <f>IF($F467="","",IFERROR(INDEX(사건마스터!$AL$5:$AL$64,MATCH($F467,사건마스터!$A$5:$A$64,0)),""))</f>
        <v/>
      </c>
      <c r="O467" s="35">
        <f>IF($F467="","",IFERROR(INDEX(사건마스터!$AM$5:$AM$64,MATCH($F467,사건마스터!$A$5:$A$64,0)),""))</f>
        <v/>
      </c>
      <c r="P467" s="35">
        <f>IF($F467="","",IFERROR(INDEX(사건마스터!$AN$5:$AN$64,MATCH($F467,사건마스터!$A$5:$A$64,0)),""))</f>
        <v/>
      </c>
      <c r="Q467" s="35">
        <f>IF($F467="","",IFERROR(INDEX(사건마스터!$AO$5:$AO$64,MATCH($F467,사건마스터!$A$5:$A$64,0)),""))</f>
        <v/>
      </c>
      <c r="R467" s="35">
        <f>IF($F467="","",IFERROR(INDEX(사건마스터!$AP$5:$AP$64,MATCH($F467,사건마스터!$A$5:$A$64,0)),""))</f>
        <v/>
      </c>
      <c r="S467" s="35">
        <f>IF($F467="","",IFERROR(INDEX(사건마스터!$AQ$5:$AQ$64,MATCH($F467,사건마스터!$A$5:$A$64,0)),""))</f>
        <v/>
      </c>
      <c r="T467" s="35">
        <f>IF($F467="","",IFERROR(INDEX(사건마스터!$AR$5:$AR$64,MATCH($F467,사건마스터!$A$5:$A$64,0)),""))</f>
        <v/>
      </c>
      <c r="U467" s="35">
        <f>IF($F467="","",IFERROR(INDEX(사건마스터!$AS$5:$AS$64,MATCH($F467,사건마스터!$A$5:$A$64,0)),""))</f>
        <v/>
      </c>
      <c r="V467" s="35">
        <f>IF($F467="","",IFERROR(INDEX(사건마스터!$AT$5:$AT$64,MATCH($F467,사건마스터!$A$5:$A$64,0)),""))</f>
        <v/>
      </c>
      <c r="W467" s="35">
        <f>IF($F467="","",IFERROR(INDEX(사건마스터!$AU$5:$AU$64,MATCH($F467,사건마스터!$A$5:$A$64,0)),""))</f>
        <v/>
      </c>
      <c r="X467" s="35">
        <f>IF($F467="","",IFERROR(INDEX(사건마스터!$AV$5:$AV$64,MATCH($F467,사건마스터!$A$5:$A$64,0)),""))</f>
        <v/>
      </c>
      <c r="Y467" s="30">
        <f>IF($I467="","",COUNTIF($I467:$X467,"?*"))</f>
        <v/>
      </c>
      <c r="Z467" s="33">
        <f>IF($I467="","",_xlfn.TEXTJOIN(", ",TRUE,$I467:$X467))</f>
        <v/>
      </c>
      <c r="AA467" s="34">
        <f>IF($I467="","",IFERROR(INDEX(코드설정!$D$5:$D$24,MATCH($I467,코드설정!$C$5:$C$24,0)),""))</f>
        <v/>
      </c>
      <c r="AB467" s="36" t="n"/>
      <c r="AC467" s="37" t="n"/>
      <c r="AD467" s="38" t="n"/>
      <c r="AE467" s="30">
        <f>IF(OR($B467="",$C467=""),"",$C467-$B467+1)</f>
        <v/>
      </c>
      <c r="AF467" s="32" t="n"/>
      <c r="AG467" s="36" t="n"/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3">
        <f>IF($F468="","",IFERROR(INDEX(사건마스터!$B$5:$B$64,MATCH($F468,사건마스터!$A$5:$A$64,0)),""))</f>
        <v/>
      </c>
      <c r="H468" s="34">
        <f>IF($F468="","",IFERROR(INDEX(사건마스터!$C$5:$C$64,MATCH($F468,사건마스터!$A$5:$A$64,0)),""))</f>
        <v/>
      </c>
      <c r="I468" s="35">
        <f>IF($F468="","",IFERROR(INDEX(사건마스터!$H$5:$H$64,MATCH($F468,사건마스터!$A$5:$A$64,0)),""))</f>
        <v/>
      </c>
      <c r="J468" s="35">
        <f>IF($F468="","",IFERROR(INDEX(사건마스터!$AH$5:$AH$64,MATCH($F468,사건마스터!$A$5:$A$64,0)),""))</f>
        <v/>
      </c>
      <c r="K468" s="35">
        <f>IF($F468="","",IFERROR(INDEX(사건마스터!$AI$5:$AI$64,MATCH($F468,사건마스터!$A$5:$A$64,0)),""))</f>
        <v/>
      </c>
      <c r="L468" s="35">
        <f>IF($F468="","",IFERROR(INDEX(사건마스터!$AJ$5:$AJ$64,MATCH($F468,사건마스터!$A$5:$A$64,0)),""))</f>
        <v/>
      </c>
      <c r="M468" s="35">
        <f>IF($F468="","",IFERROR(INDEX(사건마스터!$AK$5:$AK$64,MATCH($F468,사건마스터!$A$5:$A$64,0)),""))</f>
        <v/>
      </c>
      <c r="N468" s="35">
        <f>IF($F468="","",IFERROR(INDEX(사건마스터!$AL$5:$AL$64,MATCH($F468,사건마스터!$A$5:$A$64,0)),""))</f>
        <v/>
      </c>
      <c r="O468" s="35">
        <f>IF($F468="","",IFERROR(INDEX(사건마스터!$AM$5:$AM$64,MATCH($F468,사건마스터!$A$5:$A$64,0)),""))</f>
        <v/>
      </c>
      <c r="P468" s="35">
        <f>IF($F468="","",IFERROR(INDEX(사건마스터!$AN$5:$AN$64,MATCH($F468,사건마스터!$A$5:$A$64,0)),""))</f>
        <v/>
      </c>
      <c r="Q468" s="35">
        <f>IF($F468="","",IFERROR(INDEX(사건마스터!$AO$5:$AO$64,MATCH($F468,사건마스터!$A$5:$A$64,0)),""))</f>
        <v/>
      </c>
      <c r="R468" s="35">
        <f>IF($F468="","",IFERROR(INDEX(사건마스터!$AP$5:$AP$64,MATCH($F468,사건마스터!$A$5:$A$64,0)),""))</f>
        <v/>
      </c>
      <c r="S468" s="35">
        <f>IF($F468="","",IFERROR(INDEX(사건마스터!$AQ$5:$AQ$64,MATCH($F468,사건마스터!$A$5:$A$64,0)),""))</f>
        <v/>
      </c>
      <c r="T468" s="35">
        <f>IF($F468="","",IFERROR(INDEX(사건마스터!$AR$5:$AR$64,MATCH($F468,사건마스터!$A$5:$A$64,0)),""))</f>
        <v/>
      </c>
      <c r="U468" s="35">
        <f>IF($F468="","",IFERROR(INDEX(사건마스터!$AS$5:$AS$64,MATCH($F468,사건마스터!$A$5:$A$64,0)),""))</f>
        <v/>
      </c>
      <c r="V468" s="35">
        <f>IF($F468="","",IFERROR(INDEX(사건마스터!$AT$5:$AT$64,MATCH($F468,사건마스터!$A$5:$A$64,0)),""))</f>
        <v/>
      </c>
      <c r="W468" s="35">
        <f>IF($F468="","",IFERROR(INDEX(사건마스터!$AU$5:$AU$64,MATCH($F468,사건마스터!$A$5:$A$64,0)),""))</f>
        <v/>
      </c>
      <c r="X468" s="35">
        <f>IF($F468="","",IFERROR(INDEX(사건마스터!$AV$5:$AV$64,MATCH($F468,사건마스터!$A$5:$A$64,0)),""))</f>
        <v/>
      </c>
      <c r="Y468" s="30">
        <f>IF($I468="","",COUNTIF($I468:$X468,"?*"))</f>
        <v/>
      </c>
      <c r="Z468" s="33">
        <f>IF($I468="","",_xlfn.TEXTJOIN(", ",TRUE,$I468:$X468))</f>
        <v/>
      </c>
      <c r="AA468" s="34">
        <f>IF($I468="","",IFERROR(INDEX(코드설정!$D$5:$D$24,MATCH($I468,코드설정!$C$5:$C$24,0)),""))</f>
        <v/>
      </c>
      <c r="AB468" s="36" t="n"/>
      <c r="AC468" s="37" t="n"/>
      <c r="AD468" s="38" t="n"/>
      <c r="AE468" s="30">
        <f>IF(OR($B468="",$C468=""),"",$C468-$B468+1)</f>
        <v/>
      </c>
      <c r="AF468" s="32" t="n"/>
      <c r="AG468" s="36" t="n"/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3">
        <f>IF($F469="","",IFERROR(INDEX(사건마스터!$B$5:$B$64,MATCH($F469,사건마스터!$A$5:$A$64,0)),""))</f>
        <v/>
      </c>
      <c r="H469" s="34">
        <f>IF($F469="","",IFERROR(INDEX(사건마스터!$C$5:$C$64,MATCH($F469,사건마스터!$A$5:$A$64,0)),""))</f>
        <v/>
      </c>
      <c r="I469" s="35">
        <f>IF($F469="","",IFERROR(INDEX(사건마스터!$H$5:$H$64,MATCH($F469,사건마스터!$A$5:$A$64,0)),""))</f>
        <v/>
      </c>
      <c r="J469" s="35">
        <f>IF($F469="","",IFERROR(INDEX(사건마스터!$AH$5:$AH$64,MATCH($F469,사건마스터!$A$5:$A$64,0)),""))</f>
        <v/>
      </c>
      <c r="K469" s="35">
        <f>IF($F469="","",IFERROR(INDEX(사건마스터!$AI$5:$AI$64,MATCH($F469,사건마스터!$A$5:$A$64,0)),""))</f>
        <v/>
      </c>
      <c r="L469" s="35">
        <f>IF($F469="","",IFERROR(INDEX(사건마스터!$AJ$5:$AJ$64,MATCH($F469,사건마스터!$A$5:$A$64,0)),""))</f>
        <v/>
      </c>
      <c r="M469" s="35">
        <f>IF($F469="","",IFERROR(INDEX(사건마스터!$AK$5:$AK$64,MATCH($F469,사건마스터!$A$5:$A$64,0)),""))</f>
        <v/>
      </c>
      <c r="N469" s="35">
        <f>IF($F469="","",IFERROR(INDEX(사건마스터!$AL$5:$AL$64,MATCH($F469,사건마스터!$A$5:$A$64,0)),""))</f>
        <v/>
      </c>
      <c r="O469" s="35">
        <f>IF($F469="","",IFERROR(INDEX(사건마스터!$AM$5:$AM$64,MATCH($F469,사건마스터!$A$5:$A$64,0)),""))</f>
        <v/>
      </c>
      <c r="P469" s="35">
        <f>IF($F469="","",IFERROR(INDEX(사건마스터!$AN$5:$AN$64,MATCH($F469,사건마스터!$A$5:$A$64,0)),""))</f>
        <v/>
      </c>
      <c r="Q469" s="35">
        <f>IF($F469="","",IFERROR(INDEX(사건마스터!$AO$5:$AO$64,MATCH($F469,사건마스터!$A$5:$A$64,0)),""))</f>
        <v/>
      </c>
      <c r="R469" s="35">
        <f>IF($F469="","",IFERROR(INDEX(사건마스터!$AP$5:$AP$64,MATCH($F469,사건마스터!$A$5:$A$64,0)),""))</f>
        <v/>
      </c>
      <c r="S469" s="35">
        <f>IF($F469="","",IFERROR(INDEX(사건마스터!$AQ$5:$AQ$64,MATCH($F469,사건마스터!$A$5:$A$64,0)),""))</f>
        <v/>
      </c>
      <c r="T469" s="35">
        <f>IF($F469="","",IFERROR(INDEX(사건마스터!$AR$5:$AR$64,MATCH($F469,사건마스터!$A$5:$A$64,0)),""))</f>
        <v/>
      </c>
      <c r="U469" s="35">
        <f>IF($F469="","",IFERROR(INDEX(사건마스터!$AS$5:$AS$64,MATCH($F469,사건마스터!$A$5:$A$64,0)),""))</f>
        <v/>
      </c>
      <c r="V469" s="35">
        <f>IF($F469="","",IFERROR(INDEX(사건마스터!$AT$5:$AT$64,MATCH($F469,사건마스터!$A$5:$A$64,0)),""))</f>
        <v/>
      </c>
      <c r="W469" s="35">
        <f>IF($F469="","",IFERROR(INDEX(사건마스터!$AU$5:$AU$64,MATCH($F469,사건마스터!$A$5:$A$64,0)),""))</f>
        <v/>
      </c>
      <c r="X469" s="35">
        <f>IF($F469="","",IFERROR(INDEX(사건마스터!$AV$5:$AV$64,MATCH($F469,사건마스터!$A$5:$A$64,0)),""))</f>
        <v/>
      </c>
      <c r="Y469" s="30">
        <f>IF($I469="","",COUNTIF($I469:$X469,"?*"))</f>
        <v/>
      </c>
      <c r="Z469" s="33">
        <f>IF($I469="","",_xlfn.TEXTJOIN(", ",TRUE,$I469:$X469))</f>
        <v/>
      </c>
      <c r="AA469" s="34">
        <f>IF($I469="","",IFERROR(INDEX(코드설정!$D$5:$D$24,MATCH($I469,코드설정!$C$5:$C$24,0)),""))</f>
        <v/>
      </c>
      <c r="AB469" s="36" t="n"/>
      <c r="AC469" s="37" t="n"/>
      <c r="AD469" s="38" t="n"/>
      <c r="AE469" s="30">
        <f>IF(OR($B469="",$C469=""),"",$C469-$B469+1)</f>
        <v/>
      </c>
      <c r="AF469" s="32" t="n"/>
      <c r="AG469" s="36" t="n"/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3">
        <f>IF($F470="","",IFERROR(INDEX(사건마스터!$B$5:$B$64,MATCH($F470,사건마스터!$A$5:$A$64,0)),""))</f>
        <v/>
      </c>
      <c r="H470" s="34">
        <f>IF($F470="","",IFERROR(INDEX(사건마스터!$C$5:$C$64,MATCH($F470,사건마스터!$A$5:$A$64,0)),""))</f>
        <v/>
      </c>
      <c r="I470" s="35">
        <f>IF($F470="","",IFERROR(INDEX(사건마스터!$H$5:$H$64,MATCH($F470,사건마스터!$A$5:$A$64,0)),""))</f>
        <v/>
      </c>
      <c r="J470" s="35">
        <f>IF($F470="","",IFERROR(INDEX(사건마스터!$AH$5:$AH$64,MATCH($F470,사건마스터!$A$5:$A$64,0)),""))</f>
        <v/>
      </c>
      <c r="K470" s="35">
        <f>IF($F470="","",IFERROR(INDEX(사건마스터!$AI$5:$AI$64,MATCH($F470,사건마스터!$A$5:$A$64,0)),""))</f>
        <v/>
      </c>
      <c r="L470" s="35">
        <f>IF($F470="","",IFERROR(INDEX(사건마스터!$AJ$5:$AJ$64,MATCH($F470,사건마스터!$A$5:$A$64,0)),""))</f>
        <v/>
      </c>
      <c r="M470" s="35">
        <f>IF($F470="","",IFERROR(INDEX(사건마스터!$AK$5:$AK$64,MATCH($F470,사건마스터!$A$5:$A$64,0)),""))</f>
        <v/>
      </c>
      <c r="N470" s="35">
        <f>IF($F470="","",IFERROR(INDEX(사건마스터!$AL$5:$AL$64,MATCH($F470,사건마스터!$A$5:$A$64,0)),""))</f>
        <v/>
      </c>
      <c r="O470" s="35">
        <f>IF($F470="","",IFERROR(INDEX(사건마스터!$AM$5:$AM$64,MATCH($F470,사건마스터!$A$5:$A$64,0)),""))</f>
        <v/>
      </c>
      <c r="P470" s="35">
        <f>IF($F470="","",IFERROR(INDEX(사건마스터!$AN$5:$AN$64,MATCH($F470,사건마스터!$A$5:$A$64,0)),""))</f>
        <v/>
      </c>
      <c r="Q470" s="35">
        <f>IF($F470="","",IFERROR(INDEX(사건마스터!$AO$5:$AO$64,MATCH($F470,사건마스터!$A$5:$A$64,0)),""))</f>
        <v/>
      </c>
      <c r="R470" s="35">
        <f>IF($F470="","",IFERROR(INDEX(사건마스터!$AP$5:$AP$64,MATCH($F470,사건마스터!$A$5:$A$64,0)),""))</f>
        <v/>
      </c>
      <c r="S470" s="35">
        <f>IF($F470="","",IFERROR(INDEX(사건마스터!$AQ$5:$AQ$64,MATCH($F470,사건마스터!$A$5:$A$64,0)),""))</f>
        <v/>
      </c>
      <c r="T470" s="35">
        <f>IF($F470="","",IFERROR(INDEX(사건마스터!$AR$5:$AR$64,MATCH($F470,사건마스터!$A$5:$A$64,0)),""))</f>
        <v/>
      </c>
      <c r="U470" s="35">
        <f>IF($F470="","",IFERROR(INDEX(사건마스터!$AS$5:$AS$64,MATCH($F470,사건마스터!$A$5:$A$64,0)),""))</f>
        <v/>
      </c>
      <c r="V470" s="35">
        <f>IF($F470="","",IFERROR(INDEX(사건마스터!$AT$5:$AT$64,MATCH($F470,사건마스터!$A$5:$A$64,0)),""))</f>
        <v/>
      </c>
      <c r="W470" s="35">
        <f>IF($F470="","",IFERROR(INDEX(사건마스터!$AU$5:$AU$64,MATCH($F470,사건마스터!$A$5:$A$64,0)),""))</f>
        <v/>
      </c>
      <c r="X470" s="35">
        <f>IF($F470="","",IFERROR(INDEX(사건마스터!$AV$5:$AV$64,MATCH($F470,사건마스터!$A$5:$A$64,0)),""))</f>
        <v/>
      </c>
      <c r="Y470" s="30">
        <f>IF($I470="","",COUNTIF($I470:$X470,"?*"))</f>
        <v/>
      </c>
      <c r="Z470" s="33">
        <f>IF($I470="","",_xlfn.TEXTJOIN(", ",TRUE,$I470:$X470))</f>
        <v/>
      </c>
      <c r="AA470" s="34">
        <f>IF($I470="","",IFERROR(INDEX(코드설정!$D$5:$D$24,MATCH($I470,코드설정!$C$5:$C$24,0)),""))</f>
        <v/>
      </c>
      <c r="AB470" s="36" t="n"/>
      <c r="AC470" s="37" t="n"/>
      <c r="AD470" s="38" t="n"/>
      <c r="AE470" s="30">
        <f>IF(OR($B470="",$C470=""),"",$C470-$B470+1)</f>
        <v/>
      </c>
      <c r="AF470" s="32" t="n"/>
      <c r="AG470" s="36" t="n"/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3">
        <f>IF($F471="","",IFERROR(INDEX(사건마스터!$B$5:$B$64,MATCH($F471,사건마스터!$A$5:$A$64,0)),""))</f>
        <v/>
      </c>
      <c r="H471" s="34">
        <f>IF($F471="","",IFERROR(INDEX(사건마스터!$C$5:$C$64,MATCH($F471,사건마스터!$A$5:$A$64,0)),""))</f>
        <v/>
      </c>
      <c r="I471" s="35">
        <f>IF($F471="","",IFERROR(INDEX(사건마스터!$H$5:$H$64,MATCH($F471,사건마스터!$A$5:$A$64,0)),""))</f>
        <v/>
      </c>
      <c r="J471" s="35">
        <f>IF($F471="","",IFERROR(INDEX(사건마스터!$AH$5:$AH$64,MATCH($F471,사건마스터!$A$5:$A$64,0)),""))</f>
        <v/>
      </c>
      <c r="K471" s="35">
        <f>IF($F471="","",IFERROR(INDEX(사건마스터!$AI$5:$AI$64,MATCH($F471,사건마스터!$A$5:$A$64,0)),""))</f>
        <v/>
      </c>
      <c r="L471" s="35">
        <f>IF($F471="","",IFERROR(INDEX(사건마스터!$AJ$5:$AJ$64,MATCH($F471,사건마스터!$A$5:$A$64,0)),""))</f>
        <v/>
      </c>
      <c r="M471" s="35">
        <f>IF($F471="","",IFERROR(INDEX(사건마스터!$AK$5:$AK$64,MATCH($F471,사건마스터!$A$5:$A$64,0)),""))</f>
        <v/>
      </c>
      <c r="N471" s="35">
        <f>IF($F471="","",IFERROR(INDEX(사건마스터!$AL$5:$AL$64,MATCH($F471,사건마스터!$A$5:$A$64,0)),""))</f>
        <v/>
      </c>
      <c r="O471" s="35">
        <f>IF($F471="","",IFERROR(INDEX(사건마스터!$AM$5:$AM$64,MATCH($F471,사건마스터!$A$5:$A$64,0)),""))</f>
        <v/>
      </c>
      <c r="P471" s="35">
        <f>IF($F471="","",IFERROR(INDEX(사건마스터!$AN$5:$AN$64,MATCH($F471,사건마스터!$A$5:$A$64,0)),""))</f>
        <v/>
      </c>
      <c r="Q471" s="35">
        <f>IF($F471="","",IFERROR(INDEX(사건마스터!$AO$5:$AO$64,MATCH($F471,사건마스터!$A$5:$A$64,0)),""))</f>
        <v/>
      </c>
      <c r="R471" s="35">
        <f>IF($F471="","",IFERROR(INDEX(사건마스터!$AP$5:$AP$64,MATCH($F471,사건마스터!$A$5:$A$64,0)),""))</f>
        <v/>
      </c>
      <c r="S471" s="35">
        <f>IF($F471="","",IFERROR(INDEX(사건마스터!$AQ$5:$AQ$64,MATCH($F471,사건마스터!$A$5:$A$64,0)),""))</f>
        <v/>
      </c>
      <c r="T471" s="35">
        <f>IF($F471="","",IFERROR(INDEX(사건마스터!$AR$5:$AR$64,MATCH($F471,사건마스터!$A$5:$A$64,0)),""))</f>
        <v/>
      </c>
      <c r="U471" s="35">
        <f>IF($F471="","",IFERROR(INDEX(사건마스터!$AS$5:$AS$64,MATCH($F471,사건마스터!$A$5:$A$64,0)),""))</f>
        <v/>
      </c>
      <c r="V471" s="35">
        <f>IF($F471="","",IFERROR(INDEX(사건마스터!$AT$5:$AT$64,MATCH($F471,사건마스터!$A$5:$A$64,0)),""))</f>
        <v/>
      </c>
      <c r="W471" s="35">
        <f>IF($F471="","",IFERROR(INDEX(사건마스터!$AU$5:$AU$64,MATCH($F471,사건마스터!$A$5:$A$64,0)),""))</f>
        <v/>
      </c>
      <c r="X471" s="35">
        <f>IF($F471="","",IFERROR(INDEX(사건마스터!$AV$5:$AV$64,MATCH($F471,사건마스터!$A$5:$A$64,0)),""))</f>
        <v/>
      </c>
      <c r="Y471" s="30">
        <f>IF($I471="","",COUNTIF($I471:$X471,"?*"))</f>
        <v/>
      </c>
      <c r="Z471" s="33">
        <f>IF($I471="","",_xlfn.TEXTJOIN(", ",TRUE,$I471:$X471))</f>
        <v/>
      </c>
      <c r="AA471" s="34">
        <f>IF($I471="","",IFERROR(INDEX(코드설정!$D$5:$D$24,MATCH($I471,코드설정!$C$5:$C$24,0)),""))</f>
        <v/>
      </c>
      <c r="AB471" s="36" t="n"/>
      <c r="AC471" s="37" t="n"/>
      <c r="AD471" s="38" t="n"/>
      <c r="AE471" s="30">
        <f>IF(OR($B471="",$C471=""),"",$C471-$B471+1)</f>
        <v/>
      </c>
      <c r="AF471" s="32" t="n"/>
      <c r="AG471" s="36" t="n"/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3">
        <f>IF($F472="","",IFERROR(INDEX(사건마스터!$B$5:$B$64,MATCH($F472,사건마스터!$A$5:$A$64,0)),""))</f>
        <v/>
      </c>
      <c r="H472" s="34">
        <f>IF($F472="","",IFERROR(INDEX(사건마스터!$C$5:$C$64,MATCH($F472,사건마스터!$A$5:$A$64,0)),""))</f>
        <v/>
      </c>
      <c r="I472" s="35">
        <f>IF($F472="","",IFERROR(INDEX(사건마스터!$H$5:$H$64,MATCH($F472,사건마스터!$A$5:$A$64,0)),""))</f>
        <v/>
      </c>
      <c r="J472" s="35">
        <f>IF($F472="","",IFERROR(INDEX(사건마스터!$AH$5:$AH$64,MATCH($F472,사건마스터!$A$5:$A$64,0)),""))</f>
        <v/>
      </c>
      <c r="K472" s="35">
        <f>IF($F472="","",IFERROR(INDEX(사건마스터!$AI$5:$AI$64,MATCH($F472,사건마스터!$A$5:$A$64,0)),""))</f>
        <v/>
      </c>
      <c r="L472" s="35">
        <f>IF($F472="","",IFERROR(INDEX(사건마스터!$AJ$5:$AJ$64,MATCH($F472,사건마스터!$A$5:$A$64,0)),""))</f>
        <v/>
      </c>
      <c r="M472" s="35">
        <f>IF($F472="","",IFERROR(INDEX(사건마스터!$AK$5:$AK$64,MATCH($F472,사건마스터!$A$5:$A$64,0)),""))</f>
        <v/>
      </c>
      <c r="N472" s="35">
        <f>IF($F472="","",IFERROR(INDEX(사건마스터!$AL$5:$AL$64,MATCH($F472,사건마스터!$A$5:$A$64,0)),""))</f>
        <v/>
      </c>
      <c r="O472" s="35">
        <f>IF($F472="","",IFERROR(INDEX(사건마스터!$AM$5:$AM$64,MATCH($F472,사건마스터!$A$5:$A$64,0)),""))</f>
        <v/>
      </c>
      <c r="P472" s="35">
        <f>IF($F472="","",IFERROR(INDEX(사건마스터!$AN$5:$AN$64,MATCH($F472,사건마스터!$A$5:$A$64,0)),""))</f>
        <v/>
      </c>
      <c r="Q472" s="35">
        <f>IF($F472="","",IFERROR(INDEX(사건마스터!$AO$5:$AO$64,MATCH($F472,사건마스터!$A$5:$A$64,0)),""))</f>
        <v/>
      </c>
      <c r="R472" s="35">
        <f>IF($F472="","",IFERROR(INDEX(사건마스터!$AP$5:$AP$64,MATCH($F472,사건마스터!$A$5:$A$64,0)),""))</f>
        <v/>
      </c>
      <c r="S472" s="35">
        <f>IF($F472="","",IFERROR(INDEX(사건마스터!$AQ$5:$AQ$64,MATCH($F472,사건마스터!$A$5:$A$64,0)),""))</f>
        <v/>
      </c>
      <c r="T472" s="35">
        <f>IF($F472="","",IFERROR(INDEX(사건마스터!$AR$5:$AR$64,MATCH($F472,사건마스터!$A$5:$A$64,0)),""))</f>
        <v/>
      </c>
      <c r="U472" s="35">
        <f>IF($F472="","",IFERROR(INDEX(사건마스터!$AS$5:$AS$64,MATCH($F472,사건마스터!$A$5:$A$64,0)),""))</f>
        <v/>
      </c>
      <c r="V472" s="35">
        <f>IF($F472="","",IFERROR(INDEX(사건마스터!$AT$5:$AT$64,MATCH($F472,사건마스터!$A$5:$A$64,0)),""))</f>
        <v/>
      </c>
      <c r="W472" s="35">
        <f>IF($F472="","",IFERROR(INDEX(사건마스터!$AU$5:$AU$64,MATCH($F472,사건마스터!$A$5:$A$64,0)),""))</f>
        <v/>
      </c>
      <c r="X472" s="35">
        <f>IF($F472="","",IFERROR(INDEX(사건마스터!$AV$5:$AV$64,MATCH($F472,사건마스터!$A$5:$A$64,0)),""))</f>
        <v/>
      </c>
      <c r="Y472" s="30">
        <f>IF($I472="","",COUNTIF($I472:$X472,"?*"))</f>
        <v/>
      </c>
      <c r="Z472" s="33">
        <f>IF($I472="","",_xlfn.TEXTJOIN(", ",TRUE,$I472:$X472))</f>
        <v/>
      </c>
      <c r="AA472" s="34">
        <f>IF($I472="","",IFERROR(INDEX(코드설정!$D$5:$D$24,MATCH($I472,코드설정!$C$5:$C$24,0)),""))</f>
        <v/>
      </c>
      <c r="AB472" s="36" t="n"/>
      <c r="AC472" s="37" t="n"/>
      <c r="AD472" s="38" t="n"/>
      <c r="AE472" s="30">
        <f>IF(OR($B472="",$C472=""),"",$C472-$B472+1)</f>
        <v/>
      </c>
      <c r="AF472" s="32" t="n"/>
      <c r="AG472" s="36" t="n"/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3">
        <f>IF($F473="","",IFERROR(INDEX(사건마스터!$B$5:$B$64,MATCH($F473,사건마스터!$A$5:$A$64,0)),""))</f>
        <v/>
      </c>
      <c r="H473" s="34">
        <f>IF($F473="","",IFERROR(INDEX(사건마스터!$C$5:$C$64,MATCH($F473,사건마스터!$A$5:$A$64,0)),""))</f>
        <v/>
      </c>
      <c r="I473" s="35">
        <f>IF($F473="","",IFERROR(INDEX(사건마스터!$H$5:$H$64,MATCH($F473,사건마스터!$A$5:$A$64,0)),""))</f>
        <v/>
      </c>
      <c r="J473" s="35">
        <f>IF($F473="","",IFERROR(INDEX(사건마스터!$AH$5:$AH$64,MATCH($F473,사건마스터!$A$5:$A$64,0)),""))</f>
        <v/>
      </c>
      <c r="K473" s="35">
        <f>IF($F473="","",IFERROR(INDEX(사건마스터!$AI$5:$AI$64,MATCH($F473,사건마스터!$A$5:$A$64,0)),""))</f>
        <v/>
      </c>
      <c r="L473" s="35">
        <f>IF($F473="","",IFERROR(INDEX(사건마스터!$AJ$5:$AJ$64,MATCH($F473,사건마스터!$A$5:$A$64,0)),""))</f>
        <v/>
      </c>
      <c r="M473" s="35">
        <f>IF($F473="","",IFERROR(INDEX(사건마스터!$AK$5:$AK$64,MATCH($F473,사건마스터!$A$5:$A$64,0)),""))</f>
        <v/>
      </c>
      <c r="N473" s="35">
        <f>IF($F473="","",IFERROR(INDEX(사건마스터!$AL$5:$AL$64,MATCH($F473,사건마스터!$A$5:$A$64,0)),""))</f>
        <v/>
      </c>
      <c r="O473" s="35">
        <f>IF($F473="","",IFERROR(INDEX(사건마스터!$AM$5:$AM$64,MATCH($F473,사건마스터!$A$5:$A$64,0)),""))</f>
        <v/>
      </c>
      <c r="P473" s="35">
        <f>IF($F473="","",IFERROR(INDEX(사건마스터!$AN$5:$AN$64,MATCH($F473,사건마스터!$A$5:$A$64,0)),""))</f>
        <v/>
      </c>
      <c r="Q473" s="35">
        <f>IF($F473="","",IFERROR(INDEX(사건마스터!$AO$5:$AO$64,MATCH($F473,사건마스터!$A$5:$A$64,0)),""))</f>
        <v/>
      </c>
      <c r="R473" s="35">
        <f>IF($F473="","",IFERROR(INDEX(사건마스터!$AP$5:$AP$64,MATCH($F473,사건마스터!$A$5:$A$64,0)),""))</f>
        <v/>
      </c>
      <c r="S473" s="35">
        <f>IF($F473="","",IFERROR(INDEX(사건마스터!$AQ$5:$AQ$64,MATCH($F473,사건마스터!$A$5:$A$64,0)),""))</f>
        <v/>
      </c>
      <c r="T473" s="35">
        <f>IF($F473="","",IFERROR(INDEX(사건마스터!$AR$5:$AR$64,MATCH($F473,사건마스터!$A$5:$A$64,0)),""))</f>
        <v/>
      </c>
      <c r="U473" s="35">
        <f>IF($F473="","",IFERROR(INDEX(사건마스터!$AS$5:$AS$64,MATCH($F473,사건마스터!$A$5:$A$64,0)),""))</f>
        <v/>
      </c>
      <c r="V473" s="35">
        <f>IF($F473="","",IFERROR(INDEX(사건마스터!$AT$5:$AT$64,MATCH($F473,사건마스터!$A$5:$A$64,0)),""))</f>
        <v/>
      </c>
      <c r="W473" s="35">
        <f>IF($F473="","",IFERROR(INDEX(사건마스터!$AU$5:$AU$64,MATCH($F473,사건마스터!$A$5:$A$64,0)),""))</f>
        <v/>
      </c>
      <c r="X473" s="35">
        <f>IF($F473="","",IFERROR(INDEX(사건마스터!$AV$5:$AV$64,MATCH($F473,사건마스터!$A$5:$A$64,0)),""))</f>
        <v/>
      </c>
      <c r="Y473" s="30">
        <f>IF($I473="","",COUNTIF($I473:$X473,"?*"))</f>
        <v/>
      </c>
      <c r="Z473" s="33">
        <f>IF($I473="","",_xlfn.TEXTJOIN(", ",TRUE,$I473:$X473))</f>
        <v/>
      </c>
      <c r="AA473" s="34">
        <f>IF($I473="","",IFERROR(INDEX(코드설정!$D$5:$D$24,MATCH($I473,코드설정!$C$5:$C$24,0)),""))</f>
        <v/>
      </c>
      <c r="AB473" s="36" t="n"/>
      <c r="AC473" s="37" t="n"/>
      <c r="AD473" s="38" t="n"/>
      <c r="AE473" s="30">
        <f>IF(OR($B473="",$C473=""),"",$C473-$B473+1)</f>
        <v/>
      </c>
      <c r="AF473" s="32" t="n"/>
      <c r="AG473" s="36" t="n"/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3">
        <f>IF($F474="","",IFERROR(INDEX(사건마스터!$B$5:$B$64,MATCH($F474,사건마스터!$A$5:$A$64,0)),""))</f>
        <v/>
      </c>
      <c r="H474" s="34">
        <f>IF($F474="","",IFERROR(INDEX(사건마스터!$C$5:$C$64,MATCH($F474,사건마스터!$A$5:$A$64,0)),""))</f>
        <v/>
      </c>
      <c r="I474" s="35">
        <f>IF($F474="","",IFERROR(INDEX(사건마스터!$H$5:$H$64,MATCH($F474,사건마스터!$A$5:$A$64,0)),""))</f>
        <v/>
      </c>
      <c r="J474" s="35">
        <f>IF($F474="","",IFERROR(INDEX(사건마스터!$AH$5:$AH$64,MATCH($F474,사건마스터!$A$5:$A$64,0)),""))</f>
        <v/>
      </c>
      <c r="K474" s="35">
        <f>IF($F474="","",IFERROR(INDEX(사건마스터!$AI$5:$AI$64,MATCH($F474,사건마스터!$A$5:$A$64,0)),""))</f>
        <v/>
      </c>
      <c r="L474" s="35">
        <f>IF($F474="","",IFERROR(INDEX(사건마스터!$AJ$5:$AJ$64,MATCH($F474,사건마스터!$A$5:$A$64,0)),""))</f>
        <v/>
      </c>
      <c r="M474" s="35">
        <f>IF($F474="","",IFERROR(INDEX(사건마스터!$AK$5:$AK$64,MATCH($F474,사건마스터!$A$5:$A$64,0)),""))</f>
        <v/>
      </c>
      <c r="N474" s="35">
        <f>IF($F474="","",IFERROR(INDEX(사건마스터!$AL$5:$AL$64,MATCH($F474,사건마스터!$A$5:$A$64,0)),""))</f>
        <v/>
      </c>
      <c r="O474" s="35">
        <f>IF($F474="","",IFERROR(INDEX(사건마스터!$AM$5:$AM$64,MATCH($F474,사건마스터!$A$5:$A$64,0)),""))</f>
        <v/>
      </c>
      <c r="P474" s="35">
        <f>IF($F474="","",IFERROR(INDEX(사건마스터!$AN$5:$AN$64,MATCH($F474,사건마스터!$A$5:$A$64,0)),""))</f>
        <v/>
      </c>
      <c r="Q474" s="35">
        <f>IF($F474="","",IFERROR(INDEX(사건마스터!$AO$5:$AO$64,MATCH($F474,사건마스터!$A$5:$A$64,0)),""))</f>
        <v/>
      </c>
      <c r="R474" s="35">
        <f>IF($F474="","",IFERROR(INDEX(사건마스터!$AP$5:$AP$64,MATCH($F474,사건마스터!$A$5:$A$64,0)),""))</f>
        <v/>
      </c>
      <c r="S474" s="35">
        <f>IF($F474="","",IFERROR(INDEX(사건마스터!$AQ$5:$AQ$64,MATCH($F474,사건마스터!$A$5:$A$64,0)),""))</f>
        <v/>
      </c>
      <c r="T474" s="35">
        <f>IF($F474="","",IFERROR(INDEX(사건마스터!$AR$5:$AR$64,MATCH($F474,사건마스터!$A$5:$A$64,0)),""))</f>
        <v/>
      </c>
      <c r="U474" s="35">
        <f>IF($F474="","",IFERROR(INDEX(사건마스터!$AS$5:$AS$64,MATCH($F474,사건마스터!$A$5:$A$64,0)),""))</f>
        <v/>
      </c>
      <c r="V474" s="35">
        <f>IF($F474="","",IFERROR(INDEX(사건마스터!$AT$5:$AT$64,MATCH($F474,사건마스터!$A$5:$A$64,0)),""))</f>
        <v/>
      </c>
      <c r="W474" s="35">
        <f>IF($F474="","",IFERROR(INDEX(사건마스터!$AU$5:$AU$64,MATCH($F474,사건마스터!$A$5:$A$64,0)),""))</f>
        <v/>
      </c>
      <c r="X474" s="35">
        <f>IF($F474="","",IFERROR(INDEX(사건마스터!$AV$5:$AV$64,MATCH($F474,사건마스터!$A$5:$A$64,0)),""))</f>
        <v/>
      </c>
      <c r="Y474" s="30">
        <f>IF($I474="","",COUNTIF($I474:$X474,"?*"))</f>
        <v/>
      </c>
      <c r="Z474" s="33">
        <f>IF($I474="","",_xlfn.TEXTJOIN(", ",TRUE,$I474:$X474))</f>
        <v/>
      </c>
      <c r="AA474" s="34">
        <f>IF($I474="","",IFERROR(INDEX(코드설정!$D$5:$D$24,MATCH($I474,코드설정!$C$5:$C$24,0)),""))</f>
        <v/>
      </c>
      <c r="AB474" s="36" t="n"/>
      <c r="AC474" s="37" t="n"/>
      <c r="AD474" s="38" t="n"/>
      <c r="AE474" s="30">
        <f>IF(OR($B474="",$C474=""),"",$C474-$B474+1)</f>
        <v/>
      </c>
      <c r="AF474" s="32" t="n"/>
      <c r="AG474" s="36" t="n"/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3">
        <f>IF($F475="","",IFERROR(INDEX(사건마스터!$B$5:$B$64,MATCH($F475,사건마스터!$A$5:$A$64,0)),""))</f>
        <v/>
      </c>
      <c r="H475" s="34">
        <f>IF($F475="","",IFERROR(INDEX(사건마스터!$C$5:$C$64,MATCH($F475,사건마스터!$A$5:$A$64,0)),""))</f>
        <v/>
      </c>
      <c r="I475" s="35">
        <f>IF($F475="","",IFERROR(INDEX(사건마스터!$H$5:$H$64,MATCH($F475,사건마스터!$A$5:$A$64,0)),""))</f>
        <v/>
      </c>
      <c r="J475" s="35">
        <f>IF($F475="","",IFERROR(INDEX(사건마스터!$AH$5:$AH$64,MATCH($F475,사건마스터!$A$5:$A$64,0)),""))</f>
        <v/>
      </c>
      <c r="K475" s="35">
        <f>IF($F475="","",IFERROR(INDEX(사건마스터!$AI$5:$AI$64,MATCH($F475,사건마스터!$A$5:$A$64,0)),""))</f>
        <v/>
      </c>
      <c r="L475" s="35">
        <f>IF($F475="","",IFERROR(INDEX(사건마스터!$AJ$5:$AJ$64,MATCH($F475,사건마스터!$A$5:$A$64,0)),""))</f>
        <v/>
      </c>
      <c r="M475" s="35">
        <f>IF($F475="","",IFERROR(INDEX(사건마스터!$AK$5:$AK$64,MATCH($F475,사건마스터!$A$5:$A$64,0)),""))</f>
        <v/>
      </c>
      <c r="N475" s="35">
        <f>IF($F475="","",IFERROR(INDEX(사건마스터!$AL$5:$AL$64,MATCH($F475,사건마스터!$A$5:$A$64,0)),""))</f>
        <v/>
      </c>
      <c r="O475" s="35">
        <f>IF($F475="","",IFERROR(INDEX(사건마스터!$AM$5:$AM$64,MATCH($F475,사건마스터!$A$5:$A$64,0)),""))</f>
        <v/>
      </c>
      <c r="P475" s="35">
        <f>IF($F475="","",IFERROR(INDEX(사건마스터!$AN$5:$AN$64,MATCH($F475,사건마스터!$A$5:$A$64,0)),""))</f>
        <v/>
      </c>
      <c r="Q475" s="35">
        <f>IF($F475="","",IFERROR(INDEX(사건마스터!$AO$5:$AO$64,MATCH($F475,사건마스터!$A$5:$A$64,0)),""))</f>
        <v/>
      </c>
      <c r="R475" s="35">
        <f>IF($F475="","",IFERROR(INDEX(사건마스터!$AP$5:$AP$64,MATCH($F475,사건마스터!$A$5:$A$64,0)),""))</f>
        <v/>
      </c>
      <c r="S475" s="35">
        <f>IF($F475="","",IFERROR(INDEX(사건마스터!$AQ$5:$AQ$64,MATCH($F475,사건마스터!$A$5:$A$64,0)),""))</f>
        <v/>
      </c>
      <c r="T475" s="35">
        <f>IF($F475="","",IFERROR(INDEX(사건마스터!$AR$5:$AR$64,MATCH($F475,사건마스터!$A$5:$A$64,0)),""))</f>
        <v/>
      </c>
      <c r="U475" s="35">
        <f>IF($F475="","",IFERROR(INDEX(사건마스터!$AS$5:$AS$64,MATCH($F475,사건마스터!$A$5:$A$64,0)),""))</f>
        <v/>
      </c>
      <c r="V475" s="35">
        <f>IF($F475="","",IFERROR(INDEX(사건마스터!$AT$5:$AT$64,MATCH($F475,사건마스터!$A$5:$A$64,0)),""))</f>
        <v/>
      </c>
      <c r="W475" s="35">
        <f>IF($F475="","",IFERROR(INDEX(사건마스터!$AU$5:$AU$64,MATCH($F475,사건마스터!$A$5:$A$64,0)),""))</f>
        <v/>
      </c>
      <c r="X475" s="35">
        <f>IF($F475="","",IFERROR(INDEX(사건마스터!$AV$5:$AV$64,MATCH($F475,사건마스터!$A$5:$A$64,0)),""))</f>
        <v/>
      </c>
      <c r="Y475" s="30">
        <f>IF($I475="","",COUNTIF($I475:$X475,"?*"))</f>
        <v/>
      </c>
      <c r="Z475" s="33">
        <f>IF($I475="","",_xlfn.TEXTJOIN(", ",TRUE,$I475:$X475))</f>
        <v/>
      </c>
      <c r="AA475" s="34">
        <f>IF($I475="","",IFERROR(INDEX(코드설정!$D$5:$D$24,MATCH($I475,코드설정!$C$5:$C$24,0)),""))</f>
        <v/>
      </c>
      <c r="AB475" s="36" t="n"/>
      <c r="AC475" s="37" t="n"/>
      <c r="AD475" s="38" t="n"/>
      <c r="AE475" s="30">
        <f>IF(OR($B475="",$C475=""),"",$C475-$B475+1)</f>
        <v/>
      </c>
      <c r="AF475" s="32" t="n"/>
      <c r="AG475" s="36" t="n"/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3">
        <f>IF($F476="","",IFERROR(INDEX(사건마스터!$B$5:$B$64,MATCH($F476,사건마스터!$A$5:$A$64,0)),""))</f>
        <v/>
      </c>
      <c r="H476" s="34">
        <f>IF($F476="","",IFERROR(INDEX(사건마스터!$C$5:$C$64,MATCH($F476,사건마스터!$A$5:$A$64,0)),""))</f>
        <v/>
      </c>
      <c r="I476" s="35">
        <f>IF($F476="","",IFERROR(INDEX(사건마스터!$H$5:$H$64,MATCH($F476,사건마스터!$A$5:$A$64,0)),""))</f>
        <v/>
      </c>
      <c r="J476" s="35">
        <f>IF($F476="","",IFERROR(INDEX(사건마스터!$AH$5:$AH$64,MATCH($F476,사건마스터!$A$5:$A$64,0)),""))</f>
        <v/>
      </c>
      <c r="K476" s="35">
        <f>IF($F476="","",IFERROR(INDEX(사건마스터!$AI$5:$AI$64,MATCH($F476,사건마스터!$A$5:$A$64,0)),""))</f>
        <v/>
      </c>
      <c r="L476" s="35">
        <f>IF($F476="","",IFERROR(INDEX(사건마스터!$AJ$5:$AJ$64,MATCH($F476,사건마스터!$A$5:$A$64,0)),""))</f>
        <v/>
      </c>
      <c r="M476" s="35">
        <f>IF($F476="","",IFERROR(INDEX(사건마스터!$AK$5:$AK$64,MATCH($F476,사건마스터!$A$5:$A$64,0)),""))</f>
        <v/>
      </c>
      <c r="N476" s="35">
        <f>IF($F476="","",IFERROR(INDEX(사건마스터!$AL$5:$AL$64,MATCH($F476,사건마스터!$A$5:$A$64,0)),""))</f>
        <v/>
      </c>
      <c r="O476" s="35">
        <f>IF($F476="","",IFERROR(INDEX(사건마스터!$AM$5:$AM$64,MATCH($F476,사건마스터!$A$5:$A$64,0)),""))</f>
        <v/>
      </c>
      <c r="P476" s="35">
        <f>IF($F476="","",IFERROR(INDEX(사건마스터!$AN$5:$AN$64,MATCH($F476,사건마스터!$A$5:$A$64,0)),""))</f>
        <v/>
      </c>
      <c r="Q476" s="35">
        <f>IF($F476="","",IFERROR(INDEX(사건마스터!$AO$5:$AO$64,MATCH($F476,사건마스터!$A$5:$A$64,0)),""))</f>
        <v/>
      </c>
      <c r="R476" s="35">
        <f>IF($F476="","",IFERROR(INDEX(사건마스터!$AP$5:$AP$64,MATCH($F476,사건마스터!$A$5:$A$64,0)),""))</f>
        <v/>
      </c>
      <c r="S476" s="35">
        <f>IF($F476="","",IFERROR(INDEX(사건마스터!$AQ$5:$AQ$64,MATCH($F476,사건마스터!$A$5:$A$64,0)),""))</f>
        <v/>
      </c>
      <c r="T476" s="35">
        <f>IF($F476="","",IFERROR(INDEX(사건마스터!$AR$5:$AR$64,MATCH($F476,사건마스터!$A$5:$A$64,0)),""))</f>
        <v/>
      </c>
      <c r="U476" s="35">
        <f>IF($F476="","",IFERROR(INDEX(사건마스터!$AS$5:$AS$64,MATCH($F476,사건마스터!$A$5:$A$64,0)),""))</f>
        <v/>
      </c>
      <c r="V476" s="35">
        <f>IF($F476="","",IFERROR(INDEX(사건마스터!$AT$5:$AT$64,MATCH($F476,사건마스터!$A$5:$A$64,0)),""))</f>
        <v/>
      </c>
      <c r="W476" s="35">
        <f>IF($F476="","",IFERROR(INDEX(사건마스터!$AU$5:$AU$64,MATCH($F476,사건마스터!$A$5:$A$64,0)),""))</f>
        <v/>
      </c>
      <c r="X476" s="35">
        <f>IF($F476="","",IFERROR(INDEX(사건마스터!$AV$5:$AV$64,MATCH($F476,사건마스터!$A$5:$A$64,0)),""))</f>
        <v/>
      </c>
      <c r="Y476" s="30">
        <f>IF($I476="","",COUNTIF($I476:$X476,"?*"))</f>
        <v/>
      </c>
      <c r="Z476" s="33">
        <f>IF($I476="","",_xlfn.TEXTJOIN(", ",TRUE,$I476:$X476))</f>
        <v/>
      </c>
      <c r="AA476" s="34">
        <f>IF($I476="","",IFERROR(INDEX(코드설정!$D$5:$D$24,MATCH($I476,코드설정!$C$5:$C$24,0)),""))</f>
        <v/>
      </c>
      <c r="AB476" s="36" t="n"/>
      <c r="AC476" s="37" t="n"/>
      <c r="AD476" s="38" t="n"/>
      <c r="AE476" s="30">
        <f>IF(OR($B476="",$C476=""),"",$C476-$B476+1)</f>
        <v/>
      </c>
      <c r="AF476" s="32" t="n"/>
      <c r="AG476" s="36" t="n"/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3">
        <f>IF($F477="","",IFERROR(INDEX(사건마스터!$B$5:$B$64,MATCH($F477,사건마스터!$A$5:$A$64,0)),""))</f>
        <v/>
      </c>
      <c r="H477" s="34">
        <f>IF($F477="","",IFERROR(INDEX(사건마스터!$C$5:$C$64,MATCH($F477,사건마스터!$A$5:$A$64,0)),""))</f>
        <v/>
      </c>
      <c r="I477" s="35">
        <f>IF($F477="","",IFERROR(INDEX(사건마스터!$H$5:$H$64,MATCH($F477,사건마스터!$A$5:$A$64,0)),""))</f>
        <v/>
      </c>
      <c r="J477" s="35">
        <f>IF($F477="","",IFERROR(INDEX(사건마스터!$AH$5:$AH$64,MATCH($F477,사건마스터!$A$5:$A$64,0)),""))</f>
        <v/>
      </c>
      <c r="K477" s="35">
        <f>IF($F477="","",IFERROR(INDEX(사건마스터!$AI$5:$AI$64,MATCH($F477,사건마스터!$A$5:$A$64,0)),""))</f>
        <v/>
      </c>
      <c r="L477" s="35">
        <f>IF($F477="","",IFERROR(INDEX(사건마스터!$AJ$5:$AJ$64,MATCH($F477,사건마스터!$A$5:$A$64,0)),""))</f>
        <v/>
      </c>
      <c r="M477" s="35">
        <f>IF($F477="","",IFERROR(INDEX(사건마스터!$AK$5:$AK$64,MATCH($F477,사건마스터!$A$5:$A$64,0)),""))</f>
        <v/>
      </c>
      <c r="N477" s="35">
        <f>IF($F477="","",IFERROR(INDEX(사건마스터!$AL$5:$AL$64,MATCH($F477,사건마스터!$A$5:$A$64,0)),""))</f>
        <v/>
      </c>
      <c r="O477" s="35">
        <f>IF($F477="","",IFERROR(INDEX(사건마스터!$AM$5:$AM$64,MATCH($F477,사건마스터!$A$5:$A$64,0)),""))</f>
        <v/>
      </c>
      <c r="P477" s="35">
        <f>IF($F477="","",IFERROR(INDEX(사건마스터!$AN$5:$AN$64,MATCH($F477,사건마스터!$A$5:$A$64,0)),""))</f>
        <v/>
      </c>
      <c r="Q477" s="35">
        <f>IF($F477="","",IFERROR(INDEX(사건마스터!$AO$5:$AO$64,MATCH($F477,사건마스터!$A$5:$A$64,0)),""))</f>
        <v/>
      </c>
      <c r="R477" s="35">
        <f>IF($F477="","",IFERROR(INDEX(사건마스터!$AP$5:$AP$64,MATCH($F477,사건마스터!$A$5:$A$64,0)),""))</f>
        <v/>
      </c>
      <c r="S477" s="35">
        <f>IF($F477="","",IFERROR(INDEX(사건마스터!$AQ$5:$AQ$64,MATCH($F477,사건마스터!$A$5:$A$64,0)),""))</f>
        <v/>
      </c>
      <c r="T477" s="35">
        <f>IF($F477="","",IFERROR(INDEX(사건마스터!$AR$5:$AR$64,MATCH($F477,사건마스터!$A$5:$A$64,0)),""))</f>
        <v/>
      </c>
      <c r="U477" s="35">
        <f>IF($F477="","",IFERROR(INDEX(사건마스터!$AS$5:$AS$64,MATCH($F477,사건마스터!$A$5:$A$64,0)),""))</f>
        <v/>
      </c>
      <c r="V477" s="35">
        <f>IF($F477="","",IFERROR(INDEX(사건마스터!$AT$5:$AT$64,MATCH($F477,사건마스터!$A$5:$A$64,0)),""))</f>
        <v/>
      </c>
      <c r="W477" s="35">
        <f>IF($F477="","",IFERROR(INDEX(사건마스터!$AU$5:$AU$64,MATCH($F477,사건마스터!$A$5:$A$64,0)),""))</f>
        <v/>
      </c>
      <c r="X477" s="35">
        <f>IF($F477="","",IFERROR(INDEX(사건마스터!$AV$5:$AV$64,MATCH($F477,사건마스터!$A$5:$A$64,0)),""))</f>
        <v/>
      </c>
      <c r="Y477" s="30">
        <f>IF($I477="","",COUNTIF($I477:$X477,"?*"))</f>
        <v/>
      </c>
      <c r="Z477" s="33">
        <f>IF($I477="","",_xlfn.TEXTJOIN(", ",TRUE,$I477:$X477))</f>
        <v/>
      </c>
      <c r="AA477" s="34">
        <f>IF($I477="","",IFERROR(INDEX(코드설정!$D$5:$D$24,MATCH($I477,코드설정!$C$5:$C$24,0)),""))</f>
        <v/>
      </c>
      <c r="AB477" s="36" t="n"/>
      <c r="AC477" s="37" t="n"/>
      <c r="AD477" s="38" t="n"/>
      <c r="AE477" s="30">
        <f>IF(OR($B477="",$C477=""),"",$C477-$B477+1)</f>
        <v/>
      </c>
      <c r="AF477" s="32" t="n"/>
      <c r="AG477" s="36" t="n"/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3">
        <f>IF($F478="","",IFERROR(INDEX(사건마스터!$B$5:$B$64,MATCH($F478,사건마스터!$A$5:$A$64,0)),""))</f>
        <v/>
      </c>
      <c r="H478" s="34">
        <f>IF($F478="","",IFERROR(INDEX(사건마스터!$C$5:$C$64,MATCH($F478,사건마스터!$A$5:$A$64,0)),""))</f>
        <v/>
      </c>
      <c r="I478" s="35">
        <f>IF($F478="","",IFERROR(INDEX(사건마스터!$H$5:$H$64,MATCH($F478,사건마스터!$A$5:$A$64,0)),""))</f>
        <v/>
      </c>
      <c r="J478" s="35">
        <f>IF($F478="","",IFERROR(INDEX(사건마스터!$AH$5:$AH$64,MATCH($F478,사건마스터!$A$5:$A$64,0)),""))</f>
        <v/>
      </c>
      <c r="K478" s="35">
        <f>IF($F478="","",IFERROR(INDEX(사건마스터!$AI$5:$AI$64,MATCH($F478,사건마스터!$A$5:$A$64,0)),""))</f>
        <v/>
      </c>
      <c r="L478" s="35">
        <f>IF($F478="","",IFERROR(INDEX(사건마스터!$AJ$5:$AJ$64,MATCH($F478,사건마스터!$A$5:$A$64,0)),""))</f>
        <v/>
      </c>
      <c r="M478" s="35">
        <f>IF($F478="","",IFERROR(INDEX(사건마스터!$AK$5:$AK$64,MATCH($F478,사건마스터!$A$5:$A$64,0)),""))</f>
        <v/>
      </c>
      <c r="N478" s="35">
        <f>IF($F478="","",IFERROR(INDEX(사건마스터!$AL$5:$AL$64,MATCH($F478,사건마스터!$A$5:$A$64,0)),""))</f>
        <v/>
      </c>
      <c r="O478" s="35">
        <f>IF($F478="","",IFERROR(INDEX(사건마스터!$AM$5:$AM$64,MATCH($F478,사건마스터!$A$5:$A$64,0)),""))</f>
        <v/>
      </c>
      <c r="P478" s="35">
        <f>IF($F478="","",IFERROR(INDEX(사건마스터!$AN$5:$AN$64,MATCH($F478,사건마스터!$A$5:$A$64,0)),""))</f>
        <v/>
      </c>
      <c r="Q478" s="35">
        <f>IF($F478="","",IFERROR(INDEX(사건마스터!$AO$5:$AO$64,MATCH($F478,사건마스터!$A$5:$A$64,0)),""))</f>
        <v/>
      </c>
      <c r="R478" s="35">
        <f>IF($F478="","",IFERROR(INDEX(사건마스터!$AP$5:$AP$64,MATCH($F478,사건마스터!$A$5:$A$64,0)),""))</f>
        <v/>
      </c>
      <c r="S478" s="35">
        <f>IF($F478="","",IFERROR(INDEX(사건마스터!$AQ$5:$AQ$64,MATCH($F478,사건마스터!$A$5:$A$64,0)),""))</f>
        <v/>
      </c>
      <c r="T478" s="35">
        <f>IF($F478="","",IFERROR(INDEX(사건마스터!$AR$5:$AR$64,MATCH($F478,사건마스터!$A$5:$A$64,0)),""))</f>
        <v/>
      </c>
      <c r="U478" s="35">
        <f>IF($F478="","",IFERROR(INDEX(사건마스터!$AS$5:$AS$64,MATCH($F478,사건마스터!$A$5:$A$64,0)),""))</f>
        <v/>
      </c>
      <c r="V478" s="35">
        <f>IF($F478="","",IFERROR(INDEX(사건마스터!$AT$5:$AT$64,MATCH($F478,사건마스터!$A$5:$A$64,0)),""))</f>
        <v/>
      </c>
      <c r="W478" s="35">
        <f>IF($F478="","",IFERROR(INDEX(사건마스터!$AU$5:$AU$64,MATCH($F478,사건마스터!$A$5:$A$64,0)),""))</f>
        <v/>
      </c>
      <c r="X478" s="35">
        <f>IF($F478="","",IFERROR(INDEX(사건마스터!$AV$5:$AV$64,MATCH($F478,사건마스터!$A$5:$A$64,0)),""))</f>
        <v/>
      </c>
      <c r="Y478" s="30">
        <f>IF($I478="","",COUNTIF($I478:$X478,"?*"))</f>
        <v/>
      </c>
      <c r="Z478" s="33">
        <f>IF($I478="","",_xlfn.TEXTJOIN(", ",TRUE,$I478:$X478))</f>
        <v/>
      </c>
      <c r="AA478" s="34">
        <f>IF($I478="","",IFERROR(INDEX(코드설정!$D$5:$D$24,MATCH($I478,코드설정!$C$5:$C$24,0)),""))</f>
        <v/>
      </c>
      <c r="AB478" s="36" t="n"/>
      <c r="AC478" s="37" t="n"/>
      <c r="AD478" s="38" t="n"/>
      <c r="AE478" s="30">
        <f>IF(OR($B478="",$C478=""),"",$C478-$B478+1)</f>
        <v/>
      </c>
      <c r="AF478" s="32" t="n"/>
      <c r="AG478" s="36" t="n"/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3">
        <f>IF($F479="","",IFERROR(INDEX(사건마스터!$B$5:$B$64,MATCH($F479,사건마스터!$A$5:$A$64,0)),""))</f>
        <v/>
      </c>
      <c r="H479" s="34">
        <f>IF($F479="","",IFERROR(INDEX(사건마스터!$C$5:$C$64,MATCH($F479,사건마스터!$A$5:$A$64,0)),""))</f>
        <v/>
      </c>
      <c r="I479" s="35">
        <f>IF($F479="","",IFERROR(INDEX(사건마스터!$H$5:$H$64,MATCH($F479,사건마스터!$A$5:$A$64,0)),""))</f>
        <v/>
      </c>
      <c r="J479" s="35">
        <f>IF($F479="","",IFERROR(INDEX(사건마스터!$AH$5:$AH$64,MATCH($F479,사건마스터!$A$5:$A$64,0)),""))</f>
        <v/>
      </c>
      <c r="K479" s="35">
        <f>IF($F479="","",IFERROR(INDEX(사건마스터!$AI$5:$AI$64,MATCH($F479,사건마스터!$A$5:$A$64,0)),""))</f>
        <v/>
      </c>
      <c r="L479" s="35">
        <f>IF($F479="","",IFERROR(INDEX(사건마스터!$AJ$5:$AJ$64,MATCH($F479,사건마스터!$A$5:$A$64,0)),""))</f>
        <v/>
      </c>
      <c r="M479" s="35">
        <f>IF($F479="","",IFERROR(INDEX(사건마스터!$AK$5:$AK$64,MATCH($F479,사건마스터!$A$5:$A$64,0)),""))</f>
        <v/>
      </c>
      <c r="N479" s="35">
        <f>IF($F479="","",IFERROR(INDEX(사건마스터!$AL$5:$AL$64,MATCH($F479,사건마스터!$A$5:$A$64,0)),""))</f>
        <v/>
      </c>
      <c r="O479" s="35">
        <f>IF($F479="","",IFERROR(INDEX(사건마스터!$AM$5:$AM$64,MATCH($F479,사건마스터!$A$5:$A$64,0)),""))</f>
        <v/>
      </c>
      <c r="P479" s="35">
        <f>IF($F479="","",IFERROR(INDEX(사건마스터!$AN$5:$AN$64,MATCH($F479,사건마스터!$A$5:$A$64,0)),""))</f>
        <v/>
      </c>
      <c r="Q479" s="35">
        <f>IF($F479="","",IFERROR(INDEX(사건마스터!$AO$5:$AO$64,MATCH($F479,사건마스터!$A$5:$A$64,0)),""))</f>
        <v/>
      </c>
      <c r="R479" s="35">
        <f>IF($F479="","",IFERROR(INDEX(사건마스터!$AP$5:$AP$64,MATCH($F479,사건마스터!$A$5:$A$64,0)),""))</f>
        <v/>
      </c>
      <c r="S479" s="35">
        <f>IF($F479="","",IFERROR(INDEX(사건마스터!$AQ$5:$AQ$64,MATCH($F479,사건마스터!$A$5:$A$64,0)),""))</f>
        <v/>
      </c>
      <c r="T479" s="35">
        <f>IF($F479="","",IFERROR(INDEX(사건마스터!$AR$5:$AR$64,MATCH($F479,사건마스터!$A$5:$A$64,0)),""))</f>
        <v/>
      </c>
      <c r="U479" s="35">
        <f>IF($F479="","",IFERROR(INDEX(사건마스터!$AS$5:$AS$64,MATCH($F479,사건마스터!$A$5:$A$64,0)),""))</f>
        <v/>
      </c>
      <c r="V479" s="35">
        <f>IF($F479="","",IFERROR(INDEX(사건마스터!$AT$5:$AT$64,MATCH($F479,사건마스터!$A$5:$A$64,0)),""))</f>
        <v/>
      </c>
      <c r="W479" s="35">
        <f>IF($F479="","",IFERROR(INDEX(사건마스터!$AU$5:$AU$64,MATCH($F479,사건마스터!$A$5:$A$64,0)),""))</f>
        <v/>
      </c>
      <c r="X479" s="35">
        <f>IF($F479="","",IFERROR(INDEX(사건마스터!$AV$5:$AV$64,MATCH($F479,사건마스터!$A$5:$A$64,0)),""))</f>
        <v/>
      </c>
      <c r="Y479" s="30">
        <f>IF($I479="","",COUNTIF($I479:$X479,"?*"))</f>
        <v/>
      </c>
      <c r="Z479" s="33">
        <f>IF($I479="","",_xlfn.TEXTJOIN(", ",TRUE,$I479:$X479))</f>
        <v/>
      </c>
      <c r="AA479" s="34">
        <f>IF($I479="","",IFERROR(INDEX(코드설정!$D$5:$D$24,MATCH($I479,코드설정!$C$5:$C$24,0)),""))</f>
        <v/>
      </c>
      <c r="AB479" s="36" t="n"/>
      <c r="AC479" s="37" t="n"/>
      <c r="AD479" s="38" t="n"/>
      <c r="AE479" s="30">
        <f>IF(OR($B479="",$C479=""),"",$C479-$B479+1)</f>
        <v/>
      </c>
      <c r="AF479" s="32" t="n"/>
      <c r="AG479" s="36" t="n"/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3">
        <f>IF($F480="","",IFERROR(INDEX(사건마스터!$B$5:$B$64,MATCH($F480,사건마스터!$A$5:$A$64,0)),""))</f>
        <v/>
      </c>
      <c r="H480" s="34">
        <f>IF($F480="","",IFERROR(INDEX(사건마스터!$C$5:$C$64,MATCH($F480,사건마스터!$A$5:$A$64,0)),""))</f>
        <v/>
      </c>
      <c r="I480" s="35">
        <f>IF($F480="","",IFERROR(INDEX(사건마스터!$H$5:$H$64,MATCH($F480,사건마스터!$A$5:$A$64,0)),""))</f>
        <v/>
      </c>
      <c r="J480" s="35">
        <f>IF($F480="","",IFERROR(INDEX(사건마스터!$AH$5:$AH$64,MATCH($F480,사건마스터!$A$5:$A$64,0)),""))</f>
        <v/>
      </c>
      <c r="K480" s="35">
        <f>IF($F480="","",IFERROR(INDEX(사건마스터!$AI$5:$AI$64,MATCH($F480,사건마스터!$A$5:$A$64,0)),""))</f>
        <v/>
      </c>
      <c r="L480" s="35">
        <f>IF($F480="","",IFERROR(INDEX(사건마스터!$AJ$5:$AJ$64,MATCH($F480,사건마스터!$A$5:$A$64,0)),""))</f>
        <v/>
      </c>
      <c r="M480" s="35">
        <f>IF($F480="","",IFERROR(INDEX(사건마스터!$AK$5:$AK$64,MATCH($F480,사건마스터!$A$5:$A$64,0)),""))</f>
        <v/>
      </c>
      <c r="N480" s="35">
        <f>IF($F480="","",IFERROR(INDEX(사건마스터!$AL$5:$AL$64,MATCH($F480,사건마스터!$A$5:$A$64,0)),""))</f>
        <v/>
      </c>
      <c r="O480" s="35">
        <f>IF($F480="","",IFERROR(INDEX(사건마스터!$AM$5:$AM$64,MATCH($F480,사건마스터!$A$5:$A$64,0)),""))</f>
        <v/>
      </c>
      <c r="P480" s="35">
        <f>IF($F480="","",IFERROR(INDEX(사건마스터!$AN$5:$AN$64,MATCH($F480,사건마스터!$A$5:$A$64,0)),""))</f>
        <v/>
      </c>
      <c r="Q480" s="35">
        <f>IF($F480="","",IFERROR(INDEX(사건마스터!$AO$5:$AO$64,MATCH($F480,사건마스터!$A$5:$A$64,0)),""))</f>
        <v/>
      </c>
      <c r="R480" s="35">
        <f>IF($F480="","",IFERROR(INDEX(사건마스터!$AP$5:$AP$64,MATCH($F480,사건마스터!$A$5:$A$64,0)),""))</f>
        <v/>
      </c>
      <c r="S480" s="35">
        <f>IF($F480="","",IFERROR(INDEX(사건마스터!$AQ$5:$AQ$64,MATCH($F480,사건마스터!$A$5:$A$64,0)),""))</f>
        <v/>
      </c>
      <c r="T480" s="35">
        <f>IF($F480="","",IFERROR(INDEX(사건마스터!$AR$5:$AR$64,MATCH($F480,사건마스터!$A$5:$A$64,0)),""))</f>
        <v/>
      </c>
      <c r="U480" s="35">
        <f>IF($F480="","",IFERROR(INDEX(사건마스터!$AS$5:$AS$64,MATCH($F480,사건마스터!$A$5:$A$64,0)),""))</f>
        <v/>
      </c>
      <c r="V480" s="35">
        <f>IF($F480="","",IFERROR(INDEX(사건마스터!$AT$5:$AT$64,MATCH($F480,사건마스터!$A$5:$A$64,0)),""))</f>
        <v/>
      </c>
      <c r="W480" s="35">
        <f>IF($F480="","",IFERROR(INDEX(사건마스터!$AU$5:$AU$64,MATCH($F480,사건마스터!$A$5:$A$64,0)),""))</f>
        <v/>
      </c>
      <c r="X480" s="35">
        <f>IF($F480="","",IFERROR(INDEX(사건마스터!$AV$5:$AV$64,MATCH($F480,사건마스터!$A$5:$A$64,0)),""))</f>
        <v/>
      </c>
      <c r="Y480" s="30">
        <f>IF($I480="","",COUNTIF($I480:$X480,"?*"))</f>
        <v/>
      </c>
      <c r="Z480" s="33">
        <f>IF($I480="","",_xlfn.TEXTJOIN(", ",TRUE,$I480:$X480))</f>
        <v/>
      </c>
      <c r="AA480" s="34">
        <f>IF($I480="","",IFERROR(INDEX(코드설정!$D$5:$D$24,MATCH($I480,코드설정!$C$5:$C$24,0)),""))</f>
        <v/>
      </c>
      <c r="AB480" s="36" t="n"/>
      <c r="AC480" s="37" t="n"/>
      <c r="AD480" s="38" t="n"/>
      <c r="AE480" s="30">
        <f>IF(OR($B480="",$C480=""),"",$C480-$B480+1)</f>
        <v/>
      </c>
      <c r="AF480" s="32" t="n"/>
      <c r="AG480" s="36" t="n"/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3">
        <f>IF($F481="","",IFERROR(INDEX(사건마스터!$B$5:$B$64,MATCH($F481,사건마스터!$A$5:$A$64,0)),""))</f>
        <v/>
      </c>
      <c r="H481" s="34">
        <f>IF($F481="","",IFERROR(INDEX(사건마스터!$C$5:$C$64,MATCH($F481,사건마스터!$A$5:$A$64,0)),""))</f>
        <v/>
      </c>
      <c r="I481" s="35">
        <f>IF($F481="","",IFERROR(INDEX(사건마스터!$H$5:$H$64,MATCH($F481,사건마스터!$A$5:$A$64,0)),""))</f>
        <v/>
      </c>
      <c r="J481" s="35">
        <f>IF($F481="","",IFERROR(INDEX(사건마스터!$AH$5:$AH$64,MATCH($F481,사건마스터!$A$5:$A$64,0)),""))</f>
        <v/>
      </c>
      <c r="K481" s="35">
        <f>IF($F481="","",IFERROR(INDEX(사건마스터!$AI$5:$AI$64,MATCH($F481,사건마스터!$A$5:$A$64,0)),""))</f>
        <v/>
      </c>
      <c r="L481" s="35">
        <f>IF($F481="","",IFERROR(INDEX(사건마스터!$AJ$5:$AJ$64,MATCH($F481,사건마스터!$A$5:$A$64,0)),""))</f>
        <v/>
      </c>
      <c r="M481" s="35">
        <f>IF($F481="","",IFERROR(INDEX(사건마스터!$AK$5:$AK$64,MATCH($F481,사건마스터!$A$5:$A$64,0)),""))</f>
        <v/>
      </c>
      <c r="N481" s="35">
        <f>IF($F481="","",IFERROR(INDEX(사건마스터!$AL$5:$AL$64,MATCH($F481,사건마스터!$A$5:$A$64,0)),""))</f>
        <v/>
      </c>
      <c r="O481" s="35">
        <f>IF($F481="","",IFERROR(INDEX(사건마스터!$AM$5:$AM$64,MATCH($F481,사건마스터!$A$5:$A$64,0)),""))</f>
        <v/>
      </c>
      <c r="P481" s="35">
        <f>IF($F481="","",IFERROR(INDEX(사건마스터!$AN$5:$AN$64,MATCH($F481,사건마스터!$A$5:$A$64,0)),""))</f>
        <v/>
      </c>
      <c r="Q481" s="35">
        <f>IF($F481="","",IFERROR(INDEX(사건마스터!$AO$5:$AO$64,MATCH($F481,사건마스터!$A$5:$A$64,0)),""))</f>
        <v/>
      </c>
      <c r="R481" s="35">
        <f>IF($F481="","",IFERROR(INDEX(사건마스터!$AP$5:$AP$64,MATCH($F481,사건마스터!$A$5:$A$64,0)),""))</f>
        <v/>
      </c>
      <c r="S481" s="35">
        <f>IF($F481="","",IFERROR(INDEX(사건마스터!$AQ$5:$AQ$64,MATCH($F481,사건마스터!$A$5:$A$64,0)),""))</f>
        <v/>
      </c>
      <c r="T481" s="35">
        <f>IF($F481="","",IFERROR(INDEX(사건마스터!$AR$5:$AR$64,MATCH($F481,사건마스터!$A$5:$A$64,0)),""))</f>
        <v/>
      </c>
      <c r="U481" s="35">
        <f>IF($F481="","",IFERROR(INDEX(사건마스터!$AS$5:$AS$64,MATCH($F481,사건마스터!$A$5:$A$64,0)),""))</f>
        <v/>
      </c>
      <c r="V481" s="35">
        <f>IF($F481="","",IFERROR(INDEX(사건마스터!$AT$5:$AT$64,MATCH($F481,사건마스터!$A$5:$A$64,0)),""))</f>
        <v/>
      </c>
      <c r="W481" s="35">
        <f>IF($F481="","",IFERROR(INDEX(사건마스터!$AU$5:$AU$64,MATCH($F481,사건마스터!$A$5:$A$64,0)),""))</f>
        <v/>
      </c>
      <c r="X481" s="35">
        <f>IF($F481="","",IFERROR(INDEX(사건마스터!$AV$5:$AV$64,MATCH($F481,사건마스터!$A$5:$A$64,0)),""))</f>
        <v/>
      </c>
      <c r="Y481" s="30">
        <f>IF($I481="","",COUNTIF($I481:$X481,"?*"))</f>
        <v/>
      </c>
      <c r="Z481" s="33">
        <f>IF($I481="","",_xlfn.TEXTJOIN(", ",TRUE,$I481:$X481))</f>
        <v/>
      </c>
      <c r="AA481" s="34">
        <f>IF($I481="","",IFERROR(INDEX(코드설정!$D$5:$D$24,MATCH($I481,코드설정!$C$5:$C$24,0)),""))</f>
        <v/>
      </c>
      <c r="AB481" s="36" t="n"/>
      <c r="AC481" s="37" t="n"/>
      <c r="AD481" s="38" t="n"/>
      <c r="AE481" s="30">
        <f>IF(OR($B481="",$C481=""),"",$C481-$B481+1)</f>
        <v/>
      </c>
      <c r="AF481" s="32" t="n"/>
      <c r="AG481" s="36" t="n"/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3">
        <f>IF($F482="","",IFERROR(INDEX(사건마스터!$B$5:$B$64,MATCH($F482,사건마스터!$A$5:$A$64,0)),""))</f>
        <v/>
      </c>
      <c r="H482" s="34">
        <f>IF($F482="","",IFERROR(INDEX(사건마스터!$C$5:$C$64,MATCH($F482,사건마스터!$A$5:$A$64,0)),""))</f>
        <v/>
      </c>
      <c r="I482" s="35">
        <f>IF($F482="","",IFERROR(INDEX(사건마스터!$H$5:$H$64,MATCH($F482,사건마스터!$A$5:$A$64,0)),""))</f>
        <v/>
      </c>
      <c r="J482" s="35">
        <f>IF($F482="","",IFERROR(INDEX(사건마스터!$AH$5:$AH$64,MATCH($F482,사건마스터!$A$5:$A$64,0)),""))</f>
        <v/>
      </c>
      <c r="K482" s="35">
        <f>IF($F482="","",IFERROR(INDEX(사건마스터!$AI$5:$AI$64,MATCH($F482,사건마스터!$A$5:$A$64,0)),""))</f>
        <v/>
      </c>
      <c r="L482" s="35">
        <f>IF($F482="","",IFERROR(INDEX(사건마스터!$AJ$5:$AJ$64,MATCH($F482,사건마스터!$A$5:$A$64,0)),""))</f>
        <v/>
      </c>
      <c r="M482" s="35">
        <f>IF($F482="","",IFERROR(INDEX(사건마스터!$AK$5:$AK$64,MATCH($F482,사건마스터!$A$5:$A$64,0)),""))</f>
        <v/>
      </c>
      <c r="N482" s="35">
        <f>IF($F482="","",IFERROR(INDEX(사건마스터!$AL$5:$AL$64,MATCH($F482,사건마스터!$A$5:$A$64,0)),""))</f>
        <v/>
      </c>
      <c r="O482" s="35">
        <f>IF($F482="","",IFERROR(INDEX(사건마스터!$AM$5:$AM$64,MATCH($F482,사건마스터!$A$5:$A$64,0)),""))</f>
        <v/>
      </c>
      <c r="P482" s="35">
        <f>IF($F482="","",IFERROR(INDEX(사건마스터!$AN$5:$AN$64,MATCH($F482,사건마스터!$A$5:$A$64,0)),""))</f>
        <v/>
      </c>
      <c r="Q482" s="35">
        <f>IF($F482="","",IFERROR(INDEX(사건마스터!$AO$5:$AO$64,MATCH($F482,사건마스터!$A$5:$A$64,0)),""))</f>
        <v/>
      </c>
      <c r="R482" s="35">
        <f>IF($F482="","",IFERROR(INDEX(사건마스터!$AP$5:$AP$64,MATCH($F482,사건마스터!$A$5:$A$64,0)),""))</f>
        <v/>
      </c>
      <c r="S482" s="35">
        <f>IF($F482="","",IFERROR(INDEX(사건마스터!$AQ$5:$AQ$64,MATCH($F482,사건마스터!$A$5:$A$64,0)),""))</f>
        <v/>
      </c>
      <c r="T482" s="35">
        <f>IF($F482="","",IFERROR(INDEX(사건마스터!$AR$5:$AR$64,MATCH($F482,사건마스터!$A$5:$A$64,0)),""))</f>
        <v/>
      </c>
      <c r="U482" s="35">
        <f>IF($F482="","",IFERROR(INDEX(사건마스터!$AS$5:$AS$64,MATCH($F482,사건마스터!$A$5:$A$64,0)),""))</f>
        <v/>
      </c>
      <c r="V482" s="35">
        <f>IF($F482="","",IFERROR(INDEX(사건마스터!$AT$5:$AT$64,MATCH($F482,사건마스터!$A$5:$A$64,0)),""))</f>
        <v/>
      </c>
      <c r="W482" s="35">
        <f>IF($F482="","",IFERROR(INDEX(사건마스터!$AU$5:$AU$64,MATCH($F482,사건마스터!$A$5:$A$64,0)),""))</f>
        <v/>
      </c>
      <c r="X482" s="35">
        <f>IF($F482="","",IFERROR(INDEX(사건마스터!$AV$5:$AV$64,MATCH($F482,사건마스터!$A$5:$A$64,0)),""))</f>
        <v/>
      </c>
      <c r="Y482" s="30">
        <f>IF($I482="","",COUNTIF($I482:$X482,"?*"))</f>
        <v/>
      </c>
      <c r="Z482" s="33">
        <f>IF($I482="","",_xlfn.TEXTJOIN(", ",TRUE,$I482:$X482))</f>
        <v/>
      </c>
      <c r="AA482" s="34">
        <f>IF($I482="","",IFERROR(INDEX(코드설정!$D$5:$D$24,MATCH($I482,코드설정!$C$5:$C$24,0)),""))</f>
        <v/>
      </c>
      <c r="AB482" s="36" t="n"/>
      <c r="AC482" s="37" t="n"/>
      <c r="AD482" s="38" t="n"/>
      <c r="AE482" s="30">
        <f>IF(OR($B482="",$C482=""),"",$C482-$B482+1)</f>
        <v/>
      </c>
      <c r="AF482" s="32" t="n"/>
      <c r="AG482" s="36" t="n"/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3">
        <f>IF($F483="","",IFERROR(INDEX(사건마스터!$B$5:$B$64,MATCH($F483,사건마스터!$A$5:$A$64,0)),""))</f>
        <v/>
      </c>
      <c r="H483" s="34">
        <f>IF($F483="","",IFERROR(INDEX(사건마스터!$C$5:$C$64,MATCH($F483,사건마스터!$A$5:$A$64,0)),""))</f>
        <v/>
      </c>
      <c r="I483" s="35">
        <f>IF($F483="","",IFERROR(INDEX(사건마스터!$H$5:$H$64,MATCH($F483,사건마스터!$A$5:$A$64,0)),""))</f>
        <v/>
      </c>
      <c r="J483" s="35">
        <f>IF($F483="","",IFERROR(INDEX(사건마스터!$AH$5:$AH$64,MATCH($F483,사건마스터!$A$5:$A$64,0)),""))</f>
        <v/>
      </c>
      <c r="K483" s="35">
        <f>IF($F483="","",IFERROR(INDEX(사건마스터!$AI$5:$AI$64,MATCH($F483,사건마스터!$A$5:$A$64,0)),""))</f>
        <v/>
      </c>
      <c r="L483" s="35">
        <f>IF($F483="","",IFERROR(INDEX(사건마스터!$AJ$5:$AJ$64,MATCH($F483,사건마스터!$A$5:$A$64,0)),""))</f>
        <v/>
      </c>
      <c r="M483" s="35">
        <f>IF($F483="","",IFERROR(INDEX(사건마스터!$AK$5:$AK$64,MATCH($F483,사건마스터!$A$5:$A$64,0)),""))</f>
        <v/>
      </c>
      <c r="N483" s="35">
        <f>IF($F483="","",IFERROR(INDEX(사건마스터!$AL$5:$AL$64,MATCH($F483,사건마스터!$A$5:$A$64,0)),""))</f>
        <v/>
      </c>
      <c r="O483" s="35">
        <f>IF($F483="","",IFERROR(INDEX(사건마스터!$AM$5:$AM$64,MATCH($F483,사건마스터!$A$5:$A$64,0)),""))</f>
        <v/>
      </c>
      <c r="P483" s="35">
        <f>IF($F483="","",IFERROR(INDEX(사건마스터!$AN$5:$AN$64,MATCH($F483,사건마스터!$A$5:$A$64,0)),""))</f>
        <v/>
      </c>
      <c r="Q483" s="35">
        <f>IF($F483="","",IFERROR(INDEX(사건마스터!$AO$5:$AO$64,MATCH($F483,사건마스터!$A$5:$A$64,0)),""))</f>
        <v/>
      </c>
      <c r="R483" s="35">
        <f>IF($F483="","",IFERROR(INDEX(사건마스터!$AP$5:$AP$64,MATCH($F483,사건마스터!$A$5:$A$64,0)),""))</f>
        <v/>
      </c>
      <c r="S483" s="35">
        <f>IF($F483="","",IFERROR(INDEX(사건마스터!$AQ$5:$AQ$64,MATCH($F483,사건마스터!$A$5:$A$64,0)),""))</f>
        <v/>
      </c>
      <c r="T483" s="35">
        <f>IF($F483="","",IFERROR(INDEX(사건마스터!$AR$5:$AR$64,MATCH($F483,사건마스터!$A$5:$A$64,0)),""))</f>
        <v/>
      </c>
      <c r="U483" s="35">
        <f>IF($F483="","",IFERROR(INDEX(사건마스터!$AS$5:$AS$64,MATCH($F483,사건마스터!$A$5:$A$64,0)),""))</f>
        <v/>
      </c>
      <c r="V483" s="35">
        <f>IF($F483="","",IFERROR(INDEX(사건마스터!$AT$5:$AT$64,MATCH($F483,사건마스터!$A$5:$A$64,0)),""))</f>
        <v/>
      </c>
      <c r="W483" s="35">
        <f>IF($F483="","",IFERROR(INDEX(사건마스터!$AU$5:$AU$64,MATCH($F483,사건마스터!$A$5:$A$64,0)),""))</f>
        <v/>
      </c>
      <c r="X483" s="35">
        <f>IF($F483="","",IFERROR(INDEX(사건마스터!$AV$5:$AV$64,MATCH($F483,사건마스터!$A$5:$A$64,0)),""))</f>
        <v/>
      </c>
      <c r="Y483" s="30">
        <f>IF($I483="","",COUNTIF($I483:$X483,"?*"))</f>
        <v/>
      </c>
      <c r="Z483" s="33">
        <f>IF($I483="","",_xlfn.TEXTJOIN(", ",TRUE,$I483:$X483))</f>
        <v/>
      </c>
      <c r="AA483" s="34">
        <f>IF($I483="","",IFERROR(INDEX(코드설정!$D$5:$D$24,MATCH($I483,코드설정!$C$5:$C$24,0)),""))</f>
        <v/>
      </c>
      <c r="AB483" s="36" t="n"/>
      <c r="AC483" s="37" t="n"/>
      <c r="AD483" s="38" t="n"/>
      <c r="AE483" s="30">
        <f>IF(OR($B483="",$C483=""),"",$C483-$B483+1)</f>
        <v/>
      </c>
      <c r="AF483" s="32" t="n"/>
      <c r="AG483" s="36" t="n"/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3">
        <f>IF($F484="","",IFERROR(INDEX(사건마스터!$B$5:$B$64,MATCH($F484,사건마스터!$A$5:$A$64,0)),""))</f>
        <v/>
      </c>
      <c r="H484" s="34">
        <f>IF($F484="","",IFERROR(INDEX(사건마스터!$C$5:$C$64,MATCH($F484,사건마스터!$A$5:$A$64,0)),""))</f>
        <v/>
      </c>
      <c r="I484" s="35">
        <f>IF($F484="","",IFERROR(INDEX(사건마스터!$H$5:$H$64,MATCH($F484,사건마스터!$A$5:$A$64,0)),""))</f>
        <v/>
      </c>
      <c r="J484" s="35">
        <f>IF($F484="","",IFERROR(INDEX(사건마스터!$AH$5:$AH$64,MATCH($F484,사건마스터!$A$5:$A$64,0)),""))</f>
        <v/>
      </c>
      <c r="K484" s="35">
        <f>IF($F484="","",IFERROR(INDEX(사건마스터!$AI$5:$AI$64,MATCH($F484,사건마스터!$A$5:$A$64,0)),""))</f>
        <v/>
      </c>
      <c r="L484" s="35">
        <f>IF($F484="","",IFERROR(INDEX(사건마스터!$AJ$5:$AJ$64,MATCH($F484,사건마스터!$A$5:$A$64,0)),""))</f>
        <v/>
      </c>
      <c r="M484" s="35">
        <f>IF($F484="","",IFERROR(INDEX(사건마스터!$AK$5:$AK$64,MATCH($F484,사건마스터!$A$5:$A$64,0)),""))</f>
        <v/>
      </c>
      <c r="N484" s="35">
        <f>IF($F484="","",IFERROR(INDEX(사건마스터!$AL$5:$AL$64,MATCH($F484,사건마스터!$A$5:$A$64,0)),""))</f>
        <v/>
      </c>
      <c r="O484" s="35">
        <f>IF($F484="","",IFERROR(INDEX(사건마스터!$AM$5:$AM$64,MATCH($F484,사건마스터!$A$5:$A$64,0)),""))</f>
        <v/>
      </c>
      <c r="P484" s="35">
        <f>IF($F484="","",IFERROR(INDEX(사건마스터!$AN$5:$AN$64,MATCH($F484,사건마스터!$A$5:$A$64,0)),""))</f>
        <v/>
      </c>
      <c r="Q484" s="35">
        <f>IF($F484="","",IFERROR(INDEX(사건마스터!$AO$5:$AO$64,MATCH($F484,사건마스터!$A$5:$A$64,0)),""))</f>
        <v/>
      </c>
      <c r="R484" s="35">
        <f>IF($F484="","",IFERROR(INDEX(사건마스터!$AP$5:$AP$64,MATCH($F484,사건마스터!$A$5:$A$64,0)),""))</f>
        <v/>
      </c>
      <c r="S484" s="35">
        <f>IF($F484="","",IFERROR(INDEX(사건마스터!$AQ$5:$AQ$64,MATCH($F484,사건마스터!$A$5:$A$64,0)),""))</f>
        <v/>
      </c>
      <c r="T484" s="35">
        <f>IF($F484="","",IFERROR(INDEX(사건마스터!$AR$5:$AR$64,MATCH($F484,사건마스터!$A$5:$A$64,0)),""))</f>
        <v/>
      </c>
      <c r="U484" s="35">
        <f>IF($F484="","",IFERROR(INDEX(사건마스터!$AS$5:$AS$64,MATCH($F484,사건마스터!$A$5:$A$64,0)),""))</f>
        <v/>
      </c>
      <c r="V484" s="35">
        <f>IF($F484="","",IFERROR(INDEX(사건마스터!$AT$5:$AT$64,MATCH($F484,사건마스터!$A$5:$A$64,0)),""))</f>
        <v/>
      </c>
      <c r="W484" s="35">
        <f>IF($F484="","",IFERROR(INDEX(사건마스터!$AU$5:$AU$64,MATCH($F484,사건마스터!$A$5:$A$64,0)),""))</f>
        <v/>
      </c>
      <c r="X484" s="35">
        <f>IF($F484="","",IFERROR(INDEX(사건마스터!$AV$5:$AV$64,MATCH($F484,사건마스터!$A$5:$A$64,0)),""))</f>
        <v/>
      </c>
      <c r="Y484" s="30">
        <f>IF($I484="","",COUNTIF($I484:$X484,"?*"))</f>
        <v/>
      </c>
      <c r="Z484" s="33">
        <f>IF($I484="","",_xlfn.TEXTJOIN(", ",TRUE,$I484:$X484))</f>
        <v/>
      </c>
      <c r="AA484" s="34">
        <f>IF($I484="","",IFERROR(INDEX(코드설정!$D$5:$D$24,MATCH($I484,코드설정!$C$5:$C$24,0)),""))</f>
        <v/>
      </c>
      <c r="AB484" s="36" t="n"/>
      <c r="AC484" s="37" t="n"/>
      <c r="AD484" s="38" t="n"/>
      <c r="AE484" s="30">
        <f>IF(OR($B484="",$C484=""),"",$C484-$B484+1)</f>
        <v/>
      </c>
      <c r="AF484" s="32" t="n"/>
      <c r="AG484" s="36" t="n"/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3">
        <f>IF($F485="","",IFERROR(INDEX(사건마스터!$B$5:$B$64,MATCH($F485,사건마스터!$A$5:$A$64,0)),""))</f>
        <v/>
      </c>
      <c r="H485" s="34">
        <f>IF($F485="","",IFERROR(INDEX(사건마스터!$C$5:$C$64,MATCH($F485,사건마스터!$A$5:$A$64,0)),""))</f>
        <v/>
      </c>
      <c r="I485" s="35">
        <f>IF($F485="","",IFERROR(INDEX(사건마스터!$H$5:$H$64,MATCH($F485,사건마스터!$A$5:$A$64,0)),""))</f>
        <v/>
      </c>
      <c r="J485" s="35">
        <f>IF($F485="","",IFERROR(INDEX(사건마스터!$AH$5:$AH$64,MATCH($F485,사건마스터!$A$5:$A$64,0)),""))</f>
        <v/>
      </c>
      <c r="K485" s="35">
        <f>IF($F485="","",IFERROR(INDEX(사건마스터!$AI$5:$AI$64,MATCH($F485,사건마스터!$A$5:$A$64,0)),""))</f>
        <v/>
      </c>
      <c r="L485" s="35">
        <f>IF($F485="","",IFERROR(INDEX(사건마스터!$AJ$5:$AJ$64,MATCH($F485,사건마스터!$A$5:$A$64,0)),""))</f>
        <v/>
      </c>
      <c r="M485" s="35">
        <f>IF($F485="","",IFERROR(INDEX(사건마스터!$AK$5:$AK$64,MATCH($F485,사건마스터!$A$5:$A$64,0)),""))</f>
        <v/>
      </c>
      <c r="N485" s="35">
        <f>IF($F485="","",IFERROR(INDEX(사건마스터!$AL$5:$AL$64,MATCH($F485,사건마스터!$A$5:$A$64,0)),""))</f>
        <v/>
      </c>
      <c r="O485" s="35">
        <f>IF($F485="","",IFERROR(INDEX(사건마스터!$AM$5:$AM$64,MATCH($F485,사건마스터!$A$5:$A$64,0)),""))</f>
        <v/>
      </c>
      <c r="P485" s="35">
        <f>IF($F485="","",IFERROR(INDEX(사건마스터!$AN$5:$AN$64,MATCH($F485,사건마스터!$A$5:$A$64,0)),""))</f>
        <v/>
      </c>
      <c r="Q485" s="35">
        <f>IF($F485="","",IFERROR(INDEX(사건마스터!$AO$5:$AO$64,MATCH($F485,사건마스터!$A$5:$A$64,0)),""))</f>
        <v/>
      </c>
      <c r="R485" s="35">
        <f>IF($F485="","",IFERROR(INDEX(사건마스터!$AP$5:$AP$64,MATCH($F485,사건마스터!$A$5:$A$64,0)),""))</f>
        <v/>
      </c>
      <c r="S485" s="35">
        <f>IF($F485="","",IFERROR(INDEX(사건마스터!$AQ$5:$AQ$64,MATCH($F485,사건마스터!$A$5:$A$64,0)),""))</f>
        <v/>
      </c>
      <c r="T485" s="35">
        <f>IF($F485="","",IFERROR(INDEX(사건마스터!$AR$5:$AR$64,MATCH($F485,사건마스터!$A$5:$A$64,0)),""))</f>
        <v/>
      </c>
      <c r="U485" s="35">
        <f>IF($F485="","",IFERROR(INDEX(사건마스터!$AS$5:$AS$64,MATCH($F485,사건마스터!$A$5:$A$64,0)),""))</f>
        <v/>
      </c>
      <c r="V485" s="35">
        <f>IF($F485="","",IFERROR(INDEX(사건마스터!$AT$5:$AT$64,MATCH($F485,사건마스터!$A$5:$A$64,0)),""))</f>
        <v/>
      </c>
      <c r="W485" s="35">
        <f>IF($F485="","",IFERROR(INDEX(사건마스터!$AU$5:$AU$64,MATCH($F485,사건마스터!$A$5:$A$64,0)),""))</f>
        <v/>
      </c>
      <c r="X485" s="35">
        <f>IF($F485="","",IFERROR(INDEX(사건마스터!$AV$5:$AV$64,MATCH($F485,사건마스터!$A$5:$A$64,0)),""))</f>
        <v/>
      </c>
      <c r="Y485" s="30">
        <f>IF($I485="","",COUNTIF($I485:$X485,"?*"))</f>
        <v/>
      </c>
      <c r="Z485" s="33">
        <f>IF($I485="","",_xlfn.TEXTJOIN(", ",TRUE,$I485:$X485))</f>
        <v/>
      </c>
      <c r="AA485" s="34">
        <f>IF($I485="","",IFERROR(INDEX(코드설정!$D$5:$D$24,MATCH($I485,코드설정!$C$5:$C$24,0)),""))</f>
        <v/>
      </c>
      <c r="AB485" s="36" t="n"/>
      <c r="AC485" s="37" t="n"/>
      <c r="AD485" s="38" t="n"/>
      <c r="AE485" s="30">
        <f>IF(OR($B485="",$C485=""),"",$C485-$B485+1)</f>
        <v/>
      </c>
      <c r="AF485" s="32" t="n"/>
      <c r="AG485" s="36" t="n"/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3">
        <f>IF($F486="","",IFERROR(INDEX(사건마스터!$B$5:$B$64,MATCH($F486,사건마스터!$A$5:$A$64,0)),""))</f>
        <v/>
      </c>
      <c r="H486" s="34">
        <f>IF($F486="","",IFERROR(INDEX(사건마스터!$C$5:$C$64,MATCH($F486,사건마스터!$A$5:$A$64,0)),""))</f>
        <v/>
      </c>
      <c r="I486" s="35">
        <f>IF($F486="","",IFERROR(INDEX(사건마스터!$H$5:$H$64,MATCH($F486,사건마스터!$A$5:$A$64,0)),""))</f>
        <v/>
      </c>
      <c r="J486" s="35">
        <f>IF($F486="","",IFERROR(INDEX(사건마스터!$AH$5:$AH$64,MATCH($F486,사건마스터!$A$5:$A$64,0)),""))</f>
        <v/>
      </c>
      <c r="K486" s="35">
        <f>IF($F486="","",IFERROR(INDEX(사건마스터!$AI$5:$AI$64,MATCH($F486,사건마스터!$A$5:$A$64,0)),""))</f>
        <v/>
      </c>
      <c r="L486" s="35">
        <f>IF($F486="","",IFERROR(INDEX(사건마스터!$AJ$5:$AJ$64,MATCH($F486,사건마스터!$A$5:$A$64,0)),""))</f>
        <v/>
      </c>
      <c r="M486" s="35">
        <f>IF($F486="","",IFERROR(INDEX(사건마스터!$AK$5:$AK$64,MATCH($F486,사건마스터!$A$5:$A$64,0)),""))</f>
        <v/>
      </c>
      <c r="N486" s="35">
        <f>IF($F486="","",IFERROR(INDEX(사건마스터!$AL$5:$AL$64,MATCH($F486,사건마스터!$A$5:$A$64,0)),""))</f>
        <v/>
      </c>
      <c r="O486" s="35">
        <f>IF($F486="","",IFERROR(INDEX(사건마스터!$AM$5:$AM$64,MATCH($F486,사건마스터!$A$5:$A$64,0)),""))</f>
        <v/>
      </c>
      <c r="P486" s="35">
        <f>IF($F486="","",IFERROR(INDEX(사건마스터!$AN$5:$AN$64,MATCH($F486,사건마스터!$A$5:$A$64,0)),""))</f>
        <v/>
      </c>
      <c r="Q486" s="35">
        <f>IF($F486="","",IFERROR(INDEX(사건마스터!$AO$5:$AO$64,MATCH($F486,사건마스터!$A$5:$A$64,0)),""))</f>
        <v/>
      </c>
      <c r="R486" s="35">
        <f>IF($F486="","",IFERROR(INDEX(사건마스터!$AP$5:$AP$64,MATCH($F486,사건마스터!$A$5:$A$64,0)),""))</f>
        <v/>
      </c>
      <c r="S486" s="35">
        <f>IF($F486="","",IFERROR(INDEX(사건마스터!$AQ$5:$AQ$64,MATCH($F486,사건마스터!$A$5:$A$64,0)),""))</f>
        <v/>
      </c>
      <c r="T486" s="35">
        <f>IF($F486="","",IFERROR(INDEX(사건마스터!$AR$5:$AR$64,MATCH($F486,사건마스터!$A$5:$A$64,0)),""))</f>
        <v/>
      </c>
      <c r="U486" s="35">
        <f>IF($F486="","",IFERROR(INDEX(사건마스터!$AS$5:$AS$64,MATCH($F486,사건마스터!$A$5:$A$64,0)),""))</f>
        <v/>
      </c>
      <c r="V486" s="35">
        <f>IF($F486="","",IFERROR(INDEX(사건마스터!$AT$5:$AT$64,MATCH($F486,사건마스터!$A$5:$A$64,0)),""))</f>
        <v/>
      </c>
      <c r="W486" s="35">
        <f>IF($F486="","",IFERROR(INDEX(사건마스터!$AU$5:$AU$64,MATCH($F486,사건마스터!$A$5:$A$64,0)),""))</f>
        <v/>
      </c>
      <c r="X486" s="35">
        <f>IF($F486="","",IFERROR(INDEX(사건마스터!$AV$5:$AV$64,MATCH($F486,사건마스터!$A$5:$A$64,0)),""))</f>
        <v/>
      </c>
      <c r="Y486" s="30">
        <f>IF($I486="","",COUNTIF($I486:$X486,"?*"))</f>
        <v/>
      </c>
      <c r="Z486" s="33">
        <f>IF($I486="","",_xlfn.TEXTJOIN(", ",TRUE,$I486:$X486))</f>
        <v/>
      </c>
      <c r="AA486" s="34">
        <f>IF($I486="","",IFERROR(INDEX(코드설정!$D$5:$D$24,MATCH($I486,코드설정!$C$5:$C$24,0)),""))</f>
        <v/>
      </c>
      <c r="AB486" s="36" t="n"/>
      <c r="AC486" s="37" t="n"/>
      <c r="AD486" s="38" t="n"/>
      <c r="AE486" s="30">
        <f>IF(OR($B486="",$C486=""),"",$C486-$B486+1)</f>
        <v/>
      </c>
      <c r="AF486" s="32" t="n"/>
      <c r="AG486" s="36" t="n"/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3">
        <f>IF($F487="","",IFERROR(INDEX(사건마스터!$B$5:$B$64,MATCH($F487,사건마스터!$A$5:$A$64,0)),""))</f>
        <v/>
      </c>
      <c r="H487" s="34">
        <f>IF($F487="","",IFERROR(INDEX(사건마스터!$C$5:$C$64,MATCH($F487,사건마스터!$A$5:$A$64,0)),""))</f>
        <v/>
      </c>
      <c r="I487" s="35">
        <f>IF($F487="","",IFERROR(INDEX(사건마스터!$H$5:$H$64,MATCH($F487,사건마스터!$A$5:$A$64,0)),""))</f>
        <v/>
      </c>
      <c r="J487" s="35">
        <f>IF($F487="","",IFERROR(INDEX(사건마스터!$AH$5:$AH$64,MATCH($F487,사건마스터!$A$5:$A$64,0)),""))</f>
        <v/>
      </c>
      <c r="K487" s="35">
        <f>IF($F487="","",IFERROR(INDEX(사건마스터!$AI$5:$AI$64,MATCH($F487,사건마스터!$A$5:$A$64,0)),""))</f>
        <v/>
      </c>
      <c r="L487" s="35">
        <f>IF($F487="","",IFERROR(INDEX(사건마스터!$AJ$5:$AJ$64,MATCH($F487,사건마스터!$A$5:$A$64,0)),""))</f>
        <v/>
      </c>
      <c r="M487" s="35">
        <f>IF($F487="","",IFERROR(INDEX(사건마스터!$AK$5:$AK$64,MATCH($F487,사건마스터!$A$5:$A$64,0)),""))</f>
        <v/>
      </c>
      <c r="N487" s="35">
        <f>IF($F487="","",IFERROR(INDEX(사건마스터!$AL$5:$AL$64,MATCH($F487,사건마스터!$A$5:$A$64,0)),""))</f>
        <v/>
      </c>
      <c r="O487" s="35">
        <f>IF($F487="","",IFERROR(INDEX(사건마스터!$AM$5:$AM$64,MATCH($F487,사건마스터!$A$5:$A$64,0)),""))</f>
        <v/>
      </c>
      <c r="P487" s="35">
        <f>IF($F487="","",IFERROR(INDEX(사건마스터!$AN$5:$AN$64,MATCH($F487,사건마스터!$A$5:$A$64,0)),""))</f>
        <v/>
      </c>
      <c r="Q487" s="35">
        <f>IF($F487="","",IFERROR(INDEX(사건마스터!$AO$5:$AO$64,MATCH($F487,사건마스터!$A$5:$A$64,0)),""))</f>
        <v/>
      </c>
      <c r="R487" s="35">
        <f>IF($F487="","",IFERROR(INDEX(사건마스터!$AP$5:$AP$64,MATCH($F487,사건마스터!$A$5:$A$64,0)),""))</f>
        <v/>
      </c>
      <c r="S487" s="35">
        <f>IF($F487="","",IFERROR(INDEX(사건마스터!$AQ$5:$AQ$64,MATCH($F487,사건마스터!$A$5:$A$64,0)),""))</f>
        <v/>
      </c>
      <c r="T487" s="35">
        <f>IF($F487="","",IFERROR(INDEX(사건마스터!$AR$5:$AR$64,MATCH($F487,사건마스터!$A$5:$A$64,0)),""))</f>
        <v/>
      </c>
      <c r="U487" s="35">
        <f>IF($F487="","",IFERROR(INDEX(사건마스터!$AS$5:$AS$64,MATCH($F487,사건마스터!$A$5:$A$64,0)),""))</f>
        <v/>
      </c>
      <c r="V487" s="35">
        <f>IF($F487="","",IFERROR(INDEX(사건마스터!$AT$5:$AT$64,MATCH($F487,사건마스터!$A$5:$A$64,0)),""))</f>
        <v/>
      </c>
      <c r="W487" s="35">
        <f>IF($F487="","",IFERROR(INDEX(사건마스터!$AU$5:$AU$64,MATCH($F487,사건마스터!$A$5:$A$64,0)),""))</f>
        <v/>
      </c>
      <c r="X487" s="35">
        <f>IF($F487="","",IFERROR(INDEX(사건마스터!$AV$5:$AV$64,MATCH($F487,사건마스터!$A$5:$A$64,0)),""))</f>
        <v/>
      </c>
      <c r="Y487" s="30">
        <f>IF($I487="","",COUNTIF($I487:$X487,"?*"))</f>
        <v/>
      </c>
      <c r="Z487" s="33">
        <f>IF($I487="","",_xlfn.TEXTJOIN(", ",TRUE,$I487:$X487))</f>
        <v/>
      </c>
      <c r="AA487" s="34">
        <f>IF($I487="","",IFERROR(INDEX(코드설정!$D$5:$D$24,MATCH($I487,코드설정!$C$5:$C$24,0)),""))</f>
        <v/>
      </c>
      <c r="AB487" s="36" t="n"/>
      <c r="AC487" s="37" t="n"/>
      <c r="AD487" s="38" t="n"/>
      <c r="AE487" s="30">
        <f>IF(OR($B487="",$C487=""),"",$C487-$B487+1)</f>
        <v/>
      </c>
      <c r="AF487" s="32" t="n"/>
      <c r="AG487" s="36" t="n"/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3">
        <f>IF($F488="","",IFERROR(INDEX(사건마스터!$B$5:$B$64,MATCH($F488,사건마스터!$A$5:$A$64,0)),""))</f>
        <v/>
      </c>
      <c r="H488" s="34">
        <f>IF($F488="","",IFERROR(INDEX(사건마스터!$C$5:$C$64,MATCH($F488,사건마스터!$A$5:$A$64,0)),""))</f>
        <v/>
      </c>
      <c r="I488" s="35">
        <f>IF($F488="","",IFERROR(INDEX(사건마스터!$H$5:$H$64,MATCH($F488,사건마스터!$A$5:$A$64,0)),""))</f>
        <v/>
      </c>
      <c r="J488" s="35">
        <f>IF($F488="","",IFERROR(INDEX(사건마스터!$AH$5:$AH$64,MATCH($F488,사건마스터!$A$5:$A$64,0)),""))</f>
        <v/>
      </c>
      <c r="K488" s="35">
        <f>IF($F488="","",IFERROR(INDEX(사건마스터!$AI$5:$AI$64,MATCH($F488,사건마스터!$A$5:$A$64,0)),""))</f>
        <v/>
      </c>
      <c r="L488" s="35">
        <f>IF($F488="","",IFERROR(INDEX(사건마스터!$AJ$5:$AJ$64,MATCH($F488,사건마스터!$A$5:$A$64,0)),""))</f>
        <v/>
      </c>
      <c r="M488" s="35">
        <f>IF($F488="","",IFERROR(INDEX(사건마스터!$AK$5:$AK$64,MATCH($F488,사건마스터!$A$5:$A$64,0)),""))</f>
        <v/>
      </c>
      <c r="N488" s="35">
        <f>IF($F488="","",IFERROR(INDEX(사건마스터!$AL$5:$AL$64,MATCH($F488,사건마스터!$A$5:$A$64,0)),""))</f>
        <v/>
      </c>
      <c r="O488" s="35">
        <f>IF($F488="","",IFERROR(INDEX(사건마스터!$AM$5:$AM$64,MATCH($F488,사건마스터!$A$5:$A$64,0)),""))</f>
        <v/>
      </c>
      <c r="P488" s="35">
        <f>IF($F488="","",IFERROR(INDEX(사건마스터!$AN$5:$AN$64,MATCH($F488,사건마스터!$A$5:$A$64,0)),""))</f>
        <v/>
      </c>
      <c r="Q488" s="35">
        <f>IF($F488="","",IFERROR(INDEX(사건마스터!$AO$5:$AO$64,MATCH($F488,사건마스터!$A$5:$A$64,0)),""))</f>
        <v/>
      </c>
      <c r="R488" s="35">
        <f>IF($F488="","",IFERROR(INDEX(사건마스터!$AP$5:$AP$64,MATCH($F488,사건마스터!$A$5:$A$64,0)),""))</f>
        <v/>
      </c>
      <c r="S488" s="35">
        <f>IF($F488="","",IFERROR(INDEX(사건마스터!$AQ$5:$AQ$64,MATCH($F488,사건마스터!$A$5:$A$64,0)),""))</f>
        <v/>
      </c>
      <c r="T488" s="35">
        <f>IF($F488="","",IFERROR(INDEX(사건마스터!$AR$5:$AR$64,MATCH($F488,사건마스터!$A$5:$A$64,0)),""))</f>
        <v/>
      </c>
      <c r="U488" s="35">
        <f>IF($F488="","",IFERROR(INDEX(사건마스터!$AS$5:$AS$64,MATCH($F488,사건마스터!$A$5:$A$64,0)),""))</f>
        <v/>
      </c>
      <c r="V488" s="35">
        <f>IF($F488="","",IFERROR(INDEX(사건마스터!$AT$5:$AT$64,MATCH($F488,사건마스터!$A$5:$A$64,0)),""))</f>
        <v/>
      </c>
      <c r="W488" s="35">
        <f>IF($F488="","",IFERROR(INDEX(사건마스터!$AU$5:$AU$64,MATCH($F488,사건마스터!$A$5:$A$64,0)),""))</f>
        <v/>
      </c>
      <c r="X488" s="35">
        <f>IF($F488="","",IFERROR(INDEX(사건마스터!$AV$5:$AV$64,MATCH($F488,사건마스터!$A$5:$A$64,0)),""))</f>
        <v/>
      </c>
      <c r="Y488" s="30">
        <f>IF($I488="","",COUNTIF($I488:$X488,"?*"))</f>
        <v/>
      </c>
      <c r="Z488" s="33">
        <f>IF($I488="","",_xlfn.TEXTJOIN(", ",TRUE,$I488:$X488))</f>
        <v/>
      </c>
      <c r="AA488" s="34">
        <f>IF($I488="","",IFERROR(INDEX(코드설정!$D$5:$D$24,MATCH($I488,코드설정!$C$5:$C$24,0)),""))</f>
        <v/>
      </c>
      <c r="AB488" s="36" t="n"/>
      <c r="AC488" s="37" t="n"/>
      <c r="AD488" s="38" t="n"/>
      <c r="AE488" s="30">
        <f>IF(OR($B488="",$C488=""),"",$C488-$B488+1)</f>
        <v/>
      </c>
      <c r="AF488" s="32" t="n"/>
      <c r="AG488" s="36" t="n"/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3">
        <f>IF($F489="","",IFERROR(INDEX(사건마스터!$B$5:$B$64,MATCH($F489,사건마스터!$A$5:$A$64,0)),""))</f>
        <v/>
      </c>
      <c r="H489" s="34">
        <f>IF($F489="","",IFERROR(INDEX(사건마스터!$C$5:$C$64,MATCH($F489,사건마스터!$A$5:$A$64,0)),""))</f>
        <v/>
      </c>
      <c r="I489" s="35">
        <f>IF($F489="","",IFERROR(INDEX(사건마스터!$H$5:$H$64,MATCH($F489,사건마스터!$A$5:$A$64,0)),""))</f>
        <v/>
      </c>
      <c r="J489" s="35">
        <f>IF($F489="","",IFERROR(INDEX(사건마스터!$AH$5:$AH$64,MATCH($F489,사건마스터!$A$5:$A$64,0)),""))</f>
        <v/>
      </c>
      <c r="K489" s="35">
        <f>IF($F489="","",IFERROR(INDEX(사건마스터!$AI$5:$AI$64,MATCH($F489,사건마스터!$A$5:$A$64,0)),""))</f>
        <v/>
      </c>
      <c r="L489" s="35">
        <f>IF($F489="","",IFERROR(INDEX(사건마스터!$AJ$5:$AJ$64,MATCH($F489,사건마스터!$A$5:$A$64,0)),""))</f>
        <v/>
      </c>
      <c r="M489" s="35">
        <f>IF($F489="","",IFERROR(INDEX(사건마스터!$AK$5:$AK$64,MATCH($F489,사건마스터!$A$5:$A$64,0)),""))</f>
        <v/>
      </c>
      <c r="N489" s="35">
        <f>IF($F489="","",IFERROR(INDEX(사건마스터!$AL$5:$AL$64,MATCH($F489,사건마스터!$A$5:$A$64,0)),""))</f>
        <v/>
      </c>
      <c r="O489" s="35">
        <f>IF($F489="","",IFERROR(INDEX(사건마스터!$AM$5:$AM$64,MATCH($F489,사건마스터!$A$5:$A$64,0)),""))</f>
        <v/>
      </c>
      <c r="P489" s="35">
        <f>IF($F489="","",IFERROR(INDEX(사건마스터!$AN$5:$AN$64,MATCH($F489,사건마스터!$A$5:$A$64,0)),""))</f>
        <v/>
      </c>
      <c r="Q489" s="35">
        <f>IF($F489="","",IFERROR(INDEX(사건마스터!$AO$5:$AO$64,MATCH($F489,사건마스터!$A$5:$A$64,0)),""))</f>
        <v/>
      </c>
      <c r="R489" s="35">
        <f>IF($F489="","",IFERROR(INDEX(사건마스터!$AP$5:$AP$64,MATCH($F489,사건마스터!$A$5:$A$64,0)),""))</f>
        <v/>
      </c>
      <c r="S489" s="35">
        <f>IF($F489="","",IFERROR(INDEX(사건마스터!$AQ$5:$AQ$64,MATCH($F489,사건마스터!$A$5:$A$64,0)),""))</f>
        <v/>
      </c>
      <c r="T489" s="35">
        <f>IF($F489="","",IFERROR(INDEX(사건마스터!$AR$5:$AR$64,MATCH($F489,사건마스터!$A$5:$A$64,0)),""))</f>
        <v/>
      </c>
      <c r="U489" s="35">
        <f>IF($F489="","",IFERROR(INDEX(사건마스터!$AS$5:$AS$64,MATCH($F489,사건마스터!$A$5:$A$64,0)),""))</f>
        <v/>
      </c>
      <c r="V489" s="35">
        <f>IF($F489="","",IFERROR(INDEX(사건마스터!$AT$5:$AT$64,MATCH($F489,사건마스터!$A$5:$A$64,0)),""))</f>
        <v/>
      </c>
      <c r="W489" s="35">
        <f>IF($F489="","",IFERROR(INDEX(사건마스터!$AU$5:$AU$64,MATCH($F489,사건마스터!$A$5:$A$64,0)),""))</f>
        <v/>
      </c>
      <c r="X489" s="35">
        <f>IF($F489="","",IFERROR(INDEX(사건마스터!$AV$5:$AV$64,MATCH($F489,사건마스터!$A$5:$A$64,0)),""))</f>
        <v/>
      </c>
      <c r="Y489" s="30">
        <f>IF($I489="","",COUNTIF($I489:$X489,"?*"))</f>
        <v/>
      </c>
      <c r="Z489" s="33">
        <f>IF($I489="","",_xlfn.TEXTJOIN(", ",TRUE,$I489:$X489))</f>
        <v/>
      </c>
      <c r="AA489" s="34">
        <f>IF($I489="","",IFERROR(INDEX(코드설정!$D$5:$D$24,MATCH($I489,코드설정!$C$5:$C$24,0)),""))</f>
        <v/>
      </c>
      <c r="AB489" s="36" t="n"/>
      <c r="AC489" s="37" t="n"/>
      <c r="AD489" s="38" t="n"/>
      <c r="AE489" s="30">
        <f>IF(OR($B489="",$C489=""),"",$C489-$B489+1)</f>
        <v/>
      </c>
      <c r="AF489" s="32" t="n"/>
      <c r="AG489" s="36" t="n"/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3">
        <f>IF($F490="","",IFERROR(INDEX(사건마스터!$B$5:$B$64,MATCH($F490,사건마스터!$A$5:$A$64,0)),""))</f>
        <v/>
      </c>
      <c r="H490" s="34">
        <f>IF($F490="","",IFERROR(INDEX(사건마스터!$C$5:$C$64,MATCH($F490,사건마스터!$A$5:$A$64,0)),""))</f>
        <v/>
      </c>
      <c r="I490" s="35">
        <f>IF($F490="","",IFERROR(INDEX(사건마스터!$H$5:$H$64,MATCH($F490,사건마스터!$A$5:$A$64,0)),""))</f>
        <v/>
      </c>
      <c r="J490" s="35">
        <f>IF($F490="","",IFERROR(INDEX(사건마스터!$AH$5:$AH$64,MATCH($F490,사건마스터!$A$5:$A$64,0)),""))</f>
        <v/>
      </c>
      <c r="K490" s="35">
        <f>IF($F490="","",IFERROR(INDEX(사건마스터!$AI$5:$AI$64,MATCH($F490,사건마스터!$A$5:$A$64,0)),""))</f>
        <v/>
      </c>
      <c r="L490" s="35">
        <f>IF($F490="","",IFERROR(INDEX(사건마스터!$AJ$5:$AJ$64,MATCH($F490,사건마스터!$A$5:$A$64,0)),""))</f>
        <v/>
      </c>
      <c r="M490" s="35">
        <f>IF($F490="","",IFERROR(INDEX(사건마스터!$AK$5:$AK$64,MATCH($F490,사건마스터!$A$5:$A$64,0)),""))</f>
        <v/>
      </c>
      <c r="N490" s="35">
        <f>IF($F490="","",IFERROR(INDEX(사건마스터!$AL$5:$AL$64,MATCH($F490,사건마스터!$A$5:$A$64,0)),""))</f>
        <v/>
      </c>
      <c r="O490" s="35">
        <f>IF($F490="","",IFERROR(INDEX(사건마스터!$AM$5:$AM$64,MATCH($F490,사건마스터!$A$5:$A$64,0)),""))</f>
        <v/>
      </c>
      <c r="P490" s="35">
        <f>IF($F490="","",IFERROR(INDEX(사건마스터!$AN$5:$AN$64,MATCH($F490,사건마스터!$A$5:$A$64,0)),""))</f>
        <v/>
      </c>
      <c r="Q490" s="35">
        <f>IF($F490="","",IFERROR(INDEX(사건마스터!$AO$5:$AO$64,MATCH($F490,사건마스터!$A$5:$A$64,0)),""))</f>
        <v/>
      </c>
      <c r="R490" s="35">
        <f>IF($F490="","",IFERROR(INDEX(사건마스터!$AP$5:$AP$64,MATCH($F490,사건마스터!$A$5:$A$64,0)),""))</f>
        <v/>
      </c>
      <c r="S490" s="35">
        <f>IF($F490="","",IFERROR(INDEX(사건마스터!$AQ$5:$AQ$64,MATCH($F490,사건마스터!$A$5:$A$64,0)),""))</f>
        <v/>
      </c>
      <c r="T490" s="35">
        <f>IF($F490="","",IFERROR(INDEX(사건마스터!$AR$5:$AR$64,MATCH($F490,사건마스터!$A$5:$A$64,0)),""))</f>
        <v/>
      </c>
      <c r="U490" s="35">
        <f>IF($F490="","",IFERROR(INDEX(사건마스터!$AS$5:$AS$64,MATCH($F490,사건마스터!$A$5:$A$64,0)),""))</f>
        <v/>
      </c>
      <c r="V490" s="35">
        <f>IF($F490="","",IFERROR(INDEX(사건마스터!$AT$5:$AT$64,MATCH($F490,사건마스터!$A$5:$A$64,0)),""))</f>
        <v/>
      </c>
      <c r="W490" s="35">
        <f>IF($F490="","",IFERROR(INDEX(사건마스터!$AU$5:$AU$64,MATCH($F490,사건마스터!$A$5:$A$64,0)),""))</f>
        <v/>
      </c>
      <c r="X490" s="35">
        <f>IF($F490="","",IFERROR(INDEX(사건마스터!$AV$5:$AV$64,MATCH($F490,사건마스터!$A$5:$A$64,0)),""))</f>
        <v/>
      </c>
      <c r="Y490" s="30">
        <f>IF($I490="","",COUNTIF($I490:$X490,"?*"))</f>
        <v/>
      </c>
      <c r="Z490" s="33">
        <f>IF($I490="","",_xlfn.TEXTJOIN(", ",TRUE,$I490:$X490))</f>
        <v/>
      </c>
      <c r="AA490" s="34">
        <f>IF($I490="","",IFERROR(INDEX(코드설정!$D$5:$D$24,MATCH($I490,코드설정!$C$5:$C$24,0)),""))</f>
        <v/>
      </c>
      <c r="AB490" s="36" t="n"/>
      <c r="AC490" s="37" t="n"/>
      <c r="AD490" s="38" t="n"/>
      <c r="AE490" s="30">
        <f>IF(OR($B490="",$C490=""),"",$C490-$B490+1)</f>
        <v/>
      </c>
      <c r="AF490" s="32" t="n"/>
      <c r="AG490" s="36" t="n"/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3">
        <f>IF($F491="","",IFERROR(INDEX(사건마스터!$B$5:$B$64,MATCH($F491,사건마스터!$A$5:$A$64,0)),""))</f>
        <v/>
      </c>
      <c r="H491" s="34">
        <f>IF($F491="","",IFERROR(INDEX(사건마스터!$C$5:$C$64,MATCH($F491,사건마스터!$A$5:$A$64,0)),""))</f>
        <v/>
      </c>
      <c r="I491" s="35">
        <f>IF($F491="","",IFERROR(INDEX(사건마스터!$H$5:$H$64,MATCH($F491,사건마스터!$A$5:$A$64,0)),""))</f>
        <v/>
      </c>
      <c r="J491" s="35">
        <f>IF($F491="","",IFERROR(INDEX(사건마스터!$AH$5:$AH$64,MATCH($F491,사건마스터!$A$5:$A$64,0)),""))</f>
        <v/>
      </c>
      <c r="K491" s="35">
        <f>IF($F491="","",IFERROR(INDEX(사건마스터!$AI$5:$AI$64,MATCH($F491,사건마스터!$A$5:$A$64,0)),""))</f>
        <v/>
      </c>
      <c r="L491" s="35">
        <f>IF($F491="","",IFERROR(INDEX(사건마스터!$AJ$5:$AJ$64,MATCH($F491,사건마스터!$A$5:$A$64,0)),""))</f>
        <v/>
      </c>
      <c r="M491" s="35">
        <f>IF($F491="","",IFERROR(INDEX(사건마스터!$AK$5:$AK$64,MATCH($F491,사건마스터!$A$5:$A$64,0)),""))</f>
        <v/>
      </c>
      <c r="N491" s="35">
        <f>IF($F491="","",IFERROR(INDEX(사건마스터!$AL$5:$AL$64,MATCH($F491,사건마스터!$A$5:$A$64,0)),""))</f>
        <v/>
      </c>
      <c r="O491" s="35">
        <f>IF($F491="","",IFERROR(INDEX(사건마스터!$AM$5:$AM$64,MATCH($F491,사건마스터!$A$5:$A$64,0)),""))</f>
        <v/>
      </c>
      <c r="P491" s="35">
        <f>IF($F491="","",IFERROR(INDEX(사건마스터!$AN$5:$AN$64,MATCH($F491,사건마스터!$A$5:$A$64,0)),""))</f>
        <v/>
      </c>
      <c r="Q491" s="35">
        <f>IF($F491="","",IFERROR(INDEX(사건마스터!$AO$5:$AO$64,MATCH($F491,사건마스터!$A$5:$A$64,0)),""))</f>
        <v/>
      </c>
      <c r="R491" s="35">
        <f>IF($F491="","",IFERROR(INDEX(사건마스터!$AP$5:$AP$64,MATCH($F491,사건마스터!$A$5:$A$64,0)),""))</f>
        <v/>
      </c>
      <c r="S491" s="35">
        <f>IF($F491="","",IFERROR(INDEX(사건마스터!$AQ$5:$AQ$64,MATCH($F491,사건마스터!$A$5:$A$64,0)),""))</f>
        <v/>
      </c>
      <c r="T491" s="35">
        <f>IF($F491="","",IFERROR(INDEX(사건마스터!$AR$5:$AR$64,MATCH($F491,사건마스터!$A$5:$A$64,0)),""))</f>
        <v/>
      </c>
      <c r="U491" s="35">
        <f>IF($F491="","",IFERROR(INDEX(사건마스터!$AS$5:$AS$64,MATCH($F491,사건마스터!$A$5:$A$64,0)),""))</f>
        <v/>
      </c>
      <c r="V491" s="35">
        <f>IF($F491="","",IFERROR(INDEX(사건마스터!$AT$5:$AT$64,MATCH($F491,사건마스터!$A$5:$A$64,0)),""))</f>
        <v/>
      </c>
      <c r="W491" s="35">
        <f>IF($F491="","",IFERROR(INDEX(사건마스터!$AU$5:$AU$64,MATCH($F491,사건마스터!$A$5:$A$64,0)),""))</f>
        <v/>
      </c>
      <c r="X491" s="35">
        <f>IF($F491="","",IFERROR(INDEX(사건마스터!$AV$5:$AV$64,MATCH($F491,사건마스터!$A$5:$A$64,0)),""))</f>
        <v/>
      </c>
      <c r="Y491" s="30">
        <f>IF($I491="","",COUNTIF($I491:$X491,"?*"))</f>
        <v/>
      </c>
      <c r="Z491" s="33">
        <f>IF($I491="","",_xlfn.TEXTJOIN(", ",TRUE,$I491:$X491))</f>
        <v/>
      </c>
      <c r="AA491" s="34">
        <f>IF($I491="","",IFERROR(INDEX(코드설정!$D$5:$D$24,MATCH($I491,코드설정!$C$5:$C$24,0)),""))</f>
        <v/>
      </c>
      <c r="AB491" s="36" t="n"/>
      <c r="AC491" s="37" t="n"/>
      <c r="AD491" s="38" t="n"/>
      <c r="AE491" s="30">
        <f>IF(OR($B491="",$C491=""),"",$C491-$B491+1)</f>
        <v/>
      </c>
      <c r="AF491" s="32" t="n"/>
      <c r="AG491" s="36" t="n"/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3">
        <f>IF($F492="","",IFERROR(INDEX(사건마스터!$B$5:$B$64,MATCH($F492,사건마스터!$A$5:$A$64,0)),""))</f>
        <v/>
      </c>
      <c r="H492" s="34">
        <f>IF($F492="","",IFERROR(INDEX(사건마스터!$C$5:$C$64,MATCH($F492,사건마스터!$A$5:$A$64,0)),""))</f>
        <v/>
      </c>
      <c r="I492" s="35">
        <f>IF($F492="","",IFERROR(INDEX(사건마스터!$H$5:$H$64,MATCH($F492,사건마스터!$A$5:$A$64,0)),""))</f>
        <v/>
      </c>
      <c r="J492" s="35">
        <f>IF($F492="","",IFERROR(INDEX(사건마스터!$AH$5:$AH$64,MATCH($F492,사건마스터!$A$5:$A$64,0)),""))</f>
        <v/>
      </c>
      <c r="K492" s="35">
        <f>IF($F492="","",IFERROR(INDEX(사건마스터!$AI$5:$AI$64,MATCH($F492,사건마스터!$A$5:$A$64,0)),""))</f>
        <v/>
      </c>
      <c r="L492" s="35">
        <f>IF($F492="","",IFERROR(INDEX(사건마스터!$AJ$5:$AJ$64,MATCH($F492,사건마스터!$A$5:$A$64,0)),""))</f>
        <v/>
      </c>
      <c r="M492" s="35">
        <f>IF($F492="","",IFERROR(INDEX(사건마스터!$AK$5:$AK$64,MATCH($F492,사건마스터!$A$5:$A$64,0)),""))</f>
        <v/>
      </c>
      <c r="N492" s="35">
        <f>IF($F492="","",IFERROR(INDEX(사건마스터!$AL$5:$AL$64,MATCH($F492,사건마스터!$A$5:$A$64,0)),""))</f>
        <v/>
      </c>
      <c r="O492" s="35">
        <f>IF($F492="","",IFERROR(INDEX(사건마스터!$AM$5:$AM$64,MATCH($F492,사건마스터!$A$5:$A$64,0)),""))</f>
        <v/>
      </c>
      <c r="P492" s="35">
        <f>IF($F492="","",IFERROR(INDEX(사건마스터!$AN$5:$AN$64,MATCH($F492,사건마스터!$A$5:$A$64,0)),""))</f>
        <v/>
      </c>
      <c r="Q492" s="35">
        <f>IF($F492="","",IFERROR(INDEX(사건마스터!$AO$5:$AO$64,MATCH($F492,사건마스터!$A$5:$A$64,0)),""))</f>
        <v/>
      </c>
      <c r="R492" s="35">
        <f>IF($F492="","",IFERROR(INDEX(사건마스터!$AP$5:$AP$64,MATCH($F492,사건마스터!$A$5:$A$64,0)),""))</f>
        <v/>
      </c>
      <c r="S492" s="35">
        <f>IF($F492="","",IFERROR(INDEX(사건마스터!$AQ$5:$AQ$64,MATCH($F492,사건마스터!$A$5:$A$64,0)),""))</f>
        <v/>
      </c>
      <c r="T492" s="35">
        <f>IF($F492="","",IFERROR(INDEX(사건마스터!$AR$5:$AR$64,MATCH($F492,사건마스터!$A$5:$A$64,0)),""))</f>
        <v/>
      </c>
      <c r="U492" s="35">
        <f>IF($F492="","",IFERROR(INDEX(사건마스터!$AS$5:$AS$64,MATCH($F492,사건마스터!$A$5:$A$64,0)),""))</f>
        <v/>
      </c>
      <c r="V492" s="35">
        <f>IF($F492="","",IFERROR(INDEX(사건마스터!$AT$5:$AT$64,MATCH($F492,사건마스터!$A$5:$A$64,0)),""))</f>
        <v/>
      </c>
      <c r="W492" s="35">
        <f>IF($F492="","",IFERROR(INDEX(사건마스터!$AU$5:$AU$64,MATCH($F492,사건마스터!$A$5:$A$64,0)),""))</f>
        <v/>
      </c>
      <c r="X492" s="35">
        <f>IF($F492="","",IFERROR(INDEX(사건마스터!$AV$5:$AV$64,MATCH($F492,사건마스터!$A$5:$A$64,0)),""))</f>
        <v/>
      </c>
      <c r="Y492" s="30">
        <f>IF($I492="","",COUNTIF($I492:$X492,"?*"))</f>
        <v/>
      </c>
      <c r="Z492" s="33">
        <f>IF($I492="","",_xlfn.TEXTJOIN(", ",TRUE,$I492:$X492))</f>
        <v/>
      </c>
      <c r="AA492" s="34">
        <f>IF($I492="","",IFERROR(INDEX(코드설정!$D$5:$D$24,MATCH($I492,코드설정!$C$5:$C$24,0)),""))</f>
        <v/>
      </c>
      <c r="AB492" s="36" t="n"/>
      <c r="AC492" s="37" t="n"/>
      <c r="AD492" s="38" t="n"/>
      <c r="AE492" s="30">
        <f>IF(OR($B492="",$C492=""),"",$C492-$B492+1)</f>
        <v/>
      </c>
      <c r="AF492" s="32" t="n"/>
      <c r="AG492" s="36" t="n"/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3">
        <f>IF($F493="","",IFERROR(INDEX(사건마스터!$B$5:$B$64,MATCH($F493,사건마스터!$A$5:$A$64,0)),""))</f>
        <v/>
      </c>
      <c r="H493" s="34">
        <f>IF($F493="","",IFERROR(INDEX(사건마스터!$C$5:$C$64,MATCH($F493,사건마스터!$A$5:$A$64,0)),""))</f>
        <v/>
      </c>
      <c r="I493" s="35">
        <f>IF($F493="","",IFERROR(INDEX(사건마스터!$H$5:$H$64,MATCH($F493,사건마스터!$A$5:$A$64,0)),""))</f>
        <v/>
      </c>
      <c r="J493" s="35">
        <f>IF($F493="","",IFERROR(INDEX(사건마스터!$AH$5:$AH$64,MATCH($F493,사건마스터!$A$5:$A$64,0)),""))</f>
        <v/>
      </c>
      <c r="K493" s="35">
        <f>IF($F493="","",IFERROR(INDEX(사건마스터!$AI$5:$AI$64,MATCH($F493,사건마스터!$A$5:$A$64,0)),""))</f>
        <v/>
      </c>
      <c r="L493" s="35">
        <f>IF($F493="","",IFERROR(INDEX(사건마스터!$AJ$5:$AJ$64,MATCH($F493,사건마스터!$A$5:$A$64,0)),""))</f>
        <v/>
      </c>
      <c r="M493" s="35">
        <f>IF($F493="","",IFERROR(INDEX(사건마스터!$AK$5:$AK$64,MATCH($F493,사건마스터!$A$5:$A$64,0)),""))</f>
        <v/>
      </c>
      <c r="N493" s="35">
        <f>IF($F493="","",IFERROR(INDEX(사건마스터!$AL$5:$AL$64,MATCH($F493,사건마스터!$A$5:$A$64,0)),""))</f>
        <v/>
      </c>
      <c r="O493" s="35">
        <f>IF($F493="","",IFERROR(INDEX(사건마스터!$AM$5:$AM$64,MATCH($F493,사건마스터!$A$5:$A$64,0)),""))</f>
        <v/>
      </c>
      <c r="P493" s="35">
        <f>IF($F493="","",IFERROR(INDEX(사건마스터!$AN$5:$AN$64,MATCH($F493,사건마스터!$A$5:$A$64,0)),""))</f>
        <v/>
      </c>
      <c r="Q493" s="35">
        <f>IF($F493="","",IFERROR(INDEX(사건마스터!$AO$5:$AO$64,MATCH($F493,사건마스터!$A$5:$A$64,0)),""))</f>
        <v/>
      </c>
      <c r="R493" s="35">
        <f>IF($F493="","",IFERROR(INDEX(사건마스터!$AP$5:$AP$64,MATCH($F493,사건마스터!$A$5:$A$64,0)),""))</f>
        <v/>
      </c>
      <c r="S493" s="35">
        <f>IF($F493="","",IFERROR(INDEX(사건마스터!$AQ$5:$AQ$64,MATCH($F493,사건마스터!$A$5:$A$64,0)),""))</f>
        <v/>
      </c>
      <c r="T493" s="35">
        <f>IF($F493="","",IFERROR(INDEX(사건마스터!$AR$5:$AR$64,MATCH($F493,사건마스터!$A$5:$A$64,0)),""))</f>
        <v/>
      </c>
      <c r="U493" s="35">
        <f>IF($F493="","",IFERROR(INDEX(사건마스터!$AS$5:$AS$64,MATCH($F493,사건마스터!$A$5:$A$64,0)),""))</f>
        <v/>
      </c>
      <c r="V493" s="35">
        <f>IF($F493="","",IFERROR(INDEX(사건마스터!$AT$5:$AT$64,MATCH($F493,사건마스터!$A$5:$A$64,0)),""))</f>
        <v/>
      </c>
      <c r="W493" s="35">
        <f>IF($F493="","",IFERROR(INDEX(사건마스터!$AU$5:$AU$64,MATCH($F493,사건마스터!$A$5:$A$64,0)),""))</f>
        <v/>
      </c>
      <c r="X493" s="35">
        <f>IF($F493="","",IFERROR(INDEX(사건마스터!$AV$5:$AV$64,MATCH($F493,사건마스터!$A$5:$A$64,0)),""))</f>
        <v/>
      </c>
      <c r="Y493" s="30">
        <f>IF($I493="","",COUNTIF($I493:$X493,"?*"))</f>
        <v/>
      </c>
      <c r="Z493" s="33">
        <f>IF($I493="","",_xlfn.TEXTJOIN(", ",TRUE,$I493:$X493))</f>
        <v/>
      </c>
      <c r="AA493" s="34">
        <f>IF($I493="","",IFERROR(INDEX(코드설정!$D$5:$D$24,MATCH($I493,코드설정!$C$5:$C$24,0)),""))</f>
        <v/>
      </c>
      <c r="AB493" s="36" t="n"/>
      <c r="AC493" s="37" t="n"/>
      <c r="AD493" s="38" t="n"/>
      <c r="AE493" s="30">
        <f>IF(OR($B493="",$C493=""),"",$C493-$B493+1)</f>
        <v/>
      </c>
      <c r="AF493" s="32" t="n"/>
      <c r="AG493" s="36" t="n"/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3">
        <f>IF($F494="","",IFERROR(INDEX(사건마스터!$B$5:$B$64,MATCH($F494,사건마스터!$A$5:$A$64,0)),""))</f>
        <v/>
      </c>
      <c r="H494" s="34">
        <f>IF($F494="","",IFERROR(INDEX(사건마스터!$C$5:$C$64,MATCH($F494,사건마스터!$A$5:$A$64,0)),""))</f>
        <v/>
      </c>
      <c r="I494" s="35">
        <f>IF($F494="","",IFERROR(INDEX(사건마스터!$H$5:$H$64,MATCH($F494,사건마스터!$A$5:$A$64,0)),""))</f>
        <v/>
      </c>
      <c r="J494" s="35">
        <f>IF($F494="","",IFERROR(INDEX(사건마스터!$AH$5:$AH$64,MATCH($F494,사건마스터!$A$5:$A$64,0)),""))</f>
        <v/>
      </c>
      <c r="K494" s="35">
        <f>IF($F494="","",IFERROR(INDEX(사건마스터!$AI$5:$AI$64,MATCH($F494,사건마스터!$A$5:$A$64,0)),""))</f>
        <v/>
      </c>
      <c r="L494" s="35">
        <f>IF($F494="","",IFERROR(INDEX(사건마스터!$AJ$5:$AJ$64,MATCH($F494,사건마스터!$A$5:$A$64,0)),""))</f>
        <v/>
      </c>
      <c r="M494" s="35">
        <f>IF($F494="","",IFERROR(INDEX(사건마스터!$AK$5:$AK$64,MATCH($F494,사건마스터!$A$5:$A$64,0)),""))</f>
        <v/>
      </c>
      <c r="N494" s="35">
        <f>IF($F494="","",IFERROR(INDEX(사건마스터!$AL$5:$AL$64,MATCH($F494,사건마스터!$A$5:$A$64,0)),""))</f>
        <v/>
      </c>
      <c r="O494" s="35">
        <f>IF($F494="","",IFERROR(INDEX(사건마스터!$AM$5:$AM$64,MATCH($F494,사건마스터!$A$5:$A$64,0)),""))</f>
        <v/>
      </c>
      <c r="P494" s="35">
        <f>IF($F494="","",IFERROR(INDEX(사건마스터!$AN$5:$AN$64,MATCH($F494,사건마스터!$A$5:$A$64,0)),""))</f>
        <v/>
      </c>
      <c r="Q494" s="35">
        <f>IF($F494="","",IFERROR(INDEX(사건마스터!$AO$5:$AO$64,MATCH($F494,사건마스터!$A$5:$A$64,0)),""))</f>
        <v/>
      </c>
      <c r="R494" s="35">
        <f>IF($F494="","",IFERROR(INDEX(사건마스터!$AP$5:$AP$64,MATCH($F494,사건마스터!$A$5:$A$64,0)),""))</f>
        <v/>
      </c>
      <c r="S494" s="35">
        <f>IF($F494="","",IFERROR(INDEX(사건마스터!$AQ$5:$AQ$64,MATCH($F494,사건마스터!$A$5:$A$64,0)),""))</f>
        <v/>
      </c>
      <c r="T494" s="35">
        <f>IF($F494="","",IFERROR(INDEX(사건마스터!$AR$5:$AR$64,MATCH($F494,사건마스터!$A$5:$A$64,0)),""))</f>
        <v/>
      </c>
      <c r="U494" s="35">
        <f>IF($F494="","",IFERROR(INDEX(사건마스터!$AS$5:$AS$64,MATCH($F494,사건마스터!$A$5:$A$64,0)),""))</f>
        <v/>
      </c>
      <c r="V494" s="35">
        <f>IF($F494="","",IFERROR(INDEX(사건마스터!$AT$5:$AT$64,MATCH($F494,사건마스터!$A$5:$A$64,0)),""))</f>
        <v/>
      </c>
      <c r="W494" s="35">
        <f>IF($F494="","",IFERROR(INDEX(사건마스터!$AU$5:$AU$64,MATCH($F494,사건마스터!$A$5:$A$64,0)),""))</f>
        <v/>
      </c>
      <c r="X494" s="35">
        <f>IF($F494="","",IFERROR(INDEX(사건마스터!$AV$5:$AV$64,MATCH($F494,사건마스터!$A$5:$A$64,0)),""))</f>
        <v/>
      </c>
      <c r="Y494" s="30">
        <f>IF($I494="","",COUNTIF($I494:$X494,"?*"))</f>
        <v/>
      </c>
      <c r="Z494" s="33">
        <f>IF($I494="","",_xlfn.TEXTJOIN(", ",TRUE,$I494:$X494))</f>
        <v/>
      </c>
      <c r="AA494" s="34">
        <f>IF($I494="","",IFERROR(INDEX(코드설정!$D$5:$D$24,MATCH($I494,코드설정!$C$5:$C$24,0)),""))</f>
        <v/>
      </c>
      <c r="AB494" s="36" t="n"/>
      <c r="AC494" s="37" t="n"/>
      <c r="AD494" s="38" t="n"/>
      <c r="AE494" s="30">
        <f>IF(OR($B494="",$C494=""),"",$C494-$B494+1)</f>
        <v/>
      </c>
      <c r="AF494" s="32" t="n"/>
      <c r="AG494" s="36" t="n"/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3">
        <f>IF($F495="","",IFERROR(INDEX(사건마스터!$B$5:$B$64,MATCH($F495,사건마스터!$A$5:$A$64,0)),""))</f>
        <v/>
      </c>
      <c r="H495" s="34">
        <f>IF($F495="","",IFERROR(INDEX(사건마스터!$C$5:$C$64,MATCH($F495,사건마스터!$A$5:$A$64,0)),""))</f>
        <v/>
      </c>
      <c r="I495" s="35">
        <f>IF($F495="","",IFERROR(INDEX(사건마스터!$H$5:$H$64,MATCH($F495,사건마스터!$A$5:$A$64,0)),""))</f>
        <v/>
      </c>
      <c r="J495" s="35">
        <f>IF($F495="","",IFERROR(INDEX(사건마스터!$AH$5:$AH$64,MATCH($F495,사건마스터!$A$5:$A$64,0)),""))</f>
        <v/>
      </c>
      <c r="K495" s="35">
        <f>IF($F495="","",IFERROR(INDEX(사건마스터!$AI$5:$AI$64,MATCH($F495,사건마스터!$A$5:$A$64,0)),""))</f>
        <v/>
      </c>
      <c r="L495" s="35">
        <f>IF($F495="","",IFERROR(INDEX(사건마스터!$AJ$5:$AJ$64,MATCH($F495,사건마스터!$A$5:$A$64,0)),""))</f>
        <v/>
      </c>
      <c r="M495" s="35">
        <f>IF($F495="","",IFERROR(INDEX(사건마스터!$AK$5:$AK$64,MATCH($F495,사건마스터!$A$5:$A$64,0)),""))</f>
        <v/>
      </c>
      <c r="N495" s="35">
        <f>IF($F495="","",IFERROR(INDEX(사건마스터!$AL$5:$AL$64,MATCH($F495,사건마스터!$A$5:$A$64,0)),""))</f>
        <v/>
      </c>
      <c r="O495" s="35">
        <f>IF($F495="","",IFERROR(INDEX(사건마스터!$AM$5:$AM$64,MATCH($F495,사건마스터!$A$5:$A$64,0)),""))</f>
        <v/>
      </c>
      <c r="P495" s="35">
        <f>IF($F495="","",IFERROR(INDEX(사건마스터!$AN$5:$AN$64,MATCH($F495,사건마스터!$A$5:$A$64,0)),""))</f>
        <v/>
      </c>
      <c r="Q495" s="35">
        <f>IF($F495="","",IFERROR(INDEX(사건마스터!$AO$5:$AO$64,MATCH($F495,사건마스터!$A$5:$A$64,0)),""))</f>
        <v/>
      </c>
      <c r="R495" s="35">
        <f>IF($F495="","",IFERROR(INDEX(사건마스터!$AP$5:$AP$64,MATCH($F495,사건마스터!$A$5:$A$64,0)),""))</f>
        <v/>
      </c>
      <c r="S495" s="35">
        <f>IF($F495="","",IFERROR(INDEX(사건마스터!$AQ$5:$AQ$64,MATCH($F495,사건마스터!$A$5:$A$64,0)),""))</f>
        <v/>
      </c>
      <c r="T495" s="35">
        <f>IF($F495="","",IFERROR(INDEX(사건마스터!$AR$5:$AR$64,MATCH($F495,사건마스터!$A$5:$A$64,0)),""))</f>
        <v/>
      </c>
      <c r="U495" s="35">
        <f>IF($F495="","",IFERROR(INDEX(사건마스터!$AS$5:$AS$64,MATCH($F495,사건마스터!$A$5:$A$64,0)),""))</f>
        <v/>
      </c>
      <c r="V495" s="35">
        <f>IF($F495="","",IFERROR(INDEX(사건마스터!$AT$5:$AT$64,MATCH($F495,사건마스터!$A$5:$A$64,0)),""))</f>
        <v/>
      </c>
      <c r="W495" s="35">
        <f>IF($F495="","",IFERROR(INDEX(사건마스터!$AU$5:$AU$64,MATCH($F495,사건마스터!$A$5:$A$64,0)),""))</f>
        <v/>
      </c>
      <c r="X495" s="35">
        <f>IF($F495="","",IFERROR(INDEX(사건마스터!$AV$5:$AV$64,MATCH($F495,사건마스터!$A$5:$A$64,0)),""))</f>
        <v/>
      </c>
      <c r="Y495" s="30">
        <f>IF($I495="","",COUNTIF($I495:$X495,"?*"))</f>
        <v/>
      </c>
      <c r="Z495" s="33">
        <f>IF($I495="","",_xlfn.TEXTJOIN(", ",TRUE,$I495:$X495))</f>
        <v/>
      </c>
      <c r="AA495" s="34">
        <f>IF($I495="","",IFERROR(INDEX(코드설정!$D$5:$D$24,MATCH($I495,코드설정!$C$5:$C$24,0)),""))</f>
        <v/>
      </c>
      <c r="AB495" s="36" t="n"/>
      <c r="AC495" s="37" t="n"/>
      <c r="AD495" s="38" t="n"/>
      <c r="AE495" s="30">
        <f>IF(OR($B495="",$C495=""),"",$C495-$B495+1)</f>
        <v/>
      </c>
      <c r="AF495" s="32" t="n"/>
      <c r="AG495" s="36" t="n"/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3">
        <f>IF($F496="","",IFERROR(INDEX(사건마스터!$B$5:$B$64,MATCH($F496,사건마스터!$A$5:$A$64,0)),""))</f>
        <v/>
      </c>
      <c r="H496" s="34">
        <f>IF($F496="","",IFERROR(INDEX(사건마스터!$C$5:$C$64,MATCH($F496,사건마스터!$A$5:$A$64,0)),""))</f>
        <v/>
      </c>
      <c r="I496" s="35">
        <f>IF($F496="","",IFERROR(INDEX(사건마스터!$H$5:$H$64,MATCH($F496,사건마스터!$A$5:$A$64,0)),""))</f>
        <v/>
      </c>
      <c r="J496" s="35">
        <f>IF($F496="","",IFERROR(INDEX(사건마스터!$AH$5:$AH$64,MATCH($F496,사건마스터!$A$5:$A$64,0)),""))</f>
        <v/>
      </c>
      <c r="K496" s="35">
        <f>IF($F496="","",IFERROR(INDEX(사건마스터!$AI$5:$AI$64,MATCH($F496,사건마스터!$A$5:$A$64,0)),""))</f>
        <v/>
      </c>
      <c r="L496" s="35">
        <f>IF($F496="","",IFERROR(INDEX(사건마스터!$AJ$5:$AJ$64,MATCH($F496,사건마스터!$A$5:$A$64,0)),""))</f>
        <v/>
      </c>
      <c r="M496" s="35">
        <f>IF($F496="","",IFERROR(INDEX(사건마스터!$AK$5:$AK$64,MATCH($F496,사건마스터!$A$5:$A$64,0)),""))</f>
        <v/>
      </c>
      <c r="N496" s="35">
        <f>IF($F496="","",IFERROR(INDEX(사건마스터!$AL$5:$AL$64,MATCH($F496,사건마스터!$A$5:$A$64,0)),""))</f>
        <v/>
      </c>
      <c r="O496" s="35">
        <f>IF($F496="","",IFERROR(INDEX(사건마스터!$AM$5:$AM$64,MATCH($F496,사건마스터!$A$5:$A$64,0)),""))</f>
        <v/>
      </c>
      <c r="P496" s="35">
        <f>IF($F496="","",IFERROR(INDEX(사건마스터!$AN$5:$AN$64,MATCH($F496,사건마스터!$A$5:$A$64,0)),""))</f>
        <v/>
      </c>
      <c r="Q496" s="35">
        <f>IF($F496="","",IFERROR(INDEX(사건마스터!$AO$5:$AO$64,MATCH($F496,사건마스터!$A$5:$A$64,0)),""))</f>
        <v/>
      </c>
      <c r="R496" s="35">
        <f>IF($F496="","",IFERROR(INDEX(사건마스터!$AP$5:$AP$64,MATCH($F496,사건마스터!$A$5:$A$64,0)),""))</f>
        <v/>
      </c>
      <c r="S496" s="35">
        <f>IF($F496="","",IFERROR(INDEX(사건마스터!$AQ$5:$AQ$64,MATCH($F496,사건마스터!$A$5:$A$64,0)),""))</f>
        <v/>
      </c>
      <c r="T496" s="35">
        <f>IF($F496="","",IFERROR(INDEX(사건마스터!$AR$5:$AR$64,MATCH($F496,사건마스터!$A$5:$A$64,0)),""))</f>
        <v/>
      </c>
      <c r="U496" s="35">
        <f>IF($F496="","",IFERROR(INDEX(사건마스터!$AS$5:$AS$64,MATCH($F496,사건마스터!$A$5:$A$64,0)),""))</f>
        <v/>
      </c>
      <c r="V496" s="35">
        <f>IF($F496="","",IFERROR(INDEX(사건마스터!$AT$5:$AT$64,MATCH($F496,사건마스터!$A$5:$A$64,0)),""))</f>
        <v/>
      </c>
      <c r="W496" s="35">
        <f>IF($F496="","",IFERROR(INDEX(사건마스터!$AU$5:$AU$64,MATCH($F496,사건마스터!$A$5:$A$64,0)),""))</f>
        <v/>
      </c>
      <c r="X496" s="35">
        <f>IF($F496="","",IFERROR(INDEX(사건마스터!$AV$5:$AV$64,MATCH($F496,사건마스터!$A$5:$A$64,0)),""))</f>
        <v/>
      </c>
      <c r="Y496" s="30">
        <f>IF($I496="","",COUNTIF($I496:$X496,"?*"))</f>
        <v/>
      </c>
      <c r="Z496" s="33">
        <f>IF($I496="","",_xlfn.TEXTJOIN(", ",TRUE,$I496:$X496))</f>
        <v/>
      </c>
      <c r="AA496" s="34">
        <f>IF($I496="","",IFERROR(INDEX(코드설정!$D$5:$D$24,MATCH($I496,코드설정!$C$5:$C$24,0)),""))</f>
        <v/>
      </c>
      <c r="AB496" s="36" t="n"/>
      <c r="AC496" s="37" t="n"/>
      <c r="AD496" s="38" t="n"/>
      <c r="AE496" s="30">
        <f>IF(OR($B496="",$C496=""),"",$C496-$B496+1)</f>
        <v/>
      </c>
      <c r="AF496" s="32" t="n"/>
      <c r="AG496" s="36" t="n"/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3">
        <f>IF($F497="","",IFERROR(INDEX(사건마스터!$B$5:$B$64,MATCH($F497,사건마스터!$A$5:$A$64,0)),""))</f>
        <v/>
      </c>
      <c r="H497" s="34">
        <f>IF($F497="","",IFERROR(INDEX(사건마스터!$C$5:$C$64,MATCH($F497,사건마스터!$A$5:$A$64,0)),""))</f>
        <v/>
      </c>
      <c r="I497" s="35">
        <f>IF($F497="","",IFERROR(INDEX(사건마스터!$H$5:$H$64,MATCH($F497,사건마스터!$A$5:$A$64,0)),""))</f>
        <v/>
      </c>
      <c r="J497" s="35">
        <f>IF($F497="","",IFERROR(INDEX(사건마스터!$AH$5:$AH$64,MATCH($F497,사건마스터!$A$5:$A$64,0)),""))</f>
        <v/>
      </c>
      <c r="K497" s="35">
        <f>IF($F497="","",IFERROR(INDEX(사건마스터!$AI$5:$AI$64,MATCH($F497,사건마스터!$A$5:$A$64,0)),""))</f>
        <v/>
      </c>
      <c r="L497" s="35">
        <f>IF($F497="","",IFERROR(INDEX(사건마스터!$AJ$5:$AJ$64,MATCH($F497,사건마스터!$A$5:$A$64,0)),""))</f>
        <v/>
      </c>
      <c r="M497" s="35">
        <f>IF($F497="","",IFERROR(INDEX(사건마스터!$AK$5:$AK$64,MATCH($F497,사건마스터!$A$5:$A$64,0)),""))</f>
        <v/>
      </c>
      <c r="N497" s="35">
        <f>IF($F497="","",IFERROR(INDEX(사건마스터!$AL$5:$AL$64,MATCH($F497,사건마스터!$A$5:$A$64,0)),""))</f>
        <v/>
      </c>
      <c r="O497" s="35">
        <f>IF($F497="","",IFERROR(INDEX(사건마스터!$AM$5:$AM$64,MATCH($F497,사건마스터!$A$5:$A$64,0)),""))</f>
        <v/>
      </c>
      <c r="P497" s="35">
        <f>IF($F497="","",IFERROR(INDEX(사건마스터!$AN$5:$AN$64,MATCH($F497,사건마스터!$A$5:$A$64,0)),""))</f>
        <v/>
      </c>
      <c r="Q497" s="35">
        <f>IF($F497="","",IFERROR(INDEX(사건마스터!$AO$5:$AO$64,MATCH($F497,사건마스터!$A$5:$A$64,0)),""))</f>
        <v/>
      </c>
      <c r="R497" s="35">
        <f>IF($F497="","",IFERROR(INDEX(사건마스터!$AP$5:$AP$64,MATCH($F497,사건마스터!$A$5:$A$64,0)),""))</f>
        <v/>
      </c>
      <c r="S497" s="35">
        <f>IF($F497="","",IFERROR(INDEX(사건마스터!$AQ$5:$AQ$64,MATCH($F497,사건마스터!$A$5:$A$64,0)),""))</f>
        <v/>
      </c>
      <c r="T497" s="35">
        <f>IF($F497="","",IFERROR(INDEX(사건마스터!$AR$5:$AR$64,MATCH($F497,사건마스터!$A$5:$A$64,0)),""))</f>
        <v/>
      </c>
      <c r="U497" s="35">
        <f>IF($F497="","",IFERROR(INDEX(사건마스터!$AS$5:$AS$64,MATCH($F497,사건마스터!$A$5:$A$64,0)),""))</f>
        <v/>
      </c>
      <c r="V497" s="35">
        <f>IF($F497="","",IFERROR(INDEX(사건마스터!$AT$5:$AT$64,MATCH($F497,사건마스터!$A$5:$A$64,0)),""))</f>
        <v/>
      </c>
      <c r="W497" s="35">
        <f>IF($F497="","",IFERROR(INDEX(사건마스터!$AU$5:$AU$64,MATCH($F497,사건마스터!$A$5:$A$64,0)),""))</f>
        <v/>
      </c>
      <c r="X497" s="35">
        <f>IF($F497="","",IFERROR(INDEX(사건마스터!$AV$5:$AV$64,MATCH($F497,사건마스터!$A$5:$A$64,0)),""))</f>
        <v/>
      </c>
      <c r="Y497" s="30">
        <f>IF($I497="","",COUNTIF($I497:$X497,"?*"))</f>
        <v/>
      </c>
      <c r="Z497" s="33">
        <f>IF($I497="","",_xlfn.TEXTJOIN(", ",TRUE,$I497:$X497))</f>
        <v/>
      </c>
      <c r="AA497" s="34">
        <f>IF($I497="","",IFERROR(INDEX(코드설정!$D$5:$D$24,MATCH($I497,코드설정!$C$5:$C$24,0)),""))</f>
        <v/>
      </c>
      <c r="AB497" s="36" t="n"/>
      <c r="AC497" s="37" t="n"/>
      <c r="AD497" s="38" t="n"/>
      <c r="AE497" s="30">
        <f>IF(OR($B497="",$C497=""),"",$C497-$B497+1)</f>
        <v/>
      </c>
      <c r="AF497" s="32" t="n"/>
      <c r="AG497" s="36" t="n"/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3">
        <f>IF($F498="","",IFERROR(INDEX(사건마스터!$B$5:$B$64,MATCH($F498,사건마스터!$A$5:$A$64,0)),""))</f>
        <v/>
      </c>
      <c r="H498" s="34">
        <f>IF($F498="","",IFERROR(INDEX(사건마스터!$C$5:$C$64,MATCH($F498,사건마스터!$A$5:$A$64,0)),""))</f>
        <v/>
      </c>
      <c r="I498" s="35">
        <f>IF($F498="","",IFERROR(INDEX(사건마스터!$H$5:$H$64,MATCH($F498,사건마스터!$A$5:$A$64,0)),""))</f>
        <v/>
      </c>
      <c r="J498" s="35">
        <f>IF($F498="","",IFERROR(INDEX(사건마스터!$AH$5:$AH$64,MATCH($F498,사건마스터!$A$5:$A$64,0)),""))</f>
        <v/>
      </c>
      <c r="K498" s="35">
        <f>IF($F498="","",IFERROR(INDEX(사건마스터!$AI$5:$AI$64,MATCH($F498,사건마스터!$A$5:$A$64,0)),""))</f>
        <v/>
      </c>
      <c r="L498" s="35">
        <f>IF($F498="","",IFERROR(INDEX(사건마스터!$AJ$5:$AJ$64,MATCH($F498,사건마스터!$A$5:$A$64,0)),""))</f>
        <v/>
      </c>
      <c r="M498" s="35">
        <f>IF($F498="","",IFERROR(INDEX(사건마스터!$AK$5:$AK$64,MATCH($F498,사건마스터!$A$5:$A$64,0)),""))</f>
        <v/>
      </c>
      <c r="N498" s="35">
        <f>IF($F498="","",IFERROR(INDEX(사건마스터!$AL$5:$AL$64,MATCH($F498,사건마스터!$A$5:$A$64,0)),""))</f>
        <v/>
      </c>
      <c r="O498" s="35">
        <f>IF($F498="","",IFERROR(INDEX(사건마스터!$AM$5:$AM$64,MATCH($F498,사건마스터!$A$5:$A$64,0)),""))</f>
        <v/>
      </c>
      <c r="P498" s="35">
        <f>IF($F498="","",IFERROR(INDEX(사건마스터!$AN$5:$AN$64,MATCH($F498,사건마스터!$A$5:$A$64,0)),""))</f>
        <v/>
      </c>
      <c r="Q498" s="35">
        <f>IF($F498="","",IFERROR(INDEX(사건마스터!$AO$5:$AO$64,MATCH($F498,사건마스터!$A$5:$A$64,0)),""))</f>
        <v/>
      </c>
      <c r="R498" s="35">
        <f>IF($F498="","",IFERROR(INDEX(사건마스터!$AP$5:$AP$64,MATCH($F498,사건마스터!$A$5:$A$64,0)),""))</f>
        <v/>
      </c>
      <c r="S498" s="35">
        <f>IF($F498="","",IFERROR(INDEX(사건마스터!$AQ$5:$AQ$64,MATCH($F498,사건마스터!$A$5:$A$64,0)),""))</f>
        <v/>
      </c>
      <c r="T498" s="35">
        <f>IF($F498="","",IFERROR(INDEX(사건마스터!$AR$5:$AR$64,MATCH($F498,사건마스터!$A$5:$A$64,0)),""))</f>
        <v/>
      </c>
      <c r="U498" s="35">
        <f>IF($F498="","",IFERROR(INDEX(사건마스터!$AS$5:$AS$64,MATCH($F498,사건마스터!$A$5:$A$64,0)),""))</f>
        <v/>
      </c>
      <c r="V498" s="35">
        <f>IF($F498="","",IFERROR(INDEX(사건마스터!$AT$5:$AT$64,MATCH($F498,사건마스터!$A$5:$A$64,0)),""))</f>
        <v/>
      </c>
      <c r="W498" s="35">
        <f>IF($F498="","",IFERROR(INDEX(사건마스터!$AU$5:$AU$64,MATCH($F498,사건마스터!$A$5:$A$64,0)),""))</f>
        <v/>
      </c>
      <c r="X498" s="35">
        <f>IF($F498="","",IFERROR(INDEX(사건마스터!$AV$5:$AV$64,MATCH($F498,사건마스터!$A$5:$A$64,0)),""))</f>
        <v/>
      </c>
      <c r="Y498" s="30">
        <f>IF($I498="","",COUNTIF($I498:$X498,"?*"))</f>
        <v/>
      </c>
      <c r="Z498" s="33">
        <f>IF($I498="","",_xlfn.TEXTJOIN(", ",TRUE,$I498:$X498))</f>
        <v/>
      </c>
      <c r="AA498" s="34">
        <f>IF($I498="","",IFERROR(INDEX(코드설정!$D$5:$D$24,MATCH($I498,코드설정!$C$5:$C$24,0)),""))</f>
        <v/>
      </c>
      <c r="AB498" s="36" t="n"/>
      <c r="AC498" s="37" t="n"/>
      <c r="AD498" s="38" t="n"/>
      <c r="AE498" s="30">
        <f>IF(OR($B498="",$C498=""),"",$C498-$B498+1)</f>
        <v/>
      </c>
      <c r="AF498" s="32" t="n"/>
      <c r="AG498" s="36" t="n"/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3">
        <f>IF($F499="","",IFERROR(INDEX(사건마스터!$B$5:$B$64,MATCH($F499,사건마스터!$A$5:$A$64,0)),""))</f>
        <v/>
      </c>
      <c r="H499" s="34">
        <f>IF($F499="","",IFERROR(INDEX(사건마스터!$C$5:$C$64,MATCH($F499,사건마스터!$A$5:$A$64,0)),""))</f>
        <v/>
      </c>
      <c r="I499" s="35">
        <f>IF($F499="","",IFERROR(INDEX(사건마스터!$H$5:$H$64,MATCH($F499,사건마스터!$A$5:$A$64,0)),""))</f>
        <v/>
      </c>
      <c r="J499" s="35">
        <f>IF($F499="","",IFERROR(INDEX(사건마스터!$AH$5:$AH$64,MATCH($F499,사건마스터!$A$5:$A$64,0)),""))</f>
        <v/>
      </c>
      <c r="K499" s="35">
        <f>IF($F499="","",IFERROR(INDEX(사건마스터!$AI$5:$AI$64,MATCH($F499,사건마스터!$A$5:$A$64,0)),""))</f>
        <v/>
      </c>
      <c r="L499" s="35">
        <f>IF($F499="","",IFERROR(INDEX(사건마스터!$AJ$5:$AJ$64,MATCH($F499,사건마스터!$A$5:$A$64,0)),""))</f>
        <v/>
      </c>
      <c r="M499" s="35">
        <f>IF($F499="","",IFERROR(INDEX(사건마스터!$AK$5:$AK$64,MATCH($F499,사건마스터!$A$5:$A$64,0)),""))</f>
        <v/>
      </c>
      <c r="N499" s="35">
        <f>IF($F499="","",IFERROR(INDEX(사건마스터!$AL$5:$AL$64,MATCH($F499,사건마스터!$A$5:$A$64,0)),""))</f>
        <v/>
      </c>
      <c r="O499" s="35">
        <f>IF($F499="","",IFERROR(INDEX(사건마스터!$AM$5:$AM$64,MATCH($F499,사건마스터!$A$5:$A$64,0)),""))</f>
        <v/>
      </c>
      <c r="P499" s="35">
        <f>IF($F499="","",IFERROR(INDEX(사건마스터!$AN$5:$AN$64,MATCH($F499,사건마스터!$A$5:$A$64,0)),""))</f>
        <v/>
      </c>
      <c r="Q499" s="35">
        <f>IF($F499="","",IFERROR(INDEX(사건마스터!$AO$5:$AO$64,MATCH($F499,사건마스터!$A$5:$A$64,0)),""))</f>
        <v/>
      </c>
      <c r="R499" s="35">
        <f>IF($F499="","",IFERROR(INDEX(사건마스터!$AP$5:$AP$64,MATCH($F499,사건마스터!$A$5:$A$64,0)),""))</f>
        <v/>
      </c>
      <c r="S499" s="35">
        <f>IF($F499="","",IFERROR(INDEX(사건마스터!$AQ$5:$AQ$64,MATCH($F499,사건마스터!$A$5:$A$64,0)),""))</f>
        <v/>
      </c>
      <c r="T499" s="35">
        <f>IF($F499="","",IFERROR(INDEX(사건마스터!$AR$5:$AR$64,MATCH($F499,사건마스터!$A$5:$A$64,0)),""))</f>
        <v/>
      </c>
      <c r="U499" s="35">
        <f>IF($F499="","",IFERROR(INDEX(사건마스터!$AS$5:$AS$64,MATCH($F499,사건마스터!$A$5:$A$64,0)),""))</f>
        <v/>
      </c>
      <c r="V499" s="35">
        <f>IF($F499="","",IFERROR(INDEX(사건마스터!$AT$5:$AT$64,MATCH($F499,사건마스터!$A$5:$A$64,0)),""))</f>
        <v/>
      </c>
      <c r="W499" s="35">
        <f>IF($F499="","",IFERROR(INDEX(사건마스터!$AU$5:$AU$64,MATCH($F499,사건마스터!$A$5:$A$64,0)),""))</f>
        <v/>
      </c>
      <c r="X499" s="35">
        <f>IF($F499="","",IFERROR(INDEX(사건마스터!$AV$5:$AV$64,MATCH($F499,사건마스터!$A$5:$A$64,0)),""))</f>
        <v/>
      </c>
      <c r="Y499" s="30">
        <f>IF($I499="","",COUNTIF($I499:$X499,"?*"))</f>
        <v/>
      </c>
      <c r="Z499" s="33">
        <f>IF($I499="","",_xlfn.TEXTJOIN(", ",TRUE,$I499:$X499))</f>
        <v/>
      </c>
      <c r="AA499" s="34">
        <f>IF($I499="","",IFERROR(INDEX(코드설정!$D$5:$D$24,MATCH($I499,코드설정!$C$5:$C$24,0)),""))</f>
        <v/>
      </c>
      <c r="AB499" s="36" t="n"/>
      <c r="AC499" s="37" t="n"/>
      <c r="AD499" s="38" t="n"/>
      <c r="AE499" s="30">
        <f>IF(OR($B499="",$C499=""),"",$C499-$B499+1)</f>
        <v/>
      </c>
      <c r="AF499" s="32" t="n"/>
      <c r="AG499" s="36" t="n"/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3">
        <f>IF($F500="","",IFERROR(INDEX(사건마스터!$B$5:$B$64,MATCH($F500,사건마스터!$A$5:$A$64,0)),""))</f>
        <v/>
      </c>
      <c r="H500" s="34">
        <f>IF($F500="","",IFERROR(INDEX(사건마스터!$C$5:$C$64,MATCH($F500,사건마스터!$A$5:$A$64,0)),""))</f>
        <v/>
      </c>
      <c r="I500" s="35">
        <f>IF($F500="","",IFERROR(INDEX(사건마스터!$H$5:$H$64,MATCH($F500,사건마스터!$A$5:$A$64,0)),""))</f>
        <v/>
      </c>
      <c r="J500" s="35">
        <f>IF($F500="","",IFERROR(INDEX(사건마스터!$AH$5:$AH$64,MATCH($F500,사건마스터!$A$5:$A$64,0)),""))</f>
        <v/>
      </c>
      <c r="K500" s="35">
        <f>IF($F500="","",IFERROR(INDEX(사건마스터!$AI$5:$AI$64,MATCH($F500,사건마스터!$A$5:$A$64,0)),""))</f>
        <v/>
      </c>
      <c r="L500" s="35">
        <f>IF($F500="","",IFERROR(INDEX(사건마스터!$AJ$5:$AJ$64,MATCH($F500,사건마스터!$A$5:$A$64,0)),""))</f>
        <v/>
      </c>
      <c r="M500" s="35">
        <f>IF($F500="","",IFERROR(INDEX(사건마스터!$AK$5:$AK$64,MATCH($F500,사건마스터!$A$5:$A$64,0)),""))</f>
        <v/>
      </c>
      <c r="N500" s="35">
        <f>IF($F500="","",IFERROR(INDEX(사건마스터!$AL$5:$AL$64,MATCH($F500,사건마스터!$A$5:$A$64,0)),""))</f>
        <v/>
      </c>
      <c r="O500" s="35">
        <f>IF($F500="","",IFERROR(INDEX(사건마스터!$AM$5:$AM$64,MATCH($F500,사건마스터!$A$5:$A$64,0)),""))</f>
        <v/>
      </c>
      <c r="P500" s="35">
        <f>IF($F500="","",IFERROR(INDEX(사건마스터!$AN$5:$AN$64,MATCH($F500,사건마스터!$A$5:$A$64,0)),""))</f>
        <v/>
      </c>
      <c r="Q500" s="35">
        <f>IF($F500="","",IFERROR(INDEX(사건마스터!$AO$5:$AO$64,MATCH($F500,사건마스터!$A$5:$A$64,0)),""))</f>
        <v/>
      </c>
      <c r="R500" s="35">
        <f>IF($F500="","",IFERROR(INDEX(사건마스터!$AP$5:$AP$64,MATCH($F500,사건마스터!$A$5:$A$64,0)),""))</f>
        <v/>
      </c>
      <c r="S500" s="35">
        <f>IF($F500="","",IFERROR(INDEX(사건마스터!$AQ$5:$AQ$64,MATCH($F500,사건마스터!$A$5:$A$64,0)),""))</f>
        <v/>
      </c>
      <c r="T500" s="35">
        <f>IF($F500="","",IFERROR(INDEX(사건마스터!$AR$5:$AR$64,MATCH($F500,사건마스터!$A$5:$A$64,0)),""))</f>
        <v/>
      </c>
      <c r="U500" s="35">
        <f>IF($F500="","",IFERROR(INDEX(사건마스터!$AS$5:$AS$64,MATCH($F500,사건마스터!$A$5:$A$64,0)),""))</f>
        <v/>
      </c>
      <c r="V500" s="35">
        <f>IF($F500="","",IFERROR(INDEX(사건마스터!$AT$5:$AT$64,MATCH($F500,사건마스터!$A$5:$A$64,0)),""))</f>
        <v/>
      </c>
      <c r="W500" s="35">
        <f>IF($F500="","",IFERROR(INDEX(사건마스터!$AU$5:$AU$64,MATCH($F500,사건마스터!$A$5:$A$64,0)),""))</f>
        <v/>
      </c>
      <c r="X500" s="35">
        <f>IF($F500="","",IFERROR(INDEX(사건마스터!$AV$5:$AV$64,MATCH($F500,사건마스터!$A$5:$A$64,0)),""))</f>
        <v/>
      </c>
      <c r="Y500" s="30">
        <f>IF($I500="","",COUNTIF($I500:$X500,"?*"))</f>
        <v/>
      </c>
      <c r="Z500" s="33">
        <f>IF($I500="","",_xlfn.TEXTJOIN(", ",TRUE,$I500:$X500))</f>
        <v/>
      </c>
      <c r="AA500" s="34">
        <f>IF($I500="","",IFERROR(INDEX(코드설정!$D$5:$D$24,MATCH($I500,코드설정!$C$5:$C$24,0)),""))</f>
        <v/>
      </c>
      <c r="AB500" s="36" t="n"/>
      <c r="AC500" s="37" t="n"/>
      <c r="AD500" s="38" t="n"/>
      <c r="AE500" s="30">
        <f>IF(OR($B500="",$C500=""),"",$C500-$B500+1)</f>
        <v/>
      </c>
      <c r="AF500" s="32" t="n"/>
      <c r="AG500" s="36" t="n"/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3">
        <f>IF($F501="","",IFERROR(INDEX(사건마스터!$B$5:$B$64,MATCH($F501,사건마스터!$A$5:$A$64,0)),""))</f>
        <v/>
      </c>
      <c r="H501" s="34">
        <f>IF($F501="","",IFERROR(INDEX(사건마스터!$C$5:$C$64,MATCH($F501,사건마스터!$A$5:$A$64,0)),""))</f>
        <v/>
      </c>
      <c r="I501" s="35">
        <f>IF($F501="","",IFERROR(INDEX(사건마스터!$H$5:$H$64,MATCH($F501,사건마스터!$A$5:$A$64,0)),""))</f>
        <v/>
      </c>
      <c r="J501" s="35">
        <f>IF($F501="","",IFERROR(INDEX(사건마스터!$AH$5:$AH$64,MATCH($F501,사건마스터!$A$5:$A$64,0)),""))</f>
        <v/>
      </c>
      <c r="K501" s="35">
        <f>IF($F501="","",IFERROR(INDEX(사건마스터!$AI$5:$AI$64,MATCH($F501,사건마스터!$A$5:$A$64,0)),""))</f>
        <v/>
      </c>
      <c r="L501" s="35">
        <f>IF($F501="","",IFERROR(INDEX(사건마스터!$AJ$5:$AJ$64,MATCH($F501,사건마스터!$A$5:$A$64,0)),""))</f>
        <v/>
      </c>
      <c r="M501" s="35">
        <f>IF($F501="","",IFERROR(INDEX(사건마스터!$AK$5:$AK$64,MATCH($F501,사건마스터!$A$5:$A$64,0)),""))</f>
        <v/>
      </c>
      <c r="N501" s="35">
        <f>IF($F501="","",IFERROR(INDEX(사건마스터!$AL$5:$AL$64,MATCH($F501,사건마스터!$A$5:$A$64,0)),""))</f>
        <v/>
      </c>
      <c r="O501" s="35">
        <f>IF($F501="","",IFERROR(INDEX(사건마스터!$AM$5:$AM$64,MATCH($F501,사건마스터!$A$5:$A$64,0)),""))</f>
        <v/>
      </c>
      <c r="P501" s="35">
        <f>IF($F501="","",IFERROR(INDEX(사건마스터!$AN$5:$AN$64,MATCH($F501,사건마스터!$A$5:$A$64,0)),""))</f>
        <v/>
      </c>
      <c r="Q501" s="35">
        <f>IF($F501="","",IFERROR(INDEX(사건마스터!$AO$5:$AO$64,MATCH($F501,사건마스터!$A$5:$A$64,0)),""))</f>
        <v/>
      </c>
      <c r="R501" s="35">
        <f>IF($F501="","",IFERROR(INDEX(사건마스터!$AP$5:$AP$64,MATCH($F501,사건마스터!$A$5:$A$64,0)),""))</f>
        <v/>
      </c>
      <c r="S501" s="35">
        <f>IF($F501="","",IFERROR(INDEX(사건마스터!$AQ$5:$AQ$64,MATCH($F501,사건마스터!$A$5:$A$64,0)),""))</f>
        <v/>
      </c>
      <c r="T501" s="35">
        <f>IF($F501="","",IFERROR(INDEX(사건마스터!$AR$5:$AR$64,MATCH($F501,사건마스터!$A$5:$A$64,0)),""))</f>
        <v/>
      </c>
      <c r="U501" s="35">
        <f>IF($F501="","",IFERROR(INDEX(사건마스터!$AS$5:$AS$64,MATCH($F501,사건마스터!$A$5:$A$64,0)),""))</f>
        <v/>
      </c>
      <c r="V501" s="35">
        <f>IF($F501="","",IFERROR(INDEX(사건마스터!$AT$5:$AT$64,MATCH($F501,사건마스터!$A$5:$A$64,0)),""))</f>
        <v/>
      </c>
      <c r="W501" s="35">
        <f>IF($F501="","",IFERROR(INDEX(사건마스터!$AU$5:$AU$64,MATCH($F501,사건마스터!$A$5:$A$64,0)),""))</f>
        <v/>
      </c>
      <c r="X501" s="35">
        <f>IF($F501="","",IFERROR(INDEX(사건마스터!$AV$5:$AV$64,MATCH($F501,사건마스터!$A$5:$A$64,0)),""))</f>
        <v/>
      </c>
      <c r="Y501" s="30">
        <f>IF($I501="","",COUNTIF($I501:$X501,"?*"))</f>
        <v/>
      </c>
      <c r="Z501" s="33">
        <f>IF($I501="","",_xlfn.TEXTJOIN(", ",TRUE,$I501:$X501))</f>
        <v/>
      </c>
      <c r="AA501" s="34">
        <f>IF($I501="","",IFERROR(INDEX(코드설정!$D$5:$D$24,MATCH($I501,코드설정!$C$5:$C$24,0)),""))</f>
        <v/>
      </c>
      <c r="AB501" s="36" t="n"/>
      <c r="AC501" s="37" t="n"/>
      <c r="AD501" s="38" t="n"/>
      <c r="AE501" s="30">
        <f>IF(OR($B501="",$C501=""),"",$C501-$B501+1)</f>
        <v/>
      </c>
      <c r="AF501" s="32" t="n"/>
      <c r="AG501" s="36" t="n"/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3">
        <f>IF($F502="","",IFERROR(INDEX(사건마스터!$B$5:$B$64,MATCH($F502,사건마스터!$A$5:$A$64,0)),""))</f>
        <v/>
      </c>
      <c r="H502" s="34">
        <f>IF($F502="","",IFERROR(INDEX(사건마스터!$C$5:$C$64,MATCH($F502,사건마스터!$A$5:$A$64,0)),""))</f>
        <v/>
      </c>
      <c r="I502" s="35">
        <f>IF($F502="","",IFERROR(INDEX(사건마스터!$H$5:$H$64,MATCH($F502,사건마스터!$A$5:$A$64,0)),""))</f>
        <v/>
      </c>
      <c r="J502" s="35">
        <f>IF($F502="","",IFERROR(INDEX(사건마스터!$AH$5:$AH$64,MATCH($F502,사건마스터!$A$5:$A$64,0)),""))</f>
        <v/>
      </c>
      <c r="K502" s="35">
        <f>IF($F502="","",IFERROR(INDEX(사건마스터!$AI$5:$AI$64,MATCH($F502,사건마스터!$A$5:$A$64,0)),""))</f>
        <v/>
      </c>
      <c r="L502" s="35">
        <f>IF($F502="","",IFERROR(INDEX(사건마스터!$AJ$5:$AJ$64,MATCH($F502,사건마스터!$A$5:$A$64,0)),""))</f>
        <v/>
      </c>
      <c r="M502" s="35">
        <f>IF($F502="","",IFERROR(INDEX(사건마스터!$AK$5:$AK$64,MATCH($F502,사건마스터!$A$5:$A$64,0)),""))</f>
        <v/>
      </c>
      <c r="N502" s="35">
        <f>IF($F502="","",IFERROR(INDEX(사건마스터!$AL$5:$AL$64,MATCH($F502,사건마스터!$A$5:$A$64,0)),""))</f>
        <v/>
      </c>
      <c r="O502" s="35">
        <f>IF($F502="","",IFERROR(INDEX(사건마스터!$AM$5:$AM$64,MATCH($F502,사건마스터!$A$5:$A$64,0)),""))</f>
        <v/>
      </c>
      <c r="P502" s="35">
        <f>IF($F502="","",IFERROR(INDEX(사건마스터!$AN$5:$AN$64,MATCH($F502,사건마스터!$A$5:$A$64,0)),""))</f>
        <v/>
      </c>
      <c r="Q502" s="35">
        <f>IF($F502="","",IFERROR(INDEX(사건마스터!$AO$5:$AO$64,MATCH($F502,사건마스터!$A$5:$A$64,0)),""))</f>
        <v/>
      </c>
      <c r="R502" s="35">
        <f>IF($F502="","",IFERROR(INDEX(사건마스터!$AP$5:$AP$64,MATCH($F502,사건마스터!$A$5:$A$64,0)),""))</f>
        <v/>
      </c>
      <c r="S502" s="35">
        <f>IF($F502="","",IFERROR(INDEX(사건마스터!$AQ$5:$AQ$64,MATCH($F502,사건마스터!$A$5:$A$64,0)),""))</f>
        <v/>
      </c>
      <c r="T502" s="35">
        <f>IF($F502="","",IFERROR(INDEX(사건마스터!$AR$5:$AR$64,MATCH($F502,사건마스터!$A$5:$A$64,0)),""))</f>
        <v/>
      </c>
      <c r="U502" s="35">
        <f>IF($F502="","",IFERROR(INDEX(사건마스터!$AS$5:$AS$64,MATCH($F502,사건마스터!$A$5:$A$64,0)),""))</f>
        <v/>
      </c>
      <c r="V502" s="35">
        <f>IF($F502="","",IFERROR(INDEX(사건마스터!$AT$5:$AT$64,MATCH($F502,사건마스터!$A$5:$A$64,0)),""))</f>
        <v/>
      </c>
      <c r="W502" s="35">
        <f>IF($F502="","",IFERROR(INDEX(사건마스터!$AU$5:$AU$64,MATCH($F502,사건마스터!$A$5:$A$64,0)),""))</f>
        <v/>
      </c>
      <c r="X502" s="35">
        <f>IF($F502="","",IFERROR(INDEX(사건마스터!$AV$5:$AV$64,MATCH($F502,사건마스터!$A$5:$A$64,0)),""))</f>
        <v/>
      </c>
      <c r="Y502" s="30">
        <f>IF($I502="","",COUNTIF($I502:$X502,"?*"))</f>
        <v/>
      </c>
      <c r="Z502" s="33">
        <f>IF($I502="","",_xlfn.TEXTJOIN(", ",TRUE,$I502:$X502))</f>
        <v/>
      </c>
      <c r="AA502" s="34">
        <f>IF($I502="","",IFERROR(INDEX(코드설정!$D$5:$D$24,MATCH($I502,코드설정!$C$5:$C$24,0)),""))</f>
        <v/>
      </c>
      <c r="AB502" s="36" t="n"/>
      <c r="AC502" s="37" t="n"/>
      <c r="AD502" s="38" t="n"/>
      <c r="AE502" s="30">
        <f>IF(OR($B502="",$C502=""),"",$C502-$B502+1)</f>
        <v/>
      </c>
      <c r="AF502" s="32" t="n"/>
      <c r="AG502" s="36" t="n"/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3">
        <f>IF($F503="","",IFERROR(INDEX(사건마스터!$B$5:$B$64,MATCH($F503,사건마스터!$A$5:$A$64,0)),""))</f>
        <v/>
      </c>
      <c r="H503" s="34">
        <f>IF($F503="","",IFERROR(INDEX(사건마스터!$C$5:$C$64,MATCH($F503,사건마스터!$A$5:$A$64,0)),""))</f>
        <v/>
      </c>
      <c r="I503" s="35">
        <f>IF($F503="","",IFERROR(INDEX(사건마스터!$H$5:$H$64,MATCH($F503,사건마스터!$A$5:$A$64,0)),""))</f>
        <v/>
      </c>
      <c r="J503" s="35">
        <f>IF($F503="","",IFERROR(INDEX(사건마스터!$AH$5:$AH$64,MATCH($F503,사건마스터!$A$5:$A$64,0)),""))</f>
        <v/>
      </c>
      <c r="K503" s="35">
        <f>IF($F503="","",IFERROR(INDEX(사건마스터!$AI$5:$AI$64,MATCH($F503,사건마스터!$A$5:$A$64,0)),""))</f>
        <v/>
      </c>
      <c r="L503" s="35">
        <f>IF($F503="","",IFERROR(INDEX(사건마스터!$AJ$5:$AJ$64,MATCH($F503,사건마스터!$A$5:$A$64,0)),""))</f>
        <v/>
      </c>
      <c r="M503" s="35">
        <f>IF($F503="","",IFERROR(INDEX(사건마스터!$AK$5:$AK$64,MATCH($F503,사건마스터!$A$5:$A$64,0)),""))</f>
        <v/>
      </c>
      <c r="N503" s="35">
        <f>IF($F503="","",IFERROR(INDEX(사건마스터!$AL$5:$AL$64,MATCH($F503,사건마스터!$A$5:$A$64,0)),""))</f>
        <v/>
      </c>
      <c r="O503" s="35">
        <f>IF($F503="","",IFERROR(INDEX(사건마스터!$AM$5:$AM$64,MATCH($F503,사건마스터!$A$5:$A$64,0)),""))</f>
        <v/>
      </c>
      <c r="P503" s="35">
        <f>IF($F503="","",IFERROR(INDEX(사건마스터!$AN$5:$AN$64,MATCH($F503,사건마스터!$A$5:$A$64,0)),""))</f>
        <v/>
      </c>
      <c r="Q503" s="35">
        <f>IF($F503="","",IFERROR(INDEX(사건마스터!$AO$5:$AO$64,MATCH($F503,사건마스터!$A$5:$A$64,0)),""))</f>
        <v/>
      </c>
      <c r="R503" s="35">
        <f>IF($F503="","",IFERROR(INDEX(사건마스터!$AP$5:$AP$64,MATCH($F503,사건마스터!$A$5:$A$64,0)),""))</f>
        <v/>
      </c>
      <c r="S503" s="35">
        <f>IF($F503="","",IFERROR(INDEX(사건마스터!$AQ$5:$AQ$64,MATCH($F503,사건마스터!$A$5:$A$64,0)),""))</f>
        <v/>
      </c>
      <c r="T503" s="35">
        <f>IF($F503="","",IFERROR(INDEX(사건마스터!$AR$5:$AR$64,MATCH($F503,사건마스터!$A$5:$A$64,0)),""))</f>
        <v/>
      </c>
      <c r="U503" s="35">
        <f>IF($F503="","",IFERROR(INDEX(사건마스터!$AS$5:$AS$64,MATCH($F503,사건마스터!$A$5:$A$64,0)),""))</f>
        <v/>
      </c>
      <c r="V503" s="35">
        <f>IF($F503="","",IFERROR(INDEX(사건마스터!$AT$5:$AT$64,MATCH($F503,사건마스터!$A$5:$A$64,0)),""))</f>
        <v/>
      </c>
      <c r="W503" s="35">
        <f>IF($F503="","",IFERROR(INDEX(사건마스터!$AU$5:$AU$64,MATCH($F503,사건마스터!$A$5:$A$64,0)),""))</f>
        <v/>
      </c>
      <c r="X503" s="35">
        <f>IF($F503="","",IFERROR(INDEX(사건마스터!$AV$5:$AV$64,MATCH($F503,사건마스터!$A$5:$A$64,0)),""))</f>
        <v/>
      </c>
      <c r="Y503" s="30">
        <f>IF($I503="","",COUNTIF($I503:$X503,"?*"))</f>
        <v/>
      </c>
      <c r="Z503" s="33">
        <f>IF($I503="","",_xlfn.TEXTJOIN(", ",TRUE,$I503:$X503))</f>
        <v/>
      </c>
      <c r="AA503" s="34">
        <f>IF($I503="","",IFERROR(INDEX(코드설정!$D$5:$D$24,MATCH($I503,코드설정!$C$5:$C$24,0)),""))</f>
        <v/>
      </c>
      <c r="AB503" s="36" t="n"/>
      <c r="AC503" s="37" t="n"/>
      <c r="AD503" s="38" t="n"/>
      <c r="AE503" s="30">
        <f>IF(OR($B503="",$C503=""),"",$C503-$B503+1)</f>
        <v/>
      </c>
      <c r="AF503" s="32" t="n"/>
      <c r="AG503" s="36" t="n"/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3">
        <f>IF($F504="","",IFERROR(INDEX(사건마스터!$B$5:$B$64,MATCH($F504,사건마스터!$A$5:$A$64,0)),""))</f>
        <v/>
      </c>
      <c r="H504" s="34">
        <f>IF($F504="","",IFERROR(INDEX(사건마스터!$C$5:$C$64,MATCH($F504,사건마스터!$A$5:$A$64,0)),""))</f>
        <v/>
      </c>
      <c r="I504" s="35">
        <f>IF($F504="","",IFERROR(INDEX(사건마스터!$H$5:$H$64,MATCH($F504,사건마스터!$A$5:$A$64,0)),""))</f>
        <v/>
      </c>
      <c r="J504" s="35">
        <f>IF($F504="","",IFERROR(INDEX(사건마스터!$AH$5:$AH$64,MATCH($F504,사건마스터!$A$5:$A$64,0)),""))</f>
        <v/>
      </c>
      <c r="K504" s="35">
        <f>IF($F504="","",IFERROR(INDEX(사건마스터!$AI$5:$AI$64,MATCH($F504,사건마스터!$A$5:$A$64,0)),""))</f>
        <v/>
      </c>
      <c r="L504" s="35">
        <f>IF($F504="","",IFERROR(INDEX(사건마스터!$AJ$5:$AJ$64,MATCH($F504,사건마스터!$A$5:$A$64,0)),""))</f>
        <v/>
      </c>
      <c r="M504" s="35">
        <f>IF($F504="","",IFERROR(INDEX(사건마스터!$AK$5:$AK$64,MATCH($F504,사건마스터!$A$5:$A$64,0)),""))</f>
        <v/>
      </c>
      <c r="N504" s="35">
        <f>IF($F504="","",IFERROR(INDEX(사건마스터!$AL$5:$AL$64,MATCH($F504,사건마스터!$A$5:$A$64,0)),""))</f>
        <v/>
      </c>
      <c r="O504" s="35">
        <f>IF($F504="","",IFERROR(INDEX(사건마스터!$AM$5:$AM$64,MATCH($F504,사건마스터!$A$5:$A$64,0)),""))</f>
        <v/>
      </c>
      <c r="P504" s="35">
        <f>IF($F504="","",IFERROR(INDEX(사건마스터!$AN$5:$AN$64,MATCH($F504,사건마스터!$A$5:$A$64,0)),""))</f>
        <v/>
      </c>
      <c r="Q504" s="35">
        <f>IF($F504="","",IFERROR(INDEX(사건마스터!$AO$5:$AO$64,MATCH($F504,사건마스터!$A$5:$A$64,0)),""))</f>
        <v/>
      </c>
      <c r="R504" s="35">
        <f>IF($F504="","",IFERROR(INDEX(사건마스터!$AP$5:$AP$64,MATCH($F504,사건마스터!$A$5:$A$64,0)),""))</f>
        <v/>
      </c>
      <c r="S504" s="35">
        <f>IF($F504="","",IFERROR(INDEX(사건마스터!$AQ$5:$AQ$64,MATCH($F504,사건마스터!$A$5:$A$64,0)),""))</f>
        <v/>
      </c>
      <c r="T504" s="35">
        <f>IF($F504="","",IFERROR(INDEX(사건마스터!$AR$5:$AR$64,MATCH($F504,사건마스터!$A$5:$A$64,0)),""))</f>
        <v/>
      </c>
      <c r="U504" s="35">
        <f>IF($F504="","",IFERROR(INDEX(사건마스터!$AS$5:$AS$64,MATCH($F504,사건마스터!$A$5:$A$64,0)),""))</f>
        <v/>
      </c>
      <c r="V504" s="35">
        <f>IF($F504="","",IFERROR(INDEX(사건마스터!$AT$5:$AT$64,MATCH($F504,사건마스터!$A$5:$A$64,0)),""))</f>
        <v/>
      </c>
      <c r="W504" s="35">
        <f>IF($F504="","",IFERROR(INDEX(사건마스터!$AU$5:$AU$64,MATCH($F504,사건마스터!$A$5:$A$64,0)),""))</f>
        <v/>
      </c>
      <c r="X504" s="35">
        <f>IF($F504="","",IFERROR(INDEX(사건마스터!$AV$5:$AV$64,MATCH($F504,사건마스터!$A$5:$A$64,0)),""))</f>
        <v/>
      </c>
      <c r="Y504" s="30">
        <f>IF($I504="","",COUNTIF($I504:$X504,"?*"))</f>
        <v/>
      </c>
      <c r="Z504" s="33">
        <f>IF($I504="","",_xlfn.TEXTJOIN(", ",TRUE,$I504:$X504))</f>
        <v/>
      </c>
      <c r="AA504" s="34">
        <f>IF($I504="","",IFERROR(INDEX(코드설정!$D$5:$D$24,MATCH($I504,코드설정!$C$5:$C$24,0)),""))</f>
        <v/>
      </c>
      <c r="AB504" s="36" t="n"/>
      <c r="AC504" s="37" t="n"/>
      <c r="AD504" s="38" t="n"/>
      <c r="AE504" s="30">
        <f>IF(OR($B504="",$C504=""),"",$C504-$B504+1)</f>
        <v/>
      </c>
      <c r="AF504" s="32" t="n"/>
      <c r="AG504" s="36" t="n"/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3">
        <f>IF($F505="","",IFERROR(INDEX(사건마스터!$B$5:$B$64,MATCH($F505,사건마스터!$A$5:$A$64,0)),""))</f>
        <v/>
      </c>
      <c r="H505" s="34">
        <f>IF($F505="","",IFERROR(INDEX(사건마스터!$C$5:$C$64,MATCH($F505,사건마스터!$A$5:$A$64,0)),""))</f>
        <v/>
      </c>
      <c r="I505" s="35">
        <f>IF($F505="","",IFERROR(INDEX(사건마스터!$H$5:$H$64,MATCH($F505,사건마스터!$A$5:$A$64,0)),""))</f>
        <v/>
      </c>
      <c r="J505" s="35">
        <f>IF($F505="","",IFERROR(INDEX(사건마스터!$AH$5:$AH$64,MATCH($F505,사건마스터!$A$5:$A$64,0)),""))</f>
        <v/>
      </c>
      <c r="K505" s="35">
        <f>IF($F505="","",IFERROR(INDEX(사건마스터!$AI$5:$AI$64,MATCH($F505,사건마스터!$A$5:$A$64,0)),""))</f>
        <v/>
      </c>
      <c r="L505" s="35">
        <f>IF($F505="","",IFERROR(INDEX(사건마스터!$AJ$5:$AJ$64,MATCH($F505,사건마스터!$A$5:$A$64,0)),""))</f>
        <v/>
      </c>
      <c r="M505" s="35">
        <f>IF($F505="","",IFERROR(INDEX(사건마스터!$AK$5:$AK$64,MATCH($F505,사건마스터!$A$5:$A$64,0)),""))</f>
        <v/>
      </c>
      <c r="N505" s="35">
        <f>IF($F505="","",IFERROR(INDEX(사건마스터!$AL$5:$AL$64,MATCH($F505,사건마스터!$A$5:$A$64,0)),""))</f>
        <v/>
      </c>
      <c r="O505" s="35">
        <f>IF($F505="","",IFERROR(INDEX(사건마스터!$AM$5:$AM$64,MATCH($F505,사건마스터!$A$5:$A$64,0)),""))</f>
        <v/>
      </c>
      <c r="P505" s="35">
        <f>IF($F505="","",IFERROR(INDEX(사건마스터!$AN$5:$AN$64,MATCH($F505,사건마스터!$A$5:$A$64,0)),""))</f>
        <v/>
      </c>
      <c r="Q505" s="35">
        <f>IF($F505="","",IFERROR(INDEX(사건마스터!$AO$5:$AO$64,MATCH($F505,사건마스터!$A$5:$A$64,0)),""))</f>
        <v/>
      </c>
      <c r="R505" s="35">
        <f>IF($F505="","",IFERROR(INDEX(사건마스터!$AP$5:$AP$64,MATCH($F505,사건마스터!$A$5:$A$64,0)),""))</f>
        <v/>
      </c>
      <c r="S505" s="35">
        <f>IF($F505="","",IFERROR(INDEX(사건마스터!$AQ$5:$AQ$64,MATCH($F505,사건마스터!$A$5:$A$64,0)),""))</f>
        <v/>
      </c>
      <c r="T505" s="35">
        <f>IF($F505="","",IFERROR(INDEX(사건마스터!$AR$5:$AR$64,MATCH($F505,사건마스터!$A$5:$A$64,0)),""))</f>
        <v/>
      </c>
      <c r="U505" s="35">
        <f>IF($F505="","",IFERROR(INDEX(사건마스터!$AS$5:$AS$64,MATCH($F505,사건마스터!$A$5:$A$64,0)),""))</f>
        <v/>
      </c>
      <c r="V505" s="35">
        <f>IF($F505="","",IFERROR(INDEX(사건마스터!$AT$5:$AT$64,MATCH($F505,사건마스터!$A$5:$A$64,0)),""))</f>
        <v/>
      </c>
      <c r="W505" s="35">
        <f>IF($F505="","",IFERROR(INDEX(사건마스터!$AU$5:$AU$64,MATCH($F505,사건마스터!$A$5:$A$64,0)),""))</f>
        <v/>
      </c>
      <c r="X505" s="35">
        <f>IF($F505="","",IFERROR(INDEX(사건마스터!$AV$5:$AV$64,MATCH($F505,사건마스터!$A$5:$A$64,0)),""))</f>
        <v/>
      </c>
      <c r="Y505" s="30">
        <f>IF($I505="","",COUNTIF($I505:$X505,"?*"))</f>
        <v/>
      </c>
      <c r="Z505" s="33">
        <f>IF($I505="","",_xlfn.TEXTJOIN(", ",TRUE,$I505:$X505))</f>
        <v/>
      </c>
      <c r="AA505" s="34">
        <f>IF($I505="","",IFERROR(INDEX(코드설정!$D$5:$D$24,MATCH($I505,코드설정!$C$5:$C$24,0)),""))</f>
        <v/>
      </c>
      <c r="AB505" s="36" t="n"/>
      <c r="AC505" s="37" t="n"/>
      <c r="AD505" s="38" t="n"/>
      <c r="AE505" s="30">
        <f>IF(OR($B505="",$C505=""),"",$C505-$B505+1)</f>
        <v/>
      </c>
      <c r="AF505" s="32" t="n"/>
      <c r="AG505" s="36" t="n"/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3">
        <f>IF($F506="","",IFERROR(INDEX(사건마스터!$B$5:$B$64,MATCH($F506,사건마스터!$A$5:$A$64,0)),""))</f>
        <v/>
      </c>
      <c r="H506" s="34">
        <f>IF($F506="","",IFERROR(INDEX(사건마스터!$C$5:$C$64,MATCH($F506,사건마스터!$A$5:$A$64,0)),""))</f>
        <v/>
      </c>
      <c r="I506" s="35">
        <f>IF($F506="","",IFERROR(INDEX(사건마스터!$H$5:$H$64,MATCH($F506,사건마스터!$A$5:$A$64,0)),""))</f>
        <v/>
      </c>
      <c r="J506" s="35">
        <f>IF($F506="","",IFERROR(INDEX(사건마스터!$AH$5:$AH$64,MATCH($F506,사건마스터!$A$5:$A$64,0)),""))</f>
        <v/>
      </c>
      <c r="K506" s="35">
        <f>IF($F506="","",IFERROR(INDEX(사건마스터!$AI$5:$AI$64,MATCH($F506,사건마스터!$A$5:$A$64,0)),""))</f>
        <v/>
      </c>
      <c r="L506" s="35">
        <f>IF($F506="","",IFERROR(INDEX(사건마스터!$AJ$5:$AJ$64,MATCH($F506,사건마스터!$A$5:$A$64,0)),""))</f>
        <v/>
      </c>
      <c r="M506" s="35">
        <f>IF($F506="","",IFERROR(INDEX(사건마스터!$AK$5:$AK$64,MATCH($F506,사건마스터!$A$5:$A$64,0)),""))</f>
        <v/>
      </c>
      <c r="N506" s="35">
        <f>IF($F506="","",IFERROR(INDEX(사건마스터!$AL$5:$AL$64,MATCH($F506,사건마스터!$A$5:$A$64,0)),""))</f>
        <v/>
      </c>
      <c r="O506" s="35">
        <f>IF($F506="","",IFERROR(INDEX(사건마스터!$AM$5:$AM$64,MATCH($F506,사건마스터!$A$5:$A$64,0)),""))</f>
        <v/>
      </c>
      <c r="P506" s="35">
        <f>IF($F506="","",IFERROR(INDEX(사건마스터!$AN$5:$AN$64,MATCH($F506,사건마스터!$A$5:$A$64,0)),""))</f>
        <v/>
      </c>
      <c r="Q506" s="35">
        <f>IF($F506="","",IFERROR(INDEX(사건마스터!$AO$5:$AO$64,MATCH($F506,사건마스터!$A$5:$A$64,0)),""))</f>
        <v/>
      </c>
      <c r="R506" s="35">
        <f>IF($F506="","",IFERROR(INDEX(사건마스터!$AP$5:$AP$64,MATCH($F506,사건마스터!$A$5:$A$64,0)),""))</f>
        <v/>
      </c>
      <c r="S506" s="35">
        <f>IF($F506="","",IFERROR(INDEX(사건마스터!$AQ$5:$AQ$64,MATCH($F506,사건마스터!$A$5:$A$64,0)),""))</f>
        <v/>
      </c>
      <c r="T506" s="35">
        <f>IF($F506="","",IFERROR(INDEX(사건마스터!$AR$5:$AR$64,MATCH($F506,사건마스터!$A$5:$A$64,0)),""))</f>
        <v/>
      </c>
      <c r="U506" s="35">
        <f>IF($F506="","",IFERROR(INDEX(사건마스터!$AS$5:$AS$64,MATCH($F506,사건마스터!$A$5:$A$64,0)),""))</f>
        <v/>
      </c>
      <c r="V506" s="35">
        <f>IF($F506="","",IFERROR(INDEX(사건마스터!$AT$5:$AT$64,MATCH($F506,사건마스터!$A$5:$A$64,0)),""))</f>
        <v/>
      </c>
      <c r="W506" s="35">
        <f>IF($F506="","",IFERROR(INDEX(사건마스터!$AU$5:$AU$64,MATCH($F506,사건마스터!$A$5:$A$64,0)),""))</f>
        <v/>
      </c>
      <c r="X506" s="35">
        <f>IF($F506="","",IFERROR(INDEX(사건마스터!$AV$5:$AV$64,MATCH($F506,사건마스터!$A$5:$A$64,0)),""))</f>
        <v/>
      </c>
      <c r="Y506" s="30">
        <f>IF($I506="","",COUNTIF($I506:$X506,"?*"))</f>
        <v/>
      </c>
      <c r="Z506" s="33">
        <f>IF($I506="","",_xlfn.TEXTJOIN(", ",TRUE,$I506:$X506))</f>
        <v/>
      </c>
      <c r="AA506" s="34">
        <f>IF($I506="","",IFERROR(INDEX(코드설정!$D$5:$D$24,MATCH($I506,코드설정!$C$5:$C$24,0)),""))</f>
        <v/>
      </c>
      <c r="AB506" s="36" t="n"/>
      <c r="AC506" s="37" t="n"/>
      <c r="AD506" s="38" t="n"/>
      <c r="AE506" s="30">
        <f>IF(OR($B506="",$C506=""),"",$C506-$B506+1)</f>
        <v/>
      </c>
      <c r="AF506" s="32" t="n"/>
      <c r="AG506" s="36" t="n"/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3">
        <f>IF($F507="","",IFERROR(INDEX(사건마스터!$B$5:$B$64,MATCH($F507,사건마스터!$A$5:$A$64,0)),""))</f>
        <v/>
      </c>
      <c r="H507" s="34">
        <f>IF($F507="","",IFERROR(INDEX(사건마스터!$C$5:$C$64,MATCH($F507,사건마스터!$A$5:$A$64,0)),""))</f>
        <v/>
      </c>
      <c r="I507" s="35">
        <f>IF($F507="","",IFERROR(INDEX(사건마스터!$H$5:$H$64,MATCH($F507,사건마스터!$A$5:$A$64,0)),""))</f>
        <v/>
      </c>
      <c r="J507" s="35">
        <f>IF($F507="","",IFERROR(INDEX(사건마스터!$AH$5:$AH$64,MATCH($F507,사건마스터!$A$5:$A$64,0)),""))</f>
        <v/>
      </c>
      <c r="K507" s="35">
        <f>IF($F507="","",IFERROR(INDEX(사건마스터!$AI$5:$AI$64,MATCH($F507,사건마스터!$A$5:$A$64,0)),""))</f>
        <v/>
      </c>
      <c r="L507" s="35">
        <f>IF($F507="","",IFERROR(INDEX(사건마스터!$AJ$5:$AJ$64,MATCH($F507,사건마스터!$A$5:$A$64,0)),""))</f>
        <v/>
      </c>
      <c r="M507" s="35">
        <f>IF($F507="","",IFERROR(INDEX(사건마스터!$AK$5:$AK$64,MATCH($F507,사건마스터!$A$5:$A$64,0)),""))</f>
        <v/>
      </c>
      <c r="N507" s="35">
        <f>IF($F507="","",IFERROR(INDEX(사건마스터!$AL$5:$AL$64,MATCH($F507,사건마스터!$A$5:$A$64,0)),""))</f>
        <v/>
      </c>
      <c r="O507" s="35">
        <f>IF($F507="","",IFERROR(INDEX(사건마스터!$AM$5:$AM$64,MATCH($F507,사건마스터!$A$5:$A$64,0)),""))</f>
        <v/>
      </c>
      <c r="P507" s="35">
        <f>IF($F507="","",IFERROR(INDEX(사건마스터!$AN$5:$AN$64,MATCH($F507,사건마스터!$A$5:$A$64,0)),""))</f>
        <v/>
      </c>
      <c r="Q507" s="35">
        <f>IF($F507="","",IFERROR(INDEX(사건마스터!$AO$5:$AO$64,MATCH($F507,사건마스터!$A$5:$A$64,0)),""))</f>
        <v/>
      </c>
      <c r="R507" s="35">
        <f>IF($F507="","",IFERROR(INDEX(사건마스터!$AP$5:$AP$64,MATCH($F507,사건마스터!$A$5:$A$64,0)),""))</f>
        <v/>
      </c>
      <c r="S507" s="35">
        <f>IF($F507="","",IFERROR(INDEX(사건마스터!$AQ$5:$AQ$64,MATCH($F507,사건마스터!$A$5:$A$64,0)),""))</f>
        <v/>
      </c>
      <c r="T507" s="35">
        <f>IF($F507="","",IFERROR(INDEX(사건마스터!$AR$5:$AR$64,MATCH($F507,사건마스터!$A$5:$A$64,0)),""))</f>
        <v/>
      </c>
      <c r="U507" s="35">
        <f>IF($F507="","",IFERROR(INDEX(사건마스터!$AS$5:$AS$64,MATCH($F507,사건마스터!$A$5:$A$64,0)),""))</f>
        <v/>
      </c>
      <c r="V507" s="35">
        <f>IF($F507="","",IFERROR(INDEX(사건마스터!$AT$5:$AT$64,MATCH($F507,사건마스터!$A$5:$A$64,0)),""))</f>
        <v/>
      </c>
      <c r="W507" s="35">
        <f>IF($F507="","",IFERROR(INDEX(사건마스터!$AU$5:$AU$64,MATCH($F507,사건마스터!$A$5:$A$64,0)),""))</f>
        <v/>
      </c>
      <c r="X507" s="35">
        <f>IF($F507="","",IFERROR(INDEX(사건마스터!$AV$5:$AV$64,MATCH($F507,사건마스터!$A$5:$A$64,0)),""))</f>
        <v/>
      </c>
      <c r="Y507" s="30">
        <f>IF($I507="","",COUNTIF($I507:$X507,"?*"))</f>
        <v/>
      </c>
      <c r="Z507" s="33">
        <f>IF($I507="","",_xlfn.TEXTJOIN(", ",TRUE,$I507:$X507))</f>
        <v/>
      </c>
      <c r="AA507" s="34">
        <f>IF($I507="","",IFERROR(INDEX(코드설정!$D$5:$D$24,MATCH($I507,코드설정!$C$5:$C$24,0)),""))</f>
        <v/>
      </c>
      <c r="AB507" s="36" t="n"/>
      <c r="AC507" s="37" t="n"/>
      <c r="AD507" s="38" t="n"/>
      <c r="AE507" s="30">
        <f>IF(OR($B507="",$C507=""),"",$C507-$B507+1)</f>
        <v/>
      </c>
      <c r="AF507" s="32" t="n"/>
      <c r="AG507" s="36" t="n"/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3">
        <f>IF($F508="","",IFERROR(INDEX(사건마스터!$B$5:$B$64,MATCH($F508,사건마스터!$A$5:$A$64,0)),""))</f>
        <v/>
      </c>
      <c r="H508" s="34">
        <f>IF($F508="","",IFERROR(INDEX(사건마스터!$C$5:$C$64,MATCH($F508,사건마스터!$A$5:$A$64,0)),""))</f>
        <v/>
      </c>
      <c r="I508" s="35">
        <f>IF($F508="","",IFERROR(INDEX(사건마스터!$H$5:$H$64,MATCH($F508,사건마스터!$A$5:$A$64,0)),""))</f>
        <v/>
      </c>
      <c r="J508" s="35">
        <f>IF($F508="","",IFERROR(INDEX(사건마스터!$AH$5:$AH$64,MATCH($F508,사건마스터!$A$5:$A$64,0)),""))</f>
        <v/>
      </c>
      <c r="K508" s="35">
        <f>IF($F508="","",IFERROR(INDEX(사건마스터!$AI$5:$AI$64,MATCH($F508,사건마스터!$A$5:$A$64,0)),""))</f>
        <v/>
      </c>
      <c r="L508" s="35">
        <f>IF($F508="","",IFERROR(INDEX(사건마스터!$AJ$5:$AJ$64,MATCH($F508,사건마스터!$A$5:$A$64,0)),""))</f>
        <v/>
      </c>
      <c r="M508" s="35">
        <f>IF($F508="","",IFERROR(INDEX(사건마스터!$AK$5:$AK$64,MATCH($F508,사건마스터!$A$5:$A$64,0)),""))</f>
        <v/>
      </c>
      <c r="N508" s="35">
        <f>IF($F508="","",IFERROR(INDEX(사건마스터!$AL$5:$AL$64,MATCH($F508,사건마스터!$A$5:$A$64,0)),""))</f>
        <v/>
      </c>
      <c r="O508" s="35">
        <f>IF($F508="","",IFERROR(INDEX(사건마스터!$AM$5:$AM$64,MATCH($F508,사건마스터!$A$5:$A$64,0)),""))</f>
        <v/>
      </c>
      <c r="P508" s="35">
        <f>IF($F508="","",IFERROR(INDEX(사건마스터!$AN$5:$AN$64,MATCH($F508,사건마스터!$A$5:$A$64,0)),""))</f>
        <v/>
      </c>
      <c r="Q508" s="35">
        <f>IF($F508="","",IFERROR(INDEX(사건마스터!$AO$5:$AO$64,MATCH($F508,사건마스터!$A$5:$A$64,0)),""))</f>
        <v/>
      </c>
      <c r="R508" s="35">
        <f>IF($F508="","",IFERROR(INDEX(사건마스터!$AP$5:$AP$64,MATCH($F508,사건마스터!$A$5:$A$64,0)),""))</f>
        <v/>
      </c>
      <c r="S508" s="35">
        <f>IF($F508="","",IFERROR(INDEX(사건마스터!$AQ$5:$AQ$64,MATCH($F508,사건마스터!$A$5:$A$64,0)),""))</f>
        <v/>
      </c>
      <c r="T508" s="35">
        <f>IF($F508="","",IFERROR(INDEX(사건마스터!$AR$5:$AR$64,MATCH($F508,사건마스터!$A$5:$A$64,0)),""))</f>
        <v/>
      </c>
      <c r="U508" s="35">
        <f>IF($F508="","",IFERROR(INDEX(사건마스터!$AS$5:$AS$64,MATCH($F508,사건마스터!$A$5:$A$64,0)),""))</f>
        <v/>
      </c>
      <c r="V508" s="35">
        <f>IF($F508="","",IFERROR(INDEX(사건마스터!$AT$5:$AT$64,MATCH($F508,사건마스터!$A$5:$A$64,0)),""))</f>
        <v/>
      </c>
      <c r="W508" s="35">
        <f>IF($F508="","",IFERROR(INDEX(사건마스터!$AU$5:$AU$64,MATCH($F508,사건마스터!$A$5:$A$64,0)),""))</f>
        <v/>
      </c>
      <c r="X508" s="35">
        <f>IF($F508="","",IFERROR(INDEX(사건마스터!$AV$5:$AV$64,MATCH($F508,사건마스터!$A$5:$A$64,0)),""))</f>
        <v/>
      </c>
      <c r="Y508" s="30">
        <f>IF($I508="","",COUNTIF($I508:$X508,"?*"))</f>
        <v/>
      </c>
      <c r="Z508" s="33">
        <f>IF($I508="","",_xlfn.TEXTJOIN(", ",TRUE,$I508:$X508))</f>
        <v/>
      </c>
      <c r="AA508" s="34">
        <f>IF($I508="","",IFERROR(INDEX(코드설정!$D$5:$D$24,MATCH($I508,코드설정!$C$5:$C$24,0)),""))</f>
        <v/>
      </c>
      <c r="AB508" s="36" t="n"/>
      <c r="AC508" s="37" t="n"/>
      <c r="AD508" s="38" t="n"/>
      <c r="AE508" s="30">
        <f>IF(OR($B508="",$C508=""),"",$C508-$B508+1)</f>
        <v/>
      </c>
      <c r="AF508" s="32" t="n"/>
      <c r="AG508" s="36" t="n"/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3">
        <f>IF($F509="","",IFERROR(INDEX(사건마스터!$B$5:$B$64,MATCH($F509,사건마스터!$A$5:$A$64,0)),""))</f>
        <v/>
      </c>
      <c r="H509" s="34">
        <f>IF($F509="","",IFERROR(INDEX(사건마스터!$C$5:$C$64,MATCH($F509,사건마스터!$A$5:$A$64,0)),""))</f>
        <v/>
      </c>
      <c r="I509" s="35">
        <f>IF($F509="","",IFERROR(INDEX(사건마스터!$H$5:$H$64,MATCH($F509,사건마스터!$A$5:$A$64,0)),""))</f>
        <v/>
      </c>
      <c r="J509" s="35">
        <f>IF($F509="","",IFERROR(INDEX(사건마스터!$AH$5:$AH$64,MATCH($F509,사건마스터!$A$5:$A$64,0)),""))</f>
        <v/>
      </c>
      <c r="K509" s="35">
        <f>IF($F509="","",IFERROR(INDEX(사건마스터!$AI$5:$AI$64,MATCH($F509,사건마스터!$A$5:$A$64,0)),""))</f>
        <v/>
      </c>
      <c r="L509" s="35">
        <f>IF($F509="","",IFERROR(INDEX(사건마스터!$AJ$5:$AJ$64,MATCH($F509,사건마스터!$A$5:$A$64,0)),""))</f>
        <v/>
      </c>
      <c r="M509" s="35">
        <f>IF($F509="","",IFERROR(INDEX(사건마스터!$AK$5:$AK$64,MATCH($F509,사건마스터!$A$5:$A$64,0)),""))</f>
        <v/>
      </c>
      <c r="N509" s="35">
        <f>IF($F509="","",IFERROR(INDEX(사건마스터!$AL$5:$AL$64,MATCH($F509,사건마스터!$A$5:$A$64,0)),""))</f>
        <v/>
      </c>
      <c r="O509" s="35">
        <f>IF($F509="","",IFERROR(INDEX(사건마스터!$AM$5:$AM$64,MATCH($F509,사건마스터!$A$5:$A$64,0)),""))</f>
        <v/>
      </c>
      <c r="P509" s="35">
        <f>IF($F509="","",IFERROR(INDEX(사건마스터!$AN$5:$AN$64,MATCH($F509,사건마스터!$A$5:$A$64,0)),""))</f>
        <v/>
      </c>
      <c r="Q509" s="35">
        <f>IF($F509="","",IFERROR(INDEX(사건마스터!$AO$5:$AO$64,MATCH($F509,사건마스터!$A$5:$A$64,0)),""))</f>
        <v/>
      </c>
      <c r="R509" s="35">
        <f>IF($F509="","",IFERROR(INDEX(사건마스터!$AP$5:$AP$64,MATCH($F509,사건마스터!$A$5:$A$64,0)),""))</f>
        <v/>
      </c>
      <c r="S509" s="35">
        <f>IF($F509="","",IFERROR(INDEX(사건마스터!$AQ$5:$AQ$64,MATCH($F509,사건마스터!$A$5:$A$64,0)),""))</f>
        <v/>
      </c>
      <c r="T509" s="35">
        <f>IF($F509="","",IFERROR(INDEX(사건마스터!$AR$5:$AR$64,MATCH($F509,사건마스터!$A$5:$A$64,0)),""))</f>
        <v/>
      </c>
      <c r="U509" s="35">
        <f>IF($F509="","",IFERROR(INDEX(사건마스터!$AS$5:$AS$64,MATCH($F509,사건마스터!$A$5:$A$64,0)),""))</f>
        <v/>
      </c>
      <c r="V509" s="35">
        <f>IF($F509="","",IFERROR(INDEX(사건마스터!$AT$5:$AT$64,MATCH($F509,사건마스터!$A$5:$A$64,0)),""))</f>
        <v/>
      </c>
      <c r="W509" s="35">
        <f>IF($F509="","",IFERROR(INDEX(사건마스터!$AU$5:$AU$64,MATCH($F509,사건마스터!$A$5:$A$64,0)),""))</f>
        <v/>
      </c>
      <c r="X509" s="35">
        <f>IF($F509="","",IFERROR(INDEX(사건마스터!$AV$5:$AV$64,MATCH($F509,사건마스터!$A$5:$A$64,0)),""))</f>
        <v/>
      </c>
      <c r="Y509" s="30">
        <f>IF($I509="","",COUNTIF($I509:$X509,"?*"))</f>
        <v/>
      </c>
      <c r="Z509" s="33">
        <f>IF($I509="","",_xlfn.TEXTJOIN(", ",TRUE,$I509:$X509))</f>
        <v/>
      </c>
      <c r="AA509" s="34">
        <f>IF($I509="","",IFERROR(INDEX(코드설정!$D$5:$D$24,MATCH($I509,코드설정!$C$5:$C$24,0)),""))</f>
        <v/>
      </c>
      <c r="AB509" s="36" t="n"/>
      <c r="AC509" s="37" t="n"/>
      <c r="AD509" s="38" t="n"/>
      <c r="AE509" s="30">
        <f>IF(OR($B509="",$C509=""),"",$C509-$B509+1)</f>
        <v/>
      </c>
      <c r="AF509" s="32" t="n"/>
      <c r="AG509" s="36" t="n"/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3">
        <f>IF($F510="","",IFERROR(INDEX(사건마스터!$B$5:$B$64,MATCH($F510,사건마스터!$A$5:$A$64,0)),""))</f>
        <v/>
      </c>
      <c r="H510" s="34">
        <f>IF($F510="","",IFERROR(INDEX(사건마스터!$C$5:$C$64,MATCH($F510,사건마스터!$A$5:$A$64,0)),""))</f>
        <v/>
      </c>
      <c r="I510" s="35">
        <f>IF($F510="","",IFERROR(INDEX(사건마스터!$H$5:$H$64,MATCH($F510,사건마스터!$A$5:$A$64,0)),""))</f>
        <v/>
      </c>
      <c r="J510" s="35">
        <f>IF($F510="","",IFERROR(INDEX(사건마스터!$AH$5:$AH$64,MATCH($F510,사건마스터!$A$5:$A$64,0)),""))</f>
        <v/>
      </c>
      <c r="K510" s="35">
        <f>IF($F510="","",IFERROR(INDEX(사건마스터!$AI$5:$AI$64,MATCH($F510,사건마스터!$A$5:$A$64,0)),""))</f>
        <v/>
      </c>
      <c r="L510" s="35">
        <f>IF($F510="","",IFERROR(INDEX(사건마스터!$AJ$5:$AJ$64,MATCH($F510,사건마스터!$A$5:$A$64,0)),""))</f>
        <v/>
      </c>
      <c r="M510" s="35">
        <f>IF($F510="","",IFERROR(INDEX(사건마스터!$AK$5:$AK$64,MATCH($F510,사건마스터!$A$5:$A$64,0)),""))</f>
        <v/>
      </c>
      <c r="N510" s="35">
        <f>IF($F510="","",IFERROR(INDEX(사건마스터!$AL$5:$AL$64,MATCH($F510,사건마스터!$A$5:$A$64,0)),""))</f>
        <v/>
      </c>
      <c r="O510" s="35">
        <f>IF($F510="","",IFERROR(INDEX(사건마스터!$AM$5:$AM$64,MATCH($F510,사건마스터!$A$5:$A$64,0)),""))</f>
        <v/>
      </c>
      <c r="P510" s="35">
        <f>IF($F510="","",IFERROR(INDEX(사건마스터!$AN$5:$AN$64,MATCH($F510,사건마스터!$A$5:$A$64,0)),""))</f>
        <v/>
      </c>
      <c r="Q510" s="35">
        <f>IF($F510="","",IFERROR(INDEX(사건마스터!$AO$5:$AO$64,MATCH($F510,사건마스터!$A$5:$A$64,0)),""))</f>
        <v/>
      </c>
      <c r="R510" s="35">
        <f>IF($F510="","",IFERROR(INDEX(사건마스터!$AP$5:$AP$64,MATCH($F510,사건마스터!$A$5:$A$64,0)),""))</f>
        <v/>
      </c>
      <c r="S510" s="35">
        <f>IF($F510="","",IFERROR(INDEX(사건마스터!$AQ$5:$AQ$64,MATCH($F510,사건마스터!$A$5:$A$64,0)),""))</f>
        <v/>
      </c>
      <c r="T510" s="35">
        <f>IF($F510="","",IFERROR(INDEX(사건마스터!$AR$5:$AR$64,MATCH($F510,사건마스터!$A$5:$A$64,0)),""))</f>
        <v/>
      </c>
      <c r="U510" s="35">
        <f>IF($F510="","",IFERROR(INDEX(사건마스터!$AS$5:$AS$64,MATCH($F510,사건마스터!$A$5:$A$64,0)),""))</f>
        <v/>
      </c>
      <c r="V510" s="35">
        <f>IF($F510="","",IFERROR(INDEX(사건마스터!$AT$5:$AT$64,MATCH($F510,사건마스터!$A$5:$A$64,0)),""))</f>
        <v/>
      </c>
      <c r="W510" s="35">
        <f>IF($F510="","",IFERROR(INDEX(사건마스터!$AU$5:$AU$64,MATCH($F510,사건마스터!$A$5:$A$64,0)),""))</f>
        <v/>
      </c>
      <c r="X510" s="35">
        <f>IF($F510="","",IFERROR(INDEX(사건마스터!$AV$5:$AV$64,MATCH($F510,사건마스터!$A$5:$A$64,0)),""))</f>
        <v/>
      </c>
      <c r="Y510" s="30">
        <f>IF($I510="","",COUNTIF($I510:$X510,"?*"))</f>
        <v/>
      </c>
      <c r="Z510" s="33">
        <f>IF($I510="","",_xlfn.TEXTJOIN(", ",TRUE,$I510:$X510))</f>
        <v/>
      </c>
      <c r="AA510" s="34">
        <f>IF($I510="","",IFERROR(INDEX(코드설정!$D$5:$D$24,MATCH($I510,코드설정!$C$5:$C$24,0)),""))</f>
        <v/>
      </c>
      <c r="AB510" s="36" t="n"/>
      <c r="AC510" s="37" t="n"/>
      <c r="AD510" s="38" t="n"/>
      <c r="AE510" s="30">
        <f>IF(OR($B510="",$C510=""),"",$C510-$B510+1)</f>
        <v/>
      </c>
      <c r="AF510" s="32" t="n"/>
      <c r="AG510" s="36" t="n"/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3">
        <f>IF($F511="","",IFERROR(INDEX(사건마스터!$B$5:$B$64,MATCH($F511,사건마스터!$A$5:$A$64,0)),""))</f>
        <v/>
      </c>
      <c r="H511" s="34">
        <f>IF($F511="","",IFERROR(INDEX(사건마스터!$C$5:$C$64,MATCH($F511,사건마스터!$A$5:$A$64,0)),""))</f>
        <v/>
      </c>
      <c r="I511" s="35">
        <f>IF($F511="","",IFERROR(INDEX(사건마스터!$H$5:$H$64,MATCH($F511,사건마스터!$A$5:$A$64,0)),""))</f>
        <v/>
      </c>
      <c r="J511" s="35">
        <f>IF($F511="","",IFERROR(INDEX(사건마스터!$AH$5:$AH$64,MATCH($F511,사건마스터!$A$5:$A$64,0)),""))</f>
        <v/>
      </c>
      <c r="K511" s="35">
        <f>IF($F511="","",IFERROR(INDEX(사건마스터!$AI$5:$AI$64,MATCH($F511,사건마스터!$A$5:$A$64,0)),""))</f>
        <v/>
      </c>
      <c r="L511" s="35">
        <f>IF($F511="","",IFERROR(INDEX(사건마스터!$AJ$5:$AJ$64,MATCH($F511,사건마스터!$A$5:$A$64,0)),""))</f>
        <v/>
      </c>
      <c r="M511" s="35">
        <f>IF($F511="","",IFERROR(INDEX(사건마스터!$AK$5:$AK$64,MATCH($F511,사건마스터!$A$5:$A$64,0)),""))</f>
        <v/>
      </c>
      <c r="N511" s="35">
        <f>IF($F511="","",IFERROR(INDEX(사건마스터!$AL$5:$AL$64,MATCH($F511,사건마스터!$A$5:$A$64,0)),""))</f>
        <v/>
      </c>
      <c r="O511" s="35">
        <f>IF($F511="","",IFERROR(INDEX(사건마스터!$AM$5:$AM$64,MATCH($F511,사건마스터!$A$5:$A$64,0)),""))</f>
        <v/>
      </c>
      <c r="P511" s="35">
        <f>IF($F511="","",IFERROR(INDEX(사건마스터!$AN$5:$AN$64,MATCH($F511,사건마스터!$A$5:$A$64,0)),""))</f>
        <v/>
      </c>
      <c r="Q511" s="35">
        <f>IF($F511="","",IFERROR(INDEX(사건마스터!$AO$5:$AO$64,MATCH($F511,사건마스터!$A$5:$A$64,0)),""))</f>
        <v/>
      </c>
      <c r="R511" s="35">
        <f>IF($F511="","",IFERROR(INDEX(사건마스터!$AP$5:$AP$64,MATCH($F511,사건마스터!$A$5:$A$64,0)),""))</f>
        <v/>
      </c>
      <c r="S511" s="35">
        <f>IF($F511="","",IFERROR(INDEX(사건마스터!$AQ$5:$AQ$64,MATCH($F511,사건마스터!$A$5:$A$64,0)),""))</f>
        <v/>
      </c>
      <c r="T511" s="35">
        <f>IF($F511="","",IFERROR(INDEX(사건마스터!$AR$5:$AR$64,MATCH($F511,사건마스터!$A$5:$A$64,0)),""))</f>
        <v/>
      </c>
      <c r="U511" s="35">
        <f>IF($F511="","",IFERROR(INDEX(사건마스터!$AS$5:$AS$64,MATCH($F511,사건마스터!$A$5:$A$64,0)),""))</f>
        <v/>
      </c>
      <c r="V511" s="35">
        <f>IF($F511="","",IFERROR(INDEX(사건마스터!$AT$5:$AT$64,MATCH($F511,사건마스터!$A$5:$A$64,0)),""))</f>
        <v/>
      </c>
      <c r="W511" s="35">
        <f>IF($F511="","",IFERROR(INDEX(사건마스터!$AU$5:$AU$64,MATCH($F511,사건마스터!$A$5:$A$64,0)),""))</f>
        <v/>
      </c>
      <c r="X511" s="35">
        <f>IF($F511="","",IFERROR(INDEX(사건마스터!$AV$5:$AV$64,MATCH($F511,사건마스터!$A$5:$A$64,0)),""))</f>
        <v/>
      </c>
      <c r="Y511" s="30">
        <f>IF($I511="","",COUNTIF($I511:$X511,"?*"))</f>
        <v/>
      </c>
      <c r="Z511" s="33">
        <f>IF($I511="","",_xlfn.TEXTJOIN(", ",TRUE,$I511:$X511))</f>
        <v/>
      </c>
      <c r="AA511" s="34">
        <f>IF($I511="","",IFERROR(INDEX(코드설정!$D$5:$D$24,MATCH($I511,코드설정!$C$5:$C$24,0)),""))</f>
        <v/>
      </c>
      <c r="AB511" s="36" t="n"/>
      <c r="AC511" s="37" t="n"/>
      <c r="AD511" s="38" t="n"/>
      <c r="AE511" s="30">
        <f>IF(OR($B511="",$C511=""),"",$C511-$B511+1)</f>
        <v/>
      </c>
      <c r="AF511" s="32" t="n"/>
      <c r="AG511" s="36" t="n"/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3">
        <f>IF($F512="","",IFERROR(INDEX(사건마스터!$B$5:$B$64,MATCH($F512,사건마스터!$A$5:$A$64,0)),""))</f>
        <v/>
      </c>
      <c r="H512" s="34">
        <f>IF($F512="","",IFERROR(INDEX(사건마스터!$C$5:$C$64,MATCH($F512,사건마스터!$A$5:$A$64,0)),""))</f>
        <v/>
      </c>
      <c r="I512" s="35">
        <f>IF($F512="","",IFERROR(INDEX(사건마스터!$H$5:$H$64,MATCH($F512,사건마스터!$A$5:$A$64,0)),""))</f>
        <v/>
      </c>
      <c r="J512" s="35">
        <f>IF($F512="","",IFERROR(INDEX(사건마스터!$AH$5:$AH$64,MATCH($F512,사건마스터!$A$5:$A$64,0)),""))</f>
        <v/>
      </c>
      <c r="K512" s="35">
        <f>IF($F512="","",IFERROR(INDEX(사건마스터!$AI$5:$AI$64,MATCH($F512,사건마스터!$A$5:$A$64,0)),""))</f>
        <v/>
      </c>
      <c r="L512" s="35">
        <f>IF($F512="","",IFERROR(INDEX(사건마스터!$AJ$5:$AJ$64,MATCH($F512,사건마스터!$A$5:$A$64,0)),""))</f>
        <v/>
      </c>
      <c r="M512" s="35">
        <f>IF($F512="","",IFERROR(INDEX(사건마스터!$AK$5:$AK$64,MATCH($F512,사건마스터!$A$5:$A$64,0)),""))</f>
        <v/>
      </c>
      <c r="N512" s="35">
        <f>IF($F512="","",IFERROR(INDEX(사건마스터!$AL$5:$AL$64,MATCH($F512,사건마스터!$A$5:$A$64,0)),""))</f>
        <v/>
      </c>
      <c r="O512" s="35">
        <f>IF($F512="","",IFERROR(INDEX(사건마스터!$AM$5:$AM$64,MATCH($F512,사건마스터!$A$5:$A$64,0)),""))</f>
        <v/>
      </c>
      <c r="P512" s="35">
        <f>IF($F512="","",IFERROR(INDEX(사건마스터!$AN$5:$AN$64,MATCH($F512,사건마스터!$A$5:$A$64,0)),""))</f>
        <v/>
      </c>
      <c r="Q512" s="35">
        <f>IF($F512="","",IFERROR(INDEX(사건마스터!$AO$5:$AO$64,MATCH($F512,사건마스터!$A$5:$A$64,0)),""))</f>
        <v/>
      </c>
      <c r="R512" s="35">
        <f>IF($F512="","",IFERROR(INDEX(사건마스터!$AP$5:$AP$64,MATCH($F512,사건마스터!$A$5:$A$64,0)),""))</f>
        <v/>
      </c>
      <c r="S512" s="35">
        <f>IF($F512="","",IFERROR(INDEX(사건마스터!$AQ$5:$AQ$64,MATCH($F512,사건마스터!$A$5:$A$64,0)),""))</f>
        <v/>
      </c>
      <c r="T512" s="35">
        <f>IF($F512="","",IFERROR(INDEX(사건마스터!$AR$5:$AR$64,MATCH($F512,사건마스터!$A$5:$A$64,0)),""))</f>
        <v/>
      </c>
      <c r="U512" s="35">
        <f>IF($F512="","",IFERROR(INDEX(사건마스터!$AS$5:$AS$64,MATCH($F512,사건마스터!$A$5:$A$64,0)),""))</f>
        <v/>
      </c>
      <c r="V512" s="35">
        <f>IF($F512="","",IFERROR(INDEX(사건마스터!$AT$5:$AT$64,MATCH($F512,사건마스터!$A$5:$A$64,0)),""))</f>
        <v/>
      </c>
      <c r="W512" s="35">
        <f>IF($F512="","",IFERROR(INDEX(사건마스터!$AU$5:$AU$64,MATCH($F512,사건마스터!$A$5:$A$64,0)),""))</f>
        <v/>
      </c>
      <c r="X512" s="35">
        <f>IF($F512="","",IFERROR(INDEX(사건마스터!$AV$5:$AV$64,MATCH($F512,사건마스터!$A$5:$A$64,0)),""))</f>
        <v/>
      </c>
      <c r="Y512" s="30">
        <f>IF($I512="","",COUNTIF($I512:$X512,"?*"))</f>
        <v/>
      </c>
      <c r="Z512" s="33">
        <f>IF($I512="","",_xlfn.TEXTJOIN(", ",TRUE,$I512:$X512))</f>
        <v/>
      </c>
      <c r="AA512" s="34">
        <f>IF($I512="","",IFERROR(INDEX(코드설정!$D$5:$D$24,MATCH($I512,코드설정!$C$5:$C$24,0)),""))</f>
        <v/>
      </c>
      <c r="AB512" s="36" t="n"/>
      <c r="AC512" s="37" t="n"/>
      <c r="AD512" s="38" t="n"/>
      <c r="AE512" s="30">
        <f>IF(OR($B512="",$C512=""),"",$C512-$B512+1)</f>
        <v/>
      </c>
      <c r="AF512" s="32" t="n"/>
      <c r="AG512" s="36" t="n"/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3">
        <f>IF($F513="","",IFERROR(INDEX(사건마스터!$B$5:$B$64,MATCH($F513,사건마스터!$A$5:$A$64,0)),""))</f>
        <v/>
      </c>
      <c r="H513" s="34">
        <f>IF($F513="","",IFERROR(INDEX(사건마스터!$C$5:$C$64,MATCH($F513,사건마스터!$A$5:$A$64,0)),""))</f>
        <v/>
      </c>
      <c r="I513" s="35">
        <f>IF($F513="","",IFERROR(INDEX(사건마스터!$H$5:$H$64,MATCH($F513,사건마스터!$A$5:$A$64,0)),""))</f>
        <v/>
      </c>
      <c r="J513" s="35">
        <f>IF($F513="","",IFERROR(INDEX(사건마스터!$AH$5:$AH$64,MATCH($F513,사건마스터!$A$5:$A$64,0)),""))</f>
        <v/>
      </c>
      <c r="K513" s="35">
        <f>IF($F513="","",IFERROR(INDEX(사건마스터!$AI$5:$AI$64,MATCH($F513,사건마스터!$A$5:$A$64,0)),""))</f>
        <v/>
      </c>
      <c r="L513" s="35">
        <f>IF($F513="","",IFERROR(INDEX(사건마스터!$AJ$5:$AJ$64,MATCH($F513,사건마스터!$A$5:$A$64,0)),""))</f>
        <v/>
      </c>
      <c r="M513" s="35">
        <f>IF($F513="","",IFERROR(INDEX(사건마스터!$AK$5:$AK$64,MATCH($F513,사건마스터!$A$5:$A$64,0)),""))</f>
        <v/>
      </c>
      <c r="N513" s="35">
        <f>IF($F513="","",IFERROR(INDEX(사건마스터!$AL$5:$AL$64,MATCH($F513,사건마스터!$A$5:$A$64,0)),""))</f>
        <v/>
      </c>
      <c r="O513" s="35">
        <f>IF($F513="","",IFERROR(INDEX(사건마스터!$AM$5:$AM$64,MATCH($F513,사건마스터!$A$5:$A$64,0)),""))</f>
        <v/>
      </c>
      <c r="P513" s="35">
        <f>IF($F513="","",IFERROR(INDEX(사건마스터!$AN$5:$AN$64,MATCH($F513,사건마스터!$A$5:$A$64,0)),""))</f>
        <v/>
      </c>
      <c r="Q513" s="35">
        <f>IF($F513="","",IFERROR(INDEX(사건마스터!$AO$5:$AO$64,MATCH($F513,사건마스터!$A$5:$A$64,0)),""))</f>
        <v/>
      </c>
      <c r="R513" s="35">
        <f>IF($F513="","",IFERROR(INDEX(사건마스터!$AP$5:$AP$64,MATCH($F513,사건마스터!$A$5:$A$64,0)),""))</f>
        <v/>
      </c>
      <c r="S513" s="35">
        <f>IF($F513="","",IFERROR(INDEX(사건마스터!$AQ$5:$AQ$64,MATCH($F513,사건마스터!$A$5:$A$64,0)),""))</f>
        <v/>
      </c>
      <c r="T513" s="35">
        <f>IF($F513="","",IFERROR(INDEX(사건마스터!$AR$5:$AR$64,MATCH($F513,사건마스터!$A$5:$A$64,0)),""))</f>
        <v/>
      </c>
      <c r="U513" s="35">
        <f>IF($F513="","",IFERROR(INDEX(사건마스터!$AS$5:$AS$64,MATCH($F513,사건마스터!$A$5:$A$64,0)),""))</f>
        <v/>
      </c>
      <c r="V513" s="35">
        <f>IF($F513="","",IFERROR(INDEX(사건마스터!$AT$5:$AT$64,MATCH($F513,사건마스터!$A$5:$A$64,0)),""))</f>
        <v/>
      </c>
      <c r="W513" s="35">
        <f>IF($F513="","",IFERROR(INDEX(사건마스터!$AU$5:$AU$64,MATCH($F513,사건마스터!$A$5:$A$64,0)),""))</f>
        <v/>
      </c>
      <c r="X513" s="35">
        <f>IF($F513="","",IFERROR(INDEX(사건마스터!$AV$5:$AV$64,MATCH($F513,사건마스터!$A$5:$A$64,0)),""))</f>
        <v/>
      </c>
      <c r="Y513" s="30">
        <f>IF($I513="","",COUNTIF($I513:$X513,"?*"))</f>
        <v/>
      </c>
      <c r="Z513" s="33">
        <f>IF($I513="","",_xlfn.TEXTJOIN(", ",TRUE,$I513:$X513))</f>
        <v/>
      </c>
      <c r="AA513" s="34">
        <f>IF($I513="","",IFERROR(INDEX(코드설정!$D$5:$D$24,MATCH($I513,코드설정!$C$5:$C$24,0)),""))</f>
        <v/>
      </c>
      <c r="AB513" s="36" t="n"/>
      <c r="AC513" s="37" t="n"/>
      <c r="AD513" s="38" t="n"/>
      <c r="AE513" s="30">
        <f>IF(OR($B513="",$C513=""),"",$C513-$B513+1)</f>
        <v/>
      </c>
      <c r="AF513" s="32" t="n"/>
      <c r="AG513" s="36" t="n"/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3">
        <f>IF($F514="","",IFERROR(INDEX(사건마스터!$B$5:$B$64,MATCH($F514,사건마스터!$A$5:$A$64,0)),""))</f>
        <v/>
      </c>
      <c r="H514" s="34">
        <f>IF($F514="","",IFERROR(INDEX(사건마스터!$C$5:$C$64,MATCH($F514,사건마스터!$A$5:$A$64,0)),""))</f>
        <v/>
      </c>
      <c r="I514" s="35">
        <f>IF($F514="","",IFERROR(INDEX(사건마스터!$H$5:$H$64,MATCH($F514,사건마스터!$A$5:$A$64,0)),""))</f>
        <v/>
      </c>
      <c r="J514" s="35">
        <f>IF($F514="","",IFERROR(INDEX(사건마스터!$AH$5:$AH$64,MATCH($F514,사건마스터!$A$5:$A$64,0)),""))</f>
        <v/>
      </c>
      <c r="K514" s="35">
        <f>IF($F514="","",IFERROR(INDEX(사건마스터!$AI$5:$AI$64,MATCH($F514,사건마스터!$A$5:$A$64,0)),""))</f>
        <v/>
      </c>
      <c r="L514" s="35">
        <f>IF($F514="","",IFERROR(INDEX(사건마스터!$AJ$5:$AJ$64,MATCH($F514,사건마스터!$A$5:$A$64,0)),""))</f>
        <v/>
      </c>
      <c r="M514" s="35">
        <f>IF($F514="","",IFERROR(INDEX(사건마스터!$AK$5:$AK$64,MATCH($F514,사건마스터!$A$5:$A$64,0)),""))</f>
        <v/>
      </c>
      <c r="N514" s="35">
        <f>IF($F514="","",IFERROR(INDEX(사건마스터!$AL$5:$AL$64,MATCH($F514,사건마스터!$A$5:$A$64,0)),""))</f>
        <v/>
      </c>
      <c r="O514" s="35">
        <f>IF($F514="","",IFERROR(INDEX(사건마스터!$AM$5:$AM$64,MATCH($F514,사건마스터!$A$5:$A$64,0)),""))</f>
        <v/>
      </c>
      <c r="P514" s="35">
        <f>IF($F514="","",IFERROR(INDEX(사건마스터!$AN$5:$AN$64,MATCH($F514,사건마스터!$A$5:$A$64,0)),""))</f>
        <v/>
      </c>
      <c r="Q514" s="35">
        <f>IF($F514="","",IFERROR(INDEX(사건마스터!$AO$5:$AO$64,MATCH($F514,사건마스터!$A$5:$A$64,0)),""))</f>
        <v/>
      </c>
      <c r="R514" s="35">
        <f>IF($F514="","",IFERROR(INDEX(사건마스터!$AP$5:$AP$64,MATCH($F514,사건마스터!$A$5:$A$64,0)),""))</f>
        <v/>
      </c>
      <c r="S514" s="35">
        <f>IF($F514="","",IFERROR(INDEX(사건마스터!$AQ$5:$AQ$64,MATCH($F514,사건마스터!$A$5:$A$64,0)),""))</f>
        <v/>
      </c>
      <c r="T514" s="35">
        <f>IF($F514="","",IFERROR(INDEX(사건마스터!$AR$5:$AR$64,MATCH($F514,사건마스터!$A$5:$A$64,0)),""))</f>
        <v/>
      </c>
      <c r="U514" s="35">
        <f>IF($F514="","",IFERROR(INDEX(사건마스터!$AS$5:$AS$64,MATCH($F514,사건마스터!$A$5:$A$64,0)),""))</f>
        <v/>
      </c>
      <c r="V514" s="35">
        <f>IF($F514="","",IFERROR(INDEX(사건마스터!$AT$5:$AT$64,MATCH($F514,사건마스터!$A$5:$A$64,0)),""))</f>
        <v/>
      </c>
      <c r="W514" s="35">
        <f>IF($F514="","",IFERROR(INDEX(사건마스터!$AU$5:$AU$64,MATCH($F514,사건마스터!$A$5:$A$64,0)),""))</f>
        <v/>
      </c>
      <c r="X514" s="35">
        <f>IF($F514="","",IFERROR(INDEX(사건마스터!$AV$5:$AV$64,MATCH($F514,사건마스터!$A$5:$A$64,0)),""))</f>
        <v/>
      </c>
      <c r="Y514" s="30">
        <f>IF($I514="","",COUNTIF($I514:$X514,"?*"))</f>
        <v/>
      </c>
      <c r="Z514" s="33">
        <f>IF($I514="","",_xlfn.TEXTJOIN(", ",TRUE,$I514:$X514))</f>
        <v/>
      </c>
      <c r="AA514" s="34">
        <f>IF($I514="","",IFERROR(INDEX(코드설정!$D$5:$D$24,MATCH($I514,코드설정!$C$5:$C$24,0)),""))</f>
        <v/>
      </c>
      <c r="AB514" s="36" t="n"/>
      <c r="AC514" s="37" t="n"/>
      <c r="AD514" s="38" t="n"/>
      <c r="AE514" s="30">
        <f>IF(OR($B514="",$C514=""),"",$C514-$B514+1)</f>
        <v/>
      </c>
      <c r="AF514" s="32" t="n"/>
      <c r="AG514" s="36" t="n"/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3">
        <f>IF($F515="","",IFERROR(INDEX(사건마스터!$B$5:$B$64,MATCH($F515,사건마스터!$A$5:$A$64,0)),""))</f>
        <v/>
      </c>
      <c r="H515" s="34">
        <f>IF($F515="","",IFERROR(INDEX(사건마스터!$C$5:$C$64,MATCH($F515,사건마스터!$A$5:$A$64,0)),""))</f>
        <v/>
      </c>
      <c r="I515" s="35">
        <f>IF($F515="","",IFERROR(INDEX(사건마스터!$H$5:$H$64,MATCH($F515,사건마스터!$A$5:$A$64,0)),""))</f>
        <v/>
      </c>
      <c r="J515" s="35">
        <f>IF($F515="","",IFERROR(INDEX(사건마스터!$AH$5:$AH$64,MATCH($F515,사건마스터!$A$5:$A$64,0)),""))</f>
        <v/>
      </c>
      <c r="K515" s="35">
        <f>IF($F515="","",IFERROR(INDEX(사건마스터!$AI$5:$AI$64,MATCH($F515,사건마스터!$A$5:$A$64,0)),""))</f>
        <v/>
      </c>
      <c r="L515" s="35">
        <f>IF($F515="","",IFERROR(INDEX(사건마스터!$AJ$5:$AJ$64,MATCH($F515,사건마스터!$A$5:$A$64,0)),""))</f>
        <v/>
      </c>
      <c r="M515" s="35">
        <f>IF($F515="","",IFERROR(INDEX(사건마스터!$AK$5:$AK$64,MATCH($F515,사건마스터!$A$5:$A$64,0)),""))</f>
        <v/>
      </c>
      <c r="N515" s="35">
        <f>IF($F515="","",IFERROR(INDEX(사건마스터!$AL$5:$AL$64,MATCH($F515,사건마스터!$A$5:$A$64,0)),""))</f>
        <v/>
      </c>
      <c r="O515" s="35">
        <f>IF($F515="","",IFERROR(INDEX(사건마스터!$AM$5:$AM$64,MATCH($F515,사건마스터!$A$5:$A$64,0)),""))</f>
        <v/>
      </c>
      <c r="P515" s="35">
        <f>IF($F515="","",IFERROR(INDEX(사건마스터!$AN$5:$AN$64,MATCH($F515,사건마스터!$A$5:$A$64,0)),""))</f>
        <v/>
      </c>
      <c r="Q515" s="35">
        <f>IF($F515="","",IFERROR(INDEX(사건마스터!$AO$5:$AO$64,MATCH($F515,사건마스터!$A$5:$A$64,0)),""))</f>
        <v/>
      </c>
      <c r="R515" s="35">
        <f>IF($F515="","",IFERROR(INDEX(사건마스터!$AP$5:$AP$64,MATCH($F515,사건마스터!$A$5:$A$64,0)),""))</f>
        <v/>
      </c>
      <c r="S515" s="35">
        <f>IF($F515="","",IFERROR(INDEX(사건마스터!$AQ$5:$AQ$64,MATCH($F515,사건마스터!$A$5:$A$64,0)),""))</f>
        <v/>
      </c>
      <c r="T515" s="35">
        <f>IF($F515="","",IFERROR(INDEX(사건마스터!$AR$5:$AR$64,MATCH($F515,사건마스터!$A$5:$A$64,0)),""))</f>
        <v/>
      </c>
      <c r="U515" s="35">
        <f>IF($F515="","",IFERROR(INDEX(사건마스터!$AS$5:$AS$64,MATCH($F515,사건마스터!$A$5:$A$64,0)),""))</f>
        <v/>
      </c>
      <c r="V515" s="35">
        <f>IF($F515="","",IFERROR(INDEX(사건마스터!$AT$5:$AT$64,MATCH($F515,사건마스터!$A$5:$A$64,0)),""))</f>
        <v/>
      </c>
      <c r="W515" s="35">
        <f>IF($F515="","",IFERROR(INDEX(사건마스터!$AU$5:$AU$64,MATCH($F515,사건마스터!$A$5:$A$64,0)),""))</f>
        <v/>
      </c>
      <c r="X515" s="35">
        <f>IF($F515="","",IFERROR(INDEX(사건마스터!$AV$5:$AV$64,MATCH($F515,사건마스터!$A$5:$A$64,0)),""))</f>
        <v/>
      </c>
      <c r="Y515" s="30">
        <f>IF($I515="","",COUNTIF($I515:$X515,"?*"))</f>
        <v/>
      </c>
      <c r="Z515" s="33">
        <f>IF($I515="","",_xlfn.TEXTJOIN(", ",TRUE,$I515:$X515))</f>
        <v/>
      </c>
      <c r="AA515" s="34">
        <f>IF($I515="","",IFERROR(INDEX(코드설정!$D$5:$D$24,MATCH($I515,코드설정!$C$5:$C$24,0)),""))</f>
        <v/>
      </c>
      <c r="AB515" s="36" t="n"/>
      <c r="AC515" s="37" t="n"/>
      <c r="AD515" s="38" t="n"/>
      <c r="AE515" s="30">
        <f>IF(OR($B515="",$C515=""),"",$C515-$B515+1)</f>
        <v/>
      </c>
      <c r="AF515" s="32" t="n"/>
      <c r="AG515" s="36" t="n"/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3">
        <f>IF($F516="","",IFERROR(INDEX(사건마스터!$B$5:$B$64,MATCH($F516,사건마스터!$A$5:$A$64,0)),""))</f>
        <v/>
      </c>
      <c r="H516" s="34">
        <f>IF($F516="","",IFERROR(INDEX(사건마스터!$C$5:$C$64,MATCH($F516,사건마스터!$A$5:$A$64,0)),""))</f>
        <v/>
      </c>
      <c r="I516" s="35">
        <f>IF($F516="","",IFERROR(INDEX(사건마스터!$H$5:$H$64,MATCH($F516,사건마스터!$A$5:$A$64,0)),""))</f>
        <v/>
      </c>
      <c r="J516" s="35">
        <f>IF($F516="","",IFERROR(INDEX(사건마스터!$AH$5:$AH$64,MATCH($F516,사건마스터!$A$5:$A$64,0)),""))</f>
        <v/>
      </c>
      <c r="K516" s="35">
        <f>IF($F516="","",IFERROR(INDEX(사건마스터!$AI$5:$AI$64,MATCH($F516,사건마스터!$A$5:$A$64,0)),""))</f>
        <v/>
      </c>
      <c r="L516" s="35">
        <f>IF($F516="","",IFERROR(INDEX(사건마스터!$AJ$5:$AJ$64,MATCH($F516,사건마스터!$A$5:$A$64,0)),""))</f>
        <v/>
      </c>
      <c r="M516" s="35">
        <f>IF($F516="","",IFERROR(INDEX(사건마스터!$AK$5:$AK$64,MATCH($F516,사건마스터!$A$5:$A$64,0)),""))</f>
        <v/>
      </c>
      <c r="N516" s="35">
        <f>IF($F516="","",IFERROR(INDEX(사건마스터!$AL$5:$AL$64,MATCH($F516,사건마스터!$A$5:$A$64,0)),""))</f>
        <v/>
      </c>
      <c r="O516" s="35">
        <f>IF($F516="","",IFERROR(INDEX(사건마스터!$AM$5:$AM$64,MATCH($F516,사건마스터!$A$5:$A$64,0)),""))</f>
        <v/>
      </c>
      <c r="P516" s="35">
        <f>IF($F516="","",IFERROR(INDEX(사건마스터!$AN$5:$AN$64,MATCH($F516,사건마스터!$A$5:$A$64,0)),""))</f>
        <v/>
      </c>
      <c r="Q516" s="35">
        <f>IF($F516="","",IFERROR(INDEX(사건마스터!$AO$5:$AO$64,MATCH($F516,사건마스터!$A$5:$A$64,0)),""))</f>
        <v/>
      </c>
      <c r="R516" s="35">
        <f>IF($F516="","",IFERROR(INDEX(사건마스터!$AP$5:$AP$64,MATCH($F516,사건마스터!$A$5:$A$64,0)),""))</f>
        <v/>
      </c>
      <c r="S516" s="35">
        <f>IF($F516="","",IFERROR(INDEX(사건마스터!$AQ$5:$AQ$64,MATCH($F516,사건마스터!$A$5:$A$64,0)),""))</f>
        <v/>
      </c>
      <c r="T516" s="35">
        <f>IF($F516="","",IFERROR(INDEX(사건마스터!$AR$5:$AR$64,MATCH($F516,사건마스터!$A$5:$A$64,0)),""))</f>
        <v/>
      </c>
      <c r="U516" s="35">
        <f>IF($F516="","",IFERROR(INDEX(사건마스터!$AS$5:$AS$64,MATCH($F516,사건마스터!$A$5:$A$64,0)),""))</f>
        <v/>
      </c>
      <c r="V516" s="35">
        <f>IF($F516="","",IFERROR(INDEX(사건마스터!$AT$5:$AT$64,MATCH($F516,사건마스터!$A$5:$A$64,0)),""))</f>
        <v/>
      </c>
      <c r="W516" s="35">
        <f>IF($F516="","",IFERROR(INDEX(사건마스터!$AU$5:$AU$64,MATCH($F516,사건마스터!$A$5:$A$64,0)),""))</f>
        <v/>
      </c>
      <c r="X516" s="35">
        <f>IF($F516="","",IFERROR(INDEX(사건마스터!$AV$5:$AV$64,MATCH($F516,사건마스터!$A$5:$A$64,0)),""))</f>
        <v/>
      </c>
      <c r="Y516" s="30">
        <f>IF($I516="","",COUNTIF($I516:$X516,"?*"))</f>
        <v/>
      </c>
      <c r="Z516" s="33">
        <f>IF($I516="","",_xlfn.TEXTJOIN(", ",TRUE,$I516:$X516))</f>
        <v/>
      </c>
      <c r="AA516" s="34">
        <f>IF($I516="","",IFERROR(INDEX(코드설정!$D$5:$D$24,MATCH($I516,코드설정!$C$5:$C$24,0)),""))</f>
        <v/>
      </c>
      <c r="AB516" s="36" t="n"/>
      <c r="AC516" s="37" t="n"/>
      <c r="AD516" s="38" t="n"/>
      <c r="AE516" s="30">
        <f>IF(OR($B516="",$C516=""),"",$C516-$B516+1)</f>
        <v/>
      </c>
      <c r="AF516" s="32" t="n"/>
      <c r="AG516" s="36" t="n"/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3">
        <f>IF($F517="","",IFERROR(INDEX(사건마스터!$B$5:$B$64,MATCH($F517,사건마스터!$A$5:$A$64,0)),""))</f>
        <v/>
      </c>
      <c r="H517" s="34">
        <f>IF($F517="","",IFERROR(INDEX(사건마스터!$C$5:$C$64,MATCH($F517,사건마스터!$A$5:$A$64,0)),""))</f>
        <v/>
      </c>
      <c r="I517" s="35">
        <f>IF($F517="","",IFERROR(INDEX(사건마스터!$H$5:$H$64,MATCH($F517,사건마스터!$A$5:$A$64,0)),""))</f>
        <v/>
      </c>
      <c r="J517" s="35">
        <f>IF($F517="","",IFERROR(INDEX(사건마스터!$AH$5:$AH$64,MATCH($F517,사건마스터!$A$5:$A$64,0)),""))</f>
        <v/>
      </c>
      <c r="K517" s="35">
        <f>IF($F517="","",IFERROR(INDEX(사건마스터!$AI$5:$AI$64,MATCH($F517,사건마스터!$A$5:$A$64,0)),""))</f>
        <v/>
      </c>
      <c r="L517" s="35">
        <f>IF($F517="","",IFERROR(INDEX(사건마스터!$AJ$5:$AJ$64,MATCH($F517,사건마스터!$A$5:$A$64,0)),""))</f>
        <v/>
      </c>
      <c r="M517" s="35">
        <f>IF($F517="","",IFERROR(INDEX(사건마스터!$AK$5:$AK$64,MATCH($F517,사건마스터!$A$5:$A$64,0)),""))</f>
        <v/>
      </c>
      <c r="N517" s="35">
        <f>IF($F517="","",IFERROR(INDEX(사건마스터!$AL$5:$AL$64,MATCH($F517,사건마스터!$A$5:$A$64,0)),""))</f>
        <v/>
      </c>
      <c r="O517" s="35">
        <f>IF($F517="","",IFERROR(INDEX(사건마스터!$AM$5:$AM$64,MATCH($F517,사건마스터!$A$5:$A$64,0)),""))</f>
        <v/>
      </c>
      <c r="P517" s="35">
        <f>IF($F517="","",IFERROR(INDEX(사건마스터!$AN$5:$AN$64,MATCH($F517,사건마스터!$A$5:$A$64,0)),""))</f>
        <v/>
      </c>
      <c r="Q517" s="35">
        <f>IF($F517="","",IFERROR(INDEX(사건마스터!$AO$5:$AO$64,MATCH($F517,사건마스터!$A$5:$A$64,0)),""))</f>
        <v/>
      </c>
      <c r="R517" s="35">
        <f>IF($F517="","",IFERROR(INDEX(사건마스터!$AP$5:$AP$64,MATCH($F517,사건마스터!$A$5:$A$64,0)),""))</f>
        <v/>
      </c>
      <c r="S517" s="35">
        <f>IF($F517="","",IFERROR(INDEX(사건마스터!$AQ$5:$AQ$64,MATCH($F517,사건마스터!$A$5:$A$64,0)),""))</f>
        <v/>
      </c>
      <c r="T517" s="35">
        <f>IF($F517="","",IFERROR(INDEX(사건마스터!$AR$5:$AR$64,MATCH($F517,사건마스터!$A$5:$A$64,0)),""))</f>
        <v/>
      </c>
      <c r="U517" s="35">
        <f>IF($F517="","",IFERROR(INDEX(사건마스터!$AS$5:$AS$64,MATCH($F517,사건마스터!$A$5:$A$64,0)),""))</f>
        <v/>
      </c>
      <c r="V517" s="35">
        <f>IF($F517="","",IFERROR(INDEX(사건마스터!$AT$5:$AT$64,MATCH($F517,사건마스터!$A$5:$A$64,0)),""))</f>
        <v/>
      </c>
      <c r="W517" s="35">
        <f>IF($F517="","",IFERROR(INDEX(사건마스터!$AU$5:$AU$64,MATCH($F517,사건마스터!$A$5:$A$64,0)),""))</f>
        <v/>
      </c>
      <c r="X517" s="35">
        <f>IF($F517="","",IFERROR(INDEX(사건마스터!$AV$5:$AV$64,MATCH($F517,사건마스터!$A$5:$A$64,0)),""))</f>
        <v/>
      </c>
      <c r="Y517" s="30">
        <f>IF($I517="","",COUNTIF($I517:$X517,"?*"))</f>
        <v/>
      </c>
      <c r="Z517" s="33">
        <f>IF($I517="","",_xlfn.TEXTJOIN(", ",TRUE,$I517:$X517))</f>
        <v/>
      </c>
      <c r="AA517" s="34">
        <f>IF($I517="","",IFERROR(INDEX(코드설정!$D$5:$D$24,MATCH($I517,코드설정!$C$5:$C$24,0)),""))</f>
        <v/>
      </c>
      <c r="AB517" s="36" t="n"/>
      <c r="AC517" s="37" t="n"/>
      <c r="AD517" s="38" t="n"/>
      <c r="AE517" s="30">
        <f>IF(OR($B517="",$C517=""),"",$C517-$B517+1)</f>
        <v/>
      </c>
      <c r="AF517" s="32" t="n"/>
      <c r="AG517" s="36" t="n"/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3">
        <f>IF($F518="","",IFERROR(INDEX(사건마스터!$B$5:$B$64,MATCH($F518,사건마스터!$A$5:$A$64,0)),""))</f>
        <v/>
      </c>
      <c r="H518" s="34">
        <f>IF($F518="","",IFERROR(INDEX(사건마스터!$C$5:$C$64,MATCH($F518,사건마스터!$A$5:$A$64,0)),""))</f>
        <v/>
      </c>
      <c r="I518" s="35">
        <f>IF($F518="","",IFERROR(INDEX(사건마스터!$H$5:$H$64,MATCH($F518,사건마스터!$A$5:$A$64,0)),""))</f>
        <v/>
      </c>
      <c r="J518" s="35">
        <f>IF($F518="","",IFERROR(INDEX(사건마스터!$AH$5:$AH$64,MATCH($F518,사건마스터!$A$5:$A$64,0)),""))</f>
        <v/>
      </c>
      <c r="K518" s="35">
        <f>IF($F518="","",IFERROR(INDEX(사건마스터!$AI$5:$AI$64,MATCH($F518,사건마스터!$A$5:$A$64,0)),""))</f>
        <v/>
      </c>
      <c r="L518" s="35">
        <f>IF($F518="","",IFERROR(INDEX(사건마스터!$AJ$5:$AJ$64,MATCH($F518,사건마스터!$A$5:$A$64,0)),""))</f>
        <v/>
      </c>
      <c r="M518" s="35">
        <f>IF($F518="","",IFERROR(INDEX(사건마스터!$AK$5:$AK$64,MATCH($F518,사건마스터!$A$5:$A$64,0)),""))</f>
        <v/>
      </c>
      <c r="N518" s="35">
        <f>IF($F518="","",IFERROR(INDEX(사건마스터!$AL$5:$AL$64,MATCH($F518,사건마스터!$A$5:$A$64,0)),""))</f>
        <v/>
      </c>
      <c r="O518" s="35">
        <f>IF($F518="","",IFERROR(INDEX(사건마스터!$AM$5:$AM$64,MATCH($F518,사건마스터!$A$5:$A$64,0)),""))</f>
        <v/>
      </c>
      <c r="P518" s="35">
        <f>IF($F518="","",IFERROR(INDEX(사건마스터!$AN$5:$AN$64,MATCH($F518,사건마스터!$A$5:$A$64,0)),""))</f>
        <v/>
      </c>
      <c r="Q518" s="35">
        <f>IF($F518="","",IFERROR(INDEX(사건마스터!$AO$5:$AO$64,MATCH($F518,사건마스터!$A$5:$A$64,0)),""))</f>
        <v/>
      </c>
      <c r="R518" s="35">
        <f>IF($F518="","",IFERROR(INDEX(사건마스터!$AP$5:$AP$64,MATCH($F518,사건마스터!$A$5:$A$64,0)),""))</f>
        <v/>
      </c>
      <c r="S518" s="35">
        <f>IF($F518="","",IFERROR(INDEX(사건마스터!$AQ$5:$AQ$64,MATCH($F518,사건마스터!$A$5:$A$64,0)),""))</f>
        <v/>
      </c>
      <c r="T518" s="35">
        <f>IF($F518="","",IFERROR(INDEX(사건마스터!$AR$5:$AR$64,MATCH($F518,사건마스터!$A$5:$A$64,0)),""))</f>
        <v/>
      </c>
      <c r="U518" s="35">
        <f>IF($F518="","",IFERROR(INDEX(사건마스터!$AS$5:$AS$64,MATCH($F518,사건마스터!$A$5:$A$64,0)),""))</f>
        <v/>
      </c>
      <c r="V518" s="35">
        <f>IF($F518="","",IFERROR(INDEX(사건마스터!$AT$5:$AT$64,MATCH($F518,사건마스터!$A$5:$A$64,0)),""))</f>
        <v/>
      </c>
      <c r="W518" s="35">
        <f>IF($F518="","",IFERROR(INDEX(사건마스터!$AU$5:$AU$64,MATCH($F518,사건마스터!$A$5:$A$64,0)),""))</f>
        <v/>
      </c>
      <c r="X518" s="35">
        <f>IF($F518="","",IFERROR(INDEX(사건마스터!$AV$5:$AV$64,MATCH($F518,사건마스터!$A$5:$A$64,0)),""))</f>
        <v/>
      </c>
      <c r="Y518" s="30">
        <f>IF($I518="","",COUNTIF($I518:$X518,"?*"))</f>
        <v/>
      </c>
      <c r="Z518" s="33">
        <f>IF($I518="","",_xlfn.TEXTJOIN(", ",TRUE,$I518:$X518))</f>
        <v/>
      </c>
      <c r="AA518" s="34">
        <f>IF($I518="","",IFERROR(INDEX(코드설정!$D$5:$D$24,MATCH($I518,코드설정!$C$5:$C$24,0)),""))</f>
        <v/>
      </c>
      <c r="AB518" s="36" t="n"/>
      <c r="AC518" s="37" t="n"/>
      <c r="AD518" s="38" t="n"/>
      <c r="AE518" s="30">
        <f>IF(OR($B518="",$C518=""),"",$C518-$B518+1)</f>
        <v/>
      </c>
      <c r="AF518" s="32" t="n"/>
      <c r="AG518" s="36" t="n"/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3">
        <f>IF($F519="","",IFERROR(INDEX(사건마스터!$B$5:$B$64,MATCH($F519,사건마스터!$A$5:$A$64,0)),""))</f>
        <v/>
      </c>
      <c r="H519" s="34">
        <f>IF($F519="","",IFERROR(INDEX(사건마스터!$C$5:$C$64,MATCH($F519,사건마스터!$A$5:$A$64,0)),""))</f>
        <v/>
      </c>
      <c r="I519" s="35">
        <f>IF($F519="","",IFERROR(INDEX(사건마스터!$H$5:$H$64,MATCH($F519,사건마스터!$A$5:$A$64,0)),""))</f>
        <v/>
      </c>
      <c r="J519" s="35">
        <f>IF($F519="","",IFERROR(INDEX(사건마스터!$AH$5:$AH$64,MATCH($F519,사건마스터!$A$5:$A$64,0)),""))</f>
        <v/>
      </c>
      <c r="K519" s="35">
        <f>IF($F519="","",IFERROR(INDEX(사건마스터!$AI$5:$AI$64,MATCH($F519,사건마스터!$A$5:$A$64,0)),""))</f>
        <v/>
      </c>
      <c r="L519" s="35">
        <f>IF($F519="","",IFERROR(INDEX(사건마스터!$AJ$5:$AJ$64,MATCH($F519,사건마스터!$A$5:$A$64,0)),""))</f>
        <v/>
      </c>
      <c r="M519" s="35">
        <f>IF($F519="","",IFERROR(INDEX(사건마스터!$AK$5:$AK$64,MATCH($F519,사건마스터!$A$5:$A$64,0)),""))</f>
        <v/>
      </c>
      <c r="N519" s="35">
        <f>IF($F519="","",IFERROR(INDEX(사건마스터!$AL$5:$AL$64,MATCH($F519,사건마스터!$A$5:$A$64,0)),""))</f>
        <v/>
      </c>
      <c r="O519" s="35">
        <f>IF($F519="","",IFERROR(INDEX(사건마스터!$AM$5:$AM$64,MATCH($F519,사건마스터!$A$5:$A$64,0)),""))</f>
        <v/>
      </c>
      <c r="P519" s="35">
        <f>IF($F519="","",IFERROR(INDEX(사건마스터!$AN$5:$AN$64,MATCH($F519,사건마스터!$A$5:$A$64,0)),""))</f>
        <v/>
      </c>
      <c r="Q519" s="35">
        <f>IF($F519="","",IFERROR(INDEX(사건마스터!$AO$5:$AO$64,MATCH($F519,사건마스터!$A$5:$A$64,0)),""))</f>
        <v/>
      </c>
      <c r="R519" s="35">
        <f>IF($F519="","",IFERROR(INDEX(사건마스터!$AP$5:$AP$64,MATCH($F519,사건마스터!$A$5:$A$64,0)),""))</f>
        <v/>
      </c>
      <c r="S519" s="35">
        <f>IF($F519="","",IFERROR(INDEX(사건마스터!$AQ$5:$AQ$64,MATCH($F519,사건마스터!$A$5:$A$64,0)),""))</f>
        <v/>
      </c>
      <c r="T519" s="35">
        <f>IF($F519="","",IFERROR(INDEX(사건마스터!$AR$5:$AR$64,MATCH($F519,사건마스터!$A$5:$A$64,0)),""))</f>
        <v/>
      </c>
      <c r="U519" s="35">
        <f>IF($F519="","",IFERROR(INDEX(사건마스터!$AS$5:$AS$64,MATCH($F519,사건마스터!$A$5:$A$64,0)),""))</f>
        <v/>
      </c>
      <c r="V519" s="35">
        <f>IF($F519="","",IFERROR(INDEX(사건마스터!$AT$5:$AT$64,MATCH($F519,사건마스터!$A$5:$A$64,0)),""))</f>
        <v/>
      </c>
      <c r="W519" s="35">
        <f>IF($F519="","",IFERROR(INDEX(사건마스터!$AU$5:$AU$64,MATCH($F519,사건마스터!$A$5:$A$64,0)),""))</f>
        <v/>
      </c>
      <c r="X519" s="35">
        <f>IF($F519="","",IFERROR(INDEX(사건마스터!$AV$5:$AV$64,MATCH($F519,사건마스터!$A$5:$A$64,0)),""))</f>
        <v/>
      </c>
      <c r="Y519" s="30">
        <f>IF($I519="","",COUNTIF($I519:$X519,"?*"))</f>
        <v/>
      </c>
      <c r="Z519" s="33">
        <f>IF($I519="","",_xlfn.TEXTJOIN(", ",TRUE,$I519:$X519))</f>
        <v/>
      </c>
      <c r="AA519" s="34">
        <f>IF($I519="","",IFERROR(INDEX(코드설정!$D$5:$D$24,MATCH($I519,코드설정!$C$5:$C$24,0)),""))</f>
        <v/>
      </c>
      <c r="AB519" s="36" t="n"/>
      <c r="AC519" s="37" t="n"/>
      <c r="AD519" s="38" t="n"/>
      <c r="AE519" s="30">
        <f>IF(OR($B519="",$C519=""),"",$C519-$B519+1)</f>
        <v/>
      </c>
      <c r="AF519" s="32" t="n"/>
      <c r="AG519" s="36" t="n"/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3">
        <f>IF($F520="","",IFERROR(INDEX(사건마스터!$B$5:$B$64,MATCH($F520,사건마스터!$A$5:$A$64,0)),""))</f>
        <v/>
      </c>
      <c r="H520" s="34">
        <f>IF($F520="","",IFERROR(INDEX(사건마스터!$C$5:$C$64,MATCH($F520,사건마스터!$A$5:$A$64,0)),""))</f>
        <v/>
      </c>
      <c r="I520" s="35">
        <f>IF($F520="","",IFERROR(INDEX(사건마스터!$H$5:$H$64,MATCH($F520,사건마스터!$A$5:$A$64,0)),""))</f>
        <v/>
      </c>
      <c r="J520" s="35">
        <f>IF($F520="","",IFERROR(INDEX(사건마스터!$AH$5:$AH$64,MATCH($F520,사건마스터!$A$5:$A$64,0)),""))</f>
        <v/>
      </c>
      <c r="K520" s="35">
        <f>IF($F520="","",IFERROR(INDEX(사건마스터!$AI$5:$AI$64,MATCH($F520,사건마스터!$A$5:$A$64,0)),""))</f>
        <v/>
      </c>
      <c r="L520" s="35">
        <f>IF($F520="","",IFERROR(INDEX(사건마스터!$AJ$5:$AJ$64,MATCH($F520,사건마스터!$A$5:$A$64,0)),""))</f>
        <v/>
      </c>
      <c r="M520" s="35">
        <f>IF($F520="","",IFERROR(INDEX(사건마스터!$AK$5:$AK$64,MATCH($F520,사건마스터!$A$5:$A$64,0)),""))</f>
        <v/>
      </c>
      <c r="N520" s="35">
        <f>IF($F520="","",IFERROR(INDEX(사건마스터!$AL$5:$AL$64,MATCH($F520,사건마스터!$A$5:$A$64,0)),""))</f>
        <v/>
      </c>
      <c r="O520" s="35">
        <f>IF($F520="","",IFERROR(INDEX(사건마스터!$AM$5:$AM$64,MATCH($F520,사건마스터!$A$5:$A$64,0)),""))</f>
        <v/>
      </c>
      <c r="P520" s="35">
        <f>IF($F520="","",IFERROR(INDEX(사건마스터!$AN$5:$AN$64,MATCH($F520,사건마스터!$A$5:$A$64,0)),""))</f>
        <v/>
      </c>
      <c r="Q520" s="35">
        <f>IF($F520="","",IFERROR(INDEX(사건마스터!$AO$5:$AO$64,MATCH($F520,사건마스터!$A$5:$A$64,0)),""))</f>
        <v/>
      </c>
      <c r="R520" s="35">
        <f>IF($F520="","",IFERROR(INDEX(사건마스터!$AP$5:$AP$64,MATCH($F520,사건마스터!$A$5:$A$64,0)),""))</f>
        <v/>
      </c>
      <c r="S520" s="35">
        <f>IF($F520="","",IFERROR(INDEX(사건마스터!$AQ$5:$AQ$64,MATCH($F520,사건마스터!$A$5:$A$64,0)),""))</f>
        <v/>
      </c>
      <c r="T520" s="35">
        <f>IF($F520="","",IFERROR(INDEX(사건마스터!$AR$5:$AR$64,MATCH($F520,사건마스터!$A$5:$A$64,0)),""))</f>
        <v/>
      </c>
      <c r="U520" s="35">
        <f>IF($F520="","",IFERROR(INDEX(사건마스터!$AS$5:$AS$64,MATCH($F520,사건마스터!$A$5:$A$64,0)),""))</f>
        <v/>
      </c>
      <c r="V520" s="35">
        <f>IF($F520="","",IFERROR(INDEX(사건마스터!$AT$5:$AT$64,MATCH($F520,사건마스터!$A$5:$A$64,0)),""))</f>
        <v/>
      </c>
      <c r="W520" s="35">
        <f>IF($F520="","",IFERROR(INDEX(사건마스터!$AU$5:$AU$64,MATCH($F520,사건마스터!$A$5:$A$64,0)),""))</f>
        <v/>
      </c>
      <c r="X520" s="35">
        <f>IF($F520="","",IFERROR(INDEX(사건마스터!$AV$5:$AV$64,MATCH($F520,사건마스터!$A$5:$A$64,0)),""))</f>
        <v/>
      </c>
      <c r="Y520" s="30">
        <f>IF($I520="","",COUNTIF($I520:$X520,"?*"))</f>
        <v/>
      </c>
      <c r="Z520" s="33">
        <f>IF($I520="","",_xlfn.TEXTJOIN(", ",TRUE,$I520:$X520))</f>
        <v/>
      </c>
      <c r="AA520" s="34">
        <f>IF($I520="","",IFERROR(INDEX(코드설정!$D$5:$D$24,MATCH($I520,코드설정!$C$5:$C$24,0)),""))</f>
        <v/>
      </c>
      <c r="AB520" s="36" t="n"/>
      <c r="AC520" s="37" t="n"/>
      <c r="AD520" s="38" t="n"/>
      <c r="AE520" s="30">
        <f>IF(OR($B520="",$C520=""),"",$C520-$B520+1)</f>
        <v/>
      </c>
      <c r="AF520" s="32" t="n"/>
      <c r="AG520" s="36" t="n"/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3">
        <f>IF($F521="","",IFERROR(INDEX(사건마스터!$B$5:$B$64,MATCH($F521,사건마스터!$A$5:$A$64,0)),""))</f>
        <v/>
      </c>
      <c r="H521" s="34">
        <f>IF($F521="","",IFERROR(INDEX(사건마스터!$C$5:$C$64,MATCH($F521,사건마스터!$A$5:$A$64,0)),""))</f>
        <v/>
      </c>
      <c r="I521" s="35">
        <f>IF($F521="","",IFERROR(INDEX(사건마스터!$H$5:$H$64,MATCH($F521,사건마스터!$A$5:$A$64,0)),""))</f>
        <v/>
      </c>
      <c r="J521" s="35">
        <f>IF($F521="","",IFERROR(INDEX(사건마스터!$AH$5:$AH$64,MATCH($F521,사건마스터!$A$5:$A$64,0)),""))</f>
        <v/>
      </c>
      <c r="K521" s="35">
        <f>IF($F521="","",IFERROR(INDEX(사건마스터!$AI$5:$AI$64,MATCH($F521,사건마스터!$A$5:$A$64,0)),""))</f>
        <v/>
      </c>
      <c r="L521" s="35">
        <f>IF($F521="","",IFERROR(INDEX(사건마스터!$AJ$5:$AJ$64,MATCH($F521,사건마스터!$A$5:$A$64,0)),""))</f>
        <v/>
      </c>
      <c r="M521" s="35">
        <f>IF($F521="","",IFERROR(INDEX(사건마스터!$AK$5:$AK$64,MATCH($F521,사건마스터!$A$5:$A$64,0)),""))</f>
        <v/>
      </c>
      <c r="N521" s="35">
        <f>IF($F521="","",IFERROR(INDEX(사건마스터!$AL$5:$AL$64,MATCH($F521,사건마스터!$A$5:$A$64,0)),""))</f>
        <v/>
      </c>
      <c r="O521" s="35">
        <f>IF($F521="","",IFERROR(INDEX(사건마스터!$AM$5:$AM$64,MATCH($F521,사건마스터!$A$5:$A$64,0)),""))</f>
        <v/>
      </c>
      <c r="P521" s="35">
        <f>IF($F521="","",IFERROR(INDEX(사건마스터!$AN$5:$AN$64,MATCH($F521,사건마스터!$A$5:$A$64,0)),""))</f>
        <v/>
      </c>
      <c r="Q521" s="35">
        <f>IF($F521="","",IFERROR(INDEX(사건마스터!$AO$5:$AO$64,MATCH($F521,사건마스터!$A$5:$A$64,0)),""))</f>
        <v/>
      </c>
      <c r="R521" s="35">
        <f>IF($F521="","",IFERROR(INDEX(사건마스터!$AP$5:$AP$64,MATCH($F521,사건마스터!$A$5:$A$64,0)),""))</f>
        <v/>
      </c>
      <c r="S521" s="35">
        <f>IF($F521="","",IFERROR(INDEX(사건마스터!$AQ$5:$AQ$64,MATCH($F521,사건마스터!$A$5:$A$64,0)),""))</f>
        <v/>
      </c>
      <c r="T521" s="35">
        <f>IF($F521="","",IFERROR(INDEX(사건마스터!$AR$5:$AR$64,MATCH($F521,사건마스터!$A$5:$A$64,0)),""))</f>
        <v/>
      </c>
      <c r="U521" s="35">
        <f>IF($F521="","",IFERROR(INDEX(사건마스터!$AS$5:$AS$64,MATCH($F521,사건마스터!$A$5:$A$64,0)),""))</f>
        <v/>
      </c>
      <c r="V521" s="35">
        <f>IF($F521="","",IFERROR(INDEX(사건마스터!$AT$5:$AT$64,MATCH($F521,사건마스터!$A$5:$A$64,0)),""))</f>
        <v/>
      </c>
      <c r="W521" s="35">
        <f>IF($F521="","",IFERROR(INDEX(사건마스터!$AU$5:$AU$64,MATCH($F521,사건마스터!$A$5:$A$64,0)),""))</f>
        <v/>
      </c>
      <c r="X521" s="35">
        <f>IF($F521="","",IFERROR(INDEX(사건마스터!$AV$5:$AV$64,MATCH($F521,사건마스터!$A$5:$A$64,0)),""))</f>
        <v/>
      </c>
      <c r="Y521" s="30">
        <f>IF($I521="","",COUNTIF($I521:$X521,"?*"))</f>
        <v/>
      </c>
      <c r="Z521" s="33">
        <f>IF($I521="","",_xlfn.TEXTJOIN(", ",TRUE,$I521:$X521))</f>
        <v/>
      </c>
      <c r="AA521" s="34">
        <f>IF($I521="","",IFERROR(INDEX(코드설정!$D$5:$D$24,MATCH($I521,코드설정!$C$5:$C$24,0)),""))</f>
        <v/>
      </c>
      <c r="AB521" s="36" t="n"/>
      <c r="AC521" s="37" t="n"/>
      <c r="AD521" s="38" t="n"/>
      <c r="AE521" s="30">
        <f>IF(OR($B521="",$C521=""),"",$C521-$B521+1)</f>
        <v/>
      </c>
      <c r="AF521" s="32" t="n"/>
      <c r="AG521" s="36" t="n"/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3">
        <f>IF($F522="","",IFERROR(INDEX(사건마스터!$B$5:$B$64,MATCH($F522,사건마스터!$A$5:$A$64,0)),""))</f>
        <v/>
      </c>
      <c r="H522" s="34">
        <f>IF($F522="","",IFERROR(INDEX(사건마스터!$C$5:$C$64,MATCH($F522,사건마스터!$A$5:$A$64,0)),""))</f>
        <v/>
      </c>
      <c r="I522" s="35">
        <f>IF($F522="","",IFERROR(INDEX(사건마스터!$H$5:$H$64,MATCH($F522,사건마스터!$A$5:$A$64,0)),""))</f>
        <v/>
      </c>
      <c r="J522" s="35">
        <f>IF($F522="","",IFERROR(INDEX(사건마스터!$AH$5:$AH$64,MATCH($F522,사건마스터!$A$5:$A$64,0)),""))</f>
        <v/>
      </c>
      <c r="K522" s="35">
        <f>IF($F522="","",IFERROR(INDEX(사건마스터!$AI$5:$AI$64,MATCH($F522,사건마스터!$A$5:$A$64,0)),""))</f>
        <v/>
      </c>
      <c r="L522" s="35">
        <f>IF($F522="","",IFERROR(INDEX(사건마스터!$AJ$5:$AJ$64,MATCH($F522,사건마스터!$A$5:$A$64,0)),""))</f>
        <v/>
      </c>
      <c r="M522" s="35">
        <f>IF($F522="","",IFERROR(INDEX(사건마스터!$AK$5:$AK$64,MATCH($F522,사건마스터!$A$5:$A$64,0)),""))</f>
        <v/>
      </c>
      <c r="N522" s="35">
        <f>IF($F522="","",IFERROR(INDEX(사건마스터!$AL$5:$AL$64,MATCH($F522,사건마스터!$A$5:$A$64,0)),""))</f>
        <v/>
      </c>
      <c r="O522" s="35">
        <f>IF($F522="","",IFERROR(INDEX(사건마스터!$AM$5:$AM$64,MATCH($F522,사건마스터!$A$5:$A$64,0)),""))</f>
        <v/>
      </c>
      <c r="P522" s="35">
        <f>IF($F522="","",IFERROR(INDEX(사건마스터!$AN$5:$AN$64,MATCH($F522,사건마스터!$A$5:$A$64,0)),""))</f>
        <v/>
      </c>
      <c r="Q522" s="35">
        <f>IF($F522="","",IFERROR(INDEX(사건마스터!$AO$5:$AO$64,MATCH($F522,사건마스터!$A$5:$A$64,0)),""))</f>
        <v/>
      </c>
      <c r="R522" s="35">
        <f>IF($F522="","",IFERROR(INDEX(사건마스터!$AP$5:$AP$64,MATCH($F522,사건마스터!$A$5:$A$64,0)),""))</f>
        <v/>
      </c>
      <c r="S522" s="35">
        <f>IF($F522="","",IFERROR(INDEX(사건마스터!$AQ$5:$AQ$64,MATCH($F522,사건마스터!$A$5:$A$64,0)),""))</f>
        <v/>
      </c>
      <c r="T522" s="35">
        <f>IF($F522="","",IFERROR(INDEX(사건마스터!$AR$5:$AR$64,MATCH($F522,사건마스터!$A$5:$A$64,0)),""))</f>
        <v/>
      </c>
      <c r="U522" s="35">
        <f>IF($F522="","",IFERROR(INDEX(사건마스터!$AS$5:$AS$64,MATCH($F522,사건마스터!$A$5:$A$64,0)),""))</f>
        <v/>
      </c>
      <c r="V522" s="35">
        <f>IF($F522="","",IFERROR(INDEX(사건마스터!$AT$5:$AT$64,MATCH($F522,사건마스터!$A$5:$A$64,0)),""))</f>
        <v/>
      </c>
      <c r="W522" s="35">
        <f>IF($F522="","",IFERROR(INDEX(사건마스터!$AU$5:$AU$64,MATCH($F522,사건마스터!$A$5:$A$64,0)),""))</f>
        <v/>
      </c>
      <c r="X522" s="35">
        <f>IF($F522="","",IFERROR(INDEX(사건마스터!$AV$5:$AV$64,MATCH($F522,사건마스터!$A$5:$A$64,0)),""))</f>
        <v/>
      </c>
      <c r="Y522" s="30">
        <f>IF($I522="","",COUNTIF($I522:$X522,"?*"))</f>
        <v/>
      </c>
      <c r="Z522" s="33">
        <f>IF($I522="","",_xlfn.TEXTJOIN(", ",TRUE,$I522:$X522))</f>
        <v/>
      </c>
      <c r="AA522" s="34">
        <f>IF($I522="","",IFERROR(INDEX(코드설정!$D$5:$D$24,MATCH($I522,코드설정!$C$5:$C$24,0)),""))</f>
        <v/>
      </c>
      <c r="AB522" s="36" t="n"/>
      <c r="AC522" s="37" t="n"/>
      <c r="AD522" s="38" t="n"/>
      <c r="AE522" s="30">
        <f>IF(OR($B522="",$C522=""),"",$C522-$B522+1)</f>
        <v/>
      </c>
      <c r="AF522" s="32" t="n"/>
      <c r="AG522" s="36" t="n"/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3">
        <f>IF($F523="","",IFERROR(INDEX(사건마스터!$B$5:$B$64,MATCH($F523,사건마스터!$A$5:$A$64,0)),""))</f>
        <v/>
      </c>
      <c r="H523" s="34">
        <f>IF($F523="","",IFERROR(INDEX(사건마스터!$C$5:$C$64,MATCH($F523,사건마스터!$A$5:$A$64,0)),""))</f>
        <v/>
      </c>
      <c r="I523" s="35">
        <f>IF($F523="","",IFERROR(INDEX(사건마스터!$H$5:$H$64,MATCH($F523,사건마스터!$A$5:$A$64,0)),""))</f>
        <v/>
      </c>
      <c r="J523" s="35">
        <f>IF($F523="","",IFERROR(INDEX(사건마스터!$AH$5:$AH$64,MATCH($F523,사건마스터!$A$5:$A$64,0)),""))</f>
        <v/>
      </c>
      <c r="K523" s="35">
        <f>IF($F523="","",IFERROR(INDEX(사건마스터!$AI$5:$AI$64,MATCH($F523,사건마스터!$A$5:$A$64,0)),""))</f>
        <v/>
      </c>
      <c r="L523" s="35">
        <f>IF($F523="","",IFERROR(INDEX(사건마스터!$AJ$5:$AJ$64,MATCH($F523,사건마스터!$A$5:$A$64,0)),""))</f>
        <v/>
      </c>
      <c r="M523" s="35">
        <f>IF($F523="","",IFERROR(INDEX(사건마스터!$AK$5:$AK$64,MATCH($F523,사건마스터!$A$5:$A$64,0)),""))</f>
        <v/>
      </c>
      <c r="N523" s="35">
        <f>IF($F523="","",IFERROR(INDEX(사건마스터!$AL$5:$AL$64,MATCH($F523,사건마스터!$A$5:$A$64,0)),""))</f>
        <v/>
      </c>
      <c r="O523" s="35">
        <f>IF($F523="","",IFERROR(INDEX(사건마스터!$AM$5:$AM$64,MATCH($F523,사건마스터!$A$5:$A$64,0)),""))</f>
        <v/>
      </c>
      <c r="P523" s="35">
        <f>IF($F523="","",IFERROR(INDEX(사건마스터!$AN$5:$AN$64,MATCH($F523,사건마스터!$A$5:$A$64,0)),""))</f>
        <v/>
      </c>
      <c r="Q523" s="35">
        <f>IF($F523="","",IFERROR(INDEX(사건마스터!$AO$5:$AO$64,MATCH($F523,사건마스터!$A$5:$A$64,0)),""))</f>
        <v/>
      </c>
      <c r="R523" s="35">
        <f>IF($F523="","",IFERROR(INDEX(사건마스터!$AP$5:$AP$64,MATCH($F523,사건마스터!$A$5:$A$64,0)),""))</f>
        <v/>
      </c>
      <c r="S523" s="35">
        <f>IF($F523="","",IFERROR(INDEX(사건마스터!$AQ$5:$AQ$64,MATCH($F523,사건마스터!$A$5:$A$64,0)),""))</f>
        <v/>
      </c>
      <c r="T523" s="35">
        <f>IF($F523="","",IFERROR(INDEX(사건마스터!$AR$5:$AR$64,MATCH($F523,사건마스터!$A$5:$A$64,0)),""))</f>
        <v/>
      </c>
      <c r="U523" s="35">
        <f>IF($F523="","",IFERROR(INDEX(사건마스터!$AS$5:$AS$64,MATCH($F523,사건마스터!$A$5:$A$64,0)),""))</f>
        <v/>
      </c>
      <c r="V523" s="35">
        <f>IF($F523="","",IFERROR(INDEX(사건마스터!$AT$5:$AT$64,MATCH($F523,사건마스터!$A$5:$A$64,0)),""))</f>
        <v/>
      </c>
      <c r="W523" s="35">
        <f>IF($F523="","",IFERROR(INDEX(사건마스터!$AU$5:$AU$64,MATCH($F523,사건마스터!$A$5:$A$64,0)),""))</f>
        <v/>
      </c>
      <c r="X523" s="35">
        <f>IF($F523="","",IFERROR(INDEX(사건마스터!$AV$5:$AV$64,MATCH($F523,사건마스터!$A$5:$A$64,0)),""))</f>
        <v/>
      </c>
      <c r="Y523" s="30">
        <f>IF($I523="","",COUNTIF($I523:$X523,"?*"))</f>
        <v/>
      </c>
      <c r="Z523" s="33">
        <f>IF($I523="","",_xlfn.TEXTJOIN(", ",TRUE,$I523:$X523))</f>
        <v/>
      </c>
      <c r="AA523" s="34">
        <f>IF($I523="","",IFERROR(INDEX(코드설정!$D$5:$D$24,MATCH($I523,코드설정!$C$5:$C$24,0)),""))</f>
        <v/>
      </c>
      <c r="AB523" s="36" t="n"/>
      <c r="AC523" s="37" t="n"/>
      <c r="AD523" s="38" t="n"/>
      <c r="AE523" s="30">
        <f>IF(OR($B523="",$C523=""),"",$C523-$B523+1)</f>
        <v/>
      </c>
      <c r="AF523" s="32" t="n"/>
      <c r="AG523" s="36" t="n"/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3">
        <f>IF($F524="","",IFERROR(INDEX(사건마스터!$B$5:$B$64,MATCH($F524,사건마스터!$A$5:$A$64,0)),""))</f>
        <v/>
      </c>
      <c r="H524" s="34">
        <f>IF($F524="","",IFERROR(INDEX(사건마스터!$C$5:$C$64,MATCH($F524,사건마스터!$A$5:$A$64,0)),""))</f>
        <v/>
      </c>
      <c r="I524" s="35">
        <f>IF($F524="","",IFERROR(INDEX(사건마스터!$H$5:$H$64,MATCH($F524,사건마스터!$A$5:$A$64,0)),""))</f>
        <v/>
      </c>
      <c r="J524" s="35">
        <f>IF($F524="","",IFERROR(INDEX(사건마스터!$AH$5:$AH$64,MATCH($F524,사건마스터!$A$5:$A$64,0)),""))</f>
        <v/>
      </c>
      <c r="K524" s="35">
        <f>IF($F524="","",IFERROR(INDEX(사건마스터!$AI$5:$AI$64,MATCH($F524,사건마스터!$A$5:$A$64,0)),""))</f>
        <v/>
      </c>
      <c r="L524" s="35">
        <f>IF($F524="","",IFERROR(INDEX(사건마스터!$AJ$5:$AJ$64,MATCH($F524,사건마스터!$A$5:$A$64,0)),""))</f>
        <v/>
      </c>
      <c r="M524" s="35">
        <f>IF($F524="","",IFERROR(INDEX(사건마스터!$AK$5:$AK$64,MATCH($F524,사건마스터!$A$5:$A$64,0)),""))</f>
        <v/>
      </c>
      <c r="N524" s="35">
        <f>IF($F524="","",IFERROR(INDEX(사건마스터!$AL$5:$AL$64,MATCH($F524,사건마스터!$A$5:$A$64,0)),""))</f>
        <v/>
      </c>
      <c r="O524" s="35">
        <f>IF($F524="","",IFERROR(INDEX(사건마스터!$AM$5:$AM$64,MATCH($F524,사건마스터!$A$5:$A$64,0)),""))</f>
        <v/>
      </c>
      <c r="P524" s="35">
        <f>IF($F524="","",IFERROR(INDEX(사건마스터!$AN$5:$AN$64,MATCH($F524,사건마스터!$A$5:$A$64,0)),""))</f>
        <v/>
      </c>
      <c r="Q524" s="35">
        <f>IF($F524="","",IFERROR(INDEX(사건마스터!$AO$5:$AO$64,MATCH($F524,사건마스터!$A$5:$A$64,0)),""))</f>
        <v/>
      </c>
      <c r="R524" s="35">
        <f>IF($F524="","",IFERROR(INDEX(사건마스터!$AP$5:$AP$64,MATCH($F524,사건마스터!$A$5:$A$64,0)),""))</f>
        <v/>
      </c>
      <c r="S524" s="35">
        <f>IF($F524="","",IFERROR(INDEX(사건마스터!$AQ$5:$AQ$64,MATCH($F524,사건마스터!$A$5:$A$64,0)),""))</f>
        <v/>
      </c>
      <c r="T524" s="35">
        <f>IF($F524="","",IFERROR(INDEX(사건마스터!$AR$5:$AR$64,MATCH($F524,사건마스터!$A$5:$A$64,0)),""))</f>
        <v/>
      </c>
      <c r="U524" s="35">
        <f>IF($F524="","",IFERROR(INDEX(사건마스터!$AS$5:$AS$64,MATCH($F524,사건마스터!$A$5:$A$64,0)),""))</f>
        <v/>
      </c>
      <c r="V524" s="35">
        <f>IF($F524="","",IFERROR(INDEX(사건마스터!$AT$5:$AT$64,MATCH($F524,사건마스터!$A$5:$A$64,0)),""))</f>
        <v/>
      </c>
      <c r="W524" s="35">
        <f>IF($F524="","",IFERROR(INDEX(사건마스터!$AU$5:$AU$64,MATCH($F524,사건마스터!$A$5:$A$64,0)),""))</f>
        <v/>
      </c>
      <c r="X524" s="35">
        <f>IF($F524="","",IFERROR(INDEX(사건마스터!$AV$5:$AV$64,MATCH($F524,사건마스터!$A$5:$A$64,0)),""))</f>
        <v/>
      </c>
      <c r="Y524" s="30">
        <f>IF($I524="","",COUNTIF($I524:$X524,"?*"))</f>
        <v/>
      </c>
      <c r="Z524" s="33">
        <f>IF($I524="","",_xlfn.TEXTJOIN(", ",TRUE,$I524:$X524))</f>
        <v/>
      </c>
      <c r="AA524" s="34">
        <f>IF($I524="","",IFERROR(INDEX(코드설정!$D$5:$D$24,MATCH($I524,코드설정!$C$5:$C$24,0)),""))</f>
        <v/>
      </c>
      <c r="AB524" s="36" t="n"/>
      <c r="AC524" s="37" t="n"/>
      <c r="AD524" s="38" t="n"/>
      <c r="AE524" s="30">
        <f>IF(OR($B524="",$C524=""),"",$C524-$B524+1)</f>
        <v/>
      </c>
      <c r="AF524" s="32" t="n"/>
      <c r="AG524" s="36" t="n"/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3">
        <f>IF($F525="","",IFERROR(INDEX(사건마스터!$B$5:$B$64,MATCH($F525,사건마스터!$A$5:$A$64,0)),""))</f>
        <v/>
      </c>
      <c r="H525" s="34">
        <f>IF($F525="","",IFERROR(INDEX(사건마스터!$C$5:$C$64,MATCH($F525,사건마스터!$A$5:$A$64,0)),""))</f>
        <v/>
      </c>
      <c r="I525" s="35">
        <f>IF($F525="","",IFERROR(INDEX(사건마스터!$H$5:$H$64,MATCH($F525,사건마스터!$A$5:$A$64,0)),""))</f>
        <v/>
      </c>
      <c r="J525" s="35">
        <f>IF($F525="","",IFERROR(INDEX(사건마스터!$AH$5:$AH$64,MATCH($F525,사건마스터!$A$5:$A$64,0)),""))</f>
        <v/>
      </c>
      <c r="K525" s="35">
        <f>IF($F525="","",IFERROR(INDEX(사건마스터!$AI$5:$AI$64,MATCH($F525,사건마스터!$A$5:$A$64,0)),""))</f>
        <v/>
      </c>
      <c r="L525" s="35">
        <f>IF($F525="","",IFERROR(INDEX(사건마스터!$AJ$5:$AJ$64,MATCH($F525,사건마스터!$A$5:$A$64,0)),""))</f>
        <v/>
      </c>
      <c r="M525" s="35">
        <f>IF($F525="","",IFERROR(INDEX(사건마스터!$AK$5:$AK$64,MATCH($F525,사건마스터!$A$5:$A$64,0)),""))</f>
        <v/>
      </c>
      <c r="N525" s="35">
        <f>IF($F525="","",IFERROR(INDEX(사건마스터!$AL$5:$AL$64,MATCH($F525,사건마스터!$A$5:$A$64,0)),""))</f>
        <v/>
      </c>
      <c r="O525" s="35">
        <f>IF($F525="","",IFERROR(INDEX(사건마스터!$AM$5:$AM$64,MATCH($F525,사건마스터!$A$5:$A$64,0)),""))</f>
        <v/>
      </c>
      <c r="P525" s="35">
        <f>IF($F525="","",IFERROR(INDEX(사건마스터!$AN$5:$AN$64,MATCH($F525,사건마스터!$A$5:$A$64,0)),""))</f>
        <v/>
      </c>
      <c r="Q525" s="35">
        <f>IF($F525="","",IFERROR(INDEX(사건마스터!$AO$5:$AO$64,MATCH($F525,사건마스터!$A$5:$A$64,0)),""))</f>
        <v/>
      </c>
      <c r="R525" s="35">
        <f>IF($F525="","",IFERROR(INDEX(사건마스터!$AP$5:$AP$64,MATCH($F525,사건마스터!$A$5:$A$64,0)),""))</f>
        <v/>
      </c>
      <c r="S525" s="35">
        <f>IF($F525="","",IFERROR(INDEX(사건마스터!$AQ$5:$AQ$64,MATCH($F525,사건마스터!$A$5:$A$64,0)),""))</f>
        <v/>
      </c>
      <c r="T525" s="35">
        <f>IF($F525="","",IFERROR(INDEX(사건마스터!$AR$5:$AR$64,MATCH($F525,사건마스터!$A$5:$A$64,0)),""))</f>
        <v/>
      </c>
      <c r="U525" s="35">
        <f>IF($F525="","",IFERROR(INDEX(사건마스터!$AS$5:$AS$64,MATCH($F525,사건마스터!$A$5:$A$64,0)),""))</f>
        <v/>
      </c>
      <c r="V525" s="35">
        <f>IF($F525="","",IFERROR(INDEX(사건마스터!$AT$5:$AT$64,MATCH($F525,사건마스터!$A$5:$A$64,0)),""))</f>
        <v/>
      </c>
      <c r="W525" s="35">
        <f>IF($F525="","",IFERROR(INDEX(사건마스터!$AU$5:$AU$64,MATCH($F525,사건마스터!$A$5:$A$64,0)),""))</f>
        <v/>
      </c>
      <c r="X525" s="35">
        <f>IF($F525="","",IFERROR(INDEX(사건마스터!$AV$5:$AV$64,MATCH($F525,사건마스터!$A$5:$A$64,0)),""))</f>
        <v/>
      </c>
      <c r="Y525" s="30">
        <f>IF($I525="","",COUNTIF($I525:$X525,"?*"))</f>
        <v/>
      </c>
      <c r="Z525" s="33">
        <f>IF($I525="","",_xlfn.TEXTJOIN(", ",TRUE,$I525:$X525))</f>
        <v/>
      </c>
      <c r="AA525" s="34">
        <f>IF($I525="","",IFERROR(INDEX(코드설정!$D$5:$D$24,MATCH($I525,코드설정!$C$5:$C$24,0)),""))</f>
        <v/>
      </c>
      <c r="AB525" s="36" t="n"/>
      <c r="AC525" s="37" t="n"/>
      <c r="AD525" s="38" t="n"/>
      <c r="AE525" s="30">
        <f>IF(OR($B525="",$C525=""),"",$C525-$B525+1)</f>
        <v/>
      </c>
      <c r="AF525" s="32" t="n"/>
      <c r="AG525" s="36" t="n"/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3">
        <f>IF($F526="","",IFERROR(INDEX(사건마스터!$B$5:$B$64,MATCH($F526,사건마스터!$A$5:$A$64,0)),""))</f>
        <v/>
      </c>
      <c r="H526" s="34">
        <f>IF($F526="","",IFERROR(INDEX(사건마스터!$C$5:$C$64,MATCH($F526,사건마스터!$A$5:$A$64,0)),""))</f>
        <v/>
      </c>
      <c r="I526" s="35">
        <f>IF($F526="","",IFERROR(INDEX(사건마스터!$H$5:$H$64,MATCH($F526,사건마스터!$A$5:$A$64,0)),""))</f>
        <v/>
      </c>
      <c r="J526" s="35">
        <f>IF($F526="","",IFERROR(INDEX(사건마스터!$AH$5:$AH$64,MATCH($F526,사건마스터!$A$5:$A$64,0)),""))</f>
        <v/>
      </c>
      <c r="K526" s="35">
        <f>IF($F526="","",IFERROR(INDEX(사건마스터!$AI$5:$AI$64,MATCH($F526,사건마스터!$A$5:$A$64,0)),""))</f>
        <v/>
      </c>
      <c r="L526" s="35">
        <f>IF($F526="","",IFERROR(INDEX(사건마스터!$AJ$5:$AJ$64,MATCH($F526,사건마스터!$A$5:$A$64,0)),""))</f>
        <v/>
      </c>
      <c r="M526" s="35">
        <f>IF($F526="","",IFERROR(INDEX(사건마스터!$AK$5:$AK$64,MATCH($F526,사건마스터!$A$5:$A$64,0)),""))</f>
        <v/>
      </c>
      <c r="N526" s="35">
        <f>IF($F526="","",IFERROR(INDEX(사건마스터!$AL$5:$AL$64,MATCH($F526,사건마스터!$A$5:$A$64,0)),""))</f>
        <v/>
      </c>
      <c r="O526" s="35">
        <f>IF($F526="","",IFERROR(INDEX(사건마스터!$AM$5:$AM$64,MATCH($F526,사건마스터!$A$5:$A$64,0)),""))</f>
        <v/>
      </c>
      <c r="P526" s="35">
        <f>IF($F526="","",IFERROR(INDEX(사건마스터!$AN$5:$AN$64,MATCH($F526,사건마스터!$A$5:$A$64,0)),""))</f>
        <v/>
      </c>
      <c r="Q526" s="35">
        <f>IF($F526="","",IFERROR(INDEX(사건마스터!$AO$5:$AO$64,MATCH($F526,사건마스터!$A$5:$A$64,0)),""))</f>
        <v/>
      </c>
      <c r="R526" s="35">
        <f>IF($F526="","",IFERROR(INDEX(사건마스터!$AP$5:$AP$64,MATCH($F526,사건마스터!$A$5:$A$64,0)),""))</f>
        <v/>
      </c>
      <c r="S526" s="35">
        <f>IF($F526="","",IFERROR(INDEX(사건마스터!$AQ$5:$AQ$64,MATCH($F526,사건마스터!$A$5:$A$64,0)),""))</f>
        <v/>
      </c>
      <c r="T526" s="35">
        <f>IF($F526="","",IFERROR(INDEX(사건마스터!$AR$5:$AR$64,MATCH($F526,사건마스터!$A$5:$A$64,0)),""))</f>
        <v/>
      </c>
      <c r="U526" s="35">
        <f>IF($F526="","",IFERROR(INDEX(사건마스터!$AS$5:$AS$64,MATCH($F526,사건마스터!$A$5:$A$64,0)),""))</f>
        <v/>
      </c>
      <c r="V526" s="35">
        <f>IF($F526="","",IFERROR(INDEX(사건마스터!$AT$5:$AT$64,MATCH($F526,사건마스터!$A$5:$A$64,0)),""))</f>
        <v/>
      </c>
      <c r="W526" s="35">
        <f>IF($F526="","",IFERROR(INDEX(사건마스터!$AU$5:$AU$64,MATCH($F526,사건마스터!$A$5:$A$64,0)),""))</f>
        <v/>
      </c>
      <c r="X526" s="35">
        <f>IF($F526="","",IFERROR(INDEX(사건마스터!$AV$5:$AV$64,MATCH($F526,사건마스터!$A$5:$A$64,0)),""))</f>
        <v/>
      </c>
      <c r="Y526" s="30">
        <f>IF($I526="","",COUNTIF($I526:$X526,"?*"))</f>
        <v/>
      </c>
      <c r="Z526" s="33">
        <f>IF($I526="","",_xlfn.TEXTJOIN(", ",TRUE,$I526:$X526))</f>
        <v/>
      </c>
      <c r="AA526" s="34">
        <f>IF($I526="","",IFERROR(INDEX(코드설정!$D$5:$D$24,MATCH($I526,코드설정!$C$5:$C$24,0)),""))</f>
        <v/>
      </c>
      <c r="AB526" s="36" t="n"/>
      <c r="AC526" s="37" t="n"/>
      <c r="AD526" s="38" t="n"/>
      <c r="AE526" s="30">
        <f>IF(OR($B526="",$C526=""),"",$C526-$B526+1)</f>
        <v/>
      </c>
      <c r="AF526" s="32" t="n"/>
      <c r="AG526" s="36" t="n"/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3">
        <f>IF($F527="","",IFERROR(INDEX(사건마스터!$B$5:$B$64,MATCH($F527,사건마스터!$A$5:$A$64,0)),""))</f>
        <v/>
      </c>
      <c r="H527" s="34">
        <f>IF($F527="","",IFERROR(INDEX(사건마스터!$C$5:$C$64,MATCH($F527,사건마스터!$A$5:$A$64,0)),""))</f>
        <v/>
      </c>
      <c r="I527" s="35">
        <f>IF($F527="","",IFERROR(INDEX(사건마스터!$H$5:$H$64,MATCH($F527,사건마스터!$A$5:$A$64,0)),""))</f>
        <v/>
      </c>
      <c r="J527" s="35">
        <f>IF($F527="","",IFERROR(INDEX(사건마스터!$AH$5:$AH$64,MATCH($F527,사건마스터!$A$5:$A$64,0)),""))</f>
        <v/>
      </c>
      <c r="K527" s="35">
        <f>IF($F527="","",IFERROR(INDEX(사건마스터!$AI$5:$AI$64,MATCH($F527,사건마스터!$A$5:$A$64,0)),""))</f>
        <v/>
      </c>
      <c r="L527" s="35">
        <f>IF($F527="","",IFERROR(INDEX(사건마스터!$AJ$5:$AJ$64,MATCH($F527,사건마스터!$A$5:$A$64,0)),""))</f>
        <v/>
      </c>
      <c r="M527" s="35">
        <f>IF($F527="","",IFERROR(INDEX(사건마스터!$AK$5:$AK$64,MATCH($F527,사건마스터!$A$5:$A$64,0)),""))</f>
        <v/>
      </c>
      <c r="N527" s="35">
        <f>IF($F527="","",IFERROR(INDEX(사건마스터!$AL$5:$AL$64,MATCH($F527,사건마스터!$A$5:$A$64,0)),""))</f>
        <v/>
      </c>
      <c r="O527" s="35">
        <f>IF($F527="","",IFERROR(INDEX(사건마스터!$AM$5:$AM$64,MATCH($F527,사건마스터!$A$5:$A$64,0)),""))</f>
        <v/>
      </c>
      <c r="P527" s="35">
        <f>IF($F527="","",IFERROR(INDEX(사건마스터!$AN$5:$AN$64,MATCH($F527,사건마스터!$A$5:$A$64,0)),""))</f>
        <v/>
      </c>
      <c r="Q527" s="35">
        <f>IF($F527="","",IFERROR(INDEX(사건마스터!$AO$5:$AO$64,MATCH($F527,사건마스터!$A$5:$A$64,0)),""))</f>
        <v/>
      </c>
      <c r="R527" s="35">
        <f>IF($F527="","",IFERROR(INDEX(사건마스터!$AP$5:$AP$64,MATCH($F527,사건마스터!$A$5:$A$64,0)),""))</f>
        <v/>
      </c>
      <c r="S527" s="35">
        <f>IF($F527="","",IFERROR(INDEX(사건마스터!$AQ$5:$AQ$64,MATCH($F527,사건마스터!$A$5:$A$64,0)),""))</f>
        <v/>
      </c>
      <c r="T527" s="35">
        <f>IF($F527="","",IFERROR(INDEX(사건마스터!$AR$5:$AR$64,MATCH($F527,사건마스터!$A$5:$A$64,0)),""))</f>
        <v/>
      </c>
      <c r="U527" s="35">
        <f>IF($F527="","",IFERROR(INDEX(사건마스터!$AS$5:$AS$64,MATCH($F527,사건마스터!$A$5:$A$64,0)),""))</f>
        <v/>
      </c>
      <c r="V527" s="35">
        <f>IF($F527="","",IFERROR(INDEX(사건마스터!$AT$5:$AT$64,MATCH($F527,사건마스터!$A$5:$A$64,0)),""))</f>
        <v/>
      </c>
      <c r="W527" s="35">
        <f>IF($F527="","",IFERROR(INDEX(사건마스터!$AU$5:$AU$64,MATCH($F527,사건마스터!$A$5:$A$64,0)),""))</f>
        <v/>
      </c>
      <c r="X527" s="35">
        <f>IF($F527="","",IFERROR(INDEX(사건마스터!$AV$5:$AV$64,MATCH($F527,사건마스터!$A$5:$A$64,0)),""))</f>
        <v/>
      </c>
      <c r="Y527" s="30">
        <f>IF($I527="","",COUNTIF($I527:$X527,"?*"))</f>
        <v/>
      </c>
      <c r="Z527" s="33">
        <f>IF($I527="","",_xlfn.TEXTJOIN(", ",TRUE,$I527:$X527))</f>
        <v/>
      </c>
      <c r="AA527" s="34">
        <f>IF($I527="","",IFERROR(INDEX(코드설정!$D$5:$D$24,MATCH($I527,코드설정!$C$5:$C$24,0)),""))</f>
        <v/>
      </c>
      <c r="AB527" s="36" t="n"/>
      <c r="AC527" s="37" t="n"/>
      <c r="AD527" s="38" t="n"/>
      <c r="AE527" s="30">
        <f>IF(OR($B527="",$C527=""),"",$C527-$B527+1)</f>
        <v/>
      </c>
      <c r="AF527" s="32" t="n"/>
      <c r="AG527" s="36" t="n"/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3">
        <f>IF($F528="","",IFERROR(INDEX(사건마스터!$B$5:$B$64,MATCH($F528,사건마스터!$A$5:$A$64,0)),""))</f>
        <v/>
      </c>
      <c r="H528" s="34">
        <f>IF($F528="","",IFERROR(INDEX(사건마스터!$C$5:$C$64,MATCH($F528,사건마스터!$A$5:$A$64,0)),""))</f>
        <v/>
      </c>
      <c r="I528" s="35">
        <f>IF($F528="","",IFERROR(INDEX(사건마스터!$H$5:$H$64,MATCH($F528,사건마스터!$A$5:$A$64,0)),""))</f>
        <v/>
      </c>
      <c r="J528" s="35">
        <f>IF($F528="","",IFERROR(INDEX(사건마스터!$AH$5:$AH$64,MATCH($F528,사건마스터!$A$5:$A$64,0)),""))</f>
        <v/>
      </c>
      <c r="K528" s="35">
        <f>IF($F528="","",IFERROR(INDEX(사건마스터!$AI$5:$AI$64,MATCH($F528,사건마스터!$A$5:$A$64,0)),""))</f>
        <v/>
      </c>
      <c r="L528" s="35">
        <f>IF($F528="","",IFERROR(INDEX(사건마스터!$AJ$5:$AJ$64,MATCH($F528,사건마스터!$A$5:$A$64,0)),""))</f>
        <v/>
      </c>
      <c r="M528" s="35">
        <f>IF($F528="","",IFERROR(INDEX(사건마스터!$AK$5:$AK$64,MATCH($F528,사건마스터!$A$5:$A$64,0)),""))</f>
        <v/>
      </c>
      <c r="N528" s="35">
        <f>IF($F528="","",IFERROR(INDEX(사건마스터!$AL$5:$AL$64,MATCH($F528,사건마스터!$A$5:$A$64,0)),""))</f>
        <v/>
      </c>
      <c r="O528" s="35">
        <f>IF($F528="","",IFERROR(INDEX(사건마스터!$AM$5:$AM$64,MATCH($F528,사건마스터!$A$5:$A$64,0)),""))</f>
        <v/>
      </c>
      <c r="P528" s="35">
        <f>IF($F528="","",IFERROR(INDEX(사건마스터!$AN$5:$AN$64,MATCH($F528,사건마스터!$A$5:$A$64,0)),""))</f>
        <v/>
      </c>
      <c r="Q528" s="35">
        <f>IF($F528="","",IFERROR(INDEX(사건마스터!$AO$5:$AO$64,MATCH($F528,사건마스터!$A$5:$A$64,0)),""))</f>
        <v/>
      </c>
      <c r="R528" s="35">
        <f>IF($F528="","",IFERROR(INDEX(사건마스터!$AP$5:$AP$64,MATCH($F528,사건마스터!$A$5:$A$64,0)),""))</f>
        <v/>
      </c>
      <c r="S528" s="35">
        <f>IF($F528="","",IFERROR(INDEX(사건마스터!$AQ$5:$AQ$64,MATCH($F528,사건마스터!$A$5:$A$64,0)),""))</f>
        <v/>
      </c>
      <c r="T528" s="35">
        <f>IF($F528="","",IFERROR(INDEX(사건마스터!$AR$5:$AR$64,MATCH($F528,사건마스터!$A$5:$A$64,0)),""))</f>
        <v/>
      </c>
      <c r="U528" s="35">
        <f>IF($F528="","",IFERROR(INDEX(사건마스터!$AS$5:$AS$64,MATCH($F528,사건마스터!$A$5:$A$64,0)),""))</f>
        <v/>
      </c>
      <c r="V528" s="35">
        <f>IF($F528="","",IFERROR(INDEX(사건마스터!$AT$5:$AT$64,MATCH($F528,사건마스터!$A$5:$A$64,0)),""))</f>
        <v/>
      </c>
      <c r="W528" s="35">
        <f>IF($F528="","",IFERROR(INDEX(사건마스터!$AU$5:$AU$64,MATCH($F528,사건마스터!$A$5:$A$64,0)),""))</f>
        <v/>
      </c>
      <c r="X528" s="35">
        <f>IF($F528="","",IFERROR(INDEX(사건마스터!$AV$5:$AV$64,MATCH($F528,사건마스터!$A$5:$A$64,0)),""))</f>
        <v/>
      </c>
      <c r="Y528" s="30">
        <f>IF($I528="","",COUNTIF($I528:$X528,"?*"))</f>
        <v/>
      </c>
      <c r="Z528" s="33">
        <f>IF($I528="","",_xlfn.TEXTJOIN(", ",TRUE,$I528:$X528))</f>
        <v/>
      </c>
      <c r="AA528" s="34">
        <f>IF($I528="","",IFERROR(INDEX(코드설정!$D$5:$D$24,MATCH($I528,코드설정!$C$5:$C$24,0)),""))</f>
        <v/>
      </c>
      <c r="AB528" s="36" t="n"/>
      <c r="AC528" s="37" t="n"/>
      <c r="AD528" s="38" t="n"/>
      <c r="AE528" s="30">
        <f>IF(OR($B528="",$C528=""),"",$C528-$B528+1)</f>
        <v/>
      </c>
      <c r="AF528" s="32" t="n"/>
      <c r="AG528" s="36" t="n"/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3">
        <f>IF($F529="","",IFERROR(INDEX(사건마스터!$B$5:$B$64,MATCH($F529,사건마스터!$A$5:$A$64,0)),""))</f>
        <v/>
      </c>
      <c r="H529" s="34">
        <f>IF($F529="","",IFERROR(INDEX(사건마스터!$C$5:$C$64,MATCH($F529,사건마스터!$A$5:$A$64,0)),""))</f>
        <v/>
      </c>
      <c r="I529" s="35">
        <f>IF($F529="","",IFERROR(INDEX(사건마스터!$H$5:$H$64,MATCH($F529,사건마스터!$A$5:$A$64,0)),""))</f>
        <v/>
      </c>
      <c r="J529" s="35">
        <f>IF($F529="","",IFERROR(INDEX(사건마스터!$AH$5:$AH$64,MATCH($F529,사건마스터!$A$5:$A$64,0)),""))</f>
        <v/>
      </c>
      <c r="K529" s="35">
        <f>IF($F529="","",IFERROR(INDEX(사건마스터!$AI$5:$AI$64,MATCH($F529,사건마스터!$A$5:$A$64,0)),""))</f>
        <v/>
      </c>
      <c r="L529" s="35">
        <f>IF($F529="","",IFERROR(INDEX(사건마스터!$AJ$5:$AJ$64,MATCH($F529,사건마스터!$A$5:$A$64,0)),""))</f>
        <v/>
      </c>
      <c r="M529" s="35">
        <f>IF($F529="","",IFERROR(INDEX(사건마스터!$AK$5:$AK$64,MATCH($F529,사건마스터!$A$5:$A$64,0)),""))</f>
        <v/>
      </c>
      <c r="N529" s="35">
        <f>IF($F529="","",IFERROR(INDEX(사건마스터!$AL$5:$AL$64,MATCH($F529,사건마스터!$A$5:$A$64,0)),""))</f>
        <v/>
      </c>
      <c r="O529" s="35">
        <f>IF($F529="","",IFERROR(INDEX(사건마스터!$AM$5:$AM$64,MATCH($F529,사건마스터!$A$5:$A$64,0)),""))</f>
        <v/>
      </c>
      <c r="P529" s="35">
        <f>IF($F529="","",IFERROR(INDEX(사건마스터!$AN$5:$AN$64,MATCH($F529,사건마스터!$A$5:$A$64,0)),""))</f>
        <v/>
      </c>
      <c r="Q529" s="35">
        <f>IF($F529="","",IFERROR(INDEX(사건마스터!$AO$5:$AO$64,MATCH($F529,사건마스터!$A$5:$A$64,0)),""))</f>
        <v/>
      </c>
      <c r="R529" s="35">
        <f>IF($F529="","",IFERROR(INDEX(사건마스터!$AP$5:$AP$64,MATCH($F529,사건마스터!$A$5:$A$64,0)),""))</f>
        <v/>
      </c>
      <c r="S529" s="35">
        <f>IF($F529="","",IFERROR(INDEX(사건마스터!$AQ$5:$AQ$64,MATCH($F529,사건마스터!$A$5:$A$64,0)),""))</f>
        <v/>
      </c>
      <c r="T529" s="35">
        <f>IF($F529="","",IFERROR(INDEX(사건마스터!$AR$5:$AR$64,MATCH($F529,사건마스터!$A$5:$A$64,0)),""))</f>
        <v/>
      </c>
      <c r="U529" s="35">
        <f>IF($F529="","",IFERROR(INDEX(사건마스터!$AS$5:$AS$64,MATCH($F529,사건마스터!$A$5:$A$64,0)),""))</f>
        <v/>
      </c>
      <c r="V529" s="35">
        <f>IF($F529="","",IFERROR(INDEX(사건마스터!$AT$5:$AT$64,MATCH($F529,사건마스터!$A$5:$A$64,0)),""))</f>
        <v/>
      </c>
      <c r="W529" s="35">
        <f>IF($F529="","",IFERROR(INDEX(사건마스터!$AU$5:$AU$64,MATCH($F529,사건마스터!$A$5:$A$64,0)),""))</f>
        <v/>
      </c>
      <c r="X529" s="35">
        <f>IF($F529="","",IFERROR(INDEX(사건마스터!$AV$5:$AV$64,MATCH($F529,사건마스터!$A$5:$A$64,0)),""))</f>
        <v/>
      </c>
      <c r="Y529" s="30">
        <f>IF($I529="","",COUNTIF($I529:$X529,"?*"))</f>
        <v/>
      </c>
      <c r="Z529" s="33">
        <f>IF($I529="","",_xlfn.TEXTJOIN(", ",TRUE,$I529:$X529))</f>
        <v/>
      </c>
      <c r="AA529" s="34">
        <f>IF($I529="","",IFERROR(INDEX(코드설정!$D$5:$D$24,MATCH($I529,코드설정!$C$5:$C$24,0)),""))</f>
        <v/>
      </c>
      <c r="AB529" s="36" t="n"/>
      <c r="AC529" s="37" t="n"/>
      <c r="AD529" s="38" t="n"/>
      <c r="AE529" s="30">
        <f>IF(OR($B529="",$C529=""),"",$C529-$B529+1)</f>
        <v/>
      </c>
      <c r="AF529" s="32" t="n"/>
      <c r="AG529" s="36" t="n"/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3">
        <f>IF($F530="","",IFERROR(INDEX(사건마스터!$B$5:$B$64,MATCH($F530,사건마스터!$A$5:$A$64,0)),""))</f>
        <v/>
      </c>
      <c r="H530" s="34">
        <f>IF($F530="","",IFERROR(INDEX(사건마스터!$C$5:$C$64,MATCH($F530,사건마스터!$A$5:$A$64,0)),""))</f>
        <v/>
      </c>
      <c r="I530" s="35">
        <f>IF($F530="","",IFERROR(INDEX(사건마스터!$H$5:$H$64,MATCH($F530,사건마스터!$A$5:$A$64,0)),""))</f>
        <v/>
      </c>
      <c r="J530" s="35">
        <f>IF($F530="","",IFERROR(INDEX(사건마스터!$AH$5:$AH$64,MATCH($F530,사건마스터!$A$5:$A$64,0)),""))</f>
        <v/>
      </c>
      <c r="K530" s="35">
        <f>IF($F530="","",IFERROR(INDEX(사건마스터!$AI$5:$AI$64,MATCH($F530,사건마스터!$A$5:$A$64,0)),""))</f>
        <v/>
      </c>
      <c r="L530" s="35">
        <f>IF($F530="","",IFERROR(INDEX(사건마스터!$AJ$5:$AJ$64,MATCH($F530,사건마스터!$A$5:$A$64,0)),""))</f>
        <v/>
      </c>
      <c r="M530" s="35">
        <f>IF($F530="","",IFERROR(INDEX(사건마스터!$AK$5:$AK$64,MATCH($F530,사건마스터!$A$5:$A$64,0)),""))</f>
        <v/>
      </c>
      <c r="N530" s="35">
        <f>IF($F530="","",IFERROR(INDEX(사건마스터!$AL$5:$AL$64,MATCH($F530,사건마스터!$A$5:$A$64,0)),""))</f>
        <v/>
      </c>
      <c r="O530" s="35">
        <f>IF($F530="","",IFERROR(INDEX(사건마스터!$AM$5:$AM$64,MATCH($F530,사건마스터!$A$5:$A$64,0)),""))</f>
        <v/>
      </c>
      <c r="P530" s="35">
        <f>IF($F530="","",IFERROR(INDEX(사건마스터!$AN$5:$AN$64,MATCH($F530,사건마스터!$A$5:$A$64,0)),""))</f>
        <v/>
      </c>
      <c r="Q530" s="35">
        <f>IF($F530="","",IFERROR(INDEX(사건마스터!$AO$5:$AO$64,MATCH($F530,사건마스터!$A$5:$A$64,0)),""))</f>
        <v/>
      </c>
      <c r="R530" s="35">
        <f>IF($F530="","",IFERROR(INDEX(사건마스터!$AP$5:$AP$64,MATCH($F530,사건마스터!$A$5:$A$64,0)),""))</f>
        <v/>
      </c>
      <c r="S530" s="35">
        <f>IF($F530="","",IFERROR(INDEX(사건마스터!$AQ$5:$AQ$64,MATCH($F530,사건마스터!$A$5:$A$64,0)),""))</f>
        <v/>
      </c>
      <c r="T530" s="35">
        <f>IF($F530="","",IFERROR(INDEX(사건마스터!$AR$5:$AR$64,MATCH($F530,사건마스터!$A$5:$A$64,0)),""))</f>
        <v/>
      </c>
      <c r="U530" s="35">
        <f>IF($F530="","",IFERROR(INDEX(사건마스터!$AS$5:$AS$64,MATCH($F530,사건마스터!$A$5:$A$64,0)),""))</f>
        <v/>
      </c>
      <c r="V530" s="35">
        <f>IF($F530="","",IFERROR(INDEX(사건마스터!$AT$5:$AT$64,MATCH($F530,사건마스터!$A$5:$A$64,0)),""))</f>
        <v/>
      </c>
      <c r="W530" s="35">
        <f>IF($F530="","",IFERROR(INDEX(사건마스터!$AU$5:$AU$64,MATCH($F530,사건마스터!$A$5:$A$64,0)),""))</f>
        <v/>
      </c>
      <c r="X530" s="35">
        <f>IF($F530="","",IFERROR(INDEX(사건마스터!$AV$5:$AV$64,MATCH($F530,사건마스터!$A$5:$A$64,0)),""))</f>
        <v/>
      </c>
      <c r="Y530" s="30">
        <f>IF($I530="","",COUNTIF($I530:$X530,"?*"))</f>
        <v/>
      </c>
      <c r="Z530" s="33">
        <f>IF($I530="","",_xlfn.TEXTJOIN(", ",TRUE,$I530:$X530))</f>
        <v/>
      </c>
      <c r="AA530" s="34">
        <f>IF($I530="","",IFERROR(INDEX(코드설정!$D$5:$D$24,MATCH($I530,코드설정!$C$5:$C$24,0)),""))</f>
        <v/>
      </c>
      <c r="AB530" s="36" t="n"/>
      <c r="AC530" s="37" t="n"/>
      <c r="AD530" s="38" t="n"/>
      <c r="AE530" s="30">
        <f>IF(OR($B530="",$C530=""),"",$C530-$B530+1)</f>
        <v/>
      </c>
      <c r="AF530" s="32" t="n"/>
      <c r="AG530" s="36" t="n"/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3">
        <f>IF($F531="","",IFERROR(INDEX(사건마스터!$B$5:$B$64,MATCH($F531,사건마스터!$A$5:$A$64,0)),""))</f>
        <v/>
      </c>
      <c r="H531" s="34">
        <f>IF($F531="","",IFERROR(INDEX(사건마스터!$C$5:$C$64,MATCH($F531,사건마스터!$A$5:$A$64,0)),""))</f>
        <v/>
      </c>
      <c r="I531" s="35">
        <f>IF($F531="","",IFERROR(INDEX(사건마스터!$H$5:$H$64,MATCH($F531,사건마스터!$A$5:$A$64,0)),""))</f>
        <v/>
      </c>
      <c r="J531" s="35">
        <f>IF($F531="","",IFERROR(INDEX(사건마스터!$AH$5:$AH$64,MATCH($F531,사건마스터!$A$5:$A$64,0)),""))</f>
        <v/>
      </c>
      <c r="K531" s="35">
        <f>IF($F531="","",IFERROR(INDEX(사건마스터!$AI$5:$AI$64,MATCH($F531,사건마스터!$A$5:$A$64,0)),""))</f>
        <v/>
      </c>
      <c r="L531" s="35">
        <f>IF($F531="","",IFERROR(INDEX(사건마스터!$AJ$5:$AJ$64,MATCH($F531,사건마스터!$A$5:$A$64,0)),""))</f>
        <v/>
      </c>
      <c r="M531" s="35">
        <f>IF($F531="","",IFERROR(INDEX(사건마스터!$AK$5:$AK$64,MATCH($F531,사건마스터!$A$5:$A$64,0)),""))</f>
        <v/>
      </c>
      <c r="N531" s="35">
        <f>IF($F531="","",IFERROR(INDEX(사건마스터!$AL$5:$AL$64,MATCH($F531,사건마스터!$A$5:$A$64,0)),""))</f>
        <v/>
      </c>
      <c r="O531" s="35">
        <f>IF($F531="","",IFERROR(INDEX(사건마스터!$AM$5:$AM$64,MATCH($F531,사건마스터!$A$5:$A$64,0)),""))</f>
        <v/>
      </c>
      <c r="P531" s="35">
        <f>IF($F531="","",IFERROR(INDEX(사건마스터!$AN$5:$AN$64,MATCH($F531,사건마스터!$A$5:$A$64,0)),""))</f>
        <v/>
      </c>
      <c r="Q531" s="35">
        <f>IF($F531="","",IFERROR(INDEX(사건마스터!$AO$5:$AO$64,MATCH($F531,사건마스터!$A$5:$A$64,0)),""))</f>
        <v/>
      </c>
      <c r="R531" s="35">
        <f>IF($F531="","",IFERROR(INDEX(사건마스터!$AP$5:$AP$64,MATCH($F531,사건마스터!$A$5:$A$64,0)),""))</f>
        <v/>
      </c>
      <c r="S531" s="35">
        <f>IF($F531="","",IFERROR(INDEX(사건마스터!$AQ$5:$AQ$64,MATCH($F531,사건마스터!$A$5:$A$64,0)),""))</f>
        <v/>
      </c>
      <c r="T531" s="35">
        <f>IF($F531="","",IFERROR(INDEX(사건마스터!$AR$5:$AR$64,MATCH($F531,사건마스터!$A$5:$A$64,0)),""))</f>
        <v/>
      </c>
      <c r="U531" s="35">
        <f>IF($F531="","",IFERROR(INDEX(사건마스터!$AS$5:$AS$64,MATCH($F531,사건마스터!$A$5:$A$64,0)),""))</f>
        <v/>
      </c>
      <c r="V531" s="35">
        <f>IF($F531="","",IFERROR(INDEX(사건마스터!$AT$5:$AT$64,MATCH($F531,사건마스터!$A$5:$A$64,0)),""))</f>
        <v/>
      </c>
      <c r="W531" s="35">
        <f>IF($F531="","",IFERROR(INDEX(사건마스터!$AU$5:$AU$64,MATCH($F531,사건마스터!$A$5:$A$64,0)),""))</f>
        <v/>
      </c>
      <c r="X531" s="35">
        <f>IF($F531="","",IFERROR(INDEX(사건마스터!$AV$5:$AV$64,MATCH($F531,사건마스터!$A$5:$A$64,0)),""))</f>
        <v/>
      </c>
      <c r="Y531" s="30">
        <f>IF($I531="","",COUNTIF($I531:$X531,"?*"))</f>
        <v/>
      </c>
      <c r="Z531" s="33">
        <f>IF($I531="","",_xlfn.TEXTJOIN(", ",TRUE,$I531:$X531))</f>
        <v/>
      </c>
      <c r="AA531" s="34">
        <f>IF($I531="","",IFERROR(INDEX(코드설정!$D$5:$D$24,MATCH($I531,코드설정!$C$5:$C$24,0)),""))</f>
        <v/>
      </c>
      <c r="AB531" s="36" t="n"/>
      <c r="AC531" s="37" t="n"/>
      <c r="AD531" s="38" t="n"/>
      <c r="AE531" s="30">
        <f>IF(OR($B531="",$C531=""),"",$C531-$B531+1)</f>
        <v/>
      </c>
      <c r="AF531" s="32" t="n"/>
      <c r="AG531" s="36" t="n"/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3">
        <f>IF($F532="","",IFERROR(INDEX(사건마스터!$B$5:$B$64,MATCH($F532,사건마스터!$A$5:$A$64,0)),""))</f>
        <v/>
      </c>
      <c r="H532" s="34">
        <f>IF($F532="","",IFERROR(INDEX(사건마스터!$C$5:$C$64,MATCH($F532,사건마스터!$A$5:$A$64,0)),""))</f>
        <v/>
      </c>
      <c r="I532" s="35">
        <f>IF($F532="","",IFERROR(INDEX(사건마스터!$H$5:$H$64,MATCH($F532,사건마스터!$A$5:$A$64,0)),""))</f>
        <v/>
      </c>
      <c r="J532" s="35">
        <f>IF($F532="","",IFERROR(INDEX(사건마스터!$AH$5:$AH$64,MATCH($F532,사건마스터!$A$5:$A$64,0)),""))</f>
        <v/>
      </c>
      <c r="K532" s="35">
        <f>IF($F532="","",IFERROR(INDEX(사건마스터!$AI$5:$AI$64,MATCH($F532,사건마스터!$A$5:$A$64,0)),""))</f>
        <v/>
      </c>
      <c r="L532" s="35">
        <f>IF($F532="","",IFERROR(INDEX(사건마스터!$AJ$5:$AJ$64,MATCH($F532,사건마스터!$A$5:$A$64,0)),""))</f>
        <v/>
      </c>
      <c r="M532" s="35">
        <f>IF($F532="","",IFERROR(INDEX(사건마스터!$AK$5:$AK$64,MATCH($F532,사건마스터!$A$5:$A$64,0)),""))</f>
        <v/>
      </c>
      <c r="N532" s="35">
        <f>IF($F532="","",IFERROR(INDEX(사건마스터!$AL$5:$AL$64,MATCH($F532,사건마스터!$A$5:$A$64,0)),""))</f>
        <v/>
      </c>
      <c r="O532" s="35">
        <f>IF($F532="","",IFERROR(INDEX(사건마스터!$AM$5:$AM$64,MATCH($F532,사건마스터!$A$5:$A$64,0)),""))</f>
        <v/>
      </c>
      <c r="P532" s="35">
        <f>IF($F532="","",IFERROR(INDEX(사건마스터!$AN$5:$AN$64,MATCH($F532,사건마스터!$A$5:$A$64,0)),""))</f>
        <v/>
      </c>
      <c r="Q532" s="35">
        <f>IF($F532="","",IFERROR(INDEX(사건마스터!$AO$5:$AO$64,MATCH($F532,사건마스터!$A$5:$A$64,0)),""))</f>
        <v/>
      </c>
      <c r="R532" s="35">
        <f>IF($F532="","",IFERROR(INDEX(사건마스터!$AP$5:$AP$64,MATCH($F532,사건마스터!$A$5:$A$64,0)),""))</f>
        <v/>
      </c>
      <c r="S532" s="35">
        <f>IF($F532="","",IFERROR(INDEX(사건마스터!$AQ$5:$AQ$64,MATCH($F532,사건마스터!$A$5:$A$64,0)),""))</f>
        <v/>
      </c>
      <c r="T532" s="35">
        <f>IF($F532="","",IFERROR(INDEX(사건마스터!$AR$5:$AR$64,MATCH($F532,사건마스터!$A$5:$A$64,0)),""))</f>
        <v/>
      </c>
      <c r="U532" s="35">
        <f>IF($F532="","",IFERROR(INDEX(사건마스터!$AS$5:$AS$64,MATCH($F532,사건마스터!$A$5:$A$64,0)),""))</f>
        <v/>
      </c>
      <c r="V532" s="35">
        <f>IF($F532="","",IFERROR(INDEX(사건마스터!$AT$5:$AT$64,MATCH($F532,사건마스터!$A$5:$A$64,0)),""))</f>
        <v/>
      </c>
      <c r="W532" s="35">
        <f>IF($F532="","",IFERROR(INDEX(사건마스터!$AU$5:$AU$64,MATCH($F532,사건마스터!$A$5:$A$64,0)),""))</f>
        <v/>
      </c>
      <c r="X532" s="35">
        <f>IF($F532="","",IFERROR(INDEX(사건마스터!$AV$5:$AV$64,MATCH($F532,사건마스터!$A$5:$A$64,0)),""))</f>
        <v/>
      </c>
      <c r="Y532" s="30">
        <f>IF($I532="","",COUNTIF($I532:$X532,"?*"))</f>
        <v/>
      </c>
      <c r="Z532" s="33">
        <f>IF($I532="","",_xlfn.TEXTJOIN(", ",TRUE,$I532:$X532))</f>
        <v/>
      </c>
      <c r="AA532" s="34">
        <f>IF($I532="","",IFERROR(INDEX(코드설정!$D$5:$D$24,MATCH($I532,코드설정!$C$5:$C$24,0)),""))</f>
        <v/>
      </c>
      <c r="AB532" s="36" t="n"/>
      <c r="AC532" s="37" t="n"/>
      <c r="AD532" s="38" t="n"/>
      <c r="AE532" s="30">
        <f>IF(OR($B532="",$C532=""),"",$C532-$B532+1)</f>
        <v/>
      </c>
      <c r="AF532" s="32" t="n"/>
      <c r="AG532" s="36" t="n"/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3">
        <f>IF($F533="","",IFERROR(INDEX(사건마스터!$B$5:$B$64,MATCH($F533,사건마스터!$A$5:$A$64,0)),""))</f>
        <v/>
      </c>
      <c r="H533" s="34">
        <f>IF($F533="","",IFERROR(INDEX(사건마스터!$C$5:$C$64,MATCH($F533,사건마스터!$A$5:$A$64,0)),""))</f>
        <v/>
      </c>
      <c r="I533" s="35">
        <f>IF($F533="","",IFERROR(INDEX(사건마스터!$H$5:$H$64,MATCH($F533,사건마스터!$A$5:$A$64,0)),""))</f>
        <v/>
      </c>
      <c r="J533" s="35">
        <f>IF($F533="","",IFERROR(INDEX(사건마스터!$AH$5:$AH$64,MATCH($F533,사건마스터!$A$5:$A$64,0)),""))</f>
        <v/>
      </c>
      <c r="K533" s="35">
        <f>IF($F533="","",IFERROR(INDEX(사건마스터!$AI$5:$AI$64,MATCH($F533,사건마스터!$A$5:$A$64,0)),""))</f>
        <v/>
      </c>
      <c r="L533" s="35">
        <f>IF($F533="","",IFERROR(INDEX(사건마스터!$AJ$5:$AJ$64,MATCH($F533,사건마스터!$A$5:$A$64,0)),""))</f>
        <v/>
      </c>
      <c r="M533" s="35">
        <f>IF($F533="","",IFERROR(INDEX(사건마스터!$AK$5:$AK$64,MATCH($F533,사건마스터!$A$5:$A$64,0)),""))</f>
        <v/>
      </c>
      <c r="N533" s="35">
        <f>IF($F533="","",IFERROR(INDEX(사건마스터!$AL$5:$AL$64,MATCH($F533,사건마스터!$A$5:$A$64,0)),""))</f>
        <v/>
      </c>
      <c r="O533" s="35">
        <f>IF($F533="","",IFERROR(INDEX(사건마스터!$AM$5:$AM$64,MATCH($F533,사건마스터!$A$5:$A$64,0)),""))</f>
        <v/>
      </c>
      <c r="P533" s="35">
        <f>IF($F533="","",IFERROR(INDEX(사건마스터!$AN$5:$AN$64,MATCH($F533,사건마스터!$A$5:$A$64,0)),""))</f>
        <v/>
      </c>
      <c r="Q533" s="35">
        <f>IF($F533="","",IFERROR(INDEX(사건마스터!$AO$5:$AO$64,MATCH($F533,사건마스터!$A$5:$A$64,0)),""))</f>
        <v/>
      </c>
      <c r="R533" s="35">
        <f>IF($F533="","",IFERROR(INDEX(사건마스터!$AP$5:$AP$64,MATCH($F533,사건마스터!$A$5:$A$64,0)),""))</f>
        <v/>
      </c>
      <c r="S533" s="35">
        <f>IF($F533="","",IFERROR(INDEX(사건마스터!$AQ$5:$AQ$64,MATCH($F533,사건마스터!$A$5:$A$64,0)),""))</f>
        <v/>
      </c>
      <c r="T533" s="35">
        <f>IF($F533="","",IFERROR(INDEX(사건마스터!$AR$5:$AR$64,MATCH($F533,사건마스터!$A$5:$A$64,0)),""))</f>
        <v/>
      </c>
      <c r="U533" s="35">
        <f>IF($F533="","",IFERROR(INDEX(사건마스터!$AS$5:$AS$64,MATCH($F533,사건마스터!$A$5:$A$64,0)),""))</f>
        <v/>
      </c>
      <c r="V533" s="35">
        <f>IF($F533="","",IFERROR(INDEX(사건마스터!$AT$5:$AT$64,MATCH($F533,사건마스터!$A$5:$A$64,0)),""))</f>
        <v/>
      </c>
      <c r="W533" s="35">
        <f>IF($F533="","",IFERROR(INDEX(사건마스터!$AU$5:$AU$64,MATCH($F533,사건마스터!$A$5:$A$64,0)),""))</f>
        <v/>
      </c>
      <c r="X533" s="35">
        <f>IF($F533="","",IFERROR(INDEX(사건마스터!$AV$5:$AV$64,MATCH($F533,사건마스터!$A$5:$A$64,0)),""))</f>
        <v/>
      </c>
      <c r="Y533" s="30">
        <f>IF($I533="","",COUNTIF($I533:$X533,"?*"))</f>
        <v/>
      </c>
      <c r="Z533" s="33">
        <f>IF($I533="","",_xlfn.TEXTJOIN(", ",TRUE,$I533:$X533))</f>
        <v/>
      </c>
      <c r="AA533" s="34">
        <f>IF($I533="","",IFERROR(INDEX(코드설정!$D$5:$D$24,MATCH($I533,코드설정!$C$5:$C$24,0)),""))</f>
        <v/>
      </c>
      <c r="AB533" s="36" t="n"/>
      <c r="AC533" s="37" t="n"/>
      <c r="AD533" s="38" t="n"/>
      <c r="AE533" s="30">
        <f>IF(OR($B533="",$C533=""),"",$C533-$B533+1)</f>
        <v/>
      </c>
      <c r="AF533" s="32" t="n"/>
      <c r="AG533" s="36" t="n"/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3">
        <f>IF($F534="","",IFERROR(INDEX(사건마스터!$B$5:$B$64,MATCH($F534,사건마스터!$A$5:$A$64,0)),""))</f>
        <v/>
      </c>
      <c r="H534" s="34">
        <f>IF($F534="","",IFERROR(INDEX(사건마스터!$C$5:$C$64,MATCH($F534,사건마스터!$A$5:$A$64,0)),""))</f>
        <v/>
      </c>
      <c r="I534" s="35">
        <f>IF($F534="","",IFERROR(INDEX(사건마스터!$H$5:$H$64,MATCH($F534,사건마스터!$A$5:$A$64,0)),""))</f>
        <v/>
      </c>
      <c r="J534" s="35">
        <f>IF($F534="","",IFERROR(INDEX(사건마스터!$AH$5:$AH$64,MATCH($F534,사건마스터!$A$5:$A$64,0)),""))</f>
        <v/>
      </c>
      <c r="K534" s="35">
        <f>IF($F534="","",IFERROR(INDEX(사건마스터!$AI$5:$AI$64,MATCH($F534,사건마스터!$A$5:$A$64,0)),""))</f>
        <v/>
      </c>
      <c r="L534" s="35">
        <f>IF($F534="","",IFERROR(INDEX(사건마스터!$AJ$5:$AJ$64,MATCH($F534,사건마스터!$A$5:$A$64,0)),""))</f>
        <v/>
      </c>
      <c r="M534" s="35">
        <f>IF($F534="","",IFERROR(INDEX(사건마스터!$AK$5:$AK$64,MATCH($F534,사건마스터!$A$5:$A$64,0)),""))</f>
        <v/>
      </c>
      <c r="N534" s="35">
        <f>IF($F534="","",IFERROR(INDEX(사건마스터!$AL$5:$AL$64,MATCH($F534,사건마스터!$A$5:$A$64,0)),""))</f>
        <v/>
      </c>
      <c r="O534" s="35">
        <f>IF($F534="","",IFERROR(INDEX(사건마스터!$AM$5:$AM$64,MATCH($F534,사건마스터!$A$5:$A$64,0)),""))</f>
        <v/>
      </c>
      <c r="P534" s="35">
        <f>IF($F534="","",IFERROR(INDEX(사건마스터!$AN$5:$AN$64,MATCH($F534,사건마스터!$A$5:$A$64,0)),""))</f>
        <v/>
      </c>
      <c r="Q534" s="35">
        <f>IF($F534="","",IFERROR(INDEX(사건마스터!$AO$5:$AO$64,MATCH($F534,사건마스터!$A$5:$A$64,0)),""))</f>
        <v/>
      </c>
      <c r="R534" s="35">
        <f>IF($F534="","",IFERROR(INDEX(사건마스터!$AP$5:$AP$64,MATCH($F534,사건마스터!$A$5:$A$64,0)),""))</f>
        <v/>
      </c>
      <c r="S534" s="35">
        <f>IF($F534="","",IFERROR(INDEX(사건마스터!$AQ$5:$AQ$64,MATCH($F534,사건마스터!$A$5:$A$64,0)),""))</f>
        <v/>
      </c>
      <c r="T534" s="35">
        <f>IF($F534="","",IFERROR(INDEX(사건마스터!$AR$5:$AR$64,MATCH($F534,사건마스터!$A$5:$A$64,0)),""))</f>
        <v/>
      </c>
      <c r="U534" s="35">
        <f>IF($F534="","",IFERROR(INDEX(사건마스터!$AS$5:$AS$64,MATCH($F534,사건마스터!$A$5:$A$64,0)),""))</f>
        <v/>
      </c>
      <c r="V534" s="35">
        <f>IF($F534="","",IFERROR(INDEX(사건마스터!$AT$5:$AT$64,MATCH($F534,사건마스터!$A$5:$A$64,0)),""))</f>
        <v/>
      </c>
      <c r="W534" s="35">
        <f>IF($F534="","",IFERROR(INDEX(사건마스터!$AU$5:$AU$64,MATCH($F534,사건마스터!$A$5:$A$64,0)),""))</f>
        <v/>
      </c>
      <c r="X534" s="35">
        <f>IF($F534="","",IFERROR(INDEX(사건마스터!$AV$5:$AV$64,MATCH($F534,사건마스터!$A$5:$A$64,0)),""))</f>
        <v/>
      </c>
      <c r="Y534" s="30">
        <f>IF($I534="","",COUNTIF($I534:$X534,"?*"))</f>
        <v/>
      </c>
      <c r="Z534" s="33">
        <f>IF($I534="","",_xlfn.TEXTJOIN(", ",TRUE,$I534:$X534))</f>
        <v/>
      </c>
      <c r="AA534" s="34">
        <f>IF($I534="","",IFERROR(INDEX(코드설정!$D$5:$D$24,MATCH($I534,코드설정!$C$5:$C$24,0)),""))</f>
        <v/>
      </c>
      <c r="AB534" s="36" t="n"/>
      <c r="AC534" s="37" t="n"/>
      <c r="AD534" s="38" t="n"/>
      <c r="AE534" s="30">
        <f>IF(OR($B534="",$C534=""),"",$C534-$B534+1)</f>
        <v/>
      </c>
      <c r="AF534" s="32" t="n"/>
      <c r="AG534" s="36" t="n"/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3">
        <f>IF($F535="","",IFERROR(INDEX(사건마스터!$B$5:$B$64,MATCH($F535,사건마스터!$A$5:$A$64,0)),""))</f>
        <v/>
      </c>
      <c r="H535" s="34">
        <f>IF($F535="","",IFERROR(INDEX(사건마스터!$C$5:$C$64,MATCH($F535,사건마스터!$A$5:$A$64,0)),""))</f>
        <v/>
      </c>
      <c r="I535" s="35">
        <f>IF($F535="","",IFERROR(INDEX(사건마스터!$H$5:$H$64,MATCH($F535,사건마스터!$A$5:$A$64,0)),""))</f>
        <v/>
      </c>
      <c r="J535" s="35">
        <f>IF($F535="","",IFERROR(INDEX(사건마스터!$AH$5:$AH$64,MATCH($F535,사건마스터!$A$5:$A$64,0)),""))</f>
        <v/>
      </c>
      <c r="K535" s="35">
        <f>IF($F535="","",IFERROR(INDEX(사건마스터!$AI$5:$AI$64,MATCH($F535,사건마스터!$A$5:$A$64,0)),""))</f>
        <v/>
      </c>
      <c r="L535" s="35">
        <f>IF($F535="","",IFERROR(INDEX(사건마스터!$AJ$5:$AJ$64,MATCH($F535,사건마스터!$A$5:$A$64,0)),""))</f>
        <v/>
      </c>
      <c r="M535" s="35">
        <f>IF($F535="","",IFERROR(INDEX(사건마스터!$AK$5:$AK$64,MATCH($F535,사건마스터!$A$5:$A$64,0)),""))</f>
        <v/>
      </c>
      <c r="N535" s="35">
        <f>IF($F535="","",IFERROR(INDEX(사건마스터!$AL$5:$AL$64,MATCH($F535,사건마스터!$A$5:$A$64,0)),""))</f>
        <v/>
      </c>
      <c r="O535" s="35">
        <f>IF($F535="","",IFERROR(INDEX(사건마스터!$AM$5:$AM$64,MATCH($F535,사건마스터!$A$5:$A$64,0)),""))</f>
        <v/>
      </c>
      <c r="P535" s="35">
        <f>IF($F535="","",IFERROR(INDEX(사건마스터!$AN$5:$AN$64,MATCH($F535,사건마스터!$A$5:$A$64,0)),""))</f>
        <v/>
      </c>
      <c r="Q535" s="35">
        <f>IF($F535="","",IFERROR(INDEX(사건마스터!$AO$5:$AO$64,MATCH($F535,사건마스터!$A$5:$A$64,0)),""))</f>
        <v/>
      </c>
      <c r="R535" s="35">
        <f>IF($F535="","",IFERROR(INDEX(사건마스터!$AP$5:$AP$64,MATCH($F535,사건마스터!$A$5:$A$64,0)),""))</f>
        <v/>
      </c>
      <c r="S535" s="35">
        <f>IF($F535="","",IFERROR(INDEX(사건마스터!$AQ$5:$AQ$64,MATCH($F535,사건마스터!$A$5:$A$64,0)),""))</f>
        <v/>
      </c>
      <c r="T535" s="35">
        <f>IF($F535="","",IFERROR(INDEX(사건마스터!$AR$5:$AR$64,MATCH($F535,사건마스터!$A$5:$A$64,0)),""))</f>
        <v/>
      </c>
      <c r="U535" s="35">
        <f>IF($F535="","",IFERROR(INDEX(사건마스터!$AS$5:$AS$64,MATCH($F535,사건마스터!$A$5:$A$64,0)),""))</f>
        <v/>
      </c>
      <c r="V535" s="35">
        <f>IF($F535="","",IFERROR(INDEX(사건마스터!$AT$5:$AT$64,MATCH($F535,사건마스터!$A$5:$A$64,0)),""))</f>
        <v/>
      </c>
      <c r="W535" s="35">
        <f>IF($F535="","",IFERROR(INDEX(사건마스터!$AU$5:$AU$64,MATCH($F535,사건마스터!$A$5:$A$64,0)),""))</f>
        <v/>
      </c>
      <c r="X535" s="35">
        <f>IF($F535="","",IFERROR(INDEX(사건마스터!$AV$5:$AV$64,MATCH($F535,사건마스터!$A$5:$A$64,0)),""))</f>
        <v/>
      </c>
      <c r="Y535" s="30">
        <f>IF($I535="","",COUNTIF($I535:$X535,"?*"))</f>
        <v/>
      </c>
      <c r="Z535" s="33">
        <f>IF($I535="","",_xlfn.TEXTJOIN(", ",TRUE,$I535:$X535))</f>
        <v/>
      </c>
      <c r="AA535" s="34">
        <f>IF($I535="","",IFERROR(INDEX(코드설정!$D$5:$D$24,MATCH($I535,코드설정!$C$5:$C$24,0)),""))</f>
        <v/>
      </c>
      <c r="AB535" s="36" t="n"/>
      <c r="AC535" s="37" t="n"/>
      <c r="AD535" s="38" t="n"/>
      <c r="AE535" s="30">
        <f>IF(OR($B535="",$C535=""),"",$C535-$B535+1)</f>
        <v/>
      </c>
      <c r="AF535" s="32" t="n"/>
      <c r="AG535" s="36" t="n"/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3">
        <f>IF($F536="","",IFERROR(INDEX(사건마스터!$B$5:$B$64,MATCH($F536,사건마스터!$A$5:$A$64,0)),""))</f>
        <v/>
      </c>
      <c r="H536" s="34">
        <f>IF($F536="","",IFERROR(INDEX(사건마스터!$C$5:$C$64,MATCH($F536,사건마스터!$A$5:$A$64,0)),""))</f>
        <v/>
      </c>
      <c r="I536" s="35">
        <f>IF($F536="","",IFERROR(INDEX(사건마스터!$H$5:$H$64,MATCH($F536,사건마스터!$A$5:$A$64,0)),""))</f>
        <v/>
      </c>
      <c r="J536" s="35">
        <f>IF($F536="","",IFERROR(INDEX(사건마스터!$AH$5:$AH$64,MATCH($F536,사건마스터!$A$5:$A$64,0)),""))</f>
        <v/>
      </c>
      <c r="K536" s="35">
        <f>IF($F536="","",IFERROR(INDEX(사건마스터!$AI$5:$AI$64,MATCH($F536,사건마스터!$A$5:$A$64,0)),""))</f>
        <v/>
      </c>
      <c r="L536" s="35">
        <f>IF($F536="","",IFERROR(INDEX(사건마스터!$AJ$5:$AJ$64,MATCH($F536,사건마스터!$A$5:$A$64,0)),""))</f>
        <v/>
      </c>
      <c r="M536" s="35">
        <f>IF($F536="","",IFERROR(INDEX(사건마스터!$AK$5:$AK$64,MATCH($F536,사건마스터!$A$5:$A$64,0)),""))</f>
        <v/>
      </c>
      <c r="N536" s="35">
        <f>IF($F536="","",IFERROR(INDEX(사건마스터!$AL$5:$AL$64,MATCH($F536,사건마스터!$A$5:$A$64,0)),""))</f>
        <v/>
      </c>
      <c r="O536" s="35">
        <f>IF($F536="","",IFERROR(INDEX(사건마스터!$AM$5:$AM$64,MATCH($F536,사건마스터!$A$5:$A$64,0)),""))</f>
        <v/>
      </c>
      <c r="P536" s="35">
        <f>IF($F536="","",IFERROR(INDEX(사건마스터!$AN$5:$AN$64,MATCH($F536,사건마스터!$A$5:$A$64,0)),""))</f>
        <v/>
      </c>
      <c r="Q536" s="35">
        <f>IF($F536="","",IFERROR(INDEX(사건마스터!$AO$5:$AO$64,MATCH($F536,사건마스터!$A$5:$A$64,0)),""))</f>
        <v/>
      </c>
      <c r="R536" s="35">
        <f>IF($F536="","",IFERROR(INDEX(사건마스터!$AP$5:$AP$64,MATCH($F536,사건마스터!$A$5:$A$64,0)),""))</f>
        <v/>
      </c>
      <c r="S536" s="35">
        <f>IF($F536="","",IFERROR(INDEX(사건마스터!$AQ$5:$AQ$64,MATCH($F536,사건마스터!$A$5:$A$64,0)),""))</f>
        <v/>
      </c>
      <c r="T536" s="35">
        <f>IF($F536="","",IFERROR(INDEX(사건마스터!$AR$5:$AR$64,MATCH($F536,사건마스터!$A$5:$A$64,0)),""))</f>
        <v/>
      </c>
      <c r="U536" s="35">
        <f>IF($F536="","",IFERROR(INDEX(사건마스터!$AS$5:$AS$64,MATCH($F536,사건마스터!$A$5:$A$64,0)),""))</f>
        <v/>
      </c>
      <c r="V536" s="35">
        <f>IF($F536="","",IFERROR(INDEX(사건마스터!$AT$5:$AT$64,MATCH($F536,사건마스터!$A$5:$A$64,0)),""))</f>
        <v/>
      </c>
      <c r="W536" s="35">
        <f>IF($F536="","",IFERROR(INDEX(사건마스터!$AU$5:$AU$64,MATCH($F536,사건마스터!$A$5:$A$64,0)),""))</f>
        <v/>
      </c>
      <c r="X536" s="35">
        <f>IF($F536="","",IFERROR(INDEX(사건마스터!$AV$5:$AV$64,MATCH($F536,사건마스터!$A$5:$A$64,0)),""))</f>
        <v/>
      </c>
      <c r="Y536" s="30">
        <f>IF($I536="","",COUNTIF($I536:$X536,"?*"))</f>
        <v/>
      </c>
      <c r="Z536" s="33">
        <f>IF($I536="","",_xlfn.TEXTJOIN(", ",TRUE,$I536:$X536))</f>
        <v/>
      </c>
      <c r="AA536" s="34">
        <f>IF($I536="","",IFERROR(INDEX(코드설정!$D$5:$D$24,MATCH($I536,코드설정!$C$5:$C$24,0)),""))</f>
        <v/>
      </c>
      <c r="AB536" s="36" t="n"/>
      <c r="AC536" s="37" t="n"/>
      <c r="AD536" s="38" t="n"/>
      <c r="AE536" s="30">
        <f>IF(OR($B536="",$C536=""),"",$C536-$B536+1)</f>
        <v/>
      </c>
      <c r="AF536" s="32" t="n"/>
      <c r="AG536" s="36" t="n"/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3">
        <f>IF($F537="","",IFERROR(INDEX(사건마스터!$B$5:$B$64,MATCH($F537,사건마스터!$A$5:$A$64,0)),""))</f>
        <v/>
      </c>
      <c r="H537" s="34">
        <f>IF($F537="","",IFERROR(INDEX(사건마스터!$C$5:$C$64,MATCH($F537,사건마스터!$A$5:$A$64,0)),""))</f>
        <v/>
      </c>
      <c r="I537" s="35">
        <f>IF($F537="","",IFERROR(INDEX(사건마스터!$H$5:$H$64,MATCH($F537,사건마스터!$A$5:$A$64,0)),""))</f>
        <v/>
      </c>
      <c r="J537" s="35">
        <f>IF($F537="","",IFERROR(INDEX(사건마스터!$AH$5:$AH$64,MATCH($F537,사건마스터!$A$5:$A$64,0)),""))</f>
        <v/>
      </c>
      <c r="K537" s="35">
        <f>IF($F537="","",IFERROR(INDEX(사건마스터!$AI$5:$AI$64,MATCH($F537,사건마스터!$A$5:$A$64,0)),""))</f>
        <v/>
      </c>
      <c r="L537" s="35">
        <f>IF($F537="","",IFERROR(INDEX(사건마스터!$AJ$5:$AJ$64,MATCH($F537,사건마스터!$A$5:$A$64,0)),""))</f>
        <v/>
      </c>
      <c r="M537" s="35">
        <f>IF($F537="","",IFERROR(INDEX(사건마스터!$AK$5:$AK$64,MATCH($F537,사건마스터!$A$5:$A$64,0)),""))</f>
        <v/>
      </c>
      <c r="N537" s="35">
        <f>IF($F537="","",IFERROR(INDEX(사건마스터!$AL$5:$AL$64,MATCH($F537,사건마스터!$A$5:$A$64,0)),""))</f>
        <v/>
      </c>
      <c r="O537" s="35">
        <f>IF($F537="","",IFERROR(INDEX(사건마스터!$AM$5:$AM$64,MATCH($F537,사건마스터!$A$5:$A$64,0)),""))</f>
        <v/>
      </c>
      <c r="P537" s="35">
        <f>IF($F537="","",IFERROR(INDEX(사건마스터!$AN$5:$AN$64,MATCH($F537,사건마스터!$A$5:$A$64,0)),""))</f>
        <v/>
      </c>
      <c r="Q537" s="35">
        <f>IF($F537="","",IFERROR(INDEX(사건마스터!$AO$5:$AO$64,MATCH($F537,사건마스터!$A$5:$A$64,0)),""))</f>
        <v/>
      </c>
      <c r="R537" s="35">
        <f>IF($F537="","",IFERROR(INDEX(사건마스터!$AP$5:$AP$64,MATCH($F537,사건마스터!$A$5:$A$64,0)),""))</f>
        <v/>
      </c>
      <c r="S537" s="35">
        <f>IF($F537="","",IFERROR(INDEX(사건마스터!$AQ$5:$AQ$64,MATCH($F537,사건마스터!$A$5:$A$64,0)),""))</f>
        <v/>
      </c>
      <c r="T537" s="35">
        <f>IF($F537="","",IFERROR(INDEX(사건마스터!$AR$5:$AR$64,MATCH($F537,사건마스터!$A$5:$A$64,0)),""))</f>
        <v/>
      </c>
      <c r="U537" s="35">
        <f>IF($F537="","",IFERROR(INDEX(사건마스터!$AS$5:$AS$64,MATCH($F537,사건마스터!$A$5:$A$64,0)),""))</f>
        <v/>
      </c>
      <c r="V537" s="35">
        <f>IF($F537="","",IFERROR(INDEX(사건마스터!$AT$5:$AT$64,MATCH($F537,사건마스터!$A$5:$A$64,0)),""))</f>
        <v/>
      </c>
      <c r="W537" s="35">
        <f>IF($F537="","",IFERROR(INDEX(사건마스터!$AU$5:$AU$64,MATCH($F537,사건마스터!$A$5:$A$64,0)),""))</f>
        <v/>
      </c>
      <c r="X537" s="35">
        <f>IF($F537="","",IFERROR(INDEX(사건마스터!$AV$5:$AV$64,MATCH($F537,사건마스터!$A$5:$A$64,0)),""))</f>
        <v/>
      </c>
      <c r="Y537" s="30">
        <f>IF($I537="","",COUNTIF($I537:$X537,"?*"))</f>
        <v/>
      </c>
      <c r="Z537" s="33">
        <f>IF($I537="","",_xlfn.TEXTJOIN(", ",TRUE,$I537:$X537))</f>
        <v/>
      </c>
      <c r="AA537" s="34">
        <f>IF($I537="","",IFERROR(INDEX(코드설정!$D$5:$D$24,MATCH($I537,코드설정!$C$5:$C$24,0)),""))</f>
        <v/>
      </c>
      <c r="AB537" s="36" t="n"/>
      <c r="AC537" s="37" t="n"/>
      <c r="AD537" s="38" t="n"/>
      <c r="AE537" s="30">
        <f>IF(OR($B537="",$C537=""),"",$C537-$B537+1)</f>
        <v/>
      </c>
      <c r="AF537" s="32" t="n"/>
      <c r="AG537" s="36" t="n"/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3">
        <f>IF($F538="","",IFERROR(INDEX(사건마스터!$B$5:$B$64,MATCH($F538,사건마스터!$A$5:$A$64,0)),""))</f>
        <v/>
      </c>
      <c r="H538" s="34">
        <f>IF($F538="","",IFERROR(INDEX(사건마스터!$C$5:$C$64,MATCH($F538,사건마스터!$A$5:$A$64,0)),""))</f>
        <v/>
      </c>
      <c r="I538" s="35">
        <f>IF($F538="","",IFERROR(INDEX(사건마스터!$H$5:$H$64,MATCH($F538,사건마스터!$A$5:$A$64,0)),""))</f>
        <v/>
      </c>
      <c r="J538" s="35">
        <f>IF($F538="","",IFERROR(INDEX(사건마스터!$AH$5:$AH$64,MATCH($F538,사건마스터!$A$5:$A$64,0)),""))</f>
        <v/>
      </c>
      <c r="K538" s="35">
        <f>IF($F538="","",IFERROR(INDEX(사건마스터!$AI$5:$AI$64,MATCH($F538,사건마스터!$A$5:$A$64,0)),""))</f>
        <v/>
      </c>
      <c r="L538" s="35">
        <f>IF($F538="","",IFERROR(INDEX(사건마스터!$AJ$5:$AJ$64,MATCH($F538,사건마스터!$A$5:$A$64,0)),""))</f>
        <v/>
      </c>
      <c r="M538" s="35">
        <f>IF($F538="","",IFERROR(INDEX(사건마스터!$AK$5:$AK$64,MATCH($F538,사건마스터!$A$5:$A$64,0)),""))</f>
        <v/>
      </c>
      <c r="N538" s="35">
        <f>IF($F538="","",IFERROR(INDEX(사건마스터!$AL$5:$AL$64,MATCH($F538,사건마스터!$A$5:$A$64,0)),""))</f>
        <v/>
      </c>
      <c r="O538" s="35">
        <f>IF($F538="","",IFERROR(INDEX(사건마스터!$AM$5:$AM$64,MATCH($F538,사건마스터!$A$5:$A$64,0)),""))</f>
        <v/>
      </c>
      <c r="P538" s="35">
        <f>IF($F538="","",IFERROR(INDEX(사건마스터!$AN$5:$AN$64,MATCH($F538,사건마스터!$A$5:$A$64,0)),""))</f>
        <v/>
      </c>
      <c r="Q538" s="35">
        <f>IF($F538="","",IFERROR(INDEX(사건마스터!$AO$5:$AO$64,MATCH($F538,사건마스터!$A$5:$A$64,0)),""))</f>
        <v/>
      </c>
      <c r="R538" s="35">
        <f>IF($F538="","",IFERROR(INDEX(사건마스터!$AP$5:$AP$64,MATCH($F538,사건마스터!$A$5:$A$64,0)),""))</f>
        <v/>
      </c>
      <c r="S538" s="35">
        <f>IF($F538="","",IFERROR(INDEX(사건마스터!$AQ$5:$AQ$64,MATCH($F538,사건마스터!$A$5:$A$64,0)),""))</f>
        <v/>
      </c>
      <c r="T538" s="35">
        <f>IF($F538="","",IFERROR(INDEX(사건마스터!$AR$5:$AR$64,MATCH($F538,사건마스터!$A$5:$A$64,0)),""))</f>
        <v/>
      </c>
      <c r="U538" s="35">
        <f>IF($F538="","",IFERROR(INDEX(사건마스터!$AS$5:$AS$64,MATCH($F538,사건마스터!$A$5:$A$64,0)),""))</f>
        <v/>
      </c>
      <c r="V538" s="35">
        <f>IF($F538="","",IFERROR(INDEX(사건마스터!$AT$5:$AT$64,MATCH($F538,사건마스터!$A$5:$A$64,0)),""))</f>
        <v/>
      </c>
      <c r="W538" s="35">
        <f>IF($F538="","",IFERROR(INDEX(사건마스터!$AU$5:$AU$64,MATCH($F538,사건마스터!$A$5:$A$64,0)),""))</f>
        <v/>
      </c>
      <c r="X538" s="35">
        <f>IF($F538="","",IFERROR(INDEX(사건마스터!$AV$5:$AV$64,MATCH($F538,사건마스터!$A$5:$A$64,0)),""))</f>
        <v/>
      </c>
      <c r="Y538" s="30">
        <f>IF($I538="","",COUNTIF($I538:$X538,"?*"))</f>
        <v/>
      </c>
      <c r="Z538" s="33">
        <f>IF($I538="","",_xlfn.TEXTJOIN(", ",TRUE,$I538:$X538))</f>
        <v/>
      </c>
      <c r="AA538" s="34">
        <f>IF($I538="","",IFERROR(INDEX(코드설정!$D$5:$D$24,MATCH($I538,코드설정!$C$5:$C$24,0)),""))</f>
        <v/>
      </c>
      <c r="AB538" s="36" t="n"/>
      <c r="AC538" s="37" t="n"/>
      <c r="AD538" s="38" t="n"/>
      <c r="AE538" s="30">
        <f>IF(OR($B538="",$C538=""),"",$C538-$B538+1)</f>
        <v/>
      </c>
      <c r="AF538" s="32" t="n"/>
      <c r="AG538" s="36" t="n"/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3">
        <f>IF($F539="","",IFERROR(INDEX(사건마스터!$B$5:$B$64,MATCH($F539,사건마스터!$A$5:$A$64,0)),""))</f>
        <v/>
      </c>
      <c r="H539" s="34">
        <f>IF($F539="","",IFERROR(INDEX(사건마스터!$C$5:$C$64,MATCH($F539,사건마스터!$A$5:$A$64,0)),""))</f>
        <v/>
      </c>
      <c r="I539" s="35">
        <f>IF($F539="","",IFERROR(INDEX(사건마스터!$H$5:$H$64,MATCH($F539,사건마스터!$A$5:$A$64,0)),""))</f>
        <v/>
      </c>
      <c r="J539" s="35">
        <f>IF($F539="","",IFERROR(INDEX(사건마스터!$AH$5:$AH$64,MATCH($F539,사건마스터!$A$5:$A$64,0)),""))</f>
        <v/>
      </c>
      <c r="K539" s="35">
        <f>IF($F539="","",IFERROR(INDEX(사건마스터!$AI$5:$AI$64,MATCH($F539,사건마스터!$A$5:$A$64,0)),""))</f>
        <v/>
      </c>
      <c r="L539" s="35">
        <f>IF($F539="","",IFERROR(INDEX(사건마스터!$AJ$5:$AJ$64,MATCH($F539,사건마스터!$A$5:$A$64,0)),""))</f>
        <v/>
      </c>
      <c r="M539" s="35">
        <f>IF($F539="","",IFERROR(INDEX(사건마스터!$AK$5:$AK$64,MATCH($F539,사건마스터!$A$5:$A$64,0)),""))</f>
        <v/>
      </c>
      <c r="N539" s="35">
        <f>IF($F539="","",IFERROR(INDEX(사건마스터!$AL$5:$AL$64,MATCH($F539,사건마스터!$A$5:$A$64,0)),""))</f>
        <v/>
      </c>
      <c r="O539" s="35">
        <f>IF($F539="","",IFERROR(INDEX(사건마스터!$AM$5:$AM$64,MATCH($F539,사건마스터!$A$5:$A$64,0)),""))</f>
        <v/>
      </c>
      <c r="P539" s="35">
        <f>IF($F539="","",IFERROR(INDEX(사건마스터!$AN$5:$AN$64,MATCH($F539,사건마스터!$A$5:$A$64,0)),""))</f>
        <v/>
      </c>
      <c r="Q539" s="35">
        <f>IF($F539="","",IFERROR(INDEX(사건마스터!$AO$5:$AO$64,MATCH($F539,사건마스터!$A$5:$A$64,0)),""))</f>
        <v/>
      </c>
      <c r="R539" s="35">
        <f>IF($F539="","",IFERROR(INDEX(사건마스터!$AP$5:$AP$64,MATCH($F539,사건마스터!$A$5:$A$64,0)),""))</f>
        <v/>
      </c>
      <c r="S539" s="35">
        <f>IF($F539="","",IFERROR(INDEX(사건마스터!$AQ$5:$AQ$64,MATCH($F539,사건마스터!$A$5:$A$64,0)),""))</f>
        <v/>
      </c>
      <c r="T539" s="35">
        <f>IF($F539="","",IFERROR(INDEX(사건마스터!$AR$5:$AR$64,MATCH($F539,사건마스터!$A$5:$A$64,0)),""))</f>
        <v/>
      </c>
      <c r="U539" s="35">
        <f>IF($F539="","",IFERROR(INDEX(사건마스터!$AS$5:$AS$64,MATCH($F539,사건마스터!$A$5:$A$64,0)),""))</f>
        <v/>
      </c>
      <c r="V539" s="35">
        <f>IF($F539="","",IFERROR(INDEX(사건마스터!$AT$5:$AT$64,MATCH($F539,사건마스터!$A$5:$A$64,0)),""))</f>
        <v/>
      </c>
      <c r="W539" s="35">
        <f>IF($F539="","",IFERROR(INDEX(사건마스터!$AU$5:$AU$64,MATCH($F539,사건마스터!$A$5:$A$64,0)),""))</f>
        <v/>
      </c>
      <c r="X539" s="35">
        <f>IF($F539="","",IFERROR(INDEX(사건마스터!$AV$5:$AV$64,MATCH($F539,사건마스터!$A$5:$A$64,0)),""))</f>
        <v/>
      </c>
      <c r="Y539" s="30">
        <f>IF($I539="","",COUNTIF($I539:$X539,"?*"))</f>
        <v/>
      </c>
      <c r="Z539" s="33">
        <f>IF($I539="","",_xlfn.TEXTJOIN(", ",TRUE,$I539:$X539))</f>
        <v/>
      </c>
      <c r="AA539" s="34">
        <f>IF($I539="","",IFERROR(INDEX(코드설정!$D$5:$D$24,MATCH($I539,코드설정!$C$5:$C$24,0)),""))</f>
        <v/>
      </c>
      <c r="AB539" s="36" t="n"/>
      <c r="AC539" s="37" t="n"/>
      <c r="AD539" s="38" t="n"/>
      <c r="AE539" s="30">
        <f>IF(OR($B539="",$C539=""),"",$C539-$B539+1)</f>
        <v/>
      </c>
      <c r="AF539" s="32" t="n"/>
      <c r="AG539" s="36" t="n"/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3">
        <f>IF($F540="","",IFERROR(INDEX(사건마스터!$B$5:$B$64,MATCH($F540,사건마스터!$A$5:$A$64,0)),""))</f>
        <v/>
      </c>
      <c r="H540" s="34">
        <f>IF($F540="","",IFERROR(INDEX(사건마스터!$C$5:$C$64,MATCH($F540,사건마스터!$A$5:$A$64,0)),""))</f>
        <v/>
      </c>
      <c r="I540" s="35">
        <f>IF($F540="","",IFERROR(INDEX(사건마스터!$H$5:$H$64,MATCH($F540,사건마스터!$A$5:$A$64,0)),""))</f>
        <v/>
      </c>
      <c r="J540" s="35">
        <f>IF($F540="","",IFERROR(INDEX(사건마스터!$AH$5:$AH$64,MATCH($F540,사건마스터!$A$5:$A$64,0)),""))</f>
        <v/>
      </c>
      <c r="K540" s="35">
        <f>IF($F540="","",IFERROR(INDEX(사건마스터!$AI$5:$AI$64,MATCH($F540,사건마스터!$A$5:$A$64,0)),""))</f>
        <v/>
      </c>
      <c r="L540" s="35">
        <f>IF($F540="","",IFERROR(INDEX(사건마스터!$AJ$5:$AJ$64,MATCH($F540,사건마스터!$A$5:$A$64,0)),""))</f>
        <v/>
      </c>
      <c r="M540" s="35">
        <f>IF($F540="","",IFERROR(INDEX(사건마스터!$AK$5:$AK$64,MATCH($F540,사건마스터!$A$5:$A$64,0)),""))</f>
        <v/>
      </c>
      <c r="N540" s="35">
        <f>IF($F540="","",IFERROR(INDEX(사건마스터!$AL$5:$AL$64,MATCH($F540,사건마스터!$A$5:$A$64,0)),""))</f>
        <v/>
      </c>
      <c r="O540" s="35">
        <f>IF($F540="","",IFERROR(INDEX(사건마스터!$AM$5:$AM$64,MATCH($F540,사건마스터!$A$5:$A$64,0)),""))</f>
        <v/>
      </c>
      <c r="P540" s="35">
        <f>IF($F540="","",IFERROR(INDEX(사건마스터!$AN$5:$AN$64,MATCH($F540,사건마스터!$A$5:$A$64,0)),""))</f>
        <v/>
      </c>
      <c r="Q540" s="35">
        <f>IF($F540="","",IFERROR(INDEX(사건마스터!$AO$5:$AO$64,MATCH($F540,사건마스터!$A$5:$A$64,0)),""))</f>
        <v/>
      </c>
      <c r="R540" s="35">
        <f>IF($F540="","",IFERROR(INDEX(사건마스터!$AP$5:$AP$64,MATCH($F540,사건마스터!$A$5:$A$64,0)),""))</f>
        <v/>
      </c>
      <c r="S540" s="35">
        <f>IF($F540="","",IFERROR(INDEX(사건마스터!$AQ$5:$AQ$64,MATCH($F540,사건마스터!$A$5:$A$64,0)),""))</f>
        <v/>
      </c>
      <c r="T540" s="35">
        <f>IF($F540="","",IFERROR(INDEX(사건마스터!$AR$5:$AR$64,MATCH($F540,사건마스터!$A$5:$A$64,0)),""))</f>
        <v/>
      </c>
      <c r="U540" s="35">
        <f>IF($F540="","",IFERROR(INDEX(사건마스터!$AS$5:$AS$64,MATCH($F540,사건마스터!$A$5:$A$64,0)),""))</f>
        <v/>
      </c>
      <c r="V540" s="35">
        <f>IF($F540="","",IFERROR(INDEX(사건마스터!$AT$5:$AT$64,MATCH($F540,사건마스터!$A$5:$A$64,0)),""))</f>
        <v/>
      </c>
      <c r="W540" s="35">
        <f>IF($F540="","",IFERROR(INDEX(사건마스터!$AU$5:$AU$64,MATCH($F540,사건마스터!$A$5:$A$64,0)),""))</f>
        <v/>
      </c>
      <c r="X540" s="35">
        <f>IF($F540="","",IFERROR(INDEX(사건마스터!$AV$5:$AV$64,MATCH($F540,사건마스터!$A$5:$A$64,0)),""))</f>
        <v/>
      </c>
      <c r="Y540" s="30">
        <f>IF($I540="","",COUNTIF($I540:$X540,"?*"))</f>
        <v/>
      </c>
      <c r="Z540" s="33">
        <f>IF($I540="","",_xlfn.TEXTJOIN(", ",TRUE,$I540:$X540))</f>
        <v/>
      </c>
      <c r="AA540" s="34">
        <f>IF($I540="","",IFERROR(INDEX(코드설정!$D$5:$D$24,MATCH($I540,코드설정!$C$5:$C$24,0)),""))</f>
        <v/>
      </c>
      <c r="AB540" s="36" t="n"/>
      <c r="AC540" s="37" t="n"/>
      <c r="AD540" s="38" t="n"/>
      <c r="AE540" s="30">
        <f>IF(OR($B540="",$C540=""),"",$C540-$B540+1)</f>
        <v/>
      </c>
      <c r="AF540" s="32" t="n"/>
      <c r="AG540" s="36" t="n"/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3">
        <f>IF($F541="","",IFERROR(INDEX(사건마스터!$B$5:$B$64,MATCH($F541,사건마스터!$A$5:$A$64,0)),""))</f>
        <v/>
      </c>
      <c r="H541" s="34">
        <f>IF($F541="","",IFERROR(INDEX(사건마스터!$C$5:$C$64,MATCH($F541,사건마스터!$A$5:$A$64,0)),""))</f>
        <v/>
      </c>
      <c r="I541" s="35">
        <f>IF($F541="","",IFERROR(INDEX(사건마스터!$H$5:$H$64,MATCH($F541,사건마스터!$A$5:$A$64,0)),""))</f>
        <v/>
      </c>
      <c r="J541" s="35">
        <f>IF($F541="","",IFERROR(INDEX(사건마스터!$AH$5:$AH$64,MATCH($F541,사건마스터!$A$5:$A$64,0)),""))</f>
        <v/>
      </c>
      <c r="K541" s="35">
        <f>IF($F541="","",IFERROR(INDEX(사건마스터!$AI$5:$AI$64,MATCH($F541,사건마스터!$A$5:$A$64,0)),""))</f>
        <v/>
      </c>
      <c r="L541" s="35">
        <f>IF($F541="","",IFERROR(INDEX(사건마스터!$AJ$5:$AJ$64,MATCH($F541,사건마스터!$A$5:$A$64,0)),""))</f>
        <v/>
      </c>
      <c r="M541" s="35">
        <f>IF($F541="","",IFERROR(INDEX(사건마스터!$AK$5:$AK$64,MATCH($F541,사건마스터!$A$5:$A$64,0)),""))</f>
        <v/>
      </c>
      <c r="N541" s="35">
        <f>IF($F541="","",IFERROR(INDEX(사건마스터!$AL$5:$AL$64,MATCH($F541,사건마스터!$A$5:$A$64,0)),""))</f>
        <v/>
      </c>
      <c r="O541" s="35">
        <f>IF($F541="","",IFERROR(INDEX(사건마스터!$AM$5:$AM$64,MATCH($F541,사건마스터!$A$5:$A$64,0)),""))</f>
        <v/>
      </c>
      <c r="P541" s="35">
        <f>IF($F541="","",IFERROR(INDEX(사건마스터!$AN$5:$AN$64,MATCH($F541,사건마스터!$A$5:$A$64,0)),""))</f>
        <v/>
      </c>
      <c r="Q541" s="35">
        <f>IF($F541="","",IFERROR(INDEX(사건마스터!$AO$5:$AO$64,MATCH($F541,사건마스터!$A$5:$A$64,0)),""))</f>
        <v/>
      </c>
      <c r="R541" s="35">
        <f>IF($F541="","",IFERROR(INDEX(사건마스터!$AP$5:$AP$64,MATCH($F541,사건마스터!$A$5:$A$64,0)),""))</f>
        <v/>
      </c>
      <c r="S541" s="35">
        <f>IF($F541="","",IFERROR(INDEX(사건마스터!$AQ$5:$AQ$64,MATCH($F541,사건마스터!$A$5:$A$64,0)),""))</f>
        <v/>
      </c>
      <c r="T541" s="35">
        <f>IF($F541="","",IFERROR(INDEX(사건마스터!$AR$5:$AR$64,MATCH($F541,사건마스터!$A$5:$A$64,0)),""))</f>
        <v/>
      </c>
      <c r="U541" s="35">
        <f>IF($F541="","",IFERROR(INDEX(사건마스터!$AS$5:$AS$64,MATCH($F541,사건마스터!$A$5:$A$64,0)),""))</f>
        <v/>
      </c>
      <c r="V541" s="35">
        <f>IF($F541="","",IFERROR(INDEX(사건마스터!$AT$5:$AT$64,MATCH($F541,사건마스터!$A$5:$A$64,0)),""))</f>
        <v/>
      </c>
      <c r="W541" s="35">
        <f>IF($F541="","",IFERROR(INDEX(사건마스터!$AU$5:$AU$64,MATCH($F541,사건마스터!$A$5:$A$64,0)),""))</f>
        <v/>
      </c>
      <c r="X541" s="35">
        <f>IF($F541="","",IFERROR(INDEX(사건마스터!$AV$5:$AV$64,MATCH($F541,사건마스터!$A$5:$A$64,0)),""))</f>
        <v/>
      </c>
      <c r="Y541" s="30">
        <f>IF($I541="","",COUNTIF($I541:$X541,"?*"))</f>
        <v/>
      </c>
      <c r="Z541" s="33">
        <f>IF($I541="","",_xlfn.TEXTJOIN(", ",TRUE,$I541:$X541))</f>
        <v/>
      </c>
      <c r="AA541" s="34">
        <f>IF($I541="","",IFERROR(INDEX(코드설정!$D$5:$D$24,MATCH($I541,코드설정!$C$5:$C$24,0)),""))</f>
        <v/>
      </c>
      <c r="AB541" s="36" t="n"/>
      <c r="AC541" s="37" t="n"/>
      <c r="AD541" s="38" t="n"/>
      <c r="AE541" s="30">
        <f>IF(OR($B541="",$C541=""),"",$C541-$B541+1)</f>
        <v/>
      </c>
      <c r="AF541" s="32" t="n"/>
      <c r="AG541" s="36" t="n"/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3">
        <f>IF($F542="","",IFERROR(INDEX(사건마스터!$B$5:$B$64,MATCH($F542,사건마스터!$A$5:$A$64,0)),""))</f>
        <v/>
      </c>
      <c r="H542" s="34">
        <f>IF($F542="","",IFERROR(INDEX(사건마스터!$C$5:$C$64,MATCH($F542,사건마스터!$A$5:$A$64,0)),""))</f>
        <v/>
      </c>
      <c r="I542" s="35">
        <f>IF($F542="","",IFERROR(INDEX(사건마스터!$H$5:$H$64,MATCH($F542,사건마스터!$A$5:$A$64,0)),""))</f>
        <v/>
      </c>
      <c r="J542" s="35">
        <f>IF($F542="","",IFERROR(INDEX(사건마스터!$AH$5:$AH$64,MATCH($F542,사건마스터!$A$5:$A$64,0)),""))</f>
        <v/>
      </c>
      <c r="K542" s="35">
        <f>IF($F542="","",IFERROR(INDEX(사건마스터!$AI$5:$AI$64,MATCH($F542,사건마스터!$A$5:$A$64,0)),""))</f>
        <v/>
      </c>
      <c r="L542" s="35">
        <f>IF($F542="","",IFERROR(INDEX(사건마스터!$AJ$5:$AJ$64,MATCH($F542,사건마스터!$A$5:$A$64,0)),""))</f>
        <v/>
      </c>
      <c r="M542" s="35">
        <f>IF($F542="","",IFERROR(INDEX(사건마스터!$AK$5:$AK$64,MATCH($F542,사건마스터!$A$5:$A$64,0)),""))</f>
        <v/>
      </c>
      <c r="N542" s="35">
        <f>IF($F542="","",IFERROR(INDEX(사건마스터!$AL$5:$AL$64,MATCH($F542,사건마스터!$A$5:$A$64,0)),""))</f>
        <v/>
      </c>
      <c r="O542" s="35">
        <f>IF($F542="","",IFERROR(INDEX(사건마스터!$AM$5:$AM$64,MATCH($F542,사건마스터!$A$5:$A$64,0)),""))</f>
        <v/>
      </c>
      <c r="P542" s="35">
        <f>IF($F542="","",IFERROR(INDEX(사건마스터!$AN$5:$AN$64,MATCH($F542,사건마스터!$A$5:$A$64,0)),""))</f>
        <v/>
      </c>
      <c r="Q542" s="35">
        <f>IF($F542="","",IFERROR(INDEX(사건마스터!$AO$5:$AO$64,MATCH($F542,사건마스터!$A$5:$A$64,0)),""))</f>
        <v/>
      </c>
      <c r="R542" s="35">
        <f>IF($F542="","",IFERROR(INDEX(사건마스터!$AP$5:$AP$64,MATCH($F542,사건마스터!$A$5:$A$64,0)),""))</f>
        <v/>
      </c>
      <c r="S542" s="35">
        <f>IF($F542="","",IFERROR(INDEX(사건마스터!$AQ$5:$AQ$64,MATCH($F542,사건마스터!$A$5:$A$64,0)),""))</f>
        <v/>
      </c>
      <c r="T542" s="35">
        <f>IF($F542="","",IFERROR(INDEX(사건마스터!$AR$5:$AR$64,MATCH($F542,사건마스터!$A$5:$A$64,0)),""))</f>
        <v/>
      </c>
      <c r="U542" s="35">
        <f>IF($F542="","",IFERROR(INDEX(사건마스터!$AS$5:$AS$64,MATCH($F542,사건마스터!$A$5:$A$64,0)),""))</f>
        <v/>
      </c>
      <c r="V542" s="35">
        <f>IF($F542="","",IFERROR(INDEX(사건마스터!$AT$5:$AT$64,MATCH($F542,사건마스터!$A$5:$A$64,0)),""))</f>
        <v/>
      </c>
      <c r="W542" s="35">
        <f>IF($F542="","",IFERROR(INDEX(사건마스터!$AU$5:$AU$64,MATCH($F542,사건마스터!$A$5:$A$64,0)),""))</f>
        <v/>
      </c>
      <c r="X542" s="35">
        <f>IF($F542="","",IFERROR(INDEX(사건마스터!$AV$5:$AV$64,MATCH($F542,사건마스터!$A$5:$A$64,0)),""))</f>
        <v/>
      </c>
      <c r="Y542" s="30">
        <f>IF($I542="","",COUNTIF($I542:$X542,"?*"))</f>
        <v/>
      </c>
      <c r="Z542" s="33">
        <f>IF($I542="","",_xlfn.TEXTJOIN(", ",TRUE,$I542:$X542))</f>
        <v/>
      </c>
      <c r="AA542" s="34">
        <f>IF($I542="","",IFERROR(INDEX(코드설정!$D$5:$D$24,MATCH($I542,코드설정!$C$5:$C$24,0)),""))</f>
        <v/>
      </c>
      <c r="AB542" s="36" t="n"/>
      <c r="AC542" s="37" t="n"/>
      <c r="AD542" s="38" t="n"/>
      <c r="AE542" s="30">
        <f>IF(OR($B542="",$C542=""),"",$C542-$B542+1)</f>
        <v/>
      </c>
      <c r="AF542" s="32" t="n"/>
      <c r="AG542" s="36" t="n"/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3">
        <f>IF($F543="","",IFERROR(INDEX(사건마스터!$B$5:$B$64,MATCH($F543,사건마스터!$A$5:$A$64,0)),""))</f>
        <v/>
      </c>
      <c r="H543" s="34">
        <f>IF($F543="","",IFERROR(INDEX(사건마스터!$C$5:$C$64,MATCH($F543,사건마스터!$A$5:$A$64,0)),""))</f>
        <v/>
      </c>
      <c r="I543" s="35">
        <f>IF($F543="","",IFERROR(INDEX(사건마스터!$H$5:$H$64,MATCH($F543,사건마스터!$A$5:$A$64,0)),""))</f>
        <v/>
      </c>
      <c r="J543" s="35">
        <f>IF($F543="","",IFERROR(INDEX(사건마스터!$AH$5:$AH$64,MATCH($F543,사건마스터!$A$5:$A$64,0)),""))</f>
        <v/>
      </c>
      <c r="K543" s="35">
        <f>IF($F543="","",IFERROR(INDEX(사건마스터!$AI$5:$AI$64,MATCH($F543,사건마스터!$A$5:$A$64,0)),""))</f>
        <v/>
      </c>
      <c r="L543" s="35">
        <f>IF($F543="","",IFERROR(INDEX(사건마스터!$AJ$5:$AJ$64,MATCH($F543,사건마스터!$A$5:$A$64,0)),""))</f>
        <v/>
      </c>
      <c r="M543" s="35">
        <f>IF($F543="","",IFERROR(INDEX(사건마스터!$AK$5:$AK$64,MATCH($F543,사건마스터!$A$5:$A$64,0)),""))</f>
        <v/>
      </c>
      <c r="N543" s="35">
        <f>IF($F543="","",IFERROR(INDEX(사건마스터!$AL$5:$AL$64,MATCH($F543,사건마스터!$A$5:$A$64,0)),""))</f>
        <v/>
      </c>
      <c r="O543" s="35">
        <f>IF($F543="","",IFERROR(INDEX(사건마스터!$AM$5:$AM$64,MATCH($F543,사건마스터!$A$5:$A$64,0)),""))</f>
        <v/>
      </c>
      <c r="P543" s="35">
        <f>IF($F543="","",IFERROR(INDEX(사건마스터!$AN$5:$AN$64,MATCH($F543,사건마스터!$A$5:$A$64,0)),""))</f>
        <v/>
      </c>
      <c r="Q543" s="35">
        <f>IF($F543="","",IFERROR(INDEX(사건마스터!$AO$5:$AO$64,MATCH($F543,사건마스터!$A$5:$A$64,0)),""))</f>
        <v/>
      </c>
      <c r="R543" s="35">
        <f>IF($F543="","",IFERROR(INDEX(사건마스터!$AP$5:$AP$64,MATCH($F543,사건마스터!$A$5:$A$64,0)),""))</f>
        <v/>
      </c>
      <c r="S543" s="35">
        <f>IF($F543="","",IFERROR(INDEX(사건마스터!$AQ$5:$AQ$64,MATCH($F543,사건마스터!$A$5:$A$64,0)),""))</f>
        <v/>
      </c>
      <c r="T543" s="35">
        <f>IF($F543="","",IFERROR(INDEX(사건마스터!$AR$5:$AR$64,MATCH($F543,사건마스터!$A$5:$A$64,0)),""))</f>
        <v/>
      </c>
      <c r="U543" s="35">
        <f>IF($F543="","",IFERROR(INDEX(사건마스터!$AS$5:$AS$64,MATCH($F543,사건마스터!$A$5:$A$64,0)),""))</f>
        <v/>
      </c>
      <c r="V543" s="35">
        <f>IF($F543="","",IFERROR(INDEX(사건마스터!$AT$5:$AT$64,MATCH($F543,사건마스터!$A$5:$A$64,0)),""))</f>
        <v/>
      </c>
      <c r="W543" s="35">
        <f>IF($F543="","",IFERROR(INDEX(사건마스터!$AU$5:$AU$64,MATCH($F543,사건마스터!$A$5:$A$64,0)),""))</f>
        <v/>
      </c>
      <c r="X543" s="35">
        <f>IF($F543="","",IFERROR(INDEX(사건마스터!$AV$5:$AV$64,MATCH($F543,사건마스터!$A$5:$A$64,0)),""))</f>
        <v/>
      </c>
      <c r="Y543" s="30">
        <f>IF($I543="","",COUNTIF($I543:$X543,"?*"))</f>
        <v/>
      </c>
      <c r="Z543" s="33">
        <f>IF($I543="","",_xlfn.TEXTJOIN(", ",TRUE,$I543:$X543))</f>
        <v/>
      </c>
      <c r="AA543" s="34">
        <f>IF($I543="","",IFERROR(INDEX(코드설정!$D$5:$D$24,MATCH($I543,코드설정!$C$5:$C$24,0)),""))</f>
        <v/>
      </c>
      <c r="AB543" s="36" t="n"/>
      <c r="AC543" s="37" t="n"/>
      <c r="AD543" s="38" t="n"/>
      <c r="AE543" s="30">
        <f>IF(OR($B543="",$C543=""),"",$C543-$B543+1)</f>
        <v/>
      </c>
      <c r="AF543" s="32" t="n"/>
      <c r="AG543" s="36" t="n"/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3">
        <f>IF($F544="","",IFERROR(INDEX(사건마스터!$B$5:$B$64,MATCH($F544,사건마스터!$A$5:$A$64,0)),""))</f>
        <v/>
      </c>
      <c r="H544" s="34">
        <f>IF($F544="","",IFERROR(INDEX(사건마스터!$C$5:$C$64,MATCH($F544,사건마스터!$A$5:$A$64,0)),""))</f>
        <v/>
      </c>
      <c r="I544" s="35">
        <f>IF($F544="","",IFERROR(INDEX(사건마스터!$H$5:$H$64,MATCH($F544,사건마스터!$A$5:$A$64,0)),""))</f>
        <v/>
      </c>
      <c r="J544" s="35">
        <f>IF($F544="","",IFERROR(INDEX(사건마스터!$AH$5:$AH$64,MATCH($F544,사건마스터!$A$5:$A$64,0)),""))</f>
        <v/>
      </c>
      <c r="K544" s="35">
        <f>IF($F544="","",IFERROR(INDEX(사건마스터!$AI$5:$AI$64,MATCH($F544,사건마스터!$A$5:$A$64,0)),""))</f>
        <v/>
      </c>
      <c r="L544" s="35">
        <f>IF($F544="","",IFERROR(INDEX(사건마스터!$AJ$5:$AJ$64,MATCH($F544,사건마스터!$A$5:$A$64,0)),""))</f>
        <v/>
      </c>
      <c r="M544" s="35">
        <f>IF($F544="","",IFERROR(INDEX(사건마스터!$AK$5:$AK$64,MATCH($F544,사건마스터!$A$5:$A$64,0)),""))</f>
        <v/>
      </c>
      <c r="N544" s="35">
        <f>IF($F544="","",IFERROR(INDEX(사건마스터!$AL$5:$AL$64,MATCH($F544,사건마스터!$A$5:$A$64,0)),""))</f>
        <v/>
      </c>
      <c r="O544" s="35">
        <f>IF($F544="","",IFERROR(INDEX(사건마스터!$AM$5:$AM$64,MATCH($F544,사건마스터!$A$5:$A$64,0)),""))</f>
        <v/>
      </c>
      <c r="P544" s="35">
        <f>IF($F544="","",IFERROR(INDEX(사건마스터!$AN$5:$AN$64,MATCH($F544,사건마스터!$A$5:$A$64,0)),""))</f>
        <v/>
      </c>
      <c r="Q544" s="35">
        <f>IF($F544="","",IFERROR(INDEX(사건마스터!$AO$5:$AO$64,MATCH($F544,사건마스터!$A$5:$A$64,0)),""))</f>
        <v/>
      </c>
      <c r="R544" s="35">
        <f>IF($F544="","",IFERROR(INDEX(사건마스터!$AP$5:$AP$64,MATCH($F544,사건마스터!$A$5:$A$64,0)),""))</f>
        <v/>
      </c>
      <c r="S544" s="35">
        <f>IF($F544="","",IFERROR(INDEX(사건마스터!$AQ$5:$AQ$64,MATCH($F544,사건마스터!$A$5:$A$64,0)),""))</f>
        <v/>
      </c>
      <c r="T544" s="35">
        <f>IF($F544="","",IFERROR(INDEX(사건마스터!$AR$5:$AR$64,MATCH($F544,사건마스터!$A$5:$A$64,0)),""))</f>
        <v/>
      </c>
      <c r="U544" s="35">
        <f>IF($F544="","",IFERROR(INDEX(사건마스터!$AS$5:$AS$64,MATCH($F544,사건마스터!$A$5:$A$64,0)),""))</f>
        <v/>
      </c>
      <c r="V544" s="35">
        <f>IF($F544="","",IFERROR(INDEX(사건마스터!$AT$5:$AT$64,MATCH($F544,사건마스터!$A$5:$A$64,0)),""))</f>
        <v/>
      </c>
      <c r="W544" s="35">
        <f>IF($F544="","",IFERROR(INDEX(사건마스터!$AU$5:$AU$64,MATCH($F544,사건마스터!$A$5:$A$64,0)),""))</f>
        <v/>
      </c>
      <c r="X544" s="35">
        <f>IF($F544="","",IFERROR(INDEX(사건마스터!$AV$5:$AV$64,MATCH($F544,사건마스터!$A$5:$A$64,0)),""))</f>
        <v/>
      </c>
      <c r="Y544" s="30">
        <f>IF($I544="","",COUNTIF($I544:$X544,"?*"))</f>
        <v/>
      </c>
      <c r="Z544" s="33">
        <f>IF($I544="","",_xlfn.TEXTJOIN(", ",TRUE,$I544:$X544))</f>
        <v/>
      </c>
      <c r="AA544" s="34">
        <f>IF($I544="","",IFERROR(INDEX(코드설정!$D$5:$D$24,MATCH($I544,코드설정!$C$5:$C$24,0)),""))</f>
        <v/>
      </c>
      <c r="AB544" s="36" t="n"/>
      <c r="AC544" s="37" t="n"/>
      <c r="AD544" s="38" t="n"/>
      <c r="AE544" s="30">
        <f>IF(OR($B544="",$C544=""),"",$C544-$B544+1)</f>
        <v/>
      </c>
      <c r="AF544" s="32" t="n"/>
      <c r="AG544" s="36" t="n"/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3">
        <f>IF($F545="","",IFERROR(INDEX(사건마스터!$B$5:$B$64,MATCH($F545,사건마스터!$A$5:$A$64,0)),""))</f>
        <v/>
      </c>
      <c r="H545" s="34">
        <f>IF($F545="","",IFERROR(INDEX(사건마스터!$C$5:$C$64,MATCH($F545,사건마스터!$A$5:$A$64,0)),""))</f>
        <v/>
      </c>
      <c r="I545" s="35">
        <f>IF($F545="","",IFERROR(INDEX(사건마스터!$H$5:$H$64,MATCH($F545,사건마스터!$A$5:$A$64,0)),""))</f>
        <v/>
      </c>
      <c r="J545" s="35">
        <f>IF($F545="","",IFERROR(INDEX(사건마스터!$AH$5:$AH$64,MATCH($F545,사건마스터!$A$5:$A$64,0)),""))</f>
        <v/>
      </c>
      <c r="K545" s="35">
        <f>IF($F545="","",IFERROR(INDEX(사건마스터!$AI$5:$AI$64,MATCH($F545,사건마스터!$A$5:$A$64,0)),""))</f>
        <v/>
      </c>
      <c r="L545" s="35">
        <f>IF($F545="","",IFERROR(INDEX(사건마스터!$AJ$5:$AJ$64,MATCH($F545,사건마스터!$A$5:$A$64,0)),""))</f>
        <v/>
      </c>
      <c r="M545" s="35">
        <f>IF($F545="","",IFERROR(INDEX(사건마스터!$AK$5:$AK$64,MATCH($F545,사건마스터!$A$5:$A$64,0)),""))</f>
        <v/>
      </c>
      <c r="N545" s="35">
        <f>IF($F545="","",IFERROR(INDEX(사건마스터!$AL$5:$AL$64,MATCH($F545,사건마스터!$A$5:$A$64,0)),""))</f>
        <v/>
      </c>
      <c r="O545" s="35">
        <f>IF($F545="","",IFERROR(INDEX(사건마스터!$AM$5:$AM$64,MATCH($F545,사건마스터!$A$5:$A$64,0)),""))</f>
        <v/>
      </c>
      <c r="P545" s="35">
        <f>IF($F545="","",IFERROR(INDEX(사건마스터!$AN$5:$AN$64,MATCH($F545,사건마스터!$A$5:$A$64,0)),""))</f>
        <v/>
      </c>
      <c r="Q545" s="35">
        <f>IF($F545="","",IFERROR(INDEX(사건마스터!$AO$5:$AO$64,MATCH($F545,사건마스터!$A$5:$A$64,0)),""))</f>
        <v/>
      </c>
      <c r="R545" s="35">
        <f>IF($F545="","",IFERROR(INDEX(사건마스터!$AP$5:$AP$64,MATCH($F545,사건마스터!$A$5:$A$64,0)),""))</f>
        <v/>
      </c>
      <c r="S545" s="35">
        <f>IF($F545="","",IFERROR(INDEX(사건마스터!$AQ$5:$AQ$64,MATCH($F545,사건마스터!$A$5:$A$64,0)),""))</f>
        <v/>
      </c>
      <c r="T545" s="35">
        <f>IF($F545="","",IFERROR(INDEX(사건마스터!$AR$5:$AR$64,MATCH($F545,사건마스터!$A$5:$A$64,0)),""))</f>
        <v/>
      </c>
      <c r="U545" s="35">
        <f>IF($F545="","",IFERROR(INDEX(사건마스터!$AS$5:$AS$64,MATCH($F545,사건마스터!$A$5:$A$64,0)),""))</f>
        <v/>
      </c>
      <c r="V545" s="35">
        <f>IF($F545="","",IFERROR(INDEX(사건마스터!$AT$5:$AT$64,MATCH($F545,사건마스터!$A$5:$A$64,0)),""))</f>
        <v/>
      </c>
      <c r="W545" s="35">
        <f>IF($F545="","",IFERROR(INDEX(사건마스터!$AU$5:$AU$64,MATCH($F545,사건마스터!$A$5:$A$64,0)),""))</f>
        <v/>
      </c>
      <c r="X545" s="35">
        <f>IF($F545="","",IFERROR(INDEX(사건마스터!$AV$5:$AV$64,MATCH($F545,사건마스터!$A$5:$A$64,0)),""))</f>
        <v/>
      </c>
      <c r="Y545" s="30">
        <f>IF($I545="","",COUNTIF($I545:$X545,"?*"))</f>
        <v/>
      </c>
      <c r="Z545" s="33">
        <f>IF($I545="","",_xlfn.TEXTJOIN(", ",TRUE,$I545:$X545))</f>
        <v/>
      </c>
      <c r="AA545" s="34">
        <f>IF($I545="","",IFERROR(INDEX(코드설정!$D$5:$D$24,MATCH($I545,코드설정!$C$5:$C$24,0)),""))</f>
        <v/>
      </c>
      <c r="AB545" s="36" t="n"/>
      <c r="AC545" s="37" t="n"/>
      <c r="AD545" s="38" t="n"/>
      <c r="AE545" s="30">
        <f>IF(OR($B545="",$C545=""),"",$C545-$B545+1)</f>
        <v/>
      </c>
      <c r="AF545" s="32" t="n"/>
      <c r="AG545" s="36" t="n"/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3">
        <f>IF($F546="","",IFERROR(INDEX(사건마스터!$B$5:$B$64,MATCH($F546,사건마스터!$A$5:$A$64,0)),""))</f>
        <v/>
      </c>
      <c r="H546" s="34">
        <f>IF($F546="","",IFERROR(INDEX(사건마스터!$C$5:$C$64,MATCH($F546,사건마스터!$A$5:$A$64,0)),""))</f>
        <v/>
      </c>
      <c r="I546" s="35">
        <f>IF($F546="","",IFERROR(INDEX(사건마스터!$H$5:$H$64,MATCH($F546,사건마스터!$A$5:$A$64,0)),""))</f>
        <v/>
      </c>
      <c r="J546" s="35">
        <f>IF($F546="","",IFERROR(INDEX(사건마스터!$AH$5:$AH$64,MATCH($F546,사건마스터!$A$5:$A$64,0)),""))</f>
        <v/>
      </c>
      <c r="K546" s="35">
        <f>IF($F546="","",IFERROR(INDEX(사건마스터!$AI$5:$AI$64,MATCH($F546,사건마스터!$A$5:$A$64,0)),""))</f>
        <v/>
      </c>
      <c r="L546" s="35">
        <f>IF($F546="","",IFERROR(INDEX(사건마스터!$AJ$5:$AJ$64,MATCH($F546,사건마스터!$A$5:$A$64,0)),""))</f>
        <v/>
      </c>
      <c r="M546" s="35">
        <f>IF($F546="","",IFERROR(INDEX(사건마스터!$AK$5:$AK$64,MATCH($F546,사건마스터!$A$5:$A$64,0)),""))</f>
        <v/>
      </c>
      <c r="N546" s="35">
        <f>IF($F546="","",IFERROR(INDEX(사건마스터!$AL$5:$AL$64,MATCH($F546,사건마스터!$A$5:$A$64,0)),""))</f>
        <v/>
      </c>
      <c r="O546" s="35">
        <f>IF($F546="","",IFERROR(INDEX(사건마스터!$AM$5:$AM$64,MATCH($F546,사건마스터!$A$5:$A$64,0)),""))</f>
        <v/>
      </c>
      <c r="P546" s="35">
        <f>IF($F546="","",IFERROR(INDEX(사건마스터!$AN$5:$AN$64,MATCH($F546,사건마스터!$A$5:$A$64,0)),""))</f>
        <v/>
      </c>
      <c r="Q546" s="35">
        <f>IF($F546="","",IFERROR(INDEX(사건마스터!$AO$5:$AO$64,MATCH($F546,사건마스터!$A$5:$A$64,0)),""))</f>
        <v/>
      </c>
      <c r="R546" s="35">
        <f>IF($F546="","",IFERROR(INDEX(사건마스터!$AP$5:$AP$64,MATCH($F546,사건마스터!$A$5:$A$64,0)),""))</f>
        <v/>
      </c>
      <c r="S546" s="35">
        <f>IF($F546="","",IFERROR(INDEX(사건마스터!$AQ$5:$AQ$64,MATCH($F546,사건마스터!$A$5:$A$64,0)),""))</f>
        <v/>
      </c>
      <c r="T546" s="35">
        <f>IF($F546="","",IFERROR(INDEX(사건마스터!$AR$5:$AR$64,MATCH($F546,사건마스터!$A$5:$A$64,0)),""))</f>
        <v/>
      </c>
      <c r="U546" s="35">
        <f>IF($F546="","",IFERROR(INDEX(사건마스터!$AS$5:$AS$64,MATCH($F546,사건마스터!$A$5:$A$64,0)),""))</f>
        <v/>
      </c>
      <c r="V546" s="35">
        <f>IF($F546="","",IFERROR(INDEX(사건마스터!$AT$5:$AT$64,MATCH($F546,사건마스터!$A$5:$A$64,0)),""))</f>
        <v/>
      </c>
      <c r="W546" s="35">
        <f>IF($F546="","",IFERROR(INDEX(사건마스터!$AU$5:$AU$64,MATCH($F546,사건마스터!$A$5:$A$64,0)),""))</f>
        <v/>
      </c>
      <c r="X546" s="35">
        <f>IF($F546="","",IFERROR(INDEX(사건마스터!$AV$5:$AV$64,MATCH($F546,사건마스터!$A$5:$A$64,0)),""))</f>
        <v/>
      </c>
      <c r="Y546" s="30">
        <f>IF($I546="","",COUNTIF($I546:$X546,"?*"))</f>
        <v/>
      </c>
      <c r="Z546" s="33">
        <f>IF($I546="","",_xlfn.TEXTJOIN(", ",TRUE,$I546:$X546))</f>
        <v/>
      </c>
      <c r="AA546" s="34">
        <f>IF($I546="","",IFERROR(INDEX(코드설정!$D$5:$D$24,MATCH($I546,코드설정!$C$5:$C$24,0)),""))</f>
        <v/>
      </c>
      <c r="AB546" s="36" t="n"/>
      <c r="AC546" s="37" t="n"/>
      <c r="AD546" s="38" t="n"/>
      <c r="AE546" s="30">
        <f>IF(OR($B546="",$C546=""),"",$C546-$B546+1)</f>
        <v/>
      </c>
      <c r="AF546" s="32" t="n"/>
      <c r="AG546" s="36" t="n"/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3">
        <f>IF($F547="","",IFERROR(INDEX(사건마스터!$B$5:$B$64,MATCH($F547,사건마스터!$A$5:$A$64,0)),""))</f>
        <v/>
      </c>
      <c r="H547" s="34">
        <f>IF($F547="","",IFERROR(INDEX(사건마스터!$C$5:$C$64,MATCH($F547,사건마스터!$A$5:$A$64,0)),""))</f>
        <v/>
      </c>
      <c r="I547" s="35">
        <f>IF($F547="","",IFERROR(INDEX(사건마스터!$H$5:$H$64,MATCH($F547,사건마스터!$A$5:$A$64,0)),""))</f>
        <v/>
      </c>
      <c r="J547" s="35">
        <f>IF($F547="","",IFERROR(INDEX(사건마스터!$AH$5:$AH$64,MATCH($F547,사건마스터!$A$5:$A$64,0)),""))</f>
        <v/>
      </c>
      <c r="K547" s="35">
        <f>IF($F547="","",IFERROR(INDEX(사건마스터!$AI$5:$AI$64,MATCH($F547,사건마스터!$A$5:$A$64,0)),""))</f>
        <v/>
      </c>
      <c r="L547" s="35">
        <f>IF($F547="","",IFERROR(INDEX(사건마스터!$AJ$5:$AJ$64,MATCH($F547,사건마스터!$A$5:$A$64,0)),""))</f>
        <v/>
      </c>
      <c r="M547" s="35">
        <f>IF($F547="","",IFERROR(INDEX(사건마스터!$AK$5:$AK$64,MATCH($F547,사건마스터!$A$5:$A$64,0)),""))</f>
        <v/>
      </c>
      <c r="N547" s="35">
        <f>IF($F547="","",IFERROR(INDEX(사건마스터!$AL$5:$AL$64,MATCH($F547,사건마스터!$A$5:$A$64,0)),""))</f>
        <v/>
      </c>
      <c r="O547" s="35">
        <f>IF($F547="","",IFERROR(INDEX(사건마스터!$AM$5:$AM$64,MATCH($F547,사건마스터!$A$5:$A$64,0)),""))</f>
        <v/>
      </c>
      <c r="P547" s="35">
        <f>IF($F547="","",IFERROR(INDEX(사건마스터!$AN$5:$AN$64,MATCH($F547,사건마스터!$A$5:$A$64,0)),""))</f>
        <v/>
      </c>
      <c r="Q547" s="35">
        <f>IF($F547="","",IFERROR(INDEX(사건마스터!$AO$5:$AO$64,MATCH($F547,사건마스터!$A$5:$A$64,0)),""))</f>
        <v/>
      </c>
      <c r="R547" s="35">
        <f>IF($F547="","",IFERROR(INDEX(사건마스터!$AP$5:$AP$64,MATCH($F547,사건마스터!$A$5:$A$64,0)),""))</f>
        <v/>
      </c>
      <c r="S547" s="35">
        <f>IF($F547="","",IFERROR(INDEX(사건마스터!$AQ$5:$AQ$64,MATCH($F547,사건마스터!$A$5:$A$64,0)),""))</f>
        <v/>
      </c>
      <c r="T547" s="35">
        <f>IF($F547="","",IFERROR(INDEX(사건마스터!$AR$5:$AR$64,MATCH($F547,사건마스터!$A$5:$A$64,0)),""))</f>
        <v/>
      </c>
      <c r="U547" s="35">
        <f>IF($F547="","",IFERROR(INDEX(사건마스터!$AS$5:$AS$64,MATCH($F547,사건마스터!$A$5:$A$64,0)),""))</f>
        <v/>
      </c>
      <c r="V547" s="35">
        <f>IF($F547="","",IFERROR(INDEX(사건마스터!$AT$5:$AT$64,MATCH($F547,사건마스터!$A$5:$A$64,0)),""))</f>
        <v/>
      </c>
      <c r="W547" s="35">
        <f>IF($F547="","",IFERROR(INDEX(사건마스터!$AU$5:$AU$64,MATCH($F547,사건마스터!$A$5:$A$64,0)),""))</f>
        <v/>
      </c>
      <c r="X547" s="35">
        <f>IF($F547="","",IFERROR(INDEX(사건마스터!$AV$5:$AV$64,MATCH($F547,사건마스터!$A$5:$A$64,0)),""))</f>
        <v/>
      </c>
      <c r="Y547" s="30">
        <f>IF($I547="","",COUNTIF($I547:$X547,"?*"))</f>
        <v/>
      </c>
      <c r="Z547" s="33">
        <f>IF($I547="","",_xlfn.TEXTJOIN(", ",TRUE,$I547:$X547))</f>
        <v/>
      </c>
      <c r="AA547" s="34">
        <f>IF($I547="","",IFERROR(INDEX(코드설정!$D$5:$D$24,MATCH($I547,코드설정!$C$5:$C$24,0)),""))</f>
        <v/>
      </c>
      <c r="AB547" s="36" t="n"/>
      <c r="AC547" s="37" t="n"/>
      <c r="AD547" s="38" t="n"/>
      <c r="AE547" s="30">
        <f>IF(OR($B547="",$C547=""),"",$C547-$B547+1)</f>
        <v/>
      </c>
      <c r="AF547" s="32" t="n"/>
      <c r="AG547" s="36" t="n"/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3">
        <f>IF($F548="","",IFERROR(INDEX(사건마스터!$B$5:$B$64,MATCH($F548,사건마스터!$A$5:$A$64,0)),""))</f>
        <v/>
      </c>
      <c r="H548" s="34">
        <f>IF($F548="","",IFERROR(INDEX(사건마스터!$C$5:$C$64,MATCH($F548,사건마스터!$A$5:$A$64,0)),""))</f>
        <v/>
      </c>
      <c r="I548" s="35">
        <f>IF($F548="","",IFERROR(INDEX(사건마스터!$H$5:$H$64,MATCH($F548,사건마스터!$A$5:$A$64,0)),""))</f>
        <v/>
      </c>
      <c r="J548" s="35">
        <f>IF($F548="","",IFERROR(INDEX(사건마스터!$AH$5:$AH$64,MATCH($F548,사건마스터!$A$5:$A$64,0)),""))</f>
        <v/>
      </c>
      <c r="K548" s="35">
        <f>IF($F548="","",IFERROR(INDEX(사건마스터!$AI$5:$AI$64,MATCH($F548,사건마스터!$A$5:$A$64,0)),""))</f>
        <v/>
      </c>
      <c r="L548" s="35">
        <f>IF($F548="","",IFERROR(INDEX(사건마스터!$AJ$5:$AJ$64,MATCH($F548,사건마스터!$A$5:$A$64,0)),""))</f>
        <v/>
      </c>
      <c r="M548" s="35">
        <f>IF($F548="","",IFERROR(INDEX(사건마스터!$AK$5:$AK$64,MATCH($F548,사건마스터!$A$5:$A$64,0)),""))</f>
        <v/>
      </c>
      <c r="N548" s="35">
        <f>IF($F548="","",IFERROR(INDEX(사건마스터!$AL$5:$AL$64,MATCH($F548,사건마스터!$A$5:$A$64,0)),""))</f>
        <v/>
      </c>
      <c r="O548" s="35">
        <f>IF($F548="","",IFERROR(INDEX(사건마스터!$AM$5:$AM$64,MATCH($F548,사건마스터!$A$5:$A$64,0)),""))</f>
        <v/>
      </c>
      <c r="P548" s="35">
        <f>IF($F548="","",IFERROR(INDEX(사건마스터!$AN$5:$AN$64,MATCH($F548,사건마스터!$A$5:$A$64,0)),""))</f>
        <v/>
      </c>
      <c r="Q548" s="35">
        <f>IF($F548="","",IFERROR(INDEX(사건마스터!$AO$5:$AO$64,MATCH($F548,사건마스터!$A$5:$A$64,0)),""))</f>
        <v/>
      </c>
      <c r="R548" s="35">
        <f>IF($F548="","",IFERROR(INDEX(사건마스터!$AP$5:$AP$64,MATCH($F548,사건마스터!$A$5:$A$64,0)),""))</f>
        <v/>
      </c>
      <c r="S548" s="35">
        <f>IF($F548="","",IFERROR(INDEX(사건마스터!$AQ$5:$AQ$64,MATCH($F548,사건마스터!$A$5:$A$64,0)),""))</f>
        <v/>
      </c>
      <c r="T548" s="35">
        <f>IF($F548="","",IFERROR(INDEX(사건마스터!$AR$5:$AR$64,MATCH($F548,사건마스터!$A$5:$A$64,0)),""))</f>
        <v/>
      </c>
      <c r="U548" s="35">
        <f>IF($F548="","",IFERROR(INDEX(사건마스터!$AS$5:$AS$64,MATCH($F548,사건마스터!$A$5:$A$64,0)),""))</f>
        <v/>
      </c>
      <c r="V548" s="35">
        <f>IF($F548="","",IFERROR(INDEX(사건마스터!$AT$5:$AT$64,MATCH($F548,사건마스터!$A$5:$A$64,0)),""))</f>
        <v/>
      </c>
      <c r="W548" s="35">
        <f>IF($F548="","",IFERROR(INDEX(사건마스터!$AU$5:$AU$64,MATCH($F548,사건마스터!$A$5:$A$64,0)),""))</f>
        <v/>
      </c>
      <c r="X548" s="35">
        <f>IF($F548="","",IFERROR(INDEX(사건마스터!$AV$5:$AV$64,MATCH($F548,사건마스터!$A$5:$A$64,0)),""))</f>
        <v/>
      </c>
      <c r="Y548" s="30">
        <f>IF($I548="","",COUNTIF($I548:$X548,"?*"))</f>
        <v/>
      </c>
      <c r="Z548" s="33">
        <f>IF($I548="","",_xlfn.TEXTJOIN(", ",TRUE,$I548:$X548))</f>
        <v/>
      </c>
      <c r="AA548" s="34">
        <f>IF($I548="","",IFERROR(INDEX(코드설정!$D$5:$D$24,MATCH($I548,코드설정!$C$5:$C$24,0)),""))</f>
        <v/>
      </c>
      <c r="AB548" s="36" t="n"/>
      <c r="AC548" s="37" t="n"/>
      <c r="AD548" s="38" t="n"/>
      <c r="AE548" s="30">
        <f>IF(OR($B548="",$C548=""),"",$C548-$B548+1)</f>
        <v/>
      </c>
      <c r="AF548" s="32" t="n"/>
      <c r="AG548" s="36" t="n"/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3">
        <f>IF($F549="","",IFERROR(INDEX(사건마스터!$B$5:$B$64,MATCH($F549,사건마스터!$A$5:$A$64,0)),""))</f>
        <v/>
      </c>
      <c r="H549" s="34">
        <f>IF($F549="","",IFERROR(INDEX(사건마스터!$C$5:$C$64,MATCH($F549,사건마스터!$A$5:$A$64,0)),""))</f>
        <v/>
      </c>
      <c r="I549" s="35">
        <f>IF($F549="","",IFERROR(INDEX(사건마스터!$H$5:$H$64,MATCH($F549,사건마스터!$A$5:$A$64,0)),""))</f>
        <v/>
      </c>
      <c r="J549" s="35">
        <f>IF($F549="","",IFERROR(INDEX(사건마스터!$AH$5:$AH$64,MATCH($F549,사건마스터!$A$5:$A$64,0)),""))</f>
        <v/>
      </c>
      <c r="K549" s="35">
        <f>IF($F549="","",IFERROR(INDEX(사건마스터!$AI$5:$AI$64,MATCH($F549,사건마스터!$A$5:$A$64,0)),""))</f>
        <v/>
      </c>
      <c r="L549" s="35">
        <f>IF($F549="","",IFERROR(INDEX(사건마스터!$AJ$5:$AJ$64,MATCH($F549,사건마스터!$A$5:$A$64,0)),""))</f>
        <v/>
      </c>
      <c r="M549" s="35">
        <f>IF($F549="","",IFERROR(INDEX(사건마스터!$AK$5:$AK$64,MATCH($F549,사건마스터!$A$5:$A$64,0)),""))</f>
        <v/>
      </c>
      <c r="N549" s="35">
        <f>IF($F549="","",IFERROR(INDEX(사건마스터!$AL$5:$AL$64,MATCH($F549,사건마스터!$A$5:$A$64,0)),""))</f>
        <v/>
      </c>
      <c r="O549" s="35">
        <f>IF($F549="","",IFERROR(INDEX(사건마스터!$AM$5:$AM$64,MATCH($F549,사건마스터!$A$5:$A$64,0)),""))</f>
        <v/>
      </c>
      <c r="P549" s="35">
        <f>IF($F549="","",IFERROR(INDEX(사건마스터!$AN$5:$AN$64,MATCH($F549,사건마스터!$A$5:$A$64,0)),""))</f>
        <v/>
      </c>
      <c r="Q549" s="35">
        <f>IF($F549="","",IFERROR(INDEX(사건마스터!$AO$5:$AO$64,MATCH($F549,사건마스터!$A$5:$A$64,0)),""))</f>
        <v/>
      </c>
      <c r="R549" s="35">
        <f>IF($F549="","",IFERROR(INDEX(사건마스터!$AP$5:$AP$64,MATCH($F549,사건마스터!$A$5:$A$64,0)),""))</f>
        <v/>
      </c>
      <c r="S549" s="35">
        <f>IF($F549="","",IFERROR(INDEX(사건마스터!$AQ$5:$AQ$64,MATCH($F549,사건마스터!$A$5:$A$64,0)),""))</f>
        <v/>
      </c>
      <c r="T549" s="35">
        <f>IF($F549="","",IFERROR(INDEX(사건마스터!$AR$5:$AR$64,MATCH($F549,사건마스터!$A$5:$A$64,0)),""))</f>
        <v/>
      </c>
      <c r="U549" s="35">
        <f>IF($F549="","",IFERROR(INDEX(사건마스터!$AS$5:$AS$64,MATCH($F549,사건마스터!$A$5:$A$64,0)),""))</f>
        <v/>
      </c>
      <c r="V549" s="35">
        <f>IF($F549="","",IFERROR(INDEX(사건마스터!$AT$5:$AT$64,MATCH($F549,사건마스터!$A$5:$A$64,0)),""))</f>
        <v/>
      </c>
      <c r="W549" s="35">
        <f>IF($F549="","",IFERROR(INDEX(사건마스터!$AU$5:$AU$64,MATCH($F549,사건마스터!$A$5:$A$64,0)),""))</f>
        <v/>
      </c>
      <c r="X549" s="35">
        <f>IF($F549="","",IFERROR(INDEX(사건마스터!$AV$5:$AV$64,MATCH($F549,사건마스터!$A$5:$A$64,0)),""))</f>
        <v/>
      </c>
      <c r="Y549" s="30">
        <f>IF($I549="","",COUNTIF($I549:$X549,"?*"))</f>
        <v/>
      </c>
      <c r="Z549" s="33">
        <f>IF($I549="","",_xlfn.TEXTJOIN(", ",TRUE,$I549:$X549))</f>
        <v/>
      </c>
      <c r="AA549" s="34">
        <f>IF($I549="","",IFERROR(INDEX(코드설정!$D$5:$D$24,MATCH($I549,코드설정!$C$5:$C$24,0)),""))</f>
        <v/>
      </c>
      <c r="AB549" s="36" t="n"/>
      <c r="AC549" s="37" t="n"/>
      <c r="AD549" s="38" t="n"/>
      <c r="AE549" s="30">
        <f>IF(OR($B549="",$C549=""),"",$C549-$B549+1)</f>
        <v/>
      </c>
      <c r="AF549" s="32" t="n"/>
      <c r="AG549" s="36" t="n"/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3">
        <f>IF($F550="","",IFERROR(INDEX(사건마스터!$B$5:$B$64,MATCH($F550,사건마스터!$A$5:$A$64,0)),""))</f>
        <v/>
      </c>
      <c r="H550" s="34">
        <f>IF($F550="","",IFERROR(INDEX(사건마스터!$C$5:$C$64,MATCH($F550,사건마스터!$A$5:$A$64,0)),""))</f>
        <v/>
      </c>
      <c r="I550" s="35">
        <f>IF($F550="","",IFERROR(INDEX(사건마스터!$H$5:$H$64,MATCH($F550,사건마스터!$A$5:$A$64,0)),""))</f>
        <v/>
      </c>
      <c r="J550" s="35">
        <f>IF($F550="","",IFERROR(INDEX(사건마스터!$AH$5:$AH$64,MATCH($F550,사건마스터!$A$5:$A$64,0)),""))</f>
        <v/>
      </c>
      <c r="K550" s="35">
        <f>IF($F550="","",IFERROR(INDEX(사건마스터!$AI$5:$AI$64,MATCH($F550,사건마스터!$A$5:$A$64,0)),""))</f>
        <v/>
      </c>
      <c r="L550" s="35">
        <f>IF($F550="","",IFERROR(INDEX(사건마스터!$AJ$5:$AJ$64,MATCH($F550,사건마스터!$A$5:$A$64,0)),""))</f>
        <v/>
      </c>
      <c r="M550" s="35">
        <f>IF($F550="","",IFERROR(INDEX(사건마스터!$AK$5:$AK$64,MATCH($F550,사건마스터!$A$5:$A$64,0)),""))</f>
        <v/>
      </c>
      <c r="N550" s="35">
        <f>IF($F550="","",IFERROR(INDEX(사건마스터!$AL$5:$AL$64,MATCH($F550,사건마스터!$A$5:$A$64,0)),""))</f>
        <v/>
      </c>
      <c r="O550" s="35">
        <f>IF($F550="","",IFERROR(INDEX(사건마스터!$AM$5:$AM$64,MATCH($F550,사건마스터!$A$5:$A$64,0)),""))</f>
        <v/>
      </c>
      <c r="P550" s="35">
        <f>IF($F550="","",IFERROR(INDEX(사건마스터!$AN$5:$AN$64,MATCH($F550,사건마스터!$A$5:$A$64,0)),""))</f>
        <v/>
      </c>
      <c r="Q550" s="35">
        <f>IF($F550="","",IFERROR(INDEX(사건마스터!$AO$5:$AO$64,MATCH($F550,사건마스터!$A$5:$A$64,0)),""))</f>
        <v/>
      </c>
      <c r="R550" s="35">
        <f>IF($F550="","",IFERROR(INDEX(사건마스터!$AP$5:$AP$64,MATCH($F550,사건마스터!$A$5:$A$64,0)),""))</f>
        <v/>
      </c>
      <c r="S550" s="35">
        <f>IF($F550="","",IFERROR(INDEX(사건마스터!$AQ$5:$AQ$64,MATCH($F550,사건마스터!$A$5:$A$64,0)),""))</f>
        <v/>
      </c>
      <c r="T550" s="35">
        <f>IF($F550="","",IFERROR(INDEX(사건마스터!$AR$5:$AR$64,MATCH($F550,사건마스터!$A$5:$A$64,0)),""))</f>
        <v/>
      </c>
      <c r="U550" s="35">
        <f>IF($F550="","",IFERROR(INDEX(사건마스터!$AS$5:$AS$64,MATCH($F550,사건마스터!$A$5:$A$64,0)),""))</f>
        <v/>
      </c>
      <c r="V550" s="35">
        <f>IF($F550="","",IFERROR(INDEX(사건마스터!$AT$5:$AT$64,MATCH($F550,사건마스터!$A$5:$A$64,0)),""))</f>
        <v/>
      </c>
      <c r="W550" s="35">
        <f>IF($F550="","",IFERROR(INDEX(사건마스터!$AU$5:$AU$64,MATCH($F550,사건마스터!$A$5:$A$64,0)),""))</f>
        <v/>
      </c>
      <c r="X550" s="35">
        <f>IF($F550="","",IFERROR(INDEX(사건마스터!$AV$5:$AV$64,MATCH($F550,사건마스터!$A$5:$A$64,0)),""))</f>
        <v/>
      </c>
      <c r="Y550" s="30">
        <f>IF($I550="","",COUNTIF($I550:$X550,"?*"))</f>
        <v/>
      </c>
      <c r="Z550" s="33">
        <f>IF($I550="","",_xlfn.TEXTJOIN(", ",TRUE,$I550:$X550))</f>
        <v/>
      </c>
      <c r="AA550" s="34">
        <f>IF($I550="","",IFERROR(INDEX(코드설정!$D$5:$D$24,MATCH($I550,코드설정!$C$5:$C$24,0)),""))</f>
        <v/>
      </c>
      <c r="AB550" s="36" t="n"/>
      <c r="AC550" s="37" t="n"/>
      <c r="AD550" s="38" t="n"/>
      <c r="AE550" s="30">
        <f>IF(OR($B550="",$C550=""),"",$C550-$B550+1)</f>
        <v/>
      </c>
      <c r="AF550" s="32" t="n"/>
      <c r="AG550" s="36" t="n"/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3">
        <f>IF($F551="","",IFERROR(INDEX(사건마스터!$B$5:$B$64,MATCH($F551,사건마스터!$A$5:$A$64,0)),""))</f>
        <v/>
      </c>
      <c r="H551" s="34">
        <f>IF($F551="","",IFERROR(INDEX(사건마스터!$C$5:$C$64,MATCH($F551,사건마스터!$A$5:$A$64,0)),""))</f>
        <v/>
      </c>
      <c r="I551" s="35">
        <f>IF($F551="","",IFERROR(INDEX(사건마스터!$H$5:$H$64,MATCH($F551,사건마스터!$A$5:$A$64,0)),""))</f>
        <v/>
      </c>
      <c r="J551" s="35">
        <f>IF($F551="","",IFERROR(INDEX(사건마스터!$AH$5:$AH$64,MATCH($F551,사건마스터!$A$5:$A$64,0)),""))</f>
        <v/>
      </c>
      <c r="K551" s="35">
        <f>IF($F551="","",IFERROR(INDEX(사건마스터!$AI$5:$AI$64,MATCH($F551,사건마스터!$A$5:$A$64,0)),""))</f>
        <v/>
      </c>
      <c r="L551" s="35">
        <f>IF($F551="","",IFERROR(INDEX(사건마스터!$AJ$5:$AJ$64,MATCH($F551,사건마스터!$A$5:$A$64,0)),""))</f>
        <v/>
      </c>
      <c r="M551" s="35">
        <f>IF($F551="","",IFERROR(INDEX(사건마스터!$AK$5:$AK$64,MATCH($F551,사건마스터!$A$5:$A$64,0)),""))</f>
        <v/>
      </c>
      <c r="N551" s="35">
        <f>IF($F551="","",IFERROR(INDEX(사건마스터!$AL$5:$AL$64,MATCH($F551,사건마스터!$A$5:$A$64,0)),""))</f>
        <v/>
      </c>
      <c r="O551" s="35">
        <f>IF($F551="","",IFERROR(INDEX(사건마스터!$AM$5:$AM$64,MATCH($F551,사건마스터!$A$5:$A$64,0)),""))</f>
        <v/>
      </c>
      <c r="P551" s="35">
        <f>IF($F551="","",IFERROR(INDEX(사건마스터!$AN$5:$AN$64,MATCH($F551,사건마스터!$A$5:$A$64,0)),""))</f>
        <v/>
      </c>
      <c r="Q551" s="35">
        <f>IF($F551="","",IFERROR(INDEX(사건마스터!$AO$5:$AO$64,MATCH($F551,사건마스터!$A$5:$A$64,0)),""))</f>
        <v/>
      </c>
      <c r="R551" s="35">
        <f>IF($F551="","",IFERROR(INDEX(사건마스터!$AP$5:$AP$64,MATCH($F551,사건마스터!$A$5:$A$64,0)),""))</f>
        <v/>
      </c>
      <c r="S551" s="35">
        <f>IF($F551="","",IFERROR(INDEX(사건마스터!$AQ$5:$AQ$64,MATCH($F551,사건마스터!$A$5:$A$64,0)),""))</f>
        <v/>
      </c>
      <c r="T551" s="35">
        <f>IF($F551="","",IFERROR(INDEX(사건마스터!$AR$5:$AR$64,MATCH($F551,사건마스터!$A$5:$A$64,0)),""))</f>
        <v/>
      </c>
      <c r="U551" s="35">
        <f>IF($F551="","",IFERROR(INDEX(사건마스터!$AS$5:$AS$64,MATCH($F551,사건마스터!$A$5:$A$64,0)),""))</f>
        <v/>
      </c>
      <c r="V551" s="35">
        <f>IF($F551="","",IFERROR(INDEX(사건마스터!$AT$5:$AT$64,MATCH($F551,사건마스터!$A$5:$A$64,0)),""))</f>
        <v/>
      </c>
      <c r="W551" s="35">
        <f>IF($F551="","",IFERROR(INDEX(사건마스터!$AU$5:$AU$64,MATCH($F551,사건마스터!$A$5:$A$64,0)),""))</f>
        <v/>
      </c>
      <c r="X551" s="35">
        <f>IF($F551="","",IFERROR(INDEX(사건마스터!$AV$5:$AV$64,MATCH($F551,사건마스터!$A$5:$A$64,0)),""))</f>
        <v/>
      </c>
      <c r="Y551" s="30">
        <f>IF($I551="","",COUNTIF($I551:$X551,"?*"))</f>
        <v/>
      </c>
      <c r="Z551" s="33">
        <f>IF($I551="","",_xlfn.TEXTJOIN(", ",TRUE,$I551:$X551))</f>
        <v/>
      </c>
      <c r="AA551" s="34">
        <f>IF($I551="","",IFERROR(INDEX(코드설정!$D$5:$D$24,MATCH($I551,코드설정!$C$5:$C$24,0)),""))</f>
        <v/>
      </c>
      <c r="AB551" s="36" t="n"/>
      <c r="AC551" s="37" t="n"/>
      <c r="AD551" s="38" t="n"/>
      <c r="AE551" s="30">
        <f>IF(OR($B551="",$C551=""),"",$C551-$B551+1)</f>
        <v/>
      </c>
      <c r="AF551" s="32" t="n"/>
      <c r="AG551" s="36" t="n"/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3">
        <f>IF($F552="","",IFERROR(INDEX(사건마스터!$B$5:$B$64,MATCH($F552,사건마스터!$A$5:$A$64,0)),""))</f>
        <v/>
      </c>
      <c r="H552" s="34">
        <f>IF($F552="","",IFERROR(INDEX(사건마스터!$C$5:$C$64,MATCH($F552,사건마스터!$A$5:$A$64,0)),""))</f>
        <v/>
      </c>
      <c r="I552" s="35">
        <f>IF($F552="","",IFERROR(INDEX(사건마스터!$H$5:$H$64,MATCH($F552,사건마스터!$A$5:$A$64,0)),""))</f>
        <v/>
      </c>
      <c r="J552" s="35">
        <f>IF($F552="","",IFERROR(INDEX(사건마스터!$AH$5:$AH$64,MATCH($F552,사건마스터!$A$5:$A$64,0)),""))</f>
        <v/>
      </c>
      <c r="K552" s="35">
        <f>IF($F552="","",IFERROR(INDEX(사건마스터!$AI$5:$AI$64,MATCH($F552,사건마스터!$A$5:$A$64,0)),""))</f>
        <v/>
      </c>
      <c r="L552" s="35">
        <f>IF($F552="","",IFERROR(INDEX(사건마스터!$AJ$5:$AJ$64,MATCH($F552,사건마스터!$A$5:$A$64,0)),""))</f>
        <v/>
      </c>
      <c r="M552" s="35">
        <f>IF($F552="","",IFERROR(INDEX(사건마스터!$AK$5:$AK$64,MATCH($F552,사건마스터!$A$5:$A$64,0)),""))</f>
        <v/>
      </c>
      <c r="N552" s="35">
        <f>IF($F552="","",IFERROR(INDEX(사건마스터!$AL$5:$AL$64,MATCH($F552,사건마스터!$A$5:$A$64,0)),""))</f>
        <v/>
      </c>
      <c r="O552" s="35">
        <f>IF($F552="","",IFERROR(INDEX(사건마스터!$AM$5:$AM$64,MATCH($F552,사건마스터!$A$5:$A$64,0)),""))</f>
        <v/>
      </c>
      <c r="P552" s="35">
        <f>IF($F552="","",IFERROR(INDEX(사건마스터!$AN$5:$AN$64,MATCH($F552,사건마스터!$A$5:$A$64,0)),""))</f>
        <v/>
      </c>
      <c r="Q552" s="35">
        <f>IF($F552="","",IFERROR(INDEX(사건마스터!$AO$5:$AO$64,MATCH($F552,사건마스터!$A$5:$A$64,0)),""))</f>
        <v/>
      </c>
      <c r="R552" s="35">
        <f>IF($F552="","",IFERROR(INDEX(사건마스터!$AP$5:$AP$64,MATCH($F552,사건마스터!$A$5:$A$64,0)),""))</f>
        <v/>
      </c>
      <c r="S552" s="35">
        <f>IF($F552="","",IFERROR(INDEX(사건마스터!$AQ$5:$AQ$64,MATCH($F552,사건마스터!$A$5:$A$64,0)),""))</f>
        <v/>
      </c>
      <c r="T552" s="35">
        <f>IF($F552="","",IFERROR(INDEX(사건마스터!$AR$5:$AR$64,MATCH($F552,사건마스터!$A$5:$A$64,0)),""))</f>
        <v/>
      </c>
      <c r="U552" s="35">
        <f>IF($F552="","",IFERROR(INDEX(사건마스터!$AS$5:$AS$64,MATCH($F552,사건마스터!$A$5:$A$64,0)),""))</f>
        <v/>
      </c>
      <c r="V552" s="35">
        <f>IF($F552="","",IFERROR(INDEX(사건마스터!$AT$5:$AT$64,MATCH($F552,사건마스터!$A$5:$A$64,0)),""))</f>
        <v/>
      </c>
      <c r="W552" s="35">
        <f>IF($F552="","",IFERROR(INDEX(사건마스터!$AU$5:$AU$64,MATCH($F552,사건마스터!$A$5:$A$64,0)),""))</f>
        <v/>
      </c>
      <c r="X552" s="35">
        <f>IF($F552="","",IFERROR(INDEX(사건마스터!$AV$5:$AV$64,MATCH($F552,사건마스터!$A$5:$A$64,0)),""))</f>
        <v/>
      </c>
      <c r="Y552" s="30">
        <f>IF($I552="","",COUNTIF($I552:$X552,"?*"))</f>
        <v/>
      </c>
      <c r="Z552" s="33">
        <f>IF($I552="","",_xlfn.TEXTJOIN(", ",TRUE,$I552:$X552))</f>
        <v/>
      </c>
      <c r="AA552" s="34">
        <f>IF($I552="","",IFERROR(INDEX(코드설정!$D$5:$D$24,MATCH($I552,코드설정!$C$5:$C$24,0)),""))</f>
        <v/>
      </c>
      <c r="AB552" s="36" t="n"/>
      <c r="AC552" s="37" t="n"/>
      <c r="AD552" s="38" t="n"/>
      <c r="AE552" s="30">
        <f>IF(OR($B552="",$C552=""),"",$C552-$B552+1)</f>
        <v/>
      </c>
      <c r="AF552" s="32" t="n"/>
      <c r="AG552" s="36" t="n"/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3">
        <f>IF($F553="","",IFERROR(INDEX(사건마스터!$B$5:$B$64,MATCH($F553,사건마스터!$A$5:$A$64,0)),""))</f>
        <v/>
      </c>
      <c r="H553" s="34">
        <f>IF($F553="","",IFERROR(INDEX(사건마스터!$C$5:$C$64,MATCH($F553,사건마스터!$A$5:$A$64,0)),""))</f>
        <v/>
      </c>
      <c r="I553" s="35">
        <f>IF($F553="","",IFERROR(INDEX(사건마스터!$H$5:$H$64,MATCH($F553,사건마스터!$A$5:$A$64,0)),""))</f>
        <v/>
      </c>
      <c r="J553" s="35">
        <f>IF($F553="","",IFERROR(INDEX(사건마스터!$AH$5:$AH$64,MATCH($F553,사건마스터!$A$5:$A$64,0)),""))</f>
        <v/>
      </c>
      <c r="K553" s="35">
        <f>IF($F553="","",IFERROR(INDEX(사건마스터!$AI$5:$AI$64,MATCH($F553,사건마스터!$A$5:$A$64,0)),""))</f>
        <v/>
      </c>
      <c r="L553" s="35">
        <f>IF($F553="","",IFERROR(INDEX(사건마스터!$AJ$5:$AJ$64,MATCH($F553,사건마스터!$A$5:$A$64,0)),""))</f>
        <v/>
      </c>
      <c r="M553" s="35">
        <f>IF($F553="","",IFERROR(INDEX(사건마스터!$AK$5:$AK$64,MATCH($F553,사건마스터!$A$5:$A$64,0)),""))</f>
        <v/>
      </c>
      <c r="N553" s="35">
        <f>IF($F553="","",IFERROR(INDEX(사건마스터!$AL$5:$AL$64,MATCH($F553,사건마스터!$A$5:$A$64,0)),""))</f>
        <v/>
      </c>
      <c r="O553" s="35">
        <f>IF($F553="","",IFERROR(INDEX(사건마스터!$AM$5:$AM$64,MATCH($F553,사건마스터!$A$5:$A$64,0)),""))</f>
        <v/>
      </c>
      <c r="P553" s="35">
        <f>IF($F553="","",IFERROR(INDEX(사건마스터!$AN$5:$AN$64,MATCH($F553,사건마스터!$A$5:$A$64,0)),""))</f>
        <v/>
      </c>
      <c r="Q553" s="35">
        <f>IF($F553="","",IFERROR(INDEX(사건마스터!$AO$5:$AO$64,MATCH($F553,사건마스터!$A$5:$A$64,0)),""))</f>
        <v/>
      </c>
      <c r="R553" s="35">
        <f>IF($F553="","",IFERROR(INDEX(사건마스터!$AP$5:$AP$64,MATCH($F553,사건마스터!$A$5:$A$64,0)),""))</f>
        <v/>
      </c>
      <c r="S553" s="35">
        <f>IF($F553="","",IFERROR(INDEX(사건마스터!$AQ$5:$AQ$64,MATCH($F553,사건마스터!$A$5:$A$64,0)),""))</f>
        <v/>
      </c>
      <c r="T553" s="35">
        <f>IF($F553="","",IFERROR(INDEX(사건마스터!$AR$5:$AR$64,MATCH($F553,사건마스터!$A$5:$A$64,0)),""))</f>
        <v/>
      </c>
      <c r="U553" s="35">
        <f>IF($F553="","",IFERROR(INDEX(사건마스터!$AS$5:$AS$64,MATCH($F553,사건마스터!$A$5:$A$64,0)),""))</f>
        <v/>
      </c>
      <c r="V553" s="35">
        <f>IF($F553="","",IFERROR(INDEX(사건마스터!$AT$5:$AT$64,MATCH($F553,사건마스터!$A$5:$A$64,0)),""))</f>
        <v/>
      </c>
      <c r="W553" s="35">
        <f>IF($F553="","",IFERROR(INDEX(사건마스터!$AU$5:$AU$64,MATCH($F553,사건마스터!$A$5:$A$64,0)),""))</f>
        <v/>
      </c>
      <c r="X553" s="35">
        <f>IF($F553="","",IFERROR(INDEX(사건마스터!$AV$5:$AV$64,MATCH($F553,사건마스터!$A$5:$A$64,0)),""))</f>
        <v/>
      </c>
      <c r="Y553" s="30">
        <f>IF($I553="","",COUNTIF($I553:$X553,"?*"))</f>
        <v/>
      </c>
      <c r="Z553" s="33">
        <f>IF($I553="","",_xlfn.TEXTJOIN(", ",TRUE,$I553:$X553))</f>
        <v/>
      </c>
      <c r="AA553" s="34">
        <f>IF($I553="","",IFERROR(INDEX(코드설정!$D$5:$D$24,MATCH($I553,코드설정!$C$5:$C$24,0)),""))</f>
        <v/>
      </c>
      <c r="AB553" s="36" t="n"/>
      <c r="AC553" s="37" t="n"/>
      <c r="AD553" s="38" t="n"/>
      <c r="AE553" s="30">
        <f>IF(OR($B553="",$C553=""),"",$C553-$B553+1)</f>
        <v/>
      </c>
      <c r="AF553" s="32" t="n"/>
      <c r="AG553" s="36" t="n"/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3">
        <f>IF($F554="","",IFERROR(INDEX(사건마스터!$B$5:$B$64,MATCH($F554,사건마스터!$A$5:$A$64,0)),""))</f>
        <v/>
      </c>
      <c r="H554" s="34">
        <f>IF($F554="","",IFERROR(INDEX(사건마스터!$C$5:$C$64,MATCH($F554,사건마스터!$A$5:$A$64,0)),""))</f>
        <v/>
      </c>
      <c r="I554" s="35">
        <f>IF($F554="","",IFERROR(INDEX(사건마스터!$H$5:$H$64,MATCH($F554,사건마스터!$A$5:$A$64,0)),""))</f>
        <v/>
      </c>
      <c r="J554" s="35">
        <f>IF($F554="","",IFERROR(INDEX(사건마스터!$AH$5:$AH$64,MATCH($F554,사건마스터!$A$5:$A$64,0)),""))</f>
        <v/>
      </c>
      <c r="K554" s="35">
        <f>IF($F554="","",IFERROR(INDEX(사건마스터!$AI$5:$AI$64,MATCH($F554,사건마스터!$A$5:$A$64,0)),""))</f>
        <v/>
      </c>
      <c r="L554" s="35">
        <f>IF($F554="","",IFERROR(INDEX(사건마스터!$AJ$5:$AJ$64,MATCH($F554,사건마스터!$A$5:$A$64,0)),""))</f>
        <v/>
      </c>
      <c r="M554" s="35">
        <f>IF($F554="","",IFERROR(INDEX(사건마스터!$AK$5:$AK$64,MATCH($F554,사건마스터!$A$5:$A$64,0)),""))</f>
        <v/>
      </c>
      <c r="N554" s="35">
        <f>IF($F554="","",IFERROR(INDEX(사건마스터!$AL$5:$AL$64,MATCH($F554,사건마스터!$A$5:$A$64,0)),""))</f>
        <v/>
      </c>
      <c r="O554" s="35">
        <f>IF($F554="","",IFERROR(INDEX(사건마스터!$AM$5:$AM$64,MATCH($F554,사건마스터!$A$5:$A$64,0)),""))</f>
        <v/>
      </c>
      <c r="P554" s="35">
        <f>IF($F554="","",IFERROR(INDEX(사건마스터!$AN$5:$AN$64,MATCH($F554,사건마스터!$A$5:$A$64,0)),""))</f>
        <v/>
      </c>
      <c r="Q554" s="35">
        <f>IF($F554="","",IFERROR(INDEX(사건마스터!$AO$5:$AO$64,MATCH($F554,사건마스터!$A$5:$A$64,0)),""))</f>
        <v/>
      </c>
      <c r="R554" s="35">
        <f>IF($F554="","",IFERROR(INDEX(사건마스터!$AP$5:$AP$64,MATCH($F554,사건마스터!$A$5:$A$64,0)),""))</f>
        <v/>
      </c>
      <c r="S554" s="35">
        <f>IF($F554="","",IFERROR(INDEX(사건마스터!$AQ$5:$AQ$64,MATCH($F554,사건마스터!$A$5:$A$64,0)),""))</f>
        <v/>
      </c>
      <c r="T554" s="35">
        <f>IF($F554="","",IFERROR(INDEX(사건마스터!$AR$5:$AR$64,MATCH($F554,사건마스터!$A$5:$A$64,0)),""))</f>
        <v/>
      </c>
      <c r="U554" s="35">
        <f>IF($F554="","",IFERROR(INDEX(사건마스터!$AS$5:$AS$64,MATCH($F554,사건마스터!$A$5:$A$64,0)),""))</f>
        <v/>
      </c>
      <c r="V554" s="35">
        <f>IF($F554="","",IFERROR(INDEX(사건마스터!$AT$5:$AT$64,MATCH($F554,사건마스터!$A$5:$A$64,0)),""))</f>
        <v/>
      </c>
      <c r="W554" s="35">
        <f>IF($F554="","",IFERROR(INDEX(사건마스터!$AU$5:$AU$64,MATCH($F554,사건마스터!$A$5:$A$64,0)),""))</f>
        <v/>
      </c>
      <c r="X554" s="35">
        <f>IF($F554="","",IFERROR(INDEX(사건마스터!$AV$5:$AV$64,MATCH($F554,사건마스터!$A$5:$A$64,0)),""))</f>
        <v/>
      </c>
      <c r="Y554" s="30">
        <f>IF($I554="","",COUNTIF($I554:$X554,"?*"))</f>
        <v/>
      </c>
      <c r="Z554" s="33">
        <f>IF($I554="","",_xlfn.TEXTJOIN(", ",TRUE,$I554:$X554))</f>
        <v/>
      </c>
      <c r="AA554" s="34">
        <f>IF($I554="","",IFERROR(INDEX(코드설정!$D$5:$D$24,MATCH($I554,코드설정!$C$5:$C$24,0)),""))</f>
        <v/>
      </c>
      <c r="AB554" s="36" t="n"/>
      <c r="AC554" s="37" t="n"/>
      <c r="AD554" s="38" t="n"/>
      <c r="AE554" s="30">
        <f>IF(OR($B554="",$C554=""),"",$C554-$B554+1)</f>
        <v/>
      </c>
      <c r="AF554" s="32" t="n"/>
      <c r="AG554" s="36" t="n"/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3">
        <f>IF($F555="","",IFERROR(INDEX(사건마스터!$B$5:$B$64,MATCH($F555,사건마스터!$A$5:$A$64,0)),""))</f>
        <v/>
      </c>
      <c r="H555" s="34">
        <f>IF($F555="","",IFERROR(INDEX(사건마스터!$C$5:$C$64,MATCH($F555,사건마스터!$A$5:$A$64,0)),""))</f>
        <v/>
      </c>
      <c r="I555" s="35">
        <f>IF($F555="","",IFERROR(INDEX(사건마스터!$H$5:$H$64,MATCH($F555,사건마스터!$A$5:$A$64,0)),""))</f>
        <v/>
      </c>
      <c r="J555" s="35">
        <f>IF($F555="","",IFERROR(INDEX(사건마스터!$AH$5:$AH$64,MATCH($F555,사건마스터!$A$5:$A$64,0)),""))</f>
        <v/>
      </c>
      <c r="K555" s="35">
        <f>IF($F555="","",IFERROR(INDEX(사건마스터!$AI$5:$AI$64,MATCH($F555,사건마스터!$A$5:$A$64,0)),""))</f>
        <v/>
      </c>
      <c r="L555" s="35">
        <f>IF($F555="","",IFERROR(INDEX(사건마스터!$AJ$5:$AJ$64,MATCH($F555,사건마스터!$A$5:$A$64,0)),""))</f>
        <v/>
      </c>
      <c r="M555" s="35">
        <f>IF($F555="","",IFERROR(INDEX(사건마스터!$AK$5:$AK$64,MATCH($F555,사건마스터!$A$5:$A$64,0)),""))</f>
        <v/>
      </c>
      <c r="N555" s="35">
        <f>IF($F555="","",IFERROR(INDEX(사건마스터!$AL$5:$AL$64,MATCH($F555,사건마스터!$A$5:$A$64,0)),""))</f>
        <v/>
      </c>
      <c r="O555" s="35">
        <f>IF($F555="","",IFERROR(INDEX(사건마스터!$AM$5:$AM$64,MATCH($F555,사건마스터!$A$5:$A$64,0)),""))</f>
        <v/>
      </c>
      <c r="P555" s="35">
        <f>IF($F555="","",IFERROR(INDEX(사건마스터!$AN$5:$AN$64,MATCH($F555,사건마스터!$A$5:$A$64,0)),""))</f>
        <v/>
      </c>
      <c r="Q555" s="35">
        <f>IF($F555="","",IFERROR(INDEX(사건마스터!$AO$5:$AO$64,MATCH($F555,사건마스터!$A$5:$A$64,0)),""))</f>
        <v/>
      </c>
      <c r="R555" s="35">
        <f>IF($F555="","",IFERROR(INDEX(사건마스터!$AP$5:$AP$64,MATCH($F555,사건마스터!$A$5:$A$64,0)),""))</f>
        <v/>
      </c>
      <c r="S555" s="35">
        <f>IF($F555="","",IFERROR(INDEX(사건마스터!$AQ$5:$AQ$64,MATCH($F555,사건마스터!$A$5:$A$64,0)),""))</f>
        <v/>
      </c>
      <c r="T555" s="35">
        <f>IF($F555="","",IFERROR(INDEX(사건마스터!$AR$5:$AR$64,MATCH($F555,사건마스터!$A$5:$A$64,0)),""))</f>
        <v/>
      </c>
      <c r="U555" s="35">
        <f>IF($F555="","",IFERROR(INDEX(사건마스터!$AS$5:$AS$64,MATCH($F555,사건마스터!$A$5:$A$64,0)),""))</f>
        <v/>
      </c>
      <c r="V555" s="35">
        <f>IF($F555="","",IFERROR(INDEX(사건마스터!$AT$5:$AT$64,MATCH($F555,사건마스터!$A$5:$A$64,0)),""))</f>
        <v/>
      </c>
      <c r="W555" s="35">
        <f>IF($F555="","",IFERROR(INDEX(사건마스터!$AU$5:$AU$64,MATCH($F555,사건마스터!$A$5:$A$64,0)),""))</f>
        <v/>
      </c>
      <c r="X555" s="35">
        <f>IF($F555="","",IFERROR(INDEX(사건마스터!$AV$5:$AV$64,MATCH($F555,사건마스터!$A$5:$A$64,0)),""))</f>
        <v/>
      </c>
      <c r="Y555" s="30">
        <f>IF($I555="","",COUNTIF($I555:$X555,"?*"))</f>
        <v/>
      </c>
      <c r="Z555" s="33">
        <f>IF($I555="","",_xlfn.TEXTJOIN(", ",TRUE,$I555:$X555))</f>
        <v/>
      </c>
      <c r="AA555" s="34">
        <f>IF($I555="","",IFERROR(INDEX(코드설정!$D$5:$D$24,MATCH($I555,코드설정!$C$5:$C$24,0)),""))</f>
        <v/>
      </c>
      <c r="AB555" s="36" t="n"/>
      <c r="AC555" s="37" t="n"/>
      <c r="AD555" s="38" t="n"/>
      <c r="AE555" s="30">
        <f>IF(OR($B555="",$C555=""),"",$C555-$B555+1)</f>
        <v/>
      </c>
      <c r="AF555" s="32" t="n"/>
      <c r="AG555" s="36" t="n"/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3">
        <f>IF($F556="","",IFERROR(INDEX(사건마스터!$B$5:$B$64,MATCH($F556,사건마스터!$A$5:$A$64,0)),""))</f>
        <v/>
      </c>
      <c r="H556" s="34">
        <f>IF($F556="","",IFERROR(INDEX(사건마스터!$C$5:$C$64,MATCH($F556,사건마스터!$A$5:$A$64,0)),""))</f>
        <v/>
      </c>
      <c r="I556" s="35">
        <f>IF($F556="","",IFERROR(INDEX(사건마스터!$H$5:$H$64,MATCH($F556,사건마스터!$A$5:$A$64,0)),""))</f>
        <v/>
      </c>
      <c r="J556" s="35">
        <f>IF($F556="","",IFERROR(INDEX(사건마스터!$AH$5:$AH$64,MATCH($F556,사건마스터!$A$5:$A$64,0)),""))</f>
        <v/>
      </c>
      <c r="K556" s="35">
        <f>IF($F556="","",IFERROR(INDEX(사건마스터!$AI$5:$AI$64,MATCH($F556,사건마스터!$A$5:$A$64,0)),""))</f>
        <v/>
      </c>
      <c r="L556" s="35">
        <f>IF($F556="","",IFERROR(INDEX(사건마스터!$AJ$5:$AJ$64,MATCH($F556,사건마스터!$A$5:$A$64,0)),""))</f>
        <v/>
      </c>
      <c r="M556" s="35">
        <f>IF($F556="","",IFERROR(INDEX(사건마스터!$AK$5:$AK$64,MATCH($F556,사건마스터!$A$5:$A$64,0)),""))</f>
        <v/>
      </c>
      <c r="N556" s="35">
        <f>IF($F556="","",IFERROR(INDEX(사건마스터!$AL$5:$AL$64,MATCH($F556,사건마스터!$A$5:$A$64,0)),""))</f>
        <v/>
      </c>
      <c r="O556" s="35">
        <f>IF($F556="","",IFERROR(INDEX(사건마스터!$AM$5:$AM$64,MATCH($F556,사건마스터!$A$5:$A$64,0)),""))</f>
        <v/>
      </c>
      <c r="P556" s="35">
        <f>IF($F556="","",IFERROR(INDEX(사건마스터!$AN$5:$AN$64,MATCH($F556,사건마스터!$A$5:$A$64,0)),""))</f>
        <v/>
      </c>
      <c r="Q556" s="35">
        <f>IF($F556="","",IFERROR(INDEX(사건마스터!$AO$5:$AO$64,MATCH($F556,사건마스터!$A$5:$A$64,0)),""))</f>
        <v/>
      </c>
      <c r="R556" s="35">
        <f>IF($F556="","",IFERROR(INDEX(사건마스터!$AP$5:$AP$64,MATCH($F556,사건마스터!$A$5:$A$64,0)),""))</f>
        <v/>
      </c>
      <c r="S556" s="35">
        <f>IF($F556="","",IFERROR(INDEX(사건마스터!$AQ$5:$AQ$64,MATCH($F556,사건마스터!$A$5:$A$64,0)),""))</f>
        <v/>
      </c>
      <c r="T556" s="35">
        <f>IF($F556="","",IFERROR(INDEX(사건마스터!$AR$5:$AR$64,MATCH($F556,사건마스터!$A$5:$A$64,0)),""))</f>
        <v/>
      </c>
      <c r="U556" s="35">
        <f>IF($F556="","",IFERROR(INDEX(사건마스터!$AS$5:$AS$64,MATCH($F556,사건마스터!$A$5:$A$64,0)),""))</f>
        <v/>
      </c>
      <c r="V556" s="35">
        <f>IF($F556="","",IFERROR(INDEX(사건마스터!$AT$5:$AT$64,MATCH($F556,사건마스터!$A$5:$A$64,0)),""))</f>
        <v/>
      </c>
      <c r="W556" s="35">
        <f>IF($F556="","",IFERROR(INDEX(사건마스터!$AU$5:$AU$64,MATCH($F556,사건마스터!$A$5:$A$64,0)),""))</f>
        <v/>
      </c>
      <c r="X556" s="35">
        <f>IF($F556="","",IFERROR(INDEX(사건마스터!$AV$5:$AV$64,MATCH($F556,사건마스터!$A$5:$A$64,0)),""))</f>
        <v/>
      </c>
      <c r="Y556" s="30">
        <f>IF($I556="","",COUNTIF($I556:$X556,"?*"))</f>
        <v/>
      </c>
      <c r="Z556" s="33">
        <f>IF($I556="","",_xlfn.TEXTJOIN(", ",TRUE,$I556:$X556))</f>
        <v/>
      </c>
      <c r="AA556" s="34">
        <f>IF($I556="","",IFERROR(INDEX(코드설정!$D$5:$D$24,MATCH($I556,코드설정!$C$5:$C$24,0)),""))</f>
        <v/>
      </c>
      <c r="AB556" s="36" t="n"/>
      <c r="AC556" s="37" t="n"/>
      <c r="AD556" s="38" t="n"/>
      <c r="AE556" s="30">
        <f>IF(OR($B556="",$C556=""),"",$C556-$B556+1)</f>
        <v/>
      </c>
      <c r="AF556" s="32" t="n"/>
      <c r="AG556" s="36" t="n"/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3">
        <f>IF($F557="","",IFERROR(INDEX(사건마스터!$B$5:$B$64,MATCH($F557,사건마스터!$A$5:$A$64,0)),""))</f>
        <v/>
      </c>
      <c r="H557" s="34">
        <f>IF($F557="","",IFERROR(INDEX(사건마스터!$C$5:$C$64,MATCH($F557,사건마스터!$A$5:$A$64,0)),""))</f>
        <v/>
      </c>
      <c r="I557" s="35">
        <f>IF($F557="","",IFERROR(INDEX(사건마스터!$H$5:$H$64,MATCH($F557,사건마스터!$A$5:$A$64,0)),""))</f>
        <v/>
      </c>
      <c r="J557" s="35">
        <f>IF($F557="","",IFERROR(INDEX(사건마스터!$AH$5:$AH$64,MATCH($F557,사건마스터!$A$5:$A$64,0)),""))</f>
        <v/>
      </c>
      <c r="K557" s="35">
        <f>IF($F557="","",IFERROR(INDEX(사건마스터!$AI$5:$AI$64,MATCH($F557,사건마스터!$A$5:$A$64,0)),""))</f>
        <v/>
      </c>
      <c r="L557" s="35">
        <f>IF($F557="","",IFERROR(INDEX(사건마스터!$AJ$5:$AJ$64,MATCH($F557,사건마스터!$A$5:$A$64,0)),""))</f>
        <v/>
      </c>
      <c r="M557" s="35">
        <f>IF($F557="","",IFERROR(INDEX(사건마스터!$AK$5:$AK$64,MATCH($F557,사건마스터!$A$5:$A$64,0)),""))</f>
        <v/>
      </c>
      <c r="N557" s="35">
        <f>IF($F557="","",IFERROR(INDEX(사건마스터!$AL$5:$AL$64,MATCH($F557,사건마스터!$A$5:$A$64,0)),""))</f>
        <v/>
      </c>
      <c r="O557" s="35">
        <f>IF($F557="","",IFERROR(INDEX(사건마스터!$AM$5:$AM$64,MATCH($F557,사건마스터!$A$5:$A$64,0)),""))</f>
        <v/>
      </c>
      <c r="P557" s="35">
        <f>IF($F557="","",IFERROR(INDEX(사건마스터!$AN$5:$AN$64,MATCH($F557,사건마스터!$A$5:$A$64,0)),""))</f>
        <v/>
      </c>
      <c r="Q557" s="35">
        <f>IF($F557="","",IFERROR(INDEX(사건마스터!$AO$5:$AO$64,MATCH($F557,사건마스터!$A$5:$A$64,0)),""))</f>
        <v/>
      </c>
      <c r="R557" s="35">
        <f>IF($F557="","",IFERROR(INDEX(사건마스터!$AP$5:$AP$64,MATCH($F557,사건마스터!$A$5:$A$64,0)),""))</f>
        <v/>
      </c>
      <c r="S557" s="35">
        <f>IF($F557="","",IFERROR(INDEX(사건마스터!$AQ$5:$AQ$64,MATCH($F557,사건마스터!$A$5:$A$64,0)),""))</f>
        <v/>
      </c>
      <c r="T557" s="35">
        <f>IF($F557="","",IFERROR(INDEX(사건마스터!$AR$5:$AR$64,MATCH($F557,사건마스터!$A$5:$A$64,0)),""))</f>
        <v/>
      </c>
      <c r="U557" s="35">
        <f>IF($F557="","",IFERROR(INDEX(사건마스터!$AS$5:$AS$64,MATCH($F557,사건마스터!$A$5:$A$64,0)),""))</f>
        <v/>
      </c>
      <c r="V557" s="35">
        <f>IF($F557="","",IFERROR(INDEX(사건마스터!$AT$5:$AT$64,MATCH($F557,사건마스터!$A$5:$A$64,0)),""))</f>
        <v/>
      </c>
      <c r="W557" s="35">
        <f>IF($F557="","",IFERROR(INDEX(사건마스터!$AU$5:$AU$64,MATCH($F557,사건마스터!$A$5:$A$64,0)),""))</f>
        <v/>
      </c>
      <c r="X557" s="35">
        <f>IF($F557="","",IFERROR(INDEX(사건마스터!$AV$5:$AV$64,MATCH($F557,사건마스터!$A$5:$A$64,0)),""))</f>
        <v/>
      </c>
      <c r="Y557" s="30">
        <f>IF($I557="","",COUNTIF($I557:$X557,"?*"))</f>
        <v/>
      </c>
      <c r="Z557" s="33">
        <f>IF($I557="","",_xlfn.TEXTJOIN(", ",TRUE,$I557:$X557))</f>
        <v/>
      </c>
      <c r="AA557" s="34">
        <f>IF($I557="","",IFERROR(INDEX(코드설정!$D$5:$D$24,MATCH($I557,코드설정!$C$5:$C$24,0)),""))</f>
        <v/>
      </c>
      <c r="AB557" s="36" t="n"/>
      <c r="AC557" s="37" t="n"/>
      <c r="AD557" s="38" t="n"/>
      <c r="AE557" s="30">
        <f>IF(OR($B557="",$C557=""),"",$C557-$B557+1)</f>
        <v/>
      </c>
      <c r="AF557" s="32" t="n"/>
      <c r="AG557" s="36" t="n"/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3">
        <f>IF($F558="","",IFERROR(INDEX(사건마스터!$B$5:$B$64,MATCH($F558,사건마스터!$A$5:$A$64,0)),""))</f>
        <v/>
      </c>
      <c r="H558" s="34">
        <f>IF($F558="","",IFERROR(INDEX(사건마스터!$C$5:$C$64,MATCH($F558,사건마스터!$A$5:$A$64,0)),""))</f>
        <v/>
      </c>
      <c r="I558" s="35">
        <f>IF($F558="","",IFERROR(INDEX(사건마스터!$H$5:$H$64,MATCH($F558,사건마스터!$A$5:$A$64,0)),""))</f>
        <v/>
      </c>
      <c r="J558" s="35">
        <f>IF($F558="","",IFERROR(INDEX(사건마스터!$AH$5:$AH$64,MATCH($F558,사건마스터!$A$5:$A$64,0)),""))</f>
        <v/>
      </c>
      <c r="K558" s="35">
        <f>IF($F558="","",IFERROR(INDEX(사건마스터!$AI$5:$AI$64,MATCH($F558,사건마스터!$A$5:$A$64,0)),""))</f>
        <v/>
      </c>
      <c r="L558" s="35">
        <f>IF($F558="","",IFERROR(INDEX(사건마스터!$AJ$5:$AJ$64,MATCH($F558,사건마스터!$A$5:$A$64,0)),""))</f>
        <v/>
      </c>
      <c r="M558" s="35">
        <f>IF($F558="","",IFERROR(INDEX(사건마스터!$AK$5:$AK$64,MATCH($F558,사건마스터!$A$5:$A$64,0)),""))</f>
        <v/>
      </c>
      <c r="N558" s="35">
        <f>IF($F558="","",IFERROR(INDEX(사건마스터!$AL$5:$AL$64,MATCH($F558,사건마스터!$A$5:$A$64,0)),""))</f>
        <v/>
      </c>
      <c r="O558" s="35">
        <f>IF($F558="","",IFERROR(INDEX(사건마스터!$AM$5:$AM$64,MATCH($F558,사건마스터!$A$5:$A$64,0)),""))</f>
        <v/>
      </c>
      <c r="P558" s="35">
        <f>IF($F558="","",IFERROR(INDEX(사건마스터!$AN$5:$AN$64,MATCH($F558,사건마스터!$A$5:$A$64,0)),""))</f>
        <v/>
      </c>
      <c r="Q558" s="35">
        <f>IF($F558="","",IFERROR(INDEX(사건마스터!$AO$5:$AO$64,MATCH($F558,사건마스터!$A$5:$A$64,0)),""))</f>
        <v/>
      </c>
      <c r="R558" s="35">
        <f>IF($F558="","",IFERROR(INDEX(사건마스터!$AP$5:$AP$64,MATCH($F558,사건마스터!$A$5:$A$64,0)),""))</f>
        <v/>
      </c>
      <c r="S558" s="35">
        <f>IF($F558="","",IFERROR(INDEX(사건마스터!$AQ$5:$AQ$64,MATCH($F558,사건마스터!$A$5:$A$64,0)),""))</f>
        <v/>
      </c>
      <c r="T558" s="35">
        <f>IF($F558="","",IFERROR(INDEX(사건마스터!$AR$5:$AR$64,MATCH($F558,사건마스터!$A$5:$A$64,0)),""))</f>
        <v/>
      </c>
      <c r="U558" s="35">
        <f>IF($F558="","",IFERROR(INDEX(사건마스터!$AS$5:$AS$64,MATCH($F558,사건마스터!$A$5:$A$64,0)),""))</f>
        <v/>
      </c>
      <c r="V558" s="35">
        <f>IF($F558="","",IFERROR(INDEX(사건마스터!$AT$5:$AT$64,MATCH($F558,사건마스터!$A$5:$A$64,0)),""))</f>
        <v/>
      </c>
      <c r="W558" s="35">
        <f>IF($F558="","",IFERROR(INDEX(사건마스터!$AU$5:$AU$64,MATCH($F558,사건마스터!$A$5:$A$64,0)),""))</f>
        <v/>
      </c>
      <c r="X558" s="35">
        <f>IF($F558="","",IFERROR(INDEX(사건마스터!$AV$5:$AV$64,MATCH($F558,사건마스터!$A$5:$A$64,0)),""))</f>
        <v/>
      </c>
      <c r="Y558" s="30">
        <f>IF($I558="","",COUNTIF($I558:$X558,"?*"))</f>
        <v/>
      </c>
      <c r="Z558" s="33">
        <f>IF($I558="","",_xlfn.TEXTJOIN(", ",TRUE,$I558:$X558))</f>
        <v/>
      </c>
      <c r="AA558" s="34">
        <f>IF($I558="","",IFERROR(INDEX(코드설정!$D$5:$D$24,MATCH($I558,코드설정!$C$5:$C$24,0)),""))</f>
        <v/>
      </c>
      <c r="AB558" s="36" t="n"/>
      <c r="AC558" s="37" t="n"/>
      <c r="AD558" s="38" t="n"/>
      <c r="AE558" s="30">
        <f>IF(OR($B558="",$C558=""),"",$C558-$B558+1)</f>
        <v/>
      </c>
      <c r="AF558" s="32" t="n"/>
      <c r="AG558" s="36" t="n"/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3">
        <f>IF($F559="","",IFERROR(INDEX(사건마스터!$B$5:$B$64,MATCH($F559,사건마스터!$A$5:$A$64,0)),""))</f>
        <v/>
      </c>
      <c r="H559" s="34">
        <f>IF($F559="","",IFERROR(INDEX(사건마스터!$C$5:$C$64,MATCH($F559,사건마스터!$A$5:$A$64,0)),""))</f>
        <v/>
      </c>
      <c r="I559" s="35">
        <f>IF($F559="","",IFERROR(INDEX(사건마스터!$H$5:$H$64,MATCH($F559,사건마스터!$A$5:$A$64,0)),""))</f>
        <v/>
      </c>
      <c r="J559" s="35">
        <f>IF($F559="","",IFERROR(INDEX(사건마스터!$AH$5:$AH$64,MATCH($F559,사건마스터!$A$5:$A$64,0)),""))</f>
        <v/>
      </c>
      <c r="K559" s="35">
        <f>IF($F559="","",IFERROR(INDEX(사건마스터!$AI$5:$AI$64,MATCH($F559,사건마스터!$A$5:$A$64,0)),""))</f>
        <v/>
      </c>
      <c r="L559" s="35">
        <f>IF($F559="","",IFERROR(INDEX(사건마스터!$AJ$5:$AJ$64,MATCH($F559,사건마스터!$A$5:$A$64,0)),""))</f>
        <v/>
      </c>
      <c r="M559" s="35">
        <f>IF($F559="","",IFERROR(INDEX(사건마스터!$AK$5:$AK$64,MATCH($F559,사건마스터!$A$5:$A$64,0)),""))</f>
        <v/>
      </c>
      <c r="N559" s="35">
        <f>IF($F559="","",IFERROR(INDEX(사건마스터!$AL$5:$AL$64,MATCH($F559,사건마스터!$A$5:$A$64,0)),""))</f>
        <v/>
      </c>
      <c r="O559" s="35">
        <f>IF($F559="","",IFERROR(INDEX(사건마스터!$AM$5:$AM$64,MATCH($F559,사건마스터!$A$5:$A$64,0)),""))</f>
        <v/>
      </c>
      <c r="P559" s="35">
        <f>IF($F559="","",IFERROR(INDEX(사건마스터!$AN$5:$AN$64,MATCH($F559,사건마스터!$A$5:$A$64,0)),""))</f>
        <v/>
      </c>
      <c r="Q559" s="35">
        <f>IF($F559="","",IFERROR(INDEX(사건마스터!$AO$5:$AO$64,MATCH($F559,사건마스터!$A$5:$A$64,0)),""))</f>
        <v/>
      </c>
      <c r="R559" s="35">
        <f>IF($F559="","",IFERROR(INDEX(사건마스터!$AP$5:$AP$64,MATCH($F559,사건마스터!$A$5:$A$64,0)),""))</f>
        <v/>
      </c>
      <c r="S559" s="35">
        <f>IF($F559="","",IFERROR(INDEX(사건마스터!$AQ$5:$AQ$64,MATCH($F559,사건마스터!$A$5:$A$64,0)),""))</f>
        <v/>
      </c>
      <c r="T559" s="35">
        <f>IF($F559="","",IFERROR(INDEX(사건마스터!$AR$5:$AR$64,MATCH($F559,사건마스터!$A$5:$A$64,0)),""))</f>
        <v/>
      </c>
      <c r="U559" s="35">
        <f>IF($F559="","",IFERROR(INDEX(사건마스터!$AS$5:$AS$64,MATCH($F559,사건마스터!$A$5:$A$64,0)),""))</f>
        <v/>
      </c>
      <c r="V559" s="35">
        <f>IF($F559="","",IFERROR(INDEX(사건마스터!$AT$5:$AT$64,MATCH($F559,사건마스터!$A$5:$A$64,0)),""))</f>
        <v/>
      </c>
      <c r="W559" s="35">
        <f>IF($F559="","",IFERROR(INDEX(사건마스터!$AU$5:$AU$64,MATCH($F559,사건마스터!$A$5:$A$64,0)),""))</f>
        <v/>
      </c>
      <c r="X559" s="35">
        <f>IF($F559="","",IFERROR(INDEX(사건마스터!$AV$5:$AV$64,MATCH($F559,사건마스터!$A$5:$A$64,0)),""))</f>
        <v/>
      </c>
      <c r="Y559" s="30">
        <f>IF($I559="","",COUNTIF($I559:$X559,"?*"))</f>
        <v/>
      </c>
      <c r="Z559" s="33">
        <f>IF($I559="","",_xlfn.TEXTJOIN(", ",TRUE,$I559:$X559))</f>
        <v/>
      </c>
      <c r="AA559" s="34">
        <f>IF($I559="","",IFERROR(INDEX(코드설정!$D$5:$D$24,MATCH($I559,코드설정!$C$5:$C$24,0)),""))</f>
        <v/>
      </c>
      <c r="AB559" s="36" t="n"/>
      <c r="AC559" s="37" t="n"/>
      <c r="AD559" s="38" t="n"/>
      <c r="AE559" s="30">
        <f>IF(OR($B559="",$C559=""),"",$C559-$B559+1)</f>
        <v/>
      </c>
      <c r="AF559" s="32" t="n"/>
      <c r="AG559" s="36" t="n"/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3">
        <f>IF($F560="","",IFERROR(INDEX(사건마스터!$B$5:$B$64,MATCH($F560,사건마스터!$A$5:$A$64,0)),""))</f>
        <v/>
      </c>
      <c r="H560" s="34">
        <f>IF($F560="","",IFERROR(INDEX(사건마스터!$C$5:$C$64,MATCH($F560,사건마스터!$A$5:$A$64,0)),""))</f>
        <v/>
      </c>
      <c r="I560" s="35">
        <f>IF($F560="","",IFERROR(INDEX(사건마스터!$H$5:$H$64,MATCH($F560,사건마스터!$A$5:$A$64,0)),""))</f>
        <v/>
      </c>
      <c r="J560" s="35">
        <f>IF($F560="","",IFERROR(INDEX(사건마스터!$AH$5:$AH$64,MATCH($F560,사건마스터!$A$5:$A$64,0)),""))</f>
        <v/>
      </c>
      <c r="K560" s="35">
        <f>IF($F560="","",IFERROR(INDEX(사건마스터!$AI$5:$AI$64,MATCH($F560,사건마스터!$A$5:$A$64,0)),""))</f>
        <v/>
      </c>
      <c r="L560" s="35">
        <f>IF($F560="","",IFERROR(INDEX(사건마스터!$AJ$5:$AJ$64,MATCH($F560,사건마스터!$A$5:$A$64,0)),""))</f>
        <v/>
      </c>
      <c r="M560" s="35">
        <f>IF($F560="","",IFERROR(INDEX(사건마스터!$AK$5:$AK$64,MATCH($F560,사건마스터!$A$5:$A$64,0)),""))</f>
        <v/>
      </c>
      <c r="N560" s="35">
        <f>IF($F560="","",IFERROR(INDEX(사건마스터!$AL$5:$AL$64,MATCH($F560,사건마스터!$A$5:$A$64,0)),""))</f>
        <v/>
      </c>
      <c r="O560" s="35">
        <f>IF($F560="","",IFERROR(INDEX(사건마스터!$AM$5:$AM$64,MATCH($F560,사건마스터!$A$5:$A$64,0)),""))</f>
        <v/>
      </c>
      <c r="P560" s="35">
        <f>IF($F560="","",IFERROR(INDEX(사건마스터!$AN$5:$AN$64,MATCH($F560,사건마스터!$A$5:$A$64,0)),""))</f>
        <v/>
      </c>
      <c r="Q560" s="35">
        <f>IF($F560="","",IFERROR(INDEX(사건마스터!$AO$5:$AO$64,MATCH($F560,사건마스터!$A$5:$A$64,0)),""))</f>
        <v/>
      </c>
      <c r="R560" s="35">
        <f>IF($F560="","",IFERROR(INDEX(사건마스터!$AP$5:$AP$64,MATCH($F560,사건마스터!$A$5:$A$64,0)),""))</f>
        <v/>
      </c>
      <c r="S560" s="35">
        <f>IF($F560="","",IFERROR(INDEX(사건마스터!$AQ$5:$AQ$64,MATCH($F560,사건마스터!$A$5:$A$64,0)),""))</f>
        <v/>
      </c>
      <c r="T560" s="35">
        <f>IF($F560="","",IFERROR(INDEX(사건마스터!$AR$5:$AR$64,MATCH($F560,사건마스터!$A$5:$A$64,0)),""))</f>
        <v/>
      </c>
      <c r="U560" s="35">
        <f>IF($F560="","",IFERROR(INDEX(사건마스터!$AS$5:$AS$64,MATCH($F560,사건마스터!$A$5:$A$64,0)),""))</f>
        <v/>
      </c>
      <c r="V560" s="35">
        <f>IF($F560="","",IFERROR(INDEX(사건마스터!$AT$5:$AT$64,MATCH($F560,사건마스터!$A$5:$A$64,0)),""))</f>
        <v/>
      </c>
      <c r="W560" s="35">
        <f>IF($F560="","",IFERROR(INDEX(사건마스터!$AU$5:$AU$64,MATCH($F560,사건마스터!$A$5:$A$64,0)),""))</f>
        <v/>
      </c>
      <c r="X560" s="35">
        <f>IF($F560="","",IFERROR(INDEX(사건마스터!$AV$5:$AV$64,MATCH($F560,사건마스터!$A$5:$A$64,0)),""))</f>
        <v/>
      </c>
      <c r="Y560" s="30">
        <f>IF($I560="","",COUNTIF($I560:$X560,"?*"))</f>
        <v/>
      </c>
      <c r="Z560" s="33">
        <f>IF($I560="","",_xlfn.TEXTJOIN(", ",TRUE,$I560:$X560))</f>
        <v/>
      </c>
      <c r="AA560" s="34">
        <f>IF($I560="","",IFERROR(INDEX(코드설정!$D$5:$D$24,MATCH($I560,코드설정!$C$5:$C$24,0)),""))</f>
        <v/>
      </c>
      <c r="AB560" s="36" t="n"/>
      <c r="AC560" s="37" t="n"/>
      <c r="AD560" s="38" t="n"/>
      <c r="AE560" s="30">
        <f>IF(OR($B560="",$C560=""),"",$C560-$B560+1)</f>
        <v/>
      </c>
      <c r="AF560" s="32" t="n"/>
      <c r="AG560" s="36" t="n"/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3">
        <f>IF($F561="","",IFERROR(INDEX(사건마스터!$B$5:$B$64,MATCH($F561,사건마스터!$A$5:$A$64,0)),""))</f>
        <v/>
      </c>
      <c r="H561" s="34">
        <f>IF($F561="","",IFERROR(INDEX(사건마스터!$C$5:$C$64,MATCH($F561,사건마스터!$A$5:$A$64,0)),""))</f>
        <v/>
      </c>
      <c r="I561" s="35">
        <f>IF($F561="","",IFERROR(INDEX(사건마스터!$H$5:$H$64,MATCH($F561,사건마스터!$A$5:$A$64,0)),""))</f>
        <v/>
      </c>
      <c r="J561" s="35">
        <f>IF($F561="","",IFERROR(INDEX(사건마스터!$AH$5:$AH$64,MATCH($F561,사건마스터!$A$5:$A$64,0)),""))</f>
        <v/>
      </c>
      <c r="K561" s="35">
        <f>IF($F561="","",IFERROR(INDEX(사건마스터!$AI$5:$AI$64,MATCH($F561,사건마스터!$A$5:$A$64,0)),""))</f>
        <v/>
      </c>
      <c r="L561" s="35">
        <f>IF($F561="","",IFERROR(INDEX(사건마스터!$AJ$5:$AJ$64,MATCH($F561,사건마스터!$A$5:$A$64,0)),""))</f>
        <v/>
      </c>
      <c r="M561" s="35">
        <f>IF($F561="","",IFERROR(INDEX(사건마스터!$AK$5:$AK$64,MATCH($F561,사건마스터!$A$5:$A$64,0)),""))</f>
        <v/>
      </c>
      <c r="N561" s="35">
        <f>IF($F561="","",IFERROR(INDEX(사건마스터!$AL$5:$AL$64,MATCH($F561,사건마스터!$A$5:$A$64,0)),""))</f>
        <v/>
      </c>
      <c r="O561" s="35">
        <f>IF($F561="","",IFERROR(INDEX(사건마스터!$AM$5:$AM$64,MATCH($F561,사건마스터!$A$5:$A$64,0)),""))</f>
        <v/>
      </c>
      <c r="P561" s="35">
        <f>IF($F561="","",IFERROR(INDEX(사건마스터!$AN$5:$AN$64,MATCH($F561,사건마스터!$A$5:$A$64,0)),""))</f>
        <v/>
      </c>
      <c r="Q561" s="35">
        <f>IF($F561="","",IFERROR(INDEX(사건마스터!$AO$5:$AO$64,MATCH($F561,사건마스터!$A$5:$A$64,0)),""))</f>
        <v/>
      </c>
      <c r="R561" s="35">
        <f>IF($F561="","",IFERROR(INDEX(사건마스터!$AP$5:$AP$64,MATCH($F561,사건마스터!$A$5:$A$64,0)),""))</f>
        <v/>
      </c>
      <c r="S561" s="35">
        <f>IF($F561="","",IFERROR(INDEX(사건마스터!$AQ$5:$AQ$64,MATCH($F561,사건마스터!$A$5:$A$64,0)),""))</f>
        <v/>
      </c>
      <c r="T561" s="35">
        <f>IF($F561="","",IFERROR(INDEX(사건마스터!$AR$5:$AR$64,MATCH($F561,사건마스터!$A$5:$A$64,0)),""))</f>
        <v/>
      </c>
      <c r="U561" s="35">
        <f>IF($F561="","",IFERROR(INDEX(사건마스터!$AS$5:$AS$64,MATCH($F561,사건마스터!$A$5:$A$64,0)),""))</f>
        <v/>
      </c>
      <c r="V561" s="35">
        <f>IF($F561="","",IFERROR(INDEX(사건마스터!$AT$5:$AT$64,MATCH($F561,사건마스터!$A$5:$A$64,0)),""))</f>
        <v/>
      </c>
      <c r="W561" s="35">
        <f>IF($F561="","",IFERROR(INDEX(사건마스터!$AU$5:$AU$64,MATCH($F561,사건마스터!$A$5:$A$64,0)),""))</f>
        <v/>
      </c>
      <c r="X561" s="35">
        <f>IF($F561="","",IFERROR(INDEX(사건마스터!$AV$5:$AV$64,MATCH($F561,사건마스터!$A$5:$A$64,0)),""))</f>
        <v/>
      </c>
      <c r="Y561" s="30">
        <f>IF($I561="","",COUNTIF($I561:$X561,"?*"))</f>
        <v/>
      </c>
      <c r="Z561" s="33">
        <f>IF($I561="","",_xlfn.TEXTJOIN(", ",TRUE,$I561:$X561))</f>
        <v/>
      </c>
      <c r="AA561" s="34">
        <f>IF($I561="","",IFERROR(INDEX(코드설정!$D$5:$D$24,MATCH($I561,코드설정!$C$5:$C$24,0)),""))</f>
        <v/>
      </c>
      <c r="AB561" s="36" t="n"/>
      <c r="AC561" s="37" t="n"/>
      <c r="AD561" s="38" t="n"/>
      <c r="AE561" s="30">
        <f>IF(OR($B561="",$C561=""),"",$C561-$B561+1)</f>
        <v/>
      </c>
      <c r="AF561" s="32" t="n"/>
      <c r="AG561" s="36" t="n"/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3">
        <f>IF($F562="","",IFERROR(INDEX(사건마스터!$B$5:$B$64,MATCH($F562,사건마스터!$A$5:$A$64,0)),""))</f>
        <v/>
      </c>
      <c r="H562" s="34">
        <f>IF($F562="","",IFERROR(INDEX(사건마스터!$C$5:$C$64,MATCH($F562,사건마스터!$A$5:$A$64,0)),""))</f>
        <v/>
      </c>
      <c r="I562" s="35">
        <f>IF($F562="","",IFERROR(INDEX(사건마스터!$H$5:$H$64,MATCH($F562,사건마스터!$A$5:$A$64,0)),""))</f>
        <v/>
      </c>
      <c r="J562" s="35">
        <f>IF($F562="","",IFERROR(INDEX(사건마스터!$AH$5:$AH$64,MATCH($F562,사건마스터!$A$5:$A$64,0)),""))</f>
        <v/>
      </c>
      <c r="K562" s="35">
        <f>IF($F562="","",IFERROR(INDEX(사건마스터!$AI$5:$AI$64,MATCH($F562,사건마스터!$A$5:$A$64,0)),""))</f>
        <v/>
      </c>
      <c r="L562" s="35">
        <f>IF($F562="","",IFERROR(INDEX(사건마스터!$AJ$5:$AJ$64,MATCH($F562,사건마스터!$A$5:$A$64,0)),""))</f>
        <v/>
      </c>
      <c r="M562" s="35">
        <f>IF($F562="","",IFERROR(INDEX(사건마스터!$AK$5:$AK$64,MATCH($F562,사건마스터!$A$5:$A$64,0)),""))</f>
        <v/>
      </c>
      <c r="N562" s="35">
        <f>IF($F562="","",IFERROR(INDEX(사건마스터!$AL$5:$AL$64,MATCH($F562,사건마스터!$A$5:$A$64,0)),""))</f>
        <v/>
      </c>
      <c r="O562" s="35">
        <f>IF($F562="","",IFERROR(INDEX(사건마스터!$AM$5:$AM$64,MATCH($F562,사건마스터!$A$5:$A$64,0)),""))</f>
        <v/>
      </c>
      <c r="P562" s="35">
        <f>IF($F562="","",IFERROR(INDEX(사건마스터!$AN$5:$AN$64,MATCH($F562,사건마스터!$A$5:$A$64,0)),""))</f>
        <v/>
      </c>
      <c r="Q562" s="35">
        <f>IF($F562="","",IFERROR(INDEX(사건마스터!$AO$5:$AO$64,MATCH($F562,사건마스터!$A$5:$A$64,0)),""))</f>
        <v/>
      </c>
      <c r="R562" s="35">
        <f>IF($F562="","",IFERROR(INDEX(사건마스터!$AP$5:$AP$64,MATCH($F562,사건마스터!$A$5:$A$64,0)),""))</f>
        <v/>
      </c>
      <c r="S562" s="35">
        <f>IF($F562="","",IFERROR(INDEX(사건마스터!$AQ$5:$AQ$64,MATCH($F562,사건마스터!$A$5:$A$64,0)),""))</f>
        <v/>
      </c>
      <c r="T562" s="35">
        <f>IF($F562="","",IFERROR(INDEX(사건마스터!$AR$5:$AR$64,MATCH($F562,사건마스터!$A$5:$A$64,0)),""))</f>
        <v/>
      </c>
      <c r="U562" s="35">
        <f>IF($F562="","",IFERROR(INDEX(사건마스터!$AS$5:$AS$64,MATCH($F562,사건마스터!$A$5:$A$64,0)),""))</f>
        <v/>
      </c>
      <c r="V562" s="35">
        <f>IF($F562="","",IFERROR(INDEX(사건마스터!$AT$5:$AT$64,MATCH($F562,사건마스터!$A$5:$A$64,0)),""))</f>
        <v/>
      </c>
      <c r="W562" s="35">
        <f>IF($F562="","",IFERROR(INDEX(사건마스터!$AU$5:$AU$64,MATCH($F562,사건마스터!$A$5:$A$64,0)),""))</f>
        <v/>
      </c>
      <c r="X562" s="35">
        <f>IF($F562="","",IFERROR(INDEX(사건마스터!$AV$5:$AV$64,MATCH($F562,사건마스터!$A$5:$A$64,0)),""))</f>
        <v/>
      </c>
      <c r="Y562" s="30">
        <f>IF($I562="","",COUNTIF($I562:$X562,"?*"))</f>
        <v/>
      </c>
      <c r="Z562" s="33">
        <f>IF($I562="","",_xlfn.TEXTJOIN(", ",TRUE,$I562:$X562))</f>
        <v/>
      </c>
      <c r="AA562" s="34">
        <f>IF($I562="","",IFERROR(INDEX(코드설정!$D$5:$D$24,MATCH($I562,코드설정!$C$5:$C$24,0)),""))</f>
        <v/>
      </c>
      <c r="AB562" s="36" t="n"/>
      <c r="AC562" s="37" t="n"/>
      <c r="AD562" s="38" t="n"/>
      <c r="AE562" s="30">
        <f>IF(OR($B562="",$C562=""),"",$C562-$B562+1)</f>
        <v/>
      </c>
      <c r="AF562" s="32" t="n"/>
      <c r="AG562" s="36" t="n"/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3">
        <f>IF($F563="","",IFERROR(INDEX(사건마스터!$B$5:$B$64,MATCH($F563,사건마스터!$A$5:$A$64,0)),""))</f>
        <v/>
      </c>
      <c r="H563" s="34">
        <f>IF($F563="","",IFERROR(INDEX(사건마스터!$C$5:$C$64,MATCH($F563,사건마스터!$A$5:$A$64,0)),""))</f>
        <v/>
      </c>
      <c r="I563" s="35">
        <f>IF($F563="","",IFERROR(INDEX(사건마스터!$H$5:$H$64,MATCH($F563,사건마스터!$A$5:$A$64,0)),""))</f>
        <v/>
      </c>
      <c r="J563" s="35">
        <f>IF($F563="","",IFERROR(INDEX(사건마스터!$AH$5:$AH$64,MATCH($F563,사건마스터!$A$5:$A$64,0)),""))</f>
        <v/>
      </c>
      <c r="K563" s="35">
        <f>IF($F563="","",IFERROR(INDEX(사건마스터!$AI$5:$AI$64,MATCH($F563,사건마스터!$A$5:$A$64,0)),""))</f>
        <v/>
      </c>
      <c r="L563" s="35">
        <f>IF($F563="","",IFERROR(INDEX(사건마스터!$AJ$5:$AJ$64,MATCH($F563,사건마스터!$A$5:$A$64,0)),""))</f>
        <v/>
      </c>
      <c r="M563" s="35">
        <f>IF($F563="","",IFERROR(INDEX(사건마스터!$AK$5:$AK$64,MATCH($F563,사건마스터!$A$5:$A$64,0)),""))</f>
        <v/>
      </c>
      <c r="N563" s="35">
        <f>IF($F563="","",IFERROR(INDEX(사건마스터!$AL$5:$AL$64,MATCH($F563,사건마스터!$A$5:$A$64,0)),""))</f>
        <v/>
      </c>
      <c r="O563" s="35">
        <f>IF($F563="","",IFERROR(INDEX(사건마스터!$AM$5:$AM$64,MATCH($F563,사건마스터!$A$5:$A$64,0)),""))</f>
        <v/>
      </c>
      <c r="P563" s="35">
        <f>IF($F563="","",IFERROR(INDEX(사건마스터!$AN$5:$AN$64,MATCH($F563,사건마스터!$A$5:$A$64,0)),""))</f>
        <v/>
      </c>
      <c r="Q563" s="35">
        <f>IF($F563="","",IFERROR(INDEX(사건마스터!$AO$5:$AO$64,MATCH($F563,사건마스터!$A$5:$A$64,0)),""))</f>
        <v/>
      </c>
      <c r="R563" s="35">
        <f>IF($F563="","",IFERROR(INDEX(사건마스터!$AP$5:$AP$64,MATCH($F563,사건마스터!$A$5:$A$64,0)),""))</f>
        <v/>
      </c>
      <c r="S563" s="35">
        <f>IF($F563="","",IFERROR(INDEX(사건마스터!$AQ$5:$AQ$64,MATCH($F563,사건마스터!$A$5:$A$64,0)),""))</f>
        <v/>
      </c>
      <c r="T563" s="35">
        <f>IF($F563="","",IFERROR(INDEX(사건마스터!$AR$5:$AR$64,MATCH($F563,사건마스터!$A$5:$A$64,0)),""))</f>
        <v/>
      </c>
      <c r="U563" s="35">
        <f>IF($F563="","",IFERROR(INDEX(사건마스터!$AS$5:$AS$64,MATCH($F563,사건마스터!$A$5:$A$64,0)),""))</f>
        <v/>
      </c>
      <c r="V563" s="35">
        <f>IF($F563="","",IFERROR(INDEX(사건마스터!$AT$5:$AT$64,MATCH($F563,사건마스터!$A$5:$A$64,0)),""))</f>
        <v/>
      </c>
      <c r="W563" s="35">
        <f>IF($F563="","",IFERROR(INDEX(사건마스터!$AU$5:$AU$64,MATCH($F563,사건마스터!$A$5:$A$64,0)),""))</f>
        <v/>
      </c>
      <c r="X563" s="35">
        <f>IF($F563="","",IFERROR(INDEX(사건마스터!$AV$5:$AV$64,MATCH($F563,사건마스터!$A$5:$A$64,0)),""))</f>
        <v/>
      </c>
      <c r="Y563" s="30">
        <f>IF($I563="","",COUNTIF($I563:$X563,"?*"))</f>
        <v/>
      </c>
      <c r="Z563" s="33">
        <f>IF($I563="","",_xlfn.TEXTJOIN(", ",TRUE,$I563:$X563))</f>
        <v/>
      </c>
      <c r="AA563" s="34">
        <f>IF($I563="","",IFERROR(INDEX(코드설정!$D$5:$D$24,MATCH($I563,코드설정!$C$5:$C$24,0)),""))</f>
        <v/>
      </c>
      <c r="AB563" s="36" t="n"/>
      <c r="AC563" s="37" t="n"/>
      <c r="AD563" s="38" t="n"/>
      <c r="AE563" s="30">
        <f>IF(OR($B563="",$C563=""),"",$C563-$B563+1)</f>
        <v/>
      </c>
      <c r="AF563" s="32" t="n"/>
      <c r="AG563" s="36" t="n"/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3">
        <f>IF($F564="","",IFERROR(INDEX(사건마스터!$B$5:$B$64,MATCH($F564,사건마스터!$A$5:$A$64,0)),""))</f>
        <v/>
      </c>
      <c r="H564" s="34">
        <f>IF($F564="","",IFERROR(INDEX(사건마스터!$C$5:$C$64,MATCH($F564,사건마스터!$A$5:$A$64,0)),""))</f>
        <v/>
      </c>
      <c r="I564" s="35">
        <f>IF($F564="","",IFERROR(INDEX(사건마스터!$H$5:$H$64,MATCH($F564,사건마스터!$A$5:$A$64,0)),""))</f>
        <v/>
      </c>
      <c r="J564" s="35">
        <f>IF($F564="","",IFERROR(INDEX(사건마스터!$AH$5:$AH$64,MATCH($F564,사건마스터!$A$5:$A$64,0)),""))</f>
        <v/>
      </c>
      <c r="K564" s="35">
        <f>IF($F564="","",IFERROR(INDEX(사건마스터!$AI$5:$AI$64,MATCH($F564,사건마스터!$A$5:$A$64,0)),""))</f>
        <v/>
      </c>
      <c r="L564" s="35">
        <f>IF($F564="","",IFERROR(INDEX(사건마스터!$AJ$5:$AJ$64,MATCH($F564,사건마스터!$A$5:$A$64,0)),""))</f>
        <v/>
      </c>
      <c r="M564" s="35">
        <f>IF($F564="","",IFERROR(INDEX(사건마스터!$AK$5:$AK$64,MATCH($F564,사건마스터!$A$5:$A$64,0)),""))</f>
        <v/>
      </c>
      <c r="N564" s="35">
        <f>IF($F564="","",IFERROR(INDEX(사건마스터!$AL$5:$AL$64,MATCH($F564,사건마스터!$A$5:$A$64,0)),""))</f>
        <v/>
      </c>
      <c r="O564" s="35">
        <f>IF($F564="","",IFERROR(INDEX(사건마스터!$AM$5:$AM$64,MATCH($F564,사건마스터!$A$5:$A$64,0)),""))</f>
        <v/>
      </c>
      <c r="P564" s="35">
        <f>IF($F564="","",IFERROR(INDEX(사건마스터!$AN$5:$AN$64,MATCH($F564,사건마스터!$A$5:$A$64,0)),""))</f>
        <v/>
      </c>
      <c r="Q564" s="35">
        <f>IF($F564="","",IFERROR(INDEX(사건마스터!$AO$5:$AO$64,MATCH($F564,사건마스터!$A$5:$A$64,0)),""))</f>
        <v/>
      </c>
      <c r="R564" s="35">
        <f>IF($F564="","",IFERROR(INDEX(사건마스터!$AP$5:$AP$64,MATCH($F564,사건마스터!$A$5:$A$64,0)),""))</f>
        <v/>
      </c>
      <c r="S564" s="35">
        <f>IF($F564="","",IFERROR(INDEX(사건마스터!$AQ$5:$AQ$64,MATCH($F564,사건마스터!$A$5:$A$64,0)),""))</f>
        <v/>
      </c>
      <c r="T564" s="35">
        <f>IF($F564="","",IFERROR(INDEX(사건마스터!$AR$5:$AR$64,MATCH($F564,사건마스터!$A$5:$A$64,0)),""))</f>
        <v/>
      </c>
      <c r="U564" s="35">
        <f>IF($F564="","",IFERROR(INDEX(사건마스터!$AS$5:$AS$64,MATCH($F564,사건마스터!$A$5:$A$64,0)),""))</f>
        <v/>
      </c>
      <c r="V564" s="35">
        <f>IF($F564="","",IFERROR(INDEX(사건마스터!$AT$5:$AT$64,MATCH($F564,사건마스터!$A$5:$A$64,0)),""))</f>
        <v/>
      </c>
      <c r="W564" s="35">
        <f>IF($F564="","",IFERROR(INDEX(사건마스터!$AU$5:$AU$64,MATCH($F564,사건마스터!$A$5:$A$64,0)),""))</f>
        <v/>
      </c>
      <c r="X564" s="35">
        <f>IF($F564="","",IFERROR(INDEX(사건마스터!$AV$5:$AV$64,MATCH($F564,사건마스터!$A$5:$A$64,0)),""))</f>
        <v/>
      </c>
      <c r="Y564" s="30">
        <f>IF($I564="","",COUNTIF($I564:$X564,"?*"))</f>
        <v/>
      </c>
      <c r="Z564" s="33">
        <f>IF($I564="","",_xlfn.TEXTJOIN(", ",TRUE,$I564:$X564))</f>
        <v/>
      </c>
      <c r="AA564" s="34">
        <f>IF($I564="","",IFERROR(INDEX(코드설정!$D$5:$D$24,MATCH($I564,코드설정!$C$5:$C$24,0)),""))</f>
        <v/>
      </c>
      <c r="AB564" s="36" t="n"/>
      <c r="AC564" s="37" t="n"/>
      <c r="AD564" s="38" t="n"/>
      <c r="AE564" s="30">
        <f>IF(OR($B564="",$C564=""),"",$C564-$B564+1)</f>
        <v/>
      </c>
      <c r="AF564" s="32" t="n"/>
      <c r="AG564" s="36" t="n"/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3">
        <f>IF($F565="","",IFERROR(INDEX(사건마스터!$B$5:$B$64,MATCH($F565,사건마스터!$A$5:$A$64,0)),""))</f>
        <v/>
      </c>
      <c r="H565" s="34">
        <f>IF($F565="","",IFERROR(INDEX(사건마스터!$C$5:$C$64,MATCH($F565,사건마스터!$A$5:$A$64,0)),""))</f>
        <v/>
      </c>
      <c r="I565" s="35">
        <f>IF($F565="","",IFERROR(INDEX(사건마스터!$H$5:$H$64,MATCH($F565,사건마스터!$A$5:$A$64,0)),""))</f>
        <v/>
      </c>
      <c r="J565" s="35">
        <f>IF($F565="","",IFERROR(INDEX(사건마스터!$AH$5:$AH$64,MATCH($F565,사건마스터!$A$5:$A$64,0)),""))</f>
        <v/>
      </c>
      <c r="K565" s="35">
        <f>IF($F565="","",IFERROR(INDEX(사건마스터!$AI$5:$AI$64,MATCH($F565,사건마스터!$A$5:$A$64,0)),""))</f>
        <v/>
      </c>
      <c r="L565" s="35">
        <f>IF($F565="","",IFERROR(INDEX(사건마스터!$AJ$5:$AJ$64,MATCH($F565,사건마스터!$A$5:$A$64,0)),""))</f>
        <v/>
      </c>
      <c r="M565" s="35">
        <f>IF($F565="","",IFERROR(INDEX(사건마스터!$AK$5:$AK$64,MATCH($F565,사건마스터!$A$5:$A$64,0)),""))</f>
        <v/>
      </c>
      <c r="N565" s="35">
        <f>IF($F565="","",IFERROR(INDEX(사건마스터!$AL$5:$AL$64,MATCH($F565,사건마스터!$A$5:$A$64,0)),""))</f>
        <v/>
      </c>
      <c r="O565" s="35">
        <f>IF($F565="","",IFERROR(INDEX(사건마스터!$AM$5:$AM$64,MATCH($F565,사건마스터!$A$5:$A$64,0)),""))</f>
        <v/>
      </c>
      <c r="P565" s="35">
        <f>IF($F565="","",IFERROR(INDEX(사건마스터!$AN$5:$AN$64,MATCH($F565,사건마스터!$A$5:$A$64,0)),""))</f>
        <v/>
      </c>
      <c r="Q565" s="35">
        <f>IF($F565="","",IFERROR(INDEX(사건마스터!$AO$5:$AO$64,MATCH($F565,사건마스터!$A$5:$A$64,0)),""))</f>
        <v/>
      </c>
      <c r="R565" s="35">
        <f>IF($F565="","",IFERROR(INDEX(사건마스터!$AP$5:$AP$64,MATCH($F565,사건마스터!$A$5:$A$64,0)),""))</f>
        <v/>
      </c>
      <c r="S565" s="35">
        <f>IF($F565="","",IFERROR(INDEX(사건마스터!$AQ$5:$AQ$64,MATCH($F565,사건마스터!$A$5:$A$64,0)),""))</f>
        <v/>
      </c>
      <c r="T565" s="35">
        <f>IF($F565="","",IFERROR(INDEX(사건마스터!$AR$5:$AR$64,MATCH($F565,사건마스터!$A$5:$A$64,0)),""))</f>
        <v/>
      </c>
      <c r="U565" s="35">
        <f>IF($F565="","",IFERROR(INDEX(사건마스터!$AS$5:$AS$64,MATCH($F565,사건마스터!$A$5:$A$64,0)),""))</f>
        <v/>
      </c>
      <c r="V565" s="35">
        <f>IF($F565="","",IFERROR(INDEX(사건마스터!$AT$5:$AT$64,MATCH($F565,사건마스터!$A$5:$A$64,0)),""))</f>
        <v/>
      </c>
      <c r="W565" s="35">
        <f>IF($F565="","",IFERROR(INDEX(사건마스터!$AU$5:$AU$64,MATCH($F565,사건마스터!$A$5:$A$64,0)),""))</f>
        <v/>
      </c>
      <c r="X565" s="35">
        <f>IF($F565="","",IFERROR(INDEX(사건마스터!$AV$5:$AV$64,MATCH($F565,사건마스터!$A$5:$A$64,0)),""))</f>
        <v/>
      </c>
      <c r="Y565" s="30">
        <f>IF($I565="","",COUNTIF($I565:$X565,"?*"))</f>
        <v/>
      </c>
      <c r="Z565" s="33">
        <f>IF($I565="","",_xlfn.TEXTJOIN(", ",TRUE,$I565:$X565))</f>
        <v/>
      </c>
      <c r="AA565" s="34">
        <f>IF($I565="","",IFERROR(INDEX(코드설정!$D$5:$D$24,MATCH($I565,코드설정!$C$5:$C$24,0)),""))</f>
        <v/>
      </c>
      <c r="AB565" s="36" t="n"/>
      <c r="AC565" s="37" t="n"/>
      <c r="AD565" s="38" t="n"/>
      <c r="AE565" s="30">
        <f>IF(OR($B565="",$C565=""),"",$C565-$B565+1)</f>
        <v/>
      </c>
      <c r="AF565" s="32" t="n"/>
      <c r="AG565" s="36" t="n"/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3">
        <f>IF($F566="","",IFERROR(INDEX(사건마스터!$B$5:$B$64,MATCH($F566,사건마스터!$A$5:$A$64,0)),""))</f>
        <v/>
      </c>
      <c r="H566" s="34">
        <f>IF($F566="","",IFERROR(INDEX(사건마스터!$C$5:$C$64,MATCH($F566,사건마스터!$A$5:$A$64,0)),""))</f>
        <v/>
      </c>
      <c r="I566" s="35">
        <f>IF($F566="","",IFERROR(INDEX(사건마스터!$H$5:$H$64,MATCH($F566,사건마스터!$A$5:$A$64,0)),""))</f>
        <v/>
      </c>
      <c r="J566" s="35">
        <f>IF($F566="","",IFERROR(INDEX(사건마스터!$AH$5:$AH$64,MATCH($F566,사건마스터!$A$5:$A$64,0)),""))</f>
        <v/>
      </c>
      <c r="K566" s="35">
        <f>IF($F566="","",IFERROR(INDEX(사건마스터!$AI$5:$AI$64,MATCH($F566,사건마스터!$A$5:$A$64,0)),""))</f>
        <v/>
      </c>
      <c r="L566" s="35">
        <f>IF($F566="","",IFERROR(INDEX(사건마스터!$AJ$5:$AJ$64,MATCH($F566,사건마스터!$A$5:$A$64,0)),""))</f>
        <v/>
      </c>
      <c r="M566" s="35">
        <f>IF($F566="","",IFERROR(INDEX(사건마스터!$AK$5:$AK$64,MATCH($F566,사건마스터!$A$5:$A$64,0)),""))</f>
        <v/>
      </c>
      <c r="N566" s="35">
        <f>IF($F566="","",IFERROR(INDEX(사건마스터!$AL$5:$AL$64,MATCH($F566,사건마스터!$A$5:$A$64,0)),""))</f>
        <v/>
      </c>
      <c r="O566" s="35">
        <f>IF($F566="","",IFERROR(INDEX(사건마스터!$AM$5:$AM$64,MATCH($F566,사건마스터!$A$5:$A$64,0)),""))</f>
        <v/>
      </c>
      <c r="P566" s="35">
        <f>IF($F566="","",IFERROR(INDEX(사건마스터!$AN$5:$AN$64,MATCH($F566,사건마스터!$A$5:$A$64,0)),""))</f>
        <v/>
      </c>
      <c r="Q566" s="35">
        <f>IF($F566="","",IFERROR(INDEX(사건마스터!$AO$5:$AO$64,MATCH($F566,사건마스터!$A$5:$A$64,0)),""))</f>
        <v/>
      </c>
      <c r="R566" s="35">
        <f>IF($F566="","",IFERROR(INDEX(사건마스터!$AP$5:$AP$64,MATCH($F566,사건마스터!$A$5:$A$64,0)),""))</f>
        <v/>
      </c>
      <c r="S566" s="35">
        <f>IF($F566="","",IFERROR(INDEX(사건마스터!$AQ$5:$AQ$64,MATCH($F566,사건마스터!$A$5:$A$64,0)),""))</f>
        <v/>
      </c>
      <c r="T566" s="35">
        <f>IF($F566="","",IFERROR(INDEX(사건마스터!$AR$5:$AR$64,MATCH($F566,사건마스터!$A$5:$A$64,0)),""))</f>
        <v/>
      </c>
      <c r="U566" s="35">
        <f>IF($F566="","",IFERROR(INDEX(사건마스터!$AS$5:$AS$64,MATCH($F566,사건마스터!$A$5:$A$64,0)),""))</f>
        <v/>
      </c>
      <c r="V566" s="35">
        <f>IF($F566="","",IFERROR(INDEX(사건마스터!$AT$5:$AT$64,MATCH($F566,사건마스터!$A$5:$A$64,0)),""))</f>
        <v/>
      </c>
      <c r="W566" s="35">
        <f>IF($F566="","",IFERROR(INDEX(사건마스터!$AU$5:$AU$64,MATCH($F566,사건마스터!$A$5:$A$64,0)),""))</f>
        <v/>
      </c>
      <c r="X566" s="35">
        <f>IF($F566="","",IFERROR(INDEX(사건마스터!$AV$5:$AV$64,MATCH($F566,사건마스터!$A$5:$A$64,0)),""))</f>
        <v/>
      </c>
      <c r="Y566" s="30">
        <f>IF($I566="","",COUNTIF($I566:$X566,"?*"))</f>
        <v/>
      </c>
      <c r="Z566" s="33">
        <f>IF($I566="","",_xlfn.TEXTJOIN(", ",TRUE,$I566:$X566))</f>
        <v/>
      </c>
      <c r="AA566" s="34">
        <f>IF($I566="","",IFERROR(INDEX(코드설정!$D$5:$D$24,MATCH($I566,코드설정!$C$5:$C$24,0)),""))</f>
        <v/>
      </c>
      <c r="AB566" s="36" t="n"/>
      <c r="AC566" s="37" t="n"/>
      <c r="AD566" s="38" t="n"/>
      <c r="AE566" s="30">
        <f>IF(OR($B566="",$C566=""),"",$C566-$B566+1)</f>
        <v/>
      </c>
      <c r="AF566" s="32" t="n"/>
      <c r="AG566" s="36" t="n"/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3">
        <f>IF($F567="","",IFERROR(INDEX(사건마스터!$B$5:$B$64,MATCH($F567,사건마스터!$A$5:$A$64,0)),""))</f>
        <v/>
      </c>
      <c r="H567" s="34">
        <f>IF($F567="","",IFERROR(INDEX(사건마스터!$C$5:$C$64,MATCH($F567,사건마스터!$A$5:$A$64,0)),""))</f>
        <v/>
      </c>
      <c r="I567" s="35">
        <f>IF($F567="","",IFERROR(INDEX(사건마스터!$H$5:$H$64,MATCH($F567,사건마스터!$A$5:$A$64,0)),""))</f>
        <v/>
      </c>
      <c r="J567" s="35">
        <f>IF($F567="","",IFERROR(INDEX(사건마스터!$AH$5:$AH$64,MATCH($F567,사건마스터!$A$5:$A$64,0)),""))</f>
        <v/>
      </c>
      <c r="K567" s="35">
        <f>IF($F567="","",IFERROR(INDEX(사건마스터!$AI$5:$AI$64,MATCH($F567,사건마스터!$A$5:$A$64,0)),""))</f>
        <v/>
      </c>
      <c r="L567" s="35">
        <f>IF($F567="","",IFERROR(INDEX(사건마스터!$AJ$5:$AJ$64,MATCH($F567,사건마스터!$A$5:$A$64,0)),""))</f>
        <v/>
      </c>
      <c r="M567" s="35">
        <f>IF($F567="","",IFERROR(INDEX(사건마스터!$AK$5:$AK$64,MATCH($F567,사건마스터!$A$5:$A$64,0)),""))</f>
        <v/>
      </c>
      <c r="N567" s="35">
        <f>IF($F567="","",IFERROR(INDEX(사건마스터!$AL$5:$AL$64,MATCH($F567,사건마스터!$A$5:$A$64,0)),""))</f>
        <v/>
      </c>
      <c r="O567" s="35">
        <f>IF($F567="","",IFERROR(INDEX(사건마스터!$AM$5:$AM$64,MATCH($F567,사건마스터!$A$5:$A$64,0)),""))</f>
        <v/>
      </c>
      <c r="P567" s="35">
        <f>IF($F567="","",IFERROR(INDEX(사건마스터!$AN$5:$AN$64,MATCH($F567,사건마스터!$A$5:$A$64,0)),""))</f>
        <v/>
      </c>
      <c r="Q567" s="35">
        <f>IF($F567="","",IFERROR(INDEX(사건마스터!$AO$5:$AO$64,MATCH($F567,사건마스터!$A$5:$A$64,0)),""))</f>
        <v/>
      </c>
      <c r="R567" s="35">
        <f>IF($F567="","",IFERROR(INDEX(사건마스터!$AP$5:$AP$64,MATCH($F567,사건마스터!$A$5:$A$64,0)),""))</f>
        <v/>
      </c>
      <c r="S567" s="35">
        <f>IF($F567="","",IFERROR(INDEX(사건마스터!$AQ$5:$AQ$64,MATCH($F567,사건마스터!$A$5:$A$64,0)),""))</f>
        <v/>
      </c>
      <c r="T567" s="35">
        <f>IF($F567="","",IFERROR(INDEX(사건마스터!$AR$5:$AR$64,MATCH($F567,사건마스터!$A$5:$A$64,0)),""))</f>
        <v/>
      </c>
      <c r="U567" s="35">
        <f>IF($F567="","",IFERROR(INDEX(사건마스터!$AS$5:$AS$64,MATCH($F567,사건마스터!$A$5:$A$64,0)),""))</f>
        <v/>
      </c>
      <c r="V567" s="35">
        <f>IF($F567="","",IFERROR(INDEX(사건마스터!$AT$5:$AT$64,MATCH($F567,사건마스터!$A$5:$A$64,0)),""))</f>
        <v/>
      </c>
      <c r="W567" s="35">
        <f>IF($F567="","",IFERROR(INDEX(사건마스터!$AU$5:$AU$64,MATCH($F567,사건마스터!$A$5:$A$64,0)),""))</f>
        <v/>
      </c>
      <c r="X567" s="35">
        <f>IF($F567="","",IFERROR(INDEX(사건마스터!$AV$5:$AV$64,MATCH($F567,사건마스터!$A$5:$A$64,0)),""))</f>
        <v/>
      </c>
      <c r="Y567" s="30">
        <f>IF($I567="","",COUNTIF($I567:$X567,"?*"))</f>
        <v/>
      </c>
      <c r="Z567" s="33">
        <f>IF($I567="","",_xlfn.TEXTJOIN(", ",TRUE,$I567:$X567))</f>
        <v/>
      </c>
      <c r="AA567" s="34">
        <f>IF($I567="","",IFERROR(INDEX(코드설정!$D$5:$D$24,MATCH($I567,코드설정!$C$5:$C$24,0)),""))</f>
        <v/>
      </c>
      <c r="AB567" s="36" t="n"/>
      <c r="AC567" s="37" t="n"/>
      <c r="AD567" s="38" t="n"/>
      <c r="AE567" s="30">
        <f>IF(OR($B567="",$C567=""),"",$C567-$B567+1)</f>
        <v/>
      </c>
      <c r="AF567" s="32" t="n"/>
      <c r="AG567" s="36" t="n"/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3">
        <f>IF($F568="","",IFERROR(INDEX(사건마스터!$B$5:$B$64,MATCH($F568,사건마스터!$A$5:$A$64,0)),""))</f>
        <v/>
      </c>
      <c r="H568" s="34">
        <f>IF($F568="","",IFERROR(INDEX(사건마스터!$C$5:$C$64,MATCH($F568,사건마스터!$A$5:$A$64,0)),""))</f>
        <v/>
      </c>
      <c r="I568" s="35">
        <f>IF($F568="","",IFERROR(INDEX(사건마스터!$H$5:$H$64,MATCH($F568,사건마스터!$A$5:$A$64,0)),""))</f>
        <v/>
      </c>
      <c r="J568" s="35">
        <f>IF($F568="","",IFERROR(INDEX(사건마스터!$AH$5:$AH$64,MATCH($F568,사건마스터!$A$5:$A$64,0)),""))</f>
        <v/>
      </c>
      <c r="K568" s="35">
        <f>IF($F568="","",IFERROR(INDEX(사건마스터!$AI$5:$AI$64,MATCH($F568,사건마스터!$A$5:$A$64,0)),""))</f>
        <v/>
      </c>
      <c r="L568" s="35">
        <f>IF($F568="","",IFERROR(INDEX(사건마스터!$AJ$5:$AJ$64,MATCH($F568,사건마스터!$A$5:$A$64,0)),""))</f>
        <v/>
      </c>
      <c r="M568" s="35">
        <f>IF($F568="","",IFERROR(INDEX(사건마스터!$AK$5:$AK$64,MATCH($F568,사건마스터!$A$5:$A$64,0)),""))</f>
        <v/>
      </c>
      <c r="N568" s="35">
        <f>IF($F568="","",IFERROR(INDEX(사건마스터!$AL$5:$AL$64,MATCH($F568,사건마스터!$A$5:$A$64,0)),""))</f>
        <v/>
      </c>
      <c r="O568" s="35">
        <f>IF($F568="","",IFERROR(INDEX(사건마스터!$AM$5:$AM$64,MATCH($F568,사건마스터!$A$5:$A$64,0)),""))</f>
        <v/>
      </c>
      <c r="P568" s="35">
        <f>IF($F568="","",IFERROR(INDEX(사건마스터!$AN$5:$AN$64,MATCH($F568,사건마스터!$A$5:$A$64,0)),""))</f>
        <v/>
      </c>
      <c r="Q568" s="35">
        <f>IF($F568="","",IFERROR(INDEX(사건마스터!$AO$5:$AO$64,MATCH($F568,사건마스터!$A$5:$A$64,0)),""))</f>
        <v/>
      </c>
      <c r="R568" s="35">
        <f>IF($F568="","",IFERROR(INDEX(사건마스터!$AP$5:$AP$64,MATCH($F568,사건마스터!$A$5:$A$64,0)),""))</f>
        <v/>
      </c>
      <c r="S568" s="35">
        <f>IF($F568="","",IFERROR(INDEX(사건마스터!$AQ$5:$AQ$64,MATCH($F568,사건마스터!$A$5:$A$64,0)),""))</f>
        <v/>
      </c>
      <c r="T568" s="35">
        <f>IF($F568="","",IFERROR(INDEX(사건마스터!$AR$5:$AR$64,MATCH($F568,사건마스터!$A$5:$A$64,0)),""))</f>
        <v/>
      </c>
      <c r="U568" s="35">
        <f>IF($F568="","",IFERROR(INDEX(사건마스터!$AS$5:$AS$64,MATCH($F568,사건마스터!$A$5:$A$64,0)),""))</f>
        <v/>
      </c>
      <c r="V568" s="35">
        <f>IF($F568="","",IFERROR(INDEX(사건마스터!$AT$5:$AT$64,MATCH($F568,사건마스터!$A$5:$A$64,0)),""))</f>
        <v/>
      </c>
      <c r="W568" s="35">
        <f>IF($F568="","",IFERROR(INDEX(사건마스터!$AU$5:$AU$64,MATCH($F568,사건마스터!$A$5:$A$64,0)),""))</f>
        <v/>
      </c>
      <c r="X568" s="35">
        <f>IF($F568="","",IFERROR(INDEX(사건마스터!$AV$5:$AV$64,MATCH($F568,사건마스터!$A$5:$A$64,0)),""))</f>
        <v/>
      </c>
      <c r="Y568" s="30">
        <f>IF($I568="","",COUNTIF($I568:$X568,"?*"))</f>
        <v/>
      </c>
      <c r="Z568" s="33">
        <f>IF($I568="","",_xlfn.TEXTJOIN(", ",TRUE,$I568:$X568))</f>
        <v/>
      </c>
      <c r="AA568" s="34">
        <f>IF($I568="","",IFERROR(INDEX(코드설정!$D$5:$D$24,MATCH($I568,코드설정!$C$5:$C$24,0)),""))</f>
        <v/>
      </c>
      <c r="AB568" s="36" t="n"/>
      <c r="AC568" s="37" t="n"/>
      <c r="AD568" s="38" t="n"/>
      <c r="AE568" s="30">
        <f>IF(OR($B568="",$C568=""),"",$C568-$B568+1)</f>
        <v/>
      </c>
      <c r="AF568" s="32" t="n"/>
      <c r="AG568" s="36" t="n"/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3">
        <f>IF($F569="","",IFERROR(INDEX(사건마스터!$B$5:$B$64,MATCH($F569,사건마스터!$A$5:$A$64,0)),""))</f>
        <v/>
      </c>
      <c r="H569" s="34">
        <f>IF($F569="","",IFERROR(INDEX(사건마스터!$C$5:$C$64,MATCH($F569,사건마스터!$A$5:$A$64,0)),""))</f>
        <v/>
      </c>
      <c r="I569" s="35">
        <f>IF($F569="","",IFERROR(INDEX(사건마스터!$H$5:$H$64,MATCH($F569,사건마스터!$A$5:$A$64,0)),""))</f>
        <v/>
      </c>
      <c r="J569" s="35">
        <f>IF($F569="","",IFERROR(INDEX(사건마스터!$AH$5:$AH$64,MATCH($F569,사건마스터!$A$5:$A$64,0)),""))</f>
        <v/>
      </c>
      <c r="K569" s="35">
        <f>IF($F569="","",IFERROR(INDEX(사건마스터!$AI$5:$AI$64,MATCH($F569,사건마스터!$A$5:$A$64,0)),""))</f>
        <v/>
      </c>
      <c r="L569" s="35">
        <f>IF($F569="","",IFERROR(INDEX(사건마스터!$AJ$5:$AJ$64,MATCH($F569,사건마스터!$A$5:$A$64,0)),""))</f>
        <v/>
      </c>
      <c r="M569" s="35">
        <f>IF($F569="","",IFERROR(INDEX(사건마스터!$AK$5:$AK$64,MATCH($F569,사건마스터!$A$5:$A$64,0)),""))</f>
        <v/>
      </c>
      <c r="N569" s="35">
        <f>IF($F569="","",IFERROR(INDEX(사건마스터!$AL$5:$AL$64,MATCH($F569,사건마스터!$A$5:$A$64,0)),""))</f>
        <v/>
      </c>
      <c r="O569" s="35">
        <f>IF($F569="","",IFERROR(INDEX(사건마스터!$AM$5:$AM$64,MATCH($F569,사건마스터!$A$5:$A$64,0)),""))</f>
        <v/>
      </c>
      <c r="P569" s="35">
        <f>IF($F569="","",IFERROR(INDEX(사건마스터!$AN$5:$AN$64,MATCH($F569,사건마스터!$A$5:$A$64,0)),""))</f>
        <v/>
      </c>
      <c r="Q569" s="35">
        <f>IF($F569="","",IFERROR(INDEX(사건마스터!$AO$5:$AO$64,MATCH($F569,사건마스터!$A$5:$A$64,0)),""))</f>
        <v/>
      </c>
      <c r="R569" s="35">
        <f>IF($F569="","",IFERROR(INDEX(사건마스터!$AP$5:$AP$64,MATCH($F569,사건마스터!$A$5:$A$64,0)),""))</f>
        <v/>
      </c>
      <c r="S569" s="35">
        <f>IF($F569="","",IFERROR(INDEX(사건마스터!$AQ$5:$AQ$64,MATCH($F569,사건마스터!$A$5:$A$64,0)),""))</f>
        <v/>
      </c>
      <c r="T569" s="35">
        <f>IF($F569="","",IFERROR(INDEX(사건마스터!$AR$5:$AR$64,MATCH($F569,사건마스터!$A$5:$A$64,0)),""))</f>
        <v/>
      </c>
      <c r="U569" s="35">
        <f>IF($F569="","",IFERROR(INDEX(사건마스터!$AS$5:$AS$64,MATCH($F569,사건마스터!$A$5:$A$64,0)),""))</f>
        <v/>
      </c>
      <c r="V569" s="35">
        <f>IF($F569="","",IFERROR(INDEX(사건마스터!$AT$5:$AT$64,MATCH($F569,사건마스터!$A$5:$A$64,0)),""))</f>
        <v/>
      </c>
      <c r="W569" s="35">
        <f>IF($F569="","",IFERROR(INDEX(사건마스터!$AU$5:$AU$64,MATCH($F569,사건마스터!$A$5:$A$64,0)),""))</f>
        <v/>
      </c>
      <c r="X569" s="35">
        <f>IF($F569="","",IFERROR(INDEX(사건마스터!$AV$5:$AV$64,MATCH($F569,사건마스터!$A$5:$A$64,0)),""))</f>
        <v/>
      </c>
      <c r="Y569" s="30">
        <f>IF($I569="","",COUNTIF($I569:$X569,"?*"))</f>
        <v/>
      </c>
      <c r="Z569" s="33">
        <f>IF($I569="","",_xlfn.TEXTJOIN(", ",TRUE,$I569:$X569))</f>
        <v/>
      </c>
      <c r="AA569" s="34">
        <f>IF($I569="","",IFERROR(INDEX(코드설정!$D$5:$D$24,MATCH($I569,코드설정!$C$5:$C$24,0)),""))</f>
        <v/>
      </c>
      <c r="AB569" s="36" t="n"/>
      <c r="AC569" s="37" t="n"/>
      <c r="AD569" s="38" t="n"/>
      <c r="AE569" s="30">
        <f>IF(OR($B569="",$C569=""),"",$C569-$B569+1)</f>
        <v/>
      </c>
      <c r="AF569" s="32" t="n"/>
      <c r="AG569" s="36" t="n"/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3">
        <f>IF($F570="","",IFERROR(INDEX(사건마스터!$B$5:$B$64,MATCH($F570,사건마스터!$A$5:$A$64,0)),""))</f>
        <v/>
      </c>
      <c r="H570" s="34">
        <f>IF($F570="","",IFERROR(INDEX(사건마스터!$C$5:$C$64,MATCH($F570,사건마스터!$A$5:$A$64,0)),""))</f>
        <v/>
      </c>
      <c r="I570" s="35">
        <f>IF($F570="","",IFERROR(INDEX(사건마스터!$H$5:$H$64,MATCH($F570,사건마스터!$A$5:$A$64,0)),""))</f>
        <v/>
      </c>
      <c r="J570" s="35">
        <f>IF($F570="","",IFERROR(INDEX(사건마스터!$AH$5:$AH$64,MATCH($F570,사건마스터!$A$5:$A$64,0)),""))</f>
        <v/>
      </c>
      <c r="K570" s="35">
        <f>IF($F570="","",IFERROR(INDEX(사건마스터!$AI$5:$AI$64,MATCH($F570,사건마스터!$A$5:$A$64,0)),""))</f>
        <v/>
      </c>
      <c r="L570" s="35">
        <f>IF($F570="","",IFERROR(INDEX(사건마스터!$AJ$5:$AJ$64,MATCH($F570,사건마스터!$A$5:$A$64,0)),""))</f>
        <v/>
      </c>
      <c r="M570" s="35">
        <f>IF($F570="","",IFERROR(INDEX(사건마스터!$AK$5:$AK$64,MATCH($F570,사건마스터!$A$5:$A$64,0)),""))</f>
        <v/>
      </c>
      <c r="N570" s="35">
        <f>IF($F570="","",IFERROR(INDEX(사건마스터!$AL$5:$AL$64,MATCH($F570,사건마스터!$A$5:$A$64,0)),""))</f>
        <v/>
      </c>
      <c r="O570" s="35">
        <f>IF($F570="","",IFERROR(INDEX(사건마스터!$AM$5:$AM$64,MATCH($F570,사건마스터!$A$5:$A$64,0)),""))</f>
        <v/>
      </c>
      <c r="P570" s="35">
        <f>IF($F570="","",IFERROR(INDEX(사건마스터!$AN$5:$AN$64,MATCH($F570,사건마스터!$A$5:$A$64,0)),""))</f>
        <v/>
      </c>
      <c r="Q570" s="35">
        <f>IF($F570="","",IFERROR(INDEX(사건마스터!$AO$5:$AO$64,MATCH($F570,사건마스터!$A$5:$A$64,0)),""))</f>
        <v/>
      </c>
      <c r="R570" s="35">
        <f>IF($F570="","",IFERROR(INDEX(사건마스터!$AP$5:$AP$64,MATCH($F570,사건마스터!$A$5:$A$64,0)),""))</f>
        <v/>
      </c>
      <c r="S570" s="35">
        <f>IF($F570="","",IFERROR(INDEX(사건마스터!$AQ$5:$AQ$64,MATCH($F570,사건마스터!$A$5:$A$64,0)),""))</f>
        <v/>
      </c>
      <c r="T570" s="35">
        <f>IF($F570="","",IFERROR(INDEX(사건마스터!$AR$5:$AR$64,MATCH($F570,사건마스터!$A$5:$A$64,0)),""))</f>
        <v/>
      </c>
      <c r="U570" s="35">
        <f>IF($F570="","",IFERROR(INDEX(사건마스터!$AS$5:$AS$64,MATCH($F570,사건마스터!$A$5:$A$64,0)),""))</f>
        <v/>
      </c>
      <c r="V570" s="35">
        <f>IF($F570="","",IFERROR(INDEX(사건마스터!$AT$5:$AT$64,MATCH($F570,사건마스터!$A$5:$A$64,0)),""))</f>
        <v/>
      </c>
      <c r="W570" s="35">
        <f>IF($F570="","",IFERROR(INDEX(사건마스터!$AU$5:$AU$64,MATCH($F570,사건마스터!$A$5:$A$64,0)),""))</f>
        <v/>
      </c>
      <c r="X570" s="35">
        <f>IF($F570="","",IFERROR(INDEX(사건마스터!$AV$5:$AV$64,MATCH($F570,사건마스터!$A$5:$A$64,0)),""))</f>
        <v/>
      </c>
      <c r="Y570" s="30">
        <f>IF($I570="","",COUNTIF($I570:$X570,"?*"))</f>
        <v/>
      </c>
      <c r="Z570" s="33">
        <f>IF($I570="","",_xlfn.TEXTJOIN(", ",TRUE,$I570:$X570))</f>
        <v/>
      </c>
      <c r="AA570" s="34">
        <f>IF($I570="","",IFERROR(INDEX(코드설정!$D$5:$D$24,MATCH($I570,코드설정!$C$5:$C$24,0)),""))</f>
        <v/>
      </c>
      <c r="AB570" s="36" t="n"/>
      <c r="AC570" s="37" t="n"/>
      <c r="AD570" s="38" t="n"/>
      <c r="AE570" s="30">
        <f>IF(OR($B570="",$C570=""),"",$C570-$B570+1)</f>
        <v/>
      </c>
      <c r="AF570" s="32" t="n"/>
      <c r="AG570" s="36" t="n"/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3">
        <f>IF($F571="","",IFERROR(INDEX(사건마스터!$B$5:$B$64,MATCH($F571,사건마스터!$A$5:$A$64,0)),""))</f>
        <v/>
      </c>
      <c r="H571" s="34">
        <f>IF($F571="","",IFERROR(INDEX(사건마스터!$C$5:$C$64,MATCH($F571,사건마스터!$A$5:$A$64,0)),""))</f>
        <v/>
      </c>
      <c r="I571" s="35">
        <f>IF($F571="","",IFERROR(INDEX(사건마스터!$H$5:$H$64,MATCH($F571,사건마스터!$A$5:$A$64,0)),""))</f>
        <v/>
      </c>
      <c r="J571" s="35">
        <f>IF($F571="","",IFERROR(INDEX(사건마스터!$AH$5:$AH$64,MATCH($F571,사건마스터!$A$5:$A$64,0)),""))</f>
        <v/>
      </c>
      <c r="K571" s="35">
        <f>IF($F571="","",IFERROR(INDEX(사건마스터!$AI$5:$AI$64,MATCH($F571,사건마스터!$A$5:$A$64,0)),""))</f>
        <v/>
      </c>
      <c r="L571" s="35">
        <f>IF($F571="","",IFERROR(INDEX(사건마스터!$AJ$5:$AJ$64,MATCH($F571,사건마스터!$A$5:$A$64,0)),""))</f>
        <v/>
      </c>
      <c r="M571" s="35">
        <f>IF($F571="","",IFERROR(INDEX(사건마스터!$AK$5:$AK$64,MATCH($F571,사건마스터!$A$5:$A$64,0)),""))</f>
        <v/>
      </c>
      <c r="N571" s="35">
        <f>IF($F571="","",IFERROR(INDEX(사건마스터!$AL$5:$AL$64,MATCH($F571,사건마스터!$A$5:$A$64,0)),""))</f>
        <v/>
      </c>
      <c r="O571" s="35">
        <f>IF($F571="","",IFERROR(INDEX(사건마스터!$AM$5:$AM$64,MATCH($F571,사건마스터!$A$5:$A$64,0)),""))</f>
        <v/>
      </c>
      <c r="P571" s="35">
        <f>IF($F571="","",IFERROR(INDEX(사건마스터!$AN$5:$AN$64,MATCH($F571,사건마스터!$A$5:$A$64,0)),""))</f>
        <v/>
      </c>
      <c r="Q571" s="35">
        <f>IF($F571="","",IFERROR(INDEX(사건마스터!$AO$5:$AO$64,MATCH($F571,사건마스터!$A$5:$A$64,0)),""))</f>
        <v/>
      </c>
      <c r="R571" s="35">
        <f>IF($F571="","",IFERROR(INDEX(사건마스터!$AP$5:$AP$64,MATCH($F571,사건마스터!$A$5:$A$64,0)),""))</f>
        <v/>
      </c>
      <c r="S571" s="35">
        <f>IF($F571="","",IFERROR(INDEX(사건마스터!$AQ$5:$AQ$64,MATCH($F571,사건마스터!$A$5:$A$64,0)),""))</f>
        <v/>
      </c>
      <c r="T571" s="35">
        <f>IF($F571="","",IFERROR(INDEX(사건마스터!$AR$5:$AR$64,MATCH($F571,사건마스터!$A$5:$A$64,0)),""))</f>
        <v/>
      </c>
      <c r="U571" s="35">
        <f>IF($F571="","",IFERROR(INDEX(사건마스터!$AS$5:$AS$64,MATCH($F571,사건마스터!$A$5:$A$64,0)),""))</f>
        <v/>
      </c>
      <c r="V571" s="35">
        <f>IF($F571="","",IFERROR(INDEX(사건마스터!$AT$5:$AT$64,MATCH($F571,사건마스터!$A$5:$A$64,0)),""))</f>
        <v/>
      </c>
      <c r="W571" s="35">
        <f>IF($F571="","",IFERROR(INDEX(사건마스터!$AU$5:$AU$64,MATCH($F571,사건마스터!$A$5:$A$64,0)),""))</f>
        <v/>
      </c>
      <c r="X571" s="35">
        <f>IF($F571="","",IFERROR(INDEX(사건마스터!$AV$5:$AV$64,MATCH($F571,사건마스터!$A$5:$A$64,0)),""))</f>
        <v/>
      </c>
      <c r="Y571" s="30">
        <f>IF($I571="","",COUNTIF($I571:$X571,"?*"))</f>
        <v/>
      </c>
      <c r="Z571" s="33">
        <f>IF($I571="","",_xlfn.TEXTJOIN(", ",TRUE,$I571:$X571))</f>
        <v/>
      </c>
      <c r="AA571" s="34">
        <f>IF($I571="","",IFERROR(INDEX(코드설정!$D$5:$D$24,MATCH($I571,코드설정!$C$5:$C$24,0)),""))</f>
        <v/>
      </c>
      <c r="AB571" s="36" t="n"/>
      <c r="AC571" s="37" t="n"/>
      <c r="AD571" s="38" t="n"/>
      <c r="AE571" s="30">
        <f>IF(OR($B571="",$C571=""),"",$C571-$B571+1)</f>
        <v/>
      </c>
      <c r="AF571" s="32" t="n"/>
      <c r="AG571" s="36" t="n"/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3">
        <f>IF($F572="","",IFERROR(INDEX(사건마스터!$B$5:$B$64,MATCH($F572,사건마스터!$A$5:$A$64,0)),""))</f>
        <v/>
      </c>
      <c r="H572" s="34">
        <f>IF($F572="","",IFERROR(INDEX(사건마스터!$C$5:$C$64,MATCH($F572,사건마스터!$A$5:$A$64,0)),""))</f>
        <v/>
      </c>
      <c r="I572" s="35">
        <f>IF($F572="","",IFERROR(INDEX(사건마스터!$H$5:$H$64,MATCH($F572,사건마스터!$A$5:$A$64,0)),""))</f>
        <v/>
      </c>
      <c r="J572" s="35">
        <f>IF($F572="","",IFERROR(INDEX(사건마스터!$AH$5:$AH$64,MATCH($F572,사건마스터!$A$5:$A$64,0)),""))</f>
        <v/>
      </c>
      <c r="K572" s="35">
        <f>IF($F572="","",IFERROR(INDEX(사건마스터!$AI$5:$AI$64,MATCH($F572,사건마스터!$A$5:$A$64,0)),""))</f>
        <v/>
      </c>
      <c r="L572" s="35">
        <f>IF($F572="","",IFERROR(INDEX(사건마스터!$AJ$5:$AJ$64,MATCH($F572,사건마스터!$A$5:$A$64,0)),""))</f>
        <v/>
      </c>
      <c r="M572" s="35">
        <f>IF($F572="","",IFERROR(INDEX(사건마스터!$AK$5:$AK$64,MATCH($F572,사건마스터!$A$5:$A$64,0)),""))</f>
        <v/>
      </c>
      <c r="N572" s="35">
        <f>IF($F572="","",IFERROR(INDEX(사건마스터!$AL$5:$AL$64,MATCH($F572,사건마스터!$A$5:$A$64,0)),""))</f>
        <v/>
      </c>
      <c r="O572" s="35">
        <f>IF($F572="","",IFERROR(INDEX(사건마스터!$AM$5:$AM$64,MATCH($F572,사건마스터!$A$5:$A$64,0)),""))</f>
        <v/>
      </c>
      <c r="P572" s="35">
        <f>IF($F572="","",IFERROR(INDEX(사건마스터!$AN$5:$AN$64,MATCH($F572,사건마스터!$A$5:$A$64,0)),""))</f>
        <v/>
      </c>
      <c r="Q572" s="35">
        <f>IF($F572="","",IFERROR(INDEX(사건마스터!$AO$5:$AO$64,MATCH($F572,사건마스터!$A$5:$A$64,0)),""))</f>
        <v/>
      </c>
      <c r="R572" s="35">
        <f>IF($F572="","",IFERROR(INDEX(사건마스터!$AP$5:$AP$64,MATCH($F572,사건마스터!$A$5:$A$64,0)),""))</f>
        <v/>
      </c>
      <c r="S572" s="35">
        <f>IF($F572="","",IFERROR(INDEX(사건마스터!$AQ$5:$AQ$64,MATCH($F572,사건마스터!$A$5:$A$64,0)),""))</f>
        <v/>
      </c>
      <c r="T572" s="35">
        <f>IF($F572="","",IFERROR(INDEX(사건마스터!$AR$5:$AR$64,MATCH($F572,사건마스터!$A$5:$A$64,0)),""))</f>
        <v/>
      </c>
      <c r="U572" s="35">
        <f>IF($F572="","",IFERROR(INDEX(사건마스터!$AS$5:$AS$64,MATCH($F572,사건마스터!$A$5:$A$64,0)),""))</f>
        <v/>
      </c>
      <c r="V572" s="35">
        <f>IF($F572="","",IFERROR(INDEX(사건마스터!$AT$5:$AT$64,MATCH($F572,사건마스터!$A$5:$A$64,0)),""))</f>
        <v/>
      </c>
      <c r="W572" s="35">
        <f>IF($F572="","",IFERROR(INDEX(사건마스터!$AU$5:$AU$64,MATCH($F572,사건마스터!$A$5:$A$64,0)),""))</f>
        <v/>
      </c>
      <c r="X572" s="35">
        <f>IF($F572="","",IFERROR(INDEX(사건마스터!$AV$5:$AV$64,MATCH($F572,사건마스터!$A$5:$A$64,0)),""))</f>
        <v/>
      </c>
      <c r="Y572" s="30">
        <f>IF($I572="","",COUNTIF($I572:$X572,"?*"))</f>
        <v/>
      </c>
      <c r="Z572" s="33">
        <f>IF($I572="","",_xlfn.TEXTJOIN(", ",TRUE,$I572:$X572))</f>
        <v/>
      </c>
      <c r="AA572" s="34">
        <f>IF($I572="","",IFERROR(INDEX(코드설정!$D$5:$D$24,MATCH($I572,코드설정!$C$5:$C$24,0)),""))</f>
        <v/>
      </c>
      <c r="AB572" s="36" t="n"/>
      <c r="AC572" s="37" t="n"/>
      <c r="AD572" s="38" t="n"/>
      <c r="AE572" s="30">
        <f>IF(OR($B572="",$C572=""),"",$C572-$B572+1)</f>
        <v/>
      </c>
      <c r="AF572" s="32" t="n"/>
      <c r="AG572" s="36" t="n"/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3">
        <f>IF($F573="","",IFERROR(INDEX(사건마스터!$B$5:$B$64,MATCH($F573,사건마스터!$A$5:$A$64,0)),""))</f>
        <v/>
      </c>
      <c r="H573" s="34">
        <f>IF($F573="","",IFERROR(INDEX(사건마스터!$C$5:$C$64,MATCH($F573,사건마스터!$A$5:$A$64,0)),""))</f>
        <v/>
      </c>
      <c r="I573" s="35">
        <f>IF($F573="","",IFERROR(INDEX(사건마스터!$H$5:$H$64,MATCH($F573,사건마스터!$A$5:$A$64,0)),""))</f>
        <v/>
      </c>
      <c r="J573" s="35">
        <f>IF($F573="","",IFERROR(INDEX(사건마스터!$AH$5:$AH$64,MATCH($F573,사건마스터!$A$5:$A$64,0)),""))</f>
        <v/>
      </c>
      <c r="K573" s="35">
        <f>IF($F573="","",IFERROR(INDEX(사건마스터!$AI$5:$AI$64,MATCH($F573,사건마스터!$A$5:$A$64,0)),""))</f>
        <v/>
      </c>
      <c r="L573" s="35">
        <f>IF($F573="","",IFERROR(INDEX(사건마스터!$AJ$5:$AJ$64,MATCH($F573,사건마스터!$A$5:$A$64,0)),""))</f>
        <v/>
      </c>
      <c r="M573" s="35">
        <f>IF($F573="","",IFERROR(INDEX(사건마스터!$AK$5:$AK$64,MATCH($F573,사건마스터!$A$5:$A$64,0)),""))</f>
        <v/>
      </c>
      <c r="N573" s="35">
        <f>IF($F573="","",IFERROR(INDEX(사건마스터!$AL$5:$AL$64,MATCH($F573,사건마스터!$A$5:$A$64,0)),""))</f>
        <v/>
      </c>
      <c r="O573" s="35">
        <f>IF($F573="","",IFERROR(INDEX(사건마스터!$AM$5:$AM$64,MATCH($F573,사건마스터!$A$5:$A$64,0)),""))</f>
        <v/>
      </c>
      <c r="P573" s="35">
        <f>IF($F573="","",IFERROR(INDEX(사건마스터!$AN$5:$AN$64,MATCH($F573,사건마스터!$A$5:$A$64,0)),""))</f>
        <v/>
      </c>
      <c r="Q573" s="35">
        <f>IF($F573="","",IFERROR(INDEX(사건마스터!$AO$5:$AO$64,MATCH($F573,사건마스터!$A$5:$A$64,0)),""))</f>
        <v/>
      </c>
      <c r="R573" s="35">
        <f>IF($F573="","",IFERROR(INDEX(사건마스터!$AP$5:$AP$64,MATCH($F573,사건마스터!$A$5:$A$64,0)),""))</f>
        <v/>
      </c>
      <c r="S573" s="35">
        <f>IF($F573="","",IFERROR(INDEX(사건마스터!$AQ$5:$AQ$64,MATCH($F573,사건마스터!$A$5:$A$64,0)),""))</f>
        <v/>
      </c>
      <c r="T573" s="35">
        <f>IF($F573="","",IFERROR(INDEX(사건마스터!$AR$5:$AR$64,MATCH($F573,사건마스터!$A$5:$A$64,0)),""))</f>
        <v/>
      </c>
      <c r="U573" s="35">
        <f>IF($F573="","",IFERROR(INDEX(사건마스터!$AS$5:$AS$64,MATCH($F573,사건마스터!$A$5:$A$64,0)),""))</f>
        <v/>
      </c>
      <c r="V573" s="35">
        <f>IF($F573="","",IFERROR(INDEX(사건마스터!$AT$5:$AT$64,MATCH($F573,사건마스터!$A$5:$A$64,0)),""))</f>
        <v/>
      </c>
      <c r="W573" s="35">
        <f>IF($F573="","",IFERROR(INDEX(사건마스터!$AU$5:$AU$64,MATCH($F573,사건마스터!$A$5:$A$64,0)),""))</f>
        <v/>
      </c>
      <c r="X573" s="35">
        <f>IF($F573="","",IFERROR(INDEX(사건마스터!$AV$5:$AV$64,MATCH($F573,사건마스터!$A$5:$A$64,0)),""))</f>
        <v/>
      </c>
      <c r="Y573" s="30">
        <f>IF($I573="","",COUNTIF($I573:$X573,"?*"))</f>
        <v/>
      </c>
      <c r="Z573" s="33">
        <f>IF($I573="","",_xlfn.TEXTJOIN(", ",TRUE,$I573:$X573))</f>
        <v/>
      </c>
      <c r="AA573" s="34">
        <f>IF($I573="","",IFERROR(INDEX(코드설정!$D$5:$D$24,MATCH($I573,코드설정!$C$5:$C$24,0)),""))</f>
        <v/>
      </c>
      <c r="AB573" s="36" t="n"/>
      <c r="AC573" s="37" t="n"/>
      <c r="AD573" s="38" t="n"/>
      <c r="AE573" s="30">
        <f>IF(OR($B573="",$C573=""),"",$C573-$B573+1)</f>
        <v/>
      </c>
      <c r="AF573" s="32" t="n"/>
      <c r="AG573" s="36" t="n"/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3">
        <f>IF($F574="","",IFERROR(INDEX(사건마스터!$B$5:$B$64,MATCH($F574,사건마스터!$A$5:$A$64,0)),""))</f>
        <v/>
      </c>
      <c r="H574" s="34">
        <f>IF($F574="","",IFERROR(INDEX(사건마스터!$C$5:$C$64,MATCH($F574,사건마스터!$A$5:$A$64,0)),""))</f>
        <v/>
      </c>
      <c r="I574" s="35">
        <f>IF($F574="","",IFERROR(INDEX(사건마스터!$H$5:$H$64,MATCH($F574,사건마스터!$A$5:$A$64,0)),""))</f>
        <v/>
      </c>
      <c r="J574" s="35">
        <f>IF($F574="","",IFERROR(INDEX(사건마스터!$AH$5:$AH$64,MATCH($F574,사건마스터!$A$5:$A$64,0)),""))</f>
        <v/>
      </c>
      <c r="K574" s="35">
        <f>IF($F574="","",IFERROR(INDEX(사건마스터!$AI$5:$AI$64,MATCH($F574,사건마스터!$A$5:$A$64,0)),""))</f>
        <v/>
      </c>
      <c r="L574" s="35">
        <f>IF($F574="","",IFERROR(INDEX(사건마스터!$AJ$5:$AJ$64,MATCH($F574,사건마스터!$A$5:$A$64,0)),""))</f>
        <v/>
      </c>
      <c r="M574" s="35">
        <f>IF($F574="","",IFERROR(INDEX(사건마스터!$AK$5:$AK$64,MATCH($F574,사건마스터!$A$5:$A$64,0)),""))</f>
        <v/>
      </c>
      <c r="N574" s="35">
        <f>IF($F574="","",IFERROR(INDEX(사건마스터!$AL$5:$AL$64,MATCH($F574,사건마스터!$A$5:$A$64,0)),""))</f>
        <v/>
      </c>
      <c r="O574" s="35">
        <f>IF($F574="","",IFERROR(INDEX(사건마스터!$AM$5:$AM$64,MATCH($F574,사건마스터!$A$5:$A$64,0)),""))</f>
        <v/>
      </c>
      <c r="P574" s="35">
        <f>IF($F574="","",IFERROR(INDEX(사건마스터!$AN$5:$AN$64,MATCH($F574,사건마스터!$A$5:$A$64,0)),""))</f>
        <v/>
      </c>
      <c r="Q574" s="35">
        <f>IF($F574="","",IFERROR(INDEX(사건마스터!$AO$5:$AO$64,MATCH($F574,사건마스터!$A$5:$A$64,0)),""))</f>
        <v/>
      </c>
      <c r="R574" s="35">
        <f>IF($F574="","",IFERROR(INDEX(사건마스터!$AP$5:$AP$64,MATCH($F574,사건마스터!$A$5:$A$64,0)),""))</f>
        <v/>
      </c>
      <c r="S574" s="35">
        <f>IF($F574="","",IFERROR(INDEX(사건마스터!$AQ$5:$AQ$64,MATCH($F574,사건마스터!$A$5:$A$64,0)),""))</f>
        <v/>
      </c>
      <c r="T574" s="35">
        <f>IF($F574="","",IFERROR(INDEX(사건마스터!$AR$5:$AR$64,MATCH($F574,사건마스터!$A$5:$A$64,0)),""))</f>
        <v/>
      </c>
      <c r="U574" s="35">
        <f>IF($F574="","",IFERROR(INDEX(사건마스터!$AS$5:$AS$64,MATCH($F574,사건마스터!$A$5:$A$64,0)),""))</f>
        <v/>
      </c>
      <c r="V574" s="35">
        <f>IF($F574="","",IFERROR(INDEX(사건마스터!$AT$5:$AT$64,MATCH($F574,사건마스터!$A$5:$A$64,0)),""))</f>
        <v/>
      </c>
      <c r="W574" s="35">
        <f>IF($F574="","",IFERROR(INDEX(사건마스터!$AU$5:$AU$64,MATCH($F574,사건마스터!$A$5:$A$64,0)),""))</f>
        <v/>
      </c>
      <c r="X574" s="35">
        <f>IF($F574="","",IFERROR(INDEX(사건마스터!$AV$5:$AV$64,MATCH($F574,사건마스터!$A$5:$A$64,0)),""))</f>
        <v/>
      </c>
      <c r="Y574" s="30">
        <f>IF($I574="","",COUNTIF($I574:$X574,"?*"))</f>
        <v/>
      </c>
      <c r="Z574" s="33">
        <f>IF($I574="","",_xlfn.TEXTJOIN(", ",TRUE,$I574:$X574))</f>
        <v/>
      </c>
      <c r="AA574" s="34">
        <f>IF($I574="","",IFERROR(INDEX(코드설정!$D$5:$D$24,MATCH($I574,코드설정!$C$5:$C$24,0)),""))</f>
        <v/>
      </c>
      <c r="AB574" s="36" t="n"/>
      <c r="AC574" s="37" t="n"/>
      <c r="AD574" s="38" t="n"/>
      <c r="AE574" s="30">
        <f>IF(OR($B574="",$C574=""),"",$C574-$B574+1)</f>
        <v/>
      </c>
      <c r="AF574" s="32" t="n"/>
      <c r="AG574" s="36" t="n"/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3">
        <f>IF($F575="","",IFERROR(INDEX(사건마스터!$B$5:$B$64,MATCH($F575,사건마스터!$A$5:$A$64,0)),""))</f>
        <v/>
      </c>
      <c r="H575" s="34">
        <f>IF($F575="","",IFERROR(INDEX(사건마스터!$C$5:$C$64,MATCH($F575,사건마스터!$A$5:$A$64,0)),""))</f>
        <v/>
      </c>
      <c r="I575" s="35">
        <f>IF($F575="","",IFERROR(INDEX(사건마스터!$H$5:$H$64,MATCH($F575,사건마스터!$A$5:$A$64,0)),""))</f>
        <v/>
      </c>
      <c r="J575" s="35">
        <f>IF($F575="","",IFERROR(INDEX(사건마스터!$AH$5:$AH$64,MATCH($F575,사건마스터!$A$5:$A$64,0)),""))</f>
        <v/>
      </c>
      <c r="K575" s="35">
        <f>IF($F575="","",IFERROR(INDEX(사건마스터!$AI$5:$AI$64,MATCH($F575,사건마스터!$A$5:$A$64,0)),""))</f>
        <v/>
      </c>
      <c r="L575" s="35">
        <f>IF($F575="","",IFERROR(INDEX(사건마스터!$AJ$5:$AJ$64,MATCH($F575,사건마스터!$A$5:$A$64,0)),""))</f>
        <v/>
      </c>
      <c r="M575" s="35">
        <f>IF($F575="","",IFERROR(INDEX(사건마스터!$AK$5:$AK$64,MATCH($F575,사건마스터!$A$5:$A$64,0)),""))</f>
        <v/>
      </c>
      <c r="N575" s="35">
        <f>IF($F575="","",IFERROR(INDEX(사건마스터!$AL$5:$AL$64,MATCH($F575,사건마스터!$A$5:$A$64,0)),""))</f>
        <v/>
      </c>
      <c r="O575" s="35">
        <f>IF($F575="","",IFERROR(INDEX(사건마스터!$AM$5:$AM$64,MATCH($F575,사건마스터!$A$5:$A$64,0)),""))</f>
        <v/>
      </c>
      <c r="P575" s="35">
        <f>IF($F575="","",IFERROR(INDEX(사건마스터!$AN$5:$AN$64,MATCH($F575,사건마스터!$A$5:$A$64,0)),""))</f>
        <v/>
      </c>
      <c r="Q575" s="35">
        <f>IF($F575="","",IFERROR(INDEX(사건마스터!$AO$5:$AO$64,MATCH($F575,사건마스터!$A$5:$A$64,0)),""))</f>
        <v/>
      </c>
      <c r="R575" s="35">
        <f>IF($F575="","",IFERROR(INDEX(사건마스터!$AP$5:$AP$64,MATCH($F575,사건마스터!$A$5:$A$64,0)),""))</f>
        <v/>
      </c>
      <c r="S575" s="35">
        <f>IF($F575="","",IFERROR(INDEX(사건마스터!$AQ$5:$AQ$64,MATCH($F575,사건마스터!$A$5:$A$64,0)),""))</f>
        <v/>
      </c>
      <c r="T575" s="35">
        <f>IF($F575="","",IFERROR(INDEX(사건마스터!$AR$5:$AR$64,MATCH($F575,사건마스터!$A$5:$A$64,0)),""))</f>
        <v/>
      </c>
      <c r="U575" s="35">
        <f>IF($F575="","",IFERROR(INDEX(사건마스터!$AS$5:$AS$64,MATCH($F575,사건마스터!$A$5:$A$64,0)),""))</f>
        <v/>
      </c>
      <c r="V575" s="35">
        <f>IF($F575="","",IFERROR(INDEX(사건마스터!$AT$5:$AT$64,MATCH($F575,사건마스터!$A$5:$A$64,0)),""))</f>
        <v/>
      </c>
      <c r="W575" s="35">
        <f>IF($F575="","",IFERROR(INDEX(사건마스터!$AU$5:$AU$64,MATCH($F575,사건마스터!$A$5:$A$64,0)),""))</f>
        <v/>
      </c>
      <c r="X575" s="35">
        <f>IF($F575="","",IFERROR(INDEX(사건마스터!$AV$5:$AV$64,MATCH($F575,사건마스터!$A$5:$A$64,0)),""))</f>
        <v/>
      </c>
      <c r="Y575" s="30">
        <f>IF($I575="","",COUNTIF($I575:$X575,"?*"))</f>
        <v/>
      </c>
      <c r="Z575" s="33">
        <f>IF($I575="","",_xlfn.TEXTJOIN(", ",TRUE,$I575:$X575))</f>
        <v/>
      </c>
      <c r="AA575" s="34">
        <f>IF($I575="","",IFERROR(INDEX(코드설정!$D$5:$D$24,MATCH($I575,코드설정!$C$5:$C$24,0)),""))</f>
        <v/>
      </c>
      <c r="AB575" s="36" t="n"/>
      <c r="AC575" s="37" t="n"/>
      <c r="AD575" s="38" t="n"/>
      <c r="AE575" s="30">
        <f>IF(OR($B575="",$C575=""),"",$C575-$B575+1)</f>
        <v/>
      </c>
      <c r="AF575" s="32" t="n"/>
      <c r="AG575" s="36" t="n"/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3">
        <f>IF($F576="","",IFERROR(INDEX(사건마스터!$B$5:$B$64,MATCH($F576,사건마스터!$A$5:$A$64,0)),""))</f>
        <v/>
      </c>
      <c r="H576" s="34">
        <f>IF($F576="","",IFERROR(INDEX(사건마스터!$C$5:$C$64,MATCH($F576,사건마스터!$A$5:$A$64,0)),""))</f>
        <v/>
      </c>
      <c r="I576" s="35">
        <f>IF($F576="","",IFERROR(INDEX(사건마스터!$H$5:$H$64,MATCH($F576,사건마스터!$A$5:$A$64,0)),""))</f>
        <v/>
      </c>
      <c r="J576" s="35">
        <f>IF($F576="","",IFERROR(INDEX(사건마스터!$AH$5:$AH$64,MATCH($F576,사건마스터!$A$5:$A$64,0)),""))</f>
        <v/>
      </c>
      <c r="K576" s="35">
        <f>IF($F576="","",IFERROR(INDEX(사건마스터!$AI$5:$AI$64,MATCH($F576,사건마스터!$A$5:$A$64,0)),""))</f>
        <v/>
      </c>
      <c r="L576" s="35">
        <f>IF($F576="","",IFERROR(INDEX(사건마스터!$AJ$5:$AJ$64,MATCH($F576,사건마스터!$A$5:$A$64,0)),""))</f>
        <v/>
      </c>
      <c r="M576" s="35">
        <f>IF($F576="","",IFERROR(INDEX(사건마스터!$AK$5:$AK$64,MATCH($F576,사건마스터!$A$5:$A$64,0)),""))</f>
        <v/>
      </c>
      <c r="N576" s="35">
        <f>IF($F576="","",IFERROR(INDEX(사건마스터!$AL$5:$AL$64,MATCH($F576,사건마스터!$A$5:$A$64,0)),""))</f>
        <v/>
      </c>
      <c r="O576" s="35">
        <f>IF($F576="","",IFERROR(INDEX(사건마스터!$AM$5:$AM$64,MATCH($F576,사건마스터!$A$5:$A$64,0)),""))</f>
        <v/>
      </c>
      <c r="P576" s="35">
        <f>IF($F576="","",IFERROR(INDEX(사건마스터!$AN$5:$AN$64,MATCH($F576,사건마스터!$A$5:$A$64,0)),""))</f>
        <v/>
      </c>
      <c r="Q576" s="35">
        <f>IF($F576="","",IFERROR(INDEX(사건마스터!$AO$5:$AO$64,MATCH($F576,사건마스터!$A$5:$A$64,0)),""))</f>
        <v/>
      </c>
      <c r="R576" s="35">
        <f>IF($F576="","",IFERROR(INDEX(사건마스터!$AP$5:$AP$64,MATCH($F576,사건마스터!$A$5:$A$64,0)),""))</f>
        <v/>
      </c>
      <c r="S576" s="35">
        <f>IF($F576="","",IFERROR(INDEX(사건마스터!$AQ$5:$AQ$64,MATCH($F576,사건마스터!$A$5:$A$64,0)),""))</f>
        <v/>
      </c>
      <c r="T576" s="35">
        <f>IF($F576="","",IFERROR(INDEX(사건마스터!$AR$5:$AR$64,MATCH($F576,사건마스터!$A$5:$A$64,0)),""))</f>
        <v/>
      </c>
      <c r="U576" s="35">
        <f>IF($F576="","",IFERROR(INDEX(사건마스터!$AS$5:$AS$64,MATCH($F576,사건마스터!$A$5:$A$64,0)),""))</f>
        <v/>
      </c>
      <c r="V576" s="35">
        <f>IF($F576="","",IFERROR(INDEX(사건마스터!$AT$5:$AT$64,MATCH($F576,사건마스터!$A$5:$A$64,0)),""))</f>
        <v/>
      </c>
      <c r="W576" s="35">
        <f>IF($F576="","",IFERROR(INDEX(사건마스터!$AU$5:$AU$64,MATCH($F576,사건마스터!$A$5:$A$64,0)),""))</f>
        <v/>
      </c>
      <c r="X576" s="35">
        <f>IF($F576="","",IFERROR(INDEX(사건마스터!$AV$5:$AV$64,MATCH($F576,사건마스터!$A$5:$A$64,0)),""))</f>
        <v/>
      </c>
      <c r="Y576" s="30">
        <f>IF($I576="","",COUNTIF($I576:$X576,"?*"))</f>
        <v/>
      </c>
      <c r="Z576" s="33">
        <f>IF($I576="","",_xlfn.TEXTJOIN(", ",TRUE,$I576:$X576))</f>
        <v/>
      </c>
      <c r="AA576" s="34">
        <f>IF($I576="","",IFERROR(INDEX(코드설정!$D$5:$D$24,MATCH($I576,코드설정!$C$5:$C$24,0)),""))</f>
        <v/>
      </c>
      <c r="AB576" s="36" t="n"/>
      <c r="AC576" s="37" t="n"/>
      <c r="AD576" s="38" t="n"/>
      <c r="AE576" s="30">
        <f>IF(OR($B576="",$C576=""),"",$C576-$B576+1)</f>
        <v/>
      </c>
      <c r="AF576" s="32" t="n"/>
      <c r="AG576" s="36" t="n"/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3">
        <f>IF($F577="","",IFERROR(INDEX(사건마스터!$B$5:$B$64,MATCH($F577,사건마스터!$A$5:$A$64,0)),""))</f>
        <v/>
      </c>
      <c r="H577" s="34">
        <f>IF($F577="","",IFERROR(INDEX(사건마스터!$C$5:$C$64,MATCH($F577,사건마스터!$A$5:$A$64,0)),""))</f>
        <v/>
      </c>
      <c r="I577" s="35">
        <f>IF($F577="","",IFERROR(INDEX(사건마스터!$H$5:$H$64,MATCH($F577,사건마스터!$A$5:$A$64,0)),""))</f>
        <v/>
      </c>
      <c r="J577" s="35">
        <f>IF($F577="","",IFERROR(INDEX(사건마스터!$AH$5:$AH$64,MATCH($F577,사건마스터!$A$5:$A$64,0)),""))</f>
        <v/>
      </c>
      <c r="K577" s="35">
        <f>IF($F577="","",IFERROR(INDEX(사건마스터!$AI$5:$AI$64,MATCH($F577,사건마스터!$A$5:$A$64,0)),""))</f>
        <v/>
      </c>
      <c r="L577" s="35">
        <f>IF($F577="","",IFERROR(INDEX(사건마스터!$AJ$5:$AJ$64,MATCH($F577,사건마스터!$A$5:$A$64,0)),""))</f>
        <v/>
      </c>
      <c r="M577" s="35">
        <f>IF($F577="","",IFERROR(INDEX(사건마스터!$AK$5:$AK$64,MATCH($F577,사건마스터!$A$5:$A$64,0)),""))</f>
        <v/>
      </c>
      <c r="N577" s="35">
        <f>IF($F577="","",IFERROR(INDEX(사건마스터!$AL$5:$AL$64,MATCH($F577,사건마스터!$A$5:$A$64,0)),""))</f>
        <v/>
      </c>
      <c r="O577" s="35">
        <f>IF($F577="","",IFERROR(INDEX(사건마스터!$AM$5:$AM$64,MATCH($F577,사건마스터!$A$5:$A$64,0)),""))</f>
        <v/>
      </c>
      <c r="P577" s="35">
        <f>IF($F577="","",IFERROR(INDEX(사건마스터!$AN$5:$AN$64,MATCH($F577,사건마스터!$A$5:$A$64,0)),""))</f>
        <v/>
      </c>
      <c r="Q577" s="35">
        <f>IF($F577="","",IFERROR(INDEX(사건마스터!$AO$5:$AO$64,MATCH($F577,사건마스터!$A$5:$A$64,0)),""))</f>
        <v/>
      </c>
      <c r="R577" s="35">
        <f>IF($F577="","",IFERROR(INDEX(사건마스터!$AP$5:$AP$64,MATCH($F577,사건마스터!$A$5:$A$64,0)),""))</f>
        <v/>
      </c>
      <c r="S577" s="35">
        <f>IF($F577="","",IFERROR(INDEX(사건마스터!$AQ$5:$AQ$64,MATCH($F577,사건마스터!$A$5:$A$64,0)),""))</f>
        <v/>
      </c>
      <c r="T577" s="35">
        <f>IF($F577="","",IFERROR(INDEX(사건마스터!$AR$5:$AR$64,MATCH($F577,사건마스터!$A$5:$A$64,0)),""))</f>
        <v/>
      </c>
      <c r="U577" s="35">
        <f>IF($F577="","",IFERROR(INDEX(사건마스터!$AS$5:$AS$64,MATCH($F577,사건마스터!$A$5:$A$64,0)),""))</f>
        <v/>
      </c>
      <c r="V577" s="35">
        <f>IF($F577="","",IFERROR(INDEX(사건마스터!$AT$5:$AT$64,MATCH($F577,사건마스터!$A$5:$A$64,0)),""))</f>
        <v/>
      </c>
      <c r="W577" s="35">
        <f>IF($F577="","",IFERROR(INDEX(사건마스터!$AU$5:$AU$64,MATCH($F577,사건마스터!$A$5:$A$64,0)),""))</f>
        <v/>
      </c>
      <c r="X577" s="35">
        <f>IF($F577="","",IFERROR(INDEX(사건마스터!$AV$5:$AV$64,MATCH($F577,사건마스터!$A$5:$A$64,0)),""))</f>
        <v/>
      </c>
      <c r="Y577" s="30">
        <f>IF($I577="","",COUNTIF($I577:$X577,"?*"))</f>
        <v/>
      </c>
      <c r="Z577" s="33">
        <f>IF($I577="","",_xlfn.TEXTJOIN(", ",TRUE,$I577:$X577))</f>
        <v/>
      </c>
      <c r="AA577" s="34">
        <f>IF($I577="","",IFERROR(INDEX(코드설정!$D$5:$D$24,MATCH($I577,코드설정!$C$5:$C$24,0)),""))</f>
        <v/>
      </c>
      <c r="AB577" s="36" t="n"/>
      <c r="AC577" s="37" t="n"/>
      <c r="AD577" s="38" t="n"/>
      <c r="AE577" s="30">
        <f>IF(OR($B577="",$C577=""),"",$C577-$B577+1)</f>
        <v/>
      </c>
      <c r="AF577" s="32" t="n"/>
      <c r="AG577" s="36" t="n"/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3">
        <f>IF($F578="","",IFERROR(INDEX(사건마스터!$B$5:$B$64,MATCH($F578,사건마스터!$A$5:$A$64,0)),""))</f>
        <v/>
      </c>
      <c r="H578" s="34">
        <f>IF($F578="","",IFERROR(INDEX(사건마스터!$C$5:$C$64,MATCH($F578,사건마스터!$A$5:$A$64,0)),""))</f>
        <v/>
      </c>
      <c r="I578" s="35">
        <f>IF($F578="","",IFERROR(INDEX(사건마스터!$H$5:$H$64,MATCH($F578,사건마스터!$A$5:$A$64,0)),""))</f>
        <v/>
      </c>
      <c r="J578" s="35">
        <f>IF($F578="","",IFERROR(INDEX(사건마스터!$AH$5:$AH$64,MATCH($F578,사건마스터!$A$5:$A$64,0)),""))</f>
        <v/>
      </c>
      <c r="K578" s="35">
        <f>IF($F578="","",IFERROR(INDEX(사건마스터!$AI$5:$AI$64,MATCH($F578,사건마스터!$A$5:$A$64,0)),""))</f>
        <v/>
      </c>
      <c r="L578" s="35">
        <f>IF($F578="","",IFERROR(INDEX(사건마스터!$AJ$5:$AJ$64,MATCH($F578,사건마스터!$A$5:$A$64,0)),""))</f>
        <v/>
      </c>
      <c r="M578" s="35">
        <f>IF($F578="","",IFERROR(INDEX(사건마스터!$AK$5:$AK$64,MATCH($F578,사건마스터!$A$5:$A$64,0)),""))</f>
        <v/>
      </c>
      <c r="N578" s="35">
        <f>IF($F578="","",IFERROR(INDEX(사건마스터!$AL$5:$AL$64,MATCH($F578,사건마스터!$A$5:$A$64,0)),""))</f>
        <v/>
      </c>
      <c r="O578" s="35">
        <f>IF($F578="","",IFERROR(INDEX(사건마스터!$AM$5:$AM$64,MATCH($F578,사건마스터!$A$5:$A$64,0)),""))</f>
        <v/>
      </c>
      <c r="P578" s="35">
        <f>IF($F578="","",IFERROR(INDEX(사건마스터!$AN$5:$AN$64,MATCH($F578,사건마스터!$A$5:$A$64,0)),""))</f>
        <v/>
      </c>
      <c r="Q578" s="35">
        <f>IF($F578="","",IFERROR(INDEX(사건마스터!$AO$5:$AO$64,MATCH($F578,사건마스터!$A$5:$A$64,0)),""))</f>
        <v/>
      </c>
      <c r="R578" s="35">
        <f>IF($F578="","",IFERROR(INDEX(사건마스터!$AP$5:$AP$64,MATCH($F578,사건마스터!$A$5:$A$64,0)),""))</f>
        <v/>
      </c>
      <c r="S578" s="35">
        <f>IF($F578="","",IFERROR(INDEX(사건마스터!$AQ$5:$AQ$64,MATCH($F578,사건마스터!$A$5:$A$64,0)),""))</f>
        <v/>
      </c>
      <c r="T578" s="35">
        <f>IF($F578="","",IFERROR(INDEX(사건마스터!$AR$5:$AR$64,MATCH($F578,사건마스터!$A$5:$A$64,0)),""))</f>
        <v/>
      </c>
      <c r="U578" s="35">
        <f>IF($F578="","",IFERROR(INDEX(사건마스터!$AS$5:$AS$64,MATCH($F578,사건마스터!$A$5:$A$64,0)),""))</f>
        <v/>
      </c>
      <c r="V578" s="35">
        <f>IF($F578="","",IFERROR(INDEX(사건마스터!$AT$5:$AT$64,MATCH($F578,사건마스터!$A$5:$A$64,0)),""))</f>
        <v/>
      </c>
      <c r="W578" s="35">
        <f>IF($F578="","",IFERROR(INDEX(사건마스터!$AU$5:$AU$64,MATCH($F578,사건마스터!$A$5:$A$64,0)),""))</f>
        <v/>
      </c>
      <c r="X578" s="35">
        <f>IF($F578="","",IFERROR(INDEX(사건마스터!$AV$5:$AV$64,MATCH($F578,사건마스터!$A$5:$A$64,0)),""))</f>
        <v/>
      </c>
      <c r="Y578" s="30">
        <f>IF($I578="","",COUNTIF($I578:$X578,"?*"))</f>
        <v/>
      </c>
      <c r="Z578" s="33">
        <f>IF($I578="","",_xlfn.TEXTJOIN(", ",TRUE,$I578:$X578))</f>
        <v/>
      </c>
      <c r="AA578" s="34">
        <f>IF($I578="","",IFERROR(INDEX(코드설정!$D$5:$D$24,MATCH($I578,코드설정!$C$5:$C$24,0)),""))</f>
        <v/>
      </c>
      <c r="AB578" s="36" t="n"/>
      <c r="AC578" s="37" t="n"/>
      <c r="AD578" s="38" t="n"/>
      <c r="AE578" s="30">
        <f>IF(OR($B578="",$C578=""),"",$C578-$B578+1)</f>
        <v/>
      </c>
      <c r="AF578" s="32" t="n"/>
      <c r="AG578" s="36" t="n"/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3">
        <f>IF($F579="","",IFERROR(INDEX(사건마스터!$B$5:$B$64,MATCH($F579,사건마스터!$A$5:$A$64,0)),""))</f>
        <v/>
      </c>
      <c r="H579" s="34">
        <f>IF($F579="","",IFERROR(INDEX(사건마스터!$C$5:$C$64,MATCH($F579,사건마스터!$A$5:$A$64,0)),""))</f>
        <v/>
      </c>
      <c r="I579" s="35">
        <f>IF($F579="","",IFERROR(INDEX(사건마스터!$H$5:$H$64,MATCH($F579,사건마스터!$A$5:$A$64,0)),""))</f>
        <v/>
      </c>
      <c r="J579" s="35">
        <f>IF($F579="","",IFERROR(INDEX(사건마스터!$AH$5:$AH$64,MATCH($F579,사건마스터!$A$5:$A$64,0)),""))</f>
        <v/>
      </c>
      <c r="K579" s="35">
        <f>IF($F579="","",IFERROR(INDEX(사건마스터!$AI$5:$AI$64,MATCH($F579,사건마스터!$A$5:$A$64,0)),""))</f>
        <v/>
      </c>
      <c r="L579" s="35">
        <f>IF($F579="","",IFERROR(INDEX(사건마스터!$AJ$5:$AJ$64,MATCH($F579,사건마스터!$A$5:$A$64,0)),""))</f>
        <v/>
      </c>
      <c r="M579" s="35">
        <f>IF($F579="","",IFERROR(INDEX(사건마스터!$AK$5:$AK$64,MATCH($F579,사건마스터!$A$5:$A$64,0)),""))</f>
        <v/>
      </c>
      <c r="N579" s="35">
        <f>IF($F579="","",IFERROR(INDEX(사건마스터!$AL$5:$AL$64,MATCH($F579,사건마스터!$A$5:$A$64,0)),""))</f>
        <v/>
      </c>
      <c r="O579" s="35">
        <f>IF($F579="","",IFERROR(INDEX(사건마스터!$AM$5:$AM$64,MATCH($F579,사건마스터!$A$5:$A$64,0)),""))</f>
        <v/>
      </c>
      <c r="P579" s="35">
        <f>IF($F579="","",IFERROR(INDEX(사건마스터!$AN$5:$AN$64,MATCH($F579,사건마스터!$A$5:$A$64,0)),""))</f>
        <v/>
      </c>
      <c r="Q579" s="35">
        <f>IF($F579="","",IFERROR(INDEX(사건마스터!$AO$5:$AO$64,MATCH($F579,사건마스터!$A$5:$A$64,0)),""))</f>
        <v/>
      </c>
      <c r="R579" s="35">
        <f>IF($F579="","",IFERROR(INDEX(사건마스터!$AP$5:$AP$64,MATCH($F579,사건마스터!$A$5:$A$64,0)),""))</f>
        <v/>
      </c>
      <c r="S579" s="35">
        <f>IF($F579="","",IFERROR(INDEX(사건마스터!$AQ$5:$AQ$64,MATCH($F579,사건마스터!$A$5:$A$64,0)),""))</f>
        <v/>
      </c>
      <c r="T579" s="35">
        <f>IF($F579="","",IFERROR(INDEX(사건마스터!$AR$5:$AR$64,MATCH($F579,사건마스터!$A$5:$A$64,0)),""))</f>
        <v/>
      </c>
      <c r="U579" s="35">
        <f>IF($F579="","",IFERROR(INDEX(사건마스터!$AS$5:$AS$64,MATCH($F579,사건마스터!$A$5:$A$64,0)),""))</f>
        <v/>
      </c>
      <c r="V579" s="35">
        <f>IF($F579="","",IFERROR(INDEX(사건마스터!$AT$5:$AT$64,MATCH($F579,사건마스터!$A$5:$A$64,0)),""))</f>
        <v/>
      </c>
      <c r="W579" s="35">
        <f>IF($F579="","",IFERROR(INDEX(사건마스터!$AU$5:$AU$64,MATCH($F579,사건마스터!$A$5:$A$64,0)),""))</f>
        <v/>
      </c>
      <c r="X579" s="35">
        <f>IF($F579="","",IFERROR(INDEX(사건마스터!$AV$5:$AV$64,MATCH($F579,사건마스터!$A$5:$A$64,0)),""))</f>
        <v/>
      </c>
      <c r="Y579" s="30">
        <f>IF($I579="","",COUNTIF($I579:$X579,"?*"))</f>
        <v/>
      </c>
      <c r="Z579" s="33">
        <f>IF($I579="","",_xlfn.TEXTJOIN(", ",TRUE,$I579:$X579))</f>
        <v/>
      </c>
      <c r="AA579" s="34">
        <f>IF($I579="","",IFERROR(INDEX(코드설정!$D$5:$D$24,MATCH($I579,코드설정!$C$5:$C$24,0)),""))</f>
        <v/>
      </c>
      <c r="AB579" s="36" t="n"/>
      <c r="AC579" s="37" t="n"/>
      <c r="AD579" s="38" t="n"/>
      <c r="AE579" s="30">
        <f>IF(OR($B579="",$C579=""),"",$C579-$B579+1)</f>
        <v/>
      </c>
      <c r="AF579" s="32" t="n"/>
      <c r="AG579" s="36" t="n"/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3">
        <f>IF($F580="","",IFERROR(INDEX(사건마스터!$B$5:$B$64,MATCH($F580,사건마스터!$A$5:$A$64,0)),""))</f>
        <v/>
      </c>
      <c r="H580" s="34">
        <f>IF($F580="","",IFERROR(INDEX(사건마스터!$C$5:$C$64,MATCH($F580,사건마스터!$A$5:$A$64,0)),""))</f>
        <v/>
      </c>
      <c r="I580" s="35">
        <f>IF($F580="","",IFERROR(INDEX(사건마스터!$H$5:$H$64,MATCH($F580,사건마스터!$A$5:$A$64,0)),""))</f>
        <v/>
      </c>
      <c r="J580" s="35">
        <f>IF($F580="","",IFERROR(INDEX(사건마스터!$AH$5:$AH$64,MATCH($F580,사건마스터!$A$5:$A$64,0)),""))</f>
        <v/>
      </c>
      <c r="K580" s="35">
        <f>IF($F580="","",IFERROR(INDEX(사건마스터!$AI$5:$AI$64,MATCH($F580,사건마스터!$A$5:$A$64,0)),""))</f>
        <v/>
      </c>
      <c r="L580" s="35">
        <f>IF($F580="","",IFERROR(INDEX(사건마스터!$AJ$5:$AJ$64,MATCH($F580,사건마스터!$A$5:$A$64,0)),""))</f>
        <v/>
      </c>
      <c r="M580" s="35">
        <f>IF($F580="","",IFERROR(INDEX(사건마스터!$AK$5:$AK$64,MATCH($F580,사건마스터!$A$5:$A$64,0)),""))</f>
        <v/>
      </c>
      <c r="N580" s="35">
        <f>IF($F580="","",IFERROR(INDEX(사건마스터!$AL$5:$AL$64,MATCH($F580,사건마스터!$A$5:$A$64,0)),""))</f>
        <v/>
      </c>
      <c r="O580" s="35">
        <f>IF($F580="","",IFERROR(INDEX(사건마스터!$AM$5:$AM$64,MATCH($F580,사건마스터!$A$5:$A$64,0)),""))</f>
        <v/>
      </c>
      <c r="P580" s="35">
        <f>IF($F580="","",IFERROR(INDEX(사건마스터!$AN$5:$AN$64,MATCH($F580,사건마스터!$A$5:$A$64,0)),""))</f>
        <v/>
      </c>
      <c r="Q580" s="35">
        <f>IF($F580="","",IFERROR(INDEX(사건마스터!$AO$5:$AO$64,MATCH($F580,사건마스터!$A$5:$A$64,0)),""))</f>
        <v/>
      </c>
      <c r="R580" s="35">
        <f>IF($F580="","",IFERROR(INDEX(사건마스터!$AP$5:$AP$64,MATCH($F580,사건마스터!$A$5:$A$64,0)),""))</f>
        <v/>
      </c>
      <c r="S580" s="35">
        <f>IF($F580="","",IFERROR(INDEX(사건마스터!$AQ$5:$AQ$64,MATCH($F580,사건마스터!$A$5:$A$64,0)),""))</f>
        <v/>
      </c>
      <c r="T580" s="35">
        <f>IF($F580="","",IFERROR(INDEX(사건마스터!$AR$5:$AR$64,MATCH($F580,사건마스터!$A$5:$A$64,0)),""))</f>
        <v/>
      </c>
      <c r="U580" s="35">
        <f>IF($F580="","",IFERROR(INDEX(사건마스터!$AS$5:$AS$64,MATCH($F580,사건마스터!$A$5:$A$64,0)),""))</f>
        <v/>
      </c>
      <c r="V580" s="35">
        <f>IF($F580="","",IFERROR(INDEX(사건마스터!$AT$5:$AT$64,MATCH($F580,사건마스터!$A$5:$A$64,0)),""))</f>
        <v/>
      </c>
      <c r="W580" s="35">
        <f>IF($F580="","",IFERROR(INDEX(사건마스터!$AU$5:$AU$64,MATCH($F580,사건마스터!$A$5:$A$64,0)),""))</f>
        <v/>
      </c>
      <c r="X580" s="35">
        <f>IF($F580="","",IFERROR(INDEX(사건마스터!$AV$5:$AV$64,MATCH($F580,사건마스터!$A$5:$A$64,0)),""))</f>
        <v/>
      </c>
      <c r="Y580" s="30">
        <f>IF($I580="","",COUNTIF($I580:$X580,"?*"))</f>
        <v/>
      </c>
      <c r="Z580" s="33">
        <f>IF($I580="","",_xlfn.TEXTJOIN(", ",TRUE,$I580:$X580))</f>
        <v/>
      </c>
      <c r="AA580" s="34">
        <f>IF($I580="","",IFERROR(INDEX(코드설정!$D$5:$D$24,MATCH($I580,코드설정!$C$5:$C$24,0)),""))</f>
        <v/>
      </c>
      <c r="AB580" s="36" t="n"/>
      <c r="AC580" s="37" t="n"/>
      <c r="AD580" s="38" t="n"/>
      <c r="AE580" s="30">
        <f>IF(OR($B580="",$C580=""),"",$C580-$B580+1)</f>
        <v/>
      </c>
      <c r="AF580" s="32" t="n"/>
      <c r="AG580" s="36" t="n"/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3">
        <f>IF($F581="","",IFERROR(INDEX(사건마스터!$B$5:$B$64,MATCH($F581,사건마스터!$A$5:$A$64,0)),""))</f>
        <v/>
      </c>
      <c r="H581" s="34">
        <f>IF($F581="","",IFERROR(INDEX(사건마스터!$C$5:$C$64,MATCH($F581,사건마스터!$A$5:$A$64,0)),""))</f>
        <v/>
      </c>
      <c r="I581" s="35">
        <f>IF($F581="","",IFERROR(INDEX(사건마스터!$H$5:$H$64,MATCH($F581,사건마스터!$A$5:$A$64,0)),""))</f>
        <v/>
      </c>
      <c r="J581" s="35">
        <f>IF($F581="","",IFERROR(INDEX(사건마스터!$AH$5:$AH$64,MATCH($F581,사건마스터!$A$5:$A$64,0)),""))</f>
        <v/>
      </c>
      <c r="K581" s="35">
        <f>IF($F581="","",IFERROR(INDEX(사건마스터!$AI$5:$AI$64,MATCH($F581,사건마스터!$A$5:$A$64,0)),""))</f>
        <v/>
      </c>
      <c r="L581" s="35">
        <f>IF($F581="","",IFERROR(INDEX(사건마스터!$AJ$5:$AJ$64,MATCH($F581,사건마스터!$A$5:$A$64,0)),""))</f>
        <v/>
      </c>
      <c r="M581" s="35">
        <f>IF($F581="","",IFERROR(INDEX(사건마스터!$AK$5:$AK$64,MATCH($F581,사건마스터!$A$5:$A$64,0)),""))</f>
        <v/>
      </c>
      <c r="N581" s="35">
        <f>IF($F581="","",IFERROR(INDEX(사건마스터!$AL$5:$AL$64,MATCH($F581,사건마스터!$A$5:$A$64,0)),""))</f>
        <v/>
      </c>
      <c r="O581" s="35">
        <f>IF($F581="","",IFERROR(INDEX(사건마스터!$AM$5:$AM$64,MATCH($F581,사건마스터!$A$5:$A$64,0)),""))</f>
        <v/>
      </c>
      <c r="P581" s="35">
        <f>IF($F581="","",IFERROR(INDEX(사건마스터!$AN$5:$AN$64,MATCH($F581,사건마스터!$A$5:$A$64,0)),""))</f>
        <v/>
      </c>
      <c r="Q581" s="35">
        <f>IF($F581="","",IFERROR(INDEX(사건마스터!$AO$5:$AO$64,MATCH($F581,사건마스터!$A$5:$A$64,0)),""))</f>
        <v/>
      </c>
      <c r="R581" s="35">
        <f>IF($F581="","",IFERROR(INDEX(사건마스터!$AP$5:$AP$64,MATCH($F581,사건마스터!$A$5:$A$64,0)),""))</f>
        <v/>
      </c>
      <c r="S581" s="35">
        <f>IF($F581="","",IFERROR(INDEX(사건마스터!$AQ$5:$AQ$64,MATCH($F581,사건마스터!$A$5:$A$64,0)),""))</f>
        <v/>
      </c>
      <c r="T581" s="35">
        <f>IF($F581="","",IFERROR(INDEX(사건마스터!$AR$5:$AR$64,MATCH($F581,사건마스터!$A$5:$A$64,0)),""))</f>
        <v/>
      </c>
      <c r="U581" s="35">
        <f>IF($F581="","",IFERROR(INDEX(사건마스터!$AS$5:$AS$64,MATCH($F581,사건마스터!$A$5:$A$64,0)),""))</f>
        <v/>
      </c>
      <c r="V581" s="35">
        <f>IF($F581="","",IFERROR(INDEX(사건마스터!$AT$5:$AT$64,MATCH($F581,사건마스터!$A$5:$A$64,0)),""))</f>
        <v/>
      </c>
      <c r="W581" s="35">
        <f>IF($F581="","",IFERROR(INDEX(사건마스터!$AU$5:$AU$64,MATCH($F581,사건마스터!$A$5:$A$64,0)),""))</f>
        <v/>
      </c>
      <c r="X581" s="35">
        <f>IF($F581="","",IFERROR(INDEX(사건마스터!$AV$5:$AV$64,MATCH($F581,사건마스터!$A$5:$A$64,0)),""))</f>
        <v/>
      </c>
      <c r="Y581" s="30">
        <f>IF($I581="","",COUNTIF($I581:$X581,"?*"))</f>
        <v/>
      </c>
      <c r="Z581" s="33">
        <f>IF($I581="","",_xlfn.TEXTJOIN(", ",TRUE,$I581:$X581))</f>
        <v/>
      </c>
      <c r="AA581" s="34">
        <f>IF($I581="","",IFERROR(INDEX(코드설정!$D$5:$D$24,MATCH($I581,코드설정!$C$5:$C$24,0)),""))</f>
        <v/>
      </c>
      <c r="AB581" s="36" t="n"/>
      <c r="AC581" s="37" t="n"/>
      <c r="AD581" s="38" t="n"/>
      <c r="AE581" s="30">
        <f>IF(OR($B581="",$C581=""),"",$C581-$B581+1)</f>
        <v/>
      </c>
      <c r="AF581" s="32" t="n"/>
      <c r="AG581" s="36" t="n"/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3">
        <f>IF($F582="","",IFERROR(INDEX(사건마스터!$B$5:$B$64,MATCH($F582,사건마스터!$A$5:$A$64,0)),""))</f>
        <v/>
      </c>
      <c r="H582" s="34">
        <f>IF($F582="","",IFERROR(INDEX(사건마스터!$C$5:$C$64,MATCH($F582,사건마스터!$A$5:$A$64,0)),""))</f>
        <v/>
      </c>
      <c r="I582" s="35">
        <f>IF($F582="","",IFERROR(INDEX(사건마스터!$H$5:$H$64,MATCH($F582,사건마스터!$A$5:$A$64,0)),""))</f>
        <v/>
      </c>
      <c r="J582" s="35">
        <f>IF($F582="","",IFERROR(INDEX(사건마스터!$AH$5:$AH$64,MATCH($F582,사건마스터!$A$5:$A$64,0)),""))</f>
        <v/>
      </c>
      <c r="K582" s="35">
        <f>IF($F582="","",IFERROR(INDEX(사건마스터!$AI$5:$AI$64,MATCH($F582,사건마스터!$A$5:$A$64,0)),""))</f>
        <v/>
      </c>
      <c r="L582" s="35">
        <f>IF($F582="","",IFERROR(INDEX(사건마스터!$AJ$5:$AJ$64,MATCH($F582,사건마스터!$A$5:$A$64,0)),""))</f>
        <v/>
      </c>
      <c r="M582" s="35">
        <f>IF($F582="","",IFERROR(INDEX(사건마스터!$AK$5:$AK$64,MATCH($F582,사건마스터!$A$5:$A$64,0)),""))</f>
        <v/>
      </c>
      <c r="N582" s="35">
        <f>IF($F582="","",IFERROR(INDEX(사건마스터!$AL$5:$AL$64,MATCH($F582,사건마스터!$A$5:$A$64,0)),""))</f>
        <v/>
      </c>
      <c r="O582" s="35">
        <f>IF($F582="","",IFERROR(INDEX(사건마스터!$AM$5:$AM$64,MATCH($F582,사건마스터!$A$5:$A$64,0)),""))</f>
        <v/>
      </c>
      <c r="P582" s="35">
        <f>IF($F582="","",IFERROR(INDEX(사건마스터!$AN$5:$AN$64,MATCH($F582,사건마스터!$A$5:$A$64,0)),""))</f>
        <v/>
      </c>
      <c r="Q582" s="35">
        <f>IF($F582="","",IFERROR(INDEX(사건마스터!$AO$5:$AO$64,MATCH($F582,사건마스터!$A$5:$A$64,0)),""))</f>
        <v/>
      </c>
      <c r="R582" s="35">
        <f>IF($F582="","",IFERROR(INDEX(사건마스터!$AP$5:$AP$64,MATCH($F582,사건마스터!$A$5:$A$64,0)),""))</f>
        <v/>
      </c>
      <c r="S582" s="35">
        <f>IF($F582="","",IFERROR(INDEX(사건마스터!$AQ$5:$AQ$64,MATCH($F582,사건마스터!$A$5:$A$64,0)),""))</f>
        <v/>
      </c>
      <c r="T582" s="35">
        <f>IF($F582="","",IFERROR(INDEX(사건마스터!$AR$5:$AR$64,MATCH($F582,사건마스터!$A$5:$A$64,0)),""))</f>
        <v/>
      </c>
      <c r="U582" s="35">
        <f>IF($F582="","",IFERROR(INDEX(사건마스터!$AS$5:$AS$64,MATCH($F582,사건마스터!$A$5:$A$64,0)),""))</f>
        <v/>
      </c>
      <c r="V582" s="35">
        <f>IF($F582="","",IFERROR(INDEX(사건마스터!$AT$5:$AT$64,MATCH($F582,사건마스터!$A$5:$A$64,0)),""))</f>
        <v/>
      </c>
      <c r="W582" s="35">
        <f>IF($F582="","",IFERROR(INDEX(사건마스터!$AU$5:$AU$64,MATCH($F582,사건마스터!$A$5:$A$64,0)),""))</f>
        <v/>
      </c>
      <c r="X582" s="35">
        <f>IF($F582="","",IFERROR(INDEX(사건마스터!$AV$5:$AV$64,MATCH($F582,사건마스터!$A$5:$A$64,0)),""))</f>
        <v/>
      </c>
      <c r="Y582" s="30">
        <f>IF($I582="","",COUNTIF($I582:$X582,"?*"))</f>
        <v/>
      </c>
      <c r="Z582" s="33">
        <f>IF($I582="","",_xlfn.TEXTJOIN(", ",TRUE,$I582:$X582))</f>
        <v/>
      </c>
      <c r="AA582" s="34">
        <f>IF($I582="","",IFERROR(INDEX(코드설정!$D$5:$D$24,MATCH($I582,코드설정!$C$5:$C$24,0)),""))</f>
        <v/>
      </c>
      <c r="AB582" s="36" t="n"/>
      <c r="AC582" s="37" t="n"/>
      <c r="AD582" s="38" t="n"/>
      <c r="AE582" s="30">
        <f>IF(OR($B582="",$C582=""),"",$C582-$B582+1)</f>
        <v/>
      </c>
      <c r="AF582" s="32" t="n"/>
      <c r="AG582" s="36" t="n"/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3">
        <f>IF($F583="","",IFERROR(INDEX(사건마스터!$B$5:$B$64,MATCH($F583,사건마스터!$A$5:$A$64,0)),""))</f>
        <v/>
      </c>
      <c r="H583" s="34">
        <f>IF($F583="","",IFERROR(INDEX(사건마스터!$C$5:$C$64,MATCH($F583,사건마스터!$A$5:$A$64,0)),""))</f>
        <v/>
      </c>
      <c r="I583" s="35">
        <f>IF($F583="","",IFERROR(INDEX(사건마스터!$H$5:$H$64,MATCH($F583,사건마스터!$A$5:$A$64,0)),""))</f>
        <v/>
      </c>
      <c r="J583" s="35">
        <f>IF($F583="","",IFERROR(INDEX(사건마스터!$AH$5:$AH$64,MATCH($F583,사건마스터!$A$5:$A$64,0)),""))</f>
        <v/>
      </c>
      <c r="K583" s="35">
        <f>IF($F583="","",IFERROR(INDEX(사건마스터!$AI$5:$AI$64,MATCH($F583,사건마스터!$A$5:$A$64,0)),""))</f>
        <v/>
      </c>
      <c r="L583" s="35">
        <f>IF($F583="","",IFERROR(INDEX(사건마스터!$AJ$5:$AJ$64,MATCH($F583,사건마스터!$A$5:$A$64,0)),""))</f>
        <v/>
      </c>
      <c r="M583" s="35">
        <f>IF($F583="","",IFERROR(INDEX(사건마스터!$AK$5:$AK$64,MATCH($F583,사건마스터!$A$5:$A$64,0)),""))</f>
        <v/>
      </c>
      <c r="N583" s="35">
        <f>IF($F583="","",IFERROR(INDEX(사건마스터!$AL$5:$AL$64,MATCH($F583,사건마스터!$A$5:$A$64,0)),""))</f>
        <v/>
      </c>
      <c r="O583" s="35">
        <f>IF($F583="","",IFERROR(INDEX(사건마스터!$AM$5:$AM$64,MATCH($F583,사건마스터!$A$5:$A$64,0)),""))</f>
        <v/>
      </c>
      <c r="P583" s="35">
        <f>IF($F583="","",IFERROR(INDEX(사건마스터!$AN$5:$AN$64,MATCH($F583,사건마스터!$A$5:$A$64,0)),""))</f>
        <v/>
      </c>
      <c r="Q583" s="35">
        <f>IF($F583="","",IFERROR(INDEX(사건마스터!$AO$5:$AO$64,MATCH($F583,사건마스터!$A$5:$A$64,0)),""))</f>
        <v/>
      </c>
      <c r="R583" s="35">
        <f>IF($F583="","",IFERROR(INDEX(사건마스터!$AP$5:$AP$64,MATCH($F583,사건마스터!$A$5:$A$64,0)),""))</f>
        <v/>
      </c>
      <c r="S583" s="35">
        <f>IF($F583="","",IFERROR(INDEX(사건마스터!$AQ$5:$AQ$64,MATCH($F583,사건마스터!$A$5:$A$64,0)),""))</f>
        <v/>
      </c>
      <c r="T583" s="35">
        <f>IF($F583="","",IFERROR(INDEX(사건마스터!$AR$5:$AR$64,MATCH($F583,사건마스터!$A$5:$A$64,0)),""))</f>
        <v/>
      </c>
      <c r="U583" s="35">
        <f>IF($F583="","",IFERROR(INDEX(사건마스터!$AS$5:$AS$64,MATCH($F583,사건마스터!$A$5:$A$64,0)),""))</f>
        <v/>
      </c>
      <c r="V583" s="35">
        <f>IF($F583="","",IFERROR(INDEX(사건마스터!$AT$5:$AT$64,MATCH($F583,사건마스터!$A$5:$A$64,0)),""))</f>
        <v/>
      </c>
      <c r="W583" s="35">
        <f>IF($F583="","",IFERROR(INDEX(사건마스터!$AU$5:$AU$64,MATCH($F583,사건마스터!$A$5:$A$64,0)),""))</f>
        <v/>
      </c>
      <c r="X583" s="35">
        <f>IF($F583="","",IFERROR(INDEX(사건마스터!$AV$5:$AV$64,MATCH($F583,사건마스터!$A$5:$A$64,0)),""))</f>
        <v/>
      </c>
      <c r="Y583" s="30">
        <f>IF($I583="","",COUNTIF($I583:$X583,"?*"))</f>
        <v/>
      </c>
      <c r="Z583" s="33">
        <f>IF($I583="","",_xlfn.TEXTJOIN(", ",TRUE,$I583:$X583))</f>
        <v/>
      </c>
      <c r="AA583" s="34">
        <f>IF($I583="","",IFERROR(INDEX(코드설정!$D$5:$D$24,MATCH($I583,코드설정!$C$5:$C$24,0)),""))</f>
        <v/>
      </c>
      <c r="AB583" s="36" t="n"/>
      <c r="AC583" s="37" t="n"/>
      <c r="AD583" s="38" t="n"/>
      <c r="AE583" s="30">
        <f>IF(OR($B583="",$C583=""),"",$C583-$B583+1)</f>
        <v/>
      </c>
      <c r="AF583" s="32" t="n"/>
      <c r="AG583" s="36" t="n"/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3">
        <f>IF($F584="","",IFERROR(INDEX(사건마스터!$B$5:$B$64,MATCH($F584,사건마스터!$A$5:$A$64,0)),""))</f>
        <v/>
      </c>
      <c r="H584" s="34">
        <f>IF($F584="","",IFERROR(INDEX(사건마스터!$C$5:$C$64,MATCH($F584,사건마스터!$A$5:$A$64,0)),""))</f>
        <v/>
      </c>
      <c r="I584" s="35">
        <f>IF($F584="","",IFERROR(INDEX(사건마스터!$H$5:$H$64,MATCH($F584,사건마스터!$A$5:$A$64,0)),""))</f>
        <v/>
      </c>
      <c r="J584" s="35">
        <f>IF($F584="","",IFERROR(INDEX(사건마스터!$AH$5:$AH$64,MATCH($F584,사건마스터!$A$5:$A$64,0)),""))</f>
        <v/>
      </c>
      <c r="K584" s="35">
        <f>IF($F584="","",IFERROR(INDEX(사건마스터!$AI$5:$AI$64,MATCH($F584,사건마스터!$A$5:$A$64,0)),""))</f>
        <v/>
      </c>
      <c r="L584" s="35">
        <f>IF($F584="","",IFERROR(INDEX(사건마스터!$AJ$5:$AJ$64,MATCH($F584,사건마스터!$A$5:$A$64,0)),""))</f>
        <v/>
      </c>
      <c r="M584" s="35">
        <f>IF($F584="","",IFERROR(INDEX(사건마스터!$AK$5:$AK$64,MATCH($F584,사건마스터!$A$5:$A$64,0)),""))</f>
        <v/>
      </c>
      <c r="N584" s="35">
        <f>IF($F584="","",IFERROR(INDEX(사건마스터!$AL$5:$AL$64,MATCH($F584,사건마스터!$A$5:$A$64,0)),""))</f>
        <v/>
      </c>
      <c r="O584" s="35">
        <f>IF($F584="","",IFERROR(INDEX(사건마스터!$AM$5:$AM$64,MATCH($F584,사건마스터!$A$5:$A$64,0)),""))</f>
        <v/>
      </c>
      <c r="P584" s="35">
        <f>IF($F584="","",IFERROR(INDEX(사건마스터!$AN$5:$AN$64,MATCH($F584,사건마스터!$A$5:$A$64,0)),""))</f>
        <v/>
      </c>
      <c r="Q584" s="35">
        <f>IF($F584="","",IFERROR(INDEX(사건마스터!$AO$5:$AO$64,MATCH($F584,사건마스터!$A$5:$A$64,0)),""))</f>
        <v/>
      </c>
      <c r="R584" s="35">
        <f>IF($F584="","",IFERROR(INDEX(사건마스터!$AP$5:$AP$64,MATCH($F584,사건마스터!$A$5:$A$64,0)),""))</f>
        <v/>
      </c>
      <c r="S584" s="35">
        <f>IF($F584="","",IFERROR(INDEX(사건마스터!$AQ$5:$AQ$64,MATCH($F584,사건마스터!$A$5:$A$64,0)),""))</f>
        <v/>
      </c>
      <c r="T584" s="35">
        <f>IF($F584="","",IFERROR(INDEX(사건마스터!$AR$5:$AR$64,MATCH($F584,사건마스터!$A$5:$A$64,0)),""))</f>
        <v/>
      </c>
      <c r="U584" s="35">
        <f>IF($F584="","",IFERROR(INDEX(사건마스터!$AS$5:$AS$64,MATCH($F584,사건마스터!$A$5:$A$64,0)),""))</f>
        <v/>
      </c>
      <c r="V584" s="35">
        <f>IF($F584="","",IFERROR(INDEX(사건마스터!$AT$5:$AT$64,MATCH($F584,사건마스터!$A$5:$A$64,0)),""))</f>
        <v/>
      </c>
      <c r="W584" s="35">
        <f>IF($F584="","",IFERROR(INDEX(사건마스터!$AU$5:$AU$64,MATCH($F584,사건마스터!$A$5:$A$64,0)),""))</f>
        <v/>
      </c>
      <c r="X584" s="35">
        <f>IF($F584="","",IFERROR(INDEX(사건마스터!$AV$5:$AV$64,MATCH($F584,사건마스터!$A$5:$A$64,0)),""))</f>
        <v/>
      </c>
      <c r="Y584" s="30">
        <f>IF($I584="","",COUNTIF($I584:$X584,"?*"))</f>
        <v/>
      </c>
      <c r="Z584" s="33">
        <f>IF($I584="","",_xlfn.TEXTJOIN(", ",TRUE,$I584:$X584))</f>
        <v/>
      </c>
      <c r="AA584" s="34">
        <f>IF($I584="","",IFERROR(INDEX(코드설정!$D$5:$D$24,MATCH($I584,코드설정!$C$5:$C$24,0)),""))</f>
        <v/>
      </c>
      <c r="AB584" s="36" t="n"/>
      <c r="AC584" s="37" t="n"/>
      <c r="AD584" s="38" t="n"/>
      <c r="AE584" s="30">
        <f>IF(OR($B584="",$C584=""),"",$C584-$B584+1)</f>
        <v/>
      </c>
      <c r="AF584" s="32" t="n"/>
      <c r="AG584" s="36" t="n"/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3">
        <f>IF($F585="","",IFERROR(INDEX(사건마스터!$B$5:$B$64,MATCH($F585,사건마스터!$A$5:$A$64,0)),""))</f>
        <v/>
      </c>
      <c r="H585" s="34">
        <f>IF($F585="","",IFERROR(INDEX(사건마스터!$C$5:$C$64,MATCH($F585,사건마스터!$A$5:$A$64,0)),""))</f>
        <v/>
      </c>
      <c r="I585" s="35">
        <f>IF($F585="","",IFERROR(INDEX(사건마스터!$H$5:$H$64,MATCH($F585,사건마스터!$A$5:$A$64,0)),""))</f>
        <v/>
      </c>
      <c r="J585" s="35">
        <f>IF($F585="","",IFERROR(INDEX(사건마스터!$AH$5:$AH$64,MATCH($F585,사건마스터!$A$5:$A$64,0)),""))</f>
        <v/>
      </c>
      <c r="K585" s="35">
        <f>IF($F585="","",IFERROR(INDEX(사건마스터!$AI$5:$AI$64,MATCH($F585,사건마스터!$A$5:$A$64,0)),""))</f>
        <v/>
      </c>
      <c r="L585" s="35">
        <f>IF($F585="","",IFERROR(INDEX(사건마스터!$AJ$5:$AJ$64,MATCH($F585,사건마스터!$A$5:$A$64,0)),""))</f>
        <v/>
      </c>
      <c r="M585" s="35">
        <f>IF($F585="","",IFERROR(INDEX(사건마스터!$AK$5:$AK$64,MATCH($F585,사건마스터!$A$5:$A$64,0)),""))</f>
        <v/>
      </c>
      <c r="N585" s="35">
        <f>IF($F585="","",IFERROR(INDEX(사건마스터!$AL$5:$AL$64,MATCH($F585,사건마스터!$A$5:$A$64,0)),""))</f>
        <v/>
      </c>
      <c r="O585" s="35">
        <f>IF($F585="","",IFERROR(INDEX(사건마스터!$AM$5:$AM$64,MATCH($F585,사건마스터!$A$5:$A$64,0)),""))</f>
        <v/>
      </c>
      <c r="P585" s="35">
        <f>IF($F585="","",IFERROR(INDEX(사건마스터!$AN$5:$AN$64,MATCH($F585,사건마스터!$A$5:$A$64,0)),""))</f>
        <v/>
      </c>
      <c r="Q585" s="35">
        <f>IF($F585="","",IFERROR(INDEX(사건마스터!$AO$5:$AO$64,MATCH($F585,사건마스터!$A$5:$A$64,0)),""))</f>
        <v/>
      </c>
      <c r="R585" s="35">
        <f>IF($F585="","",IFERROR(INDEX(사건마스터!$AP$5:$AP$64,MATCH($F585,사건마스터!$A$5:$A$64,0)),""))</f>
        <v/>
      </c>
      <c r="S585" s="35">
        <f>IF($F585="","",IFERROR(INDEX(사건마스터!$AQ$5:$AQ$64,MATCH($F585,사건마스터!$A$5:$A$64,0)),""))</f>
        <v/>
      </c>
      <c r="T585" s="35">
        <f>IF($F585="","",IFERROR(INDEX(사건마스터!$AR$5:$AR$64,MATCH($F585,사건마스터!$A$5:$A$64,0)),""))</f>
        <v/>
      </c>
      <c r="U585" s="35">
        <f>IF($F585="","",IFERROR(INDEX(사건마스터!$AS$5:$AS$64,MATCH($F585,사건마스터!$A$5:$A$64,0)),""))</f>
        <v/>
      </c>
      <c r="V585" s="35">
        <f>IF($F585="","",IFERROR(INDEX(사건마스터!$AT$5:$AT$64,MATCH($F585,사건마스터!$A$5:$A$64,0)),""))</f>
        <v/>
      </c>
      <c r="W585" s="35">
        <f>IF($F585="","",IFERROR(INDEX(사건마스터!$AU$5:$AU$64,MATCH($F585,사건마스터!$A$5:$A$64,0)),""))</f>
        <v/>
      </c>
      <c r="X585" s="35">
        <f>IF($F585="","",IFERROR(INDEX(사건마스터!$AV$5:$AV$64,MATCH($F585,사건마스터!$A$5:$A$64,0)),""))</f>
        <v/>
      </c>
      <c r="Y585" s="30">
        <f>IF($I585="","",COUNTIF($I585:$X585,"?*"))</f>
        <v/>
      </c>
      <c r="Z585" s="33">
        <f>IF($I585="","",_xlfn.TEXTJOIN(", ",TRUE,$I585:$X585))</f>
        <v/>
      </c>
      <c r="AA585" s="34">
        <f>IF($I585="","",IFERROR(INDEX(코드설정!$D$5:$D$24,MATCH($I585,코드설정!$C$5:$C$24,0)),""))</f>
        <v/>
      </c>
      <c r="AB585" s="36" t="n"/>
      <c r="AC585" s="37" t="n"/>
      <c r="AD585" s="38" t="n"/>
      <c r="AE585" s="30">
        <f>IF(OR($B585="",$C585=""),"",$C585-$B585+1)</f>
        <v/>
      </c>
      <c r="AF585" s="32" t="n"/>
      <c r="AG585" s="36" t="n"/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3">
        <f>IF($F586="","",IFERROR(INDEX(사건마스터!$B$5:$B$64,MATCH($F586,사건마스터!$A$5:$A$64,0)),""))</f>
        <v/>
      </c>
      <c r="H586" s="34">
        <f>IF($F586="","",IFERROR(INDEX(사건마스터!$C$5:$C$64,MATCH($F586,사건마스터!$A$5:$A$64,0)),""))</f>
        <v/>
      </c>
      <c r="I586" s="35">
        <f>IF($F586="","",IFERROR(INDEX(사건마스터!$H$5:$H$64,MATCH($F586,사건마스터!$A$5:$A$64,0)),""))</f>
        <v/>
      </c>
      <c r="J586" s="35">
        <f>IF($F586="","",IFERROR(INDEX(사건마스터!$AH$5:$AH$64,MATCH($F586,사건마스터!$A$5:$A$64,0)),""))</f>
        <v/>
      </c>
      <c r="K586" s="35">
        <f>IF($F586="","",IFERROR(INDEX(사건마스터!$AI$5:$AI$64,MATCH($F586,사건마스터!$A$5:$A$64,0)),""))</f>
        <v/>
      </c>
      <c r="L586" s="35">
        <f>IF($F586="","",IFERROR(INDEX(사건마스터!$AJ$5:$AJ$64,MATCH($F586,사건마스터!$A$5:$A$64,0)),""))</f>
        <v/>
      </c>
      <c r="M586" s="35">
        <f>IF($F586="","",IFERROR(INDEX(사건마스터!$AK$5:$AK$64,MATCH($F586,사건마스터!$A$5:$A$64,0)),""))</f>
        <v/>
      </c>
      <c r="N586" s="35">
        <f>IF($F586="","",IFERROR(INDEX(사건마스터!$AL$5:$AL$64,MATCH($F586,사건마스터!$A$5:$A$64,0)),""))</f>
        <v/>
      </c>
      <c r="O586" s="35">
        <f>IF($F586="","",IFERROR(INDEX(사건마스터!$AM$5:$AM$64,MATCH($F586,사건마스터!$A$5:$A$64,0)),""))</f>
        <v/>
      </c>
      <c r="P586" s="35">
        <f>IF($F586="","",IFERROR(INDEX(사건마스터!$AN$5:$AN$64,MATCH($F586,사건마스터!$A$5:$A$64,0)),""))</f>
        <v/>
      </c>
      <c r="Q586" s="35">
        <f>IF($F586="","",IFERROR(INDEX(사건마스터!$AO$5:$AO$64,MATCH($F586,사건마스터!$A$5:$A$64,0)),""))</f>
        <v/>
      </c>
      <c r="R586" s="35">
        <f>IF($F586="","",IFERROR(INDEX(사건마스터!$AP$5:$AP$64,MATCH($F586,사건마스터!$A$5:$A$64,0)),""))</f>
        <v/>
      </c>
      <c r="S586" s="35">
        <f>IF($F586="","",IFERROR(INDEX(사건마스터!$AQ$5:$AQ$64,MATCH($F586,사건마스터!$A$5:$A$64,0)),""))</f>
        <v/>
      </c>
      <c r="T586" s="35">
        <f>IF($F586="","",IFERROR(INDEX(사건마스터!$AR$5:$AR$64,MATCH($F586,사건마스터!$A$5:$A$64,0)),""))</f>
        <v/>
      </c>
      <c r="U586" s="35">
        <f>IF($F586="","",IFERROR(INDEX(사건마스터!$AS$5:$AS$64,MATCH($F586,사건마스터!$A$5:$A$64,0)),""))</f>
        <v/>
      </c>
      <c r="V586" s="35">
        <f>IF($F586="","",IFERROR(INDEX(사건마스터!$AT$5:$AT$64,MATCH($F586,사건마스터!$A$5:$A$64,0)),""))</f>
        <v/>
      </c>
      <c r="W586" s="35">
        <f>IF($F586="","",IFERROR(INDEX(사건마스터!$AU$5:$AU$64,MATCH($F586,사건마스터!$A$5:$A$64,0)),""))</f>
        <v/>
      </c>
      <c r="X586" s="35">
        <f>IF($F586="","",IFERROR(INDEX(사건마스터!$AV$5:$AV$64,MATCH($F586,사건마스터!$A$5:$A$64,0)),""))</f>
        <v/>
      </c>
      <c r="Y586" s="30">
        <f>IF($I586="","",COUNTIF($I586:$X586,"?*"))</f>
        <v/>
      </c>
      <c r="Z586" s="33">
        <f>IF($I586="","",_xlfn.TEXTJOIN(", ",TRUE,$I586:$X586))</f>
        <v/>
      </c>
      <c r="AA586" s="34">
        <f>IF($I586="","",IFERROR(INDEX(코드설정!$D$5:$D$24,MATCH($I586,코드설정!$C$5:$C$24,0)),""))</f>
        <v/>
      </c>
      <c r="AB586" s="36" t="n"/>
      <c r="AC586" s="37" t="n"/>
      <c r="AD586" s="38" t="n"/>
      <c r="AE586" s="30">
        <f>IF(OR($B586="",$C586=""),"",$C586-$B586+1)</f>
        <v/>
      </c>
      <c r="AF586" s="32" t="n"/>
      <c r="AG586" s="36" t="n"/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3">
        <f>IF($F587="","",IFERROR(INDEX(사건마스터!$B$5:$B$64,MATCH($F587,사건마스터!$A$5:$A$64,0)),""))</f>
        <v/>
      </c>
      <c r="H587" s="34">
        <f>IF($F587="","",IFERROR(INDEX(사건마스터!$C$5:$C$64,MATCH($F587,사건마스터!$A$5:$A$64,0)),""))</f>
        <v/>
      </c>
      <c r="I587" s="35">
        <f>IF($F587="","",IFERROR(INDEX(사건마스터!$H$5:$H$64,MATCH($F587,사건마스터!$A$5:$A$64,0)),""))</f>
        <v/>
      </c>
      <c r="J587" s="35">
        <f>IF($F587="","",IFERROR(INDEX(사건마스터!$AH$5:$AH$64,MATCH($F587,사건마스터!$A$5:$A$64,0)),""))</f>
        <v/>
      </c>
      <c r="K587" s="35">
        <f>IF($F587="","",IFERROR(INDEX(사건마스터!$AI$5:$AI$64,MATCH($F587,사건마스터!$A$5:$A$64,0)),""))</f>
        <v/>
      </c>
      <c r="L587" s="35">
        <f>IF($F587="","",IFERROR(INDEX(사건마스터!$AJ$5:$AJ$64,MATCH($F587,사건마스터!$A$5:$A$64,0)),""))</f>
        <v/>
      </c>
      <c r="M587" s="35">
        <f>IF($F587="","",IFERROR(INDEX(사건마스터!$AK$5:$AK$64,MATCH($F587,사건마스터!$A$5:$A$64,0)),""))</f>
        <v/>
      </c>
      <c r="N587" s="35">
        <f>IF($F587="","",IFERROR(INDEX(사건마스터!$AL$5:$AL$64,MATCH($F587,사건마스터!$A$5:$A$64,0)),""))</f>
        <v/>
      </c>
      <c r="O587" s="35">
        <f>IF($F587="","",IFERROR(INDEX(사건마스터!$AM$5:$AM$64,MATCH($F587,사건마스터!$A$5:$A$64,0)),""))</f>
        <v/>
      </c>
      <c r="P587" s="35">
        <f>IF($F587="","",IFERROR(INDEX(사건마스터!$AN$5:$AN$64,MATCH($F587,사건마스터!$A$5:$A$64,0)),""))</f>
        <v/>
      </c>
      <c r="Q587" s="35">
        <f>IF($F587="","",IFERROR(INDEX(사건마스터!$AO$5:$AO$64,MATCH($F587,사건마스터!$A$5:$A$64,0)),""))</f>
        <v/>
      </c>
      <c r="R587" s="35">
        <f>IF($F587="","",IFERROR(INDEX(사건마스터!$AP$5:$AP$64,MATCH($F587,사건마스터!$A$5:$A$64,0)),""))</f>
        <v/>
      </c>
      <c r="S587" s="35">
        <f>IF($F587="","",IFERROR(INDEX(사건마스터!$AQ$5:$AQ$64,MATCH($F587,사건마스터!$A$5:$A$64,0)),""))</f>
        <v/>
      </c>
      <c r="T587" s="35">
        <f>IF($F587="","",IFERROR(INDEX(사건마스터!$AR$5:$AR$64,MATCH($F587,사건마스터!$A$5:$A$64,0)),""))</f>
        <v/>
      </c>
      <c r="U587" s="35">
        <f>IF($F587="","",IFERROR(INDEX(사건마스터!$AS$5:$AS$64,MATCH($F587,사건마스터!$A$5:$A$64,0)),""))</f>
        <v/>
      </c>
      <c r="V587" s="35">
        <f>IF($F587="","",IFERROR(INDEX(사건마스터!$AT$5:$AT$64,MATCH($F587,사건마스터!$A$5:$A$64,0)),""))</f>
        <v/>
      </c>
      <c r="W587" s="35">
        <f>IF($F587="","",IFERROR(INDEX(사건마스터!$AU$5:$AU$64,MATCH($F587,사건마스터!$A$5:$A$64,0)),""))</f>
        <v/>
      </c>
      <c r="X587" s="35">
        <f>IF($F587="","",IFERROR(INDEX(사건마스터!$AV$5:$AV$64,MATCH($F587,사건마스터!$A$5:$A$64,0)),""))</f>
        <v/>
      </c>
      <c r="Y587" s="30">
        <f>IF($I587="","",COUNTIF($I587:$X587,"?*"))</f>
        <v/>
      </c>
      <c r="Z587" s="33">
        <f>IF($I587="","",_xlfn.TEXTJOIN(", ",TRUE,$I587:$X587))</f>
        <v/>
      </c>
      <c r="AA587" s="34">
        <f>IF($I587="","",IFERROR(INDEX(코드설정!$D$5:$D$24,MATCH($I587,코드설정!$C$5:$C$24,0)),""))</f>
        <v/>
      </c>
      <c r="AB587" s="36" t="n"/>
      <c r="AC587" s="37" t="n"/>
      <c r="AD587" s="38" t="n"/>
      <c r="AE587" s="30">
        <f>IF(OR($B587="",$C587=""),"",$C587-$B587+1)</f>
        <v/>
      </c>
      <c r="AF587" s="32" t="n"/>
      <c r="AG587" s="36" t="n"/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3">
        <f>IF($F588="","",IFERROR(INDEX(사건마스터!$B$5:$B$64,MATCH($F588,사건마스터!$A$5:$A$64,0)),""))</f>
        <v/>
      </c>
      <c r="H588" s="34">
        <f>IF($F588="","",IFERROR(INDEX(사건마스터!$C$5:$C$64,MATCH($F588,사건마스터!$A$5:$A$64,0)),""))</f>
        <v/>
      </c>
      <c r="I588" s="35">
        <f>IF($F588="","",IFERROR(INDEX(사건마스터!$H$5:$H$64,MATCH($F588,사건마스터!$A$5:$A$64,0)),""))</f>
        <v/>
      </c>
      <c r="J588" s="35">
        <f>IF($F588="","",IFERROR(INDEX(사건마스터!$AH$5:$AH$64,MATCH($F588,사건마스터!$A$5:$A$64,0)),""))</f>
        <v/>
      </c>
      <c r="K588" s="35">
        <f>IF($F588="","",IFERROR(INDEX(사건마스터!$AI$5:$AI$64,MATCH($F588,사건마스터!$A$5:$A$64,0)),""))</f>
        <v/>
      </c>
      <c r="L588" s="35">
        <f>IF($F588="","",IFERROR(INDEX(사건마스터!$AJ$5:$AJ$64,MATCH($F588,사건마스터!$A$5:$A$64,0)),""))</f>
        <v/>
      </c>
      <c r="M588" s="35">
        <f>IF($F588="","",IFERROR(INDEX(사건마스터!$AK$5:$AK$64,MATCH($F588,사건마스터!$A$5:$A$64,0)),""))</f>
        <v/>
      </c>
      <c r="N588" s="35">
        <f>IF($F588="","",IFERROR(INDEX(사건마스터!$AL$5:$AL$64,MATCH($F588,사건마스터!$A$5:$A$64,0)),""))</f>
        <v/>
      </c>
      <c r="O588" s="35">
        <f>IF($F588="","",IFERROR(INDEX(사건마스터!$AM$5:$AM$64,MATCH($F588,사건마스터!$A$5:$A$64,0)),""))</f>
        <v/>
      </c>
      <c r="P588" s="35">
        <f>IF($F588="","",IFERROR(INDEX(사건마스터!$AN$5:$AN$64,MATCH($F588,사건마스터!$A$5:$A$64,0)),""))</f>
        <v/>
      </c>
      <c r="Q588" s="35">
        <f>IF($F588="","",IFERROR(INDEX(사건마스터!$AO$5:$AO$64,MATCH($F588,사건마스터!$A$5:$A$64,0)),""))</f>
        <v/>
      </c>
      <c r="R588" s="35">
        <f>IF($F588="","",IFERROR(INDEX(사건마스터!$AP$5:$AP$64,MATCH($F588,사건마스터!$A$5:$A$64,0)),""))</f>
        <v/>
      </c>
      <c r="S588" s="35">
        <f>IF($F588="","",IFERROR(INDEX(사건마스터!$AQ$5:$AQ$64,MATCH($F588,사건마스터!$A$5:$A$64,0)),""))</f>
        <v/>
      </c>
      <c r="T588" s="35">
        <f>IF($F588="","",IFERROR(INDEX(사건마스터!$AR$5:$AR$64,MATCH($F588,사건마스터!$A$5:$A$64,0)),""))</f>
        <v/>
      </c>
      <c r="U588" s="35">
        <f>IF($F588="","",IFERROR(INDEX(사건마스터!$AS$5:$AS$64,MATCH($F588,사건마스터!$A$5:$A$64,0)),""))</f>
        <v/>
      </c>
      <c r="V588" s="35">
        <f>IF($F588="","",IFERROR(INDEX(사건마스터!$AT$5:$AT$64,MATCH($F588,사건마스터!$A$5:$A$64,0)),""))</f>
        <v/>
      </c>
      <c r="W588" s="35">
        <f>IF($F588="","",IFERROR(INDEX(사건마스터!$AU$5:$AU$64,MATCH($F588,사건마스터!$A$5:$A$64,0)),""))</f>
        <v/>
      </c>
      <c r="X588" s="35">
        <f>IF($F588="","",IFERROR(INDEX(사건마스터!$AV$5:$AV$64,MATCH($F588,사건마스터!$A$5:$A$64,0)),""))</f>
        <v/>
      </c>
      <c r="Y588" s="30">
        <f>IF($I588="","",COUNTIF($I588:$X588,"?*"))</f>
        <v/>
      </c>
      <c r="Z588" s="33">
        <f>IF($I588="","",_xlfn.TEXTJOIN(", ",TRUE,$I588:$X588))</f>
        <v/>
      </c>
      <c r="AA588" s="34">
        <f>IF($I588="","",IFERROR(INDEX(코드설정!$D$5:$D$24,MATCH($I588,코드설정!$C$5:$C$24,0)),""))</f>
        <v/>
      </c>
      <c r="AB588" s="36" t="n"/>
      <c r="AC588" s="37" t="n"/>
      <c r="AD588" s="38" t="n"/>
      <c r="AE588" s="30">
        <f>IF(OR($B588="",$C588=""),"",$C588-$B588+1)</f>
        <v/>
      </c>
      <c r="AF588" s="32" t="n"/>
      <c r="AG588" s="36" t="n"/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3">
        <f>IF($F589="","",IFERROR(INDEX(사건마스터!$B$5:$B$64,MATCH($F589,사건마스터!$A$5:$A$64,0)),""))</f>
        <v/>
      </c>
      <c r="H589" s="34">
        <f>IF($F589="","",IFERROR(INDEX(사건마스터!$C$5:$C$64,MATCH($F589,사건마스터!$A$5:$A$64,0)),""))</f>
        <v/>
      </c>
      <c r="I589" s="35">
        <f>IF($F589="","",IFERROR(INDEX(사건마스터!$H$5:$H$64,MATCH($F589,사건마스터!$A$5:$A$64,0)),""))</f>
        <v/>
      </c>
      <c r="J589" s="35">
        <f>IF($F589="","",IFERROR(INDEX(사건마스터!$AH$5:$AH$64,MATCH($F589,사건마스터!$A$5:$A$64,0)),""))</f>
        <v/>
      </c>
      <c r="K589" s="35">
        <f>IF($F589="","",IFERROR(INDEX(사건마스터!$AI$5:$AI$64,MATCH($F589,사건마스터!$A$5:$A$64,0)),""))</f>
        <v/>
      </c>
      <c r="L589" s="35">
        <f>IF($F589="","",IFERROR(INDEX(사건마스터!$AJ$5:$AJ$64,MATCH($F589,사건마스터!$A$5:$A$64,0)),""))</f>
        <v/>
      </c>
      <c r="M589" s="35">
        <f>IF($F589="","",IFERROR(INDEX(사건마스터!$AK$5:$AK$64,MATCH($F589,사건마스터!$A$5:$A$64,0)),""))</f>
        <v/>
      </c>
      <c r="N589" s="35">
        <f>IF($F589="","",IFERROR(INDEX(사건마스터!$AL$5:$AL$64,MATCH($F589,사건마스터!$A$5:$A$64,0)),""))</f>
        <v/>
      </c>
      <c r="O589" s="35">
        <f>IF($F589="","",IFERROR(INDEX(사건마스터!$AM$5:$AM$64,MATCH($F589,사건마스터!$A$5:$A$64,0)),""))</f>
        <v/>
      </c>
      <c r="P589" s="35">
        <f>IF($F589="","",IFERROR(INDEX(사건마스터!$AN$5:$AN$64,MATCH($F589,사건마스터!$A$5:$A$64,0)),""))</f>
        <v/>
      </c>
      <c r="Q589" s="35">
        <f>IF($F589="","",IFERROR(INDEX(사건마스터!$AO$5:$AO$64,MATCH($F589,사건마스터!$A$5:$A$64,0)),""))</f>
        <v/>
      </c>
      <c r="R589" s="35">
        <f>IF($F589="","",IFERROR(INDEX(사건마스터!$AP$5:$AP$64,MATCH($F589,사건마스터!$A$5:$A$64,0)),""))</f>
        <v/>
      </c>
      <c r="S589" s="35">
        <f>IF($F589="","",IFERROR(INDEX(사건마스터!$AQ$5:$AQ$64,MATCH($F589,사건마스터!$A$5:$A$64,0)),""))</f>
        <v/>
      </c>
      <c r="T589" s="35">
        <f>IF($F589="","",IFERROR(INDEX(사건마스터!$AR$5:$AR$64,MATCH($F589,사건마스터!$A$5:$A$64,0)),""))</f>
        <v/>
      </c>
      <c r="U589" s="35">
        <f>IF($F589="","",IFERROR(INDEX(사건마스터!$AS$5:$AS$64,MATCH($F589,사건마스터!$A$5:$A$64,0)),""))</f>
        <v/>
      </c>
      <c r="V589" s="35">
        <f>IF($F589="","",IFERROR(INDEX(사건마스터!$AT$5:$AT$64,MATCH($F589,사건마스터!$A$5:$A$64,0)),""))</f>
        <v/>
      </c>
      <c r="W589" s="35">
        <f>IF($F589="","",IFERROR(INDEX(사건마스터!$AU$5:$AU$64,MATCH($F589,사건마스터!$A$5:$A$64,0)),""))</f>
        <v/>
      </c>
      <c r="X589" s="35">
        <f>IF($F589="","",IFERROR(INDEX(사건마스터!$AV$5:$AV$64,MATCH($F589,사건마스터!$A$5:$A$64,0)),""))</f>
        <v/>
      </c>
      <c r="Y589" s="30">
        <f>IF($I589="","",COUNTIF($I589:$X589,"?*"))</f>
        <v/>
      </c>
      <c r="Z589" s="33">
        <f>IF($I589="","",_xlfn.TEXTJOIN(", ",TRUE,$I589:$X589))</f>
        <v/>
      </c>
      <c r="AA589" s="34">
        <f>IF($I589="","",IFERROR(INDEX(코드설정!$D$5:$D$24,MATCH($I589,코드설정!$C$5:$C$24,0)),""))</f>
        <v/>
      </c>
      <c r="AB589" s="36" t="n"/>
      <c r="AC589" s="37" t="n"/>
      <c r="AD589" s="38" t="n"/>
      <c r="AE589" s="30">
        <f>IF(OR($B589="",$C589=""),"",$C589-$B589+1)</f>
        <v/>
      </c>
      <c r="AF589" s="32" t="n"/>
      <c r="AG589" s="36" t="n"/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3">
        <f>IF($F590="","",IFERROR(INDEX(사건마스터!$B$5:$B$64,MATCH($F590,사건마스터!$A$5:$A$64,0)),""))</f>
        <v/>
      </c>
      <c r="H590" s="34">
        <f>IF($F590="","",IFERROR(INDEX(사건마스터!$C$5:$C$64,MATCH($F590,사건마스터!$A$5:$A$64,0)),""))</f>
        <v/>
      </c>
      <c r="I590" s="35">
        <f>IF($F590="","",IFERROR(INDEX(사건마스터!$H$5:$H$64,MATCH($F590,사건마스터!$A$5:$A$64,0)),""))</f>
        <v/>
      </c>
      <c r="J590" s="35">
        <f>IF($F590="","",IFERROR(INDEX(사건마스터!$AH$5:$AH$64,MATCH($F590,사건마스터!$A$5:$A$64,0)),""))</f>
        <v/>
      </c>
      <c r="K590" s="35">
        <f>IF($F590="","",IFERROR(INDEX(사건마스터!$AI$5:$AI$64,MATCH($F590,사건마스터!$A$5:$A$64,0)),""))</f>
        <v/>
      </c>
      <c r="L590" s="35">
        <f>IF($F590="","",IFERROR(INDEX(사건마스터!$AJ$5:$AJ$64,MATCH($F590,사건마스터!$A$5:$A$64,0)),""))</f>
        <v/>
      </c>
      <c r="M590" s="35">
        <f>IF($F590="","",IFERROR(INDEX(사건마스터!$AK$5:$AK$64,MATCH($F590,사건마스터!$A$5:$A$64,0)),""))</f>
        <v/>
      </c>
      <c r="N590" s="35">
        <f>IF($F590="","",IFERROR(INDEX(사건마스터!$AL$5:$AL$64,MATCH($F590,사건마스터!$A$5:$A$64,0)),""))</f>
        <v/>
      </c>
      <c r="O590" s="35">
        <f>IF($F590="","",IFERROR(INDEX(사건마스터!$AM$5:$AM$64,MATCH($F590,사건마스터!$A$5:$A$64,0)),""))</f>
        <v/>
      </c>
      <c r="P590" s="35">
        <f>IF($F590="","",IFERROR(INDEX(사건마스터!$AN$5:$AN$64,MATCH($F590,사건마스터!$A$5:$A$64,0)),""))</f>
        <v/>
      </c>
      <c r="Q590" s="35">
        <f>IF($F590="","",IFERROR(INDEX(사건마스터!$AO$5:$AO$64,MATCH($F590,사건마스터!$A$5:$A$64,0)),""))</f>
        <v/>
      </c>
      <c r="R590" s="35">
        <f>IF($F590="","",IFERROR(INDEX(사건마스터!$AP$5:$AP$64,MATCH($F590,사건마스터!$A$5:$A$64,0)),""))</f>
        <v/>
      </c>
      <c r="S590" s="35">
        <f>IF($F590="","",IFERROR(INDEX(사건마스터!$AQ$5:$AQ$64,MATCH($F590,사건마스터!$A$5:$A$64,0)),""))</f>
        <v/>
      </c>
      <c r="T590" s="35">
        <f>IF($F590="","",IFERROR(INDEX(사건마스터!$AR$5:$AR$64,MATCH($F590,사건마스터!$A$5:$A$64,0)),""))</f>
        <v/>
      </c>
      <c r="U590" s="35">
        <f>IF($F590="","",IFERROR(INDEX(사건마스터!$AS$5:$AS$64,MATCH($F590,사건마스터!$A$5:$A$64,0)),""))</f>
        <v/>
      </c>
      <c r="V590" s="35">
        <f>IF($F590="","",IFERROR(INDEX(사건마스터!$AT$5:$AT$64,MATCH($F590,사건마스터!$A$5:$A$64,0)),""))</f>
        <v/>
      </c>
      <c r="W590" s="35">
        <f>IF($F590="","",IFERROR(INDEX(사건마스터!$AU$5:$AU$64,MATCH($F590,사건마스터!$A$5:$A$64,0)),""))</f>
        <v/>
      </c>
      <c r="X590" s="35">
        <f>IF($F590="","",IFERROR(INDEX(사건마스터!$AV$5:$AV$64,MATCH($F590,사건마스터!$A$5:$A$64,0)),""))</f>
        <v/>
      </c>
      <c r="Y590" s="30">
        <f>IF($I590="","",COUNTIF($I590:$X590,"?*"))</f>
        <v/>
      </c>
      <c r="Z590" s="33">
        <f>IF($I590="","",_xlfn.TEXTJOIN(", ",TRUE,$I590:$X590))</f>
        <v/>
      </c>
      <c r="AA590" s="34">
        <f>IF($I590="","",IFERROR(INDEX(코드설정!$D$5:$D$24,MATCH($I590,코드설정!$C$5:$C$24,0)),""))</f>
        <v/>
      </c>
      <c r="AB590" s="36" t="n"/>
      <c r="AC590" s="37" t="n"/>
      <c r="AD590" s="38" t="n"/>
      <c r="AE590" s="30">
        <f>IF(OR($B590="",$C590=""),"",$C590-$B590+1)</f>
        <v/>
      </c>
      <c r="AF590" s="32" t="n"/>
      <c r="AG590" s="36" t="n"/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3">
        <f>IF($F591="","",IFERROR(INDEX(사건마스터!$B$5:$B$64,MATCH($F591,사건마스터!$A$5:$A$64,0)),""))</f>
        <v/>
      </c>
      <c r="H591" s="34">
        <f>IF($F591="","",IFERROR(INDEX(사건마스터!$C$5:$C$64,MATCH($F591,사건마스터!$A$5:$A$64,0)),""))</f>
        <v/>
      </c>
      <c r="I591" s="35">
        <f>IF($F591="","",IFERROR(INDEX(사건마스터!$H$5:$H$64,MATCH($F591,사건마스터!$A$5:$A$64,0)),""))</f>
        <v/>
      </c>
      <c r="J591" s="35">
        <f>IF($F591="","",IFERROR(INDEX(사건마스터!$AH$5:$AH$64,MATCH($F591,사건마스터!$A$5:$A$64,0)),""))</f>
        <v/>
      </c>
      <c r="K591" s="35">
        <f>IF($F591="","",IFERROR(INDEX(사건마스터!$AI$5:$AI$64,MATCH($F591,사건마스터!$A$5:$A$64,0)),""))</f>
        <v/>
      </c>
      <c r="L591" s="35">
        <f>IF($F591="","",IFERROR(INDEX(사건마스터!$AJ$5:$AJ$64,MATCH($F591,사건마스터!$A$5:$A$64,0)),""))</f>
        <v/>
      </c>
      <c r="M591" s="35">
        <f>IF($F591="","",IFERROR(INDEX(사건마스터!$AK$5:$AK$64,MATCH($F591,사건마스터!$A$5:$A$64,0)),""))</f>
        <v/>
      </c>
      <c r="N591" s="35">
        <f>IF($F591="","",IFERROR(INDEX(사건마스터!$AL$5:$AL$64,MATCH($F591,사건마스터!$A$5:$A$64,0)),""))</f>
        <v/>
      </c>
      <c r="O591" s="35">
        <f>IF($F591="","",IFERROR(INDEX(사건마스터!$AM$5:$AM$64,MATCH($F591,사건마스터!$A$5:$A$64,0)),""))</f>
        <v/>
      </c>
      <c r="P591" s="35">
        <f>IF($F591="","",IFERROR(INDEX(사건마스터!$AN$5:$AN$64,MATCH($F591,사건마스터!$A$5:$A$64,0)),""))</f>
        <v/>
      </c>
      <c r="Q591" s="35">
        <f>IF($F591="","",IFERROR(INDEX(사건마스터!$AO$5:$AO$64,MATCH($F591,사건마스터!$A$5:$A$64,0)),""))</f>
        <v/>
      </c>
      <c r="R591" s="35">
        <f>IF($F591="","",IFERROR(INDEX(사건마스터!$AP$5:$AP$64,MATCH($F591,사건마스터!$A$5:$A$64,0)),""))</f>
        <v/>
      </c>
      <c r="S591" s="35">
        <f>IF($F591="","",IFERROR(INDEX(사건마스터!$AQ$5:$AQ$64,MATCH($F591,사건마스터!$A$5:$A$64,0)),""))</f>
        <v/>
      </c>
      <c r="T591" s="35">
        <f>IF($F591="","",IFERROR(INDEX(사건마스터!$AR$5:$AR$64,MATCH($F591,사건마스터!$A$5:$A$64,0)),""))</f>
        <v/>
      </c>
      <c r="U591" s="35">
        <f>IF($F591="","",IFERROR(INDEX(사건마스터!$AS$5:$AS$64,MATCH($F591,사건마스터!$A$5:$A$64,0)),""))</f>
        <v/>
      </c>
      <c r="V591" s="35">
        <f>IF($F591="","",IFERROR(INDEX(사건마스터!$AT$5:$AT$64,MATCH($F591,사건마스터!$A$5:$A$64,0)),""))</f>
        <v/>
      </c>
      <c r="W591" s="35">
        <f>IF($F591="","",IFERROR(INDEX(사건마스터!$AU$5:$AU$64,MATCH($F591,사건마스터!$A$5:$A$64,0)),""))</f>
        <v/>
      </c>
      <c r="X591" s="35">
        <f>IF($F591="","",IFERROR(INDEX(사건마스터!$AV$5:$AV$64,MATCH($F591,사건마스터!$A$5:$A$64,0)),""))</f>
        <v/>
      </c>
      <c r="Y591" s="30">
        <f>IF($I591="","",COUNTIF($I591:$X591,"?*"))</f>
        <v/>
      </c>
      <c r="Z591" s="33">
        <f>IF($I591="","",_xlfn.TEXTJOIN(", ",TRUE,$I591:$X591))</f>
        <v/>
      </c>
      <c r="AA591" s="34">
        <f>IF($I591="","",IFERROR(INDEX(코드설정!$D$5:$D$24,MATCH($I591,코드설정!$C$5:$C$24,0)),""))</f>
        <v/>
      </c>
      <c r="AB591" s="36" t="n"/>
      <c r="AC591" s="37" t="n"/>
      <c r="AD591" s="38" t="n"/>
      <c r="AE591" s="30">
        <f>IF(OR($B591="",$C591=""),"",$C591-$B591+1)</f>
        <v/>
      </c>
      <c r="AF591" s="32" t="n"/>
      <c r="AG591" s="36" t="n"/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3">
        <f>IF($F592="","",IFERROR(INDEX(사건마스터!$B$5:$B$64,MATCH($F592,사건마스터!$A$5:$A$64,0)),""))</f>
        <v/>
      </c>
      <c r="H592" s="34">
        <f>IF($F592="","",IFERROR(INDEX(사건마스터!$C$5:$C$64,MATCH($F592,사건마스터!$A$5:$A$64,0)),""))</f>
        <v/>
      </c>
      <c r="I592" s="35">
        <f>IF($F592="","",IFERROR(INDEX(사건마스터!$H$5:$H$64,MATCH($F592,사건마스터!$A$5:$A$64,0)),""))</f>
        <v/>
      </c>
      <c r="J592" s="35">
        <f>IF($F592="","",IFERROR(INDEX(사건마스터!$AH$5:$AH$64,MATCH($F592,사건마스터!$A$5:$A$64,0)),""))</f>
        <v/>
      </c>
      <c r="K592" s="35">
        <f>IF($F592="","",IFERROR(INDEX(사건마스터!$AI$5:$AI$64,MATCH($F592,사건마스터!$A$5:$A$64,0)),""))</f>
        <v/>
      </c>
      <c r="L592" s="35">
        <f>IF($F592="","",IFERROR(INDEX(사건마스터!$AJ$5:$AJ$64,MATCH($F592,사건마스터!$A$5:$A$64,0)),""))</f>
        <v/>
      </c>
      <c r="M592" s="35">
        <f>IF($F592="","",IFERROR(INDEX(사건마스터!$AK$5:$AK$64,MATCH($F592,사건마스터!$A$5:$A$64,0)),""))</f>
        <v/>
      </c>
      <c r="N592" s="35">
        <f>IF($F592="","",IFERROR(INDEX(사건마스터!$AL$5:$AL$64,MATCH($F592,사건마스터!$A$5:$A$64,0)),""))</f>
        <v/>
      </c>
      <c r="O592" s="35">
        <f>IF($F592="","",IFERROR(INDEX(사건마스터!$AM$5:$AM$64,MATCH($F592,사건마스터!$A$5:$A$64,0)),""))</f>
        <v/>
      </c>
      <c r="P592" s="35">
        <f>IF($F592="","",IFERROR(INDEX(사건마스터!$AN$5:$AN$64,MATCH($F592,사건마스터!$A$5:$A$64,0)),""))</f>
        <v/>
      </c>
      <c r="Q592" s="35">
        <f>IF($F592="","",IFERROR(INDEX(사건마스터!$AO$5:$AO$64,MATCH($F592,사건마스터!$A$5:$A$64,0)),""))</f>
        <v/>
      </c>
      <c r="R592" s="35">
        <f>IF($F592="","",IFERROR(INDEX(사건마스터!$AP$5:$AP$64,MATCH($F592,사건마스터!$A$5:$A$64,0)),""))</f>
        <v/>
      </c>
      <c r="S592" s="35">
        <f>IF($F592="","",IFERROR(INDEX(사건마스터!$AQ$5:$AQ$64,MATCH($F592,사건마스터!$A$5:$A$64,0)),""))</f>
        <v/>
      </c>
      <c r="T592" s="35">
        <f>IF($F592="","",IFERROR(INDEX(사건마스터!$AR$5:$AR$64,MATCH($F592,사건마스터!$A$5:$A$64,0)),""))</f>
        <v/>
      </c>
      <c r="U592" s="35">
        <f>IF($F592="","",IFERROR(INDEX(사건마스터!$AS$5:$AS$64,MATCH($F592,사건마스터!$A$5:$A$64,0)),""))</f>
        <v/>
      </c>
      <c r="V592" s="35">
        <f>IF($F592="","",IFERROR(INDEX(사건마스터!$AT$5:$AT$64,MATCH($F592,사건마스터!$A$5:$A$64,0)),""))</f>
        <v/>
      </c>
      <c r="W592" s="35">
        <f>IF($F592="","",IFERROR(INDEX(사건마스터!$AU$5:$AU$64,MATCH($F592,사건마스터!$A$5:$A$64,0)),""))</f>
        <v/>
      </c>
      <c r="X592" s="35">
        <f>IF($F592="","",IFERROR(INDEX(사건마스터!$AV$5:$AV$64,MATCH($F592,사건마스터!$A$5:$A$64,0)),""))</f>
        <v/>
      </c>
      <c r="Y592" s="30">
        <f>IF($I592="","",COUNTIF($I592:$X592,"?*"))</f>
        <v/>
      </c>
      <c r="Z592" s="33">
        <f>IF($I592="","",_xlfn.TEXTJOIN(", ",TRUE,$I592:$X592))</f>
        <v/>
      </c>
      <c r="AA592" s="34">
        <f>IF($I592="","",IFERROR(INDEX(코드설정!$D$5:$D$24,MATCH($I592,코드설정!$C$5:$C$24,0)),""))</f>
        <v/>
      </c>
      <c r="AB592" s="36" t="n"/>
      <c r="AC592" s="37" t="n"/>
      <c r="AD592" s="38" t="n"/>
      <c r="AE592" s="30">
        <f>IF(OR($B592="",$C592=""),"",$C592-$B592+1)</f>
        <v/>
      </c>
      <c r="AF592" s="32" t="n"/>
      <c r="AG592" s="36" t="n"/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3">
        <f>IF($F593="","",IFERROR(INDEX(사건마스터!$B$5:$B$64,MATCH($F593,사건마스터!$A$5:$A$64,0)),""))</f>
        <v/>
      </c>
      <c r="H593" s="34">
        <f>IF($F593="","",IFERROR(INDEX(사건마스터!$C$5:$C$64,MATCH($F593,사건마스터!$A$5:$A$64,0)),""))</f>
        <v/>
      </c>
      <c r="I593" s="35">
        <f>IF($F593="","",IFERROR(INDEX(사건마스터!$H$5:$H$64,MATCH($F593,사건마스터!$A$5:$A$64,0)),""))</f>
        <v/>
      </c>
      <c r="J593" s="35">
        <f>IF($F593="","",IFERROR(INDEX(사건마스터!$AH$5:$AH$64,MATCH($F593,사건마스터!$A$5:$A$64,0)),""))</f>
        <v/>
      </c>
      <c r="K593" s="35">
        <f>IF($F593="","",IFERROR(INDEX(사건마스터!$AI$5:$AI$64,MATCH($F593,사건마스터!$A$5:$A$64,0)),""))</f>
        <v/>
      </c>
      <c r="L593" s="35">
        <f>IF($F593="","",IFERROR(INDEX(사건마스터!$AJ$5:$AJ$64,MATCH($F593,사건마스터!$A$5:$A$64,0)),""))</f>
        <v/>
      </c>
      <c r="M593" s="35">
        <f>IF($F593="","",IFERROR(INDEX(사건마스터!$AK$5:$AK$64,MATCH($F593,사건마스터!$A$5:$A$64,0)),""))</f>
        <v/>
      </c>
      <c r="N593" s="35">
        <f>IF($F593="","",IFERROR(INDEX(사건마스터!$AL$5:$AL$64,MATCH($F593,사건마스터!$A$5:$A$64,0)),""))</f>
        <v/>
      </c>
      <c r="O593" s="35">
        <f>IF($F593="","",IFERROR(INDEX(사건마스터!$AM$5:$AM$64,MATCH($F593,사건마스터!$A$5:$A$64,0)),""))</f>
        <v/>
      </c>
      <c r="P593" s="35">
        <f>IF($F593="","",IFERROR(INDEX(사건마스터!$AN$5:$AN$64,MATCH($F593,사건마스터!$A$5:$A$64,0)),""))</f>
        <v/>
      </c>
      <c r="Q593" s="35">
        <f>IF($F593="","",IFERROR(INDEX(사건마스터!$AO$5:$AO$64,MATCH($F593,사건마스터!$A$5:$A$64,0)),""))</f>
        <v/>
      </c>
      <c r="R593" s="35">
        <f>IF($F593="","",IFERROR(INDEX(사건마스터!$AP$5:$AP$64,MATCH($F593,사건마스터!$A$5:$A$64,0)),""))</f>
        <v/>
      </c>
      <c r="S593" s="35">
        <f>IF($F593="","",IFERROR(INDEX(사건마스터!$AQ$5:$AQ$64,MATCH($F593,사건마스터!$A$5:$A$64,0)),""))</f>
        <v/>
      </c>
      <c r="T593" s="35">
        <f>IF($F593="","",IFERROR(INDEX(사건마스터!$AR$5:$AR$64,MATCH($F593,사건마스터!$A$5:$A$64,0)),""))</f>
        <v/>
      </c>
      <c r="U593" s="35">
        <f>IF($F593="","",IFERROR(INDEX(사건마스터!$AS$5:$AS$64,MATCH($F593,사건마스터!$A$5:$A$64,0)),""))</f>
        <v/>
      </c>
      <c r="V593" s="35">
        <f>IF($F593="","",IFERROR(INDEX(사건마스터!$AT$5:$AT$64,MATCH($F593,사건마스터!$A$5:$A$64,0)),""))</f>
        <v/>
      </c>
      <c r="W593" s="35">
        <f>IF($F593="","",IFERROR(INDEX(사건마스터!$AU$5:$AU$64,MATCH($F593,사건마스터!$A$5:$A$64,0)),""))</f>
        <v/>
      </c>
      <c r="X593" s="35">
        <f>IF($F593="","",IFERROR(INDEX(사건마스터!$AV$5:$AV$64,MATCH($F593,사건마스터!$A$5:$A$64,0)),""))</f>
        <v/>
      </c>
      <c r="Y593" s="30">
        <f>IF($I593="","",COUNTIF($I593:$X593,"?*"))</f>
        <v/>
      </c>
      <c r="Z593" s="33">
        <f>IF($I593="","",_xlfn.TEXTJOIN(", ",TRUE,$I593:$X593))</f>
        <v/>
      </c>
      <c r="AA593" s="34">
        <f>IF($I593="","",IFERROR(INDEX(코드설정!$D$5:$D$24,MATCH($I593,코드설정!$C$5:$C$24,0)),""))</f>
        <v/>
      </c>
      <c r="AB593" s="36" t="n"/>
      <c r="AC593" s="37" t="n"/>
      <c r="AD593" s="38" t="n"/>
      <c r="AE593" s="30">
        <f>IF(OR($B593="",$C593=""),"",$C593-$B593+1)</f>
        <v/>
      </c>
      <c r="AF593" s="32" t="n"/>
      <c r="AG593" s="36" t="n"/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3">
        <f>IF($F594="","",IFERROR(INDEX(사건마스터!$B$5:$B$64,MATCH($F594,사건마스터!$A$5:$A$64,0)),""))</f>
        <v/>
      </c>
      <c r="H594" s="34">
        <f>IF($F594="","",IFERROR(INDEX(사건마스터!$C$5:$C$64,MATCH($F594,사건마스터!$A$5:$A$64,0)),""))</f>
        <v/>
      </c>
      <c r="I594" s="35">
        <f>IF($F594="","",IFERROR(INDEX(사건마스터!$H$5:$H$64,MATCH($F594,사건마스터!$A$5:$A$64,0)),""))</f>
        <v/>
      </c>
      <c r="J594" s="35">
        <f>IF($F594="","",IFERROR(INDEX(사건마스터!$AH$5:$AH$64,MATCH($F594,사건마스터!$A$5:$A$64,0)),""))</f>
        <v/>
      </c>
      <c r="K594" s="35">
        <f>IF($F594="","",IFERROR(INDEX(사건마스터!$AI$5:$AI$64,MATCH($F594,사건마스터!$A$5:$A$64,0)),""))</f>
        <v/>
      </c>
      <c r="L594" s="35">
        <f>IF($F594="","",IFERROR(INDEX(사건마스터!$AJ$5:$AJ$64,MATCH($F594,사건마스터!$A$5:$A$64,0)),""))</f>
        <v/>
      </c>
      <c r="M594" s="35">
        <f>IF($F594="","",IFERROR(INDEX(사건마스터!$AK$5:$AK$64,MATCH($F594,사건마스터!$A$5:$A$64,0)),""))</f>
        <v/>
      </c>
      <c r="N594" s="35">
        <f>IF($F594="","",IFERROR(INDEX(사건마스터!$AL$5:$AL$64,MATCH($F594,사건마스터!$A$5:$A$64,0)),""))</f>
        <v/>
      </c>
      <c r="O594" s="35">
        <f>IF($F594="","",IFERROR(INDEX(사건마스터!$AM$5:$AM$64,MATCH($F594,사건마스터!$A$5:$A$64,0)),""))</f>
        <v/>
      </c>
      <c r="P594" s="35">
        <f>IF($F594="","",IFERROR(INDEX(사건마스터!$AN$5:$AN$64,MATCH($F594,사건마스터!$A$5:$A$64,0)),""))</f>
        <v/>
      </c>
      <c r="Q594" s="35">
        <f>IF($F594="","",IFERROR(INDEX(사건마스터!$AO$5:$AO$64,MATCH($F594,사건마스터!$A$5:$A$64,0)),""))</f>
        <v/>
      </c>
      <c r="R594" s="35">
        <f>IF($F594="","",IFERROR(INDEX(사건마스터!$AP$5:$AP$64,MATCH($F594,사건마스터!$A$5:$A$64,0)),""))</f>
        <v/>
      </c>
      <c r="S594" s="35">
        <f>IF($F594="","",IFERROR(INDEX(사건마스터!$AQ$5:$AQ$64,MATCH($F594,사건마스터!$A$5:$A$64,0)),""))</f>
        <v/>
      </c>
      <c r="T594" s="35">
        <f>IF($F594="","",IFERROR(INDEX(사건마스터!$AR$5:$AR$64,MATCH($F594,사건마스터!$A$5:$A$64,0)),""))</f>
        <v/>
      </c>
      <c r="U594" s="35">
        <f>IF($F594="","",IFERROR(INDEX(사건마스터!$AS$5:$AS$64,MATCH($F594,사건마스터!$A$5:$A$64,0)),""))</f>
        <v/>
      </c>
      <c r="V594" s="35">
        <f>IF($F594="","",IFERROR(INDEX(사건마스터!$AT$5:$AT$64,MATCH($F594,사건마스터!$A$5:$A$64,0)),""))</f>
        <v/>
      </c>
      <c r="W594" s="35">
        <f>IF($F594="","",IFERROR(INDEX(사건마스터!$AU$5:$AU$64,MATCH($F594,사건마스터!$A$5:$A$64,0)),""))</f>
        <v/>
      </c>
      <c r="X594" s="35">
        <f>IF($F594="","",IFERROR(INDEX(사건마스터!$AV$5:$AV$64,MATCH($F594,사건마스터!$A$5:$A$64,0)),""))</f>
        <v/>
      </c>
      <c r="Y594" s="30">
        <f>IF($I594="","",COUNTIF($I594:$X594,"?*"))</f>
        <v/>
      </c>
      <c r="Z594" s="33">
        <f>IF($I594="","",_xlfn.TEXTJOIN(", ",TRUE,$I594:$X594))</f>
        <v/>
      </c>
      <c r="AA594" s="34">
        <f>IF($I594="","",IFERROR(INDEX(코드설정!$D$5:$D$24,MATCH($I594,코드설정!$C$5:$C$24,0)),""))</f>
        <v/>
      </c>
      <c r="AB594" s="36" t="n"/>
      <c r="AC594" s="37" t="n"/>
      <c r="AD594" s="38" t="n"/>
      <c r="AE594" s="30">
        <f>IF(OR($B594="",$C594=""),"",$C594-$B594+1)</f>
        <v/>
      </c>
      <c r="AF594" s="32" t="n"/>
      <c r="AG594" s="36" t="n"/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3">
        <f>IF($F595="","",IFERROR(INDEX(사건마스터!$B$5:$B$64,MATCH($F595,사건마스터!$A$5:$A$64,0)),""))</f>
        <v/>
      </c>
      <c r="H595" s="34">
        <f>IF($F595="","",IFERROR(INDEX(사건마스터!$C$5:$C$64,MATCH($F595,사건마스터!$A$5:$A$64,0)),""))</f>
        <v/>
      </c>
      <c r="I595" s="35">
        <f>IF($F595="","",IFERROR(INDEX(사건마스터!$H$5:$H$64,MATCH($F595,사건마스터!$A$5:$A$64,0)),""))</f>
        <v/>
      </c>
      <c r="J595" s="35">
        <f>IF($F595="","",IFERROR(INDEX(사건마스터!$AH$5:$AH$64,MATCH($F595,사건마스터!$A$5:$A$64,0)),""))</f>
        <v/>
      </c>
      <c r="K595" s="35">
        <f>IF($F595="","",IFERROR(INDEX(사건마스터!$AI$5:$AI$64,MATCH($F595,사건마스터!$A$5:$A$64,0)),""))</f>
        <v/>
      </c>
      <c r="L595" s="35">
        <f>IF($F595="","",IFERROR(INDEX(사건마스터!$AJ$5:$AJ$64,MATCH($F595,사건마스터!$A$5:$A$64,0)),""))</f>
        <v/>
      </c>
      <c r="M595" s="35">
        <f>IF($F595="","",IFERROR(INDEX(사건마스터!$AK$5:$AK$64,MATCH($F595,사건마스터!$A$5:$A$64,0)),""))</f>
        <v/>
      </c>
      <c r="N595" s="35">
        <f>IF($F595="","",IFERROR(INDEX(사건마스터!$AL$5:$AL$64,MATCH($F595,사건마스터!$A$5:$A$64,0)),""))</f>
        <v/>
      </c>
      <c r="O595" s="35">
        <f>IF($F595="","",IFERROR(INDEX(사건마스터!$AM$5:$AM$64,MATCH($F595,사건마스터!$A$5:$A$64,0)),""))</f>
        <v/>
      </c>
      <c r="P595" s="35">
        <f>IF($F595="","",IFERROR(INDEX(사건마스터!$AN$5:$AN$64,MATCH($F595,사건마스터!$A$5:$A$64,0)),""))</f>
        <v/>
      </c>
      <c r="Q595" s="35">
        <f>IF($F595="","",IFERROR(INDEX(사건마스터!$AO$5:$AO$64,MATCH($F595,사건마스터!$A$5:$A$64,0)),""))</f>
        <v/>
      </c>
      <c r="R595" s="35">
        <f>IF($F595="","",IFERROR(INDEX(사건마스터!$AP$5:$AP$64,MATCH($F595,사건마스터!$A$5:$A$64,0)),""))</f>
        <v/>
      </c>
      <c r="S595" s="35">
        <f>IF($F595="","",IFERROR(INDEX(사건마스터!$AQ$5:$AQ$64,MATCH($F595,사건마스터!$A$5:$A$64,0)),""))</f>
        <v/>
      </c>
      <c r="T595" s="35">
        <f>IF($F595="","",IFERROR(INDEX(사건마스터!$AR$5:$AR$64,MATCH($F595,사건마스터!$A$5:$A$64,0)),""))</f>
        <v/>
      </c>
      <c r="U595" s="35">
        <f>IF($F595="","",IFERROR(INDEX(사건마스터!$AS$5:$AS$64,MATCH($F595,사건마스터!$A$5:$A$64,0)),""))</f>
        <v/>
      </c>
      <c r="V595" s="35">
        <f>IF($F595="","",IFERROR(INDEX(사건마스터!$AT$5:$AT$64,MATCH($F595,사건마스터!$A$5:$A$64,0)),""))</f>
        <v/>
      </c>
      <c r="W595" s="35">
        <f>IF($F595="","",IFERROR(INDEX(사건마스터!$AU$5:$AU$64,MATCH($F595,사건마스터!$A$5:$A$64,0)),""))</f>
        <v/>
      </c>
      <c r="X595" s="35">
        <f>IF($F595="","",IFERROR(INDEX(사건마스터!$AV$5:$AV$64,MATCH($F595,사건마스터!$A$5:$A$64,0)),""))</f>
        <v/>
      </c>
      <c r="Y595" s="30">
        <f>IF($I595="","",COUNTIF($I595:$X595,"?*"))</f>
        <v/>
      </c>
      <c r="Z595" s="33">
        <f>IF($I595="","",_xlfn.TEXTJOIN(", ",TRUE,$I595:$X595))</f>
        <v/>
      </c>
      <c r="AA595" s="34">
        <f>IF($I595="","",IFERROR(INDEX(코드설정!$D$5:$D$24,MATCH($I595,코드설정!$C$5:$C$24,0)),""))</f>
        <v/>
      </c>
      <c r="AB595" s="36" t="n"/>
      <c r="AC595" s="37" t="n"/>
      <c r="AD595" s="38" t="n"/>
      <c r="AE595" s="30">
        <f>IF(OR($B595="",$C595=""),"",$C595-$B595+1)</f>
        <v/>
      </c>
      <c r="AF595" s="32" t="n"/>
      <c r="AG595" s="36" t="n"/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3">
        <f>IF($F596="","",IFERROR(INDEX(사건마스터!$B$5:$B$64,MATCH($F596,사건마스터!$A$5:$A$64,0)),""))</f>
        <v/>
      </c>
      <c r="H596" s="34">
        <f>IF($F596="","",IFERROR(INDEX(사건마스터!$C$5:$C$64,MATCH($F596,사건마스터!$A$5:$A$64,0)),""))</f>
        <v/>
      </c>
      <c r="I596" s="35">
        <f>IF($F596="","",IFERROR(INDEX(사건마스터!$H$5:$H$64,MATCH($F596,사건마스터!$A$5:$A$64,0)),""))</f>
        <v/>
      </c>
      <c r="J596" s="35">
        <f>IF($F596="","",IFERROR(INDEX(사건마스터!$AH$5:$AH$64,MATCH($F596,사건마스터!$A$5:$A$64,0)),""))</f>
        <v/>
      </c>
      <c r="K596" s="35">
        <f>IF($F596="","",IFERROR(INDEX(사건마스터!$AI$5:$AI$64,MATCH($F596,사건마스터!$A$5:$A$64,0)),""))</f>
        <v/>
      </c>
      <c r="L596" s="35">
        <f>IF($F596="","",IFERROR(INDEX(사건마스터!$AJ$5:$AJ$64,MATCH($F596,사건마스터!$A$5:$A$64,0)),""))</f>
        <v/>
      </c>
      <c r="M596" s="35">
        <f>IF($F596="","",IFERROR(INDEX(사건마스터!$AK$5:$AK$64,MATCH($F596,사건마스터!$A$5:$A$64,0)),""))</f>
        <v/>
      </c>
      <c r="N596" s="35">
        <f>IF($F596="","",IFERROR(INDEX(사건마스터!$AL$5:$AL$64,MATCH($F596,사건마스터!$A$5:$A$64,0)),""))</f>
        <v/>
      </c>
      <c r="O596" s="35">
        <f>IF($F596="","",IFERROR(INDEX(사건마스터!$AM$5:$AM$64,MATCH($F596,사건마스터!$A$5:$A$64,0)),""))</f>
        <v/>
      </c>
      <c r="P596" s="35">
        <f>IF($F596="","",IFERROR(INDEX(사건마스터!$AN$5:$AN$64,MATCH($F596,사건마스터!$A$5:$A$64,0)),""))</f>
        <v/>
      </c>
      <c r="Q596" s="35">
        <f>IF($F596="","",IFERROR(INDEX(사건마스터!$AO$5:$AO$64,MATCH($F596,사건마스터!$A$5:$A$64,0)),""))</f>
        <v/>
      </c>
      <c r="R596" s="35">
        <f>IF($F596="","",IFERROR(INDEX(사건마스터!$AP$5:$AP$64,MATCH($F596,사건마스터!$A$5:$A$64,0)),""))</f>
        <v/>
      </c>
      <c r="S596" s="35">
        <f>IF($F596="","",IFERROR(INDEX(사건마스터!$AQ$5:$AQ$64,MATCH($F596,사건마스터!$A$5:$A$64,0)),""))</f>
        <v/>
      </c>
      <c r="T596" s="35">
        <f>IF($F596="","",IFERROR(INDEX(사건마스터!$AR$5:$AR$64,MATCH($F596,사건마스터!$A$5:$A$64,0)),""))</f>
        <v/>
      </c>
      <c r="U596" s="35">
        <f>IF($F596="","",IFERROR(INDEX(사건마스터!$AS$5:$AS$64,MATCH($F596,사건마스터!$A$5:$A$64,0)),""))</f>
        <v/>
      </c>
      <c r="V596" s="35">
        <f>IF($F596="","",IFERROR(INDEX(사건마스터!$AT$5:$AT$64,MATCH($F596,사건마스터!$A$5:$A$64,0)),""))</f>
        <v/>
      </c>
      <c r="W596" s="35">
        <f>IF($F596="","",IFERROR(INDEX(사건마스터!$AU$5:$AU$64,MATCH($F596,사건마스터!$A$5:$A$64,0)),""))</f>
        <v/>
      </c>
      <c r="X596" s="35">
        <f>IF($F596="","",IFERROR(INDEX(사건마스터!$AV$5:$AV$64,MATCH($F596,사건마스터!$A$5:$A$64,0)),""))</f>
        <v/>
      </c>
      <c r="Y596" s="30">
        <f>IF($I596="","",COUNTIF($I596:$X596,"?*"))</f>
        <v/>
      </c>
      <c r="Z596" s="33">
        <f>IF($I596="","",_xlfn.TEXTJOIN(", ",TRUE,$I596:$X596))</f>
        <v/>
      </c>
      <c r="AA596" s="34">
        <f>IF($I596="","",IFERROR(INDEX(코드설정!$D$5:$D$24,MATCH($I596,코드설정!$C$5:$C$24,0)),""))</f>
        <v/>
      </c>
      <c r="AB596" s="36" t="n"/>
      <c r="AC596" s="37" t="n"/>
      <c r="AD596" s="38" t="n"/>
      <c r="AE596" s="30">
        <f>IF(OR($B596="",$C596=""),"",$C596-$B596+1)</f>
        <v/>
      </c>
      <c r="AF596" s="32" t="n"/>
      <c r="AG596" s="36" t="n"/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3">
        <f>IF($F597="","",IFERROR(INDEX(사건마스터!$B$5:$B$64,MATCH($F597,사건마스터!$A$5:$A$64,0)),""))</f>
        <v/>
      </c>
      <c r="H597" s="34">
        <f>IF($F597="","",IFERROR(INDEX(사건마스터!$C$5:$C$64,MATCH($F597,사건마스터!$A$5:$A$64,0)),""))</f>
        <v/>
      </c>
      <c r="I597" s="35">
        <f>IF($F597="","",IFERROR(INDEX(사건마스터!$H$5:$H$64,MATCH($F597,사건마스터!$A$5:$A$64,0)),""))</f>
        <v/>
      </c>
      <c r="J597" s="35">
        <f>IF($F597="","",IFERROR(INDEX(사건마스터!$AH$5:$AH$64,MATCH($F597,사건마스터!$A$5:$A$64,0)),""))</f>
        <v/>
      </c>
      <c r="K597" s="35">
        <f>IF($F597="","",IFERROR(INDEX(사건마스터!$AI$5:$AI$64,MATCH($F597,사건마스터!$A$5:$A$64,0)),""))</f>
        <v/>
      </c>
      <c r="L597" s="35">
        <f>IF($F597="","",IFERROR(INDEX(사건마스터!$AJ$5:$AJ$64,MATCH($F597,사건마스터!$A$5:$A$64,0)),""))</f>
        <v/>
      </c>
      <c r="M597" s="35">
        <f>IF($F597="","",IFERROR(INDEX(사건마스터!$AK$5:$AK$64,MATCH($F597,사건마스터!$A$5:$A$64,0)),""))</f>
        <v/>
      </c>
      <c r="N597" s="35">
        <f>IF($F597="","",IFERROR(INDEX(사건마스터!$AL$5:$AL$64,MATCH($F597,사건마스터!$A$5:$A$64,0)),""))</f>
        <v/>
      </c>
      <c r="O597" s="35">
        <f>IF($F597="","",IFERROR(INDEX(사건마스터!$AM$5:$AM$64,MATCH($F597,사건마스터!$A$5:$A$64,0)),""))</f>
        <v/>
      </c>
      <c r="P597" s="35">
        <f>IF($F597="","",IFERROR(INDEX(사건마스터!$AN$5:$AN$64,MATCH($F597,사건마스터!$A$5:$A$64,0)),""))</f>
        <v/>
      </c>
      <c r="Q597" s="35">
        <f>IF($F597="","",IFERROR(INDEX(사건마스터!$AO$5:$AO$64,MATCH($F597,사건마스터!$A$5:$A$64,0)),""))</f>
        <v/>
      </c>
      <c r="R597" s="35">
        <f>IF($F597="","",IFERROR(INDEX(사건마스터!$AP$5:$AP$64,MATCH($F597,사건마스터!$A$5:$A$64,0)),""))</f>
        <v/>
      </c>
      <c r="S597" s="35">
        <f>IF($F597="","",IFERROR(INDEX(사건마스터!$AQ$5:$AQ$64,MATCH($F597,사건마스터!$A$5:$A$64,0)),""))</f>
        <v/>
      </c>
      <c r="T597" s="35">
        <f>IF($F597="","",IFERROR(INDEX(사건마스터!$AR$5:$AR$64,MATCH($F597,사건마스터!$A$5:$A$64,0)),""))</f>
        <v/>
      </c>
      <c r="U597" s="35">
        <f>IF($F597="","",IFERROR(INDEX(사건마스터!$AS$5:$AS$64,MATCH($F597,사건마스터!$A$5:$A$64,0)),""))</f>
        <v/>
      </c>
      <c r="V597" s="35">
        <f>IF($F597="","",IFERROR(INDEX(사건마스터!$AT$5:$AT$64,MATCH($F597,사건마스터!$A$5:$A$64,0)),""))</f>
        <v/>
      </c>
      <c r="W597" s="35">
        <f>IF($F597="","",IFERROR(INDEX(사건마스터!$AU$5:$AU$64,MATCH($F597,사건마스터!$A$5:$A$64,0)),""))</f>
        <v/>
      </c>
      <c r="X597" s="35">
        <f>IF($F597="","",IFERROR(INDEX(사건마스터!$AV$5:$AV$64,MATCH($F597,사건마스터!$A$5:$A$64,0)),""))</f>
        <v/>
      </c>
      <c r="Y597" s="30">
        <f>IF($I597="","",COUNTIF($I597:$X597,"?*"))</f>
        <v/>
      </c>
      <c r="Z597" s="33">
        <f>IF($I597="","",_xlfn.TEXTJOIN(", ",TRUE,$I597:$X597))</f>
        <v/>
      </c>
      <c r="AA597" s="34">
        <f>IF($I597="","",IFERROR(INDEX(코드설정!$D$5:$D$24,MATCH($I597,코드설정!$C$5:$C$24,0)),""))</f>
        <v/>
      </c>
      <c r="AB597" s="36" t="n"/>
      <c r="AC597" s="37" t="n"/>
      <c r="AD597" s="38" t="n"/>
      <c r="AE597" s="30">
        <f>IF(OR($B597="",$C597=""),"",$C597-$B597+1)</f>
        <v/>
      </c>
      <c r="AF597" s="32" t="n"/>
      <c r="AG597" s="36" t="n"/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3">
        <f>IF($F598="","",IFERROR(INDEX(사건마스터!$B$5:$B$64,MATCH($F598,사건마스터!$A$5:$A$64,0)),""))</f>
        <v/>
      </c>
      <c r="H598" s="34">
        <f>IF($F598="","",IFERROR(INDEX(사건마스터!$C$5:$C$64,MATCH($F598,사건마스터!$A$5:$A$64,0)),""))</f>
        <v/>
      </c>
      <c r="I598" s="35">
        <f>IF($F598="","",IFERROR(INDEX(사건마스터!$H$5:$H$64,MATCH($F598,사건마스터!$A$5:$A$64,0)),""))</f>
        <v/>
      </c>
      <c r="J598" s="35">
        <f>IF($F598="","",IFERROR(INDEX(사건마스터!$AH$5:$AH$64,MATCH($F598,사건마스터!$A$5:$A$64,0)),""))</f>
        <v/>
      </c>
      <c r="K598" s="35">
        <f>IF($F598="","",IFERROR(INDEX(사건마스터!$AI$5:$AI$64,MATCH($F598,사건마스터!$A$5:$A$64,0)),""))</f>
        <v/>
      </c>
      <c r="L598" s="35">
        <f>IF($F598="","",IFERROR(INDEX(사건마스터!$AJ$5:$AJ$64,MATCH($F598,사건마스터!$A$5:$A$64,0)),""))</f>
        <v/>
      </c>
      <c r="M598" s="35">
        <f>IF($F598="","",IFERROR(INDEX(사건마스터!$AK$5:$AK$64,MATCH($F598,사건마스터!$A$5:$A$64,0)),""))</f>
        <v/>
      </c>
      <c r="N598" s="35">
        <f>IF($F598="","",IFERROR(INDEX(사건마스터!$AL$5:$AL$64,MATCH($F598,사건마스터!$A$5:$A$64,0)),""))</f>
        <v/>
      </c>
      <c r="O598" s="35">
        <f>IF($F598="","",IFERROR(INDEX(사건마스터!$AM$5:$AM$64,MATCH($F598,사건마스터!$A$5:$A$64,0)),""))</f>
        <v/>
      </c>
      <c r="P598" s="35">
        <f>IF($F598="","",IFERROR(INDEX(사건마스터!$AN$5:$AN$64,MATCH($F598,사건마스터!$A$5:$A$64,0)),""))</f>
        <v/>
      </c>
      <c r="Q598" s="35">
        <f>IF($F598="","",IFERROR(INDEX(사건마스터!$AO$5:$AO$64,MATCH($F598,사건마스터!$A$5:$A$64,0)),""))</f>
        <v/>
      </c>
      <c r="R598" s="35">
        <f>IF($F598="","",IFERROR(INDEX(사건마스터!$AP$5:$AP$64,MATCH($F598,사건마스터!$A$5:$A$64,0)),""))</f>
        <v/>
      </c>
      <c r="S598" s="35">
        <f>IF($F598="","",IFERROR(INDEX(사건마스터!$AQ$5:$AQ$64,MATCH($F598,사건마스터!$A$5:$A$64,0)),""))</f>
        <v/>
      </c>
      <c r="T598" s="35">
        <f>IF($F598="","",IFERROR(INDEX(사건마스터!$AR$5:$AR$64,MATCH($F598,사건마스터!$A$5:$A$64,0)),""))</f>
        <v/>
      </c>
      <c r="U598" s="35">
        <f>IF($F598="","",IFERROR(INDEX(사건마스터!$AS$5:$AS$64,MATCH($F598,사건마스터!$A$5:$A$64,0)),""))</f>
        <v/>
      </c>
      <c r="V598" s="35">
        <f>IF($F598="","",IFERROR(INDEX(사건마스터!$AT$5:$AT$64,MATCH($F598,사건마스터!$A$5:$A$64,0)),""))</f>
        <v/>
      </c>
      <c r="W598" s="35">
        <f>IF($F598="","",IFERROR(INDEX(사건마스터!$AU$5:$AU$64,MATCH($F598,사건마스터!$A$5:$A$64,0)),""))</f>
        <v/>
      </c>
      <c r="X598" s="35">
        <f>IF($F598="","",IFERROR(INDEX(사건마스터!$AV$5:$AV$64,MATCH($F598,사건마스터!$A$5:$A$64,0)),""))</f>
        <v/>
      </c>
      <c r="Y598" s="30">
        <f>IF($I598="","",COUNTIF($I598:$X598,"?*"))</f>
        <v/>
      </c>
      <c r="Z598" s="33">
        <f>IF($I598="","",_xlfn.TEXTJOIN(", ",TRUE,$I598:$X598))</f>
        <v/>
      </c>
      <c r="AA598" s="34">
        <f>IF($I598="","",IFERROR(INDEX(코드설정!$D$5:$D$24,MATCH($I598,코드설정!$C$5:$C$24,0)),""))</f>
        <v/>
      </c>
      <c r="AB598" s="36" t="n"/>
      <c r="AC598" s="37" t="n"/>
      <c r="AD598" s="38" t="n"/>
      <c r="AE598" s="30">
        <f>IF(OR($B598="",$C598=""),"",$C598-$B598+1)</f>
        <v/>
      </c>
      <c r="AF598" s="32" t="n"/>
      <c r="AG598" s="36" t="n"/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3">
        <f>IF($F599="","",IFERROR(INDEX(사건마스터!$B$5:$B$64,MATCH($F599,사건마스터!$A$5:$A$64,0)),""))</f>
        <v/>
      </c>
      <c r="H599" s="34">
        <f>IF($F599="","",IFERROR(INDEX(사건마스터!$C$5:$C$64,MATCH($F599,사건마스터!$A$5:$A$64,0)),""))</f>
        <v/>
      </c>
      <c r="I599" s="35">
        <f>IF($F599="","",IFERROR(INDEX(사건마스터!$H$5:$H$64,MATCH($F599,사건마스터!$A$5:$A$64,0)),""))</f>
        <v/>
      </c>
      <c r="J599" s="35">
        <f>IF($F599="","",IFERROR(INDEX(사건마스터!$AH$5:$AH$64,MATCH($F599,사건마스터!$A$5:$A$64,0)),""))</f>
        <v/>
      </c>
      <c r="K599" s="35">
        <f>IF($F599="","",IFERROR(INDEX(사건마스터!$AI$5:$AI$64,MATCH($F599,사건마스터!$A$5:$A$64,0)),""))</f>
        <v/>
      </c>
      <c r="L599" s="35">
        <f>IF($F599="","",IFERROR(INDEX(사건마스터!$AJ$5:$AJ$64,MATCH($F599,사건마스터!$A$5:$A$64,0)),""))</f>
        <v/>
      </c>
      <c r="M599" s="35">
        <f>IF($F599="","",IFERROR(INDEX(사건마스터!$AK$5:$AK$64,MATCH($F599,사건마스터!$A$5:$A$64,0)),""))</f>
        <v/>
      </c>
      <c r="N599" s="35">
        <f>IF($F599="","",IFERROR(INDEX(사건마스터!$AL$5:$AL$64,MATCH($F599,사건마스터!$A$5:$A$64,0)),""))</f>
        <v/>
      </c>
      <c r="O599" s="35">
        <f>IF($F599="","",IFERROR(INDEX(사건마스터!$AM$5:$AM$64,MATCH($F599,사건마스터!$A$5:$A$64,0)),""))</f>
        <v/>
      </c>
      <c r="P599" s="35">
        <f>IF($F599="","",IFERROR(INDEX(사건마스터!$AN$5:$AN$64,MATCH($F599,사건마스터!$A$5:$A$64,0)),""))</f>
        <v/>
      </c>
      <c r="Q599" s="35">
        <f>IF($F599="","",IFERROR(INDEX(사건마스터!$AO$5:$AO$64,MATCH($F599,사건마스터!$A$5:$A$64,0)),""))</f>
        <v/>
      </c>
      <c r="R599" s="35">
        <f>IF($F599="","",IFERROR(INDEX(사건마스터!$AP$5:$AP$64,MATCH($F599,사건마스터!$A$5:$A$64,0)),""))</f>
        <v/>
      </c>
      <c r="S599" s="35">
        <f>IF($F599="","",IFERROR(INDEX(사건마스터!$AQ$5:$AQ$64,MATCH($F599,사건마스터!$A$5:$A$64,0)),""))</f>
        <v/>
      </c>
      <c r="T599" s="35">
        <f>IF($F599="","",IFERROR(INDEX(사건마스터!$AR$5:$AR$64,MATCH($F599,사건마스터!$A$5:$A$64,0)),""))</f>
        <v/>
      </c>
      <c r="U599" s="35">
        <f>IF($F599="","",IFERROR(INDEX(사건마스터!$AS$5:$AS$64,MATCH($F599,사건마스터!$A$5:$A$64,0)),""))</f>
        <v/>
      </c>
      <c r="V599" s="35">
        <f>IF($F599="","",IFERROR(INDEX(사건마스터!$AT$5:$AT$64,MATCH($F599,사건마스터!$A$5:$A$64,0)),""))</f>
        <v/>
      </c>
      <c r="W599" s="35">
        <f>IF($F599="","",IFERROR(INDEX(사건마스터!$AU$5:$AU$64,MATCH($F599,사건마스터!$A$5:$A$64,0)),""))</f>
        <v/>
      </c>
      <c r="X599" s="35">
        <f>IF($F599="","",IFERROR(INDEX(사건마스터!$AV$5:$AV$64,MATCH($F599,사건마스터!$A$5:$A$64,0)),""))</f>
        <v/>
      </c>
      <c r="Y599" s="30">
        <f>IF($I599="","",COUNTIF($I599:$X599,"?*"))</f>
        <v/>
      </c>
      <c r="Z599" s="33">
        <f>IF($I599="","",_xlfn.TEXTJOIN(", ",TRUE,$I599:$X599))</f>
        <v/>
      </c>
      <c r="AA599" s="34">
        <f>IF($I599="","",IFERROR(INDEX(코드설정!$D$5:$D$24,MATCH($I599,코드설정!$C$5:$C$24,0)),""))</f>
        <v/>
      </c>
      <c r="AB599" s="36" t="n"/>
      <c r="AC599" s="37" t="n"/>
      <c r="AD599" s="38" t="n"/>
      <c r="AE599" s="30">
        <f>IF(OR($B599="",$C599=""),"",$C599-$B599+1)</f>
        <v/>
      </c>
      <c r="AF599" s="32" t="n"/>
      <c r="AG599" s="36" t="n"/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3">
        <f>IF($F600="","",IFERROR(INDEX(사건마스터!$B$5:$B$64,MATCH($F600,사건마스터!$A$5:$A$64,0)),""))</f>
        <v/>
      </c>
      <c r="H600" s="34">
        <f>IF($F600="","",IFERROR(INDEX(사건마스터!$C$5:$C$64,MATCH($F600,사건마스터!$A$5:$A$64,0)),""))</f>
        <v/>
      </c>
      <c r="I600" s="35">
        <f>IF($F600="","",IFERROR(INDEX(사건마스터!$H$5:$H$64,MATCH($F600,사건마스터!$A$5:$A$64,0)),""))</f>
        <v/>
      </c>
      <c r="J600" s="35">
        <f>IF($F600="","",IFERROR(INDEX(사건마스터!$AH$5:$AH$64,MATCH($F600,사건마스터!$A$5:$A$64,0)),""))</f>
        <v/>
      </c>
      <c r="K600" s="35">
        <f>IF($F600="","",IFERROR(INDEX(사건마스터!$AI$5:$AI$64,MATCH($F600,사건마스터!$A$5:$A$64,0)),""))</f>
        <v/>
      </c>
      <c r="L600" s="35">
        <f>IF($F600="","",IFERROR(INDEX(사건마스터!$AJ$5:$AJ$64,MATCH($F600,사건마스터!$A$5:$A$64,0)),""))</f>
        <v/>
      </c>
      <c r="M600" s="35">
        <f>IF($F600="","",IFERROR(INDEX(사건마스터!$AK$5:$AK$64,MATCH($F600,사건마스터!$A$5:$A$64,0)),""))</f>
        <v/>
      </c>
      <c r="N600" s="35">
        <f>IF($F600="","",IFERROR(INDEX(사건마스터!$AL$5:$AL$64,MATCH($F600,사건마스터!$A$5:$A$64,0)),""))</f>
        <v/>
      </c>
      <c r="O600" s="35">
        <f>IF($F600="","",IFERROR(INDEX(사건마스터!$AM$5:$AM$64,MATCH($F600,사건마스터!$A$5:$A$64,0)),""))</f>
        <v/>
      </c>
      <c r="P600" s="35">
        <f>IF($F600="","",IFERROR(INDEX(사건마스터!$AN$5:$AN$64,MATCH($F600,사건마스터!$A$5:$A$64,0)),""))</f>
        <v/>
      </c>
      <c r="Q600" s="35">
        <f>IF($F600="","",IFERROR(INDEX(사건마스터!$AO$5:$AO$64,MATCH($F600,사건마스터!$A$5:$A$64,0)),""))</f>
        <v/>
      </c>
      <c r="R600" s="35">
        <f>IF($F600="","",IFERROR(INDEX(사건마스터!$AP$5:$AP$64,MATCH($F600,사건마스터!$A$5:$A$64,0)),""))</f>
        <v/>
      </c>
      <c r="S600" s="35">
        <f>IF($F600="","",IFERROR(INDEX(사건마스터!$AQ$5:$AQ$64,MATCH($F600,사건마스터!$A$5:$A$64,0)),""))</f>
        <v/>
      </c>
      <c r="T600" s="35">
        <f>IF($F600="","",IFERROR(INDEX(사건마스터!$AR$5:$AR$64,MATCH($F600,사건마스터!$A$5:$A$64,0)),""))</f>
        <v/>
      </c>
      <c r="U600" s="35">
        <f>IF($F600="","",IFERROR(INDEX(사건마스터!$AS$5:$AS$64,MATCH($F600,사건마스터!$A$5:$A$64,0)),""))</f>
        <v/>
      </c>
      <c r="V600" s="35">
        <f>IF($F600="","",IFERROR(INDEX(사건마스터!$AT$5:$AT$64,MATCH($F600,사건마스터!$A$5:$A$64,0)),""))</f>
        <v/>
      </c>
      <c r="W600" s="35">
        <f>IF($F600="","",IFERROR(INDEX(사건마스터!$AU$5:$AU$64,MATCH($F600,사건마스터!$A$5:$A$64,0)),""))</f>
        <v/>
      </c>
      <c r="X600" s="35">
        <f>IF($F600="","",IFERROR(INDEX(사건마스터!$AV$5:$AV$64,MATCH($F600,사건마스터!$A$5:$A$64,0)),""))</f>
        <v/>
      </c>
      <c r="Y600" s="30">
        <f>IF($I600="","",COUNTIF($I600:$X600,"?*"))</f>
        <v/>
      </c>
      <c r="Z600" s="33">
        <f>IF($I600="","",_xlfn.TEXTJOIN(", ",TRUE,$I600:$X600))</f>
        <v/>
      </c>
      <c r="AA600" s="34">
        <f>IF($I600="","",IFERROR(INDEX(코드설정!$D$5:$D$24,MATCH($I600,코드설정!$C$5:$C$24,0)),""))</f>
        <v/>
      </c>
      <c r="AB600" s="36" t="n"/>
      <c r="AC600" s="37" t="n"/>
      <c r="AD600" s="38" t="n"/>
      <c r="AE600" s="30">
        <f>IF(OR($B600="",$C600=""),"",$C600-$B600+1)</f>
        <v/>
      </c>
      <c r="AF600" s="32" t="n"/>
      <c r="AG600" s="36" t="n"/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3">
        <f>IF($F601="","",IFERROR(INDEX(사건마스터!$B$5:$B$64,MATCH($F601,사건마스터!$A$5:$A$64,0)),""))</f>
        <v/>
      </c>
      <c r="H601" s="34">
        <f>IF($F601="","",IFERROR(INDEX(사건마스터!$C$5:$C$64,MATCH($F601,사건마스터!$A$5:$A$64,0)),""))</f>
        <v/>
      </c>
      <c r="I601" s="35">
        <f>IF($F601="","",IFERROR(INDEX(사건마스터!$H$5:$H$64,MATCH($F601,사건마스터!$A$5:$A$64,0)),""))</f>
        <v/>
      </c>
      <c r="J601" s="35">
        <f>IF($F601="","",IFERROR(INDEX(사건마스터!$AH$5:$AH$64,MATCH($F601,사건마스터!$A$5:$A$64,0)),""))</f>
        <v/>
      </c>
      <c r="K601" s="35">
        <f>IF($F601="","",IFERROR(INDEX(사건마스터!$AI$5:$AI$64,MATCH($F601,사건마스터!$A$5:$A$64,0)),""))</f>
        <v/>
      </c>
      <c r="L601" s="35">
        <f>IF($F601="","",IFERROR(INDEX(사건마스터!$AJ$5:$AJ$64,MATCH($F601,사건마스터!$A$5:$A$64,0)),""))</f>
        <v/>
      </c>
      <c r="M601" s="35">
        <f>IF($F601="","",IFERROR(INDEX(사건마스터!$AK$5:$AK$64,MATCH($F601,사건마스터!$A$5:$A$64,0)),""))</f>
        <v/>
      </c>
      <c r="N601" s="35">
        <f>IF($F601="","",IFERROR(INDEX(사건마스터!$AL$5:$AL$64,MATCH($F601,사건마스터!$A$5:$A$64,0)),""))</f>
        <v/>
      </c>
      <c r="O601" s="35">
        <f>IF($F601="","",IFERROR(INDEX(사건마스터!$AM$5:$AM$64,MATCH($F601,사건마스터!$A$5:$A$64,0)),""))</f>
        <v/>
      </c>
      <c r="P601" s="35">
        <f>IF($F601="","",IFERROR(INDEX(사건마스터!$AN$5:$AN$64,MATCH($F601,사건마스터!$A$5:$A$64,0)),""))</f>
        <v/>
      </c>
      <c r="Q601" s="35">
        <f>IF($F601="","",IFERROR(INDEX(사건마스터!$AO$5:$AO$64,MATCH($F601,사건마스터!$A$5:$A$64,0)),""))</f>
        <v/>
      </c>
      <c r="R601" s="35">
        <f>IF($F601="","",IFERROR(INDEX(사건마스터!$AP$5:$AP$64,MATCH($F601,사건마스터!$A$5:$A$64,0)),""))</f>
        <v/>
      </c>
      <c r="S601" s="35">
        <f>IF($F601="","",IFERROR(INDEX(사건마스터!$AQ$5:$AQ$64,MATCH($F601,사건마스터!$A$5:$A$64,0)),""))</f>
        <v/>
      </c>
      <c r="T601" s="35">
        <f>IF($F601="","",IFERROR(INDEX(사건마스터!$AR$5:$AR$64,MATCH($F601,사건마스터!$A$5:$A$64,0)),""))</f>
        <v/>
      </c>
      <c r="U601" s="35">
        <f>IF($F601="","",IFERROR(INDEX(사건마스터!$AS$5:$AS$64,MATCH($F601,사건마스터!$A$5:$A$64,0)),""))</f>
        <v/>
      </c>
      <c r="V601" s="35">
        <f>IF($F601="","",IFERROR(INDEX(사건마스터!$AT$5:$AT$64,MATCH($F601,사건마스터!$A$5:$A$64,0)),""))</f>
        <v/>
      </c>
      <c r="W601" s="35">
        <f>IF($F601="","",IFERROR(INDEX(사건마스터!$AU$5:$AU$64,MATCH($F601,사건마스터!$A$5:$A$64,0)),""))</f>
        <v/>
      </c>
      <c r="X601" s="35">
        <f>IF($F601="","",IFERROR(INDEX(사건마스터!$AV$5:$AV$64,MATCH($F601,사건마스터!$A$5:$A$64,0)),""))</f>
        <v/>
      </c>
      <c r="Y601" s="30">
        <f>IF($I601="","",COUNTIF($I601:$X601,"?*"))</f>
        <v/>
      </c>
      <c r="Z601" s="33">
        <f>IF($I601="","",_xlfn.TEXTJOIN(", ",TRUE,$I601:$X601))</f>
        <v/>
      </c>
      <c r="AA601" s="34">
        <f>IF($I601="","",IFERROR(INDEX(코드설정!$D$5:$D$24,MATCH($I601,코드설정!$C$5:$C$24,0)),""))</f>
        <v/>
      </c>
      <c r="AB601" s="36" t="n"/>
      <c r="AC601" s="37" t="n"/>
      <c r="AD601" s="38" t="n"/>
      <c r="AE601" s="30">
        <f>IF(OR($B601="",$C601=""),"",$C601-$B601+1)</f>
        <v/>
      </c>
      <c r="AF601" s="32" t="n"/>
      <c r="AG601" s="36" t="n"/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3">
        <f>IF($F602="","",IFERROR(INDEX(사건마스터!$B$5:$B$64,MATCH($F602,사건마스터!$A$5:$A$64,0)),""))</f>
        <v/>
      </c>
      <c r="H602" s="34">
        <f>IF($F602="","",IFERROR(INDEX(사건마스터!$C$5:$C$64,MATCH($F602,사건마스터!$A$5:$A$64,0)),""))</f>
        <v/>
      </c>
      <c r="I602" s="35">
        <f>IF($F602="","",IFERROR(INDEX(사건마스터!$H$5:$H$64,MATCH($F602,사건마스터!$A$5:$A$64,0)),""))</f>
        <v/>
      </c>
      <c r="J602" s="35">
        <f>IF($F602="","",IFERROR(INDEX(사건마스터!$AH$5:$AH$64,MATCH($F602,사건마스터!$A$5:$A$64,0)),""))</f>
        <v/>
      </c>
      <c r="K602" s="35">
        <f>IF($F602="","",IFERROR(INDEX(사건마스터!$AI$5:$AI$64,MATCH($F602,사건마스터!$A$5:$A$64,0)),""))</f>
        <v/>
      </c>
      <c r="L602" s="35">
        <f>IF($F602="","",IFERROR(INDEX(사건마스터!$AJ$5:$AJ$64,MATCH($F602,사건마스터!$A$5:$A$64,0)),""))</f>
        <v/>
      </c>
      <c r="M602" s="35">
        <f>IF($F602="","",IFERROR(INDEX(사건마스터!$AK$5:$AK$64,MATCH($F602,사건마스터!$A$5:$A$64,0)),""))</f>
        <v/>
      </c>
      <c r="N602" s="35">
        <f>IF($F602="","",IFERROR(INDEX(사건마스터!$AL$5:$AL$64,MATCH($F602,사건마스터!$A$5:$A$64,0)),""))</f>
        <v/>
      </c>
      <c r="O602" s="35">
        <f>IF($F602="","",IFERROR(INDEX(사건마스터!$AM$5:$AM$64,MATCH($F602,사건마스터!$A$5:$A$64,0)),""))</f>
        <v/>
      </c>
      <c r="P602" s="35">
        <f>IF($F602="","",IFERROR(INDEX(사건마스터!$AN$5:$AN$64,MATCH($F602,사건마스터!$A$5:$A$64,0)),""))</f>
        <v/>
      </c>
      <c r="Q602" s="35">
        <f>IF($F602="","",IFERROR(INDEX(사건마스터!$AO$5:$AO$64,MATCH($F602,사건마스터!$A$5:$A$64,0)),""))</f>
        <v/>
      </c>
      <c r="R602" s="35">
        <f>IF($F602="","",IFERROR(INDEX(사건마스터!$AP$5:$AP$64,MATCH($F602,사건마스터!$A$5:$A$64,0)),""))</f>
        <v/>
      </c>
      <c r="S602" s="35">
        <f>IF($F602="","",IFERROR(INDEX(사건마스터!$AQ$5:$AQ$64,MATCH($F602,사건마스터!$A$5:$A$64,0)),""))</f>
        <v/>
      </c>
      <c r="T602" s="35">
        <f>IF($F602="","",IFERROR(INDEX(사건마스터!$AR$5:$AR$64,MATCH($F602,사건마스터!$A$5:$A$64,0)),""))</f>
        <v/>
      </c>
      <c r="U602" s="35">
        <f>IF($F602="","",IFERROR(INDEX(사건마스터!$AS$5:$AS$64,MATCH($F602,사건마스터!$A$5:$A$64,0)),""))</f>
        <v/>
      </c>
      <c r="V602" s="35">
        <f>IF($F602="","",IFERROR(INDEX(사건마스터!$AT$5:$AT$64,MATCH($F602,사건마스터!$A$5:$A$64,0)),""))</f>
        <v/>
      </c>
      <c r="W602" s="35">
        <f>IF($F602="","",IFERROR(INDEX(사건마스터!$AU$5:$AU$64,MATCH($F602,사건마스터!$A$5:$A$64,0)),""))</f>
        <v/>
      </c>
      <c r="X602" s="35">
        <f>IF($F602="","",IFERROR(INDEX(사건마스터!$AV$5:$AV$64,MATCH($F602,사건마스터!$A$5:$A$64,0)),""))</f>
        <v/>
      </c>
      <c r="Y602" s="30">
        <f>IF($I602="","",COUNTIF($I602:$X602,"?*"))</f>
        <v/>
      </c>
      <c r="Z602" s="33">
        <f>IF($I602="","",_xlfn.TEXTJOIN(", ",TRUE,$I602:$X602))</f>
        <v/>
      </c>
      <c r="AA602" s="34">
        <f>IF($I602="","",IFERROR(INDEX(코드설정!$D$5:$D$24,MATCH($I602,코드설정!$C$5:$C$24,0)),""))</f>
        <v/>
      </c>
      <c r="AB602" s="36" t="n"/>
      <c r="AC602" s="37" t="n"/>
      <c r="AD602" s="38" t="n"/>
      <c r="AE602" s="30">
        <f>IF(OR($B602="",$C602=""),"",$C602-$B602+1)</f>
        <v/>
      </c>
      <c r="AF602" s="32" t="n"/>
      <c r="AG602" s="36" t="n"/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3">
        <f>IF($F603="","",IFERROR(INDEX(사건마스터!$B$5:$B$64,MATCH($F603,사건마스터!$A$5:$A$64,0)),""))</f>
        <v/>
      </c>
      <c r="H603" s="34">
        <f>IF($F603="","",IFERROR(INDEX(사건마스터!$C$5:$C$64,MATCH($F603,사건마스터!$A$5:$A$64,0)),""))</f>
        <v/>
      </c>
      <c r="I603" s="35">
        <f>IF($F603="","",IFERROR(INDEX(사건마스터!$H$5:$H$64,MATCH($F603,사건마스터!$A$5:$A$64,0)),""))</f>
        <v/>
      </c>
      <c r="J603" s="35">
        <f>IF($F603="","",IFERROR(INDEX(사건마스터!$AH$5:$AH$64,MATCH($F603,사건마스터!$A$5:$A$64,0)),""))</f>
        <v/>
      </c>
      <c r="K603" s="35">
        <f>IF($F603="","",IFERROR(INDEX(사건마스터!$AI$5:$AI$64,MATCH($F603,사건마스터!$A$5:$A$64,0)),""))</f>
        <v/>
      </c>
      <c r="L603" s="35">
        <f>IF($F603="","",IFERROR(INDEX(사건마스터!$AJ$5:$AJ$64,MATCH($F603,사건마스터!$A$5:$A$64,0)),""))</f>
        <v/>
      </c>
      <c r="M603" s="35">
        <f>IF($F603="","",IFERROR(INDEX(사건마스터!$AK$5:$AK$64,MATCH($F603,사건마스터!$A$5:$A$64,0)),""))</f>
        <v/>
      </c>
      <c r="N603" s="35">
        <f>IF($F603="","",IFERROR(INDEX(사건마스터!$AL$5:$AL$64,MATCH($F603,사건마스터!$A$5:$A$64,0)),""))</f>
        <v/>
      </c>
      <c r="O603" s="35">
        <f>IF($F603="","",IFERROR(INDEX(사건마스터!$AM$5:$AM$64,MATCH($F603,사건마스터!$A$5:$A$64,0)),""))</f>
        <v/>
      </c>
      <c r="P603" s="35">
        <f>IF($F603="","",IFERROR(INDEX(사건마스터!$AN$5:$AN$64,MATCH($F603,사건마스터!$A$5:$A$64,0)),""))</f>
        <v/>
      </c>
      <c r="Q603" s="35">
        <f>IF($F603="","",IFERROR(INDEX(사건마스터!$AO$5:$AO$64,MATCH($F603,사건마스터!$A$5:$A$64,0)),""))</f>
        <v/>
      </c>
      <c r="R603" s="35">
        <f>IF($F603="","",IFERROR(INDEX(사건마스터!$AP$5:$AP$64,MATCH($F603,사건마스터!$A$5:$A$64,0)),""))</f>
        <v/>
      </c>
      <c r="S603" s="35">
        <f>IF($F603="","",IFERROR(INDEX(사건마스터!$AQ$5:$AQ$64,MATCH($F603,사건마스터!$A$5:$A$64,0)),""))</f>
        <v/>
      </c>
      <c r="T603" s="35">
        <f>IF($F603="","",IFERROR(INDEX(사건마스터!$AR$5:$AR$64,MATCH($F603,사건마스터!$A$5:$A$64,0)),""))</f>
        <v/>
      </c>
      <c r="U603" s="35">
        <f>IF($F603="","",IFERROR(INDEX(사건마스터!$AS$5:$AS$64,MATCH($F603,사건마스터!$A$5:$A$64,0)),""))</f>
        <v/>
      </c>
      <c r="V603" s="35">
        <f>IF($F603="","",IFERROR(INDEX(사건마스터!$AT$5:$AT$64,MATCH($F603,사건마스터!$A$5:$A$64,0)),""))</f>
        <v/>
      </c>
      <c r="W603" s="35">
        <f>IF($F603="","",IFERROR(INDEX(사건마스터!$AU$5:$AU$64,MATCH($F603,사건마스터!$A$5:$A$64,0)),""))</f>
        <v/>
      </c>
      <c r="X603" s="35">
        <f>IF($F603="","",IFERROR(INDEX(사건마스터!$AV$5:$AV$64,MATCH($F603,사건마스터!$A$5:$A$64,0)),""))</f>
        <v/>
      </c>
      <c r="Y603" s="30">
        <f>IF($I603="","",COUNTIF($I603:$X603,"?*"))</f>
        <v/>
      </c>
      <c r="Z603" s="33">
        <f>IF($I603="","",_xlfn.TEXTJOIN(", ",TRUE,$I603:$X603))</f>
        <v/>
      </c>
      <c r="AA603" s="34">
        <f>IF($I603="","",IFERROR(INDEX(코드설정!$D$5:$D$24,MATCH($I603,코드설정!$C$5:$C$24,0)),""))</f>
        <v/>
      </c>
      <c r="AB603" s="36" t="n"/>
      <c r="AC603" s="37" t="n"/>
      <c r="AD603" s="38" t="n"/>
      <c r="AE603" s="30">
        <f>IF(OR($B603="",$C603=""),"",$C603-$B603+1)</f>
        <v/>
      </c>
      <c r="AF603" s="32" t="n"/>
      <c r="AG603" s="36" t="n"/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3">
        <f>IF($F604="","",IFERROR(INDEX(사건마스터!$B$5:$B$64,MATCH($F604,사건마스터!$A$5:$A$64,0)),""))</f>
        <v/>
      </c>
      <c r="H604" s="34">
        <f>IF($F604="","",IFERROR(INDEX(사건마스터!$C$5:$C$64,MATCH($F604,사건마스터!$A$5:$A$64,0)),""))</f>
        <v/>
      </c>
      <c r="I604" s="35">
        <f>IF($F604="","",IFERROR(INDEX(사건마스터!$H$5:$H$64,MATCH($F604,사건마스터!$A$5:$A$64,0)),""))</f>
        <v/>
      </c>
      <c r="J604" s="35">
        <f>IF($F604="","",IFERROR(INDEX(사건마스터!$AH$5:$AH$64,MATCH($F604,사건마스터!$A$5:$A$64,0)),""))</f>
        <v/>
      </c>
      <c r="K604" s="35">
        <f>IF($F604="","",IFERROR(INDEX(사건마스터!$AI$5:$AI$64,MATCH($F604,사건마스터!$A$5:$A$64,0)),""))</f>
        <v/>
      </c>
      <c r="L604" s="35">
        <f>IF($F604="","",IFERROR(INDEX(사건마스터!$AJ$5:$AJ$64,MATCH($F604,사건마스터!$A$5:$A$64,0)),""))</f>
        <v/>
      </c>
      <c r="M604" s="35">
        <f>IF($F604="","",IFERROR(INDEX(사건마스터!$AK$5:$AK$64,MATCH($F604,사건마스터!$A$5:$A$64,0)),""))</f>
        <v/>
      </c>
      <c r="N604" s="35">
        <f>IF($F604="","",IFERROR(INDEX(사건마스터!$AL$5:$AL$64,MATCH($F604,사건마스터!$A$5:$A$64,0)),""))</f>
        <v/>
      </c>
      <c r="O604" s="35">
        <f>IF($F604="","",IFERROR(INDEX(사건마스터!$AM$5:$AM$64,MATCH($F604,사건마스터!$A$5:$A$64,0)),""))</f>
        <v/>
      </c>
      <c r="P604" s="35">
        <f>IF($F604="","",IFERROR(INDEX(사건마스터!$AN$5:$AN$64,MATCH($F604,사건마스터!$A$5:$A$64,0)),""))</f>
        <v/>
      </c>
      <c r="Q604" s="35">
        <f>IF($F604="","",IFERROR(INDEX(사건마스터!$AO$5:$AO$64,MATCH($F604,사건마스터!$A$5:$A$64,0)),""))</f>
        <v/>
      </c>
      <c r="R604" s="35">
        <f>IF($F604="","",IFERROR(INDEX(사건마스터!$AP$5:$AP$64,MATCH($F604,사건마스터!$A$5:$A$64,0)),""))</f>
        <v/>
      </c>
      <c r="S604" s="35">
        <f>IF($F604="","",IFERROR(INDEX(사건마스터!$AQ$5:$AQ$64,MATCH($F604,사건마스터!$A$5:$A$64,0)),""))</f>
        <v/>
      </c>
      <c r="T604" s="35">
        <f>IF($F604="","",IFERROR(INDEX(사건마스터!$AR$5:$AR$64,MATCH($F604,사건마스터!$A$5:$A$64,0)),""))</f>
        <v/>
      </c>
      <c r="U604" s="35">
        <f>IF($F604="","",IFERROR(INDEX(사건마스터!$AS$5:$AS$64,MATCH($F604,사건마스터!$A$5:$A$64,0)),""))</f>
        <v/>
      </c>
      <c r="V604" s="35">
        <f>IF($F604="","",IFERROR(INDEX(사건마스터!$AT$5:$AT$64,MATCH($F604,사건마스터!$A$5:$A$64,0)),""))</f>
        <v/>
      </c>
      <c r="W604" s="35">
        <f>IF($F604="","",IFERROR(INDEX(사건마스터!$AU$5:$AU$64,MATCH($F604,사건마스터!$A$5:$A$64,0)),""))</f>
        <v/>
      </c>
      <c r="X604" s="35">
        <f>IF($F604="","",IFERROR(INDEX(사건마스터!$AV$5:$AV$64,MATCH($F604,사건마스터!$A$5:$A$64,0)),""))</f>
        <v/>
      </c>
      <c r="Y604" s="30">
        <f>IF($I604="","",COUNTIF($I604:$X604,"?*"))</f>
        <v/>
      </c>
      <c r="Z604" s="33">
        <f>IF($I604="","",_xlfn.TEXTJOIN(", ",TRUE,$I604:$X604))</f>
        <v/>
      </c>
      <c r="AA604" s="34">
        <f>IF($I604="","",IFERROR(INDEX(코드설정!$D$5:$D$24,MATCH($I604,코드설정!$C$5:$C$24,0)),""))</f>
        <v/>
      </c>
      <c r="AB604" s="36" t="n"/>
      <c r="AC604" s="37" t="n"/>
      <c r="AD604" s="38" t="n"/>
      <c r="AE604" s="30">
        <f>IF(OR($B604="",$C604=""),"",$C604-$B604+1)</f>
        <v/>
      </c>
      <c r="AF604" s="32" t="n"/>
      <c r="AG604" s="36" t="n"/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3">
        <f>IF($F605="","",IFERROR(INDEX(사건마스터!$B$5:$B$64,MATCH($F605,사건마스터!$A$5:$A$64,0)),""))</f>
        <v/>
      </c>
      <c r="H605" s="34">
        <f>IF($F605="","",IFERROR(INDEX(사건마스터!$C$5:$C$64,MATCH($F605,사건마스터!$A$5:$A$64,0)),""))</f>
        <v/>
      </c>
      <c r="I605" s="35">
        <f>IF($F605="","",IFERROR(INDEX(사건마스터!$H$5:$H$64,MATCH($F605,사건마스터!$A$5:$A$64,0)),""))</f>
        <v/>
      </c>
      <c r="J605" s="35">
        <f>IF($F605="","",IFERROR(INDEX(사건마스터!$AH$5:$AH$64,MATCH($F605,사건마스터!$A$5:$A$64,0)),""))</f>
        <v/>
      </c>
      <c r="K605" s="35">
        <f>IF($F605="","",IFERROR(INDEX(사건마스터!$AI$5:$AI$64,MATCH($F605,사건마스터!$A$5:$A$64,0)),""))</f>
        <v/>
      </c>
      <c r="L605" s="35">
        <f>IF($F605="","",IFERROR(INDEX(사건마스터!$AJ$5:$AJ$64,MATCH($F605,사건마스터!$A$5:$A$64,0)),""))</f>
        <v/>
      </c>
      <c r="M605" s="35">
        <f>IF($F605="","",IFERROR(INDEX(사건마스터!$AK$5:$AK$64,MATCH($F605,사건마스터!$A$5:$A$64,0)),""))</f>
        <v/>
      </c>
      <c r="N605" s="35">
        <f>IF($F605="","",IFERROR(INDEX(사건마스터!$AL$5:$AL$64,MATCH($F605,사건마스터!$A$5:$A$64,0)),""))</f>
        <v/>
      </c>
      <c r="O605" s="35">
        <f>IF($F605="","",IFERROR(INDEX(사건마스터!$AM$5:$AM$64,MATCH($F605,사건마스터!$A$5:$A$64,0)),""))</f>
        <v/>
      </c>
      <c r="P605" s="35">
        <f>IF($F605="","",IFERROR(INDEX(사건마스터!$AN$5:$AN$64,MATCH($F605,사건마스터!$A$5:$A$64,0)),""))</f>
        <v/>
      </c>
      <c r="Q605" s="35">
        <f>IF($F605="","",IFERROR(INDEX(사건마스터!$AO$5:$AO$64,MATCH($F605,사건마스터!$A$5:$A$64,0)),""))</f>
        <v/>
      </c>
      <c r="R605" s="35">
        <f>IF($F605="","",IFERROR(INDEX(사건마스터!$AP$5:$AP$64,MATCH($F605,사건마스터!$A$5:$A$64,0)),""))</f>
        <v/>
      </c>
      <c r="S605" s="35">
        <f>IF($F605="","",IFERROR(INDEX(사건마스터!$AQ$5:$AQ$64,MATCH($F605,사건마스터!$A$5:$A$64,0)),""))</f>
        <v/>
      </c>
      <c r="T605" s="35">
        <f>IF($F605="","",IFERROR(INDEX(사건마스터!$AR$5:$AR$64,MATCH($F605,사건마스터!$A$5:$A$64,0)),""))</f>
        <v/>
      </c>
      <c r="U605" s="35">
        <f>IF($F605="","",IFERROR(INDEX(사건마스터!$AS$5:$AS$64,MATCH($F605,사건마스터!$A$5:$A$64,0)),""))</f>
        <v/>
      </c>
      <c r="V605" s="35">
        <f>IF($F605="","",IFERROR(INDEX(사건마스터!$AT$5:$AT$64,MATCH($F605,사건마스터!$A$5:$A$64,0)),""))</f>
        <v/>
      </c>
      <c r="W605" s="35">
        <f>IF($F605="","",IFERROR(INDEX(사건마스터!$AU$5:$AU$64,MATCH($F605,사건마스터!$A$5:$A$64,0)),""))</f>
        <v/>
      </c>
      <c r="X605" s="35">
        <f>IF($F605="","",IFERROR(INDEX(사건마스터!$AV$5:$AV$64,MATCH($F605,사건마스터!$A$5:$A$64,0)),""))</f>
        <v/>
      </c>
      <c r="Y605" s="30">
        <f>IF($I605="","",COUNTIF($I605:$X605,"?*"))</f>
        <v/>
      </c>
      <c r="Z605" s="33">
        <f>IF($I605="","",_xlfn.TEXTJOIN(", ",TRUE,$I605:$X605))</f>
        <v/>
      </c>
      <c r="AA605" s="34">
        <f>IF($I605="","",IFERROR(INDEX(코드설정!$D$5:$D$24,MATCH($I605,코드설정!$C$5:$C$24,0)),""))</f>
        <v/>
      </c>
      <c r="AB605" s="36" t="n"/>
      <c r="AC605" s="37" t="n"/>
      <c r="AD605" s="38" t="n"/>
      <c r="AE605" s="30">
        <f>IF(OR($B605="",$C605=""),"",$C605-$B605+1)</f>
        <v/>
      </c>
      <c r="AF605" s="32" t="n"/>
      <c r="AG605" s="36" t="n"/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3">
        <f>IF($F606="","",IFERROR(INDEX(사건마스터!$B$5:$B$64,MATCH($F606,사건마스터!$A$5:$A$64,0)),""))</f>
        <v/>
      </c>
      <c r="H606" s="34">
        <f>IF($F606="","",IFERROR(INDEX(사건마스터!$C$5:$C$64,MATCH($F606,사건마스터!$A$5:$A$64,0)),""))</f>
        <v/>
      </c>
      <c r="I606" s="35">
        <f>IF($F606="","",IFERROR(INDEX(사건마스터!$H$5:$H$64,MATCH($F606,사건마스터!$A$5:$A$64,0)),""))</f>
        <v/>
      </c>
      <c r="J606" s="35">
        <f>IF($F606="","",IFERROR(INDEX(사건마스터!$AH$5:$AH$64,MATCH($F606,사건마스터!$A$5:$A$64,0)),""))</f>
        <v/>
      </c>
      <c r="K606" s="35">
        <f>IF($F606="","",IFERROR(INDEX(사건마스터!$AI$5:$AI$64,MATCH($F606,사건마스터!$A$5:$A$64,0)),""))</f>
        <v/>
      </c>
      <c r="L606" s="35">
        <f>IF($F606="","",IFERROR(INDEX(사건마스터!$AJ$5:$AJ$64,MATCH($F606,사건마스터!$A$5:$A$64,0)),""))</f>
        <v/>
      </c>
      <c r="M606" s="35">
        <f>IF($F606="","",IFERROR(INDEX(사건마스터!$AK$5:$AK$64,MATCH($F606,사건마스터!$A$5:$A$64,0)),""))</f>
        <v/>
      </c>
      <c r="N606" s="35">
        <f>IF($F606="","",IFERROR(INDEX(사건마스터!$AL$5:$AL$64,MATCH($F606,사건마스터!$A$5:$A$64,0)),""))</f>
        <v/>
      </c>
      <c r="O606" s="35">
        <f>IF($F606="","",IFERROR(INDEX(사건마스터!$AM$5:$AM$64,MATCH($F606,사건마스터!$A$5:$A$64,0)),""))</f>
        <v/>
      </c>
      <c r="P606" s="35">
        <f>IF($F606="","",IFERROR(INDEX(사건마스터!$AN$5:$AN$64,MATCH($F606,사건마스터!$A$5:$A$64,0)),""))</f>
        <v/>
      </c>
      <c r="Q606" s="35">
        <f>IF($F606="","",IFERROR(INDEX(사건마스터!$AO$5:$AO$64,MATCH($F606,사건마스터!$A$5:$A$64,0)),""))</f>
        <v/>
      </c>
      <c r="R606" s="35">
        <f>IF($F606="","",IFERROR(INDEX(사건마스터!$AP$5:$AP$64,MATCH($F606,사건마스터!$A$5:$A$64,0)),""))</f>
        <v/>
      </c>
      <c r="S606" s="35">
        <f>IF($F606="","",IFERROR(INDEX(사건마스터!$AQ$5:$AQ$64,MATCH($F606,사건마스터!$A$5:$A$64,0)),""))</f>
        <v/>
      </c>
      <c r="T606" s="35">
        <f>IF($F606="","",IFERROR(INDEX(사건마스터!$AR$5:$AR$64,MATCH($F606,사건마스터!$A$5:$A$64,0)),""))</f>
        <v/>
      </c>
      <c r="U606" s="35">
        <f>IF($F606="","",IFERROR(INDEX(사건마스터!$AS$5:$AS$64,MATCH($F606,사건마스터!$A$5:$A$64,0)),""))</f>
        <v/>
      </c>
      <c r="V606" s="35">
        <f>IF($F606="","",IFERROR(INDEX(사건마스터!$AT$5:$AT$64,MATCH($F606,사건마스터!$A$5:$A$64,0)),""))</f>
        <v/>
      </c>
      <c r="W606" s="35">
        <f>IF($F606="","",IFERROR(INDEX(사건마스터!$AU$5:$AU$64,MATCH($F606,사건마스터!$A$5:$A$64,0)),""))</f>
        <v/>
      </c>
      <c r="X606" s="35">
        <f>IF($F606="","",IFERROR(INDEX(사건마스터!$AV$5:$AV$64,MATCH($F606,사건마스터!$A$5:$A$64,0)),""))</f>
        <v/>
      </c>
      <c r="Y606" s="30">
        <f>IF($I606="","",COUNTIF($I606:$X606,"?*"))</f>
        <v/>
      </c>
      <c r="Z606" s="33">
        <f>IF($I606="","",_xlfn.TEXTJOIN(", ",TRUE,$I606:$X606))</f>
        <v/>
      </c>
      <c r="AA606" s="34">
        <f>IF($I606="","",IFERROR(INDEX(코드설정!$D$5:$D$24,MATCH($I606,코드설정!$C$5:$C$24,0)),""))</f>
        <v/>
      </c>
      <c r="AB606" s="36" t="n"/>
      <c r="AC606" s="37" t="n"/>
      <c r="AD606" s="38" t="n"/>
      <c r="AE606" s="30">
        <f>IF(OR($B606="",$C606=""),"",$C606-$B606+1)</f>
        <v/>
      </c>
      <c r="AF606" s="32" t="n"/>
      <c r="AG606" s="36" t="n"/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3">
        <f>IF($F607="","",IFERROR(INDEX(사건마스터!$B$5:$B$64,MATCH($F607,사건마스터!$A$5:$A$64,0)),""))</f>
        <v/>
      </c>
      <c r="H607" s="34">
        <f>IF($F607="","",IFERROR(INDEX(사건마스터!$C$5:$C$64,MATCH($F607,사건마스터!$A$5:$A$64,0)),""))</f>
        <v/>
      </c>
      <c r="I607" s="35">
        <f>IF($F607="","",IFERROR(INDEX(사건마스터!$H$5:$H$64,MATCH($F607,사건마스터!$A$5:$A$64,0)),""))</f>
        <v/>
      </c>
      <c r="J607" s="35">
        <f>IF($F607="","",IFERROR(INDEX(사건마스터!$AH$5:$AH$64,MATCH($F607,사건마스터!$A$5:$A$64,0)),""))</f>
        <v/>
      </c>
      <c r="K607" s="35">
        <f>IF($F607="","",IFERROR(INDEX(사건마스터!$AI$5:$AI$64,MATCH($F607,사건마스터!$A$5:$A$64,0)),""))</f>
        <v/>
      </c>
      <c r="L607" s="35">
        <f>IF($F607="","",IFERROR(INDEX(사건마스터!$AJ$5:$AJ$64,MATCH($F607,사건마스터!$A$5:$A$64,0)),""))</f>
        <v/>
      </c>
      <c r="M607" s="35">
        <f>IF($F607="","",IFERROR(INDEX(사건마스터!$AK$5:$AK$64,MATCH($F607,사건마스터!$A$5:$A$64,0)),""))</f>
        <v/>
      </c>
      <c r="N607" s="35">
        <f>IF($F607="","",IFERROR(INDEX(사건마스터!$AL$5:$AL$64,MATCH($F607,사건마스터!$A$5:$A$64,0)),""))</f>
        <v/>
      </c>
      <c r="O607" s="35">
        <f>IF($F607="","",IFERROR(INDEX(사건마스터!$AM$5:$AM$64,MATCH($F607,사건마스터!$A$5:$A$64,0)),""))</f>
        <v/>
      </c>
      <c r="P607" s="35">
        <f>IF($F607="","",IFERROR(INDEX(사건마스터!$AN$5:$AN$64,MATCH($F607,사건마스터!$A$5:$A$64,0)),""))</f>
        <v/>
      </c>
      <c r="Q607" s="35">
        <f>IF($F607="","",IFERROR(INDEX(사건마스터!$AO$5:$AO$64,MATCH($F607,사건마스터!$A$5:$A$64,0)),""))</f>
        <v/>
      </c>
      <c r="R607" s="35">
        <f>IF($F607="","",IFERROR(INDEX(사건마스터!$AP$5:$AP$64,MATCH($F607,사건마스터!$A$5:$A$64,0)),""))</f>
        <v/>
      </c>
      <c r="S607" s="35">
        <f>IF($F607="","",IFERROR(INDEX(사건마스터!$AQ$5:$AQ$64,MATCH($F607,사건마스터!$A$5:$A$64,0)),""))</f>
        <v/>
      </c>
      <c r="T607" s="35">
        <f>IF($F607="","",IFERROR(INDEX(사건마스터!$AR$5:$AR$64,MATCH($F607,사건마스터!$A$5:$A$64,0)),""))</f>
        <v/>
      </c>
      <c r="U607" s="35">
        <f>IF($F607="","",IFERROR(INDEX(사건마스터!$AS$5:$AS$64,MATCH($F607,사건마스터!$A$5:$A$64,0)),""))</f>
        <v/>
      </c>
      <c r="V607" s="35">
        <f>IF($F607="","",IFERROR(INDEX(사건마스터!$AT$5:$AT$64,MATCH($F607,사건마스터!$A$5:$A$64,0)),""))</f>
        <v/>
      </c>
      <c r="W607" s="35">
        <f>IF($F607="","",IFERROR(INDEX(사건마스터!$AU$5:$AU$64,MATCH($F607,사건마스터!$A$5:$A$64,0)),""))</f>
        <v/>
      </c>
      <c r="X607" s="35">
        <f>IF($F607="","",IFERROR(INDEX(사건마스터!$AV$5:$AV$64,MATCH($F607,사건마스터!$A$5:$A$64,0)),""))</f>
        <v/>
      </c>
      <c r="Y607" s="30">
        <f>IF($I607="","",COUNTIF($I607:$X607,"?*"))</f>
        <v/>
      </c>
      <c r="Z607" s="33">
        <f>IF($I607="","",_xlfn.TEXTJOIN(", ",TRUE,$I607:$X607))</f>
        <v/>
      </c>
      <c r="AA607" s="34">
        <f>IF($I607="","",IFERROR(INDEX(코드설정!$D$5:$D$24,MATCH($I607,코드설정!$C$5:$C$24,0)),""))</f>
        <v/>
      </c>
      <c r="AB607" s="36" t="n"/>
      <c r="AC607" s="37" t="n"/>
      <c r="AD607" s="38" t="n"/>
      <c r="AE607" s="30">
        <f>IF(OR($B607="",$C607=""),"",$C607-$B607+1)</f>
        <v/>
      </c>
      <c r="AF607" s="32" t="n"/>
      <c r="AG607" s="36" t="n"/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3">
        <f>IF($F608="","",IFERROR(INDEX(사건마스터!$B$5:$B$64,MATCH($F608,사건마스터!$A$5:$A$64,0)),""))</f>
        <v/>
      </c>
      <c r="H608" s="34">
        <f>IF($F608="","",IFERROR(INDEX(사건마스터!$C$5:$C$64,MATCH($F608,사건마스터!$A$5:$A$64,0)),""))</f>
        <v/>
      </c>
      <c r="I608" s="35">
        <f>IF($F608="","",IFERROR(INDEX(사건마스터!$H$5:$H$64,MATCH($F608,사건마스터!$A$5:$A$64,0)),""))</f>
        <v/>
      </c>
      <c r="J608" s="35">
        <f>IF($F608="","",IFERROR(INDEX(사건마스터!$AH$5:$AH$64,MATCH($F608,사건마스터!$A$5:$A$64,0)),""))</f>
        <v/>
      </c>
      <c r="K608" s="35">
        <f>IF($F608="","",IFERROR(INDEX(사건마스터!$AI$5:$AI$64,MATCH($F608,사건마스터!$A$5:$A$64,0)),""))</f>
        <v/>
      </c>
      <c r="L608" s="35">
        <f>IF($F608="","",IFERROR(INDEX(사건마스터!$AJ$5:$AJ$64,MATCH($F608,사건마스터!$A$5:$A$64,0)),""))</f>
        <v/>
      </c>
      <c r="M608" s="35">
        <f>IF($F608="","",IFERROR(INDEX(사건마스터!$AK$5:$AK$64,MATCH($F608,사건마스터!$A$5:$A$64,0)),""))</f>
        <v/>
      </c>
      <c r="N608" s="35">
        <f>IF($F608="","",IFERROR(INDEX(사건마스터!$AL$5:$AL$64,MATCH($F608,사건마스터!$A$5:$A$64,0)),""))</f>
        <v/>
      </c>
      <c r="O608" s="35">
        <f>IF($F608="","",IFERROR(INDEX(사건마스터!$AM$5:$AM$64,MATCH($F608,사건마스터!$A$5:$A$64,0)),""))</f>
        <v/>
      </c>
      <c r="P608" s="35">
        <f>IF($F608="","",IFERROR(INDEX(사건마스터!$AN$5:$AN$64,MATCH($F608,사건마스터!$A$5:$A$64,0)),""))</f>
        <v/>
      </c>
      <c r="Q608" s="35">
        <f>IF($F608="","",IFERROR(INDEX(사건마스터!$AO$5:$AO$64,MATCH($F608,사건마스터!$A$5:$A$64,0)),""))</f>
        <v/>
      </c>
      <c r="R608" s="35">
        <f>IF($F608="","",IFERROR(INDEX(사건마스터!$AP$5:$AP$64,MATCH($F608,사건마스터!$A$5:$A$64,0)),""))</f>
        <v/>
      </c>
      <c r="S608" s="35">
        <f>IF($F608="","",IFERROR(INDEX(사건마스터!$AQ$5:$AQ$64,MATCH($F608,사건마스터!$A$5:$A$64,0)),""))</f>
        <v/>
      </c>
      <c r="T608" s="35">
        <f>IF($F608="","",IFERROR(INDEX(사건마스터!$AR$5:$AR$64,MATCH($F608,사건마스터!$A$5:$A$64,0)),""))</f>
        <v/>
      </c>
      <c r="U608" s="35">
        <f>IF($F608="","",IFERROR(INDEX(사건마스터!$AS$5:$AS$64,MATCH($F608,사건마스터!$A$5:$A$64,0)),""))</f>
        <v/>
      </c>
      <c r="V608" s="35">
        <f>IF($F608="","",IFERROR(INDEX(사건마스터!$AT$5:$AT$64,MATCH($F608,사건마스터!$A$5:$A$64,0)),""))</f>
        <v/>
      </c>
      <c r="W608" s="35">
        <f>IF($F608="","",IFERROR(INDEX(사건마스터!$AU$5:$AU$64,MATCH($F608,사건마스터!$A$5:$A$64,0)),""))</f>
        <v/>
      </c>
      <c r="X608" s="35">
        <f>IF($F608="","",IFERROR(INDEX(사건마스터!$AV$5:$AV$64,MATCH($F608,사건마스터!$A$5:$A$64,0)),""))</f>
        <v/>
      </c>
      <c r="Y608" s="30">
        <f>IF($I608="","",COUNTIF($I608:$X608,"?*"))</f>
        <v/>
      </c>
      <c r="Z608" s="33">
        <f>IF($I608="","",_xlfn.TEXTJOIN(", ",TRUE,$I608:$X608))</f>
        <v/>
      </c>
      <c r="AA608" s="34">
        <f>IF($I608="","",IFERROR(INDEX(코드설정!$D$5:$D$24,MATCH($I608,코드설정!$C$5:$C$24,0)),""))</f>
        <v/>
      </c>
      <c r="AB608" s="36" t="n"/>
      <c r="AC608" s="37" t="n"/>
      <c r="AD608" s="38" t="n"/>
      <c r="AE608" s="30">
        <f>IF(OR($B608="",$C608=""),"",$C608-$B608+1)</f>
        <v/>
      </c>
      <c r="AF608" s="32" t="n"/>
      <c r="AG608" s="36" t="n"/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3">
        <f>IF($F609="","",IFERROR(INDEX(사건마스터!$B$5:$B$64,MATCH($F609,사건마스터!$A$5:$A$64,0)),""))</f>
        <v/>
      </c>
      <c r="H609" s="34">
        <f>IF($F609="","",IFERROR(INDEX(사건마스터!$C$5:$C$64,MATCH($F609,사건마스터!$A$5:$A$64,0)),""))</f>
        <v/>
      </c>
      <c r="I609" s="35">
        <f>IF($F609="","",IFERROR(INDEX(사건마스터!$H$5:$H$64,MATCH($F609,사건마스터!$A$5:$A$64,0)),""))</f>
        <v/>
      </c>
      <c r="J609" s="35">
        <f>IF($F609="","",IFERROR(INDEX(사건마스터!$AH$5:$AH$64,MATCH($F609,사건마스터!$A$5:$A$64,0)),""))</f>
        <v/>
      </c>
      <c r="K609" s="35">
        <f>IF($F609="","",IFERROR(INDEX(사건마스터!$AI$5:$AI$64,MATCH($F609,사건마스터!$A$5:$A$64,0)),""))</f>
        <v/>
      </c>
      <c r="L609" s="35">
        <f>IF($F609="","",IFERROR(INDEX(사건마스터!$AJ$5:$AJ$64,MATCH($F609,사건마스터!$A$5:$A$64,0)),""))</f>
        <v/>
      </c>
      <c r="M609" s="35">
        <f>IF($F609="","",IFERROR(INDEX(사건마스터!$AK$5:$AK$64,MATCH($F609,사건마스터!$A$5:$A$64,0)),""))</f>
        <v/>
      </c>
      <c r="N609" s="35">
        <f>IF($F609="","",IFERROR(INDEX(사건마스터!$AL$5:$AL$64,MATCH($F609,사건마스터!$A$5:$A$64,0)),""))</f>
        <v/>
      </c>
      <c r="O609" s="35">
        <f>IF($F609="","",IFERROR(INDEX(사건마스터!$AM$5:$AM$64,MATCH($F609,사건마스터!$A$5:$A$64,0)),""))</f>
        <v/>
      </c>
      <c r="P609" s="35">
        <f>IF($F609="","",IFERROR(INDEX(사건마스터!$AN$5:$AN$64,MATCH($F609,사건마스터!$A$5:$A$64,0)),""))</f>
        <v/>
      </c>
      <c r="Q609" s="35">
        <f>IF($F609="","",IFERROR(INDEX(사건마스터!$AO$5:$AO$64,MATCH($F609,사건마스터!$A$5:$A$64,0)),""))</f>
        <v/>
      </c>
      <c r="R609" s="35">
        <f>IF($F609="","",IFERROR(INDEX(사건마스터!$AP$5:$AP$64,MATCH($F609,사건마스터!$A$5:$A$64,0)),""))</f>
        <v/>
      </c>
      <c r="S609" s="35">
        <f>IF($F609="","",IFERROR(INDEX(사건마스터!$AQ$5:$AQ$64,MATCH($F609,사건마스터!$A$5:$A$64,0)),""))</f>
        <v/>
      </c>
      <c r="T609" s="35">
        <f>IF($F609="","",IFERROR(INDEX(사건마스터!$AR$5:$AR$64,MATCH($F609,사건마스터!$A$5:$A$64,0)),""))</f>
        <v/>
      </c>
      <c r="U609" s="35">
        <f>IF($F609="","",IFERROR(INDEX(사건마스터!$AS$5:$AS$64,MATCH($F609,사건마스터!$A$5:$A$64,0)),""))</f>
        <v/>
      </c>
      <c r="V609" s="35">
        <f>IF($F609="","",IFERROR(INDEX(사건마스터!$AT$5:$AT$64,MATCH($F609,사건마스터!$A$5:$A$64,0)),""))</f>
        <v/>
      </c>
      <c r="W609" s="35">
        <f>IF($F609="","",IFERROR(INDEX(사건마스터!$AU$5:$AU$64,MATCH($F609,사건마스터!$A$5:$A$64,0)),""))</f>
        <v/>
      </c>
      <c r="X609" s="35">
        <f>IF($F609="","",IFERROR(INDEX(사건마스터!$AV$5:$AV$64,MATCH($F609,사건마스터!$A$5:$A$64,0)),""))</f>
        <v/>
      </c>
      <c r="Y609" s="30">
        <f>IF($I609="","",COUNTIF($I609:$X609,"?*"))</f>
        <v/>
      </c>
      <c r="Z609" s="33">
        <f>IF($I609="","",_xlfn.TEXTJOIN(", ",TRUE,$I609:$X609))</f>
        <v/>
      </c>
      <c r="AA609" s="34">
        <f>IF($I609="","",IFERROR(INDEX(코드설정!$D$5:$D$24,MATCH($I609,코드설정!$C$5:$C$24,0)),""))</f>
        <v/>
      </c>
      <c r="AB609" s="36" t="n"/>
      <c r="AC609" s="37" t="n"/>
      <c r="AD609" s="38" t="n"/>
      <c r="AE609" s="30">
        <f>IF(OR($B609="",$C609=""),"",$C609-$B609+1)</f>
        <v/>
      </c>
      <c r="AF609" s="32" t="n"/>
      <c r="AG609" s="36" t="n"/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3">
        <f>IF($F610="","",IFERROR(INDEX(사건마스터!$B$5:$B$64,MATCH($F610,사건마스터!$A$5:$A$64,0)),""))</f>
        <v/>
      </c>
      <c r="H610" s="34">
        <f>IF($F610="","",IFERROR(INDEX(사건마스터!$C$5:$C$64,MATCH($F610,사건마스터!$A$5:$A$64,0)),""))</f>
        <v/>
      </c>
      <c r="I610" s="35">
        <f>IF($F610="","",IFERROR(INDEX(사건마스터!$H$5:$H$64,MATCH($F610,사건마스터!$A$5:$A$64,0)),""))</f>
        <v/>
      </c>
      <c r="J610" s="35">
        <f>IF($F610="","",IFERROR(INDEX(사건마스터!$AH$5:$AH$64,MATCH($F610,사건마스터!$A$5:$A$64,0)),""))</f>
        <v/>
      </c>
      <c r="K610" s="35">
        <f>IF($F610="","",IFERROR(INDEX(사건마스터!$AI$5:$AI$64,MATCH($F610,사건마스터!$A$5:$A$64,0)),""))</f>
        <v/>
      </c>
      <c r="L610" s="35">
        <f>IF($F610="","",IFERROR(INDEX(사건마스터!$AJ$5:$AJ$64,MATCH($F610,사건마스터!$A$5:$A$64,0)),""))</f>
        <v/>
      </c>
      <c r="M610" s="35">
        <f>IF($F610="","",IFERROR(INDEX(사건마스터!$AK$5:$AK$64,MATCH($F610,사건마스터!$A$5:$A$64,0)),""))</f>
        <v/>
      </c>
      <c r="N610" s="35">
        <f>IF($F610="","",IFERROR(INDEX(사건마스터!$AL$5:$AL$64,MATCH($F610,사건마스터!$A$5:$A$64,0)),""))</f>
        <v/>
      </c>
      <c r="O610" s="35">
        <f>IF($F610="","",IFERROR(INDEX(사건마스터!$AM$5:$AM$64,MATCH($F610,사건마스터!$A$5:$A$64,0)),""))</f>
        <v/>
      </c>
      <c r="P610" s="35">
        <f>IF($F610="","",IFERROR(INDEX(사건마스터!$AN$5:$AN$64,MATCH($F610,사건마스터!$A$5:$A$64,0)),""))</f>
        <v/>
      </c>
      <c r="Q610" s="35">
        <f>IF($F610="","",IFERROR(INDEX(사건마스터!$AO$5:$AO$64,MATCH($F610,사건마스터!$A$5:$A$64,0)),""))</f>
        <v/>
      </c>
      <c r="R610" s="35">
        <f>IF($F610="","",IFERROR(INDEX(사건마스터!$AP$5:$AP$64,MATCH($F610,사건마스터!$A$5:$A$64,0)),""))</f>
        <v/>
      </c>
      <c r="S610" s="35">
        <f>IF($F610="","",IFERROR(INDEX(사건마스터!$AQ$5:$AQ$64,MATCH($F610,사건마스터!$A$5:$A$64,0)),""))</f>
        <v/>
      </c>
      <c r="T610" s="35">
        <f>IF($F610="","",IFERROR(INDEX(사건마스터!$AR$5:$AR$64,MATCH($F610,사건마스터!$A$5:$A$64,0)),""))</f>
        <v/>
      </c>
      <c r="U610" s="35">
        <f>IF($F610="","",IFERROR(INDEX(사건마스터!$AS$5:$AS$64,MATCH($F610,사건마스터!$A$5:$A$64,0)),""))</f>
        <v/>
      </c>
      <c r="V610" s="35">
        <f>IF($F610="","",IFERROR(INDEX(사건마스터!$AT$5:$AT$64,MATCH($F610,사건마스터!$A$5:$A$64,0)),""))</f>
        <v/>
      </c>
      <c r="W610" s="35">
        <f>IF($F610="","",IFERROR(INDEX(사건마스터!$AU$5:$AU$64,MATCH($F610,사건마스터!$A$5:$A$64,0)),""))</f>
        <v/>
      </c>
      <c r="X610" s="35">
        <f>IF($F610="","",IFERROR(INDEX(사건마스터!$AV$5:$AV$64,MATCH($F610,사건마스터!$A$5:$A$64,0)),""))</f>
        <v/>
      </c>
      <c r="Y610" s="30">
        <f>IF($I610="","",COUNTIF($I610:$X610,"?*"))</f>
        <v/>
      </c>
      <c r="Z610" s="33">
        <f>IF($I610="","",_xlfn.TEXTJOIN(", ",TRUE,$I610:$X610))</f>
        <v/>
      </c>
      <c r="AA610" s="34">
        <f>IF($I610="","",IFERROR(INDEX(코드설정!$D$5:$D$24,MATCH($I610,코드설정!$C$5:$C$24,0)),""))</f>
        <v/>
      </c>
      <c r="AB610" s="36" t="n"/>
      <c r="AC610" s="37" t="n"/>
      <c r="AD610" s="38" t="n"/>
      <c r="AE610" s="30">
        <f>IF(OR($B610="",$C610=""),"",$C610-$B610+1)</f>
        <v/>
      </c>
      <c r="AF610" s="32" t="n"/>
      <c r="AG610" s="36" t="n"/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3">
        <f>IF($F611="","",IFERROR(INDEX(사건마스터!$B$5:$B$64,MATCH($F611,사건마스터!$A$5:$A$64,0)),""))</f>
        <v/>
      </c>
      <c r="H611" s="34">
        <f>IF($F611="","",IFERROR(INDEX(사건마스터!$C$5:$C$64,MATCH($F611,사건마스터!$A$5:$A$64,0)),""))</f>
        <v/>
      </c>
      <c r="I611" s="35">
        <f>IF($F611="","",IFERROR(INDEX(사건마스터!$H$5:$H$64,MATCH($F611,사건마스터!$A$5:$A$64,0)),""))</f>
        <v/>
      </c>
      <c r="J611" s="35">
        <f>IF($F611="","",IFERROR(INDEX(사건마스터!$AH$5:$AH$64,MATCH($F611,사건마스터!$A$5:$A$64,0)),""))</f>
        <v/>
      </c>
      <c r="K611" s="35">
        <f>IF($F611="","",IFERROR(INDEX(사건마스터!$AI$5:$AI$64,MATCH($F611,사건마스터!$A$5:$A$64,0)),""))</f>
        <v/>
      </c>
      <c r="L611" s="35">
        <f>IF($F611="","",IFERROR(INDEX(사건마스터!$AJ$5:$AJ$64,MATCH($F611,사건마스터!$A$5:$A$64,0)),""))</f>
        <v/>
      </c>
      <c r="M611" s="35">
        <f>IF($F611="","",IFERROR(INDEX(사건마스터!$AK$5:$AK$64,MATCH($F611,사건마스터!$A$5:$A$64,0)),""))</f>
        <v/>
      </c>
      <c r="N611" s="35">
        <f>IF($F611="","",IFERROR(INDEX(사건마스터!$AL$5:$AL$64,MATCH($F611,사건마스터!$A$5:$A$64,0)),""))</f>
        <v/>
      </c>
      <c r="O611" s="35">
        <f>IF($F611="","",IFERROR(INDEX(사건마스터!$AM$5:$AM$64,MATCH($F611,사건마스터!$A$5:$A$64,0)),""))</f>
        <v/>
      </c>
      <c r="P611" s="35">
        <f>IF($F611="","",IFERROR(INDEX(사건마스터!$AN$5:$AN$64,MATCH($F611,사건마스터!$A$5:$A$64,0)),""))</f>
        <v/>
      </c>
      <c r="Q611" s="35">
        <f>IF($F611="","",IFERROR(INDEX(사건마스터!$AO$5:$AO$64,MATCH($F611,사건마스터!$A$5:$A$64,0)),""))</f>
        <v/>
      </c>
      <c r="R611" s="35">
        <f>IF($F611="","",IFERROR(INDEX(사건마스터!$AP$5:$AP$64,MATCH($F611,사건마스터!$A$5:$A$64,0)),""))</f>
        <v/>
      </c>
      <c r="S611" s="35">
        <f>IF($F611="","",IFERROR(INDEX(사건마스터!$AQ$5:$AQ$64,MATCH($F611,사건마스터!$A$5:$A$64,0)),""))</f>
        <v/>
      </c>
      <c r="T611" s="35">
        <f>IF($F611="","",IFERROR(INDEX(사건마스터!$AR$5:$AR$64,MATCH($F611,사건마스터!$A$5:$A$64,0)),""))</f>
        <v/>
      </c>
      <c r="U611" s="35">
        <f>IF($F611="","",IFERROR(INDEX(사건마스터!$AS$5:$AS$64,MATCH($F611,사건마스터!$A$5:$A$64,0)),""))</f>
        <v/>
      </c>
      <c r="V611" s="35">
        <f>IF($F611="","",IFERROR(INDEX(사건마스터!$AT$5:$AT$64,MATCH($F611,사건마스터!$A$5:$A$64,0)),""))</f>
        <v/>
      </c>
      <c r="W611" s="35">
        <f>IF($F611="","",IFERROR(INDEX(사건마스터!$AU$5:$AU$64,MATCH($F611,사건마스터!$A$5:$A$64,0)),""))</f>
        <v/>
      </c>
      <c r="X611" s="35">
        <f>IF($F611="","",IFERROR(INDEX(사건마스터!$AV$5:$AV$64,MATCH($F611,사건마스터!$A$5:$A$64,0)),""))</f>
        <v/>
      </c>
      <c r="Y611" s="30">
        <f>IF($I611="","",COUNTIF($I611:$X611,"?*"))</f>
        <v/>
      </c>
      <c r="Z611" s="33">
        <f>IF($I611="","",_xlfn.TEXTJOIN(", ",TRUE,$I611:$X611))</f>
        <v/>
      </c>
      <c r="AA611" s="34">
        <f>IF($I611="","",IFERROR(INDEX(코드설정!$D$5:$D$24,MATCH($I611,코드설정!$C$5:$C$24,0)),""))</f>
        <v/>
      </c>
      <c r="AB611" s="36" t="n"/>
      <c r="AC611" s="37" t="n"/>
      <c r="AD611" s="38" t="n"/>
      <c r="AE611" s="30">
        <f>IF(OR($B611="",$C611=""),"",$C611-$B611+1)</f>
        <v/>
      </c>
      <c r="AF611" s="32" t="n"/>
      <c r="AG611" s="36" t="n"/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3">
        <f>IF($F612="","",IFERROR(INDEX(사건마스터!$B$5:$B$64,MATCH($F612,사건마스터!$A$5:$A$64,0)),""))</f>
        <v/>
      </c>
      <c r="H612" s="34">
        <f>IF($F612="","",IFERROR(INDEX(사건마스터!$C$5:$C$64,MATCH($F612,사건마스터!$A$5:$A$64,0)),""))</f>
        <v/>
      </c>
      <c r="I612" s="35">
        <f>IF($F612="","",IFERROR(INDEX(사건마스터!$H$5:$H$64,MATCH($F612,사건마스터!$A$5:$A$64,0)),""))</f>
        <v/>
      </c>
      <c r="J612" s="35">
        <f>IF($F612="","",IFERROR(INDEX(사건마스터!$AH$5:$AH$64,MATCH($F612,사건마스터!$A$5:$A$64,0)),""))</f>
        <v/>
      </c>
      <c r="K612" s="35">
        <f>IF($F612="","",IFERROR(INDEX(사건마스터!$AI$5:$AI$64,MATCH($F612,사건마스터!$A$5:$A$64,0)),""))</f>
        <v/>
      </c>
      <c r="L612" s="35">
        <f>IF($F612="","",IFERROR(INDEX(사건마스터!$AJ$5:$AJ$64,MATCH($F612,사건마스터!$A$5:$A$64,0)),""))</f>
        <v/>
      </c>
      <c r="M612" s="35">
        <f>IF($F612="","",IFERROR(INDEX(사건마스터!$AK$5:$AK$64,MATCH($F612,사건마스터!$A$5:$A$64,0)),""))</f>
        <v/>
      </c>
      <c r="N612" s="35">
        <f>IF($F612="","",IFERROR(INDEX(사건마스터!$AL$5:$AL$64,MATCH($F612,사건마스터!$A$5:$A$64,0)),""))</f>
        <v/>
      </c>
      <c r="O612" s="35">
        <f>IF($F612="","",IFERROR(INDEX(사건마스터!$AM$5:$AM$64,MATCH($F612,사건마스터!$A$5:$A$64,0)),""))</f>
        <v/>
      </c>
      <c r="P612" s="35">
        <f>IF($F612="","",IFERROR(INDEX(사건마스터!$AN$5:$AN$64,MATCH($F612,사건마스터!$A$5:$A$64,0)),""))</f>
        <v/>
      </c>
      <c r="Q612" s="35">
        <f>IF($F612="","",IFERROR(INDEX(사건마스터!$AO$5:$AO$64,MATCH($F612,사건마스터!$A$5:$A$64,0)),""))</f>
        <v/>
      </c>
      <c r="R612" s="35">
        <f>IF($F612="","",IFERROR(INDEX(사건마스터!$AP$5:$AP$64,MATCH($F612,사건마스터!$A$5:$A$64,0)),""))</f>
        <v/>
      </c>
      <c r="S612" s="35">
        <f>IF($F612="","",IFERROR(INDEX(사건마스터!$AQ$5:$AQ$64,MATCH($F612,사건마스터!$A$5:$A$64,0)),""))</f>
        <v/>
      </c>
      <c r="T612" s="35">
        <f>IF($F612="","",IFERROR(INDEX(사건마스터!$AR$5:$AR$64,MATCH($F612,사건마스터!$A$5:$A$64,0)),""))</f>
        <v/>
      </c>
      <c r="U612" s="35">
        <f>IF($F612="","",IFERROR(INDEX(사건마스터!$AS$5:$AS$64,MATCH($F612,사건마스터!$A$5:$A$64,0)),""))</f>
        <v/>
      </c>
      <c r="V612" s="35">
        <f>IF($F612="","",IFERROR(INDEX(사건마스터!$AT$5:$AT$64,MATCH($F612,사건마스터!$A$5:$A$64,0)),""))</f>
        <v/>
      </c>
      <c r="W612" s="35">
        <f>IF($F612="","",IFERROR(INDEX(사건마스터!$AU$5:$AU$64,MATCH($F612,사건마스터!$A$5:$A$64,0)),""))</f>
        <v/>
      </c>
      <c r="X612" s="35">
        <f>IF($F612="","",IFERROR(INDEX(사건마스터!$AV$5:$AV$64,MATCH($F612,사건마스터!$A$5:$A$64,0)),""))</f>
        <v/>
      </c>
      <c r="Y612" s="30">
        <f>IF($I612="","",COUNTIF($I612:$X612,"?*"))</f>
        <v/>
      </c>
      <c r="Z612" s="33">
        <f>IF($I612="","",_xlfn.TEXTJOIN(", ",TRUE,$I612:$X612))</f>
        <v/>
      </c>
      <c r="AA612" s="34">
        <f>IF($I612="","",IFERROR(INDEX(코드설정!$D$5:$D$24,MATCH($I612,코드설정!$C$5:$C$24,0)),""))</f>
        <v/>
      </c>
      <c r="AB612" s="36" t="n"/>
      <c r="AC612" s="37" t="n"/>
      <c r="AD612" s="38" t="n"/>
      <c r="AE612" s="30">
        <f>IF(OR($B612="",$C612=""),"",$C612-$B612+1)</f>
        <v/>
      </c>
      <c r="AF612" s="32" t="n"/>
      <c r="AG612" s="36" t="n"/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3">
        <f>IF($F613="","",IFERROR(INDEX(사건마스터!$B$5:$B$64,MATCH($F613,사건마스터!$A$5:$A$64,0)),""))</f>
        <v/>
      </c>
      <c r="H613" s="34">
        <f>IF($F613="","",IFERROR(INDEX(사건마스터!$C$5:$C$64,MATCH($F613,사건마스터!$A$5:$A$64,0)),""))</f>
        <v/>
      </c>
      <c r="I613" s="35">
        <f>IF($F613="","",IFERROR(INDEX(사건마스터!$H$5:$H$64,MATCH($F613,사건마스터!$A$5:$A$64,0)),""))</f>
        <v/>
      </c>
      <c r="J613" s="35">
        <f>IF($F613="","",IFERROR(INDEX(사건마스터!$AH$5:$AH$64,MATCH($F613,사건마스터!$A$5:$A$64,0)),""))</f>
        <v/>
      </c>
      <c r="K613" s="35">
        <f>IF($F613="","",IFERROR(INDEX(사건마스터!$AI$5:$AI$64,MATCH($F613,사건마스터!$A$5:$A$64,0)),""))</f>
        <v/>
      </c>
      <c r="L613" s="35">
        <f>IF($F613="","",IFERROR(INDEX(사건마스터!$AJ$5:$AJ$64,MATCH($F613,사건마스터!$A$5:$A$64,0)),""))</f>
        <v/>
      </c>
      <c r="M613" s="35">
        <f>IF($F613="","",IFERROR(INDEX(사건마스터!$AK$5:$AK$64,MATCH($F613,사건마스터!$A$5:$A$64,0)),""))</f>
        <v/>
      </c>
      <c r="N613" s="35">
        <f>IF($F613="","",IFERROR(INDEX(사건마스터!$AL$5:$AL$64,MATCH($F613,사건마스터!$A$5:$A$64,0)),""))</f>
        <v/>
      </c>
      <c r="O613" s="35">
        <f>IF($F613="","",IFERROR(INDEX(사건마스터!$AM$5:$AM$64,MATCH($F613,사건마스터!$A$5:$A$64,0)),""))</f>
        <v/>
      </c>
      <c r="P613" s="35">
        <f>IF($F613="","",IFERROR(INDEX(사건마스터!$AN$5:$AN$64,MATCH($F613,사건마스터!$A$5:$A$64,0)),""))</f>
        <v/>
      </c>
      <c r="Q613" s="35">
        <f>IF($F613="","",IFERROR(INDEX(사건마스터!$AO$5:$AO$64,MATCH($F613,사건마스터!$A$5:$A$64,0)),""))</f>
        <v/>
      </c>
      <c r="R613" s="35">
        <f>IF($F613="","",IFERROR(INDEX(사건마스터!$AP$5:$AP$64,MATCH($F613,사건마스터!$A$5:$A$64,0)),""))</f>
        <v/>
      </c>
      <c r="S613" s="35">
        <f>IF($F613="","",IFERROR(INDEX(사건마스터!$AQ$5:$AQ$64,MATCH($F613,사건마스터!$A$5:$A$64,0)),""))</f>
        <v/>
      </c>
      <c r="T613" s="35">
        <f>IF($F613="","",IFERROR(INDEX(사건마스터!$AR$5:$AR$64,MATCH($F613,사건마스터!$A$5:$A$64,0)),""))</f>
        <v/>
      </c>
      <c r="U613" s="35">
        <f>IF($F613="","",IFERROR(INDEX(사건마스터!$AS$5:$AS$64,MATCH($F613,사건마스터!$A$5:$A$64,0)),""))</f>
        <v/>
      </c>
      <c r="V613" s="35">
        <f>IF($F613="","",IFERROR(INDEX(사건마스터!$AT$5:$AT$64,MATCH($F613,사건마스터!$A$5:$A$64,0)),""))</f>
        <v/>
      </c>
      <c r="W613" s="35">
        <f>IF($F613="","",IFERROR(INDEX(사건마스터!$AU$5:$AU$64,MATCH($F613,사건마스터!$A$5:$A$64,0)),""))</f>
        <v/>
      </c>
      <c r="X613" s="35">
        <f>IF($F613="","",IFERROR(INDEX(사건마스터!$AV$5:$AV$64,MATCH($F613,사건마스터!$A$5:$A$64,0)),""))</f>
        <v/>
      </c>
      <c r="Y613" s="30">
        <f>IF($I613="","",COUNTIF($I613:$X613,"?*"))</f>
        <v/>
      </c>
      <c r="Z613" s="33">
        <f>IF($I613="","",_xlfn.TEXTJOIN(", ",TRUE,$I613:$X613))</f>
        <v/>
      </c>
      <c r="AA613" s="34">
        <f>IF($I613="","",IFERROR(INDEX(코드설정!$D$5:$D$24,MATCH($I613,코드설정!$C$5:$C$24,0)),""))</f>
        <v/>
      </c>
      <c r="AB613" s="36" t="n"/>
      <c r="AC613" s="37" t="n"/>
      <c r="AD613" s="38" t="n"/>
      <c r="AE613" s="30">
        <f>IF(OR($B613="",$C613=""),"",$C613-$B613+1)</f>
        <v/>
      </c>
      <c r="AF613" s="32" t="n"/>
      <c r="AG613" s="36" t="n"/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3">
        <f>IF($F614="","",IFERROR(INDEX(사건마스터!$B$5:$B$64,MATCH($F614,사건마스터!$A$5:$A$64,0)),""))</f>
        <v/>
      </c>
      <c r="H614" s="34">
        <f>IF($F614="","",IFERROR(INDEX(사건마스터!$C$5:$C$64,MATCH($F614,사건마스터!$A$5:$A$64,0)),""))</f>
        <v/>
      </c>
      <c r="I614" s="35">
        <f>IF($F614="","",IFERROR(INDEX(사건마스터!$H$5:$H$64,MATCH($F614,사건마스터!$A$5:$A$64,0)),""))</f>
        <v/>
      </c>
      <c r="J614" s="35">
        <f>IF($F614="","",IFERROR(INDEX(사건마스터!$AH$5:$AH$64,MATCH($F614,사건마스터!$A$5:$A$64,0)),""))</f>
        <v/>
      </c>
      <c r="K614" s="35">
        <f>IF($F614="","",IFERROR(INDEX(사건마스터!$AI$5:$AI$64,MATCH($F614,사건마스터!$A$5:$A$64,0)),""))</f>
        <v/>
      </c>
      <c r="L614" s="35">
        <f>IF($F614="","",IFERROR(INDEX(사건마스터!$AJ$5:$AJ$64,MATCH($F614,사건마스터!$A$5:$A$64,0)),""))</f>
        <v/>
      </c>
      <c r="M614" s="35">
        <f>IF($F614="","",IFERROR(INDEX(사건마스터!$AK$5:$AK$64,MATCH($F614,사건마스터!$A$5:$A$64,0)),""))</f>
        <v/>
      </c>
      <c r="N614" s="35">
        <f>IF($F614="","",IFERROR(INDEX(사건마스터!$AL$5:$AL$64,MATCH($F614,사건마스터!$A$5:$A$64,0)),""))</f>
        <v/>
      </c>
      <c r="O614" s="35">
        <f>IF($F614="","",IFERROR(INDEX(사건마스터!$AM$5:$AM$64,MATCH($F614,사건마스터!$A$5:$A$64,0)),""))</f>
        <v/>
      </c>
      <c r="P614" s="35">
        <f>IF($F614="","",IFERROR(INDEX(사건마스터!$AN$5:$AN$64,MATCH($F614,사건마스터!$A$5:$A$64,0)),""))</f>
        <v/>
      </c>
      <c r="Q614" s="35">
        <f>IF($F614="","",IFERROR(INDEX(사건마스터!$AO$5:$AO$64,MATCH($F614,사건마스터!$A$5:$A$64,0)),""))</f>
        <v/>
      </c>
      <c r="R614" s="35">
        <f>IF($F614="","",IFERROR(INDEX(사건마스터!$AP$5:$AP$64,MATCH($F614,사건마스터!$A$5:$A$64,0)),""))</f>
        <v/>
      </c>
      <c r="S614" s="35">
        <f>IF($F614="","",IFERROR(INDEX(사건마스터!$AQ$5:$AQ$64,MATCH($F614,사건마스터!$A$5:$A$64,0)),""))</f>
        <v/>
      </c>
      <c r="T614" s="35">
        <f>IF($F614="","",IFERROR(INDEX(사건마스터!$AR$5:$AR$64,MATCH($F614,사건마스터!$A$5:$A$64,0)),""))</f>
        <v/>
      </c>
      <c r="U614" s="35">
        <f>IF($F614="","",IFERROR(INDEX(사건마스터!$AS$5:$AS$64,MATCH($F614,사건마스터!$A$5:$A$64,0)),""))</f>
        <v/>
      </c>
      <c r="V614" s="35">
        <f>IF($F614="","",IFERROR(INDEX(사건마스터!$AT$5:$AT$64,MATCH($F614,사건마스터!$A$5:$A$64,0)),""))</f>
        <v/>
      </c>
      <c r="W614" s="35">
        <f>IF($F614="","",IFERROR(INDEX(사건마스터!$AU$5:$AU$64,MATCH($F614,사건마스터!$A$5:$A$64,0)),""))</f>
        <v/>
      </c>
      <c r="X614" s="35">
        <f>IF($F614="","",IFERROR(INDEX(사건마스터!$AV$5:$AV$64,MATCH($F614,사건마스터!$A$5:$A$64,0)),""))</f>
        <v/>
      </c>
      <c r="Y614" s="30">
        <f>IF($I614="","",COUNTIF($I614:$X614,"?*"))</f>
        <v/>
      </c>
      <c r="Z614" s="33">
        <f>IF($I614="","",_xlfn.TEXTJOIN(", ",TRUE,$I614:$X614))</f>
        <v/>
      </c>
      <c r="AA614" s="34">
        <f>IF($I614="","",IFERROR(INDEX(코드설정!$D$5:$D$24,MATCH($I614,코드설정!$C$5:$C$24,0)),""))</f>
        <v/>
      </c>
      <c r="AB614" s="36" t="n"/>
      <c r="AC614" s="37" t="n"/>
      <c r="AD614" s="38" t="n"/>
      <c r="AE614" s="30">
        <f>IF(OR($B614="",$C614=""),"",$C614-$B614+1)</f>
        <v/>
      </c>
      <c r="AF614" s="32" t="n"/>
      <c r="AG614" s="36" t="n"/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3">
        <f>IF($F615="","",IFERROR(INDEX(사건마스터!$B$5:$B$64,MATCH($F615,사건마스터!$A$5:$A$64,0)),""))</f>
        <v/>
      </c>
      <c r="H615" s="34">
        <f>IF($F615="","",IFERROR(INDEX(사건마스터!$C$5:$C$64,MATCH($F615,사건마스터!$A$5:$A$64,0)),""))</f>
        <v/>
      </c>
      <c r="I615" s="35">
        <f>IF($F615="","",IFERROR(INDEX(사건마스터!$H$5:$H$64,MATCH($F615,사건마스터!$A$5:$A$64,0)),""))</f>
        <v/>
      </c>
      <c r="J615" s="35">
        <f>IF($F615="","",IFERROR(INDEX(사건마스터!$AH$5:$AH$64,MATCH($F615,사건마스터!$A$5:$A$64,0)),""))</f>
        <v/>
      </c>
      <c r="K615" s="35">
        <f>IF($F615="","",IFERROR(INDEX(사건마스터!$AI$5:$AI$64,MATCH($F615,사건마스터!$A$5:$A$64,0)),""))</f>
        <v/>
      </c>
      <c r="L615" s="35">
        <f>IF($F615="","",IFERROR(INDEX(사건마스터!$AJ$5:$AJ$64,MATCH($F615,사건마스터!$A$5:$A$64,0)),""))</f>
        <v/>
      </c>
      <c r="M615" s="35">
        <f>IF($F615="","",IFERROR(INDEX(사건마스터!$AK$5:$AK$64,MATCH($F615,사건마스터!$A$5:$A$64,0)),""))</f>
        <v/>
      </c>
      <c r="N615" s="35">
        <f>IF($F615="","",IFERROR(INDEX(사건마스터!$AL$5:$AL$64,MATCH($F615,사건마스터!$A$5:$A$64,0)),""))</f>
        <v/>
      </c>
      <c r="O615" s="35">
        <f>IF($F615="","",IFERROR(INDEX(사건마스터!$AM$5:$AM$64,MATCH($F615,사건마스터!$A$5:$A$64,0)),""))</f>
        <v/>
      </c>
      <c r="P615" s="35">
        <f>IF($F615="","",IFERROR(INDEX(사건마스터!$AN$5:$AN$64,MATCH($F615,사건마스터!$A$5:$A$64,0)),""))</f>
        <v/>
      </c>
      <c r="Q615" s="35">
        <f>IF($F615="","",IFERROR(INDEX(사건마스터!$AO$5:$AO$64,MATCH($F615,사건마스터!$A$5:$A$64,0)),""))</f>
        <v/>
      </c>
      <c r="R615" s="35">
        <f>IF($F615="","",IFERROR(INDEX(사건마스터!$AP$5:$AP$64,MATCH($F615,사건마스터!$A$5:$A$64,0)),""))</f>
        <v/>
      </c>
      <c r="S615" s="35">
        <f>IF($F615="","",IFERROR(INDEX(사건마스터!$AQ$5:$AQ$64,MATCH($F615,사건마스터!$A$5:$A$64,0)),""))</f>
        <v/>
      </c>
      <c r="T615" s="35">
        <f>IF($F615="","",IFERROR(INDEX(사건마스터!$AR$5:$AR$64,MATCH($F615,사건마스터!$A$5:$A$64,0)),""))</f>
        <v/>
      </c>
      <c r="U615" s="35">
        <f>IF($F615="","",IFERROR(INDEX(사건마스터!$AS$5:$AS$64,MATCH($F615,사건마스터!$A$5:$A$64,0)),""))</f>
        <v/>
      </c>
      <c r="V615" s="35">
        <f>IF($F615="","",IFERROR(INDEX(사건마스터!$AT$5:$AT$64,MATCH($F615,사건마스터!$A$5:$A$64,0)),""))</f>
        <v/>
      </c>
      <c r="W615" s="35">
        <f>IF($F615="","",IFERROR(INDEX(사건마스터!$AU$5:$AU$64,MATCH($F615,사건마스터!$A$5:$A$64,0)),""))</f>
        <v/>
      </c>
      <c r="X615" s="35">
        <f>IF($F615="","",IFERROR(INDEX(사건마스터!$AV$5:$AV$64,MATCH($F615,사건마스터!$A$5:$A$64,0)),""))</f>
        <v/>
      </c>
      <c r="Y615" s="30">
        <f>IF($I615="","",COUNTIF($I615:$X615,"?*"))</f>
        <v/>
      </c>
      <c r="Z615" s="33">
        <f>IF($I615="","",_xlfn.TEXTJOIN(", ",TRUE,$I615:$X615))</f>
        <v/>
      </c>
      <c r="AA615" s="34">
        <f>IF($I615="","",IFERROR(INDEX(코드설정!$D$5:$D$24,MATCH($I615,코드설정!$C$5:$C$24,0)),""))</f>
        <v/>
      </c>
      <c r="AB615" s="36" t="n"/>
      <c r="AC615" s="37" t="n"/>
      <c r="AD615" s="38" t="n"/>
      <c r="AE615" s="30">
        <f>IF(OR($B615="",$C615=""),"",$C615-$B615+1)</f>
        <v/>
      </c>
      <c r="AF615" s="32" t="n"/>
      <c r="AG615" s="36" t="n"/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3">
        <f>IF($F616="","",IFERROR(INDEX(사건마스터!$B$5:$B$64,MATCH($F616,사건마스터!$A$5:$A$64,0)),""))</f>
        <v/>
      </c>
      <c r="H616" s="34">
        <f>IF($F616="","",IFERROR(INDEX(사건마스터!$C$5:$C$64,MATCH($F616,사건마스터!$A$5:$A$64,0)),""))</f>
        <v/>
      </c>
      <c r="I616" s="35">
        <f>IF($F616="","",IFERROR(INDEX(사건마스터!$H$5:$H$64,MATCH($F616,사건마스터!$A$5:$A$64,0)),""))</f>
        <v/>
      </c>
      <c r="J616" s="35">
        <f>IF($F616="","",IFERROR(INDEX(사건마스터!$AH$5:$AH$64,MATCH($F616,사건마스터!$A$5:$A$64,0)),""))</f>
        <v/>
      </c>
      <c r="K616" s="35">
        <f>IF($F616="","",IFERROR(INDEX(사건마스터!$AI$5:$AI$64,MATCH($F616,사건마스터!$A$5:$A$64,0)),""))</f>
        <v/>
      </c>
      <c r="L616" s="35">
        <f>IF($F616="","",IFERROR(INDEX(사건마스터!$AJ$5:$AJ$64,MATCH($F616,사건마스터!$A$5:$A$64,0)),""))</f>
        <v/>
      </c>
      <c r="M616" s="35">
        <f>IF($F616="","",IFERROR(INDEX(사건마스터!$AK$5:$AK$64,MATCH($F616,사건마스터!$A$5:$A$64,0)),""))</f>
        <v/>
      </c>
      <c r="N616" s="35">
        <f>IF($F616="","",IFERROR(INDEX(사건마스터!$AL$5:$AL$64,MATCH($F616,사건마스터!$A$5:$A$64,0)),""))</f>
        <v/>
      </c>
      <c r="O616" s="35">
        <f>IF($F616="","",IFERROR(INDEX(사건마스터!$AM$5:$AM$64,MATCH($F616,사건마스터!$A$5:$A$64,0)),""))</f>
        <v/>
      </c>
      <c r="P616" s="35">
        <f>IF($F616="","",IFERROR(INDEX(사건마스터!$AN$5:$AN$64,MATCH($F616,사건마스터!$A$5:$A$64,0)),""))</f>
        <v/>
      </c>
      <c r="Q616" s="35">
        <f>IF($F616="","",IFERROR(INDEX(사건마스터!$AO$5:$AO$64,MATCH($F616,사건마스터!$A$5:$A$64,0)),""))</f>
        <v/>
      </c>
      <c r="R616" s="35">
        <f>IF($F616="","",IFERROR(INDEX(사건마스터!$AP$5:$AP$64,MATCH($F616,사건마스터!$A$5:$A$64,0)),""))</f>
        <v/>
      </c>
      <c r="S616" s="35">
        <f>IF($F616="","",IFERROR(INDEX(사건마스터!$AQ$5:$AQ$64,MATCH($F616,사건마스터!$A$5:$A$64,0)),""))</f>
        <v/>
      </c>
      <c r="T616" s="35">
        <f>IF($F616="","",IFERROR(INDEX(사건마스터!$AR$5:$AR$64,MATCH($F616,사건마스터!$A$5:$A$64,0)),""))</f>
        <v/>
      </c>
      <c r="U616" s="35">
        <f>IF($F616="","",IFERROR(INDEX(사건마스터!$AS$5:$AS$64,MATCH($F616,사건마스터!$A$5:$A$64,0)),""))</f>
        <v/>
      </c>
      <c r="V616" s="35">
        <f>IF($F616="","",IFERROR(INDEX(사건마스터!$AT$5:$AT$64,MATCH($F616,사건마스터!$A$5:$A$64,0)),""))</f>
        <v/>
      </c>
      <c r="W616" s="35">
        <f>IF($F616="","",IFERROR(INDEX(사건마스터!$AU$5:$AU$64,MATCH($F616,사건마스터!$A$5:$A$64,0)),""))</f>
        <v/>
      </c>
      <c r="X616" s="35">
        <f>IF($F616="","",IFERROR(INDEX(사건마스터!$AV$5:$AV$64,MATCH($F616,사건마스터!$A$5:$A$64,0)),""))</f>
        <v/>
      </c>
      <c r="Y616" s="30">
        <f>IF($I616="","",COUNTIF($I616:$X616,"?*"))</f>
        <v/>
      </c>
      <c r="Z616" s="33">
        <f>IF($I616="","",_xlfn.TEXTJOIN(", ",TRUE,$I616:$X616))</f>
        <v/>
      </c>
      <c r="AA616" s="34">
        <f>IF($I616="","",IFERROR(INDEX(코드설정!$D$5:$D$24,MATCH($I616,코드설정!$C$5:$C$24,0)),""))</f>
        <v/>
      </c>
      <c r="AB616" s="36" t="n"/>
      <c r="AC616" s="37" t="n"/>
      <c r="AD616" s="38" t="n"/>
      <c r="AE616" s="30">
        <f>IF(OR($B616="",$C616=""),"",$C616-$B616+1)</f>
        <v/>
      </c>
      <c r="AF616" s="32" t="n"/>
      <c r="AG616" s="36" t="n"/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3">
        <f>IF($F617="","",IFERROR(INDEX(사건마스터!$B$5:$B$64,MATCH($F617,사건마스터!$A$5:$A$64,0)),""))</f>
        <v/>
      </c>
      <c r="H617" s="34">
        <f>IF($F617="","",IFERROR(INDEX(사건마스터!$C$5:$C$64,MATCH($F617,사건마스터!$A$5:$A$64,0)),""))</f>
        <v/>
      </c>
      <c r="I617" s="35">
        <f>IF($F617="","",IFERROR(INDEX(사건마스터!$H$5:$H$64,MATCH($F617,사건마스터!$A$5:$A$64,0)),""))</f>
        <v/>
      </c>
      <c r="J617" s="35">
        <f>IF($F617="","",IFERROR(INDEX(사건마스터!$AH$5:$AH$64,MATCH($F617,사건마스터!$A$5:$A$64,0)),""))</f>
        <v/>
      </c>
      <c r="K617" s="35">
        <f>IF($F617="","",IFERROR(INDEX(사건마스터!$AI$5:$AI$64,MATCH($F617,사건마스터!$A$5:$A$64,0)),""))</f>
        <v/>
      </c>
      <c r="L617" s="35">
        <f>IF($F617="","",IFERROR(INDEX(사건마스터!$AJ$5:$AJ$64,MATCH($F617,사건마스터!$A$5:$A$64,0)),""))</f>
        <v/>
      </c>
      <c r="M617" s="35">
        <f>IF($F617="","",IFERROR(INDEX(사건마스터!$AK$5:$AK$64,MATCH($F617,사건마스터!$A$5:$A$64,0)),""))</f>
        <v/>
      </c>
      <c r="N617" s="35">
        <f>IF($F617="","",IFERROR(INDEX(사건마스터!$AL$5:$AL$64,MATCH($F617,사건마스터!$A$5:$A$64,0)),""))</f>
        <v/>
      </c>
      <c r="O617" s="35">
        <f>IF($F617="","",IFERROR(INDEX(사건마스터!$AM$5:$AM$64,MATCH($F617,사건마스터!$A$5:$A$64,0)),""))</f>
        <v/>
      </c>
      <c r="P617" s="35">
        <f>IF($F617="","",IFERROR(INDEX(사건마스터!$AN$5:$AN$64,MATCH($F617,사건마스터!$A$5:$A$64,0)),""))</f>
        <v/>
      </c>
      <c r="Q617" s="35">
        <f>IF($F617="","",IFERROR(INDEX(사건마스터!$AO$5:$AO$64,MATCH($F617,사건마스터!$A$5:$A$64,0)),""))</f>
        <v/>
      </c>
      <c r="R617" s="35">
        <f>IF($F617="","",IFERROR(INDEX(사건마스터!$AP$5:$AP$64,MATCH($F617,사건마스터!$A$5:$A$64,0)),""))</f>
        <v/>
      </c>
      <c r="S617" s="35">
        <f>IF($F617="","",IFERROR(INDEX(사건마스터!$AQ$5:$AQ$64,MATCH($F617,사건마스터!$A$5:$A$64,0)),""))</f>
        <v/>
      </c>
      <c r="T617" s="35">
        <f>IF($F617="","",IFERROR(INDEX(사건마스터!$AR$5:$AR$64,MATCH($F617,사건마스터!$A$5:$A$64,0)),""))</f>
        <v/>
      </c>
      <c r="U617" s="35">
        <f>IF($F617="","",IFERROR(INDEX(사건마스터!$AS$5:$AS$64,MATCH($F617,사건마스터!$A$5:$A$64,0)),""))</f>
        <v/>
      </c>
      <c r="V617" s="35">
        <f>IF($F617="","",IFERROR(INDEX(사건마스터!$AT$5:$AT$64,MATCH($F617,사건마스터!$A$5:$A$64,0)),""))</f>
        <v/>
      </c>
      <c r="W617" s="35">
        <f>IF($F617="","",IFERROR(INDEX(사건마스터!$AU$5:$AU$64,MATCH($F617,사건마스터!$A$5:$A$64,0)),""))</f>
        <v/>
      </c>
      <c r="X617" s="35">
        <f>IF($F617="","",IFERROR(INDEX(사건마스터!$AV$5:$AV$64,MATCH($F617,사건마스터!$A$5:$A$64,0)),""))</f>
        <v/>
      </c>
      <c r="Y617" s="30">
        <f>IF($I617="","",COUNTIF($I617:$X617,"?*"))</f>
        <v/>
      </c>
      <c r="Z617" s="33">
        <f>IF($I617="","",_xlfn.TEXTJOIN(", ",TRUE,$I617:$X617))</f>
        <v/>
      </c>
      <c r="AA617" s="34">
        <f>IF($I617="","",IFERROR(INDEX(코드설정!$D$5:$D$24,MATCH($I617,코드설정!$C$5:$C$24,0)),""))</f>
        <v/>
      </c>
      <c r="AB617" s="36" t="n"/>
      <c r="AC617" s="37" t="n"/>
      <c r="AD617" s="38" t="n"/>
      <c r="AE617" s="30">
        <f>IF(OR($B617="",$C617=""),"",$C617-$B617+1)</f>
        <v/>
      </c>
      <c r="AF617" s="32" t="n"/>
      <c r="AG617" s="36" t="n"/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3">
        <f>IF($F618="","",IFERROR(INDEX(사건마스터!$B$5:$B$64,MATCH($F618,사건마스터!$A$5:$A$64,0)),""))</f>
        <v/>
      </c>
      <c r="H618" s="34">
        <f>IF($F618="","",IFERROR(INDEX(사건마스터!$C$5:$C$64,MATCH($F618,사건마스터!$A$5:$A$64,0)),""))</f>
        <v/>
      </c>
      <c r="I618" s="35">
        <f>IF($F618="","",IFERROR(INDEX(사건마스터!$H$5:$H$64,MATCH($F618,사건마스터!$A$5:$A$64,0)),""))</f>
        <v/>
      </c>
      <c r="J618" s="35">
        <f>IF($F618="","",IFERROR(INDEX(사건마스터!$AH$5:$AH$64,MATCH($F618,사건마스터!$A$5:$A$64,0)),""))</f>
        <v/>
      </c>
      <c r="K618" s="35">
        <f>IF($F618="","",IFERROR(INDEX(사건마스터!$AI$5:$AI$64,MATCH($F618,사건마스터!$A$5:$A$64,0)),""))</f>
        <v/>
      </c>
      <c r="L618" s="35">
        <f>IF($F618="","",IFERROR(INDEX(사건마스터!$AJ$5:$AJ$64,MATCH($F618,사건마스터!$A$5:$A$64,0)),""))</f>
        <v/>
      </c>
      <c r="M618" s="35">
        <f>IF($F618="","",IFERROR(INDEX(사건마스터!$AK$5:$AK$64,MATCH($F618,사건마스터!$A$5:$A$64,0)),""))</f>
        <v/>
      </c>
      <c r="N618" s="35">
        <f>IF($F618="","",IFERROR(INDEX(사건마스터!$AL$5:$AL$64,MATCH($F618,사건마스터!$A$5:$A$64,0)),""))</f>
        <v/>
      </c>
      <c r="O618" s="35">
        <f>IF($F618="","",IFERROR(INDEX(사건마스터!$AM$5:$AM$64,MATCH($F618,사건마스터!$A$5:$A$64,0)),""))</f>
        <v/>
      </c>
      <c r="P618" s="35">
        <f>IF($F618="","",IFERROR(INDEX(사건마스터!$AN$5:$AN$64,MATCH($F618,사건마스터!$A$5:$A$64,0)),""))</f>
        <v/>
      </c>
      <c r="Q618" s="35">
        <f>IF($F618="","",IFERROR(INDEX(사건마스터!$AO$5:$AO$64,MATCH($F618,사건마스터!$A$5:$A$64,0)),""))</f>
        <v/>
      </c>
      <c r="R618" s="35">
        <f>IF($F618="","",IFERROR(INDEX(사건마스터!$AP$5:$AP$64,MATCH($F618,사건마스터!$A$5:$A$64,0)),""))</f>
        <v/>
      </c>
      <c r="S618" s="35">
        <f>IF($F618="","",IFERROR(INDEX(사건마스터!$AQ$5:$AQ$64,MATCH($F618,사건마스터!$A$5:$A$64,0)),""))</f>
        <v/>
      </c>
      <c r="T618" s="35">
        <f>IF($F618="","",IFERROR(INDEX(사건마스터!$AR$5:$AR$64,MATCH($F618,사건마스터!$A$5:$A$64,0)),""))</f>
        <v/>
      </c>
      <c r="U618" s="35">
        <f>IF($F618="","",IFERROR(INDEX(사건마스터!$AS$5:$AS$64,MATCH($F618,사건마스터!$A$5:$A$64,0)),""))</f>
        <v/>
      </c>
      <c r="V618" s="35">
        <f>IF($F618="","",IFERROR(INDEX(사건마스터!$AT$5:$AT$64,MATCH($F618,사건마스터!$A$5:$A$64,0)),""))</f>
        <v/>
      </c>
      <c r="W618" s="35">
        <f>IF($F618="","",IFERROR(INDEX(사건마스터!$AU$5:$AU$64,MATCH($F618,사건마스터!$A$5:$A$64,0)),""))</f>
        <v/>
      </c>
      <c r="X618" s="35">
        <f>IF($F618="","",IFERROR(INDEX(사건마스터!$AV$5:$AV$64,MATCH($F618,사건마스터!$A$5:$A$64,0)),""))</f>
        <v/>
      </c>
      <c r="Y618" s="30">
        <f>IF($I618="","",COUNTIF($I618:$X618,"?*"))</f>
        <v/>
      </c>
      <c r="Z618" s="33">
        <f>IF($I618="","",_xlfn.TEXTJOIN(", ",TRUE,$I618:$X618))</f>
        <v/>
      </c>
      <c r="AA618" s="34">
        <f>IF($I618="","",IFERROR(INDEX(코드설정!$D$5:$D$24,MATCH($I618,코드설정!$C$5:$C$24,0)),""))</f>
        <v/>
      </c>
      <c r="AB618" s="36" t="n"/>
      <c r="AC618" s="37" t="n"/>
      <c r="AD618" s="38" t="n"/>
      <c r="AE618" s="30">
        <f>IF(OR($B618="",$C618=""),"",$C618-$B618+1)</f>
        <v/>
      </c>
      <c r="AF618" s="32" t="n"/>
      <c r="AG618" s="36" t="n"/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3">
        <f>IF($F619="","",IFERROR(INDEX(사건마스터!$B$5:$B$64,MATCH($F619,사건마스터!$A$5:$A$64,0)),""))</f>
        <v/>
      </c>
      <c r="H619" s="34">
        <f>IF($F619="","",IFERROR(INDEX(사건마스터!$C$5:$C$64,MATCH($F619,사건마스터!$A$5:$A$64,0)),""))</f>
        <v/>
      </c>
      <c r="I619" s="35">
        <f>IF($F619="","",IFERROR(INDEX(사건마스터!$H$5:$H$64,MATCH($F619,사건마스터!$A$5:$A$64,0)),""))</f>
        <v/>
      </c>
      <c r="J619" s="35">
        <f>IF($F619="","",IFERROR(INDEX(사건마스터!$AH$5:$AH$64,MATCH($F619,사건마스터!$A$5:$A$64,0)),""))</f>
        <v/>
      </c>
      <c r="K619" s="35">
        <f>IF($F619="","",IFERROR(INDEX(사건마스터!$AI$5:$AI$64,MATCH($F619,사건마스터!$A$5:$A$64,0)),""))</f>
        <v/>
      </c>
      <c r="L619" s="35">
        <f>IF($F619="","",IFERROR(INDEX(사건마스터!$AJ$5:$AJ$64,MATCH($F619,사건마스터!$A$5:$A$64,0)),""))</f>
        <v/>
      </c>
      <c r="M619" s="35">
        <f>IF($F619="","",IFERROR(INDEX(사건마스터!$AK$5:$AK$64,MATCH($F619,사건마스터!$A$5:$A$64,0)),""))</f>
        <v/>
      </c>
      <c r="N619" s="35">
        <f>IF($F619="","",IFERROR(INDEX(사건마스터!$AL$5:$AL$64,MATCH($F619,사건마스터!$A$5:$A$64,0)),""))</f>
        <v/>
      </c>
      <c r="O619" s="35">
        <f>IF($F619="","",IFERROR(INDEX(사건마스터!$AM$5:$AM$64,MATCH($F619,사건마스터!$A$5:$A$64,0)),""))</f>
        <v/>
      </c>
      <c r="P619" s="35">
        <f>IF($F619="","",IFERROR(INDEX(사건마스터!$AN$5:$AN$64,MATCH($F619,사건마스터!$A$5:$A$64,0)),""))</f>
        <v/>
      </c>
      <c r="Q619" s="35">
        <f>IF($F619="","",IFERROR(INDEX(사건마스터!$AO$5:$AO$64,MATCH($F619,사건마스터!$A$5:$A$64,0)),""))</f>
        <v/>
      </c>
      <c r="R619" s="35">
        <f>IF($F619="","",IFERROR(INDEX(사건마스터!$AP$5:$AP$64,MATCH($F619,사건마스터!$A$5:$A$64,0)),""))</f>
        <v/>
      </c>
      <c r="S619" s="35">
        <f>IF($F619="","",IFERROR(INDEX(사건마스터!$AQ$5:$AQ$64,MATCH($F619,사건마스터!$A$5:$A$64,0)),""))</f>
        <v/>
      </c>
      <c r="T619" s="35">
        <f>IF($F619="","",IFERROR(INDEX(사건마스터!$AR$5:$AR$64,MATCH($F619,사건마스터!$A$5:$A$64,0)),""))</f>
        <v/>
      </c>
      <c r="U619" s="35">
        <f>IF($F619="","",IFERROR(INDEX(사건마스터!$AS$5:$AS$64,MATCH($F619,사건마스터!$A$5:$A$64,0)),""))</f>
        <v/>
      </c>
      <c r="V619" s="35">
        <f>IF($F619="","",IFERROR(INDEX(사건마스터!$AT$5:$AT$64,MATCH($F619,사건마스터!$A$5:$A$64,0)),""))</f>
        <v/>
      </c>
      <c r="W619" s="35">
        <f>IF($F619="","",IFERROR(INDEX(사건마스터!$AU$5:$AU$64,MATCH($F619,사건마스터!$A$5:$A$64,0)),""))</f>
        <v/>
      </c>
      <c r="X619" s="35">
        <f>IF($F619="","",IFERROR(INDEX(사건마스터!$AV$5:$AV$64,MATCH($F619,사건마스터!$A$5:$A$64,0)),""))</f>
        <v/>
      </c>
      <c r="Y619" s="30">
        <f>IF($I619="","",COUNTIF($I619:$X619,"?*"))</f>
        <v/>
      </c>
      <c r="Z619" s="33">
        <f>IF($I619="","",_xlfn.TEXTJOIN(", ",TRUE,$I619:$X619))</f>
        <v/>
      </c>
      <c r="AA619" s="34">
        <f>IF($I619="","",IFERROR(INDEX(코드설정!$D$5:$D$24,MATCH($I619,코드설정!$C$5:$C$24,0)),""))</f>
        <v/>
      </c>
      <c r="AB619" s="36" t="n"/>
      <c r="AC619" s="37" t="n"/>
      <c r="AD619" s="38" t="n"/>
      <c r="AE619" s="30">
        <f>IF(OR($B619="",$C619=""),"",$C619-$B619+1)</f>
        <v/>
      </c>
      <c r="AF619" s="32" t="n"/>
      <c r="AG619" s="36" t="n"/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3">
        <f>IF($F620="","",IFERROR(INDEX(사건마스터!$B$5:$B$64,MATCH($F620,사건마스터!$A$5:$A$64,0)),""))</f>
        <v/>
      </c>
      <c r="H620" s="34">
        <f>IF($F620="","",IFERROR(INDEX(사건마스터!$C$5:$C$64,MATCH($F620,사건마스터!$A$5:$A$64,0)),""))</f>
        <v/>
      </c>
      <c r="I620" s="35">
        <f>IF($F620="","",IFERROR(INDEX(사건마스터!$H$5:$H$64,MATCH($F620,사건마스터!$A$5:$A$64,0)),""))</f>
        <v/>
      </c>
      <c r="J620" s="35">
        <f>IF($F620="","",IFERROR(INDEX(사건마스터!$AH$5:$AH$64,MATCH($F620,사건마스터!$A$5:$A$64,0)),""))</f>
        <v/>
      </c>
      <c r="K620" s="35">
        <f>IF($F620="","",IFERROR(INDEX(사건마스터!$AI$5:$AI$64,MATCH($F620,사건마스터!$A$5:$A$64,0)),""))</f>
        <v/>
      </c>
      <c r="L620" s="35">
        <f>IF($F620="","",IFERROR(INDEX(사건마스터!$AJ$5:$AJ$64,MATCH($F620,사건마스터!$A$5:$A$64,0)),""))</f>
        <v/>
      </c>
      <c r="M620" s="35">
        <f>IF($F620="","",IFERROR(INDEX(사건마스터!$AK$5:$AK$64,MATCH($F620,사건마스터!$A$5:$A$64,0)),""))</f>
        <v/>
      </c>
      <c r="N620" s="35">
        <f>IF($F620="","",IFERROR(INDEX(사건마스터!$AL$5:$AL$64,MATCH($F620,사건마스터!$A$5:$A$64,0)),""))</f>
        <v/>
      </c>
      <c r="O620" s="35">
        <f>IF($F620="","",IFERROR(INDEX(사건마스터!$AM$5:$AM$64,MATCH($F620,사건마스터!$A$5:$A$64,0)),""))</f>
        <v/>
      </c>
      <c r="P620" s="35">
        <f>IF($F620="","",IFERROR(INDEX(사건마스터!$AN$5:$AN$64,MATCH($F620,사건마스터!$A$5:$A$64,0)),""))</f>
        <v/>
      </c>
      <c r="Q620" s="35">
        <f>IF($F620="","",IFERROR(INDEX(사건마스터!$AO$5:$AO$64,MATCH($F620,사건마스터!$A$5:$A$64,0)),""))</f>
        <v/>
      </c>
      <c r="R620" s="35">
        <f>IF($F620="","",IFERROR(INDEX(사건마스터!$AP$5:$AP$64,MATCH($F620,사건마스터!$A$5:$A$64,0)),""))</f>
        <v/>
      </c>
      <c r="S620" s="35">
        <f>IF($F620="","",IFERROR(INDEX(사건마스터!$AQ$5:$AQ$64,MATCH($F620,사건마스터!$A$5:$A$64,0)),""))</f>
        <v/>
      </c>
      <c r="T620" s="35">
        <f>IF($F620="","",IFERROR(INDEX(사건마스터!$AR$5:$AR$64,MATCH($F620,사건마스터!$A$5:$A$64,0)),""))</f>
        <v/>
      </c>
      <c r="U620" s="35">
        <f>IF($F620="","",IFERROR(INDEX(사건마스터!$AS$5:$AS$64,MATCH($F620,사건마스터!$A$5:$A$64,0)),""))</f>
        <v/>
      </c>
      <c r="V620" s="35">
        <f>IF($F620="","",IFERROR(INDEX(사건마스터!$AT$5:$AT$64,MATCH($F620,사건마스터!$A$5:$A$64,0)),""))</f>
        <v/>
      </c>
      <c r="W620" s="35">
        <f>IF($F620="","",IFERROR(INDEX(사건마스터!$AU$5:$AU$64,MATCH($F620,사건마스터!$A$5:$A$64,0)),""))</f>
        <v/>
      </c>
      <c r="X620" s="35">
        <f>IF($F620="","",IFERROR(INDEX(사건마스터!$AV$5:$AV$64,MATCH($F620,사건마스터!$A$5:$A$64,0)),""))</f>
        <v/>
      </c>
      <c r="Y620" s="30">
        <f>IF($I620="","",COUNTIF($I620:$X620,"?*"))</f>
        <v/>
      </c>
      <c r="Z620" s="33">
        <f>IF($I620="","",_xlfn.TEXTJOIN(", ",TRUE,$I620:$X620))</f>
        <v/>
      </c>
      <c r="AA620" s="34">
        <f>IF($I620="","",IFERROR(INDEX(코드설정!$D$5:$D$24,MATCH($I620,코드설정!$C$5:$C$24,0)),""))</f>
        <v/>
      </c>
      <c r="AB620" s="36" t="n"/>
      <c r="AC620" s="37" t="n"/>
      <c r="AD620" s="38" t="n"/>
      <c r="AE620" s="30">
        <f>IF(OR($B620="",$C620=""),"",$C620-$B620+1)</f>
        <v/>
      </c>
      <c r="AF620" s="32" t="n"/>
      <c r="AG620" s="36" t="n"/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3">
        <f>IF($F621="","",IFERROR(INDEX(사건마스터!$B$5:$B$64,MATCH($F621,사건마스터!$A$5:$A$64,0)),""))</f>
        <v/>
      </c>
      <c r="H621" s="34">
        <f>IF($F621="","",IFERROR(INDEX(사건마스터!$C$5:$C$64,MATCH($F621,사건마스터!$A$5:$A$64,0)),""))</f>
        <v/>
      </c>
      <c r="I621" s="35">
        <f>IF($F621="","",IFERROR(INDEX(사건마스터!$H$5:$H$64,MATCH($F621,사건마스터!$A$5:$A$64,0)),""))</f>
        <v/>
      </c>
      <c r="J621" s="35">
        <f>IF($F621="","",IFERROR(INDEX(사건마스터!$AH$5:$AH$64,MATCH($F621,사건마스터!$A$5:$A$64,0)),""))</f>
        <v/>
      </c>
      <c r="K621" s="35">
        <f>IF($F621="","",IFERROR(INDEX(사건마스터!$AI$5:$AI$64,MATCH($F621,사건마스터!$A$5:$A$64,0)),""))</f>
        <v/>
      </c>
      <c r="L621" s="35">
        <f>IF($F621="","",IFERROR(INDEX(사건마스터!$AJ$5:$AJ$64,MATCH($F621,사건마스터!$A$5:$A$64,0)),""))</f>
        <v/>
      </c>
      <c r="M621" s="35">
        <f>IF($F621="","",IFERROR(INDEX(사건마스터!$AK$5:$AK$64,MATCH($F621,사건마스터!$A$5:$A$64,0)),""))</f>
        <v/>
      </c>
      <c r="N621" s="35">
        <f>IF($F621="","",IFERROR(INDEX(사건마스터!$AL$5:$AL$64,MATCH($F621,사건마스터!$A$5:$A$64,0)),""))</f>
        <v/>
      </c>
      <c r="O621" s="35">
        <f>IF($F621="","",IFERROR(INDEX(사건마스터!$AM$5:$AM$64,MATCH($F621,사건마스터!$A$5:$A$64,0)),""))</f>
        <v/>
      </c>
      <c r="P621" s="35">
        <f>IF($F621="","",IFERROR(INDEX(사건마스터!$AN$5:$AN$64,MATCH($F621,사건마스터!$A$5:$A$64,0)),""))</f>
        <v/>
      </c>
      <c r="Q621" s="35">
        <f>IF($F621="","",IFERROR(INDEX(사건마스터!$AO$5:$AO$64,MATCH($F621,사건마스터!$A$5:$A$64,0)),""))</f>
        <v/>
      </c>
      <c r="R621" s="35">
        <f>IF($F621="","",IFERROR(INDEX(사건마스터!$AP$5:$AP$64,MATCH($F621,사건마스터!$A$5:$A$64,0)),""))</f>
        <v/>
      </c>
      <c r="S621" s="35">
        <f>IF($F621="","",IFERROR(INDEX(사건마스터!$AQ$5:$AQ$64,MATCH($F621,사건마스터!$A$5:$A$64,0)),""))</f>
        <v/>
      </c>
      <c r="T621" s="35">
        <f>IF($F621="","",IFERROR(INDEX(사건마스터!$AR$5:$AR$64,MATCH($F621,사건마스터!$A$5:$A$64,0)),""))</f>
        <v/>
      </c>
      <c r="U621" s="35">
        <f>IF($F621="","",IFERROR(INDEX(사건마스터!$AS$5:$AS$64,MATCH($F621,사건마스터!$A$5:$A$64,0)),""))</f>
        <v/>
      </c>
      <c r="V621" s="35">
        <f>IF($F621="","",IFERROR(INDEX(사건마스터!$AT$5:$AT$64,MATCH($F621,사건마스터!$A$5:$A$64,0)),""))</f>
        <v/>
      </c>
      <c r="W621" s="35">
        <f>IF($F621="","",IFERROR(INDEX(사건마스터!$AU$5:$AU$64,MATCH($F621,사건마스터!$A$5:$A$64,0)),""))</f>
        <v/>
      </c>
      <c r="X621" s="35">
        <f>IF($F621="","",IFERROR(INDEX(사건마스터!$AV$5:$AV$64,MATCH($F621,사건마스터!$A$5:$A$64,0)),""))</f>
        <v/>
      </c>
      <c r="Y621" s="30">
        <f>IF($I621="","",COUNTIF($I621:$X621,"?*"))</f>
        <v/>
      </c>
      <c r="Z621" s="33">
        <f>IF($I621="","",_xlfn.TEXTJOIN(", ",TRUE,$I621:$X621))</f>
        <v/>
      </c>
      <c r="AA621" s="34">
        <f>IF($I621="","",IFERROR(INDEX(코드설정!$D$5:$D$24,MATCH($I621,코드설정!$C$5:$C$24,0)),""))</f>
        <v/>
      </c>
      <c r="AB621" s="36" t="n"/>
      <c r="AC621" s="37" t="n"/>
      <c r="AD621" s="38" t="n"/>
      <c r="AE621" s="30">
        <f>IF(OR($B621="",$C621=""),"",$C621-$B621+1)</f>
        <v/>
      </c>
      <c r="AF621" s="32" t="n"/>
      <c r="AG621" s="36" t="n"/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3">
        <f>IF($F622="","",IFERROR(INDEX(사건마스터!$B$5:$B$64,MATCH($F622,사건마스터!$A$5:$A$64,0)),""))</f>
        <v/>
      </c>
      <c r="H622" s="34">
        <f>IF($F622="","",IFERROR(INDEX(사건마스터!$C$5:$C$64,MATCH($F622,사건마스터!$A$5:$A$64,0)),""))</f>
        <v/>
      </c>
      <c r="I622" s="35">
        <f>IF($F622="","",IFERROR(INDEX(사건마스터!$H$5:$H$64,MATCH($F622,사건마스터!$A$5:$A$64,0)),""))</f>
        <v/>
      </c>
      <c r="J622" s="35">
        <f>IF($F622="","",IFERROR(INDEX(사건마스터!$AH$5:$AH$64,MATCH($F622,사건마스터!$A$5:$A$64,0)),""))</f>
        <v/>
      </c>
      <c r="K622" s="35">
        <f>IF($F622="","",IFERROR(INDEX(사건마스터!$AI$5:$AI$64,MATCH($F622,사건마스터!$A$5:$A$64,0)),""))</f>
        <v/>
      </c>
      <c r="L622" s="35">
        <f>IF($F622="","",IFERROR(INDEX(사건마스터!$AJ$5:$AJ$64,MATCH($F622,사건마스터!$A$5:$A$64,0)),""))</f>
        <v/>
      </c>
      <c r="M622" s="35">
        <f>IF($F622="","",IFERROR(INDEX(사건마스터!$AK$5:$AK$64,MATCH($F622,사건마스터!$A$5:$A$64,0)),""))</f>
        <v/>
      </c>
      <c r="N622" s="35">
        <f>IF($F622="","",IFERROR(INDEX(사건마스터!$AL$5:$AL$64,MATCH($F622,사건마스터!$A$5:$A$64,0)),""))</f>
        <v/>
      </c>
      <c r="O622" s="35">
        <f>IF($F622="","",IFERROR(INDEX(사건마스터!$AM$5:$AM$64,MATCH($F622,사건마스터!$A$5:$A$64,0)),""))</f>
        <v/>
      </c>
      <c r="P622" s="35">
        <f>IF($F622="","",IFERROR(INDEX(사건마스터!$AN$5:$AN$64,MATCH($F622,사건마스터!$A$5:$A$64,0)),""))</f>
        <v/>
      </c>
      <c r="Q622" s="35">
        <f>IF($F622="","",IFERROR(INDEX(사건마스터!$AO$5:$AO$64,MATCH($F622,사건마스터!$A$5:$A$64,0)),""))</f>
        <v/>
      </c>
      <c r="R622" s="35">
        <f>IF($F622="","",IFERROR(INDEX(사건마스터!$AP$5:$AP$64,MATCH($F622,사건마스터!$A$5:$A$64,0)),""))</f>
        <v/>
      </c>
      <c r="S622" s="35">
        <f>IF($F622="","",IFERROR(INDEX(사건마스터!$AQ$5:$AQ$64,MATCH($F622,사건마스터!$A$5:$A$64,0)),""))</f>
        <v/>
      </c>
      <c r="T622" s="35">
        <f>IF($F622="","",IFERROR(INDEX(사건마스터!$AR$5:$AR$64,MATCH($F622,사건마스터!$A$5:$A$64,0)),""))</f>
        <v/>
      </c>
      <c r="U622" s="35">
        <f>IF($F622="","",IFERROR(INDEX(사건마스터!$AS$5:$AS$64,MATCH($F622,사건마스터!$A$5:$A$64,0)),""))</f>
        <v/>
      </c>
      <c r="V622" s="35">
        <f>IF($F622="","",IFERROR(INDEX(사건마스터!$AT$5:$AT$64,MATCH($F622,사건마스터!$A$5:$A$64,0)),""))</f>
        <v/>
      </c>
      <c r="W622" s="35">
        <f>IF($F622="","",IFERROR(INDEX(사건마스터!$AU$5:$AU$64,MATCH($F622,사건마스터!$A$5:$A$64,0)),""))</f>
        <v/>
      </c>
      <c r="X622" s="35">
        <f>IF($F622="","",IFERROR(INDEX(사건마스터!$AV$5:$AV$64,MATCH($F622,사건마스터!$A$5:$A$64,0)),""))</f>
        <v/>
      </c>
      <c r="Y622" s="30">
        <f>IF($I622="","",COUNTIF($I622:$X622,"?*"))</f>
        <v/>
      </c>
      <c r="Z622" s="33">
        <f>IF($I622="","",_xlfn.TEXTJOIN(", ",TRUE,$I622:$X622))</f>
        <v/>
      </c>
      <c r="AA622" s="34">
        <f>IF($I622="","",IFERROR(INDEX(코드설정!$D$5:$D$24,MATCH($I622,코드설정!$C$5:$C$24,0)),""))</f>
        <v/>
      </c>
      <c r="AB622" s="36" t="n"/>
      <c r="AC622" s="37" t="n"/>
      <c r="AD622" s="38" t="n"/>
      <c r="AE622" s="30">
        <f>IF(OR($B622="",$C622=""),"",$C622-$B622+1)</f>
        <v/>
      </c>
      <c r="AF622" s="32" t="n"/>
      <c r="AG622" s="36" t="n"/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3">
        <f>IF($F623="","",IFERROR(INDEX(사건마스터!$B$5:$B$64,MATCH($F623,사건마스터!$A$5:$A$64,0)),""))</f>
        <v/>
      </c>
      <c r="H623" s="34">
        <f>IF($F623="","",IFERROR(INDEX(사건마스터!$C$5:$C$64,MATCH($F623,사건마스터!$A$5:$A$64,0)),""))</f>
        <v/>
      </c>
      <c r="I623" s="35">
        <f>IF($F623="","",IFERROR(INDEX(사건마스터!$H$5:$H$64,MATCH($F623,사건마스터!$A$5:$A$64,0)),""))</f>
        <v/>
      </c>
      <c r="J623" s="35">
        <f>IF($F623="","",IFERROR(INDEX(사건마스터!$AH$5:$AH$64,MATCH($F623,사건마스터!$A$5:$A$64,0)),""))</f>
        <v/>
      </c>
      <c r="K623" s="35">
        <f>IF($F623="","",IFERROR(INDEX(사건마스터!$AI$5:$AI$64,MATCH($F623,사건마스터!$A$5:$A$64,0)),""))</f>
        <v/>
      </c>
      <c r="L623" s="35">
        <f>IF($F623="","",IFERROR(INDEX(사건마스터!$AJ$5:$AJ$64,MATCH($F623,사건마스터!$A$5:$A$64,0)),""))</f>
        <v/>
      </c>
      <c r="M623" s="35">
        <f>IF($F623="","",IFERROR(INDEX(사건마스터!$AK$5:$AK$64,MATCH($F623,사건마스터!$A$5:$A$64,0)),""))</f>
        <v/>
      </c>
      <c r="N623" s="35">
        <f>IF($F623="","",IFERROR(INDEX(사건마스터!$AL$5:$AL$64,MATCH($F623,사건마스터!$A$5:$A$64,0)),""))</f>
        <v/>
      </c>
      <c r="O623" s="35">
        <f>IF($F623="","",IFERROR(INDEX(사건마스터!$AM$5:$AM$64,MATCH($F623,사건마스터!$A$5:$A$64,0)),""))</f>
        <v/>
      </c>
      <c r="P623" s="35">
        <f>IF($F623="","",IFERROR(INDEX(사건마스터!$AN$5:$AN$64,MATCH($F623,사건마스터!$A$5:$A$64,0)),""))</f>
        <v/>
      </c>
      <c r="Q623" s="35">
        <f>IF($F623="","",IFERROR(INDEX(사건마스터!$AO$5:$AO$64,MATCH($F623,사건마스터!$A$5:$A$64,0)),""))</f>
        <v/>
      </c>
      <c r="R623" s="35">
        <f>IF($F623="","",IFERROR(INDEX(사건마스터!$AP$5:$AP$64,MATCH($F623,사건마스터!$A$5:$A$64,0)),""))</f>
        <v/>
      </c>
      <c r="S623" s="35">
        <f>IF($F623="","",IFERROR(INDEX(사건마스터!$AQ$5:$AQ$64,MATCH($F623,사건마스터!$A$5:$A$64,0)),""))</f>
        <v/>
      </c>
      <c r="T623" s="35">
        <f>IF($F623="","",IFERROR(INDEX(사건마스터!$AR$5:$AR$64,MATCH($F623,사건마스터!$A$5:$A$64,0)),""))</f>
        <v/>
      </c>
      <c r="U623" s="35">
        <f>IF($F623="","",IFERROR(INDEX(사건마스터!$AS$5:$AS$64,MATCH($F623,사건마스터!$A$5:$A$64,0)),""))</f>
        <v/>
      </c>
      <c r="V623" s="35">
        <f>IF($F623="","",IFERROR(INDEX(사건마스터!$AT$5:$AT$64,MATCH($F623,사건마스터!$A$5:$A$64,0)),""))</f>
        <v/>
      </c>
      <c r="W623" s="35">
        <f>IF($F623="","",IFERROR(INDEX(사건마스터!$AU$5:$AU$64,MATCH($F623,사건마스터!$A$5:$A$64,0)),""))</f>
        <v/>
      </c>
      <c r="X623" s="35">
        <f>IF($F623="","",IFERROR(INDEX(사건마스터!$AV$5:$AV$64,MATCH($F623,사건마스터!$A$5:$A$64,0)),""))</f>
        <v/>
      </c>
      <c r="Y623" s="30">
        <f>IF($I623="","",COUNTIF($I623:$X623,"?*"))</f>
        <v/>
      </c>
      <c r="Z623" s="33">
        <f>IF($I623="","",_xlfn.TEXTJOIN(", ",TRUE,$I623:$X623))</f>
        <v/>
      </c>
      <c r="AA623" s="34">
        <f>IF($I623="","",IFERROR(INDEX(코드설정!$D$5:$D$24,MATCH($I623,코드설정!$C$5:$C$24,0)),""))</f>
        <v/>
      </c>
      <c r="AB623" s="36" t="n"/>
      <c r="AC623" s="37" t="n"/>
      <c r="AD623" s="38" t="n"/>
      <c r="AE623" s="30">
        <f>IF(OR($B623="",$C623=""),"",$C623-$B623+1)</f>
        <v/>
      </c>
      <c r="AF623" s="32" t="n"/>
      <c r="AG623" s="36" t="n"/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3">
        <f>IF($F624="","",IFERROR(INDEX(사건마스터!$B$5:$B$64,MATCH($F624,사건마스터!$A$5:$A$64,0)),""))</f>
        <v/>
      </c>
      <c r="H624" s="34">
        <f>IF($F624="","",IFERROR(INDEX(사건마스터!$C$5:$C$64,MATCH($F624,사건마스터!$A$5:$A$64,0)),""))</f>
        <v/>
      </c>
      <c r="I624" s="35">
        <f>IF($F624="","",IFERROR(INDEX(사건마스터!$H$5:$H$64,MATCH($F624,사건마스터!$A$5:$A$64,0)),""))</f>
        <v/>
      </c>
      <c r="J624" s="35">
        <f>IF($F624="","",IFERROR(INDEX(사건마스터!$AH$5:$AH$64,MATCH($F624,사건마스터!$A$5:$A$64,0)),""))</f>
        <v/>
      </c>
      <c r="K624" s="35">
        <f>IF($F624="","",IFERROR(INDEX(사건마스터!$AI$5:$AI$64,MATCH($F624,사건마스터!$A$5:$A$64,0)),""))</f>
        <v/>
      </c>
      <c r="L624" s="35">
        <f>IF($F624="","",IFERROR(INDEX(사건마스터!$AJ$5:$AJ$64,MATCH($F624,사건마스터!$A$5:$A$64,0)),""))</f>
        <v/>
      </c>
      <c r="M624" s="35">
        <f>IF($F624="","",IFERROR(INDEX(사건마스터!$AK$5:$AK$64,MATCH($F624,사건마스터!$A$5:$A$64,0)),""))</f>
        <v/>
      </c>
      <c r="N624" s="35">
        <f>IF($F624="","",IFERROR(INDEX(사건마스터!$AL$5:$AL$64,MATCH($F624,사건마스터!$A$5:$A$64,0)),""))</f>
        <v/>
      </c>
      <c r="O624" s="35">
        <f>IF($F624="","",IFERROR(INDEX(사건마스터!$AM$5:$AM$64,MATCH($F624,사건마스터!$A$5:$A$64,0)),""))</f>
        <v/>
      </c>
      <c r="P624" s="35">
        <f>IF($F624="","",IFERROR(INDEX(사건마스터!$AN$5:$AN$64,MATCH($F624,사건마스터!$A$5:$A$64,0)),""))</f>
        <v/>
      </c>
      <c r="Q624" s="35">
        <f>IF($F624="","",IFERROR(INDEX(사건마스터!$AO$5:$AO$64,MATCH($F624,사건마스터!$A$5:$A$64,0)),""))</f>
        <v/>
      </c>
      <c r="R624" s="35">
        <f>IF($F624="","",IFERROR(INDEX(사건마스터!$AP$5:$AP$64,MATCH($F624,사건마스터!$A$5:$A$64,0)),""))</f>
        <v/>
      </c>
      <c r="S624" s="35">
        <f>IF($F624="","",IFERROR(INDEX(사건마스터!$AQ$5:$AQ$64,MATCH($F624,사건마스터!$A$5:$A$64,0)),""))</f>
        <v/>
      </c>
      <c r="T624" s="35">
        <f>IF($F624="","",IFERROR(INDEX(사건마스터!$AR$5:$AR$64,MATCH($F624,사건마스터!$A$5:$A$64,0)),""))</f>
        <v/>
      </c>
      <c r="U624" s="35">
        <f>IF($F624="","",IFERROR(INDEX(사건마스터!$AS$5:$AS$64,MATCH($F624,사건마스터!$A$5:$A$64,0)),""))</f>
        <v/>
      </c>
      <c r="V624" s="35">
        <f>IF($F624="","",IFERROR(INDEX(사건마스터!$AT$5:$AT$64,MATCH($F624,사건마스터!$A$5:$A$64,0)),""))</f>
        <v/>
      </c>
      <c r="W624" s="35">
        <f>IF($F624="","",IFERROR(INDEX(사건마스터!$AU$5:$AU$64,MATCH($F624,사건마스터!$A$5:$A$64,0)),""))</f>
        <v/>
      </c>
      <c r="X624" s="35">
        <f>IF($F624="","",IFERROR(INDEX(사건마스터!$AV$5:$AV$64,MATCH($F624,사건마스터!$A$5:$A$64,0)),""))</f>
        <v/>
      </c>
      <c r="Y624" s="30">
        <f>IF($I624="","",COUNTIF($I624:$X624,"?*"))</f>
        <v/>
      </c>
      <c r="Z624" s="33">
        <f>IF($I624="","",_xlfn.TEXTJOIN(", ",TRUE,$I624:$X624))</f>
        <v/>
      </c>
      <c r="AA624" s="34">
        <f>IF($I624="","",IFERROR(INDEX(코드설정!$D$5:$D$24,MATCH($I624,코드설정!$C$5:$C$24,0)),""))</f>
        <v/>
      </c>
      <c r="AB624" s="36" t="n"/>
      <c r="AC624" s="37" t="n"/>
      <c r="AD624" s="38" t="n"/>
      <c r="AE624" s="30">
        <f>IF(OR($B624="",$C624=""),"",$C624-$B624+1)</f>
        <v/>
      </c>
      <c r="AF624" s="32" t="n"/>
      <c r="AG624" s="36" t="n"/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3">
        <f>IF($F625="","",IFERROR(INDEX(사건마스터!$B$5:$B$64,MATCH($F625,사건마스터!$A$5:$A$64,0)),""))</f>
        <v/>
      </c>
      <c r="H625" s="34">
        <f>IF($F625="","",IFERROR(INDEX(사건마스터!$C$5:$C$64,MATCH($F625,사건마스터!$A$5:$A$64,0)),""))</f>
        <v/>
      </c>
      <c r="I625" s="35">
        <f>IF($F625="","",IFERROR(INDEX(사건마스터!$H$5:$H$64,MATCH($F625,사건마스터!$A$5:$A$64,0)),""))</f>
        <v/>
      </c>
      <c r="J625" s="35">
        <f>IF($F625="","",IFERROR(INDEX(사건마스터!$AH$5:$AH$64,MATCH($F625,사건마스터!$A$5:$A$64,0)),""))</f>
        <v/>
      </c>
      <c r="K625" s="35">
        <f>IF($F625="","",IFERROR(INDEX(사건마스터!$AI$5:$AI$64,MATCH($F625,사건마스터!$A$5:$A$64,0)),""))</f>
        <v/>
      </c>
      <c r="L625" s="35">
        <f>IF($F625="","",IFERROR(INDEX(사건마스터!$AJ$5:$AJ$64,MATCH($F625,사건마스터!$A$5:$A$64,0)),""))</f>
        <v/>
      </c>
      <c r="M625" s="35">
        <f>IF($F625="","",IFERROR(INDEX(사건마스터!$AK$5:$AK$64,MATCH($F625,사건마스터!$A$5:$A$64,0)),""))</f>
        <v/>
      </c>
      <c r="N625" s="35">
        <f>IF($F625="","",IFERROR(INDEX(사건마스터!$AL$5:$AL$64,MATCH($F625,사건마스터!$A$5:$A$64,0)),""))</f>
        <v/>
      </c>
      <c r="O625" s="35">
        <f>IF($F625="","",IFERROR(INDEX(사건마스터!$AM$5:$AM$64,MATCH($F625,사건마스터!$A$5:$A$64,0)),""))</f>
        <v/>
      </c>
      <c r="P625" s="35">
        <f>IF($F625="","",IFERROR(INDEX(사건마스터!$AN$5:$AN$64,MATCH($F625,사건마스터!$A$5:$A$64,0)),""))</f>
        <v/>
      </c>
      <c r="Q625" s="35">
        <f>IF($F625="","",IFERROR(INDEX(사건마스터!$AO$5:$AO$64,MATCH($F625,사건마스터!$A$5:$A$64,0)),""))</f>
        <v/>
      </c>
      <c r="R625" s="35">
        <f>IF($F625="","",IFERROR(INDEX(사건마스터!$AP$5:$AP$64,MATCH($F625,사건마스터!$A$5:$A$64,0)),""))</f>
        <v/>
      </c>
      <c r="S625" s="35">
        <f>IF($F625="","",IFERROR(INDEX(사건마스터!$AQ$5:$AQ$64,MATCH($F625,사건마스터!$A$5:$A$64,0)),""))</f>
        <v/>
      </c>
      <c r="T625" s="35">
        <f>IF($F625="","",IFERROR(INDEX(사건마스터!$AR$5:$AR$64,MATCH($F625,사건마스터!$A$5:$A$64,0)),""))</f>
        <v/>
      </c>
      <c r="U625" s="35">
        <f>IF($F625="","",IFERROR(INDEX(사건마스터!$AS$5:$AS$64,MATCH($F625,사건마스터!$A$5:$A$64,0)),""))</f>
        <v/>
      </c>
      <c r="V625" s="35">
        <f>IF($F625="","",IFERROR(INDEX(사건마스터!$AT$5:$AT$64,MATCH($F625,사건마스터!$A$5:$A$64,0)),""))</f>
        <v/>
      </c>
      <c r="W625" s="35">
        <f>IF($F625="","",IFERROR(INDEX(사건마스터!$AU$5:$AU$64,MATCH($F625,사건마스터!$A$5:$A$64,0)),""))</f>
        <v/>
      </c>
      <c r="X625" s="35">
        <f>IF($F625="","",IFERROR(INDEX(사건마스터!$AV$5:$AV$64,MATCH($F625,사건마스터!$A$5:$A$64,0)),""))</f>
        <v/>
      </c>
      <c r="Y625" s="30">
        <f>IF($I625="","",COUNTIF($I625:$X625,"?*"))</f>
        <v/>
      </c>
      <c r="Z625" s="33">
        <f>IF($I625="","",_xlfn.TEXTJOIN(", ",TRUE,$I625:$X625))</f>
        <v/>
      </c>
      <c r="AA625" s="34">
        <f>IF($I625="","",IFERROR(INDEX(코드설정!$D$5:$D$24,MATCH($I625,코드설정!$C$5:$C$24,0)),""))</f>
        <v/>
      </c>
      <c r="AB625" s="36" t="n"/>
      <c r="AC625" s="37" t="n"/>
      <c r="AD625" s="38" t="n"/>
      <c r="AE625" s="30">
        <f>IF(OR($B625="",$C625=""),"",$C625-$B625+1)</f>
        <v/>
      </c>
      <c r="AF625" s="32" t="n"/>
      <c r="AG625" s="36" t="n"/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3">
        <f>IF($F626="","",IFERROR(INDEX(사건마스터!$B$5:$B$64,MATCH($F626,사건마스터!$A$5:$A$64,0)),""))</f>
        <v/>
      </c>
      <c r="H626" s="34">
        <f>IF($F626="","",IFERROR(INDEX(사건마스터!$C$5:$C$64,MATCH($F626,사건마스터!$A$5:$A$64,0)),""))</f>
        <v/>
      </c>
      <c r="I626" s="35">
        <f>IF($F626="","",IFERROR(INDEX(사건마스터!$H$5:$H$64,MATCH($F626,사건마스터!$A$5:$A$64,0)),""))</f>
        <v/>
      </c>
      <c r="J626" s="35">
        <f>IF($F626="","",IFERROR(INDEX(사건마스터!$AH$5:$AH$64,MATCH($F626,사건마스터!$A$5:$A$64,0)),""))</f>
        <v/>
      </c>
      <c r="K626" s="35">
        <f>IF($F626="","",IFERROR(INDEX(사건마스터!$AI$5:$AI$64,MATCH($F626,사건마스터!$A$5:$A$64,0)),""))</f>
        <v/>
      </c>
      <c r="L626" s="35">
        <f>IF($F626="","",IFERROR(INDEX(사건마스터!$AJ$5:$AJ$64,MATCH($F626,사건마스터!$A$5:$A$64,0)),""))</f>
        <v/>
      </c>
      <c r="M626" s="35">
        <f>IF($F626="","",IFERROR(INDEX(사건마스터!$AK$5:$AK$64,MATCH($F626,사건마스터!$A$5:$A$64,0)),""))</f>
        <v/>
      </c>
      <c r="N626" s="35">
        <f>IF($F626="","",IFERROR(INDEX(사건마스터!$AL$5:$AL$64,MATCH($F626,사건마스터!$A$5:$A$64,0)),""))</f>
        <v/>
      </c>
      <c r="O626" s="35">
        <f>IF($F626="","",IFERROR(INDEX(사건마스터!$AM$5:$AM$64,MATCH($F626,사건마스터!$A$5:$A$64,0)),""))</f>
        <v/>
      </c>
      <c r="P626" s="35">
        <f>IF($F626="","",IFERROR(INDEX(사건마스터!$AN$5:$AN$64,MATCH($F626,사건마스터!$A$5:$A$64,0)),""))</f>
        <v/>
      </c>
      <c r="Q626" s="35">
        <f>IF($F626="","",IFERROR(INDEX(사건마스터!$AO$5:$AO$64,MATCH($F626,사건마스터!$A$5:$A$64,0)),""))</f>
        <v/>
      </c>
      <c r="R626" s="35">
        <f>IF($F626="","",IFERROR(INDEX(사건마스터!$AP$5:$AP$64,MATCH($F626,사건마스터!$A$5:$A$64,0)),""))</f>
        <v/>
      </c>
      <c r="S626" s="35">
        <f>IF($F626="","",IFERROR(INDEX(사건마스터!$AQ$5:$AQ$64,MATCH($F626,사건마스터!$A$5:$A$64,0)),""))</f>
        <v/>
      </c>
      <c r="T626" s="35">
        <f>IF($F626="","",IFERROR(INDEX(사건마스터!$AR$5:$AR$64,MATCH($F626,사건마스터!$A$5:$A$64,0)),""))</f>
        <v/>
      </c>
      <c r="U626" s="35">
        <f>IF($F626="","",IFERROR(INDEX(사건마스터!$AS$5:$AS$64,MATCH($F626,사건마스터!$A$5:$A$64,0)),""))</f>
        <v/>
      </c>
      <c r="V626" s="35">
        <f>IF($F626="","",IFERROR(INDEX(사건마스터!$AT$5:$AT$64,MATCH($F626,사건마스터!$A$5:$A$64,0)),""))</f>
        <v/>
      </c>
      <c r="W626" s="35">
        <f>IF($F626="","",IFERROR(INDEX(사건마스터!$AU$5:$AU$64,MATCH($F626,사건마스터!$A$5:$A$64,0)),""))</f>
        <v/>
      </c>
      <c r="X626" s="35">
        <f>IF($F626="","",IFERROR(INDEX(사건마스터!$AV$5:$AV$64,MATCH($F626,사건마스터!$A$5:$A$64,0)),""))</f>
        <v/>
      </c>
      <c r="Y626" s="30">
        <f>IF($I626="","",COUNTIF($I626:$X626,"?*"))</f>
        <v/>
      </c>
      <c r="Z626" s="33">
        <f>IF($I626="","",_xlfn.TEXTJOIN(", ",TRUE,$I626:$X626))</f>
        <v/>
      </c>
      <c r="AA626" s="34">
        <f>IF($I626="","",IFERROR(INDEX(코드설정!$D$5:$D$24,MATCH($I626,코드설정!$C$5:$C$24,0)),""))</f>
        <v/>
      </c>
      <c r="AB626" s="36" t="n"/>
      <c r="AC626" s="37" t="n"/>
      <c r="AD626" s="38" t="n"/>
      <c r="AE626" s="30">
        <f>IF(OR($B626="",$C626=""),"",$C626-$B626+1)</f>
        <v/>
      </c>
      <c r="AF626" s="32" t="n"/>
      <c r="AG626" s="36" t="n"/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3">
        <f>IF($F627="","",IFERROR(INDEX(사건마스터!$B$5:$B$64,MATCH($F627,사건마스터!$A$5:$A$64,0)),""))</f>
        <v/>
      </c>
      <c r="H627" s="34">
        <f>IF($F627="","",IFERROR(INDEX(사건마스터!$C$5:$C$64,MATCH($F627,사건마스터!$A$5:$A$64,0)),""))</f>
        <v/>
      </c>
      <c r="I627" s="35">
        <f>IF($F627="","",IFERROR(INDEX(사건마스터!$H$5:$H$64,MATCH($F627,사건마스터!$A$5:$A$64,0)),""))</f>
        <v/>
      </c>
      <c r="J627" s="35">
        <f>IF($F627="","",IFERROR(INDEX(사건마스터!$AH$5:$AH$64,MATCH($F627,사건마스터!$A$5:$A$64,0)),""))</f>
        <v/>
      </c>
      <c r="K627" s="35">
        <f>IF($F627="","",IFERROR(INDEX(사건마스터!$AI$5:$AI$64,MATCH($F627,사건마스터!$A$5:$A$64,0)),""))</f>
        <v/>
      </c>
      <c r="L627" s="35">
        <f>IF($F627="","",IFERROR(INDEX(사건마스터!$AJ$5:$AJ$64,MATCH($F627,사건마스터!$A$5:$A$64,0)),""))</f>
        <v/>
      </c>
      <c r="M627" s="35">
        <f>IF($F627="","",IFERROR(INDEX(사건마스터!$AK$5:$AK$64,MATCH($F627,사건마스터!$A$5:$A$64,0)),""))</f>
        <v/>
      </c>
      <c r="N627" s="35">
        <f>IF($F627="","",IFERROR(INDEX(사건마스터!$AL$5:$AL$64,MATCH($F627,사건마스터!$A$5:$A$64,0)),""))</f>
        <v/>
      </c>
      <c r="O627" s="35">
        <f>IF($F627="","",IFERROR(INDEX(사건마스터!$AM$5:$AM$64,MATCH($F627,사건마스터!$A$5:$A$64,0)),""))</f>
        <v/>
      </c>
      <c r="P627" s="35">
        <f>IF($F627="","",IFERROR(INDEX(사건마스터!$AN$5:$AN$64,MATCH($F627,사건마스터!$A$5:$A$64,0)),""))</f>
        <v/>
      </c>
      <c r="Q627" s="35">
        <f>IF($F627="","",IFERROR(INDEX(사건마스터!$AO$5:$AO$64,MATCH($F627,사건마스터!$A$5:$A$64,0)),""))</f>
        <v/>
      </c>
      <c r="R627" s="35">
        <f>IF($F627="","",IFERROR(INDEX(사건마스터!$AP$5:$AP$64,MATCH($F627,사건마스터!$A$5:$A$64,0)),""))</f>
        <v/>
      </c>
      <c r="S627" s="35">
        <f>IF($F627="","",IFERROR(INDEX(사건마스터!$AQ$5:$AQ$64,MATCH($F627,사건마스터!$A$5:$A$64,0)),""))</f>
        <v/>
      </c>
      <c r="T627" s="35">
        <f>IF($F627="","",IFERROR(INDEX(사건마스터!$AR$5:$AR$64,MATCH($F627,사건마스터!$A$5:$A$64,0)),""))</f>
        <v/>
      </c>
      <c r="U627" s="35">
        <f>IF($F627="","",IFERROR(INDEX(사건마스터!$AS$5:$AS$64,MATCH($F627,사건마스터!$A$5:$A$64,0)),""))</f>
        <v/>
      </c>
      <c r="V627" s="35">
        <f>IF($F627="","",IFERROR(INDEX(사건마스터!$AT$5:$AT$64,MATCH($F627,사건마스터!$A$5:$A$64,0)),""))</f>
        <v/>
      </c>
      <c r="W627" s="35">
        <f>IF($F627="","",IFERROR(INDEX(사건마스터!$AU$5:$AU$64,MATCH($F627,사건마스터!$A$5:$A$64,0)),""))</f>
        <v/>
      </c>
      <c r="X627" s="35">
        <f>IF($F627="","",IFERROR(INDEX(사건마스터!$AV$5:$AV$64,MATCH($F627,사건마스터!$A$5:$A$64,0)),""))</f>
        <v/>
      </c>
      <c r="Y627" s="30">
        <f>IF($I627="","",COUNTIF($I627:$X627,"?*"))</f>
        <v/>
      </c>
      <c r="Z627" s="33">
        <f>IF($I627="","",_xlfn.TEXTJOIN(", ",TRUE,$I627:$X627))</f>
        <v/>
      </c>
      <c r="AA627" s="34">
        <f>IF($I627="","",IFERROR(INDEX(코드설정!$D$5:$D$24,MATCH($I627,코드설정!$C$5:$C$24,0)),""))</f>
        <v/>
      </c>
      <c r="AB627" s="36" t="n"/>
      <c r="AC627" s="37" t="n"/>
      <c r="AD627" s="38" t="n"/>
      <c r="AE627" s="30">
        <f>IF(OR($B627="",$C627=""),"",$C627-$B627+1)</f>
        <v/>
      </c>
      <c r="AF627" s="32" t="n"/>
      <c r="AG627" s="36" t="n"/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3">
        <f>IF($F628="","",IFERROR(INDEX(사건마스터!$B$5:$B$64,MATCH($F628,사건마스터!$A$5:$A$64,0)),""))</f>
        <v/>
      </c>
      <c r="H628" s="34">
        <f>IF($F628="","",IFERROR(INDEX(사건마스터!$C$5:$C$64,MATCH($F628,사건마스터!$A$5:$A$64,0)),""))</f>
        <v/>
      </c>
      <c r="I628" s="35">
        <f>IF($F628="","",IFERROR(INDEX(사건마스터!$H$5:$H$64,MATCH($F628,사건마스터!$A$5:$A$64,0)),""))</f>
        <v/>
      </c>
      <c r="J628" s="35">
        <f>IF($F628="","",IFERROR(INDEX(사건마스터!$AH$5:$AH$64,MATCH($F628,사건마스터!$A$5:$A$64,0)),""))</f>
        <v/>
      </c>
      <c r="K628" s="35">
        <f>IF($F628="","",IFERROR(INDEX(사건마스터!$AI$5:$AI$64,MATCH($F628,사건마스터!$A$5:$A$64,0)),""))</f>
        <v/>
      </c>
      <c r="L628" s="35">
        <f>IF($F628="","",IFERROR(INDEX(사건마스터!$AJ$5:$AJ$64,MATCH($F628,사건마스터!$A$5:$A$64,0)),""))</f>
        <v/>
      </c>
      <c r="M628" s="35">
        <f>IF($F628="","",IFERROR(INDEX(사건마스터!$AK$5:$AK$64,MATCH($F628,사건마스터!$A$5:$A$64,0)),""))</f>
        <v/>
      </c>
      <c r="N628" s="35">
        <f>IF($F628="","",IFERROR(INDEX(사건마스터!$AL$5:$AL$64,MATCH($F628,사건마스터!$A$5:$A$64,0)),""))</f>
        <v/>
      </c>
      <c r="O628" s="35">
        <f>IF($F628="","",IFERROR(INDEX(사건마스터!$AM$5:$AM$64,MATCH($F628,사건마스터!$A$5:$A$64,0)),""))</f>
        <v/>
      </c>
      <c r="P628" s="35">
        <f>IF($F628="","",IFERROR(INDEX(사건마스터!$AN$5:$AN$64,MATCH($F628,사건마스터!$A$5:$A$64,0)),""))</f>
        <v/>
      </c>
      <c r="Q628" s="35">
        <f>IF($F628="","",IFERROR(INDEX(사건마스터!$AO$5:$AO$64,MATCH($F628,사건마스터!$A$5:$A$64,0)),""))</f>
        <v/>
      </c>
      <c r="R628" s="35">
        <f>IF($F628="","",IFERROR(INDEX(사건마스터!$AP$5:$AP$64,MATCH($F628,사건마스터!$A$5:$A$64,0)),""))</f>
        <v/>
      </c>
      <c r="S628" s="35">
        <f>IF($F628="","",IFERROR(INDEX(사건마스터!$AQ$5:$AQ$64,MATCH($F628,사건마스터!$A$5:$A$64,0)),""))</f>
        <v/>
      </c>
      <c r="T628" s="35">
        <f>IF($F628="","",IFERROR(INDEX(사건마스터!$AR$5:$AR$64,MATCH($F628,사건마스터!$A$5:$A$64,0)),""))</f>
        <v/>
      </c>
      <c r="U628" s="35">
        <f>IF($F628="","",IFERROR(INDEX(사건마스터!$AS$5:$AS$64,MATCH($F628,사건마스터!$A$5:$A$64,0)),""))</f>
        <v/>
      </c>
      <c r="V628" s="35">
        <f>IF($F628="","",IFERROR(INDEX(사건마스터!$AT$5:$AT$64,MATCH($F628,사건마스터!$A$5:$A$64,0)),""))</f>
        <v/>
      </c>
      <c r="W628" s="35">
        <f>IF($F628="","",IFERROR(INDEX(사건마스터!$AU$5:$AU$64,MATCH($F628,사건마스터!$A$5:$A$64,0)),""))</f>
        <v/>
      </c>
      <c r="X628" s="35">
        <f>IF($F628="","",IFERROR(INDEX(사건마스터!$AV$5:$AV$64,MATCH($F628,사건마스터!$A$5:$A$64,0)),""))</f>
        <v/>
      </c>
      <c r="Y628" s="30">
        <f>IF($I628="","",COUNTIF($I628:$X628,"?*"))</f>
        <v/>
      </c>
      <c r="Z628" s="33">
        <f>IF($I628="","",_xlfn.TEXTJOIN(", ",TRUE,$I628:$X628))</f>
        <v/>
      </c>
      <c r="AA628" s="34">
        <f>IF($I628="","",IFERROR(INDEX(코드설정!$D$5:$D$24,MATCH($I628,코드설정!$C$5:$C$24,0)),""))</f>
        <v/>
      </c>
      <c r="AB628" s="36" t="n"/>
      <c r="AC628" s="37" t="n"/>
      <c r="AD628" s="38" t="n"/>
      <c r="AE628" s="30">
        <f>IF(OR($B628="",$C628=""),"",$C628-$B628+1)</f>
        <v/>
      </c>
      <c r="AF628" s="32" t="n"/>
      <c r="AG628" s="36" t="n"/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3">
        <f>IF($F629="","",IFERROR(INDEX(사건마스터!$B$5:$B$64,MATCH($F629,사건마스터!$A$5:$A$64,0)),""))</f>
        <v/>
      </c>
      <c r="H629" s="34">
        <f>IF($F629="","",IFERROR(INDEX(사건마스터!$C$5:$C$64,MATCH($F629,사건마스터!$A$5:$A$64,0)),""))</f>
        <v/>
      </c>
      <c r="I629" s="35">
        <f>IF($F629="","",IFERROR(INDEX(사건마스터!$H$5:$H$64,MATCH($F629,사건마스터!$A$5:$A$64,0)),""))</f>
        <v/>
      </c>
      <c r="J629" s="35">
        <f>IF($F629="","",IFERROR(INDEX(사건마스터!$AH$5:$AH$64,MATCH($F629,사건마스터!$A$5:$A$64,0)),""))</f>
        <v/>
      </c>
      <c r="K629" s="35">
        <f>IF($F629="","",IFERROR(INDEX(사건마스터!$AI$5:$AI$64,MATCH($F629,사건마스터!$A$5:$A$64,0)),""))</f>
        <v/>
      </c>
      <c r="L629" s="35">
        <f>IF($F629="","",IFERROR(INDEX(사건마스터!$AJ$5:$AJ$64,MATCH($F629,사건마스터!$A$5:$A$64,0)),""))</f>
        <v/>
      </c>
      <c r="M629" s="35">
        <f>IF($F629="","",IFERROR(INDEX(사건마스터!$AK$5:$AK$64,MATCH($F629,사건마스터!$A$5:$A$64,0)),""))</f>
        <v/>
      </c>
      <c r="N629" s="35">
        <f>IF($F629="","",IFERROR(INDEX(사건마스터!$AL$5:$AL$64,MATCH($F629,사건마스터!$A$5:$A$64,0)),""))</f>
        <v/>
      </c>
      <c r="O629" s="35">
        <f>IF($F629="","",IFERROR(INDEX(사건마스터!$AM$5:$AM$64,MATCH($F629,사건마스터!$A$5:$A$64,0)),""))</f>
        <v/>
      </c>
      <c r="P629" s="35">
        <f>IF($F629="","",IFERROR(INDEX(사건마스터!$AN$5:$AN$64,MATCH($F629,사건마스터!$A$5:$A$64,0)),""))</f>
        <v/>
      </c>
      <c r="Q629" s="35">
        <f>IF($F629="","",IFERROR(INDEX(사건마스터!$AO$5:$AO$64,MATCH($F629,사건마스터!$A$5:$A$64,0)),""))</f>
        <v/>
      </c>
      <c r="R629" s="35">
        <f>IF($F629="","",IFERROR(INDEX(사건마스터!$AP$5:$AP$64,MATCH($F629,사건마스터!$A$5:$A$64,0)),""))</f>
        <v/>
      </c>
      <c r="S629" s="35">
        <f>IF($F629="","",IFERROR(INDEX(사건마스터!$AQ$5:$AQ$64,MATCH($F629,사건마스터!$A$5:$A$64,0)),""))</f>
        <v/>
      </c>
      <c r="T629" s="35">
        <f>IF($F629="","",IFERROR(INDEX(사건마스터!$AR$5:$AR$64,MATCH($F629,사건마스터!$A$5:$A$64,0)),""))</f>
        <v/>
      </c>
      <c r="U629" s="35">
        <f>IF($F629="","",IFERROR(INDEX(사건마스터!$AS$5:$AS$64,MATCH($F629,사건마스터!$A$5:$A$64,0)),""))</f>
        <v/>
      </c>
      <c r="V629" s="35">
        <f>IF($F629="","",IFERROR(INDEX(사건마스터!$AT$5:$AT$64,MATCH($F629,사건마스터!$A$5:$A$64,0)),""))</f>
        <v/>
      </c>
      <c r="W629" s="35">
        <f>IF($F629="","",IFERROR(INDEX(사건마스터!$AU$5:$AU$64,MATCH($F629,사건마스터!$A$5:$A$64,0)),""))</f>
        <v/>
      </c>
      <c r="X629" s="35">
        <f>IF($F629="","",IFERROR(INDEX(사건마스터!$AV$5:$AV$64,MATCH($F629,사건마스터!$A$5:$A$64,0)),""))</f>
        <v/>
      </c>
      <c r="Y629" s="30">
        <f>IF($I629="","",COUNTIF($I629:$X629,"?*"))</f>
        <v/>
      </c>
      <c r="Z629" s="33">
        <f>IF($I629="","",_xlfn.TEXTJOIN(", ",TRUE,$I629:$X629))</f>
        <v/>
      </c>
      <c r="AA629" s="34">
        <f>IF($I629="","",IFERROR(INDEX(코드설정!$D$5:$D$24,MATCH($I629,코드설정!$C$5:$C$24,0)),""))</f>
        <v/>
      </c>
      <c r="AB629" s="36" t="n"/>
      <c r="AC629" s="37" t="n"/>
      <c r="AD629" s="38" t="n"/>
      <c r="AE629" s="30">
        <f>IF(OR($B629="",$C629=""),"",$C629-$B629+1)</f>
        <v/>
      </c>
      <c r="AF629" s="32" t="n"/>
      <c r="AG629" s="36" t="n"/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3">
        <f>IF($F630="","",IFERROR(INDEX(사건마스터!$B$5:$B$64,MATCH($F630,사건마스터!$A$5:$A$64,0)),""))</f>
        <v/>
      </c>
      <c r="H630" s="34">
        <f>IF($F630="","",IFERROR(INDEX(사건마스터!$C$5:$C$64,MATCH($F630,사건마스터!$A$5:$A$64,0)),""))</f>
        <v/>
      </c>
      <c r="I630" s="35">
        <f>IF($F630="","",IFERROR(INDEX(사건마스터!$H$5:$H$64,MATCH($F630,사건마스터!$A$5:$A$64,0)),""))</f>
        <v/>
      </c>
      <c r="J630" s="35">
        <f>IF($F630="","",IFERROR(INDEX(사건마스터!$AH$5:$AH$64,MATCH($F630,사건마스터!$A$5:$A$64,0)),""))</f>
        <v/>
      </c>
      <c r="K630" s="35">
        <f>IF($F630="","",IFERROR(INDEX(사건마스터!$AI$5:$AI$64,MATCH($F630,사건마스터!$A$5:$A$64,0)),""))</f>
        <v/>
      </c>
      <c r="L630" s="35">
        <f>IF($F630="","",IFERROR(INDEX(사건마스터!$AJ$5:$AJ$64,MATCH($F630,사건마스터!$A$5:$A$64,0)),""))</f>
        <v/>
      </c>
      <c r="M630" s="35">
        <f>IF($F630="","",IFERROR(INDEX(사건마스터!$AK$5:$AK$64,MATCH($F630,사건마스터!$A$5:$A$64,0)),""))</f>
        <v/>
      </c>
      <c r="N630" s="35">
        <f>IF($F630="","",IFERROR(INDEX(사건마스터!$AL$5:$AL$64,MATCH($F630,사건마스터!$A$5:$A$64,0)),""))</f>
        <v/>
      </c>
      <c r="O630" s="35">
        <f>IF($F630="","",IFERROR(INDEX(사건마스터!$AM$5:$AM$64,MATCH($F630,사건마스터!$A$5:$A$64,0)),""))</f>
        <v/>
      </c>
      <c r="P630" s="35">
        <f>IF($F630="","",IFERROR(INDEX(사건마스터!$AN$5:$AN$64,MATCH($F630,사건마스터!$A$5:$A$64,0)),""))</f>
        <v/>
      </c>
      <c r="Q630" s="35">
        <f>IF($F630="","",IFERROR(INDEX(사건마스터!$AO$5:$AO$64,MATCH($F630,사건마스터!$A$5:$A$64,0)),""))</f>
        <v/>
      </c>
      <c r="R630" s="35">
        <f>IF($F630="","",IFERROR(INDEX(사건마스터!$AP$5:$AP$64,MATCH($F630,사건마스터!$A$5:$A$64,0)),""))</f>
        <v/>
      </c>
      <c r="S630" s="35">
        <f>IF($F630="","",IFERROR(INDEX(사건마스터!$AQ$5:$AQ$64,MATCH($F630,사건마스터!$A$5:$A$64,0)),""))</f>
        <v/>
      </c>
      <c r="T630" s="35">
        <f>IF($F630="","",IFERROR(INDEX(사건마스터!$AR$5:$AR$64,MATCH($F630,사건마스터!$A$5:$A$64,0)),""))</f>
        <v/>
      </c>
      <c r="U630" s="35">
        <f>IF($F630="","",IFERROR(INDEX(사건마스터!$AS$5:$AS$64,MATCH($F630,사건마스터!$A$5:$A$64,0)),""))</f>
        <v/>
      </c>
      <c r="V630" s="35">
        <f>IF($F630="","",IFERROR(INDEX(사건마스터!$AT$5:$AT$64,MATCH($F630,사건마스터!$A$5:$A$64,0)),""))</f>
        <v/>
      </c>
      <c r="W630" s="35">
        <f>IF($F630="","",IFERROR(INDEX(사건마스터!$AU$5:$AU$64,MATCH($F630,사건마스터!$A$5:$A$64,0)),""))</f>
        <v/>
      </c>
      <c r="X630" s="35">
        <f>IF($F630="","",IFERROR(INDEX(사건마스터!$AV$5:$AV$64,MATCH($F630,사건마스터!$A$5:$A$64,0)),""))</f>
        <v/>
      </c>
      <c r="Y630" s="30">
        <f>IF($I630="","",COUNTIF($I630:$X630,"?*"))</f>
        <v/>
      </c>
      <c r="Z630" s="33">
        <f>IF($I630="","",_xlfn.TEXTJOIN(", ",TRUE,$I630:$X630))</f>
        <v/>
      </c>
      <c r="AA630" s="34">
        <f>IF($I630="","",IFERROR(INDEX(코드설정!$D$5:$D$24,MATCH($I630,코드설정!$C$5:$C$24,0)),""))</f>
        <v/>
      </c>
      <c r="AB630" s="36" t="n"/>
      <c r="AC630" s="37" t="n"/>
      <c r="AD630" s="38" t="n"/>
      <c r="AE630" s="30">
        <f>IF(OR($B630="",$C630=""),"",$C630-$B630+1)</f>
        <v/>
      </c>
      <c r="AF630" s="32" t="n"/>
      <c r="AG630" s="36" t="n"/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3">
        <f>IF($F631="","",IFERROR(INDEX(사건마스터!$B$5:$B$64,MATCH($F631,사건마스터!$A$5:$A$64,0)),""))</f>
        <v/>
      </c>
      <c r="H631" s="34">
        <f>IF($F631="","",IFERROR(INDEX(사건마스터!$C$5:$C$64,MATCH($F631,사건마스터!$A$5:$A$64,0)),""))</f>
        <v/>
      </c>
      <c r="I631" s="35">
        <f>IF($F631="","",IFERROR(INDEX(사건마스터!$H$5:$H$64,MATCH($F631,사건마스터!$A$5:$A$64,0)),""))</f>
        <v/>
      </c>
      <c r="J631" s="35">
        <f>IF($F631="","",IFERROR(INDEX(사건마스터!$AH$5:$AH$64,MATCH($F631,사건마스터!$A$5:$A$64,0)),""))</f>
        <v/>
      </c>
      <c r="K631" s="35">
        <f>IF($F631="","",IFERROR(INDEX(사건마스터!$AI$5:$AI$64,MATCH($F631,사건마스터!$A$5:$A$64,0)),""))</f>
        <v/>
      </c>
      <c r="L631" s="35">
        <f>IF($F631="","",IFERROR(INDEX(사건마스터!$AJ$5:$AJ$64,MATCH($F631,사건마스터!$A$5:$A$64,0)),""))</f>
        <v/>
      </c>
      <c r="M631" s="35">
        <f>IF($F631="","",IFERROR(INDEX(사건마스터!$AK$5:$AK$64,MATCH($F631,사건마스터!$A$5:$A$64,0)),""))</f>
        <v/>
      </c>
      <c r="N631" s="35">
        <f>IF($F631="","",IFERROR(INDEX(사건마스터!$AL$5:$AL$64,MATCH($F631,사건마스터!$A$5:$A$64,0)),""))</f>
        <v/>
      </c>
      <c r="O631" s="35">
        <f>IF($F631="","",IFERROR(INDEX(사건마스터!$AM$5:$AM$64,MATCH($F631,사건마스터!$A$5:$A$64,0)),""))</f>
        <v/>
      </c>
      <c r="P631" s="35">
        <f>IF($F631="","",IFERROR(INDEX(사건마스터!$AN$5:$AN$64,MATCH($F631,사건마스터!$A$5:$A$64,0)),""))</f>
        <v/>
      </c>
      <c r="Q631" s="35">
        <f>IF($F631="","",IFERROR(INDEX(사건마스터!$AO$5:$AO$64,MATCH($F631,사건마스터!$A$5:$A$64,0)),""))</f>
        <v/>
      </c>
      <c r="R631" s="35">
        <f>IF($F631="","",IFERROR(INDEX(사건마스터!$AP$5:$AP$64,MATCH($F631,사건마스터!$A$5:$A$64,0)),""))</f>
        <v/>
      </c>
      <c r="S631" s="35">
        <f>IF($F631="","",IFERROR(INDEX(사건마스터!$AQ$5:$AQ$64,MATCH($F631,사건마스터!$A$5:$A$64,0)),""))</f>
        <v/>
      </c>
      <c r="T631" s="35">
        <f>IF($F631="","",IFERROR(INDEX(사건마스터!$AR$5:$AR$64,MATCH($F631,사건마스터!$A$5:$A$64,0)),""))</f>
        <v/>
      </c>
      <c r="U631" s="35">
        <f>IF($F631="","",IFERROR(INDEX(사건마스터!$AS$5:$AS$64,MATCH($F631,사건마스터!$A$5:$A$64,0)),""))</f>
        <v/>
      </c>
      <c r="V631" s="35">
        <f>IF($F631="","",IFERROR(INDEX(사건마스터!$AT$5:$AT$64,MATCH($F631,사건마스터!$A$5:$A$64,0)),""))</f>
        <v/>
      </c>
      <c r="W631" s="35">
        <f>IF($F631="","",IFERROR(INDEX(사건마스터!$AU$5:$AU$64,MATCH($F631,사건마스터!$A$5:$A$64,0)),""))</f>
        <v/>
      </c>
      <c r="X631" s="35">
        <f>IF($F631="","",IFERROR(INDEX(사건마스터!$AV$5:$AV$64,MATCH($F631,사건마스터!$A$5:$A$64,0)),""))</f>
        <v/>
      </c>
      <c r="Y631" s="30">
        <f>IF($I631="","",COUNTIF($I631:$X631,"?*"))</f>
        <v/>
      </c>
      <c r="Z631" s="33">
        <f>IF($I631="","",_xlfn.TEXTJOIN(", ",TRUE,$I631:$X631))</f>
        <v/>
      </c>
      <c r="AA631" s="34">
        <f>IF($I631="","",IFERROR(INDEX(코드설정!$D$5:$D$24,MATCH($I631,코드설정!$C$5:$C$24,0)),""))</f>
        <v/>
      </c>
      <c r="AB631" s="36" t="n"/>
      <c r="AC631" s="37" t="n"/>
      <c r="AD631" s="38" t="n"/>
      <c r="AE631" s="30">
        <f>IF(OR($B631="",$C631=""),"",$C631-$B631+1)</f>
        <v/>
      </c>
      <c r="AF631" s="32" t="n"/>
      <c r="AG631" s="36" t="n"/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3">
        <f>IF($F632="","",IFERROR(INDEX(사건마스터!$B$5:$B$64,MATCH($F632,사건마스터!$A$5:$A$64,0)),""))</f>
        <v/>
      </c>
      <c r="H632" s="34">
        <f>IF($F632="","",IFERROR(INDEX(사건마스터!$C$5:$C$64,MATCH($F632,사건마스터!$A$5:$A$64,0)),""))</f>
        <v/>
      </c>
      <c r="I632" s="35">
        <f>IF($F632="","",IFERROR(INDEX(사건마스터!$H$5:$H$64,MATCH($F632,사건마스터!$A$5:$A$64,0)),""))</f>
        <v/>
      </c>
      <c r="J632" s="35">
        <f>IF($F632="","",IFERROR(INDEX(사건마스터!$AH$5:$AH$64,MATCH($F632,사건마스터!$A$5:$A$64,0)),""))</f>
        <v/>
      </c>
      <c r="K632" s="35">
        <f>IF($F632="","",IFERROR(INDEX(사건마스터!$AI$5:$AI$64,MATCH($F632,사건마스터!$A$5:$A$64,0)),""))</f>
        <v/>
      </c>
      <c r="L632" s="35">
        <f>IF($F632="","",IFERROR(INDEX(사건마스터!$AJ$5:$AJ$64,MATCH($F632,사건마스터!$A$5:$A$64,0)),""))</f>
        <v/>
      </c>
      <c r="M632" s="35">
        <f>IF($F632="","",IFERROR(INDEX(사건마스터!$AK$5:$AK$64,MATCH($F632,사건마스터!$A$5:$A$64,0)),""))</f>
        <v/>
      </c>
      <c r="N632" s="35">
        <f>IF($F632="","",IFERROR(INDEX(사건마스터!$AL$5:$AL$64,MATCH($F632,사건마스터!$A$5:$A$64,0)),""))</f>
        <v/>
      </c>
      <c r="O632" s="35">
        <f>IF($F632="","",IFERROR(INDEX(사건마스터!$AM$5:$AM$64,MATCH($F632,사건마스터!$A$5:$A$64,0)),""))</f>
        <v/>
      </c>
      <c r="P632" s="35">
        <f>IF($F632="","",IFERROR(INDEX(사건마스터!$AN$5:$AN$64,MATCH($F632,사건마스터!$A$5:$A$64,0)),""))</f>
        <v/>
      </c>
      <c r="Q632" s="35">
        <f>IF($F632="","",IFERROR(INDEX(사건마스터!$AO$5:$AO$64,MATCH($F632,사건마스터!$A$5:$A$64,0)),""))</f>
        <v/>
      </c>
      <c r="R632" s="35">
        <f>IF($F632="","",IFERROR(INDEX(사건마스터!$AP$5:$AP$64,MATCH($F632,사건마스터!$A$5:$A$64,0)),""))</f>
        <v/>
      </c>
      <c r="S632" s="35">
        <f>IF($F632="","",IFERROR(INDEX(사건마스터!$AQ$5:$AQ$64,MATCH($F632,사건마스터!$A$5:$A$64,0)),""))</f>
        <v/>
      </c>
      <c r="T632" s="35">
        <f>IF($F632="","",IFERROR(INDEX(사건마스터!$AR$5:$AR$64,MATCH($F632,사건마스터!$A$5:$A$64,0)),""))</f>
        <v/>
      </c>
      <c r="U632" s="35">
        <f>IF($F632="","",IFERROR(INDEX(사건마스터!$AS$5:$AS$64,MATCH($F632,사건마스터!$A$5:$A$64,0)),""))</f>
        <v/>
      </c>
      <c r="V632" s="35">
        <f>IF($F632="","",IFERROR(INDEX(사건마스터!$AT$5:$AT$64,MATCH($F632,사건마스터!$A$5:$A$64,0)),""))</f>
        <v/>
      </c>
      <c r="W632" s="35">
        <f>IF($F632="","",IFERROR(INDEX(사건마스터!$AU$5:$AU$64,MATCH($F632,사건마스터!$A$5:$A$64,0)),""))</f>
        <v/>
      </c>
      <c r="X632" s="35">
        <f>IF($F632="","",IFERROR(INDEX(사건마스터!$AV$5:$AV$64,MATCH($F632,사건마스터!$A$5:$A$64,0)),""))</f>
        <v/>
      </c>
      <c r="Y632" s="30">
        <f>IF($I632="","",COUNTIF($I632:$X632,"?*"))</f>
        <v/>
      </c>
      <c r="Z632" s="33">
        <f>IF($I632="","",_xlfn.TEXTJOIN(", ",TRUE,$I632:$X632))</f>
        <v/>
      </c>
      <c r="AA632" s="34">
        <f>IF($I632="","",IFERROR(INDEX(코드설정!$D$5:$D$24,MATCH($I632,코드설정!$C$5:$C$24,0)),""))</f>
        <v/>
      </c>
      <c r="AB632" s="36" t="n"/>
      <c r="AC632" s="37" t="n"/>
      <c r="AD632" s="38" t="n"/>
      <c r="AE632" s="30">
        <f>IF(OR($B632="",$C632=""),"",$C632-$B632+1)</f>
        <v/>
      </c>
      <c r="AF632" s="32" t="n"/>
      <c r="AG632" s="36" t="n"/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3">
        <f>IF($F633="","",IFERROR(INDEX(사건마스터!$B$5:$B$64,MATCH($F633,사건마스터!$A$5:$A$64,0)),""))</f>
        <v/>
      </c>
      <c r="H633" s="34">
        <f>IF($F633="","",IFERROR(INDEX(사건마스터!$C$5:$C$64,MATCH($F633,사건마스터!$A$5:$A$64,0)),""))</f>
        <v/>
      </c>
      <c r="I633" s="35">
        <f>IF($F633="","",IFERROR(INDEX(사건마스터!$H$5:$H$64,MATCH($F633,사건마스터!$A$5:$A$64,0)),""))</f>
        <v/>
      </c>
      <c r="J633" s="35">
        <f>IF($F633="","",IFERROR(INDEX(사건마스터!$AH$5:$AH$64,MATCH($F633,사건마스터!$A$5:$A$64,0)),""))</f>
        <v/>
      </c>
      <c r="K633" s="35">
        <f>IF($F633="","",IFERROR(INDEX(사건마스터!$AI$5:$AI$64,MATCH($F633,사건마스터!$A$5:$A$64,0)),""))</f>
        <v/>
      </c>
      <c r="L633" s="35">
        <f>IF($F633="","",IFERROR(INDEX(사건마스터!$AJ$5:$AJ$64,MATCH($F633,사건마스터!$A$5:$A$64,0)),""))</f>
        <v/>
      </c>
      <c r="M633" s="35">
        <f>IF($F633="","",IFERROR(INDEX(사건마스터!$AK$5:$AK$64,MATCH($F633,사건마스터!$A$5:$A$64,0)),""))</f>
        <v/>
      </c>
      <c r="N633" s="35">
        <f>IF($F633="","",IFERROR(INDEX(사건마스터!$AL$5:$AL$64,MATCH($F633,사건마스터!$A$5:$A$64,0)),""))</f>
        <v/>
      </c>
      <c r="O633" s="35">
        <f>IF($F633="","",IFERROR(INDEX(사건마스터!$AM$5:$AM$64,MATCH($F633,사건마스터!$A$5:$A$64,0)),""))</f>
        <v/>
      </c>
      <c r="P633" s="35">
        <f>IF($F633="","",IFERROR(INDEX(사건마스터!$AN$5:$AN$64,MATCH($F633,사건마스터!$A$5:$A$64,0)),""))</f>
        <v/>
      </c>
      <c r="Q633" s="35">
        <f>IF($F633="","",IFERROR(INDEX(사건마스터!$AO$5:$AO$64,MATCH($F633,사건마스터!$A$5:$A$64,0)),""))</f>
        <v/>
      </c>
      <c r="R633" s="35">
        <f>IF($F633="","",IFERROR(INDEX(사건마스터!$AP$5:$AP$64,MATCH($F633,사건마스터!$A$5:$A$64,0)),""))</f>
        <v/>
      </c>
      <c r="S633" s="35">
        <f>IF($F633="","",IFERROR(INDEX(사건마스터!$AQ$5:$AQ$64,MATCH($F633,사건마스터!$A$5:$A$64,0)),""))</f>
        <v/>
      </c>
      <c r="T633" s="35">
        <f>IF($F633="","",IFERROR(INDEX(사건마스터!$AR$5:$AR$64,MATCH($F633,사건마스터!$A$5:$A$64,0)),""))</f>
        <v/>
      </c>
      <c r="U633" s="35">
        <f>IF($F633="","",IFERROR(INDEX(사건마스터!$AS$5:$AS$64,MATCH($F633,사건마스터!$A$5:$A$64,0)),""))</f>
        <v/>
      </c>
      <c r="V633" s="35">
        <f>IF($F633="","",IFERROR(INDEX(사건마스터!$AT$5:$AT$64,MATCH($F633,사건마스터!$A$5:$A$64,0)),""))</f>
        <v/>
      </c>
      <c r="W633" s="35">
        <f>IF($F633="","",IFERROR(INDEX(사건마스터!$AU$5:$AU$64,MATCH($F633,사건마스터!$A$5:$A$64,0)),""))</f>
        <v/>
      </c>
      <c r="X633" s="35">
        <f>IF($F633="","",IFERROR(INDEX(사건마스터!$AV$5:$AV$64,MATCH($F633,사건마스터!$A$5:$A$64,0)),""))</f>
        <v/>
      </c>
      <c r="Y633" s="30">
        <f>IF($I633="","",COUNTIF($I633:$X633,"?*"))</f>
        <v/>
      </c>
      <c r="Z633" s="33">
        <f>IF($I633="","",_xlfn.TEXTJOIN(", ",TRUE,$I633:$X633))</f>
        <v/>
      </c>
      <c r="AA633" s="34">
        <f>IF($I633="","",IFERROR(INDEX(코드설정!$D$5:$D$24,MATCH($I633,코드설정!$C$5:$C$24,0)),""))</f>
        <v/>
      </c>
      <c r="AB633" s="36" t="n"/>
      <c r="AC633" s="37" t="n"/>
      <c r="AD633" s="38" t="n"/>
      <c r="AE633" s="30">
        <f>IF(OR($B633="",$C633=""),"",$C633-$B633+1)</f>
        <v/>
      </c>
      <c r="AF633" s="32" t="n"/>
      <c r="AG633" s="36" t="n"/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3">
        <f>IF($F634="","",IFERROR(INDEX(사건마스터!$B$5:$B$64,MATCH($F634,사건마스터!$A$5:$A$64,0)),""))</f>
        <v/>
      </c>
      <c r="H634" s="34">
        <f>IF($F634="","",IFERROR(INDEX(사건마스터!$C$5:$C$64,MATCH($F634,사건마스터!$A$5:$A$64,0)),""))</f>
        <v/>
      </c>
      <c r="I634" s="35">
        <f>IF($F634="","",IFERROR(INDEX(사건마스터!$H$5:$H$64,MATCH($F634,사건마스터!$A$5:$A$64,0)),""))</f>
        <v/>
      </c>
      <c r="J634" s="35">
        <f>IF($F634="","",IFERROR(INDEX(사건마스터!$AH$5:$AH$64,MATCH($F634,사건마스터!$A$5:$A$64,0)),""))</f>
        <v/>
      </c>
      <c r="K634" s="35">
        <f>IF($F634="","",IFERROR(INDEX(사건마스터!$AI$5:$AI$64,MATCH($F634,사건마스터!$A$5:$A$64,0)),""))</f>
        <v/>
      </c>
      <c r="L634" s="35">
        <f>IF($F634="","",IFERROR(INDEX(사건마스터!$AJ$5:$AJ$64,MATCH($F634,사건마스터!$A$5:$A$64,0)),""))</f>
        <v/>
      </c>
      <c r="M634" s="35">
        <f>IF($F634="","",IFERROR(INDEX(사건마스터!$AK$5:$AK$64,MATCH($F634,사건마스터!$A$5:$A$64,0)),""))</f>
        <v/>
      </c>
      <c r="N634" s="35">
        <f>IF($F634="","",IFERROR(INDEX(사건마스터!$AL$5:$AL$64,MATCH($F634,사건마스터!$A$5:$A$64,0)),""))</f>
        <v/>
      </c>
      <c r="O634" s="35">
        <f>IF($F634="","",IFERROR(INDEX(사건마스터!$AM$5:$AM$64,MATCH($F634,사건마스터!$A$5:$A$64,0)),""))</f>
        <v/>
      </c>
      <c r="P634" s="35">
        <f>IF($F634="","",IFERROR(INDEX(사건마스터!$AN$5:$AN$64,MATCH($F634,사건마스터!$A$5:$A$64,0)),""))</f>
        <v/>
      </c>
      <c r="Q634" s="35">
        <f>IF($F634="","",IFERROR(INDEX(사건마스터!$AO$5:$AO$64,MATCH($F634,사건마스터!$A$5:$A$64,0)),""))</f>
        <v/>
      </c>
      <c r="R634" s="35">
        <f>IF($F634="","",IFERROR(INDEX(사건마스터!$AP$5:$AP$64,MATCH($F634,사건마스터!$A$5:$A$64,0)),""))</f>
        <v/>
      </c>
      <c r="S634" s="35">
        <f>IF($F634="","",IFERROR(INDEX(사건마스터!$AQ$5:$AQ$64,MATCH($F634,사건마스터!$A$5:$A$64,0)),""))</f>
        <v/>
      </c>
      <c r="T634" s="35">
        <f>IF($F634="","",IFERROR(INDEX(사건마스터!$AR$5:$AR$64,MATCH($F634,사건마스터!$A$5:$A$64,0)),""))</f>
        <v/>
      </c>
      <c r="U634" s="35">
        <f>IF($F634="","",IFERROR(INDEX(사건마스터!$AS$5:$AS$64,MATCH($F634,사건마스터!$A$5:$A$64,0)),""))</f>
        <v/>
      </c>
      <c r="V634" s="35">
        <f>IF($F634="","",IFERROR(INDEX(사건마스터!$AT$5:$AT$64,MATCH($F634,사건마스터!$A$5:$A$64,0)),""))</f>
        <v/>
      </c>
      <c r="W634" s="35">
        <f>IF($F634="","",IFERROR(INDEX(사건마스터!$AU$5:$AU$64,MATCH($F634,사건마스터!$A$5:$A$64,0)),""))</f>
        <v/>
      </c>
      <c r="X634" s="35">
        <f>IF($F634="","",IFERROR(INDEX(사건마스터!$AV$5:$AV$64,MATCH($F634,사건마스터!$A$5:$A$64,0)),""))</f>
        <v/>
      </c>
      <c r="Y634" s="30">
        <f>IF($I634="","",COUNTIF($I634:$X634,"?*"))</f>
        <v/>
      </c>
      <c r="Z634" s="33">
        <f>IF($I634="","",_xlfn.TEXTJOIN(", ",TRUE,$I634:$X634))</f>
        <v/>
      </c>
      <c r="AA634" s="34">
        <f>IF($I634="","",IFERROR(INDEX(코드설정!$D$5:$D$24,MATCH($I634,코드설정!$C$5:$C$24,0)),""))</f>
        <v/>
      </c>
      <c r="AB634" s="36" t="n"/>
      <c r="AC634" s="37" t="n"/>
      <c r="AD634" s="38" t="n"/>
      <c r="AE634" s="30">
        <f>IF(OR($B634="",$C634=""),"",$C634-$B634+1)</f>
        <v/>
      </c>
      <c r="AF634" s="32" t="n"/>
      <c r="AG634" s="36" t="n"/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3">
        <f>IF($F635="","",IFERROR(INDEX(사건마스터!$B$5:$B$64,MATCH($F635,사건마스터!$A$5:$A$64,0)),""))</f>
        <v/>
      </c>
      <c r="H635" s="34">
        <f>IF($F635="","",IFERROR(INDEX(사건마스터!$C$5:$C$64,MATCH($F635,사건마스터!$A$5:$A$64,0)),""))</f>
        <v/>
      </c>
      <c r="I635" s="35">
        <f>IF($F635="","",IFERROR(INDEX(사건마스터!$H$5:$H$64,MATCH($F635,사건마스터!$A$5:$A$64,0)),""))</f>
        <v/>
      </c>
      <c r="J635" s="35">
        <f>IF($F635="","",IFERROR(INDEX(사건마스터!$AH$5:$AH$64,MATCH($F635,사건마스터!$A$5:$A$64,0)),""))</f>
        <v/>
      </c>
      <c r="K635" s="35">
        <f>IF($F635="","",IFERROR(INDEX(사건마스터!$AI$5:$AI$64,MATCH($F635,사건마스터!$A$5:$A$64,0)),""))</f>
        <v/>
      </c>
      <c r="L635" s="35">
        <f>IF($F635="","",IFERROR(INDEX(사건마스터!$AJ$5:$AJ$64,MATCH($F635,사건마스터!$A$5:$A$64,0)),""))</f>
        <v/>
      </c>
      <c r="M635" s="35">
        <f>IF($F635="","",IFERROR(INDEX(사건마스터!$AK$5:$AK$64,MATCH($F635,사건마스터!$A$5:$A$64,0)),""))</f>
        <v/>
      </c>
      <c r="N635" s="35">
        <f>IF($F635="","",IFERROR(INDEX(사건마스터!$AL$5:$AL$64,MATCH($F635,사건마스터!$A$5:$A$64,0)),""))</f>
        <v/>
      </c>
      <c r="O635" s="35">
        <f>IF($F635="","",IFERROR(INDEX(사건마스터!$AM$5:$AM$64,MATCH($F635,사건마스터!$A$5:$A$64,0)),""))</f>
        <v/>
      </c>
      <c r="P635" s="35">
        <f>IF($F635="","",IFERROR(INDEX(사건마스터!$AN$5:$AN$64,MATCH($F635,사건마스터!$A$5:$A$64,0)),""))</f>
        <v/>
      </c>
      <c r="Q635" s="35">
        <f>IF($F635="","",IFERROR(INDEX(사건마스터!$AO$5:$AO$64,MATCH($F635,사건마스터!$A$5:$A$64,0)),""))</f>
        <v/>
      </c>
      <c r="R635" s="35">
        <f>IF($F635="","",IFERROR(INDEX(사건마스터!$AP$5:$AP$64,MATCH($F635,사건마스터!$A$5:$A$64,0)),""))</f>
        <v/>
      </c>
      <c r="S635" s="35">
        <f>IF($F635="","",IFERROR(INDEX(사건마스터!$AQ$5:$AQ$64,MATCH($F635,사건마스터!$A$5:$A$64,0)),""))</f>
        <v/>
      </c>
      <c r="T635" s="35">
        <f>IF($F635="","",IFERROR(INDEX(사건마스터!$AR$5:$AR$64,MATCH($F635,사건마스터!$A$5:$A$64,0)),""))</f>
        <v/>
      </c>
      <c r="U635" s="35">
        <f>IF($F635="","",IFERROR(INDEX(사건마스터!$AS$5:$AS$64,MATCH($F635,사건마스터!$A$5:$A$64,0)),""))</f>
        <v/>
      </c>
      <c r="V635" s="35">
        <f>IF($F635="","",IFERROR(INDEX(사건마스터!$AT$5:$AT$64,MATCH($F635,사건마스터!$A$5:$A$64,0)),""))</f>
        <v/>
      </c>
      <c r="W635" s="35">
        <f>IF($F635="","",IFERROR(INDEX(사건마스터!$AU$5:$AU$64,MATCH($F635,사건마스터!$A$5:$A$64,0)),""))</f>
        <v/>
      </c>
      <c r="X635" s="35">
        <f>IF($F635="","",IFERROR(INDEX(사건마스터!$AV$5:$AV$64,MATCH($F635,사건마스터!$A$5:$A$64,0)),""))</f>
        <v/>
      </c>
      <c r="Y635" s="30">
        <f>IF($I635="","",COUNTIF($I635:$X635,"?*"))</f>
        <v/>
      </c>
      <c r="Z635" s="33">
        <f>IF($I635="","",_xlfn.TEXTJOIN(", ",TRUE,$I635:$X635))</f>
        <v/>
      </c>
      <c r="AA635" s="34">
        <f>IF($I635="","",IFERROR(INDEX(코드설정!$D$5:$D$24,MATCH($I635,코드설정!$C$5:$C$24,0)),""))</f>
        <v/>
      </c>
      <c r="AB635" s="36" t="n"/>
      <c r="AC635" s="37" t="n"/>
      <c r="AD635" s="38" t="n"/>
      <c r="AE635" s="30">
        <f>IF(OR($B635="",$C635=""),"",$C635-$B635+1)</f>
        <v/>
      </c>
      <c r="AF635" s="32" t="n"/>
      <c r="AG635" s="36" t="n"/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3">
        <f>IF($F636="","",IFERROR(INDEX(사건마스터!$B$5:$B$64,MATCH($F636,사건마스터!$A$5:$A$64,0)),""))</f>
        <v/>
      </c>
      <c r="H636" s="34">
        <f>IF($F636="","",IFERROR(INDEX(사건마스터!$C$5:$C$64,MATCH($F636,사건마스터!$A$5:$A$64,0)),""))</f>
        <v/>
      </c>
      <c r="I636" s="35">
        <f>IF($F636="","",IFERROR(INDEX(사건마스터!$H$5:$H$64,MATCH($F636,사건마스터!$A$5:$A$64,0)),""))</f>
        <v/>
      </c>
      <c r="J636" s="35">
        <f>IF($F636="","",IFERROR(INDEX(사건마스터!$AH$5:$AH$64,MATCH($F636,사건마스터!$A$5:$A$64,0)),""))</f>
        <v/>
      </c>
      <c r="K636" s="35">
        <f>IF($F636="","",IFERROR(INDEX(사건마스터!$AI$5:$AI$64,MATCH($F636,사건마스터!$A$5:$A$64,0)),""))</f>
        <v/>
      </c>
      <c r="L636" s="35">
        <f>IF($F636="","",IFERROR(INDEX(사건마스터!$AJ$5:$AJ$64,MATCH($F636,사건마스터!$A$5:$A$64,0)),""))</f>
        <v/>
      </c>
      <c r="M636" s="35">
        <f>IF($F636="","",IFERROR(INDEX(사건마스터!$AK$5:$AK$64,MATCH($F636,사건마스터!$A$5:$A$64,0)),""))</f>
        <v/>
      </c>
      <c r="N636" s="35">
        <f>IF($F636="","",IFERROR(INDEX(사건마스터!$AL$5:$AL$64,MATCH($F636,사건마스터!$A$5:$A$64,0)),""))</f>
        <v/>
      </c>
      <c r="O636" s="35">
        <f>IF($F636="","",IFERROR(INDEX(사건마스터!$AM$5:$AM$64,MATCH($F636,사건마스터!$A$5:$A$64,0)),""))</f>
        <v/>
      </c>
      <c r="P636" s="35">
        <f>IF($F636="","",IFERROR(INDEX(사건마스터!$AN$5:$AN$64,MATCH($F636,사건마스터!$A$5:$A$64,0)),""))</f>
        <v/>
      </c>
      <c r="Q636" s="35">
        <f>IF($F636="","",IFERROR(INDEX(사건마스터!$AO$5:$AO$64,MATCH($F636,사건마스터!$A$5:$A$64,0)),""))</f>
        <v/>
      </c>
      <c r="R636" s="35">
        <f>IF($F636="","",IFERROR(INDEX(사건마스터!$AP$5:$AP$64,MATCH($F636,사건마스터!$A$5:$A$64,0)),""))</f>
        <v/>
      </c>
      <c r="S636" s="35">
        <f>IF($F636="","",IFERROR(INDEX(사건마스터!$AQ$5:$AQ$64,MATCH($F636,사건마스터!$A$5:$A$64,0)),""))</f>
        <v/>
      </c>
      <c r="T636" s="35">
        <f>IF($F636="","",IFERROR(INDEX(사건마스터!$AR$5:$AR$64,MATCH($F636,사건마스터!$A$5:$A$64,0)),""))</f>
        <v/>
      </c>
      <c r="U636" s="35">
        <f>IF($F636="","",IFERROR(INDEX(사건마스터!$AS$5:$AS$64,MATCH($F636,사건마스터!$A$5:$A$64,0)),""))</f>
        <v/>
      </c>
      <c r="V636" s="35">
        <f>IF($F636="","",IFERROR(INDEX(사건마스터!$AT$5:$AT$64,MATCH($F636,사건마스터!$A$5:$A$64,0)),""))</f>
        <v/>
      </c>
      <c r="W636" s="35">
        <f>IF($F636="","",IFERROR(INDEX(사건마스터!$AU$5:$AU$64,MATCH($F636,사건마스터!$A$5:$A$64,0)),""))</f>
        <v/>
      </c>
      <c r="X636" s="35">
        <f>IF($F636="","",IFERROR(INDEX(사건마스터!$AV$5:$AV$64,MATCH($F636,사건마스터!$A$5:$A$64,0)),""))</f>
        <v/>
      </c>
      <c r="Y636" s="30">
        <f>IF($I636="","",COUNTIF($I636:$X636,"?*"))</f>
        <v/>
      </c>
      <c r="Z636" s="33">
        <f>IF($I636="","",_xlfn.TEXTJOIN(", ",TRUE,$I636:$X636))</f>
        <v/>
      </c>
      <c r="AA636" s="34">
        <f>IF($I636="","",IFERROR(INDEX(코드설정!$D$5:$D$24,MATCH($I636,코드설정!$C$5:$C$24,0)),""))</f>
        <v/>
      </c>
      <c r="AB636" s="36" t="n"/>
      <c r="AC636" s="37" t="n"/>
      <c r="AD636" s="38" t="n"/>
      <c r="AE636" s="30">
        <f>IF(OR($B636="",$C636=""),"",$C636-$B636+1)</f>
        <v/>
      </c>
      <c r="AF636" s="32" t="n"/>
      <c r="AG636" s="36" t="n"/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3">
        <f>IF($F637="","",IFERROR(INDEX(사건마스터!$B$5:$B$64,MATCH($F637,사건마스터!$A$5:$A$64,0)),""))</f>
        <v/>
      </c>
      <c r="H637" s="34">
        <f>IF($F637="","",IFERROR(INDEX(사건마스터!$C$5:$C$64,MATCH($F637,사건마스터!$A$5:$A$64,0)),""))</f>
        <v/>
      </c>
      <c r="I637" s="35">
        <f>IF($F637="","",IFERROR(INDEX(사건마스터!$H$5:$H$64,MATCH($F637,사건마스터!$A$5:$A$64,0)),""))</f>
        <v/>
      </c>
      <c r="J637" s="35">
        <f>IF($F637="","",IFERROR(INDEX(사건마스터!$AH$5:$AH$64,MATCH($F637,사건마스터!$A$5:$A$64,0)),""))</f>
        <v/>
      </c>
      <c r="K637" s="35">
        <f>IF($F637="","",IFERROR(INDEX(사건마스터!$AI$5:$AI$64,MATCH($F637,사건마스터!$A$5:$A$64,0)),""))</f>
        <v/>
      </c>
      <c r="L637" s="35">
        <f>IF($F637="","",IFERROR(INDEX(사건마스터!$AJ$5:$AJ$64,MATCH($F637,사건마스터!$A$5:$A$64,0)),""))</f>
        <v/>
      </c>
      <c r="M637" s="35">
        <f>IF($F637="","",IFERROR(INDEX(사건마스터!$AK$5:$AK$64,MATCH($F637,사건마스터!$A$5:$A$64,0)),""))</f>
        <v/>
      </c>
      <c r="N637" s="35">
        <f>IF($F637="","",IFERROR(INDEX(사건마스터!$AL$5:$AL$64,MATCH($F637,사건마스터!$A$5:$A$64,0)),""))</f>
        <v/>
      </c>
      <c r="O637" s="35">
        <f>IF($F637="","",IFERROR(INDEX(사건마스터!$AM$5:$AM$64,MATCH($F637,사건마스터!$A$5:$A$64,0)),""))</f>
        <v/>
      </c>
      <c r="P637" s="35">
        <f>IF($F637="","",IFERROR(INDEX(사건마스터!$AN$5:$AN$64,MATCH($F637,사건마스터!$A$5:$A$64,0)),""))</f>
        <v/>
      </c>
      <c r="Q637" s="35">
        <f>IF($F637="","",IFERROR(INDEX(사건마스터!$AO$5:$AO$64,MATCH($F637,사건마스터!$A$5:$A$64,0)),""))</f>
        <v/>
      </c>
      <c r="R637" s="35">
        <f>IF($F637="","",IFERROR(INDEX(사건마스터!$AP$5:$AP$64,MATCH($F637,사건마스터!$A$5:$A$64,0)),""))</f>
        <v/>
      </c>
      <c r="S637" s="35">
        <f>IF($F637="","",IFERROR(INDEX(사건마스터!$AQ$5:$AQ$64,MATCH($F637,사건마스터!$A$5:$A$64,0)),""))</f>
        <v/>
      </c>
      <c r="T637" s="35">
        <f>IF($F637="","",IFERROR(INDEX(사건마스터!$AR$5:$AR$64,MATCH($F637,사건마스터!$A$5:$A$64,0)),""))</f>
        <v/>
      </c>
      <c r="U637" s="35">
        <f>IF($F637="","",IFERROR(INDEX(사건마스터!$AS$5:$AS$64,MATCH($F637,사건마스터!$A$5:$A$64,0)),""))</f>
        <v/>
      </c>
      <c r="V637" s="35">
        <f>IF($F637="","",IFERROR(INDEX(사건마스터!$AT$5:$AT$64,MATCH($F637,사건마스터!$A$5:$A$64,0)),""))</f>
        <v/>
      </c>
      <c r="W637" s="35">
        <f>IF($F637="","",IFERROR(INDEX(사건마스터!$AU$5:$AU$64,MATCH($F637,사건마스터!$A$5:$A$64,0)),""))</f>
        <v/>
      </c>
      <c r="X637" s="35">
        <f>IF($F637="","",IFERROR(INDEX(사건마스터!$AV$5:$AV$64,MATCH($F637,사건마스터!$A$5:$A$64,0)),""))</f>
        <v/>
      </c>
      <c r="Y637" s="30">
        <f>IF($I637="","",COUNTIF($I637:$X637,"?*"))</f>
        <v/>
      </c>
      <c r="Z637" s="33">
        <f>IF($I637="","",_xlfn.TEXTJOIN(", ",TRUE,$I637:$X637))</f>
        <v/>
      </c>
      <c r="AA637" s="34">
        <f>IF($I637="","",IFERROR(INDEX(코드설정!$D$5:$D$24,MATCH($I637,코드설정!$C$5:$C$24,0)),""))</f>
        <v/>
      </c>
      <c r="AB637" s="36" t="n"/>
      <c r="AC637" s="37" t="n"/>
      <c r="AD637" s="38" t="n"/>
      <c r="AE637" s="30">
        <f>IF(OR($B637="",$C637=""),"",$C637-$B637+1)</f>
        <v/>
      </c>
      <c r="AF637" s="32" t="n"/>
      <c r="AG637" s="36" t="n"/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3">
        <f>IF($F638="","",IFERROR(INDEX(사건마스터!$B$5:$B$64,MATCH($F638,사건마스터!$A$5:$A$64,0)),""))</f>
        <v/>
      </c>
      <c r="H638" s="34">
        <f>IF($F638="","",IFERROR(INDEX(사건마스터!$C$5:$C$64,MATCH($F638,사건마스터!$A$5:$A$64,0)),""))</f>
        <v/>
      </c>
      <c r="I638" s="35">
        <f>IF($F638="","",IFERROR(INDEX(사건마스터!$H$5:$H$64,MATCH($F638,사건마스터!$A$5:$A$64,0)),""))</f>
        <v/>
      </c>
      <c r="J638" s="35">
        <f>IF($F638="","",IFERROR(INDEX(사건마스터!$AH$5:$AH$64,MATCH($F638,사건마스터!$A$5:$A$64,0)),""))</f>
        <v/>
      </c>
      <c r="K638" s="35">
        <f>IF($F638="","",IFERROR(INDEX(사건마스터!$AI$5:$AI$64,MATCH($F638,사건마스터!$A$5:$A$64,0)),""))</f>
        <v/>
      </c>
      <c r="L638" s="35">
        <f>IF($F638="","",IFERROR(INDEX(사건마스터!$AJ$5:$AJ$64,MATCH($F638,사건마스터!$A$5:$A$64,0)),""))</f>
        <v/>
      </c>
      <c r="M638" s="35">
        <f>IF($F638="","",IFERROR(INDEX(사건마스터!$AK$5:$AK$64,MATCH($F638,사건마스터!$A$5:$A$64,0)),""))</f>
        <v/>
      </c>
      <c r="N638" s="35">
        <f>IF($F638="","",IFERROR(INDEX(사건마스터!$AL$5:$AL$64,MATCH($F638,사건마스터!$A$5:$A$64,0)),""))</f>
        <v/>
      </c>
      <c r="O638" s="35">
        <f>IF($F638="","",IFERROR(INDEX(사건마스터!$AM$5:$AM$64,MATCH($F638,사건마스터!$A$5:$A$64,0)),""))</f>
        <v/>
      </c>
      <c r="P638" s="35">
        <f>IF($F638="","",IFERROR(INDEX(사건마스터!$AN$5:$AN$64,MATCH($F638,사건마스터!$A$5:$A$64,0)),""))</f>
        <v/>
      </c>
      <c r="Q638" s="35">
        <f>IF($F638="","",IFERROR(INDEX(사건마스터!$AO$5:$AO$64,MATCH($F638,사건마스터!$A$5:$A$64,0)),""))</f>
        <v/>
      </c>
      <c r="R638" s="35">
        <f>IF($F638="","",IFERROR(INDEX(사건마스터!$AP$5:$AP$64,MATCH($F638,사건마스터!$A$5:$A$64,0)),""))</f>
        <v/>
      </c>
      <c r="S638" s="35">
        <f>IF($F638="","",IFERROR(INDEX(사건마스터!$AQ$5:$AQ$64,MATCH($F638,사건마스터!$A$5:$A$64,0)),""))</f>
        <v/>
      </c>
      <c r="T638" s="35">
        <f>IF($F638="","",IFERROR(INDEX(사건마스터!$AR$5:$AR$64,MATCH($F638,사건마스터!$A$5:$A$64,0)),""))</f>
        <v/>
      </c>
      <c r="U638" s="35">
        <f>IF($F638="","",IFERROR(INDEX(사건마스터!$AS$5:$AS$64,MATCH($F638,사건마스터!$A$5:$A$64,0)),""))</f>
        <v/>
      </c>
      <c r="V638" s="35">
        <f>IF($F638="","",IFERROR(INDEX(사건마스터!$AT$5:$AT$64,MATCH($F638,사건마스터!$A$5:$A$64,0)),""))</f>
        <v/>
      </c>
      <c r="W638" s="35">
        <f>IF($F638="","",IFERROR(INDEX(사건마스터!$AU$5:$AU$64,MATCH($F638,사건마스터!$A$5:$A$64,0)),""))</f>
        <v/>
      </c>
      <c r="X638" s="35">
        <f>IF($F638="","",IFERROR(INDEX(사건마스터!$AV$5:$AV$64,MATCH($F638,사건마스터!$A$5:$A$64,0)),""))</f>
        <v/>
      </c>
      <c r="Y638" s="30">
        <f>IF($I638="","",COUNTIF($I638:$X638,"?*"))</f>
        <v/>
      </c>
      <c r="Z638" s="33">
        <f>IF($I638="","",_xlfn.TEXTJOIN(", ",TRUE,$I638:$X638))</f>
        <v/>
      </c>
      <c r="AA638" s="34">
        <f>IF($I638="","",IFERROR(INDEX(코드설정!$D$5:$D$24,MATCH($I638,코드설정!$C$5:$C$24,0)),""))</f>
        <v/>
      </c>
      <c r="AB638" s="36" t="n"/>
      <c r="AC638" s="37" t="n"/>
      <c r="AD638" s="38" t="n"/>
      <c r="AE638" s="30">
        <f>IF(OR($B638="",$C638=""),"",$C638-$B638+1)</f>
        <v/>
      </c>
      <c r="AF638" s="32" t="n"/>
      <c r="AG638" s="36" t="n"/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3">
        <f>IF($F639="","",IFERROR(INDEX(사건마스터!$B$5:$B$64,MATCH($F639,사건마스터!$A$5:$A$64,0)),""))</f>
        <v/>
      </c>
      <c r="H639" s="34">
        <f>IF($F639="","",IFERROR(INDEX(사건마스터!$C$5:$C$64,MATCH($F639,사건마스터!$A$5:$A$64,0)),""))</f>
        <v/>
      </c>
      <c r="I639" s="35">
        <f>IF($F639="","",IFERROR(INDEX(사건마스터!$H$5:$H$64,MATCH($F639,사건마스터!$A$5:$A$64,0)),""))</f>
        <v/>
      </c>
      <c r="J639" s="35">
        <f>IF($F639="","",IFERROR(INDEX(사건마스터!$AH$5:$AH$64,MATCH($F639,사건마스터!$A$5:$A$64,0)),""))</f>
        <v/>
      </c>
      <c r="K639" s="35">
        <f>IF($F639="","",IFERROR(INDEX(사건마스터!$AI$5:$AI$64,MATCH($F639,사건마스터!$A$5:$A$64,0)),""))</f>
        <v/>
      </c>
      <c r="L639" s="35">
        <f>IF($F639="","",IFERROR(INDEX(사건마스터!$AJ$5:$AJ$64,MATCH($F639,사건마스터!$A$5:$A$64,0)),""))</f>
        <v/>
      </c>
      <c r="M639" s="35">
        <f>IF($F639="","",IFERROR(INDEX(사건마스터!$AK$5:$AK$64,MATCH($F639,사건마스터!$A$5:$A$64,0)),""))</f>
        <v/>
      </c>
      <c r="N639" s="35">
        <f>IF($F639="","",IFERROR(INDEX(사건마스터!$AL$5:$AL$64,MATCH($F639,사건마스터!$A$5:$A$64,0)),""))</f>
        <v/>
      </c>
      <c r="O639" s="35">
        <f>IF($F639="","",IFERROR(INDEX(사건마스터!$AM$5:$AM$64,MATCH($F639,사건마스터!$A$5:$A$64,0)),""))</f>
        <v/>
      </c>
      <c r="P639" s="35">
        <f>IF($F639="","",IFERROR(INDEX(사건마스터!$AN$5:$AN$64,MATCH($F639,사건마스터!$A$5:$A$64,0)),""))</f>
        <v/>
      </c>
      <c r="Q639" s="35">
        <f>IF($F639="","",IFERROR(INDEX(사건마스터!$AO$5:$AO$64,MATCH($F639,사건마스터!$A$5:$A$64,0)),""))</f>
        <v/>
      </c>
      <c r="R639" s="35">
        <f>IF($F639="","",IFERROR(INDEX(사건마스터!$AP$5:$AP$64,MATCH($F639,사건마스터!$A$5:$A$64,0)),""))</f>
        <v/>
      </c>
      <c r="S639" s="35">
        <f>IF($F639="","",IFERROR(INDEX(사건마스터!$AQ$5:$AQ$64,MATCH($F639,사건마스터!$A$5:$A$64,0)),""))</f>
        <v/>
      </c>
      <c r="T639" s="35">
        <f>IF($F639="","",IFERROR(INDEX(사건마스터!$AR$5:$AR$64,MATCH($F639,사건마스터!$A$5:$A$64,0)),""))</f>
        <v/>
      </c>
      <c r="U639" s="35">
        <f>IF($F639="","",IFERROR(INDEX(사건마스터!$AS$5:$AS$64,MATCH($F639,사건마스터!$A$5:$A$64,0)),""))</f>
        <v/>
      </c>
      <c r="V639" s="35">
        <f>IF($F639="","",IFERROR(INDEX(사건마스터!$AT$5:$AT$64,MATCH($F639,사건마스터!$A$5:$A$64,0)),""))</f>
        <v/>
      </c>
      <c r="W639" s="35">
        <f>IF($F639="","",IFERROR(INDEX(사건마스터!$AU$5:$AU$64,MATCH($F639,사건마스터!$A$5:$A$64,0)),""))</f>
        <v/>
      </c>
      <c r="X639" s="35">
        <f>IF($F639="","",IFERROR(INDEX(사건마스터!$AV$5:$AV$64,MATCH($F639,사건마스터!$A$5:$A$64,0)),""))</f>
        <v/>
      </c>
      <c r="Y639" s="30">
        <f>IF($I639="","",COUNTIF($I639:$X639,"?*"))</f>
        <v/>
      </c>
      <c r="Z639" s="33">
        <f>IF($I639="","",_xlfn.TEXTJOIN(", ",TRUE,$I639:$X639))</f>
        <v/>
      </c>
      <c r="AA639" s="34">
        <f>IF($I639="","",IFERROR(INDEX(코드설정!$D$5:$D$24,MATCH($I639,코드설정!$C$5:$C$24,0)),""))</f>
        <v/>
      </c>
      <c r="AB639" s="36" t="n"/>
      <c r="AC639" s="37" t="n"/>
      <c r="AD639" s="38" t="n"/>
      <c r="AE639" s="30">
        <f>IF(OR($B639="",$C639=""),"",$C639-$B639+1)</f>
        <v/>
      </c>
      <c r="AF639" s="32" t="n"/>
      <c r="AG639" s="36" t="n"/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3">
        <f>IF($F640="","",IFERROR(INDEX(사건마스터!$B$5:$B$64,MATCH($F640,사건마스터!$A$5:$A$64,0)),""))</f>
        <v/>
      </c>
      <c r="H640" s="34">
        <f>IF($F640="","",IFERROR(INDEX(사건마스터!$C$5:$C$64,MATCH($F640,사건마스터!$A$5:$A$64,0)),""))</f>
        <v/>
      </c>
      <c r="I640" s="35">
        <f>IF($F640="","",IFERROR(INDEX(사건마스터!$H$5:$H$64,MATCH($F640,사건마스터!$A$5:$A$64,0)),""))</f>
        <v/>
      </c>
      <c r="J640" s="35">
        <f>IF($F640="","",IFERROR(INDEX(사건마스터!$AH$5:$AH$64,MATCH($F640,사건마스터!$A$5:$A$64,0)),""))</f>
        <v/>
      </c>
      <c r="K640" s="35">
        <f>IF($F640="","",IFERROR(INDEX(사건마스터!$AI$5:$AI$64,MATCH($F640,사건마스터!$A$5:$A$64,0)),""))</f>
        <v/>
      </c>
      <c r="L640" s="35">
        <f>IF($F640="","",IFERROR(INDEX(사건마스터!$AJ$5:$AJ$64,MATCH($F640,사건마스터!$A$5:$A$64,0)),""))</f>
        <v/>
      </c>
      <c r="M640" s="35">
        <f>IF($F640="","",IFERROR(INDEX(사건마스터!$AK$5:$AK$64,MATCH($F640,사건마스터!$A$5:$A$64,0)),""))</f>
        <v/>
      </c>
      <c r="N640" s="35">
        <f>IF($F640="","",IFERROR(INDEX(사건마스터!$AL$5:$AL$64,MATCH($F640,사건마스터!$A$5:$A$64,0)),""))</f>
        <v/>
      </c>
      <c r="O640" s="35">
        <f>IF($F640="","",IFERROR(INDEX(사건마스터!$AM$5:$AM$64,MATCH($F640,사건마스터!$A$5:$A$64,0)),""))</f>
        <v/>
      </c>
      <c r="P640" s="35">
        <f>IF($F640="","",IFERROR(INDEX(사건마스터!$AN$5:$AN$64,MATCH($F640,사건마스터!$A$5:$A$64,0)),""))</f>
        <v/>
      </c>
      <c r="Q640" s="35">
        <f>IF($F640="","",IFERROR(INDEX(사건마스터!$AO$5:$AO$64,MATCH($F640,사건마스터!$A$5:$A$64,0)),""))</f>
        <v/>
      </c>
      <c r="R640" s="35">
        <f>IF($F640="","",IFERROR(INDEX(사건마스터!$AP$5:$AP$64,MATCH($F640,사건마스터!$A$5:$A$64,0)),""))</f>
        <v/>
      </c>
      <c r="S640" s="35">
        <f>IF($F640="","",IFERROR(INDEX(사건마스터!$AQ$5:$AQ$64,MATCH($F640,사건마스터!$A$5:$A$64,0)),""))</f>
        <v/>
      </c>
      <c r="T640" s="35">
        <f>IF($F640="","",IFERROR(INDEX(사건마스터!$AR$5:$AR$64,MATCH($F640,사건마스터!$A$5:$A$64,0)),""))</f>
        <v/>
      </c>
      <c r="U640" s="35">
        <f>IF($F640="","",IFERROR(INDEX(사건마스터!$AS$5:$AS$64,MATCH($F640,사건마스터!$A$5:$A$64,0)),""))</f>
        <v/>
      </c>
      <c r="V640" s="35">
        <f>IF($F640="","",IFERROR(INDEX(사건마스터!$AT$5:$AT$64,MATCH($F640,사건마스터!$A$5:$A$64,0)),""))</f>
        <v/>
      </c>
      <c r="W640" s="35">
        <f>IF($F640="","",IFERROR(INDEX(사건마스터!$AU$5:$AU$64,MATCH($F640,사건마스터!$A$5:$A$64,0)),""))</f>
        <v/>
      </c>
      <c r="X640" s="35">
        <f>IF($F640="","",IFERROR(INDEX(사건마스터!$AV$5:$AV$64,MATCH($F640,사건마스터!$A$5:$A$64,0)),""))</f>
        <v/>
      </c>
      <c r="Y640" s="30">
        <f>IF($I640="","",COUNTIF($I640:$X640,"?*"))</f>
        <v/>
      </c>
      <c r="Z640" s="33">
        <f>IF($I640="","",_xlfn.TEXTJOIN(", ",TRUE,$I640:$X640))</f>
        <v/>
      </c>
      <c r="AA640" s="34">
        <f>IF($I640="","",IFERROR(INDEX(코드설정!$D$5:$D$24,MATCH($I640,코드설정!$C$5:$C$24,0)),""))</f>
        <v/>
      </c>
      <c r="AB640" s="36" t="n"/>
      <c r="AC640" s="37" t="n"/>
      <c r="AD640" s="38" t="n"/>
      <c r="AE640" s="30">
        <f>IF(OR($B640="",$C640=""),"",$C640-$B640+1)</f>
        <v/>
      </c>
      <c r="AF640" s="32" t="n"/>
      <c r="AG640" s="36" t="n"/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3">
        <f>IF($F641="","",IFERROR(INDEX(사건마스터!$B$5:$B$64,MATCH($F641,사건마스터!$A$5:$A$64,0)),""))</f>
        <v/>
      </c>
      <c r="H641" s="34">
        <f>IF($F641="","",IFERROR(INDEX(사건마스터!$C$5:$C$64,MATCH($F641,사건마스터!$A$5:$A$64,0)),""))</f>
        <v/>
      </c>
      <c r="I641" s="35">
        <f>IF($F641="","",IFERROR(INDEX(사건마스터!$H$5:$H$64,MATCH($F641,사건마스터!$A$5:$A$64,0)),""))</f>
        <v/>
      </c>
      <c r="J641" s="35">
        <f>IF($F641="","",IFERROR(INDEX(사건마스터!$AH$5:$AH$64,MATCH($F641,사건마스터!$A$5:$A$64,0)),""))</f>
        <v/>
      </c>
      <c r="K641" s="35">
        <f>IF($F641="","",IFERROR(INDEX(사건마스터!$AI$5:$AI$64,MATCH($F641,사건마스터!$A$5:$A$64,0)),""))</f>
        <v/>
      </c>
      <c r="L641" s="35">
        <f>IF($F641="","",IFERROR(INDEX(사건마스터!$AJ$5:$AJ$64,MATCH($F641,사건마스터!$A$5:$A$64,0)),""))</f>
        <v/>
      </c>
      <c r="M641" s="35">
        <f>IF($F641="","",IFERROR(INDEX(사건마스터!$AK$5:$AK$64,MATCH($F641,사건마스터!$A$5:$A$64,0)),""))</f>
        <v/>
      </c>
      <c r="N641" s="35">
        <f>IF($F641="","",IFERROR(INDEX(사건마스터!$AL$5:$AL$64,MATCH($F641,사건마스터!$A$5:$A$64,0)),""))</f>
        <v/>
      </c>
      <c r="O641" s="35">
        <f>IF($F641="","",IFERROR(INDEX(사건마스터!$AM$5:$AM$64,MATCH($F641,사건마스터!$A$5:$A$64,0)),""))</f>
        <v/>
      </c>
      <c r="P641" s="35">
        <f>IF($F641="","",IFERROR(INDEX(사건마스터!$AN$5:$AN$64,MATCH($F641,사건마스터!$A$5:$A$64,0)),""))</f>
        <v/>
      </c>
      <c r="Q641" s="35">
        <f>IF($F641="","",IFERROR(INDEX(사건마스터!$AO$5:$AO$64,MATCH($F641,사건마스터!$A$5:$A$64,0)),""))</f>
        <v/>
      </c>
      <c r="R641" s="35">
        <f>IF($F641="","",IFERROR(INDEX(사건마스터!$AP$5:$AP$64,MATCH($F641,사건마스터!$A$5:$A$64,0)),""))</f>
        <v/>
      </c>
      <c r="S641" s="35">
        <f>IF($F641="","",IFERROR(INDEX(사건마스터!$AQ$5:$AQ$64,MATCH($F641,사건마스터!$A$5:$A$64,0)),""))</f>
        <v/>
      </c>
      <c r="T641" s="35">
        <f>IF($F641="","",IFERROR(INDEX(사건마스터!$AR$5:$AR$64,MATCH($F641,사건마스터!$A$5:$A$64,0)),""))</f>
        <v/>
      </c>
      <c r="U641" s="35">
        <f>IF($F641="","",IFERROR(INDEX(사건마스터!$AS$5:$AS$64,MATCH($F641,사건마스터!$A$5:$A$64,0)),""))</f>
        <v/>
      </c>
      <c r="V641" s="35">
        <f>IF($F641="","",IFERROR(INDEX(사건마스터!$AT$5:$AT$64,MATCH($F641,사건마스터!$A$5:$A$64,0)),""))</f>
        <v/>
      </c>
      <c r="W641" s="35">
        <f>IF($F641="","",IFERROR(INDEX(사건마스터!$AU$5:$AU$64,MATCH($F641,사건마스터!$A$5:$A$64,0)),""))</f>
        <v/>
      </c>
      <c r="X641" s="35">
        <f>IF($F641="","",IFERROR(INDEX(사건마스터!$AV$5:$AV$64,MATCH($F641,사건마스터!$A$5:$A$64,0)),""))</f>
        <v/>
      </c>
      <c r="Y641" s="30">
        <f>IF($I641="","",COUNTIF($I641:$X641,"?*"))</f>
        <v/>
      </c>
      <c r="Z641" s="33">
        <f>IF($I641="","",_xlfn.TEXTJOIN(", ",TRUE,$I641:$X641))</f>
        <v/>
      </c>
      <c r="AA641" s="34">
        <f>IF($I641="","",IFERROR(INDEX(코드설정!$D$5:$D$24,MATCH($I641,코드설정!$C$5:$C$24,0)),""))</f>
        <v/>
      </c>
      <c r="AB641" s="36" t="n"/>
      <c r="AC641" s="37" t="n"/>
      <c r="AD641" s="38" t="n"/>
      <c r="AE641" s="30">
        <f>IF(OR($B641="",$C641=""),"",$C641-$B641+1)</f>
        <v/>
      </c>
      <c r="AF641" s="32" t="n"/>
      <c r="AG641" s="36" t="n"/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3">
        <f>IF($F642="","",IFERROR(INDEX(사건마스터!$B$5:$B$64,MATCH($F642,사건마스터!$A$5:$A$64,0)),""))</f>
        <v/>
      </c>
      <c r="H642" s="34">
        <f>IF($F642="","",IFERROR(INDEX(사건마스터!$C$5:$C$64,MATCH($F642,사건마스터!$A$5:$A$64,0)),""))</f>
        <v/>
      </c>
      <c r="I642" s="35">
        <f>IF($F642="","",IFERROR(INDEX(사건마스터!$H$5:$H$64,MATCH($F642,사건마스터!$A$5:$A$64,0)),""))</f>
        <v/>
      </c>
      <c r="J642" s="35">
        <f>IF($F642="","",IFERROR(INDEX(사건마스터!$AH$5:$AH$64,MATCH($F642,사건마스터!$A$5:$A$64,0)),""))</f>
        <v/>
      </c>
      <c r="K642" s="35">
        <f>IF($F642="","",IFERROR(INDEX(사건마스터!$AI$5:$AI$64,MATCH($F642,사건마스터!$A$5:$A$64,0)),""))</f>
        <v/>
      </c>
      <c r="L642" s="35">
        <f>IF($F642="","",IFERROR(INDEX(사건마스터!$AJ$5:$AJ$64,MATCH($F642,사건마스터!$A$5:$A$64,0)),""))</f>
        <v/>
      </c>
      <c r="M642" s="35">
        <f>IF($F642="","",IFERROR(INDEX(사건마스터!$AK$5:$AK$64,MATCH($F642,사건마스터!$A$5:$A$64,0)),""))</f>
        <v/>
      </c>
      <c r="N642" s="35">
        <f>IF($F642="","",IFERROR(INDEX(사건마스터!$AL$5:$AL$64,MATCH($F642,사건마스터!$A$5:$A$64,0)),""))</f>
        <v/>
      </c>
      <c r="O642" s="35">
        <f>IF($F642="","",IFERROR(INDEX(사건마스터!$AM$5:$AM$64,MATCH($F642,사건마스터!$A$5:$A$64,0)),""))</f>
        <v/>
      </c>
      <c r="P642" s="35">
        <f>IF($F642="","",IFERROR(INDEX(사건마스터!$AN$5:$AN$64,MATCH($F642,사건마스터!$A$5:$A$64,0)),""))</f>
        <v/>
      </c>
      <c r="Q642" s="35">
        <f>IF($F642="","",IFERROR(INDEX(사건마스터!$AO$5:$AO$64,MATCH($F642,사건마스터!$A$5:$A$64,0)),""))</f>
        <v/>
      </c>
      <c r="R642" s="35">
        <f>IF($F642="","",IFERROR(INDEX(사건마스터!$AP$5:$AP$64,MATCH($F642,사건마스터!$A$5:$A$64,0)),""))</f>
        <v/>
      </c>
      <c r="S642" s="35">
        <f>IF($F642="","",IFERROR(INDEX(사건마스터!$AQ$5:$AQ$64,MATCH($F642,사건마스터!$A$5:$A$64,0)),""))</f>
        <v/>
      </c>
      <c r="T642" s="35">
        <f>IF($F642="","",IFERROR(INDEX(사건마스터!$AR$5:$AR$64,MATCH($F642,사건마스터!$A$5:$A$64,0)),""))</f>
        <v/>
      </c>
      <c r="U642" s="35">
        <f>IF($F642="","",IFERROR(INDEX(사건마스터!$AS$5:$AS$64,MATCH($F642,사건마스터!$A$5:$A$64,0)),""))</f>
        <v/>
      </c>
      <c r="V642" s="35">
        <f>IF($F642="","",IFERROR(INDEX(사건마스터!$AT$5:$AT$64,MATCH($F642,사건마스터!$A$5:$A$64,0)),""))</f>
        <v/>
      </c>
      <c r="W642" s="35">
        <f>IF($F642="","",IFERROR(INDEX(사건마스터!$AU$5:$AU$64,MATCH($F642,사건마스터!$A$5:$A$64,0)),""))</f>
        <v/>
      </c>
      <c r="X642" s="35">
        <f>IF($F642="","",IFERROR(INDEX(사건마스터!$AV$5:$AV$64,MATCH($F642,사건마스터!$A$5:$A$64,0)),""))</f>
        <v/>
      </c>
      <c r="Y642" s="30">
        <f>IF($I642="","",COUNTIF($I642:$X642,"?*"))</f>
        <v/>
      </c>
      <c r="Z642" s="33">
        <f>IF($I642="","",_xlfn.TEXTJOIN(", ",TRUE,$I642:$X642))</f>
        <v/>
      </c>
      <c r="AA642" s="34">
        <f>IF($I642="","",IFERROR(INDEX(코드설정!$D$5:$D$24,MATCH($I642,코드설정!$C$5:$C$24,0)),""))</f>
        <v/>
      </c>
      <c r="AB642" s="36" t="n"/>
      <c r="AC642" s="37" t="n"/>
      <c r="AD642" s="38" t="n"/>
      <c r="AE642" s="30">
        <f>IF(OR($B642="",$C642=""),"",$C642-$B642+1)</f>
        <v/>
      </c>
      <c r="AF642" s="32" t="n"/>
      <c r="AG642" s="36" t="n"/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3">
        <f>IF($F643="","",IFERROR(INDEX(사건마스터!$B$5:$B$64,MATCH($F643,사건마스터!$A$5:$A$64,0)),""))</f>
        <v/>
      </c>
      <c r="H643" s="34">
        <f>IF($F643="","",IFERROR(INDEX(사건마스터!$C$5:$C$64,MATCH($F643,사건마스터!$A$5:$A$64,0)),""))</f>
        <v/>
      </c>
      <c r="I643" s="35">
        <f>IF($F643="","",IFERROR(INDEX(사건마스터!$H$5:$H$64,MATCH($F643,사건마스터!$A$5:$A$64,0)),""))</f>
        <v/>
      </c>
      <c r="J643" s="35">
        <f>IF($F643="","",IFERROR(INDEX(사건마스터!$AH$5:$AH$64,MATCH($F643,사건마스터!$A$5:$A$64,0)),""))</f>
        <v/>
      </c>
      <c r="K643" s="35">
        <f>IF($F643="","",IFERROR(INDEX(사건마스터!$AI$5:$AI$64,MATCH($F643,사건마스터!$A$5:$A$64,0)),""))</f>
        <v/>
      </c>
      <c r="L643" s="35">
        <f>IF($F643="","",IFERROR(INDEX(사건마스터!$AJ$5:$AJ$64,MATCH($F643,사건마스터!$A$5:$A$64,0)),""))</f>
        <v/>
      </c>
      <c r="M643" s="35">
        <f>IF($F643="","",IFERROR(INDEX(사건마스터!$AK$5:$AK$64,MATCH($F643,사건마스터!$A$5:$A$64,0)),""))</f>
        <v/>
      </c>
      <c r="N643" s="35">
        <f>IF($F643="","",IFERROR(INDEX(사건마스터!$AL$5:$AL$64,MATCH($F643,사건마스터!$A$5:$A$64,0)),""))</f>
        <v/>
      </c>
      <c r="O643" s="35">
        <f>IF($F643="","",IFERROR(INDEX(사건마스터!$AM$5:$AM$64,MATCH($F643,사건마스터!$A$5:$A$64,0)),""))</f>
        <v/>
      </c>
      <c r="P643" s="35">
        <f>IF($F643="","",IFERROR(INDEX(사건마스터!$AN$5:$AN$64,MATCH($F643,사건마스터!$A$5:$A$64,0)),""))</f>
        <v/>
      </c>
      <c r="Q643" s="35">
        <f>IF($F643="","",IFERROR(INDEX(사건마스터!$AO$5:$AO$64,MATCH($F643,사건마스터!$A$5:$A$64,0)),""))</f>
        <v/>
      </c>
      <c r="R643" s="35">
        <f>IF($F643="","",IFERROR(INDEX(사건마스터!$AP$5:$AP$64,MATCH($F643,사건마스터!$A$5:$A$64,0)),""))</f>
        <v/>
      </c>
      <c r="S643" s="35">
        <f>IF($F643="","",IFERROR(INDEX(사건마스터!$AQ$5:$AQ$64,MATCH($F643,사건마스터!$A$5:$A$64,0)),""))</f>
        <v/>
      </c>
      <c r="T643" s="35">
        <f>IF($F643="","",IFERROR(INDEX(사건마스터!$AR$5:$AR$64,MATCH($F643,사건마스터!$A$5:$A$64,0)),""))</f>
        <v/>
      </c>
      <c r="U643" s="35">
        <f>IF($F643="","",IFERROR(INDEX(사건마스터!$AS$5:$AS$64,MATCH($F643,사건마스터!$A$5:$A$64,0)),""))</f>
        <v/>
      </c>
      <c r="V643" s="35">
        <f>IF($F643="","",IFERROR(INDEX(사건마스터!$AT$5:$AT$64,MATCH($F643,사건마스터!$A$5:$A$64,0)),""))</f>
        <v/>
      </c>
      <c r="W643" s="35">
        <f>IF($F643="","",IFERROR(INDEX(사건마스터!$AU$5:$AU$64,MATCH($F643,사건마스터!$A$5:$A$64,0)),""))</f>
        <v/>
      </c>
      <c r="X643" s="35">
        <f>IF($F643="","",IFERROR(INDEX(사건마스터!$AV$5:$AV$64,MATCH($F643,사건마스터!$A$5:$A$64,0)),""))</f>
        <v/>
      </c>
      <c r="Y643" s="30">
        <f>IF($I643="","",COUNTIF($I643:$X643,"?*"))</f>
        <v/>
      </c>
      <c r="Z643" s="33">
        <f>IF($I643="","",_xlfn.TEXTJOIN(", ",TRUE,$I643:$X643))</f>
        <v/>
      </c>
      <c r="AA643" s="34">
        <f>IF($I643="","",IFERROR(INDEX(코드설정!$D$5:$D$24,MATCH($I643,코드설정!$C$5:$C$24,0)),""))</f>
        <v/>
      </c>
      <c r="AB643" s="36" t="n"/>
      <c r="AC643" s="37" t="n"/>
      <c r="AD643" s="38" t="n"/>
      <c r="AE643" s="30">
        <f>IF(OR($B643="",$C643=""),"",$C643-$B643+1)</f>
        <v/>
      </c>
      <c r="AF643" s="32" t="n"/>
      <c r="AG643" s="36" t="n"/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3">
        <f>IF($F644="","",IFERROR(INDEX(사건마스터!$B$5:$B$64,MATCH($F644,사건마스터!$A$5:$A$64,0)),""))</f>
        <v/>
      </c>
      <c r="H644" s="34">
        <f>IF($F644="","",IFERROR(INDEX(사건마스터!$C$5:$C$64,MATCH($F644,사건마스터!$A$5:$A$64,0)),""))</f>
        <v/>
      </c>
      <c r="I644" s="35">
        <f>IF($F644="","",IFERROR(INDEX(사건마스터!$H$5:$H$64,MATCH($F644,사건마스터!$A$5:$A$64,0)),""))</f>
        <v/>
      </c>
      <c r="J644" s="35">
        <f>IF($F644="","",IFERROR(INDEX(사건마스터!$AH$5:$AH$64,MATCH($F644,사건마스터!$A$5:$A$64,0)),""))</f>
        <v/>
      </c>
      <c r="K644" s="35">
        <f>IF($F644="","",IFERROR(INDEX(사건마스터!$AI$5:$AI$64,MATCH($F644,사건마스터!$A$5:$A$64,0)),""))</f>
        <v/>
      </c>
      <c r="L644" s="35">
        <f>IF($F644="","",IFERROR(INDEX(사건마스터!$AJ$5:$AJ$64,MATCH($F644,사건마스터!$A$5:$A$64,0)),""))</f>
        <v/>
      </c>
      <c r="M644" s="35">
        <f>IF($F644="","",IFERROR(INDEX(사건마스터!$AK$5:$AK$64,MATCH($F644,사건마스터!$A$5:$A$64,0)),""))</f>
        <v/>
      </c>
      <c r="N644" s="35">
        <f>IF($F644="","",IFERROR(INDEX(사건마스터!$AL$5:$AL$64,MATCH($F644,사건마스터!$A$5:$A$64,0)),""))</f>
        <v/>
      </c>
      <c r="O644" s="35">
        <f>IF($F644="","",IFERROR(INDEX(사건마스터!$AM$5:$AM$64,MATCH($F644,사건마스터!$A$5:$A$64,0)),""))</f>
        <v/>
      </c>
      <c r="P644" s="35">
        <f>IF($F644="","",IFERROR(INDEX(사건마스터!$AN$5:$AN$64,MATCH($F644,사건마스터!$A$5:$A$64,0)),""))</f>
        <v/>
      </c>
      <c r="Q644" s="35">
        <f>IF($F644="","",IFERROR(INDEX(사건마스터!$AO$5:$AO$64,MATCH($F644,사건마스터!$A$5:$A$64,0)),""))</f>
        <v/>
      </c>
      <c r="R644" s="35">
        <f>IF($F644="","",IFERROR(INDEX(사건마스터!$AP$5:$AP$64,MATCH($F644,사건마스터!$A$5:$A$64,0)),""))</f>
        <v/>
      </c>
      <c r="S644" s="35">
        <f>IF($F644="","",IFERROR(INDEX(사건마스터!$AQ$5:$AQ$64,MATCH($F644,사건마스터!$A$5:$A$64,0)),""))</f>
        <v/>
      </c>
      <c r="T644" s="35">
        <f>IF($F644="","",IFERROR(INDEX(사건마스터!$AR$5:$AR$64,MATCH($F644,사건마스터!$A$5:$A$64,0)),""))</f>
        <v/>
      </c>
      <c r="U644" s="35">
        <f>IF($F644="","",IFERROR(INDEX(사건마스터!$AS$5:$AS$64,MATCH($F644,사건마스터!$A$5:$A$64,0)),""))</f>
        <v/>
      </c>
      <c r="V644" s="35">
        <f>IF($F644="","",IFERROR(INDEX(사건마스터!$AT$5:$AT$64,MATCH($F644,사건마스터!$A$5:$A$64,0)),""))</f>
        <v/>
      </c>
      <c r="W644" s="35">
        <f>IF($F644="","",IFERROR(INDEX(사건마스터!$AU$5:$AU$64,MATCH($F644,사건마스터!$A$5:$A$64,0)),""))</f>
        <v/>
      </c>
      <c r="X644" s="35">
        <f>IF($F644="","",IFERROR(INDEX(사건마스터!$AV$5:$AV$64,MATCH($F644,사건마스터!$A$5:$A$64,0)),""))</f>
        <v/>
      </c>
      <c r="Y644" s="30">
        <f>IF($I644="","",COUNTIF($I644:$X644,"?*"))</f>
        <v/>
      </c>
      <c r="Z644" s="33">
        <f>IF($I644="","",_xlfn.TEXTJOIN(", ",TRUE,$I644:$X644))</f>
        <v/>
      </c>
      <c r="AA644" s="34">
        <f>IF($I644="","",IFERROR(INDEX(코드설정!$D$5:$D$24,MATCH($I644,코드설정!$C$5:$C$24,0)),""))</f>
        <v/>
      </c>
      <c r="AB644" s="36" t="n"/>
      <c r="AC644" s="37" t="n"/>
      <c r="AD644" s="38" t="n"/>
      <c r="AE644" s="30">
        <f>IF(OR($B644="",$C644=""),"",$C644-$B644+1)</f>
        <v/>
      </c>
      <c r="AF644" s="32" t="n"/>
      <c r="AG644" s="36" t="n"/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3">
        <f>IF($F645="","",IFERROR(INDEX(사건마스터!$B$5:$B$64,MATCH($F645,사건마스터!$A$5:$A$64,0)),""))</f>
        <v/>
      </c>
      <c r="H645" s="34">
        <f>IF($F645="","",IFERROR(INDEX(사건마스터!$C$5:$C$64,MATCH($F645,사건마스터!$A$5:$A$64,0)),""))</f>
        <v/>
      </c>
      <c r="I645" s="35">
        <f>IF($F645="","",IFERROR(INDEX(사건마스터!$H$5:$H$64,MATCH($F645,사건마스터!$A$5:$A$64,0)),""))</f>
        <v/>
      </c>
      <c r="J645" s="35">
        <f>IF($F645="","",IFERROR(INDEX(사건마스터!$AH$5:$AH$64,MATCH($F645,사건마스터!$A$5:$A$64,0)),""))</f>
        <v/>
      </c>
      <c r="K645" s="35">
        <f>IF($F645="","",IFERROR(INDEX(사건마스터!$AI$5:$AI$64,MATCH($F645,사건마스터!$A$5:$A$64,0)),""))</f>
        <v/>
      </c>
      <c r="L645" s="35">
        <f>IF($F645="","",IFERROR(INDEX(사건마스터!$AJ$5:$AJ$64,MATCH($F645,사건마스터!$A$5:$A$64,0)),""))</f>
        <v/>
      </c>
      <c r="M645" s="35">
        <f>IF($F645="","",IFERROR(INDEX(사건마스터!$AK$5:$AK$64,MATCH($F645,사건마스터!$A$5:$A$64,0)),""))</f>
        <v/>
      </c>
      <c r="N645" s="35">
        <f>IF($F645="","",IFERROR(INDEX(사건마스터!$AL$5:$AL$64,MATCH($F645,사건마스터!$A$5:$A$64,0)),""))</f>
        <v/>
      </c>
      <c r="O645" s="35">
        <f>IF($F645="","",IFERROR(INDEX(사건마스터!$AM$5:$AM$64,MATCH($F645,사건마스터!$A$5:$A$64,0)),""))</f>
        <v/>
      </c>
      <c r="P645" s="35">
        <f>IF($F645="","",IFERROR(INDEX(사건마스터!$AN$5:$AN$64,MATCH($F645,사건마스터!$A$5:$A$64,0)),""))</f>
        <v/>
      </c>
      <c r="Q645" s="35">
        <f>IF($F645="","",IFERROR(INDEX(사건마스터!$AO$5:$AO$64,MATCH($F645,사건마스터!$A$5:$A$64,0)),""))</f>
        <v/>
      </c>
      <c r="R645" s="35">
        <f>IF($F645="","",IFERROR(INDEX(사건마스터!$AP$5:$AP$64,MATCH($F645,사건마스터!$A$5:$A$64,0)),""))</f>
        <v/>
      </c>
      <c r="S645" s="35">
        <f>IF($F645="","",IFERROR(INDEX(사건마스터!$AQ$5:$AQ$64,MATCH($F645,사건마스터!$A$5:$A$64,0)),""))</f>
        <v/>
      </c>
      <c r="T645" s="35">
        <f>IF($F645="","",IFERROR(INDEX(사건마스터!$AR$5:$AR$64,MATCH($F645,사건마스터!$A$5:$A$64,0)),""))</f>
        <v/>
      </c>
      <c r="U645" s="35">
        <f>IF($F645="","",IFERROR(INDEX(사건마스터!$AS$5:$AS$64,MATCH($F645,사건마스터!$A$5:$A$64,0)),""))</f>
        <v/>
      </c>
      <c r="V645" s="35">
        <f>IF($F645="","",IFERROR(INDEX(사건마스터!$AT$5:$AT$64,MATCH($F645,사건마스터!$A$5:$A$64,0)),""))</f>
        <v/>
      </c>
      <c r="W645" s="35">
        <f>IF($F645="","",IFERROR(INDEX(사건마스터!$AU$5:$AU$64,MATCH($F645,사건마스터!$A$5:$A$64,0)),""))</f>
        <v/>
      </c>
      <c r="X645" s="35">
        <f>IF($F645="","",IFERROR(INDEX(사건마스터!$AV$5:$AV$64,MATCH($F645,사건마스터!$A$5:$A$64,0)),""))</f>
        <v/>
      </c>
      <c r="Y645" s="30">
        <f>IF($I645="","",COUNTIF($I645:$X645,"?*"))</f>
        <v/>
      </c>
      <c r="Z645" s="33">
        <f>IF($I645="","",_xlfn.TEXTJOIN(", ",TRUE,$I645:$X645))</f>
        <v/>
      </c>
      <c r="AA645" s="34">
        <f>IF($I645="","",IFERROR(INDEX(코드설정!$D$5:$D$24,MATCH($I645,코드설정!$C$5:$C$24,0)),""))</f>
        <v/>
      </c>
      <c r="AB645" s="36" t="n"/>
      <c r="AC645" s="37" t="n"/>
      <c r="AD645" s="38" t="n"/>
      <c r="AE645" s="30">
        <f>IF(OR($B645="",$C645=""),"",$C645-$B645+1)</f>
        <v/>
      </c>
      <c r="AF645" s="32" t="n"/>
      <c r="AG645" s="36" t="n"/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3">
        <f>IF($F646="","",IFERROR(INDEX(사건마스터!$B$5:$B$64,MATCH($F646,사건마스터!$A$5:$A$64,0)),""))</f>
        <v/>
      </c>
      <c r="H646" s="34">
        <f>IF($F646="","",IFERROR(INDEX(사건마스터!$C$5:$C$64,MATCH($F646,사건마스터!$A$5:$A$64,0)),""))</f>
        <v/>
      </c>
      <c r="I646" s="35">
        <f>IF($F646="","",IFERROR(INDEX(사건마스터!$H$5:$H$64,MATCH($F646,사건마스터!$A$5:$A$64,0)),""))</f>
        <v/>
      </c>
      <c r="J646" s="35">
        <f>IF($F646="","",IFERROR(INDEX(사건마스터!$AH$5:$AH$64,MATCH($F646,사건마스터!$A$5:$A$64,0)),""))</f>
        <v/>
      </c>
      <c r="K646" s="35">
        <f>IF($F646="","",IFERROR(INDEX(사건마스터!$AI$5:$AI$64,MATCH($F646,사건마스터!$A$5:$A$64,0)),""))</f>
        <v/>
      </c>
      <c r="L646" s="35">
        <f>IF($F646="","",IFERROR(INDEX(사건마스터!$AJ$5:$AJ$64,MATCH($F646,사건마스터!$A$5:$A$64,0)),""))</f>
        <v/>
      </c>
      <c r="M646" s="35">
        <f>IF($F646="","",IFERROR(INDEX(사건마스터!$AK$5:$AK$64,MATCH($F646,사건마스터!$A$5:$A$64,0)),""))</f>
        <v/>
      </c>
      <c r="N646" s="35">
        <f>IF($F646="","",IFERROR(INDEX(사건마스터!$AL$5:$AL$64,MATCH($F646,사건마스터!$A$5:$A$64,0)),""))</f>
        <v/>
      </c>
      <c r="O646" s="35">
        <f>IF($F646="","",IFERROR(INDEX(사건마스터!$AM$5:$AM$64,MATCH($F646,사건마스터!$A$5:$A$64,0)),""))</f>
        <v/>
      </c>
      <c r="P646" s="35">
        <f>IF($F646="","",IFERROR(INDEX(사건마스터!$AN$5:$AN$64,MATCH($F646,사건마스터!$A$5:$A$64,0)),""))</f>
        <v/>
      </c>
      <c r="Q646" s="35">
        <f>IF($F646="","",IFERROR(INDEX(사건마스터!$AO$5:$AO$64,MATCH($F646,사건마스터!$A$5:$A$64,0)),""))</f>
        <v/>
      </c>
      <c r="R646" s="35">
        <f>IF($F646="","",IFERROR(INDEX(사건마스터!$AP$5:$AP$64,MATCH($F646,사건마스터!$A$5:$A$64,0)),""))</f>
        <v/>
      </c>
      <c r="S646" s="35">
        <f>IF($F646="","",IFERROR(INDEX(사건마스터!$AQ$5:$AQ$64,MATCH($F646,사건마스터!$A$5:$A$64,0)),""))</f>
        <v/>
      </c>
      <c r="T646" s="35">
        <f>IF($F646="","",IFERROR(INDEX(사건마스터!$AR$5:$AR$64,MATCH($F646,사건마스터!$A$5:$A$64,0)),""))</f>
        <v/>
      </c>
      <c r="U646" s="35">
        <f>IF($F646="","",IFERROR(INDEX(사건마스터!$AS$5:$AS$64,MATCH($F646,사건마스터!$A$5:$A$64,0)),""))</f>
        <v/>
      </c>
      <c r="V646" s="35">
        <f>IF($F646="","",IFERROR(INDEX(사건마스터!$AT$5:$AT$64,MATCH($F646,사건마스터!$A$5:$A$64,0)),""))</f>
        <v/>
      </c>
      <c r="W646" s="35">
        <f>IF($F646="","",IFERROR(INDEX(사건마스터!$AU$5:$AU$64,MATCH($F646,사건마스터!$A$5:$A$64,0)),""))</f>
        <v/>
      </c>
      <c r="X646" s="35">
        <f>IF($F646="","",IFERROR(INDEX(사건마스터!$AV$5:$AV$64,MATCH($F646,사건마스터!$A$5:$A$64,0)),""))</f>
        <v/>
      </c>
      <c r="Y646" s="30">
        <f>IF($I646="","",COUNTIF($I646:$X646,"?*"))</f>
        <v/>
      </c>
      <c r="Z646" s="33">
        <f>IF($I646="","",_xlfn.TEXTJOIN(", ",TRUE,$I646:$X646))</f>
        <v/>
      </c>
      <c r="AA646" s="34">
        <f>IF($I646="","",IFERROR(INDEX(코드설정!$D$5:$D$24,MATCH($I646,코드설정!$C$5:$C$24,0)),""))</f>
        <v/>
      </c>
      <c r="AB646" s="36" t="n"/>
      <c r="AC646" s="37" t="n"/>
      <c r="AD646" s="38" t="n"/>
      <c r="AE646" s="30">
        <f>IF(OR($B646="",$C646=""),"",$C646-$B646+1)</f>
        <v/>
      </c>
      <c r="AF646" s="32" t="n"/>
      <c r="AG646" s="36" t="n"/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3">
        <f>IF($F647="","",IFERROR(INDEX(사건마스터!$B$5:$B$64,MATCH($F647,사건마스터!$A$5:$A$64,0)),""))</f>
        <v/>
      </c>
      <c r="H647" s="34">
        <f>IF($F647="","",IFERROR(INDEX(사건마스터!$C$5:$C$64,MATCH($F647,사건마스터!$A$5:$A$64,0)),""))</f>
        <v/>
      </c>
      <c r="I647" s="35">
        <f>IF($F647="","",IFERROR(INDEX(사건마스터!$H$5:$H$64,MATCH($F647,사건마스터!$A$5:$A$64,0)),""))</f>
        <v/>
      </c>
      <c r="J647" s="35">
        <f>IF($F647="","",IFERROR(INDEX(사건마스터!$AH$5:$AH$64,MATCH($F647,사건마스터!$A$5:$A$64,0)),""))</f>
        <v/>
      </c>
      <c r="K647" s="35">
        <f>IF($F647="","",IFERROR(INDEX(사건마스터!$AI$5:$AI$64,MATCH($F647,사건마스터!$A$5:$A$64,0)),""))</f>
        <v/>
      </c>
      <c r="L647" s="35">
        <f>IF($F647="","",IFERROR(INDEX(사건마스터!$AJ$5:$AJ$64,MATCH($F647,사건마스터!$A$5:$A$64,0)),""))</f>
        <v/>
      </c>
      <c r="M647" s="35">
        <f>IF($F647="","",IFERROR(INDEX(사건마스터!$AK$5:$AK$64,MATCH($F647,사건마스터!$A$5:$A$64,0)),""))</f>
        <v/>
      </c>
      <c r="N647" s="35">
        <f>IF($F647="","",IFERROR(INDEX(사건마스터!$AL$5:$AL$64,MATCH($F647,사건마스터!$A$5:$A$64,0)),""))</f>
        <v/>
      </c>
      <c r="O647" s="35">
        <f>IF($F647="","",IFERROR(INDEX(사건마스터!$AM$5:$AM$64,MATCH($F647,사건마스터!$A$5:$A$64,0)),""))</f>
        <v/>
      </c>
      <c r="P647" s="35">
        <f>IF($F647="","",IFERROR(INDEX(사건마스터!$AN$5:$AN$64,MATCH($F647,사건마스터!$A$5:$A$64,0)),""))</f>
        <v/>
      </c>
      <c r="Q647" s="35">
        <f>IF($F647="","",IFERROR(INDEX(사건마스터!$AO$5:$AO$64,MATCH($F647,사건마스터!$A$5:$A$64,0)),""))</f>
        <v/>
      </c>
      <c r="R647" s="35">
        <f>IF($F647="","",IFERROR(INDEX(사건마스터!$AP$5:$AP$64,MATCH($F647,사건마스터!$A$5:$A$64,0)),""))</f>
        <v/>
      </c>
      <c r="S647" s="35">
        <f>IF($F647="","",IFERROR(INDEX(사건마스터!$AQ$5:$AQ$64,MATCH($F647,사건마스터!$A$5:$A$64,0)),""))</f>
        <v/>
      </c>
      <c r="T647" s="35">
        <f>IF($F647="","",IFERROR(INDEX(사건마스터!$AR$5:$AR$64,MATCH($F647,사건마스터!$A$5:$A$64,0)),""))</f>
        <v/>
      </c>
      <c r="U647" s="35">
        <f>IF($F647="","",IFERROR(INDEX(사건마스터!$AS$5:$AS$64,MATCH($F647,사건마스터!$A$5:$A$64,0)),""))</f>
        <v/>
      </c>
      <c r="V647" s="35">
        <f>IF($F647="","",IFERROR(INDEX(사건마스터!$AT$5:$AT$64,MATCH($F647,사건마스터!$A$5:$A$64,0)),""))</f>
        <v/>
      </c>
      <c r="W647" s="35">
        <f>IF($F647="","",IFERROR(INDEX(사건마스터!$AU$5:$AU$64,MATCH($F647,사건마스터!$A$5:$A$64,0)),""))</f>
        <v/>
      </c>
      <c r="X647" s="35">
        <f>IF($F647="","",IFERROR(INDEX(사건마스터!$AV$5:$AV$64,MATCH($F647,사건마스터!$A$5:$A$64,0)),""))</f>
        <v/>
      </c>
      <c r="Y647" s="30">
        <f>IF($I647="","",COUNTIF($I647:$X647,"?*"))</f>
        <v/>
      </c>
      <c r="Z647" s="33">
        <f>IF($I647="","",_xlfn.TEXTJOIN(", ",TRUE,$I647:$X647))</f>
        <v/>
      </c>
      <c r="AA647" s="34">
        <f>IF($I647="","",IFERROR(INDEX(코드설정!$D$5:$D$24,MATCH($I647,코드설정!$C$5:$C$24,0)),""))</f>
        <v/>
      </c>
      <c r="AB647" s="36" t="n"/>
      <c r="AC647" s="37" t="n"/>
      <c r="AD647" s="38" t="n"/>
      <c r="AE647" s="30">
        <f>IF(OR($B647="",$C647=""),"",$C647-$B647+1)</f>
        <v/>
      </c>
      <c r="AF647" s="32" t="n"/>
      <c r="AG647" s="36" t="n"/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3">
        <f>IF($F648="","",IFERROR(INDEX(사건마스터!$B$5:$B$64,MATCH($F648,사건마스터!$A$5:$A$64,0)),""))</f>
        <v/>
      </c>
      <c r="H648" s="34">
        <f>IF($F648="","",IFERROR(INDEX(사건마스터!$C$5:$C$64,MATCH($F648,사건마스터!$A$5:$A$64,0)),""))</f>
        <v/>
      </c>
      <c r="I648" s="35">
        <f>IF($F648="","",IFERROR(INDEX(사건마스터!$H$5:$H$64,MATCH($F648,사건마스터!$A$5:$A$64,0)),""))</f>
        <v/>
      </c>
      <c r="J648" s="35">
        <f>IF($F648="","",IFERROR(INDEX(사건마스터!$AH$5:$AH$64,MATCH($F648,사건마스터!$A$5:$A$64,0)),""))</f>
        <v/>
      </c>
      <c r="K648" s="35">
        <f>IF($F648="","",IFERROR(INDEX(사건마스터!$AI$5:$AI$64,MATCH($F648,사건마스터!$A$5:$A$64,0)),""))</f>
        <v/>
      </c>
      <c r="L648" s="35">
        <f>IF($F648="","",IFERROR(INDEX(사건마스터!$AJ$5:$AJ$64,MATCH($F648,사건마스터!$A$5:$A$64,0)),""))</f>
        <v/>
      </c>
      <c r="M648" s="35">
        <f>IF($F648="","",IFERROR(INDEX(사건마스터!$AK$5:$AK$64,MATCH($F648,사건마스터!$A$5:$A$64,0)),""))</f>
        <v/>
      </c>
      <c r="N648" s="35">
        <f>IF($F648="","",IFERROR(INDEX(사건마스터!$AL$5:$AL$64,MATCH($F648,사건마스터!$A$5:$A$64,0)),""))</f>
        <v/>
      </c>
      <c r="O648" s="35">
        <f>IF($F648="","",IFERROR(INDEX(사건마스터!$AM$5:$AM$64,MATCH($F648,사건마스터!$A$5:$A$64,0)),""))</f>
        <v/>
      </c>
      <c r="P648" s="35">
        <f>IF($F648="","",IFERROR(INDEX(사건마스터!$AN$5:$AN$64,MATCH($F648,사건마스터!$A$5:$A$64,0)),""))</f>
        <v/>
      </c>
      <c r="Q648" s="35">
        <f>IF($F648="","",IFERROR(INDEX(사건마스터!$AO$5:$AO$64,MATCH($F648,사건마스터!$A$5:$A$64,0)),""))</f>
        <v/>
      </c>
      <c r="R648" s="35">
        <f>IF($F648="","",IFERROR(INDEX(사건마스터!$AP$5:$AP$64,MATCH($F648,사건마스터!$A$5:$A$64,0)),""))</f>
        <v/>
      </c>
      <c r="S648" s="35">
        <f>IF($F648="","",IFERROR(INDEX(사건마스터!$AQ$5:$AQ$64,MATCH($F648,사건마스터!$A$5:$A$64,0)),""))</f>
        <v/>
      </c>
      <c r="T648" s="35">
        <f>IF($F648="","",IFERROR(INDEX(사건마스터!$AR$5:$AR$64,MATCH($F648,사건마스터!$A$5:$A$64,0)),""))</f>
        <v/>
      </c>
      <c r="U648" s="35">
        <f>IF($F648="","",IFERROR(INDEX(사건마스터!$AS$5:$AS$64,MATCH($F648,사건마스터!$A$5:$A$64,0)),""))</f>
        <v/>
      </c>
      <c r="V648" s="35">
        <f>IF($F648="","",IFERROR(INDEX(사건마스터!$AT$5:$AT$64,MATCH($F648,사건마스터!$A$5:$A$64,0)),""))</f>
        <v/>
      </c>
      <c r="W648" s="35">
        <f>IF($F648="","",IFERROR(INDEX(사건마스터!$AU$5:$AU$64,MATCH($F648,사건마스터!$A$5:$A$64,0)),""))</f>
        <v/>
      </c>
      <c r="X648" s="35">
        <f>IF($F648="","",IFERROR(INDEX(사건마스터!$AV$5:$AV$64,MATCH($F648,사건마스터!$A$5:$A$64,0)),""))</f>
        <v/>
      </c>
      <c r="Y648" s="30">
        <f>IF($I648="","",COUNTIF($I648:$X648,"?*"))</f>
        <v/>
      </c>
      <c r="Z648" s="33">
        <f>IF($I648="","",_xlfn.TEXTJOIN(", ",TRUE,$I648:$X648))</f>
        <v/>
      </c>
      <c r="AA648" s="34">
        <f>IF($I648="","",IFERROR(INDEX(코드설정!$D$5:$D$24,MATCH($I648,코드설정!$C$5:$C$24,0)),""))</f>
        <v/>
      </c>
      <c r="AB648" s="36" t="n"/>
      <c r="AC648" s="37" t="n"/>
      <c r="AD648" s="38" t="n"/>
      <c r="AE648" s="30">
        <f>IF(OR($B648="",$C648=""),"",$C648-$B648+1)</f>
        <v/>
      </c>
      <c r="AF648" s="32" t="n"/>
      <c r="AG648" s="36" t="n"/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3">
        <f>IF($F649="","",IFERROR(INDEX(사건마스터!$B$5:$B$64,MATCH($F649,사건마스터!$A$5:$A$64,0)),""))</f>
        <v/>
      </c>
      <c r="H649" s="34">
        <f>IF($F649="","",IFERROR(INDEX(사건마스터!$C$5:$C$64,MATCH($F649,사건마스터!$A$5:$A$64,0)),""))</f>
        <v/>
      </c>
      <c r="I649" s="35">
        <f>IF($F649="","",IFERROR(INDEX(사건마스터!$H$5:$H$64,MATCH($F649,사건마스터!$A$5:$A$64,0)),""))</f>
        <v/>
      </c>
      <c r="J649" s="35">
        <f>IF($F649="","",IFERROR(INDEX(사건마스터!$AH$5:$AH$64,MATCH($F649,사건마스터!$A$5:$A$64,0)),""))</f>
        <v/>
      </c>
      <c r="K649" s="35">
        <f>IF($F649="","",IFERROR(INDEX(사건마스터!$AI$5:$AI$64,MATCH($F649,사건마스터!$A$5:$A$64,0)),""))</f>
        <v/>
      </c>
      <c r="L649" s="35">
        <f>IF($F649="","",IFERROR(INDEX(사건마스터!$AJ$5:$AJ$64,MATCH($F649,사건마스터!$A$5:$A$64,0)),""))</f>
        <v/>
      </c>
      <c r="M649" s="35">
        <f>IF($F649="","",IFERROR(INDEX(사건마스터!$AK$5:$AK$64,MATCH($F649,사건마스터!$A$5:$A$64,0)),""))</f>
        <v/>
      </c>
      <c r="N649" s="35">
        <f>IF($F649="","",IFERROR(INDEX(사건마스터!$AL$5:$AL$64,MATCH($F649,사건마스터!$A$5:$A$64,0)),""))</f>
        <v/>
      </c>
      <c r="O649" s="35">
        <f>IF($F649="","",IFERROR(INDEX(사건마스터!$AM$5:$AM$64,MATCH($F649,사건마스터!$A$5:$A$64,0)),""))</f>
        <v/>
      </c>
      <c r="P649" s="35">
        <f>IF($F649="","",IFERROR(INDEX(사건마스터!$AN$5:$AN$64,MATCH($F649,사건마스터!$A$5:$A$64,0)),""))</f>
        <v/>
      </c>
      <c r="Q649" s="35">
        <f>IF($F649="","",IFERROR(INDEX(사건마스터!$AO$5:$AO$64,MATCH($F649,사건마스터!$A$5:$A$64,0)),""))</f>
        <v/>
      </c>
      <c r="R649" s="35">
        <f>IF($F649="","",IFERROR(INDEX(사건마스터!$AP$5:$AP$64,MATCH($F649,사건마스터!$A$5:$A$64,0)),""))</f>
        <v/>
      </c>
      <c r="S649" s="35">
        <f>IF($F649="","",IFERROR(INDEX(사건마스터!$AQ$5:$AQ$64,MATCH($F649,사건마스터!$A$5:$A$64,0)),""))</f>
        <v/>
      </c>
      <c r="T649" s="35">
        <f>IF($F649="","",IFERROR(INDEX(사건마스터!$AR$5:$AR$64,MATCH($F649,사건마스터!$A$5:$A$64,0)),""))</f>
        <v/>
      </c>
      <c r="U649" s="35">
        <f>IF($F649="","",IFERROR(INDEX(사건마스터!$AS$5:$AS$64,MATCH($F649,사건마스터!$A$5:$A$64,0)),""))</f>
        <v/>
      </c>
      <c r="V649" s="35">
        <f>IF($F649="","",IFERROR(INDEX(사건마스터!$AT$5:$AT$64,MATCH($F649,사건마스터!$A$5:$A$64,0)),""))</f>
        <v/>
      </c>
      <c r="W649" s="35">
        <f>IF($F649="","",IFERROR(INDEX(사건마스터!$AU$5:$AU$64,MATCH($F649,사건마스터!$A$5:$A$64,0)),""))</f>
        <v/>
      </c>
      <c r="X649" s="35">
        <f>IF($F649="","",IFERROR(INDEX(사건마스터!$AV$5:$AV$64,MATCH($F649,사건마스터!$A$5:$A$64,0)),""))</f>
        <v/>
      </c>
      <c r="Y649" s="30">
        <f>IF($I649="","",COUNTIF($I649:$X649,"?*"))</f>
        <v/>
      </c>
      <c r="Z649" s="33">
        <f>IF($I649="","",_xlfn.TEXTJOIN(", ",TRUE,$I649:$X649))</f>
        <v/>
      </c>
      <c r="AA649" s="34">
        <f>IF($I649="","",IFERROR(INDEX(코드설정!$D$5:$D$24,MATCH($I649,코드설정!$C$5:$C$24,0)),""))</f>
        <v/>
      </c>
      <c r="AB649" s="36" t="n"/>
      <c r="AC649" s="37" t="n"/>
      <c r="AD649" s="38" t="n"/>
      <c r="AE649" s="30">
        <f>IF(OR($B649="",$C649=""),"",$C649-$B649+1)</f>
        <v/>
      </c>
      <c r="AF649" s="32" t="n"/>
      <c r="AG649" s="36" t="n"/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3">
        <f>IF($F650="","",IFERROR(INDEX(사건마스터!$B$5:$B$64,MATCH($F650,사건마스터!$A$5:$A$64,0)),""))</f>
        <v/>
      </c>
      <c r="H650" s="34">
        <f>IF($F650="","",IFERROR(INDEX(사건마스터!$C$5:$C$64,MATCH($F650,사건마스터!$A$5:$A$64,0)),""))</f>
        <v/>
      </c>
      <c r="I650" s="35">
        <f>IF($F650="","",IFERROR(INDEX(사건마스터!$H$5:$H$64,MATCH($F650,사건마스터!$A$5:$A$64,0)),""))</f>
        <v/>
      </c>
      <c r="J650" s="35">
        <f>IF($F650="","",IFERROR(INDEX(사건마스터!$AH$5:$AH$64,MATCH($F650,사건마스터!$A$5:$A$64,0)),""))</f>
        <v/>
      </c>
      <c r="K650" s="35">
        <f>IF($F650="","",IFERROR(INDEX(사건마스터!$AI$5:$AI$64,MATCH($F650,사건마스터!$A$5:$A$64,0)),""))</f>
        <v/>
      </c>
      <c r="L650" s="35">
        <f>IF($F650="","",IFERROR(INDEX(사건마스터!$AJ$5:$AJ$64,MATCH($F650,사건마스터!$A$5:$A$64,0)),""))</f>
        <v/>
      </c>
      <c r="M650" s="35">
        <f>IF($F650="","",IFERROR(INDEX(사건마스터!$AK$5:$AK$64,MATCH($F650,사건마스터!$A$5:$A$64,0)),""))</f>
        <v/>
      </c>
      <c r="N650" s="35">
        <f>IF($F650="","",IFERROR(INDEX(사건마스터!$AL$5:$AL$64,MATCH($F650,사건마스터!$A$5:$A$64,0)),""))</f>
        <v/>
      </c>
      <c r="O650" s="35">
        <f>IF($F650="","",IFERROR(INDEX(사건마스터!$AM$5:$AM$64,MATCH($F650,사건마스터!$A$5:$A$64,0)),""))</f>
        <v/>
      </c>
      <c r="P650" s="35">
        <f>IF($F650="","",IFERROR(INDEX(사건마스터!$AN$5:$AN$64,MATCH($F650,사건마스터!$A$5:$A$64,0)),""))</f>
        <v/>
      </c>
      <c r="Q650" s="35">
        <f>IF($F650="","",IFERROR(INDEX(사건마스터!$AO$5:$AO$64,MATCH($F650,사건마스터!$A$5:$A$64,0)),""))</f>
        <v/>
      </c>
      <c r="R650" s="35">
        <f>IF($F650="","",IFERROR(INDEX(사건마스터!$AP$5:$AP$64,MATCH($F650,사건마스터!$A$5:$A$64,0)),""))</f>
        <v/>
      </c>
      <c r="S650" s="35">
        <f>IF($F650="","",IFERROR(INDEX(사건마스터!$AQ$5:$AQ$64,MATCH($F650,사건마스터!$A$5:$A$64,0)),""))</f>
        <v/>
      </c>
      <c r="T650" s="35">
        <f>IF($F650="","",IFERROR(INDEX(사건마스터!$AR$5:$AR$64,MATCH($F650,사건마스터!$A$5:$A$64,0)),""))</f>
        <v/>
      </c>
      <c r="U650" s="35">
        <f>IF($F650="","",IFERROR(INDEX(사건마스터!$AS$5:$AS$64,MATCH($F650,사건마스터!$A$5:$A$64,0)),""))</f>
        <v/>
      </c>
      <c r="V650" s="35">
        <f>IF($F650="","",IFERROR(INDEX(사건마스터!$AT$5:$AT$64,MATCH($F650,사건마스터!$A$5:$A$64,0)),""))</f>
        <v/>
      </c>
      <c r="W650" s="35">
        <f>IF($F650="","",IFERROR(INDEX(사건마스터!$AU$5:$AU$64,MATCH($F650,사건마스터!$A$5:$A$64,0)),""))</f>
        <v/>
      </c>
      <c r="X650" s="35">
        <f>IF($F650="","",IFERROR(INDEX(사건마스터!$AV$5:$AV$64,MATCH($F650,사건마스터!$A$5:$A$64,0)),""))</f>
        <v/>
      </c>
      <c r="Y650" s="30">
        <f>IF($I650="","",COUNTIF($I650:$X650,"?*"))</f>
        <v/>
      </c>
      <c r="Z650" s="33">
        <f>IF($I650="","",_xlfn.TEXTJOIN(", ",TRUE,$I650:$X650))</f>
        <v/>
      </c>
      <c r="AA650" s="34">
        <f>IF($I650="","",IFERROR(INDEX(코드설정!$D$5:$D$24,MATCH($I650,코드설정!$C$5:$C$24,0)),""))</f>
        <v/>
      </c>
      <c r="AB650" s="36" t="n"/>
      <c r="AC650" s="37" t="n"/>
      <c r="AD650" s="38" t="n"/>
      <c r="AE650" s="30">
        <f>IF(OR($B650="",$C650=""),"",$C650-$B650+1)</f>
        <v/>
      </c>
      <c r="AF650" s="32" t="n"/>
      <c r="AG650" s="36" t="n"/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3">
        <f>IF($F651="","",IFERROR(INDEX(사건마스터!$B$5:$B$64,MATCH($F651,사건마스터!$A$5:$A$64,0)),""))</f>
        <v/>
      </c>
      <c r="H651" s="34">
        <f>IF($F651="","",IFERROR(INDEX(사건마스터!$C$5:$C$64,MATCH($F651,사건마스터!$A$5:$A$64,0)),""))</f>
        <v/>
      </c>
      <c r="I651" s="35">
        <f>IF($F651="","",IFERROR(INDEX(사건마스터!$H$5:$H$64,MATCH($F651,사건마스터!$A$5:$A$64,0)),""))</f>
        <v/>
      </c>
      <c r="J651" s="35">
        <f>IF($F651="","",IFERROR(INDEX(사건마스터!$AH$5:$AH$64,MATCH($F651,사건마스터!$A$5:$A$64,0)),""))</f>
        <v/>
      </c>
      <c r="K651" s="35">
        <f>IF($F651="","",IFERROR(INDEX(사건마스터!$AI$5:$AI$64,MATCH($F651,사건마스터!$A$5:$A$64,0)),""))</f>
        <v/>
      </c>
      <c r="L651" s="35">
        <f>IF($F651="","",IFERROR(INDEX(사건마스터!$AJ$5:$AJ$64,MATCH($F651,사건마스터!$A$5:$A$64,0)),""))</f>
        <v/>
      </c>
      <c r="M651" s="35">
        <f>IF($F651="","",IFERROR(INDEX(사건마스터!$AK$5:$AK$64,MATCH($F651,사건마스터!$A$5:$A$64,0)),""))</f>
        <v/>
      </c>
      <c r="N651" s="35">
        <f>IF($F651="","",IFERROR(INDEX(사건마스터!$AL$5:$AL$64,MATCH($F651,사건마스터!$A$5:$A$64,0)),""))</f>
        <v/>
      </c>
      <c r="O651" s="35">
        <f>IF($F651="","",IFERROR(INDEX(사건마스터!$AM$5:$AM$64,MATCH($F651,사건마스터!$A$5:$A$64,0)),""))</f>
        <v/>
      </c>
      <c r="P651" s="35">
        <f>IF($F651="","",IFERROR(INDEX(사건마스터!$AN$5:$AN$64,MATCH($F651,사건마스터!$A$5:$A$64,0)),""))</f>
        <v/>
      </c>
      <c r="Q651" s="35">
        <f>IF($F651="","",IFERROR(INDEX(사건마스터!$AO$5:$AO$64,MATCH($F651,사건마스터!$A$5:$A$64,0)),""))</f>
        <v/>
      </c>
      <c r="R651" s="35">
        <f>IF($F651="","",IFERROR(INDEX(사건마스터!$AP$5:$AP$64,MATCH($F651,사건마스터!$A$5:$A$64,0)),""))</f>
        <v/>
      </c>
      <c r="S651" s="35">
        <f>IF($F651="","",IFERROR(INDEX(사건마스터!$AQ$5:$AQ$64,MATCH($F651,사건마스터!$A$5:$A$64,0)),""))</f>
        <v/>
      </c>
      <c r="T651" s="35">
        <f>IF($F651="","",IFERROR(INDEX(사건마스터!$AR$5:$AR$64,MATCH($F651,사건마스터!$A$5:$A$64,0)),""))</f>
        <v/>
      </c>
      <c r="U651" s="35">
        <f>IF($F651="","",IFERROR(INDEX(사건마스터!$AS$5:$AS$64,MATCH($F651,사건마스터!$A$5:$A$64,0)),""))</f>
        <v/>
      </c>
      <c r="V651" s="35">
        <f>IF($F651="","",IFERROR(INDEX(사건마스터!$AT$5:$AT$64,MATCH($F651,사건마스터!$A$5:$A$64,0)),""))</f>
        <v/>
      </c>
      <c r="W651" s="35">
        <f>IF($F651="","",IFERROR(INDEX(사건마스터!$AU$5:$AU$64,MATCH($F651,사건마스터!$A$5:$A$64,0)),""))</f>
        <v/>
      </c>
      <c r="X651" s="35">
        <f>IF($F651="","",IFERROR(INDEX(사건마스터!$AV$5:$AV$64,MATCH($F651,사건마스터!$A$5:$A$64,0)),""))</f>
        <v/>
      </c>
      <c r="Y651" s="30">
        <f>IF($I651="","",COUNTIF($I651:$X651,"?*"))</f>
        <v/>
      </c>
      <c r="Z651" s="33">
        <f>IF($I651="","",_xlfn.TEXTJOIN(", ",TRUE,$I651:$X651))</f>
        <v/>
      </c>
      <c r="AA651" s="34">
        <f>IF($I651="","",IFERROR(INDEX(코드설정!$D$5:$D$24,MATCH($I651,코드설정!$C$5:$C$24,0)),""))</f>
        <v/>
      </c>
      <c r="AB651" s="36" t="n"/>
      <c r="AC651" s="37" t="n"/>
      <c r="AD651" s="38" t="n"/>
      <c r="AE651" s="30">
        <f>IF(OR($B651="",$C651=""),"",$C651-$B651+1)</f>
        <v/>
      </c>
      <c r="AF651" s="32" t="n"/>
      <c r="AG651" s="36" t="n"/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3">
        <f>IF($F652="","",IFERROR(INDEX(사건마스터!$B$5:$B$64,MATCH($F652,사건마스터!$A$5:$A$64,0)),""))</f>
        <v/>
      </c>
      <c r="H652" s="34">
        <f>IF($F652="","",IFERROR(INDEX(사건마스터!$C$5:$C$64,MATCH($F652,사건마스터!$A$5:$A$64,0)),""))</f>
        <v/>
      </c>
      <c r="I652" s="35">
        <f>IF($F652="","",IFERROR(INDEX(사건마스터!$H$5:$H$64,MATCH($F652,사건마스터!$A$5:$A$64,0)),""))</f>
        <v/>
      </c>
      <c r="J652" s="35">
        <f>IF($F652="","",IFERROR(INDEX(사건마스터!$AH$5:$AH$64,MATCH($F652,사건마스터!$A$5:$A$64,0)),""))</f>
        <v/>
      </c>
      <c r="K652" s="35">
        <f>IF($F652="","",IFERROR(INDEX(사건마스터!$AI$5:$AI$64,MATCH($F652,사건마스터!$A$5:$A$64,0)),""))</f>
        <v/>
      </c>
      <c r="L652" s="35">
        <f>IF($F652="","",IFERROR(INDEX(사건마스터!$AJ$5:$AJ$64,MATCH($F652,사건마스터!$A$5:$A$64,0)),""))</f>
        <v/>
      </c>
      <c r="M652" s="35">
        <f>IF($F652="","",IFERROR(INDEX(사건마스터!$AK$5:$AK$64,MATCH($F652,사건마스터!$A$5:$A$64,0)),""))</f>
        <v/>
      </c>
      <c r="N652" s="35">
        <f>IF($F652="","",IFERROR(INDEX(사건마스터!$AL$5:$AL$64,MATCH($F652,사건마스터!$A$5:$A$64,0)),""))</f>
        <v/>
      </c>
      <c r="O652" s="35">
        <f>IF($F652="","",IFERROR(INDEX(사건마스터!$AM$5:$AM$64,MATCH($F652,사건마스터!$A$5:$A$64,0)),""))</f>
        <v/>
      </c>
      <c r="P652" s="35">
        <f>IF($F652="","",IFERROR(INDEX(사건마스터!$AN$5:$AN$64,MATCH($F652,사건마스터!$A$5:$A$64,0)),""))</f>
        <v/>
      </c>
      <c r="Q652" s="35">
        <f>IF($F652="","",IFERROR(INDEX(사건마스터!$AO$5:$AO$64,MATCH($F652,사건마스터!$A$5:$A$64,0)),""))</f>
        <v/>
      </c>
      <c r="R652" s="35">
        <f>IF($F652="","",IFERROR(INDEX(사건마스터!$AP$5:$AP$64,MATCH($F652,사건마스터!$A$5:$A$64,0)),""))</f>
        <v/>
      </c>
      <c r="S652" s="35">
        <f>IF($F652="","",IFERROR(INDEX(사건마스터!$AQ$5:$AQ$64,MATCH($F652,사건마스터!$A$5:$A$64,0)),""))</f>
        <v/>
      </c>
      <c r="T652" s="35">
        <f>IF($F652="","",IFERROR(INDEX(사건마스터!$AR$5:$AR$64,MATCH($F652,사건마스터!$A$5:$A$64,0)),""))</f>
        <v/>
      </c>
      <c r="U652" s="35">
        <f>IF($F652="","",IFERROR(INDEX(사건마스터!$AS$5:$AS$64,MATCH($F652,사건마스터!$A$5:$A$64,0)),""))</f>
        <v/>
      </c>
      <c r="V652" s="35">
        <f>IF($F652="","",IFERROR(INDEX(사건마스터!$AT$5:$AT$64,MATCH($F652,사건마스터!$A$5:$A$64,0)),""))</f>
        <v/>
      </c>
      <c r="W652" s="35">
        <f>IF($F652="","",IFERROR(INDEX(사건마스터!$AU$5:$AU$64,MATCH($F652,사건마스터!$A$5:$A$64,0)),""))</f>
        <v/>
      </c>
      <c r="X652" s="35">
        <f>IF($F652="","",IFERROR(INDEX(사건마스터!$AV$5:$AV$64,MATCH($F652,사건마스터!$A$5:$A$64,0)),""))</f>
        <v/>
      </c>
      <c r="Y652" s="30">
        <f>IF($I652="","",COUNTIF($I652:$X652,"?*"))</f>
        <v/>
      </c>
      <c r="Z652" s="33">
        <f>IF($I652="","",_xlfn.TEXTJOIN(", ",TRUE,$I652:$X652))</f>
        <v/>
      </c>
      <c r="AA652" s="34">
        <f>IF($I652="","",IFERROR(INDEX(코드설정!$D$5:$D$24,MATCH($I652,코드설정!$C$5:$C$24,0)),""))</f>
        <v/>
      </c>
      <c r="AB652" s="36" t="n"/>
      <c r="AC652" s="37" t="n"/>
      <c r="AD652" s="38" t="n"/>
      <c r="AE652" s="30">
        <f>IF(OR($B652="",$C652=""),"",$C652-$B652+1)</f>
        <v/>
      </c>
      <c r="AF652" s="32" t="n"/>
      <c r="AG652" s="36" t="n"/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3">
        <f>IF($F653="","",IFERROR(INDEX(사건마스터!$B$5:$B$64,MATCH($F653,사건마스터!$A$5:$A$64,0)),""))</f>
        <v/>
      </c>
      <c r="H653" s="34">
        <f>IF($F653="","",IFERROR(INDEX(사건마스터!$C$5:$C$64,MATCH($F653,사건마스터!$A$5:$A$64,0)),""))</f>
        <v/>
      </c>
      <c r="I653" s="35">
        <f>IF($F653="","",IFERROR(INDEX(사건마스터!$H$5:$H$64,MATCH($F653,사건마스터!$A$5:$A$64,0)),""))</f>
        <v/>
      </c>
      <c r="J653" s="35">
        <f>IF($F653="","",IFERROR(INDEX(사건마스터!$AH$5:$AH$64,MATCH($F653,사건마스터!$A$5:$A$64,0)),""))</f>
        <v/>
      </c>
      <c r="K653" s="35">
        <f>IF($F653="","",IFERROR(INDEX(사건마스터!$AI$5:$AI$64,MATCH($F653,사건마스터!$A$5:$A$64,0)),""))</f>
        <v/>
      </c>
      <c r="L653" s="35">
        <f>IF($F653="","",IFERROR(INDEX(사건마스터!$AJ$5:$AJ$64,MATCH($F653,사건마스터!$A$5:$A$64,0)),""))</f>
        <v/>
      </c>
      <c r="M653" s="35">
        <f>IF($F653="","",IFERROR(INDEX(사건마스터!$AK$5:$AK$64,MATCH($F653,사건마스터!$A$5:$A$64,0)),""))</f>
        <v/>
      </c>
      <c r="N653" s="35">
        <f>IF($F653="","",IFERROR(INDEX(사건마스터!$AL$5:$AL$64,MATCH($F653,사건마스터!$A$5:$A$64,0)),""))</f>
        <v/>
      </c>
      <c r="O653" s="35">
        <f>IF($F653="","",IFERROR(INDEX(사건마스터!$AM$5:$AM$64,MATCH($F653,사건마스터!$A$5:$A$64,0)),""))</f>
        <v/>
      </c>
      <c r="P653" s="35">
        <f>IF($F653="","",IFERROR(INDEX(사건마스터!$AN$5:$AN$64,MATCH($F653,사건마스터!$A$5:$A$64,0)),""))</f>
        <v/>
      </c>
      <c r="Q653" s="35">
        <f>IF($F653="","",IFERROR(INDEX(사건마스터!$AO$5:$AO$64,MATCH($F653,사건마스터!$A$5:$A$64,0)),""))</f>
        <v/>
      </c>
      <c r="R653" s="35">
        <f>IF($F653="","",IFERROR(INDEX(사건마스터!$AP$5:$AP$64,MATCH($F653,사건마스터!$A$5:$A$64,0)),""))</f>
        <v/>
      </c>
      <c r="S653" s="35">
        <f>IF($F653="","",IFERROR(INDEX(사건마스터!$AQ$5:$AQ$64,MATCH($F653,사건마스터!$A$5:$A$64,0)),""))</f>
        <v/>
      </c>
      <c r="T653" s="35">
        <f>IF($F653="","",IFERROR(INDEX(사건마스터!$AR$5:$AR$64,MATCH($F653,사건마스터!$A$5:$A$64,0)),""))</f>
        <v/>
      </c>
      <c r="U653" s="35">
        <f>IF($F653="","",IFERROR(INDEX(사건마스터!$AS$5:$AS$64,MATCH($F653,사건마스터!$A$5:$A$64,0)),""))</f>
        <v/>
      </c>
      <c r="V653" s="35">
        <f>IF($F653="","",IFERROR(INDEX(사건마스터!$AT$5:$AT$64,MATCH($F653,사건마스터!$A$5:$A$64,0)),""))</f>
        <v/>
      </c>
      <c r="W653" s="35">
        <f>IF($F653="","",IFERROR(INDEX(사건마스터!$AU$5:$AU$64,MATCH($F653,사건마스터!$A$5:$A$64,0)),""))</f>
        <v/>
      </c>
      <c r="X653" s="35">
        <f>IF($F653="","",IFERROR(INDEX(사건마스터!$AV$5:$AV$64,MATCH($F653,사건마스터!$A$5:$A$64,0)),""))</f>
        <v/>
      </c>
      <c r="Y653" s="30">
        <f>IF($I653="","",COUNTIF($I653:$X653,"?*"))</f>
        <v/>
      </c>
      <c r="Z653" s="33">
        <f>IF($I653="","",_xlfn.TEXTJOIN(", ",TRUE,$I653:$X653))</f>
        <v/>
      </c>
      <c r="AA653" s="34">
        <f>IF($I653="","",IFERROR(INDEX(코드설정!$D$5:$D$24,MATCH($I653,코드설정!$C$5:$C$24,0)),""))</f>
        <v/>
      </c>
      <c r="AB653" s="36" t="n"/>
      <c r="AC653" s="37" t="n"/>
      <c r="AD653" s="38" t="n"/>
      <c r="AE653" s="30">
        <f>IF(OR($B653="",$C653=""),"",$C653-$B653+1)</f>
        <v/>
      </c>
      <c r="AF653" s="32" t="n"/>
      <c r="AG653" s="36" t="n"/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3">
        <f>IF($F654="","",IFERROR(INDEX(사건마스터!$B$5:$B$64,MATCH($F654,사건마스터!$A$5:$A$64,0)),""))</f>
        <v/>
      </c>
      <c r="H654" s="34">
        <f>IF($F654="","",IFERROR(INDEX(사건마스터!$C$5:$C$64,MATCH($F654,사건마스터!$A$5:$A$64,0)),""))</f>
        <v/>
      </c>
      <c r="I654" s="35">
        <f>IF($F654="","",IFERROR(INDEX(사건마스터!$H$5:$H$64,MATCH($F654,사건마스터!$A$5:$A$64,0)),""))</f>
        <v/>
      </c>
      <c r="J654" s="35">
        <f>IF($F654="","",IFERROR(INDEX(사건마스터!$AH$5:$AH$64,MATCH($F654,사건마스터!$A$5:$A$64,0)),""))</f>
        <v/>
      </c>
      <c r="K654" s="35">
        <f>IF($F654="","",IFERROR(INDEX(사건마스터!$AI$5:$AI$64,MATCH($F654,사건마스터!$A$5:$A$64,0)),""))</f>
        <v/>
      </c>
      <c r="L654" s="35">
        <f>IF($F654="","",IFERROR(INDEX(사건마스터!$AJ$5:$AJ$64,MATCH($F654,사건마스터!$A$5:$A$64,0)),""))</f>
        <v/>
      </c>
      <c r="M654" s="35">
        <f>IF($F654="","",IFERROR(INDEX(사건마스터!$AK$5:$AK$64,MATCH($F654,사건마스터!$A$5:$A$64,0)),""))</f>
        <v/>
      </c>
      <c r="N654" s="35">
        <f>IF($F654="","",IFERROR(INDEX(사건마스터!$AL$5:$AL$64,MATCH($F654,사건마스터!$A$5:$A$64,0)),""))</f>
        <v/>
      </c>
      <c r="O654" s="35">
        <f>IF($F654="","",IFERROR(INDEX(사건마스터!$AM$5:$AM$64,MATCH($F654,사건마스터!$A$5:$A$64,0)),""))</f>
        <v/>
      </c>
      <c r="P654" s="35">
        <f>IF($F654="","",IFERROR(INDEX(사건마스터!$AN$5:$AN$64,MATCH($F654,사건마스터!$A$5:$A$64,0)),""))</f>
        <v/>
      </c>
      <c r="Q654" s="35">
        <f>IF($F654="","",IFERROR(INDEX(사건마스터!$AO$5:$AO$64,MATCH($F654,사건마스터!$A$5:$A$64,0)),""))</f>
        <v/>
      </c>
      <c r="R654" s="35">
        <f>IF($F654="","",IFERROR(INDEX(사건마스터!$AP$5:$AP$64,MATCH($F654,사건마스터!$A$5:$A$64,0)),""))</f>
        <v/>
      </c>
      <c r="S654" s="35">
        <f>IF($F654="","",IFERROR(INDEX(사건마스터!$AQ$5:$AQ$64,MATCH($F654,사건마스터!$A$5:$A$64,0)),""))</f>
        <v/>
      </c>
      <c r="T654" s="35">
        <f>IF($F654="","",IFERROR(INDEX(사건마스터!$AR$5:$AR$64,MATCH($F654,사건마스터!$A$5:$A$64,0)),""))</f>
        <v/>
      </c>
      <c r="U654" s="35">
        <f>IF($F654="","",IFERROR(INDEX(사건마스터!$AS$5:$AS$64,MATCH($F654,사건마스터!$A$5:$A$64,0)),""))</f>
        <v/>
      </c>
      <c r="V654" s="35">
        <f>IF($F654="","",IFERROR(INDEX(사건마스터!$AT$5:$AT$64,MATCH($F654,사건마스터!$A$5:$A$64,0)),""))</f>
        <v/>
      </c>
      <c r="W654" s="35">
        <f>IF($F654="","",IFERROR(INDEX(사건마스터!$AU$5:$AU$64,MATCH($F654,사건마스터!$A$5:$A$64,0)),""))</f>
        <v/>
      </c>
      <c r="X654" s="35">
        <f>IF($F654="","",IFERROR(INDEX(사건마스터!$AV$5:$AV$64,MATCH($F654,사건마스터!$A$5:$A$64,0)),""))</f>
        <v/>
      </c>
      <c r="Y654" s="30">
        <f>IF($I654="","",COUNTIF($I654:$X654,"?*"))</f>
        <v/>
      </c>
      <c r="Z654" s="33">
        <f>IF($I654="","",_xlfn.TEXTJOIN(", ",TRUE,$I654:$X654))</f>
        <v/>
      </c>
      <c r="AA654" s="34">
        <f>IF($I654="","",IFERROR(INDEX(코드설정!$D$5:$D$24,MATCH($I654,코드설정!$C$5:$C$24,0)),""))</f>
        <v/>
      </c>
      <c r="AB654" s="36" t="n"/>
      <c r="AC654" s="37" t="n"/>
      <c r="AD654" s="38" t="n"/>
      <c r="AE654" s="30">
        <f>IF(OR($B654="",$C654=""),"",$C654-$B654+1)</f>
        <v/>
      </c>
      <c r="AF654" s="32" t="n"/>
      <c r="AG654" s="36" t="n"/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3">
        <f>IF($F655="","",IFERROR(INDEX(사건마스터!$B$5:$B$64,MATCH($F655,사건마스터!$A$5:$A$64,0)),""))</f>
        <v/>
      </c>
      <c r="H655" s="34">
        <f>IF($F655="","",IFERROR(INDEX(사건마스터!$C$5:$C$64,MATCH($F655,사건마스터!$A$5:$A$64,0)),""))</f>
        <v/>
      </c>
      <c r="I655" s="35">
        <f>IF($F655="","",IFERROR(INDEX(사건마스터!$H$5:$H$64,MATCH($F655,사건마스터!$A$5:$A$64,0)),""))</f>
        <v/>
      </c>
      <c r="J655" s="35">
        <f>IF($F655="","",IFERROR(INDEX(사건마스터!$AH$5:$AH$64,MATCH($F655,사건마스터!$A$5:$A$64,0)),""))</f>
        <v/>
      </c>
      <c r="K655" s="35">
        <f>IF($F655="","",IFERROR(INDEX(사건마스터!$AI$5:$AI$64,MATCH($F655,사건마스터!$A$5:$A$64,0)),""))</f>
        <v/>
      </c>
      <c r="L655" s="35">
        <f>IF($F655="","",IFERROR(INDEX(사건마스터!$AJ$5:$AJ$64,MATCH($F655,사건마스터!$A$5:$A$64,0)),""))</f>
        <v/>
      </c>
      <c r="M655" s="35">
        <f>IF($F655="","",IFERROR(INDEX(사건마스터!$AK$5:$AK$64,MATCH($F655,사건마스터!$A$5:$A$64,0)),""))</f>
        <v/>
      </c>
      <c r="N655" s="35">
        <f>IF($F655="","",IFERROR(INDEX(사건마스터!$AL$5:$AL$64,MATCH($F655,사건마스터!$A$5:$A$64,0)),""))</f>
        <v/>
      </c>
      <c r="O655" s="35">
        <f>IF($F655="","",IFERROR(INDEX(사건마스터!$AM$5:$AM$64,MATCH($F655,사건마스터!$A$5:$A$64,0)),""))</f>
        <v/>
      </c>
      <c r="P655" s="35">
        <f>IF($F655="","",IFERROR(INDEX(사건마스터!$AN$5:$AN$64,MATCH($F655,사건마스터!$A$5:$A$64,0)),""))</f>
        <v/>
      </c>
      <c r="Q655" s="35">
        <f>IF($F655="","",IFERROR(INDEX(사건마스터!$AO$5:$AO$64,MATCH($F655,사건마스터!$A$5:$A$64,0)),""))</f>
        <v/>
      </c>
      <c r="R655" s="35">
        <f>IF($F655="","",IFERROR(INDEX(사건마스터!$AP$5:$AP$64,MATCH($F655,사건마스터!$A$5:$A$64,0)),""))</f>
        <v/>
      </c>
      <c r="S655" s="35">
        <f>IF($F655="","",IFERROR(INDEX(사건마스터!$AQ$5:$AQ$64,MATCH($F655,사건마스터!$A$5:$A$64,0)),""))</f>
        <v/>
      </c>
      <c r="T655" s="35">
        <f>IF($F655="","",IFERROR(INDEX(사건마스터!$AR$5:$AR$64,MATCH($F655,사건마스터!$A$5:$A$64,0)),""))</f>
        <v/>
      </c>
      <c r="U655" s="35">
        <f>IF($F655="","",IFERROR(INDEX(사건마스터!$AS$5:$AS$64,MATCH($F655,사건마스터!$A$5:$A$64,0)),""))</f>
        <v/>
      </c>
      <c r="V655" s="35">
        <f>IF($F655="","",IFERROR(INDEX(사건마스터!$AT$5:$AT$64,MATCH($F655,사건마스터!$A$5:$A$64,0)),""))</f>
        <v/>
      </c>
      <c r="W655" s="35">
        <f>IF($F655="","",IFERROR(INDEX(사건마스터!$AU$5:$AU$64,MATCH($F655,사건마스터!$A$5:$A$64,0)),""))</f>
        <v/>
      </c>
      <c r="X655" s="35">
        <f>IF($F655="","",IFERROR(INDEX(사건마스터!$AV$5:$AV$64,MATCH($F655,사건마스터!$A$5:$A$64,0)),""))</f>
        <v/>
      </c>
      <c r="Y655" s="30">
        <f>IF($I655="","",COUNTIF($I655:$X655,"?*"))</f>
        <v/>
      </c>
      <c r="Z655" s="33">
        <f>IF($I655="","",_xlfn.TEXTJOIN(", ",TRUE,$I655:$X655))</f>
        <v/>
      </c>
      <c r="AA655" s="34">
        <f>IF($I655="","",IFERROR(INDEX(코드설정!$D$5:$D$24,MATCH($I655,코드설정!$C$5:$C$24,0)),""))</f>
        <v/>
      </c>
      <c r="AB655" s="36" t="n"/>
      <c r="AC655" s="37" t="n"/>
      <c r="AD655" s="38" t="n"/>
      <c r="AE655" s="30">
        <f>IF(OR($B655="",$C655=""),"",$C655-$B655+1)</f>
        <v/>
      </c>
      <c r="AF655" s="32" t="n"/>
      <c r="AG655" s="36" t="n"/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3">
        <f>IF($F656="","",IFERROR(INDEX(사건마스터!$B$5:$B$64,MATCH($F656,사건마스터!$A$5:$A$64,0)),""))</f>
        <v/>
      </c>
      <c r="H656" s="34">
        <f>IF($F656="","",IFERROR(INDEX(사건마스터!$C$5:$C$64,MATCH($F656,사건마스터!$A$5:$A$64,0)),""))</f>
        <v/>
      </c>
      <c r="I656" s="35">
        <f>IF($F656="","",IFERROR(INDEX(사건마스터!$H$5:$H$64,MATCH($F656,사건마스터!$A$5:$A$64,0)),""))</f>
        <v/>
      </c>
      <c r="J656" s="35">
        <f>IF($F656="","",IFERROR(INDEX(사건마스터!$AH$5:$AH$64,MATCH($F656,사건마스터!$A$5:$A$64,0)),""))</f>
        <v/>
      </c>
      <c r="K656" s="35">
        <f>IF($F656="","",IFERROR(INDEX(사건마스터!$AI$5:$AI$64,MATCH($F656,사건마스터!$A$5:$A$64,0)),""))</f>
        <v/>
      </c>
      <c r="L656" s="35">
        <f>IF($F656="","",IFERROR(INDEX(사건마스터!$AJ$5:$AJ$64,MATCH($F656,사건마스터!$A$5:$A$64,0)),""))</f>
        <v/>
      </c>
      <c r="M656" s="35">
        <f>IF($F656="","",IFERROR(INDEX(사건마스터!$AK$5:$AK$64,MATCH($F656,사건마스터!$A$5:$A$64,0)),""))</f>
        <v/>
      </c>
      <c r="N656" s="35">
        <f>IF($F656="","",IFERROR(INDEX(사건마스터!$AL$5:$AL$64,MATCH($F656,사건마스터!$A$5:$A$64,0)),""))</f>
        <v/>
      </c>
      <c r="O656" s="35">
        <f>IF($F656="","",IFERROR(INDEX(사건마스터!$AM$5:$AM$64,MATCH($F656,사건마스터!$A$5:$A$64,0)),""))</f>
        <v/>
      </c>
      <c r="P656" s="35">
        <f>IF($F656="","",IFERROR(INDEX(사건마스터!$AN$5:$AN$64,MATCH($F656,사건마스터!$A$5:$A$64,0)),""))</f>
        <v/>
      </c>
      <c r="Q656" s="35">
        <f>IF($F656="","",IFERROR(INDEX(사건마스터!$AO$5:$AO$64,MATCH($F656,사건마스터!$A$5:$A$64,0)),""))</f>
        <v/>
      </c>
      <c r="R656" s="35">
        <f>IF($F656="","",IFERROR(INDEX(사건마스터!$AP$5:$AP$64,MATCH($F656,사건마스터!$A$5:$A$64,0)),""))</f>
        <v/>
      </c>
      <c r="S656" s="35">
        <f>IF($F656="","",IFERROR(INDEX(사건마스터!$AQ$5:$AQ$64,MATCH($F656,사건마스터!$A$5:$A$64,0)),""))</f>
        <v/>
      </c>
      <c r="T656" s="35">
        <f>IF($F656="","",IFERROR(INDEX(사건마스터!$AR$5:$AR$64,MATCH($F656,사건마스터!$A$5:$A$64,0)),""))</f>
        <v/>
      </c>
      <c r="U656" s="35">
        <f>IF($F656="","",IFERROR(INDEX(사건마스터!$AS$5:$AS$64,MATCH($F656,사건마스터!$A$5:$A$64,0)),""))</f>
        <v/>
      </c>
      <c r="V656" s="35">
        <f>IF($F656="","",IFERROR(INDEX(사건마스터!$AT$5:$AT$64,MATCH($F656,사건마스터!$A$5:$A$64,0)),""))</f>
        <v/>
      </c>
      <c r="W656" s="35">
        <f>IF($F656="","",IFERROR(INDEX(사건마스터!$AU$5:$AU$64,MATCH($F656,사건마스터!$A$5:$A$64,0)),""))</f>
        <v/>
      </c>
      <c r="X656" s="35">
        <f>IF($F656="","",IFERROR(INDEX(사건마스터!$AV$5:$AV$64,MATCH($F656,사건마스터!$A$5:$A$64,0)),""))</f>
        <v/>
      </c>
      <c r="Y656" s="30">
        <f>IF($I656="","",COUNTIF($I656:$X656,"?*"))</f>
        <v/>
      </c>
      <c r="Z656" s="33">
        <f>IF($I656="","",_xlfn.TEXTJOIN(", ",TRUE,$I656:$X656))</f>
        <v/>
      </c>
      <c r="AA656" s="34">
        <f>IF($I656="","",IFERROR(INDEX(코드설정!$D$5:$D$24,MATCH($I656,코드설정!$C$5:$C$24,0)),""))</f>
        <v/>
      </c>
      <c r="AB656" s="36" t="n"/>
      <c r="AC656" s="37" t="n"/>
      <c r="AD656" s="38" t="n"/>
      <c r="AE656" s="30">
        <f>IF(OR($B656="",$C656=""),"",$C656-$B656+1)</f>
        <v/>
      </c>
      <c r="AF656" s="32" t="n"/>
      <c r="AG656" s="36" t="n"/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3">
        <f>IF($F657="","",IFERROR(INDEX(사건마스터!$B$5:$B$64,MATCH($F657,사건마스터!$A$5:$A$64,0)),""))</f>
        <v/>
      </c>
      <c r="H657" s="34">
        <f>IF($F657="","",IFERROR(INDEX(사건마스터!$C$5:$C$64,MATCH($F657,사건마스터!$A$5:$A$64,0)),""))</f>
        <v/>
      </c>
      <c r="I657" s="35">
        <f>IF($F657="","",IFERROR(INDEX(사건마스터!$H$5:$H$64,MATCH($F657,사건마스터!$A$5:$A$64,0)),""))</f>
        <v/>
      </c>
      <c r="J657" s="35">
        <f>IF($F657="","",IFERROR(INDEX(사건마스터!$AH$5:$AH$64,MATCH($F657,사건마스터!$A$5:$A$64,0)),""))</f>
        <v/>
      </c>
      <c r="K657" s="35">
        <f>IF($F657="","",IFERROR(INDEX(사건마스터!$AI$5:$AI$64,MATCH($F657,사건마스터!$A$5:$A$64,0)),""))</f>
        <v/>
      </c>
      <c r="L657" s="35">
        <f>IF($F657="","",IFERROR(INDEX(사건마스터!$AJ$5:$AJ$64,MATCH($F657,사건마스터!$A$5:$A$64,0)),""))</f>
        <v/>
      </c>
      <c r="M657" s="35">
        <f>IF($F657="","",IFERROR(INDEX(사건마스터!$AK$5:$AK$64,MATCH($F657,사건마스터!$A$5:$A$64,0)),""))</f>
        <v/>
      </c>
      <c r="N657" s="35">
        <f>IF($F657="","",IFERROR(INDEX(사건마스터!$AL$5:$AL$64,MATCH($F657,사건마스터!$A$5:$A$64,0)),""))</f>
        <v/>
      </c>
      <c r="O657" s="35">
        <f>IF($F657="","",IFERROR(INDEX(사건마스터!$AM$5:$AM$64,MATCH($F657,사건마스터!$A$5:$A$64,0)),""))</f>
        <v/>
      </c>
      <c r="P657" s="35">
        <f>IF($F657="","",IFERROR(INDEX(사건마스터!$AN$5:$AN$64,MATCH($F657,사건마스터!$A$5:$A$64,0)),""))</f>
        <v/>
      </c>
      <c r="Q657" s="35">
        <f>IF($F657="","",IFERROR(INDEX(사건마스터!$AO$5:$AO$64,MATCH($F657,사건마스터!$A$5:$A$64,0)),""))</f>
        <v/>
      </c>
      <c r="R657" s="35">
        <f>IF($F657="","",IFERROR(INDEX(사건마스터!$AP$5:$AP$64,MATCH($F657,사건마스터!$A$5:$A$64,0)),""))</f>
        <v/>
      </c>
      <c r="S657" s="35">
        <f>IF($F657="","",IFERROR(INDEX(사건마스터!$AQ$5:$AQ$64,MATCH($F657,사건마스터!$A$5:$A$64,0)),""))</f>
        <v/>
      </c>
      <c r="T657" s="35">
        <f>IF($F657="","",IFERROR(INDEX(사건마스터!$AR$5:$AR$64,MATCH($F657,사건마스터!$A$5:$A$64,0)),""))</f>
        <v/>
      </c>
      <c r="U657" s="35">
        <f>IF($F657="","",IFERROR(INDEX(사건마스터!$AS$5:$AS$64,MATCH($F657,사건마스터!$A$5:$A$64,0)),""))</f>
        <v/>
      </c>
      <c r="V657" s="35">
        <f>IF($F657="","",IFERROR(INDEX(사건마스터!$AT$5:$AT$64,MATCH($F657,사건마스터!$A$5:$A$64,0)),""))</f>
        <v/>
      </c>
      <c r="W657" s="35">
        <f>IF($F657="","",IFERROR(INDEX(사건마스터!$AU$5:$AU$64,MATCH($F657,사건마스터!$A$5:$A$64,0)),""))</f>
        <v/>
      </c>
      <c r="X657" s="35">
        <f>IF($F657="","",IFERROR(INDEX(사건마스터!$AV$5:$AV$64,MATCH($F657,사건마스터!$A$5:$A$64,0)),""))</f>
        <v/>
      </c>
      <c r="Y657" s="30">
        <f>IF($I657="","",COUNTIF($I657:$X657,"?*"))</f>
        <v/>
      </c>
      <c r="Z657" s="33">
        <f>IF($I657="","",_xlfn.TEXTJOIN(", ",TRUE,$I657:$X657))</f>
        <v/>
      </c>
      <c r="AA657" s="34">
        <f>IF($I657="","",IFERROR(INDEX(코드설정!$D$5:$D$24,MATCH($I657,코드설정!$C$5:$C$24,0)),""))</f>
        <v/>
      </c>
      <c r="AB657" s="36" t="n"/>
      <c r="AC657" s="37" t="n"/>
      <c r="AD657" s="38" t="n"/>
      <c r="AE657" s="30">
        <f>IF(OR($B657="",$C657=""),"",$C657-$B657+1)</f>
        <v/>
      </c>
      <c r="AF657" s="32" t="n"/>
      <c r="AG657" s="36" t="n"/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3">
        <f>IF($F658="","",IFERROR(INDEX(사건마스터!$B$5:$B$64,MATCH($F658,사건마스터!$A$5:$A$64,0)),""))</f>
        <v/>
      </c>
      <c r="H658" s="34">
        <f>IF($F658="","",IFERROR(INDEX(사건마스터!$C$5:$C$64,MATCH($F658,사건마스터!$A$5:$A$64,0)),""))</f>
        <v/>
      </c>
      <c r="I658" s="35">
        <f>IF($F658="","",IFERROR(INDEX(사건마스터!$H$5:$H$64,MATCH($F658,사건마스터!$A$5:$A$64,0)),""))</f>
        <v/>
      </c>
      <c r="J658" s="35">
        <f>IF($F658="","",IFERROR(INDEX(사건마스터!$AH$5:$AH$64,MATCH($F658,사건마스터!$A$5:$A$64,0)),""))</f>
        <v/>
      </c>
      <c r="K658" s="35">
        <f>IF($F658="","",IFERROR(INDEX(사건마스터!$AI$5:$AI$64,MATCH($F658,사건마스터!$A$5:$A$64,0)),""))</f>
        <v/>
      </c>
      <c r="L658" s="35">
        <f>IF($F658="","",IFERROR(INDEX(사건마스터!$AJ$5:$AJ$64,MATCH($F658,사건마스터!$A$5:$A$64,0)),""))</f>
        <v/>
      </c>
      <c r="M658" s="35">
        <f>IF($F658="","",IFERROR(INDEX(사건마스터!$AK$5:$AK$64,MATCH($F658,사건마스터!$A$5:$A$64,0)),""))</f>
        <v/>
      </c>
      <c r="N658" s="35">
        <f>IF($F658="","",IFERROR(INDEX(사건마스터!$AL$5:$AL$64,MATCH($F658,사건마스터!$A$5:$A$64,0)),""))</f>
        <v/>
      </c>
      <c r="O658" s="35">
        <f>IF($F658="","",IFERROR(INDEX(사건마스터!$AM$5:$AM$64,MATCH($F658,사건마스터!$A$5:$A$64,0)),""))</f>
        <v/>
      </c>
      <c r="P658" s="35">
        <f>IF($F658="","",IFERROR(INDEX(사건마스터!$AN$5:$AN$64,MATCH($F658,사건마스터!$A$5:$A$64,0)),""))</f>
        <v/>
      </c>
      <c r="Q658" s="35">
        <f>IF($F658="","",IFERROR(INDEX(사건마스터!$AO$5:$AO$64,MATCH($F658,사건마스터!$A$5:$A$64,0)),""))</f>
        <v/>
      </c>
      <c r="R658" s="35">
        <f>IF($F658="","",IFERROR(INDEX(사건마스터!$AP$5:$AP$64,MATCH($F658,사건마스터!$A$5:$A$64,0)),""))</f>
        <v/>
      </c>
      <c r="S658" s="35">
        <f>IF($F658="","",IFERROR(INDEX(사건마스터!$AQ$5:$AQ$64,MATCH($F658,사건마스터!$A$5:$A$64,0)),""))</f>
        <v/>
      </c>
      <c r="T658" s="35">
        <f>IF($F658="","",IFERROR(INDEX(사건마스터!$AR$5:$AR$64,MATCH($F658,사건마스터!$A$5:$A$64,0)),""))</f>
        <v/>
      </c>
      <c r="U658" s="35">
        <f>IF($F658="","",IFERROR(INDEX(사건마스터!$AS$5:$AS$64,MATCH($F658,사건마스터!$A$5:$A$64,0)),""))</f>
        <v/>
      </c>
      <c r="V658" s="35">
        <f>IF($F658="","",IFERROR(INDEX(사건마스터!$AT$5:$AT$64,MATCH($F658,사건마스터!$A$5:$A$64,0)),""))</f>
        <v/>
      </c>
      <c r="W658" s="35">
        <f>IF($F658="","",IFERROR(INDEX(사건마스터!$AU$5:$AU$64,MATCH($F658,사건마스터!$A$5:$A$64,0)),""))</f>
        <v/>
      </c>
      <c r="X658" s="35">
        <f>IF($F658="","",IFERROR(INDEX(사건마스터!$AV$5:$AV$64,MATCH($F658,사건마스터!$A$5:$A$64,0)),""))</f>
        <v/>
      </c>
      <c r="Y658" s="30">
        <f>IF($I658="","",COUNTIF($I658:$X658,"?*"))</f>
        <v/>
      </c>
      <c r="Z658" s="33">
        <f>IF($I658="","",_xlfn.TEXTJOIN(", ",TRUE,$I658:$X658))</f>
        <v/>
      </c>
      <c r="AA658" s="34">
        <f>IF($I658="","",IFERROR(INDEX(코드설정!$D$5:$D$24,MATCH($I658,코드설정!$C$5:$C$24,0)),""))</f>
        <v/>
      </c>
      <c r="AB658" s="36" t="n"/>
      <c r="AC658" s="37" t="n"/>
      <c r="AD658" s="38" t="n"/>
      <c r="AE658" s="30">
        <f>IF(OR($B658="",$C658=""),"",$C658-$B658+1)</f>
        <v/>
      </c>
      <c r="AF658" s="32" t="n"/>
      <c r="AG658" s="36" t="n"/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3">
        <f>IF($F659="","",IFERROR(INDEX(사건마스터!$B$5:$B$64,MATCH($F659,사건마스터!$A$5:$A$64,0)),""))</f>
        <v/>
      </c>
      <c r="H659" s="34">
        <f>IF($F659="","",IFERROR(INDEX(사건마스터!$C$5:$C$64,MATCH($F659,사건마스터!$A$5:$A$64,0)),""))</f>
        <v/>
      </c>
      <c r="I659" s="35">
        <f>IF($F659="","",IFERROR(INDEX(사건마스터!$H$5:$H$64,MATCH($F659,사건마스터!$A$5:$A$64,0)),""))</f>
        <v/>
      </c>
      <c r="J659" s="35">
        <f>IF($F659="","",IFERROR(INDEX(사건마스터!$AH$5:$AH$64,MATCH($F659,사건마스터!$A$5:$A$64,0)),""))</f>
        <v/>
      </c>
      <c r="K659" s="35">
        <f>IF($F659="","",IFERROR(INDEX(사건마스터!$AI$5:$AI$64,MATCH($F659,사건마스터!$A$5:$A$64,0)),""))</f>
        <v/>
      </c>
      <c r="L659" s="35">
        <f>IF($F659="","",IFERROR(INDEX(사건마스터!$AJ$5:$AJ$64,MATCH($F659,사건마스터!$A$5:$A$64,0)),""))</f>
        <v/>
      </c>
      <c r="M659" s="35">
        <f>IF($F659="","",IFERROR(INDEX(사건마스터!$AK$5:$AK$64,MATCH($F659,사건마스터!$A$5:$A$64,0)),""))</f>
        <v/>
      </c>
      <c r="N659" s="35">
        <f>IF($F659="","",IFERROR(INDEX(사건마스터!$AL$5:$AL$64,MATCH($F659,사건마스터!$A$5:$A$64,0)),""))</f>
        <v/>
      </c>
      <c r="O659" s="35">
        <f>IF($F659="","",IFERROR(INDEX(사건마스터!$AM$5:$AM$64,MATCH($F659,사건마스터!$A$5:$A$64,0)),""))</f>
        <v/>
      </c>
      <c r="P659" s="35">
        <f>IF($F659="","",IFERROR(INDEX(사건마스터!$AN$5:$AN$64,MATCH($F659,사건마스터!$A$5:$A$64,0)),""))</f>
        <v/>
      </c>
      <c r="Q659" s="35">
        <f>IF($F659="","",IFERROR(INDEX(사건마스터!$AO$5:$AO$64,MATCH($F659,사건마스터!$A$5:$A$64,0)),""))</f>
        <v/>
      </c>
      <c r="R659" s="35">
        <f>IF($F659="","",IFERROR(INDEX(사건마스터!$AP$5:$AP$64,MATCH($F659,사건마스터!$A$5:$A$64,0)),""))</f>
        <v/>
      </c>
      <c r="S659" s="35">
        <f>IF($F659="","",IFERROR(INDEX(사건마스터!$AQ$5:$AQ$64,MATCH($F659,사건마스터!$A$5:$A$64,0)),""))</f>
        <v/>
      </c>
      <c r="T659" s="35">
        <f>IF($F659="","",IFERROR(INDEX(사건마스터!$AR$5:$AR$64,MATCH($F659,사건마스터!$A$5:$A$64,0)),""))</f>
        <v/>
      </c>
      <c r="U659" s="35">
        <f>IF($F659="","",IFERROR(INDEX(사건마스터!$AS$5:$AS$64,MATCH($F659,사건마스터!$A$5:$A$64,0)),""))</f>
        <v/>
      </c>
      <c r="V659" s="35">
        <f>IF($F659="","",IFERROR(INDEX(사건마스터!$AT$5:$AT$64,MATCH($F659,사건마스터!$A$5:$A$64,0)),""))</f>
        <v/>
      </c>
      <c r="W659" s="35">
        <f>IF($F659="","",IFERROR(INDEX(사건마스터!$AU$5:$AU$64,MATCH($F659,사건마스터!$A$5:$A$64,0)),""))</f>
        <v/>
      </c>
      <c r="X659" s="35">
        <f>IF($F659="","",IFERROR(INDEX(사건마스터!$AV$5:$AV$64,MATCH($F659,사건마스터!$A$5:$A$64,0)),""))</f>
        <v/>
      </c>
      <c r="Y659" s="30">
        <f>IF($I659="","",COUNTIF($I659:$X659,"?*"))</f>
        <v/>
      </c>
      <c r="Z659" s="33">
        <f>IF($I659="","",_xlfn.TEXTJOIN(", ",TRUE,$I659:$X659))</f>
        <v/>
      </c>
      <c r="AA659" s="34">
        <f>IF($I659="","",IFERROR(INDEX(코드설정!$D$5:$D$24,MATCH($I659,코드설정!$C$5:$C$24,0)),""))</f>
        <v/>
      </c>
      <c r="AB659" s="36" t="n"/>
      <c r="AC659" s="37" t="n"/>
      <c r="AD659" s="38" t="n"/>
      <c r="AE659" s="30">
        <f>IF(OR($B659="",$C659=""),"",$C659-$B659+1)</f>
        <v/>
      </c>
      <c r="AF659" s="32" t="n"/>
      <c r="AG659" s="36" t="n"/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3">
        <f>IF($F660="","",IFERROR(INDEX(사건마스터!$B$5:$B$64,MATCH($F660,사건마스터!$A$5:$A$64,0)),""))</f>
        <v/>
      </c>
      <c r="H660" s="34">
        <f>IF($F660="","",IFERROR(INDEX(사건마스터!$C$5:$C$64,MATCH($F660,사건마스터!$A$5:$A$64,0)),""))</f>
        <v/>
      </c>
      <c r="I660" s="35">
        <f>IF($F660="","",IFERROR(INDEX(사건마스터!$H$5:$H$64,MATCH($F660,사건마스터!$A$5:$A$64,0)),""))</f>
        <v/>
      </c>
      <c r="J660" s="35">
        <f>IF($F660="","",IFERROR(INDEX(사건마스터!$AH$5:$AH$64,MATCH($F660,사건마스터!$A$5:$A$64,0)),""))</f>
        <v/>
      </c>
      <c r="K660" s="35">
        <f>IF($F660="","",IFERROR(INDEX(사건마스터!$AI$5:$AI$64,MATCH($F660,사건마스터!$A$5:$A$64,0)),""))</f>
        <v/>
      </c>
      <c r="L660" s="35">
        <f>IF($F660="","",IFERROR(INDEX(사건마스터!$AJ$5:$AJ$64,MATCH($F660,사건마스터!$A$5:$A$64,0)),""))</f>
        <v/>
      </c>
      <c r="M660" s="35">
        <f>IF($F660="","",IFERROR(INDEX(사건마스터!$AK$5:$AK$64,MATCH($F660,사건마스터!$A$5:$A$64,0)),""))</f>
        <v/>
      </c>
      <c r="N660" s="35">
        <f>IF($F660="","",IFERROR(INDEX(사건마스터!$AL$5:$AL$64,MATCH($F660,사건마스터!$A$5:$A$64,0)),""))</f>
        <v/>
      </c>
      <c r="O660" s="35">
        <f>IF($F660="","",IFERROR(INDEX(사건마스터!$AM$5:$AM$64,MATCH($F660,사건마스터!$A$5:$A$64,0)),""))</f>
        <v/>
      </c>
      <c r="P660" s="35">
        <f>IF($F660="","",IFERROR(INDEX(사건마스터!$AN$5:$AN$64,MATCH($F660,사건마스터!$A$5:$A$64,0)),""))</f>
        <v/>
      </c>
      <c r="Q660" s="35">
        <f>IF($F660="","",IFERROR(INDEX(사건마스터!$AO$5:$AO$64,MATCH($F660,사건마스터!$A$5:$A$64,0)),""))</f>
        <v/>
      </c>
      <c r="R660" s="35">
        <f>IF($F660="","",IFERROR(INDEX(사건마스터!$AP$5:$AP$64,MATCH($F660,사건마스터!$A$5:$A$64,0)),""))</f>
        <v/>
      </c>
      <c r="S660" s="35">
        <f>IF($F660="","",IFERROR(INDEX(사건마스터!$AQ$5:$AQ$64,MATCH($F660,사건마스터!$A$5:$A$64,0)),""))</f>
        <v/>
      </c>
      <c r="T660" s="35">
        <f>IF($F660="","",IFERROR(INDEX(사건마스터!$AR$5:$AR$64,MATCH($F660,사건마스터!$A$5:$A$64,0)),""))</f>
        <v/>
      </c>
      <c r="U660" s="35">
        <f>IF($F660="","",IFERROR(INDEX(사건마스터!$AS$5:$AS$64,MATCH($F660,사건마스터!$A$5:$A$64,0)),""))</f>
        <v/>
      </c>
      <c r="V660" s="35">
        <f>IF($F660="","",IFERROR(INDEX(사건마스터!$AT$5:$AT$64,MATCH($F660,사건마스터!$A$5:$A$64,0)),""))</f>
        <v/>
      </c>
      <c r="W660" s="35">
        <f>IF($F660="","",IFERROR(INDEX(사건마스터!$AU$5:$AU$64,MATCH($F660,사건마스터!$A$5:$A$64,0)),""))</f>
        <v/>
      </c>
      <c r="X660" s="35">
        <f>IF($F660="","",IFERROR(INDEX(사건마스터!$AV$5:$AV$64,MATCH($F660,사건마스터!$A$5:$A$64,0)),""))</f>
        <v/>
      </c>
      <c r="Y660" s="30">
        <f>IF($I660="","",COUNTIF($I660:$X660,"?*"))</f>
        <v/>
      </c>
      <c r="Z660" s="33">
        <f>IF($I660="","",_xlfn.TEXTJOIN(", ",TRUE,$I660:$X660))</f>
        <v/>
      </c>
      <c r="AA660" s="34">
        <f>IF($I660="","",IFERROR(INDEX(코드설정!$D$5:$D$24,MATCH($I660,코드설정!$C$5:$C$24,0)),""))</f>
        <v/>
      </c>
      <c r="AB660" s="36" t="n"/>
      <c r="AC660" s="37" t="n"/>
      <c r="AD660" s="38" t="n"/>
      <c r="AE660" s="30">
        <f>IF(OR($B660="",$C660=""),"",$C660-$B660+1)</f>
        <v/>
      </c>
      <c r="AF660" s="32" t="n"/>
      <c r="AG660" s="36" t="n"/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3">
        <f>IF($F661="","",IFERROR(INDEX(사건마스터!$B$5:$B$64,MATCH($F661,사건마스터!$A$5:$A$64,0)),""))</f>
        <v/>
      </c>
      <c r="H661" s="34">
        <f>IF($F661="","",IFERROR(INDEX(사건마스터!$C$5:$C$64,MATCH($F661,사건마스터!$A$5:$A$64,0)),""))</f>
        <v/>
      </c>
      <c r="I661" s="35">
        <f>IF($F661="","",IFERROR(INDEX(사건마스터!$H$5:$H$64,MATCH($F661,사건마스터!$A$5:$A$64,0)),""))</f>
        <v/>
      </c>
      <c r="J661" s="35">
        <f>IF($F661="","",IFERROR(INDEX(사건마스터!$AH$5:$AH$64,MATCH($F661,사건마스터!$A$5:$A$64,0)),""))</f>
        <v/>
      </c>
      <c r="K661" s="35">
        <f>IF($F661="","",IFERROR(INDEX(사건마스터!$AI$5:$AI$64,MATCH($F661,사건마스터!$A$5:$A$64,0)),""))</f>
        <v/>
      </c>
      <c r="L661" s="35">
        <f>IF($F661="","",IFERROR(INDEX(사건마스터!$AJ$5:$AJ$64,MATCH($F661,사건마스터!$A$5:$A$64,0)),""))</f>
        <v/>
      </c>
      <c r="M661" s="35">
        <f>IF($F661="","",IFERROR(INDEX(사건마스터!$AK$5:$AK$64,MATCH($F661,사건마스터!$A$5:$A$64,0)),""))</f>
        <v/>
      </c>
      <c r="N661" s="35">
        <f>IF($F661="","",IFERROR(INDEX(사건마스터!$AL$5:$AL$64,MATCH($F661,사건마스터!$A$5:$A$64,0)),""))</f>
        <v/>
      </c>
      <c r="O661" s="35">
        <f>IF($F661="","",IFERROR(INDEX(사건마스터!$AM$5:$AM$64,MATCH($F661,사건마스터!$A$5:$A$64,0)),""))</f>
        <v/>
      </c>
      <c r="P661" s="35">
        <f>IF($F661="","",IFERROR(INDEX(사건마스터!$AN$5:$AN$64,MATCH($F661,사건마스터!$A$5:$A$64,0)),""))</f>
        <v/>
      </c>
      <c r="Q661" s="35">
        <f>IF($F661="","",IFERROR(INDEX(사건마스터!$AO$5:$AO$64,MATCH($F661,사건마스터!$A$5:$A$64,0)),""))</f>
        <v/>
      </c>
      <c r="R661" s="35">
        <f>IF($F661="","",IFERROR(INDEX(사건마스터!$AP$5:$AP$64,MATCH($F661,사건마스터!$A$5:$A$64,0)),""))</f>
        <v/>
      </c>
      <c r="S661" s="35">
        <f>IF($F661="","",IFERROR(INDEX(사건마스터!$AQ$5:$AQ$64,MATCH($F661,사건마스터!$A$5:$A$64,0)),""))</f>
        <v/>
      </c>
      <c r="T661" s="35">
        <f>IF($F661="","",IFERROR(INDEX(사건마스터!$AR$5:$AR$64,MATCH($F661,사건마스터!$A$5:$A$64,0)),""))</f>
        <v/>
      </c>
      <c r="U661" s="35">
        <f>IF($F661="","",IFERROR(INDEX(사건마스터!$AS$5:$AS$64,MATCH($F661,사건마스터!$A$5:$A$64,0)),""))</f>
        <v/>
      </c>
      <c r="V661" s="35">
        <f>IF($F661="","",IFERROR(INDEX(사건마스터!$AT$5:$AT$64,MATCH($F661,사건마스터!$A$5:$A$64,0)),""))</f>
        <v/>
      </c>
      <c r="W661" s="35">
        <f>IF($F661="","",IFERROR(INDEX(사건마스터!$AU$5:$AU$64,MATCH($F661,사건마스터!$A$5:$A$64,0)),""))</f>
        <v/>
      </c>
      <c r="X661" s="35">
        <f>IF($F661="","",IFERROR(INDEX(사건마스터!$AV$5:$AV$64,MATCH($F661,사건마스터!$A$5:$A$64,0)),""))</f>
        <v/>
      </c>
      <c r="Y661" s="30">
        <f>IF($I661="","",COUNTIF($I661:$X661,"?*"))</f>
        <v/>
      </c>
      <c r="Z661" s="33">
        <f>IF($I661="","",_xlfn.TEXTJOIN(", ",TRUE,$I661:$X661))</f>
        <v/>
      </c>
      <c r="AA661" s="34">
        <f>IF($I661="","",IFERROR(INDEX(코드설정!$D$5:$D$24,MATCH($I661,코드설정!$C$5:$C$24,0)),""))</f>
        <v/>
      </c>
      <c r="AB661" s="36" t="n"/>
      <c r="AC661" s="37" t="n"/>
      <c r="AD661" s="38" t="n"/>
      <c r="AE661" s="30">
        <f>IF(OR($B661="",$C661=""),"",$C661-$B661+1)</f>
        <v/>
      </c>
      <c r="AF661" s="32" t="n"/>
      <c r="AG661" s="36" t="n"/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3">
        <f>IF($F662="","",IFERROR(INDEX(사건마스터!$B$5:$B$64,MATCH($F662,사건마스터!$A$5:$A$64,0)),""))</f>
        <v/>
      </c>
      <c r="H662" s="34">
        <f>IF($F662="","",IFERROR(INDEX(사건마스터!$C$5:$C$64,MATCH($F662,사건마스터!$A$5:$A$64,0)),""))</f>
        <v/>
      </c>
      <c r="I662" s="35">
        <f>IF($F662="","",IFERROR(INDEX(사건마스터!$H$5:$H$64,MATCH($F662,사건마스터!$A$5:$A$64,0)),""))</f>
        <v/>
      </c>
      <c r="J662" s="35">
        <f>IF($F662="","",IFERROR(INDEX(사건마스터!$AH$5:$AH$64,MATCH($F662,사건마스터!$A$5:$A$64,0)),""))</f>
        <v/>
      </c>
      <c r="K662" s="35">
        <f>IF($F662="","",IFERROR(INDEX(사건마스터!$AI$5:$AI$64,MATCH($F662,사건마스터!$A$5:$A$64,0)),""))</f>
        <v/>
      </c>
      <c r="L662" s="35">
        <f>IF($F662="","",IFERROR(INDEX(사건마스터!$AJ$5:$AJ$64,MATCH($F662,사건마스터!$A$5:$A$64,0)),""))</f>
        <v/>
      </c>
      <c r="M662" s="35">
        <f>IF($F662="","",IFERROR(INDEX(사건마스터!$AK$5:$AK$64,MATCH($F662,사건마스터!$A$5:$A$64,0)),""))</f>
        <v/>
      </c>
      <c r="N662" s="35">
        <f>IF($F662="","",IFERROR(INDEX(사건마스터!$AL$5:$AL$64,MATCH($F662,사건마스터!$A$5:$A$64,0)),""))</f>
        <v/>
      </c>
      <c r="O662" s="35">
        <f>IF($F662="","",IFERROR(INDEX(사건마스터!$AM$5:$AM$64,MATCH($F662,사건마스터!$A$5:$A$64,0)),""))</f>
        <v/>
      </c>
      <c r="P662" s="35">
        <f>IF($F662="","",IFERROR(INDEX(사건마스터!$AN$5:$AN$64,MATCH($F662,사건마스터!$A$5:$A$64,0)),""))</f>
        <v/>
      </c>
      <c r="Q662" s="35">
        <f>IF($F662="","",IFERROR(INDEX(사건마스터!$AO$5:$AO$64,MATCH($F662,사건마스터!$A$5:$A$64,0)),""))</f>
        <v/>
      </c>
      <c r="R662" s="35">
        <f>IF($F662="","",IFERROR(INDEX(사건마스터!$AP$5:$AP$64,MATCH($F662,사건마스터!$A$5:$A$64,0)),""))</f>
        <v/>
      </c>
      <c r="S662" s="35">
        <f>IF($F662="","",IFERROR(INDEX(사건마스터!$AQ$5:$AQ$64,MATCH($F662,사건마스터!$A$5:$A$64,0)),""))</f>
        <v/>
      </c>
      <c r="T662" s="35">
        <f>IF($F662="","",IFERROR(INDEX(사건마스터!$AR$5:$AR$64,MATCH($F662,사건마스터!$A$5:$A$64,0)),""))</f>
        <v/>
      </c>
      <c r="U662" s="35">
        <f>IF($F662="","",IFERROR(INDEX(사건마스터!$AS$5:$AS$64,MATCH($F662,사건마스터!$A$5:$A$64,0)),""))</f>
        <v/>
      </c>
      <c r="V662" s="35">
        <f>IF($F662="","",IFERROR(INDEX(사건마스터!$AT$5:$AT$64,MATCH($F662,사건마스터!$A$5:$A$64,0)),""))</f>
        <v/>
      </c>
      <c r="W662" s="35">
        <f>IF($F662="","",IFERROR(INDEX(사건마스터!$AU$5:$AU$64,MATCH($F662,사건마스터!$A$5:$A$64,0)),""))</f>
        <v/>
      </c>
      <c r="X662" s="35">
        <f>IF($F662="","",IFERROR(INDEX(사건마스터!$AV$5:$AV$64,MATCH($F662,사건마스터!$A$5:$A$64,0)),""))</f>
        <v/>
      </c>
      <c r="Y662" s="30">
        <f>IF($I662="","",COUNTIF($I662:$X662,"?*"))</f>
        <v/>
      </c>
      <c r="Z662" s="33">
        <f>IF($I662="","",_xlfn.TEXTJOIN(", ",TRUE,$I662:$X662))</f>
        <v/>
      </c>
      <c r="AA662" s="34">
        <f>IF($I662="","",IFERROR(INDEX(코드설정!$D$5:$D$24,MATCH($I662,코드설정!$C$5:$C$24,0)),""))</f>
        <v/>
      </c>
      <c r="AB662" s="36" t="n"/>
      <c r="AC662" s="37" t="n"/>
      <c r="AD662" s="38" t="n"/>
      <c r="AE662" s="30">
        <f>IF(OR($B662="",$C662=""),"",$C662-$B662+1)</f>
        <v/>
      </c>
      <c r="AF662" s="32" t="n"/>
      <c r="AG662" s="36" t="n"/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3">
        <f>IF($F663="","",IFERROR(INDEX(사건마스터!$B$5:$B$64,MATCH($F663,사건마스터!$A$5:$A$64,0)),""))</f>
        <v/>
      </c>
      <c r="H663" s="34">
        <f>IF($F663="","",IFERROR(INDEX(사건마스터!$C$5:$C$64,MATCH($F663,사건마스터!$A$5:$A$64,0)),""))</f>
        <v/>
      </c>
      <c r="I663" s="35">
        <f>IF($F663="","",IFERROR(INDEX(사건마스터!$H$5:$H$64,MATCH($F663,사건마스터!$A$5:$A$64,0)),""))</f>
        <v/>
      </c>
      <c r="J663" s="35">
        <f>IF($F663="","",IFERROR(INDEX(사건마스터!$AH$5:$AH$64,MATCH($F663,사건마스터!$A$5:$A$64,0)),""))</f>
        <v/>
      </c>
      <c r="K663" s="35">
        <f>IF($F663="","",IFERROR(INDEX(사건마스터!$AI$5:$AI$64,MATCH($F663,사건마스터!$A$5:$A$64,0)),""))</f>
        <v/>
      </c>
      <c r="L663" s="35">
        <f>IF($F663="","",IFERROR(INDEX(사건마스터!$AJ$5:$AJ$64,MATCH($F663,사건마스터!$A$5:$A$64,0)),""))</f>
        <v/>
      </c>
      <c r="M663" s="35">
        <f>IF($F663="","",IFERROR(INDEX(사건마스터!$AK$5:$AK$64,MATCH($F663,사건마스터!$A$5:$A$64,0)),""))</f>
        <v/>
      </c>
      <c r="N663" s="35">
        <f>IF($F663="","",IFERROR(INDEX(사건마스터!$AL$5:$AL$64,MATCH($F663,사건마스터!$A$5:$A$64,0)),""))</f>
        <v/>
      </c>
      <c r="O663" s="35">
        <f>IF($F663="","",IFERROR(INDEX(사건마스터!$AM$5:$AM$64,MATCH($F663,사건마스터!$A$5:$A$64,0)),""))</f>
        <v/>
      </c>
      <c r="P663" s="35">
        <f>IF($F663="","",IFERROR(INDEX(사건마스터!$AN$5:$AN$64,MATCH($F663,사건마스터!$A$5:$A$64,0)),""))</f>
        <v/>
      </c>
      <c r="Q663" s="35">
        <f>IF($F663="","",IFERROR(INDEX(사건마스터!$AO$5:$AO$64,MATCH($F663,사건마스터!$A$5:$A$64,0)),""))</f>
        <v/>
      </c>
      <c r="R663" s="35">
        <f>IF($F663="","",IFERROR(INDEX(사건마스터!$AP$5:$AP$64,MATCH($F663,사건마스터!$A$5:$A$64,0)),""))</f>
        <v/>
      </c>
      <c r="S663" s="35">
        <f>IF($F663="","",IFERROR(INDEX(사건마스터!$AQ$5:$AQ$64,MATCH($F663,사건마스터!$A$5:$A$64,0)),""))</f>
        <v/>
      </c>
      <c r="T663" s="35">
        <f>IF($F663="","",IFERROR(INDEX(사건마스터!$AR$5:$AR$64,MATCH($F663,사건마스터!$A$5:$A$64,0)),""))</f>
        <v/>
      </c>
      <c r="U663" s="35">
        <f>IF($F663="","",IFERROR(INDEX(사건마스터!$AS$5:$AS$64,MATCH($F663,사건마스터!$A$5:$A$64,0)),""))</f>
        <v/>
      </c>
      <c r="V663" s="35">
        <f>IF($F663="","",IFERROR(INDEX(사건마스터!$AT$5:$AT$64,MATCH($F663,사건마스터!$A$5:$A$64,0)),""))</f>
        <v/>
      </c>
      <c r="W663" s="35">
        <f>IF($F663="","",IFERROR(INDEX(사건마스터!$AU$5:$AU$64,MATCH($F663,사건마스터!$A$5:$A$64,0)),""))</f>
        <v/>
      </c>
      <c r="X663" s="35">
        <f>IF($F663="","",IFERROR(INDEX(사건마스터!$AV$5:$AV$64,MATCH($F663,사건마스터!$A$5:$A$64,0)),""))</f>
        <v/>
      </c>
      <c r="Y663" s="30">
        <f>IF($I663="","",COUNTIF($I663:$X663,"?*"))</f>
        <v/>
      </c>
      <c r="Z663" s="33">
        <f>IF($I663="","",_xlfn.TEXTJOIN(", ",TRUE,$I663:$X663))</f>
        <v/>
      </c>
      <c r="AA663" s="34">
        <f>IF($I663="","",IFERROR(INDEX(코드설정!$D$5:$D$24,MATCH($I663,코드설정!$C$5:$C$24,0)),""))</f>
        <v/>
      </c>
      <c r="AB663" s="36" t="n"/>
      <c r="AC663" s="37" t="n"/>
      <c r="AD663" s="38" t="n"/>
      <c r="AE663" s="30">
        <f>IF(OR($B663="",$C663=""),"",$C663-$B663+1)</f>
        <v/>
      </c>
      <c r="AF663" s="32" t="n"/>
      <c r="AG663" s="36" t="n"/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3">
        <f>IF($F664="","",IFERROR(INDEX(사건마스터!$B$5:$B$64,MATCH($F664,사건마스터!$A$5:$A$64,0)),""))</f>
        <v/>
      </c>
      <c r="H664" s="34">
        <f>IF($F664="","",IFERROR(INDEX(사건마스터!$C$5:$C$64,MATCH($F664,사건마스터!$A$5:$A$64,0)),""))</f>
        <v/>
      </c>
      <c r="I664" s="35">
        <f>IF($F664="","",IFERROR(INDEX(사건마스터!$H$5:$H$64,MATCH($F664,사건마스터!$A$5:$A$64,0)),""))</f>
        <v/>
      </c>
      <c r="J664" s="35">
        <f>IF($F664="","",IFERROR(INDEX(사건마스터!$AH$5:$AH$64,MATCH($F664,사건마스터!$A$5:$A$64,0)),""))</f>
        <v/>
      </c>
      <c r="K664" s="35">
        <f>IF($F664="","",IFERROR(INDEX(사건마스터!$AI$5:$AI$64,MATCH($F664,사건마스터!$A$5:$A$64,0)),""))</f>
        <v/>
      </c>
      <c r="L664" s="35">
        <f>IF($F664="","",IFERROR(INDEX(사건마스터!$AJ$5:$AJ$64,MATCH($F664,사건마스터!$A$5:$A$64,0)),""))</f>
        <v/>
      </c>
      <c r="M664" s="35">
        <f>IF($F664="","",IFERROR(INDEX(사건마스터!$AK$5:$AK$64,MATCH($F664,사건마스터!$A$5:$A$64,0)),""))</f>
        <v/>
      </c>
      <c r="N664" s="35">
        <f>IF($F664="","",IFERROR(INDEX(사건마스터!$AL$5:$AL$64,MATCH($F664,사건마스터!$A$5:$A$64,0)),""))</f>
        <v/>
      </c>
      <c r="O664" s="35">
        <f>IF($F664="","",IFERROR(INDEX(사건마스터!$AM$5:$AM$64,MATCH($F664,사건마스터!$A$5:$A$64,0)),""))</f>
        <v/>
      </c>
      <c r="P664" s="35">
        <f>IF($F664="","",IFERROR(INDEX(사건마스터!$AN$5:$AN$64,MATCH($F664,사건마스터!$A$5:$A$64,0)),""))</f>
        <v/>
      </c>
      <c r="Q664" s="35">
        <f>IF($F664="","",IFERROR(INDEX(사건마스터!$AO$5:$AO$64,MATCH($F664,사건마스터!$A$5:$A$64,0)),""))</f>
        <v/>
      </c>
      <c r="R664" s="35">
        <f>IF($F664="","",IFERROR(INDEX(사건마스터!$AP$5:$AP$64,MATCH($F664,사건마스터!$A$5:$A$64,0)),""))</f>
        <v/>
      </c>
      <c r="S664" s="35">
        <f>IF($F664="","",IFERROR(INDEX(사건마스터!$AQ$5:$AQ$64,MATCH($F664,사건마스터!$A$5:$A$64,0)),""))</f>
        <v/>
      </c>
      <c r="T664" s="35">
        <f>IF($F664="","",IFERROR(INDEX(사건마스터!$AR$5:$AR$64,MATCH($F664,사건마스터!$A$5:$A$64,0)),""))</f>
        <v/>
      </c>
      <c r="U664" s="35">
        <f>IF($F664="","",IFERROR(INDEX(사건마스터!$AS$5:$AS$64,MATCH($F664,사건마스터!$A$5:$A$64,0)),""))</f>
        <v/>
      </c>
      <c r="V664" s="35">
        <f>IF($F664="","",IFERROR(INDEX(사건마스터!$AT$5:$AT$64,MATCH($F664,사건마스터!$A$5:$A$64,0)),""))</f>
        <v/>
      </c>
      <c r="W664" s="35">
        <f>IF($F664="","",IFERROR(INDEX(사건마스터!$AU$5:$AU$64,MATCH($F664,사건마스터!$A$5:$A$64,0)),""))</f>
        <v/>
      </c>
      <c r="X664" s="35">
        <f>IF($F664="","",IFERROR(INDEX(사건마스터!$AV$5:$AV$64,MATCH($F664,사건마스터!$A$5:$A$64,0)),""))</f>
        <v/>
      </c>
      <c r="Y664" s="30">
        <f>IF($I664="","",COUNTIF($I664:$X664,"?*"))</f>
        <v/>
      </c>
      <c r="Z664" s="33">
        <f>IF($I664="","",_xlfn.TEXTJOIN(", ",TRUE,$I664:$X664))</f>
        <v/>
      </c>
      <c r="AA664" s="34">
        <f>IF($I664="","",IFERROR(INDEX(코드설정!$D$5:$D$24,MATCH($I664,코드설정!$C$5:$C$24,0)),""))</f>
        <v/>
      </c>
      <c r="AB664" s="36" t="n"/>
      <c r="AC664" s="37" t="n"/>
      <c r="AD664" s="38" t="n"/>
      <c r="AE664" s="30">
        <f>IF(OR($B664="",$C664=""),"",$C664-$B664+1)</f>
        <v/>
      </c>
      <c r="AF664" s="32" t="n"/>
      <c r="AG664" s="36" t="n"/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3">
        <f>IF($F665="","",IFERROR(INDEX(사건마스터!$B$5:$B$64,MATCH($F665,사건마스터!$A$5:$A$64,0)),""))</f>
        <v/>
      </c>
      <c r="H665" s="34">
        <f>IF($F665="","",IFERROR(INDEX(사건마스터!$C$5:$C$64,MATCH($F665,사건마스터!$A$5:$A$64,0)),""))</f>
        <v/>
      </c>
      <c r="I665" s="35">
        <f>IF($F665="","",IFERROR(INDEX(사건마스터!$H$5:$H$64,MATCH($F665,사건마스터!$A$5:$A$64,0)),""))</f>
        <v/>
      </c>
      <c r="J665" s="35">
        <f>IF($F665="","",IFERROR(INDEX(사건마스터!$AH$5:$AH$64,MATCH($F665,사건마스터!$A$5:$A$64,0)),""))</f>
        <v/>
      </c>
      <c r="K665" s="35">
        <f>IF($F665="","",IFERROR(INDEX(사건마스터!$AI$5:$AI$64,MATCH($F665,사건마스터!$A$5:$A$64,0)),""))</f>
        <v/>
      </c>
      <c r="L665" s="35">
        <f>IF($F665="","",IFERROR(INDEX(사건마스터!$AJ$5:$AJ$64,MATCH($F665,사건마스터!$A$5:$A$64,0)),""))</f>
        <v/>
      </c>
      <c r="M665" s="35">
        <f>IF($F665="","",IFERROR(INDEX(사건마스터!$AK$5:$AK$64,MATCH($F665,사건마스터!$A$5:$A$64,0)),""))</f>
        <v/>
      </c>
      <c r="N665" s="35">
        <f>IF($F665="","",IFERROR(INDEX(사건마스터!$AL$5:$AL$64,MATCH($F665,사건마스터!$A$5:$A$64,0)),""))</f>
        <v/>
      </c>
      <c r="O665" s="35">
        <f>IF($F665="","",IFERROR(INDEX(사건마스터!$AM$5:$AM$64,MATCH($F665,사건마스터!$A$5:$A$64,0)),""))</f>
        <v/>
      </c>
      <c r="P665" s="35">
        <f>IF($F665="","",IFERROR(INDEX(사건마스터!$AN$5:$AN$64,MATCH($F665,사건마스터!$A$5:$A$64,0)),""))</f>
        <v/>
      </c>
      <c r="Q665" s="35">
        <f>IF($F665="","",IFERROR(INDEX(사건마스터!$AO$5:$AO$64,MATCH($F665,사건마스터!$A$5:$A$64,0)),""))</f>
        <v/>
      </c>
      <c r="R665" s="35">
        <f>IF($F665="","",IFERROR(INDEX(사건마스터!$AP$5:$AP$64,MATCH($F665,사건마스터!$A$5:$A$64,0)),""))</f>
        <v/>
      </c>
      <c r="S665" s="35">
        <f>IF($F665="","",IFERROR(INDEX(사건마스터!$AQ$5:$AQ$64,MATCH($F665,사건마스터!$A$5:$A$64,0)),""))</f>
        <v/>
      </c>
      <c r="T665" s="35">
        <f>IF($F665="","",IFERROR(INDEX(사건마스터!$AR$5:$AR$64,MATCH($F665,사건마스터!$A$5:$A$64,0)),""))</f>
        <v/>
      </c>
      <c r="U665" s="35">
        <f>IF($F665="","",IFERROR(INDEX(사건마스터!$AS$5:$AS$64,MATCH($F665,사건마스터!$A$5:$A$64,0)),""))</f>
        <v/>
      </c>
      <c r="V665" s="35">
        <f>IF($F665="","",IFERROR(INDEX(사건마스터!$AT$5:$AT$64,MATCH($F665,사건마스터!$A$5:$A$64,0)),""))</f>
        <v/>
      </c>
      <c r="W665" s="35">
        <f>IF($F665="","",IFERROR(INDEX(사건마스터!$AU$5:$AU$64,MATCH($F665,사건마스터!$A$5:$A$64,0)),""))</f>
        <v/>
      </c>
      <c r="X665" s="35">
        <f>IF($F665="","",IFERROR(INDEX(사건마스터!$AV$5:$AV$64,MATCH($F665,사건마스터!$A$5:$A$64,0)),""))</f>
        <v/>
      </c>
      <c r="Y665" s="30">
        <f>IF($I665="","",COUNTIF($I665:$X665,"?*"))</f>
        <v/>
      </c>
      <c r="Z665" s="33">
        <f>IF($I665="","",_xlfn.TEXTJOIN(", ",TRUE,$I665:$X665))</f>
        <v/>
      </c>
      <c r="AA665" s="34">
        <f>IF($I665="","",IFERROR(INDEX(코드설정!$D$5:$D$24,MATCH($I665,코드설정!$C$5:$C$24,0)),""))</f>
        <v/>
      </c>
      <c r="AB665" s="36" t="n"/>
      <c r="AC665" s="37" t="n"/>
      <c r="AD665" s="38" t="n"/>
      <c r="AE665" s="30">
        <f>IF(OR($B665="",$C665=""),"",$C665-$B665+1)</f>
        <v/>
      </c>
      <c r="AF665" s="32" t="n"/>
      <c r="AG665" s="36" t="n"/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3">
        <f>IF($F666="","",IFERROR(INDEX(사건마스터!$B$5:$B$64,MATCH($F666,사건마스터!$A$5:$A$64,0)),""))</f>
        <v/>
      </c>
      <c r="H666" s="34">
        <f>IF($F666="","",IFERROR(INDEX(사건마스터!$C$5:$C$64,MATCH($F666,사건마스터!$A$5:$A$64,0)),""))</f>
        <v/>
      </c>
      <c r="I666" s="35">
        <f>IF($F666="","",IFERROR(INDEX(사건마스터!$H$5:$H$64,MATCH($F666,사건마스터!$A$5:$A$64,0)),""))</f>
        <v/>
      </c>
      <c r="J666" s="35">
        <f>IF($F666="","",IFERROR(INDEX(사건마스터!$AH$5:$AH$64,MATCH($F666,사건마스터!$A$5:$A$64,0)),""))</f>
        <v/>
      </c>
      <c r="K666" s="35">
        <f>IF($F666="","",IFERROR(INDEX(사건마스터!$AI$5:$AI$64,MATCH($F666,사건마스터!$A$5:$A$64,0)),""))</f>
        <v/>
      </c>
      <c r="L666" s="35">
        <f>IF($F666="","",IFERROR(INDEX(사건마스터!$AJ$5:$AJ$64,MATCH($F666,사건마스터!$A$5:$A$64,0)),""))</f>
        <v/>
      </c>
      <c r="M666" s="35">
        <f>IF($F666="","",IFERROR(INDEX(사건마스터!$AK$5:$AK$64,MATCH($F666,사건마스터!$A$5:$A$64,0)),""))</f>
        <v/>
      </c>
      <c r="N666" s="35">
        <f>IF($F666="","",IFERROR(INDEX(사건마스터!$AL$5:$AL$64,MATCH($F666,사건마스터!$A$5:$A$64,0)),""))</f>
        <v/>
      </c>
      <c r="O666" s="35">
        <f>IF($F666="","",IFERROR(INDEX(사건마스터!$AM$5:$AM$64,MATCH($F666,사건마스터!$A$5:$A$64,0)),""))</f>
        <v/>
      </c>
      <c r="P666" s="35">
        <f>IF($F666="","",IFERROR(INDEX(사건마스터!$AN$5:$AN$64,MATCH($F666,사건마스터!$A$5:$A$64,0)),""))</f>
        <v/>
      </c>
      <c r="Q666" s="35">
        <f>IF($F666="","",IFERROR(INDEX(사건마스터!$AO$5:$AO$64,MATCH($F666,사건마스터!$A$5:$A$64,0)),""))</f>
        <v/>
      </c>
      <c r="R666" s="35">
        <f>IF($F666="","",IFERROR(INDEX(사건마스터!$AP$5:$AP$64,MATCH($F666,사건마스터!$A$5:$A$64,0)),""))</f>
        <v/>
      </c>
      <c r="S666" s="35">
        <f>IF($F666="","",IFERROR(INDEX(사건마스터!$AQ$5:$AQ$64,MATCH($F666,사건마스터!$A$5:$A$64,0)),""))</f>
        <v/>
      </c>
      <c r="T666" s="35">
        <f>IF($F666="","",IFERROR(INDEX(사건마스터!$AR$5:$AR$64,MATCH($F666,사건마스터!$A$5:$A$64,0)),""))</f>
        <v/>
      </c>
      <c r="U666" s="35">
        <f>IF($F666="","",IFERROR(INDEX(사건마스터!$AS$5:$AS$64,MATCH($F666,사건마스터!$A$5:$A$64,0)),""))</f>
        <v/>
      </c>
      <c r="V666" s="35">
        <f>IF($F666="","",IFERROR(INDEX(사건마스터!$AT$5:$AT$64,MATCH($F666,사건마스터!$A$5:$A$64,0)),""))</f>
        <v/>
      </c>
      <c r="W666" s="35">
        <f>IF($F666="","",IFERROR(INDEX(사건마스터!$AU$5:$AU$64,MATCH($F666,사건마스터!$A$5:$A$64,0)),""))</f>
        <v/>
      </c>
      <c r="X666" s="35">
        <f>IF($F666="","",IFERROR(INDEX(사건마스터!$AV$5:$AV$64,MATCH($F666,사건마스터!$A$5:$A$64,0)),""))</f>
        <v/>
      </c>
      <c r="Y666" s="30">
        <f>IF($I666="","",COUNTIF($I666:$X666,"?*"))</f>
        <v/>
      </c>
      <c r="Z666" s="33">
        <f>IF($I666="","",_xlfn.TEXTJOIN(", ",TRUE,$I666:$X666))</f>
        <v/>
      </c>
      <c r="AA666" s="34">
        <f>IF($I666="","",IFERROR(INDEX(코드설정!$D$5:$D$24,MATCH($I666,코드설정!$C$5:$C$24,0)),""))</f>
        <v/>
      </c>
      <c r="AB666" s="36" t="n"/>
      <c r="AC666" s="37" t="n"/>
      <c r="AD666" s="38" t="n"/>
      <c r="AE666" s="30">
        <f>IF(OR($B666="",$C666=""),"",$C666-$B666+1)</f>
        <v/>
      </c>
      <c r="AF666" s="32" t="n"/>
      <c r="AG666" s="36" t="n"/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3">
        <f>IF($F667="","",IFERROR(INDEX(사건마스터!$B$5:$B$64,MATCH($F667,사건마스터!$A$5:$A$64,0)),""))</f>
        <v/>
      </c>
      <c r="H667" s="34">
        <f>IF($F667="","",IFERROR(INDEX(사건마스터!$C$5:$C$64,MATCH($F667,사건마스터!$A$5:$A$64,0)),""))</f>
        <v/>
      </c>
      <c r="I667" s="35">
        <f>IF($F667="","",IFERROR(INDEX(사건마스터!$H$5:$H$64,MATCH($F667,사건마스터!$A$5:$A$64,0)),""))</f>
        <v/>
      </c>
      <c r="J667" s="35">
        <f>IF($F667="","",IFERROR(INDEX(사건마스터!$AH$5:$AH$64,MATCH($F667,사건마스터!$A$5:$A$64,0)),""))</f>
        <v/>
      </c>
      <c r="K667" s="35">
        <f>IF($F667="","",IFERROR(INDEX(사건마스터!$AI$5:$AI$64,MATCH($F667,사건마스터!$A$5:$A$64,0)),""))</f>
        <v/>
      </c>
      <c r="L667" s="35">
        <f>IF($F667="","",IFERROR(INDEX(사건마스터!$AJ$5:$AJ$64,MATCH($F667,사건마스터!$A$5:$A$64,0)),""))</f>
        <v/>
      </c>
      <c r="M667" s="35">
        <f>IF($F667="","",IFERROR(INDEX(사건마스터!$AK$5:$AK$64,MATCH($F667,사건마스터!$A$5:$A$64,0)),""))</f>
        <v/>
      </c>
      <c r="N667" s="35">
        <f>IF($F667="","",IFERROR(INDEX(사건마스터!$AL$5:$AL$64,MATCH($F667,사건마스터!$A$5:$A$64,0)),""))</f>
        <v/>
      </c>
      <c r="O667" s="35">
        <f>IF($F667="","",IFERROR(INDEX(사건마스터!$AM$5:$AM$64,MATCH($F667,사건마스터!$A$5:$A$64,0)),""))</f>
        <v/>
      </c>
      <c r="P667" s="35">
        <f>IF($F667="","",IFERROR(INDEX(사건마스터!$AN$5:$AN$64,MATCH($F667,사건마스터!$A$5:$A$64,0)),""))</f>
        <v/>
      </c>
      <c r="Q667" s="35">
        <f>IF($F667="","",IFERROR(INDEX(사건마스터!$AO$5:$AO$64,MATCH($F667,사건마스터!$A$5:$A$64,0)),""))</f>
        <v/>
      </c>
      <c r="R667" s="35">
        <f>IF($F667="","",IFERROR(INDEX(사건마스터!$AP$5:$AP$64,MATCH($F667,사건마스터!$A$5:$A$64,0)),""))</f>
        <v/>
      </c>
      <c r="S667" s="35">
        <f>IF($F667="","",IFERROR(INDEX(사건마스터!$AQ$5:$AQ$64,MATCH($F667,사건마스터!$A$5:$A$64,0)),""))</f>
        <v/>
      </c>
      <c r="T667" s="35">
        <f>IF($F667="","",IFERROR(INDEX(사건마스터!$AR$5:$AR$64,MATCH($F667,사건마스터!$A$5:$A$64,0)),""))</f>
        <v/>
      </c>
      <c r="U667" s="35">
        <f>IF($F667="","",IFERROR(INDEX(사건마스터!$AS$5:$AS$64,MATCH($F667,사건마스터!$A$5:$A$64,0)),""))</f>
        <v/>
      </c>
      <c r="V667" s="35">
        <f>IF($F667="","",IFERROR(INDEX(사건마스터!$AT$5:$AT$64,MATCH($F667,사건마스터!$A$5:$A$64,0)),""))</f>
        <v/>
      </c>
      <c r="W667" s="35">
        <f>IF($F667="","",IFERROR(INDEX(사건마스터!$AU$5:$AU$64,MATCH($F667,사건마스터!$A$5:$A$64,0)),""))</f>
        <v/>
      </c>
      <c r="X667" s="35">
        <f>IF($F667="","",IFERROR(INDEX(사건마스터!$AV$5:$AV$64,MATCH($F667,사건마스터!$A$5:$A$64,0)),""))</f>
        <v/>
      </c>
      <c r="Y667" s="30">
        <f>IF($I667="","",COUNTIF($I667:$X667,"?*"))</f>
        <v/>
      </c>
      <c r="Z667" s="33">
        <f>IF($I667="","",_xlfn.TEXTJOIN(", ",TRUE,$I667:$X667))</f>
        <v/>
      </c>
      <c r="AA667" s="34">
        <f>IF($I667="","",IFERROR(INDEX(코드설정!$D$5:$D$24,MATCH($I667,코드설정!$C$5:$C$24,0)),""))</f>
        <v/>
      </c>
      <c r="AB667" s="36" t="n"/>
      <c r="AC667" s="37" t="n"/>
      <c r="AD667" s="38" t="n"/>
      <c r="AE667" s="30">
        <f>IF(OR($B667="",$C667=""),"",$C667-$B667+1)</f>
        <v/>
      </c>
      <c r="AF667" s="32" t="n"/>
      <c r="AG667" s="36" t="n"/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3">
        <f>IF($F668="","",IFERROR(INDEX(사건마스터!$B$5:$B$64,MATCH($F668,사건마스터!$A$5:$A$64,0)),""))</f>
        <v/>
      </c>
      <c r="H668" s="34">
        <f>IF($F668="","",IFERROR(INDEX(사건마스터!$C$5:$C$64,MATCH($F668,사건마스터!$A$5:$A$64,0)),""))</f>
        <v/>
      </c>
      <c r="I668" s="35">
        <f>IF($F668="","",IFERROR(INDEX(사건마스터!$H$5:$H$64,MATCH($F668,사건마스터!$A$5:$A$64,0)),""))</f>
        <v/>
      </c>
      <c r="J668" s="35">
        <f>IF($F668="","",IFERROR(INDEX(사건마스터!$AH$5:$AH$64,MATCH($F668,사건마스터!$A$5:$A$64,0)),""))</f>
        <v/>
      </c>
      <c r="K668" s="35">
        <f>IF($F668="","",IFERROR(INDEX(사건마스터!$AI$5:$AI$64,MATCH($F668,사건마스터!$A$5:$A$64,0)),""))</f>
        <v/>
      </c>
      <c r="L668" s="35">
        <f>IF($F668="","",IFERROR(INDEX(사건마스터!$AJ$5:$AJ$64,MATCH($F668,사건마스터!$A$5:$A$64,0)),""))</f>
        <v/>
      </c>
      <c r="M668" s="35">
        <f>IF($F668="","",IFERROR(INDEX(사건마스터!$AK$5:$AK$64,MATCH($F668,사건마스터!$A$5:$A$64,0)),""))</f>
        <v/>
      </c>
      <c r="N668" s="35">
        <f>IF($F668="","",IFERROR(INDEX(사건마스터!$AL$5:$AL$64,MATCH($F668,사건마스터!$A$5:$A$64,0)),""))</f>
        <v/>
      </c>
      <c r="O668" s="35">
        <f>IF($F668="","",IFERROR(INDEX(사건마스터!$AM$5:$AM$64,MATCH($F668,사건마스터!$A$5:$A$64,0)),""))</f>
        <v/>
      </c>
      <c r="P668" s="35">
        <f>IF($F668="","",IFERROR(INDEX(사건마스터!$AN$5:$AN$64,MATCH($F668,사건마스터!$A$5:$A$64,0)),""))</f>
        <v/>
      </c>
      <c r="Q668" s="35">
        <f>IF($F668="","",IFERROR(INDEX(사건마스터!$AO$5:$AO$64,MATCH($F668,사건마스터!$A$5:$A$64,0)),""))</f>
        <v/>
      </c>
      <c r="R668" s="35">
        <f>IF($F668="","",IFERROR(INDEX(사건마스터!$AP$5:$AP$64,MATCH($F668,사건마스터!$A$5:$A$64,0)),""))</f>
        <v/>
      </c>
      <c r="S668" s="35">
        <f>IF($F668="","",IFERROR(INDEX(사건마스터!$AQ$5:$AQ$64,MATCH($F668,사건마스터!$A$5:$A$64,0)),""))</f>
        <v/>
      </c>
      <c r="T668" s="35">
        <f>IF($F668="","",IFERROR(INDEX(사건마스터!$AR$5:$AR$64,MATCH($F668,사건마스터!$A$5:$A$64,0)),""))</f>
        <v/>
      </c>
      <c r="U668" s="35">
        <f>IF($F668="","",IFERROR(INDEX(사건마스터!$AS$5:$AS$64,MATCH($F668,사건마스터!$A$5:$A$64,0)),""))</f>
        <v/>
      </c>
      <c r="V668" s="35">
        <f>IF($F668="","",IFERROR(INDEX(사건마스터!$AT$5:$AT$64,MATCH($F668,사건마스터!$A$5:$A$64,0)),""))</f>
        <v/>
      </c>
      <c r="W668" s="35">
        <f>IF($F668="","",IFERROR(INDEX(사건마스터!$AU$5:$AU$64,MATCH($F668,사건마스터!$A$5:$A$64,0)),""))</f>
        <v/>
      </c>
      <c r="X668" s="35">
        <f>IF($F668="","",IFERROR(INDEX(사건마스터!$AV$5:$AV$64,MATCH($F668,사건마스터!$A$5:$A$64,0)),""))</f>
        <v/>
      </c>
      <c r="Y668" s="30">
        <f>IF($I668="","",COUNTIF($I668:$X668,"?*"))</f>
        <v/>
      </c>
      <c r="Z668" s="33">
        <f>IF($I668="","",_xlfn.TEXTJOIN(", ",TRUE,$I668:$X668))</f>
        <v/>
      </c>
      <c r="AA668" s="34">
        <f>IF($I668="","",IFERROR(INDEX(코드설정!$D$5:$D$24,MATCH($I668,코드설정!$C$5:$C$24,0)),""))</f>
        <v/>
      </c>
      <c r="AB668" s="36" t="n"/>
      <c r="AC668" s="37" t="n"/>
      <c r="AD668" s="38" t="n"/>
      <c r="AE668" s="30">
        <f>IF(OR($B668="",$C668=""),"",$C668-$B668+1)</f>
        <v/>
      </c>
      <c r="AF668" s="32" t="n"/>
      <c r="AG668" s="36" t="n"/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3">
        <f>IF($F669="","",IFERROR(INDEX(사건마스터!$B$5:$B$64,MATCH($F669,사건마스터!$A$5:$A$64,0)),""))</f>
        <v/>
      </c>
      <c r="H669" s="34">
        <f>IF($F669="","",IFERROR(INDEX(사건마스터!$C$5:$C$64,MATCH($F669,사건마스터!$A$5:$A$64,0)),""))</f>
        <v/>
      </c>
      <c r="I669" s="35">
        <f>IF($F669="","",IFERROR(INDEX(사건마스터!$H$5:$H$64,MATCH($F669,사건마스터!$A$5:$A$64,0)),""))</f>
        <v/>
      </c>
      <c r="J669" s="35">
        <f>IF($F669="","",IFERROR(INDEX(사건마스터!$AH$5:$AH$64,MATCH($F669,사건마스터!$A$5:$A$64,0)),""))</f>
        <v/>
      </c>
      <c r="K669" s="35">
        <f>IF($F669="","",IFERROR(INDEX(사건마스터!$AI$5:$AI$64,MATCH($F669,사건마스터!$A$5:$A$64,0)),""))</f>
        <v/>
      </c>
      <c r="L669" s="35">
        <f>IF($F669="","",IFERROR(INDEX(사건마스터!$AJ$5:$AJ$64,MATCH($F669,사건마스터!$A$5:$A$64,0)),""))</f>
        <v/>
      </c>
      <c r="M669" s="35">
        <f>IF($F669="","",IFERROR(INDEX(사건마스터!$AK$5:$AK$64,MATCH($F669,사건마스터!$A$5:$A$64,0)),""))</f>
        <v/>
      </c>
      <c r="N669" s="35">
        <f>IF($F669="","",IFERROR(INDEX(사건마스터!$AL$5:$AL$64,MATCH($F669,사건마스터!$A$5:$A$64,0)),""))</f>
        <v/>
      </c>
      <c r="O669" s="35">
        <f>IF($F669="","",IFERROR(INDEX(사건마스터!$AM$5:$AM$64,MATCH($F669,사건마스터!$A$5:$A$64,0)),""))</f>
        <v/>
      </c>
      <c r="P669" s="35">
        <f>IF($F669="","",IFERROR(INDEX(사건마스터!$AN$5:$AN$64,MATCH($F669,사건마스터!$A$5:$A$64,0)),""))</f>
        <v/>
      </c>
      <c r="Q669" s="35">
        <f>IF($F669="","",IFERROR(INDEX(사건마스터!$AO$5:$AO$64,MATCH($F669,사건마스터!$A$5:$A$64,0)),""))</f>
        <v/>
      </c>
      <c r="R669" s="35">
        <f>IF($F669="","",IFERROR(INDEX(사건마스터!$AP$5:$AP$64,MATCH($F669,사건마스터!$A$5:$A$64,0)),""))</f>
        <v/>
      </c>
      <c r="S669" s="35">
        <f>IF($F669="","",IFERROR(INDEX(사건마스터!$AQ$5:$AQ$64,MATCH($F669,사건마스터!$A$5:$A$64,0)),""))</f>
        <v/>
      </c>
      <c r="T669" s="35">
        <f>IF($F669="","",IFERROR(INDEX(사건마스터!$AR$5:$AR$64,MATCH($F669,사건마스터!$A$5:$A$64,0)),""))</f>
        <v/>
      </c>
      <c r="U669" s="35">
        <f>IF($F669="","",IFERROR(INDEX(사건마스터!$AS$5:$AS$64,MATCH($F669,사건마스터!$A$5:$A$64,0)),""))</f>
        <v/>
      </c>
      <c r="V669" s="35">
        <f>IF($F669="","",IFERROR(INDEX(사건마스터!$AT$5:$AT$64,MATCH($F669,사건마스터!$A$5:$A$64,0)),""))</f>
        <v/>
      </c>
      <c r="W669" s="35">
        <f>IF($F669="","",IFERROR(INDEX(사건마스터!$AU$5:$AU$64,MATCH($F669,사건마스터!$A$5:$A$64,0)),""))</f>
        <v/>
      </c>
      <c r="X669" s="35">
        <f>IF($F669="","",IFERROR(INDEX(사건마스터!$AV$5:$AV$64,MATCH($F669,사건마스터!$A$5:$A$64,0)),""))</f>
        <v/>
      </c>
      <c r="Y669" s="30">
        <f>IF($I669="","",COUNTIF($I669:$X669,"?*"))</f>
        <v/>
      </c>
      <c r="Z669" s="33">
        <f>IF($I669="","",_xlfn.TEXTJOIN(", ",TRUE,$I669:$X669))</f>
        <v/>
      </c>
      <c r="AA669" s="34">
        <f>IF($I669="","",IFERROR(INDEX(코드설정!$D$5:$D$24,MATCH($I669,코드설정!$C$5:$C$24,0)),""))</f>
        <v/>
      </c>
      <c r="AB669" s="36" t="n"/>
      <c r="AC669" s="37" t="n"/>
      <c r="AD669" s="38" t="n"/>
      <c r="AE669" s="30">
        <f>IF(OR($B669="",$C669=""),"",$C669-$B669+1)</f>
        <v/>
      </c>
      <c r="AF669" s="32" t="n"/>
      <c r="AG669" s="36" t="n"/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3">
        <f>IF($F670="","",IFERROR(INDEX(사건마스터!$B$5:$B$64,MATCH($F670,사건마스터!$A$5:$A$64,0)),""))</f>
        <v/>
      </c>
      <c r="H670" s="34">
        <f>IF($F670="","",IFERROR(INDEX(사건마스터!$C$5:$C$64,MATCH($F670,사건마스터!$A$5:$A$64,0)),""))</f>
        <v/>
      </c>
      <c r="I670" s="35">
        <f>IF($F670="","",IFERROR(INDEX(사건마스터!$H$5:$H$64,MATCH($F670,사건마스터!$A$5:$A$64,0)),""))</f>
        <v/>
      </c>
      <c r="J670" s="35">
        <f>IF($F670="","",IFERROR(INDEX(사건마스터!$AH$5:$AH$64,MATCH($F670,사건마스터!$A$5:$A$64,0)),""))</f>
        <v/>
      </c>
      <c r="K670" s="35">
        <f>IF($F670="","",IFERROR(INDEX(사건마스터!$AI$5:$AI$64,MATCH($F670,사건마스터!$A$5:$A$64,0)),""))</f>
        <v/>
      </c>
      <c r="L670" s="35">
        <f>IF($F670="","",IFERROR(INDEX(사건마스터!$AJ$5:$AJ$64,MATCH($F670,사건마스터!$A$5:$A$64,0)),""))</f>
        <v/>
      </c>
      <c r="M670" s="35">
        <f>IF($F670="","",IFERROR(INDEX(사건마스터!$AK$5:$AK$64,MATCH($F670,사건마스터!$A$5:$A$64,0)),""))</f>
        <v/>
      </c>
      <c r="N670" s="35">
        <f>IF($F670="","",IFERROR(INDEX(사건마스터!$AL$5:$AL$64,MATCH($F670,사건마스터!$A$5:$A$64,0)),""))</f>
        <v/>
      </c>
      <c r="O670" s="35">
        <f>IF($F670="","",IFERROR(INDEX(사건마스터!$AM$5:$AM$64,MATCH($F670,사건마스터!$A$5:$A$64,0)),""))</f>
        <v/>
      </c>
      <c r="P670" s="35">
        <f>IF($F670="","",IFERROR(INDEX(사건마스터!$AN$5:$AN$64,MATCH($F670,사건마스터!$A$5:$A$64,0)),""))</f>
        <v/>
      </c>
      <c r="Q670" s="35">
        <f>IF($F670="","",IFERROR(INDEX(사건마스터!$AO$5:$AO$64,MATCH($F670,사건마스터!$A$5:$A$64,0)),""))</f>
        <v/>
      </c>
      <c r="R670" s="35">
        <f>IF($F670="","",IFERROR(INDEX(사건마스터!$AP$5:$AP$64,MATCH($F670,사건마스터!$A$5:$A$64,0)),""))</f>
        <v/>
      </c>
      <c r="S670" s="35">
        <f>IF($F670="","",IFERROR(INDEX(사건마스터!$AQ$5:$AQ$64,MATCH($F670,사건마스터!$A$5:$A$64,0)),""))</f>
        <v/>
      </c>
      <c r="T670" s="35">
        <f>IF($F670="","",IFERROR(INDEX(사건마스터!$AR$5:$AR$64,MATCH($F670,사건마스터!$A$5:$A$64,0)),""))</f>
        <v/>
      </c>
      <c r="U670" s="35">
        <f>IF($F670="","",IFERROR(INDEX(사건마스터!$AS$5:$AS$64,MATCH($F670,사건마스터!$A$5:$A$64,0)),""))</f>
        <v/>
      </c>
      <c r="V670" s="35">
        <f>IF($F670="","",IFERROR(INDEX(사건마스터!$AT$5:$AT$64,MATCH($F670,사건마스터!$A$5:$A$64,0)),""))</f>
        <v/>
      </c>
      <c r="W670" s="35">
        <f>IF($F670="","",IFERROR(INDEX(사건마스터!$AU$5:$AU$64,MATCH($F670,사건마스터!$A$5:$A$64,0)),""))</f>
        <v/>
      </c>
      <c r="X670" s="35">
        <f>IF($F670="","",IFERROR(INDEX(사건마스터!$AV$5:$AV$64,MATCH($F670,사건마스터!$A$5:$A$64,0)),""))</f>
        <v/>
      </c>
      <c r="Y670" s="30">
        <f>IF($I670="","",COUNTIF($I670:$X670,"?*"))</f>
        <v/>
      </c>
      <c r="Z670" s="33">
        <f>IF($I670="","",_xlfn.TEXTJOIN(", ",TRUE,$I670:$X670))</f>
        <v/>
      </c>
      <c r="AA670" s="34">
        <f>IF($I670="","",IFERROR(INDEX(코드설정!$D$5:$D$24,MATCH($I670,코드설정!$C$5:$C$24,0)),""))</f>
        <v/>
      </c>
      <c r="AB670" s="36" t="n"/>
      <c r="AC670" s="37" t="n"/>
      <c r="AD670" s="38" t="n"/>
      <c r="AE670" s="30">
        <f>IF(OR($B670="",$C670=""),"",$C670-$B670+1)</f>
        <v/>
      </c>
      <c r="AF670" s="32" t="n"/>
      <c r="AG670" s="36" t="n"/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3">
        <f>IF($F671="","",IFERROR(INDEX(사건마스터!$B$5:$B$64,MATCH($F671,사건마스터!$A$5:$A$64,0)),""))</f>
        <v/>
      </c>
      <c r="H671" s="34">
        <f>IF($F671="","",IFERROR(INDEX(사건마스터!$C$5:$C$64,MATCH($F671,사건마스터!$A$5:$A$64,0)),""))</f>
        <v/>
      </c>
      <c r="I671" s="35">
        <f>IF($F671="","",IFERROR(INDEX(사건마스터!$H$5:$H$64,MATCH($F671,사건마스터!$A$5:$A$64,0)),""))</f>
        <v/>
      </c>
      <c r="J671" s="35">
        <f>IF($F671="","",IFERROR(INDEX(사건마스터!$AH$5:$AH$64,MATCH($F671,사건마스터!$A$5:$A$64,0)),""))</f>
        <v/>
      </c>
      <c r="K671" s="35">
        <f>IF($F671="","",IFERROR(INDEX(사건마스터!$AI$5:$AI$64,MATCH($F671,사건마스터!$A$5:$A$64,0)),""))</f>
        <v/>
      </c>
      <c r="L671" s="35">
        <f>IF($F671="","",IFERROR(INDEX(사건마스터!$AJ$5:$AJ$64,MATCH($F671,사건마스터!$A$5:$A$64,0)),""))</f>
        <v/>
      </c>
      <c r="M671" s="35">
        <f>IF($F671="","",IFERROR(INDEX(사건마스터!$AK$5:$AK$64,MATCH($F671,사건마스터!$A$5:$A$64,0)),""))</f>
        <v/>
      </c>
      <c r="N671" s="35">
        <f>IF($F671="","",IFERROR(INDEX(사건마스터!$AL$5:$AL$64,MATCH($F671,사건마스터!$A$5:$A$64,0)),""))</f>
        <v/>
      </c>
      <c r="O671" s="35">
        <f>IF($F671="","",IFERROR(INDEX(사건마스터!$AM$5:$AM$64,MATCH($F671,사건마스터!$A$5:$A$64,0)),""))</f>
        <v/>
      </c>
      <c r="P671" s="35">
        <f>IF($F671="","",IFERROR(INDEX(사건마스터!$AN$5:$AN$64,MATCH($F671,사건마스터!$A$5:$A$64,0)),""))</f>
        <v/>
      </c>
      <c r="Q671" s="35">
        <f>IF($F671="","",IFERROR(INDEX(사건마스터!$AO$5:$AO$64,MATCH($F671,사건마스터!$A$5:$A$64,0)),""))</f>
        <v/>
      </c>
      <c r="R671" s="35">
        <f>IF($F671="","",IFERROR(INDEX(사건마스터!$AP$5:$AP$64,MATCH($F671,사건마스터!$A$5:$A$64,0)),""))</f>
        <v/>
      </c>
      <c r="S671" s="35">
        <f>IF($F671="","",IFERROR(INDEX(사건마스터!$AQ$5:$AQ$64,MATCH($F671,사건마스터!$A$5:$A$64,0)),""))</f>
        <v/>
      </c>
      <c r="T671" s="35">
        <f>IF($F671="","",IFERROR(INDEX(사건마스터!$AR$5:$AR$64,MATCH($F671,사건마스터!$A$5:$A$64,0)),""))</f>
        <v/>
      </c>
      <c r="U671" s="35">
        <f>IF($F671="","",IFERROR(INDEX(사건마스터!$AS$5:$AS$64,MATCH($F671,사건마스터!$A$5:$A$64,0)),""))</f>
        <v/>
      </c>
      <c r="V671" s="35">
        <f>IF($F671="","",IFERROR(INDEX(사건마스터!$AT$5:$AT$64,MATCH($F671,사건마스터!$A$5:$A$64,0)),""))</f>
        <v/>
      </c>
      <c r="W671" s="35">
        <f>IF($F671="","",IFERROR(INDEX(사건마스터!$AU$5:$AU$64,MATCH($F671,사건마스터!$A$5:$A$64,0)),""))</f>
        <v/>
      </c>
      <c r="X671" s="35">
        <f>IF($F671="","",IFERROR(INDEX(사건마스터!$AV$5:$AV$64,MATCH($F671,사건마스터!$A$5:$A$64,0)),""))</f>
        <v/>
      </c>
      <c r="Y671" s="30">
        <f>IF($I671="","",COUNTIF($I671:$X671,"?*"))</f>
        <v/>
      </c>
      <c r="Z671" s="33">
        <f>IF($I671="","",_xlfn.TEXTJOIN(", ",TRUE,$I671:$X671))</f>
        <v/>
      </c>
      <c r="AA671" s="34">
        <f>IF($I671="","",IFERROR(INDEX(코드설정!$D$5:$D$24,MATCH($I671,코드설정!$C$5:$C$24,0)),""))</f>
        <v/>
      </c>
      <c r="AB671" s="36" t="n"/>
      <c r="AC671" s="37" t="n"/>
      <c r="AD671" s="38" t="n"/>
      <c r="AE671" s="30">
        <f>IF(OR($B671="",$C671=""),"",$C671-$B671+1)</f>
        <v/>
      </c>
      <c r="AF671" s="32" t="n"/>
      <c r="AG671" s="36" t="n"/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3">
        <f>IF($F672="","",IFERROR(INDEX(사건마스터!$B$5:$B$64,MATCH($F672,사건마스터!$A$5:$A$64,0)),""))</f>
        <v/>
      </c>
      <c r="H672" s="34">
        <f>IF($F672="","",IFERROR(INDEX(사건마스터!$C$5:$C$64,MATCH($F672,사건마스터!$A$5:$A$64,0)),""))</f>
        <v/>
      </c>
      <c r="I672" s="35">
        <f>IF($F672="","",IFERROR(INDEX(사건마스터!$H$5:$H$64,MATCH($F672,사건마스터!$A$5:$A$64,0)),""))</f>
        <v/>
      </c>
      <c r="J672" s="35">
        <f>IF($F672="","",IFERROR(INDEX(사건마스터!$AH$5:$AH$64,MATCH($F672,사건마스터!$A$5:$A$64,0)),""))</f>
        <v/>
      </c>
      <c r="K672" s="35">
        <f>IF($F672="","",IFERROR(INDEX(사건마스터!$AI$5:$AI$64,MATCH($F672,사건마스터!$A$5:$A$64,0)),""))</f>
        <v/>
      </c>
      <c r="L672" s="35">
        <f>IF($F672="","",IFERROR(INDEX(사건마스터!$AJ$5:$AJ$64,MATCH($F672,사건마스터!$A$5:$A$64,0)),""))</f>
        <v/>
      </c>
      <c r="M672" s="35">
        <f>IF($F672="","",IFERROR(INDEX(사건마스터!$AK$5:$AK$64,MATCH($F672,사건마스터!$A$5:$A$64,0)),""))</f>
        <v/>
      </c>
      <c r="N672" s="35">
        <f>IF($F672="","",IFERROR(INDEX(사건마스터!$AL$5:$AL$64,MATCH($F672,사건마스터!$A$5:$A$64,0)),""))</f>
        <v/>
      </c>
      <c r="O672" s="35">
        <f>IF($F672="","",IFERROR(INDEX(사건마스터!$AM$5:$AM$64,MATCH($F672,사건마스터!$A$5:$A$64,0)),""))</f>
        <v/>
      </c>
      <c r="P672" s="35">
        <f>IF($F672="","",IFERROR(INDEX(사건마스터!$AN$5:$AN$64,MATCH($F672,사건마스터!$A$5:$A$64,0)),""))</f>
        <v/>
      </c>
      <c r="Q672" s="35">
        <f>IF($F672="","",IFERROR(INDEX(사건마스터!$AO$5:$AO$64,MATCH($F672,사건마스터!$A$5:$A$64,0)),""))</f>
        <v/>
      </c>
      <c r="R672" s="35">
        <f>IF($F672="","",IFERROR(INDEX(사건마스터!$AP$5:$AP$64,MATCH($F672,사건마스터!$A$5:$A$64,0)),""))</f>
        <v/>
      </c>
      <c r="S672" s="35">
        <f>IF($F672="","",IFERROR(INDEX(사건마스터!$AQ$5:$AQ$64,MATCH($F672,사건마스터!$A$5:$A$64,0)),""))</f>
        <v/>
      </c>
      <c r="T672" s="35">
        <f>IF($F672="","",IFERROR(INDEX(사건마스터!$AR$5:$AR$64,MATCH($F672,사건마스터!$A$5:$A$64,0)),""))</f>
        <v/>
      </c>
      <c r="U672" s="35">
        <f>IF($F672="","",IFERROR(INDEX(사건마스터!$AS$5:$AS$64,MATCH($F672,사건마스터!$A$5:$A$64,0)),""))</f>
        <v/>
      </c>
      <c r="V672" s="35">
        <f>IF($F672="","",IFERROR(INDEX(사건마스터!$AT$5:$AT$64,MATCH($F672,사건마스터!$A$5:$A$64,0)),""))</f>
        <v/>
      </c>
      <c r="W672" s="35">
        <f>IF($F672="","",IFERROR(INDEX(사건마스터!$AU$5:$AU$64,MATCH($F672,사건마스터!$A$5:$A$64,0)),""))</f>
        <v/>
      </c>
      <c r="X672" s="35">
        <f>IF($F672="","",IFERROR(INDEX(사건마스터!$AV$5:$AV$64,MATCH($F672,사건마스터!$A$5:$A$64,0)),""))</f>
        <v/>
      </c>
      <c r="Y672" s="30">
        <f>IF($I672="","",COUNTIF($I672:$X672,"?*"))</f>
        <v/>
      </c>
      <c r="Z672" s="33">
        <f>IF($I672="","",_xlfn.TEXTJOIN(", ",TRUE,$I672:$X672))</f>
        <v/>
      </c>
      <c r="AA672" s="34">
        <f>IF($I672="","",IFERROR(INDEX(코드설정!$D$5:$D$24,MATCH($I672,코드설정!$C$5:$C$24,0)),""))</f>
        <v/>
      </c>
      <c r="AB672" s="36" t="n"/>
      <c r="AC672" s="37" t="n"/>
      <c r="AD672" s="38" t="n"/>
      <c r="AE672" s="30">
        <f>IF(OR($B672="",$C672=""),"",$C672-$B672+1)</f>
        <v/>
      </c>
      <c r="AF672" s="32" t="n"/>
      <c r="AG672" s="36" t="n"/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3">
        <f>IF($F673="","",IFERROR(INDEX(사건마스터!$B$5:$B$64,MATCH($F673,사건마스터!$A$5:$A$64,0)),""))</f>
        <v/>
      </c>
      <c r="H673" s="34">
        <f>IF($F673="","",IFERROR(INDEX(사건마스터!$C$5:$C$64,MATCH($F673,사건마스터!$A$5:$A$64,0)),""))</f>
        <v/>
      </c>
      <c r="I673" s="35">
        <f>IF($F673="","",IFERROR(INDEX(사건마스터!$H$5:$H$64,MATCH($F673,사건마스터!$A$5:$A$64,0)),""))</f>
        <v/>
      </c>
      <c r="J673" s="35">
        <f>IF($F673="","",IFERROR(INDEX(사건마스터!$AH$5:$AH$64,MATCH($F673,사건마스터!$A$5:$A$64,0)),""))</f>
        <v/>
      </c>
      <c r="K673" s="35">
        <f>IF($F673="","",IFERROR(INDEX(사건마스터!$AI$5:$AI$64,MATCH($F673,사건마스터!$A$5:$A$64,0)),""))</f>
        <v/>
      </c>
      <c r="L673" s="35">
        <f>IF($F673="","",IFERROR(INDEX(사건마스터!$AJ$5:$AJ$64,MATCH($F673,사건마스터!$A$5:$A$64,0)),""))</f>
        <v/>
      </c>
      <c r="M673" s="35">
        <f>IF($F673="","",IFERROR(INDEX(사건마스터!$AK$5:$AK$64,MATCH($F673,사건마스터!$A$5:$A$64,0)),""))</f>
        <v/>
      </c>
      <c r="N673" s="35">
        <f>IF($F673="","",IFERROR(INDEX(사건마스터!$AL$5:$AL$64,MATCH($F673,사건마스터!$A$5:$A$64,0)),""))</f>
        <v/>
      </c>
      <c r="O673" s="35">
        <f>IF($F673="","",IFERROR(INDEX(사건마스터!$AM$5:$AM$64,MATCH($F673,사건마스터!$A$5:$A$64,0)),""))</f>
        <v/>
      </c>
      <c r="P673" s="35">
        <f>IF($F673="","",IFERROR(INDEX(사건마스터!$AN$5:$AN$64,MATCH($F673,사건마스터!$A$5:$A$64,0)),""))</f>
        <v/>
      </c>
      <c r="Q673" s="35">
        <f>IF($F673="","",IFERROR(INDEX(사건마스터!$AO$5:$AO$64,MATCH($F673,사건마스터!$A$5:$A$64,0)),""))</f>
        <v/>
      </c>
      <c r="R673" s="35">
        <f>IF($F673="","",IFERROR(INDEX(사건마스터!$AP$5:$AP$64,MATCH($F673,사건마스터!$A$5:$A$64,0)),""))</f>
        <v/>
      </c>
      <c r="S673" s="35">
        <f>IF($F673="","",IFERROR(INDEX(사건마스터!$AQ$5:$AQ$64,MATCH($F673,사건마스터!$A$5:$A$64,0)),""))</f>
        <v/>
      </c>
      <c r="T673" s="35">
        <f>IF($F673="","",IFERROR(INDEX(사건마스터!$AR$5:$AR$64,MATCH($F673,사건마스터!$A$5:$A$64,0)),""))</f>
        <v/>
      </c>
      <c r="U673" s="35">
        <f>IF($F673="","",IFERROR(INDEX(사건마스터!$AS$5:$AS$64,MATCH($F673,사건마스터!$A$5:$A$64,0)),""))</f>
        <v/>
      </c>
      <c r="V673" s="35">
        <f>IF($F673="","",IFERROR(INDEX(사건마스터!$AT$5:$AT$64,MATCH($F673,사건마스터!$A$5:$A$64,0)),""))</f>
        <v/>
      </c>
      <c r="W673" s="35">
        <f>IF($F673="","",IFERROR(INDEX(사건마스터!$AU$5:$AU$64,MATCH($F673,사건마스터!$A$5:$A$64,0)),""))</f>
        <v/>
      </c>
      <c r="X673" s="35">
        <f>IF($F673="","",IFERROR(INDEX(사건마스터!$AV$5:$AV$64,MATCH($F673,사건마스터!$A$5:$A$64,0)),""))</f>
        <v/>
      </c>
      <c r="Y673" s="30">
        <f>IF($I673="","",COUNTIF($I673:$X673,"?*"))</f>
        <v/>
      </c>
      <c r="Z673" s="33">
        <f>IF($I673="","",_xlfn.TEXTJOIN(", ",TRUE,$I673:$X673))</f>
        <v/>
      </c>
      <c r="AA673" s="34">
        <f>IF($I673="","",IFERROR(INDEX(코드설정!$D$5:$D$24,MATCH($I673,코드설정!$C$5:$C$24,0)),""))</f>
        <v/>
      </c>
      <c r="AB673" s="36" t="n"/>
      <c r="AC673" s="37" t="n"/>
      <c r="AD673" s="38" t="n"/>
      <c r="AE673" s="30">
        <f>IF(OR($B673="",$C673=""),"",$C673-$B673+1)</f>
        <v/>
      </c>
      <c r="AF673" s="32" t="n"/>
      <c r="AG673" s="36" t="n"/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3">
        <f>IF($F674="","",IFERROR(INDEX(사건마스터!$B$5:$B$64,MATCH($F674,사건마스터!$A$5:$A$64,0)),""))</f>
        <v/>
      </c>
      <c r="H674" s="34">
        <f>IF($F674="","",IFERROR(INDEX(사건마스터!$C$5:$C$64,MATCH($F674,사건마스터!$A$5:$A$64,0)),""))</f>
        <v/>
      </c>
      <c r="I674" s="35">
        <f>IF($F674="","",IFERROR(INDEX(사건마스터!$H$5:$H$64,MATCH($F674,사건마스터!$A$5:$A$64,0)),""))</f>
        <v/>
      </c>
      <c r="J674" s="35">
        <f>IF($F674="","",IFERROR(INDEX(사건마스터!$AH$5:$AH$64,MATCH($F674,사건마스터!$A$5:$A$64,0)),""))</f>
        <v/>
      </c>
      <c r="K674" s="35">
        <f>IF($F674="","",IFERROR(INDEX(사건마스터!$AI$5:$AI$64,MATCH($F674,사건마스터!$A$5:$A$64,0)),""))</f>
        <v/>
      </c>
      <c r="L674" s="35">
        <f>IF($F674="","",IFERROR(INDEX(사건마스터!$AJ$5:$AJ$64,MATCH($F674,사건마스터!$A$5:$A$64,0)),""))</f>
        <v/>
      </c>
      <c r="M674" s="35">
        <f>IF($F674="","",IFERROR(INDEX(사건마스터!$AK$5:$AK$64,MATCH($F674,사건마스터!$A$5:$A$64,0)),""))</f>
        <v/>
      </c>
      <c r="N674" s="35">
        <f>IF($F674="","",IFERROR(INDEX(사건마스터!$AL$5:$AL$64,MATCH($F674,사건마스터!$A$5:$A$64,0)),""))</f>
        <v/>
      </c>
      <c r="O674" s="35">
        <f>IF($F674="","",IFERROR(INDEX(사건마스터!$AM$5:$AM$64,MATCH($F674,사건마스터!$A$5:$A$64,0)),""))</f>
        <v/>
      </c>
      <c r="P674" s="35">
        <f>IF($F674="","",IFERROR(INDEX(사건마스터!$AN$5:$AN$64,MATCH($F674,사건마스터!$A$5:$A$64,0)),""))</f>
        <v/>
      </c>
      <c r="Q674" s="35">
        <f>IF($F674="","",IFERROR(INDEX(사건마스터!$AO$5:$AO$64,MATCH($F674,사건마스터!$A$5:$A$64,0)),""))</f>
        <v/>
      </c>
      <c r="R674" s="35">
        <f>IF($F674="","",IFERROR(INDEX(사건마스터!$AP$5:$AP$64,MATCH($F674,사건마스터!$A$5:$A$64,0)),""))</f>
        <v/>
      </c>
      <c r="S674" s="35">
        <f>IF($F674="","",IFERROR(INDEX(사건마스터!$AQ$5:$AQ$64,MATCH($F674,사건마스터!$A$5:$A$64,0)),""))</f>
        <v/>
      </c>
      <c r="T674" s="35">
        <f>IF($F674="","",IFERROR(INDEX(사건마스터!$AR$5:$AR$64,MATCH($F674,사건마스터!$A$5:$A$64,0)),""))</f>
        <v/>
      </c>
      <c r="U674" s="35">
        <f>IF($F674="","",IFERROR(INDEX(사건마스터!$AS$5:$AS$64,MATCH($F674,사건마스터!$A$5:$A$64,0)),""))</f>
        <v/>
      </c>
      <c r="V674" s="35">
        <f>IF($F674="","",IFERROR(INDEX(사건마스터!$AT$5:$AT$64,MATCH($F674,사건마스터!$A$5:$A$64,0)),""))</f>
        <v/>
      </c>
      <c r="W674" s="35">
        <f>IF($F674="","",IFERROR(INDEX(사건마스터!$AU$5:$AU$64,MATCH($F674,사건마스터!$A$5:$A$64,0)),""))</f>
        <v/>
      </c>
      <c r="X674" s="35">
        <f>IF($F674="","",IFERROR(INDEX(사건마스터!$AV$5:$AV$64,MATCH($F674,사건마스터!$A$5:$A$64,0)),""))</f>
        <v/>
      </c>
      <c r="Y674" s="30">
        <f>IF($I674="","",COUNTIF($I674:$X674,"?*"))</f>
        <v/>
      </c>
      <c r="Z674" s="33">
        <f>IF($I674="","",_xlfn.TEXTJOIN(", ",TRUE,$I674:$X674))</f>
        <v/>
      </c>
      <c r="AA674" s="34">
        <f>IF($I674="","",IFERROR(INDEX(코드설정!$D$5:$D$24,MATCH($I674,코드설정!$C$5:$C$24,0)),""))</f>
        <v/>
      </c>
      <c r="AB674" s="36" t="n"/>
      <c r="AC674" s="37" t="n"/>
      <c r="AD674" s="38" t="n"/>
      <c r="AE674" s="30">
        <f>IF(OR($B674="",$C674=""),"",$C674-$B674+1)</f>
        <v/>
      </c>
      <c r="AF674" s="32" t="n"/>
      <c r="AG674" s="36" t="n"/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3">
        <f>IF($F675="","",IFERROR(INDEX(사건마스터!$B$5:$B$64,MATCH($F675,사건마스터!$A$5:$A$64,0)),""))</f>
        <v/>
      </c>
      <c r="H675" s="34">
        <f>IF($F675="","",IFERROR(INDEX(사건마스터!$C$5:$C$64,MATCH($F675,사건마스터!$A$5:$A$64,0)),""))</f>
        <v/>
      </c>
      <c r="I675" s="35">
        <f>IF($F675="","",IFERROR(INDEX(사건마스터!$H$5:$H$64,MATCH($F675,사건마스터!$A$5:$A$64,0)),""))</f>
        <v/>
      </c>
      <c r="J675" s="35">
        <f>IF($F675="","",IFERROR(INDEX(사건마스터!$AH$5:$AH$64,MATCH($F675,사건마스터!$A$5:$A$64,0)),""))</f>
        <v/>
      </c>
      <c r="K675" s="35">
        <f>IF($F675="","",IFERROR(INDEX(사건마스터!$AI$5:$AI$64,MATCH($F675,사건마스터!$A$5:$A$64,0)),""))</f>
        <v/>
      </c>
      <c r="L675" s="35">
        <f>IF($F675="","",IFERROR(INDEX(사건마스터!$AJ$5:$AJ$64,MATCH($F675,사건마스터!$A$5:$A$64,0)),""))</f>
        <v/>
      </c>
      <c r="M675" s="35">
        <f>IF($F675="","",IFERROR(INDEX(사건마스터!$AK$5:$AK$64,MATCH($F675,사건마스터!$A$5:$A$64,0)),""))</f>
        <v/>
      </c>
      <c r="N675" s="35">
        <f>IF($F675="","",IFERROR(INDEX(사건마스터!$AL$5:$AL$64,MATCH($F675,사건마스터!$A$5:$A$64,0)),""))</f>
        <v/>
      </c>
      <c r="O675" s="35">
        <f>IF($F675="","",IFERROR(INDEX(사건마스터!$AM$5:$AM$64,MATCH($F675,사건마스터!$A$5:$A$64,0)),""))</f>
        <v/>
      </c>
      <c r="P675" s="35">
        <f>IF($F675="","",IFERROR(INDEX(사건마스터!$AN$5:$AN$64,MATCH($F675,사건마스터!$A$5:$A$64,0)),""))</f>
        <v/>
      </c>
      <c r="Q675" s="35">
        <f>IF($F675="","",IFERROR(INDEX(사건마스터!$AO$5:$AO$64,MATCH($F675,사건마스터!$A$5:$A$64,0)),""))</f>
        <v/>
      </c>
      <c r="R675" s="35">
        <f>IF($F675="","",IFERROR(INDEX(사건마스터!$AP$5:$AP$64,MATCH($F675,사건마스터!$A$5:$A$64,0)),""))</f>
        <v/>
      </c>
      <c r="S675" s="35">
        <f>IF($F675="","",IFERROR(INDEX(사건마스터!$AQ$5:$AQ$64,MATCH($F675,사건마스터!$A$5:$A$64,0)),""))</f>
        <v/>
      </c>
      <c r="T675" s="35">
        <f>IF($F675="","",IFERROR(INDEX(사건마스터!$AR$5:$AR$64,MATCH($F675,사건마스터!$A$5:$A$64,0)),""))</f>
        <v/>
      </c>
      <c r="U675" s="35">
        <f>IF($F675="","",IFERROR(INDEX(사건마스터!$AS$5:$AS$64,MATCH($F675,사건마스터!$A$5:$A$64,0)),""))</f>
        <v/>
      </c>
      <c r="V675" s="35">
        <f>IF($F675="","",IFERROR(INDEX(사건마스터!$AT$5:$AT$64,MATCH($F675,사건마스터!$A$5:$A$64,0)),""))</f>
        <v/>
      </c>
      <c r="W675" s="35">
        <f>IF($F675="","",IFERROR(INDEX(사건마스터!$AU$5:$AU$64,MATCH($F675,사건마스터!$A$5:$A$64,0)),""))</f>
        <v/>
      </c>
      <c r="X675" s="35">
        <f>IF($F675="","",IFERROR(INDEX(사건마스터!$AV$5:$AV$64,MATCH($F675,사건마스터!$A$5:$A$64,0)),""))</f>
        <v/>
      </c>
      <c r="Y675" s="30">
        <f>IF($I675="","",COUNTIF($I675:$X675,"?*"))</f>
        <v/>
      </c>
      <c r="Z675" s="33">
        <f>IF($I675="","",_xlfn.TEXTJOIN(", ",TRUE,$I675:$X675))</f>
        <v/>
      </c>
      <c r="AA675" s="34">
        <f>IF($I675="","",IFERROR(INDEX(코드설정!$D$5:$D$24,MATCH($I675,코드설정!$C$5:$C$24,0)),""))</f>
        <v/>
      </c>
      <c r="AB675" s="36" t="n"/>
      <c r="AC675" s="37" t="n"/>
      <c r="AD675" s="38" t="n"/>
      <c r="AE675" s="30">
        <f>IF(OR($B675="",$C675=""),"",$C675-$B675+1)</f>
        <v/>
      </c>
      <c r="AF675" s="32" t="n"/>
      <c r="AG675" s="36" t="n"/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3">
        <f>IF($F676="","",IFERROR(INDEX(사건마스터!$B$5:$B$64,MATCH($F676,사건마스터!$A$5:$A$64,0)),""))</f>
        <v/>
      </c>
      <c r="H676" s="34">
        <f>IF($F676="","",IFERROR(INDEX(사건마스터!$C$5:$C$64,MATCH($F676,사건마스터!$A$5:$A$64,0)),""))</f>
        <v/>
      </c>
      <c r="I676" s="35">
        <f>IF($F676="","",IFERROR(INDEX(사건마스터!$H$5:$H$64,MATCH($F676,사건마스터!$A$5:$A$64,0)),""))</f>
        <v/>
      </c>
      <c r="J676" s="35">
        <f>IF($F676="","",IFERROR(INDEX(사건마스터!$AH$5:$AH$64,MATCH($F676,사건마스터!$A$5:$A$64,0)),""))</f>
        <v/>
      </c>
      <c r="K676" s="35">
        <f>IF($F676="","",IFERROR(INDEX(사건마스터!$AI$5:$AI$64,MATCH($F676,사건마스터!$A$5:$A$64,0)),""))</f>
        <v/>
      </c>
      <c r="L676" s="35">
        <f>IF($F676="","",IFERROR(INDEX(사건마스터!$AJ$5:$AJ$64,MATCH($F676,사건마스터!$A$5:$A$64,0)),""))</f>
        <v/>
      </c>
      <c r="M676" s="35">
        <f>IF($F676="","",IFERROR(INDEX(사건마스터!$AK$5:$AK$64,MATCH($F676,사건마스터!$A$5:$A$64,0)),""))</f>
        <v/>
      </c>
      <c r="N676" s="35">
        <f>IF($F676="","",IFERROR(INDEX(사건마스터!$AL$5:$AL$64,MATCH($F676,사건마스터!$A$5:$A$64,0)),""))</f>
        <v/>
      </c>
      <c r="O676" s="35">
        <f>IF($F676="","",IFERROR(INDEX(사건마스터!$AM$5:$AM$64,MATCH($F676,사건마스터!$A$5:$A$64,0)),""))</f>
        <v/>
      </c>
      <c r="P676" s="35">
        <f>IF($F676="","",IFERROR(INDEX(사건마스터!$AN$5:$AN$64,MATCH($F676,사건마스터!$A$5:$A$64,0)),""))</f>
        <v/>
      </c>
      <c r="Q676" s="35">
        <f>IF($F676="","",IFERROR(INDEX(사건마스터!$AO$5:$AO$64,MATCH($F676,사건마스터!$A$5:$A$64,0)),""))</f>
        <v/>
      </c>
      <c r="R676" s="35">
        <f>IF($F676="","",IFERROR(INDEX(사건마스터!$AP$5:$AP$64,MATCH($F676,사건마스터!$A$5:$A$64,0)),""))</f>
        <v/>
      </c>
      <c r="S676" s="35">
        <f>IF($F676="","",IFERROR(INDEX(사건마스터!$AQ$5:$AQ$64,MATCH($F676,사건마스터!$A$5:$A$64,0)),""))</f>
        <v/>
      </c>
      <c r="T676" s="35">
        <f>IF($F676="","",IFERROR(INDEX(사건마스터!$AR$5:$AR$64,MATCH($F676,사건마스터!$A$5:$A$64,0)),""))</f>
        <v/>
      </c>
      <c r="U676" s="35">
        <f>IF($F676="","",IFERROR(INDEX(사건마스터!$AS$5:$AS$64,MATCH($F676,사건마스터!$A$5:$A$64,0)),""))</f>
        <v/>
      </c>
      <c r="V676" s="35">
        <f>IF($F676="","",IFERROR(INDEX(사건마스터!$AT$5:$AT$64,MATCH($F676,사건마스터!$A$5:$A$64,0)),""))</f>
        <v/>
      </c>
      <c r="W676" s="35">
        <f>IF($F676="","",IFERROR(INDEX(사건마스터!$AU$5:$AU$64,MATCH($F676,사건마스터!$A$5:$A$64,0)),""))</f>
        <v/>
      </c>
      <c r="X676" s="35">
        <f>IF($F676="","",IFERROR(INDEX(사건마스터!$AV$5:$AV$64,MATCH($F676,사건마스터!$A$5:$A$64,0)),""))</f>
        <v/>
      </c>
      <c r="Y676" s="30">
        <f>IF($I676="","",COUNTIF($I676:$X676,"?*"))</f>
        <v/>
      </c>
      <c r="Z676" s="33">
        <f>IF($I676="","",_xlfn.TEXTJOIN(", ",TRUE,$I676:$X676))</f>
        <v/>
      </c>
      <c r="AA676" s="34">
        <f>IF($I676="","",IFERROR(INDEX(코드설정!$D$5:$D$24,MATCH($I676,코드설정!$C$5:$C$24,0)),""))</f>
        <v/>
      </c>
      <c r="AB676" s="36" t="n"/>
      <c r="AC676" s="37" t="n"/>
      <c r="AD676" s="38" t="n"/>
      <c r="AE676" s="30">
        <f>IF(OR($B676="",$C676=""),"",$C676-$B676+1)</f>
        <v/>
      </c>
      <c r="AF676" s="32" t="n"/>
      <c r="AG676" s="36" t="n"/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3">
        <f>IF($F677="","",IFERROR(INDEX(사건마스터!$B$5:$B$64,MATCH($F677,사건마스터!$A$5:$A$64,0)),""))</f>
        <v/>
      </c>
      <c r="H677" s="34">
        <f>IF($F677="","",IFERROR(INDEX(사건마스터!$C$5:$C$64,MATCH($F677,사건마스터!$A$5:$A$64,0)),""))</f>
        <v/>
      </c>
      <c r="I677" s="35">
        <f>IF($F677="","",IFERROR(INDEX(사건마스터!$H$5:$H$64,MATCH($F677,사건마스터!$A$5:$A$64,0)),""))</f>
        <v/>
      </c>
      <c r="J677" s="35">
        <f>IF($F677="","",IFERROR(INDEX(사건마스터!$AH$5:$AH$64,MATCH($F677,사건마스터!$A$5:$A$64,0)),""))</f>
        <v/>
      </c>
      <c r="K677" s="35">
        <f>IF($F677="","",IFERROR(INDEX(사건마스터!$AI$5:$AI$64,MATCH($F677,사건마스터!$A$5:$A$64,0)),""))</f>
        <v/>
      </c>
      <c r="L677" s="35">
        <f>IF($F677="","",IFERROR(INDEX(사건마스터!$AJ$5:$AJ$64,MATCH($F677,사건마스터!$A$5:$A$64,0)),""))</f>
        <v/>
      </c>
      <c r="M677" s="35">
        <f>IF($F677="","",IFERROR(INDEX(사건마스터!$AK$5:$AK$64,MATCH($F677,사건마스터!$A$5:$A$64,0)),""))</f>
        <v/>
      </c>
      <c r="N677" s="35">
        <f>IF($F677="","",IFERROR(INDEX(사건마스터!$AL$5:$AL$64,MATCH($F677,사건마스터!$A$5:$A$64,0)),""))</f>
        <v/>
      </c>
      <c r="O677" s="35">
        <f>IF($F677="","",IFERROR(INDEX(사건마스터!$AM$5:$AM$64,MATCH($F677,사건마스터!$A$5:$A$64,0)),""))</f>
        <v/>
      </c>
      <c r="P677" s="35">
        <f>IF($F677="","",IFERROR(INDEX(사건마스터!$AN$5:$AN$64,MATCH($F677,사건마스터!$A$5:$A$64,0)),""))</f>
        <v/>
      </c>
      <c r="Q677" s="35">
        <f>IF($F677="","",IFERROR(INDEX(사건마스터!$AO$5:$AO$64,MATCH($F677,사건마스터!$A$5:$A$64,0)),""))</f>
        <v/>
      </c>
      <c r="R677" s="35">
        <f>IF($F677="","",IFERROR(INDEX(사건마스터!$AP$5:$AP$64,MATCH($F677,사건마스터!$A$5:$A$64,0)),""))</f>
        <v/>
      </c>
      <c r="S677" s="35">
        <f>IF($F677="","",IFERROR(INDEX(사건마스터!$AQ$5:$AQ$64,MATCH($F677,사건마스터!$A$5:$A$64,0)),""))</f>
        <v/>
      </c>
      <c r="T677" s="35">
        <f>IF($F677="","",IFERROR(INDEX(사건마스터!$AR$5:$AR$64,MATCH($F677,사건마스터!$A$5:$A$64,0)),""))</f>
        <v/>
      </c>
      <c r="U677" s="35">
        <f>IF($F677="","",IFERROR(INDEX(사건마스터!$AS$5:$AS$64,MATCH($F677,사건마스터!$A$5:$A$64,0)),""))</f>
        <v/>
      </c>
      <c r="V677" s="35">
        <f>IF($F677="","",IFERROR(INDEX(사건마스터!$AT$5:$AT$64,MATCH($F677,사건마스터!$A$5:$A$64,0)),""))</f>
        <v/>
      </c>
      <c r="W677" s="35">
        <f>IF($F677="","",IFERROR(INDEX(사건마스터!$AU$5:$AU$64,MATCH($F677,사건마스터!$A$5:$A$64,0)),""))</f>
        <v/>
      </c>
      <c r="X677" s="35">
        <f>IF($F677="","",IFERROR(INDEX(사건마스터!$AV$5:$AV$64,MATCH($F677,사건마스터!$A$5:$A$64,0)),""))</f>
        <v/>
      </c>
      <c r="Y677" s="30">
        <f>IF($I677="","",COUNTIF($I677:$X677,"?*"))</f>
        <v/>
      </c>
      <c r="Z677" s="33">
        <f>IF($I677="","",_xlfn.TEXTJOIN(", ",TRUE,$I677:$X677))</f>
        <v/>
      </c>
      <c r="AA677" s="34">
        <f>IF($I677="","",IFERROR(INDEX(코드설정!$D$5:$D$24,MATCH($I677,코드설정!$C$5:$C$24,0)),""))</f>
        <v/>
      </c>
      <c r="AB677" s="36" t="n"/>
      <c r="AC677" s="37" t="n"/>
      <c r="AD677" s="38" t="n"/>
      <c r="AE677" s="30">
        <f>IF(OR($B677="",$C677=""),"",$C677-$B677+1)</f>
        <v/>
      </c>
      <c r="AF677" s="32" t="n"/>
      <c r="AG677" s="36" t="n"/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3">
        <f>IF($F678="","",IFERROR(INDEX(사건마스터!$B$5:$B$64,MATCH($F678,사건마스터!$A$5:$A$64,0)),""))</f>
        <v/>
      </c>
      <c r="H678" s="34">
        <f>IF($F678="","",IFERROR(INDEX(사건마스터!$C$5:$C$64,MATCH($F678,사건마스터!$A$5:$A$64,0)),""))</f>
        <v/>
      </c>
      <c r="I678" s="35">
        <f>IF($F678="","",IFERROR(INDEX(사건마스터!$H$5:$H$64,MATCH($F678,사건마스터!$A$5:$A$64,0)),""))</f>
        <v/>
      </c>
      <c r="J678" s="35">
        <f>IF($F678="","",IFERROR(INDEX(사건마스터!$AH$5:$AH$64,MATCH($F678,사건마스터!$A$5:$A$64,0)),""))</f>
        <v/>
      </c>
      <c r="K678" s="35">
        <f>IF($F678="","",IFERROR(INDEX(사건마스터!$AI$5:$AI$64,MATCH($F678,사건마스터!$A$5:$A$64,0)),""))</f>
        <v/>
      </c>
      <c r="L678" s="35">
        <f>IF($F678="","",IFERROR(INDEX(사건마스터!$AJ$5:$AJ$64,MATCH($F678,사건마스터!$A$5:$A$64,0)),""))</f>
        <v/>
      </c>
      <c r="M678" s="35">
        <f>IF($F678="","",IFERROR(INDEX(사건마스터!$AK$5:$AK$64,MATCH($F678,사건마스터!$A$5:$A$64,0)),""))</f>
        <v/>
      </c>
      <c r="N678" s="35">
        <f>IF($F678="","",IFERROR(INDEX(사건마스터!$AL$5:$AL$64,MATCH($F678,사건마스터!$A$5:$A$64,0)),""))</f>
        <v/>
      </c>
      <c r="O678" s="35">
        <f>IF($F678="","",IFERROR(INDEX(사건마스터!$AM$5:$AM$64,MATCH($F678,사건마스터!$A$5:$A$64,0)),""))</f>
        <v/>
      </c>
      <c r="P678" s="35">
        <f>IF($F678="","",IFERROR(INDEX(사건마스터!$AN$5:$AN$64,MATCH($F678,사건마스터!$A$5:$A$64,0)),""))</f>
        <v/>
      </c>
      <c r="Q678" s="35">
        <f>IF($F678="","",IFERROR(INDEX(사건마스터!$AO$5:$AO$64,MATCH($F678,사건마스터!$A$5:$A$64,0)),""))</f>
        <v/>
      </c>
      <c r="R678" s="35">
        <f>IF($F678="","",IFERROR(INDEX(사건마스터!$AP$5:$AP$64,MATCH($F678,사건마스터!$A$5:$A$64,0)),""))</f>
        <v/>
      </c>
      <c r="S678" s="35">
        <f>IF($F678="","",IFERROR(INDEX(사건마스터!$AQ$5:$AQ$64,MATCH($F678,사건마스터!$A$5:$A$64,0)),""))</f>
        <v/>
      </c>
      <c r="T678" s="35">
        <f>IF($F678="","",IFERROR(INDEX(사건마스터!$AR$5:$AR$64,MATCH($F678,사건마스터!$A$5:$A$64,0)),""))</f>
        <v/>
      </c>
      <c r="U678" s="35">
        <f>IF($F678="","",IFERROR(INDEX(사건마스터!$AS$5:$AS$64,MATCH($F678,사건마스터!$A$5:$A$64,0)),""))</f>
        <v/>
      </c>
      <c r="V678" s="35">
        <f>IF($F678="","",IFERROR(INDEX(사건마스터!$AT$5:$AT$64,MATCH($F678,사건마스터!$A$5:$A$64,0)),""))</f>
        <v/>
      </c>
      <c r="W678" s="35">
        <f>IF($F678="","",IFERROR(INDEX(사건마스터!$AU$5:$AU$64,MATCH($F678,사건마스터!$A$5:$A$64,0)),""))</f>
        <v/>
      </c>
      <c r="X678" s="35">
        <f>IF($F678="","",IFERROR(INDEX(사건마스터!$AV$5:$AV$64,MATCH($F678,사건마스터!$A$5:$A$64,0)),""))</f>
        <v/>
      </c>
      <c r="Y678" s="30">
        <f>IF($I678="","",COUNTIF($I678:$X678,"?*"))</f>
        <v/>
      </c>
      <c r="Z678" s="33">
        <f>IF($I678="","",_xlfn.TEXTJOIN(", ",TRUE,$I678:$X678))</f>
        <v/>
      </c>
      <c r="AA678" s="34">
        <f>IF($I678="","",IFERROR(INDEX(코드설정!$D$5:$D$24,MATCH($I678,코드설정!$C$5:$C$24,0)),""))</f>
        <v/>
      </c>
      <c r="AB678" s="36" t="n"/>
      <c r="AC678" s="37" t="n"/>
      <c r="AD678" s="38" t="n"/>
      <c r="AE678" s="30">
        <f>IF(OR($B678="",$C678=""),"",$C678-$B678+1)</f>
        <v/>
      </c>
      <c r="AF678" s="32" t="n"/>
      <c r="AG678" s="36" t="n"/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3">
        <f>IF($F679="","",IFERROR(INDEX(사건마스터!$B$5:$B$64,MATCH($F679,사건마스터!$A$5:$A$64,0)),""))</f>
        <v/>
      </c>
      <c r="H679" s="34">
        <f>IF($F679="","",IFERROR(INDEX(사건마스터!$C$5:$C$64,MATCH($F679,사건마스터!$A$5:$A$64,0)),""))</f>
        <v/>
      </c>
      <c r="I679" s="35">
        <f>IF($F679="","",IFERROR(INDEX(사건마스터!$H$5:$H$64,MATCH($F679,사건마스터!$A$5:$A$64,0)),""))</f>
        <v/>
      </c>
      <c r="J679" s="35">
        <f>IF($F679="","",IFERROR(INDEX(사건마스터!$AH$5:$AH$64,MATCH($F679,사건마스터!$A$5:$A$64,0)),""))</f>
        <v/>
      </c>
      <c r="K679" s="35">
        <f>IF($F679="","",IFERROR(INDEX(사건마스터!$AI$5:$AI$64,MATCH($F679,사건마스터!$A$5:$A$64,0)),""))</f>
        <v/>
      </c>
      <c r="L679" s="35">
        <f>IF($F679="","",IFERROR(INDEX(사건마스터!$AJ$5:$AJ$64,MATCH($F679,사건마스터!$A$5:$A$64,0)),""))</f>
        <v/>
      </c>
      <c r="M679" s="35">
        <f>IF($F679="","",IFERROR(INDEX(사건마스터!$AK$5:$AK$64,MATCH($F679,사건마스터!$A$5:$A$64,0)),""))</f>
        <v/>
      </c>
      <c r="N679" s="35">
        <f>IF($F679="","",IFERROR(INDEX(사건마스터!$AL$5:$AL$64,MATCH($F679,사건마스터!$A$5:$A$64,0)),""))</f>
        <v/>
      </c>
      <c r="O679" s="35">
        <f>IF($F679="","",IFERROR(INDEX(사건마스터!$AM$5:$AM$64,MATCH($F679,사건마스터!$A$5:$A$64,0)),""))</f>
        <v/>
      </c>
      <c r="P679" s="35">
        <f>IF($F679="","",IFERROR(INDEX(사건마스터!$AN$5:$AN$64,MATCH($F679,사건마스터!$A$5:$A$64,0)),""))</f>
        <v/>
      </c>
      <c r="Q679" s="35">
        <f>IF($F679="","",IFERROR(INDEX(사건마스터!$AO$5:$AO$64,MATCH($F679,사건마스터!$A$5:$A$64,0)),""))</f>
        <v/>
      </c>
      <c r="R679" s="35">
        <f>IF($F679="","",IFERROR(INDEX(사건마스터!$AP$5:$AP$64,MATCH($F679,사건마스터!$A$5:$A$64,0)),""))</f>
        <v/>
      </c>
      <c r="S679" s="35">
        <f>IF($F679="","",IFERROR(INDEX(사건마스터!$AQ$5:$AQ$64,MATCH($F679,사건마스터!$A$5:$A$64,0)),""))</f>
        <v/>
      </c>
      <c r="T679" s="35">
        <f>IF($F679="","",IFERROR(INDEX(사건마스터!$AR$5:$AR$64,MATCH($F679,사건마스터!$A$5:$A$64,0)),""))</f>
        <v/>
      </c>
      <c r="U679" s="35">
        <f>IF($F679="","",IFERROR(INDEX(사건마스터!$AS$5:$AS$64,MATCH($F679,사건마스터!$A$5:$A$64,0)),""))</f>
        <v/>
      </c>
      <c r="V679" s="35">
        <f>IF($F679="","",IFERROR(INDEX(사건마스터!$AT$5:$AT$64,MATCH($F679,사건마스터!$A$5:$A$64,0)),""))</f>
        <v/>
      </c>
      <c r="W679" s="35">
        <f>IF($F679="","",IFERROR(INDEX(사건마스터!$AU$5:$AU$64,MATCH($F679,사건마스터!$A$5:$A$64,0)),""))</f>
        <v/>
      </c>
      <c r="X679" s="35">
        <f>IF($F679="","",IFERROR(INDEX(사건마스터!$AV$5:$AV$64,MATCH($F679,사건마스터!$A$5:$A$64,0)),""))</f>
        <v/>
      </c>
      <c r="Y679" s="30">
        <f>IF($I679="","",COUNTIF($I679:$X679,"?*"))</f>
        <v/>
      </c>
      <c r="Z679" s="33">
        <f>IF($I679="","",_xlfn.TEXTJOIN(", ",TRUE,$I679:$X679))</f>
        <v/>
      </c>
      <c r="AA679" s="34">
        <f>IF($I679="","",IFERROR(INDEX(코드설정!$D$5:$D$24,MATCH($I679,코드설정!$C$5:$C$24,0)),""))</f>
        <v/>
      </c>
      <c r="AB679" s="36" t="n"/>
      <c r="AC679" s="37" t="n"/>
      <c r="AD679" s="38" t="n"/>
      <c r="AE679" s="30">
        <f>IF(OR($B679="",$C679=""),"",$C679-$B679+1)</f>
        <v/>
      </c>
      <c r="AF679" s="32" t="n"/>
      <c r="AG679" s="36" t="n"/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3">
        <f>IF($F680="","",IFERROR(INDEX(사건마스터!$B$5:$B$64,MATCH($F680,사건마스터!$A$5:$A$64,0)),""))</f>
        <v/>
      </c>
      <c r="H680" s="34">
        <f>IF($F680="","",IFERROR(INDEX(사건마스터!$C$5:$C$64,MATCH($F680,사건마스터!$A$5:$A$64,0)),""))</f>
        <v/>
      </c>
      <c r="I680" s="35">
        <f>IF($F680="","",IFERROR(INDEX(사건마스터!$H$5:$H$64,MATCH($F680,사건마스터!$A$5:$A$64,0)),""))</f>
        <v/>
      </c>
      <c r="J680" s="35">
        <f>IF($F680="","",IFERROR(INDEX(사건마스터!$AH$5:$AH$64,MATCH($F680,사건마스터!$A$5:$A$64,0)),""))</f>
        <v/>
      </c>
      <c r="K680" s="35">
        <f>IF($F680="","",IFERROR(INDEX(사건마스터!$AI$5:$AI$64,MATCH($F680,사건마스터!$A$5:$A$64,0)),""))</f>
        <v/>
      </c>
      <c r="L680" s="35">
        <f>IF($F680="","",IFERROR(INDEX(사건마스터!$AJ$5:$AJ$64,MATCH($F680,사건마스터!$A$5:$A$64,0)),""))</f>
        <v/>
      </c>
      <c r="M680" s="35">
        <f>IF($F680="","",IFERROR(INDEX(사건마스터!$AK$5:$AK$64,MATCH($F680,사건마스터!$A$5:$A$64,0)),""))</f>
        <v/>
      </c>
      <c r="N680" s="35">
        <f>IF($F680="","",IFERROR(INDEX(사건마스터!$AL$5:$AL$64,MATCH($F680,사건마스터!$A$5:$A$64,0)),""))</f>
        <v/>
      </c>
      <c r="O680" s="35">
        <f>IF($F680="","",IFERROR(INDEX(사건마스터!$AM$5:$AM$64,MATCH($F680,사건마스터!$A$5:$A$64,0)),""))</f>
        <v/>
      </c>
      <c r="P680" s="35">
        <f>IF($F680="","",IFERROR(INDEX(사건마스터!$AN$5:$AN$64,MATCH($F680,사건마스터!$A$5:$A$64,0)),""))</f>
        <v/>
      </c>
      <c r="Q680" s="35">
        <f>IF($F680="","",IFERROR(INDEX(사건마스터!$AO$5:$AO$64,MATCH($F680,사건마스터!$A$5:$A$64,0)),""))</f>
        <v/>
      </c>
      <c r="R680" s="35">
        <f>IF($F680="","",IFERROR(INDEX(사건마스터!$AP$5:$AP$64,MATCH($F680,사건마스터!$A$5:$A$64,0)),""))</f>
        <v/>
      </c>
      <c r="S680" s="35">
        <f>IF($F680="","",IFERROR(INDEX(사건마스터!$AQ$5:$AQ$64,MATCH($F680,사건마스터!$A$5:$A$64,0)),""))</f>
        <v/>
      </c>
      <c r="T680" s="35">
        <f>IF($F680="","",IFERROR(INDEX(사건마스터!$AR$5:$AR$64,MATCH($F680,사건마스터!$A$5:$A$64,0)),""))</f>
        <v/>
      </c>
      <c r="U680" s="35">
        <f>IF($F680="","",IFERROR(INDEX(사건마스터!$AS$5:$AS$64,MATCH($F680,사건마스터!$A$5:$A$64,0)),""))</f>
        <v/>
      </c>
      <c r="V680" s="35">
        <f>IF($F680="","",IFERROR(INDEX(사건마스터!$AT$5:$AT$64,MATCH($F680,사건마스터!$A$5:$A$64,0)),""))</f>
        <v/>
      </c>
      <c r="W680" s="35">
        <f>IF($F680="","",IFERROR(INDEX(사건마스터!$AU$5:$AU$64,MATCH($F680,사건마스터!$A$5:$A$64,0)),""))</f>
        <v/>
      </c>
      <c r="X680" s="35">
        <f>IF($F680="","",IFERROR(INDEX(사건마스터!$AV$5:$AV$64,MATCH($F680,사건마스터!$A$5:$A$64,0)),""))</f>
        <v/>
      </c>
      <c r="Y680" s="30">
        <f>IF($I680="","",COUNTIF($I680:$X680,"?*"))</f>
        <v/>
      </c>
      <c r="Z680" s="33">
        <f>IF($I680="","",_xlfn.TEXTJOIN(", ",TRUE,$I680:$X680))</f>
        <v/>
      </c>
      <c r="AA680" s="34">
        <f>IF($I680="","",IFERROR(INDEX(코드설정!$D$5:$D$24,MATCH($I680,코드설정!$C$5:$C$24,0)),""))</f>
        <v/>
      </c>
      <c r="AB680" s="36" t="n"/>
      <c r="AC680" s="37" t="n"/>
      <c r="AD680" s="38" t="n"/>
      <c r="AE680" s="30">
        <f>IF(OR($B680="",$C680=""),"",$C680-$B680+1)</f>
        <v/>
      </c>
      <c r="AF680" s="32" t="n"/>
      <c r="AG680" s="36" t="n"/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3">
        <f>IF($F681="","",IFERROR(INDEX(사건마스터!$B$5:$B$64,MATCH($F681,사건마스터!$A$5:$A$64,0)),""))</f>
        <v/>
      </c>
      <c r="H681" s="34">
        <f>IF($F681="","",IFERROR(INDEX(사건마스터!$C$5:$C$64,MATCH($F681,사건마스터!$A$5:$A$64,0)),""))</f>
        <v/>
      </c>
      <c r="I681" s="35">
        <f>IF($F681="","",IFERROR(INDEX(사건마스터!$H$5:$H$64,MATCH($F681,사건마스터!$A$5:$A$64,0)),""))</f>
        <v/>
      </c>
      <c r="J681" s="35">
        <f>IF($F681="","",IFERROR(INDEX(사건마스터!$AH$5:$AH$64,MATCH($F681,사건마스터!$A$5:$A$64,0)),""))</f>
        <v/>
      </c>
      <c r="K681" s="35">
        <f>IF($F681="","",IFERROR(INDEX(사건마스터!$AI$5:$AI$64,MATCH($F681,사건마스터!$A$5:$A$64,0)),""))</f>
        <v/>
      </c>
      <c r="L681" s="35">
        <f>IF($F681="","",IFERROR(INDEX(사건마스터!$AJ$5:$AJ$64,MATCH($F681,사건마스터!$A$5:$A$64,0)),""))</f>
        <v/>
      </c>
      <c r="M681" s="35">
        <f>IF($F681="","",IFERROR(INDEX(사건마스터!$AK$5:$AK$64,MATCH($F681,사건마스터!$A$5:$A$64,0)),""))</f>
        <v/>
      </c>
      <c r="N681" s="35">
        <f>IF($F681="","",IFERROR(INDEX(사건마스터!$AL$5:$AL$64,MATCH($F681,사건마스터!$A$5:$A$64,0)),""))</f>
        <v/>
      </c>
      <c r="O681" s="35">
        <f>IF($F681="","",IFERROR(INDEX(사건마스터!$AM$5:$AM$64,MATCH($F681,사건마스터!$A$5:$A$64,0)),""))</f>
        <v/>
      </c>
      <c r="P681" s="35">
        <f>IF($F681="","",IFERROR(INDEX(사건마스터!$AN$5:$AN$64,MATCH($F681,사건마스터!$A$5:$A$64,0)),""))</f>
        <v/>
      </c>
      <c r="Q681" s="35">
        <f>IF($F681="","",IFERROR(INDEX(사건마스터!$AO$5:$AO$64,MATCH($F681,사건마스터!$A$5:$A$64,0)),""))</f>
        <v/>
      </c>
      <c r="R681" s="35">
        <f>IF($F681="","",IFERROR(INDEX(사건마스터!$AP$5:$AP$64,MATCH($F681,사건마스터!$A$5:$A$64,0)),""))</f>
        <v/>
      </c>
      <c r="S681" s="35">
        <f>IF($F681="","",IFERROR(INDEX(사건마스터!$AQ$5:$AQ$64,MATCH($F681,사건마스터!$A$5:$A$64,0)),""))</f>
        <v/>
      </c>
      <c r="T681" s="35">
        <f>IF($F681="","",IFERROR(INDEX(사건마스터!$AR$5:$AR$64,MATCH($F681,사건마스터!$A$5:$A$64,0)),""))</f>
        <v/>
      </c>
      <c r="U681" s="35">
        <f>IF($F681="","",IFERROR(INDEX(사건마스터!$AS$5:$AS$64,MATCH($F681,사건마스터!$A$5:$A$64,0)),""))</f>
        <v/>
      </c>
      <c r="V681" s="35">
        <f>IF($F681="","",IFERROR(INDEX(사건마스터!$AT$5:$AT$64,MATCH($F681,사건마스터!$A$5:$A$64,0)),""))</f>
        <v/>
      </c>
      <c r="W681" s="35">
        <f>IF($F681="","",IFERROR(INDEX(사건마스터!$AU$5:$AU$64,MATCH($F681,사건마스터!$A$5:$A$64,0)),""))</f>
        <v/>
      </c>
      <c r="X681" s="35">
        <f>IF($F681="","",IFERROR(INDEX(사건마스터!$AV$5:$AV$64,MATCH($F681,사건마스터!$A$5:$A$64,0)),""))</f>
        <v/>
      </c>
      <c r="Y681" s="30">
        <f>IF($I681="","",COUNTIF($I681:$X681,"?*"))</f>
        <v/>
      </c>
      <c r="Z681" s="33">
        <f>IF($I681="","",_xlfn.TEXTJOIN(", ",TRUE,$I681:$X681))</f>
        <v/>
      </c>
      <c r="AA681" s="34">
        <f>IF($I681="","",IFERROR(INDEX(코드설정!$D$5:$D$24,MATCH($I681,코드설정!$C$5:$C$24,0)),""))</f>
        <v/>
      </c>
      <c r="AB681" s="36" t="n"/>
      <c r="AC681" s="37" t="n"/>
      <c r="AD681" s="38" t="n"/>
      <c r="AE681" s="30">
        <f>IF(OR($B681="",$C681=""),"",$C681-$B681+1)</f>
        <v/>
      </c>
      <c r="AF681" s="32" t="n"/>
      <c r="AG681" s="36" t="n"/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3">
        <f>IF($F682="","",IFERROR(INDEX(사건마스터!$B$5:$B$64,MATCH($F682,사건마스터!$A$5:$A$64,0)),""))</f>
        <v/>
      </c>
      <c r="H682" s="34">
        <f>IF($F682="","",IFERROR(INDEX(사건마스터!$C$5:$C$64,MATCH($F682,사건마스터!$A$5:$A$64,0)),""))</f>
        <v/>
      </c>
      <c r="I682" s="35">
        <f>IF($F682="","",IFERROR(INDEX(사건마스터!$H$5:$H$64,MATCH($F682,사건마스터!$A$5:$A$64,0)),""))</f>
        <v/>
      </c>
      <c r="J682" s="35">
        <f>IF($F682="","",IFERROR(INDEX(사건마스터!$AH$5:$AH$64,MATCH($F682,사건마스터!$A$5:$A$64,0)),""))</f>
        <v/>
      </c>
      <c r="K682" s="35">
        <f>IF($F682="","",IFERROR(INDEX(사건마스터!$AI$5:$AI$64,MATCH($F682,사건마스터!$A$5:$A$64,0)),""))</f>
        <v/>
      </c>
      <c r="L682" s="35">
        <f>IF($F682="","",IFERROR(INDEX(사건마스터!$AJ$5:$AJ$64,MATCH($F682,사건마스터!$A$5:$A$64,0)),""))</f>
        <v/>
      </c>
      <c r="M682" s="35">
        <f>IF($F682="","",IFERROR(INDEX(사건마스터!$AK$5:$AK$64,MATCH($F682,사건마스터!$A$5:$A$64,0)),""))</f>
        <v/>
      </c>
      <c r="N682" s="35">
        <f>IF($F682="","",IFERROR(INDEX(사건마스터!$AL$5:$AL$64,MATCH($F682,사건마스터!$A$5:$A$64,0)),""))</f>
        <v/>
      </c>
      <c r="O682" s="35">
        <f>IF($F682="","",IFERROR(INDEX(사건마스터!$AM$5:$AM$64,MATCH($F682,사건마스터!$A$5:$A$64,0)),""))</f>
        <v/>
      </c>
      <c r="P682" s="35">
        <f>IF($F682="","",IFERROR(INDEX(사건마스터!$AN$5:$AN$64,MATCH($F682,사건마스터!$A$5:$A$64,0)),""))</f>
        <v/>
      </c>
      <c r="Q682" s="35">
        <f>IF($F682="","",IFERROR(INDEX(사건마스터!$AO$5:$AO$64,MATCH($F682,사건마스터!$A$5:$A$64,0)),""))</f>
        <v/>
      </c>
      <c r="R682" s="35">
        <f>IF($F682="","",IFERROR(INDEX(사건마스터!$AP$5:$AP$64,MATCH($F682,사건마스터!$A$5:$A$64,0)),""))</f>
        <v/>
      </c>
      <c r="S682" s="35">
        <f>IF($F682="","",IFERROR(INDEX(사건마스터!$AQ$5:$AQ$64,MATCH($F682,사건마스터!$A$5:$A$64,0)),""))</f>
        <v/>
      </c>
      <c r="T682" s="35">
        <f>IF($F682="","",IFERROR(INDEX(사건마스터!$AR$5:$AR$64,MATCH($F682,사건마스터!$A$5:$A$64,0)),""))</f>
        <v/>
      </c>
      <c r="U682" s="35">
        <f>IF($F682="","",IFERROR(INDEX(사건마스터!$AS$5:$AS$64,MATCH($F682,사건마스터!$A$5:$A$64,0)),""))</f>
        <v/>
      </c>
      <c r="V682" s="35">
        <f>IF($F682="","",IFERROR(INDEX(사건마스터!$AT$5:$AT$64,MATCH($F682,사건마스터!$A$5:$A$64,0)),""))</f>
        <v/>
      </c>
      <c r="W682" s="35">
        <f>IF($F682="","",IFERROR(INDEX(사건마스터!$AU$5:$AU$64,MATCH($F682,사건마스터!$A$5:$A$64,0)),""))</f>
        <v/>
      </c>
      <c r="X682" s="35">
        <f>IF($F682="","",IFERROR(INDEX(사건마스터!$AV$5:$AV$64,MATCH($F682,사건마스터!$A$5:$A$64,0)),""))</f>
        <v/>
      </c>
      <c r="Y682" s="30">
        <f>IF($I682="","",COUNTIF($I682:$X682,"?*"))</f>
        <v/>
      </c>
      <c r="Z682" s="33">
        <f>IF($I682="","",_xlfn.TEXTJOIN(", ",TRUE,$I682:$X682))</f>
        <v/>
      </c>
      <c r="AA682" s="34">
        <f>IF($I682="","",IFERROR(INDEX(코드설정!$D$5:$D$24,MATCH($I682,코드설정!$C$5:$C$24,0)),""))</f>
        <v/>
      </c>
      <c r="AB682" s="36" t="n"/>
      <c r="AC682" s="37" t="n"/>
      <c r="AD682" s="38" t="n"/>
      <c r="AE682" s="30">
        <f>IF(OR($B682="",$C682=""),"",$C682-$B682+1)</f>
        <v/>
      </c>
      <c r="AF682" s="32" t="n"/>
      <c r="AG682" s="36" t="n"/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3">
        <f>IF($F683="","",IFERROR(INDEX(사건마스터!$B$5:$B$64,MATCH($F683,사건마스터!$A$5:$A$64,0)),""))</f>
        <v/>
      </c>
      <c r="H683" s="34">
        <f>IF($F683="","",IFERROR(INDEX(사건마스터!$C$5:$C$64,MATCH($F683,사건마스터!$A$5:$A$64,0)),""))</f>
        <v/>
      </c>
      <c r="I683" s="35">
        <f>IF($F683="","",IFERROR(INDEX(사건마스터!$H$5:$H$64,MATCH($F683,사건마스터!$A$5:$A$64,0)),""))</f>
        <v/>
      </c>
      <c r="J683" s="35">
        <f>IF($F683="","",IFERROR(INDEX(사건마스터!$AH$5:$AH$64,MATCH($F683,사건마스터!$A$5:$A$64,0)),""))</f>
        <v/>
      </c>
      <c r="K683" s="35">
        <f>IF($F683="","",IFERROR(INDEX(사건마스터!$AI$5:$AI$64,MATCH($F683,사건마스터!$A$5:$A$64,0)),""))</f>
        <v/>
      </c>
      <c r="L683" s="35">
        <f>IF($F683="","",IFERROR(INDEX(사건마스터!$AJ$5:$AJ$64,MATCH($F683,사건마스터!$A$5:$A$64,0)),""))</f>
        <v/>
      </c>
      <c r="M683" s="35">
        <f>IF($F683="","",IFERROR(INDEX(사건마스터!$AK$5:$AK$64,MATCH($F683,사건마스터!$A$5:$A$64,0)),""))</f>
        <v/>
      </c>
      <c r="N683" s="35">
        <f>IF($F683="","",IFERROR(INDEX(사건마스터!$AL$5:$AL$64,MATCH($F683,사건마스터!$A$5:$A$64,0)),""))</f>
        <v/>
      </c>
      <c r="O683" s="35">
        <f>IF($F683="","",IFERROR(INDEX(사건마스터!$AM$5:$AM$64,MATCH($F683,사건마스터!$A$5:$A$64,0)),""))</f>
        <v/>
      </c>
      <c r="P683" s="35">
        <f>IF($F683="","",IFERROR(INDEX(사건마스터!$AN$5:$AN$64,MATCH($F683,사건마스터!$A$5:$A$64,0)),""))</f>
        <v/>
      </c>
      <c r="Q683" s="35">
        <f>IF($F683="","",IFERROR(INDEX(사건마스터!$AO$5:$AO$64,MATCH($F683,사건마스터!$A$5:$A$64,0)),""))</f>
        <v/>
      </c>
      <c r="R683" s="35">
        <f>IF($F683="","",IFERROR(INDEX(사건마스터!$AP$5:$AP$64,MATCH($F683,사건마스터!$A$5:$A$64,0)),""))</f>
        <v/>
      </c>
      <c r="S683" s="35">
        <f>IF($F683="","",IFERROR(INDEX(사건마스터!$AQ$5:$AQ$64,MATCH($F683,사건마스터!$A$5:$A$64,0)),""))</f>
        <v/>
      </c>
      <c r="T683" s="35">
        <f>IF($F683="","",IFERROR(INDEX(사건마스터!$AR$5:$AR$64,MATCH($F683,사건마스터!$A$5:$A$64,0)),""))</f>
        <v/>
      </c>
      <c r="U683" s="35">
        <f>IF($F683="","",IFERROR(INDEX(사건마스터!$AS$5:$AS$64,MATCH($F683,사건마스터!$A$5:$A$64,0)),""))</f>
        <v/>
      </c>
      <c r="V683" s="35">
        <f>IF($F683="","",IFERROR(INDEX(사건마스터!$AT$5:$AT$64,MATCH($F683,사건마스터!$A$5:$A$64,0)),""))</f>
        <v/>
      </c>
      <c r="W683" s="35">
        <f>IF($F683="","",IFERROR(INDEX(사건마스터!$AU$5:$AU$64,MATCH($F683,사건마스터!$A$5:$A$64,0)),""))</f>
        <v/>
      </c>
      <c r="X683" s="35">
        <f>IF($F683="","",IFERROR(INDEX(사건마스터!$AV$5:$AV$64,MATCH($F683,사건마스터!$A$5:$A$64,0)),""))</f>
        <v/>
      </c>
      <c r="Y683" s="30">
        <f>IF($I683="","",COUNTIF($I683:$X683,"?*"))</f>
        <v/>
      </c>
      <c r="Z683" s="33">
        <f>IF($I683="","",_xlfn.TEXTJOIN(", ",TRUE,$I683:$X683))</f>
        <v/>
      </c>
      <c r="AA683" s="34">
        <f>IF($I683="","",IFERROR(INDEX(코드설정!$D$5:$D$24,MATCH($I683,코드설정!$C$5:$C$24,0)),""))</f>
        <v/>
      </c>
      <c r="AB683" s="36" t="n"/>
      <c r="AC683" s="37" t="n"/>
      <c r="AD683" s="38" t="n"/>
      <c r="AE683" s="30">
        <f>IF(OR($B683="",$C683=""),"",$C683-$B683+1)</f>
        <v/>
      </c>
      <c r="AF683" s="32" t="n"/>
      <c r="AG683" s="36" t="n"/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3">
        <f>IF($F684="","",IFERROR(INDEX(사건마스터!$B$5:$B$64,MATCH($F684,사건마스터!$A$5:$A$64,0)),""))</f>
        <v/>
      </c>
      <c r="H684" s="34">
        <f>IF($F684="","",IFERROR(INDEX(사건마스터!$C$5:$C$64,MATCH($F684,사건마스터!$A$5:$A$64,0)),""))</f>
        <v/>
      </c>
      <c r="I684" s="35">
        <f>IF($F684="","",IFERROR(INDEX(사건마스터!$H$5:$H$64,MATCH($F684,사건마스터!$A$5:$A$64,0)),""))</f>
        <v/>
      </c>
      <c r="J684" s="35">
        <f>IF($F684="","",IFERROR(INDEX(사건마스터!$AH$5:$AH$64,MATCH($F684,사건마스터!$A$5:$A$64,0)),""))</f>
        <v/>
      </c>
      <c r="K684" s="35">
        <f>IF($F684="","",IFERROR(INDEX(사건마스터!$AI$5:$AI$64,MATCH($F684,사건마스터!$A$5:$A$64,0)),""))</f>
        <v/>
      </c>
      <c r="L684" s="35">
        <f>IF($F684="","",IFERROR(INDEX(사건마스터!$AJ$5:$AJ$64,MATCH($F684,사건마스터!$A$5:$A$64,0)),""))</f>
        <v/>
      </c>
      <c r="M684" s="35">
        <f>IF($F684="","",IFERROR(INDEX(사건마스터!$AK$5:$AK$64,MATCH($F684,사건마스터!$A$5:$A$64,0)),""))</f>
        <v/>
      </c>
      <c r="N684" s="35">
        <f>IF($F684="","",IFERROR(INDEX(사건마스터!$AL$5:$AL$64,MATCH($F684,사건마스터!$A$5:$A$64,0)),""))</f>
        <v/>
      </c>
      <c r="O684" s="35">
        <f>IF($F684="","",IFERROR(INDEX(사건마스터!$AM$5:$AM$64,MATCH($F684,사건마스터!$A$5:$A$64,0)),""))</f>
        <v/>
      </c>
      <c r="P684" s="35">
        <f>IF($F684="","",IFERROR(INDEX(사건마스터!$AN$5:$AN$64,MATCH($F684,사건마스터!$A$5:$A$64,0)),""))</f>
        <v/>
      </c>
      <c r="Q684" s="35">
        <f>IF($F684="","",IFERROR(INDEX(사건마스터!$AO$5:$AO$64,MATCH($F684,사건마스터!$A$5:$A$64,0)),""))</f>
        <v/>
      </c>
      <c r="R684" s="35">
        <f>IF($F684="","",IFERROR(INDEX(사건마스터!$AP$5:$AP$64,MATCH($F684,사건마스터!$A$5:$A$64,0)),""))</f>
        <v/>
      </c>
      <c r="S684" s="35">
        <f>IF($F684="","",IFERROR(INDEX(사건마스터!$AQ$5:$AQ$64,MATCH($F684,사건마스터!$A$5:$A$64,0)),""))</f>
        <v/>
      </c>
      <c r="T684" s="35">
        <f>IF($F684="","",IFERROR(INDEX(사건마스터!$AR$5:$AR$64,MATCH($F684,사건마스터!$A$5:$A$64,0)),""))</f>
        <v/>
      </c>
      <c r="U684" s="35">
        <f>IF($F684="","",IFERROR(INDEX(사건마스터!$AS$5:$AS$64,MATCH($F684,사건마스터!$A$5:$A$64,0)),""))</f>
        <v/>
      </c>
      <c r="V684" s="35">
        <f>IF($F684="","",IFERROR(INDEX(사건마스터!$AT$5:$AT$64,MATCH($F684,사건마스터!$A$5:$A$64,0)),""))</f>
        <v/>
      </c>
      <c r="W684" s="35">
        <f>IF($F684="","",IFERROR(INDEX(사건마스터!$AU$5:$AU$64,MATCH($F684,사건마스터!$A$5:$A$64,0)),""))</f>
        <v/>
      </c>
      <c r="X684" s="35">
        <f>IF($F684="","",IFERROR(INDEX(사건마스터!$AV$5:$AV$64,MATCH($F684,사건마스터!$A$5:$A$64,0)),""))</f>
        <v/>
      </c>
      <c r="Y684" s="30">
        <f>IF($I684="","",COUNTIF($I684:$X684,"?*"))</f>
        <v/>
      </c>
      <c r="Z684" s="33">
        <f>IF($I684="","",_xlfn.TEXTJOIN(", ",TRUE,$I684:$X684))</f>
        <v/>
      </c>
      <c r="AA684" s="34">
        <f>IF($I684="","",IFERROR(INDEX(코드설정!$D$5:$D$24,MATCH($I684,코드설정!$C$5:$C$24,0)),""))</f>
        <v/>
      </c>
      <c r="AB684" s="36" t="n"/>
      <c r="AC684" s="37" t="n"/>
      <c r="AD684" s="38" t="n"/>
      <c r="AE684" s="30">
        <f>IF(OR($B684="",$C684=""),"",$C684-$B684+1)</f>
        <v/>
      </c>
      <c r="AF684" s="32" t="n"/>
      <c r="AG684" s="36" t="n"/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3">
        <f>IF($F685="","",IFERROR(INDEX(사건마스터!$B$5:$B$64,MATCH($F685,사건마스터!$A$5:$A$64,0)),""))</f>
        <v/>
      </c>
      <c r="H685" s="34">
        <f>IF($F685="","",IFERROR(INDEX(사건마스터!$C$5:$C$64,MATCH($F685,사건마스터!$A$5:$A$64,0)),""))</f>
        <v/>
      </c>
      <c r="I685" s="35">
        <f>IF($F685="","",IFERROR(INDEX(사건마스터!$H$5:$H$64,MATCH($F685,사건마스터!$A$5:$A$64,0)),""))</f>
        <v/>
      </c>
      <c r="J685" s="35">
        <f>IF($F685="","",IFERROR(INDEX(사건마스터!$AH$5:$AH$64,MATCH($F685,사건마스터!$A$5:$A$64,0)),""))</f>
        <v/>
      </c>
      <c r="K685" s="35">
        <f>IF($F685="","",IFERROR(INDEX(사건마스터!$AI$5:$AI$64,MATCH($F685,사건마스터!$A$5:$A$64,0)),""))</f>
        <v/>
      </c>
      <c r="L685" s="35">
        <f>IF($F685="","",IFERROR(INDEX(사건마스터!$AJ$5:$AJ$64,MATCH($F685,사건마스터!$A$5:$A$64,0)),""))</f>
        <v/>
      </c>
      <c r="M685" s="35">
        <f>IF($F685="","",IFERROR(INDEX(사건마스터!$AK$5:$AK$64,MATCH($F685,사건마스터!$A$5:$A$64,0)),""))</f>
        <v/>
      </c>
      <c r="N685" s="35">
        <f>IF($F685="","",IFERROR(INDEX(사건마스터!$AL$5:$AL$64,MATCH($F685,사건마스터!$A$5:$A$64,0)),""))</f>
        <v/>
      </c>
      <c r="O685" s="35">
        <f>IF($F685="","",IFERROR(INDEX(사건마스터!$AM$5:$AM$64,MATCH($F685,사건마스터!$A$5:$A$64,0)),""))</f>
        <v/>
      </c>
      <c r="P685" s="35">
        <f>IF($F685="","",IFERROR(INDEX(사건마스터!$AN$5:$AN$64,MATCH($F685,사건마스터!$A$5:$A$64,0)),""))</f>
        <v/>
      </c>
      <c r="Q685" s="35">
        <f>IF($F685="","",IFERROR(INDEX(사건마스터!$AO$5:$AO$64,MATCH($F685,사건마스터!$A$5:$A$64,0)),""))</f>
        <v/>
      </c>
      <c r="R685" s="35">
        <f>IF($F685="","",IFERROR(INDEX(사건마스터!$AP$5:$AP$64,MATCH($F685,사건마스터!$A$5:$A$64,0)),""))</f>
        <v/>
      </c>
      <c r="S685" s="35">
        <f>IF($F685="","",IFERROR(INDEX(사건마스터!$AQ$5:$AQ$64,MATCH($F685,사건마스터!$A$5:$A$64,0)),""))</f>
        <v/>
      </c>
      <c r="T685" s="35">
        <f>IF($F685="","",IFERROR(INDEX(사건마스터!$AR$5:$AR$64,MATCH($F685,사건마스터!$A$5:$A$64,0)),""))</f>
        <v/>
      </c>
      <c r="U685" s="35">
        <f>IF($F685="","",IFERROR(INDEX(사건마스터!$AS$5:$AS$64,MATCH($F685,사건마스터!$A$5:$A$64,0)),""))</f>
        <v/>
      </c>
      <c r="V685" s="35">
        <f>IF($F685="","",IFERROR(INDEX(사건마스터!$AT$5:$AT$64,MATCH($F685,사건마스터!$A$5:$A$64,0)),""))</f>
        <v/>
      </c>
      <c r="W685" s="35">
        <f>IF($F685="","",IFERROR(INDEX(사건마스터!$AU$5:$AU$64,MATCH($F685,사건마스터!$A$5:$A$64,0)),""))</f>
        <v/>
      </c>
      <c r="X685" s="35">
        <f>IF($F685="","",IFERROR(INDEX(사건마스터!$AV$5:$AV$64,MATCH($F685,사건마스터!$A$5:$A$64,0)),""))</f>
        <v/>
      </c>
      <c r="Y685" s="30">
        <f>IF($I685="","",COUNTIF($I685:$X685,"?*"))</f>
        <v/>
      </c>
      <c r="Z685" s="33">
        <f>IF($I685="","",_xlfn.TEXTJOIN(", ",TRUE,$I685:$X685))</f>
        <v/>
      </c>
      <c r="AA685" s="34">
        <f>IF($I685="","",IFERROR(INDEX(코드설정!$D$5:$D$24,MATCH($I685,코드설정!$C$5:$C$24,0)),""))</f>
        <v/>
      </c>
      <c r="AB685" s="36" t="n"/>
      <c r="AC685" s="37" t="n"/>
      <c r="AD685" s="38" t="n"/>
      <c r="AE685" s="30">
        <f>IF(OR($B685="",$C685=""),"",$C685-$B685+1)</f>
        <v/>
      </c>
      <c r="AF685" s="32" t="n"/>
      <c r="AG685" s="36" t="n"/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3">
        <f>IF($F686="","",IFERROR(INDEX(사건마스터!$B$5:$B$64,MATCH($F686,사건마스터!$A$5:$A$64,0)),""))</f>
        <v/>
      </c>
      <c r="H686" s="34">
        <f>IF($F686="","",IFERROR(INDEX(사건마스터!$C$5:$C$64,MATCH($F686,사건마스터!$A$5:$A$64,0)),""))</f>
        <v/>
      </c>
      <c r="I686" s="35">
        <f>IF($F686="","",IFERROR(INDEX(사건마스터!$H$5:$H$64,MATCH($F686,사건마스터!$A$5:$A$64,0)),""))</f>
        <v/>
      </c>
      <c r="J686" s="35">
        <f>IF($F686="","",IFERROR(INDEX(사건마스터!$AH$5:$AH$64,MATCH($F686,사건마스터!$A$5:$A$64,0)),""))</f>
        <v/>
      </c>
      <c r="K686" s="35">
        <f>IF($F686="","",IFERROR(INDEX(사건마스터!$AI$5:$AI$64,MATCH($F686,사건마스터!$A$5:$A$64,0)),""))</f>
        <v/>
      </c>
      <c r="L686" s="35">
        <f>IF($F686="","",IFERROR(INDEX(사건마스터!$AJ$5:$AJ$64,MATCH($F686,사건마스터!$A$5:$A$64,0)),""))</f>
        <v/>
      </c>
      <c r="M686" s="35">
        <f>IF($F686="","",IFERROR(INDEX(사건마스터!$AK$5:$AK$64,MATCH($F686,사건마스터!$A$5:$A$64,0)),""))</f>
        <v/>
      </c>
      <c r="N686" s="35">
        <f>IF($F686="","",IFERROR(INDEX(사건마스터!$AL$5:$AL$64,MATCH($F686,사건마스터!$A$5:$A$64,0)),""))</f>
        <v/>
      </c>
      <c r="O686" s="35">
        <f>IF($F686="","",IFERROR(INDEX(사건마스터!$AM$5:$AM$64,MATCH($F686,사건마스터!$A$5:$A$64,0)),""))</f>
        <v/>
      </c>
      <c r="P686" s="35">
        <f>IF($F686="","",IFERROR(INDEX(사건마스터!$AN$5:$AN$64,MATCH($F686,사건마스터!$A$5:$A$64,0)),""))</f>
        <v/>
      </c>
      <c r="Q686" s="35">
        <f>IF($F686="","",IFERROR(INDEX(사건마스터!$AO$5:$AO$64,MATCH($F686,사건마스터!$A$5:$A$64,0)),""))</f>
        <v/>
      </c>
      <c r="R686" s="35">
        <f>IF($F686="","",IFERROR(INDEX(사건마스터!$AP$5:$AP$64,MATCH($F686,사건마스터!$A$5:$A$64,0)),""))</f>
        <v/>
      </c>
      <c r="S686" s="35">
        <f>IF($F686="","",IFERROR(INDEX(사건마스터!$AQ$5:$AQ$64,MATCH($F686,사건마스터!$A$5:$A$64,0)),""))</f>
        <v/>
      </c>
      <c r="T686" s="35">
        <f>IF($F686="","",IFERROR(INDEX(사건마스터!$AR$5:$AR$64,MATCH($F686,사건마스터!$A$5:$A$64,0)),""))</f>
        <v/>
      </c>
      <c r="U686" s="35">
        <f>IF($F686="","",IFERROR(INDEX(사건마스터!$AS$5:$AS$64,MATCH($F686,사건마스터!$A$5:$A$64,0)),""))</f>
        <v/>
      </c>
      <c r="V686" s="35">
        <f>IF($F686="","",IFERROR(INDEX(사건마스터!$AT$5:$AT$64,MATCH($F686,사건마스터!$A$5:$A$64,0)),""))</f>
        <v/>
      </c>
      <c r="W686" s="35">
        <f>IF($F686="","",IFERROR(INDEX(사건마스터!$AU$5:$AU$64,MATCH($F686,사건마스터!$A$5:$A$64,0)),""))</f>
        <v/>
      </c>
      <c r="X686" s="35">
        <f>IF($F686="","",IFERROR(INDEX(사건마스터!$AV$5:$AV$64,MATCH($F686,사건마스터!$A$5:$A$64,0)),""))</f>
        <v/>
      </c>
      <c r="Y686" s="30">
        <f>IF($I686="","",COUNTIF($I686:$X686,"?*"))</f>
        <v/>
      </c>
      <c r="Z686" s="33">
        <f>IF($I686="","",_xlfn.TEXTJOIN(", ",TRUE,$I686:$X686))</f>
        <v/>
      </c>
      <c r="AA686" s="34">
        <f>IF($I686="","",IFERROR(INDEX(코드설정!$D$5:$D$24,MATCH($I686,코드설정!$C$5:$C$24,0)),""))</f>
        <v/>
      </c>
      <c r="AB686" s="36" t="n"/>
      <c r="AC686" s="37" t="n"/>
      <c r="AD686" s="38" t="n"/>
      <c r="AE686" s="30">
        <f>IF(OR($B686="",$C686=""),"",$C686-$B686+1)</f>
        <v/>
      </c>
      <c r="AF686" s="32" t="n"/>
      <c r="AG686" s="36" t="n"/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3">
        <f>IF($F687="","",IFERROR(INDEX(사건마스터!$B$5:$B$64,MATCH($F687,사건마스터!$A$5:$A$64,0)),""))</f>
        <v/>
      </c>
      <c r="H687" s="34">
        <f>IF($F687="","",IFERROR(INDEX(사건마스터!$C$5:$C$64,MATCH($F687,사건마스터!$A$5:$A$64,0)),""))</f>
        <v/>
      </c>
      <c r="I687" s="35">
        <f>IF($F687="","",IFERROR(INDEX(사건마스터!$H$5:$H$64,MATCH($F687,사건마스터!$A$5:$A$64,0)),""))</f>
        <v/>
      </c>
      <c r="J687" s="35">
        <f>IF($F687="","",IFERROR(INDEX(사건마스터!$AH$5:$AH$64,MATCH($F687,사건마스터!$A$5:$A$64,0)),""))</f>
        <v/>
      </c>
      <c r="K687" s="35">
        <f>IF($F687="","",IFERROR(INDEX(사건마스터!$AI$5:$AI$64,MATCH($F687,사건마스터!$A$5:$A$64,0)),""))</f>
        <v/>
      </c>
      <c r="L687" s="35">
        <f>IF($F687="","",IFERROR(INDEX(사건마스터!$AJ$5:$AJ$64,MATCH($F687,사건마스터!$A$5:$A$64,0)),""))</f>
        <v/>
      </c>
      <c r="M687" s="35">
        <f>IF($F687="","",IFERROR(INDEX(사건마스터!$AK$5:$AK$64,MATCH($F687,사건마스터!$A$5:$A$64,0)),""))</f>
        <v/>
      </c>
      <c r="N687" s="35">
        <f>IF($F687="","",IFERROR(INDEX(사건마스터!$AL$5:$AL$64,MATCH($F687,사건마스터!$A$5:$A$64,0)),""))</f>
        <v/>
      </c>
      <c r="O687" s="35">
        <f>IF($F687="","",IFERROR(INDEX(사건마스터!$AM$5:$AM$64,MATCH($F687,사건마스터!$A$5:$A$64,0)),""))</f>
        <v/>
      </c>
      <c r="P687" s="35">
        <f>IF($F687="","",IFERROR(INDEX(사건마스터!$AN$5:$AN$64,MATCH($F687,사건마스터!$A$5:$A$64,0)),""))</f>
        <v/>
      </c>
      <c r="Q687" s="35">
        <f>IF($F687="","",IFERROR(INDEX(사건마스터!$AO$5:$AO$64,MATCH($F687,사건마스터!$A$5:$A$64,0)),""))</f>
        <v/>
      </c>
      <c r="R687" s="35">
        <f>IF($F687="","",IFERROR(INDEX(사건마스터!$AP$5:$AP$64,MATCH($F687,사건마스터!$A$5:$A$64,0)),""))</f>
        <v/>
      </c>
      <c r="S687" s="35">
        <f>IF($F687="","",IFERROR(INDEX(사건마스터!$AQ$5:$AQ$64,MATCH($F687,사건마스터!$A$5:$A$64,0)),""))</f>
        <v/>
      </c>
      <c r="T687" s="35">
        <f>IF($F687="","",IFERROR(INDEX(사건마스터!$AR$5:$AR$64,MATCH($F687,사건마스터!$A$5:$A$64,0)),""))</f>
        <v/>
      </c>
      <c r="U687" s="35">
        <f>IF($F687="","",IFERROR(INDEX(사건마스터!$AS$5:$AS$64,MATCH($F687,사건마스터!$A$5:$A$64,0)),""))</f>
        <v/>
      </c>
      <c r="V687" s="35">
        <f>IF($F687="","",IFERROR(INDEX(사건마스터!$AT$5:$AT$64,MATCH($F687,사건마스터!$A$5:$A$64,0)),""))</f>
        <v/>
      </c>
      <c r="W687" s="35">
        <f>IF($F687="","",IFERROR(INDEX(사건마스터!$AU$5:$AU$64,MATCH($F687,사건마스터!$A$5:$A$64,0)),""))</f>
        <v/>
      </c>
      <c r="X687" s="35">
        <f>IF($F687="","",IFERROR(INDEX(사건마스터!$AV$5:$AV$64,MATCH($F687,사건마스터!$A$5:$A$64,0)),""))</f>
        <v/>
      </c>
      <c r="Y687" s="30">
        <f>IF($I687="","",COUNTIF($I687:$X687,"?*"))</f>
        <v/>
      </c>
      <c r="Z687" s="33">
        <f>IF($I687="","",_xlfn.TEXTJOIN(", ",TRUE,$I687:$X687))</f>
        <v/>
      </c>
      <c r="AA687" s="34">
        <f>IF($I687="","",IFERROR(INDEX(코드설정!$D$5:$D$24,MATCH($I687,코드설정!$C$5:$C$24,0)),""))</f>
        <v/>
      </c>
      <c r="AB687" s="36" t="n"/>
      <c r="AC687" s="37" t="n"/>
      <c r="AD687" s="38" t="n"/>
      <c r="AE687" s="30">
        <f>IF(OR($B687="",$C687=""),"",$C687-$B687+1)</f>
        <v/>
      </c>
      <c r="AF687" s="32" t="n"/>
      <c r="AG687" s="36" t="n"/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3">
        <f>IF($F688="","",IFERROR(INDEX(사건마스터!$B$5:$B$64,MATCH($F688,사건마스터!$A$5:$A$64,0)),""))</f>
        <v/>
      </c>
      <c r="H688" s="34">
        <f>IF($F688="","",IFERROR(INDEX(사건마스터!$C$5:$C$64,MATCH($F688,사건마스터!$A$5:$A$64,0)),""))</f>
        <v/>
      </c>
      <c r="I688" s="35">
        <f>IF($F688="","",IFERROR(INDEX(사건마스터!$H$5:$H$64,MATCH($F688,사건마스터!$A$5:$A$64,0)),""))</f>
        <v/>
      </c>
      <c r="J688" s="35">
        <f>IF($F688="","",IFERROR(INDEX(사건마스터!$AH$5:$AH$64,MATCH($F688,사건마스터!$A$5:$A$64,0)),""))</f>
        <v/>
      </c>
      <c r="K688" s="35">
        <f>IF($F688="","",IFERROR(INDEX(사건마스터!$AI$5:$AI$64,MATCH($F688,사건마스터!$A$5:$A$64,0)),""))</f>
        <v/>
      </c>
      <c r="L688" s="35">
        <f>IF($F688="","",IFERROR(INDEX(사건마스터!$AJ$5:$AJ$64,MATCH($F688,사건마스터!$A$5:$A$64,0)),""))</f>
        <v/>
      </c>
      <c r="M688" s="35">
        <f>IF($F688="","",IFERROR(INDEX(사건마스터!$AK$5:$AK$64,MATCH($F688,사건마스터!$A$5:$A$64,0)),""))</f>
        <v/>
      </c>
      <c r="N688" s="35">
        <f>IF($F688="","",IFERROR(INDEX(사건마스터!$AL$5:$AL$64,MATCH($F688,사건마스터!$A$5:$A$64,0)),""))</f>
        <v/>
      </c>
      <c r="O688" s="35">
        <f>IF($F688="","",IFERROR(INDEX(사건마스터!$AM$5:$AM$64,MATCH($F688,사건마스터!$A$5:$A$64,0)),""))</f>
        <v/>
      </c>
      <c r="P688" s="35">
        <f>IF($F688="","",IFERROR(INDEX(사건마스터!$AN$5:$AN$64,MATCH($F688,사건마스터!$A$5:$A$64,0)),""))</f>
        <v/>
      </c>
      <c r="Q688" s="35">
        <f>IF($F688="","",IFERROR(INDEX(사건마스터!$AO$5:$AO$64,MATCH($F688,사건마스터!$A$5:$A$64,0)),""))</f>
        <v/>
      </c>
      <c r="R688" s="35">
        <f>IF($F688="","",IFERROR(INDEX(사건마스터!$AP$5:$AP$64,MATCH($F688,사건마스터!$A$5:$A$64,0)),""))</f>
        <v/>
      </c>
      <c r="S688" s="35">
        <f>IF($F688="","",IFERROR(INDEX(사건마스터!$AQ$5:$AQ$64,MATCH($F688,사건마스터!$A$5:$A$64,0)),""))</f>
        <v/>
      </c>
      <c r="T688" s="35">
        <f>IF($F688="","",IFERROR(INDEX(사건마스터!$AR$5:$AR$64,MATCH($F688,사건마스터!$A$5:$A$64,0)),""))</f>
        <v/>
      </c>
      <c r="U688" s="35">
        <f>IF($F688="","",IFERROR(INDEX(사건마스터!$AS$5:$AS$64,MATCH($F688,사건마스터!$A$5:$A$64,0)),""))</f>
        <v/>
      </c>
      <c r="V688" s="35">
        <f>IF($F688="","",IFERROR(INDEX(사건마스터!$AT$5:$AT$64,MATCH($F688,사건마스터!$A$5:$A$64,0)),""))</f>
        <v/>
      </c>
      <c r="W688" s="35">
        <f>IF($F688="","",IFERROR(INDEX(사건마스터!$AU$5:$AU$64,MATCH($F688,사건마스터!$A$5:$A$64,0)),""))</f>
        <v/>
      </c>
      <c r="X688" s="35">
        <f>IF($F688="","",IFERROR(INDEX(사건마스터!$AV$5:$AV$64,MATCH($F688,사건마스터!$A$5:$A$64,0)),""))</f>
        <v/>
      </c>
      <c r="Y688" s="30">
        <f>IF($I688="","",COUNTIF($I688:$X688,"?*"))</f>
        <v/>
      </c>
      <c r="Z688" s="33">
        <f>IF($I688="","",_xlfn.TEXTJOIN(", ",TRUE,$I688:$X688))</f>
        <v/>
      </c>
      <c r="AA688" s="34">
        <f>IF($I688="","",IFERROR(INDEX(코드설정!$D$5:$D$24,MATCH($I688,코드설정!$C$5:$C$24,0)),""))</f>
        <v/>
      </c>
      <c r="AB688" s="36" t="n"/>
      <c r="AC688" s="37" t="n"/>
      <c r="AD688" s="38" t="n"/>
      <c r="AE688" s="30">
        <f>IF(OR($B688="",$C688=""),"",$C688-$B688+1)</f>
        <v/>
      </c>
      <c r="AF688" s="32" t="n"/>
      <c r="AG688" s="36" t="n"/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3">
        <f>IF($F689="","",IFERROR(INDEX(사건마스터!$B$5:$B$64,MATCH($F689,사건마스터!$A$5:$A$64,0)),""))</f>
        <v/>
      </c>
      <c r="H689" s="34">
        <f>IF($F689="","",IFERROR(INDEX(사건마스터!$C$5:$C$64,MATCH($F689,사건마스터!$A$5:$A$64,0)),""))</f>
        <v/>
      </c>
      <c r="I689" s="35">
        <f>IF($F689="","",IFERROR(INDEX(사건마스터!$H$5:$H$64,MATCH($F689,사건마스터!$A$5:$A$64,0)),""))</f>
        <v/>
      </c>
      <c r="J689" s="35">
        <f>IF($F689="","",IFERROR(INDEX(사건마스터!$AH$5:$AH$64,MATCH($F689,사건마스터!$A$5:$A$64,0)),""))</f>
        <v/>
      </c>
      <c r="K689" s="35">
        <f>IF($F689="","",IFERROR(INDEX(사건마스터!$AI$5:$AI$64,MATCH($F689,사건마스터!$A$5:$A$64,0)),""))</f>
        <v/>
      </c>
      <c r="L689" s="35">
        <f>IF($F689="","",IFERROR(INDEX(사건마스터!$AJ$5:$AJ$64,MATCH($F689,사건마스터!$A$5:$A$64,0)),""))</f>
        <v/>
      </c>
      <c r="M689" s="35">
        <f>IF($F689="","",IFERROR(INDEX(사건마스터!$AK$5:$AK$64,MATCH($F689,사건마스터!$A$5:$A$64,0)),""))</f>
        <v/>
      </c>
      <c r="N689" s="35">
        <f>IF($F689="","",IFERROR(INDEX(사건마스터!$AL$5:$AL$64,MATCH($F689,사건마스터!$A$5:$A$64,0)),""))</f>
        <v/>
      </c>
      <c r="O689" s="35">
        <f>IF($F689="","",IFERROR(INDEX(사건마스터!$AM$5:$AM$64,MATCH($F689,사건마스터!$A$5:$A$64,0)),""))</f>
        <v/>
      </c>
      <c r="P689" s="35">
        <f>IF($F689="","",IFERROR(INDEX(사건마스터!$AN$5:$AN$64,MATCH($F689,사건마스터!$A$5:$A$64,0)),""))</f>
        <v/>
      </c>
      <c r="Q689" s="35">
        <f>IF($F689="","",IFERROR(INDEX(사건마스터!$AO$5:$AO$64,MATCH($F689,사건마스터!$A$5:$A$64,0)),""))</f>
        <v/>
      </c>
      <c r="R689" s="35">
        <f>IF($F689="","",IFERROR(INDEX(사건마스터!$AP$5:$AP$64,MATCH($F689,사건마스터!$A$5:$A$64,0)),""))</f>
        <v/>
      </c>
      <c r="S689" s="35">
        <f>IF($F689="","",IFERROR(INDEX(사건마스터!$AQ$5:$AQ$64,MATCH($F689,사건마스터!$A$5:$A$64,0)),""))</f>
        <v/>
      </c>
      <c r="T689" s="35">
        <f>IF($F689="","",IFERROR(INDEX(사건마스터!$AR$5:$AR$64,MATCH($F689,사건마스터!$A$5:$A$64,0)),""))</f>
        <v/>
      </c>
      <c r="U689" s="35">
        <f>IF($F689="","",IFERROR(INDEX(사건마스터!$AS$5:$AS$64,MATCH($F689,사건마스터!$A$5:$A$64,0)),""))</f>
        <v/>
      </c>
      <c r="V689" s="35">
        <f>IF($F689="","",IFERROR(INDEX(사건마스터!$AT$5:$AT$64,MATCH($F689,사건마스터!$A$5:$A$64,0)),""))</f>
        <v/>
      </c>
      <c r="W689" s="35">
        <f>IF($F689="","",IFERROR(INDEX(사건마스터!$AU$5:$AU$64,MATCH($F689,사건마스터!$A$5:$A$64,0)),""))</f>
        <v/>
      </c>
      <c r="X689" s="35">
        <f>IF($F689="","",IFERROR(INDEX(사건마스터!$AV$5:$AV$64,MATCH($F689,사건마스터!$A$5:$A$64,0)),""))</f>
        <v/>
      </c>
      <c r="Y689" s="30">
        <f>IF($I689="","",COUNTIF($I689:$X689,"?*"))</f>
        <v/>
      </c>
      <c r="Z689" s="33">
        <f>IF($I689="","",_xlfn.TEXTJOIN(", ",TRUE,$I689:$X689))</f>
        <v/>
      </c>
      <c r="AA689" s="34">
        <f>IF($I689="","",IFERROR(INDEX(코드설정!$D$5:$D$24,MATCH($I689,코드설정!$C$5:$C$24,0)),""))</f>
        <v/>
      </c>
      <c r="AB689" s="36" t="n"/>
      <c r="AC689" s="37" t="n"/>
      <c r="AD689" s="38" t="n"/>
      <c r="AE689" s="30">
        <f>IF(OR($B689="",$C689=""),"",$C689-$B689+1)</f>
        <v/>
      </c>
      <c r="AF689" s="32" t="n"/>
      <c r="AG689" s="36" t="n"/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3">
        <f>IF($F690="","",IFERROR(INDEX(사건마스터!$B$5:$B$64,MATCH($F690,사건마스터!$A$5:$A$64,0)),""))</f>
        <v/>
      </c>
      <c r="H690" s="34">
        <f>IF($F690="","",IFERROR(INDEX(사건마스터!$C$5:$C$64,MATCH($F690,사건마스터!$A$5:$A$64,0)),""))</f>
        <v/>
      </c>
      <c r="I690" s="35">
        <f>IF($F690="","",IFERROR(INDEX(사건마스터!$H$5:$H$64,MATCH($F690,사건마스터!$A$5:$A$64,0)),""))</f>
        <v/>
      </c>
      <c r="J690" s="35">
        <f>IF($F690="","",IFERROR(INDEX(사건마스터!$AH$5:$AH$64,MATCH($F690,사건마스터!$A$5:$A$64,0)),""))</f>
        <v/>
      </c>
      <c r="K690" s="35">
        <f>IF($F690="","",IFERROR(INDEX(사건마스터!$AI$5:$AI$64,MATCH($F690,사건마스터!$A$5:$A$64,0)),""))</f>
        <v/>
      </c>
      <c r="L690" s="35">
        <f>IF($F690="","",IFERROR(INDEX(사건마스터!$AJ$5:$AJ$64,MATCH($F690,사건마스터!$A$5:$A$64,0)),""))</f>
        <v/>
      </c>
      <c r="M690" s="35">
        <f>IF($F690="","",IFERROR(INDEX(사건마스터!$AK$5:$AK$64,MATCH($F690,사건마스터!$A$5:$A$64,0)),""))</f>
        <v/>
      </c>
      <c r="N690" s="35">
        <f>IF($F690="","",IFERROR(INDEX(사건마스터!$AL$5:$AL$64,MATCH($F690,사건마스터!$A$5:$A$64,0)),""))</f>
        <v/>
      </c>
      <c r="O690" s="35">
        <f>IF($F690="","",IFERROR(INDEX(사건마스터!$AM$5:$AM$64,MATCH($F690,사건마스터!$A$5:$A$64,0)),""))</f>
        <v/>
      </c>
      <c r="P690" s="35">
        <f>IF($F690="","",IFERROR(INDEX(사건마스터!$AN$5:$AN$64,MATCH($F690,사건마스터!$A$5:$A$64,0)),""))</f>
        <v/>
      </c>
      <c r="Q690" s="35">
        <f>IF($F690="","",IFERROR(INDEX(사건마스터!$AO$5:$AO$64,MATCH($F690,사건마스터!$A$5:$A$64,0)),""))</f>
        <v/>
      </c>
      <c r="R690" s="35">
        <f>IF($F690="","",IFERROR(INDEX(사건마스터!$AP$5:$AP$64,MATCH($F690,사건마스터!$A$5:$A$64,0)),""))</f>
        <v/>
      </c>
      <c r="S690" s="35">
        <f>IF($F690="","",IFERROR(INDEX(사건마스터!$AQ$5:$AQ$64,MATCH($F690,사건마스터!$A$5:$A$64,0)),""))</f>
        <v/>
      </c>
      <c r="T690" s="35">
        <f>IF($F690="","",IFERROR(INDEX(사건마스터!$AR$5:$AR$64,MATCH($F690,사건마스터!$A$5:$A$64,0)),""))</f>
        <v/>
      </c>
      <c r="U690" s="35">
        <f>IF($F690="","",IFERROR(INDEX(사건마스터!$AS$5:$AS$64,MATCH($F690,사건마스터!$A$5:$A$64,0)),""))</f>
        <v/>
      </c>
      <c r="V690" s="35">
        <f>IF($F690="","",IFERROR(INDEX(사건마스터!$AT$5:$AT$64,MATCH($F690,사건마스터!$A$5:$A$64,0)),""))</f>
        <v/>
      </c>
      <c r="W690" s="35">
        <f>IF($F690="","",IFERROR(INDEX(사건마스터!$AU$5:$AU$64,MATCH($F690,사건마스터!$A$5:$A$64,0)),""))</f>
        <v/>
      </c>
      <c r="X690" s="35">
        <f>IF($F690="","",IFERROR(INDEX(사건마스터!$AV$5:$AV$64,MATCH($F690,사건마스터!$A$5:$A$64,0)),""))</f>
        <v/>
      </c>
      <c r="Y690" s="30">
        <f>IF($I690="","",COUNTIF($I690:$X690,"?*"))</f>
        <v/>
      </c>
      <c r="Z690" s="33">
        <f>IF($I690="","",_xlfn.TEXTJOIN(", ",TRUE,$I690:$X690))</f>
        <v/>
      </c>
      <c r="AA690" s="34">
        <f>IF($I690="","",IFERROR(INDEX(코드설정!$D$5:$D$24,MATCH($I690,코드설정!$C$5:$C$24,0)),""))</f>
        <v/>
      </c>
      <c r="AB690" s="36" t="n"/>
      <c r="AC690" s="37" t="n"/>
      <c r="AD690" s="38" t="n"/>
      <c r="AE690" s="30">
        <f>IF(OR($B690="",$C690=""),"",$C690-$B690+1)</f>
        <v/>
      </c>
      <c r="AF690" s="32" t="n"/>
      <c r="AG690" s="36" t="n"/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3">
        <f>IF($F691="","",IFERROR(INDEX(사건마스터!$B$5:$B$64,MATCH($F691,사건마스터!$A$5:$A$64,0)),""))</f>
        <v/>
      </c>
      <c r="H691" s="34">
        <f>IF($F691="","",IFERROR(INDEX(사건마스터!$C$5:$C$64,MATCH($F691,사건마스터!$A$5:$A$64,0)),""))</f>
        <v/>
      </c>
      <c r="I691" s="35">
        <f>IF($F691="","",IFERROR(INDEX(사건마스터!$H$5:$H$64,MATCH($F691,사건마스터!$A$5:$A$64,0)),""))</f>
        <v/>
      </c>
      <c r="J691" s="35">
        <f>IF($F691="","",IFERROR(INDEX(사건마스터!$AH$5:$AH$64,MATCH($F691,사건마스터!$A$5:$A$64,0)),""))</f>
        <v/>
      </c>
      <c r="K691" s="35">
        <f>IF($F691="","",IFERROR(INDEX(사건마스터!$AI$5:$AI$64,MATCH($F691,사건마스터!$A$5:$A$64,0)),""))</f>
        <v/>
      </c>
      <c r="L691" s="35">
        <f>IF($F691="","",IFERROR(INDEX(사건마스터!$AJ$5:$AJ$64,MATCH($F691,사건마스터!$A$5:$A$64,0)),""))</f>
        <v/>
      </c>
      <c r="M691" s="35">
        <f>IF($F691="","",IFERROR(INDEX(사건마스터!$AK$5:$AK$64,MATCH($F691,사건마스터!$A$5:$A$64,0)),""))</f>
        <v/>
      </c>
      <c r="N691" s="35">
        <f>IF($F691="","",IFERROR(INDEX(사건마스터!$AL$5:$AL$64,MATCH($F691,사건마스터!$A$5:$A$64,0)),""))</f>
        <v/>
      </c>
      <c r="O691" s="35">
        <f>IF($F691="","",IFERROR(INDEX(사건마스터!$AM$5:$AM$64,MATCH($F691,사건마스터!$A$5:$A$64,0)),""))</f>
        <v/>
      </c>
      <c r="P691" s="35">
        <f>IF($F691="","",IFERROR(INDEX(사건마스터!$AN$5:$AN$64,MATCH($F691,사건마스터!$A$5:$A$64,0)),""))</f>
        <v/>
      </c>
      <c r="Q691" s="35">
        <f>IF($F691="","",IFERROR(INDEX(사건마스터!$AO$5:$AO$64,MATCH($F691,사건마스터!$A$5:$A$64,0)),""))</f>
        <v/>
      </c>
      <c r="R691" s="35">
        <f>IF($F691="","",IFERROR(INDEX(사건마스터!$AP$5:$AP$64,MATCH($F691,사건마스터!$A$5:$A$64,0)),""))</f>
        <v/>
      </c>
      <c r="S691" s="35">
        <f>IF($F691="","",IFERROR(INDEX(사건마스터!$AQ$5:$AQ$64,MATCH($F691,사건마스터!$A$5:$A$64,0)),""))</f>
        <v/>
      </c>
      <c r="T691" s="35">
        <f>IF($F691="","",IFERROR(INDEX(사건마스터!$AR$5:$AR$64,MATCH($F691,사건마스터!$A$5:$A$64,0)),""))</f>
        <v/>
      </c>
      <c r="U691" s="35">
        <f>IF($F691="","",IFERROR(INDEX(사건마스터!$AS$5:$AS$64,MATCH($F691,사건마스터!$A$5:$A$64,0)),""))</f>
        <v/>
      </c>
      <c r="V691" s="35">
        <f>IF($F691="","",IFERROR(INDEX(사건마스터!$AT$5:$AT$64,MATCH($F691,사건마스터!$A$5:$A$64,0)),""))</f>
        <v/>
      </c>
      <c r="W691" s="35">
        <f>IF($F691="","",IFERROR(INDEX(사건마스터!$AU$5:$AU$64,MATCH($F691,사건마스터!$A$5:$A$64,0)),""))</f>
        <v/>
      </c>
      <c r="X691" s="35">
        <f>IF($F691="","",IFERROR(INDEX(사건마스터!$AV$5:$AV$64,MATCH($F691,사건마스터!$A$5:$A$64,0)),""))</f>
        <v/>
      </c>
      <c r="Y691" s="30">
        <f>IF($I691="","",COUNTIF($I691:$X691,"?*"))</f>
        <v/>
      </c>
      <c r="Z691" s="33">
        <f>IF($I691="","",_xlfn.TEXTJOIN(", ",TRUE,$I691:$X691))</f>
        <v/>
      </c>
      <c r="AA691" s="34">
        <f>IF($I691="","",IFERROR(INDEX(코드설정!$D$5:$D$24,MATCH($I691,코드설정!$C$5:$C$24,0)),""))</f>
        <v/>
      </c>
      <c r="AB691" s="36" t="n"/>
      <c r="AC691" s="37" t="n"/>
      <c r="AD691" s="38" t="n"/>
      <c r="AE691" s="30">
        <f>IF(OR($B691="",$C691=""),"",$C691-$B691+1)</f>
        <v/>
      </c>
      <c r="AF691" s="32" t="n"/>
      <c r="AG691" s="36" t="n"/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3">
        <f>IF($F692="","",IFERROR(INDEX(사건마스터!$B$5:$B$64,MATCH($F692,사건마스터!$A$5:$A$64,0)),""))</f>
        <v/>
      </c>
      <c r="H692" s="34">
        <f>IF($F692="","",IFERROR(INDEX(사건마스터!$C$5:$C$64,MATCH($F692,사건마스터!$A$5:$A$64,0)),""))</f>
        <v/>
      </c>
      <c r="I692" s="35">
        <f>IF($F692="","",IFERROR(INDEX(사건마스터!$H$5:$H$64,MATCH($F692,사건마스터!$A$5:$A$64,0)),""))</f>
        <v/>
      </c>
      <c r="J692" s="35">
        <f>IF($F692="","",IFERROR(INDEX(사건마스터!$AH$5:$AH$64,MATCH($F692,사건마스터!$A$5:$A$64,0)),""))</f>
        <v/>
      </c>
      <c r="K692" s="35">
        <f>IF($F692="","",IFERROR(INDEX(사건마스터!$AI$5:$AI$64,MATCH($F692,사건마스터!$A$5:$A$64,0)),""))</f>
        <v/>
      </c>
      <c r="L692" s="35">
        <f>IF($F692="","",IFERROR(INDEX(사건마스터!$AJ$5:$AJ$64,MATCH($F692,사건마스터!$A$5:$A$64,0)),""))</f>
        <v/>
      </c>
      <c r="M692" s="35">
        <f>IF($F692="","",IFERROR(INDEX(사건마스터!$AK$5:$AK$64,MATCH($F692,사건마스터!$A$5:$A$64,0)),""))</f>
        <v/>
      </c>
      <c r="N692" s="35">
        <f>IF($F692="","",IFERROR(INDEX(사건마스터!$AL$5:$AL$64,MATCH($F692,사건마스터!$A$5:$A$64,0)),""))</f>
        <v/>
      </c>
      <c r="O692" s="35">
        <f>IF($F692="","",IFERROR(INDEX(사건마스터!$AM$5:$AM$64,MATCH($F692,사건마스터!$A$5:$A$64,0)),""))</f>
        <v/>
      </c>
      <c r="P692" s="35">
        <f>IF($F692="","",IFERROR(INDEX(사건마스터!$AN$5:$AN$64,MATCH($F692,사건마스터!$A$5:$A$64,0)),""))</f>
        <v/>
      </c>
      <c r="Q692" s="35">
        <f>IF($F692="","",IFERROR(INDEX(사건마스터!$AO$5:$AO$64,MATCH($F692,사건마스터!$A$5:$A$64,0)),""))</f>
        <v/>
      </c>
      <c r="R692" s="35">
        <f>IF($F692="","",IFERROR(INDEX(사건마스터!$AP$5:$AP$64,MATCH($F692,사건마스터!$A$5:$A$64,0)),""))</f>
        <v/>
      </c>
      <c r="S692" s="35">
        <f>IF($F692="","",IFERROR(INDEX(사건마스터!$AQ$5:$AQ$64,MATCH($F692,사건마스터!$A$5:$A$64,0)),""))</f>
        <v/>
      </c>
      <c r="T692" s="35">
        <f>IF($F692="","",IFERROR(INDEX(사건마스터!$AR$5:$AR$64,MATCH($F692,사건마스터!$A$5:$A$64,0)),""))</f>
        <v/>
      </c>
      <c r="U692" s="35">
        <f>IF($F692="","",IFERROR(INDEX(사건마스터!$AS$5:$AS$64,MATCH($F692,사건마스터!$A$5:$A$64,0)),""))</f>
        <v/>
      </c>
      <c r="V692" s="35">
        <f>IF($F692="","",IFERROR(INDEX(사건마스터!$AT$5:$AT$64,MATCH($F692,사건마스터!$A$5:$A$64,0)),""))</f>
        <v/>
      </c>
      <c r="W692" s="35">
        <f>IF($F692="","",IFERROR(INDEX(사건마스터!$AU$5:$AU$64,MATCH($F692,사건마스터!$A$5:$A$64,0)),""))</f>
        <v/>
      </c>
      <c r="X692" s="35">
        <f>IF($F692="","",IFERROR(INDEX(사건마스터!$AV$5:$AV$64,MATCH($F692,사건마스터!$A$5:$A$64,0)),""))</f>
        <v/>
      </c>
      <c r="Y692" s="30">
        <f>IF($I692="","",COUNTIF($I692:$X692,"?*"))</f>
        <v/>
      </c>
      <c r="Z692" s="33">
        <f>IF($I692="","",_xlfn.TEXTJOIN(", ",TRUE,$I692:$X692))</f>
        <v/>
      </c>
      <c r="AA692" s="34">
        <f>IF($I692="","",IFERROR(INDEX(코드설정!$D$5:$D$24,MATCH($I692,코드설정!$C$5:$C$24,0)),""))</f>
        <v/>
      </c>
      <c r="AB692" s="36" t="n"/>
      <c r="AC692" s="37" t="n"/>
      <c r="AD692" s="38" t="n"/>
      <c r="AE692" s="30">
        <f>IF(OR($B692="",$C692=""),"",$C692-$B692+1)</f>
        <v/>
      </c>
      <c r="AF692" s="32" t="n"/>
      <c r="AG692" s="36" t="n"/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3">
        <f>IF($F693="","",IFERROR(INDEX(사건마스터!$B$5:$B$64,MATCH($F693,사건마스터!$A$5:$A$64,0)),""))</f>
        <v/>
      </c>
      <c r="H693" s="34">
        <f>IF($F693="","",IFERROR(INDEX(사건마스터!$C$5:$C$64,MATCH($F693,사건마스터!$A$5:$A$64,0)),""))</f>
        <v/>
      </c>
      <c r="I693" s="35">
        <f>IF($F693="","",IFERROR(INDEX(사건마스터!$H$5:$H$64,MATCH($F693,사건마스터!$A$5:$A$64,0)),""))</f>
        <v/>
      </c>
      <c r="J693" s="35">
        <f>IF($F693="","",IFERROR(INDEX(사건마스터!$AH$5:$AH$64,MATCH($F693,사건마스터!$A$5:$A$64,0)),""))</f>
        <v/>
      </c>
      <c r="K693" s="35">
        <f>IF($F693="","",IFERROR(INDEX(사건마스터!$AI$5:$AI$64,MATCH($F693,사건마스터!$A$5:$A$64,0)),""))</f>
        <v/>
      </c>
      <c r="L693" s="35">
        <f>IF($F693="","",IFERROR(INDEX(사건마스터!$AJ$5:$AJ$64,MATCH($F693,사건마스터!$A$5:$A$64,0)),""))</f>
        <v/>
      </c>
      <c r="M693" s="35">
        <f>IF($F693="","",IFERROR(INDEX(사건마스터!$AK$5:$AK$64,MATCH($F693,사건마스터!$A$5:$A$64,0)),""))</f>
        <v/>
      </c>
      <c r="N693" s="35">
        <f>IF($F693="","",IFERROR(INDEX(사건마스터!$AL$5:$AL$64,MATCH($F693,사건마스터!$A$5:$A$64,0)),""))</f>
        <v/>
      </c>
      <c r="O693" s="35">
        <f>IF($F693="","",IFERROR(INDEX(사건마스터!$AM$5:$AM$64,MATCH($F693,사건마스터!$A$5:$A$64,0)),""))</f>
        <v/>
      </c>
      <c r="P693" s="35">
        <f>IF($F693="","",IFERROR(INDEX(사건마스터!$AN$5:$AN$64,MATCH($F693,사건마스터!$A$5:$A$64,0)),""))</f>
        <v/>
      </c>
      <c r="Q693" s="35">
        <f>IF($F693="","",IFERROR(INDEX(사건마스터!$AO$5:$AO$64,MATCH($F693,사건마스터!$A$5:$A$64,0)),""))</f>
        <v/>
      </c>
      <c r="R693" s="35">
        <f>IF($F693="","",IFERROR(INDEX(사건마스터!$AP$5:$AP$64,MATCH($F693,사건마스터!$A$5:$A$64,0)),""))</f>
        <v/>
      </c>
      <c r="S693" s="35">
        <f>IF($F693="","",IFERROR(INDEX(사건마스터!$AQ$5:$AQ$64,MATCH($F693,사건마스터!$A$5:$A$64,0)),""))</f>
        <v/>
      </c>
      <c r="T693" s="35">
        <f>IF($F693="","",IFERROR(INDEX(사건마스터!$AR$5:$AR$64,MATCH($F693,사건마스터!$A$5:$A$64,0)),""))</f>
        <v/>
      </c>
      <c r="U693" s="35">
        <f>IF($F693="","",IFERROR(INDEX(사건마스터!$AS$5:$AS$64,MATCH($F693,사건마스터!$A$5:$A$64,0)),""))</f>
        <v/>
      </c>
      <c r="V693" s="35">
        <f>IF($F693="","",IFERROR(INDEX(사건마스터!$AT$5:$AT$64,MATCH($F693,사건마스터!$A$5:$A$64,0)),""))</f>
        <v/>
      </c>
      <c r="W693" s="35">
        <f>IF($F693="","",IFERROR(INDEX(사건마스터!$AU$5:$AU$64,MATCH($F693,사건마스터!$A$5:$A$64,0)),""))</f>
        <v/>
      </c>
      <c r="X693" s="35">
        <f>IF($F693="","",IFERROR(INDEX(사건마스터!$AV$5:$AV$64,MATCH($F693,사건마스터!$A$5:$A$64,0)),""))</f>
        <v/>
      </c>
      <c r="Y693" s="30">
        <f>IF($I693="","",COUNTIF($I693:$X693,"?*"))</f>
        <v/>
      </c>
      <c r="Z693" s="33">
        <f>IF($I693="","",_xlfn.TEXTJOIN(", ",TRUE,$I693:$X693))</f>
        <v/>
      </c>
      <c r="AA693" s="34">
        <f>IF($I693="","",IFERROR(INDEX(코드설정!$D$5:$D$24,MATCH($I693,코드설정!$C$5:$C$24,0)),""))</f>
        <v/>
      </c>
      <c r="AB693" s="36" t="n"/>
      <c r="AC693" s="37" t="n"/>
      <c r="AD693" s="38" t="n"/>
      <c r="AE693" s="30">
        <f>IF(OR($B693="",$C693=""),"",$C693-$B693+1)</f>
        <v/>
      </c>
      <c r="AF693" s="32" t="n"/>
      <c r="AG693" s="36" t="n"/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3">
        <f>IF($F694="","",IFERROR(INDEX(사건마스터!$B$5:$B$64,MATCH($F694,사건마스터!$A$5:$A$64,0)),""))</f>
        <v/>
      </c>
      <c r="H694" s="34">
        <f>IF($F694="","",IFERROR(INDEX(사건마스터!$C$5:$C$64,MATCH($F694,사건마스터!$A$5:$A$64,0)),""))</f>
        <v/>
      </c>
      <c r="I694" s="35">
        <f>IF($F694="","",IFERROR(INDEX(사건마스터!$H$5:$H$64,MATCH($F694,사건마스터!$A$5:$A$64,0)),""))</f>
        <v/>
      </c>
      <c r="J694" s="35">
        <f>IF($F694="","",IFERROR(INDEX(사건마스터!$AH$5:$AH$64,MATCH($F694,사건마스터!$A$5:$A$64,0)),""))</f>
        <v/>
      </c>
      <c r="K694" s="35">
        <f>IF($F694="","",IFERROR(INDEX(사건마스터!$AI$5:$AI$64,MATCH($F694,사건마스터!$A$5:$A$64,0)),""))</f>
        <v/>
      </c>
      <c r="L694" s="35">
        <f>IF($F694="","",IFERROR(INDEX(사건마스터!$AJ$5:$AJ$64,MATCH($F694,사건마스터!$A$5:$A$64,0)),""))</f>
        <v/>
      </c>
      <c r="M694" s="35">
        <f>IF($F694="","",IFERROR(INDEX(사건마스터!$AK$5:$AK$64,MATCH($F694,사건마스터!$A$5:$A$64,0)),""))</f>
        <v/>
      </c>
      <c r="N694" s="35">
        <f>IF($F694="","",IFERROR(INDEX(사건마스터!$AL$5:$AL$64,MATCH($F694,사건마스터!$A$5:$A$64,0)),""))</f>
        <v/>
      </c>
      <c r="O694" s="35">
        <f>IF($F694="","",IFERROR(INDEX(사건마스터!$AM$5:$AM$64,MATCH($F694,사건마스터!$A$5:$A$64,0)),""))</f>
        <v/>
      </c>
      <c r="P694" s="35">
        <f>IF($F694="","",IFERROR(INDEX(사건마스터!$AN$5:$AN$64,MATCH($F694,사건마스터!$A$5:$A$64,0)),""))</f>
        <v/>
      </c>
      <c r="Q694" s="35">
        <f>IF($F694="","",IFERROR(INDEX(사건마스터!$AO$5:$AO$64,MATCH($F694,사건마스터!$A$5:$A$64,0)),""))</f>
        <v/>
      </c>
      <c r="R694" s="35">
        <f>IF($F694="","",IFERROR(INDEX(사건마스터!$AP$5:$AP$64,MATCH($F694,사건마스터!$A$5:$A$64,0)),""))</f>
        <v/>
      </c>
      <c r="S694" s="35">
        <f>IF($F694="","",IFERROR(INDEX(사건마스터!$AQ$5:$AQ$64,MATCH($F694,사건마스터!$A$5:$A$64,0)),""))</f>
        <v/>
      </c>
      <c r="T694" s="35">
        <f>IF($F694="","",IFERROR(INDEX(사건마스터!$AR$5:$AR$64,MATCH($F694,사건마스터!$A$5:$A$64,0)),""))</f>
        <v/>
      </c>
      <c r="U694" s="35">
        <f>IF($F694="","",IFERROR(INDEX(사건마스터!$AS$5:$AS$64,MATCH($F694,사건마스터!$A$5:$A$64,0)),""))</f>
        <v/>
      </c>
      <c r="V694" s="35">
        <f>IF($F694="","",IFERROR(INDEX(사건마스터!$AT$5:$AT$64,MATCH($F694,사건마스터!$A$5:$A$64,0)),""))</f>
        <v/>
      </c>
      <c r="W694" s="35">
        <f>IF($F694="","",IFERROR(INDEX(사건마스터!$AU$5:$AU$64,MATCH($F694,사건마스터!$A$5:$A$64,0)),""))</f>
        <v/>
      </c>
      <c r="X694" s="35">
        <f>IF($F694="","",IFERROR(INDEX(사건마스터!$AV$5:$AV$64,MATCH($F694,사건마스터!$A$5:$A$64,0)),""))</f>
        <v/>
      </c>
      <c r="Y694" s="30">
        <f>IF($I694="","",COUNTIF($I694:$X694,"?*"))</f>
        <v/>
      </c>
      <c r="Z694" s="33">
        <f>IF($I694="","",_xlfn.TEXTJOIN(", ",TRUE,$I694:$X694))</f>
        <v/>
      </c>
      <c r="AA694" s="34">
        <f>IF($I694="","",IFERROR(INDEX(코드설정!$D$5:$D$24,MATCH($I694,코드설정!$C$5:$C$24,0)),""))</f>
        <v/>
      </c>
      <c r="AB694" s="36" t="n"/>
      <c r="AC694" s="37" t="n"/>
      <c r="AD694" s="38" t="n"/>
      <c r="AE694" s="30">
        <f>IF(OR($B694="",$C694=""),"",$C694-$B694+1)</f>
        <v/>
      </c>
      <c r="AF694" s="32" t="n"/>
      <c r="AG694" s="36" t="n"/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3">
        <f>IF($F695="","",IFERROR(INDEX(사건마스터!$B$5:$B$64,MATCH($F695,사건마스터!$A$5:$A$64,0)),""))</f>
        <v/>
      </c>
      <c r="H695" s="34">
        <f>IF($F695="","",IFERROR(INDEX(사건마스터!$C$5:$C$64,MATCH($F695,사건마스터!$A$5:$A$64,0)),""))</f>
        <v/>
      </c>
      <c r="I695" s="35">
        <f>IF($F695="","",IFERROR(INDEX(사건마스터!$H$5:$H$64,MATCH($F695,사건마스터!$A$5:$A$64,0)),""))</f>
        <v/>
      </c>
      <c r="J695" s="35">
        <f>IF($F695="","",IFERROR(INDEX(사건마스터!$AH$5:$AH$64,MATCH($F695,사건마스터!$A$5:$A$64,0)),""))</f>
        <v/>
      </c>
      <c r="K695" s="35">
        <f>IF($F695="","",IFERROR(INDEX(사건마스터!$AI$5:$AI$64,MATCH($F695,사건마스터!$A$5:$A$64,0)),""))</f>
        <v/>
      </c>
      <c r="L695" s="35">
        <f>IF($F695="","",IFERROR(INDEX(사건마스터!$AJ$5:$AJ$64,MATCH($F695,사건마스터!$A$5:$A$64,0)),""))</f>
        <v/>
      </c>
      <c r="M695" s="35">
        <f>IF($F695="","",IFERROR(INDEX(사건마스터!$AK$5:$AK$64,MATCH($F695,사건마스터!$A$5:$A$64,0)),""))</f>
        <v/>
      </c>
      <c r="N695" s="35">
        <f>IF($F695="","",IFERROR(INDEX(사건마스터!$AL$5:$AL$64,MATCH($F695,사건마스터!$A$5:$A$64,0)),""))</f>
        <v/>
      </c>
      <c r="O695" s="35">
        <f>IF($F695="","",IFERROR(INDEX(사건마스터!$AM$5:$AM$64,MATCH($F695,사건마스터!$A$5:$A$64,0)),""))</f>
        <v/>
      </c>
      <c r="P695" s="35">
        <f>IF($F695="","",IFERROR(INDEX(사건마스터!$AN$5:$AN$64,MATCH($F695,사건마스터!$A$5:$A$64,0)),""))</f>
        <v/>
      </c>
      <c r="Q695" s="35">
        <f>IF($F695="","",IFERROR(INDEX(사건마스터!$AO$5:$AO$64,MATCH($F695,사건마스터!$A$5:$A$64,0)),""))</f>
        <v/>
      </c>
      <c r="R695" s="35">
        <f>IF($F695="","",IFERROR(INDEX(사건마스터!$AP$5:$AP$64,MATCH($F695,사건마스터!$A$5:$A$64,0)),""))</f>
        <v/>
      </c>
      <c r="S695" s="35">
        <f>IF($F695="","",IFERROR(INDEX(사건마스터!$AQ$5:$AQ$64,MATCH($F695,사건마스터!$A$5:$A$64,0)),""))</f>
        <v/>
      </c>
      <c r="T695" s="35">
        <f>IF($F695="","",IFERROR(INDEX(사건마스터!$AR$5:$AR$64,MATCH($F695,사건마스터!$A$5:$A$64,0)),""))</f>
        <v/>
      </c>
      <c r="U695" s="35">
        <f>IF($F695="","",IFERROR(INDEX(사건마스터!$AS$5:$AS$64,MATCH($F695,사건마스터!$A$5:$A$64,0)),""))</f>
        <v/>
      </c>
      <c r="V695" s="35">
        <f>IF($F695="","",IFERROR(INDEX(사건마스터!$AT$5:$AT$64,MATCH($F695,사건마스터!$A$5:$A$64,0)),""))</f>
        <v/>
      </c>
      <c r="W695" s="35">
        <f>IF($F695="","",IFERROR(INDEX(사건마스터!$AU$5:$AU$64,MATCH($F695,사건마스터!$A$5:$A$64,0)),""))</f>
        <v/>
      </c>
      <c r="X695" s="35">
        <f>IF($F695="","",IFERROR(INDEX(사건마스터!$AV$5:$AV$64,MATCH($F695,사건마스터!$A$5:$A$64,0)),""))</f>
        <v/>
      </c>
      <c r="Y695" s="30">
        <f>IF($I695="","",COUNTIF($I695:$X695,"?*"))</f>
        <v/>
      </c>
      <c r="Z695" s="33">
        <f>IF($I695="","",_xlfn.TEXTJOIN(", ",TRUE,$I695:$X695))</f>
        <v/>
      </c>
      <c r="AA695" s="34">
        <f>IF($I695="","",IFERROR(INDEX(코드설정!$D$5:$D$24,MATCH($I695,코드설정!$C$5:$C$24,0)),""))</f>
        <v/>
      </c>
      <c r="AB695" s="36" t="n"/>
      <c r="AC695" s="37" t="n"/>
      <c r="AD695" s="38" t="n"/>
      <c r="AE695" s="30">
        <f>IF(OR($B695="",$C695=""),"",$C695-$B695+1)</f>
        <v/>
      </c>
      <c r="AF695" s="32" t="n"/>
      <c r="AG695" s="36" t="n"/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3">
        <f>IF($F696="","",IFERROR(INDEX(사건마스터!$B$5:$B$64,MATCH($F696,사건마스터!$A$5:$A$64,0)),""))</f>
        <v/>
      </c>
      <c r="H696" s="34">
        <f>IF($F696="","",IFERROR(INDEX(사건마스터!$C$5:$C$64,MATCH($F696,사건마스터!$A$5:$A$64,0)),""))</f>
        <v/>
      </c>
      <c r="I696" s="35">
        <f>IF($F696="","",IFERROR(INDEX(사건마스터!$H$5:$H$64,MATCH($F696,사건마스터!$A$5:$A$64,0)),""))</f>
        <v/>
      </c>
      <c r="J696" s="35">
        <f>IF($F696="","",IFERROR(INDEX(사건마스터!$AH$5:$AH$64,MATCH($F696,사건마스터!$A$5:$A$64,0)),""))</f>
        <v/>
      </c>
      <c r="K696" s="35">
        <f>IF($F696="","",IFERROR(INDEX(사건마스터!$AI$5:$AI$64,MATCH($F696,사건마스터!$A$5:$A$64,0)),""))</f>
        <v/>
      </c>
      <c r="L696" s="35">
        <f>IF($F696="","",IFERROR(INDEX(사건마스터!$AJ$5:$AJ$64,MATCH($F696,사건마스터!$A$5:$A$64,0)),""))</f>
        <v/>
      </c>
      <c r="M696" s="35">
        <f>IF($F696="","",IFERROR(INDEX(사건마스터!$AK$5:$AK$64,MATCH($F696,사건마스터!$A$5:$A$64,0)),""))</f>
        <v/>
      </c>
      <c r="N696" s="35">
        <f>IF($F696="","",IFERROR(INDEX(사건마스터!$AL$5:$AL$64,MATCH($F696,사건마스터!$A$5:$A$64,0)),""))</f>
        <v/>
      </c>
      <c r="O696" s="35">
        <f>IF($F696="","",IFERROR(INDEX(사건마스터!$AM$5:$AM$64,MATCH($F696,사건마스터!$A$5:$A$64,0)),""))</f>
        <v/>
      </c>
      <c r="P696" s="35">
        <f>IF($F696="","",IFERROR(INDEX(사건마스터!$AN$5:$AN$64,MATCH($F696,사건마스터!$A$5:$A$64,0)),""))</f>
        <v/>
      </c>
      <c r="Q696" s="35">
        <f>IF($F696="","",IFERROR(INDEX(사건마스터!$AO$5:$AO$64,MATCH($F696,사건마스터!$A$5:$A$64,0)),""))</f>
        <v/>
      </c>
      <c r="R696" s="35">
        <f>IF($F696="","",IFERROR(INDEX(사건마스터!$AP$5:$AP$64,MATCH($F696,사건마스터!$A$5:$A$64,0)),""))</f>
        <v/>
      </c>
      <c r="S696" s="35">
        <f>IF($F696="","",IFERROR(INDEX(사건마스터!$AQ$5:$AQ$64,MATCH($F696,사건마스터!$A$5:$A$64,0)),""))</f>
        <v/>
      </c>
      <c r="T696" s="35">
        <f>IF($F696="","",IFERROR(INDEX(사건마스터!$AR$5:$AR$64,MATCH($F696,사건마스터!$A$5:$A$64,0)),""))</f>
        <v/>
      </c>
      <c r="U696" s="35">
        <f>IF($F696="","",IFERROR(INDEX(사건마스터!$AS$5:$AS$64,MATCH($F696,사건마스터!$A$5:$A$64,0)),""))</f>
        <v/>
      </c>
      <c r="V696" s="35">
        <f>IF($F696="","",IFERROR(INDEX(사건마스터!$AT$5:$AT$64,MATCH($F696,사건마스터!$A$5:$A$64,0)),""))</f>
        <v/>
      </c>
      <c r="W696" s="35">
        <f>IF($F696="","",IFERROR(INDEX(사건마스터!$AU$5:$AU$64,MATCH($F696,사건마스터!$A$5:$A$64,0)),""))</f>
        <v/>
      </c>
      <c r="X696" s="35">
        <f>IF($F696="","",IFERROR(INDEX(사건마스터!$AV$5:$AV$64,MATCH($F696,사건마스터!$A$5:$A$64,0)),""))</f>
        <v/>
      </c>
      <c r="Y696" s="30">
        <f>IF($I696="","",COUNTIF($I696:$X696,"?*"))</f>
        <v/>
      </c>
      <c r="Z696" s="33">
        <f>IF($I696="","",_xlfn.TEXTJOIN(", ",TRUE,$I696:$X696))</f>
        <v/>
      </c>
      <c r="AA696" s="34">
        <f>IF($I696="","",IFERROR(INDEX(코드설정!$D$5:$D$24,MATCH($I696,코드설정!$C$5:$C$24,0)),""))</f>
        <v/>
      </c>
      <c r="AB696" s="36" t="n"/>
      <c r="AC696" s="37" t="n"/>
      <c r="AD696" s="38" t="n"/>
      <c r="AE696" s="30">
        <f>IF(OR($B696="",$C696=""),"",$C696-$B696+1)</f>
        <v/>
      </c>
      <c r="AF696" s="32" t="n"/>
      <c r="AG696" s="36" t="n"/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3">
        <f>IF($F697="","",IFERROR(INDEX(사건마스터!$B$5:$B$64,MATCH($F697,사건마스터!$A$5:$A$64,0)),""))</f>
        <v/>
      </c>
      <c r="H697" s="34">
        <f>IF($F697="","",IFERROR(INDEX(사건마스터!$C$5:$C$64,MATCH($F697,사건마스터!$A$5:$A$64,0)),""))</f>
        <v/>
      </c>
      <c r="I697" s="35">
        <f>IF($F697="","",IFERROR(INDEX(사건마스터!$H$5:$H$64,MATCH($F697,사건마스터!$A$5:$A$64,0)),""))</f>
        <v/>
      </c>
      <c r="J697" s="35">
        <f>IF($F697="","",IFERROR(INDEX(사건마스터!$AH$5:$AH$64,MATCH($F697,사건마스터!$A$5:$A$64,0)),""))</f>
        <v/>
      </c>
      <c r="K697" s="35">
        <f>IF($F697="","",IFERROR(INDEX(사건마스터!$AI$5:$AI$64,MATCH($F697,사건마스터!$A$5:$A$64,0)),""))</f>
        <v/>
      </c>
      <c r="L697" s="35">
        <f>IF($F697="","",IFERROR(INDEX(사건마스터!$AJ$5:$AJ$64,MATCH($F697,사건마스터!$A$5:$A$64,0)),""))</f>
        <v/>
      </c>
      <c r="M697" s="35">
        <f>IF($F697="","",IFERROR(INDEX(사건마스터!$AK$5:$AK$64,MATCH($F697,사건마스터!$A$5:$A$64,0)),""))</f>
        <v/>
      </c>
      <c r="N697" s="35">
        <f>IF($F697="","",IFERROR(INDEX(사건마스터!$AL$5:$AL$64,MATCH($F697,사건마스터!$A$5:$A$64,0)),""))</f>
        <v/>
      </c>
      <c r="O697" s="35">
        <f>IF($F697="","",IFERROR(INDEX(사건마스터!$AM$5:$AM$64,MATCH($F697,사건마스터!$A$5:$A$64,0)),""))</f>
        <v/>
      </c>
      <c r="P697" s="35">
        <f>IF($F697="","",IFERROR(INDEX(사건마스터!$AN$5:$AN$64,MATCH($F697,사건마스터!$A$5:$A$64,0)),""))</f>
        <v/>
      </c>
      <c r="Q697" s="35">
        <f>IF($F697="","",IFERROR(INDEX(사건마스터!$AO$5:$AO$64,MATCH($F697,사건마스터!$A$5:$A$64,0)),""))</f>
        <v/>
      </c>
      <c r="R697" s="35">
        <f>IF($F697="","",IFERROR(INDEX(사건마스터!$AP$5:$AP$64,MATCH($F697,사건마스터!$A$5:$A$64,0)),""))</f>
        <v/>
      </c>
      <c r="S697" s="35">
        <f>IF($F697="","",IFERROR(INDEX(사건마스터!$AQ$5:$AQ$64,MATCH($F697,사건마스터!$A$5:$A$64,0)),""))</f>
        <v/>
      </c>
      <c r="T697" s="35">
        <f>IF($F697="","",IFERROR(INDEX(사건마스터!$AR$5:$AR$64,MATCH($F697,사건마스터!$A$5:$A$64,0)),""))</f>
        <v/>
      </c>
      <c r="U697" s="35">
        <f>IF($F697="","",IFERROR(INDEX(사건마스터!$AS$5:$AS$64,MATCH($F697,사건마스터!$A$5:$A$64,0)),""))</f>
        <v/>
      </c>
      <c r="V697" s="35">
        <f>IF($F697="","",IFERROR(INDEX(사건마스터!$AT$5:$AT$64,MATCH($F697,사건마스터!$A$5:$A$64,0)),""))</f>
        <v/>
      </c>
      <c r="W697" s="35">
        <f>IF($F697="","",IFERROR(INDEX(사건마스터!$AU$5:$AU$64,MATCH($F697,사건마스터!$A$5:$A$64,0)),""))</f>
        <v/>
      </c>
      <c r="X697" s="35">
        <f>IF($F697="","",IFERROR(INDEX(사건마스터!$AV$5:$AV$64,MATCH($F697,사건마스터!$A$5:$A$64,0)),""))</f>
        <v/>
      </c>
      <c r="Y697" s="30">
        <f>IF($I697="","",COUNTIF($I697:$X697,"?*"))</f>
        <v/>
      </c>
      <c r="Z697" s="33">
        <f>IF($I697="","",_xlfn.TEXTJOIN(", ",TRUE,$I697:$X697))</f>
        <v/>
      </c>
      <c r="AA697" s="34">
        <f>IF($I697="","",IFERROR(INDEX(코드설정!$D$5:$D$24,MATCH($I697,코드설정!$C$5:$C$24,0)),""))</f>
        <v/>
      </c>
      <c r="AB697" s="36" t="n"/>
      <c r="AC697" s="37" t="n"/>
      <c r="AD697" s="38" t="n"/>
      <c r="AE697" s="30">
        <f>IF(OR($B697="",$C697=""),"",$C697-$B697+1)</f>
        <v/>
      </c>
      <c r="AF697" s="32" t="n"/>
      <c r="AG697" s="36" t="n"/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3">
        <f>IF($F698="","",IFERROR(INDEX(사건마스터!$B$5:$B$64,MATCH($F698,사건마스터!$A$5:$A$64,0)),""))</f>
        <v/>
      </c>
      <c r="H698" s="34">
        <f>IF($F698="","",IFERROR(INDEX(사건마스터!$C$5:$C$64,MATCH($F698,사건마스터!$A$5:$A$64,0)),""))</f>
        <v/>
      </c>
      <c r="I698" s="35">
        <f>IF($F698="","",IFERROR(INDEX(사건마스터!$H$5:$H$64,MATCH($F698,사건마스터!$A$5:$A$64,0)),""))</f>
        <v/>
      </c>
      <c r="J698" s="35">
        <f>IF($F698="","",IFERROR(INDEX(사건마스터!$AH$5:$AH$64,MATCH($F698,사건마스터!$A$5:$A$64,0)),""))</f>
        <v/>
      </c>
      <c r="K698" s="35">
        <f>IF($F698="","",IFERROR(INDEX(사건마스터!$AI$5:$AI$64,MATCH($F698,사건마스터!$A$5:$A$64,0)),""))</f>
        <v/>
      </c>
      <c r="L698" s="35">
        <f>IF($F698="","",IFERROR(INDEX(사건마스터!$AJ$5:$AJ$64,MATCH($F698,사건마스터!$A$5:$A$64,0)),""))</f>
        <v/>
      </c>
      <c r="M698" s="35">
        <f>IF($F698="","",IFERROR(INDEX(사건마스터!$AK$5:$AK$64,MATCH($F698,사건마스터!$A$5:$A$64,0)),""))</f>
        <v/>
      </c>
      <c r="N698" s="35">
        <f>IF($F698="","",IFERROR(INDEX(사건마스터!$AL$5:$AL$64,MATCH($F698,사건마스터!$A$5:$A$64,0)),""))</f>
        <v/>
      </c>
      <c r="O698" s="35">
        <f>IF($F698="","",IFERROR(INDEX(사건마스터!$AM$5:$AM$64,MATCH($F698,사건마스터!$A$5:$A$64,0)),""))</f>
        <v/>
      </c>
      <c r="P698" s="35">
        <f>IF($F698="","",IFERROR(INDEX(사건마스터!$AN$5:$AN$64,MATCH($F698,사건마스터!$A$5:$A$64,0)),""))</f>
        <v/>
      </c>
      <c r="Q698" s="35">
        <f>IF($F698="","",IFERROR(INDEX(사건마스터!$AO$5:$AO$64,MATCH($F698,사건마스터!$A$5:$A$64,0)),""))</f>
        <v/>
      </c>
      <c r="R698" s="35">
        <f>IF($F698="","",IFERROR(INDEX(사건마스터!$AP$5:$AP$64,MATCH($F698,사건마스터!$A$5:$A$64,0)),""))</f>
        <v/>
      </c>
      <c r="S698" s="35">
        <f>IF($F698="","",IFERROR(INDEX(사건마스터!$AQ$5:$AQ$64,MATCH($F698,사건마스터!$A$5:$A$64,0)),""))</f>
        <v/>
      </c>
      <c r="T698" s="35">
        <f>IF($F698="","",IFERROR(INDEX(사건마스터!$AR$5:$AR$64,MATCH($F698,사건마스터!$A$5:$A$64,0)),""))</f>
        <v/>
      </c>
      <c r="U698" s="35">
        <f>IF($F698="","",IFERROR(INDEX(사건마스터!$AS$5:$AS$64,MATCH($F698,사건마스터!$A$5:$A$64,0)),""))</f>
        <v/>
      </c>
      <c r="V698" s="35">
        <f>IF($F698="","",IFERROR(INDEX(사건마스터!$AT$5:$AT$64,MATCH($F698,사건마스터!$A$5:$A$64,0)),""))</f>
        <v/>
      </c>
      <c r="W698" s="35">
        <f>IF($F698="","",IFERROR(INDEX(사건마스터!$AU$5:$AU$64,MATCH($F698,사건마스터!$A$5:$A$64,0)),""))</f>
        <v/>
      </c>
      <c r="X698" s="35">
        <f>IF($F698="","",IFERROR(INDEX(사건마스터!$AV$5:$AV$64,MATCH($F698,사건마스터!$A$5:$A$64,0)),""))</f>
        <v/>
      </c>
      <c r="Y698" s="30">
        <f>IF($I698="","",COUNTIF($I698:$X698,"?*"))</f>
        <v/>
      </c>
      <c r="Z698" s="33">
        <f>IF($I698="","",_xlfn.TEXTJOIN(", ",TRUE,$I698:$X698))</f>
        <v/>
      </c>
      <c r="AA698" s="34">
        <f>IF($I698="","",IFERROR(INDEX(코드설정!$D$5:$D$24,MATCH($I698,코드설정!$C$5:$C$24,0)),""))</f>
        <v/>
      </c>
      <c r="AB698" s="36" t="n"/>
      <c r="AC698" s="37" t="n"/>
      <c r="AD698" s="38" t="n"/>
      <c r="AE698" s="30">
        <f>IF(OR($B698="",$C698=""),"",$C698-$B698+1)</f>
        <v/>
      </c>
      <c r="AF698" s="32" t="n"/>
      <c r="AG698" s="36" t="n"/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3">
        <f>IF($F699="","",IFERROR(INDEX(사건마스터!$B$5:$B$64,MATCH($F699,사건마스터!$A$5:$A$64,0)),""))</f>
        <v/>
      </c>
      <c r="H699" s="34">
        <f>IF($F699="","",IFERROR(INDEX(사건마스터!$C$5:$C$64,MATCH($F699,사건마스터!$A$5:$A$64,0)),""))</f>
        <v/>
      </c>
      <c r="I699" s="35">
        <f>IF($F699="","",IFERROR(INDEX(사건마스터!$H$5:$H$64,MATCH($F699,사건마스터!$A$5:$A$64,0)),""))</f>
        <v/>
      </c>
      <c r="J699" s="35">
        <f>IF($F699="","",IFERROR(INDEX(사건마스터!$AH$5:$AH$64,MATCH($F699,사건마스터!$A$5:$A$64,0)),""))</f>
        <v/>
      </c>
      <c r="K699" s="35">
        <f>IF($F699="","",IFERROR(INDEX(사건마스터!$AI$5:$AI$64,MATCH($F699,사건마스터!$A$5:$A$64,0)),""))</f>
        <v/>
      </c>
      <c r="L699" s="35">
        <f>IF($F699="","",IFERROR(INDEX(사건마스터!$AJ$5:$AJ$64,MATCH($F699,사건마스터!$A$5:$A$64,0)),""))</f>
        <v/>
      </c>
      <c r="M699" s="35">
        <f>IF($F699="","",IFERROR(INDEX(사건마스터!$AK$5:$AK$64,MATCH($F699,사건마스터!$A$5:$A$64,0)),""))</f>
        <v/>
      </c>
      <c r="N699" s="35">
        <f>IF($F699="","",IFERROR(INDEX(사건마스터!$AL$5:$AL$64,MATCH($F699,사건마스터!$A$5:$A$64,0)),""))</f>
        <v/>
      </c>
      <c r="O699" s="35">
        <f>IF($F699="","",IFERROR(INDEX(사건마스터!$AM$5:$AM$64,MATCH($F699,사건마스터!$A$5:$A$64,0)),""))</f>
        <v/>
      </c>
      <c r="P699" s="35">
        <f>IF($F699="","",IFERROR(INDEX(사건마스터!$AN$5:$AN$64,MATCH($F699,사건마스터!$A$5:$A$64,0)),""))</f>
        <v/>
      </c>
      <c r="Q699" s="35">
        <f>IF($F699="","",IFERROR(INDEX(사건마스터!$AO$5:$AO$64,MATCH($F699,사건마스터!$A$5:$A$64,0)),""))</f>
        <v/>
      </c>
      <c r="R699" s="35">
        <f>IF($F699="","",IFERROR(INDEX(사건마스터!$AP$5:$AP$64,MATCH($F699,사건마스터!$A$5:$A$64,0)),""))</f>
        <v/>
      </c>
      <c r="S699" s="35">
        <f>IF($F699="","",IFERROR(INDEX(사건마스터!$AQ$5:$AQ$64,MATCH($F699,사건마스터!$A$5:$A$64,0)),""))</f>
        <v/>
      </c>
      <c r="T699" s="35">
        <f>IF($F699="","",IFERROR(INDEX(사건마스터!$AR$5:$AR$64,MATCH($F699,사건마스터!$A$5:$A$64,0)),""))</f>
        <v/>
      </c>
      <c r="U699" s="35">
        <f>IF($F699="","",IFERROR(INDEX(사건마스터!$AS$5:$AS$64,MATCH($F699,사건마스터!$A$5:$A$64,0)),""))</f>
        <v/>
      </c>
      <c r="V699" s="35">
        <f>IF($F699="","",IFERROR(INDEX(사건마스터!$AT$5:$AT$64,MATCH($F699,사건마스터!$A$5:$A$64,0)),""))</f>
        <v/>
      </c>
      <c r="W699" s="35">
        <f>IF($F699="","",IFERROR(INDEX(사건마스터!$AU$5:$AU$64,MATCH($F699,사건마스터!$A$5:$A$64,0)),""))</f>
        <v/>
      </c>
      <c r="X699" s="35">
        <f>IF($F699="","",IFERROR(INDEX(사건마스터!$AV$5:$AV$64,MATCH($F699,사건마스터!$A$5:$A$64,0)),""))</f>
        <v/>
      </c>
      <c r="Y699" s="30">
        <f>IF($I699="","",COUNTIF($I699:$X699,"?*"))</f>
        <v/>
      </c>
      <c r="Z699" s="33">
        <f>IF($I699="","",_xlfn.TEXTJOIN(", ",TRUE,$I699:$X699))</f>
        <v/>
      </c>
      <c r="AA699" s="34">
        <f>IF($I699="","",IFERROR(INDEX(코드설정!$D$5:$D$24,MATCH($I699,코드설정!$C$5:$C$24,0)),""))</f>
        <v/>
      </c>
      <c r="AB699" s="36" t="n"/>
      <c r="AC699" s="37" t="n"/>
      <c r="AD699" s="38" t="n"/>
      <c r="AE699" s="30">
        <f>IF(OR($B699="",$C699=""),"",$C699-$B699+1)</f>
        <v/>
      </c>
      <c r="AF699" s="32" t="n"/>
      <c r="AG699" s="36" t="n"/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3">
        <f>IF($F700="","",IFERROR(INDEX(사건마스터!$B$5:$B$64,MATCH($F700,사건마스터!$A$5:$A$64,0)),""))</f>
        <v/>
      </c>
      <c r="H700" s="34">
        <f>IF($F700="","",IFERROR(INDEX(사건마스터!$C$5:$C$64,MATCH($F700,사건마스터!$A$5:$A$64,0)),""))</f>
        <v/>
      </c>
      <c r="I700" s="35">
        <f>IF($F700="","",IFERROR(INDEX(사건마스터!$H$5:$H$64,MATCH($F700,사건마스터!$A$5:$A$64,0)),""))</f>
        <v/>
      </c>
      <c r="J700" s="35">
        <f>IF($F700="","",IFERROR(INDEX(사건마스터!$AH$5:$AH$64,MATCH($F700,사건마스터!$A$5:$A$64,0)),""))</f>
        <v/>
      </c>
      <c r="K700" s="35">
        <f>IF($F700="","",IFERROR(INDEX(사건마스터!$AI$5:$AI$64,MATCH($F700,사건마스터!$A$5:$A$64,0)),""))</f>
        <v/>
      </c>
      <c r="L700" s="35">
        <f>IF($F700="","",IFERROR(INDEX(사건마스터!$AJ$5:$AJ$64,MATCH($F700,사건마스터!$A$5:$A$64,0)),""))</f>
        <v/>
      </c>
      <c r="M700" s="35">
        <f>IF($F700="","",IFERROR(INDEX(사건마스터!$AK$5:$AK$64,MATCH($F700,사건마스터!$A$5:$A$64,0)),""))</f>
        <v/>
      </c>
      <c r="N700" s="35">
        <f>IF($F700="","",IFERROR(INDEX(사건마스터!$AL$5:$AL$64,MATCH($F700,사건마스터!$A$5:$A$64,0)),""))</f>
        <v/>
      </c>
      <c r="O700" s="35">
        <f>IF($F700="","",IFERROR(INDEX(사건마스터!$AM$5:$AM$64,MATCH($F700,사건마스터!$A$5:$A$64,0)),""))</f>
        <v/>
      </c>
      <c r="P700" s="35">
        <f>IF($F700="","",IFERROR(INDEX(사건마스터!$AN$5:$AN$64,MATCH($F700,사건마스터!$A$5:$A$64,0)),""))</f>
        <v/>
      </c>
      <c r="Q700" s="35">
        <f>IF($F700="","",IFERROR(INDEX(사건마스터!$AO$5:$AO$64,MATCH($F700,사건마스터!$A$5:$A$64,0)),""))</f>
        <v/>
      </c>
      <c r="R700" s="35">
        <f>IF($F700="","",IFERROR(INDEX(사건마스터!$AP$5:$AP$64,MATCH($F700,사건마스터!$A$5:$A$64,0)),""))</f>
        <v/>
      </c>
      <c r="S700" s="35">
        <f>IF($F700="","",IFERROR(INDEX(사건마스터!$AQ$5:$AQ$64,MATCH($F700,사건마스터!$A$5:$A$64,0)),""))</f>
        <v/>
      </c>
      <c r="T700" s="35">
        <f>IF($F700="","",IFERROR(INDEX(사건마스터!$AR$5:$AR$64,MATCH($F700,사건마스터!$A$5:$A$64,0)),""))</f>
        <v/>
      </c>
      <c r="U700" s="35">
        <f>IF($F700="","",IFERROR(INDEX(사건마스터!$AS$5:$AS$64,MATCH($F700,사건마스터!$A$5:$A$64,0)),""))</f>
        <v/>
      </c>
      <c r="V700" s="35">
        <f>IF($F700="","",IFERROR(INDEX(사건마스터!$AT$5:$AT$64,MATCH($F700,사건마스터!$A$5:$A$64,0)),""))</f>
        <v/>
      </c>
      <c r="W700" s="35">
        <f>IF($F700="","",IFERROR(INDEX(사건마스터!$AU$5:$AU$64,MATCH($F700,사건마스터!$A$5:$A$64,0)),""))</f>
        <v/>
      </c>
      <c r="X700" s="35">
        <f>IF($F700="","",IFERROR(INDEX(사건마스터!$AV$5:$AV$64,MATCH($F700,사건마스터!$A$5:$A$64,0)),""))</f>
        <v/>
      </c>
      <c r="Y700" s="30">
        <f>IF($I700="","",COUNTIF($I700:$X700,"?*"))</f>
        <v/>
      </c>
      <c r="Z700" s="33">
        <f>IF($I700="","",_xlfn.TEXTJOIN(", ",TRUE,$I700:$X700))</f>
        <v/>
      </c>
      <c r="AA700" s="34">
        <f>IF($I700="","",IFERROR(INDEX(코드설정!$D$5:$D$24,MATCH($I700,코드설정!$C$5:$C$24,0)),""))</f>
        <v/>
      </c>
      <c r="AB700" s="36" t="n"/>
      <c r="AC700" s="37" t="n"/>
      <c r="AD700" s="38" t="n"/>
      <c r="AE700" s="30">
        <f>IF(OR($B700="",$C700=""),"",$C700-$B700+1)</f>
        <v/>
      </c>
      <c r="AF700" s="32" t="n"/>
      <c r="AG700" s="36" t="n"/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3">
        <f>IF($F701="","",IFERROR(INDEX(사건마스터!$B$5:$B$64,MATCH($F701,사건마스터!$A$5:$A$64,0)),""))</f>
        <v/>
      </c>
      <c r="H701" s="34">
        <f>IF($F701="","",IFERROR(INDEX(사건마스터!$C$5:$C$64,MATCH($F701,사건마스터!$A$5:$A$64,0)),""))</f>
        <v/>
      </c>
      <c r="I701" s="35">
        <f>IF($F701="","",IFERROR(INDEX(사건마스터!$H$5:$H$64,MATCH($F701,사건마스터!$A$5:$A$64,0)),""))</f>
        <v/>
      </c>
      <c r="J701" s="35">
        <f>IF($F701="","",IFERROR(INDEX(사건마스터!$AH$5:$AH$64,MATCH($F701,사건마스터!$A$5:$A$64,0)),""))</f>
        <v/>
      </c>
      <c r="K701" s="35">
        <f>IF($F701="","",IFERROR(INDEX(사건마스터!$AI$5:$AI$64,MATCH($F701,사건마스터!$A$5:$A$64,0)),""))</f>
        <v/>
      </c>
      <c r="L701" s="35">
        <f>IF($F701="","",IFERROR(INDEX(사건마스터!$AJ$5:$AJ$64,MATCH($F701,사건마스터!$A$5:$A$64,0)),""))</f>
        <v/>
      </c>
      <c r="M701" s="35">
        <f>IF($F701="","",IFERROR(INDEX(사건마스터!$AK$5:$AK$64,MATCH($F701,사건마스터!$A$5:$A$64,0)),""))</f>
        <v/>
      </c>
      <c r="N701" s="35">
        <f>IF($F701="","",IFERROR(INDEX(사건마스터!$AL$5:$AL$64,MATCH($F701,사건마스터!$A$5:$A$64,0)),""))</f>
        <v/>
      </c>
      <c r="O701" s="35">
        <f>IF($F701="","",IFERROR(INDEX(사건마스터!$AM$5:$AM$64,MATCH($F701,사건마스터!$A$5:$A$64,0)),""))</f>
        <v/>
      </c>
      <c r="P701" s="35">
        <f>IF($F701="","",IFERROR(INDEX(사건마스터!$AN$5:$AN$64,MATCH($F701,사건마스터!$A$5:$A$64,0)),""))</f>
        <v/>
      </c>
      <c r="Q701" s="35">
        <f>IF($F701="","",IFERROR(INDEX(사건마스터!$AO$5:$AO$64,MATCH($F701,사건마스터!$A$5:$A$64,0)),""))</f>
        <v/>
      </c>
      <c r="R701" s="35">
        <f>IF($F701="","",IFERROR(INDEX(사건마스터!$AP$5:$AP$64,MATCH($F701,사건마스터!$A$5:$A$64,0)),""))</f>
        <v/>
      </c>
      <c r="S701" s="35">
        <f>IF($F701="","",IFERROR(INDEX(사건마스터!$AQ$5:$AQ$64,MATCH($F701,사건마스터!$A$5:$A$64,0)),""))</f>
        <v/>
      </c>
      <c r="T701" s="35">
        <f>IF($F701="","",IFERROR(INDEX(사건마스터!$AR$5:$AR$64,MATCH($F701,사건마스터!$A$5:$A$64,0)),""))</f>
        <v/>
      </c>
      <c r="U701" s="35">
        <f>IF($F701="","",IFERROR(INDEX(사건마스터!$AS$5:$AS$64,MATCH($F701,사건마스터!$A$5:$A$64,0)),""))</f>
        <v/>
      </c>
      <c r="V701" s="35">
        <f>IF($F701="","",IFERROR(INDEX(사건마스터!$AT$5:$AT$64,MATCH($F701,사건마스터!$A$5:$A$64,0)),""))</f>
        <v/>
      </c>
      <c r="W701" s="35">
        <f>IF($F701="","",IFERROR(INDEX(사건마스터!$AU$5:$AU$64,MATCH($F701,사건마스터!$A$5:$A$64,0)),""))</f>
        <v/>
      </c>
      <c r="X701" s="35">
        <f>IF($F701="","",IFERROR(INDEX(사건마스터!$AV$5:$AV$64,MATCH($F701,사건마스터!$A$5:$A$64,0)),""))</f>
        <v/>
      </c>
      <c r="Y701" s="30">
        <f>IF($I701="","",COUNTIF($I701:$X701,"?*"))</f>
        <v/>
      </c>
      <c r="Z701" s="33">
        <f>IF($I701="","",_xlfn.TEXTJOIN(", ",TRUE,$I701:$X701))</f>
        <v/>
      </c>
      <c r="AA701" s="34">
        <f>IF($I701="","",IFERROR(INDEX(코드설정!$D$5:$D$24,MATCH($I701,코드설정!$C$5:$C$24,0)),""))</f>
        <v/>
      </c>
      <c r="AB701" s="36" t="n"/>
      <c r="AC701" s="37" t="n"/>
      <c r="AD701" s="38" t="n"/>
      <c r="AE701" s="30">
        <f>IF(OR($B701="",$C701=""),"",$C701-$B701+1)</f>
        <v/>
      </c>
      <c r="AF701" s="32" t="n"/>
      <c r="AG701" s="36" t="n"/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3">
        <f>IF($F702="","",IFERROR(INDEX(사건마스터!$B$5:$B$64,MATCH($F702,사건마스터!$A$5:$A$64,0)),""))</f>
        <v/>
      </c>
      <c r="H702" s="34">
        <f>IF($F702="","",IFERROR(INDEX(사건마스터!$C$5:$C$64,MATCH($F702,사건마스터!$A$5:$A$64,0)),""))</f>
        <v/>
      </c>
      <c r="I702" s="35">
        <f>IF($F702="","",IFERROR(INDEX(사건마스터!$H$5:$H$64,MATCH($F702,사건마스터!$A$5:$A$64,0)),""))</f>
        <v/>
      </c>
      <c r="J702" s="35">
        <f>IF($F702="","",IFERROR(INDEX(사건마스터!$AH$5:$AH$64,MATCH($F702,사건마스터!$A$5:$A$64,0)),""))</f>
        <v/>
      </c>
      <c r="K702" s="35">
        <f>IF($F702="","",IFERROR(INDEX(사건마스터!$AI$5:$AI$64,MATCH($F702,사건마스터!$A$5:$A$64,0)),""))</f>
        <v/>
      </c>
      <c r="L702" s="35">
        <f>IF($F702="","",IFERROR(INDEX(사건마스터!$AJ$5:$AJ$64,MATCH($F702,사건마스터!$A$5:$A$64,0)),""))</f>
        <v/>
      </c>
      <c r="M702" s="35">
        <f>IF($F702="","",IFERROR(INDEX(사건마스터!$AK$5:$AK$64,MATCH($F702,사건마스터!$A$5:$A$64,0)),""))</f>
        <v/>
      </c>
      <c r="N702" s="35">
        <f>IF($F702="","",IFERROR(INDEX(사건마스터!$AL$5:$AL$64,MATCH($F702,사건마스터!$A$5:$A$64,0)),""))</f>
        <v/>
      </c>
      <c r="O702" s="35">
        <f>IF($F702="","",IFERROR(INDEX(사건마스터!$AM$5:$AM$64,MATCH($F702,사건마스터!$A$5:$A$64,0)),""))</f>
        <v/>
      </c>
      <c r="P702" s="35">
        <f>IF($F702="","",IFERROR(INDEX(사건마스터!$AN$5:$AN$64,MATCH($F702,사건마스터!$A$5:$A$64,0)),""))</f>
        <v/>
      </c>
      <c r="Q702" s="35">
        <f>IF($F702="","",IFERROR(INDEX(사건마스터!$AO$5:$AO$64,MATCH($F702,사건마스터!$A$5:$A$64,0)),""))</f>
        <v/>
      </c>
      <c r="R702" s="35">
        <f>IF($F702="","",IFERROR(INDEX(사건마스터!$AP$5:$AP$64,MATCH($F702,사건마스터!$A$5:$A$64,0)),""))</f>
        <v/>
      </c>
      <c r="S702" s="35">
        <f>IF($F702="","",IFERROR(INDEX(사건마스터!$AQ$5:$AQ$64,MATCH($F702,사건마스터!$A$5:$A$64,0)),""))</f>
        <v/>
      </c>
      <c r="T702" s="35">
        <f>IF($F702="","",IFERROR(INDEX(사건마스터!$AR$5:$AR$64,MATCH($F702,사건마스터!$A$5:$A$64,0)),""))</f>
        <v/>
      </c>
      <c r="U702" s="35">
        <f>IF($F702="","",IFERROR(INDEX(사건마스터!$AS$5:$AS$64,MATCH($F702,사건마스터!$A$5:$A$64,0)),""))</f>
        <v/>
      </c>
      <c r="V702" s="35">
        <f>IF($F702="","",IFERROR(INDEX(사건마스터!$AT$5:$AT$64,MATCH($F702,사건마스터!$A$5:$A$64,0)),""))</f>
        <v/>
      </c>
      <c r="W702" s="35">
        <f>IF($F702="","",IFERROR(INDEX(사건마스터!$AU$5:$AU$64,MATCH($F702,사건마스터!$A$5:$A$64,0)),""))</f>
        <v/>
      </c>
      <c r="X702" s="35">
        <f>IF($F702="","",IFERROR(INDEX(사건마스터!$AV$5:$AV$64,MATCH($F702,사건마스터!$A$5:$A$64,0)),""))</f>
        <v/>
      </c>
      <c r="Y702" s="30">
        <f>IF($I702="","",COUNTIF($I702:$X702,"?*"))</f>
        <v/>
      </c>
      <c r="Z702" s="33">
        <f>IF($I702="","",_xlfn.TEXTJOIN(", ",TRUE,$I702:$X702))</f>
        <v/>
      </c>
      <c r="AA702" s="34">
        <f>IF($I702="","",IFERROR(INDEX(코드설정!$D$5:$D$24,MATCH($I702,코드설정!$C$5:$C$24,0)),""))</f>
        <v/>
      </c>
      <c r="AB702" s="36" t="n"/>
      <c r="AC702" s="37" t="n"/>
      <c r="AD702" s="38" t="n"/>
      <c r="AE702" s="30">
        <f>IF(OR($B702="",$C702=""),"",$C702-$B702+1)</f>
        <v/>
      </c>
      <c r="AF702" s="32" t="n"/>
      <c r="AG702" s="36" t="n"/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3">
        <f>IF($F703="","",IFERROR(INDEX(사건마스터!$B$5:$B$64,MATCH($F703,사건마스터!$A$5:$A$64,0)),""))</f>
        <v/>
      </c>
      <c r="H703" s="34">
        <f>IF($F703="","",IFERROR(INDEX(사건마스터!$C$5:$C$64,MATCH($F703,사건마스터!$A$5:$A$64,0)),""))</f>
        <v/>
      </c>
      <c r="I703" s="35">
        <f>IF($F703="","",IFERROR(INDEX(사건마스터!$H$5:$H$64,MATCH($F703,사건마스터!$A$5:$A$64,0)),""))</f>
        <v/>
      </c>
      <c r="J703" s="35">
        <f>IF($F703="","",IFERROR(INDEX(사건마스터!$AH$5:$AH$64,MATCH($F703,사건마스터!$A$5:$A$64,0)),""))</f>
        <v/>
      </c>
      <c r="K703" s="35">
        <f>IF($F703="","",IFERROR(INDEX(사건마스터!$AI$5:$AI$64,MATCH($F703,사건마스터!$A$5:$A$64,0)),""))</f>
        <v/>
      </c>
      <c r="L703" s="35">
        <f>IF($F703="","",IFERROR(INDEX(사건마스터!$AJ$5:$AJ$64,MATCH($F703,사건마스터!$A$5:$A$64,0)),""))</f>
        <v/>
      </c>
      <c r="M703" s="35">
        <f>IF($F703="","",IFERROR(INDEX(사건마스터!$AK$5:$AK$64,MATCH($F703,사건마스터!$A$5:$A$64,0)),""))</f>
        <v/>
      </c>
      <c r="N703" s="35">
        <f>IF($F703="","",IFERROR(INDEX(사건마스터!$AL$5:$AL$64,MATCH($F703,사건마스터!$A$5:$A$64,0)),""))</f>
        <v/>
      </c>
      <c r="O703" s="35">
        <f>IF($F703="","",IFERROR(INDEX(사건마스터!$AM$5:$AM$64,MATCH($F703,사건마스터!$A$5:$A$64,0)),""))</f>
        <v/>
      </c>
      <c r="P703" s="35">
        <f>IF($F703="","",IFERROR(INDEX(사건마스터!$AN$5:$AN$64,MATCH($F703,사건마스터!$A$5:$A$64,0)),""))</f>
        <v/>
      </c>
      <c r="Q703" s="35">
        <f>IF($F703="","",IFERROR(INDEX(사건마스터!$AO$5:$AO$64,MATCH($F703,사건마스터!$A$5:$A$64,0)),""))</f>
        <v/>
      </c>
      <c r="R703" s="35">
        <f>IF($F703="","",IFERROR(INDEX(사건마스터!$AP$5:$AP$64,MATCH($F703,사건마스터!$A$5:$A$64,0)),""))</f>
        <v/>
      </c>
      <c r="S703" s="35">
        <f>IF($F703="","",IFERROR(INDEX(사건마스터!$AQ$5:$AQ$64,MATCH($F703,사건마스터!$A$5:$A$64,0)),""))</f>
        <v/>
      </c>
      <c r="T703" s="35">
        <f>IF($F703="","",IFERROR(INDEX(사건마스터!$AR$5:$AR$64,MATCH($F703,사건마스터!$A$5:$A$64,0)),""))</f>
        <v/>
      </c>
      <c r="U703" s="35">
        <f>IF($F703="","",IFERROR(INDEX(사건마스터!$AS$5:$AS$64,MATCH($F703,사건마스터!$A$5:$A$64,0)),""))</f>
        <v/>
      </c>
      <c r="V703" s="35">
        <f>IF($F703="","",IFERROR(INDEX(사건마스터!$AT$5:$AT$64,MATCH($F703,사건마스터!$A$5:$A$64,0)),""))</f>
        <v/>
      </c>
      <c r="W703" s="35">
        <f>IF($F703="","",IFERROR(INDEX(사건마스터!$AU$5:$AU$64,MATCH($F703,사건마스터!$A$5:$A$64,0)),""))</f>
        <v/>
      </c>
      <c r="X703" s="35">
        <f>IF($F703="","",IFERROR(INDEX(사건마스터!$AV$5:$AV$64,MATCH($F703,사건마스터!$A$5:$A$64,0)),""))</f>
        <v/>
      </c>
      <c r="Y703" s="30">
        <f>IF($I703="","",COUNTIF($I703:$X703,"?*"))</f>
        <v/>
      </c>
      <c r="Z703" s="33">
        <f>IF($I703="","",_xlfn.TEXTJOIN(", ",TRUE,$I703:$X703))</f>
        <v/>
      </c>
      <c r="AA703" s="34">
        <f>IF($I703="","",IFERROR(INDEX(코드설정!$D$5:$D$24,MATCH($I703,코드설정!$C$5:$C$24,0)),""))</f>
        <v/>
      </c>
      <c r="AB703" s="36" t="n"/>
      <c r="AC703" s="37" t="n"/>
      <c r="AD703" s="38" t="n"/>
      <c r="AE703" s="30">
        <f>IF(OR($B703="",$C703=""),"",$C703-$B703+1)</f>
        <v/>
      </c>
      <c r="AF703" s="32" t="n"/>
      <c r="AG703" s="36" t="n"/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3">
        <f>IF($F704="","",IFERROR(INDEX(사건마스터!$B$5:$B$64,MATCH($F704,사건마스터!$A$5:$A$64,0)),""))</f>
        <v/>
      </c>
      <c r="H704" s="34">
        <f>IF($F704="","",IFERROR(INDEX(사건마스터!$C$5:$C$64,MATCH($F704,사건마스터!$A$5:$A$64,0)),""))</f>
        <v/>
      </c>
      <c r="I704" s="35">
        <f>IF($F704="","",IFERROR(INDEX(사건마스터!$H$5:$H$64,MATCH($F704,사건마스터!$A$5:$A$64,0)),""))</f>
        <v/>
      </c>
      <c r="J704" s="35">
        <f>IF($F704="","",IFERROR(INDEX(사건마스터!$AH$5:$AH$64,MATCH($F704,사건마스터!$A$5:$A$64,0)),""))</f>
        <v/>
      </c>
      <c r="K704" s="35">
        <f>IF($F704="","",IFERROR(INDEX(사건마스터!$AI$5:$AI$64,MATCH($F704,사건마스터!$A$5:$A$64,0)),""))</f>
        <v/>
      </c>
      <c r="L704" s="35">
        <f>IF($F704="","",IFERROR(INDEX(사건마스터!$AJ$5:$AJ$64,MATCH($F704,사건마스터!$A$5:$A$64,0)),""))</f>
        <v/>
      </c>
      <c r="M704" s="35">
        <f>IF($F704="","",IFERROR(INDEX(사건마스터!$AK$5:$AK$64,MATCH($F704,사건마스터!$A$5:$A$64,0)),""))</f>
        <v/>
      </c>
      <c r="N704" s="35">
        <f>IF($F704="","",IFERROR(INDEX(사건마스터!$AL$5:$AL$64,MATCH($F704,사건마스터!$A$5:$A$64,0)),""))</f>
        <v/>
      </c>
      <c r="O704" s="35">
        <f>IF($F704="","",IFERROR(INDEX(사건마스터!$AM$5:$AM$64,MATCH($F704,사건마스터!$A$5:$A$64,0)),""))</f>
        <v/>
      </c>
      <c r="P704" s="35">
        <f>IF($F704="","",IFERROR(INDEX(사건마스터!$AN$5:$AN$64,MATCH($F704,사건마스터!$A$5:$A$64,0)),""))</f>
        <v/>
      </c>
      <c r="Q704" s="35">
        <f>IF($F704="","",IFERROR(INDEX(사건마스터!$AO$5:$AO$64,MATCH($F704,사건마스터!$A$5:$A$64,0)),""))</f>
        <v/>
      </c>
      <c r="R704" s="35">
        <f>IF($F704="","",IFERROR(INDEX(사건마스터!$AP$5:$AP$64,MATCH($F704,사건마스터!$A$5:$A$64,0)),""))</f>
        <v/>
      </c>
      <c r="S704" s="35">
        <f>IF($F704="","",IFERROR(INDEX(사건마스터!$AQ$5:$AQ$64,MATCH($F704,사건마스터!$A$5:$A$64,0)),""))</f>
        <v/>
      </c>
      <c r="T704" s="35">
        <f>IF($F704="","",IFERROR(INDEX(사건마스터!$AR$5:$AR$64,MATCH($F704,사건마스터!$A$5:$A$64,0)),""))</f>
        <v/>
      </c>
      <c r="U704" s="35">
        <f>IF($F704="","",IFERROR(INDEX(사건마스터!$AS$5:$AS$64,MATCH($F704,사건마스터!$A$5:$A$64,0)),""))</f>
        <v/>
      </c>
      <c r="V704" s="35">
        <f>IF($F704="","",IFERROR(INDEX(사건마스터!$AT$5:$AT$64,MATCH($F704,사건마스터!$A$5:$A$64,0)),""))</f>
        <v/>
      </c>
      <c r="W704" s="35">
        <f>IF($F704="","",IFERROR(INDEX(사건마스터!$AU$5:$AU$64,MATCH($F704,사건마스터!$A$5:$A$64,0)),""))</f>
        <v/>
      </c>
      <c r="X704" s="35">
        <f>IF($F704="","",IFERROR(INDEX(사건마스터!$AV$5:$AV$64,MATCH($F704,사건마스터!$A$5:$A$64,0)),""))</f>
        <v/>
      </c>
      <c r="Y704" s="30">
        <f>IF($I704="","",COUNTIF($I704:$X704,"?*"))</f>
        <v/>
      </c>
      <c r="Z704" s="33">
        <f>IF($I704="","",_xlfn.TEXTJOIN(", ",TRUE,$I704:$X704))</f>
        <v/>
      </c>
      <c r="AA704" s="34">
        <f>IF($I704="","",IFERROR(INDEX(코드설정!$D$5:$D$24,MATCH($I704,코드설정!$C$5:$C$24,0)),""))</f>
        <v/>
      </c>
      <c r="AB704" s="36" t="n"/>
      <c r="AC704" s="37" t="n"/>
      <c r="AD704" s="38" t="n"/>
      <c r="AE704" s="30">
        <f>IF(OR($B704="",$C704=""),"",$C704-$B704+1)</f>
        <v/>
      </c>
      <c r="AF704" s="32" t="n"/>
      <c r="AG704" s="36" t="n"/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3">
        <f>IF($F705="","",IFERROR(INDEX(사건마스터!$B$5:$B$64,MATCH($F705,사건마스터!$A$5:$A$64,0)),""))</f>
        <v/>
      </c>
      <c r="H705" s="34">
        <f>IF($F705="","",IFERROR(INDEX(사건마스터!$C$5:$C$64,MATCH($F705,사건마스터!$A$5:$A$64,0)),""))</f>
        <v/>
      </c>
      <c r="I705" s="35">
        <f>IF($F705="","",IFERROR(INDEX(사건마스터!$H$5:$H$64,MATCH($F705,사건마스터!$A$5:$A$64,0)),""))</f>
        <v/>
      </c>
      <c r="J705" s="35">
        <f>IF($F705="","",IFERROR(INDEX(사건마스터!$AH$5:$AH$64,MATCH($F705,사건마스터!$A$5:$A$64,0)),""))</f>
        <v/>
      </c>
      <c r="K705" s="35">
        <f>IF($F705="","",IFERROR(INDEX(사건마스터!$AI$5:$AI$64,MATCH($F705,사건마스터!$A$5:$A$64,0)),""))</f>
        <v/>
      </c>
      <c r="L705" s="35">
        <f>IF($F705="","",IFERROR(INDEX(사건마스터!$AJ$5:$AJ$64,MATCH($F705,사건마스터!$A$5:$A$64,0)),""))</f>
        <v/>
      </c>
      <c r="M705" s="35">
        <f>IF($F705="","",IFERROR(INDEX(사건마스터!$AK$5:$AK$64,MATCH($F705,사건마스터!$A$5:$A$64,0)),""))</f>
        <v/>
      </c>
      <c r="N705" s="35">
        <f>IF($F705="","",IFERROR(INDEX(사건마스터!$AL$5:$AL$64,MATCH($F705,사건마스터!$A$5:$A$64,0)),""))</f>
        <v/>
      </c>
      <c r="O705" s="35">
        <f>IF($F705="","",IFERROR(INDEX(사건마스터!$AM$5:$AM$64,MATCH($F705,사건마스터!$A$5:$A$64,0)),""))</f>
        <v/>
      </c>
      <c r="P705" s="35">
        <f>IF($F705="","",IFERROR(INDEX(사건마스터!$AN$5:$AN$64,MATCH($F705,사건마스터!$A$5:$A$64,0)),""))</f>
        <v/>
      </c>
      <c r="Q705" s="35">
        <f>IF($F705="","",IFERROR(INDEX(사건마스터!$AO$5:$AO$64,MATCH($F705,사건마스터!$A$5:$A$64,0)),""))</f>
        <v/>
      </c>
      <c r="R705" s="35">
        <f>IF($F705="","",IFERROR(INDEX(사건마스터!$AP$5:$AP$64,MATCH($F705,사건마스터!$A$5:$A$64,0)),""))</f>
        <v/>
      </c>
      <c r="S705" s="35">
        <f>IF($F705="","",IFERROR(INDEX(사건마스터!$AQ$5:$AQ$64,MATCH($F705,사건마스터!$A$5:$A$64,0)),""))</f>
        <v/>
      </c>
      <c r="T705" s="35">
        <f>IF($F705="","",IFERROR(INDEX(사건마스터!$AR$5:$AR$64,MATCH($F705,사건마스터!$A$5:$A$64,0)),""))</f>
        <v/>
      </c>
      <c r="U705" s="35">
        <f>IF($F705="","",IFERROR(INDEX(사건마스터!$AS$5:$AS$64,MATCH($F705,사건마스터!$A$5:$A$64,0)),""))</f>
        <v/>
      </c>
      <c r="V705" s="35">
        <f>IF($F705="","",IFERROR(INDEX(사건마스터!$AT$5:$AT$64,MATCH($F705,사건마스터!$A$5:$A$64,0)),""))</f>
        <v/>
      </c>
      <c r="W705" s="35">
        <f>IF($F705="","",IFERROR(INDEX(사건마스터!$AU$5:$AU$64,MATCH($F705,사건마스터!$A$5:$A$64,0)),""))</f>
        <v/>
      </c>
      <c r="X705" s="35">
        <f>IF($F705="","",IFERROR(INDEX(사건마스터!$AV$5:$AV$64,MATCH($F705,사건마스터!$A$5:$A$64,0)),""))</f>
        <v/>
      </c>
      <c r="Y705" s="30">
        <f>IF($I705="","",COUNTIF($I705:$X705,"?*"))</f>
        <v/>
      </c>
      <c r="Z705" s="33">
        <f>IF($I705="","",_xlfn.TEXTJOIN(", ",TRUE,$I705:$X705))</f>
        <v/>
      </c>
      <c r="AA705" s="34">
        <f>IF($I705="","",IFERROR(INDEX(코드설정!$D$5:$D$24,MATCH($I705,코드설정!$C$5:$C$24,0)),""))</f>
        <v/>
      </c>
      <c r="AB705" s="36" t="n"/>
      <c r="AC705" s="37" t="n"/>
      <c r="AD705" s="38" t="n"/>
      <c r="AE705" s="30">
        <f>IF(OR($B705="",$C705=""),"",$C705-$B705+1)</f>
        <v/>
      </c>
      <c r="AF705" s="32" t="n"/>
      <c r="AG705" s="36" t="n"/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3">
        <f>IF($F706="","",IFERROR(INDEX(사건마스터!$B$5:$B$64,MATCH($F706,사건마스터!$A$5:$A$64,0)),""))</f>
        <v/>
      </c>
      <c r="H706" s="34">
        <f>IF($F706="","",IFERROR(INDEX(사건마스터!$C$5:$C$64,MATCH($F706,사건마스터!$A$5:$A$64,0)),""))</f>
        <v/>
      </c>
      <c r="I706" s="35">
        <f>IF($F706="","",IFERROR(INDEX(사건마스터!$H$5:$H$64,MATCH($F706,사건마스터!$A$5:$A$64,0)),""))</f>
        <v/>
      </c>
      <c r="J706" s="35">
        <f>IF($F706="","",IFERROR(INDEX(사건마스터!$AH$5:$AH$64,MATCH($F706,사건마스터!$A$5:$A$64,0)),""))</f>
        <v/>
      </c>
      <c r="K706" s="35">
        <f>IF($F706="","",IFERROR(INDEX(사건마스터!$AI$5:$AI$64,MATCH($F706,사건마스터!$A$5:$A$64,0)),""))</f>
        <v/>
      </c>
      <c r="L706" s="35">
        <f>IF($F706="","",IFERROR(INDEX(사건마스터!$AJ$5:$AJ$64,MATCH($F706,사건마스터!$A$5:$A$64,0)),""))</f>
        <v/>
      </c>
      <c r="M706" s="35">
        <f>IF($F706="","",IFERROR(INDEX(사건마스터!$AK$5:$AK$64,MATCH($F706,사건마스터!$A$5:$A$64,0)),""))</f>
        <v/>
      </c>
      <c r="N706" s="35">
        <f>IF($F706="","",IFERROR(INDEX(사건마스터!$AL$5:$AL$64,MATCH($F706,사건마스터!$A$5:$A$64,0)),""))</f>
        <v/>
      </c>
      <c r="O706" s="35">
        <f>IF($F706="","",IFERROR(INDEX(사건마스터!$AM$5:$AM$64,MATCH($F706,사건마스터!$A$5:$A$64,0)),""))</f>
        <v/>
      </c>
      <c r="P706" s="35">
        <f>IF($F706="","",IFERROR(INDEX(사건마스터!$AN$5:$AN$64,MATCH($F706,사건마스터!$A$5:$A$64,0)),""))</f>
        <v/>
      </c>
      <c r="Q706" s="35">
        <f>IF($F706="","",IFERROR(INDEX(사건마스터!$AO$5:$AO$64,MATCH($F706,사건마스터!$A$5:$A$64,0)),""))</f>
        <v/>
      </c>
      <c r="R706" s="35">
        <f>IF($F706="","",IFERROR(INDEX(사건마스터!$AP$5:$AP$64,MATCH($F706,사건마스터!$A$5:$A$64,0)),""))</f>
        <v/>
      </c>
      <c r="S706" s="35">
        <f>IF($F706="","",IFERROR(INDEX(사건마스터!$AQ$5:$AQ$64,MATCH($F706,사건마스터!$A$5:$A$64,0)),""))</f>
        <v/>
      </c>
      <c r="T706" s="35">
        <f>IF($F706="","",IFERROR(INDEX(사건마스터!$AR$5:$AR$64,MATCH($F706,사건마스터!$A$5:$A$64,0)),""))</f>
        <v/>
      </c>
      <c r="U706" s="35">
        <f>IF($F706="","",IFERROR(INDEX(사건마스터!$AS$5:$AS$64,MATCH($F706,사건마스터!$A$5:$A$64,0)),""))</f>
        <v/>
      </c>
      <c r="V706" s="35">
        <f>IF($F706="","",IFERROR(INDEX(사건마스터!$AT$5:$AT$64,MATCH($F706,사건마스터!$A$5:$A$64,0)),""))</f>
        <v/>
      </c>
      <c r="W706" s="35">
        <f>IF($F706="","",IFERROR(INDEX(사건마스터!$AU$5:$AU$64,MATCH($F706,사건마스터!$A$5:$A$64,0)),""))</f>
        <v/>
      </c>
      <c r="X706" s="35">
        <f>IF($F706="","",IFERROR(INDEX(사건마스터!$AV$5:$AV$64,MATCH($F706,사건마스터!$A$5:$A$64,0)),""))</f>
        <v/>
      </c>
      <c r="Y706" s="30">
        <f>IF($I706="","",COUNTIF($I706:$X706,"?*"))</f>
        <v/>
      </c>
      <c r="Z706" s="33">
        <f>IF($I706="","",_xlfn.TEXTJOIN(", ",TRUE,$I706:$X706))</f>
        <v/>
      </c>
      <c r="AA706" s="34">
        <f>IF($I706="","",IFERROR(INDEX(코드설정!$D$5:$D$24,MATCH($I706,코드설정!$C$5:$C$24,0)),""))</f>
        <v/>
      </c>
      <c r="AB706" s="36" t="n"/>
      <c r="AC706" s="37" t="n"/>
      <c r="AD706" s="38" t="n"/>
      <c r="AE706" s="30">
        <f>IF(OR($B706="",$C706=""),"",$C706-$B706+1)</f>
        <v/>
      </c>
      <c r="AF706" s="32" t="n"/>
      <c r="AG706" s="36" t="n"/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3">
        <f>IF($F707="","",IFERROR(INDEX(사건마스터!$B$5:$B$64,MATCH($F707,사건마스터!$A$5:$A$64,0)),""))</f>
        <v/>
      </c>
      <c r="H707" s="34">
        <f>IF($F707="","",IFERROR(INDEX(사건마스터!$C$5:$C$64,MATCH($F707,사건마스터!$A$5:$A$64,0)),""))</f>
        <v/>
      </c>
      <c r="I707" s="35">
        <f>IF($F707="","",IFERROR(INDEX(사건마스터!$H$5:$H$64,MATCH($F707,사건마스터!$A$5:$A$64,0)),""))</f>
        <v/>
      </c>
      <c r="J707" s="35">
        <f>IF($F707="","",IFERROR(INDEX(사건마스터!$AH$5:$AH$64,MATCH($F707,사건마스터!$A$5:$A$64,0)),""))</f>
        <v/>
      </c>
      <c r="K707" s="35">
        <f>IF($F707="","",IFERROR(INDEX(사건마스터!$AI$5:$AI$64,MATCH($F707,사건마스터!$A$5:$A$64,0)),""))</f>
        <v/>
      </c>
      <c r="L707" s="35">
        <f>IF($F707="","",IFERROR(INDEX(사건마스터!$AJ$5:$AJ$64,MATCH($F707,사건마스터!$A$5:$A$64,0)),""))</f>
        <v/>
      </c>
      <c r="M707" s="35">
        <f>IF($F707="","",IFERROR(INDEX(사건마스터!$AK$5:$AK$64,MATCH($F707,사건마스터!$A$5:$A$64,0)),""))</f>
        <v/>
      </c>
      <c r="N707" s="35">
        <f>IF($F707="","",IFERROR(INDEX(사건마스터!$AL$5:$AL$64,MATCH($F707,사건마스터!$A$5:$A$64,0)),""))</f>
        <v/>
      </c>
      <c r="O707" s="35">
        <f>IF($F707="","",IFERROR(INDEX(사건마스터!$AM$5:$AM$64,MATCH($F707,사건마스터!$A$5:$A$64,0)),""))</f>
        <v/>
      </c>
      <c r="P707" s="35">
        <f>IF($F707="","",IFERROR(INDEX(사건마스터!$AN$5:$AN$64,MATCH($F707,사건마스터!$A$5:$A$64,0)),""))</f>
        <v/>
      </c>
      <c r="Q707" s="35">
        <f>IF($F707="","",IFERROR(INDEX(사건마스터!$AO$5:$AO$64,MATCH($F707,사건마스터!$A$5:$A$64,0)),""))</f>
        <v/>
      </c>
      <c r="R707" s="35">
        <f>IF($F707="","",IFERROR(INDEX(사건마스터!$AP$5:$AP$64,MATCH($F707,사건마스터!$A$5:$A$64,0)),""))</f>
        <v/>
      </c>
      <c r="S707" s="35">
        <f>IF($F707="","",IFERROR(INDEX(사건마스터!$AQ$5:$AQ$64,MATCH($F707,사건마스터!$A$5:$A$64,0)),""))</f>
        <v/>
      </c>
      <c r="T707" s="35">
        <f>IF($F707="","",IFERROR(INDEX(사건마스터!$AR$5:$AR$64,MATCH($F707,사건마스터!$A$5:$A$64,0)),""))</f>
        <v/>
      </c>
      <c r="U707" s="35">
        <f>IF($F707="","",IFERROR(INDEX(사건마스터!$AS$5:$AS$64,MATCH($F707,사건마스터!$A$5:$A$64,0)),""))</f>
        <v/>
      </c>
      <c r="V707" s="35">
        <f>IF($F707="","",IFERROR(INDEX(사건마스터!$AT$5:$AT$64,MATCH($F707,사건마스터!$A$5:$A$64,0)),""))</f>
        <v/>
      </c>
      <c r="W707" s="35">
        <f>IF($F707="","",IFERROR(INDEX(사건마스터!$AU$5:$AU$64,MATCH($F707,사건마스터!$A$5:$A$64,0)),""))</f>
        <v/>
      </c>
      <c r="X707" s="35">
        <f>IF($F707="","",IFERROR(INDEX(사건마스터!$AV$5:$AV$64,MATCH($F707,사건마스터!$A$5:$A$64,0)),""))</f>
        <v/>
      </c>
      <c r="Y707" s="30">
        <f>IF($I707="","",COUNTIF($I707:$X707,"?*"))</f>
        <v/>
      </c>
      <c r="Z707" s="33">
        <f>IF($I707="","",_xlfn.TEXTJOIN(", ",TRUE,$I707:$X707))</f>
        <v/>
      </c>
      <c r="AA707" s="34">
        <f>IF($I707="","",IFERROR(INDEX(코드설정!$D$5:$D$24,MATCH($I707,코드설정!$C$5:$C$24,0)),""))</f>
        <v/>
      </c>
      <c r="AB707" s="36" t="n"/>
      <c r="AC707" s="37" t="n"/>
      <c r="AD707" s="38" t="n"/>
      <c r="AE707" s="30">
        <f>IF(OR($B707="",$C707=""),"",$C707-$B707+1)</f>
        <v/>
      </c>
      <c r="AF707" s="32" t="n"/>
      <c r="AG707" s="36" t="n"/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3">
        <f>IF($F708="","",IFERROR(INDEX(사건마스터!$B$5:$B$64,MATCH($F708,사건마스터!$A$5:$A$64,0)),""))</f>
        <v/>
      </c>
      <c r="H708" s="34">
        <f>IF($F708="","",IFERROR(INDEX(사건마스터!$C$5:$C$64,MATCH($F708,사건마스터!$A$5:$A$64,0)),""))</f>
        <v/>
      </c>
      <c r="I708" s="35">
        <f>IF($F708="","",IFERROR(INDEX(사건마스터!$H$5:$H$64,MATCH($F708,사건마스터!$A$5:$A$64,0)),""))</f>
        <v/>
      </c>
      <c r="J708" s="35">
        <f>IF($F708="","",IFERROR(INDEX(사건마스터!$AH$5:$AH$64,MATCH($F708,사건마스터!$A$5:$A$64,0)),""))</f>
        <v/>
      </c>
      <c r="K708" s="35">
        <f>IF($F708="","",IFERROR(INDEX(사건마스터!$AI$5:$AI$64,MATCH($F708,사건마스터!$A$5:$A$64,0)),""))</f>
        <v/>
      </c>
      <c r="L708" s="35">
        <f>IF($F708="","",IFERROR(INDEX(사건마스터!$AJ$5:$AJ$64,MATCH($F708,사건마스터!$A$5:$A$64,0)),""))</f>
        <v/>
      </c>
      <c r="M708" s="35">
        <f>IF($F708="","",IFERROR(INDEX(사건마스터!$AK$5:$AK$64,MATCH($F708,사건마스터!$A$5:$A$64,0)),""))</f>
        <v/>
      </c>
      <c r="N708" s="35">
        <f>IF($F708="","",IFERROR(INDEX(사건마스터!$AL$5:$AL$64,MATCH($F708,사건마스터!$A$5:$A$64,0)),""))</f>
        <v/>
      </c>
      <c r="O708" s="35">
        <f>IF($F708="","",IFERROR(INDEX(사건마스터!$AM$5:$AM$64,MATCH($F708,사건마스터!$A$5:$A$64,0)),""))</f>
        <v/>
      </c>
      <c r="P708" s="35">
        <f>IF($F708="","",IFERROR(INDEX(사건마스터!$AN$5:$AN$64,MATCH($F708,사건마스터!$A$5:$A$64,0)),""))</f>
        <v/>
      </c>
      <c r="Q708" s="35">
        <f>IF($F708="","",IFERROR(INDEX(사건마스터!$AO$5:$AO$64,MATCH($F708,사건마스터!$A$5:$A$64,0)),""))</f>
        <v/>
      </c>
      <c r="R708" s="35">
        <f>IF($F708="","",IFERROR(INDEX(사건마스터!$AP$5:$AP$64,MATCH($F708,사건마스터!$A$5:$A$64,0)),""))</f>
        <v/>
      </c>
      <c r="S708" s="35">
        <f>IF($F708="","",IFERROR(INDEX(사건마스터!$AQ$5:$AQ$64,MATCH($F708,사건마스터!$A$5:$A$64,0)),""))</f>
        <v/>
      </c>
      <c r="T708" s="35">
        <f>IF($F708="","",IFERROR(INDEX(사건마스터!$AR$5:$AR$64,MATCH($F708,사건마스터!$A$5:$A$64,0)),""))</f>
        <v/>
      </c>
      <c r="U708" s="35">
        <f>IF($F708="","",IFERROR(INDEX(사건마스터!$AS$5:$AS$64,MATCH($F708,사건마스터!$A$5:$A$64,0)),""))</f>
        <v/>
      </c>
      <c r="V708" s="35">
        <f>IF($F708="","",IFERROR(INDEX(사건마스터!$AT$5:$AT$64,MATCH($F708,사건마스터!$A$5:$A$64,0)),""))</f>
        <v/>
      </c>
      <c r="W708" s="35">
        <f>IF($F708="","",IFERROR(INDEX(사건마스터!$AU$5:$AU$64,MATCH($F708,사건마스터!$A$5:$A$64,0)),""))</f>
        <v/>
      </c>
      <c r="X708" s="35">
        <f>IF($F708="","",IFERROR(INDEX(사건마스터!$AV$5:$AV$64,MATCH($F708,사건마스터!$A$5:$A$64,0)),""))</f>
        <v/>
      </c>
      <c r="Y708" s="30">
        <f>IF($I708="","",COUNTIF($I708:$X708,"?*"))</f>
        <v/>
      </c>
      <c r="Z708" s="33">
        <f>IF($I708="","",_xlfn.TEXTJOIN(", ",TRUE,$I708:$X708))</f>
        <v/>
      </c>
      <c r="AA708" s="34">
        <f>IF($I708="","",IFERROR(INDEX(코드설정!$D$5:$D$24,MATCH($I708,코드설정!$C$5:$C$24,0)),""))</f>
        <v/>
      </c>
      <c r="AB708" s="36" t="n"/>
      <c r="AC708" s="37" t="n"/>
      <c r="AD708" s="38" t="n"/>
      <c r="AE708" s="30">
        <f>IF(OR($B708="",$C708=""),"",$C708-$B708+1)</f>
        <v/>
      </c>
      <c r="AF708" s="32" t="n"/>
      <c r="AG708" s="36" t="n"/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3">
        <f>IF($F709="","",IFERROR(INDEX(사건마스터!$B$5:$B$64,MATCH($F709,사건마스터!$A$5:$A$64,0)),""))</f>
        <v/>
      </c>
      <c r="H709" s="34">
        <f>IF($F709="","",IFERROR(INDEX(사건마스터!$C$5:$C$64,MATCH($F709,사건마스터!$A$5:$A$64,0)),""))</f>
        <v/>
      </c>
      <c r="I709" s="35">
        <f>IF($F709="","",IFERROR(INDEX(사건마스터!$H$5:$H$64,MATCH($F709,사건마스터!$A$5:$A$64,0)),""))</f>
        <v/>
      </c>
      <c r="J709" s="35">
        <f>IF($F709="","",IFERROR(INDEX(사건마스터!$AH$5:$AH$64,MATCH($F709,사건마스터!$A$5:$A$64,0)),""))</f>
        <v/>
      </c>
      <c r="K709" s="35">
        <f>IF($F709="","",IFERROR(INDEX(사건마스터!$AI$5:$AI$64,MATCH($F709,사건마스터!$A$5:$A$64,0)),""))</f>
        <v/>
      </c>
      <c r="L709" s="35">
        <f>IF($F709="","",IFERROR(INDEX(사건마스터!$AJ$5:$AJ$64,MATCH($F709,사건마스터!$A$5:$A$64,0)),""))</f>
        <v/>
      </c>
      <c r="M709" s="35">
        <f>IF($F709="","",IFERROR(INDEX(사건마스터!$AK$5:$AK$64,MATCH($F709,사건마스터!$A$5:$A$64,0)),""))</f>
        <v/>
      </c>
      <c r="N709" s="35">
        <f>IF($F709="","",IFERROR(INDEX(사건마스터!$AL$5:$AL$64,MATCH($F709,사건마스터!$A$5:$A$64,0)),""))</f>
        <v/>
      </c>
      <c r="O709" s="35">
        <f>IF($F709="","",IFERROR(INDEX(사건마스터!$AM$5:$AM$64,MATCH($F709,사건마스터!$A$5:$A$64,0)),""))</f>
        <v/>
      </c>
      <c r="P709" s="35">
        <f>IF($F709="","",IFERROR(INDEX(사건마스터!$AN$5:$AN$64,MATCH($F709,사건마스터!$A$5:$A$64,0)),""))</f>
        <v/>
      </c>
      <c r="Q709" s="35">
        <f>IF($F709="","",IFERROR(INDEX(사건마스터!$AO$5:$AO$64,MATCH($F709,사건마스터!$A$5:$A$64,0)),""))</f>
        <v/>
      </c>
      <c r="R709" s="35">
        <f>IF($F709="","",IFERROR(INDEX(사건마스터!$AP$5:$AP$64,MATCH($F709,사건마스터!$A$5:$A$64,0)),""))</f>
        <v/>
      </c>
      <c r="S709" s="35">
        <f>IF($F709="","",IFERROR(INDEX(사건마스터!$AQ$5:$AQ$64,MATCH($F709,사건마스터!$A$5:$A$64,0)),""))</f>
        <v/>
      </c>
      <c r="T709" s="35">
        <f>IF($F709="","",IFERROR(INDEX(사건마스터!$AR$5:$AR$64,MATCH($F709,사건마스터!$A$5:$A$64,0)),""))</f>
        <v/>
      </c>
      <c r="U709" s="35">
        <f>IF($F709="","",IFERROR(INDEX(사건마스터!$AS$5:$AS$64,MATCH($F709,사건마스터!$A$5:$A$64,0)),""))</f>
        <v/>
      </c>
      <c r="V709" s="35">
        <f>IF($F709="","",IFERROR(INDEX(사건마스터!$AT$5:$AT$64,MATCH($F709,사건마스터!$A$5:$A$64,0)),""))</f>
        <v/>
      </c>
      <c r="W709" s="35">
        <f>IF($F709="","",IFERROR(INDEX(사건마스터!$AU$5:$AU$64,MATCH($F709,사건마스터!$A$5:$A$64,0)),""))</f>
        <v/>
      </c>
      <c r="X709" s="35">
        <f>IF($F709="","",IFERROR(INDEX(사건마스터!$AV$5:$AV$64,MATCH($F709,사건마스터!$A$5:$A$64,0)),""))</f>
        <v/>
      </c>
      <c r="Y709" s="30">
        <f>IF($I709="","",COUNTIF($I709:$X709,"?*"))</f>
        <v/>
      </c>
      <c r="Z709" s="33">
        <f>IF($I709="","",_xlfn.TEXTJOIN(", ",TRUE,$I709:$X709))</f>
        <v/>
      </c>
      <c r="AA709" s="34">
        <f>IF($I709="","",IFERROR(INDEX(코드설정!$D$5:$D$24,MATCH($I709,코드설정!$C$5:$C$24,0)),""))</f>
        <v/>
      </c>
      <c r="AB709" s="36" t="n"/>
      <c r="AC709" s="37" t="n"/>
      <c r="AD709" s="38" t="n"/>
      <c r="AE709" s="30">
        <f>IF(OR($B709="",$C709=""),"",$C709-$B709+1)</f>
        <v/>
      </c>
      <c r="AF709" s="32" t="n"/>
      <c r="AG709" s="36" t="n"/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3">
        <f>IF($F710="","",IFERROR(INDEX(사건마스터!$B$5:$B$64,MATCH($F710,사건마스터!$A$5:$A$64,0)),""))</f>
        <v/>
      </c>
      <c r="H710" s="34">
        <f>IF($F710="","",IFERROR(INDEX(사건마스터!$C$5:$C$64,MATCH($F710,사건마스터!$A$5:$A$64,0)),""))</f>
        <v/>
      </c>
      <c r="I710" s="35">
        <f>IF($F710="","",IFERROR(INDEX(사건마스터!$H$5:$H$64,MATCH($F710,사건마스터!$A$5:$A$64,0)),""))</f>
        <v/>
      </c>
      <c r="J710" s="35">
        <f>IF($F710="","",IFERROR(INDEX(사건마스터!$AH$5:$AH$64,MATCH($F710,사건마스터!$A$5:$A$64,0)),""))</f>
        <v/>
      </c>
      <c r="K710" s="35">
        <f>IF($F710="","",IFERROR(INDEX(사건마스터!$AI$5:$AI$64,MATCH($F710,사건마스터!$A$5:$A$64,0)),""))</f>
        <v/>
      </c>
      <c r="L710" s="35">
        <f>IF($F710="","",IFERROR(INDEX(사건마스터!$AJ$5:$AJ$64,MATCH($F710,사건마스터!$A$5:$A$64,0)),""))</f>
        <v/>
      </c>
      <c r="M710" s="35">
        <f>IF($F710="","",IFERROR(INDEX(사건마스터!$AK$5:$AK$64,MATCH($F710,사건마스터!$A$5:$A$64,0)),""))</f>
        <v/>
      </c>
      <c r="N710" s="35">
        <f>IF($F710="","",IFERROR(INDEX(사건마스터!$AL$5:$AL$64,MATCH($F710,사건마스터!$A$5:$A$64,0)),""))</f>
        <v/>
      </c>
      <c r="O710" s="35">
        <f>IF($F710="","",IFERROR(INDEX(사건마스터!$AM$5:$AM$64,MATCH($F710,사건마스터!$A$5:$A$64,0)),""))</f>
        <v/>
      </c>
      <c r="P710" s="35">
        <f>IF($F710="","",IFERROR(INDEX(사건마스터!$AN$5:$AN$64,MATCH($F710,사건마스터!$A$5:$A$64,0)),""))</f>
        <v/>
      </c>
      <c r="Q710" s="35">
        <f>IF($F710="","",IFERROR(INDEX(사건마스터!$AO$5:$AO$64,MATCH($F710,사건마스터!$A$5:$A$64,0)),""))</f>
        <v/>
      </c>
      <c r="R710" s="35">
        <f>IF($F710="","",IFERROR(INDEX(사건마스터!$AP$5:$AP$64,MATCH($F710,사건마스터!$A$5:$A$64,0)),""))</f>
        <v/>
      </c>
      <c r="S710" s="35">
        <f>IF($F710="","",IFERROR(INDEX(사건마스터!$AQ$5:$AQ$64,MATCH($F710,사건마스터!$A$5:$A$64,0)),""))</f>
        <v/>
      </c>
      <c r="T710" s="35">
        <f>IF($F710="","",IFERROR(INDEX(사건마스터!$AR$5:$AR$64,MATCH($F710,사건마스터!$A$5:$A$64,0)),""))</f>
        <v/>
      </c>
      <c r="U710" s="35">
        <f>IF($F710="","",IFERROR(INDEX(사건마스터!$AS$5:$AS$64,MATCH($F710,사건마스터!$A$5:$A$64,0)),""))</f>
        <v/>
      </c>
      <c r="V710" s="35">
        <f>IF($F710="","",IFERROR(INDEX(사건마스터!$AT$5:$AT$64,MATCH($F710,사건마스터!$A$5:$A$64,0)),""))</f>
        <v/>
      </c>
      <c r="W710" s="35">
        <f>IF($F710="","",IFERROR(INDEX(사건마스터!$AU$5:$AU$64,MATCH($F710,사건마스터!$A$5:$A$64,0)),""))</f>
        <v/>
      </c>
      <c r="X710" s="35">
        <f>IF($F710="","",IFERROR(INDEX(사건마스터!$AV$5:$AV$64,MATCH($F710,사건마스터!$A$5:$A$64,0)),""))</f>
        <v/>
      </c>
      <c r="Y710" s="30">
        <f>IF($I710="","",COUNTIF($I710:$X710,"?*"))</f>
        <v/>
      </c>
      <c r="Z710" s="33">
        <f>IF($I710="","",_xlfn.TEXTJOIN(", ",TRUE,$I710:$X710))</f>
        <v/>
      </c>
      <c r="AA710" s="34">
        <f>IF($I710="","",IFERROR(INDEX(코드설정!$D$5:$D$24,MATCH($I710,코드설정!$C$5:$C$24,0)),""))</f>
        <v/>
      </c>
      <c r="AB710" s="36" t="n"/>
      <c r="AC710" s="37" t="n"/>
      <c r="AD710" s="38" t="n"/>
      <c r="AE710" s="30">
        <f>IF(OR($B710="",$C710=""),"",$C710-$B710+1)</f>
        <v/>
      </c>
      <c r="AF710" s="32" t="n"/>
      <c r="AG710" s="36" t="n"/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3">
        <f>IF($F711="","",IFERROR(INDEX(사건마스터!$B$5:$B$64,MATCH($F711,사건마스터!$A$5:$A$64,0)),""))</f>
        <v/>
      </c>
      <c r="H711" s="34">
        <f>IF($F711="","",IFERROR(INDEX(사건마스터!$C$5:$C$64,MATCH($F711,사건마스터!$A$5:$A$64,0)),""))</f>
        <v/>
      </c>
      <c r="I711" s="35">
        <f>IF($F711="","",IFERROR(INDEX(사건마스터!$H$5:$H$64,MATCH($F711,사건마스터!$A$5:$A$64,0)),""))</f>
        <v/>
      </c>
      <c r="J711" s="35">
        <f>IF($F711="","",IFERROR(INDEX(사건마스터!$AH$5:$AH$64,MATCH($F711,사건마스터!$A$5:$A$64,0)),""))</f>
        <v/>
      </c>
      <c r="K711" s="35">
        <f>IF($F711="","",IFERROR(INDEX(사건마스터!$AI$5:$AI$64,MATCH($F711,사건마스터!$A$5:$A$64,0)),""))</f>
        <v/>
      </c>
      <c r="L711" s="35">
        <f>IF($F711="","",IFERROR(INDEX(사건마스터!$AJ$5:$AJ$64,MATCH($F711,사건마스터!$A$5:$A$64,0)),""))</f>
        <v/>
      </c>
      <c r="M711" s="35">
        <f>IF($F711="","",IFERROR(INDEX(사건마스터!$AK$5:$AK$64,MATCH($F711,사건마스터!$A$5:$A$64,0)),""))</f>
        <v/>
      </c>
      <c r="N711" s="35">
        <f>IF($F711="","",IFERROR(INDEX(사건마스터!$AL$5:$AL$64,MATCH($F711,사건마스터!$A$5:$A$64,0)),""))</f>
        <v/>
      </c>
      <c r="O711" s="35">
        <f>IF($F711="","",IFERROR(INDEX(사건마스터!$AM$5:$AM$64,MATCH($F711,사건마스터!$A$5:$A$64,0)),""))</f>
        <v/>
      </c>
      <c r="P711" s="35">
        <f>IF($F711="","",IFERROR(INDEX(사건마스터!$AN$5:$AN$64,MATCH($F711,사건마스터!$A$5:$A$64,0)),""))</f>
        <v/>
      </c>
      <c r="Q711" s="35">
        <f>IF($F711="","",IFERROR(INDEX(사건마스터!$AO$5:$AO$64,MATCH($F711,사건마스터!$A$5:$A$64,0)),""))</f>
        <v/>
      </c>
      <c r="R711" s="35">
        <f>IF($F711="","",IFERROR(INDEX(사건마스터!$AP$5:$AP$64,MATCH($F711,사건마스터!$A$5:$A$64,0)),""))</f>
        <v/>
      </c>
      <c r="S711" s="35">
        <f>IF($F711="","",IFERROR(INDEX(사건마스터!$AQ$5:$AQ$64,MATCH($F711,사건마스터!$A$5:$A$64,0)),""))</f>
        <v/>
      </c>
      <c r="T711" s="35">
        <f>IF($F711="","",IFERROR(INDEX(사건마스터!$AR$5:$AR$64,MATCH($F711,사건마스터!$A$5:$A$64,0)),""))</f>
        <v/>
      </c>
      <c r="U711" s="35">
        <f>IF($F711="","",IFERROR(INDEX(사건마스터!$AS$5:$AS$64,MATCH($F711,사건마스터!$A$5:$A$64,0)),""))</f>
        <v/>
      </c>
      <c r="V711" s="35">
        <f>IF($F711="","",IFERROR(INDEX(사건마스터!$AT$5:$AT$64,MATCH($F711,사건마스터!$A$5:$A$64,0)),""))</f>
        <v/>
      </c>
      <c r="W711" s="35">
        <f>IF($F711="","",IFERROR(INDEX(사건마스터!$AU$5:$AU$64,MATCH($F711,사건마스터!$A$5:$A$64,0)),""))</f>
        <v/>
      </c>
      <c r="X711" s="35">
        <f>IF($F711="","",IFERROR(INDEX(사건마스터!$AV$5:$AV$64,MATCH($F711,사건마스터!$A$5:$A$64,0)),""))</f>
        <v/>
      </c>
      <c r="Y711" s="30">
        <f>IF($I711="","",COUNTIF($I711:$X711,"?*"))</f>
        <v/>
      </c>
      <c r="Z711" s="33">
        <f>IF($I711="","",_xlfn.TEXTJOIN(", ",TRUE,$I711:$X711))</f>
        <v/>
      </c>
      <c r="AA711" s="34">
        <f>IF($I711="","",IFERROR(INDEX(코드설정!$D$5:$D$24,MATCH($I711,코드설정!$C$5:$C$24,0)),""))</f>
        <v/>
      </c>
      <c r="AB711" s="36" t="n"/>
      <c r="AC711" s="37" t="n"/>
      <c r="AD711" s="38" t="n"/>
      <c r="AE711" s="30">
        <f>IF(OR($B711="",$C711=""),"",$C711-$B711+1)</f>
        <v/>
      </c>
      <c r="AF711" s="32" t="n"/>
      <c r="AG711" s="36" t="n"/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3">
        <f>IF($F712="","",IFERROR(INDEX(사건마스터!$B$5:$B$64,MATCH($F712,사건마스터!$A$5:$A$64,0)),""))</f>
        <v/>
      </c>
      <c r="H712" s="34">
        <f>IF($F712="","",IFERROR(INDEX(사건마스터!$C$5:$C$64,MATCH($F712,사건마스터!$A$5:$A$64,0)),""))</f>
        <v/>
      </c>
      <c r="I712" s="35">
        <f>IF($F712="","",IFERROR(INDEX(사건마스터!$H$5:$H$64,MATCH($F712,사건마스터!$A$5:$A$64,0)),""))</f>
        <v/>
      </c>
      <c r="J712" s="35">
        <f>IF($F712="","",IFERROR(INDEX(사건마스터!$AH$5:$AH$64,MATCH($F712,사건마스터!$A$5:$A$64,0)),""))</f>
        <v/>
      </c>
      <c r="K712" s="35">
        <f>IF($F712="","",IFERROR(INDEX(사건마스터!$AI$5:$AI$64,MATCH($F712,사건마스터!$A$5:$A$64,0)),""))</f>
        <v/>
      </c>
      <c r="L712" s="35">
        <f>IF($F712="","",IFERROR(INDEX(사건마스터!$AJ$5:$AJ$64,MATCH($F712,사건마스터!$A$5:$A$64,0)),""))</f>
        <v/>
      </c>
      <c r="M712" s="35">
        <f>IF($F712="","",IFERROR(INDEX(사건마스터!$AK$5:$AK$64,MATCH($F712,사건마스터!$A$5:$A$64,0)),""))</f>
        <v/>
      </c>
      <c r="N712" s="35">
        <f>IF($F712="","",IFERROR(INDEX(사건마스터!$AL$5:$AL$64,MATCH($F712,사건마스터!$A$5:$A$64,0)),""))</f>
        <v/>
      </c>
      <c r="O712" s="35">
        <f>IF($F712="","",IFERROR(INDEX(사건마스터!$AM$5:$AM$64,MATCH($F712,사건마스터!$A$5:$A$64,0)),""))</f>
        <v/>
      </c>
      <c r="P712" s="35">
        <f>IF($F712="","",IFERROR(INDEX(사건마스터!$AN$5:$AN$64,MATCH($F712,사건마스터!$A$5:$A$64,0)),""))</f>
        <v/>
      </c>
      <c r="Q712" s="35">
        <f>IF($F712="","",IFERROR(INDEX(사건마스터!$AO$5:$AO$64,MATCH($F712,사건마스터!$A$5:$A$64,0)),""))</f>
        <v/>
      </c>
      <c r="R712" s="35">
        <f>IF($F712="","",IFERROR(INDEX(사건마스터!$AP$5:$AP$64,MATCH($F712,사건마스터!$A$5:$A$64,0)),""))</f>
        <v/>
      </c>
      <c r="S712" s="35">
        <f>IF($F712="","",IFERROR(INDEX(사건마스터!$AQ$5:$AQ$64,MATCH($F712,사건마스터!$A$5:$A$64,0)),""))</f>
        <v/>
      </c>
      <c r="T712" s="35">
        <f>IF($F712="","",IFERROR(INDEX(사건마스터!$AR$5:$AR$64,MATCH($F712,사건마스터!$A$5:$A$64,0)),""))</f>
        <v/>
      </c>
      <c r="U712" s="35">
        <f>IF($F712="","",IFERROR(INDEX(사건마스터!$AS$5:$AS$64,MATCH($F712,사건마스터!$A$5:$A$64,0)),""))</f>
        <v/>
      </c>
      <c r="V712" s="35">
        <f>IF($F712="","",IFERROR(INDEX(사건마스터!$AT$5:$AT$64,MATCH($F712,사건마스터!$A$5:$A$64,0)),""))</f>
        <v/>
      </c>
      <c r="W712" s="35">
        <f>IF($F712="","",IFERROR(INDEX(사건마스터!$AU$5:$AU$64,MATCH($F712,사건마스터!$A$5:$A$64,0)),""))</f>
        <v/>
      </c>
      <c r="X712" s="35">
        <f>IF($F712="","",IFERROR(INDEX(사건마스터!$AV$5:$AV$64,MATCH($F712,사건마스터!$A$5:$A$64,0)),""))</f>
        <v/>
      </c>
      <c r="Y712" s="30">
        <f>IF($I712="","",COUNTIF($I712:$X712,"?*"))</f>
        <v/>
      </c>
      <c r="Z712" s="33">
        <f>IF($I712="","",_xlfn.TEXTJOIN(", ",TRUE,$I712:$X712))</f>
        <v/>
      </c>
      <c r="AA712" s="34">
        <f>IF($I712="","",IFERROR(INDEX(코드설정!$D$5:$D$24,MATCH($I712,코드설정!$C$5:$C$24,0)),""))</f>
        <v/>
      </c>
      <c r="AB712" s="36" t="n"/>
      <c r="AC712" s="37" t="n"/>
      <c r="AD712" s="38" t="n"/>
      <c r="AE712" s="30">
        <f>IF(OR($B712="",$C712=""),"",$C712-$B712+1)</f>
        <v/>
      </c>
      <c r="AF712" s="32" t="n"/>
      <c r="AG712" s="36" t="n"/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3">
        <f>IF($F713="","",IFERROR(INDEX(사건마스터!$B$5:$B$64,MATCH($F713,사건마스터!$A$5:$A$64,0)),""))</f>
        <v/>
      </c>
      <c r="H713" s="34">
        <f>IF($F713="","",IFERROR(INDEX(사건마스터!$C$5:$C$64,MATCH($F713,사건마스터!$A$5:$A$64,0)),""))</f>
        <v/>
      </c>
      <c r="I713" s="35">
        <f>IF($F713="","",IFERROR(INDEX(사건마스터!$H$5:$H$64,MATCH($F713,사건마스터!$A$5:$A$64,0)),""))</f>
        <v/>
      </c>
      <c r="J713" s="35">
        <f>IF($F713="","",IFERROR(INDEX(사건마스터!$AH$5:$AH$64,MATCH($F713,사건마스터!$A$5:$A$64,0)),""))</f>
        <v/>
      </c>
      <c r="K713" s="35">
        <f>IF($F713="","",IFERROR(INDEX(사건마스터!$AI$5:$AI$64,MATCH($F713,사건마스터!$A$5:$A$64,0)),""))</f>
        <v/>
      </c>
      <c r="L713" s="35">
        <f>IF($F713="","",IFERROR(INDEX(사건마스터!$AJ$5:$AJ$64,MATCH($F713,사건마스터!$A$5:$A$64,0)),""))</f>
        <v/>
      </c>
      <c r="M713" s="35">
        <f>IF($F713="","",IFERROR(INDEX(사건마스터!$AK$5:$AK$64,MATCH($F713,사건마스터!$A$5:$A$64,0)),""))</f>
        <v/>
      </c>
      <c r="N713" s="35">
        <f>IF($F713="","",IFERROR(INDEX(사건마스터!$AL$5:$AL$64,MATCH($F713,사건마스터!$A$5:$A$64,0)),""))</f>
        <v/>
      </c>
      <c r="O713" s="35">
        <f>IF($F713="","",IFERROR(INDEX(사건마스터!$AM$5:$AM$64,MATCH($F713,사건마스터!$A$5:$A$64,0)),""))</f>
        <v/>
      </c>
      <c r="P713" s="35">
        <f>IF($F713="","",IFERROR(INDEX(사건마스터!$AN$5:$AN$64,MATCH($F713,사건마스터!$A$5:$A$64,0)),""))</f>
        <v/>
      </c>
      <c r="Q713" s="35">
        <f>IF($F713="","",IFERROR(INDEX(사건마스터!$AO$5:$AO$64,MATCH($F713,사건마스터!$A$5:$A$64,0)),""))</f>
        <v/>
      </c>
      <c r="R713" s="35">
        <f>IF($F713="","",IFERROR(INDEX(사건마스터!$AP$5:$AP$64,MATCH($F713,사건마스터!$A$5:$A$64,0)),""))</f>
        <v/>
      </c>
      <c r="S713" s="35">
        <f>IF($F713="","",IFERROR(INDEX(사건마스터!$AQ$5:$AQ$64,MATCH($F713,사건마스터!$A$5:$A$64,0)),""))</f>
        <v/>
      </c>
      <c r="T713" s="35">
        <f>IF($F713="","",IFERROR(INDEX(사건마스터!$AR$5:$AR$64,MATCH($F713,사건마스터!$A$5:$A$64,0)),""))</f>
        <v/>
      </c>
      <c r="U713" s="35">
        <f>IF($F713="","",IFERROR(INDEX(사건마스터!$AS$5:$AS$64,MATCH($F713,사건마스터!$A$5:$A$64,0)),""))</f>
        <v/>
      </c>
      <c r="V713" s="35">
        <f>IF($F713="","",IFERROR(INDEX(사건마스터!$AT$5:$AT$64,MATCH($F713,사건마스터!$A$5:$A$64,0)),""))</f>
        <v/>
      </c>
      <c r="W713" s="35">
        <f>IF($F713="","",IFERROR(INDEX(사건마스터!$AU$5:$AU$64,MATCH($F713,사건마스터!$A$5:$A$64,0)),""))</f>
        <v/>
      </c>
      <c r="X713" s="35">
        <f>IF($F713="","",IFERROR(INDEX(사건마스터!$AV$5:$AV$64,MATCH($F713,사건마스터!$A$5:$A$64,0)),""))</f>
        <v/>
      </c>
      <c r="Y713" s="30">
        <f>IF($I713="","",COUNTIF($I713:$X713,"?*"))</f>
        <v/>
      </c>
      <c r="Z713" s="33">
        <f>IF($I713="","",_xlfn.TEXTJOIN(", ",TRUE,$I713:$X713))</f>
        <v/>
      </c>
      <c r="AA713" s="34">
        <f>IF($I713="","",IFERROR(INDEX(코드설정!$D$5:$D$24,MATCH($I713,코드설정!$C$5:$C$24,0)),""))</f>
        <v/>
      </c>
      <c r="AB713" s="36" t="n"/>
      <c r="AC713" s="37" t="n"/>
      <c r="AD713" s="38" t="n"/>
      <c r="AE713" s="30">
        <f>IF(OR($B713="",$C713=""),"",$C713-$B713+1)</f>
        <v/>
      </c>
      <c r="AF713" s="32" t="n"/>
      <c r="AG713" s="36" t="n"/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3">
        <f>IF($F714="","",IFERROR(INDEX(사건마스터!$B$5:$B$64,MATCH($F714,사건마스터!$A$5:$A$64,0)),""))</f>
        <v/>
      </c>
      <c r="H714" s="34">
        <f>IF($F714="","",IFERROR(INDEX(사건마스터!$C$5:$C$64,MATCH($F714,사건마스터!$A$5:$A$64,0)),""))</f>
        <v/>
      </c>
      <c r="I714" s="35">
        <f>IF($F714="","",IFERROR(INDEX(사건마스터!$H$5:$H$64,MATCH($F714,사건마스터!$A$5:$A$64,0)),""))</f>
        <v/>
      </c>
      <c r="J714" s="35">
        <f>IF($F714="","",IFERROR(INDEX(사건마스터!$AH$5:$AH$64,MATCH($F714,사건마스터!$A$5:$A$64,0)),""))</f>
        <v/>
      </c>
      <c r="K714" s="35">
        <f>IF($F714="","",IFERROR(INDEX(사건마스터!$AI$5:$AI$64,MATCH($F714,사건마스터!$A$5:$A$64,0)),""))</f>
        <v/>
      </c>
      <c r="L714" s="35">
        <f>IF($F714="","",IFERROR(INDEX(사건마스터!$AJ$5:$AJ$64,MATCH($F714,사건마스터!$A$5:$A$64,0)),""))</f>
        <v/>
      </c>
      <c r="M714" s="35">
        <f>IF($F714="","",IFERROR(INDEX(사건마스터!$AK$5:$AK$64,MATCH($F714,사건마스터!$A$5:$A$64,0)),""))</f>
        <v/>
      </c>
      <c r="N714" s="35">
        <f>IF($F714="","",IFERROR(INDEX(사건마스터!$AL$5:$AL$64,MATCH($F714,사건마스터!$A$5:$A$64,0)),""))</f>
        <v/>
      </c>
      <c r="O714" s="35">
        <f>IF($F714="","",IFERROR(INDEX(사건마스터!$AM$5:$AM$64,MATCH($F714,사건마스터!$A$5:$A$64,0)),""))</f>
        <v/>
      </c>
      <c r="P714" s="35">
        <f>IF($F714="","",IFERROR(INDEX(사건마스터!$AN$5:$AN$64,MATCH($F714,사건마스터!$A$5:$A$64,0)),""))</f>
        <v/>
      </c>
      <c r="Q714" s="35">
        <f>IF($F714="","",IFERROR(INDEX(사건마스터!$AO$5:$AO$64,MATCH($F714,사건마스터!$A$5:$A$64,0)),""))</f>
        <v/>
      </c>
      <c r="R714" s="35">
        <f>IF($F714="","",IFERROR(INDEX(사건마스터!$AP$5:$AP$64,MATCH($F714,사건마스터!$A$5:$A$64,0)),""))</f>
        <v/>
      </c>
      <c r="S714" s="35">
        <f>IF($F714="","",IFERROR(INDEX(사건마스터!$AQ$5:$AQ$64,MATCH($F714,사건마스터!$A$5:$A$64,0)),""))</f>
        <v/>
      </c>
      <c r="T714" s="35">
        <f>IF($F714="","",IFERROR(INDEX(사건마스터!$AR$5:$AR$64,MATCH($F714,사건마스터!$A$5:$A$64,0)),""))</f>
        <v/>
      </c>
      <c r="U714" s="35">
        <f>IF($F714="","",IFERROR(INDEX(사건마스터!$AS$5:$AS$64,MATCH($F714,사건마스터!$A$5:$A$64,0)),""))</f>
        <v/>
      </c>
      <c r="V714" s="35">
        <f>IF($F714="","",IFERROR(INDEX(사건마스터!$AT$5:$AT$64,MATCH($F714,사건마스터!$A$5:$A$64,0)),""))</f>
        <v/>
      </c>
      <c r="W714" s="35">
        <f>IF($F714="","",IFERROR(INDEX(사건마스터!$AU$5:$AU$64,MATCH($F714,사건마스터!$A$5:$A$64,0)),""))</f>
        <v/>
      </c>
      <c r="X714" s="35">
        <f>IF($F714="","",IFERROR(INDEX(사건마스터!$AV$5:$AV$64,MATCH($F714,사건마스터!$A$5:$A$64,0)),""))</f>
        <v/>
      </c>
      <c r="Y714" s="30">
        <f>IF($I714="","",COUNTIF($I714:$X714,"?*"))</f>
        <v/>
      </c>
      <c r="Z714" s="33">
        <f>IF($I714="","",_xlfn.TEXTJOIN(", ",TRUE,$I714:$X714))</f>
        <v/>
      </c>
      <c r="AA714" s="34">
        <f>IF($I714="","",IFERROR(INDEX(코드설정!$D$5:$D$24,MATCH($I714,코드설정!$C$5:$C$24,0)),""))</f>
        <v/>
      </c>
      <c r="AB714" s="36" t="n"/>
      <c r="AC714" s="37" t="n"/>
      <c r="AD714" s="38" t="n"/>
      <c r="AE714" s="30">
        <f>IF(OR($B714="",$C714=""),"",$C714-$B714+1)</f>
        <v/>
      </c>
      <c r="AF714" s="32" t="n"/>
      <c r="AG714" s="36" t="n"/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3">
        <f>IF($F715="","",IFERROR(INDEX(사건마스터!$B$5:$B$64,MATCH($F715,사건마스터!$A$5:$A$64,0)),""))</f>
        <v/>
      </c>
      <c r="H715" s="34">
        <f>IF($F715="","",IFERROR(INDEX(사건마스터!$C$5:$C$64,MATCH($F715,사건마스터!$A$5:$A$64,0)),""))</f>
        <v/>
      </c>
      <c r="I715" s="35">
        <f>IF($F715="","",IFERROR(INDEX(사건마스터!$H$5:$H$64,MATCH($F715,사건마스터!$A$5:$A$64,0)),""))</f>
        <v/>
      </c>
      <c r="J715" s="35">
        <f>IF($F715="","",IFERROR(INDEX(사건마스터!$AH$5:$AH$64,MATCH($F715,사건마스터!$A$5:$A$64,0)),""))</f>
        <v/>
      </c>
      <c r="K715" s="35">
        <f>IF($F715="","",IFERROR(INDEX(사건마스터!$AI$5:$AI$64,MATCH($F715,사건마스터!$A$5:$A$64,0)),""))</f>
        <v/>
      </c>
      <c r="L715" s="35">
        <f>IF($F715="","",IFERROR(INDEX(사건마스터!$AJ$5:$AJ$64,MATCH($F715,사건마스터!$A$5:$A$64,0)),""))</f>
        <v/>
      </c>
      <c r="M715" s="35">
        <f>IF($F715="","",IFERROR(INDEX(사건마스터!$AK$5:$AK$64,MATCH($F715,사건마스터!$A$5:$A$64,0)),""))</f>
        <v/>
      </c>
      <c r="N715" s="35">
        <f>IF($F715="","",IFERROR(INDEX(사건마스터!$AL$5:$AL$64,MATCH($F715,사건마스터!$A$5:$A$64,0)),""))</f>
        <v/>
      </c>
      <c r="O715" s="35">
        <f>IF($F715="","",IFERROR(INDEX(사건마스터!$AM$5:$AM$64,MATCH($F715,사건마스터!$A$5:$A$64,0)),""))</f>
        <v/>
      </c>
      <c r="P715" s="35">
        <f>IF($F715="","",IFERROR(INDEX(사건마스터!$AN$5:$AN$64,MATCH($F715,사건마스터!$A$5:$A$64,0)),""))</f>
        <v/>
      </c>
      <c r="Q715" s="35">
        <f>IF($F715="","",IFERROR(INDEX(사건마스터!$AO$5:$AO$64,MATCH($F715,사건마스터!$A$5:$A$64,0)),""))</f>
        <v/>
      </c>
      <c r="R715" s="35">
        <f>IF($F715="","",IFERROR(INDEX(사건마스터!$AP$5:$AP$64,MATCH($F715,사건마스터!$A$5:$A$64,0)),""))</f>
        <v/>
      </c>
      <c r="S715" s="35">
        <f>IF($F715="","",IFERROR(INDEX(사건마스터!$AQ$5:$AQ$64,MATCH($F715,사건마스터!$A$5:$A$64,0)),""))</f>
        <v/>
      </c>
      <c r="T715" s="35">
        <f>IF($F715="","",IFERROR(INDEX(사건마스터!$AR$5:$AR$64,MATCH($F715,사건마스터!$A$5:$A$64,0)),""))</f>
        <v/>
      </c>
      <c r="U715" s="35">
        <f>IF($F715="","",IFERROR(INDEX(사건마스터!$AS$5:$AS$64,MATCH($F715,사건마스터!$A$5:$A$64,0)),""))</f>
        <v/>
      </c>
      <c r="V715" s="35">
        <f>IF($F715="","",IFERROR(INDEX(사건마스터!$AT$5:$AT$64,MATCH($F715,사건마스터!$A$5:$A$64,0)),""))</f>
        <v/>
      </c>
      <c r="W715" s="35">
        <f>IF($F715="","",IFERROR(INDEX(사건마스터!$AU$5:$AU$64,MATCH($F715,사건마스터!$A$5:$A$64,0)),""))</f>
        <v/>
      </c>
      <c r="X715" s="35">
        <f>IF($F715="","",IFERROR(INDEX(사건마스터!$AV$5:$AV$64,MATCH($F715,사건마스터!$A$5:$A$64,0)),""))</f>
        <v/>
      </c>
      <c r="Y715" s="30">
        <f>IF($I715="","",COUNTIF($I715:$X715,"?*"))</f>
        <v/>
      </c>
      <c r="Z715" s="33">
        <f>IF($I715="","",_xlfn.TEXTJOIN(", ",TRUE,$I715:$X715))</f>
        <v/>
      </c>
      <c r="AA715" s="34">
        <f>IF($I715="","",IFERROR(INDEX(코드설정!$D$5:$D$24,MATCH($I715,코드설정!$C$5:$C$24,0)),""))</f>
        <v/>
      </c>
      <c r="AB715" s="36" t="n"/>
      <c r="AC715" s="37" t="n"/>
      <c r="AD715" s="38" t="n"/>
      <c r="AE715" s="30">
        <f>IF(OR($B715="",$C715=""),"",$C715-$B715+1)</f>
        <v/>
      </c>
      <c r="AF715" s="32" t="n"/>
      <c r="AG715" s="36" t="n"/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3">
        <f>IF($F716="","",IFERROR(INDEX(사건마스터!$B$5:$B$64,MATCH($F716,사건마스터!$A$5:$A$64,0)),""))</f>
        <v/>
      </c>
      <c r="H716" s="34">
        <f>IF($F716="","",IFERROR(INDEX(사건마스터!$C$5:$C$64,MATCH($F716,사건마스터!$A$5:$A$64,0)),""))</f>
        <v/>
      </c>
      <c r="I716" s="35">
        <f>IF($F716="","",IFERROR(INDEX(사건마스터!$H$5:$H$64,MATCH($F716,사건마스터!$A$5:$A$64,0)),""))</f>
        <v/>
      </c>
      <c r="J716" s="35">
        <f>IF($F716="","",IFERROR(INDEX(사건마스터!$AH$5:$AH$64,MATCH($F716,사건마스터!$A$5:$A$64,0)),""))</f>
        <v/>
      </c>
      <c r="K716" s="35">
        <f>IF($F716="","",IFERROR(INDEX(사건마스터!$AI$5:$AI$64,MATCH($F716,사건마스터!$A$5:$A$64,0)),""))</f>
        <v/>
      </c>
      <c r="L716" s="35">
        <f>IF($F716="","",IFERROR(INDEX(사건마스터!$AJ$5:$AJ$64,MATCH($F716,사건마스터!$A$5:$A$64,0)),""))</f>
        <v/>
      </c>
      <c r="M716" s="35">
        <f>IF($F716="","",IFERROR(INDEX(사건마스터!$AK$5:$AK$64,MATCH($F716,사건마스터!$A$5:$A$64,0)),""))</f>
        <v/>
      </c>
      <c r="N716" s="35">
        <f>IF($F716="","",IFERROR(INDEX(사건마스터!$AL$5:$AL$64,MATCH($F716,사건마스터!$A$5:$A$64,0)),""))</f>
        <v/>
      </c>
      <c r="O716" s="35">
        <f>IF($F716="","",IFERROR(INDEX(사건마스터!$AM$5:$AM$64,MATCH($F716,사건마스터!$A$5:$A$64,0)),""))</f>
        <v/>
      </c>
      <c r="P716" s="35">
        <f>IF($F716="","",IFERROR(INDEX(사건마스터!$AN$5:$AN$64,MATCH($F716,사건마스터!$A$5:$A$64,0)),""))</f>
        <v/>
      </c>
      <c r="Q716" s="35">
        <f>IF($F716="","",IFERROR(INDEX(사건마스터!$AO$5:$AO$64,MATCH($F716,사건마스터!$A$5:$A$64,0)),""))</f>
        <v/>
      </c>
      <c r="R716" s="35">
        <f>IF($F716="","",IFERROR(INDEX(사건마스터!$AP$5:$AP$64,MATCH($F716,사건마스터!$A$5:$A$64,0)),""))</f>
        <v/>
      </c>
      <c r="S716" s="35">
        <f>IF($F716="","",IFERROR(INDEX(사건마스터!$AQ$5:$AQ$64,MATCH($F716,사건마스터!$A$5:$A$64,0)),""))</f>
        <v/>
      </c>
      <c r="T716" s="35">
        <f>IF($F716="","",IFERROR(INDEX(사건마스터!$AR$5:$AR$64,MATCH($F716,사건마스터!$A$5:$A$64,0)),""))</f>
        <v/>
      </c>
      <c r="U716" s="35">
        <f>IF($F716="","",IFERROR(INDEX(사건마스터!$AS$5:$AS$64,MATCH($F716,사건마스터!$A$5:$A$64,0)),""))</f>
        <v/>
      </c>
      <c r="V716" s="35">
        <f>IF($F716="","",IFERROR(INDEX(사건마스터!$AT$5:$AT$64,MATCH($F716,사건마스터!$A$5:$A$64,0)),""))</f>
        <v/>
      </c>
      <c r="W716" s="35">
        <f>IF($F716="","",IFERROR(INDEX(사건마스터!$AU$5:$AU$64,MATCH($F716,사건마스터!$A$5:$A$64,0)),""))</f>
        <v/>
      </c>
      <c r="X716" s="35">
        <f>IF($F716="","",IFERROR(INDEX(사건마스터!$AV$5:$AV$64,MATCH($F716,사건마스터!$A$5:$A$64,0)),""))</f>
        <v/>
      </c>
      <c r="Y716" s="30">
        <f>IF($I716="","",COUNTIF($I716:$X716,"?*"))</f>
        <v/>
      </c>
      <c r="Z716" s="33">
        <f>IF($I716="","",_xlfn.TEXTJOIN(", ",TRUE,$I716:$X716))</f>
        <v/>
      </c>
      <c r="AA716" s="34">
        <f>IF($I716="","",IFERROR(INDEX(코드설정!$D$5:$D$24,MATCH($I716,코드설정!$C$5:$C$24,0)),""))</f>
        <v/>
      </c>
      <c r="AB716" s="36" t="n"/>
      <c r="AC716" s="37" t="n"/>
      <c r="AD716" s="38" t="n"/>
      <c r="AE716" s="30">
        <f>IF(OR($B716="",$C716=""),"",$C716-$B716+1)</f>
        <v/>
      </c>
      <c r="AF716" s="32" t="n"/>
      <c r="AG716" s="36" t="n"/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3">
        <f>IF($F717="","",IFERROR(INDEX(사건마스터!$B$5:$B$64,MATCH($F717,사건마스터!$A$5:$A$64,0)),""))</f>
        <v/>
      </c>
      <c r="H717" s="34">
        <f>IF($F717="","",IFERROR(INDEX(사건마스터!$C$5:$C$64,MATCH($F717,사건마스터!$A$5:$A$64,0)),""))</f>
        <v/>
      </c>
      <c r="I717" s="35">
        <f>IF($F717="","",IFERROR(INDEX(사건마스터!$H$5:$H$64,MATCH($F717,사건마스터!$A$5:$A$64,0)),""))</f>
        <v/>
      </c>
      <c r="J717" s="35">
        <f>IF($F717="","",IFERROR(INDEX(사건마스터!$AH$5:$AH$64,MATCH($F717,사건마스터!$A$5:$A$64,0)),""))</f>
        <v/>
      </c>
      <c r="K717" s="35">
        <f>IF($F717="","",IFERROR(INDEX(사건마스터!$AI$5:$AI$64,MATCH($F717,사건마스터!$A$5:$A$64,0)),""))</f>
        <v/>
      </c>
      <c r="L717" s="35">
        <f>IF($F717="","",IFERROR(INDEX(사건마스터!$AJ$5:$AJ$64,MATCH($F717,사건마스터!$A$5:$A$64,0)),""))</f>
        <v/>
      </c>
      <c r="M717" s="35">
        <f>IF($F717="","",IFERROR(INDEX(사건마스터!$AK$5:$AK$64,MATCH($F717,사건마스터!$A$5:$A$64,0)),""))</f>
        <v/>
      </c>
      <c r="N717" s="35">
        <f>IF($F717="","",IFERROR(INDEX(사건마스터!$AL$5:$AL$64,MATCH($F717,사건마스터!$A$5:$A$64,0)),""))</f>
        <v/>
      </c>
      <c r="O717" s="35">
        <f>IF($F717="","",IFERROR(INDEX(사건마스터!$AM$5:$AM$64,MATCH($F717,사건마스터!$A$5:$A$64,0)),""))</f>
        <v/>
      </c>
      <c r="P717" s="35">
        <f>IF($F717="","",IFERROR(INDEX(사건마스터!$AN$5:$AN$64,MATCH($F717,사건마스터!$A$5:$A$64,0)),""))</f>
        <v/>
      </c>
      <c r="Q717" s="35">
        <f>IF($F717="","",IFERROR(INDEX(사건마스터!$AO$5:$AO$64,MATCH($F717,사건마스터!$A$5:$A$64,0)),""))</f>
        <v/>
      </c>
      <c r="R717" s="35">
        <f>IF($F717="","",IFERROR(INDEX(사건마스터!$AP$5:$AP$64,MATCH($F717,사건마스터!$A$5:$A$64,0)),""))</f>
        <v/>
      </c>
      <c r="S717" s="35">
        <f>IF($F717="","",IFERROR(INDEX(사건마스터!$AQ$5:$AQ$64,MATCH($F717,사건마스터!$A$5:$A$64,0)),""))</f>
        <v/>
      </c>
      <c r="T717" s="35">
        <f>IF($F717="","",IFERROR(INDEX(사건마스터!$AR$5:$AR$64,MATCH($F717,사건마스터!$A$5:$A$64,0)),""))</f>
        <v/>
      </c>
      <c r="U717" s="35">
        <f>IF($F717="","",IFERROR(INDEX(사건마스터!$AS$5:$AS$64,MATCH($F717,사건마스터!$A$5:$A$64,0)),""))</f>
        <v/>
      </c>
      <c r="V717" s="35">
        <f>IF($F717="","",IFERROR(INDEX(사건마스터!$AT$5:$AT$64,MATCH($F717,사건마스터!$A$5:$A$64,0)),""))</f>
        <v/>
      </c>
      <c r="W717" s="35">
        <f>IF($F717="","",IFERROR(INDEX(사건마스터!$AU$5:$AU$64,MATCH($F717,사건마스터!$A$5:$A$64,0)),""))</f>
        <v/>
      </c>
      <c r="X717" s="35">
        <f>IF($F717="","",IFERROR(INDEX(사건마스터!$AV$5:$AV$64,MATCH($F717,사건마스터!$A$5:$A$64,0)),""))</f>
        <v/>
      </c>
      <c r="Y717" s="30">
        <f>IF($I717="","",COUNTIF($I717:$X717,"?*"))</f>
        <v/>
      </c>
      <c r="Z717" s="33">
        <f>IF($I717="","",_xlfn.TEXTJOIN(", ",TRUE,$I717:$X717))</f>
        <v/>
      </c>
      <c r="AA717" s="34">
        <f>IF($I717="","",IFERROR(INDEX(코드설정!$D$5:$D$24,MATCH($I717,코드설정!$C$5:$C$24,0)),""))</f>
        <v/>
      </c>
      <c r="AB717" s="36" t="n"/>
      <c r="AC717" s="37" t="n"/>
      <c r="AD717" s="38" t="n"/>
      <c r="AE717" s="30">
        <f>IF(OR($B717="",$C717=""),"",$C717-$B717+1)</f>
        <v/>
      </c>
      <c r="AF717" s="32" t="n"/>
      <c r="AG717" s="36" t="n"/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3">
        <f>IF($F718="","",IFERROR(INDEX(사건마스터!$B$5:$B$64,MATCH($F718,사건마스터!$A$5:$A$64,0)),""))</f>
        <v/>
      </c>
      <c r="H718" s="34">
        <f>IF($F718="","",IFERROR(INDEX(사건마스터!$C$5:$C$64,MATCH($F718,사건마스터!$A$5:$A$64,0)),""))</f>
        <v/>
      </c>
      <c r="I718" s="35">
        <f>IF($F718="","",IFERROR(INDEX(사건마스터!$H$5:$H$64,MATCH($F718,사건마스터!$A$5:$A$64,0)),""))</f>
        <v/>
      </c>
      <c r="J718" s="35">
        <f>IF($F718="","",IFERROR(INDEX(사건마스터!$AH$5:$AH$64,MATCH($F718,사건마스터!$A$5:$A$64,0)),""))</f>
        <v/>
      </c>
      <c r="K718" s="35">
        <f>IF($F718="","",IFERROR(INDEX(사건마스터!$AI$5:$AI$64,MATCH($F718,사건마스터!$A$5:$A$64,0)),""))</f>
        <v/>
      </c>
      <c r="L718" s="35">
        <f>IF($F718="","",IFERROR(INDEX(사건마스터!$AJ$5:$AJ$64,MATCH($F718,사건마스터!$A$5:$A$64,0)),""))</f>
        <v/>
      </c>
      <c r="M718" s="35">
        <f>IF($F718="","",IFERROR(INDEX(사건마스터!$AK$5:$AK$64,MATCH($F718,사건마스터!$A$5:$A$64,0)),""))</f>
        <v/>
      </c>
      <c r="N718" s="35">
        <f>IF($F718="","",IFERROR(INDEX(사건마스터!$AL$5:$AL$64,MATCH($F718,사건마스터!$A$5:$A$64,0)),""))</f>
        <v/>
      </c>
      <c r="O718" s="35">
        <f>IF($F718="","",IFERROR(INDEX(사건마스터!$AM$5:$AM$64,MATCH($F718,사건마스터!$A$5:$A$64,0)),""))</f>
        <v/>
      </c>
      <c r="P718" s="35">
        <f>IF($F718="","",IFERROR(INDEX(사건마스터!$AN$5:$AN$64,MATCH($F718,사건마스터!$A$5:$A$64,0)),""))</f>
        <v/>
      </c>
      <c r="Q718" s="35">
        <f>IF($F718="","",IFERROR(INDEX(사건마스터!$AO$5:$AO$64,MATCH($F718,사건마스터!$A$5:$A$64,0)),""))</f>
        <v/>
      </c>
      <c r="R718" s="35">
        <f>IF($F718="","",IFERROR(INDEX(사건마스터!$AP$5:$AP$64,MATCH($F718,사건마스터!$A$5:$A$64,0)),""))</f>
        <v/>
      </c>
      <c r="S718" s="35">
        <f>IF($F718="","",IFERROR(INDEX(사건마스터!$AQ$5:$AQ$64,MATCH($F718,사건마스터!$A$5:$A$64,0)),""))</f>
        <v/>
      </c>
      <c r="T718" s="35">
        <f>IF($F718="","",IFERROR(INDEX(사건마스터!$AR$5:$AR$64,MATCH($F718,사건마스터!$A$5:$A$64,0)),""))</f>
        <v/>
      </c>
      <c r="U718" s="35">
        <f>IF($F718="","",IFERROR(INDEX(사건마스터!$AS$5:$AS$64,MATCH($F718,사건마스터!$A$5:$A$64,0)),""))</f>
        <v/>
      </c>
      <c r="V718" s="35">
        <f>IF($F718="","",IFERROR(INDEX(사건마스터!$AT$5:$AT$64,MATCH($F718,사건마스터!$A$5:$A$64,0)),""))</f>
        <v/>
      </c>
      <c r="W718" s="35">
        <f>IF($F718="","",IFERROR(INDEX(사건마스터!$AU$5:$AU$64,MATCH($F718,사건마스터!$A$5:$A$64,0)),""))</f>
        <v/>
      </c>
      <c r="X718" s="35">
        <f>IF($F718="","",IFERROR(INDEX(사건마스터!$AV$5:$AV$64,MATCH($F718,사건마스터!$A$5:$A$64,0)),""))</f>
        <v/>
      </c>
      <c r="Y718" s="30">
        <f>IF($I718="","",COUNTIF($I718:$X718,"?*"))</f>
        <v/>
      </c>
      <c r="Z718" s="33">
        <f>IF($I718="","",_xlfn.TEXTJOIN(", ",TRUE,$I718:$X718))</f>
        <v/>
      </c>
      <c r="AA718" s="34">
        <f>IF($I718="","",IFERROR(INDEX(코드설정!$D$5:$D$24,MATCH($I718,코드설정!$C$5:$C$24,0)),""))</f>
        <v/>
      </c>
      <c r="AB718" s="36" t="n"/>
      <c r="AC718" s="37" t="n"/>
      <c r="AD718" s="38" t="n"/>
      <c r="AE718" s="30">
        <f>IF(OR($B718="",$C718=""),"",$C718-$B718+1)</f>
        <v/>
      </c>
      <c r="AF718" s="32" t="n"/>
      <c r="AG718" s="36" t="n"/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3">
        <f>IF($F719="","",IFERROR(INDEX(사건마스터!$B$5:$B$64,MATCH($F719,사건마스터!$A$5:$A$64,0)),""))</f>
        <v/>
      </c>
      <c r="H719" s="34">
        <f>IF($F719="","",IFERROR(INDEX(사건마스터!$C$5:$C$64,MATCH($F719,사건마스터!$A$5:$A$64,0)),""))</f>
        <v/>
      </c>
      <c r="I719" s="35">
        <f>IF($F719="","",IFERROR(INDEX(사건마스터!$H$5:$H$64,MATCH($F719,사건마스터!$A$5:$A$64,0)),""))</f>
        <v/>
      </c>
      <c r="J719" s="35">
        <f>IF($F719="","",IFERROR(INDEX(사건마스터!$AH$5:$AH$64,MATCH($F719,사건마스터!$A$5:$A$64,0)),""))</f>
        <v/>
      </c>
      <c r="K719" s="35">
        <f>IF($F719="","",IFERROR(INDEX(사건마스터!$AI$5:$AI$64,MATCH($F719,사건마스터!$A$5:$A$64,0)),""))</f>
        <v/>
      </c>
      <c r="L719" s="35">
        <f>IF($F719="","",IFERROR(INDEX(사건마스터!$AJ$5:$AJ$64,MATCH($F719,사건마스터!$A$5:$A$64,0)),""))</f>
        <v/>
      </c>
      <c r="M719" s="35">
        <f>IF($F719="","",IFERROR(INDEX(사건마스터!$AK$5:$AK$64,MATCH($F719,사건마스터!$A$5:$A$64,0)),""))</f>
        <v/>
      </c>
      <c r="N719" s="35">
        <f>IF($F719="","",IFERROR(INDEX(사건마스터!$AL$5:$AL$64,MATCH($F719,사건마스터!$A$5:$A$64,0)),""))</f>
        <v/>
      </c>
      <c r="O719" s="35">
        <f>IF($F719="","",IFERROR(INDEX(사건마스터!$AM$5:$AM$64,MATCH($F719,사건마스터!$A$5:$A$64,0)),""))</f>
        <v/>
      </c>
      <c r="P719" s="35">
        <f>IF($F719="","",IFERROR(INDEX(사건마스터!$AN$5:$AN$64,MATCH($F719,사건마스터!$A$5:$A$64,0)),""))</f>
        <v/>
      </c>
      <c r="Q719" s="35">
        <f>IF($F719="","",IFERROR(INDEX(사건마스터!$AO$5:$AO$64,MATCH($F719,사건마스터!$A$5:$A$64,0)),""))</f>
        <v/>
      </c>
      <c r="R719" s="35">
        <f>IF($F719="","",IFERROR(INDEX(사건마스터!$AP$5:$AP$64,MATCH($F719,사건마스터!$A$5:$A$64,0)),""))</f>
        <v/>
      </c>
      <c r="S719" s="35">
        <f>IF($F719="","",IFERROR(INDEX(사건마스터!$AQ$5:$AQ$64,MATCH($F719,사건마스터!$A$5:$A$64,0)),""))</f>
        <v/>
      </c>
      <c r="T719" s="35">
        <f>IF($F719="","",IFERROR(INDEX(사건마스터!$AR$5:$AR$64,MATCH($F719,사건마스터!$A$5:$A$64,0)),""))</f>
        <v/>
      </c>
      <c r="U719" s="35">
        <f>IF($F719="","",IFERROR(INDEX(사건마스터!$AS$5:$AS$64,MATCH($F719,사건마스터!$A$5:$A$64,0)),""))</f>
        <v/>
      </c>
      <c r="V719" s="35">
        <f>IF($F719="","",IFERROR(INDEX(사건마스터!$AT$5:$AT$64,MATCH($F719,사건마스터!$A$5:$A$64,0)),""))</f>
        <v/>
      </c>
      <c r="W719" s="35">
        <f>IF($F719="","",IFERROR(INDEX(사건마스터!$AU$5:$AU$64,MATCH($F719,사건마스터!$A$5:$A$64,0)),""))</f>
        <v/>
      </c>
      <c r="X719" s="35">
        <f>IF($F719="","",IFERROR(INDEX(사건마스터!$AV$5:$AV$64,MATCH($F719,사건마스터!$A$5:$A$64,0)),""))</f>
        <v/>
      </c>
      <c r="Y719" s="30">
        <f>IF($I719="","",COUNTIF($I719:$X719,"?*"))</f>
        <v/>
      </c>
      <c r="Z719" s="33">
        <f>IF($I719="","",_xlfn.TEXTJOIN(", ",TRUE,$I719:$X719))</f>
        <v/>
      </c>
      <c r="AA719" s="34">
        <f>IF($I719="","",IFERROR(INDEX(코드설정!$D$5:$D$24,MATCH($I719,코드설정!$C$5:$C$24,0)),""))</f>
        <v/>
      </c>
      <c r="AB719" s="36" t="n"/>
      <c r="AC719" s="37" t="n"/>
      <c r="AD719" s="38" t="n"/>
      <c r="AE719" s="30">
        <f>IF(OR($B719="",$C719=""),"",$C719-$B719+1)</f>
        <v/>
      </c>
      <c r="AF719" s="32" t="n"/>
      <c r="AG719" s="36" t="n"/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3">
        <f>IF($F720="","",IFERROR(INDEX(사건마스터!$B$5:$B$64,MATCH($F720,사건마스터!$A$5:$A$64,0)),""))</f>
        <v/>
      </c>
      <c r="H720" s="34">
        <f>IF($F720="","",IFERROR(INDEX(사건마스터!$C$5:$C$64,MATCH($F720,사건마스터!$A$5:$A$64,0)),""))</f>
        <v/>
      </c>
      <c r="I720" s="35">
        <f>IF($F720="","",IFERROR(INDEX(사건마스터!$H$5:$H$64,MATCH($F720,사건마스터!$A$5:$A$64,0)),""))</f>
        <v/>
      </c>
      <c r="J720" s="35">
        <f>IF($F720="","",IFERROR(INDEX(사건마스터!$AH$5:$AH$64,MATCH($F720,사건마스터!$A$5:$A$64,0)),""))</f>
        <v/>
      </c>
      <c r="K720" s="35">
        <f>IF($F720="","",IFERROR(INDEX(사건마스터!$AI$5:$AI$64,MATCH($F720,사건마스터!$A$5:$A$64,0)),""))</f>
        <v/>
      </c>
      <c r="L720" s="35">
        <f>IF($F720="","",IFERROR(INDEX(사건마스터!$AJ$5:$AJ$64,MATCH($F720,사건마스터!$A$5:$A$64,0)),""))</f>
        <v/>
      </c>
      <c r="M720" s="35">
        <f>IF($F720="","",IFERROR(INDEX(사건마스터!$AK$5:$AK$64,MATCH($F720,사건마스터!$A$5:$A$64,0)),""))</f>
        <v/>
      </c>
      <c r="N720" s="35">
        <f>IF($F720="","",IFERROR(INDEX(사건마스터!$AL$5:$AL$64,MATCH($F720,사건마스터!$A$5:$A$64,0)),""))</f>
        <v/>
      </c>
      <c r="O720" s="35">
        <f>IF($F720="","",IFERROR(INDEX(사건마스터!$AM$5:$AM$64,MATCH($F720,사건마스터!$A$5:$A$64,0)),""))</f>
        <v/>
      </c>
      <c r="P720" s="35">
        <f>IF($F720="","",IFERROR(INDEX(사건마스터!$AN$5:$AN$64,MATCH($F720,사건마스터!$A$5:$A$64,0)),""))</f>
        <v/>
      </c>
      <c r="Q720" s="35">
        <f>IF($F720="","",IFERROR(INDEX(사건마스터!$AO$5:$AO$64,MATCH($F720,사건마스터!$A$5:$A$64,0)),""))</f>
        <v/>
      </c>
      <c r="R720" s="35">
        <f>IF($F720="","",IFERROR(INDEX(사건마스터!$AP$5:$AP$64,MATCH($F720,사건마스터!$A$5:$A$64,0)),""))</f>
        <v/>
      </c>
      <c r="S720" s="35">
        <f>IF($F720="","",IFERROR(INDEX(사건마스터!$AQ$5:$AQ$64,MATCH($F720,사건마스터!$A$5:$A$64,0)),""))</f>
        <v/>
      </c>
      <c r="T720" s="35">
        <f>IF($F720="","",IFERROR(INDEX(사건마스터!$AR$5:$AR$64,MATCH($F720,사건마스터!$A$5:$A$64,0)),""))</f>
        <v/>
      </c>
      <c r="U720" s="35">
        <f>IF($F720="","",IFERROR(INDEX(사건마스터!$AS$5:$AS$64,MATCH($F720,사건마스터!$A$5:$A$64,0)),""))</f>
        <v/>
      </c>
      <c r="V720" s="35">
        <f>IF($F720="","",IFERROR(INDEX(사건마스터!$AT$5:$AT$64,MATCH($F720,사건마스터!$A$5:$A$64,0)),""))</f>
        <v/>
      </c>
      <c r="W720" s="35">
        <f>IF($F720="","",IFERROR(INDEX(사건마스터!$AU$5:$AU$64,MATCH($F720,사건마스터!$A$5:$A$64,0)),""))</f>
        <v/>
      </c>
      <c r="X720" s="35">
        <f>IF($F720="","",IFERROR(INDEX(사건마스터!$AV$5:$AV$64,MATCH($F720,사건마스터!$A$5:$A$64,0)),""))</f>
        <v/>
      </c>
      <c r="Y720" s="30">
        <f>IF($I720="","",COUNTIF($I720:$X720,"?*"))</f>
        <v/>
      </c>
      <c r="Z720" s="33">
        <f>IF($I720="","",_xlfn.TEXTJOIN(", ",TRUE,$I720:$X720))</f>
        <v/>
      </c>
      <c r="AA720" s="34">
        <f>IF($I720="","",IFERROR(INDEX(코드설정!$D$5:$D$24,MATCH($I720,코드설정!$C$5:$C$24,0)),""))</f>
        <v/>
      </c>
      <c r="AB720" s="36" t="n"/>
      <c r="AC720" s="37" t="n"/>
      <c r="AD720" s="38" t="n"/>
      <c r="AE720" s="30">
        <f>IF(OR($B720="",$C720=""),"",$C720-$B720+1)</f>
        <v/>
      </c>
      <c r="AF720" s="32" t="n"/>
      <c r="AG720" s="36" t="n"/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3">
        <f>IF($F721="","",IFERROR(INDEX(사건마스터!$B$5:$B$64,MATCH($F721,사건마스터!$A$5:$A$64,0)),""))</f>
        <v/>
      </c>
      <c r="H721" s="34">
        <f>IF($F721="","",IFERROR(INDEX(사건마스터!$C$5:$C$64,MATCH($F721,사건마스터!$A$5:$A$64,0)),""))</f>
        <v/>
      </c>
      <c r="I721" s="35">
        <f>IF($F721="","",IFERROR(INDEX(사건마스터!$H$5:$H$64,MATCH($F721,사건마스터!$A$5:$A$64,0)),""))</f>
        <v/>
      </c>
      <c r="J721" s="35">
        <f>IF($F721="","",IFERROR(INDEX(사건마스터!$AH$5:$AH$64,MATCH($F721,사건마스터!$A$5:$A$64,0)),""))</f>
        <v/>
      </c>
      <c r="K721" s="35">
        <f>IF($F721="","",IFERROR(INDEX(사건마스터!$AI$5:$AI$64,MATCH($F721,사건마스터!$A$5:$A$64,0)),""))</f>
        <v/>
      </c>
      <c r="L721" s="35">
        <f>IF($F721="","",IFERROR(INDEX(사건마스터!$AJ$5:$AJ$64,MATCH($F721,사건마스터!$A$5:$A$64,0)),""))</f>
        <v/>
      </c>
      <c r="M721" s="35">
        <f>IF($F721="","",IFERROR(INDEX(사건마스터!$AK$5:$AK$64,MATCH($F721,사건마스터!$A$5:$A$64,0)),""))</f>
        <v/>
      </c>
      <c r="N721" s="35">
        <f>IF($F721="","",IFERROR(INDEX(사건마스터!$AL$5:$AL$64,MATCH($F721,사건마스터!$A$5:$A$64,0)),""))</f>
        <v/>
      </c>
      <c r="O721" s="35">
        <f>IF($F721="","",IFERROR(INDEX(사건마스터!$AM$5:$AM$64,MATCH($F721,사건마스터!$A$5:$A$64,0)),""))</f>
        <v/>
      </c>
      <c r="P721" s="35">
        <f>IF($F721="","",IFERROR(INDEX(사건마스터!$AN$5:$AN$64,MATCH($F721,사건마스터!$A$5:$A$64,0)),""))</f>
        <v/>
      </c>
      <c r="Q721" s="35">
        <f>IF($F721="","",IFERROR(INDEX(사건마스터!$AO$5:$AO$64,MATCH($F721,사건마스터!$A$5:$A$64,0)),""))</f>
        <v/>
      </c>
      <c r="R721" s="35">
        <f>IF($F721="","",IFERROR(INDEX(사건마스터!$AP$5:$AP$64,MATCH($F721,사건마스터!$A$5:$A$64,0)),""))</f>
        <v/>
      </c>
      <c r="S721" s="35">
        <f>IF($F721="","",IFERROR(INDEX(사건마스터!$AQ$5:$AQ$64,MATCH($F721,사건마스터!$A$5:$A$64,0)),""))</f>
        <v/>
      </c>
      <c r="T721" s="35">
        <f>IF($F721="","",IFERROR(INDEX(사건마스터!$AR$5:$AR$64,MATCH($F721,사건마스터!$A$5:$A$64,0)),""))</f>
        <v/>
      </c>
      <c r="U721" s="35">
        <f>IF($F721="","",IFERROR(INDEX(사건마스터!$AS$5:$AS$64,MATCH($F721,사건마스터!$A$5:$A$64,0)),""))</f>
        <v/>
      </c>
      <c r="V721" s="35">
        <f>IF($F721="","",IFERROR(INDEX(사건마스터!$AT$5:$AT$64,MATCH($F721,사건마스터!$A$5:$A$64,0)),""))</f>
        <v/>
      </c>
      <c r="W721" s="35">
        <f>IF($F721="","",IFERROR(INDEX(사건마스터!$AU$5:$AU$64,MATCH($F721,사건마스터!$A$5:$A$64,0)),""))</f>
        <v/>
      </c>
      <c r="X721" s="35">
        <f>IF($F721="","",IFERROR(INDEX(사건마스터!$AV$5:$AV$64,MATCH($F721,사건마스터!$A$5:$A$64,0)),""))</f>
        <v/>
      </c>
      <c r="Y721" s="30">
        <f>IF($I721="","",COUNTIF($I721:$X721,"?*"))</f>
        <v/>
      </c>
      <c r="Z721" s="33">
        <f>IF($I721="","",_xlfn.TEXTJOIN(", ",TRUE,$I721:$X721))</f>
        <v/>
      </c>
      <c r="AA721" s="34">
        <f>IF($I721="","",IFERROR(INDEX(코드설정!$D$5:$D$24,MATCH($I721,코드설정!$C$5:$C$24,0)),""))</f>
        <v/>
      </c>
      <c r="AB721" s="36" t="n"/>
      <c r="AC721" s="37" t="n"/>
      <c r="AD721" s="38" t="n"/>
      <c r="AE721" s="30">
        <f>IF(OR($B721="",$C721=""),"",$C721-$B721+1)</f>
        <v/>
      </c>
      <c r="AF721" s="32" t="n"/>
      <c r="AG721" s="36" t="n"/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3">
        <f>IF($F722="","",IFERROR(INDEX(사건마스터!$B$5:$B$64,MATCH($F722,사건마스터!$A$5:$A$64,0)),""))</f>
        <v/>
      </c>
      <c r="H722" s="34">
        <f>IF($F722="","",IFERROR(INDEX(사건마스터!$C$5:$C$64,MATCH($F722,사건마스터!$A$5:$A$64,0)),""))</f>
        <v/>
      </c>
      <c r="I722" s="35">
        <f>IF($F722="","",IFERROR(INDEX(사건마스터!$H$5:$H$64,MATCH($F722,사건마스터!$A$5:$A$64,0)),""))</f>
        <v/>
      </c>
      <c r="J722" s="35">
        <f>IF($F722="","",IFERROR(INDEX(사건마스터!$AH$5:$AH$64,MATCH($F722,사건마스터!$A$5:$A$64,0)),""))</f>
        <v/>
      </c>
      <c r="K722" s="35">
        <f>IF($F722="","",IFERROR(INDEX(사건마스터!$AI$5:$AI$64,MATCH($F722,사건마스터!$A$5:$A$64,0)),""))</f>
        <v/>
      </c>
      <c r="L722" s="35">
        <f>IF($F722="","",IFERROR(INDEX(사건마스터!$AJ$5:$AJ$64,MATCH($F722,사건마스터!$A$5:$A$64,0)),""))</f>
        <v/>
      </c>
      <c r="M722" s="35">
        <f>IF($F722="","",IFERROR(INDEX(사건마스터!$AK$5:$AK$64,MATCH($F722,사건마스터!$A$5:$A$64,0)),""))</f>
        <v/>
      </c>
      <c r="N722" s="35">
        <f>IF($F722="","",IFERROR(INDEX(사건마스터!$AL$5:$AL$64,MATCH($F722,사건마스터!$A$5:$A$64,0)),""))</f>
        <v/>
      </c>
      <c r="O722" s="35">
        <f>IF($F722="","",IFERROR(INDEX(사건마스터!$AM$5:$AM$64,MATCH($F722,사건마스터!$A$5:$A$64,0)),""))</f>
        <v/>
      </c>
      <c r="P722" s="35">
        <f>IF($F722="","",IFERROR(INDEX(사건마스터!$AN$5:$AN$64,MATCH($F722,사건마스터!$A$5:$A$64,0)),""))</f>
        <v/>
      </c>
      <c r="Q722" s="35">
        <f>IF($F722="","",IFERROR(INDEX(사건마스터!$AO$5:$AO$64,MATCH($F722,사건마스터!$A$5:$A$64,0)),""))</f>
        <v/>
      </c>
      <c r="R722" s="35">
        <f>IF($F722="","",IFERROR(INDEX(사건마스터!$AP$5:$AP$64,MATCH($F722,사건마스터!$A$5:$A$64,0)),""))</f>
        <v/>
      </c>
      <c r="S722" s="35">
        <f>IF($F722="","",IFERROR(INDEX(사건마스터!$AQ$5:$AQ$64,MATCH($F722,사건마스터!$A$5:$A$64,0)),""))</f>
        <v/>
      </c>
      <c r="T722" s="35">
        <f>IF($F722="","",IFERROR(INDEX(사건마스터!$AR$5:$AR$64,MATCH($F722,사건마스터!$A$5:$A$64,0)),""))</f>
        <v/>
      </c>
      <c r="U722" s="35">
        <f>IF($F722="","",IFERROR(INDEX(사건마스터!$AS$5:$AS$64,MATCH($F722,사건마스터!$A$5:$A$64,0)),""))</f>
        <v/>
      </c>
      <c r="V722" s="35">
        <f>IF($F722="","",IFERROR(INDEX(사건마스터!$AT$5:$AT$64,MATCH($F722,사건마스터!$A$5:$A$64,0)),""))</f>
        <v/>
      </c>
      <c r="W722" s="35">
        <f>IF($F722="","",IFERROR(INDEX(사건마스터!$AU$5:$AU$64,MATCH($F722,사건마스터!$A$5:$A$64,0)),""))</f>
        <v/>
      </c>
      <c r="X722" s="35">
        <f>IF($F722="","",IFERROR(INDEX(사건마스터!$AV$5:$AV$64,MATCH($F722,사건마스터!$A$5:$A$64,0)),""))</f>
        <v/>
      </c>
      <c r="Y722" s="30">
        <f>IF($I722="","",COUNTIF($I722:$X722,"?*"))</f>
        <v/>
      </c>
      <c r="Z722" s="33">
        <f>IF($I722="","",_xlfn.TEXTJOIN(", ",TRUE,$I722:$X722))</f>
        <v/>
      </c>
      <c r="AA722" s="34">
        <f>IF($I722="","",IFERROR(INDEX(코드설정!$D$5:$D$24,MATCH($I722,코드설정!$C$5:$C$24,0)),""))</f>
        <v/>
      </c>
      <c r="AB722" s="36" t="n"/>
      <c r="AC722" s="37" t="n"/>
      <c r="AD722" s="38" t="n"/>
      <c r="AE722" s="30">
        <f>IF(OR($B722="",$C722=""),"",$C722-$B722+1)</f>
        <v/>
      </c>
      <c r="AF722" s="32" t="n"/>
      <c r="AG722" s="36" t="n"/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3">
        <f>IF($F723="","",IFERROR(INDEX(사건마스터!$B$5:$B$64,MATCH($F723,사건마스터!$A$5:$A$64,0)),""))</f>
        <v/>
      </c>
      <c r="H723" s="34">
        <f>IF($F723="","",IFERROR(INDEX(사건마스터!$C$5:$C$64,MATCH($F723,사건마스터!$A$5:$A$64,0)),""))</f>
        <v/>
      </c>
      <c r="I723" s="35">
        <f>IF($F723="","",IFERROR(INDEX(사건마스터!$H$5:$H$64,MATCH($F723,사건마스터!$A$5:$A$64,0)),""))</f>
        <v/>
      </c>
      <c r="J723" s="35">
        <f>IF($F723="","",IFERROR(INDEX(사건마스터!$AH$5:$AH$64,MATCH($F723,사건마스터!$A$5:$A$64,0)),""))</f>
        <v/>
      </c>
      <c r="K723" s="35">
        <f>IF($F723="","",IFERROR(INDEX(사건마스터!$AI$5:$AI$64,MATCH($F723,사건마스터!$A$5:$A$64,0)),""))</f>
        <v/>
      </c>
      <c r="L723" s="35">
        <f>IF($F723="","",IFERROR(INDEX(사건마스터!$AJ$5:$AJ$64,MATCH($F723,사건마스터!$A$5:$A$64,0)),""))</f>
        <v/>
      </c>
      <c r="M723" s="35">
        <f>IF($F723="","",IFERROR(INDEX(사건마스터!$AK$5:$AK$64,MATCH($F723,사건마스터!$A$5:$A$64,0)),""))</f>
        <v/>
      </c>
      <c r="N723" s="35">
        <f>IF($F723="","",IFERROR(INDEX(사건마스터!$AL$5:$AL$64,MATCH($F723,사건마스터!$A$5:$A$64,0)),""))</f>
        <v/>
      </c>
      <c r="O723" s="35">
        <f>IF($F723="","",IFERROR(INDEX(사건마스터!$AM$5:$AM$64,MATCH($F723,사건마스터!$A$5:$A$64,0)),""))</f>
        <v/>
      </c>
      <c r="P723" s="35">
        <f>IF($F723="","",IFERROR(INDEX(사건마스터!$AN$5:$AN$64,MATCH($F723,사건마스터!$A$5:$A$64,0)),""))</f>
        <v/>
      </c>
      <c r="Q723" s="35">
        <f>IF($F723="","",IFERROR(INDEX(사건마스터!$AO$5:$AO$64,MATCH($F723,사건마스터!$A$5:$A$64,0)),""))</f>
        <v/>
      </c>
      <c r="R723" s="35">
        <f>IF($F723="","",IFERROR(INDEX(사건마스터!$AP$5:$AP$64,MATCH($F723,사건마스터!$A$5:$A$64,0)),""))</f>
        <v/>
      </c>
      <c r="S723" s="35">
        <f>IF($F723="","",IFERROR(INDEX(사건마스터!$AQ$5:$AQ$64,MATCH($F723,사건마스터!$A$5:$A$64,0)),""))</f>
        <v/>
      </c>
      <c r="T723" s="35">
        <f>IF($F723="","",IFERROR(INDEX(사건마스터!$AR$5:$AR$64,MATCH($F723,사건마스터!$A$5:$A$64,0)),""))</f>
        <v/>
      </c>
      <c r="U723" s="35">
        <f>IF($F723="","",IFERROR(INDEX(사건마스터!$AS$5:$AS$64,MATCH($F723,사건마스터!$A$5:$A$64,0)),""))</f>
        <v/>
      </c>
      <c r="V723" s="35">
        <f>IF($F723="","",IFERROR(INDEX(사건마스터!$AT$5:$AT$64,MATCH($F723,사건마스터!$A$5:$A$64,0)),""))</f>
        <v/>
      </c>
      <c r="W723" s="35">
        <f>IF($F723="","",IFERROR(INDEX(사건마스터!$AU$5:$AU$64,MATCH($F723,사건마스터!$A$5:$A$64,0)),""))</f>
        <v/>
      </c>
      <c r="X723" s="35">
        <f>IF($F723="","",IFERROR(INDEX(사건마스터!$AV$5:$AV$64,MATCH($F723,사건마스터!$A$5:$A$64,0)),""))</f>
        <v/>
      </c>
      <c r="Y723" s="30">
        <f>IF($I723="","",COUNTIF($I723:$X723,"?*"))</f>
        <v/>
      </c>
      <c r="Z723" s="33">
        <f>IF($I723="","",_xlfn.TEXTJOIN(", ",TRUE,$I723:$X723))</f>
        <v/>
      </c>
      <c r="AA723" s="34">
        <f>IF($I723="","",IFERROR(INDEX(코드설정!$D$5:$D$24,MATCH($I723,코드설정!$C$5:$C$24,0)),""))</f>
        <v/>
      </c>
      <c r="AB723" s="36" t="n"/>
      <c r="AC723" s="37" t="n"/>
      <c r="AD723" s="38" t="n"/>
      <c r="AE723" s="30">
        <f>IF(OR($B723="",$C723=""),"",$C723-$B723+1)</f>
        <v/>
      </c>
      <c r="AF723" s="32" t="n"/>
      <c r="AG723" s="36" t="n"/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3">
        <f>IF($F724="","",IFERROR(INDEX(사건마스터!$B$5:$B$64,MATCH($F724,사건마스터!$A$5:$A$64,0)),""))</f>
        <v/>
      </c>
      <c r="H724" s="34">
        <f>IF($F724="","",IFERROR(INDEX(사건마스터!$C$5:$C$64,MATCH($F724,사건마스터!$A$5:$A$64,0)),""))</f>
        <v/>
      </c>
      <c r="I724" s="35">
        <f>IF($F724="","",IFERROR(INDEX(사건마스터!$H$5:$H$64,MATCH($F724,사건마스터!$A$5:$A$64,0)),""))</f>
        <v/>
      </c>
      <c r="J724" s="35">
        <f>IF($F724="","",IFERROR(INDEX(사건마스터!$AH$5:$AH$64,MATCH($F724,사건마스터!$A$5:$A$64,0)),""))</f>
        <v/>
      </c>
      <c r="K724" s="35">
        <f>IF($F724="","",IFERROR(INDEX(사건마스터!$AI$5:$AI$64,MATCH($F724,사건마스터!$A$5:$A$64,0)),""))</f>
        <v/>
      </c>
      <c r="L724" s="35">
        <f>IF($F724="","",IFERROR(INDEX(사건마스터!$AJ$5:$AJ$64,MATCH($F724,사건마스터!$A$5:$A$64,0)),""))</f>
        <v/>
      </c>
      <c r="M724" s="35">
        <f>IF($F724="","",IFERROR(INDEX(사건마스터!$AK$5:$AK$64,MATCH($F724,사건마스터!$A$5:$A$64,0)),""))</f>
        <v/>
      </c>
      <c r="N724" s="35">
        <f>IF($F724="","",IFERROR(INDEX(사건마스터!$AL$5:$AL$64,MATCH($F724,사건마스터!$A$5:$A$64,0)),""))</f>
        <v/>
      </c>
      <c r="O724" s="35">
        <f>IF($F724="","",IFERROR(INDEX(사건마스터!$AM$5:$AM$64,MATCH($F724,사건마스터!$A$5:$A$64,0)),""))</f>
        <v/>
      </c>
      <c r="P724" s="35">
        <f>IF($F724="","",IFERROR(INDEX(사건마스터!$AN$5:$AN$64,MATCH($F724,사건마스터!$A$5:$A$64,0)),""))</f>
        <v/>
      </c>
      <c r="Q724" s="35">
        <f>IF($F724="","",IFERROR(INDEX(사건마스터!$AO$5:$AO$64,MATCH($F724,사건마스터!$A$5:$A$64,0)),""))</f>
        <v/>
      </c>
      <c r="R724" s="35">
        <f>IF($F724="","",IFERROR(INDEX(사건마스터!$AP$5:$AP$64,MATCH($F724,사건마스터!$A$5:$A$64,0)),""))</f>
        <v/>
      </c>
      <c r="S724" s="35">
        <f>IF($F724="","",IFERROR(INDEX(사건마스터!$AQ$5:$AQ$64,MATCH($F724,사건마스터!$A$5:$A$64,0)),""))</f>
        <v/>
      </c>
      <c r="T724" s="35">
        <f>IF($F724="","",IFERROR(INDEX(사건마스터!$AR$5:$AR$64,MATCH($F724,사건마스터!$A$5:$A$64,0)),""))</f>
        <v/>
      </c>
      <c r="U724" s="35">
        <f>IF($F724="","",IFERROR(INDEX(사건마스터!$AS$5:$AS$64,MATCH($F724,사건마스터!$A$5:$A$64,0)),""))</f>
        <v/>
      </c>
      <c r="V724" s="35">
        <f>IF($F724="","",IFERROR(INDEX(사건마스터!$AT$5:$AT$64,MATCH($F724,사건마스터!$A$5:$A$64,0)),""))</f>
        <v/>
      </c>
      <c r="W724" s="35">
        <f>IF($F724="","",IFERROR(INDEX(사건마스터!$AU$5:$AU$64,MATCH($F724,사건마스터!$A$5:$A$64,0)),""))</f>
        <v/>
      </c>
      <c r="X724" s="35">
        <f>IF($F724="","",IFERROR(INDEX(사건마스터!$AV$5:$AV$64,MATCH($F724,사건마스터!$A$5:$A$64,0)),""))</f>
        <v/>
      </c>
      <c r="Y724" s="30">
        <f>IF($I724="","",COUNTIF($I724:$X724,"?*"))</f>
        <v/>
      </c>
      <c r="Z724" s="33">
        <f>IF($I724="","",_xlfn.TEXTJOIN(", ",TRUE,$I724:$X724))</f>
        <v/>
      </c>
      <c r="AA724" s="34">
        <f>IF($I724="","",IFERROR(INDEX(코드설정!$D$5:$D$24,MATCH($I724,코드설정!$C$5:$C$24,0)),""))</f>
        <v/>
      </c>
      <c r="AB724" s="36" t="n"/>
      <c r="AC724" s="37" t="n"/>
      <c r="AD724" s="38" t="n"/>
      <c r="AE724" s="30">
        <f>IF(OR($B724="",$C724=""),"",$C724-$B724+1)</f>
        <v/>
      </c>
      <c r="AF724" s="32" t="n"/>
      <c r="AG724" s="36" t="n"/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3">
        <f>IF($F725="","",IFERROR(INDEX(사건마스터!$B$5:$B$64,MATCH($F725,사건마스터!$A$5:$A$64,0)),""))</f>
        <v/>
      </c>
      <c r="H725" s="34">
        <f>IF($F725="","",IFERROR(INDEX(사건마스터!$C$5:$C$64,MATCH($F725,사건마스터!$A$5:$A$64,0)),""))</f>
        <v/>
      </c>
      <c r="I725" s="35">
        <f>IF($F725="","",IFERROR(INDEX(사건마스터!$H$5:$H$64,MATCH($F725,사건마스터!$A$5:$A$64,0)),""))</f>
        <v/>
      </c>
      <c r="J725" s="35">
        <f>IF($F725="","",IFERROR(INDEX(사건마스터!$AH$5:$AH$64,MATCH($F725,사건마스터!$A$5:$A$64,0)),""))</f>
        <v/>
      </c>
      <c r="K725" s="35">
        <f>IF($F725="","",IFERROR(INDEX(사건마스터!$AI$5:$AI$64,MATCH($F725,사건마스터!$A$5:$A$64,0)),""))</f>
        <v/>
      </c>
      <c r="L725" s="35">
        <f>IF($F725="","",IFERROR(INDEX(사건마스터!$AJ$5:$AJ$64,MATCH($F725,사건마스터!$A$5:$A$64,0)),""))</f>
        <v/>
      </c>
      <c r="M725" s="35">
        <f>IF($F725="","",IFERROR(INDEX(사건마스터!$AK$5:$AK$64,MATCH($F725,사건마스터!$A$5:$A$64,0)),""))</f>
        <v/>
      </c>
      <c r="N725" s="35">
        <f>IF($F725="","",IFERROR(INDEX(사건마스터!$AL$5:$AL$64,MATCH($F725,사건마스터!$A$5:$A$64,0)),""))</f>
        <v/>
      </c>
      <c r="O725" s="35">
        <f>IF($F725="","",IFERROR(INDEX(사건마스터!$AM$5:$AM$64,MATCH($F725,사건마스터!$A$5:$A$64,0)),""))</f>
        <v/>
      </c>
      <c r="P725" s="35">
        <f>IF($F725="","",IFERROR(INDEX(사건마스터!$AN$5:$AN$64,MATCH($F725,사건마스터!$A$5:$A$64,0)),""))</f>
        <v/>
      </c>
      <c r="Q725" s="35">
        <f>IF($F725="","",IFERROR(INDEX(사건마스터!$AO$5:$AO$64,MATCH($F725,사건마스터!$A$5:$A$64,0)),""))</f>
        <v/>
      </c>
      <c r="R725" s="35">
        <f>IF($F725="","",IFERROR(INDEX(사건마스터!$AP$5:$AP$64,MATCH($F725,사건마스터!$A$5:$A$64,0)),""))</f>
        <v/>
      </c>
      <c r="S725" s="35">
        <f>IF($F725="","",IFERROR(INDEX(사건마스터!$AQ$5:$AQ$64,MATCH($F725,사건마스터!$A$5:$A$64,0)),""))</f>
        <v/>
      </c>
      <c r="T725" s="35">
        <f>IF($F725="","",IFERROR(INDEX(사건마스터!$AR$5:$AR$64,MATCH($F725,사건마스터!$A$5:$A$64,0)),""))</f>
        <v/>
      </c>
      <c r="U725" s="35">
        <f>IF($F725="","",IFERROR(INDEX(사건마스터!$AS$5:$AS$64,MATCH($F725,사건마스터!$A$5:$A$64,0)),""))</f>
        <v/>
      </c>
      <c r="V725" s="35">
        <f>IF($F725="","",IFERROR(INDEX(사건마스터!$AT$5:$AT$64,MATCH($F725,사건마스터!$A$5:$A$64,0)),""))</f>
        <v/>
      </c>
      <c r="W725" s="35">
        <f>IF($F725="","",IFERROR(INDEX(사건마스터!$AU$5:$AU$64,MATCH($F725,사건마스터!$A$5:$A$64,0)),""))</f>
        <v/>
      </c>
      <c r="X725" s="35">
        <f>IF($F725="","",IFERROR(INDEX(사건마스터!$AV$5:$AV$64,MATCH($F725,사건마스터!$A$5:$A$64,0)),""))</f>
        <v/>
      </c>
      <c r="Y725" s="30">
        <f>IF($I725="","",COUNTIF($I725:$X725,"?*"))</f>
        <v/>
      </c>
      <c r="Z725" s="33">
        <f>IF($I725="","",_xlfn.TEXTJOIN(", ",TRUE,$I725:$X725))</f>
        <v/>
      </c>
      <c r="AA725" s="34">
        <f>IF($I725="","",IFERROR(INDEX(코드설정!$D$5:$D$24,MATCH($I725,코드설정!$C$5:$C$24,0)),""))</f>
        <v/>
      </c>
      <c r="AB725" s="36" t="n"/>
      <c r="AC725" s="37" t="n"/>
      <c r="AD725" s="38" t="n"/>
      <c r="AE725" s="30">
        <f>IF(OR($B725="",$C725=""),"",$C725-$B725+1)</f>
        <v/>
      </c>
      <c r="AF725" s="32" t="n"/>
      <c r="AG725" s="36" t="n"/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3">
        <f>IF($F726="","",IFERROR(INDEX(사건마스터!$B$5:$B$64,MATCH($F726,사건마스터!$A$5:$A$64,0)),""))</f>
        <v/>
      </c>
      <c r="H726" s="34">
        <f>IF($F726="","",IFERROR(INDEX(사건마스터!$C$5:$C$64,MATCH($F726,사건마스터!$A$5:$A$64,0)),""))</f>
        <v/>
      </c>
      <c r="I726" s="35">
        <f>IF($F726="","",IFERROR(INDEX(사건마스터!$H$5:$H$64,MATCH($F726,사건마스터!$A$5:$A$64,0)),""))</f>
        <v/>
      </c>
      <c r="J726" s="35">
        <f>IF($F726="","",IFERROR(INDEX(사건마스터!$AH$5:$AH$64,MATCH($F726,사건마스터!$A$5:$A$64,0)),""))</f>
        <v/>
      </c>
      <c r="K726" s="35">
        <f>IF($F726="","",IFERROR(INDEX(사건마스터!$AI$5:$AI$64,MATCH($F726,사건마스터!$A$5:$A$64,0)),""))</f>
        <v/>
      </c>
      <c r="L726" s="35">
        <f>IF($F726="","",IFERROR(INDEX(사건마스터!$AJ$5:$AJ$64,MATCH($F726,사건마스터!$A$5:$A$64,0)),""))</f>
        <v/>
      </c>
      <c r="M726" s="35">
        <f>IF($F726="","",IFERROR(INDEX(사건마스터!$AK$5:$AK$64,MATCH($F726,사건마스터!$A$5:$A$64,0)),""))</f>
        <v/>
      </c>
      <c r="N726" s="35">
        <f>IF($F726="","",IFERROR(INDEX(사건마스터!$AL$5:$AL$64,MATCH($F726,사건마스터!$A$5:$A$64,0)),""))</f>
        <v/>
      </c>
      <c r="O726" s="35">
        <f>IF($F726="","",IFERROR(INDEX(사건마스터!$AM$5:$AM$64,MATCH($F726,사건마스터!$A$5:$A$64,0)),""))</f>
        <v/>
      </c>
      <c r="P726" s="35">
        <f>IF($F726="","",IFERROR(INDEX(사건마스터!$AN$5:$AN$64,MATCH($F726,사건마스터!$A$5:$A$64,0)),""))</f>
        <v/>
      </c>
      <c r="Q726" s="35">
        <f>IF($F726="","",IFERROR(INDEX(사건마스터!$AO$5:$AO$64,MATCH($F726,사건마스터!$A$5:$A$64,0)),""))</f>
        <v/>
      </c>
      <c r="R726" s="35">
        <f>IF($F726="","",IFERROR(INDEX(사건마스터!$AP$5:$AP$64,MATCH($F726,사건마스터!$A$5:$A$64,0)),""))</f>
        <v/>
      </c>
      <c r="S726" s="35">
        <f>IF($F726="","",IFERROR(INDEX(사건마스터!$AQ$5:$AQ$64,MATCH($F726,사건마스터!$A$5:$A$64,0)),""))</f>
        <v/>
      </c>
      <c r="T726" s="35">
        <f>IF($F726="","",IFERROR(INDEX(사건마스터!$AR$5:$AR$64,MATCH($F726,사건마스터!$A$5:$A$64,0)),""))</f>
        <v/>
      </c>
      <c r="U726" s="35">
        <f>IF($F726="","",IFERROR(INDEX(사건마스터!$AS$5:$AS$64,MATCH($F726,사건마스터!$A$5:$A$64,0)),""))</f>
        <v/>
      </c>
      <c r="V726" s="35">
        <f>IF($F726="","",IFERROR(INDEX(사건마스터!$AT$5:$AT$64,MATCH($F726,사건마스터!$A$5:$A$64,0)),""))</f>
        <v/>
      </c>
      <c r="W726" s="35">
        <f>IF($F726="","",IFERROR(INDEX(사건마스터!$AU$5:$AU$64,MATCH($F726,사건마스터!$A$5:$A$64,0)),""))</f>
        <v/>
      </c>
      <c r="X726" s="35">
        <f>IF($F726="","",IFERROR(INDEX(사건마스터!$AV$5:$AV$64,MATCH($F726,사건마스터!$A$5:$A$64,0)),""))</f>
        <v/>
      </c>
      <c r="Y726" s="30">
        <f>IF($I726="","",COUNTIF($I726:$X726,"?*"))</f>
        <v/>
      </c>
      <c r="Z726" s="33">
        <f>IF($I726="","",_xlfn.TEXTJOIN(", ",TRUE,$I726:$X726))</f>
        <v/>
      </c>
      <c r="AA726" s="34">
        <f>IF($I726="","",IFERROR(INDEX(코드설정!$D$5:$D$24,MATCH($I726,코드설정!$C$5:$C$24,0)),""))</f>
        <v/>
      </c>
      <c r="AB726" s="36" t="n"/>
      <c r="AC726" s="37" t="n"/>
      <c r="AD726" s="38" t="n"/>
      <c r="AE726" s="30">
        <f>IF(OR($B726="",$C726=""),"",$C726-$B726+1)</f>
        <v/>
      </c>
      <c r="AF726" s="32" t="n"/>
      <c r="AG726" s="36" t="n"/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3">
        <f>IF($F727="","",IFERROR(INDEX(사건마스터!$B$5:$B$64,MATCH($F727,사건마스터!$A$5:$A$64,0)),""))</f>
        <v/>
      </c>
      <c r="H727" s="34">
        <f>IF($F727="","",IFERROR(INDEX(사건마스터!$C$5:$C$64,MATCH($F727,사건마스터!$A$5:$A$64,0)),""))</f>
        <v/>
      </c>
      <c r="I727" s="35">
        <f>IF($F727="","",IFERROR(INDEX(사건마스터!$H$5:$H$64,MATCH($F727,사건마스터!$A$5:$A$64,0)),""))</f>
        <v/>
      </c>
      <c r="J727" s="35">
        <f>IF($F727="","",IFERROR(INDEX(사건마스터!$AH$5:$AH$64,MATCH($F727,사건마스터!$A$5:$A$64,0)),""))</f>
        <v/>
      </c>
      <c r="K727" s="35">
        <f>IF($F727="","",IFERROR(INDEX(사건마스터!$AI$5:$AI$64,MATCH($F727,사건마스터!$A$5:$A$64,0)),""))</f>
        <v/>
      </c>
      <c r="L727" s="35">
        <f>IF($F727="","",IFERROR(INDEX(사건마스터!$AJ$5:$AJ$64,MATCH($F727,사건마스터!$A$5:$A$64,0)),""))</f>
        <v/>
      </c>
      <c r="M727" s="35">
        <f>IF($F727="","",IFERROR(INDEX(사건마스터!$AK$5:$AK$64,MATCH($F727,사건마스터!$A$5:$A$64,0)),""))</f>
        <v/>
      </c>
      <c r="N727" s="35">
        <f>IF($F727="","",IFERROR(INDEX(사건마스터!$AL$5:$AL$64,MATCH($F727,사건마스터!$A$5:$A$64,0)),""))</f>
        <v/>
      </c>
      <c r="O727" s="35">
        <f>IF($F727="","",IFERROR(INDEX(사건마스터!$AM$5:$AM$64,MATCH($F727,사건마스터!$A$5:$A$64,0)),""))</f>
        <v/>
      </c>
      <c r="P727" s="35">
        <f>IF($F727="","",IFERROR(INDEX(사건마스터!$AN$5:$AN$64,MATCH($F727,사건마스터!$A$5:$A$64,0)),""))</f>
        <v/>
      </c>
      <c r="Q727" s="35">
        <f>IF($F727="","",IFERROR(INDEX(사건마스터!$AO$5:$AO$64,MATCH($F727,사건마스터!$A$5:$A$64,0)),""))</f>
        <v/>
      </c>
      <c r="R727" s="35">
        <f>IF($F727="","",IFERROR(INDEX(사건마스터!$AP$5:$AP$64,MATCH($F727,사건마스터!$A$5:$A$64,0)),""))</f>
        <v/>
      </c>
      <c r="S727" s="35">
        <f>IF($F727="","",IFERROR(INDEX(사건마스터!$AQ$5:$AQ$64,MATCH($F727,사건마스터!$A$5:$A$64,0)),""))</f>
        <v/>
      </c>
      <c r="T727" s="35">
        <f>IF($F727="","",IFERROR(INDEX(사건마스터!$AR$5:$AR$64,MATCH($F727,사건마스터!$A$5:$A$64,0)),""))</f>
        <v/>
      </c>
      <c r="U727" s="35">
        <f>IF($F727="","",IFERROR(INDEX(사건마스터!$AS$5:$AS$64,MATCH($F727,사건마스터!$A$5:$A$64,0)),""))</f>
        <v/>
      </c>
      <c r="V727" s="35">
        <f>IF($F727="","",IFERROR(INDEX(사건마스터!$AT$5:$AT$64,MATCH($F727,사건마스터!$A$5:$A$64,0)),""))</f>
        <v/>
      </c>
      <c r="W727" s="35">
        <f>IF($F727="","",IFERROR(INDEX(사건마스터!$AU$5:$AU$64,MATCH($F727,사건마스터!$A$5:$A$64,0)),""))</f>
        <v/>
      </c>
      <c r="X727" s="35">
        <f>IF($F727="","",IFERROR(INDEX(사건마스터!$AV$5:$AV$64,MATCH($F727,사건마스터!$A$5:$A$64,0)),""))</f>
        <v/>
      </c>
      <c r="Y727" s="30">
        <f>IF($I727="","",COUNTIF($I727:$X727,"?*"))</f>
        <v/>
      </c>
      <c r="Z727" s="33">
        <f>IF($I727="","",_xlfn.TEXTJOIN(", ",TRUE,$I727:$X727))</f>
        <v/>
      </c>
      <c r="AA727" s="34">
        <f>IF($I727="","",IFERROR(INDEX(코드설정!$D$5:$D$24,MATCH($I727,코드설정!$C$5:$C$24,0)),""))</f>
        <v/>
      </c>
      <c r="AB727" s="36" t="n"/>
      <c r="AC727" s="37" t="n"/>
      <c r="AD727" s="38" t="n"/>
      <c r="AE727" s="30">
        <f>IF(OR($B727="",$C727=""),"",$C727-$B727+1)</f>
        <v/>
      </c>
      <c r="AF727" s="32" t="n"/>
      <c r="AG727" s="36" t="n"/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3">
        <f>IF($F728="","",IFERROR(INDEX(사건마스터!$B$5:$B$64,MATCH($F728,사건마스터!$A$5:$A$64,0)),""))</f>
        <v/>
      </c>
      <c r="H728" s="34">
        <f>IF($F728="","",IFERROR(INDEX(사건마스터!$C$5:$C$64,MATCH($F728,사건마스터!$A$5:$A$64,0)),""))</f>
        <v/>
      </c>
      <c r="I728" s="35">
        <f>IF($F728="","",IFERROR(INDEX(사건마스터!$H$5:$H$64,MATCH($F728,사건마스터!$A$5:$A$64,0)),""))</f>
        <v/>
      </c>
      <c r="J728" s="35">
        <f>IF($F728="","",IFERROR(INDEX(사건마스터!$AH$5:$AH$64,MATCH($F728,사건마스터!$A$5:$A$64,0)),""))</f>
        <v/>
      </c>
      <c r="K728" s="35">
        <f>IF($F728="","",IFERROR(INDEX(사건마스터!$AI$5:$AI$64,MATCH($F728,사건마스터!$A$5:$A$64,0)),""))</f>
        <v/>
      </c>
      <c r="L728" s="35">
        <f>IF($F728="","",IFERROR(INDEX(사건마스터!$AJ$5:$AJ$64,MATCH($F728,사건마스터!$A$5:$A$64,0)),""))</f>
        <v/>
      </c>
      <c r="M728" s="35">
        <f>IF($F728="","",IFERROR(INDEX(사건마스터!$AK$5:$AK$64,MATCH($F728,사건마스터!$A$5:$A$64,0)),""))</f>
        <v/>
      </c>
      <c r="N728" s="35">
        <f>IF($F728="","",IFERROR(INDEX(사건마스터!$AL$5:$AL$64,MATCH($F728,사건마스터!$A$5:$A$64,0)),""))</f>
        <v/>
      </c>
      <c r="O728" s="35">
        <f>IF($F728="","",IFERROR(INDEX(사건마스터!$AM$5:$AM$64,MATCH($F728,사건마스터!$A$5:$A$64,0)),""))</f>
        <v/>
      </c>
      <c r="P728" s="35">
        <f>IF($F728="","",IFERROR(INDEX(사건마스터!$AN$5:$AN$64,MATCH($F728,사건마스터!$A$5:$A$64,0)),""))</f>
        <v/>
      </c>
      <c r="Q728" s="35">
        <f>IF($F728="","",IFERROR(INDEX(사건마스터!$AO$5:$AO$64,MATCH($F728,사건마스터!$A$5:$A$64,0)),""))</f>
        <v/>
      </c>
      <c r="R728" s="35">
        <f>IF($F728="","",IFERROR(INDEX(사건마스터!$AP$5:$AP$64,MATCH($F728,사건마스터!$A$5:$A$64,0)),""))</f>
        <v/>
      </c>
      <c r="S728" s="35">
        <f>IF($F728="","",IFERROR(INDEX(사건마스터!$AQ$5:$AQ$64,MATCH($F728,사건마스터!$A$5:$A$64,0)),""))</f>
        <v/>
      </c>
      <c r="T728" s="35">
        <f>IF($F728="","",IFERROR(INDEX(사건마스터!$AR$5:$AR$64,MATCH($F728,사건마스터!$A$5:$A$64,0)),""))</f>
        <v/>
      </c>
      <c r="U728" s="35">
        <f>IF($F728="","",IFERROR(INDEX(사건마스터!$AS$5:$AS$64,MATCH($F728,사건마스터!$A$5:$A$64,0)),""))</f>
        <v/>
      </c>
      <c r="V728" s="35">
        <f>IF($F728="","",IFERROR(INDEX(사건마스터!$AT$5:$AT$64,MATCH($F728,사건마스터!$A$5:$A$64,0)),""))</f>
        <v/>
      </c>
      <c r="W728" s="35">
        <f>IF($F728="","",IFERROR(INDEX(사건마스터!$AU$5:$AU$64,MATCH($F728,사건마스터!$A$5:$A$64,0)),""))</f>
        <v/>
      </c>
      <c r="X728" s="35">
        <f>IF($F728="","",IFERROR(INDEX(사건마스터!$AV$5:$AV$64,MATCH($F728,사건마스터!$A$5:$A$64,0)),""))</f>
        <v/>
      </c>
      <c r="Y728" s="30">
        <f>IF($I728="","",COUNTIF($I728:$X728,"?*"))</f>
        <v/>
      </c>
      <c r="Z728" s="33">
        <f>IF($I728="","",_xlfn.TEXTJOIN(", ",TRUE,$I728:$X728))</f>
        <v/>
      </c>
      <c r="AA728" s="34">
        <f>IF($I728="","",IFERROR(INDEX(코드설정!$D$5:$D$24,MATCH($I728,코드설정!$C$5:$C$24,0)),""))</f>
        <v/>
      </c>
      <c r="AB728" s="36" t="n"/>
      <c r="AC728" s="37" t="n"/>
      <c r="AD728" s="38" t="n"/>
      <c r="AE728" s="30">
        <f>IF(OR($B728="",$C728=""),"",$C728-$B728+1)</f>
        <v/>
      </c>
      <c r="AF728" s="32" t="n"/>
      <c r="AG728" s="36" t="n"/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3">
        <f>IF($F729="","",IFERROR(INDEX(사건마스터!$B$5:$B$64,MATCH($F729,사건마스터!$A$5:$A$64,0)),""))</f>
        <v/>
      </c>
      <c r="H729" s="34">
        <f>IF($F729="","",IFERROR(INDEX(사건마스터!$C$5:$C$64,MATCH($F729,사건마스터!$A$5:$A$64,0)),""))</f>
        <v/>
      </c>
      <c r="I729" s="35">
        <f>IF($F729="","",IFERROR(INDEX(사건마스터!$H$5:$H$64,MATCH($F729,사건마스터!$A$5:$A$64,0)),""))</f>
        <v/>
      </c>
      <c r="J729" s="35">
        <f>IF($F729="","",IFERROR(INDEX(사건마스터!$AH$5:$AH$64,MATCH($F729,사건마스터!$A$5:$A$64,0)),""))</f>
        <v/>
      </c>
      <c r="K729" s="35">
        <f>IF($F729="","",IFERROR(INDEX(사건마스터!$AI$5:$AI$64,MATCH($F729,사건마스터!$A$5:$A$64,0)),""))</f>
        <v/>
      </c>
      <c r="L729" s="35">
        <f>IF($F729="","",IFERROR(INDEX(사건마스터!$AJ$5:$AJ$64,MATCH($F729,사건마스터!$A$5:$A$64,0)),""))</f>
        <v/>
      </c>
      <c r="M729" s="35">
        <f>IF($F729="","",IFERROR(INDEX(사건마스터!$AK$5:$AK$64,MATCH($F729,사건마스터!$A$5:$A$64,0)),""))</f>
        <v/>
      </c>
      <c r="N729" s="35">
        <f>IF($F729="","",IFERROR(INDEX(사건마스터!$AL$5:$AL$64,MATCH($F729,사건마스터!$A$5:$A$64,0)),""))</f>
        <v/>
      </c>
      <c r="O729" s="35">
        <f>IF($F729="","",IFERROR(INDEX(사건마스터!$AM$5:$AM$64,MATCH($F729,사건마스터!$A$5:$A$64,0)),""))</f>
        <v/>
      </c>
      <c r="P729" s="35">
        <f>IF($F729="","",IFERROR(INDEX(사건마스터!$AN$5:$AN$64,MATCH($F729,사건마스터!$A$5:$A$64,0)),""))</f>
        <v/>
      </c>
      <c r="Q729" s="35">
        <f>IF($F729="","",IFERROR(INDEX(사건마스터!$AO$5:$AO$64,MATCH($F729,사건마스터!$A$5:$A$64,0)),""))</f>
        <v/>
      </c>
      <c r="R729" s="35">
        <f>IF($F729="","",IFERROR(INDEX(사건마스터!$AP$5:$AP$64,MATCH($F729,사건마스터!$A$5:$A$64,0)),""))</f>
        <v/>
      </c>
      <c r="S729" s="35">
        <f>IF($F729="","",IFERROR(INDEX(사건마스터!$AQ$5:$AQ$64,MATCH($F729,사건마스터!$A$5:$A$64,0)),""))</f>
        <v/>
      </c>
      <c r="T729" s="35">
        <f>IF($F729="","",IFERROR(INDEX(사건마스터!$AR$5:$AR$64,MATCH($F729,사건마스터!$A$5:$A$64,0)),""))</f>
        <v/>
      </c>
      <c r="U729" s="35">
        <f>IF($F729="","",IFERROR(INDEX(사건마스터!$AS$5:$AS$64,MATCH($F729,사건마스터!$A$5:$A$64,0)),""))</f>
        <v/>
      </c>
      <c r="V729" s="35">
        <f>IF($F729="","",IFERROR(INDEX(사건마스터!$AT$5:$AT$64,MATCH($F729,사건마스터!$A$5:$A$64,0)),""))</f>
        <v/>
      </c>
      <c r="W729" s="35">
        <f>IF($F729="","",IFERROR(INDEX(사건마스터!$AU$5:$AU$64,MATCH($F729,사건마스터!$A$5:$A$64,0)),""))</f>
        <v/>
      </c>
      <c r="X729" s="35">
        <f>IF($F729="","",IFERROR(INDEX(사건마스터!$AV$5:$AV$64,MATCH($F729,사건마스터!$A$5:$A$64,0)),""))</f>
        <v/>
      </c>
      <c r="Y729" s="30">
        <f>IF($I729="","",COUNTIF($I729:$X729,"?*"))</f>
        <v/>
      </c>
      <c r="Z729" s="33">
        <f>IF($I729="","",_xlfn.TEXTJOIN(", ",TRUE,$I729:$X729))</f>
        <v/>
      </c>
      <c r="AA729" s="34">
        <f>IF($I729="","",IFERROR(INDEX(코드설정!$D$5:$D$24,MATCH($I729,코드설정!$C$5:$C$24,0)),""))</f>
        <v/>
      </c>
      <c r="AB729" s="36" t="n"/>
      <c r="AC729" s="37" t="n"/>
      <c r="AD729" s="38" t="n"/>
      <c r="AE729" s="30">
        <f>IF(OR($B729="",$C729=""),"",$C729-$B729+1)</f>
        <v/>
      </c>
      <c r="AF729" s="32" t="n"/>
      <c r="AG729" s="36" t="n"/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3">
        <f>IF($F730="","",IFERROR(INDEX(사건마스터!$B$5:$B$64,MATCH($F730,사건마스터!$A$5:$A$64,0)),""))</f>
        <v/>
      </c>
      <c r="H730" s="34">
        <f>IF($F730="","",IFERROR(INDEX(사건마스터!$C$5:$C$64,MATCH($F730,사건마스터!$A$5:$A$64,0)),""))</f>
        <v/>
      </c>
      <c r="I730" s="35">
        <f>IF($F730="","",IFERROR(INDEX(사건마스터!$H$5:$H$64,MATCH($F730,사건마스터!$A$5:$A$64,0)),""))</f>
        <v/>
      </c>
      <c r="J730" s="35">
        <f>IF($F730="","",IFERROR(INDEX(사건마스터!$AH$5:$AH$64,MATCH($F730,사건마스터!$A$5:$A$64,0)),""))</f>
        <v/>
      </c>
      <c r="K730" s="35">
        <f>IF($F730="","",IFERROR(INDEX(사건마스터!$AI$5:$AI$64,MATCH($F730,사건마스터!$A$5:$A$64,0)),""))</f>
        <v/>
      </c>
      <c r="L730" s="35">
        <f>IF($F730="","",IFERROR(INDEX(사건마스터!$AJ$5:$AJ$64,MATCH($F730,사건마스터!$A$5:$A$64,0)),""))</f>
        <v/>
      </c>
      <c r="M730" s="35">
        <f>IF($F730="","",IFERROR(INDEX(사건마스터!$AK$5:$AK$64,MATCH($F730,사건마스터!$A$5:$A$64,0)),""))</f>
        <v/>
      </c>
      <c r="N730" s="35">
        <f>IF($F730="","",IFERROR(INDEX(사건마스터!$AL$5:$AL$64,MATCH($F730,사건마스터!$A$5:$A$64,0)),""))</f>
        <v/>
      </c>
      <c r="O730" s="35">
        <f>IF($F730="","",IFERROR(INDEX(사건마스터!$AM$5:$AM$64,MATCH($F730,사건마스터!$A$5:$A$64,0)),""))</f>
        <v/>
      </c>
      <c r="P730" s="35">
        <f>IF($F730="","",IFERROR(INDEX(사건마스터!$AN$5:$AN$64,MATCH($F730,사건마스터!$A$5:$A$64,0)),""))</f>
        <v/>
      </c>
      <c r="Q730" s="35">
        <f>IF($F730="","",IFERROR(INDEX(사건마스터!$AO$5:$AO$64,MATCH($F730,사건마스터!$A$5:$A$64,0)),""))</f>
        <v/>
      </c>
      <c r="R730" s="35">
        <f>IF($F730="","",IFERROR(INDEX(사건마스터!$AP$5:$AP$64,MATCH($F730,사건마스터!$A$5:$A$64,0)),""))</f>
        <v/>
      </c>
      <c r="S730" s="35">
        <f>IF($F730="","",IFERROR(INDEX(사건마스터!$AQ$5:$AQ$64,MATCH($F730,사건마스터!$A$5:$A$64,0)),""))</f>
        <v/>
      </c>
      <c r="T730" s="35">
        <f>IF($F730="","",IFERROR(INDEX(사건마스터!$AR$5:$AR$64,MATCH($F730,사건마스터!$A$5:$A$64,0)),""))</f>
        <v/>
      </c>
      <c r="U730" s="35">
        <f>IF($F730="","",IFERROR(INDEX(사건마스터!$AS$5:$AS$64,MATCH($F730,사건마스터!$A$5:$A$64,0)),""))</f>
        <v/>
      </c>
      <c r="V730" s="35">
        <f>IF($F730="","",IFERROR(INDEX(사건마스터!$AT$5:$AT$64,MATCH($F730,사건마스터!$A$5:$A$64,0)),""))</f>
        <v/>
      </c>
      <c r="W730" s="35">
        <f>IF($F730="","",IFERROR(INDEX(사건마스터!$AU$5:$AU$64,MATCH($F730,사건마스터!$A$5:$A$64,0)),""))</f>
        <v/>
      </c>
      <c r="X730" s="35">
        <f>IF($F730="","",IFERROR(INDEX(사건마스터!$AV$5:$AV$64,MATCH($F730,사건마스터!$A$5:$A$64,0)),""))</f>
        <v/>
      </c>
      <c r="Y730" s="30">
        <f>IF($I730="","",COUNTIF($I730:$X730,"?*"))</f>
        <v/>
      </c>
      <c r="Z730" s="33">
        <f>IF($I730="","",_xlfn.TEXTJOIN(", ",TRUE,$I730:$X730))</f>
        <v/>
      </c>
      <c r="AA730" s="34">
        <f>IF($I730="","",IFERROR(INDEX(코드설정!$D$5:$D$24,MATCH($I730,코드설정!$C$5:$C$24,0)),""))</f>
        <v/>
      </c>
      <c r="AB730" s="36" t="n"/>
      <c r="AC730" s="37" t="n"/>
      <c r="AD730" s="38" t="n"/>
      <c r="AE730" s="30">
        <f>IF(OR($B730="",$C730=""),"",$C730-$B730+1)</f>
        <v/>
      </c>
      <c r="AF730" s="32" t="n"/>
      <c r="AG730" s="36" t="n"/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3">
        <f>IF($F731="","",IFERROR(INDEX(사건마스터!$B$5:$B$64,MATCH($F731,사건마스터!$A$5:$A$64,0)),""))</f>
        <v/>
      </c>
      <c r="H731" s="34">
        <f>IF($F731="","",IFERROR(INDEX(사건마스터!$C$5:$C$64,MATCH($F731,사건마스터!$A$5:$A$64,0)),""))</f>
        <v/>
      </c>
      <c r="I731" s="35">
        <f>IF($F731="","",IFERROR(INDEX(사건마스터!$H$5:$H$64,MATCH($F731,사건마스터!$A$5:$A$64,0)),""))</f>
        <v/>
      </c>
      <c r="J731" s="35">
        <f>IF($F731="","",IFERROR(INDEX(사건마스터!$AH$5:$AH$64,MATCH($F731,사건마스터!$A$5:$A$64,0)),""))</f>
        <v/>
      </c>
      <c r="K731" s="35">
        <f>IF($F731="","",IFERROR(INDEX(사건마스터!$AI$5:$AI$64,MATCH($F731,사건마스터!$A$5:$A$64,0)),""))</f>
        <v/>
      </c>
      <c r="L731" s="35">
        <f>IF($F731="","",IFERROR(INDEX(사건마스터!$AJ$5:$AJ$64,MATCH($F731,사건마스터!$A$5:$A$64,0)),""))</f>
        <v/>
      </c>
      <c r="M731" s="35">
        <f>IF($F731="","",IFERROR(INDEX(사건마스터!$AK$5:$AK$64,MATCH($F731,사건마스터!$A$5:$A$64,0)),""))</f>
        <v/>
      </c>
      <c r="N731" s="35">
        <f>IF($F731="","",IFERROR(INDEX(사건마스터!$AL$5:$AL$64,MATCH($F731,사건마스터!$A$5:$A$64,0)),""))</f>
        <v/>
      </c>
      <c r="O731" s="35">
        <f>IF($F731="","",IFERROR(INDEX(사건마스터!$AM$5:$AM$64,MATCH($F731,사건마스터!$A$5:$A$64,0)),""))</f>
        <v/>
      </c>
      <c r="P731" s="35">
        <f>IF($F731="","",IFERROR(INDEX(사건마스터!$AN$5:$AN$64,MATCH($F731,사건마스터!$A$5:$A$64,0)),""))</f>
        <v/>
      </c>
      <c r="Q731" s="35">
        <f>IF($F731="","",IFERROR(INDEX(사건마스터!$AO$5:$AO$64,MATCH($F731,사건마스터!$A$5:$A$64,0)),""))</f>
        <v/>
      </c>
      <c r="R731" s="35">
        <f>IF($F731="","",IFERROR(INDEX(사건마스터!$AP$5:$AP$64,MATCH($F731,사건마스터!$A$5:$A$64,0)),""))</f>
        <v/>
      </c>
      <c r="S731" s="35">
        <f>IF($F731="","",IFERROR(INDEX(사건마스터!$AQ$5:$AQ$64,MATCH($F731,사건마스터!$A$5:$A$64,0)),""))</f>
        <v/>
      </c>
      <c r="T731" s="35">
        <f>IF($F731="","",IFERROR(INDEX(사건마스터!$AR$5:$AR$64,MATCH($F731,사건마스터!$A$5:$A$64,0)),""))</f>
        <v/>
      </c>
      <c r="U731" s="35">
        <f>IF($F731="","",IFERROR(INDEX(사건마스터!$AS$5:$AS$64,MATCH($F731,사건마스터!$A$5:$A$64,0)),""))</f>
        <v/>
      </c>
      <c r="V731" s="35">
        <f>IF($F731="","",IFERROR(INDEX(사건마스터!$AT$5:$AT$64,MATCH($F731,사건마스터!$A$5:$A$64,0)),""))</f>
        <v/>
      </c>
      <c r="W731" s="35">
        <f>IF($F731="","",IFERROR(INDEX(사건마스터!$AU$5:$AU$64,MATCH($F731,사건마스터!$A$5:$A$64,0)),""))</f>
        <v/>
      </c>
      <c r="X731" s="35">
        <f>IF($F731="","",IFERROR(INDEX(사건마스터!$AV$5:$AV$64,MATCH($F731,사건마스터!$A$5:$A$64,0)),""))</f>
        <v/>
      </c>
      <c r="Y731" s="30">
        <f>IF($I731="","",COUNTIF($I731:$X731,"?*"))</f>
        <v/>
      </c>
      <c r="Z731" s="33">
        <f>IF($I731="","",_xlfn.TEXTJOIN(", ",TRUE,$I731:$X731))</f>
        <v/>
      </c>
      <c r="AA731" s="34">
        <f>IF($I731="","",IFERROR(INDEX(코드설정!$D$5:$D$24,MATCH($I731,코드설정!$C$5:$C$24,0)),""))</f>
        <v/>
      </c>
      <c r="AB731" s="36" t="n"/>
      <c r="AC731" s="37" t="n"/>
      <c r="AD731" s="38" t="n"/>
      <c r="AE731" s="30">
        <f>IF(OR($B731="",$C731=""),"",$C731-$B731+1)</f>
        <v/>
      </c>
      <c r="AF731" s="32" t="n"/>
      <c r="AG731" s="36" t="n"/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3">
        <f>IF($F732="","",IFERROR(INDEX(사건마스터!$B$5:$B$64,MATCH($F732,사건마스터!$A$5:$A$64,0)),""))</f>
        <v/>
      </c>
      <c r="H732" s="34">
        <f>IF($F732="","",IFERROR(INDEX(사건마스터!$C$5:$C$64,MATCH($F732,사건마스터!$A$5:$A$64,0)),""))</f>
        <v/>
      </c>
      <c r="I732" s="35">
        <f>IF($F732="","",IFERROR(INDEX(사건마스터!$H$5:$H$64,MATCH($F732,사건마스터!$A$5:$A$64,0)),""))</f>
        <v/>
      </c>
      <c r="J732" s="35">
        <f>IF($F732="","",IFERROR(INDEX(사건마스터!$AH$5:$AH$64,MATCH($F732,사건마스터!$A$5:$A$64,0)),""))</f>
        <v/>
      </c>
      <c r="K732" s="35">
        <f>IF($F732="","",IFERROR(INDEX(사건마스터!$AI$5:$AI$64,MATCH($F732,사건마스터!$A$5:$A$64,0)),""))</f>
        <v/>
      </c>
      <c r="L732" s="35">
        <f>IF($F732="","",IFERROR(INDEX(사건마스터!$AJ$5:$AJ$64,MATCH($F732,사건마스터!$A$5:$A$64,0)),""))</f>
        <v/>
      </c>
      <c r="M732" s="35">
        <f>IF($F732="","",IFERROR(INDEX(사건마스터!$AK$5:$AK$64,MATCH($F732,사건마스터!$A$5:$A$64,0)),""))</f>
        <v/>
      </c>
      <c r="N732" s="35">
        <f>IF($F732="","",IFERROR(INDEX(사건마스터!$AL$5:$AL$64,MATCH($F732,사건마스터!$A$5:$A$64,0)),""))</f>
        <v/>
      </c>
      <c r="O732" s="35">
        <f>IF($F732="","",IFERROR(INDEX(사건마스터!$AM$5:$AM$64,MATCH($F732,사건마스터!$A$5:$A$64,0)),""))</f>
        <v/>
      </c>
      <c r="P732" s="35">
        <f>IF($F732="","",IFERROR(INDEX(사건마스터!$AN$5:$AN$64,MATCH($F732,사건마스터!$A$5:$A$64,0)),""))</f>
        <v/>
      </c>
      <c r="Q732" s="35">
        <f>IF($F732="","",IFERROR(INDEX(사건마스터!$AO$5:$AO$64,MATCH($F732,사건마스터!$A$5:$A$64,0)),""))</f>
        <v/>
      </c>
      <c r="R732" s="35">
        <f>IF($F732="","",IFERROR(INDEX(사건마스터!$AP$5:$AP$64,MATCH($F732,사건마스터!$A$5:$A$64,0)),""))</f>
        <v/>
      </c>
      <c r="S732" s="35">
        <f>IF($F732="","",IFERROR(INDEX(사건마스터!$AQ$5:$AQ$64,MATCH($F732,사건마스터!$A$5:$A$64,0)),""))</f>
        <v/>
      </c>
      <c r="T732" s="35">
        <f>IF($F732="","",IFERROR(INDEX(사건마스터!$AR$5:$AR$64,MATCH($F732,사건마스터!$A$5:$A$64,0)),""))</f>
        <v/>
      </c>
      <c r="U732" s="35">
        <f>IF($F732="","",IFERROR(INDEX(사건마스터!$AS$5:$AS$64,MATCH($F732,사건마스터!$A$5:$A$64,0)),""))</f>
        <v/>
      </c>
      <c r="V732" s="35">
        <f>IF($F732="","",IFERROR(INDEX(사건마스터!$AT$5:$AT$64,MATCH($F732,사건마스터!$A$5:$A$64,0)),""))</f>
        <v/>
      </c>
      <c r="W732" s="35">
        <f>IF($F732="","",IFERROR(INDEX(사건마스터!$AU$5:$AU$64,MATCH($F732,사건마스터!$A$5:$A$64,0)),""))</f>
        <v/>
      </c>
      <c r="X732" s="35">
        <f>IF($F732="","",IFERROR(INDEX(사건마스터!$AV$5:$AV$64,MATCH($F732,사건마스터!$A$5:$A$64,0)),""))</f>
        <v/>
      </c>
      <c r="Y732" s="30">
        <f>IF($I732="","",COUNTIF($I732:$X732,"?*"))</f>
        <v/>
      </c>
      <c r="Z732" s="33">
        <f>IF($I732="","",_xlfn.TEXTJOIN(", ",TRUE,$I732:$X732))</f>
        <v/>
      </c>
      <c r="AA732" s="34">
        <f>IF($I732="","",IFERROR(INDEX(코드설정!$D$5:$D$24,MATCH($I732,코드설정!$C$5:$C$24,0)),""))</f>
        <v/>
      </c>
      <c r="AB732" s="36" t="n"/>
      <c r="AC732" s="37" t="n"/>
      <c r="AD732" s="38" t="n"/>
      <c r="AE732" s="30">
        <f>IF(OR($B732="",$C732=""),"",$C732-$B732+1)</f>
        <v/>
      </c>
      <c r="AF732" s="32" t="n"/>
      <c r="AG732" s="36" t="n"/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3">
        <f>IF($F733="","",IFERROR(INDEX(사건마스터!$B$5:$B$64,MATCH($F733,사건마스터!$A$5:$A$64,0)),""))</f>
        <v/>
      </c>
      <c r="H733" s="34">
        <f>IF($F733="","",IFERROR(INDEX(사건마스터!$C$5:$C$64,MATCH($F733,사건마스터!$A$5:$A$64,0)),""))</f>
        <v/>
      </c>
      <c r="I733" s="35">
        <f>IF($F733="","",IFERROR(INDEX(사건마스터!$H$5:$H$64,MATCH($F733,사건마스터!$A$5:$A$64,0)),""))</f>
        <v/>
      </c>
      <c r="J733" s="35">
        <f>IF($F733="","",IFERROR(INDEX(사건마스터!$AH$5:$AH$64,MATCH($F733,사건마스터!$A$5:$A$64,0)),""))</f>
        <v/>
      </c>
      <c r="K733" s="35">
        <f>IF($F733="","",IFERROR(INDEX(사건마스터!$AI$5:$AI$64,MATCH($F733,사건마스터!$A$5:$A$64,0)),""))</f>
        <v/>
      </c>
      <c r="L733" s="35">
        <f>IF($F733="","",IFERROR(INDEX(사건마스터!$AJ$5:$AJ$64,MATCH($F733,사건마스터!$A$5:$A$64,0)),""))</f>
        <v/>
      </c>
      <c r="M733" s="35">
        <f>IF($F733="","",IFERROR(INDEX(사건마스터!$AK$5:$AK$64,MATCH($F733,사건마스터!$A$5:$A$64,0)),""))</f>
        <v/>
      </c>
      <c r="N733" s="35">
        <f>IF($F733="","",IFERROR(INDEX(사건마스터!$AL$5:$AL$64,MATCH($F733,사건마스터!$A$5:$A$64,0)),""))</f>
        <v/>
      </c>
      <c r="O733" s="35">
        <f>IF($F733="","",IFERROR(INDEX(사건마스터!$AM$5:$AM$64,MATCH($F733,사건마스터!$A$5:$A$64,0)),""))</f>
        <v/>
      </c>
      <c r="P733" s="35">
        <f>IF($F733="","",IFERROR(INDEX(사건마스터!$AN$5:$AN$64,MATCH($F733,사건마스터!$A$5:$A$64,0)),""))</f>
        <v/>
      </c>
      <c r="Q733" s="35">
        <f>IF($F733="","",IFERROR(INDEX(사건마스터!$AO$5:$AO$64,MATCH($F733,사건마스터!$A$5:$A$64,0)),""))</f>
        <v/>
      </c>
      <c r="R733" s="35">
        <f>IF($F733="","",IFERROR(INDEX(사건마스터!$AP$5:$AP$64,MATCH($F733,사건마스터!$A$5:$A$64,0)),""))</f>
        <v/>
      </c>
      <c r="S733" s="35">
        <f>IF($F733="","",IFERROR(INDEX(사건마스터!$AQ$5:$AQ$64,MATCH($F733,사건마스터!$A$5:$A$64,0)),""))</f>
        <v/>
      </c>
      <c r="T733" s="35">
        <f>IF($F733="","",IFERROR(INDEX(사건마스터!$AR$5:$AR$64,MATCH($F733,사건마스터!$A$5:$A$64,0)),""))</f>
        <v/>
      </c>
      <c r="U733" s="35">
        <f>IF($F733="","",IFERROR(INDEX(사건마스터!$AS$5:$AS$64,MATCH($F733,사건마스터!$A$5:$A$64,0)),""))</f>
        <v/>
      </c>
      <c r="V733" s="35">
        <f>IF($F733="","",IFERROR(INDEX(사건마스터!$AT$5:$AT$64,MATCH($F733,사건마스터!$A$5:$A$64,0)),""))</f>
        <v/>
      </c>
      <c r="W733" s="35">
        <f>IF($F733="","",IFERROR(INDEX(사건마스터!$AU$5:$AU$64,MATCH($F733,사건마스터!$A$5:$A$64,0)),""))</f>
        <v/>
      </c>
      <c r="X733" s="35">
        <f>IF($F733="","",IFERROR(INDEX(사건마스터!$AV$5:$AV$64,MATCH($F733,사건마스터!$A$5:$A$64,0)),""))</f>
        <v/>
      </c>
      <c r="Y733" s="30">
        <f>IF($I733="","",COUNTIF($I733:$X733,"?*"))</f>
        <v/>
      </c>
      <c r="Z733" s="33">
        <f>IF($I733="","",_xlfn.TEXTJOIN(", ",TRUE,$I733:$X733))</f>
        <v/>
      </c>
      <c r="AA733" s="34">
        <f>IF($I733="","",IFERROR(INDEX(코드설정!$D$5:$D$24,MATCH($I733,코드설정!$C$5:$C$24,0)),""))</f>
        <v/>
      </c>
      <c r="AB733" s="36" t="n"/>
      <c r="AC733" s="37" t="n"/>
      <c r="AD733" s="38" t="n"/>
      <c r="AE733" s="30">
        <f>IF(OR($B733="",$C733=""),"",$C733-$B733+1)</f>
        <v/>
      </c>
      <c r="AF733" s="32" t="n"/>
      <c r="AG733" s="36" t="n"/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3">
        <f>IF($F734="","",IFERROR(INDEX(사건마스터!$B$5:$B$64,MATCH($F734,사건마스터!$A$5:$A$64,0)),""))</f>
        <v/>
      </c>
      <c r="H734" s="34">
        <f>IF($F734="","",IFERROR(INDEX(사건마스터!$C$5:$C$64,MATCH($F734,사건마스터!$A$5:$A$64,0)),""))</f>
        <v/>
      </c>
      <c r="I734" s="35">
        <f>IF($F734="","",IFERROR(INDEX(사건마스터!$H$5:$H$64,MATCH($F734,사건마스터!$A$5:$A$64,0)),""))</f>
        <v/>
      </c>
      <c r="J734" s="35">
        <f>IF($F734="","",IFERROR(INDEX(사건마스터!$AH$5:$AH$64,MATCH($F734,사건마스터!$A$5:$A$64,0)),""))</f>
        <v/>
      </c>
      <c r="K734" s="35">
        <f>IF($F734="","",IFERROR(INDEX(사건마스터!$AI$5:$AI$64,MATCH($F734,사건마스터!$A$5:$A$64,0)),""))</f>
        <v/>
      </c>
      <c r="L734" s="35">
        <f>IF($F734="","",IFERROR(INDEX(사건마스터!$AJ$5:$AJ$64,MATCH($F734,사건마스터!$A$5:$A$64,0)),""))</f>
        <v/>
      </c>
      <c r="M734" s="35">
        <f>IF($F734="","",IFERROR(INDEX(사건마스터!$AK$5:$AK$64,MATCH($F734,사건마스터!$A$5:$A$64,0)),""))</f>
        <v/>
      </c>
      <c r="N734" s="35">
        <f>IF($F734="","",IFERROR(INDEX(사건마스터!$AL$5:$AL$64,MATCH($F734,사건마스터!$A$5:$A$64,0)),""))</f>
        <v/>
      </c>
      <c r="O734" s="35">
        <f>IF($F734="","",IFERROR(INDEX(사건마스터!$AM$5:$AM$64,MATCH($F734,사건마스터!$A$5:$A$64,0)),""))</f>
        <v/>
      </c>
      <c r="P734" s="35">
        <f>IF($F734="","",IFERROR(INDEX(사건마스터!$AN$5:$AN$64,MATCH($F734,사건마스터!$A$5:$A$64,0)),""))</f>
        <v/>
      </c>
      <c r="Q734" s="35">
        <f>IF($F734="","",IFERROR(INDEX(사건마스터!$AO$5:$AO$64,MATCH($F734,사건마스터!$A$5:$A$64,0)),""))</f>
        <v/>
      </c>
      <c r="R734" s="35">
        <f>IF($F734="","",IFERROR(INDEX(사건마스터!$AP$5:$AP$64,MATCH($F734,사건마스터!$A$5:$A$64,0)),""))</f>
        <v/>
      </c>
      <c r="S734" s="35">
        <f>IF($F734="","",IFERROR(INDEX(사건마스터!$AQ$5:$AQ$64,MATCH($F734,사건마스터!$A$5:$A$64,0)),""))</f>
        <v/>
      </c>
      <c r="T734" s="35">
        <f>IF($F734="","",IFERROR(INDEX(사건마스터!$AR$5:$AR$64,MATCH($F734,사건마스터!$A$5:$A$64,0)),""))</f>
        <v/>
      </c>
      <c r="U734" s="35">
        <f>IF($F734="","",IFERROR(INDEX(사건마스터!$AS$5:$AS$64,MATCH($F734,사건마스터!$A$5:$A$64,0)),""))</f>
        <v/>
      </c>
      <c r="V734" s="35">
        <f>IF($F734="","",IFERROR(INDEX(사건마스터!$AT$5:$AT$64,MATCH($F734,사건마스터!$A$5:$A$64,0)),""))</f>
        <v/>
      </c>
      <c r="W734" s="35">
        <f>IF($F734="","",IFERROR(INDEX(사건마스터!$AU$5:$AU$64,MATCH($F734,사건마스터!$A$5:$A$64,0)),""))</f>
        <v/>
      </c>
      <c r="X734" s="35">
        <f>IF($F734="","",IFERROR(INDEX(사건마스터!$AV$5:$AV$64,MATCH($F734,사건마스터!$A$5:$A$64,0)),""))</f>
        <v/>
      </c>
      <c r="Y734" s="30">
        <f>IF($I734="","",COUNTIF($I734:$X734,"?*"))</f>
        <v/>
      </c>
      <c r="Z734" s="33">
        <f>IF($I734="","",_xlfn.TEXTJOIN(", ",TRUE,$I734:$X734))</f>
        <v/>
      </c>
      <c r="AA734" s="34">
        <f>IF($I734="","",IFERROR(INDEX(코드설정!$D$5:$D$24,MATCH($I734,코드설정!$C$5:$C$24,0)),""))</f>
        <v/>
      </c>
      <c r="AB734" s="36" t="n"/>
      <c r="AC734" s="37" t="n"/>
      <c r="AD734" s="38" t="n"/>
      <c r="AE734" s="30">
        <f>IF(OR($B734="",$C734=""),"",$C734-$B734+1)</f>
        <v/>
      </c>
      <c r="AF734" s="32" t="n"/>
      <c r="AG734" s="36" t="n"/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3">
        <f>IF($F735="","",IFERROR(INDEX(사건마스터!$B$5:$B$64,MATCH($F735,사건마스터!$A$5:$A$64,0)),""))</f>
        <v/>
      </c>
      <c r="H735" s="34">
        <f>IF($F735="","",IFERROR(INDEX(사건마스터!$C$5:$C$64,MATCH($F735,사건마스터!$A$5:$A$64,0)),""))</f>
        <v/>
      </c>
      <c r="I735" s="35">
        <f>IF($F735="","",IFERROR(INDEX(사건마스터!$H$5:$H$64,MATCH($F735,사건마스터!$A$5:$A$64,0)),""))</f>
        <v/>
      </c>
      <c r="J735" s="35">
        <f>IF($F735="","",IFERROR(INDEX(사건마스터!$AH$5:$AH$64,MATCH($F735,사건마스터!$A$5:$A$64,0)),""))</f>
        <v/>
      </c>
      <c r="K735" s="35">
        <f>IF($F735="","",IFERROR(INDEX(사건마스터!$AI$5:$AI$64,MATCH($F735,사건마스터!$A$5:$A$64,0)),""))</f>
        <v/>
      </c>
      <c r="L735" s="35">
        <f>IF($F735="","",IFERROR(INDEX(사건마스터!$AJ$5:$AJ$64,MATCH($F735,사건마스터!$A$5:$A$64,0)),""))</f>
        <v/>
      </c>
      <c r="M735" s="35">
        <f>IF($F735="","",IFERROR(INDEX(사건마스터!$AK$5:$AK$64,MATCH($F735,사건마스터!$A$5:$A$64,0)),""))</f>
        <v/>
      </c>
      <c r="N735" s="35">
        <f>IF($F735="","",IFERROR(INDEX(사건마스터!$AL$5:$AL$64,MATCH($F735,사건마스터!$A$5:$A$64,0)),""))</f>
        <v/>
      </c>
      <c r="O735" s="35">
        <f>IF($F735="","",IFERROR(INDEX(사건마스터!$AM$5:$AM$64,MATCH($F735,사건마스터!$A$5:$A$64,0)),""))</f>
        <v/>
      </c>
      <c r="P735" s="35">
        <f>IF($F735="","",IFERROR(INDEX(사건마스터!$AN$5:$AN$64,MATCH($F735,사건마스터!$A$5:$A$64,0)),""))</f>
        <v/>
      </c>
      <c r="Q735" s="35">
        <f>IF($F735="","",IFERROR(INDEX(사건마스터!$AO$5:$AO$64,MATCH($F735,사건마스터!$A$5:$A$64,0)),""))</f>
        <v/>
      </c>
      <c r="R735" s="35">
        <f>IF($F735="","",IFERROR(INDEX(사건마스터!$AP$5:$AP$64,MATCH($F735,사건마스터!$A$5:$A$64,0)),""))</f>
        <v/>
      </c>
      <c r="S735" s="35">
        <f>IF($F735="","",IFERROR(INDEX(사건마스터!$AQ$5:$AQ$64,MATCH($F735,사건마스터!$A$5:$A$64,0)),""))</f>
        <v/>
      </c>
      <c r="T735" s="35">
        <f>IF($F735="","",IFERROR(INDEX(사건마스터!$AR$5:$AR$64,MATCH($F735,사건마스터!$A$5:$A$64,0)),""))</f>
        <v/>
      </c>
      <c r="U735" s="35">
        <f>IF($F735="","",IFERROR(INDEX(사건마스터!$AS$5:$AS$64,MATCH($F735,사건마스터!$A$5:$A$64,0)),""))</f>
        <v/>
      </c>
      <c r="V735" s="35">
        <f>IF($F735="","",IFERROR(INDEX(사건마스터!$AT$5:$AT$64,MATCH($F735,사건마스터!$A$5:$A$64,0)),""))</f>
        <v/>
      </c>
      <c r="W735" s="35">
        <f>IF($F735="","",IFERROR(INDEX(사건마스터!$AU$5:$AU$64,MATCH($F735,사건마스터!$A$5:$A$64,0)),""))</f>
        <v/>
      </c>
      <c r="X735" s="35">
        <f>IF($F735="","",IFERROR(INDEX(사건마스터!$AV$5:$AV$64,MATCH($F735,사건마스터!$A$5:$A$64,0)),""))</f>
        <v/>
      </c>
      <c r="Y735" s="30">
        <f>IF($I735="","",COUNTIF($I735:$X735,"?*"))</f>
        <v/>
      </c>
      <c r="Z735" s="33">
        <f>IF($I735="","",_xlfn.TEXTJOIN(", ",TRUE,$I735:$X735))</f>
        <v/>
      </c>
      <c r="AA735" s="34">
        <f>IF($I735="","",IFERROR(INDEX(코드설정!$D$5:$D$24,MATCH($I735,코드설정!$C$5:$C$24,0)),""))</f>
        <v/>
      </c>
      <c r="AB735" s="36" t="n"/>
      <c r="AC735" s="37" t="n"/>
      <c r="AD735" s="38" t="n"/>
      <c r="AE735" s="30">
        <f>IF(OR($B735="",$C735=""),"",$C735-$B735+1)</f>
        <v/>
      </c>
      <c r="AF735" s="32" t="n"/>
      <c r="AG735" s="36" t="n"/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3">
        <f>IF($F736="","",IFERROR(INDEX(사건마스터!$B$5:$B$64,MATCH($F736,사건마스터!$A$5:$A$64,0)),""))</f>
        <v/>
      </c>
      <c r="H736" s="34">
        <f>IF($F736="","",IFERROR(INDEX(사건마스터!$C$5:$C$64,MATCH($F736,사건마스터!$A$5:$A$64,0)),""))</f>
        <v/>
      </c>
      <c r="I736" s="35">
        <f>IF($F736="","",IFERROR(INDEX(사건마스터!$H$5:$H$64,MATCH($F736,사건마스터!$A$5:$A$64,0)),""))</f>
        <v/>
      </c>
      <c r="J736" s="35">
        <f>IF($F736="","",IFERROR(INDEX(사건마스터!$AH$5:$AH$64,MATCH($F736,사건마스터!$A$5:$A$64,0)),""))</f>
        <v/>
      </c>
      <c r="K736" s="35">
        <f>IF($F736="","",IFERROR(INDEX(사건마스터!$AI$5:$AI$64,MATCH($F736,사건마스터!$A$5:$A$64,0)),""))</f>
        <v/>
      </c>
      <c r="L736" s="35">
        <f>IF($F736="","",IFERROR(INDEX(사건마스터!$AJ$5:$AJ$64,MATCH($F736,사건마스터!$A$5:$A$64,0)),""))</f>
        <v/>
      </c>
      <c r="M736" s="35">
        <f>IF($F736="","",IFERROR(INDEX(사건마스터!$AK$5:$AK$64,MATCH($F736,사건마스터!$A$5:$A$64,0)),""))</f>
        <v/>
      </c>
      <c r="N736" s="35">
        <f>IF($F736="","",IFERROR(INDEX(사건마스터!$AL$5:$AL$64,MATCH($F736,사건마스터!$A$5:$A$64,0)),""))</f>
        <v/>
      </c>
      <c r="O736" s="35">
        <f>IF($F736="","",IFERROR(INDEX(사건마스터!$AM$5:$AM$64,MATCH($F736,사건마스터!$A$5:$A$64,0)),""))</f>
        <v/>
      </c>
      <c r="P736" s="35">
        <f>IF($F736="","",IFERROR(INDEX(사건마스터!$AN$5:$AN$64,MATCH($F736,사건마스터!$A$5:$A$64,0)),""))</f>
        <v/>
      </c>
      <c r="Q736" s="35">
        <f>IF($F736="","",IFERROR(INDEX(사건마스터!$AO$5:$AO$64,MATCH($F736,사건마스터!$A$5:$A$64,0)),""))</f>
        <v/>
      </c>
      <c r="R736" s="35">
        <f>IF($F736="","",IFERROR(INDEX(사건마스터!$AP$5:$AP$64,MATCH($F736,사건마스터!$A$5:$A$64,0)),""))</f>
        <v/>
      </c>
      <c r="S736" s="35">
        <f>IF($F736="","",IFERROR(INDEX(사건마스터!$AQ$5:$AQ$64,MATCH($F736,사건마스터!$A$5:$A$64,0)),""))</f>
        <v/>
      </c>
      <c r="T736" s="35">
        <f>IF($F736="","",IFERROR(INDEX(사건마스터!$AR$5:$AR$64,MATCH($F736,사건마스터!$A$5:$A$64,0)),""))</f>
        <v/>
      </c>
      <c r="U736" s="35">
        <f>IF($F736="","",IFERROR(INDEX(사건마스터!$AS$5:$AS$64,MATCH($F736,사건마스터!$A$5:$A$64,0)),""))</f>
        <v/>
      </c>
      <c r="V736" s="35">
        <f>IF($F736="","",IFERROR(INDEX(사건마스터!$AT$5:$AT$64,MATCH($F736,사건마스터!$A$5:$A$64,0)),""))</f>
        <v/>
      </c>
      <c r="W736" s="35">
        <f>IF($F736="","",IFERROR(INDEX(사건마스터!$AU$5:$AU$64,MATCH($F736,사건마스터!$A$5:$A$64,0)),""))</f>
        <v/>
      </c>
      <c r="X736" s="35">
        <f>IF($F736="","",IFERROR(INDEX(사건마스터!$AV$5:$AV$64,MATCH($F736,사건마스터!$A$5:$A$64,0)),""))</f>
        <v/>
      </c>
      <c r="Y736" s="30">
        <f>IF($I736="","",COUNTIF($I736:$X736,"?*"))</f>
        <v/>
      </c>
      <c r="Z736" s="33">
        <f>IF($I736="","",_xlfn.TEXTJOIN(", ",TRUE,$I736:$X736))</f>
        <v/>
      </c>
      <c r="AA736" s="34">
        <f>IF($I736="","",IFERROR(INDEX(코드설정!$D$5:$D$24,MATCH($I736,코드설정!$C$5:$C$24,0)),""))</f>
        <v/>
      </c>
      <c r="AB736" s="36" t="n"/>
      <c r="AC736" s="37" t="n"/>
      <c r="AD736" s="38" t="n"/>
      <c r="AE736" s="30">
        <f>IF(OR($B736="",$C736=""),"",$C736-$B736+1)</f>
        <v/>
      </c>
      <c r="AF736" s="32" t="n"/>
      <c r="AG736" s="36" t="n"/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3">
        <f>IF($F737="","",IFERROR(INDEX(사건마스터!$B$5:$B$64,MATCH($F737,사건마스터!$A$5:$A$64,0)),""))</f>
        <v/>
      </c>
      <c r="H737" s="34">
        <f>IF($F737="","",IFERROR(INDEX(사건마스터!$C$5:$C$64,MATCH($F737,사건마스터!$A$5:$A$64,0)),""))</f>
        <v/>
      </c>
      <c r="I737" s="35">
        <f>IF($F737="","",IFERROR(INDEX(사건마스터!$H$5:$H$64,MATCH($F737,사건마스터!$A$5:$A$64,0)),""))</f>
        <v/>
      </c>
      <c r="J737" s="35">
        <f>IF($F737="","",IFERROR(INDEX(사건마스터!$AH$5:$AH$64,MATCH($F737,사건마스터!$A$5:$A$64,0)),""))</f>
        <v/>
      </c>
      <c r="K737" s="35">
        <f>IF($F737="","",IFERROR(INDEX(사건마스터!$AI$5:$AI$64,MATCH($F737,사건마스터!$A$5:$A$64,0)),""))</f>
        <v/>
      </c>
      <c r="L737" s="35">
        <f>IF($F737="","",IFERROR(INDEX(사건마스터!$AJ$5:$AJ$64,MATCH($F737,사건마스터!$A$5:$A$64,0)),""))</f>
        <v/>
      </c>
      <c r="M737" s="35">
        <f>IF($F737="","",IFERROR(INDEX(사건마스터!$AK$5:$AK$64,MATCH($F737,사건마스터!$A$5:$A$64,0)),""))</f>
        <v/>
      </c>
      <c r="N737" s="35">
        <f>IF($F737="","",IFERROR(INDEX(사건마스터!$AL$5:$AL$64,MATCH($F737,사건마스터!$A$5:$A$64,0)),""))</f>
        <v/>
      </c>
      <c r="O737" s="35">
        <f>IF($F737="","",IFERROR(INDEX(사건마스터!$AM$5:$AM$64,MATCH($F737,사건마스터!$A$5:$A$64,0)),""))</f>
        <v/>
      </c>
      <c r="P737" s="35">
        <f>IF($F737="","",IFERROR(INDEX(사건마스터!$AN$5:$AN$64,MATCH($F737,사건마스터!$A$5:$A$64,0)),""))</f>
        <v/>
      </c>
      <c r="Q737" s="35">
        <f>IF($F737="","",IFERROR(INDEX(사건마스터!$AO$5:$AO$64,MATCH($F737,사건마스터!$A$5:$A$64,0)),""))</f>
        <v/>
      </c>
      <c r="R737" s="35">
        <f>IF($F737="","",IFERROR(INDEX(사건마스터!$AP$5:$AP$64,MATCH($F737,사건마스터!$A$5:$A$64,0)),""))</f>
        <v/>
      </c>
      <c r="S737" s="35">
        <f>IF($F737="","",IFERROR(INDEX(사건마스터!$AQ$5:$AQ$64,MATCH($F737,사건마스터!$A$5:$A$64,0)),""))</f>
        <v/>
      </c>
      <c r="T737" s="35">
        <f>IF($F737="","",IFERROR(INDEX(사건마스터!$AR$5:$AR$64,MATCH($F737,사건마스터!$A$5:$A$64,0)),""))</f>
        <v/>
      </c>
      <c r="U737" s="35">
        <f>IF($F737="","",IFERROR(INDEX(사건마스터!$AS$5:$AS$64,MATCH($F737,사건마스터!$A$5:$A$64,0)),""))</f>
        <v/>
      </c>
      <c r="V737" s="35">
        <f>IF($F737="","",IFERROR(INDEX(사건마스터!$AT$5:$AT$64,MATCH($F737,사건마스터!$A$5:$A$64,0)),""))</f>
        <v/>
      </c>
      <c r="W737" s="35">
        <f>IF($F737="","",IFERROR(INDEX(사건마스터!$AU$5:$AU$64,MATCH($F737,사건마스터!$A$5:$A$64,0)),""))</f>
        <v/>
      </c>
      <c r="X737" s="35">
        <f>IF($F737="","",IFERROR(INDEX(사건마스터!$AV$5:$AV$64,MATCH($F737,사건마스터!$A$5:$A$64,0)),""))</f>
        <v/>
      </c>
      <c r="Y737" s="30">
        <f>IF($I737="","",COUNTIF($I737:$X737,"?*"))</f>
        <v/>
      </c>
      <c r="Z737" s="33">
        <f>IF($I737="","",_xlfn.TEXTJOIN(", ",TRUE,$I737:$X737))</f>
        <v/>
      </c>
      <c r="AA737" s="34">
        <f>IF($I737="","",IFERROR(INDEX(코드설정!$D$5:$D$24,MATCH($I737,코드설정!$C$5:$C$24,0)),""))</f>
        <v/>
      </c>
      <c r="AB737" s="36" t="n"/>
      <c r="AC737" s="37" t="n"/>
      <c r="AD737" s="38" t="n"/>
      <c r="AE737" s="30">
        <f>IF(OR($B737="",$C737=""),"",$C737-$B737+1)</f>
        <v/>
      </c>
      <c r="AF737" s="32" t="n"/>
      <c r="AG737" s="36" t="n"/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3">
        <f>IF($F738="","",IFERROR(INDEX(사건마스터!$B$5:$B$64,MATCH($F738,사건마스터!$A$5:$A$64,0)),""))</f>
        <v/>
      </c>
      <c r="H738" s="34">
        <f>IF($F738="","",IFERROR(INDEX(사건마스터!$C$5:$C$64,MATCH($F738,사건마스터!$A$5:$A$64,0)),""))</f>
        <v/>
      </c>
      <c r="I738" s="35">
        <f>IF($F738="","",IFERROR(INDEX(사건마스터!$H$5:$H$64,MATCH($F738,사건마스터!$A$5:$A$64,0)),""))</f>
        <v/>
      </c>
      <c r="J738" s="35">
        <f>IF($F738="","",IFERROR(INDEX(사건마스터!$AH$5:$AH$64,MATCH($F738,사건마스터!$A$5:$A$64,0)),""))</f>
        <v/>
      </c>
      <c r="K738" s="35">
        <f>IF($F738="","",IFERROR(INDEX(사건마스터!$AI$5:$AI$64,MATCH($F738,사건마스터!$A$5:$A$64,0)),""))</f>
        <v/>
      </c>
      <c r="L738" s="35">
        <f>IF($F738="","",IFERROR(INDEX(사건마스터!$AJ$5:$AJ$64,MATCH($F738,사건마스터!$A$5:$A$64,0)),""))</f>
        <v/>
      </c>
      <c r="M738" s="35">
        <f>IF($F738="","",IFERROR(INDEX(사건마스터!$AK$5:$AK$64,MATCH($F738,사건마스터!$A$5:$A$64,0)),""))</f>
        <v/>
      </c>
      <c r="N738" s="35">
        <f>IF($F738="","",IFERROR(INDEX(사건마스터!$AL$5:$AL$64,MATCH($F738,사건마스터!$A$5:$A$64,0)),""))</f>
        <v/>
      </c>
      <c r="O738" s="35">
        <f>IF($F738="","",IFERROR(INDEX(사건마스터!$AM$5:$AM$64,MATCH($F738,사건마스터!$A$5:$A$64,0)),""))</f>
        <v/>
      </c>
      <c r="P738" s="35">
        <f>IF($F738="","",IFERROR(INDEX(사건마스터!$AN$5:$AN$64,MATCH($F738,사건마스터!$A$5:$A$64,0)),""))</f>
        <v/>
      </c>
      <c r="Q738" s="35">
        <f>IF($F738="","",IFERROR(INDEX(사건마스터!$AO$5:$AO$64,MATCH($F738,사건마스터!$A$5:$A$64,0)),""))</f>
        <v/>
      </c>
      <c r="R738" s="35">
        <f>IF($F738="","",IFERROR(INDEX(사건마스터!$AP$5:$AP$64,MATCH($F738,사건마스터!$A$5:$A$64,0)),""))</f>
        <v/>
      </c>
      <c r="S738" s="35">
        <f>IF($F738="","",IFERROR(INDEX(사건마스터!$AQ$5:$AQ$64,MATCH($F738,사건마스터!$A$5:$A$64,0)),""))</f>
        <v/>
      </c>
      <c r="T738" s="35">
        <f>IF($F738="","",IFERROR(INDEX(사건마스터!$AR$5:$AR$64,MATCH($F738,사건마스터!$A$5:$A$64,0)),""))</f>
        <v/>
      </c>
      <c r="U738" s="35">
        <f>IF($F738="","",IFERROR(INDEX(사건마스터!$AS$5:$AS$64,MATCH($F738,사건마스터!$A$5:$A$64,0)),""))</f>
        <v/>
      </c>
      <c r="V738" s="35">
        <f>IF($F738="","",IFERROR(INDEX(사건마스터!$AT$5:$AT$64,MATCH($F738,사건마스터!$A$5:$A$64,0)),""))</f>
        <v/>
      </c>
      <c r="W738" s="35">
        <f>IF($F738="","",IFERROR(INDEX(사건마스터!$AU$5:$AU$64,MATCH($F738,사건마스터!$A$5:$A$64,0)),""))</f>
        <v/>
      </c>
      <c r="X738" s="35">
        <f>IF($F738="","",IFERROR(INDEX(사건마스터!$AV$5:$AV$64,MATCH($F738,사건마스터!$A$5:$A$64,0)),""))</f>
        <v/>
      </c>
      <c r="Y738" s="30">
        <f>IF($I738="","",COUNTIF($I738:$X738,"?*"))</f>
        <v/>
      </c>
      <c r="Z738" s="33">
        <f>IF($I738="","",_xlfn.TEXTJOIN(", ",TRUE,$I738:$X738))</f>
        <v/>
      </c>
      <c r="AA738" s="34">
        <f>IF($I738="","",IFERROR(INDEX(코드설정!$D$5:$D$24,MATCH($I738,코드설정!$C$5:$C$24,0)),""))</f>
        <v/>
      </c>
      <c r="AB738" s="36" t="n"/>
      <c r="AC738" s="37" t="n"/>
      <c r="AD738" s="38" t="n"/>
      <c r="AE738" s="30">
        <f>IF(OR($B738="",$C738=""),"",$C738-$B738+1)</f>
        <v/>
      </c>
      <c r="AF738" s="32" t="n"/>
      <c r="AG738" s="36" t="n"/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3">
        <f>IF($F739="","",IFERROR(INDEX(사건마스터!$B$5:$B$64,MATCH($F739,사건마스터!$A$5:$A$64,0)),""))</f>
        <v/>
      </c>
      <c r="H739" s="34">
        <f>IF($F739="","",IFERROR(INDEX(사건마스터!$C$5:$C$64,MATCH($F739,사건마스터!$A$5:$A$64,0)),""))</f>
        <v/>
      </c>
      <c r="I739" s="35">
        <f>IF($F739="","",IFERROR(INDEX(사건마스터!$H$5:$H$64,MATCH($F739,사건마스터!$A$5:$A$64,0)),""))</f>
        <v/>
      </c>
      <c r="J739" s="35">
        <f>IF($F739="","",IFERROR(INDEX(사건마스터!$AH$5:$AH$64,MATCH($F739,사건마스터!$A$5:$A$64,0)),""))</f>
        <v/>
      </c>
      <c r="K739" s="35">
        <f>IF($F739="","",IFERROR(INDEX(사건마스터!$AI$5:$AI$64,MATCH($F739,사건마스터!$A$5:$A$64,0)),""))</f>
        <v/>
      </c>
      <c r="L739" s="35">
        <f>IF($F739="","",IFERROR(INDEX(사건마스터!$AJ$5:$AJ$64,MATCH($F739,사건마스터!$A$5:$A$64,0)),""))</f>
        <v/>
      </c>
      <c r="M739" s="35">
        <f>IF($F739="","",IFERROR(INDEX(사건마스터!$AK$5:$AK$64,MATCH($F739,사건마스터!$A$5:$A$64,0)),""))</f>
        <v/>
      </c>
      <c r="N739" s="35">
        <f>IF($F739="","",IFERROR(INDEX(사건마스터!$AL$5:$AL$64,MATCH($F739,사건마스터!$A$5:$A$64,0)),""))</f>
        <v/>
      </c>
      <c r="O739" s="35">
        <f>IF($F739="","",IFERROR(INDEX(사건마스터!$AM$5:$AM$64,MATCH($F739,사건마스터!$A$5:$A$64,0)),""))</f>
        <v/>
      </c>
      <c r="P739" s="35">
        <f>IF($F739="","",IFERROR(INDEX(사건마스터!$AN$5:$AN$64,MATCH($F739,사건마스터!$A$5:$A$64,0)),""))</f>
        <v/>
      </c>
      <c r="Q739" s="35">
        <f>IF($F739="","",IFERROR(INDEX(사건마스터!$AO$5:$AO$64,MATCH($F739,사건마스터!$A$5:$A$64,0)),""))</f>
        <v/>
      </c>
      <c r="R739" s="35">
        <f>IF($F739="","",IFERROR(INDEX(사건마스터!$AP$5:$AP$64,MATCH($F739,사건마스터!$A$5:$A$64,0)),""))</f>
        <v/>
      </c>
      <c r="S739" s="35">
        <f>IF($F739="","",IFERROR(INDEX(사건마스터!$AQ$5:$AQ$64,MATCH($F739,사건마스터!$A$5:$A$64,0)),""))</f>
        <v/>
      </c>
      <c r="T739" s="35">
        <f>IF($F739="","",IFERROR(INDEX(사건마스터!$AR$5:$AR$64,MATCH($F739,사건마스터!$A$5:$A$64,0)),""))</f>
        <v/>
      </c>
      <c r="U739" s="35">
        <f>IF($F739="","",IFERROR(INDEX(사건마스터!$AS$5:$AS$64,MATCH($F739,사건마스터!$A$5:$A$64,0)),""))</f>
        <v/>
      </c>
      <c r="V739" s="35">
        <f>IF($F739="","",IFERROR(INDEX(사건마스터!$AT$5:$AT$64,MATCH($F739,사건마스터!$A$5:$A$64,0)),""))</f>
        <v/>
      </c>
      <c r="W739" s="35">
        <f>IF($F739="","",IFERROR(INDEX(사건마스터!$AU$5:$AU$64,MATCH($F739,사건마스터!$A$5:$A$64,0)),""))</f>
        <v/>
      </c>
      <c r="X739" s="35">
        <f>IF($F739="","",IFERROR(INDEX(사건마스터!$AV$5:$AV$64,MATCH($F739,사건마스터!$A$5:$A$64,0)),""))</f>
        <v/>
      </c>
      <c r="Y739" s="30">
        <f>IF($I739="","",COUNTIF($I739:$X739,"?*"))</f>
        <v/>
      </c>
      <c r="Z739" s="33">
        <f>IF($I739="","",_xlfn.TEXTJOIN(", ",TRUE,$I739:$X739))</f>
        <v/>
      </c>
      <c r="AA739" s="34">
        <f>IF($I739="","",IFERROR(INDEX(코드설정!$D$5:$D$24,MATCH($I739,코드설정!$C$5:$C$24,0)),""))</f>
        <v/>
      </c>
      <c r="AB739" s="36" t="n"/>
      <c r="AC739" s="37" t="n"/>
      <c r="AD739" s="38" t="n"/>
      <c r="AE739" s="30">
        <f>IF(OR($B739="",$C739=""),"",$C739-$B739+1)</f>
        <v/>
      </c>
      <c r="AF739" s="32" t="n"/>
      <c r="AG739" s="36" t="n"/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3">
        <f>IF($F740="","",IFERROR(INDEX(사건마스터!$B$5:$B$64,MATCH($F740,사건마스터!$A$5:$A$64,0)),""))</f>
        <v/>
      </c>
      <c r="H740" s="34">
        <f>IF($F740="","",IFERROR(INDEX(사건마스터!$C$5:$C$64,MATCH($F740,사건마스터!$A$5:$A$64,0)),""))</f>
        <v/>
      </c>
      <c r="I740" s="35">
        <f>IF($F740="","",IFERROR(INDEX(사건마스터!$H$5:$H$64,MATCH($F740,사건마스터!$A$5:$A$64,0)),""))</f>
        <v/>
      </c>
      <c r="J740" s="35">
        <f>IF($F740="","",IFERROR(INDEX(사건마스터!$AH$5:$AH$64,MATCH($F740,사건마스터!$A$5:$A$64,0)),""))</f>
        <v/>
      </c>
      <c r="K740" s="35">
        <f>IF($F740="","",IFERROR(INDEX(사건마스터!$AI$5:$AI$64,MATCH($F740,사건마스터!$A$5:$A$64,0)),""))</f>
        <v/>
      </c>
      <c r="L740" s="35">
        <f>IF($F740="","",IFERROR(INDEX(사건마스터!$AJ$5:$AJ$64,MATCH($F740,사건마스터!$A$5:$A$64,0)),""))</f>
        <v/>
      </c>
      <c r="M740" s="35">
        <f>IF($F740="","",IFERROR(INDEX(사건마스터!$AK$5:$AK$64,MATCH($F740,사건마스터!$A$5:$A$64,0)),""))</f>
        <v/>
      </c>
      <c r="N740" s="35">
        <f>IF($F740="","",IFERROR(INDEX(사건마스터!$AL$5:$AL$64,MATCH($F740,사건마스터!$A$5:$A$64,0)),""))</f>
        <v/>
      </c>
      <c r="O740" s="35">
        <f>IF($F740="","",IFERROR(INDEX(사건마스터!$AM$5:$AM$64,MATCH($F740,사건마스터!$A$5:$A$64,0)),""))</f>
        <v/>
      </c>
      <c r="P740" s="35">
        <f>IF($F740="","",IFERROR(INDEX(사건마스터!$AN$5:$AN$64,MATCH($F740,사건마스터!$A$5:$A$64,0)),""))</f>
        <v/>
      </c>
      <c r="Q740" s="35">
        <f>IF($F740="","",IFERROR(INDEX(사건마스터!$AO$5:$AO$64,MATCH($F740,사건마스터!$A$5:$A$64,0)),""))</f>
        <v/>
      </c>
      <c r="R740" s="35">
        <f>IF($F740="","",IFERROR(INDEX(사건마스터!$AP$5:$AP$64,MATCH($F740,사건마스터!$A$5:$A$64,0)),""))</f>
        <v/>
      </c>
      <c r="S740" s="35">
        <f>IF($F740="","",IFERROR(INDEX(사건마스터!$AQ$5:$AQ$64,MATCH($F740,사건마스터!$A$5:$A$64,0)),""))</f>
        <v/>
      </c>
      <c r="T740" s="35">
        <f>IF($F740="","",IFERROR(INDEX(사건마스터!$AR$5:$AR$64,MATCH($F740,사건마스터!$A$5:$A$64,0)),""))</f>
        <v/>
      </c>
      <c r="U740" s="35">
        <f>IF($F740="","",IFERROR(INDEX(사건마스터!$AS$5:$AS$64,MATCH($F740,사건마스터!$A$5:$A$64,0)),""))</f>
        <v/>
      </c>
      <c r="V740" s="35">
        <f>IF($F740="","",IFERROR(INDEX(사건마스터!$AT$5:$AT$64,MATCH($F740,사건마스터!$A$5:$A$64,0)),""))</f>
        <v/>
      </c>
      <c r="W740" s="35">
        <f>IF($F740="","",IFERROR(INDEX(사건마스터!$AU$5:$AU$64,MATCH($F740,사건마스터!$A$5:$A$64,0)),""))</f>
        <v/>
      </c>
      <c r="X740" s="35">
        <f>IF($F740="","",IFERROR(INDEX(사건마스터!$AV$5:$AV$64,MATCH($F740,사건마스터!$A$5:$A$64,0)),""))</f>
        <v/>
      </c>
      <c r="Y740" s="30">
        <f>IF($I740="","",COUNTIF($I740:$X740,"?*"))</f>
        <v/>
      </c>
      <c r="Z740" s="33">
        <f>IF($I740="","",_xlfn.TEXTJOIN(", ",TRUE,$I740:$X740))</f>
        <v/>
      </c>
      <c r="AA740" s="34">
        <f>IF($I740="","",IFERROR(INDEX(코드설정!$D$5:$D$24,MATCH($I740,코드설정!$C$5:$C$24,0)),""))</f>
        <v/>
      </c>
      <c r="AB740" s="36" t="n"/>
      <c r="AC740" s="37" t="n"/>
      <c r="AD740" s="38" t="n"/>
      <c r="AE740" s="30">
        <f>IF(OR($B740="",$C740=""),"",$C740-$B740+1)</f>
        <v/>
      </c>
      <c r="AF740" s="32" t="n"/>
      <c r="AG740" s="36" t="n"/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3">
        <f>IF($F741="","",IFERROR(INDEX(사건마스터!$B$5:$B$64,MATCH($F741,사건마스터!$A$5:$A$64,0)),""))</f>
        <v/>
      </c>
      <c r="H741" s="34">
        <f>IF($F741="","",IFERROR(INDEX(사건마스터!$C$5:$C$64,MATCH($F741,사건마스터!$A$5:$A$64,0)),""))</f>
        <v/>
      </c>
      <c r="I741" s="35">
        <f>IF($F741="","",IFERROR(INDEX(사건마스터!$H$5:$H$64,MATCH($F741,사건마스터!$A$5:$A$64,0)),""))</f>
        <v/>
      </c>
      <c r="J741" s="35">
        <f>IF($F741="","",IFERROR(INDEX(사건마스터!$AH$5:$AH$64,MATCH($F741,사건마스터!$A$5:$A$64,0)),""))</f>
        <v/>
      </c>
      <c r="K741" s="35">
        <f>IF($F741="","",IFERROR(INDEX(사건마스터!$AI$5:$AI$64,MATCH($F741,사건마스터!$A$5:$A$64,0)),""))</f>
        <v/>
      </c>
      <c r="L741" s="35">
        <f>IF($F741="","",IFERROR(INDEX(사건마스터!$AJ$5:$AJ$64,MATCH($F741,사건마스터!$A$5:$A$64,0)),""))</f>
        <v/>
      </c>
      <c r="M741" s="35">
        <f>IF($F741="","",IFERROR(INDEX(사건마스터!$AK$5:$AK$64,MATCH($F741,사건마스터!$A$5:$A$64,0)),""))</f>
        <v/>
      </c>
      <c r="N741" s="35">
        <f>IF($F741="","",IFERROR(INDEX(사건마스터!$AL$5:$AL$64,MATCH($F741,사건마스터!$A$5:$A$64,0)),""))</f>
        <v/>
      </c>
      <c r="O741" s="35">
        <f>IF($F741="","",IFERROR(INDEX(사건마스터!$AM$5:$AM$64,MATCH($F741,사건마스터!$A$5:$A$64,0)),""))</f>
        <v/>
      </c>
      <c r="P741" s="35">
        <f>IF($F741="","",IFERROR(INDEX(사건마스터!$AN$5:$AN$64,MATCH($F741,사건마스터!$A$5:$A$64,0)),""))</f>
        <v/>
      </c>
      <c r="Q741" s="35">
        <f>IF($F741="","",IFERROR(INDEX(사건마스터!$AO$5:$AO$64,MATCH($F741,사건마스터!$A$5:$A$64,0)),""))</f>
        <v/>
      </c>
      <c r="R741" s="35">
        <f>IF($F741="","",IFERROR(INDEX(사건마스터!$AP$5:$AP$64,MATCH($F741,사건마스터!$A$5:$A$64,0)),""))</f>
        <v/>
      </c>
      <c r="S741" s="35">
        <f>IF($F741="","",IFERROR(INDEX(사건마스터!$AQ$5:$AQ$64,MATCH($F741,사건마스터!$A$5:$A$64,0)),""))</f>
        <v/>
      </c>
      <c r="T741" s="35">
        <f>IF($F741="","",IFERROR(INDEX(사건마스터!$AR$5:$AR$64,MATCH($F741,사건마스터!$A$5:$A$64,0)),""))</f>
        <v/>
      </c>
      <c r="U741" s="35">
        <f>IF($F741="","",IFERROR(INDEX(사건마스터!$AS$5:$AS$64,MATCH($F741,사건마스터!$A$5:$A$64,0)),""))</f>
        <v/>
      </c>
      <c r="V741" s="35">
        <f>IF($F741="","",IFERROR(INDEX(사건마스터!$AT$5:$AT$64,MATCH($F741,사건마스터!$A$5:$A$64,0)),""))</f>
        <v/>
      </c>
      <c r="W741" s="35">
        <f>IF($F741="","",IFERROR(INDEX(사건마스터!$AU$5:$AU$64,MATCH($F741,사건마스터!$A$5:$A$64,0)),""))</f>
        <v/>
      </c>
      <c r="X741" s="35">
        <f>IF($F741="","",IFERROR(INDEX(사건마스터!$AV$5:$AV$64,MATCH($F741,사건마스터!$A$5:$A$64,0)),""))</f>
        <v/>
      </c>
      <c r="Y741" s="30">
        <f>IF($I741="","",COUNTIF($I741:$X741,"?*"))</f>
        <v/>
      </c>
      <c r="Z741" s="33">
        <f>IF($I741="","",_xlfn.TEXTJOIN(", ",TRUE,$I741:$X741))</f>
        <v/>
      </c>
      <c r="AA741" s="34">
        <f>IF($I741="","",IFERROR(INDEX(코드설정!$D$5:$D$24,MATCH($I741,코드설정!$C$5:$C$24,0)),""))</f>
        <v/>
      </c>
      <c r="AB741" s="36" t="n"/>
      <c r="AC741" s="37" t="n"/>
      <c r="AD741" s="38" t="n"/>
      <c r="AE741" s="30">
        <f>IF(OR($B741="",$C741=""),"",$C741-$B741+1)</f>
        <v/>
      </c>
      <c r="AF741" s="32" t="n"/>
      <c r="AG741" s="36" t="n"/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3">
        <f>IF($F742="","",IFERROR(INDEX(사건마스터!$B$5:$B$64,MATCH($F742,사건마스터!$A$5:$A$64,0)),""))</f>
        <v/>
      </c>
      <c r="H742" s="34">
        <f>IF($F742="","",IFERROR(INDEX(사건마스터!$C$5:$C$64,MATCH($F742,사건마스터!$A$5:$A$64,0)),""))</f>
        <v/>
      </c>
      <c r="I742" s="35">
        <f>IF($F742="","",IFERROR(INDEX(사건마스터!$H$5:$H$64,MATCH($F742,사건마스터!$A$5:$A$64,0)),""))</f>
        <v/>
      </c>
      <c r="J742" s="35">
        <f>IF($F742="","",IFERROR(INDEX(사건마스터!$AH$5:$AH$64,MATCH($F742,사건마스터!$A$5:$A$64,0)),""))</f>
        <v/>
      </c>
      <c r="K742" s="35">
        <f>IF($F742="","",IFERROR(INDEX(사건마스터!$AI$5:$AI$64,MATCH($F742,사건마스터!$A$5:$A$64,0)),""))</f>
        <v/>
      </c>
      <c r="L742" s="35">
        <f>IF($F742="","",IFERROR(INDEX(사건마스터!$AJ$5:$AJ$64,MATCH($F742,사건마스터!$A$5:$A$64,0)),""))</f>
        <v/>
      </c>
      <c r="M742" s="35">
        <f>IF($F742="","",IFERROR(INDEX(사건마스터!$AK$5:$AK$64,MATCH($F742,사건마스터!$A$5:$A$64,0)),""))</f>
        <v/>
      </c>
      <c r="N742" s="35">
        <f>IF($F742="","",IFERROR(INDEX(사건마스터!$AL$5:$AL$64,MATCH($F742,사건마스터!$A$5:$A$64,0)),""))</f>
        <v/>
      </c>
      <c r="O742" s="35">
        <f>IF($F742="","",IFERROR(INDEX(사건마스터!$AM$5:$AM$64,MATCH($F742,사건마스터!$A$5:$A$64,0)),""))</f>
        <v/>
      </c>
      <c r="P742" s="35">
        <f>IF($F742="","",IFERROR(INDEX(사건마스터!$AN$5:$AN$64,MATCH($F742,사건마스터!$A$5:$A$64,0)),""))</f>
        <v/>
      </c>
      <c r="Q742" s="35">
        <f>IF($F742="","",IFERROR(INDEX(사건마스터!$AO$5:$AO$64,MATCH($F742,사건마스터!$A$5:$A$64,0)),""))</f>
        <v/>
      </c>
      <c r="R742" s="35">
        <f>IF($F742="","",IFERROR(INDEX(사건마스터!$AP$5:$AP$64,MATCH($F742,사건마스터!$A$5:$A$64,0)),""))</f>
        <v/>
      </c>
      <c r="S742" s="35">
        <f>IF($F742="","",IFERROR(INDEX(사건마스터!$AQ$5:$AQ$64,MATCH($F742,사건마스터!$A$5:$A$64,0)),""))</f>
        <v/>
      </c>
      <c r="T742" s="35">
        <f>IF($F742="","",IFERROR(INDEX(사건마스터!$AR$5:$AR$64,MATCH($F742,사건마스터!$A$5:$A$64,0)),""))</f>
        <v/>
      </c>
      <c r="U742" s="35">
        <f>IF($F742="","",IFERROR(INDEX(사건마스터!$AS$5:$AS$64,MATCH($F742,사건마스터!$A$5:$A$64,0)),""))</f>
        <v/>
      </c>
      <c r="V742" s="35">
        <f>IF($F742="","",IFERROR(INDEX(사건마스터!$AT$5:$AT$64,MATCH($F742,사건마스터!$A$5:$A$64,0)),""))</f>
        <v/>
      </c>
      <c r="W742" s="35">
        <f>IF($F742="","",IFERROR(INDEX(사건마스터!$AU$5:$AU$64,MATCH($F742,사건마스터!$A$5:$A$64,0)),""))</f>
        <v/>
      </c>
      <c r="X742" s="35">
        <f>IF($F742="","",IFERROR(INDEX(사건마스터!$AV$5:$AV$64,MATCH($F742,사건마스터!$A$5:$A$64,0)),""))</f>
        <v/>
      </c>
      <c r="Y742" s="30">
        <f>IF($I742="","",COUNTIF($I742:$X742,"?*"))</f>
        <v/>
      </c>
      <c r="Z742" s="33">
        <f>IF($I742="","",_xlfn.TEXTJOIN(", ",TRUE,$I742:$X742))</f>
        <v/>
      </c>
      <c r="AA742" s="34">
        <f>IF($I742="","",IFERROR(INDEX(코드설정!$D$5:$D$24,MATCH($I742,코드설정!$C$5:$C$24,0)),""))</f>
        <v/>
      </c>
      <c r="AB742" s="36" t="n"/>
      <c r="AC742" s="37" t="n"/>
      <c r="AD742" s="38" t="n"/>
      <c r="AE742" s="30">
        <f>IF(OR($B742="",$C742=""),"",$C742-$B742+1)</f>
        <v/>
      </c>
      <c r="AF742" s="32" t="n"/>
      <c r="AG742" s="36" t="n"/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3">
        <f>IF($F743="","",IFERROR(INDEX(사건마스터!$B$5:$B$64,MATCH($F743,사건마스터!$A$5:$A$64,0)),""))</f>
        <v/>
      </c>
      <c r="H743" s="34">
        <f>IF($F743="","",IFERROR(INDEX(사건마스터!$C$5:$C$64,MATCH($F743,사건마스터!$A$5:$A$64,0)),""))</f>
        <v/>
      </c>
      <c r="I743" s="35">
        <f>IF($F743="","",IFERROR(INDEX(사건마스터!$H$5:$H$64,MATCH($F743,사건마스터!$A$5:$A$64,0)),""))</f>
        <v/>
      </c>
      <c r="J743" s="35">
        <f>IF($F743="","",IFERROR(INDEX(사건마스터!$AH$5:$AH$64,MATCH($F743,사건마스터!$A$5:$A$64,0)),""))</f>
        <v/>
      </c>
      <c r="K743" s="35">
        <f>IF($F743="","",IFERROR(INDEX(사건마스터!$AI$5:$AI$64,MATCH($F743,사건마스터!$A$5:$A$64,0)),""))</f>
        <v/>
      </c>
      <c r="L743" s="35">
        <f>IF($F743="","",IFERROR(INDEX(사건마스터!$AJ$5:$AJ$64,MATCH($F743,사건마스터!$A$5:$A$64,0)),""))</f>
        <v/>
      </c>
      <c r="M743" s="35">
        <f>IF($F743="","",IFERROR(INDEX(사건마스터!$AK$5:$AK$64,MATCH($F743,사건마스터!$A$5:$A$64,0)),""))</f>
        <v/>
      </c>
      <c r="N743" s="35">
        <f>IF($F743="","",IFERROR(INDEX(사건마스터!$AL$5:$AL$64,MATCH($F743,사건마스터!$A$5:$A$64,0)),""))</f>
        <v/>
      </c>
      <c r="O743" s="35">
        <f>IF($F743="","",IFERROR(INDEX(사건마스터!$AM$5:$AM$64,MATCH($F743,사건마스터!$A$5:$A$64,0)),""))</f>
        <v/>
      </c>
      <c r="P743" s="35">
        <f>IF($F743="","",IFERROR(INDEX(사건마스터!$AN$5:$AN$64,MATCH($F743,사건마스터!$A$5:$A$64,0)),""))</f>
        <v/>
      </c>
      <c r="Q743" s="35">
        <f>IF($F743="","",IFERROR(INDEX(사건마스터!$AO$5:$AO$64,MATCH($F743,사건마스터!$A$5:$A$64,0)),""))</f>
        <v/>
      </c>
      <c r="R743" s="35">
        <f>IF($F743="","",IFERROR(INDEX(사건마스터!$AP$5:$AP$64,MATCH($F743,사건마스터!$A$5:$A$64,0)),""))</f>
        <v/>
      </c>
      <c r="S743" s="35">
        <f>IF($F743="","",IFERROR(INDEX(사건마스터!$AQ$5:$AQ$64,MATCH($F743,사건마스터!$A$5:$A$64,0)),""))</f>
        <v/>
      </c>
      <c r="T743" s="35">
        <f>IF($F743="","",IFERROR(INDEX(사건마스터!$AR$5:$AR$64,MATCH($F743,사건마스터!$A$5:$A$64,0)),""))</f>
        <v/>
      </c>
      <c r="U743" s="35">
        <f>IF($F743="","",IFERROR(INDEX(사건마스터!$AS$5:$AS$64,MATCH($F743,사건마스터!$A$5:$A$64,0)),""))</f>
        <v/>
      </c>
      <c r="V743" s="35">
        <f>IF($F743="","",IFERROR(INDEX(사건마스터!$AT$5:$AT$64,MATCH($F743,사건마스터!$A$5:$A$64,0)),""))</f>
        <v/>
      </c>
      <c r="W743" s="35">
        <f>IF($F743="","",IFERROR(INDEX(사건마스터!$AU$5:$AU$64,MATCH($F743,사건마스터!$A$5:$A$64,0)),""))</f>
        <v/>
      </c>
      <c r="X743" s="35">
        <f>IF($F743="","",IFERROR(INDEX(사건마스터!$AV$5:$AV$64,MATCH($F743,사건마스터!$A$5:$A$64,0)),""))</f>
        <v/>
      </c>
      <c r="Y743" s="30">
        <f>IF($I743="","",COUNTIF($I743:$X743,"?*"))</f>
        <v/>
      </c>
      <c r="Z743" s="33">
        <f>IF($I743="","",_xlfn.TEXTJOIN(", ",TRUE,$I743:$X743))</f>
        <v/>
      </c>
      <c r="AA743" s="34">
        <f>IF($I743="","",IFERROR(INDEX(코드설정!$D$5:$D$24,MATCH($I743,코드설정!$C$5:$C$24,0)),""))</f>
        <v/>
      </c>
      <c r="AB743" s="36" t="n"/>
      <c r="AC743" s="37" t="n"/>
      <c r="AD743" s="38" t="n"/>
      <c r="AE743" s="30">
        <f>IF(OR($B743="",$C743=""),"",$C743-$B743+1)</f>
        <v/>
      </c>
      <c r="AF743" s="32" t="n"/>
      <c r="AG743" s="36" t="n"/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3">
        <f>IF($F744="","",IFERROR(INDEX(사건마스터!$B$5:$B$64,MATCH($F744,사건마스터!$A$5:$A$64,0)),""))</f>
        <v/>
      </c>
      <c r="H744" s="34">
        <f>IF($F744="","",IFERROR(INDEX(사건마스터!$C$5:$C$64,MATCH($F744,사건마스터!$A$5:$A$64,0)),""))</f>
        <v/>
      </c>
      <c r="I744" s="35">
        <f>IF($F744="","",IFERROR(INDEX(사건마스터!$H$5:$H$64,MATCH($F744,사건마스터!$A$5:$A$64,0)),""))</f>
        <v/>
      </c>
      <c r="J744" s="35">
        <f>IF($F744="","",IFERROR(INDEX(사건마스터!$AH$5:$AH$64,MATCH($F744,사건마스터!$A$5:$A$64,0)),""))</f>
        <v/>
      </c>
      <c r="K744" s="35">
        <f>IF($F744="","",IFERROR(INDEX(사건마스터!$AI$5:$AI$64,MATCH($F744,사건마스터!$A$5:$A$64,0)),""))</f>
        <v/>
      </c>
      <c r="L744" s="35">
        <f>IF($F744="","",IFERROR(INDEX(사건마스터!$AJ$5:$AJ$64,MATCH($F744,사건마스터!$A$5:$A$64,0)),""))</f>
        <v/>
      </c>
      <c r="M744" s="35">
        <f>IF($F744="","",IFERROR(INDEX(사건마스터!$AK$5:$AK$64,MATCH($F744,사건마스터!$A$5:$A$64,0)),""))</f>
        <v/>
      </c>
      <c r="N744" s="35">
        <f>IF($F744="","",IFERROR(INDEX(사건마스터!$AL$5:$AL$64,MATCH($F744,사건마스터!$A$5:$A$64,0)),""))</f>
        <v/>
      </c>
      <c r="O744" s="35">
        <f>IF($F744="","",IFERROR(INDEX(사건마스터!$AM$5:$AM$64,MATCH($F744,사건마스터!$A$5:$A$64,0)),""))</f>
        <v/>
      </c>
      <c r="P744" s="35">
        <f>IF($F744="","",IFERROR(INDEX(사건마스터!$AN$5:$AN$64,MATCH($F744,사건마스터!$A$5:$A$64,0)),""))</f>
        <v/>
      </c>
      <c r="Q744" s="35">
        <f>IF($F744="","",IFERROR(INDEX(사건마스터!$AO$5:$AO$64,MATCH($F744,사건마스터!$A$5:$A$64,0)),""))</f>
        <v/>
      </c>
      <c r="R744" s="35">
        <f>IF($F744="","",IFERROR(INDEX(사건마스터!$AP$5:$AP$64,MATCH($F744,사건마스터!$A$5:$A$64,0)),""))</f>
        <v/>
      </c>
      <c r="S744" s="35">
        <f>IF($F744="","",IFERROR(INDEX(사건마스터!$AQ$5:$AQ$64,MATCH($F744,사건마스터!$A$5:$A$64,0)),""))</f>
        <v/>
      </c>
      <c r="T744" s="35">
        <f>IF($F744="","",IFERROR(INDEX(사건마스터!$AR$5:$AR$64,MATCH($F744,사건마스터!$A$5:$A$64,0)),""))</f>
        <v/>
      </c>
      <c r="U744" s="35">
        <f>IF($F744="","",IFERROR(INDEX(사건마스터!$AS$5:$AS$64,MATCH($F744,사건마스터!$A$5:$A$64,0)),""))</f>
        <v/>
      </c>
      <c r="V744" s="35">
        <f>IF($F744="","",IFERROR(INDEX(사건마스터!$AT$5:$AT$64,MATCH($F744,사건마스터!$A$5:$A$64,0)),""))</f>
        <v/>
      </c>
      <c r="W744" s="35">
        <f>IF($F744="","",IFERROR(INDEX(사건마스터!$AU$5:$AU$64,MATCH($F744,사건마스터!$A$5:$A$64,0)),""))</f>
        <v/>
      </c>
      <c r="X744" s="35">
        <f>IF($F744="","",IFERROR(INDEX(사건마스터!$AV$5:$AV$64,MATCH($F744,사건마스터!$A$5:$A$64,0)),""))</f>
        <v/>
      </c>
      <c r="Y744" s="30">
        <f>IF($I744="","",COUNTIF($I744:$X744,"?*"))</f>
        <v/>
      </c>
      <c r="Z744" s="33">
        <f>IF($I744="","",_xlfn.TEXTJOIN(", ",TRUE,$I744:$X744))</f>
        <v/>
      </c>
      <c r="AA744" s="34">
        <f>IF($I744="","",IFERROR(INDEX(코드설정!$D$5:$D$24,MATCH($I744,코드설정!$C$5:$C$24,0)),""))</f>
        <v/>
      </c>
      <c r="AB744" s="36" t="n"/>
      <c r="AC744" s="37" t="n"/>
      <c r="AD744" s="38" t="n"/>
      <c r="AE744" s="30">
        <f>IF(OR($B744="",$C744=""),"",$C744-$B744+1)</f>
        <v/>
      </c>
      <c r="AF744" s="32" t="n"/>
      <c r="AG744" s="36" t="n"/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3">
        <f>IF($F745="","",IFERROR(INDEX(사건마스터!$B$5:$B$64,MATCH($F745,사건마스터!$A$5:$A$64,0)),""))</f>
        <v/>
      </c>
      <c r="H745" s="34">
        <f>IF($F745="","",IFERROR(INDEX(사건마스터!$C$5:$C$64,MATCH($F745,사건마스터!$A$5:$A$64,0)),""))</f>
        <v/>
      </c>
      <c r="I745" s="35">
        <f>IF($F745="","",IFERROR(INDEX(사건마스터!$H$5:$H$64,MATCH($F745,사건마스터!$A$5:$A$64,0)),""))</f>
        <v/>
      </c>
      <c r="J745" s="35">
        <f>IF($F745="","",IFERROR(INDEX(사건마스터!$AH$5:$AH$64,MATCH($F745,사건마스터!$A$5:$A$64,0)),""))</f>
        <v/>
      </c>
      <c r="K745" s="35">
        <f>IF($F745="","",IFERROR(INDEX(사건마스터!$AI$5:$AI$64,MATCH($F745,사건마스터!$A$5:$A$64,0)),""))</f>
        <v/>
      </c>
      <c r="L745" s="35">
        <f>IF($F745="","",IFERROR(INDEX(사건마스터!$AJ$5:$AJ$64,MATCH($F745,사건마스터!$A$5:$A$64,0)),""))</f>
        <v/>
      </c>
      <c r="M745" s="35">
        <f>IF($F745="","",IFERROR(INDEX(사건마스터!$AK$5:$AK$64,MATCH($F745,사건마스터!$A$5:$A$64,0)),""))</f>
        <v/>
      </c>
      <c r="N745" s="35">
        <f>IF($F745="","",IFERROR(INDEX(사건마스터!$AL$5:$AL$64,MATCH($F745,사건마스터!$A$5:$A$64,0)),""))</f>
        <v/>
      </c>
      <c r="O745" s="35">
        <f>IF($F745="","",IFERROR(INDEX(사건마스터!$AM$5:$AM$64,MATCH($F745,사건마스터!$A$5:$A$64,0)),""))</f>
        <v/>
      </c>
      <c r="P745" s="35">
        <f>IF($F745="","",IFERROR(INDEX(사건마스터!$AN$5:$AN$64,MATCH($F745,사건마스터!$A$5:$A$64,0)),""))</f>
        <v/>
      </c>
      <c r="Q745" s="35">
        <f>IF($F745="","",IFERROR(INDEX(사건마스터!$AO$5:$AO$64,MATCH($F745,사건마스터!$A$5:$A$64,0)),""))</f>
        <v/>
      </c>
      <c r="R745" s="35">
        <f>IF($F745="","",IFERROR(INDEX(사건마스터!$AP$5:$AP$64,MATCH($F745,사건마스터!$A$5:$A$64,0)),""))</f>
        <v/>
      </c>
      <c r="S745" s="35">
        <f>IF($F745="","",IFERROR(INDEX(사건마스터!$AQ$5:$AQ$64,MATCH($F745,사건마스터!$A$5:$A$64,0)),""))</f>
        <v/>
      </c>
      <c r="T745" s="35">
        <f>IF($F745="","",IFERROR(INDEX(사건마스터!$AR$5:$AR$64,MATCH($F745,사건마스터!$A$5:$A$64,0)),""))</f>
        <v/>
      </c>
      <c r="U745" s="35">
        <f>IF($F745="","",IFERROR(INDEX(사건마스터!$AS$5:$AS$64,MATCH($F745,사건마스터!$A$5:$A$64,0)),""))</f>
        <v/>
      </c>
      <c r="V745" s="35">
        <f>IF($F745="","",IFERROR(INDEX(사건마스터!$AT$5:$AT$64,MATCH($F745,사건마스터!$A$5:$A$64,0)),""))</f>
        <v/>
      </c>
      <c r="W745" s="35">
        <f>IF($F745="","",IFERROR(INDEX(사건마스터!$AU$5:$AU$64,MATCH($F745,사건마스터!$A$5:$A$64,0)),""))</f>
        <v/>
      </c>
      <c r="X745" s="35">
        <f>IF($F745="","",IFERROR(INDEX(사건마스터!$AV$5:$AV$64,MATCH($F745,사건마스터!$A$5:$A$64,0)),""))</f>
        <v/>
      </c>
      <c r="Y745" s="30">
        <f>IF($I745="","",COUNTIF($I745:$X745,"?*"))</f>
        <v/>
      </c>
      <c r="Z745" s="33">
        <f>IF($I745="","",_xlfn.TEXTJOIN(", ",TRUE,$I745:$X745))</f>
        <v/>
      </c>
      <c r="AA745" s="34">
        <f>IF($I745="","",IFERROR(INDEX(코드설정!$D$5:$D$24,MATCH($I745,코드설정!$C$5:$C$24,0)),""))</f>
        <v/>
      </c>
      <c r="AB745" s="36" t="n"/>
      <c r="AC745" s="37" t="n"/>
      <c r="AD745" s="38" t="n"/>
      <c r="AE745" s="30">
        <f>IF(OR($B745="",$C745=""),"",$C745-$B745+1)</f>
        <v/>
      </c>
      <c r="AF745" s="32" t="n"/>
      <c r="AG745" s="36" t="n"/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3">
        <f>IF($F746="","",IFERROR(INDEX(사건마스터!$B$5:$B$64,MATCH($F746,사건마스터!$A$5:$A$64,0)),""))</f>
        <v/>
      </c>
      <c r="H746" s="34">
        <f>IF($F746="","",IFERROR(INDEX(사건마스터!$C$5:$C$64,MATCH($F746,사건마스터!$A$5:$A$64,0)),""))</f>
        <v/>
      </c>
      <c r="I746" s="35">
        <f>IF($F746="","",IFERROR(INDEX(사건마스터!$H$5:$H$64,MATCH($F746,사건마스터!$A$5:$A$64,0)),""))</f>
        <v/>
      </c>
      <c r="J746" s="35">
        <f>IF($F746="","",IFERROR(INDEX(사건마스터!$AH$5:$AH$64,MATCH($F746,사건마스터!$A$5:$A$64,0)),""))</f>
        <v/>
      </c>
      <c r="K746" s="35">
        <f>IF($F746="","",IFERROR(INDEX(사건마스터!$AI$5:$AI$64,MATCH($F746,사건마스터!$A$5:$A$64,0)),""))</f>
        <v/>
      </c>
      <c r="L746" s="35">
        <f>IF($F746="","",IFERROR(INDEX(사건마스터!$AJ$5:$AJ$64,MATCH($F746,사건마스터!$A$5:$A$64,0)),""))</f>
        <v/>
      </c>
      <c r="M746" s="35">
        <f>IF($F746="","",IFERROR(INDEX(사건마스터!$AK$5:$AK$64,MATCH($F746,사건마스터!$A$5:$A$64,0)),""))</f>
        <v/>
      </c>
      <c r="N746" s="35">
        <f>IF($F746="","",IFERROR(INDEX(사건마스터!$AL$5:$AL$64,MATCH($F746,사건마스터!$A$5:$A$64,0)),""))</f>
        <v/>
      </c>
      <c r="O746" s="35">
        <f>IF($F746="","",IFERROR(INDEX(사건마스터!$AM$5:$AM$64,MATCH($F746,사건마스터!$A$5:$A$64,0)),""))</f>
        <v/>
      </c>
      <c r="P746" s="35">
        <f>IF($F746="","",IFERROR(INDEX(사건마스터!$AN$5:$AN$64,MATCH($F746,사건마스터!$A$5:$A$64,0)),""))</f>
        <v/>
      </c>
      <c r="Q746" s="35">
        <f>IF($F746="","",IFERROR(INDEX(사건마스터!$AO$5:$AO$64,MATCH($F746,사건마스터!$A$5:$A$64,0)),""))</f>
        <v/>
      </c>
      <c r="R746" s="35">
        <f>IF($F746="","",IFERROR(INDEX(사건마스터!$AP$5:$AP$64,MATCH($F746,사건마스터!$A$5:$A$64,0)),""))</f>
        <v/>
      </c>
      <c r="S746" s="35">
        <f>IF($F746="","",IFERROR(INDEX(사건마스터!$AQ$5:$AQ$64,MATCH($F746,사건마스터!$A$5:$A$64,0)),""))</f>
        <v/>
      </c>
      <c r="T746" s="35">
        <f>IF($F746="","",IFERROR(INDEX(사건마스터!$AR$5:$AR$64,MATCH($F746,사건마스터!$A$5:$A$64,0)),""))</f>
        <v/>
      </c>
      <c r="U746" s="35">
        <f>IF($F746="","",IFERROR(INDEX(사건마스터!$AS$5:$AS$64,MATCH($F746,사건마스터!$A$5:$A$64,0)),""))</f>
        <v/>
      </c>
      <c r="V746" s="35">
        <f>IF($F746="","",IFERROR(INDEX(사건마스터!$AT$5:$AT$64,MATCH($F746,사건마스터!$A$5:$A$64,0)),""))</f>
        <v/>
      </c>
      <c r="W746" s="35">
        <f>IF($F746="","",IFERROR(INDEX(사건마스터!$AU$5:$AU$64,MATCH($F746,사건마스터!$A$5:$A$64,0)),""))</f>
        <v/>
      </c>
      <c r="X746" s="35">
        <f>IF($F746="","",IFERROR(INDEX(사건마스터!$AV$5:$AV$64,MATCH($F746,사건마스터!$A$5:$A$64,0)),""))</f>
        <v/>
      </c>
      <c r="Y746" s="30">
        <f>IF($I746="","",COUNTIF($I746:$X746,"?*"))</f>
        <v/>
      </c>
      <c r="Z746" s="33">
        <f>IF($I746="","",_xlfn.TEXTJOIN(", ",TRUE,$I746:$X746))</f>
        <v/>
      </c>
      <c r="AA746" s="34">
        <f>IF($I746="","",IFERROR(INDEX(코드설정!$D$5:$D$24,MATCH($I746,코드설정!$C$5:$C$24,0)),""))</f>
        <v/>
      </c>
      <c r="AB746" s="36" t="n"/>
      <c r="AC746" s="37" t="n"/>
      <c r="AD746" s="38" t="n"/>
      <c r="AE746" s="30">
        <f>IF(OR($B746="",$C746=""),"",$C746-$B746+1)</f>
        <v/>
      </c>
      <c r="AF746" s="32" t="n"/>
      <c r="AG746" s="36" t="n"/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3">
        <f>IF($F747="","",IFERROR(INDEX(사건마스터!$B$5:$B$64,MATCH($F747,사건마스터!$A$5:$A$64,0)),""))</f>
        <v/>
      </c>
      <c r="H747" s="34">
        <f>IF($F747="","",IFERROR(INDEX(사건마스터!$C$5:$C$64,MATCH($F747,사건마스터!$A$5:$A$64,0)),""))</f>
        <v/>
      </c>
      <c r="I747" s="35">
        <f>IF($F747="","",IFERROR(INDEX(사건마스터!$H$5:$H$64,MATCH($F747,사건마스터!$A$5:$A$64,0)),""))</f>
        <v/>
      </c>
      <c r="J747" s="35">
        <f>IF($F747="","",IFERROR(INDEX(사건마스터!$AH$5:$AH$64,MATCH($F747,사건마스터!$A$5:$A$64,0)),""))</f>
        <v/>
      </c>
      <c r="K747" s="35">
        <f>IF($F747="","",IFERROR(INDEX(사건마스터!$AI$5:$AI$64,MATCH($F747,사건마스터!$A$5:$A$64,0)),""))</f>
        <v/>
      </c>
      <c r="L747" s="35">
        <f>IF($F747="","",IFERROR(INDEX(사건마스터!$AJ$5:$AJ$64,MATCH($F747,사건마스터!$A$5:$A$64,0)),""))</f>
        <v/>
      </c>
      <c r="M747" s="35">
        <f>IF($F747="","",IFERROR(INDEX(사건마스터!$AK$5:$AK$64,MATCH($F747,사건마스터!$A$5:$A$64,0)),""))</f>
        <v/>
      </c>
      <c r="N747" s="35">
        <f>IF($F747="","",IFERROR(INDEX(사건마스터!$AL$5:$AL$64,MATCH($F747,사건마스터!$A$5:$A$64,0)),""))</f>
        <v/>
      </c>
      <c r="O747" s="35">
        <f>IF($F747="","",IFERROR(INDEX(사건마스터!$AM$5:$AM$64,MATCH($F747,사건마스터!$A$5:$A$64,0)),""))</f>
        <v/>
      </c>
      <c r="P747" s="35">
        <f>IF($F747="","",IFERROR(INDEX(사건마스터!$AN$5:$AN$64,MATCH($F747,사건마스터!$A$5:$A$64,0)),""))</f>
        <v/>
      </c>
      <c r="Q747" s="35">
        <f>IF($F747="","",IFERROR(INDEX(사건마스터!$AO$5:$AO$64,MATCH($F747,사건마스터!$A$5:$A$64,0)),""))</f>
        <v/>
      </c>
      <c r="R747" s="35">
        <f>IF($F747="","",IFERROR(INDEX(사건마스터!$AP$5:$AP$64,MATCH($F747,사건마스터!$A$5:$A$64,0)),""))</f>
        <v/>
      </c>
      <c r="S747" s="35">
        <f>IF($F747="","",IFERROR(INDEX(사건마스터!$AQ$5:$AQ$64,MATCH($F747,사건마스터!$A$5:$A$64,0)),""))</f>
        <v/>
      </c>
      <c r="T747" s="35">
        <f>IF($F747="","",IFERROR(INDEX(사건마스터!$AR$5:$AR$64,MATCH($F747,사건마스터!$A$5:$A$64,0)),""))</f>
        <v/>
      </c>
      <c r="U747" s="35">
        <f>IF($F747="","",IFERROR(INDEX(사건마스터!$AS$5:$AS$64,MATCH($F747,사건마스터!$A$5:$A$64,0)),""))</f>
        <v/>
      </c>
      <c r="V747" s="35">
        <f>IF($F747="","",IFERROR(INDEX(사건마스터!$AT$5:$AT$64,MATCH($F747,사건마스터!$A$5:$A$64,0)),""))</f>
        <v/>
      </c>
      <c r="W747" s="35">
        <f>IF($F747="","",IFERROR(INDEX(사건마스터!$AU$5:$AU$64,MATCH($F747,사건마스터!$A$5:$A$64,0)),""))</f>
        <v/>
      </c>
      <c r="X747" s="35">
        <f>IF($F747="","",IFERROR(INDEX(사건마스터!$AV$5:$AV$64,MATCH($F747,사건마스터!$A$5:$A$64,0)),""))</f>
        <v/>
      </c>
      <c r="Y747" s="30">
        <f>IF($I747="","",COUNTIF($I747:$X747,"?*"))</f>
        <v/>
      </c>
      <c r="Z747" s="33">
        <f>IF($I747="","",_xlfn.TEXTJOIN(", ",TRUE,$I747:$X747))</f>
        <v/>
      </c>
      <c r="AA747" s="34">
        <f>IF($I747="","",IFERROR(INDEX(코드설정!$D$5:$D$24,MATCH($I747,코드설정!$C$5:$C$24,0)),""))</f>
        <v/>
      </c>
      <c r="AB747" s="36" t="n"/>
      <c r="AC747" s="37" t="n"/>
      <c r="AD747" s="38" t="n"/>
      <c r="AE747" s="30">
        <f>IF(OR($B747="",$C747=""),"",$C747-$B747+1)</f>
        <v/>
      </c>
      <c r="AF747" s="32" t="n"/>
      <c r="AG747" s="36" t="n"/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3">
        <f>IF($F748="","",IFERROR(INDEX(사건마스터!$B$5:$B$64,MATCH($F748,사건마스터!$A$5:$A$64,0)),""))</f>
        <v/>
      </c>
      <c r="H748" s="34">
        <f>IF($F748="","",IFERROR(INDEX(사건마스터!$C$5:$C$64,MATCH($F748,사건마스터!$A$5:$A$64,0)),""))</f>
        <v/>
      </c>
      <c r="I748" s="35">
        <f>IF($F748="","",IFERROR(INDEX(사건마스터!$H$5:$H$64,MATCH($F748,사건마스터!$A$5:$A$64,0)),""))</f>
        <v/>
      </c>
      <c r="J748" s="35">
        <f>IF($F748="","",IFERROR(INDEX(사건마스터!$AH$5:$AH$64,MATCH($F748,사건마스터!$A$5:$A$64,0)),""))</f>
        <v/>
      </c>
      <c r="K748" s="35">
        <f>IF($F748="","",IFERROR(INDEX(사건마스터!$AI$5:$AI$64,MATCH($F748,사건마스터!$A$5:$A$64,0)),""))</f>
        <v/>
      </c>
      <c r="L748" s="35">
        <f>IF($F748="","",IFERROR(INDEX(사건마스터!$AJ$5:$AJ$64,MATCH($F748,사건마스터!$A$5:$A$64,0)),""))</f>
        <v/>
      </c>
      <c r="M748" s="35">
        <f>IF($F748="","",IFERROR(INDEX(사건마스터!$AK$5:$AK$64,MATCH($F748,사건마스터!$A$5:$A$64,0)),""))</f>
        <v/>
      </c>
      <c r="N748" s="35">
        <f>IF($F748="","",IFERROR(INDEX(사건마스터!$AL$5:$AL$64,MATCH($F748,사건마스터!$A$5:$A$64,0)),""))</f>
        <v/>
      </c>
      <c r="O748" s="35">
        <f>IF($F748="","",IFERROR(INDEX(사건마스터!$AM$5:$AM$64,MATCH($F748,사건마스터!$A$5:$A$64,0)),""))</f>
        <v/>
      </c>
      <c r="P748" s="35">
        <f>IF($F748="","",IFERROR(INDEX(사건마스터!$AN$5:$AN$64,MATCH($F748,사건마스터!$A$5:$A$64,0)),""))</f>
        <v/>
      </c>
      <c r="Q748" s="35">
        <f>IF($F748="","",IFERROR(INDEX(사건마스터!$AO$5:$AO$64,MATCH($F748,사건마스터!$A$5:$A$64,0)),""))</f>
        <v/>
      </c>
      <c r="R748" s="35">
        <f>IF($F748="","",IFERROR(INDEX(사건마스터!$AP$5:$AP$64,MATCH($F748,사건마스터!$A$5:$A$64,0)),""))</f>
        <v/>
      </c>
      <c r="S748" s="35">
        <f>IF($F748="","",IFERROR(INDEX(사건마스터!$AQ$5:$AQ$64,MATCH($F748,사건마스터!$A$5:$A$64,0)),""))</f>
        <v/>
      </c>
      <c r="T748" s="35">
        <f>IF($F748="","",IFERROR(INDEX(사건마스터!$AR$5:$AR$64,MATCH($F748,사건마스터!$A$5:$A$64,0)),""))</f>
        <v/>
      </c>
      <c r="U748" s="35">
        <f>IF($F748="","",IFERROR(INDEX(사건마스터!$AS$5:$AS$64,MATCH($F748,사건마스터!$A$5:$A$64,0)),""))</f>
        <v/>
      </c>
      <c r="V748" s="35">
        <f>IF($F748="","",IFERROR(INDEX(사건마스터!$AT$5:$AT$64,MATCH($F748,사건마스터!$A$5:$A$64,0)),""))</f>
        <v/>
      </c>
      <c r="W748" s="35">
        <f>IF($F748="","",IFERROR(INDEX(사건마스터!$AU$5:$AU$64,MATCH($F748,사건마스터!$A$5:$A$64,0)),""))</f>
        <v/>
      </c>
      <c r="X748" s="35">
        <f>IF($F748="","",IFERROR(INDEX(사건마스터!$AV$5:$AV$64,MATCH($F748,사건마스터!$A$5:$A$64,0)),""))</f>
        <v/>
      </c>
      <c r="Y748" s="30">
        <f>IF($I748="","",COUNTIF($I748:$X748,"?*"))</f>
        <v/>
      </c>
      <c r="Z748" s="33">
        <f>IF($I748="","",_xlfn.TEXTJOIN(", ",TRUE,$I748:$X748))</f>
        <v/>
      </c>
      <c r="AA748" s="34">
        <f>IF($I748="","",IFERROR(INDEX(코드설정!$D$5:$D$24,MATCH($I748,코드설정!$C$5:$C$24,0)),""))</f>
        <v/>
      </c>
      <c r="AB748" s="36" t="n"/>
      <c r="AC748" s="37" t="n"/>
      <c r="AD748" s="38" t="n"/>
      <c r="AE748" s="30">
        <f>IF(OR($B748="",$C748=""),"",$C748-$B748+1)</f>
        <v/>
      </c>
      <c r="AF748" s="32" t="n"/>
      <c r="AG748" s="36" t="n"/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3">
        <f>IF($F749="","",IFERROR(INDEX(사건마스터!$B$5:$B$64,MATCH($F749,사건마스터!$A$5:$A$64,0)),""))</f>
        <v/>
      </c>
      <c r="H749" s="34">
        <f>IF($F749="","",IFERROR(INDEX(사건마스터!$C$5:$C$64,MATCH($F749,사건마스터!$A$5:$A$64,0)),""))</f>
        <v/>
      </c>
      <c r="I749" s="35">
        <f>IF($F749="","",IFERROR(INDEX(사건마스터!$H$5:$H$64,MATCH($F749,사건마스터!$A$5:$A$64,0)),""))</f>
        <v/>
      </c>
      <c r="J749" s="35">
        <f>IF($F749="","",IFERROR(INDEX(사건마스터!$AH$5:$AH$64,MATCH($F749,사건마스터!$A$5:$A$64,0)),""))</f>
        <v/>
      </c>
      <c r="K749" s="35">
        <f>IF($F749="","",IFERROR(INDEX(사건마스터!$AI$5:$AI$64,MATCH($F749,사건마스터!$A$5:$A$64,0)),""))</f>
        <v/>
      </c>
      <c r="L749" s="35">
        <f>IF($F749="","",IFERROR(INDEX(사건마스터!$AJ$5:$AJ$64,MATCH($F749,사건마스터!$A$5:$A$64,0)),""))</f>
        <v/>
      </c>
      <c r="M749" s="35">
        <f>IF($F749="","",IFERROR(INDEX(사건마스터!$AK$5:$AK$64,MATCH($F749,사건마스터!$A$5:$A$64,0)),""))</f>
        <v/>
      </c>
      <c r="N749" s="35">
        <f>IF($F749="","",IFERROR(INDEX(사건마스터!$AL$5:$AL$64,MATCH($F749,사건마스터!$A$5:$A$64,0)),""))</f>
        <v/>
      </c>
      <c r="O749" s="35">
        <f>IF($F749="","",IFERROR(INDEX(사건마스터!$AM$5:$AM$64,MATCH($F749,사건마스터!$A$5:$A$64,0)),""))</f>
        <v/>
      </c>
      <c r="P749" s="35">
        <f>IF($F749="","",IFERROR(INDEX(사건마스터!$AN$5:$AN$64,MATCH($F749,사건마스터!$A$5:$A$64,0)),""))</f>
        <v/>
      </c>
      <c r="Q749" s="35">
        <f>IF($F749="","",IFERROR(INDEX(사건마스터!$AO$5:$AO$64,MATCH($F749,사건마스터!$A$5:$A$64,0)),""))</f>
        <v/>
      </c>
      <c r="R749" s="35">
        <f>IF($F749="","",IFERROR(INDEX(사건마스터!$AP$5:$AP$64,MATCH($F749,사건마스터!$A$5:$A$64,0)),""))</f>
        <v/>
      </c>
      <c r="S749" s="35">
        <f>IF($F749="","",IFERROR(INDEX(사건마스터!$AQ$5:$AQ$64,MATCH($F749,사건마스터!$A$5:$A$64,0)),""))</f>
        <v/>
      </c>
      <c r="T749" s="35">
        <f>IF($F749="","",IFERROR(INDEX(사건마스터!$AR$5:$AR$64,MATCH($F749,사건마스터!$A$5:$A$64,0)),""))</f>
        <v/>
      </c>
      <c r="U749" s="35">
        <f>IF($F749="","",IFERROR(INDEX(사건마스터!$AS$5:$AS$64,MATCH($F749,사건마스터!$A$5:$A$64,0)),""))</f>
        <v/>
      </c>
      <c r="V749" s="35">
        <f>IF($F749="","",IFERROR(INDEX(사건마스터!$AT$5:$AT$64,MATCH($F749,사건마스터!$A$5:$A$64,0)),""))</f>
        <v/>
      </c>
      <c r="W749" s="35">
        <f>IF($F749="","",IFERROR(INDEX(사건마스터!$AU$5:$AU$64,MATCH($F749,사건마스터!$A$5:$A$64,0)),""))</f>
        <v/>
      </c>
      <c r="X749" s="35">
        <f>IF($F749="","",IFERROR(INDEX(사건마스터!$AV$5:$AV$64,MATCH($F749,사건마스터!$A$5:$A$64,0)),""))</f>
        <v/>
      </c>
      <c r="Y749" s="30">
        <f>IF($I749="","",COUNTIF($I749:$X749,"?*"))</f>
        <v/>
      </c>
      <c r="Z749" s="33">
        <f>IF($I749="","",_xlfn.TEXTJOIN(", ",TRUE,$I749:$X749))</f>
        <v/>
      </c>
      <c r="AA749" s="34">
        <f>IF($I749="","",IFERROR(INDEX(코드설정!$D$5:$D$24,MATCH($I749,코드설정!$C$5:$C$24,0)),""))</f>
        <v/>
      </c>
      <c r="AB749" s="36" t="n"/>
      <c r="AC749" s="37" t="n"/>
      <c r="AD749" s="38" t="n"/>
      <c r="AE749" s="30">
        <f>IF(OR($B749="",$C749=""),"",$C749-$B749+1)</f>
        <v/>
      </c>
      <c r="AF749" s="32" t="n"/>
      <c r="AG749" s="36" t="n"/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3">
        <f>IF($F750="","",IFERROR(INDEX(사건마스터!$B$5:$B$64,MATCH($F750,사건마스터!$A$5:$A$64,0)),""))</f>
        <v/>
      </c>
      <c r="H750" s="34">
        <f>IF($F750="","",IFERROR(INDEX(사건마스터!$C$5:$C$64,MATCH($F750,사건마스터!$A$5:$A$64,0)),""))</f>
        <v/>
      </c>
      <c r="I750" s="35">
        <f>IF($F750="","",IFERROR(INDEX(사건마스터!$H$5:$H$64,MATCH($F750,사건마스터!$A$5:$A$64,0)),""))</f>
        <v/>
      </c>
      <c r="J750" s="35">
        <f>IF($F750="","",IFERROR(INDEX(사건마스터!$AH$5:$AH$64,MATCH($F750,사건마스터!$A$5:$A$64,0)),""))</f>
        <v/>
      </c>
      <c r="K750" s="35">
        <f>IF($F750="","",IFERROR(INDEX(사건마스터!$AI$5:$AI$64,MATCH($F750,사건마스터!$A$5:$A$64,0)),""))</f>
        <v/>
      </c>
      <c r="L750" s="35">
        <f>IF($F750="","",IFERROR(INDEX(사건마스터!$AJ$5:$AJ$64,MATCH($F750,사건마스터!$A$5:$A$64,0)),""))</f>
        <v/>
      </c>
      <c r="M750" s="35">
        <f>IF($F750="","",IFERROR(INDEX(사건마스터!$AK$5:$AK$64,MATCH($F750,사건마스터!$A$5:$A$64,0)),""))</f>
        <v/>
      </c>
      <c r="N750" s="35">
        <f>IF($F750="","",IFERROR(INDEX(사건마스터!$AL$5:$AL$64,MATCH($F750,사건마스터!$A$5:$A$64,0)),""))</f>
        <v/>
      </c>
      <c r="O750" s="35">
        <f>IF($F750="","",IFERROR(INDEX(사건마스터!$AM$5:$AM$64,MATCH($F750,사건마스터!$A$5:$A$64,0)),""))</f>
        <v/>
      </c>
      <c r="P750" s="35">
        <f>IF($F750="","",IFERROR(INDEX(사건마스터!$AN$5:$AN$64,MATCH($F750,사건마스터!$A$5:$A$64,0)),""))</f>
        <v/>
      </c>
      <c r="Q750" s="35">
        <f>IF($F750="","",IFERROR(INDEX(사건마스터!$AO$5:$AO$64,MATCH($F750,사건마스터!$A$5:$A$64,0)),""))</f>
        <v/>
      </c>
      <c r="R750" s="35">
        <f>IF($F750="","",IFERROR(INDEX(사건마스터!$AP$5:$AP$64,MATCH($F750,사건마스터!$A$5:$A$64,0)),""))</f>
        <v/>
      </c>
      <c r="S750" s="35">
        <f>IF($F750="","",IFERROR(INDEX(사건마스터!$AQ$5:$AQ$64,MATCH($F750,사건마스터!$A$5:$A$64,0)),""))</f>
        <v/>
      </c>
      <c r="T750" s="35">
        <f>IF($F750="","",IFERROR(INDEX(사건마스터!$AR$5:$AR$64,MATCH($F750,사건마스터!$A$5:$A$64,0)),""))</f>
        <v/>
      </c>
      <c r="U750" s="35">
        <f>IF($F750="","",IFERROR(INDEX(사건마스터!$AS$5:$AS$64,MATCH($F750,사건마스터!$A$5:$A$64,0)),""))</f>
        <v/>
      </c>
      <c r="V750" s="35">
        <f>IF($F750="","",IFERROR(INDEX(사건마스터!$AT$5:$AT$64,MATCH($F750,사건마스터!$A$5:$A$64,0)),""))</f>
        <v/>
      </c>
      <c r="W750" s="35">
        <f>IF($F750="","",IFERROR(INDEX(사건마스터!$AU$5:$AU$64,MATCH($F750,사건마스터!$A$5:$A$64,0)),""))</f>
        <v/>
      </c>
      <c r="X750" s="35">
        <f>IF($F750="","",IFERROR(INDEX(사건마스터!$AV$5:$AV$64,MATCH($F750,사건마스터!$A$5:$A$64,0)),""))</f>
        <v/>
      </c>
      <c r="Y750" s="30">
        <f>IF($I750="","",COUNTIF($I750:$X750,"?*"))</f>
        <v/>
      </c>
      <c r="Z750" s="33">
        <f>IF($I750="","",_xlfn.TEXTJOIN(", ",TRUE,$I750:$X750))</f>
        <v/>
      </c>
      <c r="AA750" s="34">
        <f>IF($I750="","",IFERROR(INDEX(코드설정!$D$5:$D$24,MATCH($I750,코드설정!$C$5:$C$24,0)),""))</f>
        <v/>
      </c>
      <c r="AB750" s="36" t="n"/>
      <c r="AC750" s="37" t="n"/>
      <c r="AD750" s="38" t="n"/>
      <c r="AE750" s="30">
        <f>IF(OR($B750="",$C750=""),"",$C750-$B750+1)</f>
        <v/>
      </c>
      <c r="AF750" s="32" t="n"/>
      <c r="AG750" s="36" t="n"/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3">
        <f>IF($F751="","",IFERROR(INDEX(사건마스터!$B$5:$B$64,MATCH($F751,사건마스터!$A$5:$A$64,0)),""))</f>
        <v/>
      </c>
      <c r="H751" s="34">
        <f>IF($F751="","",IFERROR(INDEX(사건마스터!$C$5:$C$64,MATCH($F751,사건마스터!$A$5:$A$64,0)),""))</f>
        <v/>
      </c>
      <c r="I751" s="35">
        <f>IF($F751="","",IFERROR(INDEX(사건마스터!$H$5:$H$64,MATCH($F751,사건마스터!$A$5:$A$64,0)),""))</f>
        <v/>
      </c>
      <c r="J751" s="35">
        <f>IF($F751="","",IFERROR(INDEX(사건마스터!$AH$5:$AH$64,MATCH($F751,사건마스터!$A$5:$A$64,0)),""))</f>
        <v/>
      </c>
      <c r="K751" s="35">
        <f>IF($F751="","",IFERROR(INDEX(사건마스터!$AI$5:$AI$64,MATCH($F751,사건마스터!$A$5:$A$64,0)),""))</f>
        <v/>
      </c>
      <c r="L751" s="35">
        <f>IF($F751="","",IFERROR(INDEX(사건마스터!$AJ$5:$AJ$64,MATCH($F751,사건마스터!$A$5:$A$64,0)),""))</f>
        <v/>
      </c>
      <c r="M751" s="35">
        <f>IF($F751="","",IFERROR(INDEX(사건마스터!$AK$5:$AK$64,MATCH($F751,사건마스터!$A$5:$A$64,0)),""))</f>
        <v/>
      </c>
      <c r="N751" s="35">
        <f>IF($F751="","",IFERROR(INDEX(사건마스터!$AL$5:$AL$64,MATCH($F751,사건마스터!$A$5:$A$64,0)),""))</f>
        <v/>
      </c>
      <c r="O751" s="35">
        <f>IF($F751="","",IFERROR(INDEX(사건마스터!$AM$5:$AM$64,MATCH($F751,사건마스터!$A$5:$A$64,0)),""))</f>
        <v/>
      </c>
      <c r="P751" s="35">
        <f>IF($F751="","",IFERROR(INDEX(사건마스터!$AN$5:$AN$64,MATCH($F751,사건마스터!$A$5:$A$64,0)),""))</f>
        <v/>
      </c>
      <c r="Q751" s="35">
        <f>IF($F751="","",IFERROR(INDEX(사건마스터!$AO$5:$AO$64,MATCH($F751,사건마스터!$A$5:$A$64,0)),""))</f>
        <v/>
      </c>
      <c r="R751" s="35">
        <f>IF($F751="","",IFERROR(INDEX(사건마스터!$AP$5:$AP$64,MATCH($F751,사건마스터!$A$5:$A$64,0)),""))</f>
        <v/>
      </c>
      <c r="S751" s="35">
        <f>IF($F751="","",IFERROR(INDEX(사건마스터!$AQ$5:$AQ$64,MATCH($F751,사건마스터!$A$5:$A$64,0)),""))</f>
        <v/>
      </c>
      <c r="T751" s="35">
        <f>IF($F751="","",IFERROR(INDEX(사건마스터!$AR$5:$AR$64,MATCH($F751,사건마스터!$A$5:$A$64,0)),""))</f>
        <v/>
      </c>
      <c r="U751" s="35">
        <f>IF($F751="","",IFERROR(INDEX(사건마스터!$AS$5:$AS$64,MATCH($F751,사건마스터!$A$5:$A$64,0)),""))</f>
        <v/>
      </c>
      <c r="V751" s="35">
        <f>IF($F751="","",IFERROR(INDEX(사건마스터!$AT$5:$AT$64,MATCH($F751,사건마스터!$A$5:$A$64,0)),""))</f>
        <v/>
      </c>
      <c r="W751" s="35">
        <f>IF($F751="","",IFERROR(INDEX(사건마스터!$AU$5:$AU$64,MATCH($F751,사건마스터!$A$5:$A$64,0)),""))</f>
        <v/>
      </c>
      <c r="X751" s="35">
        <f>IF($F751="","",IFERROR(INDEX(사건마스터!$AV$5:$AV$64,MATCH($F751,사건마스터!$A$5:$A$64,0)),""))</f>
        <v/>
      </c>
      <c r="Y751" s="30">
        <f>IF($I751="","",COUNTIF($I751:$X751,"?*"))</f>
        <v/>
      </c>
      <c r="Z751" s="33">
        <f>IF($I751="","",_xlfn.TEXTJOIN(", ",TRUE,$I751:$X751))</f>
        <v/>
      </c>
      <c r="AA751" s="34">
        <f>IF($I751="","",IFERROR(INDEX(코드설정!$D$5:$D$24,MATCH($I751,코드설정!$C$5:$C$24,0)),""))</f>
        <v/>
      </c>
      <c r="AB751" s="36" t="n"/>
      <c r="AC751" s="37" t="n"/>
      <c r="AD751" s="38" t="n"/>
      <c r="AE751" s="30">
        <f>IF(OR($B751="",$C751=""),"",$C751-$B751+1)</f>
        <v/>
      </c>
      <c r="AF751" s="32" t="n"/>
      <c r="AG751" s="36" t="n"/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3">
        <f>IF($F752="","",IFERROR(INDEX(사건마스터!$B$5:$B$64,MATCH($F752,사건마스터!$A$5:$A$64,0)),""))</f>
        <v/>
      </c>
      <c r="H752" s="34">
        <f>IF($F752="","",IFERROR(INDEX(사건마스터!$C$5:$C$64,MATCH($F752,사건마스터!$A$5:$A$64,0)),""))</f>
        <v/>
      </c>
      <c r="I752" s="35">
        <f>IF($F752="","",IFERROR(INDEX(사건마스터!$H$5:$H$64,MATCH($F752,사건마스터!$A$5:$A$64,0)),""))</f>
        <v/>
      </c>
      <c r="J752" s="35">
        <f>IF($F752="","",IFERROR(INDEX(사건마스터!$AH$5:$AH$64,MATCH($F752,사건마스터!$A$5:$A$64,0)),""))</f>
        <v/>
      </c>
      <c r="K752" s="35">
        <f>IF($F752="","",IFERROR(INDEX(사건마스터!$AI$5:$AI$64,MATCH($F752,사건마스터!$A$5:$A$64,0)),""))</f>
        <v/>
      </c>
      <c r="L752" s="35">
        <f>IF($F752="","",IFERROR(INDEX(사건마스터!$AJ$5:$AJ$64,MATCH($F752,사건마스터!$A$5:$A$64,0)),""))</f>
        <v/>
      </c>
      <c r="M752" s="35">
        <f>IF($F752="","",IFERROR(INDEX(사건마스터!$AK$5:$AK$64,MATCH($F752,사건마스터!$A$5:$A$64,0)),""))</f>
        <v/>
      </c>
      <c r="N752" s="35">
        <f>IF($F752="","",IFERROR(INDEX(사건마스터!$AL$5:$AL$64,MATCH($F752,사건마스터!$A$5:$A$64,0)),""))</f>
        <v/>
      </c>
      <c r="O752" s="35">
        <f>IF($F752="","",IFERROR(INDEX(사건마스터!$AM$5:$AM$64,MATCH($F752,사건마스터!$A$5:$A$64,0)),""))</f>
        <v/>
      </c>
      <c r="P752" s="35">
        <f>IF($F752="","",IFERROR(INDEX(사건마스터!$AN$5:$AN$64,MATCH($F752,사건마스터!$A$5:$A$64,0)),""))</f>
        <v/>
      </c>
      <c r="Q752" s="35">
        <f>IF($F752="","",IFERROR(INDEX(사건마스터!$AO$5:$AO$64,MATCH($F752,사건마스터!$A$5:$A$64,0)),""))</f>
        <v/>
      </c>
      <c r="R752" s="35">
        <f>IF($F752="","",IFERROR(INDEX(사건마스터!$AP$5:$AP$64,MATCH($F752,사건마스터!$A$5:$A$64,0)),""))</f>
        <v/>
      </c>
      <c r="S752" s="35">
        <f>IF($F752="","",IFERROR(INDEX(사건마스터!$AQ$5:$AQ$64,MATCH($F752,사건마스터!$A$5:$A$64,0)),""))</f>
        <v/>
      </c>
      <c r="T752" s="35">
        <f>IF($F752="","",IFERROR(INDEX(사건마스터!$AR$5:$AR$64,MATCH($F752,사건마스터!$A$5:$A$64,0)),""))</f>
        <v/>
      </c>
      <c r="U752" s="35">
        <f>IF($F752="","",IFERROR(INDEX(사건마스터!$AS$5:$AS$64,MATCH($F752,사건마스터!$A$5:$A$64,0)),""))</f>
        <v/>
      </c>
      <c r="V752" s="35">
        <f>IF($F752="","",IFERROR(INDEX(사건마스터!$AT$5:$AT$64,MATCH($F752,사건마스터!$A$5:$A$64,0)),""))</f>
        <v/>
      </c>
      <c r="W752" s="35">
        <f>IF($F752="","",IFERROR(INDEX(사건마스터!$AU$5:$AU$64,MATCH($F752,사건마스터!$A$5:$A$64,0)),""))</f>
        <v/>
      </c>
      <c r="X752" s="35">
        <f>IF($F752="","",IFERROR(INDEX(사건마스터!$AV$5:$AV$64,MATCH($F752,사건마스터!$A$5:$A$64,0)),""))</f>
        <v/>
      </c>
      <c r="Y752" s="30">
        <f>IF($I752="","",COUNTIF($I752:$X752,"?*"))</f>
        <v/>
      </c>
      <c r="Z752" s="33">
        <f>IF($I752="","",_xlfn.TEXTJOIN(", ",TRUE,$I752:$X752))</f>
        <v/>
      </c>
      <c r="AA752" s="34">
        <f>IF($I752="","",IFERROR(INDEX(코드설정!$D$5:$D$24,MATCH($I752,코드설정!$C$5:$C$24,0)),""))</f>
        <v/>
      </c>
      <c r="AB752" s="36" t="n"/>
      <c r="AC752" s="37" t="n"/>
      <c r="AD752" s="38" t="n"/>
      <c r="AE752" s="30">
        <f>IF(OR($B752="",$C752=""),"",$C752-$B752+1)</f>
        <v/>
      </c>
      <c r="AF752" s="32" t="n"/>
      <c r="AG752" s="36" t="n"/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3">
        <f>IF($F753="","",IFERROR(INDEX(사건마스터!$B$5:$B$64,MATCH($F753,사건마스터!$A$5:$A$64,0)),""))</f>
        <v/>
      </c>
      <c r="H753" s="34">
        <f>IF($F753="","",IFERROR(INDEX(사건마스터!$C$5:$C$64,MATCH($F753,사건마스터!$A$5:$A$64,0)),""))</f>
        <v/>
      </c>
      <c r="I753" s="35">
        <f>IF($F753="","",IFERROR(INDEX(사건마스터!$H$5:$H$64,MATCH($F753,사건마스터!$A$5:$A$64,0)),""))</f>
        <v/>
      </c>
      <c r="J753" s="35">
        <f>IF($F753="","",IFERROR(INDEX(사건마스터!$AH$5:$AH$64,MATCH($F753,사건마스터!$A$5:$A$64,0)),""))</f>
        <v/>
      </c>
      <c r="K753" s="35">
        <f>IF($F753="","",IFERROR(INDEX(사건마스터!$AI$5:$AI$64,MATCH($F753,사건마스터!$A$5:$A$64,0)),""))</f>
        <v/>
      </c>
      <c r="L753" s="35">
        <f>IF($F753="","",IFERROR(INDEX(사건마스터!$AJ$5:$AJ$64,MATCH($F753,사건마스터!$A$5:$A$64,0)),""))</f>
        <v/>
      </c>
      <c r="M753" s="35">
        <f>IF($F753="","",IFERROR(INDEX(사건마스터!$AK$5:$AK$64,MATCH($F753,사건마스터!$A$5:$A$64,0)),""))</f>
        <v/>
      </c>
      <c r="N753" s="35">
        <f>IF($F753="","",IFERROR(INDEX(사건마스터!$AL$5:$AL$64,MATCH($F753,사건마스터!$A$5:$A$64,0)),""))</f>
        <v/>
      </c>
      <c r="O753" s="35">
        <f>IF($F753="","",IFERROR(INDEX(사건마스터!$AM$5:$AM$64,MATCH($F753,사건마스터!$A$5:$A$64,0)),""))</f>
        <v/>
      </c>
      <c r="P753" s="35">
        <f>IF($F753="","",IFERROR(INDEX(사건마스터!$AN$5:$AN$64,MATCH($F753,사건마스터!$A$5:$A$64,0)),""))</f>
        <v/>
      </c>
      <c r="Q753" s="35">
        <f>IF($F753="","",IFERROR(INDEX(사건마스터!$AO$5:$AO$64,MATCH($F753,사건마스터!$A$5:$A$64,0)),""))</f>
        <v/>
      </c>
      <c r="R753" s="35">
        <f>IF($F753="","",IFERROR(INDEX(사건마스터!$AP$5:$AP$64,MATCH($F753,사건마스터!$A$5:$A$64,0)),""))</f>
        <v/>
      </c>
      <c r="S753" s="35">
        <f>IF($F753="","",IFERROR(INDEX(사건마스터!$AQ$5:$AQ$64,MATCH($F753,사건마스터!$A$5:$A$64,0)),""))</f>
        <v/>
      </c>
      <c r="T753" s="35">
        <f>IF($F753="","",IFERROR(INDEX(사건마스터!$AR$5:$AR$64,MATCH($F753,사건마스터!$A$5:$A$64,0)),""))</f>
        <v/>
      </c>
      <c r="U753" s="35">
        <f>IF($F753="","",IFERROR(INDEX(사건마스터!$AS$5:$AS$64,MATCH($F753,사건마스터!$A$5:$A$64,0)),""))</f>
        <v/>
      </c>
      <c r="V753" s="35">
        <f>IF($F753="","",IFERROR(INDEX(사건마스터!$AT$5:$AT$64,MATCH($F753,사건마스터!$A$5:$A$64,0)),""))</f>
        <v/>
      </c>
      <c r="W753" s="35">
        <f>IF($F753="","",IFERROR(INDEX(사건마스터!$AU$5:$AU$64,MATCH($F753,사건마스터!$A$5:$A$64,0)),""))</f>
        <v/>
      </c>
      <c r="X753" s="35">
        <f>IF($F753="","",IFERROR(INDEX(사건마스터!$AV$5:$AV$64,MATCH($F753,사건마스터!$A$5:$A$64,0)),""))</f>
        <v/>
      </c>
      <c r="Y753" s="30">
        <f>IF($I753="","",COUNTIF($I753:$X753,"?*"))</f>
        <v/>
      </c>
      <c r="Z753" s="33">
        <f>IF($I753="","",_xlfn.TEXTJOIN(", ",TRUE,$I753:$X753))</f>
        <v/>
      </c>
      <c r="AA753" s="34">
        <f>IF($I753="","",IFERROR(INDEX(코드설정!$D$5:$D$24,MATCH($I753,코드설정!$C$5:$C$24,0)),""))</f>
        <v/>
      </c>
      <c r="AB753" s="36" t="n"/>
      <c r="AC753" s="37" t="n"/>
      <c r="AD753" s="38" t="n"/>
      <c r="AE753" s="30">
        <f>IF(OR($B753="",$C753=""),"",$C753-$B753+1)</f>
        <v/>
      </c>
      <c r="AF753" s="32" t="n"/>
      <c r="AG753" s="36" t="n"/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3">
        <f>IF($F754="","",IFERROR(INDEX(사건마스터!$B$5:$B$64,MATCH($F754,사건마스터!$A$5:$A$64,0)),""))</f>
        <v/>
      </c>
      <c r="H754" s="34">
        <f>IF($F754="","",IFERROR(INDEX(사건마스터!$C$5:$C$64,MATCH($F754,사건마스터!$A$5:$A$64,0)),""))</f>
        <v/>
      </c>
      <c r="I754" s="35">
        <f>IF($F754="","",IFERROR(INDEX(사건마스터!$H$5:$H$64,MATCH($F754,사건마스터!$A$5:$A$64,0)),""))</f>
        <v/>
      </c>
      <c r="J754" s="35">
        <f>IF($F754="","",IFERROR(INDEX(사건마스터!$AH$5:$AH$64,MATCH($F754,사건마스터!$A$5:$A$64,0)),""))</f>
        <v/>
      </c>
      <c r="K754" s="35">
        <f>IF($F754="","",IFERROR(INDEX(사건마스터!$AI$5:$AI$64,MATCH($F754,사건마스터!$A$5:$A$64,0)),""))</f>
        <v/>
      </c>
      <c r="L754" s="35">
        <f>IF($F754="","",IFERROR(INDEX(사건마스터!$AJ$5:$AJ$64,MATCH($F754,사건마스터!$A$5:$A$64,0)),""))</f>
        <v/>
      </c>
      <c r="M754" s="35">
        <f>IF($F754="","",IFERROR(INDEX(사건마스터!$AK$5:$AK$64,MATCH($F754,사건마스터!$A$5:$A$64,0)),""))</f>
        <v/>
      </c>
      <c r="N754" s="35">
        <f>IF($F754="","",IFERROR(INDEX(사건마스터!$AL$5:$AL$64,MATCH($F754,사건마스터!$A$5:$A$64,0)),""))</f>
        <v/>
      </c>
      <c r="O754" s="35">
        <f>IF($F754="","",IFERROR(INDEX(사건마스터!$AM$5:$AM$64,MATCH($F754,사건마스터!$A$5:$A$64,0)),""))</f>
        <v/>
      </c>
      <c r="P754" s="35">
        <f>IF($F754="","",IFERROR(INDEX(사건마스터!$AN$5:$AN$64,MATCH($F754,사건마스터!$A$5:$A$64,0)),""))</f>
        <v/>
      </c>
      <c r="Q754" s="35">
        <f>IF($F754="","",IFERROR(INDEX(사건마스터!$AO$5:$AO$64,MATCH($F754,사건마스터!$A$5:$A$64,0)),""))</f>
        <v/>
      </c>
      <c r="R754" s="35">
        <f>IF($F754="","",IFERROR(INDEX(사건마스터!$AP$5:$AP$64,MATCH($F754,사건마스터!$A$5:$A$64,0)),""))</f>
        <v/>
      </c>
      <c r="S754" s="35">
        <f>IF($F754="","",IFERROR(INDEX(사건마스터!$AQ$5:$AQ$64,MATCH($F754,사건마스터!$A$5:$A$64,0)),""))</f>
        <v/>
      </c>
      <c r="T754" s="35">
        <f>IF($F754="","",IFERROR(INDEX(사건마스터!$AR$5:$AR$64,MATCH($F754,사건마스터!$A$5:$A$64,0)),""))</f>
        <v/>
      </c>
      <c r="U754" s="35">
        <f>IF($F754="","",IFERROR(INDEX(사건마스터!$AS$5:$AS$64,MATCH($F754,사건마스터!$A$5:$A$64,0)),""))</f>
        <v/>
      </c>
      <c r="V754" s="35">
        <f>IF($F754="","",IFERROR(INDEX(사건마스터!$AT$5:$AT$64,MATCH($F754,사건마스터!$A$5:$A$64,0)),""))</f>
        <v/>
      </c>
      <c r="W754" s="35">
        <f>IF($F754="","",IFERROR(INDEX(사건마스터!$AU$5:$AU$64,MATCH($F754,사건마스터!$A$5:$A$64,0)),""))</f>
        <v/>
      </c>
      <c r="X754" s="35">
        <f>IF($F754="","",IFERROR(INDEX(사건마스터!$AV$5:$AV$64,MATCH($F754,사건마스터!$A$5:$A$64,0)),""))</f>
        <v/>
      </c>
      <c r="Y754" s="30">
        <f>IF($I754="","",COUNTIF($I754:$X754,"?*"))</f>
        <v/>
      </c>
      <c r="Z754" s="33">
        <f>IF($I754="","",_xlfn.TEXTJOIN(", ",TRUE,$I754:$X754))</f>
        <v/>
      </c>
      <c r="AA754" s="34">
        <f>IF($I754="","",IFERROR(INDEX(코드설정!$D$5:$D$24,MATCH($I754,코드설정!$C$5:$C$24,0)),""))</f>
        <v/>
      </c>
      <c r="AB754" s="36" t="n"/>
      <c r="AC754" s="37" t="n"/>
      <c r="AD754" s="38" t="n"/>
      <c r="AE754" s="30">
        <f>IF(OR($B754="",$C754=""),"",$C754-$B754+1)</f>
        <v/>
      </c>
      <c r="AF754" s="32" t="n"/>
      <c r="AG754" s="36" t="n"/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3">
        <f>IF($F755="","",IFERROR(INDEX(사건마스터!$B$5:$B$64,MATCH($F755,사건마스터!$A$5:$A$64,0)),""))</f>
        <v/>
      </c>
      <c r="H755" s="34">
        <f>IF($F755="","",IFERROR(INDEX(사건마스터!$C$5:$C$64,MATCH($F755,사건마스터!$A$5:$A$64,0)),""))</f>
        <v/>
      </c>
      <c r="I755" s="35">
        <f>IF($F755="","",IFERROR(INDEX(사건마스터!$H$5:$H$64,MATCH($F755,사건마스터!$A$5:$A$64,0)),""))</f>
        <v/>
      </c>
      <c r="J755" s="35">
        <f>IF($F755="","",IFERROR(INDEX(사건마스터!$AH$5:$AH$64,MATCH($F755,사건마스터!$A$5:$A$64,0)),""))</f>
        <v/>
      </c>
      <c r="K755" s="35">
        <f>IF($F755="","",IFERROR(INDEX(사건마스터!$AI$5:$AI$64,MATCH($F755,사건마스터!$A$5:$A$64,0)),""))</f>
        <v/>
      </c>
      <c r="L755" s="35">
        <f>IF($F755="","",IFERROR(INDEX(사건마스터!$AJ$5:$AJ$64,MATCH($F755,사건마스터!$A$5:$A$64,0)),""))</f>
        <v/>
      </c>
      <c r="M755" s="35">
        <f>IF($F755="","",IFERROR(INDEX(사건마스터!$AK$5:$AK$64,MATCH($F755,사건마스터!$A$5:$A$64,0)),""))</f>
        <v/>
      </c>
      <c r="N755" s="35">
        <f>IF($F755="","",IFERROR(INDEX(사건마스터!$AL$5:$AL$64,MATCH($F755,사건마스터!$A$5:$A$64,0)),""))</f>
        <v/>
      </c>
      <c r="O755" s="35">
        <f>IF($F755="","",IFERROR(INDEX(사건마스터!$AM$5:$AM$64,MATCH($F755,사건마스터!$A$5:$A$64,0)),""))</f>
        <v/>
      </c>
      <c r="P755" s="35">
        <f>IF($F755="","",IFERROR(INDEX(사건마스터!$AN$5:$AN$64,MATCH($F755,사건마스터!$A$5:$A$64,0)),""))</f>
        <v/>
      </c>
      <c r="Q755" s="35">
        <f>IF($F755="","",IFERROR(INDEX(사건마스터!$AO$5:$AO$64,MATCH($F755,사건마스터!$A$5:$A$64,0)),""))</f>
        <v/>
      </c>
      <c r="R755" s="35">
        <f>IF($F755="","",IFERROR(INDEX(사건마스터!$AP$5:$AP$64,MATCH($F755,사건마스터!$A$5:$A$64,0)),""))</f>
        <v/>
      </c>
      <c r="S755" s="35">
        <f>IF($F755="","",IFERROR(INDEX(사건마스터!$AQ$5:$AQ$64,MATCH($F755,사건마스터!$A$5:$A$64,0)),""))</f>
        <v/>
      </c>
      <c r="T755" s="35">
        <f>IF($F755="","",IFERROR(INDEX(사건마스터!$AR$5:$AR$64,MATCH($F755,사건마스터!$A$5:$A$64,0)),""))</f>
        <v/>
      </c>
      <c r="U755" s="35">
        <f>IF($F755="","",IFERROR(INDEX(사건마스터!$AS$5:$AS$64,MATCH($F755,사건마스터!$A$5:$A$64,0)),""))</f>
        <v/>
      </c>
      <c r="V755" s="35">
        <f>IF($F755="","",IFERROR(INDEX(사건마스터!$AT$5:$AT$64,MATCH($F755,사건마스터!$A$5:$A$64,0)),""))</f>
        <v/>
      </c>
      <c r="W755" s="35">
        <f>IF($F755="","",IFERROR(INDEX(사건마스터!$AU$5:$AU$64,MATCH($F755,사건마스터!$A$5:$A$64,0)),""))</f>
        <v/>
      </c>
      <c r="X755" s="35">
        <f>IF($F755="","",IFERROR(INDEX(사건마스터!$AV$5:$AV$64,MATCH($F755,사건마스터!$A$5:$A$64,0)),""))</f>
        <v/>
      </c>
      <c r="Y755" s="30">
        <f>IF($I755="","",COUNTIF($I755:$X755,"?*"))</f>
        <v/>
      </c>
      <c r="Z755" s="33">
        <f>IF($I755="","",_xlfn.TEXTJOIN(", ",TRUE,$I755:$X755))</f>
        <v/>
      </c>
      <c r="AA755" s="34">
        <f>IF($I755="","",IFERROR(INDEX(코드설정!$D$5:$D$24,MATCH($I755,코드설정!$C$5:$C$24,0)),""))</f>
        <v/>
      </c>
      <c r="AB755" s="36" t="n"/>
      <c r="AC755" s="37" t="n"/>
      <c r="AD755" s="38" t="n"/>
      <c r="AE755" s="30">
        <f>IF(OR($B755="",$C755=""),"",$C755-$B755+1)</f>
        <v/>
      </c>
      <c r="AF755" s="32" t="n"/>
      <c r="AG755" s="36" t="n"/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3">
        <f>IF($F756="","",IFERROR(INDEX(사건마스터!$B$5:$B$64,MATCH($F756,사건마스터!$A$5:$A$64,0)),""))</f>
        <v/>
      </c>
      <c r="H756" s="34">
        <f>IF($F756="","",IFERROR(INDEX(사건마스터!$C$5:$C$64,MATCH($F756,사건마스터!$A$5:$A$64,0)),""))</f>
        <v/>
      </c>
      <c r="I756" s="35">
        <f>IF($F756="","",IFERROR(INDEX(사건마스터!$H$5:$H$64,MATCH($F756,사건마스터!$A$5:$A$64,0)),""))</f>
        <v/>
      </c>
      <c r="J756" s="35">
        <f>IF($F756="","",IFERROR(INDEX(사건마스터!$AH$5:$AH$64,MATCH($F756,사건마스터!$A$5:$A$64,0)),""))</f>
        <v/>
      </c>
      <c r="K756" s="35">
        <f>IF($F756="","",IFERROR(INDEX(사건마스터!$AI$5:$AI$64,MATCH($F756,사건마스터!$A$5:$A$64,0)),""))</f>
        <v/>
      </c>
      <c r="L756" s="35">
        <f>IF($F756="","",IFERROR(INDEX(사건마스터!$AJ$5:$AJ$64,MATCH($F756,사건마스터!$A$5:$A$64,0)),""))</f>
        <v/>
      </c>
      <c r="M756" s="35">
        <f>IF($F756="","",IFERROR(INDEX(사건마스터!$AK$5:$AK$64,MATCH($F756,사건마스터!$A$5:$A$64,0)),""))</f>
        <v/>
      </c>
      <c r="N756" s="35">
        <f>IF($F756="","",IFERROR(INDEX(사건마스터!$AL$5:$AL$64,MATCH($F756,사건마스터!$A$5:$A$64,0)),""))</f>
        <v/>
      </c>
      <c r="O756" s="35">
        <f>IF($F756="","",IFERROR(INDEX(사건마스터!$AM$5:$AM$64,MATCH($F756,사건마스터!$A$5:$A$64,0)),""))</f>
        <v/>
      </c>
      <c r="P756" s="35">
        <f>IF($F756="","",IFERROR(INDEX(사건마스터!$AN$5:$AN$64,MATCH($F756,사건마스터!$A$5:$A$64,0)),""))</f>
        <v/>
      </c>
      <c r="Q756" s="35">
        <f>IF($F756="","",IFERROR(INDEX(사건마스터!$AO$5:$AO$64,MATCH($F756,사건마스터!$A$5:$A$64,0)),""))</f>
        <v/>
      </c>
      <c r="R756" s="35">
        <f>IF($F756="","",IFERROR(INDEX(사건마스터!$AP$5:$AP$64,MATCH($F756,사건마스터!$A$5:$A$64,0)),""))</f>
        <v/>
      </c>
      <c r="S756" s="35">
        <f>IF($F756="","",IFERROR(INDEX(사건마스터!$AQ$5:$AQ$64,MATCH($F756,사건마스터!$A$5:$A$64,0)),""))</f>
        <v/>
      </c>
      <c r="T756" s="35">
        <f>IF($F756="","",IFERROR(INDEX(사건마스터!$AR$5:$AR$64,MATCH($F756,사건마스터!$A$5:$A$64,0)),""))</f>
        <v/>
      </c>
      <c r="U756" s="35">
        <f>IF($F756="","",IFERROR(INDEX(사건마스터!$AS$5:$AS$64,MATCH($F756,사건마스터!$A$5:$A$64,0)),""))</f>
        <v/>
      </c>
      <c r="V756" s="35">
        <f>IF($F756="","",IFERROR(INDEX(사건마스터!$AT$5:$AT$64,MATCH($F756,사건마스터!$A$5:$A$64,0)),""))</f>
        <v/>
      </c>
      <c r="W756" s="35">
        <f>IF($F756="","",IFERROR(INDEX(사건마스터!$AU$5:$AU$64,MATCH($F756,사건마스터!$A$5:$A$64,0)),""))</f>
        <v/>
      </c>
      <c r="X756" s="35">
        <f>IF($F756="","",IFERROR(INDEX(사건마스터!$AV$5:$AV$64,MATCH($F756,사건마스터!$A$5:$A$64,0)),""))</f>
        <v/>
      </c>
      <c r="Y756" s="30">
        <f>IF($I756="","",COUNTIF($I756:$X756,"?*"))</f>
        <v/>
      </c>
      <c r="Z756" s="33">
        <f>IF($I756="","",_xlfn.TEXTJOIN(", ",TRUE,$I756:$X756))</f>
        <v/>
      </c>
      <c r="AA756" s="34">
        <f>IF($I756="","",IFERROR(INDEX(코드설정!$D$5:$D$24,MATCH($I756,코드설정!$C$5:$C$24,0)),""))</f>
        <v/>
      </c>
      <c r="AB756" s="36" t="n"/>
      <c r="AC756" s="37" t="n"/>
      <c r="AD756" s="38" t="n"/>
      <c r="AE756" s="30">
        <f>IF(OR($B756="",$C756=""),"",$C756-$B756+1)</f>
        <v/>
      </c>
      <c r="AF756" s="32" t="n"/>
      <c r="AG756" s="36" t="n"/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3">
        <f>IF($F757="","",IFERROR(INDEX(사건마스터!$B$5:$B$64,MATCH($F757,사건마스터!$A$5:$A$64,0)),""))</f>
        <v/>
      </c>
      <c r="H757" s="34">
        <f>IF($F757="","",IFERROR(INDEX(사건마스터!$C$5:$C$64,MATCH($F757,사건마스터!$A$5:$A$64,0)),""))</f>
        <v/>
      </c>
      <c r="I757" s="35">
        <f>IF($F757="","",IFERROR(INDEX(사건마스터!$H$5:$H$64,MATCH($F757,사건마스터!$A$5:$A$64,0)),""))</f>
        <v/>
      </c>
      <c r="J757" s="35">
        <f>IF($F757="","",IFERROR(INDEX(사건마스터!$AH$5:$AH$64,MATCH($F757,사건마스터!$A$5:$A$64,0)),""))</f>
        <v/>
      </c>
      <c r="K757" s="35">
        <f>IF($F757="","",IFERROR(INDEX(사건마스터!$AI$5:$AI$64,MATCH($F757,사건마스터!$A$5:$A$64,0)),""))</f>
        <v/>
      </c>
      <c r="L757" s="35">
        <f>IF($F757="","",IFERROR(INDEX(사건마스터!$AJ$5:$AJ$64,MATCH($F757,사건마스터!$A$5:$A$64,0)),""))</f>
        <v/>
      </c>
      <c r="M757" s="35">
        <f>IF($F757="","",IFERROR(INDEX(사건마스터!$AK$5:$AK$64,MATCH($F757,사건마스터!$A$5:$A$64,0)),""))</f>
        <v/>
      </c>
      <c r="N757" s="35">
        <f>IF($F757="","",IFERROR(INDEX(사건마스터!$AL$5:$AL$64,MATCH($F757,사건마스터!$A$5:$A$64,0)),""))</f>
        <v/>
      </c>
      <c r="O757" s="35">
        <f>IF($F757="","",IFERROR(INDEX(사건마스터!$AM$5:$AM$64,MATCH($F757,사건마스터!$A$5:$A$64,0)),""))</f>
        <v/>
      </c>
      <c r="P757" s="35">
        <f>IF($F757="","",IFERROR(INDEX(사건마스터!$AN$5:$AN$64,MATCH($F757,사건마스터!$A$5:$A$64,0)),""))</f>
        <v/>
      </c>
      <c r="Q757" s="35">
        <f>IF($F757="","",IFERROR(INDEX(사건마스터!$AO$5:$AO$64,MATCH($F757,사건마스터!$A$5:$A$64,0)),""))</f>
        <v/>
      </c>
      <c r="R757" s="35">
        <f>IF($F757="","",IFERROR(INDEX(사건마스터!$AP$5:$AP$64,MATCH($F757,사건마스터!$A$5:$A$64,0)),""))</f>
        <v/>
      </c>
      <c r="S757" s="35">
        <f>IF($F757="","",IFERROR(INDEX(사건마스터!$AQ$5:$AQ$64,MATCH($F757,사건마스터!$A$5:$A$64,0)),""))</f>
        <v/>
      </c>
      <c r="T757" s="35">
        <f>IF($F757="","",IFERROR(INDEX(사건마스터!$AR$5:$AR$64,MATCH($F757,사건마스터!$A$5:$A$64,0)),""))</f>
        <v/>
      </c>
      <c r="U757" s="35">
        <f>IF($F757="","",IFERROR(INDEX(사건마스터!$AS$5:$AS$64,MATCH($F757,사건마스터!$A$5:$A$64,0)),""))</f>
        <v/>
      </c>
      <c r="V757" s="35">
        <f>IF($F757="","",IFERROR(INDEX(사건마스터!$AT$5:$AT$64,MATCH($F757,사건마스터!$A$5:$A$64,0)),""))</f>
        <v/>
      </c>
      <c r="W757" s="35">
        <f>IF($F757="","",IFERROR(INDEX(사건마스터!$AU$5:$AU$64,MATCH($F757,사건마스터!$A$5:$A$64,0)),""))</f>
        <v/>
      </c>
      <c r="X757" s="35">
        <f>IF($F757="","",IFERROR(INDEX(사건마스터!$AV$5:$AV$64,MATCH($F757,사건마스터!$A$5:$A$64,0)),""))</f>
        <v/>
      </c>
      <c r="Y757" s="30">
        <f>IF($I757="","",COUNTIF($I757:$X757,"?*"))</f>
        <v/>
      </c>
      <c r="Z757" s="33">
        <f>IF($I757="","",_xlfn.TEXTJOIN(", ",TRUE,$I757:$X757))</f>
        <v/>
      </c>
      <c r="AA757" s="34">
        <f>IF($I757="","",IFERROR(INDEX(코드설정!$D$5:$D$24,MATCH($I757,코드설정!$C$5:$C$24,0)),""))</f>
        <v/>
      </c>
      <c r="AB757" s="36" t="n"/>
      <c r="AC757" s="37" t="n"/>
      <c r="AD757" s="38" t="n"/>
      <c r="AE757" s="30">
        <f>IF(OR($B757="",$C757=""),"",$C757-$B757+1)</f>
        <v/>
      </c>
      <c r="AF757" s="32" t="n"/>
      <c r="AG757" s="36" t="n"/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3">
        <f>IF($F758="","",IFERROR(INDEX(사건마스터!$B$5:$B$64,MATCH($F758,사건마스터!$A$5:$A$64,0)),""))</f>
        <v/>
      </c>
      <c r="H758" s="34">
        <f>IF($F758="","",IFERROR(INDEX(사건마스터!$C$5:$C$64,MATCH($F758,사건마스터!$A$5:$A$64,0)),""))</f>
        <v/>
      </c>
      <c r="I758" s="35">
        <f>IF($F758="","",IFERROR(INDEX(사건마스터!$H$5:$H$64,MATCH($F758,사건마스터!$A$5:$A$64,0)),""))</f>
        <v/>
      </c>
      <c r="J758" s="35">
        <f>IF($F758="","",IFERROR(INDEX(사건마스터!$AH$5:$AH$64,MATCH($F758,사건마스터!$A$5:$A$64,0)),""))</f>
        <v/>
      </c>
      <c r="K758" s="35">
        <f>IF($F758="","",IFERROR(INDEX(사건마스터!$AI$5:$AI$64,MATCH($F758,사건마스터!$A$5:$A$64,0)),""))</f>
        <v/>
      </c>
      <c r="L758" s="35">
        <f>IF($F758="","",IFERROR(INDEX(사건마스터!$AJ$5:$AJ$64,MATCH($F758,사건마스터!$A$5:$A$64,0)),""))</f>
        <v/>
      </c>
      <c r="M758" s="35">
        <f>IF($F758="","",IFERROR(INDEX(사건마스터!$AK$5:$AK$64,MATCH($F758,사건마스터!$A$5:$A$64,0)),""))</f>
        <v/>
      </c>
      <c r="N758" s="35">
        <f>IF($F758="","",IFERROR(INDEX(사건마스터!$AL$5:$AL$64,MATCH($F758,사건마스터!$A$5:$A$64,0)),""))</f>
        <v/>
      </c>
      <c r="O758" s="35">
        <f>IF($F758="","",IFERROR(INDEX(사건마스터!$AM$5:$AM$64,MATCH($F758,사건마스터!$A$5:$A$64,0)),""))</f>
        <v/>
      </c>
      <c r="P758" s="35">
        <f>IF($F758="","",IFERROR(INDEX(사건마스터!$AN$5:$AN$64,MATCH($F758,사건마스터!$A$5:$A$64,0)),""))</f>
        <v/>
      </c>
      <c r="Q758" s="35">
        <f>IF($F758="","",IFERROR(INDEX(사건마스터!$AO$5:$AO$64,MATCH($F758,사건마스터!$A$5:$A$64,0)),""))</f>
        <v/>
      </c>
      <c r="R758" s="35">
        <f>IF($F758="","",IFERROR(INDEX(사건마스터!$AP$5:$AP$64,MATCH($F758,사건마스터!$A$5:$A$64,0)),""))</f>
        <v/>
      </c>
      <c r="S758" s="35">
        <f>IF($F758="","",IFERROR(INDEX(사건마스터!$AQ$5:$AQ$64,MATCH($F758,사건마스터!$A$5:$A$64,0)),""))</f>
        <v/>
      </c>
      <c r="T758" s="35">
        <f>IF($F758="","",IFERROR(INDEX(사건마스터!$AR$5:$AR$64,MATCH($F758,사건마스터!$A$5:$A$64,0)),""))</f>
        <v/>
      </c>
      <c r="U758" s="35">
        <f>IF($F758="","",IFERROR(INDEX(사건마스터!$AS$5:$AS$64,MATCH($F758,사건마스터!$A$5:$A$64,0)),""))</f>
        <v/>
      </c>
      <c r="V758" s="35">
        <f>IF($F758="","",IFERROR(INDEX(사건마스터!$AT$5:$AT$64,MATCH($F758,사건마스터!$A$5:$A$64,0)),""))</f>
        <v/>
      </c>
      <c r="W758" s="35">
        <f>IF($F758="","",IFERROR(INDEX(사건마스터!$AU$5:$AU$64,MATCH($F758,사건마스터!$A$5:$A$64,0)),""))</f>
        <v/>
      </c>
      <c r="X758" s="35">
        <f>IF($F758="","",IFERROR(INDEX(사건마스터!$AV$5:$AV$64,MATCH($F758,사건마스터!$A$5:$A$64,0)),""))</f>
        <v/>
      </c>
      <c r="Y758" s="30">
        <f>IF($I758="","",COUNTIF($I758:$X758,"?*"))</f>
        <v/>
      </c>
      <c r="Z758" s="33">
        <f>IF($I758="","",_xlfn.TEXTJOIN(", ",TRUE,$I758:$X758))</f>
        <v/>
      </c>
      <c r="AA758" s="34">
        <f>IF($I758="","",IFERROR(INDEX(코드설정!$D$5:$D$24,MATCH($I758,코드설정!$C$5:$C$24,0)),""))</f>
        <v/>
      </c>
      <c r="AB758" s="36" t="n"/>
      <c r="AC758" s="37" t="n"/>
      <c r="AD758" s="38" t="n"/>
      <c r="AE758" s="30">
        <f>IF(OR($B758="",$C758=""),"",$C758-$B758+1)</f>
        <v/>
      </c>
      <c r="AF758" s="32" t="n"/>
      <c r="AG758" s="36" t="n"/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3">
        <f>IF($F759="","",IFERROR(INDEX(사건마스터!$B$5:$B$64,MATCH($F759,사건마스터!$A$5:$A$64,0)),""))</f>
        <v/>
      </c>
      <c r="H759" s="34">
        <f>IF($F759="","",IFERROR(INDEX(사건마스터!$C$5:$C$64,MATCH($F759,사건마스터!$A$5:$A$64,0)),""))</f>
        <v/>
      </c>
      <c r="I759" s="35">
        <f>IF($F759="","",IFERROR(INDEX(사건마스터!$H$5:$H$64,MATCH($F759,사건마스터!$A$5:$A$64,0)),""))</f>
        <v/>
      </c>
      <c r="J759" s="35">
        <f>IF($F759="","",IFERROR(INDEX(사건마스터!$AH$5:$AH$64,MATCH($F759,사건마스터!$A$5:$A$64,0)),""))</f>
        <v/>
      </c>
      <c r="K759" s="35">
        <f>IF($F759="","",IFERROR(INDEX(사건마스터!$AI$5:$AI$64,MATCH($F759,사건마스터!$A$5:$A$64,0)),""))</f>
        <v/>
      </c>
      <c r="L759" s="35">
        <f>IF($F759="","",IFERROR(INDEX(사건마스터!$AJ$5:$AJ$64,MATCH($F759,사건마스터!$A$5:$A$64,0)),""))</f>
        <v/>
      </c>
      <c r="M759" s="35">
        <f>IF($F759="","",IFERROR(INDEX(사건마스터!$AK$5:$AK$64,MATCH($F759,사건마스터!$A$5:$A$64,0)),""))</f>
        <v/>
      </c>
      <c r="N759" s="35">
        <f>IF($F759="","",IFERROR(INDEX(사건마스터!$AL$5:$AL$64,MATCH($F759,사건마스터!$A$5:$A$64,0)),""))</f>
        <v/>
      </c>
      <c r="O759" s="35">
        <f>IF($F759="","",IFERROR(INDEX(사건마스터!$AM$5:$AM$64,MATCH($F759,사건마스터!$A$5:$A$64,0)),""))</f>
        <v/>
      </c>
      <c r="P759" s="35">
        <f>IF($F759="","",IFERROR(INDEX(사건마스터!$AN$5:$AN$64,MATCH($F759,사건마스터!$A$5:$A$64,0)),""))</f>
        <v/>
      </c>
      <c r="Q759" s="35">
        <f>IF($F759="","",IFERROR(INDEX(사건마스터!$AO$5:$AO$64,MATCH($F759,사건마스터!$A$5:$A$64,0)),""))</f>
        <v/>
      </c>
      <c r="R759" s="35">
        <f>IF($F759="","",IFERROR(INDEX(사건마스터!$AP$5:$AP$64,MATCH($F759,사건마스터!$A$5:$A$64,0)),""))</f>
        <v/>
      </c>
      <c r="S759" s="35">
        <f>IF($F759="","",IFERROR(INDEX(사건마스터!$AQ$5:$AQ$64,MATCH($F759,사건마스터!$A$5:$A$64,0)),""))</f>
        <v/>
      </c>
      <c r="T759" s="35">
        <f>IF($F759="","",IFERROR(INDEX(사건마스터!$AR$5:$AR$64,MATCH($F759,사건마스터!$A$5:$A$64,0)),""))</f>
        <v/>
      </c>
      <c r="U759" s="35">
        <f>IF($F759="","",IFERROR(INDEX(사건마스터!$AS$5:$AS$64,MATCH($F759,사건마스터!$A$5:$A$64,0)),""))</f>
        <v/>
      </c>
      <c r="V759" s="35">
        <f>IF($F759="","",IFERROR(INDEX(사건마스터!$AT$5:$AT$64,MATCH($F759,사건마스터!$A$5:$A$64,0)),""))</f>
        <v/>
      </c>
      <c r="W759" s="35">
        <f>IF($F759="","",IFERROR(INDEX(사건마스터!$AU$5:$AU$64,MATCH($F759,사건마스터!$A$5:$A$64,0)),""))</f>
        <v/>
      </c>
      <c r="X759" s="35">
        <f>IF($F759="","",IFERROR(INDEX(사건마스터!$AV$5:$AV$64,MATCH($F759,사건마스터!$A$5:$A$64,0)),""))</f>
        <v/>
      </c>
      <c r="Y759" s="30">
        <f>IF($I759="","",COUNTIF($I759:$X759,"?*"))</f>
        <v/>
      </c>
      <c r="Z759" s="33">
        <f>IF($I759="","",_xlfn.TEXTJOIN(", ",TRUE,$I759:$X759))</f>
        <v/>
      </c>
      <c r="AA759" s="34">
        <f>IF($I759="","",IFERROR(INDEX(코드설정!$D$5:$D$24,MATCH($I759,코드설정!$C$5:$C$24,0)),""))</f>
        <v/>
      </c>
      <c r="AB759" s="36" t="n"/>
      <c r="AC759" s="37" t="n"/>
      <c r="AD759" s="38" t="n"/>
      <c r="AE759" s="30">
        <f>IF(OR($B759="",$C759=""),"",$C759-$B759+1)</f>
        <v/>
      </c>
      <c r="AF759" s="32" t="n"/>
      <c r="AG759" s="36" t="n"/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3">
        <f>IF($F760="","",IFERROR(INDEX(사건마스터!$B$5:$B$64,MATCH($F760,사건마스터!$A$5:$A$64,0)),""))</f>
        <v/>
      </c>
      <c r="H760" s="34">
        <f>IF($F760="","",IFERROR(INDEX(사건마스터!$C$5:$C$64,MATCH($F760,사건마스터!$A$5:$A$64,0)),""))</f>
        <v/>
      </c>
      <c r="I760" s="35">
        <f>IF($F760="","",IFERROR(INDEX(사건마스터!$H$5:$H$64,MATCH($F760,사건마스터!$A$5:$A$64,0)),""))</f>
        <v/>
      </c>
      <c r="J760" s="35">
        <f>IF($F760="","",IFERROR(INDEX(사건마스터!$AH$5:$AH$64,MATCH($F760,사건마스터!$A$5:$A$64,0)),""))</f>
        <v/>
      </c>
      <c r="K760" s="35">
        <f>IF($F760="","",IFERROR(INDEX(사건마스터!$AI$5:$AI$64,MATCH($F760,사건마스터!$A$5:$A$64,0)),""))</f>
        <v/>
      </c>
      <c r="L760" s="35">
        <f>IF($F760="","",IFERROR(INDEX(사건마스터!$AJ$5:$AJ$64,MATCH($F760,사건마스터!$A$5:$A$64,0)),""))</f>
        <v/>
      </c>
      <c r="M760" s="35">
        <f>IF($F760="","",IFERROR(INDEX(사건마스터!$AK$5:$AK$64,MATCH($F760,사건마스터!$A$5:$A$64,0)),""))</f>
        <v/>
      </c>
      <c r="N760" s="35">
        <f>IF($F760="","",IFERROR(INDEX(사건마스터!$AL$5:$AL$64,MATCH($F760,사건마스터!$A$5:$A$64,0)),""))</f>
        <v/>
      </c>
      <c r="O760" s="35">
        <f>IF($F760="","",IFERROR(INDEX(사건마스터!$AM$5:$AM$64,MATCH($F760,사건마스터!$A$5:$A$64,0)),""))</f>
        <v/>
      </c>
      <c r="P760" s="35">
        <f>IF($F760="","",IFERROR(INDEX(사건마스터!$AN$5:$AN$64,MATCH($F760,사건마스터!$A$5:$A$64,0)),""))</f>
        <v/>
      </c>
      <c r="Q760" s="35">
        <f>IF($F760="","",IFERROR(INDEX(사건마스터!$AO$5:$AO$64,MATCH($F760,사건마스터!$A$5:$A$64,0)),""))</f>
        <v/>
      </c>
      <c r="R760" s="35">
        <f>IF($F760="","",IFERROR(INDEX(사건마스터!$AP$5:$AP$64,MATCH($F760,사건마스터!$A$5:$A$64,0)),""))</f>
        <v/>
      </c>
      <c r="S760" s="35">
        <f>IF($F760="","",IFERROR(INDEX(사건마스터!$AQ$5:$AQ$64,MATCH($F760,사건마스터!$A$5:$A$64,0)),""))</f>
        <v/>
      </c>
      <c r="T760" s="35">
        <f>IF($F760="","",IFERROR(INDEX(사건마스터!$AR$5:$AR$64,MATCH($F760,사건마스터!$A$5:$A$64,0)),""))</f>
        <v/>
      </c>
      <c r="U760" s="35">
        <f>IF($F760="","",IFERROR(INDEX(사건마스터!$AS$5:$AS$64,MATCH($F760,사건마스터!$A$5:$A$64,0)),""))</f>
        <v/>
      </c>
      <c r="V760" s="35">
        <f>IF($F760="","",IFERROR(INDEX(사건마스터!$AT$5:$AT$64,MATCH($F760,사건마스터!$A$5:$A$64,0)),""))</f>
        <v/>
      </c>
      <c r="W760" s="35">
        <f>IF($F760="","",IFERROR(INDEX(사건마스터!$AU$5:$AU$64,MATCH($F760,사건마스터!$A$5:$A$64,0)),""))</f>
        <v/>
      </c>
      <c r="X760" s="35">
        <f>IF($F760="","",IFERROR(INDEX(사건마스터!$AV$5:$AV$64,MATCH($F760,사건마스터!$A$5:$A$64,0)),""))</f>
        <v/>
      </c>
      <c r="Y760" s="30">
        <f>IF($I760="","",COUNTIF($I760:$X760,"?*"))</f>
        <v/>
      </c>
      <c r="Z760" s="33">
        <f>IF($I760="","",_xlfn.TEXTJOIN(", ",TRUE,$I760:$X760))</f>
        <v/>
      </c>
      <c r="AA760" s="34">
        <f>IF($I760="","",IFERROR(INDEX(코드설정!$D$5:$D$24,MATCH($I760,코드설정!$C$5:$C$24,0)),""))</f>
        <v/>
      </c>
      <c r="AB760" s="36" t="n"/>
      <c r="AC760" s="37" t="n"/>
      <c r="AD760" s="38" t="n"/>
      <c r="AE760" s="30">
        <f>IF(OR($B760="",$C760=""),"",$C760-$B760+1)</f>
        <v/>
      </c>
      <c r="AF760" s="32" t="n"/>
      <c r="AG760" s="36" t="n"/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3">
        <f>IF($F761="","",IFERROR(INDEX(사건마스터!$B$5:$B$64,MATCH($F761,사건마스터!$A$5:$A$64,0)),""))</f>
        <v/>
      </c>
      <c r="H761" s="34">
        <f>IF($F761="","",IFERROR(INDEX(사건마스터!$C$5:$C$64,MATCH($F761,사건마스터!$A$5:$A$64,0)),""))</f>
        <v/>
      </c>
      <c r="I761" s="35">
        <f>IF($F761="","",IFERROR(INDEX(사건마스터!$H$5:$H$64,MATCH($F761,사건마스터!$A$5:$A$64,0)),""))</f>
        <v/>
      </c>
      <c r="J761" s="35">
        <f>IF($F761="","",IFERROR(INDEX(사건마스터!$AH$5:$AH$64,MATCH($F761,사건마스터!$A$5:$A$64,0)),""))</f>
        <v/>
      </c>
      <c r="K761" s="35">
        <f>IF($F761="","",IFERROR(INDEX(사건마스터!$AI$5:$AI$64,MATCH($F761,사건마스터!$A$5:$A$64,0)),""))</f>
        <v/>
      </c>
      <c r="L761" s="35">
        <f>IF($F761="","",IFERROR(INDEX(사건마스터!$AJ$5:$AJ$64,MATCH($F761,사건마스터!$A$5:$A$64,0)),""))</f>
        <v/>
      </c>
      <c r="M761" s="35">
        <f>IF($F761="","",IFERROR(INDEX(사건마스터!$AK$5:$AK$64,MATCH($F761,사건마스터!$A$5:$A$64,0)),""))</f>
        <v/>
      </c>
      <c r="N761" s="35">
        <f>IF($F761="","",IFERROR(INDEX(사건마스터!$AL$5:$AL$64,MATCH($F761,사건마스터!$A$5:$A$64,0)),""))</f>
        <v/>
      </c>
      <c r="O761" s="35">
        <f>IF($F761="","",IFERROR(INDEX(사건마스터!$AM$5:$AM$64,MATCH($F761,사건마스터!$A$5:$A$64,0)),""))</f>
        <v/>
      </c>
      <c r="P761" s="35">
        <f>IF($F761="","",IFERROR(INDEX(사건마스터!$AN$5:$AN$64,MATCH($F761,사건마스터!$A$5:$A$64,0)),""))</f>
        <v/>
      </c>
      <c r="Q761" s="35">
        <f>IF($F761="","",IFERROR(INDEX(사건마스터!$AO$5:$AO$64,MATCH($F761,사건마스터!$A$5:$A$64,0)),""))</f>
        <v/>
      </c>
      <c r="R761" s="35">
        <f>IF($F761="","",IFERROR(INDEX(사건마스터!$AP$5:$AP$64,MATCH($F761,사건마스터!$A$5:$A$64,0)),""))</f>
        <v/>
      </c>
      <c r="S761" s="35">
        <f>IF($F761="","",IFERROR(INDEX(사건마스터!$AQ$5:$AQ$64,MATCH($F761,사건마스터!$A$5:$A$64,0)),""))</f>
        <v/>
      </c>
      <c r="T761" s="35">
        <f>IF($F761="","",IFERROR(INDEX(사건마스터!$AR$5:$AR$64,MATCH($F761,사건마스터!$A$5:$A$64,0)),""))</f>
        <v/>
      </c>
      <c r="U761" s="35">
        <f>IF($F761="","",IFERROR(INDEX(사건마스터!$AS$5:$AS$64,MATCH($F761,사건마스터!$A$5:$A$64,0)),""))</f>
        <v/>
      </c>
      <c r="V761" s="35">
        <f>IF($F761="","",IFERROR(INDEX(사건마스터!$AT$5:$AT$64,MATCH($F761,사건마스터!$A$5:$A$64,0)),""))</f>
        <v/>
      </c>
      <c r="W761" s="35">
        <f>IF($F761="","",IFERROR(INDEX(사건마스터!$AU$5:$AU$64,MATCH($F761,사건마스터!$A$5:$A$64,0)),""))</f>
        <v/>
      </c>
      <c r="X761" s="35">
        <f>IF($F761="","",IFERROR(INDEX(사건마스터!$AV$5:$AV$64,MATCH($F761,사건마스터!$A$5:$A$64,0)),""))</f>
        <v/>
      </c>
      <c r="Y761" s="30">
        <f>IF($I761="","",COUNTIF($I761:$X761,"?*"))</f>
        <v/>
      </c>
      <c r="Z761" s="33">
        <f>IF($I761="","",_xlfn.TEXTJOIN(", ",TRUE,$I761:$X761))</f>
        <v/>
      </c>
      <c r="AA761" s="34">
        <f>IF($I761="","",IFERROR(INDEX(코드설정!$D$5:$D$24,MATCH($I761,코드설정!$C$5:$C$24,0)),""))</f>
        <v/>
      </c>
      <c r="AB761" s="36" t="n"/>
      <c r="AC761" s="37" t="n"/>
      <c r="AD761" s="38" t="n"/>
      <c r="AE761" s="30">
        <f>IF(OR($B761="",$C761=""),"",$C761-$B761+1)</f>
        <v/>
      </c>
      <c r="AF761" s="32" t="n"/>
      <c r="AG761" s="36" t="n"/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3">
        <f>IF($F762="","",IFERROR(INDEX(사건마스터!$B$5:$B$64,MATCH($F762,사건마스터!$A$5:$A$64,0)),""))</f>
        <v/>
      </c>
      <c r="H762" s="34">
        <f>IF($F762="","",IFERROR(INDEX(사건마스터!$C$5:$C$64,MATCH($F762,사건마스터!$A$5:$A$64,0)),""))</f>
        <v/>
      </c>
      <c r="I762" s="35">
        <f>IF($F762="","",IFERROR(INDEX(사건마스터!$H$5:$H$64,MATCH($F762,사건마스터!$A$5:$A$64,0)),""))</f>
        <v/>
      </c>
      <c r="J762" s="35">
        <f>IF($F762="","",IFERROR(INDEX(사건마스터!$AH$5:$AH$64,MATCH($F762,사건마스터!$A$5:$A$64,0)),""))</f>
        <v/>
      </c>
      <c r="K762" s="35">
        <f>IF($F762="","",IFERROR(INDEX(사건마스터!$AI$5:$AI$64,MATCH($F762,사건마스터!$A$5:$A$64,0)),""))</f>
        <v/>
      </c>
      <c r="L762" s="35">
        <f>IF($F762="","",IFERROR(INDEX(사건마스터!$AJ$5:$AJ$64,MATCH($F762,사건마스터!$A$5:$A$64,0)),""))</f>
        <v/>
      </c>
      <c r="M762" s="35">
        <f>IF($F762="","",IFERROR(INDEX(사건마스터!$AK$5:$AK$64,MATCH($F762,사건마스터!$A$5:$A$64,0)),""))</f>
        <v/>
      </c>
      <c r="N762" s="35">
        <f>IF($F762="","",IFERROR(INDEX(사건마스터!$AL$5:$AL$64,MATCH($F762,사건마스터!$A$5:$A$64,0)),""))</f>
        <v/>
      </c>
      <c r="O762" s="35">
        <f>IF($F762="","",IFERROR(INDEX(사건마스터!$AM$5:$AM$64,MATCH($F762,사건마스터!$A$5:$A$64,0)),""))</f>
        <v/>
      </c>
      <c r="P762" s="35">
        <f>IF($F762="","",IFERROR(INDEX(사건마스터!$AN$5:$AN$64,MATCH($F762,사건마스터!$A$5:$A$64,0)),""))</f>
        <v/>
      </c>
      <c r="Q762" s="35">
        <f>IF($F762="","",IFERROR(INDEX(사건마스터!$AO$5:$AO$64,MATCH($F762,사건마스터!$A$5:$A$64,0)),""))</f>
        <v/>
      </c>
      <c r="R762" s="35">
        <f>IF($F762="","",IFERROR(INDEX(사건마스터!$AP$5:$AP$64,MATCH($F762,사건마스터!$A$5:$A$64,0)),""))</f>
        <v/>
      </c>
      <c r="S762" s="35">
        <f>IF($F762="","",IFERROR(INDEX(사건마스터!$AQ$5:$AQ$64,MATCH($F762,사건마스터!$A$5:$A$64,0)),""))</f>
        <v/>
      </c>
      <c r="T762" s="35">
        <f>IF($F762="","",IFERROR(INDEX(사건마스터!$AR$5:$AR$64,MATCH($F762,사건마스터!$A$5:$A$64,0)),""))</f>
        <v/>
      </c>
      <c r="U762" s="35">
        <f>IF($F762="","",IFERROR(INDEX(사건마스터!$AS$5:$AS$64,MATCH($F762,사건마스터!$A$5:$A$64,0)),""))</f>
        <v/>
      </c>
      <c r="V762" s="35">
        <f>IF($F762="","",IFERROR(INDEX(사건마스터!$AT$5:$AT$64,MATCH($F762,사건마스터!$A$5:$A$64,0)),""))</f>
        <v/>
      </c>
      <c r="W762" s="35">
        <f>IF($F762="","",IFERROR(INDEX(사건마스터!$AU$5:$AU$64,MATCH($F762,사건마스터!$A$5:$A$64,0)),""))</f>
        <v/>
      </c>
      <c r="X762" s="35">
        <f>IF($F762="","",IFERROR(INDEX(사건마스터!$AV$5:$AV$64,MATCH($F762,사건마스터!$A$5:$A$64,0)),""))</f>
        <v/>
      </c>
      <c r="Y762" s="30">
        <f>IF($I762="","",COUNTIF($I762:$X762,"?*"))</f>
        <v/>
      </c>
      <c r="Z762" s="33">
        <f>IF($I762="","",_xlfn.TEXTJOIN(", ",TRUE,$I762:$X762))</f>
        <v/>
      </c>
      <c r="AA762" s="34">
        <f>IF($I762="","",IFERROR(INDEX(코드설정!$D$5:$D$24,MATCH($I762,코드설정!$C$5:$C$24,0)),""))</f>
        <v/>
      </c>
      <c r="AB762" s="36" t="n"/>
      <c r="AC762" s="37" t="n"/>
      <c r="AD762" s="38" t="n"/>
      <c r="AE762" s="30">
        <f>IF(OR($B762="",$C762=""),"",$C762-$B762+1)</f>
        <v/>
      </c>
      <c r="AF762" s="32" t="n"/>
      <c r="AG762" s="36" t="n"/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3">
        <f>IF($F763="","",IFERROR(INDEX(사건마스터!$B$5:$B$64,MATCH($F763,사건마스터!$A$5:$A$64,0)),""))</f>
        <v/>
      </c>
      <c r="H763" s="34">
        <f>IF($F763="","",IFERROR(INDEX(사건마스터!$C$5:$C$64,MATCH($F763,사건마스터!$A$5:$A$64,0)),""))</f>
        <v/>
      </c>
      <c r="I763" s="35">
        <f>IF($F763="","",IFERROR(INDEX(사건마스터!$H$5:$H$64,MATCH($F763,사건마스터!$A$5:$A$64,0)),""))</f>
        <v/>
      </c>
      <c r="J763" s="35">
        <f>IF($F763="","",IFERROR(INDEX(사건마스터!$AH$5:$AH$64,MATCH($F763,사건마스터!$A$5:$A$64,0)),""))</f>
        <v/>
      </c>
      <c r="K763" s="35">
        <f>IF($F763="","",IFERROR(INDEX(사건마스터!$AI$5:$AI$64,MATCH($F763,사건마스터!$A$5:$A$64,0)),""))</f>
        <v/>
      </c>
      <c r="L763" s="35">
        <f>IF($F763="","",IFERROR(INDEX(사건마스터!$AJ$5:$AJ$64,MATCH($F763,사건마스터!$A$5:$A$64,0)),""))</f>
        <v/>
      </c>
      <c r="M763" s="35">
        <f>IF($F763="","",IFERROR(INDEX(사건마스터!$AK$5:$AK$64,MATCH($F763,사건마스터!$A$5:$A$64,0)),""))</f>
        <v/>
      </c>
      <c r="N763" s="35">
        <f>IF($F763="","",IFERROR(INDEX(사건마스터!$AL$5:$AL$64,MATCH($F763,사건마스터!$A$5:$A$64,0)),""))</f>
        <v/>
      </c>
      <c r="O763" s="35">
        <f>IF($F763="","",IFERROR(INDEX(사건마스터!$AM$5:$AM$64,MATCH($F763,사건마스터!$A$5:$A$64,0)),""))</f>
        <v/>
      </c>
      <c r="P763" s="35">
        <f>IF($F763="","",IFERROR(INDEX(사건마스터!$AN$5:$AN$64,MATCH($F763,사건마스터!$A$5:$A$64,0)),""))</f>
        <v/>
      </c>
      <c r="Q763" s="35">
        <f>IF($F763="","",IFERROR(INDEX(사건마스터!$AO$5:$AO$64,MATCH($F763,사건마스터!$A$5:$A$64,0)),""))</f>
        <v/>
      </c>
      <c r="R763" s="35">
        <f>IF($F763="","",IFERROR(INDEX(사건마스터!$AP$5:$AP$64,MATCH($F763,사건마스터!$A$5:$A$64,0)),""))</f>
        <v/>
      </c>
      <c r="S763" s="35">
        <f>IF($F763="","",IFERROR(INDEX(사건마스터!$AQ$5:$AQ$64,MATCH($F763,사건마스터!$A$5:$A$64,0)),""))</f>
        <v/>
      </c>
      <c r="T763" s="35">
        <f>IF($F763="","",IFERROR(INDEX(사건마스터!$AR$5:$AR$64,MATCH($F763,사건마스터!$A$5:$A$64,0)),""))</f>
        <v/>
      </c>
      <c r="U763" s="35">
        <f>IF($F763="","",IFERROR(INDEX(사건마스터!$AS$5:$AS$64,MATCH($F763,사건마스터!$A$5:$A$64,0)),""))</f>
        <v/>
      </c>
      <c r="V763" s="35">
        <f>IF($F763="","",IFERROR(INDEX(사건마스터!$AT$5:$AT$64,MATCH($F763,사건마스터!$A$5:$A$64,0)),""))</f>
        <v/>
      </c>
      <c r="W763" s="35">
        <f>IF($F763="","",IFERROR(INDEX(사건마스터!$AU$5:$AU$64,MATCH($F763,사건마스터!$A$5:$A$64,0)),""))</f>
        <v/>
      </c>
      <c r="X763" s="35">
        <f>IF($F763="","",IFERROR(INDEX(사건마스터!$AV$5:$AV$64,MATCH($F763,사건마스터!$A$5:$A$64,0)),""))</f>
        <v/>
      </c>
      <c r="Y763" s="30">
        <f>IF($I763="","",COUNTIF($I763:$X763,"?*"))</f>
        <v/>
      </c>
      <c r="Z763" s="33">
        <f>IF($I763="","",_xlfn.TEXTJOIN(", ",TRUE,$I763:$X763))</f>
        <v/>
      </c>
      <c r="AA763" s="34">
        <f>IF($I763="","",IFERROR(INDEX(코드설정!$D$5:$D$24,MATCH($I763,코드설정!$C$5:$C$24,0)),""))</f>
        <v/>
      </c>
      <c r="AB763" s="36" t="n"/>
      <c r="AC763" s="37" t="n"/>
      <c r="AD763" s="38" t="n"/>
      <c r="AE763" s="30">
        <f>IF(OR($B763="",$C763=""),"",$C763-$B763+1)</f>
        <v/>
      </c>
      <c r="AF763" s="32" t="n"/>
      <c r="AG763" s="36" t="n"/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3">
        <f>IF($F764="","",IFERROR(INDEX(사건마스터!$B$5:$B$64,MATCH($F764,사건마스터!$A$5:$A$64,0)),""))</f>
        <v/>
      </c>
      <c r="H764" s="34">
        <f>IF($F764="","",IFERROR(INDEX(사건마스터!$C$5:$C$64,MATCH($F764,사건마스터!$A$5:$A$64,0)),""))</f>
        <v/>
      </c>
      <c r="I764" s="35">
        <f>IF($F764="","",IFERROR(INDEX(사건마스터!$H$5:$H$64,MATCH($F764,사건마스터!$A$5:$A$64,0)),""))</f>
        <v/>
      </c>
      <c r="J764" s="35">
        <f>IF($F764="","",IFERROR(INDEX(사건마스터!$AH$5:$AH$64,MATCH($F764,사건마스터!$A$5:$A$64,0)),""))</f>
        <v/>
      </c>
      <c r="K764" s="35">
        <f>IF($F764="","",IFERROR(INDEX(사건마스터!$AI$5:$AI$64,MATCH($F764,사건마스터!$A$5:$A$64,0)),""))</f>
        <v/>
      </c>
      <c r="L764" s="35">
        <f>IF($F764="","",IFERROR(INDEX(사건마스터!$AJ$5:$AJ$64,MATCH($F764,사건마스터!$A$5:$A$64,0)),""))</f>
        <v/>
      </c>
      <c r="M764" s="35">
        <f>IF($F764="","",IFERROR(INDEX(사건마스터!$AK$5:$AK$64,MATCH($F764,사건마스터!$A$5:$A$64,0)),""))</f>
        <v/>
      </c>
      <c r="N764" s="35">
        <f>IF($F764="","",IFERROR(INDEX(사건마스터!$AL$5:$AL$64,MATCH($F764,사건마스터!$A$5:$A$64,0)),""))</f>
        <v/>
      </c>
      <c r="O764" s="35">
        <f>IF($F764="","",IFERROR(INDEX(사건마스터!$AM$5:$AM$64,MATCH($F764,사건마스터!$A$5:$A$64,0)),""))</f>
        <v/>
      </c>
      <c r="P764" s="35">
        <f>IF($F764="","",IFERROR(INDEX(사건마스터!$AN$5:$AN$64,MATCH($F764,사건마스터!$A$5:$A$64,0)),""))</f>
        <v/>
      </c>
      <c r="Q764" s="35">
        <f>IF($F764="","",IFERROR(INDEX(사건마스터!$AO$5:$AO$64,MATCH($F764,사건마스터!$A$5:$A$64,0)),""))</f>
        <v/>
      </c>
      <c r="R764" s="35">
        <f>IF($F764="","",IFERROR(INDEX(사건마스터!$AP$5:$AP$64,MATCH($F764,사건마스터!$A$5:$A$64,0)),""))</f>
        <v/>
      </c>
      <c r="S764" s="35">
        <f>IF($F764="","",IFERROR(INDEX(사건마스터!$AQ$5:$AQ$64,MATCH($F764,사건마스터!$A$5:$A$64,0)),""))</f>
        <v/>
      </c>
      <c r="T764" s="35">
        <f>IF($F764="","",IFERROR(INDEX(사건마스터!$AR$5:$AR$64,MATCH($F764,사건마스터!$A$5:$A$64,0)),""))</f>
        <v/>
      </c>
      <c r="U764" s="35">
        <f>IF($F764="","",IFERROR(INDEX(사건마스터!$AS$5:$AS$64,MATCH($F764,사건마스터!$A$5:$A$64,0)),""))</f>
        <v/>
      </c>
      <c r="V764" s="35">
        <f>IF($F764="","",IFERROR(INDEX(사건마스터!$AT$5:$AT$64,MATCH($F764,사건마스터!$A$5:$A$64,0)),""))</f>
        <v/>
      </c>
      <c r="W764" s="35">
        <f>IF($F764="","",IFERROR(INDEX(사건마스터!$AU$5:$AU$64,MATCH($F764,사건마스터!$A$5:$A$64,0)),""))</f>
        <v/>
      </c>
      <c r="X764" s="35">
        <f>IF($F764="","",IFERROR(INDEX(사건마스터!$AV$5:$AV$64,MATCH($F764,사건마스터!$A$5:$A$64,0)),""))</f>
        <v/>
      </c>
      <c r="Y764" s="30">
        <f>IF($I764="","",COUNTIF($I764:$X764,"?*"))</f>
        <v/>
      </c>
      <c r="Z764" s="33">
        <f>IF($I764="","",_xlfn.TEXTJOIN(", ",TRUE,$I764:$X764))</f>
        <v/>
      </c>
      <c r="AA764" s="34">
        <f>IF($I764="","",IFERROR(INDEX(코드설정!$D$5:$D$24,MATCH($I764,코드설정!$C$5:$C$24,0)),""))</f>
        <v/>
      </c>
      <c r="AB764" s="36" t="n"/>
      <c r="AC764" s="37" t="n"/>
      <c r="AD764" s="38" t="n"/>
      <c r="AE764" s="30">
        <f>IF(OR($B764="",$C764=""),"",$C764-$B764+1)</f>
        <v/>
      </c>
      <c r="AF764" s="32" t="n"/>
      <c r="AG764" s="36" t="n"/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3">
        <f>IF($F765="","",IFERROR(INDEX(사건마스터!$B$5:$B$64,MATCH($F765,사건마스터!$A$5:$A$64,0)),""))</f>
        <v/>
      </c>
      <c r="H765" s="34">
        <f>IF($F765="","",IFERROR(INDEX(사건마스터!$C$5:$C$64,MATCH($F765,사건마스터!$A$5:$A$64,0)),""))</f>
        <v/>
      </c>
      <c r="I765" s="35">
        <f>IF($F765="","",IFERROR(INDEX(사건마스터!$H$5:$H$64,MATCH($F765,사건마스터!$A$5:$A$64,0)),""))</f>
        <v/>
      </c>
      <c r="J765" s="35">
        <f>IF($F765="","",IFERROR(INDEX(사건마스터!$AH$5:$AH$64,MATCH($F765,사건마스터!$A$5:$A$64,0)),""))</f>
        <v/>
      </c>
      <c r="K765" s="35">
        <f>IF($F765="","",IFERROR(INDEX(사건마스터!$AI$5:$AI$64,MATCH($F765,사건마스터!$A$5:$A$64,0)),""))</f>
        <v/>
      </c>
      <c r="L765" s="35">
        <f>IF($F765="","",IFERROR(INDEX(사건마스터!$AJ$5:$AJ$64,MATCH($F765,사건마스터!$A$5:$A$64,0)),""))</f>
        <v/>
      </c>
      <c r="M765" s="35">
        <f>IF($F765="","",IFERROR(INDEX(사건마스터!$AK$5:$AK$64,MATCH($F765,사건마스터!$A$5:$A$64,0)),""))</f>
        <v/>
      </c>
      <c r="N765" s="35">
        <f>IF($F765="","",IFERROR(INDEX(사건마스터!$AL$5:$AL$64,MATCH($F765,사건마스터!$A$5:$A$64,0)),""))</f>
        <v/>
      </c>
      <c r="O765" s="35">
        <f>IF($F765="","",IFERROR(INDEX(사건마스터!$AM$5:$AM$64,MATCH($F765,사건마스터!$A$5:$A$64,0)),""))</f>
        <v/>
      </c>
      <c r="P765" s="35">
        <f>IF($F765="","",IFERROR(INDEX(사건마스터!$AN$5:$AN$64,MATCH($F765,사건마스터!$A$5:$A$64,0)),""))</f>
        <v/>
      </c>
      <c r="Q765" s="35">
        <f>IF($F765="","",IFERROR(INDEX(사건마스터!$AO$5:$AO$64,MATCH($F765,사건마스터!$A$5:$A$64,0)),""))</f>
        <v/>
      </c>
      <c r="R765" s="35">
        <f>IF($F765="","",IFERROR(INDEX(사건마스터!$AP$5:$AP$64,MATCH($F765,사건마스터!$A$5:$A$64,0)),""))</f>
        <v/>
      </c>
      <c r="S765" s="35">
        <f>IF($F765="","",IFERROR(INDEX(사건마스터!$AQ$5:$AQ$64,MATCH($F765,사건마스터!$A$5:$A$64,0)),""))</f>
        <v/>
      </c>
      <c r="T765" s="35">
        <f>IF($F765="","",IFERROR(INDEX(사건마스터!$AR$5:$AR$64,MATCH($F765,사건마스터!$A$5:$A$64,0)),""))</f>
        <v/>
      </c>
      <c r="U765" s="35">
        <f>IF($F765="","",IFERROR(INDEX(사건마스터!$AS$5:$AS$64,MATCH($F765,사건마스터!$A$5:$A$64,0)),""))</f>
        <v/>
      </c>
      <c r="V765" s="35">
        <f>IF($F765="","",IFERROR(INDEX(사건마스터!$AT$5:$AT$64,MATCH($F765,사건마스터!$A$5:$A$64,0)),""))</f>
        <v/>
      </c>
      <c r="W765" s="35">
        <f>IF($F765="","",IFERROR(INDEX(사건마스터!$AU$5:$AU$64,MATCH($F765,사건마스터!$A$5:$A$64,0)),""))</f>
        <v/>
      </c>
      <c r="X765" s="35">
        <f>IF($F765="","",IFERROR(INDEX(사건마스터!$AV$5:$AV$64,MATCH($F765,사건마스터!$A$5:$A$64,0)),""))</f>
        <v/>
      </c>
      <c r="Y765" s="30">
        <f>IF($I765="","",COUNTIF($I765:$X765,"?*"))</f>
        <v/>
      </c>
      <c r="Z765" s="33">
        <f>IF($I765="","",_xlfn.TEXTJOIN(", ",TRUE,$I765:$X765))</f>
        <v/>
      </c>
      <c r="AA765" s="34">
        <f>IF($I765="","",IFERROR(INDEX(코드설정!$D$5:$D$24,MATCH($I765,코드설정!$C$5:$C$24,0)),""))</f>
        <v/>
      </c>
      <c r="AB765" s="36" t="n"/>
      <c r="AC765" s="37" t="n"/>
      <c r="AD765" s="38" t="n"/>
      <c r="AE765" s="30">
        <f>IF(OR($B765="",$C765=""),"",$C765-$B765+1)</f>
        <v/>
      </c>
      <c r="AF765" s="32" t="n"/>
      <c r="AG765" s="36" t="n"/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3">
        <f>IF($F766="","",IFERROR(INDEX(사건마스터!$B$5:$B$64,MATCH($F766,사건마스터!$A$5:$A$64,0)),""))</f>
        <v/>
      </c>
      <c r="H766" s="34">
        <f>IF($F766="","",IFERROR(INDEX(사건마스터!$C$5:$C$64,MATCH($F766,사건마스터!$A$5:$A$64,0)),""))</f>
        <v/>
      </c>
      <c r="I766" s="35">
        <f>IF($F766="","",IFERROR(INDEX(사건마스터!$H$5:$H$64,MATCH($F766,사건마스터!$A$5:$A$64,0)),""))</f>
        <v/>
      </c>
      <c r="J766" s="35">
        <f>IF($F766="","",IFERROR(INDEX(사건마스터!$AH$5:$AH$64,MATCH($F766,사건마스터!$A$5:$A$64,0)),""))</f>
        <v/>
      </c>
      <c r="K766" s="35">
        <f>IF($F766="","",IFERROR(INDEX(사건마스터!$AI$5:$AI$64,MATCH($F766,사건마스터!$A$5:$A$64,0)),""))</f>
        <v/>
      </c>
      <c r="L766" s="35">
        <f>IF($F766="","",IFERROR(INDEX(사건마스터!$AJ$5:$AJ$64,MATCH($F766,사건마스터!$A$5:$A$64,0)),""))</f>
        <v/>
      </c>
      <c r="M766" s="35">
        <f>IF($F766="","",IFERROR(INDEX(사건마스터!$AK$5:$AK$64,MATCH($F766,사건마스터!$A$5:$A$64,0)),""))</f>
        <v/>
      </c>
      <c r="N766" s="35">
        <f>IF($F766="","",IFERROR(INDEX(사건마스터!$AL$5:$AL$64,MATCH($F766,사건마스터!$A$5:$A$64,0)),""))</f>
        <v/>
      </c>
      <c r="O766" s="35">
        <f>IF($F766="","",IFERROR(INDEX(사건마스터!$AM$5:$AM$64,MATCH($F766,사건마스터!$A$5:$A$64,0)),""))</f>
        <v/>
      </c>
      <c r="P766" s="35">
        <f>IF($F766="","",IFERROR(INDEX(사건마스터!$AN$5:$AN$64,MATCH($F766,사건마스터!$A$5:$A$64,0)),""))</f>
        <v/>
      </c>
      <c r="Q766" s="35">
        <f>IF($F766="","",IFERROR(INDEX(사건마스터!$AO$5:$AO$64,MATCH($F766,사건마스터!$A$5:$A$64,0)),""))</f>
        <v/>
      </c>
      <c r="R766" s="35">
        <f>IF($F766="","",IFERROR(INDEX(사건마스터!$AP$5:$AP$64,MATCH($F766,사건마스터!$A$5:$A$64,0)),""))</f>
        <v/>
      </c>
      <c r="S766" s="35">
        <f>IF($F766="","",IFERROR(INDEX(사건마스터!$AQ$5:$AQ$64,MATCH($F766,사건마스터!$A$5:$A$64,0)),""))</f>
        <v/>
      </c>
      <c r="T766" s="35">
        <f>IF($F766="","",IFERROR(INDEX(사건마스터!$AR$5:$AR$64,MATCH($F766,사건마스터!$A$5:$A$64,0)),""))</f>
        <v/>
      </c>
      <c r="U766" s="35">
        <f>IF($F766="","",IFERROR(INDEX(사건마스터!$AS$5:$AS$64,MATCH($F766,사건마스터!$A$5:$A$64,0)),""))</f>
        <v/>
      </c>
      <c r="V766" s="35">
        <f>IF($F766="","",IFERROR(INDEX(사건마스터!$AT$5:$AT$64,MATCH($F766,사건마스터!$A$5:$A$64,0)),""))</f>
        <v/>
      </c>
      <c r="W766" s="35">
        <f>IF($F766="","",IFERROR(INDEX(사건마스터!$AU$5:$AU$64,MATCH($F766,사건마스터!$A$5:$A$64,0)),""))</f>
        <v/>
      </c>
      <c r="X766" s="35">
        <f>IF($F766="","",IFERROR(INDEX(사건마스터!$AV$5:$AV$64,MATCH($F766,사건마스터!$A$5:$A$64,0)),""))</f>
        <v/>
      </c>
      <c r="Y766" s="30">
        <f>IF($I766="","",COUNTIF($I766:$X766,"?*"))</f>
        <v/>
      </c>
      <c r="Z766" s="33">
        <f>IF($I766="","",_xlfn.TEXTJOIN(", ",TRUE,$I766:$X766))</f>
        <v/>
      </c>
      <c r="AA766" s="34">
        <f>IF($I766="","",IFERROR(INDEX(코드설정!$D$5:$D$24,MATCH($I766,코드설정!$C$5:$C$24,0)),""))</f>
        <v/>
      </c>
      <c r="AB766" s="36" t="n"/>
      <c r="AC766" s="37" t="n"/>
      <c r="AD766" s="38" t="n"/>
      <c r="AE766" s="30">
        <f>IF(OR($B766="",$C766=""),"",$C766-$B766+1)</f>
        <v/>
      </c>
      <c r="AF766" s="32" t="n"/>
      <c r="AG766" s="36" t="n"/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3">
        <f>IF($F767="","",IFERROR(INDEX(사건마스터!$B$5:$B$64,MATCH($F767,사건마스터!$A$5:$A$64,0)),""))</f>
        <v/>
      </c>
      <c r="H767" s="34">
        <f>IF($F767="","",IFERROR(INDEX(사건마스터!$C$5:$C$64,MATCH($F767,사건마스터!$A$5:$A$64,0)),""))</f>
        <v/>
      </c>
      <c r="I767" s="35">
        <f>IF($F767="","",IFERROR(INDEX(사건마스터!$H$5:$H$64,MATCH($F767,사건마스터!$A$5:$A$64,0)),""))</f>
        <v/>
      </c>
      <c r="J767" s="35">
        <f>IF($F767="","",IFERROR(INDEX(사건마스터!$AH$5:$AH$64,MATCH($F767,사건마스터!$A$5:$A$64,0)),""))</f>
        <v/>
      </c>
      <c r="K767" s="35">
        <f>IF($F767="","",IFERROR(INDEX(사건마스터!$AI$5:$AI$64,MATCH($F767,사건마스터!$A$5:$A$64,0)),""))</f>
        <v/>
      </c>
      <c r="L767" s="35">
        <f>IF($F767="","",IFERROR(INDEX(사건마스터!$AJ$5:$AJ$64,MATCH($F767,사건마스터!$A$5:$A$64,0)),""))</f>
        <v/>
      </c>
      <c r="M767" s="35">
        <f>IF($F767="","",IFERROR(INDEX(사건마스터!$AK$5:$AK$64,MATCH($F767,사건마스터!$A$5:$A$64,0)),""))</f>
        <v/>
      </c>
      <c r="N767" s="35">
        <f>IF($F767="","",IFERROR(INDEX(사건마스터!$AL$5:$AL$64,MATCH($F767,사건마스터!$A$5:$A$64,0)),""))</f>
        <v/>
      </c>
      <c r="O767" s="35">
        <f>IF($F767="","",IFERROR(INDEX(사건마스터!$AM$5:$AM$64,MATCH($F767,사건마스터!$A$5:$A$64,0)),""))</f>
        <v/>
      </c>
      <c r="P767" s="35">
        <f>IF($F767="","",IFERROR(INDEX(사건마스터!$AN$5:$AN$64,MATCH($F767,사건마스터!$A$5:$A$64,0)),""))</f>
        <v/>
      </c>
      <c r="Q767" s="35">
        <f>IF($F767="","",IFERROR(INDEX(사건마스터!$AO$5:$AO$64,MATCH($F767,사건마스터!$A$5:$A$64,0)),""))</f>
        <v/>
      </c>
      <c r="R767" s="35">
        <f>IF($F767="","",IFERROR(INDEX(사건마스터!$AP$5:$AP$64,MATCH($F767,사건마스터!$A$5:$A$64,0)),""))</f>
        <v/>
      </c>
      <c r="S767" s="35">
        <f>IF($F767="","",IFERROR(INDEX(사건마스터!$AQ$5:$AQ$64,MATCH($F767,사건마스터!$A$5:$A$64,0)),""))</f>
        <v/>
      </c>
      <c r="T767" s="35">
        <f>IF($F767="","",IFERROR(INDEX(사건마스터!$AR$5:$AR$64,MATCH($F767,사건마스터!$A$5:$A$64,0)),""))</f>
        <v/>
      </c>
      <c r="U767" s="35">
        <f>IF($F767="","",IFERROR(INDEX(사건마스터!$AS$5:$AS$64,MATCH($F767,사건마스터!$A$5:$A$64,0)),""))</f>
        <v/>
      </c>
      <c r="V767" s="35">
        <f>IF($F767="","",IFERROR(INDEX(사건마스터!$AT$5:$AT$64,MATCH($F767,사건마스터!$A$5:$A$64,0)),""))</f>
        <v/>
      </c>
      <c r="W767" s="35">
        <f>IF($F767="","",IFERROR(INDEX(사건마스터!$AU$5:$AU$64,MATCH($F767,사건마스터!$A$5:$A$64,0)),""))</f>
        <v/>
      </c>
      <c r="X767" s="35">
        <f>IF($F767="","",IFERROR(INDEX(사건마스터!$AV$5:$AV$64,MATCH($F767,사건마스터!$A$5:$A$64,0)),""))</f>
        <v/>
      </c>
      <c r="Y767" s="30">
        <f>IF($I767="","",COUNTIF($I767:$X767,"?*"))</f>
        <v/>
      </c>
      <c r="Z767" s="33">
        <f>IF($I767="","",_xlfn.TEXTJOIN(", ",TRUE,$I767:$X767))</f>
        <v/>
      </c>
      <c r="AA767" s="34">
        <f>IF($I767="","",IFERROR(INDEX(코드설정!$D$5:$D$24,MATCH($I767,코드설정!$C$5:$C$24,0)),""))</f>
        <v/>
      </c>
      <c r="AB767" s="36" t="n"/>
      <c r="AC767" s="37" t="n"/>
      <c r="AD767" s="38" t="n"/>
      <c r="AE767" s="30">
        <f>IF(OR($B767="",$C767=""),"",$C767-$B767+1)</f>
        <v/>
      </c>
      <c r="AF767" s="32" t="n"/>
      <c r="AG767" s="36" t="n"/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3">
        <f>IF($F768="","",IFERROR(INDEX(사건마스터!$B$5:$B$64,MATCH($F768,사건마스터!$A$5:$A$64,0)),""))</f>
        <v/>
      </c>
      <c r="H768" s="34">
        <f>IF($F768="","",IFERROR(INDEX(사건마스터!$C$5:$C$64,MATCH($F768,사건마스터!$A$5:$A$64,0)),""))</f>
        <v/>
      </c>
      <c r="I768" s="35">
        <f>IF($F768="","",IFERROR(INDEX(사건마스터!$H$5:$H$64,MATCH($F768,사건마스터!$A$5:$A$64,0)),""))</f>
        <v/>
      </c>
      <c r="J768" s="35">
        <f>IF($F768="","",IFERROR(INDEX(사건마스터!$AH$5:$AH$64,MATCH($F768,사건마스터!$A$5:$A$64,0)),""))</f>
        <v/>
      </c>
      <c r="K768" s="35">
        <f>IF($F768="","",IFERROR(INDEX(사건마스터!$AI$5:$AI$64,MATCH($F768,사건마스터!$A$5:$A$64,0)),""))</f>
        <v/>
      </c>
      <c r="L768" s="35">
        <f>IF($F768="","",IFERROR(INDEX(사건마스터!$AJ$5:$AJ$64,MATCH($F768,사건마스터!$A$5:$A$64,0)),""))</f>
        <v/>
      </c>
      <c r="M768" s="35">
        <f>IF($F768="","",IFERROR(INDEX(사건마스터!$AK$5:$AK$64,MATCH($F768,사건마스터!$A$5:$A$64,0)),""))</f>
        <v/>
      </c>
      <c r="N768" s="35">
        <f>IF($F768="","",IFERROR(INDEX(사건마스터!$AL$5:$AL$64,MATCH($F768,사건마스터!$A$5:$A$64,0)),""))</f>
        <v/>
      </c>
      <c r="O768" s="35">
        <f>IF($F768="","",IFERROR(INDEX(사건마스터!$AM$5:$AM$64,MATCH($F768,사건마스터!$A$5:$A$64,0)),""))</f>
        <v/>
      </c>
      <c r="P768" s="35">
        <f>IF($F768="","",IFERROR(INDEX(사건마스터!$AN$5:$AN$64,MATCH($F768,사건마스터!$A$5:$A$64,0)),""))</f>
        <v/>
      </c>
      <c r="Q768" s="35">
        <f>IF($F768="","",IFERROR(INDEX(사건마스터!$AO$5:$AO$64,MATCH($F768,사건마스터!$A$5:$A$64,0)),""))</f>
        <v/>
      </c>
      <c r="R768" s="35">
        <f>IF($F768="","",IFERROR(INDEX(사건마스터!$AP$5:$AP$64,MATCH($F768,사건마스터!$A$5:$A$64,0)),""))</f>
        <v/>
      </c>
      <c r="S768" s="35">
        <f>IF($F768="","",IFERROR(INDEX(사건마스터!$AQ$5:$AQ$64,MATCH($F768,사건마스터!$A$5:$A$64,0)),""))</f>
        <v/>
      </c>
      <c r="T768" s="35">
        <f>IF($F768="","",IFERROR(INDEX(사건마스터!$AR$5:$AR$64,MATCH($F768,사건마스터!$A$5:$A$64,0)),""))</f>
        <v/>
      </c>
      <c r="U768" s="35">
        <f>IF($F768="","",IFERROR(INDEX(사건마스터!$AS$5:$AS$64,MATCH($F768,사건마스터!$A$5:$A$64,0)),""))</f>
        <v/>
      </c>
      <c r="V768" s="35">
        <f>IF($F768="","",IFERROR(INDEX(사건마스터!$AT$5:$AT$64,MATCH($F768,사건마스터!$A$5:$A$64,0)),""))</f>
        <v/>
      </c>
      <c r="W768" s="35">
        <f>IF($F768="","",IFERROR(INDEX(사건마스터!$AU$5:$AU$64,MATCH($F768,사건마스터!$A$5:$A$64,0)),""))</f>
        <v/>
      </c>
      <c r="X768" s="35">
        <f>IF($F768="","",IFERROR(INDEX(사건마스터!$AV$5:$AV$64,MATCH($F768,사건마스터!$A$5:$A$64,0)),""))</f>
        <v/>
      </c>
      <c r="Y768" s="30">
        <f>IF($I768="","",COUNTIF($I768:$X768,"?*"))</f>
        <v/>
      </c>
      <c r="Z768" s="33">
        <f>IF($I768="","",_xlfn.TEXTJOIN(", ",TRUE,$I768:$X768))</f>
        <v/>
      </c>
      <c r="AA768" s="34">
        <f>IF($I768="","",IFERROR(INDEX(코드설정!$D$5:$D$24,MATCH($I768,코드설정!$C$5:$C$24,0)),""))</f>
        <v/>
      </c>
      <c r="AB768" s="36" t="n"/>
      <c r="AC768" s="37" t="n"/>
      <c r="AD768" s="38" t="n"/>
      <c r="AE768" s="30">
        <f>IF(OR($B768="",$C768=""),"",$C768-$B768+1)</f>
        <v/>
      </c>
      <c r="AF768" s="32" t="n"/>
      <c r="AG768" s="36" t="n"/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3">
        <f>IF($F769="","",IFERROR(INDEX(사건마스터!$B$5:$B$64,MATCH($F769,사건마스터!$A$5:$A$64,0)),""))</f>
        <v/>
      </c>
      <c r="H769" s="34">
        <f>IF($F769="","",IFERROR(INDEX(사건마스터!$C$5:$C$64,MATCH($F769,사건마스터!$A$5:$A$64,0)),""))</f>
        <v/>
      </c>
      <c r="I769" s="35">
        <f>IF($F769="","",IFERROR(INDEX(사건마스터!$H$5:$H$64,MATCH($F769,사건마스터!$A$5:$A$64,0)),""))</f>
        <v/>
      </c>
      <c r="J769" s="35">
        <f>IF($F769="","",IFERROR(INDEX(사건마스터!$AH$5:$AH$64,MATCH($F769,사건마스터!$A$5:$A$64,0)),""))</f>
        <v/>
      </c>
      <c r="K769" s="35">
        <f>IF($F769="","",IFERROR(INDEX(사건마스터!$AI$5:$AI$64,MATCH($F769,사건마스터!$A$5:$A$64,0)),""))</f>
        <v/>
      </c>
      <c r="L769" s="35">
        <f>IF($F769="","",IFERROR(INDEX(사건마스터!$AJ$5:$AJ$64,MATCH($F769,사건마스터!$A$5:$A$64,0)),""))</f>
        <v/>
      </c>
      <c r="M769" s="35">
        <f>IF($F769="","",IFERROR(INDEX(사건마스터!$AK$5:$AK$64,MATCH($F769,사건마스터!$A$5:$A$64,0)),""))</f>
        <v/>
      </c>
      <c r="N769" s="35">
        <f>IF($F769="","",IFERROR(INDEX(사건마스터!$AL$5:$AL$64,MATCH($F769,사건마스터!$A$5:$A$64,0)),""))</f>
        <v/>
      </c>
      <c r="O769" s="35">
        <f>IF($F769="","",IFERROR(INDEX(사건마스터!$AM$5:$AM$64,MATCH($F769,사건마스터!$A$5:$A$64,0)),""))</f>
        <v/>
      </c>
      <c r="P769" s="35">
        <f>IF($F769="","",IFERROR(INDEX(사건마스터!$AN$5:$AN$64,MATCH($F769,사건마스터!$A$5:$A$64,0)),""))</f>
        <v/>
      </c>
      <c r="Q769" s="35">
        <f>IF($F769="","",IFERROR(INDEX(사건마스터!$AO$5:$AO$64,MATCH($F769,사건마스터!$A$5:$A$64,0)),""))</f>
        <v/>
      </c>
      <c r="R769" s="35">
        <f>IF($F769="","",IFERROR(INDEX(사건마스터!$AP$5:$AP$64,MATCH($F769,사건마스터!$A$5:$A$64,0)),""))</f>
        <v/>
      </c>
      <c r="S769" s="35">
        <f>IF($F769="","",IFERROR(INDEX(사건마스터!$AQ$5:$AQ$64,MATCH($F769,사건마스터!$A$5:$A$64,0)),""))</f>
        <v/>
      </c>
      <c r="T769" s="35">
        <f>IF($F769="","",IFERROR(INDEX(사건마스터!$AR$5:$AR$64,MATCH($F769,사건마스터!$A$5:$A$64,0)),""))</f>
        <v/>
      </c>
      <c r="U769" s="35">
        <f>IF($F769="","",IFERROR(INDEX(사건마스터!$AS$5:$AS$64,MATCH($F769,사건마스터!$A$5:$A$64,0)),""))</f>
        <v/>
      </c>
      <c r="V769" s="35">
        <f>IF($F769="","",IFERROR(INDEX(사건마스터!$AT$5:$AT$64,MATCH($F769,사건마스터!$A$5:$A$64,0)),""))</f>
        <v/>
      </c>
      <c r="W769" s="35">
        <f>IF($F769="","",IFERROR(INDEX(사건마스터!$AU$5:$AU$64,MATCH($F769,사건마스터!$A$5:$A$64,0)),""))</f>
        <v/>
      </c>
      <c r="X769" s="35">
        <f>IF($F769="","",IFERROR(INDEX(사건마스터!$AV$5:$AV$64,MATCH($F769,사건마스터!$A$5:$A$64,0)),""))</f>
        <v/>
      </c>
      <c r="Y769" s="30">
        <f>IF($I769="","",COUNTIF($I769:$X769,"?*"))</f>
        <v/>
      </c>
      <c r="Z769" s="33">
        <f>IF($I769="","",_xlfn.TEXTJOIN(", ",TRUE,$I769:$X769))</f>
        <v/>
      </c>
      <c r="AA769" s="34">
        <f>IF($I769="","",IFERROR(INDEX(코드설정!$D$5:$D$24,MATCH($I769,코드설정!$C$5:$C$24,0)),""))</f>
        <v/>
      </c>
      <c r="AB769" s="36" t="n"/>
      <c r="AC769" s="37" t="n"/>
      <c r="AD769" s="38" t="n"/>
      <c r="AE769" s="30">
        <f>IF(OR($B769="",$C769=""),"",$C769-$B769+1)</f>
        <v/>
      </c>
      <c r="AF769" s="32" t="n"/>
      <c r="AG769" s="36" t="n"/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3">
        <f>IF($F770="","",IFERROR(INDEX(사건마스터!$B$5:$B$64,MATCH($F770,사건마스터!$A$5:$A$64,0)),""))</f>
        <v/>
      </c>
      <c r="H770" s="34">
        <f>IF($F770="","",IFERROR(INDEX(사건마스터!$C$5:$C$64,MATCH($F770,사건마스터!$A$5:$A$64,0)),""))</f>
        <v/>
      </c>
      <c r="I770" s="35">
        <f>IF($F770="","",IFERROR(INDEX(사건마스터!$H$5:$H$64,MATCH($F770,사건마스터!$A$5:$A$64,0)),""))</f>
        <v/>
      </c>
      <c r="J770" s="35">
        <f>IF($F770="","",IFERROR(INDEX(사건마스터!$AH$5:$AH$64,MATCH($F770,사건마스터!$A$5:$A$64,0)),""))</f>
        <v/>
      </c>
      <c r="K770" s="35">
        <f>IF($F770="","",IFERROR(INDEX(사건마스터!$AI$5:$AI$64,MATCH($F770,사건마스터!$A$5:$A$64,0)),""))</f>
        <v/>
      </c>
      <c r="L770" s="35">
        <f>IF($F770="","",IFERROR(INDEX(사건마스터!$AJ$5:$AJ$64,MATCH($F770,사건마스터!$A$5:$A$64,0)),""))</f>
        <v/>
      </c>
      <c r="M770" s="35">
        <f>IF($F770="","",IFERROR(INDEX(사건마스터!$AK$5:$AK$64,MATCH($F770,사건마스터!$A$5:$A$64,0)),""))</f>
        <v/>
      </c>
      <c r="N770" s="35">
        <f>IF($F770="","",IFERROR(INDEX(사건마스터!$AL$5:$AL$64,MATCH($F770,사건마스터!$A$5:$A$64,0)),""))</f>
        <v/>
      </c>
      <c r="O770" s="35">
        <f>IF($F770="","",IFERROR(INDEX(사건마스터!$AM$5:$AM$64,MATCH($F770,사건마스터!$A$5:$A$64,0)),""))</f>
        <v/>
      </c>
      <c r="P770" s="35">
        <f>IF($F770="","",IFERROR(INDEX(사건마스터!$AN$5:$AN$64,MATCH($F770,사건마스터!$A$5:$A$64,0)),""))</f>
        <v/>
      </c>
      <c r="Q770" s="35">
        <f>IF($F770="","",IFERROR(INDEX(사건마스터!$AO$5:$AO$64,MATCH($F770,사건마스터!$A$5:$A$64,0)),""))</f>
        <v/>
      </c>
      <c r="R770" s="35">
        <f>IF($F770="","",IFERROR(INDEX(사건마스터!$AP$5:$AP$64,MATCH($F770,사건마스터!$A$5:$A$64,0)),""))</f>
        <v/>
      </c>
      <c r="S770" s="35">
        <f>IF($F770="","",IFERROR(INDEX(사건마스터!$AQ$5:$AQ$64,MATCH($F770,사건마스터!$A$5:$A$64,0)),""))</f>
        <v/>
      </c>
      <c r="T770" s="35">
        <f>IF($F770="","",IFERROR(INDEX(사건마스터!$AR$5:$AR$64,MATCH($F770,사건마스터!$A$5:$A$64,0)),""))</f>
        <v/>
      </c>
      <c r="U770" s="35">
        <f>IF($F770="","",IFERROR(INDEX(사건마스터!$AS$5:$AS$64,MATCH($F770,사건마스터!$A$5:$A$64,0)),""))</f>
        <v/>
      </c>
      <c r="V770" s="35">
        <f>IF($F770="","",IFERROR(INDEX(사건마스터!$AT$5:$AT$64,MATCH($F770,사건마스터!$A$5:$A$64,0)),""))</f>
        <v/>
      </c>
      <c r="W770" s="35">
        <f>IF($F770="","",IFERROR(INDEX(사건마스터!$AU$5:$AU$64,MATCH($F770,사건마스터!$A$5:$A$64,0)),""))</f>
        <v/>
      </c>
      <c r="X770" s="35">
        <f>IF($F770="","",IFERROR(INDEX(사건마스터!$AV$5:$AV$64,MATCH($F770,사건마스터!$A$5:$A$64,0)),""))</f>
        <v/>
      </c>
      <c r="Y770" s="30">
        <f>IF($I770="","",COUNTIF($I770:$X770,"?*"))</f>
        <v/>
      </c>
      <c r="Z770" s="33">
        <f>IF($I770="","",_xlfn.TEXTJOIN(", ",TRUE,$I770:$X770))</f>
        <v/>
      </c>
      <c r="AA770" s="34">
        <f>IF($I770="","",IFERROR(INDEX(코드설정!$D$5:$D$24,MATCH($I770,코드설정!$C$5:$C$24,0)),""))</f>
        <v/>
      </c>
      <c r="AB770" s="36" t="n"/>
      <c r="AC770" s="37" t="n"/>
      <c r="AD770" s="38" t="n"/>
      <c r="AE770" s="30">
        <f>IF(OR($B770="",$C770=""),"",$C770-$B770+1)</f>
        <v/>
      </c>
      <c r="AF770" s="32" t="n"/>
      <c r="AG770" s="36" t="n"/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3">
        <f>IF($F771="","",IFERROR(INDEX(사건마스터!$B$5:$B$64,MATCH($F771,사건마스터!$A$5:$A$64,0)),""))</f>
        <v/>
      </c>
      <c r="H771" s="34">
        <f>IF($F771="","",IFERROR(INDEX(사건마스터!$C$5:$C$64,MATCH($F771,사건마스터!$A$5:$A$64,0)),""))</f>
        <v/>
      </c>
      <c r="I771" s="35">
        <f>IF($F771="","",IFERROR(INDEX(사건마스터!$H$5:$H$64,MATCH($F771,사건마스터!$A$5:$A$64,0)),""))</f>
        <v/>
      </c>
      <c r="J771" s="35">
        <f>IF($F771="","",IFERROR(INDEX(사건마스터!$AH$5:$AH$64,MATCH($F771,사건마스터!$A$5:$A$64,0)),""))</f>
        <v/>
      </c>
      <c r="K771" s="35">
        <f>IF($F771="","",IFERROR(INDEX(사건마스터!$AI$5:$AI$64,MATCH($F771,사건마스터!$A$5:$A$64,0)),""))</f>
        <v/>
      </c>
      <c r="L771" s="35">
        <f>IF($F771="","",IFERROR(INDEX(사건마스터!$AJ$5:$AJ$64,MATCH($F771,사건마스터!$A$5:$A$64,0)),""))</f>
        <v/>
      </c>
      <c r="M771" s="35">
        <f>IF($F771="","",IFERROR(INDEX(사건마스터!$AK$5:$AK$64,MATCH($F771,사건마스터!$A$5:$A$64,0)),""))</f>
        <v/>
      </c>
      <c r="N771" s="35">
        <f>IF($F771="","",IFERROR(INDEX(사건마스터!$AL$5:$AL$64,MATCH($F771,사건마스터!$A$5:$A$64,0)),""))</f>
        <v/>
      </c>
      <c r="O771" s="35">
        <f>IF($F771="","",IFERROR(INDEX(사건마스터!$AM$5:$AM$64,MATCH($F771,사건마스터!$A$5:$A$64,0)),""))</f>
        <v/>
      </c>
      <c r="P771" s="35">
        <f>IF($F771="","",IFERROR(INDEX(사건마스터!$AN$5:$AN$64,MATCH($F771,사건마스터!$A$5:$A$64,0)),""))</f>
        <v/>
      </c>
      <c r="Q771" s="35">
        <f>IF($F771="","",IFERROR(INDEX(사건마스터!$AO$5:$AO$64,MATCH($F771,사건마스터!$A$5:$A$64,0)),""))</f>
        <v/>
      </c>
      <c r="R771" s="35">
        <f>IF($F771="","",IFERROR(INDEX(사건마스터!$AP$5:$AP$64,MATCH($F771,사건마스터!$A$5:$A$64,0)),""))</f>
        <v/>
      </c>
      <c r="S771" s="35">
        <f>IF($F771="","",IFERROR(INDEX(사건마스터!$AQ$5:$AQ$64,MATCH($F771,사건마스터!$A$5:$A$64,0)),""))</f>
        <v/>
      </c>
      <c r="T771" s="35">
        <f>IF($F771="","",IFERROR(INDEX(사건마스터!$AR$5:$AR$64,MATCH($F771,사건마스터!$A$5:$A$64,0)),""))</f>
        <v/>
      </c>
      <c r="U771" s="35">
        <f>IF($F771="","",IFERROR(INDEX(사건마스터!$AS$5:$AS$64,MATCH($F771,사건마스터!$A$5:$A$64,0)),""))</f>
        <v/>
      </c>
      <c r="V771" s="35">
        <f>IF($F771="","",IFERROR(INDEX(사건마스터!$AT$5:$AT$64,MATCH($F771,사건마스터!$A$5:$A$64,0)),""))</f>
        <v/>
      </c>
      <c r="W771" s="35">
        <f>IF($F771="","",IFERROR(INDEX(사건마스터!$AU$5:$AU$64,MATCH($F771,사건마스터!$A$5:$A$64,0)),""))</f>
        <v/>
      </c>
      <c r="X771" s="35">
        <f>IF($F771="","",IFERROR(INDEX(사건마스터!$AV$5:$AV$64,MATCH($F771,사건마스터!$A$5:$A$64,0)),""))</f>
        <v/>
      </c>
      <c r="Y771" s="30">
        <f>IF($I771="","",COUNTIF($I771:$X771,"?*"))</f>
        <v/>
      </c>
      <c r="Z771" s="33">
        <f>IF($I771="","",_xlfn.TEXTJOIN(", ",TRUE,$I771:$X771))</f>
        <v/>
      </c>
      <c r="AA771" s="34">
        <f>IF($I771="","",IFERROR(INDEX(코드설정!$D$5:$D$24,MATCH($I771,코드설정!$C$5:$C$24,0)),""))</f>
        <v/>
      </c>
      <c r="AB771" s="36" t="n"/>
      <c r="AC771" s="37" t="n"/>
      <c r="AD771" s="38" t="n"/>
      <c r="AE771" s="30">
        <f>IF(OR($B771="",$C771=""),"",$C771-$B771+1)</f>
        <v/>
      </c>
      <c r="AF771" s="32" t="n"/>
      <c r="AG771" s="36" t="n"/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3">
        <f>IF($F772="","",IFERROR(INDEX(사건마스터!$B$5:$B$64,MATCH($F772,사건마스터!$A$5:$A$64,0)),""))</f>
        <v/>
      </c>
      <c r="H772" s="34">
        <f>IF($F772="","",IFERROR(INDEX(사건마스터!$C$5:$C$64,MATCH($F772,사건마스터!$A$5:$A$64,0)),""))</f>
        <v/>
      </c>
      <c r="I772" s="35">
        <f>IF($F772="","",IFERROR(INDEX(사건마스터!$H$5:$H$64,MATCH($F772,사건마스터!$A$5:$A$64,0)),""))</f>
        <v/>
      </c>
      <c r="J772" s="35">
        <f>IF($F772="","",IFERROR(INDEX(사건마스터!$AH$5:$AH$64,MATCH($F772,사건마스터!$A$5:$A$64,0)),""))</f>
        <v/>
      </c>
      <c r="K772" s="35">
        <f>IF($F772="","",IFERROR(INDEX(사건마스터!$AI$5:$AI$64,MATCH($F772,사건마스터!$A$5:$A$64,0)),""))</f>
        <v/>
      </c>
      <c r="L772" s="35">
        <f>IF($F772="","",IFERROR(INDEX(사건마스터!$AJ$5:$AJ$64,MATCH($F772,사건마스터!$A$5:$A$64,0)),""))</f>
        <v/>
      </c>
      <c r="M772" s="35">
        <f>IF($F772="","",IFERROR(INDEX(사건마스터!$AK$5:$AK$64,MATCH($F772,사건마스터!$A$5:$A$64,0)),""))</f>
        <v/>
      </c>
      <c r="N772" s="35">
        <f>IF($F772="","",IFERROR(INDEX(사건마스터!$AL$5:$AL$64,MATCH($F772,사건마스터!$A$5:$A$64,0)),""))</f>
        <v/>
      </c>
      <c r="O772" s="35">
        <f>IF($F772="","",IFERROR(INDEX(사건마스터!$AM$5:$AM$64,MATCH($F772,사건마스터!$A$5:$A$64,0)),""))</f>
        <v/>
      </c>
      <c r="P772" s="35">
        <f>IF($F772="","",IFERROR(INDEX(사건마스터!$AN$5:$AN$64,MATCH($F772,사건마스터!$A$5:$A$64,0)),""))</f>
        <v/>
      </c>
      <c r="Q772" s="35">
        <f>IF($F772="","",IFERROR(INDEX(사건마스터!$AO$5:$AO$64,MATCH($F772,사건마스터!$A$5:$A$64,0)),""))</f>
        <v/>
      </c>
      <c r="R772" s="35">
        <f>IF($F772="","",IFERROR(INDEX(사건마스터!$AP$5:$AP$64,MATCH($F772,사건마스터!$A$5:$A$64,0)),""))</f>
        <v/>
      </c>
      <c r="S772" s="35">
        <f>IF($F772="","",IFERROR(INDEX(사건마스터!$AQ$5:$AQ$64,MATCH($F772,사건마스터!$A$5:$A$64,0)),""))</f>
        <v/>
      </c>
      <c r="T772" s="35">
        <f>IF($F772="","",IFERROR(INDEX(사건마스터!$AR$5:$AR$64,MATCH($F772,사건마스터!$A$5:$A$64,0)),""))</f>
        <v/>
      </c>
      <c r="U772" s="35">
        <f>IF($F772="","",IFERROR(INDEX(사건마스터!$AS$5:$AS$64,MATCH($F772,사건마스터!$A$5:$A$64,0)),""))</f>
        <v/>
      </c>
      <c r="V772" s="35">
        <f>IF($F772="","",IFERROR(INDEX(사건마스터!$AT$5:$AT$64,MATCH($F772,사건마스터!$A$5:$A$64,0)),""))</f>
        <v/>
      </c>
      <c r="W772" s="35">
        <f>IF($F772="","",IFERROR(INDEX(사건마스터!$AU$5:$AU$64,MATCH($F772,사건마스터!$A$5:$A$64,0)),""))</f>
        <v/>
      </c>
      <c r="X772" s="35">
        <f>IF($F772="","",IFERROR(INDEX(사건마스터!$AV$5:$AV$64,MATCH($F772,사건마스터!$A$5:$A$64,0)),""))</f>
        <v/>
      </c>
      <c r="Y772" s="30">
        <f>IF($I772="","",COUNTIF($I772:$X772,"?*"))</f>
        <v/>
      </c>
      <c r="Z772" s="33">
        <f>IF($I772="","",_xlfn.TEXTJOIN(", ",TRUE,$I772:$X772))</f>
        <v/>
      </c>
      <c r="AA772" s="34">
        <f>IF($I772="","",IFERROR(INDEX(코드설정!$D$5:$D$24,MATCH($I772,코드설정!$C$5:$C$24,0)),""))</f>
        <v/>
      </c>
      <c r="AB772" s="36" t="n"/>
      <c r="AC772" s="37" t="n"/>
      <c r="AD772" s="38" t="n"/>
      <c r="AE772" s="30">
        <f>IF(OR($B772="",$C772=""),"",$C772-$B772+1)</f>
        <v/>
      </c>
      <c r="AF772" s="32" t="n"/>
      <c r="AG772" s="36" t="n"/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3">
        <f>IF($F773="","",IFERROR(INDEX(사건마스터!$B$5:$B$64,MATCH($F773,사건마스터!$A$5:$A$64,0)),""))</f>
        <v/>
      </c>
      <c r="H773" s="34">
        <f>IF($F773="","",IFERROR(INDEX(사건마스터!$C$5:$C$64,MATCH($F773,사건마스터!$A$5:$A$64,0)),""))</f>
        <v/>
      </c>
      <c r="I773" s="35">
        <f>IF($F773="","",IFERROR(INDEX(사건마스터!$H$5:$H$64,MATCH($F773,사건마스터!$A$5:$A$64,0)),""))</f>
        <v/>
      </c>
      <c r="J773" s="35">
        <f>IF($F773="","",IFERROR(INDEX(사건마스터!$AH$5:$AH$64,MATCH($F773,사건마스터!$A$5:$A$64,0)),""))</f>
        <v/>
      </c>
      <c r="K773" s="35">
        <f>IF($F773="","",IFERROR(INDEX(사건마스터!$AI$5:$AI$64,MATCH($F773,사건마스터!$A$5:$A$64,0)),""))</f>
        <v/>
      </c>
      <c r="L773" s="35">
        <f>IF($F773="","",IFERROR(INDEX(사건마스터!$AJ$5:$AJ$64,MATCH($F773,사건마스터!$A$5:$A$64,0)),""))</f>
        <v/>
      </c>
      <c r="M773" s="35">
        <f>IF($F773="","",IFERROR(INDEX(사건마스터!$AK$5:$AK$64,MATCH($F773,사건마스터!$A$5:$A$64,0)),""))</f>
        <v/>
      </c>
      <c r="N773" s="35">
        <f>IF($F773="","",IFERROR(INDEX(사건마스터!$AL$5:$AL$64,MATCH($F773,사건마스터!$A$5:$A$64,0)),""))</f>
        <v/>
      </c>
      <c r="O773" s="35">
        <f>IF($F773="","",IFERROR(INDEX(사건마스터!$AM$5:$AM$64,MATCH($F773,사건마스터!$A$5:$A$64,0)),""))</f>
        <v/>
      </c>
      <c r="P773" s="35">
        <f>IF($F773="","",IFERROR(INDEX(사건마스터!$AN$5:$AN$64,MATCH($F773,사건마스터!$A$5:$A$64,0)),""))</f>
        <v/>
      </c>
      <c r="Q773" s="35">
        <f>IF($F773="","",IFERROR(INDEX(사건마스터!$AO$5:$AO$64,MATCH($F773,사건마스터!$A$5:$A$64,0)),""))</f>
        <v/>
      </c>
      <c r="R773" s="35">
        <f>IF($F773="","",IFERROR(INDEX(사건마스터!$AP$5:$AP$64,MATCH($F773,사건마스터!$A$5:$A$64,0)),""))</f>
        <v/>
      </c>
      <c r="S773" s="35">
        <f>IF($F773="","",IFERROR(INDEX(사건마스터!$AQ$5:$AQ$64,MATCH($F773,사건마스터!$A$5:$A$64,0)),""))</f>
        <v/>
      </c>
      <c r="T773" s="35">
        <f>IF($F773="","",IFERROR(INDEX(사건마스터!$AR$5:$AR$64,MATCH($F773,사건마스터!$A$5:$A$64,0)),""))</f>
        <v/>
      </c>
      <c r="U773" s="35">
        <f>IF($F773="","",IFERROR(INDEX(사건마스터!$AS$5:$AS$64,MATCH($F773,사건마스터!$A$5:$A$64,0)),""))</f>
        <v/>
      </c>
      <c r="V773" s="35">
        <f>IF($F773="","",IFERROR(INDEX(사건마스터!$AT$5:$AT$64,MATCH($F773,사건마스터!$A$5:$A$64,0)),""))</f>
        <v/>
      </c>
      <c r="W773" s="35">
        <f>IF($F773="","",IFERROR(INDEX(사건마스터!$AU$5:$AU$64,MATCH($F773,사건마스터!$A$5:$A$64,0)),""))</f>
        <v/>
      </c>
      <c r="X773" s="35">
        <f>IF($F773="","",IFERROR(INDEX(사건마스터!$AV$5:$AV$64,MATCH($F773,사건마스터!$A$5:$A$64,0)),""))</f>
        <v/>
      </c>
      <c r="Y773" s="30">
        <f>IF($I773="","",COUNTIF($I773:$X773,"?*"))</f>
        <v/>
      </c>
      <c r="Z773" s="33">
        <f>IF($I773="","",_xlfn.TEXTJOIN(", ",TRUE,$I773:$X773))</f>
        <v/>
      </c>
      <c r="AA773" s="34">
        <f>IF($I773="","",IFERROR(INDEX(코드설정!$D$5:$D$24,MATCH($I773,코드설정!$C$5:$C$24,0)),""))</f>
        <v/>
      </c>
      <c r="AB773" s="36" t="n"/>
      <c r="AC773" s="37" t="n"/>
      <c r="AD773" s="38" t="n"/>
      <c r="AE773" s="30">
        <f>IF(OR($B773="",$C773=""),"",$C773-$B773+1)</f>
        <v/>
      </c>
      <c r="AF773" s="32" t="n"/>
      <c r="AG773" s="36" t="n"/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3">
        <f>IF($F774="","",IFERROR(INDEX(사건마스터!$B$5:$B$64,MATCH($F774,사건마스터!$A$5:$A$64,0)),""))</f>
        <v/>
      </c>
      <c r="H774" s="34">
        <f>IF($F774="","",IFERROR(INDEX(사건마스터!$C$5:$C$64,MATCH($F774,사건마스터!$A$5:$A$64,0)),""))</f>
        <v/>
      </c>
      <c r="I774" s="35">
        <f>IF($F774="","",IFERROR(INDEX(사건마스터!$H$5:$H$64,MATCH($F774,사건마스터!$A$5:$A$64,0)),""))</f>
        <v/>
      </c>
      <c r="J774" s="35">
        <f>IF($F774="","",IFERROR(INDEX(사건마스터!$AH$5:$AH$64,MATCH($F774,사건마스터!$A$5:$A$64,0)),""))</f>
        <v/>
      </c>
      <c r="K774" s="35">
        <f>IF($F774="","",IFERROR(INDEX(사건마스터!$AI$5:$AI$64,MATCH($F774,사건마스터!$A$5:$A$64,0)),""))</f>
        <v/>
      </c>
      <c r="L774" s="35">
        <f>IF($F774="","",IFERROR(INDEX(사건마스터!$AJ$5:$AJ$64,MATCH($F774,사건마스터!$A$5:$A$64,0)),""))</f>
        <v/>
      </c>
      <c r="M774" s="35">
        <f>IF($F774="","",IFERROR(INDEX(사건마스터!$AK$5:$AK$64,MATCH($F774,사건마스터!$A$5:$A$64,0)),""))</f>
        <v/>
      </c>
      <c r="N774" s="35">
        <f>IF($F774="","",IFERROR(INDEX(사건마스터!$AL$5:$AL$64,MATCH($F774,사건마스터!$A$5:$A$64,0)),""))</f>
        <v/>
      </c>
      <c r="O774" s="35">
        <f>IF($F774="","",IFERROR(INDEX(사건마스터!$AM$5:$AM$64,MATCH($F774,사건마스터!$A$5:$A$64,0)),""))</f>
        <v/>
      </c>
      <c r="P774" s="35">
        <f>IF($F774="","",IFERROR(INDEX(사건마스터!$AN$5:$AN$64,MATCH($F774,사건마스터!$A$5:$A$64,0)),""))</f>
        <v/>
      </c>
      <c r="Q774" s="35">
        <f>IF($F774="","",IFERROR(INDEX(사건마스터!$AO$5:$AO$64,MATCH($F774,사건마스터!$A$5:$A$64,0)),""))</f>
        <v/>
      </c>
      <c r="R774" s="35">
        <f>IF($F774="","",IFERROR(INDEX(사건마스터!$AP$5:$AP$64,MATCH($F774,사건마스터!$A$5:$A$64,0)),""))</f>
        <v/>
      </c>
      <c r="S774" s="35">
        <f>IF($F774="","",IFERROR(INDEX(사건마스터!$AQ$5:$AQ$64,MATCH($F774,사건마스터!$A$5:$A$64,0)),""))</f>
        <v/>
      </c>
      <c r="T774" s="35">
        <f>IF($F774="","",IFERROR(INDEX(사건마스터!$AR$5:$AR$64,MATCH($F774,사건마스터!$A$5:$A$64,0)),""))</f>
        <v/>
      </c>
      <c r="U774" s="35">
        <f>IF($F774="","",IFERROR(INDEX(사건마스터!$AS$5:$AS$64,MATCH($F774,사건마스터!$A$5:$A$64,0)),""))</f>
        <v/>
      </c>
      <c r="V774" s="35">
        <f>IF($F774="","",IFERROR(INDEX(사건마스터!$AT$5:$AT$64,MATCH($F774,사건마스터!$A$5:$A$64,0)),""))</f>
        <v/>
      </c>
      <c r="W774" s="35">
        <f>IF($F774="","",IFERROR(INDEX(사건마스터!$AU$5:$AU$64,MATCH($F774,사건마스터!$A$5:$A$64,0)),""))</f>
        <v/>
      </c>
      <c r="X774" s="35">
        <f>IF($F774="","",IFERROR(INDEX(사건마스터!$AV$5:$AV$64,MATCH($F774,사건마스터!$A$5:$A$64,0)),""))</f>
        <v/>
      </c>
      <c r="Y774" s="30">
        <f>IF($I774="","",COUNTIF($I774:$X774,"?*"))</f>
        <v/>
      </c>
      <c r="Z774" s="33">
        <f>IF($I774="","",_xlfn.TEXTJOIN(", ",TRUE,$I774:$X774))</f>
        <v/>
      </c>
      <c r="AA774" s="34">
        <f>IF($I774="","",IFERROR(INDEX(코드설정!$D$5:$D$24,MATCH($I774,코드설정!$C$5:$C$24,0)),""))</f>
        <v/>
      </c>
      <c r="AB774" s="36" t="n"/>
      <c r="AC774" s="37" t="n"/>
      <c r="AD774" s="38" t="n"/>
      <c r="AE774" s="30">
        <f>IF(OR($B774="",$C774=""),"",$C774-$B774+1)</f>
        <v/>
      </c>
      <c r="AF774" s="32" t="n"/>
      <c r="AG774" s="36" t="n"/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3">
        <f>IF($F775="","",IFERROR(INDEX(사건마스터!$B$5:$B$64,MATCH($F775,사건마스터!$A$5:$A$64,0)),""))</f>
        <v/>
      </c>
      <c r="H775" s="34">
        <f>IF($F775="","",IFERROR(INDEX(사건마스터!$C$5:$C$64,MATCH($F775,사건마스터!$A$5:$A$64,0)),""))</f>
        <v/>
      </c>
      <c r="I775" s="35">
        <f>IF($F775="","",IFERROR(INDEX(사건마스터!$H$5:$H$64,MATCH($F775,사건마스터!$A$5:$A$64,0)),""))</f>
        <v/>
      </c>
      <c r="J775" s="35">
        <f>IF($F775="","",IFERROR(INDEX(사건마스터!$AH$5:$AH$64,MATCH($F775,사건마스터!$A$5:$A$64,0)),""))</f>
        <v/>
      </c>
      <c r="K775" s="35">
        <f>IF($F775="","",IFERROR(INDEX(사건마스터!$AI$5:$AI$64,MATCH($F775,사건마스터!$A$5:$A$64,0)),""))</f>
        <v/>
      </c>
      <c r="L775" s="35">
        <f>IF($F775="","",IFERROR(INDEX(사건마스터!$AJ$5:$AJ$64,MATCH($F775,사건마스터!$A$5:$A$64,0)),""))</f>
        <v/>
      </c>
      <c r="M775" s="35">
        <f>IF($F775="","",IFERROR(INDEX(사건마스터!$AK$5:$AK$64,MATCH($F775,사건마스터!$A$5:$A$64,0)),""))</f>
        <v/>
      </c>
      <c r="N775" s="35">
        <f>IF($F775="","",IFERROR(INDEX(사건마스터!$AL$5:$AL$64,MATCH($F775,사건마스터!$A$5:$A$64,0)),""))</f>
        <v/>
      </c>
      <c r="O775" s="35">
        <f>IF($F775="","",IFERROR(INDEX(사건마스터!$AM$5:$AM$64,MATCH($F775,사건마스터!$A$5:$A$64,0)),""))</f>
        <v/>
      </c>
      <c r="P775" s="35">
        <f>IF($F775="","",IFERROR(INDEX(사건마스터!$AN$5:$AN$64,MATCH($F775,사건마스터!$A$5:$A$64,0)),""))</f>
        <v/>
      </c>
      <c r="Q775" s="35">
        <f>IF($F775="","",IFERROR(INDEX(사건마스터!$AO$5:$AO$64,MATCH($F775,사건마스터!$A$5:$A$64,0)),""))</f>
        <v/>
      </c>
      <c r="R775" s="35">
        <f>IF($F775="","",IFERROR(INDEX(사건마스터!$AP$5:$AP$64,MATCH($F775,사건마스터!$A$5:$A$64,0)),""))</f>
        <v/>
      </c>
      <c r="S775" s="35">
        <f>IF($F775="","",IFERROR(INDEX(사건마스터!$AQ$5:$AQ$64,MATCH($F775,사건마스터!$A$5:$A$64,0)),""))</f>
        <v/>
      </c>
      <c r="T775" s="35">
        <f>IF($F775="","",IFERROR(INDEX(사건마스터!$AR$5:$AR$64,MATCH($F775,사건마스터!$A$5:$A$64,0)),""))</f>
        <v/>
      </c>
      <c r="U775" s="35">
        <f>IF($F775="","",IFERROR(INDEX(사건마스터!$AS$5:$AS$64,MATCH($F775,사건마스터!$A$5:$A$64,0)),""))</f>
        <v/>
      </c>
      <c r="V775" s="35">
        <f>IF($F775="","",IFERROR(INDEX(사건마스터!$AT$5:$AT$64,MATCH($F775,사건마스터!$A$5:$A$64,0)),""))</f>
        <v/>
      </c>
      <c r="W775" s="35">
        <f>IF($F775="","",IFERROR(INDEX(사건마스터!$AU$5:$AU$64,MATCH($F775,사건마스터!$A$5:$A$64,0)),""))</f>
        <v/>
      </c>
      <c r="X775" s="35">
        <f>IF($F775="","",IFERROR(INDEX(사건마스터!$AV$5:$AV$64,MATCH($F775,사건마스터!$A$5:$A$64,0)),""))</f>
        <v/>
      </c>
      <c r="Y775" s="30">
        <f>IF($I775="","",COUNTIF($I775:$X775,"?*"))</f>
        <v/>
      </c>
      <c r="Z775" s="33">
        <f>IF($I775="","",_xlfn.TEXTJOIN(", ",TRUE,$I775:$X775))</f>
        <v/>
      </c>
      <c r="AA775" s="34">
        <f>IF($I775="","",IFERROR(INDEX(코드설정!$D$5:$D$24,MATCH($I775,코드설정!$C$5:$C$24,0)),""))</f>
        <v/>
      </c>
      <c r="AB775" s="36" t="n"/>
      <c r="AC775" s="37" t="n"/>
      <c r="AD775" s="38" t="n"/>
      <c r="AE775" s="30">
        <f>IF(OR($B775="",$C775=""),"",$C775-$B775+1)</f>
        <v/>
      </c>
      <c r="AF775" s="32" t="n"/>
      <c r="AG775" s="36" t="n"/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3">
        <f>IF($F776="","",IFERROR(INDEX(사건마스터!$B$5:$B$64,MATCH($F776,사건마스터!$A$5:$A$64,0)),""))</f>
        <v/>
      </c>
      <c r="H776" s="34">
        <f>IF($F776="","",IFERROR(INDEX(사건마스터!$C$5:$C$64,MATCH($F776,사건마스터!$A$5:$A$64,0)),""))</f>
        <v/>
      </c>
      <c r="I776" s="35">
        <f>IF($F776="","",IFERROR(INDEX(사건마스터!$H$5:$H$64,MATCH($F776,사건마스터!$A$5:$A$64,0)),""))</f>
        <v/>
      </c>
      <c r="J776" s="35">
        <f>IF($F776="","",IFERROR(INDEX(사건마스터!$AH$5:$AH$64,MATCH($F776,사건마스터!$A$5:$A$64,0)),""))</f>
        <v/>
      </c>
      <c r="K776" s="35">
        <f>IF($F776="","",IFERROR(INDEX(사건마스터!$AI$5:$AI$64,MATCH($F776,사건마스터!$A$5:$A$64,0)),""))</f>
        <v/>
      </c>
      <c r="L776" s="35">
        <f>IF($F776="","",IFERROR(INDEX(사건마스터!$AJ$5:$AJ$64,MATCH($F776,사건마스터!$A$5:$A$64,0)),""))</f>
        <v/>
      </c>
      <c r="M776" s="35">
        <f>IF($F776="","",IFERROR(INDEX(사건마스터!$AK$5:$AK$64,MATCH($F776,사건마스터!$A$5:$A$64,0)),""))</f>
        <v/>
      </c>
      <c r="N776" s="35">
        <f>IF($F776="","",IFERROR(INDEX(사건마스터!$AL$5:$AL$64,MATCH($F776,사건마스터!$A$5:$A$64,0)),""))</f>
        <v/>
      </c>
      <c r="O776" s="35">
        <f>IF($F776="","",IFERROR(INDEX(사건마스터!$AM$5:$AM$64,MATCH($F776,사건마스터!$A$5:$A$64,0)),""))</f>
        <v/>
      </c>
      <c r="P776" s="35">
        <f>IF($F776="","",IFERROR(INDEX(사건마스터!$AN$5:$AN$64,MATCH($F776,사건마스터!$A$5:$A$64,0)),""))</f>
        <v/>
      </c>
      <c r="Q776" s="35">
        <f>IF($F776="","",IFERROR(INDEX(사건마스터!$AO$5:$AO$64,MATCH($F776,사건마스터!$A$5:$A$64,0)),""))</f>
        <v/>
      </c>
      <c r="R776" s="35">
        <f>IF($F776="","",IFERROR(INDEX(사건마스터!$AP$5:$AP$64,MATCH($F776,사건마스터!$A$5:$A$64,0)),""))</f>
        <v/>
      </c>
      <c r="S776" s="35">
        <f>IF($F776="","",IFERROR(INDEX(사건마스터!$AQ$5:$AQ$64,MATCH($F776,사건마스터!$A$5:$A$64,0)),""))</f>
        <v/>
      </c>
      <c r="T776" s="35">
        <f>IF($F776="","",IFERROR(INDEX(사건마스터!$AR$5:$AR$64,MATCH($F776,사건마스터!$A$5:$A$64,0)),""))</f>
        <v/>
      </c>
      <c r="U776" s="35">
        <f>IF($F776="","",IFERROR(INDEX(사건마스터!$AS$5:$AS$64,MATCH($F776,사건마스터!$A$5:$A$64,0)),""))</f>
        <v/>
      </c>
      <c r="V776" s="35">
        <f>IF($F776="","",IFERROR(INDEX(사건마스터!$AT$5:$AT$64,MATCH($F776,사건마스터!$A$5:$A$64,0)),""))</f>
        <v/>
      </c>
      <c r="W776" s="35">
        <f>IF($F776="","",IFERROR(INDEX(사건마스터!$AU$5:$AU$64,MATCH($F776,사건마스터!$A$5:$A$64,0)),""))</f>
        <v/>
      </c>
      <c r="X776" s="35">
        <f>IF($F776="","",IFERROR(INDEX(사건마스터!$AV$5:$AV$64,MATCH($F776,사건마스터!$A$5:$A$64,0)),""))</f>
        <v/>
      </c>
      <c r="Y776" s="30">
        <f>IF($I776="","",COUNTIF($I776:$X776,"?*"))</f>
        <v/>
      </c>
      <c r="Z776" s="33">
        <f>IF($I776="","",_xlfn.TEXTJOIN(", ",TRUE,$I776:$X776))</f>
        <v/>
      </c>
      <c r="AA776" s="34">
        <f>IF($I776="","",IFERROR(INDEX(코드설정!$D$5:$D$24,MATCH($I776,코드설정!$C$5:$C$24,0)),""))</f>
        <v/>
      </c>
      <c r="AB776" s="36" t="n"/>
      <c r="AC776" s="37" t="n"/>
      <c r="AD776" s="38" t="n"/>
      <c r="AE776" s="30">
        <f>IF(OR($B776="",$C776=""),"",$C776-$B776+1)</f>
        <v/>
      </c>
      <c r="AF776" s="32" t="n"/>
      <c r="AG776" s="36" t="n"/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3">
        <f>IF($F777="","",IFERROR(INDEX(사건마스터!$B$5:$B$64,MATCH($F777,사건마스터!$A$5:$A$64,0)),""))</f>
        <v/>
      </c>
      <c r="H777" s="34">
        <f>IF($F777="","",IFERROR(INDEX(사건마스터!$C$5:$C$64,MATCH($F777,사건마스터!$A$5:$A$64,0)),""))</f>
        <v/>
      </c>
      <c r="I777" s="35">
        <f>IF($F777="","",IFERROR(INDEX(사건마스터!$H$5:$H$64,MATCH($F777,사건마스터!$A$5:$A$64,0)),""))</f>
        <v/>
      </c>
      <c r="J777" s="35">
        <f>IF($F777="","",IFERROR(INDEX(사건마스터!$AH$5:$AH$64,MATCH($F777,사건마스터!$A$5:$A$64,0)),""))</f>
        <v/>
      </c>
      <c r="K777" s="35">
        <f>IF($F777="","",IFERROR(INDEX(사건마스터!$AI$5:$AI$64,MATCH($F777,사건마스터!$A$5:$A$64,0)),""))</f>
        <v/>
      </c>
      <c r="L777" s="35">
        <f>IF($F777="","",IFERROR(INDEX(사건마스터!$AJ$5:$AJ$64,MATCH($F777,사건마스터!$A$5:$A$64,0)),""))</f>
        <v/>
      </c>
      <c r="M777" s="35">
        <f>IF($F777="","",IFERROR(INDEX(사건마스터!$AK$5:$AK$64,MATCH($F777,사건마스터!$A$5:$A$64,0)),""))</f>
        <v/>
      </c>
      <c r="N777" s="35">
        <f>IF($F777="","",IFERROR(INDEX(사건마스터!$AL$5:$AL$64,MATCH($F777,사건마스터!$A$5:$A$64,0)),""))</f>
        <v/>
      </c>
      <c r="O777" s="35">
        <f>IF($F777="","",IFERROR(INDEX(사건마스터!$AM$5:$AM$64,MATCH($F777,사건마스터!$A$5:$A$64,0)),""))</f>
        <v/>
      </c>
      <c r="P777" s="35">
        <f>IF($F777="","",IFERROR(INDEX(사건마스터!$AN$5:$AN$64,MATCH($F777,사건마스터!$A$5:$A$64,0)),""))</f>
        <v/>
      </c>
      <c r="Q777" s="35">
        <f>IF($F777="","",IFERROR(INDEX(사건마스터!$AO$5:$AO$64,MATCH($F777,사건마스터!$A$5:$A$64,0)),""))</f>
        <v/>
      </c>
      <c r="R777" s="35">
        <f>IF($F777="","",IFERROR(INDEX(사건마스터!$AP$5:$AP$64,MATCH($F777,사건마스터!$A$5:$A$64,0)),""))</f>
        <v/>
      </c>
      <c r="S777" s="35">
        <f>IF($F777="","",IFERROR(INDEX(사건마스터!$AQ$5:$AQ$64,MATCH($F777,사건마스터!$A$5:$A$64,0)),""))</f>
        <v/>
      </c>
      <c r="T777" s="35">
        <f>IF($F777="","",IFERROR(INDEX(사건마스터!$AR$5:$AR$64,MATCH($F777,사건마스터!$A$5:$A$64,0)),""))</f>
        <v/>
      </c>
      <c r="U777" s="35">
        <f>IF($F777="","",IFERROR(INDEX(사건마스터!$AS$5:$AS$64,MATCH($F777,사건마스터!$A$5:$A$64,0)),""))</f>
        <v/>
      </c>
      <c r="V777" s="35">
        <f>IF($F777="","",IFERROR(INDEX(사건마스터!$AT$5:$AT$64,MATCH($F777,사건마스터!$A$5:$A$64,0)),""))</f>
        <v/>
      </c>
      <c r="W777" s="35">
        <f>IF($F777="","",IFERROR(INDEX(사건마스터!$AU$5:$AU$64,MATCH($F777,사건마스터!$A$5:$A$64,0)),""))</f>
        <v/>
      </c>
      <c r="X777" s="35">
        <f>IF($F777="","",IFERROR(INDEX(사건마스터!$AV$5:$AV$64,MATCH($F777,사건마스터!$A$5:$A$64,0)),""))</f>
        <v/>
      </c>
      <c r="Y777" s="30">
        <f>IF($I777="","",COUNTIF($I777:$X777,"?*"))</f>
        <v/>
      </c>
      <c r="Z777" s="33">
        <f>IF($I777="","",_xlfn.TEXTJOIN(", ",TRUE,$I777:$X777))</f>
        <v/>
      </c>
      <c r="AA777" s="34">
        <f>IF($I777="","",IFERROR(INDEX(코드설정!$D$5:$D$24,MATCH($I777,코드설정!$C$5:$C$24,0)),""))</f>
        <v/>
      </c>
      <c r="AB777" s="36" t="n"/>
      <c r="AC777" s="37" t="n"/>
      <c r="AD777" s="38" t="n"/>
      <c r="AE777" s="30">
        <f>IF(OR($B777="",$C777=""),"",$C777-$B777+1)</f>
        <v/>
      </c>
      <c r="AF777" s="32" t="n"/>
      <c r="AG777" s="36" t="n"/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3">
        <f>IF($F778="","",IFERROR(INDEX(사건마스터!$B$5:$B$64,MATCH($F778,사건마스터!$A$5:$A$64,0)),""))</f>
        <v/>
      </c>
      <c r="H778" s="34">
        <f>IF($F778="","",IFERROR(INDEX(사건마스터!$C$5:$C$64,MATCH($F778,사건마스터!$A$5:$A$64,0)),""))</f>
        <v/>
      </c>
      <c r="I778" s="35">
        <f>IF($F778="","",IFERROR(INDEX(사건마스터!$H$5:$H$64,MATCH($F778,사건마스터!$A$5:$A$64,0)),""))</f>
        <v/>
      </c>
      <c r="J778" s="35">
        <f>IF($F778="","",IFERROR(INDEX(사건마스터!$AH$5:$AH$64,MATCH($F778,사건마스터!$A$5:$A$64,0)),""))</f>
        <v/>
      </c>
      <c r="K778" s="35">
        <f>IF($F778="","",IFERROR(INDEX(사건마스터!$AI$5:$AI$64,MATCH($F778,사건마스터!$A$5:$A$64,0)),""))</f>
        <v/>
      </c>
      <c r="L778" s="35">
        <f>IF($F778="","",IFERROR(INDEX(사건마스터!$AJ$5:$AJ$64,MATCH($F778,사건마스터!$A$5:$A$64,0)),""))</f>
        <v/>
      </c>
      <c r="M778" s="35">
        <f>IF($F778="","",IFERROR(INDEX(사건마스터!$AK$5:$AK$64,MATCH($F778,사건마스터!$A$5:$A$64,0)),""))</f>
        <v/>
      </c>
      <c r="N778" s="35">
        <f>IF($F778="","",IFERROR(INDEX(사건마스터!$AL$5:$AL$64,MATCH($F778,사건마스터!$A$5:$A$64,0)),""))</f>
        <v/>
      </c>
      <c r="O778" s="35">
        <f>IF($F778="","",IFERROR(INDEX(사건마스터!$AM$5:$AM$64,MATCH($F778,사건마스터!$A$5:$A$64,0)),""))</f>
        <v/>
      </c>
      <c r="P778" s="35">
        <f>IF($F778="","",IFERROR(INDEX(사건마스터!$AN$5:$AN$64,MATCH($F778,사건마스터!$A$5:$A$64,0)),""))</f>
        <v/>
      </c>
      <c r="Q778" s="35">
        <f>IF($F778="","",IFERROR(INDEX(사건마스터!$AO$5:$AO$64,MATCH($F778,사건마스터!$A$5:$A$64,0)),""))</f>
        <v/>
      </c>
      <c r="R778" s="35">
        <f>IF($F778="","",IFERROR(INDEX(사건마스터!$AP$5:$AP$64,MATCH($F778,사건마스터!$A$5:$A$64,0)),""))</f>
        <v/>
      </c>
      <c r="S778" s="35">
        <f>IF($F778="","",IFERROR(INDEX(사건마스터!$AQ$5:$AQ$64,MATCH($F778,사건마스터!$A$5:$A$64,0)),""))</f>
        <v/>
      </c>
      <c r="T778" s="35">
        <f>IF($F778="","",IFERROR(INDEX(사건마스터!$AR$5:$AR$64,MATCH($F778,사건마스터!$A$5:$A$64,0)),""))</f>
        <v/>
      </c>
      <c r="U778" s="35">
        <f>IF($F778="","",IFERROR(INDEX(사건마스터!$AS$5:$AS$64,MATCH($F778,사건마스터!$A$5:$A$64,0)),""))</f>
        <v/>
      </c>
      <c r="V778" s="35">
        <f>IF($F778="","",IFERROR(INDEX(사건마스터!$AT$5:$AT$64,MATCH($F778,사건마스터!$A$5:$A$64,0)),""))</f>
        <v/>
      </c>
      <c r="W778" s="35">
        <f>IF($F778="","",IFERROR(INDEX(사건마스터!$AU$5:$AU$64,MATCH($F778,사건마스터!$A$5:$A$64,0)),""))</f>
        <v/>
      </c>
      <c r="X778" s="35">
        <f>IF($F778="","",IFERROR(INDEX(사건마스터!$AV$5:$AV$64,MATCH($F778,사건마스터!$A$5:$A$64,0)),""))</f>
        <v/>
      </c>
      <c r="Y778" s="30">
        <f>IF($I778="","",COUNTIF($I778:$X778,"?*"))</f>
        <v/>
      </c>
      <c r="Z778" s="33">
        <f>IF($I778="","",_xlfn.TEXTJOIN(", ",TRUE,$I778:$X778))</f>
        <v/>
      </c>
      <c r="AA778" s="34">
        <f>IF($I778="","",IFERROR(INDEX(코드설정!$D$5:$D$24,MATCH($I778,코드설정!$C$5:$C$24,0)),""))</f>
        <v/>
      </c>
      <c r="AB778" s="36" t="n"/>
      <c r="AC778" s="37" t="n"/>
      <c r="AD778" s="38" t="n"/>
      <c r="AE778" s="30">
        <f>IF(OR($B778="",$C778=""),"",$C778-$B778+1)</f>
        <v/>
      </c>
      <c r="AF778" s="32" t="n"/>
      <c r="AG778" s="36" t="n"/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3">
        <f>IF($F779="","",IFERROR(INDEX(사건마스터!$B$5:$B$64,MATCH($F779,사건마스터!$A$5:$A$64,0)),""))</f>
        <v/>
      </c>
      <c r="H779" s="34">
        <f>IF($F779="","",IFERROR(INDEX(사건마스터!$C$5:$C$64,MATCH($F779,사건마스터!$A$5:$A$64,0)),""))</f>
        <v/>
      </c>
      <c r="I779" s="35">
        <f>IF($F779="","",IFERROR(INDEX(사건마스터!$H$5:$H$64,MATCH($F779,사건마스터!$A$5:$A$64,0)),""))</f>
        <v/>
      </c>
      <c r="J779" s="35">
        <f>IF($F779="","",IFERROR(INDEX(사건마스터!$AH$5:$AH$64,MATCH($F779,사건마스터!$A$5:$A$64,0)),""))</f>
        <v/>
      </c>
      <c r="K779" s="35">
        <f>IF($F779="","",IFERROR(INDEX(사건마스터!$AI$5:$AI$64,MATCH($F779,사건마스터!$A$5:$A$64,0)),""))</f>
        <v/>
      </c>
      <c r="L779" s="35">
        <f>IF($F779="","",IFERROR(INDEX(사건마스터!$AJ$5:$AJ$64,MATCH($F779,사건마스터!$A$5:$A$64,0)),""))</f>
        <v/>
      </c>
      <c r="M779" s="35">
        <f>IF($F779="","",IFERROR(INDEX(사건마스터!$AK$5:$AK$64,MATCH($F779,사건마스터!$A$5:$A$64,0)),""))</f>
        <v/>
      </c>
      <c r="N779" s="35">
        <f>IF($F779="","",IFERROR(INDEX(사건마스터!$AL$5:$AL$64,MATCH($F779,사건마스터!$A$5:$A$64,0)),""))</f>
        <v/>
      </c>
      <c r="O779" s="35">
        <f>IF($F779="","",IFERROR(INDEX(사건마스터!$AM$5:$AM$64,MATCH($F779,사건마스터!$A$5:$A$64,0)),""))</f>
        <v/>
      </c>
      <c r="P779" s="35">
        <f>IF($F779="","",IFERROR(INDEX(사건마스터!$AN$5:$AN$64,MATCH($F779,사건마스터!$A$5:$A$64,0)),""))</f>
        <v/>
      </c>
      <c r="Q779" s="35">
        <f>IF($F779="","",IFERROR(INDEX(사건마스터!$AO$5:$AO$64,MATCH($F779,사건마스터!$A$5:$A$64,0)),""))</f>
        <v/>
      </c>
      <c r="R779" s="35">
        <f>IF($F779="","",IFERROR(INDEX(사건마스터!$AP$5:$AP$64,MATCH($F779,사건마스터!$A$5:$A$64,0)),""))</f>
        <v/>
      </c>
      <c r="S779" s="35">
        <f>IF($F779="","",IFERROR(INDEX(사건마스터!$AQ$5:$AQ$64,MATCH($F779,사건마스터!$A$5:$A$64,0)),""))</f>
        <v/>
      </c>
      <c r="T779" s="35">
        <f>IF($F779="","",IFERROR(INDEX(사건마스터!$AR$5:$AR$64,MATCH($F779,사건마스터!$A$5:$A$64,0)),""))</f>
        <v/>
      </c>
      <c r="U779" s="35">
        <f>IF($F779="","",IFERROR(INDEX(사건마스터!$AS$5:$AS$64,MATCH($F779,사건마스터!$A$5:$A$64,0)),""))</f>
        <v/>
      </c>
      <c r="V779" s="35">
        <f>IF($F779="","",IFERROR(INDEX(사건마스터!$AT$5:$AT$64,MATCH($F779,사건마스터!$A$5:$A$64,0)),""))</f>
        <v/>
      </c>
      <c r="W779" s="35">
        <f>IF($F779="","",IFERROR(INDEX(사건마스터!$AU$5:$AU$64,MATCH($F779,사건마스터!$A$5:$A$64,0)),""))</f>
        <v/>
      </c>
      <c r="X779" s="35">
        <f>IF($F779="","",IFERROR(INDEX(사건마스터!$AV$5:$AV$64,MATCH($F779,사건마스터!$A$5:$A$64,0)),""))</f>
        <v/>
      </c>
      <c r="Y779" s="30">
        <f>IF($I779="","",COUNTIF($I779:$X779,"?*"))</f>
        <v/>
      </c>
      <c r="Z779" s="33">
        <f>IF($I779="","",_xlfn.TEXTJOIN(", ",TRUE,$I779:$X779))</f>
        <v/>
      </c>
      <c r="AA779" s="34">
        <f>IF($I779="","",IFERROR(INDEX(코드설정!$D$5:$D$24,MATCH($I779,코드설정!$C$5:$C$24,0)),""))</f>
        <v/>
      </c>
      <c r="AB779" s="36" t="n"/>
      <c r="AC779" s="37" t="n"/>
      <c r="AD779" s="38" t="n"/>
      <c r="AE779" s="30">
        <f>IF(OR($B779="",$C779=""),"",$C779-$B779+1)</f>
        <v/>
      </c>
      <c r="AF779" s="32" t="n"/>
      <c r="AG779" s="36" t="n"/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3">
        <f>IF($F780="","",IFERROR(INDEX(사건마스터!$B$5:$B$64,MATCH($F780,사건마스터!$A$5:$A$64,0)),""))</f>
        <v/>
      </c>
      <c r="H780" s="34">
        <f>IF($F780="","",IFERROR(INDEX(사건마스터!$C$5:$C$64,MATCH($F780,사건마스터!$A$5:$A$64,0)),""))</f>
        <v/>
      </c>
      <c r="I780" s="35">
        <f>IF($F780="","",IFERROR(INDEX(사건마스터!$H$5:$H$64,MATCH($F780,사건마스터!$A$5:$A$64,0)),""))</f>
        <v/>
      </c>
      <c r="J780" s="35">
        <f>IF($F780="","",IFERROR(INDEX(사건마스터!$AH$5:$AH$64,MATCH($F780,사건마스터!$A$5:$A$64,0)),""))</f>
        <v/>
      </c>
      <c r="K780" s="35">
        <f>IF($F780="","",IFERROR(INDEX(사건마스터!$AI$5:$AI$64,MATCH($F780,사건마스터!$A$5:$A$64,0)),""))</f>
        <v/>
      </c>
      <c r="L780" s="35">
        <f>IF($F780="","",IFERROR(INDEX(사건마스터!$AJ$5:$AJ$64,MATCH($F780,사건마스터!$A$5:$A$64,0)),""))</f>
        <v/>
      </c>
      <c r="M780" s="35">
        <f>IF($F780="","",IFERROR(INDEX(사건마스터!$AK$5:$AK$64,MATCH($F780,사건마스터!$A$5:$A$64,0)),""))</f>
        <v/>
      </c>
      <c r="N780" s="35">
        <f>IF($F780="","",IFERROR(INDEX(사건마스터!$AL$5:$AL$64,MATCH($F780,사건마스터!$A$5:$A$64,0)),""))</f>
        <v/>
      </c>
      <c r="O780" s="35">
        <f>IF($F780="","",IFERROR(INDEX(사건마스터!$AM$5:$AM$64,MATCH($F780,사건마스터!$A$5:$A$64,0)),""))</f>
        <v/>
      </c>
      <c r="P780" s="35">
        <f>IF($F780="","",IFERROR(INDEX(사건마스터!$AN$5:$AN$64,MATCH($F780,사건마스터!$A$5:$A$64,0)),""))</f>
        <v/>
      </c>
      <c r="Q780" s="35">
        <f>IF($F780="","",IFERROR(INDEX(사건마스터!$AO$5:$AO$64,MATCH($F780,사건마스터!$A$5:$A$64,0)),""))</f>
        <v/>
      </c>
      <c r="R780" s="35">
        <f>IF($F780="","",IFERROR(INDEX(사건마스터!$AP$5:$AP$64,MATCH($F780,사건마스터!$A$5:$A$64,0)),""))</f>
        <v/>
      </c>
      <c r="S780" s="35">
        <f>IF($F780="","",IFERROR(INDEX(사건마스터!$AQ$5:$AQ$64,MATCH($F780,사건마스터!$A$5:$A$64,0)),""))</f>
        <v/>
      </c>
      <c r="T780" s="35">
        <f>IF($F780="","",IFERROR(INDEX(사건마스터!$AR$5:$AR$64,MATCH($F780,사건마스터!$A$5:$A$64,0)),""))</f>
        <v/>
      </c>
      <c r="U780" s="35">
        <f>IF($F780="","",IFERROR(INDEX(사건마스터!$AS$5:$AS$64,MATCH($F780,사건마스터!$A$5:$A$64,0)),""))</f>
        <v/>
      </c>
      <c r="V780" s="35">
        <f>IF($F780="","",IFERROR(INDEX(사건마스터!$AT$5:$AT$64,MATCH($F780,사건마스터!$A$5:$A$64,0)),""))</f>
        <v/>
      </c>
      <c r="W780" s="35">
        <f>IF($F780="","",IFERROR(INDEX(사건마스터!$AU$5:$AU$64,MATCH($F780,사건마스터!$A$5:$A$64,0)),""))</f>
        <v/>
      </c>
      <c r="X780" s="35">
        <f>IF($F780="","",IFERROR(INDEX(사건마스터!$AV$5:$AV$64,MATCH($F780,사건마스터!$A$5:$A$64,0)),""))</f>
        <v/>
      </c>
      <c r="Y780" s="30">
        <f>IF($I780="","",COUNTIF($I780:$X780,"?*"))</f>
        <v/>
      </c>
      <c r="Z780" s="33">
        <f>IF($I780="","",_xlfn.TEXTJOIN(", ",TRUE,$I780:$X780))</f>
        <v/>
      </c>
      <c r="AA780" s="34">
        <f>IF($I780="","",IFERROR(INDEX(코드설정!$D$5:$D$24,MATCH($I780,코드설정!$C$5:$C$24,0)),""))</f>
        <v/>
      </c>
      <c r="AB780" s="36" t="n"/>
      <c r="AC780" s="37" t="n"/>
      <c r="AD780" s="38" t="n"/>
      <c r="AE780" s="30">
        <f>IF(OR($B780="",$C780=""),"",$C780-$B780+1)</f>
        <v/>
      </c>
      <c r="AF780" s="32" t="n"/>
      <c r="AG780" s="36" t="n"/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3">
        <f>IF($F781="","",IFERROR(INDEX(사건마스터!$B$5:$B$64,MATCH($F781,사건마스터!$A$5:$A$64,0)),""))</f>
        <v/>
      </c>
      <c r="H781" s="34">
        <f>IF($F781="","",IFERROR(INDEX(사건마스터!$C$5:$C$64,MATCH($F781,사건마스터!$A$5:$A$64,0)),""))</f>
        <v/>
      </c>
      <c r="I781" s="35">
        <f>IF($F781="","",IFERROR(INDEX(사건마스터!$H$5:$H$64,MATCH($F781,사건마스터!$A$5:$A$64,0)),""))</f>
        <v/>
      </c>
      <c r="J781" s="35">
        <f>IF($F781="","",IFERROR(INDEX(사건마스터!$AH$5:$AH$64,MATCH($F781,사건마스터!$A$5:$A$64,0)),""))</f>
        <v/>
      </c>
      <c r="K781" s="35">
        <f>IF($F781="","",IFERROR(INDEX(사건마스터!$AI$5:$AI$64,MATCH($F781,사건마스터!$A$5:$A$64,0)),""))</f>
        <v/>
      </c>
      <c r="L781" s="35">
        <f>IF($F781="","",IFERROR(INDEX(사건마스터!$AJ$5:$AJ$64,MATCH($F781,사건마스터!$A$5:$A$64,0)),""))</f>
        <v/>
      </c>
      <c r="M781" s="35">
        <f>IF($F781="","",IFERROR(INDEX(사건마스터!$AK$5:$AK$64,MATCH($F781,사건마스터!$A$5:$A$64,0)),""))</f>
        <v/>
      </c>
      <c r="N781" s="35">
        <f>IF($F781="","",IFERROR(INDEX(사건마스터!$AL$5:$AL$64,MATCH($F781,사건마스터!$A$5:$A$64,0)),""))</f>
        <v/>
      </c>
      <c r="O781" s="35">
        <f>IF($F781="","",IFERROR(INDEX(사건마스터!$AM$5:$AM$64,MATCH($F781,사건마스터!$A$5:$A$64,0)),""))</f>
        <v/>
      </c>
      <c r="P781" s="35">
        <f>IF($F781="","",IFERROR(INDEX(사건마스터!$AN$5:$AN$64,MATCH($F781,사건마스터!$A$5:$A$64,0)),""))</f>
        <v/>
      </c>
      <c r="Q781" s="35">
        <f>IF($F781="","",IFERROR(INDEX(사건마스터!$AO$5:$AO$64,MATCH($F781,사건마스터!$A$5:$A$64,0)),""))</f>
        <v/>
      </c>
      <c r="R781" s="35">
        <f>IF($F781="","",IFERROR(INDEX(사건마스터!$AP$5:$AP$64,MATCH($F781,사건마스터!$A$5:$A$64,0)),""))</f>
        <v/>
      </c>
      <c r="S781" s="35">
        <f>IF($F781="","",IFERROR(INDEX(사건마스터!$AQ$5:$AQ$64,MATCH($F781,사건마스터!$A$5:$A$64,0)),""))</f>
        <v/>
      </c>
      <c r="T781" s="35">
        <f>IF($F781="","",IFERROR(INDEX(사건마스터!$AR$5:$AR$64,MATCH($F781,사건마스터!$A$5:$A$64,0)),""))</f>
        <v/>
      </c>
      <c r="U781" s="35">
        <f>IF($F781="","",IFERROR(INDEX(사건마스터!$AS$5:$AS$64,MATCH($F781,사건마스터!$A$5:$A$64,0)),""))</f>
        <v/>
      </c>
      <c r="V781" s="35">
        <f>IF($F781="","",IFERROR(INDEX(사건마스터!$AT$5:$AT$64,MATCH($F781,사건마스터!$A$5:$A$64,0)),""))</f>
        <v/>
      </c>
      <c r="W781" s="35">
        <f>IF($F781="","",IFERROR(INDEX(사건마스터!$AU$5:$AU$64,MATCH($F781,사건마스터!$A$5:$A$64,0)),""))</f>
        <v/>
      </c>
      <c r="X781" s="35">
        <f>IF($F781="","",IFERROR(INDEX(사건마스터!$AV$5:$AV$64,MATCH($F781,사건마스터!$A$5:$A$64,0)),""))</f>
        <v/>
      </c>
      <c r="Y781" s="30">
        <f>IF($I781="","",COUNTIF($I781:$X781,"?*"))</f>
        <v/>
      </c>
      <c r="Z781" s="33">
        <f>IF($I781="","",_xlfn.TEXTJOIN(", ",TRUE,$I781:$X781))</f>
        <v/>
      </c>
      <c r="AA781" s="34">
        <f>IF($I781="","",IFERROR(INDEX(코드설정!$D$5:$D$24,MATCH($I781,코드설정!$C$5:$C$24,0)),""))</f>
        <v/>
      </c>
      <c r="AB781" s="36" t="n"/>
      <c r="AC781" s="37" t="n"/>
      <c r="AD781" s="38" t="n"/>
      <c r="AE781" s="30">
        <f>IF(OR($B781="",$C781=""),"",$C781-$B781+1)</f>
        <v/>
      </c>
      <c r="AF781" s="32" t="n"/>
      <c r="AG781" s="36" t="n"/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3">
        <f>IF($F782="","",IFERROR(INDEX(사건마스터!$B$5:$B$64,MATCH($F782,사건마스터!$A$5:$A$64,0)),""))</f>
        <v/>
      </c>
      <c r="H782" s="34">
        <f>IF($F782="","",IFERROR(INDEX(사건마스터!$C$5:$C$64,MATCH($F782,사건마스터!$A$5:$A$64,0)),""))</f>
        <v/>
      </c>
      <c r="I782" s="35">
        <f>IF($F782="","",IFERROR(INDEX(사건마스터!$H$5:$H$64,MATCH($F782,사건마스터!$A$5:$A$64,0)),""))</f>
        <v/>
      </c>
      <c r="J782" s="35">
        <f>IF($F782="","",IFERROR(INDEX(사건마스터!$AH$5:$AH$64,MATCH($F782,사건마스터!$A$5:$A$64,0)),""))</f>
        <v/>
      </c>
      <c r="K782" s="35">
        <f>IF($F782="","",IFERROR(INDEX(사건마스터!$AI$5:$AI$64,MATCH($F782,사건마스터!$A$5:$A$64,0)),""))</f>
        <v/>
      </c>
      <c r="L782" s="35">
        <f>IF($F782="","",IFERROR(INDEX(사건마스터!$AJ$5:$AJ$64,MATCH($F782,사건마스터!$A$5:$A$64,0)),""))</f>
        <v/>
      </c>
      <c r="M782" s="35">
        <f>IF($F782="","",IFERROR(INDEX(사건마스터!$AK$5:$AK$64,MATCH($F782,사건마스터!$A$5:$A$64,0)),""))</f>
        <v/>
      </c>
      <c r="N782" s="35">
        <f>IF($F782="","",IFERROR(INDEX(사건마스터!$AL$5:$AL$64,MATCH($F782,사건마스터!$A$5:$A$64,0)),""))</f>
        <v/>
      </c>
      <c r="O782" s="35">
        <f>IF($F782="","",IFERROR(INDEX(사건마스터!$AM$5:$AM$64,MATCH($F782,사건마스터!$A$5:$A$64,0)),""))</f>
        <v/>
      </c>
      <c r="P782" s="35">
        <f>IF($F782="","",IFERROR(INDEX(사건마스터!$AN$5:$AN$64,MATCH($F782,사건마스터!$A$5:$A$64,0)),""))</f>
        <v/>
      </c>
      <c r="Q782" s="35">
        <f>IF($F782="","",IFERROR(INDEX(사건마스터!$AO$5:$AO$64,MATCH($F782,사건마스터!$A$5:$A$64,0)),""))</f>
        <v/>
      </c>
      <c r="R782" s="35">
        <f>IF($F782="","",IFERROR(INDEX(사건마스터!$AP$5:$AP$64,MATCH($F782,사건마스터!$A$5:$A$64,0)),""))</f>
        <v/>
      </c>
      <c r="S782" s="35">
        <f>IF($F782="","",IFERROR(INDEX(사건마스터!$AQ$5:$AQ$64,MATCH($F782,사건마스터!$A$5:$A$64,0)),""))</f>
        <v/>
      </c>
      <c r="T782" s="35">
        <f>IF($F782="","",IFERROR(INDEX(사건마스터!$AR$5:$AR$64,MATCH($F782,사건마스터!$A$5:$A$64,0)),""))</f>
        <v/>
      </c>
      <c r="U782" s="35">
        <f>IF($F782="","",IFERROR(INDEX(사건마스터!$AS$5:$AS$64,MATCH($F782,사건마스터!$A$5:$A$64,0)),""))</f>
        <v/>
      </c>
      <c r="V782" s="35">
        <f>IF($F782="","",IFERROR(INDEX(사건마스터!$AT$5:$AT$64,MATCH($F782,사건마스터!$A$5:$A$64,0)),""))</f>
        <v/>
      </c>
      <c r="W782" s="35">
        <f>IF($F782="","",IFERROR(INDEX(사건마스터!$AU$5:$AU$64,MATCH($F782,사건마스터!$A$5:$A$64,0)),""))</f>
        <v/>
      </c>
      <c r="X782" s="35">
        <f>IF($F782="","",IFERROR(INDEX(사건마스터!$AV$5:$AV$64,MATCH($F782,사건마스터!$A$5:$A$64,0)),""))</f>
        <v/>
      </c>
      <c r="Y782" s="30">
        <f>IF($I782="","",COUNTIF($I782:$X782,"?*"))</f>
        <v/>
      </c>
      <c r="Z782" s="33">
        <f>IF($I782="","",_xlfn.TEXTJOIN(", ",TRUE,$I782:$X782))</f>
        <v/>
      </c>
      <c r="AA782" s="34">
        <f>IF($I782="","",IFERROR(INDEX(코드설정!$D$5:$D$24,MATCH($I782,코드설정!$C$5:$C$24,0)),""))</f>
        <v/>
      </c>
      <c r="AB782" s="36" t="n"/>
      <c r="AC782" s="37" t="n"/>
      <c r="AD782" s="38" t="n"/>
      <c r="AE782" s="30">
        <f>IF(OR($B782="",$C782=""),"",$C782-$B782+1)</f>
        <v/>
      </c>
      <c r="AF782" s="32" t="n"/>
      <c r="AG782" s="36" t="n"/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3">
        <f>IF($F783="","",IFERROR(INDEX(사건마스터!$B$5:$B$64,MATCH($F783,사건마스터!$A$5:$A$64,0)),""))</f>
        <v/>
      </c>
      <c r="H783" s="34">
        <f>IF($F783="","",IFERROR(INDEX(사건마스터!$C$5:$C$64,MATCH($F783,사건마스터!$A$5:$A$64,0)),""))</f>
        <v/>
      </c>
      <c r="I783" s="35">
        <f>IF($F783="","",IFERROR(INDEX(사건마스터!$H$5:$H$64,MATCH($F783,사건마스터!$A$5:$A$64,0)),""))</f>
        <v/>
      </c>
      <c r="J783" s="35">
        <f>IF($F783="","",IFERROR(INDEX(사건마스터!$AH$5:$AH$64,MATCH($F783,사건마스터!$A$5:$A$64,0)),""))</f>
        <v/>
      </c>
      <c r="K783" s="35">
        <f>IF($F783="","",IFERROR(INDEX(사건마스터!$AI$5:$AI$64,MATCH($F783,사건마스터!$A$5:$A$64,0)),""))</f>
        <v/>
      </c>
      <c r="L783" s="35">
        <f>IF($F783="","",IFERROR(INDEX(사건마스터!$AJ$5:$AJ$64,MATCH($F783,사건마스터!$A$5:$A$64,0)),""))</f>
        <v/>
      </c>
      <c r="M783" s="35">
        <f>IF($F783="","",IFERROR(INDEX(사건마스터!$AK$5:$AK$64,MATCH($F783,사건마스터!$A$5:$A$64,0)),""))</f>
        <v/>
      </c>
      <c r="N783" s="35">
        <f>IF($F783="","",IFERROR(INDEX(사건마스터!$AL$5:$AL$64,MATCH($F783,사건마스터!$A$5:$A$64,0)),""))</f>
        <v/>
      </c>
      <c r="O783" s="35">
        <f>IF($F783="","",IFERROR(INDEX(사건마스터!$AM$5:$AM$64,MATCH($F783,사건마스터!$A$5:$A$64,0)),""))</f>
        <v/>
      </c>
      <c r="P783" s="35">
        <f>IF($F783="","",IFERROR(INDEX(사건마스터!$AN$5:$AN$64,MATCH($F783,사건마스터!$A$5:$A$64,0)),""))</f>
        <v/>
      </c>
      <c r="Q783" s="35">
        <f>IF($F783="","",IFERROR(INDEX(사건마스터!$AO$5:$AO$64,MATCH($F783,사건마스터!$A$5:$A$64,0)),""))</f>
        <v/>
      </c>
      <c r="R783" s="35">
        <f>IF($F783="","",IFERROR(INDEX(사건마스터!$AP$5:$AP$64,MATCH($F783,사건마스터!$A$5:$A$64,0)),""))</f>
        <v/>
      </c>
      <c r="S783" s="35">
        <f>IF($F783="","",IFERROR(INDEX(사건마스터!$AQ$5:$AQ$64,MATCH($F783,사건마스터!$A$5:$A$64,0)),""))</f>
        <v/>
      </c>
      <c r="T783" s="35">
        <f>IF($F783="","",IFERROR(INDEX(사건마스터!$AR$5:$AR$64,MATCH($F783,사건마스터!$A$5:$A$64,0)),""))</f>
        <v/>
      </c>
      <c r="U783" s="35">
        <f>IF($F783="","",IFERROR(INDEX(사건마스터!$AS$5:$AS$64,MATCH($F783,사건마스터!$A$5:$A$64,0)),""))</f>
        <v/>
      </c>
      <c r="V783" s="35">
        <f>IF($F783="","",IFERROR(INDEX(사건마스터!$AT$5:$AT$64,MATCH($F783,사건마스터!$A$5:$A$64,0)),""))</f>
        <v/>
      </c>
      <c r="W783" s="35">
        <f>IF($F783="","",IFERROR(INDEX(사건마스터!$AU$5:$AU$64,MATCH($F783,사건마스터!$A$5:$A$64,0)),""))</f>
        <v/>
      </c>
      <c r="X783" s="35">
        <f>IF($F783="","",IFERROR(INDEX(사건마스터!$AV$5:$AV$64,MATCH($F783,사건마스터!$A$5:$A$64,0)),""))</f>
        <v/>
      </c>
      <c r="Y783" s="30">
        <f>IF($I783="","",COUNTIF($I783:$X783,"?*"))</f>
        <v/>
      </c>
      <c r="Z783" s="33">
        <f>IF($I783="","",_xlfn.TEXTJOIN(", ",TRUE,$I783:$X783))</f>
        <v/>
      </c>
      <c r="AA783" s="34">
        <f>IF($I783="","",IFERROR(INDEX(코드설정!$D$5:$D$24,MATCH($I783,코드설정!$C$5:$C$24,0)),""))</f>
        <v/>
      </c>
      <c r="AB783" s="36" t="n"/>
      <c r="AC783" s="37" t="n"/>
      <c r="AD783" s="38" t="n"/>
      <c r="AE783" s="30">
        <f>IF(OR($B783="",$C783=""),"",$C783-$B783+1)</f>
        <v/>
      </c>
      <c r="AF783" s="32" t="n"/>
      <c r="AG783" s="36" t="n"/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3">
        <f>IF($F784="","",IFERROR(INDEX(사건마스터!$B$5:$B$64,MATCH($F784,사건마스터!$A$5:$A$64,0)),""))</f>
        <v/>
      </c>
      <c r="H784" s="34">
        <f>IF($F784="","",IFERROR(INDEX(사건마스터!$C$5:$C$64,MATCH($F784,사건마스터!$A$5:$A$64,0)),""))</f>
        <v/>
      </c>
      <c r="I784" s="35">
        <f>IF($F784="","",IFERROR(INDEX(사건마스터!$H$5:$H$64,MATCH($F784,사건마스터!$A$5:$A$64,0)),""))</f>
        <v/>
      </c>
      <c r="J784" s="35">
        <f>IF($F784="","",IFERROR(INDEX(사건마스터!$AH$5:$AH$64,MATCH($F784,사건마스터!$A$5:$A$64,0)),""))</f>
        <v/>
      </c>
      <c r="K784" s="35">
        <f>IF($F784="","",IFERROR(INDEX(사건마스터!$AI$5:$AI$64,MATCH($F784,사건마스터!$A$5:$A$64,0)),""))</f>
        <v/>
      </c>
      <c r="L784" s="35">
        <f>IF($F784="","",IFERROR(INDEX(사건마스터!$AJ$5:$AJ$64,MATCH($F784,사건마스터!$A$5:$A$64,0)),""))</f>
        <v/>
      </c>
      <c r="M784" s="35">
        <f>IF($F784="","",IFERROR(INDEX(사건마스터!$AK$5:$AK$64,MATCH($F784,사건마스터!$A$5:$A$64,0)),""))</f>
        <v/>
      </c>
      <c r="N784" s="35">
        <f>IF($F784="","",IFERROR(INDEX(사건마스터!$AL$5:$AL$64,MATCH($F784,사건마스터!$A$5:$A$64,0)),""))</f>
        <v/>
      </c>
      <c r="O784" s="35">
        <f>IF($F784="","",IFERROR(INDEX(사건마스터!$AM$5:$AM$64,MATCH($F784,사건마스터!$A$5:$A$64,0)),""))</f>
        <v/>
      </c>
      <c r="P784" s="35">
        <f>IF($F784="","",IFERROR(INDEX(사건마스터!$AN$5:$AN$64,MATCH($F784,사건마스터!$A$5:$A$64,0)),""))</f>
        <v/>
      </c>
      <c r="Q784" s="35">
        <f>IF($F784="","",IFERROR(INDEX(사건마스터!$AO$5:$AO$64,MATCH($F784,사건마스터!$A$5:$A$64,0)),""))</f>
        <v/>
      </c>
      <c r="R784" s="35">
        <f>IF($F784="","",IFERROR(INDEX(사건마스터!$AP$5:$AP$64,MATCH($F784,사건마스터!$A$5:$A$64,0)),""))</f>
        <v/>
      </c>
      <c r="S784" s="35">
        <f>IF($F784="","",IFERROR(INDEX(사건마스터!$AQ$5:$AQ$64,MATCH($F784,사건마스터!$A$5:$A$64,0)),""))</f>
        <v/>
      </c>
      <c r="T784" s="35">
        <f>IF($F784="","",IFERROR(INDEX(사건마스터!$AR$5:$AR$64,MATCH($F784,사건마스터!$A$5:$A$64,0)),""))</f>
        <v/>
      </c>
      <c r="U784" s="35">
        <f>IF($F784="","",IFERROR(INDEX(사건마스터!$AS$5:$AS$64,MATCH($F784,사건마스터!$A$5:$A$64,0)),""))</f>
        <v/>
      </c>
      <c r="V784" s="35">
        <f>IF($F784="","",IFERROR(INDEX(사건마스터!$AT$5:$AT$64,MATCH($F784,사건마스터!$A$5:$A$64,0)),""))</f>
        <v/>
      </c>
      <c r="W784" s="35">
        <f>IF($F784="","",IFERROR(INDEX(사건마스터!$AU$5:$AU$64,MATCH($F784,사건마스터!$A$5:$A$64,0)),""))</f>
        <v/>
      </c>
      <c r="X784" s="35">
        <f>IF($F784="","",IFERROR(INDEX(사건마스터!$AV$5:$AV$64,MATCH($F784,사건마스터!$A$5:$A$64,0)),""))</f>
        <v/>
      </c>
      <c r="Y784" s="30">
        <f>IF($I784="","",COUNTIF($I784:$X784,"?*"))</f>
        <v/>
      </c>
      <c r="Z784" s="33">
        <f>IF($I784="","",_xlfn.TEXTJOIN(", ",TRUE,$I784:$X784))</f>
        <v/>
      </c>
      <c r="AA784" s="34">
        <f>IF($I784="","",IFERROR(INDEX(코드설정!$D$5:$D$24,MATCH($I784,코드설정!$C$5:$C$24,0)),""))</f>
        <v/>
      </c>
      <c r="AB784" s="36" t="n"/>
      <c r="AC784" s="37" t="n"/>
      <c r="AD784" s="38" t="n"/>
      <c r="AE784" s="30">
        <f>IF(OR($B784="",$C784=""),"",$C784-$B784+1)</f>
        <v/>
      </c>
      <c r="AF784" s="32" t="n"/>
      <c r="AG784" s="36" t="n"/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3">
        <f>IF($F785="","",IFERROR(INDEX(사건마스터!$B$5:$B$64,MATCH($F785,사건마스터!$A$5:$A$64,0)),""))</f>
        <v/>
      </c>
      <c r="H785" s="34">
        <f>IF($F785="","",IFERROR(INDEX(사건마스터!$C$5:$C$64,MATCH($F785,사건마스터!$A$5:$A$64,0)),""))</f>
        <v/>
      </c>
      <c r="I785" s="35">
        <f>IF($F785="","",IFERROR(INDEX(사건마스터!$H$5:$H$64,MATCH($F785,사건마스터!$A$5:$A$64,0)),""))</f>
        <v/>
      </c>
      <c r="J785" s="35">
        <f>IF($F785="","",IFERROR(INDEX(사건마스터!$AH$5:$AH$64,MATCH($F785,사건마스터!$A$5:$A$64,0)),""))</f>
        <v/>
      </c>
      <c r="K785" s="35">
        <f>IF($F785="","",IFERROR(INDEX(사건마스터!$AI$5:$AI$64,MATCH($F785,사건마스터!$A$5:$A$64,0)),""))</f>
        <v/>
      </c>
      <c r="L785" s="35">
        <f>IF($F785="","",IFERROR(INDEX(사건마스터!$AJ$5:$AJ$64,MATCH($F785,사건마스터!$A$5:$A$64,0)),""))</f>
        <v/>
      </c>
      <c r="M785" s="35">
        <f>IF($F785="","",IFERROR(INDEX(사건마스터!$AK$5:$AK$64,MATCH($F785,사건마스터!$A$5:$A$64,0)),""))</f>
        <v/>
      </c>
      <c r="N785" s="35">
        <f>IF($F785="","",IFERROR(INDEX(사건마스터!$AL$5:$AL$64,MATCH($F785,사건마스터!$A$5:$A$64,0)),""))</f>
        <v/>
      </c>
      <c r="O785" s="35">
        <f>IF($F785="","",IFERROR(INDEX(사건마스터!$AM$5:$AM$64,MATCH($F785,사건마스터!$A$5:$A$64,0)),""))</f>
        <v/>
      </c>
      <c r="P785" s="35">
        <f>IF($F785="","",IFERROR(INDEX(사건마스터!$AN$5:$AN$64,MATCH($F785,사건마스터!$A$5:$A$64,0)),""))</f>
        <v/>
      </c>
      <c r="Q785" s="35">
        <f>IF($F785="","",IFERROR(INDEX(사건마스터!$AO$5:$AO$64,MATCH($F785,사건마스터!$A$5:$A$64,0)),""))</f>
        <v/>
      </c>
      <c r="R785" s="35">
        <f>IF($F785="","",IFERROR(INDEX(사건마스터!$AP$5:$AP$64,MATCH($F785,사건마스터!$A$5:$A$64,0)),""))</f>
        <v/>
      </c>
      <c r="S785" s="35">
        <f>IF($F785="","",IFERROR(INDEX(사건마스터!$AQ$5:$AQ$64,MATCH($F785,사건마스터!$A$5:$A$64,0)),""))</f>
        <v/>
      </c>
      <c r="T785" s="35">
        <f>IF($F785="","",IFERROR(INDEX(사건마스터!$AR$5:$AR$64,MATCH($F785,사건마스터!$A$5:$A$64,0)),""))</f>
        <v/>
      </c>
      <c r="U785" s="35">
        <f>IF($F785="","",IFERROR(INDEX(사건마스터!$AS$5:$AS$64,MATCH($F785,사건마스터!$A$5:$A$64,0)),""))</f>
        <v/>
      </c>
      <c r="V785" s="35">
        <f>IF($F785="","",IFERROR(INDEX(사건마스터!$AT$5:$AT$64,MATCH($F785,사건마스터!$A$5:$A$64,0)),""))</f>
        <v/>
      </c>
      <c r="W785" s="35">
        <f>IF($F785="","",IFERROR(INDEX(사건마스터!$AU$5:$AU$64,MATCH($F785,사건마스터!$A$5:$A$64,0)),""))</f>
        <v/>
      </c>
      <c r="X785" s="35">
        <f>IF($F785="","",IFERROR(INDEX(사건마스터!$AV$5:$AV$64,MATCH($F785,사건마스터!$A$5:$A$64,0)),""))</f>
        <v/>
      </c>
      <c r="Y785" s="30">
        <f>IF($I785="","",COUNTIF($I785:$X785,"?*"))</f>
        <v/>
      </c>
      <c r="Z785" s="33">
        <f>IF($I785="","",_xlfn.TEXTJOIN(", ",TRUE,$I785:$X785))</f>
        <v/>
      </c>
      <c r="AA785" s="34">
        <f>IF($I785="","",IFERROR(INDEX(코드설정!$D$5:$D$24,MATCH($I785,코드설정!$C$5:$C$24,0)),""))</f>
        <v/>
      </c>
      <c r="AB785" s="36" t="n"/>
      <c r="AC785" s="37" t="n"/>
      <c r="AD785" s="38" t="n"/>
      <c r="AE785" s="30">
        <f>IF(OR($B785="",$C785=""),"",$C785-$B785+1)</f>
        <v/>
      </c>
      <c r="AF785" s="32" t="n"/>
      <c r="AG785" s="36" t="n"/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3">
        <f>IF($F786="","",IFERROR(INDEX(사건마스터!$B$5:$B$64,MATCH($F786,사건마스터!$A$5:$A$64,0)),""))</f>
        <v/>
      </c>
      <c r="H786" s="34">
        <f>IF($F786="","",IFERROR(INDEX(사건마스터!$C$5:$C$64,MATCH($F786,사건마스터!$A$5:$A$64,0)),""))</f>
        <v/>
      </c>
      <c r="I786" s="35">
        <f>IF($F786="","",IFERROR(INDEX(사건마스터!$H$5:$H$64,MATCH($F786,사건마스터!$A$5:$A$64,0)),""))</f>
        <v/>
      </c>
      <c r="J786" s="35">
        <f>IF($F786="","",IFERROR(INDEX(사건마스터!$AH$5:$AH$64,MATCH($F786,사건마스터!$A$5:$A$64,0)),""))</f>
        <v/>
      </c>
      <c r="K786" s="35">
        <f>IF($F786="","",IFERROR(INDEX(사건마스터!$AI$5:$AI$64,MATCH($F786,사건마스터!$A$5:$A$64,0)),""))</f>
        <v/>
      </c>
      <c r="L786" s="35">
        <f>IF($F786="","",IFERROR(INDEX(사건마스터!$AJ$5:$AJ$64,MATCH($F786,사건마스터!$A$5:$A$64,0)),""))</f>
        <v/>
      </c>
      <c r="M786" s="35">
        <f>IF($F786="","",IFERROR(INDEX(사건마스터!$AK$5:$AK$64,MATCH($F786,사건마스터!$A$5:$A$64,0)),""))</f>
        <v/>
      </c>
      <c r="N786" s="35">
        <f>IF($F786="","",IFERROR(INDEX(사건마스터!$AL$5:$AL$64,MATCH($F786,사건마스터!$A$5:$A$64,0)),""))</f>
        <v/>
      </c>
      <c r="O786" s="35">
        <f>IF($F786="","",IFERROR(INDEX(사건마스터!$AM$5:$AM$64,MATCH($F786,사건마스터!$A$5:$A$64,0)),""))</f>
        <v/>
      </c>
      <c r="P786" s="35">
        <f>IF($F786="","",IFERROR(INDEX(사건마스터!$AN$5:$AN$64,MATCH($F786,사건마스터!$A$5:$A$64,0)),""))</f>
        <v/>
      </c>
      <c r="Q786" s="35">
        <f>IF($F786="","",IFERROR(INDEX(사건마스터!$AO$5:$AO$64,MATCH($F786,사건마스터!$A$5:$A$64,0)),""))</f>
        <v/>
      </c>
      <c r="R786" s="35">
        <f>IF($F786="","",IFERROR(INDEX(사건마스터!$AP$5:$AP$64,MATCH($F786,사건마스터!$A$5:$A$64,0)),""))</f>
        <v/>
      </c>
      <c r="S786" s="35">
        <f>IF($F786="","",IFERROR(INDEX(사건마스터!$AQ$5:$AQ$64,MATCH($F786,사건마스터!$A$5:$A$64,0)),""))</f>
        <v/>
      </c>
      <c r="T786" s="35">
        <f>IF($F786="","",IFERROR(INDEX(사건마스터!$AR$5:$AR$64,MATCH($F786,사건마스터!$A$5:$A$64,0)),""))</f>
        <v/>
      </c>
      <c r="U786" s="35">
        <f>IF($F786="","",IFERROR(INDEX(사건마스터!$AS$5:$AS$64,MATCH($F786,사건마스터!$A$5:$A$64,0)),""))</f>
        <v/>
      </c>
      <c r="V786" s="35">
        <f>IF($F786="","",IFERROR(INDEX(사건마스터!$AT$5:$AT$64,MATCH($F786,사건마스터!$A$5:$A$64,0)),""))</f>
        <v/>
      </c>
      <c r="W786" s="35">
        <f>IF($F786="","",IFERROR(INDEX(사건마스터!$AU$5:$AU$64,MATCH($F786,사건마스터!$A$5:$A$64,0)),""))</f>
        <v/>
      </c>
      <c r="X786" s="35">
        <f>IF($F786="","",IFERROR(INDEX(사건마스터!$AV$5:$AV$64,MATCH($F786,사건마스터!$A$5:$A$64,0)),""))</f>
        <v/>
      </c>
      <c r="Y786" s="30">
        <f>IF($I786="","",COUNTIF($I786:$X786,"?*"))</f>
        <v/>
      </c>
      <c r="Z786" s="33">
        <f>IF($I786="","",_xlfn.TEXTJOIN(", ",TRUE,$I786:$X786))</f>
        <v/>
      </c>
      <c r="AA786" s="34">
        <f>IF($I786="","",IFERROR(INDEX(코드설정!$D$5:$D$24,MATCH($I786,코드설정!$C$5:$C$24,0)),""))</f>
        <v/>
      </c>
      <c r="AB786" s="36" t="n"/>
      <c r="AC786" s="37" t="n"/>
      <c r="AD786" s="38" t="n"/>
      <c r="AE786" s="30">
        <f>IF(OR($B786="",$C786=""),"",$C786-$B786+1)</f>
        <v/>
      </c>
      <c r="AF786" s="32" t="n"/>
      <c r="AG786" s="36" t="n"/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3">
        <f>IF($F787="","",IFERROR(INDEX(사건마스터!$B$5:$B$64,MATCH($F787,사건마스터!$A$5:$A$64,0)),""))</f>
        <v/>
      </c>
      <c r="H787" s="34">
        <f>IF($F787="","",IFERROR(INDEX(사건마스터!$C$5:$C$64,MATCH($F787,사건마스터!$A$5:$A$64,0)),""))</f>
        <v/>
      </c>
      <c r="I787" s="35">
        <f>IF($F787="","",IFERROR(INDEX(사건마스터!$H$5:$H$64,MATCH($F787,사건마스터!$A$5:$A$64,0)),""))</f>
        <v/>
      </c>
      <c r="J787" s="35">
        <f>IF($F787="","",IFERROR(INDEX(사건마스터!$AH$5:$AH$64,MATCH($F787,사건마스터!$A$5:$A$64,0)),""))</f>
        <v/>
      </c>
      <c r="K787" s="35">
        <f>IF($F787="","",IFERROR(INDEX(사건마스터!$AI$5:$AI$64,MATCH($F787,사건마스터!$A$5:$A$64,0)),""))</f>
        <v/>
      </c>
      <c r="L787" s="35">
        <f>IF($F787="","",IFERROR(INDEX(사건마스터!$AJ$5:$AJ$64,MATCH($F787,사건마스터!$A$5:$A$64,0)),""))</f>
        <v/>
      </c>
      <c r="M787" s="35">
        <f>IF($F787="","",IFERROR(INDEX(사건마스터!$AK$5:$AK$64,MATCH($F787,사건마스터!$A$5:$A$64,0)),""))</f>
        <v/>
      </c>
      <c r="N787" s="35">
        <f>IF($F787="","",IFERROR(INDEX(사건마스터!$AL$5:$AL$64,MATCH($F787,사건마스터!$A$5:$A$64,0)),""))</f>
        <v/>
      </c>
      <c r="O787" s="35">
        <f>IF($F787="","",IFERROR(INDEX(사건마스터!$AM$5:$AM$64,MATCH($F787,사건마스터!$A$5:$A$64,0)),""))</f>
        <v/>
      </c>
      <c r="P787" s="35">
        <f>IF($F787="","",IFERROR(INDEX(사건마스터!$AN$5:$AN$64,MATCH($F787,사건마스터!$A$5:$A$64,0)),""))</f>
        <v/>
      </c>
      <c r="Q787" s="35">
        <f>IF($F787="","",IFERROR(INDEX(사건마스터!$AO$5:$AO$64,MATCH($F787,사건마스터!$A$5:$A$64,0)),""))</f>
        <v/>
      </c>
      <c r="R787" s="35">
        <f>IF($F787="","",IFERROR(INDEX(사건마스터!$AP$5:$AP$64,MATCH($F787,사건마스터!$A$5:$A$64,0)),""))</f>
        <v/>
      </c>
      <c r="S787" s="35">
        <f>IF($F787="","",IFERROR(INDEX(사건마스터!$AQ$5:$AQ$64,MATCH($F787,사건마스터!$A$5:$A$64,0)),""))</f>
        <v/>
      </c>
      <c r="T787" s="35">
        <f>IF($F787="","",IFERROR(INDEX(사건마스터!$AR$5:$AR$64,MATCH($F787,사건마스터!$A$5:$A$64,0)),""))</f>
        <v/>
      </c>
      <c r="U787" s="35">
        <f>IF($F787="","",IFERROR(INDEX(사건마스터!$AS$5:$AS$64,MATCH($F787,사건마스터!$A$5:$A$64,0)),""))</f>
        <v/>
      </c>
      <c r="V787" s="35">
        <f>IF($F787="","",IFERROR(INDEX(사건마스터!$AT$5:$AT$64,MATCH($F787,사건마스터!$A$5:$A$64,0)),""))</f>
        <v/>
      </c>
      <c r="W787" s="35">
        <f>IF($F787="","",IFERROR(INDEX(사건마스터!$AU$5:$AU$64,MATCH($F787,사건마스터!$A$5:$A$64,0)),""))</f>
        <v/>
      </c>
      <c r="X787" s="35">
        <f>IF($F787="","",IFERROR(INDEX(사건마스터!$AV$5:$AV$64,MATCH($F787,사건마스터!$A$5:$A$64,0)),""))</f>
        <v/>
      </c>
      <c r="Y787" s="30">
        <f>IF($I787="","",COUNTIF($I787:$X787,"?*"))</f>
        <v/>
      </c>
      <c r="Z787" s="33">
        <f>IF($I787="","",_xlfn.TEXTJOIN(", ",TRUE,$I787:$X787))</f>
        <v/>
      </c>
      <c r="AA787" s="34">
        <f>IF($I787="","",IFERROR(INDEX(코드설정!$D$5:$D$24,MATCH($I787,코드설정!$C$5:$C$24,0)),""))</f>
        <v/>
      </c>
      <c r="AB787" s="36" t="n"/>
      <c r="AC787" s="37" t="n"/>
      <c r="AD787" s="38" t="n"/>
      <c r="AE787" s="30">
        <f>IF(OR($B787="",$C787=""),"",$C787-$B787+1)</f>
        <v/>
      </c>
      <c r="AF787" s="32" t="n"/>
      <c r="AG787" s="36" t="n"/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3">
        <f>IF($F788="","",IFERROR(INDEX(사건마스터!$B$5:$B$64,MATCH($F788,사건마스터!$A$5:$A$64,0)),""))</f>
        <v/>
      </c>
      <c r="H788" s="34">
        <f>IF($F788="","",IFERROR(INDEX(사건마스터!$C$5:$C$64,MATCH($F788,사건마스터!$A$5:$A$64,0)),""))</f>
        <v/>
      </c>
      <c r="I788" s="35">
        <f>IF($F788="","",IFERROR(INDEX(사건마스터!$H$5:$H$64,MATCH($F788,사건마스터!$A$5:$A$64,0)),""))</f>
        <v/>
      </c>
      <c r="J788" s="35">
        <f>IF($F788="","",IFERROR(INDEX(사건마스터!$AH$5:$AH$64,MATCH($F788,사건마스터!$A$5:$A$64,0)),""))</f>
        <v/>
      </c>
      <c r="K788" s="35">
        <f>IF($F788="","",IFERROR(INDEX(사건마스터!$AI$5:$AI$64,MATCH($F788,사건마스터!$A$5:$A$64,0)),""))</f>
        <v/>
      </c>
      <c r="L788" s="35">
        <f>IF($F788="","",IFERROR(INDEX(사건마스터!$AJ$5:$AJ$64,MATCH($F788,사건마스터!$A$5:$A$64,0)),""))</f>
        <v/>
      </c>
      <c r="M788" s="35">
        <f>IF($F788="","",IFERROR(INDEX(사건마스터!$AK$5:$AK$64,MATCH($F788,사건마스터!$A$5:$A$64,0)),""))</f>
        <v/>
      </c>
      <c r="N788" s="35">
        <f>IF($F788="","",IFERROR(INDEX(사건마스터!$AL$5:$AL$64,MATCH($F788,사건마스터!$A$5:$A$64,0)),""))</f>
        <v/>
      </c>
      <c r="O788" s="35">
        <f>IF($F788="","",IFERROR(INDEX(사건마스터!$AM$5:$AM$64,MATCH($F788,사건마스터!$A$5:$A$64,0)),""))</f>
        <v/>
      </c>
      <c r="P788" s="35">
        <f>IF($F788="","",IFERROR(INDEX(사건마스터!$AN$5:$AN$64,MATCH($F788,사건마스터!$A$5:$A$64,0)),""))</f>
        <v/>
      </c>
      <c r="Q788" s="35">
        <f>IF($F788="","",IFERROR(INDEX(사건마스터!$AO$5:$AO$64,MATCH($F788,사건마스터!$A$5:$A$64,0)),""))</f>
        <v/>
      </c>
      <c r="R788" s="35">
        <f>IF($F788="","",IFERROR(INDEX(사건마스터!$AP$5:$AP$64,MATCH($F788,사건마스터!$A$5:$A$64,0)),""))</f>
        <v/>
      </c>
      <c r="S788" s="35">
        <f>IF($F788="","",IFERROR(INDEX(사건마스터!$AQ$5:$AQ$64,MATCH($F788,사건마스터!$A$5:$A$64,0)),""))</f>
        <v/>
      </c>
      <c r="T788" s="35">
        <f>IF($F788="","",IFERROR(INDEX(사건마스터!$AR$5:$AR$64,MATCH($F788,사건마스터!$A$5:$A$64,0)),""))</f>
        <v/>
      </c>
      <c r="U788" s="35">
        <f>IF($F788="","",IFERROR(INDEX(사건마스터!$AS$5:$AS$64,MATCH($F788,사건마스터!$A$5:$A$64,0)),""))</f>
        <v/>
      </c>
      <c r="V788" s="35">
        <f>IF($F788="","",IFERROR(INDEX(사건마스터!$AT$5:$AT$64,MATCH($F788,사건마스터!$A$5:$A$64,0)),""))</f>
        <v/>
      </c>
      <c r="W788" s="35">
        <f>IF($F788="","",IFERROR(INDEX(사건마스터!$AU$5:$AU$64,MATCH($F788,사건마스터!$A$5:$A$64,0)),""))</f>
        <v/>
      </c>
      <c r="X788" s="35">
        <f>IF($F788="","",IFERROR(INDEX(사건마스터!$AV$5:$AV$64,MATCH($F788,사건마스터!$A$5:$A$64,0)),""))</f>
        <v/>
      </c>
      <c r="Y788" s="30">
        <f>IF($I788="","",COUNTIF($I788:$X788,"?*"))</f>
        <v/>
      </c>
      <c r="Z788" s="33">
        <f>IF($I788="","",_xlfn.TEXTJOIN(", ",TRUE,$I788:$X788))</f>
        <v/>
      </c>
      <c r="AA788" s="34">
        <f>IF($I788="","",IFERROR(INDEX(코드설정!$D$5:$D$24,MATCH($I788,코드설정!$C$5:$C$24,0)),""))</f>
        <v/>
      </c>
      <c r="AB788" s="36" t="n"/>
      <c r="AC788" s="37" t="n"/>
      <c r="AD788" s="38" t="n"/>
      <c r="AE788" s="30">
        <f>IF(OR($B788="",$C788=""),"",$C788-$B788+1)</f>
        <v/>
      </c>
      <c r="AF788" s="32" t="n"/>
      <c r="AG788" s="36" t="n"/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3">
        <f>IF($F789="","",IFERROR(INDEX(사건마스터!$B$5:$B$64,MATCH($F789,사건마스터!$A$5:$A$64,0)),""))</f>
        <v/>
      </c>
      <c r="H789" s="34">
        <f>IF($F789="","",IFERROR(INDEX(사건마스터!$C$5:$C$64,MATCH($F789,사건마스터!$A$5:$A$64,0)),""))</f>
        <v/>
      </c>
      <c r="I789" s="35">
        <f>IF($F789="","",IFERROR(INDEX(사건마스터!$H$5:$H$64,MATCH($F789,사건마스터!$A$5:$A$64,0)),""))</f>
        <v/>
      </c>
      <c r="J789" s="35">
        <f>IF($F789="","",IFERROR(INDEX(사건마스터!$AH$5:$AH$64,MATCH($F789,사건마스터!$A$5:$A$64,0)),""))</f>
        <v/>
      </c>
      <c r="K789" s="35">
        <f>IF($F789="","",IFERROR(INDEX(사건마스터!$AI$5:$AI$64,MATCH($F789,사건마스터!$A$5:$A$64,0)),""))</f>
        <v/>
      </c>
      <c r="L789" s="35">
        <f>IF($F789="","",IFERROR(INDEX(사건마스터!$AJ$5:$AJ$64,MATCH($F789,사건마스터!$A$5:$A$64,0)),""))</f>
        <v/>
      </c>
      <c r="M789" s="35">
        <f>IF($F789="","",IFERROR(INDEX(사건마스터!$AK$5:$AK$64,MATCH($F789,사건마스터!$A$5:$A$64,0)),""))</f>
        <v/>
      </c>
      <c r="N789" s="35">
        <f>IF($F789="","",IFERROR(INDEX(사건마스터!$AL$5:$AL$64,MATCH($F789,사건마스터!$A$5:$A$64,0)),""))</f>
        <v/>
      </c>
      <c r="O789" s="35">
        <f>IF($F789="","",IFERROR(INDEX(사건마스터!$AM$5:$AM$64,MATCH($F789,사건마스터!$A$5:$A$64,0)),""))</f>
        <v/>
      </c>
      <c r="P789" s="35">
        <f>IF($F789="","",IFERROR(INDEX(사건마스터!$AN$5:$AN$64,MATCH($F789,사건마스터!$A$5:$A$64,0)),""))</f>
        <v/>
      </c>
      <c r="Q789" s="35">
        <f>IF($F789="","",IFERROR(INDEX(사건마스터!$AO$5:$AO$64,MATCH($F789,사건마스터!$A$5:$A$64,0)),""))</f>
        <v/>
      </c>
      <c r="R789" s="35">
        <f>IF($F789="","",IFERROR(INDEX(사건마스터!$AP$5:$AP$64,MATCH($F789,사건마스터!$A$5:$A$64,0)),""))</f>
        <v/>
      </c>
      <c r="S789" s="35">
        <f>IF($F789="","",IFERROR(INDEX(사건마스터!$AQ$5:$AQ$64,MATCH($F789,사건마스터!$A$5:$A$64,0)),""))</f>
        <v/>
      </c>
      <c r="T789" s="35">
        <f>IF($F789="","",IFERROR(INDEX(사건마스터!$AR$5:$AR$64,MATCH($F789,사건마스터!$A$5:$A$64,0)),""))</f>
        <v/>
      </c>
      <c r="U789" s="35">
        <f>IF($F789="","",IFERROR(INDEX(사건마스터!$AS$5:$AS$64,MATCH($F789,사건마스터!$A$5:$A$64,0)),""))</f>
        <v/>
      </c>
      <c r="V789" s="35">
        <f>IF($F789="","",IFERROR(INDEX(사건마스터!$AT$5:$AT$64,MATCH($F789,사건마스터!$A$5:$A$64,0)),""))</f>
        <v/>
      </c>
      <c r="W789" s="35">
        <f>IF($F789="","",IFERROR(INDEX(사건마스터!$AU$5:$AU$64,MATCH($F789,사건마스터!$A$5:$A$64,0)),""))</f>
        <v/>
      </c>
      <c r="X789" s="35">
        <f>IF($F789="","",IFERROR(INDEX(사건마스터!$AV$5:$AV$64,MATCH($F789,사건마스터!$A$5:$A$64,0)),""))</f>
        <v/>
      </c>
      <c r="Y789" s="30">
        <f>IF($I789="","",COUNTIF($I789:$X789,"?*"))</f>
        <v/>
      </c>
      <c r="Z789" s="33">
        <f>IF($I789="","",_xlfn.TEXTJOIN(", ",TRUE,$I789:$X789))</f>
        <v/>
      </c>
      <c r="AA789" s="34">
        <f>IF($I789="","",IFERROR(INDEX(코드설정!$D$5:$D$24,MATCH($I789,코드설정!$C$5:$C$24,0)),""))</f>
        <v/>
      </c>
      <c r="AB789" s="36" t="n"/>
      <c r="AC789" s="37" t="n"/>
      <c r="AD789" s="38" t="n"/>
      <c r="AE789" s="30">
        <f>IF(OR($B789="",$C789=""),"",$C789-$B789+1)</f>
        <v/>
      </c>
      <c r="AF789" s="32" t="n"/>
      <c r="AG789" s="36" t="n"/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3">
        <f>IF($F790="","",IFERROR(INDEX(사건마스터!$B$5:$B$64,MATCH($F790,사건마스터!$A$5:$A$64,0)),""))</f>
        <v/>
      </c>
      <c r="H790" s="34">
        <f>IF($F790="","",IFERROR(INDEX(사건마스터!$C$5:$C$64,MATCH($F790,사건마스터!$A$5:$A$64,0)),""))</f>
        <v/>
      </c>
      <c r="I790" s="35">
        <f>IF($F790="","",IFERROR(INDEX(사건마스터!$H$5:$H$64,MATCH($F790,사건마스터!$A$5:$A$64,0)),""))</f>
        <v/>
      </c>
      <c r="J790" s="35">
        <f>IF($F790="","",IFERROR(INDEX(사건마스터!$AH$5:$AH$64,MATCH($F790,사건마스터!$A$5:$A$64,0)),""))</f>
        <v/>
      </c>
      <c r="K790" s="35">
        <f>IF($F790="","",IFERROR(INDEX(사건마스터!$AI$5:$AI$64,MATCH($F790,사건마스터!$A$5:$A$64,0)),""))</f>
        <v/>
      </c>
      <c r="L790" s="35">
        <f>IF($F790="","",IFERROR(INDEX(사건마스터!$AJ$5:$AJ$64,MATCH($F790,사건마스터!$A$5:$A$64,0)),""))</f>
        <v/>
      </c>
      <c r="M790" s="35">
        <f>IF($F790="","",IFERROR(INDEX(사건마스터!$AK$5:$AK$64,MATCH($F790,사건마스터!$A$5:$A$64,0)),""))</f>
        <v/>
      </c>
      <c r="N790" s="35">
        <f>IF($F790="","",IFERROR(INDEX(사건마스터!$AL$5:$AL$64,MATCH($F790,사건마스터!$A$5:$A$64,0)),""))</f>
        <v/>
      </c>
      <c r="O790" s="35">
        <f>IF($F790="","",IFERROR(INDEX(사건마스터!$AM$5:$AM$64,MATCH($F790,사건마스터!$A$5:$A$64,0)),""))</f>
        <v/>
      </c>
      <c r="P790" s="35">
        <f>IF($F790="","",IFERROR(INDEX(사건마스터!$AN$5:$AN$64,MATCH($F790,사건마스터!$A$5:$A$64,0)),""))</f>
        <v/>
      </c>
      <c r="Q790" s="35">
        <f>IF($F790="","",IFERROR(INDEX(사건마스터!$AO$5:$AO$64,MATCH($F790,사건마스터!$A$5:$A$64,0)),""))</f>
        <v/>
      </c>
      <c r="R790" s="35">
        <f>IF($F790="","",IFERROR(INDEX(사건마스터!$AP$5:$AP$64,MATCH($F790,사건마스터!$A$5:$A$64,0)),""))</f>
        <v/>
      </c>
      <c r="S790" s="35">
        <f>IF($F790="","",IFERROR(INDEX(사건마스터!$AQ$5:$AQ$64,MATCH($F790,사건마스터!$A$5:$A$64,0)),""))</f>
        <v/>
      </c>
      <c r="T790" s="35">
        <f>IF($F790="","",IFERROR(INDEX(사건마스터!$AR$5:$AR$64,MATCH($F790,사건마스터!$A$5:$A$64,0)),""))</f>
        <v/>
      </c>
      <c r="U790" s="35">
        <f>IF($F790="","",IFERROR(INDEX(사건마스터!$AS$5:$AS$64,MATCH($F790,사건마스터!$A$5:$A$64,0)),""))</f>
        <v/>
      </c>
      <c r="V790" s="35">
        <f>IF($F790="","",IFERROR(INDEX(사건마스터!$AT$5:$AT$64,MATCH($F790,사건마스터!$A$5:$A$64,0)),""))</f>
        <v/>
      </c>
      <c r="W790" s="35">
        <f>IF($F790="","",IFERROR(INDEX(사건마스터!$AU$5:$AU$64,MATCH($F790,사건마스터!$A$5:$A$64,0)),""))</f>
        <v/>
      </c>
      <c r="X790" s="35">
        <f>IF($F790="","",IFERROR(INDEX(사건마스터!$AV$5:$AV$64,MATCH($F790,사건마스터!$A$5:$A$64,0)),""))</f>
        <v/>
      </c>
      <c r="Y790" s="30">
        <f>IF($I790="","",COUNTIF($I790:$X790,"?*"))</f>
        <v/>
      </c>
      <c r="Z790" s="33">
        <f>IF($I790="","",_xlfn.TEXTJOIN(", ",TRUE,$I790:$X790))</f>
        <v/>
      </c>
      <c r="AA790" s="34">
        <f>IF($I790="","",IFERROR(INDEX(코드설정!$D$5:$D$24,MATCH($I790,코드설정!$C$5:$C$24,0)),""))</f>
        <v/>
      </c>
      <c r="AB790" s="36" t="n"/>
      <c r="AC790" s="37" t="n"/>
      <c r="AD790" s="38" t="n"/>
      <c r="AE790" s="30">
        <f>IF(OR($B790="",$C790=""),"",$C790-$B790+1)</f>
        <v/>
      </c>
      <c r="AF790" s="32" t="n"/>
      <c r="AG790" s="36" t="n"/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3">
        <f>IF($F791="","",IFERROR(INDEX(사건마스터!$B$5:$B$64,MATCH($F791,사건마스터!$A$5:$A$64,0)),""))</f>
        <v/>
      </c>
      <c r="H791" s="34">
        <f>IF($F791="","",IFERROR(INDEX(사건마스터!$C$5:$C$64,MATCH($F791,사건마스터!$A$5:$A$64,0)),""))</f>
        <v/>
      </c>
      <c r="I791" s="35">
        <f>IF($F791="","",IFERROR(INDEX(사건마스터!$H$5:$H$64,MATCH($F791,사건마스터!$A$5:$A$64,0)),""))</f>
        <v/>
      </c>
      <c r="J791" s="35">
        <f>IF($F791="","",IFERROR(INDEX(사건마스터!$AH$5:$AH$64,MATCH($F791,사건마스터!$A$5:$A$64,0)),""))</f>
        <v/>
      </c>
      <c r="K791" s="35">
        <f>IF($F791="","",IFERROR(INDEX(사건마스터!$AI$5:$AI$64,MATCH($F791,사건마스터!$A$5:$A$64,0)),""))</f>
        <v/>
      </c>
      <c r="L791" s="35">
        <f>IF($F791="","",IFERROR(INDEX(사건마스터!$AJ$5:$AJ$64,MATCH($F791,사건마스터!$A$5:$A$64,0)),""))</f>
        <v/>
      </c>
      <c r="M791" s="35">
        <f>IF($F791="","",IFERROR(INDEX(사건마스터!$AK$5:$AK$64,MATCH($F791,사건마스터!$A$5:$A$64,0)),""))</f>
        <v/>
      </c>
      <c r="N791" s="35">
        <f>IF($F791="","",IFERROR(INDEX(사건마스터!$AL$5:$AL$64,MATCH($F791,사건마스터!$A$5:$A$64,0)),""))</f>
        <v/>
      </c>
      <c r="O791" s="35">
        <f>IF($F791="","",IFERROR(INDEX(사건마스터!$AM$5:$AM$64,MATCH($F791,사건마스터!$A$5:$A$64,0)),""))</f>
        <v/>
      </c>
      <c r="P791" s="35">
        <f>IF($F791="","",IFERROR(INDEX(사건마스터!$AN$5:$AN$64,MATCH($F791,사건마스터!$A$5:$A$64,0)),""))</f>
        <v/>
      </c>
      <c r="Q791" s="35">
        <f>IF($F791="","",IFERROR(INDEX(사건마스터!$AO$5:$AO$64,MATCH($F791,사건마스터!$A$5:$A$64,0)),""))</f>
        <v/>
      </c>
      <c r="R791" s="35">
        <f>IF($F791="","",IFERROR(INDEX(사건마스터!$AP$5:$AP$64,MATCH($F791,사건마스터!$A$5:$A$64,0)),""))</f>
        <v/>
      </c>
      <c r="S791" s="35">
        <f>IF($F791="","",IFERROR(INDEX(사건마스터!$AQ$5:$AQ$64,MATCH($F791,사건마스터!$A$5:$A$64,0)),""))</f>
        <v/>
      </c>
      <c r="T791" s="35">
        <f>IF($F791="","",IFERROR(INDEX(사건마스터!$AR$5:$AR$64,MATCH($F791,사건마스터!$A$5:$A$64,0)),""))</f>
        <v/>
      </c>
      <c r="U791" s="35">
        <f>IF($F791="","",IFERROR(INDEX(사건마스터!$AS$5:$AS$64,MATCH($F791,사건마스터!$A$5:$A$64,0)),""))</f>
        <v/>
      </c>
      <c r="V791" s="35">
        <f>IF($F791="","",IFERROR(INDEX(사건마스터!$AT$5:$AT$64,MATCH($F791,사건마스터!$A$5:$A$64,0)),""))</f>
        <v/>
      </c>
      <c r="W791" s="35">
        <f>IF($F791="","",IFERROR(INDEX(사건마스터!$AU$5:$AU$64,MATCH($F791,사건마스터!$A$5:$A$64,0)),""))</f>
        <v/>
      </c>
      <c r="X791" s="35">
        <f>IF($F791="","",IFERROR(INDEX(사건마스터!$AV$5:$AV$64,MATCH($F791,사건마스터!$A$5:$A$64,0)),""))</f>
        <v/>
      </c>
      <c r="Y791" s="30">
        <f>IF($I791="","",COUNTIF($I791:$X791,"?*"))</f>
        <v/>
      </c>
      <c r="Z791" s="33">
        <f>IF($I791="","",_xlfn.TEXTJOIN(", ",TRUE,$I791:$X791))</f>
        <v/>
      </c>
      <c r="AA791" s="34">
        <f>IF($I791="","",IFERROR(INDEX(코드설정!$D$5:$D$24,MATCH($I791,코드설정!$C$5:$C$24,0)),""))</f>
        <v/>
      </c>
      <c r="AB791" s="36" t="n"/>
      <c r="AC791" s="37" t="n"/>
      <c r="AD791" s="38" t="n"/>
      <c r="AE791" s="30">
        <f>IF(OR($B791="",$C791=""),"",$C791-$B791+1)</f>
        <v/>
      </c>
      <c r="AF791" s="32" t="n"/>
      <c r="AG791" s="36" t="n"/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3">
        <f>IF($F792="","",IFERROR(INDEX(사건마스터!$B$5:$B$64,MATCH($F792,사건마스터!$A$5:$A$64,0)),""))</f>
        <v/>
      </c>
      <c r="H792" s="34">
        <f>IF($F792="","",IFERROR(INDEX(사건마스터!$C$5:$C$64,MATCH($F792,사건마스터!$A$5:$A$64,0)),""))</f>
        <v/>
      </c>
      <c r="I792" s="35">
        <f>IF($F792="","",IFERROR(INDEX(사건마스터!$H$5:$H$64,MATCH($F792,사건마스터!$A$5:$A$64,0)),""))</f>
        <v/>
      </c>
      <c r="J792" s="35">
        <f>IF($F792="","",IFERROR(INDEX(사건마스터!$AH$5:$AH$64,MATCH($F792,사건마스터!$A$5:$A$64,0)),""))</f>
        <v/>
      </c>
      <c r="K792" s="35">
        <f>IF($F792="","",IFERROR(INDEX(사건마스터!$AI$5:$AI$64,MATCH($F792,사건마스터!$A$5:$A$64,0)),""))</f>
        <v/>
      </c>
      <c r="L792" s="35">
        <f>IF($F792="","",IFERROR(INDEX(사건마스터!$AJ$5:$AJ$64,MATCH($F792,사건마스터!$A$5:$A$64,0)),""))</f>
        <v/>
      </c>
      <c r="M792" s="35">
        <f>IF($F792="","",IFERROR(INDEX(사건마스터!$AK$5:$AK$64,MATCH($F792,사건마스터!$A$5:$A$64,0)),""))</f>
        <v/>
      </c>
      <c r="N792" s="35">
        <f>IF($F792="","",IFERROR(INDEX(사건마스터!$AL$5:$AL$64,MATCH($F792,사건마스터!$A$5:$A$64,0)),""))</f>
        <v/>
      </c>
      <c r="O792" s="35">
        <f>IF($F792="","",IFERROR(INDEX(사건마스터!$AM$5:$AM$64,MATCH($F792,사건마스터!$A$5:$A$64,0)),""))</f>
        <v/>
      </c>
      <c r="P792" s="35">
        <f>IF($F792="","",IFERROR(INDEX(사건마스터!$AN$5:$AN$64,MATCH($F792,사건마스터!$A$5:$A$64,0)),""))</f>
        <v/>
      </c>
      <c r="Q792" s="35">
        <f>IF($F792="","",IFERROR(INDEX(사건마스터!$AO$5:$AO$64,MATCH($F792,사건마스터!$A$5:$A$64,0)),""))</f>
        <v/>
      </c>
      <c r="R792" s="35">
        <f>IF($F792="","",IFERROR(INDEX(사건마스터!$AP$5:$AP$64,MATCH($F792,사건마스터!$A$5:$A$64,0)),""))</f>
        <v/>
      </c>
      <c r="S792" s="35">
        <f>IF($F792="","",IFERROR(INDEX(사건마스터!$AQ$5:$AQ$64,MATCH($F792,사건마스터!$A$5:$A$64,0)),""))</f>
        <v/>
      </c>
      <c r="T792" s="35">
        <f>IF($F792="","",IFERROR(INDEX(사건마스터!$AR$5:$AR$64,MATCH($F792,사건마스터!$A$5:$A$64,0)),""))</f>
        <v/>
      </c>
      <c r="U792" s="35">
        <f>IF($F792="","",IFERROR(INDEX(사건마스터!$AS$5:$AS$64,MATCH($F792,사건마스터!$A$5:$A$64,0)),""))</f>
        <v/>
      </c>
      <c r="V792" s="35">
        <f>IF($F792="","",IFERROR(INDEX(사건마스터!$AT$5:$AT$64,MATCH($F792,사건마스터!$A$5:$A$64,0)),""))</f>
        <v/>
      </c>
      <c r="W792" s="35">
        <f>IF($F792="","",IFERROR(INDEX(사건마스터!$AU$5:$AU$64,MATCH($F792,사건마스터!$A$5:$A$64,0)),""))</f>
        <v/>
      </c>
      <c r="X792" s="35">
        <f>IF($F792="","",IFERROR(INDEX(사건마스터!$AV$5:$AV$64,MATCH($F792,사건마스터!$A$5:$A$64,0)),""))</f>
        <v/>
      </c>
      <c r="Y792" s="30">
        <f>IF($I792="","",COUNTIF($I792:$X792,"?*"))</f>
        <v/>
      </c>
      <c r="Z792" s="33">
        <f>IF($I792="","",_xlfn.TEXTJOIN(", ",TRUE,$I792:$X792))</f>
        <v/>
      </c>
      <c r="AA792" s="34">
        <f>IF($I792="","",IFERROR(INDEX(코드설정!$D$5:$D$24,MATCH($I792,코드설정!$C$5:$C$24,0)),""))</f>
        <v/>
      </c>
      <c r="AB792" s="36" t="n"/>
      <c r="AC792" s="37" t="n"/>
      <c r="AD792" s="38" t="n"/>
      <c r="AE792" s="30">
        <f>IF(OR($B792="",$C792=""),"",$C792-$B792+1)</f>
        <v/>
      </c>
      <c r="AF792" s="32" t="n"/>
      <c r="AG792" s="36" t="n"/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3">
        <f>IF($F793="","",IFERROR(INDEX(사건마스터!$B$5:$B$64,MATCH($F793,사건마스터!$A$5:$A$64,0)),""))</f>
        <v/>
      </c>
      <c r="H793" s="34">
        <f>IF($F793="","",IFERROR(INDEX(사건마스터!$C$5:$C$64,MATCH($F793,사건마스터!$A$5:$A$64,0)),""))</f>
        <v/>
      </c>
      <c r="I793" s="35">
        <f>IF($F793="","",IFERROR(INDEX(사건마스터!$H$5:$H$64,MATCH($F793,사건마스터!$A$5:$A$64,0)),""))</f>
        <v/>
      </c>
      <c r="J793" s="35">
        <f>IF($F793="","",IFERROR(INDEX(사건마스터!$AH$5:$AH$64,MATCH($F793,사건마스터!$A$5:$A$64,0)),""))</f>
        <v/>
      </c>
      <c r="K793" s="35">
        <f>IF($F793="","",IFERROR(INDEX(사건마스터!$AI$5:$AI$64,MATCH($F793,사건마스터!$A$5:$A$64,0)),""))</f>
        <v/>
      </c>
      <c r="L793" s="35">
        <f>IF($F793="","",IFERROR(INDEX(사건마스터!$AJ$5:$AJ$64,MATCH($F793,사건마스터!$A$5:$A$64,0)),""))</f>
        <v/>
      </c>
      <c r="M793" s="35">
        <f>IF($F793="","",IFERROR(INDEX(사건마스터!$AK$5:$AK$64,MATCH($F793,사건마스터!$A$5:$A$64,0)),""))</f>
        <v/>
      </c>
      <c r="N793" s="35">
        <f>IF($F793="","",IFERROR(INDEX(사건마스터!$AL$5:$AL$64,MATCH($F793,사건마스터!$A$5:$A$64,0)),""))</f>
        <v/>
      </c>
      <c r="O793" s="35">
        <f>IF($F793="","",IFERROR(INDEX(사건마스터!$AM$5:$AM$64,MATCH($F793,사건마스터!$A$5:$A$64,0)),""))</f>
        <v/>
      </c>
      <c r="P793" s="35">
        <f>IF($F793="","",IFERROR(INDEX(사건마스터!$AN$5:$AN$64,MATCH($F793,사건마스터!$A$5:$A$64,0)),""))</f>
        <v/>
      </c>
      <c r="Q793" s="35">
        <f>IF($F793="","",IFERROR(INDEX(사건마스터!$AO$5:$AO$64,MATCH($F793,사건마스터!$A$5:$A$64,0)),""))</f>
        <v/>
      </c>
      <c r="R793" s="35">
        <f>IF($F793="","",IFERROR(INDEX(사건마스터!$AP$5:$AP$64,MATCH($F793,사건마스터!$A$5:$A$64,0)),""))</f>
        <v/>
      </c>
      <c r="S793" s="35">
        <f>IF($F793="","",IFERROR(INDEX(사건마스터!$AQ$5:$AQ$64,MATCH($F793,사건마스터!$A$5:$A$64,0)),""))</f>
        <v/>
      </c>
      <c r="T793" s="35">
        <f>IF($F793="","",IFERROR(INDEX(사건마스터!$AR$5:$AR$64,MATCH($F793,사건마스터!$A$5:$A$64,0)),""))</f>
        <v/>
      </c>
      <c r="U793" s="35">
        <f>IF($F793="","",IFERROR(INDEX(사건마스터!$AS$5:$AS$64,MATCH($F793,사건마스터!$A$5:$A$64,0)),""))</f>
        <v/>
      </c>
      <c r="V793" s="35">
        <f>IF($F793="","",IFERROR(INDEX(사건마스터!$AT$5:$AT$64,MATCH($F793,사건마스터!$A$5:$A$64,0)),""))</f>
        <v/>
      </c>
      <c r="W793" s="35">
        <f>IF($F793="","",IFERROR(INDEX(사건마스터!$AU$5:$AU$64,MATCH($F793,사건마스터!$A$5:$A$64,0)),""))</f>
        <v/>
      </c>
      <c r="X793" s="35">
        <f>IF($F793="","",IFERROR(INDEX(사건마스터!$AV$5:$AV$64,MATCH($F793,사건마스터!$A$5:$A$64,0)),""))</f>
        <v/>
      </c>
      <c r="Y793" s="30">
        <f>IF($I793="","",COUNTIF($I793:$X793,"?*"))</f>
        <v/>
      </c>
      <c r="Z793" s="33">
        <f>IF($I793="","",_xlfn.TEXTJOIN(", ",TRUE,$I793:$X793))</f>
        <v/>
      </c>
      <c r="AA793" s="34">
        <f>IF($I793="","",IFERROR(INDEX(코드설정!$D$5:$D$24,MATCH($I793,코드설정!$C$5:$C$24,0)),""))</f>
        <v/>
      </c>
      <c r="AB793" s="36" t="n"/>
      <c r="AC793" s="37" t="n"/>
      <c r="AD793" s="38" t="n"/>
      <c r="AE793" s="30">
        <f>IF(OR($B793="",$C793=""),"",$C793-$B793+1)</f>
        <v/>
      </c>
      <c r="AF793" s="32" t="n"/>
      <c r="AG793" s="36" t="n"/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3">
        <f>IF($F794="","",IFERROR(INDEX(사건마스터!$B$5:$B$64,MATCH($F794,사건마스터!$A$5:$A$64,0)),""))</f>
        <v/>
      </c>
      <c r="H794" s="34">
        <f>IF($F794="","",IFERROR(INDEX(사건마스터!$C$5:$C$64,MATCH($F794,사건마스터!$A$5:$A$64,0)),""))</f>
        <v/>
      </c>
      <c r="I794" s="35">
        <f>IF($F794="","",IFERROR(INDEX(사건마스터!$H$5:$H$64,MATCH($F794,사건마스터!$A$5:$A$64,0)),""))</f>
        <v/>
      </c>
      <c r="J794" s="35">
        <f>IF($F794="","",IFERROR(INDEX(사건마스터!$AH$5:$AH$64,MATCH($F794,사건마스터!$A$5:$A$64,0)),""))</f>
        <v/>
      </c>
      <c r="K794" s="35">
        <f>IF($F794="","",IFERROR(INDEX(사건마스터!$AI$5:$AI$64,MATCH($F794,사건마스터!$A$5:$A$64,0)),""))</f>
        <v/>
      </c>
      <c r="L794" s="35">
        <f>IF($F794="","",IFERROR(INDEX(사건마스터!$AJ$5:$AJ$64,MATCH($F794,사건마스터!$A$5:$A$64,0)),""))</f>
        <v/>
      </c>
      <c r="M794" s="35">
        <f>IF($F794="","",IFERROR(INDEX(사건마스터!$AK$5:$AK$64,MATCH($F794,사건마스터!$A$5:$A$64,0)),""))</f>
        <v/>
      </c>
      <c r="N794" s="35">
        <f>IF($F794="","",IFERROR(INDEX(사건마스터!$AL$5:$AL$64,MATCH($F794,사건마스터!$A$5:$A$64,0)),""))</f>
        <v/>
      </c>
      <c r="O794" s="35">
        <f>IF($F794="","",IFERROR(INDEX(사건마스터!$AM$5:$AM$64,MATCH($F794,사건마스터!$A$5:$A$64,0)),""))</f>
        <v/>
      </c>
      <c r="P794" s="35">
        <f>IF($F794="","",IFERROR(INDEX(사건마스터!$AN$5:$AN$64,MATCH($F794,사건마스터!$A$5:$A$64,0)),""))</f>
        <v/>
      </c>
      <c r="Q794" s="35">
        <f>IF($F794="","",IFERROR(INDEX(사건마스터!$AO$5:$AO$64,MATCH($F794,사건마스터!$A$5:$A$64,0)),""))</f>
        <v/>
      </c>
      <c r="R794" s="35">
        <f>IF($F794="","",IFERROR(INDEX(사건마스터!$AP$5:$AP$64,MATCH($F794,사건마스터!$A$5:$A$64,0)),""))</f>
        <v/>
      </c>
      <c r="S794" s="35">
        <f>IF($F794="","",IFERROR(INDEX(사건마스터!$AQ$5:$AQ$64,MATCH($F794,사건마스터!$A$5:$A$64,0)),""))</f>
        <v/>
      </c>
      <c r="T794" s="35">
        <f>IF($F794="","",IFERROR(INDEX(사건마스터!$AR$5:$AR$64,MATCH($F794,사건마스터!$A$5:$A$64,0)),""))</f>
        <v/>
      </c>
      <c r="U794" s="35">
        <f>IF($F794="","",IFERROR(INDEX(사건마스터!$AS$5:$AS$64,MATCH($F794,사건마스터!$A$5:$A$64,0)),""))</f>
        <v/>
      </c>
      <c r="V794" s="35">
        <f>IF($F794="","",IFERROR(INDEX(사건마스터!$AT$5:$AT$64,MATCH($F794,사건마스터!$A$5:$A$64,0)),""))</f>
        <v/>
      </c>
      <c r="W794" s="35">
        <f>IF($F794="","",IFERROR(INDEX(사건마스터!$AU$5:$AU$64,MATCH($F794,사건마스터!$A$5:$A$64,0)),""))</f>
        <v/>
      </c>
      <c r="X794" s="35">
        <f>IF($F794="","",IFERROR(INDEX(사건마스터!$AV$5:$AV$64,MATCH($F794,사건마스터!$A$5:$A$64,0)),""))</f>
        <v/>
      </c>
      <c r="Y794" s="30">
        <f>IF($I794="","",COUNTIF($I794:$X794,"?*"))</f>
        <v/>
      </c>
      <c r="Z794" s="33">
        <f>IF($I794="","",_xlfn.TEXTJOIN(", ",TRUE,$I794:$X794))</f>
        <v/>
      </c>
      <c r="AA794" s="34">
        <f>IF($I794="","",IFERROR(INDEX(코드설정!$D$5:$D$24,MATCH($I794,코드설정!$C$5:$C$24,0)),""))</f>
        <v/>
      </c>
      <c r="AB794" s="36" t="n"/>
      <c r="AC794" s="37" t="n"/>
      <c r="AD794" s="38" t="n"/>
      <c r="AE794" s="30">
        <f>IF(OR($B794="",$C794=""),"",$C794-$B794+1)</f>
        <v/>
      </c>
      <c r="AF794" s="32" t="n"/>
      <c r="AG794" s="36" t="n"/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3">
        <f>IF($F795="","",IFERROR(INDEX(사건마스터!$B$5:$B$64,MATCH($F795,사건마스터!$A$5:$A$64,0)),""))</f>
        <v/>
      </c>
      <c r="H795" s="34">
        <f>IF($F795="","",IFERROR(INDEX(사건마스터!$C$5:$C$64,MATCH($F795,사건마스터!$A$5:$A$64,0)),""))</f>
        <v/>
      </c>
      <c r="I795" s="35">
        <f>IF($F795="","",IFERROR(INDEX(사건마스터!$H$5:$H$64,MATCH($F795,사건마스터!$A$5:$A$64,0)),""))</f>
        <v/>
      </c>
      <c r="J795" s="35">
        <f>IF($F795="","",IFERROR(INDEX(사건마스터!$AH$5:$AH$64,MATCH($F795,사건마스터!$A$5:$A$64,0)),""))</f>
        <v/>
      </c>
      <c r="K795" s="35">
        <f>IF($F795="","",IFERROR(INDEX(사건마스터!$AI$5:$AI$64,MATCH($F795,사건마스터!$A$5:$A$64,0)),""))</f>
        <v/>
      </c>
      <c r="L795" s="35">
        <f>IF($F795="","",IFERROR(INDEX(사건마스터!$AJ$5:$AJ$64,MATCH($F795,사건마스터!$A$5:$A$64,0)),""))</f>
        <v/>
      </c>
      <c r="M795" s="35">
        <f>IF($F795="","",IFERROR(INDEX(사건마스터!$AK$5:$AK$64,MATCH($F795,사건마스터!$A$5:$A$64,0)),""))</f>
        <v/>
      </c>
      <c r="N795" s="35">
        <f>IF($F795="","",IFERROR(INDEX(사건마스터!$AL$5:$AL$64,MATCH($F795,사건마스터!$A$5:$A$64,0)),""))</f>
        <v/>
      </c>
      <c r="O795" s="35">
        <f>IF($F795="","",IFERROR(INDEX(사건마스터!$AM$5:$AM$64,MATCH($F795,사건마스터!$A$5:$A$64,0)),""))</f>
        <v/>
      </c>
      <c r="P795" s="35">
        <f>IF($F795="","",IFERROR(INDEX(사건마스터!$AN$5:$AN$64,MATCH($F795,사건마스터!$A$5:$A$64,0)),""))</f>
        <v/>
      </c>
      <c r="Q795" s="35">
        <f>IF($F795="","",IFERROR(INDEX(사건마스터!$AO$5:$AO$64,MATCH($F795,사건마스터!$A$5:$A$64,0)),""))</f>
        <v/>
      </c>
      <c r="R795" s="35">
        <f>IF($F795="","",IFERROR(INDEX(사건마스터!$AP$5:$AP$64,MATCH($F795,사건마스터!$A$5:$A$64,0)),""))</f>
        <v/>
      </c>
      <c r="S795" s="35">
        <f>IF($F795="","",IFERROR(INDEX(사건마스터!$AQ$5:$AQ$64,MATCH($F795,사건마스터!$A$5:$A$64,0)),""))</f>
        <v/>
      </c>
      <c r="T795" s="35">
        <f>IF($F795="","",IFERROR(INDEX(사건마스터!$AR$5:$AR$64,MATCH($F795,사건마스터!$A$5:$A$64,0)),""))</f>
        <v/>
      </c>
      <c r="U795" s="35">
        <f>IF($F795="","",IFERROR(INDEX(사건마스터!$AS$5:$AS$64,MATCH($F795,사건마스터!$A$5:$A$64,0)),""))</f>
        <v/>
      </c>
      <c r="V795" s="35">
        <f>IF($F795="","",IFERROR(INDEX(사건마스터!$AT$5:$AT$64,MATCH($F795,사건마스터!$A$5:$A$64,0)),""))</f>
        <v/>
      </c>
      <c r="W795" s="35">
        <f>IF($F795="","",IFERROR(INDEX(사건마스터!$AU$5:$AU$64,MATCH($F795,사건마스터!$A$5:$A$64,0)),""))</f>
        <v/>
      </c>
      <c r="X795" s="35">
        <f>IF($F795="","",IFERROR(INDEX(사건마스터!$AV$5:$AV$64,MATCH($F795,사건마스터!$A$5:$A$64,0)),""))</f>
        <v/>
      </c>
      <c r="Y795" s="30">
        <f>IF($I795="","",COUNTIF($I795:$X795,"?*"))</f>
        <v/>
      </c>
      <c r="Z795" s="33">
        <f>IF($I795="","",_xlfn.TEXTJOIN(", ",TRUE,$I795:$X795))</f>
        <v/>
      </c>
      <c r="AA795" s="34">
        <f>IF($I795="","",IFERROR(INDEX(코드설정!$D$5:$D$24,MATCH($I795,코드설정!$C$5:$C$24,0)),""))</f>
        <v/>
      </c>
      <c r="AB795" s="36" t="n"/>
      <c r="AC795" s="37" t="n"/>
      <c r="AD795" s="38" t="n"/>
      <c r="AE795" s="30">
        <f>IF(OR($B795="",$C795=""),"",$C795-$B795+1)</f>
        <v/>
      </c>
      <c r="AF795" s="32" t="n"/>
      <c r="AG795" s="36" t="n"/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3">
        <f>IF($F796="","",IFERROR(INDEX(사건마스터!$B$5:$B$64,MATCH($F796,사건마스터!$A$5:$A$64,0)),""))</f>
        <v/>
      </c>
      <c r="H796" s="34">
        <f>IF($F796="","",IFERROR(INDEX(사건마스터!$C$5:$C$64,MATCH($F796,사건마스터!$A$5:$A$64,0)),""))</f>
        <v/>
      </c>
      <c r="I796" s="35">
        <f>IF($F796="","",IFERROR(INDEX(사건마스터!$H$5:$H$64,MATCH($F796,사건마스터!$A$5:$A$64,0)),""))</f>
        <v/>
      </c>
      <c r="J796" s="35">
        <f>IF($F796="","",IFERROR(INDEX(사건마스터!$AH$5:$AH$64,MATCH($F796,사건마스터!$A$5:$A$64,0)),""))</f>
        <v/>
      </c>
      <c r="K796" s="35">
        <f>IF($F796="","",IFERROR(INDEX(사건마스터!$AI$5:$AI$64,MATCH($F796,사건마스터!$A$5:$A$64,0)),""))</f>
        <v/>
      </c>
      <c r="L796" s="35">
        <f>IF($F796="","",IFERROR(INDEX(사건마스터!$AJ$5:$AJ$64,MATCH($F796,사건마스터!$A$5:$A$64,0)),""))</f>
        <v/>
      </c>
      <c r="M796" s="35">
        <f>IF($F796="","",IFERROR(INDEX(사건마스터!$AK$5:$AK$64,MATCH($F796,사건마스터!$A$5:$A$64,0)),""))</f>
        <v/>
      </c>
      <c r="N796" s="35">
        <f>IF($F796="","",IFERROR(INDEX(사건마스터!$AL$5:$AL$64,MATCH($F796,사건마스터!$A$5:$A$64,0)),""))</f>
        <v/>
      </c>
      <c r="O796" s="35">
        <f>IF($F796="","",IFERROR(INDEX(사건마스터!$AM$5:$AM$64,MATCH($F796,사건마스터!$A$5:$A$64,0)),""))</f>
        <v/>
      </c>
      <c r="P796" s="35">
        <f>IF($F796="","",IFERROR(INDEX(사건마스터!$AN$5:$AN$64,MATCH($F796,사건마스터!$A$5:$A$64,0)),""))</f>
        <v/>
      </c>
      <c r="Q796" s="35">
        <f>IF($F796="","",IFERROR(INDEX(사건마스터!$AO$5:$AO$64,MATCH($F796,사건마스터!$A$5:$A$64,0)),""))</f>
        <v/>
      </c>
      <c r="R796" s="35">
        <f>IF($F796="","",IFERROR(INDEX(사건마스터!$AP$5:$AP$64,MATCH($F796,사건마스터!$A$5:$A$64,0)),""))</f>
        <v/>
      </c>
      <c r="S796" s="35">
        <f>IF($F796="","",IFERROR(INDEX(사건마스터!$AQ$5:$AQ$64,MATCH($F796,사건마스터!$A$5:$A$64,0)),""))</f>
        <v/>
      </c>
      <c r="T796" s="35">
        <f>IF($F796="","",IFERROR(INDEX(사건마스터!$AR$5:$AR$64,MATCH($F796,사건마스터!$A$5:$A$64,0)),""))</f>
        <v/>
      </c>
      <c r="U796" s="35">
        <f>IF($F796="","",IFERROR(INDEX(사건마스터!$AS$5:$AS$64,MATCH($F796,사건마스터!$A$5:$A$64,0)),""))</f>
        <v/>
      </c>
      <c r="V796" s="35">
        <f>IF($F796="","",IFERROR(INDEX(사건마스터!$AT$5:$AT$64,MATCH($F796,사건마스터!$A$5:$A$64,0)),""))</f>
        <v/>
      </c>
      <c r="W796" s="35">
        <f>IF($F796="","",IFERROR(INDEX(사건마스터!$AU$5:$AU$64,MATCH($F796,사건마스터!$A$5:$A$64,0)),""))</f>
        <v/>
      </c>
      <c r="X796" s="35">
        <f>IF($F796="","",IFERROR(INDEX(사건마스터!$AV$5:$AV$64,MATCH($F796,사건마스터!$A$5:$A$64,0)),""))</f>
        <v/>
      </c>
      <c r="Y796" s="30">
        <f>IF($I796="","",COUNTIF($I796:$X796,"?*"))</f>
        <v/>
      </c>
      <c r="Z796" s="33">
        <f>IF($I796="","",_xlfn.TEXTJOIN(", ",TRUE,$I796:$X796))</f>
        <v/>
      </c>
      <c r="AA796" s="34">
        <f>IF($I796="","",IFERROR(INDEX(코드설정!$D$5:$D$24,MATCH($I796,코드설정!$C$5:$C$24,0)),""))</f>
        <v/>
      </c>
      <c r="AB796" s="36" t="n"/>
      <c r="AC796" s="37" t="n"/>
      <c r="AD796" s="38" t="n"/>
      <c r="AE796" s="30">
        <f>IF(OR($B796="",$C796=""),"",$C796-$B796+1)</f>
        <v/>
      </c>
      <c r="AF796" s="32" t="n"/>
      <c r="AG796" s="36" t="n"/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3">
        <f>IF($F797="","",IFERROR(INDEX(사건마스터!$B$5:$B$64,MATCH($F797,사건마스터!$A$5:$A$64,0)),""))</f>
        <v/>
      </c>
      <c r="H797" s="34">
        <f>IF($F797="","",IFERROR(INDEX(사건마스터!$C$5:$C$64,MATCH($F797,사건마스터!$A$5:$A$64,0)),""))</f>
        <v/>
      </c>
      <c r="I797" s="35">
        <f>IF($F797="","",IFERROR(INDEX(사건마스터!$H$5:$H$64,MATCH($F797,사건마스터!$A$5:$A$64,0)),""))</f>
        <v/>
      </c>
      <c r="J797" s="35">
        <f>IF($F797="","",IFERROR(INDEX(사건마스터!$AH$5:$AH$64,MATCH($F797,사건마스터!$A$5:$A$64,0)),""))</f>
        <v/>
      </c>
      <c r="K797" s="35">
        <f>IF($F797="","",IFERROR(INDEX(사건마스터!$AI$5:$AI$64,MATCH($F797,사건마스터!$A$5:$A$64,0)),""))</f>
        <v/>
      </c>
      <c r="L797" s="35">
        <f>IF($F797="","",IFERROR(INDEX(사건마스터!$AJ$5:$AJ$64,MATCH($F797,사건마스터!$A$5:$A$64,0)),""))</f>
        <v/>
      </c>
      <c r="M797" s="35">
        <f>IF($F797="","",IFERROR(INDEX(사건마스터!$AK$5:$AK$64,MATCH($F797,사건마스터!$A$5:$A$64,0)),""))</f>
        <v/>
      </c>
      <c r="N797" s="35">
        <f>IF($F797="","",IFERROR(INDEX(사건마스터!$AL$5:$AL$64,MATCH($F797,사건마스터!$A$5:$A$64,0)),""))</f>
        <v/>
      </c>
      <c r="O797" s="35">
        <f>IF($F797="","",IFERROR(INDEX(사건마스터!$AM$5:$AM$64,MATCH($F797,사건마스터!$A$5:$A$64,0)),""))</f>
        <v/>
      </c>
      <c r="P797" s="35">
        <f>IF($F797="","",IFERROR(INDEX(사건마스터!$AN$5:$AN$64,MATCH($F797,사건마스터!$A$5:$A$64,0)),""))</f>
        <v/>
      </c>
      <c r="Q797" s="35">
        <f>IF($F797="","",IFERROR(INDEX(사건마스터!$AO$5:$AO$64,MATCH($F797,사건마스터!$A$5:$A$64,0)),""))</f>
        <v/>
      </c>
      <c r="R797" s="35">
        <f>IF($F797="","",IFERROR(INDEX(사건마스터!$AP$5:$AP$64,MATCH($F797,사건마스터!$A$5:$A$64,0)),""))</f>
        <v/>
      </c>
      <c r="S797" s="35">
        <f>IF($F797="","",IFERROR(INDEX(사건마스터!$AQ$5:$AQ$64,MATCH($F797,사건마스터!$A$5:$A$64,0)),""))</f>
        <v/>
      </c>
      <c r="T797" s="35">
        <f>IF($F797="","",IFERROR(INDEX(사건마스터!$AR$5:$AR$64,MATCH($F797,사건마스터!$A$5:$A$64,0)),""))</f>
        <v/>
      </c>
      <c r="U797" s="35">
        <f>IF($F797="","",IFERROR(INDEX(사건마스터!$AS$5:$AS$64,MATCH($F797,사건마스터!$A$5:$A$64,0)),""))</f>
        <v/>
      </c>
      <c r="V797" s="35">
        <f>IF($F797="","",IFERROR(INDEX(사건마스터!$AT$5:$AT$64,MATCH($F797,사건마스터!$A$5:$A$64,0)),""))</f>
        <v/>
      </c>
      <c r="W797" s="35">
        <f>IF($F797="","",IFERROR(INDEX(사건마스터!$AU$5:$AU$64,MATCH($F797,사건마스터!$A$5:$A$64,0)),""))</f>
        <v/>
      </c>
      <c r="X797" s="35">
        <f>IF($F797="","",IFERROR(INDEX(사건마스터!$AV$5:$AV$64,MATCH($F797,사건마스터!$A$5:$A$64,0)),""))</f>
        <v/>
      </c>
      <c r="Y797" s="30">
        <f>IF($I797="","",COUNTIF($I797:$X797,"?*"))</f>
        <v/>
      </c>
      <c r="Z797" s="33">
        <f>IF($I797="","",_xlfn.TEXTJOIN(", ",TRUE,$I797:$X797))</f>
        <v/>
      </c>
      <c r="AA797" s="34">
        <f>IF($I797="","",IFERROR(INDEX(코드설정!$D$5:$D$24,MATCH($I797,코드설정!$C$5:$C$24,0)),""))</f>
        <v/>
      </c>
      <c r="AB797" s="36" t="n"/>
      <c r="AC797" s="37" t="n"/>
      <c r="AD797" s="38" t="n"/>
      <c r="AE797" s="30">
        <f>IF(OR($B797="",$C797=""),"",$C797-$B797+1)</f>
        <v/>
      </c>
      <c r="AF797" s="32" t="n"/>
      <c r="AG797" s="36" t="n"/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3">
        <f>IF($F798="","",IFERROR(INDEX(사건마스터!$B$5:$B$64,MATCH($F798,사건마스터!$A$5:$A$64,0)),""))</f>
        <v/>
      </c>
      <c r="H798" s="34">
        <f>IF($F798="","",IFERROR(INDEX(사건마스터!$C$5:$C$64,MATCH($F798,사건마스터!$A$5:$A$64,0)),""))</f>
        <v/>
      </c>
      <c r="I798" s="35">
        <f>IF($F798="","",IFERROR(INDEX(사건마스터!$H$5:$H$64,MATCH($F798,사건마스터!$A$5:$A$64,0)),""))</f>
        <v/>
      </c>
      <c r="J798" s="35">
        <f>IF($F798="","",IFERROR(INDEX(사건마스터!$AH$5:$AH$64,MATCH($F798,사건마스터!$A$5:$A$64,0)),""))</f>
        <v/>
      </c>
      <c r="K798" s="35">
        <f>IF($F798="","",IFERROR(INDEX(사건마스터!$AI$5:$AI$64,MATCH($F798,사건마스터!$A$5:$A$64,0)),""))</f>
        <v/>
      </c>
      <c r="L798" s="35">
        <f>IF($F798="","",IFERROR(INDEX(사건마스터!$AJ$5:$AJ$64,MATCH($F798,사건마스터!$A$5:$A$64,0)),""))</f>
        <v/>
      </c>
      <c r="M798" s="35">
        <f>IF($F798="","",IFERROR(INDEX(사건마스터!$AK$5:$AK$64,MATCH($F798,사건마스터!$A$5:$A$64,0)),""))</f>
        <v/>
      </c>
      <c r="N798" s="35">
        <f>IF($F798="","",IFERROR(INDEX(사건마스터!$AL$5:$AL$64,MATCH($F798,사건마스터!$A$5:$A$64,0)),""))</f>
        <v/>
      </c>
      <c r="O798" s="35">
        <f>IF($F798="","",IFERROR(INDEX(사건마스터!$AM$5:$AM$64,MATCH($F798,사건마스터!$A$5:$A$64,0)),""))</f>
        <v/>
      </c>
      <c r="P798" s="35">
        <f>IF($F798="","",IFERROR(INDEX(사건마스터!$AN$5:$AN$64,MATCH($F798,사건마스터!$A$5:$A$64,0)),""))</f>
        <v/>
      </c>
      <c r="Q798" s="35">
        <f>IF($F798="","",IFERROR(INDEX(사건마스터!$AO$5:$AO$64,MATCH($F798,사건마스터!$A$5:$A$64,0)),""))</f>
        <v/>
      </c>
      <c r="R798" s="35">
        <f>IF($F798="","",IFERROR(INDEX(사건마스터!$AP$5:$AP$64,MATCH($F798,사건마스터!$A$5:$A$64,0)),""))</f>
        <v/>
      </c>
      <c r="S798" s="35">
        <f>IF($F798="","",IFERROR(INDEX(사건마스터!$AQ$5:$AQ$64,MATCH($F798,사건마스터!$A$5:$A$64,0)),""))</f>
        <v/>
      </c>
      <c r="T798" s="35">
        <f>IF($F798="","",IFERROR(INDEX(사건마스터!$AR$5:$AR$64,MATCH($F798,사건마스터!$A$5:$A$64,0)),""))</f>
        <v/>
      </c>
      <c r="U798" s="35">
        <f>IF($F798="","",IFERROR(INDEX(사건마스터!$AS$5:$AS$64,MATCH($F798,사건마스터!$A$5:$A$64,0)),""))</f>
        <v/>
      </c>
      <c r="V798" s="35">
        <f>IF($F798="","",IFERROR(INDEX(사건마스터!$AT$5:$AT$64,MATCH($F798,사건마스터!$A$5:$A$64,0)),""))</f>
        <v/>
      </c>
      <c r="W798" s="35">
        <f>IF($F798="","",IFERROR(INDEX(사건마스터!$AU$5:$AU$64,MATCH($F798,사건마스터!$A$5:$A$64,0)),""))</f>
        <v/>
      </c>
      <c r="X798" s="35">
        <f>IF($F798="","",IFERROR(INDEX(사건마스터!$AV$5:$AV$64,MATCH($F798,사건마스터!$A$5:$A$64,0)),""))</f>
        <v/>
      </c>
      <c r="Y798" s="30">
        <f>IF($I798="","",COUNTIF($I798:$X798,"?*"))</f>
        <v/>
      </c>
      <c r="Z798" s="33">
        <f>IF($I798="","",_xlfn.TEXTJOIN(", ",TRUE,$I798:$X798))</f>
        <v/>
      </c>
      <c r="AA798" s="34">
        <f>IF($I798="","",IFERROR(INDEX(코드설정!$D$5:$D$24,MATCH($I798,코드설정!$C$5:$C$24,0)),""))</f>
        <v/>
      </c>
      <c r="AB798" s="36" t="n"/>
      <c r="AC798" s="37" t="n"/>
      <c r="AD798" s="38" t="n"/>
      <c r="AE798" s="30">
        <f>IF(OR($B798="",$C798=""),"",$C798-$B798+1)</f>
        <v/>
      </c>
      <c r="AF798" s="32" t="n"/>
      <c r="AG798" s="36" t="n"/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3">
        <f>IF($F799="","",IFERROR(INDEX(사건마스터!$B$5:$B$64,MATCH($F799,사건마스터!$A$5:$A$64,0)),""))</f>
        <v/>
      </c>
      <c r="H799" s="34">
        <f>IF($F799="","",IFERROR(INDEX(사건마스터!$C$5:$C$64,MATCH($F799,사건마스터!$A$5:$A$64,0)),""))</f>
        <v/>
      </c>
      <c r="I799" s="35">
        <f>IF($F799="","",IFERROR(INDEX(사건마스터!$H$5:$H$64,MATCH($F799,사건마스터!$A$5:$A$64,0)),""))</f>
        <v/>
      </c>
      <c r="J799" s="35">
        <f>IF($F799="","",IFERROR(INDEX(사건마스터!$AH$5:$AH$64,MATCH($F799,사건마스터!$A$5:$A$64,0)),""))</f>
        <v/>
      </c>
      <c r="K799" s="35">
        <f>IF($F799="","",IFERROR(INDEX(사건마스터!$AI$5:$AI$64,MATCH($F799,사건마스터!$A$5:$A$64,0)),""))</f>
        <v/>
      </c>
      <c r="L799" s="35">
        <f>IF($F799="","",IFERROR(INDEX(사건마스터!$AJ$5:$AJ$64,MATCH($F799,사건마스터!$A$5:$A$64,0)),""))</f>
        <v/>
      </c>
      <c r="M799" s="35">
        <f>IF($F799="","",IFERROR(INDEX(사건마스터!$AK$5:$AK$64,MATCH($F799,사건마스터!$A$5:$A$64,0)),""))</f>
        <v/>
      </c>
      <c r="N799" s="35">
        <f>IF($F799="","",IFERROR(INDEX(사건마스터!$AL$5:$AL$64,MATCH($F799,사건마스터!$A$5:$A$64,0)),""))</f>
        <v/>
      </c>
      <c r="O799" s="35">
        <f>IF($F799="","",IFERROR(INDEX(사건마스터!$AM$5:$AM$64,MATCH($F799,사건마스터!$A$5:$A$64,0)),""))</f>
        <v/>
      </c>
      <c r="P799" s="35">
        <f>IF($F799="","",IFERROR(INDEX(사건마스터!$AN$5:$AN$64,MATCH($F799,사건마스터!$A$5:$A$64,0)),""))</f>
        <v/>
      </c>
      <c r="Q799" s="35">
        <f>IF($F799="","",IFERROR(INDEX(사건마스터!$AO$5:$AO$64,MATCH($F799,사건마스터!$A$5:$A$64,0)),""))</f>
        <v/>
      </c>
      <c r="R799" s="35">
        <f>IF($F799="","",IFERROR(INDEX(사건마스터!$AP$5:$AP$64,MATCH($F799,사건마스터!$A$5:$A$64,0)),""))</f>
        <v/>
      </c>
      <c r="S799" s="35">
        <f>IF($F799="","",IFERROR(INDEX(사건마스터!$AQ$5:$AQ$64,MATCH($F799,사건마스터!$A$5:$A$64,0)),""))</f>
        <v/>
      </c>
      <c r="T799" s="35">
        <f>IF($F799="","",IFERROR(INDEX(사건마스터!$AR$5:$AR$64,MATCH($F799,사건마스터!$A$5:$A$64,0)),""))</f>
        <v/>
      </c>
      <c r="U799" s="35">
        <f>IF($F799="","",IFERROR(INDEX(사건마스터!$AS$5:$AS$64,MATCH($F799,사건마스터!$A$5:$A$64,0)),""))</f>
        <v/>
      </c>
      <c r="V799" s="35">
        <f>IF($F799="","",IFERROR(INDEX(사건마스터!$AT$5:$AT$64,MATCH($F799,사건마스터!$A$5:$A$64,0)),""))</f>
        <v/>
      </c>
      <c r="W799" s="35">
        <f>IF($F799="","",IFERROR(INDEX(사건마스터!$AU$5:$AU$64,MATCH($F799,사건마스터!$A$5:$A$64,0)),""))</f>
        <v/>
      </c>
      <c r="X799" s="35">
        <f>IF($F799="","",IFERROR(INDEX(사건마스터!$AV$5:$AV$64,MATCH($F799,사건마스터!$A$5:$A$64,0)),""))</f>
        <v/>
      </c>
      <c r="Y799" s="30">
        <f>IF($I799="","",COUNTIF($I799:$X799,"?*"))</f>
        <v/>
      </c>
      <c r="Z799" s="33">
        <f>IF($I799="","",_xlfn.TEXTJOIN(", ",TRUE,$I799:$X799))</f>
        <v/>
      </c>
      <c r="AA799" s="34">
        <f>IF($I799="","",IFERROR(INDEX(코드설정!$D$5:$D$24,MATCH($I799,코드설정!$C$5:$C$24,0)),""))</f>
        <v/>
      </c>
      <c r="AB799" s="36" t="n"/>
      <c r="AC799" s="37" t="n"/>
      <c r="AD799" s="38" t="n"/>
      <c r="AE799" s="30">
        <f>IF(OR($B799="",$C799=""),"",$C799-$B799+1)</f>
        <v/>
      </c>
      <c r="AF799" s="32" t="n"/>
      <c r="AG799" s="36" t="n"/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3">
        <f>IF($F800="","",IFERROR(INDEX(사건마스터!$B$5:$B$64,MATCH($F800,사건마스터!$A$5:$A$64,0)),""))</f>
        <v/>
      </c>
      <c r="H800" s="34">
        <f>IF($F800="","",IFERROR(INDEX(사건마스터!$C$5:$C$64,MATCH($F800,사건마스터!$A$5:$A$64,0)),""))</f>
        <v/>
      </c>
      <c r="I800" s="35">
        <f>IF($F800="","",IFERROR(INDEX(사건마스터!$H$5:$H$64,MATCH($F800,사건마스터!$A$5:$A$64,0)),""))</f>
        <v/>
      </c>
      <c r="J800" s="35">
        <f>IF($F800="","",IFERROR(INDEX(사건마스터!$AH$5:$AH$64,MATCH($F800,사건마스터!$A$5:$A$64,0)),""))</f>
        <v/>
      </c>
      <c r="K800" s="35">
        <f>IF($F800="","",IFERROR(INDEX(사건마스터!$AI$5:$AI$64,MATCH($F800,사건마스터!$A$5:$A$64,0)),""))</f>
        <v/>
      </c>
      <c r="L800" s="35">
        <f>IF($F800="","",IFERROR(INDEX(사건마스터!$AJ$5:$AJ$64,MATCH($F800,사건마스터!$A$5:$A$64,0)),""))</f>
        <v/>
      </c>
      <c r="M800" s="35">
        <f>IF($F800="","",IFERROR(INDEX(사건마스터!$AK$5:$AK$64,MATCH($F800,사건마스터!$A$5:$A$64,0)),""))</f>
        <v/>
      </c>
      <c r="N800" s="35">
        <f>IF($F800="","",IFERROR(INDEX(사건마스터!$AL$5:$AL$64,MATCH($F800,사건마스터!$A$5:$A$64,0)),""))</f>
        <v/>
      </c>
      <c r="O800" s="35">
        <f>IF($F800="","",IFERROR(INDEX(사건마스터!$AM$5:$AM$64,MATCH($F800,사건마스터!$A$5:$A$64,0)),""))</f>
        <v/>
      </c>
      <c r="P800" s="35">
        <f>IF($F800="","",IFERROR(INDEX(사건마스터!$AN$5:$AN$64,MATCH($F800,사건마스터!$A$5:$A$64,0)),""))</f>
        <v/>
      </c>
      <c r="Q800" s="35">
        <f>IF($F800="","",IFERROR(INDEX(사건마스터!$AO$5:$AO$64,MATCH($F800,사건마스터!$A$5:$A$64,0)),""))</f>
        <v/>
      </c>
      <c r="R800" s="35">
        <f>IF($F800="","",IFERROR(INDEX(사건마스터!$AP$5:$AP$64,MATCH($F800,사건마스터!$A$5:$A$64,0)),""))</f>
        <v/>
      </c>
      <c r="S800" s="35">
        <f>IF($F800="","",IFERROR(INDEX(사건마스터!$AQ$5:$AQ$64,MATCH($F800,사건마스터!$A$5:$A$64,0)),""))</f>
        <v/>
      </c>
      <c r="T800" s="35">
        <f>IF($F800="","",IFERROR(INDEX(사건마스터!$AR$5:$AR$64,MATCH($F800,사건마스터!$A$5:$A$64,0)),""))</f>
        <v/>
      </c>
      <c r="U800" s="35">
        <f>IF($F800="","",IFERROR(INDEX(사건마스터!$AS$5:$AS$64,MATCH($F800,사건마스터!$A$5:$A$64,0)),""))</f>
        <v/>
      </c>
      <c r="V800" s="35">
        <f>IF($F800="","",IFERROR(INDEX(사건마스터!$AT$5:$AT$64,MATCH($F800,사건마스터!$A$5:$A$64,0)),""))</f>
        <v/>
      </c>
      <c r="W800" s="35">
        <f>IF($F800="","",IFERROR(INDEX(사건마스터!$AU$5:$AU$64,MATCH($F800,사건마스터!$A$5:$A$64,0)),""))</f>
        <v/>
      </c>
      <c r="X800" s="35">
        <f>IF($F800="","",IFERROR(INDEX(사건마스터!$AV$5:$AV$64,MATCH($F800,사건마스터!$A$5:$A$64,0)),""))</f>
        <v/>
      </c>
      <c r="Y800" s="30">
        <f>IF($I800="","",COUNTIF($I800:$X800,"?*"))</f>
        <v/>
      </c>
      <c r="Z800" s="33">
        <f>IF($I800="","",_xlfn.TEXTJOIN(", ",TRUE,$I800:$X800))</f>
        <v/>
      </c>
      <c r="AA800" s="34">
        <f>IF($I800="","",IFERROR(INDEX(코드설정!$D$5:$D$24,MATCH($I800,코드설정!$C$5:$C$24,0)),""))</f>
        <v/>
      </c>
      <c r="AB800" s="36" t="n"/>
      <c r="AC800" s="37" t="n"/>
      <c r="AD800" s="38" t="n"/>
      <c r="AE800" s="30">
        <f>IF(OR($B800="",$C800=""),"",$C800-$B800+1)</f>
        <v/>
      </c>
      <c r="AF800" s="32" t="n"/>
      <c r="AG800" s="36" t="n"/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3">
        <f>IF($F801="","",IFERROR(INDEX(사건마스터!$B$5:$B$64,MATCH($F801,사건마스터!$A$5:$A$64,0)),""))</f>
        <v/>
      </c>
      <c r="H801" s="34">
        <f>IF($F801="","",IFERROR(INDEX(사건마스터!$C$5:$C$64,MATCH($F801,사건마스터!$A$5:$A$64,0)),""))</f>
        <v/>
      </c>
      <c r="I801" s="35">
        <f>IF($F801="","",IFERROR(INDEX(사건마스터!$H$5:$H$64,MATCH($F801,사건마스터!$A$5:$A$64,0)),""))</f>
        <v/>
      </c>
      <c r="J801" s="35">
        <f>IF($F801="","",IFERROR(INDEX(사건마스터!$AH$5:$AH$64,MATCH($F801,사건마스터!$A$5:$A$64,0)),""))</f>
        <v/>
      </c>
      <c r="K801" s="35">
        <f>IF($F801="","",IFERROR(INDEX(사건마스터!$AI$5:$AI$64,MATCH($F801,사건마스터!$A$5:$A$64,0)),""))</f>
        <v/>
      </c>
      <c r="L801" s="35">
        <f>IF($F801="","",IFERROR(INDEX(사건마스터!$AJ$5:$AJ$64,MATCH($F801,사건마스터!$A$5:$A$64,0)),""))</f>
        <v/>
      </c>
      <c r="M801" s="35">
        <f>IF($F801="","",IFERROR(INDEX(사건마스터!$AK$5:$AK$64,MATCH($F801,사건마스터!$A$5:$A$64,0)),""))</f>
        <v/>
      </c>
      <c r="N801" s="35">
        <f>IF($F801="","",IFERROR(INDEX(사건마스터!$AL$5:$AL$64,MATCH($F801,사건마스터!$A$5:$A$64,0)),""))</f>
        <v/>
      </c>
      <c r="O801" s="35">
        <f>IF($F801="","",IFERROR(INDEX(사건마스터!$AM$5:$AM$64,MATCH($F801,사건마스터!$A$5:$A$64,0)),""))</f>
        <v/>
      </c>
      <c r="P801" s="35">
        <f>IF($F801="","",IFERROR(INDEX(사건마스터!$AN$5:$AN$64,MATCH($F801,사건마스터!$A$5:$A$64,0)),""))</f>
        <v/>
      </c>
      <c r="Q801" s="35">
        <f>IF($F801="","",IFERROR(INDEX(사건마스터!$AO$5:$AO$64,MATCH($F801,사건마스터!$A$5:$A$64,0)),""))</f>
        <v/>
      </c>
      <c r="R801" s="35">
        <f>IF($F801="","",IFERROR(INDEX(사건마스터!$AP$5:$AP$64,MATCH($F801,사건마스터!$A$5:$A$64,0)),""))</f>
        <v/>
      </c>
      <c r="S801" s="35">
        <f>IF($F801="","",IFERROR(INDEX(사건마스터!$AQ$5:$AQ$64,MATCH($F801,사건마스터!$A$5:$A$64,0)),""))</f>
        <v/>
      </c>
      <c r="T801" s="35">
        <f>IF($F801="","",IFERROR(INDEX(사건마스터!$AR$5:$AR$64,MATCH($F801,사건마스터!$A$5:$A$64,0)),""))</f>
        <v/>
      </c>
      <c r="U801" s="35">
        <f>IF($F801="","",IFERROR(INDEX(사건마스터!$AS$5:$AS$64,MATCH($F801,사건마스터!$A$5:$A$64,0)),""))</f>
        <v/>
      </c>
      <c r="V801" s="35">
        <f>IF($F801="","",IFERROR(INDEX(사건마스터!$AT$5:$AT$64,MATCH($F801,사건마스터!$A$5:$A$64,0)),""))</f>
        <v/>
      </c>
      <c r="W801" s="35">
        <f>IF($F801="","",IFERROR(INDEX(사건마스터!$AU$5:$AU$64,MATCH($F801,사건마스터!$A$5:$A$64,0)),""))</f>
        <v/>
      </c>
      <c r="X801" s="35">
        <f>IF($F801="","",IFERROR(INDEX(사건마스터!$AV$5:$AV$64,MATCH($F801,사건마스터!$A$5:$A$64,0)),""))</f>
        <v/>
      </c>
      <c r="Y801" s="30">
        <f>IF($I801="","",COUNTIF($I801:$X801,"?*"))</f>
        <v/>
      </c>
      <c r="Z801" s="33">
        <f>IF($I801="","",_xlfn.TEXTJOIN(", ",TRUE,$I801:$X801))</f>
        <v/>
      </c>
      <c r="AA801" s="34">
        <f>IF($I801="","",IFERROR(INDEX(코드설정!$D$5:$D$24,MATCH($I801,코드설정!$C$5:$C$24,0)),""))</f>
        <v/>
      </c>
      <c r="AB801" s="36" t="n"/>
      <c r="AC801" s="37" t="n"/>
      <c r="AD801" s="38" t="n"/>
      <c r="AE801" s="30">
        <f>IF(OR($B801="",$C801=""),"",$C801-$B801+1)</f>
        <v/>
      </c>
      <c r="AF801" s="32" t="n"/>
      <c r="AG801" s="36" t="n"/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3">
        <f>IF($F802="","",IFERROR(INDEX(사건마스터!$B$5:$B$64,MATCH($F802,사건마스터!$A$5:$A$64,0)),""))</f>
        <v/>
      </c>
      <c r="H802" s="34">
        <f>IF($F802="","",IFERROR(INDEX(사건마스터!$C$5:$C$64,MATCH($F802,사건마스터!$A$5:$A$64,0)),""))</f>
        <v/>
      </c>
      <c r="I802" s="35">
        <f>IF($F802="","",IFERROR(INDEX(사건마스터!$H$5:$H$64,MATCH($F802,사건마스터!$A$5:$A$64,0)),""))</f>
        <v/>
      </c>
      <c r="J802" s="35">
        <f>IF($F802="","",IFERROR(INDEX(사건마스터!$AH$5:$AH$64,MATCH($F802,사건마스터!$A$5:$A$64,0)),""))</f>
        <v/>
      </c>
      <c r="K802" s="35">
        <f>IF($F802="","",IFERROR(INDEX(사건마스터!$AI$5:$AI$64,MATCH($F802,사건마스터!$A$5:$A$64,0)),""))</f>
        <v/>
      </c>
      <c r="L802" s="35">
        <f>IF($F802="","",IFERROR(INDEX(사건마스터!$AJ$5:$AJ$64,MATCH($F802,사건마스터!$A$5:$A$64,0)),""))</f>
        <v/>
      </c>
      <c r="M802" s="35">
        <f>IF($F802="","",IFERROR(INDEX(사건마스터!$AK$5:$AK$64,MATCH($F802,사건마스터!$A$5:$A$64,0)),""))</f>
        <v/>
      </c>
      <c r="N802" s="35">
        <f>IF($F802="","",IFERROR(INDEX(사건마스터!$AL$5:$AL$64,MATCH($F802,사건마스터!$A$5:$A$64,0)),""))</f>
        <v/>
      </c>
      <c r="O802" s="35">
        <f>IF($F802="","",IFERROR(INDEX(사건마스터!$AM$5:$AM$64,MATCH($F802,사건마스터!$A$5:$A$64,0)),""))</f>
        <v/>
      </c>
      <c r="P802" s="35">
        <f>IF($F802="","",IFERROR(INDEX(사건마스터!$AN$5:$AN$64,MATCH($F802,사건마스터!$A$5:$A$64,0)),""))</f>
        <v/>
      </c>
      <c r="Q802" s="35">
        <f>IF($F802="","",IFERROR(INDEX(사건마스터!$AO$5:$AO$64,MATCH($F802,사건마스터!$A$5:$A$64,0)),""))</f>
        <v/>
      </c>
      <c r="R802" s="35">
        <f>IF($F802="","",IFERROR(INDEX(사건마스터!$AP$5:$AP$64,MATCH($F802,사건마스터!$A$5:$A$64,0)),""))</f>
        <v/>
      </c>
      <c r="S802" s="35">
        <f>IF($F802="","",IFERROR(INDEX(사건마스터!$AQ$5:$AQ$64,MATCH($F802,사건마스터!$A$5:$A$64,0)),""))</f>
        <v/>
      </c>
      <c r="T802" s="35">
        <f>IF($F802="","",IFERROR(INDEX(사건마스터!$AR$5:$AR$64,MATCH($F802,사건마스터!$A$5:$A$64,0)),""))</f>
        <v/>
      </c>
      <c r="U802" s="35">
        <f>IF($F802="","",IFERROR(INDEX(사건마스터!$AS$5:$AS$64,MATCH($F802,사건마스터!$A$5:$A$64,0)),""))</f>
        <v/>
      </c>
      <c r="V802" s="35">
        <f>IF($F802="","",IFERROR(INDEX(사건마스터!$AT$5:$AT$64,MATCH($F802,사건마스터!$A$5:$A$64,0)),""))</f>
        <v/>
      </c>
      <c r="W802" s="35">
        <f>IF($F802="","",IFERROR(INDEX(사건마스터!$AU$5:$AU$64,MATCH($F802,사건마스터!$A$5:$A$64,0)),""))</f>
        <v/>
      </c>
      <c r="X802" s="35">
        <f>IF($F802="","",IFERROR(INDEX(사건마스터!$AV$5:$AV$64,MATCH($F802,사건마스터!$A$5:$A$64,0)),""))</f>
        <v/>
      </c>
      <c r="Y802" s="30">
        <f>IF($I802="","",COUNTIF($I802:$X802,"?*"))</f>
        <v/>
      </c>
      <c r="Z802" s="33">
        <f>IF($I802="","",_xlfn.TEXTJOIN(", ",TRUE,$I802:$X802))</f>
        <v/>
      </c>
      <c r="AA802" s="34">
        <f>IF($I802="","",IFERROR(INDEX(코드설정!$D$5:$D$24,MATCH($I802,코드설정!$C$5:$C$24,0)),""))</f>
        <v/>
      </c>
      <c r="AB802" s="36" t="n"/>
      <c r="AC802" s="37" t="n"/>
      <c r="AD802" s="38" t="n"/>
      <c r="AE802" s="30">
        <f>IF(OR($B802="",$C802=""),"",$C802-$B802+1)</f>
        <v/>
      </c>
      <c r="AF802" s="32" t="n"/>
      <c r="AG802" s="36" t="n"/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3">
        <f>IF($F803="","",IFERROR(INDEX(사건마스터!$B$5:$B$64,MATCH($F803,사건마스터!$A$5:$A$64,0)),""))</f>
        <v/>
      </c>
      <c r="H803" s="34">
        <f>IF($F803="","",IFERROR(INDEX(사건마스터!$C$5:$C$64,MATCH($F803,사건마스터!$A$5:$A$64,0)),""))</f>
        <v/>
      </c>
      <c r="I803" s="35">
        <f>IF($F803="","",IFERROR(INDEX(사건마스터!$H$5:$H$64,MATCH($F803,사건마스터!$A$5:$A$64,0)),""))</f>
        <v/>
      </c>
      <c r="J803" s="35">
        <f>IF($F803="","",IFERROR(INDEX(사건마스터!$AH$5:$AH$64,MATCH($F803,사건마스터!$A$5:$A$64,0)),""))</f>
        <v/>
      </c>
      <c r="K803" s="35">
        <f>IF($F803="","",IFERROR(INDEX(사건마스터!$AI$5:$AI$64,MATCH($F803,사건마스터!$A$5:$A$64,0)),""))</f>
        <v/>
      </c>
      <c r="L803" s="35">
        <f>IF($F803="","",IFERROR(INDEX(사건마스터!$AJ$5:$AJ$64,MATCH($F803,사건마스터!$A$5:$A$64,0)),""))</f>
        <v/>
      </c>
      <c r="M803" s="35">
        <f>IF($F803="","",IFERROR(INDEX(사건마스터!$AK$5:$AK$64,MATCH($F803,사건마스터!$A$5:$A$64,0)),""))</f>
        <v/>
      </c>
      <c r="N803" s="35">
        <f>IF($F803="","",IFERROR(INDEX(사건마스터!$AL$5:$AL$64,MATCH($F803,사건마스터!$A$5:$A$64,0)),""))</f>
        <v/>
      </c>
      <c r="O803" s="35">
        <f>IF($F803="","",IFERROR(INDEX(사건마스터!$AM$5:$AM$64,MATCH($F803,사건마스터!$A$5:$A$64,0)),""))</f>
        <v/>
      </c>
      <c r="P803" s="35">
        <f>IF($F803="","",IFERROR(INDEX(사건마스터!$AN$5:$AN$64,MATCH($F803,사건마스터!$A$5:$A$64,0)),""))</f>
        <v/>
      </c>
      <c r="Q803" s="35">
        <f>IF($F803="","",IFERROR(INDEX(사건마스터!$AO$5:$AO$64,MATCH($F803,사건마스터!$A$5:$A$64,0)),""))</f>
        <v/>
      </c>
      <c r="R803" s="35">
        <f>IF($F803="","",IFERROR(INDEX(사건마스터!$AP$5:$AP$64,MATCH($F803,사건마스터!$A$5:$A$64,0)),""))</f>
        <v/>
      </c>
      <c r="S803" s="35">
        <f>IF($F803="","",IFERROR(INDEX(사건마스터!$AQ$5:$AQ$64,MATCH($F803,사건마스터!$A$5:$A$64,0)),""))</f>
        <v/>
      </c>
      <c r="T803" s="35">
        <f>IF($F803="","",IFERROR(INDEX(사건마스터!$AR$5:$AR$64,MATCH($F803,사건마스터!$A$5:$A$64,0)),""))</f>
        <v/>
      </c>
      <c r="U803" s="35">
        <f>IF($F803="","",IFERROR(INDEX(사건마스터!$AS$5:$AS$64,MATCH($F803,사건마스터!$A$5:$A$64,0)),""))</f>
        <v/>
      </c>
      <c r="V803" s="35">
        <f>IF($F803="","",IFERROR(INDEX(사건마스터!$AT$5:$AT$64,MATCH($F803,사건마스터!$A$5:$A$64,0)),""))</f>
        <v/>
      </c>
      <c r="W803" s="35">
        <f>IF($F803="","",IFERROR(INDEX(사건마스터!$AU$5:$AU$64,MATCH($F803,사건마스터!$A$5:$A$64,0)),""))</f>
        <v/>
      </c>
      <c r="X803" s="35">
        <f>IF($F803="","",IFERROR(INDEX(사건마스터!$AV$5:$AV$64,MATCH($F803,사건마스터!$A$5:$A$64,0)),""))</f>
        <v/>
      </c>
      <c r="Y803" s="30">
        <f>IF($I803="","",COUNTIF($I803:$X803,"?*"))</f>
        <v/>
      </c>
      <c r="Z803" s="33">
        <f>IF($I803="","",_xlfn.TEXTJOIN(", ",TRUE,$I803:$X803))</f>
        <v/>
      </c>
      <c r="AA803" s="34">
        <f>IF($I803="","",IFERROR(INDEX(코드설정!$D$5:$D$24,MATCH($I803,코드설정!$C$5:$C$24,0)),""))</f>
        <v/>
      </c>
      <c r="AB803" s="36" t="n"/>
      <c r="AC803" s="37" t="n"/>
      <c r="AD803" s="38" t="n"/>
      <c r="AE803" s="30">
        <f>IF(OR($B803="",$C803=""),"",$C803-$B803+1)</f>
        <v/>
      </c>
      <c r="AF803" s="32" t="n"/>
      <c r="AG803" s="36" t="n"/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3">
        <f>IF($F804="","",IFERROR(INDEX(사건마스터!$B$5:$B$64,MATCH($F804,사건마스터!$A$5:$A$64,0)),""))</f>
        <v/>
      </c>
      <c r="H804" s="34">
        <f>IF($F804="","",IFERROR(INDEX(사건마스터!$C$5:$C$64,MATCH($F804,사건마스터!$A$5:$A$64,0)),""))</f>
        <v/>
      </c>
      <c r="I804" s="35">
        <f>IF($F804="","",IFERROR(INDEX(사건마스터!$H$5:$H$64,MATCH($F804,사건마스터!$A$5:$A$64,0)),""))</f>
        <v/>
      </c>
      <c r="J804" s="35">
        <f>IF($F804="","",IFERROR(INDEX(사건마스터!$AH$5:$AH$64,MATCH($F804,사건마스터!$A$5:$A$64,0)),""))</f>
        <v/>
      </c>
      <c r="K804" s="35">
        <f>IF($F804="","",IFERROR(INDEX(사건마스터!$AI$5:$AI$64,MATCH($F804,사건마스터!$A$5:$A$64,0)),""))</f>
        <v/>
      </c>
      <c r="L804" s="35">
        <f>IF($F804="","",IFERROR(INDEX(사건마스터!$AJ$5:$AJ$64,MATCH($F804,사건마스터!$A$5:$A$64,0)),""))</f>
        <v/>
      </c>
      <c r="M804" s="35">
        <f>IF($F804="","",IFERROR(INDEX(사건마스터!$AK$5:$AK$64,MATCH($F804,사건마스터!$A$5:$A$64,0)),""))</f>
        <v/>
      </c>
      <c r="N804" s="35">
        <f>IF($F804="","",IFERROR(INDEX(사건마스터!$AL$5:$AL$64,MATCH($F804,사건마스터!$A$5:$A$64,0)),""))</f>
        <v/>
      </c>
      <c r="O804" s="35">
        <f>IF($F804="","",IFERROR(INDEX(사건마스터!$AM$5:$AM$64,MATCH($F804,사건마스터!$A$5:$A$64,0)),""))</f>
        <v/>
      </c>
      <c r="P804" s="35">
        <f>IF($F804="","",IFERROR(INDEX(사건마스터!$AN$5:$AN$64,MATCH($F804,사건마스터!$A$5:$A$64,0)),""))</f>
        <v/>
      </c>
      <c r="Q804" s="35">
        <f>IF($F804="","",IFERROR(INDEX(사건마스터!$AO$5:$AO$64,MATCH($F804,사건마스터!$A$5:$A$64,0)),""))</f>
        <v/>
      </c>
      <c r="R804" s="35">
        <f>IF($F804="","",IFERROR(INDEX(사건마스터!$AP$5:$AP$64,MATCH($F804,사건마스터!$A$5:$A$64,0)),""))</f>
        <v/>
      </c>
      <c r="S804" s="35">
        <f>IF($F804="","",IFERROR(INDEX(사건마스터!$AQ$5:$AQ$64,MATCH($F804,사건마스터!$A$5:$A$64,0)),""))</f>
        <v/>
      </c>
      <c r="T804" s="35">
        <f>IF($F804="","",IFERROR(INDEX(사건마스터!$AR$5:$AR$64,MATCH($F804,사건마스터!$A$5:$A$64,0)),""))</f>
        <v/>
      </c>
      <c r="U804" s="35">
        <f>IF($F804="","",IFERROR(INDEX(사건마스터!$AS$5:$AS$64,MATCH($F804,사건마스터!$A$5:$A$64,0)),""))</f>
        <v/>
      </c>
      <c r="V804" s="35">
        <f>IF($F804="","",IFERROR(INDEX(사건마스터!$AT$5:$AT$64,MATCH($F804,사건마스터!$A$5:$A$64,0)),""))</f>
        <v/>
      </c>
      <c r="W804" s="35">
        <f>IF($F804="","",IFERROR(INDEX(사건마스터!$AU$5:$AU$64,MATCH($F804,사건마스터!$A$5:$A$64,0)),""))</f>
        <v/>
      </c>
      <c r="X804" s="35">
        <f>IF($F804="","",IFERROR(INDEX(사건마스터!$AV$5:$AV$64,MATCH($F804,사건마스터!$A$5:$A$64,0)),""))</f>
        <v/>
      </c>
      <c r="Y804" s="30">
        <f>IF($I804="","",COUNTIF($I804:$X804,"?*"))</f>
        <v/>
      </c>
      <c r="Z804" s="33">
        <f>IF($I804="","",_xlfn.TEXTJOIN(", ",TRUE,$I804:$X804))</f>
        <v/>
      </c>
      <c r="AA804" s="34">
        <f>IF($I804="","",IFERROR(INDEX(코드설정!$D$5:$D$24,MATCH($I804,코드설정!$C$5:$C$24,0)),""))</f>
        <v/>
      </c>
      <c r="AB804" s="36" t="n"/>
      <c r="AC804" s="37" t="n"/>
      <c r="AD804" s="38" t="n"/>
      <c r="AE804" s="30">
        <f>IF(OR($B804="",$C804=""),"",$C804-$B804+1)</f>
        <v/>
      </c>
      <c r="AF804" s="32" t="n"/>
      <c r="AG804" s="36" t="n"/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3">
        <f>IF($F805="","",IFERROR(INDEX(사건마스터!$B$5:$B$64,MATCH($F805,사건마스터!$A$5:$A$64,0)),""))</f>
        <v/>
      </c>
      <c r="H805" s="34">
        <f>IF($F805="","",IFERROR(INDEX(사건마스터!$C$5:$C$64,MATCH($F805,사건마스터!$A$5:$A$64,0)),""))</f>
        <v/>
      </c>
      <c r="I805" s="35">
        <f>IF($F805="","",IFERROR(INDEX(사건마스터!$H$5:$H$64,MATCH($F805,사건마스터!$A$5:$A$64,0)),""))</f>
        <v/>
      </c>
      <c r="J805" s="35">
        <f>IF($F805="","",IFERROR(INDEX(사건마스터!$AH$5:$AH$64,MATCH($F805,사건마스터!$A$5:$A$64,0)),""))</f>
        <v/>
      </c>
      <c r="K805" s="35">
        <f>IF($F805="","",IFERROR(INDEX(사건마스터!$AI$5:$AI$64,MATCH($F805,사건마스터!$A$5:$A$64,0)),""))</f>
        <v/>
      </c>
      <c r="L805" s="35">
        <f>IF($F805="","",IFERROR(INDEX(사건마스터!$AJ$5:$AJ$64,MATCH($F805,사건마스터!$A$5:$A$64,0)),""))</f>
        <v/>
      </c>
      <c r="M805" s="35">
        <f>IF($F805="","",IFERROR(INDEX(사건마스터!$AK$5:$AK$64,MATCH($F805,사건마스터!$A$5:$A$64,0)),""))</f>
        <v/>
      </c>
      <c r="N805" s="35">
        <f>IF($F805="","",IFERROR(INDEX(사건마스터!$AL$5:$AL$64,MATCH($F805,사건마스터!$A$5:$A$64,0)),""))</f>
        <v/>
      </c>
      <c r="O805" s="35">
        <f>IF($F805="","",IFERROR(INDEX(사건마스터!$AM$5:$AM$64,MATCH($F805,사건마스터!$A$5:$A$64,0)),""))</f>
        <v/>
      </c>
      <c r="P805" s="35">
        <f>IF($F805="","",IFERROR(INDEX(사건마스터!$AN$5:$AN$64,MATCH($F805,사건마스터!$A$5:$A$64,0)),""))</f>
        <v/>
      </c>
      <c r="Q805" s="35">
        <f>IF($F805="","",IFERROR(INDEX(사건마스터!$AO$5:$AO$64,MATCH($F805,사건마스터!$A$5:$A$64,0)),""))</f>
        <v/>
      </c>
      <c r="R805" s="35">
        <f>IF($F805="","",IFERROR(INDEX(사건마스터!$AP$5:$AP$64,MATCH($F805,사건마스터!$A$5:$A$64,0)),""))</f>
        <v/>
      </c>
      <c r="S805" s="35">
        <f>IF($F805="","",IFERROR(INDEX(사건마스터!$AQ$5:$AQ$64,MATCH($F805,사건마스터!$A$5:$A$64,0)),""))</f>
        <v/>
      </c>
      <c r="T805" s="35">
        <f>IF($F805="","",IFERROR(INDEX(사건마스터!$AR$5:$AR$64,MATCH($F805,사건마스터!$A$5:$A$64,0)),""))</f>
        <v/>
      </c>
      <c r="U805" s="35">
        <f>IF($F805="","",IFERROR(INDEX(사건마스터!$AS$5:$AS$64,MATCH($F805,사건마스터!$A$5:$A$64,0)),""))</f>
        <v/>
      </c>
      <c r="V805" s="35">
        <f>IF($F805="","",IFERROR(INDEX(사건마스터!$AT$5:$AT$64,MATCH($F805,사건마스터!$A$5:$A$64,0)),""))</f>
        <v/>
      </c>
      <c r="W805" s="35">
        <f>IF($F805="","",IFERROR(INDEX(사건마스터!$AU$5:$AU$64,MATCH($F805,사건마스터!$A$5:$A$64,0)),""))</f>
        <v/>
      </c>
      <c r="X805" s="35">
        <f>IF($F805="","",IFERROR(INDEX(사건마스터!$AV$5:$AV$64,MATCH($F805,사건마스터!$A$5:$A$64,0)),""))</f>
        <v/>
      </c>
      <c r="Y805" s="30">
        <f>IF($I805="","",COUNTIF($I805:$X805,"?*"))</f>
        <v/>
      </c>
      <c r="Z805" s="33">
        <f>IF($I805="","",_xlfn.TEXTJOIN(", ",TRUE,$I805:$X805))</f>
        <v/>
      </c>
      <c r="AA805" s="34">
        <f>IF($I805="","",IFERROR(INDEX(코드설정!$D$5:$D$24,MATCH($I805,코드설정!$C$5:$C$24,0)),""))</f>
        <v/>
      </c>
      <c r="AB805" s="36" t="n"/>
      <c r="AC805" s="37" t="n"/>
      <c r="AD805" s="38" t="n"/>
      <c r="AE805" s="30">
        <f>IF(OR($B805="",$C805=""),"",$C805-$B805+1)</f>
        <v/>
      </c>
      <c r="AF805" s="32" t="n"/>
      <c r="AG805" s="36" t="n"/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3">
        <f>IF($F806="","",IFERROR(INDEX(사건마스터!$B$5:$B$64,MATCH($F806,사건마스터!$A$5:$A$64,0)),""))</f>
        <v/>
      </c>
      <c r="H806" s="34">
        <f>IF($F806="","",IFERROR(INDEX(사건마스터!$C$5:$C$64,MATCH($F806,사건마스터!$A$5:$A$64,0)),""))</f>
        <v/>
      </c>
      <c r="I806" s="35">
        <f>IF($F806="","",IFERROR(INDEX(사건마스터!$H$5:$H$64,MATCH($F806,사건마스터!$A$5:$A$64,0)),""))</f>
        <v/>
      </c>
      <c r="J806" s="35">
        <f>IF($F806="","",IFERROR(INDEX(사건마스터!$AH$5:$AH$64,MATCH($F806,사건마스터!$A$5:$A$64,0)),""))</f>
        <v/>
      </c>
      <c r="K806" s="35">
        <f>IF($F806="","",IFERROR(INDEX(사건마스터!$AI$5:$AI$64,MATCH($F806,사건마스터!$A$5:$A$64,0)),""))</f>
        <v/>
      </c>
      <c r="L806" s="35">
        <f>IF($F806="","",IFERROR(INDEX(사건마스터!$AJ$5:$AJ$64,MATCH($F806,사건마스터!$A$5:$A$64,0)),""))</f>
        <v/>
      </c>
      <c r="M806" s="35">
        <f>IF($F806="","",IFERROR(INDEX(사건마스터!$AK$5:$AK$64,MATCH($F806,사건마스터!$A$5:$A$64,0)),""))</f>
        <v/>
      </c>
      <c r="N806" s="35">
        <f>IF($F806="","",IFERROR(INDEX(사건마스터!$AL$5:$AL$64,MATCH($F806,사건마스터!$A$5:$A$64,0)),""))</f>
        <v/>
      </c>
      <c r="O806" s="35">
        <f>IF($F806="","",IFERROR(INDEX(사건마스터!$AM$5:$AM$64,MATCH($F806,사건마스터!$A$5:$A$64,0)),""))</f>
        <v/>
      </c>
      <c r="P806" s="35">
        <f>IF($F806="","",IFERROR(INDEX(사건마스터!$AN$5:$AN$64,MATCH($F806,사건마스터!$A$5:$A$64,0)),""))</f>
        <v/>
      </c>
      <c r="Q806" s="35">
        <f>IF($F806="","",IFERROR(INDEX(사건마스터!$AO$5:$AO$64,MATCH($F806,사건마스터!$A$5:$A$64,0)),""))</f>
        <v/>
      </c>
      <c r="R806" s="35">
        <f>IF($F806="","",IFERROR(INDEX(사건마스터!$AP$5:$AP$64,MATCH($F806,사건마스터!$A$5:$A$64,0)),""))</f>
        <v/>
      </c>
      <c r="S806" s="35">
        <f>IF($F806="","",IFERROR(INDEX(사건마스터!$AQ$5:$AQ$64,MATCH($F806,사건마스터!$A$5:$A$64,0)),""))</f>
        <v/>
      </c>
      <c r="T806" s="35">
        <f>IF($F806="","",IFERROR(INDEX(사건마스터!$AR$5:$AR$64,MATCH($F806,사건마스터!$A$5:$A$64,0)),""))</f>
        <v/>
      </c>
      <c r="U806" s="35">
        <f>IF($F806="","",IFERROR(INDEX(사건마스터!$AS$5:$AS$64,MATCH($F806,사건마스터!$A$5:$A$64,0)),""))</f>
        <v/>
      </c>
      <c r="V806" s="35">
        <f>IF($F806="","",IFERROR(INDEX(사건마스터!$AT$5:$AT$64,MATCH($F806,사건마스터!$A$5:$A$64,0)),""))</f>
        <v/>
      </c>
      <c r="W806" s="35">
        <f>IF($F806="","",IFERROR(INDEX(사건마스터!$AU$5:$AU$64,MATCH($F806,사건마스터!$A$5:$A$64,0)),""))</f>
        <v/>
      </c>
      <c r="X806" s="35">
        <f>IF($F806="","",IFERROR(INDEX(사건마스터!$AV$5:$AV$64,MATCH($F806,사건마스터!$A$5:$A$64,0)),""))</f>
        <v/>
      </c>
      <c r="Y806" s="30">
        <f>IF($I806="","",COUNTIF($I806:$X806,"?*"))</f>
        <v/>
      </c>
      <c r="Z806" s="33">
        <f>IF($I806="","",_xlfn.TEXTJOIN(", ",TRUE,$I806:$X806))</f>
        <v/>
      </c>
      <c r="AA806" s="34">
        <f>IF($I806="","",IFERROR(INDEX(코드설정!$D$5:$D$24,MATCH($I806,코드설정!$C$5:$C$24,0)),""))</f>
        <v/>
      </c>
      <c r="AB806" s="36" t="n"/>
      <c r="AC806" s="37" t="n"/>
      <c r="AD806" s="38" t="n"/>
      <c r="AE806" s="30">
        <f>IF(OR($B806="",$C806=""),"",$C806-$B806+1)</f>
        <v/>
      </c>
      <c r="AF806" s="32" t="n"/>
      <c r="AG806" s="36" t="n"/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3">
        <f>IF($F807="","",IFERROR(INDEX(사건마스터!$B$5:$B$64,MATCH($F807,사건마스터!$A$5:$A$64,0)),""))</f>
        <v/>
      </c>
      <c r="H807" s="34">
        <f>IF($F807="","",IFERROR(INDEX(사건마스터!$C$5:$C$64,MATCH($F807,사건마스터!$A$5:$A$64,0)),""))</f>
        <v/>
      </c>
      <c r="I807" s="35">
        <f>IF($F807="","",IFERROR(INDEX(사건마스터!$H$5:$H$64,MATCH($F807,사건마스터!$A$5:$A$64,0)),""))</f>
        <v/>
      </c>
      <c r="J807" s="35">
        <f>IF($F807="","",IFERROR(INDEX(사건마스터!$AH$5:$AH$64,MATCH($F807,사건마스터!$A$5:$A$64,0)),""))</f>
        <v/>
      </c>
      <c r="K807" s="35">
        <f>IF($F807="","",IFERROR(INDEX(사건마스터!$AI$5:$AI$64,MATCH($F807,사건마스터!$A$5:$A$64,0)),""))</f>
        <v/>
      </c>
      <c r="L807" s="35">
        <f>IF($F807="","",IFERROR(INDEX(사건마스터!$AJ$5:$AJ$64,MATCH($F807,사건마스터!$A$5:$A$64,0)),""))</f>
        <v/>
      </c>
      <c r="M807" s="35">
        <f>IF($F807="","",IFERROR(INDEX(사건마스터!$AK$5:$AK$64,MATCH($F807,사건마스터!$A$5:$A$64,0)),""))</f>
        <v/>
      </c>
      <c r="N807" s="35">
        <f>IF($F807="","",IFERROR(INDEX(사건마스터!$AL$5:$AL$64,MATCH($F807,사건마스터!$A$5:$A$64,0)),""))</f>
        <v/>
      </c>
      <c r="O807" s="35">
        <f>IF($F807="","",IFERROR(INDEX(사건마스터!$AM$5:$AM$64,MATCH($F807,사건마스터!$A$5:$A$64,0)),""))</f>
        <v/>
      </c>
      <c r="P807" s="35">
        <f>IF($F807="","",IFERROR(INDEX(사건마스터!$AN$5:$AN$64,MATCH($F807,사건마스터!$A$5:$A$64,0)),""))</f>
        <v/>
      </c>
      <c r="Q807" s="35">
        <f>IF($F807="","",IFERROR(INDEX(사건마스터!$AO$5:$AO$64,MATCH($F807,사건마스터!$A$5:$A$64,0)),""))</f>
        <v/>
      </c>
      <c r="R807" s="35">
        <f>IF($F807="","",IFERROR(INDEX(사건마스터!$AP$5:$AP$64,MATCH($F807,사건마스터!$A$5:$A$64,0)),""))</f>
        <v/>
      </c>
      <c r="S807" s="35">
        <f>IF($F807="","",IFERROR(INDEX(사건마스터!$AQ$5:$AQ$64,MATCH($F807,사건마스터!$A$5:$A$64,0)),""))</f>
        <v/>
      </c>
      <c r="T807" s="35">
        <f>IF($F807="","",IFERROR(INDEX(사건마스터!$AR$5:$AR$64,MATCH($F807,사건마스터!$A$5:$A$64,0)),""))</f>
        <v/>
      </c>
      <c r="U807" s="35">
        <f>IF($F807="","",IFERROR(INDEX(사건마스터!$AS$5:$AS$64,MATCH($F807,사건마스터!$A$5:$A$64,0)),""))</f>
        <v/>
      </c>
      <c r="V807" s="35">
        <f>IF($F807="","",IFERROR(INDEX(사건마스터!$AT$5:$AT$64,MATCH($F807,사건마스터!$A$5:$A$64,0)),""))</f>
        <v/>
      </c>
      <c r="W807" s="35">
        <f>IF($F807="","",IFERROR(INDEX(사건마스터!$AU$5:$AU$64,MATCH($F807,사건마스터!$A$5:$A$64,0)),""))</f>
        <v/>
      </c>
      <c r="X807" s="35">
        <f>IF($F807="","",IFERROR(INDEX(사건마스터!$AV$5:$AV$64,MATCH($F807,사건마스터!$A$5:$A$64,0)),""))</f>
        <v/>
      </c>
      <c r="Y807" s="30">
        <f>IF($I807="","",COUNTIF($I807:$X807,"?*"))</f>
        <v/>
      </c>
      <c r="Z807" s="33">
        <f>IF($I807="","",_xlfn.TEXTJOIN(", ",TRUE,$I807:$X807))</f>
        <v/>
      </c>
      <c r="AA807" s="34">
        <f>IF($I807="","",IFERROR(INDEX(코드설정!$D$5:$D$24,MATCH($I807,코드설정!$C$5:$C$24,0)),""))</f>
        <v/>
      </c>
      <c r="AB807" s="36" t="n"/>
      <c r="AC807" s="37" t="n"/>
      <c r="AD807" s="38" t="n"/>
      <c r="AE807" s="30">
        <f>IF(OR($B807="",$C807=""),"",$C807-$B807+1)</f>
        <v/>
      </c>
      <c r="AF807" s="32" t="n"/>
      <c r="AG807" s="36" t="n"/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3">
        <f>IF($F808="","",IFERROR(INDEX(사건마스터!$B$5:$B$64,MATCH($F808,사건마스터!$A$5:$A$64,0)),""))</f>
        <v/>
      </c>
      <c r="H808" s="34">
        <f>IF($F808="","",IFERROR(INDEX(사건마스터!$C$5:$C$64,MATCH($F808,사건마스터!$A$5:$A$64,0)),""))</f>
        <v/>
      </c>
      <c r="I808" s="35">
        <f>IF($F808="","",IFERROR(INDEX(사건마스터!$H$5:$H$64,MATCH($F808,사건마스터!$A$5:$A$64,0)),""))</f>
        <v/>
      </c>
      <c r="J808" s="35">
        <f>IF($F808="","",IFERROR(INDEX(사건마스터!$AH$5:$AH$64,MATCH($F808,사건마스터!$A$5:$A$64,0)),""))</f>
        <v/>
      </c>
      <c r="K808" s="35">
        <f>IF($F808="","",IFERROR(INDEX(사건마스터!$AI$5:$AI$64,MATCH($F808,사건마스터!$A$5:$A$64,0)),""))</f>
        <v/>
      </c>
      <c r="L808" s="35">
        <f>IF($F808="","",IFERROR(INDEX(사건마스터!$AJ$5:$AJ$64,MATCH($F808,사건마스터!$A$5:$A$64,0)),""))</f>
        <v/>
      </c>
      <c r="M808" s="35">
        <f>IF($F808="","",IFERROR(INDEX(사건마스터!$AK$5:$AK$64,MATCH($F808,사건마스터!$A$5:$A$64,0)),""))</f>
        <v/>
      </c>
      <c r="N808" s="35">
        <f>IF($F808="","",IFERROR(INDEX(사건마스터!$AL$5:$AL$64,MATCH($F808,사건마스터!$A$5:$A$64,0)),""))</f>
        <v/>
      </c>
      <c r="O808" s="35">
        <f>IF($F808="","",IFERROR(INDEX(사건마스터!$AM$5:$AM$64,MATCH($F808,사건마스터!$A$5:$A$64,0)),""))</f>
        <v/>
      </c>
      <c r="P808" s="35">
        <f>IF($F808="","",IFERROR(INDEX(사건마스터!$AN$5:$AN$64,MATCH($F808,사건마스터!$A$5:$A$64,0)),""))</f>
        <v/>
      </c>
      <c r="Q808" s="35">
        <f>IF($F808="","",IFERROR(INDEX(사건마스터!$AO$5:$AO$64,MATCH($F808,사건마스터!$A$5:$A$64,0)),""))</f>
        <v/>
      </c>
      <c r="R808" s="35">
        <f>IF($F808="","",IFERROR(INDEX(사건마스터!$AP$5:$AP$64,MATCH($F808,사건마스터!$A$5:$A$64,0)),""))</f>
        <v/>
      </c>
      <c r="S808" s="35">
        <f>IF($F808="","",IFERROR(INDEX(사건마스터!$AQ$5:$AQ$64,MATCH($F808,사건마스터!$A$5:$A$64,0)),""))</f>
        <v/>
      </c>
      <c r="T808" s="35">
        <f>IF($F808="","",IFERROR(INDEX(사건마스터!$AR$5:$AR$64,MATCH($F808,사건마스터!$A$5:$A$64,0)),""))</f>
        <v/>
      </c>
      <c r="U808" s="35">
        <f>IF($F808="","",IFERROR(INDEX(사건마스터!$AS$5:$AS$64,MATCH($F808,사건마스터!$A$5:$A$64,0)),""))</f>
        <v/>
      </c>
      <c r="V808" s="35">
        <f>IF($F808="","",IFERROR(INDEX(사건마스터!$AT$5:$AT$64,MATCH($F808,사건마스터!$A$5:$A$64,0)),""))</f>
        <v/>
      </c>
      <c r="W808" s="35">
        <f>IF($F808="","",IFERROR(INDEX(사건마스터!$AU$5:$AU$64,MATCH($F808,사건마스터!$A$5:$A$64,0)),""))</f>
        <v/>
      </c>
      <c r="X808" s="35">
        <f>IF($F808="","",IFERROR(INDEX(사건마스터!$AV$5:$AV$64,MATCH($F808,사건마스터!$A$5:$A$64,0)),""))</f>
        <v/>
      </c>
      <c r="Y808" s="30">
        <f>IF($I808="","",COUNTIF($I808:$X808,"?*"))</f>
        <v/>
      </c>
      <c r="Z808" s="33">
        <f>IF($I808="","",_xlfn.TEXTJOIN(", ",TRUE,$I808:$X808))</f>
        <v/>
      </c>
      <c r="AA808" s="34">
        <f>IF($I808="","",IFERROR(INDEX(코드설정!$D$5:$D$24,MATCH($I808,코드설정!$C$5:$C$24,0)),""))</f>
        <v/>
      </c>
      <c r="AB808" s="36" t="n"/>
      <c r="AC808" s="37" t="n"/>
      <c r="AD808" s="38" t="n"/>
      <c r="AE808" s="30">
        <f>IF(OR($B808="",$C808=""),"",$C808-$B808+1)</f>
        <v/>
      </c>
      <c r="AF808" s="32" t="n"/>
      <c r="AG808" s="36" t="n"/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3">
        <f>IF($F809="","",IFERROR(INDEX(사건마스터!$B$5:$B$64,MATCH($F809,사건마스터!$A$5:$A$64,0)),""))</f>
        <v/>
      </c>
      <c r="H809" s="34">
        <f>IF($F809="","",IFERROR(INDEX(사건마스터!$C$5:$C$64,MATCH($F809,사건마스터!$A$5:$A$64,0)),""))</f>
        <v/>
      </c>
      <c r="I809" s="35">
        <f>IF($F809="","",IFERROR(INDEX(사건마스터!$H$5:$H$64,MATCH($F809,사건마스터!$A$5:$A$64,0)),""))</f>
        <v/>
      </c>
      <c r="J809" s="35">
        <f>IF($F809="","",IFERROR(INDEX(사건마스터!$AH$5:$AH$64,MATCH($F809,사건마스터!$A$5:$A$64,0)),""))</f>
        <v/>
      </c>
      <c r="K809" s="35">
        <f>IF($F809="","",IFERROR(INDEX(사건마스터!$AI$5:$AI$64,MATCH($F809,사건마스터!$A$5:$A$64,0)),""))</f>
        <v/>
      </c>
      <c r="L809" s="35">
        <f>IF($F809="","",IFERROR(INDEX(사건마스터!$AJ$5:$AJ$64,MATCH($F809,사건마스터!$A$5:$A$64,0)),""))</f>
        <v/>
      </c>
      <c r="M809" s="35">
        <f>IF($F809="","",IFERROR(INDEX(사건마스터!$AK$5:$AK$64,MATCH($F809,사건마스터!$A$5:$A$64,0)),""))</f>
        <v/>
      </c>
      <c r="N809" s="35">
        <f>IF($F809="","",IFERROR(INDEX(사건마스터!$AL$5:$AL$64,MATCH($F809,사건마스터!$A$5:$A$64,0)),""))</f>
        <v/>
      </c>
      <c r="O809" s="35">
        <f>IF($F809="","",IFERROR(INDEX(사건마스터!$AM$5:$AM$64,MATCH($F809,사건마스터!$A$5:$A$64,0)),""))</f>
        <v/>
      </c>
      <c r="P809" s="35">
        <f>IF($F809="","",IFERROR(INDEX(사건마스터!$AN$5:$AN$64,MATCH($F809,사건마스터!$A$5:$A$64,0)),""))</f>
        <v/>
      </c>
      <c r="Q809" s="35">
        <f>IF($F809="","",IFERROR(INDEX(사건마스터!$AO$5:$AO$64,MATCH($F809,사건마스터!$A$5:$A$64,0)),""))</f>
        <v/>
      </c>
      <c r="R809" s="35">
        <f>IF($F809="","",IFERROR(INDEX(사건마스터!$AP$5:$AP$64,MATCH($F809,사건마스터!$A$5:$A$64,0)),""))</f>
        <v/>
      </c>
      <c r="S809" s="35">
        <f>IF($F809="","",IFERROR(INDEX(사건마스터!$AQ$5:$AQ$64,MATCH($F809,사건마스터!$A$5:$A$64,0)),""))</f>
        <v/>
      </c>
      <c r="T809" s="35">
        <f>IF($F809="","",IFERROR(INDEX(사건마스터!$AR$5:$AR$64,MATCH($F809,사건마스터!$A$5:$A$64,0)),""))</f>
        <v/>
      </c>
      <c r="U809" s="35">
        <f>IF($F809="","",IFERROR(INDEX(사건마스터!$AS$5:$AS$64,MATCH($F809,사건마스터!$A$5:$A$64,0)),""))</f>
        <v/>
      </c>
      <c r="V809" s="35">
        <f>IF($F809="","",IFERROR(INDEX(사건마스터!$AT$5:$AT$64,MATCH($F809,사건마스터!$A$5:$A$64,0)),""))</f>
        <v/>
      </c>
      <c r="W809" s="35">
        <f>IF($F809="","",IFERROR(INDEX(사건마스터!$AU$5:$AU$64,MATCH($F809,사건마스터!$A$5:$A$64,0)),""))</f>
        <v/>
      </c>
      <c r="X809" s="35">
        <f>IF($F809="","",IFERROR(INDEX(사건마스터!$AV$5:$AV$64,MATCH($F809,사건마스터!$A$5:$A$64,0)),""))</f>
        <v/>
      </c>
      <c r="Y809" s="30">
        <f>IF($I809="","",COUNTIF($I809:$X809,"?*"))</f>
        <v/>
      </c>
      <c r="Z809" s="33">
        <f>IF($I809="","",_xlfn.TEXTJOIN(", ",TRUE,$I809:$X809))</f>
        <v/>
      </c>
      <c r="AA809" s="34">
        <f>IF($I809="","",IFERROR(INDEX(코드설정!$D$5:$D$24,MATCH($I809,코드설정!$C$5:$C$24,0)),""))</f>
        <v/>
      </c>
      <c r="AB809" s="36" t="n"/>
      <c r="AC809" s="37" t="n"/>
      <c r="AD809" s="38" t="n"/>
      <c r="AE809" s="30">
        <f>IF(OR($B809="",$C809=""),"",$C809-$B809+1)</f>
        <v/>
      </c>
      <c r="AF809" s="32" t="n"/>
      <c r="AG809" s="36" t="n"/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3">
        <f>IF($F810="","",IFERROR(INDEX(사건마스터!$B$5:$B$64,MATCH($F810,사건마스터!$A$5:$A$64,0)),""))</f>
        <v/>
      </c>
      <c r="H810" s="34">
        <f>IF($F810="","",IFERROR(INDEX(사건마스터!$C$5:$C$64,MATCH($F810,사건마스터!$A$5:$A$64,0)),""))</f>
        <v/>
      </c>
      <c r="I810" s="35">
        <f>IF($F810="","",IFERROR(INDEX(사건마스터!$H$5:$H$64,MATCH($F810,사건마스터!$A$5:$A$64,0)),""))</f>
        <v/>
      </c>
      <c r="J810" s="35">
        <f>IF($F810="","",IFERROR(INDEX(사건마스터!$AH$5:$AH$64,MATCH($F810,사건마스터!$A$5:$A$64,0)),""))</f>
        <v/>
      </c>
      <c r="K810" s="35">
        <f>IF($F810="","",IFERROR(INDEX(사건마스터!$AI$5:$AI$64,MATCH($F810,사건마스터!$A$5:$A$64,0)),""))</f>
        <v/>
      </c>
      <c r="L810" s="35">
        <f>IF($F810="","",IFERROR(INDEX(사건마스터!$AJ$5:$AJ$64,MATCH($F810,사건마스터!$A$5:$A$64,0)),""))</f>
        <v/>
      </c>
      <c r="M810" s="35">
        <f>IF($F810="","",IFERROR(INDEX(사건마스터!$AK$5:$AK$64,MATCH($F810,사건마스터!$A$5:$A$64,0)),""))</f>
        <v/>
      </c>
      <c r="N810" s="35">
        <f>IF($F810="","",IFERROR(INDEX(사건마스터!$AL$5:$AL$64,MATCH($F810,사건마스터!$A$5:$A$64,0)),""))</f>
        <v/>
      </c>
      <c r="O810" s="35">
        <f>IF($F810="","",IFERROR(INDEX(사건마스터!$AM$5:$AM$64,MATCH($F810,사건마스터!$A$5:$A$64,0)),""))</f>
        <v/>
      </c>
      <c r="P810" s="35">
        <f>IF($F810="","",IFERROR(INDEX(사건마스터!$AN$5:$AN$64,MATCH($F810,사건마스터!$A$5:$A$64,0)),""))</f>
        <v/>
      </c>
      <c r="Q810" s="35">
        <f>IF($F810="","",IFERROR(INDEX(사건마스터!$AO$5:$AO$64,MATCH($F810,사건마스터!$A$5:$A$64,0)),""))</f>
        <v/>
      </c>
      <c r="R810" s="35">
        <f>IF($F810="","",IFERROR(INDEX(사건마스터!$AP$5:$AP$64,MATCH($F810,사건마스터!$A$5:$A$64,0)),""))</f>
        <v/>
      </c>
      <c r="S810" s="35">
        <f>IF($F810="","",IFERROR(INDEX(사건마스터!$AQ$5:$AQ$64,MATCH($F810,사건마스터!$A$5:$A$64,0)),""))</f>
        <v/>
      </c>
      <c r="T810" s="35">
        <f>IF($F810="","",IFERROR(INDEX(사건마스터!$AR$5:$AR$64,MATCH($F810,사건마스터!$A$5:$A$64,0)),""))</f>
        <v/>
      </c>
      <c r="U810" s="35">
        <f>IF($F810="","",IFERROR(INDEX(사건마스터!$AS$5:$AS$64,MATCH($F810,사건마스터!$A$5:$A$64,0)),""))</f>
        <v/>
      </c>
      <c r="V810" s="35">
        <f>IF($F810="","",IFERROR(INDEX(사건마스터!$AT$5:$AT$64,MATCH($F810,사건마스터!$A$5:$A$64,0)),""))</f>
        <v/>
      </c>
      <c r="W810" s="35">
        <f>IF($F810="","",IFERROR(INDEX(사건마스터!$AU$5:$AU$64,MATCH($F810,사건마스터!$A$5:$A$64,0)),""))</f>
        <v/>
      </c>
      <c r="X810" s="35">
        <f>IF($F810="","",IFERROR(INDEX(사건마스터!$AV$5:$AV$64,MATCH($F810,사건마스터!$A$5:$A$64,0)),""))</f>
        <v/>
      </c>
      <c r="Y810" s="30">
        <f>IF($I810="","",COUNTIF($I810:$X810,"?*"))</f>
        <v/>
      </c>
      <c r="Z810" s="33">
        <f>IF($I810="","",_xlfn.TEXTJOIN(", ",TRUE,$I810:$X810))</f>
        <v/>
      </c>
      <c r="AA810" s="34">
        <f>IF($I810="","",IFERROR(INDEX(코드설정!$D$5:$D$24,MATCH($I810,코드설정!$C$5:$C$24,0)),""))</f>
        <v/>
      </c>
      <c r="AB810" s="36" t="n"/>
      <c r="AC810" s="37" t="n"/>
      <c r="AD810" s="38" t="n"/>
      <c r="AE810" s="30">
        <f>IF(OR($B810="",$C810=""),"",$C810-$B810+1)</f>
        <v/>
      </c>
      <c r="AF810" s="32" t="n"/>
      <c r="AG810" s="36" t="n"/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3">
        <f>IF($F811="","",IFERROR(INDEX(사건마스터!$B$5:$B$64,MATCH($F811,사건마스터!$A$5:$A$64,0)),""))</f>
        <v/>
      </c>
      <c r="H811" s="34">
        <f>IF($F811="","",IFERROR(INDEX(사건마스터!$C$5:$C$64,MATCH($F811,사건마스터!$A$5:$A$64,0)),""))</f>
        <v/>
      </c>
      <c r="I811" s="35">
        <f>IF($F811="","",IFERROR(INDEX(사건마스터!$H$5:$H$64,MATCH($F811,사건마스터!$A$5:$A$64,0)),""))</f>
        <v/>
      </c>
      <c r="J811" s="35">
        <f>IF($F811="","",IFERROR(INDEX(사건마스터!$AH$5:$AH$64,MATCH($F811,사건마스터!$A$5:$A$64,0)),""))</f>
        <v/>
      </c>
      <c r="K811" s="35">
        <f>IF($F811="","",IFERROR(INDEX(사건마스터!$AI$5:$AI$64,MATCH($F811,사건마스터!$A$5:$A$64,0)),""))</f>
        <v/>
      </c>
      <c r="L811" s="35">
        <f>IF($F811="","",IFERROR(INDEX(사건마스터!$AJ$5:$AJ$64,MATCH($F811,사건마스터!$A$5:$A$64,0)),""))</f>
        <v/>
      </c>
      <c r="M811" s="35">
        <f>IF($F811="","",IFERROR(INDEX(사건마스터!$AK$5:$AK$64,MATCH($F811,사건마스터!$A$5:$A$64,0)),""))</f>
        <v/>
      </c>
      <c r="N811" s="35">
        <f>IF($F811="","",IFERROR(INDEX(사건마스터!$AL$5:$AL$64,MATCH($F811,사건마스터!$A$5:$A$64,0)),""))</f>
        <v/>
      </c>
      <c r="O811" s="35">
        <f>IF($F811="","",IFERROR(INDEX(사건마스터!$AM$5:$AM$64,MATCH($F811,사건마스터!$A$5:$A$64,0)),""))</f>
        <v/>
      </c>
      <c r="P811" s="35">
        <f>IF($F811="","",IFERROR(INDEX(사건마스터!$AN$5:$AN$64,MATCH($F811,사건마스터!$A$5:$A$64,0)),""))</f>
        <v/>
      </c>
      <c r="Q811" s="35">
        <f>IF($F811="","",IFERROR(INDEX(사건마스터!$AO$5:$AO$64,MATCH($F811,사건마스터!$A$5:$A$64,0)),""))</f>
        <v/>
      </c>
      <c r="R811" s="35">
        <f>IF($F811="","",IFERROR(INDEX(사건마스터!$AP$5:$AP$64,MATCH($F811,사건마스터!$A$5:$A$64,0)),""))</f>
        <v/>
      </c>
      <c r="S811" s="35">
        <f>IF($F811="","",IFERROR(INDEX(사건마스터!$AQ$5:$AQ$64,MATCH($F811,사건마스터!$A$5:$A$64,0)),""))</f>
        <v/>
      </c>
      <c r="T811" s="35">
        <f>IF($F811="","",IFERROR(INDEX(사건마스터!$AR$5:$AR$64,MATCH($F811,사건마스터!$A$5:$A$64,0)),""))</f>
        <v/>
      </c>
      <c r="U811" s="35">
        <f>IF($F811="","",IFERROR(INDEX(사건마스터!$AS$5:$AS$64,MATCH($F811,사건마스터!$A$5:$A$64,0)),""))</f>
        <v/>
      </c>
      <c r="V811" s="35">
        <f>IF($F811="","",IFERROR(INDEX(사건마스터!$AT$5:$AT$64,MATCH($F811,사건마스터!$A$5:$A$64,0)),""))</f>
        <v/>
      </c>
      <c r="W811" s="35">
        <f>IF($F811="","",IFERROR(INDEX(사건마스터!$AU$5:$AU$64,MATCH($F811,사건마스터!$A$5:$A$64,0)),""))</f>
        <v/>
      </c>
      <c r="X811" s="35">
        <f>IF($F811="","",IFERROR(INDEX(사건마스터!$AV$5:$AV$64,MATCH($F811,사건마스터!$A$5:$A$64,0)),""))</f>
        <v/>
      </c>
      <c r="Y811" s="30">
        <f>IF($I811="","",COUNTIF($I811:$X811,"?*"))</f>
        <v/>
      </c>
      <c r="Z811" s="33">
        <f>IF($I811="","",_xlfn.TEXTJOIN(", ",TRUE,$I811:$X811))</f>
        <v/>
      </c>
      <c r="AA811" s="34">
        <f>IF($I811="","",IFERROR(INDEX(코드설정!$D$5:$D$24,MATCH($I811,코드설정!$C$5:$C$24,0)),""))</f>
        <v/>
      </c>
      <c r="AB811" s="36" t="n"/>
      <c r="AC811" s="37" t="n"/>
      <c r="AD811" s="38" t="n"/>
      <c r="AE811" s="30">
        <f>IF(OR($B811="",$C811=""),"",$C811-$B811+1)</f>
        <v/>
      </c>
      <c r="AF811" s="32" t="n"/>
      <c r="AG811" s="36" t="n"/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3">
        <f>IF($F812="","",IFERROR(INDEX(사건마스터!$B$5:$B$64,MATCH($F812,사건마스터!$A$5:$A$64,0)),""))</f>
        <v/>
      </c>
      <c r="H812" s="34">
        <f>IF($F812="","",IFERROR(INDEX(사건마스터!$C$5:$C$64,MATCH($F812,사건마스터!$A$5:$A$64,0)),""))</f>
        <v/>
      </c>
      <c r="I812" s="35">
        <f>IF($F812="","",IFERROR(INDEX(사건마스터!$H$5:$H$64,MATCH($F812,사건마스터!$A$5:$A$64,0)),""))</f>
        <v/>
      </c>
      <c r="J812" s="35">
        <f>IF($F812="","",IFERROR(INDEX(사건마스터!$AH$5:$AH$64,MATCH($F812,사건마스터!$A$5:$A$64,0)),""))</f>
        <v/>
      </c>
      <c r="K812" s="35">
        <f>IF($F812="","",IFERROR(INDEX(사건마스터!$AI$5:$AI$64,MATCH($F812,사건마스터!$A$5:$A$64,0)),""))</f>
        <v/>
      </c>
      <c r="L812" s="35">
        <f>IF($F812="","",IFERROR(INDEX(사건마스터!$AJ$5:$AJ$64,MATCH($F812,사건마스터!$A$5:$A$64,0)),""))</f>
        <v/>
      </c>
      <c r="M812" s="35">
        <f>IF($F812="","",IFERROR(INDEX(사건마스터!$AK$5:$AK$64,MATCH($F812,사건마스터!$A$5:$A$64,0)),""))</f>
        <v/>
      </c>
      <c r="N812" s="35">
        <f>IF($F812="","",IFERROR(INDEX(사건마스터!$AL$5:$AL$64,MATCH($F812,사건마스터!$A$5:$A$64,0)),""))</f>
        <v/>
      </c>
      <c r="O812" s="35">
        <f>IF($F812="","",IFERROR(INDEX(사건마스터!$AM$5:$AM$64,MATCH($F812,사건마스터!$A$5:$A$64,0)),""))</f>
        <v/>
      </c>
      <c r="P812" s="35">
        <f>IF($F812="","",IFERROR(INDEX(사건마스터!$AN$5:$AN$64,MATCH($F812,사건마스터!$A$5:$A$64,0)),""))</f>
        <v/>
      </c>
      <c r="Q812" s="35">
        <f>IF($F812="","",IFERROR(INDEX(사건마스터!$AO$5:$AO$64,MATCH($F812,사건마스터!$A$5:$A$64,0)),""))</f>
        <v/>
      </c>
      <c r="R812" s="35">
        <f>IF($F812="","",IFERROR(INDEX(사건마스터!$AP$5:$AP$64,MATCH($F812,사건마스터!$A$5:$A$64,0)),""))</f>
        <v/>
      </c>
      <c r="S812" s="35">
        <f>IF($F812="","",IFERROR(INDEX(사건마스터!$AQ$5:$AQ$64,MATCH($F812,사건마스터!$A$5:$A$64,0)),""))</f>
        <v/>
      </c>
      <c r="T812" s="35">
        <f>IF($F812="","",IFERROR(INDEX(사건마스터!$AR$5:$AR$64,MATCH($F812,사건마스터!$A$5:$A$64,0)),""))</f>
        <v/>
      </c>
      <c r="U812" s="35">
        <f>IF($F812="","",IFERROR(INDEX(사건마스터!$AS$5:$AS$64,MATCH($F812,사건마스터!$A$5:$A$64,0)),""))</f>
        <v/>
      </c>
      <c r="V812" s="35">
        <f>IF($F812="","",IFERROR(INDEX(사건마스터!$AT$5:$AT$64,MATCH($F812,사건마스터!$A$5:$A$64,0)),""))</f>
        <v/>
      </c>
      <c r="W812" s="35">
        <f>IF($F812="","",IFERROR(INDEX(사건마스터!$AU$5:$AU$64,MATCH($F812,사건마스터!$A$5:$A$64,0)),""))</f>
        <v/>
      </c>
      <c r="X812" s="35">
        <f>IF($F812="","",IFERROR(INDEX(사건마스터!$AV$5:$AV$64,MATCH($F812,사건마스터!$A$5:$A$64,0)),""))</f>
        <v/>
      </c>
      <c r="Y812" s="30">
        <f>IF($I812="","",COUNTIF($I812:$X812,"?*"))</f>
        <v/>
      </c>
      <c r="Z812" s="33">
        <f>IF($I812="","",_xlfn.TEXTJOIN(", ",TRUE,$I812:$X812))</f>
        <v/>
      </c>
      <c r="AA812" s="34">
        <f>IF($I812="","",IFERROR(INDEX(코드설정!$D$5:$D$24,MATCH($I812,코드설정!$C$5:$C$24,0)),""))</f>
        <v/>
      </c>
      <c r="AB812" s="36" t="n"/>
      <c r="AC812" s="37" t="n"/>
      <c r="AD812" s="38" t="n"/>
      <c r="AE812" s="30">
        <f>IF(OR($B812="",$C812=""),"",$C812-$B812+1)</f>
        <v/>
      </c>
      <c r="AF812" s="32" t="n"/>
      <c r="AG812" s="36" t="n"/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3">
        <f>IF($F813="","",IFERROR(INDEX(사건마스터!$B$5:$B$64,MATCH($F813,사건마스터!$A$5:$A$64,0)),""))</f>
        <v/>
      </c>
      <c r="H813" s="34">
        <f>IF($F813="","",IFERROR(INDEX(사건마스터!$C$5:$C$64,MATCH($F813,사건마스터!$A$5:$A$64,0)),""))</f>
        <v/>
      </c>
      <c r="I813" s="35">
        <f>IF($F813="","",IFERROR(INDEX(사건마스터!$H$5:$H$64,MATCH($F813,사건마스터!$A$5:$A$64,0)),""))</f>
        <v/>
      </c>
      <c r="J813" s="35">
        <f>IF($F813="","",IFERROR(INDEX(사건마스터!$AH$5:$AH$64,MATCH($F813,사건마스터!$A$5:$A$64,0)),""))</f>
        <v/>
      </c>
      <c r="K813" s="35">
        <f>IF($F813="","",IFERROR(INDEX(사건마스터!$AI$5:$AI$64,MATCH($F813,사건마스터!$A$5:$A$64,0)),""))</f>
        <v/>
      </c>
      <c r="L813" s="35">
        <f>IF($F813="","",IFERROR(INDEX(사건마스터!$AJ$5:$AJ$64,MATCH($F813,사건마스터!$A$5:$A$64,0)),""))</f>
        <v/>
      </c>
      <c r="M813" s="35">
        <f>IF($F813="","",IFERROR(INDEX(사건마스터!$AK$5:$AK$64,MATCH($F813,사건마스터!$A$5:$A$64,0)),""))</f>
        <v/>
      </c>
      <c r="N813" s="35">
        <f>IF($F813="","",IFERROR(INDEX(사건마스터!$AL$5:$AL$64,MATCH($F813,사건마스터!$A$5:$A$64,0)),""))</f>
        <v/>
      </c>
      <c r="O813" s="35">
        <f>IF($F813="","",IFERROR(INDEX(사건마스터!$AM$5:$AM$64,MATCH($F813,사건마스터!$A$5:$A$64,0)),""))</f>
        <v/>
      </c>
      <c r="P813" s="35">
        <f>IF($F813="","",IFERROR(INDEX(사건마스터!$AN$5:$AN$64,MATCH($F813,사건마스터!$A$5:$A$64,0)),""))</f>
        <v/>
      </c>
      <c r="Q813" s="35">
        <f>IF($F813="","",IFERROR(INDEX(사건마스터!$AO$5:$AO$64,MATCH($F813,사건마스터!$A$5:$A$64,0)),""))</f>
        <v/>
      </c>
      <c r="R813" s="35">
        <f>IF($F813="","",IFERROR(INDEX(사건마스터!$AP$5:$AP$64,MATCH($F813,사건마스터!$A$5:$A$64,0)),""))</f>
        <v/>
      </c>
      <c r="S813" s="35">
        <f>IF($F813="","",IFERROR(INDEX(사건마스터!$AQ$5:$AQ$64,MATCH($F813,사건마스터!$A$5:$A$64,0)),""))</f>
        <v/>
      </c>
      <c r="T813" s="35">
        <f>IF($F813="","",IFERROR(INDEX(사건마스터!$AR$5:$AR$64,MATCH($F813,사건마스터!$A$5:$A$64,0)),""))</f>
        <v/>
      </c>
      <c r="U813" s="35">
        <f>IF($F813="","",IFERROR(INDEX(사건마스터!$AS$5:$AS$64,MATCH($F813,사건마스터!$A$5:$A$64,0)),""))</f>
        <v/>
      </c>
      <c r="V813" s="35">
        <f>IF($F813="","",IFERROR(INDEX(사건마스터!$AT$5:$AT$64,MATCH($F813,사건마스터!$A$5:$A$64,0)),""))</f>
        <v/>
      </c>
      <c r="W813" s="35">
        <f>IF($F813="","",IFERROR(INDEX(사건마스터!$AU$5:$AU$64,MATCH($F813,사건마스터!$A$5:$A$64,0)),""))</f>
        <v/>
      </c>
      <c r="X813" s="35">
        <f>IF($F813="","",IFERROR(INDEX(사건마스터!$AV$5:$AV$64,MATCH($F813,사건마스터!$A$5:$A$64,0)),""))</f>
        <v/>
      </c>
      <c r="Y813" s="30">
        <f>IF($I813="","",COUNTIF($I813:$X813,"?*"))</f>
        <v/>
      </c>
      <c r="Z813" s="33">
        <f>IF($I813="","",_xlfn.TEXTJOIN(", ",TRUE,$I813:$X813))</f>
        <v/>
      </c>
      <c r="AA813" s="34">
        <f>IF($I813="","",IFERROR(INDEX(코드설정!$D$5:$D$24,MATCH($I813,코드설정!$C$5:$C$24,0)),""))</f>
        <v/>
      </c>
      <c r="AB813" s="36" t="n"/>
      <c r="AC813" s="37" t="n"/>
      <c r="AD813" s="38" t="n"/>
      <c r="AE813" s="30">
        <f>IF(OR($B813="",$C813=""),"",$C813-$B813+1)</f>
        <v/>
      </c>
      <c r="AF813" s="32" t="n"/>
      <c r="AG813" s="36" t="n"/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3">
        <f>IF($F814="","",IFERROR(INDEX(사건마스터!$B$5:$B$64,MATCH($F814,사건마스터!$A$5:$A$64,0)),""))</f>
        <v/>
      </c>
      <c r="H814" s="34">
        <f>IF($F814="","",IFERROR(INDEX(사건마스터!$C$5:$C$64,MATCH($F814,사건마스터!$A$5:$A$64,0)),""))</f>
        <v/>
      </c>
      <c r="I814" s="35">
        <f>IF($F814="","",IFERROR(INDEX(사건마스터!$H$5:$H$64,MATCH($F814,사건마스터!$A$5:$A$64,0)),""))</f>
        <v/>
      </c>
      <c r="J814" s="35">
        <f>IF($F814="","",IFERROR(INDEX(사건마스터!$AH$5:$AH$64,MATCH($F814,사건마스터!$A$5:$A$64,0)),""))</f>
        <v/>
      </c>
      <c r="K814" s="35">
        <f>IF($F814="","",IFERROR(INDEX(사건마스터!$AI$5:$AI$64,MATCH($F814,사건마스터!$A$5:$A$64,0)),""))</f>
        <v/>
      </c>
      <c r="L814" s="35">
        <f>IF($F814="","",IFERROR(INDEX(사건마스터!$AJ$5:$AJ$64,MATCH($F814,사건마스터!$A$5:$A$64,0)),""))</f>
        <v/>
      </c>
      <c r="M814" s="35">
        <f>IF($F814="","",IFERROR(INDEX(사건마스터!$AK$5:$AK$64,MATCH($F814,사건마스터!$A$5:$A$64,0)),""))</f>
        <v/>
      </c>
      <c r="N814" s="35">
        <f>IF($F814="","",IFERROR(INDEX(사건마스터!$AL$5:$AL$64,MATCH($F814,사건마스터!$A$5:$A$64,0)),""))</f>
        <v/>
      </c>
      <c r="O814" s="35">
        <f>IF($F814="","",IFERROR(INDEX(사건마스터!$AM$5:$AM$64,MATCH($F814,사건마스터!$A$5:$A$64,0)),""))</f>
        <v/>
      </c>
      <c r="P814" s="35">
        <f>IF($F814="","",IFERROR(INDEX(사건마스터!$AN$5:$AN$64,MATCH($F814,사건마스터!$A$5:$A$64,0)),""))</f>
        <v/>
      </c>
      <c r="Q814" s="35">
        <f>IF($F814="","",IFERROR(INDEX(사건마스터!$AO$5:$AO$64,MATCH($F814,사건마스터!$A$5:$A$64,0)),""))</f>
        <v/>
      </c>
      <c r="R814" s="35">
        <f>IF($F814="","",IFERROR(INDEX(사건마스터!$AP$5:$AP$64,MATCH($F814,사건마스터!$A$5:$A$64,0)),""))</f>
        <v/>
      </c>
      <c r="S814" s="35">
        <f>IF($F814="","",IFERROR(INDEX(사건마스터!$AQ$5:$AQ$64,MATCH($F814,사건마스터!$A$5:$A$64,0)),""))</f>
        <v/>
      </c>
      <c r="T814" s="35">
        <f>IF($F814="","",IFERROR(INDEX(사건마스터!$AR$5:$AR$64,MATCH($F814,사건마스터!$A$5:$A$64,0)),""))</f>
        <v/>
      </c>
      <c r="U814" s="35">
        <f>IF($F814="","",IFERROR(INDEX(사건마스터!$AS$5:$AS$64,MATCH($F814,사건마스터!$A$5:$A$64,0)),""))</f>
        <v/>
      </c>
      <c r="V814" s="35">
        <f>IF($F814="","",IFERROR(INDEX(사건마스터!$AT$5:$AT$64,MATCH($F814,사건마스터!$A$5:$A$64,0)),""))</f>
        <v/>
      </c>
      <c r="W814" s="35">
        <f>IF($F814="","",IFERROR(INDEX(사건마스터!$AU$5:$AU$64,MATCH($F814,사건마스터!$A$5:$A$64,0)),""))</f>
        <v/>
      </c>
      <c r="X814" s="35">
        <f>IF($F814="","",IFERROR(INDEX(사건마스터!$AV$5:$AV$64,MATCH($F814,사건마스터!$A$5:$A$64,0)),""))</f>
        <v/>
      </c>
      <c r="Y814" s="30">
        <f>IF($I814="","",COUNTIF($I814:$X814,"?*"))</f>
        <v/>
      </c>
      <c r="Z814" s="33">
        <f>IF($I814="","",_xlfn.TEXTJOIN(", ",TRUE,$I814:$X814))</f>
        <v/>
      </c>
      <c r="AA814" s="34">
        <f>IF($I814="","",IFERROR(INDEX(코드설정!$D$5:$D$24,MATCH($I814,코드설정!$C$5:$C$24,0)),""))</f>
        <v/>
      </c>
      <c r="AB814" s="36" t="n"/>
      <c r="AC814" s="37" t="n"/>
      <c r="AD814" s="38" t="n"/>
      <c r="AE814" s="30">
        <f>IF(OR($B814="",$C814=""),"",$C814-$B814+1)</f>
        <v/>
      </c>
      <c r="AF814" s="32" t="n"/>
      <c r="AG814" s="36" t="n"/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3">
        <f>IF($F815="","",IFERROR(INDEX(사건마스터!$B$5:$B$64,MATCH($F815,사건마스터!$A$5:$A$64,0)),""))</f>
        <v/>
      </c>
      <c r="H815" s="34">
        <f>IF($F815="","",IFERROR(INDEX(사건마스터!$C$5:$C$64,MATCH($F815,사건마스터!$A$5:$A$64,0)),""))</f>
        <v/>
      </c>
      <c r="I815" s="35">
        <f>IF($F815="","",IFERROR(INDEX(사건마스터!$H$5:$H$64,MATCH($F815,사건마스터!$A$5:$A$64,0)),""))</f>
        <v/>
      </c>
      <c r="J815" s="35">
        <f>IF($F815="","",IFERROR(INDEX(사건마스터!$AH$5:$AH$64,MATCH($F815,사건마스터!$A$5:$A$64,0)),""))</f>
        <v/>
      </c>
      <c r="K815" s="35">
        <f>IF($F815="","",IFERROR(INDEX(사건마스터!$AI$5:$AI$64,MATCH($F815,사건마스터!$A$5:$A$64,0)),""))</f>
        <v/>
      </c>
      <c r="L815" s="35">
        <f>IF($F815="","",IFERROR(INDEX(사건마스터!$AJ$5:$AJ$64,MATCH($F815,사건마스터!$A$5:$A$64,0)),""))</f>
        <v/>
      </c>
      <c r="M815" s="35">
        <f>IF($F815="","",IFERROR(INDEX(사건마스터!$AK$5:$AK$64,MATCH($F815,사건마스터!$A$5:$A$64,0)),""))</f>
        <v/>
      </c>
      <c r="N815" s="35">
        <f>IF($F815="","",IFERROR(INDEX(사건마스터!$AL$5:$AL$64,MATCH($F815,사건마스터!$A$5:$A$64,0)),""))</f>
        <v/>
      </c>
      <c r="O815" s="35">
        <f>IF($F815="","",IFERROR(INDEX(사건마스터!$AM$5:$AM$64,MATCH($F815,사건마스터!$A$5:$A$64,0)),""))</f>
        <v/>
      </c>
      <c r="P815" s="35">
        <f>IF($F815="","",IFERROR(INDEX(사건마스터!$AN$5:$AN$64,MATCH($F815,사건마스터!$A$5:$A$64,0)),""))</f>
        <v/>
      </c>
      <c r="Q815" s="35">
        <f>IF($F815="","",IFERROR(INDEX(사건마스터!$AO$5:$AO$64,MATCH($F815,사건마스터!$A$5:$A$64,0)),""))</f>
        <v/>
      </c>
      <c r="R815" s="35">
        <f>IF($F815="","",IFERROR(INDEX(사건마스터!$AP$5:$AP$64,MATCH($F815,사건마스터!$A$5:$A$64,0)),""))</f>
        <v/>
      </c>
      <c r="S815" s="35">
        <f>IF($F815="","",IFERROR(INDEX(사건마스터!$AQ$5:$AQ$64,MATCH($F815,사건마스터!$A$5:$A$64,0)),""))</f>
        <v/>
      </c>
      <c r="T815" s="35">
        <f>IF($F815="","",IFERROR(INDEX(사건마스터!$AR$5:$AR$64,MATCH($F815,사건마스터!$A$5:$A$64,0)),""))</f>
        <v/>
      </c>
      <c r="U815" s="35">
        <f>IF($F815="","",IFERROR(INDEX(사건마스터!$AS$5:$AS$64,MATCH($F815,사건마스터!$A$5:$A$64,0)),""))</f>
        <v/>
      </c>
      <c r="V815" s="35">
        <f>IF($F815="","",IFERROR(INDEX(사건마스터!$AT$5:$AT$64,MATCH($F815,사건마스터!$A$5:$A$64,0)),""))</f>
        <v/>
      </c>
      <c r="W815" s="35">
        <f>IF($F815="","",IFERROR(INDEX(사건마스터!$AU$5:$AU$64,MATCH($F815,사건마스터!$A$5:$A$64,0)),""))</f>
        <v/>
      </c>
      <c r="X815" s="35">
        <f>IF($F815="","",IFERROR(INDEX(사건마스터!$AV$5:$AV$64,MATCH($F815,사건마스터!$A$5:$A$64,0)),""))</f>
        <v/>
      </c>
      <c r="Y815" s="30">
        <f>IF($I815="","",COUNTIF($I815:$X815,"?*"))</f>
        <v/>
      </c>
      <c r="Z815" s="33">
        <f>IF($I815="","",_xlfn.TEXTJOIN(", ",TRUE,$I815:$X815))</f>
        <v/>
      </c>
      <c r="AA815" s="34">
        <f>IF($I815="","",IFERROR(INDEX(코드설정!$D$5:$D$24,MATCH($I815,코드설정!$C$5:$C$24,0)),""))</f>
        <v/>
      </c>
      <c r="AB815" s="36" t="n"/>
      <c r="AC815" s="37" t="n"/>
      <c r="AD815" s="38" t="n"/>
      <c r="AE815" s="30">
        <f>IF(OR($B815="",$C815=""),"",$C815-$B815+1)</f>
        <v/>
      </c>
      <c r="AF815" s="32" t="n"/>
      <c r="AG815" s="36" t="n"/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3">
        <f>IF($F816="","",IFERROR(INDEX(사건마스터!$B$5:$B$64,MATCH($F816,사건마스터!$A$5:$A$64,0)),""))</f>
        <v/>
      </c>
      <c r="H816" s="34">
        <f>IF($F816="","",IFERROR(INDEX(사건마스터!$C$5:$C$64,MATCH($F816,사건마스터!$A$5:$A$64,0)),""))</f>
        <v/>
      </c>
      <c r="I816" s="35">
        <f>IF($F816="","",IFERROR(INDEX(사건마스터!$H$5:$H$64,MATCH($F816,사건마스터!$A$5:$A$64,0)),""))</f>
        <v/>
      </c>
      <c r="J816" s="35">
        <f>IF($F816="","",IFERROR(INDEX(사건마스터!$AH$5:$AH$64,MATCH($F816,사건마스터!$A$5:$A$64,0)),""))</f>
        <v/>
      </c>
      <c r="K816" s="35">
        <f>IF($F816="","",IFERROR(INDEX(사건마스터!$AI$5:$AI$64,MATCH($F816,사건마스터!$A$5:$A$64,0)),""))</f>
        <v/>
      </c>
      <c r="L816" s="35">
        <f>IF($F816="","",IFERROR(INDEX(사건마스터!$AJ$5:$AJ$64,MATCH($F816,사건마스터!$A$5:$A$64,0)),""))</f>
        <v/>
      </c>
      <c r="M816" s="35">
        <f>IF($F816="","",IFERROR(INDEX(사건마스터!$AK$5:$AK$64,MATCH($F816,사건마스터!$A$5:$A$64,0)),""))</f>
        <v/>
      </c>
      <c r="N816" s="35">
        <f>IF($F816="","",IFERROR(INDEX(사건마스터!$AL$5:$AL$64,MATCH($F816,사건마스터!$A$5:$A$64,0)),""))</f>
        <v/>
      </c>
      <c r="O816" s="35">
        <f>IF($F816="","",IFERROR(INDEX(사건마스터!$AM$5:$AM$64,MATCH($F816,사건마스터!$A$5:$A$64,0)),""))</f>
        <v/>
      </c>
      <c r="P816" s="35">
        <f>IF($F816="","",IFERROR(INDEX(사건마스터!$AN$5:$AN$64,MATCH($F816,사건마스터!$A$5:$A$64,0)),""))</f>
        <v/>
      </c>
      <c r="Q816" s="35">
        <f>IF($F816="","",IFERROR(INDEX(사건마스터!$AO$5:$AO$64,MATCH($F816,사건마스터!$A$5:$A$64,0)),""))</f>
        <v/>
      </c>
      <c r="R816" s="35">
        <f>IF($F816="","",IFERROR(INDEX(사건마스터!$AP$5:$AP$64,MATCH($F816,사건마스터!$A$5:$A$64,0)),""))</f>
        <v/>
      </c>
      <c r="S816" s="35">
        <f>IF($F816="","",IFERROR(INDEX(사건마스터!$AQ$5:$AQ$64,MATCH($F816,사건마스터!$A$5:$A$64,0)),""))</f>
        <v/>
      </c>
      <c r="T816" s="35">
        <f>IF($F816="","",IFERROR(INDEX(사건마스터!$AR$5:$AR$64,MATCH($F816,사건마스터!$A$5:$A$64,0)),""))</f>
        <v/>
      </c>
      <c r="U816" s="35">
        <f>IF($F816="","",IFERROR(INDEX(사건마스터!$AS$5:$AS$64,MATCH($F816,사건마스터!$A$5:$A$64,0)),""))</f>
        <v/>
      </c>
      <c r="V816" s="35">
        <f>IF($F816="","",IFERROR(INDEX(사건마스터!$AT$5:$AT$64,MATCH($F816,사건마스터!$A$5:$A$64,0)),""))</f>
        <v/>
      </c>
      <c r="W816" s="35">
        <f>IF($F816="","",IFERROR(INDEX(사건마스터!$AU$5:$AU$64,MATCH($F816,사건마스터!$A$5:$A$64,0)),""))</f>
        <v/>
      </c>
      <c r="X816" s="35">
        <f>IF($F816="","",IFERROR(INDEX(사건마스터!$AV$5:$AV$64,MATCH($F816,사건마스터!$A$5:$A$64,0)),""))</f>
        <v/>
      </c>
      <c r="Y816" s="30">
        <f>IF($I816="","",COUNTIF($I816:$X816,"?*"))</f>
        <v/>
      </c>
      <c r="Z816" s="33">
        <f>IF($I816="","",_xlfn.TEXTJOIN(", ",TRUE,$I816:$X816))</f>
        <v/>
      </c>
      <c r="AA816" s="34">
        <f>IF($I816="","",IFERROR(INDEX(코드설정!$D$5:$D$24,MATCH($I816,코드설정!$C$5:$C$24,0)),""))</f>
        <v/>
      </c>
      <c r="AB816" s="36" t="n"/>
      <c r="AC816" s="37" t="n"/>
      <c r="AD816" s="38" t="n"/>
      <c r="AE816" s="30">
        <f>IF(OR($B816="",$C816=""),"",$C816-$B816+1)</f>
        <v/>
      </c>
      <c r="AF816" s="32" t="n"/>
      <c r="AG816" s="36" t="n"/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3">
        <f>IF($F817="","",IFERROR(INDEX(사건마스터!$B$5:$B$64,MATCH($F817,사건마스터!$A$5:$A$64,0)),""))</f>
        <v/>
      </c>
      <c r="H817" s="34">
        <f>IF($F817="","",IFERROR(INDEX(사건마스터!$C$5:$C$64,MATCH($F817,사건마스터!$A$5:$A$64,0)),""))</f>
        <v/>
      </c>
      <c r="I817" s="35">
        <f>IF($F817="","",IFERROR(INDEX(사건마스터!$H$5:$H$64,MATCH($F817,사건마스터!$A$5:$A$64,0)),""))</f>
        <v/>
      </c>
      <c r="J817" s="35">
        <f>IF($F817="","",IFERROR(INDEX(사건마스터!$AH$5:$AH$64,MATCH($F817,사건마스터!$A$5:$A$64,0)),""))</f>
        <v/>
      </c>
      <c r="K817" s="35">
        <f>IF($F817="","",IFERROR(INDEX(사건마스터!$AI$5:$AI$64,MATCH($F817,사건마스터!$A$5:$A$64,0)),""))</f>
        <v/>
      </c>
      <c r="L817" s="35">
        <f>IF($F817="","",IFERROR(INDEX(사건마스터!$AJ$5:$AJ$64,MATCH($F817,사건마스터!$A$5:$A$64,0)),""))</f>
        <v/>
      </c>
      <c r="M817" s="35">
        <f>IF($F817="","",IFERROR(INDEX(사건마스터!$AK$5:$AK$64,MATCH($F817,사건마스터!$A$5:$A$64,0)),""))</f>
        <v/>
      </c>
      <c r="N817" s="35">
        <f>IF($F817="","",IFERROR(INDEX(사건마스터!$AL$5:$AL$64,MATCH($F817,사건마스터!$A$5:$A$64,0)),""))</f>
        <v/>
      </c>
      <c r="O817" s="35">
        <f>IF($F817="","",IFERROR(INDEX(사건마스터!$AM$5:$AM$64,MATCH($F817,사건마스터!$A$5:$A$64,0)),""))</f>
        <v/>
      </c>
      <c r="P817" s="35">
        <f>IF($F817="","",IFERROR(INDEX(사건마스터!$AN$5:$AN$64,MATCH($F817,사건마스터!$A$5:$A$64,0)),""))</f>
        <v/>
      </c>
      <c r="Q817" s="35">
        <f>IF($F817="","",IFERROR(INDEX(사건마스터!$AO$5:$AO$64,MATCH($F817,사건마스터!$A$5:$A$64,0)),""))</f>
        <v/>
      </c>
      <c r="R817" s="35">
        <f>IF($F817="","",IFERROR(INDEX(사건마스터!$AP$5:$AP$64,MATCH($F817,사건마스터!$A$5:$A$64,0)),""))</f>
        <v/>
      </c>
      <c r="S817" s="35">
        <f>IF($F817="","",IFERROR(INDEX(사건마스터!$AQ$5:$AQ$64,MATCH($F817,사건마스터!$A$5:$A$64,0)),""))</f>
        <v/>
      </c>
      <c r="T817" s="35">
        <f>IF($F817="","",IFERROR(INDEX(사건마스터!$AR$5:$AR$64,MATCH($F817,사건마스터!$A$5:$A$64,0)),""))</f>
        <v/>
      </c>
      <c r="U817" s="35">
        <f>IF($F817="","",IFERROR(INDEX(사건마스터!$AS$5:$AS$64,MATCH($F817,사건마스터!$A$5:$A$64,0)),""))</f>
        <v/>
      </c>
      <c r="V817" s="35">
        <f>IF($F817="","",IFERROR(INDEX(사건마스터!$AT$5:$AT$64,MATCH($F817,사건마스터!$A$5:$A$64,0)),""))</f>
        <v/>
      </c>
      <c r="W817" s="35">
        <f>IF($F817="","",IFERROR(INDEX(사건마스터!$AU$5:$AU$64,MATCH($F817,사건마스터!$A$5:$A$64,0)),""))</f>
        <v/>
      </c>
      <c r="X817" s="35">
        <f>IF($F817="","",IFERROR(INDEX(사건마스터!$AV$5:$AV$64,MATCH($F817,사건마스터!$A$5:$A$64,0)),""))</f>
        <v/>
      </c>
      <c r="Y817" s="30">
        <f>IF($I817="","",COUNTIF($I817:$X817,"?*"))</f>
        <v/>
      </c>
      <c r="Z817" s="33">
        <f>IF($I817="","",_xlfn.TEXTJOIN(", ",TRUE,$I817:$X817))</f>
        <v/>
      </c>
      <c r="AA817" s="34">
        <f>IF($I817="","",IFERROR(INDEX(코드설정!$D$5:$D$24,MATCH($I817,코드설정!$C$5:$C$24,0)),""))</f>
        <v/>
      </c>
      <c r="AB817" s="36" t="n"/>
      <c r="AC817" s="37" t="n"/>
      <c r="AD817" s="38" t="n"/>
      <c r="AE817" s="30">
        <f>IF(OR($B817="",$C817=""),"",$C817-$B817+1)</f>
        <v/>
      </c>
      <c r="AF817" s="32" t="n"/>
      <c r="AG817" s="36" t="n"/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3">
        <f>IF($F818="","",IFERROR(INDEX(사건마스터!$B$5:$B$64,MATCH($F818,사건마스터!$A$5:$A$64,0)),""))</f>
        <v/>
      </c>
      <c r="H818" s="34">
        <f>IF($F818="","",IFERROR(INDEX(사건마스터!$C$5:$C$64,MATCH($F818,사건마스터!$A$5:$A$64,0)),""))</f>
        <v/>
      </c>
      <c r="I818" s="35">
        <f>IF($F818="","",IFERROR(INDEX(사건마스터!$H$5:$H$64,MATCH($F818,사건마스터!$A$5:$A$64,0)),""))</f>
        <v/>
      </c>
      <c r="J818" s="35">
        <f>IF($F818="","",IFERROR(INDEX(사건마스터!$AH$5:$AH$64,MATCH($F818,사건마스터!$A$5:$A$64,0)),""))</f>
        <v/>
      </c>
      <c r="K818" s="35">
        <f>IF($F818="","",IFERROR(INDEX(사건마스터!$AI$5:$AI$64,MATCH($F818,사건마스터!$A$5:$A$64,0)),""))</f>
        <v/>
      </c>
      <c r="L818" s="35">
        <f>IF($F818="","",IFERROR(INDEX(사건마스터!$AJ$5:$AJ$64,MATCH($F818,사건마스터!$A$5:$A$64,0)),""))</f>
        <v/>
      </c>
      <c r="M818" s="35">
        <f>IF($F818="","",IFERROR(INDEX(사건마스터!$AK$5:$AK$64,MATCH($F818,사건마스터!$A$5:$A$64,0)),""))</f>
        <v/>
      </c>
      <c r="N818" s="35">
        <f>IF($F818="","",IFERROR(INDEX(사건마스터!$AL$5:$AL$64,MATCH($F818,사건마스터!$A$5:$A$64,0)),""))</f>
        <v/>
      </c>
      <c r="O818" s="35">
        <f>IF($F818="","",IFERROR(INDEX(사건마스터!$AM$5:$AM$64,MATCH($F818,사건마스터!$A$5:$A$64,0)),""))</f>
        <v/>
      </c>
      <c r="P818" s="35">
        <f>IF($F818="","",IFERROR(INDEX(사건마스터!$AN$5:$AN$64,MATCH($F818,사건마스터!$A$5:$A$64,0)),""))</f>
        <v/>
      </c>
      <c r="Q818" s="35">
        <f>IF($F818="","",IFERROR(INDEX(사건마스터!$AO$5:$AO$64,MATCH($F818,사건마스터!$A$5:$A$64,0)),""))</f>
        <v/>
      </c>
      <c r="R818" s="35">
        <f>IF($F818="","",IFERROR(INDEX(사건마스터!$AP$5:$AP$64,MATCH($F818,사건마스터!$A$5:$A$64,0)),""))</f>
        <v/>
      </c>
      <c r="S818" s="35">
        <f>IF($F818="","",IFERROR(INDEX(사건마스터!$AQ$5:$AQ$64,MATCH($F818,사건마스터!$A$5:$A$64,0)),""))</f>
        <v/>
      </c>
      <c r="T818" s="35">
        <f>IF($F818="","",IFERROR(INDEX(사건마스터!$AR$5:$AR$64,MATCH($F818,사건마스터!$A$5:$A$64,0)),""))</f>
        <v/>
      </c>
      <c r="U818" s="35">
        <f>IF($F818="","",IFERROR(INDEX(사건마스터!$AS$5:$AS$64,MATCH($F818,사건마스터!$A$5:$A$64,0)),""))</f>
        <v/>
      </c>
      <c r="V818" s="35">
        <f>IF($F818="","",IFERROR(INDEX(사건마스터!$AT$5:$AT$64,MATCH($F818,사건마스터!$A$5:$A$64,0)),""))</f>
        <v/>
      </c>
      <c r="W818" s="35">
        <f>IF($F818="","",IFERROR(INDEX(사건마스터!$AU$5:$AU$64,MATCH($F818,사건마스터!$A$5:$A$64,0)),""))</f>
        <v/>
      </c>
      <c r="X818" s="35">
        <f>IF($F818="","",IFERROR(INDEX(사건마스터!$AV$5:$AV$64,MATCH($F818,사건마스터!$A$5:$A$64,0)),""))</f>
        <v/>
      </c>
      <c r="Y818" s="30">
        <f>IF($I818="","",COUNTIF($I818:$X818,"?*"))</f>
        <v/>
      </c>
      <c r="Z818" s="33">
        <f>IF($I818="","",_xlfn.TEXTJOIN(", ",TRUE,$I818:$X818))</f>
        <v/>
      </c>
      <c r="AA818" s="34">
        <f>IF($I818="","",IFERROR(INDEX(코드설정!$D$5:$D$24,MATCH($I818,코드설정!$C$5:$C$24,0)),""))</f>
        <v/>
      </c>
      <c r="AB818" s="36" t="n"/>
      <c r="AC818" s="37" t="n"/>
      <c r="AD818" s="38" t="n"/>
      <c r="AE818" s="30">
        <f>IF(OR($B818="",$C818=""),"",$C818-$B818+1)</f>
        <v/>
      </c>
      <c r="AF818" s="32" t="n"/>
      <c r="AG818" s="36" t="n"/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3">
        <f>IF($F819="","",IFERROR(INDEX(사건마스터!$B$5:$B$64,MATCH($F819,사건마스터!$A$5:$A$64,0)),""))</f>
        <v/>
      </c>
      <c r="H819" s="34">
        <f>IF($F819="","",IFERROR(INDEX(사건마스터!$C$5:$C$64,MATCH($F819,사건마스터!$A$5:$A$64,0)),""))</f>
        <v/>
      </c>
      <c r="I819" s="35">
        <f>IF($F819="","",IFERROR(INDEX(사건마스터!$H$5:$H$64,MATCH($F819,사건마스터!$A$5:$A$64,0)),""))</f>
        <v/>
      </c>
      <c r="J819" s="35">
        <f>IF($F819="","",IFERROR(INDEX(사건마스터!$AH$5:$AH$64,MATCH($F819,사건마스터!$A$5:$A$64,0)),""))</f>
        <v/>
      </c>
      <c r="K819" s="35">
        <f>IF($F819="","",IFERROR(INDEX(사건마스터!$AI$5:$AI$64,MATCH($F819,사건마스터!$A$5:$A$64,0)),""))</f>
        <v/>
      </c>
      <c r="L819" s="35">
        <f>IF($F819="","",IFERROR(INDEX(사건마스터!$AJ$5:$AJ$64,MATCH($F819,사건마스터!$A$5:$A$64,0)),""))</f>
        <v/>
      </c>
      <c r="M819" s="35">
        <f>IF($F819="","",IFERROR(INDEX(사건마스터!$AK$5:$AK$64,MATCH($F819,사건마스터!$A$5:$A$64,0)),""))</f>
        <v/>
      </c>
      <c r="N819" s="35">
        <f>IF($F819="","",IFERROR(INDEX(사건마스터!$AL$5:$AL$64,MATCH($F819,사건마스터!$A$5:$A$64,0)),""))</f>
        <v/>
      </c>
      <c r="O819" s="35">
        <f>IF($F819="","",IFERROR(INDEX(사건마스터!$AM$5:$AM$64,MATCH($F819,사건마스터!$A$5:$A$64,0)),""))</f>
        <v/>
      </c>
      <c r="P819" s="35">
        <f>IF($F819="","",IFERROR(INDEX(사건마스터!$AN$5:$AN$64,MATCH($F819,사건마스터!$A$5:$A$64,0)),""))</f>
        <v/>
      </c>
      <c r="Q819" s="35">
        <f>IF($F819="","",IFERROR(INDEX(사건마스터!$AO$5:$AO$64,MATCH($F819,사건마스터!$A$5:$A$64,0)),""))</f>
        <v/>
      </c>
      <c r="R819" s="35">
        <f>IF($F819="","",IFERROR(INDEX(사건마스터!$AP$5:$AP$64,MATCH($F819,사건마스터!$A$5:$A$64,0)),""))</f>
        <v/>
      </c>
      <c r="S819" s="35">
        <f>IF($F819="","",IFERROR(INDEX(사건마스터!$AQ$5:$AQ$64,MATCH($F819,사건마스터!$A$5:$A$64,0)),""))</f>
        <v/>
      </c>
      <c r="T819" s="35">
        <f>IF($F819="","",IFERROR(INDEX(사건마스터!$AR$5:$AR$64,MATCH($F819,사건마스터!$A$5:$A$64,0)),""))</f>
        <v/>
      </c>
      <c r="U819" s="35">
        <f>IF($F819="","",IFERROR(INDEX(사건마스터!$AS$5:$AS$64,MATCH($F819,사건마스터!$A$5:$A$64,0)),""))</f>
        <v/>
      </c>
      <c r="V819" s="35">
        <f>IF($F819="","",IFERROR(INDEX(사건마스터!$AT$5:$AT$64,MATCH($F819,사건마스터!$A$5:$A$64,0)),""))</f>
        <v/>
      </c>
      <c r="W819" s="35">
        <f>IF($F819="","",IFERROR(INDEX(사건마스터!$AU$5:$AU$64,MATCH($F819,사건마스터!$A$5:$A$64,0)),""))</f>
        <v/>
      </c>
      <c r="X819" s="35">
        <f>IF($F819="","",IFERROR(INDEX(사건마스터!$AV$5:$AV$64,MATCH($F819,사건마스터!$A$5:$A$64,0)),""))</f>
        <v/>
      </c>
      <c r="Y819" s="30">
        <f>IF($I819="","",COUNTIF($I819:$X819,"?*"))</f>
        <v/>
      </c>
      <c r="Z819" s="33">
        <f>IF($I819="","",_xlfn.TEXTJOIN(", ",TRUE,$I819:$X819))</f>
        <v/>
      </c>
      <c r="AA819" s="34">
        <f>IF($I819="","",IFERROR(INDEX(코드설정!$D$5:$D$24,MATCH($I819,코드설정!$C$5:$C$24,0)),""))</f>
        <v/>
      </c>
      <c r="AB819" s="36" t="n"/>
      <c r="AC819" s="37" t="n"/>
      <c r="AD819" s="38" t="n"/>
      <c r="AE819" s="30">
        <f>IF(OR($B819="",$C819=""),"",$C819-$B819+1)</f>
        <v/>
      </c>
      <c r="AF819" s="32" t="n"/>
      <c r="AG819" s="36" t="n"/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3">
        <f>IF($F820="","",IFERROR(INDEX(사건마스터!$B$5:$B$64,MATCH($F820,사건마스터!$A$5:$A$64,0)),""))</f>
        <v/>
      </c>
      <c r="H820" s="34">
        <f>IF($F820="","",IFERROR(INDEX(사건마스터!$C$5:$C$64,MATCH($F820,사건마스터!$A$5:$A$64,0)),""))</f>
        <v/>
      </c>
      <c r="I820" s="35">
        <f>IF($F820="","",IFERROR(INDEX(사건마스터!$H$5:$H$64,MATCH($F820,사건마스터!$A$5:$A$64,0)),""))</f>
        <v/>
      </c>
      <c r="J820" s="35">
        <f>IF($F820="","",IFERROR(INDEX(사건마스터!$AH$5:$AH$64,MATCH($F820,사건마스터!$A$5:$A$64,0)),""))</f>
        <v/>
      </c>
      <c r="K820" s="35">
        <f>IF($F820="","",IFERROR(INDEX(사건마스터!$AI$5:$AI$64,MATCH($F820,사건마스터!$A$5:$A$64,0)),""))</f>
        <v/>
      </c>
      <c r="L820" s="35">
        <f>IF($F820="","",IFERROR(INDEX(사건마스터!$AJ$5:$AJ$64,MATCH($F820,사건마스터!$A$5:$A$64,0)),""))</f>
        <v/>
      </c>
      <c r="M820" s="35">
        <f>IF($F820="","",IFERROR(INDEX(사건마스터!$AK$5:$AK$64,MATCH($F820,사건마스터!$A$5:$A$64,0)),""))</f>
        <v/>
      </c>
      <c r="N820" s="35">
        <f>IF($F820="","",IFERROR(INDEX(사건마스터!$AL$5:$AL$64,MATCH($F820,사건마스터!$A$5:$A$64,0)),""))</f>
        <v/>
      </c>
      <c r="O820" s="35">
        <f>IF($F820="","",IFERROR(INDEX(사건마스터!$AM$5:$AM$64,MATCH($F820,사건마스터!$A$5:$A$64,0)),""))</f>
        <v/>
      </c>
      <c r="P820" s="35">
        <f>IF($F820="","",IFERROR(INDEX(사건마스터!$AN$5:$AN$64,MATCH($F820,사건마스터!$A$5:$A$64,0)),""))</f>
        <v/>
      </c>
      <c r="Q820" s="35">
        <f>IF($F820="","",IFERROR(INDEX(사건마스터!$AO$5:$AO$64,MATCH($F820,사건마스터!$A$5:$A$64,0)),""))</f>
        <v/>
      </c>
      <c r="R820" s="35">
        <f>IF($F820="","",IFERROR(INDEX(사건마스터!$AP$5:$AP$64,MATCH($F820,사건마스터!$A$5:$A$64,0)),""))</f>
        <v/>
      </c>
      <c r="S820" s="35">
        <f>IF($F820="","",IFERROR(INDEX(사건마스터!$AQ$5:$AQ$64,MATCH($F820,사건마스터!$A$5:$A$64,0)),""))</f>
        <v/>
      </c>
      <c r="T820" s="35">
        <f>IF($F820="","",IFERROR(INDEX(사건마스터!$AR$5:$AR$64,MATCH($F820,사건마스터!$A$5:$A$64,0)),""))</f>
        <v/>
      </c>
      <c r="U820" s="35">
        <f>IF($F820="","",IFERROR(INDEX(사건마스터!$AS$5:$AS$64,MATCH($F820,사건마스터!$A$5:$A$64,0)),""))</f>
        <v/>
      </c>
      <c r="V820" s="35">
        <f>IF($F820="","",IFERROR(INDEX(사건마스터!$AT$5:$AT$64,MATCH($F820,사건마스터!$A$5:$A$64,0)),""))</f>
        <v/>
      </c>
      <c r="W820" s="35">
        <f>IF($F820="","",IFERROR(INDEX(사건마스터!$AU$5:$AU$64,MATCH($F820,사건마스터!$A$5:$A$64,0)),""))</f>
        <v/>
      </c>
      <c r="X820" s="35">
        <f>IF($F820="","",IFERROR(INDEX(사건마스터!$AV$5:$AV$64,MATCH($F820,사건마스터!$A$5:$A$64,0)),""))</f>
        <v/>
      </c>
      <c r="Y820" s="30">
        <f>IF($I820="","",COUNTIF($I820:$X820,"?*"))</f>
        <v/>
      </c>
      <c r="Z820" s="33">
        <f>IF($I820="","",_xlfn.TEXTJOIN(", ",TRUE,$I820:$X820))</f>
        <v/>
      </c>
      <c r="AA820" s="34">
        <f>IF($I820="","",IFERROR(INDEX(코드설정!$D$5:$D$24,MATCH($I820,코드설정!$C$5:$C$24,0)),""))</f>
        <v/>
      </c>
      <c r="AB820" s="36" t="n"/>
      <c r="AC820" s="37" t="n"/>
      <c r="AD820" s="38" t="n"/>
      <c r="AE820" s="30">
        <f>IF(OR($B820="",$C820=""),"",$C820-$B820+1)</f>
        <v/>
      </c>
      <c r="AF820" s="32" t="n"/>
      <c r="AG820" s="36" t="n"/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3">
        <f>IF($F821="","",IFERROR(INDEX(사건마스터!$B$5:$B$64,MATCH($F821,사건마스터!$A$5:$A$64,0)),""))</f>
        <v/>
      </c>
      <c r="H821" s="34">
        <f>IF($F821="","",IFERROR(INDEX(사건마스터!$C$5:$C$64,MATCH($F821,사건마스터!$A$5:$A$64,0)),""))</f>
        <v/>
      </c>
      <c r="I821" s="35">
        <f>IF($F821="","",IFERROR(INDEX(사건마스터!$H$5:$H$64,MATCH($F821,사건마스터!$A$5:$A$64,0)),""))</f>
        <v/>
      </c>
      <c r="J821" s="35">
        <f>IF($F821="","",IFERROR(INDEX(사건마스터!$AH$5:$AH$64,MATCH($F821,사건마스터!$A$5:$A$64,0)),""))</f>
        <v/>
      </c>
      <c r="K821" s="35">
        <f>IF($F821="","",IFERROR(INDEX(사건마스터!$AI$5:$AI$64,MATCH($F821,사건마스터!$A$5:$A$64,0)),""))</f>
        <v/>
      </c>
      <c r="L821" s="35">
        <f>IF($F821="","",IFERROR(INDEX(사건마스터!$AJ$5:$AJ$64,MATCH($F821,사건마스터!$A$5:$A$64,0)),""))</f>
        <v/>
      </c>
      <c r="M821" s="35">
        <f>IF($F821="","",IFERROR(INDEX(사건마스터!$AK$5:$AK$64,MATCH($F821,사건마스터!$A$5:$A$64,0)),""))</f>
        <v/>
      </c>
      <c r="N821" s="35">
        <f>IF($F821="","",IFERROR(INDEX(사건마스터!$AL$5:$AL$64,MATCH($F821,사건마스터!$A$5:$A$64,0)),""))</f>
        <v/>
      </c>
      <c r="O821" s="35">
        <f>IF($F821="","",IFERROR(INDEX(사건마스터!$AM$5:$AM$64,MATCH($F821,사건마스터!$A$5:$A$64,0)),""))</f>
        <v/>
      </c>
      <c r="P821" s="35">
        <f>IF($F821="","",IFERROR(INDEX(사건마스터!$AN$5:$AN$64,MATCH($F821,사건마스터!$A$5:$A$64,0)),""))</f>
        <v/>
      </c>
      <c r="Q821" s="35">
        <f>IF($F821="","",IFERROR(INDEX(사건마스터!$AO$5:$AO$64,MATCH($F821,사건마스터!$A$5:$A$64,0)),""))</f>
        <v/>
      </c>
      <c r="R821" s="35">
        <f>IF($F821="","",IFERROR(INDEX(사건마스터!$AP$5:$AP$64,MATCH($F821,사건마스터!$A$5:$A$64,0)),""))</f>
        <v/>
      </c>
      <c r="S821" s="35">
        <f>IF($F821="","",IFERROR(INDEX(사건마스터!$AQ$5:$AQ$64,MATCH($F821,사건마스터!$A$5:$A$64,0)),""))</f>
        <v/>
      </c>
      <c r="T821" s="35">
        <f>IF($F821="","",IFERROR(INDEX(사건마스터!$AR$5:$AR$64,MATCH($F821,사건마스터!$A$5:$A$64,0)),""))</f>
        <v/>
      </c>
      <c r="U821" s="35">
        <f>IF($F821="","",IFERROR(INDEX(사건마스터!$AS$5:$AS$64,MATCH($F821,사건마스터!$A$5:$A$64,0)),""))</f>
        <v/>
      </c>
      <c r="V821" s="35">
        <f>IF($F821="","",IFERROR(INDEX(사건마스터!$AT$5:$AT$64,MATCH($F821,사건마스터!$A$5:$A$64,0)),""))</f>
        <v/>
      </c>
      <c r="W821" s="35">
        <f>IF($F821="","",IFERROR(INDEX(사건마스터!$AU$5:$AU$64,MATCH($F821,사건마스터!$A$5:$A$64,0)),""))</f>
        <v/>
      </c>
      <c r="X821" s="35">
        <f>IF($F821="","",IFERROR(INDEX(사건마스터!$AV$5:$AV$64,MATCH($F821,사건마스터!$A$5:$A$64,0)),""))</f>
        <v/>
      </c>
      <c r="Y821" s="30">
        <f>IF($I821="","",COUNTIF($I821:$X821,"?*"))</f>
        <v/>
      </c>
      <c r="Z821" s="33">
        <f>IF($I821="","",_xlfn.TEXTJOIN(", ",TRUE,$I821:$X821))</f>
        <v/>
      </c>
      <c r="AA821" s="34">
        <f>IF($I821="","",IFERROR(INDEX(코드설정!$D$5:$D$24,MATCH($I821,코드설정!$C$5:$C$24,0)),""))</f>
        <v/>
      </c>
      <c r="AB821" s="36" t="n"/>
      <c r="AC821" s="37" t="n"/>
      <c r="AD821" s="38" t="n"/>
      <c r="AE821" s="30">
        <f>IF(OR($B821="",$C821=""),"",$C821-$B821+1)</f>
        <v/>
      </c>
      <c r="AF821" s="32" t="n"/>
      <c r="AG821" s="36" t="n"/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3">
        <f>IF($F822="","",IFERROR(INDEX(사건마스터!$B$5:$B$64,MATCH($F822,사건마스터!$A$5:$A$64,0)),""))</f>
        <v/>
      </c>
      <c r="H822" s="34">
        <f>IF($F822="","",IFERROR(INDEX(사건마스터!$C$5:$C$64,MATCH($F822,사건마스터!$A$5:$A$64,0)),""))</f>
        <v/>
      </c>
      <c r="I822" s="35">
        <f>IF($F822="","",IFERROR(INDEX(사건마스터!$H$5:$H$64,MATCH($F822,사건마스터!$A$5:$A$64,0)),""))</f>
        <v/>
      </c>
      <c r="J822" s="35">
        <f>IF($F822="","",IFERROR(INDEX(사건마스터!$AH$5:$AH$64,MATCH($F822,사건마스터!$A$5:$A$64,0)),""))</f>
        <v/>
      </c>
      <c r="K822" s="35">
        <f>IF($F822="","",IFERROR(INDEX(사건마스터!$AI$5:$AI$64,MATCH($F822,사건마스터!$A$5:$A$64,0)),""))</f>
        <v/>
      </c>
      <c r="L822" s="35">
        <f>IF($F822="","",IFERROR(INDEX(사건마스터!$AJ$5:$AJ$64,MATCH($F822,사건마스터!$A$5:$A$64,0)),""))</f>
        <v/>
      </c>
      <c r="M822" s="35">
        <f>IF($F822="","",IFERROR(INDEX(사건마스터!$AK$5:$AK$64,MATCH($F822,사건마스터!$A$5:$A$64,0)),""))</f>
        <v/>
      </c>
      <c r="N822" s="35">
        <f>IF($F822="","",IFERROR(INDEX(사건마스터!$AL$5:$AL$64,MATCH($F822,사건마스터!$A$5:$A$64,0)),""))</f>
        <v/>
      </c>
      <c r="O822" s="35">
        <f>IF($F822="","",IFERROR(INDEX(사건마스터!$AM$5:$AM$64,MATCH($F822,사건마스터!$A$5:$A$64,0)),""))</f>
        <v/>
      </c>
      <c r="P822" s="35">
        <f>IF($F822="","",IFERROR(INDEX(사건마스터!$AN$5:$AN$64,MATCH($F822,사건마스터!$A$5:$A$64,0)),""))</f>
        <v/>
      </c>
      <c r="Q822" s="35">
        <f>IF($F822="","",IFERROR(INDEX(사건마스터!$AO$5:$AO$64,MATCH($F822,사건마스터!$A$5:$A$64,0)),""))</f>
        <v/>
      </c>
      <c r="R822" s="35">
        <f>IF($F822="","",IFERROR(INDEX(사건마스터!$AP$5:$AP$64,MATCH($F822,사건마스터!$A$5:$A$64,0)),""))</f>
        <v/>
      </c>
      <c r="S822" s="35">
        <f>IF($F822="","",IFERROR(INDEX(사건마스터!$AQ$5:$AQ$64,MATCH($F822,사건마스터!$A$5:$A$64,0)),""))</f>
        <v/>
      </c>
      <c r="T822" s="35">
        <f>IF($F822="","",IFERROR(INDEX(사건마스터!$AR$5:$AR$64,MATCH($F822,사건마스터!$A$5:$A$64,0)),""))</f>
        <v/>
      </c>
      <c r="U822" s="35">
        <f>IF($F822="","",IFERROR(INDEX(사건마스터!$AS$5:$AS$64,MATCH($F822,사건마스터!$A$5:$A$64,0)),""))</f>
        <v/>
      </c>
      <c r="V822" s="35">
        <f>IF($F822="","",IFERROR(INDEX(사건마스터!$AT$5:$AT$64,MATCH($F822,사건마스터!$A$5:$A$64,0)),""))</f>
        <v/>
      </c>
      <c r="W822" s="35">
        <f>IF($F822="","",IFERROR(INDEX(사건마스터!$AU$5:$AU$64,MATCH($F822,사건마스터!$A$5:$A$64,0)),""))</f>
        <v/>
      </c>
      <c r="X822" s="35">
        <f>IF($F822="","",IFERROR(INDEX(사건마스터!$AV$5:$AV$64,MATCH($F822,사건마스터!$A$5:$A$64,0)),""))</f>
        <v/>
      </c>
      <c r="Y822" s="30">
        <f>IF($I822="","",COUNTIF($I822:$X822,"?*"))</f>
        <v/>
      </c>
      <c r="Z822" s="33">
        <f>IF($I822="","",_xlfn.TEXTJOIN(", ",TRUE,$I822:$X822))</f>
        <v/>
      </c>
      <c r="AA822" s="34">
        <f>IF($I822="","",IFERROR(INDEX(코드설정!$D$5:$D$24,MATCH($I822,코드설정!$C$5:$C$24,0)),""))</f>
        <v/>
      </c>
      <c r="AB822" s="36" t="n"/>
      <c r="AC822" s="37" t="n"/>
      <c r="AD822" s="38" t="n"/>
      <c r="AE822" s="30">
        <f>IF(OR($B822="",$C822=""),"",$C822-$B822+1)</f>
        <v/>
      </c>
      <c r="AF822" s="32" t="n"/>
      <c r="AG822" s="36" t="n"/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3">
        <f>IF($F823="","",IFERROR(INDEX(사건마스터!$B$5:$B$64,MATCH($F823,사건마스터!$A$5:$A$64,0)),""))</f>
        <v/>
      </c>
      <c r="H823" s="34">
        <f>IF($F823="","",IFERROR(INDEX(사건마스터!$C$5:$C$64,MATCH($F823,사건마스터!$A$5:$A$64,0)),""))</f>
        <v/>
      </c>
      <c r="I823" s="35">
        <f>IF($F823="","",IFERROR(INDEX(사건마스터!$H$5:$H$64,MATCH($F823,사건마스터!$A$5:$A$64,0)),""))</f>
        <v/>
      </c>
      <c r="J823" s="35">
        <f>IF($F823="","",IFERROR(INDEX(사건마스터!$AH$5:$AH$64,MATCH($F823,사건마스터!$A$5:$A$64,0)),""))</f>
        <v/>
      </c>
      <c r="K823" s="35">
        <f>IF($F823="","",IFERROR(INDEX(사건마스터!$AI$5:$AI$64,MATCH($F823,사건마스터!$A$5:$A$64,0)),""))</f>
        <v/>
      </c>
      <c r="L823" s="35">
        <f>IF($F823="","",IFERROR(INDEX(사건마스터!$AJ$5:$AJ$64,MATCH($F823,사건마스터!$A$5:$A$64,0)),""))</f>
        <v/>
      </c>
      <c r="M823" s="35">
        <f>IF($F823="","",IFERROR(INDEX(사건마스터!$AK$5:$AK$64,MATCH($F823,사건마스터!$A$5:$A$64,0)),""))</f>
        <v/>
      </c>
      <c r="N823" s="35">
        <f>IF($F823="","",IFERROR(INDEX(사건마스터!$AL$5:$AL$64,MATCH($F823,사건마스터!$A$5:$A$64,0)),""))</f>
        <v/>
      </c>
      <c r="O823" s="35">
        <f>IF($F823="","",IFERROR(INDEX(사건마스터!$AM$5:$AM$64,MATCH($F823,사건마스터!$A$5:$A$64,0)),""))</f>
        <v/>
      </c>
      <c r="P823" s="35">
        <f>IF($F823="","",IFERROR(INDEX(사건마스터!$AN$5:$AN$64,MATCH($F823,사건마스터!$A$5:$A$64,0)),""))</f>
        <v/>
      </c>
      <c r="Q823" s="35">
        <f>IF($F823="","",IFERROR(INDEX(사건마스터!$AO$5:$AO$64,MATCH($F823,사건마스터!$A$5:$A$64,0)),""))</f>
        <v/>
      </c>
      <c r="R823" s="35">
        <f>IF($F823="","",IFERROR(INDEX(사건마스터!$AP$5:$AP$64,MATCH($F823,사건마스터!$A$5:$A$64,0)),""))</f>
        <v/>
      </c>
      <c r="S823" s="35">
        <f>IF($F823="","",IFERROR(INDEX(사건마스터!$AQ$5:$AQ$64,MATCH($F823,사건마스터!$A$5:$A$64,0)),""))</f>
        <v/>
      </c>
      <c r="T823" s="35">
        <f>IF($F823="","",IFERROR(INDEX(사건마스터!$AR$5:$AR$64,MATCH($F823,사건마스터!$A$5:$A$64,0)),""))</f>
        <v/>
      </c>
      <c r="U823" s="35">
        <f>IF($F823="","",IFERROR(INDEX(사건마스터!$AS$5:$AS$64,MATCH($F823,사건마스터!$A$5:$A$64,0)),""))</f>
        <v/>
      </c>
      <c r="V823" s="35">
        <f>IF($F823="","",IFERROR(INDEX(사건마스터!$AT$5:$AT$64,MATCH($F823,사건마스터!$A$5:$A$64,0)),""))</f>
        <v/>
      </c>
      <c r="W823" s="35">
        <f>IF($F823="","",IFERROR(INDEX(사건마스터!$AU$5:$AU$64,MATCH($F823,사건마스터!$A$5:$A$64,0)),""))</f>
        <v/>
      </c>
      <c r="X823" s="35">
        <f>IF($F823="","",IFERROR(INDEX(사건마스터!$AV$5:$AV$64,MATCH($F823,사건마스터!$A$5:$A$64,0)),""))</f>
        <v/>
      </c>
      <c r="Y823" s="30">
        <f>IF($I823="","",COUNTIF($I823:$X823,"?*"))</f>
        <v/>
      </c>
      <c r="Z823" s="33">
        <f>IF($I823="","",_xlfn.TEXTJOIN(", ",TRUE,$I823:$X823))</f>
        <v/>
      </c>
      <c r="AA823" s="34">
        <f>IF($I823="","",IFERROR(INDEX(코드설정!$D$5:$D$24,MATCH($I823,코드설정!$C$5:$C$24,0)),""))</f>
        <v/>
      </c>
      <c r="AB823" s="36" t="n"/>
      <c r="AC823" s="37" t="n"/>
      <c r="AD823" s="38" t="n"/>
      <c r="AE823" s="30">
        <f>IF(OR($B823="",$C823=""),"",$C823-$B823+1)</f>
        <v/>
      </c>
      <c r="AF823" s="32" t="n"/>
      <c r="AG823" s="36" t="n"/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3">
        <f>IF($F824="","",IFERROR(INDEX(사건마스터!$B$5:$B$64,MATCH($F824,사건마스터!$A$5:$A$64,0)),""))</f>
        <v/>
      </c>
      <c r="H824" s="34">
        <f>IF($F824="","",IFERROR(INDEX(사건마스터!$C$5:$C$64,MATCH($F824,사건마스터!$A$5:$A$64,0)),""))</f>
        <v/>
      </c>
      <c r="I824" s="35">
        <f>IF($F824="","",IFERROR(INDEX(사건마스터!$H$5:$H$64,MATCH($F824,사건마스터!$A$5:$A$64,0)),""))</f>
        <v/>
      </c>
      <c r="J824" s="35">
        <f>IF($F824="","",IFERROR(INDEX(사건마스터!$AH$5:$AH$64,MATCH($F824,사건마스터!$A$5:$A$64,0)),""))</f>
        <v/>
      </c>
      <c r="K824" s="35">
        <f>IF($F824="","",IFERROR(INDEX(사건마스터!$AI$5:$AI$64,MATCH($F824,사건마스터!$A$5:$A$64,0)),""))</f>
        <v/>
      </c>
      <c r="L824" s="35">
        <f>IF($F824="","",IFERROR(INDEX(사건마스터!$AJ$5:$AJ$64,MATCH($F824,사건마스터!$A$5:$A$64,0)),""))</f>
        <v/>
      </c>
      <c r="M824" s="35">
        <f>IF($F824="","",IFERROR(INDEX(사건마스터!$AK$5:$AK$64,MATCH($F824,사건마스터!$A$5:$A$64,0)),""))</f>
        <v/>
      </c>
      <c r="N824" s="35">
        <f>IF($F824="","",IFERROR(INDEX(사건마스터!$AL$5:$AL$64,MATCH($F824,사건마스터!$A$5:$A$64,0)),""))</f>
        <v/>
      </c>
      <c r="O824" s="35">
        <f>IF($F824="","",IFERROR(INDEX(사건마스터!$AM$5:$AM$64,MATCH($F824,사건마스터!$A$5:$A$64,0)),""))</f>
        <v/>
      </c>
      <c r="P824" s="35">
        <f>IF($F824="","",IFERROR(INDEX(사건마스터!$AN$5:$AN$64,MATCH($F824,사건마스터!$A$5:$A$64,0)),""))</f>
        <v/>
      </c>
      <c r="Q824" s="35">
        <f>IF($F824="","",IFERROR(INDEX(사건마스터!$AO$5:$AO$64,MATCH($F824,사건마스터!$A$5:$A$64,0)),""))</f>
        <v/>
      </c>
      <c r="R824" s="35">
        <f>IF($F824="","",IFERROR(INDEX(사건마스터!$AP$5:$AP$64,MATCH($F824,사건마스터!$A$5:$A$64,0)),""))</f>
        <v/>
      </c>
      <c r="S824" s="35">
        <f>IF($F824="","",IFERROR(INDEX(사건마스터!$AQ$5:$AQ$64,MATCH($F824,사건마스터!$A$5:$A$64,0)),""))</f>
        <v/>
      </c>
      <c r="T824" s="35">
        <f>IF($F824="","",IFERROR(INDEX(사건마스터!$AR$5:$AR$64,MATCH($F824,사건마스터!$A$5:$A$64,0)),""))</f>
        <v/>
      </c>
      <c r="U824" s="35">
        <f>IF($F824="","",IFERROR(INDEX(사건마스터!$AS$5:$AS$64,MATCH($F824,사건마스터!$A$5:$A$64,0)),""))</f>
        <v/>
      </c>
      <c r="V824" s="35">
        <f>IF($F824="","",IFERROR(INDEX(사건마스터!$AT$5:$AT$64,MATCH($F824,사건마스터!$A$5:$A$64,0)),""))</f>
        <v/>
      </c>
      <c r="W824" s="35">
        <f>IF($F824="","",IFERROR(INDEX(사건마스터!$AU$5:$AU$64,MATCH($F824,사건마스터!$A$5:$A$64,0)),""))</f>
        <v/>
      </c>
      <c r="X824" s="35">
        <f>IF($F824="","",IFERROR(INDEX(사건마스터!$AV$5:$AV$64,MATCH($F824,사건마스터!$A$5:$A$64,0)),""))</f>
        <v/>
      </c>
      <c r="Y824" s="30">
        <f>IF($I824="","",COUNTIF($I824:$X824,"?*"))</f>
        <v/>
      </c>
      <c r="Z824" s="33">
        <f>IF($I824="","",_xlfn.TEXTJOIN(", ",TRUE,$I824:$X824))</f>
        <v/>
      </c>
      <c r="AA824" s="34">
        <f>IF($I824="","",IFERROR(INDEX(코드설정!$D$5:$D$24,MATCH($I824,코드설정!$C$5:$C$24,0)),""))</f>
        <v/>
      </c>
      <c r="AB824" s="36" t="n"/>
      <c r="AC824" s="37" t="n"/>
      <c r="AD824" s="38" t="n"/>
      <c r="AE824" s="30">
        <f>IF(OR($B824="",$C824=""),"",$C824-$B824+1)</f>
        <v/>
      </c>
      <c r="AF824" s="32" t="n"/>
      <c r="AG824" s="36" t="n"/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3">
        <f>IF($F825="","",IFERROR(INDEX(사건마스터!$B$5:$B$64,MATCH($F825,사건마스터!$A$5:$A$64,0)),""))</f>
        <v/>
      </c>
      <c r="H825" s="34">
        <f>IF($F825="","",IFERROR(INDEX(사건마스터!$C$5:$C$64,MATCH($F825,사건마스터!$A$5:$A$64,0)),""))</f>
        <v/>
      </c>
      <c r="I825" s="35">
        <f>IF($F825="","",IFERROR(INDEX(사건마스터!$H$5:$H$64,MATCH($F825,사건마스터!$A$5:$A$64,0)),""))</f>
        <v/>
      </c>
      <c r="J825" s="35">
        <f>IF($F825="","",IFERROR(INDEX(사건마스터!$AH$5:$AH$64,MATCH($F825,사건마스터!$A$5:$A$64,0)),""))</f>
        <v/>
      </c>
      <c r="K825" s="35">
        <f>IF($F825="","",IFERROR(INDEX(사건마스터!$AI$5:$AI$64,MATCH($F825,사건마스터!$A$5:$A$64,0)),""))</f>
        <v/>
      </c>
      <c r="L825" s="35">
        <f>IF($F825="","",IFERROR(INDEX(사건마스터!$AJ$5:$AJ$64,MATCH($F825,사건마스터!$A$5:$A$64,0)),""))</f>
        <v/>
      </c>
      <c r="M825" s="35">
        <f>IF($F825="","",IFERROR(INDEX(사건마스터!$AK$5:$AK$64,MATCH($F825,사건마스터!$A$5:$A$64,0)),""))</f>
        <v/>
      </c>
      <c r="N825" s="35">
        <f>IF($F825="","",IFERROR(INDEX(사건마스터!$AL$5:$AL$64,MATCH($F825,사건마스터!$A$5:$A$64,0)),""))</f>
        <v/>
      </c>
      <c r="O825" s="35">
        <f>IF($F825="","",IFERROR(INDEX(사건마스터!$AM$5:$AM$64,MATCH($F825,사건마스터!$A$5:$A$64,0)),""))</f>
        <v/>
      </c>
      <c r="P825" s="35">
        <f>IF($F825="","",IFERROR(INDEX(사건마스터!$AN$5:$AN$64,MATCH($F825,사건마스터!$A$5:$A$64,0)),""))</f>
        <v/>
      </c>
      <c r="Q825" s="35">
        <f>IF($F825="","",IFERROR(INDEX(사건마스터!$AO$5:$AO$64,MATCH($F825,사건마스터!$A$5:$A$64,0)),""))</f>
        <v/>
      </c>
      <c r="R825" s="35">
        <f>IF($F825="","",IFERROR(INDEX(사건마스터!$AP$5:$AP$64,MATCH($F825,사건마스터!$A$5:$A$64,0)),""))</f>
        <v/>
      </c>
      <c r="S825" s="35">
        <f>IF($F825="","",IFERROR(INDEX(사건마스터!$AQ$5:$AQ$64,MATCH($F825,사건마스터!$A$5:$A$64,0)),""))</f>
        <v/>
      </c>
      <c r="T825" s="35">
        <f>IF($F825="","",IFERROR(INDEX(사건마스터!$AR$5:$AR$64,MATCH($F825,사건마스터!$A$5:$A$64,0)),""))</f>
        <v/>
      </c>
      <c r="U825" s="35">
        <f>IF($F825="","",IFERROR(INDEX(사건마스터!$AS$5:$AS$64,MATCH($F825,사건마스터!$A$5:$A$64,0)),""))</f>
        <v/>
      </c>
      <c r="V825" s="35">
        <f>IF($F825="","",IFERROR(INDEX(사건마스터!$AT$5:$AT$64,MATCH($F825,사건마스터!$A$5:$A$64,0)),""))</f>
        <v/>
      </c>
      <c r="W825" s="35">
        <f>IF($F825="","",IFERROR(INDEX(사건마스터!$AU$5:$AU$64,MATCH($F825,사건마스터!$A$5:$A$64,0)),""))</f>
        <v/>
      </c>
      <c r="X825" s="35">
        <f>IF($F825="","",IFERROR(INDEX(사건마스터!$AV$5:$AV$64,MATCH($F825,사건마스터!$A$5:$A$64,0)),""))</f>
        <v/>
      </c>
      <c r="Y825" s="30">
        <f>IF($I825="","",COUNTIF($I825:$X825,"?*"))</f>
        <v/>
      </c>
      <c r="Z825" s="33">
        <f>IF($I825="","",_xlfn.TEXTJOIN(", ",TRUE,$I825:$X825))</f>
        <v/>
      </c>
      <c r="AA825" s="34">
        <f>IF($I825="","",IFERROR(INDEX(코드설정!$D$5:$D$24,MATCH($I825,코드설정!$C$5:$C$24,0)),""))</f>
        <v/>
      </c>
      <c r="AB825" s="36" t="n"/>
      <c r="AC825" s="37" t="n"/>
      <c r="AD825" s="38" t="n"/>
      <c r="AE825" s="30">
        <f>IF(OR($B825="",$C825=""),"",$C825-$B825+1)</f>
        <v/>
      </c>
      <c r="AF825" s="32" t="n"/>
      <c r="AG825" s="36" t="n"/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3">
        <f>IF($F826="","",IFERROR(INDEX(사건마스터!$B$5:$B$64,MATCH($F826,사건마스터!$A$5:$A$64,0)),""))</f>
        <v/>
      </c>
      <c r="H826" s="34">
        <f>IF($F826="","",IFERROR(INDEX(사건마스터!$C$5:$C$64,MATCH($F826,사건마스터!$A$5:$A$64,0)),""))</f>
        <v/>
      </c>
      <c r="I826" s="35">
        <f>IF($F826="","",IFERROR(INDEX(사건마스터!$H$5:$H$64,MATCH($F826,사건마스터!$A$5:$A$64,0)),""))</f>
        <v/>
      </c>
      <c r="J826" s="35">
        <f>IF($F826="","",IFERROR(INDEX(사건마스터!$AH$5:$AH$64,MATCH($F826,사건마스터!$A$5:$A$64,0)),""))</f>
        <v/>
      </c>
      <c r="K826" s="35">
        <f>IF($F826="","",IFERROR(INDEX(사건마스터!$AI$5:$AI$64,MATCH($F826,사건마스터!$A$5:$A$64,0)),""))</f>
        <v/>
      </c>
      <c r="L826" s="35">
        <f>IF($F826="","",IFERROR(INDEX(사건마스터!$AJ$5:$AJ$64,MATCH($F826,사건마스터!$A$5:$A$64,0)),""))</f>
        <v/>
      </c>
      <c r="M826" s="35">
        <f>IF($F826="","",IFERROR(INDEX(사건마스터!$AK$5:$AK$64,MATCH($F826,사건마스터!$A$5:$A$64,0)),""))</f>
        <v/>
      </c>
      <c r="N826" s="35">
        <f>IF($F826="","",IFERROR(INDEX(사건마스터!$AL$5:$AL$64,MATCH($F826,사건마스터!$A$5:$A$64,0)),""))</f>
        <v/>
      </c>
      <c r="O826" s="35">
        <f>IF($F826="","",IFERROR(INDEX(사건마스터!$AM$5:$AM$64,MATCH($F826,사건마스터!$A$5:$A$64,0)),""))</f>
        <v/>
      </c>
      <c r="P826" s="35">
        <f>IF($F826="","",IFERROR(INDEX(사건마스터!$AN$5:$AN$64,MATCH($F826,사건마스터!$A$5:$A$64,0)),""))</f>
        <v/>
      </c>
      <c r="Q826" s="35">
        <f>IF($F826="","",IFERROR(INDEX(사건마스터!$AO$5:$AO$64,MATCH($F826,사건마스터!$A$5:$A$64,0)),""))</f>
        <v/>
      </c>
      <c r="R826" s="35">
        <f>IF($F826="","",IFERROR(INDEX(사건마스터!$AP$5:$AP$64,MATCH($F826,사건마스터!$A$5:$A$64,0)),""))</f>
        <v/>
      </c>
      <c r="S826" s="35">
        <f>IF($F826="","",IFERROR(INDEX(사건마스터!$AQ$5:$AQ$64,MATCH($F826,사건마스터!$A$5:$A$64,0)),""))</f>
        <v/>
      </c>
      <c r="T826" s="35">
        <f>IF($F826="","",IFERROR(INDEX(사건마스터!$AR$5:$AR$64,MATCH($F826,사건마스터!$A$5:$A$64,0)),""))</f>
        <v/>
      </c>
      <c r="U826" s="35">
        <f>IF($F826="","",IFERROR(INDEX(사건마스터!$AS$5:$AS$64,MATCH($F826,사건마스터!$A$5:$A$64,0)),""))</f>
        <v/>
      </c>
      <c r="V826" s="35">
        <f>IF($F826="","",IFERROR(INDEX(사건마스터!$AT$5:$AT$64,MATCH($F826,사건마스터!$A$5:$A$64,0)),""))</f>
        <v/>
      </c>
      <c r="W826" s="35">
        <f>IF($F826="","",IFERROR(INDEX(사건마스터!$AU$5:$AU$64,MATCH($F826,사건마스터!$A$5:$A$64,0)),""))</f>
        <v/>
      </c>
      <c r="X826" s="35">
        <f>IF($F826="","",IFERROR(INDEX(사건마스터!$AV$5:$AV$64,MATCH($F826,사건마스터!$A$5:$A$64,0)),""))</f>
        <v/>
      </c>
      <c r="Y826" s="30">
        <f>IF($I826="","",COUNTIF($I826:$X826,"?*"))</f>
        <v/>
      </c>
      <c r="Z826" s="33">
        <f>IF($I826="","",_xlfn.TEXTJOIN(", ",TRUE,$I826:$X826))</f>
        <v/>
      </c>
      <c r="AA826" s="34">
        <f>IF($I826="","",IFERROR(INDEX(코드설정!$D$5:$D$24,MATCH($I826,코드설정!$C$5:$C$24,0)),""))</f>
        <v/>
      </c>
      <c r="AB826" s="36" t="n"/>
      <c r="AC826" s="37" t="n"/>
      <c r="AD826" s="38" t="n"/>
      <c r="AE826" s="30">
        <f>IF(OR($B826="",$C826=""),"",$C826-$B826+1)</f>
        <v/>
      </c>
      <c r="AF826" s="32" t="n"/>
      <c r="AG826" s="36" t="n"/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3">
        <f>IF($F827="","",IFERROR(INDEX(사건마스터!$B$5:$B$64,MATCH($F827,사건마스터!$A$5:$A$64,0)),""))</f>
        <v/>
      </c>
      <c r="H827" s="34">
        <f>IF($F827="","",IFERROR(INDEX(사건마스터!$C$5:$C$64,MATCH($F827,사건마스터!$A$5:$A$64,0)),""))</f>
        <v/>
      </c>
      <c r="I827" s="35">
        <f>IF($F827="","",IFERROR(INDEX(사건마스터!$H$5:$H$64,MATCH($F827,사건마스터!$A$5:$A$64,0)),""))</f>
        <v/>
      </c>
      <c r="J827" s="35">
        <f>IF($F827="","",IFERROR(INDEX(사건마스터!$AH$5:$AH$64,MATCH($F827,사건마스터!$A$5:$A$64,0)),""))</f>
        <v/>
      </c>
      <c r="K827" s="35">
        <f>IF($F827="","",IFERROR(INDEX(사건마스터!$AI$5:$AI$64,MATCH($F827,사건마스터!$A$5:$A$64,0)),""))</f>
        <v/>
      </c>
      <c r="L827" s="35">
        <f>IF($F827="","",IFERROR(INDEX(사건마스터!$AJ$5:$AJ$64,MATCH($F827,사건마스터!$A$5:$A$64,0)),""))</f>
        <v/>
      </c>
      <c r="M827" s="35">
        <f>IF($F827="","",IFERROR(INDEX(사건마스터!$AK$5:$AK$64,MATCH($F827,사건마스터!$A$5:$A$64,0)),""))</f>
        <v/>
      </c>
      <c r="N827" s="35">
        <f>IF($F827="","",IFERROR(INDEX(사건마스터!$AL$5:$AL$64,MATCH($F827,사건마스터!$A$5:$A$64,0)),""))</f>
        <v/>
      </c>
      <c r="O827" s="35">
        <f>IF($F827="","",IFERROR(INDEX(사건마스터!$AM$5:$AM$64,MATCH($F827,사건마스터!$A$5:$A$64,0)),""))</f>
        <v/>
      </c>
      <c r="P827" s="35">
        <f>IF($F827="","",IFERROR(INDEX(사건마스터!$AN$5:$AN$64,MATCH($F827,사건마스터!$A$5:$A$64,0)),""))</f>
        <v/>
      </c>
      <c r="Q827" s="35">
        <f>IF($F827="","",IFERROR(INDEX(사건마스터!$AO$5:$AO$64,MATCH($F827,사건마스터!$A$5:$A$64,0)),""))</f>
        <v/>
      </c>
      <c r="R827" s="35">
        <f>IF($F827="","",IFERROR(INDEX(사건마스터!$AP$5:$AP$64,MATCH($F827,사건마스터!$A$5:$A$64,0)),""))</f>
        <v/>
      </c>
      <c r="S827" s="35">
        <f>IF($F827="","",IFERROR(INDEX(사건마스터!$AQ$5:$AQ$64,MATCH($F827,사건마스터!$A$5:$A$64,0)),""))</f>
        <v/>
      </c>
      <c r="T827" s="35">
        <f>IF($F827="","",IFERROR(INDEX(사건마스터!$AR$5:$AR$64,MATCH($F827,사건마스터!$A$5:$A$64,0)),""))</f>
        <v/>
      </c>
      <c r="U827" s="35">
        <f>IF($F827="","",IFERROR(INDEX(사건마스터!$AS$5:$AS$64,MATCH($F827,사건마스터!$A$5:$A$64,0)),""))</f>
        <v/>
      </c>
      <c r="V827" s="35">
        <f>IF($F827="","",IFERROR(INDEX(사건마스터!$AT$5:$AT$64,MATCH($F827,사건마스터!$A$5:$A$64,0)),""))</f>
        <v/>
      </c>
      <c r="W827" s="35">
        <f>IF($F827="","",IFERROR(INDEX(사건마스터!$AU$5:$AU$64,MATCH($F827,사건마스터!$A$5:$A$64,0)),""))</f>
        <v/>
      </c>
      <c r="X827" s="35">
        <f>IF($F827="","",IFERROR(INDEX(사건마스터!$AV$5:$AV$64,MATCH($F827,사건마스터!$A$5:$A$64,0)),""))</f>
        <v/>
      </c>
      <c r="Y827" s="30">
        <f>IF($I827="","",COUNTIF($I827:$X827,"?*"))</f>
        <v/>
      </c>
      <c r="Z827" s="33">
        <f>IF($I827="","",_xlfn.TEXTJOIN(", ",TRUE,$I827:$X827))</f>
        <v/>
      </c>
      <c r="AA827" s="34">
        <f>IF($I827="","",IFERROR(INDEX(코드설정!$D$5:$D$24,MATCH($I827,코드설정!$C$5:$C$24,0)),""))</f>
        <v/>
      </c>
      <c r="AB827" s="36" t="n"/>
      <c r="AC827" s="37" t="n"/>
      <c r="AD827" s="38" t="n"/>
      <c r="AE827" s="30">
        <f>IF(OR($B827="",$C827=""),"",$C827-$B827+1)</f>
        <v/>
      </c>
      <c r="AF827" s="32" t="n"/>
      <c r="AG827" s="36" t="n"/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3">
        <f>IF($F828="","",IFERROR(INDEX(사건마스터!$B$5:$B$64,MATCH($F828,사건마스터!$A$5:$A$64,0)),""))</f>
        <v/>
      </c>
      <c r="H828" s="34">
        <f>IF($F828="","",IFERROR(INDEX(사건마스터!$C$5:$C$64,MATCH($F828,사건마스터!$A$5:$A$64,0)),""))</f>
        <v/>
      </c>
      <c r="I828" s="35">
        <f>IF($F828="","",IFERROR(INDEX(사건마스터!$H$5:$H$64,MATCH($F828,사건마스터!$A$5:$A$64,0)),""))</f>
        <v/>
      </c>
      <c r="J828" s="35">
        <f>IF($F828="","",IFERROR(INDEX(사건마스터!$AH$5:$AH$64,MATCH($F828,사건마스터!$A$5:$A$64,0)),""))</f>
        <v/>
      </c>
      <c r="K828" s="35">
        <f>IF($F828="","",IFERROR(INDEX(사건마스터!$AI$5:$AI$64,MATCH($F828,사건마스터!$A$5:$A$64,0)),""))</f>
        <v/>
      </c>
      <c r="L828" s="35">
        <f>IF($F828="","",IFERROR(INDEX(사건마스터!$AJ$5:$AJ$64,MATCH($F828,사건마스터!$A$5:$A$64,0)),""))</f>
        <v/>
      </c>
      <c r="M828" s="35">
        <f>IF($F828="","",IFERROR(INDEX(사건마스터!$AK$5:$AK$64,MATCH($F828,사건마스터!$A$5:$A$64,0)),""))</f>
        <v/>
      </c>
      <c r="N828" s="35">
        <f>IF($F828="","",IFERROR(INDEX(사건마스터!$AL$5:$AL$64,MATCH($F828,사건마스터!$A$5:$A$64,0)),""))</f>
        <v/>
      </c>
      <c r="O828" s="35">
        <f>IF($F828="","",IFERROR(INDEX(사건마스터!$AM$5:$AM$64,MATCH($F828,사건마스터!$A$5:$A$64,0)),""))</f>
        <v/>
      </c>
      <c r="P828" s="35">
        <f>IF($F828="","",IFERROR(INDEX(사건마스터!$AN$5:$AN$64,MATCH($F828,사건마스터!$A$5:$A$64,0)),""))</f>
        <v/>
      </c>
      <c r="Q828" s="35">
        <f>IF($F828="","",IFERROR(INDEX(사건마스터!$AO$5:$AO$64,MATCH($F828,사건마스터!$A$5:$A$64,0)),""))</f>
        <v/>
      </c>
      <c r="R828" s="35">
        <f>IF($F828="","",IFERROR(INDEX(사건마스터!$AP$5:$AP$64,MATCH($F828,사건마스터!$A$5:$A$64,0)),""))</f>
        <v/>
      </c>
      <c r="S828" s="35">
        <f>IF($F828="","",IFERROR(INDEX(사건마스터!$AQ$5:$AQ$64,MATCH($F828,사건마스터!$A$5:$A$64,0)),""))</f>
        <v/>
      </c>
      <c r="T828" s="35">
        <f>IF($F828="","",IFERROR(INDEX(사건마스터!$AR$5:$AR$64,MATCH($F828,사건마스터!$A$5:$A$64,0)),""))</f>
        <v/>
      </c>
      <c r="U828" s="35">
        <f>IF($F828="","",IFERROR(INDEX(사건마스터!$AS$5:$AS$64,MATCH($F828,사건마스터!$A$5:$A$64,0)),""))</f>
        <v/>
      </c>
      <c r="V828" s="35">
        <f>IF($F828="","",IFERROR(INDEX(사건마스터!$AT$5:$AT$64,MATCH($F828,사건마스터!$A$5:$A$64,0)),""))</f>
        <v/>
      </c>
      <c r="W828" s="35">
        <f>IF($F828="","",IFERROR(INDEX(사건마스터!$AU$5:$AU$64,MATCH($F828,사건마스터!$A$5:$A$64,0)),""))</f>
        <v/>
      </c>
      <c r="X828" s="35">
        <f>IF($F828="","",IFERROR(INDEX(사건마스터!$AV$5:$AV$64,MATCH($F828,사건마스터!$A$5:$A$64,0)),""))</f>
        <v/>
      </c>
      <c r="Y828" s="30">
        <f>IF($I828="","",COUNTIF($I828:$X828,"?*"))</f>
        <v/>
      </c>
      <c r="Z828" s="33">
        <f>IF($I828="","",_xlfn.TEXTJOIN(", ",TRUE,$I828:$X828))</f>
        <v/>
      </c>
      <c r="AA828" s="34">
        <f>IF($I828="","",IFERROR(INDEX(코드설정!$D$5:$D$24,MATCH($I828,코드설정!$C$5:$C$24,0)),""))</f>
        <v/>
      </c>
      <c r="AB828" s="36" t="n"/>
      <c r="AC828" s="37" t="n"/>
      <c r="AD828" s="38" t="n"/>
      <c r="AE828" s="30">
        <f>IF(OR($B828="",$C828=""),"",$C828-$B828+1)</f>
        <v/>
      </c>
      <c r="AF828" s="32" t="n"/>
      <c r="AG828" s="36" t="n"/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3">
        <f>IF($F829="","",IFERROR(INDEX(사건마스터!$B$5:$B$64,MATCH($F829,사건마스터!$A$5:$A$64,0)),""))</f>
        <v/>
      </c>
      <c r="H829" s="34">
        <f>IF($F829="","",IFERROR(INDEX(사건마스터!$C$5:$C$64,MATCH($F829,사건마스터!$A$5:$A$64,0)),""))</f>
        <v/>
      </c>
      <c r="I829" s="35">
        <f>IF($F829="","",IFERROR(INDEX(사건마스터!$H$5:$H$64,MATCH($F829,사건마스터!$A$5:$A$64,0)),""))</f>
        <v/>
      </c>
      <c r="J829" s="35">
        <f>IF($F829="","",IFERROR(INDEX(사건마스터!$AH$5:$AH$64,MATCH($F829,사건마스터!$A$5:$A$64,0)),""))</f>
        <v/>
      </c>
      <c r="K829" s="35">
        <f>IF($F829="","",IFERROR(INDEX(사건마스터!$AI$5:$AI$64,MATCH($F829,사건마스터!$A$5:$A$64,0)),""))</f>
        <v/>
      </c>
      <c r="L829" s="35">
        <f>IF($F829="","",IFERROR(INDEX(사건마스터!$AJ$5:$AJ$64,MATCH($F829,사건마스터!$A$5:$A$64,0)),""))</f>
        <v/>
      </c>
      <c r="M829" s="35">
        <f>IF($F829="","",IFERROR(INDEX(사건마스터!$AK$5:$AK$64,MATCH($F829,사건마스터!$A$5:$A$64,0)),""))</f>
        <v/>
      </c>
      <c r="N829" s="35">
        <f>IF($F829="","",IFERROR(INDEX(사건마스터!$AL$5:$AL$64,MATCH($F829,사건마스터!$A$5:$A$64,0)),""))</f>
        <v/>
      </c>
      <c r="O829" s="35">
        <f>IF($F829="","",IFERROR(INDEX(사건마스터!$AM$5:$AM$64,MATCH($F829,사건마스터!$A$5:$A$64,0)),""))</f>
        <v/>
      </c>
      <c r="P829" s="35">
        <f>IF($F829="","",IFERROR(INDEX(사건마스터!$AN$5:$AN$64,MATCH($F829,사건마스터!$A$5:$A$64,0)),""))</f>
        <v/>
      </c>
      <c r="Q829" s="35">
        <f>IF($F829="","",IFERROR(INDEX(사건마스터!$AO$5:$AO$64,MATCH($F829,사건마스터!$A$5:$A$64,0)),""))</f>
        <v/>
      </c>
      <c r="R829" s="35">
        <f>IF($F829="","",IFERROR(INDEX(사건마스터!$AP$5:$AP$64,MATCH($F829,사건마스터!$A$5:$A$64,0)),""))</f>
        <v/>
      </c>
      <c r="S829" s="35">
        <f>IF($F829="","",IFERROR(INDEX(사건마스터!$AQ$5:$AQ$64,MATCH($F829,사건마스터!$A$5:$A$64,0)),""))</f>
        <v/>
      </c>
      <c r="T829" s="35">
        <f>IF($F829="","",IFERROR(INDEX(사건마스터!$AR$5:$AR$64,MATCH($F829,사건마스터!$A$5:$A$64,0)),""))</f>
        <v/>
      </c>
      <c r="U829" s="35">
        <f>IF($F829="","",IFERROR(INDEX(사건마스터!$AS$5:$AS$64,MATCH($F829,사건마스터!$A$5:$A$64,0)),""))</f>
        <v/>
      </c>
      <c r="V829" s="35">
        <f>IF($F829="","",IFERROR(INDEX(사건마스터!$AT$5:$AT$64,MATCH($F829,사건마스터!$A$5:$A$64,0)),""))</f>
        <v/>
      </c>
      <c r="W829" s="35">
        <f>IF($F829="","",IFERROR(INDEX(사건마스터!$AU$5:$AU$64,MATCH($F829,사건마스터!$A$5:$A$64,0)),""))</f>
        <v/>
      </c>
      <c r="X829" s="35">
        <f>IF($F829="","",IFERROR(INDEX(사건마스터!$AV$5:$AV$64,MATCH($F829,사건마스터!$A$5:$A$64,0)),""))</f>
        <v/>
      </c>
      <c r="Y829" s="30">
        <f>IF($I829="","",COUNTIF($I829:$X829,"?*"))</f>
        <v/>
      </c>
      <c r="Z829" s="33">
        <f>IF($I829="","",_xlfn.TEXTJOIN(", ",TRUE,$I829:$X829))</f>
        <v/>
      </c>
      <c r="AA829" s="34">
        <f>IF($I829="","",IFERROR(INDEX(코드설정!$D$5:$D$24,MATCH($I829,코드설정!$C$5:$C$24,0)),""))</f>
        <v/>
      </c>
      <c r="AB829" s="36" t="n"/>
      <c r="AC829" s="37" t="n"/>
      <c r="AD829" s="38" t="n"/>
      <c r="AE829" s="30">
        <f>IF(OR($B829="",$C829=""),"",$C829-$B829+1)</f>
        <v/>
      </c>
      <c r="AF829" s="32" t="n"/>
      <c r="AG829" s="36" t="n"/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3">
        <f>IF($F830="","",IFERROR(INDEX(사건마스터!$B$5:$B$64,MATCH($F830,사건마스터!$A$5:$A$64,0)),""))</f>
        <v/>
      </c>
      <c r="H830" s="34">
        <f>IF($F830="","",IFERROR(INDEX(사건마스터!$C$5:$C$64,MATCH($F830,사건마스터!$A$5:$A$64,0)),""))</f>
        <v/>
      </c>
      <c r="I830" s="35">
        <f>IF($F830="","",IFERROR(INDEX(사건마스터!$H$5:$H$64,MATCH($F830,사건마스터!$A$5:$A$64,0)),""))</f>
        <v/>
      </c>
      <c r="J830" s="35">
        <f>IF($F830="","",IFERROR(INDEX(사건마스터!$AH$5:$AH$64,MATCH($F830,사건마스터!$A$5:$A$64,0)),""))</f>
        <v/>
      </c>
      <c r="K830" s="35">
        <f>IF($F830="","",IFERROR(INDEX(사건마스터!$AI$5:$AI$64,MATCH($F830,사건마스터!$A$5:$A$64,0)),""))</f>
        <v/>
      </c>
      <c r="L830" s="35">
        <f>IF($F830="","",IFERROR(INDEX(사건마스터!$AJ$5:$AJ$64,MATCH($F830,사건마스터!$A$5:$A$64,0)),""))</f>
        <v/>
      </c>
      <c r="M830" s="35">
        <f>IF($F830="","",IFERROR(INDEX(사건마스터!$AK$5:$AK$64,MATCH($F830,사건마스터!$A$5:$A$64,0)),""))</f>
        <v/>
      </c>
      <c r="N830" s="35">
        <f>IF($F830="","",IFERROR(INDEX(사건마스터!$AL$5:$AL$64,MATCH($F830,사건마스터!$A$5:$A$64,0)),""))</f>
        <v/>
      </c>
      <c r="O830" s="35">
        <f>IF($F830="","",IFERROR(INDEX(사건마스터!$AM$5:$AM$64,MATCH($F830,사건마스터!$A$5:$A$64,0)),""))</f>
        <v/>
      </c>
      <c r="P830" s="35">
        <f>IF($F830="","",IFERROR(INDEX(사건마스터!$AN$5:$AN$64,MATCH($F830,사건마스터!$A$5:$A$64,0)),""))</f>
        <v/>
      </c>
      <c r="Q830" s="35">
        <f>IF($F830="","",IFERROR(INDEX(사건마스터!$AO$5:$AO$64,MATCH($F830,사건마스터!$A$5:$A$64,0)),""))</f>
        <v/>
      </c>
      <c r="R830" s="35">
        <f>IF($F830="","",IFERROR(INDEX(사건마스터!$AP$5:$AP$64,MATCH($F830,사건마스터!$A$5:$A$64,0)),""))</f>
        <v/>
      </c>
      <c r="S830" s="35">
        <f>IF($F830="","",IFERROR(INDEX(사건마스터!$AQ$5:$AQ$64,MATCH($F830,사건마스터!$A$5:$A$64,0)),""))</f>
        <v/>
      </c>
      <c r="T830" s="35">
        <f>IF($F830="","",IFERROR(INDEX(사건마스터!$AR$5:$AR$64,MATCH($F830,사건마스터!$A$5:$A$64,0)),""))</f>
        <v/>
      </c>
      <c r="U830" s="35">
        <f>IF($F830="","",IFERROR(INDEX(사건마스터!$AS$5:$AS$64,MATCH($F830,사건마스터!$A$5:$A$64,0)),""))</f>
        <v/>
      </c>
      <c r="V830" s="35">
        <f>IF($F830="","",IFERROR(INDEX(사건마스터!$AT$5:$AT$64,MATCH($F830,사건마스터!$A$5:$A$64,0)),""))</f>
        <v/>
      </c>
      <c r="W830" s="35">
        <f>IF($F830="","",IFERROR(INDEX(사건마스터!$AU$5:$AU$64,MATCH($F830,사건마스터!$A$5:$A$64,0)),""))</f>
        <v/>
      </c>
      <c r="X830" s="35">
        <f>IF($F830="","",IFERROR(INDEX(사건마스터!$AV$5:$AV$64,MATCH($F830,사건마스터!$A$5:$A$64,0)),""))</f>
        <v/>
      </c>
      <c r="Y830" s="30">
        <f>IF($I830="","",COUNTIF($I830:$X830,"?*"))</f>
        <v/>
      </c>
      <c r="Z830" s="33">
        <f>IF($I830="","",_xlfn.TEXTJOIN(", ",TRUE,$I830:$X830))</f>
        <v/>
      </c>
      <c r="AA830" s="34">
        <f>IF($I830="","",IFERROR(INDEX(코드설정!$D$5:$D$24,MATCH($I830,코드설정!$C$5:$C$24,0)),""))</f>
        <v/>
      </c>
      <c r="AB830" s="36" t="n"/>
      <c r="AC830" s="37" t="n"/>
      <c r="AD830" s="38" t="n"/>
      <c r="AE830" s="30">
        <f>IF(OR($B830="",$C830=""),"",$C830-$B830+1)</f>
        <v/>
      </c>
      <c r="AF830" s="32" t="n"/>
      <c r="AG830" s="36" t="n"/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3">
        <f>IF($F831="","",IFERROR(INDEX(사건마스터!$B$5:$B$64,MATCH($F831,사건마스터!$A$5:$A$64,0)),""))</f>
        <v/>
      </c>
      <c r="H831" s="34">
        <f>IF($F831="","",IFERROR(INDEX(사건마스터!$C$5:$C$64,MATCH($F831,사건마스터!$A$5:$A$64,0)),""))</f>
        <v/>
      </c>
      <c r="I831" s="35">
        <f>IF($F831="","",IFERROR(INDEX(사건마스터!$H$5:$H$64,MATCH($F831,사건마스터!$A$5:$A$64,0)),""))</f>
        <v/>
      </c>
      <c r="J831" s="35">
        <f>IF($F831="","",IFERROR(INDEX(사건마스터!$AH$5:$AH$64,MATCH($F831,사건마스터!$A$5:$A$64,0)),""))</f>
        <v/>
      </c>
      <c r="K831" s="35">
        <f>IF($F831="","",IFERROR(INDEX(사건마스터!$AI$5:$AI$64,MATCH($F831,사건마스터!$A$5:$A$64,0)),""))</f>
        <v/>
      </c>
      <c r="L831" s="35">
        <f>IF($F831="","",IFERROR(INDEX(사건마스터!$AJ$5:$AJ$64,MATCH($F831,사건마스터!$A$5:$A$64,0)),""))</f>
        <v/>
      </c>
      <c r="M831" s="35">
        <f>IF($F831="","",IFERROR(INDEX(사건마스터!$AK$5:$AK$64,MATCH($F831,사건마스터!$A$5:$A$64,0)),""))</f>
        <v/>
      </c>
      <c r="N831" s="35">
        <f>IF($F831="","",IFERROR(INDEX(사건마스터!$AL$5:$AL$64,MATCH($F831,사건마스터!$A$5:$A$64,0)),""))</f>
        <v/>
      </c>
      <c r="O831" s="35">
        <f>IF($F831="","",IFERROR(INDEX(사건마스터!$AM$5:$AM$64,MATCH($F831,사건마스터!$A$5:$A$64,0)),""))</f>
        <v/>
      </c>
      <c r="P831" s="35">
        <f>IF($F831="","",IFERROR(INDEX(사건마스터!$AN$5:$AN$64,MATCH($F831,사건마스터!$A$5:$A$64,0)),""))</f>
        <v/>
      </c>
      <c r="Q831" s="35">
        <f>IF($F831="","",IFERROR(INDEX(사건마스터!$AO$5:$AO$64,MATCH($F831,사건마스터!$A$5:$A$64,0)),""))</f>
        <v/>
      </c>
      <c r="R831" s="35">
        <f>IF($F831="","",IFERROR(INDEX(사건마스터!$AP$5:$AP$64,MATCH($F831,사건마스터!$A$5:$A$64,0)),""))</f>
        <v/>
      </c>
      <c r="S831" s="35">
        <f>IF($F831="","",IFERROR(INDEX(사건마스터!$AQ$5:$AQ$64,MATCH($F831,사건마스터!$A$5:$A$64,0)),""))</f>
        <v/>
      </c>
      <c r="T831" s="35">
        <f>IF($F831="","",IFERROR(INDEX(사건마스터!$AR$5:$AR$64,MATCH($F831,사건마스터!$A$5:$A$64,0)),""))</f>
        <v/>
      </c>
      <c r="U831" s="35">
        <f>IF($F831="","",IFERROR(INDEX(사건마스터!$AS$5:$AS$64,MATCH($F831,사건마스터!$A$5:$A$64,0)),""))</f>
        <v/>
      </c>
      <c r="V831" s="35">
        <f>IF($F831="","",IFERROR(INDEX(사건마스터!$AT$5:$AT$64,MATCH($F831,사건마스터!$A$5:$A$64,0)),""))</f>
        <v/>
      </c>
      <c r="W831" s="35">
        <f>IF($F831="","",IFERROR(INDEX(사건마스터!$AU$5:$AU$64,MATCH($F831,사건마스터!$A$5:$A$64,0)),""))</f>
        <v/>
      </c>
      <c r="X831" s="35">
        <f>IF($F831="","",IFERROR(INDEX(사건마스터!$AV$5:$AV$64,MATCH($F831,사건마스터!$A$5:$A$64,0)),""))</f>
        <v/>
      </c>
      <c r="Y831" s="30">
        <f>IF($I831="","",COUNTIF($I831:$X831,"?*"))</f>
        <v/>
      </c>
      <c r="Z831" s="33">
        <f>IF($I831="","",_xlfn.TEXTJOIN(", ",TRUE,$I831:$X831))</f>
        <v/>
      </c>
      <c r="AA831" s="34">
        <f>IF($I831="","",IFERROR(INDEX(코드설정!$D$5:$D$24,MATCH($I831,코드설정!$C$5:$C$24,0)),""))</f>
        <v/>
      </c>
      <c r="AB831" s="36" t="n"/>
      <c r="AC831" s="37" t="n"/>
      <c r="AD831" s="38" t="n"/>
      <c r="AE831" s="30">
        <f>IF(OR($B831="",$C831=""),"",$C831-$B831+1)</f>
        <v/>
      </c>
      <c r="AF831" s="32" t="n"/>
      <c r="AG831" s="36" t="n"/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3">
        <f>IF($F832="","",IFERROR(INDEX(사건마스터!$B$5:$B$64,MATCH($F832,사건마스터!$A$5:$A$64,0)),""))</f>
        <v/>
      </c>
      <c r="H832" s="34">
        <f>IF($F832="","",IFERROR(INDEX(사건마스터!$C$5:$C$64,MATCH($F832,사건마스터!$A$5:$A$64,0)),""))</f>
        <v/>
      </c>
      <c r="I832" s="35">
        <f>IF($F832="","",IFERROR(INDEX(사건마스터!$H$5:$H$64,MATCH($F832,사건마스터!$A$5:$A$64,0)),""))</f>
        <v/>
      </c>
      <c r="J832" s="35">
        <f>IF($F832="","",IFERROR(INDEX(사건마스터!$AH$5:$AH$64,MATCH($F832,사건마스터!$A$5:$A$64,0)),""))</f>
        <v/>
      </c>
      <c r="K832" s="35">
        <f>IF($F832="","",IFERROR(INDEX(사건마스터!$AI$5:$AI$64,MATCH($F832,사건마스터!$A$5:$A$64,0)),""))</f>
        <v/>
      </c>
      <c r="L832" s="35">
        <f>IF($F832="","",IFERROR(INDEX(사건마스터!$AJ$5:$AJ$64,MATCH($F832,사건마스터!$A$5:$A$64,0)),""))</f>
        <v/>
      </c>
      <c r="M832" s="35">
        <f>IF($F832="","",IFERROR(INDEX(사건마스터!$AK$5:$AK$64,MATCH($F832,사건마스터!$A$5:$A$64,0)),""))</f>
        <v/>
      </c>
      <c r="N832" s="35">
        <f>IF($F832="","",IFERROR(INDEX(사건마스터!$AL$5:$AL$64,MATCH($F832,사건마스터!$A$5:$A$64,0)),""))</f>
        <v/>
      </c>
      <c r="O832" s="35">
        <f>IF($F832="","",IFERROR(INDEX(사건마스터!$AM$5:$AM$64,MATCH($F832,사건마스터!$A$5:$A$64,0)),""))</f>
        <v/>
      </c>
      <c r="P832" s="35">
        <f>IF($F832="","",IFERROR(INDEX(사건마스터!$AN$5:$AN$64,MATCH($F832,사건마스터!$A$5:$A$64,0)),""))</f>
        <v/>
      </c>
      <c r="Q832" s="35">
        <f>IF($F832="","",IFERROR(INDEX(사건마스터!$AO$5:$AO$64,MATCH($F832,사건마스터!$A$5:$A$64,0)),""))</f>
        <v/>
      </c>
      <c r="R832" s="35">
        <f>IF($F832="","",IFERROR(INDEX(사건마스터!$AP$5:$AP$64,MATCH($F832,사건마스터!$A$5:$A$64,0)),""))</f>
        <v/>
      </c>
      <c r="S832" s="35">
        <f>IF($F832="","",IFERROR(INDEX(사건마스터!$AQ$5:$AQ$64,MATCH($F832,사건마스터!$A$5:$A$64,0)),""))</f>
        <v/>
      </c>
      <c r="T832" s="35">
        <f>IF($F832="","",IFERROR(INDEX(사건마스터!$AR$5:$AR$64,MATCH($F832,사건마스터!$A$5:$A$64,0)),""))</f>
        <v/>
      </c>
      <c r="U832" s="35">
        <f>IF($F832="","",IFERROR(INDEX(사건마스터!$AS$5:$AS$64,MATCH($F832,사건마스터!$A$5:$A$64,0)),""))</f>
        <v/>
      </c>
      <c r="V832" s="35">
        <f>IF($F832="","",IFERROR(INDEX(사건마스터!$AT$5:$AT$64,MATCH($F832,사건마스터!$A$5:$A$64,0)),""))</f>
        <v/>
      </c>
      <c r="W832" s="35">
        <f>IF($F832="","",IFERROR(INDEX(사건마스터!$AU$5:$AU$64,MATCH($F832,사건마스터!$A$5:$A$64,0)),""))</f>
        <v/>
      </c>
      <c r="X832" s="35">
        <f>IF($F832="","",IFERROR(INDEX(사건마스터!$AV$5:$AV$64,MATCH($F832,사건마스터!$A$5:$A$64,0)),""))</f>
        <v/>
      </c>
      <c r="Y832" s="30">
        <f>IF($I832="","",COUNTIF($I832:$X832,"?*"))</f>
        <v/>
      </c>
      <c r="Z832" s="33">
        <f>IF($I832="","",_xlfn.TEXTJOIN(", ",TRUE,$I832:$X832))</f>
        <v/>
      </c>
      <c r="AA832" s="34">
        <f>IF($I832="","",IFERROR(INDEX(코드설정!$D$5:$D$24,MATCH($I832,코드설정!$C$5:$C$24,0)),""))</f>
        <v/>
      </c>
      <c r="AB832" s="36" t="n"/>
      <c r="AC832" s="37" t="n"/>
      <c r="AD832" s="38" t="n"/>
      <c r="AE832" s="30">
        <f>IF(OR($B832="",$C832=""),"",$C832-$B832+1)</f>
        <v/>
      </c>
      <c r="AF832" s="32" t="n"/>
      <c r="AG832" s="36" t="n"/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3">
        <f>IF($F833="","",IFERROR(INDEX(사건마스터!$B$5:$B$64,MATCH($F833,사건마스터!$A$5:$A$64,0)),""))</f>
        <v/>
      </c>
      <c r="H833" s="34">
        <f>IF($F833="","",IFERROR(INDEX(사건마스터!$C$5:$C$64,MATCH($F833,사건마스터!$A$5:$A$64,0)),""))</f>
        <v/>
      </c>
      <c r="I833" s="35">
        <f>IF($F833="","",IFERROR(INDEX(사건마스터!$H$5:$H$64,MATCH($F833,사건마스터!$A$5:$A$64,0)),""))</f>
        <v/>
      </c>
      <c r="J833" s="35">
        <f>IF($F833="","",IFERROR(INDEX(사건마스터!$AH$5:$AH$64,MATCH($F833,사건마스터!$A$5:$A$64,0)),""))</f>
        <v/>
      </c>
      <c r="K833" s="35">
        <f>IF($F833="","",IFERROR(INDEX(사건마스터!$AI$5:$AI$64,MATCH($F833,사건마스터!$A$5:$A$64,0)),""))</f>
        <v/>
      </c>
      <c r="L833" s="35">
        <f>IF($F833="","",IFERROR(INDEX(사건마스터!$AJ$5:$AJ$64,MATCH($F833,사건마스터!$A$5:$A$64,0)),""))</f>
        <v/>
      </c>
      <c r="M833" s="35">
        <f>IF($F833="","",IFERROR(INDEX(사건마스터!$AK$5:$AK$64,MATCH($F833,사건마스터!$A$5:$A$64,0)),""))</f>
        <v/>
      </c>
      <c r="N833" s="35">
        <f>IF($F833="","",IFERROR(INDEX(사건마스터!$AL$5:$AL$64,MATCH($F833,사건마스터!$A$5:$A$64,0)),""))</f>
        <v/>
      </c>
      <c r="O833" s="35">
        <f>IF($F833="","",IFERROR(INDEX(사건마스터!$AM$5:$AM$64,MATCH($F833,사건마스터!$A$5:$A$64,0)),""))</f>
        <v/>
      </c>
      <c r="P833" s="35">
        <f>IF($F833="","",IFERROR(INDEX(사건마스터!$AN$5:$AN$64,MATCH($F833,사건마스터!$A$5:$A$64,0)),""))</f>
        <v/>
      </c>
      <c r="Q833" s="35">
        <f>IF($F833="","",IFERROR(INDEX(사건마스터!$AO$5:$AO$64,MATCH($F833,사건마스터!$A$5:$A$64,0)),""))</f>
        <v/>
      </c>
      <c r="R833" s="35">
        <f>IF($F833="","",IFERROR(INDEX(사건마스터!$AP$5:$AP$64,MATCH($F833,사건마스터!$A$5:$A$64,0)),""))</f>
        <v/>
      </c>
      <c r="S833" s="35">
        <f>IF($F833="","",IFERROR(INDEX(사건마스터!$AQ$5:$AQ$64,MATCH($F833,사건마스터!$A$5:$A$64,0)),""))</f>
        <v/>
      </c>
      <c r="T833" s="35">
        <f>IF($F833="","",IFERROR(INDEX(사건마스터!$AR$5:$AR$64,MATCH($F833,사건마스터!$A$5:$A$64,0)),""))</f>
        <v/>
      </c>
      <c r="U833" s="35">
        <f>IF($F833="","",IFERROR(INDEX(사건마스터!$AS$5:$AS$64,MATCH($F833,사건마스터!$A$5:$A$64,0)),""))</f>
        <v/>
      </c>
      <c r="V833" s="35">
        <f>IF($F833="","",IFERROR(INDEX(사건마스터!$AT$5:$AT$64,MATCH($F833,사건마스터!$A$5:$A$64,0)),""))</f>
        <v/>
      </c>
      <c r="W833" s="35">
        <f>IF($F833="","",IFERROR(INDEX(사건마스터!$AU$5:$AU$64,MATCH($F833,사건마스터!$A$5:$A$64,0)),""))</f>
        <v/>
      </c>
      <c r="X833" s="35">
        <f>IF($F833="","",IFERROR(INDEX(사건마스터!$AV$5:$AV$64,MATCH($F833,사건마스터!$A$5:$A$64,0)),""))</f>
        <v/>
      </c>
      <c r="Y833" s="30">
        <f>IF($I833="","",COUNTIF($I833:$X833,"?*"))</f>
        <v/>
      </c>
      <c r="Z833" s="33">
        <f>IF($I833="","",_xlfn.TEXTJOIN(", ",TRUE,$I833:$X833))</f>
        <v/>
      </c>
      <c r="AA833" s="34">
        <f>IF($I833="","",IFERROR(INDEX(코드설정!$D$5:$D$24,MATCH($I833,코드설정!$C$5:$C$24,0)),""))</f>
        <v/>
      </c>
      <c r="AB833" s="36" t="n"/>
      <c r="AC833" s="37" t="n"/>
      <c r="AD833" s="38" t="n"/>
      <c r="AE833" s="30">
        <f>IF(OR($B833="",$C833=""),"",$C833-$B833+1)</f>
        <v/>
      </c>
      <c r="AF833" s="32" t="n"/>
      <c r="AG833" s="36" t="n"/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3">
        <f>IF($F834="","",IFERROR(INDEX(사건마스터!$B$5:$B$64,MATCH($F834,사건마스터!$A$5:$A$64,0)),""))</f>
        <v/>
      </c>
      <c r="H834" s="34">
        <f>IF($F834="","",IFERROR(INDEX(사건마스터!$C$5:$C$64,MATCH($F834,사건마스터!$A$5:$A$64,0)),""))</f>
        <v/>
      </c>
      <c r="I834" s="35">
        <f>IF($F834="","",IFERROR(INDEX(사건마스터!$H$5:$H$64,MATCH($F834,사건마스터!$A$5:$A$64,0)),""))</f>
        <v/>
      </c>
      <c r="J834" s="35">
        <f>IF($F834="","",IFERROR(INDEX(사건마스터!$AH$5:$AH$64,MATCH($F834,사건마스터!$A$5:$A$64,0)),""))</f>
        <v/>
      </c>
      <c r="K834" s="35">
        <f>IF($F834="","",IFERROR(INDEX(사건마스터!$AI$5:$AI$64,MATCH($F834,사건마스터!$A$5:$A$64,0)),""))</f>
        <v/>
      </c>
      <c r="L834" s="35">
        <f>IF($F834="","",IFERROR(INDEX(사건마스터!$AJ$5:$AJ$64,MATCH($F834,사건마스터!$A$5:$A$64,0)),""))</f>
        <v/>
      </c>
      <c r="M834" s="35">
        <f>IF($F834="","",IFERROR(INDEX(사건마스터!$AK$5:$AK$64,MATCH($F834,사건마스터!$A$5:$A$64,0)),""))</f>
        <v/>
      </c>
      <c r="N834" s="35">
        <f>IF($F834="","",IFERROR(INDEX(사건마스터!$AL$5:$AL$64,MATCH($F834,사건마스터!$A$5:$A$64,0)),""))</f>
        <v/>
      </c>
      <c r="O834" s="35">
        <f>IF($F834="","",IFERROR(INDEX(사건마스터!$AM$5:$AM$64,MATCH($F834,사건마스터!$A$5:$A$64,0)),""))</f>
        <v/>
      </c>
      <c r="P834" s="35">
        <f>IF($F834="","",IFERROR(INDEX(사건마스터!$AN$5:$AN$64,MATCH($F834,사건마스터!$A$5:$A$64,0)),""))</f>
        <v/>
      </c>
      <c r="Q834" s="35">
        <f>IF($F834="","",IFERROR(INDEX(사건마스터!$AO$5:$AO$64,MATCH($F834,사건마스터!$A$5:$A$64,0)),""))</f>
        <v/>
      </c>
      <c r="R834" s="35">
        <f>IF($F834="","",IFERROR(INDEX(사건마스터!$AP$5:$AP$64,MATCH($F834,사건마스터!$A$5:$A$64,0)),""))</f>
        <v/>
      </c>
      <c r="S834" s="35">
        <f>IF($F834="","",IFERROR(INDEX(사건마스터!$AQ$5:$AQ$64,MATCH($F834,사건마스터!$A$5:$A$64,0)),""))</f>
        <v/>
      </c>
      <c r="T834" s="35">
        <f>IF($F834="","",IFERROR(INDEX(사건마스터!$AR$5:$AR$64,MATCH($F834,사건마스터!$A$5:$A$64,0)),""))</f>
        <v/>
      </c>
      <c r="U834" s="35">
        <f>IF($F834="","",IFERROR(INDEX(사건마스터!$AS$5:$AS$64,MATCH($F834,사건마스터!$A$5:$A$64,0)),""))</f>
        <v/>
      </c>
      <c r="V834" s="35">
        <f>IF($F834="","",IFERROR(INDEX(사건마스터!$AT$5:$AT$64,MATCH($F834,사건마스터!$A$5:$A$64,0)),""))</f>
        <v/>
      </c>
      <c r="W834" s="35">
        <f>IF($F834="","",IFERROR(INDEX(사건마스터!$AU$5:$AU$64,MATCH($F834,사건마스터!$A$5:$A$64,0)),""))</f>
        <v/>
      </c>
      <c r="X834" s="35">
        <f>IF($F834="","",IFERROR(INDEX(사건마스터!$AV$5:$AV$64,MATCH($F834,사건마스터!$A$5:$A$64,0)),""))</f>
        <v/>
      </c>
      <c r="Y834" s="30">
        <f>IF($I834="","",COUNTIF($I834:$X834,"?*"))</f>
        <v/>
      </c>
      <c r="Z834" s="33">
        <f>IF($I834="","",_xlfn.TEXTJOIN(", ",TRUE,$I834:$X834))</f>
        <v/>
      </c>
      <c r="AA834" s="34">
        <f>IF($I834="","",IFERROR(INDEX(코드설정!$D$5:$D$24,MATCH($I834,코드설정!$C$5:$C$24,0)),""))</f>
        <v/>
      </c>
      <c r="AB834" s="36" t="n"/>
      <c r="AC834" s="37" t="n"/>
      <c r="AD834" s="38" t="n"/>
      <c r="AE834" s="30">
        <f>IF(OR($B834="",$C834=""),"",$C834-$B834+1)</f>
        <v/>
      </c>
      <c r="AF834" s="32" t="n"/>
      <c r="AG834" s="36" t="n"/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3">
        <f>IF($F835="","",IFERROR(INDEX(사건마스터!$B$5:$B$64,MATCH($F835,사건마스터!$A$5:$A$64,0)),""))</f>
        <v/>
      </c>
      <c r="H835" s="34">
        <f>IF($F835="","",IFERROR(INDEX(사건마스터!$C$5:$C$64,MATCH($F835,사건마스터!$A$5:$A$64,0)),""))</f>
        <v/>
      </c>
      <c r="I835" s="35">
        <f>IF($F835="","",IFERROR(INDEX(사건마스터!$H$5:$H$64,MATCH($F835,사건마스터!$A$5:$A$64,0)),""))</f>
        <v/>
      </c>
      <c r="J835" s="35">
        <f>IF($F835="","",IFERROR(INDEX(사건마스터!$AH$5:$AH$64,MATCH($F835,사건마스터!$A$5:$A$64,0)),""))</f>
        <v/>
      </c>
      <c r="K835" s="35">
        <f>IF($F835="","",IFERROR(INDEX(사건마스터!$AI$5:$AI$64,MATCH($F835,사건마스터!$A$5:$A$64,0)),""))</f>
        <v/>
      </c>
      <c r="L835" s="35">
        <f>IF($F835="","",IFERROR(INDEX(사건마스터!$AJ$5:$AJ$64,MATCH($F835,사건마스터!$A$5:$A$64,0)),""))</f>
        <v/>
      </c>
      <c r="M835" s="35">
        <f>IF($F835="","",IFERROR(INDEX(사건마스터!$AK$5:$AK$64,MATCH($F835,사건마스터!$A$5:$A$64,0)),""))</f>
        <v/>
      </c>
      <c r="N835" s="35">
        <f>IF($F835="","",IFERROR(INDEX(사건마스터!$AL$5:$AL$64,MATCH($F835,사건마스터!$A$5:$A$64,0)),""))</f>
        <v/>
      </c>
      <c r="O835" s="35">
        <f>IF($F835="","",IFERROR(INDEX(사건마스터!$AM$5:$AM$64,MATCH($F835,사건마스터!$A$5:$A$64,0)),""))</f>
        <v/>
      </c>
      <c r="P835" s="35">
        <f>IF($F835="","",IFERROR(INDEX(사건마스터!$AN$5:$AN$64,MATCH($F835,사건마스터!$A$5:$A$64,0)),""))</f>
        <v/>
      </c>
      <c r="Q835" s="35">
        <f>IF($F835="","",IFERROR(INDEX(사건마스터!$AO$5:$AO$64,MATCH($F835,사건마스터!$A$5:$A$64,0)),""))</f>
        <v/>
      </c>
      <c r="R835" s="35">
        <f>IF($F835="","",IFERROR(INDEX(사건마스터!$AP$5:$AP$64,MATCH($F835,사건마스터!$A$5:$A$64,0)),""))</f>
        <v/>
      </c>
      <c r="S835" s="35">
        <f>IF($F835="","",IFERROR(INDEX(사건마스터!$AQ$5:$AQ$64,MATCH($F835,사건마스터!$A$5:$A$64,0)),""))</f>
        <v/>
      </c>
      <c r="T835" s="35">
        <f>IF($F835="","",IFERROR(INDEX(사건마스터!$AR$5:$AR$64,MATCH($F835,사건마스터!$A$5:$A$64,0)),""))</f>
        <v/>
      </c>
      <c r="U835" s="35">
        <f>IF($F835="","",IFERROR(INDEX(사건마스터!$AS$5:$AS$64,MATCH($F835,사건마스터!$A$5:$A$64,0)),""))</f>
        <v/>
      </c>
      <c r="V835" s="35">
        <f>IF($F835="","",IFERROR(INDEX(사건마스터!$AT$5:$AT$64,MATCH($F835,사건마스터!$A$5:$A$64,0)),""))</f>
        <v/>
      </c>
      <c r="W835" s="35">
        <f>IF($F835="","",IFERROR(INDEX(사건마스터!$AU$5:$AU$64,MATCH($F835,사건마스터!$A$5:$A$64,0)),""))</f>
        <v/>
      </c>
      <c r="X835" s="35">
        <f>IF($F835="","",IFERROR(INDEX(사건마스터!$AV$5:$AV$64,MATCH($F835,사건마스터!$A$5:$A$64,0)),""))</f>
        <v/>
      </c>
      <c r="Y835" s="30">
        <f>IF($I835="","",COUNTIF($I835:$X835,"?*"))</f>
        <v/>
      </c>
      <c r="Z835" s="33">
        <f>IF($I835="","",_xlfn.TEXTJOIN(", ",TRUE,$I835:$X835))</f>
        <v/>
      </c>
      <c r="AA835" s="34">
        <f>IF($I835="","",IFERROR(INDEX(코드설정!$D$5:$D$24,MATCH($I835,코드설정!$C$5:$C$24,0)),""))</f>
        <v/>
      </c>
      <c r="AB835" s="36" t="n"/>
      <c r="AC835" s="37" t="n"/>
      <c r="AD835" s="38" t="n"/>
      <c r="AE835" s="30">
        <f>IF(OR($B835="",$C835=""),"",$C835-$B835+1)</f>
        <v/>
      </c>
      <c r="AF835" s="32" t="n"/>
      <c r="AG835" s="36" t="n"/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3">
        <f>IF($F836="","",IFERROR(INDEX(사건마스터!$B$5:$B$64,MATCH($F836,사건마스터!$A$5:$A$64,0)),""))</f>
        <v/>
      </c>
      <c r="H836" s="34">
        <f>IF($F836="","",IFERROR(INDEX(사건마스터!$C$5:$C$64,MATCH($F836,사건마스터!$A$5:$A$64,0)),""))</f>
        <v/>
      </c>
      <c r="I836" s="35">
        <f>IF($F836="","",IFERROR(INDEX(사건마스터!$H$5:$H$64,MATCH($F836,사건마스터!$A$5:$A$64,0)),""))</f>
        <v/>
      </c>
      <c r="J836" s="35">
        <f>IF($F836="","",IFERROR(INDEX(사건마스터!$AH$5:$AH$64,MATCH($F836,사건마스터!$A$5:$A$64,0)),""))</f>
        <v/>
      </c>
      <c r="K836" s="35">
        <f>IF($F836="","",IFERROR(INDEX(사건마스터!$AI$5:$AI$64,MATCH($F836,사건마스터!$A$5:$A$64,0)),""))</f>
        <v/>
      </c>
      <c r="L836" s="35">
        <f>IF($F836="","",IFERROR(INDEX(사건마스터!$AJ$5:$AJ$64,MATCH($F836,사건마스터!$A$5:$A$64,0)),""))</f>
        <v/>
      </c>
      <c r="M836" s="35">
        <f>IF($F836="","",IFERROR(INDEX(사건마스터!$AK$5:$AK$64,MATCH($F836,사건마스터!$A$5:$A$64,0)),""))</f>
        <v/>
      </c>
      <c r="N836" s="35">
        <f>IF($F836="","",IFERROR(INDEX(사건마스터!$AL$5:$AL$64,MATCH($F836,사건마스터!$A$5:$A$64,0)),""))</f>
        <v/>
      </c>
      <c r="O836" s="35">
        <f>IF($F836="","",IFERROR(INDEX(사건마스터!$AM$5:$AM$64,MATCH($F836,사건마스터!$A$5:$A$64,0)),""))</f>
        <v/>
      </c>
      <c r="P836" s="35">
        <f>IF($F836="","",IFERROR(INDEX(사건마스터!$AN$5:$AN$64,MATCH($F836,사건마스터!$A$5:$A$64,0)),""))</f>
        <v/>
      </c>
      <c r="Q836" s="35">
        <f>IF($F836="","",IFERROR(INDEX(사건마스터!$AO$5:$AO$64,MATCH($F836,사건마스터!$A$5:$A$64,0)),""))</f>
        <v/>
      </c>
      <c r="R836" s="35">
        <f>IF($F836="","",IFERROR(INDEX(사건마스터!$AP$5:$AP$64,MATCH($F836,사건마스터!$A$5:$A$64,0)),""))</f>
        <v/>
      </c>
      <c r="S836" s="35">
        <f>IF($F836="","",IFERROR(INDEX(사건마스터!$AQ$5:$AQ$64,MATCH($F836,사건마스터!$A$5:$A$64,0)),""))</f>
        <v/>
      </c>
      <c r="T836" s="35">
        <f>IF($F836="","",IFERROR(INDEX(사건마스터!$AR$5:$AR$64,MATCH($F836,사건마스터!$A$5:$A$64,0)),""))</f>
        <v/>
      </c>
      <c r="U836" s="35">
        <f>IF($F836="","",IFERROR(INDEX(사건마스터!$AS$5:$AS$64,MATCH($F836,사건마스터!$A$5:$A$64,0)),""))</f>
        <v/>
      </c>
      <c r="V836" s="35">
        <f>IF($F836="","",IFERROR(INDEX(사건마스터!$AT$5:$AT$64,MATCH($F836,사건마스터!$A$5:$A$64,0)),""))</f>
        <v/>
      </c>
      <c r="W836" s="35">
        <f>IF($F836="","",IFERROR(INDEX(사건마스터!$AU$5:$AU$64,MATCH($F836,사건마스터!$A$5:$A$64,0)),""))</f>
        <v/>
      </c>
      <c r="X836" s="35">
        <f>IF($F836="","",IFERROR(INDEX(사건마스터!$AV$5:$AV$64,MATCH($F836,사건마스터!$A$5:$A$64,0)),""))</f>
        <v/>
      </c>
      <c r="Y836" s="30">
        <f>IF($I836="","",COUNTIF($I836:$X836,"?*"))</f>
        <v/>
      </c>
      <c r="Z836" s="33">
        <f>IF($I836="","",_xlfn.TEXTJOIN(", ",TRUE,$I836:$X836))</f>
        <v/>
      </c>
      <c r="AA836" s="34">
        <f>IF($I836="","",IFERROR(INDEX(코드설정!$D$5:$D$24,MATCH($I836,코드설정!$C$5:$C$24,0)),""))</f>
        <v/>
      </c>
      <c r="AB836" s="36" t="n"/>
      <c r="AC836" s="37" t="n"/>
      <c r="AD836" s="38" t="n"/>
      <c r="AE836" s="30">
        <f>IF(OR($B836="",$C836=""),"",$C836-$B836+1)</f>
        <v/>
      </c>
      <c r="AF836" s="32" t="n"/>
      <c r="AG836" s="36" t="n"/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3">
        <f>IF($F837="","",IFERROR(INDEX(사건마스터!$B$5:$B$64,MATCH($F837,사건마스터!$A$5:$A$64,0)),""))</f>
        <v/>
      </c>
      <c r="H837" s="34">
        <f>IF($F837="","",IFERROR(INDEX(사건마스터!$C$5:$C$64,MATCH($F837,사건마스터!$A$5:$A$64,0)),""))</f>
        <v/>
      </c>
      <c r="I837" s="35">
        <f>IF($F837="","",IFERROR(INDEX(사건마스터!$H$5:$H$64,MATCH($F837,사건마스터!$A$5:$A$64,0)),""))</f>
        <v/>
      </c>
      <c r="J837" s="35">
        <f>IF($F837="","",IFERROR(INDEX(사건마스터!$AH$5:$AH$64,MATCH($F837,사건마스터!$A$5:$A$64,0)),""))</f>
        <v/>
      </c>
      <c r="K837" s="35">
        <f>IF($F837="","",IFERROR(INDEX(사건마스터!$AI$5:$AI$64,MATCH($F837,사건마스터!$A$5:$A$64,0)),""))</f>
        <v/>
      </c>
      <c r="L837" s="35">
        <f>IF($F837="","",IFERROR(INDEX(사건마스터!$AJ$5:$AJ$64,MATCH($F837,사건마스터!$A$5:$A$64,0)),""))</f>
        <v/>
      </c>
      <c r="M837" s="35">
        <f>IF($F837="","",IFERROR(INDEX(사건마스터!$AK$5:$AK$64,MATCH($F837,사건마스터!$A$5:$A$64,0)),""))</f>
        <v/>
      </c>
      <c r="N837" s="35">
        <f>IF($F837="","",IFERROR(INDEX(사건마스터!$AL$5:$AL$64,MATCH($F837,사건마스터!$A$5:$A$64,0)),""))</f>
        <v/>
      </c>
      <c r="O837" s="35">
        <f>IF($F837="","",IFERROR(INDEX(사건마스터!$AM$5:$AM$64,MATCH($F837,사건마스터!$A$5:$A$64,0)),""))</f>
        <v/>
      </c>
      <c r="P837" s="35">
        <f>IF($F837="","",IFERROR(INDEX(사건마스터!$AN$5:$AN$64,MATCH($F837,사건마스터!$A$5:$A$64,0)),""))</f>
        <v/>
      </c>
      <c r="Q837" s="35">
        <f>IF($F837="","",IFERROR(INDEX(사건마스터!$AO$5:$AO$64,MATCH($F837,사건마스터!$A$5:$A$64,0)),""))</f>
        <v/>
      </c>
      <c r="R837" s="35">
        <f>IF($F837="","",IFERROR(INDEX(사건마스터!$AP$5:$AP$64,MATCH($F837,사건마스터!$A$5:$A$64,0)),""))</f>
        <v/>
      </c>
      <c r="S837" s="35">
        <f>IF($F837="","",IFERROR(INDEX(사건마스터!$AQ$5:$AQ$64,MATCH($F837,사건마스터!$A$5:$A$64,0)),""))</f>
        <v/>
      </c>
      <c r="T837" s="35">
        <f>IF($F837="","",IFERROR(INDEX(사건마스터!$AR$5:$AR$64,MATCH($F837,사건마스터!$A$5:$A$64,0)),""))</f>
        <v/>
      </c>
      <c r="U837" s="35">
        <f>IF($F837="","",IFERROR(INDEX(사건마스터!$AS$5:$AS$64,MATCH($F837,사건마스터!$A$5:$A$64,0)),""))</f>
        <v/>
      </c>
      <c r="V837" s="35">
        <f>IF($F837="","",IFERROR(INDEX(사건마스터!$AT$5:$AT$64,MATCH($F837,사건마스터!$A$5:$A$64,0)),""))</f>
        <v/>
      </c>
      <c r="W837" s="35">
        <f>IF($F837="","",IFERROR(INDEX(사건마스터!$AU$5:$AU$64,MATCH($F837,사건마스터!$A$5:$A$64,0)),""))</f>
        <v/>
      </c>
      <c r="X837" s="35">
        <f>IF($F837="","",IFERROR(INDEX(사건마스터!$AV$5:$AV$64,MATCH($F837,사건마스터!$A$5:$A$64,0)),""))</f>
        <v/>
      </c>
      <c r="Y837" s="30">
        <f>IF($I837="","",COUNTIF($I837:$X837,"?*"))</f>
        <v/>
      </c>
      <c r="Z837" s="33">
        <f>IF($I837="","",_xlfn.TEXTJOIN(", ",TRUE,$I837:$X837))</f>
        <v/>
      </c>
      <c r="AA837" s="34">
        <f>IF($I837="","",IFERROR(INDEX(코드설정!$D$5:$D$24,MATCH($I837,코드설정!$C$5:$C$24,0)),""))</f>
        <v/>
      </c>
      <c r="AB837" s="36" t="n"/>
      <c r="AC837" s="37" t="n"/>
      <c r="AD837" s="38" t="n"/>
      <c r="AE837" s="30">
        <f>IF(OR($B837="",$C837=""),"",$C837-$B837+1)</f>
        <v/>
      </c>
      <c r="AF837" s="32" t="n"/>
      <c r="AG837" s="36" t="n"/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3">
        <f>IF($F838="","",IFERROR(INDEX(사건마스터!$B$5:$B$64,MATCH($F838,사건마스터!$A$5:$A$64,0)),""))</f>
        <v/>
      </c>
      <c r="H838" s="34">
        <f>IF($F838="","",IFERROR(INDEX(사건마스터!$C$5:$C$64,MATCH($F838,사건마스터!$A$5:$A$64,0)),""))</f>
        <v/>
      </c>
      <c r="I838" s="35">
        <f>IF($F838="","",IFERROR(INDEX(사건마스터!$H$5:$H$64,MATCH($F838,사건마스터!$A$5:$A$64,0)),""))</f>
        <v/>
      </c>
      <c r="J838" s="35">
        <f>IF($F838="","",IFERROR(INDEX(사건마스터!$AH$5:$AH$64,MATCH($F838,사건마스터!$A$5:$A$64,0)),""))</f>
        <v/>
      </c>
      <c r="K838" s="35">
        <f>IF($F838="","",IFERROR(INDEX(사건마스터!$AI$5:$AI$64,MATCH($F838,사건마스터!$A$5:$A$64,0)),""))</f>
        <v/>
      </c>
      <c r="L838" s="35">
        <f>IF($F838="","",IFERROR(INDEX(사건마스터!$AJ$5:$AJ$64,MATCH($F838,사건마스터!$A$5:$A$64,0)),""))</f>
        <v/>
      </c>
      <c r="M838" s="35">
        <f>IF($F838="","",IFERROR(INDEX(사건마스터!$AK$5:$AK$64,MATCH($F838,사건마스터!$A$5:$A$64,0)),""))</f>
        <v/>
      </c>
      <c r="N838" s="35">
        <f>IF($F838="","",IFERROR(INDEX(사건마스터!$AL$5:$AL$64,MATCH($F838,사건마스터!$A$5:$A$64,0)),""))</f>
        <v/>
      </c>
      <c r="O838" s="35">
        <f>IF($F838="","",IFERROR(INDEX(사건마스터!$AM$5:$AM$64,MATCH($F838,사건마스터!$A$5:$A$64,0)),""))</f>
        <v/>
      </c>
      <c r="P838" s="35">
        <f>IF($F838="","",IFERROR(INDEX(사건마스터!$AN$5:$AN$64,MATCH($F838,사건마스터!$A$5:$A$64,0)),""))</f>
        <v/>
      </c>
      <c r="Q838" s="35">
        <f>IF($F838="","",IFERROR(INDEX(사건마스터!$AO$5:$AO$64,MATCH($F838,사건마스터!$A$5:$A$64,0)),""))</f>
        <v/>
      </c>
      <c r="R838" s="35">
        <f>IF($F838="","",IFERROR(INDEX(사건마스터!$AP$5:$AP$64,MATCH($F838,사건마스터!$A$5:$A$64,0)),""))</f>
        <v/>
      </c>
      <c r="S838" s="35">
        <f>IF($F838="","",IFERROR(INDEX(사건마스터!$AQ$5:$AQ$64,MATCH($F838,사건마스터!$A$5:$A$64,0)),""))</f>
        <v/>
      </c>
      <c r="T838" s="35">
        <f>IF($F838="","",IFERROR(INDEX(사건마스터!$AR$5:$AR$64,MATCH($F838,사건마스터!$A$5:$A$64,0)),""))</f>
        <v/>
      </c>
      <c r="U838" s="35">
        <f>IF($F838="","",IFERROR(INDEX(사건마스터!$AS$5:$AS$64,MATCH($F838,사건마스터!$A$5:$A$64,0)),""))</f>
        <v/>
      </c>
      <c r="V838" s="35">
        <f>IF($F838="","",IFERROR(INDEX(사건마스터!$AT$5:$AT$64,MATCH($F838,사건마스터!$A$5:$A$64,0)),""))</f>
        <v/>
      </c>
      <c r="W838" s="35">
        <f>IF($F838="","",IFERROR(INDEX(사건마스터!$AU$5:$AU$64,MATCH($F838,사건마스터!$A$5:$A$64,0)),""))</f>
        <v/>
      </c>
      <c r="X838" s="35">
        <f>IF($F838="","",IFERROR(INDEX(사건마스터!$AV$5:$AV$64,MATCH($F838,사건마스터!$A$5:$A$64,0)),""))</f>
        <v/>
      </c>
      <c r="Y838" s="30">
        <f>IF($I838="","",COUNTIF($I838:$X838,"?*"))</f>
        <v/>
      </c>
      <c r="Z838" s="33">
        <f>IF($I838="","",_xlfn.TEXTJOIN(", ",TRUE,$I838:$X838))</f>
        <v/>
      </c>
      <c r="AA838" s="34">
        <f>IF($I838="","",IFERROR(INDEX(코드설정!$D$5:$D$24,MATCH($I838,코드설정!$C$5:$C$24,0)),""))</f>
        <v/>
      </c>
      <c r="AB838" s="36" t="n"/>
      <c r="AC838" s="37" t="n"/>
      <c r="AD838" s="38" t="n"/>
      <c r="AE838" s="30">
        <f>IF(OR($B838="",$C838=""),"",$C838-$B838+1)</f>
        <v/>
      </c>
      <c r="AF838" s="32" t="n"/>
      <c r="AG838" s="36" t="n"/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3">
        <f>IF($F839="","",IFERROR(INDEX(사건마스터!$B$5:$B$64,MATCH($F839,사건마스터!$A$5:$A$64,0)),""))</f>
        <v/>
      </c>
      <c r="H839" s="34">
        <f>IF($F839="","",IFERROR(INDEX(사건마스터!$C$5:$C$64,MATCH($F839,사건마스터!$A$5:$A$64,0)),""))</f>
        <v/>
      </c>
      <c r="I839" s="35">
        <f>IF($F839="","",IFERROR(INDEX(사건마스터!$H$5:$H$64,MATCH($F839,사건마스터!$A$5:$A$64,0)),""))</f>
        <v/>
      </c>
      <c r="J839" s="35">
        <f>IF($F839="","",IFERROR(INDEX(사건마스터!$AH$5:$AH$64,MATCH($F839,사건마스터!$A$5:$A$64,0)),""))</f>
        <v/>
      </c>
      <c r="K839" s="35">
        <f>IF($F839="","",IFERROR(INDEX(사건마스터!$AI$5:$AI$64,MATCH($F839,사건마스터!$A$5:$A$64,0)),""))</f>
        <v/>
      </c>
      <c r="L839" s="35">
        <f>IF($F839="","",IFERROR(INDEX(사건마스터!$AJ$5:$AJ$64,MATCH($F839,사건마스터!$A$5:$A$64,0)),""))</f>
        <v/>
      </c>
      <c r="M839" s="35">
        <f>IF($F839="","",IFERROR(INDEX(사건마스터!$AK$5:$AK$64,MATCH($F839,사건마스터!$A$5:$A$64,0)),""))</f>
        <v/>
      </c>
      <c r="N839" s="35">
        <f>IF($F839="","",IFERROR(INDEX(사건마스터!$AL$5:$AL$64,MATCH($F839,사건마스터!$A$5:$A$64,0)),""))</f>
        <v/>
      </c>
      <c r="O839" s="35">
        <f>IF($F839="","",IFERROR(INDEX(사건마스터!$AM$5:$AM$64,MATCH($F839,사건마스터!$A$5:$A$64,0)),""))</f>
        <v/>
      </c>
      <c r="P839" s="35">
        <f>IF($F839="","",IFERROR(INDEX(사건마스터!$AN$5:$AN$64,MATCH($F839,사건마스터!$A$5:$A$64,0)),""))</f>
        <v/>
      </c>
      <c r="Q839" s="35">
        <f>IF($F839="","",IFERROR(INDEX(사건마스터!$AO$5:$AO$64,MATCH($F839,사건마스터!$A$5:$A$64,0)),""))</f>
        <v/>
      </c>
      <c r="R839" s="35">
        <f>IF($F839="","",IFERROR(INDEX(사건마스터!$AP$5:$AP$64,MATCH($F839,사건마스터!$A$5:$A$64,0)),""))</f>
        <v/>
      </c>
      <c r="S839" s="35">
        <f>IF($F839="","",IFERROR(INDEX(사건마스터!$AQ$5:$AQ$64,MATCH($F839,사건마스터!$A$5:$A$64,0)),""))</f>
        <v/>
      </c>
      <c r="T839" s="35">
        <f>IF($F839="","",IFERROR(INDEX(사건마스터!$AR$5:$AR$64,MATCH($F839,사건마스터!$A$5:$A$64,0)),""))</f>
        <v/>
      </c>
      <c r="U839" s="35">
        <f>IF($F839="","",IFERROR(INDEX(사건마스터!$AS$5:$AS$64,MATCH($F839,사건마스터!$A$5:$A$64,0)),""))</f>
        <v/>
      </c>
      <c r="V839" s="35">
        <f>IF($F839="","",IFERROR(INDEX(사건마스터!$AT$5:$AT$64,MATCH($F839,사건마스터!$A$5:$A$64,0)),""))</f>
        <v/>
      </c>
      <c r="W839" s="35">
        <f>IF($F839="","",IFERROR(INDEX(사건마스터!$AU$5:$AU$64,MATCH($F839,사건마스터!$A$5:$A$64,0)),""))</f>
        <v/>
      </c>
      <c r="X839" s="35">
        <f>IF($F839="","",IFERROR(INDEX(사건마스터!$AV$5:$AV$64,MATCH($F839,사건마스터!$A$5:$A$64,0)),""))</f>
        <v/>
      </c>
      <c r="Y839" s="30">
        <f>IF($I839="","",COUNTIF($I839:$X839,"?*"))</f>
        <v/>
      </c>
      <c r="Z839" s="33">
        <f>IF($I839="","",_xlfn.TEXTJOIN(", ",TRUE,$I839:$X839))</f>
        <v/>
      </c>
      <c r="AA839" s="34">
        <f>IF($I839="","",IFERROR(INDEX(코드설정!$D$5:$D$24,MATCH($I839,코드설정!$C$5:$C$24,0)),""))</f>
        <v/>
      </c>
      <c r="AB839" s="36" t="n"/>
      <c r="AC839" s="37" t="n"/>
      <c r="AD839" s="38" t="n"/>
      <c r="AE839" s="30">
        <f>IF(OR($B839="",$C839=""),"",$C839-$B839+1)</f>
        <v/>
      </c>
      <c r="AF839" s="32" t="n"/>
      <c r="AG839" s="36" t="n"/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3">
        <f>IF($F840="","",IFERROR(INDEX(사건마스터!$B$5:$B$64,MATCH($F840,사건마스터!$A$5:$A$64,0)),""))</f>
        <v/>
      </c>
      <c r="H840" s="34">
        <f>IF($F840="","",IFERROR(INDEX(사건마스터!$C$5:$C$64,MATCH($F840,사건마스터!$A$5:$A$64,0)),""))</f>
        <v/>
      </c>
      <c r="I840" s="35">
        <f>IF($F840="","",IFERROR(INDEX(사건마스터!$H$5:$H$64,MATCH($F840,사건마스터!$A$5:$A$64,0)),""))</f>
        <v/>
      </c>
      <c r="J840" s="35">
        <f>IF($F840="","",IFERROR(INDEX(사건마스터!$AH$5:$AH$64,MATCH($F840,사건마스터!$A$5:$A$64,0)),""))</f>
        <v/>
      </c>
      <c r="K840" s="35">
        <f>IF($F840="","",IFERROR(INDEX(사건마스터!$AI$5:$AI$64,MATCH($F840,사건마스터!$A$5:$A$64,0)),""))</f>
        <v/>
      </c>
      <c r="L840" s="35">
        <f>IF($F840="","",IFERROR(INDEX(사건마스터!$AJ$5:$AJ$64,MATCH($F840,사건마스터!$A$5:$A$64,0)),""))</f>
        <v/>
      </c>
      <c r="M840" s="35">
        <f>IF($F840="","",IFERROR(INDEX(사건마스터!$AK$5:$AK$64,MATCH($F840,사건마스터!$A$5:$A$64,0)),""))</f>
        <v/>
      </c>
      <c r="N840" s="35">
        <f>IF($F840="","",IFERROR(INDEX(사건마스터!$AL$5:$AL$64,MATCH($F840,사건마스터!$A$5:$A$64,0)),""))</f>
        <v/>
      </c>
      <c r="O840" s="35">
        <f>IF($F840="","",IFERROR(INDEX(사건마스터!$AM$5:$AM$64,MATCH($F840,사건마스터!$A$5:$A$64,0)),""))</f>
        <v/>
      </c>
      <c r="P840" s="35">
        <f>IF($F840="","",IFERROR(INDEX(사건마스터!$AN$5:$AN$64,MATCH($F840,사건마스터!$A$5:$A$64,0)),""))</f>
        <v/>
      </c>
      <c r="Q840" s="35">
        <f>IF($F840="","",IFERROR(INDEX(사건마스터!$AO$5:$AO$64,MATCH($F840,사건마스터!$A$5:$A$64,0)),""))</f>
        <v/>
      </c>
      <c r="R840" s="35">
        <f>IF($F840="","",IFERROR(INDEX(사건마스터!$AP$5:$AP$64,MATCH($F840,사건마스터!$A$5:$A$64,0)),""))</f>
        <v/>
      </c>
      <c r="S840" s="35">
        <f>IF($F840="","",IFERROR(INDEX(사건마스터!$AQ$5:$AQ$64,MATCH($F840,사건마스터!$A$5:$A$64,0)),""))</f>
        <v/>
      </c>
      <c r="T840" s="35">
        <f>IF($F840="","",IFERROR(INDEX(사건마스터!$AR$5:$AR$64,MATCH($F840,사건마스터!$A$5:$A$64,0)),""))</f>
        <v/>
      </c>
      <c r="U840" s="35">
        <f>IF($F840="","",IFERROR(INDEX(사건마스터!$AS$5:$AS$64,MATCH($F840,사건마스터!$A$5:$A$64,0)),""))</f>
        <v/>
      </c>
      <c r="V840" s="35">
        <f>IF($F840="","",IFERROR(INDEX(사건마스터!$AT$5:$AT$64,MATCH($F840,사건마스터!$A$5:$A$64,0)),""))</f>
        <v/>
      </c>
      <c r="W840" s="35">
        <f>IF($F840="","",IFERROR(INDEX(사건마스터!$AU$5:$AU$64,MATCH($F840,사건마스터!$A$5:$A$64,0)),""))</f>
        <v/>
      </c>
      <c r="X840" s="35">
        <f>IF($F840="","",IFERROR(INDEX(사건마스터!$AV$5:$AV$64,MATCH($F840,사건마스터!$A$5:$A$64,0)),""))</f>
        <v/>
      </c>
      <c r="Y840" s="30">
        <f>IF($I840="","",COUNTIF($I840:$X840,"?*"))</f>
        <v/>
      </c>
      <c r="Z840" s="33">
        <f>IF($I840="","",_xlfn.TEXTJOIN(", ",TRUE,$I840:$X840))</f>
        <v/>
      </c>
      <c r="AA840" s="34">
        <f>IF($I840="","",IFERROR(INDEX(코드설정!$D$5:$D$24,MATCH($I840,코드설정!$C$5:$C$24,0)),""))</f>
        <v/>
      </c>
      <c r="AB840" s="36" t="n"/>
      <c r="AC840" s="37" t="n"/>
      <c r="AD840" s="38" t="n"/>
      <c r="AE840" s="30">
        <f>IF(OR($B840="",$C840=""),"",$C840-$B840+1)</f>
        <v/>
      </c>
      <c r="AF840" s="32" t="n"/>
      <c r="AG840" s="36" t="n"/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3">
        <f>IF($F841="","",IFERROR(INDEX(사건마스터!$B$5:$B$64,MATCH($F841,사건마스터!$A$5:$A$64,0)),""))</f>
        <v/>
      </c>
      <c r="H841" s="34">
        <f>IF($F841="","",IFERROR(INDEX(사건마스터!$C$5:$C$64,MATCH($F841,사건마스터!$A$5:$A$64,0)),""))</f>
        <v/>
      </c>
      <c r="I841" s="35">
        <f>IF($F841="","",IFERROR(INDEX(사건마스터!$H$5:$H$64,MATCH($F841,사건마스터!$A$5:$A$64,0)),""))</f>
        <v/>
      </c>
      <c r="J841" s="35">
        <f>IF($F841="","",IFERROR(INDEX(사건마스터!$AH$5:$AH$64,MATCH($F841,사건마스터!$A$5:$A$64,0)),""))</f>
        <v/>
      </c>
      <c r="K841" s="35">
        <f>IF($F841="","",IFERROR(INDEX(사건마스터!$AI$5:$AI$64,MATCH($F841,사건마스터!$A$5:$A$64,0)),""))</f>
        <v/>
      </c>
      <c r="L841" s="35">
        <f>IF($F841="","",IFERROR(INDEX(사건마스터!$AJ$5:$AJ$64,MATCH($F841,사건마스터!$A$5:$A$64,0)),""))</f>
        <v/>
      </c>
      <c r="M841" s="35">
        <f>IF($F841="","",IFERROR(INDEX(사건마스터!$AK$5:$AK$64,MATCH($F841,사건마스터!$A$5:$A$64,0)),""))</f>
        <v/>
      </c>
      <c r="N841" s="35">
        <f>IF($F841="","",IFERROR(INDEX(사건마스터!$AL$5:$AL$64,MATCH($F841,사건마스터!$A$5:$A$64,0)),""))</f>
        <v/>
      </c>
      <c r="O841" s="35">
        <f>IF($F841="","",IFERROR(INDEX(사건마스터!$AM$5:$AM$64,MATCH($F841,사건마스터!$A$5:$A$64,0)),""))</f>
        <v/>
      </c>
      <c r="P841" s="35">
        <f>IF($F841="","",IFERROR(INDEX(사건마스터!$AN$5:$AN$64,MATCH($F841,사건마스터!$A$5:$A$64,0)),""))</f>
        <v/>
      </c>
      <c r="Q841" s="35">
        <f>IF($F841="","",IFERROR(INDEX(사건마스터!$AO$5:$AO$64,MATCH($F841,사건마스터!$A$5:$A$64,0)),""))</f>
        <v/>
      </c>
      <c r="R841" s="35">
        <f>IF($F841="","",IFERROR(INDEX(사건마스터!$AP$5:$AP$64,MATCH($F841,사건마스터!$A$5:$A$64,0)),""))</f>
        <v/>
      </c>
      <c r="S841" s="35">
        <f>IF($F841="","",IFERROR(INDEX(사건마스터!$AQ$5:$AQ$64,MATCH($F841,사건마스터!$A$5:$A$64,0)),""))</f>
        <v/>
      </c>
      <c r="T841" s="35">
        <f>IF($F841="","",IFERROR(INDEX(사건마스터!$AR$5:$AR$64,MATCH($F841,사건마스터!$A$5:$A$64,0)),""))</f>
        <v/>
      </c>
      <c r="U841" s="35">
        <f>IF($F841="","",IFERROR(INDEX(사건마스터!$AS$5:$AS$64,MATCH($F841,사건마스터!$A$5:$A$64,0)),""))</f>
        <v/>
      </c>
      <c r="V841" s="35">
        <f>IF($F841="","",IFERROR(INDEX(사건마스터!$AT$5:$AT$64,MATCH($F841,사건마스터!$A$5:$A$64,0)),""))</f>
        <v/>
      </c>
      <c r="W841" s="35">
        <f>IF($F841="","",IFERROR(INDEX(사건마스터!$AU$5:$AU$64,MATCH($F841,사건마스터!$A$5:$A$64,0)),""))</f>
        <v/>
      </c>
      <c r="X841" s="35">
        <f>IF($F841="","",IFERROR(INDEX(사건마스터!$AV$5:$AV$64,MATCH($F841,사건마스터!$A$5:$A$64,0)),""))</f>
        <v/>
      </c>
      <c r="Y841" s="30">
        <f>IF($I841="","",COUNTIF($I841:$X841,"?*"))</f>
        <v/>
      </c>
      <c r="Z841" s="33">
        <f>IF($I841="","",_xlfn.TEXTJOIN(", ",TRUE,$I841:$X841))</f>
        <v/>
      </c>
      <c r="AA841" s="34">
        <f>IF($I841="","",IFERROR(INDEX(코드설정!$D$5:$D$24,MATCH($I841,코드설정!$C$5:$C$24,0)),""))</f>
        <v/>
      </c>
      <c r="AB841" s="36" t="n"/>
      <c r="AC841" s="37" t="n"/>
      <c r="AD841" s="38" t="n"/>
      <c r="AE841" s="30">
        <f>IF(OR($B841="",$C841=""),"",$C841-$B841+1)</f>
        <v/>
      </c>
      <c r="AF841" s="32" t="n"/>
      <c r="AG841" s="36" t="n"/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3">
        <f>IF($F842="","",IFERROR(INDEX(사건마스터!$B$5:$B$64,MATCH($F842,사건마스터!$A$5:$A$64,0)),""))</f>
        <v/>
      </c>
      <c r="H842" s="34">
        <f>IF($F842="","",IFERROR(INDEX(사건마스터!$C$5:$C$64,MATCH($F842,사건마스터!$A$5:$A$64,0)),""))</f>
        <v/>
      </c>
      <c r="I842" s="35">
        <f>IF($F842="","",IFERROR(INDEX(사건마스터!$H$5:$H$64,MATCH($F842,사건마스터!$A$5:$A$64,0)),""))</f>
        <v/>
      </c>
      <c r="J842" s="35">
        <f>IF($F842="","",IFERROR(INDEX(사건마스터!$AH$5:$AH$64,MATCH($F842,사건마스터!$A$5:$A$64,0)),""))</f>
        <v/>
      </c>
      <c r="K842" s="35">
        <f>IF($F842="","",IFERROR(INDEX(사건마스터!$AI$5:$AI$64,MATCH($F842,사건마스터!$A$5:$A$64,0)),""))</f>
        <v/>
      </c>
      <c r="L842" s="35">
        <f>IF($F842="","",IFERROR(INDEX(사건마스터!$AJ$5:$AJ$64,MATCH($F842,사건마스터!$A$5:$A$64,0)),""))</f>
        <v/>
      </c>
      <c r="M842" s="35">
        <f>IF($F842="","",IFERROR(INDEX(사건마스터!$AK$5:$AK$64,MATCH($F842,사건마스터!$A$5:$A$64,0)),""))</f>
        <v/>
      </c>
      <c r="N842" s="35">
        <f>IF($F842="","",IFERROR(INDEX(사건마스터!$AL$5:$AL$64,MATCH($F842,사건마스터!$A$5:$A$64,0)),""))</f>
        <v/>
      </c>
      <c r="O842" s="35">
        <f>IF($F842="","",IFERROR(INDEX(사건마스터!$AM$5:$AM$64,MATCH($F842,사건마스터!$A$5:$A$64,0)),""))</f>
        <v/>
      </c>
      <c r="P842" s="35">
        <f>IF($F842="","",IFERROR(INDEX(사건마스터!$AN$5:$AN$64,MATCH($F842,사건마스터!$A$5:$A$64,0)),""))</f>
        <v/>
      </c>
      <c r="Q842" s="35">
        <f>IF($F842="","",IFERROR(INDEX(사건마스터!$AO$5:$AO$64,MATCH($F842,사건마스터!$A$5:$A$64,0)),""))</f>
        <v/>
      </c>
      <c r="R842" s="35">
        <f>IF($F842="","",IFERROR(INDEX(사건마스터!$AP$5:$AP$64,MATCH($F842,사건마스터!$A$5:$A$64,0)),""))</f>
        <v/>
      </c>
      <c r="S842" s="35">
        <f>IF($F842="","",IFERROR(INDEX(사건마스터!$AQ$5:$AQ$64,MATCH($F842,사건마스터!$A$5:$A$64,0)),""))</f>
        <v/>
      </c>
      <c r="T842" s="35">
        <f>IF($F842="","",IFERROR(INDEX(사건마스터!$AR$5:$AR$64,MATCH($F842,사건마스터!$A$5:$A$64,0)),""))</f>
        <v/>
      </c>
      <c r="U842" s="35">
        <f>IF($F842="","",IFERROR(INDEX(사건마스터!$AS$5:$AS$64,MATCH($F842,사건마스터!$A$5:$A$64,0)),""))</f>
        <v/>
      </c>
      <c r="V842" s="35">
        <f>IF($F842="","",IFERROR(INDEX(사건마스터!$AT$5:$AT$64,MATCH($F842,사건마스터!$A$5:$A$64,0)),""))</f>
        <v/>
      </c>
      <c r="W842" s="35">
        <f>IF($F842="","",IFERROR(INDEX(사건마스터!$AU$5:$AU$64,MATCH($F842,사건마스터!$A$5:$A$64,0)),""))</f>
        <v/>
      </c>
      <c r="X842" s="35">
        <f>IF($F842="","",IFERROR(INDEX(사건마스터!$AV$5:$AV$64,MATCH($F842,사건마스터!$A$5:$A$64,0)),""))</f>
        <v/>
      </c>
      <c r="Y842" s="30">
        <f>IF($I842="","",COUNTIF($I842:$X842,"?*"))</f>
        <v/>
      </c>
      <c r="Z842" s="33">
        <f>IF($I842="","",_xlfn.TEXTJOIN(", ",TRUE,$I842:$X842))</f>
        <v/>
      </c>
      <c r="AA842" s="34">
        <f>IF($I842="","",IFERROR(INDEX(코드설정!$D$5:$D$24,MATCH($I842,코드설정!$C$5:$C$24,0)),""))</f>
        <v/>
      </c>
      <c r="AB842" s="36" t="n"/>
      <c r="AC842" s="37" t="n"/>
      <c r="AD842" s="38" t="n"/>
      <c r="AE842" s="30">
        <f>IF(OR($B842="",$C842=""),"",$C842-$B842+1)</f>
        <v/>
      </c>
      <c r="AF842" s="32" t="n"/>
      <c r="AG842" s="36" t="n"/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3">
        <f>IF($F843="","",IFERROR(INDEX(사건마스터!$B$5:$B$64,MATCH($F843,사건마스터!$A$5:$A$64,0)),""))</f>
        <v/>
      </c>
      <c r="H843" s="34">
        <f>IF($F843="","",IFERROR(INDEX(사건마스터!$C$5:$C$64,MATCH($F843,사건마스터!$A$5:$A$64,0)),""))</f>
        <v/>
      </c>
      <c r="I843" s="35">
        <f>IF($F843="","",IFERROR(INDEX(사건마스터!$H$5:$H$64,MATCH($F843,사건마스터!$A$5:$A$64,0)),""))</f>
        <v/>
      </c>
      <c r="J843" s="35">
        <f>IF($F843="","",IFERROR(INDEX(사건마스터!$AH$5:$AH$64,MATCH($F843,사건마스터!$A$5:$A$64,0)),""))</f>
        <v/>
      </c>
      <c r="K843" s="35">
        <f>IF($F843="","",IFERROR(INDEX(사건마스터!$AI$5:$AI$64,MATCH($F843,사건마스터!$A$5:$A$64,0)),""))</f>
        <v/>
      </c>
      <c r="L843" s="35">
        <f>IF($F843="","",IFERROR(INDEX(사건마스터!$AJ$5:$AJ$64,MATCH($F843,사건마스터!$A$5:$A$64,0)),""))</f>
        <v/>
      </c>
      <c r="M843" s="35">
        <f>IF($F843="","",IFERROR(INDEX(사건마스터!$AK$5:$AK$64,MATCH($F843,사건마스터!$A$5:$A$64,0)),""))</f>
        <v/>
      </c>
      <c r="N843" s="35">
        <f>IF($F843="","",IFERROR(INDEX(사건마스터!$AL$5:$AL$64,MATCH($F843,사건마스터!$A$5:$A$64,0)),""))</f>
        <v/>
      </c>
      <c r="O843" s="35">
        <f>IF($F843="","",IFERROR(INDEX(사건마스터!$AM$5:$AM$64,MATCH($F843,사건마스터!$A$5:$A$64,0)),""))</f>
        <v/>
      </c>
      <c r="P843" s="35">
        <f>IF($F843="","",IFERROR(INDEX(사건마스터!$AN$5:$AN$64,MATCH($F843,사건마스터!$A$5:$A$64,0)),""))</f>
        <v/>
      </c>
      <c r="Q843" s="35">
        <f>IF($F843="","",IFERROR(INDEX(사건마스터!$AO$5:$AO$64,MATCH($F843,사건마스터!$A$5:$A$64,0)),""))</f>
        <v/>
      </c>
      <c r="R843" s="35">
        <f>IF($F843="","",IFERROR(INDEX(사건마스터!$AP$5:$AP$64,MATCH($F843,사건마스터!$A$5:$A$64,0)),""))</f>
        <v/>
      </c>
      <c r="S843" s="35">
        <f>IF($F843="","",IFERROR(INDEX(사건마스터!$AQ$5:$AQ$64,MATCH($F843,사건마스터!$A$5:$A$64,0)),""))</f>
        <v/>
      </c>
      <c r="T843" s="35">
        <f>IF($F843="","",IFERROR(INDEX(사건마스터!$AR$5:$AR$64,MATCH($F843,사건마스터!$A$5:$A$64,0)),""))</f>
        <v/>
      </c>
      <c r="U843" s="35">
        <f>IF($F843="","",IFERROR(INDEX(사건마스터!$AS$5:$AS$64,MATCH($F843,사건마스터!$A$5:$A$64,0)),""))</f>
        <v/>
      </c>
      <c r="V843" s="35">
        <f>IF($F843="","",IFERROR(INDEX(사건마스터!$AT$5:$AT$64,MATCH($F843,사건마스터!$A$5:$A$64,0)),""))</f>
        <v/>
      </c>
      <c r="W843" s="35">
        <f>IF($F843="","",IFERROR(INDEX(사건마스터!$AU$5:$AU$64,MATCH($F843,사건마스터!$A$5:$A$64,0)),""))</f>
        <v/>
      </c>
      <c r="X843" s="35">
        <f>IF($F843="","",IFERROR(INDEX(사건마스터!$AV$5:$AV$64,MATCH($F843,사건마스터!$A$5:$A$64,0)),""))</f>
        <v/>
      </c>
      <c r="Y843" s="30">
        <f>IF($I843="","",COUNTIF($I843:$X843,"?*"))</f>
        <v/>
      </c>
      <c r="Z843" s="33">
        <f>IF($I843="","",_xlfn.TEXTJOIN(", ",TRUE,$I843:$X843))</f>
        <v/>
      </c>
      <c r="AA843" s="34">
        <f>IF($I843="","",IFERROR(INDEX(코드설정!$D$5:$D$24,MATCH($I843,코드설정!$C$5:$C$24,0)),""))</f>
        <v/>
      </c>
      <c r="AB843" s="36" t="n"/>
      <c r="AC843" s="37" t="n"/>
      <c r="AD843" s="38" t="n"/>
      <c r="AE843" s="30">
        <f>IF(OR($B843="",$C843=""),"",$C843-$B843+1)</f>
        <v/>
      </c>
      <c r="AF843" s="32" t="n"/>
      <c r="AG843" s="36" t="n"/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3">
        <f>IF($F844="","",IFERROR(INDEX(사건마스터!$B$5:$B$64,MATCH($F844,사건마스터!$A$5:$A$64,0)),""))</f>
        <v/>
      </c>
      <c r="H844" s="34">
        <f>IF($F844="","",IFERROR(INDEX(사건마스터!$C$5:$C$64,MATCH($F844,사건마스터!$A$5:$A$64,0)),""))</f>
        <v/>
      </c>
      <c r="I844" s="35">
        <f>IF($F844="","",IFERROR(INDEX(사건마스터!$H$5:$H$64,MATCH($F844,사건마스터!$A$5:$A$64,0)),""))</f>
        <v/>
      </c>
      <c r="J844" s="35">
        <f>IF($F844="","",IFERROR(INDEX(사건마스터!$AH$5:$AH$64,MATCH($F844,사건마스터!$A$5:$A$64,0)),""))</f>
        <v/>
      </c>
      <c r="K844" s="35">
        <f>IF($F844="","",IFERROR(INDEX(사건마스터!$AI$5:$AI$64,MATCH($F844,사건마스터!$A$5:$A$64,0)),""))</f>
        <v/>
      </c>
      <c r="L844" s="35">
        <f>IF($F844="","",IFERROR(INDEX(사건마스터!$AJ$5:$AJ$64,MATCH($F844,사건마스터!$A$5:$A$64,0)),""))</f>
        <v/>
      </c>
      <c r="M844" s="35">
        <f>IF($F844="","",IFERROR(INDEX(사건마스터!$AK$5:$AK$64,MATCH($F844,사건마스터!$A$5:$A$64,0)),""))</f>
        <v/>
      </c>
      <c r="N844" s="35">
        <f>IF($F844="","",IFERROR(INDEX(사건마스터!$AL$5:$AL$64,MATCH($F844,사건마스터!$A$5:$A$64,0)),""))</f>
        <v/>
      </c>
      <c r="O844" s="35">
        <f>IF($F844="","",IFERROR(INDEX(사건마스터!$AM$5:$AM$64,MATCH($F844,사건마스터!$A$5:$A$64,0)),""))</f>
        <v/>
      </c>
      <c r="P844" s="35">
        <f>IF($F844="","",IFERROR(INDEX(사건마스터!$AN$5:$AN$64,MATCH($F844,사건마스터!$A$5:$A$64,0)),""))</f>
        <v/>
      </c>
      <c r="Q844" s="35">
        <f>IF($F844="","",IFERROR(INDEX(사건마스터!$AO$5:$AO$64,MATCH($F844,사건마스터!$A$5:$A$64,0)),""))</f>
        <v/>
      </c>
      <c r="R844" s="35">
        <f>IF($F844="","",IFERROR(INDEX(사건마스터!$AP$5:$AP$64,MATCH($F844,사건마스터!$A$5:$A$64,0)),""))</f>
        <v/>
      </c>
      <c r="S844" s="35">
        <f>IF($F844="","",IFERROR(INDEX(사건마스터!$AQ$5:$AQ$64,MATCH($F844,사건마스터!$A$5:$A$64,0)),""))</f>
        <v/>
      </c>
      <c r="T844" s="35">
        <f>IF($F844="","",IFERROR(INDEX(사건마스터!$AR$5:$AR$64,MATCH($F844,사건마스터!$A$5:$A$64,0)),""))</f>
        <v/>
      </c>
      <c r="U844" s="35">
        <f>IF($F844="","",IFERROR(INDEX(사건마스터!$AS$5:$AS$64,MATCH($F844,사건마스터!$A$5:$A$64,0)),""))</f>
        <v/>
      </c>
      <c r="V844" s="35">
        <f>IF($F844="","",IFERROR(INDEX(사건마스터!$AT$5:$AT$64,MATCH($F844,사건마스터!$A$5:$A$64,0)),""))</f>
        <v/>
      </c>
      <c r="W844" s="35">
        <f>IF($F844="","",IFERROR(INDEX(사건마스터!$AU$5:$AU$64,MATCH($F844,사건마스터!$A$5:$A$64,0)),""))</f>
        <v/>
      </c>
      <c r="X844" s="35">
        <f>IF($F844="","",IFERROR(INDEX(사건마스터!$AV$5:$AV$64,MATCH($F844,사건마스터!$A$5:$A$64,0)),""))</f>
        <v/>
      </c>
      <c r="Y844" s="30">
        <f>IF($I844="","",COUNTIF($I844:$X844,"?*"))</f>
        <v/>
      </c>
      <c r="Z844" s="33">
        <f>IF($I844="","",_xlfn.TEXTJOIN(", ",TRUE,$I844:$X844))</f>
        <v/>
      </c>
      <c r="AA844" s="34">
        <f>IF($I844="","",IFERROR(INDEX(코드설정!$D$5:$D$24,MATCH($I844,코드설정!$C$5:$C$24,0)),""))</f>
        <v/>
      </c>
      <c r="AB844" s="36" t="n"/>
      <c r="AC844" s="37" t="n"/>
      <c r="AD844" s="38" t="n"/>
      <c r="AE844" s="30">
        <f>IF(OR($B844="",$C844=""),"",$C844-$B844+1)</f>
        <v/>
      </c>
      <c r="AF844" s="32" t="n"/>
      <c r="AG844" s="36" t="n"/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3">
        <f>IF($F845="","",IFERROR(INDEX(사건마스터!$B$5:$B$64,MATCH($F845,사건마스터!$A$5:$A$64,0)),""))</f>
        <v/>
      </c>
      <c r="H845" s="34">
        <f>IF($F845="","",IFERROR(INDEX(사건마스터!$C$5:$C$64,MATCH($F845,사건마스터!$A$5:$A$64,0)),""))</f>
        <v/>
      </c>
      <c r="I845" s="35">
        <f>IF($F845="","",IFERROR(INDEX(사건마스터!$H$5:$H$64,MATCH($F845,사건마스터!$A$5:$A$64,0)),""))</f>
        <v/>
      </c>
      <c r="J845" s="35">
        <f>IF($F845="","",IFERROR(INDEX(사건마스터!$AH$5:$AH$64,MATCH($F845,사건마스터!$A$5:$A$64,0)),""))</f>
        <v/>
      </c>
      <c r="K845" s="35">
        <f>IF($F845="","",IFERROR(INDEX(사건마스터!$AI$5:$AI$64,MATCH($F845,사건마스터!$A$5:$A$64,0)),""))</f>
        <v/>
      </c>
      <c r="L845" s="35">
        <f>IF($F845="","",IFERROR(INDEX(사건마스터!$AJ$5:$AJ$64,MATCH($F845,사건마스터!$A$5:$A$64,0)),""))</f>
        <v/>
      </c>
      <c r="M845" s="35">
        <f>IF($F845="","",IFERROR(INDEX(사건마스터!$AK$5:$AK$64,MATCH($F845,사건마스터!$A$5:$A$64,0)),""))</f>
        <v/>
      </c>
      <c r="N845" s="35">
        <f>IF($F845="","",IFERROR(INDEX(사건마스터!$AL$5:$AL$64,MATCH($F845,사건마스터!$A$5:$A$64,0)),""))</f>
        <v/>
      </c>
      <c r="O845" s="35">
        <f>IF($F845="","",IFERROR(INDEX(사건마스터!$AM$5:$AM$64,MATCH($F845,사건마스터!$A$5:$A$64,0)),""))</f>
        <v/>
      </c>
      <c r="P845" s="35">
        <f>IF($F845="","",IFERROR(INDEX(사건마스터!$AN$5:$AN$64,MATCH($F845,사건마스터!$A$5:$A$64,0)),""))</f>
        <v/>
      </c>
      <c r="Q845" s="35">
        <f>IF($F845="","",IFERROR(INDEX(사건마스터!$AO$5:$AO$64,MATCH($F845,사건마스터!$A$5:$A$64,0)),""))</f>
        <v/>
      </c>
      <c r="R845" s="35">
        <f>IF($F845="","",IFERROR(INDEX(사건마스터!$AP$5:$AP$64,MATCH($F845,사건마스터!$A$5:$A$64,0)),""))</f>
        <v/>
      </c>
      <c r="S845" s="35">
        <f>IF($F845="","",IFERROR(INDEX(사건마스터!$AQ$5:$AQ$64,MATCH($F845,사건마스터!$A$5:$A$64,0)),""))</f>
        <v/>
      </c>
      <c r="T845" s="35">
        <f>IF($F845="","",IFERROR(INDEX(사건마스터!$AR$5:$AR$64,MATCH($F845,사건마스터!$A$5:$A$64,0)),""))</f>
        <v/>
      </c>
      <c r="U845" s="35">
        <f>IF($F845="","",IFERROR(INDEX(사건마스터!$AS$5:$AS$64,MATCH($F845,사건마스터!$A$5:$A$64,0)),""))</f>
        <v/>
      </c>
      <c r="V845" s="35">
        <f>IF($F845="","",IFERROR(INDEX(사건마스터!$AT$5:$AT$64,MATCH($F845,사건마스터!$A$5:$A$64,0)),""))</f>
        <v/>
      </c>
      <c r="W845" s="35">
        <f>IF($F845="","",IFERROR(INDEX(사건마스터!$AU$5:$AU$64,MATCH($F845,사건마스터!$A$5:$A$64,0)),""))</f>
        <v/>
      </c>
      <c r="X845" s="35">
        <f>IF($F845="","",IFERROR(INDEX(사건마스터!$AV$5:$AV$64,MATCH($F845,사건마스터!$A$5:$A$64,0)),""))</f>
        <v/>
      </c>
      <c r="Y845" s="30">
        <f>IF($I845="","",COUNTIF($I845:$X845,"?*"))</f>
        <v/>
      </c>
      <c r="Z845" s="33">
        <f>IF($I845="","",_xlfn.TEXTJOIN(", ",TRUE,$I845:$X845))</f>
        <v/>
      </c>
      <c r="AA845" s="34">
        <f>IF($I845="","",IFERROR(INDEX(코드설정!$D$5:$D$24,MATCH($I845,코드설정!$C$5:$C$24,0)),""))</f>
        <v/>
      </c>
      <c r="AB845" s="36" t="n"/>
      <c r="AC845" s="37" t="n"/>
      <c r="AD845" s="38" t="n"/>
      <c r="AE845" s="30">
        <f>IF(OR($B845="",$C845=""),"",$C845-$B845+1)</f>
        <v/>
      </c>
      <c r="AF845" s="32" t="n"/>
      <c r="AG845" s="36" t="n"/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3">
        <f>IF($F846="","",IFERROR(INDEX(사건마스터!$B$5:$B$64,MATCH($F846,사건마스터!$A$5:$A$64,0)),""))</f>
        <v/>
      </c>
      <c r="H846" s="34">
        <f>IF($F846="","",IFERROR(INDEX(사건마스터!$C$5:$C$64,MATCH($F846,사건마스터!$A$5:$A$64,0)),""))</f>
        <v/>
      </c>
      <c r="I846" s="35">
        <f>IF($F846="","",IFERROR(INDEX(사건마스터!$H$5:$H$64,MATCH($F846,사건마스터!$A$5:$A$64,0)),""))</f>
        <v/>
      </c>
      <c r="J846" s="35">
        <f>IF($F846="","",IFERROR(INDEX(사건마스터!$AH$5:$AH$64,MATCH($F846,사건마스터!$A$5:$A$64,0)),""))</f>
        <v/>
      </c>
      <c r="K846" s="35">
        <f>IF($F846="","",IFERROR(INDEX(사건마스터!$AI$5:$AI$64,MATCH($F846,사건마스터!$A$5:$A$64,0)),""))</f>
        <v/>
      </c>
      <c r="L846" s="35">
        <f>IF($F846="","",IFERROR(INDEX(사건마스터!$AJ$5:$AJ$64,MATCH($F846,사건마스터!$A$5:$A$64,0)),""))</f>
        <v/>
      </c>
      <c r="M846" s="35">
        <f>IF($F846="","",IFERROR(INDEX(사건마스터!$AK$5:$AK$64,MATCH($F846,사건마스터!$A$5:$A$64,0)),""))</f>
        <v/>
      </c>
      <c r="N846" s="35">
        <f>IF($F846="","",IFERROR(INDEX(사건마스터!$AL$5:$AL$64,MATCH($F846,사건마스터!$A$5:$A$64,0)),""))</f>
        <v/>
      </c>
      <c r="O846" s="35">
        <f>IF($F846="","",IFERROR(INDEX(사건마스터!$AM$5:$AM$64,MATCH($F846,사건마스터!$A$5:$A$64,0)),""))</f>
        <v/>
      </c>
      <c r="P846" s="35">
        <f>IF($F846="","",IFERROR(INDEX(사건마스터!$AN$5:$AN$64,MATCH($F846,사건마스터!$A$5:$A$64,0)),""))</f>
        <v/>
      </c>
      <c r="Q846" s="35">
        <f>IF($F846="","",IFERROR(INDEX(사건마스터!$AO$5:$AO$64,MATCH($F846,사건마스터!$A$5:$A$64,0)),""))</f>
        <v/>
      </c>
      <c r="R846" s="35">
        <f>IF($F846="","",IFERROR(INDEX(사건마스터!$AP$5:$AP$64,MATCH($F846,사건마스터!$A$5:$A$64,0)),""))</f>
        <v/>
      </c>
      <c r="S846" s="35">
        <f>IF($F846="","",IFERROR(INDEX(사건마스터!$AQ$5:$AQ$64,MATCH($F846,사건마스터!$A$5:$A$64,0)),""))</f>
        <v/>
      </c>
      <c r="T846" s="35">
        <f>IF($F846="","",IFERROR(INDEX(사건마스터!$AR$5:$AR$64,MATCH($F846,사건마스터!$A$5:$A$64,0)),""))</f>
        <v/>
      </c>
      <c r="U846" s="35">
        <f>IF($F846="","",IFERROR(INDEX(사건마스터!$AS$5:$AS$64,MATCH($F846,사건마스터!$A$5:$A$64,0)),""))</f>
        <v/>
      </c>
      <c r="V846" s="35">
        <f>IF($F846="","",IFERROR(INDEX(사건마스터!$AT$5:$AT$64,MATCH($F846,사건마스터!$A$5:$A$64,0)),""))</f>
        <v/>
      </c>
      <c r="W846" s="35">
        <f>IF($F846="","",IFERROR(INDEX(사건마스터!$AU$5:$AU$64,MATCH($F846,사건마스터!$A$5:$A$64,0)),""))</f>
        <v/>
      </c>
      <c r="X846" s="35">
        <f>IF($F846="","",IFERROR(INDEX(사건마스터!$AV$5:$AV$64,MATCH($F846,사건마스터!$A$5:$A$64,0)),""))</f>
        <v/>
      </c>
      <c r="Y846" s="30">
        <f>IF($I846="","",COUNTIF($I846:$X846,"?*"))</f>
        <v/>
      </c>
      <c r="Z846" s="33">
        <f>IF($I846="","",_xlfn.TEXTJOIN(", ",TRUE,$I846:$X846))</f>
        <v/>
      </c>
      <c r="AA846" s="34">
        <f>IF($I846="","",IFERROR(INDEX(코드설정!$D$5:$D$24,MATCH($I846,코드설정!$C$5:$C$24,0)),""))</f>
        <v/>
      </c>
      <c r="AB846" s="36" t="n"/>
      <c r="AC846" s="37" t="n"/>
      <c r="AD846" s="38" t="n"/>
      <c r="AE846" s="30">
        <f>IF(OR($B846="",$C846=""),"",$C846-$B846+1)</f>
        <v/>
      </c>
      <c r="AF846" s="32" t="n"/>
      <c r="AG846" s="36" t="n"/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3">
        <f>IF($F847="","",IFERROR(INDEX(사건마스터!$B$5:$B$64,MATCH($F847,사건마스터!$A$5:$A$64,0)),""))</f>
        <v/>
      </c>
      <c r="H847" s="34">
        <f>IF($F847="","",IFERROR(INDEX(사건마스터!$C$5:$C$64,MATCH($F847,사건마스터!$A$5:$A$64,0)),""))</f>
        <v/>
      </c>
      <c r="I847" s="35">
        <f>IF($F847="","",IFERROR(INDEX(사건마스터!$H$5:$H$64,MATCH($F847,사건마스터!$A$5:$A$64,0)),""))</f>
        <v/>
      </c>
      <c r="J847" s="35">
        <f>IF($F847="","",IFERROR(INDEX(사건마스터!$AH$5:$AH$64,MATCH($F847,사건마스터!$A$5:$A$64,0)),""))</f>
        <v/>
      </c>
      <c r="K847" s="35">
        <f>IF($F847="","",IFERROR(INDEX(사건마스터!$AI$5:$AI$64,MATCH($F847,사건마스터!$A$5:$A$64,0)),""))</f>
        <v/>
      </c>
      <c r="L847" s="35">
        <f>IF($F847="","",IFERROR(INDEX(사건마스터!$AJ$5:$AJ$64,MATCH($F847,사건마스터!$A$5:$A$64,0)),""))</f>
        <v/>
      </c>
      <c r="M847" s="35">
        <f>IF($F847="","",IFERROR(INDEX(사건마스터!$AK$5:$AK$64,MATCH($F847,사건마스터!$A$5:$A$64,0)),""))</f>
        <v/>
      </c>
      <c r="N847" s="35">
        <f>IF($F847="","",IFERROR(INDEX(사건마스터!$AL$5:$AL$64,MATCH($F847,사건마스터!$A$5:$A$64,0)),""))</f>
        <v/>
      </c>
      <c r="O847" s="35">
        <f>IF($F847="","",IFERROR(INDEX(사건마스터!$AM$5:$AM$64,MATCH($F847,사건마스터!$A$5:$A$64,0)),""))</f>
        <v/>
      </c>
      <c r="P847" s="35">
        <f>IF($F847="","",IFERROR(INDEX(사건마스터!$AN$5:$AN$64,MATCH($F847,사건마스터!$A$5:$A$64,0)),""))</f>
        <v/>
      </c>
      <c r="Q847" s="35">
        <f>IF($F847="","",IFERROR(INDEX(사건마스터!$AO$5:$AO$64,MATCH($F847,사건마스터!$A$5:$A$64,0)),""))</f>
        <v/>
      </c>
      <c r="R847" s="35">
        <f>IF($F847="","",IFERROR(INDEX(사건마스터!$AP$5:$AP$64,MATCH($F847,사건마스터!$A$5:$A$64,0)),""))</f>
        <v/>
      </c>
      <c r="S847" s="35">
        <f>IF($F847="","",IFERROR(INDEX(사건마스터!$AQ$5:$AQ$64,MATCH($F847,사건마스터!$A$5:$A$64,0)),""))</f>
        <v/>
      </c>
      <c r="T847" s="35">
        <f>IF($F847="","",IFERROR(INDEX(사건마스터!$AR$5:$AR$64,MATCH($F847,사건마스터!$A$5:$A$64,0)),""))</f>
        <v/>
      </c>
      <c r="U847" s="35">
        <f>IF($F847="","",IFERROR(INDEX(사건마스터!$AS$5:$AS$64,MATCH($F847,사건마스터!$A$5:$A$64,0)),""))</f>
        <v/>
      </c>
      <c r="V847" s="35">
        <f>IF($F847="","",IFERROR(INDEX(사건마스터!$AT$5:$AT$64,MATCH($F847,사건마스터!$A$5:$A$64,0)),""))</f>
        <v/>
      </c>
      <c r="W847" s="35">
        <f>IF($F847="","",IFERROR(INDEX(사건마스터!$AU$5:$AU$64,MATCH($F847,사건마스터!$A$5:$A$64,0)),""))</f>
        <v/>
      </c>
      <c r="X847" s="35">
        <f>IF($F847="","",IFERROR(INDEX(사건마스터!$AV$5:$AV$64,MATCH($F847,사건마스터!$A$5:$A$64,0)),""))</f>
        <v/>
      </c>
      <c r="Y847" s="30">
        <f>IF($I847="","",COUNTIF($I847:$X847,"?*"))</f>
        <v/>
      </c>
      <c r="Z847" s="33">
        <f>IF($I847="","",_xlfn.TEXTJOIN(", ",TRUE,$I847:$X847))</f>
        <v/>
      </c>
      <c r="AA847" s="34">
        <f>IF($I847="","",IFERROR(INDEX(코드설정!$D$5:$D$24,MATCH($I847,코드설정!$C$5:$C$24,0)),""))</f>
        <v/>
      </c>
      <c r="AB847" s="36" t="n"/>
      <c r="AC847" s="37" t="n"/>
      <c r="AD847" s="38" t="n"/>
      <c r="AE847" s="30">
        <f>IF(OR($B847="",$C847=""),"",$C847-$B847+1)</f>
        <v/>
      </c>
      <c r="AF847" s="32" t="n"/>
      <c r="AG847" s="36" t="n"/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3">
        <f>IF($F848="","",IFERROR(INDEX(사건마스터!$B$5:$B$64,MATCH($F848,사건마스터!$A$5:$A$64,0)),""))</f>
        <v/>
      </c>
      <c r="H848" s="34">
        <f>IF($F848="","",IFERROR(INDEX(사건마스터!$C$5:$C$64,MATCH($F848,사건마스터!$A$5:$A$64,0)),""))</f>
        <v/>
      </c>
      <c r="I848" s="35">
        <f>IF($F848="","",IFERROR(INDEX(사건마스터!$H$5:$H$64,MATCH($F848,사건마스터!$A$5:$A$64,0)),""))</f>
        <v/>
      </c>
      <c r="J848" s="35">
        <f>IF($F848="","",IFERROR(INDEX(사건마스터!$AH$5:$AH$64,MATCH($F848,사건마스터!$A$5:$A$64,0)),""))</f>
        <v/>
      </c>
      <c r="K848" s="35">
        <f>IF($F848="","",IFERROR(INDEX(사건마스터!$AI$5:$AI$64,MATCH($F848,사건마스터!$A$5:$A$64,0)),""))</f>
        <v/>
      </c>
      <c r="L848" s="35">
        <f>IF($F848="","",IFERROR(INDEX(사건마스터!$AJ$5:$AJ$64,MATCH($F848,사건마스터!$A$5:$A$64,0)),""))</f>
        <v/>
      </c>
      <c r="M848" s="35">
        <f>IF($F848="","",IFERROR(INDEX(사건마스터!$AK$5:$AK$64,MATCH($F848,사건마스터!$A$5:$A$64,0)),""))</f>
        <v/>
      </c>
      <c r="N848" s="35">
        <f>IF($F848="","",IFERROR(INDEX(사건마스터!$AL$5:$AL$64,MATCH($F848,사건마스터!$A$5:$A$64,0)),""))</f>
        <v/>
      </c>
      <c r="O848" s="35">
        <f>IF($F848="","",IFERROR(INDEX(사건마스터!$AM$5:$AM$64,MATCH($F848,사건마스터!$A$5:$A$64,0)),""))</f>
        <v/>
      </c>
      <c r="P848" s="35">
        <f>IF($F848="","",IFERROR(INDEX(사건마스터!$AN$5:$AN$64,MATCH($F848,사건마스터!$A$5:$A$64,0)),""))</f>
        <v/>
      </c>
      <c r="Q848" s="35">
        <f>IF($F848="","",IFERROR(INDEX(사건마스터!$AO$5:$AO$64,MATCH($F848,사건마스터!$A$5:$A$64,0)),""))</f>
        <v/>
      </c>
      <c r="R848" s="35">
        <f>IF($F848="","",IFERROR(INDEX(사건마스터!$AP$5:$AP$64,MATCH($F848,사건마스터!$A$5:$A$64,0)),""))</f>
        <v/>
      </c>
      <c r="S848" s="35">
        <f>IF($F848="","",IFERROR(INDEX(사건마스터!$AQ$5:$AQ$64,MATCH($F848,사건마스터!$A$5:$A$64,0)),""))</f>
        <v/>
      </c>
      <c r="T848" s="35">
        <f>IF($F848="","",IFERROR(INDEX(사건마스터!$AR$5:$AR$64,MATCH($F848,사건마스터!$A$5:$A$64,0)),""))</f>
        <v/>
      </c>
      <c r="U848" s="35">
        <f>IF($F848="","",IFERROR(INDEX(사건마스터!$AS$5:$AS$64,MATCH($F848,사건마스터!$A$5:$A$64,0)),""))</f>
        <v/>
      </c>
      <c r="V848" s="35">
        <f>IF($F848="","",IFERROR(INDEX(사건마스터!$AT$5:$AT$64,MATCH($F848,사건마스터!$A$5:$A$64,0)),""))</f>
        <v/>
      </c>
      <c r="W848" s="35">
        <f>IF($F848="","",IFERROR(INDEX(사건마스터!$AU$5:$AU$64,MATCH($F848,사건마스터!$A$5:$A$64,0)),""))</f>
        <v/>
      </c>
      <c r="X848" s="35">
        <f>IF($F848="","",IFERROR(INDEX(사건마스터!$AV$5:$AV$64,MATCH($F848,사건마스터!$A$5:$A$64,0)),""))</f>
        <v/>
      </c>
      <c r="Y848" s="30">
        <f>IF($I848="","",COUNTIF($I848:$X848,"?*"))</f>
        <v/>
      </c>
      <c r="Z848" s="33">
        <f>IF($I848="","",_xlfn.TEXTJOIN(", ",TRUE,$I848:$X848))</f>
        <v/>
      </c>
      <c r="AA848" s="34">
        <f>IF($I848="","",IFERROR(INDEX(코드설정!$D$5:$D$24,MATCH($I848,코드설정!$C$5:$C$24,0)),""))</f>
        <v/>
      </c>
      <c r="AB848" s="36" t="n"/>
      <c r="AC848" s="37" t="n"/>
      <c r="AD848" s="38" t="n"/>
      <c r="AE848" s="30">
        <f>IF(OR($B848="",$C848=""),"",$C848-$B848+1)</f>
        <v/>
      </c>
      <c r="AF848" s="32" t="n"/>
      <c r="AG848" s="36" t="n"/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3">
        <f>IF($F849="","",IFERROR(INDEX(사건마스터!$B$5:$B$64,MATCH($F849,사건마스터!$A$5:$A$64,0)),""))</f>
        <v/>
      </c>
      <c r="H849" s="34">
        <f>IF($F849="","",IFERROR(INDEX(사건마스터!$C$5:$C$64,MATCH($F849,사건마스터!$A$5:$A$64,0)),""))</f>
        <v/>
      </c>
      <c r="I849" s="35">
        <f>IF($F849="","",IFERROR(INDEX(사건마스터!$H$5:$H$64,MATCH($F849,사건마스터!$A$5:$A$64,0)),""))</f>
        <v/>
      </c>
      <c r="J849" s="35">
        <f>IF($F849="","",IFERROR(INDEX(사건마스터!$AH$5:$AH$64,MATCH($F849,사건마스터!$A$5:$A$64,0)),""))</f>
        <v/>
      </c>
      <c r="K849" s="35">
        <f>IF($F849="","",IFERROR(INDEX(사건마스터!$AI$5:$AI$64,MATCH($F849,사건마스터!$A$5:$A$64,0)),""))</f>
        <v/>
      </c>
      <c r="L849" s="35">
        <f>IF($F849="","",IFERROR(INDEX(사건마스터!$AJ$5:$AJ$64,MATCH($F849,사건마스터!$A$5:$A$64,0)),""))</f>
        <v/>
      </c>
      <c r="M849" s="35">
        <f>IF($F849="","",IFERROR(INDEX(사건마스터!$AK$5:$AK$64,MATCH($F849,사건마스터!$A$5:$A$64,0)),""))</f>
        <v/>
      </c>
      <c r="N849" s="35">
        <f>IF($F849="","",IFERROR(INDEX(사건마스터!$AL$5:$AL$64,MATCH($F849,사건마스터!$A$5:$A$64,0)),""))</f>
        <v/>
      </c>
      <c r="O849" s="35">
        <f>IF($F849="","",IFERROR(INDEX(사건마스터!$AM$5:$AM$64,MATCH($F849,사건마스터!$A$5:$A$64,0)),""))</f>
        <v/>
      </c>
      <c r="P849" s="35">
        <f>IF($F849="","",IFERROR(INDEX(사건마스터!$AN$5:$AN$64,MATCH($F849,사건마스터!$A$5:$A$64,0)),""))</f>
        <v/>
      </c>
      <c r="Q849" s="35">
        <f>IF($F849="","",IFERROR(INDEX(사건마스터!$AO$5:$AO$64,MATCH($F849,사건마스터!$A$5:$A$64,0)),""))</f>
        <v/>
      </c>
      <c r="R849" s="35">
        <f>IF($F849="","",IFERROR(INDEX(사건마스터!$AP$5:$AP$64,MATCH($F849,사건마스터!$A$5:$A$64,0)),""))</f>
        <v/>
      </c>
      <c r="S849" s="35">
        <f>IF($F849="","",IFERROR(INDEX(사건마스터!$AQ$5:$AQ$64,MATCH($F849,사건마스터!$A$5:$A$64,0)),""))</f>
        <v/>
      </c>
      <c r="T849" s="35">
        <f>IF($F849="","",IFERROR(INDEX(사건마스터!$AR$5:$AR$64,MATCH($F849,사건마스터!$A$5:$A$64,0)),""))</f>
        <v/>
      </c>
      <c r="U849" s="35">
        <f>IF($F849="","",IFERROR(INDEX(사건마스터!$AS$5:$AS$64,MATCH($F849,사건마스터!$A$5:$A$64,0)),""))</f>
        <v/>
      </c>
      <c r="V849" s="35">
        <f>IF($F849="","",IFERROR(INDEX(사건마스터!$AT$5:$AT$64,MATCH($F849,사건마스터!$A$5:$A$64,0)),""))</f>
        <v/>
      </c>
      <c r="W849" s="35">
        <f>IF($F849="","",IFERROR(INDEX(사건마스터!$AU$5:$AU$64,MATCH($F849,사건마스터!$A$5:$A$64,0)),""))</f>
        <v/>
      </c>
      <c r="X849" s="35">
        <f>IF($F849="","",IFERROR(INDEX(사건마스터!$AV$5:$AV$64,MATCH($F849,사건마스터!$A$5:$A$64,0)),""))</f>
        <v/>
      </c>
      <c r="Y849" s="30">
        <f>IF($I849="","",COUNTIF($I849:$X849,"?*"))</f>
        <v/>
      </c>
      <c r="Z849" s="33">
        <f>IF($I849="","",_xlfn.TEXTJOIN(", ",TRUE,$I849:$X849))</f>
        <v/>
      </c>
      <c r="AA849" s="34">
        <f>IF($I849="","",IFERROR(INDEX(코드설정!$D$5:$D$24,MATCH($I849,코드설정!$C$5:$C$24,0)),""))</f>
        <v/>
      </c>
      <c r="AB849" s="36" t="n"/>
      <c r="AC849" s="37" t="n"/>
      <c r="AD849" s="38" t="n"/>
      <c r="AE849" s="30">
        <f>IF(OR($B849="",$C849=""),"",$C849-$B849+1)</f>
        <v/>
      </c>
      <c r="AF849" s="32" t="n"/>
      <c r="AG849" s="36" t="n"/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3">
        <f>IF($F850="","",IFERROR(INDEX(사건마스터!$B$5:$B$64,MATCH($F850,사건마스터!$A$5:$A$64,0)),""))</f>
        <v/>
      </c>
      <c r="H850" s="34">
        <f>IF($F850="","",IFERROR(INDEX(사건마스터!$C$5:$C$64,MATCH($F850,사건마스터!$A$5:$A$64,0)),""))</f>
        <v/>
      </c>
      <c r="I850" s="35">
        <f>IF($F850="","",IFERROR(INDEX(사건마스터!$H$5:$H$64,MATCH($F850,사건마스터!$A$5:$A$64,0)),""))</f>
        <v/>
      </c>
      <c r="J850" s="35">
        <f>IF($F850="","",IFERROR(INDEX(사건마스터!$AH$5:$AH$64,MATCH($F850,사건마스터!$A$5:$A$64,0)),""))</f>
        <v/>
      </c>
      <c r="K850" s="35">
        <f>IF($F850="","",IFERROR(INDEX(사건마스터!$AI$5:$AI$64,MATCH($F850,사건마스터!$A$5:$A$64,0)),""))</f>
        <v/>
      </c>
      <c r="L850" s="35">
        <f>IF($F850="","",IFERROR(INDEX(사건마스터!$AJ$5:$AJ$64,MATCH($F850,사건마스터!$A$5:$A$64,0)),""))</f>
        <v/>
      </c>
      <c r="M850" s="35">
        <f>IF($F850="","",IFERROR(INDEX(사건마스터!$AK$5:$AK$64,MATCH($F850,사건마스터!$A$5:$A$64,0)),""))</f>
        <v/>
      </c>
      <c r="N850" s="35">
        <f>IF($F850="","",IFERROR(INDEX(사건마스터!$AL$5:$AL$64,MATCH($F850,사건마스터!$A$5:$A$64,0)),""))</f>
        <v/>
      </c>
      <c r="O850" s="35">
        <f>IF($F850="","",IFERROR(INDEX(사건마스터!$AM$5:$AM$64,MATCH($F850,사건마스터!$A$5:$A$64,0)),""))</f>
        <v/>
      </c>
      <c r="P850" s="35">
        <f>IF($F850="","",IFERROR(INDEX(사건마스터!$AN$5:$AN$64,MATCH($F850,사건마스터!$A$5:$A$64,0)),""))</f>
        <v/>
      </c>
      <c r="Q850" s="35">
        <f>IF($F850="","",IFERROR(INDEX(사건마스터!$AO$5:$AO$64,MATCH($F850,사건마스터!$A$5:$A$64,0)),""))</f>
        <v/>
      </c>
      <c r="R850" s="35">
        <f>IF($F850="","",IFERROR(INDEX(사건마스터!$AP$5:$AP$64,MATCH($F850,사건마스터!$A$5:$A$64,0)),""))</f>
        <v/>
      </c>
      <c r="S850" s="35">
        <f>IF($F850="","",IFERROR(INDEX(사건마스터!$AQ$5:$AQ$64,MATCH($F850,사건마스터!$A$5:$A$64,0)),""))</f>
        <v/>
      </c>
      <c r="T850" s="35">
        <f>IF($F850="","",IFERROR(INDEX(사건마스터!$AR$5:$AR$64,MATCH($F850,사건마스터!$A$5:$A$64,0)),""))</f>
        <v/>
      </c>
      <c r="U850" s="35">
        <f>IF($F850="","",IFERROR(INDEX(사건마스터!$AS$5:$AS$64,MATCH($F850,사건마스터!$A$5:$A$64,0)),""))</f>
        <v/>
      </c>
      <c r="V850" s="35">
        <f>IF($F850="","",IFERROR(INDEX(사건마스터!$AT$5:$AT$64,MATCH($F850,사건마스터!$A$5:$A$64,0)),""))</f>
        <v/>
      </c>
      <c r="W850" s="35">
        <f>IF($F850="","",IFERROR(INDEX(사건마스터!$AU$5:$AU$64,MATCH($F850,사건마스터!$A$5:$A$64,0)),""))</f>
        <v/>
      </c>
      <c r="X850" s="35">
        <f>IF($F850="","",IFERROR(INDEX(사건마스터!$AV$5:$AV$64,MATCH($F850,사건마스터!$A$5:$A$64,0)),""))</f>
        <v/>
      </c>
      <c r="Y850" s="30">
        <f>IF($I850="","",COUNTIF($I850:$X850,"?*"))</f>
        <v/>
      </c>
      <c r="Z850" s="33">
        <f>IF($I850="","",_xlfn.TEXTJOIN(", ",TRUE,$I850:$X850))</f>
        <v/>
      </c>
      <c r="AA850" s="34">
        <f>IF($I850="","",IFERROR(INDEX(코드설정!$D$5:$D$24,MATCH($I850,코드설정!$C$5:$C$24,0)),""))</f>
        <v/>
      </c>
      <c r="AB850" s="36" t="n"/>
      <c r="AC850" s="37" t="n"/>
      <c r="AD850" s="38" t="n"/>
      <c r="AE850" s="30">
        <f>IF(OR($B850="",$C850=""),"",$C850-$B850+1)</f>
        <v/>
      </c>
      <c r="AF850" s="32" t="n"/>
      <c r="AG850" s="36" t="n"/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3">
        <f>IF($F851="","",IFERROR(INDEX(사건마스터!$B$5:$B$64,MATCH($F851,사건마스터!$A$5:$A$64,0)),""))</f>
        <v/>
      </c>
      <c r="H851" s="34">
        <f>IF($F851="","",IFERROR(INDEX(사건마스터!$C$5:$C$64,MATCH($F851,사건마스터!$A$5:$A$64,0)),""))</f>
        <v/>
      </c>
      <c r="I851" s="35">
        <f>IF($F851="","",IFERROR(INDEX(사건마스터!$H$5:$H$64,MATCH($F851,사건마스터!$A$5:$A$64,0)),""))</f>
        <v/>
      </c>
      <c r="J851" s="35">
        <f>IF($F851="","",IFERROR(INDEX(사건마스터!$AH$5:$AH$64,MATCH($F851,사건마스터!$A$5:$A$64,0)),""))</f>
        <v/>
      </c>
      <c r="K851" s="35">
        <f>IF($F851="","",IFERROR(INDEX(사건마스터!$AI$5:$AI$64,MATCH($F851,사건마스터!$A$5:$A$64,0)),""))</f>
        <v/>
      </c>
      <c r="L851" s="35">
        <f>IF($F851="","",IFERROR(INDEX(사건마스터!$AJ$5:$AJ$64,MATCH($F851,사건마스터!$A$5:$A$64,0)),""))</f>
        <v/>
      </c>
      <c r="M851" s="35">
        <f>IF($F851="","",IFERROR(INDEX(사건마스터!$AK$5:$AK$64,MATCH($F851,사건마스터!$A$5:$A$64,0)),""))</f>
        <v/>
      </c>
      <c r="N851" s="35">
        <f>IF($F851="","",IFERROR(INDEX(사건마스터!$AL$5:$AL$64,MATCH($F851,사건마스터!$A$5:$A$64,0)),""))</f>
        <v/>
      </c>
      <c r="O851" s="35">
        <f>IF($F851="","",IFERROR(INDEX(사건마스터!$AM$5:$AM$64,MATCH($F851,사건마스터!$A$5:$A$64,0)),""))</f>
        <v/>
      </c>
      <c r="P851" s="35">
        <f>IF($F851="","",IFERROR(INDEX(사건마스터!$AN$5:$AN$64,MATCH($F851,사건마스터!$A$5:$A$64,0)),""))</f>
        <v/>
      </c>
      <c r="Q851" s="35">
        <f>IF($F851="","",IFERROR(INDEX(사건마스터!$AO$5:$AO$64,MATCH($F851,사건마스터!$A$5:$A$64,0)),""))</f>
        <v/>
      </c>
      <c r="R851" s="35">
        <f>IF($F851="","",IFERROR(INDEX(사건마스터!$AP$5:$AP$64,MATCH($F851,사건마스터!$A$5:$A$64,0)),""))</f>
        <v/>
      </c>
      <c r="S851" s="35">
        <f>IF($F851="","",IFERROR(INDEX(사건마스터!$AQ$5:$AQ$64,MATCH($F851,사건마스터!$A$5:$A$64,0)),""))</f>
        <v/>
      </c>
      <c r="T851" s="35">
        <f>IF($F851="","",IFERROR(INDEX(사건마스터!$AR$5:$AR$64,MATCH($F851,사건마스터!$A$5:$A$64,0)),""))</f>
        <v/>
      </c>
      <c r="U851" s="35">
        <f>IF($F851="","",IFERROR(INDEX(사건마스터!$AS$5:$AS$64,MATCH($F851,사건마스터!$A$5:$A$64,0)),""))</f>
        <v/>
      </c>
      <c r="V851" s="35">
        <f>IF($F851="","",IFERROR(INDEX(사건마스터!$AT$5:$AT$64,MATCH($F851,사건마스터!$A$5:$A$64,0)),""))</f>
        <v/>
      </c>
      <c r="W851" s="35">
        <f>IF($F851="","",IFERROR(INDEX(사건마스터!$AU$5:$AU$64,MATCH($F851,사건마스터!$A$5:$A$64,0)),""))</f>
        <v/>
      </c>
      <c r="X851" s="35">
        <f>IF($F851="","",IFERROR(INDEX(사건마스터!$AV$5:$AV$64,MATCH($F851,사건마스터!$A$5:$A$64,0)),""))</f>
        <v/>
      </c>
      <c r="Y851" s="30">
        <f>IF($I851="","",COUNTIF($I851:$X851,"?*"))</f>
        <v/>
      </c>
      <c r="Z851" s="33">
        <f>IF($I851="","",_xlfn.TEXTJOIN(", ",TRUE,$I851:$X851))</f>
        <v/>
      </c>
      <c r="AA851" s="34">
        <f>IF($I851="","",IFERROR(INDEX(코드설정!$D$5:$D$24,MATCH($I851,코드설정!$C$5:$C$24,0)),""))</f>
        <v/>
      </c>
      <c r="AB851" s="36" t="n"/>
      <c r="AC851" s="37" t="n"/>
      <c r="AD851" s="38" t="n"/>
      <c r="AE851" s="30">
        <f>IF(OR($B851="",$C851=""),"",$C851-$B851+1)</f>
        <v/>
      </c>
      <c r="AF851" s="32" t="n"/>
      <c r="AG851" s="36" t="n"/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3">
        <f>IF($F852="","",IFERROR(INDEX(사건마스터!$B$5:$B$64,MATCH($F852,사건마스터!$A$5:$A$64,0)),""))</f>
        <v/>
      </c>
      <c r="H852" s="34">
        <f>IF($F852="","",IFERROR(INDEX(사건마스터!$C$5:$C$64,MATCH($F852,사건마스터!$A$5:$A$64,0)),""))</f>
        <v/>
      </c>
      <c r="I852" s="35">
        <f>IF($F852="","",IFERROR(INDEX(사건마스터!$H$5:$H$64,MATCH($F852,사건마스터!$A$5:$A$64,0)),""))</f>
        <v/>
      </c>
      <c r="J852" s="35">
        <f>IF($F852="","",IFERROR(INDEX(사건마스터!$AH$5:$AH$64,MATCH($F852,사건마스터!$A$5:$A$64,0)),""))</f>
        <v/>
      </c>
      <c r="K852" s="35">
        <f>IF($F852="","",IFERROR(INDEX(사건마스터!$AI$5:$AI$64,MATCH($F852,사건마스터!$A$5:$A$64,0)),""))</f>
        <v/>
      </c>
      <c r="L852" s="35">
        <f>IF($F852="","",IFERROR(INDEX(사건마스터!$AJ$5:$AJ$64,MATCH($F852,사건마스터!$A$5:$A$64,0)),""))</f>
        <v/>
      </c>
      <c r="M852" s="35">
        <f>IF($F852="","",IFERROR(INDEX(사건마스터!$AK$5:$AK$64,MATCH($F852,사건마스터!$A$5:$A$64,0)),""))</f>
        <v/>
      </c>
      <c r="N852" s="35">
        <f>IF($F852="","",IFERROR(INDEX(사건마스터!$AL$5:$AL$64,MATCH($F852,사건마스터!$A$5:$A$64,0)),""))</f>
        <v/>
      </c>
      <c r="O852" s="35">
        <f>IF($F852="","",IFERROR(INDEX(사건마스터!$AM$5:$AM$64,MATCH($F852,사건마스터!$A$5:$A$64,0)),""))</f>
        <v/>
      </c>
      <c r="P852" s="35">
        <f>IF($F852="","",IFERROR(INDEX(사건마스터!$AN$5:$AN$64,MATCH($F852,사건마스터!$A$5:$A$64,0)),""))</f>
        <v/>
      </c>
      <c r="Q852" s="35">
        <f>IF($F852="","",IFERROR(INDEX(사건마스터!$AO$5:$AO$64,MATCH($F852,사건마스터!$A$5:$A$64,0)),""))</f>
        <v/>
      </c>
      <c r="R852" s="35">
        <f>IF($F852="","",IFERROR(INDEX(사건마스터!$AP$5:$AP$64,MATCH($F852,사건마스터!$A$5:$A$64,0)),""))</f>
        <v/>
      </c>
      <c r="S852" s="35">
        <f>IF($F852="","",IFERROR(INDEX(사건마스터!$AQ$5:$AQ$64,MATCH($F852,사건마스터!$A$5:$A$64,0)),""))</f>
        <v/>
      </c>
      <c r="T852" s="35">
        <f>IF($F852="","",IFERROR(INDEX(사건마스터!$AR$5:$AR$64,MATCH($F852,사건마스터!$A$5:$A$64,0)),""))</f>
        <v/>
      </c>
      <c r="U852" s="35">
        <f>IF($F852="","",IFERROR(INDEX(사건마스터!$AS$5:$AS$64,MATCH($F852,사건마스터!$A$5:$A$64,0)),""))</f>
        <v/>
      </c>
      <c r="V852" s="35">
        <f>IF($F852="","",IFERROR(INDEX(사건마스터!$AT$5:$AT$64,MATCH($F852,사건마스터!$A$5:$A$64,0)),""))</f>
        <v/>
      </c>
      <c r="W852" s="35">
        <f>IF($F852="","",IFERROR(INDEX(사건마스터!$AU$5:$AU$64,MATCH($F852,사건마스터!$A$5:$A$64,0)),""))</f>
        <v/>
      </c>
      <c r="X852" s="35">
        <f>IF($F852="","",IFERROR(INDEX(사건마스터!$AV$5:$AV$64,MATCH($F852,사건마스터!$A$5:$A$64,0)),""))</f>
        <v/>
      </c>
      <c r="Y852" s="30">
        <f>IF($I852="","",COUNTIF($I852:$X852,"?*"))</f>
        <v/>
      </c>
      <c r="Z852" s="33">
        <f>IF($I852="","",_xlfn.TEXTJOIN(", ",TRUE,$I852:$X852))</f>
        <v/>
      </c>
      <c r="AA852" s="34">
        <f>IF($I852="","",IFERROR(INDEX(코드설정!$D$5:$D$24,MATCH($I852,코드설정!$C$5:$C$24,0)),""))</f>
        <v/>
      </c>
      <c r="AB852" s="36" t="n"/>
      <c r="AC852" s="37" t="n"/>
      <c r="AD852" s="38" t="n"/>
      <c r="AE852" s="30">
        <f>IF(OR($B852="",$C852=""),"",$C852-$B852+1)</f>
        <v/>
      </c>
      <c r="AF852" s="32" t="n"/>
      <c r="AG852" s="36" t="n"/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3">
        <f>IF($F853="","",IFERROR(INDEX(사건마스터!$B$5:$B$64,MATCH($F853,사건마스터!$A$5:$A$64,0)),""))</f>
        <v/>
      </c>
      <c r="H853" s="34">
        <f>IF($F853="","",IFERROR(INDEX(사건마스터!$C$5:$C$64,MATCH($F853,사건마스터!$A$5:$A$64,0)),""))</f>
        <v/>
      </c>
      <c r="I853" s="35">
        <f>IF($F853="","",IFERROR(INDEX(사건마스터!$H$5:$H$64,MATCH($F853,사건마스터!$A$5:$A$64,0)),""))</f>
        <v/>
      </c>
      <c r="J853" s="35">
        <f>IF($F853="","",IFERROR(INDEX(사건마스터!$AH$5:$AH$64,MATCH($F853,사건마스터!$A$5:$A$64,0)),""))</f>
        <v/>
      </c>
      <c r="K853" s="35">
        <f>IF($F853="","",IFERROR(INDEX(사건마스터!$AI$5:$AI$64,MATCH($F853,사건마스터!$A$5:$A$64,0)),""))</f>
        <v/>
      </c>
      <c r="L853" s="35">
        <f>IF($F853="","",IFERROR(INDEX(사건마스터!$AJ$5:$AJ$64,MATCH($F853,사건마스터!$A$5:$A$64,0)),""))</f>
        <v/>
      </c>
      <c r="M853" s="35">
        <f>IF($F853="","",IFERROR(INDEX(사건마스터!$AK$5:$AK$64,MATCH($F853,사건마스터!$A$5:$A$64,0)),""))</f>
        <v/>
      </c>
      <c r="N853" s="35">
        <f>IF($F853="","",IFERROR(INDEX(사건마스터!$AL$5:$AL$64,MATCH($F853,사건마스터!$A$5:$A$64,0)),""))</f>
        <v/>
      </c>
      <c r="O853" s="35">
        <f>IF($F853="","",IFERROR(INDEX(사건마스터!$AM$5:$AM$64,MATCH($F853,사건마스터!$A$5:$A$64,0)),""))</f>
        <v/>
      </c>
      <c r="P853" s="35">
        <f>IF($F853="","",IFERROR(INDEX(사건마스터!$AN$5:$AN$64,MATCH($F853,사건마스터!$A$5:$A$64,0)),""))</f>
        <v/>
      </c>
      <c r="Q853" s="35">
        <f>IF($F853="","",IFERROR(INDEX(사건마스터!$AO$5:$AO$64,MATCH($F853,사건마스터!$A$5:$A$64,0)),""))</f>
        <v/>
      </c>
      <c r="R853" s="35">
        <f>IF($F853="","",IFERROR(INDEX(사건마스터!$AP$5:$AP$64,MATCH($F853,사건마스터!$A$5:$A$64,0)),""))</f>
        <v/>
      </c>
      <c r="S853" s="35">
        <f>IF($F853="","",IFERROR(INDEX(사건마스터!$AQ$5:$AQ$64,MATCH($F853,사건마스터!$A$5:$A$64,0)),""))</f>
        <v/>
      </c>
      <c r="T853" s="35">
        <f>IF($F853="","",IFERROR(INDEX(사건마스터!$AR$5:$AR$64,MATCH($F853,사건마스터!$A$5:$A$64,0)),""))</f>
        <v/>
      </c>
      <c r="U853" s="35">
        <f>IF($F853="","",IFERROR(INDEX(사건마스터!$AS$5:$AS$64,MATCH($F853,사건마스터!$A$5:$A$64,0)),""))</f>
        <v/>
      </c>
      <c r="V853" s="35">
        <f>IF($F853="","",IFERROR(INDEX(사건마스터!$AT$5:$AT$64,MATCH($F853,사건마스터!$A$5:$A$64,0)),""))</f>
        <v/>
      </c>
      <c r="W853" s="35">
        <f>IF($F853="","",IFERROR(INDEX(사건마스터!$AU$5:$AU$64,MATCH($F853,사건마스터!$A$5:$A$64,0)),""))</f>
        <v/>
      </c>
      <c r="X853" s="35">
        <f>IF($F853="","",IFERROR(INDEX(사건마스터!$AV$5:$AV$64,MATCH($F853,사건마스터!$A$5:$A$64,0)),""))</f>
        <v/>
      </c>
      <c r="Y853" s="30">
        <f>IF($I853="","",COUNTIF($I853:$X853,"?*"))</f>
        <v/>
      </c>
      <c r="Z853" s="33">
        <f>IF($I853="","",_xlfn.TEXTJOIN(", ",TRUE,$I853:$X853))</f>
        <v/>
      </c>
      <c r="AA853" s="34">
        <f>IF($I853="","",IFERROR(INDEX(코드설정!$D$5:$D$24,MATCH($I853,코드설정!$C$5:$C$24,0)),""))</f>
        <v/>
      </c>
      <c r="AB853" s="36" t="n"/>
      <c r="AC853" s="37" t="n"/>
      <c r="AD853" s="38" t="n"/>
      <c r="AE853" s="30">
        <f>IF(OR($B853="",$C853=""),"",$C853-$B853+1)</f>
        <v/>
      </c>
      <c r="AF853" s="32" t="n"/>
      <c r="AG853" s="36" t="n"/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3">
        <f>IF($F854="","",IFERROR(INDEX(사건마스터!$B$5:$B$64,MATCH($F854,사건마스터!$A$5:$A$64,0)),""))</f>
        <v/>
      </c>
      <c r="H854" s="34">
        <f>IF($F854="","",IFERROR(INDEX(사건마스터!$C$5:$C$64,MATCH($F854,사건마스터!$A$5:$A$64,0)),""))</f>
        <v/>
      </c>
      <c r="I854" s="35">
        <f>IF($F854="","",IFERROR(INDEX(사건마스터!$H$5:$H$64,MATCH($F854,사건마스터!$A$5:$A$64,0)),""))</f>
        <v/>
      </c>
      <c r="J854" s="35">
        <f>IF($F854="","",IFERROR(INDEX(사건마스터!$AH$5:$AH$64,MATCH($F854,사건마스터!$A$5:$A$64,0)),""))</f>
        <v/>
      </c>
      <c r="K854" s="35">
        <f>IF($F854="","",IFERROR(INDEX(사건마스터!$AI$5:$AI$64,MATCH($F854,사건마스터!$A$5:$A$64,0)),""))</f>
        <v/>
      </c>
      <c r="L854" s="35">
        <f>IF($F854="","",IFERROR(INDEX(사건마스터!$AJ$5:$AJ$64,MATCH($F854,사건마스터!$A$5:$A$64,0)),""))</f>
        <v/>
      </c>
      <c r="M854" s="35">
        <f>IF($F854="","",IFERROR(INDEX(사건마스터!$AK$5:$AK$64,MATCH($F854,사건마스터!$A$5:$A$64,0)),""))</f>
        <v/>
      </c>
      <c r="N854" s="35">
        <f>IF($F854="","",IFERROR(INDEX(사건마스터!$AL$5:$AL$64,MATCH($F854,사건마스터!$A$5:$A$64,0)),""))</f>
        <v/>
      </c>
      <c r="O854" s="35">
        <f>IF($F854="","",IFERROR(INDEX(사건마스터!$AM$5:$AM$64,MATCH($F854,사건마스터!$A$5:$A$64,0)),""))</f>
        <v/>
      </c>
      <c r="P854" s="35">
        <f>IF($F854="","",IFERROR(INDEX(사건마스터!$AN$5:$AN$64,MATCH($F854,사건마스터!$A$5:$A$64,0)),""))</f>
        <v/>
      </c>
      <c r="Q854" s="35">
        <f>IF($F854="","",IFERROR(INDEX(사건마스터!$AO$5:$AO$64,MATCH($F854,사건마스터!$A$5:$A$64,0)),""))</f>
        <v/>
      </c>
      <c r="R854" s="35">
        <f>IF($F854="","",IFERROR(INDEX(사건마스터!$AP$5:$AP$64,MATCH($F854,사건마스터!$A$5:$A$64,0)),""))</f>
        <v/>
      </c>
      <c r="S854" s="35">
        <f>IF($F854="","",IFERROR(INDEX(사건마스터!$AQ$5:$AQ$64,MATCH($F854,사건마스터!$A$5:$A$64,0)),""))</f>
        <v/>
      </c>
      <c r="T854" s="35">
        <f>IF($F854="","",IFERROR(INDEX(사건마스터!$AR$5:$AR$64,MATCH($F854,사건마스터!$A$5:$A$64,0)),""))</f>
        <v/>
      </c>
      <c r="U854" s="35">
        <f>IF($F854="","",IFERROR(INDEX(사건마스터!$AS$5:$AS$64,MATCH($F854,사건마스터!$A$5:$A$64,0)),""))</f>
        <v/>
      </c>
      <c r="V854" s="35">
        <f>IF($F854="","",IFERROR(INDEX(사건마스터!$AT$5:$AT$64,MATCH($F854,사건마스터!$A$5:$A$64,0)),""))</f>
        <v/>
      </c>
      <c r="W854" s="35">
        <f>IF($F854="","",IFERROR(INDEX(사건마스터!$AU$5:$AU$64,MATCH($F854,사건마스터!$A$5:$A$64,0)),""))</f>
        <v/>
      </c>
      <c r="X854" s="35">
        <f>IF($F854="","",IFERROR(INDEX(사건마스터!$AV$5:$AV$64,MATCH($F854,사건마스터!$A$5:$A$64,0)),""))</f>
        <v/>
      </c>
      <c r="Y854" s="30">
        <f>IF($I854="","",COUNTIF($I854:$X854,"?*"))</f>
        <v/>
      </c>
      <c r="Z854" s="33">
        <f>IF($I854="","",_xlfn.TEXTJOIN(", ",TRUE,$I854:$X854))</f>
        <v/>
      </c>
      <c r="AA854" s="34">
        <f>IF($I854="","",IFERROR(INDEX(코드설정!$D$5:$D$24,MATCH($I854,코드설정!$C$5:$C$24,0)),""))</f>
        <v/>
      </c>
      <c r="AB854" s="36" t="n"/>
      <c r="AC854" s="37" t="n"/>
      <c r="AD854" s="38" t="n"/>
      <c r="AE854" s="30">
        <f>IF(OR($B854="",$C854=""),"",$C854-$B854+1)</f>
        <v/>
      </c>
      <c r="AF854" s="32" t="n"/>
      <c r="AG854" s="36" t="n"/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3">
        <f>IF($F855="","",IFERROR(INDEX(사건마스터!$B$5:$B$64,MATCH($F855,사건마스터!$A$5:$A$64,0)),""))</f>
        <v/>
      </c>
      <c r="H855" s="34">
        <f>IF($F855="","",IFERROR(INDEX(사건마스터!$C$5:$C$64,MATCH($F855,사건마스터!$A$5:$A$64,0)),""))</f>
        <v/>
      </c>
      <c r="I855" s="35">
        <f>IF($F855="","",IFERROR(INDEX(사건마스터!$H$5:$H$64,MATCH($F855,사건마스터!$A$5:$A$64,0)),""))</f>
        <v/>
      </c>
      <c r="J855" s="35">
        <f>IF($F855="","",IFERROR(INDEX(사건마스터!$AH$5:$AH$64,MATCH($F855,사건마스터!$A$5:$A$64,0)),""))</f>
        <v/>
      </c>
      <c r="K855" s="35">
        <f>IF($F855="","",IFERROR(INDEX(사건마스터!$AI$5:$AI$64,MATCH($F855,사건마스터!$A$5:$A$64,0)),""))</f>
        <v/>
      </c>
      <c r="L855" s="35">
        <f>IF($F855="","",IFERROR(INDEX(사건마스터!$AJ$5:$AJ$64,MATCH($F855,사건마스터!$A$5:$A$64,0)),""))</f>
        <v/>
      </c>
      <c r="M855" s="35">
        <f>IF($F855="","",IFERROR(INDEX(사건마스터!$AK$5:$AK$64,MATCH($F855,사건마스터!$A$5:$A$64,0)),""))</f>
        <v/>
      </c>
      <c r="N855" s="35">
        <f>IF($F855="","",IFERROR(INDEX(사건마스터!$AL$5:$AL$64,MATCH($F855,사건마스터!$A$5:$A$64,0)),""))</f>
        <v/>
      </c>
      <c r="O855" s="35">
        <f>IF($F855="","",IFERROR(INDEX(사건마스터!$AM$5:$AM$64,MATCH($F855,사건마스터!$A$5:$A$64,0)),""))</f>
        <v/>
      </c>
      <c r="P855" s="35">
        <f>IF($F855="","",IFERROR(INDEX(사건마스터!$AN$5:$AN$64,MATCH($F855,사건마스터!$A$5:$A$64,0)),""))</f>
        <v/>
      </c>
      <c r="Q855" s="35">
        <f>IF($F855="","",IFERROR(INDEX(사건마스터!$AO$5:$AO$64,MATCH($F855,사건마스터!$A$5:$A$64,0)),""))</f>
        <v/>
      </c>
      <c r="R855" s="35">
        <f>IF($F855="","",IFERROR(INDEX(사건마스터!$AP$5:$AP$64,MATCH($F855,사건마스터!$A$5:$A$64,0)),""))</f>
        <v/>
      </c>
      <c r="S855" s="35">
        <f>IF($F855="","",IFERROR(INDEX(사건마스터!$AQ$5:$AQ$64,MATCH($F855,사건마스터!$A$5:$A$64,0)),""))</f>
        <v/>
      </c>
      <c r="T855" s="35">
        <f>IF($F855="","",IFERROR(INDEX(사건마스터!$AR$5:$AR$64,MATCH($F855,사건마스터!$A$5:$A$64,0)),""))</f>
        <v/>
      </c>
      <c r="U855" s="35">
        <f>IF($F855="","",IFERROR(INDEX(사건마스터!$AS$5:$AS$64,MATCH($F855,사건마스터!$A$5:$A$64,0)),""))</f>
        <v/>
      </c>
      <c r="V855" s="35">
        <f>IF($F855="","",IFERROR(INDEX(사건마스터!$AT$5:$AT$64,MATCH($F855,사건마스터!$A$5:$A$64,0)),""))</f>
        <v/>
      </c>
      <c r="W855" s="35">
        <f>IF($F855="","",IFERROR(INDEX(사건마스터!$AU$5:$AU$64,MATCH($F855,사건마스터!$A$5:$A$64,0)),""))</f>
        <v/>
      </c>
      <c r="X855" s="35">
        <f>IF($F855="","",IFERROR(INDEX(사건마스터!$AV$5:$AV$64,MATCH($F855,사건마스터!$A$5:$A$64,0)),""))</f>
        <v/>
      </c>
      <c r="Y855" s="30">
        <f>IF($I855="","",COUNTIF($I855:$X855,"?*"))</f>
        <v/>
      </c>
      <c r="Z855" s="33">
        <f>IF($I855="","",_xlfn.TEXTJOIN(", ",TRUE,$I855:$X855))</f>
        <v/>
      </c>
      <c r="AA855" s="34">
        <f>IF($I855="","",IFERROR(INDEX(코드설정!$D$5:$D$24,MATCH($I855,코드설정!$C$5:$C$24,0)),""))</f>
        <v/>
      </c>
      <c r="AB855" s="36" t="n"/>
      <c r="AC855" s="37" t="n"/>
      <c r="AD855" s="38" t="n"/>
      <c r="AE855" s="30">
        <f>IF(OR($B855="",$C855=""),"",$C855-$B855+1)</f>
        <v/>
      </c>
      <c r="AF855" s="32" t="n"/>
      <c r="AG855" s="36" t="n"/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3">
        <f>IF($F856="","",IFERROR(INDEX(사건마스터!$B$5:$B$64,MATCH($F856,사건마스터!$A$5:$A$64,0)),""))</f>
        <v/>
      </c>
      <c r="H856" s="34">
        <f>IF($F856="","",IFERROR(INDEX(사건마스터!$C$5:$C$64,MATCH($F856,사건마스터!$A$5:$A$64,0)),""))</f>
        <v/>
      </c>
      <c r="I856" s="35">
        <f>IF($F856="","",IFERROR(INDEX(사건마스터!$H$5:$H$64,MATCH($F856,사건마스터!$A$5:$A$64,0)),""))</f>
        <v/>
      </c>
      <c r="J856" s="35">
        <f>IF($F856="","",IFERROR(INDEX(사건마스터!$AH$5:$AH$64,MATCH($F856,사건마스터!$A$5:$A$64,0)),""))</f>
        <v/>
      </c>
      <c r="K856" s="35">
        <f>IF($F856="","",IFERROR(INDEX(사건마스터!$AI$5:$AI$64,MATCH($F856,사건마스터!$A$5:$A$64,0)),""))</f>
        <v/>
      </c>
      <c r="L856" s="35">
        <f>IF($F856="","",IFERROR(INDEX(사건마스터!$AJ$5:$AJ$64,MATCH($F856,사건마스터!$A$5:$A$64,0)),""))</f>
        <v/>
      </c>
      <c r="M856" s="35">
        <f>IF($F856="","",IFERROR(INDEX(사건마스터!$AK$5:$AK$64,MATCH($F856,사건마스터!$A$5:$A$64,0)),""))</f>
        <v/>
      </c>
      <c r="N856" s="35">
        <f>IF($F856="","",IFERROR(INDEX(사건마스터!$AL$5:$AL$64,MATCH($F856,사건마스터!$A$5:$A$64,0)),""))</f>
        <v/>
      </c>
      <c r="O856" s="35">
        <f>IF($F856="","",IFERROR(INDEX(사건마스터!$AM$5:$AM$64,MATCH($F856,사건마스터!$A$5:$A$64,0)),""))</f>
        <v/>
      </c>
      <c r="P856" s="35">
        <f>IF($F856="","",IFERROR(INDEX(사건마스터!$AN$5:$AN$64,MATCH($F856,사건마스터!$A$5:$A$64,0)),""))</f>
        <v/>
      </c>
      <c r="Q856" s="35">
        <f>IF($F856="","",IFERROR(INDEX(사건마스터!$AO$5:$AO$64,MATCH($F856,사건마스터!$A$5:$A$64,0)),""))</f>
        <v/>
      </c>
      <c r="R856" s="35">
        <f>IF($F856="","",IFERROR(INDEX(사건마스터!$AP$5:$AP$64,MATCH($F856,사건마스터!$A$5:$A$64,0)),""))</f>
        <v/>
      </c>
      <c r="S856" s="35">
        <f>IF($F856="","",IFERROR(INDEX(사건마스터!$AQ$5:$AQ$64,MATCH($F856,사건마스터!$A$5:$A$64,0)),""))</f>
        <v/>
      </c>
      <c r="T856" s="35">
        <f>IF($F856="","",IFERROR(INDEX(사건마스터!$AR$5:$AR$64,MATCH($F856,사건마스터!$A$5:$A$64,0)),""))</f>
        <v/>
      </c>
      <c r="U856" s="35">
        <f>IF($F856="","",IFERROR(INDEX(사건마스터!$AS$5:$AS$64,MATCH($F856,사건마스터!$A$5:$A$64,0)),""))</f>
        <v/>
      </c>
      <c r="V856" s="35">
        <f>IF($F856="","",IFERROR(INDEX(사건마스터!$AT$5:$AT$64,MATCH($F856,사건마스터!$A$5:$A$64,0)),""))</f>
        <v/>
      </c>
      <c r="W856" s="35">
        <f>IF($F856="","",IFERROR(INDEX(사건마스터!$AU$5:$AU$64,MATCH($F856,사건마스터!$A$5:$A$64,0)),""))</f>
        <v/>
      </c>
      <c r="X856" s="35">
        <f>IF($F856="","",IFERROR(INDEX(사건마스터!$AV$5:$AV$64,MATCH($F856,사건마스터!$A$5:$A$64,0)),""))</f>
        <v/>
      </c>
      <c r="Y856" s="30">
        <f>IF($I856="","",COUNTIF($I856:$X856,"?*"))</f>
        <v/>
      </c>
      <c r="Z856" s="33">
        <f>IF($I856="","",_xlfn.TEXTJOIN(", ",TRUE,$I856:$X856))</f>
        <v/>
      </c>
      <c r="AA856" s="34">
        <f>IF($I856="","",IFERROR(INDEX(코드설정!$D$5:$D$24,MATCH($I856,코드설정!$C$5:$C$24,0)),""))</f>
        <v/>
      </c>
      <c r="AB856" s="36" t="n"/>
      <c r="AC856" s="37" t="n"/>
      <c r="AD856" s="38" t="n"/>
      <c r="AE856" s="30">
        <f>IF(OR($B856="",$C856=""),"",$C856-$B856+1)</f>
        <v/>
      </c>
      <c r="AF856" s="32" t="n"/>
      <c r="AG856" s="36" t="n"/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3">
        <f>IF($F857="","",IFERROR(INDEX(사건마스터!$B$5:$B$64,MATCH($F857,사건마스터!$A$5:$A$64,0)),""))</f>
        <v/>
      </c>
      <c r="H857" s="34">
        <f>IF($F857="","",IFERROR(INDEX(사건마스터!$C$5:$C$64,MATCH($F857,사건마스터!$A$5:$A$64,0)),""))</f>
        <v/>
      </c>
      <c r="I857" s="35">
        <f>IF($F857="","",IFERROR(INDEX(사건마스터!$H$5:$H$64,MATCH($F857,사건마스터!$A$5:$A$64,0)),""))</f>
        <v/>
      </c>
      <c r="J857" s="35">
        <f>IF($F857="","",IFERROR(INDEX(사건마스터!$AH$5:$AH$64,MATCH($F857,사건마스터!$A$5:$A$64,0)),""))</f>
        <v/>
      </c>
      <c r="K857" s="35">
        <f>IF($F857="","",IFERROR(INDEX(사건마스터!$AI$5:$AI$64,MATCH($F857,사건마스터!$A$5:$A$64,0)),""))</f>
        <v/>
      </c>
      <c r="L857" s="35">
        <f>IF($F857="","",IFERROR(INDEX(사건마스터!$AJ$5:$AJ$64,MATCH($F857,사건마스터!$A$5:$A$64,0)),""))</f>
        <v/>
      </c>
      <c r="M857" s="35">
        <f>IF($F857="","",IFERROR(INDEX(사건마스터!$AK$5:$AK$64,MATCH($F857,사건마스터!$A$5:$A$64,0)),""))</f>
        <v/>
      </c>
      <c r="N857" s="35">
        <f>IF($F857="","",IFERROR(INDEX(사건마스터!$AL$5:$AL$64,MATCH($F857,사건마스터!$A$5:$A$64,0)),""))</f>
        <v/>
      </c>
      <c r="O857" s="35">
        <f>IF($F857="","",IFERROR(INDEX(사건마스터!$AM$5:$AM$64,MATCH($F857,사건마스터!$A$5:$A$64,0)),""))</f>
        <v/>
      </c>
      <c r="P857" s="35">
        <f>IF($F857="","",IFERROR(INDEX(사건마스터!$AN$5:$AN$64,MATCH($F857,사건마스터!$A$5:$A$64,0)),""))</f>
        <v/>
      </c>
      <c r="Q857" s="35">
        <f>IF($F857="","",IFERROR(INDEX(사건마스터!$AO$5:$AO$64,MATCH($F857,사건마스터!$A$5:$A$64,0)),""))</f>
        <v/>
      </c>
      <c r="R857" s="35">
        <f>IF($F857="","",IFERROR(INDEX(사건마스터!$AP$5:$AP$64,MATCH($F857,사건마스터!$A$5:$A$64,0)),""))</f>
        <v/>
      </c>
      <c r="S857" s="35">
        <f>IF($F857="","",IFERROR(INDEX(사건마스터!$AQ$5:$AQ$64,MATCH($F857,사건마스터!$A$5:$A$64,0)),""))</f>
        <v/>
      </c>
      <c r="T857" s="35">
        <f>IF($F857="","",IFERROR(INDEX(사건마스터!$AR$5:$AR$64,MATCH($F857,사건마스터!$A$5:$A$64,0)),""))</f>
        <v/>
      </c>
      <c r="U857" s="35">
        <f>IF($F857="","",IFERROR(INDEX(사건마스터!$AS$5:$AS$64,MATCH($F857,사건마스터!$A$5:$A$64,0)),""))</f>
        <v/>
      </c>
      <c r="V857" s="35">
        <f>IF($F857="","",IFERROR(INDEX(사건마스터!$AT$5:$AT$64,MATCH($F857,사건마스터!$A$5:$A$64,0)),""))</f>
        <v/>
      </c>
      <c r="W857" s="35">
        <f>IF($F857="","",IFERROR(INDEX(사건마스터!$AU$5:$AU$64,MATCH($F857,사건마스터!$A$5:$A$64,0)),""))</f>
        <v/>
      </c>
      <c r="X857" s="35">
        <f>IF($F857="","",IFERROR(INDEX(사건마스터!$AV$5:$AV$64,MATCH($F857,사건마스터!$A$5:$A$64,0)),""))</f>
        <v/>
      </c>
      <c r="Y857" s="30">
        <f>IF($I857="","",COUNTIF($I857:$X857,"?*"))</f>
        <v/>
      </c>
      <c r="Z857" s="33">
        <f>IF($I857="","",_xlfn.TEXTJOIN(", ",TRUE,$I857:$X857))</f>
        <v/>
      </c>
      <c r="AA857" s="34">
        <f>IF($I857="","",IFERROR(INDEX(코드설정!$D$5:$D$24,MATCH($I857,코드설정!$C$5:$C$24,0)),""))</f>
        <v/>
      </c>
      <c r="AB857" s="36" t="n"/>
      <c r="AC857" s="37" t="n"/>
      <c r="AD857" s="38" t="n"/>
      <c r="AE857" s="30">
        <f>IF(OR($B857="",$C857=""),"",$C857-$B857+1)</f>
        <v/>
      </c>
      <c r="AF857" s="32" t="n"/>
      <c r="AG857" s="36" t="n"/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3">
        <f>IF($F858="","",IFERROR(INDEX(사건마스터!$B$5:$B$64,MATCH($F858,사건마스터!$A$5:$A$64,0)),""))</f>
        <v/>
      </c>
      <c r="H858" s="34">
        <f>IF($F858="","",IFERROR(INDEX(사건마스터!$C$5:$C$64,MATCH($F858,사건마스터!$A$5:$A$64,0)),""))</f>
        <v/>
      </c>
      <c r="I858" s="35">
        <f>IF($F858="","",IFERROR(INDEX(사건마스터!$H$5:$H$64,MATCH($F858,사건마스터!$A$5:$A$64,0)),""))</f>
        <v/>
      </c>
      <c r="J858" s="35">
        <f>IF($F858="","",IFERROR(INDEX(사건마스터!$AH$5:$AH$64,MATCH($F858,사건마스터!$A$5:$A$64,0)),""))</f>
        <v/>
      </c>
      <c r="K858" s="35">
        <f>IF($F858="","",IFERROR(INDEX(사건마스터!$AI$5:$AI$64,MATCH($F858,사건마스터!$A$5:$A$64,0)),""))</f>
        <v/>
      </c>
      <c r="L858" s="35">
        <f>IF($F858="","",IFERROR(INDEX(사건마스터!$AJ$5:$AJ$64,MATCH($F858,사건마스터!$A$5:$A$64,0)),""))</f>
        <v/>
      </c>
      <c r="M858" s="35">
        <f>IF($F858="","",IFERROR(INDEX(사건마스터!$AK$5:$AK$64,MATCH($F858,사건마스터!$A$5:$A$64,0)),""))</f>
        <v/>
      </c>
      <c r="N858" s="35">
        <f>IF($F858="","",IFERROR(INDEX(사건마스터!$AL$5:$AL$64,MATCH($F858,사건마스터!$A$5:$A$64,0)),""))</f>
        <v/>
      </c>
      <c r="O858" s="35">
        <f>IF($F858="","",IFERROR(INDEX(사건마스터!$AM$5:$AM$64,MATCH($F858,사건마스터!$A$5:$A$64,0)),""))</f>
        <v/>
      </c>
      <c r="P858" s="35">
        <f>IF($F858="","",IFERROR(INDEX(사건마스터!$AN$5:$AN$64,MATCH($F858,사건마스터!$A$5:$A$64,0)),""))</f>
        <v/>
      </c>
      <c r="Q858" s="35">
        <f>IF($F858="","",IFERROR(INDEX(사건마스터!$AO$5:$AO$64,MATCH($F858,사건마스터!$A$5:$A$64,0)),""))</f>
        <v/>
      </c>
      <c r="R858" s="35">
        <f>IF($F858="","",IFERROR(INDEX(사건마스터!$AP$5:$AP$64,MATCH($F858,사건마스터!$A$5:$A$64,0)),""))</f>
        <v/>
      </c>
      <c r="S858" s="35">
        <f>IF($F858="","",IFERROR(INDEX(사건마스터!$AQ$5:$AQ$64,MATCH($F858,사건마스터!$A$5:$A$64,0)),""))</f>
        <v/>
      </c>
      <c r="T858" s="35">
        <f>IF($F858="","",IFERROR(INDEX(사건마스터!$AR$5:$AR$64,MATCH($F858,사건마스터!$A$5:$A$64,0)),""))</f>
        <v/>
      </c>
      <c r="U858" s="35">
        <f>IF($F858="","",IFERROR(INDEX(사건마스터!$AS$5:$AS$64,MATCH($F858,사건마스터!$A$5:$A$64,0)),""))</f>
        <v/>
      </c>
      <c r="V858" s="35">
        <f>IF($F858="","",IFERROR(INDEX(사건마스터!$AT$5:$AT$64,MATCH($F858,사건마스터!$A$5:$A$64,0)),""))</f>
        <v/>
      </c>
      <c r="W858" s="35">
        <f>IF($F858="","",IFERROR(INDEX(사건마스터!$AU$5:$AU$64,MATCH($F858,사건마스터!$A$5:$A$64,0)),""))</f>
        <v/>
      </c>
      <c r="X858" s="35">
        <f>IF($F858="","",IFERROR(INDEX(사건마스터!$AV$5:$AV$64,MATCH($F858,사건마스터!$A$5:$A$64,0)),""))</f>
        <v/>
      </c>
      <c r="Y858" s="30">
        <f>IF($I858="","",COUNTIF($I858:$X858,"?*"))</f>
        <v/>
      </c>
      <c r="Z858" s="33">
        <f>IF($I858="","",_xlfn.TEXTJOIN(", ",TRUE,$I858:$X858))</f>
        <v/>
      </c>
      <c r="AA858" s="34">
        <f>IF($I858="","",IFERROR(INDEX(코드설정!$D$5:$D$24,MATCH($I858,코드설정!$C$5:$C$24,0)),""))</f>
        <v/>
      </c>
      <c r="AB858" s="36" t="n"/>
      <c r="AC858" s="37" t="n"/>
      <c r="AD858" s="38" t="n"/>
      <c r="AE858" s="30">
        <f>IF(OR($B858="",$C858=""),"",$C858-$B858+1)</f>
        <v/>
      </c>
      <c r="AF858" s="32" t="n"/>
      <c r="AG858" s="36" t="n"/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3">
        <f>IF($F859="","",IFERROR(INDEX(사건마스터!$B$5:$B$64,MATCH($F859,사건마스터!$A$5:$A$64,0)),""))</f>
        <v/>
      </c>
      <c r="H859" s="34">
        <f>IF($F859="","",IFERROR(INDEX(사건마스터!$C$5:$C$64,MATCH($F859,사건마스터!$A$5:$A$64,0)),""))</f>
        <v/>
      </c>
      <c r="I859" s="35">
        <f>IF($F859="","",IFERROR(INDEX(사건마스터!$H$5:$H$64,MATCH($F859,사건마스터!$A$5:$A$64,0)),""))</f>
        <v/>
      </c>
      <c r="J859" s="35">
        <f>IF($F859="","",IFERROR(INDEX(사건마스터!$AH$5:$AH$64,MATCH($F859,사건마스터!$A$5:$A$64,0)),""))</f>
        <v/>
      </c>
      <c r="K859" s="35">
        <f>IF($F859="","",IFERROR(INDEX(사건마스터!$AI$5:$AI$64,MATCH($F859,사건마스터!$A$5:$A$64,0)),""))</f>
        <v/>
      </c>
      <c r="L859" s="35">
        <f>IF($F859="","",IFERROR(INDEX(사건마스터!$AJ$5:$AJ$64,MATCH($F859,사건마스터!$A$5:$A$64,0)),""))</f>
        <v/>
      </c>
      <c r="M859" s="35">
        <f>IF($F859="","",IFERROR(INDEX(사건마스터!$AK$5:$AK$64,MATCH($F859,사건마스터!$A$5:$A$64,0)),""))</f>
        <v/>
      </c>
      <c r="N859" s="35">
        <f>IF($F859="","",IFERROR(INDEX(사건마스터!$AL$5:$AL$64,MATCH($F859,사건마스터!$A$5:$A$64,0)),""))</f>
        <v/>
      </c>
      <c r="O859" s="35">
        <f>IF($F859="","",IFERROR(INDEX(사건마스터!$AM$5:$AM$64,MATCH($F859,사건마스터!$A$5:$A$64,0)),""))</f>
        <v/>
      </c>
      <c r="P859" s="35">
        <f>IF($F859="","",IFERROR(INDEX(사건마스터!$AN$5:$AN$64,MATCH($F859,사건마스터!$A$5:$A$64,0)),""))</f>
        <v/>
      </c>
      <c r="Q859" s="35">
        <f>IF($F859="","",IFERROR(INDEX(사건마스터!$AO$5:$AO$64,MATCH($F859,사건마스터!$A$5:$A$64,0)),""))</f>
        <v/>
      </c>
      <c r="R859" s="35">
        <f>IF($F859="","",IFERROR(INDEX(사건마스터!$AP$5:$AP$64,MATCH($F859,사건마스터!$A$5:$A$64,0)),""))</f>
        <v/>
      </c>
      <c r="S859" s="35">
        <f>IF($F859="","",IFERROR(INDEX(사건마스터!$AQ$5:$AQ$64,MATCH($F859,사건마스터!$A$5:$A$64,0)),""))</f>
        <v/>
      </c>
      <c r="T859" s="35">
        <f>IF($F859="","",IFERROR(INDEX(사건마스터!$AR$5:$AR$64,MATCH($F859,사건마스터!$A$5:$A$64,0)),""))</f>
        <v/>
      </c>
      <c r="U859" s="35">
        <f>IF($F859="","",IFERROR(INDEX(사건마스터!$AS$5:$AS$64,MATCH($F859,사건마스터!$A$5:$A$64,0)),""))</f>
        <v/>
      </c>
      <c r="V859" s="35">
        <f>IF($F859="","",IFERROR(INDEX(사건마스터!$AT$5:$AT$64,MATCH($F859,사건마스터!$A$5:$A$64,0)),""))</f>
        <v/>
      </c>
      <c r="W859" s="35">
        <f>IF($F859="","",IFERROR(INDEX(사건마스터!$AU$5:$AU$64,MATCH($F859,사건마스터!$A$5:$A$64,0)),""))</f>
        <v/>
      </c>
      <c r="X859" s="35">
        <f>IF($F859="","",IFERROR(INDEX(사건마스터!$AV$5:$AV$64,MATCH($F859,사건마스터!$A$5:$A$64,0)),""))</f>
        <v/>
      </c>
      <c r="Y859" s="30">
        <f>IF($I859="","",COUNTIF($I859:$X859,"?*"))</f>
        <v/>
      </c>
      <c r="Z859" s="33">
        <f>IF($I859="","",_xlfn.TEXTJOIN(", ",TRUE,$I859:$X859))</f>
        <v/>
      </c>
      <c r="AA859" s="34">
        <f>IF($I859="","",IFERROR(INDEX(코드설정!$D$5:$D$24,MATCH($I859,코드설정!$C$5:$C$24,0)),""))</f>
        <v/>
      </c>
      <c r="AB859" s="36" t="n"/>
      <c r="AC859" s="37" t="n"/>
      <c r="AD859" s="38" t="n"/>
      <c r="AE859" s="30">
        <f>IF(OR($B859="",$C859=""),"",$C859-$B859+1)</f>
        <v/>
      </c>
      <c r="AF859" s="32" t="n"/>
      <c r="AG859" s="36" t="n"/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3">
        <f>IF($F860="","",IFERROR(INDEX(사건마스터!$B$5:$B$64,MATCH($F860,사건마스터!$A$5:$A$64,0)),""))</f>
        <v/>
      </c>
      <c r="H860" s="34">
        <f>IF($F860="","",IFERROR(INDEX(사건마스터!$C$5:$C$64,MATCH($F860,사건마스터!$A$5:$A$64,0)),""))</f>
        <v/>
      </c>
      <c r="I860" s="35">
        <f>IF($F860="","",IFERROR(INDEX(사건마스터!$H$5:$H$64,MATCH($F860,사건마스터!$A$5:$A$64,0)),""))</f>
        <v/>
      </c>
      <c r="J860" s="35">
        <f>IF($F860="","",IFERROR(INDEX(사건마스터!$AH$5:$AH$64,MATCH($F860,사건마스터!$A$5:$A$64,0)),""))</f>
        <v/>
      </c>
      <c r="K860" s="35">
        <f>IF($F860="","",IFERROR(INDEX(사건마스터!$AI$5:$AI$64,MATCH($F860,사건마스터!$A$5:$A$64,0)),""))</f>
        <v/>
      </c>
      <c r="L860" s="35">
        <f>IF($F860="","",IFERROR(INDEX(사건마스터!$AJ$5:$AJ$64,MATCH($F860,사건마스터!$A$5:$A$64,0)),""))</f>
        <v/>
      </c>
      <c r="M860" s="35">
        <f>IF($F860="","",IFERROR(INDEX(사건마스터!$AK$5:$AK$64,MATCH($F860,사건마스터!$A$5:$A$64,0)),""))</f>
        <v/>
      </c>
      <c r="N860" s="35">
        <f>IF($F860="","",IFERROR(INDEX(사건마스터!$AL$5:$AL$64,MATCH($F860,사건마스터!$A$5:$A$64,0)),""))</f>
        <v/>
      </c>
      <c r="O860" s="35">
        <f>IF($F860="","",IFERROR(INDEX(사건마스터!$AM$5:$AM$64,MATCH($F860,사건마스터!$A$5:$A$64,0)),""))</f>
        <v/>
      </c>
      <c r="P860" s="35">
        <f>IF($F860="","",IFERROR(INDEX(사건마스터!$AN$5:$AN$64,MATCH($F860,사건마스터!$A$5:$A$64,0)),""))</f>
        <v/>
      </c>
      <c r="Q860" s="35">
        <f>IF($F860="","",IFERROR(INDEX(사건마스터!$AO$5:$AO$64,MATCH($F860,사건마스터!$A$5:$A$64,0)),""))</f>
        <v/>
      </c>
      <c r="R860" s="35">
        <f>IF($F860="","",IFERROR(INDEX(사건마스터!$AP$5:$AP$64,MATCH($F860,사건마스터!$A$5:$A$64,0)),""))</f>
        <v/>
      </c>
      <c r="S860" s="35">
        <f>IF($F860="","",IFERROR(INDEX(사건마스터!$AQ$5:$AQ$64,MATCH($F860,사건마스터!$A$5:$A$64,0)),""))</f>
        <v/>
      </c>
      <c r="T860" s="35">
        <f>IF($F860="","",IFERROR(INDEX(사건마스터!$AR$5:$AR$64,MATCH($F860,사건마스터!$A$5:$A$64,0)),""))</f>
        <v/>
      </c>
      <c r="U860" s="35">
        <f>IF($F860="","",IFERROR(INDEX(사건마스터!$AS$5:$AS$64,MATCH($F860,사건마스터!$A$5:$A$64,0)),""))</f>
        <v/>
      </c>
      <c r="V860" s="35">
        <f>IF($F860="","",IFERROR(INDEX(사건마스터!$AT$5:$AT$64,MATCH($F860,사건마스터!$A$5:$A$64,0)),""))</f>
        <v/>
      </c>
      <c r="W860" s="35">
        <f>IF($F860="","",IFERROR(INDEX(사건마스터!$AU$5:$AU$64,MATCH($F860,사건마스터!$A$5:$A$64,0)),""))</f>
        <v/>
      </c>
      <c r="X860" s="35">
        <f>IF($F860="","",IFERROR(INDEX(사건마스터!$AV$5:$AV$64,MATCH($F860,사건마스터!$A$5:$A$64,0)),""))</f>
        <v/>
      </c>
      <c r="Y860" s="30">
        <f>IF($I860="","",COUNTIF($I860:$X860,"?*"))</f>
        <v/>
      </c>
      <c r="Z860" s="33">
        <f>IF($I860="","",_xlfn.TEXTJOIN(", ",TRUE,$I860:$X860))</f>
        <v/>
      </c>
      <c r="AA860" s="34">
        <f>IF($I860="","",IFERROR(INDEX(코드설정!$D$5:$D$24,MATCH($I860,코드설정!$C$5:$C$24,0)),""))</f>
        <v/>
      </c>
      <c r="AB860" s="36" t="n"/>
      <c r="AC860" s="37" t="n"/>
      <c r="AD860" s="38" t="n"/>
      <c r="AE860" s="30">
        <f>IF(OR($B860="",$C860=""),"",$C860-$B860+1)</f>
        <v/>
      </c>
      <c r="AF860" s="32" t="n"/>
      <c r="AG860" s="36" t="n"/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3">
        <f>IF($F861="","",IFERROR(INDEX(사건마스터!$B$5:$B$64,MATCH($F861,사건마스터!$A$5:$A$64,0)),""))</f>
        <v/>
      </c>
      <c r="H861" s="34">
        <f>IF($F861="","",IFERROR(INDEX(사건마스터!$C$5:$C$64,MATCH($F861,사건마스터!$A$5:$A$64,0)),""))</f>
        <v/>
      </c>
      <c r="I861" s="35">
        <f>IF($F861="","",IFERROR(INDEX(사건마스터!$H$5:$H$64,MATCH($F861,사건마스터!$A$5:$A$64,0)),""))</f>
        <v/>
      </c>
      <c r="J861" s="35">
        <f>IF($F861="","",IFERROR(INDEX(사건마스터!$AH$5:$AH$64,MATCH($F861,사건마스터!$A$5:$A$64,0)),""))</f>
        <v/>
      </c>
      <c r="K861" s="35">
        <f>IF($F861="","",IFERROR(INDEX(사건마스터!$AI$5:$AI$64,MATCH($F861,사건마스터!$A$5:$A$64,0)),""))</f>
        <v/>
      </c>
      <c r="L861" s="35">
        <f>IF($F861="","",IFERROR(INDEX(사건마스터!$AJ$5:$AJ$64,MATCH($F861,사건마스터!$A$5:$A$64,0)),""))</f>
        <v/>
      </c>
      <c r="M861" s="35">
        <f>IF($F861="","",IFERROR(INDEX(사건마스터!$AK$5:$AK$64,MATCH($F861,사건마스터!$A$5:$A$64,0)),""))</f>
        <v/>
      </c>
      <c r="N861" s="35">
        <f>IF($F861="","",IFERROR(INDEX(사건마스터!$AL$5:$AL$64,MATCH($F861,사건마스터!$A$5:$A$64,0)),""))</f>
        <v/>
      </c>
      <c r="O861" s="35">
        <f>IF($F861="","",IFERROR(INDEX(사건마스터!$AM$5:$AM$64,MATCH($F861,사건마스터!$A$5:$A$64,0)),""))</f>
        <v/>
      </c>
      <c r="P861" s="35">
        <f>IF($F861="","",IFERROR(INDEX(사건마스터!$AN$5:$AN$64,MATCH($F861,사건마스터!$A$5:$A$64,0)),""))</f>
        <v/>
      </c>
      <c r="Q861" s="35">
        <f>IF($F861="","",IFERROR(INDEX(사건마스터!$AO$5:$AO$64,MATCH($F861,사건마스터!$A$5:$A$64,0)),""))</f>
        <v/>
      </c>
      <c r="R861" s="35">
        <f>IF($F861="","",IFERROR(INDEX(사건마스터!$AP$5:$AP$64,MATCH($F861,사건마스터!$A$5:$A$64,0)),""))</f>
        <v/>
      </c>
      <c r="S861" s="35">
        <f>IF($F861="","",IFERROR(INDEX(사건마스터!$AQ$5:$AQ$64,MATCH($F861,사건마스터!$A$5:$A$64,0)),""))</f>
        <v/>
      </c>
      <c r="T861" s="35">
        <f>IF($F861="","",IFERROR(INDEX(사건마스터!$AR$5:$AR$64,MATCH($F861,사건마스터!$A$5:$A$64,0)),""))</f>
        <v/>
      </c>
      <c r="U861" s="35">
        <f>IF($F861="","",IFERROR(INDEX(사건마스터!$AS$5:$AS$64,MATCH($F861,사건마스터!$A$5:$A$64,0)),""))</f>
        <v/>
      </c>
      <c r="V861" s="35">
        <f>IF($F861="","",IFERROR(INDEX(사건마스터!$AT$5:$AT$64,MATCH($F861,사건마스터!$A$5:$A$64,0)),""))</f>
        <v/>
      </c>
      <c r="W861" s="35">
        <f>IF($F861="","",IFERROR(INDEX(사건마스터!$AU$5:$AU$64,MATCH($F861,사건마스터!$A$5:$A$64,0)),""))</f>
        <v/>
      </c>
      <c r="X861" s="35">
        <f>IF($F861="","",IFERROR(INDEX(사건마스터!$AV$5:$AV$64,MATCH($F861,사건마스터!$A$5:$A$64,0)),""))</f>
        <v/>
      </c>
      <c r="Y861" s="30">
        <f>IF($I861="","",COUNTIF($I861:$X861,"?*"))</f>
        <v/>
      </c>
      <c r="Z861" s="33">
        <f>IF($I861="","",_xlfn.TEXTJOIN(", ",TRUE,$I861:$X861))</f>
        <v/>
      </c>
      <c r="AA861" s="34">
        <f>IF($I861="","",IFERROR(INDEX(코드설정!$D$5:$D$24,MATCH($I861,코드설정!$C$5:$C$24,0)),""))</f>
        <v/>
      </c>
      <c r="AB861" s="36" t="n"/>
      <c r="AC861" s="37" t="n"/>
      <c r="AD861" s="38" t="n"/>
      <c r="AE861" s="30">
        <f>IF(OR($B861="",$C861=""),"",$C861-$B861+1)</f>
        <v/>
      </c>
      <c r="AF861" s="32" t="n"/>
      <c r="AG861" s="36" t="n"/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3">
        <f>IF($F862="","",IFERROR(INDEX(사건마스터!$B$5:$B$64,MATCH($F862,사건마스터!$A$5:$A$64,0)),""))</f>
        <v/>
      </c>
      <c r="H862" s="34">
        <f>IF($F862="","",IFERROR(INDEX(사건마스터!$C$5:$C$64,MATCH($F862,사건마스터!$A$5:$A$64,0)),""))</f>
        <v/>
      </c>
      <c r="I862" s="35">
        <f>IF($F862="","",IFERROR(INDEX(사건마스터!$H$5:$H$64,MATCH($F862,사건마스터!$A$5:$A$64,0)),""))</f>
        <v/>
      </c>
      <c r="J862" s="35">
        <f>IF($F862="","",IFERROR(INDEX(사건마스터!$AH$5:$AH$64,MATCH($F862,사건마스터!$A$5:$A$64,0)),""))</f>
        <v/>
      </c>
      <c r="K862" s="35">
        <f>IF($F862="","",IFERROR(INDEX(사건마스터!$AI$5:$AI$64,MATCH($F862,사건마스터!$A$5:$A$64,0)),""))</f>
        <v/>
      </c>
      <c r="L862" s="35">
        <f>IF($F862="","",IFERROR(INDEX(사건마스터!$AJ$5:$AJ$64,MATCH($F862,사건마스터!$A$5:$A$64,0)),""))</f>
        <v/>
      </c>
      <c r="M862" s="35">
        <f>IF($F862="","",IFERROR(INDEX(사건마스터!$AK$5:$AK$64,MATCH($F862,사건마스터!$A$5:$A$64,0)),""))</f>
        <v/>
      </c>
      <c r="N862" s="35">
        <f>IF($F862="","",IFERROR(INDEX(사건마스터!$AL$5:$AL$64,MATCH($F862,사건마스터!$A$5:$A$64,0)),""))</f>
        <v/>
      </c>
      <c r="O862" s="35">
        <f>IF($F862="","",IFERROR(INDEX(사건마스터!$AM$5:$AM$64,MATCH($F862,사건마스터!$A$5:$A$64,0)),""))</f>
        <v/>
      </c>
      <c r="P862" s="35">
        <f>IF($F862="","",IFERROR(INDEX(사건마스터!$AN$5:$AN$64,MATCH($F862,사건마스터!$A$5:$A$64,0)),""))</f>
        <v/>
      </c>
      <c r="Q862" s="35">
        <f>IF($F862="","",IFERROR(INDEX(사건마스터!$AO$5:$AO$64,MATCH($F862,사건마스터!$A$5:$A$64,0)),""))</f>
        <v/>
      </c>
      <c r="R862" s="35">
        <f>IF($F862="","",IFERROR(INDEX(사건마스터!$AP$5:$AP$64,MATCH($F862,사건마스터!$A$5:$A$64,0)),""))</f>
        <v/>
      </c>
      <c r="S862" s="35">
        <f>IF($F862="","",IFERROR(INDEX(사건마스터!$AQ$5:$AQ$64,MATCH($F862,사건마스터!$A$5:$A$64,0)),""))</f>
        <v/>
      </c>
      <c r="T862" s="35">
        <f>IF($F862="","",IFERROR(INDEX(사건마스터!$AR$5:$AR$64,MATCH($F862,사건마스터!$A$5:$A$64,0)),""))</f>
        <v/>
      </c>
      <c r="U862" s="35">
        <f>IF($F862="","",IFERROR(INDEX(사건마스터!$AS$5:$AS$64,MATCH($F862,사건마스터!$A$5:$A$64,0)),""))</f>
        <v/>
      </c>
      <c r="V862" s="35">
        <f>IF($F862="","",IFERROR(INDEX(사건마스터!$AT$5:$AT$64,MATCH($F862,사건마스터!$A$5:$A$64,0)),""))</f>
        <v/>
      </c>
      <c r="W862" s="35">
        <f>IF($F862="","",IFERROR(INDEX(사건마스터!$AU$5:$AU$64,MATCH($F862,사건마스터!$A$5:$A$64,0)),""))</f>
        <v/>
      </c>
      <c r="X862" s="35">
        <f>IF($F862="","",IFERROR(INDEX(사건마스터!$AV$5:$AV$64,MATCH($F862,사건마스터!$A$5:$A$64,0)),""))</f>
        <v/>
      </c>
      <c r="Y862" s="30">
        <f>IF($I862="","",COUNTIF($I862:$X862,"?*"))</f>
        <v/>
      </c>
      <c r="Z862" s="33">
        <f>IF($I862="","",_xlfn.TEXTJOIN(", ",TRUE,$I862:$X862))</f>
        <v/>
      </c>
      <c r="AA862" s="34">
        <f>IF($I862="","",IFERROR(INDEX(코드설정!$D$5:$D$24,MATCH($I862,코드설정!$C$5:$C$24,0)),""))</f>
        <v/>
      </c>
      <c r="AB862" s="36" t="n"/>
      <c r="AC862" s="37" t="n"/>
      <c r="AD862" s="38" t="n"/>
      <c r="AE862" s="30">
        <f>IF(OR($B862="",$C862=""),"",$C862-$B862+1)</f>
        <v/>
      </c>
      <c r="AF862" s="32" t="n"/>
      <c r="AG862" s="36" t="n"/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3">
        <f>IF($F863="","",IFERROR(INDEX(사건마스터!$B$5:$B$64,MATCH($F863,사건마스터!$A$5:$A$64,0)),""))</f>
        <v/>
      </c>
      <c r="H863" s="34">
        <f>IF($F863="","",IFERROR(INDEX(사건마스터!$C$5:$C$64,MATCH($F863,사건마스터!$A$5:$A$64,0)),""))</f>
        <v/>
      </c>
      <c r="I863" s="35">
        <f>IF($F863="","",IFERROR(INDEX(사건마스터!$H$5:$H$64,MATCH($F863,사건마스터!$A$5:$A$64,0)),""))</f>
        <v/>
      </c>
      <c r="J863" s="35">
        <f>IF($F863="","",IFERROR(INDEX(사건마스터!$AH$5:$AH$64,MATCH($F863,사건마스터!$A$5:$A$64,0)),""))</f>
        <v/>
      </c>
      <c r="K863" s="35">
        <f>IF($F863="","",IFERROR(INDEX(사건마스터!$AI$5:$AI$64,MATCH($F863,사건마스터!$A$5:$A$64,0)),""))</f>
        <v/>
      </c>
      <c r="L863" s="35">
        <f>IF($F863="","",IFERROR(INDEX(사건마스터!$AJ$5:$AJ$64,MATCH($F863,사건마스터!$A$5:$A$64,0)),""))</f>
        <v/>
      </c>
      <c r="M863" s="35">
        <f>IF($F863="","",IFERROR(INDEX(사건마스터!$AK$5:$AK$64,MATCH($F863,사건마스터!$A$5:$A$64,0)),""))</f>
        <v/>
      </c>
      <c r="N863" s="35">
        <f>IF($F863="","",IFERROR(INDEX(사건마스터!$AL$5:$AL$64,MATCH($F863,사건마스터!$A$5:$A$64,0)),""))</f>
        <v/>
      </c>
      <c r="O863" s="35">
        <f>IF($F863="","",IFERROR(INDEX(사건마스터!$AM$5:$AM$64,MATCH($F863,사건마스터!$A$5:$A$64,0)),""))</f>
        <v/>
      </c>
      <c r="P863" s="35">
        <f>IF($F863="","",IFERROR(INDEX(사건마스터!$AN$5:$AN$64,MATCH($F863,사건마스터!$A$5:$A$64,0)),""))</f>
        <v/>
      </c>
      <c r="Q863" s="35">
        <f>IF($F863="","",IFERROR(INDEX(사건마스터!$AO$5:$AO$64,MATCH($F863,사건마스터!$A$5:$A$64,0)),""))</f>
        <v/>
      </c>
      <c r="R863" s="35">
        <f>IF($F863="","",IFERROR(INDEX(사건마스터!$AP$5:$AP$64,MATCH($F863,사건마스터!$A$5:$A$64,0)),""))</f>
        <v/>
      </c>
      <c r="S863" s="35">
        <f>IF($F863="","",IFERROR(INDEX(사건마스터!$AQ$5:$AQ$64,MATCH($F863,사건마스터!$A$5:$A$64,0)),""))</f>
        <v/>
      </c>
      <c r="T863" s="35">
        <f>IF($F863="","",IFERROR(INDEX(사건마스터!$AR$5:$AR$64,MATCH($F863,사건마스터!$A$5:$A$64,0)),""))</f>
        <v/>
      </c>
      <c r="U863" s="35">
        <f>IF($F863="","",IFERROR(INDEX(사건마스터!$AS$5:$AS$64,MATCH($F863,사건마스터!$A$5:$A$64,0)),""))</f>
        <v/>
      </c>
      <c r="V863" s="35">
        <f>IF($F863="","",IFERROR(INDEX(사건마스터!$AT$5:$AT$64,MATCH($F863,사건마스터!$A$5:$A$64,0)),""))</f>
        <v/>
      </c>
      <c r="W863" s="35">
        <f>IF($F863="","",IFERROR(INDEX(사건마스터!$AU$5:$AU$64,MATCH($F863,사건마스터!$A$5:$A$64,0)),""))</f>
        <v/>
      </c>
      <c r="X863" s="35">
        <f>IF($F863="","",IFERROR(INDEX(사건마스터!$AV$5:$AV$64,MATCH($F863,사건마스터!$A$5:$A$64,0)),""))</f>
        <v/>
      </c>
      <c r="Y863" s="30">
        <f>IF($I863="","",COUNTIF($I863:$X863,"?*"))</f>
        <v/>
      </c>
      <c r="Z863" s="33">
        <f>IF($I863="","",_xlfn.TEXTJOIN(", ",TRUE,$I863:$X863))</f>
        <v/>
      </c>
      <c r="AA863" s="34">
        <f>IF($I863="","",IFERROR(INDEX(코드설정!$D$5:$D$24,MATCH($I863,코드설정!$C$5:$C$24,0)),""))</f>
        <v/>
      </c>
      <c r="AB863" s="36" t="n"/>
      <c r="AC863" s="37" t="n"/>
      <c r="AD863" s="38" t="n"/>
      <c r="AE863" s="30">
        <f>IF(OR($B863="",$C863=""),"",$C863-$B863+1)</f>
        <v/>
      </c>
      <c r="AF863" s="32" t="n"/>
      <c r="AG863" s="36" t="n"/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3">
        <f>IF($F864="","",IFERROR(INDEX(사건마스터!$B$5:$B$64,MATCH($F864,사건마스터!$A$5:$A$64,0)),""))</f>
        <v/>
      </c>
      <c r="H864" s="34">
        <f>IF($F864="","",IFERROR(INDEX(사건마스터!$C$5:$C$64,MATCH($F864,사건마스터!$A$5:$A$64,0)),""))</f>
        <v/>
      </c>
      <c r="I864" s="35">
        <f>IF($F864="","",IFERROR(INDEX(사건마스터!$H$5:$H$64,MATCH($F864,사건마스터!$A$5:$A$64,0)),""))</f>
        <v/>
      </c>
      <c r="J864" s="35">
        <f>IF($F864="","",IFERROR(INDEX(사건마스터!$AH$5:$AH$64,MATCH($F864,사건마스터!$A$5:$A$64,0)),""))</f>
        <v/>
      </c>
      <c r="K864" s="35">
        <f>IF($F864="","",IFERROR(INDEX(사건마스터!$AI$5:$AI$64,MATCH($F864,사건마스터!$A$5:$A$64,0)),""))</f>
        <v/>
      </c>
      <c r="L864" s="35">
        <f>IF($F864="","",IFERROR(INDEX(사건마스터!$AJ$5:$AJ$64,MATCH($F864,사건마스터!$A$5:$A$64,0)),""))</f>
        <v/>
      </c>
      <c r="M864" s="35">
        <f>IF($F864="","",IFERROR(INDEX(사건마스터!$AK$5:$AK$64,MATCH($F864,사건마스터!$A$5:$A$64,0)),""))</f>
        <v/>
      </c>
      <c r="N864" s="35">
        <f>IF($F864="","",IFERROR(INDEX(사건마스터!$AL$5:$AL$64,MATCH($F864,사건마스터!$A$5:$A$64,0)),""))</f>
        <v/>
      </c>
      <c r="O864" s="35">
        <f>IF($F864="","",IFERROR(INDEX(사건마스터!$AM$5:$AM$64,MATCH($F864,사건마스터!$A$5:$A$64,0)),""))</f>
        <v/>
      </c>
      <c r="P864" s="35">
        <f>IF($F864="","",IFERROR(INDEX(사건마스터!$AN$5:$AN$64,MATCH($F864,사건마스터!$A$5:$A$64,0)),""))</f>
        <v/>
      </c>
      <c r="Q864" s="35">
        <f>IF($F864="","",IFERROR(INDEX(사건마스터!$AO$5:$AO$64,MATCH($F864,사건마스터!$A$5:$A$64,0)),""))</f>
        <v/>
      </c>
      <c r="R864" s="35">
        <f>IF($F864="","",IFERROR(INDEX(사건마스터!$AP$5:$AP$64,MATCH($F864,사건마스터!$A$5:$A$64,0)),""))</f>
        <v/>
      </c>
      <c r="S864" s="35">
        <f>IF($F864="","",IFERROR(INDEX(사건마스터!$AQ$5:$AQ$64,MATCH($F864,사건마스터!$A$5:$A$64,0)),""))</f>
        <v/>
      </c>
      <c r="T864" s="35">
        <f>IF($F864="","",IFERROR(INDEX(사건마스터!$AR$5:$AR$64,MATCH($F864,사건마스터!$A$5:$A$64,0)),""))</f>
        <v/>
      </c>
      <c r="U864" s="35">
        <f>IF($F864="","",IFERROR(INDEX(사건마스터!$AS$5:$AS$64,MATCH($F864,사건마스터!$A$5:$A$64,0)),""))</f>
        <v/>
      </c>
      <c r="V864" s="35">
        <f>IF($F864="","",IFERROR(INDEX(사건마스터!$AT$5:$AT$64,MATCH($F864,사건마스터!$A$5:$A$64,0)),""))</f>
        <v/>
      </c>
      <c r="W864" s="35">
        <f>IF($F864="","",IFERROR(INDEX(사건마스터!$AU$5:$AU$64,MATCH($F864,사건마스터!$A$5:$A$64,0)),""))</f>
        <v/>
      </c>
      <c r="X864" s="35">
        <f>IF($F864="","",IFERROR(INDEX(사건마스터!$AV$5:$AV$64,MATCH($F864,사건마스터!$A$5:$A$64,0)),""))</f>
        <v/>
      </c>
      <c r="Y864" s="30">
        <f>IF($I864="","",COUNTIF($I864:$X864,"?*"))</f>
        <v/>
      </c>
      <c r="Z864" s="33">
        <f>IF($I864="","",_xlfn.TEXTJOIN(", ",TRUE,$I864:$X864))</f>
        <v/>
      </c>
      <c r="AA864" s="34">
        <f>IF($I864="","",IFERROR(INDEX(코드설정!$D$5:$D$24,MATCH($I864,코드설정!$C$5:$C$24,0)),""))</f>
        <v/>
      </c>
      <c r="AB864" s="36" t="n"/>
      <c r="AC864" s="37" t="n"/>
      <c r="AD864" s="38" t="n"/>
      <c r="AE864" s="30">
        <f>IF(OR($B864="",$C864=""),"",$C864-$B864+1)</f>
        <v/>
      </c>
      <c r="AF864" s="32" t="n"/>
      <c r="AG864" s="36" t="n"/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3">
        <f>IF($F865="","",IFERROR(INDEX(사건마스터!$B$5:$B$64,MATCH($F865,사건마스터!$A$5:$A$64,0)),""))</f>
        <v/>
      </c>
      <c r="H865" s="34">
        <f>IF($F865="","",IFERROR(INDEX(사건마스터!$C$5:$C$64,MATCH($F865,사건마스터!$A$5:$A$64,0)),""))</f>
        <v/>
      </c>
      <c r="I865" s="35">
        <f>IF($F865="","",IFERROR(INDEX(사건마스터!$H$5:$H$64,MATCH($F865,사건마스터!$A$5:$A$64,0)),""))</f>
        <v/>
      </c>
      <c r="J865" s="35">
        <f>IF($F865="","",IFERROR(INDEX(사건마스터!$AH$5:$AH$64,MATCH($F865,사건마스터!$A$5:$A$64,0)),""))</f>
        <v/>
      </c>
      <c r="K865" s="35">
        <f>IF($F865="","",IFERROR(INDEX(사건마스터!$AI$5:$AI$64,MATCH($F865,사건마스터!$A$5:$A$64,0)),""))</f>
        <v/>
      </c>
      <c r="L865" s="35">
        <f>IF($F865="","",IFERROR(INDEX(사건마스터!$AJ$5:$AJ$64,MATCH($F865,사건마스터!$A$5:$A$64,0)),""))</f>
        <v/>
      </c>
      <c r="M865" s="35">
        <f>IF($F865="","",IFERROR(INDEX(사건마스터!$AK$5:$AK$64,MATCH($F865,사건마스터!$A$5:$A$64,0)),""))</f>
        <v/>
      </c>
      <c r="N865" s="35">
        <f>IF($F865="","",IFERROR(INDEX(사건마스터!$AL$5:$AL$64,MATCH($F865,사건마스터!$A$5:$A$64,0)),""))</f>
        <v/>
      </c>
      <c r="O865" s="35">
        <f>IF($F865="","",IFERROR(INDEX(사건마스터!$AM$5:$AM$64,MATCH($F865,사건마스터!$A$5:$A$64,0)),""))</f>
        <v/>
      </c>
      <c r="P865" s="35">
        <f>IF($F865="","",IFERROR(INDEX(사건마스터!$AN$5:$AN$64,MATCH($F865,사건마스터!$A$5:$A$64,0)),""))</f>
        <v/>
      </c>
      <c r="Q865" s="35">
        <f>IF($F865="","",IFERROR(INDEX(사건마스터!$AO$5:$AO$64,MATCH($F865,사건마스터!$A$5:$A$64,0)),""))</f>
        <v/>
      </c>
      <c r="R865" s="35">
        <f>IF($F865="","",IFERROR(INDEX(사건마스터!$AP$5:$AP$64,MATCH($F865,사건마스터!$A$5:$A$64,0)),""))</f>
        <v/>
      </c>
      <c r="S865" s="35">
        <f>IF($F865="","",IFERROR(INDEX(사건마스터!$AQ$5:$AQ$64,MATCH($F865,사건마스터!$A$5:$A$64,0)),""))</f>
        <v/>
      </c>
      <c r="T865" s="35">
        <f>IF($F865="","",IFERROR(INDEX(사건마스터!$AR$5:$AR$64,MATCH($F865,사건마스터!$A$5:$A$64,0)),""))</f>
        <v/>
      </c>
      <c r="U865" s="35">
        <f>IF($F865="","",IFERROR(INDEX(사건마스터!$AS$5:$AS$64,MATCH($F865,사건마스터!$A$5:$A$64,0)),""))</f>
        <v/>
      </c>
      <c r="V865" s="35">
        <f>IF($F865="","",IFERROR(INDEX(사건마스터!$AT$5:$AT$64,MATCH($F865,사건마스터!$A$5:$A$64,0)),""))</f>
        <v/>
      </c>
      <c r="W865" s="35">
        <f>IF($F865="","",IFERROR(INDEX(사건마스터!$AU$5:$AU$64,MATCH($F865,사건마스터!$A$5:$A$64,0)),""))</f>
        <v/>
      </c>
      <c r="X865" s="35">
        <f>IF($F865="","",IFERROR(INDEX(사건마스터!$AV$5:$AV$64,MATCH($F865,사건마스터!$A$5:$A$64,0)),""))</f>
        <v/>
      </c>
      <c r="Y865" s="30">
        <f>IF($I865="","",COUNTIF($I865:$X865,"?*"))</f>
        <v/>
      </c>
      <c r="Z865" s="33">
        <f>IF($I865="","",_xlfn.TEXTJOIN(", ",TRUE,$I865:$X865))</f>
        <v/>
      </c>
      <c r="AA865" s="34">
        <f>IF($I865="","",IFERROR(INDEX(코드설정!$D$5:$D$24,MATCH($I865,코드설정!$C$5:$C$24,0)),""))</f>
        <v/>
      </c>
      <c r="AB865" s="36" t="n"/>
      <c r="AC865" s="37" t="n"/>
      <c r="AD865" s="38" t="n"/>
      <c r="AE865" s="30">
        <f>IF(OR($B865="",$C865=""),"",$C865-$B865+1)</f>
        <v/>
      </c>
      <c r="AF865" s="32" t="n"/>
      <c r="AG865" s="36" t="n"/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3">
        <f>IF($F866="","",IFERROR(INDEX(사건마스터!$B$5:$B$64,MATCH($F866,사건마스터!$A$5:$A$64,0)),""))</f>
        <v/>
      </c>
      <c r="H866" s="34">
        <f>IF($F866="","",IFERROR(INDEX(사건마스터!$C$5:$C$64,MATCH($F866,사건마스터!$A$5:$A$64,0)),""))</f>
        <v/>
      </c>
      <c r="I866" s="35">
        <f>IF($F866="","",IFERROR(INDEX(사건마스터!$H$5:$H$64,MATCH($F866,사건마스터!$A$5:$A$64,0)),""))</f>
        <v/>
      </c>
      <c r="J866" s="35">
        <f>IF($F866="","",IFERROR(INDEX(사건마스터!$AH$5:$AH$64,MATCH($F866,사건마스터!$A$5:$A$64,0)),""))</f>
        <v/>
      </c>
      <c r="K866" s="35">
        <f>IF($F866="","",IFERROR(INDEX(사건마스터!$AI$5:$AI$64,MATCH($F866,사건마스터!$A$5:$A$64,0)),""))</f>
        <v/>
      </c>
      <c r="L866" s="35">
        <f>IF($F866="","",IFERROR(INDEX(사건마스터!$AJ$5:$AJ$64,MATCH($F866,사건마스터!$A$5:$A$64,0)),""))</f>
        <v/>
      </c>
      <c r="M866" s="35">
        <f>IF($F866="","",IFERROR(INDEX(사건마스터!$AK$5:$AK$64,MATCH($F866,사건마스터!$A$5:$A$64,0)),""))</f>
        <v/>
      </c>
      <c r="N866" s="35">
        <f>IF($F866="","",IFERROR(INDEX(사건마스터!$AL$5:$AL$64,MATCH($F866,사건마스터!$A$5:$A$64,0)),""))</f>
        <v/>
      </c>
      <c r="O866" s="35">
        <f>IF($F866="","",IFERROR(INDEX(사건마스터!$AM$5:$AM$64,MATCH($F866,사건마스터!$A$5:$A$64,0)),""))</f>
        <v/>
      </c>
      <c r="P866" s="35">
        <f>IF($F866="","",IFERROR(INDEX(사건마스터!$AN$5:$AN$64,MATCH($F866,사건마스터!$A$5:$A$64,0)),""))</f>
        <v/>
      </c>
      <c r="Q866" s="35">
        <f>IF($F866="","",IFERROR(INDEX(사건마스터!$AO$5:$AO$64,MATCH($F866,사건마스터!$A$5:$A$64,0)),""))</f>
        <v/>
      </c>
      <c r="R866" s="35">
        <f>IF($F866="","",IFERROR(INDEX(사건마스터!$AP$5:$AP$64,MATCH($F866,사건마스터!$A$5:$A$64,0)),""))</f>
        <v/>
      </c>
      <c r="S866" s="35">
        <f>IF($F866="","",IFERROR(INDEX(사건마스터!$AQ$5:$AQ$64,MATCH($F866,사건마스터!$A$5:$A$64,0)),""))</f>
        <v/>
      </c>
      <c r="T866" s="35">
        <f>IF($F866="","",IFERROR(INDEX(사건마스터!$AR$5:$AR$64,MATCH($F866,사건마스터!$A$5:$A$64,0)),""))</f>
        <v/>
      </c>
      <c r="U866" s="35">
        <f>IF($F866="","",IFERROR(INDEX(사건마스터!$AS$5:$AS$64,MATCH($F866,사건마스터!$A$5:$A$64,0)),""))</f>
        <v/>
      </c>
      <c r="V866" s="35">
        <f>IF($F866="","",IFERROR(INDEX(사건마스터!$AT$5:$AT$64,MATCH($F866,사건마스터!$A$5:$A$64,0)),""))</f>
        <v/>
      </c>
      <c r="W866" s="35">
        <f>IF($F866="","",IFERROR(INDEX(사건마스터!$AU$5:$AU$64,MATCH($F866,사건마스터!$A$5:$A$64,0)),""))</f>
        <v/>
      </c>
      <c r="X866" s="35">
        <f>IF($F866="","",IFERROR(INDEX(사건마스터!$AV$5:$AV$64,MATCH($F866,사건마스터!$A$5:$A$64,0)),""))</f>
        <v/>
      </c>
      <c r="Y866" s="30">
        <f>IF($I866="","",COUNTIF($I866:$X866,"?*"))</f>
        <v/>
      </c>
      <c r="Z866" s="33">
        <f>IF($I866="","",_xlfn.TEXTJOIN(", ",TRUE,$I866:$X866))</f>
        <v/>
      </c>
      <c r="AA866" s="34">
        <f>IF($I866="","",IFERROR(INDEX(코드설정!$D$5:$D$24,MATCH($I866,코드설정!$C$5:$C$24,0)),""))</f>
        <v/>
      </c>
      <c r="AB866" s="36" t="n"/>
      <c r="AC866" s="37" t="n"/>
      <c r="AD866" s="38" t="n"/>
      <c r="AE866" s="30">
        <f>IF(OR($B866="",$C866=""),"",$C866-$B866+1)</f>
        <v/>
      </c>
      <c r="AF866" s="32" t="n"/>
      <c r="AG866" s="36" t="n"/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3">
        <f>IF($F867="","",IFERROR(INDEX(사건마스터!$B$5:$B$64,MATCH($F867,사건마스터!$A$5:$A$64,0)),""))</f>
        <v/>
      </c>
      <c r="H867" s="34">
        <f>IF($F867="","",IFERROR(INDEX(사건마스터!$C$5:$C$64,MATCH($F867,사건마스터!$A$5:$A$64,0)),""))</f>
        <v/>
      </c>
      <c r="I867" s="35">
        <f>IF($F867="","",IFERROR(INDEX(사건마스터!$H$5:$H$64,MATCH($F867,사건마스터!$A$5:$A$64,0)),""))</f>
        <v/>
      </c>
      <c r="J867" s="35">
        <f>IF($F867="","",IFERROR(INDEX(사건마스터!$AH$5:$AH$64,MATCH($F867,사건마스터!$A$5:$A$64,0)),""))</f>
        <v/>
      </c>
      <c r="K867" s="35">
        <f>IF($F867="","",IFERROR(INDEX(사건마스터!$AI$5:$AI$64,MATCH($F867,사건마스터!$A$5:$A$64,0)),""))</f>
        <v/>
      </c>
      <c r="L867" s="35">
        <f>IF($F867="","",IFERROR(INDEX(사건마스터!$AJ$5:$AJ$64,MATCH($F867,사건마스터!$A$5:$A$64,0)),""))</f>
        <v/>
      </c>
      <c r="M867" s="35">
        <f>IF($F867="","",IFERROR(INDEX(사건마스터!$AK$5:$AK$64,MATCH($F867,사건마스터!$A$5:$A$64,0)),""))</f>
        <v/>
      </c>
      <c r="N867" s="35">
        <f>IF($F867="","",IFERROR(INDEX(사건마스터!$AL$5:$AL$64,MATCH($F867,사건마스터!$A$5:$A$64,0)),""))</f>
        <v/>
      </c>
      <c r="O867" s="35">
        <f>IF($F867="","",IFERROR(INDEX(사건마스터!$AM$5:$AM$64,MATCH($F867,사건마스터!$A$5:$A$64,0)),""))</f>
        <v/>
      </c>
      <c r="P867" s="35">
        <f>IF($F867="","",IFERROR(INDEX(사건마스터!$AN$5:$AN$64,MATCH($F867,사건마스터!$A$5:$A$64,0)),""))</f>
        <v/>
      </c>
      <c r="Q867" s="35">
        <f>IF($F867="","",IFERROR(INDEX(사건마스터!$AO$5:$AO$64,MATCH($F867,사건마스터!$A$5:$A$64,0)),""))</f>
        <v/>
      </c>
      <c r="R867" s="35">
        <f>IF($F867="","",IFERROR(INDEX(사건마스터!$AP$5:$AP$64,MATCH($F867,사건마스터!$A$5:$A$64,0)),""))</f>
        <v/>
      </c>
      <c r="S867" s="35">
        <f>IF($F867="","",IFERROR(INDEX(사건마스터!$AQ$5:$AQ$64,MATCH($F867,사건마스터!$A$5:$A$64,0)),""))</f>
        <v/>
      </c>
      <c r="T867" s="35">
        <f>IF($F867="","",IFERROR(INDEX(사건마스터!$AR$5:$AR$64,MATCH($F867,사건마스터!$A$5:$A$64,0)),""))</f>
        <v/>
      </c>
      <c r="U867" s="35">
        <f>IF($F867="","",IFERROR(INDEX(사건마스터!$AS$5:$AS$64,MATCH($F867,사건마스터!$A$5:$A$64,0)),""))</f>
        <v/>
      </c>
      <c r="V867" s="35">
        <f>IF($F867="","",IFERROR(INDEX(사건마스터!$AT$5:$AT$64,MATCH($F867,사건마스터!$A$5:$A$64,0)),""))</f>
        <v/>
      </c>
      <c r="W867" s="35">
        <f>IF($F867="","",IFERROR(INDEX(사건마스터!$AU$5:$AU$64,MATCH($F867,사건마스터!$A$5:$A$64,0)),""))</f>
        <v/>
      </c>
      <c r="X867" s="35">
        <f>IF($F867="","",IFERROR(INDEX(사건마스터!$AV$5:$AV$64,MATCH($F867,사건마스터!$A$5:$A$64,0)),""))</f>
        <v/>
      </c>
      <c r="Y867" s="30">
        <f>IF($I867="","",COUNTIF($I867:$X867,"?*"))</f>
        <v/>
      </c>
      <c r="Z867" s="33">
        <f>IF($I867="","",_xlfn.TEXTJOIN(", ",TRUE,$I867:$X867))</f>
        <v/>
      </c>
      <c r="AA867" s="34">
        <f>IF($I867="","",IFERROR(INDEX(코드설정!$D$5:$D$24,MATCH($I867,코드설정!$C$5:$C$24,0)),""))</f>
        <v/>
      </c>
      <c r="AB867" s="36" t="n"/>
      <c r="AC867" s="37" t="n"/>
      <c r="AD867" s="38" t="n"/>
      <c r="AE867" s="30">
        <f>IF(OR($B867="",$C867=""),"",$C867-$B867+1)</f>
        <v/>
      </c>
      <c r="AF867" s="32" t="n"/>
      <c r="AG867" s="36" t="n"/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3">
        <f>IF($F868="","",IFERROR(INDEX(사건마스터!$B$5:$B$64,MATCH($F868,사건마스터!$A$5:$A$64,0)),""))</f>
        <v/>
      </c>
      <c r="H868" s="34">
        <f>IF($F868="","",IFERROR(INDEX(사건마스터!$C$5:$C$64,MATCH($F868,사건마스터!$A$5:$A$64,0)),""))</f>
        <v/>
      </c>
      <c r="I868" s="35">
        <f>IF($F868="","",IFERROR(INDEX(사건마스터!$H$5:$H$64,MATCH($F868,사건마스터!$A$5:$A$64,0)),""))</f>
        <v/>
      </c>
      <c r="J868" s="35">
        <f>IF($F868="","",IFERROR(INDEX(사건마스터!$AH$5:$AH$64,MATCH($F868,사건마스터!$A$5:$A$64,0)),""))</f>
        <v/>
      </c>
      <c r="K868" s="35">
        <f>IF($F868="","",IFERROR(INDEX(사건마스터!$AI$5:$AI$64,MATCH($F868,사건마스터!$A$5:$A$64,0)),""))</f>
        <v/>
      </c>
      <c r="L868" s="35">
        <f>IF($F868="","",IFERROR(INDEX(사건마스터!$AJ$5:$AJ$64,MATCH($F868,사건마스터!$A$5:$A$64,0)),""))</f>
        <v/>
      </c>
      <c r="M868" s="35">
        <f>IF($F868="","",IFERROR(INDEX(사건마스터!$AK$5:$AK$64,MATCH($F868,사건마스터!$A$5:$A$64,0)),""))</f>
        <v/>
      </c>
      <c r="N868" s="35">
        <f>IF($F868="","",IFERROR(INDEX(사건마스터!$AL$5:$AL$64,MATCH($F868,사건마스터!$A$5:$A$64,0)),""))</f>
        <v/>
      </c>
      <c r="O868" s="35">
        <f>IF($F868="","",IFERROR(INDEX(사건마스터!$AM$5:$AM$64,MATCH($F868,사건마스터!$A$5:$A$64,0)),""))</f>
        <v/>
      </c>
      <c r="P868" s="35">
        <f>IF($F868="","",IFERROR(INDEX(사건마스터!$AN$5:$AN$64,MATCH($F868,사건마스터!$A$5:$A$64,0)),""))</f>
        <v/>
      </c>
      <c r="Q868" s="35">
        <f>IF($F868="","",IFERROR(INDEX(사건마스터!$AO$5:$AO$64,MATCH($F868,사건마스터!$A$5:$A$64,0)),""))</f>
        <v/>
      </c>
      <c r="R868" s="35">
        <f>IF($F868="","",IFERROR(INDEX(사건마스터!$AP$5:$AP$64,MATCH($F868,사건마스터!$A$5:$A$64,0)),""))</f>
        <v/>
      </c>
      <c r="S868" s="35">
        <f>IF($F868="","",IFERROR(INDEX(사건마스터!$AQ$5:$AQ$64,MATCH($F868,사건마스터!$A$5:$A$64,0)),""))</f>
        <v/>
      </c>
      <c r="T868" s="35">
        <f>IF($F868="","",IFERROR(INDEX(사건마스터!$AR$5:$AR$64,MATCH($F868,사건마스터!$A$5:$A$64,0)),""))</f>
        <v/>
      </c>
      <c r="U868" s="35">
        <f>IF($F868="","",IFERROR(INDEX(사건마스터!$AS$5:$AS$64,MATCH($F868,사건마스터!$A$5:$A$64,0)),""))</f>
        <v/>
      </c>
      <c r="V868" s="35">
        <f>IF($F868="","",IFERROR(INDEX(사건마스터!$AT$5:$AT$64,MATCH($F868,사건마스터!$A$5:$A$64,0)),""))</f>
        <v/>
      </c>
      <c r="W868" s="35">
        <f>IF($F868="","",IFERROR(INDEX(사건마스터!$AU$5:$AU$64,MATCH($F868,사건마스터!$A$5:$A$64,0)),""))</f>
        <v/>
      </c>
      <c r="X868" s="35">
        <f>IF($F868="","",IFERROR(INDEX(사건마스터!$AV$5:$AV$64,MATCH($F868,사건마스터!$A$5:$A$64,0)),""))</f>
        <v/>
      </c>
      <c r="Y868" s="30">
        <f>IF($I868="","",COUNTIF($I868:$X868,"?*"))</f>
        <v/>
      </c>
      <c r="Z868" s="33">
        <f>IF($I868="","",_xlfn.TEXTJOIN(", ",TRUE,$I868:$X868))</f>
        <v/>
      </c>
      <c r="AA868" s="34">
        <f>IF($I868="","",IFERROR(INDEX(코드설정!$D$5:$D$24,MATCH($I868,코드설정!$C$5:$C$24,0)),""))</f>
        <v/>
      </c>
      <c r="AB868" s="36" t="n"/>
      <c r="AC868" s="37" t="n"/>
      <c r="AD868" s="38" t="n"/>
      <c r="AE868" s="30">
        <f>IF(OR($B868="",$C868=""),"",$C868-$B868+1)</f>
        <v/>
      </c>
      <c r="AF868" s="32" t="n"/>
      <c r="AG868" s="36" t="n"/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3">
        <f>IF($F869="","",IFERROR(INDEX(사건마스터!$B$5:$B$64,MATCH($F869,사건마스터!$A$5:$A$64,0)),""))</f>
        <v/>
      </c>
      <c r="H869" s="34">
        <f>IF($F869="","",IFERROR(INDEX(사건마스터!$C$5:$C$64,MATCH($F869,사건마스터!$A$5:$A$64,0)),""))</f>
        <v/>
      </c>
      <c r="I869" s="35">
        <f>IF($F869="","",IFERROR(INDEX(사건마스터!$H$5:$H$64,MATCH($F869,사건마스터!$A$5:$A$64,0)),""))</f>
        <v/>
      </c>
      <c r="J869" s="35">
        <f>IF($F869="","",IFERROR(INDEX(사건마스터!$AH$5:$AH$64,MATCH($F869,사건마스터!$A$5:$A$64,0)),""))</f>
        <v/>
      </c>
      <c r="K869" s="35">
        <f>IF($F869="","",IFERROR(INDEX(사건마스터!$AI$5:$AI$64,MATCH($F869,사건마스터!$A$5:$A$64,0)),""))</f>
        <v/>
      </c>
      <c r="L869" s="35">
        <f>IF($F869="","",IFERROR(INDEX(사건마스터!$AJ$5:$AJ$64,MATCH($F869,사건마스터!$A$5:$A$64,0)),""))</f>
        <v/>
      </c>
      <c r="M869" s="35">
        <f>IF($F869="","",IFERROR(INDEX(사건마스터!$AK$5:$AK$64,MATCH($F869,사건마스터!$A$5:$A$64,0)),""))</f>
        <v/>
      </c>
      <c r="N869" s="35">
        <f>IF($F869="","",IFERROR(INDEX(사건마스터!$AL$5:$AL$64,MATCH($F869,사건마스터!$A$5:$A$64,0)),""))</f>
        <v/>
      </c>
      <c r="O869" s="35">
        <f>IF($F869="","",IFERROR(INDEX(사건마스터!$AM$5:$AM$64,MATCH($F869,사건마스터!$A$5:$A$64,0)),""))</f>
        <v/>
      </c>
      <c r="P869" s="35">
        <f>IF($F869="","",IFERROR(INDEX(사건마스터!$AN$5:$AN$64,MATCH($F869,사건마스터!$A$5:$A$64,0)),""))</f>
        <v/>
      </c>
      <c r="Q869" s="35">
        <f>IF($F869="","",IFERROR(INDEX(사건마스터!$AO$5:$AO$64,MATCH($F869,사건마스터!$A$5:$A$64,0)),""))</f>
        <v/>
      </c>
      <c r="R869" s="35">
        <f>IF($F869="","",IFERROR(INDEX(사건마스터!$AP$5:$AP$64,MATCH($F869,사건마스터!$A$5:$A$64,0)),""))</f>
        <v/>
      </c>
      <c r="S869" s="35">
        <f>IF($F869="","",IFERROR(INDEX(사건마스터!$AQ$5:$AQ$64,MATCH($F869,사건마스터!$A$5:$A$64,0)),""))</f>
        <v/>
      </c>
      <c r="T869" s="35">
        <f>IF($F869="","",IFERROR(INDEX(사건마스터!$AR$5:$AR$64,MATCH($F869,사건마스터!$A$5:$A$64,0)),""))</f>
        <v/>
      </c>
      <c r="U869" s="35">
        <f>IF($F869="","",IFERROR(INDEX(사건마스터!$AS$5:$AS$64,MATCH($F869,사건마스터!$A$5:$A$64,0)),""))</f>
        <v/>
      </c>
      <c r="V869" s="35">
        <f>IF($F869="","",IFERROR(INDEX(사건마스터!$AT$5:$AT$64,MATCH($F869,사건마스터!$A$5:$A$64,0)),""))</f>
        <v/>
      </c>
      <c r="W869" s="35">
        <f>IF($F869="","",IFERROR(INDEX(사건마스터!$AU$5:$AU$64,MATCH($F869,사건마스터!$A$5:$A$64,0)),""))</f>
        <v/>
      </c>
      <c r="X869" s="35">
        <f>IF($F869="","",IFERROR(INDEX(사건마스터!$AV$5:$AV$64,MATCH($F869,사건마스터!$A$5:$A$64,0)),""))</f>
        <v/>
      </c>
      <c r="Y869" s="30">
        <f>IF($I869="","",COUNTIF($I869:$X869,"?*"))</f>
        <v/>
      </c>
      <c r="Z869" s="33">
        <f>IF($I869="","",_xlfn.TEXTJOIN(", ",TRUE,$I869:$X869))</f>
        <v/>
      </c>
      <c r="AA869" s="34">
        <f>IF($I869="","",IFERROR(INDEX(코드설정!$D$5:$D$24,MATCH($I869,코드설정!$C$5:$C$24,0)),""))</f>
        <v/>
      </c>
      <c r="AB869" s="36" t="n"/>
      <c r="AC869" s="37" t="n"/>
      <c r="AD869" s="38" t="n"/>
      <c r="AE869" s="30">
        <f>IF(OR($B869="",$C869=""),"",$C869-$B869+1)</f>
        <v/>
      </c>
      <c r="AF869" s="32" t="n"/>
      <c r="AG869" s="36" t="n"/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3">
        <f>IF($F870="","",IFERROR(INDEX(사건마스터!$B$5:$B$64,MATCH($F870,사건마스터!$A$5:$A$64,0)),""))</f>
        <v/>
      </c>
      <c r="H870" s="34">
        <f>IF($F870="","",IFERROR(INDEX(사건마스터!$C$5:$C$64,MATCH($F870,사건마스터!$A$5:$A$64,0)),""))</f>
        <v/>
      </c>
      <c r="I870" s="35">
        <f>IF($F870="","",IFERROR(INDEX(사건마스터!$H$5:$H$64,MATCH($F870,사건마스터!$A$5:$A$64,0)),""))</f>
        <v/>
      </c>
      <c r="J870" s="35">
        <f>IF($F870="","",IFERROR(INDEX(사건마스터!$AH$5:$AH$64,MATCH($F870,사건마스터!$A$5:$A$64,0)),""))</f>
        <v/>
      </c>
      <c r="K870" s="35">
        <f>IF($F870="","",IFERROR(INDEX(사건마스터!$AI$5:$AI$64,MATCH($F870,사건마스터!$A$5:$A$64,0)),""))</f>
        <v/>
      </c>
      <c r="L870" s="35">
        <f>IF($F870="","",IFERROR(INDEX(사건마스터!$AJ$5:$AJ$64,MATCH($F870,사건마스터!$A$5:$A$64,0)),""))</f>
        <v/>
      </c>
      <c r="M870" s="35">
        <f>IF($F870="","",IFERROR(INDEX(사건마스터!$AK$5:$AK$64,MATCH($F870,사건마스터!$A$5:$A$64,0)),""))</f>
        <v/>
      </c>
      <c r="N870" s="35">
        <f>IF($F870="","",IFERROR(INDEX(사건마스터!$AL$5:$AL$64,MATCH($F870,사건마스터!$A$5:$A$64,0)),""))</f>
        <v/>
      </c>
      <c r="O870" s="35">
        <f>IF($F870="","",IFERROR(INDEX(사건마스터!$AM$5:$AM$64,MATCH($F870,사건마스터!$A$5:$A$64,0)),""))</f>
        <v/>
      </c>
      <c r="P870" s="35">
        <f>IF($F870="","",IFERROR(INDEX(사건마스터!$AN$5:$AN$64,MATCH($F870,사건마스터!$A$5:$A$64,0)),""))</f>
        <v/>
      </c>
      <c r="Q870" s="35">
        <f>IF($F870="","",IFERROR(INDEX(사건마스터!$AO$5:$AO$64,MATCH($F870,사건마스터!$A$5:$A$64,0)),""))</f>
        <v/>
      </c>
      <c r="R870" s="35">
        <f>IF($F870="","",IFERROR(INDEX(사건마스터!$AP$5:$AP$64,MATCH($F870,사건마스터!$A$5:$A$64,0)),""))</f>
        <v/>
      </c>
      <c r="S870" s="35">
        <f>IF($F870="","",IFERROR(INDEX(사건마스터!$AQ$5:$AQ$64,MATCH($F870,사건마스터!$A$5:$A$64,0)),""))</f>
        <v/>
      </c>
      <c r="T870" s="35">
        <f>IF($F870="","",IFERROR(INDEX(사건마스터!$AR$5:$AR$64,MATCH($F870,사건마스터!$A$5:$A$64,0)),""))</f>
        <v/>
      </c>
      <c r="U870" s="35">
        <f>IF($F870="","",IFERROR(INDEX(사건마스터!$AS$5:$AS$64,MATCH($F870,사건마스터!$A$5:$A$64,0)),""))</f>
        <v/>
      </c>
      <c r="V870" s="35">
        <f>IF($F870="","",IFERROR(INDEX(사건마스터!$AT$5:$AT$64,MATCH($F870,사건마스터!$A$5:$A$64,0)),""))</f>
        <v/>
      </c>
      <c r="W870" s="35">
        <f>IF($F870="","",IFERROR(INDEX(사건마스터!$AU$5:$AU$64,MATCH($F870,사건마스터!$A$5:$A$64,0)),""))</f>
        <v/>
      </c>
      <c r="X870" s="35">
        <f>IF($F870="","",IFERROR(INDEX(사건마스터!$AV$5:$AV$64,MATCH($F870,사건마스터!$A$5:$A$64,0)),""))</f>
        <v/>
      </c>
      <c r="Y870" s="30">
        <f>IF($I870="","",COUNTIF($I870:$X870,"?*"))</f>
        <v/>
      </c>
      <c r="Z870" s="33">
        <f>IF($I870="","",_xlfn.TEXTJOIN(", ",TRUE,$I870:$X870))</f>
        <v/>
      </c>
      <c r="AA870" s="34">
        <f>IF($I870="","",IFERROR(INDEX(코드설정!$D$5:$D$24,MATCH($I870,코드설정!$C$5:$C$24,0)),""))</f>
        <v/>
      </c>
      <c r="AB870" s="36" t="n"/>
      <c r="AC870" s="37" t="n"/>
      <c r="AD870" s="38" t="n"/>
      <c r="AE870" s="30">
        <f>IF(OR($B870="",$C870=""),"",$C870-$B870+1)</f>
        <v/>
      </c>
      <c r="AF870" s="32" t="n"/>
      <c r="AG870" s="36" t="n"/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3">
        <f>IF($F871="","",IFERROR(INDEX(사건마스터!$B$5:$B$64,MATCH($F871,사건마스터!$A$5:$A$64,0)),""))</f>
        <v/>
      </c>
      <c r="H871" s="34">
        <f>IF($F871="","",IFERROR(INDEX(사건마스터!$C$5:$C$64,MATCH($F871,사건마스터!$A$5:$A$64,0)),""))</f>
        <v/>
      </c>
      <c r="I871" s="35">
        <f>IF($F871="","",IFERROR(INDEX(사건마스터!$H$5:$H$64,MATCH($F871,사건마스터!$A$5:$A$64,0)),""))</f>
        <v/>
      </c>
      <c r="J871" s="35">
        <f>IF($F871="","",IFERROR(INDEX(사건마스터!$AH$5:$AH$64,MATCH($F871,사건마스터!$A$5:$A$64,0)),""))</f>
        <v/>
      </c>
      <c r="K871" s="35">
        <f>IF($F871="","",IFERROR(INDEX(사건마스터!$AI$5:$AI$64,MATCH($F871,사건마스터!$A$5:$A$64,0)),""))</f>
        <v/>
      </c>
      <c r="L871" s="35">
        <f>IF($F871="","",IFERROR(INDEX(사건마스터!$AJ$5:$AJ$64,MATCH($F871,사건마스터!$A$5:$A$64,0)),""))</f>
        <v/>
      </c>
      <c r="M871" s="35">
        <f>IF($F871="","",IFERROR(INDEX(사건마스터!$AK$5:$AK$64,MATCH($F871,사건마스터!$A$5:$A$64,0)),""))</f>
        <v/>
      </c>
      <c r="N871" s="35">
        <f>IF($F871="","",IFERROR(INDEX(사건마스터!$AL$5:$AL$64,MATCH($F871,사건마스터!$A$5:$A$64,0)),""))</f>
        <v/>
      </c>
      <c r="O871" s="35">
        <f>IF($F871="","",IFERROR(INDEX(사건마스터!$AM$5:$AM$64,MATCH($F871,사건마스터!$A$5:$A$64,0)),""))</f>
        <v/>
      </c>
      <c r="P871" s="35">
        <f>IF($F871="","",IFERROR(INDEX(사건마스터!$AN$5:$AN$64,MATCH($F871,사건마스터!$A$5:$A$64,0)),""))</f>
        <v/>
      </c>
      <c r="Q871" s="35">
        <f>IF($F871="","",IFERROR(INDEX(사건마스터!$AO$5:$AO$64,MATCH($F871,사건마스터!$A$5:$A$64,0)),""))</f>
        <v/>
      </c>
      <c r="R871" s="35">
        <f>IF($F871="","",IFERROR(INDEX(사건마스터!$AP$5:$AP$64,MATCH($F871,사건마스터!$A$5:$A$64,0)),""))</f>
        <v/>
      </c>
      <c r="S871" s="35">
        <f>IF($F871="","",IFERROR(INDEX(사건마스터!$AQ$5:$AQ$64,MATCH($F871,사건마스터!$A$5:$A$64,0)),""))</f>
        <v/>
      </c>
      <c r="T871" s="35">
        <f>IF($F871="","",IFERROR(INDEX(사건마스터!$AR$5:$AR$64,MATCH($F871,사건마스터!$A$5:$A$64,0)),""))</f>
        <v/>
      </c>
      <c r="U871" s="35">
        <f>IF($F871="","",IFERROR(INDEX(사건마스터!$AS$5:$AS$64,MATCH($F871,사건마스터!$A$5:$A$64,0)),""))</f>
        <v/>
      </c>
      <c r="V871" s="35">
        <f>IF($F871="","",IFERROR(INDEX(사건마스터!$AT$5:$AT$64,MATCH($F871,사건마스터!$A$5:$A$64,0)),""))</f>
        <v/>
      </c>
      <c r="W871" s="35">
        <f>IF($F871="","",IFERROR(INDEX(사건마스터!$AU$5:$AU$64,MATCH($F871,사건마스터!$A$5:$A$64,0)),""))</f>
        <v/>
      </c>
      <c r="X871" s="35">
        <f>IF($F871="","",IFERROR(INDEX(사건마스터!$AV$5:$AV$64,MATCH($F871,사건마스터!$A$5:$A$64,0)),""))</f>
        <v/>
      </c>
      <c r="Y871" s="30">
        <f>IF($I871="","",COUNTIF($I871:$X871,"?*"))</f>
        <v/>
      </c>
      <c r="Z871" s="33">
        <f>IF($I871="","",_xlfn.TEXTJOIN(", ",TRUE,$I871:$X871))</f>
        <v/>
      </c>
      <c r="AA871" s="34">
        <f>IF($I871="","",IFERROR(INDEX(코드설정!$D$5:$D$24,MATCH($I871,코드설정!$C$5:$C$24,0)),""))</f>
        <v/>
      </c>
      <c r="AB871" s="36" t="n"/>
      <c r="AC871" s="37" t="n"/>
      <c r="AD871" s="38" t="n"/>
      <c r="AE871" s="30">
        <f>IF(OR($B871="",$C871=""),"",$C871-$B871+1)</f>
        <v/>
      </c>
      <c r="AF871" s="32" t="n"/>
      <c r="AG871" s="36" t="n"/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3">
        <f>IF($F872="","",IFERROR(INDEX(사건마스터!$B$5:$B$64,MATCH($F872,사건마스터!$A$5:$A$64,0)),""))</f>
        <v/>
      </c>
      <c r="H872" s="34">
        <f>IF($F872="","",IFERROR(INDEX(사건마스터!$C$5:$C$64,MATCH($F872,사건마스터!$A$5:$A$64,0)),""))</f>
        <v/>
      </c>
      <c r="I872" s="35">
        <f>IF($F872="","",IFERROR(INDEX(사건마스터!$H$5:$H$64,MATCH($F872,사건마스터!$A$5:$A$64,0)),""))</f>
        <v/>
      </c>
      <c r="J872" s="35">
        <f>IF($F872="","",IFERROR(INDEX(사건마스터!$AH$5:$AH$64,MATCH($F872,사건마스터!$A$5:$A$64,0)),""))</f>
        <v/>
      </c>
      <c r="K872" s="35">
        <f>IF($F872="","",IFERROR(INDEX(사건마스터!$AI$5:$AI$64,MATCH($F872,사건마스터!$A$5:$A$64,0)),""))</f>
        <v/>
      </c>
      <c r="L872" s="35">
        <f>IF($F872="","",IFERROR(INDEX(사건마스터!$AJ$5:$AJ$64,MATCH($F872,사건마스터!$A$5:$A$64,0)),""))</f>
        <v/>
      </c>
      <c r="M872" s="35">
        <f>IF($F872="","",IFERROR(INDEX(사건마스터!$AK$5:$AK$64,MATCH($F872,사건마스터!$A$5:$A$64,0)),""))</f>
        <v/>
      </c>
      <c r="N872" s="35">
        <f>IF($F872="","",IFERROR(INDEX(사건마스터!$AL$5:$AL$64,MATCH($F872,사건마스터!$A$5:$A$64,0)),""))</f>
        <v/>
      </c>
      <c r="O872" s="35">
        <f>IF($F872="","",IFERROR(INDEX(사건마스터!$AM$5:$AM$64,MATCH($F872,사건마스터!$A$5:$A$64,0)),""))</f>
        <v/>
      </c>
      <c r="P872" s="35">
        <f>IF($F872="","",IFERROR(INDEX(사건마스터!$AN$5:$AN$64,MATCH($F872,사건마스터!$A$5:$A$64,0)),""))</f>
        <v/>
      </c>
      <c r="Q872" s="35">
        <f>IF($F872="","",IFERROR(INDEX(사건마스터!$AO$5:$AO$64,MATCH($F872,사건마스터!$A$5:$A$64,0)),""))</f>
        <v/>
      </c>
      <c r="R872" s="35">
        <f>IF($F872="","",IFERROR(INDEX(사건마스터!$AP$5:$AP$64,MATCH($F872,사건마스터!$A$5:$A$64,0)),""))</f>
        <v/>
      </c>
      <c r="S872" s="35">
        <f>IF($F872="","",IFERROR(INDEX(사건마스터!$AQ$5:$AQ$64,MATCH($F872,사건마스터!$A$5:$A$64,0)),""))</f>
        <v/>
      </c>
      <c r="T872" s="35">
        <f>IF($F872="","",IFERROR(INDEX(사건마스터!$AR$5:$AR$64,MATCH($F872,사건마스터!$A$5:$A$64,0)),""))</f>
        <v/>
      </c>
      <c r="U872" s="35">
        <f>IF($F872="","",IFERROR(INDEX(사건마스터!$AS$5:$AS$64,MATCH($F872,사건마스터!$A$5:$A$64,0)),""))</f>
        <v/>
      </c>
      <c r="V872" s="35">
        <f>IF($F872="","",IFERROR(INDEX(사건마스터!$AT$5:$AT$64,MATCH($F872,사건마스터!$A$5:$A$64,0)),""))</f>
        <v/>
      </c>
      <c r="W872" s="35">
        <f>IF($F872="","",IFERROR(INDEX(사건마스터!$AU$5:$AU$64,MATCH($F872,사건마스터!$A$5:$A$64,0)),""))</f>
        <v/>
      </c>
      <c r="X872" s="35">
        <f>IF($F872="","",IFERROR(INDEX(사건마스터!$AV$5:$AV$64,MATCH($F872,사건마스터!$A$5:$A$64,0)),""))</f>
        <v/>
      </c>
      <c r="Y872" s="30">
        <f>IF($I872="","",COUNTIF($I872:$X872,"?*"))</f>
        <v/>
      </c>
      <c r="Z872" s="33">
        <f>IF($I872="","",_xlfn.TEXTJOIN(", ",TRUE,$I872:$X872))</f>
        <v/>
      </c>
      <c r="AA872" s="34">
        <f>IF($I872="","",IFERROR(INDEX(코드설정!$D$5:$D$24,MATCH($I872,코드설정!$C$5:$C$24,0)),""))</f>
        <v/>
      </c>
      <c r="AB872" s="36" t="n"/>
      <c r="AC872" s="37" t="n"/>
      <c r="AD872" s="38" t="n"/>
      <c r="AE872" s="30">
        <f>IF(OR($B872="",$C872=""),"",$C872-$B872+1)</f>
        <v/>
      </c>
      <c r="AF872" s="32" t="n"/>
      <c r="AG872" s="36" t="n"/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3">
        <f>IF($F873="","",IFERROR(INDEX(사건마스터!$B$5:$B$64,MATCH($F873,사건마스터!$A$5:$A$64,0)),""))</f>
        <v/>
      </c>
      <c r="H873" s="34">
        <f>IF($F873="","",IFERROR(INDEX(사건마스터!$C$5:$C$64,MATCH($F873,사건마스터!$A$5:$A$64,0)),""))</f>
        <v/>
      </c>
      <c r="I873" s="35">
        <f>IF($F873="","",IFERROR(INDEX(사건마스터!$H$5:$H$64,MATCH($F873,사건마스터!$A$5:$A$64,0)),""))</f>
        <v/>
      </c>
      <c r="J873" s="35">
        <f>IF($F873="","",IFERROR(INDEX(사건마스터!$AH$5:$AH$64,MATCH($F873,사건마스터!$A$5:$A$64,0)),""))</f>
        <v/>
      </c>
      <c r="K873" s="35">
        <f>IF($F873="","",IFERROR(INDEX(사건마스터!$AI$5:$AI$64,MATCH($F873,사건마스터!$A$5:$A$64,0)),""))</f>
        <v/>
      </c>
      <c r="L873" s="35">
        <f>IF($F873="","",IFERROR(INDEX(사건마스터!$AJ$5:$AJ$64,MATCH($F873,사건마스터!$A$5:$A$64,0)),""))</f>
        <v/>
      </c>
      <c r="M873" s="35">
        <f>IF($F873="","",IFERROR(INDEX(사건마스터!$AK$5:$AK$64,MATCH($F873,사건마스터!$A$5:$A$64,0)),""))</f>
        <v/>
      </c>
      <c r="N873" s="35">
        <f>IF($F873="","",IFERROR(INDEX(사건마스터!$AL$5:$AL$64,MATCH($F873,사건마스터!$A$5:$A$64,0)),""))</f>
        <v/>
      </c>
      <c r="O873" s="35">
        <f>IF($F873="","",IFERROR(INDEX(사건마스터!$AM$5:$AM$64,MATCH($F873,사건마스터!$A$5:$A$64,0)),""))</f>
        <v/>
      </c>
      <c r="P873" s="35">
        <f>IF($F873="","",IFERROR(INDEX(사건마스터!$AN$5:$AN$64,MATCH($F873,사건마스터!$A$5:$A$64,0)),""))</f>
        <v/>
      </c>
      <c r="Q873" s="35">
        <f>IF($F873="","",IFERROR(INDEX(사건마스터!$AO$5:$AO$64,MATCH($F873,사건마스터!$A$5:$A$64,0)),""))</f>
        <v/>
      </c>
      <c r="R873" s="35">
        <f>IF($F873="","",IFERROR(INDEX(사건마스터!$AP$5:$AP$64,MATCH($F873,사건마스터!$A$5:$A$64,0)),""))</f>
        <v/>
      </c>
      <c r="S873" s="35">
        <f>IF($F873="","",IFERROR(INDEX(사건마스터!$AQ$5:$AQ$64,MATCH($F873,사건마스터!$A$5:$A$64,0)),""))</f>
        <v/>
      </c>
      <c r="T873" s="35">
        <f>IF($F873="","",IFERROR(INDEX(사건마스터!$AR$5:$AR$64,MATCH($F873,사건마스터!$A$5:$A$64,0)),""))</f>
        <v/>
      </c>
      <c r="U873" s="35">
        <f>IF($F873="","",IFERROR(INDEX(사건마스터!$AS$5:$AS$64,MATCH($F873,사건마스터!$A$5:$A$64,0)),""))</f>
        <v/>
      </c>
      <c r="V873" s="35">
        <f>IF($F873="","",IFERROR(INDEX(사건마스터!$AT$5:$AT$64,MATCH($F873,사건마스터!$A$5:$A$64,0)),""))</f>
        <v/>
      </c>
      <c r="W873" s="35">
        <f>IF($F873="","",IFERROR(INDEX(사건마스터!$AU$5:$AU$64,MATCH($F873,사건마스터!$A$5:$A$64,0)),""))</f>
        <v/>
      </c>
      <c r="X873" s="35">
        <f>IF($F873="","",IFERROR(INDEX(사건마스터!$AV$5:$AV$64,MATCH($F873,사건마스터!$A$5:$A$64,0)),""))</f>
        <v/>
      </c>
      <c r="Y873" s="30">
        <f>IF($I873="","",COUNTIF($I873:$X873,"?*"))</f>
        <v/>
      </c>
      <c r="Z873" s="33">
        <f>IF($I873="","",_xlfn.TEXTJOIN(", ",TRUE,$I873:$X873))</f>
        <v/>
      </c>
      <c r="AA873" s="34">
        <f>IF($I873="","",IFERROR(INDEX(코드설정!$D$5:$D$24,MATCH($I873,코드설정!$C$5:$C$24,0)),""))</f>
        <v/>
      </c>
      <c r="AB873" s="36" t="n"/>
      <c r="AC873" s="37" t="n"/>
      <c r="AD873" s="38" t="n"/>
      <c r="AE873" s="30">
        <f>IF(OR($B873="",$C873=""),"",$C873-$B873+1)</f>
        <v/>
      </c>
      <c r="AF873" s="32" t="n"/>
      <c r="AG873" s="36" t="n"/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3">
        <f>IF($F874="","",IFERROR(INDEX(사건마스터!$B$5:$B$64,MATCH($F874,사건마스터!$A$5:$A$64,0)),""))</f>
        <v/>
      </c>
      <c r="H874" s="34">
        <f>IF($F874="","",IFERROR(INDEX(사건마스터!$C$5:$C$64,MATCH($F874,사건마스터!$A$5:$A$64,0)),""))</f>
        <v/>
      </c>
      <c r="I874" s="35">
        <f>IF($F874="","",IFERROR(INDEX(사건마스터!$H$5:$H$64,MATCH($F874,사건마스터!$A$5:$A$64,0)),""))</f>
        <v/>
      </c>
      <c r="J874" s="35">
        <f>IF($F874="","",IFERROR(INDEX(사건마스터!$AH$5:$AH$64,MATCH($F874,사건마스터!$A$5:$A$64,0)),""))</f>
        <v/>
      </c>
      <c r="K874" s="35">
        <f>IF($F874="","",IFERROR(INDEX(사건마스터!$AI$5:$AI$64,MATCH($F874,사건마스터!$A$5:$A$64,0)),""))</f>
        <v/>
      </c>
      <c r="L874" s="35">
        <f>IF($F874="","",IFERROR(INDEX(사건마스터!$AJ$5:$AJ$64,MATCH($F874,사건마스터!$A$5:$A$64,0)),""))</f>
        <v/>
      </c>
      <c r="M874" s="35">
        <f>IF($F874="","",IFERROR(INDEX(사건마스터!$AK$5:$AK$64,MATCH($F874,사건마스터!$A$5:$A$64,0)),""))</f>
        <v/>
      </c>
      <c r="N874" s="35">
        <f>IF($F874="","",IFERROR(INDEX(사건마스터!$AL$5:$AL$64,MATCH($F874,사건마스터!$A$5:$A$64,0)),""))</f>
        <v/>
      </c>
      <c r="O874" s="35">
        <f>IF($F874="","",IFERROR(INDEX(사건마스터!$AM$5:$AM$64,MATCH($F874,사건마스터!$A$5:$A$64,0)),""))</f>
        <v/>
      </c>
      <c r="P874" s="35">
        <f>IF($F874="","",IFERROR(INDEX(사건마스터!$AN$5:$AN$64,MATCH($F874,사건마스터!$A$5:$A$64,0)),""))</f>
        <v/>
      </c>
      <c r="Q874" s="35">
        <f>IF($F874="","",IFERROR(INDEX(사건마스터!$AO$5:$AO$64,MATCH($F874,사건마스터!$A$5:$A$64,0)),""))</f>
        <v/>
      </c>
      <c r="R874" s="35">
        <f>IF($F874="","",IFERROR(INDEX(사건마스터!$AP$5:$AP$64,MATCH($F874,사건마스터!$A$5:$A$64,0)),""))</f>
        <v/>
      </c>
      <c r="S874" s="35">
        <f>IF($F874="","",IFERROR(INDEX(사건마스터!$AQ$5:$AQ$64,MATCH($F874,사건마스터!$A$5:$A$64,0)),""))</f>
        <v/>
      </c>
      <c r="T874" s="35">
        <f>IF($F874="","",IFERROR(INDEX(사건마스터!$AR$5:$AR$64,MATCH($F874,사건마스터!$A$5:$A$64,0)),""))</f>
        <v/>
      </c>
      <c r="U874" s="35">
        <f>IF($F874="","",IFERROR(INDEX(사건마스터!$AS$5:$AS$64,MATCH($F874,사건마스터!$A$5:$A$64,0)),""))</f>
        <v/>
      </c>
      <c r="V874" s="35">
        <f>IF($F874="","",IFERROR(INDEX(사건마스터!$AT$5:$AT$64,MATCH($F874,사건마스터!$A$5:$A$64,0)),""))</f>
        <v/>
      </c>
      <c r="W874" s="35">
        <f>IF($F874="","",IFERROR(INDEX(사건마스터!$AU$5:$AU$64,MATCH($F874,사건마스터!$A$5:$A$64,0)),""))</f>
        <v/>
      </c>
      <c r="X874" s="35">
        <f>IF($F874="","",IFERROR(INDEX(사건마스터!$AV$5:$AV$64,MATCH($F874,사건마스터!$A$5:$A$64,0)),""))</f>
        <v/>
      </c>
      <c r="Y874" s="30">
        <f>IF($I874="","",COUNTIF($I874:$X874,"?*"))</f>
        <v/>
      </c>
      <c r="Z874" s="33">
        <f>IF($I874="","",_xlfn.TEXTJOIN(", ",TRUE,$I874:$X874))</f>
        <v/>
      </c>
      <c r="AA874" s="34">
        <f>IF($I874="","",IFERROR(INDEX(코드설정!$D$5:$D$24,MATCH($I874,코드설정!$C$5:$C$24,0)),""))</f>
        <v/>
      </c>
      <c r="AB874" s="36" t="n"/>
      <c r="AC874" s="37" t="n"/>
      <c r="AD874" s="38" t="n"/>
      <c r="AE874" s="30">
        <f>IF(OR($B874="",$C874=""),"",$C874-$B874+1)</f>
        <v/>
      </c>
      <c r="AF874" s="32" t="n"/>
      <c r="AG874" s="36" t="n"/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3">
        <f>IF($F875="","",IFERROR(INDEX(사건마스터!$B$5:$B$64,MATCH($F875,사건마스터!$A$5:$A$64,0)),""))</f>
        <v/>
      </c>
      <c r="H875" s="34">
        <f>IF($F875="","",IFERROR(INDEX(사건마스터!$C$5:$C$64,MATCH($F875,사건마스터!$A$5:$A$64,0)),""))</f>
        <v/>
      </c>
      <c r="I875" s="35">
        <f>IF($F875="","",IFERROR(INDEX(사건마스터!$H$5:$H$64,MATCH($F875,사건마스터!$A$5:$A$64,0)),""))</f>
        <v/>
      </c>
      <c r="J875" s="35">
        <f>IF($F875="","",IFERROR(INDEX(사건마스터!$AH$5:$AH$64,MATCH($F875,사건마스터!$A$5:$A$64,0)),""))</f>
        <v/>
      </c>
      <c r="K875" s="35">
        <f>IF($F875="","",IFERROR(INDEX(사건마스터!$AI$5:$AI$64,MATCH($F875,사건마스터!$A$5:$A$64,0)),""))</f>
        <v/>
      </c>
      <c r="L875" s="35">
        <f>IF($F875="","",IFERROR(INDEX(사건마스터!$AJ$5:$AJ$64,MATCH($F875,사건마스터!$A$5:$A$64,0)),""))</f>
        <v/>
      </c>
      <c r="M875" s="35">
        <f>IF($F875="","",IFERROR(INDEX(사건마스터!$AK$5:$AK$64,MATCH($F875,사건마스터!$A$5:$A$64,0)),""))</f>
        <v/>
      </c>
      <c r="N875" s="35">
        <f>IF($F875="","",IFERROR(INDEX(사건마스터!$AL$5:$AL$64,MATCH($F875,사건마스터!$A$5:$A$64,0)),""))</f>
        <v/>
      </c>
      <c r="O875" s="35">
        <f>IF($F875="","",IFERROR(INDEX(사건마스터!$AM$5:$AM$64,MATCH($F875,사건마스터!$A$5:$A$64,0)),""))</f>
        <v/>
      </c>
      <c r="P875" s="35">
        <f>IF($F875="","",IFERROR(INDEX(사건마스터!$AN$5:$AN$64,MATCH($F875,사건마스터!$A$5:$A$64,0)),""))</f>
        <v/>
      </c>
      <c r="Q875" s="35">
        <f>IF($F875="","",IFERROR(INDEX(사건마스터!$AO$5:$AO$64,MATCH($F875,사건마스터!$A$5:$A$64,0)),""))</f>
        <v/>
      </c>
      <c r="R875" s="35">
        <f>IF($F875="","",IFERROR(INDEX(사건마스터!$AP$5:$AP$64,MATCH($F875,사건마스터!$A$5:$A$64,0)),""))</f>
        <v/>
      </c>
      <c r="S875" s="35">
        <f>IF($F875="","",IFERROR(INDEX(사건마스터!$AQ$5:$AQ$64,MATCH($F875,사건마스터!$A$5:$A$64,0)),""))</f>
        <v/>
      </c>
      <c r="T875" s="35">
        <f>IF($F875="","",IFERROR(INDEX(사건마스터!$AR$5:$AR$64,MATCH($F875,사건마스터!$A$5:$A$64,0)),""))</f>
        <v/>
      </c>
      <c r="U875" s="35">
        <f>IF($F875="","",IFERROR(INDEX(사건마스터!$AS$5:$AS$64,MATCH($F875,사건마스터!$A$5:$A$64,0)),""))</f>
        <v/>
      </c>
      <c r="V875" s="35">
        <f>IF($F875="","",IFERROR(INDEX(사건마스터!$AT$5:$AT$64,MATCH($F875,사건마스터!$A$5:$A$64,0)),""))</f>
        <v/>
      </c>
      <c r="W875" s="35">
        <f>IF($F875="","",IFERROR(INDEX(사건마스터!$AU$5:$AU$64,MATCH($F875,사건마스터!$A$5:$A$64,0)),""))</f>
        <v/>
      </c>
      <c r="X875" s="35">
        <f>IF($F875="","",IFERROR(INDEX(사건마스터!$AV$5:$AV$64,MATCH($F875,사건마스터!$A$5:$A$64,0)),""))</f>
        <v/>
      </c>
      <c r="Y875" s="30">
        <f>IF($I875="","",COUNTIF($I875:$X875,"?*"))</f>
        <v/>
      </c>
      <c r="Z875" s="33">
        <f>IF($I875="","",_xlfn.TEXTJOIN(", ",TRUE,$I875:$X875))</f>
        <v/>
      </c>
      <c r="AA875" s="34">
        <f>IF($I875="","",IFERROR(INDEX(코드설정!$D$5:$D$24,MATCH($I875,코드설정!$C$5:$C$24,0)),""))</f>
        <v/>
      </c>
      <c r="AB875" s="36" t="n"/>
      <c r="AC875" s="37" t="n"/>
      <c r="AD875" s="38" t="n"/>
      <c r="AE875" s="30">
        <f>IF(OR($B875="",$C875=""),"",$C875-$B875+1)</f>
        <v/>
      </c>
      <c r="AF875" s="32" t="n"/>
      <c r="AG875" s="36" t="n"/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3">
        <f>IF($F876="","",IFERROR(INDEX(사건마스터!$B$5:$B$64,MATCH($F876,사건마스터!$A$5:$A$64,0)),""))</f>
        <v/>
      </c>
      <c r="H876" s="34">
        <f>IF($F876="","",IFERROR(INDEX(사건마스터!$C$5:$C$64,MATCH($F876,사건마스터!$A$5:$A$64,0)),""))</f>
        <v/>
      </c>
      <c r="I876" s="35">
        <f>IF($F876="","",IFERROR(INDEX(사건마스터!$H$5:$H$64,MATCH($F876,사건마스터!$A$5:$A$64,0)),""))</f>
        <v/>
      </c>
      <c r="J876" s="35">
        <f>IF($F876="","",IFERROR(INDEX(사건마스터!$AH$5:$AH$64,MATCH($F876,사건마스터!$A$5:$A$64,0)),""))</f>
        <v/>
      </c>
      <c r="K876" s="35">
        <f>IF($F876="","",IFERROR(INDEX(사건마스터!$AI$5:$AI$64,MATCH($F876,사건마스터!$A$5:$A$64,0)),""))</f>
        <v/>
      </c>
      <c r="L876" s="35">
        <f>IF($F876="","",IFERROR(INDEX(사건마스터!$AJ$5:$AJ$64,MATCH($F876,사건마스터!$A$5:$A$64,0)),""))</f>
        <v/>
      </c>
      <c r="M876" s="35">
        <f>IF($F876="","",IFERROR(INDEX(사건마스터!$AK$5:$AK$64,MATCH($F876,사건마스터!$A$5:$A$64,0)),""))</f>
        <v/>
      </c>
      <c r="N876" s="35">
        <f>IF($F876="","",IFERROR(INDEX(사건마스터!$AL$5:$AL$64,MATCH($F876,사건마스터!$A$5:$A$64,0)),""))</f>
        <v/>
      </c>
      <c r="O876" s="35">
        <f>IF($F876="","",IFERROR(INDEX(사건마스터!$AM$5:$AM$64,MATCH($F876,사건마스터!$A$5:$A$64,0)),""))</f>
        <v/>
      </c>
      <c r="P876" s="35">
        <f>IF($F876="","",IFERROR(INDEX(사건마스터!$AN$5:$AN$64,MATCH($F876,사건마스터!$A$5:$A$64,0)),""))</f>
        <v/>
      </c>
      <c r="Q876" s="35">
        <f>IF($F876="","",IFERROR(INDEX(사건마스터!$AO$5:$AO$64,MATCH($F876,사건마스터!$A$5:$A$64,0)),""))</f>
        <v/>
      </c>
      <c r="R876" s="35">
        <f>IF($F876="","",IFERROR(INDEX(사건마스터!$AP$5:$AP$64,MATCH($F876,사건마스터!$A$5:$A$64,0)),""))</f>
        <v/>
      </c>
      <c r="S876" s="35">
        <f>IF($F876="","",IFERROR(INDEX(사건마스터!$AQ$5:$AQ$64,MATCH($F876,사건마스터!$A$5:$A$64,0)),""))</f>
        <v/>
      </c>
      <c r="T876" s="35">
        <f>IF($F876="","",IFERROR(INDEX(사건마스터!$AR$5:$AR$64,MATCH($F876,사건마스터!$A$5:$A$64,0)),""))</f>
        <v/>
      </c>
      <c r="U876" s="35">
        <f>IF($F876="","",IFERROR(INDEX(사건마스터!$AS$5:$AS$64,MATCH($F876,사건마스터!$A$5:$A$64,0)),""))</f>
        <v/>
      </c>
      <c r="V876" s="35">
        <f>IF($F876="","",IFERROR(INDEX(사건마스터!$AT$5:$AT$64,MATCH($F876,사건마스터!$A$5:$A$64,0)),""))</f>
        <v/>
      </c>
      <c r="W876" s="35">
        <f>IF($F876="","",IFERROR(INDEX(사건마스터!$AU$5:$AU$64,MATCH($F876,사건마스터!$A$5:$A$64,0)),""))</f>
        <v/>
      </c>
      <c r="X876" s="35">
        <f>IF($F876="","",IFERROR(INDEX(사건마스터!$AV$5:$AV$64,MATCH($F876,사건마스터!$A$5:$A$64,0)),""))</f>
        <v/>
      </c>
      <c r="Y876" s="30">
        <f>IF($I876="","",COUNTIF($I876:$X876,"?*"))</f>
        <v/>
      </c>
      <c r="Z876" s="33">
        <f>IF($I876="","",_xlfn.TEXTJOIN(", ",TRUE,$I876:$X876))</f>
        <v/>
      </c>
      <c r="AA876" s="34">
        <f>IF($I876="","",IFERROR(INDEX(코드설정!$D$5:$D$24,MATCH($I876,코드설정!$C$5:$C$24,0)),""))</f>
        <v/>
      </c>
      <c r="AB876" s="36" t="n"/>
      <c r="AC876" s="37" t="n"/>
      <c r="AD876" s="38" t="n"/>
      <c r="AE876" s="30">
        <f>IF(OR($B876="",$C876=""),"",$C876-$B876+1)</f>
        <v/>
      </c>
      <c r="AF876" s="32" t="n"/>
      <c r="AG876" s="36" t="n"/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3">
        <f>IF($F877="","",IFERROR(INDEX(사건마스터!$B$5:$B$64,MATCH($F877,사건마스터!$A$5:$A$64,0)),""))</f>
        <v/>
      </c>
      <c r="H877" s="34">
        <f>IF($F877="","",IFERROR(INDEX(사건마스터!$C$5:$C$64,MATCH($F877,사건마스터!$A$5:$A$64,0)),""))</f>
        <v/>
      </c>
      <c r="I877" s="35">
        <f>IF($F877="","",IFERROR(INDEX(사건마스터!$H$5:$H$64,MATCH($F877,사건마스터!$A$5:$A$64,0)),""))</f>
        <v/>
      </c>
      <c r="J877" s="35">
        <f>IF($F877="","",IFERROR(INDEX(사건마스터!$AH$5:$AH$64,MATCH($F877,사건마스터!$A$5:$A$64,0)),""))</f>
        <v/>
      </c>
      <c r="K877" s="35">
        <f>IF($F877="","",IFERROR(INDEX(사건마스터!$AI$5:$AI$64,MATCH($F877,사건마스터!$A$5:$A$64,0)),""))</f>
        <v/>
      </c>
      <c r="L877" s="35">
        <f>IF($F877="","",IFERROR(INDEX(사건마스터!$AJ$5:$AJ$64,MATCH($F877,사건마스터!$A$5:$A$64,0)),""))</f>
        <v/>
      </c>
      <c r="M877" s="35">
        <f>IF($F877="","",IFERROR(INDEX(사건마스터!$AK$5:$AK$64,MATCH($F877,사건마스터!$A$5:$A$64,0)),""))</f>
        <v/>
      </c>
      <c r="N877" s="35">
        <f>IF($F877="","",IFERROR(INDEX(사건마스터!$AL$5:$AL$64,MATCH($F877,사건마스터!$A$5:$A$64,0)),""))</f>
        <v/>
      </c>
      <c r="O877" s="35">
        <f>IF($F877="","",IFERROR(INDEX(사건마스터!$AM$5:$AM$64,MATCH($F877,사건마스터!$A$5:$A$64,0)),""))</f>
        <v/>
      </c>
      <c r="P877" s="35">
        <f>IF($F877="","",IFERROR(INDEX(사건마스터!$AN$5:$AN$64,MATCH($F877,사건마스터!$A$5:$A$64,0)),""))</f>
        <v/>
      </c>
      <c r="Q877" s="35">
        <f>IF($F877="","",IFERROR(INDEX(사건마스터!$AO$5:$AO$64,MATCH($F877,사건마스터!$A$5:$A$64,0)),""))</f>
        <v/>
      </c>
      <c r="R877" s="35">
        <f>IF($F877="","",IFERROR(INDEX(사건마스터!$AP$5:$AP$64,MATCH($F877,사건마스터!$A$5:$A$64,0)),""))</f>
        <v/>
      </c>
      <c r="S877" s="35">
        <f>IF($F877="","",IFERROR(INDEX(사건마스터!$AQ$5:$AQ$64,MATCH($F877,사건마스터!$A$5:$A$64,0)),""))</f>
        <v/>
      </c>
      <c r="T877" s="35">
        <f>IF($F877="","",IFERROR(INDEX(사건마스터!$AR$5:$AR$64,MATCH($F877,사건마스터!$A$5:$A$64,0)),""))</f>
        <v/>
      </c>
      <c r="U877" s="35">
        <f>IF($F877="","",IFERROR(INDEX(사건마스터!$AS$5:$AS$64,MATCH($F877,사건마스터!$A$5:$A$64,0)),""))</f>
        <v/>
      </c>
      <c r="V877" s="35">
        <f>IF($F877="","",IFERROR(INDEX(사건마스터!$AT$5:$AT$64,MATCH($F877,사건마스터!$A$5:$A$64,0)),""))</f>
        <v/>
      </c>
      <c r="W877" s="35">
        <f>IF($F877="","",IFERROR(INDEX(사건마스터!$AU$5:$AU$64,MATCH($F877,사건마스터!$A$5:$A$64,0)),""))</f>
        <v/>
      </c>
      <c r="X877" s="35">
        <f>IF($F877="","",IFERROR(INDEX(사건마스터!$AV$5:$AV$64,MATCH($F877,사건마스터!$A$5:$A$64,0)),""))</f>
        <v/>
      </c>
      <c r="Y877" s="30">
        <f>IF($I877="","",COUNTIF($I877:$X877,"?*"))</f>
        <v/>
      </c>
      <c r="Z877" s="33">
        <f>IF($I877="","",_xlfn.TEXTJOIN(", ",TRUE,$I877:$X877))</f>
        <v/>
      </c>
      <c r="AA877" s="34">
        <f>IF($I877="","",IFERROR(INDEX(코드설정!$D$5:$D$24,MATCH($I877,코드설정!$C$5:$C$24,0)),""))</f>
        <v/>
      </c>
      <c r="AB877" s="36" t="n"/>
      <c r="AC877" s="37" t="n"/>
      <c r="AD877" s="38" t="n"/>
      <c r="AE877" s="30">
        <f>IF(OR($B877="",$C877=""),"",$C877-$B877+1)</f>
        <v/>
      </c>
      <c r="AF877" s="32" t="n"/>
      <c r="AG877" s="36" t="n"/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3">
        <f>IF($F878="","",IFERROR(INDEX(사건마스터!$B$5:$B$64,MATCH($F878,사건마스터!$A$5:$A$64,0)),""))</f>
        <v/>
      </c>
      <c r="H878" s="34">
        <f>IF($F878="","",IFERROR(INDEX(사건마스터!$C$5:$C$64,MATCH($F878,사건마스터!$A$5:$A$64,0)),""))</f>
        <v/>
      </c>
      <c r="I878" s="35">
        <f>IF($F878="","",IFERROR(INDEX(사건마스터!$H$5:$H$64,MATCH($F878,사건마스터!$A$5:$A$64,0)),""))</f>
        <v/>
      </c>
      <c r="J878" s="35">
        <f>IF($F878="","",IFERROR(INDEX(사건마스터!$AH$5:$AH$64,MATCH($F878,사건마스터!$A$5:$A$64,0)),""))</f>
        <v/>
      </c>
      <c r="K878" s="35">
        <f>IF($F878="","",IFERROR(INDEX(사건마스터!$AI$5:$AI$64,MATCH($F878,사건마스터!$A$5:$A$64,0)),""))</f>
        <v/>
      </c>
      <c r="L878" s="35">
        <f>IF($F878="","",IFERROR(INDEX(사건마스터!$AJ$5:$AJ$64,MATCH($F878,사건마스터!$A$5:$A$64,0)),""))</f>
        <v/>
      </c>
      <c r="M878" s="35">
        <f>IF($F878="","",IFERROR(INDEX(사건마스터!$AK$5:$AK$64,MATCH($F878,사건마스터!$A$5:$A$64,0)),""))</f>
        <v/>
      </c>
      <c r="N878" s="35">
        <f>IF($F878="","",IFERROR(INDEX(사건마스터!$AL$5:$AL$64,MATCH($F878,사건마스터!$A$5:$A$64,0)),""))</f>
        <v/>
      </c>
      <c r="O878" s="35">
        <f>IF($F878="","",IFERROR(INDEX(사건마스터!$AM$5:$AM$64,MATCH($F878,사건마스터!$A$5:$A$64,0)),""))</f>
        <v/>
      </c>
      <c r="P878" s="35">
        <f>IF($F878="","",IFERROR(INDEX(사건마스터!$AN$5:$AN$64,MATCH($F878,사건마스터!$A$5:$A$64,0)),""))</f>
        <v/>
      </c>
      <c r="Q878" s="35">
        <f>IF($F878="","",IFERROR(INDEX(사건마스터!$AO$5:$AO$64,MATCH($F878,사건마스터!$A$5:$A$64,0)),""))</f>
        <v/>
      </c>
      <c r="R878" s="35">
        <f>IF($F878="","",IFERROR(INDEX(사건마스터!$AP$5:$AP$64,MATCH($F878,사건마스터!$A$5:$A$64,0)),""))</f>
        <v/>
      </c>
      <c r="S878" s="35">
        <f>IF($F878="","",IFERROR(INDEX(사건마스터!$AQ$5:$AQ$64,MATCH($F878,사건마스터!$A$5:$A$64,0)),""))</f>
        <v/>
      </c>
      <c r="T878" s="35">
        <f>IF($F878="","",IFERROR(INDEX(사건마스터!$AR$5:$AR$64,MATCH($F878,사건마스터!$A$5:$A$64,0)),""))</f>
        <v/>
      </c>
      <c r="U878" s="35">
        <f>IF($F878="","",IFERROR(INDEX(사건마스터!$AS$5:$AS$64,MATCH($F878,사건마스터!$A$5:$A$64,0)),""))</f>
        <v/>
      </c>
      <c r="V878" s="35">
        <f>IF($F878="","",IFERROR(INDEX(사건마스터!$AT$5:$AT$64,MATCH($F878,사건마스터!$A$5:$A$64,0)),""))</f>
        <v/>
      </c>
      <c r="W878" s="35">
        <f>IF($F878="","",IFERROR(INDEX(사건마스터!$AU$5:$AU$64,MATCH($F878,사건마스터!$A$5:$A$64,0)),""))</f>
        <v/>
      </c>
      <c r="X878" s="35">
        <f>IF($F878="","",IFERROR(INDEX(사건마스터!$AV$5:$AV$64,MATCH($F878,사건마스터!$A$5:$A$64,0)),""))</f>
        <v/>
      </c>
      <c r="Y878" s="30">
        <f>IF($I878="","",COUNTIF($I878:$X878,"?*"))</f>
        <v/>
      </c>
      <c r="Z878" s="33">
        <f>IF($I878="","",_xlfn.TEXTJOIN(", ",TRUE,$I878:$X878))</f>
        <v/>
      </c>
      <c r="AA878" s="34">
        <f>IF($I878="","",IFERROR(INDEX(코드설정!$D$5:$D$24,MATCH($I878,코드설정!$C$5:$C$24,0)),""))</f>
        <v/>
      </c>
      <c r="AB878" s="36" t="n"/>
      <c r="AC878" s="37" t="n"/>
      <c r="AD878" s="38" t="n"/>
      <c r="AE878" s="30">
        <f>IF(OR($B878="",$C878=""),"",$C878-$B878+1)</f>
        <v/>
      </c>
      <c r="AF878" s="32" t="n"/>
      <c r="AG878" s="36" t="n"/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3">
        <f>IF($F879="","",IFERROR(INDEX(사건마스터!$B$5:$B$64,MATCH($F879,사건마스터!$A$5:$A$64,0)),""))</f>
        <v/>
      </c>
      <c r="H879" s="34">
        <f>IF($F879="","",IFERROR(INDEX(사건마스터!$C$5:$C$64,MATCH($F879,사건마스터!$A$5:$A$64,0)),""))</f>
        <v/>
      </c>
      <c r="I879" s="35">
        <f>IF($F879="","",IFERROR(INDEX(사건마스터!$H$5:$H$64,MATCH($F879,사건마스터!$A$5:$A$64,0)),""))</f>
        <v/>
      </c>
      <c r="J879" s="35">
        <f>IF($F879="","",IFERROR(INDEX(사건마스터!$AH$5:$AH$64,MATCH($F879,사건마스터!$A$5:$A$64,0)),""))</f>
        <v/>
      </c>
      <c r="K879" s="35">
        <f>IF($F879="","",IFERROR(INDEX(사건마스터!$AI$5:$AI$64,MATCH($F879,사건마스터!$A$5:$A$64,0)),""))</f>
        <v/>
      </c>
      <c r="L879" s="35">
        <f>IF($F879="","",IFERROR(INDEX(사건마스터!$AJ$5:$AJ$64,MATCH($F879,사건마스터!$A$5:$A$64,0)),""))</f>
        <v/>
      </c>
      <c r="M879" s="35">
        <f>IF($F879="","",IFERROR(INDEX(사건마스터!$AK$5:$AK$64,MATCH($F879,사건마스터!$A$5:$A$64,0)),""))</f>
        <v/>
      </c>
      <c r="N879" s="35">
        <f>IF($F879="","",IFERROR(INDEX(사건마스터!$AL$5:$AL$64,MATCH($F879,사건마스터!$A$5:$A$64,0)),""))</f>
        <v/>
      </c>
      <c r="O879" s="35">
        <f>IF($F879="","",IFERROR(INDEX(사건마스터!$AM$5:$AM$64,MATCH($F879,사건마스터!$A$5:$A$64,0)),""))</f>
        <v/>
      </c>
      <c r="P879" s="35">
        <f>IF($F879="","",IFERROR(INDEX(사건마스터!$AN$5:$AN$64,MATCH($F879,사건마스터!$A$5:$A$64,0)),""))</f>
        <v/>
      </c>
      <c r="Q879" s="35">
        <f>IF($F879="","",IFERROR(INDEX(사건마스터!$AO$5:$AO$64,MATCH($F879,사건마스터!$A$5:$A$64,0)),""))</f>
        <v/>
      </c>
      <c r="R879" s="35">
        <f>IF($F879="","",IFERROR(INDEX(사건마스터!$AP$5:$AP$64,MATCH($F879,사건마스터!$A$5:$A$64,0)),""))</f>
        <v/>
      </c>
      <c r="S879" s="35">
        <f>IF($F879="","",IFERROR(INDEX(사건마스터!$AQ$5:$AQ$64,MATCH($F879,사건마스터!$A$5:$A$64,0)),""))</f>
        <v/>
      </c>
      <c r="T879" s="35">
        <f>IF($F879="","",IFERROR(INDEX(사건마스터!$AR$5:$AR$64,MATCH($F879,사건마스터!$A$5:$A$64,0)),""))</f>
        <v/>
      </c>
      <c r="U879" s="35">
        <f>IF($F879="","",IFERROR(INDEX(사건마스터!$AS$5:$AS$64,MATCH($F879,사건마스터!$A$5:$A$64,0)),""))</f>
        <v/>
      </c>
      <c r="V879" s="35">
        <f>IF($F879="","",IFERROR(INDEX(사건마스터!$AT$5:$AT$64,MATCH($F879,사건마스터!$A$5:$A$64,0)),""))</f>
        <v/>
      </c>
      <c r="W879" s="35">
        <f>IF($F879="","",IFERROR(INDEX(사건마스터!$AU$5:$AU$64,MATCH($F879,사건마스터!$A$5:$A$64,0)),""))</f>
        <v/>
      </c>
      <c r="X879" s="35">
        <f>IF($F879="","",IFERROR(INDEX(사건마스터!$AV$5:$AV$64,MATCH($F879,사건마스터!$A$5:$A$64,0)),""))</f>
        <v/>
      </c>
      <c r="Y879" s="30">
        <f>IF($I879="","",COUNTIF($I879:$X879,"?*"))</f>
        <v/>
      </c>
      <c r="Z879" s="33">
        <f>IF($I879="","",_xlfn.TEXTJOIN(", ",TRUE,$I879:$X879))</f>
        <v/>
      </c>
      <c r="AA879" s="34">
        <f>IF($I879="","",IFERROR(INDEX(코드설정!$D$5:$D$24,MATCH($I879,코드설정!$C$5:$C$24,0)),""))</f>
        <v/>
      </c>
      <c r="AB879" s="36" t="n"/>
      <c r="AC879" s="37" t="n"/>
      <c r="AD879" s="38" t="n"/>
      <c r="AE879" s="30">
        <f>IF(OR($B879="",$C879=""),"",$C879-$B879+1)</f>
        <v/>
      </c>
      <c r="AF879" s="32" t="n"/>
      <c r="AG879" s="36" t="n"/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3">
        <f>IF($F880="","",IFERROR(INDEX(사건마스터!$B$5:$B$64,MATCH($F880,사건마스터!$A$5:$A$64,0)),""))</f>
        <v/>
      </c>
      <c r="H880" s="34">
        <f>IF($F880="","",IFERROR(INDEX(사건마스터!$C$5:$C$64,MATCH($F880,사건마스터!$A$5:$A$64,0)),""))</f>
        <v/>
      </c>
      <c r="I880" s="35">
        <f>IF($F880="","",IFERROR(INDEX(사건마스터!$H$5:$H$64,MATCH($F880,사건마스터!$A$5:$A$64,0)),""))</f>
        <v/>
      </c>
      <c r="J880" s="35">
        <f>IF($F880="","",IFERROR(INDEX(사건마스터!$AH$5:$AH$64,MATCH($F880,사건마스터!$A$5:$A$64,0)),""))</f>
        <v/>
      </c>
      <c r="K880" s="35">
        <f>IF($F880="","",IFERROR(INDEX(사건마스터!$AI$5:$AI$64,MATCH($F880,사건마스터!$A$5:$A$64,0)),""))</f>
        <v/>
      </c>
      <c r="L880" s="35">
        <f>IF($F880="","",IFERROR(INDEX(사건마스터!$AJ$5:$AJ$64,MATCH($F880,사건마스터!$A$5:$A$64,0)),""))</f>
        <v/>
      </c>
      <c r="M880" s="35">
        <f>IF($F880="","",IFERROR(INDEX(사건마스터!$AK$5:$AK$64,MATCH($F880,사건마스터!$A$5:$A$64,0)),""))</f>
        <v/>
      </c>
      <c r="N880" s="35">
        <f>IF($F880="","",IFERROR(INDEX(사건마스터!$AL$5:$AL$64,MATCH($F880,사건마스터!$A$5:$A$64,0)),""))</f>
        <v/>
      </c>
      <c r="O880" s="35">
        <f>IF($F880="","",IFERROR(INDEX(사건마스터!$AM$5:$AM$64,MATCH($F880,사건마스터!$A$5:$A$64,0)),""))</f>
        <v/>
      </c>
      <c r="P880" s="35">
        <f>IF($F880="","",IFERROR(INDEX(사건마스터!$AN$5:$AN$64,MATCH($F880,사건마스터!$A$5:$A$64,0)),""))</f>
        <v/>
      </c>
      <c r="Q880" s="35">
        <f>IF($F880="","",IFERROR(INDEX(사건마스터!$AO$5:$AO$64,MATCH($F880,사건마스터!$A$5:$A$64,0)),""))</f>
        <v/>
      </c>
      <c r="R880" s="35">
        <f>IF($F880="","",IFERROR(INDEX(사건마스터!$AP$5:$AP$64,MATCH($F880,사건마스터!$A$5:$A$64,0)),""))</f>
        <v/>
      </c>
      <c r="S880" s="35">
        <f>IF($F880="","",IFERROR(INDEX(사건마스터!$AQ$5:$AQ$64,MATCH($F880,사건마스터!$A$5:$A$64,0)),""))</f>
        <v/>
      </c>
      <c r="T880" s="35">
        <f>IF($F880="","",IFERROR(INDEX(사건마스터!$AR$5:$AR$64,MATCH($F880,사건마스터!$A$5:$A$64,0)),""))</f>
        <v/>
      </c>
      <c r="U880" s="35">
        <f>IF($F880="","",IFERROR(INDEX(사건마스터!$AS$5:$AS$64,MATCH($F880,사건마스터!$A$5:$A$64,0)),""))</f>
        <v/>
      </c>
      <c r="V880" s="35">
        <f>IF($F880="","",IFERROR(INDEX(사건마스터!$AT$5:$AT$64,MATCH($F880,사건마스터!$A$5:$A$64,0)),""))</f>
        <v/>
      </c>
      <c r="W880" s="35">
        <f>IF($F880="","",IFERROR(INDEX(사건마스터!$AU$5:$AU$64,MATCH($F880,사건마스터!$A$5:$A$64,0)),""))</f>
        <v/>
      </c>
      <c r="X880" s="35">
        <f>IF($F880="","",IFERROR(INDEX(사건마스터!$AV$5:$AV$64,MATCH($F880,사건마스터!$A$5:$A$64,0)),""))</f>
        <v/>
      </c>
      <c r="Y880" s="30">
        <f>IF($I880="","",COUNTIF($I880:$X880,"?*"))</f>
        <v/>
      </c>
      <c r="Z880" s="33">
        <f>IF($I880="","",_xlfn.TEXTJOIN(", ",TRUE,$I880:$X880))</f>
        <v/>
      </c>
      <c r="AA880" s="34">
        <f>IF($I880="","",IFERROR(INDEX(코드설정!$D$5:$D$24,MATCH($I880,코드설정!$C$5:$C$24,0)),""))</f>
        <v/>
      </c>
      <c r="AB880" s="36" t="n"/>
      <c r="AC880" s="37" t="n"/>
      <c r="AD880" s="38" t="n"/>
      <c r="AE880" s="30">
        <f>IF(OR($B880="",$C880=""),"",$C880-$B880+1)</f>
        <v/>
      </c>
      <c r="AF880" s="32" t="n"/>
      <c r="AG880" s="36" t="n"/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3">
        <f>IF($F881="","",IFERROR(INDEX(사건마스터!$B$5:$B$64,MATCH($F881,사건마스터!$A$5:$A$64,0)),""))</f>
        <v/>
      </c>
      <c r="H881" s="34">
        <f>IF($F881="","",IFERROR(INDEX(사건마스터!$C$5:$C$64,MATCH($F881,사건마스터!$A$5:$A$64,0)),""))</f>
        <v/>
      </c>
      <c r="I881" s="35">
        <f>IF($F881="","",IFERROR(INDEX(사건마스터!$H$5:$H$64,MATCH($F881,사건마스터!$A$5:$A$64,0)),""))</f>
        <v/>
      </c>
      <c r="J881" s="35">
        <f>IF($F881="","",IFERROR(INDEX(사건마스터!$AH$5:$AH$64,MATCH($F881,사건마스터!$A$5:$A$64,0)),""))</f>
        <v/>
      </c>
      <c r="K881" s="35">
        <f>IF($F881="","",IFERROR(INDEX(사건마스터!$AI$5:$AI$64,MATCH($F881,사건마스터!$A$5:$A$64,0)),""))</f>
        <v/>
      </c>
      <c r="L881" s="35">
        <f>IF($F881="","",IFERROR(INDEX(사건마스터!$AJ$5:$AJ$64,MATCH($F881,사건마스터!$A$5:$A$64,0)),""))</f>
        <v/>
      </c>
      <c r="M881" s="35">
        <f>IF($F881="","",IFERROR(INDEX(사건마스터!$AK$5:$AK$64,MATCH($F881,사건마스터!$A$5:$A$64,0)),""))</f>
        <v/>
      </c>
      <c r="N881" s="35">
        <f>IF($F881="","",IFERROR(INDEX(사건마스터!$AL$5:$AL$64,MATCH($F881,사건마스터!$A$5:$A$64,0)),""))</f>
        <v/>
      </c>
      <c r="O881" s="35">
        <f>IF($F881="","",IFERROR(INDEX(사건마스터!$AM$5:$AM$64,MATCH($F881,사건마스터!$A$5:$A$64,0)),""))</f>
        <v/>
      </c>
      <c r="P881" s="35">
        <f>IF($F881="","",IFERROR(INDEX(사건마스터!$AN$5:$AN$64,MATCH($F881,사건마스터!$A$5:$A$64,0)),""))</f>
        <v/>
      </c>
      <c r="Q881" s="35">
        <f>IF($F881="","",IFERROR(INDEX(사건마스터!$AO$5:$AO$64,MATCH($F881,사건마스터!$A$5:$A$64,0)),""))</f>
        <v/>
      </c>
      <c r="R881" s="35">
        <f>IF($F881="","",IFERROR(INDEX(사건마스터!$AP$5:$AP$64,MATCH($F881,사건마스터!$A$5:$A$64,0)),""))</f>
        <v/>
      </c>
      <c r="S881" s="35">
        <f>IF($F881="","",IFERROR(INDEX(사건마스터!$AQ$5:$AQ$64,MATCH($F881,사건마스터!$A$5:$A$64,0)),""))</f>
        <v/>
      </c>
      <c r="T881" s="35">
        <f>IF($F881="","",IFERROR(INDEX(사건마스터!$AR$5:$AR$64,MATCH($F881,사건마스터!$A$5:$A$64,0)),""))</f>
        <v/>
      </c>
      <c r="U881" s="35">
        <f>IF($F881="","",IFERROR(INDEX(사건마스터!$AS$5:$AS$64,MATCH($F881,사건마스터!$A$5:$A$64,0)),""))</f>
        <v/>
      </c>
      <c r="V881" s="35">
        <f>IF($F881="","",IFERROR(INDEX(사건마스터!$AT$5:$AT$64,MATCH($F881,사건마스터!$A$5:$A$64,0)),""))</f>
        <v/>
      </c>
      <c r="W881" s="35">
        <f>IF($F881="","",IFERROR(INDEX(사건마스터!$AU$5:$AU$64,MATCH($F881,사건마스터!$A$5:$A$64,0)),""))</f>
        <v/>
      </c>
      <c r="X881" s="35">
        <f>IF($F881="","",IFERROR(INDEX(사건마스터!$AV$5:$AV$64,MATCH($F881,사건마스터!$A$5:$A$64,0)),""))</f>
        <v/>
      </c>
      <c r="Y881" s="30">
        <f>IF($I881="","",COUNTIF($I881:$X881,"?*"))</f>
        <v/>
      </c>
      <c r="Z881" s="33">
        <f>IF($I881="","",_xlfn.TEXTJOIN(", ",TRUE,$I881:$X881))</f>
        <v/>
      </c>
      <c r="AA881" s="34">
        <f>IF($I881="","",IFERROR(INDEX(코드설정!$D$5:$D$24,MATCH($I881,코드설정!$C$5:$C$24,0)),""))</f>
        <v/>
      </c>
      <c r="AB881" s="36" t="n"/>
      <c r="AC881" s="37" t="n"/>
      <c r="AD881" s="38" t="n"/>
      <c r="AE881" s="30">
        <f>IF(OR($B881="",$C881=""),"",$C881-$B881+1)</f>
        <v/>
      </c>
      <c r="AF881" s="32" t="n"/>
      <c r="AG881" s="36" t="n"/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3">
        <f>IF($F882="","",IFERROR(INDEX(사건마스터!$B$5:$B$64,MATCH($F882,사건마스터!$A$5:$A$64,0)),""))</f>
        <v/>
      </c>
      <c r="H882" s="34">
        <f>IF($F882="","",IFERROR(INDEX(사건마스터!$C$5:$C$64,MATCH($F882,사건마스터!$A$5:$A$64,0)),""))</f>
        <v/>
      </c>
      <c r="I882" s="35">
        <f>IF($F882="","",IFERROR(INDEX(사건마스터!$H$5:$H$64,MATCH($F882,사건마스터!$A$5:$A$64,0)),""))</f>
        <v/>
      </c>
      <c r="J882" s="35">
        <f>IF($F882="","",IFERROR(INDEX(사건마스터!$AH$5:$AH$64,MATCH($F882,사건마스터!$A$5:$A$64,0)),""))</f>
        <v/>
      </c>
      <c r="K882" s="35">
        <f>IF($F882="","",IFERROR(INDEX(사건마스터!$AI$5:$AI$64,MATCH($F882,사건마스터!$A$5:$A$64,0)),""))</f>
        <v/>
      </c>
      <c r="L882" s="35">
        <f>IF($F882="","",IFERROR(INDEX(사건마스터!$AJ$5:$AJ$64,MATCH($F882,사건마스터!$A$5:$A$64,0)),""))</f>
        <v/>
      </c>
      <c r="M882" s="35">
        <f>IF($F882="","",IFERROR(INDEX(사건마스터!$AK$5:$AK$64,MATCH($F882,사건마스터!$A$5:$A$64,0)),""))</f>
        <v/>
      </c>
      <c r="N882" s="35">
        <f>IF($F882="","",IFERROR(INDEX(사건마스터!$AL$5:$AL$64,MATCH($F882,사건마스터!$A$5:$A$64,0)),""))</f>
        <v/>
      </c>
      <c r="O882" s="35">
        <f>IF($F882="","",IFERROR(INDEX(사건마스터!$AM$5:$AM$64,MATCH($F882,사건마스터!$A$5:$A$64,0)),""))</f>
        <v/>
      </c>
      <c r="P882" s="35">
        <f>IF($F882="","",IFERROR(INDEX(사건마스터!$AN$5:$AN$64,MATCH($F882,사건마스터!$A$5:$A$64,0)),""))</f>
        <v/>
      </c>
      <c r="Q882" s="35">
        <f>IF($F882="","",IFERROR(INDEX(사건마스터!$AO$5:$AO$64,MATCH($F882,사건마스터!$A$5:$A$64,0)),""))</f>
        <v/>
      </c>
      <c r="R882" s="35">
        <f>IF($F882="","",IFERROR(INDEX(사건마스터!$AP$5:$AP$64,MATCH($F882,사건마스터!$A$5:$A$64,0)),""))</f>
        <v/>
      </c>
      <c r="S882" s="35">
        <f>IF($F882="","",IFERROR(INDEX(사건마스터!$AQ$5:$AQ$64,MATCH($F882,사건마스터!$A$5:$A$64,0)),""))</f>
        <v/>
      </c>
      <c r="T882" s="35">
        <f>IF($F882="","",IFERROR(INDEX(사건마스터!$AR$5:$AR$64,MATCH($F882,사건마스터!$A$5:$A$64,0)),""))</f>
        <v/>
      </c>
      <c r="U882" s="35">
        <f>IF($F882="","",IFERROR(INDEX(사건마스터!$AS$5:$AS$64,MATCH($F882,사건마스터!$A$5:$A$64,0)),""))</f>
        <v/>
      </c>
      <c r="V882" s="35">
        <f>IF($F882="","",IFERROR(INDEX(사건마스터!$AT$5:$AT$64,MATCH($F882,사건마스터!$A$5:$A$64,0)),""))</f>
        <v/>
      </c>
      <c r="W882" s="35">
        <f>IF($F882="","",IFERROR(INDEX(사건마스터!$AU$5:$AU$64,MATCH($F882,사건마스터!$A$5:$A$64,0)),""))</f>
        <v/>
      </c>
      <c r="X882" s="35">
        <f>IF($F882="","",IFERROR(INDEX(사건마스터!$AV$5:$AV$64,MATCH($F882,사건마스터!$A$5:$A$64,0)),""))</f>
        <v/>
      </c>
      <c r="Y882" s="30">
        <f>IF($I882="","",COUNTIF($I882:$X882,"?*"))</f>
        <v/>
      </c>
      <c r="Z882" s="33">
        <f>IF($I882="","",_xlfn.TEXTJOIN(", ",TRUE,$I882:$X882))</f>
        <v/>
      </c>
      <c r="AA882" s="34">
        <f>IF($I882="","",IFERROR(INDEX(코드설정!$D$5:$D$24,MATCH($I882,코드설정!$C$5:$C$24,0)),""))</f>
        <v/>
      </c>
      <c r="AB882" s="36" t="n"/>
      <c r="AC882" s="37" t="n"/>
      <c r="AD882" s="38" t="n"/>
      <c r="AE882" s="30">
        <f>IF(OR($B882="",$C882=""),"",$C882-$B882+1)</f>
        <v/>
      </c>
      <c r="AF882" s="32" t="n"/>
      <c r="AG882" s="36" t="n"/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3">
        <f>IF($F883="","",IFERROR(INDEX(사건마스터!$B$5:$B$64,MATCH($F883,사건마스터!$A$5:$A$64,0)),""))</f>
        <v/>
      </c>
      <c r="H883" s="34">
        <f>IF($F883="","",IFERROR(INDEX(사건마스터!$C$5:$C$64,MATCH($F883,사건마스터!$A$5:$A$64,0)),""))</f>
        <v/>
      </c>
      <c r="I883" s="35">
        <f>IF($F883="","",IFERROR(INDEX(사건마스터!$H$5:$H$64,MATCH($F883,사건마스터!$A$5:$A$64,0)),""))</f>
        <v/>
      </c>
      <c r="J883" s="35">
        <f>IF($F883="","",IFERROR(INDEX(사건마스터!$AH$5:$AH$64,MATCH($F883,사건마스터!$A$5:$A$64,0)),""))</f>
        <v/>
      </c>
      <c r="K883" s="35">
        <f>IF($F883="","",IFERROR(INDEX(사건마스터!$AI$5:$AI$64,MATCH($F883,사건마스터!$A$5:$A$64,0)),""))</f>
        <v/>
      </c>
      <c r="L883" s="35">
        <f>IF($F883="","",IFERROR(INDEX(사건마스터!$AJ$5:$AJ$64,MATCH($F883,사건마스터!$A$5:$A$64,0)),""))</f>
        <v/>
      </c>
      <c r="M883" s="35">
        <f>IF($F883="","",IFERROR(INDEX(사건마스터!$AK$5:$AK$64,MATCH($F883,사건마스터!$A$5:$A$64,0)),""))</f>
        <v/>
      </c>
      <c r="N883" s="35">
        <f>IF($F883="","",IFERROR(INDEX(사건마스터!$AL$5:$AL$64,MATCH($F883,사건마스터!$A$5:$A$64,0)),""))</f>
        <v/>
      </c>
      <c r="O883" s="35">
        <f>IF($F883="","",IFERROR(INDEX(사건마스터!$AM$5:$AM$64,MATCH($F883,사건마스터!$A$5:$A$64,0)),""))</f>
        <v/>
      </c>
      <c r="P883" s="35">
        <f>IF($F883="","",IFERROR(INDEX(사건마스터!$AN$5:$AN$64,MATCH($F883,사건마스터!$A$5:$A$64,0)),""))</f>
        <v/>
      </c>
      <c r="Q883" s="35">
        <f>IF($F883="","",IFERROR(INDEX(사건마스터!$AO$5:$AO$64,MATCH($F883,사건마스터!$A$5:$A$64,0)),""))</f>
        <v/>
      </c>
      <c r="R883" s="35">
        <f>IF($F883="","",IFERROR(INDEX(사건마스터!$AP$5:$AP$64,MATCH($F883,사건마스터!$A$5:$A$64,0)),""))</f>
        <v/>
      </c>
      <c r="S883" s="35">
        <f>IF($F883="","",IFERROR(INDEX(사건마스터!$AQ$5:$AQ$64,MATCH($F883,사건마스터!$A$5:$A$64,0)),""))</f>
        <v/>
      </c>
      <c r="T883" s="35">
        <f>IF($F883="","",IFERROR(INDEX(사건마스터!$AR$5:$AR$64,MATCH($F883,사건마스터!$A$5:$A$64,0)),""))</f>
        <v/>
      </c>
      <c r="U883" s="35">
        <f>IF($F883="","",IFERROR(INDEX(사건마스터!$AS$5:$AS$64,MATCH($F883,사건마스터!$A$5:$A$64,0)),""))</f>
        <v/>
      </c>
      <c r="V883" s="35">
        <f>IF($F883="","",IFERROR(INDEX(사건마스터!$AT$5:$AT$64,MATCH($F883,사건마스터!$A$5:$A$64,0)),""))</f>
        <v/>
      </c>
      <c r="W883" s="35">
        <f>IF($F883="","",IFERROR(INDEX(사건마스터!$AU$5:$AU$64,MATCH($F883,사건마스터!$A$5:$A$64,0)),""))</f>
        <v/>
      </c>
      <c r="X883" s="35">
        <f>IF($F883="","",IFERROR(INDEX(사건마스터!$AV$5:$AV$64,MATCH($F883,사건마스터!$A$5:$A$64,0)),""))</f>
        <v/>
      </c>
      <c r="Y883" s="30">
        <f>IF($I883="","",COUNTIF($I883:$X883,"?*"))</f>
        <v/>
      </c>
      <c r="Z883" s="33">
        <f>IF($I883="","",_xlfn.TEXTJOIN(", ",TRUE,$I883:$X883))</f>
        <v/>
      </c>
      <c r="AA883" s="34">
        <f>IF($I883="","",IFERROR(INDEX(코드설정!$D$5:$D$24,MATCH($I883,코드설정!$C$5:$C$24,0)),""))</f>
        <v/>
      </c>
      <c r="AB883" s="36" t="n"/>
      <c r="AC883" s="37" t="n"/>
      <c r="AD883" s="38" t="n"/>
      <c r="AE883" s="30">
        <f>IF(OR($B883="",$C883=""),"",$C883-$B883+1)</f>
        <v/>
      </c>
      <c r="AF883" s="32" t="n"/>
      <c r="AG883" s="36" t="n"/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3">
        <f>IF($F884="","",IFERROR(INDEX(사건마스터!$B$5:$B$64,MATCH($F884,사건마스터!$A$5:$A$64,0)),""))</f>
        <v/>
      </c>
      <c r="H884" s="34">
        <f>IF($F884="","",IFERROR(INDEX(사건마스터!$C$5:$C$64,MATCH($F884,사건마스터!$A$5:$A$64,0)),""))</f>
        <v/>
      </c>
      <c r="I884" s="35">
        <f>IF($F884="","",IFERROR(INDEX(사건마스터!$H$5:$H$64,MATCH($F884,사건마스터!$A$5:$A$64,0)),""))</f>
        <v/>
      </c>
      <c r="J884" s="35">
        <f>IF($F884="","",IFERROR(INDEX(사건마스터!$AH$5:$AH$64,MATCH($F884,사건마스터!$A$5:$A$64,0)),""))</f>
        <v/>
      </c>
      <c r="K884" s="35">
        <f>IF($F884="","",IFERROR(INDEX(사건마스터!$AI$5:$AI$64,MATCH($F884,사건마스터!$A$5:$A$64,0)),""))</f>
        <v/>
      </c>
      <c r="L884" s="35">
        <f>IF($F884="","",IFERROR(INDEX(사건마스터!$AJ$5:$AJ$64,MATCH($F884,사건마스터!$A$5:$A$64,0)),""))</f>
        <v/>
      </c>
      <c r="M884" s="35">
        <f>IF($F884="","",IFERROR(INDEX(사건마스터!$AK$5:$AK$64,MATCH($F884,사건마스터!$A$5:$A$64,0)),""))</f>
        <v/>
      </c>
      <c r="N884" s="35">
        <f>IF($F884="","",IFERROR(INDEX(사건마스터!$AL$5:$AL$64,MATCH($F884,사건마스터!$A$5:$A$64,0)),""))</f>
        <v/>
      </c>
      <c r="O884" s="35">
        <f>IF($F884="","",IFERROR(INDEX(사건마스터!$AM$5:$AM$64,MATCH($F884,사건마스터!$A$5:$A$64,0)),""))</f>
        <v/>
      </c>
      <c r="P884" s="35">
        <f>IF($F884="","",IFERROR(INDEX(사건마스터!$AN$5:$AN$64,MATCH($F884,사건마스터!$A$5:$A$64,0)),""))</f>
        <v/>
      </c>
      <c r="Q884" s="35">
        <f>IF($F884="","",IFERROR(INDEX(사건마스터!$AO$5:$AO$64,MATCH($F884,사건마스터!$A$5:$A$64,0)),""))</f>
        <v/>
      </c>
      <c r="R884" s="35">
        <f>IF($F884="","",IFERROR(INDEX(사건마스터!$AP$5:$AP$64,MATCH($F884,사건마스터!$A$5:$A$64,0)),""))</f>
        <v/>
      </c>
      <c r="S884" s="35">
        <f>IF($F884="","",IFERROR(INDEX(사건마스터!$AQ$5:$AQ$64,MATCH($F884,사건마스터!$A$5:$A$64,0)),""))</f>
        <v/>
      </c>
      <c r="T884" s="35">
        <f>IF($F884="","",IFERROR(INDEX(사건마스터!$AR$5:$AR$64,MATCH($F884,사건마스터!$A$5:$A$64,0)),""))</f>
        <v/>
      </c>
      <c r="U884" s="35">
        <f>IF($F884="","",IFERROR(INDEX(사건마스터!$AS$5:$AS$64,MATCH($F884,사건마스터!$A$5:$A$64,0)),""))</f>
        <v/>
      </c>
      <c r="V884" s="35">
        <f>IF($F884="","",IFERROR(INDEX(사건마스터!$AT$5:$AT$64,MATCH($F884,사건마스터!$A$5:$A$64,0)),""))</f>
        <v/>
      </c>
      <c r="W884" s="35">
        <f>IF($F884="","",IFERROR(INDEX(사건마스터!$AU$5:$AU$64,MATCH($F884,사건마스터!$A$5:$A$64,0)),""))</f>
        <v/>
      </c>
      <c r="X884" s="35">
        <f>IF($F884="","",IFERROR(INDEX(사건마스터!$AV$5:$AV$64,MATCH($F884,사건마스터!$A$5:$A$64,0)),""))</f>
        <v/>
      </c>
      <c r="Y884" s="30">
        <f>IF($I884="","",COUNTIF($I884:$X884,"?*"))</f>
        <v/>
      </c>
      <c r="Z884" s="33">
        <f>IF($I884="","",_xlfn.TEXTJOIN(", ",TRUE,$I884:$X884))</f>
        <v/>
      </c>
      <c r="AA884" s="34">
        <f>IF($I884="","",IFERROR(INDEX(코드설정!$D$5:$D$24,MATCH($I884,코드설정!$C$5:$C$24,0)),""))</f>
        <v/>
      </c>
      <c r="AB884" s="36" t="n"/>
      <c r="AC884" s="37" t="n"/>
      <c r="AD884" s="38" t="n"/>
      <c r="AE884" s="30">
        <f>IF(OR($B884="",$C884=""),"",$C884-$B884+1)</f>
        <v/>
      </c>
      <c r="AF884" s="32" t="n"/>
      <c r="AG884" s="36" t="n"/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3">
        <f>IF($F885="","",IFERROR(INDEX(사건마스터!$B$5:$B$64,MATCH($F885,사건마스터!$A$5:$A$64,0)),""))</f>
        <v/>
      </c>
      <c r="H885" s="34">
        <f>IF($F885="","",IFERROR(INDEX(사건마스터!$C$5:$C$64,MATCH($F885,사건마스터!$A$5:$A$64,0)),""))</f>
        <v/>
      </c>
      <c r="I885" s="35">
        <f>IF($F885="","",IFERROR(INDEX(사건마스터!$H$5:$H$64,MATCH($F885,사건마스터!$A$5:$A$64,0)),""))</f>
        <v/>
      </c>
      <c r="J885" s="35">
        <f>IF($F885="","",IFERROR(INDEX(사건마스터!$AH$5:$AH$64,MATCH($F885,사건마스터!$A$5:$A$64,0)),""))</f>
        <v/>
      </c>
      <c r="K885" s="35">
        <f>IF($F885="","",IFERROR(INDEX(사건마스터!$AI$5:$AI$64,MATCH($F885,사건마스터!$A$5:$A$64,0)),""))</f>
        <v/>
      </c>
      <c r="L885" s="35">
        <f>IF($F885="","",IFERROR(INDEX(사건마스터!$AJ$5:$AJ$64,MATCH($F885,사건마스터!$A$5:$A$64,0)),""))</f>
        <v/>
      </c>
      <c r="M885" s="35">
        <f>IF($F885="","",IFERROR(INDEX(사건마스터!$AK$5:$AK$64,MATCH($F885,사건마스터!$A$5:$A$64,0)),""))</f>
        <v/>
      </c>
      <c r="N885" s="35">
        <f>IF($F885="","",IFERROR(INDEX(사건마스터!$AL$5:$AL$64,MATCH($F885,사건마스터!$A$5:$A$64,0)),""))</f>
        <v/>
      </c>
      <c r="O885" s="35">
        <f>IF($F885="","",IFERROR(INDEX(사건마스터!$AM$5:$AM$64,MATCH($F885,사건마스터!$A$5:$A$64,0)),""))</f>
        <v/>
      </c>
      <c r="P885" s="35">
        <f>IF($F885="","",IFERROR(INDEX(사건마스터!$AN$5:$AN$64,MATCH($F885,사건마스터!$A$5:$A$64,0)),""))</f>
        <v/>
      </c>
      <c r="Q885" s="35">
        <f>IF($F885="","",IFERROR(INDEX(사건마스터!$AO$5:$AO$64,MATCH($F885,사건마스터!$A$5:$A$64,0)),""))</f>
        <v/>
      </c>
      <c r="R885" s="35">
        <f>IF($F885="","",IFERROR(INDEX(사건마스터!$AP$5:$AP$64,MATCH($F885,사건마스터!$A$5:$A$64,0)),""))</f>
        <v/>
      </c>
      <c r="S885" s="35">
        <f>IF($F885="","",IFERROR(INDEX(사건마스터!$AQ$5:$AQ$64,MATCH($F885,사건마스터!$A$5:$A$64,0)),""))</f>
        <v/>
      </c>
      <c r="T885" s="35">
        <f>IF($F885="","",IFERROR(INDEX(사건마스터!$AR$5:$AR$64,MATCH($F885,사건마스터!$A$5:$A$64,0)),""))</f>
        <v/>
      </c>
      <c r="U885" s="35">
        <f>IF($F885="","",IFERROR(INDEX(사건마스터!$AS$5:$AS$64,MATCH($F885,사건마스터!$A$5:$A$64,0)),""))</f>
        <v/>
      </c>
      <c r="V885" s="35">
        <f>IF($F885="","",IFERROR(INDEX(사건마스터!$AT$5:$AT$64,MATCH($F885,사건마스터!$A$5:$A$64,0)),""))</f>
        <v/>
      </c>
      <c r="W885" s="35">
        <f>IF($F885="","",IFERROR(INDEX(사건마스터!$AU$5:$AU$64,MATCH($F885,사건마스터!$A$5:$A$64,0)),""))</f>
        <v/>
      </c>
      <c r="X885" s="35">
        <f>IF($F885="","",IFERROR(INDEX(사건마스터!$AV$5:$AV$64,MATCH($F885,사건마스터!$A$5:$A$64,0)),""))</f>
        <v/>
      </c>
      <c r="Y885" s="30">
        <f>IF($I885="","",COUNTIF($I885:$X885,"?*"))</f>
        <v/>
      </c>
      <c r="Z885" s="33">
        <f>IF($I885="","",_xlfn.TEXTJOIN(", ",TRUE,$I885:$X885))</f>
        <v/>
      </c>
      <c r="AA885" s="34">
        <f>IF($I885="","",IFERROR(INDEX(코드설정!$D$5:$D$24,MATCH($I885,코드설정!$C$5:$C$24,0)),""))</f>
        <v/>
      </c>
      <c r="AB885" s="36" t="n"/>
      <c r="AC885" s="37" t="n"/>
      <c r="AD885" s="38" t="n"/>
      <c r="AE885" s="30">
        <f>IF(OR($B885="",$C885=""),"",$C885-$B885+1)</f>
        <v/>
      </c>
      <c r="AF885" s="32" t="n"/>
      <c r="AG885" s="36" t="n"/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3">
        <f>IF($F886="","",IFERROR(INDEX(사건마스터!$B$5:$B$64,MATCH($F886,사건마스터!$A$5:$A$64,0)),""))</f>
        <v/>
      </c>
      <c r="H886" s="34">
        <f>IF($F886="","",IFERROR(INDEX(사건마스터!$C$5:$C$64,MATCH($F886,사건마스터!$A$5:$A$64,0)),""))</f>
        <v/>
      </c>
      <c r="I886" s="35">
        <f>IF($F886="","",IFERROR(INDEX(사건마스터!$H$5:$H$64,MATCH($F886,사건마스터!$A$5:$A$64,0)),""))</f>
        <v/>
      </c>
      <c r="J886" s="35">
        <f>IF($F886="","",IFERROR(INDEX(사건마스터!$AH$5:$AH$64,MATCH($F886,사건마스터!$A$5:$A$64,0)),""))</f>
        <v/>
      </c>
      <c r="K886" s="35">
        <f>IF($F886="","",IFERROR(INDEX(사건마스터!$AI$5:$AI$64,MATCH($F886,사건마스터!$A$5:$A$64,0)),""))</f>
        <v/>
      </c>
      <c r="L886" s="35">
        <f>IF($F886="","",IFERROR(INDEX(사건마스터!$AJ$5:$AJ$64,MATCH($F886,사건마스터!$A$5:$A$64,0)),""))</f>
        <v/>
      </c>
      <c r="M886" s="35">
        <f>IF($F886="","",IFERROR(INDEX(사건마스터!$AK$5:$AK$64,MATCH($F886,사건마스터!$A$5:$A$64,0)),""))</f>
        <v/>
      </c>
      <c r="N886" s="35">
        <f>IF($F886="","",IFERROR(INDEX(사건마스터!$AL$5:$AL$64,MATCH($F886,사건마스터!$A$5:$A$64,0)),""))</f>
        <v/>
      </c>
      <c r="O886" s="35">
        <f>IF($F886="","",IFERROR(INDEX(사건마스터!$AM$5:$AM$64,MATCH($F886,사건마스터!$A$5:$A$64,0)),""))</f>
        <v/>
      </c>
      <c r="P886" s="35">
        <f>IF($F886="","",IFERROR(INDEX(사건마스터!$AN$5:$AN$64,MATCH($F886,사건마스터!$A$5:$A$64,0)),""))</f>
        <v/>
      </c>
      <c r="Q886" s="35">
        <f>IF($F886="","",IFERROR(INDEX(사건마스터!$AO$5:$AO$64,MATCH($F886,사건마스터!$A$5:$A$64,0)),""))</f>
        <v/>
      </c>
      <c r="R886" s="35">
        <f>IF($F886="","",IFERROR(INDEX(사건마스터!$AP$5:$AP$64,MATCH($F886,사건마스터!$A$5:$A$64,0)),""))</f>
        <v/>
      </c>
      <c r="S886" s="35">
        <f>IF($F886="","",IFERROR(INDEX(사건마스터!$AQ$5:$AQ$64,MATCH($F886,사건마스터!$A$5:$A$64,0)),""))</f>
        <v/>
      </c>
      <c r="T886" s="35">
        <f>IF($F886="","",IFERROR(INDEX(사건마스터!$AR$5:$AR$64,MATCH($F886,사건마스터!$A$5:$A$64,0)),""))</f>
        <v/>
      </c>
      <c r="U886" s="35">
        <f>IF($F886="","",IFERROR(INDEX(사건마스터!$AS$5:$AS$64,MATCH($F886,사건마스터!$A$5:$A$64,0)),""))</f>
        <v/>
      </c>
      <c r="V886" s="35">
        <f>IF($F886="","",IFERROR(INDEX(사건마스터!$AT$5:$AT$64,MATCH($F886,사건마스터!$A$5:$A$64,0)),""))</f>
        <v/>
      </c>
      <c r="W886" s="35">
        <f>IF($F886="","",IFERROR(INDEX(사건마스터!$AU$5:$AU$64,MATCH($F886,사건마스터!$A$5:$A$64,0)),""))</f>
        <v/>
      </c>
      <c r="X886" s="35">
        <f>IF($F886="","",IFERROR(INDEX(사건마스터!$AV$5:$AV$64,MATCH($F886,사건마스터!$A$5:$A$64,0)),""))</f>
        <v/>
      </c>
      <c r="Y886" s="30">
        <f>IF($I886="","",COUNTIF($I886:$X886,"?*"))</f>
        <v/>
      </c>
      <c r="Z886" s="33">
        <f>IF($I886="","",_xlfn.TEXTJOIN(", ",TRUE,$I886:$X886))</f>
        <v/>
      </c>
      <c r="AA886" s="34">
        <f>IF($I886="","",IFERROR(INDEX(코드설정!$D$5:$D$24,MATCH($I886,코드설정!$C$5:$C$24,0)),""))</f>
        <v/>
      </c>
      <c r="AB886" s="36" t="n"/>
      <c r="AC886" s="37" t="n"/>
      <c r="AD886" s="38" t="n"/>
      <c r="AE886" s="30">
        <f>IF(OR($B886="",$C886=""),"",$C886-$B886+1)</f>
        <v/>
      </c>
      <c r="AF886" s="32" t="n"/>
      <c r="AG886" s="36" t="n"/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3">
        <f>IF($F887="","",IFERROR(INDEX(사건마스터!$B$5:$B$64,MATCH($F887,사건마스터!$A$5:$A$64,0)),""))</f>
        <v/>
      </c>
      <c r="H887" s="34">
        <f>IF($F887="","",IFERROR(INDEX(사건마스터!$C$5:$C$64,MATCH($F887,사건마스터!$A$5:$A$64,0)),""))</f>
        <v/>
      </c>
      <c r="I887" s="35">
        <f>IF($F887="","",IFERROR(INDEX(사건마스터!$H$5:$H$64,MATCH($F887,사건마스터!$A$5:$A$64,0)),""))</f>
        <v/>
      </c>
      <c r="J887" s="35">
        <f>IF($F887="","",IFERROR(INDEX(사건마스터!$AH$5:$AH$64,MATCH($F887,사건마스터!$A$5:$A$64,0)),""))</f>
        <v/>
      </c>
      <c r="K887" s="35">
        <f>IF($F887="","",IFERROR(INDEX(사건마스터!$AI$5:$AI$64,MATCH($F887,사건마스터!$A$5:$A$64,0)),""))</f>
        <v/>
      </c>
      <c r="L887" s="35">
        <f>IF($F887="","",IFERROR(INDEX(사건마스터!$AJ$5:$AJ$64,MATCH($F887,사건마스터!$A$5:$A$64,0)),""))</f>
        <v/>
      </c>
      <c r="M887" s="35">
        <f>IF($F887="","",IFERROR(INDEX(사건마스터!$AK$5:$AK$64,MATCH($F887,사건마스터!$A$5:$A$64,0)),""))</f>
        <v/>
      </c>
      <c r="N887" s="35">
        <f>IF($F887="","",IFERROR(INDEX(사건마스터!$AL$5:$AL$64,MATCH($F887,사건마스터!$A$5:$A$64,0)),""))</f>
        <v/>
      </c>
      <c r="O887" s="35">
        <f>IF($F887="","",IFERROR(INDEX(사건마스터!$AM$5:$AM$64,MATCH($F887,사건마스터!$A$5:$A$64,0)),""))</f>
        <v/>
      </c>
      <c r="P887" s="35">
        <f>IF($F887="","",IFERROR(INDEX(사건마스터!$AN$5:$AN$64,MATCH($F887,사건마스터!$A$5:$A$64,0)),""))</f>
        <v/>
      </c>
      <c r="Q887" s="35">
        <f>IF($F887="","",IFERROR(INDEX(사건마스터!$AO$5:$AO$64,MATCH($F887,사건마스터!$A$5:$A$64,0)),""))</f>
        <v/>
      </c>
      <c r="R887" s="35">
        <f>IF($F887="","",IFERROR(INDEX(사건마스터!$AP$5:$AP$64,MATCH($F887,사건마스터!$A$5:$A$64,0)),""))</f>
        <v/>
      </c>
      <c r="S887" s="35">
        <f>IF($F887="","",IFERROR(INDEX(사건마스터!$AQ$5:$AQ$64,MATCH($F887,사건마스터!$A$5:$A$64,0)),""))</f>
        <v/>
      </c>
      <c r="T887" s="35">
        <f>IF($F887="","",IFERROR(INDEX(사건마스터!$AR$5:$AR$64,MATCH($F887,사건마스터!$A$5:$A$64,0)),""))</f>
        <v/>
      </c>
      <c r="U887" s="35">
        <f>IF($F887="","",IFERROR(INDEX(사건마스터!$AS$5:$AS$64,MATCH($F887,사건마스터!$A$5:$A$64,0)),""))</f>
        <v/>
      </c>
      <c r="V887" s="35">
        <f>IF($F887="","",IFERROR(INDEX(사건마스터!$AT$5:$AT$64,MATCH($F887,사건마스터!$A$5:$A$64,0)),""))</f>
        <v/>
      </c>
      <c r="W887" s="35">
        <f>IF($F887="","",IFERROR(INDEX(사건마스터!$AU$5:$AU$64,MATCH($F887,사건마스터!$A$5:$A$64,0)),""))</f>
        <v/>
      </c>
      <c r="X887" s="35">
        <f>IF($F887="","",IFERROR(INDEX(사건마스터!$AV$5:$AV$64,MATCH($F887,사건마스터!$A$5:$A$64,0)),""))</f>
        <v/>
      </c>
      <c r="Y887" s="30">
        <f>IF($I887="","",COUNTIF($I887:$X887,"?*"))</f>
        <v/>
      </c>
      <c r="Z887" s="33">
        <f>IF($I887="","",_xlfn.TEXTJOIN(", ",TRUE,$I887:$X887))</f>
        <v/>
      </c>
      <c r="AA887" s="34">
        <f>IF($I887="","",IFERROR(INDEX(코드설정!$D$5:$D$24,MATCH($I887,코드설정!$C$5:$C$24,0)),""))</f>
        <v/>
      </c>
      <c r="AB887" s="36" t="n"/>
      <c r="AC887" s="37" t="n"/>
      <c r="AD887" s="38" t="n"/>
      <c r="AE887" s="30">
        <f>IF(OR($B887="",$C887=""),"",$C887-$B887+1)</f>
        <v/>
      </c>
      <c r="AF887" s="32" t="n"/>
      <c r="AG887" s="36" t="n"/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3">
        <f>IF($F888="","",IFERROR(INDEX(사건마스터!$B$5:$B$64,MATCH($F888,사건마스터!$A$5:$A$64,0)),""))</f>
        <v/>
      </c>
      <c r="H888" s="34">
        <f>IF($F888="","",IFERROR(INDEX(사건마스터!$C$5:$C$64,MATCH($F888,사건마스터!$A$5:$A$64,0)),""))</f>
        <v/>
      </c>
      <c r="I888" s="35">
        <f>IF($F888="","",IFERROR(INDEX(사건마스터!$H$5:$H$64,MATCH($F888,사건마스터!$A$5:$A$64,0)),""))</f>
        <v/>
      </c>
      <c r="J888" s="35">
        <f>IF($F888="","",IFERROR(INDEX(사건마스터!$AH$5:$AH$64,MATCH($F888,사건마스터!$A$5:$A$64,0)),""))</f>
        <v/>
      </c>
      <c r="K888" s="35">
        <f>IF($F888="","",IFERROR(INDEX(사건마스터!$AI$5:$AI$64,MATCH($F888,사건마스터!$A$5:$A$64,0)),""))</f>
        <v/>
      </c>
      <c r="L888" s="35">
        <f>IF($F888="","",IFERROR(INDEX(사건마스터!$AJ$5:$AJ$64,MATCH($F888,사건마스터!$A$5:$A$64,0)),""))</f>
        <v/>
      </c>
      <c r="M888" s="35">
        <f>IF($F888="","",IFERROR(INDEX(사건마스터!$AK$5:$AK$64,MATCH($F888,사건마스터!$A$5:$A$64,0)),""))</f>
        <v/>
      </c>
      <c r="N888" s="35">
        <f>IF($F888="","",IFERROR(INDEX(사건마스터!$AL$5:$AL$64,MATCH($F888,사건마스터!$A$5:$A$64,0)),""))</f>
        <v/>
      </c>
      <c r="O888" s="35">
        <f>IF($F888="","",IFERROR(INDEX(사건마스터!$AM$5:$AM$64,MATCH($F888,사건마스터!$A$5:$A$64,0)),""))</f>
        <v/>
      </c>
      <c r="P888" s="35">
        <f>IF($F888="","",IFERROR(INDEX(사건마스터!$AN$5:$AN$64,MATCH($F888,사건마스터!$A$5:$A$64,0)),""))</f>
        <v/>
      </c>
      <c r="Q888" s="35">
        <f>IF($F888="","",IFERROR(INDEX(사건마스터!$AO$5:$AO$64,MATCH($F888,사건마스터!$A$5:$A$64,0)),""))</f>
        <v/>
      </c>
      <c r="R888" s="35">
        <f>IF($F888="","",IFERROR(INDEX(사건마스터!$AP$5:$AP$64,MATCH($F888,사건마스터!$A$5:$A$64,0)),""))</f>
        <v/>
      </c>
      <c r="S888" s="35">
        <f>IF($F888="","",IFERROR(INDEX(사건마스터!$AQ$5:$AQ$64,MATCH($F888,사건마스터!$A$5:$A$64,0)),""))</f>
        <v/>
      </c>
      <c r="T888" s="35">
        <f>IF($F888="","",IFERROR(INDEX(사건마스터!$AR$5:$AR$64,MATCH($F888,사건마스터!$A$5:$A$64,0)),""))</f>
        <v/>
      </c>
      <c r="U888" s="35">
        <f>IF($F888="","",IFERROR(INDEX(사건마스터!$AS$5:$AS$64,MATCH($F888,사건마스터!$A$5:$A$64,0)),""))</f>
        <v/>
      </c>
      <c r="V888" s="35">
        <f>IF($F888="","",IFERROR(INDEX(사건마스터!$AT$5:$AT$64,MATCH($F888,사건마스터!$A$5:$A$64,0)),""))</f>
        <v/>
      </c>
      <c r="W888" s="35">
        <f>IF($F888="","",IFERROR(INDEX(사건마스터!$AU$5:$AU$64,MATCH($F888,사건마스터!$A$5:$A$64,0)),""))</f>
        <v/>
      </c>
      <c r="X888" s="35">
        <f>IF($F888="","",IFERROR(INDEX(사건마스터!$AV$5:$AV$64,MATCH($F888,사건마스터!$A$5:$A$64,0)),""))</f>
        <v/>
      </c>
      <c r="Y888" s="30">
        <f>IF($I888="","",COUNTIF($I888:$X888,"?*"))</f>
        <v/>
      </c>
      <c r="Z888" s="33">
        <f>IF($I888="","",_xlfn.TEXTJOIN(", ",TRUE,$I888:$X888))</f>
        <v/>
      </c>
      <c r="AA888" s="34">
        <f>IF($I888="","",IFERROR(INDEX(코드설정!$D$5:$D$24,MATCH($I888,코드설정!$C$5:$C$24,0)),""))</f>
        <v/>
      </c>
      <c r="AB888" s="36" t="n"/>
      <c r="AC888" s="37" t="n"/>
      <c r="AD888" s="38" t="n"/>
      <c r="AE888" s="30">
        <f>IF(OR($B888="",$C888=""),"",$C888-$B888+1)</f>
        <v/>
      </c>
      <c r="AF888" s="32" t="n"/>
      <c r="AG888" s="36" t="n"/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3">
        <f>IF($F889="","",IFERROR(INDEX(사건마스터!$B$5:$B$64,MATCH($F889,사건마스터!$A$5:$A$64,0)),""))</f>
        <v/>
      </c>
      <c r="H889" s="34">
        <f>IF($F889="","",IFERROR(INDEX(사건마스터!$C$5:$C$64,MATCH($F889,사건마스터!$A$5:$A$64,0)),""))</f>
        <v/>
      </c>
      <c r="I889" s="35">
        <f>IF($F889="","",IFERROR(INDEX(사건마스터!$H$5:$H$64,MATCH($F889,사건마스터!$A$5:$A$64,0)),""))</f>
        <v/>
      </c>
      <c r="J889" s="35">
        <f>IF($F889="","",IFERROR(INDEX(사건마스터!$AH$5:$AH$64,MATCH($F889,사건마스터!$A$5:$A$64,0)),""))</f>
        <v/>
      </c>
      <c r="K889" s="35">
        <f>IF($F889="","",IFERROR(INDEX(사건마스터!$AI$5:$AI$64,MATCH($F889,사건마스터!$A$5:$A$64,0)),""))</f>
        <v/>
      </c>
      <c r="L889" s="35">
        <f>IF($F889="","",IFERROR(INDEX(사건마스터!$AJ$5:$AJ$64,MATCH($F889,사건마스터!$A$5:$A$64,0)),""))</f>
        <v/>
      </c>
      <c r="M889" s="35">
        <f>IF($F889="","",IFERROR(INDEX(사건마스터!$AK$5:$AK$64,MATCH($F889,사건마스터!$A$5:$A$64,0)),""))</f>
        <v/>
      </c>
      <c r="N889" s="35">
        <f>IF($F889="","",IFERROR(INDEX(사건마스터!$AL$5:$AL$64,MATCH($F889,사건마스터!$A$5:$A$64,0)),""))</f>
        <v/>
      </c>
      <c r="O889" s="35">
        <f>IF($F889="","",IFERROR(INDEX(사건마스터!$AM$5:$AM$64,MATCH($F889,사건마스터!$A$5:$A$64,0)),""))</f>
        <v/>
      </c>
      <c r="P889" s="35">
        <f>IF($F889="","",IFERROR(INDEX(사건마스터!$AN$5:$AN$64,MATCH($F889,사건마스터!$A$5:$A$64,0)),""))</f>
        <v/>
      </c>
      <c r="Q889" s="35">
        <f>IF($F889="","",IFERROR(INDEX(사건마스터!$AO$5:$AO$64,MATCH($F889,사건마스터!$A$5:$A$64,0)),""))</f>
        <v/>
      </c>
      <c r="R889" s="35">
        <f>IF($F889="","",IFERROR(INDEX(사건마스터!$AP$5:$AP$64,MATCH($F889,사건마스터!$A$5:$A$64,0)),""))</f>
        <v/>
      </c>
      <c r="S889" s="35">
        <f>IF($F889="","",IFERROR(INDEX(사건마스터!$AQ$5:$AQ$64,MATCH($F889,사건마스터!$A$5:$A$64,0)),""))</f>
        <v/>
      </c>
      <c r="T889" s="35">
        <f>IF($F889="","",IFERROR(INDEX(사건마스터!$AR$5:$AR$64,MATCH($F889,사건마스터!$A$5:$A$64,0)),""))</f>
        <v/>
      </c>
      <c r="U889" s="35">
        <f>IF($F889="","",IFERROR(INDEX(사건마스터!$AS$5:$AS$64,MATCH($F889,사건마스터!$A$5:$A$64,0)),""))</f>
        <v/>
      </c>
      <c r="V889" s="35">
        <f>IF($F889="","",IFERROR(INDEX(사건마스터!$AT$5:$AT$64,MATCH($F889,사건마스터!$A$5:$A$64,0)),""))</f>
        <v/>
      </c>
      <c r="W889" s="35">
        <f>IF($F889="","",IFERROR(INDEX(사건마스터!$AU$5:$AU$64,MATCH($F889,사건마스터!$A$5:$A$64,0)),""))</f>
        <v/>
      </c>
      <c r="X889" s="35">
        <f>IF($F889="","",IFERROR(INDEX(사건마스터!$AV$5:$AV$64,MATCH($F889,사건마스터!$A$5:$A$64,0)),""))</f>
        <v/>
      </c>
      <c r="Y889" s="30">
        <f>IF($I889="","",COUNTIF($I889:$X889,"?*"))</f>
        <v/>
      </c>
      <c r="Z889" s="33">
        <f>IF($I889="","",_xlfn.TEXTJOIN(", ",TRUE,$I889:$X889))</f>
        <v/>
      </c>
      <c r="AA889" s="34">
        <f>IF($I889="","",IFERROR(INDEX(코드설정!$D$5:$D$24,MATCH($I889,코드설정!$C$5:$C$24,0)),""))</f>
        <v/>
      </c>
      <c r="AB889" s="36" t="n"/>
      <c r="AC889" s="37" t="n"/>
      <c r="AD889" s="38" t="n"/>
      <c r="AE889" s="30">
        <f>IF(OR($B889="",$C889=""),"",$C889-$B889+1)</f>
        <v/>
      </c>
      <c r="AF889" s="32" t="n"/>
      <c r="AG889" s="36" t="n"/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3">
        <f>IF($F890="","",IFERROR(INDEX(사건마스터!$B$5:$B$64,MATCH($F890,사건마스터!$A$5:$A$64,0)),""))</f>
        <v/>
      </c>
      <c r="H890" s="34">
        <f>IF($F890="","",IFERROR(INDEX(사건마스터!$C$5:$C$64,MATCH($F890,사건마스터!$A$5:$A$64,0)),""))</f>
        <v/>
      </c>
      <c r="I890" s="35">
        <f>IF($F890="","",IFERROR(INDEX(사건마스터!$H$5:$H$64,MATCH($F890,사건마스터!$A$5:$A$64,0)),""))</f>
        <v/>
      </c>
      <c r="J890" s="35">
        <f>IF($F890="","",IFERROR(INDEX(사건마스터!$AH$5:$AH$64,MATCH($F890,사건마스터!$A$5:$A$64,0)),""))</f>
        <v/>
      </c>
      <c r="K890" s="35">
        <f>IF($F890="","",IFERROR(INDEX(사건마스터!$AI$5:$AI$64,MATCH($F890,사건마스터!$A$5:$A$64,0)),""))</f>
        <v/>
      </c>
      <c r="L890" s="35">
        <f>IF($F890="","",IFERROR(INDEX(사건마스터!$AJ$5:$AJ$64,MATCH($F890,사건마스터!$A$5:$A$64,0)),""))</f>
        <v/>
      </c>
      <c r="M890" s="35">
        <f>IF($F890="","",IFERROR(INDEX(사건마스터!$AK$5:$AK$64,MATCH($F890,사건마스터!$A$5:$A$64,0)),""))</f>
        <v/>
      </c>
      <c r="N890" s="35">
        <f>IF($F890="","",IFERROR(INDEX(사건마스터!$AL$5:$AL$64,MATCH($F890,사건마스터!$A$5:$A$64,0)),""))</f>
        <v/>
      </c>
      <c r="O890" s="35">
        <f>IF($F890="","",IFERROR(INDEX(사건마스터!$AM$5:$AM$64,MATCH($F890,사건마스터!$A$5:$A$64,0)),""))</f>
        <v/>
      </c>
      <c r="P890" s="35">
        <f>IF($F890="","",IFERROR(INDEX(사건마스터!$AN$5:$AN$64,MATCH($F890,사건마스터!$A$5:$A$64,0)),""))</f>
        <v/>
      </c>
      <c r="Q890" s="35">
        <f>IF($F890="","",IFERROR(INDEX(사건마스터!$AO$5:$AO$64,MATCH($F890,사건마스터!$A$5:$A$64,0)),""))</f>
        <v/>
      </c>
      <c r="R890" s="35">
        <f>IF($F890="","",IFERROR(INDEX(사건마스터!$AP$5:$AP$64,MATCH($F890,사건마스터!$A$5:$A$64,0)),""))</f>
        <v/>
      </c>
      <c r="S890" s="35">
        <f>IF($F890="","",IFERROR(INDEX(사건마스터!$AQ$5:$AQ$64,MATCH($F890,사건마스터!$A$5:$A$64,0)),""))</f>
        <v/>
      </c>
      <c r="T890" s="35">
        <f>IF($F890="","",IFERROR(INDEX(사건마스터!$AR$5:$AR$64,MATCH($F890,사건마스터!$A$5:$A$64,0)),""))</f>
        <v/>
      </c>
      <c r="U890" s="35">
        <f>IF($F890="","",IFERROR(INDEX(사건마스터!$AS$5:$AS$64,MATCH($F890,사건마스터!$A$5:$A$64,0)),""))</f>
        <v/>
      </c>
      <c r="V890" s="35">
        <f>IF($F890="","",IFERROR(INDEX(사건마스터!$AT$5:$AT$64,MATCH($F890,사건마스터!$A$5:$A$64,0)),""))</f>
        <v/>
      </c>
      <c r="W890" s="35">
        <f>IF($F890="","",IFERROR(INDEX(사건마스터!$AU$5:$AU$64,MATCH($F890,사건마스터!$A$5:$A$64,0)),""))</f>
        <v/>
      </c>
      <c r="X890" s="35">
        <f>IF($F890="","",IFERROR(INDEX(사건마스터!$AV$5:$AV$64,MATCH($F890,사건마스터!$A$5:$A$64,0)),""))</f>
        <v/>
      </c>
      <c r="Y890" s="30">
        <f>IF($I890="","",COUNTIF($I890:$X890,"?*"))</f>
        <v/>
      </c>
      <c r="Z890" s="33">
        <f>IF($I890="","",_xlfn.TEXTJOIN(", ",TRUE,$I890:$X890))</f>
        <v/>
      </c>
      <c r="AA890" s="34">
        <f>IF($I890="","",IFERROR(INDEX(코드설정!$D$5:$D$24,MATCH($I890,코드설정!$C$5:$C$24,0)),""))</f>
        <v/>
      </c>
      <c r="AB890" s="36" t="n"/>
      <c r="AC890" s="37" t="n"/>
      <c r="AD890" s="38" t="n"/>
      <c r="AE890" s="30">
        <f>IF(OR($B890="",$C890=""),"",$C890-$B890+1)</f>
        <v/>
      </c>
      <c r="AF890" s="32" t="n"/>
      <c r="AG890" s="36" t="n"/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3">
        <f>IF($F891="","",IFERROR(INDEX(사건마스터!$B$5:$B$64,MATCH($F891,사건마스터!$A$5:$A$64,0)),""))</f>
        <v/>
      </c>
      <c r="H891" s="34">
        <f>IF($F891="","",IFERROR(INDEX(사건마스터!$C$5:$C$64,MATCH($F891,사건마스터!$A$5:$A$64,0)),""))</f>
        <v/>
      </c>
      <c r="I891" s="35">
        <f>IF($F891="","",IFERROR(INDEX(사건마스터!$H$5:$H$64,MATCH($F891,사건마스터!$A$5:$A$64,0)),""))</f>
        <v/>
      </c>
      <c r="J891" s="35">
        <f>IF($F891="","",IFERROR(INDEX(사건마스터!$AH$5:$AH$64,MATCH($F891,사건마스터!$A$5:$A$64,0)),""))</f>
        <v/>
      </c>
      <c r="K891" s="35">
        <f>IF($F891="","",IFERROR(INDEX(사건마스터!$AI$5:$AI$64,MATCH($F891,사건마스터!$A$5:$A$64,0)),""))</f>
        <v/>
      </c>
      <c r="L891" s="35">
        <f>IF($F891="","",IFERROR(INDEX(사건마스터!$AJ$5:$AJ$64,MATCH($F891,사건마스터!$A$5:$A$64,0)),""))</f>
        <v/>
      </c>
      <c r="M891" s="35">
        <f>IF($F891="","",IFERROR(INDEX(사건마스터!$AK$5:$AK$64,MATCH($F891,사건마스터!$A$5:$A$64,0)),""))</f>
        <v/>
      </c>
      <c r="N891" s="35">
        <f>IF($F891="","",IFERROR(INDEX(사건마스터!$AL$5:$AL$64,MATCH($F891,사건마스터!$A$5:$A$64,0)),""))</f>
        <v/>
      </c>
      <c r="O891" s="35">
        <f>IF($F891="","",IFERROR(INDEX(사건마스터!$AM$5:$AM$64,MATCH($F891,사건마스터!$A$5:$A$64,0)),""))</f>
        <v/>
      </c>
      <c r="P891" s="35">
        <f>IF($F891="","",IFERROR(INDEX(사건마스터!$AN$5:$AN$64,MATCH($F891,사건마스터!$A$5:$A$64,0)),""))</f>
        <v/>
      </c>
      <c r="Q891" s="35">
        <f>IF($F891="","",IFERROR(INDEX(사건마스터!$AO$5:$AO$64,MATCH($F891,사건마스터!$A$5:$A$64,0)),""))</f>
        <v/>
      </c>
      <c r="R891" s="35">
        <f>IF($F891="","",IFERROR(INDEX(사건마스터!$AP$5:$AP$64,MATCH($F891,사건마스터!$A$5:$A$64,0)),""))</f>
        <v/>
      </c>
      <c r="S891" s="35">
        <f>IF($F891="","",IFERROR(INDEX(사건마스터!$AQ$5:$AQ$64,MATCH($F891,사건마스터!$A$5:$A$64,0)),""))</f>
        <v/>
      </c>
      <c r="T891" s="35">
        <f>IF($F891="","",IFERROR(INDEX(사건마스터!$AR$5:$AR$64,MATCH($F891,사건마스터!$A$5:$A$64,0)),""))</f>
        <v/>
      </c>
      <c r="U891" s="35">
        <f>IF($F891="","",IFERROR(INDEX(사건마스터!$AS$5:$AS$64,MATCH($F891,사건마스터!$A$5:$A$64,0)),""))</f>
        <v/>
      </c>
      <c r="V891" s="35">
        <f>IF($F891="","",IFERROR(INDEX(사건마스터!$AT$5:$AT$64,MATCH($F891,사건마스터!$A$5:$A$64,0)),""))</f>
        <v/>
      </c>
      <c r="W891" s="35">
        <f>IF($F891="","",IFERROR(INDEX(사건마스터!$AU$5:$AU$64,MATCH($F891,사건마스터!$A$5:$A$64,0)),""))</f>
        <v/>
      </c>
      <c r="X891" s="35">
        <f>IF($F891="","",IFERROR(INDEX(사건마스터!$AV$5:$AV$64,MATCH($F891,사건마스터!$A$5:$A$64,0)),""))</f>
        <v/>
      </c>
      <c r="Y891" s="30">
        <f>IF($I891="","",COUNTIF($I891:$X891,"?*"))</f>
        <v/>
      </c>
      <c r="Z891" s="33">
        <f>IF($I891="","",_xlfn.TEXTJOIN(", ",TRUE,$I891:$X891))</f>
        <v/>
      </c>
      <c r="AA891" s="34">
        <f>IF($I891="","",IFERROR(INDEX(코드설정!$D$5:$D$24,MATCH($I891,코드설정!$C$5:$C$24,0)),""))</f>
        <v/>
      </c>
      <c r="AB891" s="36" t="n"/>
      <c r="AC891" s="37" t="n"/>
      <c r="AD891" s="38" t="n"/>
      <c r="AE891" s="30">
        <f>IF(OR($B891="",$C891=""),"",$C891-$B891+1)</f>
        <v/>
      </c>
      <c r="AF891" s="32" t="n"/>
      <c r="AG891" s="36" t="n"/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3">
        <f>IF($F892="","",IFERROR(INDEX(사건마스터!$B$5:$B$64,MATCH($F892,사건마스터!$A$5:$A$64,0)),""))</f>
        <v/>
      </c>
      <c r="H892" s="34">
        <f>IF($F892="","",IFERROR(INDEX(사건마스터!$C$5:$C$64,MATCH($F892,사건마스터!$A$5:$A$64,0)),""))</f>
        <v/>
      </c>
      <c r="I892" s="35">
        <f>IF($F892="","",IFERROR(INDEX(사건마스터!$H$5:$H$64,MATCH($F892,사건마스터!$A$5:$A$64,0)),""))</f>
        <v/>
      </c>
      <c r="J892" s="35">
        <f>IF($F892="","",IFERROR(INDEX(사건마스터!$AH$5:$AH$64,MATCH($F892,사건마스터!$A$5:$A$64,0)),""))</f>
        <v/>
      </c>
      <c r="K892" s="35">
        <f>IF($F892="","",IFERROR(INDEX(사건마스터!$AI$5:$AI$64,MATCH($F892,사건마스터!$A$5:$A$64,0)),""))</f>
        <v/>
      </c>
      <c r="L892" s="35">
        <f>IF($F892="","",IFERROR(INDEX(사건마스터!$AJ$5:$AJ$64,MATCH($F892,사건마스터!$A$5:$A$64,0)),""))</f>
        <v/>
      </c>
      <c r="M892" s="35">
        <f>IF($F892="","",IFERROR(INDEX(사건마스터!$AK$5:$AK$64,MATCH($F892,사건마스터!$A$5:$A$64,0)),""))</f>
        <v/>
      </c>
      <c r="N892" s="35">
        <f>IF($F892="","",IFERROR(INDEX(사건마스터!$AL$5:$AL$64,MATCH($F892,사건마스터!$A$5:$A$64,0)),""))</f>
        <v/>
      </c>
      <c r="O892" s="35">
        <f>IF($F892="","",IFERROR(INDEX(사건마스터!$AM$5:$AM$64,MATCH($F892,사건마스터!$A$5:$A$64,0)),""))</f>
        <v/>
      </c>
      <c r="P892" s="35">
        <f>IF($F892="","",IFERROR(INDEX(사건마스터!$AN$5:$AN$64,MATCH($F892,사건마스터!$A$5:$A$64,0)),""))</f>
        <v/>
      </c>
      <c r="Q892" s="35">
        <f>IF($F892="","",IFERROR(INDEX(사건마스터!$AO$5:$AO$64,MATCH($F892,사건마스터!$A$5:$A$64,0)),""))</f>
        <v/>
      </c>
      <c r="R892" s="35">
        <f>IF($F892="","",IFERROR(INDEX(사건마스터!$AP$5:$AP$64,MATCH($F892,사건마스터!$A$5:$A$64,0)),""))</f>
        <v/>
      </c>
      <c r="S892" s="35">
        <f>IF($F892="","",IFERROR(INDEX(사건마스터!$AQ$5:$AQ$64,MATCH($F892,사건마스터!$A$5:$A$64,0)),""))</f>
        <v/>
      </c>
      <c r="T892" s="35">
        <f>IF($F892="","",IFERROR(INDEX(사건마스터!$AR$5:$AR$64,MATCH($F892,사건마스터!$A$5:$A$64,0)),""))</f>
        <v/>
      </c>
      <c r="U892" s="35">
        <f>IF($F892="","",IFERROR(INDEX(사건마스터!$AS$5:$AS$64,MATCH($F892,사건마스터!$A$5:$A$64,0)),""))</f>
        <v/>
      </c>
      <c r="V892" s="35">
        <f>IF($F892="","",IFERROR(INDEX(사건마스터!$AT$5:$AT$64,MATCH($F892,사건마스터!$A$5:$A$64,0)),""))</f>
        <v/>
      </c>
      <c r="W892" s="35">
        <f>IF($F892="","",IFERROR(INDEX(사건마스터!$AU$5:$AU$64,MATCH($F892,사건마스터!$A$5:$A$64,0)),""))</f>
        <v/>
      </c>
      <c r="X892" s="35">
        <f>IF($F892="","",IFERROR(INDEX(사건마스터!$AV$5:$AV$64,MATCH($F892,사건마스터!$A$5:$A$64,0)),""))</f>
        <v/>
      </c>
      <c r="Y892" s="30">
        <f>IF($I892="","",COUNTIF($I892:$X892,"?*"))</f>
        <v/>
      </c>
      <c r="Z892" s="33">
        <f>IF($I892="","",_xlfn.TEXTJOIN(", ",TRUE,$I892:$X892))</f>
        <v/>
      </c>
      <c r="AA892" s="34">
        <f>IF($I892="","",IFERROR(INDEX(코드설정!$D$5:$D$24,MATCH($I892,코드설정!$C$5:$C$24,0)),""))</f>
        <v/>
      </c>
      <c r="AB892" s="36" t="n"/>
      <c r="AC892" s="37" t="n"/>
      <c r="AD892" s="38" t="n"/>
      <c r="AE892" s="30">
        <f>IF(OR($B892="",$C892=""),"",$C892-$B892+1)</f>
        <v/>
      </c>
      <c r="AF892" s="32" t="n"/>
      <c r="AG892" s="36" t="n"/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3">
        <f>IF($F893="","",IFERROR(INDEX(사건마스터!$B$5:$B$64,MATCH($F893,사건마스터!$A$5:$A$64,0)),""))</f>
        <v/>
      </c>
      <c r="H893" s="34">
        <f>IF($F893="","",IFERROR(INDEX(사건마스터!$C$5:$C$64,MATCH($F893,사건마스터!$A$5:$A$64,0)),""))</f>
        <v/>
      </c>
      <c r="I893" s="35">
        <f>IF($F893="","",IFERROR(INDEX(사건마스터!$H$5:$H$64,MATCH($F893,사건마스터!$A$5:$A$64,0)),""))</f>
        <v/>
      </c>
      <c r="J893" s="35">
        <f>IF($F893="","",IFERROR(INDEX(사건마스터!$AH$5:$AH$64,MATCH($F893,사건마스터!$A$5:$A$64,0)),""))</f>
        <v/>
      </c>
      <c r="K893" s="35">
        <f>IF($F893="","",IFERROR(INDEX(사건마스터!$AI$5:$AI$64,MATCH($F893,사건마스터!$A$5:$A$64,0)),""))</f>
        <v/>
      </c>
      <c r="L893" s="35">
        <f>IF($F893="","",IFERROR(INDEX(사건마스터!$AJ$5:$AJ$64,MATCH($F893,사건마스터!$A$5:$A$64,0)),""))</f>
        <v/>
      </c>
      <c r="M893" s="35">
        <f>IF($F893="","",IFERROR(INDEX(사건마스터!$AK$5:$AK$64,MATCH($F893,사건마스터!$A$5:$A$64,0)),""))</f>
        <v/>
      </c>
      <c r="N893" s="35">
        <f>IF($F893="","",IFERROR(INDEX(사건마스터!$AL$5:$AL$64,MATCH($F893,사건마스터!$A$5:$A$64,0)),""))</f>
        <v/>
      </c>
      <c r="O893" s="35">
        <f>IF($F893="","",IFERROR(INDEX(사건마스터!$AM$5:$AM$64,MATCH($F893,사건마스터!$A$5:$A$64,0)),""))</f>
        <v/>
      </c>
      <c r="P893" s="35">
        <f>IF($F893="","",IFERROR(INDEX(사건마스터!$AN$5:$AN$64,MATCH($F893,사건마스터!$A$5:$A$64,0)),""))</f>
        <v/>
      </c>
      <c r="Q893" s="35">
        <f>IF($F893="","",IFERROR(INDEX(사건마스터!$AO$5:$AO$64,MATCH($F893,사건마스터!$A$5:$A$64,0)),""))</f>
        <v/>
      </c>
      <c r="R893" s="35">
        <f>IF($F893="","",IFERROR(INDEX(사건마스터!$AP$5:$AP$64,MATCH($F893,사건마스터!$A$5:$A$64,0)),""))</f>
        <v/>
      </c>
      <c r="S893" s="35">
        <f>IF($F893="","",IFERROR(INDEX(사건마스터!$AQ$5:$AQ$64,MATCH($F893,사건마스터!$A$5:$A$64,0)),""))</f>
        <v/>
      </c>
      <c r="T893" s="35">
        <f>IF($F893="","",IFERROR(INDEX(사건마스터!$AR$5:$AR$64,MATCH($F893,사건마스터!$A$5:$A$64,0)),""))</f>
        <v/>
      </c>
      <c r="U893" s="35">
        <f>IF($F893="","",IFERROR(INDEX(사건마스터!$AS$5:$AS$64,MATCH($F893,사건마스터!$A$5:$A$64,0)),""))</f>
        <v/>
      </c>
      <c r="V893" s="35">
        <f>IF($F893="","",IFERROR(INDEX(사건마스터!$AT$5:$AT$64,MATCH($F893,사건마스터!$A$5:$A$64,0)),""))</f>
        <v/>
      </c>
      <c r="W893" s="35">
        <f>IF($F893="","",IFERROR(INDEX(사건마스터!$AU$5:$AU$64,MATCH($F893,사건마스터!$A$5:$A$64,0)),""))</f>
        <v/>
      </c>
      <c r="X893" s="35">
        <f>IF($F893="","",IFERROR(INDEX(사건마스터!$AV$5:$AV$64,MATCH($F893,사건마스터!$A$5:$A$64,0)),""))</f>
        <v/>
      </c>
      <c r="Y893" s="30">
        <f>IF($I893="","",COUNTIF($I893:$X893,"?*"))</f>
        <v/>
      </c>
      <c r="Z893" s="33">
        <f>IF($I893="","",_xlfn.TEXTJOIN(", ",TRUE,$I893:$X893))</f>
        <v/>
      </c>
      <c r="AA893" s="34">
        <f>IF($I893="","",IFERROR(INDEX(코드설정!$D$5:$D$24,MATCH($I893,코드설정!$C$5:$C$24,0)),""))</f>
        <v/>
      </c>
      <c r="AB893" s="36" t="n"/>
      <c r="AC893" s="37" t="n"/>
      <c r="AD893" s="38" t="n"/>
      <c r="AE893" s="30">
        <f>IF(OR($B893="",$C893=""),"",$C893-$B893+1)</f>
        <v/>
      </c>
      <c r="AF893" s="32" t="n"/>
      <c r="AG893" s="36" t="n"/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3">
        <f>IF($F894="","",IFERROR(INDEX(사건마스터!$B$5:$B$64,MATCH($F894,사건마스터!$A$5:$A$64,0)),""))</f>
        <v/>
      </c>
      <c r="H894" s="34">
        <f>IF($F894="","",IFERROR(INDEX(사건마스터!$C$5:$C$64,MATCH($F894,사건마스터!$A$5:$A$64,0)),""))</f>
        <v/>
      </c>
      <c r="I894" s="35">
        <f>IF($F894="","",IFERROR(INDEX(사건마스터!$H$5:$H$64,MATCH($F894,사건마스터!$A$5:$A$64,0)),""))</f>
        <v/>
      </c>
      <c r="J894" s="35">
        <f>IF($F894="","",IFERROR(INDEX(사건마스터!$AH$5:$AH$64,MATCH($F894,사건마스터!$A$5:$A$64,0)),""))</f>
        <v/>
      </c>
      <c r="K894" s="35">
        <f>IF($F894="","",IFERROR(INDEX(사건마스터!$AI$5:$AI$64,MATCH($F894,사건마스터!$A$5:$A$64,0)),""))</f>
        <v/>
      </c>
      <c r="L894" s="35">
        <f>IF($F894="","",IFERROR(INDEX(사건마스터!$AJ$5:$AJ$64,MATCH($F894,사건마스터!$A$5:$A$64,0)),""))</f>
        <v/>
      </c>
      <c r="M894" s="35">
        <f>IF($F894="","",IFERROR(INDEX(사건마스터!$AK$5:$AK$64,MATCH($F894,사건마스터!$A$5:$A$64,0)),""))</f>
        <v/>
      </c>
      <c r="N894" s="35">
        <f>IF($F894="","",IFERROR(INDEX(사건마스터!$AL$5:$AL$64,MATCH($F894,사건마스터!$A$5:$A$64,0)),""))</f>
        <v/>
      </c>
      <c r="O894" s="35">
        <f>IF($F894="","",IFERROR(INDEX(사건마스터!$AM$5:$AM$64,MATCH($F894,사건마스터!$A$5:$A$64,0)),""))</f>
        <v/>
      </c>
      <c r="P894" s="35">
        <f>IF($F894="","",IFERROR(INDEX(사건마스터!$AN$5:$AN$64,MATCH($F894,사건마스터!$A$5:$A$64,0)),""))</f>
        <v/>
      </c>
      <c r="Q894" s="35">
        <f>IF($F894="","",IFERROR(INDEX(사건마스터!$AO$5:$AO$64,MATCH($F894,사건마스터!$A$5:$A$64,0)),""))</f>
        <v/>
      </c>
      <c r="R894" s="35">
        <f>IF($F894="","",IFERROR(INDEX(사건마스터!$AP$5:$AP$64,MATCH($F894,사건마스터!$A$5:$A$64,0)),""))</f>
        <v/>
      </c>
      <c r="S894" s="35">
        <f>IF($F894="","",IFERROR(INDEX(사건마스터!$AQ$5:$AQ$64,MATCH($F894,사건마스터!$A$5:$A$64,0)),""))</f>
        <v/>
      </c>
      <c r="T894" s="35">
        <f>IF($F894="","",IFERROR(INDEX(사건마스터!$AR$5:$AR$64,MATCH($F894,사건마스터!$A$5:$A$64,0)),""))</f>
        <v/>
      </c>
      <c r="U894" s="35">
        <f>IF($F894="","",IFERROR(INDEX(사건마스터!$AS$5:$AS$64,MATCH($F894,사건마스터!$A$5:$A$64,0)),""))</f>
        <v/>
      </c>
      <c r="V894" s="35">
        <f>IF($F894="","",IFERROR(INDEX(사건마스터!$AT$5:$AT$64,MATCH($F894,사건마스터!$A$5:$A$64,0)),""))</f>
        <v/>
      </c>
      <c r="W894" s="35">
        <f>IF($F894="","",IFERROR(INDEX(사건마스터!$AU$5:$AU$64,MATCH($F894,사건마스터!$A$5:$A$64,0)),""))</f>
        <v/>
      </c>
      <c r="X894" s="35">
        <f>IF($F894="","",IFERROR(INDEX(사건마스터!$AV$5:$AV$64,MATCH($F894,사건마스터!$A$5:$A$64,0)),""))</f>
        <v/>
      </c>
      <c r="Y894" s="30">
        <f>IF($I894="","",COUNTIF($I894:$X894,"?*"))</f>
        <v/>
      </c>
      <c r="Z894" s="33">
        <f>IF($I894="","",_xlfn.TEXTJOIN(", ",TRUE,$I894:$X894))</f>
        <v/>
      </c>
      <c r="AA894" s="34">
        <f>IF($I894="","",IFERROR(INDEX(코드설정!$D$5:$D$24,MATCH($I894,코드설정!$C$5:$C$24,0)),""))</f>
        <v/>
      </c>
      <c r="AB894" s="36" t="n"/>
      <c r="AC894" s="37" t="n"/>
      <c r="AD894" s="38" t="n"/>
      <c r="AE894" s="30">
        <f>IF(OR($B894="",$C894=""),"",$C894-$B894+1)</f>
        <v/>
      </c>
      <c r="AF894" s="32" t="n"/>
      <c r="AG894" s="36" t="n"/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3">
        <f>IF($F895="","",IFERROR(INDEX(사건마스터!$B$5:$B$64,MATCH($F895,사건마스터!$A$5:$A$64,0)),""))</f>
        <v/>
      </c>
      <c r="H895" s="34">
        <f>IF($F895="","",IFERROR(INDEX(사건마스터!$C$5:$C$64,MATCH($F895,사건마스터!$A$5:$A$64,0)),""))</f>
        <v/>
      </c>
      <c r="I895" s="35">
        <f>IF($F895="","",IFERROR(INDEX(사건마스터!$H$5:$H$64,MATCH($F895,사건마스터!$A$5:$A$64,0)),""))</f>
        <v/>
      </c>
      <c r="J895" s="35">
        <f>IF($F895="","",IFERROR(INDEX(사건마스터!$AH$5:$AH$64,MATCH($F895,사건마스터!$A$5:$A$64,0)),""))</f>
        <v/>
      </c>
      <c r="K895" s="35">
        <f>IF($F895="","",IFERROR(INDEX(사건마스터!$AI$5:$AI$64,MATCH($F895,사건마스터!$A$5:$A$64,0)),""))</f>
        <v/>
      </c>
      <c r="L895" s="35">
        <f>IF($F895="","",IFERROR(INDEX(사건마스터!$AJ$5:$AJ$64,MATCH($F895,사건마스터!$A$5:$A$64,0)),""))</f>
        <v/>
      </c>
      <c r="M895" s="35">
        <f>IF($F895="","",IFERROR(INDEX(사건마스터!$AK$5:$AK$64,MATCH($F895,사건마스터!$A$5:$A$64,0)),""))</f>
        <v/>
      </c>
      <c r="N895" s="35">
        <f>IF($F895="","",IFERROR(INDEX(사건마스터!$AL$5:$AL$64,MATCH($F895,사건마스터!$A$5:$A$64,0)),""))</f>
        <v/>
      </c>
      <c r="O895" s="35">
        <f>IF($F895="","",IFERROR(INDEX(사건마스터!$AM$5:$AM$64,MATCH($F895,사건마스터!$A$5:$A$64,0)),""))</f>
        <v/>
      </c>
      <c r="P895" s="35">
        <f>IF($F895="","",IFERROR(INDEX(사건마스터!$AN$5:$AN$64,MATCH($F895,사건마스터!$A$5:$A$64,0)),""))</f>
        <v/>
      </c>
      <c r="Q895" s="35">
        <f>IF($F895="","",IFERROR(INDEX(사건마스터!$AO$5:$AO$64,MATCH($F895,사건마스터!$A$5:$A$64,0)),""))</f>
        <v/>
      </c>
      <c r="R895" s="35">
        <f>IF($F895="","",IFERROR(INDEX(사건마스터!$AP$5:$AP$64,MATCH($F895,사건마스터!$A$5:$A$64,0)),""))</f>
        <v/>
      </c>
      <c r="S895" s="35">
        <f>IF($F895="","",IFERROR(INDEX(사건마스터!$AQ$5:$AQ$64,MATCH($F895,사건마스터!$A$5:$A$64,0)),""))</f>
        <v/>
      </c>
      <c r="T895" s="35">
        <f>IF($F895="","",IFERROR(INDEX(사건마스터!$AR$5:$AR$64,MATCH($F895,사건마스터!$A$5:$A$64,0)),""))</f>
        <v/>
      </c>
      <c r="U895" s="35">
        <f>IF($F895="","",IFERROR(INDEX(사건마스터!$AS$5:$AS$64,MATCH($F895,사건마스터!$A$5:$A$64,0)),""))</f>
        <v/>
      </c>
      <c r="V895" s="35">
        <f>IF($F895="","",IFERROR(INDEX(사건마스터!$AT$5:$AT$64,MATCH($F895,사건마스터!$A$5:$A$64,0)),""))</f>
        <v/>
      </c>
      <c r="W895" s="35">
        <f>IF($F895="","",IFERROR(INDEX(사건마스터!$AU$5:$AU$64,MATCH($F895,사건마스터!$A$5:$A$64,0)),""))</f>
        <v/>
      </c>
      <c r="X895" s="35">
        <f>IF($F895="","",IFERROR(INDEX(사건마스터!$AV$5:$AV$64,MATCH($F895,사건마스터!$A$5:$A$64,0)),""))</f>
        <v/>
      </c>
      <c r="Y895" s="30">
        <f>IF($I895="","",COUNTIF($I895:$X895,"?*"))</f>
        <v/>
      </c>
      <c r="Z895" s="33">
        <f>IF($I895="","",_xlfn.TEXTJOIN(", ",TRUE,$I895:$X895))</f>
        <v/>
      </c>
      <c r="AA895" s="34">
        <f>IF($I895="","",IFERROR(INDEX(코드설정!$D$5:$D$24,MATCH($I895,코드설정!$C$5:$C$24,0)),""))</f>
        <v/>
      </c>
      <c r="AB895" s="36" t="n"/>
      <c r="AC895" s="37" t="n"/>
      <c r="AD895" s="38" t="n"/>
      <c r="AE895" s="30">
        <f>IF(OR($B895="",$C895=""),"",$C895-$B895+1)</f>
        <v/>
      </c>
      <c r="AF895" s="32" t="n"/>
      <c r="AG895" s="36" t="n"/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3">
        <f>IF($F896="","",IFERROR(INDEX(사건마스터!$B$5:$B$64,MATCH($F896,사건마스터!$A$5:$A$64,0)),""))</f>
        <v/>
      </c>
      <c r="H896" s="34">
        <f>IF($F896="","",IFERROR(INDEX(사건마스터!$C$5:$C$64,MATCH($F896,사건마스터!$A$5:$A$64,0)),""))</f>
        <v/>
      </c>
      <c r="I896" s="35">
        <f>IF($F896="","",IFERROR(INDEX(사건마스터!$H$5:$H$64,MATCH($F896,사건마스터!$A$5:$A$64,0)),""))</f>
        <v/>
      </c>
      <c r="J896" s="35">
        <f>IF($F896="","",IFERROR(INDEX(사건마스터!$AH$5:$AH$64,MATCH($F896,사건마스터!$A$5:$A$64,0)),""))</f>
        <v/>
      </c>
      <c r="K896" s="35">
        <f>IF($F896="","",IFERROR(INDEX(사건마스터!$AI$5:$AI$64,MATCH($F896,사건마스터!$A$5:$A$64,0)),""))</f>
        <v/>
      </c>
      <c r="L896" s="35">
        <f>IF($F896="","",IFERROR(INDEX(사건마스터!$AJ$5:$AJ$64,MATCH($F896,사건마스터!$A$5:$A$64,0)),""))</f>
        <v/>
      </c>
      <c r="M896" s="35">
        <f>IF($F896="","",IFERROR(INDEX(사건마스터!$AK$5:$AK$64,MATCH($F896,사건마스터!$A$5:$A$64,0)),""))</f>
        <v/>
      </c>
      <c r="N896" s="35">
        <f>IF($F896="","",IFERROR(INDEX(사건마스터!$AL$5:$AL$64,MATCH($F896,사건마스터!$A$5:$A$64,0)),""))</f>
        <v/>
      </c>
      <c r="O896" s="35">
        <f>IF($F896="","",IFERROR(INDEX(사건마스터!$AM$5:$AM$64,MATCH($F896,사건마스터!$A$5:$A$64,0)),""))</f>
        <v/>
      </c>
      <c r="P896" s="35">
        <f>IF($F896="","",IFERROR(INDEX(사건마스터!$AN$5:$AN$64,MATCH($F896,사건마스터!$A$5:$A$64,0)),""))</f>
        <v/>
      </c>
      <c r="Q896" s="35">
        <f>IF($F896="","",IFERROR(INDEX(사건마스터!$AO$5:$AO$64,MATCH($F896,사건마스터!$A$5:$A$64,0)),""))</f>
        <v/>
      </c>
      <c r="R896" s="35">
        <f>IF($F896="","",IFERROR(INDEX(사건마스터!$AP$5:$AP$64,MATCH($F896,사건마스터!$A$5:$A$64,0)),""))</f>
        <v/>
      </c>
      <c r="S896" s="35">
        <f>IF($F896="","",IFERROR(INDEX(사건마스터!$AQ$5:$AQ$64,MATCH($F896,사건마스터!$A$5:$A$64,0)),""))</f>
        <v/>
      </c>
      <c r="T896" s="35">
        <f>IF($F896="","",IFERROR(INDEX(사건마스터!$AR$5:$AR$64,MATCH($F896,사건마스터!$A$5:$A$64,0)),""))</f>
        <v/>
      </c>
      <c r="U896" s="35">
        <f>IF($F896="","",IFERROR(INDEX(사건마스터!$AS$5:$AS$64,MATCH($F896,사건마스터!$A$5:$A$64,0)),""))</f>
        <v/>
      </c>
      <c r="V896" s="35">
        <f>IF($F896="","",IFERROR(INDEX(사건마스터!$AT$5:$AT$64,MATCH($F896,사건마스터!$A$5:$A$64,0)),""))</f>
        <v/>
      </c>
      <c r="W896" s="35">
        <f>IF($F896="","",IFERROR(INDEX(사건마스터!$AU$5:$AU$64,MATCH($F896,사건마스터!$A$5:$A$64,0)),""))</f>
        <v/>
      </c>
      <c r="X896" s="35">
        <f>IF($F896="","",IFERROR(INDEX(사건마스터!$AV$5:$AV$64,MATCH($F896,사건마스터!$A$5:$A$64,0)),""))</f>
        <v/>
      </c>
      <c r="Y896" s="30">
        <f>IF($I896="","",COUNTIF($I896:$X896,"?*"))</f>
        <v/>
      </c>
      <c r="Z896" s="33">
        <f>IF($I896="","",_xlfn.TEXTJOIN(", ",TRUE,$I896:$X896))</f>
        <v/>
      </c>
      <c r="AA896" s="34">
        <f>IF($I896="","",IFERROR(INDEX(코드설정!$D$5:$D$24,MATCH($I896,코드설정!$C$5:$C$24,0)),""))</f>
        <v/>
      </c>
      <c r="AB896" s="36" t="n"/>
      <c r="AC896" s="37" t="n"/>
      <c r="AD896" s="38" t="n"/>
      <c r="AE896" s="30">
        <f>IF(OR($B896="",$C896=""),"",$C896-$B896+1)</f>
        <v/>
      </c>
      <c r="AF896" s="32" t="n"/>
      <c r="AG896" s="36" t="n"/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3">
        <f>IF($F897="","",IFERROR(INDEX(사건마스터!$B$5:$B$64,MATCH($F897,사건마스터!$A$5:$A$64,0)),""))</f>
        <v/>
      </c>
      <c r="H897" s="34">
        <f>IF($F897="","",IFERROR(INDEX(사건마스터!$C$5:$C$64,MATCH($F897,사건마스터!$A$5:$A$64,0)),""))</f>
        <v/>
      </c>
      <c r="I897" s="35">
        <f>IF($F897="","",IFERROR(INDEX(사건마스터!$H$5:$H$64,MATCH($F897,사건마스터!$A$5:$A$64,0)),""))</f>
        <v/>
      </c>
      <c r="J897" s="35">
        <f>IF($F897="","",IFERROR(INDEX(사건마스터!$AH$5:$AH$64,MATCH($F897,사건마스터!$A$5:$A$64,0)),""))</f>
        <v/>
      </c>
      <c r="K897" s="35">
        <f>IF($F897="","",IFERROR(INDEX(사건마스터!$AI$5:$AI$64,MATCH($F897,사건마스터!$A$5:$A$64,0)),""))</f>
        <v/>
      </c>
      <c r="L897" s="35">
        <f>IF($F897="","",IFERROR(INDEX(사건마스터!$AJ$5:$AJ$64,MATCH($F897,사건마스터!$A$5:$A$64,0)),""))</f>
        <v/>
      </c>
      <c r="M897" s="35">
        <f>IF($F897="","",IFERROR(INDEX(사건마스터!$AK$5:$AK$64,MATCH($F897,사건마스터!$A$5:$A$64,0)),""))</f>
        <v/>
      </c>
      <c r="N897" s="35">
        <f>IF($F897="","",IFERROR(INDEX(사건마스터!$AL$5:$AL$64,MATCH($F897,사건마스터!$A$5:$A$64,0)),""))</f>
        <v/>
      </c>
      <c r="O897" s="35">
        <f>IF($F897="","",IFERROR(INDEX(사건마스터!$AM$5:$AM$64,MATCH($F897,사건마스터!$A$5:$A$64,0)),""))</f>
        <v/>
      </c>
      <c r="P897" s="35">
        <f>IF($F897="","",IFERROR(INDEX(사건마스터!$AN$5:$AN$64,MATCH($F897,사건마스터!$A$5:$A$64,0)),""))</f>
        <v/>
      </c>
      <c r="Q897" s="35">
        <f>IF($F897="","",IFERROR(INDEX(사건마스터!$AO$5:$AO$64,MATCH($F897,사건마스터!$A$5:$A$64,0)),""))</f>
        <v/>
      </c>
      <c r="R897" s="35">
        <f>IF($F897="","",IFERROR(INDEX(사건마스터!$AP$5:$AP$64,MATCH($F897,사건마스터!$A$5:$A$64,0)),""))</f>
        <v/>
      </c>
      <c r="S897" s="35">
        <f>IF($F897="","",IFERROR(INDEX(사건마스터!$AQ$5:$AQ$64,MATCH($F897,사건마스터!$A$5:$A$64,0)),""))</f>
        <v/>
      </c>
      <c r="T897" s="35">
        <f>IF($F897="","",IFERROR(INDEX(사건마스터!$AR$5:$AR$64,MATCH($F897,사건마스터!$A$5:$A$64,0)),""))</f>
        <v/>
      </c>
      <c r="U897" s="35">
        <f>IF($F897="","",IFERROR(INDEX(사건마스터!$AS$5:$AS$64,MATCH($F897,사건마스터!$A$5:$A$64,0)),""))</f>
        <v/>
      </c>
      <c r="V897" s="35">
        <f>IF($F897="","",IFERROR(INDEX(사건마스터!$AT$5:$AT$64,MATCH($F897,사건마스터!$A$5:$A$64,0)),""))</f>
        <v/>
      </c>
      <c r="W897" s="35">
        <f>IF($F897="","",IFERROR(INDEX(사건마스터!$AU$5:$AU$64,MATCH($F897,사건마스터!$A$5:$A$64,0)),""))</f>
        <v/>
      </c>
      <c r="X897" s="35">
        <f>IF($F897="","",IFERROR(INDEX(사건마스터!$AV$5:$AV$64,MATCH($F897,사건마스터!$A$5:$A$64,0)),""))</f>
        <v/>
      </c>
      <c r="Y897" s="30">
        <f>IF($I897="","",COUNTIF($I897:$X897,"?*"))</f>
        <v/>
      </c>
      <c r="Z897" s="33">
        <f>IF($I897="","",_xlfn.TEXTJOIN(", ",TRUE,$I897:$X897))</f>
        <v/>
      </c>
      <c r="AA897" s="34">
        <f>IF($I897="","",IFERROR(INDEX(코드설정!$D$5:$D$24,MATCH($I897,코드설정!$C$5:$C$24,0)),""))</f>
        <v/>
      </c>
      <c r="AB897" s="36" t="n"/>
      <c r="AC897" s="37" t="n"/>
      <c r="AD897" s="38" t="n"/>
      <c r="AE897" s="30">
        <f>IF(OR($B897="",$C897=""),"",$C897-$B897+1)</f>
        <v/>
      </c>
      <c r="AF897" s="32" t="n"/>
      <c r="AG897" s="36" t="n"/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3">
        <f>IF($F898="","",IFERROR(INDEX(사건마스터!$B$5:$B$64,MATCH($F898,사건마스터!$A$5:$A$64,0)),""))</f>
        <v/>
      </c>
      <c r="H898" s="34">
        <f>IF($F898="","",IFERROR(INDEX(사건마스터!$C$5:$C$64,MATCH($F898,사건마스터!$A$5:$A$64,0)),""))</f>
        <v/>
      </c>
      <c r="I898" s="35">
        <f>IF($F898="","",IFERROR(INDEX(사건마스터!$H$5:$H$64,MATCH($F898,사건마스터!$A$5:$A$64,0)),""))</f>
        <v/>
      </c>
      <c r="J898" s="35">
        <f>IF($F898="","",IFERROR(INDEX(사건마스터!$AH$5:$AH$64,MATCH($F898,사건마스터!$A$5:$A$64,0)),""))</f>
        <v/>
      </c>
      <c r="K898" s="35">
        <f>IF($F898="","",IFERROR(INDEX(사건마스터!$AI$5:$AI$64,MATCH($F898,사건마스터!$A$5:$A$64,0)),""))</f>
        <v/>
      </c>
      <c r="L898" s="35">
        <f>IF($F898="","",IFERROR(INDEX(사건마스터!$AJ$5:$AJ$64,MATCH($F898,사건마스터!$A$5:$A$64,0)),""))</f>
        <v/>
      </c>
      <c r="M898" s="35">
        <f>IF($F898="","",IFERROR(INDEX(사건마스터!$AK$5:$AK$64,MATCH($F898,사건마스터!$A$5:$A$64,0)),""))</f>
        <v/>
      </c>
      <c r="N898" s="35">
        <f>IF($F898="","",IFERROR(INDEX(사건마스터!$AL$5:$AL$64,MATCH($F898,사건마스터!$A$5:$A$64,0)),""))</f>
        <v/>
      </c>
      <c r="O898" s="35">
        <f>IF($F898="","",IFERROR(INDEX(사건마스터!$AM$5:$AM$64,MATCH($F898,사건마스터!$A$5:$A$64,0)),""))</f>
        <v/>
      </c>
      <c r="P898" s="35">
        <f>IF($F898="","",IFERROR(INDEX(사건마스터!$AN$5:$AN$64,MATCH($F898,사건마스터!$A$5:$A$64,0)),""))</f>
        <v/>
      </c>
      <c r="Q898" s="35">
        <f>IF($F898="","",IFERROR(INDEX(사건마스터!$AO$5:$AO$64,MATCH($F898,사건마스터!$A$5:$A$64,0)),""))</f>
        <v/>
      </c>
      <c r="R898" s="35">
        <f>IF($F898="","",IFERROR(INDEX(사건마스터!$AP$5:$AP$64,MATCH($F898,사건마스터!$A$5:$A$64,0)),""))</f>
        <v/>
      </c>
      <c r="S898" s="35">
        <f>IF($F898="","",IFERROR(INDEX(사건마스터!$AQ$5:$AQ$64,MATCH($F898,사건마스터!$A$5:$A$64,0)),""))</f>
        <v/>
      </c>
      <c r="T898" s="35">
        <f>IF($F898="","",IFERROR(INDEX(사건마스터!$AR$5:$AR$64,MATCH($F898,사건마스터!$A$5:$A$64,0)),""))</f>
        <v/>
      </c>
      <c r="U898" s="35">
        <f>IF($F898="","",IFERROR(INDEX(사건마스터!$AS$5:$AS$64,MATCH($F898,사건마스터!$A$5:$A$64,0)),""))</f>
        <v/>
      </c>
      <c r="V898" s="35">
        <f>IF($F898="","",IFERROR(INDEX(사건마스터!$AT$5:$AT$64,MATCH($F898,사건마스터!$A$5:$A$64,0)),""))</f>
        <v/>
      </c>
      <c r="W898" s="35">
        <f>IF($F898="","",IFERROR(INDEX(사건마스터!$AU$5:$AU$64,MATCH($F898,사건마스터!$A$5:$A$64,0)),""))</f>
        <v/>
      </c>
      <c r="X898" s="35">
        <f>IF($F898="","",IFERROR(INDEX(사건마스터!$AV$5:$AV$64,MATCH($F898,사건마스터!$A$5:$A$64,0)),""))</f>
        <v/>
      </c>
      <c r="Y898" s="30">
        <f>IF($I898="","",COUNTIF($I898:$X898,"?*"))</f>
        <v/>
      </c>
      <c r="Z898" s="33">
        <f>IF($I898="","",_xlfn.TEXTJOIN(", ",TRUE,$I898:$X898))</f>
        <v/>
      </c>
      <c r="AA898" s="34">
        <f>IF($I898="","",IFERROR(INDEX(코드설정!$D$5:$D$24,MATCH($I898,코드설정!$C$5:$C$24,0)),""))</f>
        <v/>
      </c>
      <c r="AB898" s="36" t="n"/>
      <c r="AC898" s="37" t="n"/>
      <c r="AD898" s="38" t="n"/>
      <c r="AE898" s="30">
        <f>IF(OR($B898="",$C898=""),"",$C898-$B898+1)</f>
        <v/>
      </c>
      <c r="AF898" s="32" t="n"/>
      <c r="AG898" s="36" t="n"/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3">
        <f>IF($F899="","",IFERROR(INDEX(사건마스터!$B$5:$B$64,MATCH($F899,사건마스터!$A$5:$A$64,0)),""))</f>
        <v/>
      </c>
      <c r="H899" s="34">
        <f>IF($F899="","",IFERROR(INDEX(사건마스터!$C$5:$C$64,MATCH($F899,사건마스터!$A$5:$A$64,0)),""))</f>
        <v/>
      </c>
      <c r="I899" s="35">
        <f>IF($F899="","",IFERROR(INDEX(사건마스터!$H$5:$H$64,MATCH($F899,사건마스터!$A$5:$A$64,0)),""))</f>
        <v/>
      </c>
      <c r="J899" s="35">
        <f>IF($F899="","",IFERROR(INDEX(사건마스터!$AH$5:$AH$64,MATCH($F899,사건마스터!$A$5:$A$64,0)),""))</f>
        <v/>
      </c>
      <c r="K899" s="35">
        <f>IF($F899="","",IFERROR(INDEX(사건마스터!$AI$5:$AI$64,MATCH($F899,사건마스터!$A$5:$A$64,0)),""))</f>
        <v/>
      </c>
      <c r="L899" s="35">
        <f>IF($F899="","",IFERROR(INDEX(사건마스터!$AJ$5:$AJ$64,MATCH($F899,사건마스터!$A$5:$A$64,0)),""))</f>
        <v/>
      </c>
      <c r="M899" s="35">
        <f>IF($F899="","",IFERROR(INDEX(사건마스터!$AK$5:$AK$64,MATCH($F899,사건마스터!$A$5:$A$64,0)),""))</f>
        <v/>
      </c>
      <c r="N899" s="35">
        <f>IF($F899="","",IFERROR(INDEX(사건마스터!$AL$5:$AL$64,MATCH($F899,사건마스터!$A$5:$A$64,0)),""))</f>
        <v/>
      </c>
      <c r="O899" s="35">
        <f>IF($F899="","",IFERROR(INDEX(사건마스터!$AM$5:$AM$64,MATCH($F899,사건마스터!$A$5:$A$64,0)),""))</f>
        <v/>
      </c>
      <c r="P899" s="35">
        <f>IF($F899="","",IFERROR(INDEX(사건마스터!$AN$5:$AN$64,MATCH($F899,사건마스터!$A$5:$A$64,0)),""))</f>
        <v/>
      </c>
      <c r="Q899" s="35">
        <f>IF($F899="","",IFERROR(INDEX(사건마스터!$AO$5:$AO$64,MATCH($F899,사건마스터!$A$5:$A$64,0)),""))</f>
        <v/>
      </c>
      <c r="R899" s="35">
        <f>IF($F899="","",IFERROR(INDEX(사건마스터!$AP$5:$AP$64,MATCH($F899,사건마스터!$A$5:$A$64,0)),""))</f>
        <v/>
      </c>
      <c r="S899" s="35">
        <f>IF($F899="","",IFERROR(INDEX(사건마스터!$AQ$5:$AQ$64,MATCH($F899,사건마스터!$A$5:$A$64,0)),""))</f>
        <v/>
      </c>
      <c r="T899" s="35">
        <f>IF($F899="","",IFERROR(INDEX(사건마스터!$AR$5:$AR$64,MATCH($F899,사건마스터!$A$5:$A$64,0)),""))</f>
        <v/>
      </c>
      <c r="U899" s="35">
        <f>IF($F899="","",IFERROR(INDEX(사건마스터!$AS$5:$AS$64,MATCH($F899,사건마스터!$A$5:$A$64,0)),""))</f>
        <v/>
      </c>
      <c r="V899" s="35">
        <f>IF($F899="","",IFERROR(INDEX(사건마스터!$AT$5:$AT$64,MATCH($F899,사건마스터!$A$5:$A$64,0)),""))</f>
        <v/>
      </c>
      <c r="W899" s="35">
        <f>IF($F899="","",IFERROR(INDEX(사건마스터!$AU$5:$AU$64,MATCH($F899,사건마스터!$A$5:$A$64,0)),""))</f>
        <v/>
      </c>
      <c r="X899" s="35">
        <f>IF($F899="","",IFERROR(INDEX(사건마스터!$AV$5:$AV$64,MATCH($F899,사건마스터!$A$5:$A$64,0)),""))</f>
        <v/>
      </c>
      <c r="Y899" s="30">
        <f>IF($I899="","",COUNTIF($I899:$X899,"?*"))</f>
        <v/>
      </c>
      <c r="Z899" s="33">
        <f>IF($I899="","",_xlfn.TEXTJOIN(", ",TRUE,$I899:$X899))</f>
        <v/>
      </c>
      <c r="AA899" s="34">
        <f>IF($I899="","",IFERROR(INDEX(코드설정!$D$5:$D$24,MATCH($I899,코드설정!$C$5:$C$24,0)),""))</f>
        <v/>
      </c>
      <c r="AB899" s="36" t="n"/>
      <c r="AC899" s="37" t="n"/>
      <c r="AD899" s="38" t="n"/>
      <c r="AE899" s="30">
        <f>IF(OR($B899="",$C899=""),"",$C899-$B899+1)</f>
        <v/>
      </c>
      <c r="AF899" s="32" t="n"/>
      <c r="AG899" s="36" t="n"/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3">
        <f>IF($F900="","",IFERROR(INDEX(사건마스터!$B$5:$B$64,MATCH($F900,사건마스터!$A$5:$A$64,0)),""))</f>
        <v/>
      </c>
      <c r="H900" s="34">
        <f>IF($F900="","",IFERROR(INDEX(사건마스터!$C$5:$C$64,MATCH($F900,사건마스터!$A$5:$A$64,0)),""))</f>
        <v/>
      </c>
      <c r="I900" s="35">
        <f>IF($F900="","",IFERROR(INDEX(사건마스터!$H$5:$H$64,MATCH($F900,사건마스터!$A$5:$A$64,0)),""))</f>
        <v/>
      </c>
      <c r="J900" s="35">
        <f>IF($F900="","",IFERROR(INDEX(사건마스터!$AH$5:$AH$64,MATCH($F900,사건마스터!$A$5:$A$64,0)),""))</f>
        <v/>
      </c>
      <c r="K900" s="35">
        <f>IF($F900="","",IFERROR(INDEX(사건마스터!$AI$5:$AI$64,MATCH($F900,사건마스터!$A$5:$A$64,0)),""))</f>
        <v/>
      </c>
      <c r="L900" s="35">
        <f>IF($F900="","",IFERROR(INDEX(사건마스터!$AJ$5:$AJ$64,MATCH($F900,사건마스터!$A$5:$A$64,0)),""))</f>
        <v/>
      </c>
      <c r="M900" s="35">
        <f>IF($F900="","",IFERROR(INDEX(사건마스터!$AK$5:$AK$64,MATCH($F900,사건마스터!$A$5:$A$64,0)),""))</f>
        <v/>
      </c>
      <c r="N900" s="35">
        <f>IF($F900="","",IFERROR(INDEX(사건마스터!$AL$5:$AL$64,MATCH($F900,사건마스터!$A$5:$A$64,0)),""))</f>
        <v/>
      </c>
      <c r="O900" s="35">
        <f>IF($F900="","",IFERROR(INDEX(사건마스터!$AM$5:$AM$64,MATCH($F900,사건마스터!$A$5:$A$64,0)),""))</f>
        <v/>
      </c>
      <c r="P900" s="35">
        <f>IF($F900="","",IFERROR(INDEX(사건마스터!$AN$5:$AN$64,MATCH($F900,사건마스터!$A$5:$A$64,0)),""))</f>
        <v/>
      </c>
      <c r="Q900" s="35">
        <f>IF($F900="","",IFERROR(INDEX(사건마스터!$AO$5:$AO$64,MATCH($F900,사건마스터!$A$5:$A$64,0)),""))</f>
        <v/>
      </c>
      <c r="R900" s="35">
        <f>IF($F900="","",IFERROR(INDEX(사건마스터!$AP$5:$AP$64,MATCH($F900,사건마스터!$A$5:$A$64,0)),""))</f>
        <v/>
      </c>
      <c r="S900" s="35">
        <f>IF($F900="","",IFERROR(INDEX(사건마스터!$AQ$5:$AQ$64,MATCH($F900,사건마스터!$A$5:$A$64,0)),""))</f>
        <v/>
      </c>
      <c r="T900" s="35">
        <f>IF($F900="","",IFERROR(INDEX(사건마스터!$AR$5:$AR$64,MATCH($F900,사건마스터!$A$5:$A$64,0)),""))</f>
        <v/>
      </c>
      <c r="U900" s="35">
        <f>IF($F900="","",IFERROR(INDEX(사건마스터!$AS$5:$AS$64,MATCH($F900,사건마스터!$A$5:$A$64,0)),""))</f>
        <v/>
      </c>
      <c r="V900" s="35">
        <f>IF($F900="","",IFERROR(INDEX(사건마스터!$AT$5:$AT$64,MATCH($F900,사건마스터!$A$5:$A$64,0)),""))</f>
        <v/>
      </c>
      <c r="W900" s="35">
        <f>IF($F900="","",IFERROR(INDEX(사건마스터!$AU$5:$AU$64,MATCH($F900,사건마스터!$A$5:$A$64,0)),""))</f>
        <v/>
      </c>
      <c r="X900" s="35">
        <f>IF($F900="","",IFERROR(INDEX(사건마스터!$AV$5:$AV$64,MATCH($F900,사건마스터!$A$5:$A$64,0)),""))</f>
        <v/>
      </c>
      <c r="Y900" s="30">
        <f>IF($I900="","",COUNTIF($I900:$X900,"?*"))</f>
        <v/>
      </c>
      <c r="Z900" s="33">
        <f>IF($I900="","",_xlfn.TEXTJOIN(", ",TRUE,$I900:$X900))</f>
        <v/>
      </c>
      <c r="AA900" s="34">
        <f>IF($I900="","",IFERROR(INDEX(코드설정!$D$5:$D$24,MATCH($I900,코드설정!$C$5:$C$24,0)),""))</f>
        <v/>
      </c>
      <c r="AB900" s="36" t="n"/>
      <c r="AC900" s="37" t="n"/>
      <c r="AD900" s="38" t="n"/>
      <c r="AE900" s="30">
        <f>IF(OR($B900="",$C900=""),"",$C900-$B900+1)</f>
        <v/>
      </c>
      <c r="AF900" s="32" t="n"/>
      <c r="AG900" s="36" t="n"/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3">
        <f>IF($F901="","",IFERROR(INDEX(사건마스터!$B$5:$B$64,MATCH($F901,사건마스터!$A$5:$A$64,0)),""))</f>
        <v/>
      </c>
      <c r="H901" s="34">
        <f>IF($F901="","",IFERROR(INDEX(사건마스터!$C$5:$C$64,MATCH($F901,사건마스터!$A$5:$A$64,0)),""))</f>
        <v/>
      </c>
      <c r="I901" s="35">
        <f>IF($F901="","",IFERROR(INDEX(사건마스터!$H$5:$H$64,MATCH($F901,사건마스터!$A$5:$A$64,0)),""))</f>
        <v/>
      </c>
      <c r="J901" s="35">
        <f>IF($F901="","",IFERROR(INDEX(사건마스터!$AH$5:$AH$64,MATCH($F901,사건마스터!$A$5:$A$64,0)),""))</f>
        <v/>
      </c>
      <c r="K901" s="35">
        <f>IF($F901="","",IFERROR(INDEX(사건마스터!$AI$5:$AI$64,MATCH($F901,사건마스터!$A$5:$A$64,0)),""))</f>
        <v/>
      </c>
      <c r="L901" s="35">
        <f>IF($F901="","",IFERROR(INDEX(사건마스터!$AJ$5:$AJ$64,MATCH($F901,사건마스터!$A$5:$A$64,0)),""))</f>
        <v/>
      </c>
      <c r="M901" s="35">
        <f>IF($F901="","",IFERROR(INDEX(사건마스터!$AK$5:$AK$64,MATCH($F901,사건마스터!$A$5:$A$64,0)),""))</f>
        <v/>
      </c>
      <c r="N901" s="35">
        <f>IF($F901="","",IFERROR(INDEX(사건마스터!$AL$5:$AL$64,MATCH($F901,사건마스터!$A$5:$A$64,0)),""))</f>
        <v/>
      </c>
      <c r="O901" s="35">
        <f>IF($F901="","",IFERROR(INDEX(사건마스터!$AM$5:$AM$64,MATCH($F901,사건마스터!$A$5:$A$64,0)),""))</f>
        <v/>
      </c>
      <c r="P901" s="35">
        <f>IF($F901="","",IFERROR(INDEX(사건마스터!$AN$5:$AN$64,MATCH($F901,사건마스터!$A$5:$A$64,0)),""))</f>
        <v/>
      </c>
      <c r="Q901" s="35">
        <f>IF($F901="","",IFERROR(INDEX(사건마스터!$AO$5:$AO$64,MATCH($F901,사건마스터!$A$5:$A$64,0)),""))</f>
        <v/>
      </c>
      <c r="R901" s="35">
        <f>IF($F901="","",IFERROR(INDEX(사건마스터!$AP$5:$AP$64,MATCH($F901,사건마스터!$A$5:$A$64,0)),""))</f>
        <v/>
      </c>
      <c r="S901" s="35">
        <f>IF($F901="","",IFERROR(INDEX(사건마스터!$AQ$5:$AQ$64,MATCH($F901,사건마스터!$A$5:$A$64,0)),""))</f>
        <v/>
      </c>
      <c r="T901" s="35">
        <f>IF($F901="","",IFERROR(INDEX(사건마스터!$AR$5:$AR$64,MATCH($F901,사건마스터!$A$5:$A$64,0)),""))</f>
        <v/>
      </c>
      <c r="U901" s="35">
        <f>IF($F901="","",IFERROR(INDEX(사건마스터!$AS$5:$AS$64,MATCH($F901,사건마스터!$A$5:$A$64,0)),""))</f>
        <v/>
      </c>
      <c r="V901" s="35">
        <f>IF($F901="","",IFERROR(INDEX(사건마스터!$AT$5:$AT$64,MATCH($F901,사건마스터!$A$5:$A$64,0)),""))</f>
        <v/>
      </c>
      <c r="W901" s="35">
        <f>IF($F901="","",IFERROR(INDEX(사건마스터!$AU$5:$AU$64,MATCH($F901,사건마스터!$A$5:$A$64,0)),""))</f>
        <v/>
      </c>
      <c r="X901" s="35">
        <f>IF($F901="","",IFERROR(INDEX(사건마스터!$AV$5:$AV$64,MATCH($F901,사건마스터!$A$5:$A$64,0)),""))</f>
        <v/>
      </c>
      <c r="Y901" s="30">
        <f>IF($I901="","",COUNTIF($I901:$X901,"?*"))</f>
        <v/>
      </c>
      <c r="Z901" s="33">
        <f>IF($I901="","",_xlfn.TEXTJOIN(", ",TRUE,$I901:$X901))</f>
        <v/>
      </c>
      <c r="AA901" s="34">
        <f>IF($I901="","",IFERROR(INDEX(코드설정!$D$5:$D$24,MATCH($I901,코드설정!$C$5:$C$24,0)),""))</f>
        <v/>
      </c>
      <c r="AB901" s="36" t="n"/>
      <c r="AC901" s="37" t="n"/>
      <c r="AD901" s="38" t="n"/>
      <c r="AE901" s="30">
        <f>IF(OR($B901="",$C901=""),"",$C901-$B901+1)</f>
        <v/>
      </c>
      <c r="AF901" s="32" t="n"/>
      <c r="AG901" s="36" t="n"/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3">
        <f>IF($F902="","",IFERROR(INDEX(사건마스터!$B$5:$B$64,MATCH($F902,사건마스터!$A$5:$A$64,0)),""))</f>
        <v/>
      </c>
      <c r="H902" s="34">
        <f>IF($F902="","",IFERROR(INDEX(사건마스터!$C$5:$C$64,MATCH($F902,사건마스터!$A$5:$A$64,0)),""))</f>
        <v/>
      </c>
      <c r="I902" s="35">
        <f>IF($F902="","",IFERROR(INDEX(사건마스터!$H$5:$H$64,MATCH($F902,사건마스터!$A$5:$A$64,0)),""))</f>
        <v/>
      </c>
      <c r="J902" s="35">
        <f>IF($F902="","",IFERROR(INDEX(사건마스터!$AH$5:$AH$64,MATCH($F902,사건마스터!$A$5:$A$64,0)),""))</f>
        <v/>
      </c>
      <c r="K902" s="35">
        <f>IF($F902="","",IFERROR(INDEX(사건마스터!$AI$5:$AI$64,MATCH($F902,사건마스터!$A$5:$A$64,0)),""))</f>
        <v/>
      </c>
      <c r="L902" s="35">
        <f>IF($F902="","",IFERROR(INDEX(사건마스터!$AJ$5:$AJ$64,MATCH($F902,사건마스터!$A$5:$A$64,0)),""))</f>
        <v/>
      </c>
      <c r="M902" s="35">
        <f>IF($F902="","",IFERROR(INDEX(사건마스터!$AK$5:$AK$64,MATCH($F902,사건마스터!$A$5:$A$64,0)),""))</f>
        <v/>
      </c>
      <c r="N902" s="35">
        <f>IF($F902="","",IFERROR(INDEX(사건마스터!$AL$5:$AL$64,MATCH($F902,사건마스터!$A$5:$A$64,0)),""))</f>
        <v/>
      </c>
      <c r="O902" s="35">
        <f>IF($F902="","",IFERROR(INDEX(사건마스터!$AM$5:$AM$64,MATCH($F902,사건마스터!$A$5:$A$64,0)),""))</f>
        <v/>
      </c>
      <c r="P902" s="35">
        <f>IF($F902="","",IFERROR(INDEX(사건마스터!$AN$5:$AN$64,MATCH($F902,사건마스터!$A$5:$A$64,0)),""))</f>
        <v/>
      </c>
      <c r="Q902" s="35">
        <f>IF($F902="","",IFERROR(INDEX(사건마스터!$AO$5:$AO$64,MATCH($F902,사건마스터!$A$5:$A$64,0)),""))</f>
        <v/>
      </c>
      <c r="R902" s="35">
        <f>IF($F902="","",IFERROR(INDEX(사건마스터!$AP$5:$AP$64,MATCH($F902,사건마스터!$A$5:$A$64,0)),""))</f>
        <v/>
      </c>
      <c r="S902" s="35">
        <f>IF($F902="","",IFERROR(INDEX(사건마스터!$AQ$5:$AQ$64,MATCH($F902,사건마스터!$A$5:$A$64,0)),""))</f>
        <v/>
      </c>
      <c r="T902" s="35">
        <f>IF($F902="","",IFERROR(INDEX(사건마스터!$AR$5:$AR$64,MATCH($F902,사건마스터!$A$5:$A$64,0)),""))</f>
        <v/>
      </c>
      <c r="U902" s="35">
        <f>IF($F902="","",IFERROR(INDEX(사건마스터!$AS$5:$AS$64,MATCH($F902,사건마스터!$A$5:$A$64,0)),""))</f>
        <v/>
      </c>
      <c r="V902" s="35">
        <f>IF($F902="","",IFERROR(INDEX(사건마스터!$AT$5:$AT$64,MATCH($F902,사건마스터!$A$5:$A$64,0)),""))</f>
        <v/>
      </c>
      <c r="W902" s="35">
        <f>IF($F902="","",IFERROR(INDEX(사건마스터!$AU$5:$AU$64,MATCH($F902,사건마스터!$A$5:$A$64,0)),""))</f>
        <v/>
      </c>
      <c r="X902" s="35">
        <f>IF($F902="","",IFERROR(INDEX(사건마스터!$AV$5:$AV$64,MATCH($F902,사건마스터!$A$5:$A$64,0)),""))</f>
        <v/>
      </c>
      <c r="Y902" s="30">
        <f>IF($I902="","",COUNTIF($I902:$X902,"?*"))</f>
        <v/>
      </c>
      <c r="Z902" s="33">
        <f>IF($I902="","",_xlfn.TEXTJOIN(", ",TRUE,$I902:$X902))</f>
        <v/>
      </c>
      <c r="AA902" s="34">
        <f>IF($I902="","",IFERROR(INDEX(코드설정!$D$5:$D$24,MATCH($I902,코드설정!$C$5:$C$24,0)),""))</f>
        <v/>
      </c>
      <c r="AB902" s="36" t="n"/>
      <c r="AC902" s="37" t="n"/>
      <c r="AD902" s="38" t="n"/>
      <c r="AE902" s="30">
        <f>IF(OR($B902="",$C902=""),"",$C902-$B902+1)</f>
        <v/>
      </c>
      <c r="AF902" s="32" t="n"/>
      <c r="AG902" s="36" t="n"/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3">
        <f>IF($F903="","",IFERROR(INDEX(사건마스터!$B$5:$B$64,MATCH($F903,사건마스터!$A$5:$A$64,0)),""))</f>
        <v/>
      </c>
      <c r="H903" s="34">
        <f>IF($F903="","",IFERROR(INDEX(사건마스터!$C$5:$C$64,MATCH($F903,사건마스터!$A$5:$A$64,0)),""))</f>
        <v/>
      </c>
      <c r="I903" s="35">
        <f>IF($F903="","",IFERROR(INDEX(사건마스터!$H$5:$H$64,MATCH($F903,사건마스터!$A$5:$A$64,0)),""))</f>
        <v/>
      </c>
      <c r="J903" s="35">
        <f>IF($F903="","",IFERROR(INDEX(사건마스터!$AH$5:$AH$64,MATCH($F903,사건마스터!$A$5:$A$64,0)),""))</f>
        <v/>
      </c>
      <c r="K903" s="35">
        <f>IF($F903="","",IFERROR(INDEX(사건마스터!$AI$5:$AI$64,MATCH($F903,사건마스터!$A$5:$A$64,0)),""))</f>
        <v/>
      </c>
      <c r="L903" s="35">
        <f>IF($F903="","",IFERROR(INDEX(사건마스터!$AJ$5:$AJ$64,MATCH($F903,사건마스터!$A$5:$A$64,0)),""))</f>
        <v/>
      </c>
      <c r="M903" s="35">
        <f>IF($F903="","",IFERROR(INDEX(사건마스터!$AK$5:$AK$64,MATCH($F903,사건마스터!$A$5:$A$64,0)),""))</f>
        <v/>
      </c>
      <c r="N903" s="35">
        <f>IF($F903="","",IFERROR(INDEX(사건마스터!$AL$5:$AL$64,MATCH($F903,사건마스터!$A$5:$A$64,0)),""))</f>
        <v/>
      </c>
      <c r="O903" s="35">
        <f>IF($F903="","",IFERROR(INDEX(사건마스터!$AM$5:$AM$64,MATCH($F903,사건마스터!$A$5:$A$64,0)),""))</f>
        <v/>
      </c>
      <c r="P903" s="35">
        <f>IF($F903="","",IFERROR(INDEX(사건마스터!$AN$5:$AN$64,MATCH($F903,사건마스터!$A$5:$A$64,0)),""))</f>
        <v/>
      </c>
      <c r="Q903" s="35">
        <f>IF($F903="","",IFERROR(INDEX(사건마스터!$AO$5:$AO$64,MATCH($F903,사건마스터!$A$5:$A$64,0)),""))</f>
        <v/>
      </c>
      <c r="R903" s="35">
        <f>IF($F903="","",IFERROR(INDEX(사건마스터!$AP$5:$AP$64,MATCH($F903,사건마스터!$A$5:$A$64,0)),""))</f>
        <v/>
      </c>
      <c r="S903" s="35">
        <f>IF($F903="","",IFERROR(INDEX(사건마스터!$AQ$5:$AQ$64,MATCH($F903,사건마스터!$A$5:$A$64,0)),""))</f>
        <v/>
      </c>
      <c r="T903" s="35">
        <f>IF($F903="","",IFERROR(INDEX(사건마스터!$AR$5:$AR$64,MATCH($F903,사건마스터!$A$5:$A$64,0)),""))</f>
        <v/>
      </c>
      <c r="U903" s="35">
        <f>IF($F903="","",IFERROR(INDEX(사건마스터!$AS$5:$AS$64,MATCH($F903,사건마스터!$A$5:$A$64,0)),""))</f>
        <v/>
      </c>
      <c r="V903" s="35">
        <f>IF($F903="","",IFERROR(INDEX(사건마스터!$AT$5:$AT$64,MATCH($F903,사건마스터!$A$5:$A$64,0)),""))</f>
        <v/>
      </c>
      <c r="W903" s="35">
        <f>IF($F903="","",IFERROR(INDEX(사건마스터!$AU$5:$AU$64,MATCH($F903,사건마스터!$A$5:$A$64,0)),""))</f>
        <v/>
      </c>
      <c r="X903" s="35">
        <f>IF($F903="","",IFERROR(INDEX(사건마스터!$AV$5:$AV$64,MATCH($F903,사건마스터!$A$5:$A$64,0)),""))</f>
        <v/>
      </c>
      <c r="Y903" s="30">
        <f>IF($I903="","",COUNTIF($I903:$X903,"?*"))</f>
        <v/>
      </c>
      <c r="Z903" s="33">
        <f>IF($I903="","",_xlfn.TEXTJOIN(", ",TRUE,$I903:$X903))</f>
        <v/>
      </c>
      <c r="AA903" s="34">
        <f>IF($I903="","",IFERROR(INDEX(코드설정!$D$5:$D$24,MATCH($I903,코드설정!$C$5:$C$24,0)),""))</f>
        <v/>
      </c>
      <c r="AB903" s="36" t="n"/>
      <c r="AC903" s="37" t="n"/>
      <c r="AD903" s="38" t="n"/>
      <c r="AE903" s="30">
        <f>IF(OR($B903="",$C903=""),"",$C903-$B903+1)</f>
        <v/>
      </c>
      <c r="AF903" s="32" t="n"/>
      <c r="AG903" s="36" t="n"/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3">
        <f>IF($F904="","",IFERROR(INDEX(사건마스터!$B$5:$B$64,MATCH($F904,사건마스터!$A$5:$A$64,0)),""))</f>
        <v/>
      </c>
      <c r="H904" s="34">
        <f>IF($F904="","",IFERROR(INDEX(사건마스터!$C$5:$C$64,MATCH($F904,사건마스터!$A$5:$A$64,0)),""))</f>
        <v/>
      </c>
      <c r="I904" s="35">
        <f>IF($F904="","",IFERROR(INDEX(사건마스터!$H$5:$H$64,MATCH($F904,사건마스터!$A$5:$A$64,0)),""))</f>
        <v/>
      </c>
      <c r="J904" s="35">
        <f>IF($F904="","",IFERROR(INDEX(사건마스터!$AH$5:$AH$64,MATCH($F904,사건마스터!$A$5:$A$64,0)),""))</f>
        <v/>
      </c>
      <c r="K904" s="35">
        <f>IF($F904="","",IFERROR(INDEX(사건마스터!$AI$5:$AI$64,MATCH($F904,사건마스터!$A$5:$A$64,0)),""))</f>
        <v/>
      </c>
      <c r="L904" s="35">
        <f>IF($F904="","",IFERROR(INDEX(사건마스터!$AJ$5:$AJ$64,MATCH($F904,사건마스터!$A$5:$A$64,0)),""))</f>
        <v/>
      </c>
      <c r="M904" s="35">
        <f>IF($F904="","",IFERROR(INDEX(사건마스터!$AK$5:$AK$64,MATCH($F904,사건마스터!$A$5:$A$64,0)),""))</f>
        <v/>
      </c>
      <c r="N904" s="35">
        <f>IF($F904="","",IFERROR(INDEX(사건마스터!$AL$5:$AL$64,MATCH($F904,사건마스터!$A$5:$A$64,0)),""))</f>
        <v/>
      </c>
      <c r="O904" s="35">
        <f>IF($F904="","",IFERROR(INDEX(사건마스터!$AM$5:$AM$64,MATCH($F904,사건마스터!$A$5:$A$64,0)),""))</f>
        <v/>
      </c>
      <c r="P904" s="35">
        <f>IF($F904="","",IFERROR(INDEX(사건마스터!$AN$5:$AN$64,MATCH($F904,사건마스터!$A$5:$A$64,0)),""))</f>
        <v/>
      </c>
      <c r="Q904" s="35">
        <f>IF($F904="","",IFERROR(INDEX(사건마스터!$AO$5:$AO$64,MATCH($F904,사건마스터!$A$5:$A$64,0)),""))</f>
        <v/>
      </c>
      <c r="R904" s="35">
        <f>IF($F904="","",IFERROR(INDEX(사건마스터!$AP$5:$AP$64,MATCH($F904,사건마스터!$A$5:$A$64,0)),""))</f>
        <v/>
      </c>
      <c r="S904" s="35">
        <f>IF($F904="","",IFERROR(INDEX(사건마스터!$AQ$5:$AQ$64,MATCH($F904,사건마스터!$A$5:$A$64,0)),""))</f>
        <v/>
      </c>
      <c r="T904" s="35">
        <f>IF($F904="","",IFERROR(INDEX(사건마스터!$AR$5:$AR$64,MATCH($F904,사건마스터!$A$5:$A$64,0)),""))</f>
        <v/>
      </c>
      <c r="U904" s="35">
        <f>IF($F904="","",IFERROR(INDEX(사건마스터!$AS$5:$AS$64,MATCH($F904,사건마스터!$A$5:$A$64,0)),""))</f>
        <v/>
      </c>
      <c r="V904" s="35">
        <f>IF($F904="","",IFERROR(INDEX(사건마스터!$AT$5:$AT$64,MATCH($F904,사건마스터!$A$5:$A$64,0)),""))</f>
        <v/>
      </c>
      <c r="W904" s="35">
        <f>IF($F904="","",IFERROR(INDEX(사건마스터!$AU$5:$AU$64,MATCH($F904,사건마스터!$A$5:$A$64,0)),""))</f>
        <v/>
      </c>
      <c r="X904" s="35">
        <f>IF($F904="","",IFERROR(INDEX(사건마스터!$AV$5:$AV$64,MATCH($F904,사건마스터!$A$5:$A$64,0)),""))</f>
        <v/>
      </c>
      <c r="Y904" s="30">
        <f>IF($I904="","",COUNTIF($I904:$X904,"?*"))</f>
        <v/>
      </c>
      <c r="Z904" s="33">
        <f>IF($I904="","",_xlfn.TEXTJOIN(", ",TRUE,$I904:$X904))</f>
        <v/>
      </c>
      <c r="AA904" s="34">
        <f>IF($I904="","",IFERROR(INDEX(코드설정!$D$5:$D$24,MATCH($I904,코드설정!$C$5:$C$24,0)),""))</f>
        <v/>
      </c>
      <c r="AB904" s="36" t="n"/>
      <c r="AC904" s="37" t="n"/>
      <c r="AD904" s="38" t="n"/>
      <c r="AE904" s="30">
        <f>IF(OR($B904="",$C904=""),"",$C904-$B904+1)</f>
        <v/>
      </c>
      <c r="AF904" s="32" t="n"/>
      <c r="AG904" s="36" t="n"/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3">
        <f>IF($F905="","",IFERROR(INDEX(사건마스터!$B$5:$B$64,MATCH($F905,사건마스터!$A$5:$A$64,0)),""))</f>
        <v/>
      </c>
      <c r="H905" s="34">
        <f>IF($F905="","",IFERROR(INDEX(사건마스터!$C$5:$C$64,MATCH($F905,사건마스터!$A$5:$A$64,0)),""))</f>
        <v/>
      </c>
      <c r="I905" s="35">
        <f>IF($F905="","",IFERROR(INDEX(사건마스터!$H$5:$H$64,MATCH($F905,사건마스터!$A$5:$A$64,0)),""))</f>
        <v/>
      </c>
      <c r="J905" s="35">
        <f>IF($F905="","",IFERROR(INDEX(사건마스터!$AH$5:$AH$64,MATCH($F905,사건마스터!$A$5:$A$64,0)),""))</f>
        <v/>
      </c>
      <c r="K905" s="35">
        <f>IF($F905="","",IFERROR(INDEX(사건마스터!$AI$5:$AI$64,MATCH($F905,사건마스터!$A$5:$A$64,0)),""))</f>
        <v/>
      </c>
      <c r="L905" s="35">
        <f>IF($F905="","",IFERROR(INDEX(사건마스터!$AJ$5:$AJ$64,MATCH($F905,사건마스터!$A$5:$A$64,0)),""))</f>
        <v/>
      </c>
      <c r="M905" s="35">
        <f>IF($F905="","",IFERROR(INDEX(사건마스터!$AK$5:$AK$64,MATCH($F905,사건마스터!$A$5:$A$64,0)),""))</f>
        <v/>
      </c>
      <c r="N905" s="35">
        <f>IF($F905="","",IFERROR(INDEX(사건마스터!$AL$5:$AL$64,MATCH($F905,사건마스터!$A$5:$A$64,0)),""))</f>
        <v/>
      </c>
      <c r="O905" s="35">
        <f>IF($F905="","",IFERROR(INDEX(사건마스터!$AM$5:$AM$64,MATCH($F905,사건마스터!$A$5:$A$64,0)),""))</f>
        <v/>
      </c>
      <c r="P905" s="35">
        <f>IF($F905="","",IFERROR(INDEX(사건마스터!$AN$5:$AN$64,MATCH($F905,사건마스터!$A$5:$A$64,0)),""))</f>
        <v/>
      </c>
      <c r="Q905" s="35">
        <f>IF($F905="","",IFERROR(INDEX(사건마스터!$AO$5:$AO$64,MATCH($F905,사건마스터!$A$5:$A$64,0)),""))</f>
        <v/>
      </c>
      <c r="R905" s="35">
        <f>IF($F905="","",IFERROR(INDEX(사건마스터!$AP$5:$AP$64,MATCH($F905,사건마스터!$A$5:$A$64,0)),""))</f>
        <v/>
      </c>
      <c r="S905" s="35">
        <f>IF($F905="","",IFERROR(INDEX(사건마스터!$AQ$5:$AQ$64,MATCH($F905,사건마스터!$A$5:$A$64,0)),""))</f>
        <v/>
      </c>
      <c r="T905" s="35">
        <f>IF($F905="","",IFERROR(INDEX(사건마스터!$AR$5:$AR$64,MATCH($F905,사건마스터!$A$5:$A$64,0)),""))</f>
        <v/>
      </c>
      <c r="U905" s="35">
        <f>IF($F905="","",IFERROR(INDEX(사건마스터!$AS$5:$AS$64,MATCH($F905,사건마스터!$A$5:$A$64,0)),""))</f>
        <v/>
      </c>
      <c r="V905" s="35">
        <f>IF($F905="","",IFERROR(INDEX(사건마스터!$AT$5:$AT$64,MATCH($F905,사건마스터!$A$5:$A$64,0)),""))</f>
        <v/>
      </c>
      <c r="W905" s="35">
        <f>IF($F905="","",IFERROR(INDEX(사건마스터!$AU$5:$AU$64,MATCH($F905,사건마스터!$A$5:$A$64,0)),""))</f>
        <v/>
      </c>
      <c r="X905" s="35">
        <f>IF($F905="","",IFERROR(INDEX(사건마스터!$AV$5:$AV$64,MATCH($F905,사건마스터!$A$5:$A$64,0)),""))</f>
        <v/>
      </c>
      <c r="Y905" s="30">
        <f>IF($I905="","",COUNTIF($I905:$X905,"?*"))</f>
        <v/>
      </c>
      <c r="Z905" s="33">
        <f>IF($I905="","",_xlfn.TEXTJOIN(", ",TRUE,$I905:$X905))</f>
        <v/>
      </c>
      <c r="AA905" s="34">
        <f>IF($I905="","",IFERROR(INDEX(코드설정!$D$5:$D$24,MATCH($I905,코드설정!$C$5:$C$24,0)),""))</f>
        <v/>
      </c>
      <c r="AB905" s="36" t="n"/>
      <c r="AC905" s="37" t="n"/>
      <c r="AD905" s="38" t="n"/>
      <c r="AE905" s="30">
        <f>IF(OR($B905="",$C905=""),"",$C905-$B905+1)</f>
        <v/>
      </c>
      <c r="AF905" s="32" t="n"/>
      <c r="AG905" s="36" t="n"/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3">
        <f>IF($F906="","",IFERROR(INDEX(사건마스터!$B$5:$B$64,MATCH($F906,사건마스터!$A$5:$A$64,0)),""))</f>
        <v/>
      </c>
      <c r="H906" s="34">
        <f>IF($F906="","",IFERROR(INDEX(사건마스터!$C$5:$C$64,MATCH($F906,사건마스터!$A$5:$A$64,0)),""))</f>
        <v/>
      </c>
      <c r="I906" s="35">
        <f>IF($F906="","",IFERROR(INDEX(사건마스터!$H$5:$H$64,MATCH($F906,사건마스터!$A$5:$A$64,0)),""))</f>
        <v/>
      </c>
      <c r="J906" s="35">
        <f>IF($F906="","",IFERROR(INDEX(사건마스터!$AH$5:$AH$64,MATCH($F906,사건마스터!$A$5:$A$64,0)),""))</f>
        <v/>
      </c>
      <c r="K906" s="35">
        <f>IF($F906="","",IFERROR(INDEX(사건마스터!$AI$5:$AI$64,MATCH($F906,사건마스터!$A$5:$A$64,0)),""))</f>
        <v/>
      </c>
      <c r="L906" s="35">
        <f>IF($F906="","",IFERROR(INDEX(사건마스터!$AJ$5:$AJ$64,MATCH($F906,사건마스터!$A$5:$A$64,0)),""))</f>
        <v/>
      </c>
      <c r="M906" s="35">
        <f>IF($F906="","",IFERROR(INDEX(사건마스터!$AK$5:$AK$64,MATCH($F906,사건마스터!$A$5:$A$64,0)),""))</f>
        <v/>
      </c>
      <c r="N906" s="35">
        <f>IF($F906="","",IFERROR(INDEX(사건마스터!$AL$5:$AL$64,MATCH($F906,사건마스터!$A$5:$A$64,0)),""))</f>
        <v/>
      </c>
      <c r="O906" s="35">
        <f>IF($F906="","",IFERROR(INDEX(사건마스터!$AM$5:$AM$64,MATCH($F906,사건마스터!$A$5:$A$64,0)),""))</f>
        <v/>
      </c>
      <c r="P906" s="35">
        <f>IF($F906="","",IFERROR(INDEX(사건마스터!$AN$5:$AN$64,MATCH($F906,사건마스터!$A$5:$A$64,0)),""))</f>
        <v/>
      </c>
      <c r="Q906" s="35">
        <f>IF($F906="","",IFERROR(INDEX(사건마스터!$AO$5:$AO$64,MATCH($F906,사건마스터!$A$5:$A$64,0)),""))</f>
        <v/>
      </c>
      <c r="R906" s="35">
        <f>IF($F906="","",IFERROR(INDEX(사건마스터!$AP$5:$AP$64,MATCH($F906,사건마스터!$A$5:$A$64,0)),""))</f>
        <v/>
      </c>
      <c r="S906" s="35">
        <f>IF($F906="","",IFERROR(INDEX(사건마스터!$AQ$5:$AQ$64,MATCH($F906,사건마스터!$A$5:$A$64,0)),""))</f>
        <v/>
      </c>
      <c r="T906" s="35">
        <f>IF($F906="","",IFERROR(INDEX(사건마스터!$AR$5:$AR$64,MATCH($F906,사건마스터!$A$5:$A$64,0)),""))</f>
        <v/>
      </c>
      <c r="U906" s="35">
        <f>IF($F906="","",IFERROR(INDEX(사건마스터!$AS$5:$AS$64,MATCH($F906,사건마스터!$A$5:$A$64,0)),""))</f>
        <v/>
      </c>
      <c r="V906" s="35">
        <f>IF($F906="","",IFERROR(INDEX(사건마스터!$AT$5:$AT$64,MATCH($F906,사건마스터!$A$5:$A$64,0)),""))</f>
        <v/>
      </c>
      <c r="W906" s="35">
        <f>IF($F906="","",IFERROR(INDEX(사건마스터!$AU$5:$AU$64,MATCH($F906,사건마스터!$A$5:$A$64,0)),""))</f>
        <v/>
      </c>
      <c r="X906" s="35">
        <f>IF($F906="","",IFERROR(INDEX(사건마스터!$AV$5:$AV$64,MATCH($F906,사건마스터!$A$5:$A$64,0)),""))</f>
        <v/>
      </c>
      <c r="Y906" s="30">
        <f>IF($I906="","",COUNTIF($I906:$X906,"?*"))</f>
        <v/>
      </c>
      <c r="Z906" s="33">
        <f>IF($I906="","",_xlfn.TEXTJOIN(", ",TRUE,$I906:$X906))</f>
        <v/>
      </c>
      <c r="AA906" s="34">
        <f>IF($I906="","",IFERROR(INDEX(코드설정!$D$5:$D$24,MATCH($I906,코드설정!$C$5:$C$24,0)),""))</f>
        <v/>
      </c>
      <c r="AB906" s="36" t="n"/>
      <c r="AC906" s="37" t="n"/>
      <c r="AD906" s="38" t="n"/>
      <c r="AE906" s="30">
        <f>IF(OR($B906="",$C906=""),"",$C906-$B906+1)</f>
        <v/>
      </c>
      <c r="AF906" s="32" t="n"/>
      <c r="AG906" s="36" t="n"/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3">
        <f>IF($F907="","",IFERROR(INDEX(사건마스터!$B$5:$B$64,MATCH($F907,사건마스터!$A$5:$A$64,0)),""))</f>
        <v/>
      </c>
      <c r="H907" s="34">
        <f>IF($F907="","",IFERROR(INDEX(사건마스터!$C$5:$C$64,MATCH($F907,사건마스터!$A$5:$A$64,0)),""))</f>
        <v/>
      </c>
      <c r="I907" s="35">
        <f>IF($F907="","",IFERROR(INDEX(사건마스터!$H$5:$H$64,MATCH($F907,사건마스터!$A$5:$A$64,0)),""))</f>
        <v/>
      </c>
      <c r="J907" s="35">
        <f>IF($F907="","",IFERROR(INDEX(사건마스터!$AH$5:$AH$64,MATCH($F907,사건마스터!$A$5:$A$64,0)),""))</f>
        <v/>
      </c>
      <c r="K907" s="35">
        <f>IF($F907="","",IFERROR(INDEX(사건마스터!$AI$5:$AI$64,MATCH($F907,사건마스터!$A$5:$A$64,0)),""))</f>
        <v/>
      </c>
      <c r="L907" s="35">
        <f>IF($F907="","",IFERROR(INDEX(사건마스터!$AJ$5:$AJ$64,MATCH($F907,사건마스터!$A$5:$A$64,0)),""))</f>
        <v/>
      </c>
      <c r="M907" s="35">
        <f>IF($F907="","",IFERROR(INDEX(사건마스터!$AK$5:$AK$64,MATCH($F907,사건마스터!$A$5:$A$64,0)),""))</f>
        <v/>
      </c>
      <c r="N907" s="35">
        <f>IF($F907="","",IFERROR(INDEX(사건마스터!$AL$5:$AL$64,MATCH($F907,사건마스터!$A$5:$A$64,0)),""))</f>
        <v/>
      </c>
      <c r="O907" s="35">
        <f>IF($F907="","",IFERROR(INDEX(사건마스터!$AM$5:$AM$64,MATCH($F907,사건마스터!$A$5:$A$64,0)),""))</f>
        <v/>
      </c>
      <c r="P907" s="35">
        <f>IF($F907="","",IFERROR(INDEX(사건마스터!$AN$5:$AN$64,MATCH($F907,사건마스터!$A$5:$A$64,0)),""))</f>
        <v/>
      </c>
      <c r="Q907" s="35">
        <f>IF($F907="","",IFERROR(INDEX(사건마스터!$AO$5:$AO$64,MATCH($F907,사건마스터!$A$5:$A$64,0)),""))</f>
        <v/>
      </c>
      <c r="R907" s="35">
        <f>IF($F907="","",IFERROR(INDEX(사건마스터!$AP$5:$AP$64,MATCH($F907,사건마스터!$A$5:$A$64,0)),""))</f>
        <v/>
      </c>
      <c r="S907" s="35">
        <f>IF($F907="","",IFERROR(INDEX(사건마스터!$AQ$5:$AQ$64,MATCH($F907,사건마스터!$A$5:$A$64,0)),""))</f>
        <v/>
      </c>
      <c r="T907" s="35">
        <f>IF($F907="","",IFERROR(INDEX(사건마스터!$AR$5:$AR$64,MATCH($F907,사건마스터!$A$5:$A$64,0)),""))</f>
        <v/>
      </c>
      <c r="U907" s="35">
        <f>IF($F907="","",IFERROR(INDEX(사건마스터!$AS$5:$AS$64,MATCH($F907,사건마스터!$A$5:$A$64,0)),""))</f>
        <v/>
      </c>
      <c r="V907" s="35">
        <f>IF($F907="","",IFERROR(INDEX(사건마스터!$AT$5:$AT$64,MATCH($F907,사건마스터!$A$5:$A$64,0)),""))</f>
        <v/>
      </c>
      <c r="W907" s="35">
        <f>IF($F907="","",IFERROR(INDEX(사건마스터!$AU$5:$AU$64,MATCH($F907,사건마스터!$A$5:$A$64,0)),""))</f>
        <v/>
      </c>
      <c r="X907" s="35">
        <f>IF($F907="","",IFERROR(INDEX(사건마스터!$AV$5:$AV$64,MATCH($F907,사건마스터!$A$5:$A$64,0)),""))</f>
        <v/>
      </c>
      <c r="Y907" s="30">
        <f>IF($I907="","",COUNTIF($I907:$X907,"?*"))</f>
        <v/>
      </c>
      <c r="Z907" s="33">
        <f>IF($I907="","",_xlfn.TEXTJOIN(", ",TRUE,$I907:$X907))</f>
        <v/>
      </c>
      <c r="AA907" s="34">
        <f>IF($I907="","",IFERROR(INDEX(코드설정!$D$5:$D$24,MATCH($I907,코드설정!$C$5:$C$24,0)),""))</f>
        <v/>
      </c>
      <c r="AB907" s="36" t="n"/>
      <c r="AC907" s="37" t="n"/>
      <c r="AD907" s="38" t="n"/>
      <c r="AE907" s="30">
        <f>IF(OR($B907="",$C907=""),"",$C907-$B907+1)</f>
        <v/>
      </c>
      <c r="AF907" s="32" t="n"/>
      <c r="AG907" s="36" t="n"/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3">
        <f>IF($F908="","",IFERROR(INDEX(사건마스터!$B$5:$B$64,MATCH($F908,사건마스터!$A$5:$A$64,0)),""))</f>
        <v/>
      </c>
      <c r="H908" s="34">
        <f>IF($F908="","",IFERROR(INDEX(사건마스터!$C$5:$C$64,MATCH($F908,사건마스터!$A$5:$A$64,0)),""))</f>
        <v/>
      </c>
      <c r="I908" s="35">
        <f>IF($F908="","",IFERROR(INDEX(사건마스터!$H$5:$H$64,MATCH($F908,사건마스터!$A$5:$A$64,0)),""))</f>
        <v/>
      </c>
      <c r="J908" s="35">
        <f>IF($F908="","",IFERROR(INDEX(사건마스터!$AH$5:$AH$64,MATCH($F908,사건마스터!$A$5:$A$64,0)),""))</f>
        <v/>
      </c>
      <c r="K908" s="35">
        <f>IF($F908="","",IFERROR(INDEX(사건마스터!$AI$5:$AI$64,MATCH($F908,사건마스터!$A$5:$A$64,0)),""))</f>
        <v/>
      </c>
      <c r="L908" s="35">
        <f>IF($F908="","",IFERROR(INDEX(사건마스터!$AJ$5:$AJ$64,MATCH($F908,사건마스터!$A$5:$A$64,0)),""))</f>
        <v/>
      </c>
      <c r="M908" s="35">
        <f>IF($F908="","",IFERROR(INDEX(사건마스터!$AK$5:$AK$64,MATCH($F908,사건마스터!$A$5:$A$64,0)),""))</f>
        <v/>
      </c>
      <c r="N908" s="35">
        <f>IF($F908="","",IFERROR(INDEX(사건마스터!$AL$5:$AL$64,MATCH($F908,사건마스터!$A$5:$A$64,0)),""))</f>
        <v/>
      </c>
      <c r="O908" s="35">
        <f>IF($F908="","",IFERROR(INDEX(사건마스터!$AM$5:$AM$64,MATCH($F908,사건마스터!$A$5:$A$64,0)),""))</f>
        <v/>
      </c>
      <c r="P908" s="35">
        <f>IF($F908="","",IFERROR(INDEX(사건마스터!$AN$5:$AN$64,MATCH($F908,사건마스터!$A$5:$A$64,0)),""))</f>
        <v/>
      </c>
      <c r="Q908" s="35">
        <f>IF($F908="","",IFERROR(INDEX(사건마스터!$AO$5:$AO$64,MATCH($F908,사건마스터!$A$5:$A$64,0)),""))</f>
        <v/>
      </c>
      <c r="R908" s="35">
        <f>IF($F908="","",IFERROR(INDEX(사건마스터!$AP$5:$AP$64,MATCH($F908,사건마스터!$A$5:$A$64,0)),""))</f>
        <v/>
      </c>
      <c r="S908" s="35">
        <f>IF($F908="","",IFERROR(INDEX(사건마스터!$AQ$5:$AQ$64,MATCH($F908,사건마스터!$A$5:$A$64,0)),""))</f>
        <v/>
      </c>
      <c r="T908" s="35">
        <f>IF($F908="","",IFERROR(INDEX(사건마스터!$AR$5:$AR$64,MATCH($F908,사건마스터!$A$5:$A$64,0)),""))</f>
        <v/>
      </c>
      <c r="U908" s="35">
        <f>IF($F908="","",IFERROR(INDEX(사건마스터!$AS$5:$AS$64,MATCH($F908,사건마스터!$A$5:$A$64,0)),""))</f>
        <v/>
      </c>
      <c r="V908" s="35">
        <f>IF($F908="","",IFERROR(INDEX(사건마스터!$AT$5:$AT$64,MATCH($F908,사건마스터!$A$5:$A$64,0)),""))</f>
        <v/>
      </c>
      <c r="W908" s="35">
        <f>IF($F908="","",IFERROR(INDEX(사건마스터!$AU$5:$AU$64,MATCH($F908,사건마스터!$A$5:$A$64,0)),""))</f>
        <v/>
      </c>
      <c r="X908" s="35">
        <f>IF($F908="","",IFERROR(INDEX(사건마스터!$AV$5:$AV$64,MATCH($F908,사건마스터!$A$5:$A$64,0)),""))</f>
        <v/>
      </c>
      <c r="Y908" s="30">
        <f>IF($I908="","",COUNTIF($I908:$X908,"?*"))</f>
        <v/>
      </c>
      <c r="Z908" s="33">
        <f>IF($I908="","",_xlfn.TEXTJOIN(", ",TRUE,$I908:$X908))</f>
        <v/>
      </c>
      <c r="AA908" s="34">
        <f>IF($I908="","",IFERROR(INDEX(코드설정!$D$5:$D$24,MATCH($I908,코드설정!$C$5:$C$24,0)),""))</f>
        <v/>
      </c>
      <c r="AB908" s="36" t="n"/>
      <c r="AC908" s="37" t="n"/>
      <c r="AD908" s="38" t="n"/>
      <c r="AE908" s="30">
        <f>IF(OR($B908="",$C908=""),"",$C908-$B908+1)</f>
        <v/>
      </c>
      <c r="AF908" s="32" t="n"/>
      <c r="AG908" s="36" t="n"/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3">
        <f>IF($F909="","",IFERROR(INDEX(사건마스터!$B$5:$B$64,MATCH($F909,사건마스터!$A$5:$A$64,0)),""))</f>
        <v/>
      </c>
      <c r="H909" s="34">
        <f>IF($F909="","",IFERROR(INDEX(사건마스터!$C$5:$C$64,MATCH($F909,사건마스터!$A$5:$A$64,0)),""))</f>
        <v/>
      </c>
      <c r="I909" s="35">
        <f>IF($F909="","",IFERROR(INDEX(사건마스터!$H$5:$H$64,MATCH($F909,사건마스터!$A$5:$A$64,0)),""))</f>
        <v/>
      </c>
      <c r="J909" s="35">
        <f>IF($F909="","",IFERROR(INDEX(사건마스터!$AH$5:$AH$64,MATCH($F909,사건마스터!$A$5:$A$64,0)),""))</f>
        <v/>
      </c>
      <c r="K909" s="35">
        <f>IF($F909="","",IFERROR(INDEX(사건마스터!$AI$5:$AI$64,MATCH($F909,사건마스터!$A$5:$A$64,0)),""))</f>
        <v/>
      </c>
      <c r="L909" s="35">
        <f>IF($F909="","",IFERROR(INDEX(사건마스터!$AJ$5:$AJ$64,MATCH($F909,사건마스터!$A$5:$A$64,0)),""))</f>
        <v/>
      </c>
      <c r="M909" s="35">
        <f>IF($F909="","",IFERROR(INDEX(사건마스터!$AK$5:$AK$64,MATCH($F909,사건마스터!$A$5:$A$64,0)),""))</f>
        <v/>
      </c>
      <c r="N909" s="35">
        <f>IF($F909="","",IFERROR(INDEX(사건마스터!$AL$5:$AL$64,MATCH($F909,사건마스터!$A$5:$A$64,0)),""))</f>
        <v/>
      </c>
      <c r="O909" s="35">
        <f>IF($F909="","",IFERROR(INDEX(사건마스터!$AM$5:$AM$64,MATCH($F909,사건마스터!$A$5:$A$64,0)),""))</f>
        <v/>
      </c>
      <c r="P909" s="35">
        <f>IF($F909="","",IFERROR(INDEX(사건마스터!$AN$5:$AN$64,MATCH($F909,사건마스터!$A$5:$A$64,0)),""))</f>
        <v/>
      </c>
      <c r="Q909" s="35">
        <f>IF($F909="","",IFERROR(INDEX(사건마스터!$AO$5:$AO$64,MATCH($F909,사건마스터!$A$5:$A$64,0)),""))</f>
        <v/>
      </c>
      <c r="R909" s="35">
        <f>IF($F909="","",IFERROR(INDEX(사건마스터!$AP$5:$AP$64,MATCH($F909,사건마스터!$A$5:$A$64,0)),""))</f>
        <v/>
      </c>
      <c r="S909" s="35">
        <f>IF($F909="","",IFERROR(INDEX(사건마스터!$AQ$5:$AQ$64,MATCH($F909,사건마스터!$A$5:$A$64,0)),""))</f>
        <v/>
      </c>
      <c r="T909" s="35">
        <f>IF($F909="","",IFERROR(INDEX(사건마스터!$AR$5:$AR$64,MATCH($F909,사건마스터!$A$5:$A$64,0)),""))</f>
        <v/>
      </c>
      <c r="U909" s="35">
        <f>IF($F909="","",IFERROR(INDEX(사건마스터!$AS$5:$AS$64,MATCH($F909,사건마스터!$A$5:$A$64,0)),""))</f>
        <v/>
      </c>
      <c r="V909" s="35">
        <f>IF($F909="","",IFERROR(INDEX(사건마스터!$AT$5:$AT$64,MATCH($F909,사건마스터!$A$5:$A$64,0)),""))</f>
        <v/>
      </c>
      <c r="W909" s="35">
        <f>IF($F909="","",IFERROR(INDEX(사건마스터!$AU$5:$AU$64,MATCH($F909,사건마스터!$A$5:$A$64,0)),""))</f>
        <v/>
      </c>
      <c r="X909" s="35">
        <f>IF($F909="","",IFERROR(INDEX(사건마스터!$AV$5:$AV$64,MATCH($F909,사건마스터!$A$5:$A$64,0)),""))</f>
        <v/>
      </c>
      <c r="Y909" s="30">
        <f>IF($I909="","",COUNTIF($I909:$X909,"?*"))</f>
        <v/>
      </c>
      <c r="Z909" s="33">
        <f>IF($I909="","",_xlfn.TEXTJOIN(", ",TRUE,$I909:$X909))</f>
        <v/>
      </c>
      <c r="AA909" s="34">
        <f>IF($I909="","",IFERROR(INDEX(코드설정!$D$5:$D$24,MATCH($I909,코드설정!$C$5:$C$24,0)),""))</f>
        <v/>
      </c>
      <c r="AB909" s="36" t="n"/>
      <c r="AC909" s="37" t="n"/>
      <c r="AD909" s="38" t="n"/>
      <c r="AE909" s="30">
        <f>IF(OR($B909="",$C909=""),"",$C909-$B909+1)</f>
        <v/>
      </c>
      <c r="AF909" s="32" t="n"/>
      <c r="AG909" s="36" t="n"/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3">
        <f>IF($F910="","",IFERROR(INDEX(사건마스터!$B$5:$B$64,MATCH($F910,사건마스터!$A$5:$A$64,0)),""))</f>
        <v/>
      </c>
      <c r="H910" s="34">
        <f>IF($F910="","",IFERROR(INDEX(사건마스터!$C$5:$C$64,MATCH($F910,사건마스터!$A$5:$A$64,0)),""))</f>
        <v/>
      </c>
      <c r="I910" s="35">
        <f>IF($F910="","",IFERROR(INDEX(사건마스터!$H$5:$H$64,MATCH($F910,사건마스터!$A$5:$A$64,0)),""))</f>
        <v/>
      </c>
      <c r="J910" s="35">
        <f>IF($F910="","",IFERROR(INDEX(사건마스터!$AH$5:$AH$64,MATCH($F910,사건마스터!$A$5:$A$64,0)),""))</f>
        <v/>
      </c>
      <c r="K910" s="35">
        <f>IF($F910="","",IFERROR(INDEX(사건마스터!$AI$5:$AI$64,MATCH($F910,사건마스터!$A$5:$A$64,0)),""))</f>
        <v/>
      </c>
      <c r="L910" s="35">
        <f>IF($F910="","",IFERROR(INDEX(사건마스터!$AJ$5:$AJ$64,MATCH($F910,사건마스터!$A$5:$A$64,0)),""))</f>
        <v/>
      </c>
      <c r="M910" s="35">
        <f>IF($F910="","",IFERROR(INDEX(사건마스터!$AK$5:$AK$64,MATCH($F910,사건마스터!$A$5:$A$64,0)),""))</f>
        <v/>
      </c>
      <c r="N910" s="35">
        <f>IF($F910="","",IFERROR(INDEX(사건마스터!$AL$5:$AL$64,MATCH($F910,사건마스터!$A$5:$A$64,0)),""))</f>
        <v/>
      </c>
      <c r="O910" s="35">
        <f>IF($F910="","",IFERROR(INDEX(사건마스터!$AM$5:$AM$64,MATCH($F910,사건마스터!$A$5:$A$64,0)),""))</f>
        <v/>
      </c>
      <c r="P910" s="35">
        <f>IF($F910="","",IFERROR(INDEX(사건마스터!$AN$5:$AN$64,MATCH($F910,사건마스터!$A$5:$A$64,0)),""))</f>
        <v/>
      </c>
      <c r="Q910" s="35">
        <f>IF($F910="","",IFERROR(INDEX(사건마스터!$AO$5:$AO$64,MATCH($F910,사건마스터!$A$5:$A$64,0)),""))</f>
        <v/>
      </c>
      <c r="R910" s="35">
        <f>IF($F910="","",IFERROR(INDEX(사건마스터!$AP$5:$AP$64,MATCH($F910,사건마스터!$A$5:$A$64,0)),""))</f>
        <v/>
      </c>
      <c r="S910" s="35">
        <f>IF($F910="","",IFERROR(INDEX(사건마스터!$AQ$5:$AQ$64,MATCH($F910,사건마스터!$A$5:$A$64,0)),""))</f>
        <v/>
      </c>
      <c r="T910" s="35">
        <f>IF($F910="","",IFERROR(INDEX(사건마스터!$AR$5:$AR$64,MATCH($F910,사건마스터!$A$5:$A$64,0)),""))</f>
        <v/>
      </c>
      <c r="U910" s="35">
        <f>IF($F910="","",IFERROR(INDEX(사건마스터!$AS$5:$AS$64,MATCH($F910,사건마스터!$A$5:$A$64,0)),""))</f>
        <v/>
      </c>
      <c r="V910" s="35">
        <f>IF($F910="","",IFERROR(INDEX(사건마스터!$AT$5:$AT$64,MATCH($F910,사건마스터!$A$5:$A$64,0)),""))</f>
        <v/>
      </c>
      <c r="W910" s="35">
        <f>IF($F910="","",IFERROR(INDEX(사건마스터!$AU$5:$AU$64,MATCH($F910,사건마스터!$A$5:$A$64,0)),""))</f>
        <v/>
      </c>
      <c r="X910" s="35">
        <f>IF($F910="","",IFERROR(INDEX(사건마스터!$AV$5:$AV$64,MATCH($F910,사건마스터!$A$5:$A$64,0)),""))</f>
        <v/>
      </c>
      <c r="Y910" s="30">
        <f>IF($I910="","",COUNTIF($I910:$X910,"?*"))</f>
        <v/>
      </c>
      <c r="Z910" s="33">
        <f>IF($I910="","",_xlfn.TEXTJOIN(", ",TRUE,$I910:$X910))</f>
        <v/>
      </c>
      <c r="AA910" s="34">
        <f>IF($I910="","",IFERROR(INDEX(코드설정!$D$5:$D$24,MATCH($I910,코드설정!$C$5:$C$24,0)),""))</f>
        <v/>
      </c>
      <c r="AB910" s="36" t="n"/>
      <c r="AC910" s="37" t="n"/>
      <c r="AD910" s="38" t="n"/>
      <c r="AE910" s="30">
        <f>IF(OR($B910="",$C910=""),"",$C910-$B910+1)</f>
        <v/>
      </c>
      <c r="AF910" s="32" t="n"/>
      <c r="AG910" s="36" t="n"/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3">
        <f>IF($F911="","",IFERROR(INDEX(사건마스터!$B$5:$B$64,MATCH($F911,사건마스터!$A$5:$A$64,0)),""))</f>
        <v/>
      </c>
      <c r="H911" s="34">
        <f>IF($F911="","",IFERROR(INDEX(사건마스터!$C$5:$C$64,MATCH($F911,사건마스터!$A$5:$A$64,0)),""))</f>
        <v/>
      </c>
      <c r="I911" s="35">
        <f>IF($F911="","",IFERROR(INDEX(사건마스터!$H$5:$H$64,MATCH($F911,사건마스터!$A$5:$A$64,0)),""))</f>
        <v/>
      </c>
      <c r="J911" s="35">
        <f>IF($F911="","",IFERROR(INDEX(사건마스터!$AH$5:$AH$64,MATCH($F911,사건마스터!$A$5:$A$64,0)),""))</f>
        <v/>
      </c>
      <c r="K911" s="35">
        <f>IF($F911="","",IFERROR(INDEX(사건마스터!$AI$5:$AI$64,MATCH($F911,사건마스터!$A$5:$A$64,0)),""))</f>
        <v/>
      </c>
      <c r="L911" s="35">
        <f>IF($F911="","",IFERROR(INDEX(사건마스터!$AJ$5:$AJ$64,MATCH($F911,사건마스터!$A$5:$A$64,0)),""))</f>
        <v/>
      </c>
      <c r="M911" s="35">
        <f>IF($F911="","",IFERROR(INDEX(사건마스터!$AK$5:$AK$64,MATCH($F911,사건마스터!$A$5:$A$64,0)),""))</f>
        <v/>
      </c>
      <c r="N911" s="35">
        <f>IF($F911="","",IFERROR(INDEX(사건마스터!$AL$5:$AL$64,MATCH($F911,사건마스터!$A$5:$A$64,0)),""))</f>
        <v/>
      </c>
      <c r="O911" s="35">
        <f>IF($F911="","",IFERROR(INDEX(사건마스터!$AM$5:$AM$64,MATCH($F911,사건마스터!$A$5:$A$64,0)),""))</f>
        <v/>
      </c>
      <c r="P911" s="35">
        <f>IF($F911="","",IFERROR(INDEX(사건마스터!$AN$5:$AN$64,MATCH($F911,사건마스터!$A$5:$A$64,0)),""))</f>
        <v/>
      </c>
      <c r="Q911" s="35">
        <f>IF($F911="","",IFERROR(INDEX(사건마스터!$AO$5:$AO$64,MATCH($F911,사건마스터!$A$5:$A$64,0)),""))</f>
        <v/>
      </c>
      <c r="R911" s="35">
        <f>IF($F911="","",IFERROR(INDEX(사건마스터!$AP$5:$AP$64,MATCH($F911,사건마스터!$A$5:$A$64,0)),""))</f>
        <v/>
      </c>
      <c r="S911" s="35">
        <f>IF($F911="","",IFERROR(INDEX(사건마스터!$AQ$5:$AQ$64,MATCH($F911,사건마스터!$A$5:$A$64,0)),""))</f>
        <v/>
      </c>
      <c r="T911" s="35">
        <f>IF($F911="","",IFERROR(INDEX(사건마스터!$AR$5:$AR$64,MATCH($F911,사건마스터!$A$5:$A$64,0)),""))</f>
        <v/>
      </c>
      <c r="U911" s="35">
        <f>IF($F911="","",IFERROR(INDEX(사건마스터!$AS$5:$AS$64,MATCH($F911,사건마스터!$A$5:$A$64,0)),""))</f>
        <v/>
      </c>
      <c r="V911" s="35">
        <f>IF($F911="","",IFERROR(INDEX(사건마스터!$AT$5:$AT$64,MATCH($F911,사건마스터!$A$5:$A$64,0)),""))</f>
        <v/>
      </c>
      <c r="W911" s="35">
        <f>IF($F911="","",IFERROR(INDEX(사건마스터!$AU$5:$AU$64,MATCH($F911,사건마스터!$A$5:$A$64,0)),""))</f>
        <v/>
      </c>
      <c r="X911" s="35">
        <f>IF($F911="","",IFERROR(INDEX(사건마스터!$AV$5:$AV$64,MATCH($F911,사건마스터!$A$5:$A$64,0)),""))</f>
        <v/>
      </c>
      <c r="Y911" s="30">
        <f>IF($I911="","",COUNTIF($I911:$X911,"?*"))</f>
        <v/>
      </c>
      <c r="Z911" s="33">
        <f>IF($I911="","",_xlfn.TEXTJOIN(", ",TRUE,$I911:$X911))</f>
        <v/>
      </c>
      <c r="AA911" s="34">
        <f>IF($I911="","",IFERROR(INDEX(코드설정!$D$5:$D$24,MATCH($I911,코드설정!$C$5:$C$24,0)),""))</f>
        <v/>
      </c>
      <c r="AB911" s="36" t="n"/>
      <c r="AC911" s="37" t="n"/>
      <c r="AD911" s="38" t="n"/>
      <c r="AE911" s="30">
        <f>IF(OR($B911="",$C911=""),"",$C911-$B911+1)</f>
        <v/>
      </c>
      <c r="AF911" s="32" t="n"/>
      <c r="AG911" s="36" t="n"/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3">
        <f>IF($F912="","",IFERROR(INDEX(사건마스터!$B$5:$B$64,MATCH($F912,사건마스터!$A$5:$A$64,0)),""))</f>
        <v/>
      </c>
      <c r="H912" s="34">
        <f>IF($F912="","",IFERROR(INDEX(사건마스터!$C$5:$C$64,MATCH($F912,사건마스터!$A$5:$A$64,0)),""))</f>
        <v/>
      </c>
      <c r="I912" s="35">
        <f>IF($F912="","",IFERROR(INDEX(사건마스터!$H$5:$H$64,MATCH($F912,사건마스터!$A$5:$A$64,0)),""))</f>
        <v/>
      </c>
      <c r="J912" s="35">
        <f>IF($F912="","",IFERROR(INDEX(사건마스터!$AH$5:$AH$64,MATCH($F912,사건마스터!$A$5:$A$64,0)),""))</f>
        <v/>
      </c>
      <c r="K912" s="35">
        <f>IF($F912="","",IFERROR(INDEX(사건마스터!$AI$5:$AI$64,MATCH($F912,사건마스터!$A$5:$A$64,0)),""))</f>
        <v/>
      </c>
      <c r="L912" s="35">
        <f>IF($F912="","",IFERROR(INDEX(사건마스터!$AJ$5:$AJ$64,MATCH($F912,사건마스터!$A$5:$A$64,0)),""))</f>
        <v/>
      </c>
      <c r="M912" s="35">
        <f>IF($F912="","",IFERROR(INDEX(사건마스터!$AK$5:$AK$64,MATCH($F912,사건마스터!$A$5:$A$64,0)),""))</f>
        <v/>
      </c>
      <c r="N912" s="35">
        <f>IF($F912="","",IFERROR(INDEX(사건마스터!$AL$5:$AL$64,MATCH($F912,사건마스터!$A$5:$A$64,0)),""))</f>
        <v/>
      </c>
      <c r="O912" s="35">
        <f>IF($F912="","",IFERROR(INDEX(사건마스터!$AM$5:$AM$64,MATCH($F912,사건마스터!$A$5:$A$64,0)),""))</f>
        <v/>
      </c>
      <c r="P912" s="35">
        <f>IF($F912="","",IFERROR(INDEX(사건마스터!$AN$5:$AN$64,MATCH($F912,사건마스터!$A$5:$A$64,0)),""))</f>
        <v/>
      </c>
      <c r="Q912" s="35">
        <f>IF($F912="","",IFERROR(INDEX(사건마스터!$AO$5:$AO$64,MATCH($F912,사건마스터!$A$5:$A$64,0)),""))</f>
        <v/>
      </c>
      <c r="R912" s="35">
        <f>IF($F912="","",IFERROR(INDEX(사건마스터!$AP$5:$AP$64,MATCH($F912,사건마스터!$A$5:$A$64,0)),""))</f>
        <v/>
      </c>
      <c r="S912" s="35">
        <f>IF($F912="","",IFERROR(INDEX(사건마스터!$AQ$5:$AQ$64,MATCH($F912,사건마스터!$A$5:$A$64,0)),""))</f>
        <v/>
      </c>
      <c r="T912" s="35">
        <f>IF($F912="","",IFERROR(INDEX(사건마스터!$AR$5:$AR$64,MATCH($F912,사건마스터!$A$5:$A$64,0)),""))</f>
        <v/>
      </c>
      <c r="U912" s="35">
        <f>IF($F912="","",IFERROR(INDEX(사건마스터!$AS$5:$AS$64,MATCH($F912,사건마스터!$A$5:$A$64,0)),""))</f>
        <v/>
      </c>
      <c r="V912" s="35">
        <f>IF($F912="","",IFERROR(INDEX(사건마스터!$AT$5:$AT$64,MATCH($F912,사건마스터!$A$5:$A$64,0)),""))</f>
        <v/>
      </c>
      <c r="W912" s="35">
        <f>IF($F912="","",IFERROR(INDEX(사건마스터!$AU$5:$AU$64,MATCH($F912,사건마스터!$A$5:$A$64,0)),""))</f>
        <v/>
      </c>
      <c r="X912" s="35">
        <f>IF($F912="","",IFERROR(INDEX(사건마스터!$AV$5:$AV$64,MATCH($F912,사건마스터!$A$5:$A$64,0)),""))</f>
        <v/>
      </c>
      <c r="Y912" s="30">
        <f>IF($I912="","",COUNTIF($I912:$X912,"?*"))</f>
        <v/>
      </c>
      <c r="Z912" s="33">
        <f>IF($I912="","",_xlfn.TEXTJOIN(", ",TRUE,$I912:$X912))</f>
        <v/>
      </c>
      <c r="AA912" s="34">
        <f>IF($I912="","",IFERROR(INDEX(코드설정!$D$5:$D$24,MATCH($I912,코드설정!$C$5:$C$24,0)),""))</f>
        <v/>
      </c>
      <c r="AB912" s="36" t="n"/>
      <c r="AC912" s="37" t="n"/>
      <c r="AD912" s="38" t="n"/>
      <c r="AE912" s="30">
        <f>IF(OR($B912="",$C912=""),"",$C912-$B912+1)</f>
        <v/>
      </c>
      <c r="AF912" s="32" t="n"/>
      <c r="AG912" s="36" t="n"/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3">
        <f>IF($F913="","",IFERROR(INDEX(사건마스터!$B$5:$B$64,MATCH($F913,사건마스터!$A$5:$A$64,0)),""))</f>
        <v/>
      </c>
      <c r="H913" s="34">
        <f>IF($F913="","",IFERROR(INDEX(사건마스터!$C$5:$C$64,MATCH($F913,사건마스터!$A$5:$A$64,0)),""))</f>
        <v/>
      </c>
      <c r="I913" s="35">
        <f>IF($F913="","",IFERROR(INDEX(사건마스터!$H$5:$H$64,MATCH($F913,사건마스터!$A$5:$A$64,0)),""))</f>
        <v/>
      </c>
      <c r="J913" s="35">
        <f>IF($F913="","",IFERROR(INDEX(사건마스터!$AH$5:$AH$64,MATCH($F913,사건마스터!$A$5:$A$64,0)),""))</f>
        <v/>
      </c>
      <c r="K913" s="35">
        <f>IF($F913="","",IFERROR(INDEX(사건마스터!$AI$5:$AI$64,MATCH($F913,사건마스터!$A$5:$A$64,0)),""))</f>
        <v/>
      </c>
      <c r="L913" s="35">
        <f>IF($F913="","",IFERROR(INDEX(사건마스터!$AJ$5:$AJ$64,MATCH($F913,사건마스터!$A$5:$A$64,0)),""))</f>
        <v/>
      </c>
      <c r="M913" s="35">
        <f>IF($F913="","",IFERROR(INDEX(사건마스터!$AK$5:$AK$64,MATCH($F913,사건마스터!$A$5:$A$64,0)),""))</f>
        <v/>
      </c>
      <c r="N913" s="35">
        <f>IF($F913="","",IFERROR(INDEX(사건마스터!$AL$5:$AL$64,MATCH($F913,사건마스터!$A$5:$A$64,0)),""))</f>
        <v/>
      </c>
      <c r="O913" s="35">
        <f>IF($F913="","",IFERROR(INDEX(사건마스터!$AM$5:$AM$64,MATCH($F913,사건마스터!$A$5:$A$64,0)),""))</f>
        <v/>
      </c>
      <c r="P913" s="35">
        <f>IF($F913="","",IFERROR(INDEX(사건마스터!$AN$5:$AN$64,MATCH($F913,사건마스터!$A$5:$A$64,0)),""))</f>
        <v/>
      </c>
      <c r="Q913" s="35">
        <f>IF($F913="","",IFERROR(INDEX(사건마스터!$AO$5:$AO$64,MATCH($F913,사건마스터!$A$5:$A$64,0)),""))</f>
        <v/>
      </c>
      <c r="R913" s="35">
        <f>IF($F913="","",IFERROR(INDEX(사건마스터!$AP$5:$AP$64,MATCH($F913,사건마스터!$A$5:$A$64,0)),""))</f>
        <v/>
      </c>
      <c r="S913" s="35">
        <f>IF($F913="","",IFERROR(INDEX(사건마스터!$AQ$5:$AQ$64,MATCH($F913,사건마스터!$A$5:$A$64,0)),""))</f>
        <v/>
      </c>
      <c r="T913" s="35">
        <f>IF($F913="","",IFERROR(INDEX(사건마스터!$AR$5:$AR$64,MATCH($F913,사건마스터!$A$5:$A$64,0)),""))</f>
        <v/>
      </c>
      <c r="U913" s="35">
        <f>IF($F913="","",IFERROR(INDEX(사건마스터!$AS$5:$AS$64,MATCH($F913,사건마스터!$A$5:$A$64,0)),""))</f>
        <v/>
      </c>
      <c r="V913" s="35">
        <f>IF($F913="","",IFERROR(INDEX(사건마스터!$AT$5:$AT$64,MATCH($F913,사건마스터!$A$5:$A$64,0)),""))</f>
        <v/>
      </c>
      <c r="W913" s="35">
        <f>IF($F913="","",IFERROR(INDEX(사건마스터!$AU$5:$AU$64,MATCH($F913,사건마스터!$A$5:$A$64,0)),""))</f>
        <v/>
      </c>
      <c r="X913" s="35">
        <f>IF($F913="","",IFERROR(INDEX(사건마스터!$AV$5:$AV$64,MATCH($F913,사건마스터!$A$5:$A$64,0)),""))</f>
        <v/>
      </c>
      <c r="Y913" s="30">
        <f>IF($I913="","",COUNTIF($I913:$X913,"?*"))</f>
        <v/>
      </c>
      <c r="Z913" s="33">
        <f>IF($I913="","",_xlfn.TEXTJOIN(", ",TRUE,$I913:$X913))</f>
        <v/>
      </c>
      <c r="AA913" s="34">
        <f>IF($I913="","",IFERROR(INDEX(코드설정!$D$5:$D$24,MATCH($I913,코드설정!$C$5:$C$24,0)),""))</f>
        <v/>
      </c>
      <c r="AB913" s="36" t="n"/>
      <c r="AC913" s="37" t="n"/>
      <c r="AD913" s="38" t="n"/>
      <c r="AE913" s="30">
        <f>IF(OR($B913="",$C913=""),"",$C913-$B913+1)</f>
        <v/>
      </c>
      <c r="AF913" s="32" t="n"/>
      <c r="AG913" s="36" t="n"/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3">
        <f>IF($F914="","",IFERROR(INDEX(사건마스터!$B$5:$B$64,MATCH($F914,사건마스터!$A$5:$A$64,0)),""))</f>
        <v/>
      </c>
      <c r="H914" s="34">
        <f>IF($F914="","",IFERROR(INDEX(사건마스터!$C$5:$C$64,MATCH($F914,사건마스터!$A$5:$A$64,0)),""))</f>
        <v/>
      </c>
      <c r="I914" s="35">
        <f>IF($F914="","",IFERROR(INDEX(사건마스터!$H$5:$H$64,MATCH($F914,사건마스터!$A$5:$A$64,0)),""))</f>
        <v/>
      </c>
      <c r="J914" s="35">
        <f>IF($F914="","",IFERROR(INDEX(사건마스터!$AH$5:$AH$64,MATCH($F914,사건마스터!$A$5:$A$64,0)),""))</f>
        <v/>
      </c>
      <c r="K914" s="35">
        <f>IF($F914="","",IFERROR(INDEX(사건마스터!$AI$5:$AI$64,MATCH($F914,사건마스터!$A$5:$A$64,0)),""))</f>
        <v/>
      </c>
      <c r="L914" s="35">
        <f>IF($F914="","",IFERROR(INDEX(사건마스터!$AJ$5:$AJ$64,MATCH($F914,사건마스터!$A$5:$A$64,0)),""))</f>
        <v/>
      </c>
      <c r="M914" s="35">
        <f>IF($F914="","",IFERROR(INDEX(사건마스터!$AK$5:$AK$64,MATCH($F914,사건마스터!$A$5:$A$64,0)),""))</f>
        <v/>
      </c>
      <c r="N914" s="35">
        <f>IF($F914="","",IFERROR(INDEX(사건마스터!$AL$5:$AL$64,MATCH($F914,사건마스터!$A$5:$A$64,0)),""))</f>
        <v/>
      </c>
      <c r="O914" s="35">
        <f>IF($F914="","",IFERROR(INDEX(사건마스터!$AM$5:$AM$64,MATCH($F914,사건마스터!$A$5:$A$64,0)),""))</f>
        <v/>
      </c>
      <c r="P914" s="35">
        <f>IF($F914="","",IFERROR(INDEX(사건마스터!$AN$5:$AN$64,MATCH($F914,사건마스터!$A$5:$A$64,0)),""))</f>
        <v/>
      </c>
      <c r="Q914" s="35">
        <f>IF($F914="","",IFERROR(INDEX(사건마스터!$AO$5:$AO$64,MATCH($F914,사건마스터!$A$5:$A$64,0)),""))</f>
        <v/>
      </c>
      <c r="R914" s="35">
        <f>IF($F914="","",IFERROR(INDEX(사건마스터!$AP$5:$AP$64,MATCH($F914,사건마스터!$A$5:$A$64,0)),""))</f>
        <v/>
      </c>
      <c r="S914" s="35">
        <f>IF($F914="","",IFERROR(INDEX(사건마스터!$AQ$5:$AQ$64,MATCH($F914,사건마스터!$A$5:$A$64,0)),""))</f>
        <v/>
      </c>
      <c r="T914" s="35">
        <f>IF($F914="","",IFERROR(INDEX(사건마스터!$AR$5:$AR$64,MATCH($F914,사건마스터!$A$5:$A$64,0)),""))</f>
        <v/>
      </c>
      <c r="U914" s="35">
        <f>IF($F914="","",IFERROR(INDEX(사건마스터!$AS$5:$AS$64,MATCH($F914,사건마스터!$A$5:$A$64,0)),""))</f>
        <v/>
      </c>
      <c r="V914" s="35">
        <f>IF($F914="","",IFERROR(INDEX(사건마스터!$AT$5:$AT$64,MATCH($F914,사건마스터!$A$5:$A$64,0)),""))</f>
        <v/>
      </c>
      <c r="W914" s="35">
        <f>IF($F914="","",IFERROR(INDEX(사건마스터!$AU$5:$AU$64,MATCH($F914,사건마스터!$A$5:$A$64,0)),""))</f>
        <v/>
      </c>
      <c r="X914" s="35">
        <f>IF($F914="","",IFERROR(INDEX(사건마스터!$AV$5:$AV$64,MATCH($F914,사건마스터!$A$5:$A$64,0)),""))</f>
        <v/>
      </c>
      <c r="Y914" s="30">
        <f>IF($I914="","",COUNTIF($I914:$X914,"?*"))</f>
        <v/>
      </c>
      <c r="Z914" s="33">
        <f>IF($I914="","",_xlfn.TEXTJOIN(", ",TRUE,$I914:$X914))</f>
        <v/>
      </c>
      <c r="AA914" s="34">
        <f>IF($I914="","",IFERROR(INDEX(코드설정!$D$5:$D$24,MATCH($I914,코드설정!$C$5:$C$24,0)),""))</f>
        <v/>
      </c>
      <c r="AB914" s="36" t="n"/>
      <c r="AC914" s="37" t="n"/>
      <c r="AD914" s="38" t="n"/>
      <c r="AE914" s="30">
        <f>IF(OR($B914="",$C914=""),"",$C914-$B914+1)</f>
        <v/>
      </c>
      <c r="AF914" s="32" t="n"/>
      <c r="AG914" s="36" t="n"/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3">
        <f>IF($F915="","",IFERROR(INDEX(사건마스터!$B$5:$B$64,MATCH($F915,사건마스터!$A$5:$A$64,0)),""))</f>
        <v/>
      </c>
      <c r="H915" s="34">
        <f>IF($F915="","",IFERROR(INDEX(사건마스터!$C$5:$C$64,MATCH($F915,사건마스터!$A$5:$A$64,0)),""))</f>
        <v/>
      </c>
      <c r="I915" s="35">
        <f>IF($F915="","",IFERROR(INDEX(사건마스터!$H$5:$H$64,MATCH($F915,사건마스터!$A$5:$A$64,0)),""))</f>
        <v/>
      </c>
      <c r="J915" s="35">
        <f>IF($F915="","",IFERROR(INDEX(사건마스터!$AH$5:$AH$64,MATCH($F915,사건마스터!$A$5:$A$64,0)),""))</f>
        <v/>
      </c>
      <c r="K915" s="35">
        <f>IF($F915="","",IFERROR(INDEX(사건마스터!$AI$5:$AI$64,MATCH($F915,사건마스터!$A$5:$A$64,0)),""))</f>
        <v/>
      </c>
      <c r="L915" s="35">
        <f>IF($F915="","",IFERROR(INDEX(사건마스터!$AJ$5:$AJ$64,MATCH($F915,사건마스터!$A$5:$A$64,0)),""))</f>
        <v/>
      </c>
      <c r="M915" s="35">
        <f>IF($F915="","",IFERROR(INDEX(사건마스터!$AK$5:$AK$64,MATCH($F915,사건마스터!$A$5:$A$64,0)),""))</f>
        <v/>
      </c>
      <c r="N915" s="35">
        <f>IF($F915="","",IFERROR(INDEX(사건마스터!$AL$5:$AL$64,MATCH($F915,사건마스터!$A$5:$A$64,0)),""))</f>
        <v/>
      </c>
      <c r="O915" s="35">
        <f>IF($F915="","",IFERROR(INDEX(사건마스터!$AM$5:$AM$64,MATCH($F915,사건마스터!$A$5:$A$64,0)),""))</f>
        <v/>
      </c>
      <c r="P915" s="35">
        <f>IF($F915="","",IFERROR(INDEX(사건마스터!$AN$5:$AN$64,MATCH($F915,사건마스터!$A$5:$A$64,0)),""))</f>
        <v/>
      </c>
      <c r="Q915" s="35">
        <f>IF($F915="","",IFERROR(INDEX(사건마스터!$AO$5:$AO$64,MATCH($F915,사건마스터!$A$5:$A$64,0)),""))</f>
        <v/>
      </c>
      <c r="R915" s="35">
        <f>IF($F915="","",IFERROR(INDEX(사건마스터!$AP$5:$AP$64,MATCH($F915,사건마스터!$A$5:$A$64,0)),""))</f>
        <v/>
      </c>
      <c r="S915" s="35">
        <f>IF($F915="","",IFERROR(INDEX(사건마스터!$AQ$5:$AQ$64,MATCH($F915,사건마스터!$A$5:$A$64,0)),""))</f>
        <v/>
      </c>
      <c r="T915" s="35">
        <f>IF($F915="","",IFERROR(INDEX(사건마스터!$AR$5:$AR$64,MATCH($F915,사건마스터!$A$5:$A$64,0)),""))</f>
        <v/>
      </c>
      <c r="U915" s="35">
        <f>IF($F915="","",IFERROR(INDEX(사건마스터!$AS$5:$AS$64,MATCH($F915,사건마스터!$A$5:$A$64,0)),""))</f>
        <v/>
      </c>
      <c r="V915" s="35">
        <f>IF($F915="","",IFERROR(INDEX(사건마스터!$AT$5:$AT$64,MATCH($F915,사건마스터!$A$5:$A$64,0)),""))</f>
        <v/>
      </c>
      <c r="W915" s="35">
        <f>IF($F915="","",IFERROR(INDEX(사건마스터!$AU$5:$AU$64,MATCH($F915,사건마스터!$A$5:$A$64,0)),""))</f>
        <v/>
      </c>
      <c r="X915" s="35">
        <f>IF($F915="","",IFERROR(INDEX(사건마스터!$AV$5:$AV$64,MATCH($F915,사건마스터!$A$5:$A$64,0)),""))</f>
        <v/>
      </c>
      <c r="Y915" s="30">
        <f>IF($I915="","",COUNTIF($I915:$X915,"?*"))</f>
        <v/>
      </c>
      <c r="Z915" s="33">
        <f>IF($I915="","",_xlfn.TEXTJOIN(", ",TRUE,$I915:$X915))</f>
        <v/>
      </c>
      <c r="AA915" s="34">
        <f>IF($I915="","",IFERROR(INDEX(코드설정!$D$5:$D$24,MATCH($I915,코드설정!$C$5:$C$24,0)),""))</f>
        <v/>
      </c>
      <c r="AB915" s="36" t="n"/>
      <c r="AC915" s="37" t="n"/>
      <c r="AD915" s="38" t="n"/>
      <c r="AE915" s="30">
        <f>IF(OR($B915="",$C915=""),"",$C915-$B915+1)</f>
        <v/>
      </c>
      <c r="AF915" s="32" t="n"/>
      <c r="AG915" s="36" t="n"/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3">
        <f>IF($F916="","",IFERROR(INDEX(사건마스터!$B$5:$B$64,MATCH($F916,사건마스터!$A$5:$A$64,0)),""))</f>
        <v/>
      </c>
      <c r="H916" s="34">
        <f>IF($F916="","",IFERROR(INDEX(사건마스터!$C$5:$C$64,MATCH($F916,사건마스터!$A$5:$A$64,0)),""))</f>
        <v/>
      </c>
      <c r="I916" s="35">
        <f>IF($F916="","",IFERROR(INDEX(사건마스터!$H$5:$H$64,MATCH($F916,사건마스터!$A$5:$A$64,0)),""))</f>
        <v/>
      </c>
      <c r="J916" s="35">
        <f>IF($F916="","",IFERROR(INDEX(사건마스터!$AH$5:$AH$64,MATCH($F916,사건마스터!$A$5:$A$64,0)),""))</f>
        <v/>
      </c>
      <c r="K916" s="35">
        <f>IF($F916="","",IFERROR(INDEX(사건마스터!$AI$5:$AI$64,MATCH($F916,사건마스터!$A$5:$A$64,0)),""))</f>
        <v/>
      </c>
      <c r="L916" s="35">
        <f>IF($F916="","",IFERROR(INDEX(사건마스터!$AJ$5:$AJ$64,MATCH($F916,사건마스터!$A$5:$A$64,0)),""))</f>
        <v/>
      </c>
      <c r="M916" s="35">
        <f>IF($F916="","",IFERROR(INDEX(사건마스터!$AK$5:$AK$64,MATCH($F916,사건마스터!$A$5:$A$64,0)),""))</f>
        <v/>
      </c>
      <c r="N916" s="35">
        <f>IF($F916="","",IFERROR(INDEX(사건마스터!$AL$5:$AL$64,MATCH($F916,사건마스터!$A$5:$A$64,0)),""))</f>
        <v/>
      </c>
      <c r="O916" s="35">
        <f>IF($F916="","",IFERROR(INDEX(사건마스터!$AM$5:$AM$64,MATCH($F916,사건마스터!$A$5:$A$64,0)),""))</f>
        <v/>
      </c>
      <c r="P916" s="35">
        <f>IF($F916="","",IFERROR(INDEX(사건마스터!$AN$5:$AN$64,MATCH($F916,사건마스터!$A$5:$A$64,0)),""))</f>
        <v/>
      </c>
      <c r="Q916" s="35">
        <f>IF($F916="","",IFERROR(INDEX(사건마스터!$AO$5:$AO$64,MATCH($F916,사건마스터!$A$5:$A$64,0)),""))</f>
        <v/>
      </c>
      <c r="R916" s="35">
        <f>IF($F916="","",IFERROR(INDEX(사건마스터!$AP$5:$AP$64,MATCH($F916,사건마스터!$A$5:$A$64,0)),""))</f>
        <v/>
      </c>
      <c r="S916" s="35">
        <f>IF($F916="","",IFERROR(INDEX(사건마스터!$AQ$5:$AQ$64,MATCH($F916,사건마스터!$A$5:$A$64,0)),""))</f>
        <v/>
      </c>
      <c r="T916" s="35">
        <f>IF($F916="","",IFERROR(INDEX(사건마스터!$AR$5:$AR$64,MATCH($F916,사건마스터!$A$5:$A$64,0)),""))</f>
        <v/>
      </c>
      <c r="U916" s="35">
        <f>IF($F916="","",IFERROR(INDEX(사건마스터!$AS$5:$AS$64,MATCH($F916,사건마스터!$A$5:$A$64,0)),""))</f>
        <v/>
      </c>
      <c r="V916" s="35">
        <f>IF($F916="","",IFERROR(INDEX(사건마스터!$AT$5:$AT$64,MATCH($F916,사건마스터!$A$5:$A$64,0)),""))</f>
        <v/>
      </c>
      <c r="W916" s="35">
        <f>IF($F916="","",IFERROR(INDEX(사건마스터!$AU$5:$AU$64,MATCH($F916,사건마스터!$A$5:$A$64,0)),""))</f>
        <v/>
      </c>
      <c r="X916" s="35">
        <f>IF($F916="","",IFERROR(INDEX(사건마스터!$AV$5:$AV$64,MATCH($F916,사건마스터!$A$5:$A$64,0)),""))</f>
        <v/>
      </c>
      <c r="Y916" s="30">
        <f>IF($I916="","",COUNTIF($I916:$X916,"?*"))</f>
        <v/>
      </c>
      <c r="Z916" s="33">
        <f>IF($I916="","",_xlfn.TEXTJOIN(", ",TRUE,$I916:$X916))</f>
        <v/>
      </c>
      <c r="AA916" s="34">
        <f>IF($I916="","",IFERROR(INDEX(코드설정!$D$5:$D$24,MATCH($I916,코드설정!$C$5:$C$24,0)),""))</f>
        <v/>
      </c>
      <c r="AB916" s="36" t="n"/>
      <c r="AC916" s="37" t="n"/>
      <c r="AD916" s="38" t="n"/>
      <c r="AE916" s="30">
        <f>IF(OR($B916="",$C916=""),"",$C916-$B916+1)</f>
        <v/>
      </c>
      <c r="AF916" s="32" t="n"/>
      <c r="AG916" s="36" t="n"/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3">
        <f>IF($F917="","",IFERROR(INDEX(사건마스터!$B$5:$B$64,MATCH($F917,사건마스터!$A$5:$A$64,0)),""))</f>
        <v/>
      </c>
      <c r="H917" s="34">
        <f>IF($F917="","",IFERROR(INDEX(사건마스터!$C$5:$C$64,MATCH($F917,사건마스터!$A$5:$A$64,0)),""))</f>
        <v/>
      </c>
      <c r="I917" s="35">
        <f>IF($F917="","",IFERROR(INDEX(사건마스터!$H$5:$H$64,MATCH($F917,사건마스터!$A$5:$A$64,0)),""))</f>
        <v/>
      </c>
      <c r="J917" s="35">
        <f>IF($F917="","",IFERROR(INDEX(사건마스터!$AH$5:$AH$64,MATCH($F917,사건마스터!$A$5:$A$64,0)),""))</f>
        <v/>
      </c>
      <c r="K917" s="35">
        <f>IF($F917="","",IFERROR(INDEX(사건마스터!$AI$5:$AI$64,MATCH($F917,사건마스터!$A$5:$A$64,0)),""))</f>
        <v/>
      </c>
      <c r="L917" s="35">
        <f>IF($F917="","",IFERROR(INDEX(사건마스터!$AJ$5:$AJ$64,MATCH($F917,사건마스터!$A$5:$A$64,0)),""))</f>
        <v/>
      </c>
      <c r="M917" s="35">
        <f>IF($F917="","",IFERROR(INDEX(사건마스터!$AK$5:$AK$64,MATCH($F917,사건마스터!$A$5:$A$64,0)),""))</f>
        <v/>
      </c>
      <c r="N917" s="35">
        <f>IF($F917="","",IFERROR(INDEX(사건마스터!$AL$5:$AL$64,MATCH($F917,사건마스터!$A$5:$A$64,0)),""))</f>
        <v/>
      </c>
      <c r="O917" s="35">
        <f>IF($F917="","",IFERROR(INDEX(사건마스터!$AM$5:$AM$64,MATCH($F917,사건마스터!$A$5:$A$64,0)),""))</f>
        <v/>
      </c>
      <c r="P917" s="35">
        <f>IF($F917="","",IFERROR(INDEX(사건마스터!$AN$5:$AN$64,MATCH($F917,사건마스터!$A$5:$A$64,0)),""))</f>
        <v/>
      </c>
      <c r="Q917" s="35">
        <f>IF($F917="","",IFERROR(INDEX(사건마스터!$AO$5:$AO$64,MATCH($F917,사건마스터!$A$5:$A$64,0)),""))</f>
        <v/>
      </c>
      <c r="R917" s="35">
        <f>IF($F917="","",IFERROR(INDEX(사건마스터!$AP$5:$AP$64,MATCH($F917,사건마스터!$A$5:$A$64,0)),""))</f>
        <v/>
      </c>
      <c r="S917" s="35">
        <f>IF($F917="","",IFERROR(INDEX(사건마스터!$AQ$5:$AQ$64,MATCH($F917,사건마스터!$A$5:$A$64,0)),""))</f>
        <v/>
      </c>
      <c r="T917" s="35">
        <f>IF($F917="","",IFERROR(INDEX(사건마스터!$AR$5:$AR$64,MATCH($F917,사건마스터!$A$5:$A$64,0)),""))</f>
        <v/>
      </c>
      <c r="U917" s="35">
        <f>IF($F917="","",IFERROR(INDEX(사건마스터!$AS$5:$AS$64,MATCH($F917,사건마스터!$A$5:$A$64,0)),""))</f>
        <v/>
      </c>
      <c r="V917" s="35">
        <f>IF($F917="","",IFERROR(INDEX(사건마스터!$AT$5:$AT$64,MATCH($F917,사건마스터!$A$5:$A$64,0)),""))</f>
        <v/>
      </c>
      <c r="W917" s="35">
        <f>IF($F917="","",IFERROR(INDEX(사건마스터!$AU$5:$AU$64,MATCH($F917,사건마스터!$A$5:$A$64,0)),""))</f>
        <v/>
      </c>
      <c r="X917" s="35">
        <f>IF($F917="","",IFERROR(INDEX(사건마스터!$AV$5:$AV$64,MATCH($F917,사건마스터!$A$5:$A$64,0)),""))</f>
        <v/>
      </c>
      <c r="Y917" s="30">
        <f>IF($I917="","",COUNTIF($I917:$X917,"?*"))</f>
        <v/>
      </c>
      <c r="Z917" s="33">
        <f>IF($I917="","",_xlfn.TEXTJOIN(", ",TRUE,$I917:$X917))</f>
        <v/>
      </c>
      <c r="AA917" s="34">
        <f>IF($I917="","",IFERROR(INDEX(코드설정!$D$5:$D$24,MATCH($I917,코드설정!$C$5:$C$24,0)),""))</f>
        <v/>
      </c>
      <c r="AB917" s="36" t="n"/>
      <c r="AC917" s="37" t="n"/>
      <c r="AD917" s="38" t="n"/>
      <c r="AE917" s="30">
        <f>IF(OR($B917="",$C917=""),"",$C917-$B917+1)</f>
        <v/>
      </c>
      <c r="AF917" s="32" t="n"/>
      <c r="AG917" s="36" t="n"/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3">
        <f>IF($F918="","",IFERROR(INDEX(사건마스터!$B$5:$B$64,MATCH($F918,사건마스터!$A$5:$A$64,0)),""))</f>
        <v/>
      </c>
      <c r="H918" s="34">
        <f>IF($F918="","",IFERROR(INDEX(사건마스터!$C$5:$C$64,MATCH($F918,사건마스터!$A$5:$A$64,0)),""))</f>
        <v/>
      </c>
      <c r="I918" s="35">
        <f>IF($F918="","",IFERROR(INDEX(사건마스터!$H$5:$H$64,MATCH($F918,사건마스터!$A$5:$A$64,0)),""))</f>
        <v/>
      </c>
      <c r="J918" s="35">
        <f>IF($F918="","",IFERROR(INDEX(사건마스터!$AH$5:$AH$64,MATCH($F918,사건마스터!$A$5:$A$64,0)),""))</f>
        <v/>
      </c>
      <c r="K918" s="35">
        <f>IF($F918="","",IFERROR(INDEX(사건마스터!$AI$5:$AI$64,MATCH($F918,사건마스터!$A$5:$A$64,0)),""))</f>
        <v/>
      </c>
      <c r="L918" s="35">
        <f>IF($F918="","",IFERROR(INDEX(사건마스터!$AJ$5:$AJ$64,MATCH($F918,사건마스터!$A$5:$A$64,0)),""))</f>
        <v/>
      </c>
      <c r="M918" s="35">
        <f>IF($F918="","",IFERROR(INDEX(사건마스터!$AK$5:$AK$64,MATCH($F918,사건마스터!$A$5:$A$64,0)),""))</f>
        <v/>
      </c>
      <c r="N918" s="35">
        <f>IF($F918="","",IFERROR(INDEX(사건마스터!$AL$5:$AL$64,MATCH($F918,사건마스터!$A$5:$A$64,0)),""))</f>
        <v/>
      </c>
      <c r="O918" s="35">
        <f>IF($F918="","",IFERROR(INDEX(사건마스터!$AM$5:$AM$64,MATCH($F918,사건마스터!$A$5:$A$64,0)),""))</f>
        <v/>
      </c>
      <c r="P918" s="35">
        <f>IF($F918="","",IFERROR(INDEX(사건마스터!$AN$5:$AN$64,MATCH($F918,사건마스터!$A$5:$A$64,0)),""))</f>
        <v/>
      </c>
      <c r="Q918" s="35">
        <f>IF($F918="","",IFERROR(INDEX(사건마스터!$AO$5:$AO$64,MATCH($F918,사건마스터!$A$5:$A$64,0)),""))</f>
        <v/>
      </c>
      <c r="R918" s="35">
        <f>IF($F918="","",IFERROR(INDEX(사건마스터!$AP$5:$AP$64,MATCH($F918,사건마스터!$A$5:$A$64,0)),""))</f>
        <v/>
      </c>
      <c r="S918" s="35">
        <f>IF($F918="","",IFERROR(INDEX(사건마스터!$AQ$5:$AQ$64,MATCH($F918,사건마스터!$A$5:$A$64,0)),""))</f>
        <v/>
      </c>
      <c r="T918" s="35">
        <f>IF($F918="","",IFERROR(INDEX(사건마스터!$AR$5:$AR$64,MATCH($F918,사건마스터!$A$5:$A$64,0)),""))</f>
        <v/>
      </c>
      <c r="U918" s="35">
        <f>IF($F918="","",IFERROR(INDEX(사건마스터!$AS$5:$AS$64,MATCH($F918,사건마스터!$A$5:$A$64,0)),""))</f>
        <v/>
      </c>
      <c r="V918" s="35">
        <f>IF($F918="","",IFERROR(INDEX(사건마스터!$AT$5:$AT$64,MATCH($F918,사건마스터!$A$5:$A$64,0)),""))</f>
        <v/>
      </c>
      <c r="W918" s="35">
        <f>IF($F918="","",IFERROR(INDEX(사건마스터!$AU$5:$AU$64,MATCH($F918,사건마스터!$A$5:$A$64,0)),""))</f>
        <v/>
      </c>
      <c r="X918" s="35">
        <f>IF($F918="","",IFERROR(INDEX(사건마스터!$AV$5:$AV$64,MATCH($F918,사건마스터!$A$5:$A$64,0)),""))</f>
        <v/>
      </c>
      <c r="Y918" s="30">
        <f>IF($I918="","",COUNTIF($I918:$X918,"?*"))</f>
        <v/>
      </c>
      <c r="Z918" s="33">
        <f>IF($I918="","",_xlfn.TEXTJOIN(", ",TRUE,$I918:$X918))</f>
        <v/>
      </c>
      <c r="AA918" s="34">
        <f>IF($I918="","",IFERROR(INDEX(코드설정!$D$5:$D$24,MATCH($I918,코드설정!$C$5:$C$24,0)),""))</f>
        <v/>
      </c>
      <c r="AB918" s="36" t="n"/>
      <c r="AC918" s="37" t="n"/>
      <c r="AD918" s="38" t="n"/>
      <c r="AE918" s="30">
        <f>IF(OR($B918="",$C918=""),"",$C918-$B918+1)</f>
        <v/>
      </c>
      <c r="AF918" s="32" t="n"/>
      <c r="AG918" s="36" t="n"/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3">
        <f>IF($F919="","",IFERROR(INDEX(사건마스터!$B$5:$B$64,MATCH($F919,사건마스터!$A$5:$A$64,0)),""))</f>
        <v/>
      </c>
      <c r="H919" s="34">
        <f>IF($F919="","",IFERROR(INDEX(사건마스터!$C$5:$C$64,MATCH($F919,사건마스터!$A$5:$A$64,0)),""))</f>
        <v/>
      </c>
      <c r="I919" s="35">
        <f>IF($F919="","",IFERROR(INDEX(사건마스터!$H$5:$H$64,MATCH($F919,사건마스터!$A$5:$A$64,0)),""))</f>
        <v/>
      </c>
      <c r="J919" s="35">
        <f>IF($F919="","",IFERROR(INDEX(사건마스터!$AH$5:$AH$64,MATCH($F919,사건마스터!$A$5:$A$64,0)),""))</f>
        <v/>
      </c>
      <c r="K919" s="35">
        <f>IF($F919="","",IFERROR(INDEX(사건마스터!$AI$5:$AI$64,MATCH($F919,사건마스터!$A$5:$A$64,0)),""))</f>
        <v/>
      </c>
      <c r="L919" s="35">
        <f>IF($F919="","",IFERROR(INDEX(사건마스터!$AJ$5:$AJ$64,MATCH($F919,사건마스터!$A$5:$A$64,0)),""))</f>
        <v/>
      </c>
      <c r="M919" s="35">
        <f>IF($F919="","",IFERROR(INDEX(사건마스터!$AK$5:$AK$64,MATCH($F919,사건마스터!$A$5:$A$64,0)),""))</f>
        <v/>
      </c>
      <c r="N919" s="35">
        <f>IF($F919="","",IFERROR(INDEX(사건마스터!$AL$5:$AL$64,MATCH($F919,사건마스터!$A$5:$A$64,0)),""))</f>
        <v/>
      </c>
      <c r="O919" s="35">
        <f>IF($F919="","",IFERROR(INDEX(사건마스터!$AM$5:$AM$64,MATCH($F919,사건마스터!$A$5:$A$64,0)),""))</f>
        <v/>
      </c>
      <c r="P919" s="35">
        <f>IF($F919="","",IFERROR(INDEX(사건마스터!$AN$5:$AN$64,MATCH($F919,사건마스터!$A$5:$A$64,0)),""))</f>
        <v/>
      </c>
      <c r="Q919" s="35">
        <f>IF($F919="","",IFERROR(INDEX(사건마스터!$AO$5:$AO$64,MATCH($F919,사건마스터!$A$5:$A$64,0)),""))</f>
        <v/>
      </c>
      <c r="R919" s="35">
        <f>IF($F919="","",IFERROR(INDEX(사건마스터!$AP$5:$AP$64,MATCH($F919,사건마스터!$A$5:$A$64,0)),""))</f>
        <v/>
      </c>
      <c r="S919" s="35">
        <f>IF($F919="","",IFERROR(INDEX(사건마스터!$AQ$5:$AQ$64,MATCH($F919,사건마스터!$A$5:$A$64,0)),""))</f>
        <v/>
      </c>
      <c r="T919" s="35">
        <f>IF($F919="","",IFERROR(INDEX(사건마스터!$AR$5:$AR$64,MATCH($F919,사건마스터!$A$5:$A$64,0)),""))</f>
        <v/>
      </c>
      <c r="U919" s="35">
        <f>IF($F919="","",IFERROR(INDEX(사건마스터!$AS$5:$AS$64,MATCH($F919,사건마스터!$A$5:$A$64,0)),""))</f>
        <v/>
      </c>
      <c r="V919" s="35">
        <f>IF($F919="","",IFERROR(INDEX(사건마스터!$AT$5:$AT$64,MATCH($F919,사건마스터!$A$5:$A$64,0)),""))</f>
        <v/>
      </c>
      <c r="W919" s="35">
        <f>IF($F919="","",IFERROR(INDEX(사건마스터!$AU$5:$AU$64,MATCH($F919,사건마스터!$A$5:$A$64,0)),""))</f>
        <v/>
      </c>
      <c r="X919" s="35">
        <f>IF($F919="","",IFERROR(INDEX(사건마스터!$AV$5:$AV$64,MATCH($F919,사건마스터!$A$5:$A$64,0)),""))</f>
        <v/>
      </c>
      <c r="Y919" s="30">
        <f>IF($I919="","",COUNTIF($I919:$X919,"?*"))</f>
        <v/>
      </c>
      <c r="Z919" s="33">
        <f>IF($I919="","",_xlfn.TEXTJOIN(", ",TRUE,$I919:$X919))</f>
        <v/>
      </c>
      <c r="AA919" s="34">
        <f>IF($I919="","",IFERROR(INDEX(코드설정!$D$5:$D$24,MATCH($I919,코드설정!$C$5:$C$24,0)),""))</f>
        <v/>
      </c>
      <c r="AB919" s="36" t="n"/>
      <c r="AC919" s="37" t="n"/>
      <c r="AD919" s="38" t="n"/>
      <c r="AE919" s="30">
        <f>IF(OR($B919="",$C919=""),"",$C919-$B919+1)</f>
        <v/>
      </c>
      <c r="AF919" s="32" t="n"/>
      <c r="AG919" s="36" t="n"/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3">
        <f>IF($F920="","",IFERROR(INDEX(사건마스터!$B$5:$B$64,MATCH($F920,사건마스터!$A$5:$A$64,0)),""))</f>
        <v/>
      </c>
      <c r="H920" s="34">
        <f>IF($F920="","",IFERROR(INDEX(사건마스터!$C$5:$C$64,MATCH($F920,사건마스터!$A$5:$A$64,0)),""))</f>
        <v/>
      </c>
      <c r="I920" s="35">
        <f>IF($F920="","",IFERROR(INDEX(사건마스터!$H$5:$H$64,MATCH($F920,사건마스터!$A$5:$A$64,0)),""))</f>
        <v/>
      </c>
      <c r="J920" s="35">
        <f>IF($F920="","",IFERROR(INDEX(사건마스터!$AH$5:$AH$64,MATCH($F920,사건마스터!$A$5:$A$64,0)),""))</f>
        <v/>
      </c>
      <c r="K920" s="35">
        <f>IF($F920="","",IFERROR(INDEX(사건마스터!$AI$5:$AI$64,MATCH($F920,사건마스터!$A$5:$A$64,0)),""))</f>
        <v/>
      </c>
      <c r="L920" s="35">
        <f>IF($F920="","",IFERROR(INDEX(사건마스터!$AJ$5:$AJ$64,MATCH($F920,사건마스터!$A$5:$A$64,0)),""))</f>
        <v/>
      </c>
      <c r="M920" s="35">
        <f>IF($F920="","",IFERROR(INDEX(사건마스터!$AK$5:$AK$64,MATCH($F920,사건마스터!$A$5:$A$64,0)),""))</f>
        <v/>
      </c>
      <c r="N920" s="35">
        <f>IF($F920="","",IFERROR(INDEX(사건마스터!$AL$5:$AL$64,MATCH($F920,사건마스터!$A$5:$A$64,0)),""))</f>
        <v/>
      </c>
      <c r="O920" s="35">
        <f>IF($F920="","",IFERROR(INDEX(사건마스터!$AM$5:$AM$64,MATCH($F920,사건마스터!$A$5:$A$64,0)),""))</f>
        <v/>
      </c>
      <c r="P920" s="35">
        <f>IF($F920="","",IFERROR(INDEX(사건마스터!$AN$5:$AN$64,MATCH($F920,사건마스터!$A$5:$A$64,0)),""))</f>
        <v/>
      </c>
      <c r="Q920" s="35">
        <f>IF($F920="","",IFERROR(INDEX(사건마스터!$AO$5:$AO$64,MATCH($F920,사건마스터!$A$5:$A$64,0)),""))</f>
        <v/>
      </c>
      <c r="R920" s="35">
        <f>IF($F920="","",IFERROR(INDEX(사건마스터!$AP$5:$AP$64,MATCH($F920,사건마스터!$A$5:$A$64,0)),""))</f>
        <v/>
      </c>
      <c r="S920" s="35">
        <f>IF($F920="","",IFERROR(INDEX(사건마스터!$AQ$5:$AQ$64,MATCH($F920,사건마스터!$A$5:$A$64,0)),""))</f>
        <v/>
      </c>
      <c r="T920" s="35">
        <f>IF($F920="","",IFERROR(INDEX(사건마스터!$AR$5:$AR$64,MATCH($F920,사건마스터!$A$5:$A$64,0)),""))</f>
        <v/>
      </c>
      <c r="U920" s="35">
        <f>IF($F920="","",IFERROR(INDEX(사건마스터!$AS$5:$AS$64,MATCH($F920,사건마스터!$A$5:$A$64,0)),""))</f>
        <v/>
      </c>
      <c r="V920" s="35">
        <f>IF($F920="","",IFERROR(INDEX(사건마스터!$AT$5:$AT$64,MATCH($F920,사건마스터!$A$5:$A$64,0)),""))</f>
        <v/>
      </c>
      <c r="W920" s="35">
        <f>IF($F920="","",IFERROR(INDEX(사건마스터!$AU$5:$AU$64,MATCH($F920,사건마스터!$A$5:$A$64,0)),""))</f>
        <v/>
      </c>
      <c r="X920" s="35">
        <f>IF($F920="","",IFERROR(INDEX(사건마스터!$AV$5:$AV$64,MATCH($F920,사건마스터!$A$5:$A$64,0)),""))</f>
        <v/>
      </c>
      <c r="Y920" s="30">
        <f>IF($I920="","",COUNTIF($I920:$X920,"?*"))</f>
        <v/>
      </c>
      <c r="Z920" s="33">
        <f>IF($I920="","",_xlfn.TEXTJOIN(", ",TRUE,$I920:$X920))</f>
        <v/>
      </c>
      <c r="AA920" s="34">
        <f>IF($I920="","",IFERROR(INDEX(코드설정!$D$5:$D$24,MATCH($I920,코드설정!$C$5:$C$24,0)),""))</f>
        <v/>
      </c>
      <c r="AB920" s="36" t="n"/>
      <c r="AC920" s="37" t="n"/>
      <c r="AD920" s="38" t="n"/>
      <c r="AE920" s="30">
        <f>IF(OR($B920="",$C920=""),"",$C920-$B920+1)</f>
        <v/>
      </c>
      <c r="AF920" s="32" t="n"/>
      <c r="AG920" s="36" t="n"/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3">
        <f>IF($F921="","",IFERROR(INDEX(사건마스터!$B$5:$B$64,MATCH($F921,사건마스터!$A$5:$A$64,0)),""))</f>
        <v/>
      </c>
      <c r="H921" s="34">
        <f>IF($F921="","",IFERROR(INDEX(사건마스터!$C$5:$C$64,MATCH($F921,사건마스터!$A$5:$A$64,0)),""))</f>
        <v/>
      </c>
      <c r="I921" s="35">
        <f>IF($F921="","",IFERROR(INDEX(사건마스터!$H$5:$H$64,MATCH($F921,사건마스터!$A$5:$A$64,0)),""))</f>
        <v/>
      </c>
      <c r="J921" s="35">
        <f>IF($F921="","",IFERROR(INDEX(사건마스터!$AH$5:$AH$64,MATCH($F921,사건마스터!$A$5:$A$64,0)),""))</f>
        <v/>
      </c>
      <c r="K921" s="35">
        <f>IF($F921="","",IFERROR(INDEX(사건마스터!$AI$5:$AI$64,MATCH($F921,사건마스터!$A$5:$A$64,0)),""))</f>
        <v/>
      </c>
      <c r="L921" s="35">
        <f>IF($F921="","",IFERROR(INDEX(사건마스터!$AJ$5:$AJ$64,MATCH($F921,사건마스터!$A$5:$A$64,0)),""))</f>
        <v/>
      </c>
      <c r="M921" s="35">
        <f>IF($F921="","",IFERROR(INDEX(사건마스터!$AK$5:$AK$64,MATCH($F921,사건마스터!$A$5:$A$64,0)),""))</f>
        <v/>
      </c>
      <c r="N921" s="35">
        <f>IF($F921="","",IFERROR(INDEX(사건마스터!$AL$5:$AL$64,MATCH($F921,사건마스터!$A$5:$A$64,0)),""))</f>
        <v/>
      </c>
      <c r="O921" s="35">
        <f>IF($F921="","",IFERROR(INDEX(사건마스터!$AM$5:$AM$64,MATCH($F921,사건마스터!$A$5:$A$64,0)),""))</f>
        <v/>
      </c>
      <c r="P921" s="35">
        <f>IF($F921="","",IFERROR(INDEX(사건마스터!$AN$5:$AN$64,MATCH($F921,사건마스터!$A$5:$A$64,0)),""))</f>
        <v/>
      </c>
      <c r="Q921" s="35">
        <f>IF($F921="","",IFERROR(INDEX(사건마스터!$AO$5:$AO$64,MATCH($F921,사건마스터!$A$5:$A$64,0)),""))</f>
        <v/>
      </c>
      <c r="R921" s="35">
        <f>IF($F921="","",IFERROR(INDEX(사건마스터!$AP$5:$AP$64,MATCH($F921,사건마스터!$A$5:$A$64,0)),""))</f>
        <v/>
      </c>
      <c r="S921" s="35">
        <f>IF($F921="","",IFERROR(INDEX(사건마스터!$AQ$5:$AQ$64,MATCH($F921,사건마스터!$A$5:$A$64,0)),""))</f>
        <v/>
      </c>
      <c r="T921" s="35">
        <f>IF($F921="","",IFERROR(INDEX(사건마스터!$AR$5:$AR$64,MATCH($F921,사건마스터!$A$5:$A$64,0)),""))</f>
        <v/>
      </c>
      <c r="U921" s="35">
        <f>IF($F921="","",IFERROR(INDEX(사건마스터!$AS$5:$AS$64,MATCH($F921,사건마스터!$A$5:$A$64,0)),""))</f>
        <v/>
      </c>
      <c r="V921" s="35">
        <f>IF($F921="","",IFERROR(INDEX(사건마스터!$AT$5:$AT$64,MATCH($F921,사건마스터!$A$5:$A$64,0)),""))</f>
        <v/>
      </c>
      <c r="W921" s="35">
        <f>IF($F921="","",IFERROR(INDEX(사건마스터!$AU$5:$AU$64,MATCH($F921,사건마스터!$A$5:$A$64,0)),""))</f>
        <v/>
      </c>
      <c r="X921" s="35">
        <f>IF($F921="","",IFERROR(INDEX(사건마스터!$AV$5:$AV$64,MATCH($F921,사건마스터!$A$5:$A$64,0)),""))</f>
        <v/>
      </c>
      <c r="Y921" s="30">
        <f>IF($I921="","",COUNTIF($I921:$X921,"?*"))</f>
        <v/>
      </c>
      <c r="Z921" s="33">
        <f>IF($I921="","",_xlfn.TEXTJOIN(", ",TRUE,$I921:$X921))</f>
        <v/>
      </c>
      <c r="AA921" s="34">
        <f>IF($I921="","",IFERROR(INDEX(코드설정!$D$5:$D$24,MATCH($I921,코드설정!$C$5:$C$24,0)),""))</f>
        <v/>
      </c>
      <c r="AB921" s="36" t="n"/>
      <c r="AC921" s="37" t="n"/>
      <c r="AD921" s="38" t="n"/>
      <c r="AE921" s="30">
        <f>IF(OR($B921="",$C921=""),"",$C921-$B921+1)</f>
        <v/>
      </c>
      <c r="AF921" s="32" t="n"/>
      <c r="AG921" s="36" t="n"/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3">
        <f>IF($F922="","",IFERROR(INDEX(사건마스터!$B$5:$B$64,MATCH($F922,사건마스터!$A$5:$A$64,0)),""))</f>
        <v/>
      </c>
      <c r="H922" s="34">
        <f>IF($F922="","",IFERROR(INDEX(사건마스터!$C$5:$C$64,MATCH($F922,사건마스터!$A$5:$A$64,0)),""))</f>
        <v/>
      </c>
      <c r="I922" s="35">
        <f>IF($F922="","",IFERROR(INDEX(사건마스터!$H$5:$H$64,MATCH($F922,사건마스터!$A$5:$A$64,0)),""))</f>
        <v/>
      </c>
      <c r="J922" s="35">
        <f>IF($F922="","",IFERROR(INDEX(사건마스터!$AH$5:$AH$64,MATCH($F922,사건마스터!$A$5:$A$64,0)),""))</f>
        <v/>
      </c>
      <c r="K922" s="35">
        <f>IF($F922="","",IFERROR(INDEX(사건마스터!$AI$5:$AI$64,MATCH($F922,사건마스터!$A$5:$A$64,0)),""))</f>
        <v/>
      </c>
      <c r="L922" s="35">
        <f>IF($F922="","",IFERROR(INDEX(사건마스터!$AJ$5:$AJ$64,MATCH($F922,사건마스터!$A$5:$A$64,0)),""))</f>
        <v/>
      </c>
      <c r="M922" s="35">
        <f>IF($F922="","",IFERROR(INDEX(사건마스터!$AK$5:$AK$64,MATCH($F922,사건마스터!$A$5:$A$64,0)),""))</f>
        <v/>
      </c>
      <c r="N922" s="35">
        <f>IF($F922="","",IFERROR(INDEX(사건마스터!$AL$5:$AL$64,MATCH($F922,사건마스터!$A$5:$A$64,0)),""))</f>
        <v/>
      </c>
      <c r="O922" s="35">
        <f>IF($F922="","",IFERROR(INDEX(사건마스터!$AM$5:$AM$64,MATCH($F922,사건마스터!$A$5:$A$64,0)),""))</f>
        <v/>
      </c>
      <c r="P922" s="35">
        <f>IF($F922="","",IFERROR(INDEX(사건마스터!$AN$5:$AN$64,MATCH($F922,사건마스터!$A$5:$A$64,0)),""))</f>
        <v/>
      </c>
      <c r="Q922" s="35">
        <f>IF($F922="","",IFERROR(INDEX(사건마스터!$AO$5:$AO$64,MATCH($F922,사건마스터!$A$5:$A$64,0)),""))</f>
        <v/>
      </c>
      <c r="R922" s="35">
        <f>IF($F922="","",IFERROR(INDEX(사건마스터!$AP$5:$AP$64,MATCH($F922,사건마스터!$A$5:$A$64,0)),""))</f>
        <v/>
      </c>
      <c r="S922" s="35">
        <f>IF($F922="","",IFERROR(INDEX(사건마스터!$AQ$5:$AQ$64,MATCH($F922,사건마스터!$A$5:$A$64,0)),""))</f>
        <v/>
      </c>
      <c r="T922" s="35">
        <f>IF($F922="","",IFERROR(INDEX(사건마스터!$AR$5:$AR$64,MATCH($F922,사건마스터!$A$5:$A$64,0)),""))</f>
        <v/>
      </c>
      <c r="U922" s="35">
        <f>IF($F922="","",IFERROR(INDEX(사건마스터!$AS$5:$AS$64,MATCH($F922,사건마스터!$A$5:$A$64,0)),""))</f>
        <v/>
      </c>
      <c r="V922" s="35">
        <f>IF($F922="","",IFERROR(INDEX(사건마스터!$AT$5:$AT$64,MATCH($F922,사건마스터!$A$5:$A$64,0)),""))</f>
        <v/>
      </c>
      <c r="W922" s="35">
        <f>IF($F922="","",IFERROR(INDEX(사건마스터!$AU$5:$AU$64,MATCH($F922,사건마스터!$A$5:$A$64,0)),""))</f>
        <v/>
      </c>
      <c r="X922" s="35">
        <f>IF($F922="","",IFERROR(INDEX(사건마스터!$AV$5:$AV$64,MATCH($F922,사건마스터!$A$5:$A$64,0)),""))</f>
        <v/>
      </c>
      <c r="Y922" s="30">
        <f>IF($I922="","",COUNTIF($I922:$X922,"?*"))</f>
        <v/>
      </c>
      <c r="Z922" s="33">
        <f>IF($I922="","",_xlfn.TEXTJOIN(", ",TRUE,$I922:$X922))</f>
        <v/>
      </c>
      <c r="AA922" s="34">
        <f>IF($I922="","",IFERROR(INDEX(코드설정!$D$5:$D$24,MATCH($I922,코드설정!$C$5:$C$24,0)),""))</f>
        <v/>
      </c>
      <c r="AB922" s="36" t="n"/>
      <c r="AC922" s="37" t="n"/>
      <c r="AD922" s="38" t="n"/>
      <c r="AE922" s="30">
        <f>IF(OR($B922="",$C922=""),"",$C922-$B922+1)</f>
        <v/>
      </c>
      <c r="AF922" s="32" t="n"/>
      <c r="AG922" s="36" t="n"/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3">
        <f>IF($F923="","",IFERROR(INDEX(사건마스터!$B$5:$B$64,MATCH($F923,사건마스터!$A$5:$A$64,0)),""))</f>
        <v/>
      </c>
      <c r="H923" s="34">
        <f>IF($F923="","",IFERROR(INDEX(사건마스터!$C$5:$C$64,MATCH($F923,사건마스터!$A$5:$A$64,0)),""))</f>
        <v/>
      </c>
      <c r="I923" s="35">
        <f>IF($F923="","",IFERROR(INDEX(사건마스터!$H$5:$H$64,MATCH($F923,사건마스터!$A$5:$A$64,0)),""))</f>
        <v/>
      </c>
      <c r="J923" s="35">
        <f>IF($F923="","",IFERROR(INDEX(사건마스터!$AH$5:$AH$64,MATCH($F923,사건마스터!$A$5:$A$64,0)),""))</f>
        <v/>
      </c>
      <c r="K923" s="35">
        <f>IF($F923="","",IFERROR(INDEX(사건마스터!$AI$5:$AI$64,MATCH($F923,사건마스터!$A$5:$A$64,0)),""))</f>
        <v/>
      </c>
      <c r="L923" s="35">
        <f>IF($F923="","",IFERROR(INDEX(사건마스터!$AJ$5:$AJ$64,MATCH($F923,사건마스터!$A$5:$A$64,0)),""))</f>
        <v/>
      </c>
      <c r="M923" s="35">
        <f>IF($F923="","",IFERROR(INDEX(사건마스터!$AK$5:$AK$64,MATCH($F923,사건마스터!$A$5:$A$64,0)),""))</f>
        <v/>
      </c>
      <c r="N923" s="35">
        <f>IF($F923="","",IFERROR(INDEX(사건마스터!$AL$5:$AL$64,MATCH($F923,사건마스터!$A$5:$A$64,0)),""))</f>
        <v/>
      </c>
      <c r="O923" s="35">
        <f>IF($F923="","",IFERROR(INDEX(사건마스터!$AM$5:$AM$64,MATCH($F923,사건마스터!$A$5:$A$64,0)),""))</f>
        <v/>
      </c>
      <c r="P923" s="35">
        <f>IF($F923="","",IFERROR(INDEX(사건마스터!$AN$5:$AN$64,MATCH($F923,사건마스터!$A$5:$A$64,0)),""))</f>
        <v/>
      </c>
      <c r="Q923" s="35">
        <f>IF($F923="","",IFERROR(INDEX(사건마스터!$AO$5:$AO$64,MATCH($F923,사건마스터!$A$5:$A$64,0)),""))</f>
        <v/>
      </c>
      <c r="R923" s="35">
        <f>IF($F923="","",IFERROR(INDEX(사건마스터!$AP$5:$AP$64,MATCH($F923,사건마스터!$A$5:$A$64,0)),""))</f>
        <v/>
      </c>
      <c r="S923" s="35">
        <f>IF($F923="","",IFERROR(INDEX(사건마스터!$AQ$5:$AQ$64,MATCH($F923,사건마스터!$A$5:$A$64,0)),""))</f>
        <v/>
      </c>
      <c r="T923" s="35">
        <f>IF($F923="","",IFERROR(INDEX(사건마스터!$AR$5:$AR$64,MATCH($F923,사건마스터!$A$5:$A$64,0)),""))</f>
        <v/>
      </c>
      <c r="U923" s="35">
        <f>IF($F923="","",IFERROR(INDEX(사건마스터!$AS$5:$AS$64,MATCH($F923,사건마스터!$A$5:$A$64,0)),""))</f>
        <v/>
      </c>
      <c r="V923" s="35">
        <f>IF($F923="","",IFERROR(INDEX(사건마스터!$AT$5:$AT$64,MATCH($F923,사건마스터!$A$5:$A$64,0)),""))</f>
        <v/>
      </c>
      <c r="W923" s="35">
        <f>IF($F923="","",IFERROR(INDEX(사건마스터!$AU$5:$AU$64,MATCH($F923,사건마스터!$A$5:$A$64,0)),""))</f>
        <v/>
      </c>
      <c r="X923" s="35">
        <f>IF($F923="","",IFERROR(INDEX(사건마스터!$AV$5:$AV$64,MATCH($F923,사건마스터!$A$5:$A$64,0)),""))</f>
        <v/>
      </c>
      <c r="Y923" s="30">
        <f>IF($I923="","",COUNTIF($I923:$X923,"?*"))</f>
        <v/>
      </c>
      <c r="Z923" s="33">
        <f>IF($I923="","",_xlfn.TEXTJOIN(", ",TRUE,$I923:$X923))</f>
        <v/>
      </c>
      <c r="AA923" s="34">
        <f>IF($I923="","",IFERROR(INDEX(코드설정!$D$5:$D$24,MATCH($I923,코드설정!$C$5:$C$24,0)),""))</f>
        <v/>
      </c>
      <c r="AB923" s="36" t="n"/>
      <c r="AC923" s="37" t="n"/>
      <c r="AD923" s="38" t="n"/>
      <c r="AE923" s="30">
        <f>IF(OR($B923="",$C923=""),"",$C923-$B923+1)</f>
        <v/>
      </c>
      <c r="AF923" s="32" t="n"/>
      <c r="AG923" s="36" t="n"/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3">
        <f>IF($F924="","",IFERROR(INDEX(사건마스터!$B$5:$B$64,MATCH($F924,사건마스터!$A$5:$A$64,0)),""))</f>
        <v/>
      </c>
      <c r="H924" s="34">
        <f>IF($F924="","",IFERROR(INDEX(사건마스터!$C$5:$C$64,MATCH($F924,사건마스터!$A$5:$A$64,0)),""))</f>
        <v/>
      </c>
      <c r="I924" s="35">
        <f>IF($F924="","",IFERROR(INDEX(사건마스터!$H$5:$H$64,MATCH($F924,사건마스터!$A$5:$A$64,0)),""))</f>
        <v/>
      </c>
      <c r="J924" s="35">
        <f>IF($F924="","",IFERROR(INDEX(사건마스터!$AH$5:$AH$64,MATCH($F924,사건마스터!$A$5:$A$64,0)),""))</f>
        <v/>
      </c>
      <c r="K924" s="35">
        <f>IF($F924="","",IFERROR(INDEX(사건마스터!$AI$5:$AI$64,MATCH($F924,사건마스터!$A$5:$A$64,0)),""))</f>
        <v/>
      </c>
      <c r="L924" s="35">
        <f>IF($F924="","",IFERROR(INDEX(사건마스터!$AJ$5:$AJ$64,MATCH($F924,사건마스터!$A$5:$A$64,0)),""))</f>
        <v/>
      </c>
      <c r="M924" s="35">
        <f>IF($F924="","",IFERROR(INDEX(사건마스터!$AK$5:$AK$64,MATCH($F924,사건마스터!$A$5:$A$64,0)),""))</f>
        <v/>
      </c>
      <c r="N924" s="35">
        <f>IF($F924="","",IFERROR(INDEX(사건마스터!$AL$5:$AL$64,MATCH($F924,사건마스터!$A$5:$A$64,0)),""))</f>
        <v/>
      </c>
      <c r="O924" s="35">
        <f>IF($F924="","",IFERROR(INDEX(사건마스터!$AM$5:$AM$64,MATCH($F924,사건마스터!$A$5:$A$64,0)),""))</f>
        <v/>
      </c>
      <c r="P924" s="35">
        <f>IF($F924="","",IFERROR(INDEX(사건마스터!$AN$5:$AN$64,MATCH($F924,사건마스터!$A$5:$A$64,0)),""))</f>
        <v/>
      </c>
      <c r="Q924" s="35">
        <f>IF($F924="","",IFERROR(INDEX(사건마스터!$AO$5:$AO$64,MATCH($F924,사건마스터!$A$5:$A$64,0)),""))</f>
        <v/>
      </c>
      <c r="R924" s="35">
        <f>IF($F924="","",IFERROR(INDEX(사건마스터!$AP$5:$AP$64,MATCH($F924,사건마스터!$A$5:$A$64,0)),""))</f>
        <v/>
      </c>
      <c r="S924" s="35">
        <f>IF($F924="","",IFERROR(INDEX(사건마스터!$AQ$5:$AQ$64,MATCH($F924,사건마스터!$A$5:$A$64,0)),""))</f>
        <v/>
      </c>
      <c r="T924" s="35">
        <f>IF($F924="","",IFERROR(INDEX(사건마스터!$AR$5:$AR$64,MATCH($F924,사건마스터!$A$5:$A$64,0)),""))</f>
        <v/>
      </c>
      <c r="U924" s="35">
        <f>IF($F924="","",IFERROR(INDEX(사건마스터!$AS$5:$AS$64,MATCH($F924,사건마스터!$A$5:$A$64,0)),""))</f>
        <v/>
      </c>
      <c r="V924" s="35">
        <f>IF($F924="","",IFERROR(INDEX(사건마스터!$AT$5:$AT$64,MATCH($F924,사건마스터!$A$5:$A$64,0)),""))</f>
        <v/>
      </c>
      <c r="W924" s="35">
        <f>IF($F924="","",IFERROR(INDEX(사건마스터!$AU$5:$AU$64,MATCH($F924,사건마스터!$A$5:$A$64,0)),""))</f>
        <v/>
      </c>
      <c r="X924" s="35">
        <f>IF($F924="","",IFERROR(INDEX(사건마스터!$AV$5:$AV$64,MATCH($F924,사건마스터!$A$5:$A$64,0)),""))</f>
        <v/>
      </c>
      <c r="Y924" s="30">
        <f>IF($I924="","",COUNTIF($I924:$X924,"?*"))</f>
        <v/>
      </c>
      <c r="Z924" s="33">
        <f>IF($I924="","",_xlfn.TEXTJOIN(", ",TRUE,$I924:$X924))</f>
        <v/>
      </c>
      <c r="AA924" s="34">
        <f>IF($I924="","",IFERROR(INDEX(코드설정!$D$5:$D$24,MATCH($I924,코드설정!$C$5:$C$24,0)),""))</f>
        <v/>
      </c>
      <c r="AB924" s="36" t="n"/>
      <c r="AC924" s="37" t="n"/>
      <c r="AD924" s="38" t="n"/>
      <c r="AE924" s="30">
        <f>IF(OR($B924="",$C924=""),"",$C924-$B924+1)</f>
        <v/>
      </c>
      <c r="AF924" s="32" t="n"/>
      <c r="AG924" s="36" t="n"/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3">
        <f>IF($F925="","",IFERROR(INDEX(사건마스터!$B$5:$B$64,MATCH($F925,사건마스터!$A$5:$A$64,0)),""))</f>
        <v/>
      </c>
      <c r="H925" s="34">
        <f>IF($F925="","",IFERROR(INDEX(사건마스터!$C$5:$C$64,MATCH($F925,사건마스터!$A$5:$A$64,0)),""))</f>
        <v/>
      </c>
      <c r="I925" s="35">
        <f>IF($F925="","",IFERROR(INDEX(사건마스터!$H$5:$H$64,MATCH($F925,사건마스터!$A$5:$A$64,0)),""))</f>
        <v/>
      </c>
      <c r="J925" s="35">
        <f>IF($F925="","",IFERROR(INDEX(사건마스터!$AH$5:$AH$64,MATCH($F925,사건마스터!$A$5:$A$64,0)),""))</f>
        <v/>
      </c>
      <c r="K925" s="35">
        <f>IF($F925="","",IFERROR(INDEX(사건마스터!$AI$5:$AI$64,MATCH($F925,사건마스터!$A$5:$A$64,0)),""))</f>
        <v/>
      </c>
      <c r="L925" s="35">
        <f>IF($F925="","",IFERROR(INDEX(사건마스터!$AJ$5:$AJ$64,MATCH($F925,사건마스터!$A$5:$A$64,0)),""))</f>
        <v/>
      </c>
      <c r="M925" s="35">
        <f>IF($F925="","",IFERROR(INDEX(사건마스터!$AK$5:$AK$64,MATCH($F925,사건마스터!$A$5:$A$64,0)),""))</f>
        <v/>
      </c>
      <c r="N925" s="35">
        <f>IF($F925="","",IFERROR(INDEX(사건마스터!$AL$5:$AL$64,MATCH($F925,사건마스터!$A$5:$A$64,0)),""))</f>
        <v/>
      </c>
      <c r="O925" s="35">
        <f>IF($F925="","",IFERROR(INDEX(사건마스터!$AM$5:$AM$64,MATCH($F925,사건마스터!$A$5:$A$64,0)),""))</f>
        <v/>
      </c>
      <c r="P925" s="35">
        <f>IF($F925="","",IFERROR(INDEX(사건마스터!$AN$5:$AN$64,MATCH($F925,사건마스터!$A$5:$A$64,0)),""))</f>
        <v/>
      </c>
      <c r="Q925" s="35">
        <f>IF($F925="","",IFERROR(INDEX(사건마스터!$AO$5:$AO$64,MATCH($F925,사건마스터!$A$5:$A$64,0)),""))</f>
        <v/>
      </c>
      <c r="R925" s="35">
        <f>IF($F925="","",IFERROR(INDEX(사건마스터!$AP$5:$AP$64,MATCH($F925,사건마스터!$A$5:$A$64,0)),""))</f>
        <v/>
      </c>
      <c r="S925" s="35">
        <f>IF($F925="","",IFERROR(INDEX(사건마스터!$AQ$5:$AQ$64,MATCH($F925,사건마스터!$A$5:$A$64,0)),""))</f>
        <v/>
      </c>
      <c r="T925" s="35">
        <f>IF($F925="","",IFERROR(INDEX(사건마스터!$AR$5:$AR$64,MATCH($F925,사건마스터!$A$5:$A$64,0)),""))</f>
        <v/>
      </c>
      <c r="U925" s="35">
        <f>IF($F925="","",IFERROR(INDEX(사건마스터!$AS$5:$AS$64,MATCH($F925,사건마스터!$A$5:$A$64,0)),""))</f>
        <v/>
      </c>
      <c r="V925" s="35">
        <f>IF($F925="","",IFERROR(INDEX(사건마스터!$AT$5:$AT$64,MATCH($F925,사건마스터!$A$5:$A$64,0)),""))</f>
        <v/>
      </c>
      <c r="W925" s="35">
        <f>IF($F925="","",IFERROR(INDEX(사건마스터!$AU$5:$AU$64,MATCH($F925,사건마스터!$A$5:$A$64,0)),""))</f>
        <v/>
      </c>
      <c r="X925" s="35">
        <f>IF($F925="","",IFERROR(INDEX(사건마스터!$AV$5:$AV$64,MATCH($F925,사건마스터!$A$5:$A$64,0)),""))</f>
        <v/>
      </c>
      <c r="Y925" s="30">
        <f>IF($I925="","",COUNTIF($I925:$X925,"?*"))</f>
        <v/>
      </c>
      <c r="Z925" s="33">
        <f>IF($I925="","",_xlfn.TEXTJOIN(", ",TRUE,$I925:$X925))</f>
        <v/>
      </c>
      <c r="AA925" s="34">
        <f>IF($I925="","",IFERROR(INDEX(코드설정!$D$5:$D$24,MATCH($I925,코드설정!$C$5:$C$24,0)),""))</f>
        <v/>
      </c>
      <c r="AB925" s="36" t="n"/>
      <c r="AC925" s="37" t="n"/>
      <c r="AD925" s="38" t="n"/>
      <c r="AE925" s="30">
        <f>IF(OR($B925="",$C925=""),"",$C925-$B925+1)</f>
        <v/>
      </c>
      <c r="AF925" s="32" t="n"/>
      <c r="AG925" s="36" t="n"/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3">
        <f>IF($F926="","",IFERROR(INDEX(사건마스터!$B$5:$B$64,MATCH($F926,사건마스터!$A$5:$A$64,0)),""))</f>
        <v/>
      </c>
      <c r="H926" s="34">
        <f>IF($F926="","",IFERROR(INDEX(사건마스터!$C$5:$C$64,MATCH($F926,사건마스터!$A$5:$A$64,0)),""))</f>
        <v/>
      </c>
      <c r="I926" s="35">
        <f>IF($F926="","",IFERROR(INDEX(사건마스터!$H$5:$H$64,MATCH($F926,사건마스터!$A$5:$A$64,0)),""))</f>
        <v/>
      </c>
      <c r="J926" s="35">
        <f>IF($F926="","",IFERROR(INDEX(사건마스터!$AH$5:$AH$64,MATCH($F926,사건마스터!$A$5:$A$64,0)),""))</f>
        <v/>
      </c>
      <c r="K926" s="35">
        <f>IF($F926="","",IFERROR(INDEX(사건마스터!$AI$5:$AI$64,MATCH($F926,사건마스터!$A$5:$A$64,0)),""))</f>
        <v/>
      </c>
      <c r="L926" s="35">
        <f>IF($F926="","",IFERROR(INDEX(사건마스터!$AJ$5:$AJ$64,MATCH($F926,사건마스터!$A$5:$A$64,0)),""))</f>
        <v/>
      </c>
      <c r="M926" s="35">
        <f>IF($F926="","",IFERROR(INDEX(사건마스터!$AK$5:$AK$64,MATCH($F926,사건마스터!$A$5:$A$64,0)),""))</f>
        <v/>
      </c>
      <c r="N926" s="35">
        <f>IF($F926="","",IFERROR(INDEX(사건마스터!$AL$5:$AL$64,MATCH($F926,사건마스터!$A$5:$A$64,0)),""))</f>
        <v/>
      </c>
      <c r="O926" s="35">
        <f>IF($F926="","",IFERROR(INDEX(사건마스터!$AM$5:$AM$64,MATCH($F926,사건마스터!$A$5:$A$64,0)),""))</f>
        <v/>
      </c>
      <c r="P926" s="35">
        <f>IF($F926="","",IFERROR(INDEX(사건마스터!$AN$5:$AN$64,MATCH($F926,사건마스터!$A$5:$A$64,0)),""))</f>
        <v/>
      </c>
      <c r="Q926" s="35">
        <f>IF($F926="","",IFERROR(INDEX(사건마스터!$AO$5:$AO$64,MATCH($F926,사건마스터!$A$5:$A$64,0)),""))</f>
        <v/>
      </c>
      <c r="R926" s="35">
        <f>IF($F926="","",IFERROR(INDEX(사건마스터!$AP$5:$AP$64,MATCH($F926,사건마스터!$A$5:$A$64,0)),""))</f>
        <v/>
      </c>
      <c r="S926" s="35">
        <f>IF($F926="","",IFERROR(INDEX(사건마스터!$AQ$5:$AQ$64,MATCH($F926,사건마스터!$A$5:$A$64,0)),""))</f>
        <v/>
      </c>
      <c r="T926" s="35">
        <f>IF($F926="","",IFERROR(INDEX(사건마스터!$AR$5:$AR$64,MATCH($F926,사건마스터!$A$5:$A$64,0)),""))</f>
        <v/>
      </c>
      <c r="U926" s="35">
        <f>IF($F926="","",IFERROR(INDEX(사건마스터!$AS$5:$AS$64,MATCH($F926,사건마스터!$A$5:$A$64,0)),""))</f>
        <v/>
      </c>
      <c r="V926" s="35">
        <f>IF($F926="","",IFERROR(INDEX(사건마스터!$AT$5:$AT$64,MATCH($F926,사건마스터!$A$5:$A$64,0)),""))</f>
        <v/>
      </c>
      <c r="W926" s="35">
        <f>IF($F926="","",IFERROR(INDEX(사건마스터!$AU$5:$AU$64,MATCH($F926,사건마스터!$A$5:$A$64,0)),""))</f>
        <v/>
      </c>
      <c r="X926" s="35">
        <f>IF($F926="","",IFERROR(INDEX(사건마스터!$AV$5:$AV$64,MATCH($F926,사건마스터!$A$5:$A$64,0)),""))</f>
        <v/>
      </c>
      <c r="Y926" s="30">
        <f>IF($I926="","",COUNTIF($I926:$X926,"?*"))</f>
        <v/>
      </c>
      <c r="Z926" s="33">
        <f>IF($I926="","",_xlfn.TEXTJOIN(", ",TRUE,$I926:$X926))</f>
        <v/>
      </c>
      <c r="AA926" s="34">
        <f>IF($I926="","",IFERROR(INDEX(코드설정!$D$5:$D$24,MATCH($I926,코드설정!$C$5:$C$24,0)),""))</f>
        <v/>
      </c>
      <c r="AB926" s="36" t="n"/>
      <c r="AC926" s="37" t="n"/>
      <c r="AD926" s="38" t="n"/>
      <c r="AE926" s="30">
        <f>IF(OR($B926="",$C926=""),"",$C926-$B926+1)</f>
        <v/>
      </c>
      <c r="AF926" s="32" t="n"/>
      <c r="AG926" s="36" t="n"/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3">
        <f>IF($F927="","",IFERROR(INDEX(사건마스터!$B$5:$B$64,MATCH($F927,사건마스터!$A$5:$A$64,0)),""))</f>
        <v/>
      </c>
      <c r="H927" s="34">
        <f>IF($F927="","",IFERROR(INDEX(사건마스터!$C$5:$C$64,MATCH($F927,사건마스터!$A$5:$A$64,0)),""))</f>
        <v/>
      </c>
      <c r="I927" s="35">
        <f>IF($F927="","",IFERROR(INDEX(사건마스터!$H$5:$H$64,MATCH($F927,사건마스터!$A$5:$A$64,0)),""))</f>
        <v/>
      </c>
      <c r="J927" s="35">
        <f>IF($F927="","",IFERROR(INDEX(사건마스터!$AH$5:$AH$64,MATCH($F927,사건마스터!$A$5:$A$64,0)),""))</f>
        <v/>
      </c>
      <c r="K927" s="35">
        <f>IF($F927="","",IFERROR(INDEX(사건마스터!$AI$5:$AI$64,MATCH($F927,사건마스터!$A$5:$A$64,0)),""))</f>
        <v/>
      </c>
      <c r="L927" s="35">
        <f>IF($F927="","",IFERROR(INDEX(사건마스터!$AJ$5:$AJ$64,MATCH($F927,사건마스터!$A$5:$A$64,0)),""))</f>
        <v/>
      </c>
      <c r="M927" s="35">
        <f>IF($F927="","",IFERROR(INDEX(사건마스터!$AK$5:$AK$64,MATCH($F927,사건마스터!$A$5:$A$64,0)),""))</f>
        <v/>
      </c>
      <c r="N927" s="35">
        <f>IF($F927="","",IFERROR(INDEX(사건마스터!$AL$5:$AL$64,MATCH($F927,사건마스터!$A$5:$A$64,0)),""))</f>
        <v/>
      </c>
      <c r="O927" s="35">
        <f>IF($F927="","",IFERROR(INDEX(사건마스터!$AM$5:$AM$64,MATCH($F927,사건마스터!$A$5:$A$64,0)),""))</f>
        <v/>
      </c>
      <c r="P927" s="35">
        <f>IF($F927="","",IFERROR(INDEX(사건마스터!$AN$5:$AN$64,MATCH($F927,사건마스터!$A$5:$A$64,0)),""))</f>
        <v/>
      </c>
      <c r="Q927" s="35">
        <f>IF($F927="","",IFERROR(INDEX(사건마스터!$AO$5:$AO$64,MATCH($F927,사건마스터!$A$5:$A$64,0)),""))</f>
        <v/>
      </c>
      <c r="R927" s="35">
        <f>IF($F927="","",IFERROR(INDEX(사건마스터!$AP$5:$AP$64,MATCH($F927,사건마스터!$A$5:$A$64,0)),""))</f>
        <v/>
      </c>
      <c r="S927" s="35">
        <f>IF($F927="","",IFERROR(INDEX(사건마스터!$AQ$5:$AQ$64,MATCH($F927,사건마스터!$A$5:$A$64,0)),""))</f>
        <v/>
      </c>
      <c r="T927" s="35">
        <f>IF($F927="","",IFERROR(INDEX(사건마스터!$AR$5:$AR$64,MATCH($F927,사건마스터!$A$5:$A$64,0)),""))</f>
        <v/>
      </c>
      <c r="U927" s="35">
        <f>IF($F927="","",IFERROR(INDEX(사건마스터!$AS$5:$AS$64,MATCH($F927,사건마스터!$A$5:$A$64,0)),""))</f>
        <v/>
      </c>
      <c r="V927" s="35">
        <f>IF($F927="","",IFERROR(INDEX(사건마스터!$AT$5:$AT$64,MATCH($F927,사건마스터!$A$5:$A$64,0)),""))</f>
        <v/>
      </c>
      <c r="W927" s="35">
        <f>IF($F927="","",IFERROR(INDEX(사건마스터!$AU$5:$AU$64,MATCH($F927,사건마스터!$A$5:$A$64,0)),""))</f>
        <v/>
      </c>
      <c r="X927" s="35">
        <f>IF($F927="","",IFERROR(INDEX(사건마스터!$AV$5:$AV$64,MATCH($F927,사건마스터!$A$5:$A$64,0)),""))</f>
        <v/>
      </c>
      <c r="Y927" s="30">
        <f>IF($I927="","",COUNTIF($I927:$X927,"?*"))</f>
        <v/>
      </c>
      <c r="Z927" s="33">
        <f>IF($I927="","",_xlfn.TEXTJOIN(", ",TRUE,$I927:$X927))</f>
        <v/>
      </c>
      <c r="AA927" s="34">
        <f>IF($I927="","",IFERROR(INDEX(코드설정!$D$5:$D$24,MATCH($I927,코드설정!$C$5:$C$24,0)),""))</f>
        <v/>
      </c>
      <c r="AB927" s="36" t="n"/>
      <c r="AC927" s="37" t="n"/>
      <c r="AD927" s="38" t="n"/>
      <c r="AE927" s="30">
        <f>IF(OR($B927="",$C927=""),"",$C927-$B927+1)</f>
        <v/>
      </c>
      <c r="AF927" s="32" t="n"/>
      <c r="AG927" s="36" t="n"/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3">
        <f>IF($F928="","",IFERROR(INDEX(사건마스터!$B$5:$B$64,MATCH($F928,사건마스터!$A$5:$A$64,0)),""))</f>
        <v/>
      </c>
      <c r="H928" s="34">
        <f>IF($F928="","",IFERROR(INDEX(사건마스터!$C$5:$C$64,MATCH($F928,사건마스터!$A$5:$A$64,0)),""))</f>
        <v/>
      </c>
      <c r="I928" s="35">
        <f>IF($F928="","",IFERROR(INDEX(사건마스터!$H$5:$H$64,MATCH($F928,사건마스터!$A$5:$A$64,0)),""))</f>
        <v/>
      </c>
      <c r="J928" s="35">
        <f>IF($F928="","",IFERROR(INDEX(사건마스터!$AH$5:$AH$64,MATCH($F928,사건마스터!$A$5:$A$64,0)),""))</f>
        <v/>
      </c>
      <c r="K928" s="35">
        <f>IF($F928="","",IFERROR(INDEX(사건마스터!$AI$5:$AI$64,MATCH($F928,사건마스터!$A$5:$A$64,0)),""))</f>
        <v/>
      </c>
      <c r="L928" s="35">
        <f>IF($F928="","",IFERROR(INDEX(사건마스터!$AJ$5:$AJ$64,MATCH($F928,사건마스터!$A$5:$A$64,0)),""))</f>
        <v/>
      </c>
      <c r="M928" s="35">
        <f>IF($F928="","",IFERROR(INDEX(사건마스터!$AK$5:$AK$64,MATCH($F928,사건마스터!$A$5:$A$64,0)),""))</f>
        <v/>
      </c>
      <c r="N928" s="35">
        <f>IF($F928="","",IFERROR(INDEX(사건마스터!$AL$5:$AL$64,MATCH($F928,사건마스터!$A$5:$A$64,0)),""))</f>
        <v/>
      </c>
      <c r="O928" s="35">
        <f>IF($F928="","",IFERROR(INDEX(사건마스터!$AM$5:$AM$64,MATCH($F928,사건마스터!$A$5:$A$64,0)),""))</f>
        <v/>
      </c>
      <c r="P928" s="35">
        <f>IF($F928="","",IFERROR(INDEX(사건마스터!$AN$5:$AN$64,MATCH($F928,사건마스터!$A$5:$A$64,0)),""))</f>
        <v/>
      </c>
      <c r="Q928" s="35">
        <f>IF($F928="","",IFERROR(INDEX(사건마스터!$AO$5:$AO$64,MATCH($F928,사건마스터!$A$5:$A$64,0)),""))</f>
        <v/>
      </c>
      <c r="R928" s="35">
        <f>IF($F928="","",IFERROR(INDEX(사건마스터!$AP$5:$AP$64,MATCH($F928,사건마스터!$A$5:$A$64,0)),""))</f>
        <v/>
      </c>
      <c r="S928" s="35">
        <f>IF($F928="","",IFERROR(INDEX(사건마스터!$AQ$5:$AQ$64,MATCH($F928,사건마스터!$A$5:$A$64,0)),""))</f>
        <v/>
      </c>
      <c r="T928" s="35">
        <f>IF($F928="","",IFERROR(INDEX(사건마스터!$AR$5:$AR$64,MATCH($F928,사건마스터!$A$5:$A$64,0)),""))</f>
        <v/>
      </c>
      <c r="U928" s="35">
        <f>IF($F928="","",IFERROR(INDEX(사건마스터!$AS$5:$AS$64,MATCH($F928,사건마스터!$A$5:$A$64,0)),""))</f>
        <v/>
      </c>
      <c r="V928" s="35">
        <f>IF($F928="","",IFERROR(INDEX(사건마스터!$AT$5:$AT$64,MATCH($F928,사건마스터!$A$5:$A$64,0)),""))</f>
        <v/>
      </c>
      <c r="W928" s="35">
        <f>IF($F928="","",IFERROR(INDEX(사건마스터!$AU$5:$AU$64,MATCH($F928,사건마스터!$A$5:$A$64,0)),""))</f>
        <v/>
      </c>
      <c r="X928" s="35">
        <f>IF($F928="","",IFERROR(INDEX(사건마스터!$AV$5:$AV$64,MATCH($F928,사건마스터!$A$5:$A$64,0)),""))</f>
        <v/>
      </c>
      <c r="Y928" s="30">
        <f>IF($I928="","",COUNTIF($I928:$X928,"?*"))</f>
        <v/>
      </c>
      <c r="Z928" s="33">
        <f>IF($I928="","",_xlfn.TEXTJOIN(", ",TRUE,$I928:$X928))</f>
        <v/>
      </c>
      <c r="AA928" s="34">
        <f>IF($I928="","",IFERROR(INDEX(코드설정!$D$5:$D$24,MATCH($I928,코드설정!$C$5:$C$24,0)),""))</f>
        <v/>
      </c>
      <c r="AB928" s="36" t="n"/>
      <c r="AC928" s="37" t="n"/>
      <c r="AD928" s="38" t="n"/>
      <c r="AE928" s="30">
        <f>IF(OR($B928="",$C928=""),"",$C928-$B928+1)</f>
        <v/>
      </c>
      <c r="AF928" s="32" t="n"/>
      <c r="AG928" s="36" t="n"/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3">
        <f>IF($F929="","",IFERROR(INDEX(사건마스터!$B$5:$B$64,MATCH($F929,사건마스터!$A$5:$A$64,0)),""))</f>
        <v/>
      </c>
      <c r="H929" s="34">
        <f>IF($F929="","",IFERROR(INDEX(사건마스터!$C$5:$C$64,MATCH($F929,사건마스터!$A$5:$A$64,0)),""))</f>
        <v/>
      </c>
      <c r="I929" s="35">
        <f>IF($F929="","",IFERROR(INDEX(사건마스터!$H$5:$H$64,MATCH($F929,사건마스터!$A$5:$A$64,0)),""))</f>
        <v/>
      </c>
      <c r="J929" s="35">
        <f>IF($F929="","",IFERROR(INDEX(사건마스터!$AH$5:$AH$64,MATCH($F929,사건마스터!$A$5:$A$64,0)),""))</f>
        <v/>
      </c>
      <c r="K929" s="35">
        <f>IF($F929="","",IFERROR(INDEX(사건마스터!$AI$5:$AI$64,MATCH($F929,사건마스터!$A$5:$A$64,0)),""))</f>
        <v/>
      </c>
      <c r="L929" s="35">
        <f>IF($F929="","",IFERROR(INDEX(사건마스터!$AJ$5:$AJ$64,MATCH($F929,사건마스터!$A$5:$A$64,0)),""))</f>
        <v/>
      </c>
      <c r="M929" s="35">
        <f>IF($F929="","",IFERROR(INDEX(사건마스터!$AK$5:$AK$64,MATCH($F929,사건마스터!$A$5:$A$64,0)),""))</f>
        <v/>
      </c>
      <c r="N929" s="35">
        <f>IF($F929="","",IFERROR(INDEX(사건마스터!$AL$5:$AL$64,MATCH($F929,사건마스터!$A$5:$A$64,0)),""))</f>
        <v/>
      </c>
      <c r="O929" s="35">
        <f>IF($F929="","",IFERROR(INDEX(사건마스터!$AM$5:$AM$64,MATCH($F929,사건마스터!$A$5:$A$64,0)),""))</f>
        <v/>
      </c>
      <c r="P929" s="35">
        <f>IF($F929="","",IFERROR(INDEX(사건마스터!$AN$5:$AN$64,MATCH($F929,사건마스터!$A$5:$A$64,0)),""))</f>
        <v/>
      </c>
      <c r="Q929" s="35">
        <f>IF($F929="","",IFERROR(INDEX(사건마스터!$AO$5:$AO$64,MATCH($F929,사건마스터!$A$5:$A$64,0)),""))</f>
        <v/>
      </c>
      <c r="R929" s="35">
        <f>IF($F929="","",IFERROR(INDEX(사건마스터!$AP$5:$AP$64,MATCH($F929,사건마스터!$A$5:$A$64,0)),""))</f>
        <v/>
      </c>
      <c r="S929" s="35">
        <f>IF($F929="","",IFERROR(INDEX(사건마스터!$AQ$5:$AQ$64,MATCH($F929,사건마스터!$A$5:$A$64,0)),""))</f>
        <v/>
      </c>
      <c r="T929" s="35">
        <f>IF($F929="","",IFERROR(INDEX(사건마스터!$AR$5:$AR$64,MATCH($F929,사건마스터!$A$5:$A$64,0)),""))</f>
        <v/>
      </c>
      <c r="U929" s="35">
        <f>IF($F929="","",IFERROR(INDEX(사건마스터!$AS$5:$AS$64,MATCH($F929,사건마스터!$A$5:$A$64,0)),""))</f>
        <v/>
      </c>
      <c r="V929" s="35">
        <f>IF($F929="","",IFERROR(INDEX(사건마스터!$AT$5:$AT$64,MATCH($F929,사건마스터!$A$5:$A$64,0)),""))</f>
        <v/>
      </c>
      <c r="W929" s="35">
        <f>IF($F929="","",IFERROR(INDEX(사건마스터!$AU$5:$AU$64,MATCH($F929,사건마스터!$A$5:$A$64,0)),""))</f>
        <v/>
      </c>
      <c r="X929" s="35">
        <f>IF($F929="","",IFERROR(INDEX(사건마스터!$AV$5:$AV$64,MATCH($F929,사건마스터!$A$5:$A$64,0)),""))</f>
        <v/>
      </c>
      <c r="Y929" s="30">
        <f>IF($I929="","",COUNTIF($I929:$X929,"?*"))</f>
        <v/>
      </c>
      <c r="Z929" s="33">
        <f>IF($I929="","",_xlfn.TEXTJOIN(", ",TRUE,$I929:$X929))</f>
        <v/>
      </c>
      <c r="AA929" s="34">
        <f>IF($I929="","",IFERROR(INDEX(코드설정!$D$5:$D$24,MATCH($I929,코드설정!$C$5:$C$24,0)),""))</f>
        <v/>
      </c>
      <c r="AB929" s="36" t="n"/>
      <c r="AC929" s="37" t="n"/>
      <c r="AD929" s="38" t="n"/>
      <c r="AE929" s="30">
        <f>IF(OR($B929="",$C929=""),"",$C929-$B929+1)</f>
        <v/>
      </c>
      <c r="AF929" s="32" t="n"/>
      <c r="AG929" s="36" t="n"/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3">
        <f>IF($F930="","",IFERROR(INDEX(사건마스터!$B$5:$B$64,MATCH($F930,사건마스터!$A$5:$A$64,0)),""))</f>
        <v/>
      </c>
      <c r="H930" s="34">
        <f>IF($F930="","",IFERROR(INDEX(사건마스터!$C$5:$C$64,MATCH($F930,사건마스터!$A$5:$A$64,0)),""))</f>
        <v/>
      </c>
      <c r="I930" s="35">
        <f>IF($F930="","",IFERROR(INDEX(사건마스터!$H$5:$H$64,MATCH($F930,사건마스터!$A$5:$A$64,0)),""))</f>
        <v/>
      </c>
      <c r="J930" s="35">
        <f>IF($F930="","",IFERROR(INDEX(사건마스터!$AH$5:$AH$64,MATCH($F930,사건마스터!$A$5:$A$64,0)),""))</f>
        <v/>
      </c>
      <c r="K930" s="35">
        <f>IF($F930="","",IFERROR(INDEX(사건마스터!$AI$5:$AI$64,MATCH($F930,사건마스터!$A$5:$A$64,0)),""))</f>
        <v/>
      </c>
      <c r="L930" s="35">
        <f>IF($F930="","",IFERROR(INDEX(사건마스터!$AJ$5:$AJ$64,MATCH($F930,사건마스터!$A$5:$A$64,0)),""))</f>
        <v/>
      </c>
      <c r="M930" s="35">
        <f>IF($F930="","",IFERROR(INDEX(사건마스터!$AK$5:$AK$64,MATCH($F930,사건마스터!$A$5:$A$64,0)),""))</f>
        <v/>
      </c>
      <c r="N930" s="35">
        <f>IF($F930="","",IFERROR(INDEX(사건마스터!$AL$5:$AL$64,MATCH($F930,사건마스터!$A$5:$A$64,0)),""))</f>
        <v/>
      </c>
      <c r="O930" s="35">
        <f>IF($F930="","",IFERROR(INDEX(사건마스터!$AM$5:$AM$64,MATCH($F930,사건마스터!$A$5:$A$64,0)),""))</f>
        <v/>
      </c>
      <c r="P930" s="35">
        <f>IF($F930="","",IFERROR(INDEX(사건마스터!$AN$5:$AN$64,MATCH($F930,사건마스터!$A$5:$A$64,0)),""))</f>
        <v/>
      </c>
      <c r="Q930" s="35">
        <f>IF($F930="","",IFERROR(INDEX(사건마스터!$AO$5:$AO$64,MATCH($F930,사건마스터!$A$5:$A$64,0)),""))</f>
        <v/>
      </c>
      <c r="R930" s="35">
        <f>IF($F930="","",IFERROR(INDEX(사건마스터!$AP$5:$AP$64,MATCH($F930,사건마스터!$A$5:$A$64,0)),""))</f>
        <v/>
      </c>
      <c r="S930" s="35">
        <f>IF($F930="","",IFERROR(INDEX(사건마스터!$AQ$5:$AQ$64,MATCH($F930,사건마스터!$A$5:$A$64,0)),""))</f>
        <v/>
      </c>
      <c r="T930" s="35">
        <f>IF($F930="","",IFERROR(INDEX(사건마스터!$AR$5:$AR$64,MATCH($F930,사건마스터!$A$5:$A$64,0)),""))</f>
        <v/>
      </c>
      <c r="U930" s="35">
        <f>IF($F930="","",IFERROR(INDEX(사건마스터!$AS$5:$AS$64,MATCH($F930,사건마스터!$A$5:$A$64,0)),""))</f>
        <v/>
      </c>
      <c r="V930" s="35">
        <f>IF($F930="","",IFERROR(INDEX(사건마스터!$AT$5:$AT$64,MATCH($F930,사건마스터!$A$5:$A$64,0)),""))</f>
        <v/>
      </c>
      <c r="W930" s="35">
        <f>IF($F930="","",IFERROR(INDEX(사건마스터!$AU$5:$AU$64,MATCH($F930,사건마스터!$A$5:$A$64,0)),""))</f>
        <v/>
      </c>
      <c r="X930" s="35">
        <f>IF($F930="","",IFERROR(INDEX(사건마스터!$AV$5:$AV$64,MATCH($F930,사건마스터!$A$5:$A$64,0)),""))</f>
        <v/>
      </c>
      <c r="Y930" s="30">
        <f>IF($I930="","",COUNTIF($I930:$X930,"?*"))</f>
        <v/>
      </c>
      <c r="Z930" s="33">
        <f>IF($I930="","",_xlfn.TEXTJOIN(", ",TRUE,$I930:$X930))</f>
        <v/>
      </c>
      <c r="AA930" s="34">
        <f>IF($I930="","",IFERROR(INDEX(코드설정!$D$5:$D$24,MATCH($I930,코드설정!$C$5:$C$24,0)),""))</f>
        <v/>
      </c>
      <c r="AB930" s="36" t="n"/>
      <c r="AC930" s="37" t="n"/>
      <c r="AD930" s="38" t="n"/>
      <c r="AE930" s="30">
        <f>IF(OR($B930="",$C930=""),"",$C930-$B930+1)</f>
        <v/>
      </c>
      <c r="AF930" s="32" t="n"/>
      <c r="AG930" s="36" t="n"/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3">
        <f>IF($F931="","",IFERROR(INDEX(사건마스터!$B$5:$B$64,MATCH($F931,사건마스터!$A$5:$A$64,0)),""))</f>
        <v/>
      </c>
      <c r="H931" s="34">
        <f>IF($F931="","",IFERROR(INDEX(사건마스터!$C$5:$C$64,MATCH($F931,사건마스터!$A$5:$A$64,0)),""))</f>
        <v/>
      </c>
      <c r="I931" s="35">
        <f>IF($F931="","",IFERROR(INDEX(사건마스터!$H$5:$H$64,MATCH($F931,사건마스터!$A$5:$A$64,0)),""))</f>
        <v/>
      </c>
      <c r="J931" s="35">
        <f>IF($F931="","",IFERROR(INDEX(사건마스터!$AH$5:$AH$64,MATCH($F931,사건마스터!$A$5:$A$64,0)),""))</f>
        <v/>
      </c>
      <c r="K931" s="35">
        <f>IF($F931="","",IFERROR(INDEX(사건마스터!$AI$5:$AI$64,MATCH($F931,사건마스터!$A$5:$A$64,0)),""))</f>
        <v/>
      </c>
      <c r="L931" s="35">
        <f>IF($F931="","",IFERROR(INDEX(사건마스터!$AJ$5:$AJ$64,MATCH($F931,사건마스터!$A$5:$A$64,0)),""))</f>
        <v/>
      </c>
      <c r="M931" s="35">
        <f>IF($F931="","",IFERROR(INDEX(사건마스터!$AK$5:$AK$64,MATCH($F931,사건마스터!$A$5:$A$64,0)),""))</f>
        <v/>
      </c>
      <c r="N931" s="35">
        <f>IF($F931="","",IFERROR(INDEX(사건마스터!$AL$5:$AL$64,MATCH($F931,사건마스터!$A$5:$A$64,0)),""))</f>
        <v/>
      </c>
      <c r="O931" s="35">
        <f>IF($F931="","",IFERROR(INDEX(사건마스터!$AM$5:$AM$64,MATCH($F931,사건마스터!$A$5:$A$64,0)),""))</f>
        <v/>
      </c>
      <c r="P931" s="35">
        <f>IF($F931="","",IFERROR(INDEX(사건마스터!$AN$5:$AN$64,MATCH($F931,사건마스터!$A$5:$A$64,0)),""))</f>
        <v/>
      </c>
      <c r="Q931" s="35">
        <f>IF($F931="","",IFERROR(INDEX(사건마스터!$AO$5:$AO$64,MATCH($F931,사건마스터!$A$5:$A$64,0)),""))</f>
        <v/>
      </c>
      <c r="R931" s="35">
        <f>IF($F931="","",IFERROR(INDEX(사건마스터!$AP$5:$AP$64,MATCH($F931,사건마스터!$A$5:$A$64,0)),""))</f>
        <v/>
      </c>
      <c r="S931" s="35">
        <f>IF($F931="","",IFERROR(INDEX(사건마스터!$AQ$5:$AQ$64,MATCH($F931,사건마스터!$A$5:$A$64,0)),""))</f>
        <v/>
      </c>
      <c r="T931" s="35">
        <f>IF($F931="","",IFERROR(INDEX(사건마스터!$AR$5:$AR$64,MATCH($F931,사건마스터!$A$5:$A$64,0)),""))</f>
        <v/>
      </c>
      <c r="U931" s="35">
        <f>IF($F931="","",IFERROR(INDEX(사건마스터!$AS$5:$AS$64,MATCH($F931,사건마스터!$A$5:$A$64,0)),""))</f>
        <v/>
      </c>
      <c r="V931" s="35">
        <f>IF($F931="","",IFERROR(INDEX(사건마스터!$AT$5:$AT$64,MATCH($F931,사건마스터!$A$5:$A$64,0)),""))</f>
        <v/>
      </c>
      <c r="W931" s="35">
        <f>IF($F931="","",IFERROR(INDEX(사건마스터!$AU$5:$AU$64,MATCH($F931,사건마스터!$A$5:$A$64,0)),""))</f>
        <v/>
      </c>
      <c r="X931" s="35">
        <f>IF($F931="","",IFERROR(INDEX(사건마스터!$AV$5:$AV$64,MATCH($F931,사건마스터!$A$5:$A$64,0)),""))</f>
        <v/>
      </c>
      <c r="Y931" s="30">
        <f>IF($I931="","",COUNTIF($I931:$X931,"?*"))</f>
        <v/>
      </c>
      <c r="Z931" s="33">
        <f>IF($I931="","",_xlfn.TEXTJOIN(", ",TRUE,$I931:$X931))</f>
        <v/>
      </c>
      <c r="AA931" s="34">
        <f>IF($I931="","",IFERROR(INDEX(코드설정!$D$5:$D$24,MATCH($I931,코드설정!$C$5:$C$24,0)),""))</f>
        <v/>
      </c>
      <c r="AB931" s="36" t="n"/>
      <c r="AC931" s="37" t="n"/>
      <c r="AD931" s="38" t="n"/>
      <c r="AE931" s="30">
        <f>IF(OR($B931="",$C931=""),"",$C931-$B931+1)</f>
        <v/>
      </c>
      <c r="AF931" s="32" t="n"/>
      <c r="AG931" s="36" t="n"/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3">
        <f>IF($F932="","",IFERROR(INDEX(사건마스터!$B$5:$B$64,MATCH($F932,사건마스터!$A$5:$A$64,0)),""))</f>
        <v/>
      </c>
      <c r="H932" s="34">
        <f>IF($F932="","",IFERROR(INDEX(사건마스터!$C$5:$C$64,MATCH($F932,사건마스터!$A$5:$A$64,0)),""))</f>
        <v/>
      </c>
      <c r="I932" s="35">
        <f>IF($F932="","",IFERROR(INDEX(사건마스터!$H$5:$H$64,MATCH($F932,사건마스터!$A$5:$A$64,0)),""))</f>
        <v/>
      </c>
      <c r="J932" s="35">
        <f>IF($F932="","",IFERROR(INDEX(사건마스터!$AH$5:$AH$64,MATCH($F932,사건마스터!$A$5:$A$64,0)),""))</f>
        <v/>
      </c>
      <c r="K932" s="35">
        <f>IF($F932="","",IFERROR(INDEX(사건마스터!$AI$5:$AI$64,MATCH($F932,사건마스터!$A$5:$A$64,0)),""))</f>
        <v/>
      </c>
      <c r="L932" s="35">
        <f>IF($F932="","",IFERROR(INDEX(사건마스터!$AJ$5:$AJ$64,MATCH($F932,사건마스터!$A$5:$A$64,0)),""))</f>
        <v/>
      </c>
      <c r="M932" s="35">
        <f>IF($F932="","",IFERROR(INDEX(사건마스터!$AK$5:$AK$64,MATCH($F932,사건마스터!$A$5:$A$64,0)),""))</f>
        <v/>
      </c>
      <c r="N932" s="35">
        <f>IF($F932="","",IFERROR(INDEX(사건마스터!$AL$5:$AL$64,MATCH($F932,사건마스터!$A$5:$A$64,0)),""))</f>
        <v/>
      </c>
      <c r="O932" s="35">
        <f>IF($F932="","",IFERROR(INDEX(사건마스터!$AM$5:$AM$64,MATCH($F932,사건마스터!$A$5:$A$64,0)),""))</f>
        <v/>
      </c>
      <c r="P932" s="35">
        <f>IF($F932="","",IFERROR(INDEX(사건마스터!$AN$5:$AN$64,MATCH($F932,사건마스터!$A$5:$A$64,0)),""))</f>
        <v/>
      </c>
      <c r="Q932" s="35">
        <f>IF($F932="","",IFERROR(INDEX(사건마스터!$AO$5:$AO$64,MATCH($F932,사건마스터!$A$5:$A$64,0)),""))</f>
        <v/>
      </c>
      <c r="R932" s="35">
        <f>IF($F932="","",IFERROR(INDEX(사건마스터!$AP$5:$AP$64,MATCH($F932,사건마스터!$A$5:$A$64,0)),""))</f>
        <v/>
      </c>
      <c r="S932" s="35">
        <f>IF($F932="","",IFERROR(INDEX(사건마스터!$AQ$5:$AQ$64,MATCH($F932,사건마스터!$A$5:$A$64,0)),""))</f>
        <v/>
      </c>
      <c r="T932" s="35">
        <f>IF($F932="","",IFERROR(INDEX(사건마스터!$AR$5:$AR$64,MATCH($F932,사건마스터!$A$5:$A$64,0)),""))</f>
        <v/>
      </c>
      <c r="U932" s="35">
        <f>IF($F932="","",IFERROR(INDEX(사건마스터!$AS$5:$AS$64,MATCH($F932,사건마스터!$A$5:$A$64,0)),""))</f>
        <v/>
      </c>
      <c r="V932" s="35">
        <f>IF($F932="","",IFERROR(INDEX(사건마스터!$AT$5:$AT$64,MATCH($F932,사건마스터!$A$5:$A$64,0)),""))</f>
        <v/>
      </c>
      <c r="W932" s="35">
        <f>IF($F932="","",IFERROR(INDEX(사건마스터!$AU$5:$AU$64,MATCH($F932,사건마스터!$A$5:$A$64,0)),""))</f>
        <v/>
      </c>
      <c r="X932" s="35">
        <f>IF($F932="","",IFERROR(INDEX(사건마스터!$AV$5:$AV$64,MATCH($F932,사건마스터!$A$5:$A$64,0)),""))</f>
        <v/>
      </c>
      <c r="Y932" s="30">
        <f>IF($I932="","",COUNTIF($I932:$X932,"?*"))</f>
        <v/>
      </c>
      <c r="Z932" s="33">
        <f>IF($I932="","",_xlfn.TEXTJOIN(", ",TRUE,$I932:$X932))</f>
        <v/>
      </c>
      <c r="AA932" s="34">
        <f>IF($I932="","",IFERROR(INDEX(코드설정!$D$5:$D$24,MATCH($I932,코드설정!$C$5:$C$24,0)),""))</f>
        <v/>
      </c>
      <c r="AB932" s="36" t="n"/>
      <c r="AC932" s="37" t="n"/>
      <c r="AD932" s="38" t="n"/>
      <c r="AE932" s="30">
        <f>IF(OR($B932="",$C932=""),"",$C932-$B932+1)</f>
        <v/>
      </c>
      <c r="AF932" s="32" t="n"/>
      <c r="AG932" s="36" t="n"/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3">
        <f>IF($F933="","",IFERROR(INDEX(사건마스터!$B$5:$B$64,MATCH($F933,사건마스터!$A$5:$A$64,0)),""))</f>
        <v/>
      </c>
      <c r="H933" s="34">
        <f>IF($F933="","",IFERROR(INDEX(사건마스터!$C$5:$C$64,MATCH($F933,사건마스터!$A$5:$A$64,0)),""))</f>
        <v/>
      </c>
      <c r="I933" s="35">
        <f>IF($F933="","",IFERROR(INDEX(사건마스터!$H$5:$H$64,MATCH($F933,사건마스터!$A$5:$A$64,0)),""))</f>
        <v/>
      </c>
      <c r="J933" s="35">
        <f>IF($F933="","",IFERROR(INDEX(사건마스터!$AH$5:$AH$64,MATCH($F933,사건마스터!$A$5:$A$64,0)),""))</f>
        <v/>
      </c>
      <c r="K933" s="35">
        <f>IF($F933="","",IFERROR(INDEX(사건마스터!$AI$5:$AI$64,MATCH($F933,사건마스터!$A$5:$A$64,0)),""))</f>
        <v/>
      </c>
      <c r="L933" s="35">
        <f>IF($F933="","",IFERROR(INDEX(사건마스터!$AJ$5:$AJ$64,MATCH($F933,사건마스터!$A$5:$A$64,0)),""))</f>
        <v/>
      </c>
      <c r="M933" s="35">
        <f>IF($F933="","",IFERROR(INDEX(사건마스터!$AK$5:$AK$64,MATCH($F933,사건마스터!$A$5:$A$64,0)),""))</f>
        <v/>
      </c>
      <c r="N933" s="35">
        <f>IF($F933="","",IFERROR(INDEX(사건마스터!$AL$5:$AL$64,MATCH($F933,사건마스터!$A$5:$A$64,0)),""))</f>
        <v/>
      </c>
      <c r="O933" s="35">
        <f>IF($F933="","",IFERROR(INDEX(사건마스터!$AM$5:$AM$64,MATCH($F933,사건마스터!$A$5:$A$64,0)),""))</f>
        <v/>
      </c>
      <c r="P933" s="35">
        <f>IF($F933="","",IFERROR(INDEX(사건마스터!$AN$5:$AN$64,MATCH($F933,사건마스터!$A$5:$A$64,0)),""))</f>
        <v/>
      </c>
      <c r="Q933" s="35">
        <f>IF($F933="","",IFERROR(INDEX(사건마스터!$AO$5:$AO$64,MATCH($F933,사건마스터!$A$5:$A$64,0)),""))</f>
        <v/>
      </c>
      <c r="R933" s="35">
        <f>IF($F933="","",IFERROR(INDEX(사건마스터!$AP$5:$AP$64,MATCH($F933,사건마스터!$A$5:$A$64,0)),""))</f>
        <v/>
      </c>
      <c r="S933" s="35">
        <f>IF($F933="","",IFERROR(INDEX(사건마스터!$AQ$5:$AQ$64,MATCH($F933,사건마스터!$A$5:$A$64,0)),""))</f>
        <v/>
      </c>
      <c r="T933" s="35">
        <f>IF($F933="","",IFERROR(INDEX(사건마스터!$AR$5:$AR$64,MATCH($F933,사건마스터!$A$5:$A$64,0)),""))</f>
        <v/>
      </c>
      <c r="U933" s="35">
        <f>IF($F933="","",IFERROR(INDEX(사건마스터!$AS$5:$AS$64,MATCH($F933,사건마스터!$A$5:$A$64,0)),""))</f>
        <v/>
      </c>
      <c r="V933" s="35">
        <f>IF($F933="","",IFERROR(INDEX(사건마스터!$AT$5:$AT$64,MATCH($F933,사건마스터!$A$5:$A$64,0)),""))</f>
        <v/>
      </c>
      <c r="W933" s="35">
        <f>IF($F933="","",IFERROR(INDEX(사건마스터!$AU$5:$AU$64,MATCH($F933,사건마스터!$A$5:$A$64,0)),""))</f>
        <v/>
      </c>
      <c r="X933" s="35">
        <f>IF($F933="","",IFERROR(INDEX(사건마스터!$AV$5:$AV$64,MATCH($F933,사건마스터!$A$5:$A$64,0)),""))</f>
        <v/>
      </c>
      <c r="Y933" s="30">
        <f>IF($I933="","",COUNTIF($I933:$X933,"?*"))</f>
        <v/>
      </c>
      <c r="Z933" s="33">
        <f>IF($I933="","",_xlfn.TEXTJOIN(", ",TRUE,$I933:$X933))</f>
        <v/>
      </c>
      <c r="AA933" s="34">
        <f>IF($I933="","",IFERROR(INDEX(코드설정!$D$5:$D$24,MATCH($I933,코드설정!$C$5:$C$24,0)),""))</f>
        <v/>
      </c>
      <c r="AB933" s="36" t="n"/>
      <c r="AC933" s="37" t="n"/>
      <c r="AD933" s="38" t="n"/>
      <c r="AE933" s="30">
        <f>IF(OR($B933="",$C933=""),"",$C933-$B933+1)</f>
        <v/>
      </c>
      <c r="AF933" s="32" t="n"/>
      <c r="AG933" s="36" t="n"/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3">
        <f>IF($F934="","",IFERROR(INDEX(사건마스터!$B$5:$B$64,MATCH($F934,사건마스터!$A$5:$A$64,0)),""))</f>
        <v/>
      </c>
      <c r="H934" s="34">
        <f>IF($F934="","",IFERROR(INDEX(사건마스터!$C$5:$C$64,MATCH($F934,사건마스터!$A$5:$A$64,0)),""))</f>
        <v/>
      </c>
      <c r="I934" s="35">
        <f>IF($F934="","",IFERROR(INDEX(사건마스터!$H$5:$H$64,MATCH($F934,사건마스터!$A$5:$A$64,0)),""))</f>
        <v/>
      </c>
      <c r="J934" s="35">
        <f>IF($F934="","",IFERROR(INDEX(사건마스터!$AH$5:$AH$64,MATCH($F934,사건마스터!$A$5:$A$64,0)),""))</f>
        <v/>
      </c>
      <c r="K934" s="35">
        <f>IF($F934="","",IFERROR(INDEX(사건마스터!$AI$5:$AI$64,MATCH($F934,사건마스터!$A$5:$A$64,0)),""))</f>
        <v/>
      </c>
      <c r="L934" s="35">
        <f>IF($F934="","",IFERROR(INDEX(사건마스터!$AJ$5:$AJ$64,MATCH($F934,사건마스터!$A$5:$A$64,0)),""))</f>
        <v/>
      </c>
      <c r="M934" s="35">
        <f>IF($F934="","",IFERROR(INDEX(사건마스터!$AK$5:$AK$64,MATCH($F934,사건마스터!$A$5:$A$64,0)),""))</f>
        <v/>
      </c>
      <c r="N934" s="35">
        <f>IF($F934="","",IFERROR(INDEX(사건마스터!$AL$5:$AL$64,MATCH($F934,사건마스터!$A$5:$A$64,0)),""))</f>
        <v/>
      </c>
      <c r="O934" s="35">
        <f>IF($F934="","",IFERROR(INDEX(사건마스터!$AM$5:$AM$64,MATCH($F934,사건마스터!$A$5:$A$64,0)),""))</f>
        <v/>
      </c>
      <c r="P934" s="35">
        <f>IF($F934="","",IFERROR(INDEX(사건마스터!$AN$5:$AN$64,MATCH($F934,사건마스터!$A$5:$A$64,0)),""))</f>
        <v/>
      </c>
      <c r="Q934" s="35">
        <f>IF($F934="","",IFERROR(INDEX(사건마스터!$AO$5:$AO$64,MATCH($F934,사건마스터!$A$5:$A$64,0)),""))</f>
        <v/>
      </c>
      <c r="R934" s="35">
        <f>IF($F934="","",IFERROR(INDEX(사건마스터!$AP$5:$AP$64,MATCH($F934,사건마스터!$A$5:$A$64,0)),""))</f>
        <v/>
      </c>
      <c r="S934" s="35">
        <f>IF($F934="","",IFERROR(INDEX(사건마스터!$AQ$5:$AQ$64,MATCH($F934,사건마스터!$A$5:$A$64,0)),""))</f>
        <v/>
      </c>
      <c r="T934" s="35">
        <f>IF($F934="","",IFERROR(INDEX(사건마스터!$AR$5:$AR$64,MATCH($F934,사건마스터!$A$5:$A$64,0)),""))</f>
        <v/>
      </c>
      <c r="U934" s="35">
        <f>IF($F934="","",IFERROR(INDEX(사건마스터!$AS$5:$AS$64,MATCH($F934,사건마스터!$A$5:$A$64,0)),""))</f>
        <v/>
      </c>
      <c r="V934" s="35">
        <f>IF($F934="","",IFERROR(INDEX(사건마스터!$AT$5:$AT$64,MATCH($F934,사건마스터!$A$5:$A$64,0)),""))</f>
        <v/>
      </c>
      <c r="W934" s="35">
        <f>IF($F934="","",IFERROR(INDEX(사건마스터!$AU$5:$AU$64,MATCH($F934,사건마스터!$A$5:$A$64,0)),""))</f>
        <v/>
      </c>
      <c r="X934" s="35">
        <f>IF($F934="","",IFERROR(INDEX(사건마스터!$AV$5:$AV$64,MATCH($F934,사건마스터!$A$5:$A$64,0)),""))</f>
        <v/>
      </c>
      <c r="Y934" s="30">
        <f>IF($I934="","",COUNTIF($I934:$X934,"?*"))</f>
        <v/>
      </c>
      <c r="Z934" s="33">
        <f>IF($I934="","",_xlfn.TEXTJOIN(", ",TRUE,$I934:$X934))</f>
        <v/>
      </c>
      <c r="AA934" s="34">
        <f>IF($I934="","",IFERROR(INDEX(코드설정!$D$5:$D$24,MATCH($I934,코드설정!$C$5:$C$24,0)),""))</f>
        <v/>
      </c>
      <c r="AB934" s="36" t="n"/>
      <c r="AC934" s="37" t="n"/>
      <c r="AD934" s="38" t="n"/>
      <c r="AE934" s="30">
        <f>IF(OR($B934="",$C934=""),"",$C934-$B934+1)</f>
        <v/>
      </c>
      <c r="AF934" s="32" t="n"/>
      <c r="AG934" s="36" t="n"/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3">
        <f>IF($F935="","",IFERROR(INDEX(사건마스터!$B$5:$B$64,MATCH($F935,사건마스터!$A$5:$A$64,0)),""))</f>
        <v/>
      </c>
      <c r="H935" s="34">
        <f>IF($F935="","",IFERROR(INDEX(사건마스터!$C$5:$C$64,MATCH($F935,사건마스터!$A$5:$A$64,0)),""))</f>
        <v/>
      </c>
      <c r="I935" s="35">
        <f>IF($F935="","",IFERROR(INDEX(사건마스터!$H$5:$H$64,MATCH($F935,사건마스터!$A$5:$A$64,0)),""))</f>
        <v/>
      </c>
      <c r="J935" s="35">
        <f>IF($F935="","",IFERROR(INDEX(사건마스터!$AH$5:$AH$64,MATCH($F935,사건마스터!$A$5:$A$64,0)),""))</f>
        <v/>
      </c>
      <c r="K935" s="35">
        <f>IF($F935="","",IFERROR(INDEX(사건마스터!$AI$5:$AI$64,MATCH($F935,사건마스터!$A$5:$A$64,0)),""))</f>
        <v/>
      </c>
      <c r="L935" s="35">
        <f>IF($F935="","",IFERROR(INDEX(사건마스터!$AJ$5:$AJ$64,MATCH($F935,사건마스터!$A$5:$A$64,0)),""))</f>
        <v/>
      </c>
      <c r="M935" s="35">
        <f>IF($F935="","",IFERROR(INDEX(사건마스터!$AK$5:$AK$64,MATCH($F935,사건마스터!$A$5:$A$64,0)),""))</f>
        <v/>
      </c>
      <c r="N935" s="35">
        <f>IF($F935="","",IFERROR(INDEX(사건마스터!$AL$5:$AL$64,MATCH($F935,사건마스터!$A$5:$A$64,0)),""))</f>
        <v/>
      </c>
      <c r="O935" s="35">
        <f>IF($F935="","",IFERROR(INDEX(사건마스터!$AM$5:$AM$64,MATCH($F935,사건마스터!$A$5:$A$64,0)),""))</f>
        <v/>
      </c>
      <c r="P935" s="35">
        <f>IF($F935="","",IFERROR(INDEX(사건마스터!$AN$5:$AN$64,MATCH($F935,사건마스터!$A$5:$A$64,0)),""))</f>
        <v/>
      </c>
      <c r="Q935" s="35">
        <f>IF($F935="","",IFERROR(INDEX(사건마스터!$AO$5:$AO$64,MATCH($F935,사건마스터!$A$5:$A$64,0)),""))</f>
        <v/>
      </c>
      <c r="R935" s="35">
        <f>IF($F935="","",IFERROR(INDEX(사건마스터!$AP$5:$AP$64,MATCH($F935,사건마스터!$A$5:$A$64,0)),""))</f>
        <v/>
      </c>
      <c r="S935" s="35">
        <f>IF($F935="","",IFERROR(INDEX(사건마스터!$AQ$5:$AQ$64,MATCH($F935,사건마스터!$A$5:$A$64,0)),""))</f>
        <v/>
      </c>
      <c r="T935" s="35">
        <f>IF($F935="","",IFERROR(INDEX(사건마스터!$AR$5:$AR$64,MATCH($F935,사건마스터!$A$5:$A$64,0)),""))</f>
        <v/>
      </c>
      <c r="U935" s="35">
        <f>IF($F935="","",IFERROR(INDEX(사건마스터!$AS$5:$AS$64,MATCH($F935,사건마스터!$A$5:$A$64,0)),""))</f>
        <v/>
      </c>
      <c r="V935" s="35">
        <f>IF($F935="","",IFERROR(INDEX(사건마스터!$AT$5:$AT$64,MATCH($F935,사건마스터!$A$5:$A$64,0)),""))</f>
        <v/>
      </c>
      <c r="W935" s="35">
        <f>IF($F935="","",IFERROR(INDEX(사건마스터!$AU$5:$AU$64,MATCH($F935,사건마스터!$A$5:$A$64,0)),""))</f>
        <v/>
      </c>
      <c r="X935" s="35">
        <f>IF($F935="","",IFERROR(INDEX(사건마스터!$AV$5:$AV$64,MATCH($F935,사건마스터!$A$5:$A$64,0)),""))</f>
        <v/>
      </c>
      <c r="Y935" s="30">
        <f>IF($I935="","",COUNTIF($I935:$X935,"?*"))</f>
        <v/>
      </c>
      <c r="Z935" s="33">
        <f>IF($I935="","",_xlfn.TEXTJOIN(", ",TRUE,$I935:$X935))</f>
        <v/>
      </c>
      <c r="AA935" s="34">
        <f>IF($I935="","",IFERROR(INDEX(코드설정!$D$5:$D$24,MATCH($I935,코드설정!$C$5:$C$24,0)),""))</f>
        <v/>
      </c>
      <c r="AB935" s="36" t="n"/>
      <c r="AC935" s="37" t="n"/>
      <c r="AD935" s="38" t="n"/>
      <c r="AE935" s="30">
        <f>IF(OR($B935="",$C935=""),"",$C935-$B935+1)</f>
        <v/>
      </c>
      <c r="AF935" s="32" t="n"/>
      <c r="AG935" s="36" t="n"/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3">
        <f>IF($F936="","",IFERROR(INDEX(사건마스터!$B$5:$B$64,MATCH($F936,사건마스터!$A$5:$A$64,0)),""))</f>
        <v/>
      </c>
      <c r="H936" s="34">
        <f>IF($F936="","",IFERROR(INDEX(사건마스터!$C$5:$C$64,MATCH($F936,사건마스터!$A$5:$A$64,0)),""))</f>
        <v/>
      </c>
      <c r="I936" s="35">
        <f>IF($F936="","",IFERROR(INDEX(사건마스터!$H$5:$H$64,MATCH($F936,사건마스터!$A$5:$A$64,0)),""))</f>
        <v/>
      </c>
      <c r="J936" s="35">
        <f>IF($F936="","",IFERROR(INDEX(사건마스터!$AH$5:$AH$64,MATCH($F936,사건마스터!$A$5:$A$64,0)),""))</f>
        <v/>
      </c>
      <c r="K936" s="35">
        <f>IF($F936="","",IFERROR(INDEX(사건마스터!$AI$5:$AI$64,MATCH($F936,사건마스터!$A$5:$A$64,0)),""))</f>
        <v/>
      </c>
      <c r="L936" s="35">
        <f>IF($F936="","",IFERROR(INDEX(사건마스터!$AJ$5:$AJ$64,MATCH($F936,사건마스터!$A$5:$A$64,0)),""))</f>
        <v/>
      </c>
      <c r="M936" s="35">
        <f>IF($F936="","",IFERROR(INDEX(사건마스터!$AK$5:$AK$64,MATCH($F936,사건마스터!$A$5:$A$64,0)),""))</f>
        <v/>
      </c>
      <c r="N936" s="35">
        <f>IF($F936="","",IFERROR(INDEX(사건마스터!$AL$5:$AL$64,MATCH($F936,사건마스터!$A$5:$A$64,0)),""))</f>
        <v/>
      </c>
      <c r="O936" s="35">
        <f>IF($F936="","",IFERROR(INDEX(사건마스터!$AM$5:$AM$64,MATCH($F936,사건마스터!$A$5:$A$64,0)),""))</f>
        <v/>
      </c>
      <c r="P936" s="35">
        <f>IF($F936="","",IFERROR(INDEX(사건마스터!$AN$5:$AN$64,MATCH($F936,사건마스터!$A$5:$A$64,0)),""))</f>
        <v/>
      </c>
      <c r="Q936" s="35">
        <f>IF($F936="","",IFERROR(INDEX(사건마스터!$AO$5:$AO$64,MATCH($F936,사건마스터!$A$5:$A$64,0)),""))</f>
        <v/>
      </c>
      <c r="R936" s="35">
        <f>IF($F936="","",IFERROR(INDEX(사건마스터!$AP$5:$AP$64,MATCH($F936,사건마스터!$A$5:$A$64,0)),""))</f>
        <v/>
      </c>
      <c r="S936" s="35">
        <f>IF($F936="","",IFERROR(INDEX(사건마스터!$AQ$5:$AQ$64,MATCH($F936,사건마스터!$A$5:$A$64,0)),""))</f>
        <v/>
      </c>
      <c r="T936" s="35">
        <f>IF($F936="","",IFERROR(INDEX(사건마스터!$AR$5:$AR$64,MATCH($F936,사건마스터!$A$5:$A$64,0)),""))</f>
        <v/>
      </c>
      <c r="U936" s="35">
        <f>IF($F936="","",IFERROR(INDEX(사건마스터!$AS$5:$AS$64,MATCH($F936,사건마스터!$A$5:$A$64,0)),""))</f>
        <v/>
      </c>
      <c r="V936" s="35">
        <f>IF($F936="","",IFERROR(INDEX(사건마스터!$AT$5:$AT$64,MATCH($F936,사건마스터!$A$5:$A$64,0)),""))</f>
        <v/>
      </c>
      <c r="W936" s="35">
        <f>IF($F936="","",IFERROR(INDEX(사건마스터!$AU$5:$AU$64,MATCH($F936,사건마스터!$A$5:$A$64,0)),""))</f>
        <v/>
      </c>
      <c r="X936" s="35">
        <f>IF($F936="","",IFERROR(INDEX(사건마스터!$AV$5:$AV$64,MATCH($F936,사건마스터!$A$5:$A$64,0)),""))</f>
        <v/>
      </c>
      <c r="Y936" s="30">
        <f>IF($I936="","",COUNTIF($I936:$X936,"?*"))</f>
        <v/>
      </c>
      <c r="Z936" s="33">
        <f>IF($I936="","",_xlfn.TEXTJOIN(", ",TRUE,$I936:$X936))</f>
        <v/>
      </c>
      <c r="AA936" s="34">
        <f>IF($I936="","",IFERROR(INDEX(코드설정!$D$5:$D$24,MATCH($I936,코드설정!$C$5:$C$24,0)),""))</f>
        <v/>
      </c>
      <c r="AB936" s="36" t="n"/>
      <c r="AC936" s="37" t="n"/>
      <c r="AD936" s="38" t="n"/>
      <c r="AE936" s="30">
        <f>IF(OR($B936="",$C936=""),"",$C936-$B936+1)</f>
        <v/>
      </c>
      <c r="AF936" s="32" t="n"/>
      <c r="AG936" s="36" t="n"/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3">
        <f>IF($F937="","",IFERROR(INDEX(사건마스터!$B$5:$B$64,MATCH($F937,사건마스터!$A$5:$A$64,0)),""))</f>
        <v/>
      </c>
      <c r="H937" s="34">
        <f>IF($F937="","",IFERROR(INDEX(사건마스터!$C$5:$C$64,MATCH($F937,사건마스터!$A$5:$A$64,0)),""))</f>
        <v/>
      </c>
      <c r="I937" s="35">
        <f>IF($F937="","",IFERROR(INDEX(사건마스터!$H$5:$H$64,MATCH($F937,사건마스터!$A$5:$A$64,0)),""))</f>
        <v/>
      </c>
      <c r="J937" s="35">
        <f>IF($F937="","",IFERROR(INDEX(사건마스터!$AH$5:$AH$64,MATCH($F937,사건마스터!$A$5:$A$64,0)),""))</f>
        <v/>
      </c>
      <c r="K937" s="35">
        <f>IF($F937="","",IFERROR(INDEX(사건마스터!$AI$5:$AI$64,MATCH($F937,사건마스터!$A$5:$A$64,0)),""))</f>
        <v/>
      </c>
      <c r="L937" s="35">
        <f>IF($F937="","",IFERROR(INDEX(사건마스터!$AJ$5:$AJ$64,MATCH($F937,사건마스터!$A$5:$A$64,0)),""))</f>
        <v/>
      </c>
      <c r="M937" s="35">
        <f>IF($F937="","",IFERROR(INDEX(사건마스터!$AK$5:$AK$64,MATCH($F937,사건마스터!$A$5:$A$64,0)),""))</f>
        <v/>
      </c>
      <c r="N937" s="35">
        <f>IF($F937="","",IFERROR(INDEX(사건마스터!$AL$5:$AL$64,MATCH($F937,사건마스터!$A$5:$A$64,0)),""))</f>
        <v/>
      </c>
      <c r="O937" s="35">
        <f>IF($F937="","",IFERROR(INDEX(사건마스터!$AM$5:$AM$64,MATCH($F937,사건마스터!$A$5:$A$64,0)),""))</f>
        <v/>
      </c>
      <c r="P937" s="35">
        <f>IF($F937="","",IFERROR(INDEX(사건마스터!$AN$5:$AN$64,MATCH($F937,사건마스터!$A$5:$A$64,0)),""))</f>
        <v/>
      </c>
      <c r="Q937" s="35">
        <f>IF($F937="","",IFERROR(INDEX(사건마스터!$AO$5:$AO$64,MATCH($F937,사건마스터!$A$5:$A$64,0)),""))</f>
        <v/>
      </c>
      <c r="R937" s="35">
        <f>IF($F937="","",IFERROR(INDEX(사건마스터!$AP$5:$AP$64,MATCH($F937,사건마스터!$A$5:$A$64,0)),""))</f>
        <v/>
      </c>
      <c r="S937" s="35">
        <f>IF($F937="","",IFERROR(INDEX(사건마스터!$AQ$5:$AQ$64,MATCH($F937,사건마스터!$A$5:$A$64,0)),""))</f>
        <v/>
      </c>
      <c r="T937" s="35">
        <f>IF($F937="","",IFERROR(INDEX(사건마스터!$AR$5:$AR$64,MATCH($F937,사건마스터!$A$5:$A$64,0)),""))</f>
        <v/>
      </c>
      <c r="U937" s="35">
        <f>IF($F937="","",IFERROR(INDEX(사건마스터!$AS$5:$AS$64,MATCH($F937,사건마스터!$A$5:$A$64,0)),""))</f>
        <v/>
      </c>
      <c r="V937" s="35">
        <f>IF($F937="","",IFERROR(INDEX(사건마스터!$AT$5:$AT$64,MATCH($F937,사건마스터!$A$5:$A$64,0)),""))</f>
        <v/>
      </c>
      <c r="W937" s="35">
        <f>IF($F937="","",IFERROR(INDEX(사건마스터!$AU$5:$AU$64,MATCH($F937,사건마스터!$A$5:$A$64,0)),""))</f>
        <v/>
      </c>
      <c r="X937" s="35">
        <f>IF($F937="","",IFERROR(INDEX(사건마스터!$AV$5:$AV$64,MATCH($F937,사건마스터!$A$5:$A$64,0)),""))</f>
        <v/>
      </c>
      <c r="Y937" s="30">
        <f>IF($I937="","",COUNTIF($I937:$X937,"?*"))</f>
        <v/>
      </c>
      <c r="Z937" s="33">
        <f>IF($I937="","",_xlfn.TEXTJOIN(", ",TRUE,$I937:$X937))</f>
        <v/>
      </c>
      <c r="AA937" s="34">
        <f>IF($I937="","",IFERROR(INDEX(코드설정!$D$5:$D$24,MATCH($I937,코드설정!$C$5:$C$24,0)),""))</f>
        <v/>
      </c>
      <c r="AB937" s="36" t="n"/>
      <c r="AC937" s="37" t="n"/>
      <c r="AD937" s="38" t="n"/>
      <c r="AE937" s="30">
        <f>IF(OR($B937="",$C937=""),"",$C937-$B937+1)</f>
        <v/>
      </c>
      <c r="AF937" s="32" t="n"/>
      <c r="AG937" s="36" t="n"/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3">
        <f>IF($F938="","",IFERROR(INDEX(사건마스터!$B$5:$B$64,MATCH($F938,사건마스터!$A$5:$A$64,0)),""))</f>
        <v/>
      </c>
      <c r="H938" s="34">
        <f>IF($F938="","",IFERROR(INDEX(사건마스터!$C$5:$C$64,MATCH($F938,사건마스터!$A$5:$A$64,0)),""))</f>
        <v/>
      </c>
      <c r="I938" s="35">
        <f>IF($F938="","",IFERROR(INDEX(사건마스터!$H$5:$H$64,MATCH($F938,사건마스터!$A$5:$A$64,0)),""))</f>
        <v/>
      </c>
      <c r="J938" s="35">
        <f>IF($F938="","",IFERROR(INDEX(사건마스터!$AH$5:$AH$64,MATCH($F938,사건마스터!$A$5:$A$64,0)),""))</f>
        <v/>
      </c>
      <c r="K938" s="35">
        <f>IF($F938="","",IFERROR(INDEX(사건마스터!$AI$5:$AI$64,MATCH($F938,사건마스터!$A$5:$A$64,0)),""))</f>
        <v/>
      </c>
      <c r="L938" s="35">
        <f>IF($F938="","",IFERROR(INDEX(사건마스터!$AJ$5:$AJ$64,MATCH($F938,사건마스터!$A$5:$A$64,0)),""))</f>
        <v/>
      </c>
      <c r="M938" s="35">
        <f>IF($F938="","",IFERROR(INDEX(사건마스터!$AK$5:$AK$64,MATCH($F938,사건마스터!$A$5:$A$64,0)),""))</f>
        <v/>
      </c>
      <c r="N938" s="35">
        <f>IF($F938="","",IFERROR(INDEX(사건마스터!$AL$5:$AL$64,MATCH($F938,사건마스터!$A$5:$A$64,0)),""))</f>
        <v/>
      </c>
      <c r="O938" s="35">
        <f>IF($F938="","",IFERROR(INDEX(사건마스터!$AM$5:$AM$64,MATCH($F938,사건마스터!$A$5:$A$64,0)),""))</f>
        <v/>
      </c>
      <c r="P938" s="35">
        <f>IF($F938="","",IFERROR(INDEX(사건마스터!$AN$5:$AN$64,MATCH($F938,사건마스터!$A$5:$A$64,0)),""))</f>
        <v/>
      </c>
      <c r="Q938" s="35">
        <f>IF($F938="","",IFERROR(INDEX(사건마스터!$AO$5:$AO$64,MATCH($F938,사건마스터!$A$5:$A$64,0)),""))</f>
        <v/>
      </c>
      <c r="R938" s="35">
        <f>IF($F938="","",IFERROR(INDEX(사건마스터!$AP$5:$AP$64,MATCH($F938,사건마스터!$A$5:$A$64,0)),""))</f>
        <v/>
      </c>
      <c r="S938" s="35">
        <f>IF($F938="","",IFERROR(INDEX(사건마스터!$AQ$5:$AQ$64,MATCH($F938,사건마스터!$A$5:$A$64,0)),""))</f>
        <v/>
      </c>
      <c r="T938" s="35">
        <f>IF($F938="","",IFERROR(INDEX(사건마스터!$AR$5:$AR$64,MATCH($F938,사건마스터!$A$5:$A$64,0)),""))</f>
        <v/>
      </c>
      <c r="U938" s="35">
        <f>IF($F938="","",IFERROR(INDEX(사건마스터!$AS$5:$AS$64,MATCH($F938,사건마스터!$A$5:$A$64,0)),""))</f>
        <v/>
      </c>
      <c r="V938" s="35">
        <f>IF($F938="","",IFERROR(INDEX(사건마스터!$AT$5:$AT$64,MATCH($F938,사건마스터!$A$5:$A$64,0)),""))</f>
        <v/>
      </c>
      <c r="W938" s="35">
        <f>IF($F938="","",IFERROR(INDEX(사건마스터!$AU$5:$AU$64,MATCH($F938,사건마스터!$A$5:$A$64,0)),""))</f>
        <v/>
      </c>
      <c r="X938" s="35">
        <f>IF($F938="","",IFERROR(INDEX(사건마스터!$AV$5:$AV$64,MATCH($F938,사건마스터!$A$5:$A$64,0)),""))</f>
        <v/>
      </c>
      <c r="Y938" s="30">
        <f>IF($I938="","",COUNTIF($I938:$X938,"?*"))</f>
        <v/>
      </c>
      <c r="Z938" s="33">
        <f>IF($I938="","",_xlfn.TEXTJOIN(", ",TRUE,$I938:$X938))</f>
        <v/>
      </c>
      <c r="AA938" s="34">
        <f>IF($I938="","",IFERROR(INDEX(코드설정!$D$5:$D$24,MATCH($I938,코드설정!$C$5:$C$24,0)),""))</f>
        <v/>
      </c>
      <c r="AB938" s="36" t="n"/>
      <c r="AC938" s="37" t="n"/>
      <c r="AD938" s="38" t="n"/>
      <c r="AE938" s="30">
        <f>IF(OR($B938="",$C938=""),"",$C938-$B938+1)</f>
        <v/>
      </c>
      <c r="AF938" s="32" t="n"/>
      <c r="AG938" s="36" t="n"/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3">
        <f>IF($F939="","",IFERROR(INDEX(사건마스터!$B$5:$B$64,MATCH($F939,사건마스터!$A$5:$A$64,0)),""))</f>
        <v/>
      </c>
      <c r="H939" s="34">
        <f>IF($F939="","",IFERROR(INDEX(사건마스터!$C$5:$C$64,MATCH($F939,사건마스터!$A$5:$A$64,0)),""))</f>
        <v/>
      </c>
      <c r="I939" s="35">
        <f>IF($F939="","",IFERROR(INDEX(사건마스터!$H$5:$H$64,MATCH($F939,사건마스터!$A$5:$A$64,0)),""))</f>
        <v/>
      </c>
      <c r="J939" s="35">
        <f>IF($F939="","",IFERROR(INDEX(사건마스터!$AH$5:$AH$64,MATCH($F939,사건마스터!$A$5:$A$64,0)),""))</f>
        <v/>
      </c>
      <c r="K939" s="35">
        <f>IF($F939="","",IFERROR(INDEX(사건마스터!$AI$5:$AI$64,MATCH($F939,사건마스터!$A$5:$A$64,0)),""))</f>
        <v/>
      </c>
      <c r="L939" s="35">
        <f>IF($F939="","",IFERROR(INDEX(사건마스터!$AJ$5:$AJ$64,MATCH($F939,사건마스터!$A$5:$A$64,0)),""))</f>
        <v/>
      </c>
      <c r="M939" s="35">
        <f>IF($F939="","",IFERROR(INDEX(사건마스터!$AK$5:$AK$64,MATCH($F939,사건마스터!$A$5:$A$64,0)),""))</f>
        <v/>
      </c>
      <c r="N939" s="35">
        <f>IF($F939="","",IFERROR(INDEX(사건마스터!$AL$5:$AL$64,MATCH($F939,사건마스터!$A$5:$A$64,0)),""))</f>
        <v/>
      </c>
      <c r="O939" s="35">
        <f>IF($F939="","",IFERROR(INDEX(사건마스터!$AM$5:$AM$64,MATCH($F939,사건마스터!$A$5:$A$64,0)),""))</f>
        <v/>
      </c>
      <c r="P939" s="35">
        <f>IF($F939="","",IFERROR(INDEX(사건마스터!$AN$5:$AN$64,MATCH($F939,사건마스터!$A$5:$A$64,0)),""))</f>
        <v/>
      </c>
      <c r="Q939" s="35">
        <f>IF($F939="","",IFERROR(INDEX(사건마스터!$AO$5:$AO$64,MATCH($F939,사건마스터!$A$5:$A$64,0)),""))</f>
        <v/>
      </c>
      <c r="R939" s="35">
        <f>IF($F939="","",IFERROR(INDEX(사건마스터!$AP$5:$AP$64,MATCH($F939,사건마스터!$A$5:$A$64,0)),""))</f>
        <v/>
      </c>
      <c r="S939" s="35">
        <f>IF($F939="","",IFERROR(INDEX(사건마스터!$AQ$5:$AQ$64,MATCH($F939,사건마스터!$A$5:$A$64,0)),""))</f>
        <v/>
      </c>
      <c r="T939" s="35">
        <f>IF($F939="","",IFERROR(INDEX(사건마스터!$AR$5:$AR$64,MATCH($F939,사건마스터!$A$5:$A$64,0)),""))</f>
        <v/>
      </c>
      <c r="U939" s="35">
        <f>IF($F939="","",IFERROR(INDEX(사건마스터!$AS$5:$AS$64,MATCH($F939,사건마스터!$A$5:$A$64,0)),""))</f>
        <v/>
      </c>
      <c r="V939" s="35">
        <f>IF($F939="","",IFERROR(INDEX(사건마스터!$AT$5:$AT$64,MATCH($F939,사건마스터!$A$5:$A$64,0)),""))</f>
        <v/>
      </c>
      <c r="W939" s="35">
        <f>IF($F939="","",IFERROR(INDEX(사건마스터!$AU$5:$AU$64,MATCH($F939,사건마스터!$A$5:$A$64,0)),""))</f>
        <v/>
      </c>
      <c r="X939" s="35">
        <f>IF($F939="","",IFERROR(INDEX(사건마스터!$AV$5:$AV$64,MATCH($F939,사건마스터!$A$5:$A$64,0)),""))</f>
        <v/>
      </c>
      <c r="Y939" s="30">
        <f>IF($I939="","",COUNTIF($I939:$X939,"?*"))</f>
        <v/>
      </c>
      <c r="Z939" s="33">
        <f>IF($I939="","",_xlfn.TEXTJOIN(", ",TRUE,$I939:$X939))</f>
        <v/>
      </c>
      <c r="AA939" s="34">
        <f>IF($I939="","",IFERROR(INDEX(코드설정!$D$5:$D$24,MATCH($I939,코드설정!$C$5:$C$24,0)),""))</f>
        <v/>
      </c>
      <c r="AB939" s="36" t="n"/>
      <c r="AC939" s="37" t="n"/>
      <c r="AD939" s="38" t="n"/>
      <c r="AE939" s="30">
        <f>IF(OR($B939="",$C939=""),"",$C939-$B939+1)</f>
        <v/>
      </c>
      <c r="AF939" s="32" t="n"/>
      <c r="AG939" s="36" t="n"/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3">
        <f>IF($F940="","",IFERROR(INDEX(사건마스터!$B$5:$B$64,MATCH($F940,사건마스터!$A$5:$A$64,0)),""))</f>
        <v/>
      </c>
      <c r="H940" s="34">
        <f>IF($F940="","",IFERROR(INDEX(사건마스터!$C$5:$C$64,MATCH($F940,사건마스터!$A$5:$A$64,0)),""))</f>
        <v/>
      </c>
      <c r="I940" s="35">
        <f>IF($F940="","",IFERROR(INDEX(사건마스터!$H$5:$H$64,MATCH($F940,사건마스터!$A$5:$A$64,0)),""))</f>
        <v/>
      </c>
      <c r="J940" s="35">
        <f>IF($F940="","",IFERROR(INDEX(사건마스터!$AH$5:$AH$64,MATCH($F940,사건마스터!$A$5:$A$64,0)),""))</f>
        <v/>
      </c>
      <c r="K940" s="35">
        <f>IF($F940="","",IFERROR(INDEX(사건마스터!$AI$5:$AI$64,MATCH($F940,사건마스터!$A$5:$A$64,0)),""))</f>
        <v/>
      </c>
      <c r="L940" s="35">
        <f>IF($F940="","",IFERROR(INDEX(사건마스터!$AJ$5:$AJ$64,MATCH($F940,사건마스터!$A$5:$A$64,0)),""))</f>
        <v/>
      </c>
      <c r="M940" s="35">
        <f>IF($F940="","",IFERROR(INDEX(사건마스터!$AK$5:$AK$64,MATCH($F940,사건마스터!$A$5:$A$64,0)),""))</f>
        <v/>
      </c>
      <c r="N940" s="35">
        <f>IF($F940="","",IFERROR(INDEX(사건마스터!$AL$5:$AL$64,MATCH($F940,사건마스터!$A$5:$A$64,0)),""))</f>
        <v/>
      </c>
      <c r="O940" s="35">
        <f>IF($F940="","",IFERROR(INDEX(사건마스터!$AM$5:$AM$64,MATCH($F940,사건마스터!$A$5:$A$64,0)),""))</f>
        <v/>
      </c>
      <c r="P940" s="35">
        <f>IF($F940="","",IFERROR(INDEX(사건마스터!$AN$5:$AN$64,MATCH($F940,사건마스터!$A$5:$A$64,0)),""))</f>
        <v/>
      </c>
      <c r="Q940" s="35">
        <f>IF($F940="","",IFERROR(INDEX(사건마스터!$AO$5:$AO$64,MATCH($F940,사건마스터!$A$5:$A$64,0)),""))</f>
        <v/>
      </c>
      <c r="R940" s="35">
        <f>IF($F940="","",IFERROR(INDEX(사건마스터!$AP$5:$AP$64,MATCH($F940,사건마스터!$A$5:$A$64,0)),""))</f>
        <v/>
      </c>
      <c r="S940" s="35">
        <f>IF($F940="","",IFERROR(INDEX(사건마스터!$AQ$5:$AQ$64,MATCH($F940,사건마스터!$A$5:$A$64,0)),""))</f>
        <v/>
      </c>
      <c r="T940" s="35">
        <f>IF($F940="","",IFERROR(INDEX(사건마스터!$AR$5:$AR$64,MATCH($F940,사건마스터!$A$5:$A$64,0)),""))</f>
        <v/>
      </c>
      <c r="U940" s="35">
        <f>IF($F940="","",IFERROR(INDEX(사건마스터!$AS$5:$AS$64,MATCH($F940,사건마스터!$A$5:$A$64,0)),""))</f>
        <v/>
      </c>
      <c r="V940" s="35">
        <f>IF($F940="","",IFERROR(INDEX(사건마스터!$AT$5:$AT$64,MATCH($F940,사건마스터!$A$5:$A$64,0)),""))</f>
        <v/>
      </c>
      <c r="W940" s="35">
        <f>IF($F940="","",IFERROR(INDEX(사건마스터!$AU$5:$AU$64,MATCH($F940,사건마스터!$A$5:$A$64,0)),""))</f>
        <v/>
      </c>
      <c r="X940" s="35">
        <f>IF($F940="","",IFERROR(INDEX(사건마스터!$AV$5:$AV$64,MATCH($F940,사건마스터!$A$5:$A$64,0)),""))</f>
        <v/>
      </c>
      <c r="Y940" s="30">
        <f>IF($I940="","",COUNTIF($I940:$X940,"?*"))</f>
        <v/>
      </c>
      <c r="Z940" s="33">
        <f>IF($I940="","",_xlfn.TEXTJOIN(", ",TRUE,$I940:$X940))</f>
        <v/>
      </c>
      <c r="AA940" s="34">
        <f>IF($I940="","",IFERROR(INDEX(코드설정!$D$5:$D$24,MATCH($I940,코드설정!$C$5:$C$24,0)),""))</f>
        <v/>
      </c>
      <c r="AB940" s="36" t="n"/>
      <c r="AC940" s="37" t="n"/>
      <c r="AD940" s="38" t="n"/>
      <c r="AE940" s="30">
        <f>IF(OR($B940="",$C940=""),"",$C940-$B940+1)</f>
        <v/>
      </c>
      <c r="AF940" s="32" t="n"/>
      <c r="AG940" s="36" t="n"/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3">
        <f>IF($F941="","",IFERROR(INDEX(사건마스터!$B$5:$B$64,MATCH($F941,사건마스터!$A$5:$A$64,0)),""))</f>
        <v/>
      </c>
      <c r="H941" s="34">
        <f>IF($F941="","",IFERROR(INDEX(사건마스터!$C$5:$C$64,MATCH($F941,사건마스터!$A$5:$A$64,0)),""))</f>
        <v/>
      </c>
      <c r="I941" s="35">
        <f>IF($F941="","",IFERROR(INDEX(사건마스터!$H$5:$H$64,MATCH($F941,사건마스터!$A$5:$A$64,0)),""))</f>
        <v/>
      </c>
      <c r="J941" s="35">
        <f>IF($F941="","",IFERROR(INDEX(사건마스터!$AH$5:$AH$64,MATCH($F941,사건마스터!$A$5:$A$64,0)),""))</f>
        <v/>
      </c>
      <c r="K941" s="35">
        <f>IF($F941="","",IFERROR(INDEX(사건마스터!$AI$5:$AI$64,MATCH($F941,사건마스터!$A$5:$A$64,0)),""))</f>
        <v/>
      </c>
      <c r="L941" s="35">
        <f>IF($F941="","",IFERROR(INDEX(사건마스터!$AJ$5:$AJ$64,MATCH($F941,사건마스터!$A$5:$A$64,0)),""))</f>
        <v/>
      </c>
      <c r="M941" s="35">
        <f>IF($F941="","",IFERROR(INDEX(사건마스터!$AK$5:$AK$64,MATCH($F941,사건마스터!$A$5:$A$64,0)),""))</f>
        <v/>
      </c>
      <c r="N941" s="35">
        <f>IF($F941="","",IFERROR(INDEX(사건마스터!$AL$5:$AL$64,MATCH($F941,사건마스터!$A$5:$A$64,0)),""))</f>
        <v/>
      </c>
      <c r="O941" s="35">
        <f>IF($F941="","",IFERROR(INDEX(사건마스터!$AM$5:$AM$64,MATCH($F941,사건마스터!$A$5:$A$64,0)),""))</f>
        <v/>
      </c>
      <c r="P941" s="35">
        <f>IF($F941="","",IFERROR(INDEX(사건마스터!$AN$5:$AN$64,MATCH($F941,사건마스터!$A$5:$A$64,0)),""))</f>
        <v/>
      </c>
      <c r="Q941" s="35">
        <f>IF($F941="","",IFERROR(INDEX(사건마스터!$AO$5:$AO$64,MATCH($F941,사건마스터!$A$5:$A$64,0)),""))</f>
        <v/>
      </c>
      <c r="R941" s="35">
        <f>IF($F941="","",IFERROR(INDEX(사건마스터!$AP$5:$AP$64,MATCH($F941,사건마스터!$A$5:$A$64,0)),""))</f>
        <v/>
      </c>
      <c r="S941" s="35">
        <f>IF($F941="","",IFERROR(INDEX(사건마스터!$AQ$5:$AQ$64,MATCH($F941,사건마스터!$A$5:$A$64,0)),""))</f>
        <v/>
      </c>
      <c r="T941" s="35">
        <f>IF($F941="","",IFERROR(INDEX(사건마스터!$AR$5:$AR$64,MATCH($F941,사건마스터!$A$5:$A$64,0)),""))</f>
        <v/>
      </c>
      <c r="U941" s="35">
        <f>IF($F941="","",IFERROR(INDEX(사건마스터!$AS$5:$AS$64,MATCH($F941,사건마스터!$A$5:$A$64,0)),""))</f>
        <v/>
      </c>
      <c r="V941" s="35">
        <f>IF($F941="","",IFERROR(INDEX(사건마스터!$AT$5:$AT$64,MATCH($F941,사건마스터!$A$5:$A$64,0)),""))</f>
        <v/>
      </c>
      <c r="W941" s="35">
        <f>IF($F941="","",IFERROR(INDEX(사건마스터!$AU$5:$AU$64,MATCH($F941,사건마스터!$A$5:$A$64,0)),""))</f>
        <v/>
      </c>
      <c r="X941" s="35">
        <f>IF($F941="","",IFERROR(INDEX(사건마스터!$AV$5:$AV$64,MATCH($F941,사건마스터!$A$5:$A$64,0)),""))</f>
        <v/>
      </c>
      <c r="Y941" s="30">
        <f>IF($I941="","",COUNTIF($I941:$X941,"?*"))</f>
        <v/>
      </c>
      <c r="Z941" s="33">
        <f>IF($I941="","",_xlfn.TEXTJOIN(", ",TRUE,$I941:$X941))</f>
        <v/>
      </c>
      <c r="AA941" s="34">
        <f>IF($I941="","",IFERROR(INDEX(코드설정!$D$5:$D$24,MATCH($I941,코드설정!$C$5:$C$24,0)),""))</f>
        <v/>
      </c>
      <c r="AB941" s="36" t="n"/>
      <c r="AC941" s="37" t="n"/>
      <c r="AD941" s="38" t="n"/>
      <c r="AE941" s="30">
        <f>IF(OR($B941="",$C941=""),"",$C941-$B941+1)</f>
        <v/>
      </c>
      <c r="AF941" s="32" t="n"/>
      <c r="AG941" s="36" t="n"/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3">
        <f>IF($F942="","",IFERROR(INDEX(사건마스터!$B$5:$B$64,MATCH($F942,사건마스터!$A$5:$A$64,0)),""))</f>
        <v/>
      </c>
      <c r="H942" s="34">
        <f>IF($F942="","",IFERROR(INDEX(사건마스터!$C$5:$C$64,MATCH($F942,사건마스터!$A$5:$A$64,0)),""))</f>
        <v/>
      </c>
      <c r="I942" s="35">
        <f>IF($F942="","",IFERROR(INDEX(사건마스터!$H$5:$H$64,MATCH($F942,사건마스터!$A$5:$A$64,0)),""))</f>
        <v/>
      </c>
      <c r="J942" s="35">
        <f>IF($F942="","",IFERROR(INDEX(사건마스터!$AH$5:$AH$64,MATCH($F942,사건마스터!$A$5:$A$64,0)),""))</f>
        <v/>
      </c>
      <c r="K942" s="35">
        <f>IF($F942="","",IFERROR(INDEX(사건마스터!$AI$5:$AI$64,MATCH($F942,사건마스터!$A$5:$A$64,0)),""))</f>
        <v/>
      </c>
      <c r="L942" s="35">
        <f>IF($F942="","",IFERROR(INDEX(사건마스터!$AJ$5:$AJ$64,MATCH($F942,사건마스터!$A$5:$A$64,0)),""))</f>
        <v/>
      </c>
      <c r="M942" s="35">
        <f>IF($F942="","",IFERROR(INDEX(사건마스터!$AK$5:$AK$64,MATCH($F942,사건마스터!$A$5:$A$64,0)),""))</f>
        <v/>
      </c>
      <c r="N942" s="35">
        <f>IF($F942="","",IFERROR(INDEX(사건마스터!$AL$5:$AL$64,MATCH($F942,사건마스터!$A$5:$A$64,0)),""))</f>
        <v/>
      </c>
      <c r="O942" s="35">
        <f>IF($F942="","",IFERROR(INDEX(사건마스터!$AM$5:$AM$64,MATCH($F942,사건마스터!$A$5:$A$64,0)),""))</f>
        <v/>
      </c>
      <c r="P942" s="35">
        <f>IF($F942="","",IFERROR(INDEX(사건마스터!$AN$5:$AN$64,MATCH($F942,사건마스터!$A$5:$A$64,0)),""))</f>
        <v/>
      </c>
      <c r="Q942" s="35">
        <f>IF($F942="","",IFERROR(INDEX(사건마스터!$AO$5:$AO$64,MATCH($F942,사건마스터!$A$5:$A$64,0)),""))</f>
        <v/>
      </c>
      <c r="R942" s="35">
        <f>IF($F942="","",IFERROR(INDEX(사건마스터!$AP$5:$AP$64,MATCH($F942,사건마스터!$A$5:$A$64,0)),""))</f>
        <v/>
      </c>
      <c r="S942" s="35">
        <f>IF($F942="","",IFERROR(INDEX(사건마스터!$AQ$5:$AQ$64,MATCH($F942,사건마스터!$A$5:$A$64,0)),""))</f>
        <v/>
      </c>
      <c r="T942" s="35">
        <f>IF($F942="","",IFERROR(INDEX(사건마스터!$AR$5:$AR$64,MATCH($F942,사건마스터!$A$5:$A$64,0)),""))</f>
        <v/>
      </c>
      <c r="U942" s="35">
        <f>IF($F942="","",IFERROR(INDEX(사건마스터!$AS$5:$AS$64,MATCH($F942,사건마스터!$A$5:$A$64,0)),""))</f>
        <v/>
      </c>
      <c r="V942" s="35">
        <f>IF($F942="","",IFERROR(INDEX(사건마스터!$AT$5:$AT$64,MATCH($F942,사건마스터!$A$5:$A$64,0)),""))</f>
        <v/>
      </c>
      <c r="W942" s="35">
        <f>IF($F942="","",IFERROR(INDEX(사건마스터!$AU$5:$AU$64,MATCH($F942,사건마스터!$A$5:$A$64,0)),""))</f>
        <v/>
      </c>
      <c r="X942" s="35">
        <f>IF($F942="","",IFERROR(INDEX(사건마스터!$AV$5:$AV$64,MATCH($F942,사건마스터!$A$5:$A$64,0)),""))</f>
        <v/>
      </c>
      <c r="Y942" s="30">
        <f>IF($I942="","",COUNTIF($I942:$X942,"?*"))</f>
        <v/>
      </c>
      <c r="Z942" s="33">
        <f>IF($I942="","",_xlfn.TEXTJOIN(", ",TRUE,$I942:$X942))</f>
        <v/>
      </c>
      <c r="AA942" s="34">
        <f>IF($I942="","",IFERROR(INDEX(코드설정!$D$5:$D$24,MATCH($I942,코드설정!$C$5:$C$24,0)),""))</f>
        <v/>
      </c>
      <c r="AB942" s="36" t="n"/>
      <c r="AC942" s="37" t="n"/>
      <c r="AD942" s="38" t="n"/>
      <c r="AE942" s="30">
        <f>IF(OR($B942="",$C942=""),"",$C942-$B942+1)</f>
        <v/>
      </c>
      <c r="AF942" s="32" t="n"/>
      <c r="AG942" s="36" t="n"/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3">
        <f>IF($F943="","",IFERROR(INDEX(사건마스터!$B$5:$B$64,MATCH($F943,사건마스터!$A$5:$A$64,0)),""))</f>
        <v/>
      </c>
      <c r="H943" s="34">
        <f>IF($F943="","",IFERROR(INDEX(사건마스터!$C$5:$C$64,MATCH($F943,사건마스터!$A$5:$A$64,0)),""))</f>
        <v/>
      </c>
      <c r="I943" s="35">
        <f>IF($F943="","",IFERROR(INDEX(사건마스터!$H$5:$H$64,MATCH($F943,사건마스터!$A$5:$A$64,0)),""))</f>
        <v/>
      </c>
      <c r="J943" s="35">
        <f>IF($F943="","",IFERROR(INDEX(사건마스터!$AH$5:$AH$64,MATCH($F943,사건마스터!$A$5:$A$64,0)),""))</f>
        <v/>
      </c>
      <c r="K943" s="35">
        <f>IF($F943="","",IFERROR(INDEX(사건마스터!$AI$5:$AI$64,MATCH($F943,사건마스터!$A$5:$A$64,0)),""))</f>
        <v/>
      </c>
      <c r="L943" s="35">
        <f>IF($F943="","",IFERROR(INDEX(사건마스터!$AJ$5:$AJ$64,MATCH($F943,사건마스터!$A$5:$A$64,0)),""))</f>
        <v/>
      </c>
      <c r="M943" s="35">
        <f>IF($F943="","",IFERROR(INDEX(사건마스터!$AK$5:$AK$64,MATCH($F943,사건마스터!$A$5:$A$64,0)),""))</f>
        <v/>
      </c>
      <c r="N943" s="35">
        <f>IF($F943="","",IFERROR(INDEX(사건마스터!$AL$5:$AL$64,MATCH($F943,사건마스터!$A$5:$A$64,0)),""))</f>
        <v/>
      </c>
      <c r="O943" s="35">
        <f>IF($F943="","",IFERROR(INDEX(사건마스터!$AM$5:$AM$64,MATCH($F943,사건마스터!$A$5:$A$64,0)),""))</f>
        <v/>
      </c>
      <c r="P943" s="35">
        <f>IF($F943="","",IFERROR(INDEX(사건마스터!$AN$5:$AN$64,MATCH($F943,사건마스터!$A$5:$A$64,0)),""))</f>
        <v/>
      </c>
      <c r="Q943" s="35">
        <f>IF($F943="","",IFERROR(INDEX(사건마스터!$AO$5:$AO$64,MATCH($F943,사건마스터!$A$5:$A$64,0)),""))</f>
        <v/>
      </c>
      <c r="R943" s="35">
        <f>IF($F943="","",IFERROR(INDEX(사건마스터!$AP$5:$AP$64,MATCH($F943,사건마스터!$A$5:$A$64,0)),""))</f>
        <v/>
      </c>
      <c r="S943" s="35">
        <f>IF($F943="","",IFERROR(INDEX(사건마스터!$AQ$5:$AQ$64,MATCH($F943,사건마스터!$A$5:$A$64,0)),""))</f>
        <v/>
      </c>
      <c r="T943" s="35">
        <f>IF($F943="","",IFERROR(INDEX(사건마스터!$AR$5:$AR$64,MATCH($F943,사건마스터!$A$5:$A$64,0)),""))</f>
        <v/>
      </c>
      <c r="U943" s="35">
        <f>IF($F943="","",IFERROR(INDEX(사건마스터!$AS$5:$AS$64,MATCH($F943,사건마스터!$A$5:$A$64,0)),""))</f>
        <v/>
      </c>
      <c r="V943" s="35">
        <f>IF($F943="","",IFERROR(INDEX(사건마스터!$AT$5:$AT$64,MATCH($F943,사건마스터!$A$5:$A$64,0)),""))</f>
        <v/>
      </c>
      <c r="W943" s="35">
        <f>IF($F943="","",IFERROR(INDEX(사건마스터!$AU$5:$AU$64,MATCH($F943,사건마스터!$A$5:$A$64,0)),""))</f>
        <v/>
      </c>
      <c r="X943" s="35">
        <f>IF($F943="","",IFERROR(INDEX(사건마스터!$AV$5:$AV$64,MATCH($F943,사건마스터!$A$5:$A$64,0)),""))</f>
        <v/>
      </c>
      <c r="Y943" s="30">
        <f>IF($I943="","",COUNTIF($I943:$X943,"?*"))</f>
        <v/>
      </c>
      <c r="Z943" s="33">
        <f>IF($I943="","",_xlfn.TEXTJOIN(", ",TRUE,$I943:$X943))</f>
        <v/>
      </c>
      <c r="AA943" s="34">
        <f>IF($I943="","",IFERROR(INDEX(코드설정!$D$5:$D$24,MATCH($I943,코드설정!$C$5:$C$24,0)),""))</f>
        <v/>
      </c>
      <c r="AB943" s="36" t="n"/>
      <c r="AC943" s="37" t="n"/>
      <c r="AD943" s="38" t="n"/>
      <c r="AE943" s="30">
        <f>IF(OR($B943="",$C943=""),"",$C943-$B943+1)</f>
        <v/>
      </c>
      <c r="AF943" s="32" t="n"/>
      <c r="AG943" s="36" t="n"/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3">
        <f>IF($F944="","",IFERROR(INDEX(사건마스터!$B$5:$B$64,MATCH($F944,사건마스터!$A$5:$A$64,0)),""))</f>
        <v/>
      </c>
      <c r="H944" s="34">
        <f>IF($F944="","",IFERROR(INDEX(사건마스터!$C$5:$C$64,MATCH($F944,사건마스터!$A$5:$A$64,0)),""))</f>
        <v/>
      </c>
      <c r="I944" s="35">
        <f>IF($F944="","",IFERROR(INDEX(사건마스터!$H$5:$H$64,MATCH($F944,사건마스터!$A$5:$A$64,0)),""))</f>
        <v/>
      </c>
      <c r="J944" s="35">
        <f>IF($F944="","",IFERROR(INDEX(사건마스터!$AH$5:$AH$64,MATCH($F944,사건마스터!$A$5:$A$64,0)),""))</f>
        <v/>
      </c>
      <c r="K944" s="35">
        <f>IF($F944="","",IFERROR(INDEX(사건마스터!$AI$5:$AI$64,MATCH($F944,사건마스터!$A$5:$A$64,0)),""))</f>
        <v/>
      </c>
      <c r="L944" s="35">
        <f>IF($F944="","",IFERROR(INDEX(사건마스터!$AJ$5:$AJ$64,MATCH($F944,사건마스터!$A$5:$A$64,0)),""))</f>
        <v/>
      </c>
      <c r="M944" s="35">
        <f>IF($F944="","",IFERROR(INDEX(사건마스터!$AK$5:$AK$64,MATCH($F944,사건마스터!$A$5:$A$64,0)),""))</f>
        <v/>
      </c>
      <c r="N944" s="35">
        <f>IF($F944="","",IFERROR(INDEX(사건마스터!$AL$5:$AL$64,MATCH($F944,사건마스터!$A$5:$A$64,0)),""))</f>
        <v/>
      </c>
      <c r="O944" s="35">
        <f>IF($F944="","",IFERROR(INDEX(사건마스터!$AM$5:$AM$64,MATCH($F944,사건마스터!$A$5:$A$64,0)),""))</f>
        <v/>
      </c>
      <c r="P944" s="35">
        <f>IF($F944="","",IFERROR(INDEX(사건마스터!$AN$5:$AN$64,MATCH($F944,사건마스터!$A$5:$A$64,0)),""))</f>
        <v/>
      </c>
      <c r="Q944" s="35">
        <f>IF($F944="","",IFERROR(INDEX(사건마스터!$AO$5:$AO$64,MATCH($F944,사건마스터!$A$5:$A$64,0)),""))</f>
        <v/>
      </c>
      <c r="R944" s="35">
        <f>IF($F944="","",IFERROR(INDEX(사건마스터!$AP$5:$AP$64,MATCH($F944,사건마스터!$A$5:$A$64,0)),""))</f>
        <v/>
      </c>
      <c r="S944" s="35">
        <f>IF($F944="","",IFERROR(INDEX(사건마스터!$AQ$5:$AQ$64,MATCH($F944,사건마스터!$A$5:$A$64,0)),""))</f>
        <v/>
      </c>
      <c r="T944" s="35">
        <f>IF($F944="","",IFERROR(INDEX(사건마스터!$AR$5:$AR$64,MATCH($F944,사건마스터!$A$5:$A$64,0)),""))</f>
        <v/>
      </c>
      <c r="U944" s="35">
        <f>IF($F944="","",IFERROR(INDEX(사건마스터!$AS$5:$AS$64,MATCH($F944,사건마스터!$A$5:$A$64,0)),""))</f>
        <v/>
      </c>
      <c r="V944" s="35">
        <f>IF($F944="","",IFERROR(INDEX(사건마스터!$AT$5:$AT$64,MATCH($F944,사건마스터!$A$5:$A$64,0)),""))</f>
        <v/>
      </c>
      <c r="W944" s="35">
        <f>IF($F944="","",IFERROR(INDEX(사건마스터!$AU$5:$AU$64,MATCH($F944,사건마스터!$A$5:$A$64,0)),""))</f>
        <v/>
      </c>
      <c r="X944" s="35">
        <f>IF($F944="","",IFERROR(INDEX(사건마스터!$AV$5:$AV$64,MATCH($F944,사건마스터!$A$5:$A$64,0)),""))</f>
        <v/>
      </c>
      <c r="Y944" s="30">
        <f>IF($I944="","",COUNTIF($I944:$X944,"?*"))</f>
        <v/>
      </c>
      <c r="Z944" s="33">
        <f>IF($I944="","",_xlfn.TEXTJOIN(", ",TRUE,$I944:$X944))</f>
        <v/>
      </c>
      <c r="AA944" s="34">
        <f>IF($I944="","",IFERROR(INDEX(코드설정!$D$5:$D$24,MATCH($I944,코드설정!$C$5:$C$24,0)),""))</f>
        <v/>
      </c>
      <c r="AB944" s="36" t="n"/>
      <c r="AC944" s="37" t="n"/>
      <c r="AD944" s="38" t="n"/>
      <c r="AE944" s="30">
        <f>IF(OR($B944="",$C944=""),"",$C944-$B944+1)</f>
        <v/>
      </c>
      <c r="AF944" s="32" t="n"/>
      <c r="AG944" s="36" t="n"/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3">
        <f>IF($F945="","",IFERROR(INDEX(사건마스터!$B$5:$B$64,MATCH($F945,사건마스터!$A$5:$A$64,0)),""))</f>
        <v/>
      </c>
      <c r="H945" s="34">
        <f>IF($F945="","",IFERROR(INDEX(사건마스터!$C$5:$C$64,MATCH($F945,사건마스터!$A$5:$A$64,0)),""))</f>
        <v/>
      </c>
      <c r="I945" s="35">
        <f>IF($F945="","",IFERROR(INDEX(사건마스터!$H$5:$H$64,MATCH($F945,사건마스터!$A$5:$A$64,0)),""))</f>
        <v/>
      </c>
      <c r="J945" s="35">
        <f>IF($F945="","",IFERROR(INDEX(사건마스터!$AH$5:$AH$64,MATCH($F945,사건마스터!$A$5:$A$64,0)),""))</f>
        <v/>
      </c>
      <c r="K945" s="35">
        <f>IF($F945="","",IFERROR(INDEX(사건마스터!$AI$5:$AI$64,MATCH($F945,사건마스터!$A$5:$A$64,0)),""))</f>
        <v/>
      </c>
      <c r="L945" s="35">
        <f>IF($F945="","",IFERROR(INDEX(사건마스터!$AJ$5:$AJ$64,MATCH($F945,사건마스터!$A$5:$A$64,0)),""))</f>
        <v/>
      </c>
      <c r="M945" s="35">
        <f>IF($F945="","",IFERROR(INDEX(사건마스터!$AK$5:$AK$64,MATCH($F945,사건마스터!$A$5:$A$64,0)),""))</f>
        <v/>
      </c>
      <c r="N945" s="35">
        <f>IF($F945="","",IFERROR(INDEX(사건마스터!$AL$5:$AL$64,MATCH($F945,사건마스터!$A$5:$A$64,0)),""))</f>
        <v/>
      </c>
      <c r="O945" s="35">
        <f>IF($F945="","",IFERROR(INDEX(사건마스터!$AM$5:$AM$64,MATCH($F945,사건마스터!$A$5:$A$64,0)),""))</f>
        <v/>
      </c>
      <c r="P945" s="35">
        <f>IF($F945="","",IFERROR(INDEX(사건마스터!$AN$5:$AN$64,MATCH($F945,사건마스터!$A$5:$A$64,0)),""))</f>
        <v/>
      </c>
      <c r="Q945" s="35">
        <f>IF($F945="","",IFERROR(INDEX(사건마스터!$AO$5:$AO$64,MATCH($F945,사건마스터!$A$5:$A$64,0)),""))</f>
        <v/>
      </c>
      <c r="R945" s="35">
        <f>IF($F945="","",IFERROR(INDEX(사건마스터!$AP$5:$AP$64,MATCH($F945,사건마스터!$A$5:$A$64,0)),""))</f>
        <v/>
      </c>
      <c r="S945" s="35">
        <f>IF($F945="","",IFERROR(INDEX(사건마스터!$AQ$5:$AQ$64,MATCH($F945,사건마스터!$A$5:$A$64,0)),""))</f>
        <v/>
      </c>
      <c r="T945" s="35">
        <f>IF($F945="","",IFERROR(INDEX(사건마스터!$AR$5:$AR$64,MATCH($F945,사건마스터!$A$5:$A$64,0)),""))</f>
        <v/>
      </c>
      <c r="U945" s="35">
        <f>IF($F945="","",IFERROR(INDEX(사건마스터!$AS$5:$AS$64,MATCH($F945,사건마스터!$A$5:$A$64,0)),""))</f>
        <v/>
      </c>
      <c r="V945" s="35">
        <f>IF($F945="","",IFERROR(INDEX(사건마스터!$AT$5:$AT$64,MATCH($F945,사건마스터!$A$5:$A$64,0)),""))</f>
        <v/>
      </c>
      <c r="W945" s="35">
        <f>IF($F945="","",IFERROR(INDEX(사건마스터!$AU$5:$AU$64,MATCH($F945,사건마스터!$A$5:$A$64,0)),""))</f>
        <v/>
      </c>
      <c r="X945" s="35">
        <f>IF($F945="","",IFERROR(INDEX(사건마스터!$AV$5:$AV$64,MATCH($F945,사건마스터!$A$5:$A$64,0)),""))</f>
        <v/>
      </c>
      <c r="Y945" s="30">
        <f>IF($I945="","",COUNTIF($I945:$X945,"?*"))</f>
        <v/>
      </c>
      <c r="Z945" s="33">
        <f>IF($I945="","",_xlfn.TEXTJOIN(", ",TRUE,$I945:$X945))</f>
        <v/>
      </c>
      <c r="AA945" s="34">
        <f>IF($I945="","",IFERROR(INDEX(코드설정!$D$5:$D$24,MATCH($I945,코드설정!$C$5:$C$24,0)),""))</f>
        <v/>
      </c>
      <c r="AB945" s="36" t="n"/>
      <c r="AC945" s="37" t="n"/>
      <c r="AD945" s="38" t="n"/>
      <c r="AE945" s="30">
        <f>IF(OR($B945="",$C945=""),"",$C945-$B945+1)</f>
        <v/>
      </c>
      <c r="AF945" s="32" t="n"/>
      <c r="AG945" s="36" t="n"/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3">
        <f>IF($F946="","",IFERROR(INDEX(사건마스터!$B$5:$B$64,MATCH($F946,사건마스터!$A$5:$A$64,0)),""))</f>
        <v/>
      </c>
      <c r="H946" s="34">
        <f>IF($F946="","",IFERROR(INDEX(사건마스터!$C$5:$C$64,MATCH($F946,사건마스터!$A$5:$A$64,0)),""))</f>
        <v/>
      </c>
      <c r="I946" s="35">
        <f>IF($F946="","",IFERROR(INDEX(사건마스터!$H$5:$H$64,MATCH($F946,사건마스터!$A$5:$A$64,0)),""))</f>
        <v/>
      </c>
      <c r="J946" s="35">
        <f>IF($F946="","",IFERROR(INDEX(사건마스터!$AH$5:$AH$64,MATCH($F946,사건마스터!$A$5:$A$64,0)),""))</f>
        <v/>
      </c>
      <c r="K946" s="35">
        <f>IF($F946="","",IFERROR(INDEX(사건마스터!$AI$5:$AI$64,MATCH($F946,사건마스터!$A$5:$A$64,0)),""))</f>
        <v/>
      </c>
      <c r="L946" s="35">
        <f>IF($F946="","",IFERROR(INDEX(사건마스터!$AJ$5:$AJ$64,MATCH($F946,사건마스터!$A$5:$A$64,0)),""))</f>
        <v/>
      </c>
      <c r="M946" s="35">
        <f>IF($F946="","",IFERROR(INDEX(사건마스터!$AK$5:$AK$64,MATCH($F946,사건마스터!$A$5:$A$64,0)),""))</f>
        <v/>
      </c>
      <c r="N946" s="35">
        <f>IF($F946="","",IFERROR(INDEX(사건마스터!$AL$5:$AL$64,MATCH($F946,사건마스터!$A$5:$A$64,0)),""))</f>
        <v/>
      </c>
      <c r="O946" s="35">
        <f>IF($F946="","",IFERROR(INDEX(사건마스터!$AM$5:$AM$64,MATCH($F946,사건마스터!$A$5:$A$64,0)),""))</f>
        <v/>
      </c>
      <c r="P946" s="35">
        <f>IF($F946="","",IFERROR(INDEX(사건마스터!$AN$5:$AN$64,MATCH($F946,사건마스터!$A$5:$A$64,0)),""))</f>
        <v/>
      </c>
      <c r="Q946" s="35">
        <f>IF($F946="","",IFERROR(INDEX(사건마스터!$AO$5:$AO$64,MATCH($F946,사건마스터!$A$5:$A$64,0)),""))</f>
        <v/>
      </c>
      <c r="R946" s="35">
        <f>IF($F946="","",IFERROR(INDEX(사건마스터!$AP$5:$AP$64,MATCH($F946,사건마스터!$A$5:$A$64,0)),""))</f>
        <v/>
      </c>
      <c r="S946" s="35">
        <f>IF($F946="","",IFERROR(INDEX(사건마스터!$AQ$5:$AQ$64,MATCH($F946,사건마스터!$A$5:$A$64,0)),""))</f>
        <v/>
      </c>
      <c r="T946" s="35">
        <f>IF($F946="","",IFERROR(INDEX(사건마스터!$AR$5:$AR$64,MATCH($F946,사건마스터!$A$5:$A$64,0)),""))</f>
        <v/>
      </c>
      <c r="U946" s="35">
        <f>IF($F946="","",IFERROR(INDEX(사건마스터!$AS$5:$AS$64,MATCH($F946,사건마스터!$A$5:$A$64,0)),""))</f>
        <v/>
      </c>
      <c r="V946" s="35">
        <f>IF($F946="","",IFERROR(INDEX(사건마스터!$AT$5:$AT$64,MATCH($F946,사건마스터!$A$5:$A$64,0)),""))</f>
        <v/>
      </c>
      <c r="W946" s="35">
        <f>IF($F946="","",IFERROR(INDEX(사건마스터!$AU$5:$AU$64,MATCH($F946,사건마스터!$A$5:$A$64,0)),""))</f>
        <v/>
      </c>
      <c r="X946" s="35">
        <f>IF($F946="","",IFERROR(INDEX(사건마스터!$AV$5:$AV$64,MATCH($F946,사건마스터!$A$5:$A$64,0)),""))</f>
        <v/>
      </c>
      <c r="Y946" s="30">
        <f>IF($I946="","",COUNTIF($I946:$X946,"?*"))</f>
        <v/>
      </c>
      <c r="Z946" s="33">
        <f>IF($I946="","",_xlfn.TEXTJOIN(", ",TRUE,$I946:$X946))</f>
        <v/>
      </c>
      <c r="AA946" s="34">
        <f>IF($I946="","",IFERROR(INDEX(코드설정!$D$5:$D$24,MATCH($I946,코드설정!$C$5:$C$24,0)),""))</f>
        <v/>
      </c>
      <c r="AB946" s="36" t="n"/>
      <c r="AC946" s="37" t="n"/>
      <c r="AD946" s="38" t="n"/>
      <c r="AE946" s="30">
        <f>IF(OR($B946="",$C946=""),"",$C946-$B946+1)</f>
        <v/>
      </c>
      <c r="AF946" s="32" t="n"/>
      <c r="AG946" s="36" t="n"/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3">
        <f>IF($F947="","",IFERROR(INDEX(사건마스터!$B$5:$B$64,MATCH($F947,사건마스터!$A$5:$A$64,0)),""))</f>
        <v/>
      </c>
      <c r="H947" s="34">
        <f>IF($F947="","",IFERROR(INDEX(사건마스터!$C$5:$C$64,MATCH($F947,사건마스터!$A$5:$A$64,0)),""))</f>
        <v/>
      </c>
      <c r="I947" s="35">
        <f>IF($F947="","",IFERROR(INDEX(사건마스터!$H$5:$H$64,MATCH($F947,사건마스터!$A$5:$A$64,0)),""))</f>
        <v/>
      </c>
      <c r="J947" s="35">
        <f>IF($F947="","",IFERROR(INDEX(사건마스터!$AH$5:$AH$64,MATCH($F947,사건마스터!$A$5:$A$64,0)),""))</f>
        <v/>
      </c>
      <c r="K947" s="35">
        <f>IF($F947="","",IFERROR(INDEX(사건마스터!$AI$5:$AI$64,MATCH($F947,사건마스터!$A$5:$A$64,0)),""))</f>
        <v/>
      </c>
      <c r="L947" s="35">
        <f>IF($F947="","",IFERROR(INDEX(사건마스터!$AJ$5:$AJ$64,MATCH($F947,사건마스터!$A$5:$A$64,0)),""))</f>
        <v/>
      </c>
      <c r="M947" s="35">
        <f>IF($F947="","",IFERROR(INDEX(사건마스터!$AK$5:$AK$64,MATCH($F947,사건마스터!$A$5:$A$64,0)),""))</f>
        <v/>
      </c>
      <c r="N947" s="35">
        <f>IF($F947="","",IFERROR(INDEX(사건마스터!$AL$5:$AL$64,MATCH($F947,사건마스터!$A$5:$A$64,0)),""))</f>
        <v/>
      </c>
      <c r="O947" s="35">
        <f>IF($F947="","",IFERROR(INDEX(사건마스터!$AM$5:$AM$64,MATCH($F947,사건마스터!$A$5:$A$64,0)),""))</f>
        <v/>
      </c>
      <c r="P947" s="35">
        <f>IF($F947="","",IFERROR(INDEX(사건마스터!$AN$5:$AN$64,MATCH($F947,사건마스터!$A$5:$A$64,0)),""))</f>
        <v/>
      </c>
      <c r="Q947" s="35">
        <f>IF($F947="","",IFERROR(INDEX(사건마스터!$AO$5:$AO$64,MATCH($F947,사건마스터!$A$5:$A$64,0)),""))</f>
        <v/>
      </c>
      <c r="R947" s="35">
        <f>IF($F947="","",IFERROR(INDEX(사건마스터!$AP$5:$AP$64,MATCH($F947,사건마스터!$A$5:$A$64,0)),""))</f>
        <v/>
      </c>
      <c r="S947" s="35">
        <f>IF($F947="","",IFERROR(INDEX(사건마스터!$AQ$5:$AQ$64,MATCH($F947,사건마스터!$A$5:$A$64,0)),""))</f>
        <v/>
      </c>
      <c r="T947" s="35">
        <f>IF($F947="","",IFERROR(INDEX(사건마스터!$AR$5:$AR$64,MATCH($F947,사건마스터!$A$5:$A$64,0)),""))</f>
        <v/>
      </c>
      <c r="U947" s="35">
        <f>IF($F947="","",IFERROR(INDEX(사건마스터!$AS$5:$AS$64,MATCH($F947,사건마스터!$A$5:$A$64,0)),""))</f>
        <v/>
      </c>
      <c r="V947" s="35">
        <f>IF($F947="","",IFERROR(INDEX(사건마스터!$AT$5:$AT$64,MATCH($F947,사건마스터!$A$5:$A$64,0)),""))</f>
        <v/>
      </c>
      <c r="W947" s="35">
        <f>IF($F947="","",IFERROR(INDEX(사건마스터!$AU$5:$AU$64,MATCH($F947,사건마스터!$A$5:$A$64,0)),""))</f>
        <v/>
      </c>
      <c r="X947" s="35">
        <f>IF($F947="","",IFERROR(INDEX(사건마스터!$AV$5:$AV$64,MATCH($F947,사건마스터!$A$5:$A$64,0)),""))</f>
        <v/>
      </c>
      <c r="Y947" s="30">
        <f>IF($I947="","",COUNTIF($I947:$X947,"?*"))</f>
        <v/>
      </c>
      <c r="Z947" s="33">
        <f>IF($I947="","",_xlfn.TEXTJOIN(", ",TRUE,$I947:$X947))</f>
        <v/>
      </c>
      <c r="AA947" s="34">
        <f>IF($I947="","",IFERROR(INDEX(코드설정!$D$5:$D$24,MATCH($I947,코드설정!$C$5:$C$24,0)),""))</f>
        <v/>
      </c>
      <c r="AB947" s="36" t="n"/>
      <c r="AC947" s="37" t="n"/>
      <c r="AD947" s="38" t="n"/>
      <c r="AE947" s="30">
        <f>IF(OR($B947="",$C947=""),"",$C947-$B947+1)</f>
        <v/>
      </c>
      <c r="AF947" s="32" t="n"/>
      <c r="AG947" s="36" t="n"/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3">
        <f>IF($F948="","",IFERROR(INDEX(사건마스터!$B$5:$B$64,MATCH($F948,사건마스터!$A$5:$A$64,0)),""))</f>
        <v/>
      </c>
      <c r="H948" s="34">
        <f>IF($F948="","",IFERROR(INDEX(사건마스터!$C$5:$C$64,MATCH($F948,사건마스터!$A$5:$A$64,0)),""))</f>
        <v/>
      </c>
      <c r="I948" s="35">
        <f>IF($F948="","",IFERROR(INDEX(사건마스터!$H$5:$H$64,MATCH($F948,사건마스터!$A$5:$A$64,0)),""))</f>
        <v/>
      </c>
      <c r="J948" s="35">
        <f>IF($F948="","",IFERROR(INDEX(사건마스터!$AH$5:$AH$64,MATCH($F948,사건마스터!$A$5:$A$64,0)),""))</f>
        <v/>
      </c>
      <c r="K948" s="35">
        <f>IF($F948="","",IFERROR(INDEX(사건마스터!$AI$5:$AI$64,MATCH($F948,사건마스터!$A$5:$A$64,0)),""))</f>
        <v/>
      </c>
      <c r="L948" s="35">
        <f>IF($F948="","",IFERROR(INDEX(사건마스터!$AJ$5:$AJ$64,MATCH($F948,사건마스터!$A$5:$A$64,0)),""))</f>
        <v/>
      </c>
      <c r="M948" s="35">
        <f>IF($F948="","",IFERROR(INDEX(사건마스터!$AK$5:$AK$64,MATCH($F948,사건마스터!$A$5:$A$64,0)),""))</f>
        <v/>
      </c>
      <c r="N948" s="35">
        <f>IF($F948="","",IFERROR(INDEX(사건마스터!$AL$5:$AL$64,MATCH($F948,사건마스터!$A$5:$A$64,0)),""))</f>
        <v/>
      </c>
      <c r="O948" s="35">
        <f>IF($F948="","",IFERROR(INDEX(사건마스터!$AM$5:$AM$64,MATCH($F948,사건마스터!$A$5:$A$64,0)),""))</f>
        <v/>
      </c>
      <c r="P948" s="35">
        <f>IF($F948="","",IFERROR(INDEX(사건마스터!$AN$5:$AN$64,MATCH($F948,사건마스터!$A$5:$A$64,0)),""))</f>
        <v/>
      </c>
      <c r="Q948" s="35">
        <f>IF($F948="","",IFERROR(INDEX(사건마스터!$AO$5:$AO$64,MATCH($F948,사건마스터!$A$5:$A$64,0)),""))</f>
        <v/>
      </c>
      <c r="R948" s="35">
        <f>IF($F948="","",IFERROR(INDEX(사건마스터!$AP$5:$AP$64,MATCH($F948,사건마스터!$A$5:$A$64,0)),""))</f>
        <v/>
      </c>
      <c r="S948" s="35">
        <f>IF($F948="","",IFERROR(INDEX(사건마스터!$AQ$5:$AQ$64,MATCH($F948,사건마스터!$A$5:$A$64,0)),""))</f>
        <v/>
      </c>
      <c r="T948" s="35">
        <f>IF($F948="","",IFERROR(INDEX(사건마스터!$AR$5:$AR$64,MATCH($F948,사건마스터!$A$5:$A$64,0)),""))</f>
        <v/>
      </c>
      <c r="U948" s="35">
        <f>IF($F948="","",IFERROR(INDEX(사건마스터!$AS$5:$AS$64,MATCH($F948,사건마스터!$A$5:$A$64,0)),""))</f>
        <v/>
      </c>
      <c r="V948" s="35">
        <f>IF($F948="","",IFERROR(INDEX(사건마스터!$AT$5:$AT$64,MATCH($F948,사건마스터!$A$5:$A$64,0)),""))</f>
        <v/>
      </c>
      <c r="W948" s="35">
        <f>IF($F948="","",IFERROR(INDEX(사건마스터!$AU$5:$AU$64,MATCH($F948,사건마스터!$A$5:$A$64,0)),""))</f>
        <v/>
      </c>
      <c r="X948" s="35">
        <f>IF($F948="","",IFERROR(INDEX(사건마스터!$AV$5:$AV$64,MATCH($F948,사건마스터!$A$5:$A$64,0)),""))</f>
        <v/>
      </c>
      <c r="Y948" s="30">
        <f>IF($I948="","",COUNTIF($I948:$X948,"?*"))</f>
        <v/>
      </c>
      <c r="Z948" s="33">
        <f>IF($I948="","",_xlfn.TEXTJOIN(", ",TRUE,$I948:$X948))</f>
        <v/>
      </c>
      <c r="AA948" s="34">
        <f>IF($I948="","",IFERROR(INDEX(코드설정!$D$5:$D$24,MATCH($I948,코드설정!$C$5:$C$24,0)),""))</f>
        <v/>
      </c>
      <c r="AB948" s="36" t="n"/>
      <c r="AC948" s="37" t="n"/>
      <c r="AD948" s="38" t="n"/>
      <c r="AE948" s="30">
        <f>IF(OR($B948="",$C948=""),"",$C948-$B948+1)</f>
        <v/>
      </c>
      <c r="AF948" s="32" t="n"/>
      <c r="AG948" s="36" t="n"/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3">
        <f>IF($F949="","",IFERROR(INDEX(사건마스터!$B$5:$B$64,MATCH($F949,사건마스터!$A$5:$A$64,0)),""))</f>
        <v/>
      </c>
      <c r="H949" s="34">
        <f>IF($F949="","",IFERROR(INDEX(사건마스터!$C$5:$C$64,MATCH($F949,사건마스터!$A$5:$A$64,0)),""))</f>
        <v/>
      </c>
      <c r="I949" s="35">
        <f>IF($F949="","",IFERROR(INDEX(사건마스터!$H$5:$H$64,MATCH($F949,사건마스터!$A$5:$A$64,0)),""))</f>
        <v/>
      </c>
      <c r="J949" s="35">
        <f>IF($F949="","",IFERROR(INDEX(사건마스터!$AH$5:$AH$64,MATCH($F949,사건마스터!$A$5:$A$64,0)),""))</f>
        <v/>
      </c>
      <c r="K949" s="35">
        <f>IF($F949="","",IFERROR(INDEX(사건마스터!$AI$5:$AI$64,MATCH($F949,사건마스터!$A$5:$A$64,0)),""))</f>
        <v/>
      </c>
      <c r="L949" s="35">
        <f>IF($F949="","",IFERROR(INDEX(사건마스터!$AJ$5:$AJ$64,MATCH($F949,사건마스터!$A$5:$A$64,0)),""))</f>
        <v/>
      </c>
      <c r="M949" s="35">
        <f>IF($F949="","",IFERROR(INDEX(사건마스터!$AK$5:$AK$64,MATCH($F949,사건마스터!$A$5:$A$64,0)),""))</f>
        <v/>
      </c>
      <c r="N949" s="35">
        <f>IF($F949="","",IFERROR(INDEX(사건마스터!$AL$5:$AL$64,MATCH($F949,사건마스터!$A$5:$A$64,0)),""))</f>
        <v/>
      </c>
      <c r="O949" s="35">
        <f>IF($F949="","",IFERROR(INDEX(사건마스터!$AM$5:$AM$64,MATCH($F949,사건마스터!$A$5:$A$64,0)),""))</f>
        <v/>
      </c>
      <c r="P949" s="35">
        <f>IF($F949="","",IFERROR(INDEX(사건마스터!$AN$5:$AN$64,MATCH($F949,사건마스터!$A$5:$A$64,0)),""))</f>
        <v/>
      </c>
      <c r="Q949" s="35">
        <f>IF($F949="","",IFERROR(INDEX(사건마스터!$AO$5:$AO$64,MATCH($F949,사건마스터!$A$5:$A$64,0)),""))</f>
        <v/>
      </c>
      <c r="R949" s="35">
        <f>IF($F949="","",IFERROR(INDEX(사건마스터!$AP$5:$AP$64,MATCH($F949,사건마스터!$A$5:$A$64,0)),""))</f>
        <v/>
      </c>
      <c r="S949" s="35">
        <f>IF($F949="","",IFERROR(INDEX(사건마스터!$AQ$5:$AQ$64,MATCH($F949,사건마스터!$A$5:$A$64,0)),""))</f>
        <v/>
      </c>
      <c r="T949" s="35">
        <f>IF($F949="","",IFERROR(INDEX(사건마스터!$AR$5:$AR$64,MATCH($F949,사건마스터!$A$5:$A$64,0)),""))</f>
        <v/>
      </c>
      <c r="U949" s="35">
        <f>IF($F949="","",IFERROR(INDEX(사건마스터!$AS$5:$AS$64,MATCH($F949,사건마스터!$A$5:$A$64,0)),""))</f>
        <v/>
      </c>
      <c r="V949" s="35">
        <f>IF($F949="","",IFERROR(INDEX(사건마스터!$AT$5:$AT$64,MATCH($F949,사건마스터!$A$5:$A$64,0)),""))</f>
        <v/>
      </c>
      <c r="W949" s="35">
        <f>IF($F949="","",IFERROR(INDEX(사건마스터!$AU$5:$AU$64,MATCH($F949,사건마스터!$A$5:$A$64,0)),""))</f>
        <v/>
      </c>
      <c r="X949" s="35">
        <f>IF($F949="","",IFERROR(INDEX(사건마스터!$AV$5:$AV$64,MATCH($F949,사건마스터!$A$5:$A$64,0)),""))</f>
        <v/>
      </c>
      <c r="Y949" s="30">
        <f>IF($I949="","",COUNTIF($I949:$X949,"?*"))</f>
        <v/>
      </c>
      <c r="Z949" s="33">
        <f>IF($I949="","",_xlfn.TEXTJOIN(", ",TRUE,$I949:$X949))</f>
        <v/>
      </c>
      <c r="AA949" s="34">
        <f>IF($I949="","",IFERROR(INDEX(코드설정!$D$5:$D$24,MATCH($I949,코드설정!$C$5:$C$24,0)),""))</f>
        <v/>
      </c>
      <c r="AB949" s="36" t="n"/>
      <c r="AC949" s="37" t="n"/>
      <c r="AD949" s="38" t="n"/>
      <c r="AE949" s="30">
        <f>IF(OR($B949="",$C949=""),"",$C949-$B949+1)</f>
        <v/>
      </c>
      <c r="AF949" s="32" t="n"/>
      <c r="AG949" s="36" t="n"/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3">
        <f>IF($F950="","",IFERROR(INDEX(사건마스터!$B$5:$B$64,MATCH($F950,사건마스터!$A$5:$A$64,0)),""))</f>
        <v/>
      </c>
      <c r="H950" s="34">
        <f>IF($F950="","",IFERROR(INDEX(사건마스터!$C$5:$C$64,MATCH($F950,사건마스터!$A$5:$A$64,0)),""))</f>
        <v/>
      </c>
      <c r="I950" s="35">
        <f>IF($F950="","",IFERROR(INDEX(사건마스터!$H$5:$H$64,MATCH($F950,사건마스터!$A$5:$A$64,0)),""))</f>
        <v/>
      </c>
      <c r="J950" s="35">
        <f>IF($F950="","",IFERROR(INDEX(사건마스터!$AH$5:$AH$64,MATCH($F950,사건마스터!$A$5:$A$64,0)),""))</f>
        <v/>
      </c>
      <c r="K950" s="35">
        <f>IF($F950="","",IFERROR(INDEX(사건마스터!$AI$5:$AI$64,MATCH($F950,사건마스터!$A$5:$A$64,0)),""))</f>
        <v/>
      </c>
      <c r="L950" s="35">
        <f>IF($F950="","",IFERROR(INDEX(사건마스터!$AJ$5:$AJ$64,MATCH($F950,사건마스터!$A$5:$A$64,0)),""))</f>
        <v/>
      </c>
      <c r="M950" s="35">
        <f>IF($F950="","",IFERROR(INDEX(사건마스터!$AK$5:$AK$64,MATCH($F950,사건마스터!$A$5:$A$64,0)),""))</f>
        <v/>
      </c>
      <c r="N950" s="35">
        <f>IF($F950="","",IFERROR(INDEX(사건마스터!$AL$5:$AL$64,MATCH($F950,사건마스터!$A$5:$A$64,0)),""))</f>
        <v/>
      </c>
      <c r="O950" s="35">
        <f>IF($F950="","",IFERROR(INDEX(사건마스터!$AM$5:$AM$64,MATCH($F950,사건마스터!$A$5:$A$64,0)),""))</f>
        <v/>
      </c>
      <c r="P950" s="35">
        <f>IF($F950="","",IFERROR(INDEX(사건마스터!$AN$5:$AN$64,MATCH($F950,사건마스터!$A$5:$A$64,0)),""))</f>
        <v/>
      </c>
      <c r="Q950" s="35">
        <f>IF($F950="","",IFERROR(INDEX(사건마스터!$AO$5:$AO$64,MATCH($F950,사건마스터!$A$5:$A$64,0)),""))</f>
        <v/>
      </c>
      <c r="R950" s="35">
        <f>IF($F950="","",IFERROR(INDEX(사건마스터!$AP$5:$AP$64,MATCH($F950,사건마스터!$A$5:$A$64,0)),""))</f>
        <v/>
      </c>
      <c r="S950" s="35">
        <f>IF($F950="","",IFERROR(INDEX(사건마스터!$AQ$5:$AQ$64,MATCH($F950,사건마스터!$A$5:$A$64,0)),""))</f>
        <v/>
      </c>
      <c r="T950" s="35">
        <f>IF($F950="","",IFERROR(INDEX(사건마스터!$AR$5:$AR$64,MATCH($F950,사건마스터!$A$5:$A$64,0)),""))</f>
        <v/>
      </c>
      <c r="U950" s="35">
        <f>IF($F950="","",IFERROR(INDEX(사건마스터!$AS$5:$AS$64,MATCH($F950,사건마스터!$A$5:$A$64,0)),""))</f>
        <v/>
      </c>
      <c r="V950" s="35">
        <f>IF($F950="","",IFERROR(INDEX(사건마스터!$AT$5:$AT$64,MATCH($F950,사건마스터!$A$5:$A$64,0)),""))</f>
        <v/>
      </c>
      <c r="W950" s="35">
        <f>IF($F950="","",IFERROR(INDEX(사건마스터!$AU$5:$AU$64,MATCH($F950,사건마스터!$A$5:$A$64,0)),""))</f>
        <v/>
      </c>
      <c r="X950" s="35">
        <f>IF($F950="","",IFERROR(INDEX(사건마스터!$AV$5:$AV$64,MATCH($F950,사건마스터!$A$5:$A$64,0)),""))</f>
        <v/>
      </c>
      <c r="Y950" s="30">
        <f>IF($I950="","",COUNTIF($I950:$X950,"?*"))</f>
        <v/>
      </c>
      <c r="Z950" s="33">
        <f>IF($I950="","",_xlfn.TEXTJOIN(", ",TRUE,$I950:$X950))</f>
        <v/>
      </c>
      <c r="AA950" s="34">
        <f>IF($I950="","",IFERROR(INDEX(코드설정!$D$5:$D$24,MATCH($I950,코드설정!$C$5:$C$24,0)),""))</f>
        <v/>
      </c>
      <c r="AB950" s="36" t="n"/>
      <c r="AC950" s="37" t="n"/>
      <c r="AD950" s="38" t="n"/>
      <c r="AE950" s="30">
        <f>IF(OR($B950="",$C950=""),"",$C950-$B950+1)</f>
        <v/>
      </c>
      <c r="AF950" s="32" t="n"/>
      <c r="AG950" s="36" t="n"/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3">
        <f>IF($F951="","",IFERROR(INDEX(사건마스터!$B$5:$B$64,MATCH($F951,사건마스터!$A$5:$A$64,0)),""))</f>
        <v/>
      </c>
      <c r="H951" s="34">
        <f>IF($F951="","",IFERROR(INDEX(사건마스터!$C$5:$C$64,MATCH($F951,사건마스터!$A$5:$A$64,0)),""))</f>
        <v/>
      </c>
      <c r="I951" s="35">
        <f>IF($F951="","",IFERROR(INDEX(사건마스터!$H$5:$H$64,MATCH($F951,사건마스터!$A$5:$A$64,0)),""))</f>
        <v/>
      </c>
      <c r="J951" s="35">
        <f>IF($F951="","",IFERROR(INDEX(사건마스터!$AH$5:$AH$64,MATCH($F951,사건마스터!$A$5:$A$64,0)),""))</f>
        <v/>
      </c>
      <c r="K951" s="35">
        <f>IF($F951="","",IFERROR(INDEX(사건마스터!$AI$5:$AI$64,MATCH($F951,사건마스터!$A$5:$A$64,0)),""))</f>
        <v/>
      </c>
      <c r="L951" s="35">
        <f>IF($F951="","",IFERROR(INDEX(사건마스터!$AJ$5:$AJ$64,MATCH($F951,사건마스터!$A$5:$A$64,0)),""))</f>
        <v/>
      </c>
      <c r="M951" s="35">
        <f>IF($F951="","",IFERROR(INDEX(사건마스터!$AK$5:$AK$64,MATCH($F951,사건마스터!$A$5:$A$64,0)),""))</f>
        <v/>
      </c>
      <c r="N951" s="35">
        <f>IF($F951="","",IFERROR(INDEX(사건마스터!$AL$5:$AL$64,MATCH($F951,사건마스터!$A$5:$A$64,0)),""))</f>
        <v/>
      </c>
      <c r="O951" s="35">
        <f>IF($F951="","",IFERROR(INDEX(사건마스터!$AM$5:$AM$64,MATCH($F951,사건마스터!$A$5:$A$64,0)),""))</f>
        <v/>
      </c>
      <c r="P951" s="35">
        <f>IF($F951="","",IFERROR(INDEX(사건마스터!$AN$5:$AN$64,MATCH($F951,사건마스터!$A$5:$A$64,0)),""))</f>
        <v/>
      </c>
      <c r="Q951" s="35">
        <f>IF($F951="","",IFERROR(INDEX(사건마스터!$AO$5:$AO$64,MATCH($F951,사건마스터!$A$5:$A$64,0)),""))</f>
        <v/>
      </c>
      <c r="R951" s="35">
        <f>IF($F951="","",IFERROR(INDEX(사건마스터!$AP$5:$AP$64,MATCH($F951,사건마스터!$A$5:$A$64,0)),""))</f>
        <v/>
      </c>
      <c r="S951" s="35">
        <f>IF($F951="","",IFERROR(INDEX(사건마스터!$AQ$5:$AQ$64,MATCH($F951,사건마스터!$A$5:$A$64,0)),""))</f>
        <v/>
      </c>
      <c r="T951" s="35">
        <f>IF($F951="","",IFERROR(INDEX(사건마스터!$AR$5:$AR$64,MATCH($F951,사건마스터!$A$5:$A$64,0)),""))</f>
        <v/>
      </c>
      <c r="U951" s="35">
        <f>IF($F951="","",IFERROR(INDEX(사건마스터!$AS$5:$AS$64,MATCH($F951,사건마스터!$A$5:$A$64,0)),""))</f>
        <v/>
      </c>
      <c r="V951" s="35">
        <f>IF($F951="","",IFERROR(INDEX(사건마스터!$AT$5:$AT$64,MATCH($F951,사건마스터!$A$5:$A$64,0)),""))</f>
        <v/>
      </c>
      <c r="W951" s="35">
        <f>IF($F951="","",IFERROR(INDEX(사건마스터!$AU$5:$AU$64,MATCH($F951,사건마스터!$A$5:$A$64,0)),""))</f>
        <v/>
      </c>
      <c r="X951" s="35">
        <f>IF($F951="","",IFERROR(INDEX(사건마스터!$AV$5:$AV$64,MATCH($F951,사건마스터!$A$5:$A$64,0)),""))</f>
        <v/>
      </c>
      <c r="Y951" s="30">
        <f>IF($I951="","",COUNTIF($I951:$X951,"?*"))</f>
        <v/>
      </c>
      <c r="Z951" s="33">
        <f>IF($I951="","",_xlfn.TEXTJOIN(", ",TRUE,$I951:$X951))</f>
        <v/>
      </c>
      <c r="AA951" s="34">
        <f>IF($I951="","",IFERROR(INDEX(코드설정!$D$5:$D$24,MATCH($I951,코드설정!$C$5:$C$24,0)),""))</f>
        <v/>
      </c>
      <c r="AB951" s="36" t="n"/>
      <c r="AC951" s="37" t="n"/>
      <c r="AD951" s="38" t="n"/>
      <c r="AE951" s="30">
        <f>IF(OR($B951="",$C951=""),"",$C951-$B951+1)</f>
        <v/>
      </c>
      <c r="AF951" s="32" t="n"/>
      <c r="AG951" s="36" t="n"/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3">
        <f>IF($F952="","",IFERROR(INDEX(사건마스터!$B$5:$B$64,MATCH($F952,사건마스터!$A$5:$A$64,0)),""))</f>
        <v/>
      </c>
      <c r="H952" s="34">
        <f>IF($F952="","",IFERROR(INDEX(사건마스터!$C$5:$C$64,MATCH($F952,사건마스터!$A$5:$A$64,0)),""))</f>
        <v/>
      </c>
      <c r="I952" s="35">
        <f>IF($F952="","",IFERROR(INDEX(사건마스터!$H$5:$H$64,MATCH($F952,사건마스터!$A$5:$A$64,0)),""))</f>
        <v/>
      </c>
      <c r="J952" s="35">
        <f>IF($F952="","",IFERROR(INDEX(사건마스터!$AH$5:$AH$64,MATCH($F952,사건마스터!$A$5:$A$64,0)),""))</f>
        <v/>
      </c>
      <c r="K952" s="35">
        <f>IF($F952="","",IFERROR(INDEX(사건마스터!$AI$5:$AI$64,MATCH($F952,사건마스터!$A$5:$A$64,0)),""))</f>
        <v/>
      </c>
      <c r="L952" s="35">
        <f>IF($F952="","",IFERROR(INDEX(사건마스터!$AJ$5:$AJ$64,MATCH($F952,사건마스터!$A$5:$A$64,0)),""))</f>
        <v/>
      </c>
      <c r="M952" s="35">
        <f>IF($F952="","",IFERROR(INDEX(사건마스터!$AK$5:$AK$64,MATCH($F952,사건마스터!$A$5:$A$64,0)),""))</f>
        <v/>
      </c>
      <c r="N952" s="35">
        <f>IF($F952="","",IFERROR(INDEX(사건마스터!$AL$5:$AL$64,MATCH($F952,사건마스터!$A$5:$A$64,0)),""))</f>
        <v/>
      </c>
      <c r="O952" s="35">
        <f>IF($F952="","",IFERROR(INDEX(사건마스터!$AM$5:$AM$64,MATCH($F952,사건마스터!$A$5:$A$64,0)),""))</f>
        <v/>
      </c>
      <c r="P952" s="35">
        <f>IF($F952="","",IFERROR(INDEX(사건마스터!$AN$5:$AN$64,MATCH($F952,사건마스터!$A$5:$A$64,0)),""))</f>
        <v/>
      </c>
      <c r="Q952" s="35">
        <f>IF($F952="","",IFERROR(INDEX(사건마스터!$AO$5:$AO$64,MATCH($F952,사건마스터!$A$5:$A$64,0)),""))</f>
        <v/>
      </c>
      <c r="R952" s="35">
        <f>IF($F952="","",IFERROR(INDEX(사건마스터!$AP$5:$AP$64,MATCH($F952,사건마스터!$A$5:$A$64,0)),""))</f>
        <v/>
      </c>
      <c r="S952" s="35">
        <f>IF($F952="","",IFERROR(INDEX(사건마스터!$AQ$5:$AQ$64,MATCH($F952,사건마스터!$A$5:$A$64,0)),""))</f>
        <v/>
      </c>
      <c r="T952" s="35">
        <f>IF($F952="","",IFERROR(INDEX(사건마스터!$AR$5:$AR$64,MATCH($F952,사건마스터!$A$5:$A$64,0)),""))</f>
        <v/>
      </c>
      <c r="U952" s="35">
        <f>IF($F952="","",IFERROR(INDEX(사건마스터!$AS$5:$AS$64,MATCH($F952,사건마스터!$A$5:$A$64,0)),""))</f>
        <v/>
      </c>
      <c r="V952" s="35">
        <f>IF($F952="","",IFERROR(INDEX(사건마스터!$AT$5:$AT$64,MATCH($F952,사건마스터!$A$5:$A$64,0)),""))</f>
        <v/>
      </c>
      <c r="W952" s="35">
        <f>IF($F952="","",IFERROR(INDEX(사건마스터!$AU$5:$AU$64,MATCH($F952,사건마스터!$A$5:$A$64,0)),""))</f>
        <v/>
      </c>
      <c r="X952" s="35">
        <f>IF($F952="","",IFERROR(INDEX(사건마스터!$AV$5:$AV$64,MATCH($F952,사건마스터!$A$5:$A$64,0)),""))</f>
        <v/>
      </c>
      <c r="Y952" s="30">
        <f>IF($I952="","",COUNTIF($I952:$X952,"?*"))</f>
        <v/>
      </c>
      <c r="Z952" s="33">
        <f>IF($I952="","",_xlfn.TEXTJOIN(", ",TRUE,$I952:$X952))</f>
        <v/>
      </c>
      <c r="AA952" s="34">
        <f>IF($I952="","",IFERROR(INDEX(코드설정!$D$5:$D$24,MATCH($I952,코드설정!$C$5:$C$24,0)),""))</f>
        <v/>
      </c>
      <c r="AB952" s="36" t="n"/>
      <c r="AC952" s="37" t="n"/>
      <c r="AD952" s="38" t="n"/>
      <c r="AE952" s="30">
        <f>IF(OR($B952="",$C952=""),"",$C952-$B952+1)</f>
        <v/>
      </c>
      <c r="AF952" s="32" t="n"/>
      <c r="AG952" s="36" t="n"/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3">
        <f>IF($F953="","",IFERROR(INDEX(사건마스터!$B$5:$B$64,MATCH($F953,사건마스터!$A$5:$A$64,0)),""))</f>
        <v/>
      </c>
      <c r="H953" s="34">
        <f>IF($F953="","",IFERROR(INDEX(사건마스터!$C$5:$C$64,MATCH($F953,사건마스터!$A$5:$A$64,0)),""))</f>
        <v/>
      </c>
      <c r="I953" s="35">
        <f>IF($F953="","",IFERROR(INDEX(사건마스터!$H$5:$H$64,MATCH($F953,사건마스터!$A$5:$A$64,0)),""))</f>
        <v/>
      </c>
      <c r="J953" s="35">
        <f>IF($F953="","",IFERROR(INDEX(사건마스터!$AH$5:$AH$64,MATCH($F953,사건마스터!$A$5:$A$64,0)),""))</f>
        <v/>
      </c>
      <c r="K953" s="35">
        <f>IF($F953="","",IFERROR(INDEX(사건마스터!$AI$5:$AI$64,MATCH($F953,사건마스터!$A$5:$A$64,0)),""))</f>
        <v/>
      </c>
      <c r="L953" s="35">
        <f>IF($F953="","",IFERROR(INDEX(사건마스터!$AJ$5:$AJ$64,MATCH($F953,사건마스터!$A$5:$A$64,0)),""))</f>
        <v/>
      </c>
      <c r="M953" s="35">
        <f>IF($F953="","",IFERROR(INDEX(사건마스터!$AK$5:$AK$64,MATCH($F953,사건마스터!$A$5:$A$64,0)),""))</f>
        <v/>
      </c>
      <c r="N953" s="35">
        <f>IF($F953="","",IFERROR(INDEX(사건마스터!$AL$5:$AL$64,MATCH($F953,사건마스터!$A$5:$A$64,0)),""))</f>
        <v/>
      </c>
      <c r="O953" s="35">
        <f>IF($F953="","",IFERROR(INDEX(사건마스터!$AM$5:$AM$64,MATCH($F953,사건마스터!$A$5:$A$64,0)),""))</f>
        <v/>
      </c>
      <c r="P953" s="35">
        <f>IF($F953="","",IFERROR(INDEX(사건마스터!$AN$5:$AN$64,MATCH($F953,사건마스터!$A$5:$A$64,0)),""))</f>
        <v/>
      </c>
      <c r="Q953" s="35">
        <f>IF($F953="","",IFERROR(INDEX(사건마스터!$AO$5:$AO$64,MATCH($F953,사건마스터!$A$5:$A$64,0)),""))</f>
        <v/>
      </c>
      <c r="R953" s="35">
        <f>IF($F953="","",IFERROR(INDEX(사건마스터!$AP$5:$AP$64,MATCH($F953,사건마스터!$A$5:$A$64,0)),""))</f>
        <v/>
      </c>
      <c r="S953" s="35">
        <f>IF($F953="","",IFERROR(INDEX(사건마스터!$AQ$5:$AQ$64,MATCH($F953,사건마스터!$A$5:$A$64,0)),""))</f>
        <v/>
      </c>
      <c r="T953" s="35">
        <f>IF($F953="","",IFERROR(INDEX(사건마스터!$AR$5:$AR$64,MATCH($F953,사건마스터!$A$5:$A$64,0)),""))</f>
        <v/>
      </c>
      <c r="U953" s="35">
        <f>IF($F953="","",IFERROR(INDEX(사건마스터!$AS$5:$AS$64,MATCH($F953,사건마스터!$A$5:$A$64,0)),""))</f>
        <v/>
      </c>
      <c r="V953" s="35">
        <f>IF($F953="","",IFERROR(INDEX(사건마스터!$AT$5:$AT$64,MATCH($F953,사건마스터!$A$5:$A$64,0)),""))</f>
        <v/>
      </c>
      <c r="W953" s="35">
        <f>IF($F953="","",IFERROR(INDEX(사건마스터!$AU$5:$AU$64,MATCH($F953,사건마스터!$A$5:$A$64,0)),""))</f>
        <v/>
      </c>
      <c r="X953" s="35">
        <f>IF($F953="","",IFERROR(INDEX(사건마스터!$AV$5:$AV$64,MATCH($F953,사건마스터!$A$5:$A$64,0)),""))</f>
        <v/>
      </c>
      <c r="Y953" s="30">
        <f>IF($I953="","",COUNTIF($I953:$X953,"?*"))</f>
        <v/>
      </c>
      <c r="Z953" s="33">
        <f>IF($I953="","",_xlfn.TEXTJOIN(", ",TRUE,$I953:$X953))</f>
        <v/>
      </c>
      <c r="AA953" s="34">
        <f>IF($I953="","",IFERROR(INDEX(코드설정!$D$5:$D$24,MATCH($I953,코드설정!$C$5:$C$24,0)),""))</f>
        <v/>
      </c>
      <c r="AB953" s="36" t="n"/>
      <c r="AC953" s="37" t="n"/>
      <c r="AD953" s="38" t="n"/>
      <c r="AE953" s="30">
        <f>IF(OR($B953="",$C953=""),"",$C953-$B953+1)</f>
        <v/>
      </c>
      <c r="AF953" s="32" t="n"/>
      <c r="AG953" s="36" t="n"/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3">
        <f>IF($F954="","",IFERROR(INDEX(사건마스터!$B$5:$B$64,MATCH($F954,사건마스터!$A$5:$A$64,0)),""))</f>
        <v/>
      </c>
      <c r="H954" s="34">
        <f>IF($F954="","",IFERROR(INDEX(사건마스터!$C$5:$C$64,MATCH($F954,사건마스터!$A$5:$A$64,0)),""))</f>
        <v/>
      </c>
      <c r="I954" s="35">
        <f>IF($F954="","",IFERROR(INDEX(사건마스터!$H$5:$H$64,MATCH($F954,사건마스터!$A$5:$A$64,0)),""))</f>
        <v/>
      </c>
      <c r="J954" s="35">
        <f>IF($F954="","",IFERROR(INDEX(사건마스터!$AH$5:$AH$64,MATCH($F954,사건마스터!$A$5:$A$64,0)),""))</f>
        <v/>
      </c>
      <c r="K954" s="35">
        <f>IF($F954="","",IFERROR(INDEX(사건마스터!$AI$5:$AI$64,MATCH($F954,사건마스터!$A$5:$A$64,0)),""))</f>
        <v/>
      </c>
      <c r="L954" s="35">
        <f>IF($F954="","",IFERROR(INDEX(사건마스터!$AJ$5:$AJ$64,MATCH($F954,사건마스터!$A$5:$A$64,0)),""))</f>
        <v/>
      </c>
      <c r="M954" s="35">
        <f>IF($F954="","",IFERROR(INDEX(사건마스터!$AK$5:$AK$64,MATCH($F954,사건마스터!$A$5:$A$64,0)),""))</f>
        <v/>
      </c>
      <c r="N954" s="35">
        <f>IF($F954="","",IFERROR(INDEX(사건마스터!$AL$5:$AL$64,MATCH($F954,사건마스터!$A$5:$A$64,0)),""))</f>
        <v/>
      </c>
      <c r="O954" s="35">
        <f>IF($F954="","",IFERROR(INDEX(사건마스터!$AM$5:$AM$64,MATCH($F954,사건마스터!$A$5:$A$64,0)),""))</f>
        <v/>
      </c>
      <c r="P954" s="35">
        <f>IF($F954="","",IFERROR(INDEX(사건마스터!$AN$5:$AN$64,MATCH($F954,사건마스터!$A$5:$A$64,0)),""))</f>
        <v/>
      </c>
      <c r="Q954" s="35">
        <f>IF($F954="","",IFERROR(INDEX(사건마스터!$AO$5:$AO$64,MATCH($F954,사건마스터!$A$5:$A$64,0)),""))</f>
        <v/>
      </c>
      <c r="R954" s="35">
        <f>IF($F954="","",IFERROR(INDEX(사건마스터!$AP$5:$AP$64,MATCH($F954,사건마스터!$A$5:$A$64,0)),""))</f>
        <v/>
      </c>
      <c r="S954" s="35">
        <f>IF($F954="","",IFERROR(INDEX(사건마스터!$AQ$5:$AQ$64,MATCH($F954,사건마스터!$A$5:$A$64,0)),""))</f>
        <v/>
      </c>
      <c r="T954" s="35">
        <f>IF($F954="","",IFERROR(INDEX(사건마스터!$AR$5:$AR$64,MATCH($F954,사건마스터!$A$5:$A$64,0)),""))</f>
        <v/>
      </c>
      <c r="U954" s="35">
        <f>IF($F954="","",IFERROR(INDEX(사건마스터!$AS$5:$AS$64,MATCH($F954,사건마스터!$A$5:$A$64,0)),""))</f>
        <v/>
      </c>
      <c r="V954" s="35">
        <f>IF($F954="","",IFERROR(INDEX(사건마스터!$AT$5:$AT$64,MATCH($F954,사건마스터!$A$5:$A$64,0)),""))</f>
        <v/>
      </c>
      <c r="W954" s="35">
        <f>IF($F954="","",IFERROR(INDEX(사건마스터!$AU$5:$AU$64,MATCH($F954,사건마스터!$A$5:$A$64,0)),""))</f>
        <v/>
      </c>
      <c r="X954" s="35">
        <f>IF($F954="","",IFERROR(INDEX(사건마스터!$AV$5:$AV$64,MATCH($F954,사건마스터!$A$5:$A$64,0)),""))</f>
        <v/>
      </c>
      <c r="Y954" s="30">
        <f>IF($I954="","",COUNTIF($I954:$X954,"?*"))</f>
        <v/>
      </c>
      <c r="Z954" s="33">
        <f>IF($I954="","",_xlfn.TEXTJOIN(", ",TRUE,$I954:$X954))</f>
        <v/>
      </c>
      <c r="AA954" s="34">
        <f>IF($I954="","",IFERROR(INDEX(코드설정!$D$5:$D$24,MATCH($I954,코드설정!$C$5:$C$24,0)),""))</f>
        <v/>
      </c>
      <c r="AB954" s="36" t="n"/>
      <c r="AC954" s="37" t="n"/>
      <c r="AD954" s="38" t="n"/>
      <c r="AE954" s="30">
        <f>IF(OR($B954="",$C954=""),"",$C954-$B954+1)</f>
        <v/>
      </c>
      <c r="AF954" s="32" t="n"/>
      <c r="AG954" s="36" t="n"/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3">
        <f>IF($F955="","",IFERROR(INDEX(사건마스터!$B$5:$B$64,MATCH($F955,사건마스터!$A$5:$A$64,0)),""))</f>
        <v/>
      </c>
      <c r="H955" s="34">
        <f>IF($F955="","",IFERROR(INDEX(사건마스터!$C$5:$C$64,MATCH($F955,사건마스터!$A$5:$A$64,0)),""))</f>
        <v/>
      </c>
      <c r="I955" s="35">
        <f>IF($F955="","",IFERROR(INDEX(사건마스터!$H$5:$H$64,MATCH($F955,사건마스터!$A$5:$A$64,0)),""))</f>
        <v/>
      </c>
      <c r="J955" s="35">
        <f>IF($F955="","",IFERROR(INDEX(사건마스터!$AH$5:$AH$64,MATCH($F955,사건마스터!$A$5:$A$64,0)),""))</f>
        <v/>
      </c>
      <c r="K955" s="35">
        <f>IF($F955="","",IFERROR(INDEX(사건마스터!$AI$5:$AI$64,MATCH($F955,사건마스터!$A$5:$A$64,0)),""))</f>
        <v/>
      </c>
      <c r="L955" s="35">
        <f>IF($F955="","",IFERROR(INDEX(사건마스터!$AJ$5:$AJ$64,MATCH($F955,사건마스터!$A$5:$A$64,0)),""))</f>
        <v/>
      </c>
      <c r="M955" s="35">
        <f>IF($F955="","",IFERROR(INDEX(사건마스터!$AK$5:$AK$64,MATCH($F955,사건마스터!$A$5:$A$64,0)),""))</f>
        <v/>
      </c>
      <c r="N955" s="35">
        <f>IF($F955="","",IFERROR(INDEX(사건마스터!$AL$5:$AL$64,MATCH($F955,사건마스터!$A$5:$A$64,0)),""))</f>
        <v/>
      </c>
      <c r="O955" s="35">
        <f>IF($F955="","",IFERROR(INDEX(사건마스터!$AM$5:$AM$64,MATCH($F955,사건마스터!$A$5:$A$64,0)),""))</f>
        <v/>
      </c>
      <c r="P955" s="35">
        <f>IF($F955="","",IFERROR(INDEX(사건마스터!$AN$5:$AN$64,MATCH($F955,사건마스터!$A$5:$A$64,0)),""))</f>
        <v/>
      </c>
      <c r="Q955" s="35">
        <f>IF($F955="","",IFERROR(INDEX(사건마스터!$AO$5:$AO$64,MATCH($F955,사건마스터!$A$5:$A$64,0)),""))</f>
        <v/>
      </c>
      <c r="R955" s="35">
        <f>IF($F955="","",IFERROR(INDEX(사건마스터!$AP$5:$AP$64,MATCH($F955,사건마스터!$A$5:$A$64,0)),""))</f>
        <v/>
      </c>
      <c r="S955" s="35">
        <f>IF($F955="","",IFERROR(INDEX(사건마스터!$AQ$5:$AQ$64,MATCH($F955,사건마스터!$A$5:$A$64,0)),""))</f>
        <v/>
      </c>
      <c r="T955" s="35">
        <f>IF($F955="","",IFERROR(INDEX(사건마스터!$AR$5:$AR$64,MATCH($F955,사건마스터!$A$5:$A$64,0)),""))</f>
        <v/>
      </c>
      <c r="U955" s="35">
        <f>IF($F955="","",IFERROR(INDEX(사건마스터!$AS$5:$AS$64,MATCH($F955,사건마스터!$A$5:$A$64,0)),""))</f>
        <v/>
      </c>
      <c r="V955" s="35">
        <f>IF($F955="","",IFERROR(INDEX(사건마스터!$AT$5:$AT$64,MATCH($F955,사건마스터!$A$5:$A$64,0)),""))</f>
        <v/>
      </c>
      <c r="W955" s="35">
        <f>IF($F955="","",IFERROR(INDEX(사건마스터!$AU$5:$AU$64,MATCH($F955,사건마스터!$A$5:$A$64,0)),""))</f>
        <v/>
      </c>
      <c r="X955" s="35">
        <f>IF($F955="","",IFERROR(INDEX(사건마스터!$AV$5:$AV$64,MATCH($F955,사건마스터!$A$5:$A$64,0)),""))</f>
        <v/>
      </c>
      <c r="Y955" s="30">
        <f>IF($I955="","",COUNTIF($I955:$X955,"?*"))</f>
        <v/>
      </c>
      <c r="Z955" s="33">
        <f>IF($I955="","",_xlfn.TEXTJOIN(", ",TRUE,$I955:$X955))</f>
        <v/>
      </c>
      <c r="AA955" s="34">
        <f>IF($I955="","",IFERROR(INDEX(코드설정!$D$5:$D$24,MATCH($I955,코드설정!$C$5:$C$24,0)),""))</f>
        <v/>
      </c>
      <c r="AB955" s="36" t="n"/>
      <c r="AC955" s="37" t="n"/>
      <c r="AD955" s="38" t="n"/>
      <c r="AE955" s="30">
        <f>IF(OR($B955="",$C955=""),"",$C955-$B955+1)</f>
        <v/>
      </c>
      <c r="AF955" s="32" t="n"/>
      <c r="AG955" s="36" t="n"/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3">
        <f>IF($F956="","",IFERROR(INDEX(사건마스터!$B$5:$B$64,MATCH($F956,사건마스터!$A$5:$A$64,0)),""))</f>
        <v/>
      </c>
      <c r="H956" s="34">
        <f>IF($F956="","",IFERROR(INDEX(사건마스터!$C$5:$C$64,MATCH($F956,사건마스터!$A$5:$A$64,0)),""))</f>
        <v/>
      </c>
      <c r="I956" s="35">
        <f>IF($F956="","",IFERROR(INDEX(사건마스터!$H$5:$H$64,MATCH($F956,사건마스터!$A$5:$A$64,0)),""))</f>
        <v/>
      </c>
      <c r="J956" s="35">
        <f>IF($F956="","",IFERROR(INDEX(사건마스터!$AH$5:$AH$64,MATCH($F956,사건마스터!$A$5:$A$64,0)),""))</f>
        <v/>
      </c>
      <c r="K956" s="35">
        <f>IF($F956="","",IFERROR(INDEX(사건마스터!$AI$5:$AI$64,MATCH($F956,사건마스터!$A$5:$A$64,0)),""))</f>
        <v/>
      </c>
      <c r="L956" s="35">
        <f>IF($F956="","",IFERROR(INDEX(사건마스터!$AJ$5:$AJ$64,MATCH($F956,사건마스터!$A$5:$A$64,0)),""))</f>
        <v/>
      </c>
      <c r="M956" s="35">
        <f>IF($F956="","",IFERROR(INDEX(사건마스터!$AK$5:$AK$64,MATCH($F956,사건마스터!$A$5:$A$64,0)),""))</f>
        <v/>
      </c>
      <c r="N956" s="35">
        <f>IF($F956="","",IFERROR(INDEX(사건마스터!$AL$5:$AL$64,MATCH($F956,사건마스터!$A$5:$A$64,0)),""))</f>
        <v/>
      </c>
      <c r="O956" s="35">
        <f>IF($F956="","",IFERROR(INDEX(사건마스터!$AM$5:$AM$64,MATCH($F956,사건마스터!$A$5:$A$64,0)),""))</f>
        <v/>
      </c>
      <c r="P956" s="35">
        <f>IF($F956="","",IFERROR(INDEX(사건마스터!$AN$5:$AN$64,MATCH($F956,사건마스터!$A$5:$A$64,0)),""))</f>
        <v/>
      </c>
      <c r="Q956" s="35">
        <f>IF($F956="","",IFERROR(INDEX(사건마스터!$AO$5:$AO$64,MATCH($F956,사건마스터!$A$5:$A$64,0)),""))</f>
        <v/>
      </c>
      <c r="R956" s="35">
        <f>IF($F956="","",IFERROR(INDEX(사건마스터!$AP$5:$AP$64,MATCH($F956,사건마스터!$A$5:$A$64,0)),""))</f>
        <v/>
      </c>
      <c r="S956" s="35">
        <f>IF($F956="","",IFERROR(INDEX(사건마스터!$AQ$5:$AQ$64,MATCH($F956,사건마스터!$A$5:$A$64,0)),""))</f>
        <v/>
      </c>
      <c r="T956" s="35">
        <f>IF($F956="","",IFERROR(INDEX(사건마스터!$AR$5:$AR$64,MATCH($F956,사건마스터!$A$5:$A$64,0)),""))</f>
        <v/>
      </c>
      <c r="U956" s="35">
        <f>IF($F956="","",IFERROR(INDEX(사건마스터!$AS$5:$AS$64,MATCH($F956,사건마스터!$A$5:$A$64,0)),""))</f>
        <v/>
      </c>
      <c r="V956" s="35">
        <f>IF($F956="","",IFERROR(INDEX(사건마스터!$AT$5:$AT$64,MATCH($F956,사건마스터!$A$5:$A$64,0)),""))</f>
        <v/>
      </c>
      <c r="W956" s="35">
        <f>IF($F956="","",IFERROR(INDEX(사건마스터!$AU$5:$AU$64,MATCH($F956,사건마스터!$A$5:$A$64,0)),""))</f>
        <v/>
      </c>
      <c r="X956" s="35">
        <f>IF($F956="","",IFERROR(INDEX(사건마스터!$AV$5:$AV$64,MATCH($F956,사건마스터!$A$5:$A$64,0)),""))</f>
        <v/>
      </c>
      <c r="Y956" s="30">
        <f>IF($I956="","",COUNTIF($I956:$X956,"?*"))</f>
        <v/>
      </c>
      <c r="Z956" s="33">
        <f>IF($I956="","",_xlfn.TEXTJOIN(", ",TRUE,$I956:$X956))</f>
        <v/>
      </c>
      <c r="AA956" s="34">
        <f>IF($I956="","",IFERROR(INDEX(코드설정!$D$5:$D$24,MATCH($I956,코드설정!$C$5:$C$24,0)),""))</f>
        <v/>
      </c>
      <c r="AB956" s="36" t="n"/>
      <c r="AC956" s="37" t="n"/>
      <c r="AD956" s="38" t="n"/>
      <c r="AE956" s="30">
        <f>IF(OR($B956="",$C956=""),"",$C956-$B956+1)</f>
        <v/>
      </c>
      <c r="AF956" s="32" t="n"/>
      <c r="AG956" s="36" t="n"/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3">
        <f>IF($F957="","",IFERROR(INDEX(사건마스터!$B$5:$B$64,MATCH($F957,사건마스터!$A$5:$A$64,0)),""))</f>
        <v/>
      </c>
      <c r="H957" s="34">
        <f>IF($F957="","",IFERROR(INDEX(사건마스터!$C$5:$C$64,MATCH($F957,사건마스터!$A$5:$A$64,0)),""))</f>
        <v/>
      </c>
      <c r="I957" s="35">
        <f>IF($F957="","",IFERROR(INDEX(사건마스터!$H$5:$H$64,MATCH($F957,사건마스터!$A$5:$A$64,0)),""))</f>
        <v/>
      </c>
      <c r="J957" s="35">
        <f>IF($F957="","",IFERROR(INDEX(사건마스터!$AH$5:$AH$64,MATCH($F957,사건마스터!$A$5:$A$64,0)),""))</f>
        <v/>
      </c>
      <c r="K957" s="35">
        <f>IF($F957="","",IFERROR(INDEX(사건마스터!$AI$5:$AI$64,MATCH($F957,사건마스터!$A$5:$A$64,0)),""))</f>
        <v/>
      </c>
      <c r="L957" s="35">
        <f>IF($F957="","",IFERROR(INDEX(사건마스터!$AJ$5:$AJ$64,MATCH($F957,사건마스터!$A$5:$A$64,0)),""))</f>
        <v/>
      </c>
      <c r="M957" s="35">
        <f>IF($F957="","",IFERROR(INDEX(사건마스터!$AK$5:$AK$64,MATCH($F957,사건마스터!$A$5:$A$64,0)),""))</f>
        <v/>
      </c>
      <c r="N957" s="35">
        <f>IF($F957="","",IFERROR(INDEX(사건마스터!$AL$5:$AL$64,MATCH($F957,사건마스터!$A$5:$A$64,0)),""))</f>
        <v/>
      </c>
      <c r="O957" s="35">
        <f>IF($F957="","",IFERROR(INDEX(사건마스터!$AM$5:$AM$64,MATCH($F957,사건마스터!$A$5:$A$64,0)),""))</f>
        <v/>
      </c>
      <c r="P957" s="35">
        <f>IF($F957="","",IFERROR(INDEX(사건마스터!$AN$5:$AN$64,MATCH($F957,사건마스터!$A$5:$A$64,0)),""))</f>
        <v/>
      </c>
      <c r="Q957" s="35">
        <f>IF($F957="","",IFERROR(INDEX(사건마스터!$AO$5:$AO$64,MATCH($F957,사건마스터!$A$5:$A$64,0)),""))</f>
        <v/>
      </c>
      <c r="R957" s="35">
        <f>IF($F957="","",IFERROR(INDEX(사건마스터!$AP$5:$AP$64,MATCH($F957,사건마스터!$A$5:$A$64,0)),""))</f>
        <v/>
      </c>
      <c r="S957" s="35">
        <f>IF($F957="","",IFERROR(INDEX(사건마스터!$AQ$5:$AQ$64,MATCH($F957,사건마스터!$A$5:$A$64,0)),""))</f>
        <v/>
      </c>
      <c r="T957" s="35">
        <f>IF($F957="","",IFERROR(INDEX(사건마스터!$AR$5:$AR$64,MATCH($F957,사건마스터!$A$5:$A$64,0)),""))</f>
        <v/>
      </c>
      <c r="U957" s="35">
        <f>IF($F957="","",IFERROR(INDEX(사건마스터!$AS$5:$AS$64,MATCH($F957,사건마스터!$A$5:$A$64,0)),""))</f>
        <v/>
      </c>
      <c r="V957" s="35">
        <f>IF($F957="","",IFERROR(INDEX(사건마스터!$AT$5:$AT$64,MATCH($F957,사건마스터!$A$5:$A$64,0)),""))</f>
        <v/>
      </c>
      <c r="W957" s="35">
        <f>IF($F957="","",IFERROR(INDEX(사건마스터!$AU$5:$AU$64,MATCH($F957,사건마스터!$A$5:$A$64,0)),""))</f>
        <v/>
      </c>
      <c r="X957" s="35">
        <f>IF($F957="","",IFERROR(INDEX(사건마스터!$AV$5:$AV$64,MATCH($F957,사건마스터!$A$5:$A$64,0)),""))</f>
        <v/>
      </c>
      <c r="Y957" s="30">
        <f>IF($I957="","",COUNTIF($I957:$X957,"?*"))</f>
        <v/>
      </c>
      <c r="Z957" s="33">
        <f>IF($I957="","",_xlfn.TEXTJOIN(", ",TRUE,$I957:$X957))</f>
        <v/>
      </c>
      <c r="AA957" s="34">
        <f>IF($I957="","",IFERROR(INDEX(코드설정!$D$5:$D$24,MATCH($I957,코드설정!$C$5:$C$24,0)),""))</f>
        <v/>
      </c>
      <c r="AB957" s="36" t="n"/>
      <c r="AC957" s="37" t="n"/>
      <c r="AD957" s="38" t="n"/>
      <c r="AE957" s="30">
        <f>IF(OR($B957="",$C957=""),"",$C957-$B957+1)</f>
        <v/>
      </c>
      <c r="AF957" s="32" t="n"/>
      <c r="AG957" s="36" t="n"/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3">
        <f>IF($F958="","",IFERROR(INDEX(사건마스터!$B$5:$B$64,MATCH($F958,사건마스터!$A$5:$A$64,0)),""))</f>
        <v/>
      </c>
      <c r="H958" s="34">
        <f>IF($F958="","",IFERROR(INDEX(사건마스터!$C$5:$C$64,MATCH($F958,사건마스터!$A$5:$A$64,0)),""))</f>
        <v/>
      </c>
      <c r="I958" s="35">
        <f>IF($F958="","",IFERROR(INDEX(사건마스터!$H$5:$H$64,MATCH($F958,사건마스터!$A$5:$A$64,0)),""))</f>
        <v/>
      </c>
      <c r="J958" s="35">
        <f>IF($F958="","",IFERROR(INDEX(사건마스터!$AH$5:$AH$64,MATCH($F958,사건마스터!$A$5:$A$64,0)),""))</f>
        <v/>
      </c>
      <c r="K958" s="35">
        <f>IF($F958="","",IFERROR(INDEX(사건마스터!$AI$5:$AI$64,MATCH($F958,사건마스터!$A$5:$A$64,0)),""))</f>
        <v/>
      </c>
      <c r="L958" s="35">
        <f>IF($F958="","",IFERROR(INDEX(사건마스터!$AJ$5:$AJ$64,MATCH($F958,사건마스터!$A$5:$A$64,0)),""))</f>
        <v/>
      </c>
      <c r="M958" s="35">
        <f>IF($F958="","",IFERROR(INDEX(사건마스터!$AK$5:$AK$64,MATCH($F958,사건마스터!$A$5:$A$64,0)),""))</f>
        <v/>
      </c>
      <c r="N958" s="35">
        <f>IF($F958="","",IFERROR(INDEX(사건마스터!$AL$5:$AL$64,MATCH($F958,사건마스터!$A$5:$A$64,0)),""))</f>
        <v/>
      </c>
      <c r="O958" s="35">
        <f>IF($F958="","",IFERROR(INDEX(사건마스터!$AM$5:$AM$64,MATCH($F958,사건마스터!$A$5:$A$64,0)),""))</f>
        <v/>
      </c>
      <c r="P958" s="35">
        <f>IF($F958="","",IFERROR(INDEX(사건마스터!$AN$5:$AN$64,MATCH($F958,사건마스터!$A$5:$A$64,0)),""))</f>
        <v/>
      </c>
      <c r="Q958" s="35">
        <f>IF($F958="","",IFERROR(INDEX(사건마스터!$AO$5:$AO$64,MATCH($F958,사건마스터!$A$5:$A$64,0)),""))</f>
        <v/>
      </c>
      <c r="R958" s="35">
        <f>IF($F958="","",IFERROR(INDEX(사건마스터!$AP$5:$AP$64,MATCH($F958,사건마스터!$A$5:$A$64,0)),""))</f>
        <v/>
      </c>
      <c r="S958" s="35">
        <f>IF($F958="","",IFERROR(INDEX(사건마스터!$AQ$5:$AQ$64,MATCH($F958,사건마스터!$A$5:$A$64,0)),""))</f>
        <v/>
      </c>
      <c r="T958" s="35">
        <f>IF($F958="","",IFERROR(INDEX(사건마스터!$AR$5:$AR$64,MATCH($F958,사건마스터!$A$5:$A$64,0)),""))</f>
        <v/>
      </c>
      <c r="U958" s="35">
        <f>IF($F958="","",IFERROR(INDEX(사건마스터!$AS$5:$AS$64,MATCH($F958,사건마스터!$A$5:$A$64,0)),""))</f>
        <v/>
      </c>
      <c r="V958" s="35">
        <f>IF($F958="","",IFERROR(INDEX(사건마스터!$AT$5:$AT$64,MATCH($F958,사건마스터!$A$5:$A$64,0)),""))</f>
        <v/>
      </c>
      <c r="W958" s="35">
        <f>IF($F958="","",IFERROR(INDEX(사건마스터!$AU$5:$AU$64,MATCH($F958,사건마스터!$A$5:$A$64,0)),""))</f>
        <v/>
      </c>
      <c r="X958" s="35">
        <f>IF($F958="","",IFERROR(INDEX(사건마스터!$AV$5:$AV$64,MATCH($F958,사건마스터!$A$5:$A$64,0)),""))</f>
        <v/>
      </c>
      <c r="Y958" s="30">
        <f>IF($I958="","",COUNTIF($I958:$X958,"?*"))</f>
        <v/>
      </c>
      <c r="Z958" s="33">
        <f>IF($I958="","",_xlfn.TEXTJOIN(", ",TRUE,$I958:$X958))</f>
        <v/>
      </c>
      <c r="AA958" s="34">
        <f>IF($I958="","",IFERROR(INDEX(코드설정!$D$5:$D$24,MATCH($I958,코드설정!$C$5:$C$24,0)),""))</f>
        <v/>
      </c>
      <c r="AB958" s="36" t="n"/>
      <c r="AC958" s="37" t="n"/>
      <c r="AD958" s="38" t="n"/>
      <c r="AE958" s="30">
        <f>IF(OR($B958="",$C958=""),"",$C958-$B958+1)</f>
        <v/>
      </c>
      <c r="AF958" s="32" t="n"/>
      <c r="AG958" s="36" t="n"/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3">
        <f>IF($F959="","",IFERROR(INDEX(사건마스터!$B$5:$B$64,MATCH($F959,사건마스터!$A$5:$A$64,0)),""))</f>
        <v/>
      </c>
      <c r="H959" s="34">
        <f>IF($F959="","",IFERROR(INDEX(사건마스터!$C$5:$C$64,MATCH($F959,사건마스터!$A$5:$A$64,0)),""))</f>
        <v/>
      </c>
      <c r="I959" s="35">
        <f>IF($F959="","",IFERROR(INDEX(사건마스터!$H$5:$H$64,MATCH($F959,사건마스터!$A$5:$A$64,0)),""))</f>
        <v/>
      </c>
      <c r="J959" s="35">
        <f>IF($F959="","",IFERROR(INDEX(사건마스터!$AH$5:$AH$64,MATCH($F959,사건마스터!$A$5:$A$64,0)),""))</f>
        <v/>
      </c>
      <c r="K959" s="35">
        <f>IF($F959="","",IFERROR(INDEX(사건마스터!$AI$5:$AI$64,MATCH($F959,사건마스터!$A$5:$A$64,0)),""))</f>
        <v/>
      </c>
      <c r="L959" s="35">
        <f>IF($F959="","",IFERROR(INDEX(사건마스터!$AJ$5:$AJ$64,MATCH($F959,사건마스터!$A$5:$A$64,0)),""))</f>
        <v/>
      </c>
      <c r="M959" s="35">
        <f>IF($F959="","",IFERROR(INDEX(사건마스터!$AK$5:$AK$64,MATCH($F959,사건마스터!$A$5:$A$64,0)),""))</f>
        <v/>
      </c>
      <c r="N959" s="35">
        <f>IF($F959="","",IFERROR(INDEX(사건마스터!$AL$5:$AL$64,MATCH($F959,사건마스터!$A$5:$A$64,0)),""))</f>
        <v/>
      </c>
      <c r="O959" s="35">
        <f>IF($F959="","",IFERROR(INDEX(사건마스터!$AM$5:$AM$64,MATCH($F959,사건마스터!$A$5:$A$64,0)),""))</f>
        <v/>
      </c>
      <c r="P959" s="35">
        <f>IF($F959="","",IFERROR(INDEX(사건마스터!$AN$5:$AN$64,MATCH($F959,사건마스터!$A$5:$A$64,0)),""))</f>
        <v/>
      </c>
      <c r="Q959" s="35">
        <f>IF($F959="","",IFERROR(INDEX(사건마스터!$AO$5:$AO$64,MATCH($F959,사건마스터!$A$5:$A$64,0)),""))</f>
        <v/>
      </c>
      <c r="R959" s="35">
        <f>IF($F959="","",IFERROR(INDEX(사건마스터!$AP$5:$AP$64,MATCH($F959,사건마스터!$A$5:$A$64,0)),""))</f>
        <v/>
      </c>
      <c r="S959" s="35">
        <f>IF($F959="","",IFERROR(INDEX(사건마스터!$AQ$5:$AQ$64,MATCH($F959,사건마스터!$A$5:$A$64,0)),""))</f>
        <v/>
      </c>
      <c r="T959" s="35">
        <f>IF($F959="","",IFERROR(INDEX(사건마스터!$AR$5:$AR$64,MATCH($F959,사건마스터!$A$5:$A$64,0)),""))</f>
        <v/>
      </c>
      <c r="U959" s="35">
        <f>IF($F959="","",IFERROR(INDEX(사건마스터!$AS$5:$AS$64,MATCH($F959,사건마스터!$A$5:$A$64,0)),""))</f>
        <v/>
      </c>
      <c r="V959" s="35">
        <f>IF($F959="","",IFERROR(INDEX(사건마스터!$AT$5:$AT$64,MATCH($F959,사건마스터!$A$5:$A$64,0)),""))</f>
        <v/>
      </c>
      <c r="W959" s="35">
        <f>IF($F959="","",IFERROR(INDEX(사건마스터!$AU$5:$AU$64,MATCH($F959,사건마스터!$A$5:$A$64,0)),""))</f>
        <v/>
      </c>
      <c r="X959" s="35">
        <f>IF($F959="","",IFERROR(INDEX(사건마스터!$AV$5:$AV$64,MATCH($F959,사건마스터!$A$5:$A$64,0)),""))</f>
        <v/>
      </c>
      <c r="Y959" s="30">
        <f>IF($I959="","",COUNTIF($I959:$X959,"?*"))</f>
        <v/>
      </c>
      <c r="Z959" s="33">
        <f>IF($I959="","",_xlfn.TEXTJOIN(", ",TRUE,$I959:$X959))</f>
        <v/>
      </c>
      <c r="AA959" s="34">
        <f>IF($I959="","",IFERROR(INDEX(코드설정!$D$5:$D$24,MATCH($I959,코드설정!$C$5:$C$24,0)),""))</f>
        <v/>
      </c>
      <c r="AB959" s="36" t="n"/>
      <c r="AC959" s="37" t="n"/>
      <c r="AD959" s="38" t="n"/>
      <c r="AE959" s="30">
        <f>IF(OR($B959="",$C959=""),"",$C959-$B959+1)</f>
        <v/>
      </c>
      <c r="AF959" s="32" t="n"/>
      <c r="AG959" s="36" t="n"/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3">
        <f>IF($F960="","",IFERROR(INDEX(사건마스터!$B$5:$B$64,MATCH($F960,사건마스터!$A$5:$A$64,0)),""))</f>
        <v/>
      </c>
      <c r="H960" s="34">
        <f>IF($F960="","",IFERROR(INDEX(사건마스터!$C$5:$C$64,MATCH($F960,사건마스터!$A$5:$A$64,0)),""))</f>
        <v/>
      </c>
      <c r="I960" s="35">
        <f>IF($F960="","",IFERROR(INDEX(사건마스터!$H$5:$H$64,MATCH($F960,사건마스터!$A$5:$A$64,0)),""))</f>
        <v/>
      </c>
      <c r="J960" s="35">
        <f>IF($F960="","",IFERROR(INDEX(사건마스터!$AH$5:$AH$64,MATCH($F960,사건마스터!$A$5:$A$64,0)),""))</f>
        <v/>
      </c>
      <c r="K960" s="35">
        <f>IF($F960="","",IFERROR(INDEX(사건마스터!$AI$5:$AI$64,MATCH($F960,사건마스터!$A$5:$A$64,0)),""))</f>
        <v/>
      </c>
      <c r="L960" s="35">
        <f>IF($F960="","",IFERROR(INDEX(사건마스터!$AJ$5:$AJ$64,MATCH($F960,사건마스터!$A$5:$A$64,0)),""))</f>
        <v/>
      </c>
      <c r="M960" s="35">
        <f>IF($F960="","",IFERROR(INDEX(사건마스터!$AK$5:$AK$64,MATCH($F960,사건마스터!$A$5:$A$64,0)),""))</f>
        <v/>
      </c>
      <c r="N960" s="35">
        <f>IF($F960="","",IFERROR(INDEX(사건마스터!$AL$5:$AL$64,MATCH($F960,사건마스터!$A$5:$A$64,0)),""))</f>
        <v/>
      </c>
      <c r="O960" s="35">
        <f>IF($F960="","",IFERROR(INDEX(사건마스터!$AM$5:$AM$64,MATCH($F960,사건마스터!$A$5:$A$64,0)),""))</f>
        <v/>
      </c>
      <c r="P960" s="35">
        <f>IF($F960="","",IFERROR(INDEX(사건마스터!$AN$5:$AN$64,MATCH($F960,사건마스터!$A$5:$A$64,0)),""))</f>
        <v/>
      </c>
      <c r="Q960" s="35">
        <f>IF($F960="","",IFERROR(INDEX(사건마스터!$AO$5:$AO$64,MATCH($F960,사건마스터!$A$5:$A$64,0)),""))</f>
        <v/>
      </c>
      <c r="R960" s="35">
        <f>IF($F960="","",IFERROR(INDEX(사건마스터!$AP$5:$AP$64,MATCH($F960,사건마스터!$A$5:$A$64,0)),""))</f>
        <v/>
      </c>
      <c r="S960" s="35">
        <f>IF($F960="","",IFERROR(INDEX(사건마스터!$AQ$5:$AQ$64,MATCH($F960,사건마스터!$A$5:$A$64,0)),""))</f>
        <v/>
      </c>
      <c r="T960" s="35">
        <f>IF($F960="","",IFERROR(INDEX(사건마스터!$AR$5:$AR$64,MATCH($F960,사건마스터!$A$5:$A$64,0)),""))</f>
        <v/>
      </c>
      <c r="U960" s="35">
        <f>IF($F960="","",IFERROR(INDEX(사건마스터!$AS$5:$AS$64,MATCH($F960,사건마스터!$A$5:$A$64,0)),""))</f>
        <v/>
      </c>
      <c r="V960" s="35">
        <f>IF($F960="","",IFERROR(INDEX(사건마스터!$AT$5:$AT$64,MATCH($F960,사건마스터!$A$5:$A$64,0)),""))</f>
        <v/>
      </c>
      <c r="W960" s="35">
        <f>IF($F960="","",IFERROR(INDEX(사건마스터!$AU$5:$AU$64,MATCH($F960,사건마스터!$A$5:$A$64,0)),""))</f>
        <v/>
      </c>
      <c r="X960" s="35">
        <f>IF($F960="","",IFERROR(INDEX(사건마스터!$AV$5:$AV$64,MATCH($F960,사건마스터!$A$5:$A$64,0)),""))</f>
        <v/>
      </c>
      <c r="Y960" s="30">
        <f>IF($I960="","",COUNTIF($I960:$X960,"?*"))</f>
        <v/>
      </c>
      <c r="Z960" s="33">
        <f>IF($I960="","",_xlfn.TEXTJOIN(", ",TRUE,$I960:$X960))</f>
        <v/>
      </c>
      <c r="AA960" s="34">
        <f>IF($I960="","",IFERROR(INDEX(코드설정!$D$5:$D$24,MATCH($I960,코드설정!$C$5:$C$24,0)),""))</f>
        <v/>
      </c>
      <c r="AB960" s="36" t="n"/>
      <c r="AC960" s="37" t="n"/>
      <c r="AD960" s="38" t="n"/>
      <c r="AE960" s="30">
        <f>IF(OR($B960="",$C960=""),"",$C960-$B960+1)</f>
        <v/>
      </c>
      <c r="AF960" s="32" t="n"/>
      <c r="AG960" s="36" t="n"/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3">
        <f>IF($F961="","",IFERROR(INDEX(사건마스터!$B$5:$B$64,MATCH($F961,사건마스터!$A$5:$A$64,0)),""))</f>
        <v/>
      </c>
      <c r="H961" s="34">
        <f>IF($F961="","",IFERROR(INDEX(사건마스터!$C$5:$C$64,MATCH($F961,사건마스터!$A$5:$A$64,0)),""))</f>
        <v/>
      </c>
      <c r="I961" s="35">
        <f>IF($F961="","",IFERROR(INDEX(사건마스터!$H$5:$H$64,MATCH($F961,사건마스터!$A$5:$A$64,0)),""))</f>
        <v/>
      </c>
      <c r="J961" s="35">
        <f>IF($F961="","",IFERROR(INDEX(사건마스터!$AH$5:$AH$64,MATCH($F961,사건마스터!$A$5:$A$64,0)),""))</f>
        <v/>
      </c>
      <c r="K961" s="35">
        <f>IF($F961="","",IFERROR(INDEX(사건마스터!$AI$5:$AI$64,MATCH($F961,사건마스터!$A$5:$A$64,0)),""))</f>
        <v/>
      </c>
      <c r="L961" s="35">
        <f>IF($F961="","",IFERROR(INDEX(사건마스터!$AJ$5:$AJ$64,MATCH($F961,사건마스터!$A$5:$A$64,0)),""))</f>
        <v/>
      </c>
      <c r="M961" s="35">
        <f>IF($F961="","",IFERROR(INDEX(사건마스터!$AK$5:$AK$64,MATCH($F961,사건마스터!$A$5:$A$64,0)),""))</f>
        <v/>
      </c>
      <c r="N961" s="35">
        <f>IF($F961="","",IFERROR(INDEX(사건마스터!$AL$5:$AL$64,MATCH($F961,사건마스터!$A$5:$A$64,0)),""))</f>
        <v/>
      </c>
      <c r="O961" s="35">
        <f>IF($F961="","",IFERROR(INDEX(사건마스터!$AM$5:$AM$64,MATCH($F961,사건마스터!$A$5:$A$64,0)),""))</f>
        <v/>
      </c>
      <c r="P961" s="35">
        <f>IF($F961="","",IFERROR(INDEX(사건마스터!$AN$5:$AN$64,MATCH($F961,사건마스터!$A$5:$A$64,0)),""))</f>
        <v/>
      </c>
      <c r="Q961" s="35">
        <f>IF($F961="","",IFERROR(INDEX(사건마스터!$AO$5:$AO$64,MATCH($F961,사건마스터!$A$5:$A$64,0)),""))</f>
        <v/>
      </c>
      <c r="R961" s="35">
        <f>IF($F961="","",IFERROR(INDEX(사건마스터!$AP$5:$AP$64,MATCH($F961,사건마스터!$A$5:$A$64,0)),""))</f>
        <v/>
      </c>
      <c r="S961" s="35">
        <f>IF($F961="","",IFERROR(INDEX(사건마스터!$AQ$5:$AQ$64,MATCH($F961,사건마스터!$A$5:$A$64,0)),""))</f>
        <v/>
      </c>
      <c r="T961" s="35">
        <f>IF($F961="","",IFERROR(INDEX(사건마스터!$AR$5:$AR$64,MATCH($F961,사건마스터!$A$5:$A$64,0)),""))</f>
        <v/>
      </c>
      <c r="U961" s="35">
        <f>IF($F961="","",IFERROR(INDEX(사건마스터!$AS$5:$AS$64,MATCH($F961,사건마스터!$A$5:$A$64,0)),""))</f>
        <v/>
      </c>
      <c r="V961" s="35">
        <f>IF($F961="","",IFERROR(INDEX(사건마스터!$AT$5:$AT$64,MATCH($F961,사건마스터!$A$5:$A$64,0)),""))</f>
        <v/>
      </c>
      <c r="W961" s="35">
        <f>IF($F961="","",IFERROR(INDEX(사건마스터!$AU$5:$AU$64,MATCH($F961,사건마스터!$A$5:$A$64,0)),""))</f>
        <v/>
      </c>
      <c r="X961" s="35">
        <f>IF($F961="","",IFERROR(INDEX(사건마스터!$AV$5:$AV$64,MATCH($F961,사건마스터!$A$5:$A$64,0)),""))</f>
        <v/>
      </c>
      <c r="Y961" s="30">
        <f>IF($I961="","",COUNTIF($I961:$X961,"?*"))</f>
        <v/>
      </c>
      <c r="Z961" s="33">
        <f>IF($I961="","",_xlfn.TEXTJOIN(", ",TRUE,$I961:$X961))</f>
        <v/>
      </c>
      <c r="AA961" s="34">
        <f>IF($I961="","",IFERROR(INDEX(코드설정!$D$5:$D$24,MATCH($I961,코드설정!$C$5:$C$24,0)),""))</f>
        <v/>
      </c>
      <c r="AB961" s="36" t="n"/>
      <c r="AC961" s="37" t="n"/>
      <c r="AD961" s="38" t="n"/>
      <c r="AE961" s="30">
        <f>IF(OR($B961="",$C961=""),"",$C961-$B961+1)</f>
        <v/>
      </c>
      <c r="AF961" s="32" t="n"/>
      <c r="AG961" s="36" t="n"/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3">
        <f>IF($F962="","",IFERROR(INDEX(사건마스터!$B$5:$B$64,MATCH($F962,사건마스터!$A$5:$A$64,0)),""))</f>
        <v/>
      </c>
      <c r="H962" s="34">
        <f>IF($F962="","",IFERROR(INDEX(사건마스터!$C$5:$C$64,MATCH($F962,사건마스터!$A$5:$A$64,0)),""))</f>
        <v/>
      </c>
      <c r="I962" s="35">
        <f>IF($F962="","",IFERROR(INDEX(사건마스터!$H$5:$H$64,MATCH($F962,사건마스터!$A$5:$A$64,0)),""))</f>
        <v/>
      </c>
      <c r="J962" s="35">
        <f>IF($F962="","",IFERROR(INDEX(사건마스터!$AH$5:$AH$64,MATCH($F962,사건마스터!$A$5:$A$64,0)),""))</f>
        <v/>
      </c>
      <c r="K962" s="35">
        <f>IF($F962="","",IFERROR(INDEX(사건마스터!$AI$5:$AI$64,MATCH($F962,사건마스터!$A$5:$A$64,0)),""))</f>
        <v/>
      </c>
      <c r="L962" s="35">
        <f>IF($F962="","",IFERROR(INDEX(사건마스터!$AJ$5:$AJ$64,MATCH($F962,사건마스터!$A$5:$A$64,0)),""))</f>
        <v/>
      </c>
      <c r="M962" s="35">
        <f>IF($F962="","",IFERROR(INDEX(사건마스터!$AK$5:$AK$64,MATCH($F962,사건마스터!$A$5:$A$64,0)),""))</f>
        <v/>
      </c>
      <c r="N962" s="35">
        <f>IF($F962="","",IFERROR(INDEX(사건마스터!$AL$5:$AL$64,MATCH($F962,사건마스터!$A$5:$A$64,0)),""))</f>
        <v/>
      </c>
      <c r="O962" s="35">
        <f>IF($F962="","",IFERROR(INDEX(사건마스터!$AM$5:$AM$64,MATCH($F962,사건마스터!$A$5:$A$64,0)),""))</f>
        <v/>
      </c>
      <c r="P962" s="35">
        <f>IF($F962="","",IFERROR(INDEX(사건마스터!$AN$5:$AN$64,MATCH($F962,사건마스터!$A$5:$A$64,0)),""))</f>
        <v/>
      </c>
      <c r="Q962" s="35">
        <f>IF($F962="","",IFERROR(INDEX(사건마스터!$AO$5:$AO$64,MATCH($F962,사건마스터!$A$5:$A$64,0)),""))</f>
        <v/>
      </c>
      <c r="R962" s="35">
        <f>IF($F962="","",IFERROR(INDEX(사건마스터!$AP$5:$AP$64,MATCH($F962,사건마스터!$A$5:$A$64,0)),""))</f>
        <v/>
      </c>
      <c r="S962" s="35">
        <f>IF($F962="","",IFERROR(INDEX(사건마스터!$AQ$5:$AQ$64,MATCH($F962,사건마스터!$A$5:$A$64,0)),""))</f>
        <v/>
      </c>
      <c r="T962" s="35">
        <f>IF($F962="","",IFERROR(INDEX(사건마스터!$AR$5:$AR$64,MATCH($F962,사건마스터!$A$5:$A$64,0)),""))</f>
        <v/>
      </c>
      <c r="U962" s="35">
        <f>IF($F962="","",IFERROR(INDEX(사건마스터!$AS$5:$AS$64,MATCH($F962,사건마스터!$A$5:$A$64,0)),""))</f>
        <v/>
      </c>
      <c r="V962" s="35">
        <f>IF($F962="","",IFERROR(INDEX(사건마스터!$AT$5:$AT$64,MATCH($F962,사건마스터!$A$5:$A$64,0)),""))</f>
        <v/>
      </c>
      <c r="W962" s="35">
        <f>IF($F962="","",IFERROR(INDEX(사건마스터!$AU$5:$AU$64,MATCH($F962,사건마스터!$A$5:$A$64,0)),""))</f>
        <v/>
      </c>
      <c r="X962" s="35">
        <f>IF($F962="","",IFERROR(INDEX(사건마스터!$AV$5:$AV$64,MATCH($F962,사건마스터!$A$5:$A$64,0)),""))</f>
        <v/>
      </c>
      <c r="Y962" s="30">
        <f>IF($I962="","",COUNTIF($I962:$X962,"?*"))</f>
        <v/>
      </c>
      <c r="Z962" s="33">
        <f>IF($I962="","",_xlfn.TEXTJOIN(", ",TRUE,$I962:$X962))</f>
        <v/>
      </c>
      <c r="AA962" s="34">
        <f>IF($I962="","",IFERROR(INDEX(코드설정!$D$5:$D$24,MATCH($I962,코드설정!$C$5:$C$24,0)),""))</f>
        <v/>
      </c>
      <c r="AB962" s="36" t="n"/>
      <c r="AC962" s="37" t="n"/>
      <c r="AD962" s="38" t="n"/>
      <c r="AE962" s="30">
        <f>IF(OR($B962="",$C962=""),"",$C962-$B962+1)</f>
        <v/>
      </c>
      <c r="AF962" s="32" t="n"/>
      <c r="AG962" s="36" t="n"/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3">
        <f>IF($F963="","",IFERROR(INDEX(사건마스터!$B$5:$B$64,MATCH($F963,사건마스터!$A$5:$A$64,0)),""))</f>
        <v/>
      </c>
      <c r="H963" s="34">
        <f>IF($F963="","",IFERROR(INDEX(사건마스터!$C$5:$C$64,MATCH($F963,사건마스터!$A$5:$A$64,0)),""))</f>
        <v/>
      </c>
      <c r="I963" s="35">
        <f>IF($F963="","",IFERROR(INDEX(사건마스터!$H$5:$H$64,MATCH($F963,사건마스터!$A$5:$A$64,0)),""))</f>
        <v/>
      </c>
      <c r="J963" s="35">
        <f>IF($F963="","",IFERROR(INDEX(사건마스터!$AH$5:$AH$64,MATCH($F963,사건마스터!$A$5:$A$64,0)),""))</f>
        <v/>
      </c>
      <c r="K963" s="35">
        <f>IF($F963="","",IFERROR(INDEX(사건마스터!$AI$5:$AI$64,MATCH($F963,사건마스터!$A$5:$A$64,0)),""))</f>
        <v/>
      </c>
      <c r="L963" s="35">
        <f>IF($F963="","",IFERROR(INDEX(사건마스터!$AJ$5:$AJ$64,MATCH($F963,사건마스터!$A$5:$A$64,0)),""))</f>
        <v/>
      </c>
      <c r="M963" s="35">
        <f>IF($F963="","",IFERROR(INDEX(사건마스터!$AK$5:$AK$64,MATCH($F963,사건마스터!$A$5:$A$64,0)),""))</f>
        <v/>
      </c>
      <c r="N963" s="35">
        <f>IF($F963="","",IFERROR(INDEX(사건마스터!$AL$5:$AL$64,MATCH($F963,사건마스터!$A$5:$A$64,0)),""))</f>
        <v/>
      </c>
      <c r="O963" s="35">
        <f>IF($F963="","",IFERROR(INDEX(사건마스터!$AM$5:$AM$64,MATCH($F963,사건마스터!$A$5:$A$64,0)),""))</f>
        <v/>
      </c>
      <c r="P963" s="35">
        <f>IF($F963="","",IFERROR(INDEX(사건마스터!$AN$5:$AN$64,MATCH($F963,사건마스터!$A$5:$A$64,0)),""))</f>
        <v/>
      </c>
      <c r="Q963" s="35">
        <f>IF($F963="","",IFERROR(INDEX(사건마스터!$AO$5:$AO$64,MATCH($F963,사건마스터!$A$5:$A$64,0)),""))</f>
        <v/>
      </c>
      <c r="R963" s="35">
        <f>IF($F963="","",IFERROR(INDEX(사건마스터!$AP$5:$AP$64,MATCH($F963,사건마스터!$A$5:$A$64,0)),""))</f>
        <v/>
      </c>
      <c r="S963" s="35">
        <f>IF($F963="","",IFERROR(INDEX(사건마스터!$AQ$5:$AQ$64,MATCH($F963,사건마스터!$A$5:$A$64,0)),""))</f>
        <v/>
      </c>
      <c r="T963" s="35">
        <f>IF($F963="","",IFERROR(INDEX(사건마스터!$AR$5:$AR$64,MATCH($F963,사건마스터!$A$5:$A$64,0)),""))</f>
        <v/>
      </c>
      <c r="U963" s="35">
        <f>IF($F963="","",IFERROR(INDEX(사건마스터!$AS$5:$AS$64,MATCH($F963,사건마스터!$A$5:$A$64,0)),""))</f>
        <v/>
      </c>
      <c r="V963" s="35">
        <f>IF($F963="","",IFERROR(INDEX(사건마스터!$AT$5:$AT$64,MATCH($F963,사건마스터!$A$5:$A$64,0)),""))</f>
        <v/>
      </c>
      <c r="W963" s="35">
        <f>IF($F963="","",IFERROR(INDEX(사건마스터!$AU$5:$AU$64,MATCH($F963,사건마스터!$A$5:$A$64,0)),""))</f>
        <v/>
      </c>
      <c r="X963" s="35">
        <f>IF($F963="","",IFERROR(INDEX(사건마스터!$AV$5:$AV$64,MATCH($F963,사건마스터!$A$5:$A$64,0)),""))</f>
        <v/>
      </c>
      <c r="Y963" s="30">
        <f>IF($I963="","",COUNTIF($I963:$X963,"?*"))</f>
        <v/>
      </c>
      <c r="Z963" s="33">
        <f>IF($I963="","",_xlfn.TEXTJOIN(", ",TRUE,$I963:$X963))</f>
        <v/>
      </c>
      <c r="AA963" s="34">
        <f>IF($I963="","",IFERROR(INDEX(코드설정!$D$5:$D$24,MATCH($I963,코드설정!$C$5:$C$24,0)),""))</f>
        <v/>
      </c>
      <c r="AB963" s="36" t="n"/>
      <c r="AC963" s="37" t="n"/>
      <c r="AD963" s="38" t="n"/>
      <c r="AE963" s="30">
        <f>IF(OR($B963="",$C963=""),"",$C963-$B963+1)</f>
        <v/>
      </c>
      <c r="AF963" s="32" t="n"/>
      <c r="AG963" s="36" t="n"/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3">
        <f>IF($F964="","",IFERROR(INDEX(사건마스터!$B$5:$B$64,MATCH($F964,사건마스터!$A$5:$A$64,0)),""))</f>
        <v/>
      </c>
      <c r="H964" s="34">
        <f>IF($F964="","",IFERROR(INDEX(사건마스터!$C$5:$C$64,MATCH($F964,사건마스터!$A$5:$A$64,0)),""))</f>
        <v/>
      </c>
      <c r="I964" s="35">
        <f>IF($F964="","",IFERROR(INDEX(사건마스터!$H$5:$H$64,MATCH($F964,사건마스터!$A$5:$A$64,0)),""))</f>
        <v/>
      </c>
      <c r="J964" s="35">
        <f>IF($F964="","",IFERROR(INDEX(사건마스터!$AH$5:$AH$64,MATCH($F964,사건마스터!$A$5:$A$64,0)),""))</f>
        <v/>
      </c>
      <c r="K964" s="35">
        <f>IF($F964="","",IFERROR(INDEX(사건마스터!$AI$5:$AI$64,MATCH($F964,사건마스터!$A$5:$A$64,0)),""))</f>
        <v/>
      </c>
      <c r="L964" s="35">
        <f>IF($F964="","",IFERROR(INDEX(사건마스터!$AJ$5:$AJ$64,MATCH($F964,사건마스터!$A$5:$A$64,0)),""))</f>
        <v/>
      </c>
      <c r="M964" s="35">
        <f>IF($F964="","",IFERROR(INDEX(사건마스터!$AK$5:$AK$64,MATCH($F964,사건마스터!$A$5:$A$64,0)),""))</f>
        <v/>
      </c>
      <c r="N964" s="35">
        <f>IF($F964="","",IFERROR(INDEX(사건마스터!$AL$5:$AL$64,MATCH($F964,사건마스터!$A$5:$A$64,0)),""))</f>
        <v/>
      </c>
      <c r="O964" s="35">
        <f>IF($F964="","",IFERROR(INDEX(사건마스터!$AM$5:$AM$64,MATCH($F964,사건마스터!$A$5:$A$64,0)),""))</f>
        <v/>
      </c>
      <c r="P964" s="35">
        <f>IF($F964="","",IFERROR(INDEX(사건마스터!$AN$5:$AN$64,MATCH($F964,사건마스터!$A$5:$A$64,0)),""))</f>
        <v/>
      </c>
      <c r="Q964" s="35">
        <f>IF($F964="","",IFERROR(INDEX(사건마스터!$AO$5:$AO$64,MATCH($F964,사건마스터!$A$5:$A$64,0)),""))</f>
        <v/>
      </c>
      <c r="R964" s="35">
        <f>IF($F964="","",IFERROR(INDEX(사건마스터!$AP$5:$AP$64,MATCH($F964,사건마스터!$A$5:$A$64,0)),""))</f>
        <v/>
      </c>
      <c r="S964" s="35">
        <f>IF($F964="","",IFERROR(INDEX(사건마스터!$AQ$5:$AQ$64,MATCH($F964,사건마스터!$A$5:$A$64,0)),""))</f>
        <v/>
      </c>
      <c r="T964" s="35">
        <f>IF($F964="","",IFERROR(INDEX(사건마스터!$AR$5:$AR$64,MATCH($F964,사건마스터!$A$5:$A$64,0)),""))</f>
        <v/>
      </c>
      <c r="U964" s="35">
        <f>IF($F964="","",IFERROR(INDEX(사건마스터!$AS$5:$AS$64,MATCH($F964,사건마스터!$A$5:$A$64,0)),""))</f>
        <v/>
      </c>
      <c r="V964" s="35">
        <f>IF($F964="","",IFERROR(INDEX(사건마스터!$AT$5:$AT$64,MATCH($F964,사건마스터!$A$5:$A$64,0)),""))</f>
        <v/>
      </c>
      <c r="W964" s="35">
        <f>IF($F964="","",IFERROR(INDEX(사건마스터!$AU$5:$AU$64,MATCH($F964,사건마스터!$A$5:$A$64,0)),""))</f>
        <v/>
      </c>
      <c r="X964" s="35">
        <f>IF($F964="","",IFERROR(INDEX(사건마스터!$AV$5:$AV$64,MATCH($F964,사건마스터!$A$5:$A$64,0)),""))</f>
        <v/>
      </c>
      <c r="Y964" s="30">
        <f>IF($I964="","",COUNTIF($I964:$X964,"?*"))</f>
        <v/>
      </c>
      <c r="Z964" s="33">
        <f>IF($I964="","",_xlfn.TEXTJOIN(", ",TRUE,$I964:$X964))</f>
        <v/>
      </c>
      <c r="AA964" s="34">
        <f>IF($I964="","",IFERROR(INDEX(코드설정!$D$5:$D$24,MATCH($I964,코드설정!$C$5:$C$24,0)),""))</f>
        <v/>
      </c>
      <c r="AB964" s="36" t="n"/>
      <c r="AC964" s="37" t="n"/>
      <c r="AD964" s="38" t="n"/>
      <c r="AE964" s="30">
        <f>IF(OR($B964="",$C964=""),"",$C964-$B964+1)</f>
        <v/>
      </c>
      <c r="AF964" s="32" t="n"/>
      <c r="AG964" s="36" t="n"/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3">
        <f>IF($F965="","",IFERROR(INDEX(사건마스터!$B$5:$B$64,MATCH($F965,사건마스터!$A$5:$A$64,0)),""))</f>
        <v/>
      </c>
      <c r="H965" s="34">
        <f>IF($F965="","",IFERROR(INDEX(사건마스터!$C$5:$C$64,MATCH($F965,사건마스터!$A$5:$A$64,0)),""))</f>
        <v/>
      </c>
      <c r="I965" s="35">
        <f>IF($F965="","",IFERROR(INDEX(사건마스터!$H$5:$H$64,MATCH($F965,사건마스터!$A$5:$A$64,0)),""))</f>
        <v/>
      </c>
      <c r="J965" s="35">
        <f>IF($F965="","",IFERROR(INDEX(사건마스터!$AH$5:$AH$64,MATCH($F965,사건마스터!$A$5:$A$64,0)),""))</f>
        <v/>
      </c>
      <c r="K965" s="35">
        <f>IF($F965="","",IFERROR(INDEX(사건마스터!$AI$5:$AI$64,MATCH($F965,사건마스터!$A$5:$A$64,0)),""))</f>
        <v/>
      </c>
      <c r="L965" s="35">
        <f>IF($F965="","",IFERROR(INDEX(사건마스터!$AJ$5:$AJ$64,MATCH($F965,사건마스터!$A$5:$A$64,0)),""))</f>
        <v/>
      </c>
      <c r="M965" s="35">
        <f>IF($F965="","",IFERROR(INDEX(사건마스터!$AK$5:$AK$64,MATCH($F965,사건마스터!$A$5:$A$64,0)),""))</f>
        <v/>
      </c>
      <c r="N965" s="35">
        <f>IF($F965="","",IFERROR(INDEX(사건마스터!$AL$5:$AL$64,MATCH($F965,사건마스터!$A$5:$A$64,0)),""))</f>
        <v/>
      </c>
      <c r="O965" s="35">
        <f>IF($F965="","",IFERROR(INDEX(사건마스터!$AM$5:$AM$64,MATCH($F965,사건마스터!$A$5:$A$64,0)),""))</f>
        <v/>
      </c>
      <c r="P965" s="35">
        <f>IF($F965="","",IFERROR(INDEX(사건마스터!$AN$5:$AN$64,MATCH($F965,사건마스터!$A$5:$A$64,0)),""))</f>
        <v/>
      </c>
      <c r="Q965" s="35">
        <f>IF($F965="","",IFERROR(INDEX(사건마스터!$AO$5:$AO$64,MATCH($F965,사건마스터!$A$5:$A$64,0)),""))</f>
        <v/>
      </c>
      <c r="R965" s="35">
        <f>IF($F965="","",IFERROR(INDEX(사건마스터!$AP$5:$AP$64,MATCH($F965,사건마스터!$A$5:$A$64,0)),""))</f>
        <v/>
      </c>
      <c r="S965" s="35">
        <f>IF($F965="","",IFERROR(INDEX(사건마스터!$AQ$5:$AQ$64,MATCH($F965,사건마스터!$A$5:$A$64,0)),""))</f>
        <v/>
      </c>
      <c r="T965" s="35">
        <f>IF($F965="","",IFERROR(INDEX(사건마스터!$AR$5:$AR$64,MATCH($F965,사건마스터!$A$5:$A$64,0)),""))</f>
        <v/>
      </c>
      <c r="U965" s="35">
        <f>IF($F965="","",IFERROR(INDEX(사건마스터!$AS$5:$AS$64,MATCH($F965,사건마스터!$A$5:$A$64,0)),""))</f>
        <v/>
      </c>
      <c r="V965" s="35">
        <f>IF($F965="","",IFERROR(INDEX(사건마스터!$AT$5:$AT$64,MATCH($F965,사건마스터!$A$5:$A$64,0)),""))</f>
        <v/>
      </c>
      <c r="W965" s="35">
        <f>IF($F965="","",IFERROR(INDEX(사건마스터!$AU$5:$AU$64,MATCH($F965,사건마스터!$A$5:$A$64,0)),""))</f>
        <v/>
      </c>
      <c r="X965" s="35">
        <f>IF($F965="","",IFERROR(INDEX(사건마스터!$AV$5:$AV$64,MATCH($F965,사건마스터!$A$5:$A$64,0)),""))</f>
        <v/>
      </c>
      <c r="Y965" s="30">
        <f>IF($I965="","",COUNTIF($I965:$X965,"?*"))</f>
        <v/>
      </c>
      <c r="Z965" s="33">
        <f>IF($I965="","",_xlfn.TEXTJOIN(", ",TRUE,$I965:$X965))</f>
        <v/>
      </c>
      <c r="AA965" s="34">
        <f>IF($I965="","",IFERROR(INDEX(코드설정!$D$5:$D$24,MATCH($I965,코드설정!$C$5:$C$24,0)),""))</f>
        <v/>
      </c>
      <c r="AB965" s="36" t="n"/>
      <c r="AC965" s="37" t="n"/>
      <c r="AD965" s="38" t="n"/>
      <c r="AE965" s="30">
        <f>IF(OR($B965="",$C965=""),"",$C965-$B965+1)</f>
        <v/>
      </c>
      <c r="AF965" s="32" t="n"/>
      <c r="AG965" s="36" t="n"/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3">
        <f>IF($F966="","",IFERROR(INDEX(사건마스터!$B$5:$B$64,MATCH($F966,사건마스터!$A$5:$A$64,0)),""))</f>
        <v/>
      </c>
      <c r="H966" s="34">
        <f>IF($F966="","",IFERROR(INDEX(사건마스터!$C$5:$C$64,MATCH($F966,사건마스터!$A$5:$A$64,0)),""))</f>
        <v/>
      </c>
      <c r="I966" s="35">
        <f>IF($F966="","",IFERROR(INDEX(사건마스터!$H$5:$H$64,MATCH($F966,사건마스터!$A$5:$A$64,0)),""))</f>
        <v/>
      </c>
      <c r="J966" s="35">
        <f>IF($F966="","",IFERROR(INDEX(사건마스터!$AH$5:$AH$64,MATCH($F966,사건마스터!$A$5:$A$64,0)),""))</f>
        <v/>
      </c>
      <c r="K966" s="35">
        <f>IF($F966="","",IFERROR(INDEX(사건마스터!$AI$5:$AI$64,MATCH($F966,사건마스터!$A$5:$A$64,0)),""))</f>
        <v/>
      </c>
      <c r="L966" s="35">
        <f>IF($F966="","",IFERROR(INDEX(사건마스터!$AJ$5:$AJ$64,MATCH($F966,사건마스터!$A$5:$A$64,0)),""))</f>
        <v/>
      </c>
      <c r="M966" s="35">
        <f>IF($F966="","",IFERROR(INDEX(사건마스터!$AK$5:$AK$64,MATCH($F966,사건마스터!$A$5:$A$64,0)),""))</f>
        <v/>
      </c>
      <c r="N966" s="35">
        <f>IF($F966="","",IFERROR(INDEX(사건마스터!$AL$5:$AL$64,MATCH($F966,사건마스터!$A$5:$A$64,0)),""))</f>
        <v/>
      </c>
      <c r="O966" s="35">
        <f>IF($F966="","",IFERROR(INDEX(사건마스터!$AM$5:$AM$64,MATCH($F966,사건마스터!$A$5:$A$64,0)),""))</f>
        <v/>
      </c>
      <c r="P966" s="35">
        <f>IF($F966="","",IFERROR(INDEX(사건마스터!$AN$5:$AN$64,MATCH($F966,사건마스터!$A$5:$A$64,0)),""))</f>
        <v/>
      </c>
      <c r="Q966" s="35">
        <f>IF($F966="","",IFERROR(INDEX(사건마스터!$AO$5:$AO$64,MATCH($F966,사건마스터!$A$5:$A$64,0)),""))</f>
        <v/>
      </c>
      <c r="R966" s="35">
        <f>IF($F966="","",IFERROR(INDEX(사건마스터!$AP$5:$AP$64,MATCH($F966,사건마스터!$A$5:$A$64,0)),""))</f>
        <v/>
      </c>
      <c r="S966" s="35">
        <f>IF($F966="","",IFERROR(INDEX(사건마스터!$AQ$5:$AQ$64,MATCH($F966,사건마스터!$A$5:$A$64,0)),""))</f>
        <v/>
      </c>
      <c r="T966" s="35">
        <f>IF($F966="","",IFERROR(INDEX(사건마스터!$AR$5:$AR$64,MATCH($F966,사건마스터!$A$5:$A$64,0)),""))</f>
        <v/>
      </c>
      <c r="U966" s="35">
        <f>IF($F966="","",IFERROR(INDEX(사건마스터!$AS$5:$AS$64,MATCH($F966,사건마스터!$A$5:$A$64,0)),""))</f>
        <v/>
      </c>
      <c r="V966" s="35">
        <f>IF($F966="","",IFERROR(INDEX(사건마스터!$AT$5:$AT$64,MATCH($F966,사건마스터!$A$5:$A$64,0)),""))</f>
        <v/>
      </c>
      <c r="W966" s="35">
        <f>IF($F966="","",IFERROR(INDEX(사건마스터!$AU$5:$AU$64,MATCH($F966,사건마스터!$A$5:$A$64,0)),""))</f>
        <v/>
      </c>
      <c r="X966" s="35">
        <f>IF($F966="","",IFERROR(INDEX(사건마스터!$AV$5:$AV$64,MATCH($F966,사건마스터!$A$5:$A$64,0)),""))</f>
        <v/>
      </c>
      <c r="Y966" s="30">
        <f>IF($I966="","",COUNTIF($I966:$X966,"?*"))</f>
        <v/>
      </c>
      <c r="Z966" s="33">
        <f>IF($I966="","",_xlfn.TEXTJOIN(", ",TRUE,$I966:$X966))</f>
        <v/>
      </c>
      <c r="AA966" s="34">
        <f>IF($I966="","",IFERROR(INDEX(코드설정!$D$5:$D$24,MATCH($I966,코드설정!$C$5:$C$24,0)),""))</f>
        <v/>
      </c>
      <c r="AB966" s="36" t="n"/>
      <c r="AC966" s="37" t="n"/>
      <c r="AD966" s="38" t="n"/>
      <c r="AE966" s="30">
        <f>IF(OR($B966="",$C966=""),"",$C966-$B966+1)</f>
        <v/>
      </c>
      <c r="AF966" s="32" t="n"/>
      <c r="AG966" s="36" t="n"/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3">
        <f>IF($F967="","",IFERROR(INDEX(사건마스터!$B$5:$B$64,MATCH($F967,사건마스터!$A$5:$A$64,0)),""))</f>
        <v/>
      </c>
      <c r="H967" s="34">
        <f>IF($F967="","",IFERROR(INDEX(사건마스터!$C$5:$C$64,MATCH($F967,사건마스터!$A$5:$A$64,0)),""))</f>
        <v/>
      </c>
      <c r="I967" s="35">
        <f>IF($F967="","",IFERROR(INDEX(사건마스터!$H$5:$H$64,MATCH($F967,사건마스터!$A$5:$A$64,0)),""))</f>
        <v/>
      </c>
      <c r="J967" s="35">
        <f>IF($F967="","",IFERROR(INDEX(사건마스터!$AH$5:$AH$64,MATCH($F967,사건마스터!$A$5:$A$64,0)),""))</f>
        <v/>
      </c>
      <c r="K967" s="35">
        <f>IF($F967="","",IFERROR(INDEX(사건마스터!$AI$5:$AI$64,MATCH($F967,사건마스터!$A$5:$A$64,0)),""))</f>
        <v/>
      </c>
      <c r="L967" s="35">
        <f>IF($F967="","",IFERROR(INDEX(사건마스터!$AJ$5:$AJ$64,MATCH($F967,사건마스터!$A$5:$A$64,0)),""))</f>
        <v/>
      </c>
      <c r="M967" s="35">
        <f>IF($F967="","",IFERROR(INDEX(사건마스터!$AK$5:$AK$64,MATCH($F967,사건마스터!$A$5:$A$64,0)),""))</f>
        <v/>
      </c>
      <c r="N967" s="35">
        <f>IF($F967="","",IFERROR(INDEX(사건마스터!$AL$5:$AL$64,MATCH($F967,사건마스터!$A$5:$A$64,0)),""))</f>
        <v/>
      </c>
      <c r="O967" s="35">
        <f>IF($F967="","",IFERROR(INDEX(사건마스터!$AM$5:$AM$64,MATCH($F967,사건마스터!$A$5:$A$64,0)),""))</f>
        <v/>
      </c>
      <c r="P967" s="35">
        <f>IF($F967="","",IFERROR(INDEX(사건마스터!$AN$5:$AN$64,MATCH($F967,사건마스터!$A$5:$A$64,0)),""))</f>
        <v/>
      </c>
      <c r="Q967" s="35">
        <f>IF($F967="","",IFERROR(INDEX(사건마스터!$AO$5:$AO$64,MATCH($F967,사건마스터!$A$5:$A$64,0)),""))</f>
        <v/>
      </c>
      <c r="R967" s="35">
        <f>IF($F967="","",IFERROR(INDEX(사건마스터!$AP$5:$AP$64,MATCH($F967,사건마스터!$A$5:$A$64,0)),""))</f>
        <v/>
      </c>
      <c r="S967" s="35">
        <f>IF($F967="","",IFERROR(INDEX(사건마스터!$AQ$5:$AQ$64,MATCH($F967,사건마스터!$A$5:$A$64,0)),""))</f>
        <v/>
      </c>
      <c r="T967" s="35">
        <f>IF($F967="","",IFERROR(INDEX(사건마스터!$AR$5:$AR$64,MATCH($F967,사건마스터!$A$5:$A$64,0)),""))</f>
        <v/>
      </c>
      <c r="U967" s="35">
        <f>IF($F967="","",IFERROR(INDEX(사건마스터!$AS$5:$AS$64,MATCH($F967,사건마스터!$A$5:$A$64,0)),""))</f>
        <v/>
      </c>
      <c r="V967" s="35">
        <f>IF($F967="","",IFERROR(INDEX(사건마스터!$AT$5:$AT$64,MATCH($F967,사건마스터!$A$5:$A$64,0)),""))</f>
        <v/>
      </c>
      <c r="W967" s="35">
        <f>IF($F967="","",IFERROR(INDEX(사건마스터!$AU$5:$AU$64,MATCH($F967,사건마스터!$A$5:$A$64,0)),""))</f>
        <v/>
      </c>
      <c r="X967" s="35">
        <f>IF($F967="","",IFERROR(INDEX(사건마스터!$AV$5:$AV$64,MATCH($F967,사건마스터!$A$5:$A$64,0)),""))</f>
        <v/>
      </c>
      <c r="Y967" s="30">
        <f>IF($I967="","",COUNTIF($I967:$X967,"?*"))</f>
        <v/>
      </c>
      <c r="Z967" s="33">
        <f>IF($I967="","",_xlfn.TEXTJOIN(", ",TRUE,$I967:$X967))</f>
        <v/>
      </c>
      <c r="AA967" s="34">
        <f>IF($I967="","",IFERROR(INDEX(코드설정!$D$5:$D$24,MATCH($I967,코드설정!$C$5:$C$24,0)),""))</f>
        <v/>
      </c>
      <c r="AB967" s="36" t="n"/>
      <c r="AC967" s="37" t="n"/>
      <c r="AD967" s="38" t="n"/>
      <c r="AE967" s="30">
        <f>IF(OR($B967="",$C967=""),"",$C967-$B967+1)</f>
        <v/>
      </c>
      <c r="AF967" s="32" t="n"/>
      <c r="AG967" s="36" t="n"/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3">
        <f>IF($F968="","",IFERROR(INDEX(사건마스터!$B$5:$B$64,MATCH($F968,사건마스터!$A$5:$A$64,0)),""))</f>
        <v/>
      </c>
      <c r="H968" s="34">
        <f>IF($F968="","",IFERROR(INDEX(사건마스터!$C$5:$C$64,MATCH($F968,사건마스터!$A$5:$A$64,0)),""))</f>
        <v/>
      </c>
      <c r="I968" s="35">
        <f>IF($F968="","",IFERROR(INDEX(사건마스터!$H$5:$H$64,MATCH($F968,사건마스터!$A$5:$A$64,0)),""))</f>
        <v/>
      </c>
      <c r="J968" s="35">
        <f>IF($F968="","",IFERROR(INDEX(사건마스터!$AH$5:$AH$64,MATCH($F968,사건마스터!$A$5:$A$64,0)),""))</f>
        <v/>
      </c>
      <c r="K968" s="35">
        <f>IF($F968="","",IFERROR(INDEX(사건마스터!$AI$5:$AI$64,MATCH($F968,사건마스터!$A$5:$A$64,0)),""))</f>
        <v/>
      </c>
      <c r="L968" s="35">
        <f>IF($F968="","",IFERROR(INDEX(사건마스터!$AJ$5:$AJ$64,MATCH($F968,사건마스터!$A$5:$A$64,0)),""))</f>
        <v/>
      </c>
      <c r="M968" s="35">
        <f>IF($F968="","",IFERROR(INDEX(사건마스터!$AK$5:$AK$64,MATCH($F968,사건마스터!$A$5:$A$64,0)),""))</f>
        <v/>
      </c>
      <c r="N968" s="35">
        <f>IF($F968="","",IFERROR(INDEX(사건마스터!$AL$5:$AL$64,MATCH($F968,사건마스터!$A$5:$A$64,0)),""))</f>
        <v/>
      </c>
      <c r="O968" s="35">
        <f>IF($F968="","",IFERROR(INDEX(사건마스터!$AM$5:$AM$64,MATCH($F968,사건마스터!$A$5:$A$64,0)),""))</f>
        <v/>
      </c>
      <c r="P968" s="35">
        <f>IF($F968="","",IFERROR(INDEX(사건마스터!$AN$5:$AN$64,MATCH($F968,사건마스터!$A$5:$A$64,0)),""))</f>
        <v/>
      </c>
      <c r="Q968" s="35">
        <f>IF($F968="","",IFERROR(INDEX(사건마스터!$AO$5:$AO$64,MATCH($F968,사건마스터!$A$5:$A$64,0)),""))</f>
        <v/>
      </c>
      <c r="R968" s="35">
        <f>IF($F968="","",IFERROR(INDEX(사건마스터!$AP$5:$AP$64,MATCH($F968,사건마스터!$A$5:$A$64,0)),""))</f>
        <v/>
      </c>
      <c r="S968" s="35">
        <f>IF($F968="","",IFERROR(INDEX(사건마스터!$AQ$5:$AQ$64,MATCH($F968,사건마스터!$A$5:$A$64,0)),""))</f>
        <v/>
      </c>
      <c r="T968" s="35">
        <f>IF($F968="","",IFERROR(INDEX(사건마스터!$AR$5:$AR$64,MATCH($F968,사건마스터!$A$5:$A$64,0)),""))</f>
        <v/>
      </c>
      <c r="U968" s="35">
        <f>IF($F968="","",IFERROR(INDEX(사건마스터!$AS$5:$AS$64,MATCH($F968,사건마스터!$A$5:$A$64,0)),""))</f>
        <v/>
      </c>
      <c r="V968" s="35">
        <f>IF($F968="","",IFERROR(INDEX(사건마스터!$AT$5:$AT$64,MATCH($F968,사건마스터!$A$5:$A$64,0)),""))</f>
        <v/>
      </c>
      <c r="W968" s="35">
        <f>IF($F968="","",IFERROR(INDEX(사건마스터!$AU$5:$AU$64,MATCH($F968,사건마스터!$A$5:$A$64,0)),""))</f>
        <v/>
      </c>
      <c r="X968" s="35">
        <f>IF($F968="","",IFERROR(INDEX(사건마스터!$AV$5:$AV$64,MATCH($F968,사건마스터!$A$5:$A$64,0)),""))</f>
        <v/>
      </c>
      <c r="Y968" s="30">
        <f>IF($I968="","",COUNTIF($I968:$X968,"?*"))</f>
        <v/>
      </c>
      <c r="Z968" s="33">
        <f>IF($I968="","",_xlfn.TEXTJOIN(", ",TRUE,$I968:$X968))</f>
        <v/>
      </c>
      <c r="AA968" s="34">
        <f>IF($I968="","",IFERROR(INDEX(코드설정!$D$5:$D$24,MATCH($I968,코드설정!$C$5:$C$24,0)),""))</f>
        <v/>
      </c>
      <c r="AB968" s="36" t="n"/>
      <c r="AC968" s="37" t="n"/>
      <c r="AD968" s="38" t="n"/>
      <c r="AE968" s="30">
        <f>IF(OR($B968="",$C968=""),"",$C968-$B968+1)</f>
        <v/>
      </c>
      <c r="AF968" s="32" t="n"/>
      <c r="AG968" s="36" t="n"/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3">
        <f>IF($F969="","",IFERROR(INDEX(사건마스터!$B$5:$B$64,MATCH($F969,사건마스터!$A$5:$A$64,0)),""))</f>
        <v/>
      </c>
      <c r="H969" s="34">
        <f>IF($F969="","",IFERROR(INDEX(사건마스터!$C$5:$C$64,MATCH($F969,사건마스터!$A$5:$A$64,0)),""))</f>
        <v/>
      </c>
      <c r="I969" s="35">
        <f>IF($F969="","",IFERROR(INDEX(사건마스터!$H$5:$H$64,MATCH($F969,사건마스터!$A$5:$A$64,0)),""))</f>
        <v/>
      </c>
      <c r="J969" s="35">
        <f>IF($F969="","",IFERROR(INDEX(사건마스터!$AH$5:$AH$64,MATCH($F969,사건마스터!$A$5:$A$64,0)),""))</f>
        <v/>
      </c>
      <c r="K969" s="35">
        <f>IF($F969="","",IFERROR(INDEX(사건마스터!$AI$5:$AI$64,MATCH($F969,사건마스터!$A$5:$A$64,0)),""))</f>
        <v/>
      </c>
      <c r="L969" s="35">
        <f>IF($F969="","",IFERROR(INDEX(사건마스터!$AJ$5:$AJ$64,MATCH($F969,사건마스터!$A$5:$A$64,0)),""))</f>
        <v/>
      </c>
      <c r="M969" s="35">
        <f>IF($F969="","",IFERROR(INDEX(사건마스터!$AK$5:$AK$64,MATCH($F969,사건마스터!$A$5:$A$64,0)),""))</f>
        <v/>
      </c>
      <c r="N969" s="35">
        <f>IF($F969="","",IFERROR(INDEX(사건마스터!$AL$5:$AL$64,MATCH($F969,사건마스터!$A$5:$A$64,0)),""))</f>
        <v/>
      </c>
      <c r="O969" s="35">
        <f>IF($F969="","",IFERROR(INDEX(사건마스터!$AM$5:$AM$64,MATCH($F969,사건마스터!$A$5:$A$64,0)),""))</f>
        <v/>
      </c>
      <c r="P969" s="35">
        <f>IF($F969="","",IFERROR(INDEX(사건마스터!$AN$5:$AN$64,MATCH($F969,사건마스터!$A$5:$A$64,0)),""))</f>
        <v/>
      </c>
      <c r="Q969" s="35">
        <f>IF($F969="","",IFERROR(INDEX(사건마스터!$AO$5:$AO$64,MATCH($F969,사건마스터!$A$5:$A$64,0)),""))</f>
        <v/>
      </c>
      <c r="R969" s="35">
        <f>IF($F969="","",IFERROR(INDEX(사건마스터!$AP$5:$AP$64,MATCH($F969,사건마스터!$A$5:$A$64,0)),""))</f>
        <v/>
      </c>
      <c r="S969" s="35">
        <f>IF($F969="","",IFERROR(INDEX(사건마스터!$AQ$5:$AQ$64,MATCH($F969,사건마스터!$A$5:$A$64,0)),""))</f>
        <v/>
      </c>
      <c r="T969" s="35">
        <f>IF($F969="","",IFERROR(INDEX(사건마스터!$AR$5:$AR$64,MATCH($F969,사건마스터!$A$5:$A$64,0)),""))</f>
        <v/>
      </c>
      <c r="U969" s="35">
        <f>IF($F969="","",IFERROR(INDEX(사건마스터!$AS$5:$AS$64,MATCH($F969,사건마스터!$A$5:$A$64,0)),""))</f>
        <v/>
      </c>
      <c r="V969" s="35">
        <f>IF($F969="","",IFERROR(INDEX(사건마스터!$AT$5:$AT$64,MATCH($F969,사건마스터!$A$5:$A$64,0)),""))</f>
        <v/>
      </c>
      <c r="W969" s="35">
        <f>IF($F969="","",IFERROR(INDEX(사건마스터!$AU$5:$AU$64,MATCH($F969,사건마스터!$A$5:$A$64,0)),""))</f>
        <v/>
      </c>
      <c r="X969" s="35">
        <f>IF($F969="","",IFERROR(INDEX(사건마스터!$AV$5:$AV$64,MATCH($F969,사건마스터!$A$5:$A$64,0)),""))</f>
        <v/>
      </c>
      <c r="Y969" s="30">
        <f>IF($I969="","",COUNTIF($I969:$X969,"?*"))</f>
        <v/>
      </c>
      <c r="Z969" s="33">
        <f>IF($I969="","",_xlfn.TEXTJOIN(", ",TRUE,$I969:$X969))</f>
        <v/>
      </c>
      <c r="AA969" s="34">
        <f>IF($I969="","",IFERROR(INDEX(코드설정!$D$5:$D$24,MATCH($I969,코드설정!$C$5:$C$24,0)),""))</f>
        <v/>
      </c>
      <c r="AB969" s="36" t="n"/>
      <c r="AC969" s="37" t="n"/>
      <c r="AD969" s="38" t="n"/>
      <c r="AE969" s="30">
        <f>IF(OR($B969="",$C969=""),"",$C969-$B969+1)</f>
        <v/>
      </c>
      <c r="AF969" s="32" t="n"/>
      <c r="AG969" s="36" t="n"/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3">
        <f>IF($F970="","",IFERROR(INDEX(사건마스터!$B$5:$B$64,MATCH($F970,사건마스터!$A$5:$A$64,0)),""))</f>
        <v/>
      </c>
      <c r="H970" s="34">
        <f>IF($F970="","",IFERROR(INDEX(사건마스터!$C$5:$C$64,MATCH($F970,사건마스터!$A$5:$A$64,0)),""))</f>
        <v/>
      </c>
      <c r="I970" s="35">
        <f>IF($F970="","",IFERROR(INDEX(사건마스터!$H$5:$H$64,MATCH($F970,사건마스터!$A$5:$A$64,0)),""))</f>
        <v/>
      </c>
      <c r="J970" s="35">
        <f>IF($F970="","",IFERROR(INDEX(사건마스터!$AH$5:$AH$64,MATCH($F970,사건마스터!$A$5:$A$64,0)),""))</f>
        <v/>
      </c>
      <c r="K970" s="35">
        <f>IF($F970="","",IFERROR(INDEX(사건마스터!$AI$5:$AI$64,MATCH($F970,사건마스터!$A$5:$A$64,0)),""))</f>
        <v/>
      </c>
      <c r="L970" s="35">
        <f>IF($F970="","",IFERROR(INDEX(사건마스터!$AJ$5:$AJ$64,MATCH($F970,사건마스터!$A$5:$A$64,0)),""))</f>
        <v/>
      </c>
      <c r="M970" s="35">
        <f>IF($F970="","",IFERROR(INDEX(사건마스터!$AK$5:$AK$64,MATCH($F970,사건마스터!$A$5:$A$64,0)),""))</f>
        <v/>
      </c>
      <c r="N970" s="35">
        <f>IF($F970="","",IFERROR(INDEX(사건마스터!$AL$5:$AL$64,MATCH($F970,사건마스터!$A$5:$A$64,0)),""))</f>
        <v/>
      </c>
      <c r="O970" s="35">
        <f>IF($F970="","",IFERROR(INDEX(사건마스터!$AM$5:$AM$64,MATCH($F970,사건마스터!$A$5:$A$64,0)),""))</f>
        <v/>
      </c>
      <c r="P970" s="35">
        <f>IF($F970="","",IFERROR(INDEX(사건마스터!$AN$5:$AN$64,MATCH($F970,사건마스터!$A$5:$A$64,0)),""))</f>
        <v/>
      </c>
      <c r="Q970" s="35">
        <f>IF($F970="","",IFERROR(INDEX(사건마스터!$AO$5:$AO$64,MATCH($F970,사건마스터!$A$5:$A$64,0)),""))</f>
        <v/>
      </c>
      <c r="R970" s="35">
        <f>IF($F970="","",IFERROR(INDEX(사건마스터!$AP$5:$AP$64,MATCH($F970,사건마스터!$A$5:$A$64,0)),""))</f>
        <v/>
      </c>
      <c r="S970" s="35">
        <f>IF($F970="","",IFERROR(INDEX(사건마스터!$AQ$5:$AQ$64,MATCH($F970,사건마스터!$A$5:$A$64,0)),""))</f>
        <v/>
      </c>
      <c r="T970" s="35">
        <f>IF($F970="","",IFERROR(INDEX(사건마스터!$AR$5:$AR$64,MATCH($F970,사건마스터!$A$5:$A$64,0)),""))</f>
        <v/>
      </c>
      <c r="U970" s="35">
        <f>IF($F970="","",IFERROR(INDEX(사건마스터!$AS$5:$AS$64,MATCH($F970,사건마스터!$A$5:$A$64,0)),""))</f>
        <v/>
      </c>
      <c r="V970" s="35">
        <f>IF($F970="","",IFERROR(INDEX(사건마스터!$AT$5:$AT$64,MATCH($F970,사건마스터!$A$5:$A$64,0)),""))</f>
        <v/>
      </c>
      <c r="W970" s="35">
        <f>IF($F970="","",IFERROR(INDEX(사건마스터!$AU$5:$AU$64,MATCH($F970,사건마스터!$A$5:$A$64,0)),""))</f>
        <v/>
      </c>
      <c r="X970" s="35">
        <f>IF($F970="","",IFERROR(INDEX(사건마스터!$AV$5:$AV$64,MATCH($F970,사건마스터!$A$5:$A$64,0)),""))</f>
        <v/>
      </c>
      <c r="Y970" s="30">
        <f>IF($I970="","",COUNTIF($I970:$X970,"?*"))</f>
        <v/>
      </c>
      <c r="Z970" s="33">
        <f>IF($I970="","",_xlfn.TEXTJOIN(", ",TRUE,$I970:$X970))</f>
        <v/>
      </c>
      <c r="AA970" s="34">
        <f>IF($I970="","",IFERROR(INDEX(코드설정!$D$5:$D$24,MATCH($I970,코드설정!$C$5:$C$24,0)),""))</f>
        <v/>
      </c>
      <c r="AB970" s="36" t="n"/>
      <c r="AC970" s="37" t="n"/>
      <c r="AD970" s="38" t="n"/>
      <c r="AE970" s="30">
        <f>IF(OR($B970="",$C970=""),"",$C970-$B970+1)</f>
        <v/>
      </c>
      <c r="AF970" s="32" t="n"/>
      <c r="AG970" s="36" t="n"/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3">
        <f>IF($F971="","",IFERROR(INDEX(사건마스터!$B$5:$B$64,MATCH($F971,사건마스터!$A$5:$A$64,0)),""))</f>
        <v/>
      </c>
      <c r="H971" s="34">
        <f>IF($F971="","",IFERROR(INDEX(사건마스터!$C$5:$C$64,MATCH($F971,사건마스터!$A$5:$A$64,0)),""))</f>
        <v/>
      </c>
      <c r="I971" s="35">
        <f>IF($F971="","",IFERROR(INDEX(사건마스터!$H$5:$H$64,MATCH($F971,사건마스터!$A$5:$A$64,0)),""))</f>
        <v/>
      </c>
      <c r="J971" s="35">
        <f>IF($F971="","",IFERROR(INDEX(사건마스터!$AH$5:$AH$64,MATCH($F971,사건마스터!$A$5:$A$64,0)),""))</f>
        <v/>
      </c>
      <c r="K971" s="35">
        <f>IF($F971="","",IFERROR(INDEX(사건마스터!$AI$5:$AI$64,MATCH($F971,사건마스터!$A$5:$A$64,0)),""))</f>
        <v/>
      </c>
      <c r="L971" s="35">
        <f>IF($F971="","",IFERROR(INDEX(사건마스터!$AJ$5:$AJ$64,MATCH($F971,사건마스터!$A$5:$A$64,0)),""))</f>
        <v/>
      </c>
      <c r="M971" s="35">
        <f>IF($F971="","",IFERROR(INDEX(사건마스터!$AK$5:$AK$64,MATCH($F971,사건마스터!$A$5:$A$64,0)),""))</f>
        <v/>
      </c>
      <c r="N971" s="35">
        <f>IF($F971="","",IFERROR(INDEX(사건마스터!$AL$5:$AL$64,MATCH($F971,사건마스터!$A$5:$A$64,0)),""))</f>
        <v/>
      </c>
      <c r="O971" s="35">
        <f>IF($F971="","",IFERROR(INDEX(사건마스터!$AM$5:$AM$64,MATCH($F971,사건마스터!$A$5:$A$64,0)),""))</f>
        <v/>
      </c>
      <c r="P971" s="35">
        <f>IF($F971="","",IFERROR(INDEX(사건마스터!$AN$5:$AN$64,MATCH($F971,사건마스터!$A$5:$A$64,0)),""))</f>
        <v/>
      </c>
      <c r="Q971" s="35">
        <f>IF($F971="","",IFERROR(INDEX(사건마스터!$AO$5:$AO$64,MATCH($F971,사건마스터!$A$5:$A$64,0)),""))</f>
        <v/>
      </c>
      <c r="R971" s="35">
        <f>IF($F971="","",IFERROR(INDEX(사건마스터!$AP$5:$AP$64,MATCH($F971,사건마스터!$A$5:$A$64,0)),""))</f>
        <v/>
      </c>
      <c r="S971" s="35">
        <f>IF($F971="","",IFERROR(INDEX(사건마스터!$AQ$5:$AQ$64,MATCH($F971,사건마스터!$A$5:$A$64,0)),""))</f>
        <v/>
      </c>
      <c r="T971" s="35">
        <f>IF($F971="","",IFERROR(INDEX(사건마스터!$AR$5:$AR$64,MATCH($F971,사건마스터!$A$5:$A$64,0)),""))</f>
        <v/>
      </c>
      <c r="U971" s="35">
        <f>IF($F971="","",IFERROR(INDEX(사건마스터!$AS$5:$AS$64,MATCH($F971,사건마스터!$A$5:$A$64,0)),""))</f>
        <v/>
      </c>
      <c r="V971" s="35">
        <f>IF($F971="","",IFERROR(INDEX(사건마스터!$AT$5:$AT$64,MATCH($F971,사건마스터!$A$5:$A$64,0)),""))</f>
        <v/>
      </c>
      <c r="W971" s="35">
        <f>IF($F971="","",IFERROR(INDEX(사건마스터!$AU$5:$AU$64,MATCH($F971,사건마스터!$A$5:$A$64,0)),""))</f>
        <v/>
      </c>
      <c r="X971" s="35">
        <f>IF($F971="","",IFERROR(INDEX(사건마스터!$AV$5:$AV$64,MATCH($F971,사건마스터!$A$5:$A$64,0)),""))</f>
        <v/>
      </c>
      <c r="Y971" s="30">
        <f>IF($I971="","",COUNTIF($I971:$X971,"?*"))</f>
        <v/>
      </c>
      <c r="Z971" s="33">
        <f>IF($I971="","",_xlfn.TEXTJOIN(", ",TRUE,$I971:$X971))</f>
        <v/>
      </c>
      <c r="AA971" s="34">
        <f>IF($I971="","",IFERROR(INDEX(코드설정!$D$5:$D$24,MATCH($I971,코드설정!$C$5:$C$24,0)),""))</f>
        <v/>
      </c>
      <c r="AB971" s="36" t="n"/>
      <c r="AC971" s="37" t="n"/>
      <c r="AD971" s="38" t="n"/>
      <c r="AE971" s="30">
        <f>IF(OR($B971="",$C971=""),"",$C971-$B971+1)</f>
        <v/>
      </c>
      <c r="AF971" s="32" t="n"/>
      <c r="AG971" s="36" t="n"/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3">
        <f>IF($F972="","",IFERROR(INDEX(사건마스터!$B$5:$B$64,MATCH($F972,사건마스터!$A$5:$A$64,0)),""))</f>
        <v/>
      </c>
      <c r="H972" s="34">
        <f>IF($F972="","",IFERROR(INDEX(사건마스터!$C$5:$C$64,MATCH($F972,사건마스터!$A$5:$A$64,0)),""))</f>
        <v/>
      </c>
      <c r="I972" s="35">
        <f>IF($F972="","",IFERROR(INDEX(사건마스터!$H$5:$H$64,MATCH($F972,사건마스터!$A$5:$A$64,0)),""))</f>
        <v/>
      </c>
      <c r="J972" s="35">
        <f>IF($F972="","",IFERROR(INDEX(사건마스터!$AH$5:$AH$64,MATCH($F972,사건마스터!$A$5:$A$64,0)),""))</f>
        <v/>
      </c>
      <c r="K972" s="35">
        <f>IF($F972="","",IFERROR(INDEX(사건마스터!$AI$5:$AI$64,MATCH($F972,사건마스터!$A$5:$A$64,0)),""))</f>
        <v/>
      </c>
      <c r="L972" s="35">
        <f>IF($F972="","",IFERROR(INDEX(사건마스터!$AJ$5:$AJ$64,MATCH($F972,사건마스터!$A$5:$A$64,0)),""))</f>
        <v/>
      </c>
      <c r="M972" s="35">
        <f>IF($F972="","",IFERROR(INDEX(사건마스터!$AK$5:$AK$64,MATCH($F972,사건마스터!$A$5:$A$64,0)),""))</f>
        <v/>
      </c>
      <c r="N972" s="35">
        <f>IF($F972="","",IFERROR(INDEX(사건마스터!$AL$5:$AL$64,MATCH($F972,사건마스터!$A$5:$A$64,0)),""))</f>
        <v/>
      </c>
      <c r="O972" s="35">
        <f>IF($F972="","",IFERROR(INDEX(사건마스터!$AM$5:$AM$64,MATCH($F972,사건마스터!$A$5:$A$64,0)),""))</f>
        <v/>
      </c>
      <c r="P972" s="35">
        <f>IF($F972="","",IFERROR(INDEX(사건마스터!$AN$5:$AN$64,MATCH($F972,사건마스터!$A$5:$A$64,0)),""))</f>
        <v/>
      </c>
      <c r="Q972" s="35">
        <f>IF($F972="","",IFERROR(INDEX(사건마스터!$AO$5:$AO$64,MATCH($F972,사건마스터!$A$5:$A$64,0)),""))</f>
        <v/>
      </c>
      <c r="R972" s="35">
        <f>IF($F972="","",IFERROR(INDEX(사건마스터!$AP$5:$AP$64,MATCH($F972,사건마스터!$A$5:$A$64,0)),""))</f>
        <v/>
      </c>
      <c r="S972" s="35">
        <f>IF($F972="","",IFERROR(INDEX(사건마스터!$AQ$5:$AQ$64,MATCH($F972,사건마스터!$A$5:$A$64,0)),""))</f>
        <v/>
      </c>
      <c r="T972" s="35">
        <f>IF($F972="","",IFERROR(INDEX(사건마스터!$AR$5:$AR$64,MATCH($F972,사건마스터!$A$5:$A$64,0)),""))</f>
        <v/>
      </c>
      <c r="U972" s="35">
        <f>IF($F972="","",IFERROR(INDEX(사건마스터!$AS$5:$AS$64,MATCH($F972,사건마스터!$A$5:$A$64,0)),""))</f>
        <v/>
      </c>
      <c r="V972" s="35">
        <f>IF($F972="","",IFERROR(INDEX(사건마스터!$AT$5:$AT$64,MATCH($F972,사건마스터!$A$5:$A$64,0)),""))</f>
        <v/>
      </c>
      <c r="W972" s="35">
        <f>IF($F972="","",IFERROR(INDEX(사건마스터!$AU$5:$AU$64,MATCH($F972,사건마스터!$A$5:$A$64,0)),""))</f>
        <v/>
      </c>
      <c r="X972" s="35">
        <f>IF($F972="","",IFERROR(INDEX(사건마스터!$AV$5:$AV$64,MATCH($F972,사건마스터!$A$5:$A$64,0)),""))</f>
        <v/>
      </c>
      <c r="Y972" s="30">
        <f>IF($I972="","",COUNTIF($I972:$X972,"?*"))</f>
        <v/>
      </c>
      <c r="Z972" s="33">
        <f>IF($I972="","",_xlfn.TEXTJOIN(", ",TRUE,$I972:$X972))</f>
        <v/>
      </c>
      <c r="AA972" s="34">
        <f>IF($I972="","",IFERROR(INDEX(코드설정!$D$5:$D$24,MATCH($I972,코드설정!$C$5:$C$24,0)),""))</f>
        <v/>
      </c>
      <c r="AB972" s="36" t="n"/>
      <c r="AC972" s="37" t="n"/>
      <c r="AD972" s="38" t="n"/>
      <c r="AE972" s="30">
        <f>IF(OR($B972="",$C972=""),"",$C972-$B972+1)</f>
        <v/>
      </c>
      <c r="AF972" s="32" t="n"/>
      <c r="AG972" s="36" t="n"/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3">
        <f>IF($F973="","",IFERROR(INDEX(사건마스터!$B$5:$B$64,MATCH($F973,사건마스터!$A$5:$A$64,0)),""))</f>
        <v/>
      </c>
      <c r="H973" s="34">
        <f>IF($F973="","",IFERROR(INDEX(사건마스터!$C$5:$C$64,MATCH($F973,사건마스터!$A$5:$A$64,0)),""))</f>
        <v/>
      </c>
      <c r="I973" s="35">
        <f>IF($F973="","",IFERROR(INDEX(사건마스터!$H$5:$H$64,MATCH($F973,사건마스터!$A$5:$A$64,0)),""))</f>
        <v/>
      </c>
      <c r="J973" s="35">
        <f>IF($F973="","",IFERROR(INDEX(사건마스터!$AH$5:$AH$64,MATCH($F973,사건마스터!$A$5:$A$64,0)),""))</f>
        <v/>
      </c>
      <c r="K973" s="35">
        <f>IF($F973="","",IFERROR(INDEX(사건마스터!$AI$5:$AI$64,MATCH($F973,사건마스터!$A$5:$A$64,0)),""))</f>
        <v/>
      </c>
      <c r="L973" s="35">
        <f>IF($F973="","",IFERROR(INDEX(사건마스터!$AJ$5:$AJ$64,MATCH($F973,사건마스터!$A$5:$A$64,0)),""))</f>
        <v/>
      </c>
      <c r="M973" s="35">
        <f>IF($F973="","",IFERROR(INDEX(사건마스터!$AK$5:$AK$64,MATCH($F973,사건마스터!$A$5:$A$64,0)),""))</f>
        <v/>
      </c>
      <c r="N973" s="35">
        <f>IF($F973="","",IFERROR(INDEX(사건마스터!$AL$5:$AL$64,MATCH($F973,사건마스터!$A$5:$A$64,0)),""))</f>
        <v/>
      </c>
      <c r="O973" s="35">
        <f>IF($F973="","",IFERROR(INDEX(사건마스터!$AM$5:$AM$64,MATCH($F973,사건마스터!$A$5:$A$64,0)),""))</f>
        <v/>
      </c>
      <c r="P973" s="35">
        <f>IF($F973="","",IFERROR(INDEX(사건마스터!$AN$5:$AN$64,MATCH($F973,사건마스터!$A$5:$A$64,0)),""))</f>
        <v/>
      </c>
      <c r="Q973" s="35">
        <f>IF($F973="","",IFERROR(INDEX(사건마스터!$AO$5:$AO$64,MATCH($F973,사건마스터!$A$5:$A$64,0)),""))</f>
        <v/>
      </c>
      <c r="R973" s="35">
        <f>IF($F973="","",IFERROR(INDEX(사건마스터!$AP$5:$AP$64,MATCH($F973,사건마스터!$A$5:$A$64,0)),""))</f>
        <v/>
      </c>
      <c r="S973" s="35">
        <f>IF($F973="","",IFERROR(INDEX(사건마스터!$AQ$5:$AQ$64,MATCH($F973,사건마스터!$A$5:$A$64,0)),""))</f>
        <v/>
      </c>
      <c r="T973" s="35">
        <f>IF($F973="","",IFERROR(INDEX(사건마스터!$AR$5:$AR$64,MATCH($F973,사건마스터!$A$5:$A$64,0)),""))</f>
        <v/>
      </c>
      <c r="U973" s="35">
        <f>IF($F973="","",IFERROR(INDEX(사건마스터!$AS$5:$AS$64,MATCH($F973,사건마스터!$A$5:$A$64,0)),""))</f>
        <v/>
      </c>
      <c r="V973" s="35">
        <f>IF($F973="","",IFERROR(INDEX(사건마스터!$AT$5:$AT$64,MATCH($F973,사건마스터!$A$5:$A$64,0)),""))</f>
        <v/>
      </c>
      <c r="W973" s="35">
        <f>IF($F973="","",IFERROR(INDEX(사건마스터!$AU$5:$AU$64,MATCH($F973,사건마스터!$A$5:$A$64,0)),""))</f>
        <v/>
      </c>
      <c r="X973" s="35">
        <f>IF($F973="","",IFERROR(INDEX(사건마스터!$AV$5:$AV$64,MATCH($F973,사건마스터!$A$5:$A$64,0)),""))</f>
        <v/>
      </c>
      <c r="Y973" s="30">
        <f>IF($I973="","",COUNTIF($I973:$X973,"?*"))</f>
        <v/>
      </c>
      <c r="Z973" s="33">
        <f>IF($I973="","",_xlfn.TEXTJOIN(", ",TRUE,$I973:$X973))</f>
        <v/>
      </c>
      <c r="AA973" s="34">
        <f>IF($I973="","",IFERROR(INDEX(코드설정!$D$5:$D$24,MATCH($I973,코드설정!$C$5:$C$24,0)),""))</f>
        <v/>
      </c>
      <c r="AB973" s="36" t="n"/>
      <c r="AC973" s="37" t="n"/>
      <c r="AD973" s="38" t="n"/>
      <c r="AE973" s="30">
        <f>IF(OR($B973="",$C973=""),"",$C973-$B973+1)</f>
        <v/>
      </c>
      <c r="AF973" s="32" t="n"/>
      <c r="AG973" s="36" t="n"/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3">
        <f>IF($F974="","",IFERROR(INDEX(사건마스터!$B$5:$B$64,MATCH($F974,사건마스터!$A$5:$A$64,0)),""))</f>
        <v/>
      </c>
      <c r="H974" s="34">
        <f>IF($F974="","",IFERROR(INDEX(사건마스터!$C$5:$C$64,MATCH($F974,사건마스터!$A$5:$A$64,0)),""))</f>
        <v/>
      </c>
      <c r="I974" s="35">
        <f>IF($F974="","",IFERROR(INDEX(사건마스터!$H$5:$H$64,MATCH($F974,사건마스터!$A$5:$A$64,0)),""))</f>
        <v/>
      </c>
      <c r="J974" s="35">
        <f>IF($F974="","",IFERROR(INDEX(사건마스터!$AH$5:$AH$64,MATCH($F974,사건마스터!$A$5:$A$64,0)),""))</f>
        <v/>
      </c>
      <c r="K974" s="35">
        <f>IF($F974="","",IFERROR(INDEX(사건마스터!$AI$5:$AI$64,MATCH($F974,사건마스터!$A$5:$A$64,0)),""))</f>
        <v/>
      </c>
      <c r="L974" s="35">
        <f>IF($F974="","",IFERROR(INDEX(사건마스터!$AJ$5:$AJ$64,MATCH($F974,사건마스터!$A$5:$A$64,0)),""))</f>
        <v/>
      </c>
      <c r="M974" s="35">
        <f>IF($F974="","",IFERROR(INDEX(사건마스터!$AK$5:$AK$64,MATCH($F974,사건마스터!$A$5:$A$64,0)),""))</f>
        <v/>
      </c>
      <c r="N974" s="35">
        <f>IF($F974="","",IFERROR(INDEX(사건마스터!$AL$5:$AL$64,MATCH($F974,사건마스터!$A$5:$A$64,0)),""))</f>
        <v/>
      </c>
      <c r="O974" s="35">
        <f>IF($F974="","",IFERROR(INDEX(사건마스터!$AM$5:$AM$64,MATCH($F974,사건마스터!$A$5:$A$64,0)),""))</f>
        <v/>
      </c>
      <c r="P974" s="35">
        <f>IF($F974="","",IFERROR(INDEX(사건마스터!$AN$5:$AN$64,MATCH($F974,사건마스터!$A$5:$A$64,0)),""))</f>
        <v/>
      </c>
      <c r="Q974" s="35">
        <f>IF($F974="","",IFERROR(INDEX(사건마스터!$AO$5:$AO$64,MATCH($F974,사건마스터!$A$5:$A$64,0)),""))</f>
        <v/>
      </c>
      <c r="R974" s="35">
        <f>IF($F974="","",IFERROR(INDEX(사건마스터!$AP$5:$AP$64,MATCH($F974,사건마스터!$A$5:$A$64,0)),""))</f>
        <v/>
      </c>
      <c r="S974" s="35">
        <f>IF($F974="","",IFERROR(INDEX(사건마스터!$AQ$5:$AQ$64,MATCH($F974,사건마스터!$A$5:$A$64,0)),""))</f>
        <v/>
      </c>
      <c r="T974" s="35">
        <f>IF($F974="","",IFERROR(INDEX(사건마스터!$AR$5:$AR$64,MATCH($F974,사건마스터!$A$5:$A$64,0)),""))</f>
        <v/>
      </c>
      <c r="U974" s="35">
        <f>IF($F974="","",IFERROR(INDEX(사건마스터!$AS$5:$AS$64,MATCH($F974,사건마스터!$A$5:$A$64,0)),""))</f>
        <v/>
      </c>
      <c r="V974" s="35">
        <f>IF($F974="","",IFERROR(INDEX(사건마스터!$AT$5:$AT$64,MATCH($F974,사건마스터!$A$5:$A$64,0)),""))</f>
        <v/>
      </c>
      <c r="W974" s="35">
        <f>IF($F974="","",IFERROR(INDEX(사건마스터!$AU$5:$AU$64,MATCH($F974,사건마스터!$A$5:$A$64,0)),""))</f>
        <v/>
      </c>
      <c r="X974" s="35">
        <f>IF($F974="","",IFERROR(INDEX(사건마스터!$AV$5:$AV$64,MATCH($F974,사건마스터!$A$5:$A$64,0)),""))</f>
        <v/>
      </c>
      <c r="Y974" s="30">
        <f>IF($I974="","",COUNTIF($I974:$X974,"?*"))</f>
        <v/>
      </c>
      <c r="Z974" s="33">
        <f>IF($I974="","",_xlfn.TEXTJOIN(", ",TRUE,$I974:$X974))</f>
        <v/>
      </c>
      <c r="AA974" s="34">
        <f>IF($I974="","",IFERROR(INDEX(코드설정!$D$5:$D$24,MATCH($I974,코드설정!$C$5:$C$24,0)),""))</f>
        <v/>
      </c>
      <c r="AB974" s="36" t="n"/>
      <c r="AC974" s="37" t="n"/>
      <c r="AD974" s="38" t="n"/>
      <c r="AE974" s="30">
        <f>IF(OR($B974="",$C974=""),"",$C974-$B974+1)</f>
        <v/>
      </c>
      <c r="AF974" s="32" t="n"/>
      <c r="AG974" s="36" t="n"/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3">
        <f>IF($F975="","",IFERROR(INDEX(사건마스터!$B$5:$B$64,MATCH($F975,사건마스터!$A$5:$A$64,0)),""))</f>
        <v/>
      </c>
      <c r="H975" s="34">
        <f>IF($F975="","",IFERROR(INDEX(사건마스터!$C$5:$C$64,MATCH($F975,사건마스터!$A$5:$A$64,0)),""))</f>
        <v/>
      </c>
      <c r="I975" s="35">
        <f>IF($F975="","",IFERROR(INDEX(사건마스터!$H$5:$H$64,MATCH($F975,사건마스터!$A$5:$A$64,0)),""))</f>
        <v/>
      </c>
      <c r="J975" s="35">
        <f>IF($F975="","",IFERROR(INDEX(사건마스터!$AH$5:$AH$64,MATCH($F975,사건마스터!$A$5:$A$64,0)),""))</f>
        <v/>
      </c>
      <c r="K975" s="35">
        <f>IF($F975="","",IFERROR(INDEX(사건마스터!$AI$5:$AI$64,MATCH($F975,사건마스터!$A$5:$A$64,0)),""))</f>
        <v/>
      </c>
      <c r="L975" s="35">
        <f>IF($F975="","",IFERROR(INDEX(사건마스터!$AJ$5:$AJ$64,MATCH($F975,사건마스터!$A$5:$A$64,0)),""))</f>
        <v/>
      </c>
      <c r="M975" s="35">
        <f>IF($F975="","",IFERROR(INDEX(사건마스터!$AK$5:$AK$64,MATCH($F975,사건마스터!$A$5:$A$64,0)),""))</f>
        <v/>
      </c>
      <c r="N975" s="35">
        <f>IF($F975="","",IFERROR(INDEX(사건마스터!$AL$5:$AL$64,MATCH($F975,사건마스터!$A$5:$A$64,0)),""))</f>
        <v/>
      </c>
      <c r="O975" s="35">
        <f>IF($F975="","",IFERROR(INDEX(사건마스터!$AM$5:$AM$64,MATCH($F975,사건마스터!$A$5:$A$64,0)),""))</f>
        <v/>
      </c>
      <c r="P975" s="35">
        <f>IF($F975="","",IFERROR(INDEX(사건마스터!$AN$5:$AN$64,MATCH($F975,사건마스터!$A$5:$A$64,0)),""))</f>
        <v/>
      </c>
      <c r="Q975" s="35">
        <f>IF($F975="","",IFERROR(INDEX(사건마스터!$AO$5:$AO$64,MATCH($F975,사건마스터!$A$5:$A$64,0)),""))</f>
        <v/>
      </c>
      <c r="R975" s="35">
        <f>IF($F975="","",IFERROR(INDEX(사건마스터!$AP$5:$AP$64,MATCH($F975,사건마스터!$A$5:$A$64,0)),""))</f>
        <v/>
      </c>
      <c r="S975" s="35">
        <f>IF($F975="","",IFERROR(INDEX(사건마스터!$AQ$5:$AQ$64,MATCH($F975,사건마스터!$A$5:$A$64,0)),""))</f>
        <v/>
      </c>
      <c r="T975" s="35">
        <f>IF($F975="","",IFERROR(INDEX(사건마스터!$AR$5:$AR$64,MATCH($F975,사건마스터!$A$5:$A$64,0)),""))</f>
        <v/>
      </c>
      <c r="U975" s="35">
        <f>IF($F975="","",IFERROR(INDEX(사건마스터!$AS$5:$AS$64,MATCH($F975,사건마스터!$A$5:$A$64,0)),""))</f>
        <v/>
      </c>
      <c r="V975" s="35">
        <f>IF($F975="","",IFERROR(INDEX(사건마스터!$AT$5:$AT$64,MATCH($F975,사건마스터!$A$5:$A$64,0)),""))</f>
        <v/>
      </c>
      <c r="W975" s="35">
        <f>IF($F975="","",IFERROR(INDEX(사건마스터!$AU$5:$AU$64,MATCH($F975,사건마스터!$A$5:$A$64,0)),""))</f>
        <v/>
      </c>
      <c r="X975" s="35">
        <f>IF($F975="","",IFERROR(INDEX(사건마스터!$AV$5:$AV$64,MATCH($F975,사건마스터!$A$5:$A$64,0)),""))</f>
        <v/>
      </c>
      <c r="Y975" s="30">
        <f>IF($I975="","",COUNTIF($I975:$X975,"?*"))</f>
        <v/>
      </c>
      <c r="Z975" s="33">
        <f>IF($I975="","",_xlfn.TEXTJOIN(", ",TRUE,$I975:$X975))</f>
        <v/>
      </c>
      <c r="AA975" s="34">
        <f>IF($I975="","",IFERROR(INDEX(코드설정!$D$5:$D$24,MATCH($I975,코드설정!$C$5:$C$24,0)),""))</f>
        <v/>
      </c>
      <c r="AB975" s="36" t="n"/>
      <c r="AC975" s="37" t="n"/>
      <c r="AD975" s="38" t="n"/>
      <c r="AE975" s="30">
        <f>IF(OR($B975="",$C975=""),"",$C975-$B975+1)</f>
        <v/>
      </c>
      <c r="AF975" s="32" t="n"/>
      <c r="AG975" s="36" t="n"/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3">
        <f>IF($F976="","",IFERROR(INDEX(사건마스터!$B$5:$B$64,MATCH($F976,사건마스터!$A$5:$A$64,0)),""))</f>
        <v/>
      </c>
      <c r="H976" s="34">
        <f>IF($F976="","",IFERROR(INDEX(사건마스터!$C$5:$C$64,MATCH($F976,사건마스터!$A$5:$A$64,0)),""))</f>
        <v/>
      </c>
      <c r="I976" s="35">
        <f>IF($F976="","",IFERROR(INDEX(사건마스터!$H$5:$H$64,MATCH($F976,사건마스터!$A$5:$A$64,0)),""))</f>
        <v/>
      </c>
      <c r="J976" s="35">
        <f>IF($F976="","",IFERROR(INDEX(사건마스터!$AH$5:$AH$64,MATCH($F976,사건마스터!$A$5:$A$64,0)),""))</f>
        <v/>
      </c>
      <c r="K976" s="35">
        <f>IF($F976="","",IFERROR(INDEX(사건마스터!$AI$5:$AI$64,MATCH($F976,사건마스터!$A$5:$A$64,0)),""))</f>
        <v/>
      </c>
      <c r="L976" s="35">
        <f>IF($F976="","",IFERROR(INDEX(사건마스터!$AJ$5:$AJ$64,MATCH($F976,사건마스터!$A$5:$A$64,0)),""))</f>
        <v/>
      </c>
      <c r="M976" s="35">
        <f>IF($F976="","",IFERROR(INDEX(사건마스터!$AK$5:$AK$64,MATCH($F976,사건마스터!$A$5:$A$64,0)),""))</f>
        <v/>
      </c>
      <c r="N976" s="35">
        <f>IF($F976="","",IFERROR(INDEX(사건마스터!$AL$5:$AL$64,MATCH($F976,사건마스터!$A$5:$A$64,0)),""))</f>
        <v/>
      </c>
      <c r="O976" s="35">
        <f>IF($F976="","",IFERROR(INDEX(사건마스터!$AM$5:$AM$64,MATCH($F976,사건마스터!$A$5:$A$64,0)),""))</f>
        <v/>
      </c>
      <c r="P976" s="35">
        <f>IF($F976="","",IFERROR(INDEX(사건마스터!$AN$5:$AN$64,MATCH($F976,사건마스터!$A$5:$A$64,0)),""))</f>
        <v/>
      </c>
      <c r="Q976" s="35">
        <f>IF($F976="","",IFERROR(INDEX(사건마스터!$AO$5:$AO$64,MATCH($F976,사건마스터!$A$5:$A$64,0)),""))</f>
        <v/>
      </c>
      <c r="R976" s="35">
        <f>IF($F976="","",IFERROR(INDEX(사건마스터!$AP$5:$AP$64,MATCH($F976,사건마스터!$A$5:$A$64,0)),""))</f>
        <v/>
      </c>
      <c r="S976" s="35">
        <f>IF($F976="","",IFERROR(INDEX(사건마스터!$AQ$5:$AQ$64,MATCH($F976,사건마스터!$A$5:$A$64,0)),""))</f>
        <v/>
      </c>
      <c r="T976" s="35">
        <f>IF($F976="","",IFERROR(INDEX(사건마스터!$AR$5:$AR$64,MATCH($F976,사건마스터!$A$5:$A$64,0)),""))</f>
        <v/>
      </c>
      <c r="U976" s="35">
        <f>IF($F976="","",IFERROR(INDEX(사건마스터!$AS$5:$AS$64,MATCH($F976,사건마스터!$A$5:$A$64,0)),""))</f>
        <v/>
      </c>
      <c r="V976" s="35">
        <f>IF($F976="","",IFERROR(INDEX(사건마스터!$AT$5:$AT$64,MATCH($F976,사건마스터!$A$5:$A$64,0)),""))</f>
        <v/>
      </c>
      <c r="W976" s="35">
        <f>IF($F976="","",IFERROR(INDEX(사건마스터!$AU$5:$AU$64,MATCH($F976,사건마스터!$A$5:$A$64,0)),""))</f>
        <v/>
      </c>
      <c r="X976" s="35">
        <f>IF($F976="","",IFERROR(INDEX(사건마스터!$AV$5:$AV$64,MATCH($F976,사건마스터!$A$5:$A$64,0)),""))</f>
        <v/>
      </c>
      <c r="Y976" s="30">
        <f>IF($I976="","",COUNTIF($I976:$X976,"?*"))</f>
        <v/>
      </c>
      <c r="Z976" s="33">
        <f>IF($I976="","",_xlfn.TEXTJOIN(", ",TRUE,$I976:$X976))</f>
        <v/>
      </c>
      <c r="AA976" s="34">
        <f>IF($I976="","",IFERROR(INDEX(코드설정!$D$5:$D$24,MATCH($I976,코드설정!$C$5:$C$24,0)),""))</f>
        <v/>
      </c>
      <c r="AB976" s="36" t="n"/>
      <c r="AC976" s="37" t="n"/>
      <c r="AD976" s="38" t="n"/>
      <c r="AE976" s="30">
        <f>IF(OR($B976="",$C976=""),"",$C976-$B976+1)</f>
        <v/>
      </c>
      <c r="AF976" s="32" t="n"/>
      <c r="AG976" s="36" t="n"/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3">
        <f>IF($F977="","",IFERROR(INDEX(사건마스터!$B$5:$B$64,MATCH($F977,사건마스터!$A$5:$A$64,0)),""))</f>
        <v/>
      </c>
      <c r="H977" s="34">
        <f>IF($F977="","",IFERROR(INDEX(사건마스터!$C$5:$C$64,MATCH($F977,사건마스터!$A$5:$A$64,0)),""))</f>
        <v/>
      </c>
      <c r="I977" s="35">
        <f>IF($F977="","",IFERROR(INDEX(사건마스터!$H$5:$H$64,MATCH($F977,사건마스터!$A$5:$A$64,0)),""))</f>
        <v/>
      </c>
      <c r="J977" s="35">
        <f>IF($F977="","",IFERROR(INDEX(사건마스터!$AH$5:$AH$64,MATCH($F977,사건마스터!$A$5:$A$64,0)),""))</f>
        <v/>
      </c>
      <c r="K977" s="35">
        <f>IF($F977="","",IFERROR(INDEX(사건마스터!$AI$5:$AI$64,MATCH($F977,사건마스터!$A$5:$A$64,0)),""))</f>
        <v/>
      </c>
      <c r="L977" s="35">
        <f>IF($F977="","",IFERROR(INDEX(사건마스터!$AJ$5:$AJ$64,MATCH($F977,사건마스터!$A$5:$A$64,0)),""))</f>
        <v/>
      </c>
      <c r="M977" s="35">
        <f>IF($F977="","",IFERROR(INDEX(사건마스터!$AK$5:$AK$64,MATCH($F977,사건마스터!$A$5:$A$64,0)),""))</f>
        <v/>
      </c>
      <c r="N977" s="35">
        <f>IF($F977="","",IFERROR(INDEX(사건마스터!$AL$5:$AL$64,MATCH($F977,사건마스터!$A$5:$A$64,0)),""))</f>
        <v/>
      </c>
      <c r="O977" s="35">
        <f>IF($F977="","",IFERROR(INDEX(사건마스터!$AM$5:$AM$64,MATCH($F977,사건마스터!$A$5:$A$64,0)),""))</f>
        <v/>
      </c>
      <c r="P977" s="35">
        <f>IF($F977="","",IFERROR(INDEX(사건마스터!$AN$5:$AN$64,MATCH($F977,사건마스터!$A$5:$A$64,0)),""))</f>
        <v/>
      </c>
      <c r="Q977" s="35">
        <f>IF($F977="","",IFERROR(INDEX(사건마스터!$AO$5:$AO$64,MATCH($F977,사건마스터!$A$5:$A$64,0)),""))</f>
        <v/>
      </c>
      <c r="R977" s="35">
        <f>IF($F977="","",IFERROR(INDEX(사건마스터!$AP$5:$AP$64,MATCH($F977,사건마스터!$A$5:$A$64,0)),""))</f>
        <v/>
      </c>
      <c r="S977" s="35">
        <f>IF($F977="","",IFERROR(INDEX(사건마스터!$AQ$5:$AQ$64,MATCH($F977,사건마스터!$A$5:$A$64,0)),""))</f>
        <v/>
      </c>
      <c r="T977" s="35">
        <f>IF($F977="","",IFERROR(INDEX(사건마스터!$AR$5:$AR$64,MATCH($F977,사건마스터!$A$5:$A$64,0)),""))</f>
        <v/>
      </c>
      <c r="U977" s="35">
        <f>IF($F977="","",IFERROR(INDEX(사건마스터!$AS$5:$AS$64,MATCH($F977,사건마스터!$A$5:$A$64,0)),""))</f>
        <v/>
      </c>
      <c r="V977" s="35">
        <f>IF($F977="","",IFERROR(INDEX(사건마스터!$AT$5:$AT$64,MATCH($F977,사건마스터!$A$5:$A$64,0)),""))</f>
        <v/>
      </c>
      <c r="W977" s="35">
        <f>IF($F977="","",IFERROR(INDEX(사건마스터!$AU$5:$AU$64,MATCH($F977,사건마스터!$A$5:$A$64,0)),""))</f>
        <v/>
      </c>
      <c r="X977" s="35">
        <f>IF($F977="","",IFERROR(INDEX(사건마스터!$AV$5:$AV$64,MATCH($F977,사건마스터!$A$5:$A$64,0)),""))</f>
        <v/>
      </c>
      <c r="Y977" s="30">
        <f>IF($I977="","",COUNTIF($I977:$X977,"?*"))</f>
        <v/>
      </c>
      <c r="Z977" s="33">
        <f>IF($I977="","",_xlfn.TEXTJOIN(", ",TRUE,$I977:$X977))</f>
        <v/>
      </c>
      <c r="AA977" s="34">
        <f>IF($I977="","",IFERROR(INDEX(코드설정!$D$5:$D$24,MATCH($I977,코드설정!$C$5:$C$24,0)),""))</f>
        <v/>
      </c>
      <c r="AB977" s="36" t="n"/>
      <c r="AC977" s="37" t="n"/>
      <c r="AD977" s="38" t="n"/>
      <c r="AE977" s="30">
        <f>IF(OR($B977="",$C977=""),"",$C977-$B977+1)</f>
        <v/>
      </c>
      <c r="AF977" s="32" t="n"/>
      <c r="AG977" s="36" t="n"/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3">
        <f>IF($F978="","",IFERROR(INDEX(사건마스터!$B$5:$B$64,MATCH($F978,사건마스터!$A$5:$A$64,0)),""))</f>
        <v/>
      </c>
      <c r="H978" s="34">
        <f>IF($F978="","",IFERROR(INDEX(사건마스터!$C$5:$C$64,MATCH($F978,사건마스터!$A$5:$A$64,0)),""))</f>
        <v/>
      </c>
      <c r="I978" s="35">
        <f>IF($F978="","",IFERROR(INDEX(사건마스터!$H$5:$H$64,MATCH($F978,사건마스터!$A$5:$A$64,0)),""))</f>
        <v/>
      </c>
      <c r="J978" s="35">
        <f>IF($F978="","",IFERROR(INDEX(사건마스터!$AH$5:$AH$64,MATCH($F978,사건마스터!$A$5:$A$64,0)),""))</f>
        <v/>
      </c>
      <c r="K978" s="35">
        <f>IF($F978="","",IFERROR(INDEX(사건마스터!$AI$5:$AI$64,MATCH($F978,사건마스터!$A$5:$A$64,0)),""))</f>
        <v/>
      </c>
      <c r="L978" s="35">
        <f>IF($F978="","",IFERROR(INDEX(사건마스터!$AJ$5:$AJ$64,MATCH($F978,사건마스터!$A$5:$A$64,0)),""))</f>
        <v/>
      </c>
      <c r="M978" s="35">
        <f>IF($F978="","",IFERROR(INDEX(사건마스터!$AK$5:$AK$64,MATCH($F978,사건마스터!$A$5:$A$64,0)),""))</f>
        <v/>
      </c>
      <c r="N978" s="35">
        <f>IF($F978="","",IFERROR(INDEX(사건마스터!$AL$5:$AL$64,MATCH($F978,사건마스터!$A$5:$A$64,0)),""))</f>
        <v/>
      </c>
      <c r="O978" s="35">
        <f>IF($F978="","",IFERROR(INDEX(사건마스터!$AM$5:$AM$64,MATCH($F978,사건마스터!$A$5:$A$64,0)),""))</f>
        <v/>
      </c>
      <c r="P978" s="35">
        <f>IF($F978="","",IFERROR(INDEX(사건마스터!$AN$5:$AN$64,MATCH($F978,사건마스터!$A$5:$A$64,0)),""))</f>
        <v/>
      </c>
      <c r="Q978" s="35">
        <f>IF($F978="","",IFERROR(INDEX(사건마스터!$AO$5:$AO$64,MATCH($F978,사건마스터!$A$5:$A$64,0)),""))</f>
        <v/>
      </c>
      <c r="R978" s="35">
        <f>IF($F978="","",IFERROR(INDEX(사건마스터!$AP$5:$AP$64,MATCH($F978,사건마스터!$A$5:$A$64,0)),""))</f>
        <v/>
      </c>
      <c r="S978" s="35">
        <f>IF($F978="","",IFERROR(INDEX(사건마스터!$AQ$5:$AQ$64,MATCH($F978,사건마스터!$A$5:$A$64,0)),""))</f>
        <v/>
      </c>
      <c r="T978" s="35">
        <f>IF($F978="","",IFERROR(INDEX(사건마스터!$AR$5:$AR$64,MATCH($F978,사건마스터!$A$5:$A$64,0)),""))</f>
        <v/>
      </c>
      <c r="U978" s="35">
        <f>IF($F978="","",IFERROR(INDEX(사건마스터!$AS$5:$AS$64,MATCH($F978,사건마스터!$A$5:$A$64,0)),""))</f>
        <v/>
      </c>
      <c r="V978" s="35">
        <f>IF($F978="","",IFERROR(INDEX(사건마스터!$AT$5:$AT$64,MATCH($F978,사건마스터!$A$5:$A$64,0)),""))</f>
        <v/>
      </c>
      <c r="W978" s="35">
        <f>IF($F978="","",IFERROR(INDEX(사건마스터!$AU$5:$AU$64,MATCH($F978,사건마스터!$A$5:$A$64,0)),""))</f>
        <v/>
      </c>
      <c r="X978" s="35">
        <f>IF($F978="","",IFERROR(INDEX(사건마스터!$AV$5:$AV$64,MATCH($F978,사건마스터!$A$5:$A$64,0)),""))</f>
        <v/>
      </c>
      <c r="Y978" s="30">
        <f>IF($I978="","",COUNTIF($I978:$X978,"?*"))</f>
        <v/>
      </c>
      <c r="Z978" s="33">
        <f>IF($I978="","",_xlfn.TEXTJOIN(", ",TRUE,$I978:$X978))</f>
        <v/>
      </c>
      <c r="AA978" s="34">
        <f>IF($I978="","",IFERROR(INDEX(코드설정!$D$5:$D$24,MATCH($I978,코드설정!$C$5:$C$24,0)),""))</f>
        <v/>
      </c>
      <c r="AB978" s="36" t="n"/>
      <c r="AC978" s="37" t="n"/>
      <c r="AD978" s="38" t="n"/>
      <c r="AE978" s="30">
        <f>IF(OR($B978="",$C978=""),"",$C978-$B978+1)</f>
        <v/>
      </c>
      <c r="AF978" s="32" t="n"/>
      <c r="AG978" s="36" t="n"/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3">
        <f>IF($F979="","",IFERROR(INDEX(사건마스터!$B$5:$B$64,MATCH($F979,사건마스터!$A$5:$A$64,0)),""))</f>
        <v/>
      </c>
      <c r="H979" s="34">
        <f>IF($F979="","",IFERROR(INDEX(사건마스터!$C$5:$C$64,MATCH($F979,사건마스터!$A$5:$A$64,0)),""))</f>
        <v/>
      </c>
      <c r="I979" s="35">
        <f>IF($F979="","",IFERROR(INDEX(사건마스터!$H$5:$H$64,MATCH($F979,사건마스터!$A$5:$A$64,0)),""))</f>
        <v/>
      </c>
      <c r="J979" s="35">
        <f>IF($F979="","",IFERROR(INDEX(사건마스터!$AH$5:$AH$64,MATCH($F979,사건마스터!$A$5:$A$64,0)),""))</f>
        <v/>
      </c>
      <c r="K979" s="35">
        <f>IF($F979="","",IFERROR(INDEX(사건마스터!$AI$5:$AI$64,MATCH($F979,사건마스터!$A$5:$A$64,0)),""))</f>
        <v/>
      </c>
      <c r="L979" s="35">
        <f>IF($F979="","",IFERROR(INDEX(사건마스터!$AJ$5:$AJ$64,MATCH($F979,사건마스터!$A$5:$A$64,0)),""))</f>
        <v/>
      </c>
      <c r="M979" s="35">
        <f>IF($F979="","",IFERROR(INDEX(사건마스터!$AK$5:$AK$64,MATCH($F979,사건마스터!$A$5:$A$64,0)),""))</f>
        <v/>
      </c>
      <c r="N979" s="35">
        <f>IF($F979="","",IFERROR(INDEX(사건마스터!$AL$5:$AL$64,MATCH($F979,사건마스터!$A$5:$A$64,0)),""))</f>
        <v/>
      </c>
      <c r="O979" s="35">
        <f>IF($F979="","",IFERROR(INDEX(사건마스터!$AM$5:$AM$64,MATCH($F979,사건마스터!$A$5:$A$64,0)),""))</f>
        <v/>
      </c>
      <c r="P979" s="35">
        <f>IF($F979="","",IFERROR(INDEX(사건마스터!$AN$5:$AN$64,MATCH($F979,사건마스터!$A$5:$A$64,0)),""))</f>
        <v/>
      </c>
      <c r="Q979" s="35">
        <f>IF($F979="","",IFERROR(INDEX(사건마스터!$AO$5:$AO$64,MATCH($F979,사건마스터!$A$5:$A$64,0)),""))</f>
        <v/>
      </c>
      <c r="R979" s="35">
        <f>IF($F979="","",IFERROR(INDEX(사건마스터!$AP$5:$AP$64,MATCH($F979,사건마스터!$A$5:$A$64,0)),""))</f>
        <v/>
      </c>
      <c r="S979" s="35">
        <f>IF($F979="","",IFERROR(INDEX(사건마스터!$AQ$5:$AQ$64,MATCH($F979,사건마스터!$A$5:$A$64,0)),""))</f>
        <v/>
      </c>
      <c r="T979" s="35">
        <f>IF($F979="","",IFERROR(INDEX(사건마스터!$AR$5:$AR$64,MATCH($F979,사건마스터!$A$5:$A$64,0)),""))</f>
        <v/>
      </c>
      <c r="U979" s="35">
        <f>IF($F979="","",IFERROR(INDEX(사건마스터!$AS$5:$AS$64,MATCH($F979,사건마스터!$A$5:$A$64,0)),""))</f>
        <v/>
      </c>
      <c r="V979" s="35">
        <f>IF($F979="","",IFERROR(INDEX(사건마스터!$AT$5:$AT$64,MATCH($F979,사건마스터!$A$5:$A$64,0)),""))</f>
        <v/>
      </c>
      <c r="W979" s="35">
        <f>IF($F979="","",IFERROR(INDEX(사건마스터!$AU$5:$AU$64,MATCH($F979,사건마스터!$A$5:$A$64,0)),""))</f>
        <v/>
      </c>
      <c r="X979" s="35">
        <f>IF($F979="","",IFERROR(INDEX(사건마스터!$AV$5:$AV$64,MATCH($F979,사건마스터!$A$5:$A$64,0)),""))</f>
        <v/>
      </c>
      <c r="Y979" s="30">
        <f>IF($I979="","",COUNTIF($I979:$X979,"?*"))</f>
        <v/>
      </c>
      <c r="Z979" s="33">
        <f>IF($I979="","",_xlfn.TEXTJOIN(", ",TRUE,$I979:$X979))</f>
        <v/>
      </c>
      <c r="AA979" s="34">
        <f>IF($I979="","",IFERROR(INDEX(코드설정!$D$5:$D$24,MATCH($I979,코드설정!$C$5:$C$24,0)),""))</f>
        <v/>
      </c>
      <c r="AB979" s="36" t="n"/>
      <c r="AC979" s="37" t="n"/>
      <c r="AD979" s="38" t="n"/>
      <c r="AE979" s="30">
        <f>IF(OR($B979="",$C979=""),"",$C979-$B979+1)</f>
        <v/>
      </c>
      <c r="AF979" s="32" t="n"/>
      <c r="AG979" s="36" t="n"/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3">
        <f>IF($F980="","",IFERROR(INDEX(사건마스터!$B$5:$B$64,MATCH($F980,사건마스터!$A$5:$A$64,0)),""))</f>
        <v/>
      </c>
      <c r="H980" s="34">
        <f>IF($F980="","",IFERROR(INDEX(사건마스터!$C$5:$C$64,MATCH($F980,사건마스터!$A$5:$A$64,0)),""))</f>
        <v/>
      </c>
      <c r="I980" s="35">
        <f>IF($F980="","",IFERROR(INDEX(사건마스터!$H$5:$H$64,MATCH($F980,사건마스터!$A$5:$A$64,0)),""))</f>
        <v/>
      </c>
      <c r="J980" s="35">
        <f>IF($F980="","",IFERROR(INDEX(사건마스터!$AH$5:$AH$64,MATCH($F980,사건마스터!$A$5:$A$64,0)),""))</f>
        <v/>
      </c>
      <c r="K980" s="35">
        <f>IF($F980="","",IFERROR(INDEX(사건마스터!$AI$5:$AI$64,MATCH($F980,사건마스터!$A$5:$A$64,0)),""))</f>
        <v/>
      </c>
      <c r="L980" s="35">
        <f>IF($F980="","",IFERROR(INDEX(사건마스터!$AJ$5:$AJ$64,MATCH($F980,사건마스터!$A$5:$A$64,0)),""))</f>
        <v/>
      </c>
      <c r="M980" s="35">
        <f>IF($F980="","",IFERROR(INDEX(사건마스터!$AK$5:$AK$64,MATCH($F980,사건마스터!$A$5:$A$64,0)),""))</f>
        <v/>
      </c>
      <c r="N980" s="35">
        <f>IF($F980="","",IFERROR(INDEX(사건마스터!$AL$5:$AL$64,MATCH($F980,사건마스터!$A$5:$A$64,0)),""))</f>
        <v/>
      </c>
      <c r="O980" s="35">
        <f>IF($F980="","",IFERROR(INDEX(사건마스터!$AM$5:$AM$64,MATCH($F980,사건마스터!$A$5:$A$64,0)),""))</f>
        <v/>
      </c>
      <c r="P980" s="35">
        <f>IF($F980="","",IFERROR(INDEX(사건마스터!$AN$5:$AN$64,MATCH($F980,사건마스터!$A$5:$A$64,0)),""))</f>
        <v/>
      </c>
      <c r="Q980" s="35">
        <f>IF($F980="","",IFERROR(INDEX(사건마스터!$AO$5:$AO$64,MATCH($F980,사건마스터!$A$5:$A$64,0)),""))</f>
        <v/>
      </c>
      <c r="R980" s="35">
        <f>IF($F980="","",IFERROR(INDEX(사건마스터!$AP$5:$AP$64,MATCH($F980,사건마스터!$A$5:$A$64,0)),""))</f>
        <v/>
      </c>
      <c r="S980" s="35">
        <f>IF($F980="","",IFERROR(INDEX(사건마스터!$AQ$5:$AQ$64,MATCH($F980,사건마스터!$A$5:$A$64,0)),""))</f>
        <v/>
      </c>
      <c r="T980" s="35">
        <f>IF($F980="","",IFERROR(INDEX(사건마스터!$AR$5:$AR$64,MATCH($F980,사건마스터!$A$5:$A$64,0)),""))</f>
        <v/>
      </c>
      <c r="U980" s="35">
        <f>IF($F980="","",IFERROR(INDEX(사건마스터!$AS$5:$AS$64,MATCH($F980,사건마스터!$A$5:$A$64,0)),""))</f>
        <v/>
      </c>
      <c r="V980" s="35">
        <f>IF($F980="","",IFERROR(INDEX(사건마스터!$AT$5:$AT$64,MATCH($F980,사건마스터!$A$5:$A$64,0)),""))</f>
        <v/>
      </c>
      <c r="W980" s="35">
        <f>IF($F980="","",IFERROR(INDEX(사건마스터!$AU$5:$AU$64,MATCH($F980,사건마스터!$A$5:$A$64,0)),""))</f>
        <v/>
      </c>
      <c r="X980" s="35">
        <f>IF($F980="","",IFERROR(INDEX(사건마스터!$AV$5:$AV$64,MATCH($F980,사건마스터!$A$5:$A$64,0)),""))</f>
        <v/>
      </c>
      <c r="Y980" s="30">
        <f>IF($I980="","",COUNTIF($I980:$X980,"?*"))</f>
        <v/>
      </c>
      <c r="Z980" s="33">
        <f>IF($I980="","",_xlfn.TEXTJOIN(", ",TRUE,$I980:$X980))</f>
        <v/>
      </c>
      <c r="AA980" s="34">
        <f>IF($I980="","",IFERROR(INDEX(코드설정!$D$5:$D$24,MATCH($I980,코드설정!$C$5:$C$24,0)),""))</f>
        <v/>
      </c>
      <c r="AB980" s="36" t="n"/>
      <c r="AC980" s="37" t="n"/>
      <c r="AD980" s="38" t="n"/>
      <c r="AE980" s="30">
        <f>IF(OR($B980="",$C980=""),"",$C980-$B980+1)</f>
        <v/>
      </c>
      <c r="AF980" s="32" t="n"/>
      <c r="AG980" s="36" t="n"/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3">
        <f>IF($F981="","",IFERROR(INDEX(사건마스터!$B$5:$B$64,MATCH($F981,사건마스터!$A$5:$A$64,0)),""))</f>
        <v/>
      </c>
      <c r="H981" s="34">
        <f>IF($F981="","",IFERROR(INDEX(사건마스터!$C$5:$C$64,MATCH($F981,사건마스터!$A$5:$A$64,0)),""))</f>
        <v/>
      </c>
      <c r="I981" s="35">
        <f>IF($F981="","",IFERROR(INDEX(사건마스터!$H$5:$H$64,MATCH($F981,사건마스터!$A$5:$A$64,0)),""))</f>
        <v/>
      </c>
      <c r="J981" s="35">
        <f>IF($F981="","",IFERROR(INDEX(사건마스터!$AH$5:$AH$64,MATCH($F981,사건마스터!$A$5:$A$64,0)),""))</f>
        <v/>
      </c>
      <c r="K981" s="35">
        <f>IF($F981="","",IFERROR(INDEX(사건마스터!$AI$5:$AI$64,MATCH($F981,사건마스터!$A$5:$A$64,0)),""))</f>
        <v/>
      </c>
      <c r="L981" s="35">
        <f>IF($F981="","",IFERROR(INDEX(사건마스터!$AJ$5:$AJ$64,MATCH($F981,사건마스터!$A$5:$A$64,0)),""))</f>
        <v/>
      </c>
      <c r="M981" s="35">
        <f>IF($F981="","",IFERROR(INDEX(사건마스터!$AK$5:$AK$64,MATCH($F981,사건마스터!$A$5:$A$64,0)),""))</f>
        <v/>
      </c>
      <c r="N981" s="35">
        <f>IF($F981="","",IFERROR(INDEX(사건마스터!$AL$5:$AL$64,MATCH($F981,사건마스터!$A$5:$A$64,0)),""))</f>
        <v/>
      </c>
      <c r="O981" s="35">
        <f>IF($F981="","",IFERROR(INDEX(사건마스터!$AM$5:$AM$64,MATCH($F981,사건마스터!$A$5:$A$64,0)),""))</f>
        <v/>
      </c>
      <c r="P981" s="35">
        <f>IF($F981="","",IFERROR(INDEX(사건마스터!$AN$5:$AN$64,MATCH($F981,사건마스터!$A$5:$A$64,0)),""))</f>
        <v/>
      </c>
      <c r="Q981" s="35">
        <f>IF($F981="","",IFERROR(INDEX(사건마스터!$AO$5:$AO$64,MATCH($F981,사건마스터!$A$5:$A$64,0)),""))</f>
        <v/>
      </c>
      <c r="R981" s="35">
        <f>IF($F981="","",IFERROR(INDEX(사건마스터!$AP$5:$AP$64,MATCH($F981,사건마스터!$A$5:$A$64,0)),""))</f>
        <v/>
      </c>
      <c r="S981" s="35">
        <f>IF($F981="","",IFERROR(INDEX(사건마스터!$AQ$5:$AQ$64,MATCH($F981,사건마스터!$A$5:$A$64,0)),""))</f>
        <v/>
      </c>
      <c r="T981" s="35">
        <f>IF($F981="","",IFERROR(INDEX(사건마스터!$AR$5:$AR$64,MATCH($F981,사건마스터!$A$5:$A$64,0)),""))</f>
        <v/>
      </c>
      <c r="U981" s="35">
        <f>IF($F981="","",IFERROR(INDEX(사건마스터!$AS$5:$AS$64,MATCH($F981,사건마스터!$A$5:$A$64,0)),""))</f>
        <v/>
      </c>
      <c r="V981" s="35">
        <f>IF($F981="","",IFERROR(INDEX(사건마스터!$AT$5:$AT$64,MATCH($F981,사건마스터!$A$5:$A$64,0)),""))</f>
        <v/>
      </c>
      <c r="W981" s="35">
        <f>IF($F981="","",IFERROR(INDEX(사건마스터!$AU$5:$AU$64,MATCH($F981,사건마스터!$A$5:$A$64,0)),""))</f>
        <v/>
      </c>
      <c r="X981" s="35">
        <f>IF($F981="","",IFERROR(INDEX(사건마스터!$AV$5:$AV$64,MATCH($F981,사건마스터!$A$5:$A$64,0)),""))</f>
        <v/>
      </c>
      <c r="Y981" s="30">
        <f>IF($I981="","",COUNTIF($I981:$X981,"?*"))</f>
        <v/>
      </c>
      <c r="Z981" s="33">
        <f>IF($I981="","",_xlfn.TEXTJOIN(", ",TRUE,$I981:$X981))</f>
        <v/>
      </c>
      <c r="AA981" s="34">
        <f>IF($I981="","",IFERROR(INDEX(코드설정!$D$5:$D$24,MATCH($I981,코드설정!$C$5:$C$24,0)),""))</f>
        <v/>
      </c>
      <c r="AB981" s="36" t="n"/>
      <c r="AC981" s="37" t="n"/>
      <c r="AD981" s="38" t="n"/>
      <c r="AE981" s="30">
        <f>IF(OR($B981="",$C981=""),"",$C981-$B981+1)</f>
        <v/>
      </c>
      <c r="AF981" s="32" t="n"/>
      <c r="AG981" s="36" t="n"/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3">
        <f>IF($F982="","",IFERROR(INDEX(사건마스터!$B$5:$B$64,MATCH($F982,사건마스터!$A$5:$A$64,0)),""))</f>
        <v/>
      </c>
      <c r="H982" s="34">
        <f>IF($F982="","",IFERROR(INDEX(사건마스터!$C$5:$C$64,MATCH($F982,사건마스터!$A$5:$A$64,0)),""))</f>
        <v/>
      </c>
      <c r="I982" s="35">
        <f>IF($F982="","",IFERROR(INDEX(사건마스터!$H$5:$H$64,MATCH($F982,사건마스터!$A$5:$A$64,0)),""))</f>
        <v/>
      </c>
      <c r="J982" s="35">
        <f>IF($F982="","",IFERROR(INDEX(사건마스터!$AH$5:$AH$64,MATCH($F982,사건마스터!$A$5:$A$64,0)),""))</f>
        <v/>
      </c>
      <c r="K982" s="35">
        <f>IF($F982="","",IFERROR(INDEX(사건마스터!$AI$5:$AI$64,MATCH($F982,사건마스터!$A$5:$A$64,0)),""))</f>
        <v/>
      </c>
      <c r="L982" s="35">
        <f>IF($F982="","",IFERROR(INDEX(사건마스터!$AJ$5:$AJ$64,MATCH($F982,사건마스터!$A$5:$A$64,0)),""))</f>
        <v/>
      </c>
      <c r="M982" s="35">
        <f>IF($F982="","",IFERROR(INDEX(사건마스터!$AK$5:$AK$64,MATCH($F982,사건마스터!$A$5:$A$64,0)),""))</f>
        <v/>
      </c>
      <c r="N982" s="35">
        <f>IF($F982="","",IFERROR(INDEX(사건마스터!$AL$5:$AL$64,MATCH($F982,사건마스터!$A$5:$A$64,0)),""))</f>
        <v/>
      </c>
      <c r="O982" s="35">
        <f>IF($F982="","",IFERROR(INDEX(사건마스터!$AM$5:$AM$64,MATCH($F982,사건마스터!$A$5:$A$64,0)),""))</f>
        <v/>
      </c>
      <c r="P982" s="35">
        <f>IF($F982="","",IFERROR(INDEX(사건마스터!$AN$5:$AN$64,MATCH($F982,사건마스터!$A$5:$A$64,0)),""))</f>
        <v/>
      </c>
      <c r="Q982" s="35">
        <f>IF($F982="","",IFERROR(INDEX(사건마스터!$AO$5:$AO$64,MATCH($F982,사건마스터!$A$5:$A$64,0)),""))</f>
        <v/>
      </c>
      <c r="R982" s="35">
        <f>IF($F982="","",IFERROR(INDEX(사건마스터!$AP$5:$AP$64,MATCH($F982,사건마스터!$A$5:$A$64,0)),""))</f>
        <v/>
      </c>
      <c r="S982" s="35">
        <f>IF($F982="","",IFERROR(INDEX(사건마스터!$AQ$5:$AQ$64,MATCH($F982,사건마스터!$A$5:$A$64,0)),""))</f>
        <v/>
      </c>
      <c r="T982" s="35">
        <f>IF($F982="","",IFERROR(INDEX(사건마스터!$AR$5:$AR$64,MATCH($F982,사건마스터!$A$5:$A$64,0)),""))</f>
        <v/>
      </c>
      <c r="U982" s="35">
        <f>IF($F982="","",IFERROR(INDEX(사건마스터!$AS$5:$AS$64,MATCH($F982,사건마스터!$A$5:$A$64,0)),""))</f>
        <v/>
      </c>
      <c r="V982" s="35">
        <f>IF($F982="","",IFERROR(INDEX(사건마스터!$AT$5:$AT$64,MATCH($F982,사건마스터!$A$5:$A$64,0)),""))</f>
        <v/>
      </c>
      <c r="W982" s="35">
        <f>IF($F982="","",IFERROR(INDEX(사건마스터!$AU$5:$AU$64,MATCH($F982,사건마스터!$A$5:$A$64,0)),""))</f>
        <v/>
      </c>
      <c r="X982" s="35">
        <f>IF($F982="","",IFERROR(INDEX(사건마스터!$AV$5:$AV$64,MATCH($F982,사건마스터!$A$5:$A$64,0)),""))</f>
        <v/>
      </c>
      <c r="Y982" s="30">
        <f>IF($I982="","",COUNTIF($I982:$X982,"?*"))</f>
        <v/>
      </c>
      <c r="Z982" s="33">
        <f>IF($I982="","",_xlfn.TEXTJOIN(", ",TRUE,$I982:$X982))</f>
        <v/>
      </c>
      <c r="AA982" s="34">
        <f>IF($I982="","",IFERROR(INDEX(코드설정!$D$5:$D$24,MATCH($I982,코드설정!$C$5:$C$24,0)),""))</f>
        <v/>
      </c>
      <c r="AB982" s="36" t="n"/>
      <c r="AC982" s="37" t="n"/>
      <c r="AD982" s="38" t="n"/>
      <c r="AE982" s="30">
        <f>IF(OR($B982="",$C982=""),"",$C982-$B982+1)</f>
        <v/>
      </c>
      <c r="AF982" s="32" t="n"/>
      <c r="AG982" s="36" t="n"/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3">
        <f>IF($F983="","",IFERROR(INDEX(사건마스터!$B$5:$B$64,MATCH($F983,사건마스터!$A$5:$A$64,0)),""))</f>
        <v/>
      </c>
      <c r="H983" s="34">
        <f>IF($F983="","",IFERROR(INDEX(사건마스터!$C$5:$C$64,MATCH($F983,사건마스터!$A$5:$A$64,0)),""))</f>
        <v/>
      </c>
      <c r="I983" s="35">
        <f>IF($F983="","",IFERROR(INDEX(사건마스터!$H$5:$H$64,MATCH($F983,사건마스터!$A$5:$A$64,0)),""))</f>
        <v/>
      </c>
      <c r="J983" s="35">
        <f>IF($F983="","",IFERROR(INDEX(사건마스터!$AH$5:$AH$64,MATCH($F983,사건마스터!$A$5:$A$64,0)),""))</f>
        <v/>
      </c>
      <c r="K983" s="35">
        <f>IF($F983="","",IFERROR(INDEX(사건마스터!$AI$5:$AI$64,MATCH($F983,사건마스터!$A$5:$A$64,0)),""))</f>
        <v/>
      </c>
      <c r="L983" s="35">
        <f>IF($F983="","",IFERROR(INDEX(사건마스터!$AJ$5:$AJ$64,MATCH($F983,사건마스터!$A$5:$A$64,0)),""))</f>
        <v/>
      </c>
      <c r="M983" s="35">
        <f>IF($F983="","",IFERROR(INDEX(사건마스터!$AK$5:$AK$64,MATCH($F983,사건마스터!$A$5:$A$64,0)),""))</f>
        <v/>
      </c>
      <c r="N983" s="35">
        <f>IF($F983="","",IFERROR(INDEX(사건마스터!$AL$5:$AL$64,MATCH($F983,사건마스터!$A$5:$A$64,0)),""))</f>
        <v/>
      </c>
      <c r="O983" s="35">
        <f>IF($F983="","",IFERROR(INDEX(사건마스터!$AM$5:$AM$64,MATCH($F983,사건마스터!$A$5:$A$64,0)),""))</f>
        <v/>
      </c>
      <c r="P983" s="35">
        <f>IF($F983="","",IFERROR(INDEX(사건마스터!$AN$5:$AN$64,MATCH($F983,사건마스터!$A$5:$A$64,0)),""))</f>
        <v/>
      </c>
      <c r="Q983" s="35">
        <f>IF($F983="","",IFERROR(INDEX(사건마스터!$AO$5:$AO$64,MATCH($F983,사건마스터!$A$5:$A$64,0)),""))</f>
        <v/>
      </c>
      <c r="R983" s="35">
        <f>IF($F983="","",IFERROR(INDEX(사건마스터!$AP$5:$AP$64,MATCH($F983,사건마스터!$A$5:$A$64,0)),""))</f>
        <v/>
      </c>
      <c r="S983" s="35">
        <f>IF($F983="","",IFERROR(INDEX(사건마스터!$AQ$5:$AQ$64,MATCH($F983,사건마스터!$A$5:$A$64,0)),""))</f>
        <v/>
      </c>
      <c r="T983" s="35">
        <f>IF($F983="","",IFERROR(INDEX(사건마스터!$AR$5:$AR$64,MATCH($F983,사건마스터!$A$5:$A$64,0)),""))</f>
        <v/>
      </c>
      <c r="U983" s="35">
        <f>IF($F983="","",IFERROR(INDEX(사건마스터!$AS$5:$AS$64,MATCH($F983,사건마스터!$A$5:$A$64,0)),""))</f>
        <v/>
      </c>
      <c r="V983" s="35">
        <f>IF($F983="","",IFERROR(INDEX(사건마스터!$AT$5:$AT$64,MATCH($F983,사건마스터!$A$5:$A$64,0)),""))</f>
        <v/>
      </c>
      <c r="W983" s="35">
        <f>IF($F983="","",IFERROR(INDEX(사건마스터!$AU$5:$AU$64,MATCH($F983,사건마스터!$A$5:$A$64,0)),""))</f>
        <v/>
      </c>
      <c r="X983" s="35">
        <f>IF($F983="","",IFERROR(INDEX(사건마스터!$AV$5:$AV$64,MATCH($F983,사건마스터!$A$5:$A$64,0)),""))</f>
        <v/>
      </c>
      <c r="Y983" s="30">
        <f>IF($I983="","",COUNTIF($I983:$X983,"?*"))</f>
        <v/>
      </c>
      <c r="Z983" s="33">
        <f>IF($I983="","",_xlfn.TEXTJOIN(", ",TRUE,$I983:$X983))</f>
        <v/>
      </c>
      <c r="AA983" s="34">
        <f>IF($I983="","",IFERROR(INDEX(코드설정!$D$5:$D$24,MATCH($I983,코드설정!$C$5:$C$24,0)),""))</f>
        <v/>
      </c>
      <c r="AB983" s="36" t="n"/>
      <c r="AC983" s="37" t="n"/>
      <c r="AD983" s="38" t="n"/>
      <c r="AE983" s="30">
        <f>IF(OR($B983="",$C983=""),"",$C983-$B983+1)</f>
        <v/>
      </c>
      <c r="AF983" s="32" t="n"/>
      <c r="AG983" s="36" t="n"/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3">
        <f>IF($F984="","",IFERROR(INDEX(사건마스터!$B$5:$B$64,MATCH($F984,사건마스터!$A$5:$A$64,0)),""))</f>
        <v/>
      </c>
      <c r="H984" s="34">
        <f>IF($F984="","",IFERROR(INDEX(사건마스터!$C$5:$C$64,MATCH($F984,사건마스터!$A$5:$A$64,0)),""))</f>
        <v/>
      </c>
      <c r="I984" s="35">
        <f>IF($F984="","",IFERROR(INDEX(사건마스터!$H$5:$H$64,MATCH($F984,사건마스터!$A$5:$A$64,0)),""))</f>
        <v/>
      </c>
      <c r="J984" s="35">
        <f>IF($F984="","",IFERROR(INDEX(사건마스터!$AH$5:$AH$64,MATCH($F984,사건마스터!$A$5:$A$64,0)),""))</f>
        <v/>
      </c>
      <c r="K984" s="35">
        <f>IF($F984="","",IFERROR(INDEX(사건마스터!$AI$5:$AI$64,MATCH($F984,사건마스터!$A$5:$A$64,0)),""))</f>
        <v/>
      </c>
      <c r="L984" s="35">
        <f>IF($F984="","",IFERROR(INDEX(사건마스터!$AJ$5:$AJ$64,MATCH($F984,사건마스터!$A$5:$A$64,0)),""))</f>
        <v/>
      </c>
      <c r="M984" s="35">
        <f>IF($F984="","",IFERROR(INDEX(사건마스터!$AK$5:$AK$64,MATCH($F984,사건마스터!$A$5:$A$64,0)),""))</f>
        <v/>
      </c>
      <c r="N984" s="35">
        <f>IF($F984="","",IFERROR(INDEX(사건마스터!$AL$5:$AL$64,MATCH($F984,사건마스터!$A$5:$A$64,0)),""))</f>
        <v/>
      </c>
      <c r="O984" s="35">
        <f>IF($F984="","",IFERROR(INDEX(사건마스터!$AM$5:$AM$64,MATCH($F984,사건마스터!$A$5:$A$64,0)),""))</f>
        <v/>
      </c>
      <c r="P984" s="35">
        <f>IF($F984="","",IFERROR(INDEX(사건마스터!$AN$5:$AN$64,MATCH($F984,사건마스터!$A$5:$A$64,0)),""))</f>
        <v/>
      </c>
      <c r="Q984" s="35">
        <f>IF($F984="","",IFERROR(INDEX(사건마스터!$AO$5:$AO$64,MATCH($F984,사건마스터!$A$5:$A$64,0)),""))</f>
        <v/>
      </c>
      <c r="R984" s="35">
        <f>IF($F984="","",IFERROR(INDEX(사건마스터!$AP$5:$AP$64,MATCH($F984,사건마스터!$A$5:$A$64,0)),""))</f>
        <v/>
      </c>
      <c r="S984" s="35">
        <f>IF($F984="","",IFERROR(INDEX(사건마스터!$AQ$5:$AQ$64,MATCH($F984,사건마스터!$A$5:$A$64,0)),""))</f>
        <v/>
      </c>
      <c r="T984" s="35">
        <f>IF($F984="","",IFERROR(INDEX(사건마스터!$AR$5:$AR$64,MATCH($F984,사건마스터!$A$5:$A$64,0)),""))</f>
        <v/>
      </c>
      <c r="U984" s="35">
        <f>IF($F984="","",IFERROR(INDEX(사건마스터!$AS$5:$AS$64,MATCH($F984,사건마스터!$A$5:$A$64,0)),""))</f>
        <v/>
      </c>
      <c r="V984" s="35">
        <f>IF($F984="","",IFERROR(INDEX(사건마스터!$AT$5:$AT$64,MATCH($F984,사건마스터!$A$5:$A$64,0)),""))</f>
        <v/>
      </c>
      <c r="W984" s="35">
        <f>IF($F984="","",IFERROR(INDEX(사건마스터!$AU$5:$AU$64,MATCH($F984,사건마스터!$A$5:$A$64,0)),""))</f>
        <v/>
      </c>
      <c r="X984" s="35">
        <f>IF($F984="","",IFERROR(INDEX(사건마스터!$AV$5:$AV$64,MATCH($F984,사건마스터!$A$5:$A$64,0)),""))</f>
        <v/>
      </c>
      <c r="Y984" s="30">
        <f>IF($I984="","",COUNTIF($I984:$X984,"?*"))</f>
        <v/>
      </c>
      <c r="Z984" s="33">
        <f>IF($I984="","",_xlfn.TEXTJOIN(", ",TRUE,$I984:$X984))</f>
        <v/>
      </c>
      <c r="AA984" s="34">
        <f>IF($I984="","",IFERROR(INDEX(코드설정!$D$5:$D$24,MATCH($I984,코드설정!$C$5:$C$24,0)),""))</f>
        <v/>
      </c>
      <c r="AB984" s="36" t="n"/>
      <c r="AC984" s="37" t="n"/>
      <c r="AD984" s="38" t="n"/>
      <c r="AE984" s="30">
        <f>IF(OR($B984="",$C984=""),"",$C984-$B984+1)</f>
        <v/>
      </c>
      <c r="AF984" s="32" t="n"/>
      <c r="AG984" s="36" t="n"/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3">
        <f>IF($F985="","",IFERROR(INDEX(사건마스터!$B$5:$B$64,MATCH($F985,사건마스터!$A$5:$A$64,0)),""))</f>
        <v/>
      </c>
      <c r="H985" s="34">
        <f>IF($F985="","",IFERROR(INDEX(사건마스터!$C$5:$C$64,MATCH($F985,사건마스터!$A$5:$A$64,0)),""))</f>
        <v/>
      </c>
      <c r="I985" s="35">
        <f>IF($F985="","",IFERROR(INDEX(사건마스터!$H$5:$H$64,MATCH($F985,사건마스터!$A$5:$A$64,0)),""))</f>
        <v/>
      </c>
      <c r="J985" s="35">
        <f>IF($F985="","",IFERROR(INDEX(사건마스터!$AH$5:$AH$64,MATCH($F985,사건마스터!$A$5:$A$64,0)),""))</f>
        <v/>
      </c>
      <c r="K985" s="35">
        <f>IF($F985="","",IFERROR(INDEX(사건마스터!$AI$5:$AI$64,MATCH($F985,사건마스터!$A$5:$A$64,0)),""))</f>
        <v/>
      </c>
      <c r="L985" s="35">
        <f>IF($F985="","",IFERROR(INDEX(사건마스터!$AJ$5:$AJ$64,MATCH($F985,사건마스터!$A$5:$A$64,0)),""))</f>
        <v/>
      </c>
      <c r="M985" s="35">
        <f>IF($F985="","",IFERROR(INDEX(사건마스터!$AK$5:$AK$64,MATCH($F985,사건마스터!$A$5:$A$64,0)),""))</f>
        <v/>
      </c>
      <c r="N985" s="35">
        <f>IF($F985="","",IFERROR(INDEX(사건마스터!$AL$5:$AL$64,MATCH($F985,사건마스터!$A$5:$A$64,0)),""))</f>
        <v/>
      </c>
      <c r="O985" s="35">
        <f>IF($F985="","",IFERROR(INDEX(사건마스터!$AM$5:$AM$64,MATCH($F985,사건마스터!$A$5:$A$64,0)),""))</f>
        <v/>
      </c>
      <c r="P985" s="35">
        <f>IF($F985="","",IFERROR(INDEX(사건마스터!$AN$5:$AN$64,MATCH($F985,사건마스터!$A$5:$A$64,0)),""))</f>
        <v/>
      </c>
      <c r="Q985" s="35">
        <f>IF($F985="","",IFERROR(INDEX(사건마스터!$AO$5:$AO$64,MATCH($F985,사건마스터!$A$5:$A$64,0)),""))</f>
        <v/>
      </c>
      <c r="R985" s="35">
        <f>IF($F985="","",IFERROR(INDEX(사건마스터!$AP$5:$AP$64,MATCH($F985,사건마스터!$A$5:$A$64,0)),""))</f>
        <v/>
      </c>
      <c r="S985" s="35">
        <f>IF($F985="","",IFERROR(INDEX(사건마스터!$AQ$5:$AQ$64,MATCH($F985,사건마스터!$A$5:$A$64,0)),""))</f>
        <v/>
      </c>
      <c r="T985" s="35">
        <f>IF($F985="","",IFERROR(INDEX(사건마스터!$AR$5:$AR$64,MATCH($F985,사건마스터!$A$5:$A$64,0)),""))</f>
        <v/>
      </c>
      <c r="U985" s="35">
        <f>IF($F985="","",IFERROR(INDEX(사건마스터!$AS$5:$AS$64,MATCH($F985,사건마스터!$A$5:$A$64,0)),""))</f>
        <v/>
      </c>
      <c r="V985" s="35">
        <f>IF($F985="","",IFERROR(INDEX(사건마스터!$AT$5:$AT$64,MATCH($F985,사건마스터!$A$5:$A$64,0)),""))</f>
        <v/>
      </c>
      <c r="W985" s="35">
        <f>IF($F985="","",IFERROR(INDEX(사건마스터!$AU$5:$AU$64,MATCH($F985,사건마스터!$A$5:$A$64,0)),""))</f>
        <v/>
      </c>
      <c r="X985" s="35">
        <f>IF($F985="","",IFERROR(INDEX(사건마스터!$AV$5:$AV$64,MATCH($F985,사건마스터!$A$5:$A$64,0)),""))</f>
        <v/>
      </c>
      <c r="Y985" s="30">
        <f>IF($I985="","",COUNTIF($I985:$X985,"?*"))</f>
        <v/>
      </c>
      <c r="Z985" s="33">
        <f>IF($I985="","",_xlfn.TEXTJOIN(", ",TRUE,$I985:$X985))</f>
        <v/>
      </c>
      <c r="AA985" s="34">
        <f>IF($I985="","",IFERROR(INDEX(코드설정!$D$5:$D$24,MATCH($I985,코드설정!$C$5:$C$24,0)),""))</f>
        <v/>
      </c>
      <c r="AB985" s="36" t="n"/>
      <c r="AC985" s="37" t="n"/>
      <c r="AD985" s="38" t="n"/>
      <c r="AE985" s="30">
        <f>IF(OR($B985="",$C985=""),"",$C985-$B985+1)</f>
        <v/>
      </c>
      <c r="AF985" s="32" t="n"/>
      <c r="AG985" s="36" t="n"/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3">
        <f>IF($F986="","",IFERROR(INDEX(사건마스터!$B$5:$B$64,MATCH($F986,사건마스터!$A$5:$A$64,0)),""))</f>
        <v/>
      </c>
      <c r="H986" s="34">
        <f>IF($F986="","",IFERROR(INDEX(사건마스터!$C$5:$C$64,MATCH($F986,사건마스터!$A$5:$A$64,0)),""))</f>
        <v/>
      </c>
      <c r="I986" s="35">
        <f>IF($F986="","",IFERROR(INDEX(사건마스터!$H$5:$H$64,MATCH($F986,사건마스터!$A$5:$A$64,0)),""))</f>
        <v/>
      </c>
      <c r="J986" s="35">
        <f>IF($F986="","",IFERROR(INDEX(사건마스터!$AH$5:$AH$64,MATCH($F986,사건마스터!$A$5:$A$64,0)),""))</f>
        <v/>
      </c>
      <c r="K986" s="35">
        <f>IF($F986="","",IFERROR(INDEX(사건마스터!$AI$5:$AI$64,MATCH($F986,사건마스터!$A$5:$A$64,0)),""))</f>
        <v/>
      </c>
      <c r="L986" s="35">
        <f>IF($F986="","",IFERROR(INDEX(사건마스터!$AJ$5:$AJ$64,MATCH($F986,사건마스터!$A$5:$A$64,0)),""))</f>
        <v/>
      </c>
      <c r="M986" s="35">
        <f>IF($F986="","",IFERROR(INDEX(사건마스터!$AK$5:$AK$64,MATCH($F986,사건마스터!$A$5:$A$64,0)),""))</f>
        <v/>
      </c>
      <c r="N986" s="35">
        <f>IF($F986="","",IFERROR(INDEX(사건마스터!$AL$5:$AL$64,MATCH($F986,사건마스터!$A$5:$A$64,0)),""))</f>
        <v/>
      </c>
      <c r="O986" s="35">
        <f>IF($F986="","",IFERROR(INDEX(사건마스터!$AM$5:$AM$64,MATCH($F986,사건마스터!$A$5:$A$64,0)),""))</f>
        <v/>
      </c>
      <c r="P986" s="35">
        <f>IF($F986="","",IFERROR(INDEX(사건마스터!$AN$5:$AN$64,MATCH($F986,사건마스터!$A$5:$A$64,0)),""))</f>
        <v/>
      </c>
      <c r="Q986" s="35">
        <f>IF($F986="","",IFERROR(INDEX(사건마스터!$AO$5:$AO$64,MATCH($F986,사건마스터!$A$5:$A$64,0)),""))</f>
        <v/>
      </c>
      <c r="R986" s="35">
        <f>IF($F986="","",IFERROR(INDEX(사건마스터!$AP$5:$AP$64,MATCH($F986,사건마스터!$A$5:$A$64,0)),""))</f>
        <v/>
      </c>
      <c r="S986" s="35">
        <f>IF($F986="","",IFERROR(INDEX(사건마스터!$AQ$5:$AQ$64,MATCH($F986,사건마스터!$A$5:$A$64,0)),""))</f>
        <v/>
      </c>
      <c r="T986" s="35">
        <f>IF($F986="","",IFERROR(INDEX(사건마스터!$AR$5:$AR$64,MATCH($F986,사건마스터!$A$5:$A$64,0)),""))</f>
        <v/>
      </c>
      <c r="U986" s="35">
        <f>IF($F986="","",IFERROR(INDEX(사건마스터!$AS$5:$AS$64,MATCH($F986,사건마스터!$A$5:$A$64,0)),""))</f>
        <v/>
      </c>
      <c r="V986" s="35">
        <f>IF($F986="","",IFERROR(INDEX(사건마스터!$AT$5:$AT$64,MATCH($F986,사건마스터!$A$5:$A$64,0)),""))</f>
        <v/>
      </c>
      <c r="W986" s="35">
        <f>IF($F986="","",IFERROR(INDEX(사건마스터!$AU$5:$AU$64,MATCH($F986,사건마스터!$A$5:$A$64,0)),""))</f>
        <v/>
      </c>
      <c r="X986" s="35">
        <f>IF($F986="","",IFERROR(INDEX(사건마스터!$AV$5:$AV$64,MATCH($F986,사건마스터!$A$5:$A$64,0)),""))</f>
        <v/>
      </c>
      <c r="Y986" s="30">
        <f>IF($I986="","",COUNTIF($I986:$X986,"?*"))</f>
        <v/>
      </c>
      <c r="Z986" s="33">
        <f>IF($I986="","",_xlfn.TEXTJOIN(", ",TRUE,$I986:$X986))</f>
        <v/>
      </c>
      <c r="AA986" s="34">
        <f>IF($I986="","",IFERROR(INDEX(코드설정!$D$5:$D$24,MATCH($I986,코드설정!$C$5:$C$24,0)),""))</f>
        <v/>
      </c>
      <c r="AB986" s="36" t="n"/>
      <c r="AC986" s="37" t="n"/>
      <c r="AD986" s="38" t="n"/>
      <c r="AE986" s="30">
        <f>IF(OR($B986="",$C986=""),"",$C986-$B986+1)</f>
        <v/>
      </c>
      <c r="AF986" s="32" t="n"/>
      <c r="AG986" s="36" t="n"/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3">
        <f>IF($F987="","",IFERROR(INDEX(사건마스터!$B$5:$B$64,MATCH($F987,사건마스터!$A$5:$A$64,0)),""))</f>
        <v/>
      </c>
      <c r="H987" s="34">
        <f>IF($F987="","",IFERROR(INDEX(사건마스터!$C$5:$C$64,MATCH($F987,사건마스터!$A$5:$A$64,0)),""))</f>
        <v/>
      </c>
      <c r="I987" s="35">
        <f>IF($F987="","",IFERROR(INDEX(사건마스터!$H$5:$H$64,MATCH($F987,사건마스터!$A$5:$A$64,0)),""))</f>
        <v/>
      </c>
      <c r="J987" s="35">
        <f>IF($F987="","",IFERROR(INDEX(사건마스터!$AH$5:$AH$64,MATCH($F987,사건마스터!$A$5:$A$64,0)),""))</f>
        <v/>
      </c>
      <c r="K987" s="35">
        <f>IF($F987="","",IFERROR(INDEX(사건마스터!$AI$5:$AI$64,MATCH($F987,사건마스터!$A$5:$A$64,0)),""))</f>
        <v/>
      </c>
      <c r="L987" s="35">
        <f>IF($F987="","",IFERROR(INDEX(사건마스터!$AJ$5:$AJ$64,MATCH($F987,사건마스터!$A$5:$A$64,0)),""))</f>
        <v/>
      </c>
      <c r="M987" s="35">
        <f>IF($F987="","",IFERROR(INDEX(사건마스터!$AK$5:$AK$64,MATCH($F987,사건마스터!$A$5:$A$64,0)),""))</f>
        <v/>
      </c>
      <c r="N987" s="35">
        <f>IF($F987="","",IFERROR(INDEX(사건마스터!$AL$5:$AL$64,MATCH($F987,사건마스터!$A$5:$A$64,0)),""))</f>
        <v/>
      </c>
      <c r="O987" s="35">
        <f>IF($F987="","",IFERROR(INDEX(사건마스터!$AM$5:$AM$64,MATCH($F987,사건마스터!$A$5:$A$64,0)),""))</f>
        <v/>
      </c>
      <c r="P987" s="35">
        <f>IF($F987="","",IFERROR(INDEX(사건마스터!$AN$5:$AN$64,MATCH($F987,사건마스터!$A$5:$A$64,0)),""))</f>
        <v/>
      </c>
      <c r="Q987" s="35">
        <f>IF($F987="","",IFERROR(INDEX(사건마스터!$AO$5:$AO$64,MATCH($F987,사건마스터!$A$5:$A$64,0)),""))</f>
        <v/>
      </c>
      <c r="R987" s="35">
        <f>IF($F987="","",IFERROR(INDEX(사건마스터!$AP$5:$AP$64,MATCH($F987,사건마스터!$A$5:$A$64,0)),""))</f>
        <v/>
      </c>
      <c r="S987" s="35">
        <f>IF($F987="","",IFERROR(INDEX(사건마스터!$AQ$5:$AQ$64,MATCH($F987,사건마스터!$A$5:$A$64,0)),""))</f>
        <v/>
      </c>
      <c r="T987" s="35">
        <f>IF($F987="","",IFERROR(INDEX(사건마스터!$AR$5:$AR$64,MATCH($F987,사건마스터!$A$5:$A$64,0)),""))</f>
        <v/>
      </c>
      <c r="U987" s="35">
        <f>IF($F987="","",IFERROR(INDEX(사건마스터!$AS$5:$AS$64,MATCH($F987,사건마스터!$A$5:$A$64,0)),""))</f>
        <v/>
      </c>
      <c r="V987" s="35">
        <f>IF($F987="","",IFERROR(INDEX(사건마스터!$AT$5:$AT$64,MATCH($F987,사건마스터!$A$5:$A$64,0)),""))</f>
        <v/>
      </c>
      <c r="W987" s="35">
        <f>IF($F987="","",IFERROR(INDEX(사건마스터!$AU$5:$AU$64,MATCH($F987,사건마스터!$A$5:$A$64,0)),""))</f>
        <v/>
      </c>
      <c r="X987" s="35">
        <f>IF($F987="","",IFERROR(INDEX(사건마스터!$AV$5:$AV$64,MATCH($F987,사건마스터!$A$5:$A$64,0)),""))</f>
        <v/>
      </c>
      <c r="Y987" s="30">
        <f>IF($I987="","",COUNTIF($I987:$X987,"?*"))</f>
        <v/>
      </c>
      <c r="Z987" s="33">
        <f>IF($I987="","",_xlfn.TEXTJOIN(", ",TRUE,$I987:$X987))</f>
        <v/>
      </c>
      <c r="AA987" s="34">
        <f>IF($I987="","",IFERROR(INDEX(코드설정!$D$5:$D$24,MATCH($I987,코드설정!$C$5:$C$24,0)),""))</f>
        <v/>
      </c>
      <c r="AB987" s="36" t="n"/>
      <c r="AC987" s="37" t="n"/>
      <c r="AD987" s="38" t="n"/>
      <c r="AE987" s="30">
        <f>IF(OR($B987="",$C987=""),"",$C987-$B987+1)</f>
        <v/>
      </c>
      <c r="AF987" s="32" t="n"/>
      <c r="AG987" s="36" t="n"/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3">
        <f>IF($F988="","",IFERROR(INDEX(사건마스터!$B$5:$B$64,MATCH($F988,사건마스터!$A$5:$A$64,0)),""))</f>
        <v/>
      </c>
      <c r="H988" s="34">
        <f>IF($F988="","",IFERROR(INDEX(사건마스터!$C$5:$C$64,MATCH($F988,사건마스터!$A$5:$A$64,0)),""))</f>
        <v/>
      </c>
      <c r="I988" s="35">
        <f>IF($F988="","",IFERROR(INDEX(사건마스터!$H$5:$H$64,MATCH($F988,사건마스터!$A$5:$A$64,0)),""))</f>
        <v/>
      </c>
      <c r="J988" s="35">
        <f>IF($F988="","",IFERROR(INDEX(사건마스터!$AH$5:$AH$64,MATCH($F988,사건마스터!$A$5:$A$64,0)),""))</f>
        <v/>
      </c>
      <c r="K988" s="35">
        <f>IF($F988="","",IFERROR(INDEX(사건마스터!$AI$5:$AI$64,MATCH($F988,사건마스터!$A$5:$A$64,0)),""))</f>
        <v/>
      </c>
      <c r="L988" s="35">
        <f>IF($F988="","",IFERROR(INDEX(사건마스터!$AJ$5:$AJ$64,MATCH($F988,사건마스터!$A$5:$A$64,0)),""))</f>
        <v/>
      </c>
      <c r="M988" s="35">
        <f>IF($F988="","",IFERROR(INDEX(사건마스터!$AK$5:$AK$64,MATCH($F988,사건마스터!$A$5:$A$64,0)),""))</f>
        <v/>
      </c>
      <c r="N988" s="35">
        <f>IF($F988="","",IFERROR(INDEX(사건마스터!$AL$5:$AL$64,MATCH($F988,사건마스터!$A$5:$A$64,0)),""))</f>
        <v/>
      </c>
      <c r="O988" s="35">
        <f>IF($F988="","",IFERROR(INDEX(사건마스터!$AM$5:$AM$64,MATCH($F988,사건마스터!$A$5:$A$64,0)),""))</f>
        <v/>
      </c>
      <c r="P988" s="35">
        <f>IF($F988="","",IFERROR(INDEX(사건마스터!$AN$5:$AN$64,MATCH($F988,사건마스터!$A$5:$A$64,0)),""))</f>
        <v/>
      </c>
      <c r="Q988" s="35">
        <f>IF($F988="","",IFERROR(INDEX(사건마스터!$AO$5:$AO$64,MATCH($F988,사건마스터!$A$5:$A$64,0)),""))</f>
        <v/>
      </c>
      <c r="R988" s="35">
        <f>IF($F988="","",IFERROR(INDEX(사건마스터!$AP$5:$AP$64,MATCH($F988,사건마스터!$A$5:$A$64,0)),""))</f>
        <v/>
      </c>
      <c r="S988" s="35">
        <f>IF($F988="","",IFERROR(INDEX(사건마스터!$AQ$5:$AQ$64,MATCH($F988,사건마스터!$A$5:$A$64,0)),""))</f>
        <v/>
      </c>
      <c r="T988" s="35">
        <f>IF($F988="","",IFERROR(INDEX(사건마스터!$AR$5:$AR$64,MATCH($F988,사건마스터!$A$5:$A$64,0)),""))</f>
        <v/>
      </c>
      <c r="U988" s="35">
        <f>IF($F988="","",IFERROR(INDEX(사건마스터!$AS$5:$AS$64,MATCH($F988,사건마스터!$A$5:$A$64,0)),""))</f>
        <v/>
      </c>
      <c r="V988" s="35">
        <f>IF($F988="","",IFERROR(INDEX(사건마스터!$AT$5:$AT$64,MATCH($F988,사건마스터!$A$5:$A$64,0)),""))</f>
        <v/>
      </c>
      <c r="W988" s="35">
        <f>IF($F988="","",IFERROR(INDEX(사건마스터!$AU$5:$AU$64,MATCH($F988,사건마스터!$A$5:$A$64,0)),""))</f>
        <v/>
      </c>
      <c r="X988" s="35">
        <f>IF($F988="","",IFERROR(INDEX(사건마스터!$AV$5:$AV$64,MATCH($F988,사건마스터!$A$5:$A$64,0)),""))</f>
        <v/>
      </c>
      <c r="Y988" s="30">
        <f>IF($I988="","",COUNTIF($I988:$X988,"?*"))</f>
        <v/>
      </c>
      <c r="Z988" s="33">
        <f>IF($I988="","",_xlfn.TEXTJOIN(", ",TRUE,$I988:$X988))</f>
        <v/>
      </c>
      <c r="AA988" s="34">
        <f>IF($I988="","",IFERROR(INDEX(코드설정!$D$5:$D$24,MATCH($I988,코드설정!$C$5:$C$24,0)),""))</f>
        <v/>
      </c>
      <c r="AB988" s="36" t="n"/>
      <c r="AC988" s="37" t="n"/>
      <c r="AD988" s="38" t="n"/>
      <c r="AE988" s="30">
        <f>IF(OR($B988="",$C988=""),"",$C988-$B988+1)</f>
        <v/>
      </c>
      <c r="AF988" s="32" t="n"/>
      <c r="AG988" s="36" t="n"/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3">
        <f>IF($F989="","",IFERROR(INDEX(사건마스터!$B$5:$B$64,MATCH($F989,사건마스터!$A$5:$A$64,0)),""))</f>
        <v/>
      </c>
      <c r="H989" s="34">
        <f>IF($F989="","",IFERROR(INDEX(사건마스터!$C$5:$C$64,MATCH($F989,사건마스터!$A$5:$A$64,0)),""))</f>
        <v/>
      </c>
      <c r="I989" s="35">
        <f>IF($F989="","",IFERROR(INDEX(사건마스터!$H$5:$H$64,MATCH($F989,사건마스터!$A$5:$A$64,0)),""))</f>
        <v/>
      </c>
      <c r="J989" s="35">
        <f>IF($F989="","",IFERROR(INDEX(사건마스터!$AH$5:$AH$64,MATCH($F989,사건마스터!$A$5:$A$64,0)),""))</f>
        <v/>
      </c>
      <c r="K989" s="35">
        <f>IF($F989="","",IFERROR(INDEX(사건마스터!$AI$5:$AI$64,MATCH($F989,사건마스터!$A$5:$A$64,0)),""))</f>
        <v/>
      </c>
      <c r="L989" s="35">
        <f>IF($F989="","",IFERROR(INDEX(사건마스터!$AJ$5:$AJ$64,MATCH($F989,사건마스터!$A$5:$A$64,0)),""))</f>
        <v/>
      </c>
      <c r="M989" s="35">
        <f>IF($F989="","",IFERROR(INDEX(사건마스터!$AK$5:$AK$64,MATCH($F989,사건마스터!$A$5:$A$64,0)),""))</f>
        <v/>
      </c>
      <c r="N989" s="35">
        <f>IF($F989="","",IFERROR(INDEX(사건마스터!$AL$5:$AL$64,MATCH($F989,사건마스터!$A$5:$A$64,0)),""))</f>
        <v/>
      </c>
      <c r="O989" s="35">
        <f>IF($F989="","",IFERROR(INDEX(사건마스터!$AM$5:$AM$64,MATCH($F989,사건마스터!$A$5:$A$64,0)),""))</f>
        <v/>
      </c>
      <c r="P989" s="35">
        <f>IF($F989="","",IFERROR(INDEX(사건마스터!$AN$5:$AN$64,MATCH($F989,사건마스터!$A$5:$A$64,0)),""))</f>
        <v/>
      </c>
      <c r="Q989" s="35">
        <f>IF($F989="","",IFERROR(INDEX(사건마스터!$AO$5:$AO$64,MATCH($F989,사건마스터!$A$5:$A$64,0)),""))</f>
        <v/>
      </c>
      <c r="R989" s="35">
        <f>IF($F989="","",IFERROR(INDEX(사건마스터!$AP$5:$AP$64,MATCH($F989,사건마스터!$A$5:$A$64,0)),""))</f>
        <v/>
      </c>
      <c r="S989" s="35">
        <f>IF($F989="","",IFERROR(INDEX(사건마스터!$AQ$5:$AQ$64,MATCH($F989,사건마스터!$A$5:$A$64,0)),""))</f>
        <v/>
      </c>
      <c r="T989" s="35">
        <f>IF($F989="","",IFERROR(INDEX(사건마스터!$AR$5:$AR$64,MATCH($F989,사건마스터!$A$5:$A$64,0)),""))</f>
        <v/>
      </c>
      <c r="U989" s="35">
        <f>IF($F989="","",IFERROR(INDEX(사건마스터!$AS$5:$AS$64,MATCH($F989,사건마스터!$A$5:$A$64,0)),""))</f>
        <v/>
      </c>
      <c r="V989" s="35">
        <f>IF($F989="","",IFERROR(INDEX(사건마스터!$AT$5:$AT$64,MATCH($F989,사건마스터!$A$5:$A$64,0)),""))</f>
        <v/>
      </c>
      <c r="W989" s="35">
        <f>IF($F989="","",IFERROR(INDEX(사건마스터!$AU$5:$AU$64,MATCH($F989,사건마스터!$A$5:$A$64,0)),""))</f>
        <v/>
      </c>
      <c r="X989" s="35">
        <f>IF($F989="","",IFERROR(INDEX(사건마스터!$AV$5:$AV$64,MATCH($F989,사건마스터!$A$5:$A$64,0)),""))</f>
        <v/>
      </c>
      <c r="Y989" s="30">
        <f>IF($I989="","",COUNTIF($I989:$X989,"?*"))</f>
        <v/>
      </c>
      <c r="Z989" s="33">
        <f>IF($I989="","",_xlfn.TEXTJOIN(", ",TRUE,$I989:$X989))</f>
        <v/>
      </c>
      <c r="AA989" s="34">
        <f>IF($I989="","",IFERROR(INDEX(코드설정!$D$5:$D$24,MATCH($I989,코드설정!$C$5:$C$24,0)),""))</f>
        <v/>
      </c>
      <c r="AB989" s="36" t="n"/>
      <c r="AC989" s="37" t="n"/>
      <c r="AD989" s="38" t="n"/>
      <c r="AE989" s="30">
        <f>IF(OR($B989="",$C989=""),"",$C989-$B989+1)</f>
        <v/>
      </c>
      <c r="AF989" s="32" t="n"/>
      <c r="AG989" s="36" t="n"/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3">
        <f>IF($F990="","",IFERROR(INDEX(사건마스터!$B$5:$B$64,MATCH($F990,사건마스터!$A$5:$A$64,0)),""))</f>
        <v/>
      </c>
      <c r="H990" s="34">
        <f>IF($F990="","",IFERROR(INDEX(사건마스터!$C$5:$C$64,MATCH($F990,사건마스터!$A$5:$A$64,0)),""))</f>
        <v/>
      </c>
      <c r="I990" s="35">
        <f>IF($F990="","",IFERROR(INDEX(사건마스터!$H$5:$H$64,MATCH($F990,사건마스터!$A$5:$A$64,0)),""))</f>
        <v/>
      </c>
      <c r="J990" s="35">
        <f>IF($F990="","",IFERROR(INDEX(사건마스터!$AH$5:$AH$64,MATCH($F990,사건마스터!$A$5:$A$64,0)),""))</f>
        <v/>
      </c>
      <c r="K990" s="35">
        <f>IF($F990="","",IFERROR(INDEX(사건마스터!$AI$5:$AI$64,MATCH($F990,사건마스터!$A$5:$A$64,0)),""))</f>
        <v/>
      </c>
      <c r="L990" s="35">
        <f>IF($F990="","",IFERROR(INDEX(사건마스터!$AJ$5:$AJ$64,MATCH($F990,사건마스터!$A$5:$A$64,0)),""))</f>
        <v/>
      </c>
      <c r="M990" s="35">
        <f>IF($F990="","",IFERROR(INDEX(사건마스터!$AK$5:$AK$64,MATCH($F990,사건마스터!$A$5:$A$64,0)),""))</f>
        <v/>
      </c>
      <c r="N990" s="35">
        <f>IF($F990="","",IFERROR(INDEX(사건마스터!$AL$5:$AL$64,MATCH($F990,사건마스터!$A$5:$A$64,0)),""))</f>
        <v/>
      </c>
      <c r="O990" s="35">
        <f>IF($F990="","",IFERROR(INDEX(사건마스터!$AM$5:$AM$64,MATCH($F990,사건마스터!$A$5:$A$64,0)),""))</f>
        <v/>
      </c>
      <c r="P990" s="35">
        <f>IF($F990="","",IFERROR(INDEX(사건마스터!$AN$5:$AN$64,MATCH($F990,사건마스터!$A$5:$A$64,0)),""))</f>
        <v/>
      </c>
      <c r="Q990" s="35">
        <f>IF($F990="","",IFERROR(INDEX(사건마스터!$AO$5:$AO$64,MATCH($F990,사건마스터!$A$5:$A$64,0)),""))</f>
        <v/>
      </c>
      <c r="R990" s="35">
        <f>IF($F990="","",IFERROR(INDEX(사건마스터!$AP$5:$AP$64,MATCH($F990,사건마스터!$A$5:$A$64,0)),""))</f>
        <v/>
      </c>
      <c r="S990" s="35">
        <f>IF($F990="","",IFERROR(INDEX(사건마스터!$AQ$5:$AQ$64,MATCH($F990,사건마스터!$A$5:$A$64,0)),""))</f>
        <v/>
      </c>
      <c r="T990" s="35">
        <f>IF($F990="","",IFERROR(INDEX(사건마스터!$AR$5:$AR$64,MATCH($F990,사건마스터!$A$5:$A$64,0)),""))</f>
        <v/>
      </c>
      <c r="U990" s="35">
        <f>IF($F990="","",IFERROR(INDEX(사건마스터!$AS$5:$AS$64,MATCH($F990,사건마스터!$A$5:$A$64,0)),""))</f>
        <v/>
      </c>
      <c r="V990" s="35">
        <f>IF($F990="","",IFERROR(INDEX(사건마스터!$AT$5:$AT$64,MATCH($F990,사건마스터!$A$5:$A$64,0)),""))</f>
        <v/>
      </c>
      <c r="W990" s="35">
        <f>IF($F990="","",IFERROR(INDEX(사건마스터!$AU$5:$AU$64,MATCH($F990,사건마스터!$A$5:$A$64,0)),""))</f>
        <v/>
      </c>
      <c r="X990" s="35">
        <f>IF($F990="","",IFERROR(INDEX(사건마스터!$AV$5:$AV$64,MATCH($F990,사건마스터!$A$5:$A$64,0)),""))</f>
        <v/>
      </c>
      <c r="Y990" s="30">
        <f>IF($I990="","",COUNTIF($I990:$X990,"?*"))</f>
        <v/>
      </c>
      <c r="Z990" s="33">
        <f>IF($I990="","",_xlfn.TEXTJOIN(", ",TRUE,$I990:$X990))</f>
        <v/>
      </c>
      <c r="AA990" s="34">
        <f>IF($I990="","",IFERROR(INDEX(코드설정!$D$5:$D$24,MATCH($I990,코드설정!$C$5:$C$24,0)),""))</f>
        <v/>
      </c>
      <c r="AB990" s="36" t="n"/>
      <c r="AC990" s="37" t="n"/>
      <c r="AD990" s="38" t="n"/>
      <c r="AE990" s="30">
        <f>IF(OR($B990="",$C990=""),"",$C990-$B990+1)</f>
        <v/>
      </c>
      <c r="AF990" s="32" t="n"/>
      <c r="AG990" s="36" t="n"/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3">
        <f>IF($F991="","",IFERROR(INDEX(사건마스터!$B$5:$B$64,MATCH($F991,사건마스터!$A$5:$A$64,0)),""))</f>
        <v/>
      </c>
      <c r="H991" s="34">
        <f>IF($F991="","",IFERROR(INDEX(사건마스터!$C$5:$C$64,MATCH($F991,사건마스터!$A$5:$A$64,0)),""))</f>
        <v/>
      </c>
      <c r="I991" s="35">
        <f>IF($F991="","",IFERROR(INDEX(사건마스터!$H$5:$H$64,MATCH($F991,사건마스터!$A$5:$A$64,0)),""))</f>
        <v/>
      </c>
      <c r="J991" s="35">
        <f>IF($F991="","",IFERROR(INDEX(사건마스터!$AH$5:$AH$64,MATCH($F991,사건마스터!$A$5:$A$64,0)),""))</f>
        <v/>
      </c>
      <c r="K991" s="35">
        <f>IF($F991="","",IFERROR(INDEX(사건마스터!$AI$5:$AI$64,MATCH($F991,사건마스터!$A$5:$A$64,0)),""))</f>
        <v/>
      </c>
      <c r="L991" s="35">
        <f>IF($F991="","",IFERROR(INDEX(사건마스터!$AJ$5:$AJ$64,MATCH($F991,사건마스터!$A$5:$A$64,0)),""))</f>
        <v/>
      </c>
      <c r="M991" s="35">
        <f>IF($F991="","",IFERROR(INDEX(사건마스터!$AK$5:$AK$64,MATCH($F991,사건마스터!$A$5:$A$64,0)),""))</f>
        <v/>
      </c>
      <c r="N991" s="35">
        <f>IF($F991="","",IFERROR(INDEX(사건마스터!$AL$5:$AL$64,MATCH($F991,사건마스터!$A$5:$A$64,0)),""))</f>
        <v/>
      </c>
      <c r="O991" s="35">
        <f>IF($F991="","",IFERROR(INDEX(사건마스터!$AM$5:$AM$64,MATCH($F991,사건마스터!$A$5:$A$64,0)),""))</f>
        <v/>
      </c>
      <c r="P991" s="35">
        <f>IF($F991="","",IFERROR(INDEX(사건마스터!$AN$5:$AN$64,MATCH($F991,사건마스터!$A$5:$A$64,0)),""))</f>
        <v/>
      </c>
      <c r="Q991" s="35">
        <f>IF($F991="","",IFERROR(INDEX(사건마스터!$AO$5:$AO$64,MATCH($F991,사건마스터!$A$5:$A$64,0)),""))</f>
        <v/>
      </c>
      <c r="R991" s="35">
        <f>IF($F991="","",IFERROR(INDEX(사건마스터!$AP$5:$AP$64,MATCH($F991,사건마스터!$A$5:$A$64,0)),""))</f>
        <v/>
      </c>
      <c r="S991" s="35">
        <f>IF($F991="","",IFERROR(INDEX(사건마스터!$AQ$5:$AQ$64,MATCH($F991,사건마스터!$A$5:$A$64,0)),""))</f>
        <v/>
      </c>
      <c r="T991" s="35">
        <f>IF($F991="","",IFERROR(INDEX(사건마스터!$AR$5:$AR$64,MATCH($F991,사건마스터!$A$5:$A$64,0)),""))</f>
        <v/>
      </c>
      <c r="U991" s="35">
        <f>IF($F991="","",IFERROR(INDEX(사건마스터!$AS$5:$AS$64,MATCH($F991,사건마스터!$A$5:$A$64,0)),""))</f>
        <v/>
      </c>
      <c r="V991" s="35">
        <f>IF($F991="","",IFERROR(INDEX(사건마스터!$AT$5:$AT$64,MATCH($F991,사건마스터!$A$5:$A$64,0)),""))</f>
        <v/>
      </c>
      <c r="W991" s="35">
        <f>IF($F991="","",IFERROR(INDEX(사건마스터!$AU$5:$AU$64,MATCH($F991,사건마스터!$A$5:$A$64,0)),""))</f>
        <v/>
      </c>
      <c r="X991" s="35">
        <f>IF($F991="","",IFERROR(INDEX(사건마스터!$AV$5:$AV$64,MATCH($F991,사건마스터!$A$5:$A$64,0)),""))</f>
        <v/>
      </c>
      <c r="Y991" s="30">
        <f>IF($I991="","",COUNTIF($I991:$X991,"?*"))</f>
        <v/>
      </c>
      <c r="Z991" s="33">
        <f>IF($I991="","",_xlfn.TEXTJOIN(", ",TRUE,$I991:$X991))</f>
        <v/>
      </c>
      <c r="AA991" s="34">
        <f>IF($I991="","",IFERROR(INDEX(코드설정!$D$5:$D$24,MATCH($I991,코드설정!$C$5:$C$24,0)),""))</f>
        <v/>
      </c>
      <c r="AB991" s="36" t="n"/>
      <c r="AC991" s="37" t="n"/>
      <c r="AD991" s="38" t="n"/>
      <c r="AE991" s="30">
        <f>IF(OR($B991="",$C991=""),"",$C991-$B991+1)</f>
        <v/>
      </c>
      <c r="AF991" s="32" t="n"/>
      <c r="AG991" s="36" t="n"/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3">
        <f>IF($F992="","",IFERROR(INDEX(사건마스터!$B$5:$B$64,MATCH($F992,사건마스터!$A$5:$A$64,0)),""))</f>
        <v/>
      </c>
      <c r="H992" s="34">
        <f>IF($F992="","",IFERROR(INDEX(사건마스터!$C$5:$C$64,MATCH($F992,사건마스터!$A$5:$A$64,0)),""))</f>
        <v/>
      </c>
      <c r="I992" s="35">
        <f>IF($F992="","",IFERROR(INDEX(사건마스터!$H$5:$H$64,MATCH($F992,사건마스터!$A$5:$A$64,0)),""))</f>
        <v/>
      </c>
      <c r="J992" s="35">
        <f>IF($F992="","",IFERROR(INDEX(사건마스터!$AH$5:$AH$64,MATCH($F992,사건마스터!$A$5:$A$64,0)),""))</f>
        <v/>
      </c>
      <c r="K992" s="35">
        <f>IF($F992="","",IFERROR(INDEX(사건마스터!$AI$5:$AI$64,MATCH($F992,사건마스터!$A$5:$A$64,0)),""))</f>
        <v/>
      </c>
      <c r="L992" s="35">
        <f>IF($F992="","",IFERROR(INDEX(사건마스터!$AJ$5:$AJ$64,MATCH($F992,사건마스터!$A$5:$A$64,0)),""))</f>
        <v/>
      </c>
      <c r="M992" s="35">
        <f>IF($F992="","",IFERROR(INDEX(사건마스터!$AK$5:$AK$64,MATCH($F992,사건마스터!$A$5:$A$64,0)),""))</f>
        <v/>
      </c>
      <c r="N992" s="35">
        <f>IF($F992="","",IFERROR(INDEX(사건마스터!$AL$5:$AL$64,MATCH($F992,사건마스터!$A$5:$A$64,0)),""))</f>
        <v/>
      </c>
      <c r="O992" s="35">
        <f>IF($F992="","",IFERROR(INDEX(사건마스터!$AM$5:$AM$64,MATCH($F992,사건마스터!$A$5:$A$64,0)),""))</f>
        <v/>
      </c>
      <c r="P992" s="35">
        <f>IF($F992="","",IFERROR(INDEX(사건마스터!$AN$5:$AN$64,MATCH($F992,사건마스터!$A$5:$A$64,0)),""))</f>
        <v/>
      </c>
      <c r="Q992" s="35">
        <f>IF($F992="","",IFERROR(INDEX(사건마스터!$AO$5:$AO$64,MATCH($F992,사건마스터!$A$5:$A$64,0)),""))</f>
        <v/>
      </c>
      <c r="R992" s="35">
        <f>IF($F992="","",IFERROR(INDEX(사건마스터!$AP$5:$AP$64,MATCH($F992,사건마스터!$A$5:$A$64,0)),""))</f>
        <v/>
      </c>
      <c r="S992" s="35">
        <f>IF($F992="","",IFERROR(INDEX(사건마스터!$AQ$5:$AQ$64,MATCH($F992,사건마스터!$A$5:$A$64,0)),""))</f>
        <v/>
      </c>
      <c r="T992" s="35">
        <f>IF($F992="","",IFERROR(INDEX(사건마스터!$AR$5:$AR$64,MATCH($F992,사건마스터!$A$5:$A$64,0)),""))</f>
        <v/>
      </c>
      <c r="U992" s="35">
        <f>IF($F992="","",IFERROR(INDEX(사건마스터!$AS$5:$AS$64,MATCH($F992,사건마스터!$A$5:$A$64,0)),""))</f>
        <v/>
      </c>
      <c r="V992" s="35">
        <f>IF($F992="","",IFERROR(INDEX(사건마스터!$AT$5:$AT$64,MATCH($F992,사건마스터!$A$5:$A$64,0)),""))</f>
        <v/>
      </c>
      <c r="W992" s="35">
        <f>IF($F992="","",IFERROR(INDEX(사건마스터!$AU$5:$AU$64,MATCH($F992,사건마스터!$A$5:$A$64,0)),""))</f>
        <v/>
      </c>
      <c r="X992" s="35">
        <f>IF($F992="","",IFERROR(INDEX(사건마스터!$AV$5:$AV$64,MATCH($F992,사건마스터!$A$5:$A$64,0)),""))</f>
        <v/>
      </c>
      <c r="Y992" s="30">
        <f>IF($I992="","",COUNTIF($I992:$X992,"?*"))</f>
        <v/>
      </c>
      <c r="Z992" s="33">
        <f>IF($I992="","",_xlfn.TEXTJOIN(", ",TRUE,$I992:$X992))</f>
        <v/>
      </c>
      <c r="AA992" s="34">
        <f>IF($I992="","",IFERROR(INDEX(코드설정!$D$5:$D$24,MATCH($I992,코드설정!$C$5:$C$24,0)),""))</f>
        <v/>
      </c>
      <c r="AB992" s="36" t="n"/>
      <c r="AC992" s="37" t="n"/>
      <c r="AD992" s="38" t="n"/>
      <c r="AE992" s="30">
        <f>IF(OR($B992="",$C992=""),"",$C992-$B992+1)</f>
        <v/>
      </c>
      <c r="AF992" s="32" t="n"/>
      <c r="AG992" s="36" t="n"/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3">
        <f>IF($F993="","",IFERROR(INDEX(사건마스터!$B$5:$B$64,MATCH($F993,사건마스터!$A$5:$A$64,0)),""))</f>
        <v/>
      </c>
      <c r="H993" s="34">
        <f>IF($F993="","",IFERROR(INDEX(사건마스터!$C$5:$C$64,MATCH($F993,사건마스터!$A$5:$A$64,0)),""))</f>
        <v/>
      </c>
      <c r="I993" s="35">
        <f>IF($F993="","",IFERROR(INDEX(사건마스터!$H$5:$H$64,MATCH($F993,사건마스터!$A$5:$A$64,0)),""))</f>
        <v/>
      </c>
      <c r="J993" s="35">
        <f>IF($F993="","",IFERROR(INDEX(사건마스터!$AH$5:$AH$64,MATCH($F993,사건마스터!$A$5:$A$64,0)),""))</f>
        <v/>
      </c>
      <c r="K993" s="35">
        <f>IF($F993="","",IFERROR(INDEX(사건마스터!$AI$5:$AI$64,MATCH($F993,사건마스터!$A$5:$A$64,0)),""))</f>
        <v/>
      </c>
      <c r="L993" s="35">
        <f>IF($F993="","",IFERROR(INDEX(사건마스터!$AJ$5:$AJ$64,MATCH($F993,사건마스터!$A$5:$A$64,0)),""))</f>
        <v/>
      </c>
      <c r="M993" s="35">
        <f>IF($F993="","",IFERROR(INDEX(사건마스터!$AK$5:$AK$64,MATCH($F993,사건마스터!$A$5:$A$64,0)),""))</f>
        <v/>
      </c>
      <c r="N993" s="35">
        <f>IF($F993="","",IFERROR(INDEX(사건마스터!$AL$5:$AL$64,MATCH($F993,사건마스터!$A$5:$A$64,0)),""))</f>
        <v/>
      </c>
      <c r="O993" s="35">
        <f>IF($F993="","",IFERROR(INDEX(사건마스터!$AM$5:$AM$64,MATCH($F993,사건마스터!$A$5:$A$64,0)),""))</f>
        <v/>
      </c>
      <c r="P993" s="35">
        <f>IF($F993="","",IFERROR(INDEX(사건마스터!$AN$5:$AN$64,MATCH($F993,사건마스터!$A$5:$A$64,0)),""))</f>
        <v/>
      </c>
      <c r="Q993" s="35">
        <f>IF($F993="","",IFERROR(INDEX(사건마스터!$AO$5:$AO$64,MATCH($F993,사건마스터!$A$5:$A$64,0)),""))</f>
        <v/>
      </c>
      <c r="R993" s="35">
        <f>IF($F993="","",IFERROR(INDEX(사건마스터!$AP$5:$AP$64,MATCH($F993,사건마스터!$A$5:$A$64,0)),""))</f>
        <v/>
      </c>
      <c r="S993" s="35">
        <f>IF($F993="","",IFERROR(INDEX(사건마스터!$AQ$5:$AQ$64,MATCH($F993,사건마스터!$A$5:$A$64,0)),""))</f>
        <v/>
      </c>
      <c r="T993" s="35">
        <f>IF($F993="","",IFERROR(INDEX(사건마스터!$AR$5:$AR$64,MATCH($F993,사건마스터!$A$5:$A$64,0)),""))</f>
        <v/>
      </c>
      <c r="U993" s="35">
        <f>IF($F993="","",IFERROR(INDEX(사건마스터!$AS$5:$AS$64,MATCH($F993,사건마스터!$A$5:$A$64,0)),""))</f>
        <v/>
      </c>
      <c r="V993" s="35">
        <f>IF($F993="","",IFERROR(INDEX(사건마스터!$AT$5:$AT$64,MATCH($F993,사건마스터!$A$5:$A$64,0)),""))</f>
        <v/>
      </c>
      <c r="W993" s="35">
        <f>IF($F993="","",IFERROR(INDEX(사건마스터!$AU$5:$AU$64,MATCH($F993,사건마스터!$A$5:$A$64,0)),""))</f>
        <v/>
      </c>
      <c r="X993" s="35">
        <f>IF($F993="","",IFERROR(INDEX(사건마스터!$AV$5:$AV$64,MATCH($F993,사건마스터!$A$5:$A$64,0)),""))</f>
        <v/>
      </c>
      <c r="Y993" s="30">
        <f>IF($I993="","",COUNTIF($I993:$X993,"?*"))</f>
        <v/>
      </c>
      <c r="Z993" s="33">
        <f>IF($I993="","",_xlfn.TEXTJOIN(", ",TRUE,$I993:$X993))</f>
        <v/>
      </c>
      <c r="AA993" s="34">
        <f>IF($I993="","",IFERROR(INDEX(코드설정!$D$5:$D$24,MATCH($I993,코드설정!$C$5:$C$24,0)),""))</f>
        <v/>
      </c>
      <c r="AB993" s="36" t="n"/>
      <c r="AC993" s="37" t="n"/>
      <c r="AD993" s="38" t="n"/>
      <c r="AE993" s="30">
        <f>IF(OR($B993="",$C993=""),"",$C993-$B993+1)</f>
        <v/>
      </c>
      <c r="AF993" s="32" t="n"/>
      <c r="AG993" s="36" t="n"/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3">
        <f>IF($F994="","",IFERROR(INDEX(사건마스터!$B$5:$B$64,MATCH($F994,사건마스터!$A$5:$A$64,0)),""))</f>
        <v/>
      </c>
      <c r="H994" s="34">
        <f>IF($F994="","",IFERROR(INDEX(사건마스터!$C$5:$C$64,MATCH($F994,사건마스터!$A$5:$A$64,0)),""))</f>
        <v/>
      </c>
      <c r="I994" s="35">
        <f>IF($F994="","",IFERROR(INDEX(사건마스터!$H$5:$H$64,MATCH($F994,사건마스터!$A$5:$A$64,0)),""))</f>
        <v/>
      </c>
      <c r="J994" s="35">
        <f>IF($F994="","",IFERROR(INDEX(사건마스터!$AH$5:$AH$64,MATCH($F994,사건마스터!$A$5:$A$64,0)),""))</f>
        <v/>
      </c>
      <c r="K994" s="35">
        <f>IF($F994="","",IFERROR(INDEX(사건마스터!$AI$5:$AI$64,MATCH($F994,사건마스터!$A$5:$A$64,0)),""))</f>
        <v/>
      </c>
      <c r="L994" s="35">
        <f>IF($F994="","",IFERROR(INDEX(사건마스터!$AJ$5:$AJ$64,MATCH($F994,사건마스터!$A$5:$A$64,0)),""))</f>
        <v/>
      </c>
      <c r="M994" s="35">
        <f>IF($F994="","",IFERROR(INDEX(사건마스터!$AK$5:$AK$64,MATCH($F994,사건마스터!$A$5:$A$64,0)),""))</f>
        <v/>
      </c>
      <c r="N994" s="35">
        <f>IF($F994="","",IFERROR(INDEX(사건마스터!$AL$5:$AL$64,MATCH($F994,사건마스터!$A$5:$A$64,0)),""))</f>
        <v/>
      </c>
      <c r="O994" s="35">
        <f>IF($F994="","",IFERROR(INDEX(사건마스터!$AM$5:$AM$64,MATCH($F994,사건마스터!$A$5:$A$64,0)),""))</f>
        <v/>
      </c>
      <c r="P994" s="35">
        <f>IF($F994="","",IFERROR(INDEX(사건마스터!$AN$5:$AN$64,MATCH($F994,사건마스터!$A$5:$A$64,0)),""))</f>
        <v/>
      </c>
      <c r="Q994" s="35">
        <f>IF($F994="","",IFERROR(INDEX(사건마스터!$AO$5:$AO$64,MATCH($F994,사건마스터!$A$5:$A$64,0)),""))</f>
        <v/>
      </c>
      <c r="R994" s="35">
        <f>IF($F994="","",IFERROR(INDEX(사건마스터!$AP$5:$AP$64,MATCH($F994,사건마스터!$A$5:$A$64,0)),""))</f>
        <v/>
      </c>
      <c r="S994" s="35">
        <f>IF($F994="","",IFERROR(INDEX(사건마스터!$AQ$5:$AQ$64,MATCH($F994,사건마스터!$A$5:$A$64,0)),""))</f>
        <v/>
      </c>
      <c r="T994" s="35">
        <f>IF($F994="","",IFERROR(INDEX(사건마스터!$AR$5:$AR$64,MATCH($F994,사건마스터!$A$5:$A$64,0)),""))</f>
        <v/>
      </c>
      <c r="U994" s="35">
        <f>IF($F994="","",IFERROR(INDEX(사건마스터!$AS$5:$AS$64,MATCH($F994,사건마스터!$A$5:$A$64,0)),""))</f>
        <v/>
      </c>
      <c r="V994" s="35">
        <f>IF($F994="","",IFERROR(INDEX(사건마스터!$AT$5:$AT$64,MATCH($F994,사건마스터!$A$5:$A$64,0)),""))</f>
        <v/>
      </c>
      <c r="W994" s="35">
        <f>IF($F994="","",IFERROR(INDEX(사건마스터!$AU$5:$AU$64,MATCH($F994,사건마스터!$A$5:$A$64,0)),""))</f>
        <v/>
      </c>
      <c r="X994" s="35">
        <f>IF($F994="","",IFERROR(INDEX(사건마스터!$AV$5:$AV$64,MATCH($F994,사건마스터!$A$5:$A$64,0)),""))</f>
        <v/>
      </c>
      <c r="Y994" s="30">
        <f>IF($I994="","",COUNTIF($I994:$X994,"?*"))</f>
        <v/>
      </c>
      <c r="Z994" s="33">
        <f>IF($I994="","",_xlfn.TEXTJOIN(", ",TRUE,$I994:$X994))</f>
        <v/>
      </c>
      <c r="AA994" s="34">
        <f>IF($I994="","",IFERROR(INDEX(코드설정!$D$5:$D$24,MATCH($I994,코드설정!$C$5:$C$24,0)),""))</f>
        <v/>
      </c>
      <c r="AB994" s="36" t="n"/>
      <c r="AC994" s="37" t="n"/>
      <c r="AD994" s="38" t="n"/>
      <c r="AE994" s="30">
        <f>IF(OR($B994="",$C994=""),"",$C994-$B994+1)</f>
        <v/>
      </c>
      <c r="AF994" s="32" t="n"/>
      <c r="AG994" s="36" t="n"/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3">
        <f>IF($F995="","",IFERROR(INDEX(사건마스터!$B$5:$B$64,MATCH($F995,사건마스터!$A$5:$A$64,0)),""))</f>
        <v/>
      </c>
      <c r="H995" s="34">
        <f>IF($F995="","",IFERROR(INDEX(사건마스터!$C$5:$C$64,MATCH($F995,사건마스터!$A$5:$A$64,0)),""))</f>
        <v/>
      </c>
      <c r="I995" s="35">
        <f>IF($F995="","",IFERROR(INDEX(사건마스터!$H$5:$H$64,MATCH($F995,사건마스터!$A$5:$A$64,0)),""))</f>
        <v/>
      </c>
      <c r="J995" s="35">
        <f>IF($F995="","",IFERROR(INDEX(사건마스터!$AH$5:$AH$64,MATCH($F995,사건마스터!$A$5:$A$64,0)),""))</f>
        <v/>
      </c>
      <c r="K995" s="35">
        <f>IF($F995="","",IFERROR(INDEX(사건마스터!$AI$5:$AI$64,MATCH($F995,사건마스터!$A$5:$A$64,0)),""))</f>
        <v/>
      </c>
      <c r="L995" s="35">
        <f>IF($F995="","",IFERROR(INDEX(사건마스터!$AJ$5:$AJ$64,MATCH($F995,사건마스터!$A$5:$A$64,0)),""))</f>
        <v/>
      </c>
      <c r="M995" s="35">
        <f>IF($F995="","",IFERROR(INDEX(사건마스터!$AK$5:$AK$64,MATCH($F995,사건마스터!$A$5:$A$64,0)),""))</f>
        <v/>
      </c>
      <c r="N995" s="35">
        <f>IF($F995="","",IFERROR(INDEX(사건마스터!$AL$5:$AL$64,MATCH($F995,사건마스터!$A$5:$A$64,0)),""))</f>
        <v/>
      </c>
      <c r="O995" s="35">
        <f>IF($F995="","",IFERROR(INDEX(사건마스터!$AM$5:$AM$64,MATCH($F995,사건마스터!$A$5:$A$64,0)),""))</f>
        <v/>
      </c>
      <c r="P995" s="35">
        <f>IF($F995="","",IFERROR(INDEX(사건마스터!$AN$5:$AN$64,MATCH($F995,사건마스터!$A$5:$A$64,0)),""))</f>
        <v/>
      </c>
      <c r="Q995" s="35">
        <f>IF($F995="","",IFERROR(INDEX(사건마스터!$AO$5:$AO$64,MATCH($F995,사건마스터!$A$5:$A$64,0)),""))</f>
        <v/>
      </c>
      <c r="R995" s="35">
        <f>IF($F995="","",IFERROR(INDEX(사건마스터!$AP$5:$AP$64,MATCH($F995,사건마스터!$A$5:$A$64,0)),""))</f>
        <v/>
      </c>
      <c r="S995" s="35">
        <f>IF($F995="","",IFERROR(INDEX(사건마스터!$AQ$5:$AQ$64,MATCH($F995,사건마스터!$A$5:$A$64,0)),""))</f>
        <v/>
      </c>
      <c r="T995" s="35">
        <f>IF($F995="","",IFERROR(INDEX(사건마스터!$AR$5:$AR$64,MATCH($F995,사건마스터!$A$5:$A$64,0)),""))</f>
        <v/>
      </c>
      <c r="U995" s="35">
        <f>IF($F995="","",IFERROR(INDEX(사건마스터!$AS$5:$AS$64,MATCH($F995,사건마스터!$A$5:$A$64,0)),""))</f>
        <v/>
      </c>
      <c r="V995" s="35">
        <f>IF($F995="","",IFERROR(INDEX(사건마스터!$AT$5:$AT$64,MATCH($F995,사건마스터!$A$5:$A$64,0)),""))</f>
        <v/>
      </c>
      <c r="W995" s="35">
        <f>IF($F995="","",IFERROR(INDEX(사건마스터!$AU$5:$AU$64,MATCH($F995,사건마스터!$A$5:$A$64,0)),""))</f>
        <v/>
      </c>
      <c r="X995" s="35">
        <f>IF($F995="","",IFERROR(INDEX(사건마스터!$AV$5:$AV$64,MATCH($F995,사건마스터!$A$5:$A$64,0)),""))</f>
        <v/>
      </c>
      <c r="Y995" s="30">
        <f>IF($I995="","",COUNTIF($I995:$X995,"?*"))</f>
        <v/>
      </c>
      <c r="Z995" s="33">
        <f>IF($I995="","",_xlfn.TEXTJOIN(", ",TRUE,$I995:$X995))</f>
        <v/>
      </c>
      <c r="AA995" s="34">
        <f>IF($I995="","",IFERROR(INDEX(코드설정!$D$5:$D$24,MATCH($I995,코드설정!$C$5:$C$24,0)),""))</f>
        <v/>
      </c>
      <c r="AB995" s="36" t="n"/>
      <c r="AC995" s="37" t="n"/>
      <c r="AD995" s="38" t="n"/>
      <c r="AE995" s="30">
        <f>IF(OR($B995="",$C995=""),"",$C995-$B995+1)</f>
        <v/>
      </c>
      <c r="AF995" s="32" t="n"/>
      <c r="AG995" s="36" t="n"/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3">
        <f>IF($F996="","",IFERROR(INDEX(사건마스터!$B$5:$B$64,MATCH($F996,사건마스터!$A$5:$A$64,0)),""))</f>
        <v/>
      </c>
      <c r="H996" s="34">
        <f>IF($F996="","",IFERROR(INDEX(사건마스터!$C$5:$C$64,MATCH($F996,사건마스터!$A$5:$A$64,0)),""))</f>
        <v/>
      </c>
      <c r="I996" s="35">
        <f>IF($F996="","",IFERROR(INDEX(사건마스터!$H$5:$H$64,MATCH($F996,사건마스터!$A$5:$A$64,0)),""))</f>
        <v/>
      </c>
      <c r="J996" s="35">
        <f>IF($F996="","",IFERROR(INDEX(사건마스터!$AH$5:$AH$64,MATCH($F996,사건마스터!$A$5:$A$64,0)),""))</f>
        <v/>
      </c>
      <c r="K996" s="35">
        <f>IF($F996="","",IFERROR(INDEX(사건마스터!$AI$5:$AI$64,MATCH($F996,사건마스터!$A$5:$A$64,0)),""))</f>
        <v/>
      </c>
      <c r="L996" s="35">
        <f>IF($F996="","",IFERROR(INDEX(사건마스터!$AJ$5:$AJ$64,MATCH($F996,사건마스터!$A$5:$A$64,0)),""))</f>
        <v/>
      </c>
      <c r="M996" s="35">
        <f>IF($F996="","",IFERROR(INDEX(사건마스터!$AK$5:$AK$64,MATCH($F996,사건마스터!$A$5:$A$64,0)),""))</f>
        <v/>
      </c>
      <c r="N996" s="35">
        <f>IF($F996="","",IFERROR(INDEX(사건마스터!$AL$5:$AL$64,MATCH($F996,사건마스터!$A$5:$A$64,0)),""))</f>
        <v/>
      </c>
      <c r="O996" s="35">
        <f>IF($F996="","",IFERROR(INDEX(사건마스터!$AM$5:$AM$64,MATCH($F996,사건마스터!$A$5:$A$64,0)),""))</f>
        <v/>
      </c>
      <c r="P996" s="35">
        <f>IF($F996="","",IFERROR(INDEX(사건마스터!$AN$5:$AN$64,MATCH($F996,사건마스터!$A$5:$A$64,0)),""))</f>
        <v/>
      </c>
      <c r="Q996" s="35">
        <f>IF($F996="","",IFERROR(INDEX(사건마스터!$AO$5:$AO$64,MATCH($F996,사건마스터!$A$5:$A$64,0)),""))</f>
        <v/>
      </c>
      <c r="R996" s="35">
        <f>IF($F996="","",IFERROR(INDEX(사건마스터!$AP$5:$AP$64,MATCH($F996,사건마스터!$A$5:$A$64,0)),""))</f>
        <v/>
      </c>
      <c r="S996" s="35">
        <f>IF($F996="","",IFERROR(INDEX(사건마스터!$AQ$5:$AQ$64,MATCH($F996,사건마스터!$A$5:$A$64,0)),""))</f>
        <v/>
      </c>
      <c r="T996" s="35">
        <f>IF($F996="","",IFERROR(INDEX(사건마스터!$AR$5:$AR$64,MATCH($F996,사건마스터!$A$5:$A$64,0)),""))</f>
        <v/>
      </c>
      <c r="U996" s="35">
        <f>IF($F996="","",IFERROR(INDEX(사건마스터!$AS$5:$AS$64,MATCH($F996,사건마스터!$A$5:$A$64,0)),""))</f>
        <v/>
      </c>
      <c r="V996" s="35">
        <f>IF($F996="","",IFERROR(INDEX(사건마스터!$AT$5:$AT$64,MATCH($F996,사건마스터!$A$5:$A$64,0)),""))</f>
        <v/>
      </c>
      <c r="W996" s="35">
        <f>IF($F996="","",IFERROR(INDEX(사건마스터!$AU$5:$AU$64,MATCH($F996,사건마스터!$A$5:$A$64,0)),""))</f>
        <v/>
      </c>
      <c r="X996" s="35">
        <f>IF($F996="","",IFERROR(INDEX(사건마스터!$AV$5:$AV$64,MATCH($F996,사건마스터!$A$5:$A$64,0)),""))</f>
        <v/>
      </c>
      <c r="Y996" s="30">
        <f>IF($I996="","",COUNTIF($I996:$X996,"?*"))</f>
        <v/>
      </c>
      <c r="Z996" s="33">
        <f>IF($I996="","",_xlfn.TEXTJOIN(", ",TRUE,$I996:$X996))</f>
        <v/>
      </c>
      <c r="AA996" s="34">
        <f>IF($I996="","",IFERROR(INDEX(코드설정!$D$5:$D$24,MATCH($I996,코드설정!$C$5:$C$24,0)),""))</f>
        <v/>
      </c>
      <c r="AB996" s="36" t="n"/>
      <c r="AC996" s="37" t="n"/>
      <c r="AD996" s="38" t="n"/>
      <c r="AE996" s="30">
        <f>IF(OR($B996="",$C996=""),"",$C996-$B996+1)</f>
        <v/>
      </c>
      <c r="AF996" s="32" t="n"/>
      <c r="AG996" s="36" t="n"/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3">
        <f>IF($F997="","",IFERROR(INDEX(사건마스터!$B$5:$B$64,MATCH($F997,사건마스터!$A$5:$A$64,0)),""))</f>
        <v/>
      </c>
      <c r="H997" s="34">
        <f>IF($F997="","",IFERROR(INDEX(사건마스터!$C$5:$C$64,MATCH($F997,사건마스터!$A$5:$A$64,0)),""))</f>
        <v/>
      </c>
      <c r="I997" s="35">
        <f>IF($F997="","",IFERROR(INDEX(사건마스터!$H$5:$H$64,MATCH($F997,사건마스터!$A$5:$A$64,0)),""))</f>
        <v/>
      </c>
      <c r="J997" s="35">
        <f>IF($F997="","",IFERROR(INDEX(사건마스터!$AH$5:$AH$64,MATCH($F997,사건마스터!$A$5:$A$64,0)),""))</f>
        <v/>
      </c>
      <c r="K997" s="35">
        <f>IF($F997="","",IFERROR(INDEX(사건마스터!$AI$5:$AI$64,MATCH($F997,사건마스터!$A$5:$A$64,0)),""))</f>
        <v/>
      </c>
      <c r="L997" s="35">
        <f>IF($F997="","",IFERROR(INDEX(사건마스터!$AJ$5:$AJ$64,MATCH($F997,사건마스터!$A$5:$A$64,0)),""))</f>
        <v/>
      </c>
      <c r="M997" s="35">
        <f>IF($F997="","",IFERROR(INDEX(사건마스터!$AK$5:$AK$64,MATCH($F997,사건마스터!$A$5:$A$64,0)),""))</f>
        <v/>
      </c>
      <c r="N997" s="35">
        <f>IF($F997="","",IFERROR(INDEX(사건마스터!$AL$5:$AL$64,MATCH($F997,사건마스터!$A$5:$A$64,0)),""))</f>
        <v/>
      </c>
      <c r="O997" s="35">
        <f>IF($F997="","",IFERROR(INDEX(사건마스터!$AM$5:$AM$64,MATCH($F997,사건마스터!$A$5:$A$64,0)),""))</f>
        <v/>
      </c>
      <c r="P997" s="35">
        <f>IF($F997="","",IFERROR(INDEX(사건마스터!$AN$5:$AN$64,MATCH($F997,사건마스터!$A$5:$A$64,0)),""))</f>
        <v/>
      </c>
      <c r="Q997" s="35">
        <f>IF($F997="","",IFERROR(INDEX(사건마스터!$AO$5:$AO$64,MATCH($F997,사건마스터!$A$5:$A$64,0)),""))</f>
        <v/>
      </c>
      <c r="R997" s="35">
        <f>IF($F997="","",IFERROR(INDEX(사건마스터!$AP$5:$AP$64,MATCH($F997,사건마스터!$A$5:$A$64,0)),""))</f>
        <v/>
      </c>
      <c r="S997" s="35">
        <f>IF($F997="","",IFERROR(INDEX(사건마스터!$AQ$5:$AQ$64,MATCH($F997,사건마스터!$A$5:$A$64,0)),""))</f>
        <v/>
      </c>
      <c r="T997" s="35">
        <f>IF($F997="","",IFERROR(INDEX(사건마스터!$AR$5:$AR$64,MATCH($F997,사건마스터!$A$5:$A$64,0)),""))</f>
        <v/>
      </c>
      <c r="U997" s="35">
        <f>IF($F997="","",IFERROR(INDEX(사건마스터!$AS$5:$AS$64,MATCH($F997,사건마스터!$A$5:$A$64,0)),""))</f>
        <v/>
      </c>
      <c r="V997" s="35">
        <f>IF($F997="","",IFERROR(INDEX(사건마스터!$AT$5:$AT$64,MATCH($F997,사건마스터!$A$5:$A$64,0)),""))</f>
        <v/>
      </c>
      <c r="W997" s="35">
        <f>IF($F997="","",IFERROR(INDEX(사건마스터!$AU$5:$AU$64,MATCH($F997,사건마스터!$A$5:$A$64,0)),""))</f>
        <v/>
      </c>
      <c r="X997" s="35">
        <f>IF($F997="","",IFERROR(INDEX(사건마스터!$AV$5:$AV$64,MATCH($F997,사건마스터!$A$5:$A$64,0)),""))</f>
        <v/>
      </c>
      <c r="Y997" s="30">
        <f>IF($I997="","",COUNTIF($I997:$X997,"?*"))</f>
        <v/>
      </c>
      <c r="Z997" s="33">
        <f>IF($I997="","",_xlfn.TEXTJOIN(", ",TRUE,$I997:$X997))</f>
        <v/>
      </c>
      <c r="AA997" s="34">
        <f>IF($I997="","",IFERROR(INDEX(코드설정!$D$5:$D$24,MATCH($I997,코드설정!$C$5:$C$24,0)),""))</f>
        <v/>
      </c>
      <c r="AB997" s="36" t="n"/>
      <c r="AC997" s="37" t="n"/>
      <c r="AD997" s="38" t="n"/>
      <c r="AE997" s="30">
        <f>IF(OR($B997="",$C997=""),"",$C997-$B997+1)</f>
        <v/>
      </c>
      <c r="AF997" s="32" t="n"/>
      <c r="AG997" s="36" t="n"/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3">
        <f>IF($F998="","",IFERROR(INDEX(사건마스터!$B$5:$B$64,MATCH($F998,사건마스터!$A$5:$A$64,0)),""))</f>
        <v/>
      </c>
      <c r="H998" s="34">
        <f>IF($F998="","",IFERROR(INDEX(사건마스터!$C$5:$C$64,MATCH($F998,사건마스터!$A$5:$A$64,0)),""))</f>
        <v/>
      </c>
      <c r="I998" s="35">
        <f>IF($F998="","",IFERROR(INDEX(사건마스터!$H$5:$H$64,MATCH($F998,사건마스터!$A$5:$A$64,0)),""))</f>
        <v/>
      </c>
      <c r="J998" s="35">
        <f>IF($F998="","",IFERROR(INDEX(사건마스터!$AH$5:$AH$64,MATCH($F998,사건마스터!$A$5:$A$64,0)),""))</f>
        <v/>
      </c>
      <c r="K998" s="35">
        <f>IF($F998="","",IFERROR(INDEX(사건마스터!$AI$5:$AI$64,MATCH($F998,사건마스터!$A$5:$A$64,0)),""))</f>
        <v/>
      </c>
      <c r="L998" s="35">
        <f>IF($F998="","",IFERROR(INDEX(사건마스터!$AJ$5:$AJ$64,MATCH($F998,사건마스터!$A$5:$A$64,0)),""))</f>
        <v/>
      </c>
      <c r="M998" s="35">
        <f>IF($F998="","",IFERROR(INDEX(사건마스터!$AK$5:$AK$64,MATCH($F998,사건마스터!$A$5:$A$64,0)),""))</f>
        <v/>
      </c>
      <c r="N998" s="35">
        <f>IF($F998="","",IFERROR(INDEX(사건마스터!$AL$5:$AL$64,MATCH($F998,사건마스터!$A$5:$A$64,0)),""))</f>
        <v/>
      </c>
      <c r="O998" s="35">
        <f>IF($F998="","",IFERROR(INDEX(사건마스터!$AM$5:$AM$64,MATCH($F998,사건마스터!$A$5:$A$64,0)),""))</f>
        <v/>
      </c>
      <c r="P998" s="35">
        <f>IF($F998="","",IFERROR(INDEX(사건마스터!$AN$5:$AN$64,MATCH($F998,사건마스터!$A$5:$A$64,0)),""))</f>
        <v/>
      </c>
      <c r="Q998" s="35">
        <f>IF($F998="","",IFERROR(INDEX(사건마스터!$AO$5:$AO$64,MATCH($F998,사건마스터!$A$5:$A$64,0)),""))</f>
        <v/>
      </c>
      <c r="R998" s="35">
        <f>IF($F998="","",IFERROR(INDEX(사건마스터!$AP$5:$AP$64,MATCH($F998,사건마스터!$A$5:$A$64,0)),""))</f>
        <v/>
      </c>
      <c r="S998" s="35">
        <f>IF($F998="","",IFERROR(INDEX(사건마스터!$AQ$5:$AQ$64,MATCH($F998,사건마스터!$A$5:$A$64,0)),""))</f>
        <v/>
      </c>
      <c r="T998" s="35">
        <f>IF($F998="","",IFERROR(INDEX(사건마스터!$AR$5:$AR$64,MATCH($F998,사건마스터!$A$5:$A$64,0)),""))</f>
        <v/>
      </c>
      <c r="U998" s="35">
        <f>IF($F998="","",IFERROR(INDEX(사건마스터!$AS$5:$AS$64,MATCH($F998,사건마스터!$A$5:$A$64,0)),""))</f>
        <v/>
      </c>
      <c r="V998" s="35">
        <f>IF($F998="","",IFERROR(INDEX(사건마스터!$AT$5:$AT$64,MATCH($F998,사건마스터!$A$5:$A$64,0)),""))</f>
        <v/>
      </c>
      <c r="W998" s="35">
        <f>IF($F998="","",IFERROR(INDEX(사건마스터!$AU$5:$AU$64,MATCH($F998,사건마스터!$A$5:$A$64,0)),""))</f>
        <v/>
      </c>
      <c r="X998" s="35">
        <f>IF($F998="","",IFERROR(INDEX(사건마스터!$AV$5:$AV$64,MATCH($F998,사건마스터!$A$5:$A$64,0)),""))</f>
        <v/>
      </c>
      <c r="Y998" s="30">
        <f>IF($I998="","",COUNTIF($I998:$X998,"?*"))</f>
        <v/>
      </c>
      <c r="Z998" s="33">
        <f>IF($I998="","",_xlfn.TEXTJOIN(", ",TRUE,$I998:$X998))</f>
        <v/>
      </c>
      <c r="AA998" s="34">
        <f>IF($I998="","",IFERROR(INDEX(코드설정!$D$5:$D$24,MATCH($I998,코드설정!$C$5:$C$24,0)),""))</f>
        <v/>
      </c>
      <c r="AB998" s="36" t="n"/>
      <c r="AC998" s="37" t="n"/>
      <c r="AD998" s="38" t="n"/>
      <c r="AE998" s="30">
        <f>IF(OR($B998="",$C998=""),"",$C998-$B998+1)</f>
        <v/>
      </c>
      <c r="AF998" s="32" t="n"/>
      <c r="AG998" s="36" t="n"/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3">
        <f>IF($F999="","",IFERROR(INDEX(사건마스터!$B$5:$B$64,MATCH($F999,사건마스터!$A$5:$A$64,0)),""))</f>
        <v/>
      </c>
      <c r="H999" s="34">
        <f>IF($F999="","",IFERROR(INDEX(사건마스터!$C$5:$C$64,MATCH($F999,사건마스터!$A$5:$A$64,0)),""))</f>
        <v/>
      </c>
      <c r="I999" s="35">
        <f>IF($F999="","",IFERROR(INDEX(사건마스터!$H$5:$H$64,MATCH($F999,사건마스터!$A$5:$A$64,0)),""))</f>
        <v/>
      </c>
      <c r="J999" s="35">
        <f>IF($F999="","",IFERROR(INDEX(사건마스터!$AH$5:$AH$64,MATCH($F999,사건마스터!$A$5:$A$64,0)),""))</f>
        <v/>
      </c>
      <c r="K999" s="35">
        <f>IF($F999="","",IFERROR(INDEX(사건마스터!$AI$5:$AI$64,MATCH($F999,사건마스터!$A$5:$A$64,0)),""))</f>
        <v/>
      </c>
      <c r="L999" s="35">
        <f>IF($F999="","",IFERROR(INDEX(사건마스터!$AJ$5:$AJ$64,MATCH($F999,사건마스터!$A$5:$A$64,0)),""))</f>
        <v/>
      </c>
      <c r="M999" s="35">
        <f>IF($F999="","",IFERROR(INDEX(사건마스터!$AK$5:$AK$64,MATCH($F999,사건마스터!$A$5:$A$64,0)),""))</f>
        <v/>
      </c>
      <c r="N999" s="35">
        <f>IF($F999="","",IFERROR(INDEX(사건마스터!$AL$5:$AL$64,MATCH($F999,사건마스터!$A$5:$A$64,0)),""))</f>
        <v/>
      </c>
      <c r="O999" s="35">
        <f>IF($F999="","",IFERROR(INDEX(사건마스터!$AM$5:$AM$64,MATCH($F999,사건마스터!$A$5:$A$64,0)),""))</f>
        <v/>
      </c>
      <c r="P999" s="35">
        <f>IF($F999="","",IFERROR(INDEX(사건마스터!$AN$5:$AN$64,MATCH($F999,사건마스터!$A$5:$A$64,0)),""))</f>
        <v/>
      </c>
      <c r="Q999" s="35">
        <f>IF($F999="","",IFERROR(INDEX(사건마스터!$AO$5:$AO$64,MATCH($F999,사건마스터!$A$5:$A$64,0)),""))</f>
        <v/>
      </c>
      <c r="R999" s="35">
        <f>IF($F999="","",IFERROR(INDEX(사건마스터!$AP$5:$AP$64,MATCH($F999,사건마스터!$A$5:$A$64,0)),""))</f>
        <v/>
      </c>
      <c r="S999" s="35">
        <f>IF($F999="","",IFERROR(INDEX(사건마스터!$AQ$5:$AQ$64,MATCH($F999,사건마스터!$A$5:$A$64,0)),""))</f>
        <v/>
      </c>
      <c r="T999" s="35">
        <f>IF($F999="","",IFERROR(INDEX(사건마스터!$AR$5:$AR$64,MATCH($F999,사건마스터!$A$5:$A$64,0)),""))</f>
        <v/>
      </c>
      <c r="U999" s="35">
        <f>IF($F999="","",IFERROR(INDEX(사건마스터!$AS$5:$AS$64,MATCH($F999,사건마스터!$A$5:$A$64,0)),""))</f>
        <v/>
      </c>
      <c r="V999" s="35">
        <f>IF($F999="","",IFERROR(INDEX(사건마스터!$AT$5:$AT$64,MATCH($F999,사건마스터!$A$5:$A$64,0)),""))</f>
        <v/>
      </c>
      <c r="W999" s="35">
        <f>IF($F999="","",IFERROR(INDEX(사건마스터!$AU$5:$AU$64,MATCH($F999,사건마스터!$A$5:$A$64,0)),""))</f>
        <v/>
      </c>
      <c r="X999" s="35">
        <f>IF($F999="","",IFERROR(INDEX(사건마스터!$AV$5:$AV$64,MATCH($F999,사건마스터!$A$5:$A$64,0)),""))</f>
        <v/>
      </c>
      <c r="Y999" s="30">
        <f>IF($I999="","",COUNTIF($I999:$X999,"?*"))</f>
        <v/>
      </c>
      <c r="Z999" s="33">
        <f>IF($I999="","",_xlfn.TEXTJOIN(", ",TRUE,$I999:$X999))</f>
        <v/>
      </c>
      <c r="AA999" s="34">
        <f>IF($I999="","",IFERROR(INDEX(코드설정!$D$5:$D$24,MATCH($I999,코드설정!$C$5:$C$24,0)),""))</f>
        <v/>
      </c>
      <c r="AB999" s="36" t="n"/>
      <c r="AC999" s="37" t="n"/>
      <c r="AD999" s="38" t="n"/>
      <c r="AE999" s="30">
        <f>IF(OR($B999="",$C999=""),"",$C999-$B999+1)</f>
        <v/>
      </c>
      <c r="AF999" s="32" t="n"/>
      <c r="AG999" s="36" t="n"/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3">
        <f>IF($F1000="","",IFERROR(INDEX(사건마스터!$B$5:$B$64,MATCH($F1000,사건마스터!$A$5:$A$64,0)),""))</f>
        <v/>
      </c>
      <c r="H1000" s="34">
        <f>IF($F1000="","",IFERROR(INDEX(사건마스터!$C$5:$C$64,MATCH($F1000,사건마스터!$A$5:$A$64,0)),""))</f>
        <v/>
      </c>
      <c r="I1000" s="35">
        <f>IF($F1000="","",IFERROR(INDEX(사건마스터!$H$5:$H$64,MATCH($F1000,사건마스터!$A$5:$A$64,0)),""))</f>
        <v/>
      </c>
      <c r="J1000" s="35">
        <f>IF($F1000="","",IFERROR(INDEX(사건마스터!$AH$5:$AH$64,MATCH($F1000,사건마스터!$A$5:$A$64,0)),""))</f>
        <v/>
      </c>
      <c r="K1000" s="35">
        <f>IF($F1000="","",IFERROR(INDEX(사건마스터!$AI$5:$AI$64,MATCH($F1000,사건마스터!$A$5:$A$64,0)),""))</f>
        <v/>
      </c>
      <c r="L1000" s="35">
        <f>IF($F1000="","",IFERROR(INDEX(사건마스터!$AJ$5:$AJ$64,MATCH($F1000,사건마스터!$A$5:$A$64,0)),""))</f>
        <v/>
      </c>
      <c r="M1000" s="35">
        <f>IF($F1000="","",IFERROR(INDEX(사건마스터!$AK$5:$AK$64,MATCH($F1000,사건마스터!$A$5:$A$64,0)),""))</f>
        <v/>
      </c>
      <c r="N1000" s="35">
        <f>IF($F1000="","",IFERROR(INDEX(사건마스터!$AL$5:$AL$64,MATCH($F1000,사건마스터!$A$5:$A$64,0)),""))</f>
        <v/>
      </c>
      <c r="O1000" s="35">
        <f>IF($F1000="","",IFERROR(INDEX(사건마스터!$AM$5:$AM$64,MATCH($F1000,사건마스터!$A$5:$A$64,0)),""))</f>
        <v/>
      </c>
      <c r="P1000" s="35">
        <f>IF($F1000="","",IFERROR(INDEX(사건마스터!$AN$5:$AN$64,MATCH($F1000,사건마스터!$A$5:$A$64,0)),""))</f>
        <v/>
      </c>
      <c r="Q1000" s="35">
        <f>IF($F1000="","",IFERROR(INDEX(사건마스터!$AO$5:$AO$64,MATCH($F1000,사건마스터!$A$5:$A$64,0)),""))</f>
        <v/>
      </c>
      <c r="R1000" s="35">
        <f>IF($F1000="","",IFERROR(INDEX(사건마스터!$AP$5:$AP$64,MATCH($F1000,사건마스터!$A$5:$A$64,0)),""))</f>
        <v/>
      </c>
      <c r="S1000" s="35">
        <f>IF($F1000="","",IFERROR(INDEX(사건마스터!$AQ$5:$AQ$64,MATCH($F1000,사건마스터!$A$5:$A$64,0)),""))</f>
        <v/>
      </c>
      <c r="T1000" s="35">
        <f>IF($F1000="","",IFERROR(INDEX(사건마스터!$AR$5:$AR$64,MATCH($F1000,사건마스터!$A$5:$A$64,0)),""))</f>
        <v/>
      </c>
      <c r="U1000" s="35">
        <f>IF($F1000="","",IFERROR(INDEX(사건마스터!$AS$5:$AS$64,MATCH($F1000,사건마스터!$A$5:$A$64,0)),""))</f>
        <v/>
      </c>
      <c r="V1000" s="35">
        <f>IF($F1000="","",IFERROR(INDEX(사건마스터!$AT$5:$AT$64,MATCH($F1000,사건마스터!$A$5:$A$64,0)),""))</f>
        <v/>
      </c>
      <c r="W1000" s="35">
        <f>IF($F1000="","",IFERROR(INDEX(사건마스터!$AU$5:$AU$64,MATCH($F1000,사건마스터!$A$5:$A$64,0)),""))</f>
        <v/>
      </c>
      <c r="X1000" s="35">
        <f>IF($F1000="","",IFERROR(INDEX(사건마스터!$AV$5:$AV$64,MATCH($F1000,사건마스터!$A$5:$A$64,0)),""))</f>
        <v/>
      </c>
      <c r="Y1000" s="30">
        <f>IF($I1000="","",COUNTIF($I1000:$X1000,"?*"))</f>
        <v/>
      </c>
      <c r="Z1000" s="33">
        <f>IF($I1000="","",_xlfn.TEXTJOIN(", ",TRUE,$I1000:$X1000))</f>
        <v/>
      </c>
      <c r="AA1000" s="34">
        <f>IF($I1000="","",IFERROR(INDEX(코드설정!$D$5:$D$24,MATCH($I1000,코드설정!$C$5:$C$24,0)),""))</f>
        <v/>
      </c>
      <c r="AB1000" s="36" t="n"/>
      <c r="AC1000" s="37" t="n"/>
      <c r="AD1000" s="38" t="n"/>
      <c r="AE1000" s="30">
        <f>IF(OR($B1000="",$C1000=""),"",$C1000-$B1000+1)</f>
        <v/>
      </c>
      <c r="AF1000" s="32" t="n"/>
      <c r="AG1000" s="36" t="n"/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3">
        <f>IF($F1001="","",IFERROR(INDEX(사건마스터!$B$5:$B$64,MATCH($F1001,사건마스터!$A$5:$A$64,0)),""))</f>
        <v/>
      </c>
      <c r="H1001" s="34">
        <f>IF($F1001="","",IFERROR(INDEX(사건마스터!$C$5:$C$64,MATCH($F1001,사건마스터!$A$5:$A$64,0)),""))</f>
        <v/>
      </c>
      <c r="I1001" s="35">
        <f>IF($F1001="","",IFERROR(INDEX(사건마스터!$H$5:$H$64,MATCH($F1001,사건마스터!$A$5:$A$64,0)),""))</f>
        <v/>
      </c>
      <c r="J1001" s="35">
        <f>IF($F1001="","",IFERROR(INDEX(사건마스터!$AH$5:$AH$64,MATCH($F1001,사건마스터!$A$5:$A$64,0)),""))</f>
        <v/>
      </c>
      <c r="K1001" s="35">
        <f>IF($F1001="","",IFERROR(INDEX(사건마스터!$AI$5:$AI$64,MATCH($F1001,사건마스터!$A$5:$A$64,0)),""))</f>
        <v/>
      </c>
      <c r="L1001" s="35">
        <f>IF($F1001="","",IFERROR(INDEX(사건마스터!$AJ$5:$AJ$64,MATCH($F1001,사건마스터!$A$5:$A$64,0)),""))</f>
        <v/>
      </c>
      <c r="M1001" s="35">
        <f>IF($F1001="","",IFERROR(INDEX(사건마스터!$AK$5:$AK$64,MATCH($F1001,사건마스터!$A$5:$A$64,0)),""))</f>
        <v/>
      </c>
      <c r="N1001" s="35">
        <f>IF($F1001="","",IFERROR(INDEX(사건마스터!$AL$5:$AL$64,MATCH($F1001,사건마스터!$A$5:$A$64,0)),""))</f>
        <v/>
      </c>
      <c r="O1001" s="35">
        <f>IF($F1001="","",IFERROR(INDEX(사건마스터!$AM$5:$AM$64,MATCH($F1001,사건마스터!$A$5:$A$64,0)),""))</f>
        <v/>
      </c>
      <c r="P1001" s="35">
        <f>IF($F1001="","",IFERROR(INDEX(사건마스터!$AN$5:$AN$64,MATCH($F1001,사건마스터!$A$5:$A$64,0)),""))</f>
        <v/>
      </c>
      <c r="Q1001" s="35">
        <f>IF($F1001="","",IFERROR(INDEX(사건마스터!$AO$5:$AO$64,MATCH($F1001,사건마스터!$A$5:$A$64,0)),""))</f>
        <v/>
      </c>
      <c r="R1001" s="35">
        <f>IF($F1001="","",IFERROR(INDEX(사건마스터!$AP$5:$AP$64,MATCH($F1001,사건마스터!$A$5:$A$64,0)),""))</f>
        <v/>
      </c>
      <c r="S1001" s="35">
        <f>IF($F1001="","",IFERROR(INDEX(사건마스터!$AQ$5:$AQ$64,MATCH($F1001,사건마스터!$A$5:$A$64,0)),""))</f>
        <v/>
      </c>
      <c r="T1001" s="35">
        <f>IF($F1001="","",IFERROR(INDEX(사건마스터!$AR$5:$AR$64,MATCH($F1001,사건마스터!$A$5:$A$64,0)),""))</f>
        <v/>
      </c>
      <c r="U1001" s="35">
        <f>IF($F1001="","",IFERROR(INDEX(사건마스터!$AS$5:$AS$64,MATCH($F1001,사건마스터!$A$5:$A$64,0)),""))</f>
        <v/>
      </c>
      <c r="V1001" s="35">
        <f>IF($F1001="","",IFERROR(INDEX(사건마스터!$AT$5:$AT$64,MATCH($F1001,사건마스터!$A$5:$A$64,0)),""))</f>
        <v/>
      </c>
      <c r="W1001" s="35">
        <f>IF($F1001="","",IFERROR(INDEX(사건마스터!$AU$5:$AU$64,MATCH($F1001,사건마스터!$A$5:$A$64,0)),""))</f>
        <v/>
      </c>
      <c r="X1001" s="35">
        <f>IF($F1001="","",IFERROR(INDEX(사건마스터!$AV$5:$AV$64,MATCH($F1001,사건마스터!$A$5:$A$64,0)),""))</f>
        <v/>
      </c>
      <c r="Y1001" s="30">
        <f>IF($I1001="","",COUNTIF($I1001:$X1001,"?*"))</f>
        <v/>
      </c>
      <c r="Z1001" s="33">
        <f>IF($I1001="","",_xlfn.TEXTJOIN(", ",TRUE,$I1001:$X1001))</f>
        <v/>
      </c>
      <c r="AA1001" s="34">
        <f>IF($I1001="","",IFERROR(INDEX(코드설정!$D$5:$D$24,MATCH($I1001,코드설정!$C$5:$C$24,0)),""))</f>
        <v/>
      </c>
      <c r="AB1001" s="36" t="n"/>
      <c r="AC1001" s="37" t="n"/>
      <c r="AD1001" s="38" t="n"/>
      <c r="AE1001" s="30">
        <f>IF(OR($B1001="",$C1001=""),"",$C1001-$B1001+1)</f>
        <v/>
      </c>
      <c r="AF1001" s="32" t="n"/>
      <c r="AG1001" s="36" t="n"/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3">
        <f>IF($F1002="","",IFERROR(INDEX(사건마스터!$B$5:$B$64,MATCH($F1002,사건마스터!$A$5:$A$64,0)),""))</f>
        <v/>
      </c>
      <c r="H1002" s="34">
        <f>IF($F1002="","",IFERROR(INDEX(사건마스터!$C$5:$C$64,MATCH($F1002,사건마스터!$A$5:$A$64,0)),""))</f>
        <v/>
      </c>
      <c r="I1002" s="35">
        <f>IF($F1002="","",IFERROR(INDEX(사건마스터!$H$5:$H$64,MATCH($F1002,사건마스터!$A$5:$A$64,0)),""))</f>
        <v/>
      </c>
      <c r="J1002" s="35">
        <f>IF($F1002="","",IFERROR(INDEX(사건마스터!$AH$5:$AH$64,MATCH($F1002,사건마스터!$A$5:$A$64,0)),""))</f>
        <v/>
      </c>
      <c r="K1002" s="35">
        <f>IF($F1002="","",IFERROR(INDEX(사건마스터!$AI$5:$AI$64,MATCH($F1002,사건마스터!$A$5:$A$64,0)),""))</f>
        <v/>
      </c>
      <c r="L1002" s="35">
        <f>IF($F1002="","",IFERROR(INDEX(사건마스터!$AJ$5:$AJ$64,MATCH($F1002,사건마스터!$A$5:$A$64,0)),""))</f>
        <v/>
      </c>
      <c r="M1002" s="35">
        <f>IF($F1002="","",IFERROR(INDEX(사건마스터!$AK$5:$AK$64,MATCH($F1002,사건마스터!$A$5:$A$64,0)),""))</f>
        <v/>
      </c>
      <c r="N1002" s="35">
        <f>IF($F1002="","",IFERROR(INDEX(사건마스터!$AL$5:$AL$64,MATCH($F1002,사건마스터!$A$5:$A$64,0)),""))</f>
        <v/>
      </c>
      <c r="O1002" s="35">
        <f>IF($F1002="","",IFERROR(INDEX(사건마스터!$AM$5:$AM$64,MATCH($F1002,사건마스터!$A$5:$A$64,0)),""))</f>
        <v/>
      </c>
      <c r="P1002" s="35">
        <f>IF($F1002="","",IFERROR(INDEX(사건마스터!$AN$5:$AN$64,MATCH($F1002,사건마스터!$A$5:$A$64,0)),""))</f>
        <v/>
      </c>
      <c r="Q1002" s="35">
        <f>IF($F1002="","",IFERROR(INDEX(사건마스터!$AO$5:$AO$64,MATCH($F1002,사건마스터!$A$5:$A$64,0)),""))</f>
        <v/>
      </c>
      <c r="R1002" s="35">
        <f>IF($F1002="","",IFERROR(INDEX(사건마스터!$AP$5:$AP$64,MATCH($F1002,사건마스터!$A$5:$A$64,0)),""))</f>
        <v/>
      </c>
      <c r="S1002" s="35">
        <f>IF($F1002="","",IFERROR(INDEX(사건마스터!$AQ$5:$AQ$64,MATCH($F1002,사건마스터!$A$5:$A$64,0)),""))</f>
        <v/>
      </c>
      <c r="T1002" s="35">
        <f>IF($F1002="","",IFERROR(INDEX(사건마스터!$AR$5:$AR$64,MATCH($F1002,사건마스터!$A$5:$A$64,0)),""))</f>
        <v/>
      </c>
      <c r="U1002" s="35">
        <f>IF($F1002="","",IFERROR(INDEX(사건마스터!$AS$5:$AS$64,MATCH($F1002,사건마스터!$A$5:$A$64,0)),""))</f>
        <v/>
      </c>
      <c r="V1002" s="35">
        <f>IF($F1002="","",IFERROR(INDEX(사건마스터!$AT$5:$AT$64,MATCH($F1002,사건마스터!$A$5:$A$64,0)),""))</f>
        <v/>
      </c>
      <c r="W1002" s="35">
        <f>IF($F1002="","",IFERROR(INDEX(사건마스터!$AU$5:$AU$64,MATCH($F1002,사건마스터!$A$5:$A$64,0)),""))</f>
        <v/>
      </c>
      <c r="X1002" s="35">
        <f>IF($F1002="","",IFERROR(INDEX(사건마스터!$AV$5:$AV$64,MATCH($F1002,사건마스터!$A$5:$A$64,0)),""))</f>
        <v/>
      </c>
      <c r="Y1002" s="30">
        <f>IF($I1002="","",COUNTIF($I1002:$X1002,"?*"))</f>
        <v/>
      </c>
      <c r="Z1002" s="33">
        <f>IF($I1002="","",_xlfn.TEXTJOIN(", ",TRUE,$I1002:$X1002))</f>
        <v/>
      </c>
      <c r="AA1002" s="34">
        <f>IF($I1002="","",IFERROR(INDEX(코드설정!$D$5:$D$24,MATCH($I1002,코드설정!$C$5:$C$24,0)),""))</f>
        <v/>
      </c>
      <c r="AB1002" s="36" t="n"/>
      <c r="AC1002" s="37" t="n"/>
      <c r="AD1002" s="38" t="n"/>
      <c r="AE1002" s="30">
        <f>IF(OR($B1002="",$C1002=""),"",$C1002-$B1002+1)</f>
        <v/>
      </c>
      <c r="AF1002" s="32" t="n"/>
      <c r="AG1002" s="36" t="n"/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3">
        <f>IF($F1003="","",IFERROR(INDEX(사건마스터!$B$5:$B$64,MATCH($F1003,사건마스터!$A$5:$A$64,0)),""))</f>
        <v/>
      </c>
      <c r="H1003" s="34">
        <f>IF($F1003="","",IFERROR(INDEX(사건마스터!$C$5:$C$64,MATCH($F1003,사건마스터!$A$5:$A$64,0)),""))</f>
        <v/>
      </c>
      <c r="I1003" s="35">
        <f>IF($F1003="","",IFERROR(INDEX(사건마스터!$H$5:$H$64,MATCH($F1003,사건마스터!$A$5:$A$64,0)),""))</f>
        <v/>
      </c>
      <c r="J1003" s="35">
        <f>IF($F1003="","",IFERROR(INDEX(사건마스터!$AH$5:$AH$64,MATCH($F1003,사건마스터!$A$5:$A$64,0)),""))</f>
        <v/>
      </c>
      <c r="K1003" s="35">
        <f>IF($F1003="","",IFERROR(INDEX(사건마스터!$AI$5:$AI$64,MATCH($F1003,사건마스터!$A$5:$A$64,0)),""))</f>
        <v/>
      </c>
      <c r="L1003" s="35">
        <f>IF($F1003="","",IFERROR(INDEX(사건마스터!$AJ$5:$AJ$64,MATCH($F1003,사건마스터!$A$5:$A$64,0)),""))</f>
        <v/>
      </c>
      <c r="M1003" s="35">
        <f>IF($F1003="","",IFERROR(INDEX(사건마스터!$AK$5:$AK$64,MATCH($F1003,사건마스터!$A$5:$A$64,0)),""))</f>
        <v/>
      </c>
      <c r="N1003" s="35">
        <f>IF($F1003="","",IFERROR(INDEX(사건마스터!$AL$5:$AL$64,MATCH($F1003,사건마스터!$A$5:$A$64,0)),""))</f>
        <v/>
      </c>
      <c r="O1003" s="35">
        <f>IF($F1003="","",IFERROR(INDEX(사건마스터!$AM$5:$AM$64,MATCH($F1003,사건마스터!$A$5:$A$64,0)),""))</f>
        <v/>
      </c>
      <c r="P1003" s="35">
        <f>IF($F1003="","",IFERROR(INDEX(사건마스터!$AN$5:$AN$64,MATCH($F1003,사건마스터!$A$5:$A$64,0)),""))</f>
        <v/>
      </c>
      <c r="Q1003" s="35">
        <f>IF($F1003="","",IFERROR(INDEX(사건마스터!$AO$5:$AO$64,MATCH($F1003,사건마스터!$A$5:$A$64,0)),""))</f>
        <v/>
      </c>
      <c r="R1003" s="35">
        <f>IF($F1003="","",IFERROR(INDEX(사건마스터!$AP$5:$AP$64,MATCH($F1003,사건마스터!$A$5:$A$64,0)),""))</f>
        <v/>
      </c>
      <c r="S1003" s="35">
        <f>IF($F1003="","",IFERROR(INDEX(사건마스터!$AQ$5:$AQ$64,MATCH($F1003,사건마스터!$A$5:$A$64,0)),""))</f>
        <v/>
      </c>
      <c r="T1003" s="35">
        <f>IF($F1003="","",IFERROR(INDEX(사건마스터!$AR$5:$AR$64,MATCH($F1003,사건마스터!$A$5:$A$64,0)),""))</f>
        <v/>
      </c>
      <c r="U1003" s="35">
        <f>IF($F1003="","",IFERROR(INDEX(사건마스터!$AS$5:$AS$64,MATCH($F1003,사건마스터!$A$5:$A$64,0)),""))</f>
        <v/>
      </c>
      <c r="V1003" s="35">
        <f>IF($F1003="","",IFERROR(INDEX(사건마스터!$AT$5:$AT$64,MATCH($F1003,사건마스터!$A$5:$A$64,0)),""))</f>
        <v/>
      </c>
      <c r="W1003" s="35">
        <f>IF($F1003="","",IFERROR(INDEX(사건마스터!$AU$5:$AU$64,MATCH($F1003,사건마스터!$A$5:$A$64,0)),""))</f>
        <v/>
      </c>
      <c r="X1003" s="35">
        <f>IF($F1003="","",IFERROR(INDEX(사건마스터!$AV$5:$AV$64,MATCH($F1003,사건마스터!$A$5:$A$64,0)),""))</f>
        <v/>
      </c>
      <c r="Y1003" s="30">
        <f>IF($I1003="","",COUNTIF($I1003:$X1003,"?*"))</f>
        <v/>
      </c>
      <c r="Z1003" s="33">
        <f>IF($I1003="","",_xlfn.TEXTJOIN(", ",TRUE,$I1003:$X1003))</f>
        <v/>
      </c>
      <c r="AA1003" s="34">
        <f>IF($I1003="","",IFERROR(INDEX(코드설정!$D$5:$D$24,MATCH($I1003,코드설정!$C$5:$C$24,0)),""))</f>
        <v/>
      </c>
      <c r="AB1003" s="36" t="n"/>
      <c r="AC1003" s="37" t="n"/>
      <c r="AD1003" s="38" t="n"/>
      <c r="AE1003" s="30">
        <f>IF(OR($B1003="",$C1003=""),"",$C1003-$B1003+1)</f>
        <v/>
      </c>
      <c r="AF1003" s="32" t="n"/>
      <c r="AG1003" s="36" t="n"/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3">
        <f>IF($F1004="","",IFERROR(INDEX(사건마스터!$B$5:$B$64,MATCH($F1004,사건마스터!$A$5:$A$64,0)),""))</f>
        <v/>
      </c>
      <c r="H1004" s="34">
        <f>IF($F1004="","",IFERROR(INDEX(사건마스터!$C$5:$C$64,MATCH($F1004,사건마스터!$A$5:$A$64,0)),""))</f>
        <v/>
      </c>
      <c r="I1004" s="35">
        <f>IF($F1004="","",IFERROR(INDEX(사건마스터!$H$5:$H$64,MATCH($F1004,사건마스터!$A$5:$A$64,0)),""))</f>
        <v/>
      </c>
      <c r="J1004" s="35">
        <f>IF($F1004="","",IFERROR(INDEX(사건마스터!$AH$5:$AH$64,MATCH($F1004,사건마스터!$A$5:$A$64,0)),""))</f>
        <v/>
      </c>
      <c r="K1004" s="35">
        <f>IF($F1004="","",IFERROR(INDEX(사건마스터!$AI$5:$AI$64,MATCH($F1004,사건마스터!$A$5:$A$64,0)),""))</f>
        <v/>
      </c>
      <c r="L1004" s="35">
        <f>IF($F1004="","",IFERROR(INDEX(사건마스터!$AJ$5:$AJ$64,MATCH($F1004,사건마스터!$A$5:$A$64,0)),""))</f>
        <v/>
      </c>
      <c r="M1004" s="35">
        <f>IF($F1004="","",IFERROR(INDEX(사건마스터!$AK$5:$AK$64,MATCH($F1004,사건마스터!$A$5:$A$64,0)),""))</f>
        <v/>
      </c>
      <c r="N1004" s="35">
        <f>IF($F1004="","",IFERROR(INDEX(사건마스터!$AL$5:$AL$64,MATCH($F1004,사건마스터!$A$5:$A$64,0)),""))</f>
        <v/>
      </c>
      <c r="O1004" s="35">
        <f>IF($F1004="","",IFERROR(INDEX(사건마스터!$AM$5:$AM$64,MATCH($F1004,사건마스터!$A$5:$A$64,0)),""))</f>
        <v/>
      </c>
      <c r="P1004" s="35">
        <f>IF($F1004="","",IFERROR(INDEX(사건마스터!$AN$5:$AN$64,MATCH($F1004,사건마스터!$A$5:$A$64,0)),""))</f>
        <v/>
      </c>
      <c r="Q1004" s="35">
        <f>IF($F1004="","",IFERROR(INDEX(사건마스터!$AO$5:$AO$64,MATCH($F1004,사건마스터!$A$5:$A$64,0)),""))</f>
        <v/>
      </c>
      <c r="R1004" s="35">
        <f>IF($F1004="","",IFERROR(INDEX(사건마스터!$AP$5:$AP$64,MATCH($F1004,사건마스터!$A$5:$A$64,0)),""))</f>
        <v/>
      </c>
      <c r="S1004" s="35">
        <f>IF($F1004="","",IFERROR(INDEX(사건마스터!$AQ$5:$AQ$64,MATCH($F1004,사건마스터!$A$5:$A$64,0)),""))</f>
        <v/>
      </c>
      <c r="T1004" s="35">
        <f>IF($F1004="","",IFERROR(INDEX(사건마스터!$AR$5:$AR$64,MATCH($F1004,사건마스터!$A$5:$A$64,0)),""))</f>
        <v/>
      </c>
      <c r="U1004" s="35">
        <f>IF($F1004="","",IFERROR(INDEX(사건마스터!$AS$5:$AS$64,MATCH($F1004,사건마스터!$A$5:$A$64,0)),""))</f>
        <v/>
      </c>
      <c r="V1004" s="35">
        <f>IF($F1004="","",IFERROR(INDEX(사건마스터!$AT$5:$AT$64,MATCH($F1004,사건마스터!$A$5:$A$64,0)),""))</f>
        <v/>
      </c>
      <c r="W1004" s="35">
        <f>IF($F1004="","",IFERROR(INDEX(사건마스터!$AU$5:$AU$64,MATCH($F1004,사건마스터!$A$5:$A$64,0)),""))</f>
        <v/>
      </c>
      <c r="X1004" s="35">
        <f>IF($F1004="","",IFERROR(INDEX(사건마스터!$AV$5:$AV$64,MATCH($F1004,사건마스터!$A$5:$A$64,0)),""))</f>
        <v/>
      </c>
      <c r="Y1004" s="30">
        <f>IF($I1004="","",COUNTIF($I1004:$X1004,"?*"))</f>
        <v/>
      </c>
      <c r="Z1004" s="33">
        <f>IF($I1004="","",_xlfn.TEXTJOIN(", ",TRUE,$I1004:$X1004))</f>
        <v/>
      </c>
      <c r="AA1004" s="34">
        <f>IF($I1004="","",IFERROR(INDEX(코드설정!$D$5:$D$24,MATCH($I1004,코드설정!$C$5:$C$24,0)),""))</f>
        <v/>
      </c>
      <c r="AB1004" s="36" t="n"/>
      <c r="AC1004" s="37" t="n"/>
      <c r="AD1004" s="38" t="n"/>
      <c r="AE1004" s="30">
        <f>IF(OR($B1004="",$C1004=""),"",$C1004-$B1004+1)</f>
        <v/>
      </c>
      <c r="AF1004" s="32" t="n"/>
      <c r="AG1004" s="36" t="n"/>
    </row>
  </sheetData>
  <autoFilter ref="A4:AG1004"/>
  <conditionalFormatting sqref="A5:AG1004">
    <cfRule type="expression" priority="1" dxfId="2" stopIfTrue="0">
      <formula>AND($B5&lt;&gt;"",$AF5="완료")</formula>
    </cfRule>
    <cfRule type="expression" priority="2" dxfId="3" stopIfTrue="0">
      <formula>AND($B5&lt;&gt;"",$AF5="보류")</formula>
    </cfRule>
    <cfRule type="expression" priority="3" dxfId="4" stopIfTrue="0">
      <formula>AND($B5&lt;&gt;"",$AF5&lt;&gt;"완료",$C5&lt;&gt;"",$C5&lt;TODAY())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X1004" showDropDown="0" showInputMessage="0" showErrorMessage="0" allowBlank="1" type="list">
      <formula1>코드설정!$C$5:$C$24</formula1>
    </dataValidation>
    <dataValidation sqref="AF5:AF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J5:J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V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IF($A5="","",COUNTIF($L5:$AE5,"?*"))</f>
        <v/>
      </c>
      <c r="H5" s="44">
        <f>IF($A5="","",IFERROR(INDEX($L$4:$AE$4,MATCH("주담당",$L5:$AE5,0)),""))</f>
        <v/>
      </c>
      <c r="I5" s="45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IF($A5="","",_xlfn.TEXTJOIN(", ",TRUE,IF($L5="참여",L$4,""),IF($M5="참여",M$4,""),IF($N5="참여",N$4,""),IF($O5="참여",O$4,""),IF($P5="참여",P$4,""),IF($Q5="참여",Q$4,""),IF($R5="참여",R$4,""),IF($S5="참여",S$4,""),IF($T5="참여",T$4,""),IF($U5="참여",U$4,""),IF($V5="참여",V$4,""),IF($W5="참여",W$4,""),IF($X5="참여",X$4,""),IF($Y5="참여",Y$4,""),IF($Z5="참여",Z$4,""),IF($AA5="참여",AA$4,""),IF($AB5="참여",AB$4,""),IF($AC5="참여",AC$4,""),IF($AD5="참여",AD$4,""),IF($AE5="참여",AE$4,"")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IF($A6="","",COUNTIF($L6:$AE6,"?*"))</f>
        <v/>
      </c>
      <c r="H6" s="44">
        <f>IF($A6="","",IFERROR(INDEX($L$4:$AE$4,MATCH("주담당",$L6:$AE6,0)),""))</f>
        <v/>
      </c>
      <c r="I6" s="45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IF($A6="","",_xlfn.TEXTJOIN(", ",TRUE,IF($L6="참여",L$4,""),IF($M6="참여",M$4,""),IF($N6="참여",N$4,""),IF($O6="참여",O$4,""),IF($P6="참여",P$4,""),IF($Q6="참여",Q$4,""),IF($R6="참여",R$4,""),IF($S6="참여",S$4,""),IF($T6="참여",T$4,""),IF($U6="참여",U$4,""),IF($V6="참여",V$4,""),IF($W6="참여",W$4,""),IF($X6="참여",X$4,""),IF($Y6="참여",Y$4,""),IF($Z6="참여",Z$4,""),IF($AA6="참여",AA$4,""),IF($AB6="참여",AB$4,""),IF($AC6="참여",AC$4,""),IF($AD6="참여",AD$4,""),IF($AE6="참여",AE$4,"")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IF($A7="","",COUNTIF($L7:$AE7,"?*"))</f>
        <v/>
      </c>
      <c r="H7" s="44">
        <f>IF($A7="","",IFERROR(INDEX($L$4:$AE$4,MATCH("주담당",$L7:$AE7,0)),""))</f>
        <v/>
      </c>
      <c r="I7" s="45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IF($A7="","",_xlfn.TEXTJOIN(", ",TRUE,IF($L7="참여",L$4,""),IF($M7="참여",M$4,""),IF($N7="참여",N$4,""),IF($O7="참여",O$4,""),IF($P7="참여",P$4,""),IF($Q7="참여",Q$4,""),IF($R7="참여",R$4,""),IF($S7="참여",S$4,""),IF($T7="참여",T$4,""),IF($U7="참여",U$4,""),IF($V7="참여",V$4,""),IF($W7="참여",W$4,""),IF($X7="참여",X$4,""),IF($Y7="참여",Y$4,""),IF($Z7="참여",Z$4,""),IF($AA7="참여",AA$4,""),IF($AB7="참여",AB$4,""),IF($AC7="참여",AC$4,""),IF($AD7="참여",AD$4,""),IF($AE7="참여",AE$4,"")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IF($A8="","",COUNTIF($L8:$AE8,"?*"))</f>
        <v/>
      </c>
      <c r="H8" s="44">
        <f>IF($A8="","",IFERROR(INDEX($L$4:$AE$4,MATCH("주담당",$L8:$AE8,0)),""))</f>
        <v/>
      </c>
      <c r="I8" s="45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IF($A8="","",_xlfn.TEXTJOIN(", ",TRUE,IF($L8="참여",L$4,""),IF($M8="참여",M$4,""),IF($N8="참여",N$4,""),IF($O8="참여",O$4,""),IF($P8="참여",P$4,""),IF($Q8="참여",Q$4,""),IF($R8="참여",R$4,""),IF($S8="참여",S$4,""),IF($T8="참여",T$4,""),IF($U8="참여",U$4,""),IF($V8="참여",V$4,""),IF($W8="참여",W$4,""),IF($X8="참여",X$4,""),IF($Y8="참여",Y$4,""),IF($Z8="참여",Z$4,""),IF($AA8="참여",AA$4,""),IF($AB8="참여",AB$4,""),IF($AC8="참여",AC$4,""),IF($AD8="참여",AD$4,""),IF($AE8="참여",AE$4,"")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IF($A9="","",COUNTIF($L9:$AE9,"?*"))</f>
        <v/>
      </c>
      <c r="H9" s="44">
        <f>IF($A9="","",IFERROR(INDEX($L$4:$AE$4,MATCH("주담당",$L9:$AE9,0)),""))</f>
        <v/>
      </c>
      <c r="I9" s="45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IF($A9="","",_xlfn.TEXTJOIN(", ",TRUE,IF($L9="참여",L$4,""),IF($M9="참여",M$4,""),IF($N9="참여",N$4,""),IF($O9="참여",O$4,""),IF($P9="참여",P$4,""),IF($Q9="참여",Q$4,""),IF($R9="참여",R$4,""),IF($S9="참여",S$4,""),IF($T9="참여",T$4,""),IF($U9="참여",U$4,""),IF($V9="참여",V$4,""),IF($W9="참여",W$4,""),IF($X9="참여",X$4,""),IF($Y9="참여",Y$4,""),IF($Z9="참여",Z$4,""),IF($AA9="참여",AA$4,""),IF($AB9="참여",AB$4,""),IF($AC9="참여",AC$4,""),IF($AD9="참여",AD$4,""),IF($AE9="참여",AE$4,"")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IF($A10="","",COUNTIF($L10:$AE10,"?*"))</f>
        <v/>
      </c>
      <c r="H10" s="44">
        <f>IF($A10="","",IFERROR(INDEX($L$4:$AE$4,MATCH("주담당",$L10:$AE10,0)),""))</f>
        <v/>
      </c>
      <c r="I10" s="45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IF($A10="","",_xlfn.TEXTJOIN(", ",TRUE,IF($L10="참여",L$4,""),IF($M10="참여",M$4,""),IF($N10="참여",N$4,""),IF($O10="참여",O$4,""),IF($P10="참여",P$4,""),IF($Q10="참여",Q$4,""),IF($R10="참여",R$4,""),IF($S10="참여",S$4,""),IF($T10="참여",T$4,""),IF($U10="참여",U$4,""),IF($V10="참여",V$4,""),IF($W10="참여",W$4,""),IF($X10="참여",X$4,""),IF($Y10="참여",Y$4,""),IF($Z10="참여",Z$4,""),IF($AA10="참여",AA$4,""),IF($AB10="참여",AB$4,""),IF($AC10="참여",AC$4,""),IF($AD10="참여",AD$4,""),IF($AE10="참여",AE$4,"")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IF($A11="","",COUNTIF($L11:$AE11,"?*"))</f>
        <v/>
      </c>
      <c r="H11" s="44">
        <f>IF($A11="","",IFERROR(INDEX($L$4:$AE$4,MATCH("주담당",$L11:$AE11,0)),""))</f>
        <v/>
      </c>
      <c r="I11" s="45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IF($A11="","",_xlfn.TEXTJOIN(", ",TRUE,IF($L11="참여",L$4,""),IF($M11="참여",M$4,""),IF($N11="참여",N$4,""),IF($O11="참여",O$4,""),IF($P11="참여",P$4,""),IF($Q11="참여",Q$4,""),IF($R11="참여",R$4,""),IF($S11="참여",S$4,""),IF($T11="참여",T$4,""),IF($U11="참여",U$4,""),IF($V11="참여",V$4,""),IF($W11="참여",W$4,""),IF($X11="참여",X$4,""),IF($Y11="참여",Y$4,""),IF($Z11="참여",Z$4,""),IF($AA11="참여",AA$4,""),IF($AB11="참여",AB$4,""),IF($AC11="참여",AC$4,""),IF($AD11="참여",AD$4,""),IF($AE11="참여",AE$4,"")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IF($A12="","",COUNTIF($L12:$AE12,"?*"))</f>
        <v/>
      </c>
      <c r="H12" s="44">
        <f>IF($A12="","",IFERROR(INDEX($L$4:$AE$4,MATCH("주담당",$L12:$AE12,0)),""))</f>
        <v/>
      </c>
      <c r="I12" s="45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IF($A12="","",_xlfn.TEXTJOIN(", ",TRUE,IF($L12="참여",L$4,""),IF($M12="참여",M$4,""),IF($N12="참여",N$4,""),IF($O12="참여",O$4,""),IF($P12="참여",P$4,""),IF($Q12="참여",Q$4,""),IF($R12="참여",R$4,""),IF($S12="참여",S$4,""),IF($T12="참여",T$4,""),IF($U12="참여",U$4,""),IF($V12="참여",V$4,""),IF($W12="참여",W$4,""),IF($X12="참여",X$4,""),IF($Y12="참여",Y$4,""),IF($Z12="참여",Z$4,""),IF($AA12="참여",AA$4,""),IF($AB12="참여",AB$4,""),IF($AC12="참여",AC$4,""),IF($AD12="참여",AD$4,""),IF($AE12="참여",AE$4,"")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IF($A13="","",COUNTIF($L13:$AE13,"?*"))</f>
        <v/>
      </c>
      <c r="H13" s="44">
        <f>IF($A13="","",IFERROR(INDEX($L$4:$AE$4,MATCH("주담당",$L13:$AE13,0)),""))</f>
        <v/>
      </c>
      <c r="I13" s="45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IF($A13="","",_xlfn.TEXTJOIN(", ",TRUE,IF($L13="참여",L$4,""),IF($M13="참여",M$4,""),IF($N13="참여",N$4,""),IF($O13="참여",O$4,""),IF($P13="참여",P$4,""),IF($Q13="참여",Q$4,""),IF($R13="참여",R$4,""),IF($S13="참여",S$4,""),IF($T13="참여",T$4,""),IF($U13="참여",U$4,""),IF($V13="참여",V$4,""),IF($W13="참여",W$4,""),IF($X13="참여",X$4,""),IF($Y13="참여",Y$4,""),IF($Z13="참여",Z$4,""),IF($AA13="참여",AA$4,""),IF($AB13="참여",AB$4,""),IF($AC13="참여",AC$4,""),IF($AD13="참여",AD$4,""),IF($AE13="참여",AE$4,"")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IF($A14="","",COUNTIF($L14:$AE14,"?*"))</f>
        <v/>
      </c>
      <c r="H14" s="44">
        <f>IF($A14="","",IFERROR(INDEX($L$4:$AE$4,MATCH("주담당",$L14:$AE14,0)),""))</f>
        <v/>
      </c>
      <c r="I14" s="45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IF($A14="","",_xlfn.TEXTJOIN(", ",TRUE,IF($L14="참여",L$4,""),IF($M14="참여",M$4,""),IF($N14="참여",N$4,""),IF($O14="참여",O$4,""),IF($P14="참여",P$4,""),IF($Q14="참여",Q$4,""),IF($R14="참여",R$4,""),IF($S14="참여",S$4,""),IF($T14="참여",T$4,""),IF($U14="참여",U$4,""),IF($V14="참여",V$4,""),IF($W14="참여",W$4,""),IF($X14="참여",X$4,""),IF($Y14="참여",Y$4,""),IF($Z14="참여",Z$4,""),IF($AA14="참여",AA$4,""),IF($AB14="참여",AB$4,""),IF($AC14="참여",AC$4,""),IF($AD14="참여",AD$4,""),IF($AE14="참여",AE$4,"")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IF($A15="","",COUNTIF($L15:$AE15,"?*"))</f>
        <v/>
      </c>
      <c r="H15" s="44">
        <f>IF($A15="","",IFERROR(INDEX($L$4:$AE$4,MATCH("주담당",$L15:$AE15,0)),""))</f>
        <v/>
      </c>
      <c r="I15" s="45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IF($A15="","",_xlfn.TEXTJOIN(", ",TRUE,IF($L15="참여",L$4,""),IF($M15="참여",M$4,""),IF($N15="참여",N$4,""),IF($O15="참여",O$4,""),IF($P15="참여",P$4,""),IF($Q15="참여",Q$4,""),IF($R15="참여",R$4,""),IF($S15="참여",S$4,""),IF($T15="참여",T$4,""),IF($U15="참여",U$4,""),IF($V15="참여",V$4,""),IF($W15="참여",W$4,""),IF($X15="참여",X$4,""),IF($Y15="참여",Y$4,""),IF($Z15="참여",Z$4,""),IF($AA15="참여",AA$4,""),IF($AB15="참여",AB$4,""),IF($AC15="참여",AC$4,""),IF($AD15="참여",AD$4,""),IF($AE15="참여",AE$4,"")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IF($A16="","",COUNTIF($L16:$AE16,"?*"))</f>
        <v/>
      </c>
      <c r="H16" s="44">
        <f>IF($A16="","",IFERROR(INDEX($L$4:$AE$4,MATCH("주담당",$L16:$AE16,0)),""))</f>
        <v/>
      </c>
      <c r="I16" s="45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IF($A16="","",_xlfn.TEXTJOIN(", ",TRUE,IF($L16="참여",L$4,""),IF($M16="참여",M$4,""),IF($N16="참여",N$4,""),IF($O16="참여",O$4,""),IF($P16="참여",P$4,""),IF($Q16="참여",Q$4,""),IF($R16="참여",R$4,""),IF($S16="참여",S$4,""),IF($T16="참여",T$4,""),IF($U16="참여",U$4,""),IF($V16="참여",V$4,""),IF($W16="참여",W$4,""),IF($X16="참여",X$4,""),IF($Y16="참여",Y$4,""),IF($Z16="참여",Z$4,""),IF($AA16="참여",AA$4,""),IF($AB16="참여",AB$4,""),IF($AC16="참여",AC$4,""),IF($AD16="참여",AD$4,""),IF($AE16="참여",AE$4,"")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IF($A17="","",COUNTIF($L17:$AE17,"?*"))</f>
        <v/>
      </c>
      <c r="H17" s="44">
        <f>IF($A17="","",IFERROR(INDEX($L$4:$AE$4,MATCH("주담당",$L17:$AE17,0)),""))</f>
        <v/>
      </c>
      <c r="I17" s="45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IF($A17="","",_xlfn.TEXTJOIN(", ",TRUE,IF($L17="참여",L$4,""),IF($M17="참여",M$4,""),IF($N17="참여",N$4,""),IF($O17="참여",O$4,""),IF($P17="참여",P$4,""),IF($Q17="참여",Q$4,""),IF($R17="참여",R$4,""),IF($S17="참여",S$4,""),IF($T17="참여",T$4,""),IF($U17="참여",U$4,""),IF($V17="참여",V$4,""),IF($W17="참여",W$4,""),IF($X17="참여",X$4,""),IF($Y17="참여",Y$4,""),IF($Z17="참여",Z$4,""),IF($AA17="참여",AA$4,""),IF($AB17="참여",AB$4,""),IF($AC17="참여",AC$4,""),IF($AD17="참여",AD$4,""),IF($AE17="참여",AE$4,"")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IF($A18="","",COUNTIF($L18:$AE18,"?*"))</f>
        <v/>
      </c>
      <c r="H18" s="44">
        <f>IF($A18="","",IFERROR(INDEX($L$4:$AE$4,MATCH("주담당",$L18:$AE18,0)),""))</f>
        <v/>
      </c>
      <c r="I18" s="45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IF($A18="","",_xlfn.TEXTJOIN(", ",TRUE,IF($L18="참여",L$4,""),IF($M18="참여",M$4,""),IF($N18="참여",N$4,""),IF($O18="참여",O$4,""),IF($P18="참여",P$4,""),IF($Q18="참여",Q$4,""),IF($R18="참여",R$4,""),IF($S18="참여",S$4,""),IF($T18="참여",T$4,""),IF($U18="참여",U$4,""),IF($V18="참여",V$4,""),IF($W18="참여",W$4,""),IF($X18="참여",X$4,""),IF($Y18="참여",Y$4,""),IF($Z18="참여",Z$4,""),IF($AA18="참여",AA$4,""),IF($AB18="참여",AB$4,""),IF($AC18="참여",AC$4,""),IF($AD18="참여",AD$4,""),IF($AE18="참여",AE$4,"")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IF($A19="","",COUNTIF($L19:$AE19,"?*"))</f>
        <v/>
      </c>
      <c r="H19" s="44">
        <f>IF($A19="","",IFERROR(INDEX($L$4:$AE$4,MATCH("주담당",$L19:$AE19,0)),""))</f>
        <v/>
      </c>
      <c r="I19" s="45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IF($A19="","",_xlfn.TEXTJOIN(", ",TRUE,IF($L19="참여",L$4,""),IF($M19="참여",M$4,""),IF($N19="참여",N$4,""),IF($O19="참여",O$4,""),IF($P19="참여",P$4,""),IF($Q19="참여",Q$4,""),IF($R19="참여",R$4,""),IF($S19="참여",S$4,""),IF($T19="참여",T$4,""),IF($U19="참여",U$4,""),IF($V19="참여",V$4,""),IF($W19="참여",W$4,""),IF($X19="참여",X$4,""),IF($Y19="참여",Y$4,""),IF($Z19="참여",Z$4,""),IF($AA19="참여",AA$4,""),IF($AB19="참여",AB$4,""),IF($AC19="참여",AC$4,""),IF($AD19="참여",AD$4,""),IF($AE19="참여",AE$4,"")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IF($A20="","",COUNTIF($L20:$AE20,"?*"))</f>
        <v/>
      </c>
      <c r="H20" s="44">
        <f>IF($A20="","",IFERROR(INDEX($L$4:$AE$4,MATCH("주담당",$L20:$AE20,0)),""))</f>
        <v/>
      </c>
      <c r="I20" s="45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IF($A20="","",_xlfn.TEXTJOIN(", ",TRUE,IF($L20="참여",L$4,""),IF($M20="참여",M$4,""),IF($N20="참여",N$4,""),IF($O20="참여",O$4,""),IF($P20="참여",P$4,""),IF($Q20="참여",Q$4,""),IF($R20="참여",R$4,""),IF($S20="참여",S$4,""),IF($T20="참여",T$4,""),IF($U20="참여",U$4,""),IF($V20="참여",V$4,""),IF($W20="참여",W$4,""),IF($X20="참여",X$4,""),IF($Y20="참여",Y$4,""),IF($Z20="참여",Z$4,""),IF($AA20="참여",AA$4,""),IF($AB20="참여",AB$4,""),IF($AC20="참여",AC$4,""),IF($AD20="참여",AD$4,""),IF($AE20="참여",AE$4,"")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IF($A21="","",COUNTIF($L21:$AE21,"?*"))</f>
        <v/>
      </c>
      <c r="H21" s="44">
        <f>IF($A21="","",IFERROR(INDEX($L$4:$AE$4,MATCH("주담당",$L21:$AE21,0)),""))</f>
        <v/>
      </c>
      <c r="I21" s="45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IF($A21="","",_xlfn.TEXTJOIN(", ",TRUE,IF($L21="참여",L$4,""),IF($M21="참여",M$4,""),IF($N21="참여",N$4,""),IF($O21="참여",O$4,""),IF($P21="참여",P$4,""),IF($Q21="참여",Q$4,""),IF($R21="참여",R$4,""),IF($S21="참여",S$4,""),IF($T21="참여",T$4,""),IF($U21="참여",U$4,""),IF($V21="참여",V$4,""),IF($W21="참여",W$4,""),IF($X21="참여",X$4,""),IF($Y21="참여",Y$4,""),IF($Z21="참여",Z$4,""),IF($AA21="참여",AA$4,""),IF($AB21="참여",AB$4,""),IF($AC21="참여",AC$4,""),IF($AD21="참여",AD$4,""),IF($AE21="참여",AE$4,"")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IF($A22="","",COUNTIF($L22:$AE22,"?*"))</f>
        <v/>
      </c>
      <c r="H22" s="44">
        <f>IF($A22="","",IFERROR(INDEX($L$4:$AE$4,MATCH("주담당",$L22:$AE22,0)),""))</f>
        <v/>
      </c>
      <c r="I22" s="45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IF($A22="","",_xlfn.TEXTJOIN(", ",TRUE,IF($L22="참여",L$4,""),IF($M22="참여",M$4,""),IF($N22="참여",N$4,""),IF($O22="참여",O$4,""),IF($P22="참여",P$4,""),IF($Q22="참여",Q$4,""),IF($R22="참여",R$4,""),IF($S22="참여",S$4,""),IF($T22="참여",T$4,""),IF($U22="참여",U$4,""),IF($V22="참여",V$4,""),IF($W22="참여",W$4,""),IF($X22="참여",X$4,""),IF($Y22="참여",Y$4,""),IF($Z22="참여",Z$4,""),IF($AA22="참여",AA$4,""),IF($AB22="참여",AB$4,""),IF($AC22="참여",AC$4,""),IF($AD22="참여",AD$4,""),IF($AE22="참여",AE$4,"")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IF($A23="","",COUNTIF($L23:$AE23,"?*"))</f>
        <v/>
      </c>
      <c r="H23" s="44">
        <f>IF($A23="","",IFERROR(INDEX($L$4:$AE$4,MATCH("주담당",$L23:$AE23,0)),""))</f>
        <v/>
      </c>
      <c r="I23" s="45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IF($A23="","",_xlfn.TEXTJOIN(", ",TRUE,IF($L23="참여",L$4,""),IF($M23="참여",M$4,""),IF($N23="참여",N$4,""),IF($O23="참여",O$4,""),IF($P23="참여",P$4,""),IF($Q23="참여",Q$4,""),IF($R23="참여",R$4,""),IF($S23="참여",S$4,""),IF($T23="참여",T$4,""),IF($U23="참여",U$4,""),IF($V23="참여",V$4,""),IF($W23="참여",W$4,""),IF($X23="참여",X$4,""),IF($Y23="참여",Y$4,""),IF($Z23="참여",Z$4,""),IF($AA23="참여",AA$4,""),IF($AB23="참여",AB$4,""),IF($AC23="참여",AC$4,""),IF($AD23="참여",AD$4,""),IF($AE23="참여",AE$4,"")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IF($A24="","",COUNTIF($L24:$AE24,"?*"))</f>
        <v/>
      </c>
      <c r="H24" s="44">
        <f>IF($A24="","",IFERROR(INDEX($L$4:$AE$4,MATCH("주담당",$L24:$AE24,0)),""))</f>
        <v/>
      </c>
      <c r="I24" s="45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IF($A24="","",_xlfn.TEXTJOIN(", ",TRUE,IF($L24="참여",L$4,""),IF($M24="참여",M$4,""),IF($N24="참여",N$4,""),IF($O24="참여",O$4,""),IF($P24="참여",P$4,""),IF($Q24="참여",Q$4,""),IF($R24="참여",R$4,""),IF($S24="참여",S$4,""),IF($T24="참여",T$4,""),IF($U24="참여",U$4,""),IF($V24="참여",V$4,""),IF($W24="참여",W$4,""),IF($X24="참여",X$4,""),IF($Y24="참여",Y$4,""),IF($Z24="참여",Z$4,""),IF($AA24="참여",AA$4,""),IF($AB24="참여",AB$4,""),IF($AC24="참여",AC$4,""),IF($AD24="참여",AD$4,""),IF($AE24="참여",AE$4,"")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IF($A25="","",COUNTIF($L25:$AE25,"?*"))</f>
        <v/>
      </c>
      <c r="H25" s="44">
        <f>IF($A25="","",IFERROR(INDEX($L$4:$AE$4,MATCH("주담당",$L25:$AE25,0)),""))</f>
        <v/>
      </c>
      <c r="I25" s="45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IF($A25="","",_xlfn.TEXTJOIN(", ",TRUE,IF($L25="참여",L$4,""),IF($M25="참여",M$4,""),IF($N25="참여",N$4,""),IF($O25="참여",O$4,""),IF($P25="참여",P$4,""),IF($Q25="참여",Q$4,""),IF($R25="참여",R$4,""),IF($S25="참여",S$4,""),IF($T25="참여",T$4,""),IF($U25="참여",U$4,""),IF($V25="참여",V$4,""),IF($W25="참여",W$4,""),IF($X25="참여",X$4,""),IF($Y25="참여",Y$4,""),IF($Z25="참여",Z$4,""),IF($AA25="참여",AA$4,""),IF($AB25="참여",AB$4,""),IF($AC25="참여",AC$4,""),IF($AD25="참여",AD$4,""),IF($AE25="참여",AE$4,"")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IF($A26="","",COUNTIF($L26:$AE26,"?*"))</f>
        <v/>
      </c>
      <c r="H26" s="44">
        <f>IF($A26="","",IFERROR(INDEX($L$4:$AE$4,MATCH("주담당",$L26:$AE26,0)),""))</f>
        <v/>
      </c>
      <c r="I26" s="45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IF($A26="","",_xlfn.TEXTJOIN(", ",TRUE,IF($L26="참여",L$4,""),IF($M26="참여",M$4,""),IF($N26="참여",N$4,""),IF($O26="참여",O$4,""),IF($P26="참여",P$4,""),IF($Q26="참여",Q$4,""),IF($R26="참여",R$4,""),IF($S26="참여",S$4,""),IF($T26="참여",T$4,""),IF($U26="참여",U$4,""),IF($V26="참여",V$4,""),IF($W26="참여",W$4,""),IF($X26="참여",X$4,""),IF($Y26="참여",Y$4,""),IF($Z26="참여",Z$4,""),IF($AA26="참여",AA$4,""),IF($AB26="참여",AB$4,""),IF($AC26="참여",AC$4,""),IF($AD26="참여",AD$4,""),IF($AE26="참여",AE$4,"")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IF($A27="","",COUNTIF($L27:$AE27,"?*"))</f>
        <v/>
      </c>
      <c r="H27" s="44">
        <f>IF($A27="","",IFERROR(INDEX($L$4:$AE$4,MATCH("주담당",$L27:$AE27,0)),""))</f>
        <v/>
      </c>
      <c r="I27" s="45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IF($A27="","",_xlfn.TEXTJOIN(", ",TRUE,IF($L27="참여",L$4,""),IF($M27="참여",M$4,""),IF($N27="참여",N$4,""),IF($O27="참여",O$4,""),IF($P27="참여",P$4,""),IF($Q27="참여",Q$4,""),IF($R27="참여",R$4,""),IF($S27="참여",S$4,""),IF($T27="참여",T$4,""),IF($U27="참여",U$4,""),IF($V27="참여",V$4,""),IF($W27="참여",W$4,""),IF($X27="참여",X$4,""),IF($Y27="참여",Y$4,""),IF($Z27="참여",Z$4,""),IF($AA27="참여",AA$4,""),IF($AB27="참여",AB$4,""),IF($AC27="참여",AC$4,""),IF($AD27="참여",AD$4,""),IF($AE27="참여",AE$4,"")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IF($A28="","",COUNTIF($L28:$AE28,"?*"))</f>
        <v/>
      </c>
      <c r="H28" s="44">
        <f>IF($A28="","",IFERROR(INDEX($L$4:$AE$4,MATCH("주담당",$L28:$AE28,0)),""))</f>
        <v/>
      </c>
      <c r="I28" s="45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IF($A28="","",_xlfn.TEXTJOIN(", ",TRUE,IF($L28="참여",L$4,""),IF($M28="참여",M$4,""),IF($N28="참여",N$4,""),IF($O28="참여",O$4,""),IF($P28="참여",P$4,""),IF($Q28="참여",Q$4,""),IF($R28="참여",R$4,""),IF($S28="참여",S$4,""),IF($T28="참여",T$4,""),IF($U28="참여",U$4,""),IF($V28="참여",V$4,""),IF($W28="참여",W$4,""),IF($X28="참여",X$4,""),IF($Y28="참여",Y$4,""),IF($Z28="참여",Z$4,""),IF($AA28="참여",AA$4,""),IF($AB28="참여",AB$4,""),IF($AC28="참여",AC$4,""),IF($AD28="참여",AD$4,""),IF($AE28="참여",AE$4,"")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IF($A29="","",COUNTIF($L29:$AE29,"?*"))</f>
        <v/>
      </c>
      <c r="H29" s="44">
        <f>IF($A29="","",IFERROR(INDEX($L$4:$AE$4,MATCH("주담당",$L29:$AE29,0)),""))</f>
        <v/>
      </c>
      <c r="I29" s="45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IF($A29="","",_xlfn.TEXTJOIN(", ",TRUE,IF($L29="참여",L$4,""),IF($M29="참여",M$4,""),IF($N29="참여",N$4,""),IF($O29="참여",O$4,""),IF($P29="참여",P$4,""),IF($Q29="참여",Q$4,""),IF($R29="참여",R$4,""),IF($S29="참여",S$4,""),IF($T29="참여",T$4,""),IF($U29="참여",U$4,""),IF($V29="참여",V$4,""),IF($W29="참여",W$4,""),IF($X29="참여",X$4,""),IF($Y29="참여",Y$4,""),IF($Z29="참여",Z$4,""),IF($AA29="참여",AA$4,""),IF($AB29="참여",AB$4,""),IF($AC29="참여",AC$4,""),IF($AD29="참여",AD$4,""),IF($AE29="참여",AE$4,"")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IF($A30="","",COUNTIF($L30:$AE30,"?*"))</f>
        <v/>
      </c>
      <c r="H30" s="44">
        <f>IF($A30="","",IFERROR(INDEX($L$4:$AE$4,MATCH("주담당",$L30:$AE30,0)),""))</f>
        <v/>
      </c>
      <c r="I30" s="45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IF($A30="","",_xlfn.TEXTJOIN(", ",TRUE,IF($L30="참여",L$4,""),IF($M30="참여",M$4,""),IF($N30="참여",N$4,""),IF($O30="참여",O$4,""),IF($P30="참여",P$4,""),IF($Q30="참여",Q$4,""),IF($R30="참여",R$4,""),IF($S30="참여",S$4,""),IF($T30="참여",T$4,""),IF($U30="참여",U$4,""),IF($V30="참여",V$4,""),IF($W30="참여",W$4,""),IF($X30="참여",X$4,""),IF($Y30="참여",Y$4,""),IF($Z30="참여",Z$4,""),IF($AA30="참여",AA$4,""),IF($AB30="참여",AB$4,""),IF($AC30="참여",AC$4,""),IF($AD30="참여",AD$4,""),IF($AE30="참여",AE$4,"")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IF($A31="","",COUNTIF($L31:$AE31,"?*"))</f>
        <v/>
      </c>
      <c r="H31" s="44">
        <f>IF($A31="","",IFERROR(INDEX($L$4:$AE$4,MATCH("주담당",$L31:$AE31,0)),""))</f>
        <v/>
      </c>
      <c r="I31" s="45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IF($A31="","",_xlfn.TEXTJOIN(", ",TRUE,IF($L31="참여",L$4,""),IF($M31="참여",M$4,""),IF($N31="참여",N$4,""),IF($O31="참여",O$4,""),IF($P31="참여",P$4,""),IF($Q31="참여",Q$4,""),IF($R31="참여",R$4,""),IF($S31="참여",S$4,""),IF($T31="참여",T$4,""),IF($U31="참여",U$4,""),IF($V31="참여",V$4,""),IF($W31="참여",W$4,""),IF($X31="참여",X$4,""),IF($Y31="참여",Y$4,""),IF($Z31="참여",Z$4,""),IF($AA31="참여",AA$4,""),IF($AB31="참여",AB$4,""),IF($AC31="참여",AC$4,""),IF($AD31="참여",AD$4,""),IF($AE31="참여",AE$4,"")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IF($A32="","",COUNTIF($L32:$AE32,"?*"))</f>
        <v/>
      </c>
      <c r="H32" s="44">
        <f>IF($A32="","",IFERROR(INDEX($L$4:$AE$4,MATCH("주담당",$L32:$AE32,0)),""))</f>
        <v/>
      </c>
      <c r="I32" s="45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IF($A32="","",_xlfn.TEXTJOIN(", ",TRUE,IF($L32="참여",L$4,""),IF($M32="참여",M$4,""),IF($N32="참여",N$4,""),IF($O32="참여",O$4,""),IF($P32="참여",P$4,""),IF($Q32="참여",Q$4,""),IF($R32="참여",R$4,""),IF($S32="참여",S$4,""),IF($T32="참여",T$4,""),IF($U32="참여",U$4,""),IF($V32="참여",V$4,""),IF($W32="참여",W$4,""),IF($X32="참여",X$4,""),IF($Y32="참여",Y$4,""),IF($Z32="참여",Z$4,""),IF($AA32="참여",AA$4,""),IF($AB32="참여",AB$4,""),IF($AC32="참여",AC$4,""),IF($AD32="참여",AD$4,""),IF($AE32="참여",AE$4,"")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IF($A33="","",COUNTIF($L33:$AE33,"?*"))</f>
        <v/>
      </c>
      <c r="H33" s="44">
        <f>IF($A33="","",IFERROR(INDEX($L$4:$AE$4,MATCH("주담당",$L33:$AE33,0)),""))</f>
        <v/>
      </c>
      <c r="I33" s="45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IF($A33="","",_xlfn.TEXTJOIN(", ",TRUE,IF($L33="참여",L$4,""),IF($M33="참여",M$4,""),IF($N33="참여",N$4,""),IF($O33="참여",O$4,""),IF($P33="참여",P$4,""),IF($Q33="참여",Q$4,""),IF($R33="참여",R$4,""),IF($S33="참여",S$4,""),IF($T33="참여",T$4,""),IF($U33="참여",U$4,""),IF($V33="참여",V$4,""),IF($W33="참여",W$4,""),IF($X33="참여",X$4,""),IF($Y33="참여",Y$4,""),IF($Z33="참여",Z$4,""),IF($AA33="참여",AA$4,""),IF($AB33="참여",AB$4,""),IF($AC33="참여",AC$4,""),IF($AD33="참여",AD$4,""),IF($AE33="참여",AE$4,"")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IF($A34="","",COUNTIF($L34:$AE34,"?*"))</f>
        <v/>
      </c>
      <c r="H34" s="44">
        <f>IF($A34="","",IFERROR(INDEX($L$4:$AE$4,MATCH("주담당",$L34:$AE34,0)),""))</f>
        <v/>
      </c>
      <c r="I34" s="45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IF($A34="","",_xlfn.TEXTJOIN(", ",TRUE,IF($L34="참여",L$4,""),IF($M34="참여",M$4,""),IF($N34="참여",N$4,""),IF($O34="참여",O$4,""),IF($P34="참여",P$4,""),IF($Q34="참여",Q$4,""),IF($R34="참여",R$4,""),IF($S34="참여",S$4,""),IF($T34="참여",T$4,""),IF($U34="참여",U$4,""),IF($V34="참여",V$4,""),IF($W34="참여",W$4,""),IF($X34="참여",X$4,""),IF($Y34="참여",Y$4,""),IF($Z34="참여",Z$4,""),IF($AA34="참여",AA$4,""),IF($AB34="참여",AB$4,""),IF($AC34="참여",AC$4,""),IF($AD34="참여",AD$4,""),IF($AE34="참여",AE$4,"")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IF($A35="","",COUNTIF($L35:$AE35,"?*"))</f>
        <v/>
      </c>
      <c r="H35" s="44">
        <f>IF($A35="","",IFERROR(INDEX($L$4:$AE$4,MATCH("주담당",$L35:$AE35,0)),""))</f>
        <v/>
      </c>
      <c r="I35" s="45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IF($A35="","",_xlfn.TEXTJOIN(", ",TRUE,IF($L35="참여",L$4,""),IF($M35="참여",M$4,""),IF($N35="참여",N$4,""),IF($O35="참여",O$4,""),IF($P35="참여",P$4,""),IF($Q35="참여",Q$4,""),IF($R35="참여",R$4,""),IF($S35="참여",S$4,""),IF($T35="참여",T$4,""),IF($U35="참여",U$4,""),IF($V35="참여",V$4,""),IF($W35="참여",W$4,""),IF($X35="참여",X$4,""),IF($Y35="참여",Y$4,""),IF($Z35="참여",Z$4,""),IF($AA35="참여",AA$4,""),IF($AB35="참여",AB$4,""),IF($AC35="참여",AC$4,""),IF($AD35="참여",AD$4,""),IF($AE35="참여",AE$4,"")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IF($A36="","",COUNTIF($L36:$AE36,"?*"))</f>
        <v/>
      </c>
      <c r="H36" s="44">
        <f>IF($A36="","",IFERROR(INDEX($L$4:$AE$4,MATCH("주담당",$L36:$AE36,0)),""))</f>
        <v/>
      </c>
      <c r="I36" s="45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IF($A36="","",_xlfn.TEXTJOIN(", ",TRUE,IF($L36="참여",L$4,""),IF($M36="참여",M$4,""),IF($N36="참여",N$4,""),IF($O36="참여",O$4,""),IF($P36="참여",P$4,""),IF($Q36="참여",Q$4,""),IF($R36="참여",R$4,""),IF($S36="참여",S$4,""),IF($T36="참여",T$4,""),IF($U36="참여",U$4,""),IF($V36="참여",V$4,""),IF($W36="참여",W$4,""),IF($X36="참여",X$4,""),IF($Y36="참여",Y$4,""),IF($Z36="참여",Z$4,""),IF($AA36="참여",AA$4,""),IF($AB36="참여",AB$4,""),IF($AC36="참여",AC$4,""),IF($AD36="참여",AD$4,""),IF($AE36="참여",AE$4,"")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IF($A37="","",COUNTIF($L37:$AE37,"?*"))</f>
        <v/>
      </c>
      <c r="H37" s="44">
        <f>IF($A37="","",IFERROR(INDEX($L$4:$AE$4,MATCH("주담당",$L37:$AE37,0)),""))</f>
        <v/>
      </c>
      <c r="I37" s="45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IF($A37="","",_xlfn.TEXTJOIN(", ",TRUE,IF($L37="참여",L$4,""),IF($M37="참여",M$4,""),IF($N37="참여",N$4,""),IF($O37="참여",O$4,""),IF($P37="참여",P$4,""),IF($Q37="참여",Q$4,""),IF($R37="참여",R$4,""),IF($S37="참여",S$4,""),IF($T37="참여",T$4,""),IF($U37="참여",U$4,""),IF($V37="참여",V$4,""),IF($W37="참여",W$4,""),IF($X37="참여",X$4,""),IF($Y37="참여",Y$4,""),IF($Z37="참여",Z$4,""),IF($AA37="참여",AA$4,""),IF($AB37="참여",AB$4,""),IF($AC37="참여",AC$4,""),IF($AD37="참여",AD$4,""),IF($AE37="참여",AE$4,"")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IF($A38="","",COUNTIF($L38:$AE38,"?*"))</f>
        <v/>
      </c>
      <c r="H38" s="44">
        <f>IF($A38="","",IFERROR(INDEX($L$4:$AE$4,MATCH("주담당",$L38:$AE38,0)),""))</f>
        <v/>
      </c>
      <c r="I38" s="45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IF($A38="","",_xlfn.TEXTJOIN(", ",TRUE,IF($L38="참여",L$4,""),IF($M38="참여",M$4,""),IF($N38="참여",N$4,""),IF($O38="참여",O$4,""),IF($P38="참여",P$4,""),IF($Q38="참여",Q$4,""),IF($R38="참여",R$4,""),IF($S38="참여",S$4,""),IF($T38="참여",T$4,""),IF($U38="참여",U$4,""),IF($V38="참여",V$4,""),IF($W38="참여",W$4,""),IF($X38="참여",X$4,""),IF($Y38="참여",Y$4,""),IF($Z38="참여",Z$4,""),IF($AA38="참여",AA$4,""),IF($AB38="참여",AB$4,""),IF($AC38="참여",AC$4,""),IF($AD38="참여",AD$4,""),IF($AE38="참여",AE$4,"")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IF($A39="","",COUNTIF($L39:$AE39,"?*"))</f>
        <v/>
      </c>
      <c r="H39" s="44">
        <f>IF($A39="","",IFERROR(INDEX($L$4:$AE$4,MATCH("주담당",$L39:$AE39,0)),""))</f>
        <v/>
      </c>
      <c r="I39" s="45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IF($A39="","",_xlfn.TEXTJOIN(", ",TRUE,IF($L39="참여",L$4,""),IF($M39="참여",M$4,""),IF($N39="참여",N$4,""),IF($O39="참여",O$4,""),IF($P39="참여",P$4,""),IF($Q39="참여",Q$4,""),IF($R39="참여",R$4,""),IF($S39="참여",S$4,""),IF($T39="참여",T$4,""),IF($U39="참여",U$4,""),IF($V39="참여",V$4,""),IF($W39="참여",W$4,""),IF($X39="참여",X$4,""),IF($Y39="참여",Y$4,""),IF($Z39="참여",Z$4,""),IF($AA39="참여",AA$4,""),IF($AB39="참여",AB$4,""),IF($AC39="참여",AC$4,""),IF($AD39="참여",AD$4,""),IF($AE39="참여",AE$4,"")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IF($A40="","",COUNTIF($L40:$AE40,"?*"))</f>
        <v/>
      </c>
      <c r="H40" s="44">
        <f>IF($A40="","",IFERROR(INDEX($L$4:$AE$4,MATCH("주담당",$L40:$AE40,0)),""))</f>
        <v/>
      </c>
      <c r="I40" s="45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IF($A40="","",_xlfn.TEXTJOIN(", ",TRUE,IF($L40="참여",L$4,""),IF($M40="참여",M$4,""),IF($N40="참여",N$4,""),IF($O40="참여",O$4,""),IF($P40="참여",P$4,""),IF($Q40="참여",Q$4,""),IF($R40="참여",R$4,""),IF($S40="참여",S$4,""),IF($T40="참여",T$4,""),IF($U40="참여",U$4,""),IF($V40="참여",V$4,""),IF($W40="참여",W$4,""),IF($X40="참여",X$4,""),IF($Y40="참여",Y$4,""),IF($Z40="참여",Z$4,""),IF($AA40="참여",AA$4,""),IF($AB40="참여",AB$4,""),IF($AC40="참여",AC$4,""),IF($AD40="참여",AD$4,""),IF($AE40="참여",AE$4,"")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IF($A41="","",COUNTIF($L41:$AE41,"?*"))</f>
        <v/>
      </c>
      <c r="H41" s="44">
        <f>IF($A41="","",IFERROR(INDEX($L$4:$AE$4,MATCH("주담당",$L41:$AE41,0)),""))</f>
        <v/>
      </c>
      <c r="I41" s="45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IF($A41="","",_xlfn.TEXTJOIN(", ",TRUE,IF($L41="참여",L$4,""),IF($M41="참여",M$4,""),IF($N41="참여",N$4,""),IF($O41="참여",O$4,""),IF($P41="참여",P$4,""),IF($Q41="참여",Q$4,""),IF($R41="참여",R$4,""),IF($S41="참여",S$4,""),IF($T41="참여",T$4,""),IF($U41="참여",U$4,""),IF($V41="참여",V$4,""),IF($W41="참여",W$4,""),IF($X41="참여",X$4,""),IF($Y41="참여",Y$4,""),IF($Z41="참여",Z$4,""),IF($AA41="참여",AA$4,""),IF($AB41="참여",AB$4,""),IF($AC41="참여",AC$4,""),IF($AD41="참여",AD$4,""),IF($AE41="참여",AE$4,"")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IF($A42="","",COUNTIF($L42:$AE42,"?*"))</f>
        <v/>
      </c>
      <c r="H42" s="44">
        <f>IF($A42="","",IFERROR(INDEX($L$4:$AE$4,MATCH("주담당",$L42:$AE42,0)),""))</f>
        <v/>
      </c>
      <c r="I42" s="45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IF($A42="","",_xlfn.TEXTJOIN(", ",TRUE,IF($L42="참여",L$4,""),IF($M42="참여",M$4,""),IF($N42="참여",N$4,""),IF($O42="참여",O$4,""),IF($P42="참여",P$4,""),IF($Q42="참여",Q$4,""),IF($R42="참여",R$4,""),IF($S42="참여",S$4,""),IF($T42="참여",T$4,""),IF($U42="참여",U$4,""),IF($V42="참여",V$4,""),IF($W42="참여",W$4,""),IF($X42="참여",X$4,""),IF($Y42="참여",Y$4,""),IF($Z42="참여",Z$4,""),IF($AA42="참여",AA$4,""),IF($AB42="참여",AB$4,""),IF($AC42="참여",AC$4,""),IF($AD42="참여",AD$4,""),IF($AE42="참여",AE$4,"")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IF($A43="","",COUNTIF($L43:$AE43,"?*"))</f>
        <v/>
      </c>
      <c r="H43" s="44">
        <f>IF($A43="","",IFERROR(INDEX($L$4:$AE$4,MATCH("주담당",$L43:$AE43,0)),""))</f>
        <v/>
      </c>
      <c r="I43" s="45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IF($A43="","",_xlfn.TEXTJOIN(", ",TRUE,IF($L43="참여",L$4,""),IF($M43="참여",M$4,""),IF($N43="참여",N$4,""),IF($O43="참여",O$4,""),IF($P43="참여",P$4,""),IF($Q43="참여",Q$4,""),IF($R43="참여",R$4,""),IF($S43="참여",S$4,""),IF($T43="참여",T$4,""),IF($U43="참여",U$4,""),IF($V43="참여",V$4,""),IF($W43="참여",W$4,""),IF($X43="참여",X$4,""),IF($Y43="참여",Y$4,""),IF($Z43="참여",Z$4,""),IF($AA43="참여",AA$4,""),IF($AB43="참여",AB$4,""),IF($AC43="참여",AC$4,""),IF($AD43="참여",AD$4,""),IF($AE43="참여",AE$4,"")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IF($A44="","",COUNTIF($L44:$AE44,"?*"))</f>
        <v/>
      </c>
      <c r="H44" s="44">
        <f>IF($A44="","",IFERROR(INDEX($L$4:$AE$4,MATCH("주담당",$L44:$AE44,0)),""))</f>
        <v/>
      </c>
      <c r="I44" s="45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IF($A44="","",_xlfn.TEXTJOIN(", ",TRUE,IF($L44="참여",L$4,""),IF($M44="참여",M$4,""),IF($N44="참여",N$4,""),IF($O44="참여",O$4,""),IF($P44="참여",P$4,""),IF($Q44="참여",Q$4,""),IF($R44="참여",R$4,""),IF($S44="참여",S$4,""),IF($T44="참여",T$4,""),IF($U44="참여",U$4,""),IF($V44="참여",V$4,""),IF($W44="참여",W$4,""),IF($X44="참여",X$4,""),IF($Y44="참여",Y$4,""),IF($Z44="참여",Z$4,""),IF($AA44="참여",AA$4,""),IF($AB44="참여",AB$4,""),IF($AC44="참여",AC$4,""),IF($AD44="참여",AD$4,""),IF($AE44="참여",AE$4,"")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IF($A45="","",COUNTIF($L45:$AE45,"?*"))</f>
        <v/>
      </c>
      <c r="H45" s="44">
        <f>IF($A45="","",IFERROR(INDEX($L$4:$AE$4,MATCH("주담당",$L45:$AE45,0)),""))</f>
        <v/>
      </c>
      <c r="I45" s="45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IF($A45="","",_xlfn.TEXTJOIN(", ",TRUE,IF($L45="참여",L$4,""),IF($M45="참여",M$4,""),IF($N45="참여",N$4,""),IF($O45="참여",O$4,""),IF($P45="참여",P$4,""),IF($Q45="참여",Q$4,""),IF($R45="참여",R$4,""),IF($S45="참여",S$4,""),IF($T45="참여",T$4,""),IF($U45="참여",U$4,""),IF($V45="참여",V$4,""),IF($W45="참여",W$4,""),IF($X45="참여",X$4,""),IF($Y45="참여",Y$4,""),IF($Z45="참여",Z$4,""),IF($AA45="참여",AA$4,""),IF($AB45="참여",AB$4,""),IF($AC45="참여",AC$4,""),IF($AD45="참여",AD$4,""),IF($AE45="참여",AE$4,"")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IF($A46="","",COUNTIF($L46:$AE46,"?*"))</f>
        <v/>
      </c>
      <c r="H46" s="44">
        <f>IF($A46="","",IFERROR(INDEX($L$4:$AE$4,MATCH("주담당",$L46:$AE46,0)),""))</f>
        <v/>
      </c>
      <c r="I46" s="45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IF($A46="","",_xlfn.TEXTJOIN(", ",TRUE,IF($L46="참여",L$4,""),IF($M46="참여",M$4,""),IF($N46="참여",N$4,""),IF($O46="참여",O$4,""),IF($P46="참여",P$4,""),IF($Q46="참여",Q$4,""),IF($R46="참여",R$4,""),IF($S46="참여",S$4,""),IF($T46="참여",T$4,""),IF($U46="참여",U$4,""),IF($V46="참여",V$4,""),IF($W46="참여",W$4,""),IF($X46="참여",X$4,""),IF($Y46="참여",Y$4,""),IF($Z46="참여",Z$4,""),IF($AA46="참여",AA$4,""),IF($AB46="참여",AB$4,""),IF($AC46="참여",AC$4,""),IF($AD46="참여",AD$4,""),IF($AE46="참여",AE$4,"")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IF($A47="","",COUNTIF($L47:$AE47,"?*"))</f>
        <v/>
      </c>
      <c r="H47" s="44">
        <f>IF($A47="","",IFERROR(INDEX($L$4:$AE$4,MATCH("주담당",$L47:$AE47,0)),""))</f>
        <v/>
      </c>
      <c r="I47" s="45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IF($A47="","",_xlfn.TEXTJOIN(", ",TRUE,IF($L47="참여",L$4,""),IF($M47="참여",M$4,""),IF($N47="참여",N$4,""),IF($O47="참여",O$4,""),IF($P47="참여",P$4,""),IF($Q47="참여",Q$4,""),IF($R47="참여",R$4,""),IF($S47="참여",S$4,""),IF($T47="참여",T$4,""),IF($U47="참여",U$4,""),IF($V47="참여",V$4,""),IF($W47="참여",W$4,""),IF($X47="참여",X$4,""),IF($Y47="참여",Y$4,""),IF($Z47="참여",Z$4,""),IF($AA47="참여",AA$4,""),IF($AB47="참여",AB$4,""),IF($AC47="참여",AC$4,""),IF($AD47="참여",AD$4,""),IF($AE47="참여",AE$4,"")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IF($A48="","",COUNTIF($L48:$AE48,"?*"))</f>
        <v/>
      </c>
      <c r="H48" s="44">
        <f>IF($A48="","",IFERROR(INDEX($L$4:$AE$4,MATCH("주담당",$L48:$AE48,0)),""))</f>
        <v/>
      </c>
      <c r="I48" s="45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IF($A48="","",_xlfn.TEXTJOIN(", ",TRUE,IF($L48="참여",L$4,""),IF($M48="참여",M$4,""),IF($N48="참여",N$4,""),IF($O48="참여",O$4,""),IF($P48="참여",P$4,""),IF($Q48="참여",Q$4,""),IF($R48="참여",R$4,""),IF($S48="참여",S$4,""),IF($T48="참여",T$4,""),IF($U48="참여",U$4,""),IF($V48="참여",V$4,""),IF($W48="참여",W$4,""),IF($X48="참여",X$4,""),IF($Y48="참여",Y$4,""),IF($Z48="참여",Z$4,""),IF($AA48="참여",AA$4,""),IF($AB48="참여",AB$4,""),IF($AC48="참여",AC$4,""),IF($AD48="참여",AD$4,""),IF($AE48="참여",AE$4,"")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IF($A49="","",COUNTIF($L49:$AE49,"?*"))</f>
        <v/>
      </c>
      <c r="H49" s="44">
        <f>IF($A49="","",IFERROR(INDEX($L$4:$AE$4,MATCH("주담당",$L49:$AE49,0)),""))</f>
        <v/>
      </c>
      <c r="I49" s="45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IF($A49="","",_xlfn.TEXTJOIN(", ",TRUE,IF($L49="참여",L$4,""),IF($M49="참여",M$4,""),IF($N49="참여",N$4,""),IF($O49="참여",O$4,""),IF($P49="참여",P$4,""),IF($Q49="참여",Q$4,""),IF($R49="참여",R$4,""),IF($S49="참여",S$4,""),IF($T49="참여",T$4,""),IF($U49="참여",U$4,""),IF($V49="참여",V$4,""),IF($W49="참여",W$4,""),IF($X49="참여",X$4,""),IF($Y49="참여",Y$4,""),IF($Z49="참여",Z$4,""),IF($AA49="참여",AA$4,""),IF($AB49="참여",AB$4,""),IF($AC49="참여",AC$4,""),IF($AD49="참여",AD$4,""),IF($AE49="참여",AE$4,"")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IF($A50="","",COUNTIF($L50:$AE50,"?*"))</f>
        <v/>
      </c>
      <c r="H50" s="44">
        <f>IF($A50="","",IFERROR(INDEX($L$4:$AE$4,MATCH("주담당",$L50:$AE50,0)),""))</f>
        <v/>
      </c>
      <c r="I50" s="45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IF($A50="","",_xlfn.TEXTJOIN(", ",TRUE,IF($L50="참여",L$4,""),IF($M50="참여",M$4,""),IF($N50="참여",N$4,""),IF($O50="참여",O$4,""),IF($P50="참여",P$4,""),IF($Q50="참여",Q$4,""),IF($R50="참여",R$4,""),IF($S50="참여",S$4,""),IF($T50="참여",T$4,""),IF($U50="참여",U$4,""),IF($V50="참여",V$4,""),IF($W50="참여",W$4,""),IF($X50="참여",X$4,""),IF($Y50="참여",Y$4,""),IF($Z50="참여",Z$4,""),IF($AA50="참여",AA$4,""),IF($AB50="참여",AB$4,""),IF($AC50="참여",AC$4,""),IF($AD50="참여",AD$4,""),IF($AE50="참여",AE$4,"")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IF($A51="","",COUNTIF($L51:$AE51,"?*"))</f>
        <v/>
      </c>
      <c r="H51" s="44">
        <f>IF($A51="","",IFERROR(INDEX($L$4:$AE$4,MATCH("주담당",$L51:$AE51,0)),""))</f>
        <v/>
      </c>
      <c r="I51" s="45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IF($A51="","",_xlfn.TEXTJOIN(", ",TRUE,IF($L51="참여",L$4,""),IF($M51="참여",M$4,""),IF($N51="참여",N$4,""),IF($O51="참여",O$4,""),IF($P51="참여",P$4,""),IF($Q51="참여",Q$4,""),IF($R51="참여",R$4,""),IF($S51="참여",S$4,""),IF($T51="참여",T$4,""),IF($U51="참여",U$4,""),IF($V51="참여",V$4,""),IF($W51="참여",W$4,""),IF($X51="참여",X$4,""),IF($Y51="참여",Y$4,""),IF($Z51="참여",Z$4,""),IF($AA51="참여",AA$4,""),IF($AB51="참여",AB$4,""),IF($AC51="참여",AC$4,""),IF($AD51="참여",AD$4,""),IF($AE51="참여",AE$4,"")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IF($A52="","",COUNTIF($L52:$AE52,"?*"))</f>
        <v/>
      </c>
      <c r="H52" s="44">
        <f>IF($A52="","",IFERROR(INDEX($L$4:$AE$4,MATCH("주담당",$L52:$AE52,0)),""))</f>
        <v/>
      </c>
      <c r="I52" s="45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IF($A52="","",_xlfn.TEXTJOIN(", ",TRUE,IF($L52="참여",L$4,""),IF($M52="참여",M$4,""),IF($N52="참여",N$4,""),IF($O52="참여",O$4,""),IF($P52="참여",P$4,""),IF($Q52="참여",Q$4,""),IF($R52="참여",R$4,""),IF($S52="참여",S$4,""),IF($T52="참여",T$4,""),IF($U52="참여",U$4,""),IF($V52="참여",V$4,""),IF($W52="참여",W$4,""),IF($X52="참여",X$4,""),IF($Y52="참여",Y$4,""),IF($Z52="참여",Z$4,""),IF($AA52="참여",AA$4,""),IF($AB52="참여",AB$4,""),IF($AC52="참여",AC$4,""),IF($AD52="참여",AD$4,""),IF($AE52="참여",AE$4,"")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IF($A53="","",COUNTIF($L53:$AE53,"?*"))</f>
        <v/>
      </c>
      <c r="H53" s="44">
        <f>IF($A53="","",IFERROR(INDEX($L$4:$AE$4,MATCH("주담당",$L53:$AE53,0)),""))</f>
        <v/>
      </c>
      <c r="I53" s="45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IF($A53="","",_xlfn.TEXTJOIN(", ",TRUE,IF($L53="참여",L$4,""),IF($M53="참여",M$4,""),IF($N53="참여",N$4,""),IF($O53="참여",O$4,""),IF($P53="참여",P$4,""),IF($Q53="참여",Q$4,""),IF($R53="참여",R$4,""),IF($S53="참여",S$4,""),IF($T53="참여",T$4,""),IF($U53="참여",U$4,""),IF($V53="참여",V$4,""),IF($W53="참여",W$4,""),IF($X53="참여",X$4,""),IF($Y53="참여",Y$4,""),IF($Z53="참여",Z$4,""),IF($AA53="참여",AA$4,""),IF($AB53="참여",AB$4,""),IF($AC53="참여",AC$4,""),IF($AD53="참여",AD$4,""),IF($AE53="참여",AE$4,"")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IF($A54="","",COUNTIF($L54:$AE54,"?*"))</f>
        <v/>
      </c>
      <c r="H54" s="44">
        <f>IF($A54="","",IFERROR(INDEX($L$4:$AE$4,MATCH("주담당",$L54:$AE54,0)),""))</f>
        <v/>
      </c>
      <c r="I54" s="45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IF($A54="","",_xlfn.TEXTJOIN(", ",TRUE,IF($L54="참여",L$4,""),IF($M54="참여",M$4,""),IF($N54="참여",N$4,""),IF($O54="참여",O$4,""),IF($P54="참여",P$4,""),IF($Q54="참여",Q$4,""),IF($R54="참여",R$4,""),IF($S54="참여",S$4,""),IF($T54="참여",T$4,""),IF($U54="참여",U$4,""),IF($V54="참여",V$4,""),IF($W54="참여",W$4,""),IF($X54="참여",X$4,""),IF($Y54="참여",Y$4,""),IF($Z54="참여",Z$4,""),IF($AA54="참여",AA$4,""),IF($AB54="참여",AB$4,""),IF($AC54="참여",AC$4,""),IF($AD54="참여",AD$4,""),IF($AE54="참여",AE$4,"")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IF($A55="","",COUNTIF($L55:$AE55,"?*"))</f>
        <v/>
      </c>
      <c r="H55" s="44">
        <f>IF($A55="","",IFERROR(INDEX($L$4:$AE$4,MATCH("주담당",$L55:$AE55,0)),""))</f>
        <v/>
      </c>
      <c r="I55" s="45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IF($A55="","",_xlfn.TEXTJOIN(", ",TRUE,IF($L55="참여",L$4,""),IF($M55="참여",M$4,""),IF($N55="참여",N$4,""),IF($O55="참여",O$4,""),IF($P55="참여",P$4,""),IF($Q55="참여",Q$4,""),IF($R55="참여",R$4,""),IF($S55="참여",S$4,""),IF($T55="참여",T$4,""),IF($U55="참여",U$4,""),IF($V55="참여",V$4,""),IF($W55="참여",W$4,""),IF($X55="참여",X$4,""),IF($Y55="참여",Y$4,""),IF($Z55="참여",Z$4,""),IF($AA55="참여",AA$4,""),IF($AB55="참여",AB$4,""),IF($AC55="참여",AC$4,""),IF($AD55="참여",AD$4,""),IF($AE55="참여",AE$4,"")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IF($A56="","",COUNTIF($L56:$AE56,"?*"))</f>
        <v/>
      </c>
      <c r="H56" s="44">
        <f>IF($A56="","",IFERROR(INDEX($L$4:$AE$4,MATCH("주담당",$L56:$AE56,0)),""))</f>
        <v/>
      </c>
      <c r="I56" s="45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IF($A56="","",_xlfn.TEXTJOIN(", ",TRUE,IF($L56="참여",L$4,""),IF($M56="참여",M$4,""),IF($N56="참여",N$4,""),IF($O56="참여",O$4,""),IF($P56="참여",P$4,""),IF($Q56="참여",Q$4,""),IF($R56="참여",R$4,""),IF($S56="참여",S$4,""),IF($T56="참여",T$4,""),IF($U56="참여",U$4,""),IF($V56="참여",V$4,""),IF($W56="참여",W$4,""),IF($X56="참여",X$4,""),IF($Y56="참여",Y$4,""),IF($Z56="참여",Z$4,""),IF($AA56="참여",AA$4,""),IF($AB56="참여",AB$4,""),IF($AC56="참여",AC$4,""),IF($AD56="참여",AD$4,""),IF($AE56="참여",AE$4,"")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IF($A57="","",COUNTIF($L57:$AE57,"?*"))</f>
        <v/>
      </c>
      <c r="H57" s="44">
        <f>IF($A57="","",IFERROR(INDEX($L$4:$AE$4,MATCH("주담당",$L57:$AE57,0)),""))</f>
        <v/>
      </c>
      <c r="I57" s="45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IF($A57="","",_xlfn.TEXTJOIN(", ",TRUE,IF($L57="참여",L$4,""),IF($M57="참여",M$4,""),IF($N57="참여",N$4,""),IF($O57="참여",O$4,""),IF($P57="참여",P$4,""),IF($Q57="참여",Q$4,""),IF($R57="참여",R$4,""),IF($S57="참여",S$4,""),IF($T57="참여",T$4,""),IF($U57="참여",U$4,""),IF($V57="참여",V$4,""),IF($W57="참여",W$4,""),IF($X57="참여",X$4,""),IF($Y57="참여",Y$4,""),IF($Z57="참여",Z$4,""),IF($AA57="참여",AA$4,""),IF($AB57="참여",AB$4,""),IF($AC57="참여",AC$4,""),IF($AD57="참여",AD$4,""),IF($AE57="참여",AE$4,"")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IF($A58="","",COUNTIF($L58:$AE58,"?*"))</f>
        <v/>
      </c>
      <c r="H58" s="44">
        <f>IF($A58="","",IFERROR(INDEX($L$4:$AE$4,MATCH("주담당",$L58:$AE58,0)),""))</f>
        <v/>
      </c>
      <c r="I58" s="45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IF($A58="","",_xlfn.TEXTJOIN(", ",TRUE,IF($L58="참여",L$4,""),IF($M58="참여",M$4,""),IF($N58="참여",N$4,""),IF($O58="참여",O$4,""),IF($P58="참여",P$4,""),IF($Q58="참여",Q$4,""),IF($R58="참여",R$4,""),IF($S58="참여",S$4,""),IF($T58="참여",T$4,""),IF($U58="참여",U$4,""),IF($V58="참여",V$4,""),IF($W58="참여",W$4,""),IF($X58="참여",X$4,""),IF($Y58="참여",Y$4,""),IF($Z58="참여",Z$4,""),IF($AA58="참여",AA$4,""),IF($AB58="참여",AB$4,""),IF($AC58="참여",AC$4,""),IF($AD58="참여",AD$4,""),IF($AE58="참여",AE$4,"")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IF($A59="","",COUNTIF($L59:$AE59,"?*"))</f>
        <v/>
      </c>
      <c r="H59" s="44">
        <f>IF($A59="","",IFERROR(INDEX($L$4:$AE$4,MATCH("주담당",$L59:$AE59,0)),""))</f>
        <v/>
      </c>
      <c r="I59" s="45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IF($A59="","",_xlfn.TEXTJOIN(", ",TRUE,IF($L59="참여",L$4,""),IF($M59="참여",M$4,""),IF($N59="참여",N$4,""),IF($O59="참여",O$4,""),IF($P59="참여",P$4,""),IF($Q59="참여",Q$4,""),IF($R59="참여",R$4,""),IF($S59="참여",S$4,""),IF($T59="참여",T$4,""),IF($U59="참여",U$4,""),IF($V59="참여",V$4,""),IF($W59="참여",W$4,""),IF($X59="참여",X$4,""),IF($Y59="참여",Y$4,""),IF($Z59="참여",Z$4,""),IF($AA59="참여",AA$4,""),IF($AB59="참여",AB$4,""),IF($AC59="참여",AC$4,""),IF($AD59="참여",AD$4,""),IF($AE59="참여",AE$4,"")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IF($A60="","",COUNTIF($L60:$AE60,"?*"))</f>
        <v/>
      </c>
      <c r="H60" s="44">
        <f>IF($A60="","",IFERROR(INDEX($L$4:$AE$4,MATCH("주담당",$L60:$AE60,0)),""))</f>
        <v/>
      </c>
      <c r="I60" s="45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IF($A60="","",_xlfn.TEXTJOIN(", ",TRUE,IF($L60="참여",L$4,""),IF($M60="참여",M$4,""),IF($N60="참여",N$4,""),IF($O60="참여",O$4,""),IF($P60="참여",P$4,""),IF($Q60="참여",Q$4,""),IF($R60="참여",R$4,""),IF($S60="참여",S$4,""),IF($T60="참여",T$4,""),IF($U60="참여",U$4,""),IF($V60="참여",V$4,""),IF($W60="참여",W$4,""),IF($X60="참여",X$4,""),IF($Y60="참여",Y$4,""),IF($Z60="참여",Z$4,""),IF($AA60="참여",AA$4,""),IF($AB60="참여",AB$4,""),IF($AC60="참여",AC$4,""),IF($AD60="참여",AD$4,""),IF($AE60="참여",AE$4,"")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IF($A61="","",COUNTIF($L61:$AE61,"?*"))</f>
        <v/>
      </c>
      <c r="H61" s="44">
        <f>IF($A61="","",IFERROR(INDEX($L$4:$AE$4,MATCH("주담당",$L61:$AE61,0)),""))</f>
        <v/>
      </c>
      <c r="I61" s="45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IF($A61="","",_xlfn.TEXTJOIN(", ",TRUE,IF($L61="참여",L$4,""),IF($M61="참여",M$4,""),IF($N61="참여",N$4,""),IF($O61="참여",O$4,""),IF($P61="참여",P$4,""),IF($Q61="참여",Q$4,""),IF($R61="참여",R$4,""),IF($S61="참여",S$4,""),IF($T61="참여",T$4,""),IF($U61="참여",U$4,""),IF($V61="참여",V$4,""),IF($W61="참여",W$4,""),IF($X61="참여",X$4,""),IF($Y61="참여",Y$4,""),IF($Z61="참여",Z$4,""),IF($AA61="참여",AA$4,""),IF($AB61="참여",AB$4,""),IF($AC61="참여",AC$4,""),IF($AD61="참여",AD$4,""),IF($AE61="참여",AE$4,"")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IF($A62="","",COUNTIF($L62:$AE62,"?*"))</f>
        <v/>
      </c>
      <c r="H62" s="44">
        <f>IF($A62="","",IFERROR(INDEX($L$4:$AE$4,MATCH("주담당",$L62:$AE62,0)),""))</f>
        <v/>
      </c>
      <c r="I62" s="45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IF($A62="","",_xlfn.TEXTJOIN(", ",TRUE,IF($L62="참여",L$4,""),IF($M62="참여",M$4,""),IF($N62="참여",N$4,""),IF($O62="참여",O$4,""),IF($P62="참여",P$4,""),IF($Q62="참여",Q$4,""),IF($R62="참여",R$4,""),IF($S62="참여",S$4,""),IF($T62="참여",T$4,""),IF($U62="참여",U$4,""),IF($V62="참여",V$4,""),IF($W62="참여",W$4,""),IF($X62="참여",X$4,""),IF($Y62="참여",Y$4,""),IF($Z62="참여",Z$4,""),IF($AA62="참여",AA$4,""),IF($AB62="참여",AB$4,""),IF($AC62="참여",AC$4,""),IF($AD62="참여",AD$4,""),IF($AE62="참여",AE$4,"")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IF($A63="","",COUNTIF($L63:$AE63,"?*"))</f>
        <v/>
      </c>
      <c r="H63" s="44">
        <f>IF($A63="","",IFERROR(INDEX($L$4:$AE$4,MATCH("주담당",$L63:$AE63,0)),""))</f>
        <v/>
      </c>
      <c r="I63" s="45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IF($A63="","",_xlfn.TEXTJOIN(", ",TRUE,IF($L63="참여",L$4,""),IF($M63="참여",M$4,""),IF($N63="참여",N$4,""),IF($O63="참여",O$4,""),IF($P63="참여",P$4,""),IF($Q63="참여",Q$4,""),IF($R63="참여",R$4,""),IF($S63="참여",S$4,""),IF($T63="참여",T$4,""),IF($U63="참여",U$4,""),IF($V63="참여",V$4,""),IF($W63="참여",W$4,""),IF($X63="참여",X$4,""),IF($Y63="참여",Y$4,""),IF($Z63="참여",Z$4,""),IF($AA63="참여",AA$4,""),IF($AB63="참여",AB$4,""),IF($AC63="참여",AC$4,""),IF($AD63="참여",AD$4,""),IF($AE63="참여",AE$4,"")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IF($A64="","",COUNTIF($L64:$AE64,"?*"))</f>
        <v/>
      </c>
      <c r="H64" s="44">
        <f>IF($A64="","",IFERROR(INDEX($L$4:$AE$4,MATCH("주담당",$L64:$AE64,0)),""))</f>
        <v/>
      </c>
      <c r="I64" s="45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IF($A64="","",_xlfn.TEXTJOIN(", ",TRUE,IF($L64="참여",L$4,""),IF($M64="참여",M$4,""),IF($N64="참여",N$4,""),IF($O64="참여",O$4,""),IF($P64="참여",P$4,""),IF($Q64="참여",Q$4,""),IF($R64="참여",R$4,""),IF($S64="참여",S$4,""),IF($T64="참여",T$4,""),IF($U64="참여",U$4,""),IF($V64="참여",V$4,""),IF($W64="참여",W$4,""),IF($X64="참여",X$4,""),IF($Y64="참여",Y$4,""),IF($Z64="참여",Z$4,""),IF($AA64="참여",AA$4,""),IF($AB64="참여",AB$4,""),IF($AC64="참여",AC$4,""),IF($AD64="참여",AD$4,""),IF($AE64="참여",AE$4,"")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IF($B109="","",COUNTIF($B$109:$B109,"?*"))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IF($B110="","",COUNTIF($B$109:$B110,"?*"))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IF($B111="","",COUNTIF($B$109:$B111,"?*"))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IF($B112="","",COUNTIF($B$109:$B112,"?*"))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IF($B113="","",COUNTIF($B$109:$B113,"?*"))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IF($B114="","",COUNTIF($B$109:$B114,"?*"))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IF($B115="","",COUNTIF($B$109:$B115,"?*"))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IF($B116="","",COUNTIF($B$109:$B116,"?*"))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IF($B117="","",COUNTIF($B$109:$B117,"?*"))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IF($B118="","",COUNTIF($B$109:$B118,"?*"))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IF($B119="","",COUNTIF($B$109:$B119,"?*"))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IF($B120="","",COUNTIF($B$109:$B120,"?*"))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IF($B121="","",COUNTIF($B$109:$B121,"?*"))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IF($B122="","",COUNTIF($B$109:$B122,"?*"))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IF($B123="","",COUNTIF($B$109:$B123,"?*"))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IF($B124="","",COUNTIF($B$109:$B124,"?*"))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IF($B125="","",COUNTIF($B$109:$B125,"?*"))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IF($B126="","",COUNTIF($B$109:$B126,"?*"))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IF($B127="","",COUNTIF($B$109:$B127,"?*"))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IF($B128="","",COUNTIF($B$109:$B128,"?*"))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IF($B129="","",COUNTIF($B$109:$B129,"?*"))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IF($B130="","",COUNTIF($B$109:$B130,"?*"))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IF($B131="","",COUNTIF($B$109:$B131,"?*"))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IF($B132="","",COUNTIF($B$109:$B132,"?*"))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IF($B133="","",COUNTIF($B$109:$B133,"?*"))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IF($B134="","",COUNTIF($B$109:$B134,"?*"))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IF($B135="","",COUNTIF($B$109:$B135,"?*"))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IF($B136="","",COUNTIF($B$109:$B136,"?*"))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IF($B137="","",COUNTIF($B$109:$B137,"?*"))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IF($B138="","",COUNTIF($B$109:$B138,"?*"))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IF($B139="","",COUNTIF($B$109:$B139,"?*"))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IF($B140="","",COUNTIF($B$109:$B140,"?*"))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IF($B141="","",COUNTIF($B$109:$B141,"?*"))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IF($B142="","",COUNTIF($B$109:$B142,"?*"))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IF($B143="","",COUNTIF($B$109:$B143,"?*"))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IF($B144="","",COUNTIF($B$109:$B144,"?*"))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IF($B145="","",COUNTIF($B$109:$B145,"?*"))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IF($B146="","",COUNTIF($B$109:$B146,"?*"))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IF($B147="","",COUNTIF($B$109:$B147,"?*"))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IF($B148="","",COUNTIF($B$109:$B148,"?*"))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IF($B149="","",COUNTIF($B$109:$B149,"?*"))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IF($B150="","",COUNTIF($B$109:$B150,"?*"))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IF($B151="","",COUNTIF($B$109:$B151,"?*"))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IF($B152="","",COUNTIF($B$109:$B152,"?*"))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IF($B153="","",COUNTIF($B$109:$B153,"?*"))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IF($B154="","",COUNTIF($B$109:$B154,"?*"))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IF($B155="","",COUNTIF($B$109:$B155,"?*"))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IF($B156="","",COUNTIF($B$109:$B156,"?*"))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IF($B157="","",COUNTIF($B$109:$B157,"?*"))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IF($B158="","",COUNTIF($B$109:$B158,"?*"))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IF($B159="","",COUNTIF($B$109:$B159,"?*"))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IF($B160="","",COUNTIF($B$109:$B160,"?*"))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IF($B161="","",COUNTIF($B$109:$B161,"?*"))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IF($B162="","",COUNTIF($B$109:$B162,"?*"))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IF($B163="","",COUNTIF($B$109:$B163,"?*"))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IF($B164="","",COUNTIF($B$109:$B164,"?*"))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IF($B165="","",COUNTIF($B$109:$B165,"?*"))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IF($B166="","",COUNTIF($B$109:$B166,"?*"))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IF($B167="","",COUNTIF($B$109:$B167,"?*"))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IF($B168="","",COUNTIF($B$109:$B168,"?*"))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IF($B169="","",COUNTIF($B$109:$B169,"?*"))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IF($B170="","",COUNTIF($B$109:$B170,"?*"))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IF($B171="","",COUNTIF($B$109:$B171,"?*"))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IF($B172="","",COUNTIF($B$109:$B172,"?*"))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IF($B173="","",COUNTIF($B$109:$B173,"?*"))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IF($B174="","",COUNTIF($B$109:$B174,"?*"))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IF($B175="","",COUNTIF($B$109:$B175,"?*"))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IF($B176="","",COUNTIF($B$109:$B176,"?*"))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IF($B177="","",COUNTIF($B$109:$B177,"?*"))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IF($B178="","",COUNTIF($B$109:$B178,"?*"))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IF($B179="","",COUNTIF($B$109:$B179,"?*"))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IF($B180="","",COUNTIF($B$109:$B180,"?*"))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IF($B181="","",COUNTIF($B$109:$B181,"?*"))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IF($B182="","",COUNTIF($B$109:$B182,"?*"))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IF($B183="","",COUNTIF($B$109:$B183,"?*"))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IF($B184="","",COUNTIF($B$109:$B184,"?*"))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IF($B185="","",COUNTIF($B$109:$B185,"?*"))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IF($B186="","",COUNTIF($B$109:$B186,"?*"))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IF($B187="","",COUNTIF($B$109:$B187,"?*"))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IF($B188="","",COUNTIF($B$109:$B188,"?*"))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IF($B189="","",COUNTIF($B$109:$B189,"?*"))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IF($B190="","",COUNTIF($B$109:$B190,"?*"))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IF($B191="","",COUNTIF($B$109:$B191,"?*"))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IF($B192="","",COUNTIF($B$109:$B192,"?*"))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IF($B193="","",COUNTIF($B$109:$B193,"?*"))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IF($B194="","",COUNTIF($B$109:$B194,"?*"))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IF($B195="","",COUNTIF($B$109:$B195,"?*"))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IF($B196="","",COUNTIF($B$109:$B196,"?*"))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IF($B197="","",COUNTIF($B$109:$B197,"?*"))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IF($B198="","",COUNTIF($B$109:$B198,"?*"))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IF($B199="","",COUNTIF($B$109:$B199,"?*"))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IF($B200="","",COUNTIF($B$109:$B200,"?*"))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IF($B201="","",COUNTIF($B$109:$B201,"?*"))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IF($B202="","",COUNTIF($B$109:$B202,"?*"))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IF($B203="","",COUNTIF($B$109:$B203,"?*"))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IF($B204="","",COUNTIF($B$109:$B204,"?*"))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IF($B205="","",COUNTIF($B$109:$B205,"?*"))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IF($B206="","",COUNTIF($B$109:$B206,"?*"))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IF($B207="","",COUNTIF($B$109:$B207,"?*"))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IF($B208="","",COUNTIF($B$109:$B208,"?*"))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IF($B209="","",COUNTIF($B$109:$B209,"?*"))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IF($B210="","",COUNTIF($B$109:$B210,"?*"))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IF($B211="","",COUNTIF($B$109:$B211,"?*"))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IF($B212="","",COUNTIF($B$109:$B212,"?*"))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IF($B213="","",COUNTIF($B$109:$B213,"?*"))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IF($B214="","",COUNTIF($B$109:$B214,"?*"))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IF($B215="","",COUNTIF($B$109:$B215,"?*"))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IF($B216="","",COUNTIF($B$109:$B216,"?*"))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IF($B217="","",COUNTIF($B$109:$B217,"?*"))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IF($B218="","",COUNTIF($B$109:$B218,"?*"))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IF($B219="","",COUNTIF($B$109:$B219,"?*"))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IF($B220="","",COUNTIF($B$109:$B220,"?*"))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IF($B221="","",COUNTIF($B$109:$B221,"?*"))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IF($B222="","",COUNTIF($B$109:$B222,"?*"))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IF($B223="","",COUNTIF($B$109:$B223,"?*"))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IF($B224="","",COUNTIF($B$109:$B224,"?*"))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IF($B225="","",COUNTIF($B$109:$B225,"?*"))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IF($B226="","",COUNTIF($B$109:$B226,"?*"))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IF($B227="","",COUNTIF($B$109:$B227,"?*"))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IF($B228="","",COUNTIF($B$109:$B228,"?*"))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IF($B229="","",COUNTIF($B$109:$B229,"?*"))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IF($B230="","",COUNTIF($B$109:$B230,"?*"))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IF($B231="","",COUNTIF($B$109:$B231,"?*"))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IF($B232="","",COUNTIF($B$109:$B232,"?*"))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IF($B233="","",COUNTIF($B$109:$B233,"?*"))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IF($B234="","",COUNTIF($B$109:$B234,"?*"))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IF($B235="","",COUNTIF($B$109:$B235,"?*"))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IF($B236="","",COUNTIF($B$109:$B236,"?*"))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IF($B237="","",COUNTIF($B$109:$B237,"?*"))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IF($B238="","",COUNTIF($B$109:$B238,"?*"))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IF($B239="","",COUNTIF($B$109:$B239,"?*"))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IF($B240="","",COUNTIF($B$109:$B240,"?*"))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IF($B241="","",COUNTIF($B$109:$B241,"?*"))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IF($B242="","",COUNTIF($B$109:$B242,"?*"))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IF($B243="","",COUNTIF($B$109:$B243,"?*"))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IF($B244="","",COUNTIF($B$109:$B244,"?*"))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IF($B245="","",COUNTIF($B$109:$B245,"?*"))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IF($B246="","",COUNTIF($B$109:$B246,"?*"))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IF($B247="","",COUNTIF($B$109:$B247,"?*"))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IF($B248="","",COUNTIF($B$109:$B248,"?*"))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IF($B249="","",COUNTIF($B$109:$B249,"?*"))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IF($B250="","",COUNTIF($B$109:$B250,"?*"))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IF($B251="","",COUNTIF($B$109:$B251,"?*"))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IF($B252="","",COUNTIF($B$109:$B252,"?*"))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IF($B253="","",COUNTIF($B$109:$B253,"?*"))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IF($B254="","",COUNTIF($B$109:$B254,"?*"))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IF($B255="","",COUNTIF($B$109:$B255,"?*"))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IF($B256="","",COUNTIF($B$109:$B256,"?*"))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IF($B257="","",COUNTIF($B$109:$B257,"?*"))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IF($B258="","",COUNTIF($B$109:$B258,"?*"))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IF($B259="","",COUNTIF($B$109:$B259,"?*"))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IF($B260="","",COUNTIF($B$109:$B260,"?*"))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IF($B261="","",COUNTIF($B$109:$B261,"?*"))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IF($B262="","",COUNTIF($B$109:$B262,"?*"))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IF($B263="","",COUNTIF($B$109:$B263,"?*"))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IF($B264="","",COUNTIF($B$109:$B264,"?*"))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IF($B265="","",COUNTIF($B$109:$B265,"?*"))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IF($B266="","",COUNTIF($B$109:$B266,"?*"))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IF($B267="","",COUNTIF($B$109:$B267,"?*"))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IF($B268="","",COUNTIF($B$109:$B268,"?*"))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IF($B269="","",COUNTIF($B$109:$B269,"?*"))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IF($B270="","",COUNTIF($B$109:$B270,"?*"))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IF($B271="","",COUNTIF($B$109:$B271,"?*"))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IF($B272="","",COUNTIF($B$109:$B272,"?*"))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IF($B273="","",COUNTIF($B$109:$B273,"?*"))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IF($B274="","",COUNTIF($B$109:$B274,"?*"))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IF($B275="","",COUNTIF($B$109:$B275,"?*"))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IF($B276="","",COUNTIF($B$109:$B276,"?*"))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IF($B277="","",COUNTIF($B$109:$B277,"?*"))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IF($B278="","",COUNTIF($B$109:$B278,"?*"))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IF($B279="","",COUNTIF($B$109:$B279,"?*"))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IF($B280="","",COUNTIF($B$109:$B280,"?*"))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IF($B281="","",COUNTIF($B$109:$B281,"?*"))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IF($B282="","",COUNTIF($B$109:$B282,"?*"))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IF($B283="","",COUNTIF($B$109:$B283,"?*"))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IF($B284="","",COUNTIF($B$109:$B284,"?*"))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IF($B285="","",COUNTIF($B$109:$B285,"?*"))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IF($B286="","",COUNTIF($B$109:$B286,"?*"))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IF($B287="","",COUNTIF($B$109:$B287,"?*"))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IF($B288="","",COUNTIF($B$109:$B288,"?*"))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IF($B289="","",COUNTIF($B$109:$B289,"?*"))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IF($B290="","",COUNTIF($B$109:$B290,"?*"))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IF($B291="","",COUNTIF($B$109:$B291,"?*"))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IF($B292="","",COUNTIF($B$109:$B292,"?*"))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IF($B293="","",COUNTIF($B$109:$B293,"?*"))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IF($B294="","",COUNTIF($B$109:$B294,"?*"))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IF($B295="","",COUNTIF($B$109:$B295,"?*"))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IF($B296="","",COUNTIF($B$109:$B296,"?*"))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IF($B297="","",COUNTIF($B$109:$B297,"?*"))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IF($B298="","",COUNTIF($B$109:$B298,"?*"))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IF($B299="","",COUNTIF($B$109:$B299,"?*"))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IF($B300="","",COUNTIF($B$109:$B300,"?*"))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IF($B301="","",COUNTIF($B$109:$B301,"?*"))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IF($B302="","",COUNTIF($B$109:$B302,"?*"))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IF($B303="","",COUNTIF($B$109:$B303,"?*"))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IF($B304="","",COUNTIF($B$109:$B304,"?*"))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IF($B305="","",COUNTIF($B$109:$B305,"?*"))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IF($B306="","",COUNTIF($B$109:$B306,"?*"))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IF($B307="","",COUNTIF($B$109:$B307,"?*"))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IF($B308="","",COUNTIF($B$109:$B308,"?*"))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IF($B309="","",COUNTIF($B$109:$B309,"?*"))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IF($B310="","",COUNTIF($B$109:$B310,"?*"))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IF($B311="","",COUNTIF($B$109:$B311,"?*"))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IF($B312="","",COUNTIF($B$109:$B312,"?*"))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IF($B313="","",COUNTIF($B$109:$B313,"?*"))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IF($B314="","",COUNTIF($B$109:$B314,"?*"))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IF($B315="","",COUNTIF($B$109:$B315,"?*"))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IF($B316="","",COUNTIF($B$109:$B316,"?*"))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IF($B317="","",COUNTIF($B$109:$B317,"?*"))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IF($B318="","",COUNTIF($B$109:$B318,"?*"))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IF($B319="","",COUNTIF($B$109:$B319,"?*"))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IF($B320="","",COUNTIF($B$109:$B320,"?*"))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IF($B321="","",COUNTIF($B$109:$B321,"?*"))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IF($B322="","",COUNTIF($B$109:$B322,"?*"))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IF($B323="","",COUNTIF($B$109:$B323,"?*"))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IF($B324="","",COUNTIF($B$109:$B324,"?*"))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IF($B325="","",COUNTIF($B$109:$B325,"?*"))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IF($B326="","",COUNTIF($B$109:$B326,"?*"))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IF($B327="","",COUNTIF($B$109:$B327,"?*"))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IF($B328="","",COUNTIF($B$109:$B328,"?*"))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IF($B329="","",COUNTIF($B$109:$B329,"?*"))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IF($B330="","",COUNTIF($B$109:$B330,"?*"))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IF($B331="","",COUNTIF($B$109:$B331,"?*"))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IF($B332="","",COUNTIF($B$109:$B332,"?*"))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IF($B333="","",COUNTIF($B$109:$B333,"?*"))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IF($B334="","",COUNTIF($B$109:$B334,"?*"))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IF($B335="","",COUNTIF($B$109:$B335,"?*"))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IF($B336="","",COUNTIF($B$109:$B336,"?*"))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IF($B337="","",COUNTIF($B$109:$B337,"?*"))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IF($B338="","",COUNTIF($B$109:$B338,"?*"))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IF($B339="","",COUNTIF($B$109:$B339,"?*"))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IF($B340="","",COUNTIF($B$109:$B340,"?*"))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IF($B341="","",COUNTIF($B$109:$B341,"?*"))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IF($B342="","",COUNTIF($B$109:$B342,"?*"))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IF($B343="","",COUNTIF($B$109:$B343,"?*"))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IF($B344="","",COUNTIF($B$109:$B344,"?*"))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IF($B345="","",COUNTIF($B$109:$B345,"?*"))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IF($B346="","",COUNTIF($B$109:$B346,"?*"))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IF($B347="","",COUNTIF($B$109:$B347,"?*"))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IF($B348="","",COUNTIF($B$109:$B348,"?*"))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IF($B349="","",COUNTIF($B$109:$B349,"?*"))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IF($B350="","",COUNTIF($B$109:$B350,"?*"))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IF($B351="","",COUNTIF($B$109:$B351,"?*"))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IF($B352="","",COUNTIF($B$109:$B352,"?*"))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IF($B353="","",COUNTIF($B$109:$B353,"?*"))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IF($B354="","",COUNTIF($B$109:$B354,"?*"))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IF($B355="","",COUNTIF($B$109:$B355,"?*"))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IF($B356="","",COUNTIF($B$109:$B356,"?*"))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IF($B357="","",COUNTIF($B$109:$B357,"?*"))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IF($B358="","",COUNTIF($B$109:$B358,"?*"))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IF($B359="","",COUNTIF($B$109:$B359,"?*"))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IF($B360="","",COUNTIF($B$109:$B360,"?*"))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IF($B361="","",COUNTIF($B$109:$B361,"?*"))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IF($B362="","",COUNTIF($B$109:$B362,"?*"))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IF($B363="","",COUNTIF($B$109:$B363,"?*"))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IF($B364="","",COUNTIF($B$109:$B364,"?*"))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IF($B365="","",COUNTIF($B$109:$B365,"?*"))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IF($B366="","",COUNTIF($B$109:$B366,"?*"))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IF($B367="","",COUNTIF($B$109:$B367,"?*"))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IF($B368="","",COUNTIF($B$109:$B368,"?*"))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IF($B369="","",COUNTIF($B$109:$B369,"?*"))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IF($B370="","",COUNTIF($B$109:$B370,"?*"))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IF($B371="","",COUNTIF($B$109:$B371,"?*"))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IF($B372="","",COUNTIF($B$109:$B372,"?*"))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IF($B373="","",COUNTIF($B$109:$B373,"?*"))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IF($B374="","",COUNTIF($B$109:$B374,"?*"))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IF($B375="","",COUNTIF($B$109:$B375,"?*"))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IF($B376="","",COUNTIF($B$109:$B376,"?*"))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IF($B377="","",COUNTIF($B$109:$B377,"?*"))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IF($B378="","",COUNTIF($B$109:$B378,"?*"))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IF($B379="","",COUNTIF($B$109:$B379,"?*"))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IF($B380="","",COUNTIF($B$109:$B380,"?*"))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IF($B381="","",COUNTIF($B$109:$B381,"?*"))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IF($B382="","",COUNTIF($B$109:$B382,"?*"))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IF($B383="","",COUNTIF($B$109:$B383,"?*"))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IF($B384="","",COUNTIF($B$109:$B384,"?*"))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IF($B385="","",COUNTIF($B$109:$B385,"?*"))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IF($B386="","",COUNTIF($B$109:$B386,"?*"))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IF($B387="","",COUNTIF($B$109:$B387,"?*"))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IF($B388="","",COUNTIF($B$109:$B388,"?*"))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IF($B389="","",COUNTIF($B$109:$B389,"?*"))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IF($B390="","",COUNTIF($B$109:$B390,"?*"))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IF($B391="","",COUNTIF($B$109:$B391,"?*"))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IF($B392="","",COUNTIF($B$109:$B392,"?*"))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IF($B393="","",COUNTIF($B$109:$B393,"?*"))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IF($B394="","",COUNTIF($B$109:$B394,"?*"))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IF($B395="","",COUNTIF($B$109:$B395,"?*"))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IF($B396="","",COUNTIF($B$109:$B396,"?*"))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IF($B397="","",COUNTIF($B$109:$B397,"?*"))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IF($B398="","",COUNTIF($B$109:$B398,"?*"))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IF($B399="","",COUNTIF($B$109:$B399,"?*"))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IF($B400="","",COUNTIF($B$109:$B400,"?*"))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IF($B401="","",COUNTIF($B$109:$B401,"?*"))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IF($B402="","",COUNTIF($B$109:$B402,"?*"))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IF($B403="","",COUNTIF($B$109:$B403,"?*"))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IF($B404="","",COUNTIF($B$109:$B404,"?*"))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IF($B405="","",COUNTIF($B$109:$B405,"?*"))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IF($B406="","",COUNTIF($B$109:$B406,"?*"))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IF($B407="","",COUNTIF($B$109:$B407,"?*"))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IF($B408="","",COUNTIF($B$109:$B408,"?*"))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IF($B409="","",COUNTIF($B$109:$B409,"?*"))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IF($B410="","",COUNTIF($B$109:$B410,"?*"))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IF($B411="","",COUNTIF($B$109:$B411,"?*"))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IF($B412="","",COUNTIF($B$109:$B412,"?*"))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IF($B413="","",COUNTIF($B$109:$B413,"?*"))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IF($B414="","",COUNTIF($B$109:$B414,"?*"))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IF($B415="","",COUNTIF($B$109:$B415,"?*"))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IF($B416="","",COUNTIF($B$109:$B416,"?*"))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IF($B417="","",COUNTIF($B$109:$B417,"?*"))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IF($B418="","",COUNTIF($B$109:$B418,"?*"))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IF($B419="","",COUNTIF($B$109:$B419,"?*"))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IF($B420="","",COUNTIF($B$109:$B420,"?*"))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IF($B421="","",COUNTIF($B$109:$B421,"?*"))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IF($B422="","",COUNTIF($B$109:$B422,"?*"))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IF($B423="","",COUNTIF($B$109:$B423,"?*"))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IF($B424="","",COUNTIF($B$109:$B424,"?*"))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IF($B425="","",COUNTIF($B$109:$B425,"?*"))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IF($B426="","",COUNTIF($B$109:$B426,"?*"))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IF($B427="","",COUNTIF($B$109:$B427,"?*"))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IF($B428="","",COUNTIF($B$109:$B428,"?*"))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IF($B429="","",COUNTIF($B$109:$B429,"?*"))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IF($B430="","",COUNTIF($B$109:$B430,"?*"))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IF($B431="","",COUNTIF($B$109:$B431,"?*"))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IF($B432="","",COUNTIF($B$109:$B432,"?*"))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IF($B433="","",COUNTIF($B$109:$B433,"?*"))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IF($B434="","",COUNTIF($B$109:$B434,"?*"))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IF($B435="","",COUNTIF($B$109:$B435,"?*"))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IF($B436="","",COUNTIF($B$109:$B436,"?*"))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IF($B437="","",COUNTIF($B$109:$B437,"?*"))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IF($B438="","",COUNTIF($B$109:$B438,"?*"))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IF($B439="","",COUNTIF($B$109:$B439,"?*"))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IF($B440="","",COUNTIF($B$109:$B440,"?*"))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IF($B441="","",COUNTIF($B$109:$B441,"?*"))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IF($B442="","",COUNTIF($B$109:$B442,"?*"))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IF($B443="","",COUNTIF($B$109:$B443,"?*"))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IF($B444="","",COUNTIF($B$109:$B444,"?*"))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IF($B445="","",COUNTIF($B$109:$B445,"?*"))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IF($B446="","",COUNTIF($B$109:$B446,"?*"))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IF($B447="","",COUNTIF($B$109:$B447,"?*"))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IF($B448="","",COUNTIF($B$109:$B448,"?*"))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IF($B449="","",COUNTIF($B$109:$B449,"?*"))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IF($B450="","",COUNTIF($B$109:$B450,"?*"))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IF($B451="","",COUNTIF($B$109:$B451,"?*"))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IF($B452="","",COUNTIF($B$109:$B452,"?*"))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IF($B453="","",COUNTIF($B$109:$B453,"?*"))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IF($B454="","",COUNTIF($B$109:$B454,"?*"))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IF($B455="","",COUNTIF($B$109:$B455,"?*"))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IF($B456="","",COUNTIF($B$109:$B456,"?*"))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IF($B457="","",COUNTIF($B$109:$B457,"?*"))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IF($B458="","",COUNTIF($B$109:$B458,"?*"))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IF($B459="","",COUNTIF($B$109:$B459,"?*"))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IF($B460="","",COUNTIF($B$109:$B460,"?*"))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IF($B461="","",COUNTIF($B$109:$B461,"?*"))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IF($B462="","",COUNTIF($B$109:$B462,"?*"))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IF($B463="","",COUNTIF($B$109:$B463,"?*"))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IF($B464="","",COUNTIF($B$109:$B464,"?*"))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IF($B465="","",COUNTIF($B$109:$B465,"?*"))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IF($B466="","",COUNTIF($B$109:$B466,"?*"))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IF($B467="","",COUNTIF($B$109:$B467,"?*"))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IF($B468="","",COUNTIF($B$109:$B468,"?*"))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IF($B469="","",COUNTIF($B$109:$B469,"?*"))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IF($B470="","",COUNTIF($B$109:$B470,"?*"))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IF($B471="","",COUNTIF($B$109:$B471,"?*"))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IF($B472="","",COUNTIF($B$109:$B472,"?*"))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IF($B473="","",COUNTIF($B$109:$B473,"?*"))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IF($B474="","",COUNTIF($B$109:$B474,"?*"))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IF($B475="","",COUNTIF($B$109:$B475,"?*"))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IF($B476="","",COUNTIF($B$109:$B476,"?*"))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IF($B477="","",COUNTIF($B$109:$B477,"?*"))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IF($B478="","",COUNTIF($B$109:$B478,"?*"))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IF($B479="","",COUNTIF($B$109:$B479,"?*"))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IF($B480="","",COUNTIF($B$109:$B480,"?*"))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IF($B481="","",COUNTIF($B$109:$B481,"?*"))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IF($B482="","",COUNTIF($B$109:$B482,"?*"))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IF($B483="","",COUNTIF($B$109:$B483,"?*"))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IF($B484="","",COUNTIF($B$109:$B484,"?*"))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IF($B485="","",COUNTIF($B$109:$B485,"?*"))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IF($B486="","",COUNTIF($B$109:$B486,"?*"))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IF($B487="","",COUNTIF($B$109:$B487,"?*"))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IF($B488="","",COUNTIF($B$109:$B488,"?*"))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IF($B489="","",COUNTIF($B$109:$B489,"?*"))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IF($B490="","",COUNTIF($B$109:$B490,"?*"))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IF($B491="","",COUNTIF($B$109:$B491,"?*"))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IF($B492="","",COUNTIF($B$109:$B492,"?*"))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IF($B493="","",COUNTIF($B$109:$B493,"?*"))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IF($B494="","",COUNTIF($B$109:$B494,"?*"))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IF($B495="","",COUNTIF($B$109:$B495,"?*"))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IF($B496="","",COUNTIF($B$109:$B496,"?*"))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IF($B497="","",COUNTIF($B$109:$B497,"?*"))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IF($B498="","",COUNTIF($B$109:$B498,"?*"))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IF($B499="","",COUNTIF($B$109:$B499,"?*"))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IF($B500="","",COUNTIF($B$109:$B500,"?*"))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IF($B501="","",COUNTIF($B$109:$B501,"?*"))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IF($B502="","",COUNTIF($B$109:$B502,"?*"))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IF($B503="","",COUNTIF($B$109:$B503,"?*"))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IF($B504="","",COUNTIF($B$109:$B504,"?*"))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IF($B505="","",COUNTIF($B$109:$B505,"?*"))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IF($B506="","",COUNTIF($B$109:$B506,"?*"))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IF($B507="","",COUNTIF($B$109:$B507,"?*"))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IF($B508="","",COUNTIF($B$109:$B508,"?*"))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코드설정!$M$5:$M$14</formula1>
    </dataValidation>
    <dataValidation sqref="E6:E105" showDropDown="0" showInputMessage="0" showErrorMessage="0" allowBlank="1" type="list">
      <formula1>코드설정!$I$5:$I$14</formula1>
    </dataValidation>
    <dataValidation sqref="F6:F105" showDropDown="0" showInputMessage="0" showErrorMessage="0" allowBlank="1" type="list">
      <formula1>코드설정!$O$5:$O$8</formula1>
    </dataValidation>
    <dataValidation sqref="B109:B508" showDropDown="0" showInputMessage="0" showErrorMessage="0" allowBlank="1" type="list">
      <formula1>'장비·매체 관리'!$A$6:$A$105</formula1>
    </dataValidation>
    <dataValidation sqref="D109:D508" showDropDown="0" showInputMessage="0" showErrorMessage="0" allowBlank="1" type="list">
      <formula1>사건마스터!$A$5:$A$64</formula1>
    </dataValidation>
    <dataValidation sqref="H109:H508" showDropDown="0" showInputMessage="0" showErrorMessage="0" allowBlank="1" type="list">
      <formula1>코드설정!$C$5:$C$24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C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 ht="24" customHeight="1">
      <c r="A1" s="6" t="inlineStr">
        <is>
          <t>진행중 보드  ·  경과일수 순</t>
        </is>
      </c>
      <c r="AZ1">
        <f>IF(AND(업무일지!$B5&lt;&gt;"",업무일지!$AF5="진행중"),MAX(0,TODAY()-업무일지!$B5)*10000+1000,"")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IF(AND(업무일지!$B6&lt;&gt;"",업무일지!$AF6="진행중"),MAX(0,TODAY()-업무일지!$B6)*10000+999,"")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IF(AND(업무일지!$B7&lt;&gt;"",업무일지!$AF7="진행중"),MAX(0,TODAY()-업무일지!$B7)*10000+998,"")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IF(AND(업무일지!$B8&lt;&gt;"",업무일지!$AF8="진행중"),MAX(0,TODAY()-업무일지!$B8)*10000+997,"")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건수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IF(AND(업무일지!$B9&lt;&gt;"",업무일지!$AF9="진행중"),MAX(0,TODAY()-업무일지!$B9)*10000+996,"")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COUNTIFS(업무일지!$AF$5:$AF$1004,"진행중",업무일지!$D$5:$D$1004,"출장")</f>
        <v/>
      </c>
      <c r="C6" s="24">
        <f>COUNTIFS(업무일지!$AF$5:$AF$1004,"진행중",업무일지!$D$5:$D$1004,"출장",업무일지!$B$5:$B$1004,"&lt;"&amp;TODAY()-30)</f>
        <v/>
      </c>
      <c r="D6" s="24">
        <f>COUNTIFS(업무일지!$AF$5:$AF$1004,"진행중",업무일지!$D$5:$D$1004,"출장",업무일지!$B$5:$B$1004,"&lt;"&amp;TODAY()-60)</f>
        <v/>
      </c>
      <c r="E6" s="24">
        <f>IF($B6=0,0,IFERROR(TODAY()-_xlfn.MINIFS(업무일지!$B$5:$B$1004,업무일지!$AF$5:$AF$1004,"진행중",업무일지!$D$5:$D$1004,"출장"),0))</f>
        <v/>
      </c>
      <c r="AZ6">
        <f>IF(AND(업무일지!$B10&lt;&gt;"",업무일지!$AF10="진행중"),MAX(0,TODAY()-업무일지!$B10)*10000+995,"")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</row>
    <row r="7">
      <c r="A7" s="8" t="inlineStr">
        <is>
          <t>분석</t>
        </is>
      </c>
      <c r="B7" s="24">
        <f>COUNTIFS(업무일지!$AF$5:$AF$1004,"진행중",업무일지!$D$5:$D$1004,"분석")</f>
        <v/>
      </c>
      <c r="C7" s="24">
        <f>COUNTIFS(업무일지!$AF$5:$AF$1004,"진행중",업무일지!$D$5:$D$1004,"분석",업무일지!$B$5:$B$1004,"&lt;"&amp;TODAY()-30)</f>
        <v/>
      </c>
      <c r="D7" s="24">
        <f>COUNTIFS(업무일지!$AF$5:$AF$1004,"진행중",업무일지!$D$5:$D$1004,"분석",업무일지!$B$5:$B$1004,"&lt;"&amp;TODAY()-60)</f>
        <v/>
      </c>
      <c r="E7" s="24">
        <f>IF($B7=0,0,IFERROR(TODAY()-_xlfn.MINIFS(업무일지!$B$5:$B$1004,업무일지!$AF$5:$AF$1004,"진행중",업무일지!$D$5:$D$1004,"분석"),0))</f>
        <v/>
      </c>
      <c r="AZ7">
        <f>IF(AND(업무일지!$B11&lt;&gt;"",업무일지!$AF11="진행중"),MAX(0,TODAY()-업무일지!$B11)*10000+994,"")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IF($B$8=0,0,IFERROR(TODAY()-_xlfn.MINIFS(일일실시사항!$B$5:$B$1004,일일실시사항!$J$5:$J$1004,"진행중"),0))</f>
        <v/>
      </c>
      <c r="AZ8">
        <f>IF(AND(업무일지!$B12&lt;&gt;"",업무일지!$AF12="진행중"),MAX(0,TODAY()-업무일지!$B12)*10000+993,"")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IF(AND(업무일지!$B13&lt;&gt;"",업무일지!$AF13="진행중"),MAX(0,TODAY()-업무일지!$B13)*10000+992,"")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IF(AND(업무일지!$B14&lt;&gt;"",업무일지!$AF14="진행중"),MAX(0,TODAY()-업무일지!$B14)*10000+991,"")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IF(AND(업무일지!$B15&lt;&gt;"",업무일지!$AF15="진행중"),MAX(0,TODAY()-업무일지!$B15)*10000+990,"")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IF(AND(업무일지!$B16&lt;&gt;"",업무일지!$AF16="진행중"),MAX(0,TODAY()-업무일지!$B16)*10000+989,"")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IF($BA13="","",INDEX(업무일지!$G$5:$G$1004,$BA13))</f>
        <v/>
      </c>
      <c r="I13" s="52">
        <f>IF($BA13="","",INDEX(업무일지!$I$5:$I$1004,$BA13))</f>
        <v/>
      </c>
      <c r="J13" s="24">
        <f>IF($BA13="","",INDEX(업무일지!$Y$5:$Y$1004,$BA13))</f>
        <v/>
      </c>
      <c r="K13" s="47">
        <f>IF($BA13="","",INDEX(업무일지!$AB$5:$AB$1004,$BA13))</f>
        <v/>
      </c>
      <c r="L13" s="47">
        <f>IF($BA13="","",INDEX(업무일지!$AG$5:$AG$1004,$BA13))</f>
        <v/>
      </c>
      <c r="AZ13">
        <f>IF(AND(업무일지!$B17&lt;&gt;"",업무일지!$AF17="진행중"),MAX(0,TODAY()-업무일지!$B17)*10000+988,"")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IF($BA14="","",INDEX(업무일지!$G$5:$G$1004,$BA14))</f>
        <v/>
      </c>
      <c r="I14" s="52">
        <f>IF($BA14="","",INDEX(업무일지!$I$5:$I$1004,$BA14))</f>
        <v/>
      </c>
      <c r="J14" s="24">
        <f>IF($BA14="","",INDEX(업무일지!$Y$5:$Y$1004,$BA14))</f>
        <v/>
      </c>
      <c r="K14" s="47">
        <f>IF($BA14="","",INDEX(업무일지!$AB$5:$AB$1004,$BA14))</f>
        <v/>
      </c>
      <c r="L14" s="47">
        <f>IF($BA14="","",INDEX(업무일지!$AG$5:$AG$1004,$BA14))</f>
        <v/>
      </c>
      <c r="AZ14">
        <f>IF(AND(업무일지!$B18&lt;&gt;"",업무일지!$AF18="진행중"),MAX(0,TODAY()-업무일지!$B18)*10000+987,"")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IF($BA15="","",INDEX(업무일지!$G$5:$G$1004,$BA15))</f>
        <v/>
      </c>
      <c r="I15" s="52">
        <f>IF($BA15="","",INDEX(업무일지!$I$5:$I$1004,$BA15))</f>
        <v/>
      </c>
      <c r="J15" s="24">
        <f>IF($BA15="","",INDEX(업무일지!$Y$5:$Y$1004,$BA15))</f>
        <v/>
      </c>
      <c r="K15" s="47">
        <f>IF($BA15="","",INDEX(업무일지!$AB$5:$AB$1004,$BA15))</f>
        <v/>
      </c>
      <c r="L15" s="47">
        <f>IF($BA15="","",INDEX(업무일지!$AG$5:$AG$1004,$BA15))</f>
        <v/>
      </c>
      <c r="AZ15">
        <f>IF(AND(업무일지!$B19&lt;&gt;"",업무일지!$AF19="진행중"),MAX(0,TODAY()-업무일지!$B19)*10000+986,"")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IF($BA16="","",INDEX(업무일지!$G$5:$G$1004,$BA16))</f>
        <v/>
      </c>
      <c r="I16" s="52">
        <f>IF($BA16="","",INDEX(업무일지!$I$5:$I$1004,$BA16))</f>
        <v/>
      </c>
      <c r="J16" s="24">
        <f>IF($BA16="","",INDEX(업무일지!$Y$5:$Y$1004,$BA16))</f>
        <v/>
      </c>
      <c r="K16" s="47">
        <f>IF($BA16="","",INDEX(업무일지!$AB$5:$AB$1004,$BA16))</f>
        <v/>
      </c>
      <c r="L16" s="47">
        <f>IF($BA16="","",INDEX(업무일지!$AG$5:$AG$1004,$BA16))</f>
        <v/>
      </c>
      <c r="AZ16">
        <f>IF(AND(업무일지!$B20&lt;&gt;"",업무일지!$AF20="진행중"),MAX(0,TODAY()-업무일지!$B20)*10000+985,"")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IF($BA17="","",INDEX(업무일지!$G$5:$G$1004,$BA17))</f>
        <v/>
      </c>
      <c r="I17" s="52">
        <f>IF($BA17="","",INDEX(업무일지!$I$5:$I$1004,$BA17))</f>
        <v/>
      </c>
      <c r="J17" s="24">
        <f>IF($BA17="","",INDEX(업무일지!$Y$5:$Y$1004,$BA17))</f>
        <v/>
      </c>
      <c r="K17" s="47">
        <f>IF($BA17="","",INDEX(업무일지!$AB$5:$AB$1004,$BA17))</f>
        <v/>
      </c>
      <c r="L17" s="47">
        <f>IF($BA17="","",INDEX(업무일지!$AG$5:$AG$1004,$BA17))</f>
        <v/>
      </c>
      <c r="AZ17">
        <f>IF(AND(업무일지!$B21&lt;&gt;"",업무일지!$AF21="진행중"),MAX(0,TODAY()-업무일지!$B21)*10000+984,"")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IF($BA18="","",INDEX(업무일지!$G$5:$G$1004,$BA18))</f>
        <v/>
      </c>
      <c r="I18" s="52">
        <f>IF($BA18="","",INDEX(업무일지!$I$5:$I$1004,$BA18))</f>
        <v/>
      </c>
      <c r="J18" s="24">
        <f>IF($BA18="","",INDEX(업무일지!$Y$5:$Y$1004,$BA18))</f>
        <v/>
      </c>
      <c r="K18" s="47">
        <f>IF($BA18="","",INDEX(업무일지!$AB$5:$AB$1004,$BA18))</f>
        <v/>
      </c>
      <c r="L18" s="47">
        <f>IF($BA18="","",INDEX(업무일지!$AG$5:$AG$1004,$BA18))</f>
        <v/>
      </c>
      <c r="AZ18">
        <f>IF(AND(업무일지!$B22&lt;&gt;"",업무일지!$AF22="진행중"),MAX(0,TODAY()-업무일지!$B22)*10000+983,"")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IF($BA19="","",INDEX(업무일지!$G$5:$G$1004,$BA19))</f>
        <v/>
      </c>
      <c r="I19" s="52">
        <f>IF($BA19="","",INDEX(업무일지!$I$5:$I$1004,$BA19))</f>
        <v/>
      </c>
      <c r="J19" s="24">
        <f>IF($BA19="","",INDEX(업무일지!$Y$5:$Y$1004,$BA19))</f>
        <v/>
      </c>
      <c r="K19" s="47">
        <f>IF($BA19="","",INDEX(업무일지!$AB$5:$AB$1004,$BA19))</f>
        <v/>
      </c>
      <c r="L19" s="47">
        <f>IF($BA19="","",INDEX(업무일지!$AG$5:$AG$1004,$BA19))</f>
        <v/>
      </c>
      <c r="AZ19">
        <f>IF(AND(업무일지!$B23&lt;&gt;"",업무일지!$AF23="진행중"),MAX(0,TODAY()-업무일지!$B23)*10000+982,"")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IF($BA20="","",INDEX(업무일지!$G$5:$G$1004,$BA20))</f>
        <v/>
      </c>
      <c r="I20" s="52">
        <f>IF($BA20="","",INDEX(업무일지!$I$5:$I$1004,$BA20))</f>
        <v/>
      </c>
      <c r="J20" s="24">
        <f>IF($BA20="","",INDEX(업무일지!$Y$5:$Y$1004,$BA20))</f>
        <v/>
      </c>
      <c r="K20" s="47">
        <f>IF($BA20="","",INDEX(업무일지!$AB$5:$AB$1004,$BA20))</f>
        <v/>
      </c>
      <c r="L20" s="47">
        <f>IF($BA20="","",INDEX(업무일지!$AG$5:$AG$1004,$BA20))</f>
        <v/>
      </c>
      <c r="AZ20">
        <f>IF(AND(업무일지!$B24&lt;&gt;"",업무일지!$AF24="진행중"),MAX(0,TODAY()-업무일지!$B24)*10000+981,"")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IF($BA21="","",INDEX(업무일지!$G$5:$G$1004,$BA21))</f>
        <v/>
      </c>
      <c r="I21" s="52">
        <f>IF($BA21="","",INDEX(업무일지!$I$5:$I$1004,$BA21))</f>
        <v/>
      </c>
      <c r="J21" s="24">
        <f>IF($BA21="","",INDEX(업무일지!$Y$5:$Y$1004,$BA21))</f>
        <v/>
      </c>
      <c r="K21" s="47">
        <f>IF($BA21="","",INDEX(업무일지!$AB$5:$AB$1004,$BA21))</f>
        <v/>
      </c>
      <c r="L21" s="47">
        <f>IF($BA21="","",INDEX(업무일지!$AG$5:$AG$1004,$BA21))</f>
        <v/>
      </c>
      <c r="AZ21">
        <f>IF(AND(업무일지!$B25&lt;&gt;"",업무일지!$AF25="진행중"),MAX(0,TODAY()-업무일지!$B25)*10000+980,"")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IF($BA22="","",INDEX(업무일지!$G$5:$G$1004,$BA22))</f>
        <v/>
      </c>
      <c r="I22" s="52">
        <f>IF($BA22="","",INDEX(업무일지!$I$5:$I$1004,$BA22))</f>
        <v/>
      </c>
      <c r="J22" s="24">
        <f>IF($BA22="","",INDEX(업무일지!$Y$5:$Y$1004,$BA22))</f>
        <v/>
      </c>
      <c r="K22" s="47">
        <f>IF($BA22="","",INDEX(업무일지!$AB$5:$AB$1004,$BA22))</f>
        <v/>
      </c>
      <c r="L22" s="47">
        <f>IF($BA22="","",INDEX(업무일지!$AG$5:$AG$1004,$BA22))</f>
        <v/>
      </c>
      <c r="AZ22">
        <f>IF(AND(업무일지!$B26&lt;&gt;"",업무일지!$AF26="진행중"),MAX(0,TODAY()-업무일지!$B26)*10000+979,"")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IF($BA23="","",INDEX(업무일지!$G$5:$G$1004,$BA23))</f>
        <v/>
      </c>
      <c r="I23" s="52">
        <f>IF($BA23="","",INDEX(업무일지!$I$5:$I$1004,$BA23))</f>
        <v/>
      </c>
      <c r="J23" s="24">
        <f>IF($BA23="","",INDEX(업무일지!$Y$5:$Y$1004,$BA23))</f>
        <v/>
      </c>
      <c r="K23" s="47">
        <f>IF($BA23="","",INDEX(업무일지!$AB$5:$AB$1004,$BA23))</f>
        <v/>
      </c>
      <c r="L23" s="47">
        <f>IF($BA23="","",INDEX(업무일지!$AG$5:$AG$1004,$BA23))</f>
        <v/>
      </c>
      <c r="AZ23">
        <f>IF(AND(업무일지!$B27&lt;&gt;"",업무일지!$AF27="진행중"),MAX(0,TODAY()-업무일지!$B27)*10000+978,"")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IF($BA24="","",INDEX(업무일지!$G$5:$G$1004,$BA24))</f>
        <v/>
      </c>
      <c r="I24" s="52">
        <f>IF($BA24="","",INDEX(업무일지!$I$5:$I$1004,$BA24))</f>
        <v/>
      </c>
      <c r="J24" s="24">
        <f>IF($BA24="","",INDEX(업무일지!$Y$5:$Y$1004,$BA24))</f>
        <v/>
      </c>
      <c r="K24" s="47">
        <f>IF($BA24="","",INDEX(업무일지!$AB$5:$AB$1004,$BA24))</f>
        <v/>
      </c>
      <c r="L24" s="47">
        <f>IF($BA24="","",INDEX(업무일지!$AG$5:$AG$1004,$BA24))</f>
        <v/>
      </c>
      <c r="AZ24">
        <f>IF(AND(업무일지!$B28&lt;&gt;"",업무일지!$AF28="진행중"),MAX(0,TODAY()-업무일지!$B28)*10000+977,"")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IF($BA25="","",INDEX(업무일지!$G$5:$G$1004,$BA25))</f>
        <v/>
      </c>
      <c r="I25" s="52">
        <f>IF($BA25="","",INDEX(업무일지!$I$5:$I$1004,$BA25))</f>
        <v/>
      </c>
      <c r="J25" s="24">
        <f>IF($BA25="","",INDEX(업무일지!$Y$5:$Y$1004,$BA25))</f>
        <v/>
      </c>
      <c r="K25" s="47">
        <f>IF($BA25="","",INDEX(업무일지!$AB$5:$AB$1004,$BA25))</f>
        <v/>
      </c>
      <c r="L25" s="47">
        <f>IF($BA25="","",INDEX(업무일지!$AG$5:$AG$1004,$BA25))</f>
        <v/>
      </c>
      <c r="AZ25">
        <f>IF(AND(업무일지!$B29&lt;&gt;"",업무일지!$AF29="진행중"),MAX(0,TODAY()-업무일지!$B29)*10000+976,"")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IF($BA26="","",INDEX(업무일지!$G$5:$G$1004,$BA26))</f>
        <v/>
      </c>
      <c r="I26" s="52">
        <f>IF($BA26="","",INDEX(업무일지!$I$5:$I$1004,$BA26))</f>
        <v/>
      </c>
      <c r="J26" s="24">
        <f>IF($BA26="","",INDEX(업무일지!$Y$5:$Y$1004,$BA26))</f>
        <v/>
      </c>
      <c r="K26" s="47">
        <f>IF($BA26="","",INDEX(업무일지!$AB$5:$AB$1004,$BA26))</f>
        <v/>
      </c>
      <c r="L26" s="47">
        <f>IF($BA26="","",INDEX(업무일지!$AG$5:$AG$1004,$BA26))</f>
        <v/>
      </c>
      <c r="AZ26">
        <f>IF(AND(업무일지!$B30&lt;&gt;"",업무일지!$AF30="진행중"),MAX(0,TODAY()-업무일지!$B30)*10000+975,"")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IF($BA27="","",INDEX(업무일지!$G$5:$G$1004,$BA27))</f>
        <v/>
      </c>
      <c r="I27" s="52">
        <f>IF($BA27="","",INDEX(업무일지!$I$5:$I$1004,$BA27))</f>
        <v/>
      </c>
      <c r="J27" s="24">
        <f>IF($BA27="","",INDEX(업무일지!$Y$5:$Y$1004,$BA27))</f>
        <v/>
      </c>
      <c r="K27" s="47">
        <f>IF($BA27="","",INDEX(업무일지!$AB$5:$AB$1004,$BA27))</f>
        <v/>
      </c>
      <c r="L27" s="47">
        <f>IF($BA27="","",INDEX(업무일지!$AG$5:$AG$1004,$BA27))</f>
        <v/>
      </c>
      <c r="AZ27">
        <f>IF(AND(업무일지!$B31&lt;&gt;"",업무일지!$AF31="진행중"),MAX(0,TODAY()-업무일지!$B31)*10000+974,"")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IF($BA28="","",INDEX(업무일지!$G$5:$G$1004,$BA28))</f>
        <v/>
      </c>
      <c r="I28" s="52">
        <f>IF($BA28="","",INDEX(업무일지!$I$5:$I$1004,$BA28))</f>
        <v/>
      </c>
      <c r="J28" s="24">
        <f>IF($BA28="","",INDEX(업무일지!$Y$5:$Y$1004,$BA28))</f>
        <v/>
      </c>
      <c r="K28" s="47">
        <f>IF($BA28="","",INDEX(업무일지!$AB$5:$AB$1004,$BA28))</f>
        <v/>
      </c>
      <c r="L28" s="47">
        <f>IF($BA28="","",INDEX(업무일지!$AG$5:$AG$1004,$BA28))</f>
        <v/>
      </c>
      <c r="AZ28">
        <f>IF(AND(업무일지!$B32&lt;&gt;"",업무일지!$AF32="진행중"),MAX(0,TODAY()-업무일지!$B32)*10000+973,"")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IF($BA29="","",INDEX(업무일지!$G$5:$G$1004,$BA29))</f>
        <v/>
      </c>
      <c r="I29" s="52">
        <f>IF($BA29="","",INDEX(업무일지!$I$5:$I$1004,$BA29))</f>
        <v/>
      </c>
      <c r="J29" s="24">
        <f>IF($BA29="","",INDEX(업무일지!$Y$5:$Y$1004,$BA29))</f>
        <v/>
      </c>
      <c r="K29" s="47">
        <f>IF($BA29="","",INDEX(업무일지!$AB$5:$AB$1004,$BA29))</f>
        <v/>
      </c>
      <c r="L29" s="47">
        <f>IF($BA29="","",INDEX(업무일지!$AG$5:$AG$1004,$BA29))</f>
        <v/>
      </c>
      <c r="AZ29">
        <f>IF(AND(업무일지!$B33&lt;&gt;"",업무일지!$AF33="진행중"),MAX(0,TODAY()-업무일지!$B33)*10000+972,"")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IF($BA30="","",INDEX(업무일지!$G$5:$G$1004,$BA30))</f>
        <v/>
      </c>
      <c r="I30" s="52">
        <f>IF($BA30="","",INDEX(업무일지!$I$5:$I$1004,$BA30))</f>
        <v/>
      </c>
      <c r="J30" s="24">
        <f>IF($BA30="","",INDEX(업무일지!$Y$5:$Y$1004,$BA30))</f>
        <v/>
      </c>
      <c r="K30" s="47">
        <f>IF($BA30="","",INDEX(업무일지!$AB$5:$AB$1004,$BA30))</f>
        <v/>
      </c>
      <c r="L30" s="47">
        <f>IF($BA30="","",INDEX(업무일지!$AG$5:$AG$1004,$BA30))</f>
        <v/>
      </c>
      <c r="AZ30">
        <f>IF(AND(업무일지!$B34&lt;&gt;"",업무일지!$AF34="진행중"),MAX(0,TODAY()-업무일지!$B34)*10000+971,"")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IF($BA31="","",INDEX(업무일지!$G$5:$G$1004,$BA31))</f>
        <v/>
      </c>
      <c r="I31" s="52">
        <f>IF($BA31="","",INDEX(업무일지!$I$5:$I$1004,$BA31))</f>
        <v/>
      </c>
      <c r="J31" s="24">
        <f>IF($BA31="","",INDEX(업무일지!$Y$5:$Y$1004,$BA31))</f>
        <v/>
      </c>
      <c r="K31" s="47">
        <f>IF($BA31="","",INDEX(업무일지!$AB$5:$AB$1004,$BA31))</f>
        <v/>
      </c>
      <c r="L31" s="47">
        <f>IF($BA31="","",INDEX(업무일지!$AG$5:$AG$1004,$BA31))</f>
        <v/>
      </c>
      <c r="AZ31">
        <f>IF(AND(업무일지!$B35&lt;&gt;"",업무일지!$AF35="진행중"),MAX(0,TODAY()-업무일지!$B35)*10000+970,"")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IF($BA32="","",INDEX(업무일지!$G$5:$G$1004,$BA32))</f>
        <v/>
      </c>
      <c r="I32" s="52">
        <f>IF($BA32="","",INDEX(업무일지!$I$5:$I$1004,$BA32))</f>
        <v/>
      </c>
      <c r="J32" s="24">
        <f>IF($BA32="","",INDEX(업무일지!$Y$5:$Y$1004,$BA32))</f>
        <v/>
      </c>
      <c r="K32" s="47">
        <f>IF($BA32="","",INDEX(업무일지!$AB$5:$AB$1004,$BA32))</f>
        <v/>
      </c>
      <c r="L32" s="47">
        <f>IF($BA32="","",INDEX(업무일지!$AG$5:$AG$1004,$BA32))</f>
        <v/>
      </c>
      <c r="AZ32">
        <f>IF(AND(업무일지!$B36&lt;&gt;"",업무일지!$AF36="진행중"),MAX(0,TODAY()-업무일지!$B36)*10000+969,"")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IF($BA33="","",INDEX(업무일지!$G$5:$G$1004,$BA33))</f>
        <v/>
      </c>
      <c r="I33" s="52">
        <f>IF($BA33="","",INDEX(업무일지!$I$5:$I$1004,$BA33))</f>
        <v/>
      </c>
      <c r="J33" s="24">
        <f>IF($BA33="","",INDEX(업무일지!$Y$5:$Y$1004,$BA33))</f>
        <v/>
      </c>
      <c r="K33" s="47">
        <f>IF($BA33="","",INDEX(업무일지!$AB$5:$AB$1004,$BA33))</f>
        <v/>
      </c>
      <c r="L33" s="47">
        <f>IF($BA33="","",INDEX(업무일지!$AG$5:$AG$1004,$BA33))</f>
        <v/>
      </c>
      <c r="AZ33">
        <f>IF(AND(업무일지!$B37&lt;&gt;"",업무일지!$AF37="진행중"),MAX(0,TODAY()-업무일지!$B37)*10000+968,"")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IF($BA34="","",INDEX(업무일지!$G$5:$G$1004,$BA34))</f>
        <v/>
      </c>
      <c r="I34" s="52">
        <f>IF($BA34="","",INDEX(업무일지!$I$5:$I$1004,$BA34))</f>
        <v/>
      </c>
      <c r="J34" s="24">
        <f>IF($BA34="","",INDEX(업무일지!$Y$5:$Y$1004,$BA34))</f>
        <v/>
      </c>
      <c r="K34" s="47">
        <f>IF($BA34="","",INDEX(업무일지!$AB$5:$AB$1004,$BA34))</f>
        <v/>
      </c>
      <c r="L34" s="47">
        <f>IF($BA34="","",INDEX(업무일지!$AG$5:$AG$1004,$BA34))</f>
        <v/>
      </c>
      <c r="AZ34">
        <f>IF(AND(업무일지!$B38&lt;&gt;"",업무일지!$AF38="진행중"),MAX(0,TODAY()-업무일지!$B38)*10000+967,"")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IF($BA35="","",INDEX(업무일지!$G$5:$G$1004,$BA35))</f>
        <v/>
      </c>
      <c r="I35" s="52">
        <f>IF($BA35="","",INDEX(업무일지!$I$5:$I$1004,$BA35))</f>
        <v/>
      </c>
      <c r="J35" s="24">
        <f>IF($BA35="","",INDEX(업무일지!$Y$5:$Y$1004,$BA35))</f>
        <v/>
      </c>
      <c r="K35" s="47">
        <f>IF($BA35="","",INDEX(업무일지!$AB$5:$AB$1004,$BA35))</f>
        <v/>
      </c>
      <c r="L35" s="47">
        <f>IF($BA35="","",INDEX(업무일지!$AG$5:$AG$1004,$BA35))</f>
        <v/>
      </c>
      <c r="AZ35">
        <f>IF(AND(업무일지!$B39&lt;&gt;"",업무일지!$AF39="진행중"),MAX(0,TODAY()-업무일지!$B39)*10000+966,"")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IF($BA36="","",INDEX(업무일지!$G$5:$G$1004,$BA36))</f>
        <v/>
      </c>
      <c r="I36" s="52">
        <f>IF($BA36="","",INDEX(업무일지!$I$5:$I$1004,$BA36))</f>
        <v/>
      </c>
      <c r="J36" s="24">
        <f>IF($BA36="","",INDEX(업무일지!$Y$5:$Y$1004,$BA36))</f>
        <v/>
      </c>
      <c r="K36" s="47">
        <f>IF($BA36="","",INDEX(업무일지!$AB$5:$AB$1004,$BA36))</f>
        <v/>
      </c>
      <c r="L36" s="47">
        <f>IF($BA36="","",INDEX(업무일지!$AG$5:$AG$1004,$BA36))</f>
        <v/>
      </c>
      <c r="AZ36">
        <f>IF(AND(업무일지!$B40&lt;&gt;"",업무일지!$AF40="진행중"),MAX(0,TODAY()-업무일지!$B40)*10000+965,"")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IF($BA37="","",INDEX(업무일지!$G$5:$G$1004,$BA37))</f>
        <v/>
      </c>
      <c r="I37" s="52">
        <f>IF($BA37="","",INDEX(업무일지!$I$5:$I$1004,$BA37))</f>
        <v/>
      </c>
      <c r="J37" s="24">
        <f>IF($BA37="","",INDEX(업무일지!$Y$5:$Y$1004,$BA37))</f>
        <v/>
      </c>
      <c r="K37" s="47">
        <f>IF($BA37="","",INDEX(업무일지!$AB$5:$AB$1004,$BA37))</f>
        <v/>
      </c>
      <c r="L37" s="47">
        <f>IF($BA37="","",INDEX(업무일지!$AG$5:$AG$1004,$BA37))</f>
        <v/>
      </c>
      <c r="AZ37">
        <f>IF(AND(업무일지!$B41&lt;&gt;"",업무일지!$AF41="진행중"),MAX(0,TODAY()-업무일지!$B41)*10000+964,"")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IF($BA38="","",INDEX(업무일지!$G$5:$G$1004,$BA38))</f>
        <v/>
      </c>
      <c r="I38" s="52">
        <f>IF($BA38="","",INDEX(업무일지!$I$5:$I$1004,$BA38))</f>
        <v/>
      </c>
      <c r="J38" s="24">
        <f>IF($BA38="","",INDEX(업무일지!$Y$5:$Y$1004,$BA38))</f>
        <v/>
      </c>
      <c r="K38" s="47">
        <f>IF($BA38="","",INDEX(업무일지!$AB$5:$AB$1004,$BA38))</f>
        <v/>
      </c>
      <c r="L38" s="47">
        <f>IF($BA38="","",INDEX(업무일지!$AG$5:$AG$1004,$BA38))</f>
        <v/>
      </c>
      <c r="AZ38">
        <f>IF(AND(업무일지!$B42&lt;&gt;"",업무일지!$AF42="진행중"),MAX(0,TODAY()-업무일지!$B42)*10000+963,"")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IF($BA39="","",INDEX(업무일지!$G$5:$G$1004,$BA39))</f>
        <v/>
      </c>
      <c r="I39" s="52">
        <f>IF($BA39="","",INDEX(업무일지!$I$5:$I$1004,$BA39))</f>
        <v/>
      </c>
      <c r="J39" s="24">
        <f>IF($BA39="","",INDEX(업무일지!$Y$5:$Y$1004,$BA39))</f>
        <v/>
      </c>
      <c r="K39" s="47">
        <f>IF($BA39="","",INDEX(업무일지!$AB$5:$AB$1004,$BA39))</f>
        <v/>
      </c>
      <c r="L39" s="47">
        <f>IF($BA39="","",INDEX(업무일지!$AG$5:$AG$1004,$BA39))</f>
        <v/>
      </c>
      <c r="AZ39">
        <f>IF(AND(업무일지!$B43&lt;&gt;"",업무일지!$AF43="진행중"),MAX(0,TODAY()-업무일지!$B43)*10000+962,"")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IF($BA40="","",INDEX(업무일지!$G$5:$G$1004,$BA40))</f>
        <v/>
      </c>
      <c r="I40" s="52">
        <f>IF($BA40="","",INDEX(업무일지!$I$5:$I$1004,$BA40))</f>
        <v/>
      </c>
      <c r="J40" s="24">
        <f>IF($BA40="","",INDEX(업무일지!$Y$5:$Y$1004,$BA40))</f>
        <v/>
      </c>
      <c r="K40" s="47">
        <f>IF($BA40="","",INDEX(업무일지!$AB$5:$AB$1004,$BA40))</f>
        <v/>
      </c>
      <c r="L40" s="47">
        <f>IF($BA40="","",INDEX(업무일지!$AG$5:$AG$1004,$BA40))</f>
        <v/>
      </c>
      <c r="AZ40">
        <f>IF(AND(업무일지!$B44&lt;&gt;"",업무일지!$AF44="진행중"),MAX(0,TODAY()-업무일지!$B44)*10000+961,"")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IF($BA41="","",INDEX(업무일지!$G$5:$G$1004,$BA41))</f>
        <v/>
      </c>
      <c r="I41" s="52">
        <f>IF($BA41="","",INDEX(업무일지!$I$5:$I$1004,$BA41))</f>
        <v/>
      </c>
      <c r="J41" s="24">
        <f>IF($BA41="","",INDEX(업무일지!$Y$5:$Y$1004,$BA41))</f>
        <v/>
      </c>
      <c r="K41" s="47">
        <f>IF($BA41="","",INDEX(업무일지!$AB$5:$AB$1004,$BA41))</f>
        <v/>
      </c>
      <c r="L41" s="47">
        <f>IF($BA41="","",INDEX(업무일지!$AG$5:$AG$1004,$BA41))</f>
        <v/>
      </c>
      <c r="AZ41">
        <f>IF(AND(업무일지!$B45&lt;&gt;"",업무일지!$AF45="진행중"),MAX(0,TODAY()-업무일지!$B45)*10000+960,"")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IF($BA42="","",INDEX(업무일지!$G$5:$G$1004,$BA42))</f>
        <v/>
      </c>
      <c r="I42" s="52">
        <f>IF($BA42="","",INDEX(업무일지!$I$5:$I$1004,$BA42))</f>
        <v/>
      </c>
      <c r="J42" s="24">
        <f>IF($BA42="","",INDEX(업무일지!$Y$5:$Y$1004,$BA42))</f>
        <v/>
      </c>
      <c r="K42" s="47">
        <f>IF($BA42="","",INDEX(업무일지!$AB$5:$AB$1004,$BA42))</f>
        <v/>
      </c>
      <c r="L42" s="47">
        <f>IF($BA42="","",INDEX(업무일지!$AG$5:$AG$1004,$BA42))</f>
        <v/>
      </c>
      <c r="AZ42">
        <f>IF(AND(업무일지!$B46&lt;&gt;"",업무일지!$AF46="진행중"),MAX(0,TODAY()-업무일지!$B46)*10000+959,"")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IF($BA43="","",INDEX(업무일지!$G$5:$G$1004,$BA43))</f>
        <v/>
      </c>
      <c r="I43" s="52">
        <f>IF($BA43="","",INDEX(업무일지!$I$5:$I$1004,$BA43))</f>
        <v/>
      </c>
      <c r="J43" s="24">
        <f>IF($BA43="","",INDEX(업무일지!$Y$5:$Y$1004,$BA43))</f>
        <v/>
      </c>
      <c r="K43" s="47">
        <f>IF($BA43="","",INDEX(업무일지!$AB$5:$AB$1004,$BA43))</f>
        <v/>
      </c>
      <c r="L43" s="47">
        <f>IF($BA43="","",INDEX(업무일지!$AG$5:$AG$1004,$BA43))</f>
        <v/>
      </c>
      <c r="AZ43">
        <f>IF(AND(업무일지!$B47&lt;&gt;"",업무일지!$AF47="진행중"),MAX(0,TODAY()-업무일지!$B47)*10000+958,"")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IF($BA44="","",INDEX(업무일지!$G$5:$G$1004,$BA44))</f>
        <v/>
      </c>
      <c r="I44" s="52">
        <f>IF($BA44="","",INDEX(업무일지!$I$5:$I$1004,$BA44))</f>
        <v/>
      </c>
      <c r="J44" s="24">
        <f>IF($BA44="","",INDEX(업무일지!$Y$5:$Y$1004,$BA44))</f>
        <v/>
      </c>
      <c r="K44" s="47">
        <f>IF($BA44="","",INDEX(업무일지!$AB$5:$AB$1004,$BA44))</f>
        <v/>
      </c>
      <c r="L44" s="47">
        <f>IF($BA44="","",INDEX(업무일지!$AG$5:$AG$1004,$BA44))</f>
        <v/>
      </c>
      <c r="AZ44">
        <f>IF(AND(업무일지!$B48&lt;&gt;"",업무일지!$AF48="진행중"),MAX(0,TODAY()-업무일지!$B48)*10000+957,"")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IF($BA45="","",INDEX(업무일지!$G$5:$G$1004,$BA45))</f>
        <v/>
      </c>
      <c r="I45" s="52">
        <f>IF($BA45="","",INDEX(업무일지!$I$5:$I$1004,$BA45))</f>
        <v/>
      </c>
      <c r="J45" s="24">
        <f>IF($BA45="","",INDEX(업무일지!$Y$5:$Y$1004,$BA45))</f>
        <v/>
      </c>
      <c r="K45" s="47">
        <f>IF($BA45="","",INDEX(업무일지!$AB$5:$AB$1004,$BA45))</f>
        <v/>
      </c>
      <c r="L45" s="47">
        <f>IF($BA45="","",INDEX(업무일지!$AG$5:$AG$1004,$BA45))</f>
        <v/>
      </c>
      <c r="AZ45">
        <f>IF(AND(업무일지!$B49&lt;&gt;"",업무일지!$AF49="진행중"),MAX(0,TODAY()-업무일지!$B49)*10000+956,"")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IF($BA46="","",INDEX(업무일지!$G$5:$G$1004,$BA46))</f>
        <v/>
      </c>
      <c r="I46" s="52">
        <f>IF($BA46="","",INDEX(업무일지!$I$5:$I$1004,$BA46))</f>
        <v/>
      </c>
      <c r="J46" s="24">
        <f>IF($BA46="","",INDEX(업무일지!$Y$5:$Y$1004,$BA46))</f>
        <v/>
      </c>
      <c r="K46" s="47">
        <f>IF($BA46="","",INDEX(업무일지!$AB$5:$AB$1004,$BA46))</f>
        <v/>
      </c>
      <c r="L46" s="47">
        <f>IF($BA46="","",INDEX(업무일지!$AG$5:$AG$1004,$BA46))</f>
        <v/>
      </c>
      <c r="AZ46">
        <f>IF(AND(업무일지!$B50&lt;&gt;"",업무일지!$AF50="진행중"),MAX(0,TODAY()-업무일지!$B50)*10000+955,"")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IF($BA47="","",INDEX(업무일지!$G$5:$G$1004,$BA47))</f>
        <v/>
      </c>
      <c r="I47" s="52">
        <f>IF($BA47="","",INDEX(업무일지!$I$5:$I$1004,$BA47))</f>
        <v/>
      </c>
      <c r="J47" s="24">
        <f>IF($BA47="","",INDEX(업무일지!$Y$5:$Y$1004,$BA47))</f>
        <v/>
      </c>
      <c r="K47" s="47">
        <f>IF($BA47="","",INDEX(업무일지!$AB$5:$AB$1004,$BA47))</f>
        <v/>
      </c>
      <c r="L47" s="47">
        <f>IF($BA47="","",INDEX(업무일지!$AG$5:$AG$1004,$BA47))</f>
        <v/>
      </c>
      <c r="AZ47">
        <f>IF(AND(업무일지!$B51&lt;&gt;"",업무일지!$AF51="진행중"),MAX(0,TODAY()-업무일지!$B51)*10000+954,"")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IF($BA48="","",INDEX(업무일지!$G$5:$G$1004,$BA48))</f>
        <v/>
      </c>
      <c r="I48" s="52">
        <f>IF($BA48="","",INDEX(업무일지!$I$5:$I$1004,$BA48))</f>
        <v/>
      </c>
      <c r="J48" s="24">
        <f>IF($BA48="","",INDEX(업무일지!$Y$5:$Y$1004,$BA48))</f>
        <v/>
      </c>
      <c r="K48" s="47">
        <f>IF($BA48="","",INDEX(업무일지!$AB$5:$AB$1004,$BA48))</f>
        <v/>
      </c>
      <c r="L48" s="47">
        <f>IF($BA48="","",INDEX(업무일지!$AG$5:$AG$1004,$BA48))</f>
        <v/>
      </c>
      <c r="AZ48">
        <f>IF(AND(업무일지!$B52&lt;&gt;"",업무일지!$AF52="진행중"),MAX(0,TODAY()-업무일지!$B52)*10000+953,"")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IF($BA49="","",INDEX(업무일지!$G$5:$G$1004,$BA49))</f>
        <v/>
      </c>
      <c r="I49" s="52">
        <f>IF($BA49="","",INDEX(업무일지!$I$5:$I$1004,$BA49))</f>
        <v/>
      </c>
      <c r="J49" s="24">
        <f>IF($BA49="","",INDEX(업무일지!$Y$5:$Y$1004,$BA49))</f>
        <v/>
      </c>
      <c r="K49" s="47">
        <f>IF($BA49="","",INDEX(업무일지!$AB$5:$AB$1004,$BA49))</f>
        <v/>
      </c>
      <c r="L49" s="47">
        <f>IF($BA49="","",INDEX(업무일지!$AG$5:$AG$1004,$BA49))</f>
        <v/>
      </c>
      <c r="AZ49">
        <f>IF(AND(업무일지!$B53&lt;&gt;"",업무일지!$AF53="진행중"),MAX(0,TODAY()-업무일지!$B53)*10000+952,"")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IF($BA50="","",INDEX(업무일지!$G$5:$G$1004,$BA50))</f>
        <v/>
      </c>
      <c r="I50" s="52">
        <f>IF($BA50="","",INDEX(업무일지!$I$5:$I$1004,$BA50))</f>
        <v/>
      </c>
      <c r="J50" s="24">
        <f>IF($BA50="","",INDEX(업무일지!$Y$5:$Y$1004,$BA50))</f>
        <v/>
      </c>
      <c r="K50" s="47">
        <f>IF($BA50="","",INDEX(업무일지!$AB$5:$AB$1004,$BA50))</f>
        <v/>
      </c>
      <c r="L50" s="47">
        <f>IF($BA50="","",INDEX(업무일지!$AG$5:$AG$1004,$BA50))</f>
        <v/>
      </c>
      <c r="AZ50">
        <f>IF(AND(업무일지!$B54&lt;&gt;"",업무일지!$AF54="진행중"),MAX(0,TODAY()-업무일지!$B54)*10000+951,"")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IF($BA51="","",INDEX(업무일지!$G$5:$G$1004,$BA51))</f>
        <v/>
      </c>
      <c r="I51" s="52">
        <f>IF($BA51="","",INDEX(업무일지!$I$5:$I$1004,$BA51))</f>
        <v/>
      </c>
      <c r="J51" s="24">
        <f>IF($BA51="","",INDEX(업무일지!$Y$5:$Y$1004,$BA51))</f>
        <v/>
      </c>
      <c r="K51" s="47">
        <f>IF($BA51="","",INDEX(업무일지!$AB$5:$AB$1004,$BA51))</f>
        <v/>
      </c>
      <c r="L51" s="47">
        <f>IF($BA51="","",INDEX(업무일지!$AG$5:$AG$1004,$BA51))</f>
        <v/>
      </c>
      <c r="AZ51">
        <f>IF(AND(업무일지!$B55&lt;&gt;"",업무일지!$AF55="진행중"),MAX(0,TODAY()-업무일지!$B55)*10000+950,"")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IF($BA52="","",INDEX(업무일지!$G$5:$G$1004,$BA52))</f>
        <v/>
      </c>
      <c r="I52" s="52">
        <f>IF($BA52="","",INDEX(업무일지!$I$5:$I$1004,$BA52))</f>
        <v/>
      </c>
      <c r="J52" s="24">
        <f>IF($BA52="","",INDEX(업무일지!$Y$5:$Y$1004,$BA52))</f>
        <v/>
      </c>
      <c r="K52" s="47">
        <f>IF($BA52="","",INDEX(업무일지!$AB$5:$AB$1004,$BA52))</f>
        <v/>
      </c>
      <c r="L52" s="47">
        <f>IF($BA52="","",INDEX(업무일지!$AG$5:$AG$1004,$BA52))</f>
        <v/>
      </c>
      <c r="AZ52">
        <f>IF(AND(업무일지!$B56&lt;&gt;"",업무일지!$AF56="진행중"),MAX(0,TODAY()-업무일지!$B56)*10000+949,"")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IF($BA53="","",INDEX(업무일지!$G$5:$G$1004,$BA53))</f>
        <v/>
      </c>
      <c r="I53" s="52">
        <f>IF($BA53="","",INDEX(업무일지!$I$5:$I$1004,$BA53))</f>
        <v/>
      </c>
      <c r="J53" s="24">
        <f>IF($BA53="","",INDEX(업무일지!$Y$5:$Y$1004,$BA53))</f>
        <v/>
      </c>
      <c r="K53" s="47">
        <f>IF($BA53="","",INDEX(업무일지!$AB$5:$AB$1004,$BA53))</f>
        <v/>
      </c>
      <c r="L53" s="47">
        <f>IF($BA53="","",INDEX(업무일지!$AG$5:$AG$1004,$BA53))</f>
        <v/>
      </c>
      <c r="AZ53">
        <f>IF(AND(업무일지!$B57&lt;&gt;"",업무일지!$AF57="진행중"),MAX(0,TODAY()-업무일지!$B57)*10000+948,"")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IF($BA54="","",INDEX(업무일지!$G$5:$G$1004,$BA54))</f>
        <v/>
      </c>
      <c r="I54" s="52">
        <f>IF($BA54="","",INDEX(업무일지!$I$5:$I$1004,$BA54))</f>
        <v/>
      </c>
      <c r="J54" s="24">
        <f>IF($BA54="","",INDEX(업무일지!$Y$5:$Y$1004,$BA54))</f>
        <v/>
      </c>
      <c r="K54" s="47">
        <f>IF($BA54="","",INDEX(업무일지!$AB$5:$AB$1004,$BA54))</f>
        <v/>
      </c>
      <c r="L54" s="47">
        <f>IF($BA54="","",INDEX(업무일지!$AG$5:$AG$1004,$BA54))</f>
        <v/>
      </c>
      <c r="AZ54">
        <f>IF(AND(업무일지!$B58&lt;&gt;"",업무일지!$AF58="진행중"),MAX(0,TODAY()-업무일지!$B58)*10000+947,"")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IF($BA55="","",INDEX(업무일지!$G$5:$G$1004,$BA55))</f>
        <v/>
      </c>
      <c r="I55" s="52">
        <f>IF($BA55="","",INDEX(업무일지!$I$5:$I$1004,$BA55))</f>
        <v/>
      </c>
      <c r="J55" s="24">
        <f>IF($BA55="","",INDEX(업무일지!$Y$5:$Y$1004,$BA55))</f>
        <v/>
      </c>
      <c r="K55" s="47">
        <f>IF($BA55="","",INDEX(업무일지!$AB$5:$AB$1004,$BA55))</f>
        <v/>
      </c>
      <c r="L55" s="47">
        <f>IF($BA55="","",INDEX(업무일지!$AG$5:$AG$1004,$BA55))</f>
        <v/>
      </c>
      <c r="AZ55">
        <f>IF(AND(업무일지!$B59&lt;&gt;"",업무일지!$AF59="진행중"),MAX(0,TODAY()-업무일지!$B59)*10000+946,"")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IF($BA56="","",INDEX(업무일지!$G$5:$G$1004,$BA56))</f>
        <v/>
      </c>
      <c r="I56" s="52">
        <f>IF($BA56="","",INDEX(업무일지!$I$5:$I$1004,$BA56))</f>
        <v/>
      </c>
      <c r="J56" s="24">
        <f>IF($BA56="","",INDEX(업무일지!$Y$5:$Y$1004,$BA56))</f>
        <v/>
      </c>
      <c r="K56" s="47">
        <f>IF($BA56="","",INDEX(업무일지!$AB$5:$AB$1004,$BA56))</f>
        <v/>
      </c>
      <c r="L56" s="47">
        <f>IF($BA56="","",INDEX(업무일지!$AG$5:$AG$1004,$BA56))</f>
        <v/>
      </c>
      <c r="AZ56">
        <f>IF(AND(업무일지!$B60&lt;&gt;"",업무일지!$AF60="진행중"),MAX(0,TODAY()-업무일지!$B60)*10000+945,"")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IF($BA57="","",INDEX(업무일지!$G$5:$G$1004,$BA57))</f>
        <v/>
      </c>
      <c r="I57" s="52">
        <f>IF($BA57="","",INDEX(업무일지!$I$5:$I$1004,$BA57))</f>
        <v/>
      </c>
      <c r="J57" s="24">
        <f>IF($BA57="","",INDEX(업무일지!$Y$5:$Y$1004,$BA57))</f>
        <v/>
      </c>
      <c r="K57" s="47">
        <f>IF($BA57="","",INDEX(업무일지!$AB$5:$AB$1004,$BA57))</f>
        <v/>
      </c>
      <c r="L57" s="47">
        <f>IF($BA57="","",INDEX(업무일지!$AG$5:$AG$1004,$BA57))</f>
        <v/>
      </c>
      <c r="AZ57">
        <f>IF(AND(업무일지!$B61&lt;&gt;"",업무일지!$AF61="진행중"),MAX(0,TODAY()-업무일지!$B61)*10000+944,"")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IF($BA58="","",INDEX(업무일지!$G$5:$G$1004,$BA58))</f>
        <v/>
      </c>
      <c r="I58" s="52">
        <f>IF($BA58="","",INDEX(업무일지!$I$5:$I$1004,$BA58))</f>
        <v/>
      </c>
      <c r="J58" s="24">
        <f>IF($BA58="","",INDEX(업무일지!$Y$5:$Y$1004,$BA58))</f>
        <v/>
      </c>
      <c r="K58" s="47">
        <f>IF($BA58="","",INDEX(업무일지!$AB$5:$AB$1004,$BA58))</f>
        <v/>
      </c>
      <c r="L58" s="47">
        <f>IF($BA58="","",INDEX(업무일지!$AG$5:$AG$1004,$BA58))</f>
        <v/>
      </c>
      <c r="AZ58">
        <f>IF(AND(업무일지!$B62&lt;&gt;"",업무일지!$AF62="진행중"),MAX(0,TODAY()-업무일지!$B62)*10000+943,"")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IF($BA59="","",INDEX(업무일지!$G$5:$G$1004,$BA59))</f>
        <v/>
      </c>
      <c r="I59" s="52">
        <f>IF($BA59="","",INDEX(업무일지!$I$5:$I$1004,$BA59))</f>
        <v/>
      </c>
      <c r="J59" s="24">
        <f>IF($BA59="","",INDEX(업무일지!$Y$5:$Y$1004,$BA59))</f>
        <v/>
      </c>
      <c r="K59" s="47">
        <f>IF($BA59="","",INDEX(업무일지!$AB$5:$AB$1004,$BA59))</f>
        <v/>
      </c>
      <c r="L59" s="47">
        <f>IF($BA59="","",INDEX(업무일지!$AG$5:$AG$1004,$BA59))</f>
        <v/>
      </c>
      <c r="AZ59">
        <f>IF(AND(업무일지!$B63&lt;&gt;"",업무일지!$AF63="진행중"),MAX(0,TODAY()-업무일지!$B63)*10000+942,"")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IF($BA60="","",INDEX(업무일지!$G$5:$G$1004,$BA60))</f>
        <v/>
      </c>
      <c r="I60" s="52">
        <f>IF($BA60="","",INDEX(업무일지!$I$5:$I$1004,$BA60))</f>
        <v/>
      </c>
      <c r="J60" s="24">
        <f>IF($BA60="","",INDEX(업무일지!$Y$5:$Y$1004,$BA60))</f>
        <v/>
      </c>
      <c r="K60" s="47">
        <f>IF($BA60="","",INDEX(업무일지!$AB$5:$AB$1004,$BA60))</f>
        <v/>
      </c>
      <c r="L60" s="47">
        <f>IF($BA60="","",INDEX(업무일지!$AG$5:$AG$1004,$BA60))</f>
        <v/>
      </c>
      <c r="AZ60">
        <f>IF(AND(업무일지!$B64&lt;&gt;"",업무일지!$AF64="진행중"),MAX(0,TODAY()-업무일지!$B64)*10000+941,"")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IF($BA61="","",INDEX(업무일지!$G$5:$G$1004,$BA61))</f>
        <v/>
      </c>
      <c r="I61" s="52">
        <f>IF($BA61="","",INDEX(업무일지!$I$5:$I$1004,$BA61))</f>
        <v/>
      </c>
      <c r="J61" s="24">
        <f>IF($BA61="","",INDEX(업무일지!$Y$5:$Y$1004,$BA61))</f>
        <v/>
      </c>
      <c r="K61" s="47">
        <f>IF($BA61="","",INDEX(업무일지!$AB$5:$AB$1004,$BA61))</f>
        <v/>
      </c>
      <c r="L61" s="47">
        <f>IF($BA61="","",INDEX(업무일지!$AG$5:$AG$1004,$BA61))</f>
        <v/>
      </c>
      <c r="AZ61">
        <f>IF(AND(업무일지!$B65&lt;&gt;"",업무일지!$AF65="진행중"),MAX(0,TODAY()-업무일지!$B65)*10000+940,"")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IF($BA62="","",INDEX(업무일지!$G$5:$G$1004,$BA62))</f>
        <v/>
      </c>
      <c r="I62" s="52">
        <f>IF($BA62="","",INDEX(업무일지!$I$5:$I$1004,$BA62))</f>
        <v/>
      </c>
      <c r="J62" s="24">
        <f>IF($BA62="","",INDEX(업무일지!$Y$5:$Y$1004,$BA62))</f>
        <v/>
      </c>
      <c r="K62" s="47">
        <f>IF($BA62="","",INDEX(업무일지!$AB$5:$AB$1004,$BA62))</f>
        <v/>
      </c>
      <c r="L62" s="47">
        <f>IF($BA62="","",INDEX(업무일지!$AG$5:$AG$1004,$BA62))</f>
        <v/>
      </c>
      <c r="AZ62">
        <f>IF(AND(업무일지!$B66&lt;&gt;"",업무일지!$AF66="진행중"),MAX(0,TODAY()-업무일지!$B66)*10000+939,"")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IF($BA63="","",INDEX(업무일지!$G$5:$G$1004,$BA63))</f>
        <v/>
      </c>
      <c r="I63" s="52">
        <f>IF($BA63="","",INDEX(업무일지!$I$5:$I$1004,$BA63))</f>
        <v/>
      </c>
      <c r="J63" s="24">
        <f>IF($BA63="","",INDEX(업무일지!$Y$5:$Y$1004,$BA63))</f>
        <v/>
      </c>
      <c r="K63" s="47">
        <f>IF($BA63="","",INDEX(업무일지!$AB$5:$AB$1004,$BA63))</f>
        <v/>
      </c>
      <c r="L63" s="47">
        <f>IF($BA63="","",INDEX(업무일지!$AG$5:$AG$1004,$BA63))</f>
        <v/>
      </c>
      <c r="AZ63">
        <f>IF(AND(업무일지!$B67&lt;&gt;"",업무일지!$AF67="진행중"),MAX(0,TODAY()-업무일지!$B67)*10000+938,"")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IF($BA64="","",INDEX(업무일지!$G$5:$G$1004,$BA64))</f>
        <v/>
      </c>
      <c r="I64" s="52">
        <f>IF($BA64="","",INDEX(업무일지!$I$5:$I$1004,$BA64))</f>
        <v/>
      </c>
      <c r="J64" s="24">
        <f>IF($BA64="","",INDEX(업무일지!$Y$5:$Y$1004,$BA64))</f>
        <v/>
      </c>
      <c r="K64" s="47">
        <f>IF($BA64="","",INDEX(업무일지!$AB$5:$AB$1004,$BA64))</f>
        <v/>
      </c>
      <c r="L64" s="47">
        <f>IF($BA64="","",INDEX(업무일지!$AG$5:$AG$1004,$BA64))</f>
        <v/>
      </c>
      <c r="AZ64">
        <f>IF(AND(업무일지!$B68&lt;&gt;"",업무일지!$AF68="진행중"),MAX(0,TODAY()-업무일지!$B68)*10000+937,"")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IF($BA65="","",INDEX(업무일지!$G$5:$G$1004,$BA65))</f>
        <v/>
      </c>
      <c r="I65" s="52">
        <f>IF($BA65="","",INDEX(업무일지!$I$5:$I$1004,$BA65))</f>
        <v/>
      </c>
      <c r="J65" s="24">
        <f>IF($BA65="","",INDEX(업무일지!$Y$5:$Y$1004,$BA65))</f>
        <v/>
      </c>
      <c r="K65" s="47">
        <f>IF($BA65="","",INDEX(업무일지!$AB$5:$AB$1004,$BA65))</f>
        <v/>
      </c>
      <c r="L65" s="47">
        <f>IF($BA65="","",INDEX(업무일지!$AG$5:$AG$1004,$BA65))</f>
        <v/>
      </c>
      <c r="AZ65">
        <f>IF(AND(업무일지!$B69&lt;&gt;"",업무일지!$AF69="진행중"),MAX(0,TODAY()-업무일지!$B69)*10000+936,"")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IF($BA66="","",INDEX(업무일지!$G$5:$G$1004,$BA66))</f>
        <v/>
      </c>
      <c r="I66" s="52">
        <f>IF($BA66="","",INDEX(업무일지!$I$5:$I$1004,$BA66))</f>
        <v/>
      </c>
      <c r="J66" s="24">
        <f>IF($BA66="","",INDEX(업무일지!$Y$5:$Y$1004,$BA66))</f>
        <v/>
      </c>
      <c r="K66" s="47">
        <f>IF($BA66="","",INDEX(업무일지!$AB$5:$AB$1004,$BA66))</f>
        <v/>
      </c>
      <c r="L66" s="47">
        <f>IF($BA66="","",INDEX(업무일지!$AG$5:$AG$1004,$BA66))</f>
        <v/>
      </c>
      <c r="AZ66">
        <f>IF(AND(업무일지!$B70&lt;&gt;"",업무일지!$AF70="진행중"),MAX(0,TODAY()-업무일지!$B70)*10000+935,"")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IF($BA67="","",INDEX(업무일지!$G$5:$G$1004,$BA67))</f>
        <v/>
      </c>
      <c r="I67" s="52">
        <f>IF($BA67="","",INDEX(업무일지!$I$5:$I$1004,$BA67))</f>
        <v/>
      </c>
      <c r="J67" s="24">
        <f>IF($BA67="","",INDEX(업무일지!$Y$5:$Y$1004,$BA67))</f>
        <v/>
      </c>
      <c r="K67" s="47">
        <f>IF($BA67="","",INDEX(업무일지!$AB$5:$AB$1004,$BA67))</f>
        <v/>
      </c>
      <c r="L67" s="47">
        <f>IF($BA67="","",INDEX(업무일지!$AG$5:$AG$1004,$BA67))</f>
        <v/>
      </c>
      <c r="AZ67">
        <f>IF(AND(업무일지!$B71&lt;&gt;"",업무일지!$AF71="진행중"),MAX(0,TODAY()-업무일지!$B71)*10000+934,"")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IF($BA68="","",INDEX(업무일지!$G$5:$G$1004,$BA68))</f>
        <v/>
      </c>
      <c r="I68" s="52">
        <f>IF($BA68="","",INDEX(업무일지!$I$5:$I$1004,$BA68))</f>
        <v/>
      </c>
      <c r="J68" s="24">
        <f>IF($BA68="","",INDEX(업무일지!$Y$5:$Y$1004,$BA68))</f>
        <v/>
      </c>
      <c r="K68" s="47">
        <f>IF($BA68="","",INDEX(업무일지!$AB$5:$AB$1004,$BA68))</f>
        <v/>
      </c>
      <c r="L68" s="47">
        <f>IF($BA68="","",INDEX(업무일지!$AG$5:$AG$1004,$BA68))</f>
        <v/>
      </c>
      <c r="AZ68">
        <f>IF(AND(업무일지!$B72&lt;&gt;"",업무일지!$AF72="진행중"),MAX(0,TODAY()-업무일지!$B72)*10000+933,"")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IF($BA69="","",INDEX(업무일지!$G$5:$G$1004,$BA69))</f>
        <v/>
      </c>
      <c r="I69" s="52">
        <f>IF($BA69="","",INDEX(업무일지!$I$5:$I$1004,$BA69))</f>
        <v/>
      </c>
      <c r="J69" s="24">
        <f>IF($BA69="","",INDEX(업무일지!$Y$5:$Y$1004,$BA69))</f>
        <v/>
      </c>
      <c r="K69" s="47">
        <f>IF($BA69="","",INDEX(업무일지!$AB$5:$AB$1004,$BA69))</f>
        <v/>
      </c>
      <c r="L69" s="47">
        <f>IF($BA69="","",INDEX(업무일지!$AG$5:$AG$1004,$BA69))</f>
        <v/>
      </c>
      <c r="AZ69">
        <f>IF(AND(업무일지!$B73&lt;&gt;"",업무일지!$AF73="진행중"),MAX(0,TODAY()-업무일지!$B73)*10000+932,"")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IF($BA70="","",INDEX(업무일지!$G$5:$G$1004,$BA70))</f>
        <v/>
      </c>
      <c r="I70" s="52">
        <f>IF($BA70="","",INDEX(업무일지!$I$5:$I$1004,$BA70))</f>
        <v/>
      </c>
      <c r="J70" s="24">
        <f>IF($BA70="","",INDEX(업무일지!$Y$5:$Y$1004,$BA70))</f>
        <v/>
      </c>
      <c r="K70" s="47">
        <f>IF($BA70="","",INDEX(업무일지!$AB$5:$AB$1004,$BA70))</f>
        <v/>
      </c>
      <c r="L70" s="47">
        <f>IF($BA70="","",INDEX(업무일지!$AG$5:$AG$1004,$BA70))</f>
        <v/>
      </c>
      <c r="AZ70">
        <f>IF(AND(업무일지!$B74&lt;&gt;"",업무일지!$AF74="진행중"),MAX(0,TODAY()-업무일지!$B74)*10000+931,"")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IF($BA71="","",INDEX(업무일지!$G$5:$G$1004,$BA71))</f>
        <v/>
      </c>
      <c r="I71" s="52">
        <f>IF($BA71="","",INDEX(업무일지!$I$5:$I$1004,$BA71))</f>
        <v/>
      </c>
      <c r="J71" s="24">
        <f>IF($BA71="","",INDEX(업무일지!$Y$5:$Y$1004,$BA71))</f>
        <v/>
      </c>
      <c r="K71" s="47">
        <f>IF($BA71="","",INDEX(업무일지!$AB$5:$AB$1004,$BA71))</f>
        <v/>
      </c>
      <c r="L71" s="47">
        <f>IF($BA71="","",INDEX(업무일지!$AG$5:$AG$1004,$BA71))</f>
        <v/>
      </c>
      <c r="AZ71">
        <f>IF(AND(업무일지!$B75&lt;&gt;"",업무일지!$AF75="진행중"),MAX(0,TODAY()-업무일지!$B75)*10000+930,"")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IF($BA72="","",INDEX(업무일지!$G$5:$G$1004,$BA72))</f>
        <v/>
      </c>
      <c r="I72" s="52">
        <f>IF($BA72="","",INDEX(업무일지!$I$5:$I$1004,$BA72))</f>
        <v/>
      </c>
      <c r="J72" s="24">
        <f>IF($BA72="","",INDEX(업무일지!$Y$5:$Y$1004,$BA72))</f>
        <v/>
      </c>
      <c r="K72" s="47">
        <f>IF($BA72="","",INDEX(업무일지!$AB$5:$AB$1004,$BA72))</f>
        <v/>
      </c>
      <c r="L72" s="47">
        <f>IF($BA72="","",INDEX(업무일지!$AG$5:$AG$1004,$BA72))</f>
        <v/>
      </c>
      <c r="AZ72">
        <f>IF(AND(업무일지!$B76&lt;&gt;"",업무일지!$AF76="진행중"),MAX(0,TODAY()-업무일지!$B76)*10000+929,"")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IF($BA73="","",INDEX(업무일지!$G$5:$G$1004,$BA73))</f>
        <v/>
      </c>
      <c r="I73" s="52">
        <f>IF($BA73="","",INDEX(업무일지!$I$5:$I$1004,$BA73))</f>
        <v/>
      </c>
      <c r="J73" s="24">
        <f>IF($BA73="","",INDEX(업무일지!$Y$5:$Y$1004,$BA73))</f>
        <v/>
      </c>
      <c r="K73" s="47">
        <f>IF($BA73="","",INDEX(업무일지!$AB$5:$AB$1004,$BA73))</f>
        <v/>
      </c>
      <c r="L73" s="47">
        <f>IF($BA73="","",INDEX(업무일지!$AG$5:$AG$1004,$BA73))</f>
        <v/>
      </c>
      <c r="AZ73">
        <f>IF(AND(업무일지!$B77&lt;&gt;"",업무일지!$AF77="진행중"),MAX(0,TODAY()-업무일지!$B77)*10000+928,"")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IF($BA74="","",INDEX(업무일지!$G$5:$G$1004,$BA74))</f>
        <v/>
      </c>
      <c r="I74" s="52">
        <f>IF($BA74="","",INDEX(업무일지!$I$5:$I$1004,$BA74))</f>
        <v/>
      </c>
      <c r="J74" s="24">
        <f>IF($BA74="","",INDEX(업무일지!$Y$5:$Y$1004,$BA74))</f>
        <v/>
      </c>
      <c r="K74" s="47">
        <f>IF($BA74="","",INDEX(업무일지!$AB$5:$AB$1004,$BA74))</f>
        <v/>
      </c>
      <c r="L74" s="47">
        <f>IF($BA74="","",INDEX(업무일지!$AG$5:$AG$1004,$BA74))</f>
        <v/>
      </c>
      <c r="AZ74">
        <f>IF(AND(업무일지!$B78&lt;&gt;"",업무일지!$AF78="진행중"),MAX(0,TODAY()-업무일지!$B78)*10000+927,"")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IF($BA75="","",INDEX(업무일지!$G$5:$G$1004,$BA75))</f>
        <v/>
      </c>
      <c r="I75" s="52">
        <f>IF($BA75="","",INDEX(업무일지!$I$5:$I$1004,$BA75))</f>
        <v/>
      </c>
      <c r="J75" s="24">
        <f>IF($BA75="","",INDEX(업무일지!$Y$5:$Y$1004,$BA75))</f>
        <v/>
      </c>
      <c r="K75" s="47">
        <f>IF($BA75="","",INDEX(업무일지!$AB$5:$AB$1004,$BA75))</f>
        <v/>
      </c>
      <c r="L75" s="47">
        <f>IF($BA75="","",INDEX(업무일지!$AG$5:$AG$1004,$BA75))</f>
        <v/>
      </c>
      <c r="AZ75">
        <f>IF(AND(업무일지!$B79&lt;&gt;"",업무일지!$AF79="진행중"),MAX(0,TODAY()-업무일지!$B79)*10000+926,"")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IF($BA76="","",INDEX(업무일지!$G$5:$G$1004,$BA76))</f>
        <v/>
      </c>
      <c r="I76" s="52">
        <f>IF($BA76="","",INDEX(업무일지!$I$5:$I$1004,$BA76))</f>
        <v/>
      </c>
      <c r="J76" s="24">
        <f>IF($BA76="","",INDEX(업무일지!$Y$5:$Y$1004,$BA76))</f>
        <v/>
      </c>
      <c r="K76" s="47">
        <f>IF($BA76="","",INDEX(업무일지!$AB$5:$AB$1004,$BA76))</f>
        <v/>
      </c>
      <c r="L76" s="47">
        <f>IF($BA76="","",INDEX(업무일지!$AG$5:$AG$1004,$BA76))</f>
        <v/>
      </c>
      <c r="AZ76">
        <f>IF(AND(업무일지!$B80&lt;&gt;"",업무일지!$AF80="진행중"),MAX(0,TODAY()-업무일지!$B80)*10000+925,"")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IF($BA77="","",INDEX(업무일지!$G$5:$G$1004,$BA77))</f>
        <v/>
      </c>
      <c r="I77" s="52">
        <f>IF($BA77="","",INDEX(업무일지!$I$5:$I$1004,$BA77))</f>
        <v/>
      </c>
      <c r="J77" s="24">
        <f>IF($BA77="","",INDEX(업무일지!$Y$5:$Y$1004,$BA77))</f>
        <v/>
      </c>
      <c r="K77" s="47">
        <f>IF($BA77="","",INDEX(업무일지!$AB$5:$AB$1004,$BA77))</f>
        <v/>
      </c>
      <c r="L77" s="47">
        <f>IF($BA77="","",INDEX(업무일지!$AG$5:$AG$1004,$BA77))</f>
        <v/>
      </c>
      <c r="AZ77">
        <f>IF(AND(업무일지!$B81&lt;&gt;"",업무일지!$AF81="진행중"),MAX(0,TODAY()-업무일지!$B81)*10000+924,"")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IF($BA78="","",INDEX(업무일지!$G$5:$G$1004,$BA78))</f>
        <v/>
      </c>
      <c r="I78" s="52">
        <f>IF($BA78="","",INDEX(업무일지!$I$5:$I$1004,$BA78))</f>
        <v/>
      </c>
      <c r="J78" s="24">
        <f>IF($BA78="","",INDEX(업무일지!$Y$5:$Y$1004,$BA78))</f>
        <v/>
      </c>
      <c r="K78" s="47">
        <f>IF($BA78="","",INDEX(업무일지!$AB$5:$AB$1004,$BA78))</f>
        <v/>
      </c>
      <c r="L78" s="47">
        <f>IF($BA78="","",INDEX(업무일지!$AG$5:$AG$1004,$BA78))</f>
        <v/>
      </c>
      <c r="AZ78">
        <f>IF(AND(업무일지!$B82&lt;&gt;"",업무일지!$AF82="진행중"),MAX(0,TODAY()-업무일지!$B82)*10000+923,"")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IF($BA79="","",INDEX(업무일지!$G$5:$G$1004,$BA79))</f>
        <v/>
      </c>
      <c r="I79" s="52">
        <f>IF($BA79="","",INDEX(업무일지!$I$5:$I$1004,$BA79))</f>
        <v/>
      </c>
      <c r="J79" s="24">
        <f>IF($BA79="","",INDEX(업무일지!$Y$5:$Y$1004,$BA79))</f>
        <v/>
      </c>
      <c r="K79" s="47">
        <f>IF($BA79="","",INDEX(업무일지!$AB$5:$AB$1004,$BA79))</f>
        <v/>
      </c>
      <c r="L79" s="47">
        <f>IF($BA79="","",INDEX(업무일지!$AG$5:$AG$1004,$BA79))</f>
        <v/>
      </c>
      <c r="AZ79">
        <f>IF(AND(업무일지!$B83&lt;&gt;"",업무일지!$AF83="진행중"),MAX(0,TODAY()-업무일지!$B83)*10000+922,"")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IF($BA80="","",INDEX(업무일지!$G$5:$G$1004,$BA80))</f>
        <v/>
      </c>
      <c r="I80" s="52">
        <f>IF($BA80="","",INDEX(업무일지!$I$5:$I$1004,$BA80))</f>
        <v/>
      </c>
      <c r="J80" s="24">
        <f>IF($BA80="","",INDEX(업무일지!$Y$5:$Y$1004,$BA80))</f>
        <v/>
      </c>
      <c r="K80" s="47">
        <f>IF($BA80="","",INDEX(업무일지!$AB$5:$AB$1004,$BA80))</f>
        <v/>
      </c>
      <c r="L80" s="47">
        <f>IF($BA80="","",INDEX(업무일지!$AG$5:$AG$1004,$BA80))</f>
        <v/>
      </c>
      <c r="AZ80">
        <f>IF(AND(업무일지!$B84&lt;&gt;"",업무일지!$AF84="진행중"),MAX(0,TODAY()-업무일지!$B84)*10000+921,"")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IF($BA81="","",INDEX(업무일지!$G$5:$G$1004,$BA81))</f>
        <v/>
      </c>
      <c r="I81" s="52">
        <f>IF($BA81="","",INDEX(업무일지!$I$5:$I$1004,$BA81))</f>
        <v/>
      </c>
      <c r="J81" s="24">
        <f>IF($BA81="","",INDEX(업무일지!$Y$5:$Y$1004,$BA81))</f>
        <v/>
      </c>
      <c r="K81" s="47">
        <f>IF($BA81="","",INDEX(업무일지!$AB$5:$AB$1004,$BA81))</f>
        <v/>
      </c>
      <c r="L81" s="47">
        <f>IF($BA81="","",INDEX(업무일지!$AG$5:$AG$1004,$BA81))</f>
        <v/>
      </c>
      <c r="AZ81">
        <f>IF(AND(업무일지!$B85&lt;&gt;"",업무일지!$AF85="진행중"),MAX(0,TODAY()-업무일지!$B85)*10000+920,"")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IF($BA82="","",INDEX(업무일지!$G$5:$G$1004,$BA82))</f>
        <v/>
      </c>
      <c r="I82" s="52">
        <f>IF($BA82="","",INDEX(업무일지!$I$5:$I$1004,$BA82))</f>
        <v/>
      </c>
      <c r="J82" s="24">
        <f>IF($BA82="","",INDEX(업무일지!$Y$5:$Y$1004,$BA82))</f>
        <v/>
      </c>
      <c r="K82" s="47">
        <f>IF($BA82="","",INDEX(업무일지!$AB$5:$AB$1004,$BA82))</f>
        <v/>
      </c>
      <c r="L82" s="47">
        <f>IF($BA82="","",INDEX(업무일지!$AG$5:$AG$1004,$BA82))</f>
        <v/>
      </c>
      <c r="AZ82">
        <f>IF(AND(업무일지!$B86&lt;&gt;"",업무일지!$AF86="진행중"),MAX(0,TODAY()-업무일지!$B86)*10000+919,"")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IF($BA83="","",INDEX(업무일지!$G$5:$G$1004,$BA83))</f>
        <v/>
      </c>
      <c r="I83" s="52">
        <f>IF($BA83="","",INDEX(업무일지!$I$5:$I$1004,$BA83))</f>
        <v/>
      </c>
      <c r="J83" s="24">
        <f>IF($BA83="","",INDEX(업무일지!$Y$5:$Y$1004,$BA83))</f>
        <v/>
      </c>
      <c r="K83" s="47">
        <f>IF($BA83="","",INDEX(업무일지!$AB$5:$AB$1004,$BA83))</f>
        <v/>
      </c>
      <c r="L83" s="47">
        <f>IF($BA83="","",INDEX(업무일지!$AG$5:$AG$1004,$BA83))</f>
        <v/>
      </c>
      <c r="AZ83">
        <f>IF(AND(업무일지!$B87&lt;&gt;"",업무일지!$AF87="진행중"),MAX(0,TODAY()-업무일지!$B87)*10000+918,"")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IF($BA84="","",INDEX(업무일지!$G$5:$G$1004,$BA84))</f>
        <v/>
      </c>
      <c r="I84" s="52">
        <f>IF($BA84="","",INDEX(업무일지!$I$5:$I$1004,$BA84))</f>
        <v/>
      </c>
      <c r="J84" s="24">
        <f>IF($BA84="","",INDEX(업무일지!$Y$5:$Y$1004,$BA84))</f>
        <v/>
      </c>
      <c r="K84" s="47">
        <f>IF($BA84="","",INDEX(업무일지!$AB$5:$AB$1004,$BA84))</f>
        <v/>
      </c>
      <c r="L84" s="47">
        <f>IF($BA84="","",INDEX(업무일지!$AG$5:$AG$1004,$BA84))</f>
        <v/>
      </c>
      <c r="AZ84">
        <f>IF(AND(업무일지!$B88&lt;&gt;"",업무일지!$AF88="진행중"),MAX(0,TODAY()-업무일지!$B88)*10000+917,"")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IF($BA85="","",INDEX(업무일지!$G$5:$G$1004,$BA85))</f>
        <v/>
      </c>
      <c r="I85" s="52">
        <f>IF($BA85="","",INDEX(업무일지!$I$5:$I$1004,$BA85))</f>
        <v/>
      </c>
      <c r="J85" s="24">
        <f>IF($BA85="","",INDEX(업무일지!$Y$5:$Y$1004,$BA85))</f>
        <v/>
      </c>
      <c r="K85" s="47">
        <f>IF($BA85="","",INDEX(업무일지!$AB$5:$AB$1004,$BA85))</f>
        <v/>
      </c>
      <c r="L85" s="47">
        <f>IF($BA85="","",INDEX(업무일지!$AG$5:$AG$1004,$BA85))</f>
        <v/>
      </c>
      <c r="AZ85">
        <f>IF(AND(업무일지!$B89&lt;&gt;"",업무일지!$AF89="진행중"),MAX(0,TODAY()-업무일지!$B89)*10000+916,"")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IF($BA86="","",INDEX(업무일지!$G$5:$G$1004,$BA86))</f>
        <v/>
      </c>
      <c r="I86" s="52">
        <f>IF($BA86="","",INDEX(업무일지!$I$5:$I$1004,$BA86))</f>
        <v/>
      </c>
      <c r="J86" s="24">
        <f>IF($BA86="","",INDEX(업무일지!$Y$5:$Y$1004,$BA86))</f>
        <v/>
      </c>
      <c r="K86" s="47">
        <f>IF($BA86="","",INDEX(업무일지!$AB$5:$AB$1004,$BA86))</f>
        <v/>
      </c>
      <c r="L86" s="47">
        <f>IF($BA86="","",INDEX(업무일지!$AG$5:$AG$1004,$BA86))</f>
        <v/>
      </c>
      <c r="AZ86">
        <f>IF(AND(업무일지!$B90&lt;&gt;"",업무일지!$AF90="진행중"),MAX(0,TODAY()-업무일지!$B90)*10000+915,"")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IF($BA87="","",INDEX(업무일지!$G$5:$G$1004,$BA87))</f>
        <v/>
      </c>
      <c r="I87" s="52">
        <f>IF($BA87="","",INDEX(업무일지!$I$5:$I$1004,$BA87))</f>
        <v/>
      </c>
      <c r="J87" s="24">
        <f>IF($BA87="","",INDEX(업무일지!$Y$5:$Y$1004,$BA87))</f>
        <v/>
      </c>
      <c r="K87" s="47">
        <f>IF($BA87="","",INDEX(업무일지!$AB$5:$AB$1004,$BA87))</f>
        <v/>
      </c>
      <c r="L87" s="47">
        <f>IF($BA87="","",INDEX(업무일지!$AG$5:$AG$1004,$BA87))</f>
        <v/>
      </c>
      <c r="AZ87">
        <f>IF(AND(업무일지!$B91&lt;&gt;"",업무일지!$AF91="진행중"),MAX(0,TODAY()-업무일지!$B91)*10000+914,"")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IF($BA88="","",INDEX(업무일지!$G$5:$G$1004,$BA88))</f>
        <v/>
      </c>
      <c r="I88" s="52">
        <f>IF($BA88="","",INDEX(업무일지!$I$5:$I$1004,$BA88))</f>
        <v/>
      </c>
      <c r="J88" s="24">
        <f>IF($BA88="","",INDEX(업무일지!$Y$5:$Y$1004,$BA88))</f>
        <v/>
      </c>
      <c r="K88" s="47">
        <f>IF($BA88="","",INDEX(업무일지!$AB$5:$AB$1004,$BA88))</f>
        <v/>
      </c>
      <c r="L88" s="47">
        <f>IF($BA88="","",INDEX(업무일지!$AG$5:$AG$1004,$BA88))</f>
        <v/>
      </c>
      <c r="AZ88">
        <f>IF(AND(업무일지!$B92&lt;&gt;"",업무일지!$AF92="진행중"),MAX(0,TODAY()-업무일지!$B92)*10000+913,"")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IF($BA89="","",INDEX(업무일지!$G$5:$G$1004,$BA89))</f>
        <v/>
      </c>
      <c r="I89" s="52">
        <f>IF($BA89="","",INDEX(업무일지!$I$5:$I$1004,$BA89))</f>
        <v/>
      </c>
      <c r="J89" s="24">
        <f>IF($BA89="","",INDEX(업무일지!$Y$5:$Y$1004,$BA89))</f>
        <v/>
      </c>
      <c r="K89" s="47">
        <f>IF($BA89="","",INDEX(업무일지!$AB$5:$AB$1004,$BA89))</f>
        <v/>
      </c>
      <c r="L89" s="47">
        <f>IF($BA89="","",INDEX(업무일지!$AG$5:$AG$1004,$BA89))</f>
        <v/>
      </c>
      <c r="AZ89">
        <f>IF(AND(업무일지!$B93&lt;&gt;"",업무일지!$AF93="진행중"),MAX(0,TODAY()-업무일지!$B93)*10000+912,"")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IF($BA90="","",INDEX(업무일지!$G$5:$G$1004,$BA90))</f>
        <v/>
      </c>
      <c r="I90" s="52">
        <f>IF($BA90="","",INDEX(업무일지!$I$5:$I$1004,$BA90))</f>
        <v/>
      </c>
      <c r="J90" s="24">
        <f>IF($BA90="","",INDEX(업무일지!$Y$5:$Y$1004,$BA90))</f>
        <v/>
      </c>
      <c r="K90" s="47">
        <f>IF($BA90="","",INDEX(업무일지!$AB$5:$AB$1004,$BA90))</f>
        <v/>
      </c>
      <c r="L90" s="47">
        <f>IF($BA90="","",INDEX(업무일지!$AG$5:$AG$1004,$BA90))</f>
        <v/>
      </c>
      <c r="AZ90">
        <f>IF(AND(업무일지!$B94&lt;&gt;"",업무일지!$AF94="진행중"),MAX(0,TODAY()-업무일지!$B94)*10000+911,"")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IF($BA91="","",INDEX(업무일지!$G$5:$G$1004,$BA91))</f>
        <v/>
      </c>
      <c r="I91" s="52">
        <f>IF($BA91="","",INDEX(업무일지!$I$5:$I$1004,$BA91))</f>
        <v/>
      </c>
      <c r="J91" s="24">
        <f>IF($BA91="","",INDEX(업무일지!$Y$5:$Y$1004,$BA91))</f>
        <v/>
      </c>
      <c r="K91" s="47">
        <f>IF($BA91="","",INDEX(업무일지!$AB$5:$AB$1004,$BA91))</f>
        <v/>
      </c>
      <c r="L91" s="47">
        <f>IF($BA91="","",INDEX(업무일지!$AG$5:$AG$1004,$BA91))</f>
        <v/>
      </c>
      <c r="AZ91">
        <f>IF(AND(업무일지!$B95&lt;&gt;"",업무일지!$AF95="진행중"),MAX(0,TODAY()-업무일지!$B95)*10000+910,"")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IF($BA92="","",INDEX(업무일지!$G$5:$G$1004,$BA92))</f>
        <v/>
      </c>
      <c r="I92" s="52">
        <f>IF($BA92="","",INDEX(업무일지!$I$5:$I$1004,$BA92))</f>
        <v/>
      </c>
      <c r="J92" s="24">
        <f>IF($BA92="","",INDEX(업무일지!$Y$5:$Y$1004,$BA92))</f>
        <v/>
      </c>
      <c r="K92" s="47">
        <f>IF($BA92="","",INDEX(업무일지!$AB$5:$AB$1004,$BA92))</f>
        <v/>
      </c>
      <c r="L92" s="47">
        <f>IF($BA92="","",INDEX(업무일지!$AG$5:$AG$1004,$BA92))</f>
        <v/>
      </c>
      <c r="AZ92">
        <f>IF(AND(업무일지!$B96&lt;&gt;"",업무일지!$AF96="진행중"),MAX(0,TODAY()-업무일지!$B96)*10000+909,"")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IF($BA93="","",INDEX(업무일지!$G$5:$G$1004,$BA93))</f>
        <v/>
      </c>
      <c r="I93" s="52">
        <f>IF($BA93="","",INDEX(업무일지!$I$5:$I$1004,$BA93))</f>
        <v/>
      </c>
      <c r="J93" s="24">
        <f>IF($BA93="","",INDEX(업무일지!$Y$5:$Y$1004,$BA93))</f>
        <v/>
      </c>
      <c r="K93" s="47">
        <f>IF($BA93="","",INDEX(업무일지!$AB$5:$AB$1004,$BA93))</f>
        <v/>
      </c>
      <c r="L93" s="47">
        <f>IF($BA93="","",INDEX(업무일지!$AG$5:$AG$1004,$BA93))</f>
        <v/>
      </c>
      <c r="AZ93">
        <f>IF(AND(업무일지!$B97&lt;&gt;"",업무일지!$AF97="진행중"),MAX(0,TODAY()-업무일지!$B97)*10000+908,"")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IF($BA94="","",INDEX(업무일지!$G$5:$G$1004,$BA94))</f>
        <v/>
      </c>
      <c r="I94" s="52">
        <f>IF($BA94="","",INDEX(업무일지!$I$5:$I$1004,$BA94))</f>
        <v/>
      </c>
      <c r="J94" s="24">
        <f>IF($BA94="","",INDEX(업무일지!$Y$5:$Y$1004,$BA94))</f>
        <v/>
      </c>
      <c r="K94" s="47">
        <f>IF($BA94="","",INDEX(업무일지!$AB$5:$AB$1004,$BA94))</f>
        <v/>
      </c>
      <c r="L94" s="47">
        <f>IF($BA94="","",INDEX(업무일지!$AG$5:$AG$1004,$BA94))</f>
        <v/>
      </c>
      <c r="AZ94">
        <f>IF(AND(업무일지!$B98&lt;&gt;"",업무일지!$AF98="진행중"),MAX(0,TODAY()-업무일지!$B98)*10000+907,"")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IF($BA95="","",INDEX(업무일지!$G$5:$G$1004,$BA95))</f>
        <v/>
      </c>
      <c r="I95" s="52">
        <f>IF($BA95="","",INDEX(업무일지!$I$5:$I$1004,$BA95))</f>
        <v/>
      </c>
      <c r="J95" s="24">
        <f>IF($BA95="","",INDEX(업무일지!$Y$5:$Y$1004,$BA95))</f>
        <v/>
      </c>
      <c r="K95" s="47">
        <f>IF($BA95="","",INDEX(업무일지!$AB$5:$AB$1004,$BA95))</f>
        <v/>
      </c>
      <c r="L95" s="47">
        <f>IF($BA95="","",INDEX(업무일지!$AG$5:$AG$1004,$BA95))</f>
        <v/>
      </c>
      <c r="AZ95">
        <f>IF(AND(업무일지!$B99&lt;&gt;"",업무일지!$AF99="진행중"),MAX(0,TODAY()-업무일지!$B99)*10000+906,"")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IF($BA96="","",INDEX(업무일지!$G$5:$G$1004,$BA96))</f>
        <v/>
      </c>
      <c r="I96" s="52">
        <f>IF($BA96="","",INDEX(업무일지!$I$5:$I$1004,$BA96))</f>
        <v/>
      </c>
      <c r="J96" s="24">
        <f>IF($BA96="","",INDEX(업무일지!$Y$5:$Y$1004,$BA96))</f>
        <v/>
      </c>
      <c r="K96" s="47">
        <f>IF($BA96="","",INDEX(업무일지!$AB$5:$AB$1004,$BA96))</f>
        <v/>
      </c>
      <c r="L96" s="47">
        <f>IF($BA96="","",INDEX(업무일지!$AG$5:$AG$1004,$BA96))</f>
        <v/>
      </c>
      <c r="AZ96">
        <f>IF(AND(업무일지!$B100&lt;&gt;"",업무일지!$AF100="진행중"),MAX(0,TODAY()-업무일지!$B100)*10000+905,"")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IF($BA97="","",INDEX(업무일지!$G$5:$G$1004,$BA97))</f>
        <v/>
      </c>
      <c r="I97" s="52">
        <f>IF($BA97="","",INDEX(업무일지!$I$5:$I$1004,$BA97))</f>
        <v/>
      </c>
      <c r="J97" s="24">
        <f>IF($BA97="","",INDEX(업무일지!$Y$5:$Y$1004,$BA97))</f>
        <v/>
      </c>
      <c r="K97" s="47">
        <f>IF($BA97="","",INDEX(업무일지!$AB$5:$AB$1004,$BA97))</f>
        <v/>
      </c>
      <c r="L97" s="47">
        <f>IF($BA97="","",INDEX(업무일지!$AG$5:$AG$1004,$BA97))</f>
        <v/>
      </c>
      <c r="AZ97">
        <f>IF(AND(업무일지!$B101&lt;&gt;"",업무일지!$AF101="진행중"),MAX(0,TODAY()-업무일지!$B101)*10000+904,"")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IF($BA98="","",INDEX(업무일지!$G$5:$G$1004,$BA98))</f>
        <v/>
      </c>
      <c r="I98" s="52">
        <f>IF($BA98="","",INDEX(업무일지!$I$5:$I$1004,$BA98))</f>
        <v/>
      </c>
      <c r="J98" s="24">
        <f>IF($BA98="","",INDEX(업무일지!$Y$5:$Y$1004,$BA98))</f>
        <v/>
      </c>
      <c r="K98" s="47">
        <f>IF($BA98="","",INDEX(업무일지!$AB$5:$AB$1004,$BA98))</f>
        <v/>
      </c>
      <c r="L98" s="47">
        <f>IF($BA98="","",INDEX(업무일지!$AG$5:$AG$1004,$BA98))</f>
        <v/>
      </c>
      <c r="AZ98">
        <f>IF(AND(업무일지!$B102&lt;&gt;"",업무일지!$AF102="진행중"),MAX(0,TODAY()-업무일지!$B102)*10000+903,"")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IF($BA99="","",INDEX(업무일지!$G$5:$G$1004,$BA99))</f>
        <v/>
      </c>
      <c r="I99" s="52">
        <f>IF($BA99="","",INDEX(업무일지!$I$5:$I$1004,$BA99))</f>
        <v/>
      </c>
      <c r="J99" s="24">
        <f>IF($BA99="","",INDEX(업무일지!$Y$5:$Y$1004,$BA99))</f>
        <v/>
      </c>
      <c r="K99" s="47">
        <f>IF($BA99="","",INDEX(업무일지!$AB$5:$AB$1004,$BA99))</f>
        <v/>
      </c>
      <c r="L99" s="47">
        <f>IF($BA99="","",INDEX(업무일지!$AG$5:$AG$1004,$BA99))</f>
        <v/>
      </c>
      <c r="AZ99">
        <f>IF(AND(업무일지!$B103&lt;&gt;"",업무일지!$AF103="진행중"),MAX(0,TODAY()-업무일지!$B103)*10000+902,"")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IF($BA100="","",INDEX(업무일지!$G$5:$G$1004,$BA100))</f>
        <v/>
      </c>
      <c r="I100" s="52">
        <f>IF($BA100="","",INDEX(업무일지!$I$5:$I$1004,$BA100))</f>
        <v/>
      </c>
      <c r="J100" s="24">
        <f>IF($BA100="","",INDEX(업무일지!$Y$5:$Y$1004,$BA100))</f>
        <v/>
      </c>
      <c r="K100" s="47">
        <f>IF($BA100="","",INDEX(업무일지!$AB$5:$AB$1004,$BA100))</f>
        <v/>
      </c>
      <c r="L100" s="47">
        <f>IF($BA100="","",INDEX(업무일지!$AG$5:$AG$1004,$BA100))</f>
        <v/>
      </c>
      <c r="AZ100">
        <f>IF(AND(업무일지!$B104&lt;&gt;"",업무일지!$AF104="진행중"),MAX(0,TODAY()-업무일지!$B104)*10000+901,"")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IF($BA101="","",INDEX(업무일지!$G$5:$G$1004,$BA101))</f>
        <v/>
      </c>
      <c r="I101" s="52">
        <f>IF($BA101="","",INDEX(업무일지!$I$5:$I$1004,$BA101))</f>
        <v/>
      </c>
      <c r="J101" s="24">
        <f>IF($BA101="","",INDEX(업무일지!$Y$5:$Y$1004,$BA101))</f>
        <v/>
      </c>
      <c r="K101" s="47">
        <f>IF($BA101="","",INDEX(업무일지!$AB$5:$AB$1004,$BA101))</f>
        <v/>
      </c>
      <c r="L101" s="47">
        <f>IF($BA101="","",INDEX(업무일지!$AG$5:$AG$1004,$BA101))</f>
        <v/>
      </c>
      <c r="AZ101">
        <f>IF(AND(업무일지!$B105&lt;&gt;"",업무일지!$AF105="진행중"),MAX(0,TODAY()-업무일지!$B105)*10000+900,"")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IF($BA102="","",INDEX(업무일지!$G$5:$G$1004,$BA102))</f>
        <v/>
      </c>
      <c r="I102" s="52">
        <f>IF($BA102="","",INDEX(업무일지!$I$5:$I$1004,$BA102))</f>
        <v/>
      </c>
      <c r="J102" s="24">
        <f>IF($BA102="","",INDEX(업무일지!$Y$5:$Y$1004,$BA102))</f>
        <v/>
      </c>
      <c r="K102" s="47">
        <f>IF($BA102="","",INDEX(업무일지!$AB$5:$AB$1004,$BA102))</f>
        <v/>
      </c>
      <c r="L102" s="47">
        <f>IF($BA102="","",INDEX(업무일지!$AG$5:$AG$1004,$BA102))</f>
        <v/>
      </c>
      <c r="AZ102">
        <f>IF(AND(업무일지!$B106&lt;&gt;"",업무일지!$AF106="진행중"),MAX(0,TODAY()-업무일지!$B106)*10000+899,"")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IF($BA103="","",INDEX(업무일지!$G$5:$G$1004,$BA103))</f>
        <v/>
      </c>
      <c r="I103" s="52">
        <f>IF($BA103="","",INDEX(업무일지!$I$5:$I$1004,$BA103))</f>
        <v/>
      </c>
      <c r="J103" s="24">
        <f>IF($BA103="","",INDEX(업무일지!$Y$5:$Y$1004,$BA103))</f>
        <v/>
      </c>
      <c r="K103" s="47">
        <f>IF($BA103="","",INDEX(업무일지!$AB$5:$AB$1004,$BA103))</f>
        <v/>
      </c>
      <c r="L103" s="47">
        <f>IF($BA103="","",INDEX(업무일지!$AG$5:$AG$1004,$BA103))</f>
        <v/>
      </c>
      <c r="AZ103">
        <f>IF(AND(업무일지!$B107&lt;&gt;"",업무일지!$AF107="진행중"),MAX(0,TODAY()-업무일지!$B107)*10000+898,"")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IF($BA104="","",INDEX(업무일지!$G$5:$G$1004,$BA104))</f>
        <v/>
      </c>
      <c r="I104" s="52">
        <f>IF($BA104="","",INDEX(업무일지!$I$5:$I$1004,$BA104))</f>
        <v/>
      </c>
      <c r="J104" s="24">
        <f>IF($BA104="","",INDEX(업무일지!$Y$5:$Y$1004,$BA104))</f>
        <v/>
      </c>
      <c r="K104" s="47">
        <f>IF($BA104="","",INDEX(업무일지!$AB$5:$AB$1004,$BA104))</f>
        <v/>
      </c>
      <c r="L104" s="47">
        <f>IF($BA104="","",INDEX(업무일지!$AG$5:$AG$1004,$BA104))</f>
        <v/>
      </c>
      <c r="AZ104">
        <f>IF(AND(업무일지!$B108&lt;&gt;"",업무일지!$AF108="진행중"),MAX(0,TODAY()-업무일지!$B108)*10000+897,"")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IF($BA105="","",INDEX(업무일지!$G$5:$G$1004,$BA105))</f>
        <v/>
      </c>
      <c r="I105" s="52">
        <f>IF($BA105="","",INDEX(업무일지!$I$5:$I$1004,$BA105))</f>
        <v/>
      </c>
      <c r="J105" s="24">
        <f>IF($BA105="","",INDEX(업무일지!$Y$5:$Y$1004,$BA105))</f>
        <v/>
      </c>
      <c r="K105" s="47">
        <f>IF($BA105="","",INDEX(업무일지!$AB$5:$AB$1004,$BA105))</f>
        <v/>
      </c>
      <c r="L105" s="47">
        <f>IF($BA105="","",INDEX(업무일지!$AG$5:$AG$1004,$BA105))</f>
        <v/>
      </c>
      <c r="AZ105">
        <f>IF(AND(업무일지!$B109&lt;&gt;"",업무일지!$AF109="진행중"),MAX(0,TODAY()-업무일지!$B109)*10000+896,"")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IF($BA106="","",INDEX(업무일지!$G$5:$G$1004,$BA106))</f>
        <v/>
      </c>
      <c r="I106" s="52">
        <f>IF($BA106="","",INDEX(업무일지!$I$5:$I$1004,$BA106))</f>
        <v/>
      </c>
      <c r="J106" s="24">
        <f>IF($BA106="","",INDEX(업무일지!$Y$5:$Y$1004,$BA106))</f>
        <v/>
      </c>
      <c r="K106" s="47">
        <f>IF($BA106="","",INDEX(업무일지!$AB$5:$AB$1004,$BA106))</f>
        <v/>
      </c>
      <c r="L106" s="47">
        <f>IF($BA106="","",INDEX(업무일지!$AG$5:$AG$1004,$BA106))</f>
        <v/>
      </c>
      <c r="AZ106">
        <f>IF(AND(업무일지!$B110&lt;&gt;"",업무일지!$AF110="진행중"),MAX(0,TODAY()-업무일지!$B110)*10000+895,"")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IF($BA107="","",INDEX(업무일지!$G$5:$G$1004,$BA107))</f>
        <v/>
      </c>
      <c r="I107" s="52">
        <f>IF($BA107="","",INDEX(업무일지!$I$5:$I$1004,$BA107))</f>
        <v/>
      </c>
      <c r="J107" s="24">
        <f>IF($BA107="","",INDEX(업무일지!$Y$5:$Y$1004,$BA107))</f>
        <v/>
      </c>
      <c r="K107" s="47">
        <f>IF($BA107="","",INDEX(업무일지!$AB$5:$AB$1004,$BA107))</f>
        <v/>
      </c>
      <c r="L107" s="47">
        <f>IF($BA107="","",INDEX(업무일지!$AG$5:$AG$1004,$BA107))</f>
        <v/>
      </c>
      <c r="AZ107">
        <f>IF(AND(업무일지!$B111&lt;&gt;"",업무일지!$AF111="진행중"),MAX(0,TODAY()-업무일지!$B111)*10000+894,"")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IF($BA108="","",INDEX(업무일지!$G$5:$G$1004,$BA108))</f>
        <v/>
      </c>
      <c r="I108" s="52">
        <f>IF($BA108="","",INDEX(업무일지!$I$5:$I$1004,$BA108))</f>
        <v/>
      </c>
      <c r="J108" s="24">
        <f>IF($BA108="","",INDEX(업무일지!$Y$5:$Y$1004,$BA108))</f>
        <v/>
      </c>
      <c r="K108" s="47">
        <f>IF($BA108="","",INDEX(업무일지!$AB$5:$AB$1004,$BA108))</f>
        <v/>
      </c>
      <c r="L108" s="47">
        <f>IF($BA108="","",INDEX(업무일지!$AG$5:$AG$1004,$BA108))</f>
        <v/>
      </c>
      <c r="AZ108">
        <f>IF(AND(업무일지!$B112&lt;&gt;"",업무일지!$AF112="진행중"),MAX(0,TODAY()-업무일지!$B112)*10000+893,"")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IF($BA109="","",INDEX(업무일지!$G$5:$G$1004,$BA109))</f>
        <v/>
      </c>
      <c r="I109" s="52">
        <f>IF($BA109="","",INDEX(업무일지!$I$5:$I$1004,$BA109))</f>
        <v/>
      </c>
      <c r="J109" s="24">
        <f>IF($BA109="","",INDEX(업무일지!$Y$5:$Y$1004,$BA109))</f>
        <v/>
      </c>
      <c r="K109" s="47">
        <f>IF($BA109="","",INDEX(업무일지!$AB$5:$AB$1004,$BA109))</f>
        <v/>
      </c>
      <c r="L109" s="47">
        <f>IF($BA109="","",INDEX(업무일지!$AG$5:$AG$1004,$BA109))</f>
        <v/>
      </c>
      <c r="AZ109">
        <f>IF(AND(업무일지!$B113&lt;&gt;"",업무일지!$AF113="진행중"),MAX(0,TODAY()-업무일지!$B113)*10000+892,"")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IF($BA110="","",INDEX(업무일지!$G$5:$G$1004,$BA110))</f>
        <v/>
      </c>
      <c r="I110" s="52">
        <f>IF($BA110="","",INDEX(업무일지!$I$5:$I$1004,$BA110))</f>
        <v/>
      </c>
      <c r="J110" s="24">
        <f>IF($BA110="","",INDEX(업무일지!$Y$5:$Y$1004,$BA110))</f>
        <v/>
      </c>
      <c r="K110" s="47">
        <f>IF($BA110="","",INDEX(업무일지!$AB$5:$AB$1004,$BA110))</f>
        <v/>
      </c>
      <c r="L110" s="47">
        <f>IF($BA110="","",INDEX(업무일지!$AG$5:$AG$1004,$BA110))</f>
        <v/>
      </c>
      <c r="AZ110">
        <f>IF(AND(업무일지!$B114&lt;&gt;"",업무일지!$AF114="진행중"),MAX(0,TODAY()-업무일지!$B114)*10000+891,"")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IF($BA111="","",INDEX(업무일지!$G$5:$G$1004,$BA111))</f>
        <v/>
      </c>
      <c r="I111" s="52">
        <f>IF($BA111="","",INDEX(업무일지!$I$5:$I$1004,$BA111))</f>
        <v/>
      </c>
      <c r="J111" s="24">
        <f>IF($BA111="","",INDEX(업무일지!$Y$5:$Y$1004,$BA111))</f>
        <v/>
      </c>
      <c r="K111" s="47">
        <f>IF($BA111="","",INDEX(업무일지!$AB$5:$AB$1004,$BA111))</f>
        <v/>
      </c>
      <c r="L111" s="47">
        <f>IF($BA111="","",INDEX(업무일지!$AG$5:$AG$1004,$BA111))</f>
        <v/>
      </c>
      <c r="AZ111">
        <f>IF(AND(업무일지!$B115&lt;&gt;"",업무일지!$AF115="진행중"),MAX(0,TODAY()-업무일지!$B115)*10000+890,"")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IF($BA112="","",INDEX(업무일지!$G$5:$G$1004,$BA112))</f>
        <v/>
      </c>
      <c r="I112" s="52">
        <f>IF($BA112="","",INDEX(업무일지!$I$5:$I$1004,$BA112))</f>
        <v/>
      </c>
      <c r="J112" s="24">
        <f>IF($BA112="","",INDEX(업무일지!$Y$5:$Y$1004,$BA112))</f>
        <v/>
      </c>
      <c r="K112" s="47">
        <f>IF($BA112="","",INDEX(업무일지!$AB$5:$AB$1004,$BA112))</f>
        <v/>
      </c>
      <c r="L112" s="47">
        <f>IF($BA112="","",INDEX(업무일지!$AG$5:$AG$1004,$BA112))</f>
        <v/>
      </c>
      <c r="AZ112">
        <f>IF(AND(업무일지!$B116&lt;&gt;"",업무일지!$AF116="진행중"),MAX(0,TODAY()-업무일지!$B116)*10000+889,"")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IF(AND(업무일지!$B117&lt;&gt;"",업무일지!$AF117="진행중"),MAX(0,TODAY()-업무일지!$B117)*10000+888,"")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IF(AND(업무일지!$B118&lt;&gt;"",업무일지!$AF118="진행중"),MAX(0,TODAY()-업무일지!$B118)*10000+887,"")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IF(AND(업무일지!$B119&lt;&gt;"",업무일지!$AF119="진행중"),MAX(0,TODAY()-업무일지!$B119)*10000+886,"")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IF(AND(업무일지!$B120&lt;&gt;"",업무일지!$AF120="진행중"),MAX(0,TODAY()-업무일지!$B120)*10000+885,"")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IF(AND(업무일지!$B121&lt;&gt;"",업무일지!$AF121="진행중"),MAX(0,TODAY()-업무일지!$B121)*10000+884,"")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IF(AND(업무일지!$B122&lt;&gt;"",업무일지!$AF122="진행중"),MAX(0,TODAY()-업무일지!$B122)*10000+883,"")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IF(AND(업무일지!$B123&lt;&gt;"",업무일지!$AF123="진행중"),MAX(0,TODAY()-업무일지!$B123)*10000+882,"")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IF(AND(업무일지!$B124&lt;&gt;"",업무일지!$AF124="진행중"),MAX(0,TODAY()-업무일지!$B124)*10000+881,"")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IF(AND(업무일지!$B125&lt;&gt;"",업무일지!$AF125="진행중"),MAX(0,TODAY()-업무일지!$B125)*10000+880,"")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IF(AND(업무일지!$B126&lt;&gt;"",업무일지!$AF126="진행중"),MAX(0,TODAY()-업무일지!$B126)*10000+879,"")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IF(AND(업무일지!$B127&lt;&gt;"",업무일지!$AF127="진행중"),MAX(0,TODAY()-업무일지!$B127)*10000+878,"")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IF(AND(업무일지!$B128&lt;&gt;"",업무일지!$AF128="진행중"),MAX(0,TODAY()-업무일지!$B128)*10000+877,"")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IF(AND(업무일지!$B129&lt;&gt;"",업무일지!$AF129="진행중"),MAX(0,TODAY()-업무일지!$B129)*10000+876,"")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IF(AND(업무일지!$B130&lt;&gt;"",업무일지!$AF130="진행중"),MAX(0,TODAY()-업무일지!$B130)*10000+875,"")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IF(AND(업무일지!$B131&lt;&gt;"",업무일지!$AF131="진행중"),MAX(0,TODAY()-업무일지!$B131)*10000+874,"")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IF(AND(업무일지!$B132&lt;&gt;"",업무일지!$AF132="진행중"),MAX(0,TODAY()-업무일지!$B132)*10000+873,"")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IF(AND(업무일지!$B133&lt;&gt;"",업무일지!$AF133="진행중"),MAX(0,TODAY()-업무일지!$B133)*10000+872,"")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IF(AND(업무일지!$B134&lt;&gt;"",업무일지!$AF134="진행중"),MAX(0,TODAY()-업무일지!$B134)*10000+871,"")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IF(AND(업무일지!$B135&lt;&gt;"",업무일지!$AF135="진행중"),MAX(0,TODAY()-업무일지!$B135)*10000+870,"")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IF(AND(업무일지!$B136&lt;&gt;"",업무일지!$AF136="진행중"),MAX(0,TODAY()-업무일지!$B136)*10000+869,"")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IF(AND(업무일지!$B137&lt;&gt;"",업무일지!$AF137="진행중"),MAX(0,TODAY()-업무일지!$B137)*10000+868,"")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IF(AND(업무일지!$B138&lt;&gt;"",업무일지!$AF138="진행중"),MAX(0,TODAY()-업무일지!$B138)*10000+867,"")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IF(AND(업무일지!$B139&lt;&gt;"",업무일지!$AF139="진행중"),MAX(0,TODAY()-업무일지!$B139)*10000+866,"")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IF(AND(업무일지!$B140&lt;&gt;"",업무일지!$AF140="진행중"),MAX(0,TODAY()-업무일지!$B140)*10000+865,"")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IF(AND(업무일지!$B141&lt;&gt;"",업무일지!$AF141="진행중"),MAX(0,TODAY()-업무일지!$B141)*10000+864,"")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IF(AND(업무일지!$B142&lt;&gt;"",업무일지!$AF142="진행중"),MAX(0,TODAY()-업무일지!$B142)*10000+863,"")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IF(AND(업무일지!$B143&lt;&gt;"",업무일지!$AF143="진행중"),MAX(0,TODAY()-업무일지!$B143)*10000+862,"")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IF(AND(업무일지!$B144&lt;&gt;"",업무일지!$AF144="진행중"),MAX(0,TODAY()-업무일지!$B144)*10000+861,"")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IF(AND(업무일지!$B145&lt;&gt;"",업무일지!$AF145="진행중"),MAX(0,TODAY()-업무일지!$B145)*10000+860,"")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IF(AND(업무일지!$B146&lt;&gt;"",업무일지!$AF146="진행중"),MAX(0,TODAY()-업무일지!$B146)*10000+859,"")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IF(AND(업무일지!$B147&lt;&gt;"",업무일지!$AF147="진행중"),MAX(0,TODAY()-업무일지!$B147)*10000+858,"")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IF(AND(업무일지!$B148&lt;&gt;"",업무일지!$AF148="진행중"),MAX(0,TODAY()-업무일지!$B148)*10000+857,"")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IF(AND(업무일지!$B149&lt;&gt;"",업무일지!$AF149="진행중"),MAX(0,TODAY()-업무일지!$B149)*10000+856,"")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IF(AND(업무일지!$B150&lt;&gt;"",업무일지!$AF150="진행중"),MAX(0,TODAY()-업무일지!$B150)*10000+855,"")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IF(AND(업무일지!$B151&lt;&gt;"",업무일지!$AF151="진행중"),MAX(0,TODAY()-업무일지!$B151)*10000+854,"")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IF(AND(업무일지!$B152&lt;&gt;"",업무일지!$AF152="진행중"),MAX(0,TODAY()-업무일지!$B152)*10000+853,"")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IF(AND(업무일지!$B153&lt;&gt;"",업무일지!$AF153="진행중"),MAX(0,TODAY()-업무일지!$B153)*10000+852,"")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IF(AND(업무일지!$B154&lt;&gt;"",업무일지!$AF154="진행중"),MAX(0,TODAY()-업무일지!$B154)*10000+851,"")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IF(AND(업무일지!$B155&lt;&gt;"",업무일지!$AF155="진행중"),MAX(0,TODAY()-업무일지!$B155)*10000+850,"")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IF(AND(업무일지!$B156&lt;&gt;"",업무일지!$AF156="진행중"),MAX(0,TODAY()-업무일지!$B156)*10000+849,"")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IF(AND(업무일지!$B157&lt;&gt;"",업무일지!$AF157="진행중"),MAX(0,TODAY()-업무일지!$B157)*10000+848,"")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IF(AND(업무일지!$B158&lt;&gt;"",업무일지!$AF158="진행중"),MAX(0,TODAY()-업무일지!$B158)*10000+847,"")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IF(AND(업무일지!$B159&lt;&gt;"",업무일지!$AF159="진행중"),MAX(0,TODAY()-업무일지!$B159)*10000+846,"")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IF(AND(업무일지!$B160&lt;&gt;"",업무일지!$AF160="진행중"),MAX(0,TODAY()-업무일지!$B160)*10000+845,"")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IF(AND(업무일지!$B161&lt;&gt;"",업무일지!$AF161="진행중"),MAX(0,TODAY()-업무일지!$B161)*10000+844,"")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IF(AND(업무일지!$B162&lt;&gt;"",업무일지!$AF162="진행중"),MAX(0,TODAY()-업무일지!$B162)*10000+843,"")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IF(AND(업무일지!$B163&lt;&gt;"",업무일지!$AF163="진행중"),MAX(0,TODAY()-업무일지!$B163)*10000+842,"")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IF(AND(업무일지!$B164&lt;&gt;"",업무일지!$AF164="진행중"),MAX(0,TODAY()-업무일지!$B164)*10000+841,"")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IF(AND(업무일지!$B165&lt;&gt;"",업무일지!$AF165="진행중"),MAX(0,TODAY()-업무일지!$B165)*10000+840,"")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IF(AND(업무일지!$B166&lt;&gt;"",업무일지!$AF166="진행중"),MAX(0,TODAY()-업무일지!$B166)*10000+839,"")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IF(AND(업무일지!$B167&lt;&gt;"",업무일지!$AF167="진행중"),MAX(0,TODAY()-업무일지!$B167)*10000+838,"")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IF(AND(업무일지!$B168&lt;&gt;"",업무일지!$AF168="진행중"),MAX(0,TODAY()-업무일지!$B168)*10000+837,"")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IF(AND(업무일지!$B169&lt;&gt;"",업무일지!$AF169="진행중"),MAX(0,TODAY()-업무일지!$B169)*10000+836,"")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IF(AND(업무일지!$B170&lt;&gt;"",업무일지!$AF170="진행중"),MAX(0,TODAY()-업무일지!$B170)*10000+835,"")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IF(AND(업무일지!$B171&lt;&gt;"",업무일지!$AF171="진행중"),MAX(0,TODAY()-업무일지!$B171)*10000+834,"")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IF(AND(업무일지!$B172&lt;&gt;"",업무일지!$AF172="진행중"),MAX(0,TODAY()-업무일지!$B172)*10000+833,"")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IF(AND(업무일지!$B173&lt;&gt;"",업무일지!$AF173="진행중"),MAX(0,TODAY()-업무일지!$B173)*10000+832,"")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IF(AND(업무일지!$B174&lt;&gt;"",업무일지!$AF174="진행중"),MAX(0,TODAY()-업무일지!$B174)*10000+831,"")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IF(AND(업무일지!$B175&lt;&gt;"",업무일지!$AF175="진행중"),MAX(0,TODAY()-업무일지!$B175)*10000+830,"")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IF(AND(업무일지!$B176&lt;&gt;"",업무일지!$AF176="진행중"),MAX(0,TODAY()-업무일지!$B176)*10000+829,"")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IF(AND(업무일지!$B177&lt;&gt;"",업무일지!$AF177="진행중"),MAX(0,TODAY()-업무일지!$B177)*10000+828,"")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IF(AND(업무일지!$B178&lt;&gt;"",업무일지!$AF178="진행중"),MAX(0,TODAY()-업무일지!$B178)*10000+827,"")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IF(AND(업무일지!$B179&lt;&gt;"",업무일지!$AF179="진행중"),MAX(0,TODAY()-업무일지!$B179)*10000+826,"")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IF(AND(업무일지!$B180&lt;&gt;"",업무일지!$AF180="진행중"),MAX(0,TODAY()-업무일지!$B180)*10000+825,"")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IF(AND(업무일지!$B181&lt;&gt;"",업무일지!$AF181="진행중"),MAX(0,TODAY()-업무일지!$B181)*10000+824,"")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IF(AND(업무일지!$B182&lt;&gt;"",업무일지!$AF182="진행중"),MAX(0,TODAY()-업무일지!$B182)*10000+823,"")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IF(AND(업무일지!$B183&lt;&gt;"",업무일지!$AF183="진행중"),MAX(0,TODAY()-업무일지!$B183)*10000+822,"")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IF(AND(업무일지!$B184&lt;&gt;"",업무일지!$AF184="진행중"),MAX(0,TODAY()-업무일지!$B184)*10000+821,"")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IF(AND(업무일지!$B185&lt;&gt;"",업무일지!$AF185="진행중"),MAX(0,TODAY()-업무일지!$B185)*10000+820,"")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IF(AND(업무일지!$B186&lt;&gt;"",업무일지!$AF186="진행중"),MAX(0,TODAY()-업무일지!$B186)*10000+819,"")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IF(AND(업무일지!$B187&lt;&gt;"",업무일지!$AF187="진행중"),MAX(0,TODAY()-업무일지!$B187)*10000+818,"")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IF(AND(업무일지!$B188&lt;&gt;"",업무일지!$AF188="진행중"),MAX(0,TODAY()-업무일지!$B188)*10000+817,"")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IF(AND(업무일지!$B189&lt;&gt;"",업무일지!$AF189="진행중"),MAX(0,TODAY()-업무일지!$B189)*10000+816,"")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IF(AND(업무일지!$B190&lt;&gt;"",업무일지!$AF190="진행중"),MAX(0,TODAY()-업무일지!$B190)*10000+815,"")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IF(AND(업무일지!$B191&lt;&gt;"",업무일지!$AF191="진행중"),MAX(0,TODAY()-업무일지!$B191)*10000+814,"")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IF(AND(업무일지!$B192&lt;&gt;"",업무일지!$AF192="진행중"),MAX(0,TODAY()-업무일지!$B192)*10000+813,"")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IF(AND(업무일지!$B193&lt;&gt;"",업무일지!$AF193="진행중"),MAX(0,TODAY()-업무일지!$B193)*10000+812,"")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IF(AND(업무일지!$B194&lt;&gt;"",업무일지!$AF194="진행중"),MAX(0,TODAY()-업무일지!$B194)*10000+811,"")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IF(AND(업무일지!$B195&lt;&gt;"",업무일지!$AF195="진행중"),MAX(0,TODAY()-업무일지!$B195)*10000+810,"")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IF(AND(업무일지!$B196&lt;&gt;"",업무일지!$AF196="진행중"),MAX(0,TODAY()-업무일지!$B196)*10000+809,"")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IF(AND(업무일지!$B197&lt;&gt;"",업무일지!$AF197="진행중"),MAX(0,TODAY()-업무일지!$B197)*10000+808,"")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IF(AND(업무일지!$B198&lt;&gt;"",업무일지!$AF198="진행중"),MAX(0,TODAY()-업무일지!$B198)*10000+807,"")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IF(AND(업무일지!$B199&lt;&gt;"",업무일지!$AF199="진행중"),MAX(0,TODAY()-업무일지!$B199)*10000+806,"")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IF(AND(업무일지!$B200&lt;&gt;"",업무일지!$AF200="진행중"),MAX(0,TODAY()-업무일지!$B200)*10000+805,"")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IF(AND(업무일지!$B201&lt;&gt;"",업무일지!$AF201="진행중"),MAX(0,TODAY()-업무일지!$B201)*10000+804,"")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IF(AND(업무일지!$B202&lt;&gt;"",업무일지!$AF202="진행중"),MAX(0,TODAY()-업무일지!$B202)*10000+803,"")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IF(AND(업무일지!$B203&lt;&gt;"",업무일지!$AF203="진행중"),MAX(0,TODAY()-업무일지!$B203)*10000+802,"")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IF(AND(업무일지!$B204&lt;&gt;"",업무일지!$AF204="진행중"),MAX(0,TODAY()-업무일지!$B204)*10000+801,"")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IF(AND(업무일지!$B205&lt;&gt;"",업무일지!$AF205="진행중"),MAX(0,TODAY()-업무일지!$B205)*10000+800,"")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IF(AND(업무일지!$B206&lt;&gt;"",업무일지!$AF206="진행중"),MAX(0,TODAY()-업무일지!$B206)*10000+799,"")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IF(AND(업무일지!$B207&lt;&gt;"",업무일지!$AF207="진행중"),MAX(0,TODAY()-업무일지!$B207)*10000+798,"")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IF(AND(업무일지!$B208&lt;&gt;"",업무일지!$AF208="진행중"),MAX(0,TODAY()-업무일지!$B208)*10000+797,"")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IF(AND(업무일지!$B209&lt;&gt;"",업무일지!$AF209="진행중"),MAX(0,TODAY()-업무일지!$B209)*10000+796,"")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IF(AND(업무일지!$B210&lt;&gt;"",업무일지!$AF210="진행중"),MAX(0,TODAY()-업무일지!$B210)*10000+795,"")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IF(AND(업무일지!$B211&lt;&gt;"",업무일지!$AF211="진행중"),MAX(0,TODAY()-업무일지!$B211)*10000+794,"")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IF(AND(업무일지!$B212&lt;&gt;"",업무일지!$AF212="진행중"),MAX(0,TODAY()-업무일지!$B212)*10000+793,"")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IF(AND(업무일지!$B213&lt;&gt;"",업무일지!$AF213="진행중"),MAX(0,TODAY()-업무일지!$B213)*10000+792,"")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IF(AND(업무일지!$B214&lt;&gt;"",업무일지!$AF214="진행중"),MAX(0,TODAY()-업무일지!$B214)*10000+791,"")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IF(AND(업무일지!$B215&lt;&gt;"",업무일지!$AF215="진행중"),MAX(0,TODAY()-업무일지!$B215)*10000+790,"")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IF(AND(업무일지!$B216&lt;&gt;"",업무일지!$AF216="진행중"),MAX(0,TODAY()-업무일지!$B216)*10000+789,"")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IF(AND(업무일지!$B217&lt;&gt;"",업무일지!$AF217="진행중"),MAX(0,TODAY()-업무일지!$B217)*10000+788,"")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IF(AND(업무일지!$B218&lt;&gt;"",업무일지!$AF218="진행중"),MAX(0,TODAY()-업무일지!$B218)*10000+787,"")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IF(AND(업무일지!$B219&lt;&gt;"",업무일지!$AF219="진행중"),MAX(0,TODAY()-업무일지!$B219)*10000+786,"")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IF(AND(업무일지!$B220&lt;&gt;"",업무일지!$AF220="진행중"),MAX(0,TODAY()-업무일지!$B220)*10000+785,"")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IF(AND(업무일지!$B221&lt;&gt;"",업무일지!$AF221="진행중"),MAX(0,TODAY()-업무일지!$B221)*10000+784,"")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IF(AND(업무일지!$B222&lt;&gt;"",업무일지!$AF222="진행중"),MAX(0,TODAY()-업무일지!$B222)*10000+783,"")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IF(AND(업무일지!$B223&lt;&gt;"",업무일지!$AF223="진행중"),MAX(0,TODAY()-업무일지!$B223)*10000+782,"")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IF(AND(업무일지!$B224&lt;&gt;"",업무일지!$AF224="진행중"),MAX(0,TODAY()-업무일지!$B224)*10000+781,"")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IF(AND(업무일지!$B225&lt;&gt;"",업무일지!$AF225="진행중"),MAX(0,TODAY()-업무일지!$B225)*10000+780,"")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IF(AND(업무일지!$B226&lt;&gt;"",업무일지!$AF226="진행중"),MAX(0,TODAY()-업무일지!$B226)*10000+779,"")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IF(AND(업무일지!$B227&lt;&gt;"",업무일지!$AF227="진행중"),MAX(0,TODAY()-업무일지!$B227)*10000+778,"")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IF(AND(업무일지!$B228&lt;&gt;"",업무일지!$AF228="진행중"),MAX(0,TODAY()-업무일지!$B228)*10000+777,"")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IF(AND(업무일지!$B229&lt;&gt;"",업무일지!$AF229="진행중"),MAX(0,TODAY()-업무일지!$B229)*10000+776,"")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IF(AND(업무일지!$B230&lt;&gt;"",업무일지!$AF230="진행중"),MAX(0,TODAY()-업무일지!$B230)*10000+775,"")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IF(AND(업무일지!$B231&lt;&gt;"",업무일지!$AF231="진행중"),MAX(0,TODAY()-업무일지!$B231)*10000+774,"")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IF(AND(업무일지!$B232&lt;&gt;"",업무일지!$AF232="진행중"),MAX(0,TODAY()-업무일지!$B232)*10000+773,"")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IF(AND(업무일지!$B233&lt;&gt;"",업무일지!$AF233="진행중"),MAX(0,TODAY()-업무일지!$B233)*10000+772,"")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IF(AND(업무일지!$B234&lt;&gt;"",업무일지!$AF234="진행중"),MAX(0,TODAY()-업무일지!$B234)*10000+771,"")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IF(AND(업무일지!$B235&lt;&gt;"",업무일지!$AF235="진행중"),MAX(0,TODAY()-업무일지!$B235)*10000+770,"")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IF(AND(업무일지!$B236&lt;&gt;"",업무일지!$AF236="진행중"),MAX(0,TODAY()-업무일지!$B236)*10000+769,"")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IF(AND(업무일지!$B237&lt;&gt;"",업무일지!$AF237="진행중"),MAX(0,TODAY()-업무일지!$B237)*10000+768,"")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IF(AND(업무일지!$B238&lt;&gt;"",업무일지!$AF238="진행중"),MAX(0,TODAY()-업무일지!$B238)*10000+767,"")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IF(AND(업무일지!$B239&lt;&gt;"",업무일지!$AF239="진행중"),MAX(0,TODAY()-업무일지!$B239)*10000+766,"")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IF(AND(업무일지!$B240&lt;&gt;"",업무일지!$AF240="진행중"),MAX(0,TODAY()-업무일지!$B240)*10000+765,"")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IF(AND(업무일지!$B241&lt;&gt;"",업무일지!$AF241="진행중"),MAX(0,TODAY()-업무일지!$B241)*10000+764,"")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IF(AND(업무일지!$B242&lt;&gt;"",업무일지!$AF242="진행중"),MAX(0,TODAY()-업무일지!$B242)*10000+763,"")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IF(AND(업무일지!$B243&lt;&gt;"",업무일지!$AF243="진행중"),MAX(0,TODAY()-업무일지!$B243)*10000+762,"")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IF(AND(업무일지!$B244&lt;&gt;"",업무일지!$AF244="진행중"),MAX(0,TODAY()-업무일지!$B244)*10000+761,"")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IF(AND(업무일지!$B245&lt;&gt;"",업무일지!$AF245="진행중"),MAX(0,TODAY()-업무일지!$B245)*10000+760,"")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IF(AND(업무일지!$B246&lt;&gt;"",업무일지!$AF246="진행중"),MAX(0,TODAY()-업무일지!$B246)*10000+759,"")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IF(AND(업무일지!$B247&lt;&gt;"",업무일지!$AF247="진행중"),MAX(0,TODAY()-업무일지!$B247)*10000+758,"")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IF(AND(업무일지!$B248&lt;&gt;"",업무일지!$AF248="진행중"),MAX(0,TODAY()-업무일지!$B248)*10000+757,"")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IF(AND(업무일지!$B249&lt;&gt;"",업무일지!$AF249="진행중"),MAX(0,TODAY()-업무일지!$B249)*10000+756,"")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IF(AND(업무일지!$B250&lt;&gt;"",업무일지!$AF250="진행중"),MAX(0,TODAY()-업무일지!$B250)*10000+755,"")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IF(AND(업무일지!$B251&lt;&gt;"",업무일지!$AF251="진행중"),MAX(0,TODAY()-업무일지!$B251)*10000+754,"")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IF(AND(업무일지!$B252&lt;&gt;"",업무일지!$AF252="진행중"),MAX(0,TODAY()-업무일지!$B252)*10000+753,"")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IF(AND(업무일지!$B253&lt;&gt;"",업무일지!$AF253="진행중"),MAX(0,TODAY()-업무일지!$B253)*10000+752,"")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IF(AND(업무일지!$B254&lt;&gt;"",업무일지!$AF254="진행중"),MAX(0,TODAY()-업무일지!$B254)*10000+751,"")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IF(AND(업무일지!$B255&lt;&gt;"",업무일지!$AF255="진행중"),MAX(0,TODAY()-업무일지!$B255)*10000+750,"")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IF(AND(업무일지!$B256&lt;&gt;"",업무일지!$AF256="진행중"),MAX(0,TODAY()-업무일지!$B256)*10000+749,"")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IF(AND(업무일지!$B257&lt;&gt;"",업무일지!$AF257="진행중"),MAX(0,TODAY()-업무일지!$B257)*10000+748,"")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IF(AND(업무일지!$B258&lt;&gt;"",업무일지!$AF258="진행중"),MAX(0,TODAY()-업무일지!$B258)*10000+747,"")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IF(AND(업무일지!$B259&lt;&gt;"",업무일지!$AF259="진행중"),MAX(0,TODAY()-업무일지!$B259)*10000+746,"")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IF(AND(업무일지!$B260&lt;&gt;"",업무일지!$AF260="진행중"),MAX(0,TODAY()-업무일지!$B260)*10000+745,"")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IF(AND(업무일지!$B261&lt;&gt;"",업무일지!$AF261="진행중"),MAX(0,TODAY()-업무일지!$B261)*10000+744,"")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IF(AND(업무일지!$B262&lt;&gt;"",업무일지!$AF262="진행중"),MAX(0,TODAY()-업무일지!$B262)*10000+743,"")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IF(AND(업무일지!$B263&lt;&gt;"",업무일지!$AF263="진행중"),MAX(0,TODAY()-업무일지!$B263)*10000+742,"")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IF(AND(업무일지!$B264&lt;&gt;"",업무일지!$AF264="진행중"),MAX(0,TODAY()-업무일지!$B264)*10000+741,"")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IF(AND(업무일지!$B265&lt;&gt;"",업무일지!$AF265="진행중"),MAX(0,TODAY()-업무일지!$B265)*10000+740,"")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IF(AND(업무일지!$B266&lt;&gt;"",업무일지!$AF266="진행중"),MAX(0,TODAY()-업무일지!$B266)*10000+739,"")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IF(AND(업무일지!$B267&lt;&gt;"",업무일지!$AF267="진행중"),MAX(0,TODAY()-업무일지!$B267)*10000+738,"")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IF(AND(업무일지!$B268&lt;&gt;"",업무일지!$AF268="진행중"),MAX(0,TODAY()-업무일지!$B268)*10000+737,"")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IF(AND(업무일지!$B269&lt;&gt;"",업무일지!$AF269="진행중"),MAX(0,TODAY()-업무일지!$B269)*10000+736,"")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IF(AND(업무일지!$B270&lt;&gt;"",업무일지!$AF270="진행중"),MAX(0,TODAY()-업무일지!$B270)*10000+735,"")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IF(AND(업무일지!$B271&lt;&gt;"",업무일지!$AF271="진행중"),MAX(0,TODAY()-업무일지!$B271)*10000+734,"")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IF(AND(업무일지!$B272&lt;&gt;"",업무일지!$AF272="진행중"),MAX(0,TODAY()-업무일지!$B272)*10000+733,"")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IF(AND(업무일지!$B273&lt;&gt;"",업무일지!$AF273="진행중"),MAX(0,TODAY()-업무일지!$B273)*10000+732,"")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IF(AND(업무일지!$B274&lt;&gt;"",업무일지!$AF274="진행중"),MAX(0,TODAY()-업무일지!$B274)*10000+731,"")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IF(AND(업무일지!$B275&lt;&gt;"",업무일지!$AF275="진행중"),MAX(0,TODAY()-업무일지!$B275)*10000+730,"")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IF(AND(업무일지!$B276&lt;&gt;"",업무일지!$AF276="진행중"),MAX(0,TODAY()-업무일지!$B276)*10000+729,"")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IF(AND(업무일지!$B277&lt;&gt;"",업무일지!$AF277="진행중"),MAX(0,TODAY()-업무일지!$B277)*10000+728,"")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IF(AND(업무일지!$B278&lt;&gt;"",업무일지!$AF278="진행중"),MAX(0,TODAY()-업무일지!$B278)*10000+727,"")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IF(AND(업무일지!$B279&lt;&gt;"",업무일지!$AF279="진행중"),MAX(0,TODAY()-업무일지!$B279)*10000+726,"")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IF(AND(업무일지!$B280&lt;&gt;"",업무일지!$AF280="진행중"),MAX(0,TODAY()-업무일지!$B280)*10000+725,"")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IF(AND(업무일지!$B281&lt;&gt;"",업무일지!$AF281="진행중"),MAX(0,TODAY()-업무일지!$B281)*10000+724,"")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IF(AND(업무일지!$B282&lt;&gt;"",업무일지!$AF282="진행중"),MAX(0,TODAY()-업무일지!$B282)*10000+723,"")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IF(AND(업무일지!$B283&lt;&gt;"",업무일지!$AF283="진행중"),MAX(0,TODAY()-업무일지!$B283)*10000+722,"")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IF(AND(업무일지!$B284&lt;&gt;"",업무일지!$AF284="진행중"),MAX(0,TODAY()-업무일지!$B284)*10000+721,"")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IF(AND(업무일지!$B285&lt;&gt;"",업무일지!$AF285="진행중"),MAX(0,TODAY()-업무일지!$B285)*10000+720,"")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IF(AND(업무일지!$B286&lt;&gt;"",업무일지!$AF286="진행중"),MAX(0,TODAY()-업무일지!$B286)*10000+719,"")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IF(AND(업무일지!$B287&lt;&gt;"",업무일지!$AF287="진행중"),MAX(0,TODAY()-업무일지!$B287)*10000+718,"")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IF(AND(업무일지!$B288&lt;&gt;"",업무일지!$AF288="진행중"),MAX(0,TODAY()-업무일지!$B288)*10000+717,"")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IF(AND(업무일지!$B289&lt;&gt;"",업무일지!$AF289="진행중"),MAX(0,TODAY()-업무일지!$B289)*10000+716,"")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IF(AND(업무일지!$B290&lt;&gt;"",업무일지!$AF290="진행중"),MAX(0,TODAY()-업무일지!$B290)*10000+715,"")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IF(AND(업무일지!$B291&lt;&gt;"",업무일지!$AF291="진행중"),MAX(0,TODAY()-업무일지!$B291)*10000+714,"")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IF(AND(업무일지!$B292&lt;&gt;"",업무일지!$AF292="진행중"),MAX(0,TODAY()-업무일지!$B292)*10000+713,"")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IF(AND(업무일지!$B293&lt;&gt;"",업무일지!$AF293="진행중"),MAX(0,TODAY()-업무일지!$B293)*10000+712,"")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IF(AND(업무일지!$B294&lt;&gt;"",업무일지!$AF294="진행중"),MAX(0,TODAY()-업무일지!$B294)*10000+711,"")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IF(AND(업무일지!$B295&lt;&gt;"",업무일지!$AF295="진행중"),MAX(0,TODAY()-업무일지!$B295)*10000+710,"")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IF(AND(업무일지!$B296&lt;&gt;"",업무일지!$AF296="진행중"),MAX(0,TODAY()-업무일지!$B296)*10000+709,"")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IF(AND(업무일지!$B297&lt;&gt;"",업무일지!$AF297="진행중"),MAX(0,TODAY()-업무일지!$B297)*10000+708,"")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IF(AND(업무일지!$B298&lt;&gt;"",업무일지!$AF298="진행중"),MAX(0,TODAY()-업무일지!$B298)*10000+707,"")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IF(AND(업무일지!$B299&lt;&gt;"",업무일지!$AF299="진행중"),MAX(0,TODAY()-업무일지!$B299)*10000+706,"")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IF(AND(업무일지!$B300&lt;&gt;"",업무일지!$AF300="진행중"),MAX(0,TODAY()-업무일지!$B300)*10000+705,"")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IF(AND(업무일지!$B301&lt;&gt;"",업무일지!$AF301="진행중"),MAX(0,TODAY()-업무일지!$B301)*10000+704,"")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IF(AND(업무일지!$B302&lt;&gt;"",업무일지!$AF302="진행중"),MAX(0,TODAY()-업무일지!$B302)*10000+703,"")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IF(AND(업무일지!$B303&lt;&gt;"",업무일지!$AF303="진행중"),MAX(0,TODAY()-업무일지!$B303)*10000+702,"")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IF(AND(업무일지!$B304&lt;&gt;"",업무일지!$AF304="진행중"),MAX(0,TODAY()-업무일지!$B304)*10000+701,"")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IF(AND(업무일지!$B305&lt;&gt;"",업무일지!$AF305="진행중"),MAX(0,TODAY()-업무일지!$B305)*10000+700,"")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IF(AND(업무일지!$B306&lt;&gt;"",업무일지!$AF306="진행중"),MAX(0,TODAY()-업무일지!$B306)*10000+699,"")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IF(AND(업무일지!$B307&lt;&gt;"",업무일지!$AF307="진행중"),MAX(0,TODAY()-업무일지!$B307)*10000+698,"")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IF(AND(업무일지!$B308&lt;&gt;"",업무일지!$AF308="진행중"),MAX(0,TODAY()-업무일지!$B308)*10000+697,"")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IF(AND(업무일지!$B309&lt;&gt;"",업무일지!$AF309="진행중"),MAX(0,TODAY()-업무일지!$B309)*10000+696,"")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IF(AND(업무일지!$B310&lt;&gt;"",업무일지!$AF310="진행중"),MAX(0,TODAY()-업무일지!$B310)*10000+695,"")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IF(AND(업무일지!$B311&lt;&gt;"",업무일지!$AF311="진행중"),MAX(0,TODAY()-업무일지!$B311)*10000+694,"")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IF(AND(업무일지!$B312&lt;&gt;"",업무일지!$AF312="진행중"),MAX(0,TODAY()-업무일지!$B312)*10000+693,"")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IF(AND(업무일지!$B313&lt;&gt;"",업무일지!$AF313="진행중"),MAX(0,TODAY()-업무일지!$B313)*10000+692,"")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IF(AND(업무일지!$B314&lt;&gt;"",업무일지!$AF314="진행중"),MAX(0,TODAY()-업무일지!$B314)*10000+691,"")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IF(AND(업무일지!$B315&lt;&gt;"",업무일지!$AF315="진행중"),MAX(0,TODAY()-업무일지!$B315)*10000+690,"")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IF(AND(업무일지!$B316&lt;&gt;"",업무일지!$AF316="진행중"),MAX(0,TODAY()-업무일지!$B316)*10000+689,"")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IF(AND(업무일지!$B317&lt;&gt;"",업무일지!$AF317="진행중"),MAX(0,TODAY()-업무일지!$B317)*10000+688,"")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IF(AND(업무일지!$B318&lt;&gt;"",업무일지!$AF318="진행중"),MAX(0,TODAY()-업무일지!$B318)*10000+687,"")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IF(AND(업무일지!$B319&lt;&gt;"",업무일지!$AF319="진행중"),MAX(0,TODAY()-업무일지!$B319)*10000+686,"")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IF(AND(업무일지!$B320&lt;&gt;"",업무일지!$AF320="진행중"),MAX(0,TODAY()-업무일지!$B320)*10000+685,"")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IF(AND(업무일지!$B321&lt;&gt;"",업무일지!$AF321="진행중"),MAX(0,TODAY()-업무일지!$B321)*10000+684,"")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IF(AND(업무일지!$B322&lt;&gt;"",업무일지!$AF322="진행중"),MAX(0,TODAY()-업무일지!$B322)*10000+683,"")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IF(AND(업무일지!$B323&lt;&gt;"",업무일지!$AF323="진행중"),MAX(0,TODAY()-업무일지!$B323)*10000+682,"")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IF(AND(업무일지!$B324&lt;&gt;"",업무일지!$AF324="진행중"),MAX(0,TODAY()-업무일지!$B324)*10000+681,"")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IF(AND(업무일지!$B325&lt;&gt;"",업무일지!$AF325="진행중"),MAX(0,TODAY()-업무일지!$B325)*10000+680,"")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IF(AND(업무일지!$B326&lt;&gt;"",업무일지!$AF326="진행중"),MAX(0,TODAY()-업무일지!$B326)*10000+679,"")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IF(AND(업무일지!$B327&lt;&gt;"",업무일지!$AF327="진행중"),MAX(0,TODAY()-업무일지!$B327)*10000+678,"")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IF(AND(업무일지!$B328&lt;&gt;"",업무일지!$AF328="진행중"),MAX(0,TODAY()-업무일지!$B328)*10000+677,"")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IF(AND(업무일지!$B329&lt;&gt;"",업무일지!$AF329="진행중"),MAX(0,TODAY()-업무일지!$B329)*10000+676,"")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IF(AND(업무일지!$B330&lt;&gt;"",업무일지!$AF330="진행중"),MAX(0,TODAY()-업무일지!$B330)*10000+675,"")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IF(AND(업무일지!$B331&lt;&gt;"",업무일지!$AF331="진행중"),MAX(0,TODAY()-업무일지!$B331)*10000+674,"")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IF(AND(업무일지!$B332&lt;&gt;"",업무일지!$AF332="진행중"),MAX(0,TODAY()-업무일지!$B332)*10000+673,"")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IF(AND(업무일지!$B333&lt;&gt;"",업무일지!$AF333="진행중"),MAX(0,TODAY()-업무일지!$B333)*10000+672,"")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IF(AND(업무일지!$B334&lt;&gt;"",업무일지!$AF334="진행중"),MAX(0,TODAY()-업무일지!$B334)*10000+671,"")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IF(AND(업무일지!$B335&lt;&gt;"",업무일지!$AF335="진행중"),MAX(0,TODAY()-업무일지!$B335)*10000+670,"")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IF(AND(업무일지!$B336&lt;&gt;"",업무일지!$AF336="진행중"),MAX(0,TODAY()-업무일지!$B336)*10000+669,"")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IF(AND(업무일지!$B337&lt;&gt;"",업무일지!$AF337="진행중"),MAX(0,TODAY()-업무일지!$B337)*10000+668,"")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IF(AND(업무일지!$B338&lt;&gt;"",업무일지!$AF338="진행중"),MAX(0,TODAY()-업무일지!$B338)*10000+667,"")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IF(AND(업무일지!$B339&lt;&gt;"",업무일지!$AF339="진행중"),MAX(0,TODAY()-업무일지!$B339)*10000+666,"")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IF(AND(업무일지!$B340&lt;&gt;"",업무일지!$AF340="진행중"),MAX(0,TODAY()-업무일지!$B340)*10000+665,"")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IF(AND(업무일지!$B341&lt;&gt;"",업무일지!$AF341="진행중"),MAX(0,TODAY()-업무일지!$B341)*10000+664,"")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IF(AND(업무일지!$B342&lt;&gt;"",업무일지!$AF342="진행중"),MAX(0,TODAY()-업무일지!$B342)*10000+663,"")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IF(AND(업무일지!$B343&lt;&gt;"",업무일지!$AF343="진행중"),MAX(0,TODAY()-업무일지!$B343)*10000+662,"")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IF(AND(업무일지!$B344&lt;&gt;"",업무일지!$AF344="진행중"),MAX(0,TODAY()-업무일지!$B344)*10000+661,"")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IF(AND(업무일지!$B345&lt;&gt;"",업무일지!$AF345="진행중"),MAX(0,TODAY()-업무일지!$B345)*10000+660,"")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IF(AND(업무일지!$B346&lt;&gt;"",업무일지!$AF346="진행중"),MAX(0,TODAY()-업무일지!$B346)*10000+659,"")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IF(AND(업무일지!$B347&lt;&gt;"",업무일지!$AF347="진행중"),MAX(0,TODAY()-업무일지!$B347)*10000+658,"")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IF(AND(업무일지!$B348&lt;&gt;"",업무일지!$AF348="진행중"),MAX(0,TODAY()-업무일지!$B348)*10000+657,"")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IF(AND(업무일지!$B349&lt;&gt;"",업무일지!$AF349="진행중"),MAX(0,TODAY()-업무일지!$B349)*10000+656,"")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IF(AND(업무일지!$B350&lt;&gt;"",업무일지!$AF350="진행중"),MAX(0,TODAY()-업무일지!$B350)*10000+655,"")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IF(AND(업무일지!$B351&lt;&gt;"",업무일지!$AF351="진행중"),MAX(0,TODAY()-업무일지!$B351)*10000+654,"")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IF(AND(업무일지!$B352&lt;&gt;"",업무일지!$AF352="진행중"),MAX(0,TODAY()-업무일지!$B352)*10000+653,"")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IF(AND(업무일지!$B353&lt;&gt;"",업무일지!$AF353="진행중"),MAX(0,TODAY()-업무일지!$B353)*10000+652,"")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IF(AND(업무일지!$B354&lt;&gt;"",업무일지!$AF354="진행중"),MAX(0,TODAY()-업무일지!$B354)*10000+651,"")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IF(AND(업무일지!$B355&lt;&gt;"",업무일지!$AF355="진행중"),MAX(0,TODAY()-업무일지!$B355)*10000+650,"")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IF(AND(업무일지!$B356&lt;&gt;"",업무일지!$AF356="진행중"),MAX(0,TODAY()-업무일지!$B356)*10000+649,"")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IF(AND(업무일지!$B357&lt;&gt;"",업무일지!$AF357="진행중"),MAX(0,TODAY()-업무일지!$B357)*10000+648,"")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IF(AND(업무일지!$B358&lt;&gt;"",업무일지!$AF358="진행중"),MAX(0,TODAY()-업무일지!$B358)*10000+647,"")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IF(AND(업무일지!$B359&lt;&gt;"",업무일지!$AF359="진행중"),MAX(0,TODAY()-업무일지!$B359)*10000+646,"")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IF(AND(업무일지!$B360&lt;&gt;"",업무일지!$AF360="진행중"),MAX(0,TODAY()-업무일지!$B360)*10000+645,"")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IF(AND(업무일지!$B361&lt;&gt;"",업무일지!$AF361="진행중"),MAX(0,TODAY()-업무일지!$B361)*10000+644,"")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IF(AND(업무일지!$B362&lt;&gt;"",업무일지!$AF362="진행중"),MAX(0,TODAY()-업무일지!$B362)*10000+643,"")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IF(AND(업무일지!$B363&lt;&gt;"",업무일지!$AF363="진행중"),MAX(0,TODAY()-업무일지!$B363)*10000+642,"")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IF(AND(업무일지!$B364&lt;&gt;"",업무일지!$AF364="진행중"),MAX(0,TODAY()-업무일지!$B364)*10000+641,"")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IF(AND(업무일지!$B365&lt;&gt;"",업무일지!$AF365="진행중"),MAX(0,TODAY()-업무일지!$B365)*10000+640,"")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IF(AND(업무일지!$B366&lt;&gt;"",업무일지!$AF366="진행중"),MAX(0,TODAY()-업무일지!$B366)*10000+639,"")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IF(AND(업무일지!$B367&lt;&gt;"",업무일지!$AF367="진행중"),MAX(0,TODAY()-업무일지!$B367)*10000+638,"")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IF(AND(업무일지!$B368&lt;&gt;"",업무일지!$AF368="진행중"),MAX(0,TODAY()-업무일지!$B368)*10000+637,"")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IF(AND(업무일지!$B369&lt;&gt;"",업무일지!$AF369="진행중"),MAX(0,TODAY()-업무일지!$B369)*10000+636,"")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IF(AND(업무일지!$B370&lt;&gt;"",업무일지!$AF370="진행중"),MAX(0,TODAY()-업무일지!$B370)*10000+635,"")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IF(AND(업무일지!$B371&lt;&gt;"",업무일지!$AF371="진행중"),MAX(0,TODAY()-업무일지!$B371)*10000+634,"")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IF(AND(업무일지!$B372&lt;&gt;"",업무일지!$AF372="진행중"),MAX(0,TODAY()-업무일지!$B372)*10000+633,"")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IF(AND(업무일지!$B373&lt;&gt;"",업무일지!$AF373="진행중"),MAX(0,TODAY()-업무일지!$B373)*10000+632,"")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IF(AND(업무일지!$B374&lt;&gt;"",업무일지!$AF374="진행중"),MAX(0,TODAY()-업무일지!$B374)*10000+631,"")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IF(AND(업무일지!$B375&lt;&gt;"",업무일지!$AF375="진행중"),MAX(0,TODAY()-업무일지!$B375)*10000+630,"")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IF(AND(업무일지!$B376&lt;&gt;"",업무일지!$AF376="진행중"),MAX(0,TODAY()-업무일지!$B376)*10000+629,"")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IF(AND(업무일지!$B377&lt;&gt;"",업무일지!$AF377="진행중"),MAX(0,TODAY()-업무일지!$B377)*10000+628,"")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IF(AND(업무일지!$B378&lt;&gt;"",업무일지!$AF378="진행중"),MAX(0,TODAY()-업무일지!$B378)*10000+627,"")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IF(AND(업무일지!$B379&lt;&gt;"",업무일지!$AF379="진행중"),MAX(0,TODAY()-업무일지!$B379)*10000+626,"")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IF(AND(업무일지!$B380&lt;&gt;"",업무일지!$AF380="진행중"),MAX(0,TODAY()-업무일지!$B380)*10000+625,"")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IF(AND(업무일지!$B381&lt;&gt;"",업무일지!$AF381="진행중"),MAX(0,TODAY()-업무일지!$B381)*10000+624,"")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IF(AND(업무일지!$B382&lt;&gt;"",업무일지!$AF382="진행중"),MAX(0,TODAY()-업무일지!$B382)*10000+623,"")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IF(AND(업무일지!$B383&lt;&gt;"",업무일지!$AF383="진행중"),MAX(0,TODAY()-업무일지!$B383)*10000+622,"")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IF(AND(업무일지!$B384&lt;&gt;"",업무일지!$AF384="진행중"),MAX(0,TODAY()-업무일지!$B384)*10000+621,"")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IF(AND(업무일지!$B385&lt;&gt;"",업무일지!$AF385="진행중"),MAX(0,TODAY()-업무일지!$B385)*10000+620,"")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IF(AND(업무일지!$B386&lt;&gt;"",업무일지!$AF386="진행중"),MAX(0,TODAY()-업무일지!$B386)*10000+619,"")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IF(AND(업무일지!$B387&lt;&gt;"",업무일지!$AF387="진행중"),MAX(0,TODAY()-업무일지!$B387)*10000+618,"")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IF(AND(업무일지!$B388&lt;&gt;"",업무일지!$AF388="진행중"),MAX(0,TODAY()-업무일지!$B388)*10000+617,"")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IF(AND(업무일지!$B389&lt;&gt;"",업무일지!$AF389="진행중"),MAX(0,TODAY()-업무일지!$B389)*10000+616,"")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IF(AND(업무일지!$B390&lt;&gt;"",업무일지!$AF390="진행중"),MAX(0,TODAY()-업무일지!$B390)*10000+615,"")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IF(AND(업무일지!$B391&lt;&gt;"",업무일지!$AF391="진행중"),MAX(0,TODAY()-업무일지!$B391)*10000+614,"")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IF(AND(업무일지!$B392&lt;&gt;"",업무일지!$AF392="진행중"),MAX(0,TODAY()-업무일지!$B392)*10000+613,"")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IF(AND(업무일지!$B393&lt;&gt;"",업무일지!$AF393="진행중"),MAX(0,TODAY()-업무일지!$B393)*10000+612,"")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IF(AND(업무일지!$B394&lt;&gt;"",업무일지!$AF394="진행중"),MAX(0,TODAY()-업무일지!$B394)*10000+611,"")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IF(AND(업무일지!$B395&lt;&gt;"",업무일지!$AF395="진행중"),MAX(0,TODAY()-업무일지!$B395)*10000+610,"")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IF(AND(업무일지!$B396&lt;&gt;"",업무일지!$AF396="진행중"),MAX(0,TODAY()-업무일지!$B396)*10000+609,"")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IF(AND(업무일지!$B397&lt;&gt;"",업무일지!$AF397="진행중"),MAX(0,TODAY()-업무일지!$B397)*10000+608,"")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IF(AND(업무일지!$B398&lt;&gt;"",업무일지!$AF398="진행중"),MAX(0,TODAY()-업무일지!$B398)*10000+607,"")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IF(AND(업무일지!$B399&lt;&gt;"",업무일지!$AF399="진행중"),MAX(0,TODAY()-업무일지!$B399)*10000+606,"")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IF(AND(업무일지!$B400&lt;&gt;"",업무일지!$AF400="진행중"),MAX(0,TODAY()-업무일지!$B400)*10000+605,"")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IF(AND(업무일지!$B401&lt;&gt;"",업무일지!$AF401="진행중"),MAX(0,TODAY()-업무일지!$B401)*10000+604,"")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IF(AND(업무일지!$B402&lt;&gt;"",업무일지!$AF402="진행중"),MAX(0,TODAY()-업무일지!$B402)*10000+603,"")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IF(AND(업무일지!$B403&lt;&gt;"",업무일지!$AF403="진행중"),MAX(0,TODAY()-업무일지!$B403)*10000+602,"")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IF(AND(업무일지!$B404&lt;&gt;"",업무일지!$AF404="진행중"),MAX(0,TODAY()-업무일지!$B404)*10000+601,"")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IF(AND(업무일지!$B405&lt;&gt;"",업무일지!$AF405="진행중"),MAX(0,TODAY()-업무일지!$B405)*10000+600,"")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IF(AND(업무일지!$B406&lt;&gt;"",업무일지!$AF406="진행중"),MAX(0,TODAY()-업무일지!$B406)*10000+599,"")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IF(AND(업무일지!$B407&lt;&gt;"",업무일지!$AF407="진행중"),MAX(0,TODAY()-업무일지!$B407)*10000+598,"")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IF(AND(업무일지!$B408&lt;&gt;"",업무일지!$AF408="진행중"),MAX(0,TODAY()-업무일지!$B408)*10000+597,"")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IF(AND(업무일지!$B409&lt;&gt;"",업무일지!$AF409="진행중"),MAX(0,TODAY()-업무일지!$B409)*10000+596,"")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IF(AND(업무일지!$B410&lt;&gt;"",업무일지!$AF410="진행중"),MAX(0,TODAY()-업무일지!$B410)*10000+595,"")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IF(AND(업무일지!$B411&lt;&gt;"",업무일지!$AF411="진행중"),MAX(0,TODAY()-업무일지!$B411)*10000+594,"")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IF(AND(업무일지!$B412&lt;&gt;"",업무일지!$AF412="진행중"),MAX(0,TODAY()-업무일지!$B412)*10000+593,"")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IF(AND(업무일지!$B413&lt;&gt;"",업무일지!$AF413="진행중"),MAX(0,TODAY()-업무일지!$B413)*10000+592,"")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IF(AND(업무일지!$B414&lt;&gt;"",업무일지!$AF414="진행중"),MAX(0,TODAY()-업무일지!$B414)*10000+591,"")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IF(AND(업무일지!$B415&lt;&gt;"",업무일지!$AF415="진행중"),MAX(0,TODAY()-업무일지!$B415)*10000+590,"")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IF(AND(업무일지!$B416&lt;&gt;"",업무일지!$AF416="진행중"),MAX(0,TODAY()-업무일지!$B416)*10000+589,"")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IF(AND(업무일지!$B417&lt;&gt;"",업무일지!$AF417="진행중"),MAX(0,TODAY()-업무일지!$B417)*10000+588,"")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IF(AND(업무일지!$B418&lt;&gt;"",업무일지!$AF418="진행중"),MAX(0,TODAY()-업무일지!$B418)*10000+587,"")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IF(AND(업무일지!$B419&lt;&gt;"",업무일지!$AF419="진행중"),MAX(0,TODAY()-업무일지!$B419)*10000+586,"")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IF(AND(업무일지!$B420&lt;&gt;"",업무일지!$AF420="진행중"),MAX(0,TODAY()-업무일지!$B420)*10000+585,"")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IF(AND(업무일지!$B421&lt;&gt;"",업무일지!$AF421="진행중"),MAX(0,TODAY()-업무일지!$B421)*10000+584,"")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IF(AND(업무일지!$B422&lt;&gt;"",업무일지!$AF422="진행중"),MAX(0,TODAY()-업무일지!$B422)*10000+583,"")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IF(AND(업무일지!$B423&lt;&gt;"",업무일지!$AF423="진행중"),MAX(0,TODAY()-업무일지!$B423)*10000+582,"")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IF(AND(업무일지!$B424&lt;&gt;"",업무일지!$AF424="진행중"),MAX(0,TODAY()-업무일지!$B424)*10000+581,"")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IF(AND(업무일지!$B425&lt;&gt;"",업무일지!$AF425="진행중"),MAX(0,TODAY()-업무일지!$B425)*10000+580,"")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IF(AND(업무일지!$B426&lt;&gt;"",업무일지!$AF426="진행중"),MAX(0,TODAY()-업무일지!$B426)*10000+579,"")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IF(AND(업무일지!$B427&lt;&gt;"",업무일지!$AF427="진행중"),MAX(0,TODAY()-업무일지!$B427)*10000+578,"")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IF(AND(업무일지!$B428&lt;&gt;"",업무일지!$AF428="진행중"),MAX(0,TODAY()-업무일지!$B428)*10000+577,"")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IF(AND(업무일지!$B429&lt;&gt;"",업무일지!$AF429="진행중"),MAX(0,TODAY()-업무일지!$B429)*10000+576,"")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IF(AND(업무일지!$B430&lt;&gt;"",업무일지!$AF430="진행중"),MAX(0,TODAY()-업무일지!$B430)*10000+575,"")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IF(AND(업무일지!$B431&lt;&gt;"",업무일지!$AF431="진행중"),MAX(0,TODAY()-업무일지!$B431)*10000+574,"")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IF(AND(업무일지!$B432&lt;&gt;"",업무일지!$AF432="진행중"),MAX(0,TODAY()-업무일지!$B432)*10000+573,"")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IF(AND(업무일지!$B433&lt;&gt;"",업무일지!$AF433="진행중"),MAX(0,TODAY()-업무일지!$B433)*10000+572,"")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IF(AND(업무일지!$B434&lt;&gt;"",업무일지!$AF434="진행중"),MAX(0,TODAY()-업무일지!$B434)*10000+571,"")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IF(AND(업무일지!$B435&lt;&gt;"",업무일지!$AF435="진행중"),MAX(0,TODAY()-업무일지!$B435)*10000+570,"")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IF(AND(업무일지!$B436&lt;&gt;"",업무일지!$AF436="진행중"),MAX(0,TODAY()-업무일지!$B436)*10000+569,"")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IF(AND(업무일지!$B437&lt;&gt;"",업무일지!$AF437="진행중"),MAX(0,TODAY()-업무일지!$B437)*10000+568,"")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IF(AND(업무일지!$B438&lt;&gt;"",업무일지!$AF438="진행중"),MAX(0,TODAY()-업무일지!$B438)*10000+567,"")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IF(AND(업무일지!$B439&lt;&gt;"",업무일지!$AF439="진행중"),MAX(0,TODAY()-업무일지!$B439)*10000+566,"")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IF(AND(업무일지!$B440&lt;&gt;"",업무일지!$AF440="진행중"),MAX(0,TODAY()-업무일지!$B440)*10000+565,"")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IF(AND(업무일지!$B441&lt;&gt;"",업무일지!$AF441="진행중"),MAX(0,TODAY()-업무일지!$B441)*10000+564,"")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IF(AND(업무일지!$B442&lt;&gt;"",업무일지!$AF442="진행중"),MAX(0,TODAY()-업무일지!$B442)*10000+563,"")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IF(AND(업무일지!$B443&lt;&gt;"",업무일지!$AF443="진행중"),MAX(0,TODAY()-업무일지!$B443)*10000+562,"")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IF(AND(업무일지!$B444&lt;&gt;"",업무일지!$AF444="진행중"),MAX(0,TODAY()-업무일지!$B444)*10000+561,"")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IF(AND(업무일지!$B445&lt;&gt;"",업무일지!$AF445="진행중"),MAX(0,TODAY()-업무일지!$B445)*10000+560,"")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IF(AND(업무일지!$B446&lt;&gt;"",업무일지!$AF446="진행중"),MAX(0,TODAY()-업무일지!$B446)*10000+559,"")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IF(AND(업무일지!$B447&lt;&gt;"",업무일지!$AF447="진행중"),MAX(0,TODAY()-업무일지!$B447)*10000+558,"")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IF(AND(업무일지!$B448&lt;&gt;"",업무일지!$AF448="진행중"),MAX(0,TODAY()-업무일지!$B448)*10000+557,"")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IF(AND(업무일지!$B449&lt;&gt;"",업무일지!$AF449="진행중"),MAX(0,TODAY()-업무일지!$B449)*10000+556,"")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IF(AND(업무일지!$B450&lt;&gt;"",업무일지!$AF450="진행중"),MAX(0,TODAY()-업무일지!$B450)*10000+555,"")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IF(AND(업무일지!$B451&lt;&gt;"",업무일지!$AF451="진행중"),MAX(0,TODAY()-업무일지!$B451)*10000+554,"")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IF(AND(업무일지!$B452&lt;&gt;"",업무일지!$AF452="진행중"),MAX(0,TODAY()-업무일지!$B452)*10000+553,"")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IF(AND(업무일지!$B453&lt;&gt;"",업무일지!$AF453="진행중"),MAX(0,TODAY()-업무일지!$B453)*10000+552,"")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IF(AND(업무일지!$B454&lt;&gt;"",업무일지!$AF454="진행중"),MAX(0,TODAY()-업무일지!$B454)*10000+551,"")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IF(AND(업무일지!$B455&lt;&gt;"",업무일지!$AF455="진행중"),MAX(0,TODAY()-업무일지!$B455)*10000+550,"")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IF(AND(업무일지!$B456&lt;&gt;"",업무일지!$AF456="진행중"),MAX(0,TODAY()-업무일지!$B456)*10000+549,"")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IF(AND(업무일지!$B457&lt;&gt;"",업무일지!$AF457="진행중"),MAX(0,TODAY()-업무일지!$B457)*10000+548,"")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IF(AND(업무일지!$B458&lt;&gt;"",업무일지!$AF458="진행중"),MAX(0,TODAY()-업무일지!$B458)*10000+547,"")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IF(AND(업무일지!$B459&lt;&gt;"",업무일지!$AF459="진행중"),MAX(0,TODAY()-업무일지!$B459)*10000+546,"")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IF(AND(업무일지!$B460&lt;&gt;"",업무일지!$AF460="진행중"),MAX(0,TODAY()-업무일지!$B460)*10000+545,"")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IF(AND(업무일지!$B461&lt;&gt;"",업무일지!$AF461="진행중"),MAX(0,TODAY()-업무일지!$B461)*10000+544,"")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IF(AND(업무일지!$B462&lt;&gt;"",업무일지!$AF462="진행중"),MAX(0,TODAY()-업무일지!$B462)*10000+543,"")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IF(AND(업무일지!$B463&lt;&gt;"",업무일지!$AF463="진행중"),MAX(0,TODAY()-업무일지!$B463)*10000+542,"")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IF(AND(업무일지!$B464&lt;&gt;"",업무일지!$AF464="진행중"),MAX(0,TODAY()-업무일지!$B464)*10000+541,"")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IF(AND(업무일지!$B465&lt;&gt;"",업무일지!$AF465="진행중"),MAX(0,TODAY()-업무일지!$B465)*10000+540,"")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IF(AND(업무일지!$B466&lt;&gt;"",업무일지!$AF466="진행중"),MAX(0,TODAY()-업무일지!$B466)*10000+539,"")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IF(AND(업무일지!$B467&lt;&gt;"",업무일지!$AF467="진행중"),MAX(0,TODAY()-업무일지!$B467)*10000+538,"")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IF(AND(업무일지!$B468&lt;&gt;"",업무일지!$AF468="진행중"),MAX(0,TODAY()-업무일지!$B468)*10000+537,"")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IF(AND(업무일지!$B469&lt;&gt;"",업무일지!$AF469="진행중"),MAX(0,TODAY()-업무일지!$B469)*10000+536,"")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IF(AND(업무일지!$B470&lt;&gt;"",업무일지!$AF470="진행중"),MAX(0,TODAY()-업무일지!$B470)*10000+535,"")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IF(AND(업무일지!$B471&lt;&gt;"",업무일지!$AF471="진행중"),MAX(0,TODAY()-업무일지!$B471)*10000+534,"")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IF(AND(업무일지!$B472&lt;&gt;"",업무일지!$AF472="진행중"),MAX(0,TODAY()-업무일지!$B472)*10000+533,"")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IF(AND(업무일지!$B473&lt;&gt;"",업무일지!$AF473="진행중"),MAX(0,TODAY()-업무일지!$B473)*10000+532,"")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IF(AND(업무일지!$B474&lt;&gt;"",업무일지!$AF474="진행중"),MAX(0,TODAY()-업무일지!$B474)*10000+531,"")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IF(AND(업무일지!$B475&lt;&gt;"",업무일지!$AF475="진행중"),MAX(0,TODAY()-업무일지!$B475)*10000+530,"")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IF(AND(업무일지!$B476&lt;&gt;"",업무일지!$AF476="진행중"),MAX(0,TODAY()-업무일지!$B476)*10000+529,"")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IF(AND(업무일지!$B477&lt;&gt;"",업무일지!$AF477="진행중"),MAX(0,TODAY()-업무일지!$B477)*10000+528,"")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IF(AND(업무일지!$B478&lt;&gt;"",업무일지!$AF478="진행중"),MAX(0,TODAY()-업무일지!$B478)*10000+527,"")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IF(AND(업무일지!$B479&lt;&gt;"",업무일지!$AF479="진행중"),MAX(0,TODAY()-업무일지!$B479)*10000+526,"")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IF(AND(업무일지!$B480&lt;&gt;"",업무일지!$AF480="진행중"),MAX(0,TODAY()-업무일지!$B480)*10000+525,"")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IF(AND(업무일지!$B481&lt;&gt;"",업무일지!$AF481="진행중"),MAX(0,TODAY()-업무일지!$B481)*10000+524,"")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IF(AND(업무일지!$B482&lt;&gt;"",업무일지!$AF482="진행중"),MAX(0,TODAY()-업무일지!$B482)*10000+523,"")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IF(AND(업무일지!$B483&lt;&gt;"",업무일지!$AF483="진행중"),MAX(0,TODAY()-업무일지!$B483)*10000+522,"")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IF(AND(업무일지!$B484&lt;&gt;"",업무일지!$AF484="진행중"),MAX(0,TODAY()-업무일지!$B484)*10000+521,"")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IF(AND(업무일지!$B485&lt;&gt;"",업무일지!$AF485="진행중"),MAX(0,TODAY()-업무일지!$B485)*10000+520,"")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IF(AND(업무일지!$B486&lt;&gt;"",업무일지!$AF486="진행중"),MAX(0,TODAY()-업무일지!$B486)*10000+519,"")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IF(AND(업무일지!$B487&lt;&gt;"",업무일지!$AF487="진행중"),MAX(0,TODAY()-업무일지!$B487)*10000+518,"")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IF(AND(업무일지!$B488&lt;&gt;"",업무일지!$AF488="진행중"),MAX(0,TODAY()-업무일지!$B488)*10000+517,"")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IF(AND(업무일지!$B489&lt;&gt;"",업무일지!$AF489="진행중"),MAX(0,TODAY()-업무일지!$B489)*10000+516,"")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IF(AND(업무일지!$B490&lt;&gt;"",업무일지!$AF490="진행중"),MAX(0,TODAY()-업무일지!$B490)*10000+515,"")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IF(AND(업무일지!$B491&lt;&gt;"",업무일지!$AF491="진행중"),MAX(0,TODAY()-업무일지!$B491)*10000+514,"")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IF(AND(업무일지!$B492&lt;&gt;"",업무일지!$AF492="진행중"),MAX(0,TODAY()-업무일지!$B492)*10000+513,"")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IF(AND(업무일지!$B493&lt;&gt;"",업무일지!$AF493="진행중"),MAX(0,TODAY()-업무일지!$B493)*10000+512,"")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IF(AND(업무일지!$B494&lt;&gt;"",업무일지!$AF494="진행중"),MAX(0,TODAY()-업무일지!$B494)*10000+511,"")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IF(AND(업무일지!$B495&lt;&gt;"",업무일지!$AF495="진행중"),MAX(0,TODAY()-업무일지!$B495)*10000+510,"")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IF(AND(업무일지!$B496&lt;&gt;"",업무일지!$AF496="진행중"),MAX(0,TODAY()-업무일지!$B496)*10000+509,"")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IF(AND(업무일지!$B497&lt;&gt;"",업무일지!$AF497="진행중"),MAX(0,TODAY()-업무일지!$B497)*10000+508,"")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IF(AND(업무일지!$B498&lt;&gt;"",업무일지!$AF498="진행중"),MAX(0,TODAY()-업무일지!$B498)*10000+507,"")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IF(AND(업무일지!$B499&lt;&gt;"",업무일지!$AF499="진행중"),MAX(0,TODAY()-업무일지!$B499)*10000+506,"")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IF(AND(업무일지!$B500&lt;&gt;"",업무일지!$AF500="진행중"),MAX(0,TODAY()-업무일지!$B500)*10000+505,"")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IF(AND(업무일지!$B501&lt;&gt;"",업무일지!$AF501="진행중"),MAX(0,TODAY()-업무일지!$B501)*10000+504,"")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IF(AND(업무일지!$B502&lt;&gt;"",업무일지!$AF502="진행중"),MAX(0,TODAY()-업무일지!$B502)*10000+503,"")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IF(AND(업무일지!$B503&lt;&gt;"",업무일지!$AF503="진행중"),MAX(0,TODAY()-업무일지!$B503)*10000+502,"")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IF(AND(업무일지!$B504&lt;&gt;"",업무일지!$AF504="진행중"),MAX(0,TODAY()-업무일지!$B504)*10000+501,"")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IF(AND(업무일지!$B505&lt;&gt;"",업무일지!$AF505="진행중"),MAX(0,TODAY()-업무일지!$B505)*10000+500,"")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IF(AND(업무일지!$B506&lt;&gt;"",업무일지!$AF506="진행중"),MAX(0,TODAY()-업무일지!$B506)*10000+499,"")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IF(AND(업무일지!$B507&lt;&gt;"",업무일지!$AF507="진행중"),MAX(0,TODAY()-업무일지!$B507)*10000+498,"")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IF(AND(업무일지!$B508&lt;&gt;"",업무일지!$AF508="진행중"),MAX(0,TODAY()-업무일지!$B508)*10000+497,"")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IF(AND(업무일지!$B509&lt;&gt;"",업무일지!$AF509="진행중"),MAX(0,TODAY()-업무일지!$B509)*10000+496,"")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IF(AND(업무일지!$B510&lt;&gt;"",업무일지!$AF510="진행중"),MAX(0,TODAY()-업무일지!$B510)*10000+495,"")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IF(AND(업무일지!$B511&lt;&gt;"",업무일지!$AF511="진행중"),MAX(0,TODAY()-업무일지!$B511)*10000+494,"")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IF(AND(업무일지!$B512&lt;&gt;"",업무일지!$AF512="진행중"),MAX(0,TODAY()-업무일지!$B512)*10000+493,"")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IF(AND(업무일지!$B513&lt;&gt;"",업무일지!$AF513="진행중"),MAX(0,TODAY()-업무일지!$B513)*10000+492,"")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IF(AND(업무일지!$B514&lt;&gt;"",업무일지!$AF514="진행중"),MAX(0,TODAY()-업무일지!$B514)*10000+491,"")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IF(AND(업무일지!$B515&lt;&gt;"",업무일지!$AF515="진행중"),MAX(0,TODAY()-업무일지!$B515)*10000+490,"")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IF(AND(업무일지!$B516&lt;&gt;"",업무일지!$AF516="진행중"),MAX(0,TODAY()-업무일지!$B516)*10000+489,"")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IF(AND(업무일지!$B517&lt;&gt;"",업무일지!$AF517="진행중"),MAX(0,TODAY()-업무일지!$B517)*10000+488,"")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IF(AND(업무일지!$B518&lt;&gt;"",업무일지!$AF518="진행중"),MAX(0,TODAY()-업무일지!$B518)*10000+487,"")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IF(AND(업무일지!$B519&lt;&gt;"",업무일지!$AF519="진행중"),MAX(0,TODAY()-업무일지!$B519)*10000+486,"")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IF(AND(업무일지!$B520&lt;&gt;"",업무일지!$AF520="진행중"),MAX(0,TODAY()-업무일지!$B520)*10000+485,"")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IF(AND(업무일지!$B521&lt;&gt;"",업무일지!$AF521="진행중"),MAX(0,TODAY()-업무일지!$B521)*10000+484,"")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IF(AND(업무일지!$B522&lt;&gt;"",업무일지!$AF522="진행중"),MAX(0,TODAY()-업무일지!$B522)*10000+483,"")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IF(AND(업무일지!$B523&lt;&gt;"",업무일지!$AF523="진행중"),MAX(0,TODAY()-업무일지!$B523)*10000+482,"")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IF(AND(업무일지!$B524&lt;&gt;"",업무일지!$AF524="진행중"),MAX(0,TODAY()-업무일지!$B524)*10000+481,"")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IF(AND(업무일지!$B525&lt;&gt;"",업무일지!$AF525="진행중"),MAX(0,TODAY()-업무일지!$B525)*10000+480,"")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IF(AND(업무일지!$B526&lt;&gt;"",업무일지!$AF526="진행중"),MAX(0,TODAY()-업무일지!$B526)*10000+479,"")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IF(AND(업무일지!$B527&lt;&gt;"",업무일지!$AF527="진행중"),MAX(0,TODAY()-업무일지!$B527)*10000+478,"")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IF(AND(업무일지!$B528&lt;&gt;"",업무일지!$AF528="진행중"),MAX(0,TODAY()-업무일지!$B528)*10000+477,"")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IF(AND(업무일지!$B529&lt;&gt;"",업무일지!$AF529="진행중"),MAX(0,TODAY()-업무일지!$B529)*10000+476,"")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IF(AND(업무일지!$B530&lt;&gt;"",업무일지!$AF530="진행중"),MAX(0,TODAY()-업무일지!$B530)*10000+475,"")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IF(AND(업무일지!$B531&lt;&gt;"",업무일지!$AF531="진행중"),MAX(0,TODAY()-업무일지!$B531)*10000+474,"")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IF(AND(업무일지!$B532&lt;&gt;"",업무일지!$AF532="진행중"),MAX(0,TODAY()-업무일지!$B532)*10000+473,"")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IF(AND(업무일지!$B533&lt;&gt;"",업무일지!$AF533="진행중"),MAX(0,TODAY()-업무일지!$B533)*10000+472,"")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IF(AND(업무일지!$B534&lt;&gt;"",업무일지!$AF534="진행중"),MAX(0,TODAY()-업무일지!$B534)*10000+471,"")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IF(AND(업무일지!$B535&lt;&gt;"",업무일지!$AF535="진행중"),MAX(0,TODAY()-업무일지!$B535)*10000+470,"")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IF(AND(업무일지!$B536&lt;&gt;"",업무일지!$AF536="진행중"),MAX(0,TODAY()-업무일지!$B536)*10000+469,"")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IF(AND(업무일지!$B537&lt;&gt;"",업무일지!$AF537="진행중"),MAX(0,TODAY()-업무일지!$B537)*10000+468,"")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IF(AND(업무일지!$B538&lt;&gt;"",업무일지!$AF538="진행중"),MAX(0,TODAY()-업무일지!$B538)*10000+467,"")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IF(AND(업무일지!$B539&lt;&gt;"",업무일지!$AF539="진행중"),MAX(0,TODAY()-업무일지!$B539)*10000+466,"")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IF(AND(업무일지!$B540&lt;&gt;"",업무일지!$AF540="진행중"),MAX(0,TODAY()-업무일지!$B540)*10000+465,"")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IF(AND(업무일지!$B541&lt;&gt;"",업무일지!$AF541="진행중"),MAX(0,TODAY()-업무일지!$B541)*10000+464,"")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IF(AND(업무일지!$B542&lt;&gt;"",업무일지!$AF542="진행중"),MAX(0,TODAY()-업무일지!$B542)*10000+463,"")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IF(AND(업무일지!$B543&lt;&gt;"",업무일지!$AF543="진행중"),MAX(0,TODAY()-업무일지!$B543)*10000+462,"")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IF(AND(업무일지!$B544&lt;&gt;"",업무일지!$AF544="진행중"),MAX(0,TODAY()-업무일지!$B544)*10000+461,"")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IF(AND(업무일지!$B545&lt;&gt;"",업무일지!$AF545="진행중"),MAX(0,TODAY()-업무일지!$B545)*10000+460,"")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IF(AND(업무일지!$B546&lt;&gt;"",업무일지!$AF546="진행중"),MAX(0,TODAY()-업무일지!$B546)*10000+459,"")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IF(AND(업무일지!$B547&lt;&gt;"",업무일지!$AF547="진행중"),MAX(0,TODAY()-업무일지!$B547)*10000+458,"")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IF(AND(업무일지!$B548&lt;&gt;"",업무일지!$AF548="진행중"),MAX(0,TODAY()-업무일지!$B548)*10000+457,"")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IF(AND(업무일지!$B549&lt;&gt;"",업무일지!$AF549="진행중"),MAX(0,TODAY()-업무일지!$B549)*10000+456,"")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IF(AND(업무일지!$B550&lt;&gt;"",업무일지!$AF550="진행중"),MAX(0,TODAY()-업무일지!$B550)*10000+455,"")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IF(AND(업무일지!$B551&lt;&gt;"",업무일지!$AF551="진행중"),MAX(0,TODAY()-업무일지!$B551)*10000+454,"")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IF(AND(업무일지!$B552&lt;&gt;"",업무일지!$AF552="진행중"),MAX(0,TODAY()-업무일지!$B552)*10000+453,"")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IF(AND(업무일지!$B553&lt;&gt;"",업무일지!$AF553="진행중"),MAX(0,TODAY()-업무일지!$B553)*10000+452,"")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IF(AND(업무일지!$B554&lt;&gt;"",업무일지!$AF554="진행중"),MAX(0,TODAY()-업무일지!$B554)*10000+451,"")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IF(AND(업무일지!$B555&lt;&gt;"",업무일지!$AF555="진행중"),MAX(0,TODAY()-업무일지!$B555)*10000+450,"")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IF(AND(업무일지!$B556&lt;&gt;"",업무일지!$AF556="진행중"),MAX(0,TODAY()-업무일지!$B556)*10000+449,"")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IF(AND(업무일지!$B557&lt;&gt;"",업무일지!$AF557="진행중"),MAX(0,TODAY()-업무일지!$B557)*10000+448,"")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IF(AND(업무일지!$B558&lt;&gt;"",업무일지!$AF558="진행중"),MAX(0,TODAY()-업무일지!$B558)*10000+447,"")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IF(AND(업무일지!$B559&lt;&gt;"",업무일지!$AF559="진행중"),MAX(0,TODAY()-업무일지!$B559)*10000+446,"")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IF(AND(업무일지!$B560&lt;&gt;"",업무일지!$AF560="진행중"),MAX(0,TODAY()-업무일지!$B560)*10000+445,"")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IF(AND(업무일지!$B561&lt;&gt;"",업무일지!$AF561="진행중"),MAX(0,TODAY()-업무일지!$B561)*10000+444,"")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IF(AND(업무일지!$B562&lt;&gt;"",업무일지!$AF562="진행중"),MAX(0,TODAY()-업무일지!$B562)*10000+443,"")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IF(AND(업무일지!$B563&lt;&gt;"",업무일지!$AF563="진행중"),MAX(0,TODAY()-업무일지!$B563)*10000+442,"")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IF(AND(업무일지!$B564&lt;&gt;"",업무일지!$AF564="진행중"),MAX(0,TODAY()-업무일지!$B564)*10000+441,"")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IF(AND(업무일지!$B565&lt;&gt;"",업무일지!$AF565="진행중"),MAX(0,TODAY()-업무일지!$B565)*10000+440,"")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IF(AND(업무일지!$B566&lt;&gt;"",업무일지!$AF566="진행중"),MAX(0,TODAY()-업무일지!$B566)*10000+439,"")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IF(AND(업무일지!$B567&lt;&gt;"",업무일지!$AF567="진행중"),MAX(0,TODAY()-업무일지!$B567)*10000+438,"")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IF(AND(업무일지!$B568&lt;&gt;"",업무일지!$AF568="진행중"),MAX(0,TODAY()-업무일지!$B568)*10000+437,"")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IF(AND(업무일지!$B569&lt;&gt;"",업무일지!$AF569="진행중"),MAX(0,TODAY()-업무일지!$B569)*10000+436,"")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IF(AND(업무일지!$B570&lt;&gt;"",업무일지!$AF570="진행중"),MAX(0,TODAY()-업무일지!$B570)*10000+435,"")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IF(AND(업무일지!$B571&lt;&gt;"",업무일지!$AF571="진행중"),MAX(0,TODAY()-업무일지!$B571)*10000+434,"")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IF(AND(업무일지!$B572&lt;&gt;"",업무일지!$AF572="진행중"),MAX(0,TODAY()-업무일지!$B572)*10000+433,"")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IF(AND(업무일지!$B573&lt;&gt;"",업무일지!$AF573="진행중"),MAX(0,TODAY()-업무일지!$B573)*10000+432,"")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IF(AND(업무일지!$B574&lt;&gt;"",업무일지!$AF574="진행중"),MAX(0,TODAY()-업무일지!$B574)*10000+431,"")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IF(AND(업무일지!$B575&lt;&gt;"",업무일지!$AF575="진행중"),MAX(0,TODAY()-업무일지!$B575)*10000+430,"")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IF(AND(업무일지!$B576&lt;&gt;"",업무일지!$AF576="진행중"),MAX(0,TODAY()-업무일지!$B576)*10000+429,"")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IF(AND(업무일지!$B577&lt;&gt;"",업무일지!$AF577="진행중"),MAX(0,TODAY()-업무일지!$B577)*10000+428,"")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IF(AND(업무일지!$B578&lt;&gt;"",업무일지!$AF578="진행중"),MAX(0,TODAY()-업무일지!$B578)*10000+427,"")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IF(AND(업무일지!$B579&lt;&gt;"",업무일지!$AF579="진행중"),MAX(0,TODAY()-업무일지!$B579)*10000+426,"")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IF(AND(업무일지!$B580&lt;&gt;"",업무일지!$AF580="진행중"),MAX(0,TODAY()-업무일지!$B580)*10000+425,"")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IF(AND(업무일지!$B581&lt;&gt;"",업무일지!$AF581="진행중"),MAX(0,TODAY()-업무일지!$B581)*10000+424,"")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IF(AND(업무일지!$B582&lt;&gt;"",업무일지!$AF582="진행중"),MAX(0,TODAY()-업무일지!$B582)*10000+423,"")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IF(AND(업무일지!$B583&lt;&gt;"",업무일지!$AF583="진행중"),MAX(0,TODAY()-업무일지!$B583)*10000+422,"")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IF(AND(업무일지!$B584&lt;&gt;"",업무일지!$AF584="진행중"),MAX(0,TODAY()-업무일지!$B584)*10000+421,"")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IF(AND(업무일지!$B585&lt;&gt;"",업무일지!$AF585="진행중"),MAX(0,TODAY()-업무일지!$B585)*10000+420,"")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IF(AND(업무일지!$B586&lt;&gt;"",업무일지!$AF586="진행중"),MAX(0,TODAY()-업무일지!$B586)*10000+419,"")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IF(AND(업무일지!$B587&lt;&gt;"",업무일지!$AF587="진행중"),MAX(0,TODAY()-업무일지!$B587)*10000+418,"")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IF(AND(업무일지!$B588&lt;&gt;"",업무일지!$AF588="진행중"),MAX(0,TODAY()-업무일지!$B588)*10000+417,"")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IF(AND(업무일지!$B589&lt;&gt;"",업무일지!$AF589="진행중"),MAX(0,TODAY()-업무일지!$B589)*10000+416,"")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IF(AND(업무일지!$B590&lt;&gt;"",업무일지!$AF590="진행중"),MAX(0,TODAY()-업무일지!$B590)*10000+415,"")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IF(AND(업무일지!$B591&lt;&gt;"",업무일지!$AF591="진행중"),MAX(0,TODAY()-업무일지!$B591)*10000+414,"")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IF(AND(업무일지!$B592&lt;&gt;"",업무일지!$AF592="진행중"),MAX(0,TODAY()-업무일지!$B592)*10000+413,"")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IF(AND(업무일지!$B593&lt;&gt;"",업무일지!$AF593="진행중"),MAX(0,TODAY()-업무일지!$B593)*10000+412,"")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IF(AND(업무일지!$B594&lt;&gt;"",업무일지!$AF594="진행중"),MAX(0,TODAY()-업무일지!$B594)*10000+411,"")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IF(AND(업무일지!$B595&lt;&gt;"",업무일지!$AF595="진행중"),MAX(0,TODAY()-업무일지!$B595)*10000+410,"")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IF(AND(업무일지!$B596&lt;&gt;"",업무일지!$AF596="진행중"),MAX(0,TODAY()-업무일지!$B596)*10000+409,"")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IF(AND(업무일지!$B597&lt;&gt;"",업무일지!$AF597="진행중"),MAX(0,TODAY()-업무일지!$B597)*10000+408,"")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IF(AND(업무일지!$B598&lt;&gt;"",업무일지!$AF598="진행중"),MAX(0,TODAY()-업무일지!$B598)*10000+407,"")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IF(AND(업무일지!$B599&lt;&gt;"",업무일지!$AF599="진행중"),MAX(0,TODAY()-업무일지!$B599)*10000+406,"")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IF(AND(업무일지!$B600&lt;&gt;"",업무일지!$AF600="진행중"),MAX(0,TODAY()-업무일지!$B600)*10000+405,"")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IF(AND(업무일지!$B601&lt;&gt;"",업무일지!$AF601="진행중"),MAX(0,TODAY()-업무일지!$B601)*10000+404,"")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IF(AND(업무일지!$B602&lt;&gt;"",업무일지!$AF602="진행중"),MAX(0,TODAY()-업무일지!$B602)*10000+403,"")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IF(AND(업무일지!$B603&lt;&gt;"",업무일지!$AF603="진행중"),MAX(0,TODAY()-업무일지!$B603)*10000+402,"")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IF(AND(업무일지!$B604&lt;&gt;"",업무일지!$AF604="진행중"),MAX(0,TODAY()-업무일지!$B604)*10000+401,"")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IF(AND(업무일지!$B605&lt;&gt;"",업무일지!$AF605="진행중"),MAX(0,TODAY()-업무일지!$B605)*10000+400,"")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IF(AND(업무일지!$B606&lt;&gt;"",업무일지!$AF606="진행중"),MAX(0,TODAY()-업무일지!$B606)*10000+399,"")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IF(AND(업무일지!$B607&lt;&gt;"",업무일지!$AF607="진행중"),MAX(0,TODAY()-업무일지!$B607)*10000+398,"")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IF(AND(업무일지!$B608&lt;&gt;"",업무일지!$AF608="진행중"),MAX(0,TODAY()-업무일지!$B608)*10000+397,"")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IF(AND(업무일지!$B609&lt;&gt;"",업무일지!$AF609="진행중"),MAX(0,TODAY()-업무일지!$B609)*10000+396,"")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IF(AND(업무일지!$B610&lt;&gt;"",업무일지!$AF610="진행중"),MAX(0,TODAY()-업무일지!$B610)*10000+395,"")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IF(AND(업무일지!$B611&lt;&gt;"",업무일지!$AF611="진행중"),MAX(0,TODAY()-업무일지!$B611)*10000+394,"")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IF(AND(업무일지!$B612&lt;&gt;"",업무일지!$AF612="진행중"),MAX(0,TODAY()-업무일지!$B612)*10000+393,"")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IF(AND(업무일지!$B613&lt;&gt;"",업무일지!$AF613="진행중"),MAX(0,TODAY()-업무일지!$B613)*10000+392,"")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IF(AND(업무일지!$B614&lt;&gt;"",업무일지!$AF614="진행중"),MAX(0,TODAY()-업무일지!$B614)*10000+391,"")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IF(AND(업무일지!$B615&lt;&gt;"",업무일지!$AF615="진행중"),MAX(0,TODAY()-업무일지!$B615)*10000+390,"")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IF(AND(업무일지!$B616&lt;&gt;"",업무일지!$AF616="진행중"),MAX(0,TODAY()-업무일지!$B616)*10000+389,"")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IF(AND(업무일지!$B617&lt;&gt;"",업무일지!$AF617="진행중"),MAX(0,TODAY()-업무일지!$B617)*10000+388,"")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IF(AND(업무일지!$B618&lt;&gt;"",업무일지!$AF618="진행중"),MAX(0,TODAY()-업무일지!$B618)*10000+387,"")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IF(AND(업무일지!$B619&lt;&gt;"",업무일지!$AF619="진행중"),MAX(0,TODAY()-업무일지!$B619)*10000+386,"")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IF(AND(업무일지!$B620&lt;&gt;"",업무일지!$AF620="진행중"),MAX(0,TODAY()-업무일지!$B620)*10000+385,"")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IF(AND(업무일지!$B621&lt;&gt;"",업무일지!$AF621="진행중"),MAX(0,TODAY()-업무일지!$B621)*10000+384,"")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IF(AND(업무일지!$B622&lt;&gt;"",업무일지!$AF622="진행중"),MAX(0,TODAY()-업무일지!$B622)*10000+383,"")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IF(AND(업무일지!$B623&lt;&gt;"",업무일지!$AF623="진행중"),MAX(0,TODAY()-업무일지!$B623)*10000+382,"")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IF(AND(업무일지!$B624&lt;&gt;"",업무일지!$AF624="진행중"),MAX(0,TODAY()-업무일지!$B624)*10000+381,"")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IF(AND(업무일지!$B625&lt;&gt;"",업무일지!$AF625="진행중"),MAX(0,TODAY()-업무일지!$B625)*10000+380,"")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IF(AND(업무일지!$B626&lt;&gt;"",업무일지!$AF626="진행중"),MAX(0,TODAY()-업무일지!$B626)*10000+379,"")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IF(AND(업무일지!$B627&lt;&gt;"",업무일지!$AF627="진행중"),MAX(0,TODAY()-업무일지!$B627)*10000+378,"")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IF(AND(업무일지!$B628&lt;&gt;"",업무일지!$AF628="진행중"),MAX(0,TODAY()-업무일지!$B628)*10000+377,"")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IF(AND(업무일지!$B629&lt;&gt;"",업무일지!$AF629="진행중"),MAX(0,TODAY()-업무일지!$B629)*10000+376,"")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IF(AND(업무일지!$B630&lt;&gt;"",업무일지!$AF630="진행중"),MAX(0,TODAY()-업무일지!$B630)*10000+375,"")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IF(AND(업무일지!$B631&lt;&gt;"",업무일지!$AF631="진행중"),MAX(0,TODAY()-업무일지!$B631)*10000+374,"")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IF(AND(업무일지!$B632&lt;&gt;"",업무일지!$AF632="진행중"),MAX(0,TODAY()-업무일지!$B632)*10000+373,"")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IF(AND(업무일지!$B633&lt;&gt;"",업무일지!$AF633="진행중"),MAX(0,TODAY()-업무일지!$B633)*10000+372,"")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IF(AND(업무일지!$B634&lt;&gt;"",업무일지!$AF634="진행중"),MAX(0,TODAY()-업무일지!$B634)*10000+371,"")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IF(AND(업무일지!$B635&lt;&gt;"",업무일지!$AF635="진행중"),MAX(0,TODAY()-업무일지!$B635)*10000+370,"")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IF(AND(업무일지!$B636&lt;&gt;"",업무일지!$AF636="진행중"),MAX(0,TODAY()-업무일지!$B636)*10000+369,"")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IF(AND(업무일지!$B637&lt;&gt;"",업무일지!$AF637="진행중"),MAX(0,TODAY()-업무일지!$B637)*10000+368,"")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IF(AND(업무일지!$B638&lt;&gt;"",업무일지!$AF638="진행중"),MAX(0,TODAY()-업무일지!$B638)*10000+367,"")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IF(AND(업무일지!$B639&lt;&gt;"",업무일지!$AF639="진행중"),MAX(0,TODAY()-업무일지!$B639)*10000+366,"")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IF(AND(업무일지!$B640&lt;&gt;"",업무일지!$AF640="진행중"),MAX(0,TODAY()-업무일지!$B640)*10000+365,"")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IF(AND(업무일지!$B641&lt;&gt;"",업무일지!$AF641="진행중"),MAX(0,TODAY()-업무일지!$B641)*10000+364,"")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IF(AND(업무일지!$B642&lt;&gt;"",업무일지!$AF642="진행중"),MAX(0,TODAY()-업무일지!$B642)*10000+363,"")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IF(AND(업무일지!$B643&lt;&gt;"",업무일지!$AF643="진행중"),MAX(0,TODAY()-업무일지!$B643)*10000+362,"")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IF(AND(업무일지!$B644&lt;&gt;"",업무일지!$AF644="진행중"),MAX(0,TODAY()-업무일지!$B644)*10000+361,"")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IF(AND(업무일지!$B645&lt;&gt;"",업무일지!$AF645="진행중"),MAX(0,TODAY()-업무일지!$B645)*10000+360,"")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IF(AND(업무일지!$B646&lt;&gt;"",업무일지!$AF646="진행중"),MAX(0,TODAY()-업무일지!$B646)*10000+359,"")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IF(AND(업무일지!$B647&lt;&gt;"",업무일지!$AF647="진행중"),MAX(0,TODAY()-업무일지!$B647)*10000+358,"")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IF(AND(업무일지!$B648&lt;&gt;"",업무일지!$AF648="진행중"),MAX(0,TODAY()-업무일지!$B648)*10000+357,"")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IF(AND(업무일지!$B649&lt;&gt;"",업무일지!$AF649="진행중"),MAX(0,TODAY()-업무일지!$B649)*10000+356,"")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IF(AND(업무일지!$B650&lt;&gt;"",업무일지!$AF650="진행중"),MAX(0,TODAY()-업무일지!$B650)*10000+355,"")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IF(AND(업무일지!$B651&lt;&gt;"",업무일지!$AF651="진행중"),MAX(0,TODAY()-업무일지!$B651)*10000+354,"")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IF(AND(업무일지!$B652&lt;&gt;"",업무일지!$AF652="진행중"),MAX(0,TODAY()-업무일지!$B652)*10000+353,"")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IF(AND(업무일지!$B653&lt;&gt;"",업무일지!$AF653="진행중"),MAX(0,TODAY()-업무일지!$B653)*10000+352,"")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IF(AND(업무일지!$B654&lt;&gt;"",업무일지!$AF654="진행중"),MAX(0,TODAY()-업무일지!$B654)*10000+351,"")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IF(AND(업무일지!$B655&lt;&gt;"",업무일지!$AF655="진행중"),MAX(0,TODAY()-업무일지!$B655)*10000+350,"")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IF(AND(업무일지!$B656&lt;&gt;"",업무일지!$AF656="진행중"),MAX(0,TODAY()-업무일지!$B656)*10000+349,"")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IF(AND(업무일지!$B657&lt;&gt;"",업무일지!$AF657="진행중"),MAX(0,TODAY()-업무일지!$B657)*10000+348,"")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IF(AND(업무일지!$B658&lt;&gt;"",업무일지!$AF658="진행중"),MAX(0,TODAY()-업무일지!$B658)*10000+347,"")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IF(AND(업무일지!$B659&lt;&gt;"",업무일지!$AF659="진행중"),MAX(0,TODAY()-업무일지!$B659)*10000+346,"")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IF(AND(업무일지!$B660&lt;&gt;"",업무일지!$AF660="진행중"),MAX(0,TODAY()-업무일지!$B660)*10000+345,"")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IF(AND(업무일지!$B661&lt;&gt;"",업무일지!$AF661="진행중"),MAX(0,TODAY()-업무일지!$B661)*10000+344,"")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IF(AND(업무일지!$B662&lt;&gt;"",업무일지!$AF662="진행중"),MAX(0,TODAY()-업무일지!$B662)*10000+343,"")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IF(AND(업무일지!$B663&lt;&gt;"",업무일지!$AF663="진행중"),MAX(0,TODAY()-업무일지!$B663)*10000+342,"")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IF(AND(업무일지!$B664&lt;&gt;"",업무일지!$AF664="진행중"),MAX(0,TODAY()-업무일지!$B664)*10000+341,"")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IF(AND(업무일지!$B665&lt;&gt;"",업무일지!$AF665="진행중"),MAX(0,TODAY()-업무일지!$B665)*10000+340,"")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IF(AND(업무일지!$B666&lt;&gt;"",업무일지!$AF666="진행중"),MAX(0,TODAY()-업무일지!$B666)*10000+339,"")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IF(AND(업무일지!$B667&lt;&gt;"",업무일지!$AF667="진행중"),MAX(0,TODAY()-업무일지!$B667)*10000+338,"")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IF(AND(업무일지!$B668&lt;&gt;"",업무일지!$AF668="진행중"),MAX(0,TODAY()-업무일지!$B668)*10000+337,"")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IF(AND(업무일지!$B669&lt;&gt;"",업무일지!$AF669="진행중"),MAX(0,TODAY()-업무일지!$B669)*10000+336,"")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IF(AND(업무일지!$B670&lt;&gt;"",업무일지!$AF670="진행중"),MAX(0,TODAY()-업무일지!$B670)*10000+335,"")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IF(AND(업무일지!$B671&lt;&gt;"",업무일지!$AF671="진행중"),MAX(0,TODAY()-업무일지!$B671)*10000+334,"")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IF(AND(업무일지!$B672&lt;&gt;"",업무일지!$AF672="진행중"),MAX(0,TODAY()-업무일지!$B672)*10000+333,"")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IF(AND(업무일지!$B673&lt;&gt;"",업무일지!$AF673="진행중"),MAX(0,TODAY()-업무일지!$B673)*10000+332,"")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IF(AND(업무일지!$B674&lt;&gt;"",업무일지!$AF674="진행중"),MAX(0,TODAY()-업무일지!$B674)*10000+331,"")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IF(AND(업무일지!$B675&lt;&gt;"",업무일지!$AF675="진행중"),MAX(0,TODAY()-업무일지!$B675)*10000+330,"")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IF(AND(업무일지!$B676&lt;&gt;"",업무일지!$AF676="진행중"),MAX(0,TODAY()-업무일지!$B676)*10000+329,"")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IF(AND(업무일지!$B677&lt;&gt;"",업무일지!$AF677="진행중"),MAX(0,TODAY()-업무일지!$B677)*10000+328,"")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IF(AND(업무일지!$B678&lt;&gt;"",업무일지!$AF678="진행중"),MAX(0,TODAY()-업무일지!$B678)*10000+327,"")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IF(AND(업무일지!$B679&lt;&gt;"",업무일지!$AF679="진행중"),MAX(0,TODAY()-업무일지!$B679)*10000+326,"")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IF(AND(업무일지!$B680&lt;&gt;"",업무일지!$AF680="진행중"),MAX(0,TODAY()-업무일지!$B680)*10000+325,"")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IF(AND(업무일지!$B681&lt;&gt;"",업무일지!$AF681="진행중"),MAX(0,TODAY()-업무일지!$B681)*10000+324,"")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IF(AND(업무일지!$B682&lt;&gt;"",업무일지!$AF682="진행중"),MAX(0,TODAY()-업무일지!$B682)*10000+323,"")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IF(AND(업무일지!$B683&lt;&gt;"",업무일지!$AF683="진행중"),MAX(0,TODAY()-업무일지!$B683)*10000+322,"")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IF(AND(업무일지!$B684&lt;&gt;"",업무일지!$AF684="진행중"),MAX(0,TODAY()-업무일지!$B684)*10000+321,"")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IF(AND(업무일지!$B685&lt;&gt;"",업무일지!$AF685="진행중"),MAX(0,TODAY()-업무일지!$B685)*10000+320,"")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IF(AND(업무일지!$B686&lt;&gt;"",업무일지!$AF686="진행중"),MAX(0,TODAY()-업무일지!$B686)*10000+319,"")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IF(AND(업무일지!$B687&lt;&gt;"",업무일지!$AF687="진행중"),MAX(0,TODAY()-업무일지!$B687)*10000+318,"")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IF(AND(업무일지!$B688&lt;&gt;"",업무일지!$AF688="진행중"),MAX(0,TODAY()-업무일지!$B688)*10000+317,"")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IF(AND(업무일지!$B689&lt;&gt;"",업무일지!$AF689="진행중"),MAX(0,TODAY()-업무일지!$B689)*10000+316,"")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IF(AND(업무일지!$B690&lt;&gt;"",업무일지!$AF690="진행중"),MAX(0,TODAY()-업무일지!$B690)*10000+315,"")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IF(AND(업무일지!$B691&lt;&gt;"",업무일지!$AF691="진행중"),MAX(0,TODAY()-업무일지!$B691)*10000+314,"")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IF(AND(업무일지!$B692&lt;&gt;"",업무일지!$AF692="진행중"),MAX(0,TODAY()-업무일지!$B692)*10000+313,"")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IF(AND(업무일지!$B693&lt;&gt;"",업무일지!$AF693="진행중"),MAX(0,TODAY()-업무일지!$B693)*10000+312,"")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IF(AND(업무일지!$B694&lt;&gt;"",업무일지!$AF694="진행중"),MAX(0,TODAY()-업무일지!$B694)*10000+311,"")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IF(AND(업무일지!$B695&lt;&gt;"",업무일지!$AF695="진행중"),MAX(0,TODAY()-업무일지!$B695)*10000+310,"")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IF(AND(업무일지!$B696&lt;&gt;"",업무일지!$AF696="진행중"),MAX(0,TODAY()-업무일지!$B696)*10000+309,"")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IF(AND(업무일지!$B697&lt;&gt;"",업무일지!$AF697="진행중"),MAX(0,TODAY()-업무일지!$B697)*10000+308,"")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IF(AND(업무일지!$B698&lt;&gt;"",업무일지!$AF698="진행중"),MAX(0,TODAY()-업무일지!$B698)*10000+307,"")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IF(AND(업무일지!$B699&lt;&gt;"",업무일지!$AF699="진행중"),MAX(0,TODAY()-업무일지!$B699)*10000+306,"")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IF(AND(업무일지!$B700&lt;&gt;"",업무일지!$AF700="진행중"),MAX(0,TODAY()-업무일지!$B700)*10000+305,"")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IF(AND(업무일지!$B701&lt;&gt;"",업무일지!$AF701="진행중"),MAX(0,TODAY()-업무일지!$B701)*10000+304,"")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IF(AND(업무일지!$B702&lt;&gt;"",업무일지!$AF702="진행중"),MAX(0,TODAY()-업무일지!$B702)*10000+303,"")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IF(AND(업무일지!$B703&lt;&gt;"",업무일지!$AF703="진행중"),MAX(0,TODAY()-업무일지!$B703)*10000+302,"")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IF(AND(업무일지!$B704&lt;&gt;"",업무일지!$AF704="진행중"),MAX(0,TODAY()-업무일지!$B704)*10000+301,"")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IF(AND(업무일지!$B705&lt;&gt;"",업무일지!$AF705="진행중"),MAX(0,TODAY()-업무일지!$B705)*10000+300,"")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IF(AND(업무일지!$B706&lt;&gt;"",업무일지!$AF706="진행중"),MAX(0,TODAY()-업무일지!$B706)*10000+299,"")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IF(AND(업무일지!$B707&lt;&gt;"",업무일지!$AF707="진행중"),MAX(0,TODAY()-업무일지!$B707)*10000+298,"")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IF(AND(업무일지!$B708&lt;&gt;"",업무일지!$AF708="진행중"),MAX(0,TODAY()-업무일지!$B708)*10000+297,"")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IF(AND(업무일지!$B709&lt;&gt;"",업무일지!$AF709="진행중"),MAX(0,TODAY()-업무일지!$B709)*10000+296,"")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IF(AND(업무일지!$B710&lt;&gt;"",업무일지!$AF710="진행중"),MAX(0,TODAY()-업무일지!$B710)*10000+295,"")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IF(AND(업무일지!$B711&lt;&gt;"",업무일지!$AF711="진행중"),MAX(0,TODAY()-업무일지!$B711)*10000+294,"")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IF(AND(업무일지!$B712&lt;&gt;"",업무일지!$AF712="진행중"),MAX(0,TODAY()-업무일지!$B712)*10000+293,"")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IF(AND(업무일지!$B713&lt;&gt;"",업무일지!$AF713="진행중"),MAX(0,TODAY()-업무일지!$B713)*10000+292,"")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IF(AND(업무일지!$B714&lt;&gt;"",업무일지!$AF714="진행중"),MAX(0,TODAY()-업무일지!$B714)*10000+291,"")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IF(AND(업무일지!$B715&lt;&gt;"",업무일지!$AF715="진행중"),MAX(0,TODAY()-업무일지!$B715)*10000+290,"")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IF(AND(업무일지!$B716&lt;&gt;"",업무일지!$AF716="진행중"),MAX(0,TODAY()-업무일지!$B716)*10000+289,"")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IF(AND(업무일지!$B717&lt;&gt;"",업무일지!$AF717="진행중"),MAX(0,TODAY()-업무일지!$B717)*10000+288,"")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IF(AND(업무일지!$B718&lt;&gt;"",업무일지!$AF718="진행중"),MAX(0,TODAY()-업무일지!$B718)*10000+287,"")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IF(AND(업무일지!$B719&lt;&gt;"",업무일지!$AF719="진행중"),MAX(0,TODAY()-업무일지!$B719)*10000+286,"")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IF(AND(업무일지!$B720&lt;&gt;"",업무일지!$AF720="진행중"),MAX(0,TODAY()-업무일지!$B720)*10000+285,"")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IF(AND(업무일지!$B721&lt;&gt;"",업무일지!$AF721="진행중"),MAX(0,TODAY()-업무일지!$B721)*10000+284,"")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IF(AND(업무일지!$B722&lt;&gt;"",업무일지!$AF722="진행중"),MAX(0,TODAY()-업무일지!$B722)*10000+283,"")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IF(AND(업무일지!$B723&lt;&gt;"",업무일지!$AF723="진행중"),MAX(0,TODAY()-업무일지!$B723)*10000+282,"")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IF(AND(업무일지!$B724&lt;&gt;"",업무일지!$AF724="진행중"),MAX(0,TODAY()-업무일지!$B724)*10000+281,"")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IF(AND(업무일지!$B725&lt;&gt;"",업무일지!$AF725="진행중"),MAX(0,TODAY()-업무일지!$B725)*10000+280,"")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IF(AND(업무일지!$B726&lt;&gt;"",업무일지!$AF726="진행중"),MAX(0,TODAY()-업무일지!$B726)*10000+279,"")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IF(AND(업무일지!$B727&lt;&gt;"",업무일지!$AF727="진행중"),MAX(0,TODAY()-업무일지!$B727)*10000+278,"")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IF(AND(업무일지!$B728&lt;&gt;"",업무일지!$AF728="진행중"),MAX(0,TODAY()-업무일지!$B728)*10000+277,"")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IF(AND(업무일지!$B729&lt;&gt;"",업무일지!$AF729="진행중"),MAX(0,TODAY()-업무일지!$B729)*10000+276,"")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IF(AND(업무일지!$B730&lt;&gt;"",업무일지!$AF730="진행중"),MAX(0,TODAY()-업무일지!$B730)*10000+275,"")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IF(AND(업무일지!$B731&lt;&gt;"",업무일지!$AF731="진행중"),MAX(0,TODAY()-업무일지!$B731)*10000+274,"")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IF(AND(업무일지!$B732&lt;&gt;"",업무일지!$AF732="진행중"),MAX(0,TODAY()-업무일지!$B732)*10000+273,"")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IF(AND(업무일지!$B733&lt;&gt;"",업무일지!$AF733="진행중"),MAX(0,TODAY()-업무일지!$B733)*10000+272,"")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IF(AND(업무일지!$B734&lt;&gt;"",업무일지!$AF734="진행중"),MAX(0,TODAY()-업무일지!$B734)*10000+271,"")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IF(AND(업무일지!$B735&lt;&gt;"",업무일지!$AF735="진행중"),MAX(0,TODAY()-업무일지!$B735)*10000+270,"")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IF(AND(업무일지!$B736&lt;&gt;"",업무일지!$AF736="진행중"),MAX(0,TODAY()-업무일지!$B736)*10000+269,"")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IF(AND(업무일지!$B737&lt;&gt;"",업무일지!$AF737="진행중"),MAX(0,TODAY()-업무일지!$B737)*10000+268,"")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IF(AND(업무일지!$B738&lt;&gt;"",업무일지!$AF738="진행중"),MAX(0,TODAY()-업무일지!$B738)*10000+267,"")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IF(AND(업무일지!$B739&lt;&gt;"",업무일지!$AF739="진행중"),MAX(0,TODAY()-업무일지!$B739)*10000+266,"")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IF(AND(업무일지!$B740&lt;&gt;"",업무일지!$AF740="진행중"),MAX(0,TODAY()-업무일지!$B740)*10000+265,"")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IF(AND(업무일지!$B741&lt;&gt;"",업무일지!$AF741="진행중"),MAX(0,TODAY()-업무일지!$B741)*10000+264,"")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IF(AND(업무일지!$B742&lt;&gt;"",업무일지!$AF742="진행중"),MAX(0,TODAY()-업무일지!$B742)*10000+263,"")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IF(AND(업무일지!$B743&lt;&gt;"",업무일지!$AF743="진행중"),MAX(0,TODAY()-업무일지!$B743)*10000+262,"")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IF(AND(업무일지!$B744&lt;&gt;"",업무일지!$AF744="진행중"),MAX(0,TODAY()-업무일지!$B744)*10000+261,"")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IF(AND(업무일지!$B745&lt;&gt;"",업무일지!$AF745="진행중"),MAX(0,TODAY()-업무일지!$B745)*10000+260,"")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IF(AND(업무일지!$B746&lt;&gt;"",업무일지!$AF746="진행중"),MAX(0,TODAY()-업무일지!$B746)*10000+259,"")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IF(AND(업무일지!$B747&lt;&gt;"",업무일지!$AF747="진행중"),MAX(0,TODAY()-업무일지!$B747)*10000+258,"")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IF(AND(업무일지!$B748&lt;&gt;"",업무일지!$AF748="진행중"),MAX(0,TODAY()-업무일지!$B748)*10000+257,"")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IF(AND(업무일지!$B749&lt;&gt;"",업무일지!$AF749="진행중"),MAX(0,TODAY()-업무일지!$B749)*10000+256,"")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IF(AND(업무일지!$B750&lt;&gt;"",업무일지!$AF750="진행중"),MAX(0,TODAY()-업무일지!$B750)*10000+255,"")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IF(AND(업무일지!$B751&lt;&gt;"",업무일지!$AF751="진행중"),MAX(0,TODAY()-업무일지!$B751)*10000+254,"")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IF(AND(업무일지!$B752&lt;&gt;"",업무일지!$AF752="진행중"),MAX(0,TODAY()-업무일지!$B752)*10000+253,"")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IF(AND(업무일지!$B753&lt;&gt;"",업무일지!$AF753="진행중"),MAX(0,TODAY()-업무일지!$B753)*10000+252,"")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IF(AND(업무일지!$B754&lt;&gt;"",업무일지!$AF754="진행중"),MAX(0,TODAY()-업무일지!$B754)*10000+251,"")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IF(AND(업무일지!$B755&lt;&gt;"",업무일지!$AF755="진행중"),MAX(0,TODAY()-업무일지!$B755)*10000+250,"")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IF(AND(업무일지!$B756&lt;&gt;"",업무일지!$AF756="진행중"),MAX(0,TODAY()-업무일지!$B756)*10000+249,"")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IF(AND(업무일지!$B757&lt;&gt;"",업무일지!$AF757="진행중"),MAX(0,TODAY()-업무일지!$B757)*10000+248,"")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IF(AND(업무일지!$B758&lt;&gt;"",업무일지!$AF758="진행중"),MAX(0,TODAY()-업무일지!$B758)*10000+247,"")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IF(AND(업무일지!$B759&lt;&gt;"",업무일지!$AF759="진행중"),MAX(0,TODAY()-업무일지!$B759)*10000+246,"")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IF(AND(업무일지!$B760&lt;&gt;"",업무일지!$AF760="진행중"),MAX(0,TODAY()-업무일지!$B760)*10000+245,"")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IF(AND(업무일지!$B761&lt;&gt;"",업무일지!$AF761="진행중"),MAX(0,TODAY()-업무일지!$B761)*10000+244,"")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IF(AND(업무일지!$B762&lt;&gt;"",업무일지!$AF762="진행중"),MAX(0,TODAY()-업무일지!$B762)*10000+243,"")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IF(AND(업무일지!$B763&lt;&gt;"",업무일지!$AF763="진행중"),MAX(0,TODAY()-업무일지!$B763)*10000+242,"")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IF(AND(업무일지!$B764&lt;&gt;"",업무일지!$AF764="진행중"),MAX(0,TODAY()-업무일지!$B764)*10000+241,"")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IF(AND(업무일지!$B765&lt;&gt;"",업무일지!$AF765="진행중"),MAX(0,TODAY()-업무일지!$B765)*10000+240,"")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IF(AND(업무일지!$B766&lt;&gt;"",업무일지!$AF766="진행중"),MAX(0,TODAY()-업무일지!$B766)*10000+239,"")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IF(AND(업무일지!$B767&lt;&gt;"",업무일지!$AF767="진행중"),MAX(0,TODAY()-업무일지!$B767)*10000+238,"")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IF(AND(업무일지!$B768&lt;&gt;"",업무일지!$AF768="진행중"),MAX(0,TODAY()-업무일지!$B768)*10000+237,"")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IF(AND(업무일지!$B769&lt;&gt;"",업무일지!$AF769="진행중"),MAX(0,TODAY()-업무일지!$B769)*10000+236,"")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IF(AND(업무일지!$B770&lt;&gt;"",업무일지!$AF770="진행중"),MAX(0,TODAY()-업무일지!$B770)*10000+235,"")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IF(AND(업무일지!$B771&lt;&gt;"",업무일지!$AF771="진행중"),MAX(0,TODAY()-업무일지!$B771)*10000+234,"")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IF(AND(업무일지!$B772&lt;&gt;"",업무일지!$AF772="진행중"),MAX(0,TODAY()-업무일지!$B772)*10000+233,"")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IF(AND(업무일지!$B773&lt;&gt;"",업무일지!$AF773="진행중"),MAX(0,TODAY()-업무일지!$B773)*10000+232,"")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IF(AND(업무일지!$B774&lt;&gt;"",업무일지!$AF774="진행중"),MAX(0,TODAY()-업무일지!$B774)*10000+231,"")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IF(AND(업무일지!$B775&lt;&gt;"",업무일지!$AF775="진행중"),MAX(0,TODAY()-업무일지!$B775)*10000+230,"")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IF(AND(업무일지!$B776&lt;&gt;"",업무일지!$AF776="진행중"),MAX(0,TODAY()-업무일지!$B776)*10000+229,"")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IF(AND(업무일지!$B777&lt;&gt;"",업무일지!$AF777="진행중"),MAX(0,TODAY()-업무일지!$B777)*10000+228,"")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IF(AND(업무일지!$B778&lt;&gt;"",업무일지!$AF778="진행중"),MAX(0,TODAY()-업무일지!$B778)*10000+227,"")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IF(AND(업무일지!$B779&lt;&gt;"",업무일지!$AF779="진행중"),MAX(0,TODAY()-업무일지!$B779)*10000+226,"")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IF(AND(업무일지!$B780&lt;&gt;"",업무일지!$AF780="진행중"),MAX(0,TODAY()-업무일지!$B780)*10000+225,"")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IF(AND(업무일지!$B781&lt;&gt;"",업무일지!$AF781="진행중"),MAX(0,TODAY()-업무일지!$B781)*10000+224,"")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IF(AND(업무일지!$B782&lt;&gt;"",업무일지!$AF782="진행중"),MAX(0,TODAY()-업무일지!$B782)*10000+223,"")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IF(AND(업무일지!$B783&lt;&gt;"",업무일지!$AF783="진행중"),MAX(0,TODAY()-업무일지!$B783)*10000+222,"")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IF(AND(업무일지!$B784&lt;&gt;"",업무일지!$AF784="진행중"),MAX(0,TODAY()-업무일지!$B784)*10000+221,"")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IF(AND(업무일지!$B785&lt;&gt;"",업무일지!$AF785="진행중"),MAX(0,TODAY()-업무일지!$B785)*10000+220,"")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IF(AND(업무일지!$B786&lt;&gt;"",업무일지!$AF786="진행중"),MAX(0,TODAY()-업무일지!$B786)*10000+219,"")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IF(AND(업무일지!$B787&lt;&gt;"",업무일지!$AF787="진행중"),MAX(0,TODAY()-업무일지!$B787)*10000+218,"")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IF(AND(업무일지!$B788&lt;&gt;"",업무일지!$AF788="진행중"),MAX(0,TODAY()-업무일지!$B788)*10000+217,"")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IF(AND(업무일지!$B789&lt;&gt;"",업무일지!$AF789="진행중"),MAX(0,TODAY()-업무일지!$B789)*10000+216,"")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IF(AND(업무일지!$B790&lt;&gt;"",업무일지!$AF790="진행중"),MAX(0,TODAY()-업무일지!$B790)*10000+215,"")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IF(AND(업무일지!$B791&lt;&gt;"",업무일지!$AF791="진행중"),MAX(0,TODAY()-업무일지!$B791)*10000+214,"")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IF(AND(업무일지!$B792&lt;&gt;"",업무일지!$AF792="진행중"),MAX(0,TODAY()-업무일지!$B792)*10000+213,"")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IF(AND(업무일지!$B793&lt;&gt;"",업무일지!$AF793="진행중"),MAX(0,TODAY()-업무일지!$B793)*10000+212,"")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IF(AND(업무일지!$B794&lt;&gt;"",업무일지!$AF794="진행중"),MAX(0,TODAY()-업무일지!$B794)*10000+211,"")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IF(AND(업무일지!$B795&lt;&gt;"",업무일지!$AF795="진행중"),MAX(0,TODAY()-업무일지!$B795)*10000+210,"")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IF(AND(업무일지!$B796&lt;&gt;"",업무일지!$AF796="진행중"),MAX(0,TODAY()-업무일지!$B796)*10000+209,"")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IF(AND(업무일지!$B797&lt;&gt;"",업무일지!$AF797="진행중"),MAX(0,TODAY()-업무일지!$B797)*10000+208,"")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IF(AND(업무일지!$B798&lt;&gt;"",업무일지!$AF798="진행중"),MAX(0,TODAY()-업무일지!$B798)*10000+207,"")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IF(AND(업무일지!$B799&lt;&gt;"",업무일지!$AF799="진행중"),MAX(0,TODAY()-업무일지!$B799)*10000+206,"")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IF(AND(업무일지!$B800&lt;&gt;"",업무일지!$AF800="진행중"),MAX(0,TODAY()-업무일지!$B800)*10000+205,"")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IF(AND(업무일지!$B801&lt;&gt;"",업무일지!$AF801="진행중"),MAX(0,TODAY()-업무일지!$B801)*10000+204,"")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IF(AND(업무일지!$B802&lt;&gt;"",업무일지!$AF802="진행중"),MAX(0,TODAY()-업무일지!$B802)*10000+203,"")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IF(AND(업무일지!$B803&lt;&gt;"",업무일지!$AF803="진행중"),MAX(0,TODAY()-업무일지!$B803)*10000+202,"")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IF(AND(업무일지!$B804&lt;&gt;"",업무일지!$AF804="진행중"),MAX(0,TODAY()-업무일지!$B804)*10000+201,"")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IF(AND(업무일지!$B805&lt;&gt;"",업무일지!$AF805="진행중"),MAX(0,TODAY()-업무일지!$B805)*10000+200,"")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IF(AND(업무일지!$B806&lt;&gt;"",업무일지!$AF806="진행중"),MAX(0,TODAY()-업무일지!$B806)*10000+199,"")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IF(AND(업무일지!$B807&lt;&gt;"",업무일지!$AF807="진행중"),MAX(0,TODAY()-업무일지!$B807)*10000+198,"")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IF(AND(업무일지!$B808&lt;&gt;"",업무일지!$AF808="진행중"),MAX(0,TODAY()-업무일지!$B808)*10000+197,"")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IF(AND(업무일지!$B809&lt;&gt;"",업무일지!$AF809="진행중"),MAX(0,TODAY()-업무일지!$B809)*10000+196,"")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IF(AND(업무일지!$B810&lt;&gt;"",업무일지!$AF810="진행중"),MAX(0,TODAY()-업무일지!$B810)*10000+195,"")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IF(AND(업무일지!$B811&lt;&gt;"",업무일지!$AF811="진행중"),MAX(0,TODAY()-업무일지!$B811)*10000+194,"")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IF(AND(업무일지!$B812&lt;&gt;"",업무일지!$AF812="진행중"),MAX(0,TODAY()-업무일지!$B812)*10000+193,"")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IF(AND(업무일지!$B813&lt;&gt;"",업무일지!$AF813="진행중"),MAX(0,TODAY()-업무일지!$B813)*10000+192,"")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IF(AND(업무일지!$B814&lt;&gt;"",업무일지!$AF814="진행중"),MAX(0,TODAY()-업무일지!$B814)*10000+191,"")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IF(AND(업무일지!$B815&lt;&gt;"",업무일지!$AF815="진행중"),MAX(0,TODAY()-업무일지!$B815)*10000+190,"")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IF(AND(업무일지!$B816&lt;&gt;"",업무일지!$AF816="진행중"),MAX(0,TODAY()-업무일지!$B816)*10000+189,"")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IF(AND(업무일지!$B817&lt;&gt;"",업무일지!$AF817="진행중"),MAX(0,TODAY()-업무일지!$B817)*10000+188,"")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IF(AND(업무일지!$B818&lt;&gt;"",업무일지!$AF818="진행중"),MAX(0,TODAY()-업무일지!$B818)*10000+187,"")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IF(AND(업무일지!$B819&lt;&gt;"",업무일지!$AF819="진행중"),MAX(0,TODAY()-업무일지!$B819)*10000+186,"")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IF(AND(업무일지!$B820&lt;&gt;"",업무일지!$AF820="진행중"),MAX(0,TODAY()-업무일지!$B820)*10000+185,"")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IF(AND(업무일지!$B821&lt;&gt;"",업무일지!$AF821="진행중"),MAX(0,TODAY()-업무일지!$B821)*10000+184,"")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IF(AND(업무일지!$B822&lt;&gt;"",업무일지!$AF822="진행중"),MAX(0,TODAY()-업무일지!$B822)*10000+183,"")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IF(AND(업무일지!$B823&lt;&gt;"",업무일지!$AF823="진행중"),MAX(0,TODAY()-업무일지!$B823)*10000+182,"")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IF(AND(업무일지!$B824&lt;&gt;"",업무일지!$AF824="진행중"),MAX(0,TODAY()-업무일지!$B824)*10000+181,"")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IF(AND(업무일지!$B825&lt;&gt;"",업무일지!$AF825="진행중"),MAX(0,TODAY()-업무일지!$B825)*10000+180,"")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IF(AND(업무일지!$B826&lt;&gt;"",업무일지!$AF826="진행중"),MAX(0,TODAY()-업무일지!$B826)*10000+179,"")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IF(AND(업무일지!$B827&lt;&gt;"",업무일지!$AF827="진행중"),MAX(0,TODAY()-업무일지!$B827)*10000+178,"")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IF(AND(업무일지!$B828&lt;&gt;"",업무일지!$AF828="진행중"),MAX(0,TODAY()-업무일지!$B828)*10000+177,"")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IF(AND(업무일지!$B829&lt;&gt;"",업무일지!$AF829="진행중"),MAX(0,TODAY()-업무일지!$B829)*10000+176,"")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IF(AND(업무일지!$B830&lt;&gt;"",업무일지!$AF830="진행중"),MAX(0,TODAY()-업무일지!$B830)*10000+175,"")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IF(AND(업무일지!$B831&lt;&gt;"",업무일지!$AF831="진행중"),MAX(0,TODAY()-업무일지!$B831)*10000+174,"")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IF(AND(업무일지!$B832&lt;&gt;"",업무일지!$AF832="진행중"),MAX(0,TODAY()-업무일지!$B832)*10000+173,"")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IF(AND(업무일지!$B833&lt;&gt;"",업무일지!$AF833="진행중"),MAX(0,TODAY()-업무일지!$B833)*10000+172,"")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IF(AND(업무일지!$B834&lt;&gt;"",업무일지!$AF834="진행중"),MAX(0,TODAY()-업무일지!$B834)*10000+171,"")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IF(AND(업무일지!$B835&lt;&gt;"",업무일지!$AF835="진행중"),MAX(0,TODAY()-업무일지!$B835)*10000+170,"")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IF(AND(업무일지!$B836&lt;&gt;"",업무일지!$AF836="진행중"),MAX(0,TODAY()-업무일지!$B836)*10000+169,"")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IF(AND(업무일지!$B837&lt;&gt;"",업무일지!$AF837="진행중"),MAX(0,TODAY()-업무일지!$B837)*10000+168,"")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IF(AND(업무일지!$B838&lt;&gt;"",업무일지!$AF838="진행중"),MAX(0,TODAY()-업무일지!$B838)*10000+167,"")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IF(AND(업무일지!$B839&lt;&gt;"",업무일지!$AF839="진행중"),MAX(0,TODAY()-업무일지!$B839)*10000+166,"")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IF(AND(업무일지!$B840&lt;&gt;"",업무일지!$AF840="진행중"),MAX(0,TODAY()-업무일지!$B840)*10000+165,"")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IF(AND(업무일지!$B841&lt;&gt;"",업무일지!$AF841="진행중"),MAX(0,TODAY()-업무일지!$B841)*10000+164,"")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IF(AND(업무일지!$B842&lt;&gt;"",업무일지!$AF842="진행중"),MAX(0,TODAY()-업무일지!$B842)*10000+163,"")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IF(AND(업무일지!$B843&lt;&gt;"",업무일지!$AF843="진행중"),MAX(0,TODAY()-업무일지!$B843)*10000+162,"")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IF(AND(업무일지!$B844&lt;&gt;"",업무일지!$AF844="진행중"),MAX(0,TODAY()-업무일지!$B844)*10000+161,"")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IF(AND(업무일지!$B845&lt;&gt;"",업무일지!$AF845="진행중"),MAX(0,TODAY()-업무일지!$B845)*10000+160,"")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IF(AND(업무일지!$B846&lt;&gt;"",업무일지!$AF846="진행중"),MAX(0,TODAY()-업무일지!$B846)*10000+159,"")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IF(AND(업무일지!$B847&lt;&gt;"",업무일지!$AF847="진행중"),MAX(0,TODAY()-업무일지!$B847)*10000+158,"")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IF(AND(업무일지!$B848&lt;&gt;"",업무일지!$AF848="진행중"),MAX(0,TODAY()-업무일지!$B848)*10000+157,"")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IF(AND(업무일지!$B849&lt;&gt;"",업무일지!$AF849="진행중"),MAX(0,TODAY()-업무일지!$B849)*10000+156,"")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IF(AND(업무일지!$B850&lt;&gt;"",업무일지!$AF850="진행중"),MAX(0,TODAY()-업무일지!$B850)*10000+155,"")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IF(AND(업무일지!$B851&lt;&gt;"",업무일지!$AF851="진행중"),MAX(0,TODAY()-업무일지!$B851)*10000+154,"")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IF(AND(업무일지!$B852&lt;&gt;"",업무일지!$AF852="진행중"),MAX(0,TODAY()-업무일지!$B852)*10000+153,"")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IF(AND(업무일지!$B853&lt;&gt;"",업무일지!$AF853="진행중"),MAX(0,TODAY()-업무일지!$B853)*10000+152,"")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IF(AND(업무일지!$B854&lt;&gt;"",업무일지!$AF854="진행중"),MAX(0,TODAY()-업무일지!$B854)*10000+151,"")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IF(AND(업무일지!$B855&lt;&gt;"",업무일지!$AF855="진행중"),MAX(0,TODAY()-업무일지!$B855)*10000+150,"")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IF(AND(업무일지!$B856&lt;&gt;"",업무일지!$AF856="진행중"),MAX(0,TODAY()-업무일지!$B856)*10000+149,"")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IF(AND(업무일지!$B857&lt;&gt;"",업무일지!$AF857="진행중"),MAX(0,TODAY()-업무일지!$B857)*10000+148,"")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IF(AND(업무일지!$B858&lt;&gt;"",업무일지!$AF858="진행중"),MAX(0,TODAY()-업무일지!$B858)*10000+147,"")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IF(AND(업무일지!$B859&lt;&gt;"",업무일지!$AF859="진행중"),MAX(0,TODAY()-업무일지!$B859)*10000+146,"")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IF(AND(업무일지!$B860&lt;&gt;"",업무일지!$AF860="진행중"),MAX(0,TODAY()-업무일지!$B860)*10000+145,"")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IF(AND(업무일지!$B861&lt;&gt;"",업무일지!$AF861="진행중"),MAX(0,TODAY()-업무일지!$B861)*10000+144,"")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IF(AND(업무일지!$B862&lt;&gt;"",업무일지!$AF862="진행중"),MAX(0,TODAY()-업무일지!$B862)*10000+143,"")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IF(AND(업무일지!$B863&lt;&gt;"",업무일지!$AF863="진행중"),MAX(0,TODAY()-업무일지!$B863)*10000+142,"")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IF(AND(업무일지!$B864&lt;&gt;"",업무일지!$AF864="진행중"),MAX(0,TODAY()-업무일지!$B864)*10000+141,"")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IF(AND(업무일지!$B865&lt;&gt;"",업무일지!$AF865="진행중"),MAX(0,TODAY()-업무일지!$B865)*10000+140,"")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IF(AND(업무일지!$B866&lt;&gt;"",업무일지!$AF866="진행중"),MAX(0,TODAY()-업무일지!$B866)*10000+139,"")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IF(AND(업무일지!$B867&lt;&gt;"",업무일지!$AF867="진행중"),MAX(0,TODAY()-업무일지!$B867)*10000+138,"")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IF(AND(업무일지!$B868&lt;&gt;"",업무일지!$AF868="진행중"),MAX(0,TODAY()-업무일지!$B868)*10000+137,"")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IF(AND(업무일지!$B869&lt;&gt;"",업무일지!$AF869="진행중"),MAX(0,TODAY()-업무일지!$B869)*10000+136,"")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IF(AND(업무일지!$B870&lt;&gt;"",업무일지!$AF870="진행중"),MAX(0,TODAY()-업무일지!$B870)*10000+135,"")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IF(AND(업무일지!$B871&lt;&gt;"",업무일지!$AF871="진행중"),MAX(0,TODAY()-업무일지!$B871)*10000+134,"")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IF(AND(업무일지!$B872&lt;&gt;"",업무일지!$AF872="진행중"),MAX(0,TODAY()-업무일지!$B872)*10000+133,"")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IF(AND(업무일지!$B873&lt;&gt;"",업무일지!$AF873="진행중"),MAX(0,TODAY()-업무일지!$B873)*10000+132,"")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IF(AND(업무일지!$B874&lt;&gt;"",업무일지!$AF874="진행중"),MAX(0,TODAY()-업무일지!$B874)*10000+131,"")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IF(AND(업무일지!$B875&lt;&gt;"",업무일지!$AF875="진행중"),MAX(0,TODAY()-업무일지!$B875)*10000+130,"")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IF(AND(업무일지!$B876&lt;&gt;"",업무일지!$AF876="진행중"),MAX(0,TODAY()-업무일지!$B876)*10000+129,"")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IF(AND(업무일지!$B877&lt;&gt;"",업무일지!$AF877="진행중"),MAX(0,TODAY()-업무일지!$B877)*10000+128,"")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IF(AND(업무일지!$B878&lt;&gt;"",업무일지!$AF878="진행중"),MAX(0,TODAY()-업무일지!$B878)*10000+127,"")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IF(AND(업무일지!$B879&lt;&gt;"",업무일지!$AF879="진행중"),MAX(0,TODAY()-업무일지!$B879)*10000+126,"")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IF(AND(업무일지!$B880&lt;&gt;"",업무일지!$AF880="진행중"),MAX(0,TODAY()-업무일지!$B880)*10000+125,"")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IF(AND(업무일지!$B881&lt;&gt;"",업무일지!$AF881="진행중"),MAX(0,TODAY()-업무일지!$B881)*10000+124,"")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IF(AND(업무일지!$B882&lt;&gt;"",업무일지!$AF882="진행중"),MAX(0,TODAY()-업무일지!$B882)*10000+123,"")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IF(AND(업무일지!$B883&lt;&gt;"",업무일지!$AF883="진행중"),MAX(0,TODAY()-업무일지!$B883)*10000+122,"")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IF(AND(업무일지!$B884&lt;&gt;"",업무일지!$AF884="진행중"),MAX(0,TODAY()-업무일지!$B884)*10000+121,"")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IF(AND(업무일지!$B885&lt;&gt;"",업무일지!$AF885="진행중"),MAX(0,TODAY()-업무일지!$B885)*10000+120,"")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IF(AND(업무일지!$B886&lt;&gt;"",업무일지!$AF886="진행중"),MAX(0,TODAY()-업무일지!$B886)*10000+119,"")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IF(AND(업무일지!$B887&lt;&gt;"",업무일지!$AF887="진행중"),MAX(0,TODAY()-업무일지!$B887)*10000+118,"")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IF(AND(업무일지!$B888&lt;&gt;"",업무일지!$AF888="진행중"),MAX(0,TODAY()-업무일지!$B888)*10000+117,"")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IF(AND(업무일지!$B889&lt;&gt;"",업무일지!$AF889="진행중"),MAX(0,TODAY()-업무일지!$B889)*10000+116,"")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IF(AND(업무일지!$B890&lt;&gt;"",업무일지!$AF890="진행중"),MAX(0,TODAY()-업무일지!$B890)*10000+115,"")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IF(AND(업무일지!$B891&lt;&gt;"",업무일지!$AF891="진행중"),MAX(0,TODAY()-업무일지!$B891)*10000+114,"")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IF(AND(업무일지!$B892&lt;&gt;"",업무일지!$AF892="진행중"),MAX(0,TODAY()-업무일지!$B892)*10000+113,"")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IF(AND(업무일지!$B893&lt;&gt;"",업무일지!$AF893="진행중"),MAX(0,TODAY()-업무일지!$B893)*10000+112,"")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IF(AND(업무일지!$B894&lt;&gt;"",업무일지!$AF894="진행중"),MAX(0,TODAY()-업무일지!$B894)*10000+111,"")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IF(AND(업무일지!$B895&lt;&gt;"",업무일지!$AF895="진행중"),MAX(0,TODAY()-업무일지!$B895)*10000+110,"")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IF(AND(업무일지!$B896&lt;&gt;"",업무일지!$AF896="진행중"),MAX(0,TODAY()-업무일지!$B896)*10000+109,"")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IF(AND(업무일지!$B897&lt;&gt;"",업무일지!$AF897="진행중"),MAX(0,TODAY()-업무일지!$B897)*10000+108,"")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IF(AND(업무일지!$B898&lt;&gt;"",업무일지!$AF898="진행중"),MAX(0,TODAY()-업무일지!$B898)*10000+107,"")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IF(AND(업무일지!$B899&lt;&gt;"",업무일지!$AF899="진행중"),MAX(0,TODAY()-업무일지!$B899)*10000+106,"")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IF(AND(업무일지!$B900&lt;&gt;"",업무일지!$AF900="진행중"),MAX(0,TODAY()-업무일지!$B900)*10000+105,"")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IF(AND(업무일지!$B901&lt;&gt;"",업무일지!$AF901="진행중"),MAX(0,TODAY()-업무일지!$B901)*10000+104,"")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IF(AND(업무일지!$B902&lt;&gt;"",업무일지!$AF902="진행중"),MAX(0,TODAY()-업무일지!$B902)*10000+103,"")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IF(AND(업무일지!$B903&lt;&gt;"",업무일지!$AF903="진행중"),MAX(0,TODAY()-업무일지!$B903)*10000+102,"")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IF(AND(업무일지!$B904&lt;&gt;"",업무일지!$AF904="진행중"),MAX(0,TODAY()-업무일지!$B904)*10000+101,"")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IF(AND(업무일지!$B905&lt;&gt;"",업무일지!$AF905="진행중"),MAX(0,TODAY()-업무일지!$B905)*10000+100,"")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IF(AND(업무일지!$B906&lt;&gt;"",업무일지!$AF906="진행중"),MAX(0,TODAY()-업무일지!$B906)*10000+99,"")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IF(AND(업무일지!$B907&lt;&gt;"",업무일지!$AF907="진행중"),MAX(0,TODAY()-업무일지!$B907)*10000+98,"")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IF(AND(업무일지!$B908&lt;&gt;"",업무일지!$AF908="진행중"),MAX(0,TODAY()-업무일지!$B908)*10000+97,"")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IF(AND(업무일지!$B909&lt;&gt;"",업무일지!$AF909="진행중"),MAX(0,TODAY()-업무일지!$B909)*10000+96,"")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IF(AND(업무일지!$B910&lt;&gt;"",업무일지!$AF910="진행중"),MAX(0,TODAY()-업무일지!$B910)*10000+95,"")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IF(AND(업무일지!$B911&lt;&gt;"",업무일지!$AF911="진행중"),MAX(0,TODAY()-업무일지!$B911)*10000+94,"")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IF(AND(업무일지!$B912&lt;&gt;"",업무일지!$AF912="진행중"),MAX(0,TODAY()-업무일지!$B912)*10000+93,"")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IF(AND(업무일지!$B913&lt;&gt;"",업무일지!$AF913="진행중"),MAX(0,TODAY()-업무일지!$B913)*10000+92,"")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IF(AND(업무일지!$B914&lt;&gt;"",업무일지!$AF914="진행중"),MAX(0,TODAY()-업무일지!$B914)*10000+91,"")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IF(AND(업무일지!$B915&lt;&gt;"",업무일지!$AF915="진행중"),MAX(0,TODAY()-업무일지!$B915)*10000+90,"")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IF(AND(업무일지!$B916&lt;&gt;"",업무일지!$AF916="진행중"),MAX(0,TODAY()-업무일지!$B916)*10000+89,"")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IF(AND(업무일지!$B917&lt;&gt;"",업무일지!$AF917="진행중"),MAX(0,TODAY()-업무일지!$B917)*10000+88,"")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IF(AND(업무일지!$B918&lt;&gt;"",업무일지!$AF918="진행중"),MAX(0,TODAY()-업무일지!$B918)*10000+87,"")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IF(AND(업무일지!$B919&lt;&gt;"",업무일지!$AF919="진행중"),MAX(0,TODAY()-업무일지!$B919)*10000+86,"")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IF(AND(업무일지!$B920&lt;&gt;"",업무일지!$AF920="진행중"),MAX(0,TODAY()-업무일지!$B920)*10000+85,"")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IF(AND(업무일지!$B921&lt;&gt;"",업무일지!$AF921="진행중"),MAX(0,TODAY()-업무일지!$B921)*10000+84,"")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IF(AND(업무일지!$B922&lt;&gt;"",업무일지!$AF922="진행중"),MAX(0,TODAY()-업무일지!$B922)*10000+83,"")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IF(AND(업무일지!$B923&lt;&gt;"",업무일지!$AF923="진행중"),MAX(0,TODAY()-업무일지!$B923)*10000+82,"")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IF(AND(업무일지!$B924&lt;&gt;"",업무일지!$AF924="진행중"),MAX(0,TODAY()-업무일지!$B924)*10000+81,"")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IF(AND(업무일지!$B925&lt;&gt;"",업무일지!$AF925="진행중"),MAX(0,TODAY()-업무일지!$B925)*10000+80,"")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IF(AND(업무일지!$B926&lt;&gt;"",업무일지!$AF926="진행중"),MAX(0,TODAY()-업무일지!$B926)*10000+79,"")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IF(AND(업무일지!$B927&lt;&gt;"",업무일지!$AF927="진행중"),MAX(0,TODAY()-업무일지!$B927)*10000+78,"")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IF(AND(업무일지!$B928&lt;&gt;"",업무일지!$AF928="진행중"),MAX(0,TODAY()-업무일지!$B928)*10000+77,"")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IF(AND(업무일지!$B929&lt;&gt;"",업무일지!$AF929="진행중"),MAX(0,TODAY()-업무일지!$B929)*10000+76,"")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IF(AND(업무일지!$B930&lt;&gt;"",업무일지!$AF930="진행중"),MAX(0,TODAY()-업무일지!$B930)*10000+75,"")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IF(AND(업무일지!$B931&lt;&gt;"",업무일지!$AF931="진행중"),MAX(0,TODAY()-업무일지!$B931)*10000+74,"")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IF(AND(업무일지!$B932&lt;&gt;"",업무일지!$AF932="진행중"),MAX(0,TODAY()-업무일지!$B932)*10000+73,"")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IF(AND(업무일지!$B933&lt;&gt;"",업무일지!$AF933="진행중"),MAX(0,TODAY()-업무일지!$B933)*10000+72,"")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IF(AND(업무일지!$B934&lt;&gt;"",업무일지!$AF934="진행중"),MAX(0,TODAY()-업무일지!$B934)*10000+71,"")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IF(AND(업무일지!$B935&lt;&gt;"",업무일지!$AF935="진행중"),MAX(0,TODAY()-업무일지!$B935)*10000+70,"")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IF(AND(업무일지!$B936&lt;&gt;"",업무일지!$AF936="진행중"),MAX(0,TODAY()-업무일지!$B936)*10000+69,"")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IF(AND(업무일지!$B937&lt;&gt;"",업무일지!$AF937="진행중"),MAX(0,TODAY()-업무일지!$B937)*10000+68,"")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IF(AND(업무일지!$B938&lt;&gt;"",업무일지!$AF938="진행중"),MAX(0,TODAY()-업무일지!$B938)*10000+67,"")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IF(AND(업무일지!$B939&lt;&gt;"",업무일지!$AF939="진행중"),MAX(0,TODAY()-업무일지!$B939)*10000+66,"")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IF(AND(업무일지!$B940&lt;&gt;"",업무일지!$AF940="진행중"),MAX(0,TODAY()-업무일지!$B940)*10000+65,"")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IF(AND(업무일지!$B941&lt;&gt;"",업무일지!$AF941="진행중"),MAX(0,TODAY()-업무일지!$B941)*10000+64,"")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IF(AND(업무일지!$B942&lt;&gt;"",업무일지!$AF942="진행중"),MAX(0,TODAY()-업무일지!$B942)*10000+63,"")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IF(AND(업무일지!$B943&lt;&gt;"",업무일지!$AF943="진행중"),MAX(0,TODAY()-업무일지!$B943)*10000+62,"")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IF(AND(업무일지!$B944&lt;&gt;"",업무일지!$AF944="진행중"),MAX(0,TODAY()-업무일지!$B944)*10000+61,"")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IF(AND(업무일지!$B945&lt;&gt;"",업무일지!$AF945="진행중"),MAX(0,TODAY()-업무일지!$B945)*10000+60,"")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IF(AND(업무일지!$B946&lt;&gt;"",업무일지!$AF946="진행중"),MAX(0,TODAY()-업무일지!$B946)*10000+59,"")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IF(AND(업무일지!$B947&lt;&gt;"",업무일지!$AF947="진행중"),MAX(0,TODAY()-업무일지!$B947)*10000+58,"")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IF(AND(업무일지!$B948&lt;&gt;"",업무일지!$AF948="진행중"),MAX(0,TODAY()-업무일지!$B948)*10000+57,"")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IF(AND(업무일지!$B949&lt;&gt;"",업무일지!$AF949="진행중"),MAX(0,TODAY()-업무일지!$B949)*10000+56,"")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IF(AND(업무일지!$B950&lt;&gt;"",업무일지!$AF950="진행중"),MAX(0,TODAY()-업무일지!$B950)*10000+55,"")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IF(AND(업무일지!$B951&lt;&gt;"",업무일지!$AF951="진행중"),MAX(0,TODAY()-업무일지!$B951)*10000+54,"")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IF(AND(업무일지!$B952&lt;&gt;"",업무일지!$AF952="진행중"),MAX(0,TODAY()-업무일지!$B952)*10000+53,"")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IF(AND(업무일지!$B953&lt;&gt;"",업무일지!$AF953="진행중"),MAX(0,TODAY()-업무일지!$B953)*10000+52,"")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IF(AND(업무일지!$B954&lt;&gt;"",업무일지!$AF954="진행중"),MAX(0,TODAY()-업무일지!$B954)*10000+51,"")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IF(AND(업무일지!$B955&lt;&gt;"",업무일지!$AF955="진행중"),MAX(0,TODAY()-업무일지!$B955)*10000+50,"")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IF(AND(업무일지!$B956&lt;&gt;"",업무일지!$AF956="진행중"),MAX(0,TODAY()-업무일지!$B956)*10000+49,"")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IF(AND(업무일지!$B957&lt;&gt;"",업무일지!$AF957="진행중"),MAX(0,TODAY()-업무일지!$B957)*10000+48,"")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IF(AND(업무일지!$B958&lt;&gt;"",업무일지!$AF958="진행중"),MAX(0,TODAY()-업무일지!$B958)*10000+47,"")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IF(AND(업무일지!$B959&lt;&gt;"",업무일지!$AF959="진행중"),MAX(0,TODAY()-업무일지!$B959)*10000+46,"")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IF(AND(업무일지!$B960&lt;&gt;"",업무일지!$AF960="진행중"),MAX(0,TODAY()-업무일지!$B960)*10000+45,"")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IF(AND(업무일지!$B961&lt;&gt;"",업무일지!$AF961="진행중"),MAX(0,TODAY()-업무일지!$B961)*10000+44,"")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IF(AND(업무일지!$B962&lt;&gt;"",업무일지!$AF962="진행중"),MAX(0,TODAY()-업무일지!$B962)*10000+43,"")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IF(AND(업무일지!$B963&lt;&gt;"",업무일지!$AF963="진행중"),MAX(0,TODAY()-업무일지!$B963)*10000+42,"")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IF(AND(업무일지!$B964&lt;&gt;"",업무일지!$AF964="진행중"),MAX(0,TODAY()-업무일지!$B964)*10000+41,"")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IF(AND(업무일지!$B965&lt;&gt;"",업무일지!$AF965="진행중"),MAX(0,TODAY()-업무일지!$B965)*10000+40,"")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IF(AND(업무일지!$B966&lt;&gt;"",업무일지!$AF966="진행중"),MAX(0,TODAY()-업무일지!$B966)*10000+39,"")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IF(AND(업무일지!$B967&lt;&gt;"",업무일지!$AF967="진행중"),MAX(0,TODAY()-업무일지!$B967)*10000+38,"")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IF(AND(업무일지!$B968&lt;&gt;"",업무일지!$AF968="진행중"),MAX(0,TODAY()-업무일지!$B968)*10000+37,"")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IF(AND(업무일지!$B969&lt;&gt;"",업무일지!$AF969="진행중"),MAX(0,TODAY()-업무일지!$B969)*10000+36,"")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IF(AND(업무일지!$B970&lt;&gt;"",업무일지!$AF970="진행중"),MAX(0,TODAY()-업무일지!$B970)*10000+35,"")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IF(AND(업무일지!$B971&lt;&gt;"",업무일지!$AF971="진행중"),MAX(0,TODAY()-업무일지!$B971)*10000+34,"")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IF(AND(업무일지!$B972&lt;&gt;"",업무일지!$AF972="진행중"),MAX(0,TODAY()-업무일지!$B972)*10000+33,"")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IF(AND(업무일지!$B973&lt;&gt;"",업무일지!$AF973="진행중"),MAX(0,TODAY()-업무일지!$B973)*10000+32,"")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IF(AND(업무일지!$B974&lt;&gt;"",업무일지!$AF974="진행중"),MAX(0,TODAY()-업무일지!$B974)*10000+31,"")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IF(AND(업무일지!$B975&lt;&gt;"",업무일지!$AF975="진행중"),MAX(0,TODAY()-업무일지!$B975)*10000+30,"")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IF(AND(업무일지!$B976&lt;&gt;"",업무일지!$AF976="진행중"),MAX(0,TODAY()-업무일지!$B976)*10000+29,"")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IF(AND(업무일지!$B977&lt;&gt;"",업무일지!$AF977="진행중"),MAX(0,TODAY()-업무일지!$B977)*10000+28,"")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IF(AND(업무일지!$B978&lt;&gt;"",업무일지!$AF978="진행중"),MAX(0,TODAY()-업무일지!$B978)*10000+27,"")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IF(AND(업무일지!$B979&lt;&gt;"",업무일지!$AF979="진행중"),MAX(0,TODAY()-업무일지!$B979)*10000+26,"")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IF(AND(업무일지!$B980&lt;&gt;"",업무일지!$AF980="진행중"),MAX(0,TODAY()-업무일지!$B980)*10000+25,"")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IF(AND(업무일지!$B981&lt;&gt;"",업무일지!$AF981="진행중"),MAX(0,TODAY()-업무일지!$B981)*10000+24,"")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IF(AND(업무일지!$B982&lt;&gt;"",업무일지!$AF982="진행중"),MAX(0,TODAY()-업무일지!$B982)*10000+23,"")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IF(AND(업무일지!$B983&lt;&gt;"",업무일지!$AF983="진행중"),MAX(0,TODAY()-업무일지!$B983)*10000+22,"")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IF(AND(업무일지!$B984&lt;&gt;"",업무일지!$AF984="진행중"),MAX(0,TODAY()-업무일지!$B984)*10000+21,"")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IF(AND(업무일지!$B985&lt;&gt;"",업무일지!$AF985="진행중"),MAX(0,TODAY()-업무일지!$B985)*10000+20,"")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IF(AND(업무일지!$B986&lt;&gt;"",업무일지!$AF986="진행중"),MAX(0,TODAY()-업무일지!$B986)*10000+19,"")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IF(AND(업무일지!$B987&lt;&gt;"",업무일지!$AF987="진행중"),MAX(0,TODAY()-업무일지!$B987)*10000+18,"")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IF(AND(업무일지!$B988&lt;&gt;"",업무일지!$AF988="진행중"),MAX(0,TODAY()-업무일지!$B988)*10000+17,"")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IF(AND(업무일지!$B989&lt;&gt;"",업무일지!$AF989="진행중"),MAX(0,TODAY()-업무일지!$B989)*10000+16,"")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IF(AND(업무일지!$B990&lt;&gt;"",업무일지!$AF990="진행중"),MAX(0,TODAY()-업무일지!$B990)*10000+15,"")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IF(AND(업무일지!$B991&lt;&gt;"",업무일지!$AF991="진행중"),MAX(0,TODAY()-업무일지!$B991)*10000+14,"")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IF(AND(업무일지!$B992&lt;&gt;"",업무일지!$AF992="진행중"),MAX(0,TODAY()-업무일지!$B992)*10000+13,"")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IF(AND(업무일지!$B993&lt;&gt;"",업무일지!$AF993="진행중"),MAX(0,TODAY()-업무일지!$B993)*10000+12,"")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IF(AND(업무일지!$B994&lt;&gt;"",업무일지!$AF994="진행중"),MAX(0,TODAY()-업무일지!$B994)*10000+11,"")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IF(AND(업무일지!$B995&lt;&gt;"",업무일지!$AF995="진행중"),MAX(0,TODAY()-업무일지!$B995)*10000+10,"")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IF(AND(업무일지!$B996&lt;&gt;"",업무일지!$AF996="진행중"),MAX(0,TODAY()-업무일지!$B996)*10000+9,"")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IF(AND(업무일지!$B997&lt;&gt;"",업무일지!$AF997="진행중"),MAX(0,TODAY()-업무일지!$B997)*10000+8,"")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IF(AND(업무일지!$B998&lt;&gt;"",업무일지!$AF998="진행중"),MAX(0,TODAY()-업무일지!$B998)*10000+7,"")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IF(AND(업무일지!$B999&lt;&gt;"",업무일지!$AF999="진행중"),MAX(0,TODAY()-업무일지!$B999)*10000+6,"")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IF(AND(업무일지!$B1000&lt;&gt;"",업무일지!$AF1000="진행중"),MAX(0,TODAY()-업무일지!$B1000)*10000+5,"")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IF(AND(업무일지!$B1001&lt;&gt;"",업무일지!$AF1001="진행중"),MAX(0,TODAY()-업무일지!$B1001)*10000+4,"")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IF(AND(업무일지!$B1002&lt;&gt;"",업무일지!$AF1002="진행중"),MAX(0,TODAY()-업무일지!$B1002)*10000+3,"")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IF(AND(업무일지!$B1003&lt;&gt;"",업무일지!$AF1003="진행중"),MAX(0,TODAY()-업무일지!$B1003)*10000+2,"")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IF(AND(업무일지!$B1004&lt;&gt;"",업무일지!$AF1004="진행중"),MAX(0,TODAY()-업무일지!$B1004)*10000+1,"")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I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순번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IF($BG11="","",INDEX(업무일지!$AE$5:$AE$1004,$BG11))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IF($BG11="","",INDEX(업무일지!$Z$5:$Z$1004,$BG11))</f>
        <v/>
      </c>
      <c r="H11" s="47">
        <f>IF($BG11="","",INDEX(업무일지!$AB$5:$AB$1004,$BG11))</f>
        <v/>
      </c>
      <c r="I11" s="24">
        <f>IF($BG11="","",INDEX(업무일지!$AC$5:$AC$1004,$BG11))</f>
        <v/>
      </c>
      <c r="J11" s="25">
        <f>IF($BG11="","",INDEX(업무일지!$AD$5:$AD$1004,$BG11))</f>
        <v/>
      </c>
      <c r="K11" s="52">
        <f>IF($BG11="","",INDEX(업무일지!$AF$5:$AF$1004,$BG11))</f>
        <v/>
      </c>
      <c r="L11" s="47">
        <f>IF($BG11="","",INDEX(업무일지!$AG$5:$AG$1004,$BG11))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IF($BG12="","",INDEX(업무일지!$AE$5:$AE$1004,$BG12))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IF($BG12="","",INDEX(업무일지!$Z$5:$Z$1004,$BG12))</f>
        <v/>
      </c>
      <c r="H12" s="47">
        <f>IF($BG12="","",INDEX(업무일지!$AB$5:$AB$1004,$BG12))</f>
        <v/>
      </c>
      <c r="I12" s="24">
        <f>IF($BG12="","",INDEX(업무일지!$AC$5:$AC$1004,$BG12))</f>
        <v/>
      </c>
      <c r="J12" s="25">
        <f>IF($BG12="","",INDEX(업무일지!$AD$5:$AD$1004,$BG12))</f>
        <v/>
      </c>
      <c r="K12" s="52">
        <f>IF($BG12="","",INDEX(업무일지!$AF$5:$AF$1004,$BG12))</f>
        <v/>
      </c>
      <c r="L12" s="47">
        <f>IF($BG12="","",INDEX(업무일지!$AG$5:$AG$1004,$BG12))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IF($BG13="","",INDEX(업무일지!$AE$5:$AE$1004,$BG13))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IF($BG13="","",INDEX(업무일지!$Z$5:$Z$1004,$BG13))</f>
        <v/>
      </c>
      <c r="H13" s="47">
        <f>IF($BG13="","",INDEX(업무일지!$AB$5:$AB$1004,$BG13))</f>
        <v/>
      </c>
      <c r="I13" s="24">
        <f>IF($BG13="","",INDEX(업무일지!$AC$5:$AC$1004,$BG13))</f>
        <v/>
      </c>
      <c r="J13" s="25">
        <f>IF($BG13="","",INDEX(업무일지!$AD$5:$AD$1004,$BG13))</f>
        <v/>
      </c>
      <c r="K13" s="52">
        <f>IF($BG13="","",INDEX(업무일지!$AF$5:$AF$1004,$BG13))</f>
        <v/>
      </c>
      <c r="L13" s="47">
        <f>IF($BG13="","",INDEX(업무일지!$AG$5:$AG$1004,$BG13))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IF($BG14="","",INDEX(업무일지!$AE$5:$AE$1004,$BG14))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IF($BG14="","",INDEX(업무일지!$Z$5:$Z$1004,$BG14))</f>
        <v/>
      </c>
      <c r="H14" s="47">
        <f>IF($BG14="","",INDEX(업무일지!$AB$5:$AB$1004,$BG14))</f>
        <v/>
      </c>
      <c r="I14" s="24">
        <f>IF($BG14="","",INDEX(업무일지!$AC$5:$AC$1004,$BG14))</f>
        <v/>
      </c>
      <c r="J14" s="25">
        <f>IF($BG14="","",INDEX(업무일지!$AD$5:$AD$1004,$BG14))</f>
        <v/>
      </c>
      <c r="K14" s="52">
        <f>IF($BG14="","",INDEX(업무일지!$AF$5:$AF$1004,$BG14))</f>
        <v/>
      </c>
      <c r="L14" s="47">
        <f>IF($BG14="","",INDEX(업무일지!$AG$5:$AG$1004,$BG14))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IF($BG15="","",INDEX(업무일지!$AE$5:$AE$1004,$BG15))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IF($BG15="","",INDEX(업무일지!$Z$5:$Z$1004,$BG15))</f>
        <v/>
      </c>
      <c r="H15" s="47">
        <f>IF($BG15="","",INDEX(업무일지!$AB$5:$AB$1004,$BG15))</f>
        <v/>
      </c>
      <c r="I15" s="24">
        <f>IF($BG15="","",INDEX(업무일지!$AC$5:$AC$1004,$BG15))</f>
        <v/>
      </c>
      <c r="J15" s="25">
        <f>IF($BG15="","",INDEX(업무일지!$AD$5:$AD$1004,$BG15))</f>
        <v/>
      </c>
      <c r="K15" s="52">
        <f>IF($BG15="","",INDEX(업무일지!$AF$5:$AF$1004,$BG15))</f>
        <v/>
      </c>
      <c r="L15" s="47">
        <f>IF($BG15="","",INDEX(업무일지!$AG$5:$AG$1004,$BG15))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IF($BG16="","",INDEX(업무일지!$AE$5:$AE$1004,$BG16))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IF($BG16="","",INDEX(업무일지!$Z$5:$Z$1004,$BG16))</f>
        <v/>
      </c>
      <c r="H16" s="47">
        <f>IF($BG16="","",INDEX(업무일지!$AB$5:$AB$1004,$BG16))</f>
        <v/>
      </c>
      <c r="I16" s="24">
        <f>IF($BG16="","",INDEX(업무일지!$AC$5:$AC$1004,$BG16))</f>
        <v/>
      </c>
      <c r="J16" s="25">
        <f>IF($BG16="","",INDEX(업무일지!$AD$5:$AD$1004,$BG16))</f>
        <v/>
      </c>
      <c r="K16" s="52">
        <f>IF($BG16="","",INDEX(업무일지!$AF$5:$AF$1004,$BG16))</f>
        <v/>
      </c>
      <c r="L16" s="47">
        <f>IF($BG16="","",INDEX(업무일지!$AG$5:$AG$1004,$BG16))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IF($BG17="","",INDEX(업무일지!$AE$5:$AE$1004,$BG17))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IF($BG17="","",INDEX(업무일지!$Z$5:$Z$1004,$BG17))</f>
        <v/>
      </c>
      <c r="H17" s="47">
        <f>IF($BG17="","",INDEX(업무일지!$AB$5:$AB$1004,$BG17))</f>
        <v/>
      </c>
      <c r="I17" s="24">
        <f>IF($BG17="","",INDEX(업무일지!$AC$5:$AC$1004,$BG17))</f>
        <v/>
      </c>
      <c r="J17" s="25">
        <f>IF($BG17="","",INDEX(업무일지!$AD$5:$AD$1004,$BG17))</f>
        <v/>
      </c>
      <c r="K17" s="52">
        <f>IF($BG17="","",INDEX(업무일지!$AF$5:$AF$1004,$BG17))</f>
        <v/>
      </c>
      <c r="L17" s="47">
        <f>IF($BG17="","",INDEX(업무일지!$AG$5:$AG$1004,$BG17))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IF($BG18="","",INDEX(업무일지!$AE$5:$AE$1004,$BG18))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IF($BG18="","",INDEX(업무일지!$Z$5:$Z$1004,$BG18))</f>
        <v/>
      </c>
      <c r="H18" s="47">
        <f>IF($BG18="","",INDEX(업무일지!$AB$5:$AB$1004,$BG18))</f>
        <v/>
      </c>
      <c r="I18" s="24">
        <f>IF($BG18="","",INDEX(업무일지!$AC$5:$AC$1004,$BG18))</f>
        <v/>
      </c>
      <c r="J18" s="25">
        <f>IF($BG18="","",INDEX(업무일지!$AD$5:$AD$1004,$BG18))</f>
        <v/>
      </c>
      <c r="K18" s="52">
        <f>IF($BG18="","",INDEX(업무일지!$AF$5:$AF$1004,$BG18))</f>
        <v/>
      </c>
      <c r="L18" s="47">
        <f>IF($BG18="","",INDEX(업무일지!$AG$5:$AG$1004,$BG18))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IF($BG19="","",INDEX(업무일지!$AE$5:$AE$1004,$BG19))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IF($BG19="","",INDEX(업무일지!$Z$5:$Z$1004,$BG19))</f>
        <v/>
      </c>
      <c r="H19" s="47">
        <f>IF($BG19="","",INDEX(업무일지!$AB$5:$AB$1004,$BG19))</f>
        <v/>
      </c>
      <c r="I19" s="24">
        <f>IF($BG19="","",INDEX(업무일지!$AC$5:$AC$1004,$BG19))</f>
        <v/>
      </c>
      <c r="J19" s="25">
        <f>IF($BG19="","",INDEX(업무일지!$AD$5:$AD$1004,$BG19))</f>
        <v/>
      </c>
      <c r="K19" s="52">
        <f>IF($BG19="","",INDEX(업무일지!$AF$5:$AF$1004,$BG19))</f>
        <v/>
      </c>
      <c r="L19" s="47">
        <f>IF($BG19="","",INDEX(업무일지!$AG$5:$AG$1004,$BG19))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IF($BG20="","",INDEX(업무일지!$AE$5:$AE$1004,$BG20))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IF($BG20="","",INDEX(업무일지!$Z$5:$Z$1004,$BG20))</f>
        <v/>
      </c>
      <c r="H20" s="47">
        <f>IF($BG20="","",INDEX(업무일지!$AB$5:$AB$1004,$BG20))</f>
        <v/>
      </c>
      <c r="I20" s="24">
        <f>IF($BG20="","",INDEX(업무일지!$AC$5:$AC$1004,$BG20))</f>
        <v/>
      </c>
      <c r="J20" s="25">
        <f>IF($BG20="","",INDEX(업무일지!$AD$5:$AD$1004,$BG20))</f>
        <v/>
      </c>
      <c r="K20" s="52">
        <f>IF($BG20="","",INDEX(업무일지!$AF$5:$AF$1004,$BG20))</f>
        <v/>
      </c>
      <c r="L20" s="47">
        <f>IF($BG20="","",INDEX(업무일지!$AG$5:$AG$1004,$BG20))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IF($BG21="","",INDEX(업무일지!$AE$5:$AE$1004,$BG21))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IF($BG21="","",INDEX(업무일지!$Z$5:$Z$1004,$BG21))</f>
        <v/>
      </c>
      <c r="H21" s="47">
        <f>IF($BG21="","",INDEX(업무일지!$AB$5:$AB$1004,$BG21))</f>
        <v/>
      </c>
      <c r="I21" s="24">
        <f>IF($BG21="","",INDEX(업무일지!$AC$5:$AC$1004,$BG21))</f>
        <v/>
      </c>
      <c r="J21" s="25">
        <f>IF($BG21="","",INDEX(업무일지!$AD$5:$AD$1004,$BG21))</f>
        <v/>
      </c>
      <c r="K21" s="52">
        <f>IF($BG21="","",INDEX(업무일지!$AF$5:$AF$1004,$BG21))</f>
        <v/>
      </c>
      <c r="L21" s="47">
        <f>IF($BG21="","",INDEX(업무일지!$AG$5:$AG$1004,$BG21))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IF($BG22="","",INDEX(업무일지!$AE$5:$AE$1004,$BG22))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IF($BG22="","",INDEX(업무일지!$Z$5:$Z$1004,$BG22))</f>
        <v/>
      </c>
      <c r="H22" s="47">
        <f>IF($BG22="","",INDEX(업무일지!$AB$5:$AB$1004,$BG22))</f>
        <v/>
      </c>
      <c r="I22" s="24">
        <f>IF($BG22="","",INDEX(업무일지!$AC$5:$AC$1004,$BG22))</f>
        <v/>
      </c>
      <c r="J22" s="25">
        <f>IF($BG22="","",INDEX(업무일지!$AD$5:$AD$1004,$BG22))</f>
        <v/>
      </c>
      <c r="K22" s="52">
        <f>IF($BG22="","",INDEX(업무일지!$AF$5:$AF$1004,$BG22))</f>
        <v/>
      </c>
      <c r="L22" s="47">
        <f>IF($BG22="","",INDEX(업무일지!$AG$5:$AG$1004,$BG22))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IF($BG23="","",INDEX(업무일지!$AE$5:$AE$1004,$BG23))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IF($BG23="","",INDEX(업무일지!$Z$5:$Z$1004,$BG23))</f>
        <v/>
      </c>
      <c r="H23" s="47">
        <f>IF($BG23="","",INDEX(업무일지!$AB$5:$AB$1004,$BG23))</f>
        <v/>
      </c>
      <c r="I23" s="24">
        <f>IF($BG23="","",INDEX(업무일지!$AC$5:$AC$1004,$BG23))</f>
        <v/>
      </c>
      <c r="J23" s="25">
        <f>IF($BG23="","",INDEX(업무일지!$AD$5:$AD$1004,$BG23))</f>
        <v/>
      </c>
      <c r="K23" s="52">
        <f>IF($BG23="","",INDEX(업무일지!$AF$5:$AF$1004,$BG23))</f>
        <v/>
      </c>
      <c r="L23" s="47">
        <f>IF($BG23="","",INDEX(업무일지!$AG$5:$AG$1004,$BG23))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IF($BG24="","",INDEX(업무일지!$AE$5:$AE$1004,$BG24))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IF($BG24="","",INDEX(업무일지!$Z$5:$Z$1004,$BG24))</f>
        <v/>
      </c>
      <c r="H24" s="47">
        <f>IF($BG24="","",INDEX(업무일지!$AB$5:$AB$1004,$BG24))</f>
        <v/>
      </c>
      <c r="I24" s="24">
        <f>IF($BG24="","",INDEX(업무일지!$AC$5:$AC$1004,$BG24))</f>
        <v/>
      </c>
      <c r="J24" s="25">
        <f>IF($BG24="","",INDEX(업무일지!$AD$5:$AD$1004,$BG24))</f>
        <v/>
      </c>
      <c r="K24" s="52">
        <f>IF($BG24="","",INDEX(업무일지!$AF$5:$AF$1004,$BG24))</f>
        <v/>
      </c>
      <c r="L24" s="47">
        <f>IF($BG24="","",INDEX(업무일지!$AG$5:$AG$1004,$BG24))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IF($BG25="","",INDEX(업무일지!$AE$5:$AE$1004,$BG25))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IF($BG25="","",INDEX(업무일지!$Z$5:$Z$1004,$BG25))</f>
        <v/>
      </c>
      <c r="H25" s="47">
        <f>IF($BG25="","",INDEX(업무일지!$AB$5:$AB$1004,$BG25))</f>
        <v/>
      </c>
      <c r="I25" s="24">
        <f>IF($BG25="","",INDEX(업무일지!$AC$5:$AC$1004,$BG25))</f>
        <v/>
      </c>
      <c r="J25" s="25">
        <f>IF($BG25="","",INDEX(업무일지!$AD$5:$AD$1004,$BG25))</f>
        <v/>
      </c>
      <c r="K25" s="52">
        <f>IF($BG25="","",INDEX(업무일지!$AF$5:$AF$1004,$BG25))</f>
        <v/>
      </c>
      <c r="L25" s="47">
        <f>IF($BG25="","",INDEX(업무일지!$AG$5:$AG$1004,$BG25))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IF($BG26="","",INDEX(업무일지!$AE$5:$AE$1004,$BG26))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IF($BG26="","",INDEX(업무일지!$Z$5:$Z$1004,$BG26))</f>
        <v/>
      </c>
      <c r="H26" s="47">
        <f>IF($BG26="","",INDEX(업무일지!$AB$5:$AB$1004,$BG26))</f>
        <v/>
      </c>
      <c r="I26" s="24">
        <f>IF($BG26="","",INDEX(업무일지!$AC$5:$AC$1004,$BG26))</f>
        <v/>
      </c>
      <c r="J26" s="25">
        <f>IF($BG26="","",INDEX(업무일지!$AD$5:$AD$1004,$BG26))</f>
        <v/>
      </c>
      <c r="K26" s="52">
        <f>IF($BG26="","",INDEX(업무일지!$AF$5:$AF$1004,$BG26))</f>
        <v/>
      </c>
      <c r="L26" s="47">
        <f>IF($BG26="","",INDEX(업무일지!$AG$5:$AG$1004,$BG26))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IF($BG27="","",INDEX(업무일지!$AE$5:$AE$1004,$BG27))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IF($BG27="","",INDEX(업무일지!$Z$5:$Z$1004,$BG27))</f>
        <v/>
      </c>
      <c r="H27" s="47">
        <f>IF($BG27="","",INDEX(업무일지!$AB$5:$AB$1004,$BG27))</f>
        <v/>
      </c>
      <c r="I27" s="24">
        <f>IF($BG27="","",INDEX(업무일지!$AC$5:$AC$1004,$BG27))</f>
        <v/>
      </c>
      <c r="J27" s="25">
        <f>IF($BG27="","",INDEX(업무일지!$AD$5:$AD$1004,$BG27))</f>
        <v/>
      </c>
      <c r="K27" s="52">
        <f>IF($BG27="","",INDEX(업무일지!$AF$5:$AF$1004,$BG27))</f>
        <v/>
      </c>
      <c r="L27" s="47">
        <f>IF($BG27="","",INDEX(업무일지!$AG$5:$AG$1004,$BG27))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IF($BG28="","",INDEX(업무일지!$AE$5:$AE$1004,$BG28))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IF($BG28="","",INDEX(업무일지!$Z$5:$Z$1004,$BG28))</f>
        <v/>
      </c>
      <c r="H28" s="47">
        <f>IF($BG28="","",INDEX(업무일지!$AB$5:$AB$1004,$BG28))</f>
        <v/>
      </c>
      <c r="I28" s="24">
        <f>IF($BG28="","",INDEX(업무일지!$AC$5:$AC$1004,$BG28))</f>
        <v/>
      </c>
      <c r="J28" s="25">
        <f>IF($BG28="","",INDEX(업무일지!$AD$5:$AD$1004,$BG28))</f>
        <v/>
      </c>
      <c r="K28" s="52">
        <f>IF($BG28="","",INDEX(업무일지!$AF$5:$AF$1004,$BG28))</f>
        <v/>
      </c>
      <c r="L28" s="47">
        <f>IF($BG28="","",INDEX(업무일지!$AG$5:$AG$1004,$BG28))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IF($BG29="","",INDEX(업무일지!$AE$5:$AE$1004,$BG29))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IF($BG29="","",INDEX(업무일지!$Z$5:$Z$1004,$BG29))</f>
        <v/>
      </c>
      <c r="H29" s="47">
        <f>IF($BG29="","",INDEX(업무일지!$AB$5:$AB$1004,$BG29))</f>
        <v/>
      </c>
      <c r="I29" s="24">
        <f>IF($BG29="","",INDEX(업무일지!$AC$5:$AC$1004,$BG29))</f>
        <v/>
      </c>
      <c r="J29" s="25">
        <f>IF($BG29="","",INDEX(업무일지!$AD$5:$AD$1004,$BG29))</f>
        <v/>
      </c>
      <c r="K29" s="52">
        <f>IF($BG29="","",INDEX(업무일지!$AF$5:$AF$1004,$BG29))</f>
        <v/>
      </c>
      <c r="L29" s="47">
        <f>IF($BG29="","",INDEX(업무일지!$AG$5:$AG$1004,$BG29))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IF($BG30="","",INDEX(업무일지!$AE$5:$AE$1004,$BG30))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IF($BG30="","",INDEX(업무일지!$Z$5:$Z$1004,$BG30))</f>
        <v/>
      </c>
      <c r="H30" s="47">
        <f>IF($BG30="","",INDEX(업무일지!$AB$5:$AB$1004,$BG30))</f>
        <v/>
      </c>
      <c r="I30" s="24">
        <f>IF($BG30="","",INDEX(업무일지!$AC$5:$AC$1004,$BG30))</f>
        <v/>
      </c>
      <c r="J30" s="25">
        <f>IF($BG30="","",INDEX(업무일지!$AD$5:$AD$1004,$BG30))</f>
        <v/>
      </c>
      <c r="K30" s="52">
        <f>IF($BG30="","",INDEX(업무일지!$AF$5:$AF$1004,$BG30))</f>
        <v/>
      </c>
      <c r="L30" s="47">
        <f>IF($BG30="","",INDEX(업무일지!$AG$5:$AG$1004,$BG30))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IF($BG31="","",INDEX(업무일지!$AE$5:$AE$1004,$BG31))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IF($BG31="","",INDEX(업무일지!$Z$5:$Z$1004,$BG31))</f>
        <v/>
      </c>
      <c r="H31" s="47">
        <f>IF($BG31="","",INDEX(업무일지!$AB$5:$AB$1004,$BG31))</f>
        <v/>
      </c>
      <c r="I31" s="24">
        <f>IF($BG31="","",INDEX(업무일지!$AC$5:$AC$1004,$BG31))</f>
        <v/>
      </c>
      <c r="J31" s="25">
        <f>IF($BG31="","",INDEX(업무일지!$AD$5:$AD$1004,$BG31))</f>
        <v/>
      </c>
      <c r="K31" s="52">
        <f>IF($BG31="","",INDEX(업무일지!$AF$5:$AF$1004,$BG31))</f>
        <v/>
      </c>
      <c r="L31" s="47">
        <f>IF($BG31="","",INDEX(업무일지!$AG$5:$AG$1004,$BG31))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IF($BG32="","",INDEX(업무일지!$AE$5:$AE$1004,$BG32))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IF($BG32="","",INDEX(업무일지!$Z$5:$Z$1004,$BG32))</f>
        <v/>
      </c>
      <c r="H32" s="47">
        <f>IF($BG32="","",INDEX(업무일지!$AB$5:$AB$1004,$BG32))</f>
        <v/>
      </c>
      <c r="I32" s="24">
        <f>IF($BG32="","",INDEX(업무일지!$AC$5:$AC$1004,$BG32))</f>
        <v/>
      </c>
      <c r="J32" s="25">
        <f>IF($BG32="","",INDEX(업무일지!$AD$5:$AD$1004,$BG32))</f>
        <v/>
      </c>
      <c r="K32" s="52">
        <f>IF($BG32="","",INDEX(업무일지!$AF$5:$AF$1004,$BG32))</f>
        <v/>
      </c>
      <c r="L32" s="47">
        <f>IF($BG32="","",INDEX(업무일지!$AG$5:$AG$1004,$BG32))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IF($BG33="","",INDEX(업무일지!$AE$5:$AE$1004,$BG33))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IF($BG33="","",INDEX(업무일지!$Z$5:$Z$1004,$BG33))</f>
        <v/>
      </c>
      <c r="H33" s="47">
        <f>IF($BG33="","",INDEX(업무일지!$AB$5:$AB$1004,$BG33))</f>
        <v/>
      </c>
      <c r="I33" s="24">
        <f>IF($BG33="","",INDEX(업무일지!$AC$5:$AC$1004,$BG33))</f>
        <v/>
      </c>
      <c r="J33" s="25">
        <f>IF($BG33="","",INDEX(업무일지!$AD$5:$AD$1004,$BG33))</f>
        <v/>
      </c>
      <c r="K33" s="52">
        <f>IF($BG33="","",INDEX(업무일지!$AF$5:$AF$1004,$BG33))</f>
        <v/>
      </c>
      <c r="L33" s="47">
        <f>IF($BG33="","",INDEX(업무일지!$AG$5:$AG$1004,$BG33))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IF($BG34="","",INDEX(업무일지!$AE$5:$AE$1004,$BG34))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IF($BG34="","",INDEX(업무일지!$Z$5:$Z$1004,$BG34))</f>
        <v/>
      </c>
      <c r="H34" s="47">
        <f>IF($BG34="","",INDEX(업무일지!$AB$5:$AB$1004,$BG34))</f>
        <v/>
      </c>
      <c r="I34" s="24">
        <f>IF($BG34="","",INDEX(업무일지!$AC$5:$AC$1004,$BG34))</f>
        <v/>
      </c>
      <c r="J34" s="25">
        <f>IF($BG34="","",INDEX(업무일지!$AD$5:$AD$1004,$BG34))</f>
        <v/>
      </c>
      <c r="K34" s="52">
        <f>IF($BG34="","",INDEX(업무일지!$AF$5:$AF$1004,$BG34))</f>
        <v/>
      </c>
      <c r="L34" s="47">
        <f>IF($BG34="","",INDEX(업무일지!$AG$5:$AG$1004,$BG34))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IF($BG35="","",INDEX(업무일지!$AE$5:$AE$1004,$BG35))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IF($BG35="","",INDEX(업무일지!$Z$5:$Z$1004,$BG35))</f>
        <v/>
      </c>
      <c r="H35" s="47">
        <f>IF($BG35="","",INDEX(업무일지!$AB$5:$AB$1004,$BG35))</f>
        <v/>
      </c>
      <c r="I35" s="24">
        <f>IF($BG35="","",INDEX(업무일지!$AC$5:$AC$1004,$BG35))</f>
        <v/>
      </c>
      <c r="J35" s="25">
        <f>IF($BG35="","",INDEX(업무일지!$AD$5:$AD$1004,$BG35))</f>
        <v/>
      </c>
      <c r="K35" s="52">
        <f>IF($BG35="","",INDEX(업무일지!$AF$5:$AF$1004,$BG35))</f>
        <v/>
      </c>
      <c r="L35" s="47">
        <f>IF($BG35="","",INDEX(업무일지!$AG$5:$AG$1004,$BG35))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IF($BG36="","",INDEX(업무일지!$AE$5:$AE$1004,$BG36))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IF($BG36="","",INDEX(업무일지!$Z$5:$Z$1004,$BG36))</f>
        <v/>
      </c>
      <c r="H36" s="47">
        <f>IF($BG36="","",INDEX(업무일지!$AB$5:$AB$1004,$BG36))</f>
        <v/>
      </c>
      <c r="I36" s="24">
        <f>IF($BG36="","",INDEX(업무일지!$AC$5:$AC$1004,$BG36))</f>
        <v/>
      </c>
      <c r="J36" s="25">
        <f>IF($BG36="","",INDEX(업무일지!$AD$5:$AD$1004,$BG36))</f>
        <v/>
      </c>
      <c r="K36" s="52">
        <f>IF($BG36="","",INDEX(업무일지!$AF$5:$AF$1004,$BG36))</f>
        <v/>
      </c>
      <c r="L36" s="47">
        <f>IF($BG36="","",INDEX(업무일지!$AG$5:$AG$1004,$BG36))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IF($BG37="","",INDEX(업무일지!$AE$5:$AE$1004,$BG37))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IF($BG37="","",INDEX(업무일지!$Z$5:$Z$1004,$BG37))</f>
        <v/>
      </c>
      <c r="H37" s="47">
        <f>IF($BG37="","",INDEX(업무일지!$AB$5:$AB$1004,$BG37))</f>
        <v/>
      </c>
      <c r="I37" s="24">
        <f>IF($BG37="","",INDEX(업무일지!$AC$5:$AC$1004,$BG37))</f>
        <v/>
      </c>
      <c r="J37" s="25">
        <f>IF($BG37="","",INDEX(업무일지!$AD$5:$AD$1004,$BG37))</f>
        <v/>
      </c>
      <c r="K37" s="52">
        <f>IF($BG37="","",INDEX(업무일지!$AF$5:$AF$1004,$BG37))</f>
        <v/>
      </c>
      <c r="L37" s="47">
        <f>IF($BG37="","",INDEX(업무일지!$AG$5:$AG$1004,$BG37))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IF($BG38="","",INDEX(업무일지!$AE$5:$AE$1004,$BG38))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IF($BG38="","",INDEX(업무일지!$Z$5:$Z$1004,$BG38))</f>
        <v/>
      </c>
      <c r="H38" s="47">
        <f>IF($BG38="","",INDEX(업무일지!$AB$5:$AB$1004,$BG38))</f>
        <v/>
      </c>
      <c r="I38" s="24">
        <f>IF($BG38="","",INDEX(업무일지!$AC$5:$AC$1004,$BG38))</f>
        <v/>
      </c>
      <c r="J38" s="25">
        <f>IF($BG38="","",INDEX(업무일지!$AD$5:$AD$1004,$BG38))</f>
        <v/>
      </c>
      <c r="K38" s="52">
        <f>IF($BG38="","",INDEX(업무일지!$AF$5:$AF$1004,$BG38))</f>
        <v/>
      </c>
      <c r="L38" s="47">
        <f>IF($BG38="","",INDEX(업무일지!$AG$5:$AG$1004,$BG38))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IF($BG39="","",INDEX(업무일지!$AE$5:$AE$1004,$BG39))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IF($BG39="","",INDEX(업무일지!$Z$5:$Z$1004,$BG39))</f>
        <v/>
      </c>
      <c r="H39" s="47">
        <f>IF($BG39="","",INDEX(업무일지!$AB$5:$AB$1004,$BG39))</f>
        <v/>
      </c>
      <c r="I39" s="24">
        <f>IF($BG39="","",INDEX(업무일지!$AC$5:$AC$1004,$BG39))</f>
        <v/>
      </c>
      <c r="J39" s="25">
        <f>IF($BG39="","",INDEX(업무일지!$AD$5:$AD$1004,$BG39))</f>
        <v/>
      </c>
      <c r="K39" s="52">
        <f>IF($BG39="","",INDEX(업무일지!$AF$5:$AF$1004,$BG39))</f>
        <v/>
      </c>
      <c r="L39" s="47">
        <f>IF($BG39="","",INDEX(업무일지!$AG$5:$AG$1004,$BG39))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IF($BG40="","",INDEX(업무일지!$AE$5:$AE$1004,$BG40))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IF($BG40="","",INDEX(업무일지!$Z$5:$Z$1004,$BG40))</f>
        <v/>
      </c>
      <c r="H40" s="47">
        <f>IF($BG40="","",INDEX(업무일지!$AB$5:$AB$1004,$BG40))</f>
        <v/>
      </c>
      <c r="I40" s="24">
        <f>IF($BG40="","",INDEX(업무일지!$AC$5:$AC$1004,$BG40))</f>
        <v/>
      </c>
      <c r="J40" s="25">
        <f>IF($BG40="","",INDEX(업무일지!$AD$5:$AD$1004,$BG40))</f>
        <v/>
      </c>
      <c r="K40" s="52">
        <f>IF($BG40="","",INDEX(업무일지!$AF$5:$AF$1004,$BG40))</f>
        <v/>
      </c>
      <c r="L40" s="47">
        <f>IF($BG40="","",INDEX(업무일지!$AG$5:$AG$1004,$BG40))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IF($BG41="","",INDEX(업무일지!$AE$5:$AE$1004,$BG41))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IF($BG41="","",INDEX(업무일지!$Z$5:$Z$1004,$BG41))</f>
        <v/>
      </c>
      <c r="H41" s="47">
        <f>IF($BG41="","",INDEX(업무일지!$AB$5:$AB$1004,$BG41))</f>
        <v/>
      </c>
      <c r="I41" s="24">
        <f>IF($BG41="","",INDEX(업무일지!$AC$5:$AC$1004,$BG41))</f>
        <v/>
      </c>
      <c r="J41" s="25">
        <f>IF($BG41="","",INDEX(업무일지!$AD$5:$AD$1004,$BG41))</f>
        <v/>
      </c>
      <c r="K41" s="52">
        <f>IF($BG41="","",INDEX(업무일지!$AF$5:$AF$1004,$BG41))</f>
        <v/>
      </c>
      <c r="L41" s="47">
        <f>IF($BG41="","",INDEX(업무일지!$AG$5:$AG$1004,$BG41))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IF($BG42="","",INDEX(업무일지!$AE$5:$AE$1004,$BG42))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IF($BG42="","",INDEX(업무일지!$Z$5:$Z$1004,$BG42))</f>
        <v/>
      </c>
      <c r="H42" s="47">
        <f>IF($BG42="","",INDEX(업무일지!$AB$5:$AB$1004,$BG42))</f>
        <v/>
      </c>
      <c r="I42" s="24">
        <f>IF($BG42="","",INDEX(업무일지!$AC$5:$AC$1004,$BG42))</f>
        <v/>
      </c>
      <c r="J42" s="25">
        <f>IF($BG42="","",INDEX(업무일지!$AD$5:$AD$1004,$BG42))</f>
        <v/>
      </c>
      <c r="K42" s="52">
        <f>IF($BG42="","",INDEX(업무일지!$AF$5:$AF$1004,$BG42))</f>
        <v/>
      </c>
      <c r="L42" s="47">
        <f>IF($BG42="","",INDEX(업무일지!$AG$5:$AG$1004,$BG42))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IF($BG43="","",INDEX(업무일지!$AE$5:$AE$1004,$BG43))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IF($BG43="","",INDEX(업무일지!$Z$5:$Z$1004,$BG43))</f>
        <v/>
      </c>
      <c r="H43" s="47">
        <f>IF($BG43="","",INDEX(업무일지!$AB$5:$AB$1004,$BG43))</f>
        <v/>
      </c>
      <c r="I43" s="24">
        <f>IF($BG43="","",INDEX(업무일지!$AC$5:$AC$1004,$BG43))</f>
        <v/>
      </c>
      <c r="J43" s="25">
        <f>IF($BG43="","",INDEX(업무일지!$AD$5:$AD$1004,$BG43))</f>
        <v/>
      </c>
      <c r="K43" s="52">
        <f>IF($BG43="","",INDEX(업무일지!$AF$5:$AF$1004,$BG43))</f>
        <v/>
      </c>
      <c r="L43" s="47">
        <f>IF($BG43="","",INDEX(업무일지!$AG$5:$AG$1004,$BG43))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IF($BG44="","",INDEX(업무일지!$AE$5:$AE$1004,$BG44))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IF($BG44="","",INDEX(업무일지!$Z$5:$Z$1004,$BG44))</f>
        <v/>
      </c>
      <c r="H44" s="47">
        <f>IF($BG44="","",INDEX(업무일지!$AB$5:$AB$1004,$BG44))</f>
        <v/>
      </c>
      <c r="I44" s="24">
        <f>IF($BG44="","",INDEX(업무일지!$AC$5:$AC$1004,$BG44))</f>
        <v/>
      </c>
      <c r="J44" s="25">
        <f>IF($BG44="","",INDEX(업무일지!$AD$5:$AD$1004,$BG44))</f>
        <v/>
      </c>
      <c r="K44" s="52">
        <f>IF($BG44="","",INDEX(업무일지!$AF$5:$AF$1004,$BG44))</f>
        <v/>
      </c>
      <c r="L44" s="47">
        <f>IF($BG44="","",INDEX(업무일지!$AG$5:$AG$1004,$BG44))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IF($BG45="","",INDEX(업무일지!$AE$5:$AE$1004,$BG45))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IF($BG45="","",INDEX(업무일지!$Z$5:$Z$1004,$BG45))</f>
        <v/>
      </c>
      <c r="H45" s="47">
        <f>IF($BG45="","",INDEX(업무일지!$AB$5:$AB$1004,$BG45))</f>
        <v/>
      </c>
      <c r="I45" s="24">
        <f>IF($BG45="","",INDEX(업무일지!$AC$5:$AC$1004,$BG45))</f>
        <v/>
      </c>
      <c r="J45" s="25">
        <f>IF($BG45="","",INDEX(업무일지!$AD$5:$AD$1004,$BG45))</f>
        <v/>
      </c>
      <c r="K45" s="52">
        <f>IF($BG45="","",INDEX(업무일지!$AF$5:$AF$1004,$BG45))</f>
        <v/>
      </c>
      <c r="L45" s="47">
        <f>IF($BG45="","",INDEX(업무일지!$AG$5:$AG$1004,$BG45))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IF($BG46="","",INDEX(업무일지!$AE$5:$AE$1004,$BG46))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IF($BG46="","",INDEX(업무일지!$Z$5:$Z$1004,$BG46))</f>
        <v/>
      </c>
      <c r="H46" s="47">
        <f>IF($BG46="","",INDEX(업무일지!$AB$5:$AB$1004,$BG46))</f>
        <v/>
      </c>
      <c r="I46" s="24">
        <f>IF($BG46="","",INDEX(업무일지!$AC$5:$AC$1004,$BG46))</f>
        <v/>
      </c>
      <c r="J46" s="25">
        <f>IF($BG46="","",INDEX(업무일지!$AD$5:$AD$1004,$BG46))</f>
        <v/>
      </c>
      <c r="K46" s="52">
        <f>IF($BG46="","",INDEX(업무일지!$AF$5:$AF$1004,$BG46))</f>
        <v/>
      </c>
      <c r="L46" s="47">
        <f>IF($BG46="","",INDEX(업무일지!$AG$5:$AG$1004,$BG46))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IF($BG47="","",INDEX(업무일지!$AE$5:$AE$1004,$BG47))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IF($BG47="","",INDEX(업무일지!$Z$5:$Z$1004,$BG47))</f>
        <v/>
      </c>
      <c r="H47" s="47">
        <f>IF($BG47="","",INDEX(업무일지!$AB$5:$AB$1004,$BG47))</f>
        <v/>
      </c>
      <c r="I47" s="24">
        <f>IF($BG47="","",INDEX(업무일지!$AC$5:$AC$1004,$BG47))</f>
        <v/>
      </c>
      <c r="J47" s="25">
        <f>IF($BG47="","",INDEX(업무일지!$AD$5:$AD$1004,$BG47))</f>
        <v/>
      </c>
      <c r="K47" s="52">
        <f>IF($BG47="","",INDEX(업무일지!$AF$5:$AF$1004,$BG47))</f>
        <v/>
      </c>
      <c r="L47" s="47">
        <f>IF($BG47="","",INDEX(업무일지!$AG$5:$AG$1004,$BG47))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IF($BG48="","",INDEX(업무일지!$AE$5:$AE$1004,$BG48))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IF($BG48="","",INDEX(업무일지!$Z$5:$Z$1004,$BG48))</f>
        <v/>
      </c>
      <c r="H48" s="47">
        <f>IF($BG48="","",INDEX(업무일지!$AB$5:$AB$1004,$BG48))</f>
        <v/>
      </c>
      <c r="I48" s="24">
        <f>IF($BG48="","",INDEX(업무일지!$AC$5:$AC$1004,$BG48))</f>
        <v/>
      </c>
      <c r="J48" s="25">
        <f>IF($BG48="","",INDEX(업무일지!$AD$5:$AD$1004,$BG48))</f>
        <v/>
      </c>
      <c r="K48" s="52">
        <f>IF($BG48="","",INDEX(업무일지!$AF$5:$AF$1004,$BG48))</f>
        <v/>
      </c>
      <c r="L48" s="47">
        <f>IF($BG48="","",INDEX(업무일지!$AG$5:$AG$1004,$BG48))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IF($BG49="","",INDEX(업무일지!$AE$5:$AE$1004,$BG49))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IF($BG49="","",INDEX(업무일지!$Z$5:$Z$1004,$BG49))</f>
        <v/>
      </c>
      <c r="H49" s="47">
        <f>IF($BG49="","",INDEX(업무일지!$AB$5:$AB$1004,$BG49))</f>
        <v/>
      </c>
      <c r="I49" s="24">
        <f>IF($BG49="","",INDEX(업무일지!$AC$5:$AC$1004,$BG49))</f>
        <v/>
      </c>
      <c r="J49" s="25">
        <f>IF($BG49="","",INDEX(업무일지!$AD$5:$AD$1004,$BG49))</f>
        <v/>
      </c>
      <c r="K49" s="52">
        <f>IF($BG49="","",INDEX(업무일지!$AF$5:$AF$1004,$BG49))</f>
        <v/>
      </c>
      <c r="L49" s="47">
        <f>IF($BG49="","",INDEX(업무일지!$AG$5:$AG$1004,$BG49))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IF($BG50="","",INDEX(업무일지!$AE$5:$AE$1004,$BG50))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IF($BG50="","",INDEX(업무일지!$Z$5:$Z$1004,$BG50))</f>
        <v/>
      </c>
      <c r="H50" s="47">
        <f>IF($BG50="","",INDEX(업무일지!$AB$5:$AB$1004,$BG50))</f>
        <v/>
      </c>
      <c r="I50" s="24">
        <f>IF($BG50="","",INDEX(업무일지!$AC$5:$AC$1004,$BG50))</f>
        <v/>
      </c>
      <c r="J50" s="25">
        <f>IF($BG50="","",INDEX(업무일지!$AD$5:$AD$1004,$BG50))</f>
        <v/>
      </c>
      <c r="K50" s="52">
        <f>IF($BG50="","",INDEX(업무일지!$AF$5:$AF$1004,$BG50))</f>
        <v/>
      </c>
      <c r="L50" s="47">
        <f>IF($BG50="","",INDEX(업무일지!$AG$5:$AG$1004,$BG50))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IF($BG51="","",INDEX(업무일지!$AE$5:$AE$1004,$BG51))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IF($BG51="","",INDEX(업무일지!$Z$5:$Z$1004,$BG51))</f>
        <v/>
      </c>
      <c r="H51" s="47">
        <f>IF($BG51="","",INDEX(업무일지!$AB$5:$AB$1004,$BG51))</f>
        <v/>
      </c>
      <c r="I51" s="24">
        <f>IF($BG51="","",INDEX(업무일지!$AC$5:$AC$1004,$BG51))</f>
        <v/>
      </c>
      <c r="J51" s="25">
        <f>IF($BG51="","",INDEX(업무일지!$AD$5:$AD$1004,$BG51))</f>
        <v/>
      </c>
      <c r="K51" s="52">
        <f>IF($BG51="","",INDEX(업무일지!$AF$5:$AF$1004,$BG51))</f>
        <v/>
      </c>
      <c r="L51" s="47">
        <f>IF($BG51="","",INDEX(업무일지!$AG$5:$AG$1004,$BG51))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IF($BG52="","",INDEX(업무일지!$AE$5:$AE$1004,$BG52))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IF($BG52="","",INDEX(업무일지!$Z$5:$Z$1004,$BG52))</f>
        <v/>
      </c>
      <c r="H52" s="47">
        <f>IF($BG52="","",INDEX(업무일지!$AB$5:$AB$1004,$BG52))</f>
        <v/>
      </c>
      <c r="I52" s="24">
        <f>IF($BG52="","",INDEX(업무일지!$AC$5:$AC$1004,$BG52))</f>
        <v/>
      </c>
      <c r="J52" s="25">
        <f>IF($BG52="","",INDEX(업무일지!$AD$5:$AD$1004,$BG52))</f>
        <v/>
      </c>
      <c r="K52" s="52">
        <f>IF($BG52="","",INDEX(업무일지!$AF$5:$AF$1004,$BG52))</f>
        <v/>
      </c>
      <c r="L52" s="47">
        <f>IF($BG52="","",INDEX(업무일지!$AG$5:$AG$1004,$BG52))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IF($BG53="","",INDEX(업무일지!$AE$5:$AE$1004,$BG53))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IF($BG53="","",INDEX(업무일지!$Z$5:$Z$1004,$BG53))</f>
        <v/>
      </c>
      <c r="H53" s="47">
        <f>IF($BG53="","",INDEX(업무일지!$AB$5:$AB$1004,$BG53))</f>
        <v/>
      </c>
      <c r="I53" s="24">
        <f>IF($BG53="","",INDEX(업무일지!$AC$5:$AC$1004,$BG53))</f>
        <v/>
      </c>
      <c r="J53" s="25">
        <f>IF($BG53="","",INDEX(업무일지!$AD$5:$AD$1004,$BG53))</f>
        <v/>
      </c>
      <c r="K53" s="52">
        <f>IF($BG53="","",INDEX(업무일지!$AF$5:$AF$1004,$BG53))</f>
        <v/>
      </c>
      <c r="L53" s="47">
        <f>IF($BG53="","",INDEX(업무일지!$AG$5:$AG$1004,$BG53))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IF($BG54="","",INDEX(업무일지!$AE$5:$AE$1004,$BG54))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IF($BG54="","",INDEX(업무일지!$Z$5:$Z$1004,$BG54))</f>
        <v/>
      </c>
      <c r="H54" s="47">
        <f>IF($BG54="","",INDEX(업무일지!$AB$5:$AB$1004,$BG54))</f>
        <v/>
      </c>
      <c r="I54" s="24">
        <f>IF($BG54="","",INDEX(업무일지!$AC$5:$AC$1004,$BG54))</f>
        <v/>
      </c>
      <c r="J54" s="25">
        <f>IF($BG54="","",INDEX(업무일지!$AD$5:$AD$1004,$BG54))</f>
        <v/>
      </c>
      <c r="K54" s="52">
        <f>IF($BG54="","",INDEX(업무일지!$AF$5:$AF$1004,$BG54))</f>
        <v/>
      </c>
      <c r="L54" s="47">
        <f>IF($BG54="","",INDEX(업무일지!$AG$5:$AG$1004,$BG54))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IF($BG55="","",INDEX(업무일지!$AE$5:$AE$1004,$BG55))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IF($BG55="","",INDEX(업무일지!$Z$5:$Z$1004,$BG55))</f>
        <v/>
      </c>
      <c r="H55" s="47">
        <f>IF($BG55="","",INDEX(업무일지!$AB$5:$AB$1004,$BG55))</f>
        <v/>
      </c>
      <c r="I55" s="24">
        <f>IF($BG55="","",INDEX(업무일지!$AC$5:$AC$1004,$BG55))</f>
        <v/>
      </c>
      <c r="J55" s="25">
        <f>IF($BG55="","",INDEX(업무일지!$AD$5:$AD$1004,$BG55))</f>
        <v/>
      </c>
      <c r="K55" s="52">
        <f>IF($BG55="","",INDEX(업무일지!$AF$5:$AF$1004,$BG55))</f>
        <v/>
      </c>
      <c r="L55" s="47">
        <f>IF($BG55="","",INDEX(업무일지!$AG$5:$AG$1004,$BG55))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IF($BG56="","",INDEX(업무일지!$AE$5:$AE$1004,$BG56))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IF($BG56="","",INDEX(업무일지!$Z$5:$Z$1004,$BG56))</f>
        <v/>
      </c>
      <c r="H56" s="47">
        <f>IF($BG56="","",INDEX(업무일지!$AB$5:$AB$1004,$BG56))</f>
        <v/>
      </c>
      <c r="I56" s="24">
        <f>IF($BG56="","",INDEX(업무일지!$AC$5:$AC$1004,$BG56))</f>
        <v/>
      </c>
      <c r="J56" s="25">
        <f>IF($BG56="","",INDEX(업무일지!$AD$5:$AD$1004,$BG56))</f>
        <v/>
      </c>
      <c r="K56" s="52">
        <f>IF($BG56="","",INDEX(업무일지!$AF$5:$AF$1004,$BG56))</f>
        <v/>
      </c>
      <c r="L56" s="47">
        <f>IF($BG56="","",INDEX(업무일지!$AG$5:$AG$1004,$BG56))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IF($BG57="","",INDEX(업무일지!$AE$5:$AE$1004,$BG57))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IF($BG57="","",INDEX(업무일지!$Z$5:$Z$1004,$BG57))</f>
        <v/>
      </c>
      <c r="H57" s="47">
        <f>IF($BG57="","",INDEX(업무일지!$AB$5:$AB$1004,$BG57))</f>
        <v/>
      </c>
      <c r="I57" s="24">
        <f>IF($BG57="","",INDEX(업무일지!$AC$5:$AC$1004,$BG57))</f>
        <v/>
      </c>
      <c r="J57" s="25">
        <f>IF($BG57="","",INDEX(업무일지!$AD$5:$AD$1004,$BG57))</f>
        <v/>
      </c>
      <c r="K57" s="52">
        <f>IF($BG57="","",INDEX(업무일지!$AF$5:$AF$1004,$BG57))</f>
        <v/>
      </c>
      <c r="L57" s="47">
        <f>IF($BG57="","",INDEX(업무일지!$AG$5:$AG$1004,$BG57))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IF($BG58="","",INDEX(업무일지!$AE$5:$AE$1004,$BG58))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IF($BG58="","",INDEX(업무일지!$Z$5:$Z$1004,$BG58))</f>
        <v/>
      </c>
      <c r="H58" s="47">
        <f>IF($BG58="","",INDEX(업무일지!$AB$5:$AB$1004,$BG58))</f>
        <v/>
      </c>
      <c r="I58" s="24">
        <f>IF($BG58="","",INDEX(업무일지!$AC$5:$AC$1004,$BG58))</f>
        <v/>
      </c>
      <c r="J58" s="25">
        <f>IF($BG58="","",INDEX(업무일지!$AD$5:$AD$1004,$BG58))</f>
        <v/>
      </c>
      <c r="K58" s="52">
        <f>IF($BG58="","",INDEX(업무일지!$AF$5:$AF$1004,$BG58))</f>
        <v/>
      </c>
      <c r="L58" s="47">
        <f>IF($BG58="","",INDEX(업무일지!$AG$5:$AG$1004,$BG58))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IF($BG59="","",INDEX(업무일지!$AE$5:$AE$1004,$BG59))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IF($BG59="","",INDEX(업무일지!$Z$5:$Z$1004,$BG59))</f>
        <v/>
      </c>
      <c r="H59" s="47">
        <f>IF($BG59="","",INDEX(업무일지!$AB$5:$AB$1004,$BG59))</f>
        <v/>
      </c>
      <c r="I59" s="24">
        <f>IF($BG59="","",INDEX(업무일지!$AC$5:$AC$1004,$BG59))</f>
        <v/>
      </c>
      <c r="J59" s="25">
        <f>IF($BG59="","",INDEX(업무일지!$AD$5:$AD$1004,$BG59))</f>
        <v/>
      </c>
      <c r="K59" s="52">
        <f>IF($BG59="","",INDEX(업무일지!$AF$5:$AF$1004,$BG59))</f>
        <v/>
      </c>
      <c r="L59" s="47">
        <f>IF($BG59="","",INDEX(업무일지!$AG$5:$AG$1004,$BG59))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IF($BG60="","",INDEX(업무일지!$AE$5:$AE$1004,$BG60))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IF($BG60="","",INDEX(업무일지!$Z$5:$Z$1004,$BG60))</f>
        <v/>
      </c>
      <c r="H60" s="47">
        <f>IF($BG60="","",INDEX(업무일지!$AB$5:$AB$1004,$BG60))</f>
        <v/>
      </c>
      <c r="I60" s="24">
        <f>IF($BG60="","",INDEX(업무일지!$AC$5:$AC$1004,$BG60))</f>
        <v/>
      </c>
      <c r="J60" s="25">
        <f>IF($BG60="","",INDEX(업무일지!$AD$5:$AD$1004,$BG60))</f>
        <v/>
      </c>
      <c r="K60" s="52">
        <f>IF($BG60="","",INDEX(업무일지!$AF$5:$AF$1004,$BG60))</f>
        <v/>
      </c>
      <c r="L60" s="47">
        <f>IF($BG60="","",INDEX(업무일지!$AG$5:$AG$1004,$BG60))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IF($BG61="","",INDEX(업무일지!$AE$5:$AE$1004,$BG61))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IF($BG61="","",INDEX(업무일지!$Z$5:$Z$1004,$BG61))</f>
        <v/>
      </c>
      <c r="H61" s="47">
        <f>IF($BG61="","",INDEX(업무일지!$AB$5:$AB$1004,$BG61))</f>
        <v/>
      </c>
      <c r="I61" s="24">
        <f>IF($BG61="","",INDEX(업무일지!$AC$5:$AC$1004,$BG61))</f>
        <v/>
      </c>
      <c r="J61" s="25">
        <f>IF($BG61="","",INDEX(업무일지!$AD$5:$AD$1004,$BG61))</f>
        <v/>
      </c>
      <c r="K61" s="52">
        <f>IF($BG61="","",INDEX(업무일지!$AF$5:$AF$1004,$BG61))</f>
        <v/>
      </c>
      <c r="L61" s="47">
        <f>IF($BG61="","",INDEX(업무일지!$AG$5:$AG$1004,$BG61))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IF($BG62="","",INDEX(업무일지!$AE$5:$AE$1004,$BG62))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IF($BG62="","",INDEX(업무일지!$Z$5:$Z$1004,$BG62))</f>
        <v/>
      </c>
      <c r="H62" s="47">
        <f>IF($BG62="","",INDEX(업무일지!$AB$5:$AB$1004,$BG62))</f>
        <v/>
      </c>
      <c r="I62" s="24">
        <f>IF($BG62="","",INDEX(업무일지!$AC$5:$AC$1004,$BG62))</f>
        <v/>
      </c>
      <c r="J62" s="25">
        <f>IF($BG62="","",INDEX(업무일지!$AD$5:$AD$1004,$BG62))</f>
        <v/>
      </c>
      <c r="K62" s="52">
        <f>IF($BG62="","",INDEX(업무일지!$AF$5:$AF$1004,$BG62))</f>
        <v/>
      </c>
      <c r="L62" s="47">
        <f>IF($BG62="","",INDEX(업무일지!$AG$5:$AG$1004,$BG62))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IF($BG63="","",INDEX(업무일지!$AE$5:$AE$1004,$BG63))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IF($BG63="","",INDEX(업무일지!$Z$5:$Z$1004,$BG63))</f>
        <v/>
      </c>
      <c r="H63" s="47">
        <f>IF($BG63="","",INDEX(업무일지!$AB$5:$AB$1004,$BG63))</f>
        <v/>
      </c>
      <c r="I63" s="24">
        <f>IF($BG63="","",INDEX(업무일지!$AC$5:$AC$1004,$BG63))</f>
        <v/>
      </c>
      <c r="J63" s="25">
        <f>IF($BG63="","",INDEX(업무일지!$AD$5:$AD$1004,$BG63))</f>
        <v/>
      </c>
      <c r="K63" s="52">
        <f>IF($BG63="","",INDEX(업무일지!$AF$5:$AF$1004,$BG63))</f>
        <v/>
      </c>
      <c r="L63" s="47">
        <f>IF($BG63="","",INDEX(업무일지!$AG$5:$AG$1004,$BG63))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IF($BG64="","",INDEX(업무일지!$AE$5:$AE$1004,$BG64))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IF($BG64="","",INDEX(업무일지!$Z$5:$Z$1004,$BG64))</f>
        <v/>
      </c>
      <c r="H64" s="47">
        <f>IF($BG64="","",INDEX(업무일지!$AB$5:$AB$1004,$BG64))</f>
        <v/>
      </c>
      <c r="I64" s="24">
        <f>IF($BG64="","",INDEX(업무일지!$AC$5:$AC$1004,$BG64))</f>
        <v/>
      </c>
      <c r="J64" s="25">
        <f>IF($BG64="","",INDEX(업무일지!$AD$5:$AD$1004,$BG64))</f>
        <v/>
      </c>
      <c r="K64" s="52">
        <f>IF($BG64="","",INDEX(업무일지!$AF$5:$AF$1004,$BG64))</f>
        <v/>
      </c>
      <c r="L64" s="47">
        <f>IF($BG64="","",INDEX(업무일지!$AG$5:$AG$1004,$BG64))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IF($BG65="","",INDEX(업무일지!$AE$5:$AE$1004,$BG65))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IF($BG65="","",INDEX(업무일지!$Z$5:$Z$1004,$BG65))</f>
        <v/>
      </c>
      <c r="H65" s="47">
        <f>IF($BG65="","",INDEX(업무일지!$AB$5:$AB$1004,$BG65))</f>
        <v/>
      </c>
      <c r="I65" s="24">
        <f>IF($BG65="","",INDEX(업무일지!$AC$5:$AC$1004,$BG65))</f>
        <v/>
      </c>
      <c r="J65" s="25">
        <f>IF($BG65="","",INDEX(업무일지!$AD$5:$AD$1004,$BG65))</f>
        <v/>
      </c>
      <c r="K65" s="52">
        <f>IF($BG65="","",INDEX(업무일지!$AF$5:$AF$1004,$BG65))</f>
        <v/>
      </c>
      <c r="L65" s="47">
        <f>IF($BG65="","",INDEX(업무일지!$AG$5:$AG$1004,$BG65))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IF($BG66="","",INDEX(업무일지!$AE$5:$AE$1004,$BG66))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IF($BG66="","",INDEX(업무일지!$Z$5:$Z$1004,$BG66))</f>
        <v/>
      </c>
      <c r="H66" s="47">
        <f>IF($BG66="","",INDEX(업무일지!$AB$5:$AB$1004,$BG66))</f>
        <v/>
      </c>
      <c r="I66" s="24">
        <f>IF($BG66="","",INDEX(업무일지!$AC$5:$AC$1004,$BG66))</f>
        <v/>
      </c>
      <c r="J66" s="25">
        <f>IF($BG66="","",INDEX(업무일지!$AD$5:$AD$1004,$BG66))</f>
        <v/>
      </c>
      <c r="K66" s="52">
        <f>IF($BG66="","",INDEX(업무일지!$AF$5:$AF$1004,$BG66))</f>
        <v/>
      </c>
      <c r="L66" s="47">
        <f>IF($BG66="","",INDEX(업무일지!$AG$5:$AG$1004,$BG66))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IF($BG67="","",INDEX(업무일지!$AE$5:$AE$1004,$BG67))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IF($BG67="","",INDEX(업무일지!$Z$5:$Z$1004,$BG67))</f>
        <v/>
      </c>
      <c r="H67" s="47">
        <f>IF($BG67="","",INDEX(업무일지!$AB$5:$AB$1004,$BG67))</f>
        <v/>
      </c>
      <c r="I67" s="24">
        <f>IF($BG67="","",INDEX(업무일지!$AC$5:$AC$1004,$BG67))</f>
        <v/>
      </c>
      <c r="J67" s="25">
        <f>IF($BG67="","",INDEX(업무일지!$AD$5:$AD$1004,$BG67))</f>
        <v/>
      </c>
      <c r="K67" s="52">
        <f>IF($BG67="","",INDEX(업무일지!$AF$5:$AF$1004,$BG67))</f>
        <v/>
      </c>
      <c r="L67" s="47">
        <f>IF($BG67="","",INDEX(업무일지!$AG$5:$AG$1004,$BG67))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IF($BG68="","",INDEX(업무일지!$AE$5:$AE$1004,$BG68))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IF($BG68="","",INDEX(업무일지!$Z$5:$Z$1004,$BG68))</f>
        <v/>
      </c>
      <c r="H68" s="47">
        <f>IF($BG68="","",INDEX(업무일지!$AB$5:$AB$1004,$BG68))</f>
        <v/>
      </c>
      <c r="I68" s="24">
        <f>IF($BG68="","",INDEX(업무일지!$AC$5:$AC$1004,$BG68))</f>
        <v/>
      </c>
      <c r="J68" s="25">
        <f>IF($BG68="","",INDEX(업무일지!$AD$5:$AD$1004,$BG68))</f>
        <v/>
      </c>
      <c r="K68" s="52">
        <f>IF($BG68="","",INDEX(업무일지!$AF$5:$AF$1004,$BG68))</f>
        <v/>
      </c>
      <c r="L68" s="47">
        <f>IF($BG68="","",INDEX(업무일지!$AG$5:$AG$1004,$BG68))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IF($BG69="","",INDEX(업무일지!$AE$5:$AE$1004,$BG69))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IF($BG69="","",INDEX(업무일지!$Z$5:$Z$1004,$BG69))</f>
        <v/>
      </c>
      <c r="H69" s="47">
        <f>IF($BG69="","",INDEX(업무일지!$AB$5:$AB$1004,$BG69))</f>
        <v/>
      </c>
      <c r="I69" s="24">
        <f>IF($BG69="","",INDEX(업무일지!$AC$5:$AC$1004,$BG69))</f>
        <v/>
      </c>
      <c r="J69" s="25">
        <f>IF($BG69="","",INDEX(업무일지!$AD$5:$AD$1004,$BG69))</f>
        <v/>
      </c>
      <c r="K69" s="52">
        <f>IF($BG69="","",INDEX(업무일지!$AF$5:$AF$1004,$BG69))</f>
        <v/>
      </c>
      <c r="L69" s="47">
        <f>IF($BG69="","",INDEX(업무일지!$AG$5:$AG$1004,$BG69))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IF($BG70="","",INDEX(업무일지!$AE$5:$AE$1004,$BG70))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IF($BG70="","",INDEX(업무일지!$Z$5:$Z$1004,$BG70))</f>
        <v/>
      </c>
      <c r="H70" s="47">
        <f>IF($BG70="","",INDEX(업무일지!$AB$5:$AB$1004,$BG70))</f>
        <v/>
      </c>
      <c r="I70" s="24">
        <f>IF($BG70="","",INDEX(업무일지!$AC$5:$AC$1004,$BG70))</f>
        <v/>
      </c>
      <c r="J70" s="25">
        <f>IF($BG70="","",INDEX(업무일지!$AD$5:$AD$1004,$BG70))</f>
        <v/>
      </c>
      <c r="K70" s="52">
        <f>IF($BG70="","",INDEX(업무일지!$AF$5:$AF$1004,$BG70))</f>
        <v/>
      </c>
      <c r="L70" s="47">
        <f>IF($BG70="","",INDEX(업무일지!$AG$5:$AG$1004,$BG70))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건수</t>
        </is>
      </c>
      <c r="B106" s="23" t="inlineStr">
        <is>
          <t>분석 건수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IF($B$4="","",SUMIFS(업무일지!$AE$5:$AE$1004,업무일지!$F$5:$F$1004,$B$4,업무일지!$D$5:$D$1004,"출장"))</f>
        <v/>
      </c>
      <c r="D107" s="24">
        <f>IF($B$4="","",SUMIFS(업무일지!$AC$5:$AC$1004,업무일지!$F$5:$F$1004,$B$4))</f>
        <v/>
      </c>
      <c r="E107" s="25">
        <f>IF($B$4="","",SUMIFS(업무일지!$AD$5:$AD$1004,업무일지!$F$5:$F$1004,$B$4))</f>
        <v/>
      </c>
      <c r="F107" s="24">
        <f>IF($B$4="","",COUNTIF(일일실시사항!$G$5:$G$1004,$B$4))</f>
        <v/>
      </c>
      <c r="G107" s="51">
        <f>IF($B$4="","",IFERROR(IF(_xlfn.MINIFS(업무일지!$B$5:$B$1004,업무일지!$F$5:$F$1004,$B$4)=0,"",_xlfn.MINIFS(업무일지!$B$5:$B$1004,업무일지!$F$5:$F$1004,$B$4)),""))</f>
        <v/>
      </c>
      <c r="H107" s="51">
        <f>IF($B$4="","",IFERROR(IF(_xlfn.MAXIFS(업무일지!$C$5:$C$1004,업무일지!$F$5:$F$1004,$B$4)=0,"",_xlfn.MAXIFS(업무일지!$C$5:$C$1004,업무일지!$F$5:$F$1004,$B$4)),""))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대상매체(건)</t>
        </is>
      </c>
      <c r="H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4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4">
        <f>SUMIFS(업무일지!$AC$5:$AC$1004,업무일지!$B$5:$B$1004,"&gt;="&amp;DATE($B$3,1,1),업무일지!$B$5:$B$1004,"&lt;"&amp;DATE($B$3,1+1,1))</f>
        <v/>
      </c>
      <c r="H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4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4">
        <f>SUMIFS(업무일지!$AC$5:$AC$1004,업무일지!$B$5:$B$1004,"&gt;="&amp;DATE($B$3,2,1),업무일지!$B$5:$B$1004,"&lt;"&amp;DATE($B$3,2+1,1))</f>
        <v/>
      </c>
      <c r="H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4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4">
        <f>SUMIFS(업무일지!$AC$5:$AC$1004,업무일지!$B$5:$B$1004,"&gt;="&amp;DATE($B$3,3,1),업무일지!$B$5:$B$1004,"&lt;"&amp;DATE($B$3,3+1,1))</f>
        <v/>
      </c>
      <c r="H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4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4">
        <f>SUMIFS(업무일지!$AC$5:$AC$1004,업무일지!$B$5:$B$1004,"&gt;="&amp;DATE($B$3,4,1),업무일지!$B$5:$B$1004,"&lt;"&amp;DATE($B$3,4+1,1))</f>
        <v/>
      </c>
      <c r="H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4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4">
        <f>SUMIFS(업무일지!$AC$5:$AC$1004,업무일지!$B$5:$B$1004,"&gt;="&amp;DATE($B$3,5,1),업무일지!$B$5:$B$1004,"&lt;"&amp;DATE($B$3,5+1,1))</f>
        <v/>
      </c>
      <c r="H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4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4">
        <f>SUMIFS(업무일지!$AC$5:$AC$1004,업무일지!$B$5:$B$1004,"&gt;="&amp;DATE($B$3,6,1),업무일지!$B$5:$B$1004,"&lt;"&amp;DATE($B$3,6+1,1))</f>
        <v/>
      </c>
      <c r="H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4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4">
        <f>SUMIFS(업무일지!$AC$5:$AC$1004,업무일지!$B$5:$B$1004,"&gt;="&amp;DATE($B$3,7,1),업무일지!$B$5:$B$1004,"&lt;"&amp;DATE($B$3,7+1,1))</f>
        <v/>
      </c>
      <c r="H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4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4">
        <f>SUMIFS(업무일지!$AC$5:$AC$1004,업무일지!$B$5:$B$1004,"&gt;="&amp;DATE($B$3,8,1),업무일지!$B$5:$B$1004,"&lt;"&amp;DATE($B$3,8+1,1))</f>
        <v/>
      </c>
      <c r="H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4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4">
        <f>SUMIFS(업무일지!$AC$5:$AC$1004,업무일지!$B$5:$B$1004,"&gt;="&amp;DATE($B$3,9,1),업무일지!$B$5:$B$1004,"&lt;"&amp;DATE($B$3,9+1,1))</f>
        <v/>
      </c>
      <c r="H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4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4">
        <f>SUMIFS(업무일지!$AC$5:$AC$1004,업무일지!$B$5:$B$1004,"&gt;="&amp;DATE($B$3,10,1),업무일지!$B$5:$B$1004,"&lt;"&amp;DATE($B$3,10+1,1))</f>
        <v/>
      </c>
      <c r="H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4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4">
        <f>SUMIFS(업무일지!$AC$5:$AC$1004,업무일지!$B$5:$B$1004,"&gt;="&amp;DATE($B$3,11,1),업무일지!$B$5:$B$1004,"&lt;"&amp;DATE($B$3,11+1,1))</f>
        <v/>
      </c>
      <c r="H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4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4">
        <f>SUMIFS(업무일지!$AC$5:$AC$1004,업무일지!$B$5:$B$1004,"&gt;="&amp;DATE($B$3,12,1),업무일지!$B$5:$B$1004,"&lt;"&amp;DATE($B$3,12+1,1))</f>
        <v/>
      </c>
      <c r="H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SUM(C7:C18)</f>
        <v/>
      </c>
      <c r="D19" s="28">
        <f>SUM(D7:D18)</f>
        <v/>
      </c>
      <c r="E19" s="28">
        <f>SUM(E7:E18)</f>
        <v/>
      </c>
      <c r="F19" s="28">
        <f>SUM(F7:F18)</f>
        <v/>
      </c>
      <c r="G19" s="28">
        <f>SUM(G7:G18)</f>
        <v/>
      </c>
      <c r="H19" s="28">
        <f>SUM(H7:H18)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4">
        <f>IF($B23="","",SUMIFS(업무일지!$AC$5:$AC$1004,업무일지!$B$5:$B$1004,"&gt;="&amp;DATE($B$3,1,1),업무일지!$B$5:$B$1004,"&lt;"&amp;DATE($B$3+1,1,1),업무일지!$E$5:$E$1004,$B23))</f>
        <v/>
      </c>
      <c r="G23" s="25">
        <f>IF($B23="","",SUMIFS(업무일지!$AD$5:$AD$1004,업무일지!$B$5:$B$1004,"&gt;="&amp;DATE($B$3,1,1),업무일지!$B$5:$B$1004,"&lt;"&amp;DATE($B$3+1,1,1),업무일지!$E$5:$E$1004,$B23))</f>
        <v/>
      </c>
      <c r="H23" s="57">
        <f>IFERROR(SUMIFS(업무일지!$AE$5:$AE$1004,업무일지!$B$5:$B$1004,"&gt;="&amp;DATE($B$3,1,1),업무일지!$B$5:$B$1004,"&lt;"&amp;DATE($B$3+1,1,1),업무일지!$E$5:$E$1004,$B23)/C23,0)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4">
        <f>IF($B24="","",SUMIFS(업무일지!$AC$5:$AC$1004,업무일지!$B$5:$B$1004,"&gt;="&amp;DATE($B$3,1,1),업무일지!$B$5:$B$1004,"&lt;"&amp;DATE($B$3+1,1,1),업무일지!$E$5:$E$1004,$B24))</f>
        <v/>
      </c>
      <c r="G24" s="25">
        <f>IF($B24="","",SUMIFS(업무일지!$AD$5:$AD$1004,업무일지!$B$5:$B$1004,"&gt;="&amp;DATE($B$3,1,1),업무일지!$B$5:$B$1004,"&lt;"&amp;DATE($B$3+1,1,1),업무일지!$E$5:$E$1004,$B24))</f>
        <v/>
      </c>
      <c r="H24" s="57">
        <f>IFERROR(SUMIFS(업무일지!$AE$5:$AE$1004,업무일지!$B$5:$B$1004,"&gt;="&amp;DATE($B$3,1,1),업무일지!$B$5:$B$1004,"&lt;"&amp;DATE($B$3+1,1,1),업무일지!$E$5:$E$1004,$B24)/C24,0)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4">
        <f>IF($B25="","",SUMIFS(업무일지!$AC$5:$AC$1004,업무일지!$B$5:$B$1004,"&gt;="&amp;DATE($B$3,1,1),업무일지!$B$5:$B$1004,"&lt;"&amp;DATE($B$3+1,1,1),업무일지!$E$5:$E$1004,$B25))</f>
        <v/>
      </c>
      <c r="G25" s="25">
        <f>IF($B25="","",SUMIFS(업무일지!$AD$5:$AD$1004,업무일지!$B$5:$B$1004,"&gt;="&amp;DATE($B$3,1,1),업무일지!$B$5:$B$1004,"&lt;"&amp;DATE($B$3+1,1,1),업무일지!$E$5:$E$1004,$B25))</f>
        <v/>
      </c>
      <c r="H25" s="57">
        <f>IFERROR(SUMIFS(업무일지!$AE$5:$AE$1004,업무일지!$B$5:$B$1004,"&gt;="&amp;DATE($B$3,1,1),업무일지!$B$5:$B$1004,"&lt;"&amp;DATE($B$3+1,1,1),업무일지!$E$5:$E$1004,$B25)/C25,0)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4">
        <f>IF($B26="","",SUMIFS(업무일지!$AC$5:$AC$1004,업무일지!$B$5:$B$1004,"&gt;="&amp;DATE($B$3,1,1),업무일지!$B$5:$B$1004,"&lt;"&amp;DATE($B$3+1,1,1),업무일지!$E$5:$E$1004,$B26))</f>
        <v/>
      </c>
      <c r="G26" s="25">
        <f>IF($B26="","",SUMIFS(업무일지!$AD$5:$AD$1004,업무일지!$B$5:$B$1004,"&gt;="&amp;DATE($B$3,1,1),업무일지!$B$5:$B$1004,"&lt;"&amp;DATE($B$3+1,1,1),업무일지!$E$5:$E$1004,$B26))</f>
        <v/>
      </c>
      <c r="H26" s="57">
        <f>IFERROR(SUMIFS(업무일지!$AE$5:$AE$1004,업무일지!$B$5:$B$1004,"&gt;="&amp;DATE($B$3,1,1),업무일지!$B$5:$B$1004,"&lt;"&amp;DATE($B$3+1,1,1),업무일지!$E$5:$E$1004,$B26)/C26,0)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4">
        <f>IF($B27="","",SUMIFS(업무일지!$AC$5:$AC$1004,업무일지!$B$5:$B$1004,"&gt;="&amp;DATE($B$3,1,1),업무일지!$B$5:$B$1004,"&lt;"&amp;DATE($B$3+1,1,1),업무일지!$E$5:$E$1004,$B27))</f>
        <v/>
      </c>
      <c r="G27" s="25">
        <f>IF($B27="","",SUMIFS(업무일지!$AD$5:$AD$1004,업무일지!$B$5:$B$1004,"&gt;="&amp;DATE($B$3,1,1),업무일지!$B$5:$B$1004,"&lt;"&amp;DATE($B$3+1,1,1),업무일지!$E$5:$E$1004,$B27))</f>
        <v/>
      </c>
      <c r="H27" s="57">
        <f>IFERROR(SUMIFS(업무일지!$AE$5:$AE$1004,업무일지!$B$5:$B$1004,"&gt;="&amp;DATE($B$3,1,1),업무일지!$B$5:$B$1004,"&lt;"&amp;DATE($B$3+1,1,1),업무일지!$E$5:$E$1004,$B27)/C27,0)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4">
        <f>IF($B28="","",SUMIFS(업무일지!$AC$5:$AC$1004,업무일지!$B$5:$B$1004,"&gt;="&amp;DATE($B$3,1,1),업무일지!$B$5:$B$1004,"&lt;"&amp;DATE($B$3+1,1,1),업무일지!$E$5:$E$1004,$B28))</f>
        <v/>
      </c>
      <c r="G28" s="25">
        <f>IF($B28="","",SUMIFS(업무일지!$AD$5:$AD$1004,업무일지!$B$5:$B$1004,"&gt;="&amp;DATE($B$3,1,1),업무일지!$B$5:$B$1004,"&lt;"&amp;DATE($B$3+1,1,1),업무일지!$E$5:$E$1004,$B28))</f>
        <v/>
      </c>
      <c r="H28" s="57">
        <f>IFERROR(SUMIFS(업무일지!$AE$5:$AE$1004,업무일지!$B$5:$B$1004,"&gt;="&amp;DATE($B$3,1,1),업무일지!$B$5:$B$1004,"&lt;"&amp;DATE($B$3+1,1,1),업무일지!$E$5:$E$1004,$B28)/C28,0)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4">
        <f>IF($B29="","",SUMIFS(업무일지!$AC$5:$AC$1004,업무일지!$B$5:$B$1004,"&gt;="&amp;DATE($B$3,1,1),업무일지!$B$5:$B$1004,"&lt;"&amp;DATE($B$3+1,1,1),업무일지!$E$5:$E$1004,$B29))</f>
        <v/>
      </c>
      <c r="G29" s="25">
        <f>IF($B29="","",SUMIFS(업무일지!$AD$5:$AD$1004,업무일지!$B$5:$B$1004,"&gt;="&amp;DATE($B$3,1,1),업무일지!$B$5:$B$1004,"&lt;"&amp;DATE($B$3+1,1,1),업무일지!$E$5:$E$1004,$B29))</f>
        <v/>
      </c>
      <c r="H29" s="57">
        <f>IFERROR(SUMIFS(업무일지!$AE$5:$AE$1004,업무일지!$B$5:$B$1004,"&gt;="&amp;DATE($B$3,1,1),업무일지!$B$5:$B$1004,"&lt;"&amp;DATE($B$3+1,1,1),업무일지!$E$5:$E$1004,$B29)/C29,0)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4">
        <f>IF($B30="","",SUMIFS(업무일지!$AC$5:$AC$1004,업무일지!$B$5:$B$1004,"&gt;="&amp;DATE($B$3,1,1),업무일지!$B$5:$B$1004,"&lt;"&amp;DATE($B$3+1,1,1),업무일지!$E$5:$E$1004,$B30))</f>
        <v/>
      </c>
      <c r="G30" s="25">
        <f>IF($B30="","",SUMIFS(업무일지!$AD$5:$AD$1004,업무일지!$B$5:$B$1004,"&gt;="&amp;DATE($B$3,1,1),업무일지!$B$5:$B$1004,"&lt;"&amp;DATE($B$3+1,1,1),업무일지!$E$5:$E$1004,$B30))</f>
        <v/>
      </c>
      <c r="H30" s="57">
        <f>IFERROR(SUMIFS(업무일지!$AE$5:$AE$1004,업무일지!$B$5:$B$1004,"&gt;="&amp;DATE($B$3,1,1),업무일지!$B$5:$B$1004,"&lt;"&amp;DATE($B$3+1,1,1),업무일지!$E$5:$E$1004,$B30)/C30,0)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4">
        <f>IF($B31="","",SUMIFS(업무일지!$AC$5:$AC$1004,업무일지!$B$5:$B$1004,"&gt;="&amp;DATE($B$3,1,1),업무일지!$B$5:$B$1004,"&lt;"&amp;DATE($B$3+1,1,1),업무일지!$E$5:$E$1004,$B31))</f>
        <v/>
      </c>
      <c r="G31" s="25">
        <f>IF($B31="","",SUMIFS(업무일지!$AD$5:$AD$1004,업무일지!$B$5:$B$1004,"&gt;="&amp;DATE($B$3,1,1),업무일지!$B$5:$B$1004,"&lt;"&amp;DATE($B$3+1,1,1),업무일지!$E$5:$E$1004,$B31))</f>
        <v/>
      </c>
      <c r="H31" s="57">
        <f>IFERROR(SUMIFS(업무일지!$AE$5:$AE$1004,업무일지!$B$5:$B$1004,"&gt;="&amp;DATE($B$3,1,1),업무일지!$B$5:$B$1004,"&lt;"&amp;DATE($B$3+1,1,1),업무일지!$E$5:$E$1004,$B31)/C31,0)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4">
        <f>IF($B32="","",SUMIFS(업무일지!$AC$5:$AC$1004,업무일지!$B$5:$B$1004,"&gt;="&amp;DATE($B$3,1,1),업무일지!$B$5:$B$1004,"&lt;"&amp;DATE($B$3+1,1,1),업무일지!$E$5:$E$1004,$B32))</f>
        <v/>
      </c>
      <c r="G32" s="25">
        <f>IF($B32="","",SUMIFS(업무일지!$AD$5:$AD$1004,업무일지!$B$5:$B$1004,"&gt;="&amp;DATE($B$3,1,1),업무일지!$B$5:$B$1004,"&lt;"&amp;DATE($B$3+1,1,1),업무일지!$E$5:$E$1004,$B32))</f>
        <v/>
      </c>
      <c r="H32" s="57">
        <f>IFERROR(SUMIFS(업무일지!$AE$5:$AE$1004,업무일지!$B$5:$B$1004,"&gt;="&amp;DATE($B$3,1,1),업무일지!$B$5:$B$1004,"&lt;"&amp;DATE($B$3+1,1,1),업무일지!$E$5:$E$1004,$B32)/C32,0)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4">
        <f>IF($B33="","",SUMIFS(업무일지!$AC$5:$AC$1004,업무일지!$B$5:$B$1004,"&gt;="&amp;DATE($B$3,1,1),업무일지!$B$5:$B$1004,"&lt;"&amp;DATE($B$3+1,1,1),업무일지!$E$5:$E$1004,$B33))</f>
        <v/>
      </c>
      <c r="G33" s="25">
        <f>IF($B33="","",SUMIFS(업무일지!$AD$5:$AD$1004,업무일지!$B$5:$B$1004,"&gt;="&amp;DATE($B$3,1,1),업무일지!$B$5:$B$1004,"&lt;"&amp;DATE($B$3+1,1,1),업무일지!$E$5:$E$1004,$B33))</f>
        <v/>
      </c>
      <c r="H33" s="57">
        <f>IFERROR(SUMIFS(업무일지!$AE$5:$AE$1004,업무일지!$B$5:$B$1004,"&gt;="&amp;DATE($B$3,1,1),업무일지!$B$5:$B$1004,"&lt;"&amp;DATE($B$3+1,1,1),업무일지!$E$5:$E$1004,$B33)/C33,0)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4">
        <f>IF($B34="","",SUMIFS(업무일지!$AC$5:$AC$1004,업무일지!$B$5:$B$1004,"&gt;="&amp;DATE($B$3,1,1),업무일지!$B$5:$B$1004,"&lt;"&amp;DATE($B$3+1,1,1),업무일지!$E$5:$E$1004,$B34))</f>
        <v/>
      </c>
      <c r="G34" s="25">
        <f>IF($B34="","",SUMIFS(업무일지!$AD$5:$AD$1004,업무일지!$B$5:$B$1004,"&gt;="&amp;DATE($B$3,1,1),업무일지!$B$5:$B$1004,"&lt;"&amp;DATE($B$3+1,1,1),업무일지!$E$5:$E$1004,$B34))</f>
        <v/>
      </c>
      <c r="H34" s="57">
        <f>IFERROR(SUMIFS(업무일지!$AE$5:$AE$1004,업무일지!$B$5:$B$1004,"&gt;="&amp;DATE($B$3,1,1),업무일지!$B$5:$B$1004,"&lt;"&amp;DATE($B$3+1,1,1),업무일지!$E$5:$E$1004,$B34)/C34,0)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4">
        <f>IF($B35="","",SUMIFS(업무일지!$AC$5:$AC$1004,업무일지!$B$5:$B$1004,"&gt;="&amp;DATE($B$3,1,1),업무일지!$B$5:$B$1004,"&lt;"&amp;DATE($B$3+1,1,1),업무일지!$E$5:$E$1004,$B35))</f>
        <v/>
      </c>
      <c r="G35" s="25">
        <f>IF($B35="","",SUMIFS(업무일지!$AD$5:$AD$1004,업무일지!$B$5:$B$1004,"&gt;="&amp;DATE($B$3,1,1),업무일지!$B$5:$B$1004,"&lt;"&amp;DATE($B$3+1,1,1),업무일지!$E$5:$E$1004,$B35))</f>
        <v/>
      </c>
      <c r="H35" s="57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 건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4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4">
        <f>IF($A40="","",SUMIFS(업무일지!$AC$5:$AC$1004,업무일지!$B$5:$B$1004,"&gt;="&amp;DATE($B$3,1,1),업무일지!$B$5:$B$1004,"&lt;"&amp;DATE($B$3+1,1,1),업무일지!$AA$5:$AA$1004,$A40))</f>
        <v/>
      </c>
      <c r="H40" s="24">
        <f>IF($A40="","",COUNTIFS(업무일지!$B$5:$B$1004,"&gt;="&amp;DATE($B$3,1,1),업무일지!$B$5:$B$1004,"&lt;"&amp;DATE($B$3+1,1,1),업무일지!$AA$5:$AA$1004,$A40,업무일지!$AF$5:$AF$1004,"진행중"))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4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4">
        <f>IF($A41="","",SUMIFS(업무일지!$AC$5:$AC$1004,업무일지!$B$5:$B$1004,"&gt;="&amp;DATE($B$3,1,1),업무일지!$B$5:$B$1004,"&lt;"&amp;DATE($B$3+1,1,1),업무일지!$AA$5:$AA$1004,$A41))</f>
        <v/>
      </c>
      <c r="H41" s="24">
        <f>IF($A41="","",COUNTIFS(업무일지!$B$5:$B$1004,"&gt;="&amp;DATE($B$3,1,1),업무일지!$B$5:$B$1004,"&lt;"&amp;DATE($B$3+1,1,1),업무일지!$AA$5:$AA$1004,$A41,업무일지!$AF$5:$AF$1004,"진행중"))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4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4">
        <f>IF($A42="","",SUMIFS(업무일지!$AC$5:$AC$1004,업무일지!$B$5:$B$1004,"&gt;="&amp;DATE($B$3,1,1),업무일지!$B$5:$B$1004,"&lt;"&amp;DATE($B$3+1,1,1),업무일지!$AA$5:$AA$1004,$A42))</f>
        <v/>
      </c>
      <c r="H42" s="24">
        <f>IF($A42="","",COUNTIFS(업무일지!$B$5:$B$1004,"&gt;="&amp;DATE($B$3,1,1),업무일지!$B$5:$B$1004,"&lt;"&amp;DATE($B$3+1,1,1),업무일지!$AA$5:$AA$1004,$A42,업무일지!$AF$5:$AF$1004,"진행중"))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4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4">
        <f>IF($A43="","",SUMIFS(업무일지!$AC$5:$AC$1004,업무일지!$B$5:$B$1004,"&gt;="&amp;DATE($B$3,1,1),업무일지!$B$5:$B$1004,"&lt;"&amp;DATE($B$3+1,1,1),업무일지!$AA$5:$AA$1004,$A43))</f>
        <v/>
      </c>
      <c r="H43" s="24">
        <f>IF($A43="","",COUNTIFS(업무일지!$B$5:$B$1004,"&gt;="&amp;DATE($B$3,1,1),업무일지!$B$5:$B$1004,"&lt;"&amp;DATE($B$3+1,1,1),업무일지!$AA$5:$AA$1004,$A43,업무일지!$AF$5:$AF$1004,"진행중"))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4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4">
        <f>IF($A44="","",SUMIFS(업무일지!$AC$5:$AC$1004,업무일지!$B$5:$B$1004,"&gt;="&amp;DATE($B$3,1,1),업무일지!$B$5:$B$1004,"&lt;"&amp;DATE($B$3+1,1,1),업무일지!$AA$5:$AA$1004,$A44))</f>
        <v/>
      </c>
      <c r="H44" s="24">
        <f>IF($A44="","",COUNTIFS(업무일지!$B$5:$B$1004,"&gt;="&amp;DATE($B$3,1,1),업무일지!$B$5:$B$1004,"&lt;"&amp;DATE($B$3+1,1,1),업무일지!$AA$5:$AA$1004,$A44,업무일지!$AF$5:$AF$1004,"진행중"))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4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4">
        <f>IF($A45="","",SUMIFS(업무일지!$AC$5:$AC$1004,업무일지!$B$5:$B$1004,"&gt;="&amp;DATE($B$3,1,1),업무일지!$B$5:$B$1004,"&lt;"&amp;DATE($B$3+1,1,1),업무일지!$AA$5:$AA$1004,$A45))</f>
        <v/>
      </c>
      <c r="H45" s="24">
        <f>IF($A45="","",COUNTIFS(업무일지!$B$5:$B$1004,"&gt;="&amp;DATE($B$3,1,1),업무일지!$B$5:$B$1004,"&lt;"&amp;DATE($B$3+1,1,1),업무일지!$AA$5:$AA$1004,$A45,업무일지!$AF$5:$AF$1004,"진행중"))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4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4">
        <f>IF($A46="","",SUMIFS(업무일지!$AC$5:$AC$1004,업무일지!$B$5:$B$1004,"&gt;="&amp;DATE($B$3,1,1),업무일지!$B$5:$B$1004,"&lt;"&amp;DATE($B$3+1,1,1),업무일지!$AA$5:$AA$1004,$A46))</f>
        <v/>
      </c>
      <c r="H46" s="24">
        <f>IF($A46="","",COUNTIFS(업무일지!$B$5:$B$1004,"&gt;="&amp;DATE($B$3,1,1),업무일지!$B$5:$B$1004,"&lt;"&amp;DATE($B$3+1,1,1),업무일지!$AA$5:$AA$1004,$A46,업무일지!$AF$5:$AF$1004,"진행중"))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4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4">
        <f>IF($A47="","",SUMIFS(업무일지!$AC$5:$AC$1004,업무일지!$B$5:$B$1004,"&gt;="&amp;DATE($B$3,1,1),업무일지!$B$5:$B$1004,"&lt;"&amp;DATE($B$3+1,1,1),업무일지!$AA$5:$AA$1004,$A47))</f>
        <v/>
      </c>
      <c r="H47" s="24">
        <f>IF($A47="","",COUNTIFS(업무일지!$B$5:$B$1004,"&gt;="&amp;DATE($B$3,1,1),업무일지!$B$5:$B$1004,"&lt;"&amp;DATE($B$3+1,1,1),업무일지!$AA$5:$AA$1004,$A47,업무일지!$AF$5:$AF$1004,"진행중"))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4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4">
        <f>IF($A48="","",SUMIFS(업무일지!$AC$5:$AC$1004,업무일지!$B$5:$B$1004,"&gt;="&amp;DATE($B$3,1,1),업무일지!$B$5:$B$1004,"&lt;"&amp;DATE($B$3+1,1,1),업무일지!$AA$5:$AA$1004,$A48))</f>
        <v/>
      </c>
      <c r="H48" s="24">
        <f>IF($A48="","",COUNTIFS(업무일지!$B$5:$B$1004,"&gt;="&amp;DATE($B$3,1,1),업무일지!$B$5:$B$1004,"&lt;"&amp;DATE($B$3+1,1,1),업무일지!$AA$5:$AA$1004,$A48,업무일지!$AF$5:$AF$1004,"진행중"))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4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4">
        <f>IF($A49="","",SUMIFS(업무일지!$AC$5:$AC$1004,업무일지!$B$5:$B$1004,"&gt;="&amp;DATE($B$3,1,1),업무일지!$B$5:$B$1004,"&lt;"&amp;DATE($B$3+1,1,1),업무일지!$AA$5:$AA$1004,$A49))</f>
        <v/>
      </c>
      <c r="H49" s="24">
        <f>IF($A49="","",COUNTIFS(업무일지!$B$5:$B$1004,"&gt;="&amp;DATE($B$3,1,1),업무일지!$B$5:$B$1004,"&lt;"&amp;DATE($B$3+1,1,1),업무일지!$AA$5:$AA$1004,$A49,업무일지!$AF$5:$AF$1004,"진행중"))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IF($A54="","",COUNTIFS(업무일지!$B$5:$B$1004,"&gt;="&amp;DATE($B$3,1,1),업무일지!$B$5:$B$1004,"&lt;"&amp;DATE($B$3+1,1,1),업무일지!$AF$5:$AF$1004,$A54,업무일지!$D$5:$D$1004,"출장"))</f>
        <v/>
      </c>
      <c r="C54" s="24">
        <f>IF($A54="","",COUNTIFS(업무일지!$B$5:$B$1004,"&gt;="&amp;DATE($B$3,1,1),업무일지!$B$5:$B$1004,"&lt;"&amp;DATE($B$3+1,1,1),업무일지!$AF$5:$AF$1004,$A54,업무일지!$D$5:$D$1004,"분석"))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IF($A55="","",COUNTIFS(업무일지!$B$5:$B$1004,"&gt;="&amp;DATE($B$3,1,1),업무일지!$B$5:$B$1004,"&lt;"&amp;DATE($B$3+1,1,1),업무일지!$AF$5:$AF$1004,$A55,업무일지!$D$5:$D$1004,"출장"))</f>
        <v/>
      </c>
      <c r="C55" s="24">
        <f>IF($A55="","",COUNTIFS(업무일지!$B$5:$B$1004,"&gt;="&amp;DATE($B$3,1,1),업무일지!$B$5:$B$1004,"&lt;"&amp;DATE($B$3+1,1,1),업무일지!$AF$5:$AF$1004,$A55,업무일지!$D$5:$D$1004,"분석"))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IF($A56="","",COUNTIFS(업무일지!$B$5:$B$1004,"&gt;="&amp;DATE($B$3,1,1),업무일지!$B$5:$B$1004,"&lt;"&amp;DATE($B$3+1,1,1),업무일지!$AF$5:$AF$1004,$A56,업무일지!$D$5:$D$1004,"출장"))</f>
        <v/>
      </c>
      <c r="C56" s="24">
        <f>IF($A56="","",COUNTIFS(업무일지!$B$5:$B$1004,"&gt;="&amp;DATE($B$3,1,1),업무일지!$B$5:$B$1004,"&lt;"&amp;DATE($B$3+1,1,1),업무일지!$AF$5:$AF$1004,$A56,업무일지!$D$5:$D$1004,"분석"))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 건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P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3">
        <f>IF($A6="","",F6+G6)</f>
        <v/>
      </c>
      <c r="I6" s="24">
        <f>IF($A6="","",SUMIFS(업무일지!$AE$5:$AE$1004,업무일지!$F$5:$F$1004,$A6,업무일지!$D$5:$D$1004,"출장"))</f>
        <v/>
      </c>
      <c r="J6" s="24">
        <f>IF($A6="","",SUMIFS(업무일지!$AC$5:$AC$1004,업무일지!$F$5:$F$1004,$A6))</f>
        <v/>
      </c>
      <c r="K6" s="25">
        <f>IF($A6="","",SUMIFS(업무일지!$AD$5:$AD$1004,업무일지!$F$5:$F$1004,$A6))</f>
        <v/>
      </c>
      <c r="L6" s="24">
        <f>IF($A6="","",COUNTIF(일일실시사항!$G$5:$G$1004,$A6))</f>
        <v/>
      </c>
      <c r="M6" s="51">
        <f>IF($A6="","",IFERROR(IF(_xlfn.MINIFS(업무일지!$B$5:$B$1004,업무일지!$F$5:$F$1004,$A6)=0,"",_xlfn.MINIFS(업무일지!$B$5:$B$1004,업무일지!$F$5:$F$1004,$A6)),""))</f>
        <v/>
      </c>
      <c r="N6" s="51">
        <f>IF($A6="","",IFERROR(IF(_xlfn.MAXIFS(업무일지!$C$5:$C$1004,업무일지!$F$5:$F$1004,$A6)=0,"",_xlfn.MAXIFS(업무일지!$C$5:$C$1004,업무일지!$F$5:$F$1004,$A6)),""))</f>
        <v/>
      </c>
      <c r="O6" s="43">
        <f>IF(OR($M6="",$N6=""),"",$N6-$M6+1)</f>
        <v/>
      </c>
      <c r="P6" s="52">
        <f>IF($A6="","",사건마스터!$E5)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3">
        <f>IF($A7="","",F7+G7)</f>
        <v/>
      </c>
      <c r="I7" s="24">
        <f>IF($A7="","",SUMIFS(업무일지!$AE$5:$AE$1004,업무일지!$F$5:$F$1004,$A7,업무일지!$D$5:$D$1004,"출장"))</f>
        <v/>
      </c>
      <c r="J7" s="24">
        <f>IF($A7="","",SUMIFS(업무일지!$AC$5:$AC$1004,업무일지!$F$5:$F$1004,$A7))</f>
        <v/>
      </c>
      <c r="K7" s="25">
        <f>IF($A7="","",SUMIFS(업무일지!$AD$5:$AD$1004,업무일지!$F$5:$F$1004,$A7))</f>
        <v/>
      </c>
      <c r="L7" s="24">
        <f>IF($A7="","",COUNTIF(일일실시사항!$G$5:$G$1004,$A7))</f>
        <v/>
      </c>
      <c r="M7" s="51">
        <f>IF($A7="","",IFERROR(IF(_xlfn.MINIFS(업무일지!$B$5:$B$1004,업무일지!$F$5:$F$1004,$A7)=0,"",_xlfn.MINIFS(업무일지!$B$5:$B$1004,업무일지!$F$5:$F$1004,$A7)),""))</f>
        <v/>
      </c>
      <c r="N7" s="51">
        <f>IF($A7="","",IFERROR(IF(_xlfn.MAXIFS(업무일지!$C$5:$C$1004,업무일지!$F$5:$F$1004,$A7)=0,"",_xlfn.MAXIFS(업무일지!$C$5:$C$1004,업무일지!$F$5:$F$1004,$A7)),""))</f>
        <v/>
      </c>
      <c r="O7" s="43">
        <f>IF(OR($M7="",$N7=""),"",$N7-$M7+1)</f>
        <v/>
      </c>
      <c r="P7" s="52">
        <f>IF($A7="","",사건마스터!$E6)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3">
        <f>IF($A8="","",F8+G8)</f>
        <v/>
      </c>
      <c r="I8" s="24">
        <f>IF($A8="","",SUMIFS(업무일지!$AE$5:$AE$1004,업무일지!$F$5:$F$1004,$A8,업무일지!$D$5:$D$1004,"출장"))</f>
        <v/>
      </c>
      <c r="J8" s="24">
        <f>IF($A8="","",SUMIFS(업무일지!$AC$5:$AC$1004,업무일지!$F$5:$F$1004,$A8))</f>
        <v/>
      </c>
      <c r="K8" s="25">
        <f>IF($A8="","",SUMIFS(업무일지!$AD$5:$AD$1004,업무일지!$F$5:$F$1004,$A8))</f>
        <v/>
      </c>
      <c r="L8" s="24">
        <f>IF($A8="","",COUNTIF(일일실시사항!$G$5:$G$1004,$A8))</f>
        <v/>
      </c>
      <c r="M8" s="51">
        <f>IF($A8="","",IFERROR(IF(_xlfn.MINIFS(업무일지!$B$5:$B$1004,업무일지!$F$5:$F$1004,$A8)=0,"",_xlfn.MINIFS(업무일지!$B$5:$B$1004,업무일지!$F$5:$F$1004,$A8)),""))</f>
        <v/>
      </c>
      <c r="N8" s="51">
        <f>IF($A8="","",IFERROR(IF(_xlfn.MAXIFS(업무일지!$C$5:$C$1004,업무일지!$F$5:$F$1004,$A8)=0,"",_xlfn.MAXIFS(업무일지!$C$5:$C$1004,업무일지!$F$5:$F$1004,$A8)),""))</f>
        <v/>
      </c>
      <c r="O8" s="43">
        <f>IF(OR($M8="",$N8=""),"",$N8-$M8+1)</f>
        <v/>
      </c>
      <c r="P8" s="52">
        <f>IF($A8="","",사건마스터!$E7)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3">
        <f>IF($A9="","",F9+G9)</f>
        <v/>
      </c>
      <c r="I9" s="24">
        <f>IF($A9="","",SUMIFS(업무일지!$AE$5:$AE$1004,업무일지!$F$5:$F$1004,$A9,업무일지!$D$5:$D$1004,"출장"))</f>
        <v/>
      </c>
      <c r="J9" s="24">
        <f>IF($A9="","",SUMIFS(업무일지!$AC$5:$AC$1004,업무일지!$F$5:$F$1004,$A9))</f>
        <v/>
      </c>
      <c r="K9" s="25">
        <f>IF($A9="","",SUMIFS(업무일지!$AD$5:$AD$1004,업무일지!$F$5:$F$1004,$A9))</f>
        <v/>
      </c>
      <c r="L9" s="24">
        <f>IF($A9="","",COUNTIF(일일실시사항!$G$5:$G$1004,$A9))</f>
        <v/>
      </c>
      <c r="M9" s="51">
        <f>IF($A9="","",IFERROR(IF(_xlfn.MINIFS(업무일지!$B$5:$B$1004,업무일지!$F$5:$F$1004,$A9)=0,"",_xlfn.MINIFS(업무일지!$B$5:$B$1004,업무일지!$F$5:$F$1004,$A9)),""))</f>
        <v/>
      </c>
      <c r="N9" s="51">
        <f>IF($A9="","",IFERROR(IF(_xlfn.MAXIFS(업무일지!$C$5:$C$1004,업무일지!$F$5:$F$1004,$A9)=0,"",_xlfn.MAXIFS(업무일지!$C$5:$C$1004,업무일지!$F$5:$F$1004,$A9)),""))</f>
        <v/>
      </c>
      <c r="O9" s="43">
        <f>IF(OR($M9="",$N9=""),"",$N9-$M9+1)</f>
        <v/>
      </c>
      <c r="P9" s="52">
        <f>IF($A9="","",사건마스터!$E8)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3">
        <f>IF($A10="","",F10+G10)</f>
        <v/>
      </c>
      <c r="I10" s="24">
        <f>IF($A10="","",SUMIFS(업무일지!$AE$5:$AE$1004,업무일지!$F$5:$F$1004,$A10,업무일지!$D$5:$D$1004,"출장"))</f>
        <v/>
      </c>
      <c r="J10" s="24">
        <f>IF($A10="","",SUMIFS(업무일지!$AC$5:$AC$1004,업무일지!$F$5:$F$1004,$A10))</f>
        <v/>
      </c>
      <c r="K10" s="25">
        <f>IF($A10="","",SUMIFS(업무일지!$AD$5:$AD$1004,업무일지!$F$5:$F$1004,$A10))</f>
        <v/>
      </c>
      <c r="L10" s="24">
        <f>IF($A10="","",COUNTIF(일일실시사항!$G$5:$G$1004,$A10))</f>
        <v/>
      </c>
      <c r="M10" s="51">
        <f>IF($A10="","",IFERROR(IF(_xlfn.MINIFS(업무일지!$B$5:$B$1004,업무일지!$F$5:$F$1004,$A10)=0,"",_xlfn.MINIFS(업무일지!$B$5:$B$1004,업무일지!$F$5:$F$1004,$A10)),""))</f>
        <v/>
      </c>
      <c r="N10" s="51">
        <f>IF($A10="","",IFERROR(IF(_xlfn.MAXIFS(업무일지!$C$5:$C$1004,업무일지!$F$5:$F$1004,$A10)=0,"",_xlfn.MAXIFS(업무일지!$C$5:$C$1004,업무일지!$F$5:$F$1004,$A10)),""))</f>
        <v/>
      </c>
      <c r="O10" s="43">
        <f>IF(OR($M10="",$N10=""),"",$N10-$M10+1)</f>
        <v/>
      </c>
      <c r="P10" s="52">
        <f>IF($A10="","",사건마스터!$E9)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3">
        <f>IF($A11="","",F11+G11)</f>
        <v/>
      </c>
      <c r="I11" s="24">
        <f>IF($A11="","",SUMIFS(업무일지!$AE$5:$AE$1004,업무일지!$F$5:$F$1004,$A11,업무일지!$D$5:$D$1004,"출장"))</f>
        <v/>
      </c>
      <c r="J11" s="24">
        <f>IF($A11="","",SUMIFS(업무일지!$AC$5:$AC$1004,업무일지!$F$5:$F$1004,$A11))</f>
        <v/>
      </c>
      <c r="K11" s="25">
        <f>IF($A11="","",SUMIFS(업무일지!$AD$5:$AD$1004,업무일지!$F$5:$F$1004,$A11))</f>
        <v/>
      </c>
      <c r="L11" s="24">
        <f>IF($A11="","",COUNTIF(일일실시사항!$G$5:$G$1004,$A11))</f>
        <v/>
      </c>
      <c r="M11" s="51">
        <f>IF($A11="","",IFERROR(IF(_xlfn.MINIFS(업무일지!$B$5:$B$1004,업무일지!$F$5:$F$1004,$A11)=0,"",_xlfn.MINIFS(업무일지!$B$5:$B$1004,업무일지!$F$5:$F$1004,$A11)),""))</f>
        <v/>
      </c>
      <c r="N11" s="51">
        <f>IF($A11="","",IFERROR(IF(_xlfn.MAXIFS(업무일지!$C$5:$C$1004,업무일지!$F$5:$F$1004,$A11)=0,"",_xlfn.MAXIFS(업무일지!$C$5:$C$1004,업무일지!$F$5:$F$1004,$A11)),""))</f>
        <v/>
      </c>
      <c r="O11" s="43">
        <f>IF(OR($M11="",$N11=""),"",$N11-$M11+1)</f>
        <v/>
      </c>
      <c r="P11" s="52">
        <f>IF($A11="","",사건마스터!$E10)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3">
        <f>IF($A12="","",F12+G12)</f>
        <v/>
      </c>
      <c r="I12" s="24">
        <f>IF($A12="","",SUMIFS(업무일지!$AE$5:$AE$1004,업무일지!$F$5:$F$1004,$A12,업무일지!$D$5:$D$1004,"출장"))</f>
        <v/>
      </c>
      <c r="J12" s="24">
        <f>IF($A12="","",SUMIFS(업무일지!$AC$5:$AC$1004,업무일지!$F$5:$F$1004,$A12))</f>
        <v/>
      </c>
      <c r="K12" s="25">
        <f>IF($A12="","",SUMIFS(업무일지!$AD$5:$AD$1004,업무일지!$F$5:$F$1004,$A12))</f>
        <v/>
      </c>
      <c r="L12" s="24">
        <f>IF($A12="","",COUNTIF(일일실시사항!$G$5:$G$1004,$A12))</f>
        <v/>
      </c>
      <c r="M12" s="51">
        <f>IF($A12="","",IFERROR(IF(_xlfn.MINIFS(업무일지!$B$5:$B$1004,업무일지!$F$5:$F$1004,$A12)=0,"",_xlfn.MINIFS(업무일지!$B$5:$B$1004,업무일지!$F$5:$F$1004,$A12)),""))</f>
        <v/>
      </c>
      <c r="N12" s="51">
        <f>IF($A12="","",IFERROR(IF(_xlfn.MAXIFS(업무일지!$C$5:$C$1004,업무일지!$F$5:$F$1004,$A12)=0,"",_xlfn.MAXIFS(업무일지!$C$5:$C$1004,업무일지!$F$5:$F$1004,$A12)),""))</f>
        <v/>
      </c>
      <c r="O12" s="43">
        <f>IF(OR($M12="",$N12=""),"",$N12-$M12+1)</f>
        <v/>
      </c>
      <c r="P12" s="52">
        <f>IF($A12="","",사건마스터!$E11)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3">
        <f>IF($A13="","",F13+G13)</f>
        <v/>
      </c>
      <c r="I13" s="24">
        <f>IF($A13="","",SUMIFS(업무일지!$AE$5:$AE$1004,업무일지!$F$5:$F$1004,$A13,업무일지!$D$5:$D$1004,"출장"))</f>
        <v/>
      </c>
      <c r="J13" s="24">
        <f>IF($A13="","",SUMIFS(업무일지!$AC$5:$AC$1004,업무일지!$F$5:$F$1004,$A13))</f>
        <v/>
      </c>
      <c r="K13" s="25">
        <f>IF($A13="","",SUMIFS(업무일지!$AD$5:$AD$1004,업무일지!$F$5:$F$1004,$A13))</f>
        <v/>
      </c>
      <c r="L13" s="24">
        <f>IF($A13="","",COUNTIF(일일실시사항!$G$5:$G$1004,$A13))</f>
        <v/>
      </c>
      <c r="M13" s="51">
        <f>IF($A13="","",IFERROR(IF(_xlfn.MINIFS(업무일지!$B$5:$B$1004,업무일지!$F$5:$F$1004,$A13)=0,"",_xlfn.MINIFS(업무일지!$B$5:$B$1004,업무일지!$F$5:$F$1004,$A13)),""))</f>
        <v/>
      </c>
      <c r="N13" s="51">
        <f>IF($A13="","",IFERROR(IF(_xlfn.MAXIFS(업무일지!$C$5:$C$1004,업무일지!$F$5:$F$1004,$A13)=0,"",_xlfn.MAXIFS(업무일지!$C$5:$C$1004,업무일지!$F$5:$F$1004,$A13)),""))</f>
        <v/>
      </c>
      <c r="O13" s="43">
        <f>IF(OR($M13="",$N13=""),"",$N13-$M13+1)</f>
        <v/>
      </c>
      <c r="P13" s="52">
        <f>IF($A13="","",사건마스터!$E12)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3">
        <f>IF($A14="","",F14+G14)</f>
        <v/>
      </c>
      <c r="I14" s="24">
        <f>IF($A14="","",SUMIFS(업무일지!$AE$5:$AE$1004,업무일지!$F$5:$F$1004,$A14,업무일지!$D$5:$D$1004,"출장"))</f>
        <v/>
      </c>
      <c r="J14" s="24">
        <f>IF($A14="","",SUMIFS(업무일지!$AC$5:$AC$1004,업무일지!$F$5:$F$1004,$A14))</f>
        <v/>
      </c>
      <c r="K14" s="25">
        <f>IF($A14="","",SUMIFS(업무일지!$AD$5:$AD$1004,업무일지!$F$5:$F$1004,$A14))</f>
        <v/>
      </c>
      <c r="L14" s="24">
        <f>IF($A14="","",COUNTIF(일일실시사항!$G$5:$G$1004,$A14))</f>
        <v/>
      </c>
      <c r="M14" s="51">
        <f>IF($A14="","",IFERROR(IF(_xlfn.MINIFS(업무일지!$B$5:$B$1004,업무일지!$F$5:$F$1004,$A14)=0,"",_xlfn.MINIFS(업무일지!$B$5:$B$1004,업무일지!$F$5:$F$1004,$A14)),""))</f>
        <v/>
      </c>
      <c r="N14" s="51">
        <f>IF($A14="","",IFERROR(IF(_xlfn.MAXIFS(업무일지!$C$5:$C$1004,업무일지!$F$5:$F$1004,$A14)=0,"",_xlfn.MAXIFS(업무일지!$C$5:$C$1004,업무일지!$F$5:$F$1004,$A14)),""))</f>
        <v/>
      </c>
      <c r="O14" s="43">
        <f>IF(OR($M14="",$N14=""),"",$N14-$M14+1)</f>
        <v/>
      </c>
      <c r="P14" s="52">
        <f>IF($A14="","",사건마스터!$E13)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3">
        <f>IF($A15="","",F15+G15)</f>
        <v/>
      </c>
      <c r="I15" s="24">
        <f>IF($A15="","",SUMIFS(업무일지!$AE$5:$AE$1004,업무일지!$F$5:$F$1004,$A15,업무일지!$D$5:$D$1004,"출장"))</f>
        <v/>
      </c>
      <c r="J15" s="24">
        <f>IF($A15="","",SUMIFS(업무일지!$AC$5:$AC$1004,업무일지!$F$5:$F$1004,$A15))</f>
        <v/>
      </c>
      <c r="K15" s="25">
        <f>IF($A15="","",SUMIFS(업무일지!$AD$5:$AD$1004,업무일지!$F$5:$F$1004,$A15))</f>
        <v/>
      </c>
      <c r="L15" s="24">
        <f>IF($A15="","",COUNTIF(일일실시사항!$G$5:$G$1004,$A15))</f>
        <v/>
      </c>
      <c r="M15" s="51">
        <f>IF($A15="","",IFERROR(IF(_xlfn.MINIFS(업무일지!$B$5:$B$1004,업무일지!$F$5:$F$1004,$A15)=0,"",_xlfn.MINIFS(업무일지!$B$5:$B$1004,업무일지!$F$5:$F$1004,$A15)),""))</f>
        <v/>
      </c>
      <c r="N15" s="51">
        <f>IF($A15="","",IFERROR(IF(_xlfn.MAXIFS(업무일지!$C$5:$C$1004,업무일지!$F$5:$F$1004,$A15)=0,"",_xlfn.MAXIFS(업무일지!$C$5:$C$1004,업무일지!$F$5:$F$1004,$A15)),""))</f>
        <v/>
      </c>
      <c r="O15" s="43">
        <f>IF(OR($M15="",$N15=""),"",$N15-$M15+1)</f>
        <v/>
      </c>
      <c r="P15" s="52">
        <f>IF($A15="","",사건마스터!$E14)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3">
        <f>IF($A16="","",F16+G16)</f>
        <v/>
      </c>
      <c r="I16" s="24">
        <f>IF($A16="","",SUMIFS(업무일지!$AE$5:$AE$1004,업무일지!$F$5:$F$1004,$A16,업무일지!$D$5:$D$1004,"출장"))</f>
        <v/>
      </c>
      <c r="J16" s="24">
        <f>IF($A16="","",SUMIFS(업무일지!$AC$5:$AC$1004,업무일지!$F$5:$F$1004,$A16))</f>
        <v/>
      </c>
      <c r="K16" s="25">
        <f>IF($A16="","",SUMIFS(업무일지!$AD$5:$AD$1004,업무일지!$F$5:$F$1004,$A16))</f>
        <v/>
      </c>
      <c r="L16" s="24">
        <f>IF($A16="","",COUNTIF(일일실시사항!$G$5:$G$1004,$A16))</f>
        <v/>
      </c>
      <c r="M16" s="51">
        <f>IF($A16="","",IFERROR(IF(_xlfn.MINIFS(업무일지!$B$5:$B$1004,업무일지!$F$5:$F$1004,$A16)=0,"",_xlfn.MINIFS(업무일지!$B$5:$B$1004,업무일지!$F$5:$F$1004,$A16)),""))</f>
        <v/>
      </c>
      <c r="N16" s="51">
        <f>IF($A16="","",IFERROR(IF(_xlfn.MAXIFS(업무일지!$C$5:$C$1004,업무일지!$F$5:$F$1004,$A16)=0,"",_xlfn.MAXIFS(업무일지!$C$5:$C$1004,업무일지!$F$5:$F$1004,$A16)),""))</f>
        <v/>
      </c>
      <c r="O16" s="43">
        <f>IF(OR($M16="",$N16=""),"",$N16-$M16+1)</f>
        <v/>
      </c>
      <c r="P16" s="52">
        <f>IF($A16="","",사건마스터!$E15)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3">
        <f>IF($A17="","",F17+G17)</f>
        <v/>
      </c>
      <c r="I17" s="24">
        <f>IF($A17="","",SUMIFS(업무일지!$AE$5:$AE$1004,업무일지!$F$5:$F$1004,$A17,업무일지!$D$5:$D$1004,"출장"))</f>
        <v/>
      </c>
      <c r="J17" s="24">
        <f>IF($A17="","",SUMIFS(업무일지!$AC$5:$AC$1004,업무일지!$F$5:$F$1004,$A17))</f>
        <v/>
      </c>
      <c r="K17" s="25">
        <f>IF($A17="","",SUMIFS(업무일지!$AD$5:$AD$1004,업무일지!$F$5:$F$1004,$A17))</f>
        <v/>
      </c>
      <c r="L17" s="24">
        <f>IF($A17="","",COUNTIF(일일실시사항!$G$5:$G$1004,$A17))</f>
        <v/>
      </c>
      <c r="M17" s="51">
        <f>IF($A17="","",IFERROR(IF(_xlfn.MINIFS(업무일지!$B$5:$B$1004,업무일지!$F$5:$F$1004,$A17)=0,"",_xlfn.MINIFS(업무일지!$B$5:$B$1004,업무일지!$F$5:$F$1004,$A17)),""))</f>
        <v/>
      </c>
      <c r="N17" s="51">
        <f>IF($A17="","",IFERROR(IF(_xlfn.MAXIFS(업무일지!$C$5:$C$1004,업무일지!$F$5:$F$1004,$A17)=0,"",_xlfn.MAXIFS(업무일지!$C$5:$C$1004,업무일지!$F$5:$F$1004,$A17)),""))</f>
        <v/>
      </c>
      <c r="O17" s="43">
        <f>IF(OR($M17="",$N17=""),"",$N17-$M17+1)</f>
        <v/>
      </c>
      <c r="P17" s="52">
        <f>IF($A17="","",사건마스터!$E16)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3">
        <f>IF($A18="","",F18+G18)</f>
        <v/>
      </c>
      <c r="I18" s="24">
        <f>IF($A18="","",SUMIFS(업무일지!$AE$5:$AE$1004,업무일지!$F$5:$F$1004,$A18,업무일지!$D$5:$D$1004,"출장"))</f>
        <v/>
      </c>
      <c r="J18" s="24">
        <f>IF($A18="","",SUMIFS(업무일지!$AC$5:$AC$1004,업무일지!$F$5:$F$1004,$A18))</f>
        <v/>
      </c>
      <c r="K18" s="25">
        <f>IF($A18="","",SUMIFS(업무일지!$AD$5:$AD$1004,업무일지!$F$5:$F$1004,$A18))</f>
        <v/>
      </c>
      <c r="L18" s="24">
        <f>IF($A18="","",COUNTIF(일일실시사항!$G$5:$G$1004,$A18))</f>
        <v/>
      </c>
      <c r="M18" s="51">
        <f>IF($A18="","",IFERROR(IF(_xlfn.MINIFS(업무일지!$B$5:$B$1004,업무일지!$F$5:$F$1004,$A18)=0,"",_xlfn.MINIFS(업무일지!$B$5:$B$1004,업무일지!$F$5:$F$1004,$A18)),""))</f>
        <v/>
      </c>
      <c r="N18" s="51">
        <f>IF($A18="","",IFERROR(IF(_xlfn.MAXIFS(업무일지!$C$5:$C$1004,업무일지!$F$5:$F$1004,$A18)=0,"",_xlfn.MAXIFS(업무일지!$C$5:$C$1004,업무일지!$F$5:$F$1004,$A18)),""))</f>
        <v/>
      </c>
      <c r="O18" s="43">
        <f>IF(OR($M18="",$N18=""),"",$N18-$M18+1)</f>
        <v/>
      </c>
      <c r="P18" s="52">
        <f>IF($A18="","",사건마스터!$E17)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3">
        <f>IF($A19="","",F19+G19)</f>
        <v/>
      </c>
      <c r="I19" s="24">
        <f>IF($A19="","",SUMIFS(업무일지!$AE$5:$AE$1004,업무일지!$F$5:$F$1004,$A19,업무일지!$D$5:$D$1004,"출장"))</f>
        <v/>
      </c>
      <c r="J19" s="24">
        <f>IF($A19="","",SUMIFS(업무일지!$AC$5:$AC$1004,업무일지!$F$5:$F$1004,$A19))</f>
        <v/>
      </c>
      <c r="K19" s="25">
        <f>IF($A19="","",SUMIFS(업무일지!$AD$5:$AD$1004,업무일지!$F$5:$F$1004,$A19))</f>
        <v/>
      </c>
      <c r="L19" s="24">
        <f>IF($A19="","",COUNTIF(일일실시사항!$G$5:$G$1004,$A19))</f>
        <v/>
      </c>
      <c r="M19" s="51">
        <f>IF($A19="","",IFERROR(IF(_xlfn.MINIFS(업무일지!$B$5:$B$1004,업무일지!$F$5:$F$1004,$A19)=0,"",_xlfn.MINIFS(업무일지!$B$5:$B$1004,업무일지!$F$5:$F$1004,$A19)),""))</f>
        <v/>
      </c>
      <c r="N19" s="51">
        <f>IF($A19="","",IFERROR(IF(_xlfn.MAXIFS(업무일지!$C$5:$C$1004,업무일지!$F$5:$F$1004,$A19)=0,"",_xlfn.MAXIFS(업무일지!$C$5:$C$1004,업무일지!$F$5:$F$1004,$A19)),""))</f>
        <v/>
      </c>
      <c r="O19" s="43">
        <f>IF(OR($M19="",$N19=""),"",$N19-$M19+1)</f>
        <v/>
      </c>
      <c r="P19" s="52">
        <f>IF($A19="","",사건마스터!$E18)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3">
        <f>IF($A20="","",F20+G20)</f>
        <v/>
      </c>
      <c r="I20" s="24">
        <f>IF($A20="","",SUMIFS(업무일지!$AE$5:$AE$1004,업무일지!$F$5:$F$1004,$A20,업무일지!$D$5:$D$1004,"출장"))</f>
        <v/>
      </c>
      <c r="J20" s="24">
        <f>IF($A20="","",SUMIFS(업무일지!$AC$5:$AC$1004,업무일지!$F$5:$F$1004,$A20))</f>
        <v/>
      </c>
      <c r="K20" s="25">
        <f>IF($A20="","",SUMIFS(업무일지!$AD$5:$AD$1004,업무일지!$F$5:$F$1004,$A20))</f>
        <v/>
      </c>
      <c r="L20" s="24">
        <f>IF($A20="","",COUNTIF(일일실시사항!$G$5:$G$1004,$A20))</f>
        <v/>
      </c>
      <c r="M20" s="51">
        <f>IF($A20="","",IFERROR(IF(_xlfn.MINIFS(업무일지!$B$5:$B$1004,업무일지!$F$5:$F$1004,$A20)=0,"",_xlfn.MINIFS(업무일지!$B$5:$B$1004,업무일지!$F$5:$F$1004,$A20)),""))</f>
        <v/>
      </c>
      <c r="N20" s="51">
        <f>IF($A20="","",IFERROR(IF(_xlfn.MAXIFS(업무일지!$C$5:$C$1004,업무일지!$F$5:$F$1004,$A20)=0,"",_xlfn.MAXIFS(업무일지!$C$5:$C$1004,업무일지!$F$5:$F$1004,$A20)),""))</f>
        <v/>
      </c>
      <c r="O20" s="43">
        <f>IF(OR($M20="",$N20=""),"",$N20-$M20+1)</f>
        <v/>
      </c>
      <c r="P20" s="52">
        <f>IF($A20="","",사건마스터!$E19)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3">
        <f>IF($A21="","",F21+G21)</f>
        <v/>
      </c>
      <c r="I21" s="24">
        <f>IF($A21="","",SUMIFS(업무일지!$AE$5:$AE$1004,업무일지!$F$5:$F$1004,$A21,업무일지!$D$5:$D$1004,"출장"))</f>
        <v/>
      </c>
      <c r="J21" s="24">
        <f>IF($A21="","",SUMIFS(업무일지!$AC$5:$AC$1004,업무일지!$F$5:$F$1004,$A21))</f>
        <v/>
      </c>
      <c r="K21" s="25">
        <f>IF($A21="","",SUMIFS(업무일지!$AD$5:$AD$1004,업무일지!$F$5:$F$1004,$A21))</f>
        <v/>
      </c>
      <c r="L21" s="24">
        <f>IF($A21="","",COUNTIF(일일실시사항!$G$5:$G$1004,$A21))</f>
        <v/>
      </c>
      <c r="M21" s="51">
        <f>IF($A21="","",IFERROR(IF(_xlfn.MINIFS(업무일지!$B$5:$B$1004,업무일지!$F$5:$F$1004,$A21)=0,"",_xlfn.MINIFS(업무일지!$B$5:$B$1004,업무일지!$F$5:$F$1004,$A21)),""))</f>
        <v/>
      </c>
      <c r="N21" s="51">
        <f>IF($A21="","",IFERROR(IF(_xlfn.MAXIFS(업무일지!$C$5:$C$1004,업무일지!$F$5:$F$1004,$A21)=0,"",_xlfn.MAXIFS(업무일지!$C$5:$C$1004,업무일지!$F$5:$F$1004,$A21)),""))</f>
        <v/>
      </c>
      <c r="O21" s="43">
        <f>IF(OR($M21="",$N21=""),"",$N21-$M21+1)</f>
        <v/>
      </c>
      <c r="P21" s="52">
        <f>IF($A21="","",사건마스터!$E20)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3">
        <f>IF($A22="","",F22+G22)</f>
        <v/>
      </c>
      <c r="I22" s="24">
        <f>IF($A22="","",SUMIFS(업무일지!$AE$5:$AE$1004,업무일지!$F$5:$F$1004,$A22,업무일지!$D$5:$D$1004,"출장"))</f>
        <v/>
      </c>
      <c r="J22" s="24">
        <f>IF($A22="","",SUMIFS(업무일지!$AC$5:$AC$1004,업무일지!$F$5:$F$1004,$A22))</f>
        <v/>
      </c>
      <c r="K22" s="25">
        <f>IF($A22="","",SUMIFS(업무일지!$AD$5:$AD$1004,업무일지!$F$5:$F$1004,$A22))</f>
        <v/>
      </c>
      <c r="L22" s="24">
        <f>IF($A22="","",COUNTIF(일일실시사항!$G$5:$G$1004,$A22))</f>
        <v/>
      </c>
      <c r="M22" s="51">
        <f>IF($A22="","",IFERROR(IF(_xlfn.MINIFS(업무일지!$B$5:$B$1004,업무일지!$F$5:$F$1004,$A22)=0,"",_xlfn.MINIFS(업무일지!$B$5:$B$1004,업무일지!$F$5:$F$1004,$A22)),""))</f>
        <v/>
      </c>
      <c r="N22" s="51">
        <f>IF($A22="","",IFERROR(IF(_xlfn.MAXIFS(업무일지!$C$5:$C$1004,업무일지!$F$5:$F$1004,$A22)=0,"",_xlfn.MAXIFS(업무일지!$C$5:$C$1004,업무일지!$F$5:$F$1004,$A22)),""))</f>
        <v/>
      </c>
      <c r="O22" s="43">
        <f>IF(OR($M22="",$N22=""),"",$N22-$M22+1)</f>
        <v/>
      </c>
      <c r="P22" s="52">
        <f>IF($A22="","",사건마스터!$E21)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3">
        <f>IF($A23="","",F23+G23)</f>
        <v/>
      </c>
      <c r="I23" s="24">
        <f>IF($A23="","",SUMIFS(업무일지!$AE$5:$AE$1004,업무일지!$F$5:$F$1004,$A23,업무일지!$D$5:$D$1004,"출장"))</f>
        <v/>
      </c>
      <c r="J23" s="24">
        <f>IF($A23="","",SUMIFS(업무일지!$AC$5:$AC$1004,업무일지!$F$5:$F$1004,$A23))</f>
        <v/>
      </c>
      <c r="K23" s="25">
        <f>IF($A23="","",SUMIFS(업무일지!$AD$5:$AD$1004,업무일지!$F$5:$F$1004,$A23))</f>
        <v/>
      </c>
      <c r="L23" s="24">
        <f>IF($A23="","",COUNTIF(일일실시사항!$G$5:$G$1004,$A23))</f>
        <v/>
      </c>
      <c r="M23" s="51">
        <f>IF($A23="","",IFERROR(IF(_xlfn.MINIFS(업무일지!$B$5:$B$1004,업무일지!$F$5:$F$1004,$A23)=0,"",_xlfn.MINIFS(업무일지!$B$5:$B$1004,업무일지!$F$5:$F$1004,$A23)),""))</f>
        <v/>
      </c>
      <c r="N23" s="51">
        <f>IF($A23="","",IFERROR(IF(_xlfn.MAXIFS(업무일지!$C$5:$C$1004,업무일지!$F$5:$F$1004,$A23)=0,"",_xlfn.MAXIFS(업무일지!$C$5:$C$1004,업무일지!$F$5:$F$1004,$A23)),""))</f>
        <v/>
      </c>
      <c r="O23" s="43">
        <f>IF(OR($M23="",$N23=""),"",$N23-$M23+1)</f>
        <v/>
      </c>
      <c r="P23" s="52">
        <f>IF($A23="","",사건마스터!$E22)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3">
        <f>IF($A24="","",F24+G24)</f>
        <v/>
      </c>
      <c r="I24" s="24">
        <f>IF($A24="","",SUMIFS(업무일지!$AE$5:$AE$1004,업무일지!$F$5:$F$1004,$A24,업무일지!$D$5:$D$1004,"출장"))</f>
        <v/>
      </c>
      <c r="J24" s="24">
        <f>IF($A24="","",SUMIFS(업무일지!$AC$5:$AC$1004,업무일지!$F$5:$F$1004,$A24))</f>
        <v/>
      </c>
      <c r="K24" s="25">
        <f>IF($A24="","",SUMIFS(업무일지!$AD$5:$AD$1004,업무일지!$F$5:$F$1004,$A24))</f>
        <v/>
      </c>
      <c r="L24" s="24">
        <f>IF($A24="","",COUNTIF(일일실시사항!$G$5:$G$1004,$A24))</f>
        <v/>
      </c>
      <c r="M24" s="51">
        <f>IF($A24="","",IFERROR(IF(_xlfn.MINIFS(업무일지!$B$5:$B$1004,업무일지!$F$5:$F$1004,$A24)=0,"",_xlfn.MINIFS(업무일지!$B$5:$B$1004,업무일지!$F$5:$F$1004,$A24)),""))</f>
        <v/>
      </c>
      <c r="N24" s="51">
        <f>IF($A24="","",IFERROR(IF(_xlfn.MAXIFS(업무일지!$C$5:$C$1004,업무일지!$F$5:$F$1004,$A24)=0,"",_xlfn.MAXIFS(업무일지!$C$5:$C$1004,업무일지!$F$5:$F$1004,$A24)),""))</f>
        <v/>
      </c>
      <c r="O24" s="43">
        <f>IF(OR($M24="",$N24=""),"",$N24-$M24+1)</f>
        <v/>
      </c>
      <c r="P24" s="52">
        <f>IF($A24="","",사건마스터!$E23)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3">
        <f>IF($A25="","",F25+G25)</f>
        <v/>
      </c>
      <c r="I25" s="24">
        <f>IF($A25="","",SUMIFS(업무일지!$AE$5:$AE$1004,업무일지!$F$5:$F$1004,$A25,업무일지!$D$5:$D$1004,"출장"))</f>
        <v/>
      </c>
      <c r="J25" s="24">
        <f>IF($A25="","",SUMIFS(업무일지!$AC$5:$AC$1004,업무일지!$F$5:$F$1004,$A25))</f>
        <v/>
      </c>
      <c r="K25" s="25">
        <f>IF($A25="","",SUMIFS(업무일지!$AD$5:$AD$1004,업무일지!$F$5:$F$1004,$A25))</f>
        <v/>
      </c>
      <c r="L25" s="24">
        <f>IF($A25="","",COUNTIF(일일실시사항!$G$5:$G$1004,$A25))</f>
        <v/>
      </c>
      <c r="M25" s="51">
        <f>IF($A25="","",IFERROR(IF(_xlfn.MINIFS(업무일지!$B$5:$B$1004,업무일지!$F$5:$F$1004,$A25)=0,"",_xlfn.MINIFS(업무일지!$B$5:$B$1004,업무일지!$F$5:$F$1004,$A25)),""))</f>
        <v/>
      </c>
      <c r="N25" s="51">
        <f>IF($A25="","",IFERROR(IF(_xlfn.MAXIFS(업무일지!$C$5:$C$1004,업무일지!$F$5:$F$1004,$A25)=0,"",_xlfn.MAXIFS(업무일지!$C$5:$C$1004,업무일지!$F$5:$F$1004,$A25)),""))</f>
        <v/>
      </c>
      <c r="O25" s="43">
        <f>IF(OR($M25="",$N25=""),"",$N25-$M25+1)</f>
        <v/>
      </c>
      <c r="P25" s="52">
        <f>IF($A25="","",사건마스터!$E24)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3">
        <f>IF($A26="","",F26+G26)</f>
        <v/>
      </c>
      <c r="I26" s="24">
        <f>IF($A26="","",SUMIFS(업무일지!$AE$5:$AE$1004,업무일지!$F$5:$F$1004,$A26,업무일지!$D$5:$D$1004,"출장"))</f>
        <v/>
      </c>
      <c r="J26" s="24">
        <f>IF($A26="","",SUMIFS(업무일지!$AC$5:$AC$1004,업무일지!$F$5:$F$1004,$A26))</f>
        <v/>
      </c>
      <c r="K26" s="25">
        <f>IF($A26="","",SUMIFS(업무일지!$AD$5:$AD$1004,업무일지!$F$5:$F$1004,$A26))</f>
        <v/>
      </c>
      <c r="L26" s="24">
        <f>IF($A26="","",COUNTIF(일일실시사항!$G$5:$G$1004,$A26))</f>
        <v/>
      </c>
      <c r="M26" s="51">
        <f>IF($A26="","",IFERROR(IF(_xlfn.MINIFS(업무일지!$B$5:$B$1004,업무일지!$F$5:$F$1004,$A26)=0,"",_xlfn.MINIFS(업무일지!$B$5:$B$1004,업무일지!$F$5:$F$1004,$A26)),""))</f>
        <v/>
      </c>
      <c r="N26" s="51">
        <f>IF($A26="","",IFERROR(IF(_xlfn.MAXIFS(업무일지!$C$5:$C$1004,업무일지!$F$5:$F$1004,$A26)=0,"",_xlfn.MAXIFS(업무일지!$C$5:$C$1004,업무일지!$F$5:$F$1004,$A26)),""))</f>
        <v/>
      </c>
      <c r="O26" s="43">
        <f>IF(OR($M26="",$N26=""),"",$N26-$M26+1)</f>
        <v/>
      </c>
      <c r="P26" s="52">
        <f>IF($A26="","",사건마스터!$E25)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3">
        <f>IF($A27="","",F27+G27)</f>
        <v/>
      </c>
      <c r="I27" s="24">
        <f>IF($A27="","",SUMIFS(업무일지!$AE$5:$AE$1004,업무일지!$F$5:$F$1004,$A27,업무일지!$D$5:$D$1004,"출장"))</f>
        <v/>
      </c>
      <c r="J27" s="24">
        <f>IF($A27="","",SUMIFS(업무일지!$AC$5:$AC$1004,업무일지!$F$5:$F$1004,$A27))</f>
        <v/>
      </c>
      <c r="K27" s="25">
        <f>IF($A27="","",SUMIFS(업무일지!$AD$5:$AD$1004,업무일지!$F$5:$F$1004,$A27))</f>
        <v/>
      </c>
      <c r="L27" s="24">
        <f>IF($A27="","",COUNTIF(일일실시사항!$G$5:$G$1004,$A27))</f>
        <v/>
      </c>
      <c r="M27" s="51">
        <f>IF($A27="","",IFERROR(IF(_xlfn.MINIFS(업무일지!$B$5:$B$1004,업무일지!$F$5:$F$1004,$A27)=0,"",_xlfn.MINIFS(업무일지!$B$5:$B$1004,업무일지!$F$5:$F$1004,$A27)),""))</f>
        <v/>
      </c>
      <c r="N27" s="51">
        <f>IF($A27="","",IFERROR(IF(_xlfn.MAXIFS(업무일지!$C$5:$C$1004,업무일지!$F$5:$F$1004,$A27)=0,"",_xlfn.MAXIFS(업무일지!$C$5:$C$1004,업무일지!$F$5:$F$1004,$A27)),""))</f>
        <v/>
      </c>
      <c r="O27" s="43">
        <f>IF(OR($M27="",$N27=""),"",$N27-$M27+1)</f>
        <v/>
      </c>
      <c r="P27" s="52">
        <f>IF($A27="","",사건마스터!$E26)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3">
        <f>IF($A28="","",F28+G28)</f>
        <v/>
      </c>
      <c r="I28" s="24">
        <f>IF($A28="","",SUMIFS(업무일지!$AE$5:$AE$1004,업무일지!$F$5:$F$1004,$A28,업무일지!$D$5:$D$1004,"출장"))</f>
        <v/>
      </c>
      <c r="J28" s="24">
        <f>IF($A28="","",SUMIFS(업무일지!$AC$5:$AC$1004,업무일지!$F$5:$F$1004,$A28))</f>
        <v/>
      </c>
      <c r="K28" s="25">
        <f>IF($A28="","",SUMIFS(업무일지!$AD$5:$AD$1004,업무일지!$F$5:$F$1004,$A28))</f>
        <v/>
      </c>
      <c r="L28" s="24">
        <f>IF($A28="","",COUNTIF(일일실시사항!$G$5:$G$1004,$A28))</f>
        <v/>
      </c>
      <c r="M28" s="51">
        <f>IF($A28="","",IFERROR(IF(_xlfn.MINIFS(업무일지!$B$5:$B$1004,업무일지!$F$5:$F$1004,$A28)=0,"",_xlfn.MINIFS(업무일지!$B$5:$B$1004,업무일지!$F$5:$F$1004,$A28)),""))</f>
        <v/>
      </c>
      <c r="N28" s="51">
        <f>IF($A28="","",IFERROR(IF(_xlfn.MAXIFS(업무일지!$C$5:$C$1004,업무일지!$F$5:$F$1004,$A28)=0,"",_xlfn.MAXIFS(업무일지!$C$5:$C$1004,업무일지!$F$5:$F$1004,$A28)),""))</f>
        <v/>
      </c>
      <c r="O28" s="43">
        <f>IF(OR($M28="",$N28=""),"",$N28-$M28+1)</f>
        <v/>
      </c>
      <c r="P28" s="52">
        <f>IF($A28="","",사건마스터!$E27)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3">
        <f>IF($A29="","",F29+G29)</f>
        <v/>
      </c>
      <c r="I29" s="24">
        <f>IF($A29="","",SUMIFS(업무일지!$AE$5:$AE$1004,업무일지!$F$5:$F$1004,$A29,업무일지!$D$5:$D$1004,"출장"))</f>
        <v/>
      </c>
      <c r="J29" s="24">
        <f>IF($A29="","",SUMIFS(업무일지!$AC$5:$AC$1004,업무일지!$F$5:$F$1004,$A29))</f>
        <v/>
      </c>
      <c r="K29" s="25">
        <f>IF($A29="","",SUMIFS(업무일지!$AD$5:$AD$1004,업무일지!$F$5:$F$1004,$A29))</f>
        <v/>
      </c>
      <c r="L29" s="24">
        <f>IF($A29="","",COUNTIF(일일실시사항!$G$5:$G$1004,$A29))</f>
        <v/>
      </c>
      <c r="M29" s="51">
        <f>IF($A29="","",IFERROR(IF(_xlfn.MINIFS(업무일지!$B$5:$B$1004,업무일지!$F$5:$F$1004,$A29)=0,"",_xlfn.MINIFS(업무일지!$B$5:$B$1004,업무일지!$F$5:$F$1004,$A29)),""))</f>
        <v/>
      </c>
      <c r="N29" s="51">
        <f>IF($A29="","",IFERROR(IF(_xlfn.MAXIFS(업무일지!$C$5:$C$1004,업무일지!$F$5:$F$1004,$A29)=0,"",_xlfn.MAXIFS(업무일지!$C$5:$C$1004,업무일지!$F$5:$F$1004,$A29)),""))</f>
        <v/>
      </c>
      <c r="O29" s="43">
        <f>IF(OR($M29="",$N29=""),"",$N29-$M29+1)</f>
        <v/>
      </c>
      <c r="P29" s="52">
        <f>IF($A29="","",사건마스터!$E28)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3">
        <f>IF($A30="","",F30+G30)</f>
        <v/>
      </c>
      <c r="I30" s="24">
        <f>IF($A30="","",SUMIFS(업무일지!$AE$5:$AE$1004,업무일지!$F$5:$F$1004,$A30,업무일지!$D$5:$D$1004,"출장"))</f>
        <v/>
      </c>
      <c r="J30" s="24">
        <f>IF($A30="","",SUMIFS(업무일지!$AC$5:$AC$1004,업무일지!$F$5:$F$1004,$A30))</f>
        <v/>
      </c>
      <c r="K30" s="25">
        <f>IF($A30="","",SUMIFS(업무일지!$AD$5:$AD$1004,업무일지!$F$5:$F$1004,$A30))</f>
        <v/>
      </c>
      <c r="L30" s="24">
        <f>IF($A30="","",COUNTIF(일일실시사항!$G$5:$G$1004,$A30))</f>
        <v/>
      </c>
      <c r="M30" s="51">
        <f>IF($A30="","",IFERROR(IF(_xlfn.MINIFS(업무일지!$B$5:$B$1004,업무일지!$F$5:$F$1004,$A30)=0,"",_xlfn.MINIFS(업무일지!$B$5:$B$1004,업무일지!$F$5:$F$1004,$A30)),""))</f>
        <v/>
      </c>
      <c r="N30" s="51">
        <f>IF($A30="","",IFERROR(IF(_xlfn.MAXIFS(업무일지!$C$5:$C$1004,업무일지!$F$5:$F$1004,$A30)=0,"",_xlfn.MAXIFS(업무일지!$C$5:$C$1004,업무일지!$F$5:$F$1004,$A30)),""))</f>
        <v/>
      </c>
      <c r="O30" s="43">
        <f>IF(OR($M30="",$N30=""),"",$N30-$M30+1)</f>
        <v/>
      </c>
      <c r="P30" s="52">
        <f>IF($A30="","",사건마스터!$E29)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3">
        <f>IF($A31="","",F31+G31)</f>
        <v/>
      </c>
      <c r="I31" s="24">
        <f>IF($A31="","",SUMIFS(업무일지!$AE$5:$AE$1004,업무일지!$F$5:$F$1004,$A31,업무일지!$D$5:$D$1004,"출장"))</f>
        <v/>
      </c>
      <c r="J31" s="24">
        <f>IF($A31="","",SUMIFS(업무일지!$AC$5:$AC$1004,업무일지!$F$5:$F$1004,$A31))</f>
        <v/>
      </c>
      <c r="K31" s="25">
        <f>IF($A31="","",SUMIFS(업무일지!$AD$5:$AD$1004,업무일지!$F$5:$F$1004,$A31))</f>
        <v/>
      </c>
      <c r="L31" s="24">
        <f>IF($A31="","",COUNTIF(일일실시사항!$G$5:$G$1004,$A31))</f>
        <v/>
      </c>
      <c r="M31" s="51">
        <f>IF($A31="","",IFERROR(IF(_xlfn.MINIFS(업무일지!$B$5:$B$1004,업무일지!$F$5:$F$1004,$A31)=0,"",_xlfn.MINIFS(업무일지!$B$5:$B$1004,업무일지!$F$5:$F$1004,$A31)),""))</f>
        <v/>
      </c>
      <c r="N31" s="51">
        <f>IF($A31="","",IFERROR(IF(_xlfn.MAXIFS(업무일지!$C$5:$C$1004,업무일지!$F$5:$F$1004,$A31)=0,"",_xlfn.MAXIFS(업무일지!$C$5:$C$1004,업무일지!$F$5:$F$1004,$A31)),""))</f>
        <v/>
      </c>
      <c r="O31" s="43">
        <f>IF(OR($M31="",$N31=""),"",$N31-$M31+1)</f>
        <v/>
      </c>
      <c r="P31" s="52">
        <f>IF($A31="","",사건마스터!$E30)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3">
        <f>IF($A32="","",F32+G32)</f>
        <v/>
      </c>
      <c r="I32" s="24">
        <f>IF($A32="","",SUMIFS(업무일지!$AE$5:$AE$1004,업무일지!$F$5:$F$1004,$A32,업무일지!$D$5:$D$1004,"출장"))</f>
        <v/>
      </c>
      <c r="J32" s="24">
        <f>IF($A32="","",SUMIFS(업무일지!$AC$5:$AC$1004,업무일지!$F$5:$F$1004,$A32))</f>
        <v/>
      </c>
      <c r="K32" s="25">
        <f>IF($A32="","",SUMIFS(업무일지!$AD$5:$AD$1004,업무일지!$F$5:$F$1004,$A32))</f>
        <v/>
      </c>
      <c r="L32" s="24">
        <f>IF($A32="","",COUNTIF(일일실시사항!$G$5:$G$1004,$A32))</f>
        <v/>
      </c>
      <c r="M32" s="51">
        <f>IF($A32="","",IFERROR(IF(_xlfn.MINIFS(업무일지!$B$5:$B$1004,업무일지!$F$5:$F$1004,$A32)=0,"",_xlfn.MINIFS(업무일지!$B$5:$B$1004,업무일지!$F$5:$F$1004,$A32)),""))</f>
        <v/>
      </c>
      <c r="N32" s="51">
        <f>IF($A32="","",IFERROR(IF(_xlfn.MAXIFS(업무일지!$C$5:$C$1004,업무일지!$F$5:$F$1004,$A32)=0,"",_xlfn.MAXIFS(업무일지!$C$5:$C$1004,업무일지!$F$5:$F$1004,$A32)),""))</f>
        <v/>
      </c>
      <c r="O32" s="43">
        <f>IF(OR($M32="",$N32=""),"",$N32-$M32+1)</f>
        <v/>
      </c>
      <c r="P32" s="52">
        <f>IF($A32="","",사건마스터!$E31)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3">
        <f>IF($A33="","",F33+G33)</f>
        <v/>
      </c>
      <c r="I33" s="24">
        <f>IF($A33="","",SUMIFS(업무일지!$AE$5:$AE$1004,업무일지!$F$5:$F$1004,$A33,업무일지!$D$5:$D$1004,"출장"))</f>
        <v/>
      </c>
      <c r="J33" s="24">
        <f>IF($A33="","",SUMIFS(업무일지!$AC$5:$AC$1004,업무일지!$F$5:$F$1004,$A33))</f>
        <v/>
      </c>
      <c r="K33" s="25">
        <f>IF($A33="","",SUMIFS(업무일지!$AD$5:$AD$1004,업무일지!$F$5:$F$1004,$A33))</f>
        <v/>
      </c>
      <c r="L33" s="24">
        <f>IF($A33="","",COUNTIF(일일실시사항!$G$5:$G$1004,$A33))</f>
        <v/>
      </c>
      <c r="M33" s="51">
        <f>IF($A33="","",IFERROR(IF(_xlfn.MINIFS(업무일지!$B$5:$B$1004,업무일지!$F$5:$F$1004,$A33)=0,"",_xlfn.MINIFS(업무일지!$B$5:$B$1004,업무일지!$F$5:$F$1004,$A33)),""))</f>
        <v/>
      </c>
      <c r="N33" s="51">
        <f>IF($A33="","",IFERROR(IF(_xlfn.MAXIFS(업무일지!$C$5:$C$1004,업무일지!$F$5:$F$1004,$A33)=0,"",_xlfn.MAXIFS(업무일지!$C$5:$C$1004,업무일지!$F$5:$F$1004,$A33)),""))</f>
        <v/>
      </c>
      <c r="O33" s="43">
        <f>IF(OR($M33="",$N33=""),"",$N33-$M33+1)</f>
        <v/>
      </c>
      <c r="P33" s="52">
        <f>IF($A33="","",사건마스터!$E32)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3">
        <f>IF($A34="","",F34+G34)</f>
        <v/>
      </c>
      <c r="I34" s="24">
        <f>IF($A34="","",SUMIFS(업무일지!$AE$5:$AE$1004,업무일지!$F$5:$F$1004,$A34,업무일지!$D$5:$D$1004,"출장"))</f>
        <v/>
      </c>
      <c r="J34" s="24">
        <f>IF($A34="","",SUMIFS(업무일지!$AC$5:$AC$1004,업무일지!$F$5:$F$1004,$A34))</f>
        <v/>
      </c>
      <c r="K34" s="25">
        <f>IF($A34="","",SUMIFS(업무일지!$AD$5:$AD$1004,업무일지!$F$5:$F$1004,$A34))</f>
        <v/>
      </c>
      <c r="L34" s="24">
        <f>IF($A34="","",COUNTIF(일일실시사항!$G$5:$G$1004,$A34))</f>
        <v/>
      </c>
      <c r="M34" s="51">
        <f>IF($A34="","",IFERROR(IF(_xlfn.MINIFS(업무일지!$B$5:$B$1004,업무일지!$F$5:$F$1004,$A34)=0,"",_xlfn.MINIFS(업무일지!$B$5:$B$1004,업무일지!$F$5:$F$1004,$A34)),""))</f>
        <v/>
      </c>
      <c r="N34" s="51">
        <f>IF($A34="","",IFERROR(IF(_xlfn.MAXIFS(업무일지!$C$5:$C$1004,업무일지!$F$5:$F$1004,$A34)=0,"",_xlfn.MAXIFS(업무일지!$C$5:$C$1004,업무일지!$F$5:$F$1004,$A34)),""))</f>
        <v/>
      </c>
      <c r="O34" s="43">
        <f>IF(OR($M34="",$N34=""),"",$N34-$M34+1)</f>
        <v/>
      </c>
      <c r="P34" s="52">
        <f>IF($A34="","",사건마스터!$E33)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3">
        <f>IF($A35="","",F35+G35)</f>
        <v/>
      </c>
      <c r="I35" s="24">
        <f>IF($A35="","",SUMIFS(업무일지!$AE$5:$AE$1004,업무일지!$F$5:$F$1004,$A35,업무일지!$D$5:$D$1004,"출장"))</f>
        <v/>
      </c>
      <c r="J35" s="24">
        <f>IF($A35="","",SUMIFS(업무일지!$AC$5:$AC$1004,업무일지!$F$5:$F$1004,$A35))</f>
        <v/>
      </c>
      <c r="K35" s="25">
        <f>IF($A35="","",SUMIFS(업무일지!$AD$5:$AD$1004,업무일지!$F$5:$F$1004,$A35))</f>
        <v/>
      </c>
      <c r="L35" s="24">
        <f>IF($A35="","",COUNTIF(일일실시사항!$G$5:$G$1004,$A35))</f>
        <v/>
      </c>
      <c r="M35" s="51">
        <f>IF($A35="","",IFERROR(IF(_xlfn.MINIFS(업무일지!$B$5:$B$1004,업무일지!$F$5:$F$1004,$A35)=0,"",_xlfn.MINIFS(업무일지!$B$5:$B$1004,업무일지!$F$5:$F$1004,$A35)),""))</f>
        <v/>
      </c>
      <c r="N35" s="51">
        <f>IF($A35="","",IFERROR(IF(_xlfn.MAXIFS(업무일지!$C$5:$C$1004,업무일지!$F$5:$F$1004,$A35)=0,"",_xlfn.MAXIFS(업무일지!$C$5:$C$1004,업무일지!$F$5:$F$1004,$A35)),""))</f>
        <v/>
      </c>
      <c r="O35" s="43">
        <f>IF(OR($M35="",$N35=""),"",$N35-$M35+1)</f>
        <v/>
      </c>
      <c r="P35" s="52">
        <f>IF($A35="","",사건마스터!$E34)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3">
        <f>IF($A36="","",F36+G36)</f>
        <v/>
      </c>
      <c r="I36" s="24">
        <f>IF($A36="","",SUMIFS(업무일지!$AE$5:$AE$1004,업무일지!$F$5:$F$1004,$A36,업무일지!$D$5:$D$1004,"출장"))</f>
        <v/>
      </c>
      <c r="J36" s="24">
        <f>IF($A36="","",SUMIFS(업무일지!$AC$5:$AC$1004,업무일지!$F$5:$F$1004,$A36))</f>
        <v/>
      </c>
      <c r="K36" s="25">
        <f>IF($A36="","",SUMIFS(업무일지!$AD$5:$AD$1004,업무일지!$F$5:$F$1004,$A36))</f>
        <v/>
      </c>
      <c r="L36" s="24">
        <f>IF($A36="","",COUNTIF(일일실시사항!$G$5:$G$1004,$A36))</f>
        <v/>
      </c>
      <c r="M36" s="51">
        <f>IF($A36="","",IFERROR(IF(_xlfn.MINIFS(업무일지!$B$5:$B$1004,업무일지!$F$5:$F$1004,$A36)=0,"",_xlfn.MINIFS(업무일지!$B$5:$B$1004,업무일지!$F$5:$F$1004,$A36)),""))</f>
        <v/>
      </c>
      <c r="N36" s="51">
        <f>IF($A36="","",IFERROR(IF(_xlfn.MAXIFS(업무일지!$C$5:$C$1004,업무일지!$F$5:$F$1004,$A36)=0,"",_xlfn.MAXIFS(업무일지!$C$5:$C$1004,업무일지!$F$5:$F$1004,$A36)),""))</f>
        <v/>
      </c>
      <c r="O36" s="43">
        <f>IF(OR($M36="",$N36=""),"",$N36-$M36+1)</f>
        <v/>
      </c>
      <c r="P36" s="52">
        <f>IF($A36="","",사건마스터!$E35)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3">
        <f>IF($A37="","",F37+G37)</f>
        <v/>
      </c>
      <c r="I37" s="24">
        <f>IF($A37="","",SUMIFS(업무일지!$AE$5:$AE$1004,업무일지!$F$5:$F$1004,$A37,업무일지!$D$5:$D$1004,"출장"))</f>
        <v/>
      </c>
      <c r="J37" s="24">
        <f>IF($A37="","",SUMIFS(업무일지!$AC$5:$AC$1004,업무일지!$F$5:$F$1004,$A37))</f>
        <v/>
      </c>
      <c r="K37" s="25">
        <f>IF($A37="","",SUMIFS(업무일지!$AD$5:$AD$1004,업무일지!$F$5:$F$1004,$A37))</f>
        <v/>
      </c>
      <c r="L37" s="24">
        <f>IF($A37="","",COUNTIF(일일실시사항!$G$5:$G$1004,$A37))</f>
        <v/>
      </c>
      <c r="M37" s="51">
        <f>IF($A37="","",IFERROR(IF(_xlfn.MINIFS(업무일지!$B$5:$B$1004,업무일지!$F$5:$F$1004,$A37)=0,"",_xlfn.MINIFS(업무일지!$B$5:$B$1004,업무일지!$F$5:$F$1004,$A37)),""))</f>
        <v/>
      </c>
      <c r="N37" s="51">
        <f>IF($A37="","",IFERROR(IF(_xlfn.MAXIFS(업무일지!$C$5:$C$1004,업무일지!$F$5:$F$1004,$A37)=0,"",_xlfn.MAXIFS(업무일지!$C$5:$C$1004,업무일지!$F$5:$F$1004,$A37)),""))</f>
        <v/>
      </c>
      <c r="O37" s="43">
        <f>IF(OR($M37="",$N37=""),"",$N37-$M37+1)</f>
        <v/>
      </c>
      <c r="P37" s="52">
        <f>IF($A37="","",사건마스터!$E36)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3">
        <f>IF($A38="","",F38+G38)</f>
        <v/>
      </c>
      <c r="I38" s="24">
        <f>IF($A38="","",SUMIFS(업무일지!$AE$5:$AE$1004,업무일지!$F$5:$F$1004,$A38,업무일지!$D$5:$D$1004,"출장"))</f>
        <v/>
      </c>
      <c r="J38" s="24">
        <f>IF($A38="","",SUMIFS(업무일지!$AC$5:$AC$1004,업무일지!$F$5:$F$1004,$A38))</f>
        <v/>
      </c>
      <c r="K38" s="25">
        <f>IF($A38="","",SUMIFS(업무일지!$AD$5:$AD$1004,업무일지!$F$5:$F$1004,$A38))</f>
        <v/>
      </c>
      <c r="L38" s="24">
        <f>IF($A38="","",COUNTIF(일일실시사항!$G$5:$G$1004,$A38))</f>
        <v/>
      </c>
      <c r="M38" s="51">
        <f>IF($A38="","",IFERROR(IF(_xlfn.MINIFS(업무일지!$B$5:$B$1004,업무일지!$F$5:$F$1004,$A38)=0,"",_xlfn.MINIFS(업무일지!$B$5:$B$1004,업무일지!$F$5:$F$1004,$A38)),""))</f>
        <v/>
      </c>
      <c r="N38" s="51">
        <f>IF($A38="","",IFERROR(IF(_xlfn.MAXIFS(업무일지!$C$5:$C$1004,업무일지!$F$5:$F$1004,$A38)=0,"",_xlfn.MAXIFS(업무일지!$C$5:$C$1004,업무일지!$F$5:$F$1004,$A38)),""))</f>
        <v/>
      </c>
      <c r="O38" s="43">
        <f>IF(OR($M38="",$N38=""),"",$N38-$M38+1)</f>
        <v/>
      </c>
      <c r="P38" s="52">
        <f>IF($A38="","",사건마스터!$E37)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3">
        <f>IF($A39="","",F39+G39)</f>
        <v/>
      </c>
      <c r="I39" s="24">
        <f>IF($A39="","",SUMIFS(업무일지!$AE$5:$AE$1004,업무일지!$F$5:$F$1004,$A39,업무일지!$D$5:$D$1004,"출장"))</f>
        <v/>
      </c>
      <c r="J39" s="24">
        <f>IF($A39="","",SUMIFS(업무일지!$AC$5:$AC$1004,업무일지!$F$5:$F$1004,$A39))</f>
        <v/>
      </c>
      <c r="K39" s="25">
        <f>IF($A39="","",SUMIFS(업무일지!$AD$5:$AD$1004,업무일지!$F$5:$F$1004,$A39))</f>
        <v/>
      </c>
      <c r="L39" s="24">
        <f>IF($A39="","",COUNTIF(일일실시사항!$G$5:$G$1004,$A39))</f>
        <v/>
      </c>
      <c r="M39" s="51">
        <f>IF($A39="","",IFERROR(IF(_xlfn.MINIFS(업무일지!$B$5:$B$1004,업무일지!$F$5:$F$1004,$A39)=0,"",_xlfn.MINIFS(업무일지!$B$5:$B$1004,업무일지!$F$5:$F$1004,$A39)),""))</f>
        <v/>
      </c>
      <c r="N39" s="51">
        <f>IF($A39="","",IFERROR(IF(_xlfn.MAXIFS(업무일지!$C$5:$C$1004,업무일지!$F$5:$F$1004,$A39)=0,"",_xlfn.MAXIFS(업무일지!$C$5:$C$1004,업무일지!$F$5:$F$1004,$A39)),""))</f>
        <v/>
      </c>
      <c r="O39" s="43">
        <f>IF(OR($M39="",$N39=""),"",$N39-$M39+1)</f>
        <v/>
      </c>
      <c r="P39" s="52">
        <f>IF($A39="","",사건마스터!$E38)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3">
        <f>IF($A40="","",F40+G40)</f>
        <v/>
      </c>
      <c r="I40" s="24">
        <f>IF($A40="","",SUMIFS(업무일지!$AE$5:$AE$1004,업무일지!$F$5:$F$1004,$A40,업무일지!$D$5:$D$1004,"출장"))</f>
        <v/>
      </c>
      <c r="J40" s="24">
        <f>IF($A40="","",SUMIFS(업무일지!$AC$5:$AC$1004,업무일지!$F$5:$F$1004,$A40))</f>
        <v/>
      </c>
      <c r="K40" s="25">
        <f>IF($A40="","",SUMIFS(업무일지!$AD$5:$AD$1004,업무일지!$F$5:$F$1004,$A40))</f>
        <v/>
      </c>
      <c r="L40" s="24">
        <f>IF($A40="","",COUNTIF(일일실시사항!$G$5:$G$1004,$A40))</f>
        <v/>
      </c>
      <c r="M40" s="51">
        <f>IF($A40="","",IFERROR(IF(_xlfn.MINIFS(업무일지!$B$5:$B$1004,업무일지!$F$5:$F$1004,$A40)=0,"",_xlfn.MINIFS(업무일지!$B$5:$B$1004,업무일지!$F$5:$F$1004,$A40)),""))</f>
        <v/>
      </c>
      <c r="N40" s="51">
        <f>IF($A40="","",IFERROR(IF(_xlfn.MAXIFS(업무일지!$C$5:$C$1004,업무일지!$F$5:$F$1004,$A40)=0,"",_xlfn.MAXIFS(업무일지!$C$5:$C$1004,업무일지!$F$5:$F$1004,$A40)),""))</f>
        <v/>
      </c>
      <c r="O40" s="43">
        <f>IF(OR($M40="",$N40=""),"",$N40-$M40+1)</f>
        <v/>
      </c>
      <c r="P40" s="52">
        <f>IF($A40="","",사건마스터!$E39)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3">
        <f>IF($A41="","",F41+G41)</f>
        <v/>
      </c>
      <c r="I41" s="24">
        <f>IF($A41="","",SUMIFS(업무일지!$AE$5:$AE$1004,업무일지!$F$5:$F$1004,$A41,업무일지!$D$5:$D$1004,"출장"))</f>
        <v/>
      </c>
      <c r="J41" s="24">
        <f>IF($A41="","",SUMIFS(업무일지!$AC$5:$AC$1004,업무일지!$F$5:$F$1004,$A41))</f>
        <v/>
      </c>
      <c r="K41" s="25">
        <f>IF($A41="","",SUMIFS(업무일지!$AD$5:$AD$1004,업무일지!$F$5:$F$1004,$A41))</f>
        <v/>
      </c>
      <c r="L41" s="24">
        <f>IF($A41="","",COUNTIF(일일실시사항!$G$5:$G$1004,$A41))</f>
        <v/>
      </c>
      <c r="M41" s="51">
        <f>IF($A41="","",IFERROR(IF(_xlfn.MINIFS(업무일지!$B$5:$B$1004,업무일지!$F$5:$F$1004,$A41)=0,"",_xlfn.MINIFS(업무일지!$B$5:$B$1004,업무일지!$F$5:$F$1004,$A41)),""))</f>
        <v/>
      </c>
      <c r="N41" s="51">
        <f>IF($A41="","",IFERROR(IF(_xlfn.MAXIFS(업무일지!$C$5:$C$1004,업무일지!$F$5:$F$1004,$A41)=0,"",_xlfn.MAXIFS(업무일지!$C$5:$C$1004,업무일지!$F$5:$F$1004,$A41)),""))</f>
        <v/>
      </c>
      <c r="O41" s="43">
        <f>IF(OR($M41="",$N41=""),"",$N41-$M41+1)</f>
        <v/>
      </c>
      <c r="P41" s="52">
        <f>IF($A41="","",사건마스터!$E40)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3">
        <f>IF($A42="","",F42+G42)</f>
        <v/>
      </c>
      <c r="I42" s="24">
        <f>IF($A42="","",SUMIFS(업무일지!$AE$5:$AE$1004,업무일지!$F$5:$F$1004,$A42,업무일지!$D$5:$D$1004,"출장"))</f>
        <v/>
      </c>
      <c r="J42" s="24">
        <f>IF($A42="","",SUMIFS(업무일지!$AC$5:$AC$1004,업무일지!$F$5:$F$1004,$A42))</f>
        <v/>
      </c>
      <c r="K42" s="25">
        <f>IF($A42="","",SUMIFS(업무일지!$AD$5:$AD$1004,업무일지!$F$5:$F$1004,$A42))</f>
        <v/>
      </c>
      <c r="L42" s="24">
        <f>IF($A42="","",COUNTIF(일일실시사항!$G$5:$G$1004,$A42))</f>
        <v/>
      </c>
      <c r="M42" s="51">
        <f>IF($A42="","",IFERROR(IF(_xlfn.MINIFS(업무일지!$B$5:$B$1004,업무일지!$F$5:$F$1004,$A42)=0,"",_xlfn.MINIFS(업무일지!$B$5:$B$1004,업무일지!$F$5:$F$1004,$A42)),""))</f>
        <v/>
      </c>
      <c r="N42" s="51">
        <f>IF($A42="","",IFERROR(IF(_xlfn.MAXIFS(업무일지!$C$5:$C$1004,업무일지!$F$5:$F$1004,$A42)=0,"",_xlfn.MAXIFS(업무일지!$C$5:$C$1004,업무일지!$F$5:$F$1004,$A42)),""))</f>
        <v/>
      </c>
      <c r="O42" s="43">
        <f>IF(OR($M42="",$N42=""),"",$N42-$M42+1)</f>
        <v/>
      </c>
      <c r="P42" s="52">
        <f>IF($A42="","",사건마스터!$E41)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3">
        <f>IF($A43="","",F43+G43)</f>
        <v/>
      </c>
      <c r="I43" s="24">
        <f>IF($A43="","",SUMIFS(업무일지!$AE$5:$AE$1004,업무일지!$F$5:$F$1004,$A43,업무일지!$D$5:$D$1004,"출장"))</f>
        <v/>
      </c>
      <c r="J43" s="24">
        <f>IF($A43="","",SUMIFS(업무일지!$AC$5:$AC$1004,업무일지!$F$5:$F$1004,$A43))</f>
        <v/>
      </c>
      <c r="K43" s="25">
        <f>IF($A43="","",SUMIFS(업무일지!$AD$5:$AD$1004,업무일지!$F$5:$F$1004,$A43))</f>
        <v/>
      </c>
      <c r="L43" s="24">
        <f>IF($A43="","",COUNTIF(일일실시사항!$G$5:$G$1004,$A43))</f>
        <v/>
      </c>
      <c r="M43" s="51">
        <f>IF($A43="","",IFERROR(IF(_xlfn.MINIFS(업무일지!$B$5:$B$1004,업무일지!$F$5:$F$1004,$A43)=0,"",_xlfn.MINIFS(업무일지!$B$5:$B$1004,업무일지!$F$5:$F$1004,$A43)),""))</f>
        <v/>
      </c>
      <c r="N43" s="51">
        <f>IF($A43="","",IFERROR(IF(_xlfn.MAXIFS(업무일지!$C$5:$C$1004,업무일지!$F$5:$F$1004,$A43)=0,"",_xlfn.MAXIFS(업무일지!$C$5:$C$1004,업무일지!$F$5:$F$1004,$A43)),""))</f>
        <v/>
      </c>
      <c r="O43" s="43">
        <f>IF(OR($M43="",$N43=""),"",$N43-$M43+1)</f>
        <v/>
      </c>
      <c r="P43" s="52">
        <f>IF($A43="","",사건마스터!$E42)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3">
        <f>IF($A44="","",F44+G44)</f>
        <v/>
      </c>
      <c r="I44" s="24">
        <f>IF($A44="","",SUMIFS(업무일지!$AE$5:$AE$1004,업무일지!$F$5:$F$1004,$A44,업무일지!$D$5:$D$1004,"출장"))</f>
        <v/>
      </c>
      <c r="J44" s="24">
        <f>IF($A44="","",SUMIFS(업무일지!$AC$5:$AC$1004,업무일지!$F$5:$F$1004,$A44))</f>
        <v/>
      </c>
      <c r="K44" s="25">
        <f>IF($A44="","",SUMIFS(업무일지!$AD$5:$AD$1004,업무일지!$F$5:$F$1004,$A44))</f>
        <v/>
      </c>
      <c r="L44" s="24">
        <f>IF($A44="","",COUNTIF(일일실시사항!$G$5:$G$1004,$A44))</f>
        <v/>
      </c>
      <c r="M44" s="51">
        <f>IF($A44="","",IFERROR(IF(_xlfn.MINIFS(업무일지!$B$5:$B$1004,업무일지!$F$5:$F$1004,$A44)=0,"",_xlfn.MINIFS(업무일지!$B$5:$B$1004,업무일지!$F$5:$F$1004,$A44)),""))</f>
        <v/>
      </c>
      <c r="N44" s="51">
        <f>IF($A44="","",IFERROR(IF(_xlfn.MAXIFS(업무일지!$C$5:$C$1004,업무일지!$F$5:$F$1004,$A44)=0,"",_xlfn.MAXIFS(업무일지!$C$5:$C$1004,업무일지!$F$5:$F$1004,$A44)),""))</f>
        <v/>
      </c>
      <c r="O44" s="43">
        <f>IF(OR($M44="",$N44=""),"",$N44-$M44+1)</f>
        <v/>
      </c>
      <c r="P44" s="52">
        <f>IF($A44="","",사건마스터!$E43)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3">
        <f>IF($A45="","",F45+G45)</f>
        <v/>
      </c>
      <c r="I45" s="24">
        <f>IF($A45="","",SUMIFS(업무일지!$AE$5:$AE$1004,업무일지!$F$5:$F$1004,$A45,업무일지!$D$5:$D$1004,"출장"))</f>
        <v/>
      </c>
      <c r="J45" s="24">
        <f>IF($A45="","",SUMIFS(업무일지!$AC$5:$AC$1004,업무일지!$F$5:$F$1004,$A45))</f>
        <v/>
      </c>
      <c r="K45" s="25">
        <f>IF($A45="","",SUMIFS(업무일지!$AD$5:$AD$1004,업무일지!$F$5:$F$1004,$A45))</f>
        <v/>
      </c>
      <c r="L45" s="24">
        <f>IF($A45="","",COUNTIF(일일실시사항!$G$5:$G$1004,$A45))</f>
        <v/>
      </c>
      <c r="M45" s="51">
        <f>IF($A45="","",IFERROR(IF(_xlfn.MINIFS(업무일지!$B$5:$B$1004,업무일지!$F$5:$F$1004,$A45)=0,"",_xlfn.MINIFS(업무일지!$B$5:$B$1004,업무일지!$F$5:$F$1004,$A45)),""))</f>
        <v/>
      </c>
      <c r="N45" s="51">
        <f>IF($A45="","",IFERROR(IF(_xlfn.MAXIFS(업무일지!$C$5:$C$1004,업무일지!$F$5:$F$1004,$A45)=0,"",_xlfn.MAXIFS(업무일지!$C$5:$C$1004,업무일지!$F$5:$F$1004,$A45)),""))</f>
        <v/>
      </c>
      <c r="O45" s="43">
        <f>IF(OR($M45="",$N45=""),"",$N45-$M45+1)</f>
        <v/>
      </c>
      <c r="P45" s="52">
        <f>IF($A45="","",사건마스터!$E44)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3">
        <f>IF($A46="","",F46+G46)</f>
        <v/>
      </c>
      <c r="I46" s="24">
        <f>IF($A46="","",SUMIFS(업무일지!$AE$5:$AE$1004,업무일지!$F$5:$F$1004,$A46,업무일지!$D$5:$D$1004,"출장"))</f>
        <v/>
      </c>
      <c r="J46" s="24">
        <f>IF($A46="","",SUMIFS(업무일지!$AC$5:$AC$1004,업무일지!$F$5:$F$1004,$A46))</f>
        <v/>
      </c>
      <c r="K46" s="25">
        <f>IF($A46="","",SUMIFS(업무일지!$AD$5:$AD$1004,업무일지!$F$5:$F$1004,$A46))</f>
        <v/>
      </c>
      <c r="L46" s="24">
        <f>IF($A46="","",COUNTIF(일일실시사항!$G$5:$G$1004,$A46))</f>
        <v/>
      </c>
      <c r="M46" s="51">
        <f>IF($A46="","",IFERROR(IF(_xlfn.MINIFS(업무일지!$B$5:$B$1004,업무일지!$F$5:$F$1004,$A46)=0,"",_xlfn.MINIFS(업무일지!$B$5:$B$1004,업무일지!$F$5:$F$1004,$A46)),""))</f>
        <v/>
      </c>
      <c r="N46" s="51">
        <f>IF($A46="","",IFERROR(IF(_xlfn.MAXIFS(업무일지!$C$5:$C$1004,업무일지!$F$5:$F$1004,$A46)=0,"",_xlfn.MAXIFS(업무일지!$C$5:$C$1004,업무일지!$F$5:$F$1004,$A46)),""))</f>
        <v/>
      </c>
      <c r="O46" s="43">
        <f>IF(OR($M46="",$N46=""),"",$N46-$M46+1)</f>
        <v/>
      </c>
      <c r="P46" s="52">
        <f>IF($A46="","",사건마스터!$E45)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3">
        <f>IF($A47="","",F47+G47)</f>
        <v/>
      </c>
      <c r="I47" s="24">
        <f>IF($A47="","",SUMIFS(업무일지!$AE$5:$AE$1004,업무일지!$F$5:$F$1004,$A47,업무일지!$D$5:$D$1004,"출장"))</f>
        <v/>
      </c>
      <c r="J47" s="24">
        <f>IF($A47="","",SUMIFS(업무일지!$AC$5:$AC$1004,업무일지!$F$5:$F$1004,$A47))</f>
        <v/>
      </c>
      <c r="K47" s="25">
        <f>IF($A47="","",SUMIFS(업무일지!$AD$5:$AD$1004,업무일지!$F$5:$F$1004,$A47))</f>
        <v/>
      </c>
      <c r="L47" s="24">
        <f>IF($A47="","",COUNTIF(일일실시사항!$G$5:$G$1004,$A47))</f>
        <v/>
      </c>
      <c r="M47" s="51">
        <f>IF($A47="","",IFERROR(IF(_xlfn.MINIFS(업무일지!$B$5:$B$1004,업무일지!$F$5:$F$1004,$A47)=0,"",_xlfn.MINIFS(업무일지!$B$5:$B$1004,업무일지!$F$5:$F$1004,$A47)),""))</f>
        <v/>
      </c>
      <c r="N47" s="51">
        <f>IF($A47="","",IFERROR(IF(_xlfn.MAXIFS(업무일지!$C$5:$C$1004,업무일지!$F$5:$F$1004,$A47)=0,"",_xlfn.MAXIFS(업무일지!$C$5:$C$1004,업무일지!$F$5:$F$1004,$A47)),""))</f>
        <v/>
      </c>
      <c r="O47" s="43">
        <f>IF(OR($M47="",$N47=""),"",$N47-$M47+1)</f>
        <v/>
      </c>
      <c r="P47" s="52">
        <f>IF($A47="","",사건마스터!$E46)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3">
        <f>IF($A48="","",F48+G48)</f>
        <v/>
      </c>
      <c r="I48" s="24">
        <f>IF($A48="","",SUMIFS(업무일지!$AE$5:$AE$1004,업무일지!$F$5:$F$1004,$A48,업무일지!$D$5:$D$1004,"출장"))</f>
        <v/>
      </c>
      <c r="J48" s="24">
        <f>IF($A48="","",SUMIFS(업무일지!$AC$5:$AC$1004,업무일지!$F$5:$F$1004,$A48))</f>
        <v/>
      </c>
      <c r="K48" s="25">
        <f>IF($A48="","",SUMIFS(업무일지!$AD$5:$AD$1004,업무일지!$F$5:$F$1004,$A48))</f>
        <v/>
      </c>
      <c r="L48" s="24">
        <f>IF($A48="","",COUNTIF(일일실시사항!$G$5:$G$1004,$A48))</f>
        <v/>
      </c>
      <c r="M48" s="51">
        <f>IF($A48="","",IFERROR(IF(_xlfn.MINIFS(업무일지!$B$5:$B$1004,업무일지!$F$5:$F$1004,$A48)=0,"",_xlfn.MINIFS(업무일지!$B$5:$B$1004,업무일지!$F$5:$F$1004,$A48)),""))</f>
        <v/>
      </c>
      <c r="N48" s="51">
        <f>IF($A48="","",IFERROR(IF(_xlfn.MAXIFS(업무일지!$C$5:$C$1004,업무일지!$F$5:$F$1004,$A48)=0,"",_xlfn.MAXIFS(업무일지!$C$5:$C$1004,업무일지!$F$5:$F$1004,$A48)),""))</f>
        <v/>
      </c>
      <c r="O48" s="43">
        <f>IF(OR($M48="",$N48=""),"",$N48-$M48+1)</f>
        <v/>
      </c>
      <c r="P48" s="52">
        <f>IF($A48="","",사건마스터!$E47)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3">
        <f>IF($A49="","",F49+G49)</f>
        <v/>
      </c>
      <c r="I49" s="24">
        <f>IF($A49="","",SUMIFS(업무일지!$AE$5:$AE$1004,업무일지!$F$5:$F$1004,$A49,업무일지!$D$5:$D$1004,"출장"))</f>
        <v/>
      </c>
      <c r="J49" s="24">
        <f>IF($A49="","",SUMIFS(업무일지!$AC$5:$AC$1004,업무일지!$F$5:$F$1004,$A49))</f>
        <v/>
      </c>
      <c r="K49" s="25">
        <f>IF($A49="","",SUMIFS(업무일지!$AD$5:$AD$1004,업무일지!$F$5:$F$1004,$A49))</f>
        <v/>
      </c>
      <c r="L49" s="24">
        <f>IF($A49="","",COUNTIF(일일실시사항!$G$5:$G$1004,$A49))</f>
        <v/>
      </c>
      <c r="M49" s="51">
        <f>IF($A49="","",IFERROR(IF(_xlfn.MINIFS(업무일지!$B$5:$B$1004,업무일지!$F$5:$F$1004,$A49)=0,"",_xlfn.MINIFS(업무일지!$B$5:$B$1004,업무일지!$F$5:$F$1004,$A49)),""))</f>
        <v/>
      </c>
      <c r="N49" s="51">
        <f>IF($A49="","",IFERROR(IF(_xlfn.MAXIFS(업무일지!$C$5:$C$1004,업무일지!$F$5:$F$1004,$A49)=0,"",_xlfn.MAXIFS(업무일지!$C$5:$C$1004,업무일지!$F$5:$F$1004,$A49)),""))</f>
        <v/>
      </c>
      <c r="O49" s="43">
        <f>IF(OR($M49="",$N49=""),"",$N49-$M49+1)</f>
        <v/>
      </c>
      <c r="P49" s="52">
        <f>IF($A49="","",사건마스터!$E48)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3">
        <f>IF($A50="","",F50+G50)</f>
        <v/>
      </c>
      <c r="I50" s="24">
        <f>IF($A50="","",SUMIFS(업무일지!$AE$5:$AE$1004,업무일지!$F$5:$F$1004,$A50,업무일지!$D$5:$D$1004,"출장"))</f>
        <v/>
      </c>
      <c r="J50" s="24">
        <f>IF($A50="","",SUMIFS(업무일지!$AC$5:$AC$1004,업무일지!$F$5:$F$1004,$A50))</f>
        <v/>
      </c>
      <c r="K50" s="25">
        <f>IF($A50="","",SUMIFS(업무일지!$AD$5:$AD$1004,업무일지!$F$5:$F$1004,$A50))</f>
        <v/>
      </c>
      <c r="L50" s="24">
        <f>IF($A50="","",COUNTIF(일일실시사항!$G$5:$G$1004,$A50))</f>
        <v/>
      </c>
      <c r="M50" s="51">
        <f>IF($A50="","",IFERROR(IF(_xlfn.MINIFS(업무일지!$B$5:$B$1004,업무일지!$F$5:$F$1004,$A50)=0,"",_xlfn.MINIFS(업무일지!$B$5:$B$1004,업무일지!$F$5:$F$1004,$A50)),""))</f>
        <v/>
      </c>
      <c r="N50" s="51">
        <f>IF($A50="","",IFERROR(IF(_xlfn.MAXIFS(업무일지!$C$5:$C$1004,업무일지!$F$5:$F$1004,$A50)=0,"",_xlfn.MAXIFS(업무일지!$C$5:$C$1004,업무일지!$F$5:$F$1004,$A50)),""))</f>
        <v/>
      </c>
      <c r="O50" s="43">
        <f>IF(OR($M50="",$N50=""),"",$N50-$M50+1)</f>
        <v/>
      </c>
      <c r="P50" s="52">
        <f>IF($A50="","",사건마스터!$E49)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3">
        <f>IF($A51="","",F51+G51)</f>
        <v/>
      </c>
      <c r="I51" s="24">
        <f>IF($A51="","",SUMIFS(업무일지!$AE$5:$AE$1004,업무일지!$F$5:$F$1004,$A51,업무일지!$D$5:$D$1004,"출장"))</f>
        <v/>
      </c>
      <c r="J51" s="24">
        <f>IF($A51="","",SUMIFS(업무일지!$AC$5:$AC$1004,업무일지!$F$5:$F$1004,$A51))</f>
        <v/>
      </c>
      <c r="K51" s="25">
        <f>IF($A51="","",SUMIFS(업무일지!$AD$5:$AD$1004,업무일지!$F$5:$F$1004,$A51))</f>
        <v/>
      </c>
      <c r="L51" s="24">
        <f>IF($A51="","",COUNTIF(일일실시사항!$G$5:$G$1004,$A51))</f>
        <v/>
      </c>
      <c r="M51" s="51">
        <f>IF($A51="","",IFERROR(IF(_xlfn.MINIFS(업무일지!$B$5:$B$1004,업무일지!$F$5:$F$1004,$A51)=0,"",_xlfn.MINIFS(업무일지!$B$5:$B$1004,업무일지!$F$5:$F$1004,$A51)),""))</f>
        <v/>
      </c>
      <c r="N51" s="51">
        <f>IF($A51="","",IFERROR(IF(_xlfn.MAXIFS(업무일지!$C$5:$C$1004,업무일지!$F$5:$F$1004,$A51)=0,"",_xlfn.MAXIFS(업무일지!$C$5:$C$1004,업무일지!$F$5:$F$1004,$A51)),""))</f>
        <v/>
      </c>
      <c r="O51" s="43">
        <f>IF(OR($M51="",$N51=""),"",$N51-$M51+1)</f>
        <v/>
      </c>
      <c r="P51" s="52">
        <f>IF($A51="","",사건마스터!$E50)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3">
        <f>IF($A52="","",F52+G52)</f>
        <v/>
      </c>
      <c r="I52" s="24">
        <f>IF($A52="","",SUMIFS(업무일지!$AE$5:$AE$1004,업무일지!$F$5:$F$1004,$A52,업무일지!$D$5:$D$1004,"출장"))</f>
        <v/>
      </c>
      <c r="J52" s="24">
        <f>IF($A52="","",SUMIFS(업무일지!$AC$5:$AC$1004,업무일지!$F$5:$F$1004,$A52))</f>
        <v/>
      </c>
      <c r="K52" s="25">
        <f>IF($A52="","",SUMIFS(업무일지!$AD$5:$AD$1004,업무일지!$F$5:$F$1004,$A52))</f>
        <v/>
      </c>
      <c r="L52" s="24">
        <f>IF($A52="","",COUNTIF(일일실시사항!$G$5:$G$1004,$A52))</f>
        <v/>
      </c>
      <c r="M52" s="51">
        <f>IF($A52="","",IFERROR(IF(_xlfn.MINIFS(업무일지!$B$5:$B$1004,업무일지!$F$5:$F$1004,$A52)=0,"",_xlfn.MINIFS(업무일지!$B$5:$B$1004,업무일지!$F$5:$F$1004,$A52)),""))</f>
        <v/>
      </c>
      <c r="N52" s="51">
        <f>IF($A52="","",IFERROR(IF(_xlfn.MAXIFS(업무일지!$C$5:$C$1004,업무일지!$F$5:$F$1004,$A52)=0,"",_xlfn.MAXIFS(업무일지!$C$5:$C$1004,업무일지!$F$5:$F$1004,$A52)),""))</f>
        <v/>
      </c>
      <c r="O52" s="43">
        <f>IF(OR($M52="",$N52=""),"",$N52-$M52+1)</f>
        <v/>
      </c>
      <c r="P52" s="52">
        <f>IF($A52="","",사건마스터!$E51)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3">
        <f>IF($A53="","",F53+G53)</f>
        <v/>
      </c>
      <c r="I53" s="24">
        <f>IF($A53="","",SUMIFS(업무일지!$AE$5:$AE$1004,업무일지!$F$5:$F$1004,$A53,업무일지!$D$5:$D$1004,"출장"))</f>
        <v/>
      </c>
      <c r="J53" s="24">
        <f>IF($A53="","",SUMIFS(업무일지!$AC$5:$AC$1004,업무일지!$F$5:$F$1004,$A53))</f>
        <v/>
      </c>
      <c r="K53" s="25">
        <f>IF($A53="","",SUMIFS(업무일지!$AD$5:$AD$1004,업무일지!$F$5:$F$1004,$A53))</f>
        <v/>
      </c>
      <c r="L53" s="24">
        <f>IF($A53="","",COUNTIF(일일실시사항!$G$5:$G$1004,$A53))</f>
        <v/>
      </c>
      <c r="M53" s="51">
        <f>IF($A53="","",IFERROR(IF(_xlfn.MINIFS(업무일지!$B$5:$B$1004,업무일지!$F$5:$F$1004,$A53)=0,"",_xlfn.MINIFS(업무일지!$B$5:$B$1004,업무일지!$F$5:$F$1004,$A53)),""))</f>
        <v/>
      </c>
      <c r="N53" s="51">
        <f>IF($A53="","",IFERROR(IF(_xlfn.MAXIFS(업무일지!$C$5:$C$1004,업무일지!$F$5:$F$1004,$A53)=0,"",_xlfn.MAXIFS(업무일지!$C$5:$C$1004,업무일지!$F$5:$F$1004,$A53)),""))</f>
        <v/>
      </c>
      <c r="O53" s="43">
        <f>IF(OR($M53="",$N53=""),"",$N53-$M53+1)</f>
        <v/>
      </c>
      <c r="P53" s="52">
        <f>IF($A53="","",사건마스터!$E52)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3">
        <f>IF($A54="","",F54+G54)</f>
        <v/>
      </c>
      <c r="I54" s="24">
        <f>IF($A54="","",SUMIFS(업무일지!$AE$5:$AE$1004,업무일지!$F$5:$F$1004,$A54,업무일지!$D$5:$D$1004,"출장"))</f>
        <v/>
      </c>
      <c r="J54" s="24">
        <f>IF($A54="","",SUMIFS(업무일지!$AC$5:$AC$1004,업무일지!$F$5:$F$1004,$A54))</f>
        <v/>
      </c>
      <c r="K54" s="25">
        <f>IF($A54="","",SUMIFS(업무일지!$AD$5:$AD$1004,업무일지!$F$5:$F$1004,$A54))</f>
        <v/>
      </c>
      <c r="L54" s="24">
        <f>IF($A54="","",COUNTIF(일일실시사항!$G$5:$G$1004,$A54))</f>
        <v/>
      </c>
      <c r="M54" s="51">
        <f>IF($A54="","",IFERROR(IF(_xlfn.MINIFS(업무일지!$B$5:$B$1004,업무일지!$F$5:$F$1004,$A54)=0,"",_xlfn.MINIFS(업무일지!$B$5:$B$1004,업무일지!$F$5:$F$1004,$A54)),""))</f>
        <v/>
      </c>
      <c r="N54" s="51">
        <f>IF($A54="","",IFERROR(IF(_xlfn.MAXIFS(업무일지!$C$5:$C$1004,업무일지!$F$5:$F$1004,$A54)=0,"",_xlfn.MAXIFS(업무일지!$C$5:$C$1004,업무일지!$F$5:$F$1004,$A54)),""))</f>
        <v/>
      </c>
      <c r="O54" s="43">
        <f>IF(OR($M54="",$N54=""),"",$N54-$M54+1)</f>
        <v/>
      </c>
      <c r="P54" s="52">
        <f>IF($A54="","",사건마스터!$E53)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3">
        <f>IF($A55="","",F55+G55)</f>
        <v/>
      </c>
      <c r="I55" s="24">
        <f>IF($A55="","",SUMIFS(업무일지!$AE$5:$AE$1004,업무일지!$F$5:$F$1004,$A55,업무일지!$D$5:$D$1004,"출장"))</f>
        <v/>
      </c>
      <c r="J55" s="24">
        <f>IF($A55="","",SUMIFS(업무일지!$AC$5:$AC$1004,업무일지!$F$5:$F$1004,$A55))</f>
        <v/>
      </c>
      <c r="K55" s="25">
        <f>IF($A55="","",SUMIFS(업무일지!$AD$5:$AD$1004,업무일지!$F$5:$F$1004,$A55))</f>
        <v/>
      </c>
      <c r="L55" s="24">
        <f>IF($A55="","",COUNTIF(일일실시사항!$G$5:$G$1004,$A55))</f>
        <v/>
      </c>
      <c r="M55" s="51">
        <f>IF($A55="","",IFERROR(IF(_xlfn.MINIFS(업무일지!$B$5:$B$1004,업무일지!$F$5:$F$1004,$A55)=0,"",_xlfn.MINIFS(업무일지!$B$5:$B$1004,업무일지!$F$5:$F$1004,$A55)),""))</f>
        <v/>
      </c>
      <c r="N55" s="51">
        <f>IF($A55="","",IFERROR(IF(_xlfn.MAXIFS(업무일지!$C$5:$C$1004,업무일지!$F$5:$F$1004,$A55)=0,"",_xlfn.MAXIFS(업무일지!$C$5:$C$1004,업무일지!$F$5:$F$1004,$A55)),""))</f>
        <v/>
      </c>
      <c r="O55" s="43">
        <f>IF(OR($M55="",$N55=""),"",$N55-$M55+1)</f>
        <v/>
      </c>
      <c r="P55" s="52">
        <f>IF($A55="","",사건마스터!$E54)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3">
        <f>IF($A56="","",F56+G56)</f>
        <v/>
      </c>
      <c r="I56" s="24">
        <f>IF($A56="","",SUMIFS(업무일지!$AE$5:$AE$1004,업무일지!$F$5:$F$1004,$A56,업무일지!$D$5:$D$1004,"출장"))</f>
        <v/>
      </c>
      <c r="J56" s="24">
        <f>IF($A56="","",SUMIFS(업무일지!$AC$5:$AC$1004,업무일지!$F$5:$F$1004,$A56))</f>
        <v/>
      </c>
      <c r="K56" s="25">
        <f>IF($A56="","",SUMIFS(업무일지!$AD$5:$AD$1004,업무일지!$F$5:$F$1004,$A56))</f>
        <v/>
      </c>
      <c r="L56" s="24">
        <f>IF($A56="","",COUNTIF(일일실시사항!$G$5:$G$1004,$A56))</f>
        <v/>
      </c>
      <c r="M56" s="51">
        <f>IF($A56="","",IFERROR(IF(_xlfn.MINIFS(업무일지!$B$5:$B$1004,업무일지!$F$5:$F$1004,$A56)=0,"",_xlfn.MINIFS(업무일지!$B$5:$B$1004,업무일지!$F$5:$F$1004,$A56)),""))</f>
        <v/>
      </c>
      <c r="N56" s="51">
        <f>IF($A56="","",IFERROR(IF(_xlfn.MAXIFS(업무일지!$C$5:$C$1004,업무일지!$F$5:$F$1004,$A56)=0,"",_xlfn.MAXIFS(업무일지!$C$5:$C$1004,업무일지!$F$5:$F$1004,$A56)),""))</f>
        <v/>
      </c>
      <c r="O56" s="43">
        <f>IF(OR($M56="",$N56=""),"",$N56-$M56+1)</f>
        <v/>
      </c>
      <c r="P56" s="52">
        <f>IF($A56="","",사건마스터!$E55)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3">
        <f>IF($A57="","",F57+G57)</f>
        <v/>
      </c>
      <c r="I57" s="24">
        <f>IF($A57="","",SUMIFS(업무일지!$AE$5:$AE$1004,업무일지!$F$5:$F$1004,$A57,업무일지!$D$5:$D$1004,"출장"))</f>
        <v/>
      </c>
      <c r="J57" s="24">
        <f>IF($A57="","",SUMIFS(업무일지!$AC$5:$AC$1004,업무일지!$F$5:$F$1004,$A57))</f>
        <v/>
      </c>
      <c r="K57" s="25">
        <f>IF($A57="","",SUMIFS(업무일지!$AD$5:$AD$1004,업무일지!$F$5:$F$1004,$A57))</f>
        <v/>
      </c>
      <c r="L57" s="24">
        <f>IF($A57="","",COUNTIF(일일실시사항!$G$5:$G$1004,$A57))</f>
        <v/>
      </c>
      <c r="M57" s="51">
        <f>IF($A57="","",IFERROR(IF(_xlfn.MINIFS(업무일지!$B$5:$B$1004,업무일지!$F$5:$F$1004,$A57)=0,"",_xlfn.MINIFS(업무일지!$B$5:$B$1004,업무일지!$F$5:$F$1004,$A57)),""))</f>
        <v/>
      </c>
      <c r="N57" s="51">
        <f>IF($A57="","",IFERROR(IF(_xlfn.MAXIFS(업무일지!$C$5:$C$1004,업무일지!$F$5:$F$1004,$A57)=0,"",_xlfn.MAXIFS(업무일지!$C$5:$C$1004,업무일지!$F$5:$F$1004,$A57)),""))</f>
        <v/>
      </c>
      <c r="O57" s="43">
        <f>IF(OR($M57="",$N57=""),"",$N57-$M57+1)</f>
        <v/>
      </c>
      <c r="P57" s="52">
        <f>IF($A57="","",사건마스터!$E56)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3">
        <f>IF($A58="","",F58+G58)</f>
        <v/>
      </c>
      <c r="I58" s="24">
        <f>IF($A58="","",SUMIFS(업무일지!$AE$5:$AE$1004,업무일지!$F$5:$F$1004,$A58,업무일지!$D$5:$D$1004,"출장"))</f>
        <v/>
      </c>
      <c r="J58" s="24">
        <f>IF($A58="","",SUMIFS(업무일지!$AC$5:$AC$1004,업무일지!$F$5:$F$1004,$A58))</f>
        <v/>
      </c>
      <c r="K58" s="25">
        <f>IF($A58="","",SUMIFS(업무일지!$AD$5:$AD$1004,업무일지!$F$5:$F$1004,$A58))</f>
        <v/>
      </c>
      <c r="L58" s="24">
        <f>IF($A58="","",COUNTIF(일일실시사항!$G$5:$G$1004,$A58))</f>
        <v/>
      </c>
      <c r="M58" s="51">
        <f>IF($A58="","",IFERROR(IF(_xlfn.MINIFS(업무일지!$B$5:$B$1004,업무일지!$F$5:$F$1004,$A58)=0,"",_xlfn.MINIFS(업무일지!$B$5:$B$1004,업무일지!$F$5:$F$1004,$A58)),""))</f>
        <v/>
      </c>
      <c r="N58" s="51">
        <f>IF($A58="","",IFERROR(IF(_xlfn.MAXIFS(업무일지!$C$5:$C$1004,업무일지!$F$5:$F$1004,$A58)=0,"",_xlfn.MAXIFS(업무일지!$C$5:$C$1004,업무일지!$F$5:$F$1004,$A58)),""))</f>
        <v/>
      </c>
      <c r="O58" s="43">
        <f>IF(OR($M58="",$N58=""),"",$N58-$M58+1)</f>
        <v/>
      </c>
      <c r="P58" s="52">
        <f>IF($A58="","",사건마스터!$E57)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3">
        <f>IF($A59="","",F59+G59)</f>
        <v/>
      </c>
      <c r="I59" s="24">
        <f>IF($A59="","",SUMIFS(업무일지!$AE$5:$AE$1004,업무일지!$F$5:$F$1004,$A59,업무일지!$D$5:$D$1004,"출장"))</f>
        <v/>
      </c>
      <c r="J59" s="24">
        <f>IF($A59="","",SUMIFS(업무일지!$AC$5:$AC$1004,업무일지!$F$5:$F$1004,$A59))</f>
        <v/>
      </c>
      <c r="K59" s="25">
        <f>IF($A59="","",SUMIFS(업무일지!$AD$5:$AD$1004,업무일지!$F$5:$F$1004,$A59))</f>
        <v/>
      </c>
      <c r="L59" s="24">
        <f>IF($A59="","",COUNTIF(일일실시사항!$G$5:$G$1004,$A59))</f>
        <v/>
      </c>
      <c r="M59" s="51">
        <f>IF($A59="","",IFERROR(IF(_xlfn.MINIFS(업무일지!$B$5:$B$1004,업무일지!$F$5:$F$1004,$A59)=0,"",_xlfn.MINIFS(업무일지!$B$5:$B$1004,업무일지!$F$5:$F$1004,$A59)),""))</f>
        <v/>
      </c>
      <c r="N59" s="51">
        <f>IF($A59="","",IFERROR(IF(_xlfn.MAXIFS(업무일지!$C$5:$C$1004,업무일지!$F$5:$F$1004,$A59)=0,"",_xlfn.MAXIFS(업무일지!$C$5:$C$1004,업무일지!$F$5:$F$1004,$A59)),""))</f>
        <v/>
      </c>
      <c r="O59" s="43">
        <f>IF(OR($M59="",$N59=""),"",$N59-$M59+1)</f>
        <v/>
      </c>
      <c r="P59" s="52">
        <f>IF($A59="","",사건마스터!$E58)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3">
        <f>IF($A60="","",F60+G60)</f>
        <v/>
      </c>
      <c r="I60" s="24">
        <f>IF($A60="","",SUMIFS(업무일지!$AE$5:$AE$1004,업무일지!$F$5:$F$1004,$A60,업무일지!$D$5:$D$1004,"출장"))</f>
        <v/>
      </c>
      <c r="J60" s="24">
        <f>IF($A60="","",SUMIFS(업무일지!$AC$5:$AC$1004,업무일지!$F$5:$F$1004,$A60))</f>
        <v/>
      </c>
      <c r="K60" s="25">
        <f>IF($A60="","",SUMIFS(업무일지!$AD$5:$AD$1004,업무일지!$F$5:$F$1004,$A60))</f>
        <v/>
      </c>
      <c r="L60" s="24">
        <f>IF($A60="","",COUNTIF(일일실시사항!$G$5:$G$1004,$A60))</f>
        <v/>
      </c>
      <c r="M60" s="51">
        <f>IF($A60="","",IFERROR(IF(_xlfn.MINIFS(업무일지!$B$5:$B$1004,업무일지!$F$5:$F$1004,$A60)=0,"",_xlfn.MINIFS(업무일지!$B$5:$B$1004,업무일지!$F$5:$F$1004,$A60)),""))</f>
        <v/>
      </c>
      <c r="N60" s="51">
        <f>IF($A60="","",IFERROR(IF(_xlfn.MAXIFS(업무일지!$C$5:$C$1004,업무일지!$F$5:$F$1004,$A60)=0,"",_xlfn.MAXIFS(업무일지!$C$5:$C$1004,업무일지!$F$5:$F$1004,$A60)),""))</f>
        <v/>
      </c>
      <c r="O60" s="43">
        <f>IF(OR($M60="",$N60=""),"",$N60-$M60+1)</f>
        <v/>
      </c>
      <c r="P60" s="52">
        <f>IF($A60="","",사건마스터!$E59)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3">
        <f>IF($A61="","",F61+G61)</f>
        <v/>
      </c>
      <c r="I61" s="24">
        <f>IF($A61="","",SUMIFS(업무일지!$AE$5:$AE$1004,업무일지!$F$5:$F$1004,$A61,업무일지!$D$5:$D$1004,"출장"))</f>
        <v/>
      </c>
      <c r="J61" s="24">
        <f>IF($A61="","",SUMIFS(업무일지!$AC$5:$AC$1004,업무일지!$F$5:$F$1004,$A61))</f>
        <v/>
      </c>
      <c r="K61" s="25">
        <f>IF($A61="","",SUMIFS(업무일지!$AD$5:$AD$1004,업무일지!$F$5:$F$1004,$A61))</f>
        <v/>
      </c>
      <c r="L61" s="24">
        <f>IF($A61="","",COUNTIF(일일실시사항!$G$5:$G$1004,$A61))</f>
        <v/>
      </c>
      <c r="M61" s="51">
        <f>IF($A61="","",IFERROR(IF(_xlfn.MINIFS(업무일지!$B$5:$B$1004,업무일지!$F$5:$F$1004,$A61)=0,"",_xlfn.MINIFS(업무일지!$B$5:$B$1004,업무일지!$F$5:$F$1004,$A61)),""))</f>
        <v/>
      </c>
      <c r="N61" s="51">
        <f>IF($A61="","",IFERROR(IF(_xlfn.MAXIFS(업무일지!$C$5:$C$1004,업무일지!$F$5:$F$1004,$A61)=0,"",_xlfn.MAXIFS(업무일지!$C$5:$C$1004,업무일지!$F$5:$F$1004,$A61)),""))</f>
        <v/>
      </c>
      <c r="O61" s="43">
        <f>IF(OR($M61="",$N61=""),"",$N61-$M61+1)</f>
        <v/>
      </c>
      <c r="P61" s="52">
        <f>IF($A61="","",사건마스터!$E60)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3">
        <f>IF($A62="","",F62+G62)</f>
        <v/>
      </c>
      <c r="I62" s="24">
        <f>IF($A62="","",SUMIFS(업무일지!$AE$5:$AE$1004,업무일지!$F$5:$F$1004,$A62,업무일지!$D$5:$D$1004,"출장"))</f>
        <v/>
      </c>
      <c r="J62" s="24">
        <f>IF($A62="","",SUMIFS(업무일지!$AC$5:$AC$1004,업무일지!$F$5:$F$1004,$A62))</f>
        <v/>
      </c>
      <c r="K62" s="25">
        <f>IF($A62="","",SUMIFS(업무일지!$AD$5:$AD$1004,업무일지!$F$5:$F$1004,$A62))</f>
        <v/>
      </c>
      <c r="L62" s="24">
        <f>IF($A62="","",COUNTIF(일일실시사항!$G$5:$G$1004,$A62))</f>
        <v/>
      </c>
      <c r="M62" s="51">
        <f>IF($A62="","",IFERROR(IF(_xlfn.MINIFS(업무일지!$B$5:$B$1004,업무일지!$F$5:$F$1004,$A62)=0,"",_xlfn.MINIFS(업무일지!$B$5:$B$1004,업무일지!$F$5:$F$1004,$A62)),""))</f>
        <v/>
      </c>
      <c r="N62" s="51">
        <f>IF($A62="","",IFERROR(IF(_xlfn.MAXIFS(업무일지!$C$5:$C$1004,업무일지!$F$5:$F$1004,$A62)=0,"",_xlfn.MAXIFS(업무일지!$C$5:$C$1004,업무일지!$F$5:$F$1004,$A62)),""))</f>
        <v/>
      </c>
      <c r="O62" s="43">
        <f>IF(OR($M62="",$N62=""),"",$N62-$M62+1)</f>
        <v/>
      </c>
      <c r="P62" s="52">
        <f>IF($A62="","",사건마스터!$E61)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3">
        <f>IF($A63="","",F63+G63)</f>
        <v/>
      </c>
      <c r="I63" s="24">
        <f>IF($A63="","",SUMIFS(업무일지!$AE$5:$AE$1004,업무일지!$F$5:$F$1004,$A63,업무일지!$D$5:$D$1004,"출장"))</f>
        <v/>
      </c>
      <c r="J63" s="24">
        <f>IF($A63="","",SUMIFS(업무일지!$AC$5:$AC$1004,업무일지!$F$5:$F$1004,$A63))</f>
        <v/>
      </c>
      <c r="K63" s="25">
        <f>IF($A63="","",SUMIFS(업무일지!$AD$5:$AD$1004,업무일지!$F$5:$F$1004,$A63))</f>
        <v/>
      </c>
      <c r="L63" s="24">
        <f>IF($A63="","",COUNTIF(일일실시사항!$G$5:$G$1004,$A63))</f>
        <v/>
      </c>
      <c r="M63" s="51">
        <f>IF($A63="","",IFERROR(IF(_xlfn.MINIFS(업무일지!$B$5:$B$1004,업무일지!$F$5:$F$1004,$A63)=0,"",_xlfn.MINIFS(업무일지!$B$5:$B$1004,업무일지!$F$5:$F$1004,$A63)),""))</f>
        <v/>
      </c>
      <c r="N63" s="51">
        <f>IF($A63="","",IFERROR(IF(_xlfn.MAXIFS(업무일지!$C$5:$C$1004,업무일지!$F$5:$F$1004,$A63)=0,"",_xlfn.MAXIFS(업무일지!$C$5:$C$1004,업무일지!$F$5:$F$1004,$A63)),""))</f>
        <v/>
      </c>
      <c r="O63" s="43">
        <f>IF(OR($M63="",$N63=""),"",$N63-$M63+1)</f>
        <v/>
      </c>
      <c r="P63" s="52">
        <f>IF($A63="","",사건마스터!$E62)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3">
        <f>IF($A64="","",F64+G64)</f>
        <v/>
      </c>
      <c r="I64" s="24">
        <f>IF($A64="","",SUMIFS(업무일지!$AE$5:$AE$1004,업무일지!$F$5:$F$1004,$A64,업무일지!$D$5:$D$1004,"출장"))</f>
        <v/>
      </c>
      <c r="J64" s="24">
        <f>IF($A64="","",SUMIFS(업무일지!$AC$5:$AC$1004,업무일지!$F$5:$F$1004,$A64))</f>
        <v/>
      </c>
      <c r="K64" s="25">
        <f>IF($A64="","",SUMIFS(업무일지!$AD$5:$AD$1004,업무일지!$F$5:$F$1004,$A64))</f>
        <v/>
      </c>
      <c r="L64" s="24">
        <f>IF($A64="","",COUNTIF(일일실시사항!$G$5:$G$1004,$A64))</f>
        <v/>
      </c>
      <c r="M64" s="51">
        <f>IF($A64="","",IFERROR(IF(_xlfn.MINIFS(업무일지!$B$5:$B$1004,업무일지!$F$5:$F$1004,$A64)=0,"",_xlfn.MINIFS(업무일지!$B$5:$B$1004,업무일지!$F$5:$F$1004,$A64)),""))</f>
        <v/>
      </c>
      <c r="N64" s="51">
        <f>IF($A64="","",IFERROR(IF(_xlfn.MAXIFS(업무일지!$C$5:$C$1004,업무일지!$F$5:$F$1004,$A64)=0,"",_xlfn.MAXIFS(업무일지!$C$5:$C$1004,업무일지!$F$5:$F$1004,$A64)),""))</f>
        <v/>
      </c>
      <c r="O64" s="43">
        <f>IF(OR($M64="",$N64=""),"",$N64-$M64+1)</f>
        <v/>
      </c>
      <c r="P64" s="52">
        <f>IF($A64="","",사건마스터!$E63)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3">
        <f>IF($A65="","",F65+G65)</f>
        <v/>
      </c>
      <c r="I65" s="24">
        <f>IF($A65="","",SUMIFS(업무일지!$AE$5:$AE$1004,업무일지!$F$5:$F$1004,$A65,업무일지!$D$5:$D$1004,"출장"))</f>
        <v/>
      </c>
      <c r="J65" s="24">
        <f>IF($A65="","",SUMIFS(업무일지!$AC$5:$AC$1004,업무일지!$F$5:$F$1004,$A65))</f>
        <v/>
      </c>
      <c r="K65" s="25">
        <f>IF($A65="","",SUMIFS(업무일지!$AD$5:$AD$1004,업무일지!$F$5:$F$1004,$A65))</f>
        <v/>
      </c>
      <c r="L65" s="24">
        <f>IF($A65="","",COUNTIF(일일실시사항!$G$5:$G$1004,$A65))</f>
        <v/>
      </c>
      <c r="M65" s="51">
        <f>IF($A65="","",IFERROR(IF(_xlfn.MINIFS(업무일지!$B$5:$B$1004,업무일지!$F$5:$F$1004,$A65)=0,"",_xlfn.MINIFS(업무일지!$B$5:$B$1004,업무일지!$F$5:$F$1004,$A65)),""))</f>
        <v/>
      </c>
      <c r="N65" s="51">
        <f>IF($A65="","",IFERROR(IF(_xlfn.MAXIFS(업무일지!$C$5:$C$1004,업무일지!$F$5:$F$1004,$A65)=0,"",_xlfn.MAXIFS(업무일지!$C$5:$C$1004,업무일지!$F$5:$F$1004,$A65)),""))</f>
        <v/>
      </c>
      <c r="O65" s="43">
        <f>IF(OR($M65="",$N65=""),"",$N65-$M65+1)</f>
        <v/>
      </c>
      <c r="P65" s="52">
        <f>IF($A65="","",사건마스터!$E64)</f>
        <v/>
      </c>
    </row>
    <row r="66">
      <c r="A66" s="27" t="inlineStr">
        <is>
          <t>합계</t>
        </is>
      </c>
      <c r="B66" s="61">
        <f>COUNTIF(A6:A65,"?*")&amp;"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28">
        <f>SUM(H6:H65)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F70" s="23" t="inlineStr">
        <is>
          <t>세부유형</t>
        </is>
      </c>
      <c r="G70" s="23" t="inlineStr">
        <is>
          <t>건수</t>
        </is>
      </c>
    </row>
    <row r="71">
      <c r="A71" s="5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 건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4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IF($A7="","",COUNTIFS(업무일지!$B$5:$B$1004,"&gt;="&amp;DATE($B$3,1,1),업무일지!$B$5:$B$1004,"&lt;"&amp;DATE($B$3+1,1,1),업무일지!$Z$5:$Z$1004,"*"&amp;$A7&amp;"*",업무일지!$AF$5:$AF$1004,"진행중"))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4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IF($A8="","",COUNTIFS(업무일지!$B$5:$B$1004,"&gt;="&amp;DATE($B$3,1,1),업무일지!$B$5:$B$1004,"&lt;"&amp;DATE($B$3+1,1,1),업무일지!$Z$5:$Z$1004,"*"&amp;$A8&amp;"*",업무일지!$AF$5:$AF$1004,"진행중"))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4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IF($A9="","",COUNTIFS(업무일지!$B$5:$B$1004,"&gt;="&amp;DATE($B$3,1,1),업무일지!$B$5:$B$1004,"&lt;"&amp;DATE($B$3+1,1,1),업무일지!$Z$5:$Z$1004,"*"&amp;$A9&amp;"*",업무일지!$AF$5:$AF$1004,"진행중"))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4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IF($A10="","",COUNTIFS(업무일지!$B$5:$B$1004,"&gt;="&amp;DATE($B$3,1,1),업무일지!$B$5:$B$1004,"&lt;"&amp;DATE($B$3+1,1,1),업무일지!$Z$5:$Z$1004,"*"&amp;$A10&amp;"*",업무일지!$AF$5:$AF$1004,"진행중"))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4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IF($A11="","",COUNTIFS(업무일지!$B$5:$B$1004,"&gt;="&amp;DATE($B$3,1,1),업무일지!$B$5:$B$1004,"&lt;"&amp;DATE($B$3+1,1,1),업무일지!$Z$5:$Z$1004,"*"&amp;$A11&amp;"*",업무일지!$AF$5:$AF$1004,"진행중"))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4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IF($A12="","",COUNTIFS(업무일지!$B$5:$B$1004,"&gt;="&amp;DATE($B$3,1,1),업무일지!$B$5:$B$1004,"&lt;"&amp;DATE($B$3+1,1,1),업무일지!$Z$5:$Z$1004,"*"&amp;$A12&amp;"*",업무일지!$AF$5:$AF$1004,"진행중"))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4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IF($A13="","",COUNTIFS(업무일지!$B$5:$B$1004,"&gt;="&amp;DATE($B$3,1,1),업무일지!$B$5:$B$1004,"&lt;"&amp;DATE($B$3+1,1,1),업무일지!$Z$5:$Z$1004,"*"&amp;$A13&amp;"*",업무일지!$AF$5:$AF$1004,"진행중"))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4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IF($A14="","",COUNTIFS(업무일지!$B$5:$B$1004,"&gt;="&amp;DATE($B$3,1,1),업무일지!$B$5:$B$1004,"&lt;"&amp;DATE($B$3+1,1,1),업무일지!$Z$5:$Z$1004,"*"&amp;$A14&amp;"*",업무일지!$AF$5:$AF$1004,"진행중"))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4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IF($A15="","",COUNTIFS(업무일지!$B$5:$B$1004,"&gt;="&amp;DATE($B$3,1,1),업무일지!$B$5:$B$1004,"&lt;"&amp;DATE($B$3+1,1,1),업무일지!$Z$5:$Z$1004,"*"&amp;$A15&amp;"*",업무일지!$AF$5:$AF$1004,"진행중"))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4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IF($A16="","",COUNTIFS(업무일지!$B$5:$B$1004,"&gt;="&amp;DATE($B$3,1,1),업무일지!$B$5:$B$1004,"&lt;"&amp;DATE($B$3+1,1,1),업무일지!$Z$5:$Z$1004,"*"&amp;$A16&amp;"*",업무일지!$AF$5:$AF$1004,"진행중"))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4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IF($A17="","",COUNTIFS(업무일지!$B$5:$B$1004,"&gt;="&amp;DATE($B$3,1,1),업무일지!$B$5:$B$1004,"&lt;"&amp;DATE($B$3+1,1,1),업무일지!$Z$5:$Z$1004,"*"&amp;$A17&amp;"*",업무일지!$AF$5:$AF$1004,"진행중"))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4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IF($A18="","",COUNTIFS(업무일지!$B$5:$B$1004,"&gt;="&amp;DATE($B$3,1,1),업무일지!$B$5:$B$1004,"&lt;"&amp;DATE($B$3+1,1,1),업무일지!$Z$5:$Z$1004,"*"&amp;$A18&amp;"*",업무일지!$AF$5:$AF$1004,"진행중"))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4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IF($A19="","",COUNTIFS(업무일지!$B$5:$B$1004,"&gt;="&amp;DATE($B$3,1,1),업무일지!$B$5:$B$1004,"&lt;"&amp;DATE($B$3+1,1,1),업무일지!$Z$5:$Z$1004,"*"&amp;$A19&amp;"*",업무일지!$AF$5:$AF$1004,"진행중"))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4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IF($A20="","",COUNTIFS(업무일지!$B$5:$B$1004,"&gt;="&amp;DATE($B$3,1,1),업무일지!$B$5:$B$1004,"&lt;"&amp;DATE($B$3+1,1,1),업무일지!$Z$5:$Z$1004,"*"&amp;$A20&amp;"*",업무일지!$AF$5:$AF$1004,"진행중"))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4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IF($A21="","",COUNTIFS(업무일지!$B$5:$B$1004,"&gt;="&amp;DATE($B$3,1,1),업무일지!$B$5:$B$1004,"&lt;"&amp;DATE($B$3+1,1,1),업무일지!$Z$5:$Z$1004,"*"&amp;$A21&amp;"*",업무일지!$AF$5:$AF$1004,"진행중"))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4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IF($A22="","",COUNTIFS(업무일지!$B$5:$B$1004,"&gt;="&amp;DATE($B$3,1,1),업무일지!$B$5:$B$1004,"&lt;"&amp;DATE($B$3+1,1,1),업무일지!$Z$5:$Z$1004,"*"&amp;$A22&amp;"*",업무일지!$AF$5:$AF$1004,"진행중"))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4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IF($A23="","",COUNTIFS(업무일지!$B$5:$B$1004,"&gt;="&amp;DATE($B$3,1,1),업무일지!$B$5:$B$1004,"&lt;"&amp;DATE($B$3+1,1,1),업무일지!$Z$5:$Z$1004,"*"&amp;$A23&amp;"*",업무일지!$AF$5:$AF$1004,"진행중"))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4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IF($A24="","",COUNTIFS(업무일지!$B$5:$B$1004,"&gt;="&amp;DATE($B$3,1,1),업무일지!$B$5:$B$1004,"&lt;"&amp;DATE($B$3+1,1,1),업무일지!$Z$5:$Z$1004,"*"&amp;$A24&amp;"*",업무일지!$AF$5:$AF$1004,"진행중"))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4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IF($A25="","",COUNTIFS(업무일지!$B$5:$B$1004,"&gt;="&amp;DATE($B$3,1,1),업무일지!$B$5:$B$1004,"&lt;"&amp;DATE($B$3+1,1,1),업무일지!$Z$5:$Z$1004,"*"&amp;$A25&amp;"*",업무일지!$AF$5:$AF$1004,"진행중"))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4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IF($A26="","",COUNTIFS(업무일지!$B$5:$B$1004,"&gt;="&amp;DATE($B$3,1,1),업무일지!$B$5:$B$1004,"&lt;"&amp;DATE($B$3+1,1,1),업무일지!$Z$5:$Z$1004,"*"&amp;$A26&amp;"*",업무일지!$AF$5:$AF$1004,"진행중"))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COUNTIF($D$37:$D$1036,"?*")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COUNTIF($D$1037:$D$2036,"?*")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COUNTIF(사건마스터!$A$5:$A$64,"?*")</f>
        <v/>
      </c>
      <c r="C8" s="43">
        <f>COUNTIF($D$2037:$D$2096,"?*")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"&amp;업무일지!$G5)</f>
        <v/>
      </c>
      <c r="D37" s="45">
        <f>IF(COUNT(업무일지!$B5:$AG5)+COUNTIF(업무일지!$B5:$AG5,"?*")=0,"",TRIM(IF(업무일지!$B5="","시작일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","")&amp;IF(AND(업무일지!$F5="",업무일지!$G5=""),"사건번호·업무명 모두 없음; ","")&amp;IF(업무일지!$I5="","담당자 없음; ","")&amp;IF(COUNTIF(코드설정!$F$5:$F$7,업무일지!$AF5)=0,"진행상태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"&amp;업무일지!$G6)</f>
        <v/>
      </c>
      <c r="D38" s="45">
        <f>IF(COUNT(업무일지!$B6:$AG6)+COUNTIF(업무일지!$B6:$AG6,"?*")=0,"",TRIM(IF(업무일지!$B6="","시작일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","")&amp;IF(AND(업무일지!$F6="",업무일지!$G6=""),"사건번호·업무명 모두 없음; ","")&amp;IF(업무일지!$I6="","담당자 없음; ","")&amp;IF(COUNTIF(코드설정!$F$5:$F$7,업무일지!$AF6)=0,"진행상태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"&amp;업무일지!$G7)</f>
        <v/>
      </c>
      <c r="D39" s="45">
        <f>IF(COUNT(업무일지!$B7:$AG7)+COUNTIF(업무일지!$B7:$AG7,"?*")=0,"",TRIM(IF(업무일지!$B7="","시작일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","")&amp;IF(AND(업무일지!$F7="",업무일지!$G7=""),"사건번호·업무명 모두 없음; ","")&amp;IF(업무일지!$I7="","담당자 없음; ","")&amp;IF(COUNTIF(코드설정!$F$5:$F$7,업무일지!$AF7)=0,"진행상태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"&amp;업무일지!$G8)</f>
        <v/>
      </c>
      <c r="D40" s="45">
        <f>IF(COUNT(업무일지!$B8:$AG8)+COUNTIF(업무일지!$B8:$AG8,"?*")=0,"",TRIM(IF(업무일지!$B8="","시작일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","")&amp;IF(AND(업무일지!$F8="",업무일지!$G8=""),"사건번호·업무명 모두 없음; ","")&amp;IF(업무일지!$I8="","담당자 없음; ","")&amp;IF(COUNTIF(코드설정!$F$5:$F$7,업무일지!$AF8)=0,"진행상태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"&amp;업무일지!$G9)</f>
        <v/>
      </c>
      <c r="D41" s="45">
        <f>IF(COUNT(업무일지!$B9:$AG9)+COUNTIF(업무일지!$B9:$AG9,"?*")=0,"",TRIM(IF(업무일지!$B9="","시작일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","")&amp;IF(AND(업무일지!$F9="",업무일지!$G9=""),"사건번호·업무명 모두 없음; ","")&amp;IF(업무일지!$I9="","담당자 없음; ","")&amp;IF(COUNTIF(코드설정!$F$5:$F$7,업무일지!$AF9)=0,"진행상태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"&amp;업무일지!$G10)</f>
        <v/>
      </c>
      <c r="D42" s="45">
        <f>IF(COUNT(업무일지!$B10:$AG10)+COUNTIF(업무일지!$B10:$AG10,"?*")=0,"",TRIM(IF(업무일지!$B10="","시작일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","")&amp;IF(AND(업무일지!$F10="",업무일지!$G10=""),"사건번호·업무명 모두 없음; ","")&amp;IF(업무일지!$I10="","담당자 없음; ","")&amp;IF(COUNTIF(코드설정!$F$5:$F$7,업무일지!$AF10)=0,"진행상태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"&amp;업무일지!$G11)</f>
        <v/>
      </c>
      <c r="D43" s="45">
        <f>IF(COUNT(업무일지!$B11:$AG11)+COUNTIF(업무일지!$B11:$AG11,"?*")=0,"",TRIM(IF(업무일지!$B11="","시작일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","")&amp;IF(AND(업무일지!$F11="",업무일지!$G11=""),"사건번호·업무명 모두 없음; ","")&amp;IF(업무일지!$I11="","담당자 없음; ","")&amp;IF(COUNTIF(코드설정!$F$5:$F$7,업무일지!$AF11)=0,"진행상태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"&amp;업무일지!$G12)</f>
        <v/>
      </c>
      <c r="D44" s="45">
        <f>IF(COUNT(업무일지!$B12:$AG12)+COUNTIF(업무일지!$B12:$AG12,"?*")=0,"",TRIM(IF(업무일지!$B12="","시작일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","")&amp;IF(AND(업무일지!$F12="",업무일지!$G12=""),"사건번호·업무명 모두 없음; ","")&amp;IF(업무일지!$I12="","담당자 없음; ","")&amp;IF(COUNTIF(코드설정!$F$5:$F$7,업무일지!$AF12)=0,"진행상태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"&amp;업무일지!$G13)</f>
        <v/>
      </c>
      <c r="D45" s="45">
        <f>IF(COUNT(업무일지!$B13:$AG13)+COUNTIF(업무일지!$B13:$AG13,"?*")=0,"",TRIM(IF(업무일지!$B13="","시작일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","")&amp;IF(AND(업무일지!$F13="",업무일지!$G13=""),"사건번호·업무명 모두 없음; ","")&amp;IF(업무일지!$I13="","담당자 없음; ","")&amp;IF(COUNTIF(코드설정!$F$5:$F$7,업무일지!$AF13)=0,"진행상태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"&amp;업무일지!$G14)</f>
        <v/>
      </c>
      <c r="D46" s="45">
        <f>IF(COUNT(업무일지!$B14:$AG14)+COUNTIF(업무일지!$B14:$AG14,"?*")=0,"",TRIM(IF(업무일지!$B14="","시작일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","")&amp;IF(AND(업무일지!$F14="",업무일지!$G14=""),"사건번호·업무명 모두 없음; ","")&amp;IF(업무일지!$I14="","담당자 없음; ","")&amp;IF(COUNTIF(코드설정!$F$5:$F$7,업무일지!$AF14)=0,"진행상태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"&amp;업무일지!$G15)</f>
        <v/>
      </c>
      <c r="D47" s="45">
        <f>IF(COUNT(업무일지!$B15:$AG15)+COUNTIF(업무일지!$B15:$AG15,"?*")=0,"",TRIM(IF(업무일지!$B15="","시작일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","")&amp;IF(AND(업무일지!$F15="",업무일지!$G15=""),"사건번호·업무명 모두 없음; ","")&amp;IF(업무일지!$I15="","담당자 없음; ","")&amp;IF(COUNTIF(코드설정!$F$5:$F$7,업무일지!$AF15)=0,"진행상태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"&amp;업무일지!$G16)</f>
        <v/>
      </c>
      <c r="D48" s="45">
        <f>IF(COUNT(업무일지!$B16:$AG16)+COUNTIF(업무일지!$B16:$AG16,"?*")=0,"",TRIM(IF(업무일지!$B16="","시작일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","")&amp;IF(AND(업무일지!$F16="",업무일지!$G16=""),"사건번호·업무명 모두 없음; ","")&amp;IF(업무일지!$I16="","담당자 없음; ","")&amp;IF(COUNTIF(코드설정!$F$5:$F$7,업무일지!$AF16)=0,"진행상태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"&amp;업무일지!$G17)</f>
        <v/>
      </c>
      <c r="D49" s="45">
        <f>IF(COUNT(업무일지!$B17:$AG17)+COUNTIF(업무일지!$B17:$AG17,"?*")=0,"",TRIM(IF(업무일지!$B17="","시작일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","")&amp;IF(AND(업무일지!$F17="",업무일지!$G17=""),"사건번호·업무명 모두 없음; ","")&amp;IF(업무일지!$I17="","담당자 없음; ","")&amp;IF(COUNTIF(코드설정!$F$5:$F$7,업무일지!$AF17)=0,"진행상태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"&amp;업무일지!$G18)</f>
        <v/>
      </c>
      <c r="D50" s="45">
        <f>IF(COUNT(업무일지!$B18:$AG18)+COUNTIF(업무일지!$B18:$AG18,"?*")=0,"",TRIM(IF(업무일지!$B18="","시작일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","")&amp;IF(AND(업무일지!$F18="",업무일지!$G18=""),"사건번호·업무명 모두 없음; ","")&amp;IF(업무일지!$I18="","담당자 없음; ","")&amp;IF(COUNTIF(코드설정!$F$5:$F$7,업무일지!$AF18)=0,"진행상태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"&amp;업무일지!$G19)</f>
        <v/>
      </c>
      <c r="D51" s="45">
        <f>IF(COUNT(업무일지!$B19:$AG19)+COUNTIF(업무일지!$B19:$AG19,"?*")=0,"",TRIM(IF(업무일지!$B19="","시작일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","")&amp;IF(AND(업무일지!$F19="",업무일지!$G19=""),"사건번호·업무명 모두 없음; ","")&amp;IF(업무일지!$I19="","담당자 없음; ","")&amp;IF(COUNTIF(코드설정!$F$5:$F$7,업무일지!$AF19)=0,"진행상태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"&amp;업무일지!$G20)</f>
        <v/>
      </c>
      <c r="D52" s="45">
        <f>IF(COUNT(업무일지!$B20:$AG20)+COUNTIF(업무일지!$B20:$AG20,"?*")=0,"",TRIM(IF(업무일지!$B20="","시작일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","")&amp;IF(AND(업무일지!$F20="",업무일지!$G20=""),"사건번호·업무명 모두 없음; ","")&amp;IF(업무일지!$I20="","담당자 없음; ","")&amp;IF(COUNTIF(코드설정!$F$5:$F$7,업무일지!$AF20)=0,"진행상태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"&amp;업무일지!$G21)</f>
        <v/>
      </c>
      <c r="D53" s="45">
        <f>IF(COUNT(업무일지!$B21:$AG21)+COUNTIF(업무일지!$B21:$AG21,"?*")=0,"",TRIM(IF(업무일지!$B21="","시작일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","")&amp;IF(AND(업무일지!$F21="",업무일지!$G21=""),"사건번호·업무명 모두 없음; ","")&amp;IF(업무일지!$I21="","담당자 없음; ","")&amp;IF(COUNTIF(코드설정!$F$5:$F$7,업무일지!$AF21)=0,"진행상태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"&amp;업무일지!$G22)</f>
        <v/>
      </c>
      <c r="D54" s="45">
        <f>IF(COUNT(업무일지!$B22:$AG22)+COUNTIF(업무일지!$B22:$AG22,"?*")=0,"",TRIM(IF(업무일지!$B22="","시작일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","")&amp;IF(AND(업무일지!$F22="",업무일지!$G22=""),"사건번호·업무명 모두 없음; ","")&amp;IF(업무일지!$I22="","담당자 없음; ","")&amp;IF(COUNTIF(코드설정!$F$5:$F$7,업무일지!$AF22)=0,"진행상태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"&amp;업무일지!$G23)</f>
        <v/>
      </c>
      <c r="D55" s="45">
        <f>IF(COUNT(업무일지!$B23:$AG23)+COUNTIF(업무일지!$B23:$AG23,"?*")=0,"",TRIM(IF(업무일지!$B23="","시작일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","")&amp;IF(AND(업무일지!$F23="",업무일지!$G23=""),"사건번호·업무명 모두 없음; ","")&amp;IF(업무일지!$I23="","담당자 없음; ","")&amp;IF(COUNTIF(코드설정!$F$5:$F$7,업무일지!$AF23)=0,"진행상태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"&amp;업무일지!$G24)</f>
        <v/>
      </c>
      <c r="D56" s="45">
        <f>IF(COUNT(업무일지!$B24:$AG24)+COUNTIF(업무일지!$B24:$AG24,"?*")=0,"",TRIM(IF(업무일지!$B24="","시작일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","")&amp;IF(AND(업무일지!$F24="",업무일지!$G24=""),"사건번호·업무명 모두 없음; ","")&amp;IF(업무일지!$I24="","담당자 없음; ","")&amp;IF(COUNTIF(코드설정!$F$5:$F$7,업무일지!$AF24)=0,"진행상태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"&amp;업무일지!$G25)</f>
        <v/>
      </c>
      <c r="D57" s="45">
        <f>IF(COUNT(업무일지!$B25:$AG25)+COUNTIF(업무일지!$B25:$AG25,"?*")=0,"",TRIM(IF(업무일지!$B25="","시작일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","")&amp;IF(AND(업무일지!$F25="",업무일지!$G25=""),"사건번호·업무명 모두 없음; ","")&amp;IF(업무일지!$I25="","담당자 없음; ","")&amp;IF(COUNTIF(코드설정!$F$5:$F$7,업무일지!$AF25)=0,"진행상태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"&amp;업무일지!$G26)</f>
        <v/>
      </c>
      <c r="D58" s="45">
        <f>IF(COUNT(업무일지!$B26:$AG26)+COUNTIF(업무일지!$B26:$AG26,"?*")=0,"",TRIM(IF(업무일지!$B26="","시작일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","")&amp;IF(AND(업무일지!$F26="",업무일지!$G26=""),"사건번호·업무명 모두 없음; ","")&amp;IF(업무일지!$I26="","담당자 없음; ","")&amp;IF(COUNTIF(코드설정!$F$5:$F$7,업무일지!$AF26)=0,"진행상태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"&amp;업무일지!$G27)</f>
        <v/>
      </c>
      <c r="D59" s="45">
        <f>IF(COUNT(업무일지!$B27:$AG27)+COUNTIF(업무일지!$B27:$AG27,"?*")=0,"",TRIM(IF(업무일지!$B27="","시작일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","")&amp;IF(AND(업무일지!$F27="",업무일지!$G27=""),"사건번호·업무명 모두 없음; ","")&amp;IF(업무일지!$I27="","담당자 없음; ","")&amp;IF(COUNTIF(코드설정!$F$5:$F$7,업무일지!$AF27)=0,"진행상태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"&amp;업무일지!$G28)</f>
        <v/>
      </c>
      <c r="D60" s="45">
        <f>IF(COUNT(업무일지!$B28:$AG28)+COUNTIF(업무일지!$B28:$AG28,"?*")=0,"",TRIM(IF(업무일지!$B28="","시작일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","")&amp;IF(AND(업무일지!$F28="",업무일지!$G28=""),"사건번호·업무명 모두 없음; ","")&amp;IF(업무일지!$I28="","담당자 없음; ","")&amp;IF(COUNTIF(코드설정!$F$5:$F$7,업무일지!$AF28)=0,"진행상태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"&amp;업무일지!$G29)</f>
        <v/>
      </c>
      <c r="D61" s="45">
        <f>IF(COUNT(업무일지!$B29:$AG29)+COUNTIF(업무일지!$B29:$AG29,"?*")=0,"",TRIM(IF(업무일지!$B29="","시작일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","")&amp;IF(AND(업무일지!$F29="",업무일지!$G29=""),"사건번호·업무명 모두 없음; ","")&amp;IF(업무일지!$I29="","담당자 없음; ","")&amp;IF(COUNTIF(코드설정!$F$5:$F$7,업무일지!$AF29)=0,"진행상태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"&amp;업무일지!$G30)</f>
        <v/>
      </c>
      <c r="D62" s="45">
        <f>IF(COUNT(업무일지!$B30:$AG30)+COUNTIF(업무일지!$B30:$AG30,"?*")=0,"",TRIM(IF(업무일지!$B30="","시작일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","")&amp;IF(AND(업무일지!$F30="",업무일지!$G30=""),"사건번호·업무명 모두 없음; ","")&amp;IF(업무일지!$I30="","담당자 없음; ","")&amp;IF(COUNTIF(코드설정!$F$5:$F$7,업무일지!$AF30)=0,"진행상태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"&amp;업무일지!$G31)</f>
        <v/>
      </c>
      <c r="D63" s="45">
        <f>IF(COUNT(업무일지!$B31:$AG31)+COUNTIF(업무일지!$B31:$AG31,"?*")=0,"",TRIM(IF(업무일지!$B31="","시작일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","")&amp;IF(AND(업무일지!$F31="",업무일지!$G31=""),"사건번호·업무명 모두 없음; ","")&amp;IF(업무일지!$I31="","담당자 없음; ","")&amp;IF(COUNTIF(코드설정!$F$5:$F$7,업무일지!$AF31)=0,"진행상태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"&amp;업무일지!$G32)</f>
        <v/>
      </c>
      <c r="D64" s="45">
        <f>IF(COUNT(업무일지!$B32:$AG32)+COUNTIF(업무일지!$B32:$AG32,"?*")=0,"",TRIM(IF(업무일지!$B32="","시작일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","")&amp;IF(AND(업무일지!$F32="",업무일지!$G32=""),"사건번호·업무명 모두 없음; ","")&amp;IF(업무일지!$I32="","담당자 없음; ","")&amp;IF(COUNTIF(코드설정!$F$5:$F$7,업무일지!$AF32)=0,"진행상태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"&amp;업무일지!$G33)</f>
        <v/>
      </c>
      <c r="D65" s="45">
        <f>IF(COUNT(업무일지!$B33:$AG33)+COUNTIF(업무일지!$B33:$AG33,"?*")=0,"",TRIM(IF(업무일지!$B33="","시작일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","")&amp;IF(AND(업무일지!$F33="",업무일지!$G33=""),"사건번호·업무명 모두 없음; ","")&amp;IF(업무일지!$I33="","담당자 없음; ","")&amp;IF(COUNTIF(코드설정!$F$5:$F$7,업무일지!$AF33)=0,"진행상태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"&amp;업무일지!$G34)</f>
        <v/>
      </c>
      <c r="D66" s="45">
        <f>IF(COUNT(업무일지!$B34:$AG34)+COUNTIF(업무일지!$B34:$AG34,"?*")=0,"",TRIM(IF(업무일지!$B34="","시작일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","")&amp;IF(AND(업무일지!$F34="",업무일지!$G34=""),"사건번호·업무명 모두 없음; ","")&amp;IF(업무일지!$I34="","담당자 없음; ","")&amp;IF(COUNTIF(코드설정!$F$5:$F$7,업무일지!$AF34)=0,"진행상태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"&amp;업무일지!$G35)</f>
        <v/>
      </c>
      <c r="D67" s="45">
        <f>IF(COUNT(업무일지!$B35:$AG35)+COUNTIF(업무일지!$B35:$AG35,"?*")=0,"",TRIM(IF(업무일지!$B35="","시작일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","")&amp;IF(AND(업무일지!$F35="",업무일지!$G35=""),"사건번호·업무명 모두 없음; ","")&amp;IF(업무일지!$I35="","담당자 없음; ","")&amp;IF(COUNTIF(코드설정!$F$5:$F$7,업무일지!$AF35)=0,"진행상태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"&amp;업무일지!$G36)</f>
        <v/>
      </c>
      <c r="D68" s="45">
        <f>IF(COUNT(업무일지!$B36:$AG36)+COUNTIF(업무일지!$B36:$AG36,"?*")=0,"",TRIM(IF(업무일지!$B36="","시작일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","")&amp;IF(AND(업무일지!$F36="",업무일지!$G36=""),"사건번호·업무명 모두 없음; ","")&amp;IF(업무일지!$I36="","담당자 없음; ","")&amp;IF(COUNTIF(코드설정!$F$5:$F$7,업무일지!$AF36)=0,"진행상태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"&amp;업무일지!$G37)</f>
        <v/>
      </c>
      <c r="D69" s="45">
        <f>IF(COUNT(업무일지!$B37:$AG37)+COUNTIF(업무일지!$B37:$AG37,"?*")=0,"",TRIM(IF(업무일지!$B37="","시작일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","")&amp;IF(AND(업무일지!$F37="",업무일지!$G37=""),"사건번호·업무명 모두 없음; ","")&amp;IF(업무일지!$I37="","담당자 없음; ","")&amp;IF(COUNTIF(코드설정!$F$5:$F$7,업무일지!$AF37)=0,"진행상태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"&amp;업무일지!$G38)</f>
        <v/>
      </c>
      <c r="D70" s="45">
        <f>IF(COUNT(업무일지!$B38:$AG38)+COUNTIF(업무일지!$B38:$AG38,"?*")=0,"",TRIM(IF(업무일지!$B38="","시작일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","")&amp;IF(AND(업무일지!$F38="",업무일지!$G38=""),"사건번호·업무명 모두 없음; ","")&amp;IF(업무일지!$I38="","담당자 없음; ","")&amp;IF(COUNTIF(코드설정!$F$5:$F$7,업무일지!$AF38)=0,"진행상태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"&amp;업무일지!$G39)</f>
        <v/>
      </c>
      <c r="D71" s="45">
        <f>IF(COUNT(업무일지!$B39:$AG39)+COUNTIF(업무일지!$B39:$AG39,"?*")=0,"",TRIM(IF(업무일지!$B39="","시작일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","")&amp;IF(AND(업무일지!$F39="",업무일지!$G39=""),"사건번호·업무명 모두 없음; ","")&amp;IF(업무일지!$I39="","담당자 없음; ","")&amp;IF(COUNTIF(코드설정!$F$5:$F$7,업무일지!$AF39)=0,"진행상태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"&amp;업무일지!$G40)</f>
        <v/>
      </c>
      <c r="D72" s="45">
        <f>IF(COUNT(업무일지!$B40:$AG40)+COUNTIF(업무일지!$B40:$AG40,"?*")=0,"",TRIM(IF(업무일지!$B40="","시작일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","")&amp;IF(AND(업무일지!$F40="",업무일지!$G40=""),"사건번호·업무명 모두 없음; ","")&amp;IF(업무일지!$I40="","담당자 없음; ","")&amp;IF(COUNTIF(코드설정!$F$5:$F$7,업무일지!$AF40)=0,"진행상태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"&amp;업무일지!$G41)</f>
        <v/>
      </c>
      <c r="D73" s="45">
        <f>IF(COUNT(업무일지!$B41:$AG41)+COUNTIF(업무일지!$B41:$AG41,"?*")=0,"",TRIM(IF(업무일지!$B41="","시작일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","")&amp;IF(AND(업무일지!$F41="",업무일지!$G41=""),"사건번호·업무명 모두 없음; ","")&amp;IF(업무일지!$I41="","담당자 없음; ","")&amp;IF(COUNTIF(코드설정!$F$5:$F$7,업무일지!$AF41)=0,"진행상태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"&amp;업무일지!$G42)</f>
        <v/>
      </c>
      <c r="D74" s="45">
        <f>IF(COUNT(업무일지!$B42:$AG42)+COUNTIF(업무일지!$B42:$AG42,"?*")=0,"",TRIM(IF(업무일지!$B42="","시작일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","")&amp;IF(AND(업무일지!$F42="",업무일지!$G42=""),"사건번호·업무명 모두 없음; ","")&amp;IF(업무일지!$I42="","담당자 없음; ","")&amp;IF(COUNTIF(코드설정!$F$5:$F$7,업무일지!$AF42)=0,"진행상태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"&amp;업무일지!$G43)</f>
        <v/>
      </c>
      <c r="D75" s="45">
        <f>IF(COUNT(업무일지!$B43:$AG43)+COUNTIF(업무일지!$B43:$AG43,"?*")=0,"",TRIM(IF(업무일지!$B43="","시작일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","")&amp;IF(AND(업무일지!$F43="",업무일지!$G43=""),"사건번호·업무명 모두 없음; ","")&amp;IF(업무일지!$I43="","담당자 없음; ","")&amp;IF(COUNTIF(코드설정!$F$5:$F$7,업무일지!$AF43)=0,"진행상태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"&amp;업무일지!$G44)</f>
        <v/>
      </c>
      <c r="D76" s="45">
        <f>IF(COUNT(업무일지!$B44:$AG44)+COUNTIF(업무일지!$B44:$AG44,"?*")=0,"",TRIM(IF(업무일지!$B44="","시작일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","")&amp;IF(AND(업무일지!$F44="",업무일지!$G44=""),"사건번호·업무명 모두 없음; ","")&amp;IF(업무일지!$I44="","담당자 없음; ","")&amp;IF(COUNTIF(코드설정!$F$5:$F$7,업무일지!$AF44)=0,"진행상태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"&amp;업무일지!$G45)</f>
        <v/>
      </c>
      <c r="D77" s="45">
        <f>IF(COUNT(업무일지!$B45:$AG45)+COUNTIF(업무일지!$B45:$AG45,"?*")=0,"",TRIM(IF(업무일지!$B45="","시작일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","")&amp;IF(AND(업무일지!$F45="",업무일지!$G45=""),"사건번호·업무명 모두 없음; ","")&amp;IF(업무일지!$I45="","담당자 없음; ","")&amp;IF(COUNTIF(코드설정!$F$5:$F$7,업무일지!$AF45)=0,"진행상태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"&amp;업무일지!$G46)</f>
        <v/>
      </c>
      <c r="D78" s="45">
        <f>IF(COUNT(업무일지!$B46:$AG46)+COUNTIF(업무일지!$B46:$AG46,"?*")=0,"",TRIM(IF(업무일지!$B46="","시작일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","")&amp;IF(AND(업무일지!$F46="",업무일지!$G46=""),"사건번호·업무명 모두 없음; ","")&amp;IF(업무일지!$I46="","담당자 없음; ","")&amp;IF(COUNTIF(코드설정!$F$5:$F$7,업무일지!$AF46)=0,"진행상태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"&amp;업무일지!$G47)</f>
        <v/>
      </c>
      <c r="D79" s="45">
        <f>IF(COUNT(업무일지!$B47:$AG47)+COUNTIF(업무일지!$B47:$AG47,"?*")=0,"",TRIM(IF(업무일지!$B47="","시작일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","")&amp;IF(AND(업무일지!$F47="",업무일지!$G47=""),"사건번호·업무명 모두 없음; ","")&amp;IF(업무일지!$I47="","담당자 없음; ","")&amp;IF(COUNTIF(코드설정!$F$5:$F$7,업무일지!$AF47)=0,"진행상태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"&amp;업무일지!$G48)</f>
        <v/>
      </c>
      <c r="D80" s="45">
        <f>IF(COUNT(업무일지!$B48:$AG48)+COUNTIF(업무일지!$B48:$AG48,"?*")=0,"",TRIM(IF(업무일지!$B48="","시작일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","")&amp;IF(AND(업무일지!$F48="",업무일지!$G48=""),"사건번호·업무명 모두 없음; ","")&amp;IF(업무일지!$I48="","담당자 없음; ","")&amp;IF(COUNTIF(코드설정!$F$5:$F$7,업무일지!$AF48)=0,"진행상태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"&amp;업무일지!$G49)</f>
        <v/>
      </c>
      <c r="D81" s="45">
        <f>IF(COUNT(업무일지!$B49:$AG49)+COUNTIF(업무일지!$B49:$AG49,"?*")=0,"",TRIM(IF(업무일지!$B49="","시작일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","")&amp;IF(AND(업무일지!$F49="",업무일지!$G49=""),"사건번호·업무명 모두 없음; ","")&amp;IF(업무일지!$I49="","담당자 없음; ","")&amp;IF(COUNTIF(코드설정!$F$5:$F$7,업무일지!$AF49)=0,"진행상태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"&amp;업무일지!$G50)</f>
        <v/>
      </c>
      <c r="D82" s="45">
        <f>IF(COUNT(업무일지!$B50:$AG50)+COUNTIF(업무일지!$B50:$AG50,"?*")=0,"",TRIM(IF(업무일지!$B50="","시작일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","")&amp;IF(AND(업무일지!$F50="",업무일지!$G50=""),"사건번호·업무명 모두 없음; ","")&amp;IF(업무일지!$I50="","담당자 없음; ","")&amp;IF(COUNTIF(코드설정!$F$5:$F$7,업무일지!$AF50)=0,"진행상태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"&amp;업무일지!$G51)</f>
        <v/>
      </c>
      <c r="D83" s="45">
        <f>IF(COUNT(업무일지!$B51:$AG51)+COUNTIF(업무일지!$B51:$AG51,"?*")=0,"",TRIM(IF(업무일지!$B51="","시작일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","")&amp;IF(AND(업무일지!$F51="",업무일지!$G51=""),"사건번호·업무명 모두 없음; ","")&amp;IF(업무일지!$I51="","담당자 없음; ","")&amp;IF(COUNTIF(코드설정!$F$5:$F$7,업무일지!$AF51)=0,"진행상태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"&amp;업무일지!$G52)</f>
        <v/>
      </c>
      <c r="D84" s="45">
        <f>IF(COUNT(업무일지!$B52:$AG52)+COUNTIF(업무일지!$B52:$AG52,"?*")=0,"",TRIM(IF(업무일지!$B52="","시작일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","")&amp;IF(AND(업무일지!$F52="",업무일지!$G52=""),"사건번호·업무명 모두 없음; ","")&amp;IF(업무일지!$I52="","담당자 없음; ","")&amp;IF(COUNTIF(코드설정!$F$5:$F$7,업무일지!$AF52)=0,"진행상태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"&amp;업무일지!$G53)</f>
        <v/>
      </c>
      <c r="D85" s="45">
        <f>IF(COUNT(업무일지!$B53:$AG53)+COUNTIF(업무일지!$B53:$AG53,"?*")=0,"",TRIM(IF(업무일지!$B53="","시작일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","")&amp;IF(AND(업무일지!$F53="",업무일지!$G53=""),"사건번호·업무명 모두 없음; ","")&amp;IF(업무일지!$I53="","담당자 없음; ","")&amp;IF(COUNTIF(코드설정!$F$5:$F$7,업무일지!$AF53)=0,"진행상태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"&amp;업무일지!$G54)</f>
        <v/>
      </c>
      <c r="D86" s="45">
        <f>IF(COUNT(업무일지!$B54:$AG54)+COUNTIF(업무일지!$B54:$AG54,"?*")=0,"",TRIM(IF(업무일지!$B54="","시작일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","")&amp;IF(AND(업무일지!$F54="",업무일지!$G54=""),"사건번호·업무명 모두 없음; ","")&amp;IF(업무일지!$I54="","담당자 없음; ","")&amp;IF(COUNTIF(코드설정!$F$5:$F$7,업무일지!$AF54)=0,"진행상태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"&amp;업무일지!$G55)</f>
        <v/>
      </c>
      <c r="D87" s="45">
        <f>IF(COUNT(업무일지!$B55:$AG55)+COUNTIF(업무일지!$B55:$AG55,"?*")=0,"",TRIM(IF(업무일지!$B55="","시작일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","")&amp;IF(AND(업무일지!$F55="",업무일지!$G55=""),"사건번호·업무명 모두 없음; ","")&amp;IF(업무일지!$I55="","담당자 없음; ","")&amp;IF(COUNTIF(코드설정!$F$5:$F$7,업무일지!$AF55)=0,"진행상태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"&amp;업무일지!$G56)</f>
        <v/>
      </c>
      <c r="D88" s="45">
        <f>IF(COUNT(업무일지!$B56:$AG56)+COUNTIF(업무일지!$B56:$AG56,"?*")=0,"",TRIM(IF(업무일지!$B56="","시작일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","")&amp;IF(AND(업무일지!$F56="",업무일지!$G56=""),"사건번호·업무명 모두 없음; ","")&amp;IF(업무일지!$I56="","담당자 없음; ","")&amp;IF(COUNTIF(코드설정!$F$5:$F$7,업무일지!$AF56)=0,"진행상태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"&amp;업무일지!$G57)</f>
        <v/>
      </c>
      <c r="D89" s="45">
        <f>IF(COUNT(업무일지!$B57:$AG57)+COUNTIF(업무일지!$B57:$AG57,"?*")=0,"",TRIM(IF(업무일지!$B57="","시작일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","")&amp;IF(AND(업무일지!$F57="",업무일지!$G57=""),"사건번호·업무명 모두 없음; ","")&amp;IF(업무일지!$I57="","담당자 없음; ","")&amp;IF(COUNTIF(코드설정!$F$5:$F$7,업무일지!$AF57)=0,"진행상태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"&amp;업무일지!$G58)</f>
        <v/>
      </c>
      <c r="D90" s="45">
        <f>IF(COUNT(업무일지!$B58:$AG58)+COUNTIF(업무일지!$B58:$AG58,"?*")=0,"",TRIM(IF(업무일지!$B58="","시작일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","")&amp;IF(AND(업무일지!$F58="",업무일지!$G58=""),"사건번호·업무명 모두 없음; ","")&amp;IF(업무일지!$I58="","담당자 없음; ","")&amp;IF(COUNTIF(코드설정!$F$5:$F$7,업무일지!$AF58)=0,"진행상태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"&amp;업무일지!$G59)</f>
        <v/>
      </c>
      <c r="D91" s="45">
        <f>IF(COUNT(업무일지!$B59:$AG59)+COUNTIF(업무일지!$B59:$AG59,"?*")=0,"",TRIM(IF(업무일지!$B59="","시작일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","")&amp;IF(AND(업무일지!$F59="",업무일지!$G59=""),"사건번호·업무명 모두 없음; ","")&amp;IF(업무일지!$I59="","담당자 없음; ","")&amp;IF(COUNTIF(코드설정!$F$5:$F$7,업무일지!$AF59)=0,"진행상태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"&amp;업무일지!$G60)</f>
        <v/>
      </c>
      <c r="D92" s="45">
        <f>IF(COUNT(업무일지!$B60:$AG60)+COUNTIF(업무일지!$B60:$AG60,"?*")=0,"",TRIM(IF(업무일지!$B60="","시작일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","")&amp;IF(AND(업무일지!$F60="",업무일지!$G60=""),"사건번호·업무명 모두 없음; ","")&amp;IF(업무일지!$I60="","담당자 없음; ","")&amp;IF(COUNTIF(코드설정!$F$5:$F$7,업무일지!$AF60)=0,"진행상태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"&amp;업무일지!$G61)</f>
        <v/>
      </c>
      <c r="D93" s="45">
        <f>IF(COUNT(업무일지!$B61:$AG61)+COUNTIF(업무일지!$B61:$AG61,"?*")=0,"",TRIM(IF(업무일지!$B61="","시작일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","")&amp;IF(AND(업무일지!$F61="",업무일지!$G61=""),"사건번호·업무명 모두 없음; ","")&amp;IF(업무일지!$I61="","담당자 없음; ","")&amp;IF(COUNTIF(코드설정!$F$5:$F$7,업무일지!$AF61)=0,"진행상태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"&amp;업무일지!$G62)</f>
        <v/>
      </c>
      <c r="D94" s="45">
        <f>IF(COUNT(업무일지!$B62:$AG62)+COUNTIF(업무일지!$B62:$AG62,"?*")=0,"",TRIM(IF(업무일지!$B62="","시작일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","")&amp;IF(AND(업무일지!$F62="",업무일지!$G62=""),"사건번호·업무명 모두 없음; ","")&amp;IF(업무일지!$I62="","담당자 없음; ","")&amp;IF(COUNTIF(코드설정!$F$5:$F$7,업무일지!$AF62)=0,"진행상태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"&amp;업무일지!$G63)</f>
        <v/>
      </c>
      <c r="D95" s="45">
        <f>IF(COUNT(업무일지!$B63:$AG63)+COUNTIF(업무일지!$B63:$AG63,"?*")=0,"",TRIM(IF(업무일지!$B63="","시작일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","")&amp;IF(AND(업무일지!$F63="",업무일지!$G63=""),"사건번호·업무명 모두 없음; ","")&amp;IF(업무일지!$I63="","담당자 없음; ","")&amp;IF(COUNTIF(코드설정!$F$5:$F$7,업무일지!$AF63)=0,"진행상태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"&amp;업무일지!$G64)</f>
        <v/>
      </c>
      <c r="D96" s="45">
        <f>IF(COUNT(업무일지!$B64:$AG64)+COUNTIF(업무일지!$B64:$AG64,"?*")=0,"",TRIM(IF(업무일지!$B64="","시작일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","")&amp;IF(AND(업무일지!$F64="",업무일지!$G64=""),"사건번호·업무명 모두 없음; ","")&amp;IF(업무일지!$I64="","담당자 없음; ","")&amp;IF(COUNTIF(코드설정!$F$5:$F$7,업무일지!$AF64)=0,"진행상태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"&amp;업무일지!$G65)</f>
        <v/>
      </c>
      <c r="D97" s="45">
        <f>IF(COUNT(업무일지!$B65:$AG65)+COUNTIF(업무일지!$B65:$AG65,"?*")=0,"",TRIM(IF(업무일지!$B65="","시작일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","")&amp;IF(AND(업무일지!$F65="",업무일지!$G65=""),"사건번호·업무명 모두 없음; ","")&amp;IF(업무일지!$I65="","담당자 없음; ","")&amp;IF(COUNTIF(코드설정!$F$5:$F$7,업무일지!$AF65)=0,"진행상태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"&amp;업무일지!$G66)</f>
        <v/>
      </c>
      <c r="D98" s="45">
        <f>IF(COUNT(업무일지!$B66:$AG66)+COUNTIF(업무일지!$B66:$AG66,"?*")=0,"",TRIM(IF(업무일지!$B66="","시작일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","")&amp;IF(AND(업무일지!$F66="",업무일지!$G66=""),"사건번호·업무명 모두 없음; ","")&amp;IF(업무일지!$I66="","담당자 없음; ","")&amp;IF(COUNTIF(코드설정!$F$5:$F$7,업무일지!$AF66)=0,"진행상태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"&amp;업무일지!$G67)</f>
        <v/>
      </c>
      <c r="D99" s="45">
        <f>IF(COUNT(업무일지!$B67:$AG67)+COUNTIF(업무일지!$B67:$AG67,"?*")=0,"",TRIM(IF(업무일지!$B67="","시작일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","")&amp;IF(AND(업무일지!$F67="",업무일지!$G67=""),"사건번호·업무명 모두 없음; ","")&amp;IF(업무일지!$I67="","담당자 없음; ","")&amp;IF(COUNTIF(코드설정!$F$5:$F$7,업무일지!$AF67)=0,"진행상태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"&amp;업무일지!$G68)</f>
        <v/>
      </c>
      <c r="D100" s="45">
        <f>IF(COUNT(업무일지!$B68:$AG68)+COUNTIF(업무일지!$B68:$AG68,"?*")=0,"",TRIM(IF(업무일지!$B68="","시작일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","")&amp;IF(AND(업무일지!$F68="",업무일지!$G68=""),"사건번호·업무명 모두 없음; ","")&amp;IF(업무일지!$I68="","담당자 없음; ","")&amp;IF(COUNTIF(코드설정!$F$5:$F$7,업무일지!$AF68)=0,"진행상태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"&amp;업무일지!$G69)</f>
        <v/>
      </c>
      <c r="D101" s="45">
        <f>IF(COUNT(업무일지!$B69:$AG69)+COUNTIF(업무일지!$B69:$AG69,"?*")=0,"",TRIM(IF(업무일지!$B69="","시작일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","")&amp;IF(AND(업무일지!$F69="",업무일지!$G69=""),"사건번호·업무명 모두 없음; ","")&amp;IF(업무일지!$I69="","담당자 없음; ","")&amp;IF(COUNTIF(코드설정!$F$5:$F$7,업무일지!$AF69)=0,"진행상태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"&amp;업무일지!$G70)</f>
        <v/>
      </c>
      <c r="D102" s="45">
        <f>IF(COUNT(업무일지!$B70:$AG70)+COUNTIF(업무일지!$B70:$AG70,"?*")=0,"",TRIM(IF(업무일지!$B70="","시작일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","")&amp;IF(AND(업무일지!$F70="",업무일지!$G70=""),"사건번호·업무명 모두 없음; ","")&amp;IF(업무일지!$I70="","담당자 없음; ","")&amp;IF(COUNTIF(코드설정!$F$5:$F$7,업무일지!$AF70)=0,"진행상태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"&amp;업무일지!$G71)</f>
        <v/>
      </c>
      <c r="D103" s="45">
        <f>IF(COUNT(업무일지!$B71:$AG71)+COUNTIF(업무일지!$B71:$AG71,"?*")=0,"",TRIM(IF(업무일지!$B71="","시작일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","")&amp;IF(AND(업무일지!$F71="",업무일지!$G71=""),"사건번호·업무명 모두 없음; ","")&amp;IF(업무일지!$I71="","담당자 없음; ","")&amp;IF(COUNTIF(코드설정!$F$5:$F$7,업무일지!$AF71)=0,"진행상태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"&amp;업무일지!$G72)</f>
        <v/>
      </c>
      <c r="D104" s="45">
        <f>IF(COUNT(업무일지!$B72:$AG72)+COUNTIF(업무일지!$B72:$AG72,"?*")=0,"",TRIM(IF(업무일지!$B72="","시작일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","")&amp;IF(AND(업무일지!$F72="",업무일지!$G72=""),"사건번호·업무명 모두 없음; ","")&amp;IF(업무일지!$I72="","담당자 없음; ","")&amp;IF(COUNTIF(코드설정!$F$5:$F$7,업무일지!$AF72)=0,"진행상태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"&amp;업무일지!$G73)</f>
        <v/>
      </c>
      <c r="D105" s="45">
        <f>IF(COUNT(업무일지!$B73:$AG73)+COUNTIF(업무일지!$B73:$AG73,"?*")=0,"",TRIM(IF(업무일지!$B73="","시작일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","")&amp;IF(AND(업무일지!$F73="",업무일지!$G73=""),"사건번호·업무명 모두 없음; ","")&amp;IF(업무일지!$I73="","담당자 없음; ","")&amp;IF(COUNTIF(코드설정!$F$5:$F$7,업무일지!$AF73)=0,"진행상태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"&amp;업무일지!$G74)</f>
        <v/>
      </c>
      <c r="D106" s="45">
        <f>IF(COUNT(업무일지!$B74:$AG74)+COUNTIF(업무일지!$B74:$AG74,"?*")=0,"",TRIM(IF(업무일지!$B74="","시작일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","")&amp;IF(AND(업무일지!$F74="",업무일지!$G74=""),"사건번호·업무명 모두 없음; ","")&amp;IF(업무일지!$I74="","담당자 없음; ","")&amp;IF(COUNTIF(코드설정!$F$5:$F$7,업무일지!$AF74)=0,"진행상태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"&amp;업무일지!$G75)</f>
        <v/>
      </c>
      <c r="D107" s="45">
        <f>IF(COUNT(업무일지!$B75:$AG75)+COUNTIF(업무일지!$B75:$AG75,"?*")=0,"",TRIM(IF(업무일지!$B75="","시작일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","")&amp;IF(AND(업무일지!$F75="",업무일지!$G75=""),"사건번호·업무명 모두 없음; ","")&amp;IF(업무일지!$I75="","담당자 없음; ","")&amp;IF(COUNTIF(코드설정!$F$5:$F$7,업무일지!$AF75)=0,"진행상태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"&amp;업무일지!$G76)</f>
        <v/>
      </c>
      <c r="D108" s="45">
        <f>IF(COUNT(업무일지!$B76:$AG76)+COUNTIF(업무일지!$B76:$AG76,"?*")=0,"",TRIM(IF(업무일지!$B76="","시작일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","")&amp;IF(AND(업무일지!$F76="",업무일지!$G76=""),"사건번호·업무명 모두 없음; ","")&amp;IF(업무일지!$I76="","담당자 없음; ","")&amp;IF(COUNTIF(코드설정!$F$5:$F$7,업무일지!$AF76)=0,"진행상태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"&amp;업무일지!$G77)</f>
        <v/>
      </c>
      <c r="D109" s="45">
        <f>IF(COUNT(업무일지!$B77:$AG77)+COUNTIF(업무일지!$B77:$AG77,"?*")=0,"",TRIM(IF(업무일지!$B77="","시작일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","")&amp;IF(AND(업무일지!$F77="",업무일지!$G77=""),"사건번호·업무명 모두 없음; ","")&amp;IF(업무일지!$I77="","담당자 없음; ","")&amp;IF(COUNTIF(코드설정!$F$5:$F$7,업무일지!$AF77)=0,"진행상태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"&amp;업무일지!$G78)</f>
        <v/>
      </c>
      <c r="D110" s="45">
        <f>IF(COUNT(업무일지!$B78:$AG78)+COUNTIF(업무일지!$B78:$AG78,"?*")=0,"",TRIM(IF(업무일지!$B78="","시작일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","")&amp;IF(AND(업무일지!$F78="",업무일지!$G78=""),"사건번호·업무명 모두 없음; ","")&amp;IF(업무일지!$I78="","담당자 없음; ","")&amp;IF(COUNTIF(코드설정!$F$5:$F$7,업무일지!$AF78)=0,"진행상태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"&amp;업무일지!$G79)</f>
        <v/>
      </c>
      <c r="D111" s="45">
        <f>IF(COUNT(업무일지!$B79:$AG79)+COUNTIF(업무일지!$B79:$AG79,"?*")=0,"",TRIM(IF(업무일지!$B79="","시작일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","")&amp;IF(AND(업무일지!$F79="",업무일지!$G79=""),"사건번호·업무명 모두 없음; ","")&amp;IF(업무일지!$I79="","담당자 없음; ","")&amp;IF(COUNTIF(코드설정!$F$5:$F$7,업무일지!$AF79)=0,"진행상태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"&amp;업무일지!$G80)</f>
        <v/>
      </c>
      <c r="D112" s="45">
        <f>IF(COUNT(업무일지!$B80:$AG80)+COUNTIF(업무일지!$B80:$AG80,"?*")=0,"",TRIM(IF(업무일지!$B80="","시작일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","")&amp;IF(AND(업무일지!$F80="",업무일지!$G80=""),"사건번호·업무명 모두 없음; ","")&amp;IF(업무일지!$I80="","담당자 없음; ","")&amp;IF(COUNTIF(코드설정!$F$5:$F$7,업무일지!$AF80)=0,"진행상태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"&amp;업무일지!$G81)</f>
        <v/>
      </c>
      <c r="D113" s="45">
        <f>IF(COUNT(업무일지!$B81:$AG81)+COUNTIF(업무일지!$B81:$AG81,"?*")=0,"",TRIM(IF(업무일지!$B81="","시작일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","")&amp;IF(AND(업무일지!$F81="",업무일지!$G81=""),"사건번호·업무명 모두 없음; ","")&amp;IF(업무일지!$I81="","담당자 없음; ","")&amp;IF(COUNTIF(코드설정!$F$5:$F$7,업무일지!$AF81)=0,"진행상태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"&amp;업무일지!$G82)</f>
        <v/>
      </c>
      <c r="D114" s="45">
        <f>IF(COUNT(업무일지!$B82:$AG82)+COUNTIF(업무일지!$B82:$AG82,"?*")=0,"",TRIM(IF(업무일지!$B82="","시작일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","")&amp;IF(AND(업무일지!$F82="",업무일지!$G82=""),"사건번호·업무명 모두 없음; ","")&amp;IF(업무일지!$I82="","담당자 없음; ","")&amp;IF(COUNTIF(코드설정!$F$5:$F$7,업무일지!$AF82)=0,"진행상태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"&amp;업무일지!$G83)</f>
        <v/>
      </c>
      <c r="D115" s="45">
        <f>IF(COUNT(업무일지!$B83:$AG83)+COUNTIF(업무일지!$B83:$AG83,"?*")=0,"",TRIM(IF(업무일지!$B83="","시작일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","")&amp;IF(AND(업무일지!$F83="",업무일지!$G83=""),"사건번호·업무명 모두 없음; ","")&amp;IF(업무일지!$I83="","담당자 없음; ","")&amp;IF(COUNTIF(코드설정!$F$5:$F$7,업무일지!$AF83)=0,"진행상태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"&amp;업무일지!$G84)</f>
        <v/>
      </c>
      <c r="D116" s="45">
        <f>IF(COUNT(업무일지!$B84:$AG84)+COUNTIF(업무일지!$B84:$AG84,"?*")=0,"",TRIM(IF(업무일지!$B84="","시작일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","")&amp;IF(AND(업무일지!$F84="",업무일지!$G84=""),"사건번호·업무명 모두 없음; ","")&amp;IF(업무일지!$I84="","담당자 없음; ","")&amp;IF(COUNTIF(코드설정!$F$5:$F$7,업무일지!$AF84)=0,"진행상태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"&amp;업무일지!$G85)</f>
        <v/>
      </c>
      <c r="D117" s="45">
        <f>IF(COUNT(업무일지!$B85:$AG85)+COUNTIF(업무일지!$B85:$AG85,"?*")=0,"",TRIM(IF(업무일지!$B85="","시작일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","")&amp;IF(AND(업무일지!$F85="",업무일지!$G85=""),"사건번호·업무명 모두 없음; ","")&amp;IF(업무일지!$I85="","담당자 없음; ","")&amp;IF(COUNTIF(코드설정!$F$5:$F$7,업무일지!$AF85)=0,"진행상태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"&amp;업무일지!$G86)</f>
        <v/>
      </c>
      <c r="D118" s="45">
        <f>IF(COUNT(업무일지!$B86:$AG86)+COUNTIF(업무일지!$B86:$AG86,"?*")=0,"",TRIM(IF(업무일지!$B86="","시작일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","")&amp;IF(AND(업무일지!$F86="",업무일지!$G86=""),"사건번호·업무명 모두 없음; ","")&amp;IF(업무일지!$I86="","담당자 없음; ","")&amp;IF(COUNTIF(코드설정!$F$5:$F$7,업무일지!$AF86)=0,"진행상태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"&amp;업무일지!$G87)</f>
        <v/>
      </c>
      <c r="D119" s="45">
        <f>IF(COUNT(업무일지!$B87:$AG87)+COUNTIF(업무일지!$B87:$AG87,"?*")=0,"",TRIM(IF(업무일지!$B87="","시작일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","")&amp;IF(AND(업무일지!$F87="",업무일지!$G87=""),"사건번호·업무명 모두 없음; ","")&amp;IF(업무일지!$I87="","담당자 없음; ","")&amp;IF(COUNTIF(코드설정!$F$5:$F$7,업무일지!$AF87)=0,"진행상태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"&amp;업무일지!$G88)</f>
        <v/>
      </c>
      <c r="D120" s="45">
        <f>IF(COUNT(업무일지!$B88:$AG88)+COUNTIF(업무일지!$B88:$AG88,"?*")=0,"",TRIM(IF(업무일지!$B88="","시작일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","")&amp;IF(AND(업무일지!$F88="",업무일지!$G88=""),"사건번호·업무명 모두 없음; ","")&amp;IF(업무일지!$I88="","담당자 없음; ","")&amp;IF(COUNTIF(코드설정!$F$5:$F$7,업무일지!$AF88)=0,"진행상태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"&amp;업무일지!$G89)</f>
        <v/>
      </c>
      <c r="D121" s="45">
        <f>IF(COUNT(업무일지!$B89:$AG89)+COUNTIF(업무일지!$B89:$AG89,"?*")=0,"",TRIM(IF(업무일지!$B89="","시작일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","")&amp;IF(AND(업무일지!$F89="",업무일지!$G89=""),"사건번호·업무명 모두 없음; ","")&amp;IF(업무일지!$I89="","담당자 없음; ","")&amp;IF(COUNTIF(코드설정!$F$5:$F$7,업무일지!$AF89)=0,"진행상태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"&amp;업무일지!$G90)</f>
        <v/>
      </c>
      <c r="D122" s="45">
        <f>IF(COUNT(업무일지!$B90:$AG90)+COUNTIF(업무일지!$B90:$AG90,"?*")=0,"",TRIM(IF(업무일지!$B90="","시작일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","")&amp;IF(AND(업무일지!$F90="",업무일지!$G90=""),"사건번호·업무명 모두 없음; ","")&amp;IF(업무일지!$I90="","담당자 없음; ","")&amp;IF(COUNTIF(코드설정!$F$5:$F$7,업무일지!$AF90)=0,"진행상태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"&amp;업무일지!$G91)</f>
        <v/>
      </c>
      <c r="D123" s="45">
        <f>IF(COUNT(업무일지!$B91:$AG91)+COUNTIF(업무일지!$B91:$AG91,"?*")=0,"",TRIM(IF(업무일지!$B91="","시작일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","")&amp;IF(AND(업무일지!$F91="",업무일지!$G91=""),"사건번호·업무명 모두 없음; ","")&amp;IF(업무일지!$I91="","담당자 없음; ","")&amp;IF(COUNTIF(코드설정!$F$5:$F$7,업무일지!$AF91)=0,"진행상태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"&amp;업무일지!$G92)</f>
        <v/>
      </c>
      <c r="D124" s="45">
        <f>IF(COUNT(업무일지!$B92:$AG92)+COUNTIF(업무일지!$B92:$AG92,"?*")=0,"",TRIM(IF(업무일지!$B92="","시작일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","")&amp;IF(AND(업무일지!$F92="",업무일지!$G92=""),"사건번호·업무명 모두 없음; ","")&amp;IF(업무일지!$I92="","담당자 없음; ","")&amp;IF(COUNTIF(코드설정!$F$5:$F$7,업무일지!$AF92)=0,"진행상태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"&amp;업무일지!$G93)</f>
        <v/>
      </c>
      <c r="D125" s="45">
        <f>IF(COUNT(업무일지!$B93:$AG93)+COUNTIF(업무일지!$B93:$AG93,"?*")=0,"",TRIM(IF(업무일지!$B93="","시작일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","")&amp;IF(AND(업무일지!$F93="",업무일지!$G93=""),"사건번호·업무명 모두 없음; ","")&amp;IF(업무일지!$I93="","담당자 없음; ","")&amp;IF(COUNTIF(코드설정!$F$5:$F$7,업무일지!$AF93)=0,"진행상태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"&amp;업무일지!$G94)</f>
        <v/>
      </c>
      <c r="D126" s="45">
        <f>IF(COUNT(업무일지!$B94:$AG94)+COUNTIF(업무일지!$B94:$AG94,"?*")=0,"",TRIM(IF(업무일지!$B94="","시작일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","")&amp;IF(AND(업무일지!$F94="",업무일지!$G94=""),"사건번호·업무명 모두 없음; ","")&amp;IF(업무일지!$I94="","담당자 없음; ","")&amp;IF(COUNTIF(코드설정!$F$5:$F$7,업무일지!$AF94)=0,"진행상태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"&amp;업무일지!$G95)</f>
        <v/>
      </c>
      <c r="D127" s="45">
        <f>IF(COUNT(업무일지!$B95:$AG95)+COUNTIF(업무일지!$B95:$AG95,"?*")=0,"",TRIM(IF(업무일지!$B95="","시작일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","")&amp;IF(AND(업무일지!$F95="",업무일지!$G95=""),"사건번호·업무명 모두 없음; ","")&amp;IF(업무일지!$I95="","담당자 없음; ","")&amp;IF(COUNTIF(코드설정!$F$5:$F$7,업무일지!$AF95)=0,"진행상태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"&amp;업무일지!$G96)</f>
        <v/>
      </c>
      <c r="D128" s="45">
        <f>IF(COUNT(업무일지!$B96:$AG96)+COUNTIF(업무일지!$B96:$AG96,"?*")=0,"",TRIM(IF(업무일지!$B96="","시작일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","")&amp;IF(AND(업무일지!$F96="",업무일지!$G96=""),"사건번호·업무명 모두 없음; ","")&amp;IF(업무일지!$I96="","담당자 없음; ","")&amp;IF(COUNTIF(코드설정!$F$5:$F$7,업무일지!$AF96)=0,"진행상태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"&amp;업무일지!$G97)</f>
        <v/>
      </c>
      <c r="D129" s="45">
        <f>IF(COUNT(업무일지!$B97:$AG97)+COUNTIF(업무일지!$B97:$AG97,"?*")=0,"",TRIM(IF(업무일지!$B97="","시작일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","")&amp;IF(AND(업무일지!$F97="",업무일지!$G97=""),"사건번호·업무명 모두 없음; ","")&amp;IF(업무일지!$I97="","담당자 없음; ","")&amp;IF(COUNTIF(코드설정!$F$5:$F$7,업무일지!$AF97)=0,"진행상태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"&amp;업무일지!$G98)</f>
        <v/>
      </c>
      <c r="D130" s="45">
        <f>IF(COUNT(업무일지!$B98:$AG98)+COUNTIF(업무일지!$B98:$AG98,"?*")=0,"",TRIM(IF(업무일지!$B98="","시작일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","")&amp;IF(AND(업무일지!$F98="",업무일지!$G98=""),"사건번호·업무명 모두 없음; ","")&amp;IF(업무일지!$I98="","담당자 없음; ","")&amp;IF(COUNTIF(코드설정!$F$5:$F$7,업무일지!$AF98)=0,"진행상태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"&amp;업무일지!$G99)</f>
        <v/>
      </c>
      <c r="D131" s="45">
        <f>IF(COUNT(업무일지!$B99:$AG99)+COUNTIF(업무일지!$B99:$AG99,"?*")=0,"",TRIM(IF(업무일지!$B99="","시작일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","")&amp;IF(AND(업무일지!$F99="",업무일지!$G99=""),"사건번호·업무명 모두 없음; ","")&amp;IF(업무일지!$I99="","담당자 없음; ","")&amp;IF(COUNTIF(코드설정!$F$5:$F$7,업무일지!$AF99)=0,"진행상태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"&amp;업무일지!$G100)</f>
        <v/>
      </c>
      <c r="D132" s="45">
        <f>IF(COUNT(업무일지!$B100:$AG100)+COUNTIF(업무일지!$B100:$AG100,"?*")=0,"",TRIM(IF(업무일지!$B100="","시작일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","")&amp;IF(AND(업무일지!$F100="",업무일지!$G100=""),"사건번호·업무명 모두 없음; ","")&amp;IF(업무일지!$I100="","담당자 없음; ","")&amp;IF(COUNTIF(코드설정!$F$5:$F$7,업무일지!$AF100)=0,"진행상태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"&amp;업무일지!$G101)</f>
        <v/>
      </c>
      <c r="D133" s="45">
        <f>IF(COUNT(업무일지!$B101:$AG101)+COUNTIF(업무일지!$B101:$AG101,"?*")=0,"",TRIM(IF(업무일지!$B101="","시작일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","")&amp;IF(AND(업무일지!$F101="",업무일지!$G101=""),"사건번호·업무명 모두 없음; ","")&amp;IF(업무일지!$I101="","담당자 없음; ","")&amp;IF(COUNTIF(코드설정!$F$5:$F$7,업무일지!$AF101)=0,"진행상태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"&amp;업무일지!$G102)</f>
        <v/>
      </c>
      <c r="D134" s="45">
        <f>IF(COUNT(업무일지!$B102:$AG102)+COUNTIF(업무일지!$B102:$AG102,"?*")=0,"",TRIM(IF(업무일지!$B102="","시작일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","")&amp;IF(AND(업무일지!$F102="",업무일지!$G102=""),"사건번호·업무명 모두 없음; ","")&amp;IF(업무일지!$I102="","담당자 없음; ","")&amp;IF(COUNTIF(코드설정!$F$5:$F$7,업무일지!$AF102)=0,"진행상태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"&amp;업무일지!$G103)</f>
        <v/>
      </c>
      <c r="D135" s="45">
        <f>IF(COUNT(업무일지!$B103:$AG103)+COUNTIF(업무일지!$B103:$AG103,"?*")=0,"",TRIM(IF(업무일지!$B103="","시작일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","")&amp;IF(AND(업무일지!$F103="",업무일지!$G103=""),"사건번호·업무명 모두 없음; ","")&amp;IF(업무일지!$I103="","담당자 없음; ","")&amp;IF(COUNTIF(코드설정!$F$5:$F$7,업무일지!$AF103)=0,"진행상태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"&amp;업무일지!$G104)</f>
        <v/>
      </c>
      <c r="D136" s="45">
        <f>IF(COUNT(업무일지!$B104:$AG104)+COUNTIF(업무일지!$B104:$AG104,"?*")=0,"",TRIM(IF(업무일지!$B104="","시작일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","")&amp;IF(AND(업무일지!$F104="",업무일지!$G104=""),"사건번호·업무명 모두 없음; ","")&amp;IF(업무일지!$I104="","담당자 없음; ","")&amp;IF(COUNTIF(코드설정!$F$5:$F$7,업무일지!$AF104)=0,"진행상태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"&amp;업무일지!$G105)</f>
        <v/>
      </c>
      <c r="D137" s="45">
        <f>IF(COUNT(업무일지!$B105:$AG105)+COUNTIF(업무일지!$B105:$AG105,"?*")=0,"",TRIM(IF(업무일지!$B105="","시작일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","")&amp;IF(AND(업무일지!$F105="",업무일지!$G105=""),"사건번호·업무명 모두 없음; ","")&amp;IF(업무일지!$I105="","담당자 없음; ","")&amp;IF(COUNTIF(코드설정!$F$5:$F$7,업무일지!$AF105)=0,"진행상태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"&amp;업무일지!$G106)</f>
        <v/>
      </c>
      <c r="D138" s="45">
        <f>IF(COUNT(업무일지!$B106:$AG106)+COUNTIF(업무일지!$B106:$AG106,"?*")=0,"",TRIM(IF(업무일지!$B106="","시작일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","")&amp;IF(AND(업무일지!$F106="",업무일지!$G106=""),"사건번호·업무명 모두 없음; ","")&amp;IF(업무일지!$I106="","담당자 없음; ","")&amp;IF(COUNTIF(코드설정!$F$5:$F$7,업무일지!$AF106)=0,"진행상태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"&amp;업무일지!$G107)</f>
        <v/>
      </c>
      <c r="D139" s="45">
        <f>IF(COUNT(업무일지!$B107:$AG107)+COUNTIF(업무일지!$B107:$AG107,"?*")=0,"",TRIM(IF(업무일지!$B107="","시작일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","")&amp;IF(AND(업무일지!$F107="",업무일지!$G107=""),"사건번호·업무명 모두 없음; ","")&amp;IF(업무일지!$I107="","담당자 없음; ","")&amp;IF(COUNTIF(코드설정!$F$5:$F$7,업무일지!$AF107)=0,"진행상태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"&amp;업무일지!$G108)</f>
        <v/>
      </c>
      <c r="D140" s="45">
        <f>IF(COUNT(업무일지!$B108:$AG108)+COUNTIF(업무일지!$B108:$AG108,"?*")=0,"",TRIM(IF(업무일지!$B108="","시작일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","")&amp;IF(AND(업무일지!$F108="",업무일지!$G108=""),"사건번호·업무명 모두 없음; ","")&amp;IF(업무일지!$I108="","담당자 없음; ","")&amp;IF(COUNTIF(코드설정!$F$5:$F$7,업무일지!$AF108)=0,"진행상태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"&amp;업무일지!$G109)</f>
        <v/>
      </c>
      <c r="D141" s="45">
        <f>IF(COUNT(업무일지!$B109:$AG109)+COUNTIF(업무일지!$B109:$AG109,"?*")=0,"",TRIM(IF(업무일지!$B109="","시작일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","")&amp;IF(AND(업무일지!$F109="",업무일지!$G109=""),"사건번호·업무명 모두 없음; ","")&amp;IF(업무일지!$I109="","담당자 없음; ","")&amp;IF(COUNTIF(코드설정!$F$5:$F$7,업무일지!$AF109)=0,"진행상태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"&amp;업무일지!$G110)</f>
        <v/>
      </c>
      <c r="D142" s="45">
        <f>IF(COUNT(업무일지!$B110:$AG110)+COUNTIF(업무일지!$B110:$AG110,"?*")=0,"",TRIM(IF(업무일지!$B110="","시작일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","")&amp;IF(AND(업무일지!$F110="",업무일지!$G110=""),"사건번호·업무명 모두 없음; ","")&amp;IF(업무일지!$I110="","담당자 없음; ","")&amp;IF(COUNTIF(코드설정!$F$5:$F$7,업무일지!$AF110)=0,"진행상태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"&amp;업무일지!$G111)</f>
        <v/>
      </c>
      <c r="D143" s="45">
        <f>IF(COUNT(업무일지!$B111:$AG111)+COUNTIF(업무일지!$B111:$AG111,"?*")=0,"",TRIM(IF(업무일지!$B111="","시작일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","")&amp;IF(AND(업무일지!$F111="",업무일지!$G111=""),"사건번호·업무명 모두 없음; ","")&amp;IF(업무일지!$I111="","담당자 없음; ","")&amp;IF(COUNTIF(코드설정!$F$5:$F$7,업무일지!$AF111)=0,"진행상태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"&amp;업무일지!$G112)</f>
        <v/>
      </c>
      <c r="D144" s="45">
        <f>IF(COUNT(업무일지!$B112:$AG112)+COUNTIF(업무일지!$B112:$AG112,"?*")=0,"",TRIM(IF(업무일지!$B112="","시작일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","")&amp;IF(AND(업무일지!$F112="",업무일지!$G112=""),"사건번호·업무명 모두 없음; ","")&amp;IF(업무일지!$I112="","담당자 없음; ","")&amp;IF(COUNTIF(코드설정!$F$5:$F$7,업무일지!$AF112)=0,"진행상태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"&amp;업무일지!$G113)</f>
        <v/>
      </c>
      <c r="D145" s="45">
        <f>IF(COUNT(업무일지!$B113:$AG113)+COUNTIF(업무일지!$B113:$AG113,"?*")=0,"",TRIM(IF(업무일지!$B113="","시작일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","")&amp;IF(AND(업무일지!$F113="",업무일지!$G113=""),"사건번호·업무명 모두 없음; ","")&amp;IF(업무일지!$I113="","담당자 없음; ","")&amp;IF(COUNTIF(코드설정!$F$5:$F$7,업무일지!$AF113)=0,"진행상태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"&amp;업무일지!$G114)</f>
        <v/>
      </c>
      <c r="D146" s="45">
        <f>IF(COUNT(업무일지!$B114:$AG114)+COUNTIF(업무일지!$B114:$AG114,"?*")=0,"",TRIM(IF(업무일지!$B114="","시작일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","")&amp;IF(AND(업무일지!$F114="",업무일지!$G114=""),"사건번호·업무명 모두 없음; ","")&amp;IF(업무일지!$I114="","담당자 없음; ","")&amp;IF(COUNTIF(코드설정!$F$5:$F$7,업무일지!$AF114)=0,"진행상태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"&amp;업무일지!$G115)</f>
        <v/>
      </c>
      <c r="D147" s="45">
        <f>IF(COUNT(업무일지!$B115:$AG115)+COUNTIF(업무일지!$B115:$AG115,"?*")=0,"",TRIM(IF(업무일지!$B115="","시작일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","")&amp;IF(AND(업무일지!$F115="",업무일지!$G115=""),"사건번호·업무명 모두 없음; ","")&amp;IF(업무일지!$I115="","담당자 없음; ","")&amp;IF(COUNTIF(코드설정!$F$5:$F$7,업무일지!$AF115)=0,"진행상태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"&amp;업무일지!$G116)</f>
        <v/>
      </c>
      <c r="D148" s="45">
        <f>IF(COUNT(업무일지!$B116:$AG116)+COUNTIF(업무일지!$B116:$AG116,"?*")=0,"",TRIM(IF(업무일지!$B116="","시작일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","")&amp;IF(AND(업무일지!$F116="",업무일지!$G116=""),"사건번호·업무명 모두 없음; ","")&amp;IF(업무일지!$I116="","담당자 없음; ","")&amp;IF(COUNTIF(코드설정!$F$5:$F$7,업무일지!$AF116)=0,"진행상태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"&amp;업무일지!$G117)</f>
        <v/>
      </c>
      <c r="D149" s="45">
        <f>IF(COUNT(업무일지!$B117:$AG117)+COUNTIF(업무일지!$B117:$AG117,"?*")=0,"",TRIM(IF(업무일지!$B117="","시작일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","")&amp;IF(AND(업무일지!$F117="",업무일지!$G117=""),"사건번호·업무명 모두 없음; ","")&amp;IF(업무일지!$I117="","담당자 없음; ","")&amp;IF(COUNTIF(코드설정!$F$5:$F$7,업무일지!$AF117)=0,"진행상태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"&amp;업무일지!$G118)</f>
        <v/>
      </c>
      <c r="D150" s="45">
        <f>IF(COUNT(업무일지!$B118:$AG118)+COUNTIF(업무일지!$B118:$AG118,"?*")=0,"",TRIM(IF(업무일지!$B118="","시작일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","")&amp;IF(AND(업무일지!$F118="",업무일지!$G118=""),"사건번호·업무명 모두 없음; ","")&amp;IF(업무일지!$I118="","담당자 없음; ","")&amp;IF(COUNTIF(코드설정!$F$5:$F$7,업무일지!$AF118)=0,"진행상태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"&amp;업무일지!$G119)</f>
        <v/>
      </c>
      <c r="D151" s="45">
        <f>IF(COUNT(업무일지!$B119:$AG119)+COUNTIF(업무일지!$B119:$AG119,"?*")=0,"",TRIM(IF(업무일지!$B119="","시작일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","")&amp;IF(AND(업무일지!$F119="",업무일지!$G119=""),"사건번호·업무명 모두 없음; ","")&amp;IF(업무일지!$I119="","담당자 없음; ","")&amp;IF(COUNTIF(코드설정!$F$5:$F$7,업무일지!$AF119)=0,"진행상태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"&amp;업무일지!$G120)</f>
        <v/>
      </c>
      <c r="D152" s="45">
        <f>IF(COUNT(업무일지!$B120:$AG120)+COUNTIF(업무일지!$B120:$AG120,"?*")=0,"",TRIM(IF(업무일지!$B120="","시작일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","")&amp;IF(AND(업무일지!$F120="",업무일지!$G120=""),"사건번호·업무명 모두 없음; ","")&amp;IF(업무일지!$I120="","담당자 없음; ","")&amp;IF(COUNTIF(코드설정!$F$5:$F$7,업무일지!$AF120)=0,"진행상태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"&amp;업무일지!$G121)</f>
        <v/>
      </c>
      <c r="D153" s="45">
        <f>IF(COUNT(업무일지!$B121:$AG121)+COUNTIF(업무일지!$B121:$AG121,"?*")=0,"",TRIM(IF(업무일지!$B121="","시작일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","")&amp;IF(AND(업무일지!$F121="",업무일지!$G121=""),"사건번호·업무명 모두 없음; ","")&amp;IF(업무일지!$I121="","담당자 없음; ","")&amp;IF(COUNTIF(코드설정!$F$5:$F$7,업무일지!$AF121)=0,"진행상태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"&amp;업무일지!$G122)</f>
        <v/>
      </c>
      <c r="D154" s="45">
        <f>IF(COUNT(업무일지!$B122:$AG122)+COUNTIF(업무일지!$B122:$AG122,"?*")=0,"",TRIM(IF(업무일지!$B122="","시작일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","")&amp;IF(AND(업무일지!$F122="",업무일지!$G122=""),"사건번호·업무명 모두 없음; ","")&amp;IF(업무일지!$I122="","담당자 없음; ","")&amp;IF(COUNTIF(코드설정!$F$5:$F$7,업무일지!$AF122)=0,"진행상태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"&amp;업무일지!$G123)</f>
        <v/>
      </c>
      <c r="D155" s="45">
        <f>IF(COUNT(업무일지!$B123:$AG123)+COUNTIF(업무일지!$B123:$AG123,"?*")=0,"",TRIM(IF(업무일지!$B123="","시작일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","")&amp;IF(AND(업무일지!$F123="",업무일지!$G123=""),"사건번호·업무명 모두 없음; ","")&amp;IF(업무일지!$I123="","담당자 없음; ","")&amp;IF(COUNTIF(코드설정!$F$5:$F$7,업무일지!$AF123)=0,"진행상태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"&amp;업무일지!$G124)</f>
        <v/>
      </c>
      <c r="D156" s="45">
        <f>IF(COUNT(업무일지!$B124:$AG124)+COUNTIF(업무일지!$B124:$AG124,"?*")=0,"",TRIM(IF(업무일지!$B124="","시작일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","")&amp;IF(AND(업무일지!$F124="",업무일지!$G124=""),"사건번호·업무명 모두 없음; ","")&amp;IF(업무일지!$I124="","담당자 없음; ","")&amp;IF(COUNTIF(코드설정!$F$5:$F$7,업무일지!$AF124)=0,"진행상태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"&amp;업무일지!$G125)</f>
        <v/>
      </c>
      <c r="D157" s="45">
        <f>IF(COUNT(업무일지!$B125:$AG125)+COUNTIF(업무일지!$B125:$AG125,"?*")=0,"",TRIM(IF(업무일지!$B125="","시작일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","")&amp;IF(AND(업무일지!$F125="",업무일지!$G125=""),"사건번호·업무명 모두 없음; ","")&amp;IF(업무일지!$I125="","담당자 없음; ","")&amp;IF(COUNTIF(코드설정!$F$5:$F$7,업무일지!$AF125)=0,"진행상태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"&amp;업무일지!$G126)</f>
        <v/>
      </c>
      <c r="D158" s="45">
        <f>IF(COUNT(업무일지!$B126:$AG126)+COUNTIF(업무일지!$B126:$AG126,"?*")=0,"",TRIM(IF(업무일지!$B126="","시작일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","")&amp;IF(AND(업무일지!$F126="",업무일지!$G126=""),"사건번호·업무명 모두 없음; ","")&amp;IF(업무일지!$I126="","담당자 없음; ","")&amp;IF(COUNTIF(코드설정!$F$5:$F$7,업무일지!$AF126)=0,"진행상태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"&amp;업무일지!$G127)</f>
        <v/>
      </c>
      <c r="D159" s="45">
        <f>IF(COUNT(업무일지!$B127:$AG127)+COUNTIF(업무일지!$B127:$AG127,"?*")=0,"",TRIM(IF(업무일지!$B127="","시작일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","")&amp;IF(AND(업무일지!$F127="",업무일지!$G127=""),"사건번호·업무명 모두 없음; ","")&amp;IF(업무일지!$I127="","담당자 없음; ","")&amp;IF(COUNTIF(코드설정!$F$5:$F$7,업무일지!$AF127)=0,"진행상태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"&amp;업무일지!$G128)</f>
        <v/>
      </c>
      <c r="D160" s="45">
        <f>IF(COUNT(업무일지!$B128:$AG128)+COUNTIF(업무일지!$B128:$AG128,"?*")=0,"",TRIM(IF(업무일지!$B128="","시작일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","")&amp;IF(AND(업무일지!$F128="",업무일지!$G128=""),"사건번호·업무명 모두 없음; ","")&amp;IF(업무일지!$I128="","담당자 없음; ","")&amp;IF(COUNTIF(코드설정!$F$5:$F$7,업무일지!$AF128)=0,"진행상태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"&amp;업무일지!$G129)</f>
        <v/>
      </c>
      <c r="D161" s="45">
        <f>IF(COUNT(업무일지!$B129:$AG129)+COUNTIF(업무일지!$B129:$AG129,"?*")=0,"",TRIM(IF(업무일지!$B129="","시작일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","")&amp;IF(AND(업무일지!$F129="",업무일지!$G129=""),"사건번호·업무명 모두 없음; ","")&amp;IF(업무일지!$I129="","담당자 없음; ","")&amp;IF(COUNTIF(코드설정!$F$5:$F$7,업무일지!$AF129)=0,"진행상태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"&amp;업무일지!$G130)</f>
        <v/>
      </c>
      <c r="D162" s="45">
        <f>IF(COUNT(업무일지!$B130:$AG130)+COUNTIF(업무일지!$B130:$AG130,"?*")=0,"",TRIM(IF(업무일지!$B130="","시작일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","")&amp;IF(AND(업무일지!$F130="",업무일지!$G130=""),"사건번호·업무명 모두 없음; ","")&amp;IF(업무일지!$I130="","담당자 없음; ","")&amp;IF(COUNTIF(코드설정!$F$5:$F$7,업무일지!$AF130)=0,"진행상태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"&amp;업무일지!$G131)</f>
        <v/>
      </c>
      <c r="D163" s="45">
        <f>IF(COUNT(업무일지!$B131:$AG131)+COUNTIF(업무일지!$B131:$AG131,"?*")=0,"",TRIM(IF(업무일지!$B131="","시작일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","")&amp;IF(AND(업무일지!$F131="",업무일지!$G131=""),"사건번호·업무명 모두 없음; ","")&amp;IF(업무일지!$I131="","담당자 없음; ","")&amp;IF(COUNTIF(코드설정!$F$5:$F$7,업무일지!$AF131)=0,"진행상태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"&amp;업무일지!$G132)</f>
        <v/>
      </c>
      <c r="D164" s="45">
        <f>IF(COUNT(업무일지!$B132:$AG132)+COUNTIF(업무일지!$B132:$AG132,"?*")=0,"",TRIM(IF(업무일지!$B132="","시작일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","")&amp;IF(AND(업무일지!$F132="",업무일지!$G132=""),"사건번호·업무명 모두 없음; ","")&amp;IF(업무일지!$I132="","담당자 없음; ","")&amp;IF(COUNTIF(코드설정!$F$5:$F$7,업무일지!$AF132)=0,"진행상태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"&amp;업무일지!$G133)</f>
        <v/>
      </c>
      <c r="D165" s="45">
        <f>IF(COUNT(업무일지!$B133:$AG133)+COUNTIF(업무일지!$B133:$AG133,"?*")=0,"",TRIM(IF(업무일지!$B133="","시작일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","")&amp;IF(AND(업무일지!$F133="",업무일지!$G133=""),"사건번호·업무명 모두 없음; ","")&amp;IF(업무일지!$I133="","담당자 없음; ","")&amp;IF(COUNTIF(코드설정!$F$5:$F$7,업무일지!$AF133)=0,"진행상태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"&amp;업무일지!$G134)</f>
        <v/>
      </c>
      <c r="D166" s="45">
        <f>IF(COUNT(업무일지!$B134:$AG134)+COUNTIF(업무일지!$B134:$AG134,"?*")=0,"",TRIM(IF(업무일지!$B134="","시작일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","")&amp;IF(AND(업무일지!$F134="",업무일지!$G134=""),"사건번호·업무명 모두 없음; ","")&amp;IF(업무일지!$I134="","담당자 없음; ","")&amp;IF(COUNTIF(코드설정!$F$5:$F$7,업무일지!$AF134)=0,"진행상태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"&amp;업무일지!$G135)</f>
        <v/>
      </c>
      <c r="D167" s="45">
        <f>IF(COUNT(업무일지!$B135:$AG135)+COUNTIF(업무일지!$B135:$AG135,"?*")=0,"",TRIM(IF(업무일지!$B135="","시작일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","")&amp;IF(AND(업무일지!$F135="",업무일지!$G135=""),"사건번호·업무명 모두 없음; ","")&amp;IF(업무일지!$I135="","담당자 없음; ","")&amp;IF(COUNTIF(코드설정!$F$5:$F$7,업무일지!$AF135)=0,"진행상태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"&amp;업무일지!$G136)</f>
        <v/>
      </c>
      <c r="D168" s="45">
        <f>IF(COUNT(업무일지!$B136:$AG136)+COUNTIF(업무일지!$B136:$AG136,"?*")=0,"",TRIM(IF(업무일지!$B136="","시작일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","")&amp;IF(AND(업무일지!$F136="",업무일지!$G136=""),"사건번호·업무명 모두 없음; ","")&amp;IF(업무일지!$I136="","담당자 없음; ","")&amp;IF(COUNTIF(코드설정!$F$5:$F$7,업무일지!$AF136)=0,"진행상태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"&amp;업무일지!$G137)</f>
        <v/>
      </c>
      <c r="D169" s="45">
        <f>IF(COUNT(업무일지!$B137:$AG137)+COUNTIF(업무일지!$B137:$AG137,"?*")=0,"",TRIM(IF(업무일지!$B137="","시작일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","")&amp;IF(AND(업무일지!$F137="",업무일지!$G137=""),"사건번호·업무명 모두 없음; ","")&amp;IF(업무일지!$I137="","담당자 없음; ","")&amp;IF(COUNTIF(코드설정!$F$5:$F$7,업무일지!$AF137)=0,"진행상태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"&amp;업무일지!$G138)</f>
        <v/>
      </c>
      <c r="D170" s="45">
        <f>IF(COUNT(업무일지!$B138:$AG138)+COUNTIF(업무일지!$B138:$AG138,"?*")=0,"",TRIM(IF(업무일지!$B138="","시작일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","")&amp;IF(AND(업무일지!$F138="",업무일지!$G138=""),"사건번호·업무명 모두 없음; ","")&amp;IF(업무일지!$I138="","담당자 없음; ","")&amp;IF(COUNTIF(코드설정!$F$5:$F$7,업무일지!$AF138)=0,"진행상태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"&amp;업무일지!$G139)</f>
        <v/>
      </c>
      <c r="D171" s="45">
        <f>IF(COUNT(업무일지!$B139:$AG139)+COUNTIF(업무일지!$B139:$AG139,"?*")=0,"",TRIM(IF(업무일지!$B139="","시작일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","")&amp;IF(AND(업무일지!$F139="",업무일지!$G139=""),"사건번호·업무명 모두 없음; ","")&amp;IF(업무일지!$I139="","담당자 없음; ","")&amp;IF(COUNTIF(코드설정!$F$5:$F$7,업무일지!$AF139)=0,"진행상태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"&amp;업무일지!$G140)</f>
        <v/>
      </c>
      <c r="D172" s="45">
        <f>IF(COUNT(업무일지!$B140:$AG140)+COUNTIF(업무일지!$B140:$AG140,"?*")=0,"",TRIM(IF(업무일지!$B140="","시작일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","")&amp;IF(AND(업무일지!$F140="",업무일지!$G140=""),"사건번호·업무명 모두 없음; ","")&amp;IF(업무일지!$I140="","담당자 없음; ","")&amp;IF(COUNTIF(코드설정!$F$5:$F$7,업무일지!$AF140)=0,"진행상태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"&amp;업무일지!$G141)</f>
        <v/>
      </c>
      <c r="D173" s="45">
        <f>IF(COUNT(업무일지!$B141:$AG141)+COUNTIF(업무일지!$B141:$AG141,"?*")=0,"",TRIM(IF(업무일지!$B141="","시작일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","")&amp;IF(AND(업무일지!$F141="",업무일지!$G141=""),"사건번호·업무명 모두 없음; ","")&amp;IF(업무일지!$I141="","담당자 없음; ","")&amp;IF(COUNTIF(코드설정!$F$5:$F$7,업무일지!$AF141)=0,"진행상태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"&amp;업무일지!$G142)</f>
        <v/>
      </c>
      <c r="D174" s="45">
        <f>IF(COUNT(업무일지!$B142:$AG142)+COUNTIF(업무일지!$B142:$AG142,"?*")=0,"",TRIM(IF(업무일지!$B142="","시작일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","")&amp;IF(AND(업무일지!$F142="",업무일지!$G142=""),"사건번호·업무명 모두 없음; ","")&amp;IF(업무일지!$I142="","담당자 없음; ","")&amp;IF(COUNTIF(코드설정!$F$5:$F$7,업무일지!$AF142)=0,"진행상태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"&amp;업무일지!$G143)</f>
        <v/>
      </c>
      <c r="D175" s="45">
        <f>IF(COUNT(업무일지!$B143:$AG143)+COUNTIF(업무일지!$B143:$AG143,"?*")=0,"",TRIM(IF(업무일지!$B143="","시작일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","")&amp;IF(AND(업무일지!$F143="",업무일지!$G143=""),"사건번호·업무명 모두 없음; ","")&amp;IF(업무일지!$I143="","담당자 없음; ","")&amp;IF(COUNTIF(코드설정!$F$5:$F$7,업무일지!$AF143)=0,"진행상태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"&amp;업무일지!$G144)</f>
        <v/>
      </c>
      <c r="D176" s="45">
        <f>IF(COUNT(업무일지!$B144:$AG144)+COUNTIF(업무일지!$B144:$AG144,"?*")=0,"",TRIM(IF(업무일지!$B144="","시작일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","")&amp;IF(AND(업무일지!$F144="",업무일지!$G144=""),"사건번호·업무명 모두 없음; ","")&amp;IF(업무일지!$I144="","담당자 없음; ","")&amp;IF(COUNTIF(코드설정!$F$5:$F$7,업무일지!$AF144)=0,"진행상태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"&amp;업무일지!$G145)</f>
        <v/>
      </c>
      <c r="D177" s="45">
        <f>IF(COUNT(업무일지!$B145:$AG145)+COUNTIF(업무일지!$B145:$AG145,"?*")=0,"",TRIM(IF(업무일지!$B145="","시작일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","")&amp;IF(AND(업무일지!$F145="",업무일지!$G145=""),"사건번호·업무명 모두 없음; ","")&amp;IF(업무일지!$I145="","담당자 없음; ","")&amp;IF(COUNTIF(코드설정!$F$5:$F$7,업무일지!$AF145)=0,"진행상태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"&amp;업무일지!$G146)</f>
        <v/>
      </c>
      <c r="D178" s="45">
        <f>IF(COUNT(업무일지!$B146:$AG146)+COUNTIF(업무일지!$B146:$AG146,"?*")=0,"",TRIM(IF(업무일지!$B146="","시작일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","")&amp;IF(AND(업무일지!$F146="",업무일지!$G146=""),"사건번호·업무명 모두 없음; ","")&amp;IF(업무일지!$I146="","담당자 없음; ","")&amp;IF(COUNTIF(코드설정!$F$5:$F$7,업무일지!$AF146)=0,"진행상태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"&amp;업무일지!$G147)</f>
        <v/>
      </c>
      <c r="D179" s="45">
        <f>IF(COUNT(업무일지!$B147:$AG147)+COUNTIF(업무일지!$B147:$AG147,"?*")=0,"",TRIM(IF(업무일지!$B147="","시작일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","")&amp;IF(AND(업무일지!$F147="",업무일지!$G147=""),"사건번호·업무명 모두 없음; ","")&amp;IF(업무일지!$I147="","담당자 없음; ","")&amp;IF(COUNTIF(코드설정!$F$5:$F$7,업무일지!$AF147)=0,"진행상태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"&amp;업무일지!$G148)</f>
        <v/>
      </c>
      <c r="D180" s="45">
        <f>IF(COUNT(업무일지!$B148:$AG148)+COUNTIF(업무일지!$B148:$AG148,"?*")=0,"",TRIM(IF(업무일지!$B148="","시작일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","")&amp;IF(AND(업무일지!$F148="",업무일지!$G148=""),"사건번호·업무명 모두 없음; ","")&amp;IF(업무일지!$I148="","담당자 없음; ","")&amp;IF(COUNTIF(코드설정!$F$5:$F$7,업무일지!$AF148)=0,"진행상태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"&amp;업무일지!$G149)</f>
        <v/>
      </c>
      <c r="D181" s="45">
        <f>IF(COUNT(업무일지!$B149:$AG149)+COUNTIF(업무일지!$B149:$AG149,"?*")=0,"",TRIM(IF(업무일지!$B149="","시작일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","")&amp;IF(AND(업무일지!$F149="",업무일지!$G149=""),"사건번호·업무명 모두 없음; ","")&amp;IF(업무일지!$I149="","담당자 없음; ","")&amp;IF(COUNTIF(코드설정!$F$5:$F$7,업무일지!$AF149)=0,"진행상태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"&amp;업무일지!$G150)</f>
        <v/>
      </c>
      <c r="D182" s="45">
        <f>IF(COUNT(업무일지!$B150:$AG150)+COUNTIF(업무일지!$B150:$AG150,"?*")=0,"",TRIM(IF(업무일지!$B150="","시작일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","")&amp;IF(AND(업무일지!$F150="",업무일지!$G150=""),"사건번호·업무명 모두 없음; ","")&amp;IF(업무일지!$I150="","담당자 없음; ","")&amp;IF(COUNTIF(코드설정!$F$5:$F$7,업무일지!$AF150)=0,"진행상태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"&amp;업무일지!$G151)</f>
        <v/>
      </c>
      <c r="D183" s="45">
        <f>IF(COUNT(업무일지!$B151:$AG151)+COUNTIF(업무일지!$B151:$AG151,"?*")=0,"",TRIM(IF(업무일지!$B151="","시작일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","")&amp;IF(AND(업무일지!$F151="",업무일지!$G151=""),"사건번호·업무명 모두 없음; ","")&amp;IF(업무일지!$I151="","담당자 없음; ","")&amp;IF(COUNTIF(코드설정!$F$5:$F$7,업무일지!$AF151)=0,"진행상태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"&amp;업무일지!$G152)</f>
        <v/>
      </c>
      <c r="D184" s="45">
        <f>IF(COUNT(업무일지!$B152:$AG152)+COUNTIF(업무일지!$B152:$AG152,"?*")=0,"",TRIM(IF(업무일지!$B152="","시작일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","")&amp;IF(AND(업무일지!$F152="",업무일지!$G152=""),"사건번호·업무명 모두 없음; ","")&amp;IF(업무일지!$I152="","담당자 없음; ","")&amp;IF(COUNTIF(코드설정!$F$5:$F$7,업무일지!$AF152)=0,"진행상태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"&amp;업무일지!$G153)</f>
        <v/>
      </c>
      <c r="D185" s="45">
        <f>IF(COUNT(업무일지!$B153:$AG153)+COUNTIF(업무일지!$B153:$AG153,"?*")=0,"",TRIM(IF(업무일지!$B153="","시작일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","")&amp;IF(AND(업무일지!$F153="",업무일지!$G153=""),"사건번호·업무명 모두 없음; ","")&amp;IF(업무일지!$I153="","담당자 없음; ","")&amp;IF(COUNTIF(코드설정!$F$5:$F$7,업무일지!$AF153)=0,"진행상태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"&amp;업무일지!$G154)</f>
        <v/>
      </c>
      <c r="D186" s="45">
        <f>IF(COUNT(업무일지!$B154:$AG154)+COUNTIF(업무일지!$B154:$AG154,"?*")=0,"",TRIM(IF(업무일지!$B154="","시작일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","")&amp;IF(AND(업무일지!$F154="",업무일지!$G154=""),"사건번호·업무명 모두 없음; ","")&amp;IF(업무일지!$I154="","담당자 없음; ","")&amp;IF(COUNTIF(코드설정!$F$5:$F$7,업무일지!$AF154)=0,"진행상태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"&amp;업무일지!$G155)</f>
        <v/>
      </c>
      <c r="D187" s="45">
        <f>IF(COUNT(업무일지!$B155:$AG155)+COUNTIF(업무일지!$B155:$AG155,"?*")=0,"",TRIM(IF(업무일지!$B155="","시작일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","")&amp;IF(AND(업무일지!$F155="",업무일지!$G155=""),"사건번호·업무명 모두 없음; ","")&amp;IF(업무일지!$I155="","담당자 없음; ","")&amp;IF(COUNTIF(코드설정!$F$5:$F$7,업무일지!$AF155)=0,"진행상태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"&amp;업무일지!$G156)</f>
        <v/>
      </c>
      <c r="D188" s="45">
        <f>IF(COUNT(업무일지!$B156:$AG156)+COUNTIF(업무일지!$B156:$AG156,"?*")=0,"",TRIM(IF(업무일지!$B156="","시작일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","")&amp;IF(AND(업무일지!$F156="",업무일지!$G156=""),"사건번호·업무명 모두 없음; ","")&amp;IF(업무일지!$I156="","담당자 없음; ","")&amp;IF(COUNTIF(코드설정!$F$5:$F$7,업무일지!$AF156)=0,"진행상태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"&amp;업무일지!$G157)</f>
        <v/>
      </c>
      <c r="D189" s="45">
        <f>IF(COUNT(업무일지!$B157:$AG157)+COUNTIF(업무일지!$B157:$AG157,"?*")=0,"",TRIM(IF(업무일지!$B157="","시작일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","")&amp;IF(AND(업무일지!$F157="",업무일지!$G157=""),"사건번호·업무명 모두 없음; ","")&amp;IF(업무일지!$I157="","담당자 없음; ","")&amp;IF(COUNTIF(코드설정!$F$5:$F$7,업무일지!$AF157)=0,"진행상태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"&amp;업무일지!$G158)</f>
        <v/>
      </c>
      <c r="D190" s="45">
        <f>IF(COUNT(업무일지!$B158:$AG158)+COUNTIF(업무일지!$B158:$AG158,"?*")=0,"",TRIM(IF(업무일지!$B158="","시작일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","")&amp;IF(AND(업무일지!$F158="",업무일지!$G158=""),"사건번호·업무명 모두 없음; ","")&amp;IF(업무일지!$I158="","담당자 없음; ","")&amp;IF(COUNTIF(코드설정!$F$5:$F$7,업무일지!$AF158)=0,"진행상태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"&amp;업무일지!$G159)</f>
        <v/>
      </c>
      <c r="D191" s="45">
        <f>IF(COUNT(업무일지!$B159:$AG159)+COUNTIF(업무일지!$B159:$AG159,"?*")=0,"",TRIM(IF(업무일지!$B159="","시작일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","")&amp;IF(AND(업무일지!$F159="",업무일지!$G159=""),"사건번호·업무명 모두 없음; ","")&amp;IF(업무일지!$I159="","담당자 없음; ","")&amp;IF(COUNTIF(코드설정!$F$5:$F$7,업무일지!$AF159)=0,"진행상태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"&amp;업무일지!$G160)</f>
        <v/>
      </c>
      <c r="D192" s="45">
        <f>IF(COUNT(업무일지!$B160:$AG160)+COUNTIF(업무일지!$B160:$AG160,"?*")=0,"",TRIM(IF(업무일지!$B160="","시작일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","")&amp;IF(AND(업무일지!$F160="",업무일지!$G160=""),"사건번호·업무명 모두 없음; ","")&amp;IF(업무일지!$I160="","담당자 없음; ","")&amp;IF(COUNTIF(코드설정!$F$5:$F$7,업무일지!$AF160)=0,"진행상태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"&amp;업무일지!$G161)</f>
        <v/>
      </c>
      <c r="D193" s="45">
        <f>IF(COUNT(업무일지!$B161:$AG161)+COUNTIF(업무일지!$B161:$AG161,"?*")=0,"",TRIM(IF(업무일지!$B161="","시작일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","")&amp;IF(AND(업무일지!$F161="",업무일지!$G161=""),"사건번호·업무명 모두 없음; ","")&amp;IF(업무일지!$I161="","담당자 없음; ","")&amp;IF(COUNTIF(코드설정!$F$5:$F$7,업무일지!$AF161)=0,"진행상태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"&amp;업무일지!$G162)</f>
        <v/>
      </c>
      <c r="D194" s="45">
        <f>IF(COUNT(업무일지!$B162:$AG162)+COUNTIF(업무일지!$B162:$AG162,"?*")=0,"",TRIM(IF(업무일지!$B162="","시작일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","")&amp;IF(AND(업무일지!$F162="",업무일지!$G162=""),"사건번호·업무명 모두 없음; ","")&amp;IF(업무일지!$I162="","담당자 없음; ","")&amp;IF(COUNTIF(코드설정!$F$5:$F$7,업무일지!$AF162)=0,"진행상태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"&amp;업무일지!$G163)</f>
        <v/>
      </c>
      <c r="D195" s="45">
        <f>IF(COUNT(업무일지!$B163:$AG163)+COUNTIF(업무일지!$B163:$AG163,"?*")=0,"",TRIM(IF(업무일지!$B163="","시작일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","")&amp;IF(AND(업무일지!$F163="",업무일지!$G163=""),"사건번호·업무명 모두 없음; ","")&amp;IF(업무일지!$I163="","담당자 없음; ","")&amp;IF(COUNTIF(코드설정!$F$5:$F$7,업무일지!$AF163)=0,"진행상태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"&amp;업무일지!$G164)</f>
        <v/>
      </c>
      <c r="D196" s="45">
        <f>IF(COUNT(업무일지!$B164:$AG164)+COUNTIF(업무일지!$B164:$AG164,"?*")=0,"",TRIM(IF(업무일지!$B164="","시작일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","")&amp;IF(AND(업무일지!$F164="",업무일지!$G164=""),"사건번호·업무명 모두 없음; ","")&amp;IF(업무일지!$I164="","담당자 없음; ","")&amp;IF(COUNTIF(코드설정!$F$5:$F$7,업무일지!$AF164)=0,"진행상태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"&amp;업무일지!$G165)</f>
        <v/>
      </c>
      <c r="D197" s="45">
        <f>IF(COUNT(업무일지!$B165:$AG165)+COUNTIF(업무일지!$B165:$AG165,"?*")=0,"",TRIM(IF(업무일지!$B165="","시작일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","")&amp;IF(AND(업무일지!$F165="",업무일지!$G165=""),"사건번호·업무명 모두 없음; ","")&amp;IF(업무일지!$I165="","담당자 없음; ","")&amp;IF(COUNTIF(코드설정!$F$5:$F$7,업무일지!$AF165)=0,"진행상태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"&amp;업무일지!$G166)</f>
        <v/>
      </c>
      <c r="D198" s="45">
        <f>IF(COUNT(업무일지!$B166:$AG166)+COUNTIF(업무일지!$B166:$AG166,"?*")=0,"",TRIM(IF(업무일지!$B166="","시작일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","")&amp;IF(AND(업무일지!$F166="",업무일지!$G166=""),"사건번호·업무명 모두 없음; ","")&amp;IF(업무일지!$I166="","담당자 없음; ","")&amp;IF(COUNTIF(코드설정!$F$5:$F$7,업무일지!$AF166)=0,"진행상태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"&amp;업무일지!$G167)</f>
        <v/>
      </c>
      <c r="D199" s="45">
        <f>IF(COUNT(업무일지!$B167:$AG167)+COUNTIF(업무일지!$B167:$AG167,"?*")=0,"",TRIM(IF(업무일지!$B167="","시작일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","")&amp;IF(AND(업무일지!$F167="",업무일지!$G167=""),"사건번호·업무명 모두 없음; ","")&amp;IF(업무일지!$I167="","담당자 없음; ","")&amp;IF(COUNTIF(코드설정!$F$5:$F$7,업무일지!$AF167)=0,"진행상태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"&amp;업무일지!$G168)</f>
        <v/>
      </c>
      <c r="D200" s="45">
        <f>IF(COUNT(업무일지!$B168:$AG168)+COUNTIF(업무일지!$B168:$AG168,"?*")=0,"",TRIM(IF(업무일지!$B168="","시작일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","")&amp;IF(AND(업무일지!$F168="",업무일지!$G168=""),"사건번호·업무명 모두 없음; ","")&amp;IF(업무일지!$I168="","담당자 없음; ","")&amp;IF(COUNTIF(코드설정!$F$5:$F$7,업무일지!$AF168)=0,"진행상태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"&amp;업무일지!$G169)</f>
        <v/>
      </c>
      <c r="D201" s="45">
        <f>IF(COUNT(업무일지!$B169:$AG169)+COUNTIF(업무일지!$B169:$AG169,"?*")=0,"",TRIM(IF(업무일지!$B169="","시작일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","")&amp;IF(AND(업무일지!$F169="",업무일지!$G169=""),"사건번호·업무명 모두 없음; ","")&amp;IF(업무일지!$I169="","담당자 없음; ","")&amp;IF(COUNTIF(코드설정!$F$5:$F$7,업무일지!$AF169)=0,"진행상태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"&amp;업무일지!$G170)</f>
        <v/>
      </c>
      <c r="D202" s="45">
        <f>IF(COUNT(업무일지!$B170:$AG170)+COUNTIF(업무일지!$B170:$AG170,"?*")=0,"",TRIM(IF(업무일지!$B170="","시작일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","")&amp;IF(AND(업무일지!$F170="",업무일지!$G170=""),"사건번호·업무명 모두 없음; ","")&amp;IF(업무일지!$I170="","담당자 없음; ","")&amp;IF(COUNTIF(코드설정!$F$5:$F$7,업무일지!$AF170)=0,"진행상태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"&amp;업무일지!$G171)</f>
        <v/>
      </c>
      <c r="D203" s="45">
        <f>IF(COUNT(업무일지!$B171:$AG171)+COUNTIF(업무일지!$B171:$AG171,"?*")=0,"",TRIM(IF(업무일지!$B171="","시작일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","")&amp;IF(AND(업무일지!$F171="",업무일지!$G171=""),"사건번호·업무명 모두 없음; ","")&amp;IF(업무일지!$I171="","담당자 없음; ","")&amp;IF(COUNTIF(코드설정!$F$5:$F$7,업무일지!$AF171)=0,"진행상태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"&amp;업무일지!$G172)</f>
        <v/>
      </c>
      <c r="D204" s="45">
        <f>IF(COUNT(업무일지!$B172:$AG172)+COUNTIF(업무일지!$B172:$AG172,"?*")=0,"",TRIM(IF(업무일지!$B172="","시작일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","")&amp;IF(AND(업무일지!$F172="",업무일지!$G172=""),"사건번호·업무명 모두 없음; ","")&amp;IF(업무일지!$I172="","담당자 없음; ","")&amp;IF(COUNTIF(코드설정!$F$5:$F$7,업무일지!$AF172)=0,"진행상태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"&amp;업무일지!$G173)</f>
        <v/>
      </c>
      <c r="D205" s="45">
        <f>IF(COUNT(업무일지!$B173:$AG173)+COUNTIF(업무일지!$B173:$AG173,"?*")=0,"",TRIM(IF(업무일지!$B173="","시작일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","")&amp;IF(AND(업무일지!$F173="",업무일지!$G173=""),"사건번호·업무명 모두 없음; ","")&amp;IF(업무일지!$I173="","담당자 없음; ","")&amp;IF(COUNTIF(코드설정!$F$5:$F$7,업무일지!$AF173)=0,"진행상태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"&amp;업무일지!$G174)</f>
        <v/>
      </c>
      <c r="D206" s="45">
        <f>IF(COUNT(업무일지!$B174:$AG174)+COUNTIF(업무일지!$B174:$AG174,"?*")=0,"",TRIM(IF(업무일지!$B174="","시작일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","")&amp;IF(AND(업무일지!$F174="",업무일지!$G174=""),"사건번호·업무명 모두 없음; ","")&amp;IF(업무일지!$I174="","담당자 없음; ","")&amp;IF(COUNTIF(코드설정!$F$5:$F$7,업무일지!$AF174)=0,"진행상태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"&amp;업무일지!$G175)</f>
        <v/>
      </c>
      <c r="D207" s="45">
        <f>IF(COUNT(업무일지!$B175:$AG175)+COUNTIF(업무일지!$B175:$AG175,"?*")=0,"",TRIM(IF(업무일지!$B175="","시작일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","")&amp;IF(AND(업무일지!$F175="",업무일지!$G175=""),"사건번호·업무명 모두 없음; ","")&amp;IF(업무일지!$I175="","담당자 없음; ","")&amp;IF(COUNTIF(코드설정!$F$5:$F$7,업무일지!$AF175)=0,"진행상태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"&amp;업무일지!$G176)</f>
        <v/>
      </c>
      <c r="D208" s="45">
        <f>IF(COUNT(업무일지!$B176:$AG176)+COUNTIF(업무일지!$B176:$AG176,"?*")=0,"",TRIM(IF(업무일지!$B176="","시작일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","")&amp;IF(AND(업무일지!$F176="",업무일지!$G176=""),"사건번호·업무명 모두 없음; ","")&amp;IF(업무일지!$I176="","담당자 없음; ","")&amp;IF(COUNTIF(코드설정!$F$5:$F$7,업무일지!$AF176)=0,"진행상태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"&amp;업무일지!$G177)</f>
        <v/>
      </c>
      <c r="D209" s="45">
        <f>IF(COUNT(업무일지!$B177:$AG177)+COUNTIF(업무일지!$B177:$AG177,"?*")=0,"",TRIM(IF(업무일지!$B177="","시작일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","")&amp;IF(AND(업무일지!$F177="",업무일지!$G177=""),"사건번호·업무명 모두 없음; ","")&amp;IF(업무일지!$I177="","담당자 없음; ","")&amp;IF(COUNTIF(코드설정!$F$5:$F$7,업무일지!$AF177)=0,"진행상태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"&amp;업무일지!$G178)</f>
        <v/>
      </c>
      <c r="D210" s="45">
        <f>IF(COUNT(업무일지!$B178:$AG178)+COUNTIF(업무일지!$B178:$AG178,"?*")=0,"",TRIM(IF(업무일지!$B178="","시작일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","")&amp;IF(AND(업무일지!$F178="",업무일지!$G178=""),"사건번호·업무명 모두 없음; ","")&amp;IF(업무일지!$I178="","담당자 없음; ","")&amp;IF(COUNTIF(코드설정!$F$5:$F$7,업무일지!$AF178)=0,"진행상태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"&amp;업무일지!$G179)</f>
        <v/>
      </c>
      <c r="D211" s="45">
        <f>IF(COUNT(업무일지!$B179:$AG179)+COUNTIF(업무일지!$B179:$AG179,"?*")=0,"",TRIM(IF(업무일지!$B179="","시작일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","")&amp;IF(AND(업무일지!$F179="",업무일지!$G179=""),"사건번호·업무명 모두 없음; ","")&amp;IF(업무일지!$I179="","담당자 없음; ","")&amp;IF(COUNTIF(코드설정!$F$5:$F$7,업무일지!$AF179)=0,"진행상태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"&amp;업무일지!$G180)</f>
        <v/>
      </c>
      <c r="D212" s="45">
        <f>IF(COUNT(업무일지!$B180:$AG180)+COUNTIF(업무일지!$B180:$AG180,"?*")=0,"",TRIM(IF(업무일지!$B180="","시작일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","")&amp;IF(AND(업무일지!$F180="",업무일지!$G180=""),"사건번호·업무명 모두 없음; ","")&amp;IF(업무일지!$I180="","담당자 없음; ","")&amp;IF(COUNTIF(코드설정!$F$5:$F$7,업무일지!$AF180)=0,"진행상태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"&amp;업무일지!$G181)</f>
        <v/>
      </c>
      <c r="D213" s="45">
        <f>IF(COUNT(업무일지!$B181:$AG181)+COUNTIF(업무일지!$B181:$AG181,"?*")=0,"",TRIM(IF(업무일지!$B181="","시작일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","")&amp;IF(AND(업무일지!$F181="",업무일지!$G181=""),"사건번호·업무명 모두 없음; ","")&amp;IF(업무일지!$I181="","담당자 없음; ","")&amp;IF(COUNTIF(코드설정!$F$5:$F$7,업무일지!$AF181)=0,"진행상태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"&amp;업무일지!$G182)</f>
        <v/>
      </c>
      <c r="D214" s="45">
        <f>IF(COUNT(업무일지!$B182:$AG182)+COUNTIF(업무일지!$B182:$AG182,"?*")=0,"",TRIM(IF(업무일지!$B182="","시작일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","")&amp;IF(AND(업무일지!$F182="",업무일지!$G182=""),"사건번호·업무명 모두 없음; ","")&amp;IF(업무일지!$I182="","담당자 없음; ","")&amp;IF(COUNTIF(코드설정!$F$5:$F$7,업무일지!$AF182)=0,"진행상태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"&amp;업무일지!$G183)</f>
        <v/>
      </c>
      <c r="D215" s="45">
        <f>IF(COUNT(업무일지!$B183:$AG183)+COUNTIF(업무일지!$B183:$AG183,"?*")=0,"",TRIM(IF(업무일지!$B183="","시작일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","")&amp;IF(AND(업무일지!$F183="",업무일지!$G183=""),"사건번호·업무명 모두 없음; ","")&amp;IF(업무일지!$I183="","담당자 없음; ","")&amp;IF(COUNTIF(코드설정!$F$5:$F$7,업무일지!$AF183)=0,"진행상태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"&amp;업무일지!$G184)</f>
        <v/>
      </c>
      <c r="D216" s="45">
        <f>IF(COUNT(업무일지!$B184:$AG184)+COUNTIF(업무일지!$B184:$AG184,"?*")=0,"",TRIM(IF(업무일지!$B184="","시작일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","")&amp;IF(AND(업무일지!$F184="",업무일지!$G184=""),"사건번호·업무명 모두 없음; ","")&amp;IF(업무일지!$I184="","담당자 없음; ","")&amp;IF(COUNTIF(코드설정!$F$5:$F$7,업무일지!$AF184)=0,"진행상태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"&amp;업무일지!$G185)</f>
        <v/>
      </c>
      <c r="D217" s="45">
        <f>IF(COUNT(업무일지!$B185:$AG185)+COUNTIF(업무일지!$B185:$AG185,"?*")=0,"",TRIM(IF(업무일지!$B185="","시작일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","")&amp;IF(AND(업무일지!$F185="",업무일지!$G185=""),"사건번호·업무명 모두 없음; ","")&amp;IF(업무일지!$I185="","담당자 없음; ","")&amp;IF(COUNTIF(코드설정!$F$5:$F$7,업무일지!$AF185)=0,"진행상태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"&amp;업무일지!$G186)</f>
        <v/>
      </c>
      <c r="D218" s="45">
        <f>IF(COUNT(업무일지!$B186:$AG186)+COUNTIF(업무일지!$B186:$AG186,"?*")=0,"",TRIM(IF(업무일지!$B186="","시작일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","")&amp;IF(AND(업무일지!$F186="",업무일지!$G186=""),"사건번호·업무명 모두 없음; ","")&amp;IF(업무일지!$I186="","담당자 없음; ","")&amp;IF(COUNTIF(코드설정!$F$5:$F$7,업무일지!$AF186)=0,"진행상태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"&amp;업무일지!$G187)</f>
        <v/>
      </c>
      <c r="D219" s="45">
        <f>IF(COUNT(업무일지!$B187:$AG187)+COUNTIF(업무일지!$B187:$AG187,"?*")=0,"",TRIM(IF(업무일지!$B187="","시작일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","")&amp;IF(AND(업무일지!$F187="",업무일지!$G187=""),"사건번호·업무명 모두 없음; ","")&amp;IF(업무일지!$I187="","담당자 없음; ","")&amp;IF(COUNTIF(코드설정!$F$5:$F$7,업무일지!$AF187)=0,"진행상태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"&amp;업무일지!$G188)</f>
        <v/>
      </c>
      <c r="D220" s="45">
        <f>IF(COUNT(업무일지!$B188:$AG188)+COUNTIF(업무일지!$B188:$AG188,"?*")=0,"",TRIM(IF(업무일지!$B188="","시작일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","")&amp;IF(AND(업무일지!$F188="",업무일지!$G188=""),"사건번호·업무명 모두 없음; ","")&amp;IF(업무일지!$I188="","담당자 없음; ","")&amp;IF(COUNTIF(코드설정!$F$5:$F$7,업무일지!$AF188)=0,"진행상태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"&amp;업무일지!$G189)</f>
        <v/>
      </c>
      <c r="D221" s="45">
        <f>IF(COUNT(업무일지!$B189:$AG189)+COUNTIF(업무일지!$B189:$AG189,"?*")=0,"",TRIM(IF(업무일지!$B189="","시작일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","")&amp;IF(AND(업무일지!$F189="",업무일지!$G189=""),"사건번호·업무명 모두 없음; ","")&amp;IF(업무일지!$I189="","담당자 없음; ","")&amp;IF(COUNTIF(코드설정!$F$5:$F$7,업무일지!$AF189)=0,"진행상태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"&amp;업무일지!$G190)</f>
        <v/>
      </c>
      <c r="D222" s="45">
        <f>IF(COUNT(업무일지!$B190:$AG190)+COUNTIF(업무일지!$B190:$AG190,"?*")=0,"",TRIM(IF(업무일지!$B190="","시작일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","")&amp;IF(AND(업무일지!$F190="",업무일지!$G190=""),"사건번호·업무명 모두 없음; ","")&amp;IF(업무일지!$I190="","담당자 없음; ","")&amp;IF(COUNTIF(코드설정!$F$5:$F$7,업무일지!$AF190)=0,"진행상태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"&amp;업무일지!$G191)</f>
        <v/>
      </c>
      <c r="D223" s="45">
        <f>IF(COUNT(업무일지!$B191:$AG191)+COUNTIF(업무일지!$B191:$AG191,"?*")=0,"",TRIM(IF(업무일지!$B191="","시작일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","")&amp;IF(AND(업무일지!$F191="",업무일지!$G191=""),"사건번호·업무명 모두 없음; ","")&amp;IF(업무일지!$I191="","담당자 없음; ","")&amp;IF(COUNTIF(코드설정!$F$5:$F$7,업무일지!$AF191)=0,"진행상태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"&amp;업무일지!$G192)</f>
        <v/>
      </c>
      <c r="D224" s="45">
        <f>IF(COUNT(업무일지!$B192:$AG192)+COUNTIF(업무일지!$B192:$AG192,"?*")=0,"",TRIM(IF(업무일지!$B192="","시작일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","")&amp;IF(AND(업무일지!$F192="",업무일지!$G192=""),"사건번호·업무명 모두 없음; ","")&amp;IF(업무일지!$I192="","담당자 없음; ","")&amp;IF(COUNTIF(코드설정!$F$5:$F$7,업무일지!$AF192)=0,"진행상태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"&amp;업무일지!$G193)</f>
        <v/>
      </c>
      <c r="D225" s="45">
        <f>IF(COUNT(업무일지!$B193:$AG193)+COUNTIF(업무일지!$B193:$AG193,"?*")=0,"",TRIM(IF(업무일지!$B193="","시작일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","")&amp;IF(AND(업무일지!$F193="",업무일지!$G193=""),"사건번호·업무명 모두 없음; ","")&amp;IF(업무일지!$I193="","담당자 없음; ","")&amp;IF(COUNTIF(코드설정!$F$5:$F$7,업무일지!$AF193)=0,"진행상태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"&amp;업무일지!$G194)</f>
        <v/>
      </c>
      <c r="D226" s="45">
        <f>IF(COUNT(업무일지!$B194:$AG194)+COUNTIF(업무일지!$B194:$AG194,"?*")=0,"",TRIM(IF(업무일지!$B194="","시작일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","")&amp;IF(AND(업무일지!$F194="",업무일지!$G194=""),"사건번호·업무명 모두 없음; ","")&amp;IF(업무일지!$I194="","담당자 없음; ","")&amp;IF(COUNTIF(코드설정!$F$5:$F$7,업무일지!$AF194)=0,"진행상태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"&amp;업무일지!$G195)</f>
        <v/>
      </c>
      <c r="D227" s="45">
        <f>IF(COUNT(업무일지!$B195:$AG195)+COUNTIF(업무일지!$B195:$AG195,"?*")=0,"",TRIM(IF(업무일지!$B195="","시작일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","")&amp;IF(AND(업무일지!$F195="",업무일지!$G195=""),"사건번호·업무명 모두 없음; ","")&amp;IF(업무일지!$I195="","담당자 없음; ","")&amp;IF(COUNTIF(코드설정!$F$5:$F$7,업무일지!$AF195)=0,"진행상태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"&amp;업무일지!$G196)</f>
        <v/>
      </c>
      <c r="D228" s="45">
        <f>IF(COUNT(업무일지!$B196:$AG196)+COUNTIF(업무일지!$B196:$AG196,"?*")=0,"",TRIM(IF(업무일지!$B196="","시작일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","")&amp;IF(AND(업무일지!$F196="",업무일지!$G196=""),"사건번호·업무명 모두 없음; ","")&amp;IF(업무일지!$I196="","담당자 없음; ","")&amp;IF(COUNTIF(코드설정!$F$5:$F$7,업무일지!$AF196)=0,"진행상태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"&amp;업무일지!$G197)</f>
        <v/>
      </c>
      <c r="D229" s="45">
        <f>IF(COUNT(업무일지!$B197:$AG197)+COUNTIF(업무일지!$B197:$AG197,"?*")=0,"",TRIM(IF(업무일지!$B197="","시작일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","")&amp;IF(AND(업무일지!$F197="",업무일지!$G197=""),"사건번호·업무명 모두 없음; ","")&amp;IF(업무일지!$I197="","담당자 없음; ","")&amp;IF(COUNTIF(코드설정!$F$5:$F$7,업무일지!$AF197)=0,"진행상태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"&amp;업무일지!$G198)</f>
        <v/>
      </c>
      <c r="D230" s="45">
        <f>IF(COUNT(업무일지!$B198:$AG198)+COUNTIF(업무일지!$B198:$AG198,"?*")=0,"",TRIM(IF(업무일지!$B198="","시작일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","")&amp;IF(AND(업무일지!$F198="",업무일지!$G198=""),"사건번호·업무명 모두 없음; ","")&amp;IF(업무일지!$I198="","담당자 없음; ","")&amp;IF(COUNTIF(코드설정!$F$5:$F$7,업무일지!$AF198)=0,"진행상태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"&amp;업무일지!$G199)</f>
        <v/>
      </c>
      <c r="D231" s="45">
        <f>IF(COUNT(업무일지!$B199:$AG199)+COUNTIF(업무일지!$B199:$AG199,"?*")=0,"",TRIM(IF(업무일지!$B199="","시작일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","")&amp;IF(AND(업무일지!$F199="",업무일지!$G199=""),"사건번호·업무명 모두 없음; ","")&amp;IF(업무일지!$I199="","담당자 없음; ","")&amp;IF(COUNTIF(코드설정!$F$5:$F$7,업무일지!$AF199)=0,"진행상태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"&amp;업무일지!$G200)</f>
        <v/>
      </c>
      <c r="D232" s="45">
        <f>IF(COUNT(업무일지!$B200:$AG200)+COUNTIF(업무일지!$B200:$AG200,"?*")=0,"",TRIM(IF(업무일지!$B200="","시작일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","")&amp;IF(AND(업무일지!$F200="",업무일지!$G200=""),"사건번호·업무명 모두 없음; ","")&amp;IF(업무일지!$I200="","담당자 없음; ","")&amp;IF(COUNTIF(코드설정!$F$5:$F$7,업무일지!$AF200)=0,"진행상태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"&amp;업무일지!$G201)</f>
        <v/>
      </c>
      <c r="D233" s="45">
        <f>IF(COUNT(업무일지!$B201:$AG201)+COUNTIF(업무일지!$B201:$AG201,"?*")=0,"",TRIM(IF(업무일지!$B201="","시작일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","")&amp;IF(AND(업무일지!$F201="",업무일지!$G201=""),"사건번호·업무명 모두 없음; ","")&amp;IF(업무일지!$I201="","담당자 없음; ","")&amp;IF(COUNTIF(코드설정!$F$5:$F$7,업무일지!$AF201)=0,"진행상태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"&amp;업무일지!$G202)</f>
        <v/>
      </c>
      <c r="D234" s="45">
        <f>IF(COUNT(업무일지!$B202:$AG202)+COUNTIF(업무일지!$B202:$AG202,"?*")=0,"",TRIM(IF(업무일지!$B202="","시작일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","")&amp;IF(AND(업무일지!$F202="",업무일지!$G202=""),"사건번호·업무명 모두 없음; ","")&amp;IF(업무일지!$I202="","담당자 없음; ","")&amp;IF(COUNTIF(코드설정!$F$5:$F$7,업무일지!$AF202)=0,"진행상태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"&amp;업무일지!$G203)</f>
        <v/>
      </c>
      <c r="D235" s="45">
        <f>IF(COUNT(업무일지!$B203:$AG203)+COUNTIF(업무일지!$B203:$AG203,"?*")=0,"",TRIM(IF(업무일지!$B203="","시작일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","")&amp;IF(AND(업무일지!$F203="",업무일지!$G203=""),"사건번호·업무명 모두 없음; ","")&amp;IF(업무일지!$I203="","담당자 없음; ","")&amp;IF(COUNTIF(코드설정!$F$5:$F$7,업무일지!$AF203)=0,"진행상태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"&amp;업무일지!$G204)</f>
        <v/>
      </c>
      <c r="D236" s="45">
        <f>IF(COUNT(업무일지!$B204:$AG204)+COUNTIF(업무일지!$B204:$AG204,"?*")=0,"",TRIM(IF(업무일지!$B204="","시작일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","")&amp;IF(AND(업무일지!$F204="",업무일지!$G204=""),"사건번호·업무명 모두 없음; ","")&amp;IF(업무일지!$I204="","담당자 없음; ","")&amp;IF(COUNTIF(코드설정!$F$5:$F$7,업무일지!$AF204)=0,"진행상태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"&amp;업무일지!$G205)</f>
        <v/>
      </c>
      <c r="D237" s="45">
        <f>IF(COUNT(업무일지!$B205:$AG205)+COUNTIF(업무일지!$B205:$AG205,"?*")=0,"",TRIM(IF(업무일지!$B205="","시작일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","")&amp;IF(AND(업무일지!$F205="",업무일지!$G205=""),"사건번호·업무명 모두 없음; ","")&amp;IF(업무일지!$I205="","담당자 없음; ","")&amp;IF(COUNTIF(코드설정!$F$5:$F$7,업무일지!$AF205)=0,"진행상태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"&amp;업무일지!$G206)</f>
        <v/>
      </c>
      <c r="D238" s="45">
        <f>IF(COUNT(업무일지!$B206:$AG206)+COUNTIF(업무일지!$B206:$AG206,"?*")=0,"",TRIM(IF(업무일지!$B206="","시작일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","")&amp;IF(AND(업무일지!$F206="",업무일지!$G206=""),"사건번호·업무명 모두 없음; ","")&amp;IF(업무일지!$I206="","담당자 없음; ","")&amp;IF(COUNTIF(코드설정!$F$5:$F$7,업무일지!$AF206)=0,"진행상태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"&amp;업무일지!$G207)</f>
        <v/>
      </c>
      <c r="D239" s="45">
        <f>IF(COUNT(업무일지!$B207:$AG207)+COUNTIF(업무일지!$B207:$AG207,"?*")=0,"",TRIM(IF(업무일지!$B207="","시작일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","")&amp;IF(AND(업무일지!$F207="",업무일지!$G207=""),"사건번호·업무명 모두 없음; ","")&amp;IF(업무일지!$I207="","담당자 없음; ","")&amp;IF(COUNTIF(코드설정!$F$5:$F$7,업무일지!$AF207)=0,"진행상태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"&amp;업무일지!$G208)</f>
        <v/>
      </c>
      <c r="D240" s="45">
        <f>IF(COUNT(업무일지!$B208:$AG208)+COUNTIF(업무일지!$B208:$AG208,"?*")=0,"",TRIM(IF(업무일지!$B208="","시작일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","")&amp;IF(AND(업무일지!$F208="",업무일지!$G208=""),"사건번호·업무명 모두 없음; ","")&amp;IF(업무일지!$I208="","담당자 없음; ","")&amp;IF(COUNTIF(코드설정!$F$5:$F$7,업무일지!$AF208)=0,"진행상태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"&amp;업무일지!$G209)</f>
        <v/>
      </c>
      <c r="D241" s="45">
        <f>IF(COUNT(업무일지!$B209:$AG209)+COUNTIF(업무일지!$B209:$AG209,"?*")=0,"",TRIM(IF(업무일지!$B209="","시작일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","")&amp;IF(AND(업무일지!$F209="",업무일지!$G209=""),"사건번호·업무명 모두 없음; ","")&amp;IF(업무일지!$I209="","담당자 없음; ","")&amp;IF(COUNTIF(코드설정!$F$5:$F$7,업무일지!$AF209)=0,"진행상태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"&amp;업무일지!$G210)</f>
        <v/>
      </c>
      <c r="D242" s="45">
        <f>IF(COUNT(업무일지!$B210:$AG210)+COUNTIF(업무일지!$B210:$AG210,"?*")=0,"",TRIM(IF(업무일지!$B210="","시작일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","")&amp;IF(AND(업무일지!$F210="",업무일지!$G210=""),"사건번호·업무명 모두 없음; ","")&amp;IF(업무일지!$I210="","담당자 없음; ","")&amp;IF(COUNTIF(코드설정!$F$5:$F$7,업무일지!$AF210)=0,"진행상태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"&amp;업무일지!$G211)</f>
        <v/>
      </c>
      <c r="D243" s="45">
        <f>IF(COUNT(업무일지!$B211:$AG211)+COUNTIF(업무일지!$B211:$AG211,"?*")=0,"",TRIM(IF(업무일지!$B211="","시작일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","")&amp;IF(AND(업무일지!$F211="",업무일지!$G211=""),"사건번호·업무명 모두 없음; ","")&amp;IF(업무일지!$I211="","담당자 없음; ","")&amp;IF(COUNTIF(코드설정!$F$5:$F$7,업무일지!$AF211)=0,"진행상태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"&amp;업무일지!$G212)</f>
        <v/>
      </c>
      <c r="D244" s="45">
        <f>IF(COUNT(업무일지!$B212:$AG212)+COUNTIF(업무일지!$B212:$AG212,"?*")=0,"",TRIM(IF(업무일지!$B212="","시작일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","")&amp;IF(AND(업무일지!$F212="",업무일지!$G212=""),"사건번호·업무명 모두 없음; ","")&amp;IF(업무일지!$I212="","담당자 없음; ","")&amp;IF(COUNTIF(코드설정!$F$5:$F$7,업무일지!$AF212)=0,"진행상태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"&amp;업무일지!$G213)</f>
        <v/>
      </c>
      <c r="D245" s="45">
        <f>IF(COUNT(업무일지!$B213:$AG213)+COUNTIF(업무일지!$B213:$AG213,"?*")=0,"",TRIM(IF(업무일지!$B213="","시작일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","")&amp;IF(AND(업무일지!$F213="",업무일지!$G213=""),"사건번호·업무명 모두 없음; ","")&amp;IF(업무일지!$I213="","담당자 없음; ","")&amp;IF(COUNTIF(코드설정!$F$5:$F$7,업무일지!$AF213)=0,"진행상태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"&amp;업무일지!$G214)</f>
        <v/>
      </c>
      <c r="D246" s="45">
        <f>IF(COUNT(업무일지!$B214:$AG214)+COUNTIF(업무일지!$B214:$AG214,"?*")=0,"",TRIM(IF(업무일지!$B214="","시작일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","")&amp;IF(AND(업무일지!$F214="",업무일지!$G214=""),"사건번호·업무명 모두 없음; ","")&amp;IF(업무일지!$I214="","담당자 없음; ","")&amp;IF(COUNTIF(코드설정!$F$5:$F$7,업무일지!$AF214)=0,"진행상태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"&amp;업무일지!$G215)</f>
        <v/>
      </c>
      <c r="D247" s="45">
        <f>IF(COUNT(업무일지!$B215:$AG215)+COUNTIF(업무일지!$B215:$AG215,"?*")=0,"",TRIM(IF(업무일지!$B215="","시작일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","")&amp;IF(AND(업무일지!$F215="",업무일지!$G215=""),"사건번호·업무명 모두 없음; ","")&amp;IF(업무일지!$I215="","담당자 없음; ","")&amp;IF(COUNTIF(코드설정!$F$5:$F$7,업무일지!$AF215)=0,"진행상태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"&amp;업무일지!$G216)</f>
        <v/>
      </c>
      <c r="D248" s="45">
        <f>IF(COUNT(업무일지!$B216:$AG216)+COUNTIF(업무일지!$B216:$AG216,"?*")=0,"",TRIM(IF(업무일지!$B216="","시작일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","")&amp;IF(AND(업무일지!$F216="",업무일지!$G216=""),"사건번호·업무명 모두 없음; ","")&amp;IF(업무일지!$I216="","담당자 없음; ","")&amp;IF(COUNTIF(코드설정!$F$5:$F$7,업무일지!$AF216)=0,"진행상태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"&amp;업무일지!$G217)</f>
        <v/>
      </c>
      <c r="D249" s="45">
        <f>IF(COUNT(업무일지!$B217:$AG217)+COUNTIF(업무일지!$B217:$AG217,"?*")=0,"",TRIM(IF(업무일지!$B217="","시작일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","")&amp;IF(AND(업무일지!$F217="",업무일지!$G217=""),"사건번호·업무명 모두 없음; ","")&amp;IF(업무일지!$I217="","담당자 없음; ","")&amp;IF(COUNTIF(코드설정!$F$5:$F$7,업무일지!$AF217)=0,"진행상태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"&amp;업무일지!$G218)</f>
        <v/>
      </c>
      <c r="D250" s="45">
        <f>IF(COUNT(업무일지!$B218:$AG218)+COUNTIF(업무일지!$B218:$AG218,"?*")=0,"",TRIM(IF(업무일지!$B218="","시작일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","")&amp;IF(AND(업무일지!$F218="",업무일지!$G218=""),"사건번호·업무명 모두 없음; ","")&amp;IF(업무일지!$I218="","담당자 없음; ","")&amp;IF(COUNTIF(코드설정!$F$5:$F$7,업무일지!$AF218)=0,"진행상태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"&amp;업무일지!$G219)</f>
        <v/>
      </c>
      <c r="D251" s="45">
        <f>IF(COUNT(업무일지!$B219:$AG219)+COUNTIF(업무일지!$B219:$AG219,"?*")=0,"",TRIM(IF(업무일지!$B219="","시작일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","")&amp;IF(AND(업무일지!$F219="",업무일지!$G219=""),"사건번호·업무명 모두 없음; ","")&amp;IF(업무일지!$I219="","담당자 없음; ","")&amp;IF(COUNTIF(코드설정!$F$5:$F$7,업무일지!$AF219)=0,"진행상태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"&amp;업무일지!$G220)</f>
        <v/>
      </c>
      <c r="D252" s="45">
        <f>IF(COUNT(업무일지!$B220:$AG220)+COUNTIF(업무일지!$B220:$AG220,"?*")=0,"",TRIM(IF(업무일지!$B220="","시작일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","")&amp;IF(AND(업무일지!$F220="",업무일지!$G220=""),"사건번호·업무명 모두 없음; ","")&amp;IF(업무일지!$I220="","담당자 없음; ","")&amp;IF(COUNTIF(코드설정!$F$5:$F$7,업무일지!$AF220)=0,"진행상태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"&amp;업무일지!$G221)</f>
        <v/>
      </c>
      <c r="D253" s="45">
        <f>IF(COUNT(업무일지!$B221:$AG221)+COUNTIF(업무일지!$B221:$AG221,"?*")=0,"",TRIM(IF(업무일지!$B221="","시작일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","")&amp;IF(AND(업무일지!$F221="",업무일지!$G221=""),"사건번호·업무명 모두 없음; ","")&amp;IF(업무일지!$I221="","담당자 없음; ","")&amp;IF(COUNTIF(코드설정!$F$5:$F$7,업무일지!$AF221)=0,"진행상태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"&amp;업무일지!$G222)</f>
        <v/>
      </c>
      <c r="D254" s="45">
        <f>IF(COUNT(업무일지!$B222:$AG222)+COUNTIF(업무일지!$B222:$AG222,"?*")=0,"",TRIM(IF(업무일지!$B222="","시작일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","")&amp;IF(AND(업무일지!$F222="",업무일지!$G222=""),"사건번호·업무명 모두 없음; ","")&amp;IF(업무일지!$I222="","담당자 없음; ","")&amp;IF(COUNTIF(코드설정!$F$5:$F$7,업무일지!$AF222)=0,"진행상태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"&amp;업무일지!$G223)</f>
        <v/>
      </c>
      <c r="D255" s="45">
        <f>IF(COUNT(업무일지!$B223:$AG223)+COUNTIF(업무일지!$B223:$AG223,"?*")=0,"",TRIM(IF(업무일지!$B223="","시작일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","")&amp;IF(AND(업무일지!$F223="",업무일지!$G223=""),"사건번호·업무명 모두 없음; ","")&amp;IF(업무일지!$I223="","담당자 없음; ","")&amp;IF(COUNTIF(코드설정!$F$5:$F$7,업무일지!$AF223)=0,"진행상태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"&amp;업무일지!$G224)</f>
        <v/>
      </c>
      <c r="D256" s="45">
        <f>IF(COUNT(업무일지!$B224:$AG224)+COUNTIF(업무일지!$B224:$AG224,"?*")=0,"",TRIM(IF(업무일지!$B224="","시작일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","")&amp;IF(AND(업무일지!$F224="",업무일지!$G224=""),"사건번호·업무명 모두 없음; ","")&amp;IF(업무일지!$I224="","담당자 없음; ","")&amp;IF(COUNTIF(코드설정!$F$5:$F$7,업무일지!$AF224)=0,"진행상태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"&amp;업무일지!$G225)</f>
        <v/>
      </c>
      <c r="D257" s="45">
        <f>IF(COUNT(업무일지!$B225:$AG225)+COUNTIF(업무일지!$B225:$AG225,"?*")=0,"",TRIM(IF(업무일지!$B225="","시작일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","")&amp;IF(AND(업무일지!$F225="",업무일지!$G225=""),"사건번호·업무명 모두 없음; ","")&amp;IF(업무일지!$I225="","담당자 없음; ","")&amp;IF(COUNTIF(코드설정!$F$5:$F$7,업무일지!$AF225)=0,"진행상태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"&amp;업무일지!$G226)</f>
        <v/>
      </c>
      <c r="D258" s="45">
        <f>IF(COUNT(업무일지!$B226:$AG226)+COUNTIF(업무일지!$B226:$AG226,"?*")=0,"",TRIM(IF(업무일지!$B226="","시작일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","")&amp;IF(AND(업무일지!$F226="",업무일지!$G226=""),"사건번호·업무명 모두 없음; ","")&amp;IF(업무일지!$I226="","담당자 없음; ","")&amp;IF(COUNTIF(코드설정!$F$5:$F$7,업무일지!$AF226)=0,"진행상태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"&amp;업무일지!$G227)</f>
        <v/>
      </c>
      <c r="D259" s="45">
        <f>IF(COUNT(업무일지!$B227:$AG227)+COUNTIF(업무일지!$B227:$AG227,"?*")=0,"",TRIM(IF(업무일지!$B227="","시작일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","")&amp;IF(AND(업무일지!$F227="",업무일지!$G227=""),"사건번호·업무명 모두 없음; ","")&amp;IF(업무일지!$I227="","담당자 없음; ","")&amp;IF(COUNTIF(코드설정!$F$5:$F$7,업무일지!$AF227)=0,"진행상태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"&amp;업무일지!$G228)</f>
        <v/>
      </c>
      <c r="D260" s="45">
        <f>IF(COUNT(업무일지!$B228:$AG228)+COUNTIF(업무일지!$B228:$AG228,"?*")=0,"",TRIM(IF(업무일지!$B228="","시작일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","")&amp;IF(AND(업무일지!$F228="",업무일지!$G228=""),"사건번호·업무명 모두 없음; ","")&amp;IF(업무일지!$I228="","담당자 없음; ","")&amp;IF(COUNTIF(코드설정!$F$5:$F$7,업무일지!$AF228)=0,"진행상태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"&amp;업무일지!$G229)</f>
        <v/>
      </c>
      <c r="D261" s="45">
        <f>IF(COUNT(업무일지!$B229:$AG229)+COUNTIF(업무일지!$B229:$AG229,"?*")=0,"",TRIM(IF(업무일지!$B229="","시작일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","")&amp;IF(AND(업무일지!$F229="",업무일지!$G229=""),"사건번호·업무명 모두 없음; ","")&amp;IF(업무일지!$I229="","담당자 없음; ","")&amp;IF(COUNTIF(코드설정!$F$5:$F$7,업무일지!$AF229)=0,"진행상태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"&amp;업무일지!$G230)</f>
        <v/>
      </c>
      <c r="D262" s="45">
        <f>IF(COUNT(업무일지!$B230:$AG230)+COUNTIF(업무일지!$B230:$AG230,"?*")=0,"",TRIM(IF(업무일지!$B230="","시작일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","")&amp;IF(AND(업무일지!$F230="",업무일지!$G230=""),"사건번호·업무명 모두 없음; ","")&amp;IF(업무일지!$I230="","담당자 없음; ","")&amp;IF(COUNTIF(코드설정!$F$5:$F$7,업무일지!$AF230)=0,"진행상태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"&amp;업무일지!$G231)</f>
        <v/>
      </c>
      <c r="D263" s="45">
        <f>IF(COUNT(업무일지!$B231:$AG231)+COUNTIF(업무일지!$B231:$AG231,"?*")=0,"",TRIM(IF(업무일지!$B231="","시작일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","")&amp;IF(AND(업무일지!$F231="",업무일지!$G231=""),"사건번호·업무명 모두 없음; ","")&amp;IF(업무일지!$I231="","담당자 없음; ","")&amp;IF(COUNTIF(코드설정!$F$5:$F$7,업무일지!$AF231)=0,"진행상태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"&amp;업무일지!$G232)</f>
        <v/>
      </c>
      <c r="D264" s="45">
        <f>IF(COUNT(업무일지!$B232:$AG232)+COUNTIF(업무일지!$B232:$AG232,"?*")=0,"",TRIM(IF(업무일지!$B232="","시작일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","")&amp;IF(AND(업무일지!$F232="",업무일지!$G232=""),"사건번호·업무명 모두 없음; ","")&amp;IF(업무일지!$I232="","담당자 없음; ","")&amp;IF(COUNTIF(코드설정!$F$5:$F$7,업무일지!$AF232)=0,"진행상태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"&amp;업무일지!$G233)</f>
        <v/>
      </c>
      <c r="D265" s="45">
        <f>IF(COUNT(업무일지!$B233:$AG233)+COUNTIF(업무일지!$B233:$AG233,"?*")=0,"",TRIM(IF(업무일지!$B233="","시작일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","")&amp;IF(AND(업무일지!$F233="",업무일지!$G233=""),"사건번호·업무명 모두 없음; ","")&amp;IF(업무일지!$I233="","담당자 없음; ","")&amp;IF(COUNTIF(코드설정!$F$5:$F$7,업무일지!$AF233)=0,"진행상태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"&amp;업무일지!$G234)</f>
        <v/>
      </c>
      <c r="D266" s="45">
        <f>IF(COUNT(업무일지!$B234:$AG234)+COUNTIF(업무일지!$B234:$AG234,"?*")=0,"",TRIM(IF(업무일지!$B234="","시작일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","")&amp;IF(AND(업무일지!$F234="",업무일지!$G234=""),"사건번호·업무명 모두 없음; ","")&amp;IF(업무일지!$I234="","담당자 없음; ","")&amp;IF(COUNTIF(코드설정!$F$5:$F$7,업무일지!$AF234)=0,"진행상태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"&amp;업무일지!$G235)</f>
        <v/>
      </c>
      <c r="D267" s="45">
        <f>IF(COUNT(업무일지!$B235:$AG235)+COUNTIF(업무일지!$B235:$AG235,"?*")=0,"",TRIM(IF(업무일지!$B235="","시작일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","")&amp;IF(AND(업무일지!$F235="",업무일지!$G235=""),"사건번호·업무명 모두 없음; ","")&amp;IF(업무일지!$I235="","담당자 없음; ","")&amp;IF(COUNTIF(코드설정!$F$5:$F$7,업무일지!$AF235)=0,"진행상태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"&amp;업무일지!$G236)</f>
        <v/>
      </c>
      <c r="D268" s="45">
        <f>IF(COUNT(업무일지!$B236:$AG236)+COUNTIF(업무일지!$B236:$AG236,"?*")=0,"",TRIM(IF(업무일지!$B236="","시작일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","")&amp;IF(AND(업무일지!$F236="",업무일지!$G236=""),"사건번호·업무명 모두 없음; ","")&amp;IF(업무일지!$I236="","담당자 없음; ","")&amp;IF(COUNTIF(코드설정!$F$5:$F$7,업무일지!$AF236)=0,"진행상태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"&amp;업무일지!$G237)</f>
        <v/>
      </c>
      <c r="D269" s="45">
        <f>IF(COUNT(업무일지!$B237:$AG237)+COUNTIF(업무일지!$B237:$AG237,"?*")=0,"",TRIM(IF(업무일지!$B237="","시작일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","")&amp;IF(AND(업무일지!$F237="",업무일지!$G237=""),"사건번호·업무명 모두 없음; ","")&amp;IF(업무일지!$I237="","담당자 없음; ","")&amp;IF(COUNTIF(코드설정!$F$5:$F$7,업무일지!$AF237)=0,"진행상태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"&amp;업무일지!$G238)</f>
        <v/>
      </c>
      <c r="D270" s="45">
        <f>IF(COUNT(업무일지!$B238:$AG238)+COUNTIF(업무일지!$B238:$AG238,"?*")=0,"",TRIM(IF(업무일지!$B238="","시작일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","")&amp;IF(AND(업무일지!$F238="",업무일지!$G238=""),"사건번호·업무명 모두 없음; ","")&amp;IF(업무일지!$I238="","담당자 없음; ","")&amp;IF(COUNTIF(코드설정!$F$5:$F$7,업무일지!$AF238)=0,"진행상태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"&amp;업무일지!$G239)</f>
        <v/>
      </c>
      <c r="D271" s="45">
        <f>IF(COUNT(업무일지!$B239:$AG239)+COUNTIF(업무일지!$B239:$AG239,"?*")=0,"",TRIM(IF(업무일지!$B239="","시작일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","")&amp;IF(AND(업무일지!$F239="",업무일지!$G239=""),"사건번호·업무명 모두 없음; ","")&amp;IF(업무일지!$I239="","담당자 없음; ","")&amp;IF(COUNTIF(코드설정!$F$5:$F$7,업무일지!$AF239)=0,"진행상태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"&amp;업무일지!$G240)</f>
        <v/>
      </c>
      <c r="D272" s="45">
        <f>IF(COUNT(업무일지!$B240:$AG240)+COUNTIF(업무일지!$B240:$AG240,"?*")=0,"",TRIM(IF(업무일지!$B240="","시작일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","")&amp;IF(AND(업무일지!$F240="",업무일지!$G240=""),"사건번호·업무명 모두 없음; ","")&amp;IF(업무일지!$I240="","담당자 없음; ","")&amp;IF(COUNTIF(코드설정!$F$5:$F$7,업무일지!$AF240)=0,"진행상태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"&amp;업무일지!$G241)</f>
        <v/>
      </c>
      <c r="D273" s="45">
        <f>IF(COUNT(업무일지!$B241:$AG241)+COUNTIF(업무일지!$B241:$AG241,"?*")=0,"",TRIM(IF(업무일지!$B241="","시작일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","")&amp;IF(AND(업무일지!$F241="",업무일지!$G241=""),"사건번호·업무명 모두 없음; ","")&amp;IF(업무일지!$I241="","담당자 없음; ","")&amp;IF(COUNTIF(코드설정!$F$5:$F$7,업무일지!$AF241)=0,"진행상태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"&amp;업무일지!$G242)</f>
        <v/>
      </c>
      <c r="D274" s="45">
        <f>IF(COUNT(업무일지!$B242:$AG242)+COUNTIF(업무일지!$B242:$AG242,"?*")=0,"",TRIM(IF(업무일지!$B242="","시작일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","")&amp;IF(AND(업무일지!$F242="",업무일지!$G242=""),"사건번호·업무명 모두 없음; ","")&amp;IF(업무일지!$I242="","담당자 없음; ","")&amp;IF(COUNTIF(코드설정!$F$5:$F$7,업무일지!$AF242)=0,"진행상태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"&amp;업무일지!$G243)</f>
        <v/>
      </c>
      <c r="D275" s="45">
        <f>IF(COUNT(업무일지!$B243:$AG243)+COUNTIF(업무일지!$B243:$AG243,"?*")=0,"",TRIM(IF(업무일지!$B243="","시작일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","")&amp;IF(AND(업무일지!$F243="",업무일지!$G243=""),"사건번호·업무명 모두 없음; ","")&amp;IF(업무일지!$I243="","담당자 없음; ","")&amp;IF(COUNTIF(코드설정!$F$5:$F$7,업무일지!$AF243)=0,"진행상태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"&amp;업무일지!$G244)</f>
        <v/>
      </c>
      <c r="D276" s="45">
        <f>IF(COUNT(업무일지!$B244:$AG244)+COUNTIF(업무일지!$B244:$AG244,"?*")=0,"",TRIM(IF(업무일지!$B244="","시작일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","")&amp;IF(AND(업무일지!$F244="",업무일지!$G244=""),"사건번호·업무명 모두 없음; ","")&amp;IF(업무일지!$I244="","담당자 없음; ","")&amp;IF(COUNTIF(코드설정!$F$5:$F$7,업무일지!$AF244)=0,"진행상태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"&amp;업무일지!$G245)</f>
        <v/>
      </c>
      <c r="D277" s="45">
        <f>IF(COUNT(업무일지!$B245:$AG245)+COUNTIF(업무일지!$B245:$AG245,"?*")=0,"",TRIM(IF(업무일지!$B245="","시작일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","")&amp;IF(AND(업무일지!$F245="",업무일지!$G245=""),"사건번호·업무명 모두 없음; ","")&amp;IF(업무일지!$I245="","담당자 없음; ","")&amp;IF(COUNTIF(코드설정!$F$5:$F$7,업무일지!$AF245)=0,"진행상태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"&amp;업무일지!$G246)</f>
        <v/>
      </c>
      <c r="D278" s="45">
        <f>IF(COUNT(업무일지!$B246:$AG246)+COUNTIF(업무일지!$B246:$AG246,"?*")=0,"",TRIM(IF(업무일지!$B246="","시작일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","")&amp;IF(AND(업무일지!$F246="",업무일지!$G246=""),"사건번호·업무명 모두 없음; ","")&amp;IF(업무일지!$I246="","담당자 없음; ","")&amp;IF(COUNTIF(코드설정!$F$5:$F$7,업무일지!$AF246)=0,"진행상태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"&amp;업무일지!$G247)</f>
        <v/>
      </c>
      <c r="D279" s="45">
        <f>IF(COUNT(업무일지!$B247:$AG247)+COUNTIF(업무일지!$B247:$AG247,"?*")=0,"",TRIM(IF(업무일지!$B247="","시작일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","")&amp;IF(AND(업무일지!$F247="",업무일지!$G247=""),"사건번호·업무명 모두 없음; ","")&amp;IF(업무일지!$I247="","담당자 없음; ","")&amp;IF(COUNTIF(코드설정!$F$5:$F$7,업무일지!$AF247)=0,"진행상태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"&amp;업무일지!$G248)</f>
        <v/>
      </c>
      <c r="D280" s="45">
        <f>IF(COUNT(업무일지!$B248:$AG248)+COUNTIF(업무일지!$B248:$AG248,"?*")=0,"",TRIM(IF(업무일지!$B248="","시작일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","")&amp;IF(AND(업무일지!$F248="",업무일지!$G248=""),"사건번호·업무명 모두 없음; ","")&amp;IF(업무일지!$I248="","담당자 없음; ","")&amp;IF(COUNTIF(코드설정!$F$5:$F$7,업무일지!$AF248)=0,"진행상태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"&amp;업무일지!$G249)</f>
        <v/>
      </c>
      <c r="D281" s="45">
        <f>IF(COUNT(업무일지!$B249:$AG249)+COUNTIF(업무일지!$B249:$AG249,"?*")=0,"",TRIM(IF(업무일지!$B249="","시작일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","")&amp;IF(AND(업무일지!$F249="",업무일지!$G249=""),"사건번호·업무명 모두 없음; ","")&amp;IF(업무일지!$I249="","담당자 없음; ","")&amp;IF(COUNTIF(코드설정!$F$5:$F$7,업무일지!$AF249)=0,"진행상태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"&amp;업무일지!$G250)</f>
        <v/>
      </c>
      <c r="D282" s="45">
        <f>IF(COUNT(업무일지!$B250:$AG250)+COUNTIF(업무일지!$B250:$AG250,"?*")=0,"",TRIM(IF(업무일지!$B250="","시작일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","")&amp;IF(AND(업무일지!$F250="",업무일지!$G250=""),"사건번호·업무명 모두 없음; ","")&amp;IF(업무일지!$I250="","담당자 없음; ","")&amp;IF(COUNTIF(코드설정!$F$5:$F$7,업무일지!$AF250)=0,"진행상태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"&amp;업무일지!$G251)</f>
        <v/>
      </c>
      <c r="D283" s="45">
        <f>IF(COUNT(업무일지!$B251:$AG251)+COUNTIF(업무일지!$B251:$AG251,"?*")=0,"",TRIM(IF(업무일지!$B251="","시작일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","")&amp;IF(AND(업무일지!$F251="",업무일지!$G251=""),"사건번호·업무명 모두 없음; ","")&amp;IF(업무일지!$I251="","담당자 없음; ","")&amp;IF(COUNTIF(코드설정!$F$5:$F$7,업무일지!$AF251)=0,"진행상태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"&amp;업무일지!$G252)</f>
        <v/>
      </c>
      <c r="D284" s="45">
        <f>IF(COUNT(업무일지!$B252:$AG252)+COUNTIF(업무일지!$B252:$AG252,"?*")=0,"",TRIM(IF(업무일지!$B252="","시작일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","")&amp;IF(AND(업무일지!$F252="",업무일지!$G252=""),"사건번호·업무명 모두 없음; ","")&amp;IF(업무일지!$I252="","담당자 없음; ","")&amp;IF(COUNTIF(코드설정!$F$5:$F$7,업무일지!$AF252)=0,"진행상태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"&amp;업무일지!$G253)</f>
        <v/>
      </c>
      <c r="D285" s="45">
        <f>IF(COUNT(업무일지!$B253:$AG253)+COUNTIF(업무일지!$B253:$AG253,"?*")=0,"",TRIM(IF(업무일지!$B253="","시작일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","")&amp;IF(AND(업무일지!$F253="",업무일지!$G253=""),"사건번호·업무명 모두 없음; ","")&amp;IF(업무일지!$I253="","담당자 없음; ","")&amp;IF(COUNTIF(코드설정!$F$5:$F$7,업무일지!$AF253)=0,"진행상태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"&amp;업무일지!$G254)</f>
        <v/>
      </c>
      <c r="D286" s="45">
        <f>IF(COUNT(업무일지!$B254:$AG254)+COUNTIF(업무일지!$B254:$AG254,"?*")=0,"",TRIM(IF(업무일지!$B254="","시작일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","")&amp;IF(AND(업무일지!$F254="",업무일지!$G254=""),"사건번호·업무명 모두 없음; ","")&amp;IF(업무일지!$I254="","담당자 없음; ","")&amp;IF(COUNTIF(코드설정!$F$5:$F$7,업무일지!$AF254)=0,"진행상태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"&amp;업무일지!$G255)</f>
        <v/>
      </c>
      <c r="D287" s="45">
        <f>IF(COUNT(업무일지!$B255:$AG255)+COUNTIF(업무일지!$B255:$AG255,"?*")=0,"",TRIM(IF(업무일지!$B255="","시작일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","")&amp;IF(AND(업무일지!$F255="",업무일지!$G255=""),"사건번호·업무명 모두 없음; ","")&amp;IF(업무일지!$I255="","담당자 없음; ","")&amp;IF(COUNTIF(코드설정!$F$5:$F$7,업무일지!$AF255)=0,"진행상태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"&amp;업무일지!$G256)</f>
        <v/>
      </c>
      <c r="D288" s="45">
        <f>IF(COUNT(업무일지!$B256:$AG256)+COUNTIF(업무일지!$B256:$AG256,"?*")=0,"",TRIM(IF(업무일지!$B256="","시작일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","")&amp;IF(AND(업무일지!$F256="",업무일지!$G256=""),"사건번호·업무명 모두 없음; ","")&amp;IF(업무일지!$I256="","담당자 없음; ","")&amp;IF(COUNTIF(코드설정!$F$5:$F$7,업무일지!$AF256)=0,"진행상태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"&amp;업무일지!$G257)</f>
        <v/>
      </c>
      <c r="D289" s="45">
        <f>IF(COUNT(업무일지!$B257:$AG257)+COUNTIF(업무일지!$B257:$AG257,"?*")=0,"",TRIM(IF(업무일지!$B257="","시작일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","")&amp;IF(AND(업무일지!$F257="",업무일지!$G257=""),"사건번호·업무명 모두 없음; ","")&amp;IF(업무일지!$I257="","담당자 없음; ","")&amp;IF(COUNTIF(코드설정!$F$5:$F$7,업무일지!$AF257)=0,"진행상태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"&amp;업무일지!$G258)</f>
        <v/>
      </c>
      <c r="D290" s="45">
        <f>IF(COUNT(업무일지!$B258:$AG258)+COUNTIF(업무일지!$B258:$AG258,"?*")=0,"",TRIM(IF(업무일지!$B258="","시작일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","")&amp;IF(AND(업무일지!$F258="",업무일지!$G258=""),"사건번호·업무명 모두 없음; ","")&amp;IF(업무일지!$I258="","담당자 없음; ","")&amp;IF(COUNTIF(코드설정!$F$5:$F$7,업무일지!$AF258)=0,"진행상태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"&amp;업무일지!$G259)</f>
        <v/>
      </c>
      <c r="D291" s="45">
        <f>IF(COUNT(업무일지!$B259:$AG259)+COUNTIF(업무일지!$B259:$AG259,"?*")=0,"",TRIM(IF(업무일지!$B259="","시작일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","")&amp;IF(AND(업무일지!$F259="",업무일지!$G259=""),"사건번호·업무명 모두 없음; ","")&amp;IF(업무일지!$I259="","담당자 없음; ","")&amp;IF(COUNTIF(코드설정!$F$5:$F$7,업무일지!$AF259)=0,"진행상태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"&amp;업무일지!$G260)</f>
        <v/>
      </c>
      <c r="D292" s="45">
        <f>IF(COUNT(업무일지!$B260:$AG260)+COUNTIF(업무일지!$B260:$AG260,"?*")=0,"",TRIM(IF(업무일지!$B260="","시작일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","")&amp;IF(AND(업무일지!$F260="",업무일지!$G260=""),"사건번호·업무명 모두 없음; ","")&amp;IF(업무일지!$I260="","담당자 없음; ","")&amp;IF(COUNTIF(코드설정!$F$5:$F$7,업무일지!$AF260)=0,"진행상태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"&amp;업무일지!$G261)</f>
        <v/>
      </c>
      <c r="D293" s="45">
        <f>IF(COUNT(업무일지!$B261:$AG261)+COUNTIF(업무일지!$B261:$AG261,"?*")=0,"",TRIM(IF(업무일지!$B261="","시작일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","")&amp;IF(AND(업무일지!$F261="",업무일지!$G261=""),"사건번호·업무명 모두 없음; ","")&amp;IF(업무일지!$I261="","담당자 없음; ","")&amp;IF(COUNTIF(코드설정!$F$5:$F$7,업무일지!$AF261)=0,"진행상태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"&amp;업무일지!$G262)</f>
        <v/>
      </c>
      <c r="D294" s="45">
        <f>IF(COUNT(업무일지!$B262:$AG262)+COUNTIF(업무일지!$B262:$AG262,"?*")=0,"",TRIM(IF(업무일지!$B262="","시작일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","")&amp;IF(AND(업무일지!$F262="",업무일지!$G262=""),"사건번호·업무명 모두 없음; ","")&amp;IF(업무일지!$I262="","담당자 없음; ","")&amp;IF(COUNTIF(코드설정!$F$5:$F$7,업무일지!$AF262)=0,"진행상태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"&amp;업무일지!$G263)</f>
        <v/>
      </c>
      <c r="D295" s="45">
        <f>IF(COUNT(업무일지!$B263:$AG263)+COUNTIF(업무일지!$B263:$AG263,"?*")=0,"",TRIM(IF(업무일지!$B263="","시작일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","")&amp;IF(AND(업무일지!$F263="",업무일지!$G263=""),"사건번호·업무명 모두 없음; ","")&amp;IF(업무일지!$I263="","담당자 없음; ","")&amp;IF(COUNTIF(코드설정!$F$5:$F$7,업무일지!$AF263)=0,"진행상태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"&amp;업무일지!$G264)</f>
        <v/>
      </c>
      <c r="D296" s="45">
        <f>IF(COUNT(업무일지!$B264:$AG264)+COUNTIF(업무일지!$B264:$AG264,"?*")=0,"",TRIM(IF(업무일지!$B264="","시작일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","")&amp;IF(AND(업무일지!$F264="",업무일지!$G264=""),"사건번호·업무명 모두 없음; ","")&amp;IF(업무일지!$I264="","담당자 없음; ","")&amp;IF(COUNTIF(코드설정!$F$5:$F$7,업무일지!$AF264)=0,"진행상태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"&amp;업무일지!$G265)</f>
        <v/>
      </c>
      <c r="D297" s="45">
        <f>IF(COUNT(업무일지!$B265:$AG265)+COUNTIF(업무일지!$B265:$AG265,"?*")=0,"",TRIM(IF(업무일지!$B265="","시작일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","")&amp;IF(AND(업무일지!$F265="",업무일지!$G265=""),"사건번호·업무명 모두 없음; ","")&amp;IF(업무일지!$I265="","담당자 없음; ","")&amp;IF(COUNTIF(코드설정!$F$5:$F$7,업무일지!$AF265)=0,"진행상태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"&amp;업무일지!$G266)</f>
        <v/>
      </c>
      <c r="D298" s="45">
        <f>IF(COUNT(업무일지!$B266:$AG266)+COUNTIF(업무일지!$B266:$AG266,"?*")=0,"",TRIM(IF(업무일지!$B266="","시작일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","")&amp;IF(AND(업무일지!$F266="",업무일지!$G266=""),"사건번호·업무명 모두 없음; ","")&amp;IF(업무일지!$I266="","담당자 없음; ","")&amp;IF(COUNTIF(코드설정!$F$5:$F$7,업무일지!$AF266)=0,"진행상태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"&amp;업무일지!$G267)</f>
        <v/>
      </c>
      <c r="D299" s="45">
        <f>IF(COUNT(업무일지!$B267:$AG267)+COUNTIF(업무일지!$B267:$AG267,"?*")=0,"",TRIM(IF(업무일지!$B267="","시작일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","")&amp;IF(AND(업무일지!$F267="",업무일지!$G267=""),"사건번호·업무명 모두 없음; ","")&amp;IF(업무일지!$I267="","담당자 없음; ","")&amp;IF(COUNTIF(코드설정!$F$5:$F$7,업무일지!$AF267)=0,"진행상태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"&amp;업무일지!$G268)</f>
        <v/>
      </c>
      <c r="D300" s="45">
        <f>IF(COUNT(업무일지!$B268:$AG268)+COUNTIF(업무일지!$B268:$AG268,"?*")=0,"",TRIM(IF(업무일지!$B268="","시작일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","")&amp;IF(AND(업무일지!$F268="",업무일지!$G268=""),"사건번호·업무명 모두 없음; ","")&amp;IF(업무일지!$I268="","담당자 없음; ","")&amp;IF(COUNTIF(코드설정!$F$5:$F$7,업무일지!$AF268)=0,"진행상태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"&amp;업무일지!$G269)</f>
        <v/>
      </c>
      <c r="D301" s="45">
        <f>IF(COUNT(업무일지!$B269:$AG269)+COUNTIF(업무일지!$B269:$AG269,"?*")=0,"",TRIM(IF(업무일지!$B269="","시작일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","")&amp;IF(AND(업무일지!$F269="",업무일지!$G269=""),"사건번호·업무명 모두 없음; ","")&amp;IF(업무일지!$I269="","담당자 없음; ","")&amp;IF(COUNTIF(코드설정!$F$5:$F$7,업무일지!$AF269)=0,"진행상태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"&amp;업무일지!$G270)</f>
        <v/>
      </c>
      <c r="D302" s="45">
        <f>IF(COUNT(업무일지!$B270:$AG270)+COUNTIF(업무일지!$B270:$AG270,"?*")=0,"",TRIM(IF(업무일지!$B270="","시작일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","")&amp;IF(AND(업무일지!$F270="",업무일지!$G270=""),"사건번호·업무명 모두 없음; ","")&amp;IF(업무일지!$I270="","담당자 없음; ","")&amp;IF(COUNTIF(코드설정!$F$5:$F$7,업무일지!$AF270)=0,"진행상태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"&amp;업무일지!$G271)</f>
        <v/>
      </c>
      <c r="D303" s="45">
        <f>IF(COUNT(업무일지!$B271:$AG271)+COUNTIF(업무일지!$B271:$AG271,"?*")=0,"",TRIM(IF(업무일지!$B271="","시작일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","")&amp;IF(AND(업무일지!$F271="",업무일지!$G271=""),"사건번호·업무명 모두 없음; ","")&amp;IF(업무일지!$I271="","담당자 없음; ","")&amp;IF(COUNTIF(코드설정!$F$5:$F$7,업무일지!$AF271)=0,"진행상태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"&amp;업무일지!$G272)</f>
        <v/>
      </c>
      <c r="D304" s="45">
        <f>IF(COUNT(업무일지!$B272:$AG272)+COUNTIF(업무일지!$B272:$AG272,"?*")=0,"",TRIM(IF(업무일지!$B272="","시작일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","")&amp;IF(AND(업무일지!$F272="",업무일지!$G272=""),"사건번호·업무명 모두 없음; ","")&amp;IF(업무일지!$I272="","담당자 없음; ","")&amp;IF(COUNTIF(코드설정!$F$5:$F$7,업무일지!$AF272)=0,"진행상태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"&amp;업무일지!$G273)</f>
        <v/>
      </c>
      <c r="D305" s="45">
        <f>IF(COUNT(업무일지!$B273:$AG273)+COUNTIF(업무일지!$B273:$AG273,"?*")=0,"",TRIM(IF(업무일지!$B273="","시작일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","")&amp;IF(AND(업무일지!$F273="",업무일지!$G273=""),"사건번호·업무명 모두 없음; ","")&amp;IF(업무일지!$I273="","담당자 없음; ","")&amp;IF(COUNTIF(코드설정!$F$5:$F$7,업무일지!$AF273)=0,"진행상태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"&amp;업무일지!$G274)</f>
        <v/>
      </c>
      <c r="D306" s="45">
        <f>IF(COUNT(업무일지!$B274:$AG274)+COUNTIF(업무일지!$B274:$AG274,"?*")=0,"",TRIM(IF(업무일지!$B274="","시작일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","")&amp;IF(AND(업무일지!$F274="",업무일지!$G274=""),"사건번호·업무명 모두 없음; ","")&amp;IF(업무일지!$I274="","담당자 없음; ","")&amp;IF(COUNTIF(코드설정!$F$5:$F$7,업무일지!$AF274)=0,"진행상태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"&amp;업무일지!$G275)</f>
        <v/>
      </c>
      <c r="D307" s="45">
        <f>IF(COUNT(업무일지!$B275:$AG275)+COUNTIF(업무일지!$B275:$AG275,"?*")=0,"",TRIM(IF(업무일지!$B275="","시작일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","")&amp;IF(AND(업무일지!$F275="",업무일지!$G275=""),"사건번호·업무명 모두 없음; ","")&amp;IF(업무일지!$I275="","담당자 없음; ","")&amp;IF(COUNTIF(코드설정!$F$5:$F$7,업무일지!$AF275)=0,"진행상태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"&amp;업무일지!$G276)</f>
        <v/>
      </c>
      <c r="D308" s="45">
        <f>IF(COUNT(업무일지!$B276:$AG276)+COUNTIF(업무일지!$B276:$AG276,"?*")=0,"",TRIM(IF(업무일지!$B276="","시작일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","")&amp;IF(AND(업무일지!$F276="",업무일지!$G276=""),"사건번호·업무명 모두 없음; ","")&amp;IF(업무일지!$I276="","담당자 없음; ","")&amp;IF(COUNTIF(코드설정!$F$5:$F$7,업무일지!$AF276)=0,"진행상태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"&amp;업무일지!$G277)</f>
        <v/>
      </c>
      <c r="D309" s="45">
        <f>IF(COUNT(업무일지!$B277:$AG277)+COUNTIF(업무일지!$B277:$AG277,"?*")=0,"",TRIM(IF(업무일지!$B277="","시작일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","")&amp;IF(AND(업무일지!$F277="",업무일지!$G277=""),"사건번호·업무명 모두 없음; ","")&amp;IF(업무일지!$I277="","담당자 없음; ","")&amp;IF(COUNTIF(코드설정!$F$5:$F$7,업무일지!$AF277)=0,"진행상태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"&amp;업무일지!$G278)</f>
        <v/>
      </c>
      <c r="D310" s="45">
        <f>IF(COUNT(업무일지!$B278:$AG278)+COUNTIF(업무일지!$B278:$AG278,"?*")=0,"",TRIM(IF(업무일지!$B278="","시작일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","")&amp;IF(AND(업무일지!$F278="",업무일지!$G278=""),"사건번호·업무명 모두 없음; ","")&amp;IF(업무일지!$I278="","담당자 없음; ","")&amp;IF(COUNTIF(코드설정!$F$5:$F$7,업무일지!$AF278)=0,"진행상태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"&amp;업무일지!$G279)</f>
        <v/>
      </c>
      <c r="D311" s="45">
        <f>IF(COUNT(업무일지!$B279:$AG279)+COUNTIF(업무일지!$B279:$AG279,"?*")=0,"",TRIM(IF(업무일지!$B279="","시작일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","")&amp;IF(AND(업무일지!$F279="",업무일지!$G279=""),"사건번호·업무명 모두 없음; ","")&amp;IF(업무일지!$I279="","담당자 없음; ","")&amp;IF(COUNTIF(코드설정!$F$5:$F$7,업무일지!$AF279)=0,"진행상태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"&amp;업무일지!$G280)</f>
        <v/>
      </c>
      <c r="D312" s="45">
        <f>IF(COUNT(업무일지!$B280:$AG280)+COUNTIF(업무일지!$B280:$AG280,"?*")=0,"",TRIM(IF(업무일지!$B280="","시작일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","")&amp;IF(AND(업무일지!$F280="",업무일지!$G280=""),"사건번호·업무명 모두 없음; ","")&amp;IF(업무일지!$I280="","담당자 없음; ","")&amp;IF(COUNTIF(코드설정!$F$5:$F$7,업무일지!$AF280)=0,"진행상태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"&amp;업무일지!$G281)</f>
        <v/>
      </c>
      <c r="D313" s="45">
        <f>IF(COUNT(업무일지!$B281:$AG281)+COUNTIF(업무일지!$B281:$AG281,"?*")=0,"",TRIM(IF(업무일지!$B281="","시작일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","")&amp;IF(AND(업무일지!$F281="",업무일지!$G281=""),"사건번호·업무명 모두 없음; ","")&amp;IF(업무일지!$I281="","담당자 없음; ","")&amp;IF(COUNTIF(코드설정!$F$5:$F$7,업무일지!$AF281)=0,"진행상태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"&amp;업무일지!$G282)</f>
        <v/>
      </c>
      <c r="D314" s="45">
        <f>IF(COUNT(업무일지!$B282:$AG282)+COUNTIF(업무일지!$B282:$AG282,"?*")=0,"",TRIM(IF(업무일지!$B282="","시작일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","")&amp;IF(AND(업무일지!$F282="",업무일지!$G282=""),"사건번호·업무명 모두 없음; ","")&amp;IF(업무일지!$I282="","담당자 없음; ","")&amp;IF(COUNTIF(코드설정!$F$5:$F$7,업무일지!$AF282)=0,"진행상태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"&amp;업무일지!$G283)</f>
        <v/>
      </c>
      <c r="D315" s="45">
        <f>IF(COUNT(업무일지!$B283:$AG283)+COUNTIF(업무일지!$B283:$AG283,"?*")=0,"",TRIM(IF(업무일지!$B283="","시작일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","")&amp;IF(AND(업무일지!$F283="",업무일지!$G283=""),"사건번호·업무명 모두 없음; ","")&amp;IF(업무일지!$I283="","담당자 없음; ","")&amp;IF(COUNTIF(코드설정!$F$5:$F$7,업무일지!$AF283)=0,"진행상태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"&amp;업무일지!$G284)</f>
        <v/>
      </c>
      <c r="D316" s="45">
        <f>IF(COUNT(업무일지!$B284:$AG284)+COUNTIF(업무일지!$B284:$AG284,"?*")=0,"",TRIM(IF(업무일지!$B284="","시작일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","")&amp;IF(AND(업무일지!$F284="",업무일지!$G284=""),"사건번호·업무명 모두 없음; ","")&amp;IF(업무일지!$I284="","담당자 없음; ","")&amp;IF(COUNTIF(코드설정!$F$5:$F$7,업무일지!$AF284)=0,"진행상태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"&amp;업무일지!$G285)</f>
        <v/>
      </c>
      <c r="D317" s="45">
        <f>IF(COUNT(업무일지!$B285:$AG285)+COUNTIF(업무일지!$B285:$AG285,"?*")=0,"",TRIM(IF(업무일지!$B285="","시작일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","")&amp;IF(AND(업무일지!$F285="",업무일지!$G285=""),"사건번호·업무명 모두 없음; ","")&amp;IF(업무일지!$I285="","담당자 없음; ","")&amp;IF(COUNTIF(코드설정!$F$5:$F$7,업무일지!$AF285)=0,"진행상태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"&amp;업무일지!$G286)</f>
        <v/>
      </c>
      <c r="D318" s="45">
        <f>IF(COUNT(업무일지!$B286:$AG286)+COUNTIF(업무일지!$B286:$AG286,"?*")=0,"",TRIM(IF(업무일지!$B286="","시작일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","")&amp;IF(AND(업무일지!$F286="",업무일지!$G286=""),"사건번호·업무명 모두 없음; ","")&amp;IF(업무일지!$I286="","담당자 없음; ","")&amp;IF(COUNTIF(코드설정!$F$5:$F$7,업무일지!$AF286)=0,"진행상태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"&amp;업무일지!$G287)</f>
        <v/>
      </c>
      <c r="D319" s="45">
        <f>IF(COUNT(업무일지!$B287:$AG287)+COUNTIF(업무일지!$B287:$AG287,"?*")=0,"",TRIM(IF(업무일지!$B287="","시작일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","")&amp;IF(AND(업무일지!$F287="",업무일지!$G287=""),"사건번호·업무명 모두 없음; ","")&amp;IF(업무일지!$I287="","담당자 없음; ","")&amp;IF(COUNTIF(코드설정!$F$5:$F$7,업무일지!$AF287)=0,"진행상태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"&amp;업무일지!$G288)</f>
        <v/>
      </c>
      <c r="D320" s="45">
        <f>IF(COUNT(업무일지!$B288:$AG288)+COUNTIF(업무일지!$B288:$AG288,"?*")=0,"",TRIM(IF(업무일지!$B288="","시작일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","")&amp;IF(AND(업무일지!$F288="",업무일지!$G288=""),"사건번호·업무명 모두 없음; ","")&amp;IF(업무일지!$I288="","담당자 없음; ","")&amp;IF(COUNTIF(코드설정!$F$5:$F$7,업무일지!$AF288)=0,"진행상태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"&amp;업무일지!$G289)</f>
        <v/>
      </c>
      <c r="D321" s="45">
        <f>IF(COUNT(업무일지!$B289:$AG289)+COUNTIF(업무일지!$B289:$AG289,"?*")=0,"",TRIM(IF(업무일지!$B289="","시작일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","")&amp;IF(AND(업무일지!$F289="",업무일지!$G289=""),"사건번호·업무명 모두 없음; ","")&amp;IF(업무일지!$I289="","담당자 없음; ","")&amp;IF(COUNTIF(코드설정!$F$5:$F$7,업무일지!$AF289)=0,"진행상태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"&amp;업무일지!$G290)</f>
        <v/>
      </c>
      <c r="D322" s="45">
        <f>IF(COUNT(업무일지!$B290:$AG290)+COUNTIF(업무일지!$B290:$AG290,"?*")=0,"",TRIM(IF(업무일지!$B290="","시작일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","")&amp;IF(AND(업무일지!$F290="",업무일지!$G290=""),"사건번호·업무명 모두 없음; ","")&amp;IF(업무일지!$I290="","담당자 없음; ","")&amp;IF(COUNTIF(코드설정!$F$5:$F$7,업무일지!$AF290)=0,"진행상태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"&amp;업무일지!$G291)</f>
        <v/>
      </c>
      <c r="D323" s="45">
        <f>IF(COUNT(업무일지!$B291:$AG291)+COUNTIF(업무일지!$B291:$AG291,"?*")=0,"",TRIM(IF(업무일지!$B291="","시작일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","")&amp;IF(AND(업무일지!$F291="",업무일지!$G291=""),"사건번호·업무명 모두 없음; ","")&amp;IF(업무일지!$I291="","담당자 없음; ","")&amp;IF(COUNTIF(코드설정!$F$5:$F$7,업무일지!$AF291)=0,"진행상태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"&amp;업무일지!$G292)</f>
        <v/>
      </c>
      <c r="D324" s="45">
        <f>IF(COUNT(업무일지!$B292:$AG292)+COUNTIF(업무일지!$B292:$AG292,"?*")=0,"",TRIM(IF(업무일지!$B292="","시작일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","")&amp;IF(AND(업무일지!$F292="",업무일지!$G292=""),"사건번호·업무명 모두 없음; ","")&amp;IF(업무일지!$I292="","담당자 없음; ","")&amp;IF(COUNTIF(코드설정!$F$5:$F$7,업무일지!$AF292)=0,"진행상태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"&amp;업무일지!$G293)</f>
        <v/>
      </c>
      <c r="D325" s="45">
        <f>IF(COUNT(업무일지!$B293:$AG293)+COUNTIF(업무일지!$B293:$AG293,"?*")=0,"",TRIM(IF(업무일지!$B293="","시작일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","")&amp;IF(AND(업무일지!$F293="",업무일지!$G293=""),"사건번호·업무명 모두 없음; ","")&amp;IF(업무일지!$I293="","담당자 없음; ","")&amp;IF(COUNTIF(코드설정!$F$5:$F$7,업무일지!$AF293)=0,"진행상태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"&amp;업무일지!$G294)</f>
        <v/>
      </c>
      <c r="D326" s="45">
        <f>IF(COUNT(업무일지!$B294:$AG294)+COUNTIF(업무일지!$B294:$AG294,"?*")=0,"",TRIM(IF(업무일지!$B294="","시작일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","")&amp;IF(AND(업무일지!$F294="",업무일지!$G294=""),"사건번호·업무명 모두 없음; ","")&amp;IF(업무일지!$I294="","담당자 없음; ","")&amp;IF(COUNTIF(코드설정!$F$5:$F$7,업무일지!$AF294)=0,"진행상태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"&amp;업무일지!$G295)</f>
        <v/>
      </c>
      <c r="D327" s="45">
        <f>IF(COUNT(업무일지!$B295:$AG295)+COUNTIF(업무일지!$B295:$AG295,"?*")=0,"",TRIM(IF(업무일지!$B295="","시작일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","")&amp;IF(AND(업무일지!$F295="",업무일지!$G295=""),"사건번호·업무명 모두 없음; ","")&amp;IF(업무일지!$I295="","담당자 없음; ","")&amp;IF(COUNTIF(코드설정!$F$5:$F$7,업무일지!$AF295)=0,"진행상태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"&amp;업무일지!$G296)</f>
        <v/>
      </c>
      <c r="D328" s="45">
        <f>IF(COUNT(업무일지!$B296:$AG296)+COUNTIF(업무일지!$B296:$AG296,"?*")=0,"",TRIM(IF(업무일지!$B296="","시작일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","")&amp;IF(AND(업무일지!$F296="",업무일지!$G296=""),"사건번호·업무명 모두 없음; ","")&amp;IF(업무일지!$I296="","담당자 없음; ","")&amp;IF(COUNTIF(코드설정!$F$5:$F$7,업무일지!$AF296)=0,"진행상태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"&amp;업무일지!$G297)</f>
        <v/>
      </c>
      <c r="D329" s="45">
        <f>IF(COUNT(업무일지!$B297:$AG297)+COUNTIF(업무일지!$B297:$AG297,"?*")=0,"",TRIM(IF(업무일지!$B297="","시작일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","")&amp;IF(AND(업무일지!$F297="",업무일지!$G297=""),"사건번호·업무명 모두 없음; ","")&amp;IF(업무일지!$I297="","담당자 없음; ","")&amp;IF(COUNTIF(코드설정!$F$5:$F$7,업무일지!$AF297)=0,"진행상태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"&amp;업무일지!$G298)</f>
        <v/>
      </c>
      <c r="D330" s="45">
        <f>IF(COUNT(업무일지!$B298:$AG298)+COUNTIF(업무일지!$B298:$AG298,"?*")=0,"",TRIM(IF(업무일지!$B298="","시작일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","")&amp;IF(AND(업무일지!$F298="",업무일지!$G298=""),"사건번호·업무명 모두 없음; ","")&amp;IF(업무일지!$I298="","담당자 없음; ","")&amp;IF(COUNTIF(코드설정!$F$5:$F$7,업무일지!$AF298)=0,"진행상태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"&amp;업무일지!$G299)</f>
        <v/>
      </c>
      <c r="D331" s="45">
        <f>IF(COUNT(업무일지!$B299:$AG299)+COUNTIF(업무일지!$B299:$AG299,"?*")=0,"",TRIM(IF(업무일지!$B299="","시작일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","")&amp;IF(AND(업무일지!$F299="",업무일지!$G299=""),"사건번호·업무명 모두 없음; ","")&amp;IF(업무일지!$I299="","담당자 없음; ","")&amp;IF(COUNTIF(코드설정!$F$5:$F$7,업무일지!$AF299)=0,"진행상태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"&amp;업무일지!$G300)</f>
        <v/>
      </c>
      <c r="D332" s="45">
        <f>IF(COUNT(업무일지!$B300:$AG300)+COUNTIF(업무일지!$B300:$AG300,"?*")=0,"",TRIM(IF(업무일지!$B300="","시작일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","")&amp;IF(AND(업무일지!$F300="",업무일지!$G300=""),"사건번호·업무명 모두 없음; ","")&amp;IF(업무일지!$I300="","담당자 없음; ","")&amp;IF(COUNTIF(코드설정!$F$5:$F$7,업무일지!$AF300)=0,"진행상태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"&amp;업무일지!$G301)</f>
        <v/>
      </c>
      <c r="D333" s="45">
        <f>IF(COUNT(업무일지!$B301:$AG301)+COUNTIF(업무일지!$B301:$AG301,"?*")=0,"",TRIM(IF(업무일지!$B301="","시작일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","")&amp;IF(AND(업무일지!$F301="",업무일지!$G301=""),"사건번호·업무명 모두 없음; ","")&amp;IF(업무일지!$I301="","담당자 없음; ","")&amp;IF(COUNTIF(코드설정!$F$5:$F$7,업무일지!$AF301)=0,"진행상태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"&amp;업무일지!$G302)</f>
        <v/>
      </c>
      <c r="D334" s="45">
        <f>IF(COUNT(업무일지!$B302:$AG302)+COUNTIF(업무일지!$B302:$AG302,"?*")=0,"",TRIM(IF(업무일지!$B302="","시작일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","")&amp;IF(AND(업무일지!$F302="",업무일지!$G302=""),"사건번호·업무명 모두 없음; ","")&amp;IF(업무일지!$I302="","담당자 없음; ","")&amp;IF(COUNTIF(코드설정!$F$5:$F$7,업무일지!$AF302)=0,"진행상태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"&amp;업무일지!$G303)</f>
        <v/>
      </c>
      <c r="D335" s="45">
        <f>IF(COUNT(업무일지!$B303:$AG303)+COUNTIF(업무일지!$B303:$AG303,"?*")=0,"",TRIM(IF(업무일지!$B303="","시작일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","")&amp;IF(AND(업무일지!$F303="",업무일지!$G303=""),"사건번호·업무명 모두 없음; ","")&amp;IF(업무일지!$I303="","담당자 없음; ","")&amp;IF(COUNTIF(코드설정!$F$5:$F$7,업무일지!$AF303)=0,"진행상태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"&amp;업무일지!$G304)</f>
        <v/>
      </c>
      <c r="D336" s="45">
        <f>IF(COUNT(업무일지!$B304:$AG304)+COUNTIF(업무일지!$B304:$AG304,"?*")=0,"",TRIM(IF(업무일지!$B304="","시작일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","")&amp;IF(AND(업무일지!$F304="",업무일지!$G304=""),"사건번호·업무명 모두 없음; ","")&amp;IF(업무일지!$I304="","담당자 없음; ","")&amp;IF(COUNTIF(코드설정!$F$5:$F$7,업무일지!$AF304)=0,"진행상태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"&amp;업무일지!$G305)</f>
        <v/>
      </c>
      <c r="D337" s="45">
        <f>IF(COUNT(업무일지!$B305:$AG305)+COUNTIF(업무일지!$B305:$AG305,"?*")=0,"",TRIM(IF(업무일지!$B305="","시작일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","")&amp;IF(AND(업무일지!$F305="",업무일지!$G305=""),"사건번호·업무명 모두 없음; ","")&amp;IF(업무일지!$I305="","담당자 없음; ","")&amp;IF(COUNTIF(코드설정!$F$5:$F$7,업무일지!$AF305)=0,"진행상태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"&amp;업무일지!$G306)</f>
        <v/>
      </c>
      <c r="D338" s="45">
        <f>IF(COUNT(업무일지!$B306:$AG306)+COUNTIF(업무일지!$B306:$AG306,"?*")=0,"",TRIM(IF(업무일지!$B306="","시작일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","")&amp;IF(AND(업무일지!$F306="",업무일지!$G306=""),"사건번호·업무명 모두 없음; ","")&amp;IF(업무일지!$I306="","담당자 없음; ","")&amp;IF(COUNTIF(코드설정!$F$5:$F$7,업무일지!$AF306)=0,"진행상태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"&amp;업무일지!$G307)</f>
        <v/>
      </c>
      <c r="D339" s="45">
        <f>IF(COUNT(업무일지!$B307:$AG307)+COUNTIF(업무일지!$B307:$AG307,"?*")=0,"",TRIM(IF(업무일지!$B307="","시작일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","")&amp;IF(AND(업무일지!$F307="",업무일지!$G307=""),"사건번호·업무명 모두 없음; ","")&amp;IF(업무일지!$I307="","담당자 없음; ","")&amp;IF(COUNTIF(코드설정!$F$5:$F$7,업무일지!$AF307)=0,"진행상태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"&amp;업무일지!$G308)</f>
        <v/>
      </c>
      <c r="D340" s="45">
        <f>IF(COUNT(업무일지!$B308:$AG308)+COUNTIF(업무일지!$B308:$AG308,"?*")=0,"",TRIM(IF(업무일지!$B308="","시작일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","")&amp;IF(AND(업무일지!$F308="",업무일지!$G308=""),"사건번호·업무명 모두 없음; ","")&amp;IF(업무일지!$I308="","담당자 없음; ","")&amp;IF(COUNTIF(코드설정!$F$5:$F$7,업무일지!$AF308)=0,"진행상태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"&amp;업무일지!$G309)</f>
        <v/>
      </c>
      <c r="D341" s="45">
        <f>IF(COUNT(업무일지!$B309:$AG309)+COUNTIF(업무일지!$B309:$AG309,"?*")=0,"",TRIM(IF(업무일지!$B309="","시작일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","")&amp;IF(AND(업무일지!$F309="",업무일지!$G309=""),"사건번호·업무명 모두 없음; ","")&amp;IF(업무일지!$I309="","담당자 없음; ","")&amp;IF(COUNTIF(코드설정!$F$5:$F$7,업무일지!$AF309)=0,"진행상태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"&amp;업무일지!$G310)</f>
        <v/>
      </c>
      <c r="D342" s="45">
        <f>IF(COUNT(업무일지!$B310:$AG310)+COUNTIF(업무일지!$B310:$AG310,"?*")=0,"",TRIM(IF(업무일지!$B310="","시작일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","")&amp;IF(AND(업무일지!$F310="",업무일지!$G310=""),"사건번호·업무명 모두 없음; ","")&amp;IF(업무일지!$I310="","담당자 없음; ","")&amp;IF(COUNTIF(코드설정!$F$5:$F$7,업무일지!$AF310)=0,"진행상태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"&amp;업무일지!$G311)</f>
        <v/>
      </c>
      <c r="D343" s="45">
        <f>IF(COUNT(업무일지!$B311:$AG311)+COUNTIF(업무일지!$B311:$AG311,"?*")=0,"",TRIM(IF(업무일지!$B311="","시작일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","")&amp;IF(AND(업무일지!$F311="",업무일지!$G311=""),"사건번호·업무명 모두 없음; ","")&amp;IF(업무일지!$I311="","담당자 없음; ","")&amp;IF(COUNTIF(코드설정!$F$5:$F$7,업무일지!$AF311)=0,"진행상태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"&amp;업무일지!$G312)</f>
        <v/>
      </c>
      <c r="D344" s="45">
        <f>IF(COUNT(업무일지!$B312:$AG312)+COUNTIF(업무일지!$B312:$AG312,"?*")=0,"",TRIM(IF(업무일지!$B312="","시작일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","")&amp;IF(AND(업무일지!$F312="",업무일지!$G312=""),"사건번호·업무명 모두 없음; ","")&amp;IF(업무일지!$I312="","담당자 없음; ","")&amp;IF(COUNTIF(코드설정!$F$5:$F$7,업무일지!$AF312)=0,"진행상태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"&amp;업무일지!$G313)</f>
        <v/>
      </c>
      <c r="D345" s="45">
        <f>IF(COUNT(업무일지!$B313:$AG313)+COUNTIF(업무일지!$B313:$AG313,"?*")=0,"",TRIM(IF(업무일지!$B313="","시작일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","")&amp;IF(AND(업무일지!$F313="",업무일지!$G313=""),"사건번호·업무명 모두 없음; ","")&amp;IF(업무일지!$I313="","담당자 없음; ","")&amp;IF(COUNTIF(코드설정!$F$5:$F$7,업무일지!$AF313)=0,"진행상태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"&amp;업무일지!$G314)</f>
        <v/>
      </c>
      <c r="D346" s="45">
        <f>IF(COUNT(업무일지!$B314:$AG314)+COUNTIF(업무일지!$B314:$AG314,"?*")=0,"",TRIM(IF(업무일지!$B314="","시작일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","")&amp;IF(AND(업무일지!$F314="",업무일지!$G314=""),"사건번호·업무명 모두 없음; ","")&amp;IF(업무일지!$I314="","담당자 없음; ","")&amp;IF(COUNTIF(코드설정!$F$5:$F$7,업무일지!$AF314)=0,"진행상태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"&amp;업무일지!$G315)</f>
        <v/>
      </c>
      <c r="D347" s="45">
        <f>IF(COUNT(업무일지!$B315:$AG315)+COUNTIF(업무일지!$B315:$AG315,"?*")=0,"",TRIM(IF(업무일지!$B315="","시작일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","")&amp;IF(AND(업무일지!$F315="",업무일지!$G315=""),"사건번호·업무명 모두 없음; ","")&amp;IF(업무일지!$I315="","담당자 없음; ","")&amp;IF(COUNTIF(코드설정!$F$5:$F$7,업무일지!$AF315)=0,"진행상태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"&amp;업무일지!$G316)</f>
        <v/>
      </c>
      <c r="D348" s="45">
        <f>IF(COUNT(업무일지!$B316:$AG316)+COUNTIF(업무일지!$B316:$AG316,"?*")=0,"",TRIM(IF(업무일지!$B316="","시작일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","")&amp;IF(AND(업무일지!$F316="",업무일지!$G316=""),"사건번호·업무명 모두 없음; ","")&amp;IF(업무일지!$I316="","담당자 없음; ","")&amp;IF(COUNTIF(코드설정!$F$5:$F$7,업무일지!$AF316)=0,"진행상태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"&amp;업무일지!$G317)</f>
        <v/>
      </c>
      <c r="D349" s="45">
        <f>IF(COUNT(업무일지!$B317:$AG317)+COUNTIF(업무일지!$B317:$AG317,"?*")=0,"",TRIM(IF(업무일지!$B317="","시작일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","")&amp;IF(AND(업무일지!$F317="",업무일지!$G317=""),"사건번호·업무명 모두 없음; ","")&amp;IF(업무일지!$I317="","담당자 없음; ","")&amp;IF(COUNTIF(코드설정!$F$5:$F$7,업무일지!$AF317)=0,"진행상태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"&amp;업무일지!$G318)</f>
        <v/>
      </c>
      <c r="D350" s="45">
        <f>IF(COUNT(업무일지!$B318:$AG318)+COUNTIF(업무일지!$B318:$AG318,"?*")=0,"",TRIM(IF(업무일지!$B318="","시작일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","")&amp;IF(AND(업무일지!$F318="",업무일지!$G318=""),"사건번호·업무명 모두 없음; ","")&amp;IF(업무일지!$I318="","담당자 없음; ","")&amp;IF(COUNTIF(코드설정!$F$5:$F$7,업무일지!$AF318)=0,"진행상태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"&amp;업무일지!$G319)</f>
        <v/>
      </c>
      <c r="D351" s="45">
        <f>IF(COUNT(업무일지!$B319:$AG319)+COUNTIF(업무일지!$B319:$AG319,"?*")=0,"",TRIM(IF(업무일지!$B319="","시작일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","")&amp;IF(AND(업무일지!$F319="",업무일지!$G319=""),"사건번호·업무명 모두 없음; ","")&amp;IF(업무일지!$I319="","담당자 없음; ","")&amp;IF(COUNTIF(코드설정!$F$5:$F$7,업무일지!$AF319)=0,"진행상태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"&amp;업무일지!$G320)</f>
        <v/>
      </c>
      <c r="D352" s="45">
        <f>IF(COUNT(업무일지!$B320:$AG320)+COUNTIF(업무일지!$B320:$AG320,"?*")=0,"",TRIM(IF(업무일지!$B320="","시작일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","")&amp;IF(AND(업무일지!$F320="",업무일지!$G320=""),"사건번호·업무명 모두 없음; ","")&amp;IF(업무일지!$I320="","담당자 없음; ","")&amp;IF(COUNTIF(코드설정!$F$5:$F$7,업무일지!$AF320)=0,"진행상태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"&amp;업무일지!$G321)</f>
        <v/>
      </c>
      <c r="D353" s="45">
        <f>IF(COUNT(업무일지!$B321:$AG321)+COUNTIF(업무일지!$B321:$AG321,"?*")=0,"",TRIM(IF(업무일지!$B321="","시작일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","")&amp;IF(AND(업무일지!$F321="",업무일지!$G321=""),"사건번호·업무명 모두 없음; ","")&amp;IF(업무일지!$I321="","담당자 없음; ","")&amp;IF(COUNTIF(코드설정!$F$5:$F$7,업무일지!$AF321)=0,"진행상태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"&amp;업무일지!$G322)</f>
        <v/>
      </c>
      <c r="D354" s="45">
        <f>IF(COUNT(업무일지!$B322:$AG322)+COUNTIF(업무일지!$B322:$AG322,"?*")=0,"",TRIM(IF(업무일지!$B322="","시작일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","")&amp;IF(AND(업무일지!$F322="",업무일지!$G322=""),"사건번호·업무명 모두 없음; ","")&amp;IF(업무일지!$I322="","담당자 없음; ","")&amp;IF(COUNTIF(코드설정!$F$5:$F$7,업무일지!$AF322)=0,"진행상태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"&amp;업무일지!$G323)</f>
        <v/>
      </c>
      <c r="D355" s="45">
        <f>IF(COUNT(업무일지!$B323:$AG323)+COUNTIF(업무일지!$B323:$AG323,"?*")=0,"",TRIM(IF(업무일지!$B323="","시작일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","")&amp;IF(AND(업무일지!$F323="",업무일지!$G323=""),"사건번호·업무명 모두 없음; ","")&amp;IF(업무일지!$I323="","담당자 없음; ","")&amp;IF(COUNTIF(코드설정!$F$5:$F$7,업무일지!$AF323)=0,"진행상태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"&amp;업무일지!$G324)</f>
        <v/>
      </c>
      <c r="D356" s="45">
        <f>IF(COUNT(업무일지!$B324:$AG324)+COUNTIF(업무일지!$B324:$AG324,"?*")=0,"",TRIM(IF(업무일지!$B324="","시작일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","")&amp;IF(AND(업무일지!$F324="",업무일지!$G324=""),"사건번호·업무명 모두 없음; ","")&amp;IF(업무일지!$I324="","담당자 없음; ","")&amp;IF(COUNTIF(코드설정!$F$5:$F$7,업무일지!$AF324)=0,"진행상태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"&amp;업무일지!$G325)</f>
        <v/>
      </c>
      <c r="D357" s="45">
        <f>IF(COUNT(업무일지!$B325:$AG325)+COUNTIF(업무일지!$B325:$AG325,"?*")=0,"",TRIM(IF(업무일지!$B325="","시작일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","")&amp;IF(AND(업무일지!$F325="",업무일지!$G325=""),"사건번호·업무명 모두 없음; ","")&amp;IF(업무일지!$I325="","담당자 없음; ","")&amp;IF(COUNTIF(코드설정!$F$5:$F$7,업무일지!$AF325)=0,"진행상태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"&amp;업무일지!$G326)</f>
        <v/>
      </c>
      <c r="D358" s="45">
        <f>IF(COUNT(업무일지!$B326:$AG326)+COUNTIF(업무일지!$B326:$AG326,"?*")=0,"",TRIM(IF(업무일지!$B326="","시작일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","")&amp;IF(AND(업무일지!$F326="",업무일지!$G326=""),"사건번호·업무명 모두 없음; ","")&amp;IF(업무일지!$I326="","담당자 없음; ","")&amp;IF(COUNTIF(코드설정!$F$5:$F$7,업무일지!$AF326)=0,"진행상태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"&amp;업무일지!$G327)</f>
        <v/>
      </c>
      <c r="D359" s="45">
        <f>IF(COUNT(업무일지!$B327:$AG327)+COUNTIF(업무일지!$B327:$AG327,"?*")=0,"",TRIM(IF(업무일지!$B327="","시작일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","")&amp;IF(AND(업무일지!$F327="",업무일지!$G327=""),"사건번호·업무명 모두 없음; ","")&amp;IF(업무일지!$I327="","담당자 없음; ","")&amp;IF(COUNTIF(코드설정!$F$5:$F$7,업무일지!$AF327)=0,"진행상태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"&amp;업무일지!$G328)</f>
        <v/>
      </c>
      <c r="D360" s="45">
        <f>IF(COUNT(업무일지!$B328:$AG328)+COUNTIF(업무일지!$B328:$AG328,"?*")=0,"",TRIM(IF(업무일지!$B328="","시작일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","")&amp;IF(AND(업무일지!$F328="",업무일지!$G328=""),"사건번호·업무명 모두 없음; ","")&amp;IF(업무일지!$I328="","담당자 없음; ","")&amp;IF(COUNTIF(코드설정!$F$5:$F$7,업무일지!$AF328)=0,"진행상태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"&amp;업무일지!$G329)</f>
        <v/>
      </c>
      <c r="D361" s="45">
        <f>IF(COUNT(업무일지!$B329:$AG329)+COUNTIF(업무일지!$B329:$AG329,"?*")=0,"",TRIM(IF(업무일지!$B329="","시작일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","")&amp;IF(AND(업무일지!$F329="",업무일지!$G329=""),"사건번호·업무명 모두 없음; ","")&amp;IF(업무일지!$I329="","담당자 없음; ","")&amp;IF(COUNTIF(코드설정!$F$5:$F$7,업무일지!$AF329)=0,"진행상태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"&amp;업무일지!$G330)</f>
        <v/>
      </c>
      <c r="D362" s="45">
        <f>IF(COUNT(업무일지!$B330:$AG330)+COUNTIF(업무일지!$B330:$AG330,"?*")=0,"",TRIM(IF(업무일지!$B330="","시작일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","")&amp;IF(AND(업무일지!$F330="",업무일지!$G330=""),"사건번호·업무명 모두 없음; ","")&amp;IF(업무일지!$I330="","담당자 없음; ","")&amp;IF(COUNTIF(코드설정!$F$5:$F$7,업무일지!$AF330)=0,"진행상태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"&amp;업무일지!$G331)</f>
        <v/>
      </c>
      <c r="D363" s="45">
        <f>IF(COUNT(업무일지!$B331:$AG331)+COUNTIF(업무일지!$B331:$AG331,"?*")=0,"",TRIM(IF(업무일지!$B331="","시작일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","")&amp;IF(AND(업무일지!$F331="",업무일지!$G331=""),"사건번호·업무명 모두 없음; ","")&amp;IF(업무일지!$I331="","담당자 없음; ","")&amp;IF(COUNTIF(코드설정!$F$5:$F$7,업무일지!$AF331)=0,"진행상태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"&amp;업무일지!$G332)</f>
        <v/>
      </c>
      <c r="D364" s="45">
        <f>IF(COUNT(업무일지!$B332:$AG332)+COUNTIF(업무일지!$B332:$AG332,"?*")=0,"",TRIM(IF(업무일지!$B332="","시작일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","")&amp;IF(AND(업무일지!$F332="",업무일지!$G332=""),"사건번호·업무명 모두 없음; ","")&amp;IF(업무일지!$I332="","담당자 없음; ","")&amp;IF(COUNTIF(코드설정!$F$5:$F$7,업무일지!$AF332)=0,"진행상태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"&amp;업무일지!$G333)</f>
        <v/>
      </c>
      <c r="D365" s="45">
        <f>IF(COUNT(업무일지!$B333:$AG333)+COUNTIF(업무일지!$B333:$AG333,"?*")=0,"",TRIM(IF(업무일지!$B333="","시작일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","")&amp;IF(AND(업무일지!$F333="",업무일지!$G333=""),"사건번호·업무명 모두 없음; ","")&amp;IF(업무일지!$I333="","담당자 없음; ","")&amp;IF(COUNTIF(코드설정!$F$5:$F$7,업무일지!$AF333)=0,"진행상태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"&amp;업무일지!$G334)</f>
        <v/>
      </c>
      <c r="D366" s="45">
        <f>IF(COUNT(업무일지!$B334:$AG334)+COUNTIF(업무일지!$B334:$AG334,"?*")=0,"",TRIM(IF(업무일지!$B334="","시작일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","")&amp;IF(AND(업무일지!$F334="",업무일지!$G334=""),"사건번호·업무명 모두 없음; ","")&amp;IF(업무일지!$I334="","담당자 없음; ","")&amp;IF(COUNTIF(코드설정!$F$5:$F$7,업무일지!$AF334)=0,"진행상태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"&amp;업무일지!$G335)</f>
        <v/>
      </c>
      <c r="D367" s="45">
        <f>IF(COUNT(업무일지!$B335:$AG335)+COUNTIF(업무일지!$B335:$AG335,"?*")=0,"",TRIM(IF(업무일지!$B335="","시작일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","")&amp;IF(AND(업무일지!$F335="",업무일지!$G335=""),"사건번호·업무명 모두 없음; ","")&amp;IF(업무일지!$I335="","담당자 없음; ","")&amp;IF(COUNTIF(코드설정!$F$5:$F$7,업무일지!$AF335)=0,"진행상태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"&amp;업무일지!$G336)</f>
        <v/>
      </c>
      <c r="D368" s="45">
        <f>IF(COUNT(업무일지!$B336:$AG336)+COUNTIF(업무일지!$B336:$AG336,"?*")=0,"",TRIM(IF(업무일지!$B336="","시작일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","")&amp;IF(AND(업무일지!$F336="",업무일지!$G336=""),"사건번호·업무명 모두 없음; ","")&amp;IF(업무일지!$I336="","담당자 없음; ","")&amp;IF(COUNTIF(코드설정!$F$5:$F$7,업무일지!$AF336)=0,"진행상태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"&amp;업무일지!$G337)</f>
        <v/>
      </c>
      <c r="D369" s="45">
        <f>IF(COUNT(업무일지!$B337:$AG337)+COUNTIF(업무일지!$B337:$AG337,"?*")=0,"",TRIM(IF(업무일지!$B337="","시작일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","")&amp;IF(AND(업무일지!$F337="",업무일지!$G337=""),"사건번호·업무명 모두 없음; ","")&amp;IF(업무일지!$I337="","담당자 없음; ","")&amp;IF(COUNTIF(코드설정!$F$5:$F$7,업무일지!$AF337)=0,"진행상태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"&amp;업무일지!$G338)</f>
        <v/>
      </c>
      <c r="D370" s="45">
        <f>IF(COUNT(업무일지!$B338:$AG338)+COUNTIF(업무일지!$B338:$AG338,"?*")=0,"",TRIM(IF(업무일지!$B338="","시작일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","")&amp;IF(AND(업무일지!$F338="",업무일지!$G338=""),"사건번호·업무명 모두 없음; ","")&amp;IF(업무일지!$I338="","담당자 없음; ","")&amp;IF(COUNTIF(코드설정!$F$5:$F$7,업무일지!$AF338)=0,"진행상태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"&amp;업무일지!$G339)</f>
        <v/>
      </c>
      <c r="D371" s="45">
        <f>IF(COUNT(업무일지!$B339:$AG339)+COUNTIF(업무일지!$B339:$AG339,"?*")=0,"",TRIM(IF(업무일지!$B339="","시작일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","")&amp;IF(AND(업무일지!$F339="",업무일지!$G339=""),"사건번호·업무명 모두 없음; ","")&amp;IF(업무일지!$I339="","담당자 없음; ","")&amp;IF(COUNTIF(코드설정!$F$5:$F$7,업무일지!$AF339)=0,"진행상태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"&amp;업무일지!$G340)</f>
        <v/>
      </c>
      <c r="D372" s="45">
        <f>IF(COUNT(업무일지!$B340:$AG340)+COUNTIF(업무일지!$B340:$AG340,"?*")=0,"",TRIM(IF(업무일지!$B340="","시작일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","")&amp;IF(AND(업무일지!$F340="",업무일지!$G340=""),"사건번호·업무명 모두 없음; ","")&amp;IF(업무일지!$I340="","담당자 없음; ","")&amp;IF(COUNTIF(코드설정!$F$5:$F$7,업무일지!$AF340)=0,"진행상태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"&amp;업무일지!$G341)</f>
        <v/>
      </c>
      <c r="D373" s="45">
        <f>IF(COUNT(업무일지!$B341:$AG341)+COUNTIF(업무일지!$B341:$AG341,"?*")=0,"",TRIM(IF(업무일지!$B341="","시작일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","")&amp;IF(AND(업무일지!$F341="",업무일지!$G341=""),"사건번호·업무명 모두 없음; ","")&amp;IF(업무일지!$I341="","담당자 없음; ","")&amp;IF(COUNTIF(코드설정!$F$5:$F$7,업무일지!$AF341)=0,"진행상태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"&amp;업무일지!$G342)</f>
        <v/>
      </c>
      <c r="D374" s="45">
        <f>IF(COUNT(업무일지!$B342:$AG342)+COUNTIF(업무일지!$B342:$AG342,"?*")=0,"",TRIM(IF(업무일지!$B342="","시작일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","")&amp;IF(AND(업무일지!$F342="",업무일지!$G342=""),"사건번호·업무명 모두 없음; ","")&amp;IF(업무일지!$I342="","담당자 없음; ","")&amp;IF(COUNTIF(코드설정!$F$5:$F$7,업무일지!$AF342)=0,"진행상태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"&amp;업무일지!$G343)</f>
        <v/>
      </c>
      <c r="D375" s="45">
        <f>IF(COUNT(업무일지!$B343:$AG343)+COUNTIF(업무일지!$B343:$AG343,"?*")=0,"",TRIM(IF(업무일지!$B343="","시작일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","")&amp;IF(AND(업무일지!$F343="",업무일지!$G343=""),"사건번호·업무명 모두 없음; ","")&amp;IF(업무일지!$I343="","담당자 없음; ","")&amp;IF(COUNTIF(코드설정!$F$5:$F$7,업무일지!$AF343)=0,"진행상태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"&amp;업무일지!$G344)</f>
        <v/>
      </c>
      <c r="D376" s="45">
        <f>IF(COUNT(업무일지!$B344:$AG344)+COUNTIF(업무일지!$B344:$AG344,"?*")=0,"",TRIM(IF(업무일지!$B344="","시작일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","")&amp;IF(AND(업무일지!$F344="",업무일지!$G344=""),"사건번호·업무명 모두 없음; ","")&amp;IF(업무일지!$I344="","담당자 없음; ","")&amp;IF(COUNTIF(코드설정!$F$5:$F$7,업무일지!$AF344)=0,"진행상태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"&amp;업무일지!$G345)</f>
        <v/>
      </c>
      <c r="D377" s="45">
        <f>IF(COUNT(업무일지!$B345:$AG345)+COUNTIF(업무일지!$B345:$AG345,"?*")=0,"",TRIM(IF(업무일지!$B345="","시작일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","")&amp;IF(AND(업무일지!$F345="",업무일지!$G345=""),"사건번호·업무명 모두 없음; ","")&amp;IF(업무일지!$I345="","담당자 없음; ","")&amp;IF(COUNTIF(코드설정!$F$5:$F$7,업무일지!$AF345)=0,"진행상태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"&amp;업무일지!$G346)</f>
        <v/>
      </c>
      <c r="D378" s="45">
        <f>IF(COUNT(업무일지!$B346:$AG346)+COUNTIF(업무일지!$B346:$AG346,"?*")=0,"",TRIM(IF(업무일지!$B346="","시작일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","")&amp;IF(AND(업무일지!$F346="",업무일지!$G346=""),"사건번호·업무명 모두 없음; ","")&amp;IF(업무일지!$I346="","담당자 없음; ","")&amp;IF(COUNTIF(코드설정!$F$5:$F$7,업무일지!$AF346)=0,"진행상태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"&amp;업무일지!$G347)</f>
        <v/>
      </c>
      <c r="D379" s="45">
        <f>IF(COUNT(업무일지!$B347:$AG347)+COUNTIF(업무일지!$B347:$AG347,"?*")=0,"",TRIM(IF(업무일지!$B347="","시작일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","")&amp;IF(AND(업무일지!$F347="",업무일지!$G347=""),"사건번호·업무명 모두 없음; ","")&amp;IF(업무일지!$I347="","담당자 없음; ","")&amp;IF(COUNTIF(코드설정!$F$5:$F$7,업무일지!$AF347)=0,"진행상태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"&amp;업무일지!$G348)</f>
        <v/>
      </c>
      <c r="D380" s="45">
        <f>IF(COUNT(업무일지!$B348:$AG348)+COUNTIF(업무일지!$B348:$AG348,"?*")=0,"",TRIM(IF(업무일지!$B348="","시작일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","")&amp;IF(AND(업무일지!$F348="",업무일지!$G348=""),"사건번호·업무명 모두 없음; ","")&amp;IF(업무일지!$I348="","담당자 없음; ","")&amp;IF(COUNTIF(코드설정!$F$5:$F$7,업무일지!$AF348)=0,"진행상태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"&amp;업무일지!$G349)</f>
        <v/>
      </c>
      <c r="D381" s="45">
        <f>IF(COUNT(업무일지!$B349:$AG349)+COUNTIF(업무일지!$B349:$AG349,"?*")=0,"",TRIM(IF(업무일지!$B349="","시작일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","")&amp;IF(AND(업무일지!$F349="",업무일지!$G349=""),"사건번호·업무명 모두 없음; ","")&amp;IF(업무일지!$I349="","담당자 없음; ","")&amp;IF(COUNTIF(코드설정!$F$5:$F$7,업무일지!$AF349)=0,"진행상태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"&amp;업무일지!$G350)</f>
        <v/>
      </c>
      <c r="D382" s="45">
        <f>IF(COUNT(업무일지!$B350:$AG350)+COUNTIF(업무일지!$B350:$AG350,"?*")=0,"",TRIM(IF(업무일지!$B350="","시작일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","")&amp;IF(AND(업무일지!$F350="",업무일지!$G350=""),"사건번호·업무명 모두 없음; ","")&amp;IF(업무일지!$I350="","담당자 없음; ","")&amp;IF(COUNTIF(코드설정!$F$5:$F$7,업무일지!$AF350)=0,"진행상태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"&amp;업무일지!$G351)</f>
        <v/>
      </c>
      <c r="D383" s="45">
        <f>IF(COUNT(업무일지!$B351:$AG351)+COUNTIF(업무일지!$B351:$AG351,"?*")=0,"",TRIM(IF(업무일지!$B351="","시작일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","")&amp;IF(AND(업무일지!$F351="",업무일지!$G351=""),"사건번호·업무명 모두 없음; ","")&amp;IF(업무일지!$I351="","담당자 없음; ","")&amp;IF(COUNTIF(코드설정!$F$5:$F$7,업무일지!$AF351)=0,"진행상태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"&amp;업무일지!$G352)</f>
        <v/>
      </c>
      <c r="D384" s="45">
        <f>IF(COUNT(업무일지!$B352:$AG352)+COUNTIF(업무일지!$B352:$AG352,"?*")=0,"",TRIM(IF(업무일지!$B352="","시작일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","")&amp;IF(AND(업무일지!$F352="",업무일지!$G352=""),"사건번호·업무명 모두 없음; ","")&amp;IF(업무일지!$I352="","담당자 없음; ","")&amp;IF(COUNTIF(코드설정!$F$5:$F$7,업무일지!$AF352)=0,"진행상태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"&amp;업무일지!$G353)</f>
        <v/>
      </c>
      <c r="D385" s="45">
        <f>IF(COUNT(업무일지!$B353:$AG353)+COUNTIF(업무일지!$B353:$AG353,"?*")=0,"",TRIM(IF(업무일지!$B353="","시작일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","")&amp;IF(AND(업무일지!$F353="",업무일지!$G353=""),"사건번호·업무명 모두 없음; ","")&amp;IF(업무일지!$I353="","담당자 없음; ","")&amp;IF(COUNTIF(코드설정!$F$5:$F$7,업무일지!$AF353)=0,"진행상태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"&amp;업무일지!$G354)</f>
        <v/>
      </c>
      <c r="D386" s="45">
        <f>IF(COUNT(업무일지!$B354:$AG354)+COUNTIF(업무일지!$B354:$AG354,"?*")=0,"",TRIM(IF(업무일지!$B354="","시작일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","")&amp;IF(AND(업무일지!$F354="",업무일지!$G354=""),"사건번호·업무명 모두 없음; ","")&amp;IF(업무일지!$I354="","담당자 없음; ","")&amp;IF(COUNTIF(코드설정!$F$5:$F$7,업무일지!$AF354)=0,"진행상태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"&amp;업무일지!$G355)</f>
        <v/>
      </c>
      <c r="D387" s="45">
        <f>IF(COUNT(업무일지!$B355:$AG355)+COUNTIF(업무일지!$B355:$AG355,"?*")=0,"",TRIM(IF(업무일지!$B355="","시작일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","")&amp;IF(AND(업무일지!$F355="",업무일지!$G355=""),"사건번호·업무명 모두 없음; ","")&amp;IF(업무일지!$I355="","담당자 없음; ","")&amp;IF(COUNTIF(코드설정!$F$5:$F$7,업무일지!$AF355)=0,"진행상태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"&amp;업무일지!$G356)</f>
        <v/>
      </c>
      <c r="D388" s="45">
        <f>IF(COUNT(업무일지!$B356:$AG356)+COUNTIF(업무일지!$B356:$AG356,"?*")=0,"",TRIM(IF(업무일지!$B356="","시작일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","")&amp;IF(AND(업무일지!$F356="",업무일지!$G356=""),"사건번호·업무명 모두 없음; ","")&amp;IF(업무일지!$I356="","담당자 없음; ","")&amp;IF(COUNTIF(코드설정!$F$5:$F$7,업무일지!$AF356)=0,"진행상태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"&amp;업무일지!$G357)</f>
        <v/>
      </c>
      <c r="D389" s="45">
        <f>IF(COUNT(업무일지!$B357:$AG357)+COUNTIF(업무일지!$B357:$AG357,"?*")=0,"",TRIM(IF(업무일지!$B357="","시작일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","")&amp;IF(AND(업무일지!$F357="",업무일지!$G357=""),"사건번호·업무명 모두 없음; ","")&amp;IF(업무일지!$I357="","담당자 없음; ","")&amp;IF(COUNTIF(코드설정!$F$5:$F$7,업무일지!$AF357)=0,"진행상태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"&amp;업무일지!$G358)</f>
        <v/>
      </c>
      <c r="D390" s="45">
        <f>IF(COUNT(업무일지!$B358:$AG358)+COUNTIF(업무일지!$B358:$AG358,"?*")=0,"",TRIM(IF(업무일지!$B358="","시작일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","")&amp;IF(AND(업무일지!$F358="",업무일지!$G358=""),"사건번호·업무명 모두 없음; ","")&amp;IF(업무일지!$I358="","담당자 없음; ","")&amp;IF(COUNTIF(코드설정!$F$5:$F$7,업무일지!$AF358)=0,"진행상태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"&amp;업무일지!$G359)</f>
        <v/>
      </c>
      <c r="D391" s="45">
        <f>IF(COUNT(업무일지!$B359:$AG359)+COUNTIF(업무일지!$B359:$AG359,"?*")=0,"",TRIM(IF(업무일지!$B359="","시작일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","")&amp;IF(AND(업무일지!$F359="",업무일지!$G359=""),"사건번호·업무명 모두 없음; ","")&amp;IF(업무일지!$I359="","담당자 없음; ","")&amp;IF(COUNTIF(코드설정!$F$5:$F$7,업무일지!$AF359)=0,"진행상태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"&amp;업무일지!$G360)</f>
        <v/>
      </c>
      <c r="D392" s="45">
        <f>IF(COUNT(업무일지!$B360:$AG360)+COUNTIF(업무일지!$B360:$AG360,"?*")=0,"",TRIM(IF(업무일지!$B360="","시작일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","")&amp;IF(AND(업무일지!$F360="",업무일지!$G360=""),"사건번호·업무명 모두 없음; ","")&amp;IF(업무일지!$I360="","담당자 없음; ","")&amp;IF(COUNTIF(코드설정!$F$5:$F$7,업무일지!$AF360)=0,"진행상태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"&amp;업무일지!$G361)</f>
        <v/>
      </c>
      <c r="D393" s="45">
        <f>IF(COUNT(업무일지!$B361:$AG361)+COUNTIF(업무일지!$B361:$AG361,"?*")=0,"",TRIM(IF(업무일지!$B361="","시작일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","")&amp;IF(AND(업무일지!$F361="",업무일지!$G361=""),"사건번호·업무명 모두 없음; ","")&amp;IF(업무일지!$I361="","담당자 없음; ","")&amp;IF(COUNTIF(코드설정!$F$5:$F$7,업무일지!$AF361)=0,"진행상태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"&amp;업무일지!$G362)</f>
        <v/>
      </c>
      <c r="D394" s="45">
        <f>IF(COUNT(업무일지!$B362:$AG362)+COUNTIF(업무일지!$B362:$AG362,"?*")=0,"",TRIM(IF(업무일지!$B362="","시작일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","")&amp;IF(AND(업무일지!$F362="",업무일지!$G362=""),"사건번호·업무명 모두 없음; ","")&amp;IF(업무일지!$I362="","담당자 없음; ","")&amp;IF(COUNTIF(코드설정!$F$5:$F$7,업무일지!$AF362)=0,"진행상태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"&amp;업무일지!$G363)</f>
        <v/>
      </c>
      <c r="D395" s="45">
        <f>IF(COUNT(업무일지!$B363:$AG363)+COUNTIF(업무일지!$B363:$AG363,"?*")=0,"",TRIM(IF(업무일지!$B363="","시작일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","")&amp;IF(AND(업무일지!$F363="",업무일지!$G363=""),"사건번호·업무명 모두 없음; ","")&amp;IF(업무일지!$I363="","담당자 없음; ","")&amp;IF(COUNTIF(코드설정!$F$5:$F$7,업무일지!$AF363)=0,"진행상태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"&amp;업무일지!$G364)</f>
        <v/>
      </c>
      <c r="D396" s="45">
        <f>IF(COUNT(업무일지!$B364:$AG364)+COUNTIF(업무일지!$B364:$AG364,"?*")=0,"",TRIM(IF(업무일지!$B364="","시작일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","")&amp;IF(AND(업무일지!$F364="",업무일지!$G364=""),"사건번호·업무명 모두 없음; ","")&amp;IF(업무일지!$I364="","담당자 없음; ","")&amp;IF(COUNTIF(코드설정!$F$5:$F$7,업무일지!$AF364)=0,"진행상태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"&amp;업무일지!$G365)</f>
        <v/>
      </c>
      <c r="D397" s="45">
        <f>IF(COUNT(업무일지!$B365:$AG365)+COUNTIF(업무일지!$B365:$AG365,"?*")=0,"",TRIM(IF(업무일지!$B365="","시작일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","")&amp;IF(AND(업무일지!$F365="",업무일지!$G365=""),"사건번호·업무명 모두 없음; ","")&amp;IF(업무일지!$I365="","담당자 없음; ","")&amp;IF(COUNTIF(코드설정!$F$5:$F$7,업무일지!$AF365)=0,"진행상태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"&amp;업무일지!$G366)</f>
        <v/>
      </c>
      <c r="D398" s="45">
        <f>IF(COUNT(업무일지!$B366:$AG366)+COUNTIF(업무일지!$B366:$AG366,"?*")=0,"",TRIM(IF(업무일지!$B366="","시작일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","")&amp;IF(AND(업무일지!$F366="",업무일지!$G366=""),"사건번호·업무명 모두 없음; ","")&amp;IF(업무일지!$I366="","담당자 없음; ","")&amp;IF(COUNTIF(코드설정!$F$5:$F$7,업무일지!$AF366)=0,"진행상태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"&amp;업무일지!$G367)</f>
        <v/>
      </c>
      <c r="D399" s="45">
        <f>IF(COUNT(업무일지!$B367:$AG367)+COUNTIF(업무일지!$B367:$AG367,"?*")=0,"",TRIM(IF(업무일지!$B367="","시작일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","")&amp;IF(AND(업무일지!$F367="",업무일지!$G367=""),"사건번호·업무명 모두 없음; ","")&amp;IF(업무일지!$I367="","담당자 없음; ","")&amp;IF(COUNTIF(코드설정!$F$5:$F$7,업무일지!$AF367)=0,"진행상태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"&amp;업무일지!$G368)</f>
        <v/>
      </c>
      <c r="D400" s="45">
        <f>IF(COUNT(업무일지!$B368:$AG368)+COUNTIF(업무일지!$B368:$AG368,"?*")=0,"",TRIM(IF(업무일지!$B368="","시작일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","")&amp;IF(AND(업무일지!$F368="",업무일지!$G368=""),"사건번호·업무명 모두 없음; ","")&amp;IF(업무일지!$I368="","담당자 없음; ","")&amp;IF(COUNTIF(코드설정!$F$5:$F$7,업무일지!$AF368)=0,"진행상태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"&amp;업무일지!$G369)</f>
        <v/>
      </c>
      <c r="D401" s="45">
        <f>IF(COUNT(업무일지!$B369:$AG369)+COUNTIF(업무일지!$B369:$AG369,"?*")=0,"",TRIM(IF(업무일지!$B369="","시작일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","")&amp;IF(AND(업무일지!$F369="",업무일지!$G369=""),"사건번호·업무명 모두 없음; ","")&amp;IF(업무일지!$I369="","담당자 없음; ","")&amp;IF(COUNTIF(코드설정!$F$5:$F$7,업무일지!$AF369)=0,"진행상태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"&amp;업무일지!$G370)</f>
        <v/>
      </c>
      <c r="D402" s="45">
        <f>IF(COUNT(업무일지!$B370:$AG370)+COUNTIF(업무일지!$B370:$AG370,"?*")=0,"",TRIM(IF(업무일지!$B370="","시작일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","")&amp;IF(AND(업무일지!$F370="",업무일지!$G370=""),"사건번호·업무명 모두 없음; ","")&amp;IF(업무일지!$I370="","담당자 없음; ","")&amp;IF(COUNTIF(코드설정!$F$5:$F$7,업무일지!$AF370)=0,"진행상태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"&amp;업무일지!$G371)</f>
        <v/>
      </c>
      <c r="D403" s="45">
        <f>IF(COUNT(업무일지!$B371:$AG371)+COUNTIF(업무일지!$B371:$AG371,"?*")=0,"",TRIM(IF(업무일지!$B371="","시작일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","")&amp;IF(AND(업무일지!$F371="",업무일지!$G371=""),"사건번호·업무명 모두 없음; ","")&amp;IF(업무일지!$I371="","담당자 없음; ","")&amp;IF(COUNTIF(코드설정!$F$5:$F$7,업무일지!$AF371)=0,"진행상태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"&amp;업무일지!$G372)</f>
        <v/>
      </c>
      <c r="D404" s="45">
        <f>IF(COUNT(업무일지!$B372:$AG372)+COUNTIF(업무일지!$B372:$AG372,"?*")=0,"",TRIM(IF(업무일지!$B372="","시작일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","")&amp;IF(AND(업무일지!$F372="",업무일지!$G372=""),"사건번호·업무명 모두 없음; ","")&amp;IF(업무일지!$I372="","담당자 없음; ","")&amp;IF(COUNTIF(코드설정!$F$5:$F$7,업무일지!$AF372)=0,"진행상태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"&amp;업무일지!$G373)</f>
        <v/>
      </c>
      <c r="D405" s="45">
        <f>IF(COUNT(업무일지!$B373:$AG373)+COUNTIF(업무일지!$B373:$AG373,"?*")=0,"",TRIM(IF(업무일지!$B373="","시작일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","")&amp;IF(AND(업무일지!$F373="",업무일지!$G373=""),"사건번호·업무명 모두 없음; ","")&amp;IF(업무일지!$I373="","담당자 없음; ","")&amp;IF(COUNTIF(코드설정!$F$5:$F$7,업무일지!$AF373)=0,"진행상태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"&amp;업무일지!$G374)</f>
        <v/>
      </c>
      <c r="D406" s="45">
        <f>IF(COUNT(업무일지!$B374:$AG374)+COUNTIF(업무일지!$B374:$AG374,"?*")=0,"",TRIM(IF(업무일지!$B374="","시작일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","")&amp;IF(AND(업무일지!$F374="",업무일지!$G374=""),"사건번호·업무명 모두 없음; ","")&amp;IF(업무일지!$I374="","담당자 없음; ","")&amp;IF(COUNTIF(코드설정!$F$5:$F$7,업무일지!$AF374)=0,"진행상태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"&amp;업무일지!$G375)</f>
        <v/>
      </c>
      <c r="D407" s="45">
        <f>IF(COUNT(업무일지!$B375:$AG375)+COUNTIF(업무일지!$B375:$AG375,"?*")=0,"",TRIM(IF(업무일지!$B375="","시작일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","")&amp;IF(AND(업무일지!$F375="",업무일지!$G375=""),"사건번호·업무명 모두 없음; ","")&amp;IF(업무일지!$I375="","담당자 없음; ","")&amp;IF(COUNTIF(코드설정!$F$5:$F$7,업무일지!$AF375)=0,"진행상태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"&amp;업무일지!$G376)</f>
        <v/>
      </c>
      <c r="D408" s="45">
        <f>IF(COUNT(업무일지!$B376:$AG376)+COUNTIF(업무일지!$B376:$AG376,"?*")=0,"",TRIM(IF(업무일지!$B376="","시작일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","")&amp;IF(AND(업무일지!$F376="",업무일지!$G376=""),"사건번호·업무명 모두 없음; ","")&amp;IF(업무일지!$I376="","담당자 없음; ","")&amp;IF(COUNTIF(코드설정!$F$5:$F$7,업무일지!$AF376)=0,"진행상태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"&amp;업무일지!$G377)</f>
        <v/>
      </c>
      <c r="D409" s="45">
        <f>IF(COUNT(업무일지!$B377:$AG377)+COUNTIF(업무일지!$B377:$AG377,"?*")=0,"",TRIM(IF(업무일지!$B377="","시작일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","")&amp;IF(AND(업무일지!$F377="",업무일지!$G377=""),"사건번호·업무명 모두 없음; ","")&amp;IF(업무일지!$I377="","담당자 없음; ","")&amp;IF(COUNTIF(코드설정!$F$5:$F$7,업무일지!$AF377)=0,"진행상태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"&amp;업무일지!$G378)</f>
        <v/>
      </c>
      <c r="D410" s="45">
        <f>IF(COUNT(업무일지!$B378:$AG378)+COUNTIF(업무일지!$B378:$AG378,"?*")=0,"",TRIM(IF(업무일지!$B378="","시작일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","")&amp;IF(AND(업무일지!$F378="",업무일지!$G378=""),"사건번호·업무명 모두 없음; ","")&amp;IF(업무일지!$I378="","담당자 없음; ","")&amp;IF(COUNTIF(코드설정!$F$5:$F$7,업무일지!$AF378)=0,"진행상태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"&amp;업무일지!$G379)</f>
        <v/>
      </c>
      <c r="D411" s="45">
        <f>IF(COUNT(업무일지!$B379:$AG379)+COUNTIF(업무일지!$B379:$AG379,"?*")=0,"",TRIM(IF(업무일지!$B379="","시작일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","")&amp;IF(AND(업무일지!$F379="",업무일지!$G379=""),"사건번호·업무명 모두 없음; ","")&amp;IF(업무일지!$I379="","담당자 없음; ","")&amp;IF(COUNTIF(코드설정!$F$5:$F$7,업무일지!$AF379)=0,"진행상태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"&amp;업무일지!$G380)</f>
        <v/>
      </c>
      <c r="D412" s="45">
        <f>IF(COUNT(업무일지!$B380:$AG380)+COUNTIF(업무일지!$B380:$AG380,"?*")=0,"",TRIM(IF(업무일지!$B380="","시작일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","")&amp;IF(AND(업무일지!$F380="",업무일지!$G380=""),"사건번호·업무명 모두 없음; ","")&amp;IF(업무일지!$I380="","담당자 없음; ","")&amp;IF(COUNTIF(코드설정!$F$5:$F$7,업무일지!$AF380)=0,"진행상태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"&amp;업무일지!$G381)</f>
        <v/>
      </c>
      <c r="D413" s="45">
        <f>IF(COUNT(업무일지!$B381:$AG381)+COUNTIF(업무일지!$B381:$AG381,"?*")=0,"",TRIM(IF(업무일지!$B381="","시작일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","")&amp;IF(AND(업무일지!$F381="",업무일지!$G381=""),"사건번호·업무명 모두 없음; ","")&amp;IF(업무일지!$I381="","담당자 없음; ","")&amp;IF(COUNTIF(코드설정!$F$5:$F$7,업무일지!$AF381)=0,"진행상태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"&amp;업무일지!$G382)</f>
        <v/>
      </c>
      <c r="D414" s="45">
        <f>IF(COUNT(업무일지!$B382:$AG382)+COUNTIF(업무일지!$B382:$AG382,"?*")=0,"",TRIM(IF(업무일지!$B382="","시작일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","")&amp;IF(AND(업무일지!$F382="",업무일지!$G382=""),"사건번호·업무명 모두 없음; ","")&amp;IF(업무일지!$I382="","담당자 없음; ","")&amp;IF(COUNTIF(코드설정!$F$5:$F$7,업무일지!$AF382)=0,"진행상태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"&amp;업무일지!$G383)</f>
        <v/>
      </c>
      <c r="D415" s="45">
        <f>IF(COUNT(업무일지!$B383:$AG383)+COUNTIF(업무일지!$B383:$AG383,"?*")=0,"",TRIM(IF(업무일지!$B383="","시작일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","")&amp;IF(AND(업무일지!$F383="",업무일지!$G383=""),"사건번호·업무명 모두 없음; ","")&amp;IF(업무일지!$I383="","담당자 없음; ","")&amp;IF(COUNTIF(코드설정!$F$5:$F$7,업무일지!$AF383)=0,"진행상태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"&amp;업무일지!$G384)</f>
        <v/>
      </c>
      <c r="D416" s="45">
        <f>IF(COUNT(업무일지!$B384:$AG384)+COUNTIF(업무일지!$B384:$AG384,"?*")=0,"",TRIM(IF(업무일지!$B384="","시작일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","")&amp;IF(AND(업무일지!$F384="",업무일지!$G384=""),"사건번호·업무명 모두 없음; ","")&amp;IF(업무일지!$I384="","담당자 없음; ","")&amp;IF(COUNTIF(코드설정!$F$5:$F$7,업무일지!$AF384)=0,"진행상태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"&amp;업무일지!$G385)</f>
        <v/>
      </c>
      <c r="D417" s="45">
        <f>IF(COUNT(업무일지!$B385:$AG385)+COUNTIF(업무일지!$B385:$AG385,"?*")=0,"",TRIM(IF(업무일지!$B385="","시작일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","")&amp;IF(AND(업무일지!$F385="",업무일지!$G385=""),"사건번호·업무명 모두 없음; ","")&amp;IF(업무일지!$I385="","담당자 없음; ","")&amp;IF(COUNTIF(코드설정!$F$5:$F$7,업무일지!$AF385)=0,"진행상태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"&amp;업무일지!$G386)</f>
        <v/>
      </c>
      <c r="D418" s="45">
        <f>IF(COUNT(업무일지!$B386:$AG386)+COUNTIF(업무일지!$B386:$AG386,"?*")=0,"",TRIM(IF(업무일지!$B386="","시작일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","")&amp;IF(AND(업무일지!$F386="",업무일지!$G386=""),"사건번호·업무명 모두 없음; ","")&amp;IF(업무일지!$I386="","담당자 없음; ","")&amp;IF(COUNTIF(코드설정!$F$5:$F$7,업무일지!$AF386)=0,"진행상태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"&amp;업무일지!$G387)</f>
        <v/>
      </c>
      <c r="D419" s="45">
        <f>IF(COUNT(업무일지!$B387:$AG387)+COUNTIF(업무일지!$B387:$AG387,"?*")=0,"",TRIM(IF(업무일지!$B387="","시작일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","")&amp;IF(AND(업무일지!$F387="",업무일지!$G387=""),"사건번호·업무명 모두 없음; ","")&amp;IF(업무일지!$I387="","담당자 없음; ","")&amp;IF(COUNTIF(코드설정!$F$5:$F$7,업무일지!$AF387)=0,"진행상태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"&amp;업무일지!$G388)</f>
        <v/>
      </c>
      <c r="D420" s="45">
        <f>IF(COUNT(업무일지!$B388:$AG388)+COUNTIF(업무일지!$B388:$AG388,"?*")=0,"",TRIM(IF(업무일지!$B388="","시작일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","")&amp;IF(AND(업무일지!$F388="",업무일지!$G388=""),"사건번호·업무명 모두 없음; ","")&amp;IF(업무일지!$I388="","담당자 없음; ","")&amp;IF(COUNTIF(코드설정!$F$5:$F$7,업무일지!$AF388)=0,"진행상태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"&amp;업무일지!$G389)</f>
        <v/>
      </c>
      <c r="D421" s="45">
        <f>IF(COUNT(업무일지!$B389:$AG389)+COUNTIF(업무일지!$B389:$AG389,"?*")=0,"",TRIM(IF(업무일지!$B389="","시작일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","")&amp;IF(AND(업무일지!$F389="",업무일지!$G389=""),"사건번호·업무명 모두 없음; ","")&amp;IF(업무일지!$I389="","담당자 없음; ","")&amp;IF(COUNTIF(코드설정!$F$5:$F$7,업무일지!$AF389)=0,"진행상태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"&amp;업무일지!$G390)</f>
        <v/>
      </c>
      <c r="D422" s="45">
        <f>IF(COUNT(업무일지!$B390:$AG390)+COUNTIF(업무일지!$B390:$AG390,"?*")=0,"",TRIM(IF(업무일지!$B390="","시작일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","")&amp;IF(AND(업무일지!$F390="",업무일지!$G390=""),"사건번호·업무명 모두 없음; ","")&amp;IF(업무일지!$I390="","담당자 없음; ","")&amp;IF(COUNTIF(코드설정!$F$5:$F$7,업무일지!$AF390)=0,"진행상태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"&amp;업무일지!$G391)</f>
        <v/>
      </c>
      <c r="D423" s="45">
        <f>IF(COUNT(업무일지!$B391:$AG391)+COUNTIF(업무일지!$B391:$AG391,"?*")=0,"",TRIM(IF(업무일지!$B391="","시작일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","")&amp;IF(AND(업무일지!$F391="",업무일지!$G391=""),"사건번호·업무명 모두 없음; ","")&amp;IF(업무일지!$I391="","담당자 없음; ","")&amp;IF(COUNTIF(코드설정!$F$5:$F$7,업무일지!$AF391)=0,"진행상태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"&amp;업무일지!$G392)</f>
        <v/>
      </c>
      <c r="D424" s="45">
        <f>IF(COUNT(업무일지!$B392:$AG392)+COUNTIF(업무일지!$B392:$AG392,"?*")=0,"",TRIM(IF(업무일지!$B392="","시작일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","")&amp;IF(AND(업무일지!$F392="",업무일지!$G392=""),"사건번호·업무명 모두 없음; ","")&amp;IF(업무일지!$I392="","담당자 없음; ","")&amp;IF(COUNTIF(코드설정!$F$5:$F$7,업무일지!$AF392)=0,"진행상태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"&amp;업무일지!$G393)</f>
        <v/>
      </c>
      <c r="D425" s="45">
        <f>IF(COUNT(업무일지!$B393:$AG393)+COUNTIF(업무일지!$B393:$AG393,"?*")=0,"",TRIM(IF(업무일지!$B393="","시작일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","")&amp;IF(AND(업무일지!$F393="",업무일지!$G393=""),"사건번호·업무명 모두 없음; ","")&amp;IF(업무일지!$I393="","담당자 없음; ","")&amp;IF(COUNTIF(코드설정!$F$5:$F$7,업무일지!$AF393)=0,"진행상태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"&amp;업무일지!$G394)</f>
        <v/>
      </c>
      <c r="D426" s="45">
        <f>IF(COUNT(업무일지!$B394:$AG394)+COUNTIF(업무일지!$B394:$AG394,"?*")=0,"",TRIM(IF(업무일지!$B394="","시작일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","")&amp;IF(AND(업무일지!$F394="",업무일지!$G394=""),"사건번호·업무명 모두 없음; ","")&amp;IF(업무일지!$I394="","담당자 없음; ","")&amp;IF(COUNTIF(코드설정!$F$5:$F$7,업무일지!$AF394)=0,"진행상태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"&amp;업무일지!$G395)</f>
        <v/>
      </c>
      <c r="D427" s="45">
        <f>IF(COUNT(업무일지!$B395:$AG395)+COUNTIF(업무일지!$B395:$AG395,"?*")=0,"",TRIM(IF(업무일지!$B395="","시작일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","")&amp;IF(AND(업무일지!$F395="",업무일지!$G395=""),"사건번호·업무명 모두 없음; ","")&amp;IF(업무일지!$I395="","담당자 없음; ","")&amp;IF(COUNTIF(코드설정!$F$5:$F$7,업무일지!$AF395)=0,"진행상태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"&amp;업무일지!$G396)</f>
        <v/>
      </c>
      <c r="D428" s="45">
        <f>IF(COUNT(업무일지!$B396:$AG396)+COUNTIF(업무일지!$B396:$AG396,"?*")=0,"",TRIM(IF(업무일지!$B396="","시작일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","")&amp;IF(AND(업무일지!$F396="",업무일지!$G396=""),"사건번호·업무명 모두 없음; ","")&amp;IF(업무일지!$I396="","담당자 없음; ","")&amp;IF(COUNTIF(코드설정!$F$5:$F$7,업무일지!$AF396)=0,"진행상태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"&amp;업무일지!$G397)</f>
        <v/>
      </c>
      <c r="D429" s="45">
        <f>IF(COUNT(업무일지!$B397:$AG397)+COUNTIF(업무일지!$B397:$AG397,"?*")=0,"",TRIM(IF(업무일지!$B397="","시작일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","")&amp;IF(AND(업무일지!$F397="",업무일지!$G397=""),"사건번호·업무명 모두 없음; ","")&amp;IF(업무일지!$I397="","담당자 없음; ","")&amp;IF(COUNTIF(코드설정!$F$5:$F$7,업무일지!$AF397)=0,"진행상태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"&amp;업무일지!$G398)</f>
        <v/>
      </c>
      <c r="D430" s="45">
        <f>IF(COUNT(업무일지!$B398:$AG398)+COUNTIF(업무일지!$B398:$AG398,"?*")=0,"",TRIM(IF(업무일지!$B398="","시작일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","")&amp;IF(AND(업무일지!$F398="",업무일지!$G398=""),"사건번호·업무명 모두 없음; ","")&amp;IF(업무일지!$I398="","담당자 없음; ","")&amp;IF(COUNTIF(코드설정!$F$5:$F$7,업무일지!$AF398)=0,"진행상태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"&amp;업무일지!$G399)</f>
        <v/>
      </c>
      <c r="D431" s="45">
        <f>IF(COUNT(업무일지!$B399:$AG399)+COUNTIF(업무일지!$B399:$AG399,"?*")=0,"",TRIM(IF(업무일지!$B399="","시작일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","")&amp;IF(AND(업무일지!$F399="",업무일지!$G399=""),"사건번호·업무명 모두 없음; ","")&amp;IF(업무일지!$I399="","담당자 없음; ","")&amp;IF(COUNTIF(코드설정!$F$5:$F$7,업무일지!$AF399)=0,"진행상태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"&amp;업무일지!$G400)</f>
        <v/>
      </c>
      <c r="D432" s="45">
        <f>IF(COUNT(업무일지!$B400:$AG400)+COUNTIF(업무일지!$B400:$AG400,"?*")=0,"",TRIM(IF(업무일지!$B400="","시작일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","")&amp;IF(AND(업무일지!$F400="",업무일지!$G400=""),"사건번호·업무명 모두 없음; ","")&amp;IF(업무일지!$I400="","담당자 없음; ","")&amp;IF(COUNTIF(코드설정!$F$5:$F$7,업무일지!$AF400)=0,"진행상태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"&amp;업무일지!$G401)</f>
        <v/>
      </c>
      <c r="D433" s="45">
        <f>IF(COUNT(업무일지!$B401:$AG401)+COUNTIF(업무일지!$B401:$AG401,"?*")=0,"",TRIM(IF(업무일지!$B401="","시작일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","")&amp;IF(AND(업무일지!$F401="",업무일지!$G401=""),"사건번호·업무명 모두 없음; ","")&amp;IF(업무일지!$I401="","담당자 없음; ","")&amp;IF(COUNTIF(코드설정!$F$5:$F$7,업무일지!$AF401)=0,"진행상태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"&amp;업무일지!$G402)</f>
        <v/>
      </c>
      <c r="D434" s="45">
        <f>IF(COUNT(업무일지!$B402:$AG402)+COUNTIF(업무일지!$B402:$AG402,"?*")=0,"",TRIM(IF(업무일지!$B402="","시작일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","")&amp;IF(AND(업무일지!$F402="",업무일지!$G402=""),"사건번호·업무명 모두 없음; ","")&amp;IF(업무일지!$I402="","담당자 없음; ","")&amp;IF(COUNTIF(코드설정!$F$5:$F$7,업무일지!$AF402)=0,"진행상태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"&amp;업무일지!$G403)</f>
        <v/>
      </c>
      <c r="D435" s="45">
        <f>IF(COUNT(업무일지!$B403:$AG403)+COUNTIF(업무일지!$B403:$AG403,"?*")=0,"",TRIM(IF(업무일지!$B403="","시작일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","")&amp;IF(AND(업무일지!$F403="",업무일지!$G403=""),"사건번호·업무명 모두 없음; ","")&amp;IF(업무일지!$I403="","담당자 없음; ","")&amp;IF(COUNTIF(코드설정!$F$5:$F$7,업무일지!$AF403)=0,"진행상태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"&amp;업무일지!$G404)</f>
        <v/>
      </c>
      <c r="D436" s="45">
        <f>IF(COUNT(업무일지!$B404:$AG404)+COUNTIF(업무일지!$B404:$AG404,"?*")=0,"",TRIM(IF(업무일지!$B404="","시작일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","")&amp;IF(AND(업무일지!$F404="",업무일지!$G404=""),"사건번호·업무명 모두 없음; ","")&amp;IF(업무일지!$I404="","담당자 없음; ","")&amp;IF(COUNTIF(코드설정!$F$5:$F$7,업무일지!$AF404)=0,"진행상태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"&amp;업무일지!$G405)</f>
        <v/>
      </c>
      <c r="D437" s="45">
        <f>IF(COUNT(업무일지!$B405:$AG405)+COUNTIF(업무일지!$B405:$AG405,"?*")=0,"",TRIM(IF(업무일지!$B405="","시작일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","")&amp;IF(AND(업무일지!$F405="",업무일지!$G405=""),"사건번호·업무명 모두 없음; ","")&amp;IF(업무일지!$I405="","담당자 없음; ","")&amp;IF(COUNTIF(코드설정!$F$5:$F$7,업무일지!$AF405)=0,"진행상태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"&amp;업무일지!$G406)</f>
        <v/>
      </c>
      <c r="D438" s="45">
        <f>IF(COUNT(업무일지!$B406:$AG406)+COUNTIF(업무일지!$B406:$AG406,"?*")=0,"",TRIM(IF(업무일지!$B406="","시작일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","")&amp;IF(AND(업무일지!$F406="",업무일지!$G406=""),"사건번호·업무명 모두 없음; ","")&amp;IF(업무일지!$I406="","담당자 없음; ","")&amp;IF(COUNTIF(코드설정!$F$5:$F$7,업무일지!$AF406)=0,"진행상태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"&amp;업무일지!$G407)</f>
        <v/>
      </c>
      <c r="D439" s="45">
        <f>IF(COUNT(업무일지!$B407:$AG407)+COUNTIF(업무일지!$B407:$AG407,"?*")=0,"",TRIM(IF(업무일지!$B407="","시작일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","")&amp;IF(AND(업무일지!$F407="",업무일지!$G407=""),"사건번호·업무명 모두 없음; ","")&amp;IF(업무일지!$I407="","담당자 없음; ","")&amp;IF(COUNTIF(코드설정!$F$5:$F$7,업무일지!$AF407)=0,"진행상태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"&amp;업무일지!$G408)</f>
        <v/>
      </c>
      <c r="D440" s="45">
        <f>IF(COUNT(업무일지!$B408:$AG408)+COUNTIF(업무일지!$B408:$AG408,"?*")=0,"",TRIM(IF(업무일지!$B408="","시작일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","")&amp;IF(AND(업무일지!$F408="",업무일지!$G408=""),"사건번호·업무명 모두 없음; ","")&amp;IF(업무일지!$I408="","담당자 없음; ","")&amp;IF(COUNTIF(코드설정!$F$5:$F$7,업무일지!$AF408)=0,"진행상태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"&amp;업무일지!$G409)</f>
        <v/>
      </c>
      <c r="D441" s="45">
        <f>IF(COUNT(업무일지!$B409:$AG409)+COUNTIF(업무일지!$B409:$AG409,"?*")=0,"",TRIM(IF(업무일지!$B409="","시작일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","")&amp;IF(AND(업무일지!$F409="",업무일지!$G409=""),"사건번호·업무명 모두 없음; ","")&amp;IF(업무일지!$I409="","담당자 없음; ","")&amp;IF(COUNTIF(코드설정!$F$5:$F$7,업무일지!$AF409)=0,"진행상태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"&amp;업무일지!$G410)</f>
        <v/>
      </c>
      <c r="D442" s="45">
        <f>IF(COUNT(업무일지!$B410:$AG410)+COUNTIF(업무일지!$B410:$AG410,"?*")=0,"",TRIM(IF(업무일지!$B410="","시작일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","")&amp;IF(AND(업무일지!$F410="",업무일지!$G410=""),"사건번호·업무명 모두 없음; ","")&amp;IF(업무일지!$I410="","담당자 없음; ","")&amp;IF(COUNTIF(코드설정!$F$5:$F$7,업무일지!$AF410)=0,"진행상태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"&amp;업무일지!$G411)</f>
        <v/>
      </c>
      <c r="D443" s="45">
        <f>IF(COUNT(업무일지!$B411:$AG411)+COUNTIF(업무일지!$B411:$AG411,"?*")=0,"",TRIM(IF(업무일지!$B411="","시작일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","")&amp;IF(AND(업무일지!$F411="",업무일지!$G411=""),"사건번호·업무명 모두 없음; ","")&amp;IF(업무일지!$I411="","담당자 없음; ","")&amp;IF(COUNTIF(코드설정!$F$5:$F$7,업무일지!$AF411)=0,"진행상태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"&amp;업무일지!$G412)</f>
        <v/>
      </c>
      <c r="D444" s="45">
        <f>IF(COUNT(업무일지!$B412:$AG412)+COUNTIF(업무일지!$B412:$AG412,"?*")=0,"",TRIM(IF(업무일지!$B412="","시작일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","")&amp;IF(AND(업무일지!$F412="",업무일지!$G412=""),"사건번호·업무명 모두 없음; ","")&amp;IF(업무일지!$I412="","담당자 없음; ","")&amp;IF(COUNTIF(코드설정!$F$5:$F$7,업무일지!$AF412)=0,"진행상태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"&amp;업무일지!$G413)</f>
        <v/>
      </c>
      <c r="D445" s="45">
        <f>IF(COUNT(업무일지!$B413:$AG413)+COUNTIF(업무일지!$B413:$AG413,"?*")=0,"",TRIM(IF(업무일지!$B413="","시작일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","")&amp;IF(AND(업무일지!$F413="",업무일지!$G413=""),"사건번호·업무명 모두 없음; ","")&amp;IF(업무일지!$I413="","담당자 없음; ","")&amp;IF(COUNTIF(코드설정!$F$5:$F$7,업무일지!$AF413)=0,"진행상태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"&amp;업무일지!$G414)</f>
        <v/>
      </c>
      <c r="D446" s="45">
        <f>IF(COUNT(업무일지!$B414:$AG414)+COUNTIF(업무일지!$B414:$AG414,"?*")=0,"",TRIM(IF(업무일지!$B414="","시작일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","")&amp;IF(AND(업무일지!$F414="",업무일지!$G414=""),"사건번호·업무명 모두 없음; ","")&amp;IF(업무일지!$I414="","담당자 없음; ","")&amp;IF(COUNTIF(코드설정!$F$5:$F$7,업무일지!$AF414)=0,"진행상태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"&amp;업무일지!$G415)</f>
        <v/>
      </c>
      <c r="D447" s="45">
        <f>IF(COUNT(업무일지!$B415:$AG415)+COUNTIF(업무일지!$B415:$AG415,"?*")=0,"",TRIM(IF(업무일지!$B415="","시작일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","")&amp;IF(AND(업무일지!$F415="",업무일지!$G415=""),"사건번호·업무명 모두 없음; ","")&amp;IF(업무일지!$I415="","담당자 없음; ","")&amp;IF(COUNTIF(코드설정!$F$5:$F$7,업무일지!$AF415)=0,"진행상태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"&amp;업무일지!$G416)</f>
        <v/>
      </c>
      <c r="D448" s="45">
        <f>IF(COUNT(업무일지!$B416:$AG416)+COUNTIF(업무일지!$B416:$AG416,"?*")=0,"",TRIM(IF(업무일지!$B416="","시작일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","")&amp;IF(AND(업무일지!$F416="",업무일지!$G416=""),"사건번호·업무명 모두 없음; ","")&amp;IF(업무일지!$I416="","담당자 없음; ","")&amp;IF(COUNTIF(코드설정!$F$5:$F$7,업무일지!$AF416)=0,"진행상태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"&amp;업무일지!$G417)</f>
        <v/>
      </c>
      <c r="D449" s="45">
        <f>IF(COUNT(업무일지!$B417:$AG417)+COUNTIF(업무일지!$B417:$AG417,"?*")=0,"",TRIM(IF(업무일지!$B417="","시작일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","")&amp;IF(AND(업무일지!$F417="",업무일지!$G417=""),"사건번호·업무명 모두 없음; ","")&amp;IF(업무일지!$I417="","담당자 없음; ","")&amp;IF(COUNTIF(코드설정!$F$5:$F$7,업무일지!$AF417)=0,"진행상태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"&amp;업무일지!$G418)</f>
        <v/>
      </c>
      <c r="D450" s="45">
        <f>IF(COUNT(업무일지!$B418:$AG418)+COUNTIF(업무일지!$B418:$AG418,"?*")=0,"",TRIM(IF(업무일지!$B418="","시작일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","")&amp;IF(AND(업무일지!$F418="",업무일지!$G418=""),"사건번호·업무명 모두 없음; ","")&amp;IF(업무일지!$I418="","담당자 없음; ","")&amp;IF(COUNTIF(코드설정!$F$5:$F$7,업무일지!$AF418)=0,"진행상태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"&amp;업무일지!$G419)</f>
        <v/>
      </c>
      <c r="D451" s="45">
        <f>IF(COUNT(업무일지!$B419:$AG419)+COUNTIF(업무일지!$B419:$AG419,"?*")=0,"",TRIM(IF(업무일지!$B419="","시작일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","")&amp;IF(AND(업무일지!$F419="",업무일지!$G419=""),"사건번호·업무명 모두 없음; ","")&amp;IF(업무일지!$I419="","담당자 없음; ","")&amp;IF(COUNTIF(코드설정!$F$5:$F$7,업무일지!$AF419)=0,"진행상태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"&amp;업무일지!$G420)</f>
        <v/>
      </c>
      <c r="D452" s="45">
        <f>IF(COUNT(업무일지!$B420:$AG420)+COUNTIF(업무일지!$B420:$AG420,"?*")=0,"",TRIM(IF(업무일지!$B420="","시작일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","")&amp;IF(AND(업무일지!$F420="",업무일지!$G420=""),"사건번호·업무명 모두 없음; ","")&amp;IF(업무일지!$I420="","담당자 없음; ","")&amp;IF(COUNTIF(코드설정!$F$5:$F$7,업무일지!$AF420)=0,"진행상태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"&amp;업무일지!$G421)</f>
        <v/>
      </c>
      <c r="D453" s="45">
        <f>IF(COUNT(업무일지!$B421:$AG421)+COUNTIF(업무일지!$B421:$AG421,"?*")=0,"",TRIM(IF(업무일지!$B421="","시작일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","")&amp;IF(AND(업무일지!$F421="",업무일지!$G421=""),"사건번호·업무명 모두 없음; ","")&amp;IF(업무일지!$I421="","담당자 없음; ","")&amp;IF(COUNTIF(코드설정!$F$5:$F$7,업무일지!$AF421)=0,"진행상태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"&amp;업무일지!$G422)</f>
        <v/>
      </c>
      <c r="D454" s="45">
        <f>IF(COUNT(업무일지!$B422:$AG422)+COUNTIF(업무일지!$B422:$AG422,"?*")=0,"",TRIM(IF(업무일지!$B422="","시작일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","")&amp;IF(AND(업무일지!$F422="",업무일지!$G422=""),"사건번호·업무명 모두 없음; ","")&amp;IF(업무일지!$I422="","담당자 없음; ","")&amp;IF(COUNTIF(코드설정!$F$5:$F$7,업무일지!$AF422)=0,"진행상태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"&amp;업무일지!$G423)</f>
        <v/>
      </c>
      <c r="D455" s="45">
        <f>IF(COUNT(업무일지!$B423:$AG423)+COUNTIF(업무일지!$B423:$AG423,"?*")=0,"",TRIM(IF(업무일지!$B423="","시작일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","")&amp;IF(AND(업무일지!$F423="",업무일지!$G423=""),"사건번호·업무명 모두 없음; ","")&amp;IF(업무일지!$I423="","담당자 없음; ","")&amp;IF(COUNTIF(코드설정!$F$5:$F$7,업무일지!$AF423)=0,"진행상태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"&amp;업무일지!$G424)</f>
        <v/>
      </c>
      <c r="D456" s="45">
        <f>IF(COUNT(업무일지!$B424:$AG424)+COUNTIF(업무일지!$B424:$AG424,"?*")=0,"",TRIM(IF(업무일지!$B424="","시작일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","")&amp;IF(AND(업무일지!$F424="",업무일지!$G424=""),"사건번호·업무명 모두 없음; ","")&amp;IF(업무일지!$I424="","담당자 없음; ","")&amp;IF(COUNTIF(코드설정!$F$5:$F$7,업무일지!$AF424)=0,"진행상태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"&amp;업무일지!$G425)</f>
        <v/>
      </c>
      <c r="D457" s="45">
        <f>IF(COUNT(업무일지!$B425:$AG425)+COUNTIF(업무일지!$B425:$AG425,"?*")=0,"",TRIM(IF(업무일지!$B425="","시작일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","")&amp;IF(AND(업무일지!$F425="",업무일지!$G425=""),"사건번호·업무명 모두 없음; ","")&amp;IF(업무일지!$I425="","담당자 없음; ","")&amp;IF(COUNTIF(코드설정!$F$5:$F$7,업무일지!$AF425)=0,"진행상태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"&amp;업무일지!$G426)</f>
        <v/>
      </c>
      <c r="D458" s="45">
        <f>IF(COUNT(업무일지!$B426:$AG426)+COUNTIF(업무일지!$B426:$AG426,"?*")=0,"",TRIM(IF(업무일지!$B426="","시작일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","")&amp;IF(AND(업무일지!$F426="",업무일지!$G426=""),"사건번호·업무명 모두 없음; ","")&amp;IF(업무일지!$I426="","담당자 없음; ","")&amp;IF(COUNTIF(코드설정!$F$5:$F$7,업무일지!$AF426)=0,"진행상태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"&amp;업무일지!$G427)</f>
        <v/>
      </c>
      <c r="D459" s="45">
        <f>IF(COUNT(업무일지!$B427:$AG427)+COUNTIF(업무일지!$B427:$AG427,"?*")=0,"",TRIM(IF(업무일지!$B427="","시작일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","")&amp;IF(AND(업무일지!$F427="",업무일지!$G427=""),"사건번호·업무명 모두 없음; ","")&amp;IF(업무일지!$I427="","담당자 없음; ","")&amp;IF(COUNTIF(코드설정!$F$5:$F$7,업무일지!$AF427)=0,"진행상태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"&amp;업무일지!$G428)</f>
        <v/>
      </c>
      <c r="D460" s="45">
        <f>IF(COUNT(업무일지!$B428:$AG428)+COUNTIF(업무일지!$B428:$AG428,"?*")=0,"",TRIM(IF(업무일지!$B428="","시작일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","")&amp;IF(AND(업무일지!$F428="",업무일지!$G428=""),"사건번호·업무명 모두 없음; ","")&amp;IF(업무일지!$I428="","담당자 없음; ","")&amp;IF(COUNTIF(코드설정!$F$5:$F$7,업무일지!$AF428)=0,"진행상태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"&amp;업무일지!$G429)</f>
        <v/>
      </c>
      <c r="D461" s="45">
        <f>IF(COUNT(업무일지!$B429:$AG429)+COUNTIF(업무일지!$B429:$AG429,"?*")=0,"",TRIM(IF(업무일지!$B429="","시작일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","")&amp;IF(AND(업무일지!$F429="",업무일지!$G429=""),"사건번호·업무명 모두 없음; ","")&amp;IF(업무일지!$I429="","담당자 없음; ","")&amp;IF(COUNTIF(코드설정!$F$5:$F$7,업무일지!$AF429)=0,"진행상태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"&amp;업무일지!$G430)</f>
        <v/>
      </c>
      <c r="D462" s="45">
        <f>IF(COUNT(업무일지!$B430:$AG430)+COUNTIF(업무일지!$B430:$AG430,"?*")=0,"",TRIM(IF(업무일지!$B430="","시작일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","")&amp;IF(AND(업무일지!$F430="",업무일지!$G430=""),"사건번호·업무명 모두 없음; ","")&amp;IF(업무일지!$I430="","담당자 없음; ","")&amp;IF(COUNTIF(코드설정!$F$5:$F$7,업무일지!$AF430)=0,"진행상태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"&amp;업무일지!$G431)</f>
        <v/>
      </c>
      <c r="D463" s="45">
        <f>IF(COUNT(업무일지!$B431:$AG431)+COUNTIF(업무일지!$B431:$AG431,"?*")=0,"",TRIM(IF(업무일지!$B431="","시작일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","")&amp;IF(AND(업무일지!$F431="",업무일지!$G431=""),"사건번호·업무명 모두 없음; ","")&amp;IF(업무일지!$I431="","담당자 없음; ","")&amp;IF(COUNTIF(코드설정!$F$5:$F$7,업무일지!$AF431)=0,"진행상태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"&amp;업무일지!$G432)</f>
        <v/>
      </c>
      <c r="D464" s="45">
        <f>IF(COUNT(업무일지!$B432:$AG432)+COUNTIF(업무일지!$B432:$AG432,"?*")=0,"",TRIM(IF(업무일지!$B432="","시작일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","")&amp;IF(AND(업무일지!$F432="",업무일지!$G432=""),"사건번호·업무명 모두 없음; ","")&amp;IF(업무일지!$I432="","담당자 없음; ","")&amp;IF(COUNTIF(코드설정!$F$5:$F$7,업무일지!$AF432)=0,"진행상태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"&amp;업무일지!$G433)</f>
        <v/>
      </c>
      <c r="D465" s="45">
        <f>IF(COUNT(업무일지!$B433:$AG433)+COUNTIF(업무일지!$B433:$AG433,"?*")=0,"",TRIM(IF(업무일지!$B433="","시작일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","")&amp;IF(AND(업무일지!$F433="",업무일지!$G433=""),"사건번호·업무명 모두 없음; ","")&amp;IF(업무일지!$I433="","담당자 없음; ","")&amp;IF(COUNTIF(코드설정!$F$5:$F$7,업무일지!$AF433)=0,"진행상태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"&amp;업무일지!$G434)</f>
        <v/>
      </c>
      <c r="D466" s="45">
        <f>IF(COUNT(업무일지!$B434:$AG434)+COUNTIF(업무일지!$B434:$AG434,"?*")=0,"",TRIM(IF(업무일지!$B434="","시작일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","")&amp;IF(AND(업무일지!$F434="",업무일지!$G434=""),"사건번호·업무명 모두 없음; ","")&amp;IF(업무일지!$I434="","담당자 없음; ","")&amp;IF(COUNTIF(코드설정!$F$5:$F$7,업무일지!$AF434)=0,"진행상태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"&amp;업무일지!$G435)</f>
        <v/>
      </c>
      <c r="D467" s="45">
        <f>IF(COUNT(업무일지!$B435:$AG435)+COUNTIF(업무일지!$B435:$AG435,"?*")=0,"",TRIM(IF(업무일지!$B435="","시작일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","")&amp;IF(AND(업무일지!$F435="",업무일지!$G435=""),"사건번호·업무명 모두 없음; ","")&amp;IF(업무일지!$I435="","담당자 없음; ","")&amp;IF(COUNTIF(코드설정!$F$5:$F$7,업무일지!$AF435)=0,"진행상태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"&amp;업무일지!$G436)</f>
        <v/>
      </c>
      <c r="D468" s="45">
        <f>IF(COUNT(업무일지!$B436:$AG436)+COUNTIF(업무일지!$B436:$AG436,"?*")=0,"",TRIM(IF(업무일지!$B436="","시작일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","")&amp;IF(AND(업무일지!$F436="",업무일지!$G436=""),"사건번호·업무명 모두 없음; ","")&amp;IF(업무일지!$I436="","담당자 없음; ","")&amp;IF(COUNTIF(코드설정!$F$5:$F$7,업무일지!$AF436)=0,"진행상태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"&amp;업무일지!$G437)</f>
        <v/>
      </c>
      <c r="D469" s="45">
        <f>IF(COUNT(업무일지!$B437:$AG437)+COUNTIF(업무일지!$B437:$AG437,"?*")=0,"",TRIM(IF(업무일지!$B437="","시작일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","")&amp;IF(AND(업무일지!$F437="",업무일지!$G437=""),"사건번호·업무명 모두 없음; ","")&amp;IF(업무일지!$I437="","담당자 없음; ","")&amp;IF(COUNTIF(코드설정!$F$5:$F$7,업무일지!$AF437)=0,"진행상태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"&amp;업무일지!$G438)</f>
        <v/>
      </c>
      <c r="D470" s="45">
        <f>IF(COUNT(업무일지!$B438:$AG438)+COUNTIF(업무일지!$B438:$AG438,"?*")=0,"",TRIM(IF(업무일지!$B438="","시작일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","")&amp;IF(AND(업무일지!$F438="",업무일지!$G438=""),"사건번호·업무명 모두 없음; ","")&amp;IF(업무일지!$I438="","담당자 없음; ","")&amp;IF(COUNTIF(코드설정!$F$5:$F$7,업무일지!$AF438)=0,"진행상태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"&amp;업무일지!$G439)</f>
        <v/>
      </c>
      <c r="D471" s="45">
        <f>IF(COUNT(업무일지!$B439:$AG439)+COUNTIF(업무일지!$B439:$AG439,"?*")=0,"",TRIM(IF(업무일지!$B439="","시작일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","")&amp;IF(AND(업무일지!$F439="",업무일지!$G439=""),"사건번호·업무명 모두 없음; ","")&amp;IF(업무일지!$I439="","담당자 없음; ","")&amp;IF(COUNTIF(코드설정!$F$5:$F$7,업무일지!$AF439)=0,"진행상태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"&amp;업무일지!$G440)</f>
        <v/>
      </c>
      <c r="D472" s="45">
        <f>IF(COUNT(업무일지!$B440:$AG440)+COUNTIF(업무일지!$B440:$AG440,"?*")=0,"",TRIM(IF(업무일지!$B440="","시작일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","")&amp;IF(AND(업무일지!$F440="",업무일지!$G440=""),"사건번호·업무명 모두 없음; ","")&amp;IF(업무일지!$I440="","담당자 없음; ","")&amp;IF(COUNTIF(코드설정!$F$5:$F$7,업무일지!$AF440)=0,"진행상태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"&amp;업무일지!$G441)</f>
        <v/>
      </c>
      <c r="D473" s="45">
        <f>IF(COUNT(업무일지!$B441:$AG441)+COUNTIF(업무일지!$B441:$AG441,"?*")=0,"",TRIM(IF(업무일지!$B441="","시작일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","")&amp;IF(AND(업무일지!$F441="",업무일지!$G441=""),"사건번호·업무명 모두 없음; ","")&amp;IF(업무일지!$I441="","담당자 없음; ","")&amp;IF(COUNTIF(코드설정!$F$5:$F$7,업무일지!$AF441)=0,"진행상태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"&amp;업무일지!$G442)</f>
        <v/>
      </c>
      <c r="D474" s="45">
        <f>IF(COUNT(업무일지!$B442:$AG442)+COUNTIF(업무일지!$B442:$AG442,"?*")=0,"",TRIM(IF(업무일지!$B442="","시작일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","")&amp;IF(AND(업무일지!$F442="",업무일지!$G442=""),"사건번호·업무명 모두 없음; ","")&amp;IF(업무일지!$I442="","담당자 없음; ","")&amp;IF(COUNTIF(코드설정!$F$5:$F$7,업무일지!$AF442)=0,"진행상태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"&amp;업무일지!$G443)</f>
        <v/>
      </c>
      <c r="D475" s="45">
        <f>IF(COUNT(업무일지!$B443:$AG443)+COUNTIF(업무일지!$B443:$AG443,"?*")=0,"",TRIM(IF(업무일지!$B443="","시작일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","")&amp;IF(AND(업무일지!$F443="",업무일지!$G443=""),"사건번호·업무명 모두 없음; ","")&amp;IF(업무일지!$I443="","담당자 없음; ","")&amp;IF(COUNTIF(코드설정!$F$5:$F$7,업무일지!$AF443)=0,"진행상태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"&amp;업무일지!$G444)</f>
        <v/>
      </c>
      <c r="D476" s="45">
        <f>IF(COUNT(업무일지!$B444:$AG444)+COUNTIF(업무일지!$B444:$AG444,"?*")=0,"",TRIM(IF(업무일지!$B444="","시작일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","")&amp;IF(AND(업무일지!$F444="",업무일지!$G444=""),"사건번호·업무명 모두 없음; ","")&amp;IF(업무일지!$I444="","담당자 없음; ","")&amp;IF(COUNTIF(코드설정!$F$5:$F$7,업무일지!$AF444)=0,"진행상태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"&amp;업무일지!$G445)</f>
        <v/>
      </c>
      <c r="D477" s="45">
        <f>IF(COUNT(업무일지!$B445:$AG445)+COUNTIF(업무일지!$B445:$AG445,"?*")=0,"",TRIM(IF(업무일지!$B445="","시작일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","")&amp;IF(AND(업무일지!$F445="",업무일지!$G445=""),"사건번호·업무명 모두 없음; ","")&amp;IF(업무일지!$I445="","담당자 없음; ","")&amp;IF(COUNTIF(코드설정!$F$5:$F$7,업무일지!$AF445)=0,"진행상태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"&amp;업무일지!$G446)</f>
        <v/>
      </c>
      <c r="D478" s="45">
        <f>IF(COUNT(업무일지!$B446:$AG446)+COUNTIF(업무일지!$B446:$AG446,"?*")=0,"",TRIM(IF(업무일지!$B446="","시작일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","")&amp;IF(AND(업무일지!$F446="",업무일지!$G446=""),"사건번호·업무명 모두 없음; ","")&amp;IF(업무일지!$I446="","담당자 없음; ","")&amp;IF(COUNTIF(코드설정!$F$5:$F$7,업무일지!$AF446)=0,"진행상태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"&amp;업무일지!$G447)</f>
        <v/>
      </c>
      <c r="D479" s="45">
        <f>IF(COUNT(업무일지!$B447:$AG447)+COUNTIF(업무일지!$B447:$AG447,"?*")=0,"",TRIM(IF(업무일지!$B447="","시작일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","")&amp;IF(AND(업무일지!$F447="",업무일지!$G447=""),"사건번호·업무명 모두 없음; ","")&amp;IF(업무일지!$I447="","담당자 없음; ","")&amp;IF(COUNTIF(코드설정!$F$5:$F$7,업무일지!$AF447)=0,"진행상태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"&amp;업무일지!$G448)</f>
        <v/>
      </c>
      <c r="D480" s="45">
        <f>IF(COUNT(업무일지!$B448:$AG448)+COUNTIF(업무일지!$B448:$AG448,"?*")=0,"",TRIM(IF(업무일지!$B448="","시작일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","")&amp;IF(AND(업무일지!$F448="",업무일지!$G448=""),"사건번호·업무명 모두 없음; ","")&amp;IF(업무일지!$I448="","담당자 없음; ","")&amp;IF(COUNTIF(코드설정!$F$5:$F$7,업무일지!$AF448)=0,"진행상태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"&amp;업무일지!$G449)</f>
        <v/>
      </c>
      <c r="D481" s="45">
        <f>IF(COUNT(업무일지!$B449:$AG449)+COUNTIF(업무일지!$B449:$AG449,"?*")=0,"",TRIM(IF(업무일지!$B449="","시작일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","")&amp;IF(AND(업무일지!$F449="",업무일지!$G449=""),"사건번호·업무명 모두 없음; ","")&amp;IF(업무일지!$I449="","담당자 없음; ","")&amp;IF(COUNTIF(코드설정!$F$5:$F$7,업무일지!$AF449)=0,"진행상태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"&amp;업무일지!$G450)</f>
        <v/>
      </c>
      <c r="D482" s="45">
        <f>IF(COUNT(업무일지!$B450:$AG450)+COUNTIF(업무일지!$B450:$AG450,"?*")=0,"",TRIM(IF(업무일지!$B450="","시작일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","")&amp;IF(AND(업무일지!$F450="",업무일지!$G450=""),"사건번호·업무명 모두 없음; ","")&amp;IF(업무일지!$I450="","담당자 없음; ","")&amp;IF(COUNTIF(코드설정!$F$5:$F$7,업무일지!$AF450)=0,"진행상태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"&amp;업무일지!$G451)</f>
        <v/>
      </c>
      <c r="D483" s="45">
        <f>IF(COUNT(업무일지!$B451:$AG451)+COUNTIF(업무일지!$B451:$AG451,"?*")=0,"",TRIM(IF(업무일지!$B451="","시작일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","")&amp;IF(AND(업무일지!$F451="",업무일지!$G451=""),"사건번호·업무명 모두 없음; ","")&amp;IF(업무일지!$I451="","담당자 없음; ","")&amp;IF(COUNTIF(코드설정!$F$5:$F$7,업무일지!$AF451)=0,"진행상태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"&amp;업무일지!$G452)</f>
        <v/>
      </c>
      <c r="D484" s="45">
        <f>IF(COUNT(업무일지!$B452:$AG452)+COUNTIF(업무일지!$B452:$AG452,"?*")=0,"",TRIM(IF(업무일지!$B452="","시작일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","")&amp;IF(AND(업무일지!$F452="",업무일지!$G452=""),"사건번호·업무명 모두 없음; ","")&amp;IF(업무일지!$I452="","담당자 없음; ","")&amp;IF(COUNTIF(코드설정!$F$5:$F$7,업무일지!$AF452)=0,"진행상태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"&amp;업무일지!$G453)</f>
        <v/>
      </c>
      <c r="D485" s="45">
        <f>IF(COUNT(업무일지!$B453:$AG453)+COUNTIF(업무일지!$B453:$AG453,"?*")=0,"",TRIM(IF(업무일지!$B453="","시작일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","")&amp;IF(AND(업무일지!$F453="",업무일지!$G453=""),"사건번호·업무명 모두 없음; ","")&amp;IF(업무일지!$I453="","담당자 없음; ","")&amp;IF(COUNTIF(코드설정!$F$5:$F$7,업무일지!$AF453)=0,"진행상태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"&amp;업무일지!$G454)</f>
        <v/>
      </c>
      <c r="D486" s="45">
        <f>IF(COUNT(업무일지!$B454:$AG454)+COUNTIF(업무일지!$B454:$AG454,"?*")=0,"",TRIM(IF(업무일지!$B454="","시작일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","")&amp;IF(AND(업무일지!$F454="",업무일지!$G454=""),"사건번호·업무명 모두 없음; ","")&amp;IF(업무일지!$I454="","담당자 없음; ","")&amp;IF(COUNTIF(코드설정!$F$5:$F$7,업무일지!$AF454)=0,"진행상태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"&amp;업무일지!$G455)</f>
        <v/>
      </c>
      <c r="D487" s="45">
        <f>IF(COUNT(업무일지!$B455:$AG455)+COUNTIF(업무일지!$B455:$AG455,"?*")=0,"",TRIM(IF(업무일지!$B455="","시작일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","")&amp;IF(AND(업무일지!$F455="",업무일지!$G455=""),"사건번호·업무명 모두 없음; ","")&amp;IF(업무일지!$I455="","담당자 없음; ","")&amp;IF(COUNTIF(코드설정!$F$5:$F$7,업무일지!$AF455)=0,"진행상태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"&amp;업무일지!$G456)</f>
        <v/>
      </c>
      <c r="D488" s="45">
        <f>IF(COUNT(업무일지!$B456:$AG456)+COUNTIF(업무일지!$B456:$AG456,"?*")=0,"",TRIM(IF(업무일지!$B456="","시작일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","")&amp;IF(AND(업무일지!$F456="",업무일지!$G456=""),"사건번호·업무명 모두 없음; ","")&amp;IF(업무일지!$I456="","담당자 없음; ","")&amp;IF(COUNTIF(코드설정!$F$5:$F$7,업무일지!$AF456)=0,"진행상태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"&amp;업무일지!$G457)</f>
        <v/>
      </c>
      <c r="D489" s="45">
        <f>IF(COUNT(업무일지!$B457:$AG457)+COUNTIF(업무일지!$B457:$AG457,"?*")=0,"",TRIM(IF(업무일지!$B457="","시작일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","")&amp;IF(AND(업무일지!$F457="",업무일지!$G457=""),"사건번호·업무명 모두 없음; ","")&amp;IF(업무일지!$I457="","담당자 없음; ","")&amp;IF(COUNTIF(코드설정!$F$5:$F$7,업무일지!$AF457)=0,"진행상태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"&amp;업무일지!$G458)</f>
        <v/>
      </c>
      <c r="D490" s="45">
        <f>IF(COUNT(업무일지!$B458:$AG458)+COUNTIF(업무일지!$B458:$AG458,"?*")=0,"",TRIM(IF(업무일지!$B458="","시작일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","")&amp;IF(AND(업무일지!$F458="",업무일지!$G458=""),"사건번호·업무명 모두 없음; ","")&amp;IF(업무일지!$I458="","담당자 없음; ","")&amp;IF(COUNTIF(코드설정!$F$5:$F$7,업무일지!$AF458)=0,"진행상태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"&amp;업무일지!$G459)</f>
        <v/>
      </c>
      <c r="D491" s="45">
        <f>IF(COUNT(업무일지!$B459:$AG459)+COUNTIF(업무일지!$B459:$AG459,"?*")=0,"",TRIM(IF(업무일지!$B459="","시작일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","")&amp;IF(AND(업무일지!$F459="",업무일지!$G459=""),"사건번호·업무명 모두 없음; ","")&amp;IF(업무일지!$I459="","담당자 없음; ","")&amp;IF(COUNTIF(코드설정!$F$5:$F$7,업무일지!$AF459)=0,"진행상태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"&amp;업무일지!$G460)</f>
        <v/>
      </c>
      <c r="D492" s="45">
        <f>IF(COUNT(업무일지!$B460:$AG460)+COUNTIF(업무일지!$B460:$AG460,"?*")=0,"",TRIM(IF(업무일지!$B460="","시작일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","")&amp;IF(AND(업무일지!$F460="",업무일지!$G460=""),"사건번호·업무명 모두 없음; ","")&amp;IF(업무일지!$I460="","담당자 없음; ","")&amp;IF(COUNTIF(코드설정!$F$5:$F$7,업무일지!$AF460)=0,"진행상태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"&amp;업무일지!$G461)</f>
        <v/>
      </c>
      <c r="D493" s="45">
        <f>IF(COUNT(업무일지!$B461:$AG461)+COUNTIF(업무일지!$B461:$AG461,"?*")=0,"",TRIM(IF(업무일지!$B461="","시작일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","")&amp;IF(AND(업무일지!$F461="",업무일지!$G461=""),"사건번호·업무명 모두 없음; ","")&amp;IF(업무일지!$I461="","담당자 없음; ","")&amp;IF(COUNTIF(코드설정!$F$5:$F$7,업무일지!$AF461)=0,"진행상태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"&amp;업무일지!$G462)</f>
        <v/>
      </c>
      <c r="D494" s="45">
        <f>IF(COUNT(업무일지!$B462:$AG462)+COUNTIF(업무일지!$B462:$AG462,"?*")=0,"",TRIM(IF(업무일지!$B462="","시작일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","")&amp;IF(AND(업무일지!$F462="",업무일지!$G462=""),"사건번호·업무명 모두 없음; ","")&amp;IF(업무일지!$I462="","담당자 없음; ","")&amp;IF(COUNTIF(코드설정!$F$5:$F$7,업무일지!$AF462)=0,"진행상태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"&amp;업무일지!$G463)</f>
        <v/>
      </c>
      <c r="D495" s="45">
        <f>IF(COUNT(업무일지!$B463:$AG463)+COUNTIF(업무일지!$B463:$AG463,"?*")=0,"",TRIM(IF(업무일지!$B463="","시작일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","")&amp;IF(AND(업무일지!$F463="",업무일지!$G463=""),"사건번호·업무명 모두 없음; ","")&amp;IF(업무일지!$I463="","담당자 없음; ","")&amp;IF(COUNTIF(코드설정!$F$5:$F$7,업무일지!$AF463)=0,"진행상태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"&amp;업무일지!$G464)</f>
        <v/>
      </c>
      <c r="D496" s="45">
        <f>IF(COUNT(업무일지!$B464:$AG464)+COUNTIF(업무일지!$B464:$AG464,"?*")=0,"",TRIM(IF(업무일지!$B464="","시작일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","")&amp;IF(AND(업무일지!$F464="",업무일지!$G464=""),"사건번호·업무명 모두 없음; ","")&amp;IF(업무일지!$I464="","담당자 없음; ","")&amp;IF(COUNTIF(코드설정!$F$5:$F$7,업무일지!$AF464)=0,"진행상태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"&amp;업무일지!$G465)</f>
        <v/>
      </c>
      <c r="D497" s="45">
        <f>IF(COUNT(업무일지!$B465:$AG465)+COUNTIF(업무일지!$B465:$AG465,"?*")=0,"",TRIM(IF(업무일지!$B465="","시작일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","")&amp;IF(AND(업무일지!$F465="",업무일지!$G465=""),"사건번호·업무명 모두 없음; ","")&amp;IF(업무일지!$I465="","담당자 없음; ","")&amp;IF(COUNTIF(코드설정!$F$5:$F$7,업무일지!$AF465)=0,"진행상태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"&amp;업무일지!$G466)</f>
        <v/>
      </c>
      <c r="D498" s="45">
        <f>IF(COUNT(업무일지!$B466:$AG466)+COUNTIF(업무일지!$B466:$AG466,"?*")=0,"",TRIM(IF(업무일지!$B466="","시작일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","")&amp;IF(AND(업무일지!$F466="",업무일지!$G466=""),"사건번호·업무명 모두 없음; ","")&amp;IF(업무일지!$I466="","담당자 없음; ","")&amp;IF(COUNTIF(코드설정!$F$5:$F$7,업무일지!$AF466)=0,"진행상태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"&amp;업무일지!$G467)</f>
        <v/>
      </c>
      <c r="D499" s="45">
        <f>IF(COUNT(업무일지!$B467:$AG467)+COUNTIF(업무일지!$B467:$AG467,"?*")=0,"",TRIM(IF(업무일지!$B467="","시작일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","")&amp;IF(AND(업무일지!$F467="",업무일지!$G467=""),"사건번호·업무명 모두 없음; ","")&amp;IF(업무일지!$I467="","담당자 없음; ","")&amp;IF(COUNTIF(코드설정!$F$5:$F$7,업무일지!$AF467)=0,"진행상태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"&amp;업무일지!$G468)</f>
        <v/>
      </c>
      <c r="D500" s="45">
        <f>IF(COUNT(업무일지!$B468:$AG468)+COUNTIF(업무일지!$B468:$AG468,"?*")=0,"",TRIM(IF(업무일지!$B468="","시작일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","")&amp;IF(AND(업무일지!$F468="",업무일지!$G468=""),"사건번호·업무명 모두 없음; ","")&amp;IF(업무일지!$I468="","담당자 없음; ","")&amp;IF(COUNTIF(코드설정!$F$5:$F$7,업무일지!$AF468)=0,"진행상태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"&amp;업무일지!$G469)</f>
        <v/>
      </c>
      <c r="D501" s="45">
        <f>IF(COUNT(업무일지!$B469:$AG469)+COUNTIF(업무일지!$B469:$AG469,"?*")=0,"",TRIM(IF(업무일지!$B469="","시작일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","")&amp;IF(AND(업무일지!$F469="",업무일지!$G469=""),"사건번호·업무명 모두 없음; ","")&amp;IF(업무일지!$I469="","담당자 없음; ","")&amp;IF(COUNTIF(코드설정!$F$5:$F$7,업무일지!$AF469)=0,"진행상태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"&amp;업무일지!$G470)</f>
        <v/>
      </c>
      <c r="D502" s="45">
        <f>IF(COUNT(업무일지!$B470:$AG470)+COUNTIF(업무일지!$B470:$AG470,"?*")=0,"",TRIM(IF(업무일지!$B470="","시작일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","")&amp;IF(AND(업무일지!$F470="",업무일지!$G470=""),"사건번호·업무명 모두 없음; ","")&amp;IF(업무일지!$I470="","담당자 없음; ","")&amp;IF(COUNTIF(코드설정!$F$5:$F$7,업무일지!$AF470)=0,"진행상태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"&amp;업무일지!$G471)</f>
        <v/>
      </c>
      <c r="D503" s="45">
        <f>IF(COUNT(업무일지!$B471:$AG471)+COUNTIF(업무일지!$B471:$AG471,"?*")=0,"",TRIM(IF(업무일지!$B471="","시작일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","")&amp;IF(AND(업무일지!$F471="",업무일지!$G471=""),"사건번호·업무명 모두 없음; ","")&amp;IF(업무일지!$I471="","담당자 없음; ","")&amp;IF(COUNTIF(코드설정!$F$5:$F$7,업무일지!$AF471)=0,"진행상태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"&amp;업무일지!$G472)</f>
        <v/>
      </c>
      <c r="D504" s="45">
        <f>IF(COUNT(업무일지!$B472:$AG472)+COUNTIF(업무일지!$B472:$AG472,"?*")=0,"",TRIM(IF(업무일지!$B472="","시작일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","")&amp;IF(AND(업무일지!$F472="",업무일지!$G472=""),"사건번호·업무명 모두 없음; ","")&amp;IF(업무일지!$I472="","담당자 없음; ","")&amp;IF(COUNTIF(코드설정!$F$5:$F$7,업무일지!$AF472)=0,"진행상태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"&amp;업무일지!$G473)</f>
        <v/>
      </c>
      <c r="D505" s="45">
        <f>IF(COUNT(업무일지!$B473:$AG473)+COUNTIF(업무일지!$B473:$AG473,"?*")=0,"",TRIM(IF(업무일지!$B473="","시작일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","")&amp;IF(AND(업무일지!$F473="",업무일지!$G473=""),"사건번호·업무명 모두 없음; ","")&amp;IF(업무일지!$I473="","담당자 없음; ","")&amp;IF(COUNTIF(코드설정!$F$5:$F$7,업무일지!$AF473)=0,"진행상태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"&amp;업무일지!$G474)</f>
        <v/>
      </c>
      <c r="D506" s="45">
        <f>IF(COUNT(업무일지!$B474:$AG474)+COUNTIF(업무일지!$B474:$AG474,"?*")=0,"",TRIM(IF(업무일지!$B474="","시작일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","")&amp;IF(AND(업무일지!$F474="",업무일지!$G474=""),"사건번호·업무명 모두 없음; ","")&amp;IF(업무일지!$I474="","담당자 없음; ","")&amp;IF(COUNTIF(코드설정!$F$5:$F$7,업무일지!$AF474)=0,"진행상태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"&amp;업무일지!$G475)</f>
        <v/>
      </c>
      <c r="D507" s="45">
        <f>IF(COUNT(업무일지!$B475:$AG475)+COUNTIF(업무일지!$B475:$AG475,"?*")=0,"",TRIM(IF(업무일지!$B475="","시작일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","")&amp;IF(AND(업무일지!$F475="",업무일지!$G475=""),"사건번호·업무명 모두 없음; ","")&amp;IF(업무일지!$I475="","담당자 없음; ","")&amp;IF(COUNTIF(코드설정!$F$5:$F$7,업무일지!$AF475)=0,"진행상태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"&amp;업무일지!$G476)</f>
        <v/>
      </c>
      <c r="D508" s="45">
        <f>IF(COUNT(업무일지!$B476:$AG476)+COUNTIF(업무일지!$B476:$AG476,"?*")=0,"",TRIM(IF(업무일지!$B476="","시작일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","")&amp;IF(AND(업무일지!$F476="",업무일지!$G476=""),"사건번호·업무명 모두 없음; ","")&amp;IF(업무일지!$I476="","담당자 없음; ","")&amp;IF(COUNTIF(코드설정!$F$5:$F$7,업무일지!$AF476)=0,"진행상태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"&amp;업무일지!$G477)</f>
        <v/>
      </c>
      <c r="D509" s="45">
        <f>IF(COUNT(업무일지!$B477:$AG477)+COUNTIF(업무일지!$B477:$AG477,"?*")=0,"",TRIM(IF(업무일지!$B477="","시작일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","")&amp;IF(AND(업무일지!$F477="",업무일지!$G477=""),"사건번호·업무명 모두 없음; ","")&amp;IF(업무일지!$I477="","담당자 없음; ","")&amp;IF(COUNTIF(코드설정!$F$5:$F$7,업무일지!$AF477)=0,"진행상태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"&amp;업무일지!$G478)</f>
        <v/>
      </c>
      <c r="D510" s="45">
        <f>IF(COUNT(업무일지!$B478:$AG478)+COUNTIF(업무일지!$B478:$AG478,"?*")=0,"",TRIM(IF(업무일지!$B478="","시작일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","")&amp;IF(AND(업무일지!$F478="",업무일지!$G478=""),"사건번호·업무명 모두 없음; ","")&amp;IF(업무일지!$I478="","담당자 없음; ","")&amp;IF(COUNTIF(코드설정!$F$5:$F$7,업무일지!$AF478)=0,"진행상태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"&amp;업무일지!$G479)</f>
        <v/>
      </c>
      <c r="D511" s="45">
        <f>IF(COUNT(업무일지!$B479:$AG479)+COUNTIF(업무일지!$B479:$AG479,"?*")=0,"",TRIM(IF(업무일지!$B479="","시작일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","")&amp;IF(AND(업무일지!$F479="",업무일지!$G479=""),"사건번호·업무명 모두 없음; ","")&amp;IF(업무일지!$I479="","담당자 없음; ","")&amp;IF(COUNTIF(코드설정!$F$5:$F$7,업무일지!$AF479)=0,"진행상태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"&amp;업무일지!$G480)</f>
        <v/>
      </c>
      <c r="D512" s="45">
        <f>IF(COUNT(업무일지!$B480:$AG480)+COUNTIF(업무일지!$B480:$AG480,"?*")=0,"",TRIM(IF(업무일지!$B480="","시작일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","")&amp;IF(AND(업무일지!$F480="",업무일지!$G480=""),"사건번호·업무명 모두 없음; ","")&amp;IF(업무일지!$I480="","담당자 없음; ","")&amp;IF(COUNTIF(코드설정!$F$5:$F$7,업무일지!$AF480)=0,"진행상태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"&amp;업무일지!$G481)</f>
        <v/>
      </c>
      <c r="D513" s="45">
        <f>IF(COUNT(업무일지!$B481:$AG481)+COUNTIF(업무일지!$B481:$AG481,"?*")=0,"",TRIM(IF(업무일지!$B481="","시작일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","")&amp;IF(AND(업무일지!$F481="",업무일지!$G481=""),"사건번호·업무명 모두 없음; ","")&amp;IF(업무일지!$I481="","담당자 없음; ","")&amp;IF(COUNTIF(코드설정!$F$5:$F$7,업무일지!$AF481)=0,"진행상태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"&amp;업무일지!$G482)</f>
        <v/>
      </c>
      <c r="D514" s="45">
        <f>IF(COUNT(업무일지!$B482:$AG482)+COUNTIF(업무일지!$B482:$AG482,"?*")=0,"",TRIM(IF(업무일지!$B482="","시작일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","")&amp;IF(AND(업무일지!$F482="",업무일지!$G482=""),"사건번호·업무명 모두 없음; ","")&amp;IF(업무일지!$I482="","담당자 없음; ","")&amp;IF(COUNTIF(코드설정!$F$5:$F$7,업무일지!$AF482)=0,"진행상태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"&amp;업무일지!$G483)</f>
        <v/>
      </c>
      <c r="D515" s="45">
        <f>IF(COUNT(업무일지!$B483:$AG483)+COUNTIF(업무일지!$B483:$AG483,"?*")=0,"",TRIM(IF(업무일지!$B483="","시작일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","")&amp;IF(AND(업무일지!$F483="",업무일지!$G483=""),"사건번호·업무명 모두 없음; ","")&amp;IF(업무일지!$I483="","담당자 없음; ","")&amp;IF(COUNTIF(코드설정!$F$5:$F$7,업무일지!$AF483)=0,"진행상태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"&amp;업무일지!$G484)</f>
        <v/>
      </c>
      <c r="D516" s="45">
        <f>IF(COUNT(업무일지!$B484:$AG484)+COUNTIF(업무일지!$B484:$AG484,"?*")=0,"",TRIM(IF(업무일지!$B484="","시작일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","")&amp;IF(AND(업무일지!$F484="",업무일지!$G484=""),"사건번호·업무명 모두 없음; ","")&amp;IF(업무일지!$I484="","담당자 없음; ","")&amp;IF(COUNTIF(코드설정!$F$5:$F$7,업무일지!$AF484)=0,"진행상태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"&amp;업무일지!$G485)</f>
        <v/>
      </c>
      <c r="D517" s="45">
        <f>IF(COUNT(업무일지!$B485:$AG485)+COUNTIF(업무일지!$B485:$AG485,"?*")=0,"",TRIM(IF(업무일지!$B485="","시작일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","")&amp;IF(AND(업무일지!$F485="",업무일지!$G485=""),"사건번호·업무명 모두 없음; ","")&amp;IF(업무일지!$I485="","담당자 없음; ","")&amp;IF(COUNTIF(코드설정!$F$5:$F$7,업무일지!$AF485)=0,"진행상태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"&amp;업무일지!$G486)</f>
        <v/>
      </c>
      <c r="D518" s="45">
        <f>IF(COUNT(업무일지!$B486:$AG486)+COUNTIF(업무일지!$B486:$AG486,"?*")=0,"",TRIM(IF(업무일지!$B486="","시작일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","")&amp;IF(AND(업무일지!$F486="",업무일지!$G486=""),"사건번호·업무명 모두 없음; ","")&amp;IF(업무일지!$I486="","담당자 없음; ","")&amp;IF(COUNTIF(코드설정!$F$5:$F$7,업무일지!$AF486)=0,"진행상태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"&amp;업무일지!$G487)</f>
        <v/>
      </c>
      <c r="D519" s="45">
        <f>IF(COUNT(업무일지!$B487:$AG487)+COUNTIF(업무일지!$B487:$AG487,"?*")=0,"",TRIM(IF(업무일지!$B487="","시작일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","")&amp;IF(AND(업무일지!$F487="",업무일지!$G487=""),"사건번호·업무명 모두 없음; ","")&amp;IF(업무일지!$I487="","담당자 없음; ","")&amp;IF(COUNTIF(코드설정!$F$5:$F$7,업무일지!$AF487)=0,"진행상태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"&amp;업무일지!$G488)</f>
        <v/>
      </c>
      <c r="D520" s="45">
        <f>IF(COUNT(업무일지!$B488:$AG488)+COUNTIF(업무일지!$B488:$AG488,"?*")=0,"",TRIM(IF(업무일지!$B488="","시작일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","")&amp;IF(AND(업무일지!$F488="",업무일지!$G488=""),"사건번호·업무명 모두 없음; ","")&amp;IF(업무일지!$I488="","담당자 없음; ","")&amp;IF(COUNTIF(코드설정!$F$5:$F$7,업무일지!$AF488)=0,"진행상태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"&amp;업무일지!$G489)</f>
        <v/>
      </c>
      <c r="D521" s="45">
        <f>IF(COUNT(업무일지!$B489:$AG489)+COUNTIF(업무일지!$B489:$AG489,"?*")=0,"",TRIM(IF(업무일지!$B489="","시작일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","")&amp;IF(AND(업무일지!$F489="",업무일지!$G489=""),"사건번호·업무명 모두 없음; ","")&amp;IF(업무일지!$I489="","담당자 없음; ","")&amp;IF(COUNTIF(코드설정!$F$5:$F$7,업무일지!$AF489)=0,"진행상태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"&amp;업무일지!$G490)</f>
        <v/>
      </c>
      <c r="D522" s="45">
        <f>IF(COUNT(업무일지!$B490:$AG490)+COUNTIF(업무일지!$B490:$AG490,"?*")=0,"",TRIM(IF(업무일지!$B490="","시작일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","")&amp;IF(AND(업무일지!$F490="",업무일지!$G490=""),"사건번호·업무명 모두 없음; ","")&amp;IF(업무일지!$I490="","담당자 없음; ","")&amp;IF(COUNTIF(코드설정!$F$5:$F$7,업무일지!$AF490)=0,"진행상태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"&amp;업무일지!$G491)</f>
        <v/>
      </c>
      <c r="D523" s="45">
        <f>IF(COUNT(업무일지!$B491:$AG491)+COUNTIF(업무일지!$B491:$AG491,"?*")=0,"",TRIM(IF(업무일지!$B491="","시작일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","")&amp;IF(AND(업무일지!$F491="",업무일지!$G491=""),"사건번호·업무명 모두 없음; ","")&amp;IF(업무일지!$I491="","담당자 없음; ","")&amp;IF(COUNTIF(코드설정!$F$5:$F$7,업무일지!$AF491)=0,"진행상태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"&amp;업무일지!$G492)</f>
        <v/>
      </c>
      <c r="D524" s="45">
        <f>IF(COUNT(업무일지!$B492:$AG492)+COUNTIF(업무일지!$B492:$AG492,"?*")=0,"",TRIM(IF(업무일지!$B492="","시작일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","")&amp;IF(AND(업무일지!$F492="",업무일지!$G492=""),"사건번호·업무명 모두 없음; ","")&amp;IF(업무일지!$I492="","담당자 없음; ","")&amp;IF(COUNTIF(코드설정!$F$5:$F$7,업무일지!$AF492)=0,"진행상태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"&amp;업무일지!$G493)</f>
        <v/>
      </c>
      <c r="D525" s="45">
        <f>IF(COUNT(업무일지!$B493:$AG493)+COUNTIF(업무일지!$B493:$AG493,"?*")=0,"",TRIM(IF(업무일지!$B493="","시작일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","")&amp;IF(AND(업무일지!$F493="",업무일지!$G493=""),"사건번호·업무명 모두 없음; ","")&amp;IF(업무일지!$I493="","담당자 없음; ","")&amp;IF(COUNTIF(코드설정!$F$5:$F$7,업무일지!$AF493)=0,"진행상태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"&amp;업무일지!$G494)</f>
        <v/>
      </c>
      <c r="D526" s="45">
        <f>IF(COUNT(업무일지!$B494:$AG494)+COUNTIF(업무일지!$B494:$AG494,"?*")=0,"",TRIM(IF(업무일지!$B494="","시작일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","")&amp;IF(AND(업무일지!$F494="",업무일지!$G494=""),"사건번호·업무명 모두 없음; ","")&amp;IF(업무일지!$I494="","담당자 없음; ","")&amp;IF(COUNTIF(코드설정!$F$5:$F$7,업무일지!$AF494)=0,"진행상태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"&amp;업무일지!$G495)</f>
        <v/>
      </c>
      <c r="D527" s="45">
        <f>IF(COUNT(업무일지!$B495:$AG495)+COUNTIF(업무일지!$B495:$AG495,"?*")=0,"",TRIM(IF(업무일지!$B495="","시작일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","")&amp;IF(AND(업무일지!$F495="",업무일지!$G495=""),"사건번호·업무명 모두 없음; ","")&amp;IF(업무일지!$I495="","담당자 없음; ","")&amp;IF(COUNTIF(코드설정!$F$5:$F$7,업무일지!$AF495)=0,"진행상태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"&amp;업무일지!$G496)</f>
        <v/>
      </c>
      <c r="D528" s="45">
        <f>IF(COUNT(업무일지!$B496:$AG496)+COUNTIF(업무일지!$B496:$AG496,"?*")=0,"",TRIM(IF(업무일지!$B496="","시작일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","")&amp;IF(AND(업무일지!$F496="",업무일지!$G496=""),"사건번호·업무명 모두 없음; ","")&amp;IF(업무일지!$I496="","담당자 없음; ","")&amp;IF(COUNTIF(코드설정!$F$5:$F$7,업무일지!$AF496)=0,"진행상태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"&amp;업무일지!$G497)</f>
        <v/>
      </c>
      <c r="D529" s="45">
        <f>IF(COUNT(업무일지!$B497:$AG497)+COUNTIF(업무일지!$B497:$AG497,"?*")=0,"",TRIM(IF(업무일지!$B497="","시작일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","")&amp;IF(AND(업무일지!$F497="",업무일지!$G497=""),"사건번호·업무명 모두 없음; ","")&amp;IF(업무일지!$I497="","담당자 없음; ","")&amp;IF(COUNTIF(코드설정!$F$5:$F$7,업무일지!$AF497)=0,"진행상태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"&amp;업무일지!$G498)</f>
        <v/>
      </c>
      <c r="D530" s="45">
        <f>IF(COUNT(업무일지!$B498:$AG498)+COUNTIF(업무일지!$B498:$AG498,"?*")=0,"",TRIM(IF(업무일지!$B498="","시작일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","")&amp;IF(AND(업무일지!$F498="",업무일지!$G498=""),"사건번호·업무명 모두 없음; ","")&amp;IF(업무일지!$I498="","담당자 없음; ","")&amp;IF(COUNTIF(코드설정!$F$5:$F$7,업무일지!$AF498)=0,"진행상태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"&amp;업무일지!$G499)</f>
        <v/>
      </c>
      <c r="D531" s="45">
        <f>IF(COUNT(업무일지!$B499:$AG499)+COUNTIF(업무일지!$B499:$AG499,"?*")=0,"",TRIM(IF(업무일지!$B499="","시작일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","")&amp;IF(AND(업무일지!$F499="",업무일지!$G499=""),"사건번호·업무명 모두 없음; ","")&amp;IF(업무일지!$I499="","담당자 없음; ","")&amp;IF(COUNTIF(코드설정!$F$5:$F$7,업무일지!$AF499)=0,"진행상태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"&amp;업무일지!$G500)</f>
        <v/>
      </c>
      <c r="D532" s="45">
        <f>IF(COUNT(업무일지!$B500:$AG500)+COUNTIF(업무일지!$B500:$AG500,"?*")=0,"",TRIM(IF(업무일지!$B500="","시작일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","")&amp;IF(AND(업무일지!$F500="",업무일지!$G500=""),"사건번호·업무명 모두 없음; ","")&amp;IF(업무일지!$I500="","담당자 없음; ","")&amp;IF(COUNTIF(코드설정!$F$5:$F$7,업무일지!$AF500)=0,"진행상태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"&amp;업무일지!$G501)</f>
        <v/>
      </c>
      <c r="D533" s="45">
        <f>IF(COUNT(업무일지!$B501:$AG501)+COUNTIF(업무일지!$B501:$AG501,"?*")=0,"",TRIM(IF(업무일지!$B501="","시작일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","")&amp;IF(AND(업무일지!$F501="",업무일지!$G501=""),"사건번호·업무명 모두 없음; ","")&amp;IF(업무일지!$I501="","담당자 없음; ","")&amp;IF(COUNTIF(코드설정!$F$5:$F$7,업무일지!$AF501)=0,"진행상태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"&amp;업무일지!$G502)</f>
        <v/>
      </c>
      <c r="D534" s="45">
        <f>IF(COUNT(업무일지!$B502:$AG502)+COUNTIF(업무일지!$B502:$AG502,"?*")=0,"",TRIM(IF(업무일지!$B502="","시작일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","")&amp;IF(AND(업무일지!$F502="",업무일지!$G502=""),"사건번호·업무명 모두 없음; ","")&amp;IF(업무일지!$I502="","담당자 없음; ","")&amp;IF(COUNTIF(코드설정!$F$5:$F$7,업무일지!$AF502)=0,"진행상태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"&amp;업무일지!$G503)</f>
        <v/>
      </c>
      <c r="D535" s="45">
        <f>IF(COUNT(업무일지!$B503:$AG503)+COUNTIF(업무일지!$B503:$AG503,"?*")=0,"",TRIM(IF(업무일지!$B503="","시작일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","")&amp;IF(AND(업무일지!$F503="",업무일지!$G503=""),"사건번호·업무명 모두 없음; ","")&amp;IF(업무일지!$I503="","담당자 없음; ","")&amp;IF(COUNTIF(코드설정!$F$5:$F$7,업무일지!$AF503)=0,"진행상태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"&amp;업무일지!$G504)</f>
        <v/>
      </c>
      <c r="D536" s="45">
        <f>IF(COUNT(업무일지!$B504:$AG504)+COUNTIF(업무일지!$B504:$AG504,"?*")=0,"",TRIM(IF(업무일지!$B504="","시작일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","")&amp;IF(AND(업무일지!$F504="",업무일지!$G504=""),"사건번호·업무명 모두 없음; ","")&amp;IF(업무일지!$I504="","담당자 없음; ","")&amp;IF(COUNTIF(코드설정!$F$5:$F$7,업무일지!$AF504)=0,"진행상태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"&amp;업무일지!$G505)</f>
        <v/>
      </c>
      <c r="D537" s="45">
        <f>IF(COUNT(업무일지!$B505:$AG505)+COUNTIF(업무일지!$B505:$AG505,"?*")=0,"",TRIM(IF(업무일지!$B505="","시작일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","")&amp;IF(AND(업무일지!$F505="",업무일지!$G505=""),"사건번호·업무명 모두 없음; ","")&amp;IF(업무일지!$I505="","담당자 없음; ","")&amp;IF(COUNTIF(코드설정!$F$5:$F$7,업무일지!$AF505)=0,"진행상태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"&amp;업무일지!$G506)</f>
        <v/>
      </c>
      <c r="D538" s="45">
        <f>IF(COUNT(업무일지!$B506:$AG506)+COUNTIF(업무일지!$B506:$AG506,"?*")=0,"",TRIM(IF(업무일지!$B506="","시작일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","")&amp;IF(AND(업무일지!$F506="",업무일지!$G506=""),"사건번호·업무명 모두 없음; ","")&amp;IF(업무일지!$I506="","담당자 없음; ","")&amp;IF(COUNTIF(코드설정!$F$5:$F$7,업무일지!$AF506)=0,"진행상태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"&amp;업무일지!$G507)</f>
        <v/>
      </c>
      <c r="D539" s="45">
        <f>IF(COUNT(업무일지!$B507:$AG507)+COUNTIF(업무일지!$B507:$AG507,"?*")=0,"",TRIM(IF(업무일지!$B507="","시작일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","")&amp;IF(AND(업무일지!$F507="",업무일지!$G507=""),"사건번호·업무명 모두 없음; ","")&amp;IF(업무일지!$I507="","담당자 없음; ","")&amp;IF(COUNTIF(코드설정!$F$5:$F$7,업무일지!$AF507)=0,"진행상태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"&amp;업무일지!$G508)</f>
        <v/>
      </c>
      <c r="D540" s="45">
        <f>IF(COUNT(업무일지!$B508:$AG508)+COUNTIF(업무일지!$B508:$AG508,"?*")=0,"",TRIM(IF(업무일지!$B508="","시작일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","")&amp;IF(AND(업무일지!$F508="",업무일지!$G508=""),"사건번호·업무명 모두 없음; ","")&amp;IF(업무일지!$I508="","담당자 없음; ","")&amp;IF(COUNTIF(코드설정!$F$5:$F$7,업무일지!$AF508)=0,"진행상태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"&amp;업무일지!$G509)</f>
        <v/>
      </c>
      <c r="D541" s="45">
        <f>IF(COUNT(업무일지!$B509:$AG509)+COUNTIF(업무일지!$B509:$AG509,"?*")=0,"",TRIM(IF(업무일지!$B509="","시작일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","")&amp;IF(AND(업무일지!$F509="",업무일지!$G509=""),"사건번호·업무명 모두 없음; ","")&amp;IF(업무일지!$I509="","담당자 없음; ","")&amp;IF(COUNTIF(코드설정!$F$5:$F$7,업무일지!$AF509)=0,"진행상태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"&amp;업무일지!$G510)</f>
        <v/>
      </c>
      <c r="D542" s="45">
        <f>IF(COUNT(업무일지!$B510:$AG510)+COUNTIF(업무일지!$B510:$AG510,"?*")=0,"",TRIM(IF(업무일지!$B510="","시작일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","")&amp;IF(AND(업무일지!$F510="",업무일지!$G510=""),"사건번호·업무명 모두 없음; ","")&amp;IF(업무일지!$I510="","담당자 없음; ","")&amp;IF(COUNTIF(코드설정!$F$5:$F$7,업무일지!$AF510)=0,"진행상태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"&amp;업무일지!$G511)</f>
        <v/>
      </c>
      <c r="D543" s="45">
        <f>IF(COUNT(업무일지!$B511:$AG511)+COUNTIF(업무일지!$B511:$AG511,"?*")=0,"",TRIM(IF(업무일지!$B511="","시작일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","")&amp;IF(AND(업무일지!$F511="",업무일지!$G511=""),"사건번호·업무명 모두 없음; ","")&amp;IF(업무일지!$I511="","담당자 없음; ","")&amp;IF(COUNTIF(코드설정!$F$5:$F$7,업무일지!$AF511)=0,"진행상태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"&amp;업무일지!$G512)</f>
        <v/>
      </c>
      <c r="D544" s="45">
        <f>IF(COUNT(업무일지!$B512:$AG512)+COUNTIF(업무일지!$B512:$AG512,"?*")=0,"",TRIM(IF(업무일지!$B512="","시작일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","")&amp;IF(AND(업무일지!$F512="",업무일지!$G512=""),"사건번호·업무명 모두 없음; ","")&amp;IF(업무일지!$I512="","담당자 없음; ","")&amp;IF(COUNTIF(코드설정!$F$5:$F$7,업무일지!$AF512)=0,"진행상태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"&amp;업무일지!$G513)</f>
        <v/>
      </c>
      <c r="D545" s="45">
        <f>IF(COUNT(업무일지!$B513:$AG513)+COUNTIF(업무일지!$B513:$AG513,"?*")=0,"",TRIM(IF(업무일지!$B513="","시작일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","")&amp;IF(AND(업무일지!$F513="",업무일지!$G513=""),"사건번호·업무명 모두 없음; ","")&amp;IF(업무일지!$I513="","담당자 없음; ","")&amp;IF(COUNTIF(코드설정!$F$5:$F$7,업무일지!$AF513)=0,"진행상태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"&amp;업무일지!$G514)</f>
        <v/>
      </c>
      <c r="D546" s="45">
        <f>IF(COUNT(업무일지!$B514:$AG514)+COUNTIF(업무일지!$B514:$AG514,"?*")=0,"",TRIM(IF(업무일지!$B514="","시작일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","")&amp;IF(AND(업무일지!$F514="",업무일지!$G514=""),"사건번호·업무명 모두 없음; ","")&amp;IF(업무일지!$I514="","담당자 없음; ","")&amp;IF(COUNTIF(코드설정!$F$5:$F$7,업무일지!$AF514)=0,"진행상태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"&amp;업무일지!$G515)</f>
        <v/>
      </c>
      <c r="D547" s="45">
        <f>IF(COUNT(업무일지!$B515:$AG515)+COUNTIF(업무일지!$B515:$AG515,"?*")=0,"",TRIM(IF(업무일지!$B515="","시작일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","")&amp;IF(AND(업무일지!$F515="",업무일지!$G515=""),"사건번호·업무명 모두 없음; ","")&amp;IF(업무일지!$I515="","담당자 없음; ","")&amp;IF(COUNTIF(코드설정!$F$5:$F$7,업무일지!$AF515)=0,"진행상태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"&amp;업무일지!$G516)</f>
        <v/>
      </c>
      <c r="D548" s="45">
        <f>IF(COUNT(업무일지!$B516:$AG516)+COUNTIF(업무일지!$B516:$AG516,"?*")=0,"",TRIM(IF(업무일지!$B516="","시작일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","")&amp;IF(AND(업무일지!$F516="",업무일지!$G516=""),"사건번호·업무명 모두 없음; ","")&amp;IF(업무일지!$I516="","담당자 없음; ","")&amp;IF(COUNTIF(코드설정!$F$5:$F$7,업무일지!$AF516)=0,"진행상태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"&amp;업무일지!$G517)</f>
        <v/>
      </c>
      <c r="D549" s="45">
        <f>IF(COUNT(업무일지!$B517:$AG517)+COUNTIF(업무일지!$B517:$AG517,"?*")=0,"",TRIM(IF(업무일지!$B517="","시작일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","")&amp;IF(AND(업무일지!$F517="",업무일지!$G517=""),"사건번호·업무명 모두 없음; ","")&amp;IF(업무일지!$I517="","담당자 없음; ","")&amp;IF(COUNTIF(코드설정!$F$5:$F$7,업무일지!$AF517)=0,"진행상태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"&amp;업무일지!$G518)</f>
        <v/>
      </c>
      <c r="D550" s="45">
        <f>IF(COUNT(업무일지!$B518:$AG518)+COUNTIF(업무일지!$B518:$AG518,"?*")=0,"",TRIM(IF(업무일지!$B518="","시작일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","")&amp;IF(AND(업무일지!$F518="",업무일지!$G518=""),"사건번호·업무명 모두 없음; ","")&amp;IF(업무일지!$I518="","담당자 없음; ","")&amp;IF(COUNTIF(코드설정!$F$5:$F$7,업무일지!$AF518)=0,"진행상태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"&amp;업무일지!$G519)</f>
        <v/>
      </c>
      <c r="D551" s="45">
        <f>IF(COUNT(업무일지!$B519:$AG519)+COUNTIF(업무일지!$B519:$AG519,"?*")=0,"",TRIM(IF(업무일지!$B519="","시작일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","")&amp;IF(AND(업무일지!$F519="",업무일지!$G519=""),"사건번호·업무명 모두 없음; ","")&amp;IF(업무일지!$I519="","담당자 없음; ","")&amp;IF(COUNTIF(코드설정!$F$5:$F$7,업무일지!$AF519)=0,"진행상태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"&amp;업무일지!$G520)</f>
        <v/>
      </c>
      <c r="D552" s="45">
        <f>IF(COUNT(업무일지!$B520:$AG520)+COUNTIF(업무일지!$B520:$AG520,"?*")=0,"",TRIM(IF(업무일지!$B520="","시작일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","")&amp;IF(AND(업무일지!$F520="",업무일지!$G520=""),"사건번호·업무명 모두 없음; ","")&amp;IF(업무일지!$I520="","담당자 없음; ","")&amp;IF(COUNTIF(코드설정!$F$5:$F$7,업무일지!$AF520)=0,"진행상태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"&amp;업무일지!$G521)</f>
        <v/>
      </c>
      <c r="D553" s="45">
        <f>IF(COUNT(업무일지!$B521:$AG521)+COUNTIF(업무일지!$B521:$AG521,"?*")=0,"",TRIM(IF(업무일지!$B521="","시작일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","")&amp;IF(AND(업무일지!$F521="",업무일지!$G521=""),"사건번호·업무명 모두 없음; ","")&amp;IF(업무일지!$I521="","담당자 없음; ","")&amp;IF(COUNTIF(코드설정!$F$5:$F$7,업무일지!$AF521)=0,"진행상태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"&amp;업무일지!$G522)</f>
        <v/>
      </c>
      <c r="D554" s="45">
        <f>IF(COUNT(업무일지!$B522:$AG522)+COUNTIF(업무일지!$B522:$AG522,"?*")=0,"",TRIM(IF(업무일지!$B522="","시작일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","")&amp;IF(AND(업무일지!$F522="",업무일지!$G522=""),"사건번호·업무명 모두 없음; ","")&amp;IF(업무일지!$I522="","담당자 없음; ","")&amp;IF(COUNTIF(코드설정!$F$5:$F$7,업무일지!$AF522)=0,"진행상태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"&amp;업무일지!$G523)</f>
        <v/>
      </c>
      <c r="D555" s="45">
        <f>IF(COUNT(업무일지!$B523:$AG523)+COUNTIF(업무일지!$B523:$AG523,"?*")=0,"",TRIM(IF(업무일지!$B523="","시작일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","")&amp;IF(AND(업무일지!$F523="",업무일지!$G523=""),"사건번호·업무명 모두 없음; ","")&amp;IF(업무일지!$I523="","담당자 없음; ","")&amp;IF(COUNTIF(코드설정!$F$5:$F$7,업무일지!$AF523)=0,"진행상태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"&amp;업무일지!$G524)</f>
        <v/>
      </c>
      <c r="D556" s="45">
        <f>IF(COUNT(업무일지!$B524:$AG524)+COUNTIF(업무일지!$B524:$AG524,"?*")=0,"",TRIM(IF(업무일지!$B524="","시작일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","")&amp;IF(AND(업무일지!$F524="",업무일지!$G524=""),"사건번호·업무명 모두 없음; ","")&amp;IF(업무일지!$I524="","담당자 없음; ","")&amp;IF(COUNTIF(코드설정!$F$5:$F$7,업무일지!$AF524)=0,"진행상태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"&amp;업무일지!$G525)</f>
        <v/>
      </c>
      <c r="D557" s="45">
        <f>IF(COUNT(업무일지!$B525:$AG525)+COUNTIF(업무일지!$B525:$AG525,"?*")=0,"",TRIM(IF(업무일지!$B525="","시작일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","")&amp;IF(AND(업무일지!$F525="",업무일지!$G525=""),"사건번호·업무명 모두 없음; ","")&amp;IF(업무일지!$I525="","담당자 없음; ","")&amp;IF(COUNTIF(코드설정!$F$5:$F$7,업무일지!$AF525)=0,"진행상태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"&amp;업무일지!$G526)</f>
        <v/>
      </c>
      <c r="D558" s="45">
        <f>IF(COUNT(업무일지!$B526:$AG526)+COUNTIF(업무일지!$B526:$AG526,"?*")=0,"",TRIM(IF(업무일지!$B526="","시작일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","")&amp;IF(AND(업무일지!$F526="",업무일지!$G526=""),"사건번호·업무명 모두 없음; ","")&amp;IF(업무일지!$I526="","담당자 없음; ","")&amp;IF(COUNTIF(코드설정!$F$5:$F$7,업무일지!$AF526)=0,"진행상태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"&amp;업무일지!$G527)</f>
        <v/>
      </c>
      <c r="D559" s="45">
        <f>IF(COUNT(업무일지!$B527:$AG527)+COUNTIF(업무일지!$B527:$AG527,"?*")=0,"",TRIM(IF(업무일지!$B527="","시작일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","")&amp;IF(AND(업무일지!$F527="",업무일지!$G527=""),"사건번호·업무명 모두 없음; ","")&amp;IF(업무일지!$I527="","담당자 없음; ","")&amp;IF(COUNTIF(코드설정!$F$5:$F$7,업무일지!$AF527)=0,"진행상태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"&amp;업무일지!$G528)</f>
        <v/>
      </c>
      <c r="D560" s="45">
        <f>IF(COUNT(업무일지!$B528:$AG528)+COUNTIF(업무일지!$B528:$AG528,"?*")=0,"",TRIM(IF(업무일지!$B528="","시작일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","")&amp;IF(AND(업무일지!$F528="",업무일지!$G528=""),"사건번호·업무명 모두 없음; ","")&amp;IF(업무일지!$I528="","담당자 없음; ","")&amp;IF(COUNTIF(코드설정!$F$5:$F$7,업무일지!$AF528)=0,"진행상태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"&amp;업무일지!$G529)</f>
        <v/>
      </c>
      <c r="D561" s="45">
        <f>IF(COUNT(업무일지!$B529:$AG529)+COUNTIF(업무일지!$B529:$AG529,"?*")=0,"",TRIM(IF(업무일지!$B529="","시작일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","")&amp;IF(AND(업무일지!$F529="",업무일지!$G529=""),"사건번호·업무명 모두 없음; ","")&amp;IF(업무일지!$I529="","담당자 없음; ","")&amp;IF(COUNTIF(코드설정!$F$5:$F$7,업무일지!$AF529)=0,"진행상태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"&amp;업무일지!$G530)</f>
        <v/>
      </c>
      <c r="D562" s="45">
        <f>IF(COUNT(업무일지!$B530:$AG530)+COUNTIF(업무일지!$B530:$AG530,"?*")=0,"",TRIM(IF(업무일지!$B530="","시작일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","")&amp;IF(AND(업무일지!$F530="",업무일지!$G530=""),"사건번호·업무명 모두 없음; ","")&amp;IF(업무일지!$I530="","담당자 없음; ","")&amp;IF(COUNTIF(코드설정!$F$5:$F$7,업무일지!$AF530)=0,"진행상태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"&amp;업무일지!$G531)</f>
        <v/>
      </c>
      <c r="D563" s="45">
        <f>IF(COUNT(업무일지!$B531:$AG531)+COUNTIF(업무일지!$B531:$AG531,"?*")=0,"",TRIM(IF(업무일지!$B531="","시작일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","")&amp;IF(AND(업무일지!$F531="",업무일지!$G531=""),"사건번호·업무명 모두 없음; ","")&amp;IF(업무일지!$I531="","담당자 없음; ","")&amp;IF(COUNTIF(코드설정!$F$5:$F$7,업무일지!$AF531)=0,"진행상태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"&amp;업무일지!$G532)</f>
        <v/>
      </c>
      <c r="D564" s="45">
        <f>IF(COUNT(업무일지!$B532:$AG532)+COUNTIF(업무일지!$B532:$AG532,"?*")=0,"",TRIM(IF(업무일지!$B532="","시작일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","")&amp;IF(AND(업무일지!$F532="",업무일지!$G532=""),"사건번호·업무명 모두 없음; ","")&amp;IF(업무일지!$I532="","담당자 없음; ","")&amp;IF(COUNTIF(코드설정!$F$5:$F$7,업무일지!$AF532)=0,"진행상태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"&amp;업무일지!$G533)</f>
        <v/>
      </c>
      <c r="D565" s="45">
        <f>IF(COUNT(업무일지!$B533:$AG533)+COUNTIF(업무일지!$B533:$AG533,"?*")=0,"",TRIM(IF(업무일지!$B533="","시작일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","")&amp;IF(AND(업무일지!$F533="",업무일지!$G533=""),"사건번호·업무명 모두 없음; ","")&amp;IF(업무일지!$I533="","담당자 없음; ","")&amp;IF(COUNTIF(코드설정!$F$5:$F$7,업무일지!$AF533)=0,"진행상태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"&amp;업무일지!$G534)</f>
        <v/>
      </c>
      <c r="D566" s="45">
        <f>IF(COUNT(업무일지!$B534:$AG534)+COUNTIF(업무일지!$B534:$AG534,"?*")=0,"",TRIM(IF(업무일지!$B534="","시작일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","")&amp;IF(AND(업무일지!$F534="",업무일지!$G534=""),"사건번호·업무명 모두 없음; ","")&amp;IF(업무일지!$I534="","담당자 없음; ","")&amp;IF(COUNTIF(코드설정!$F$5:$F$7,업무일지!$AF534)=0,"진행상태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"&amp;업무일지!$G535)</f>
        <v/>
      </c>
      <c r="D567" s="45">
        <f>IF(COUNT(업무일지!$B535:$AG535)+COUNTIF(업무일지!$B535:$AG535,"?*")=0,"",TRIM(IF(업무일지!$B535="","시작일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","")&amp;IF(AND(업무일지!$F535="",업무일지!$G535=""),"사건번호·업무명 모두 없음; ","")&amp;IF(업무일지!$I535="","담당자 없음; ","")&amp;IF(COUNTIF(코드설정!$F$5:$F$7,업무일지!$AF535)=0,"진행상태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"&amp;업무일지!$G536)</f>
        <v/>
      </c>
      <c r="D568" s="45">
        <f>IF(COUNT(업무일지!$B536:$AG536)+COUNTIF(업무일지!$B536:$AG536,"?*")=0,"",TRIM(IF(업무일지!$B536="","시작일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","")&amp;IF(AND(업무일지!$F536="",업무일지!$G536=""),"사건번호·업무명 모두 없음; ","")&amp;IF(업무일지!$I536="","담당자 없음; ","")&amp;IF(COUNTIF(코드설정!$F$5:$F$7,업무일지!$AF536)=0,"진행상태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"&amp;업무일지!$G537)</f>
        <v/>
      </c>
      <c r="D569" s="45">
        <f>IF(COUNT(업무일지!$B537:$AG537)+COUNTIF(업무일지!$B537:$AG537,"?*")=0,"",TRIM(IF(업무일지!$B537="","시작일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","")&amp;IF(AND(업무일지!$F537="",업무일지!$G537=""),"사건번호·업무명 모두 없음; ","")&amp;IF(업무일지!$I537="","담당자 없음; ","")&amp;IF(COUNTIF(코드설정!$F$5:$F$7,업무일지!$AF537)=0,"진행상태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"&amp;업무일지!$G538)</f>
        <v/>
      </c>
      <c r="D570" s="45">
        <f>IF(COUNT(업무일지!$B538:$AG538)+COUNTIF(업무일지!$B538:$AG538,"?*")=0,"",TRIM(IF(업무일지!$B538="","시작일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","")&amp;IF(AND(업무일지!$F538="",업무일지!$G538=""),"사건번호·업무명 모두 없음; ","")&amp;IF(업무일지!$I538="","담당자 없음; ","")&amp;IF(COUNTIF(코드설정!$F$5:$F$7,업무일지!$AF538)=0,"진행상태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"&amp;업무일지!$G539)</f>
        <v/>
      </c>
      <c r="D571" s="45">
        <f>IF(COUNT(업무일지!$B539:$AG539)+COUNTIF(업무일지!$B539:$AG539,"?*")=0,"",TRIM(IF(업무일지!$B539="","시작일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","")&amp;IF(AND(업무일지!$F539="",업무일지!$G539=""),"사건번호·업무명 모두 없음; ","")&amp;IF(업무일지!$I539="","담당자 없음; ","")&amp;IF(COUNTIF(코드설정!$F$5:$F$7,업무일지!$AF539)=0,"진행상태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"&amp;업무일지!$G540)</f>
        <v/>
      </c>
      <c r="D572" s="45">
        <f>IF(COUNT(업무일지!$B540:$AG540)+COUNTIF(업무일지!$B540:$AG540,"?*")=0,"",TRIM(IF(업무일지!$B540="","시작일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","")&amp;IF(AND(업무일지!$F540="",업무일지!$G540=""),"사건번호·업무명 모두 없음; ","")&amp;IF(업무일지!$I540="","담당자 없음; ","")&amp;IF(COUNTIF(코드설정!$F$5:$F$7,업무일지!$AF540)=0,"진행상태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"&amp;업무일지!$G541)</f>
        <v/>
      </c>
      <c r="D573" s="45">
        <f>IF(COUNT(업무일지!$B541:$AG541)+COUNTIF(업무일지!$B541:$AG541,"?*")=0,"",TRIM(IF(업무일지!$B541="","시작일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","")&amp;IF(AND(업무일지!$F541="",업무일지!$G541=""),"사건번호·업무명 모두 없음; ","")&amp;IF(업무일지!$I541="","담당자 없음; ","")&amp;IF(COUNTIF(코드설정!$F$5:$F$7,업무일지!$AF541)=0,"진행상태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"&amp;업무일지!$G542)</f>
        <v/>
      </c>
      <c r="D574" s="45">
        <f>IF(COUNT(업무일지!$B542:$AG542)+COUNTIF(업무일지!$B542:$AG542,"?*")=0,"",TRIM(IF(업무일지!$B542="","시작일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","")&amp;IF(AND(업무일지!$F542="",업무일지!$G542=""),"사건번호·업무명 모두 없음; ","")&amp;IF(업무일지!$I542="","담당자 없음; ","")&amp;IF(COUNTIF(코드설정!$F$5:$F$7,업무일지!$AF542)=0,"진행상태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"&amp;업무일지!$G543)</f>
        <v/>
      </c>
      <c r="D575" s="45">
        <f>IF(COUNT(업무일지!$B543:$AG543)+COUNTIF(업무일지!$B543:$AG543,"?*")=0,"",TRIM(IF(업무일지!$B543="","시작일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","")&amp;IF(AND(업무일지!$F543="",업무일지!$G543=""),"사건번호·업무명 모두 없음; ","")&amp;IF(업무일지!$I543="","담당자 없음; ","")&amp;IF(COUNTIF(코드설정!$F$5:$F$7,업무일지!$AF543)=0,"진행상태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"&amp;업무일지!$G544)</f>
        <v/>
      </c>
      <c r="D576" s="45">
        <f>IF(COUNT(업무일지!$B544:$AG544)+COUNTIF(업무일지!$B544:$AG544,"?*")=0,"",TRIM(IF(업무일지!$B544="","시작일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","")&amp;IF(AND(업무일지!$F544="",업무일지!$G544=""),"사건번호·업무명 모두 없음; ","")&amp;IF(업무일지!$I544="","담당자 없음; ","")&amp;IF(COUNTIF(코드설정!$F$5:$F$7,업무일지!$AF544)=0,"진행상태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"&amp;업무일지!$G545)</f>
        <v/>
      </c>
      <c r="D577" s="45">
        <f>IF(COUNT(업무일지!$B545:$AG545)+COUNTIF(업무일지!$B545:$AG545,"?*")=0,"",TRIM(IF(업무일지!$B545="","시작일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","")&amp;IF(AND(업무일지!$F545="",업무일지!$G545=""),"사건번호·업무명 모두 없음; ","")&amp;IF(업무일지!$I545="","담당자 없음; ","")&amp;IF(COUNTIF(코드설정!$F$5:$F$7,업무일지!$AF545)=0,"진행상태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"&amp;업무일지!$G546)</f>
        <v/>
      </c>
      <c r="D578" s="45">
        <f>IF(COUNT(업무일지!$B546:$AG546)+COUNTIF(업무일지!$B546:$AG546,"?*")=0,"",TRIM(IF(업무일지!$B546="","시작일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","")&amp;IF(AND(업무일지!$F546="",업무일지!$G546=""),"사건번호·업무명 모두 없음; ","")&amp;IF(업무일지!$I546="","담당자 없음; ","")&amp;IF(COUNTIF(코드설정!$F$5:$F$7,업무일지!$AF546)=0,"진행상태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"&amp;업무일지!$G547)</f>
        <v/>
      </c>
      <c r="D579" s="45">
        <f>IF(COUNT(업무일지!$B547:$AG547)+COUNTIF(업무일지!$B547:$AG547,"?*")=0,"",TRIM(IF(업무일지!$B547="","시작일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","")&amp;IF(AND(업무일지!$F547="",업무일지!$G547=""),"사건번호·업무명 모두 없음; ","")&amp;IF(업무일지!$I547="","담당자 없음; ","")&amp;IF(COUNTIF(코드설정!$F$5:$F$7,업무일지!$AF547)=0,"진행상태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"&amp;업무일지!$G548)</f>
        <v/>
      </c>
      <c r="D580" s="45">
        <f>IF(COUNT(업무일지!$B548:$AG548)+COUNTIF(업무일지!$B548:$AG548,"?*")=0,"",TRIM(IF(업무일지!$B548="","시작일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","")&amp;IF(AND(업무일지!$F548="",업무일지!$G548=""),"사건번호·업무명 모두 없음; ","")&amp;IF(업무일지!$I548="","담당자 없음; ","")&amp;IF(COUNTIF(코드설정!$F$5:$F$7,업무일지!$AF548)=0,"진행상태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"&amp;업무일지!$G549)</f>
        <v/>
      </c>
      <c r="D581" s="45">
        <f>IF(COUNT(업무일지!$B549:$AG549)+COUNTIF(업무일지!$B549:$AG549,"?*")=0,"",TRIM(IF(업무일지!$B549="","시작일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","")&amp;IF(AND(업무일지!$F549="",업무일지!$G549=""),"사건번호·업무명 모두 없음; ","")&amp;IF(업무일지!$I549="","담당자 없음; ","")&amp;IF(COUNTIF(코드설정!$F$5:$F$7,업무일지!$AF549)=0,"진행상태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"&amp;업무일지!$G550)</f>
        <v/>
      </c>
      <c r="D582" s="45">
        <f>IF(COUNT(업무일지!$B550:$AG550)+COUNTIF(업무일지!$B550:$AG550,"?*")=0,"",TRIM(IF(업무일지!$B550="","시작일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","")&amp;IF(AND(업무일지!$F550="",업무일지!$G550=""),"사건번호·업무명 모두 없음; ","")&amp;IF(업무일지!$I550="","담당자 없음; ","")&amp;IF(COUNTIF(코드설정!$F$5:$F$7,업무일지!$AF550)=0,"진행상태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"&amp;업무일지!$G551)</f>
        <v/>
      </c>
      <c r="D583" s="45">
        <f>IF(COUNT(업무일지!$B551:$AG551)+COUNTIF(업무일지!$B551:$AG551,"?*")=0,"",TRIM(IF(업무일지!$B551="","시작일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","")&amp;IF(AND(업무일지!$F551="",업무일지!$G551=""),"사건번호·업무명 모두 없음; ","")&amp;IF(업무일지!$I551="","담당자 없음; ","")&amp;IF(COUNTIF(코드설정!$F$5:$F$7,업무일지!$AF551)=0,"진행상태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"&amp;업무일지!$G552)</f>
        <v/>
      </c>
      <c r="D584" s="45">
        <f>IF(COUNT(업무일지!$B552:$AG552)+COUNTIF(업무일지!$B552:$AG552,"?*")=0,"",TRIM(IF(업무일지!$B552="","시작일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","")&amp;IF(AND(업무일지!$F552="",업무일지!$G552=""),"사건번호·업무명 모두 없음; ","")&amp;IF(업무일지!$I552="","담당자 없음; ","")&amp;IF(COUNTIF(코드설정!$F$5:$F$7,업무일지!$AF552)=0,"진행상태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"&amp;업무일지!$G553)</f>
        <v/>
      </c>
      <c r="D585" s="45">
        <f>IF(COUNT(업무일지!$B553:$AG553)+COUNTIF(업무일지!$B553:$AG553,"?*")=0,"",TRIM(IF(업무일지!$B553="","시작일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","")&amp;IF(AND(업무일지!$F553="",업무일지!$G553=""),"사건번호·업무명 모두 없음; ","")&amp;IF(업무일지!$I553="","담당자 없음; ","")&amp;IF(COUNTIF(코드설정!$F$5:$F$7,업무일지!$AF553)=0,"진행상태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"&amp;업무일지!$G554)</f>
        <v/>
      </c>
      <c r="D586" s="45">
        <f>IF(COUNT(업무일지!$B554:$AG554)+COUNTIF(업무일지!$B554:$AG554,"?*")=0,"",TRIM(IF(업무일지!$B554="","시작일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","")&amp;IF(AND(업무일지!$F554="",업무일지!$G554=""),"사건번호·업무명 모두 없음; ","")&amp;IF(업무일지!$I554="","담당자 없음; ","")&amp;IF(COUNTIF(코드설정!$F$5:$F$7,업무일지!$AF554)=0,"진행상태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"&amp;업무일지!$G555)</f>
        <v/>
      </c>
      <c r="D587" s="45">
        <f>IF(COUNT(업무일지!$B555:$AG555)+COUNTIF(업무일지!$B555:$AG555,"?*")=0,"",TRIM(IF(업무일지!$B555="","시작일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","")&amp;IF(AND(업무일지!$F555="",업무일지!$G555=""),"사건번호·업무명 모두 없음; ","")&amp;IF(업무일지!$I555="","담당자 없음; ","")&amp;IF(COUNTIF(코드설정!$F$5:$F$7,업무일지!$AF555)=0,"진행상태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"&amp;업무일지!$G556)</f>
        <v/>
      </c>
      <c r="D588" s="45">
        <f>IF(COUNT(업무일지!$B556:$AG556)+COUNTIF(업무일지!$B556:$AG556,"?*")=0,"",TRIM(IF(업무일지!$B556="","시작일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","")&amp;IF(AND(업무일지!$F556="",업무일지!$G556=""),"사건번호·업무명 모두 없음; ","")&amp;IF(업무일지!$I556="","담당자 없음; ","")&amp;IF(COUNTIF(코드설정!$F$5:$F$7,업무일지!$AF556)=0,"진행상태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"&amp;업무일지!$G557)</f>
        <v/>
      </c>
      <c r="D589" s="45">
        <f>IF(COUNT(업무일지!$B557:$AG557)+COUNTIF(업무일지!$B557:$AG557,"?*")=0,"",TRIM(IF(업무일지!$B557="","시작일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","")&amp;IF(AND(업무일지!$F557="",업무일지!$G557=""),"사건번호·업무명 모두 없음; ","")&amp;IF(업무일지!$I557="","담당자 없음; ","")&amp;IF(COUNTIF(코드설정!$F$5:$F$7,업무일지!$AF557)=0,"진행상태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"&amp;업무일지!$G558)</f>
        <v/>
      </c>
      <c r="D590" s="45">
        <f>IF(COUNT(업무일지!$B558:$AG558)+COUNTIF(업무일지!$B558:$AG558,"?*")=0,"",TRIM(IF(업무일지!$B558="","시작일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","")&amp;IF(AND(업무일지!$F558="",업무일지!$G558=""),"사건번호·업무명 모두 없음; ","")&amp;IF(업무일지!$I558="","담당자 없음; ","")&amp;IF(COUNTIF(코드설정!$F$5:$F$7,업무일지!$AF558)=0,"진행상태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"&amp;업무일지!$G559)</f>
        <v/>
      </c>
      <c r="D591" s="45">
        <f>IF(COUNT(업무일지!$B559:$AG559)+COUNTIF(업무일지!$B559:$AG559,"?*")=0,"",TRIM(IF(업무일지!$B559="","시작일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","")&amp;IF(AND(업무일지!$F559="",업무일지!$G559=""),"사건번호·업무명 모두 없음; ","")&amp;IF(업무일지!$I559="","담당자 없음; ","")&amp;IF(COUNTIF(코드설정!$F$5:$F$7,업무일지!$AF559)=0,"진행상태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"&amp;업무일지!$G560)</f>
        <v/>
      </c>
      <c r="D592" s="45">
        <f>IF(COUNT(업무일지!$B560:$AG560)+COUNTIF(업무일지!$B560:$AG560,"?*")=0,"",TRIM(IF(업무일지!$B560="","시작일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","")&amp;IF(AND(업무일지!$F560="",업무일지!$G560=""),"사건번호·업무명 모두 없음; ","")&amp;IF(업무일지!$I560="","담당자 없음; ","")&amp;IF(COUNTIF(코드설정!$F$5:$F$7,업무일지!$AF560)=0,"진행상태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"&amp;업무일지!$G561)</f>
        <v/>
      </c>
      <c r="D593" s="45">
        <f>IF(COUNT(업무일지!$B561:$AG561)+COUNTIF(업무일지!$B561:$AG561,"?*")=0,"",TRIM(IF(업무일지!$B561="","시작일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","")&amp;IF(AND(업무일지!$F561="",업무일지!$G561=""),"사건번호·업무명 모두 없음; ","")&amp;IF(업무일지!$I561="","담당자 없음; ","")&amp;IF(COUNTIF(코드설정!$F$5:$F$7,업무일지!$AF561)=0,"진행상태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"&amp;업무일지!$G562)</f>
        <v/>
      </c>
      <c r="D594" s="45">
        <f>IF(COUNT(업무일지!$B562:$AG562)+COUNTIF(업무일지!$B562:$AG562,"?*")=0,"",TRIM(IF(업무일지!$B562="","시작일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","")&amp;IF(AND(업무일지!$F562="",업무일지!$G562=""),"사건번호·업무명 모두 없음; ","")&amp;IF(업무일지!$I562="","담당자 없음; ","")&amp;IF(COUNTIF(코드설정!$F$5:$F$7,업무일지!$AF562)=0,"진행상태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"&amp;업무일지!$G563)</f>
        <v/>
      </c>
      <c r="D595" s="45">
        <f>IF(COUNT(업무일지!$B563:$AG563)+COUNTIF(업무일지!$B563:$AG563,"?*")=0,"",TRIM(IF(업무일지!$B563="","시작일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","")&amp;IF(AND(업무일지!$F563="",업무일지!$G563=""),"사건번호·업무명 모두 없음; ","")&amp;IF(업무일지!$I563="","담당자 없음; ","")&amp;IF(COUNTIF(코드설정!$F$5:$F$7,업무일지!$AF563)=0,"진행상태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"&amp;업무일지!$G564)</f>
        <v/>
      </c>
      <c r="D596" s="45">
        <f>IF(COUNT(업무일지!$B564:$AG564)+COUNTIF(업무일지!$B564:$AG564,"?*")=0,"",TRIM(IF(업무일지!$B564="","시작일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","")&amp;IF(AND(업무일지!$F564="",업무일지!$G564=""),"사건번호·업무명 모두 없음; ","")&amp;IF(업무일지!$I564="","담당자 없음; ","")&amp;IF(COUNTIF(코드설정!$F$5:$F$7,업무일지!$AF564)=0,"진행상태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"&amp;업무일지!$G565)</f>
        <v/>
      </c>
      <c r="D597" s="45">
        <f>IF(COUNT(업무일지!$B565:$AG565)+COUNTIF(업무일지!$B565:$AG565,"?*")=0,"",TRIM(IF(업무일지!$B565="","시작일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","")&amp;IF(AND(업무일지!$F565="",업무일지!$G565=""),"사건번호·업무명 모두 없음; ","")&amp;IF(업무일지!$I565="","담당자 없음; ","")&amp;IF(COUNTIF(코드설정!$F$5:$F$7,업무일지!$AF565)=0,"진행상태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"&amp;업무일지!$G566)</f>
        <v/>
      </c>
      <c r="D598" s="45">
        <f>IF(COUNT(업무일지!$B566:$AG566)+COUNTIF(업무일지!$B566:$AG566,"?*")=0,"",TRIM(IF(업무일지!$B566="","시작일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","")&amp;IF(AND(업무일지!$F566="",업무일지!$G566=""),"사건번호·업무명 모두 없음; ","")&amp;IF(업무일지!$I566="","담당자 없음; ","")&amp;IF(COUNTIF(코드설정!$F$5:$F$7,업무일지!$AF566)=0,"진행상태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"&amp;업무일지!$G567)</f>
        <v/>
      </c>
      <c r="D599" s="45">
        <f>IF(COUNT(업무일지!$B567:$AG567)+COUNTIF(업무일지!$B567:$AG567,"?*")=0,"",TRIM(IF(업무일지!$B567="","시작일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","")&amp;IF(AND(업무일지!$F567="",업무일지!$G567=""),"사건번호·업무명 모두 없음; ","")&amp;IF(업무일지!$I567="","담당자 없음; ","")&amp;IF(COUNTIF(코드설정!$F$5:$F$7,업무일지!$AF567)=0,"진행상태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"&amp;업무일지!$G568)</f>
        <v/>
      </c>
      <c r="D600" s="45">
        <f>IF(COUNT(업무일지!$B568:$AG568)+COUNTIF(업무일지!$B568:$AG568,"?*")=0,"",TRIM(IF(업무일지!$B568="","시작일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","")&amp;IF(AND(업무일지!$F568="",업무일지!$G568=""),"사건번호·업무명 모두 없음; ","")&amp;IF(업무일지!$I568="","담당자 없음; ","")&amp;IF(COUNTIF(코드설정!$F$5:$F$7,업무일지!$AF568)=0,"진행상태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"&amp;업무일지!$G569)</f>
        <v/>
      </c>
      <c r="D601" s="45">
        <f>IF(COUNT(업무일지!$B569:$AG569)+COUNTIF(업무일지!$B569:$AG569,"?*")=0,"",TRIM(IF(업무일지!$B569="","시작일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","")&amp;IF(AND(업무일지!$F569="",업무일지!$G569=""),"사건번호·업무명 모두 없음; ","")&amp;IF(업무일지!$I569="","담당자 없음; ","")&amp;IF(COUNTIF(코드설정!$F$5:$F$7,업무일지!$AF569)=0,"진행상태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"&amp;업무일지!$G570)</f>
        <v/>
      </c>
      <c r="D602" s="45">
        <f>IF(COUNT(업무일지!$B570:$AG570)+COUNTIF(업무일지!$B570:$AG570,"?*")=0,"",TRIM(IF(업무일지!$B570="","시작일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","")&amp;IF(AND(업무일지!$F570="",업무일지!$G570=""),"사건번호·업무명 모두 없음; ","")&amp;IF(업무일지!$I570="","담당자 없음; ","")&amp;IF(COUNTIF(코드설정!$F$5:$F$7,업무일지!$AF570)=0,"진행상태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"&amp;업무일지!$G571)</f>
        <v/>
      </c>
      <c r="D603" s="45">
        <f>IF(COUNT(업무일지!$B571:$AG571)+COUNTIF(업무일지!$B571:$AG571,"?*")=0,"",TRIM(IF(업무일지!$B571="","시작일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","")&amp;IF(AND(업무일지!$F571="",업무일지!$G571=""),"사건번호·업무명 모두 없음; ","")&amp;IF(업무일지!$I571="","담당자 없음; ","")&amp;IF(COUNTIF(코드설정!$F$5:$F$7,업무일지!$AF571)=0,"진행상태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"&amp;업무일지!$G572)</f>
        <v/>
      </c>
      <c r="D604" s="45">
        <f>IF(COUNT(업무일지!$B572:$AG572)+COUNTIF(업무일지!$B572:$AG572,"?*")=0,"",TRIM(IF(업무일지!$B572="","시작일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","")&amp;IF(AND(업무일지!$F572="",업무일지!$G572=""),"사건번호·업무명 모두 없음; ","")&amp;IF(업무일지!$I572="","담당자 없음; ","")&amp;IF(COUNTIF(코드설정!$F$5:$F$7,업무일지!$AF572)=0,"진행상태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"&amp;업무일지!$G573)</f>
        <v/>
      </c>
      <c r="D605" s="45">
        <f>IF(COUNT(업무일지!$B573:$AG573)+COUNTIF(업무일지!$B573:$AG573,"?*")=0,"",TRIM(IF(업무일지!$B573="","시작일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","")&amp;IF(AND(업무일지!$F573="",업무일지!$G573=""),"사건번호·업무명 모두 없음; ","")&amp;IF(업무일지!$I573="","담당자 없음; ","")&amp;IF(COUNTIF(코드설정!$F$5:$F$7,업무일지!$AF573)=0,"진행상태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"&amp;업무일지!$G574)</f>
        <v/>
      </c>
      <c r="D606" s="45">
        <f>IF(COUNT(업무일지!$B574:$AG574)+COUNTIF(업무일지!$B574:$AG574,"?*")=0,"",TRIM(IF(업무일지!$B574="","시작일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","")&amp;IF(AND(업무일지!$F574="",업무일지!$G574=""),"사건번호·업무명 모두 없음; ","")&amp;IF(업무일지!$I574="","담당자 없음; ","")&amp;IF(COUNTIF(코드설정!$F$5:$F$7,업무일지!$AF574)=0,"진행상태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"&amp;업무일지!$G575)</f>
        <v/>
      </c>
      <c r="D607" s="45">
        <f>IF(COUNT(업무일지!$B575:$AG575)+COUNTIF(업무일지!$B575:$AG575,"?*")=0,"",TRIM(IF(업무일지!$B575="","시작일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","")&amp;IF(AND(업무일지!$F575="",업무일지!$G575=""),"사건번호·업무명 모두 없음; ","")&amp;IF(업무일지!$I575="","담당자 없음; ","")&amp;IF(COUNTIF(코드설정!$F$5:$F$7,업무일지!$AF575)=0,"진행상태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"&amp;업무일지!$G576)</f>
        <v/>
      </c>
      <c r="D608" s="45">
        <f>IF(COUNT(업무일지!$B576:$AG576)+COUNTIF(업무일지!$B576:$AG576,"?*")=0,"",TRIM(IF(업무일지!$B576="","시작일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","")&amp;IF(AND(업무일지!$F576="",업무일지!$G576=""),"사건번호·업무명 모두 없음; ","")&amp;IF(업무일지!$I576="","담당자 없음; ","")&amp;IF(COUNTIF(코드설정!$F$5:$F$7,업무일지!$AF576)=0,"진행상태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"&amp;업무일지!$G577)</f>
        <v/>
      </c>
      <c r="D609" s="45">
        <f>IF(COUNT(업무일지!$B577:$AG577)+COUNTIF(업무일지!$B577:$AG577,"?*")=0,"",TRIM(IF(업무일지!$B577="","시작일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","")&amp;IF(AND(업무일지!$F577="",업무일지!$G577=""),"사건번호·업무명 모두 없음; ","")&amp;IF(업무일지!$I577="","담당자 없음; ","")&amp;IF(COUNTIF(코드설정!$F$5:$F$7,업무일지!$AF577)=0,"진행상태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"&amp;업무일지!$G578)</f>
        <v/>
      </c>
      <c r="D610" s="45">
        <f>IF(COUNT(업무일지!$B578:$AG578)+COUNTIF(업무일지!$B578:$AG578,"?*")=0,"",TRIM(IF(업무일지!$B578="","시작일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","")&amp;IF(AND(업무일지!$F578="",업무일지!$G578=""),"사건번호·업무명 모두 없음; ","")&amp;IF(업무일지!$I578="","담당자 없음; ","")&amp;IF(COUNTIF(코드설정!$F$5:$F$7,업무일지!$AF578)=0,"진행상태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"&amp;업무일지!$G579)</f>
        <v/>
      </c>
      <c r="D611" s="45">
        <f>IF(COUNT(업무일지!$B579:$AG579)+COUNTIF(업무일지!$B579:$AG579,"?*")=0,"",TRIM(IF(업무일지!$B579="","시작일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","")&amp;IF(AND(업무일지!$F579="",업무일지!$G579=""),"사건번호·업무명 모두 없음; ","")&amp;IF(업무일지!$I579="","담당자 없음; ","")&amp;IF(COUNTIF(코드설정!$F$5:$F$7,업무일지!$AF579)=0,"진행상태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"&amp;업무일지!$G580)</f>
        <v/>
      </c>
      <c r="D612" s="45">
        <f>IF(COUNT(업무일지!$B580:$AG580)+COUNTIF(업무일지!$B580:$AG580,"?*")=0,"",TRIM(IF(업무일지!$B580="","시작일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","")&amp;IF(AND(업무일지!$F580="",업무일지!$G580=""),"사건번호·업무명 모두 없음; ","")&amp;IF(업무일지!$I580="","담당자 없음; ","")&amp;IF(COUNTIF(코드설정!$F$5:$F$7,업무일지!$AF580)=0,"진행상태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"&amp;업무일지!$G581)</f>
        <v/>
      </c>
      <c r="D613" s="45">
        <f>IF(COUNT(업무일지!$B581:$AG581)+COUNTIF(업무일지!$B581:$AG581,"?*")=0,"",TRIM(IF(업무일지!$B581="","시작일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","")&amp;IF(AND(업무일지!$F581="",업무일지!$G581=""),"사건번호·업무명 모두 없음; ","")&amp;IF(업무일지!$I581="","담당자 없음; ","")&amp;IF(COUNTIF(코드설정!$F$5:$F$7,업무일지!$AF581)=0,"진행상태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"&amp;업무일지!$G582)</f>
        <v/>
      </c>
      <c r="D614" s="45">
        <f>IF(COUNT(업무일지!$B582:$AG582)+COUNTIF(업무일지!$B582:$AG582,"?*")=0,"",TRIM(IF(업무일지!$B582="","시작일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","")&amp;IF(AND(업무일지!$F582="",업무일지!$G582=""),"사건번호·업무명 모두 없음; ","")&amp;IF(업무일지!$I582="","담당자 없음; ","")&amp;IF(COUNTIF(코드설정!$F$5:$F$7,업무일지!$AF582)=0,"진행상태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"&amp;업무일지!$G583)</f>
        <v/>
      </c>
      <c r="D615" s="45">
        <f>IF(COUNT(업무일지!$B583:$AG583)+COUNTIF(업무일지!$B583:$AG583,"?*")=0,"",TRIM(IF(업무일지!$B583="","시작일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","")&amp;IF(AND(업무일지!$F583="",업무일지!$G583=""),"사건번호·업무명 모두 없음; ","")&amp;IF(업무일지!$I583="","담당자 없음; ","")&amp;IF(COUNTIF(코드설정!$F$5:$F$7,업무일지!$AF583)=0,"진행상태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"&amp;업무일지!$G584)</f>
        <v/>
      </c>
      <c r="D616" s="45">
        <f>IF(COUNT(업무일지!$B584:$AG584)+COUNTIF(업무일지!$B584:$AG584,"?*")=0,"",TRIM(IF(업무일지!$B584="","시작일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","")&amp;IF(AND(업무일지!$F584="",업무일지!$G584=""),"사건번호·업무명 모두 없음; ","")&amp;IF(업무일지!$I584="","담당자 없음; ","")&amp;IF(COUNTIF(코드설정!$F$5:$F$7,업무일지!$AF584)=0,"진행상태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"&amp;업무일지!$G585)</f>
        <v/>
      </c>
      <c r="D617" s="45">
        <f>IF(COUNT(업무일지!$B585:$AG585)+COUNTIF(업무일지!$B585:$AG585,"?*")=0,"",TRIM(IF(업무일지!$B585="","시작일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","")&amp;IF(AND(업무일지!$F585="",업무일지!$G585=""),"사건번호·업무명 모두 없음; ","")&amp;IF(업무일지!$I585="","담당자 없음; ","")&amp;IF(COUNTIF(코드설정!$F$5:$F$7,업무일지!$AF585)=0,"진행상태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"&amp;업무일지!$G586)</f>
        <v/>
      </c>
      <c r="D618" s="45">
        <f>IF(COUNT(업무일지!$B586:$AG586)+COUNTIF(업무일지!$B586:$AG586,"?*")=0,"",TRIM(IF(업무일지!$B586="","시작일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","")&amp;IF(AND(업무일지!$F586="",업무일지!$G586=""),"사건번호·업무명 모두 없음; ","")&amp;IF(업무일지!$I586="","담당자 없음; ","")&amp;IF(COUNTIF(코드설정!$F$5:$F$7,업무일지!$AF586)=0,"진행상태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"&amp;업무일지!$G587)</f>
        <v/>
      </c>
      <c r="D619" s="45">
        <f>IF(COUNT(업무일지!$B587:$AG587)+COUNTIF(업무일지!$B587:$AG587,"?*")=0,"",TRIM(IF(업무일지!$B587="","시작일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","")&amp;IF(AND(업무일지!$F587="",업무일지!$G587=""),"사건번호·업무명 모두 없음; ","")&amp;IF(업무일지!$I587="","담당자 없음; ","")&amp;IF(COUNTIF(코드설정!$F$5:$F$7,업무일지!$AF587)=0,"진행상태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"&amp;업무일지!$G588)</f>
        <v/>
      </c>
      <c r="D620" s="45">
        <f>IF(COUNT(업무일지!$B588:$AG588)+COUNTIF(업무일지!$B588:$AG588,"?*")=0,"",TRIM(IF(업무일지!$B588="","시작일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","")&amp;IF(AND(업무일지!$F588="",업무일지!$G588=""),"사건번호·업무명 모두 없음; ","")&amp;IF(업무일지!$I588="","담당자 없음; ","")&amp;IF(COUNTIF(코드설정!$F$5:$F$7,업무일지!$AF588)=0,"진행상태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"&amp;업무일지!$G589)</f>
        <v/>
      </c>
      <c r="D621" s="45">
        <f>IF(COUNT(업무일지!$B589:$AG589)+COUNTIF(업무일지!$B589:$AG589,"?*")=0,"",TRIM(IF(업무일지!$B589="","시작일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","")&amp;IF(AND(업무일지!$F589="",업무일지!$G589=""),"사건번호·업무명 모두 없음; ","")&amp;IF(업무일지!$I589="","담당자 없음; ","")&amp;IF(COUNTIF(코드설정!$F$5:$F$7,업무일지!$AF589)=0,"진행상태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"&amp;업무일지!$G590)</f>
        <v/>
      </c>
      <c r="D622" s="45">
        <f>IF(COUNT(업무일지!$B590:$AG590)+COUNTIF(업무일지!$B590:$AG590,"?*")=0,"",TRIM(IF(업무일지!$B590="","시작일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","")&amp;IF(AND(업무일지!$F590="",업무일지!$G590=""),"사건번호·업무명 모두 없음; ","")&amp;IF(업무일지!$I590="","담당자 없음; ","")&amp;IF(COUNTIF(코드설정!$F$5:$F$7,업무일지!$AF590)=0,"진행상태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"&amp;업무일지!$G591)</f>
        <v/>
      </c>
      <c r="D623" s="45">
        <f>IF(COUNT(업무일지!$B591:$AG591)+COUNTIF(업무일지!$B591:$AG591,"?*")=0,"",TRIM(IF(업무일지!$B591="","시작일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","")&amp;IF(AND(업무일지!$F591="",업무일지!$G591=""),"사건번호·업무명 모두 없음; ","")&amp;IF(업무일지!$I591="","담당자 없음; ","")&amp;IF(COUNTIF(코드설정!$F$5:$F$7,업무일지!$AF591)=0,"진행상태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"&amp;업무일지!$G592)</f>
        <v/>
      </c>
      <c r="D624" s="45">
        <f>IF(COUNT(업무일지!$B592:$AG592)+COUNTIF(업무일지!$B592:$AG592,"?*")=0,"",TRIM(IF(업무일지!$B592="","시작일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","")&amp;IF(AND(업무일지!$F592="",업무일지!$G592=""),"사건번호·업무명 모두 없음; ","")&amp;IF(업무일지!$I592="","담당자 없음; ","")&amp;IF(COUNTIF(코드설정!$F$5:$F$7,업무일지!$AF592)=0,"진행상태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"&amp;업무일지!$G593)</f>
        <v/>
      </c>
      <c r="D625" s="45">
        <f>IF(COUNT(업무일지!$B593:$AG593)+COUNTIF(업무일지!$B593:$AG593,"?*")=0,"",TRIM(IF(업무일지!$B593="","시작일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","")&amp;IF(AND(업무일지!$F593="",업무일지!$G593=""),"사건번호·업무명 모두 없음; ","")&amp;IF(업무일지!$I593="","담당자 없음; ","")&amp;IF(COUNTIF(코드설정!$F$5:$F$7,업무일지!$AF593)=0,"진행상태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"&amp;업무일지!$G594)</f>
        <v/>
      </c>
      <c r="D626" s="45">
        <f>IF(COUNT(업무일지!$B594:$AG594)+COUNTIF(업무일지!$B594:$AG594,"?*")=0,"",TRIM(IF(업무일지!$B594="","시작일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","")&amp;IF(AND(업무일지!$F594="",업무일지!$G594=""),"사건번호·업무명 모두 없음; ","")&amp;IF(업무일지!$I594="","담당자 없음; ","")&amp;IF(COUNTIF(코드설정!$F$5:$F$7,업무일지!$AF594)=0,"진행상태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"&amp;업무일지!$G595)</f>
        <v/>
      </c>
      <c r="D627" s="45">
        <f>IF(COUNT(업무일지!$B595:$AG595)+COUNTIF(업무일지!$B595:$AG595,"?*")=0,"",TRIM(IF(업무일지!$B595="","시작일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","")&amp;IF(AND(업무일지!$F595="",업무일지!$G595=""),"사건번호·업무명 모두 없음; ","")&amp;IF(업무일지!$I595="","담당자 없음; ","")&amp;IF(COUNTIF(코드설정!$F$5:$F$7,업무일지!$AF595)=0,"진행상태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"&amp;업무일지!$G596)</f>
        <v/>
      </c>
      <c r="D628" s="45">
        <f>IF(COUNT(업무일지!$B596:$AG596)+COUNTIF(업무일지!$B596:$AG596,"?*")=0,"",TRIM(IF(업무일지!$B596="","시작일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","")&amp;IF(AND(업무일지!$F596="",업무일지!$G596=""),"사건번호·업무명 모두 없음; ","")&amp;IF(업무일지!$I596="","담당자 없음; ","")&amp;IF(COUNTIF(코드설정!$F$5:$F$7,업무일지!$AF596)=0,"진행상태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"&amp;업무일지!$G597)</f>
        <v/>
      </c>
      <c r="D629" s="45">
        <f>IF(COUNT(업무일지!$B597:$AG597)+COUNTIF(업무일지!$B597:$AG597,"?*")=0,"",TRIM(IF(업무일지!$B597="","시작일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","")&amp;IF(AND(업무일지!$F597="",업무일지!$G597=""),"사건번호·업무명 모두 없음; ","")&amp;IF(업무일지!$I597="","담당자 없음; ","")&amp;IF(COUNTIF(코드설정!$F$5:$F$7,업무일지!$AF597)=0,"진행상태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"&amp;업무일지!$G598)</f>
        <v/>
      </c>
      <c r="D630" s="45">
        <f>IF(COUNT(업무일지!$B598:$AG598)+COUNTIF(업무일지!$B598:$AG598,"?*")=0,"",TRIM(IF(업무일지!$B598="","시작일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","")&amp;IF(AND(업무일지!$F598="",업무일지!$G598=""),"사건번호·업무명 모두 없음; ","")&amp;IF(업무일지!$I598="","담당자 없음; ","")&amp;IF(COUNTIF(코드설정!$F$5:$F$7,업무일지!$AF598)=0,"진행상태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"&amp;업무일지!$G599)</f>
        <v/>
      </c>
      <c r="D631" s="45">
        <f>IF(COUNT(업무일지!$B599:$AG599)+COUNTIF(업무일지!$B599:$AG599,"?*")=0,"",TRIM(IF(업무일지!$B599="","시작일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","")&amp;IF(AND(업무일지!$F599="",업무일지!$G599=""),"사건번호·업무명 모두 없음; ","")&amp;IF(업무일지!$I599="","담당자 없음; ","")&amp;IF(COUNTIF(코드설정!$F$5:$F$7,업무일지!$AF599)=0,"진행상태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"&amp;업무일지!$G600)</f>
        <v/>
      </c>
      <c r="D632" s="45">
        <f>IF(COUNT(업무일지!$B600:$AG600)+COUNTIF(업무일지!$B600:$AG600,"?*")=0,"",TRIM(IF(업무일지!$B600="","시작일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","")&amp;IF(AND(업무일지!$F600="",업무일지!$G600=""),"사건번호·업무명 모두 없음; ","")&amp;IF(업무일지!$I600="","담당자 없음; ","")&amp;IF(COUNTIF(코드설정!$F$5:$F$7,업무일지!$AF600)=0,"진행상태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"&amp;업무일지!$G601)</f>
        <v/>
      </c>
      <c r="D633" s="45">
        <f>IF(COUNT(업무일지!$B601:$AG601)+COUNTIF(업무일지!$B601:$AG601,"?*")=0,"",TRIM(IF(업무일지!$B601="","시작일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","")&amp;IF(AND(업무일지!$F601="",업무일지!$G601=""),"사건번호·업무명 모두 없음; ","")&amp;IF(업무일지!$I601="","담당자 없음; ","")&amp;IF(COUNTIF(코드설정!$F$5:$F$7,업무일지!$AF601)=0,"진행상태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"&amp;업무일지!$G602)</f>
        <v/>
      </c>
      <c r="D634" s="45">
        <f>IF(COUNT(업무일지!$B602:$AG602)+COUNTIF(업무일지!$B602:$AG602,"?*")=0,"",TRIM(IF(업무일지!$B602="","시작일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","")&amp;IF(AND(업무일지!$F602="",업무일지!$G602=""),"사건번호·업무명 모두 없음; ","")&amp;IF(업무일지!$I602="","담당자 없음; ","")&amp;IF(COUNTIF(코드설정!$F$5:$F$7,업무일지!$AF602)=0,"진행상태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"&amp;업무일지!$G603)</f>
        <v/>
      </c>
      <c r="D635" s="45">
        <f>IF(COUNT(업무일지!$B603:$AG603)+COUNTIF(업무일지!$B603:$AG603,"?*")=0,"",TRIM(IF(업무일지!$B603="","시작일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","")&amp;IF(AND(업무일지!$F603="",업무일지!$G603=""),"사건번호·업무명 모두 없음; ","")&amp;IF(업무일지!$I603="","담당자 없음; ","")&amp;IF(COUNTIF(코드설정!$F$5:$F$7,업무일지!$AF603)=0,"진행상태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"&amp;업무일지!$G604)</f>
        <v/>
      </c>
      <c r="D636" s="45">
        <f>IF(COUNT(업무일지!$B604:$AG604)+COUNTIF(업무일지!$B604:$AG604,"?*")=0,"",TRIM(IF(업무일지!$B604="","시작일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","")&amp;IF(AND(업무일지!$F604="",업무일지!$G604=""),"사건번호·업무명 모두 없음; ","")&amp;IF(업무일지!$I604="","담당자 없음; ","")&amp;IF(COUNTIF(코드설정!$F$5:$F$7,업무일지!$AF604)=0,"진행상태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"&amp;업무일지!$G605)</f>
        <v/>
      </c>
      <c r="D637" s="45">
        <f>IF(COUNT(업무일지!$B605:$AG605)+COUNTIF(업무일지!$B605:$AG605,"?*")=0,"",TRIM(IF(업무일지!$B605="","시작일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","")&amp;IF(AND(업무일지!$F605="",업무일지!$G605=""),"사건번호·업무명 모두 없음; ","")&amp;IF(업무일지!$I605="","담당자 없음; ","")&amp;IF(COUNTIF(코드설정!$F$5:$F$7,업무일지!$AF605)=0,"진행상태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"&amp;업무일지!$G606)</f>
        <v/>
      </c>
      <c r="D638" s="45">
        <f>IF(COUNT(업무일지!$B606:$AG606)+COUNTIF(업무일지!$B606:$AG606,"?*")=0,"",TRIM(IF(업무일지!$B606="","시작일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","")&amp;IF(AND(업무일지!$F606="",업무일지!$G606=""),"사건번호·업무명 모두 없음; ","")&amp;IF(업무일지!$I606="","담당자 없음; ","")&amp;IF(COUNTIF(코드설정!$F$5:$F$7,업무일지!$AF606)=0,"진행상태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"&amp;업무일지!$G607)</f>
        <v/>
      </c>
      <c r="D639" s="45">
        <f>IF(COUNT(업무일지!$B607:$AG607)+COUNTIF(업무일지!$B607:$AG607,"?*")=0,"",TRIM(IF(업무일지!$B607="","시작일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","")&amp;IF(AND(업무일지!$F607="",업무일지!$G607=""),"사건번호·업무명 모두 없음; ","")&amp;IF(업무일지!$I607="","담당자 없음; ","")&amp;IF(COUNTIF(코드설정!$F$5:$F$7,업무일지!$AF607)=0,"진행상태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"&amp;업무일지!$G608)</f>
        <v/>
      </c>
      <c r="D640" s="45">
        <f>IF(COUNT(업무일지!$B608:$AG608)+COUNTIF(업무일지!$B608:$AG608,"?*")=0,"",TRIM(IF(업무일지!$B608="","시작일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","")&amp;IF(AND(업무일지!$F608="",업무일지!$G608=""),"사건번호·업무명 모두 없음; ","")&amp;IF(업무일지!$I608="","담당자 없음; ","")&amp;IF(COUNTIF(코드설정!$F$5:$F$7,업무일지!$AF608)=0,"진행상태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"&amp;업무일지!$G609)</f>
        <v/>
      </c>
      <c r="D641" s="45">
        <f>IF(COUNT(업무일지!$B609:$AG609)+COUNTIF(업무일지!$B609:$AG609,"?*")=0,"",TRIM(IF(업무일지!$B609="","시작일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","")&amp;IF(AND(업무일지!$F609="",업무일지!$G609=""),"사건번호·업무명 모두 없음; ","")&amp;IF(업무일지!$I609="","담당자 없음; ","")&amp;IF(COUNTIF(코드설정!$F$5:$F$7,업무일지!$AF609)=0,"진행상태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"&amp;업무일지!$G610)</f>
        <v/>
      </c>
      <c r="D642" s="45">
        <f>IF(COUNT(업무일지!$B610:$AG610)+COUNTIF(업무일지!$B610:$AG610,"?*")=0,"",TRIM(IF(업무일지!$B610="","시작일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","")&amp;IF(AND(업무일지!$F610="",업무일지!$G610=""),"사건번호·업무명 모두 없음; ","")&amp;IF(업무일지!$I610="","담당자 없음; ","")&amp;IF(COUNTIF(코드설정!$F$5:$F$7,업무일지!$AF610)=0,"진행상태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"&amp;업무일지!$G611)</f>
        <v/>
      </c>
      <c r="D643" s="45">
        <f>IF(COUNT(업무일지!$B611:$AG611)+COUNTIF(업무일지!$B611:$AG611,"?*")=0,"",TRIM(IF(업무일지!$B611="","시작일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","")&amp;IF(AND(업무일지!$F611="",업무일지!$G611=""),"사건번호·업무명 모두 없음; ","")&amp;IF(업무일지!$I611="","담당자 없음; ","")&amp;IF(COUNTIF(코드설정!$F$5:$F$7,업무일지!$AF611)=0,"진행상태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"&amp;업무일지!$G612)</f>
        <v/>
      </c>
      <c r="D644" s="45">
        <f>IF(COUNT(업무일지!$B612:$AG612)+COUNTIF(업무일지!$B612:$AG612,"?*")=0,"",TRIM(IF(업무일지!$B612="","시작일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","")&amp;IF(AND(업무일지!$F612="",업무일지!$G612=""),"사건번호·업무명 모두 없음; ","")&amp;IF(업무일지!$I612="","담당자 없음; ","")&amp;IF(COUNTIF(코드설정!$F$5:$F$7,업무일지!$AF612)=0,"진행상태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"&amp;업무일지!$G613)</f>
        <v/>
      </c>
      <c r="D645" s="45">
        <f>IF(COUNT(업무일지!$B613:$AG613)+COUNTIF(업무일지!$B613:$AG613,"?*")=0,"",TRIM(IF(업무일지!$B613="","시작일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","")&amp;IF(AND(업무일지!$F613="",업무일지!$G613=""),"사건번호·업무명 모두 없음; ","")&amp;IF(업무일지!$I613="","담당자 없음; ","")&amp;IF(COUNTIF(코드설정!$F$5:$F$7,업무일지!$AF613)=0,"진행상태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"&amp;업무일지!$G614)</f>
        <v/>
      </c>
      <c r="D646" s="45">
        <f>IF(COUNT(업무일지!$B614:$AG614)+COUNTIF(업무일지!$B614:$AG614,"?*")=0,"",TRIM(IF(업무일지!$B614="","시작일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","")&amp;IF(AND(업무일지!$F614="",업무일지!$G614=""),"사건번호·업무명 모두 없음; ","")&amp;IF(업무일지!$I614="","담당자 없음; ","")&amp;IF(COUNTIF(코드설정!$F$5:$F$7,업무일지!$AF614)=0,"진행상태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"&amp;업무일지!$G615)</f>
        <v/>
      </c>
      <c r="D647" s="45">
        <f>IF(COUNT(업무일지!$B615:$AG615)+COUNTIF(업무일지!$B615:$AG615,"?*")=0,"",TRIM(IF(업무일지!$B615="","시작일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","")&amp;IF(AND(업무일지!$F615="",업무일지!$G615=""),"사건번호·업무명 모두 없음; ","")&amp;IF(업무일지!$I615="","담당자 없음; ","")&amp;IF(COUNTIF(코드설정!$F$5:$F$7,업무일지!$AF615)=0,"진행상태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"&amp;업무일지!$G616)</f>
        <v/>
      </c>
      <c r="D648" s="45">
        <f>IF(COUNT(업무일지!$B616:$AG616)+COUNTIF(업무일지!$B616:$AG616,"?*")=0,"",TRIM(IF(업무일지!$B616="","시작일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","")&amp;IF(AND(업무일지!$F616="",업무일지!$G616=""),"사건번호·업무명 모두 없음; ","")&amp;IF(업무일지!$I616="","담당자 없음; ","")&amp;IF(COUNTIF(코드설정!$F$5:$F$7,업무일지!$AF616)=0,"진행상태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"&amp;업무일지!$G617)</f>
        <v/>
      </c>
      <c r="D649" s="45">
        <f>IF(COUNT(업무일지!$B617:$AG617)+COUNTIF(업무일지!$B617:$AG617,"?*")=0,"",TRIM(IF(업무일지!$B617="","시작일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","")&amp;IF(AND(업무일지!$F617="",업무일지!$G617=""),"사건번호·업무명 모두 없음; ","")&amp;IF(업무일지!$I617="","담당자 없음; ","")&amp;IF(COUNTIF(코드설정!$F$5:$F$7,업무일지!$AF617)=0,"진행상태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"&amp;업무일지!$G618)</f>
        <v/>
      </c>
      <c r="D650" s="45">
        <f>IF(COUNT(업무일지!$B618:$AG618)+COUNTIF(업무일지!$B618:$AG618,"?*")=0,"",TRIM(IF(업무일지!$B618="","시작일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","")&amp;IF(AND(업무일지!$F618="",업무일지!$G618=""),"사건번호·업무명 모두 없음; ","")&amp;IF(업무일지!$I618="","담당자 없음; ","")&amp;IF(COUNTIF(코드설정!$F$5:$F$7,업무일지!$AF618)=0,"진행상태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"&amp;업무일지!$G619)</f>
        <v/>
      </c>
      <c r="D651" s="45">
        <f>IF(COUNT(업무일지!$B619:$AG619)+COUNTIF(업무일지!$B619:$AG619,"?*")=0,"",TRIM(IF(업무일지!$B619="","시작일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","")&amp;IF(AND(업무일지!$F619="",업무일지!$G619=""),"사건번호·업무명 모두 없음; ","")&amp;IF(업무일지!$I619="","담당자 없음; ","")&amp;IF(COUNTIF(코드설정!$F$5:$F$7,업무일지!$AF619)=0,"진행상태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"&amp;업무일지!$G620)</f>
        <v/>
      </c>
      <c r="D652" s="45">
        <f>IF(COUNT(업무일지!$B620:$AG620)+COUNTIF(업무일지!$B620:$AG620,"?*")=0,"",TRIM(IF(업무일지!$B620="","시작일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","")&amp;IF(AND(업무일지!$F620="",업무일지!$G620=""),"사건번호·업무명 모두 없음; ","")&amp;IF(업무일지!$I620="","담당자 없음; ","")&amp;IF(COUNTIF(코드설정!$F$5:$F$7,업무일지!$AF620)=0,"진행상태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"&amp;업무일지!$G621)</f>
        <v/>
      </c>
      <c r="D653" s="45">
        <f>IF(COUNT(업무일지!$B621:$AG621)+COUNTIF(업무일지!$B621:$AG621,"?*")=0,"",TRIM(IF(업무일지!$B621="","시작일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","")&amp;IF(AND(업무일지!$F621="",업무일지!$G621=""),"사건번호·업무명 모두 없음; ","")&amp;IF(업무일지!$I621="","담당자 없음; ","")&amp;IF(COUNTIF(코드설정!$F$5:$F$7,업무일지!$AF621)=0,"진행상태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"&amp;업무일지!$G622)</f>
        <v/>
      </c>
      <c r="D654" s="45">
        <f>IF(COUNT(업무일지!$B622:$AG622)+COUNTIF(업무일지!$B622:$AG622,"?*")=0,"",TRIM(IF(업무일지!$B622="","시작일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","")&amp;IF(AND(업무일지!$F622="",업무일지!$G622=""),"사건번호·업무명 모두 없음; ","")&amp;IF(업무일지!$I622="","담당자 없음; ","")&amp;IF(COUNTIF(코드설정!$F$5:$F$7,업무일지!$AF622)=0,"진행상태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"&amp;업무일지!$G623)</f>
        <v/>
      </c>
      <c r="D655" s="45">
        <f>IF(COUNT(업무일지!$B623:$AG623)+COUNTIF(업무일지!$B623:$AG623,"?*")=0,"",TRIM(IF(업무일지!$B623="","시작일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","")&amp;IF(AND(업무일지!$F623="",업무일지!$G623=""),"사건번호·업무명 모두 없음; ","")&amp;IF(업무일지!$I623="","담당자 없음; ","")&amp;IF(COUNTIF(코드설정!$F$5:$F$7,업무일지!$AF623)=0,"진행상태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"&amp;업무일지!$G624)</f>
        <v/>
      </c>
      <c r="D656" s="45">
        <f>IF(COUNT(업무일지!$B624:$AG624)+COUNTIF(업무일지!$B624:$AG624,"?*")=0,"",TRIM(IF(업무일지!$B624="","시작일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","")&amp;IF(AND(업무일지!$F624="",업무일지!$G624=""),"사건번호·업무명 모두 없음; ","")&amp;IF(업무일지!$I624="","담당자 없음; ","")&amp;IF(COUNTIF(코드설정!$F$5:$F$7,업무일지!$AF624)=0,"진행상태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"&amp;업무일지!$G625)</f>
        <v/>
      </c>
      <c r="D657" s="45">
        <f>IF(COUNT(업무일지!$B625:$AG625)+COUNTIF(업무일지!$B625:$AG625,"?*")=0,"",TRIM(IF(업무일지!$B625="","시작일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","")&amp;IF(AND(업무일지!$F625="",업무일지!$G625=""),"사건번호·업무명 모두 없음; ","")&amp;IF(업무일지!$I625="","담당자 없음; ","")&amp;IF(COUNTIF(코드설정!$F$5:$F$7,업무일지!$AF625)=0,"진행상태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"&amp;업무일지!$G626)</f>
        <v/>
      </c>
      <c r="D658" s="45">
        <f>IF(COUNT(업무일지!$B626:$AG626)+COUNTIF(업무일지!$B626:$AG626,"?*")=0,"",TRIM(IF(업무일지!$B626="","시작일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","")&amp;IF(AND(업무일지!$F626="",업무일지!$G626=""),"사건번호·업무명 모두 없음; ","")&amp;IF(업무일지!$I626="","담당자 없음; ","")&amp;IF(COUNTIF(코드설정!$F$5:$F$7,업무일지!$AF626)=0,"진행상태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"&amp;업무일지!$G627)</f>
        <v/>
      </c>
      <c r="D659" s="45">
        <f>IF(COUNT(업무일지!$B627:$AG627)+COUNTIF(업무일지!$B627:$AG627,"?*")=0,"",TRIM(IF(업무일지!$B627="","시작일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","")&amp;IF(AND(업무일지!$F627="",업무일지!$G627=""),"사건번호·업무명 모두 없음; ","")&amp;IF(업무일지!$I627="","담당자 없음; ","")&amp;IF(COUNTIF(코드설정!$F$5:$F$7,업무일지!$AF627)=0,"진행상태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"&amp;업무일지!$G628)</f>
        <v/>
      </c>
      <c r="D660" s="45">
        <f>IF(COUNT(업무일지!$B628:$AG628)+COUNTIF(업무일지!$B628:$AG628,"?*")=0,"",TRIM(IF(업무일지!$B628="","시작일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","")&amp;IF(AND(업무일지!$F628="",업무일지!$G628=""),"사건번호·업무명 모두 없음; ","")&amp;IF(업무일지!$I628="","담당자 없음; ","")&amp;IF(COUNTIF(코드설정!$F$5:$F$7,업무일지!$AF628)=0,"진행상태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"&amp;업무일지!$G629)</f>
        <v/>
      </c>
      <c r="D661" s="45">
        <f>IF(COUNT(업무일지!$B629:$AG629)+COUNTIF(업무일지!$B629:$AG629,"?*")=0,"",TRIM(IF(업무일지!$B629="","시작일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","")&amp;IF(AND(업무일지!$F629="",업무일지!$G629=""),"사건번호·업무명 모두 없음; ","")&amp;IF(업무일지!$I629="","담당자 없음; ","")&amp;IF(COUNTIF(코드설정!$F$5:$F$7,업무일지!$AF629)=0,"진행상태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"&amp;업무일지!$G630)</f>
        <v/>
      </c>
      <c r="D662" s="45">
        <f>IF(COUNT(업무일지!$B630:$AG630)+COUNTIF(업무일지!$B630:$AG630,"?*")=0,"",TRIM(IF(업무일지!$B630="","시작일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","")&amp;IF(AND(업무일지!$F630="",업무일지!$G630=""),"사건번호·업무명 모두 없음; ","")&amp;IF(업무일지!$I630="","담당자 없음; ","")&amp;IF(COUNTIF(코드설정!$F$5:$F$7,업무일지!$AF630)=0,"진행상태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"&amp;업무일지!$G631)</f>
        <v/>
      </c>
      <c r="D663" s="45">
        <f>IF(COUNT(업무일지!$B631:$AG631)+COUNTIF(업무일지!$B631:$AG631,"?*")=0,"",TRIM(IF(업무일지!$B631="","시작일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","")&amp;IF(AND(업무일지!$F631="",업무일지!$G631=""),"사건번호·업무명 모두 없음; ","")&amp;IF(업무일지!$I631="","담당자 없음; ","")&amp;IF(COUNTIF(코드설정!$F$5:$F$7,업무일지!$AF631)=0,"진행상태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"&amp;업무일지!$G632)</f>
        <v/>
      </c>
      <c r="D664" s="45">
        <f>IF(COUNT(업무일지!$B632:$AG632)+COUNTIF(업무일지!$B632:$AG632,"?*")=0,"",TRIM(IF(업무일지!$B632="","시작일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","")&amp;IF(AND(업무일지!$F632="",업무일지!$G632=""),"사건번호·업무명 모두 없음; ","")&amp;IF(업무일지!$I632="","담당자 없음; ","")&amp;IF(COUNTIF(코드설정!$F$5:$F$7,업무일지!$AF632)=0,"진행상태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"&amp;업무일지!$G633)</f>
        <v/>
      </c>
      <c r="D665" s="45">
        <f>IF(COUNT(업무일지!$B633:$AG633)+COUNTIF(업무일지!$B633:$AG633,"?*")=0,"",TRIM(IF(업무일지!$B633="","시작일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","")&amp;IF(AND(업무일지!$F633="",업무일지!$G633=""),"사건번호·업무명 모두 없음; ","")&amp;IF(업무일지!$I633="","담당자 없음; ","")&amp;IF(COUNTIF(코드설정!$F$5:$F$7,업무일지!$AF633)=0,"진행상태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"&amp;업무일지!$G634)</f>
        <v/>
      </c>
      <c r="D666" s="45">
        <f>IF(COUNT(업무일지!$B634:$AG634)+COUNTIF(업무일지!$B634:$AG634,"?*")=0,"",TRIM(IF(업무일지!$B634="","시작일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","")&amp;IF(AND(업무일지!$F634="",업무일지!$G634=""),"사건번호·업무명 모두 없음; ","")&amp;IF(업무일지!$I634="","담당자 없음; ","")&amp;IF(COUNTIF(코드설정!$F$5:$F$7,업무일지!$AF634)=0,"진행상태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"&amp;업무일지!$G635)</f>
        <v/>
      </c>
      <c r="D667" s="45">
        <f>IF(COUNT(업무일지!$B635:$AG635)+COUNTIF(업무일지!$B635:$AG635,"?*")=0,"",TRIM(IF(업무일지!$B635="","시작일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","")&amp;IF(AND(업무일지!$F635="",업무일지!$G635=""),"사건번호·업무명 모두 없음; ","")&amp;IF(업무일지!$I635="","담당자 없음; ","")&amp;IF(COUNTIF(코드설정!$F$5:$F$7,업무일지!$AF635)=0,"진행상태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"&amp;업무일지!$G636)</f>
        <v/>
      </c>
      <c r="D668" s="45">
        <f>IF(COUNT(업무일지!$B636:$AG636)+COUNTIF(업무일지!$B636:$AG636,"?*")=0,"",TRIM(IF(업무일지!$B636="","시작일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","")&amp;IF(AND(업무일지!$F636="",업무일지!$G636=""),"사건번호·업무명 모두 없음; ","")&amp;IF(업무일지!$I636="","담당자 없음; ","")&amp;IF(COUNTIF(코드설정!$F$5:$F$7,업무일지!$AF636)=0,"진행상태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"&amp;업무일지!$G637)</f>
        <v/>
      </c>
      <c r="D669" s="45">
        <f>IF(COUNT(업무일지!$B637:$AG637)+COUNTIF(업무일지!$B637:$AG637,"?*")=0,"",TRIM(IF(업무일지!$B637="","시작일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","")&amp;IF(AND(업무일지!$F637="",업무일지!$G637=""),"사건번호·업무명 모두 없음; ","")&amp;IF(업무일지!$I637="","담당자 없음; ","")&amp;IF(COUNTIF(코드설정!$F$5:$F$7,업무일지!$AF637)=0,"진행상태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"&amp;업무일지!$G638)</f>
        <v/>
      </c>
      <c r="D670" s="45">
        <f>IF(COUNT(업무일지!$B638:$AG638)+COUNTIF(업무일지!$B638:$AG638,"?*")=0,"",TRIM(IF(업무일지!$B638="","시작일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","")&amp;IF(AND(업무일지!$F638="",업무일지!$G638=""),"사건번호·업무명 모두 없음; ","")&amp;IF(업무일지!$I638="","담당자 없음; ","")&amp;IF(COUNTIF(코드설정!$F$5:$F$7,업무일지!$AF638)=0,"진행상태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"&amp;업무일지!$G639)</f>
        <v/>
      </c>
      <c r="D671" s="45">
        <f>IF(COUNT(업무일지!$B639:$AG639)+COUNTIF(업무일지!$B639:$AG639,"?*")=0,"",TRIM(IF(업무일지!$B639="","시작일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","")&amp;IF(AND(업무일지!$F639="",업무일지!$G639=""),"사건번호·업무명 모두 없음; ","")&amp;IF(업무일지!$I639="","담당자 없음; ","")&amp;IF(COUNTIF(코드설정!$F$5:$F$7,업무일지!$AF639)=0,"진행상태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"&amp;업무일지!$G640)</f>
        <v/>
      </c>
      <c r="D672" s="45">
        <f>IF(COUNT(업무일지!$B640:$AG640)+COUNTIF(업무일지!$B640:$AG640,"?*")=0,"",TRIM(IF(업무일지!$B640="","시작일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","")&amp;IF(AND(업무일지!$F640="",업무일지!$G640=""),"사건번호·업무명 모두 없음; ","")&amp;IF(업무일지!$I640="","담당자 없음; ","")&amp;IF(COUNTIF(코드설정!$F$5:$F$7,업무일지!$AF640)=0,"진행상태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"&amp;업무일지!$G641)</f>
        <v/>
      </c>
      <c r="D673" s="45">
        <f>IF(COUNT(업무일지!$B641:$AG641)+COUNTIF(업무일지!$B641:$AG641,"?*")=0,"",TRIM(IF(업무일지!$B641="","시작일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","")&amp;IF(AND(업무일지!$F641="",업무일지!$G641=""),"사건번호·업무명 모두 없음; ","")&amp;IF(업무일지!$I641="","담당자 없음; ","")&amp;IF(COUNTIF(코드설정!$F$5:$F$7,업무일지!$AF641)=0,"진행상태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"&amp;업무일지!$G642)</f>
        <v/>
      </c>
      <c r="D674" s="45">
        <f>IF(COUNT(업무일지!$B642:$AG642)+COUNTIF(업무일지!$B642:$AG642,"?*")=0,"",TRIM(IF(업무일지!$B642="","시작일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","")&amp;IF(AND(업무일지!$F642="",업무일지!$G642=""),"사건번호·업무명 모두 없음; ","")&amp;IF(업무일지!$I642="","담당자 없음; ","")&amp;IF(COUNTIF(코드설정!$F$5:$F$7,업무일지!$AF642)=0,"진행상태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"&amp;업무일지!$G643)</f>
        <v/>
      </c>
      <c r="D675" s="45">
        <f>IF(COUNT(업무일지!$B643:$AG643)+COUNTIF(업무일지!$B643:$AG643,"?*")=0,"",TRIM(IF(업무일지!$B643="","시작일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","")&amp;IF(AND(업무일지!$F643="",업무일지!$G643=""),"사건번호·업무명 모두 없음; ","")&amp;IF(업무일지!$I643="","담당자 없음; ","")&amp;IF(COUNTIF(코드설정!$F$5:$F$7,업무일지!$AF643)=0,"진행상태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"&amp;업무일지!$G644)</f>
        <v/>
      </c>
      <c r="D676" s="45">
        <f>IF(COUNT(업무일지!$B644:$AG644)+COUNTIF(업무일지!$B644:$AG644,"?*")=0,"",TRIM(IF(업무일지!$B644="","시작일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","")&amp;IF(AND(업무일지!$F644="",업무일지!$G644=""),"사건번호·업무명 모두 없음; ","")&amp;IF(업무일지!$I644="","담당자 없음; ","")&amp;IF(COUNTIF(코드설정!$F$5:$F$7,업무일지!$AF644)=0,"진행상태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"&amp;업무일지!$G645)</f>
        <v/>
      </c>
      <c r="D677" s="45">
        <f>IF(COUNT(업무일지!$B645:$AG645)+COUNTIF(업무일지!$B645:$AG645,"?*")=0,"",TRIM(IF(업무일지!$B645="","시작일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","")&amp;IF(AND(업무일지!$F645="",업무일지!$G645=""),"사건번호·업무명 모두 없음; ","")&amp;IF(업무일지!$I645="","담당자 없음; ","")&amp;IF(COUNTIF(코드설정!$F$5:$F$7,업무일지!$AF645)=0,"진행상태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"&amp;업무일지!$G646)</f>
        <v/>
      </c>
      <c r="D678" s="45">
        <f>IF(COUNT(업무일지!$B646:$AG646)+COUNTIF(업무일지!$B646:$AG646,"?*")=0,"",TRIM(IF(업무일지!$B646="","시작일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","")&amp;IF(AND(업무일지!$F646="",업무일지!$G646=""),"사건번호·업무명 모두 없음; ","")&amp;IF(업무일지!$I646="","담당자 없음; ","")&amp;IF(COUNTIF(코드설정!$F$5:$F$7,업무일지!$AF646)=0,"진행상태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"&amp;업무일지!$G647)</f>
        <v/>
      </c>
      <c r="D679" s="45">
        <f>IF(COUNT(업무일지!$B647:$AG647)+COUNTIF(업무일지!$B647:$AG647,"?*")=0,"",TRIM(IF(업무일지!$B647="","시작일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","")&amp;IF(AND(업무일지!$F647="",업무일지!$G647=""),"사건번호·업무명 모두 없음; ","")&amp;IF(업무일지!$I647="","담당자 없음; ","")&amp;IF(COUNTIF(코드설정!$F$5:$F$7,업무일지!$AF647)=0,"진행상태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"&amp;업무일지!$G648)</f>
        <v/>
      </c>
      <c r="D680" s="45">
        <f>IF(COUNT(업무일지!$B648:$AG648)+COUNTIF(업무일지!$B648:$AG648,"?*")=0,"",TRIM(IF(업무일지!$B648="","시작일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","")&amp;IF(AND(업무일지!$F648="",업무일지!$G648=""),"사건번호·업무명 모두 없음; ","")&amp;IF(업무일지!$I648="","담당자 없음; ","")&amp;IF(COUNTIF(코드설정!$F$5:$F$7,업무일지!$AF648)=0,"진행상태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"&amp;업무일지!$G649)</f>
        <v/>
      </c>
      <c r="D681" s="45">
        <f>IF(COUNT(업무일지!$B649:$AG649)+COUNTIF(업무일지!$B649:$AG649,"?*")=0,"",TRIM(IF(업무일지!$B649="","시작일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","")&amp;IF(AND(업무일지!$F649="",업무일지!$G649=""),"사건번호·업무명 모두 없음; ","")&amp;IF(업무일지!$I649="","담당자 없음; ","")&amp;IF(COUNTIF(코드설정!$F$5:$F$7,업무일지!$AF649)=0,"진행상태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"&amp;업무일지!$G650)</f>
        <v/>
      </c>
      <c r="D682" s="45">
        <f>IF(COUNT(업무일지!$B650:$AG650)+COUNTIF(업무일지!$B650:$AG650,"?*")=0,"",TRIM(IF(업무일지!$B650="","시작일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","")&amp;IF(AND(업무일지!$F650="",업무일지!$G650=""),"사건번호·업무명 모두 없음; ","")&amp;IF(업무일지!$I650="","담당자 없음; ","")&amp;IF(COUNTIF(코드설정!$F$5:$F$7,업무일지!$AF650)=0,"진행상태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"&amp;업무일지!$G651)</f>
        <v/>
      </c>
      <c r="D683" s="45">
        <f>IF(COUNT(업무일지!$B651:$AG651)+COUNTIF(업무일지!$B651:$AG651,"?*")=0,"",TRIM(IF(업무일지!$B651="","시작일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","")&amp;IF(AND(업무일지!$F651="",업무일지!$G651=""),"사건번호·업무명 모두 없음; ","")&amp;IF(업무일지!$I651="","담당자 없음; ","")&amp;IF(COUNTIF(코드설정!$F$5:$F$7,업무일지!$AF651)=0,"진행상태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"&amp;업무일지!$G652)</f>
        <v/>
      </c>
      <c r="D684" s="45">
        <f>IF(COUNT(업무일지!$B652:$AG652)+COUNTIF(업무일지!$B652:$AG652,"?*")=0,"",TRIM(IF(업무일지!$B652="","시작일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","")&amp;IF(AND(업무일지!$F652="",업무일지!$G652=""),"사건번호·업무명 모두 없음; ","")&amp;IF(업무일지!$I652="","담당자 없음; ","")&amp;IF(COUNTIF(코드설정!$F$5:$F$7,업무일지!$AF652)=0,"진행상태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"&amp;업무일지!$G653)</f>
        <v/>
      </c>
      <c r="D685" s="45">
        <f>IF(COUNT(업무일지!$B653:$AG653)+COUNTIF(업무일지!$B653:$AG653,"?*")=0,"",TRIM(IF(업무일지!$B653="","시작일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","")&amp;IF(AND(업무일지!$F653="",업무일지!$G653=""),"사건번호·업무명 모두 없음; ","")&amp;IF(업무일지!$I653="","담당자 없음; ","")&amp;IF(COUNTIF(코드설정!$F$5:$F$7,업무일지!$AF653)=0,"진행상태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"&amp;업무일지!$G654)</f>
        <v/>
      </c>
      <c r="D686" s="45">
        <f>IF(COUNT(업무일지!$B654:$AG654)+COUNTIF(업무일지!$B654:$AG654,"?*")=0,"",TRIM(IF(업무일지!$B654="","시작일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","")&amp;IF(AND(업무일지!$F654="",업무일지!$G654=""),"사건번호·업무명 모두 없음; ","")&amp;IF(업무일지!$I654="","담당자 없음; ","")&amp;IF(COUNTIF(코드설정!$F$5:$F$7,업무일지!$AF654)=0,"진행상태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"&amp;업무일지!$G655)</f>
        <v/>
      </c>
      <c r="D687" s="45">
        <f>IF(COUNT(업무일지!$B655:$AG655)+COUNTIF(업무일지!$B655:$AG655,"?*")=0,"",TRIM(IF(업무일지!$B655="","시작일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","")&amp;IF(AND(업무일지!$F655="",업무일지!$G655=""),"사건번호·업무명 모두 없음; ","")&amp;IF(업무일지!$I655="","담당자 없음; ","")&amp;IF(COUNTIF(코드설정!$F$5:$F$7,업무일지!$AF655)=0,"진행상태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"&amp;업무일지!$G656)</f>
        <v/>
      </c>
      <c r="D688" s="45">
        <f>IF(COUNT(업무일지!$B656:$AG656)+COUNTIF(업무일지!$B656:$AG656,"?*")=0,"",TRIM(IF(업무일지!$B656="","시작일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","")&amp;IF(AND(업무일지!$F656="",업무일지!$G656=""),"사건번호·업무명 모두 없음; ","")&amp;IF(업무일지!$I656="","담당자 없음; ","")&amp;IF(COUNTIF(코드설정!$F$5:$F$7,업무일지!$AF656)=0,"진행상태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"&amp;업무일지!$G657)</f>
        <v/>
      </c>
      <c r="D689" s="45">
        <f>IF(COUNT(업무일지!$B657:$AG657)+COUNTIF(업무일지!$B657:$AG657,"?*")=0,"",TRIM(IF(업무일지!$B657="","시작일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","")&amp;IF(AND(업무일지!$F657="",업무일지!$G657=""),"사건번호·업무명 모두 없음; ","")&amp;IF(업무일지!$I657="","담당자 없음; ","")&amp;IF(COUNTIF(코드설정!$F$5:$F$7,업무일지!$AF657)=0,"진행상태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"&amp;업무일지!$G658)</f>
        <v/>
      </c>
      <c r="D690" s="45">
        <f>IF(COUNT(업무일지!$B658:$AG658)+COUNTIF(업무일지!$B658:$AG658,"?*")=0,"",TRIM(IF(업무일지!$B658="","시작일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","")&amp;IF(AND(업무일지!$F658="",업무일지!$G658=""),"사건번호·업무명 모두 없음; ","")&amp;IF(업무일지!$I658="","담당자 없음; ","")&amp;IF(COUNTIF(코드설정!$F$5:$F$7,업무일지!$AF658)=0,"진행상태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"&amp;업무일지!$G659)</f>
        <v/>
      </c>
      <c r="D691" s="45">
        <f>IF(COUNT(업무일지!$B659:$AG659)+COUNTIF(업무일지!$B659:$AG659,"?*")=0,"",TRIM(IF(업무일지!$B659="","시작일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","")&amp;IF(AND(업무일지!$F659="",업무일지!$G659=""),"사건번호·업무명 모두 없음; ","")&amp;IF(업무일지!$I659="","담당자 없음; ","")&amp;IF(COUNTIF(코드설정!$F$5:$F$7,업무일지!$AF659)=0,"진행상태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"&amp;업무일지!$G660)</f>
        <v/>
      </c>
      <c r="D692" s="45">
        <f>IF(COUNT(업무일지!$B660:$AG660)+COUNTIF(업무일지!$B660:$AG660,"?*")=0,"",TRIM(IF(업무일지!$B660="","시작일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","")&amp;IF(AND(업무일지!$F660="",업무일지!$G660=""),"사건번호·업무명 모두 없음; ","")&amp;IF(업무일지!$I660="","담당자 없음; ","")&amp;IF(COUNTIF(코드설정!$F$5:$F$7,업무일지!$AF660)=0,"진행상태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"&amp;업무일지!$G661)</f>
        <v/>
      </c>
      <c r="D693" s="45">
        <f>IF(COUNT(업무일지!$B661:$AG661)+COUNTIF(업무일지!$B661:$AG661,"?*")=0,"",TRIM(IF(업무일지!$B661="","시작일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","")&amp;IF(AND(업무일지!$F661="",업무일지!$G661=""),"사건번호·업무명 모두 없음; ","")&amp;IF(업무일지!$I661="","담당자 없음; ","")&amp;IF(COUNTIF(코드설정!$F$5:$F$7,업무일지!$AF661)=0,"진행상태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"&amp;업무일지!$G662)</f>
        <v/>
      </c>
      <c r="D694" s="45">
        <f>IF(COUNT(업무일지!$B662:$AG662)+COUNTIF(업무일지!$B662:$AG662,"?*")=0,"",TRIM(IF(업무일지!$B662="","시작일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","")&amp;IF(AND(업무일지!$F662="",업무일지!$G662=""),"사건번호·업무명 모두 없음; ","")&amp;IF(업무일지!$I662="","담당자 없음; ","")&amp;IF(COUNTIF(코드설정!$F$5:$F$7,업무일지!$AF662)=0,"진행상태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"&amp;업무일지!$G663)</f>
        <v/>
      </c>
      <c r="D695" s="45">
        <f>IF(COUNT(업무일지!$B663:$AG663)+COUNTIF(업무일지!$B663:$AG663,"?*")=0,"",TRIM(IF(업무일지!$B663="","시작일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","")&amp;IF(AND(업무일지!$F663="",업무일지!$G663=""),"사건번호·업무명 모두 없음; ","")&amp;IF(업무일지!$I663="","담당자 없음; ","")&amp;IF(COUNTIF(코드설정!$F$5:$F$7,업무일지!$AF663)=0,"진행상태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"&amp;업무일지!$G664)</f>
        <v/>
      </c>
      <c r="D696" s="45">
        <f>IF(COUNT(업무일지!$B664:$AG664)+COUNTIF(업무일지!$B664:$AG664,"?*")=0,"",TRIM(IF(업무일지!$B664="","시작일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","")&amp;IF(AND(업무일지!$F664="",업무일지!$G664=""),"사건번호·업무명 모두 없음; ","")&amp;IF(업무일지!$I664="","담당자 없음; ","")&amp;IF(COUNTIF(코드설정!$F$5:$F$7,업무일지!$AF664)=0,"진행상태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"&amp;업무일지!$G665)</f>
        <v/>
      </c>
      <c r="D697" s="45">
        <f>IF(COUNT(업무일지!$B665:$AG665)+COUNTIF(업무일지!$B665:$AG665,"?*")=0,"",TRIM(IF(업무일지!$B665="","시작일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","")&amp;IF(AND(업무일지!$F665="",업무일지!$G665=""),"사건번호·업무명 모두 없음; ","")&amp;IF(업무일지!$I665="","담당자 없음; ","")&amp;IF(COUNTIF(코드설정!$F$5:$F$7,업무일지!$AF665)=0,"진행상태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"&amp;업무일지!$G666)</f>
        <v/>
      </c>
      <c r="D698" s="45">
        <f>IF(COUNT(업무일지!$B666:$AG666)+COUNTIF(업무일지!$B666:$AG666,"?*")=0,"",TRIM(IF(업무일지!$B666="","시작일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","")&amp;IF(AND(업무일지!$F666="",업무일지!$G666=""),"사건번호·업무명 모두 없음; ","")&amp;IF(업무일지!$I666="","담당자 없음; ","")&amp;IF(COUNTIF(코드설정!$F$5:$F$7,업무일지!$AF666)=0,"진행상태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"&amp;업무일지!$G667)</f>
        <v/>
      </c>
      <c r="D699" s="45">
        <f>IF(COUNT(업무일지!$B667:$AG667)+COUNTIF(업무일지!$B667:$AG667,"?*")=0,"",TRIM(IF(업무일지!$B667="","시작일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","")&amp;IF(AND(업무일지!$F667="",업무일지!$G667=""),"사건번호·업무명 모두 없음; ","")&amp;IF(업무일지!$I667="","담당자 없음; ","")&amp;IF(COUNTIF(코드설정!$F$5:$F$7,업무일지!$AF667)=0,"진행상태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"&amp;업무일지!$G668)</f>
        <v/>
      </c>
      <c r="D700" s="45">
        <f>IF(COUNT(업무일지!$B668:$AG668)+COUNTIF(업무일지!$B668:$AG668,"?*")=0,"",TRIM(IF(업무일지!$B668="","시작일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","")&amp;IF(AND(업무일지!$F668="",업무일지!$G668=""),"사건번호·업무명 모두 없음; ","")&amp;IF(업무일지!$I668="","담당자 없음; ","")&amp;IF(COUNTIF(코드설정!$F$5:$F$7,업무일지!$AF668)=0,"진행상태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"&amp;업무일지!$G669)</f>
        <v/>
      </c>
      <c r="D701" s="45">
        <f>IF(COUNT(업무일지!$B669:$AG669)+COUNTIF(업무일지!$B669:$AG669,"?*")=0,"",TRIM(IF(업무일지!$B669="","시작일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","")&amp;IF(AND(업무일지!$F669="",업무일지!$G669=""),"사건번호·업무명 모두 없음; ","")&amp;IF(업무일지!$I669="","담당자 없음; ","")&amp;IF(COUNTIF(코드설정!$F$5:$F$7,업무일지!$AF669)=0,"진행상태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"&amp;업무일지!$G670)</f>
        <v/>
      </c>
      <c r="D702" s="45">
        <f>IF(COUNT(업무일지!$B670:$AG670)+COUNTIF(업무일지!$B670:$AG670,"?*")=0,"",TRIM(IF(업무일지!$B670="","시작일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","")&amp;IF(AND(업무일지!$F670="",업무일지!$G670=""),"사건번호·업무명 모두 없음; ","")&amp;IF(업무일지!$I670="","담당자 없음; ","")&amp;IF(COUNTIF(코드설정!$F$5:$F$7,업무일지!$AF670)=0,"진행상태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"&amp;업무일지!$G671)</f>
        <v/>
      </c>
      <c r="D703" s="45">
        <f>IF(COUNT(업무일지!$B671:$AG671)+COUNTIF(업무일지!$B671:$AG671,"?*")=0,"",TRIM(IF(업무일지!$B671="","시작일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","")&amp;IF(AND(업무일지!$F671="",업무일지!$G671=""),"사건번호·업무명 모두 없음; ","")&amp;IF(업무일지!$I671="","담당자 없음; ","")&amp;IF(COUNTIF(코드설정!$F$5:$F$7,업무일지!$AF671)=0,"진행상태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"&amp;업무일지!$G672)</f>
        <v/>
      </c>
      <c r="D704" s="45">
        <f>IF(COUNT(업무일지!$B672:$AG672)+COUNTIF(업무일지!$B672:$AG672,"?*")=0,"",TRIM(IF(업무일지!$B672="","시작일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","")&amp;IF(AND(업무일지!$F672="",업무일지!$G672=""),"사건번호·업무명 모두 없음; ","")&amp;IF(업무일지!$I672="","담당자 없음; ","")&amp;IF(COUNTIF(코드설정!$F$5:$F$7,업무일지!$AF672)=0,"진행상태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"&amp;업무일지!$G673)</f>
        <v/>
      </c>
      <c r="D705" s="45">
        <f>IF(COUNT(업무일지!$B673:$AG673)+COUNTIF(업무일지!$B673:$AG673,"?*")=0,"",TRIM(IF(업무일지!$B673="","시작일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","")&amp;IF(AND(업무일지!$F673="",업무일지!$G673=""),"사건번호·업무명 모두 없음; ","")&amp;IF(업무일지!$I673="","담당자 없음; ","")&amp;IF(COUNTIF(코드설정!$F$5:$F$7,업무일지!$AF673)=0,"진행상태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"&amp;업무일지!$G674)</f>
        <v/>
      </c>
      <c r="D706" s="45">
        <f>IF(COUNT(업무일지!$B674:$AG674)+COUNTIF(업무일지!$B674:$AG674,"?*")=0,"",TRIM(IF(업무일지!$B674="","시작일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","")&amp;IF(AND(업무일지!$F674="",업무일지!$G674=""),"사건번호·업무명 모두 없음; ","")&amp;IF(업무일지!$I674="","담당자 없음; ","")&amp;IF(COUNTIF(코드설정!$F$5:$F$7,업무일지!$AF674)=0,"진행상태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"&amp;업무일지!$G675)</f>
        <v/>
      </c>
      <c r="D707" s="45">
        <f>IF(COUNT(업무일지!$B675:$AG675)+COUNTIF(업무일지!$B675:$AG675,"?*")=0,"",TRIM(IF(업무일지!$B675="","시작일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","")&amp;IF(AND(업무일지!$F675="",업무일지!$G675=""),"사건번호·업무명 모두 없음; ","")&amp;IF(업무일지!$I675="","담당자 없음; ","")&amp;IF(COUNTIF(코드설정!$F$5:$F$7,업무일지!$AF675)=0,"진행상태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"&amp;업무일지!$G676)</f>
        <v/>
      </c>
      <c r="D708" s="45">
        <f>IF(COUNT(업무일지!$B676:$AG676)+COUNTIF(업무일지!$B676:$AG676,"?*")=0,"",TRIM(IF(업무일지!$B676="","시작일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","")&amp;IF(AND(업무일지!$F676="",업무일지!$G676=""),"사건번호·업무명 모두 없음; ","")&amp;IF(업무일지!$I676="","담당자 없음; ","")&amp;IF(COUNTIF(코드설정!$F$5:$F$7,업무일지!$AF676)=0,"진행상태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"&amp;업무일지!$G677)</f>
        <v/>
      </c>
      <c r="D709" s="45">
        <f>IF(COUNT(업무일지!$B677:$AG677)+COUNTIF(업무일지!$B677:$AG677,"?*")=0,"",TRIM(IF(업무일지!$B677="","시작일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","")&amp;IF(AND(업무일지!$F677="",업무일지!$G677=""),"사건번호·업무명 모두 없음; ","")&amp;IF(업무일지!$I677="","담당자 없음; ","")&amp;IF(COUNTIF(코드설정!$F$5:$F$7,업무일지!$AF677)=0,"진행상태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"&amp;업무일지!$G678)</f>
        <v/>
      </c>
      <c r="D710" s="45">
        <f>IF(COUNT(업무일지!$B678:$AG678)+COUNTIF(업무일지!$B678:$AG678,"?*")=0,"",TRIM(IF(업무일지!$B678="","시작일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","")&amp;IF(AND(업무일지!$F678="",업무일지!$G678=""),"사건번호·업무명 모두 없음; ","")&amp;IF(업무일지!$I678="","담당자 없음; ","")&amp;IF(COUNTIF(코드설정!$F$5:$F$7,업무일지!$AF678)=0,"진행상태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"&amp;업무일지!$G679)</f>
        <v/>
      </c>
      <c r="D711" s="45">
        <f>IF(COUNT(업무일지!$B679:$AG679)+COUNTIF(업무일지!$B679:$AG679,"?*")=0,"",TRIM(IF(업무일지!$B679="","시작일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","")&amp;IF(AND(업무일지!$F679="",업무일지!$G679=""),"사건번호·업무명 모두 없음; ","")&amp;IF(업무일지!$I679="","담당자 없음; ","")&amp;IF(COUNTIF(코드설정!$F$5:$F$7,업무일지!$AF679)=0,"진행상태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"&amp;업무일지!$G680)</f>
        <v/>
      </c>
      <c r="D712" s="45">
        <f>IF(COUNT(업무일지!$B680:$AG680)+COUNTIF(업무일지!$B680:$AG680,"?*")=0,"",TRIM(IF(업무일지!$B680="","시작일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","")&amp;IF(AND(업무일지!$F680="",업무일지!$G680=""),"사건번호·업무명 모두 없음; ","")&amp;IF(업무일지!$I680="","담당자 없음; ","")&amp;IF(COUNTIF(코드설정!$F$5:$F$7,업무일지!$AF680)=0,"진행상태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"&amp;업무일지!$G681)</f>
        <v/>
      </c>
      <c r="D713" s="45">
        <f>IF(COUNT(업무일지!$B681:$AG681)+COUNTIF(업무일지!$B681:$AG681,"?*")=0,"",TRIM(IF(업무일지!$B681="","시작일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","")&amp;IF(AND(업무일지!$F681="",업무일지!$G681=""),"사건번호·업무명 모두 없음; ","")&amp;IF(업무일지!$I681="","담당자 없음; ","")&amp;IF(COUNTIF(코드설정!$F$5:$F$7,업무일지!$AF681)=0,"진행상태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"&amp;업무일지!$G682)</f>
        <v/>
      </c>
      <c r="D714" s="45">
        <f>IF(COUNT(업무일지!$B682:$AG682)+COUNTIF(업무일지!$B682:$AG682,"?*")=0,"",TRIM(IF(업무일지!$B682="","시작일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","")&amp;IF(AND(업무일지!$F682="",업무일지!$G682=""),"사건번호·업무명 모두 없음; ","")&amp;IF(업무일지!$I682="","담당자 없음; ","")&amp;IF(COUNTIF(코드설정!$F$5:$F$7,업무일지!$AF682)=0,"진행상태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"&amp;업무일지!$G683)</f>
        <v/>
      </c>
      <c r="D715" s="45">
        <f>IF(COUNT(업무일지!$B683:$AG683)+COUNTIF(업무일지!$B683:$AG683,"?*")=0,"",TRIM(IF(업무일지!$B683="","시작일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","")&amp;IF(AND(업무일지!$F683="",업무일지!$G683=""),"사건번호·업무명 모두 없음; ","")&amp;IF(업무일지!$I683="","담당자 없음; ","")&amp;IF(COUNTIF(코드설정!$F$5:$F$7,업무일지!$AF683)=0,"진행상태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"&amp;업무일지!$G684)</f>
        <v/>
      </c>
      <c r="D716" s="45">
        <f>IF(COUNT(업무일지!$B684:$AG684)+COUNTIF(업무일지!$B684:$AG684,"?*")=0,"",TRIM(IF(업무일지!$B684="","시작일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","")&amp;IF(AND(업무일지!$F684="",업무일지!$G684=""),"사건번호·업무명 모두 없음; ","")&amp;IF(업무일지!$I684="","담당자 없음; ","")&amp;IF(COUNTIF(코드설정!$F$5:$F$7,업무일지!$AF684)=0,"진행상태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"&amp;업무일지!$G685)</f>
        <v/>
      </c>
      <c r="D717" s="45">
        <f>IF(COUNT(업무일지!$B685:$AG685)+COUNTIF(업무일지!$B685:$AG685,"?*")=0,"",TRIM(IF(업무일지!$B685="","시작일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","")&amp;IF(AND(업무일지!$F685="",업무일지!$G685=""),"사건번호·업무명 모두 없음; ","")&amp;IF(업무일지!$I685="","담당자 없음; ","")&amp;IF(COUNTIF(코드설정!$F$5:$F$7,업무일지!$AF685)=0,"진행상태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"&amp;업무일지!$G686)</f>
        <v/>
      </c>
      <c r="D718" s="45">
        <f>IF(COUNT(업무일지!$B686:$AG686)+COUNTIF(업무일지!$B686:$AG686,"?*")=0,"",TRIM(IF(업무일지!$B686="","시작일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","")&amp;IF(AND(업무일지!$F686="",업무일지!$G686=""),"사건번호·업무명 모두 없음; ","")&amp;IF(업무일지!$I686="","담당자 없음; ","")&amp;IF(COUNTIF(코드설정!$F$5:$F$7,업무일지!$AF686)=0,"진행상태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"&amp;업무일지!$G687)</f>
        <v/>
      </c>
      <c r="D719" s="45">
        <f>IF(COUNT(업무일지!$B687:$AG687)+COUNTIF(업무일지!$B687:$AG687,"?*")=0,"",TRIM(IF(업무일지!$B687="","시작일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","")&amp;IF(AND(업무일지!$F687="",업무일지!$G687=""),"사건번호·업무명 모두 없음; ","")&amp;IF(업무일지!$I687="","담당자 없음; ","")&amp;IF(COUNTIF(코드설정!$F$5:$F$7,업무일지!$AF687)=0,"진행상태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"&amp;업무일지!$G688)</f>
        <v/>
      </c>
      <c r="D720" s="45">
        <f>IF(COUNT(업무일지!$B688:$AG688)+COUNTIF(업무일지!$B688:$AG688,"?*")=0,"",TRIM(IF(업무일지!$B688="","시작일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","")&amp;IF(AND(업무일지!$F688="",업무일지!$G688=""),"사건번호·업무명 모두 없음; ","")&amp;IF(업무일지!$I688="","담당자 없음; ","")&amp;IF(COUNTIF(코드설정!$F$5:$F$7,업무일지!$AF688)=0,"진행상태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"&amp;업무일지!$G689)</f>
        <v/>
      </c>
      <c r="D721" s="45">
        <f>IF(COUNT(업무일지!$B689:$AG689)+COUNTIF(업무일지!$B689:$AG689,"?*")=0,"",TRIM(IF(업무일지!$B689="","시작일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","")&amp;IF(AND(업무일지!$F689="",업무일지!$G689=""),"사건번호·업무명 모두 없음; ","")&amp;IF(업무일지!$I689="","담당자 없음; ","")&amp;IF(COUNTIF(코드설정!$F$5:$F$7,업무일지!$AF689)=0,"진행상태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"&amp;업무일지!$G690)</f>
        <v/>
      </c>
      <c r="D722" s="45">
        <f>IF(COUNT(업무일지!$B690:$AG690)+COUNTIF(업무일지!$B690:$AG690,"?*")=0,"",TRIM(IF(업무일지!$B690="","시작일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","")&amp;IF(AND(업무일지!$F690="",업무일지!$G690=""),"사건번호·업무명 모두 없음; ","")&amp;IF(업무일지!$I690="","담당자 없음; ","")&amp;IF(COUNTIF(코드설정!$F$5:$F$7,업무일지!$AF690)=0,"진행상태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"&amp;업무일지!$G691)</f>
        <v/>
      </c>
      <c r="D723" s="45">
        <f>IF(COUNT(업무일지!$B691:$AG691)+COUNTIF(업무일지!$B691:$AG691,"?*")=0,"",TRIM(IF(업무일지!$B691="","시작일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","")&amp;IF(AND(업무일지!$F691="",업무일지!$G691=""),"사건번호·업무명 모두 없음; ","")&amp;IF(업무일지!$I691="","담당자 없음; ","")&amp;IF(COUNTIF(코드설정!$F$5:$F$7,업무일지!$AF691)=0,"진행상태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"&amp;업무일지!$G692)</f>
        <v/>
      </c>
      <c r="D724" s="45">
        <f>IF(COUNT(업무일지!$B692:$AG692)+COUNTIF(업무일지!$B692:$AG692,"?*")=0,"",TRIM(IF(업무일지!$B692="","시작일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","")&amp;IF(AND(업무일지!$F692="",업무일지!$G692=""),"사건번호·업무명 모두 없음; ","")&amp;IF(업무일지!$I692="","담당자 없음; ","")&amp;IF(COUNTIF(코드설정!$F$5:$F$7,업무일지!$AF692)=0,"진행상태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"&amp;업무일지!$G693)</f>
        <v/>
      </c>
      <c r="D725" s="45">
        <f>IF(COUNT(업무일지!$B693:$AG693)+COUNTIF(업무일지!$B693:$AG693,"?*")=0,"",TRIM(IF(업무일지!$B693="","시작일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","")&amp;IF(AND(업무일지!$F693="",업무일지!$G693=""),"사건번호·업무명 모두 없음; ","")&amp;IF(업무일지!$I693="","담당자 없음; ","")&amp;IF(COUNTIF(코드설정!$F$5:$F$7,업무일지!$AF693)=0,"진행상태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"&amp;업무일지!$G694)</f>
        <v/>
      </c>
      <c r="D726" s="45">
        <f>IF(COUNT(업무일지!$B694:$AG694)+COUNTIF(업무일지!$B694:$AG694,"?*")=0,"",TRIM(IF(업무일지!$B694="","시작일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","")&amp;IF(AND(업무일지!$F694="",업무일지!$G694=""),"사건번호·업무명 모두 없음; ","")&amp;IF(업무일지!$I694="","담당자 없음; ","")&amp;IF(COUNTIF(코드설정!$F$5:$F$7,업무일지!$AF694)=0,"진행상태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"&amp;업무일지!$G695)</f>
        <v/>
      </c>
      <c r="D727" s="45">
        <f>IF(COUNT(업무일지!$B695:$AG695)+COUNTIF(업무일지!$B695:$AG695,"?*")=0,"",TRIM(IF(업무일지!$B695="","시작일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","")&amp;IF(AND(업무일지!$F695="",업무일지!$G695=""),"사건번호·업무명 모두 없음; ","")&amp;IF(업무일지!$I695="","담당자 없음; ","")&amp;IF(COUNTIF(코드설정!$F$5:$F$7,업무일지!$AF695)=0,"진행상태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"&amp;업무일지!$G696)</f>
        <v/>
      </c>
      <c r="D728" s="45">
        <f>IF(COUNT(업무일지!$B696:$AG696)+COUNTIF(업무일지!$B696:$AG696,"?*")=0,"",TRIM(IF(업무일지!$B696="","시작일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","")&amp;IF(AND(업무일지!$F696="",업무일지!$G696=""),"사건번호·업무명 모두 없음; ","")&amp;IF(업무일지!$I696="","담당자 없음; ","")&amp;IF(COUNTIF(코드설정!$F$5:$F$7,업무일지!$AF696)=0,"진행상태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"&amp;업무일지!$G697)</f>
        <v/>
      </c>
      <c r="D729" s="45">
        <f>IF(COUNT(업무일지!$B697:$AG697)+COUNTIF(업무일지!$B697:$AG697,"?*")=0,"",TRIM(IF(업무일지!$B697="","시작일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","")&amp;IF(AND(업무일지!$F697="",업무일지!$G697=""),"사건번호·업무명 모두 없음; ","")&amp;IF(업무일지!$I697="","담당자 없음; ","")&amp;IF(COUNTIF(코드설정!$F$5:$F$7,업무일지!$AF697)=0,"진행상태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"&amp;업무일지!$G698)</f>
        <v/>
      </c>
      <c r="D730" s="45">
        <f>IF(COUNT(업무일지!$B698:$AG698)+COUNTIF(업무일지!$B698:$AG698,"?*")=0,"",TRIM(IF(업무일지!$B698="","시작일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","")&amp;IF(AND(업무일지!$F698="",업무일지!$G698=""),"사건번호·업무명 모두 없음; ","")&amp;IF(업무일지!$I698="","담당자 없음; ","")&amp;IF(COUNTIF(코드설정!$F$5:$F$7,업무일지!$AF698)=0,"진행상태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"&amp;업무일지!$G699)</f>
        <v/>
      </c>
      <c r="D731" s="45">
        <f>IF(COUNT(업무일지!$B699:$AG699)+COUNTIF(업무일지!$B699:$AG699,"?*")=0,"",TRIM(IF(업무일지!$B699="","시작일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","")&amp;IF(AND(업무일지!$F699="",업무일지!$G699=""),"사건번호·업무명 모두 없음; ","")&amp;IF(업무일지!$I699="","담당자 없음; ","")&amp;IF(COUNTIF(코드설정!$F$5:$F$7,업무일지!$AF699)=0,"진행상태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"&amp;업무일지!$G700)</f>
        <v/>
      </c>
      <c r="D732" s="45">
        <f>IF(COUNT(업무일지!$B700:$AG700)+COUNTIF(업무일지!$B700:$AG700,"?*")=0,"",TRIM(IF(업무일지!$B700="","시작일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","")&amp;IF(AND(업무일지!$F700="",업무일지!$G700=""),"사건번호·업무명 모두 없음; ","")&amp;IF(업무일지!$I700="","담당자 없음; ","")&amp;IF(COUNTIF(코드설정!$F$5:$F$7,업무일지!$AF700)=0,"진행상태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"&amp;업무일지!$G701)</f>
        <v/>
      </c>
      <c r="D733" s="45">
        <f>IF(COUNT(업무일지!$B701:$AG701)+COUNTIF(업무일지!$B701:$AG701,"?*")=0,"",TRIM(IF(업무일지!$B701="","시작일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","")&amp;IF(AND(업무일지!$F701="",업무일지!$G701=""),"사건번호·업무명 모두 없음; ","")&amp;IF(업무일지!$I701="","담당자 없음; ","")&amp;IF(COUNTIF(코드설정!$F$5:$F$7,업무일지!$AF701)=0,"진행상태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"&amp;업무일지!$G702)</f>
        <v/>
      </c>
      <c r="D734" s="45">
        <f>IF(COUNT(업무일지!$B702:$AG702)+COUNTIF(업무일지!$B702:$AG702,"?*")=0,"",TRIM(IF(업무일지!$B702="","시작일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","")&amp;IF(AND(업무일지!$F702="",업무일지!$G702=""),"사건번호·업무명 모두 없음; ","")&amp;IF(업무일지!$I702="","담당자 없음; ","")&amp;IF(COUNTIF(코드설정!$F$5:$F$7,업무일지!$AF702)=0,"진행상태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"&amp;업무일지!$G703)</f>
        <v/>
      </c>
      <c r="D735" s="45">
        <f>IF(COUNT(업무일지!$B703:$AG703)+COUNTIF(업무일지!$B703:$AG703,"?*")=0,"",TRIM(IF(업무일지!$B703="","시작일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","")&amp;IF(AND(업무일지!$F703="",업무일지!$G703=""),"사건번호·업무명 모두 없음; ","")&amp;IF(업무일지!$I703="","담당자 없음; ","")&amp;IF(COUNTIF(코드설정!$F$5:$F$7,업무일지!$AF703)=0,"진행상태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"&amp;업무일지!$G704)</f>
        <v/>
      </c>
      <c r="D736" s="45">
        <f>IF(COUNT(업무일지!$B704:$AG704)+COUNTIF(업무일지!$B704:$AG704,"?*")=0,"",TRIM(IF(업무일지!$B704="","시작일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","")&amp;IF(AND(업무일지!$F704="",업무일지!$G704=""),"사건번호·업무명 모두 없음; ","")&amp;IF(업무일지!$I704="","담당자 없음; ","")&amp;IF(COUNTIF(코드설정!$F$5:$F$7,업무일지!$AF704)=0,"진행상태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"&amp;업무일지!$G705)</f>
        <v/>
      </c>
      <c r="D737" s="45">
        <f>IF(COUNT(업무일지!$B705:$AG705)+COUNTIF(업무일지!$B705:$AG705,"?*")=0,"",TRIM(IF(업무일지!$B705="","시작일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","")&amp;IF(AND(업무일지!$F705="",업무일지!$G705=""),"사건번호·업무명 모두 없음; ","")&amp;IF(업무일지!$I705="","담당자 없음; ","")&amp;IF(COUNTIF(코드설정!$F$5:$F$7,업무일지!$AF705)=0,"진행상태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"&amp;업무일지!$G706)</f>
        <v/>
      </c>
      <c r="D738" s="45">
        <f>IF(COUNT(업무일지!$B706:$AG706)+COUNTIF(업무일지!$B706:$AG706,"?*")=0,"",TRIM(IF(업무일지!$B706="","시작일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","")&amp;IF(AND(업무일지!$F706="",업무일지!$G706=""),"사건번호·업무명 모두 없음; ","")&amp;IF(업무일지!$I706="","담당자 없음; ","")&amp;IF(COUNTIF(코드설정!$F$5:$F$7,업무일지!$AF706)=0,"진행상태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"&amp;업무일지!$G707)</f>
        <v/>
      </c>
      <c r="D739" s="45">
        <f>IF(COUNT(업무일지!$B707:$AG707)+COUNTIF(업무일지!$B707:$AG707,"?*")=0,"",TRIM(IF(업무일지!$B707="","시작일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","")&amp;IF(AND(업무일지!$F707="",업무일지!$G707=""),"사건번호·업무명 모두 없음; ","")&amp;IF(업무일지!$I707="","담당자 없음; ","")&amp;IF(COUNTIF(코드설정!$F$5:$F$7,업무일지!$AF707)=0,"진행상태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"&amp;업무일지!$G708)</f>
        <v/>
      </c>
      <c r="D740" s="45">
        <f>IF(COUNT(업무일지!$B708:$AG708)+COUNTIF(업무일지!$B708:$AG708,"?*")=0,"",TRIM(IF(업무일지!$B708="","시작일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","")&amp;IF(AND(업무일지!$F708="",업무일지!$G708=""),"사건번호·업무명 모두 없음; ","")&amp;IF(업무일지!$I708="","담당자 없음; ","")&amp;IF(COUNTIF(코드설정!$F$5:$F$7,업무일지!$AF708)=0,"진행상태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"&amp;업무일지!$G709)</f>
        <v/>
      </c>
      <c r="D741" s="45">
        <f>IF(COUNT(업무일지!$B709:$AG709)+COUNTIF(업무일지!$B709:$AG709,"?*")=0,"",TRIM(IF(업무일지!$B709="","시작일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","")&amp;IF(AND(업무일지!$F709="",업무일지!$G709=""),"사건번호·업무명 모두 없음; ","")&amp;IF(업무일지!$I709="","담당자 없음; ","")&amp;IF(COUNTIF(코드설정!$F$5:$F$7,업무일지!$AF709)=0,"진행상태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"&amp;업무일지!$G710)</f>
        <v/>
      </c>
      <c r="D742" s="45">
        <f>IF(COUNT(업무일지!$B710:$AG710)+COUNTIF(업무일지!$B710:$AG710,"?*")=0,"",TRIM(IF(업무일지!$B710="","시작일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","")&amp;IF(AND(업무일지!$F710="",업무일지!$G710=""),"사건번호·업무명 모두 없음; ","")&amp;IF(업무일지!$I710="","담당자 없음; ","")&amp;IF(COUNTIF(코드설정!$F$5:$F$7,업무일지!$AF710)=0,"진행상태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"&amp;업무일지!$G711)</f>
        <v/>
      </c>
      <c r="D743" s="45">
        <f>IF(COUNT(업무일지!$B711:$AG711)+COUNTIF(업무일지!$B711:$AG711,"?*")=0,"",TRIM(IF(업무일지!$B711="","시작일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","")&amp;IF(AND(업무일지!$F711="",업무일지!$G711=""),"사건번호·업무명 모두 없음; ","")&amp;IF(업무일지!$I711="","담당자 없음; ","")&amp;IF(COUNTIF(코드설정!$F$5:$F$7,업무일지!$AF711)=0,"진행상태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"&amp;업무일지!$G712)</f>
        <v/>
      </c>
      <c r="D744" s="45">
        <f>IF(COUNT(업무일지!$B712:$AG712)+COUNTIF(업무일지!$B712:$AG712,"?*")=0,"",TRIM(IF(업무일지!$B712="","시작일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","")&amp;IF(AND(업무일지!$F712="",업무일지!$G712=""),"사건번호·업무명 모두 없음; ","")&amp;IF(업무일지!$I712="","담당자 없음; ","")&amp;IF(COUNTIF(코드설정!$F$5:$F$7,업무일지!$AF712)=0,"진행상태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"&amp;업무일지!$G713)</f>
        <v/>
      </c>
      <c r="D745" s="45">
        <f>IF(COUNT(업무일지!$B713:$AG713)+COUNTIF(업무일지!$B713:$AG713,"?*")=0,"",TRIM(IF(업무일지!$B713="","시작일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","")&amp;IF(AND(업무일지!$F713="",업무일지!$G713=""),"사건번호·업무명 모두 없음; ","")&amp;IF(업무일지!$I713="","담당자 없음; ","")&amp;IF(COUNTIF(코드설정!$F$5:$F$7,업무일지!$AF713)=0,"진행상태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"&amp;업무일지!$G714)</f>
        <v/>
      </c>
      <c r="D746" s="45">
        <f>IF(COUNT(업무일지!$B714:$AG714)+COUNTIF(업무일지!$B714:$AG714,"?*")=0,"",TRIM(IF(업무일지!$B714="","시작일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","")&amp;IF(AND(업무일지!$F714="",업무일지!$G714=""),"사건번호·업무명 모두 없음; ","")&amp;IF(업무일지!$I714="","담당자 없음; ","")&amp;IF(COUNTIF(코드설정!$F$5:$F$7,업무일지!$AF714)=0,"진행상태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"&amp;업무일지!$G715)</f>
        <v/>
      </c>
      <c r="D747" s="45">
        <f>IF(COUNT(업무일지!$B715:$AG715)+COUNTIF(업무일지!$B715:$AG715,"?*")=0,"",TRIM(IF(업무일지!$B715="","시작일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","")&amp;IF(AND(업무일지!$F715="",업무일지!$G715=""),"사건번호·업무명 모두 없음; ","")&amp;IF(업무일지!$I715="","담당자 없음; ","")&amp;IF(COUNTIF(코드설정!$F$5:$F$7,업무일지!$AF715)=0,"진행상태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"&amp;업무일지!$G716)</f>
        <v/>
      </c>
      <c r="D748" s="45">
        <f>IF(COUNT(업무일지!$B716:$AG716)+COUNTIF(업무일지!$B716:$AG716,"?*")=0,"",TRIM(IF(업무일지!$B716="","시작일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","")&amp;IF(AND(업무일지!$F716="",업무일지!$G716=""),"사건번호·업무명 모두 없음; ","")&amp;IF(업무일지!$I716="","담당자 없음; ","")&amp;IF(COUNTIF(코드설정!$F$5:$F$7,업무일지!$AF716)=0,"진행상태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"&amp;업무일지!$G717)</f>
        <v/>
      </c>
      <c r="D749" s="45">
        <f>IF(COUNT(업무일지!$B717:$AG717)+COUNTIF(업무일지!$B717:$AG717,"?*")=0,"",TRIM(IF(업무일지!$B717="","시작일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","")&amp;IF(AND(업무일지!$F717="",업무일지!$G717=""),"사건번호·업무명 모두 없음; ","")&amp;IF(업무일지!$I717="","담당자 없음; ","")&amp;IF(COUNTIF(코드설정!$F$5:$F$7,업무일지!$AF717)=0,"진행상태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"&amp;업무일지!$G718)</f>
        <v/>
      </c>
      <c r="D750" s="45">
        <f>IF(COUNT(업무일지!$B718:$AG718)+COUNTIF(업무일지!$B718:$AG718,"?*")=0,"",TRIM(IF(업무일지!$B718="","시작일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","")&amp;IF(AND(업무일지!$F718="",업무일지!$G718=""),"사건번호·업무명 모두 없음; ","")&amp;IF(업무일지!$I718="","담당자 없음; ","")&amp;IF(COUNTIF(코드설정!$F$5:$F$7,업무일지!$AF718)=0,"진행상태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"&amp;업무일지!$G719)</f>
        <v/>
      </c>
      <c r="D751" s="45">
        <f>IF(COUNT(업무일지!$B719:$AG719)+COUNTIF(업무일지!$B719:$AG719,"?*")=0,"",TRIM(IF(업무일지!$B719="","시작일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","")&amp;IF(AND(업무일지!$F719="",업무일지!$G719=""),"사건번호·업무명 모두 없음; ","")&amp;IF(업무일지!$I719="","담당자 없음; ","")&amp;IF(COUNTIF(코드설정!$F$5:$F$7,업무일지!$AF719)=0,"진행상태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"&amp;업무일지!$G720)</f>
        <v/>
      </c>
      <c r="D752" s="45">
        <f>IF(COUNT(업무일지!$B720:$AG720)+COUNTIF(업무일지!$B720:$AG720,"?*")=0,"",TRIM(IF(업무일지!$B720="","시작일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","")&amp;IF(AND(업무일지!$F720="",업무일지!$G720=""),"사건번호·업무명 모두 없음; ","")&amp;IF(업무일지!$I720="","담당자 없음; ","")&amp;IF(COUNTIF(코드설정!$F$5:$F$7,업무일지!$AF720)=0,"진행상태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"&amp;업무일지!$G721)</f>
        <v/>
      </c>
      <c r="D753" s="45">
        <f>IF(COUNT(업무일지!$B721:$AG721)+COUNTIF(업무일지!$B721:$AG721,"?*")=0,"",TRIM(IF(업무일지!$B721="","시작일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","")&amp;IF(AND(업무일지!$F721="",업무일지!$G721=""),"사건번호·업무명 모두 없음; ","")&amp;IF(업무일지!$I721="","담당자 없음; ","")&amp;IF(COUNTIF(코드설정!$F$5:$F$7,업무일지!$AF721)=0,"진행상태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"&amp;업무일지!$G722)</f>
        <v/>
      </c>
      <c r="D754" s="45">
        <f>IF(COUNT(업무일지!$B722:$AG722)+COUNTIF(업무일지!$B722:$AG722,"?*")=0,"",TRIM(IF(업무일지!$B722="","시작일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","")&amp;IF(AND(업무일지!$F722="",업무일지!$G722=""),"사건번호·업무명 모두 없음; ","")&amp;IF(업무일지!$I722="","담당자 없음; ","")&amp;IF(COUNTIF(코드설정!$F$5:$F$7,업무일지!$AF722)=0,"진행상태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"&amp;업무일지!$G723)</f>
        <v/>
      </c>
      <c r="D755" s="45">
        <f>IF(COUNT(업무일지!$B723:$AG723)+COUNTIF(업무일지!$B723:$AG723,"?*")=0,"",TRIM(IF(업무일지!$B723="","시작일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","")&amp;IF(AND(업무일지!$F723="",업무일지!$G723=""),"사건번호·업무명 모두 없음; ","")&amp;IF(업무일지!$I723="","담당자 없음; ","")&amp;IF(COUNTIF(코드설정!$F$5:$F$7,업무일지!$AF723)=0,"진행상태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"&amp;업무일지!$G724)</f>
        <v/>
      </c>
      <c r="D756" s="45">
        <f>IF(COUNT(업무일지!$B724:$AG724)+COUNTIF(업무일지!$B724:$AG724,"?*")=0,"",TRIM(IF(업무일지!$B724="","시작일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","")&amp;IF(AND(업무일지!$F724="",업무일지!$G724=""),"사건번호·업무명 모두 없음; ","")&amp;IF(업무일지!$I724="","담당자 없음; ","")&amp;IF(COUNTIF(코드설정!$F$5:$F$7,업무일지!$AF724)=0,"진행상태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"&amp;업무일지!$G725)</f>
        <v/>
      </c>
      <c r="D757" s="45">
        <f>IF(COUNT(업무일지!$B725:$AG725)+COUNTIF(업무일지!$B725:$AG725,"?*")=0,"",TRIM(IF(업무일지!$B725="","시작일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","")&amp;IF(AND(업무일지!$F725="",업무일지!$G725=""),"사건번호·업무명 모두 없음; ","")&amp;IF(업무일지!$I725="","담당자 없음; ","")&amp;IF(COUNTIF(코드설정!$F$5:$F$7,업무일지!$AF725)=0,"진행상태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"&amp;업무일지!$G726)</f>
        <v/>
      </c>
      <c r="D758" s="45">
        <f>IF(COUNT(업무일지!$B726:$AG726)+COUNTIF(업무일지!$B726:$AG726,"?*")=0,"",TRIM(IF(업무일지!$B726="","시작일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","")&amp;IF(AND(업무일지!$F726="",업무일지!$G726=""),"사건번호·업무명 모두 없음; ","")&amp;IF(업무일지!$I726="","담당자 없음; ","")&amp;IF(COUNTIF(코드설정!$F$5:$F$7,업무일지!$AF726)=0,"진행상태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"&amp;업무일지!$G727)</f>
        <v/>
      </c>
      <c r="D759" s="45">
        <f>IF(COUNT(업무일지!$B727:$AG727)+COUNTIF(업무일지!$B727:$AG727,"?*")=0,"",TRIM(IF(업무일지!$B727="","시작일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","")&amp;IF(AND(업무일지!$F727="",업무일지!$G727=""),"사건번호·업무명 모두 없음; ","")&amp;IF(업무일지!$I727="","담당자 없음; ","")&amp;IF(COUNTIF(코드설정!$F$5:$F$7,업무일지!$AF727)=0,"진행상태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"&amp;업무일지!$G728)</f>
        <v/>
      </c>
      <c r="D760" s="45">
        <f>IF(COUNT(업무일지!$B728:$AG728)+COUNTIF(업무일지!$B728:$AG728,"?*")=0,"",TRIM(IF(업무일지!$B728="","시작일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","")&amp;IF(AND(업무일지!$F728="",업무일지!$G728=""),"사건번호·업무명 모두 없음; ","")&amp;IF(업무일지!$I728="","담당자 없음; ","")&amp;IF(COUNTIF(코드설정!$F$5:$F$7,업무일지!$AF728)=0,"진행상태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"&amp;업무일지!$G729)</f>
        <v/>
      </c>
      <c r="D761" s="45">
        <f>IF(COUNT(업무일지!$B729:$AG729)+COUNTIF(업무일지!$B729:$AG729,"?*")=0,"",TRIM(IF(업무일지!$B729="","시작일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","")&amp;IF(AND(업무일지!$F729="",업무일지!$G729=""),"사건번호·업무명 모두 없음; ","")&amp;IF(업무일지!$I729="","담당자 없음; ","")&amp;IF(COUNTIF(코드설정!$F$5:$F$7,업무일지!$AF729)=0,"진행상태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"&amp;업무일지!$G730)</f>
        <v/>
      </c>
      <c r="D762" s="45">
        <f>IF(COUNT(업무일지!$B730:$AG730)+COUNTIF(업무일지!$B730:$AG730,"?*")=0,"",TRIM(IF(업무일지!$B730="","시작일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","")&amp;IF(AND(업무일지!$F730="",업무일지!$G730=""),"사건번호·업무명 모두 없음; ","")&amp;IF(업무일지!$I730="","담당자 없음; ","")&amp;IF(COUNTIF(코드설정!$F$5:$F$7,업무일지!$AF730)=0,"진행상태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"&amp;업무일지!$G731)</f>
        <v/>
      </c>
      <c r="D763" s="45">
        <f>IF(COUNT(업무일지!$B731:$AG731)+COUNTIF(업무일지!$B731:$AG731,"?*")=0,"",TRIM(IF(업무일지!$B731="","시작일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","")&amp;IF(AND(업무일지!$F731="",업무일지!$G731=""),"사건번호·업무명 모두 없음; ","")&amp;IF(업무일지!$I731="","담당자 없음; ","")&amp;IF(COUNTIF(코드설정!$F$5:$F$7,업무일지!$AF731)=0,"진행상태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"&amp;업무일지!$G732)</f>
        <v/>
      </c>
      <c r="D764" s="45">
        <f>IF(COUNT(업무일지!$B732:$AG732)+COUNTIF(업무일지!$B732:$AG732,"?*")=0,"",TRIM(IF(업무일지!$B732="","시작일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","")&amp;IF(AND(업무일지!$F732="",업무일지!$G732=""),"사건번호·업무명 모두 없음; ","")&amp;IF(업무일지!$I732="","담당자 없음; ","")&amp;IF(COUNTIF(코드설정!$F$5:$F$7,업무일지!$AF732)=0,"진행상태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"&amp;업무일지!$G733)</f>
        <v/>
      </c>
      <c r="D765" s="45">
        <f>IF(COUNT(업무일지!$B733:$AG733)+COUNTIF(업무일지!$B733:$AG733,"?*")=0,"",TRIM(IF(업무일지!$B733="","시작일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","")&amp;IF(AND(업무일지!$F733="",업무일지!$G733=""),"사건번호·업무명 모두 없음; ","")&amp;IF(업무일지!$I733="","담당자 없음; ","")&amp;IF(COUNTIF(코드설정!$F$5:$F$7,업무일지!$AF733)=0,"진행상태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"&amp;업무일지!$G734)</f>
        <v/>
      </c>
      <c r="D766" s="45">
        <f>IF(COUNT(업무일지!$B734:$AG734)+COUNTIF(업무일지!$B734:$AG734,"?*")=0,"",TRIM(IF(업무일지!$B734="","시작일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","")&amp;IF(AND(업무일지!$F734="",업무일지!$G734=""),"사건번호·업무명 모두 없음; ","")&amp;IF(업무일지!$I734="","담당자 없음; ","")&amp;IF(COUNTIF(코드설정!$F$5:$F$7,업무일지!$AF734)=0,"진행상태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"&amp;업무일지!$G735)</f>
        <v/>
      </c>
      <c r="D767" s="45">
        <f>IF(COUNT(업무일지!$B735:$AG735)+COUNTIF(업무일지!$B735:$AG735,"?*")=0,"",TRIM(IF(업무일지!$B735="","시작일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","")&amp;IF(AND(업무일지!$F735="",업무일지!$G735=""),"사건번호·업무명 모두 없음; ","")&amp;IF(업무일지!$I735="","담당자 없음; ","")&amp;IF(COUNTIF(코드설정!$F$5:$F$7,업무일지!$AF735)=0,"진행상태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"&amp;업무일지!$G736)</f>
        <v/>
      </c>
      <c r="D768" s="45">
        <f>IF(COUNT(업무일지!$B736:$AG736)+COUNTIF(업무일지!$B736:$AG736,"?*")=0,"",TRIM(IF(업무일지!$B736="","시작일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","")&amp;IF(AND(업무일지!$F736="",업무일지!$G736=""),"사건번호·업무명 모두 없음; ","")&amp;IF(업무일지!$I736="","담당자 없음; ","")&amp;IF(COUNTIF(코드설정!$F$5:$F$7,업무일지!$AF736)=0,"진행상태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"&amp;업무일지!$G737)</f>
        <v/>
      </c>
      <c r="D769" s="45">
        <f>IF(COUNT(업무일지!$B737:$AG737)+COUNTIF(업무일지!$B737:$AG737,"?*")=0,"",TRIM(IF(업무일지!$B737="","시작일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","")&amp;IF(AND(업무일지!$F737="",업무일지!$G737=""),"사건번호·업무명 모두 없음; ","")&amp;IF(업무일지!$I737="","담당자 없음; ","")&amp;IF(COUNTIF(코드설정!$F$5:$F$7,업무일지!$AF737)=0,"진행상태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"&amp;업무일지!$G738)</f>
        <v/>
      </c>
      <c r="D770" s="45">
        <f>IF(COUNT(업무일지!$B738:$AG738)+COUNTIF(업무일지!$B738:$AG738,"?*")=0,"",TRIM(IF(업무일지!$B738="","시작일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","")&amp;IF(AND(업무일지!$F738="",업무일지!$G738=""),"사건번호·업무명 모두 없음; ","")&amp;IF(업무일지!$I738="","담당자 없음; ","")&amp;IF(COUNTIF(코드설정!$F$5:$F$7,업무일지!$AF738)=0,"진행상태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"&amp;업무일지!$G739)</f>
        <v/>
      </c>
      <c r="D771" s="45">
        <f>IF(COUNT(업무일지!$B739:$AG739)+COUNTIF(업무일지!$B739:$AG739,"?*")=0,"",TRIM(IF(업무일지!$B739="","시작일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","")&amp;IF(AND(업무일지!$F739="",업무일지!$G739=""),"사건번호·업무명 모두 없음; ","")&amp;IF(업무일지!$I739="","담당자 없음; ","")&amp;IF(COUNTIF(코드설정!$F$5:$F$7,업무일지!$AF739)=0,"진행상태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"&amp;업무일지!$G740)</f>
        <v/>
      </c>
      <c r="D772" s="45">
        <f>IF(COUNT(업무일지!$B740:$AG740)+COUNTIF(업무일지!$B740:$AG740,"?*")=0,"",TRIM(IF(업무일지!$B740="","시작일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","")&amp;IF(AND(업무일지!$F740="",업무일지!$G740=""),"사건번호·업무명 모두 없음; ","")&amp;IF(업무일지!$I740="","담당자 없음; ","")&amp;IF(COUNTIF(코드설정!$F$5:$F$7,업무일지!$AF740)=0,"진행상태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"&amp;업무일지!$G741)</f>
        <v/>
      </c>
      <c r="D773" s="45">
        <f>IF(COUNT(업무일지!$B741:$AG741)+COUNTIF(업무일지!$B741:$AG741,"?*")=0,"",TRIM(IF(업무일지!$B741="","시작일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","")&amp;IF(AND(업무일지!$F741="",업무일지!$G741=""),"사건번호·업무명 모두 없음; ","")&amp;IF(업무일지!$I741="","담당자 없음; ","")&amp;IF(COUNTIF(코드설정!$F$5:$F$7,업무일지!$AF741)=0,"진행상태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"&amp;업무일지!$G742)</f>
        <v/>
      </c>
      <c r="D774" s="45">
        <f>IF(COUNT(업무일지!$B742:$AG742)+COUNTIF(업무일지!$B742:$AG742,"?*")=0,"",TRIM(IF(업무일지!$B742="","시작일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","")&amp;IF(AND(업무일지!$F742="",업무일지!$G742=""),"사건번호·업무명 모두 없음; ","")&amp;IF(업무일지!$I742="","담당자 없음; ","")&amp;IF(COUNTIF(코드설정!$F$5:$F$7,업무일지!$AF742)=0,"진행상태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"&amp;업무일지!$G743)</f>
        <v/>
      </c>
      <c r="D775" s="45">
        <f>IF(COUNT(업무일지!$B743:$AG743)+COUNTIF(업무일지!$B743:$AG743,"?*")=0,"",TRIM(IF(업무일지!$B743="","시작일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","")&amp;IF(AND(업무일지!$F743="",업무일지!$G743=""),"사건번호·업무명 모두 없음; ","")&amp;IF(업무일지!$I743="","담당자 없음; ","")&amp;IF(COUNTIF(코드설정!$F$5:$F$7,업무일지!$AF743)=0,"진행상태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"&amp;업무일지!$G744)</f>
        <v/>
      </c>
      <c r="D776" s="45">
        <f>IF(COUNT(업무일지!$B744:$AG744)+COUNTIF(업무일지!$B744:$AG744,"?*")=0,"",TRIM(IF(업무일지!$B744="","시작일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","")&amp;IF(AND(업무일지!$F744="",업무일지!$G744=""),"사건번호·업무명 모두 없음; ","")&amp;IF(업무일지!$I744="","담당자 없음; ","")&amp;IF(COUNTIF(코드설정!$F$5:$F$7,업무일지!$AF744)=0,"진행상태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"&amp;업무일지!$G745)</f>
        <v/>
      </c>
      <c r="D777" s="45">
        <f>IF(COUNT(업무일지!$B745:$AG745)+COUNTIF(업무일지!$B745:$AG745,"?*")=0,"",TRIM(IF(업무일지!$B745="","시작일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","")&amp;IF(AND(업무일지!$F745="",업무일지!$G745=""),"사건번호·업무명 모두 없음; ","")&amp;IF(업무일지!$I745="","담당자 없음; ","")&amp;IF(COUNTIF(코드설정!$F$5:$F$7,업무일지!$AF745)=0,"진행상태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"&amp;업무일지!$G746)</f>
        <v/>
      </c>
      <c r="D778" s="45">
        <f>IF(COUNT(업무일지!$B746:$AG746)+COUNTIF(업무일지!$B746:$AG746,"?*")=0,"",TRIM(IF(업무일지!$B746="","시작일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","")&amp;IF(AND(업무일지!$F746="",업무일지!$G746=""),"사건번호·업무명 모두 없음; ","")&amp;IF(업무일지!$I746="","담당자 없음; ","")&amp;IF(COUNTIF(코드설정!$F$5:$F$7,업무일지!$AF746)=0,"진행상태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"&amp;업무일지!$G747)</f>
        <v/>
      </c>
      <c r="D779" s="45">
        <f>IF(COUNT(업무일지!$B747:$AG747)+COUNTIF(업무일지!$B747:$AG747,"?*")=0,"",TRIM(IF(업무일지!$B747="","시작일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","")&amp;IF(AND(업무일지!$F747="",업무일지!$G747=""),"사건번호·업무명 모두 없음; ","")&amp;IF(업무일지!$I747="","담당자 없음; ","")&amp;IF(COUNTIF(코드설정!$F$5:$F$7,업무일지!$AF747)=0,"진행상태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"&amp;업무일지!$G748)</f>
        <v/>
      </c>
      <c r="D780" s="45">
        <f>IF(COUNT(업무일지!$B748:$AG748)+COUNTIF(업무일지!$B748:$AG748,"?*")=0,"",TRIM(IF(업무일지!$B748="","시작일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","")&amp;IF(AND(업무일지!$F748="",업무일지!$G748=""),"사건번호·업무명 모두 없음; ","")&amp;IF(업무일지!$I748="","담당자 없음; ","")&amp;IF(COUNTIF(코드설정!$F$5:$F$7,업무일지!$AF748)=0,"진행상태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"&amp;업무일지!$G749)</f>
        <v/>
      </c>
      <c r="D781" s="45">
        <f>IF(COUNT(업무일지!$B749:$AG749)+COUNTIF(업무일지!$B749:$AG749,"?*")=0,"",TRIM(IF(업무일지!$B749="","시작일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","")&amp;IF(AND(업무일지!$F749="",업무일지!$G749=""),"사건번호·업무명 모두 없음; ","")&amp;IF(업무일지!$I749="","담당자 없음; ","")&amp;IF(COUNTIF(코드설정!$F$5:$F$7,업무일지!$AF749)=0,"진행상태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"&amp;업무일지!$G750)</f>
        <v/>
      </c>
      <c r="D782" s="45">
        <f>IF(COUNT(업무일지!$B750:$AG750)+COUNTIF(업무일지!$B750:$AG750,"?*")=0,"",TRIM(IF(업무일지!$B750="","시작일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","")&amp;IF(AND(업무일지!$F750="",업무일지!$G750=""),"사건번호·업무명 모두 없음; ","")&amp;IF(업무일지!$I750="","담당자 없음; ","")&amp;IF(COUNTIF(코드설정!$F$5:$F$7,업무일지!$AF750)=0,"진행상태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"&amp;업무일지!$G751)</f>
        <v/>
      </c>
      <c r="D783" s="45">
        <f>IF(COUNT(업무일지!$B751:$AG751)+COUNTIF(업무일지!$B751:$AG751,"?*")=0,"",TRIM(IF(업무일지!$B751="","시작일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","")&amp;IF(AND(업무일지!$F751="",업무일지!$G751=""),"사건번호·업무명 모두 없음; ","")&amp;IF(업무일지!$I751="","담당자 없음; ","")&amp;IF(COUNTIF(코드설정!$F$5:$F$7,업무일지!$AF751)=0,"진행상태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"&amp;업무일지!$G752)</f>
        <v/>
      </c>
      <c r="D784" s="45">
        <f>IF(COUNT(업무일지!$B752:$AG752)+COUNTIF(업무일지!$B752:$AG752,"?*")=0,"",TRIM(IF(업무일지!$B752="","시작일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","")&amp;IF(AND(업무일지!$F752="",업무일지!$G752=""),"사건번호·업무명 모두 없음; ","")&amp;IF(업무일지!$I752="","담당자 없음; ","")&amp;IF(COUNTIF(코드설정!$F$5:$F$7,업무일지!$AF752)=0,"진행상태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"&amp;업무일지!$G753)</f>
        <v/>
      </c>
      <c r="D785" s="45">
        <f>IF(COUNT(업무일지!$B753:$AG753)+COUNTIF(업무일지!$B753:$AG753,"?*")=0,"",TRIM(IF(업무일지!$B753="","시작일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","")&amp;IF(AND(업무일지!$F753="",업무일지!$G753=""),"사건번호·업무명 모두 없음; ","")&amp;IF(업무일지!$I753="","담당자 없음; ","")&amp;IF(COUNTIF(코드설정!$F$5:$F$7,업무일지!$AF753)=0,"진행상태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"&amp;업무일지!$G754)</f>
        <v/>
      </c>
      <c r="D786" s="45">
        <f>IF(COUNT(업무일지!$B754:$AG754)+COUNTIF(업무일지!$B754:$AG754,"?*")=0,"",TRIM(IF(업무일지!$B754="","시작일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","")&amp;IF(AND(업무일지!$F754="",업무일지!$G754=""),"사건번호·업무명 모두 없음; ","")&amp;IF(업무일지!$I754="","담당자 없음; ","")&amp;IF(COUNTIF(코드설정!$F$5:$F$7,업무일지!$AF754)=0,"진행상태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"&amp;업무일지!$G755)</f>
        <v/>
      </c>
      <c r="D787" s="45">
        <f>IF(COUNT(업무일지!$B755:$AG755)+COUNTIF(업무일지!$B755:$AG755,"?*")=0,"",TRIM(IF(업무일지!$B755="","시작일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","")&amp;IF(AND(업무일지!$F755="",업무일지!$G755=""),"사건번호·업무명 모두 없음; ","")&amp;IF(업무일지!$I755="","담당자 없음; ","")&amp;IF(COUNTIF(코드설정!$F$5:$F$7,업무일지!$AF755)=0,"진행상태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"&amp;업무일지!$G756)</f>
        <v/>
      </c>
      <c r="D788" s="45">
        <f>IF(COUNT(업무일지!$B756:$AG756)+COUNTIF(업무일지!$B756:$AG756,"?*")=0,"",TRIM(IF(업무일지!$B756="","시작일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","")&amp;IF(AND(업무일지!$F756="",업무일지!$G756=""),"사건번호·업무명 모두 없음; ","")&amp;IF(업무일지!$I756="","담당자 없음; ","")&amp;IF(COUNTIF(코드설정!$F$5:$F$7,업무일지!$AF756)=0,"진행상태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"&amp;업무일지!$G757)</f>
        <v/>
      </c>
      <c r="D789" s="45">
        <f>IF(COUNT(업무일지!$B757:$AG757)+COUNTIF(업무일지!$B757:$AG757,"?*")=0,"",TRIM(IF(업무일지!$B757="","시작일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","")&amp;IF(AND(업무일지!$F757="",업무일지!$G757=""),"사건번호·업무명 모두 없음; ","")&amp;IF(업무일지!$I757="","담당자 없음; ","")&amp;IF(COUNTIF(코드설정!$F$5:$F$7,업무일지!$AF757)=0,"진행상태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"&amp;업무일지!$G758)</f>
        <v/>
      </c>
      <c r="D790" s="45">
        <f>IF(COUNT(업무일지!$B758:$AG758)+COUNTIF(업무일지!$B758:$AG758,"?*")=0,"",TRIM(IF(업무일지!$B758="","시작일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","")&amp;IF(AND(업무일지!$F758="",업무일지!$G758=""),"사건번호·업무명 모두 없음; ","")&amp;IF(업무일지!$I758="","담당자 없음; ","")&amp;IF(COUNTIF(코드설정!$F$5:$F$7,업무일지!$AF758)=0,"진행상태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"&amp;업무일지!$G759)</f>
        <v/>
      </c>
      <c r="D791" s="45">
        <f>IF(COUNT(업무일지!$B759:$AG759)+COUNTIF(업무일지!$B759:$AG759,"?*")=0,"",TRIM(IF(업무일지!$B759="","시작일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","")&amp;IF(AND(업무일지!$F759="",업무일지!$G759=""),"사건번호·업무명 모두 없음; ","")&amp;IF(업무일지!$I759="","담당자 없음; ","")&amp;IF(COUNTIF(코드설정!$F$5:$F$7,업무일지!$AF759)=0,"진행상태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"&amp;업무일지!$G760)</f>
        <v/>
      </c>
      <c r="D792" s="45">
        <f>IF(COUNT(업무일지!$B760:$AG760)+COUNTIF(업무일지!$B760:$AG760,"?*")=0,"",TRIM(IF(업무일지!$B760="","시작일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","")&amp;IF(AND(업무일지!$F760="",업무일지!$G760=""),"사건번호·업무명 모두 없음; ","")&amp;IF(업무일지!$I760="","담당자 없음; ","")&amp;IF(COUNTIF(코드설정!$F$5:$F$7,업무일지!$AF760)=0,"진행상태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"&amp;업무일지!$G761)</f>
        <v/>
      </c>
      <c r="D793" s="45">
        <f>IF(COUNT(업무일지!$B761:$AG761)+COUNTIF(업무일지!$B761:$AG761,"?*")=0,"",TRIM(IF(업무일지!$B761="","시작일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","")&amp;IF(AND(업무일지!$F761="",업무일지!$G761=""),"사건번호·업무명 모두 없음; ","")&amp;IF(업무일지!$I761="","담당자 없음; ","")&amp;IF(COUNTIF(코드설정!$F$5:$F$7,업무일지!$AF761)=0,"진행상태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"&amp;업무일지!$G762)</f>
        <v/>
      </c>
      <c r="D794" s="45">
        <f>IF(COUNT(업무일지!$B762:$AG762)+COUNTIF(업무일지!$B762:$AG762,"?*")=0,"",TRIM(IF(업무일지!$B762="","시작일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","")&amp;IF(AND(업무일지!$F762="",업무일지!$G762=""),"사건번호·업무명 모두 없음; ","")&amp;IF(업무일지!$I762="","담당자 없음; ","")&amp;IF(COUNTIF(코드설정!$F$5:$F$7,업무일지!$AF762)=0,"진행상태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"&amp;업무일지!$G763)</f>
        <v/>
      </c>
      <c r="D795" s="45">
        <f>IF(COUNT(업무일지!$B763:$AG763)+COUNTIF(업무일지!$B763:$AG763,"?*")=0,"",TRIM(IF(업무일지!$B763="","시작일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","")&amp;IF(AND(업무일지!$F763="",업무일지!$G763=""),"사건번호·업무명 모두 없음; ","")&amp;IF(업무일지!$I763="","담당자 없음; ","")&amp;IF(COUNTIF(코드설정!$F$5:$F$7,업무일지!$AF763)=0,"진행상태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"&amp;업무일지!$G764)</f>
        <v/>
      </c>
      <c r="D796" s="45">
        <f>IF(COUNT(업무일지!$B764:$AG764)+COUNTIF(업무일지!$B764:$AG764,"?*")=0,"",TRIM(IF(업무일지!$B764="","시작일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","")&amp;IF(AND(업무일지!$F764="",업무일지!$G764=""),"사건번호·업무명 모두 없음; ","")&amp;IF(업무일지!$I764="","담당자 없음; ","")&amp;IF(COUNTIF(코드설정!$F$5:$F$7,업무일지!$AF764)=0,"진행상태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"&amp;업무일지!$G765)</f>
        <v/>
      </c>
      <c r="D797" s="45">
        <f>IF(COUNT(업무일지!$B765:$AG765)+COUNTIF(업무일지!$B765:$AG765,"?*")=0,"",TRIM(IF(업무일지!$B765="","시작일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","")&amp;IF(AND(업무일지!$F765="",업무일지!$G765=""),"사건번호·업무명 모두 없음; ","")&amp;IF(업무일지!$I765="","담당자 없음; ","")&amp;IF(COUNTIF(코드설정!$F$5:$F$7,업무일지!$AF765)=0,"진행상태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"&amp;업무일지!$G766)</f>
        <v/>
      </c>
      <c r="D798" s="45">
        <f>IF(COUNT(업무일지!$B766:$AG766)+COUNTIF(업무일지!$B766:$AG766,"?*")=0,"",TRIM(IF(업무일지!$B766="","시작일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","")&amp;IF(AND(업무일지!$F766="",업무일지!$G766=""),"사건번호·업무명 모두 없음; ","")&amp;IF(업무일지!$I766="","담당자 없음; ","")&amp;IF(COUNTIF(코드설정!$F$5:$F$7,업무일지!$AF766)=0,"진행상태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"&amp;업무일지!$G767)</f>
        <v/>
      </c>
      <c r="D799" s="45">
        <f>IF(COUNT(업무일지!$B767:$AG767)+COUNTIF(업무일지!$B767:$AG767,"?*")=0,"",TRIM(IF(업무일지!$B767="","시작일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","")&amp;IF(AND(업무일지!$F767="",업무일지!$G767=""),"사건번호·업무명 모두 없음; ","")&amp;IF(업무일지!$I767="","담당자 없음; ","")&amp;IF(COUNTIF(코드설정!$F$5:$F$7,업무일지!$AF767)=0,"진행상태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"&amp;업무일지!$G768)</f>
        <v/>
      </c>
      <c r="D800" s="45">
        <f>IF(COUNT(업무일지!$B768:$AG768)+COUNTIF(업무일지!$B768:$AG768,"?*")=0,"",TRIM(IF(업무일지!$B768="","시작일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","")&amp;IF(AND(업무일지!$F768="",업무일지!$G768=""),"사건번호·업무명 모두 없음; ","")&amp;IF(업무일지!$I768="","담당자 없음; ","")&amp;IF(COUNTIF(코드설정!$F$5:$F$7,업무일지!$AF768)=0,"진행상태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"&amp;업무일지!$G769)</f>
        <v/>
      </c>
      <c r="D801" s="45">
        <f>IF(COUNT(업무일지!$B769:$AG769)+COUNTIF(업무일지!$B769:$AG769,"?*")=0,"",TRIM(IF(업무일지!$B769="","시작일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","")&amp;IF(AND(업무일지!$F769="",업무일지!$G769=""),"사건번호·업무명 모두 없음; ","")&amp;IF(업무일지!$I769="","담당자 없음; ","")&amp;IF(COUNTIF(코드설정!$F$5:$F$7,업무일지!$AF769)=0,"진행상태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"&amp;업무일지!$G770)</f>
        <v/>
      </c>
      <c r="D802" s="45">
        <f>IF(COUNT(업무일지!$B770:$AG770)+COUNTIF(업무일지!$B770:$AG770,"?*")=0,"",TRIM(IF(업무일지!$B770="","시작일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","")&amp;IF(AND(업무일지!$F770="",업무일지!$G770=""),"사건번호·업무명 모두 없음; ","")&amp;IF(업무일지!$I770="","담당자 없음; ","")&amp;IF(COUNTIF(코드설정!$F$5:$F$7,업무일지!$AF770)=0,"진행상태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"&amp;업무일지!$G771)</f>
        <v/>
      </c>
      <c r="D803" s="45">
        <f>IF(COUNT(업무일지!$B771:$AG771)+COUNTIF(업무일지!$B771:$AG771,"?*")=0,"",TRIM(IF(업무일지!$B771="","시작일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","")&amp;IF(AND(업무일지!$F771="",업무일지!$G771=""),"사건번호·업무명 모두 없음; ","")&amp;IF(업무일지!$I771="","담당자 없음; ","")&amp;IF(COUNTIF(코드설정!$F$5:$F$7,업무일지!$AF771)=0,"진행상태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"&amp;업무일지!$G772)</f>
        <v/>
      </c>
      <c r="D804" s="45">
        <f>IF(COUNT(업무일지!$B772:$AG772)+COUNTIF(업무일지!$B772:$AG772,"?*")=0,"",TRIM(IF(업무일지!$B772="","시작일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","")&amp;IF(AND(업무일지!$F772="",업무일지!$G772=""),"사건번호·업무명 모두 없음; ","")&amp;IF(업무일지!$I772="","담당자 없음; ","")&amp;IF(COUNTIF(코드설정!$F$5:$F$7,업무일지!$AF772)=0,"진행상태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"&amp;업무일지!$G773)</f>
        <v/>
      </c>
      <c r="D805" s="45">
        <f>IF(COUNT(업무일지!$B773:$AG773)+COUNTIF(업무일지!$B773:$AG773,"?*")=0,"",TRIM(IF(업무일지!$B773="","시작일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","")&amp;IF(AND(업무일지!$F773="",업무일지!$G773=""),"사건번호·업무명 모두 없음; ","")&amp;IF(업무일지!$I773="","담당자 없음; ","")&amp;IF(COUNTIF(코드설정!$F$5:$F$7,업무일지!$AF773)=0,"진행상태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"&amp;업무일지!$G774)</f>
        <v/>
      </c>
      <c r="D806" s="45">
        <f>IF(COUNT(업무일지!$B774:$AG774)+COUNTIF(업무일지!$B774:$AG774,"?*")=0,"",TRIM(IF(업무일지!$B774="","시작일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","")&amp;IF(AND(업무일지!$F774="",업무일지!$G774=""),"사건번호·업무명 모두 없음; ","")&amp;IF(업무일지!$I774="","담당자 없음; ","")&amp;IF(COUNTIF(코드설정!$F$5:$F$7,업무일지!$AF774)=0,"진행상태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"&amp;업무일지!$G775)</f>
        <v/>
      </c>
      <c r="D807" s="45">
        <f>IF(COUNT(업무일지!$B775:$AG775)+COUNTIF(업무일지!$B775:$AG775,"?*")=0,"",TRIM(IF(업무일지!$B775="","시작일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","")&amp;IF(AND(업무일지!$F775="",업무일지!$G775=""),"사건번호·업무명 모두 없음; ","")&amp;IF(업무일지!$I775="","담당자 없음; ","")&amp;IF(COUNTIF(코드설정!$F$5:$F$7,업무일지!$AF775)=0,"진행상태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"&amp;업무일지!$G776)</f>
        <v/>
      </c>
      <c r="D808" s="45">
        <f>IF(COUNT(업무일지!$B776:$AG776)+COUNTIF(업무일지!$B776:$AG776,"?*")=0,"",TRIM(IF(업무일지!$B776="","시작일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","")&amp;IF(AND(업무일지!$F776="",업무일지!$G776=""),"사건번호·업무명 모두 없음; ","")&amp;IF(업무일지!$I776="","담당자 없음; ","")&amp;IF(COUNTIF(코드설정!$F$5:$F$7,업무일지!$AF776)=0,"진행상태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"&amp;업무일지!$G777)</f>
        <v/>
      </c>
      <c r="D809" s="45">
        <f>IF(COUNT(업무일지!$B777:$AG777)+COUNTIF(업무일지!$B777:$AG777,"?*")=0,"",TRIM(IF(업무일지!$B777="","시작일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","")&amp;IF(AND(업무일지!$F777="",업무일지!$G777=""),"사건번호·업무명 모두 없음; ","")&amp;IF(업무일지!$I777="","담당자 없음; ","")&amp;IF(COUNTIF(코드설정!$F$5:$F$7,업무일지!$AF777)=0,"진행상태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"&amp;업무일지!$G778)</f>
        <v/>
      </c>
      <c r="D810" s="45">
        <f>IF(COUNT(업무일지!$B778:$AG778)+COUNTIF(업무일지!$B778:$AG778,"?*")=0,"",TRIM(IF(업무일지!$B778="","시작일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","")&amp;IF(AND(업무일지!$F778="",업무일지!$G778=""),"사건번호·업무명 모두 없음; ","")&amp;IF(업무일지!$I778="","담당자 없음; ","")&amp;IF(COUNTIF(코드설정!$F$5:$F$7,업무일지!$AF778)=0,"진행상태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"&amp;업무일지!$G779)</f>
        <v/>
      </c>
      <c r="D811" s="45">
        <f>IF(COUNT(업무일지!$B779:$AG779)+COUNTIF(업무일지!$B779:$AG779,"?*")=0,"",TRIM(IF(업무일지!$B779="","시작일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","")&amp;IF(AND(업무일지!$F779="",업무일지!$G779=""),"사건번호·업무명 모두 없음; ","")&amp;IF(업무일지!$I779="","담당자 없음; ","")&amp;IF(COUNTIF(코드설정!$F$5:$F$7,업무일지!$AF779)=0,"진행상태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"&amp;업무일지!$G780)</f>
        <v/>
      </c>
      <c r="D812" s="45">
        <f>IF(COUNT(업무일지!$B780:$AG780)+COUNTIF(업무일지!$B780:$AG780,"?*")=0,"",TRIM(IF(업무일지!$B780="","시작일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","")&amp;IF(AND(업무일지!$F780="",업무일지!$G780=""),"사건번호·업무명 모두 없음; ","")&amp;IF(업무일지!$I780="","담당자 없음; ","")&amp;IF(COUNTIF(코드설정!$F$5:$F$7,업무일지!$AF780)=0,"진행상태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"&amp;업무일지!$G781)</f>
        <v/>
      </c>
      <c r="D813" s="45">
        <f>IF(COUNT(업무일지!$B781:$AG781)+COUNTIF(업무일지!$B781:$AG781,"?*")=0,"",TRIM(IF(업무일지!$B781="","시작일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","")&amp;IF(AND(업무일지!$F781="",업무일지!$G781=""),"사건번호·업무명 모두 없음; ","")&amp;IF(업무일지!$I781="","담당자 없음; ","")&amp;IF(COUNTIF(코드설정!$F$5:$F$7,업무일지!$AF781)=0,"진행상태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"&amp;업무일지!$G782)</f>
        <v/>
      </c>
      <c r="D814" s="45">
        <f>IF(COUNT(업무일지!$B782:$AG782)+COUNTIF(업무일지!$B782:$AG782,"?*")=0,"",TRIM(IF(업무일지!$B782="","시작일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","")&amp;IF(AND(업무일지!$F782="",업무일지!$G782=""),"사건번호·업무명 모두 없음; ","")&amp;IF(업무일지!$I782="","담당자 없음; ","")&amp;IF(COUNTIF(코드설정!$F$5:$F$7,업무일지!$AF782)=0,"진행상태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"&amp;업무일지!$G783)</f>
        <v/>
      </c>
      <c r="D815" s="45">
        <f>IF(COUNT(업무일지!$B783:$AG783)+COUNTIF(업무일지!$B783:$AG783,"?*")=0,"",TRIM(IF(업무일지!$B783="","시작일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","")&amp;IF(AND(업무일지!$F783="",업무일지!$G783=""),"사건번호·업무명 모두 없음; ","")&amp;IF(업무일지!$I783="","담당자 없음; ","")&amp;IF(COUNTIF(코드설정!$F$5:$F$7,업무일지!$AF783)=0,"진행상태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"&amp;업무일지!$G784)</f>
        <v/>
      </c>
      <c r="D816" s="45">
        <f>IF(COUNT(업무일지!$B784:$AG784)+COUNTIF(업무일지!$B784:$AG784,"?*")=0,"",TRIM(IF(업무일지!$B784="","시작일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","")&amp;IF(AND(업무일지!$F784="",업무일지!$G784=""),"사건번호·업무명 모두 없음; ","")&amp;IF(업무일지!$I784="","담당자 없음; ","")&amp;IF(COUNTIF(코드설정!$F$5:$F$7,업무일지!$AF784)=0,"진행상태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"&amp;업무일지!$G785)</f>
        <v/>
      </c>
      <c r="D817" s="45">
        <f>IF(COUNT(업무일지!$B785:$AG785)+COUNTIF(업무일지!$B785:$AG785,"?*")=0,"",TRIM(IF(업무일지!$B785="","시작일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","")&amp;IF(AND(업무일지!$F785="",업무일지!$G785=""),"사건번호·업무명 모두 없음; ","")&amp;IF(업무일지!$I785="","담당자 없음; ","")&amp;IF(COUNTIF(코드설정!$F$5:$F$7,업무일지!$AF785)=0,"진행상태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"&amp;업무일지!$G786)</f>
        <v/>
      </c>
      <c r="D818" s="45">
        <f>IF(COUNT(업무일지!$B786:$AG786)+COUNTIF(업무일지!$B786:$AG786,"?*")=0,"",TRIM(IF(업무일지!$B786="","시작일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","")&amp;IF(AND(업무일지!$F786="",업무일지!$G786=""),"사건번호·업무명 모두 없음; ","")&amp;IF(업무일지!$I786="","담당자 없음; ","")&amp;IF(COUNTIF(코드설정!$F$5:$F$7,업무일지!$AF786)=0,"진행상태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"&amp;업무일지!$G787)</f>
        <v/>
      </c>
      <c r="D819" s="45">
        <f>IF(COUNT(업무일지!$B787:$AG787)+COUNTIF(업무일지!$B787:$AG787,"?*")=0,"",TRIM(IF(업무일지!$B787="","시작일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","")&amp;IF(AND(업무일지!$F787="",업무일지!$G787=""),"사건번호·업무명 모두 없음; ","")&amp;IF(업무일지!$I787="","담당자 없음; ","")&amp;IF(COUNTIF(코드설정!$F$5:$F$7,업무일지!$AF787)=0,"진행상태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"&amp;업무일지!$G788)</f>
        <v/>
      </c>
      <c r="D820" s="45">
        <f>IF(COUNT(업무일지!$B788:$AG788)+COUNTIF(업무일지!$B788:$AG788,"?*")=0,"",TRIM(IF(업무일지!$B788="","시작일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","")&amp;IF(AND(업무일지!$F788="",업무일지!$G788=""),"사건번호·업무명 모두 없음; ","")&amp;IF(업무일지!$I788="","담당자 없음; ","")&amp;IF(COUNTIF(코드설정!$F$5:$F$7,업무일지!$AF788)=0,"진행상태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"&amp;업무일지!$G789)</f>
        <v/>
      </c>
      <c r="D821" s="45">
        <f>IF(COUNT(업무일지!$B789:$AG789)+COUNTIF(업무일지!$B789:$AG789,"?*")=0,"",TRIM(IF(업무일지!$B789="","시작일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","")&amp;IF(AND(업무일지!$F789="",업무일지!$G789=""),"사건번호·업무명 모두 없음; ","")&amp;IF(업무일지!$I789="","담당자 없음; ","")&amp;IF(COUNTIF(코드설정!$F$5:$F$7,업무일지!$AF789)=0,"진행상태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"&amp;업무일지!$G790)</f>
        <v/>
      </c>
      <c r="D822" s="45">
        <f>IF(COUNT(업무일지!$B790:$AG790)+COUNTIF(업무일지!$B790:$AG790,"?*")=0,"",TRIM(IF(업무일지!$B790="","시작일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","")&amp;IF(AND(업무일지!$F790="",업무일지!$G790=""),"사건번호·업무명 모두 없음; ","")&amp;IF(업무일지!$I790="","담당자 없음; ","")&amp;IF(COUNTIF(코드설정!$F$5:$F$7,업무일지!$AF790)=0,"진행상태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"&amp;업무일지!$G791)</f>
        <v/>
      </c>
      <c r="D823" s="45">
        <f>IF(COUNT(업무일지!$B791:$AG791)+COUNTIF(업무일지!$B791:$AG791,"?*")=0,"",TRIM(IF(업무일지!$B791="","시작일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","")&amp;IF(AND(업무일지!$F791="",업무일지!$G791=""),"사건번호·업무명 모두 없음; ","")&amp;IF(업무일지!$I791="","담당자 없음; ","")&amp;IF(COUNTIF(코드설정!$F$5:$F$7,업무일지!$AF791)=0,"진행상태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"&amp;업무일지!$G792)</f>
        <v/>
      </c>
      <c r="D824" s="45">
        <f>IF(COUNT(업무일지!$B792:$AG792)+COUNTIF(업무일지!$B792:$AG792,"?*")=0,"",TRIM(IF(업무일지!$B792="","시작일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","")&amp;IF(AND(업무일지!$F792="",업무일지!$G792=""),"사건번호·업무명 모두 없음; ","")&amp;IF(업무일지!$I792="","담당자 없음; ","")&amp;IF(COUNTIF(코드설정!$F$5:$F$7,업무일지!$AF792)=0,"진행상태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"&amp;업무일지!$G793)</f>
        <v/>
      </c>
      <c r="D825" s="45">
        <f>IF(COUNT(업무일지!$B793:$AG793)+COUNTIF(업무일지!$B793:$AG793,"?*")=0,"",TRIM(IF(업무일지!$B793="","시작일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","")&amp;IF(AND(업무일지!$F793="",업무일지!$G793=""),"사건번호·업무명 모두 없음; ","")&amp;IF(업무일지!$I793="","담당자 없음; ","")&amp;IF(COUNTIF(코드설정!$F$5:$F$7,업무일지!$AF793)=0,"진행상태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"&amp;업무일지!$G794)</f>
        <v/>
      </c>
      <c r="D826" s="45">
        <f>IF(COUNT(업무일지!$B794:$AG794)+COUNTIF(업무일지!$B794:$AG794,"?*")=0,"",TRIM(IF(업무일지!$B794="","시작일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","")&amp;IF(AND(업무일지!$F794="",업무일지!$G794=""),"사건번호·업무명 모두 없음; ","")&amp;IF(업무일지!$I794="","담당자 없음; ","")&amp;IF(COUNTIF(코드설정!$F$5:$F$7,업무일지!$AF794)=0,"진행상태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"&amp;업무일지!$G795)</f>
        <v/>
      </c>
      <c r="D827" s="45">
        <f>IF(COUNT(업무일지!$B795:$AG795)+COUNTIF(업무일지!$B795:$AG795,"?*")=0,"",TRIM(IF(업무일지!$B795="","시작일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","")&amp;IF(AND(업무일지!$F795="",업무일지!$G795=""),"사건번호·업무명 모두 없음; ","")&amp;IF(업무일지!$I795="","담당자 없음; ","")&amp;IF(COUNTIF(코드설정!$F$5:$F$7,업무일지!$AF795)=0,"진행상태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"&amp;업무일지!$G796)</f>
        <v/>
      </c>
      <c r="D828" s="45">
        <f>IF(COUNT(업무일지!$B796:$AG796)+COUNTIF(업무일지!$B796:$AG796,"?*")=0,"",TRIM(IF(업무일지!$B796="","시작일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","")&amp;IF(AND(업무일지!$F796="",업무일지!$G796=""),"사건번호·업무명 모두 없음; ","")&amp;IF(업무일지!$I796="","담당자 없음; ","")&amp;IF(COUNTIF(코드설정!$F$5:$F$7,업무일지!$AF796)=0,"진행상태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"&amp;업무일지!$G797)</f>
        <v/>
      </c>
      <c r="D829" s="45">
        <f>IF(COUNT(업무일지!$B797:$AG797)+COUNTIF(업무일지!$B797:$AG797,"?*")=0,"",TRIM(IF(업무일지!$B797="","시작일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","")&amp;IF(AND(업무일지!$F797="",업무일지!$G797=""),"사건번호·업무명 모두 없음; ","")&amp;IF(업무일지!$I797="","담당자 없음; ","")&amp;IF(COUNTIF(코드설정!$F$5:$F$7,업무일지!$AF797)=0,"진행상태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"&amp;업무일지!$G798)</f>
        <v/>
      </c>
      <c r="D830" s="45">
        <f>IF(COUNT(업무일지!$B798:$AG798)+COUNTIF(업무일지!$B798:$AG798,"?*")=0,"",TRIM(IF(업무일지!$B798="","시작일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","")&amp;IF(AND(업무일지!$F798="",업무일지!$G798=""),"사건번호·업무명 모두 없음; ","")&amp;IF(업무일지!$I798="","담당자 없음; ","")&amp;IF(COUNTIF(코드설정!$F$5:$F$7,업무일지!$AF798)=0,"진행상태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"&amp;업무일지!$G799)</f>
        <v/>
      </c>
      <c r="D831" s="45">
        <f>IF(COUNT(업무일지!$B799:$AG799)+COUNTIF(업무일지!$B799:$AG799,"?*")=0,"",TRIM(IF(업무일지!$B799="","시작일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","")&amp;IF(AND(업무일지!$F799="",업무일지!$G799=""),"사건번호·업무명 모두 없음; ","")&amp;IF(업무일지!$I799="","담당자 없음; ","")&amp;IF(COUNTIF(코드설정!$F$5:$F$7,업무일지!$AF799)=0,"진행상태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"&amp;업무일지!$G800)</f>
        <v/>
      </c>
      <c r="D832" s="45">
        <f>IF(COUNT(업무일지!$B800:$AG800)+COUNTIF(업무일지!$B800:$AG800,"?*")=0,"",TRIM(IF(업무일지!$B800="","시작일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","")&amp;IF(AND(업무일지!$F800="",업무일지!$G800=""),"사건번호·업무명 모두 없음; ","")&amp;IF(업무일지!$I800="","담당자 없음; ","")&amp;IF(COUNTIF(코드설정!$F$5:$F$7,업무일지!$AF800)=0,"진행상태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"&amp;업무일지!$G801)</f>
        <v/>
      </c>
      <c r="D833" s="45">
        <f>IF(COUNT(업무일지!$B801:$AG801)+COUNTIF(업무일지!$B801:$AG801,"?*")=0,"",TRIM(IF(업무일지!$B801="","시작일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","")&amp;IF(AND(업무일지!$F801="",업무일지!$G801=""),"사건번호·업무명 모두 없음; ","")&amp;IF(업무일지!$I801="","담당자 없음; ","")&amp;IF(COUNTIF(코드설정!$F$5:$F$7,업무일지!$AF801)=0,"진행상태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"&amp;업무일지!$G802)</f>
        <v/>
      </c>
      <c r="D834" s="45">
        <f>IF(COUNT(업무일지!$B802:$AG802)+COUNTIF(업무일지!$B802:$AG802,"?*")=0,"",TRIM(IF(업무일지!$B802="","시작일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","")&amp;IF(AND(업무일지!$F802="",업무일지!$G802=""),"사건번호·업무명 모두 없음; ","")&amp;IF(업무일지!$I802="","담당자 없음; ","")&amp;IF(COUNTIF(코드설정!$F$5:$F$7,업무일지!$AF802)=0,"진행상태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"&amp;업무일지!$G803)</f>
        <v/>
      </c>
      <c r="D835" s="45">
        <f>IF(COUNT(업무일지!$B803:$AG803)+COUNTIF(업무일지!$B803:$AG803,"?*")=0,"",TRIM(IF(업무일지!$B803="","시작일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","")&amp;IF(AND(업무일지!$F803="",업무일지!$G803=""),"사건번호·업무명 모두 없음; ","")&amp;IF(업무일지!$I803="","담당자 없음; ","")&amp;IF(COUNTIF(코드설정!$F$5:$F$7,업무일지!$AF803)=0,"진행상태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"&amp;업무일지!$G804)</f>
        <v/>
      </c>
      <c r="D836" s="45">
        <f>IF(COUNT(업무일지!$B804:$AG804)+COUNTIF(업무일지!$B804:$AG804,"?*")=0,"",TRIM(IF(업무일지!$B804="","시작일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","")&amp;IF(AND(업무일지!$F804="",업무일지!$G804=""),"사건번호·업무명 모두 없음; ","")&amp;IF(업무일지!$I804="","담당자 없음; ","")&amp;IF(COUNTIF(코드설정!$F$5:$F$7,업무일지!$AF804)=0,"진행상태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"&amp;업무일지!$G805)</f>
        <v/>
      </c>
      <c r="D837" s="45">
        <f>IF(COUNT(업무일지!$B805:$AG805)+COUNTIF(업무일지!$B805:$AG805,"?*")=0,"",TRIM(IF(업무일지!$B805="","시작일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","")&amp;IF(AND(업무일지!$F805="",업무일지!$G805=""),"사건번호·업무명 모두 없음; ","")&amp;IF(업무일지!$I805="","담당자 없음; ","")&amp;IF(COUNTIF(코드설정!$F$5:$F$7,업무일지!$AF805)=0,"진행상태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"&amp;업무일지!$G806)</f>
        <v/>
      </c>
      <c r="D838" s="45">
        <f>IF(COUNT(업무일지!$B806:$AG806)+COUNTIF(업무일지!$B806:$AG806,"?*")=0,"",TRIM(IF(업무일지!$B806="","시작일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","")&amp;IF(AND(업무일지!$F806="",업무일지!$G806=""),"사건번호·업무명 모두 없음; ","")&amp;IF(업무일지!$I806="","담당자 없음; ","")&amp;IF(COUNTIF(코드설정!$F$5:$F$7,업무일지!$AF806)=0,"진행상태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"&amp;업무일지!$G807)</f>
        <v/>
      </c>
      <c r="D839" s="45">
        <f>IF(COUNT(업무일지!$B807:$AG807)+COUNTIF(업무일지!$B807:$AG807,"?*")=0,"",TRIM(IF(업무일지!$B807="","시작일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","")&amp;IF(AND(업무일지!$F807="",업무일지!$G807=""),"사건번호·업무명 모두 없음; ","")&amp;IF(업무일지!$I807="","담당자 없음; ","")&amp;IF(COUNTIF(코드설정!$F$5:$F$7,업무일지!$AF807)=0,"진행상태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"&amp;업무일지!$G808)</f>
        <v/>
      </c>
      <c r="D840" s="45">
        <f>IF(COUNT(업무일지!$B808:$AG808)+COUNTIF(업무일지!$B808:$AG808,"?*")=0,"",TRIM(IF(업무일지!$B808="","시작일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","")&amp;IF(AND(업무일지!$F808="",업무일지!$G808=""),"사건번호·업무명 모두 없음; ","")&amp;IF(업무일지!$I808="","담당자 없음; ","")&amp;IF(COUNTIF(코드설정!$F$5:$F$7,업무일지!$AF808)=0,"진행상태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"&amp;업무일지!$G809)</f>
        <v/>
      </c>
      <c r="D841" s="45">
        <f>IF(COUNT(업무일지!$B809:$AG809)+COUNTIF(업무일지!$B809:$AG809,"?*")=0,"",TRIM(IF(업무일지!$B809="","시작일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","")&amp;IF(AND(업무일지!$F809="",업무일지!$G809=""),"사건번호·업무명 모두 없음; ","")&amp;IF(업무일지!$I809="","담당자 없음; ","")&amp;IF(COUNTIF(코드설정!$F$5:$F$7,업무일지!$AF809)=0,"진행상태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"&amp;업무일지!$G810)</f>
        <v/>
      </c>
      <c r="D842" s="45">
        <f>IF(COUNT(업무일지!$B810:$AG810)+COUNTIF(업무일지!$B810:$AG810,"?*")=0,"",TRIM(IF(업무일지!$B810="","시작일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","")&amp;IF(AND(업무일지!$F810="",업무일지!$G810=""),"사건번호·업무명 모두 없음; ","")&amp;IF(업무일지!$I810="","담당자 없음; ","")&amp;IF(COUNTIF(코드설정!$F$5:$F$7,업무일지!$AF810)=0,"진행상태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"&amp;업무일지!$G811)</f>
        <v/>
      </c>
      <c r="D843" s="45">
        <f>IF(COUNT(업무일지!$B811:$AG811)+COUNTIF(업무일지!$B811:$AG811,"?*")=0,"",TRIM(IF(업무일지!$B811="","시작일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","")&amp;IF(AND(업무일지!$F811="",업무일지!$G811=""),"사건번호·업무명 모두 없음; ","")&amp;IF(업무일지!$I811="","담당자 없음; ","")&amp;IF(COUNTIF(코드설정!$F$5:$F$7,업무일지!$AF811)=0,"진행상태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"&amp;업무일지!$G812)</f>
        <v/>
      </c>
      <c r="D844" s="45">
        <f>IF(COUNT(업무일지!$B812:$AG812)+COUNTIF(업무일지!$B812:$AG812,"?*")=0,"",TRIM(IF(업무일지!$B812="","시작일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","")&amp;IF(AND(업무일지!$F812="",업무일지!$G812=""),"사건번호·업무명 모두 없음; ","")&amp;IF(업무일지!$I812="","담당자 없음; ","")&amp;IF(COUNTIF(코드설정!$F$5:$F$7,업무일지!$AF812)=0,"진행상태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"&amp;업무일지!$G813)</f>
        <v/>
      </c>
      <c r="D845" s="45">
        <f>IF(COUNT(업무일지!$B813:$AG813)+COUNTIF(업무일지!$B813:$AG813,"?*")=0,"",TRIM(IF(업무일지!$B813="","시작일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","")&amp;IF(AND(업무일지!$F813="",업무일지!$G813=""),"사건번호·업무명 모두 없음; ","")&amp;IF(업무일지!$I813="","담당자 없음; ","")&amp;IF(COUNTIF(코드설정!$F$5:$F$7,업무일지!$AF813)=0,"진행상태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"&amp;업무일지!$G814)</f>
        <v/>
      </c>
      <c r="D846" s="45">
        <f>IF(COUNT(업무일지!$B814:$AG814)+COUNTIF(업무일지!$B814:$AG814,"?*")=0,"",TRIM(IF(업무일지!$B814="","시작일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","")&amp;IF(AND(업무일지!$F814="",업무일지!$G814=""),"사건번호·업무명 모두 없음; ","")&amp;IF(업무일지!$I814="","담당자 없음; ","")&amp;IF(COUNTIF(코드설정!$F$5:$F$7,업무일지!$AF814)=0,"진행상태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"&amp;업무일지!$G815)</f>
        <v/>
      </c>
      <c r="D847" s="45">
        <f>IF(COUNT(업무일지!$B815:$AG815)+COUNTIF(업무일지!$B815:$AG815,"?*")=0,"",TRIM(IF(업무일지!$B815="","시작일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","")&amp;IF(AND(업무일지!$F815="",업무일지!$G815=""),"사건번호·업무명 모두 없음; ","")&amp;IF(업무일지!$I815="","담당자 없음; ","")&amp;IF(COUNTIF(코드설정!$F$5:$F$7,업무일지!$AF815)=0,"진행상태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"&amp;업무일지!$G816)</f>
        <v/>
      </c>
      <c r="D848" s="45">
        <f>IF(COUNT(업무일지!$B816:$AG816)+COUNTIF(업무일지!$B816:$AG816,"?*")=0,"",TRIM(IF(업무일지!$B816="","시작일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","")&amp;IF(AND(업무일지!$F816="",업무일지!$G816=""),"사건번호·업무명 모두 없음; ","")&amp;IF(업무일지!$I816="","담당자 없음; ","")&amp;IF(COUNTIF(코드설정!$F$5:$F$7,업무일지!$AF816)=0,"진행상태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"&amp;업무일지!$G817)</f>
        <v/>
      </c>
      <c r="D849" s="45">
        <f>IF(COUNT(업무일지!$B817:$AG817)+COUNTIF(업무일지!$B817:$AG817,"?*")=0,"",TRIM(IF(업무일지!$B817="","시작일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","")&amp;IF(AND(업무일지!$F817="",업무일지!$G817=""),"사건번호·업무명 모두 없음; ","")&amp;IF(업무일지!$I817="","담당자 없음; ","")&amp;IF(COUNTIF(코드설정!$F$5:$F$7,업무일지!$AF817)=0,"진행상태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"&amp;업무일지!$G818)</f>
        <v/>
      </c>
      <c r="D850" s="45">
        <f>IF(COUNT(업무일지!$B818:$AG818)+COUNTIF(업무일지!$B818:$AG818,"?*")=0,"",TRIM(IF(업무일지!$B818="","시작일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","")&amp;IF(AND(업무일지!$F818="",업무일지!$G818=""),"사건번호·업무명 모두 없음; ","")&amp;IF(업무일지!$I818="","담당자 없음; ","")&amp;IF(COUNTIF(코드설정!$F$5:$F$7,업무일지!$AF818)=0,"진행상태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"&amp;업무일지!$G819)</f>
        <v/>
      </c>
      <c r="D851" s="45">
        <f>IF(COUNT(업무일지!$B819:$AG819)+COUNTIF(업무일지!$B819:$AG819,"?*")=0,"",TRIM(IF(업무일지!$B819="","시작일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","")&amp;IF(AND(업무일지!$F819="",업무일지!$G819=""),"사건번호·업무명 모두 없음; ","")&amp;IF(업무일지!$I819="","담당자 없음; ","")&amp;IF(COUNTIF(코드설정!$F$5:$F$7,업무일지!$AF819)=0,"진행상태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"&amp;업무일지!$G820)</f>
        <v/>
      </c>
      <c r="D852" s="45">
        <f>IF(COUNT(업무일지!$B820:$AG820)+COUNTIF(업무일지!$B820:$AG820,"?*")=0,"",TRIM(IF(업무일지!$B820="","시작일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","")&amp;IF(AND(업무일지!$F820="",업무일지!$G820=""),"사건번호·업무명 모두 없음; ","")&amp;IF(업무일지!$I820="","담당자 없음; ","")&amp;IF(COUNTIF(코드설정!$F$5:$F$7,업무일지!$AF820)=0,"진행상태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"&amp;업무일지!$G821)</f>
        <v/>
      </c>
      <c r="D853" s="45">
        <f>IF(COUNT(업무일지!$B821:$AG821)+COUNTIF(업무일지!$B821:$AG821,"?*")=0,"",TRIM(IF(업무일지!$B821="","시작일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","")&amp;IF(AND(업무일지!$F821="",업무일지!$G821=""),"사건번호·업무명 모두 없음; ","")&amp;IF(업무일지!$I821="","담당자 없음; ","")&amp;IF(COUNTIF(코드설정!$F$5:$F$7,업무일지!$AF821)=0,"진행상태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"&amp;업무일지!$G822)</f>
        <v/>
      </c>
      <c r="D854" s="45">
        <f>IF(COUNT(업무일지!$B822:$AG822)+COUNTIF(업무일지!$B822:$AG822,"?*")=0,"",TRIM(IF(업무일지!$B822="","시작일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","")&amp;IF(AND(업무일지!$F822="",업무일지!$G822=""),"사건번호·업무명 모두 없음; ","")&amp;IF(업무일지!$I822="","담당자 없음; ","")&amp;IF(COUNTIF(코드설정!$F$5:$F$7,업무일지!$AF822)=0,"진행상태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"&amp;업무일지!$G823)</f>
        <v/>
      </c>
      <c r="D855" s="45">
        <f>IF(COUNT(업무일지!$B823:$AG823)+COUNTIF(업무일지!$B823:$AG823,"?*")=0,"",TRIM(IF(업무일지!$B823="","시작일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","")&amp;IF(AND(업무일지!$F823="",업무일지!$G823=""),"사건번호·업무명 모두 없음; ","")&amp;IF(업무일지!$I823="","담당자 없음; ","")&amp;IF(COUNTIF(코드설정!$F$5:$F$7,업무일지!$AF823)=0,"진행상태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"&amp;업무일지!$G824)</f>
        <v/>
      </c>
      <c r="D856" s="45">
        <f>IF(COUNT(업무일지!$B824:$AG824)+COUNTIF(업무일지!$B824:$AG824,"?*")=0,"",TRIM(IF(업무일지!$B824="","시작일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","")&amp;IF(AND(업무일지!$F824="",업무일지!$G824=""),"사건번호·업무명 모두 없음; ","")&amp;IF(업무일지!$I824="","담당자 없음; ","")&amp;IF(COUNTIF(코드설정!$F$5:$F$7,업무일지!$AF824)=0,"진행상태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"&amp;업무일지!$G825)</f>
        <v/>
      </c>
      <c r="D857" s="45">
        <f>IF(COUNT(업무일지!$B825:$AG825)+COUNTIF(업무일지!$B825:$AG825,"?*")=0,"",TRIM(IF(업무일지!$B825="","시작일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","")&amp;IF(AND(업무일지!$F825="",업무일지!$G825=""),"사건번호·업무명 모두 없음; ","")&amp;IF(업무일지!$I825="","담당자 없음; ","")&amp;IF(COUNTIF(코드설정!$F$5:$F$7,업무일지!$AF825)=0,"진행상태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"&amp;업무일지!$G826)</f>
        <v/>
      </c>
      <c r="D858" s="45">
        <f>IF(COUNT(업무일지!$B826:$AG826)+COUNTIF(업무일지!$B826:$AG826,"?*")=0,"",TRIM(IF(업무일지!$B826="","시작일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","")&amp;IF(AND(업무일지!$F826="",업무일지!$G826=""),"사건번호·업무명 모두 없음; ","")&amp;IF(업무일지!$I826="","담당자 없음; ","")&amp;IF(COUNTIF(코드설정!$F$5:$F$7,업무일지!$AF826)=0,"진행상태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"&amp;업무일지!$G827)</f>
        <v/>
      </c>
      <c r="D859" s="45">
        <f>IF(COUNT(업무일지!$B827:$AG827)+COUNTIF(업무일지!$B827:$AG827,"?*")=0,"",TRIM(IF(업무일지!$B827="","시작일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","")&amp;IF(AND(업무일지!$F827="",업무일지!$G827=""),"사건번호·업무명 모두 없음; ","")&amp;IF(업무일지!$I827="","담당자 없음; ","")&amp;IF(COUNTIF(코드설정!$F$5:$F$7,업무일지!$AF827)=0,"진행상태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"&amp;업무일지!$G828)</f>
        <v/>
      </c>
      <c r="D860" s="45">
        <f>IF(COUNT(업무일지!$B828:$AG828)+COUNTIF(업무일지!$B828:$AG828,"?*")=0,"",TRIM(IF(업무일지!$B828="","시작일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","")&amp;IF(AND(업무일지!$F828="",업무일지!$G828=""),"사건번호·업무명 모두 없음; ","")&amp;IF(업무일지!$I828="","담당자 없음; ","")&amp;IF(COUNTIF(코드설정!$F$5:$F$7,업무일지!$AF828)=0,"진행상태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"&amp;업무일지!$G829)</f>
        <v/>
      </c>
      <c r="D861" s="45">
        <f>IF(COUNT(업무일지!$B829:$AG829)+COUNTIF(업무일지!$B829:$AG829,"?*")=0,"",TRIM(IF(업무일지!$B829="","시작일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","")&amp;IF(AND(업무일지!$F829="",업무일지!$G829=""),"사건번호·업무명 모두 없음; ","")&amp;IF(업무일지!$I829="","담당자 없음; ","")&amp;IF(COUNTIF(코드설정!$F$5:$F$7,업무일지!$AF829)=0,"진행상태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"&amp;업무일지!$G830)</f>
        <v/>
      </c>
      <c r="D862" s="45">
        <f>IF(COUNT(업무일지!$B830:$AG830)+COUNTIF(업무일지!$B830:$AG830,"?*")=0,"",TRIM(IF(업무일지!$B830="","시작일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","")&amp;IF(AND(업무일지!$F830="",업무일지!$G830=""),"사건번호·업무명 모두 없음; ","")&amp;IF(업무일지!$I830="","담당자 없음; ","")&amp;IF(COUNTIF(코드설정!$F$5:$F$7,업무일지!$AF830)=0,"진행상태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"&amp;업무일지!$G831)</f>
        <v/>
      </c>
      <c r="D863" s="45">
        <f>IF(COUNT(업무일지!$B831:$AG831)+COUNTIF(업무일지!$B831:$AG831,"?*")=0,"",TRIM(IF(업무일지!$B831="","시작일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","")&amp;IF(AND(업무일지!$F831="",업무일지!$G831=""),"사건번호·업무명 모두 없음; ","")&amp;IF(업무일지!$I831="","담당자 없음; ","")&amp;IF(COUNTIF(코드설정!$F$5:$F$7,업무일지!$AF831)=0,"진행상태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"&amp;업무일지!$G832)</f>
        <v/>
      </c>
      <c r="D864" s="45">
        <f>IF(COUNT(업무일지!$B832:$AG832)+COUNTIF(업무일지!$B832:$AG832,"?*")=0,"",TRIM(IF(업무일지!$B832="","시작일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","")&amp;IF(AND(업무일지!$F832="",업무일지!$G832=""),"사건번호·업무명 모두 없음; ","")&amp;IF(업무일지!$I832="","담당자 없음; ","")&amp;IF(COUNTIF(코드설정!$F$5:$F$7,업무일지!$AF832)=0,"진행상태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"&amp;업무일지!$G833)</f>
        <v/>
      </c>
      <c r="D865" s="45">
        <f>IF(COUNT(업무일지!$B833:$AG833)+COUNTIF(업무일지!$B833:$AG833,"?*")=0,"",TRIM(IF(업무일지!$B833="","시작일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","")&amp;IF(AND(업무일지!$F833="",업무일지!$G833=""),"사건번호·업무명 모두 없음; ","")&amp;IF(업무일지!$I833="","담당자 없음; ","")&amp;IF(COUNTIF(코드설정!$F$5:$F$7,업무일지!$AF833)=0,"진행상태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"&amp;업무일지!$G834)</f>
        <v/>
      </c>
      <c r="D866" s="45">
        <f>IF(COUNT(업무일지!$B834:$AG834)+COUNTIF(업무일지!$B834:$AG834,"?*")=0,"",TRIM(IF(업무일지!$B834="","시작일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","")&amp;IF(AND(업무일지!$F834="",업무일지!$G834=""),"사건번호·업무명 모두 없음; ","")&amp;IF(업무일지!$I834="","담당자 없음; ","")&amp;IF(COUNTIF(코드설정!$F$5:$F$7,업무일지!$AF834)=0,"진행상태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"&amp;업무일지!$G835)</f>
        <v/>
      </c>
      <c r="D867" s="45">
        <f>IF(COUNT(업무일지!$B835:$AG835)+COUNTIF(업무일지!$B835:$AG835,"?*")=0,"",TRIM(IF(업무일지!$B835="","시작일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","")&amp;IF(AND(업무일지!$F835="",업무일지!$G835=""),"사건번호·업무명 모두 없음; ","")&amp;IF(업무일지!$I835="","담당자 없음; ","")&amp;IF(COUNTIF(코드설정!$F$5:$F$7,업무일지!$AF835)=0,"진행상태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"&amp;업무일지!$G836)</f>
        <v/>
      </c>
      <c r="D868" s="45">
        <f>IF(COUNT(업무일지!$B836:$AG836)+COUNTIF(업무일지!$B836:$AG836,"?*")=0,"",TRIM(IF(업무일지!$B836="","시작일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","")&amp;IF(AND(업무일지!$F836="",업무일지!$G836=""),"사건번호·업무명 모두 없음; ","")&amp;IF(업무일지!$I836="","담당자 없음; ","")&amp;IF(COUNTIF(코드설정!$F$5:$F$7,업무일지!$AF836)=0,"진행상태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"&amp;업무일지!$G837)</f>
        <v/>
      </c>
      <c r="D869" s="45">
        <f>IF(COUNT(업무일지!$B837:$AG837)+COUNTIF(업무일지!$B837:$AG837,"?*")=0,"",TRIM(IF(업무일지!$B837="","시작일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","")&amp;IF(AND(업무일지!$F837="",업무일지!$G837=""),"사건번호·업무명 모두 없음; ","")&amp;IF(업무일지!$I837="","담당자 없음; ","")&amp;IF(COUNTIF(코드설정!$F$5:$F$7,업무일지!$AF837)=0,"진행상태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"&amp;업무일지!$G838)</f>
        <v/>
      </c>
      <c r="D870" s="45">
        <f>IF(COUNT(업무일지!$B838:$AG838)+COUNTIF(업무일지!$B838:$AG838,"?*")=0,"",TRIM(IF(업무일지!$B838="","시작일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","")&amp;IF(AND(업무일지!$F838="",업무일지!$G838=""),"사건번호·업무명 모두 없음; ","")&amp;IF(업무일지!$I838="","담당자 없음; ","")&amp;IF(COUNTIF(코드설정!$F$5:$F$7,업무일지!$AF838)=0,"진행상태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"&amp;업무일지!$G839)</f>
        <v/>
      </c>
      <c r="D871" s="45">
        <f>IF(COUNT(업무일지!$B839:$AG839)+COUNTIF(업무일지!$B839:$AG839,"?*")=0,"",TRIM(IF(업무일지!$B839="","시작일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","")&amp;IF(AND(업무일지!$F839="",업무일지!$G839=""),"사건번호·업무명 모두 없음; ","")&amp;IF(업무일지!$I839="","담당자 없음; ","")&amp;IF(COUNTIF(코드설정!$F$5:$F$7,업무일지!$AF839)=0,"진행상태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"&amp;업무일지!$G840)</f>
        <v/>
      </c>
      <c r="D872" s="45">
        <f>IF(COUNT(업무일지!$B840:$AG840)+COUNTIF(업무일지!$B840:$AG840,"?*")=0,"",TRIM(IF(업무일지!$B840="","시작일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","")&amp;IF(AND(업무일지!$F840="",업무일지!$G840=""),"사건번호·업무명 모두 없음; ","")&amp;IF(업무일지!$I840="","담당자 없음; ","")&amp;IF(COUNTIF(코드설정!$F$5:$F$7,업무일지!$AF840)=0,"진행상태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"&amp;업무일지!$G841)</f>
        <v/>
      </c>
      <c r="D873" s="45">
        <f>IF(COUNT(업무일지!$B841:$AG841)+COUNTIF(업무일지!$B841:$AG841,"?*")=0,"",TRIM(IF(업무일지!$B841="","시작일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","")&amp;IF(AND(업무일지!$F841="",업무일지!$G841=""),"사건번호·업무명 모두 없음; ","")&amp;IF(업무일지!$I841="","담당자 없음; ","")&amp;IF(COUNTIF(코드설정!$F$5:$F$7,업무일지!$AF841)=0,"진행상태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"&amp;업무일지!$G842)</f>
        <v/>
      </c>
      <c r="D874" s="45">
        <f>IF(COUNT(업무일지!$B842:$AG842)+COUNTIF(업무일지!$B842:$AG842,"?*")=0,"",TRIM(IF(업무일지!$B842="","시작일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","")&amp;IF(AND(업무일지!$F842="",업무일지!$G842=""),"사건번호·업무명 모두 없음; ","")&amp;IF(업무일지!$I842="","담당자 없음; ","")&amp;IF(COUNTIF(코드설정!$F$5:$F$7,업무일지!$AF842)=0,"진행상태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"&amp;업무일지!$G843)</f>
        <v/>
      </c>
      <c r="D875" s="45">
        <f>IF(COUNT(업무일지!$B843:$AG843)+COUNTIF(업무일지!$B843:$AG843,"?*")=0,"",TRIM(IF(업무일지!$B843="","시작일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","")&amp;IF(AND(업무일지!$F843="",업무일지!$G843=""),"사건번호·업무명 모두 없음; ","")&amp;IF(업무일지!$I843="","담당자 없음; ","")&amp;IF(COUNTIF(코드설정!$F$5:$F$7,업무일지!$AF843)=0,"진행상태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"&amp;업무일지!$G844)</f>
        <v/>
      </c>
      <c r="D876" s="45">
        <f>IF(COUNT(업무일지!$B844:$AG844)+COUNTIF(업무일지!$B844:$AG844,"?*")=0,"",TRIM(IF(업무일지!$B844="","시작일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","")&amp;IF(AND(업무일지!$F844="",업무일지!$G844=""),"사건번호·업무명 모두 없음; ","")&amp;IF(업무일지!$I844="","담당자 없음; ","")&amp;IF(COUNTIF(코드설정!$F$5:$F$7,업무일지!$AF844)=0,"진행상태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"&amp;업무일지!$G845)</f>
        <v/>
      </c>
      <c r="D877" s="45">
        <f>IF(COUNT(업무일지!$B845:$AG845)+COUNTIF(업무일지!$B845:$AG845,"?*")=0,"",TRIM(IF(업무일지!$B845="","시작일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","")&amp;IF(AND(업무일지!$F845="",업무일지!$G845=""),"사건번호·업무명 모두 없음; ","")&amp;IF(업무일지!$I845="","담당자 없음; ","")&amp;IF(COUNTIF(코드설정!$F$5:$F$7,업무일지!$AF845)=0,"진행상태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"&amp;업무일지!$G846)</f>
        <v/>
      </c>
      <c r="D878" s="45">
        <f>IF(COUNT(업무일지!$B846:$AG846)+COUNTIF(업무일지!$B846:$AG846,"?*")=0,"",TRIM(IF(업무일지!$B846="","시작일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","")&amp;IF(AND(업무일지!$F846="",업무일지!$G846=""),"사건번호·업무명 모두 없음; ","")&amp;IF(업무일지!$I846="","담당자 없음; ","")&amp;IF(COUNTIF(코드설정!$F$5:$F$7,업무일지!$AF846)=0,"진행상태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"&amp;업무일지!$G847)</f>
        <v/>
      </c>
      <c r="D879" s="45">
        <f>IF(COUNT(업무일지!$B847:$AG847)+COUNTIF(업무일지!$B847:$AG847,"?*")=0,"",TRIM(IF(업무일지!$B847="","시작일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","")&amp;IF(AND(업무일지!$F847="",업무일지!$G847=""),"사건번호·업무명 모두 없음; ","")&amp;IF(업무일지!$I847="","담당자 없음; ","")&amp;IF(COUNTIF(코드설정!$F$5:$F$7,업무일지!$AF847)=0,"진행상태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"&amp;업무일지!$G848)</f>
        <v/>
      </c>
      <c r="D880" s="45">
        <f>IF(COUNT(업무일지!$B848:$AG848)+COUNTIF(업무일지!$B848:$AG848,"?*")=0,"",TRIM(IF(업무일지!$B848="","시작일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","")&amp;IF(AND(업무일지!$F848="",업무일지!$G848=""),"사건번호·업무명 모두 없음; ","")&amp;IF(업무일지!$I848="","담당자 없음; ","")&amp;IF(COUNTIF(코드설정!$F$5:$F$7,업무일지!$AF848)=0,"진행상태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"&amp;업무일지!$G849)</f>
        <v/>
      </c>
      <c r="D881" s="45">
        <f>IF(COUNT(업무일지!$B849:$AG849)+COUNTIF(업무일지!$B849:$AG849,"?*")=0,"",TRIM(IF(업무일지!$B849="","시작일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","")&amp;IF(AND(업무일지!$F849="",업무일지!$G849=""),"사건번호·업무명 모두 없음; ","")&amp;IF(업무일지!$I849="","담당자 없음; ","")&amp;IF(COUNTIF(코드설정!$F$5:$F$7,업무일지!$AF849)=0,"진행상태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"&amp;업무일지!$G850)</f>
        <v/>
      </c>
      <c r="D882" s="45">
        <f>IF(COUNT(업무일지!$B850:$AG850)+COUNTIF(업무일지!$B850:$AG850,"?*")=0,"",TRIM(IF(업무일지!$B850="","시작일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","")&amp;IF(AND(업무일지!$F850="",업무일지!$G850=""),"사건번호·업무명 모두 없음; ","")&amp;IF(업무일지!$I850="","담당자 없음; ","")&amp;IF(COUNTIF(코드설정!$F$5:$F$7,업무일지!$AF850)=0,"진행상태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"&amp;업무일지!$G851)</f>
        <v/>
      </c>
      <c r="D883" s="45">
        <f>IF(COUNT(업무일지!$B851:$AG851)+COUNTIF(업무일지!$B851:$AG851,"?*")=0,"",TRIM(IF(업무일지!$B851="","시작일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","")&amp;IF(AND(업무일지!$F851="",업무일지!$G851=""),"사건번호·업무명 모두 없음; ","")&amp;IF(업무일지!$I851="","담당자 없음; ","")&amp;IF(COUNTIF(코드설정!$F$5:$F$7,업무일지!$AF851)=0,"진행상태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"&amp;업무일지!$G852)</f>
        <v/>
      </c>
      <c r="D884" s="45">
        <f>IF(COUNT(업무일지!$B852:$AG852)+COUNTIF(업무일지!$B852:$AG852,"?*")=0,"",TRIM(IF(업무일지!$B852="","시작일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","")&amp;IF(AND(업무일지!$F852="",업무일지!$G852=""),"사건번호·업무명 모두 없음; ","")&amp;IF(업무일지!$I852="","담당자 없음; ","")&amp;IF(COUNTIF(코드설정!$F$5:$F$7,업무일지!$AF852)=0,"진행상태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"&amp;업무일지!$G853)</f>
        <v/>
      </c>
      <c r="D885" s="45">
        <f>IF(COUNT(업무일지!$B853:$AG853)+COUNTIF(업무일지!$B853:$AG853,"?*")=0,"",TRIM(IF(업무일지!$B853="","시작일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","")&amp;IF(AND(업무일지!$F853="",업무일지!$G853=""),"사건번호·업무명 모두 없음; ","")&amp;IF(업무일지!$I853="","담당자 없음; ","")&amp;IF(COUNTIF(코드설정!$F$5:$F$7,업무일지!$AF853)=0,"진행상태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"&amp;업무일지!$G854)</f>
        <v/>
      </c>
      <c r="D886" s="45">
        <f>IF(COUNT(업무일지!$B854:$AG854)+COUNTIF(업무일지!$B854:$AG854,"?*")=0,"",TRIM(IF(업무일지!$B854="","시작일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","")&amp;IF(AND(업무일지!$F854="",업무일지!$G854=""),"사건번호·업무명 모두 없음; ","")&amp;IF(업무일지!$I854="","담당자 없음; ","")&amp;IF(COUNTIF(코드설정!$F$5:$F$7,업무일지!$AF854)=0,"진행상태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"&amp;업무일지!$G855)</f>
        <v/>
      </c>
      <c r="D887" s="45">
        <f>IF(COUNT(업무일지!$B855:$AG855)+COUNTIF(업무일지!$B855:$AG855,"?*")=0,"",TRIM(IF(업무일지!$B855="","시작일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","")&amp;IF(AND(업무일지!$F855="",업무일지!$G855=""),"사건번호·업무명 모두 없음; ","")&amp;IF(업무일지!$I855="","담당자 없음; ","")&amp;IF(COUNTIF(코드설정!$F$5:$F$7,업무일지!$AF855)=0,"진행상태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"&amp;업무일지!$G856)</f>
        <v/>
      </c>
      <c r="D888" s="45">
        <f>IF(COUNT(업무일지!$B856:$AG856)+COUNTIF(업무일지!$B856:$AG856,"?*")=0,"",TRIM(IF(업무일지!$B856="","시작일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","")&amp;IF(AND(업무일지!$F856="",업무일지!$G856=""),"사건번호·업무명 모두 없음; ","")&amp;IF(업무일지!$I856="","담당자 없음; ","")&amp;IF(COUNTIF(코드설정!$F$5:$F$7,업무일지!$AF856)=0,"진행상태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"&amp;업무일지!$G857)</f>
        <v/>
      </c>
      <c r="D889" s="45">
        <f>IF(COUNT(업무일지!$B857:$AG857)+COUNTIF(업무일지!$B857:$AG857,"?*")=0,"",TRIM(IF(업무일지!$B857="","시작일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","")&amp;IF(AND(업무일지!$F857="",업무일지!$G857=""),"사건번호·업무명 모두 없음; ","")&amp;IF(업무일지!$I857="","담당자 없음; ","")&amp;IF(COUNTIF(코드설정!$F$5:$F$7,업무일지!$AF857)=0,"진행상태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"&amp;업무일지!$G858)</f>
        <v/>
      </c>
      <c r="D890" s="45">
        <f>IF(COUNT(업무일지!$B858:$AG858)+COUNTIF(업무일지!$B858:$AG858,"?*")=0,"",TRIM(IF(업무일지!$B858="","시작일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","")&amp;IF(AND(업무일지!$F858="",업무일지!$G858=""),"사건번호·업무명 모두 없음; ","")&amp;IF(업무일지!$I858="","담당자 없음; ","")&amp;IF(COUNTIF(코드설정!$F$5:$F$7,업무일지!$AF858)=0,"진행상태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"&amp;업무일지!$G859)</f>
        <v/>
      </c>
      <c r="D891" s="45">
        <f>IF(COUNT(업무일지!$B859:$AG859)+COUNTIF(업무일지!$B859:$AG859,"?*")=0,"",TRIM(IF(업무일지!$B859="","시작일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","")&amp;IF(AND(업무일지!$F859="",업무일지!$G859=""),"사건번호·업무명 모두 없음; ","")&amp;IF(업무일지!$I859="","담당자 없음; ","")&amp;IF(COUNTIF(코드설정!$F$5:$F$7,업무일지!$AF859)=0,"진행상태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"&amp;업무일지!$G860)</f>
        <v/>
      </c>
      <c r="D892" s="45">
        <f>IF(COUNT(업무일지!$B860:$AG860)+COUNTIF(업무일지!$B860:$AG860,"?*")=0,"",TRIM(IF(업무일지!$B860="","시작일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","")&amp;IF(AND(업무일지!$F860="",업무일지!$G860=""),"사건번호·업무명 모두 없음; ","")&amp;IF(업무일지!$I860="","담당자 없음; ","")&amp;IF(COUNTIF(코드설정!$F$5:$F$7,업무일지!$AF860)=0,"진행상태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"&amp;업무일지!$G861)</f>
        <v/>
      </c>
      <c r="D893" s="45">
        <f>IF(COUNT(업무일지!$B861:$AG861)+COUNTIF(업무일지!$B861:$AG861,"?*")=0,"",TRIM(IF(업무일지!$B861="","시작일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","")&amp;IF(AND(업무일지!$F861="",업무일지!$G861=""),"사건번호·업무명 모두 없음; ","")&amp;IF(업무일지!$I861="","담당자 없음; ","")&amp;IF(COUNTIF(코드설정!$F$5:$F$7,업무일지!$AF861)=0,"진행상태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"&amp;업무일지!$G862)</f>
        <v/>
      </c>
      <c r="D894" s="45">
        <f>IF(COUNT(업무일지!$B862:$AG862)+COUNTIF(업무일지!$B862:$AG862,"?*")=0,"",TRIM(IF(업무일지!$B862="","시작일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","")&amp;IF(AND(업무일지!$F862="",업무일지!$G862=""),"사건번호·업무명 모두 없음; ","")&amp;IF(업무일지!$I862="","담당자 없음; ","")&amp;IF(COUNTIF(코드설정!$F$5:$F$7,업무일지!$AF862)=0,"진행상태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"&amp;업무일지!$G863)</f>
        <v/>
      </c>
      <c r="D895" s="45">
        <f>IF(COUNT(업무일지!$B863:$AG863)+COUNTIF(업무일지!$B863:$AG863,"?*")=0,"",TRIM(IF(업무일지!$B863="","시작일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","")&amp;IF(AND(업무일지!$F863="",업무일지!$G863=""),"사건번호·업무명 모두 없음; ","")&amp;IF(업무일지!$I863="","담당자 없음; ","")&amp;IF(COUNTIF(코드설정!$F$5:$F$7,업무일지!$AF863)=0,"진행상태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"&amp;업무일지!$G864)</f>
        <v/>
      </c>
      <c r="D896" s="45">
        <f>IF(COUNT(업무일지!$B864:$AG864)+COUNTIF(업무일지!$B864:$AG864,"?*")=0,"",TRIM(IF(업무일지!$B864="","시작일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","")&amp;IF(AND(업무일지!$F864="",업무일지!$G864=""),"사건번호·업무명 모두 없음; ","")&amp;IF(업무일지!$I864="","담당자 없음; ","")&amp;IF(COUNTIF(코드설정!$F$5:$F$7,업무일지!$AF864)=0,"진행상태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"&amp;업무일지!$G865)</f>
        <v/>
      </c>
      <c r="D897" s="45">
        <f>IF(COUNT(업무일지!$B865:$AG865)+COUNTIF(업무일지!$B865:$AG865,"?*")=0,"",TRIM(IF(업무일지!$B865="","시작일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","")&amp;IF(AND(업무일지!$F865="",업무일지!$G865=""),"사건번호·업무명 모두 없음; ","")&amp;IF(업무일지!$I865="","담당자 없음; ","")&amp;IF(COUNTIF(코드설정!$F$5:$F$7,업무일지!$AF865)=0,"진행상태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"&amp;업무일지!$G866)</f>
        <v/>
      </c>
      <c r="D898" s="45">
        <f>IF(COUNT(업무일지!$B866:$AG866)+COUNTIF(업무일지!$B866:$AG866,"?*")=0,"",TRIM(IF(업무일지!$B866="","시작일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","")&amp;IF(AND(업무일지!$F866="",업무일지!$G866=""),"사건번호·업무명 모두 없음; ","")&amp;IF(업무일지!$I866="","담당자 없음; ","")&amp;IF(COUNTIF(코드설정!$F$5:$F$7,업무일지!$AF866)=0,"진행상태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"&amp;업무일지!$G867)</f>
        <v/>
      </c>
      <c r="D899" s="45">
        <f>IF(COUNT(업무일지!$B867:$AG867)+COUNTIF(업무일지!$B867:$AG867,"?*")=0,"",TRIM(IF(업무일지!$B867="","시작일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","")&amp;IF(AND(업무일지!$F867="",업무일지!$G867=""),"사건번호·업무명 모두 없음; ","")&amp;IF(업무일지!$I867="","담당자 없음; ","")&amp;IF(COUNTIF(코드설정!$F$5:$F$7,업무일지!$AF867)=0,"진행상태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"&amp;업무일지!$G868)</f>
        <v/>
      </c>
      <c r="D900" s="45">
        <f>IF(COUNT(업무일지!$B868:$AG868)+COUNTIF(업무일지!$B868:$AG868,"?*")=0,"",TRIM(IF(업무일지!$B868="","시작일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","")&amp;IF(AND(업무일지!$F868="",업무일지!$G868=""),"사건번호·업무명 모두 없음; ","")&amp;IF(업무일지!$I868="","담당자 없음; ","")&amp;IF(COUNTIF(코드설정!$F$5:$F$7,업무일지!$AF868)=0,"진행상태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"&amp;업무일지!$G869)</f>
        <v/>
      </c>
      <c r="D901" s="45">
        <f>IF(COUNT(업무일지!$B869:$AG869)+COUNTIF(업무일지!$B869:$AG869,"?*")=0,"",TRIM(IF(업무일지!$B869="","시작일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","")&amp;IF(AND(업무일지!$F869="",업무일지!$G869=""),"사건번호·업무명 모두 없음; ","")&amp;IF(업무일지!$I869="","담당자 없음; ","")&amp;IF(COUNTIF(코드설정!$F$5:$F$7,업무일지!$AF869)=0,"진행상태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"&amp;업무일지!$G870)</f>
        <v/>
      </c>
      <c r="D902" s="45">
        <f>IF(COUNT(업무일지!$B870:$AG870)+COUNTIF(업무일지!$B870:$AG870,"?*")=0,"",TRIM(IF(업무일지!$B870="","시작일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","")&amp;IF(AND(업무일지!$F870="",업무일지!$G870=""),"사건번호·업무명 모두 없음; ","")&amp;IF(업무일지!$I870="","담당자 없음; ","")&amp;IF(COUNTIF(코드설정!$F$5:$F$7,업무일지!$AF870)=0,"진행상태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"&amp;업무일지!$G871)</f>
        <v/>
      </c>
      <c r="D903" s="45">
        <f>IF(COUNT(업무일지!$B871:$AG871)+COUNTIF(업무일지!$B871:$AG871,"?*")=0,"",TRIM(IF(업무일지!$B871="","시작일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","")&amp;IF(AND(업무일지!$F871="",업무일지!$G871=""),"사건번호·업무명 모두 없음; ","")&amp;IF(업무일지!$I871="","담당자 없음; ","")&amp;IF(COUNTIF(코드설정!$F$5:$F$7,업무일지!$AF871)=0,"진행상태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"&amp;업무일지!$G872)</f>
        <v/>
      </c>
      <c r="D904" s="45">
        <f>IF(COUNT(업무일지!$B872:$AG872)+COUNTIF(업무일지!$B872:$AG872,"?*")=0,"",TRIM(IF(업무일지!$B872="","시작일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","")&amp;IF(AND(업무일지!$F872="",업무일지!$G872=""),"사건번호·업무명 모두 없음; ","")&amp;IF(업무일지!$I872="","담당자 없음; ","")&amp;IF(COUNTIF(코드설정!$F$5:$F$7,업무일지!$AF872)=0,"진행상태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"&amp;업무일지!$G873)</f>
        <v/>
      </c>
      <c r="D905" s="45">
        <f>IF(COUNT(업무일지!$B873:$AG873)+COUNTIF(업무일지!$B873:$AG873,"?*")=0,"",TRIM(IF(업무일지!$B873="","시작일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","")&amp;IF(AND(업무일지!$F873="",업무일지!$G873=""),"사건번호·업무명 모두 없음; ","")&amp;IF(업무일지!$I873="","담당자 없음; ","")&amp;IF(COUNTIF(코드설정!$F$5:$F$7,업무일지!$AF873)=0,"진행상태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"&amp;업무일지!$G874)</f>
        <v/>
      </c>
      <c r="D906" s="45">
        <f>IF(COUNT(업무일지!$B874:$AG874)+COUNTIF(업무일지!$B874:$AG874,"?*")=0,"",TRIM(IF(업무일지!$B874="","시작일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","")&amp;IF(AND(업무일지!$F874="",업무일지!$G874=""),"사건번호·업무명 모두 없음; ","")&amp;IF(업무일지!$I874="","담당자 없음; ","")&amp;IF(COUNTIF(코드설정!$F$5:$F$7,업무일지!$AF874)=0,"진행상태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"&amp;업무일지!$G875)</f>
        <v/>
      </c>
      <c r="D907" s="45">
        <f>IF(COUNT(업무일지!$B875:$AG875)+COUNTIF(업무일지!$B875:$AG875,"?*")=0,"",TRIM(IF(업무일지!$B875="","시작일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","")&amp;IF(AND(업무일지!$F875="",업무일지!$G875=""),"사건번호·업무명 모두 없음; ","")&amp;IF(업무일지!$I875="","담당자 없음; ","")&amp;IF(COUNTIF(코드설정!$F$5:$F$7,업무일지!$AF875)=0,"진행상태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"&amp;업무일지!$G876)</f>
        <v/>
      </c>
      <c r="D908" s="45">
        <f>IF(COUNT(업무일지!$B876:$AG876)+COUNTIF(업무일지!$B876:$AG876,"?*")=0,"",TRIM(IF(업무일지!$B876="","시작일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","")&amp;IF(AND(업무일지!$F876="",업무일지!$G876=""),"사건번호·업무명 모두 없음; ","")&amp;IF(업무일지!$I876="","담당자 없음; ","")&amp;IF(COUNTIF(코드설정!$F$5:$F$7,업무일지!$AF876)=0,"진행상태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"&amp;업무일지!$G877)</f>
        <v/>
      </c>
      <c r="D909" s="45">
        <f>IF(COUNT(업무일지!$B877:$AG877)+COUNTIF(업무일지!$B877:$AG877,"?*")=0,"",TRIM(IF(업무일지!$B877="","시작일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","")&amp;IF(AND(업무일지!$F877="",업무일지!$G877=""),"사건번호·업무명 모두 없음; ","")&amp;IF(업무일지!$I877="","담당자 없음; ","")&amp;IF(COUNTIF(코드설정!$F$5:$F$7,업무일지!$AF877)=0,"진행상태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"&amp;업무일지!$G878)</f>
        <v/>
      </c>
      <c r="D910" s="45">
        <f>IF(COUNT(업무일지!$B878:$AG878)+COUNTIF(업무일지!$B878:$AG878,"?*")=0,"",TRIM(IF(업무일지!$B878="","시작일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","")&amp;IF(AND(업무일지!$F878="",업무일지!$G878=""),"사건번호·업무명 모두 없음; ","")&amp;IF(업무일지!$I878="","담당자 없음; ","")&amp;IF(COUNTIF(코드설정!$F$5:$F$7,업무일지!$AF878)=0,"진행상태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"&amp;업무일지!$G879)</f>
        <v/>
      </c>
      <c r="D911" s="45">
        <f>IF(COUNT(업무일지!$B879:$AG879)+COUNTIF(업무일지!$B879:$AG879,"?*")=0,"",TRIM(IF(업무일지!$B879="","시작일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","")&amp;IF(AND(업무일지!$F879="",업무일지!$G879=""),"사건번호·업무명 모두 없음; ","")&amp;IF(업무일지!$I879="","담당자 없음; ","")&amp;IF(COUNTIF(코드설정!$F$5:$F$7,업무일지!$AF879)=0,"진행상태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"&amp;업무일지!$G880)</f>
        <v/>
      </c>
      <c r="D912" s="45">
        <f>IF(COUNT(업무일지!$B880:$AG880)+COUNTIF(업무일지!$B880:$AG880,"?*")=0,"",TRIM(IF(업무일지!$B880="","시작일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","")&amp;IF(AND(업무일지!$F880="",업무일지!$G880=""),"사건번호·업무명 모두 없음; ","")&amp;IF(업무일지!$I880="","담당자 없음; ","")&amp;IF(COUNTIF(코드설정!$F$5:$F$7,업무일지!$AF880)=0,"진행상태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"&amp;업무일지!$G881)</f>
        <v/>
      </c>
      <c r="D913" s="45">
        <f>IF(COUNT(업무일지!$B881:$AG881)+COUNTIF(업무일지!$B881:$AG881,"?*")=0,"",TRIM(IF(업무일지!$B881="","시작일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","")&amp;IF(AND(업무일지!$F881="",업무일지!$G881=""),"사건번호·업무명 모두 없음; ","")&amp;IF(업무일지!$I881="","담당자 없음; ","")&amp;IF(COUNTIF(코드설정!$F$5:$F$7,업무일지!$AF881)=0,"진행상태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"&amp;업무일지!$G882)</f>
        <v/>
      </c>
      <c r="D914" s="45">
        <f>IF(COUNT(업무일지!$B882:$AG882)+COUNTIF(업무일지!$B882:$AG882,"?*")=0,"",TRIM(IF(업무일지!$B882="","시작일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","")&amp;IF(AND(업무일지!$F882="",업무일지!$G882=""),"사건번호·업무명 모두 없음; ","")&amp;IF(업무일지!$I882="","담당자 없음; ","")&amp;IF(COUNTIF(코드설정!$F$5:$F$7,업무일지!$AF882)=0,"진행상태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"&amp;업무일지!$G883)</f>
        <v/>
      </c>
      <c r="D915" s="45">
        <f>IF(COUNT(업무일지!$B883:$AG883)+COUNTIF(업무일지!$B883:$AG883,"?*")=0,"",TRIM(IF(업무일지!$B883="","시작일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","")&amp;IF(AND(업무일지!$F883="",업무일지!$G883=""),"사건번호·업무명 모두 없음; ","")&amp;IF(업무일지!$I883="","담당자 없음; ","")&amp;IF(COUNTIF(코드설정!$F$5:$F$7,업무일지!$AF883)=0,"진행상태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"&amp;업무일지!$G884)</f>
        <v/>
      </c>
      <c r="D916" s="45">
        <f>IF(COUNT(업무일지!$B884:$AG884)+COUNTIF(업무일지!$B884:$AG884,"?*")=0,"",TRIM(IF(업무일지!$B884="","시작일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","")&amp;IF(AND(업무일지!$F884="",업무일지!$G884=""),"사건번호·업무명 모두 없음; ","")&amp;IF(업무일지!$I884="","담당자 없음; ","")&amp;IF(COUNTIF(코드설정!$F$5:$F$7,업무일지!$AF884)=0,"진행상태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"&amp;업무일지!$G885)</f>
        <v/>
      </c>
      <c r="D917" s="45">
        <f>IF(COUNT(업무일지!$B885:$AG885)+COUNTIF(업무일지!$B885:$AG885,"?*")=0,"",TRIM(IF(업무일지!$B885="","시작일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","")&amp;IF(AND(업무일지!$F885="",업무일지!$G885=""),"사건번호·업무명 모두 없음; ","")&amp;IF(업무일지!$I885="","담당자 없음; ","")&amp;IF(COUNTIF(코드설정!$F$5:$F$7,업무일지!$AF885)=0,"진행상태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"&amp;업무일지!$G886)</f>
        <v/>
      </c>
      <c r="D918" s="45">
        <f>IF(COUNT(업무일지!$B886:$AG886)+COUNTIF(업무일지!$B886:$AG886,"?*")=0,"",TRIM(IF(업무일지!$B886="","시작일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","")&amp;IF(AND(업무일지!$F886="",업무일지!$G886=""),"사건번호·업무명 모두 없음; ","")&amp;IF(업무일지!$I886="","담당자 없음; ","")&amp;IF(COUNTIF(코드설정!$F$5:$F$7,업무일지!$AF886)=0,"진행상태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"&amp;업무일지!$G887)</f>
        <v/>
      </c>
      <c r="D919" s="45">
        <f>IF(COUNT(업무일지!$B887:$AG887)+COUNTIF(업무일지!$B887:$AG887,"?*")=0,"",TRIM(IF(업무일지!$B887="","시작일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","")&amp;IF(AND(업무일지!$F887="",업무일지!$G887=""),"사건번호·업무명 모두 없음; ","")&amp;IF(업무일지!$I887="","담당자 없음; ","")&amp;IF(COUNTIF(코드설정!$F$5:$F$7,업무일지!$AF887)=0,"진행상태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"&amp;업무일지!$G888)</f>
        <v/>
      </c>
      <c r="D920" s="45">
        <f>IF(COUNT(업무일지!$B888:$AG888)+COUNTIF(업무일지!$B888:$AG888,"?*")=0,"",TRIM(IF(업무일지!$B888="","시작일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","")&amp;IF(AND(업무일지!$F888="",업무일지!$G888=""),"사건번호·업무명 모두 없음; ","")&amp;IF(업무일지!$I888="","담당자 없음; ","")&amp;IF(COUNTIF(코드설정!$F$5:$F$7,업무일지!$AF888)=0,"진행상태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"&amp;업무일지!$G889)</f>
        <v/>
      </c>
      <c r="D921" s="45">
        <f>IF(COUNT(업무일지!$B889:$AG889)+COUNTIF(업무일지!$B889:$AG889,"?*")=0,"",TRIM(IF(업무일지!$B889="","시작일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","")&amp;IF(AND(업무일지!$F889="",업무일지!$G889=""),"사건번호·업무명 모두 없음; ","")&amp;IF(업무일지!$I889="","담당자 없음; ","")&amp;IF(COUNTIF(코드설정!$F$5:$F$7,업무일지!$AF889)=0,"진행상태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"&amp;업무일지!$G890)</f>
        <v/>
      </c>
      <c r="D922" s="45">
        <f>IF(COUNT(업무일지!$B890:$AG890)+COUNTIF(업무일지!$B890:$AG890,"?*")=0,"",TRIM(IF(업무일지!$B890="","시작일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","")&amp;IF(AND(업무일지!$F890="",업무일지!$G890=""),"사건번호·업무명 모두 없음; ","")&amp;IF(업무일지!$I890="","담당자 없음; ","")&amp;IF(COUNTIF(코드설정!$F$5:$F$7,업무일지!$AF890)=0,"진행상태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"&amp;업무일지!$G891)</f>
        <v/>
      </c>
      <c r="D923" s="45">
        <f>IF(COUNT(업무일지!$B891:$AG891)+COUNTIF(업무일지!$B891:$AG891,"?*")=0,"",TRIM(IF(업무일지!$B891="","시작일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","")&amp;IF(AND(업무일지!$F891="",업무일지!$G891=""),"사건번호·업무명 모두 없음; ","")&amp;IF(업무일지!$I891="","담당자 없음; ","")&amp;IF(COUNTIF(코드설정!$F$5:$F$7,업무일지!$AF891)=0,"진행상태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"&amp;업무일지!$G892)</f>
        <v/>
      </c>
      <c r="D924" s="45">
        <f>IF(COUNT(업무일지!$B892:$AG892)+COUNTIF(업무일지!$B892:$AG892,"?*")=0,"",TRIM(IF(업무일지!$B892="","시작일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","")&amp;IF(AND(업무일지!$F892="",업무일지!$G892=""),"사건번호·업무명 모두 없음; ","")&amp;IF(업무일지!$I892="","담당자 없음; ","")&amp;IF(COUNTIF(코드설정!$F$5:$F$7,업무일지!$AF892)=0,"진행상태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"&amp;업무일지!$G893)</f>
        <v/>
      </c>
      <c r="D925" s="45">
        <f>IF(COUNT(업무일지!$B893:$AG893)+COUNTIF(업무일지!$B893:$AG893,"?*")=0,"",TRIM(IF(업무일지!$B893="","시작일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","")&amp;IF(AND(업무일지!$F893="",업무일지!$G893=""),"사건번호·업무명 모두 없음; ","")&amp;IF(업무일지!$I893="","담당자 없음; ","")&amp;IF(COUNTIF(코드설정!$F$5:$F$7,업무일지!$AF893)=0,"진행상태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"&amp;업무일지!$G894)</f>
        <v/>
      </c>
      <c r="D926" s="45">
        <f>IF(COUNT(업무일지!$B894:$AG894)+COUNTIF(업무일지!$B894:$AG894,"?*")=0,"",TRIM(IF(업무일지!$B894="","시작일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","")&amp;IF(AND(업무일지!$F894="",업무일지!$G894=""),"사건번호·업무명 모두 없음; ","")&amp;IF(업무일지!$I894="","담당자 없음; ","")&amp;IF(COUNTIF(코드설정!$F$5:$F$7,업무일지!$AF894)=0,"진행상태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"&amp;업무일지!$G895)</f>
        <v/>
      </c>
      <c r="D927" s="45">
        <f>IF(COUNT(업무일지!$B895:$AG895)+COUNTIF(업무일지!$B895:$AG895,"?*")=0,"",TRIM(IF(업무일지!$B895="","시작일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","")&amp;IF(AND(업무일지!$F895="",업무일지!$G895=""),"사건번호·업무명 모두 없음; ","")&amp;IF(업무일지!$I895="","담당자 없음; ","")&amp;IF(COUNTIF(코드설정!$F$5:$F$7,업무일지!$AF895)=0,"진행상태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"&amp;업무일지!$G896)</f>
        <v/>
      </c>
      <c r="D928" s="45">
        <f>IF(COUNT(업무일지!$B896:$AG896)+COUNTIF(업무일지!$B896:$AG896,"?*")=0,"",TRIM(IF(업무일지!$B896="","시작일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","")&amp;IF(AND(업무일지!$F896="",업무일지!$G896=""),"사건번호·업무명 모두 없음; ","")&amp;IF(업무일지!$I896="","담당자 없음; ","")&amp;IF(COUNTIF(코드설정!$F$5:$F$7,업무일지!$AF896)=0,"진행상태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"&amp;업무일지!$G897)</f>
        <v/>
      </c>
      <c r="D929" s="45">
        <f>IF(COUNT(업무일지!$B897:$AG897)+COUNTIF(업무일지!$B897:$AG897,"?*")=0,"",TRIM(IF(업무일지!$B897="","시작일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","")&amp;IF(AND(업무일지!$F897="",업무일지!$G897=""),"사건번호·업무명 모두 없음; ","")&amp;IF(업무일지!$I897="","담당자 없음; ","")&amp;IF(COUNTIF(코드설정!$F$5:$F$7,업무일지!$AF897)=0,"진행상태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"&amp;업무일지!$G898)</f>
        <v/>
      </c>
      <c r="D930" s="45">
        <f>IF(COUNT(업무일지!$B898:$AG898)+COUNTIF(업무일지!$B898:$AG898,"?*")=0,"",TRIM(IF(업무일지!$B898="","시작일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","")&amp;IF(AND(업무일지!$F898="",업무일지!$G898=""),"사건번호·업무명 모두 없음; ","")&amp;IF(업무일지!$I898="","담당자 없음; ","")&amp;IF(COUNTIF(코드설정!$F$5:$F$7,업무일지!$AF898)=0,"진행상태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"&amp;업무일지!$G899)</f>
        <v/>
      </c>
      <c r="D931" s="45">
        <f>IF(COUNT(업무일지!$B899:$AG899)+COUNTIF(업무일지!$B899:$AG899,"?*")=0,"",TRIM(IF(업무일지!$B899="","시작일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","")&amp;IF(AND(업무일지!$F899="",업무일지!$G899=""),"사건번호·업무명 모두 없음; ","")&amp;IF(업무일지!$I899="","담당자 없음; ","")&amp;IF(COUNTIF(코드설정!$F$5:$F$7,업무일지!$AF899)=0,"진행상태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"&amp;업무일지!$G900)</f>
        <v/>
      </c>
      <c r="D932" s="45">
        <f>IF(COUNT(업무일지!$B900:$AG900)+COUNTIF(업무일지!$B900:$AG900,"?*")=0,"",TRIM(IF(업무일지!$B900="","시작일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","")&amp;IF(AND(업무일지!$F900="",업무일지!$G900=""),"사건번호·업무명 모두 없음; ","")&amp;IF(업무일지!$I900="","담당자 없음; ","")&amp;IF(COUNTIF(코드설정!$F$5:$F$7,업무일지!$AF900)=0,"진행상태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"&amp;업무일지!$G901)</f>
        <v/>
      </c>
      <c r="D933" s="45">
        <f>IF(COUNT(업무일지!$B901:$AG901)+COUNTIF(업무일지!$B901:$AG901,"?*")=0,"",TRIM(IF(업무일지!$B901="","시작일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","")&amp;IF(AND(업무일지!$F901="",업무일지!$G901=""),"사건번호·업무명 모두 없음; ","")&amp;IF(업무일지!$I901="","담당자 없음; ","")&amp;IF(COUNTIF(코드설정!$F$5:$F$7,업무일지!$AF901)=0,"진행상태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"&amp;업무일지!$G902)</f>
        <v/>
      </c>
      <c r="D934" s="45">
        <f>IF(COUNT(업무일지!$B902:$AG902)+COUNTIF(업무일지!$B902:$AG902,"?*")=0,"",TRIM(IF(업무일지!$B902="","시작일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","")&amp;IF(AND(업무일지!$F902="",업무일지!$G902=""),"사건번호·업무명 모두 없음; ","")&amp;IF(업무일지!$I902="","담당자 없음; ","")&amp;IF(COUNTIF(코드설정!$F$5:$F$7,업무일지!$AF902)=0,"진행상태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"&amp;업무일지!$G903)</f>
        <v/>
      </c>
      <c r="D935" s="45">
        <f>IF(COUNT(업무일지!$B903:$AG903)+COUNTIF(업무일지!$B903:$AG903,"?*")=0,"",TRIM(IF(업무일지!$B903="","시작일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","")&amp;IF(AND(업무일지!$F903="",업무일지!$G903=""),"사건번호·업무명 모두 없음; ","")&amp;IF(업무일지!$I903="","담당자 없음; ","")&amp;IF(COUNTIF(코드설정!$F$5:$F$7,업무일지!$AF903)=0,"진행상태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"&amp;업무일지!$G904)</f>
        <v/>
      </c>
      <c r="D936" s="45">
        <f>IF(COUNT(업무일지!$B904:$AG904)+COUNTIF(업무일지!$B904:$AG904,"?*")=0,"",TRIM(IF(업무일지!$B904="","시작일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","")&amp;IF(AND(업무일지!$F904="",업무일지!$G904=""),"사건번호·업무명 모두 없음; ","")&amp;IF(업무일지!$I904="","담당자 없음; ","")&amp;IF(COUNTIF(코드설정!$F$5:$F$7,업무일지!$AF904)=0,"진행상태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"&amp;업무일지!$G905)</f>
        <v/>
      </c>
      <c r="D937" s="45">
        <f>IF(COUNT(업무일지!$B905:$AG905)+COUNTIF(업무일지!$B905:$AG905,"?*")=0,"",TRIM(IF(업무일지!$B905="","시작일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","")&amp;IF(AND(업무일지!$F905="",업무일지!$G905=""),"사건번호·업무명 모두 없음; ","")&amp;IF(업무일지!$I905="","담당자 없음; ","")&amp;IF(COUNTIF(코드설정!$F$5:$F$7,업무일지!$AF905)=0,"진행상태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"&amp;업무일지!$G906)</f>
        <v/>
      </c>
      <c r="D938" s="45">
        <f>IF(COUNT(업무일지!$B906:$AG906)+COUNTIF(업무일지!$B906:$AG906,"?*")=0,"",TRIM(IF(업무일지!$B906="","시작일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","")&amp;IF(AND(업무일지!$F906="",업무일지!$G906=""),"사건번호·업무명 모두 없음; ","")&amp;IF(업무일지!$I906="","담당자 없음; ","")&amp;IF(COUNTIF(코드설정!$F$5:$F$7,업무일지!$AF906)=0,"진행상태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"&amp;업무일지!$G907)</f>
        <v/>
      </c>
      <c r="D939" s="45">
        <f>IF(COUNT(업무일지!$B907:$AG907)+COUNTIF(업무일지!$B907:$AG907,"?*")=0,"",TRIM(IF(업무일지!$B907="","시작일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","")&amp;IF(AND(업무일지!$F907="",업무일지!$G907=""),"사건번호·업무명 모두 없음; ","")&amp;IF(업무일지!$I907="","담당자 없음; ","")&amp;IF(COUNTIF(코드설정!$F$5:$F$7,업무일지!$AF907)=0,"진행상태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"&amp;업무일지!$G908)</f>
        <v/>
      </c>
      <c r="D940" s="45">
        <f>IF(COUNT(업무일지!$B908:$AG908)+COUNTIF(업무일지!$B908:$AG908,"?*")=0,"",TRIM(IF(업무일지!$B908="","시작일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","")&amp;IF(AND(업무일지!$F908="",업무일지!$G908=""),"사건번호·업무명 모두 없음; ","")&amp;IF(업무일지!$I908="","담당자 없음; ","")&amp;IF(COUNTIF(코드설정!$F$5:$F$7,업무일지!$AF908)=0,"진행상태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"&amp;업무일지!$G909)</f>
        <v/>
      </c>
      <c r="D941" s="45">
        <f>IF(COUNT(업무일지!$B909:$AG909)+COUNTIF(업무일지!$B909:$AG909,"?*")=0,"",TRIM(IF(업무일지!$B909="","시작일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","")&amp;IF(AND(업무일지!$F909="",업무일지!$G909=""),"사건번호·업무명 모두 없음; ","")&amp;IF(업무일지!$I909="","담당자 없음; ","")&amp;IF(COUNTIF(코드설정!$F$5:$F$7,업무일지!$AF909)=0,"진행상태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"&amp;업무일지!$G910)</f>
        <v/>
      </c>
      <c r="D942" s="45">
        <f>IF(COUNT(업무일지!$B910:$AG910)+COUNTIF(업무일지!$B910:$AG910,"?*")=0,"",TRIM(IF(업무일지!$B910="","시작일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","")&amp;IF(AND(업무일지!$F910="",업무일지!$G910=""),"사건번호·업무명 모두 없음; ","")&amp;IF(업무일지!$I910="","담당자 없음; ","")&amp;IF(COUNTIF(코드설정!$F$5:$F$7,업무일지!$AF910)=0,"진행상태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"&amp;업무일지!$G911)</f>
        <v/>
      </c>
      <c r="D943" s="45">
        <f>IF(COUNT(업무일지!$B911:$AG911)+COUNTIF(업무일지!$B911:$AG911,"?*")=0,"",TRIM(IF(업무일지!$B911="","시작일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","")&amp;IF(AND(업무일지!$F911="",업무일지!$G911=""),"사건번호·업무명 모두 없음; ","")&amp;IF(업무일지!$I911="","담당자 없음; ","")&amp;IF(COUNTIF(코드설정!$F$5:$F$7,업무일지!$AF911)=0,"진행상태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"&amp;업무일지!$G912)</f>
        <v/>
      </c>
      <c r="D944" s="45">
        <f>IF(COUNT(업무일지!$B912:$AG912)+COUNTIF(업무일지!$B912:$AG912,"?*")=0,"",TRIM(IF(업무일지!$B912="","시작일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","")&amp;IF(AND(업무일지!$F912="",업무일지!$G912=""),"사건번호·업무명 모두 없음; ","")&amp;IF(업무일지!$I912="","담당자 없음; ","")&amp;IF(COUNTIF(코드설정!$F$5:$F$7,업무일지!$AF912)=0,"진행상태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"&amp;업무일지!$G913)</f>
        <v/>
      </c>
      <c r="D945" s="45">
        <f>IF(COUNT(업무일지!$B913:$AG913)+COUNTIF(업무일지!$B913:$AG913,"?*")=0,"",TRIM(IF(업무일지!$B913="","시작일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","")&amp;IF(AND(업무일지!$F913="",업무일지!$G913=""),"사건번호·업무명 모두 없음; ","")&amp;IF(업무일지!$I913="","담당자 없음; ","")&amp;IF(COUNTIF(코드설정!$F$5:$F$7,업무일지!$AF913)=0,"진행상태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"&amp;업무일지!$G914)</f>
        <v/>
      </c>
      <c r="D946" s="45">
        <f>IF(COUNT(업무일지!$B914:$AG914)+COUNTIF(업무일지!$B914:$AG914,"?*")=0,"",TRIM(IF(업무일지!$B914="","시작일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","")&amp;IF(AND(업무일지!$F914="",업무일지!$G914=""),"사건번호·업무명 모두 없음; ","")&amp;IF(업무일지!$I914="","담당자 없음; ","")&amp;IF(COUNTIF(코드설정!$F$5:$F$7,업무일지!$AF914)=0,"진행상태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"&amp;업무일지!$G915)</f>
        <v/>
      </c>
      <c r="D947" s="45">
        <f>IF(COUNT(업무일지!$B915:$AG915)+COUNTIF(업무일지!$B915:$AG915,"?*")=0,"",TRIM(IF(업무일지!$B915="","시작일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","")&amp;IF(AND(업무일지!$F915="",업무일지!$G915=""),"사건번호·업무명 모두 없음; ","")&amp;IF(업무일지!$I915="","담당자 없음; ","")&amp;IF(COUNTIF(코드설정!$F$5:$F$7,업무일지!$AF915)=0,"진행상태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"&amp;업무일지!$G916)</f>
        <v/>
      </c>
      <c r="D948" s="45">
        <f>IF(COUNT(업무일지!$B916:$AG916)+COUNTIF(업무일지!$B916:$AG916,"?*")=0,"",TRIM(IF(업무일지!$B916="","시작일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","")&amp;IF(AND(업무일지!$F916="",업무일지!$G916=""),"사건번호·업무명 모두 없음; ","")&amp;IF(업무일지!$I916="","담당자 없음; ","")&amp;IF(COUNTIF(코드설정!$F$5:$F$7,업무일지!$AF916)=0,"진행상태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"&amp;업무일지!$G917)</f>
        <v/>
      </c>
      <c r="D949" s="45">
        <f>IF(COUNT(업무일지!$B917:$AG917)+COUNTIF(업무일지!$B917:$AG917,"?*")=0,"",TRIM(IF(업무일지!$B917="","시작일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","")&amp;IF(AND(업무일지!$F917="",업무일지!$G917=""),"사건번호·업무명 모두 없음; ","")&amp;IF(업무일지!$I917="","담당자 없음; ","")&amp;IF(COUNTIF(코드설정!$F$5:$F$7,업무일지!$AF917)=0,"진행상태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"&amp;업무일지!$G918)</f>
        <v/>
      </c>
      <c r="D950" s="45">
        <f>IF(COUNT(업무일지!$B918:$AG918)+COUNTIF(업무일지!$B918:$AG918,"?*")=0,"",TRIM(IF(업무일지!$B918="","시작일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","")&amp;IF(AND(업무일지!$F918="",업무일지!$G918=""),"사건번호·업무명 모두 없음; ","")&amp;IF(업무일지!$I918="","담당자 없음; ","")&amp;IF(COUNTIF(코드설정!$F$5:$F$7,업무일지!$AF918)=0,"진행상태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"&amp;업무일지!$G919)</f>
        <v/>
      </c>
      <c r="D951" s="45">
        <f>IF(COUNT(업무일지!$B919:$AG919)+COUNTIF(업무일지!$B919:$AG919,"?*")=0,"",TRIM(IF(업무일지!$B919="","시작일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","")&amp;IF(AND(업무일지!$F919="",업무일지!$G919=""),"사건번호·업무명 모두 없음; ","")&amp;IF(업무일지!$I919="","담당자 없음; ","")&amp;IF(COUNTIF(코드설정!$F$5:$F$7,업무일지!$AF919)=0,"진행상태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"&amp;업무일지!$G920)</f>
        <v/>
      </c>
      <c r="D952" s="45">
        <f>IF(COUNT(업무일지!$B920:$AG920)+COUNTIF(업무일지!$B920:$AG920,"?*")=0,"",TRIM(IF(업무일지!$B920="","시작일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","")&amp;IF(AND(업무일지!$F920="",업무일지!$G920=""),"사건번호·업무명 모두 없음; ","")&amp;IF(업무일지!$I920="","담당자 없음; ","")&amp;IF(COUNTIF(코드설정!$F$5:$F$7,업무일지!$AF920)=0,"진행상태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"&amp;업무일지!$G921)</f>
        <v/>
      </c>
      <c r="D953" s="45">
        <f>IF(COUNT(업무일지!$B921:$AG921)+COUNTIF(업무일지!$B921:$AG921,"?*")=0,"",TRIM(IF(업무일지!$B921="","시작일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","")&amp;IF(AND(업무일지!$F921="",업무일지!$G921=""),"사건번호·업무명 모두 없음; ","")&amp;IF(업무일지!$I921="","담당자 없음; ","")&amp;IF(COUNTIF(코드설정!$F$5:$F$7,업무일지!$AF921)=0,"진행상태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"&amp;업무일지!$G922)</f>
        <v/>
      </c>
      <c r="D954" s="45">
        <f>IF(COUNT(업무일지!$B922:$AG922)+COUNTIF(업무일지!$B922:$AG922,"?*")=0,"",TRIM(IF(업무일지!$B922="","시작일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","")&amp;IF(AND(업무일지!$F922="",업무일지!$G922=""),"사건번호·업무명 모두 없음; ","")&amp;IF(업무일지!$I922="","담당자 없음; ","")&amp;IF(COUNTIF(코드설정!$F$5:$F$7,업무일지!$AF922)=0,"진행상태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"&amp;업무일지!$G923)</f>
        <v/>
      </c>
      <c r="D955" s="45">
        <f>IF(COUNT(업무일지!$B923:$AG923)+COUNTIF(업무일지!$B923:$AG923,"?*")=0,"",TRIM(IF(업무일지!$B923="","시작일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","")&amp;IF(AND(업무일지!$F923="",업무일지!$G923=""),"사건번호·업무명 모두 없음; ","")&amp;IF(업무일지!$I923="","담당자 없음; ","")&amp;IF(COUNTIF(코드설정!$F$5:$F$7,업무일지!$AF923)=0,"진행상태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"&amp;업무일지!$G924)</f>
        <v/>
      </c>
      <c r="D956" s="45">
        <f>IF(COUNT(업무일지!$B924:$AG924)+COUNTIF(업무일지!$B924:$AG924,"?*")=0,"",TRIM(IF(업무일지!$B924="","시작일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","")&amp;IF(AND(업무일지!$F924="",업무일지!$G924=""),"사건번호·업무명 모두 없음; ","")&amp;IF(업무일지!$I924="","담당자 없음; ","")&amp;IF(COUNTIF(코드설정!$F$5:$F$7,업무일지!$AF924)=0,"진행상태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"&amp;업무일지!$G925)</f>
        <v/>
      </c>
      <c r="D957" s="45">
        <f>IF(COUNT(업무일지!$B925:$AG925)+COUNTIF(업무일지!$B925:$AG925,"?*")=0,"",TRIM(IF(업무일지!$B925="","시작일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","")&amp;IF(AND(업무일지!$F925="",업무일지!$G925=""),"사건번호·업무명 모두 없음; ","")&amp;IF(업무일지!$I925="","담당자 없음; ","")&amp;IF(COUNTIF(코드설정!$F$5:$F$7,업무일지!$AF925)=0,"진행상태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"&amp;업무일지!$G926)</f>
        <v/>
      </c>
      <c r="D958" s="45">
        <f>IF(COUNT(업무일지!$B926:$AG926)+COUNTIF(업무일지!$B926:$AG926,"?*")=0,"",TRIM(IF(업무일지!$B926="","시작일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","")&amp;IF(AND(업무일지!$F926="",업무일지!$G926=""),"사건번호·업무명 모두 없음; ","")&amp;IF(업무일지!$I926="","담당자 없음; ","")&amp;IF(COUNTIF(코드설정!$F$5:$F$7,업무일지!$AF926)=0,"진행상태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"&amp;업무일지!$G927)</f>
        <v/>
      </c>
      <c r="D959" s="45">
        <f>IF(COUNT(업무일지!$B927:$AG927)+COUNTIF(업무일지!$B927:$AG927,"?*")=0,"",TRIM(IF(업무일지!$B927="","시작일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","")&amp;IF(AND(업무일지!$F927="",업무일지!$G927=""),"사건번호·업무명 모두 없음; ","")&amp;IF(업무일지!$I927="","담당자 없음; ","")&amp;IF(COUNTIF(코드설정!$F$5:$F$7,업무일지!$AF927)=0,"진행상태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"&amp;업무일지!$G928)</f>
        <v/>
      </c>
      <c r="D960" s="45">
        <f>IF(COUNT(업무일지!$B928:$AG928)+COUNTIF(업무일지!$B928:$AG928,"?*")=0,"",TRIM(IF(업무일지!$B928="","시작일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","")&amp;IF(AND(업무일지!$F928="",업무일지!$G928=""),"사건번호·업무명 모두 없음; ","")&amp;IF(업무일지!$I928="","담당자 없음; ","")&amp;IF(COUNTIF(코드설정!$F$5:$F$7,업무일지!$AF928)=0,"진행상태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"&amp;업무일지!$G929)</f>
        <v/>
      </c>
      <c r="D961" s="45">
        <f>IF(COUNT(업무일지!$B929:$AG929)+COUNTIF(업무일지!$B929:$AG929,"?*")=0,"",TRIM(IF(업무일지!$B929="","시작일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","")&amp;IF(AND(업무일지!$F929="",업무일지!$G929=""),"사건번호·업무명 모두 없음; ","")&amp;IF(업무일지!$I929="","담당자 없음; ","")&amp;IF(COUNTIF(코드설정!$F$5:$F$7,업무일지!$AF929)=0,"진행상태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"&amp;업무일지!$G930)</f>
        <v/>
      </c>
      <c r="D962" s="45">
        <f>IF(COUNT(업무일지!$B930:$AG930)+COUNTIF(업무일지!$B930:$AG930,"?*")=0,"",TRIM(IF(업무일지!$B930="","시작일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","")&amp;IF(AND(업무일지!$F930="",업무일지!$G930=""),"사건번호·업무명 모두 없음; ","")&amp;IF(업무일지!$I930="","담당자 없음; ","")&amp;IF(COUNTIF(코드설정!$F$5:$F$7,업무일지!$AF930)=0,"진행상태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"&amp;업무일지!$G931)</f>
        <v/>
      </c>
      <c r="D963" s="45">
        <f>IF(COUNT(업무일지!$B931:$AG931)+COUNTIF(업무일지!$B931:$AG931,"?*")=0,"",TRIM(IF(업무일지!$B931="","시작일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","")&amp;IF(AND(업무일지!$F931="",업무일지!$G931=""),"사건번호·업무명 모두 없음; ","")&amp;IF(업무일지!$I931="","담당자 없음; ","")&amp;IF(COUNTIF(코드설정!$F$5:$F$7,업무일지!$AF931)=0,"진행상태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"&amp;업무일지!$G932)</f>
        <v/>
      </c>
      <c r="D964" s="45">
        <f>IF(COUNT(업무일지!$B932:$AG932)+COUNTIF(업무일지!$B932:$AG932,"?*")=0,"",TRIM(IF(업무일지!$B932="","시작일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","")&amp;IF(AND(업무일지!$F932="",업무일지!$G932=""),"사건번호·업무명 모두 없음; ","")&amp;IF(업무일지!$I932="","담당자 없음; ","")&amp;IF(COUNTIF(코드설정!$F$5:$F$7,업무일지!$AF932)=0,"진행상태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"&amp;업무일지!$G933)</f>
        <v/>
      </c>
      <c r="D965" s="45">
        <f>IF(COUNT(업무일지!$B933:$AG933)+COUNTIF(업무일지!$B933:$AG933,"?*")=0,"",TRIM(IF(업무일지!$B933="","시작일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","")&amp;IF(AND(업무일지!$F933="",업무일지!$G933=""),"사건번호·업무명 모두 없음; ","")&amp;IF(업무일지!$I933="","담당자 없음; ","")&amp;IF(COUNTIF(코드설정!$F$5:$F$7,업무일지!$AF933)=0,"진행상태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"&amp;업무일지!$G934)</f>
        <v/>
      </c>
      <c r="D966" s="45">
        <f>IF(COUNT(업무일지!$B934:$AG934)+COUNTIF(업무일지!$B934:$AG934,"?*")=0,"",TRIM(IF(업무일지!$B934="","시작일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","")&amp;IF(AND(업무일지!$F934="",업무일지!$G934=""),"사건번호·업무명 모두 없음; ","")&amp;IF(업무일지!$I934="","담당자 없음; ","")&amp;IF(COUNTIF(코드설정!$F$5:$F$7,업무일지!$AF934)=0,"진행상태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"&amp;업무일지!$G935)</f>
        <v/>
      </c>
      <c r="D967" s="45">
        <f>IF(COUNT(업무일지!$B935:$AG935)+COUNTIF(업무일지!$B935:$AG935,"?*")=0,"",TRIM(IF(업무일지!$B935="","시작일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","")&amp;IF(AND(업무일지!$F935="",업무일지!$G935=""),"사건번호·업무명 모두 없음; ","")&amp;IF(업무일지!$I935="","담당자 없음; ","")&amp;IF(COUNTIF(코드설정!$F$5:$F$7,업무일지!$AF935)=0,"진행상태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"&amp;업무일지!$G936)</f>
        <v/>
      </c>
      <c r="D968" s="45">
        <f>IF(COUNT(업무일지!$B936:$AG936)+COUNTIF(업무일지!$B936:$AG936,"?*")=0,"",TRIM(IF(업무일지!$B936="","시작일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","")&amp;IF(AND(업무일지!$F936="",업무일지!$G936=""),"사건번호·업무명 모두 없음; ","")&amp;IF(업무일지!$I936="","담당자 없음; ","")&amp;IF(COUNTIF(코드설정!$F$5:$F$7,업무일지!$AF936)=0,"진행상태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"&amp;업무일지!$G937)</f>
        <v/>
      </c>
      <c r="D969" s="45">
        <f>IF(COUNT(업무일지!$B937:$AG937)+COUNTIF(업무일지!$B937:$AG937,"?*")=0,"",TRIM(IF(업무일지!$B937="","시작일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","")&amp;IF(AND(업무일지!$F937="",업무일지!$G937=""),"사건번호·업무명 모두 없음; ","")&amp;IF(업무일지!$I937="","담당자 없음; ","")&amp;IF(COUNTIF(코드설정!$F$5:$F$7,업무일지!$AF937)=0,"진행상태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"&amp;업무일지!$G938)</f>
        <v/>
      </c>
      <c r="D970" s="45">
        <f>IF(COUNT(업무일지!$B938:$AG938)+COUNTIF(업무일지!$B938:$AG938,"?*")=0,"",TRIM(IF(업무일지!$B938="","시작일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","")&amp;IF(AND(업무일지!$F938="",업무일지!$G938=""),"사건번호·업무명 모두 없음; ","")&amp;IF(업무일지!$I938="","담당자 없음; ","")&amp;IF(COUNTIF(코드설정!$F$5:$F$7,업무일지!$AF938)=0,"진행상태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"&amp;업무일지!$G939)</f>
        <v/>
      </c>
      <c r="D971" s="45">
        <f>IF(COUNT(업무일지!$B939:$AG939)+COUNTIF(업무일지!$B939:$AG939,"?*")=0,"",TRIM(IF(업무일지!$B939="","시작일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","")&amp;IF(AND(업무일지!$F939="",업무일지!$G939=""),"사건번호·업무명 모두 없음; ","")&amp;IF(업무일지!$I939="","담당자 없음; ","")&amp;IF(COUNTIF(코드설정!$F$5:$F$7,업무일지!$AF939)=0,"진행상태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"&amp;업무일지!$G940)</f>
        <v/>
      </c>
      <c r="D972" s="45">
        <f>IF(COUNT(업무일지!$B940:$AG940)+COUNTIF(업무일지!$B940:$AG940,"?*")=0,"",TRIM(IF(업무일지!$B940="","시작일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","")&amp;IF(AND(업무일지!$F940="",업무일지!$G940=""),"사건번호·업무명 모두 없음; ","")&amp;IF(업무일지!$I940="","담당자 없음; ","")&amp;IF(COUNTIF(코드설정!$F$5:$F$7,업무일지!$AF940)=0,"진행상태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"&amp;업무일지!$G941)</f>
        <v/>
      </c>
      <c r="D973" s="45">
        <f>IF(COUNT(업무일지!$B941:$AG941)+COUNTIF(업무일지!$B941:$AG941,"?*")=0,"",TRIM(IF(업무일지!$B941="","시작일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","")&amp;IF(AND(업무일지!$F941="",업무일지!$G941=""),"사건번호·업무명 모두 없음; ","")&amp;IF(업무일지!$I941="","담당자 없음; ","")&amp;IF(COUNTIF(코드설정!$F$5:$F$7,업무일지!$AF941)=0,"진행상태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"&amp;업무일지!$G942)</f>
        <v/>
      </c>
      <c r="D974" s="45">
        <f>IF(COUNT(업무일지!$B942:$AG942)+COUNTIF(업무일지!$B942:$AG942,"?*")=0,"",TRIM(IF(업무일지!$B942="","시작일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","")&amp;IF(AND(업무일지!$F942="",업무일지!$G942=""),"사건번호·업무명 모두 없음; ","")&amp;IF(업무일지!$I942="","담당자 없음; ","")&amp;IF(COUNTIF(코드설정!$F$5:$F$7,업무일지!$AF942)=0,"진행상태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"&amp;업무일지!$G943)</f>
        <v/>
      </c>
      <c r="D975" s="45">
        <f>IF(COUNT(업무일지!$B943:$AG943)+COUNTIF(업무일지!$B943:$AG943,"?*")=0,"",TRIM(IF(업무일지!$B943="","시작일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","")&amp;IF(AND(업무일지!$F943="",업무일지!$G943=""),"사건번호·업무명 모두 없음; ","")&amp;IF(업무일지!$I943="","담당자 없음; ","")&amp;IF(COUNTIF(코드설정!$F$5:$F$7,업무일지!$AF943)=0,"진행상태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"&amp;업무일지!$G944)</f>
        <v/>
      </c>
      <c r="D976" s="45">
        <f>IF(COUNT(업무일지!$B944:$AG944)+COUNTIF(업무일지!$B944:$AG944,"?*")=0,"",TRIM(IF(업무일지!$B944="","시작일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","")&amp;IF(AND(업무일지!$F944="",업무일지!$G944=""),"사건번호·업무명 모두 없음; ","")&amp;IF(업무일지!$I944="","담당자 없음; ","")&amp;IF(COUNTIF(코드설정!$F$5:$F$7,업무일지!$AF944)=0,"진행상태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"&amp;업무일지!$G945)</f>
        <v/>
      </c>
      <c r="D977" s="45">
        <f>IF(COUNT(업무일지!$B945:$AG945)+COUNTIF(업무일지!$B945:$AG945,"?*")=0,"",TRIM(IF(업무일지!$B945="","시작일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","")&amp;IF(AND(업무일지!$F945="",업무일지!$G945=""),"사건번호·업무명 모두 없음; ","")&amp;IF(업무일지!$I945="","담당자 없음; ","")&amp;IF(COUNTIF(코드설정!$F$5:$F$7,업무일지!$AF945)=0,"진행상태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"&amp;업무일지!$G946)</f>
        <v/>
      </c>
      <c r="D978" s="45">
        <f>IF(COUNT(업무일지!$B946:$AG946)+COUNTIF(업무일지!$B946:$AG946,"?*")=0,"",TRIM(IF(업무일지!$B946="","시작일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","")&amp;IF(AND(업무일지!$F946="",업무일지!$G946=""),"사건번호·업무명 모두 없음; ","")&amp;IF(업무일지!$I946="","담당자 없음; ","")&amp;IF(COUNTIF(코드설정!$F$5:$F$7,업무일지!$AF946)=0,"진행상태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"&amp;업무일지!$G947)</f>
        <v/>
      </c>
      <c r="D979" s="45">
        <f>IF(COUNT(업무일지!$B947:$AG947)+COUNTIF(업무일지!$B947:$AG947,"?*")=0,"",TRIM(IF(업무일지!$B947="","시작일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","")&amp;IF(AND(업무일지!$F947="",업무일지!$G947=""),"사건번호·업무명 모두 없음; ","")&amp;IF(업무일지!$I947="","담당자 없음; ","")&amp;IF(COUNTIF(코드설정!$F$5:$F$7,업무일지!$AF947)=0,"진행상태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"&amp;업무일지!$G948)</f>
        <v/>
      </c>
      <c r="D980" s="45">
        <f>IF(COUNT(업무일지!$B948:$AG948)+COUNTIF(업무일지!$B948:$AG948,"?*")=0,"",TRIM(IF(업무일지!$B948="","시작일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","")&amp;IF(AND(업무일지!$F948="",업무일지!$G948=""),"사건번호·업무명 모두 없음; ","")&amp;IF(업무일지!$I948="","담당자 없음; ","")&amp;IF(COUNTIF(코드설정!$F$5:$F$7,업무일지!$AF948)=0,"진행상태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"&amp;업무일지!$G949)</f>
        <v/>
      </c>
      <c r="D981" s="45">
        <f>IF(COUNT(업무일지!$B949:$AG949)+COUNTIF(업무일지!$B949:$AG949,"?*")=0,"",TRIM(IF(업무일지!$B949="","시작일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","")&amp;IF(AND(업무일지!$F949="",업무일지!$G949=""),"사건번호·업무명 모두 없음; ","")&amp;IF(업무일지!$I949="","담당자 없음; ","")&amp;IF(COUNTIF(코드설정!$F$5:$F$7,업무일지!$AF949)=0,"진행상태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"&amp;업무일지!$G950)</f>
        <v/>
      </c>
      <c r="D982" s="45">
        <f>IF(COUNT(업무일지!$B950:$AG950)+COUNTIF(업무일지!$B950:$AG950,"?*")=0,"",TRIM(IF(업무일지!$B950="","시작일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","")&amp;IF(AND(업무일지!$F950="",업무일지!$G950=""),"사건번호·업무명 모두 없음; ","")&amp;IF(업무일지!$I950="","담당자 없음; ","")&amp;IF(COUNTIF(코드설정!$F$5:$F$7,업무일지!$AF950)=0,"진행상태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"&amp;업무일지!$G951)</f>
        <v/>
      </c>
      <c r="D983" s="45">
        <f>IF(COUNT(업무일지!$B951:$AG951)+COUNTIF(업무일지!$B951:$AG951,"?*")=0,"",TRIM(IF(업무일지!$B951="","시작일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","")&amp;IF(AND(업무일지!$F951="",업무일지!$G951=""),"사건번호·업무명 모두 없음; ","")&amp;IF(업무일지!$I951="","담당자 없음; ","")&amp;IF(COUNTIF(코드설정!$F$5:$F$7,업무일지!$AF951)=0,"진행상태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"&amp;업무일지!$G952)</f>
        <v/>
      </c>
      <c r="D984" s="45">
        <f>IF(COUNT(업무일지!$B952:$AG952)+COUNTIF(업무일지!$B952:$AG952,"?*")=0,"",TRIM(IF(업무일지!$B952="","시작일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","")&amp;IF(AND(업무일지!$F952="",업무일지!$G952=""),"사건번호·업무명 모두 없음; ","")&amp;IF(업무일지!$I952="","담당자 없음; ","")&amp;IF(COUNTIF(코드설정!$F$5:$F$7,업무일지!$AF952)=0,"진행상태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"&amp;업무일지!$G953)</f>
        <v/>
      </c>
      <c r="D985" s="45">
        <f>IF(COUNT(업무일지!$B953:$AG953)+COUNTIF(업무일지!$B953:$AG953,"?*")=0,"",TRIM(IF(업무일지!$B953="","시작일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","")&amp;IF(AND(업무일지!$F953="",업무일지!$G953=""),"사건번호·업무명 모두 없음; ","")&amp;IF(업무일지!$I953="","담당자 없음; ","")&amp;IF(COUNTIF(코드설정!$F$5:$F$7,업무일지!$AF953)=0,"진행상태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"&amp;업무일지!$G954)</f>
        <v/>
      </c>
      <c r="D986" s="45">
        <f>IF(COUNT(업무일지!$B954:$AG954)+COUNTIF(업무일지!$B954:$AG954,"?*")=0,"",TRIM(IF(업무일지!$B954="","시작일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","")&amp;IF(AND(업무일지!$F954="",업무일지!$G954=""),"사건번호·업무명 모두 없음; ","")&amp;IF(업무일지!$I954="","담당자 없음; ","")&amp;IF(COUNTIF(코드설정!$F$5:$F$7,업무일지!$AF954)=0,"진행상태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"&amp;업무일지!$G955)</f>
        <v/>
      </c>
      <c r="D987" s="45">
        <f>IF(COUNT(업무일지!$B955:$AG955)+COUNTIF(업무일지!$B955:$AG955,"?*")=0,"",TRIM(IF(업무일지!$B955="","시작일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","")&amp;IF(AND(업무일지!$F955="",업무일지!$G955=""),"사건번호·업무명 모두 없음; ","")&amp;IF(업무일지!$I955="","담당자 없음; ","")&amp;IF(COUNTIF(코드설정!$F$5:$F$7,업무일지!$AF955)=0,"진행상태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"&amp;업무일지!$G956)</f>
        <v/>
      </c>
      <c r="D988" s="45">
        <f>IF(COUNT(업무일지!$B956:$AG956)+COUNTIF(업무일지!$B956:$AG956,"?*")=0,"",TRIM(IF(업무일지!$B956="","시작일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","")&amp;IF(AND(업무일지!$F956="",업무일지!$G956=""),"사건번호·업무명 모두 없음; ","")&amp;IF(업무일지!$I956="","담당자 없음; ","")&amp;IF(COUNTIF(코드설정!$F$5:$F$7,업무일지!$AF956)=0,"진행상태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"&amp;업무일지!$G957)</f>
        <v/>
      </c>
      <c r="D989" s="45">
        <f>IF(COUNT(업무일지!$B957:$AG957)+COUNTIF(업무일지!$B957:$AG957,"?*")=0,"",TRIM(IF(업무일지!$B957="","시작일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","")&amp;IF(AND(업무일지!$F957="",업무일지!$G957=""),"사건번호·업무명 모두 없음; ","")&amp;IF(업무일지!$I957="","담당자 없음; ","")&amp;IF(COUNTIF(코드설정!$F$5:$F$7,업무일지!$AF957)=0,"진행상태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"&amp;업무일지!$G958)</f>
        <v/>
      </c>
      <c r="D990" s="45">
        <f>IF(COUNT(업무일지!$B958:$AG958)+COUNTIF(업무일지!$B958:$AG958,"?*")=0,"",TRIM(IF(업무일지!$B958="","시작일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","")&amp;IF(AND(업무일지!$F958="",업무일지!$G958=""),"사건번호·업무명 모두 없음; ","")&amp;IF(업무일지!$I958="","담당자 없음; ","")&amp;IF(COUNTIF(코드설정!$F$5:$F$7,업무일지!$AF958)=0,"진행상태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"&amp;업무일지!$G959)</f>
        <v/>
      </c>
      <c r="D991" s="45">
        <f>IF(COUNT(업무일지!$B959:$AG959)+COUNTIF(업무일지!$B959:$AG959,"?*")=0,"",TRIM(IF(업무일지!$B959="","시작일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","")&amp;IF(AND(업무일지!$F959="",업무일지!$G959=""),"사건번호·업무명 모두 없음; ","")&amp;IF(업무일지!$I959="","담당자 없음; ","")&amp;IF(COUNTIF(코드설정!$F$5:$F$7,업무일지!$AF959)=0,"진행상태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"&amp;업무일지!$G960)</f>
        <v/>
      </c>
      <c r="D992" s="45">
        <f>IF(COUNT(업무일지!$B960:$AG960)+COUNTIF(업무일지!$B960:$AG960,"?*")=0,"",TRIM(IF(업무일지!$B960="","시작일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","")&amp;IF(AND(업무일지!$F960="",업무일지!$G960=""),"사건번호·업무명 모두 없음; ","")&amp;IF(업무일지!$I960="","담당자 없음; ","")&amp;IF(COUNTIF(코드설정!$F$5:$F$7,업무일지!$AF960)=0,"진행상태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"&amp;업무일지!$G961)</f>
        <v/>
      </c>
      <c r="D993" s="45">
        <f>IF(COUNT(업무일지!$B961:$AG961)+COUNTIF(업무일지!$B961:$AG961,"?*")=0,"",TRIM(IF(업무일지!$B961="","시작일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","")&amp;IF(AND(업무일지!$F961="",업무일지!$G961=""),"사건번호·업무명 모두 없음; ","")&amp;IF(업무일지!$I961="","담당자 없음; ","")&amp;IF(COUNTIF(코드설정!$F$5:$F$7,업무일지!$AF961)=0,"진행상태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"&amp;업무일지!$G962)</f>
        <v/>
      </c>
      <c r="D994" s="45">
        <f>IF(COUNT(업무일지!$B962:$AG962)+COUNTIF(업무일지!$B962:$AG962,"?*")=0,"",TRIM(IF(업무일지!$B962="","시작일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","")&amp;IF(AND(업무일지!$F962="",업무일지!$G962=""),"사건번호·업무명 모두 없음; ","")&amp;IF(업무일지!$I962="","담당자 없음; ","")&amp;IF(COUNTIF(코드설정!$F$5:$F$7,업무일지!$AF962)=0,"진행상태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"&amp;업무일지!$G963)</f>
        <v/>
      </c>
      <c r="D995" s="45">
        <f>IF(COUNT(업무일지!$B963:$AG963)+COUNTIF(업무일지!$B963:$AG963,"?*")=0,"",TRIM(IF(업무일지!$B963="","시작일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","")&amp;IF(AND(업무일지!$F963="",업무일지!$G963=""),"사건번호·업무명 모두 없음; ","")&amp;IF(업무일지!$I963="","담당자 없음; ","")&amp;IF(COUNTIF(코드설정!$F$5:$F$7,업무일지!$AF963)=0,"진행상태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"&amp;업무일지!$G964)</f>
        <v/>
      </c>
      <c r="D996" s="45">
        <f>IF(COUNT(업무일지!$B964:$AG964)+COUNTIF(업무일지!$B964:$AG964,"?*")=0,"",TRIM(IF(업무일지!$B964="","시작일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","")&amp;IF(AND(업무일지!$F964="",업무일지!$G964=""),"사건번호·업무명 모두 없음; ","")&amp;IF(업무일지!$I964="","담당자 없음; ","")&amp;IF(COUNTIF(코드설정!$F$5:$F$7,업무일지!$AF964)=0,"진행상태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"&amp;업무일지!$G965)</f>
        <v/>
      </c>
      <c r="D997" s="45">
        <f>IF(COUNT(업무일지!$B965:$AG965)+COUNTIF(업무일지!$B965:$AG965,"?*")=0,"",TRIM(IF(업무일지!$B965="","시작일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","")&amp;IF(AND(업무일지!$F965="",업무일지!$G965=""),"사건번호·업무명 모두 없음; ","")&amp;IF(업무일지!$I965="","담당자 없음; ","")&amp;IF(COUNTIF(코드설정!$F$5:$F$7,업무일지!$AF965)=0,"진행상태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"&amp;업무일지!$G966)</f>
        <v/>
      </c>
      <c r="D998" s="45">
        <f>IF(COUNT(업무일지!$B966:$AG966)+COUNTIF(업무일지!$B966:$AG966,"?*")=0,"",TRIM(IF(업무일지!$B966="","시작일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","")&amp;IF(AND(업무일지!$F966="",업무일지!$G966=""),"사건번호·업무명 모두 없음; ","")&amp;IF(업무일지!$I966="","담당자 없음; ","")&amp;IF(COUNTIF(코드설정!$F$5:$F$7,업무일지!$AF966)=0,"진행상태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"&amp;업무일지!$G967)</f>
        <v/>
      </c>
      <c r="D999" s="45">
        <f>IF(COUNT(업무일지!$B967:$AG967)+COUNTIF(업무일지!$B967:$AG967,"?*")=0,"",TRIM(IF(업무일지!$B967="","시작일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","")&amp;IF(AND(업무일지!$F967="",업무일지!$G967=""),"사건번호·업무명 모두 없음; ","")&amp;IF(업무일지!$I967="","담당자 없음; ","")&amp;IF(COUNTIF(코드설정!$F$5:$F$7,업무일지!$AF967)=0,"진행상태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"&amp;업무일지!$G968)</f>
        <v/>
      </c>
      <c r="D1000" s="45">
        <f>IF(COUNT(업무일지!$B968:$AG968)+COUNTIF(업무일지!$B968:$AG968,"?*")=0,"",TRIM(IF(업무일지!$B968="","시작일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","")&amp;IF(AND(업무일지!$F968="",업무일지!$G968=""),"사건번호·업무명 모두 없음; ","")&amp;IF(업무일지!$I968="","담당자 없음; ","")&amp;IF(COUNTIF(코드설정!$F$5:$F$7,업무일지!$AF968)=0,"진행상태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"&amp;업무일지!$G969)</f>
        <v/>
      </c>
      <c r="D1001" s="45">
        <f>IF(COUNT(업무일지!$B969:$AG969)+COUNTIF(업무일지!$B969:$AG969,"?*")=0,"",TRIM(IF(업무일지!$B969="","시작일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","")&amp;IF(AND(업무일지!$F969="",업무일지!$G969=""),"사건번호·업무명 모두 없음; ","")&amp;IF(업무일지!$I969="","담당자 없음; ","")&amp;IF(COUNTIF(코드설정!$F$5:$F$7,업무일지!$AF969)=0,"진행상태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"&amp;업무일지!$G970)</f>
        <v/>
      </c>
      <c r="D1002" s="45">
        <f>IF(COUNT(업무일지!$B970:$AG970)+COUNTIF(업무일지!$B970:$AG970,"?*")=0,"",TRIM(IF(업무일지!$B970="","시작일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","")&amp;IF(AND(업무일지!$F970="",업무일지!$G970=""),"사건번호·업무명 모두 없음; ","")&amp;IF(업무일지!$I970="","담당자 없음; ","")&amp;IF(COUNTIF(코드설정!$F$5:$F$7,업무일지!$AF970)=0,"진행상태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"&amp;업무일지!$G971)</f>
        <v/>
      </c>
      <c r="D1003" s="45">
        <f>IF(COUNT(업무일지!$B971:$AG971)+COUNTIF(업무일지!$B971:$AG971,"?*")=0,"",TRIM(IF(업무일지!$B971="","시작일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","")&amp;IF(AND(업무일지!$F971="",업무일지!$G971=""),"사건번호·업무명 모두 없음; ","")&amp;IF(업무일지!$I971="","담당자 없음; ","")&amp;IF(COUNTIF(코드설정!$F$5:$F$7,업무일지!$AF971)=0,"진행상태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"&amp;업무일지!$G972)</f>
        <v/>
      </c>
      <c r="D1004" s="45">
        <f>IF(COUNT(업무일지!$B972:$AG972)+COUNTIF(업무일지!$B972:$AG972,"?*")=0,"",TRIM(IF(업무일지!$B972="","시작일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","")&amp;IF(AND(업무일지!$F972="",업무일지!$G972=""),"사건번호·업무명 모두 없음; ","")&amp;IF(업무일지!$I972="","담당자 없음; ","")&amp;IF(COUNTIF(코드설정!$F$5:$F$7,업무일지!$AF972)=0,"진행상태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"&amp;업무일지!$G973)</f>
        <v/>
      </c>
      <c r="D1005" s="45">
        <f>IF(COUNT(업무일지!$B973:$AG973)+COUNTIF(업무일지!$B973:$AG973,"?*")=0,"",TRIM(IF(업무일지!$B973="","시작일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","")&amp;IF(AND(업무일지!$F973="",업무일지!$G973=""),"사건번호·업무명 모두 없음; ","")&amp;IF(업무일지!$I973="","담당자 없음; ","")&amp;IF(COUNTIF(코드설정!$F$5:$F$7,업무일지!$AF973)=0,"진행상태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"&amp;업무일지!$G974)</f>
        <v/>
      </c>
      <c r="D1006" s="45">
        <f>IF(COUNT(업무일지!$B974:$AG974)+COUNTIF(업무일지!$B974:$AG974,"?*")=0,"",TRIM(IF(업무일지!$B974="","시작일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","")&amp;IF(AND(업무일지!$F974="",업무일지!$G974=""),"사건번호·업무명 모두 없음; ","")&amp;IF(업무일지!$I974="","담당자 없음; ","")&amp;IF(COUNTIF(코드설정!$F$5:$F$7,업무일지!$AF974)=0,"진행상태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"&amp;업무일지!$G975)</f>
        <v/>
      </c>
      <c r="D1007" s="45">
        <f>IF(COUNT(업무일지!$B975:$AG975)+COUNTIF(업무일지!$B975:$AG975,"?*")=0,"",TRIM(IF(업무일지!$B975="","시작일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","")&amp;IF(AND(업무일지!$F975="",업무일지!$G975=""),"사건번호·업무명 모두 없음; ","")&amp;IF(업무일지!$I975="","담당자 없음; ","")&amp;IF(COUNTIF(코드설정!$F$5:$F$7,업무일지!$AF975)=0,"진행상태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"&amp;업무일지!$G976)</f>
        <v/>
      </c>
      <c r="D1008" s="45">
        <f>IF(COUNT(업무일지!$B976:$AG976)+COUNTIF(업무일지!$B976:$AG976,"?*")=0,"",TRIM(IF(업무일지!$B976="","시작일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","")&amp;IF(AND(업무일지!$F976="",업무일지!$G976=""),"사건번호·업무명 모두 없음; ","")&amp;IF(업무일지!$I976="","담당자 없음; ","")&amp;IF(COUNTIF(코드설정!$F$5:$F$7,업무일지!$AF976)=0,"진행상태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"&amp;업무일지!$G977)</f>
        <v/>
      </c>
      <c r="D1009" s="45">
        <f>IF(COUNT(업무일지!$B977:$AG977)+COUNTIF(업무일지!$B977:$AG977,"?*")=0,"",TRIM(IF(업무일지!$B977="","시작일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","")&amp;IF(AND(업무일지!$F977="",업무일지!$G977=""),"사건번호·업무명 모두 없음; ","")&amp;IF(업무일지!$I977="","담당자 없음; ","")&amp;IF(COUNTIF(코드설정!$F$5:$F$7,업무일지!$AF977)=0,"진행상태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"&amp;업무일지!$G978)</f>
        <v/>
      </c>
      <c r="D1010" s="45">
        <f>IF(COUNT(업무일지!$B978:$AG978)+COUNTIF(업무일지!$B978:$AG978,"?*")=0,"",TRIM(IF(업무일지!$B978="","시작일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","")&amp;IF(AND(업무일지!$F978="",업무일지!$G978=""),"사건번호·업무명 모두 없음; ","")&amp;IF(업무일지!$I978="","담당자 없음; ","")&amp;IF(COUNTIF(코드설정!$F$5:$F$7,업무일지!$AF978)=0,"진행상태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"&amp;업무일지!$G979)</f>
        <v/>
      </c>
      <c r="D1011" s="45">
        <f>IF(COUNT(업무일지!$B979:$AG979)+COUNTIF(업무일지!$B979:$AG979,"?*")=0,"",TRIM(IF(업무일지!$B979="","시작일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","")&amp;IF(AND(업무일지!$F979="",업무일지!$G979=""),"사건번호·업무명 모두 없음; ","")&amp;IF(업무일지!$I979="","담당자 없음; ","")&amp;IF(COUNTIF(코드설정!$F$5:$F$7,업무일지!$AF979)=0,"진행상태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"&amp;업무일지!$G980)</f>
        <v/>
      </c>
      <c r="D1012" s="45">
        <f>IF(COUNT(업무일지!$B980:$AG980)+COUNTIF(업무일지!$B980:$AG980,"?*")=0,"",TRIM(IF(업무일지!$B980="","시작일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","")&amp;IF(AND(업무일지!$F980="",업무일지!$G980=""),"사건번호·업무명 모두 없음; ","")&amp;IF(업무일지!$I980="","담당자 없음; ","")&amp;IF(COUNTIF(코드설정!$F$5:$F$7,업무일지!$AF980)=0,"진행상태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"&amp;업무일지!$G981)</f>
        <v/>
      </c>
      <c r="D1013" s="45">
        <f>IF(COUNT(업무일지!$B981:$AG981)+COUNTIF(업무일지!$B981:$AG981,"?*")=0,"",TRIM(IF(업무일지!$B981="","시작일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","")&amp;IF(AND(업무일지!$F981="",업무일지!$G981=""),"사건번호·업무명 모두 없음; ","")&amp;IF(업무일지!$I981="","담당자 없음; ","")&amp;IF(COUNTIF(코드설정!$F$5:$F$7,업무일지!$AF981)=0,"진행상태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"&amp;업무일지!$G982)</f>
        <v/>
      </c>
      <c r="D1014" s="45">
        <f>IF(COUNT(업무일지!$B982:$AG982)+COUNTIF(업무일지!$B982:$AG982,"?*")=0,"",TRIM(IF(업무일지!$B982="","시작일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","")&amp;IF(AND(업무일지!$F982="",업무일지!$G982=""),"사건번호·업무명 모두 없음; ","")&amp;IF(업무일지!$I982="","담당자 없음; ","")&amp;IF(COUNTIF(코드설정!$F$5:$F$7,업무일지!$AF982)=0,"진행상태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"&amp;업무일지!$G983)</f>
        <v/>
      </c>
      <c r="D1015" s="45">
        <f>IF(COUNT(업무일지!$B983:$AG983)+COUNTIF(업무일지!$B983:$AG983,"?*")=0,"",TRIM(IF(업무일지!$B983="","시작일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","")&amp;IF(AND(업무일지!$F983="",업무일지!$G983=""),"사건번호·업무명 모두 없음; ","")&amp;IF(업무일지!$I983="","담당자 없음; ","")&amp;IF(COUNTIF(코드설정!$F$5:$F$7,업무일지!$AF983)=0,"진행상태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"&amp;업무일지!$G984)</f>
        <v/>
      </c>
      <c r="D1016" s="45">
        <f>IF(COUNT(업무일지!$B984:$AG984)+COUNTIF(업무일지!$B984:$AG984,"?*")=0,"",TRIM(IF(업무일지!$B984="","시작일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","")&amp;IF(AND(업무일지!$F984="",업무일지!$G984=""),"사건번호·업무명 모두 없음; ","")&amp;IF(업무일지!$I984="","담당자 없음; ","")&amp;IF(COUNTIF(코드설정!$F$5:$F$7,업무일지!$AF984)=0,"진행상태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"&amp;업무일지!$G985)</f>
        <v/>
      </c>
      <c r="D1017" s="45">
        <f>IF(COUNT(업무일지!$B985:$AG985)+COUNTIF(업무일지!$B985:$AG985,"?*")=0,"",TRIM(IF(업무일지!$B985="","시작일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","")&amp;IF(AND(업무일지!$F985="",업무일지!$G985=""),"사건번호·업무명 모두 없음; ","")&amp;IF(업무일지!$I985="","담당자 없음; ","")&amp;IF(COUNTIF(코드설정!$F$5:$F$7,업무일지!$AF985)=0,"진행상태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"&amp;업무일지!$G986)</f>
        <v/>
      </c>
      <c r="D1018" s="45">
        <f>IF(COUNT(업무일지!$B986:$AG986)+COUNTIF(업무일지!$B986:$AG986,"?*")=0,"",TRIM(IF(업무일지!$B986="","시작일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","")&amp;IF(AND(업무일지!$F986="",업무일지!$G986=""),"사건번호·업무명 모두 없음; ","")&amp;IF(업무일지!$I986="","담당자 없음; ","")&amp;IF(COUNTIF(코드설정!$F$5:$F$7,업무일지!$AF986)=0,"진행상태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"&amp;업무일지!$G987)</f>
        <v/>
      </c>
      <c r="D1019" s="45">
        <f>IF(COUNT(업무일지!$B987:$AG987)+COUNTIF(업무일지!$B987:$AG987,"?*")=0,"",TRIM(IF(업무일지!$B987="","시작일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","")&amp;IF(AND(업무일지!$F987="",업무일지!$G987=""),"사건번호·업무명 모두 없음; ","")&amp;IF(업무일지!$I987="","담당자 없음; ","")&amp;IF(COUNTIF(코드설정!$F$5:$F$7,업무일지!$AF987)=0,"진행상태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"&amp;업무일지!$G988)</f>
        <v/>
      </c>
      <c r="D1020" s="45">
        <f>IF(COUNT(업무일지!$B988:$AG988)+COUNTIF(업무일지!$B988:$AG988,"?*")=0,"",TRIM(IF(업무일지!$B988="","시작일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","")&amp;IF(AND(업무일지!$F988="",업무일지!$G988=""),"사건번호·업무명 모두 없음; ","")&amp;IF(업무일지!$I988="","담당자 없음; ","")&amp;IF(COUNTIF(코드설정!$F$5:$F$7,업무일지!$AF988)=0,"진행상태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"&amp;업무일지!$G989)</f>
        <v/>
      </c>
      <c r="D1021" s="45">
        <f>IF(COUNT(업무일지!$B989:$AG989)+COUNTIF(업무일지!$B989:$AG989,"?*")=0,"",TRIM(IF(업무일지!$B989="","시작일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","")&amp;IF(AND(업무일지!$F989="",업무일지!$G989=""),"사건번호·업무명 모두 없음; ","")&amp;IF(업무일지!$I989="","담당자 없음; ","")&amp;IF(COUNTIF(코드설정!$F$5:$F$7,업무일지!$AF989)=0,"진행상태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"&amp;업무일지!$G990)</f>
        <v/>
      </c>
      <c r="D1022" s="45">
        <f>IF(COUNT(업무일지!$B990:$AG990)+COUNTIF(업무일지!$B990:$AG990,"?*")=0,"",TRIM(IF(업무일지!$B990="","시작일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","")&amp;IF(AND(업무일지!$F990="",업무일지!$G990=""),"사건번호·업무명 모두 없음; ","")&amp;IF(업무일지!$I990="","담당자 없음; ","")&amp;IF(COUNTIF(코드설정!$F$5:$F$7,업무일지!$AF990)=0,"진행상태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"&amp;업무일지!$G991)</f>
        <v/>
      </c>
      <c r="D1023" s="45">
        <f>IF(COUNT(업무일지!$B991:$AG991)+COUNTIF(업무일지!$B991:$AG991,"?*")=0,"",TRIM(IF(업무일지!$B991="","시작일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","")&amp;IF(AND(업무일지!$F991="",업무일지!$G991=""),"사건번호·업무명 모두 없음; ","")&amp;IF(업무일지!$I991="","담당자 없음; ","")&amp;IF(COUNTIF(코드설정!$F$5:$F$7,업무일지!$AF991)=0,"진행상태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"&amp;업무일지!$G992)</f>
        <v/>
      </c>
      <c r="D1024" s="45">
        <f>IF(COUNT(업무일지!$B992:$AG992)+COUNTIF(업무일지!$B992:$AG992,"?*")=0,"",TRIM(IF(업무일지!$B992="","시작일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","")&amp;IF(AND(업무일지!$F992="",업무일지!$G992=""),"사건번호·업무명 모두 없음; ","")&amp;IF(업무일지!$I992="","담당자 없음; ","")&amp;IF(COUNTIF(코드설정!$F$5:$F$7,업무일지!$AF992)=0,"진행상태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"&amp;업무일지!$G993)</f>
        <v/>
      </c>
      <c r="D1025" s="45">
        <f>IF(COUNT(업무일지!$B993:$AG993)+COUNTIF(업무일지!$B993:$AG993,"?*")=0,"",TRIM(IF(업무일지!$B993="","시작일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","")&amp;IF(AND(업무일지!$F993="",업무일지!$G993=""),"사건번호·업무명 모두 없음; ","")&amp;IF(업무일지!$I993="","담당자 없음; ","")&amp;IF(COUNTIF(코드설정!$F$5:$F$7,업무일지!$AF993)=0,"진행상태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"&amp;업무일지!$G994)</f>
        <v/>
      </c>
      <c r="D1026" s="45">
        <f>IF(COUNT(업무일지!$B994:$AG994)+COUNTIF(업무일지!$B994:$AG994,"?*")=0,"",TRIM(IF(업무일지!$B994="","시작일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","")&amp;IF(AND(업무일지!$F994="",업무일지!$G994=""),"사건번호·업무명 모두 없음; ","")&amp;IF(업무일지!$I994="","담당자 없음; ","")&amp;IF(COUNTIF(코드설정!$F$5:$F$7,업무일지!$AF994)=0,"진행상태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"&amp;업무일지!$G995)</f>
        <v/>
      </c>
      <c r="D1027" s="45">
        <f>IF(COUNT(업무일지!$B995:$AG995)+COUNTIF(업무일지!$B995:$AG995,"?*")=0,"",TRIM(IF(업무일지!$B995="","시작일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","")&amp;IF(AND(업무일지!$F995="",업무일지!$G995=""),"사건번호·업무명 모두 없음; ","")&amp;IF(업무일지!$I995="","담당자 없음; ","")&amp;IF(COUNTIF(코드설정!$F$5:$F$7,업무일지!$AF995)=0,"진행상태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"&amp;업무일지!$G996)</f>
        <v/>
      </c>
      <c r="D1028" s="45">
        <f>IF(COUNT(업무일지!$B996:$AG996)+COUNTIF(업무일지!$B996:$AG996,"?*")=0,"",TRIM(IF(업무일지!$B996="","시작일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","")&amp;IF(AND(업무일지!$F996="",업무일지!$G996=""),"사건번호·업무명 모두 없음; ","")&amp;IF(업무일지!$I996="","담당자 없음; ","")&amp;IF(COUNTIF(코드설정!$F$5:$F$7,업무일지!$AF996)=0,"진행상태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"&amp;업무일지!$G997)</f>
        <v/>
      </c>
      <c r="D1029" s="45">
        <f>IF(COUNT(업무일지!$B997:$AG997)+COUNTIF(업무일지!$B997:$AG997,"?*")=0,"",TRIM(IF(업무일지!$B997="","시작일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","")&amp;IF(AND(업무일지!$F997="",업무일지!$G997=""),"사건번호·업무명 모두 없음; ","")&amp;IF(업무일지!$I997="","담당자 없음; ","")&amp;IF(COUNTIF(코드설정!$F$5:$F$7,업무일지!$AF997)=0,"진행상태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"&amp;업무일지!$G998)</f>
        <v/>
      </c>
      <c r="D1030" s="45">
        <f>IF(COUNT(업무일지!$B998:$AG998)+COUNTIF(업무일지!$B998:$AG998,"?*")=0,"",TRIM(IF(업무일지!$B998="","시작일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","")&amp;IF(AND(업무일지!$F998="",업무일지!$G998=""),"사건번호·업무명 모두 없음; ","")&amp;IF(업무일지!$I998="","담당자 없음; ","")&amp;IF(COUNTIF(코드설정!$F$5:$F$7,업무일지!$AF998)=0,"진행상태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"&amp;업무일지!$G999)</f>
        <v/>
      </c>
      <c r="D1031" s="45">
        <f>IF(COUNT(업무일지!$B999:$AG999)+COUNTIF(업무일지!$B999:$AG999,"?*")=0,"",TRIM(IF(업무일지!$B999="","시작일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","")&amp;IF(AND(업무일지!$F999="",업무일지!$G999=""),"사건번호·업무명 모두 없음; ","")&amp;IF(업무일지!$I999="","담당자 없음; ","")&amp;IF(COUNTIF(코드설정!$F$5:$F$7,업무일지!$AF999)=0,"진행상태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"&amp;업무일지!$G1000)</f>
        <v/>
      </c>
      <c r="D1032" s="45">
        <f>IF(COUNT(업무일지!$B1000:$AG1000)+COUNTIF(업무일지!$B1000:$AG1000,"?*")=0,"",TRIM(IF(업무일지!$B1000="","시작일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","")&amp;IF(AND(업무일지!$F1000="",업무일지!$G1000=""),"사건번호·업무명 모두 없음; ","")&amp;IF(업무일지!$I1000="","담당자 없음; ","")&amp;IF(COUNTIF(코드설정!$F$5:$F$7,업무일지!$AF1000)=0,"진행상태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"&amp;업무일지!$G1001)</f>
        <v/>
      </c>
      <c r="D1033" s="45">
        <f>IF(COUNT(업무일지!$B1001:$AG1001)+COUNTIF(업무일지!$B1001:$AG1001,"?*")=0,"",TRIM(IF(업무일지!$B1001="","시작일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","")&amp;IF(AND(업무일지!$F1001="",업무일지!$G1001=""),"사건번호·업무명 모두 없음; ","")&amp;IF(업무일지!$I1001="","담당자 없음; ","")&amp;IF(COUNTIF(코드설정!$F$5:$F$7,업무일지!$AF1001)=0,"진행상태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"&amp;업무일지!$G1002)</f>
        <v/>
      </c>
      <c r="D1034" s="45">
        <f>IF(COUNT(업무일지!$B1002:$AG1002)+COUNTIF(업무일지!$B1002:$AG1002,"?*")=0,"",TRIM(IF(업무일지!$B1002="","시작일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","")&amp;IF(AND(업무일지!$F1002="",업무일지!$G1002=""),"사건번호·업무명 모두 없음; ","")&amp;IF(업무일지!$I1002="","담당자 없음; ","")&amp;IF(COUNTIF(코드설정!$F$5:$F$7,업무일지!$AF1002)=0,"진행상태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"&amp;업무일지!$G1003)</f>
        <v/>
      </c>
      <c r="D1035" s="45">
        <f>IF(COUNT(업무일지!$B1003:$AG1003)+COUNTIF(업무일지!$B1003:$AG1003,"?*")=0,"",TRIM(IF(업무일지!$B1003="","시작일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","")&amp;IF(AND(업무일지!$F1003="",업무일지!$G1003=""),"사건번호·업무명 모두 없음; ","")&amp;IF(업무일지!$I1003="","담당자 없음; ","")&amp;IF(COUNTIF(코드설정!$F$5:$F$7,업무일지!$AF1003)=0,"진행상태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"&amp;업무일지!$G1004)</f>
        <v/>
      </c>
      <c r="D1036" s="45">
        <f>IF(COUNT(업무일지!$B1004:$AG1004)+COUNTIF(업무일지!$B1004:$AG1004,"?*")=0,"",TRIM(IF(업무일지!$B1004="","시작일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","")&amp;IF(AND(업무일지!$F1004="",업무일지!$G1004=""),"사건번호·업무명 모두 없음; ","")&amp;IF(업무일지!$I1004="","담당자 없음; ","")&amp;IF(COUNTIF(코드설정!$F$5:$F$7,업무일지!$AF1004)=0,"진행상태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IF(COUNT(일일실시사항!$B5:$K5)+COUNTIF(일일실시사항!$B5:$K5,"?*")=0,"",TRIM(IF(일일실시사항!$B5="","일자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IF(COUNT(일일실시사항!$B6:$K6)+COUNTIF(일일실시사항!$B6:$K6,"?*")=0,"",TRIM(IF(일일실시사항!$B6="","일자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IF(COUNT(일일실시사항!$B7:$K7)+COUNTIF(일일실시사항!$B7:$K7,"?*")=0,"",TRIM(IF(일일실시사항!$B7="","일자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IF(COUNT(일일실시사항!$B8:$K8)+COUNTIF(일일실시사항!$B8:$K8,"?*")=0,"",TRIM(IF(일일실시사항!$B8="","일자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IF(COUNT(일일실시사항!$B9:$K9)+COUNTIF(일일실시사항!$B9:$K9,"?*")=0,"",TRIM(IF(일일실시사항!$B9="","일자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IF(COUNT(일일실시사항!$B10:$K10)+COUNTIF(일일실시사항!$B10:$K10,"?*")=0,"",TRIM(IF(일일실시사항!$B10="","일자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IF(COUNT(일일실시사항!$B11:$K11)+COUNTIF(일일실시사항!$B11:$K11,"?*")=0,"",TRIM(IF(일일실시사항!$B11="","일자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IF(COUNT(일일실시사항!$B12:$K12)+COUNTIF(일일실시사항!$B12:$K12,"?*")=0,"",TRIM(IF(일일실시사항!$B12="","일자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IF(COUNT(일일실시사항!$B13:$K13)+COUNTIF(일일실시사항!$B13:$K13,"?*")=0,"",TRIM(IF(일일실시사항!$B13="","일자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IF(COUNT(일일실시사항!$B14:$K14)+COUNTIF(일일실시사항!$B14:$K14,"?*")=0,"",TRIM(IF(일일실시사항!$B14="","일자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IF(COUNT(일일실시사항!$B15:$K15)+COUNTIF(일일실시사항!$B15:$K15,"?*")=0,"",TRIM(IF(일일실시사항!$B15="","일자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IF(COUNT(일일실시사항!$B16:$K16)+COUNTIF(일일실시사항!$B16:$K16,"?*")=0,"",TRIM(IF(일일실시사항!$B16="","일자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IF(COUNT(일일실시사항!$B17:$K17)+COUNTIF(일일실시사항!$B17:$K17,"?*")=0,"",TRIM(IF(일일실시사항!$B17="","일자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IF(COUNT(일일실시사항!$B18:$K18)+COUNTIF(일일실시사항!$B18:$K18,"?*")=0,"",TRIM(IF(일일실시사항!$B18="","일자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IF(COUNT(일일실시사항!$B19:$K19)+COUNTIF(일일실시사항!$B19:$K19,"?*")=0,"",TRIM(IF(일일실시사항!$B19="","일자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IF(COUNT(일일실시사항!$B20:$K20)+COUNTIF(일일실시사항!$B20:$K20,"?*")=0,"",TRIM(IF(일일실시사항!$B20="","일자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IF(COUNT(일일실시사항!$B21:$K21)+COUNTIF(일일실시사항!$B21:$K21,"?*")=0,"",TRIM(IF(일일실시사항!$B21="","일자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IF(COUNT(일일실시사항!$B22:$K22)+COUNTIF(일일실시사항!$B22:$K22,"?*")=0,"",TRIM(IF(일일실시사항!$B22="","일자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IF(COUNT(일일실시사항!$B23:$K23)+COUNTIF(일일실시사항!$B23:$K23,"?*")=0,"",TRIM(IF(일일실시사항!$B23="","일자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IF(COUNT(일일실시사항!$B24:$K24)+COUNTIF(일일실시사항!$B24:$K24,"?*")=0,"",TRIM(IF(일일실시사항!$B24="","일자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IF(COUNT(일일실시사항!$B25:$K25)+COUNTIF(일일실시사항!$B25:$K25,"?*")=0,"",TRIM(IF(일일실시사항!$B25="","일자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IF(COUNT(일일실시사항!$B26:$K26)+COUNTIF(일일실시사항!$B26:$K26,"?*")=0,"",TRIM(IF(일일실시사항!$B26="","일자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IF(COUNT(일일실시사항!$B27:$K27)+COUNTIF(일일실시사항!$B27:$K27,"?*")=0,"",TRIM(IF(일일실시사항!$B27="","일자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IF(COUNT(일일실시사항!$B28:$K28)+COUNTIF(일일실시사항!$B28:$K28,"?*")=0,"",TRIM(IF(일일실시사항!$B28="","일자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IF(COUNT(일일실시사항!$B29:$K29)+COUNTIF(일일실시사항!$B29:$K29,"?*")=0,"",TRIM(IF(일일실시사항!$B29="","일자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IF(COUNT(일일실시사항!$B30:$K30)+COUNTIF(일일실시사항!$B30:$K30,"?*")=0,"",TRIM(IF(일일실시사항!$B30="","일자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IF(COUNT(일일실시사항!$B31:$K31)+COUNTIF(일일실시사항!$B31:$K31,"?*")=0,"",TRIM(IF(일일실시사항!$B31="","일자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IF(COUNT(일일실시사항!$B32:$K32)+COUNTIF(일일실시사항!$B32:$K32,"?*")=0,"",TRIM(IF(일일실시사항!$B32="","일자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IF(COUNT(일일실시사항!$B33:$K33)+COUNTIF(일일실시사항!$B33:$K33,"?*")=0,"",TRIM(IF(일일실시사항!$B33="","일자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IF(COUNT(일일실시사항!$B34:$K34)+COUNTIF(일일실시사항!$B34:$K34,"?*")=0,"",TRIM(IF(일일실시사항!$B34="","일자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IF(COUNT(일일실시사항!$B35:$K35)+COUNTIF(일일실시사항!$B35:$K35,"?*")=0,"",TRIM(IF(일일실시사항!$B35="","일자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IF(COUNT(일일실시사항!$B36:$K36)+COUNTIF(일일실시사항!$B36:$K36,"?*")=0,"",TRIM(IF(일일실시사항!$B36="","일자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IF(COUNT(일일실시사항!$B37:$K37)+COUNTIF(일일실시사항!$B37:$K37,"?*")=0,"",TRIM(IF(일일실시사항!$B37="","일자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IF(COUNT(일일실시사항!$B38:$K38)+COUNTIF(일일실시사항!$B38:$K38,"?*")=0,"",TRIM(IF(일일실시사항!$B38="","일자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IF(COUNT(일일실시사항!$B39:$K39)+COUNTIF(일일실시사항!$B39:$K39,"?*")=0,"",TRIM(IF(일일실시사항!$B39="","일자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IF(COUNT(일일실시사항!$B40:$K40)+COUNTIF(일일실시사항!$B40:$K40,"?*")=0,"",TRIM(IF(일일실시사항!$B40="","일자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IF(COUNT(일일실시사항!$B41:$K41)+COUNTIF(일일실시사항!$B41:$K41,"?*")=0,"",TRIM(IF(일일실시사항!$B41="","일자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IF(COUNT(일일실시사항!$B42:$K42)+COUNTIF(일일실시사항!$B42:$K42,"?*")=0,"",TRIM(IF(일일실시사항!$B42="","일자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IF(COUNT(일일실시사항!$B43:$K43)+COUNTIF(일일실시사항!$B43:$K43,"?*")=0,"",TRIM(IF(일일실시사항!$B43="","일자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IF(COUNT(일일실시사항!$B44:$K44)+COUNTIF(일일실시사항!$B44:$K44,"?*")=0,"",TRIM(IF(일일실시사항!$B44="","일자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IF(COUNT(일일실시사항!$B45:$K45)+COUNTIF(일일실시사항!$B45:$K45,"?*")=0,"",TRIM(IF(일일실시사항!$B45="","일자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IF(COUNT(일일실시사항!$B46:$K46)+COUNTIF(일일실시사항!$B46:$K46,"?*")=0,"",TRIM(IF(일일실시사항!$B46="","일자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IF(COUNT(일일실시사항!$B47:$K47)+COUNTIF(일일실시사항!$B47:$K47,"?*")=0,"",TRIM(IF(일일실시사항!$B47="","일자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IF(COUNT(일일실시사항!$B48:$K48)+COUNTIF(일일실시사항!$B48:$K48,"?*")=0,"",TRIM(IF(일일실시사항!$B48="","일자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IF(COUNT(일일실시사항!$B49:$K49)+COUNTIF(일일실시사항!$B49:$K49,"?*")=0,"",TRIM(IF(일일실시사항!$B49="","일자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IF(COUNT(일일실시사항!$B50:$K50)+COUNTIF(일일실시사항!$B50:$K50,"?*")=0,"",TRIM(IF(일일실시사항!$B50="","일자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IF(COUNT(일일실시사항!$B51:$K51)+COUNTIF(일일실시사항!$B51:$K51,"?*")=0,"",TRIM(IF(일일실시사항!$B51="","일자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IF(COUNT(일일실시사항!$B52:$K52)+COUNTIF(일일실시사항!$B52:$K52,"?*")=0,"",TRIM(IF(일일실시사항!$B52="","일자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IF(COUNT(일일실시사항!$B53:$K53)+COUNTIF(일일실시사항!$B53:$K53,"?*")=0,"",TRIM(IF(일일실시사항!$B53="","일자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IF(COUNT(일일실시사항!$B54:$K54)+COUNTIF(일일실시사항!$B54:$K54,"?*")=0,"",TRIM(IF(일일실시사항!$B54="","일자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IF(COUNT(일일실시사항!$B55:$K55)+COUNTIF(일일실시사항!$B55:$K55,"?*")=0,"",TRIM(IF(일일실시사항!$B55="","일자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IF(COUNT(일일실시사항!$B56:$K56)+COUNTIF(일일실시사항!$B56:$K56,"?*")=0,"",TRIM(IF(일일실시사항!$B56="","일자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IF(COUNT(일일실시사항!$B57:$K57)+COUNTIF(일일실시사항!$B57:$K57,"?*")=0,"",TRIM(IF(일일실시사항!$B57="","일자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IF(COUNT(일일실시사항!$B58:$K58)+COUNTIF(일일실시사항!$B58:$K58,"?*")=0,"",TRIM(IF(일일실시사항!$B58="","일자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IF(COUNT(일일실시사항!$B59:$K59)+COUNTIF(일일실시사항!$B59:$K59,"?*")=0,"",TRIM(IF(일일실시사항!$B59="","일자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IF(COUNT(일일실시사항!$B60:$K60)+COUNTIF(일일실시사항!$B60:$K60,"?*")=0,"",TRIM(IF(일일실시사항!$B60="","일자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IF(COUNT(일일실시사항!$B61:$K61)+COUNTIF(일일실시사항!$B61:$K61,"?*")=0,"",TRIM(IF(일일실시사항!$B61="","일자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IF(COUNT(일일실시사항!$B62:$K62)+COUNTIF(일일실시사항!$B62:$K62,"?*")=0,"",TRIM(IF(일일실시사항!$B62="","일자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IF(COUNT(일일실시사항!$B63:$K63)+COUNTIF(일일실시사항!$B63:$K63,"?*")=0,"",TRIM(IF(일일실시사항!$B63="","일자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IF(COUNT(일일실시사항!$B64:$K64)+COUNTIF(일일실시사항!$B64:$K64,"?*")=0,"",TRIM(IF(일일실시사항!$B64="","일자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IF(COUNT(일일실시사항!$B65:$K65)+COUNTIF(일일실시사항!$B65:$K65,"?*")=0,"",TRIM(IF(일일실시사항!$B65="","일자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IF(COUNT(일일실시사항!$B66:$K66)+COUNTIF(일일실시사항!$B66:$K66,"?*")=0,"",TRIM(IF(일일실시사항!$B66="","일자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IF(COUNT(일일실시사항!$B67:$K67)+COUNTIF(일일실시사항!$B67:$K67,"?*")=0,"",TRIM(IF(일일실시사항!$B67="","일자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IF(COUNT(일일실시사항!$B68:$K68)+COUNTIF(일일실시사항!$B68:$K68,"?*")=0,"",TRIM(IF(일일실시사항!$B68="","일자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IF(COUNT(일일실시사항!$B69:$K69)+COUNTIF(일일실시사항!$B69:$K69,"?*")=0,"",TRIM(IF(일일실시사항!$B69="","일자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IF(COUNT(일일실시사항!$B70:$K70)+COUNTIF(일일실시사항!$B70:$K70,"?*")=0,"",TRIM(IF(일일실시사항!$B70="","일자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IF(COUNT(일일실시사항!$B71:$K71)+COUNTIF(일일실시사항!$B71:$K71,"?*")=0,"",TRIM(IF(일일실시사항!$B71="","일자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IF(COUNT(일일실시사항!$B72:$K72)+COUNTIF(일일실시사항!$B72:$K72,"?*")=0,"",TRIM(IF(일일실시사항!$B72="","일자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IF(COUNT(일일실시사항!$B73:$K73)+COUNTIF(일일실시사항!$B73:$K73,"?*")=0,"",TRIM(IF(일일실시사항!$B73="","일자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IF(COUNT(일일실시사항!$B74:$K74)+COUNTIF(일일실시사항!$B74:$K74,"?*")=0,"",TRIM(IF(일일실시사항!$B74="","일자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IF(COUNT(일일실시사항!$B75:$K75)+COUNTIF(일일실시사항!$B75:$K75,"?*")=0,"",TRIM(IF(일일실시사항!$B75="","일자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IF(COUNT(일일실시사항!$B76:$K76)+COUNTIF(일일실시사항!$B76:$K76,"?*")=0,"",TRIM(IF(일일실시사항!$B76="","일자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IF(COUNT(일일실시사항!$B77:$K77)+COUNTIF(일일실시사항!$B77:$K77,"?*")=0,"",TRIM(IF(일일실시사항!$B77="","일자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IF(COUNT(일일실시사항!$B78:$K78)+COUNTIF(일일실시사항!$B78:$K78,"?*")=0,"",TRIM(IF(일일실시사항!$B78="","일자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IF(COUNT(일일실시사항!$B79:$K79)+COUNTIF(일일실시사항!$B79:$K79,"?*")=0,"",TRIM(IF(일일실시사항!$B79="","일자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IF(COUNT(일일실시사항!$B80:$K80)+COUNTIF(일일실시사항!$B80:$K80,"?*")=0,"",TRIM(IF(일일실시사항!$B80="","일자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IF(COUNT(일일실시사항!$B81:$K81)+COUNTIF(일일실시사항!$B81:$K81,"?*")=0,"",TRIM(IF(일일실시사항!$B81="","일자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IF(COUNT(일일실시사항!$B82:$K82)+COUNTIF(일일실시사항!$B82:$K82,"?*")=0,"",TRIM(IF(일일실시사항!$B82="","일자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IF(COUNT(일일실시사항!$B83:$K83)+COUNTIF(일일실시사항!$B83:$K83,"?*")=0,"",TRIM(IF(일일실시사항!$B83="","일자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IF(COUNT(일일실시사항!$B84:$K84)+COUNTIF(일일실시사항!$B84:$K84,"?*")=0,"",TRIM(IF(일일실시사항!$B84="","일자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IF(COUNT(일일실시사항!$B85:$K85)+COUNTIF(일일실시사항!$B85:$K85,"?*")=0,"",TRIM(IF(일일실시사항!$B85="","일자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IF(COUNT(일일실시사항!$B86:$K86)+COUNTIF(일일실시사항!$B86:$K86,"?*")=0,"",TRIM(IF(일일실시사항!$B86="","일자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IF(COUNT(일일실시사항!$B87:$K87)+COUNTIF(일일실시사항!$B87:$K87,"?*")=0,"",TRIM(IF(일일실시사항!$B87="","일자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IF(COUNT(일일실시사항!$B88:$K88)+COUNTIF(일일실시사항!$B88:$K88,"?*")=0,"",TRIM(IF(일일실시사항!$B88="","일자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IF(COUNT(일일실시사항!$B89:$K89)+COUNTIF(일일실시사항!$B89:$K89,"?*")=0,"",TRIM(IF(일일실시사항!$B89="","일자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IF(COUNT(일일실시사항!$B90:$K90)+COUNTIF(일일실시사항!$B90:$K90,"?*")=0,"",TRIM(IF(일일실시사항!$B90="","일자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IF(COUNT(일일실시사항!$B91:$K91)+COUNTIF(일일실시사항!$B91:$K91,"?*")=0,"",TRIM(IF(일일실시사항!$B91="","일자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IF(COUNT(일일실시사항!$B92:$K92)+COUNTIF(일일실시사항!$B92:$K92,"?*")=0,"",TRIM(IF(일일실시사항!$B92="","일자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IF(COUNT(일일실시사항!$B93:$K93)+COUNTIF(일일실시사항!$B93:$K93,"?*")=0,"",TRIM(IF(일일실시사항!$B93="","일자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IF(COUNT(일일실시사항!$B94:$K94)+COUNTIF(일일실시사항!$B94:$K94,"?*")=0,"",TRIM(IF(일일실시사항!$B94="","일자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IF(COUNT(일일실시사항!$B95:$K95)+COUNTIF(일일실시사항!$B95:$K95,"?*")=0,"",TRIM(IF(일일실시사항!$B95="","일자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IF(COUNT(일일실시사항!$B96:$K96)+COUNTIF(일일실시사항!$B96:$K96,"?*")=0,"",TRIM(IF(일일실시사항!$B96="","일자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IF(COUNT(일일실시사항!$B97:$K97)+COUNTIF(일일실시사항!$B97:$K97,"?*")=0,"",TRIM(IF(일일실시사항!$B97="","일자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IF(COUNT(일일실시사항!$B98:$K98)+COUNTIF(일일실시사항!$B98:$K98,"?*")=0,"",TRIM(IF(일일실시사항!$B98="","일자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IF(COUNT(일일실시사항!$B99:$K99)+COUNTIF(일일실시사항!$B99:$K99,"?*")=0,"",TRIM(IF(일일실시사항!$B99="","일자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IF(COUNT(일일실시사항!$B100:$K100)+COUNTIF(일일실시사항!$B100:$K100,"?*")=0,"",TRIM(IF(일일실시사항!$B100="","일자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IF(COUNT(일일실시사항!$B101:$K101)+COUNTIF(일일실시사항!$B101:$K101,"?*")=0,"",TRIM(IF(일일실시사항!$B101="","일자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IF(COUNT(일일실시사항!$B102:$K102)+COUNTIF(일일실시사항!$B102:$K102,"?*")=0,"",TRIM(IF(일일실시사항!$B102="","일자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IF(COUNT(일일실시사항!$B103:$K103)+COUNTIF(일일실시사항!$B103:$K103,"?*")=0,"",TRIM(IF(일일실시사항!$B103="","일자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IF(COUNT(일일실시사항!$B104:$K104)+COUNTIF(일일실시사항!$B104:$K104,"?*")=0,"",TRIM(IF(일일실시사항!$B104="","일자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IF(COUNT(일일실시사항!$B105:$K105)+COUNTIF(일일실시사항!$B105:$K105,"?*")=0,"",TRIM(IF(일일실시사항!$B105="","일자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IF(COUNT(일일실시사항!$B106:$K106)+COUNTIF(일일실시사항!$B106:$K106,"?*")=0,"",TRIM(IF(일일실시사항!$B106="","일자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IF(COUNT(일일실시사항!$B107:$K107)+COUNTIF(일일실시사항!$B107:$K107,"?*")=0,"",TRIM(IF(일일실시사항!$B107="","일자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IF(COUNT(일일실시사항!$B108:$K108)+COUNTIF(일일실시사항!$B108:$K108,"?*")=0,"",TRIM(IF(일일실시사항!$B108="","일자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IF(COUNT(일일실시사항!$B109:$K109)+COUNTIF(일일실시사항!$B109:$K109,"?*")=0,"",TRIM(IF(일일실시사항!$B109="","일자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IF(COUNT(일일실시사항!$B110:$K110)+COUNTIF(일일실시사항!$B110:$K110,"?*")=0,"",TRIM(IF(일일실시사항!$B110="","일자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IF(COUNT(일일실시사항!$B111:$K111)+COUNTIF(일일실시사항!$B111:$K111,"?*")=0,"",TRIM(IF(일일실시사항!$B111="","일자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IF(COUNT(일일실시사항!$B112:$K112)+COUNTIF(일일실시사항!$B112:$K112,"?*")=0,"",TRIM(IF(일일실시사항!$B112="","일자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IF(COUNT(일일실시사항!$B113:$K113)+COUNTIF(일일실시사항!$B113:$K113,"?*")=0,"",TRIM(IF(일일실시사항!$B113="","일자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IF(COUNT(일일실시사항!$B114:$K114)+COUNTIF(일일실시사항!$B114:$K114,"?*")=0,"",TRIM(IF(일일실시사항!$B114="","일자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IF(COUNT(일일실시사항!$B115:$K115)+COUNTIF(일일실시사항!$B115:$K115,"?*")=0,"",TRIM(IF(일일실시사항!$B115="","일자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IF(COUNT(일일실시사항!$B116:$K116)+COUNTIF(일일실시사항!$B116:$K116,"?*")=0,"",TRIM(IF(일일실시사항!$B116="","일자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IF(COUNT(일일실시사항!$B117:$K117)+COUNTIF(일일실시사항!$B117:$K117,"?*")=0,"",TRIM(IF(일일실시사항!$B117="","일자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IF(COUNT(일일실시사항!$B118:$K118)+COUNTIF(일일실시사항!$B118:$K118,"?*")=0,"",TRIM(IF(일일실시사항!$B118="","일자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IF(COUNT(일일실시사항!$B119:$K119)+COUNTIF(일일실시사항!$B119:$K119,"?*")=0,"",TRIM(IF(일일실시사항!$B119="","일자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IF(COUNT(일일실시사항!$B120:$K120)+COUNTIF(일일실시사항!$B120:$K120,"?*")=0,"",TRIM(IF(일일실시사항!$B120="","일자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IF(COUNT(일일실시사항!$B121:$K121)+COUNTIF(일일실시사항!$B121:$K121,"?*")=0,"",TRIM(IF(일일실시사항!$B121="","일자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IF(COUNT(일일실시사항!$B122:$K122)+COUNTIF(일일실시사항!$B122:$K122,"?*")=0,"",TRIM(IF(일일실시사항!$B122="","일자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IF(COUNT(일일실시사항!$B123:$K123)+COUNTIF(일일실시사항!$B123:$K123,"?*")=0,"",TRIM(IF(일일실시사항!$B123="","일자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IF(COUNT(일일실시사항!$B124:$K124)+COUNTIF(일일실시사항!$B124:$K124,"?*")=0,"",TRIM(IF(일일실시사항!$B124="","일자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IF(COUNT(일일실시사항!$B125:$K125)+COUNTIF(일일실시사항!$B125:$K125,"?*")=0,"",TRIM(IF(일일실시사항!$B125="","일자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IF(COUNT(일일실시사항!$B126:$K126)+COUNTIF(일일실시사항!$B126:$K126,"?*")=0,"",TRIM(IF(일일실시사항!$B126="","일자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IF(COUNT(일일실시사항!$B127:$K127)+COUNTIF(일일실시사항!$B127:$K127,"?*")=0,"",TRIM(IF(일일실시사항!$B127="","일자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IF(COUNT(일일실시사항!$B128:$K128)+COUNTIF(일일실시사항!$B128:$K128,"?*")=0,"",TRIM(IF(일일실시사항!$B128="","일자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IF(COUNT(일일실시사항!$B129:$K129)+COUNTIF(일일실시사항!$B129:$K129,"?*")=0,"",TRIM(IF(일일실시사항!$B129="","일자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IF(COUNT(일일실시사항!$B130:$K130)+COUNTIF(일일실시사항!$B130:$K130,"?*")=0,"",TRIM(IF(일일실시사항!$B130="","일자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IF(COUNT(일일실시사항!$B131:$K131)+COUNTIF(일일실시사항!$B131:$K131,"?*")=0,"",TRIM(IF(일일실시사항!$B131="","일자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IF(COUNT(일일실시사항!$B132:$K132)+COUNTIF(일일실시사항!$B132:$K132,"?*")=0,"",TRIM(IF(일일실시사항!$B132="","일자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IF(COUNT(일일실시사항!$B133:$K133)+COUNTIF(일일실시사항!$B133:$K133,"?*")=0,"",TRIM(IF(일일실시사항!$B133="","일자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IF(COUNT(일일실시사항!$B134:$K134)+COUNTIF(일일실시사항!$B134:$K134,"?*")=0,"",TRIM(IF(일일실시사항!$B134="","일자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IF(COUNT(일일실시사항!$B135:$K135)+COUNTIF(일일실시사항!$B135:$K135,"?*")=0,"",TRIM(IF(일일실시사항!$B135="","일자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IF(COUNT(일일실시사항!$B136:$K136)+COUNTIF(일일실시사항!$B136:$K136,"?*")=0,"",TRIM(IF(일일실시사항!$B136="","일자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IF(COUNT(일일실시사항!$B137:$K137)+COUNTIF(일일실시사항!$B137:$K137,"?*")=0,"",TRIM(IF(일일실시사항!$B137="","일자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IF(COUNT(일일실시사항!$B138:$K138)+COUNTIF(일일실시사항!$B138:$K138,"?*")=0,"",TRIM(IF(일일실시사항!$B138="","일자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IF(COUNT(일일실시사항!$B139:$K139)+COUNTIF(일일실시사항!$B139:$K139,"?*")=0,"",TRIM(IF(일일실시사항!$B139="","일자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IF(COUNT(일일실시사항!$B140:$K140)+COUNTIF(일일실시사항!$B140:$K140,"?*")=0,"",TRIM(IF(일일실시사항!$B140="","일자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IF(COUNT(일일실시사항!$B141:$K141)+COUNTIF(일일실시사항!$B141:$K141,"?*")=0,"",TRIM(IF(일일실시사항!$B141="","일자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IF(COUNT(일일실시사항!$B142:$K142)+COUNTIF(일일실시사항!$B142:$K142,"?*")=0,"",TRIM(IF(일일실시사항!$B142="","일자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IF(COUNT(일일실시사항!$B143:$K143)+COUNTIF(일일실시사항!$B143:$K143,"?*")=0,"",TRIM(IF(일일실시사항!$B143="","일자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IF(COUNT(일일실시사항!$B144:$K144)+COUNTIF(일일실시사항!$B144:$K144,"?*")=0,"",TRIM(IF(일일실시사항!$B144="","일자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IF(COUNT(일일실시사항!$B145:$K145)+COUNTIF(일일실시사항!$B145:$K145,"?*")=0,"",TRIM(IF(일일실시사항!$B145="","일자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IF(COUNT(일일실시사항!$B146:$K146)+COUNTIF(일일실시사항!$B146:$K146,"?*")=0,"",TRIM(IF(일일실시사항!$B146="","일자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IF(COUNT(일일실시사항!$B147:$K147)+COUNTIF(일일실시사항!$B147:$K147,"?*")=0,"",TRIM(IF(일일실시사항!$B147="","일자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IF(COUNT(일일실시사항!$B148:$K148)+COUNTIF(일일실시사항!$B148:$K148,"?*")=0,"",TRIM(IF(일일실시사항!$B148="","일자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IF(COUNT(일일실시사항!$B149:$K149)+COUNTIF(일일실시사항!$B149:$K149,"?*")=0,"",TRIM(IF(일일실시사항!$B149="","일자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IF(COUNT(일일실시사항!$B150:$K150)+COUNTIF(일일실시사항!$B150:$K150,"?*")=0,"",TRIM(IF(일일실시사항!$B150="","일자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IF(COUNT(일일실시사항!$B151:$K151)+COUNTIF(일일실시사항!$B151:$K151,"?*")=0,"",TRIM(IF(일일실시사항!$B151="","일자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IF(COUNT(일일실시사항!$B152:$K152)+COUNTIF(일일실시사항!$B152:$K152,"?*")=0,"",TRIM(IF(일일실시사항!$B152="","일자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IF(COUNT(일일실시사항!$B153:$K153)+COUNTIF(일일실시사항!$B153:$K153,"?*")=0,"",TRIM(IF(일일실시사항!$B153="","일자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IF(COUNT(일일실시사항!$B154:$K154)+COUNTIF(일일실시사항!$B154:$K154,"?*")=0,"",TRIM(IF(일일실시사항!$B154="","일자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IF(COUNT(일일실시사항!$B155:$K155)+COUNTIF(일일실시사항!$B155:$K155,"?*")=0,"",TRIM(IF(일일실시사항!$B155="","일자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IF(COUNT(일일실시사항!$B156:$K156)+COUNTIF(일일실시사항!$B156:$K156,"?*")=0,"",TRIM(IF(일일실시사항!$B156="","일자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IF(COUNT(일일실시사항!$B157:$K157)+COUNTIF(일일실시사항!$B157:$K157,"?*")=0,"",TRIM(IF(일일실시사항!$B157="","일자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IF(COUNT(일일실시사항!$B158:$K158)+COUNTIF(일일실시사항!$B158:$K158,"?*")=0,"",TRIM(IF(일일실시사항!$B158="","일자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IF(COUNT(일일실시사항!$B159:$K159)+COUNTIF(일일실시사항!$B159:$K159,"?*")=0,"",TRIM(IF(일일실시사항!$B159="","일자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IF(COUNT(일일실시사항!$B160:$K160)+COUNTIF(일일실시사항!$B160:$K160,"?*")=0,"",TRIM(IF(일일실시사항!$B160="","일자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IF(COUNT(일일실시사항!$B161:$K161)+COUNTIF(일일실시사항!$B161:$K161,"?*")=0,"",TRIM(IF(일일실시사항!$B161="","일자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IF(COUNT(일일실시사항!$B162:$K162)+COUNTIF(일일실시사항!$B162:$K162,"?*")=0,"",TRIM(IF(일일실시사항!$B162="","일자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IF(COUNT(일일실시사항!$B163:$K163)+COUNTIF(일일실시사항!$B163:$K163,"?*")=0,"",TRIM(IF(일일실시사항!$B163="","일자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IF(COUNT(일일실시사항!$B164:$K164)+COUNTIF(일일실시사항!$B164:$K164,"?*")=0,"",TRIM(IF(일일실시사항!$B164="","일자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IF(COUNT(일일실시사항!$B165:$K165)+COUNTIF(일일실시사항!$B165:$K165,"?*")=0,"",TRIM(IF(일일실시사항!$B165="","일자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IF(COUNT(일일실시사항!$B166:$K166)+COUNTIF(일일실시사항!$B166:$K166,"?*")=0,"",TRIM(IF(일일실시사항!$B166="","일자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IF(COUNT(일일실시사항!$B167:$K167)+COUNTIF(일일실시사항!$B167:$K167,"?*")=0,"",TRIM(IF(일일실시사항!$B167="","일자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IF(COUNT(일일실시사항!$B168:$K168)+COUNTIF(일일실시사항!$B168:$K168,"?*")=0,"",TRIM(IF(일일실시사항!$B168="","일자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IF(COUNT(일일실시사항!$B169:$K169)+COUNTIF(일일실시사항!$B169:$K169,"?*")=0,"",TRIM(IF(일일실시사항!$B169="","일자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IF(COUNT(일일실시사항!$B170:$K170)+COUNTIF(일일실시사항!$B170:$K170,"?*")=0,"",TRIM(IF(일일실시사항!$B170="","일자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IF(COUNT(일일실시사항!$B171:$K171)+COUNTIF(일일실시사항!$B171:$K171,"?*")=0,"",TRIM(IF(일일실시사항!$B171="","일자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IF(COUNT(일일실시사항!$B172:$K172)+COUNTIF(일일실시사항!$B172:$K172,"?*")=0,"",TRIM(IF(일일실시사항!$B172="","일자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IF(COUNT(일일실시사항!$B173:$K173)+COUNTIF(일일실시사항!$B173:$K173,"?*")=0,"",TRIM(IF(일일실시사항!$B173="","일자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IF(COUNT(일일실시사항!$B174:$K174)+COUNTIF(일일실시사항!$B174:$K174,"?*")=0,"",TRIM(IF(일일실시사항!$B174="","일자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IF(COUNT(일일실시사항!$B175:$K175)+COUNTIF(일일실시사항!$B175:$K175,"?*")=0,"",TRIM(IF(일일실시사항!$B175="","일자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IF(COUNT(일일실시사항!$B176:$K176)+COUNTIF(일일실시사항!$B176:$K176,"?*")=0,"",TRIM(IF(일일실시사항!$B176="","일자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IF(COUNT(일일실시사항!$B177:$K177)+COUNTIF(일일실시사항!$B177:$K177,"?*")=0,"",TRIM(IF(일일실시사항!$B177="","일자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IF(COUNT(일일실시사항!$B178:$K178)+COUNTIF(일일실시사항!$B178:$K178,"?*")=0,"",TRIM(IF(일일실시사항!$B178="","일자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IF(COUNT(일일실시사항!$B179:$K179)+COUNTIF(일일실시사항!$B179:$K179,"?*")=0,"",TRIM(IF(일일실시사항!$B179="","일자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IF(COUNT(일일실시사항!$B180:$K180)+COUNTIF(일일실시사항!$B180:$K180,"?*")=0,"",TRIM(IF(일일실시사항!$B180="","일자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IF(COUNT(일일실시사항!$B181:$K181)+COUNTIF(일일실시사항!$B181:$K181,"?*")=0,"",TRIM(IF(일일실시사항!$B181="","일자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IF(COUNT(일일실시사항!$B182:$K182)+COUNTIF(일일실시사항!$B182:$K182,"?*")=0,"",TRIM(IF(일일실시사항!$B182="","일자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IF(COUNT(일일실시사항!$B183:$K183)+COUNTIF(일일실시사항!$B183:$K183,"?*")=0,"",TRIM(IF(일일실시사항!$B183="","일자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IF(COUNT(일일실시사항!$B184:$K184)+COUNTIF(일일실시사항!$B184:$K184,"?*")=0,"",TRIM(IF(일일실시사항!$B184="","일자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IF(COUNT(일일실시사항!$B185:$K185)+COUNTIF(일일실시사항!$B185:$K185,"?*")=0,"",TRIM(IF(일일실시사항!$B185="","일자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IF(COUNT(일일실시사항!$B186:$K186)+COUNTIF(일일실시사항!$B186:$K186,"?*")=0,"",TRIM(IF(일일실시사항!$B186="","일자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IF(COUNT(일일실시사항!$B187:$K187)+COUNTIF(일일실시사항!$B187:$K187,"?*")=0,"",TRIM(IF(일일실시사항!$B187="","일자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IF(COUNT(일일실시사항!$B188:$K188)+COUNTIF(일일실시사항!$B188:$K188,"?*")=0,"",TRIM(IF(일일실시사항!$B188="","일자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IF(COUNT(일일실시사항!$B189:$K189)+COUNTIF(일일실시사항!$B189:$K189,"?*")=0,"",TRIM(IF(일일실시사항!$B189="","일자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IF(COUNT(일일실시사항!$B190:$K190)+COUNTIF(일일실시사항!$B190:$K190,"?*")=0,"",TRIM(IF(일일실시사항!$B190="","일자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IF(COUNT(일일실시사항!$B191:$K191)+COUNTIF(일일실시사항!$B191:$K191,"?*")=0,"",TRIM(IF(일일실시사항!$B191="","일자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IF(COUNT(일일실시사항!$B192:$K192)+COUNTIF(일일실시사항!$B192:$K192,"?*")=0,"",TRIM(IF(일일실시사항!$B192="","일자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IF(COUNT(일일실시사항!$B193:$K193)+COUNTIF(일일실시사항!$B193:$K193,"?*")=0,"",TRIM(IF(일일실시사항!$B193="","일자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IF(COUNT(일일실시사항!$B194:$K194)+COUNTIF(일일실시사항!$B194:$K194,"?*")=0,"",TRIM(IF(일일실시사항!$B194="","일자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IF(COUNT(일일실시사항!$B195:$K195)+COUNTIF(일일실시사항!$B195:$K195,"?*")=0,"",TRIM(IF(일일실시사항!$B195="","일자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IF(COUNT(일일실시사항!$B196:$K196)+COUNTIF(일일실시사항!$B196:$K196,"?*")=0,"",TRIM(IF(일일실시사항!$B196="","일자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IF(COUNT(일일실시사항!$B197:$K197)+COUNTIF(일일실시사항!$B197:$K197,"?*")=0,"",TRIM(IF(일일실시사항!$B197="","일자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IF(COUNT(일일실시사항!$B198:$K198)+COUNTIF(일일실시사항!$B198:$K198,"?*")=0,"",TRIM(IF(일일실시사항!$B198="","일자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IF(COUNT(일일실시사항!$B199:$K199)+COUNTIF(일일실시사항!$B199:$K199,"?*")=0,"",TRIM(IF(일일실시사항!$B199="","일자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IF(COUNT(일일실시사항!$B200:$K200)+COUNTIF(일일실시사항!$B200:$K200,"?*")=0,"",TRIM(IF(일일실시사항!$B200="","일자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IF(COUNT(일일실시사항!$B201:$K201)+COUNTIF(일일실시사항!$B201:$K201,"?*")=0,"",TRIM(IF(일일실시사항!$B201="","일자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IF(COUNT(일일실시사항!$B202:$K202)+COUNTIF(일일실시사항!$B202:$K202,"?*")=0,"",TRIM(IF(일일실시사항!$B202="","일자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IF(COUNT(일일실시사항!$B203:$K203)+COUNTIF(일일실시사항!$B203:$K203,"?*")=0,"",TRIM(IF(일일실시사항!$B203="","일자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IF(COUNT(일일실시사항!$B204:$K204)+COUNTIF(일일실시사항!$B204:$K204,"?*")=0,"",TRIM(IF(일일실시사항!$B204="","일자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IF(COUNT(일일실시사항!$B205:$K205)+COUNTIF(일일실시사항!$B205:$K205,"?*")=0,"",TRIM(IF(일일실시사항!$B205="","일자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IF(COUNT(일일실시사항!$B206:$K206)+COUNTIF(일일실시사항!$B206:$K206,"?*")=0,"",TRIM(IF(일일실시사항!$B206="","일자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IF(COUNT(일일실시사항!$B207:$K207)+COUNTIF(일일실시사항!$B207:$K207,"?*")=0,"",TRIM(IF(일일실시사항!$B207="","일자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IF(COUNT(일일실시사항!$B208:$K208)+COUNTIF(일일실시사항!$B208:$K208,"?*")=0,"",TRIM(IF(일일실시사항!$B208="","일자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IF(COUNT(일일실시사항!$B209:$K209)+COUNTIF(일일실시사항!$B209:$K209,"?*")=0,"",TRIM(IF(일일실시사항!$B209="","일자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IF(COUNT(일일실시사항!$B210:$K210)+COUNTIF(일일실시사항!$B210:$K210,"?*")=0,"",TRIM(IF(일일실시사항!$B210="","일자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IF(COUNT(일일실시사항!$B211:$K211)+COUNTIF(일일실시사항!$B211:$K211,"?*")=0,"",TRIM(IF(일일실시사항!$B211="","일자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IF(COUNT(일일실시사항!$B212:$K212)+COUNTIF(일일실시사항!$B212:$K212,"?*")=0,"",TRIM(IF(일일실시사항!$B212="","일자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IF(COUNT(일일실시사항!$B213:$K213)+COUNTIF(일일실시사항!$B213:$K213,"?*")=0,"",TRIM(IF(일일실시사항!$B213="","일자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IF(COUNT(일일실시사항!$B214:$K214)+COUNTIF(일일실시사항!$B214:$K214,"?*")=0,"",TRIM(IF(일일실시사항!$B214="","일자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IF(COUNT(일일실시사항!$B215:$K215)+COUNTIF(일일실시사항!$B215:$K215,"?*")=0,"",TRIM(IF(일일실시사항!$B215="","일자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IF(COUNT(일일실시사항!$B216:$K216)+COUNTIF(일일실시사항!$B216:$K216,"?*")=0,"",TRIM(IF(일일실시사항!$B216="","일자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IF(COUNT(일일실시사항!$B217:$K217)+COUNTIF(일일실시사항!$B217:$K217,"?*")=0,"",TRIM(IF(일일실시사항!$B217="","일자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IF(COUNT(일일실시사항!$B218:$K218)+COUNTIF(일일실시사항!$B218:$K218,"?*")=0,"",TRIM(IF(일일실시사항!$B218="","일자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IF(COUNT(일일실시사항!$B219:$K219)+COUNTIF(일일실시사항!$B219:$K219,"?*")=0,"",TRIM(IF(일일실시사항!$B219="","일자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IF(COUNT(일일실시사항!$B220:$K220)+COUNTIF(일일실시사항!$B220:$K220,"?*")=0,"",TRIM(IF(일일실시사항!$B220="","일자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IF(COUNT(일일실시사항!$B221:$K221)+COUNTIF(일일실시사항!$B221:$K221,"?*")=0,"",TRIM(IF(일일실시사항!$B221="","일자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IF(COUNT(일일실시사항!$B222:$K222)+COUNTIF(일일실시사항!$B222:$K222,"?*")=0,"",TRIM(IF(일일실시사항!$B222="","일자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IF(COUNT(일일실시사항!$B223:$K223)+COUNTIF(일일실시사항!$B223:$K223,"?*")=0,"",TRIM(IF(일일실시사항!$B223="","일자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IF(COUNT(일일실시사항!$B224:$K224)+COUNTIF(일일실시사항!$B224:$K224,"?*")=0,"",TRIM(IF(일일실시사항!$B224="","일자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IF(COUNT(일일실시사항!$B225:$K225)+COUNTIF(일일실시사항!$B225:$K225,"?*")=0,"",TRIM(IF(일일실시사항!$B225="","일자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IF(COUNT(일일실시사항!$B226:$K226)+COUNTIF(일일실시사항!$B226:$K226,"?*")=0,"",TRIM(IF(일일실시사항!$B226="","일자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IF(COUNT(일일실시사항!$B227:$K227)+COUNTIF(일일실시사항!$B227:$K227,"?*")=0,"",TRIM(IF(일일실시사항!$B227="","일자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IF(COUNT(일일실시사항!$B228:$K228)+COUNTIF(일일실시사항!$B228:$K228,"?*")=0,"",TRIM(IF(일일실시사항!$B228="","일자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IF(COUNT(일일실시사항!$B229:$K229)+COUNTIF(일일실시사항!$B229:$K229,"?*")=0,"",TRIM(IF(일일실시사항!$B229="","일자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IF(COUNT(일일실시사항!$B230:$K230)+COUNTIF(일일실시사항!$B230:$K230,"?*")=0,"",TRIM(IF(일일실시사항!$B230="","일자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IF(COUNT(일일실시사항!$B231:$K231)+COUNTIF(일일실시사항!$B231:$K231,"?*")=0,"",TRIM(IF(일일실시사항!$B231="","일자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IF(COUNT(일일실시사항!$B232:$K232)+COUNTIF(일일실시사항!$B232:$K232,"?*")=0,"",TRIM(IF(일일실시사항!$B232="","일자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IF(COUNT(일일실시사항!$B233:$K233)+COUNTIF(일일실시사항!$B233:$K233,"?*")=0,"",TRIM(IF(일일실시사항!$B233="","일자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IF(COUNT(일일실시사항!$B234:$K234)+COUNTIF(일일실시사항!$B234:$K234,"?*")=0,"",TRIM(IF(일일실시사항!$B234="","일자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IF(COUNT(일일실시사항!$B235:$K235)+COUNTIF(일일실시사항!$B235:$K235,"?*")=0,"",TRIM(IF(일일실시사항!$B235="","일자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IF(COUNT(일일실시사항!$B236:$K236)+COUNTIF(일일실시사항!$B236:$K236,"?*")=0,"",TRIM(IF(일일실시사항!$B236="","일자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IF(COUNT(일일실시사항!$B237:$K237)+COUNTIF(일일실시사항!$B237:$K237,"?*")=0,"",TRIM(IF(일일실시사항!$B237="","일자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IF(COUNT(일일실시사항!$B238:$K238)+COUNTIF(일일실시사항!$B238:$K238,"?*")=0,"",TRIM(IF(일일실시사항!$B238="","일자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IF(COUNT(일일실시사항!$B239:$K239)+COUNTIF(일일실시사항!$B239:$K239,"?*")=0,"",TRIM(IF(일일실시사항!$B239="","일자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IF(COUNT(일일실시사항!$B240:$K240)+COUNTIF(일일실시사항!$B240:$K240,"?*")=0,"",TRIM(IF(일일실시사항!$B240="","일자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IF(COUNT(일일실시사항!$B241:$K241)+COUNTIF(일일실시사항!$B241:$K241,"?*")=0,"",TRIM(IF(일일실시사항!$B241="","일자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IF(COUNT(일일실시사항!$B242:$K242)+COUNTIF(일일실시사항!$B242:$K242,"?*")=0,"",TRIM(IF(일일실시사항!$B242="","일자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IF(COUNT(일일실시사항!$B243:$K243)+COUNTIF(일일실시사항!$B243:$K243,"?*")=0,"",TRIM(IF(일일실시사항!$B243="","일자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IF(COUNT(일일실시사항!$B244:$K244)+COUNTIF(일일실시사항!$B244:$K244,"?*")=0,"",TRIM(IF(일일실시사항!$B244="","일자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IF(COUNT(일일실시사항!$B245:$K245)+COUNTIF(일일실시사항!$B245:$K245,"?*")=0,"",TRIM(IF(일일실시사항!$B245="","일자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IF(COUNT(일일실시사항!$B246:$K246)+COUNTIF(일일실시사항!$B246:$K246,"?*")=0,"",TRIM(IF(일일실시사항!$B246="","일자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IF(COUNT(일일실시사항!$B247:$K247)+COUNTIF(일일실시사항!$B247:$K247,"?*")=0,"",TRIM(IF(일일실시사항!$B247="","일자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IF(COUNT(일일실시사항!$B248:$K248)+COUNTIF(일일실시사항!$B248:$K248,"?*")=0,"",TRIM(IF(일일실시사항!$B248="","일자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IF(COUNT(일일실시사항!$B249:$K249)+COUNTIF(일일실시사항!$B249:$K249,"?*")=0,"",TRIM(IF(일일실시사항!$B249="","일자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IF(COUNT(일일실시사항!$B250:$K250)+COUNTIF(일일실시사항!$B250:$K250,"?*")=0,"",TRIM(IF(일일실시사항!$B250="","일자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IF(COUNT(일일실시사항!$B251:$K251)+COUNTIF(일일실시사항!$B251:$K251,"?*")=0,"",TRIM(IF(일일실시사항!$B251="","일자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IF(COUNT(일일실시사항!$B252:$K252)+COUNTIF(일일실시사항!$B252:$K252,"?*")=0,"",TRIM(IF(일일실시사항!$B252="","일자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IF(COUNT(일일실시사항!$B253:$K253)+COUNTIF(일일실시사항!$B253:$K253,"?*")=0,"",TRIM(IF(일일실시사항!$B253="","일자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IF(COUNT(일일실시사항!$B254:$K254)+COUNTIF(일일실시사항!$B254:$K254,"?*")=0,"",TRIM(IF(일일실시사항!$B254="","일자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IF(COUNT(일일실시사항!$B255:$K255)+COUNTIF(일일실시사항!$B255:$K255,"?*")=0,"",TRIM(IF(일일실시사항!$B255="","일자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IF(COUNT(일일실시사항!$B256:$K256)+COUNTIF(일일실시사항!$B256:$K256,"?*")=0,"",TRIM(IF(일일실시사항!$B256="","일자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IF(COUNT(일일실시사항!$B257:$K257)+COUNTIF(일일실시사항!$B257:$K257,"?*")=0,"",TRIM(IF(일일실시사항!$B257="","일자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IF(COUNT(일일실시사항!$B258:$K258)+COUNTIF(일일실시사항!$B258:$K258,"?*")=0,"",TRIM(IF(일일실시사항!$B258="","일자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IF(COUNT(일일실시사항!$B259:$K259)+COUNTIF(일일실시사항!$B259:$K259,"?*")=0,"",TRIM(IF(일일실시사항!$B259="","일자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IF(COUNT(일일실시사항!$B260:$K260)+COUNTIF(일일실시사항!$B260:$K260,"?*")=0,"",TRIM(IF(일일실시사항!$B260="","일자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IF(COUNT(일일실시사항!$B261:$K261)+COUNTIF(일일실시사항!$B261:$K261,"?*")=0,"",TRIM(IF(일일실시사항!$B261="","일자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IF(COUNT(일일실시사항!$B262:$K262)+COUNTIF(일일실시사항!$B262:$K262,"?*")=0,"",TRIM(IF(일일실시사항!$B262="","일자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IF(COUNT(일일실시사항!$B263:$K263)+COUNTIF(일일실시사항!$B263:$K263,"?*")=0,"",TRIM(IF(일일실시사항!$B263="","일자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IF(COUNT(일일실시사항!$B264:$K264)+COUNTIF(일일실시사항!$B264:$K264,"?*")=0,"",TRIM(IF(일일실시사항!$B264="","일자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IF(COUNT(일일실시사항!$B265:$K265)+COUNTIF(일일실시사항!$B265:$K265,"?*")=0,"",TRIM(IF(일일실시사항!$B265="","일자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IF(COUNT(일일실시사항!$B266:$K266)+COUNTIF(일일실시사항!$B266:$K266,"?*")=0,"",TRIM(IF(일일실시사항!$B266="","일자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IF(COUNT(일일실시사항!$B267:$K267)+COUNTIF(일일실시사항!$B267:$K267,"?*")=0,"",TRIM(IF(일일실시사항!$B267="","일자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IF(COUNT(일일실시사항!$B268:$K268)+COUNTIF(일일실시사항!$B268:$K268,"?*")=0,"",TRIM(IF(일일실시사항!$B268="","일자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IF(COUNT(일일실시사항!$B269:$K269)+COUNTIF(일일실시사항!$B269:$K269,"?*")=0,"",TRIM(IF(일일실시사항!$B269="","일자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IF(COUNT(일일실시사항!$B270:$K270)+COUNTIF(일일실시사항!$B270:$K270,"?*")=0,"",TRIM(IF(일일실시사항!$B270="","일자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IF(COUNT(일일실시사항!$B271:$K271)+COUNTIF(일일실시사항!$B271:$K271,"?*")=0,"",TRIM(IF(일일실시사항!$B271="","일자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IF(COUNT(일일실시사항!$B272:$K272)+COUNTIF(일일실시사항!$B272:$K272,"?*")=0,"",TRIM(IF(일일실시사항!$B272="","일자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IF(COUNT(일일실시사항!$B273:$K273)+COUNTIF(일일실시사항!$B273:$K273,"?*")=0,"",TRIM(IF(일일실시사항!$B273="","일자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IF(COUNT(일일실시사항!$B274:$K274)+COUNTIF(일일실시사항!$B274:$K274,"?*")=0,"",TRIM(IF(일일실시사항!$B274="","일자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IF(COUNT(일일실시사항!$B275:$K275)+COUNTIF(일일실시사항!$B275:$K275,"?*")=0,"",TRIM(IF(일일실시사항!$B275="","일자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IF(COUNT(일일실시사항!$B276:$K276)+COUNTIF(일일실시사항!$B276:$K276,"?*")=0,"",TRIM(IF(일일실시사항!$B276="","일자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IF(COUNT(일일실시사항!$B277:$K277)+COUNTIF(일일실시사항!$B277:$K277,"?*")=0,"",TRIM(IF(일일실시사항!$B277="","일자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IF(COUNT(일일실시사항!$B278:$K278)+COUNTIF(일일실시사항!$B278:$K278,"?*")=0,"",TRIM(IF(일일실시사항!$B278="","일자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IF(COUNT(일일실시사항!$B279:$K279)+COUNTIF(일일실시사항!$B279:$K279,"?*")=0,"",TRIM(IF(일일실시사항!$B279="","일자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IF(COUNT(일일실시사항!$B280:$K280)+COUNTIF(일일실시사항!$B280:$K280,"?*")=0,"",TRIM(IF(일일실시사항!$B280="","일자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IF(COUNT(일일실시사항!$B281:$K281)+COUNTIF(일일실시사항!$B281:$K281,"?*")=0,"",TRIM(IF(일일실시사항!$B281="","일자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IF(COUNT(일일실시사항!$B282:$K282)+COUNTIF(일일실시사항!$B282:$K282,"?*")=0,"",TRIM(IF(일일실시사항!$B282="","일자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IF(COUNT(일일실시사항!$B283:$K283)+COUNTIF(일일실시사항!$B283:$K283,"?*")=0,"",TRIM(IF(일일실시사항!$B283="","일자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IF(COUNT(일일실시사항!$B284:$K284)+COUNTIF(일일실시사항!$B284:$K284,"?*")=0,"",TRIM(IF(일일실시사항!$B284="","일자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IF(COUNT(일일실시사항!$B285:$K285)+COUNTIF(일일실시사항!$B285:$K285,"?*")=0,"",TRIM(IF(일일실시사항!$B285="","일자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IF(COUNT(일일실시사항!$B286:$K286)+COUNTIF(일일실시사항!$B286:$K286,"?*")=0,"",TRIM(IF(일일실시사항!$B286="","일자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IF(COUNT(일일실시사항!$B287:$K287)+COUNTIF(일일실시사항!$B287:$K287,"?*")=0,"",TRIM(IF(일일실시사항!$B287="","일자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IF(COUNT(일일실시사항!$B288:$K288)+COUNTIF(일일실시사항!$B288:$K288,"?*")=0,"",TRIM(IF(일일실시사항!$B288="","일자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IF(COUNT(일일실시사항!$B289:$K289)+COUNTIF(일일실시사항!$B289:$K289,"?*")=0,"",TRIM(IF(일일실시사항!$B289="","일자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IF(COUNT(일일실시사항!$B290:$K290)+COUNTIF(일일실시사항!$B290:$K290,"?*")=0,"",TRIM(IF(일일실시사항!$B290="","일자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IF(COUNT(일일실시사항!$B291:$K291)+COUNTIF(일일실시사항!$B291:$K291,"?*")=0,"",TRIM(IF(일일실시사항!$B291="","일자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IF(COUNT(일일실시사항!$B292:$K292)+COUNTIF(일일실시사항!$B292:$K292,"?*")=0,"",TRIM(IF(일일실시사항!$B292="","일자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IF(COUNT(일일실시사항!$B293:$K293)+COUNTIF(일일실시사항!$B293:$K293,"?*")=0,"",TRIM(IF(일일실시사항!$B293="","일자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IF(COUNT(일일실시사항!$B294:$K294)+COUNTIF(일일실시사항!$B294:$K294,"?*")=0,"",TRIM(IF(일일실시사항!$B294="","일자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IF(COUNT(일일실시사항!$B295:$K295)+COUNTIF(일일실시사항!$B295:$K295,"?*")=0,"",TRIM(IF(일일실시사항!$B295="","일자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IF(COUNT(일일실시사항!$B296:$K296)+COUNTIF(일일실시사항!$B296:$K296,"?*")=0,"",TRIM(IF(일일실시사항!$B296="","일자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IF(COUNT(일일실시사항!$B297:$K297)+COUNTIF(일일실시사항!$B297:$K297,"?*")=0,"",TRIM(IF(일일실시사항!$B297="","일자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IF(COUNT(일일실시사항!$B298:$K298)+COUNTIF(일일실시사항!$B298:$K298,"?*")=0,"",TRIM(IF(일일실시사항!$B298="","일자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IF(COUNT(일일실시사항!$B299:$K299)+COUNTIF(일일실시사항!$B299:$K299,"?*")=0,"",TRIM(IF(일일실시사항!$B299="","일자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IF(COUNT(일일실시사항!$B300:$K300)+COUNTIF(일일실시사항!$B300:$K300,"?*")=0,"",TRIM(IF(일일실시사항!$B300="","일자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IF(COUNT(일일실시사항!$B301:$K301)+COUNTIF(일일실시사항!$B301:$K301,"?*")=0,"",TRIM(IF(일일실시사항!$B301="","일자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IF(COUNT(일일실시사항!$B302:$K302)+COUNTIF(일일실시사항!$B302:$K302,"?*")=0,"",TRIM(IF(일일실시사항!$B302="","일자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IF(COUNT(일일실시사항!$B303:$K303)+COUNTIF(일일실시사항!$B303:$K303,"?*")=0,"",TRIM(IF(일일실시사항!$B303="","일자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IF(COUNT(일일실시사항!$B304:$K304)+COUNTIF(일일실시사항!$B304:$K304,"?*")=0,"",TRIM(IF(일일실시사항!$B304="","일자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IF(COUNT(일일실시사항!$B305:$K305)+COUNTIF(일일실시사항!$B305:$K305,"?*")=0,"",TRIM(IF(일일실시사항!$B305="","일자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IF(COUNT(일일실시사항!$B306:$K306)+COUNTIF(일일실시사항!$B306:$K306,"?*")=0,"",TRIM(IF(일일실시사항!$B306="","일자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IF(COUNT(일일실시사항!$B307:$K307)+COUNTIF(일일실시사항!$B307:$K307,"?*")=0,"",TRIM(IF(일일실시사항!$B307="","일자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IF(COUNT(일일실시사항!$B308:$K308)+COUNTIF(일일실시사항!$B308:$K308,"?*")=0,"",TRIM(IF(일일실시사항!$B308="","일자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IF(COUNT(일일실시사항!$B309:$K309)+COUNTIF(일일실시사항!$B309:$K309,"?*")=0,"",TRIM(IF(일일실시사항!$B309="","일자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IF(COUNT(일일실시사항!$B310:$K310)+COUNTIF(일일실시사항!$B310:$K310,"?*")=0,"",TRIM(IF(일일실시사항!$B310="","일자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IF(COUNT(일일실시사항!$B311:$K311)+COUNTIF(일일실시사항!$B311:$K311,"?*")=0,"",TRIM(IF(일일실시사항!$B311="","일자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IF(COUNT(일일실시사항!$B312:$K312)+COUNTIF(일일실시사항!$B312:$K312,"?*")=0,"",TRIM(IF(일일실시사항!$B312="","일자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IF(COUNT(일일실시사항!$B313:$K313)+COUNTIF(일일실시사항!$B313:$K313,"?*")=0,"",TRIM(IF(일일실시사항!$B313="","일자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IF(COUNT(일일실시사항!$B314:$K314)+COUNTIF(일일실시사항!$B314:$K314,"?*")=0,"",TRIM(IF(일일실시사항!$B314="","일자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IF(COUNT(일일실시사항!$B315:$K315)+COUNTIF(일일실시사항!$B315:$K315,"?*")=0,"",TRIM(IF(일일실시사항!$B315="","일자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IF(COUNT(일일실시사항!$B316:$K316)+COUNTIF(일일실시사항!$B316:$K316,"?*")=0,"",TRIM(IF(일일실시사항!$B316="","일자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IF(COUNT(일일실시사항!$B317:$K317)+COUNTIF(일일실시사항!$B317:$K317,"?*")=0,"",TRIM(IF(일일실시사항!$B317="","일자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IF(COUNT(일일실시사항!$B318:$K318)+COUNTIF(일일실시사항!$B318:$K318,"?*")=0,"",TRIM(IF(일일실시사항!$B318="","일자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IF(COUNT(일일실시사항!$B319:$K319)+COUNTIF(일일실시사항!$B319:$K319,"?*")=0,"",TRIM(IF(일일실시사항!$B319="","일자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IF(COUNT(일일실시사항!$B320:$K320)+COUNTIF(일일실시사항!$B320:$K320,"?*")=0,"",TRIM(IF(일일실시사항!$B320="","일자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IF(COUNT(일일실시사항!$B321:$K321)+COUNTIF(일일실시사항!$B321:$K321,"?*")=0,"",TRIM(IF(일일실시사항!$B321="","일자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IF(COUNT(일일실시사항!$B322:$K322)+COUNTIF(일일실시사항!$B322:$K322,"?*")=0,"",TRIM(IF(일일실시사항!$B322="","일자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IF(COUNT(일일실시사항!$B323:$K323)+COUNTIF(일일실시사항!$B323:$K323,"?*")=0,"",TRIM(IF(일일실시사항!$B323="","일자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IF(COUNT(일일실시사항!$B324:$K324)+COUNTIF(일일실시사항!$B324:$K324,"?*")=0,"",TRIM(IF(일일실시사항!$B324="","일자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IF(COUNT(일일실시사항!$B325:$K325)+COUNTIF(일일실시사항!$B325:$K325,"?*")=0,"",TRIM(IF(일일실시사항!$B325="","일자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IF(COUNT(일일실시사항!$B326:$K326)+COUNTIF(일일실시사항!$B326:$K326,"?*")=0,"",TRIM(IF(일일실시사항!$B326="","일자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IF(COUNT(일일실시사항!$B327:$K327)+COUNTIF(일일실시사항!$B327:$K327,"?*")=0,"",TRIM(IF(일일실시사항!$B327="","일자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IF(COUNT(일일실시사항!$B328:$K328)+COUNTIF(일일실시사항!$B328:$K328,"?*")=0,"",TRIM(IF(일일실시사항!$B328="","일자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IF(COUNT(일일실시사항!$B329:$K329)+COUNTIF(일일실시사항!$B329:$K329,"?*")=0,"",TRIM(IF(일일실시사항!$B329="","일자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IF(COUNT(일일실시사항!$B330:$K330)+COUNTIF(일일실시사항!$B330:$K330,"?*")=0,"",TRIM(IF(일일실시사항!$B330="","일자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IF(COUNT(일일실시사항!$B331:$K331)+COUNTIF(일일실시사항!$B331:$K331,"?*")=0,"",TRIM(IF(일일실시사항!$B331="","일자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IF(COUNT(일일실시사항!$B332:$K332)+COUNTIF(일일실시사항!$B332:$K332,"?*")=0,"",TRIM(IF(일일실시사항!$B332="","일자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IF(COUNT(일일실시사항!$B333:$K333)+COUNTIF(일일실시사항!$B333:$K333,"?*")=0,"",TRIM(IF(일일실시사항!$B333="","일자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IF(COUNT(일일실시사항!$B334:$K334)+COUNTIF(일일실시사항!$B334:$K334,"?*")=0,"",TRIM(IF(일일실시사항!$B334="","일자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IF(COUNT(일일실시사항!$B335:$K335)+COUNTIF(일일실시사항!$B335:$K335,"?*")=0,"",TRIM(IF(일일실시사항!$B335="","일자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IF(COUNT(일일실시사항!$B336:$K336)+COUNTIF(일일실시사항!$B336:$K336,"?*")=0,"",TRIM(IF(일일실시사항!$B336="","일자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IF(COUNT(일일실시사항!$B337:$K337)+COUNTIF(일일실시사항!$B337:$K337,"?*")=0,"",TRIM(IF(일일실시사항!$B337="","일자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IF(COUNT(일일실시사항!$B338:$K338)+COUNTIF(일일실시사항!$B338:$K338,"?*")=0,"",TRIM(IF(일일실시사항!$B338="","일자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IF(COUNT(일일실시사항!$B339:$K339)+COUNTIF(일일실시사항!$B339:$K339,"?*")=0,"",TRIM(IF(일일실시사항!$B339="","일자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IF(COUNT(일일실시사항!$B340:$K340)+COUNTIF(일일실시사항!$B340:$K340,"?*")=0,"",TRIM(IF(일일실시사항!$B340="","일자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IF(COUNT(일일실시사항!$B341:$K341)+COUNTIF(일일실시사항!$B341:$K341,"?*")=0,"",TRIM(IF(일일실시사항!$B341="","일자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IF(COUNT(일일실시사항!$B342:$K342)+COUNTIF(일일실시사항!$B342:$K342,"?*")=0,"",TRIM(IF(일일실시사항!$B342="","일자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IF(COUNT(일일실시사항!$B343:$K343)+COUNTIF(일일실시사항!$B343:$K343,"?*")=0,"",TRIM(IF(일일실시사항!$B343="","일자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IF(COUNT(일일실시사항!$B344:$K344)+COUNTIF(일일실시사항!$B344:$K344,"?*")=0,"",TRIM(IF(일일실시사항!$B344="","일자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IF(COUNT(일일실시사항!$B345:$K345)+COUNTIF(일일실시사항!$B345:$K345,"?*")=0,"",TRIM(IF(일일실시사항!$B345="","일자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IF(COUNT(일일실시사항!$B346:$K346)+COUNTIF(일일실시사항!$B346:$K346,"?*")=0,"",TRIM(IF(일일실시사항!$B346="","일자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IF(COUNT(일일실시사항!$B347:$K347)+COUNTIF(일일실시사항!$B347:$K347,"?*")=0,"",TRIM(IF(일일실시사항!$B347="","일자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IF(COUNT(일일실시사항!$B348:$K348)+COUNTIF(일일실시사항!$B348:$K348,"?*")=0,"",TRIM(IF(일일실시사항!$B348="","일자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IF(COUNT(일일실시사항!$B349:$K349)+COUNTIF(일일실시사항!$B349:$K349,"?*")=0,"",TRIM(IF(일일실시사항!$B349="","일자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IF(COUNT(일일실시사항!$B350:$K350)+COUNTIF(일일실시사항!$B350:$K350,"?*")=0,"",TRIM(IF(일일실시사항!$B350="","일자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IF(COUNT(일일실시사항!$B351:$K351)+COUNTIF(일일실시사항!$B351:$K351,"?*")=0,"",TRIM(IF(일일실시사항!$B351="","일자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IF(COUNT(일일실시사항!$B352:$K352)+COUNTIF(일일실시사항!$B352:$K352,"?*")=0,"",TRIM(IF(일일실시사항!$B352="","일자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IF(COUNT(일일실시사항!$B353:$K353)+COUNTIF(일일실시사항!$B353:$K353,"?*")=0,"",TRIM(IF(일일실시사항!$B353="","일자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IF(COUNT(일일실시사항!$B354:$K354)+COUNTIF(일일실시사항!$B354:$K354,"?*")=0,"",TRIM(IF(일일실시사항!$B354="","일자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IF(COUNT(일일실시사항!$B355:$K355)+COUNTIF(일일실시사항!$B355:$K355,"?*")=0,"",TRIM(IF(일일실시사항!$B355="","일자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IF(COUNT(일일실시사항!$B356:$K356)+COUNTIF(일일실시사항!$B356:$K356,"?*")=0,"",TRIM(IF(일일실시사항!$B356="","일자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IF(COUNT(일일실시사항!$B357:$K357)+COUNTIF(일일실시사항!$B357:$K357,"?*")=0,"",TRIM(IF(일일실시사항!$B357="","일자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IF(COUNT(일일실시사항!$B358:$K358)+COUNTIF(일일실시사항!$B358:$K358,"?*")=0,"",TRIM(IF(일일실시사항!$B358="","일자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IF(COUNT(일일실시사항!$B359:$K359)+COUNTIF(일일실시사항!$B359:$K359,"?*")=0,"",TRIM(IF(일일실시사항!$B359="","일자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IF(COUNT(일일실시사항!$B360:$K360)+COUNTIF(일일실시사항!$B360:$K360,"?*")=0,"",TRIM(IF(일일실시사항!$B360="","일자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IF(COUNT(일일실시사항!$B361:$K361)+COUNTIF(일일실시사항!$B361:$K361,"?*")=0,"",TRIM(IF(일일실시사항!$B361="","일자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IF(COUNT(일일실시사항!$B362:$K362)+COUNTIF(일일실시사항!$B362:$K362,"?*")=0,"",TRIM(IF(일일실시사항!$B362="","일자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IF(COUNT(일일실시사항!$B363:$K363)+COUNTIF(일일실시사항!$B363:$K363,"?*")=0,"",TRIM(IF(일일실시사항!$B363="","일자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IF(COUNT(일일실시사항!$B364:$K364)+COUNTIF(일일실시사항!$B364:$K364,"?*")=0,"",TRIM(IF(일일실시사항!$B364="","일자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IF(COUNT(일일실시사항!$B365:$K365)+COUNTIF(일일실시사항!$B365:$K365,"?*")=0,"",TRIM(IF(일일실시사항!$B365="","일자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IF(COUNT(일일실시사항!$B366:$K366)+COUNTIF(일일실시사항!$B366:$K366,"?*")=0,"",TRIM(IF(일일실시사항!$B366="","일자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IF(COUNT(일일실시사항!$B367:$K367)+COUNTIF(일일실시사항!$B367:$K367,"?*")=0,"",TRIM(IF(일일실시사항!$B367="","일자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IF(COUNT(일일실시사항!$B368:$K368)+COUNTIF(일일실시사항!$B368:$K368,"?*")=0,"",TRIM(IF(일일실시사항!$B368="","일자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IF(COUNT(일일실시사항!$B369:$K369)+COUNTIF(일일실시사항!$B369:$K369,"?*")=0,"",TRIM(IF(일일실시사항!$B369="","일자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IF(COUNT(일일실시사항!$B370:$K370)+COUNTIF(일일실시사항!$B370:$K370,"?*")=0,"",TRIM(IF(일일실시사항!$B370="","일자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IF(COUNT(일일실시사항!$B371:$K371)+COUNTIF(일일실시사항!$B371:$K371,"?*")=0,"",TRIM(IF(일일실시사항!$B371="","일자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IF(COUNT(일일실시사항!$B372:$K372)+COUNTIF(일일실시사항!$B372:$K372,"?*")=0,"",TRIM(IF(일일실시사항!$B372="","일자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IF(COUNT(일일실시사항!$B373:$K373)+COUNTIF(일일실시사항!$B373:$K373,"?*")=0,"",TRIM(IF(일일실시사항!$B373="","일자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IF(COUNT(일일실시사항!$B374:$K374)+COUNTIF(일일실시사항!$B374:$K374,"?*")=0,"",TRIM(IF(일일실시사항!$B374="","일자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IF(COUNT(일일실시사항!$B375:$K375)+COUNTIF(일일실시사항!$B375:$K375,"?*")=0,"",TRIM(IF(일일실시사항!$B375="","일자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IF(COUNT(일일실시사항!$B376:$K376)+COUNTIF(일일실시사항!$B376:$K376,"?*")=0,"",TRIM(IF(일일실시사항!$B376="","일자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IF(COUNT(일일실시사항!$B377:$K377)+COUNTIF(일일실시사항!$B377:$K377,"?*")=0,"",TRIM(IF(일일실시사항!$B377="","일자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IF(COUNT(일일실시사항!$B378:$K378)+COUNTIF(일일실시사항!$B378:$K378,"?*")=0,"",TRIM(IF(일일실시사항!$B378="","일자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IF(COUNT(일일실시사항!$B379:$K379)+COUNTIF(일일실시사항!$B379:$K379,"?*")=0,"",TRIM(IF(일일실시사항!$B379="","일자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IF(COUNT(일일실시사항!$B380:$K380)+COUNTIF(일일실시사항!$B380:$K380,"?*")=0,"",TRIM(IF(일일실시사항!$B380="","일자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IF(COUNT(일일실시사항!$B381:$K381)+COUNTIF(일일실시사항!$B381:$K381,"?*")=0,"",TRIM(IF(일일실시사항!$B381="","일자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IF(COUNT(일일실시사항!$B382:$K382)+COUNTIF(일일실시사항!$B382:$K382,"?*")=0,"",TRIM(IF(일일실시사항!$B382="","일자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IF(COUNT(일일실시사항!$B383:$K383)+COUNTIF(일일실시사항!$B383:$K383,"?*")=0,"",TRIM(IF(일일실시사항!$B383="","일자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IF(COUNT(일일실시사항!$B384:$K384)+COUNTIF(일일실시사항!$B384:$K384,"?*")=0,"",TRIM(IF(일일실시사항!$B384="","일자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IF(COUNT(일일실시사항!$B385:$K385)+COUNTIF(일일실시사항!$B385:$K385,"?*")=0,"",TRIM(IF(일일실시사항!$B385="","일자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IF(COUNT(일일실시사항!$B386:$K386)+COUNTIF(일일실시사항!$B386:$K386,"?*")=0,"",TRIM(IF(일일실시사항!$B386="","일자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IF(COUNT(일일실시사항!$B387:$K387)+COUNTIF(일일실시사항!$B387:$K387,"?*")=0,"",TRIM(IF(일일실시사항!$B387="","일자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IF(COUNT(일일실시사항!$B388:$K388)+COUNTIF(일일실시사항!$B388:$K388,"?*")=0,"",TRIM(IF(일일실시사항!$B388="","일자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IF(COUNT(일일실시사항!$B389:$K389)+COUNTIF(일일실시사항!$B389:$K389,"?*")=0,"",TRIM(IF(일일실시사항!$B389="","일자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IF(COUNT(일일실시사항!$B390:$K390)+COUNTIF(일일실시사항!$B390:$K390,"?*")=0,"",TRIM(IF(일일실시사항!$B390="","일자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IF(COUNT(일일실시사항!$B391:$K391)+COUNTIF(일일실시사항!$B391:$K391,"?*")=0,"",TRIM(IF(일일실시사항!$B391="","일자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IF(COUNT(일일실시사항!$B392:$K392)+COUNTIF(일일실시사항!$B392:$K392,"?*")=0,"",TRIM(IF(일일실시사항!$B392="","일자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IF(COUNT(일일실시사항!$B393:$K393)+COUNTIF(일일실시사항!$B393:$K393,"?*")=0,"",TRIM(IF(일일실시사항!$B393="","일자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IF(COUNT(일일실시사항!$B394:$K394)+COUNTIF(일일실시사항!$B394:$K394,"?*")=0,"",TRIM(IF(일일실시사항!$B394="","일자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IF(COUNT(일일실시사항!$B395:$K395)+COUNTIF(일일실시사항!$B395:$K395,"?*")=0,"",TRIM(IF(일일실시사항!$B395="","일자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IF(COUNT(일일실시사항!$B396:$K396)+COUNTIF(일일실시사항!$B396:$K396,"?*")=0,"",TRIM(IF(일일실시사항!$B396="","일자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IF(COUNT(일일실시사항!$B397:$K397)+COUNTIF(일일실시사항!$B397:$K397,"?*")=0,"",TRIM(IF(일일실시사항!$B397="","일자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IF(COUNT(일일실시사항!$B398:$K398)+COUNTIF(일일실시사항!$B398:$K398,"?*")=0,"",TRIM(IF(일일실시사항!$B398="","일자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IF(COUNT(일일실시사항!$B399:$K399)+COUNTIF(일일실시사항!$B399:$K399,"?*")=0,"",TRIM(IF(일일실시사항!$B399="","일자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IF(COUNT(일일실시사항!$B400:$K400)+COUNTIF(일일실시사항!$B400:$K400,"?*")=0,"",TRIM(IF(일일실시사항!$B400="","일자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IF(COUNT(일일실시사항!$B401:$K401)+COUNTIF(일일실시사항!$B401:$K401,"?*")=0,"",TRIM(IF(일일실시사항!$B401="","일자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IF(COUNT(일일실시사항!$B402:$K402)+COUNTIF(일일실시사항!$B402:$K402,"?*")=0,"",TRIM(IF(일일실시사항!$B402="","일자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IF(COUNT(일일실시사항!$B403:$K403)+COUNTIF(일일실시사항!$B403:$K403,"?*")=0,"",TRIM(IF(일일실시사항!$B403="","일자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IF(COUNT(일일실시사항!$B404:$K404)+COUNTIF(일일실시사항!$B404:$K404,"?*")=0,"",TRIM(IF(일일실시사항!$B404="","일자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IF(COUNT(일일실시사항!$B405:$K405)+COUNTIF(일일실시사항!$B405:$K405,"?*")=0,"",TRIM(IF(일일실시사항!$B405="","일자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IF(COUNT(일일실시사항!$B406:$K406)+COUNTIF(일일실시사항!$B406:$K406,"?*")=0,"",TRIM(IF(일일실시사항!$B406="","일자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IF(COUNT(일일실시사항!$B407:$K407)+COUNTIF(일일실시사항!$B407:$K407,"?*")=0,"",TRIM(IF(일일실시사항!$B407="","일자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IF(COUNT(일일실시사항!$B408:$K408)+COUNTIF(일일실시사항!$B408:$K408,"?*")=0,"",TRIM(IF(일일실시사항!$B408="","일자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IF(COUNT(일일실시사항!$B409:$K409)+COUNTIF(일일실시사항!$B409:$K409,"?*")=0,"",TRIM(IF(일일실시사항!$B409="","일자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IF(COUNT(일일실시사항!$B410:$K410)+COUNTIF(일일실시사항!$B410:$K410,"?*")=0,"",TRIM(IF(일일실시사항!$B410="","일자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IF(COUNT(일일실시사항!$B411:$K411)+COUNTIF(일일실시사항!$B411:$K411,"?*")=0,"",TRIM(IF(일일실시사항!$B411="","일자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IF(COUNT(일일실시사항!$B412:$K412)+COUNTIF(일일실시사항!$B412:$K412,"?*")=0,"",TRIM(IF(일일실시사항!$B412="","일자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IF(COUNT(일일실시사항!$B413:$K413)+COUNTIF(일일실시사항!$B413:$K413,"?*")=0,"",TRIM(IF(일일실시사항!$B413="","일자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IF(COUNT(일일실시사항!$B414:$K414)+COUNTIF(일일실시사항!$B414:$K414,"?*")=0,"",TRIM(IF(일일실시사항!$B414="","일자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IF(COUNT(일일실시사항!$B415:$K415)+COUNTIF(일일실시사항!$B415:$K415,"?*")=0,"",TRIM(IF(일일실시사항!$B415="","일자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IF(COUNT(일일실시사항!$B416:$K416)+COUNTIF(일일실시사항!$B416:$K416,"?*")=0,"",TRIM(IF(일일실시사항!$B416="","일자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IF(COUNT(일일실시사항!$B417:$K417)+COUNTIF(일일실시사항!$B417:$K417,"?*")=0,"",TRIM(IF(일일실시사항!$B417="","일자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IF(COUNT(일일실시사항!$B418:$K418)+COUNTIF(일일실시사항!$B418:$K418,"?*")=0,"",TRIM(IF(일일실시사항!$B418="","일자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IF(COUNT(일일실시사항!$B419:$K419)+COUNTIF(일일실시사항!$B419:$K419,"?*")=0,"",TRIM(IF(일일실시사항!$B419="","일자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IF(COUNT(일일실시사항!$B420:$K420)+COUNTIF(일일실시사항!$B420:$K420,"?*")=0,"",TRIM(IF(일일실시사항!$B420="","일자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IF(COUNT(일일실시사항!$B421:$K421)+COUNTIF(일일실시사항!$B421:$K421,"?*")=0,"",TRIM(IF(일일실시사항!$B421="","일자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IF(COUNT(일일실시사항!$B422:$K422)+COUNTIF(일일실시사항!$B422:$K422,"?*")=0,"",TRIM(IF(일일실시사항!$B422="","일자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IF(COUNT(일일실시사항!$B423:$K423)+COUNTIF(일일실시사항!$B423:$K423,"?*")=0,"",TRIM(IF(일일실시사항!$B423="","일자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IF(COUNT(일일실시사항!$B424:$K424)+COUNTIF(일일실시사항!$B424:$K424,"?*")=0,"",TRIM(IF(일일실시사항!$B424="","일자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IF(COUNT(일일실시사항!$B425:$K425)+COUNTIF(일일실시사항!$B425:$K425,"?*")=0,"",TRIM(IF(일일실시사항!$B425="","일자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IF(COUNT(일일실시사항!$B426:$K426)+COUNTIF(일일실시사항!$B426:$K426,"?*")=0,"",TRIM(IF(일일실시사항!$B426="","일자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IF(COUNT(일일실시사항!$B427:$K427)+COUNTIF(일일실시사항!$B427:$K427,"?*")=0,"",TRIM(IF(일일실시사항!$B427="","일자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IF(COUNT(일일실시사항!$B428:$K428)+COUNTIF(일일실시사항!$B428:$K428,"?*")=0,"",TRIM(IF(일일실시사항!$B428="","일자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IF(COUNT(일일실시사항!$B429:$K429)+COUNTIF(일일실시사항!$B429:$K429,"?*")=0,"",TRIM(IF(일일실시사항!$B429="","일자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IF(COUNT(일일실시사항!$B430:$K430)+COUNTIF(일일실시사항!$B430:$K430,"?*")=0,"",TRIM(IF(일일실시사항!$B430="","일자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IF(COUNT(일일실시사항!$B431:$K431)+COUNTIF(일일실시사항!$B431:$K431,"?*")=0,"",TRIM(IF(일일실시사항!$B431="","일자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IF(COUNT(일일실시사항!$B432:$K432)+COUNTIF(일일실시사항!$B432:$K432,"?*")=0,"",TRIM(IF(일일실시사항!$B432="","일자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IF(COUNT(일일실시사항!$B433:$K433)+COUNTIF(일일실시사항!$B433:$K433,"?*")=0,"",TRIM(IF(일일실시사항!$B433="","일자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IF(COUNT(일일실시사항!$B434:$K434)+COUNTIF(일일실시사항!$B434:$K434,"?*")=0,"",TRIM(IF(일일실시사항!$B434="","일자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IF(COUNT(일일실시사항!$B435:$K435)+COUNTIF(일일실시사항!$B435:$K435,"?*")=0,"",TRIM(IF(일일실시사항!$B435="","일자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IF(COUNT(일일실시사항!$B436:$K436)+COUNTIF(일일실시사항!$B436:$K436,"?*")=0,"",TRIM(IF(일일실시사항!$B436="","일자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IF(COUNT(일일실시사항!$B437:$K437)+COUNTIF(일일실시사항!$B437:$K437,"?*")=0,"",TRIM(IF(일일실시사항!$B437="","일자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IF(COUNT(일일실시사항!$B438:$K438)+COUNTIF(일일실시사항!$B438:$K438,"?*")=0,"",TRIM(IF(일일실시사항!$B438="","일자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IF(COUNT(일일실시사항!$B439:$K439)+COUNTIF(일일실시사항!$B439:$K439,"?*")=0,"",TRIM(IF(일일실시사항!$B439="","일자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IF(COUNT(일일실시사항!$B440:$K440)+COUNTIF(일일실시사항!$B440:$K440,"?*")=0,"",TRIM(IF(일일실시사항!$B440="","일자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IF(COUNT(일일실시사항!$B441:$K441)+COUNTIF(일일실시사항!$B441:$K441,"?*")=0,"",TRIM(IF(일일실시사항!$B441="","일자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IF(COUNT(일일실시사항!$B442:$K442)+COUNTIF(일일실시사항!$B442:$K442,"?*")=0,"",TRIM(IF(일일실시사항!$B442="","일자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IF(COUNT(일일실시사항!$B443:$K443)+COUNTIF(일일실시사항!$B443:$K443,"?*")=0,"",TRIM(IF(일일실시사항!$B443="","일자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IF(COUNT(일일실시사항!$B444:$K444)+COUNTIF(일일실시사항!$B444:$K444,"?*")=0,"",TRIM(IF(일일실시사항!$B444="","일자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IF(COUNT(일일실시사항!$B445:$K445)+COUNTIF(일일실시사항!$B445:$K445,"?*")=0,"",TRIM(IF(일일실시사항!$B445="","일자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IF(COUNT(일일실시사항!$B446:$K446)+COUNTIF(일일실시사항!$B446:$K446,"?*")=0,"",TRIM(IF(일일실시사항!$B446="","일자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IF(COUNT(일일실시사항!$B447:$K447)+COUNTIF(일일실시사항!$B447:$K447,"?*")=0,"",TRIM(IF(일일실시사항!$B447="","일자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IF(COUNT(일일실시사항!$B448:$K448)+COUNTIF(일일실시사항!$B448:$K448,"?*")=0,"",TRIM(IF(일일실시사항!$B448="","일자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IF(COUNT(일일실시사항!$B449:$K449)+COUNTIF(일일실시사항!$B449:$K449,"?*")=0,"",TRIM(IF(일일실시사항!$B449="","일자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IF(COUNT(일일실시사항!$B450:$K450)+COUNTIF(일일실시사항!$B450:$K450,"?*")=0,"",TRIM(IF(일일실시사항!$B450="","일자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IF(COUNT(일일실시사항!$B451:$K451)+COUNTIF(일일실시사항!$B451:$K451,"?*")=0,"",TRIM(IF(일일실시사항!$B451="","일자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IF(COUNT(일일실시사항!$B452:$K452)+COUNTIF(일일실시사항!$B452:$K452,"?*")=0,"",TRIM(IF(일일실시사항!$B452="","일자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IF(COUNT(일일실시사항!$B453:$K453)+COUNTIF(일일실시사항!$B453:$K453,"?*")=0,"",TRIM(IF(일일실시사항!$B453="","일자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IF(COUNT(일일실시사항!$B454:$K454)+COUNTIF(일일실시사항!$B454:$K454,"?*")=0,"",TRIM(IF(일일실시사항!$B454="","일자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IF(COUNT(일일실시사항!$B455:$K455)+COUNTIF(일일실시사항!$B455:$K455,"?*")=0,"",TRIM(IF(일일실시사항!$B455="","일자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IF(COUNT(일일실시사항!$B456:$K456)+COUNTIF(일일실시사항!$B456:$K456,"?*")=0,"",TRIM(IF(일일실시사항!$B456="","일자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IF(COUNT(일일실시사항!$B457:$K457)+COUNTIF(일일실시사항!$B457:$K457,"?*")=0,"",TRIM(IF(일일실시사항!$B457="","일자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IF(COUNT(일일실시사항!$B458:$K458)+COUNTIF(일일실시사항!$B458:$K458,"?*")=0,"",TRIM(IF(일일실시사항!$B458="","일자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IF(COUNT(일일실시사항!$B459:$K459)+COUNTIF(일일실시사항!$B459:$K459,"?*")=0,"",TRIM(IF(일일실시사항!$B459="","일자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IF(COUNT(일일실시사항!$B460:$K460)+COUNTIF(일일실시사항!$B460:$K460,"?*")=0,"",TRIM(IF(일일실시사항!$B460="","일자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IF(COUNT(일일실시사항!$B461:$K461)+COUNTIF(일일실시사항!$B461:$K461,"?*")=0,"",TRIM(IF(일일실시사항!$B461="","일자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IF(COUNT(일일실시사항!$B462:$K462)+COUNTIF(일일실시사항!$B462:$K462,"?*")=0,"",TRIM(IF(일일실시사항!$B462="","일자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IF(COUNT(일일실시사항!$B463:$K463)+COUNTIF(일일실시사항!$B463:$K463,"?*")=0,"",TRIM(IF(일일실시사항!$B463="","일자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IF(COUNT(일일실시사항!$B464:$K464)+COUNTIF(일일실시사항!$B464:$K464,"?*")=0,"",TRIM(IF(일일실시사항!$B464="","일자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IF(COUNT(일일실시사항!$B465:$K465)+COUNTIF(일일실시사항!$B465:$K465,"?*")=0,"",TRIM(IF(일일실시사항!$B465="","일자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IF(COUNT(일일실시사항!$B466:$K466)+COUNTIF(일일실시사항!$B466:$K466,"?*")=0,"",TRIM(IF(일일실시사항!$B466="","일자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IF(COUNT(일일실시사항!$B467:$K467)+COUNTIF(일일실시사항!$B467:$K467,"?*")=0,"",TRIM(IF(일일실시사항!$B467="","일자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IF(COUNT(일일실시사항!$B468:$K468)+COUNTIF(일일실시사항!$B468:$K468,"?*")=0,"",TRIM(IF(일일실시사항!$B468="","일자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IF(COUNT(일일실시사항!$B469:$K469)+COUNTIF(일일실시사항!$B469:$K469,"?*")=0,"",TRIM(IF(일일실시사항!$B469="","일자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IF(COUNT(일일실시사항!$B470:$K470)+COUNTIF(일일실시사항!$B470:$K470,"?*")=0,"",TRIM(IF(일일실시사항!$B470="","일자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IF(COUNT(일일실시사항!$B471:$K471)+COUNTIF(일일실시사항!$B471:$K471,"?*")=0,"",TRIM(IF(일일실시사항!$B471="","일자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IF(COUNT(일일실시사항!$B472:$K472)+COUNTIF(일일실시사항!$B472:$K472,"?*")=0,"",TRIM(IF(일일실시사항!$B472="","일자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IF(COUNT(일일실시사항!$B473:$K473)+COUNTIF(일일실시사항!$B473:$K473,"?*")=0,"",TRIM(IF(일일실시사항!$B473="","일자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IF(COUNT(일일실시사항!$B474:$K474)+COUNTIF(일일실시사항!$B474:$K474,"?*")=0,"",TRIM(IF(일일실시사항!$B474="","일자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IF(COUNT(일일실시사항!$B475:$K475)+COUNTIF(일일실시사항!$B475:$K475,"?*")=0,"",TRIM(IF(일일실시사항!$B475="","일자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IF(COUNT(일일실시사항!$B476:$K476)+COUNTIF(일일실시사항!$B476:$K476,"?*")=0,"",TRIM(IF(일일실시사항!$B476="","일자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IF(COUNT(일일실시사항!$B477:$K477)+COUNTIF(일일실시사항!$B477:$K477,"?*")=0,"",TRIM(IF(일일실시사항!$B477="","일자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IF(COUNT(일일실시사항!$B478:$K478)+COUNTIF(일일실시사항!$B478:$K478,"?*")=0,"",TRIM(IF(일일실시사항!$B478="","일자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IF(COUNT(일일실시사항!$B479:$K479)+COUNTIF(일일실시사항!$B479:$K479,"?*")=0,"",TRIM(IF(일일실시사항!$B479="","일자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IF(COUNT(일일실시사항!$B480:$K480)+COUNTIF(일일실시사항!$B480:$K480,"?*")=0,"",TRIM(IF(일일실시사항!$B480="","일자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IF(COUNT(일일실시사항!$B481:$K481)+COUNTIF(일일실시사항!$B481:$K481,"?*")=0,"",TRIM(IF(일일실시사항!$B481="","일자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IF(COUNT(일일실시사항!$B482:$K482)+COUNTIF(일일실시사항!$B482:$K482,"?*")=0,"",TRIM(IF(일일실시사항!$B482="","일자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IF(COUNT(일일실시사항!$B483:$K483)+COUNTIF(일일실시사항!$B483:$K483,"?*")=0,"",TRIM(IF(일일실시사항!$B483="","일자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IF(COUNT(일일실시사항!$B484:$K484)+COUNTIF(일일실시사항!$B484:$K484,"?*")=0,"",TRIM(IF(일일실시사항!$B484="","일자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IF(COUNT(일일실시사항!$B485:$K485)+COUNTIF(일일실시사항!$B485:$K485,"?*")=0,"",TRIM(IF(일일실시사항!$B485="","일자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IF(COUNT(일일실시사항!$B486:$K486)+COUNTIF(일일실시사항!$B486:$K486,"?*")=0,"",TRIM(IF(일일실시사항!$B486="","일자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IF(COUNT(일일실시사항!$B487:$K487)+COUNTIF(일일실시사항!$B487:$K487,"?*")=0,"",TRIM(IF(일일실시사항!$B487="","일자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IF(COUNT(일일실시사항!$B488:$K488)+COUNTIF(일일실시사항!$B488:$K488,"?*")=0,"",TRIM(IF(일일실시사항!$B488="","일자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IF(COUNT(일일실시사항!$B489:$K489)+COUNTIF(일일실시사항!$B489:$K489,"?*")=0,"",TRIM(IF(일일실시사항!$B489="","일자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IF(COUNT(일일실시사항!$B490:$K490)+COUNTIF(일일실시사항!$B490:$K490,"?*")=0,"",TRIM(IF(일일실시사항!$B490="","일자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IF(COUNT(일일실시사항!$B491:$K491)+COUNTIF(일일실시사항!$B491:$K491,"?*")=0,"",TRIM(IF(일일실시사항!$B491="","일자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IF(COUNT(일일실시사항!$B492:$K492)+COUNTIF(일일실시사항!$B492:$K492,"?*")=0,"",TRIM(IF(일일실시사항!$B492="","일자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IF(COUNT(일일실시사항!$B493:$K493)+COUNTIF(일일실시사항!$B493:$K493,"?*")=0,"",TRIM(IF(일일실시사항!$B493="","일자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IF(COUNT(일일실시사항!$B494:$K494)+COUNTIF(일일실시사항!$B494:$K494,"?*")=0,"",TRIM(IF(일일실시사항!$B494="","일자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IF(COUNT(일일실시사항!$B495:$K495)+COUNTIF(일일실시사항!$B495:$K495,"?*")=0,"",TRIM(IF(일일실시사항!$B495="","일자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IF(COUNT(일일실시사항!$B496:$K496)+COUNTIF(일일실시사항!$B496:$K496,"?*")=0,"",TRIM(IF(일일실시사항!$B496="","일자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IF(COUNT(일일실시사항!$B497:$K497)+COUNTIF(일일실시사항!$B497:$K497,"?*")=0,"",TRIM(IF(일일실시사항!$B497="","일자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IF(COUNT(일일실시사항!$B498:$K498)+COUNTIF(일일실시사항!$B498:$K498,"?*")=0,"",TRIM(IF(일일실시사항!$B498="","일자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IF(COUNT(일일실시사항!$B499:$K499)+COUNTIF(일일실시사항!$B499:$K499,"?*")=0,"",TRIM(IF(일일실시사항!$B499="","일자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IF(COUNT(일일실시사항!$B500:$K500)+COUNTIF(일일실시사항!$B500:$K500,"?*")=0,"",TRIM(IF(일일실시사항!$B500="","일자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IF(COUNT(일일실시사항!$B501:$K501)+COUNTIF(일일실시사항!$B501:$K501,"?*")=0,"",TRIM(IF(일일실시사항!$B501="","일자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IF(COUNT(일일실시사항!$B502:$K502)+COUNTIF(일일실시사항!$B502:$K502,"?*")=0,"",TRIM(IF(일일실시사항!$B502="","일자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IF(COUNT(일일실시사항!$B503:$K503)+COUNTIF(일일실시사항!$B503:$K503,"?*")=0,"",TRIM(IF(일일실시사항!$B503="","일자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IF(COUNT(일일실시사항!$B504:$K504)+COUNTIF(일일실시사항!$B504:$K504,"?*")=0,"",TRIM(IF(일일실시사항!$B504="","일자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IF(COUNT(일일실시사항!$B505:$K505)+COUNTIF(일일실시사항!$B505:$K505,"?*")=0,"",TRIM(IF(일일실시사항!$B505="","일자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IF(COUNT(일일실시사항!$B506:$K506)+COUNTIF(일일실시사항!$B506:$K506,"?*")=0,"",TRIM(IF(일일실시사항!$B506="","일자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IF(COUNT(일일실시사항!$B507:$K507)+COUNTIF(일일실시사항!$B507:$K507,"?*")=0,"",TRIM(IF(일일실시사항!$B507="","일자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IF(COUNT(일일실시사항!$B508:$K508)+COUNTIF(일일실시사항!$B508:$K508,"?*")=0,"",TRIM(IF(일일실시사항!$B508="","일자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IF(COUNT(일일실시사항!$B509:$K509)+COUNTIF(일일실시사항!$B509:$K509,"?*")=0,"",TRIM(IF(일일실시사항!$B509="","일자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IF(COUNT(일일실시사항!$B510:$K510)+COUNTIF(일일실시사항!$B510:$K510,"?*")=0,"",TRIM(IF(일일실시사항!$B510="","일자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IF(COUNT(일일실시사항!$B511:$K511)+COUNTIF(일일실시사항!$B511:$K511,"?*")=0,"",TRIM(IF(일일실시사항!$B511="","일자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IF(COUNT(일일실시사항!$B512:$K512)+COUNTIF(일일실시사항!$B512:$K512,"?*")=0,"",TRIM(IF(일일실시사항!$B512="","일자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IF(COUNT(일일실시사항!$B513:$K513)+COUNTIF(일일실시사항!$B513:$K513,"?*")=0,"",TRIM(IF(일일실시사항!$B513="","일자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IF(COUNT(일일실시사항!$B514:$K514)+COUNTIF(일일실시사항!$B514:$K514,"?*")=0,"",TRIM(IF(일일실시사항!$B514="","일자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IF(COUNT(일일실시사항!$B515:$K515)+COUNTIF(일일실시사항!$B515:$K515,"?*")=0,"",TRIM(IF(일일실시사항!$B515="","일자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IF(COUNT(일일실시사항!$B516:$K516)+COUNTIF(일일실시사항!$B516:$K516,"?*")=0,"",TRIM(IF(일일실시사항!$B516="","일자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IF(COUNT(일일실시사항!$B517:$K517)+COUNTIF(일일실시사항!$B517:$K517,"?*")=0,"",TRIM(IF(일일실시사항!$B517="","일자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IF(COUNT(일일실시사항!$B518:$K518)+COUNTIF(일일실시사항!$B518:$K518,"?*")=0,"",TRIM(IF(일일실시사항!$B518="","일자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IF(COUNT(일일실시사항!$B519:$K519)+COUNTIF(일일실시사항!$B519:$K519,"?*")=0,"",TRIM(IF(일일실시사항!$B519="","일자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IF(COUNT(일일실시사항!$B520:$K520)+COUNTIF(일일실시사항!$B520:$K520,"?*")=0,"",TRIM(IF(일일실시사항!$B520="","일자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IF(COUNT(일일실시사항!$B521:$K521)+COUNTIF(일일실시사항!$B521:$K521,"?*")=0,"",TRIM(IF(일일실시사항!$B521="","일자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IF(COUNT(일일실시사항!$B522:$K522)+COUNTIF(일일실시사항!$B522:$K522,"?*")=0,"",TRIM(IF(일일실시사항!$B522="","일자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IF(COUNT(일일실시사항!$B523:$K523)+COUNTIF(일일실시사항!$B523:$K523,"?*")=0,"",TRIM(IF(일일실시사항!$B523="","일자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IF(COUNT(일일실시사항!$B524:$K524)+COUNTIF(일일실시사항!$B524:$K524,"?*")=0,"",TRIM(IF(일일실시사항!$B524="","일자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IF(COUNT(일일실시사항!$B525:$K525)+COUNTIF(일일실시사항!$B525:$K525,"?*")=0,"",TRIM(IF(일일실시사항!$B525="","일자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IF(COUNT(일일실시사항!$B526:$K526)+COUNTIF(일일실시사항!$B526:$K526,"?*")=0,"",TRIM(IF(일일실시사항!$B526="","일자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IF(COUNT(일일실시사항!$B527:$K527)+COUNTIF(일일실시사항!$B527:$K527,"?*")=0,"",TRIM(IF(일일실시사항!$B527="","일자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IF(COUNT(일일실시사항!$B528:$K528)+COUNTIF(일일실시사항!$B528:$K528,"?*")=0,"",TRIM(IF(일일실시사항!$B528="","일자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IF(COUNT(일일실시사항!$B529:$K529)+COUNTIF(일일실시사항!$B529:$K529,"?*")=0,"",TRIM(IF(일일실시사항!$B529="","일자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IF(COUNT(일일실시사항!$B530:$K530)+COUNTIF(일일실시사항!$B530:$K530,"?*")=0,"",TRIM(IF(일일실시사항!$B530="","일자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IF(COUNT(일일실시사항!$B531:$K531)+COUNTIF(일일실시사항!$B531:$K531,"?*")=0,"",TRIM(IF(일일실시사항!$B531="","일자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IF(COUNT(일일실시사항!$B532:$K532)+COUNTIF(일일실시사항!$B532:$K532,"?*")=0,"",TRIM(IF(일일실시사항!$B532="","일자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IF(COUNT(일일실시사항!$B533:$K533)+COUNTIF(일일실시사항!$B533:$K533,"?*")=0,"",TRIM(IF(일일실시사항!$B533="","일자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IF(COUNT(일일실시사항!$B534:$K534)+COUNTIF(일일실시사항!$B534:$K534,"?*")=0,"",TRIM(IF(일일실시사항!$B534="","일자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IF(COUNT(일일실시사항!$B535:$K535)+COUNTIF(일일실시사항!$B535:$K535,"?*")=0,"",TRIM(IF(일일실시사항!$B535="","일자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IF(COUNT(일일실시사항!$B536:$K536)+COUNTIF(일일실시사항!$B536:$K536,"?*")=0,"",TRIM(IF(일일실시사항!$B536="","일자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IF(COUNT(일일실시사항!$B537:$K537)+COUNTIF(일일실시사항!$B537:$K537,"?*")=0,"",TRIM(IF(일일실시사항!$B537="","일자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IF(COUNT(일일실시사항!$B538:$K538)+COUNTIF(일일실시사항!$B538:$K538,"?*")=0,"",TRIM(IF(일일실시사항!$B538="","일자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IF(COUNT(일일실시사항!$B539:$K539)+COUNTIF(일일실시사항!$B539:$K539,"?*")=0,"",TRIM(IF(일일실시사항!$B539="","일자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IF(COUNT(일일실시사항!$B540:$K540)+COUNTIF(일일실시사항!$B540:$K540,"?*")=0,"",TRIM(IF(일일실시사항!$B540="","일자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IF(COUNT(일일실시사항!$B541:$K541)+COUNTIF(일일실시사항!$B541:$K541,"?*")=0,"",TRIM(IF(일일실시사항!$B541="","일자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IF(COUNT(일일실시사항!$B542:$K542)+COUNTIF(일일실시사항!$B542:$K542,"?*")=0,"",TRIM(IF(일일실시사항!$B542="","일자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IF(COUNT(일일실시사항!$B543:$K543)+COUNTIF(일일실시사항!$B543:$K543,"?*")=0,"",TRIM(IF(일일실시사항!$B543="","일자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IF(COUNT(일일실시사항!$B544:$K544)+COUNTIF(일일실시사항!$B544:$K544,"?*")=0,"",TRIM(IF(일일실시사항!$B544="","일자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IF(COUNT(일일실시사항!$B545:$K545)+COUNTIF(일일실시사항!$B545:$K545,"?*")=0,"",TRIM(IF(일일실시사항!$B545="","일자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IF(COUNT(일일실시사항!$B546:$K546)+COUNTIF(일일실시사항!$B546:$K546,"?*")=0,"",TRIM(IF(일일실시사항!$B546="","일자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IF(COUNT(일일실시사항!$B547:$K547)+COUNTIF(일일실시사항!$B547:$K547,"?*")=0,"",TRIM(IF(일일실시사항!$B547="","일자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IF(COUNT(일일실시사항!$B548:$K548)+COUNTIF(일일실시사항!$B548:$K548,"?*")=0,"",TRIM(IF(일일실시사항!$B548="","일자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IF(COUNT(일일실시사항!$B549:$K549)+COUNTIF(일일실시사항!$B549:$K549,"?*")=0,"",TRIM(IF(일일실시사항!$B549="","일자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IF(COUNT(일일실시사항!$B550:$K550)+COUNTIF(일일실시사항!$B550:$K550,"?*")=0,"",TRIM(IF(일일실시사항!$B550="","일자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IF(COUNT(일일실시사항!$B551:$K551)+COUNTIF(일일실시사항!$B551:$K551,"?*")=0,"",TRIM(IF(일일실시사항!$B551="","일자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IF(COUNT(일일실시사항!$B552:$K552)+COUNTIF(일일실시사항!$B552:$K552,"?*")=0,"",TRIM(IF(일일실시사항!$B552="","일자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IF(COUNT(일일실시사항!$B553:$K553)+COUNTIF(일일실시사항!$B553:$K553,"?*")=0,"",TRIM(IF(일일실시사항!$B553="","일자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IF(COUNT(일일실시사항!$B554:$K554)+COUNTIF(일일실시사항!$B554:$K554,"?*")=0,"",TRIM(IF(일일실시사항!$B554="","일자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IF(COUNT(일일실시사항!$B555:$K555)+COUNTIF(일일실시사항!$B555:$K555,"?*")=0,"",TRIM(IF(일일실시사항!$B555="","일자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IF(COUNT(일일실시사항!$B556:$K556)+COUNTIF(일일실시사항!$B556:$K556,"?*")=0,"",TRIM(IF(일일실시사항!$B556="","일자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IF(COUNT(일일실시사항!$B557:$K557)+COUNTIF(일일실시사항!$B557:$K557,"?*")=0,"",TRIM(IF(일일실시사항!$B557="","일자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IF(COUNT(일일실시사항!$B558:$K558)+COUNTIF(일일실시사항!$B558:$K558,"?*")=0,"",TRIM(IF(일일실시사항!$B558="","일자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IF(COUNT(일일실시사항!$B559:$K559)+COUNTIF(일일실시사항!$B559:$K559,"?*")=0,"",TRIM(IF(일일실시사항!$B559="","일자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IF(COUNT(일일실시사항!$B560:$K560)+COUNTIF(일일실시사항!$B560:$K560,"?*")=0,"",TRIM(IF(일일실시사항!$B560="","일자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IF(COUNT(일일실시사항!$B561:$K561)+COUNTIF(일일실시사항!$B561:$K561,"?*")=0,"",TRIM(IF(일일실시사항!$B561="","일자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IF(COUNT(일일실시사항!$B562:$K562)+COUNTIF(일일실시사항!$B562:$K562,"?*")=0,"",TRIM(IF(일일실시사항!$B562="","일자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IF(COUNT(일일실시사항!$B563:$K563)+COUNTIF(일일실시사항!$B563:$K563,"?*")=0,"",TRIM(IF(일일실시사항!$B563="","일자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IF(COUNT(일일실시사항!$B564:$K564)+COUNTIF(일일실시사항!$B564:$K564,"?*")=0,"",TRIM(IF(일일실시사항!$B564="","일자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IF(COUNT(일일실시사항!$B565:$K565)+COUNTIF(일일실시사항!$B565:$K565,"?*")=0,"",TRIM(IF(일일실시사항!$B565="","일자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IF(COUNT(일일실시사항!$B566:$K566)+COUNTIF(일일실시사항!$B566:$K566,"?*")=0,"",TRIM(IF(일일실시사항!$B566="","일자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IF(COUNT(일일실시사항!$B567:$K567)+COUNTIF(일일실시사항!$B567:$K567,"?*")=0,"",TRIM(IF(일일실시사항!$B567="","일자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IF(COUNT(일일실시사항!$B568:$K568)+COUNTIF(일일실시사항!$B568:$K568,"?*")=0,"",TRIM(IF(일일실시사항!$B568="","일자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IF(COUNT(일일실시사항!$B569:$K569)+COUNTIF(일일실시사항!$B569:$K569,"?*")=0,"",TRIM(IF(일일실시사항!$B569="","일자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IF(COUNT(일일실시사항!$B570:$K570)+COUNTIF(일일실시사항!$B570:$K570,"?*")=0,"",TRIM(IF(일일실시사항!$B570="","일자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IF(COUNT(일일실시사항!$B571:$K571)+COUNTIF(일일실시사항!$B571:$K571,"?*")=0,"",TRIM(IF(일일실시사항!$B571="","일자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IF(COUNT(일일실시사항!$B572:$K572)+COUNTIF(일일실시사항!$B572:$K572,"?*")=0,"",TRIM(IF(일일실시사항!$B572="","일자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IF(COUNT(일일실시사항!$B573:$K573)+COUNTIF(일일실시사항!$B573:$K573,"?*")=0,"",TRIM(IF(일일실시사항!$B573="","일자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IF(COUNT(일일실시사항!$B574:$K574)+COUNTIF(일일실시사항!$B574:$K574,"?*")=0,"",TRIM(IF(일일실시사항!$B574="","일자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IF(COUNT(일일실시사항!$B575:$K575)+COUNTIF(일일실시사항!$B575:$K575,"?*")=0,"",TRIM(IF(일일실시사항!$B575="","일자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IF(COUNT(일일실시사항!$B576:$K576)+COUNTIF(일일실시사항!$B576:$K576,"?*")=0,"",TRIM(IF(일일실시사항!$B576="","일자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IF(COUNT(일일실시사항!$B577:$K577)+COUNTIF(일일실시사항!$B577:$K577,"?*")=0,"",TRIM(IF(일일실시사항!$B577="","일자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IF(COUNT(일일실시사항!$B578:$K578)+COUNTIF(일일실시사항!$B578:$K578,"?*")=0,"",TRIM(IF(일일실시사항!$B578="","일자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IF(COUNT(일일실시사항!$B579:$K579)+COUNTIF(일일실시사항!$B579:$K579,"?*")=0,"",TRIM(IF(일일실시사항!$B579="","일자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IF(COUNT(일일실시사항!$B580:$K580)+COUNTIF(일일실시사항!$B580:$K580,"?*")=0,"",TRIM(IF(일일실시사항!$B580="","일자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IF(COUNT(일일실시사항!$B581:$K581)+COUNTIF(일일실시사항!$B581:$K581,"?*")=0,"",TRIM(IF(일일실시사항!$B581="","일자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IF(COUNT(일일실시사항!$B582:$K582)+COUNTIF(일일실시사항!$B582:$K582,"?*")=0,"",TRIM(IF(일일실시사항!$B582="","일자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IF(COUNT(일일실시사항!$B583:$K583)+COUNTIF(일일실시사항!$B583:$K583,"?*")=0,"",TRIM(IF(일일실시사항!$B583="","일자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IF(COUNT(일일실시사항!$B584:$K584)+COUNTIF(일일실시사항!$B584:$K584,"?*")=0,"",TRIM(IF(일일실시사항!$B584="","일자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IF(COUNT(일일실시사항!$B585:$K585)+COUNTIF(일일실시사항!$B585:$K585,"?*")=0,"",TRIM(IF(일일실시사항!$B585="","일자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IF(COUNT(일일실시사항!$B586:$K586)+COUNTIF(일일실시사항!$B586:$K586,"?*")=0,"",TRIM(IF(일일실시사항!$B586="","일자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IF(COUNT(일일실시사항!$B587:$K587)+COUNTIF(일일실시사항!$B587:$K587,"?*")=0,"",TRIM(IF(일일실시사항!$B587="","일자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IF(COUNT(일일실시사항!$B588:$K588)+COUNTIF(일일실시사항!$B588:$K588,"?*")=0,"",TRIM(IF(일일실시사항!$B588="","일자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IF(COUNT(일일실시사항!$B589:$K589)+COUNTIF(일일실시사항!$B589:$K589,"?*")=0,"",TRIM(IF(일일실시사항!$B589="","일자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IF(COUNT(일일실시사항!$B590:$K590)+COUNTIF(일일실시사항!$B590:$K590,"?*")=0,"",TRIM(IF(일일실시사항!$B590="","일자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IF(COUNT(일일실시사항!$B591:$K591)+COUNTIF(일일실시사항!$B591:$K591,"?*")=0,"",TRIM(IF(일일실시사항!$B591="","일자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IF(COUNT(일일실시사항!$B592:$K592)+COUNTIF(일일실시사항!$B592:$K592,"?*")=0,"",TRIM(IF(일일실시사항!$B592="","일자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IF(COUNT(일일실시사항!$B593:$K593)+COUNTIF(일일실시사항!$B593:$K593,"?*")=0,"",TRIM(IF(일일실시사항!$B593="","일자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IF(COUNT(일일실시사항!$B594:$K594)+COUNTIF(일일실시사항!$B594:$K594,"?*")=0,"",TRIM(IF(일일실시사항!$B594="","일자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IF(COUNT(일일실시사항!$B595:$K595)+COUNTIF(일일실시사항!$B595:$K595,"?*")=0,"",TRIM(IF(일일실시사항!$B595="","일자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IF(COUNT(일일실시사항!$B596:$K596)+COUNTIF(일일실시사항!$B596:$K596,"?*")=0,"",TRIM(IF(일일실시사항!$B596="","일자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IF(COUNT(일일실시사항!$B597:$K597)+COUNTIF(일일실시사항!$B597:$K597,"?*")=0,"",TRIM(IF(일일실시사항!$B597="","일자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IF(COUNT(일일실시사항!$B598:$K598)+COUNTIF(일일실시사항!$B598:$K598,"?*")=0,"",TRIM(IF(일일실시사항!$B598="","일자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IF(COUNT(일일실시사항!$B599:$K599)+COUNTIF(일일실시사항!$B599:$K599,"?*")=0,"",TRIM(IF(일일실시사항!$B599="","일자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IF(COUNT(일일실시사항!$B600:$K600)+COUNTIF(일일실시사항!$B600:$K600,"?*")=0,"",TRIM(IF(일일실시사항!$B600="","일자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IF(COUNT(일일실시사항!$B601:$K601)+COUNTIF(일일실시사항!$B601:$K601,"?*")=0,"",TRIM(IF(일일실시사항!$B601="","일자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IF(COUNT(일일실시사항!$B602:$K602)+COUNTIF(일일실시사항!$B602:$K602,"?*")=0,"",TRIM(IF(일일실시사항!$B602="","일자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IF(COUNT(일일실시사항!$B603:$K603)+COUNTIF(일일실시사항!$B603:$K603,"?*")=0,"",TRIM(IF(일일실시사항!$B603="","일자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IF(COUNT(일일실시사항!$B604:$K604)+COUNTIF(일일실시사항!$B604:$K604,"?*")=0,"",TRIM(IF(일일실시사항!$B604="","일자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IF(COUNT(일일실시사항!$B605:$K605)+COUNTIF(일일실시사항!$B605:$K605,"?*")=0,"",TRIM(IF(일일실시사항!$B605="","일자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IF(COUNT(일일실시사항!$B606:$K606)+COUNTIF(일일실시사항!$B606:$K606,"?*")=0,"",TRIM(IF(일일실시사항!$B606="","일자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IF(COUNT(일일실시사항!$B607:$K607)+COUNTIF(일일실시사항!$B607:$K607,"?*")=0,"",TRIM(IF(일일실시사항!$B607="","일자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IF(COUNT(일일실시사항!$B608:$K608)+COUNTIF(일일실시사항!$B608:$K608,"?*")=0,"",TRIM(IF(일일실시사항!$B608="","일자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IF(COUNT(일일실시사항!$B609:$K609)+COUNTIF(일일실시사항!$B609:$K609,"?*")=0,"",TRIM(IF(일일실시사항!$B609="","일자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IF(COUNT(일일실시사항!$B610:$K610)+COUNTIF(일일실시사항!$B610:$K610,"?*")=0,"",TRIM(IF(일일실시사항!$B610="","일자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IF(COUNT(일일실시사항!$B611:$K611)+COUNTIF(일일실시사항!$B611:$K611,"?*")=0,"",TRIM(IF(일일실시사항!$B611="","일자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IF(COUNT(일일실시사항!$B612:$K612)+COUNTIF(일일실시사항!$B612:$K612,"?*")=0,"",TRIM(IF(일일실시사항!$B612="","일자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IF(COUNT(일일실시사항!$B613:$K613)+COUNTIF(일일실시사항!$B613:$K613,"?*")=0,"",TRIM(IF(일일실시사항!$B613="","일자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IF(COUNT(일일실시사항!$B614:$K614)+COUNTIF(일일실시사항!$B614:$K614,"?*")=0,"",TRIM(IF(일일실시사항!$B614="","일자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IF(COUNT(일일실시사항!$B615:$K615)+COUNTIF(일일실시사항!$B615:$K615,"?*")=0,"",TRIM(IF(일일실시사항!$B615="","일자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IF(COUNT(일일실시사항!$B616:$K616)+COUNTIF(일일실시사항!$B616:$K616,"?*")=0,"",TRIM(IF(일일실시사항!$B616="","일자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IF(COUNT(일일실시사항!$B617:$K617)+COUNTIF(일일실시사항!$B617:$K617,"?*")=0,"",TRIM(IF(일일실시사항!$B617="","일자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IF(COUNT(일일실시사항!$B618:$K618)+COUNTIF(일일실시사항!$B618:$K618,"?*")=0,"",TRIM(IF(일일실시사항!$B618="","일자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IF(COUNT(일일실시사항!$B619:$K619)+COUNTIF(일일실시사항!$B619:$K619,"?*")=0,"",TRIM(IF(일일실시사항!$B619="","일자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IF(COUNT(일일실시사항!$B620:$K620)+COUNTIF(일일실시사항!$B620:$K620,"?*")=0,"",TRIM(IF(일일실시사항!$B620="","일자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IF(COUNT(일일실시사항!$B621:$K621)+COUNTIF(일일실시사항!$B621:$K621,"?*")=0,"",TRIM(IF(일일실시사항!$B621="","일자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IF(COUNT(일일실시사항!$B622:$K622)+COUNTIF(일일실시사항!$B622:$K622,"?*")=0,"",TRIM(IF(일일실시사항!$B622="","일자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IF(COUNT(일일실시사항!$B623:$K623)+COUNTIF(일일실시사항!$B623:$K623,"?*")=0,"",TRIM(IF(일일실시사항!$B623="","일자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IF(COUNT(일일실시사항!$B624:$K624)+COUNTIF(일일실시사항!$B624:$K624,"?*")=0,"",TRIM(IF(일일실시사항!$B624="","일자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IF(COUNT(일일실시사항!$B625:$K625)+COUNTIF(일일실시사항!$B625:$K625,"?*")=0,"",TRIM(IF(일일실시사항!$B625="","일자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IF(COUNT(일일실시사항!$B626:$K626)+COUNTIF(일일실시사항!$B626:$K626,"?*")=0,"",TRIM(IF(일일실시사항!$B626="","일자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IF(COUNT(일일실시사항!$B627:$K627)+COUNTIF(일일실시사항!$B627:$K627,"?*")=0,"",TRIM(IF(일일실시사항!$B627="","일자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IF(COUNT(일일실시사항!$B628:$K628)+COUNTIF(일일실시사항!$B628:$K628,"?*")=0,"",TRIM(IF(일일실시사항!$B628="","일자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IF(COUNT(일일실시사항!$B629:$K629)+COUNTIF(일일실시사항!$B629:$K629,"?*")=0,"",TRIM(IF(일일실시사항!$B629="","일자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IF(COUNT(일일실시사항!$B630:$K630)+COUNTIF(일일실시사항!$B630:$K630,"?*")=0,"",TRIM(IF(일일실시사항!$B630="","일자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IF(COUNT(일일실시사항!$B631:$K631)+COUNTIF(일일실시사항!$B631:$K631,"?*")=0,"",TRIM(IF(일일실시사항!$B631="","일자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IF(COUNT(일일실시사항!$B632:$K632)+COUNTIF(일일실시사항!$B632:$K632,"?*")=0,"",TRIM(IF(일일실시사항!$B632="","일자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IF(COUNT(일일실시사항!$B633:$K633)+COUNTIF(일일실시사항!$B633:$K633,"?*")=0,"",TRIM(IF(일일실시사항!$B633="","일자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IF(COUNT(일일실시사항!$B634:$K634)+COUNTIF(일일실시사항!$B634:$K634,"?*")=0,"",TRIM(IF(일일실시사항!$B634="","일자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IF(COUNT(일일실시사항!$B635:$K635)+COUNTIF(일일실시사항!$B635:$K635,"?*")=0,"",TRIM(IF(일일실시사항!$B635="","일자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IF(COUNT(일일실시사항!$B636:$K636)+COUNTIF(일일실시사항!$B636:$K636,"?*")=0,"",TRIM(IF(일일실시사항!$B636="","일자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IF(COUNT(일일실시사항!$B637:$K637)+COUNTIF(일일실시사항!$B637:$K637,"?*")=0,"",TRIM(IF(일일실시사항!$B637="","일자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IF(COUNT(일일실시사항!$B638:$K638)+COUNTIF(일일실시사항!$B638:$K638,"?*")=0,"",TRIM(IF(일일실시사항!$B638="","일자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IF(COUNT(일일실시사항!$B639:$K639)+COUNTIF(일일실시사항!$B639:$K639,"?*")=0,"",TRIM(IF(일일실시사항!$B639="","일자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IF(COUNT(일일실시사항!$B640:$K640)+COUNTIF(일일실시사항!$B640:$K640,"?*")=0,"",TRIM(IF(일일실시사항!$B640="","일자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IF(COUNT(일일실시사항!$B641:$K641)+COUNTIF(일일실시사항!$B641:$K641,"?*")=0,"",TRIM(IF(일일실시사항!$B641="","일자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IF(COUNT(일일실시사항!$B642:$K642)+COUNTIF(일일실시사항!$B642:$K642,"?*")=0,"",TRIM(IF(일일실시사항!$B642="","일자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IF(COUNT(일일실시사항!$B643:$K643)+COUNTIF(일일실시사항!$B643:$K643,"?*")=0,"",TRIM(IF(일일실시사항!$B643="","일자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IF(COUNT(일일실시사항!$B644:$K644)+COUNTIF(일일실시사항!$B644:$K644,"?*")=0,"",TRIM(IF(일일실시사항!$B644="","일자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IF(COUNT(일일실시사항!$B645:$K645)+COUNTIF(일일실시사항!$B645:$K645,"?*")=0,"",TRIM(IF(일일실시사항!$B645="","일자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IF(COUNT(일일실시사항!$B646:$K646)+COUNTIF(일일실시사항!$B646:$K646,"?*")=0,"",TRIM(IF(일일실시사항!$B646="","일자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IF(COUNT(일일실시사항!$B647:$K647)+COUNTIF(일일실시사항!$B647:$K647,"?*")=0,"",TRIM(IF(일일실시사항!$B647="","일자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IF(COUNT(일일실시사항!$B648:$K648)+COUNTIF(일일실시사항!$B648:$K648,"?*")=0,"",TRIM(IF(일일실시사항!$B648="","일자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IF(COUNT(일일실시사항!$B649:$K649)+COUNTIF(일일실시사항!$B649:$K649,"?*")=0,"",TRIM(IF(일일실시사항!$B649="","일자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IF(COUNT(일일실시사항!$B650:$K650)+COUNTIF(일일실시사항!$B650:$K650,"?*")=0,"",TRIM(IF(일일실시사항!$B650="","일자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IF(COUNT(일일실시사항!$B651:$K651)+COUNTIF(일일실시사항!$B651:$K651,"?*")=0,"",TRIM(IF(일일실시사항!$B651="","일자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IF(COUNT(일일실시사항!$B652:$K652)+COUNTIF(일일실시사항!$B652:$K652,"?*")=0,"",TRIM(IF(일일실시사항!$B652="","일자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IF(COUNT(일일실시사항!$B653:$K653)+COUNTIF(일일실시사항!$B653:$K653,"?*")=0,"",TRIM(IF(일일실시사항!$B653="","일자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IF(COUNT(일일실시사항!$B654:$K654)+COUNTIF(일일실시사항!$B654:$K654,"?*")=0,"",TRIM(IF(일일실시사항!$B654="","일자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IF(COUNT(일일실시사항!$B655:$K655)+COUNTIF(일일실시사항!$B655:$K655,"?*")=0,"",TRIM(IF(일일실시사항!$B655="","일자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IF(COUNT(일일실시사항!$B656:$K656)+COUNTIF(일일실시사항!$B656:$K656,"?*")=0,"",TRIM(IF(일일실시사항!$B656="","일자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IF(COUNT(일일실시사항!$B657:$K657)+COUNTIF(일일실시사항!$B657:$K657,"?*")=0,"",TRIM(IF(일일실시사항!$B657="","일자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IF(COUNT(일일실시사항!$B658:$K658)+COUNTIF(일일실시사항!$B658:$K658,"?*")=0,"",TRIM(IF(일일실시사항!$B658="","일자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IF(COUNT(일일실시사항!$B659:$K659)+COUNTIF(일일실시사항!$B659:$K659,"?*")=0,"",TRIM(IF(일일실시사항!$B659="","일자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IF(COUNT(일일실시사항!$B660:$K660)+COUNTIF(일일실시사항!$B660:$K660,"?*")=0,"",TRIM(IF(일일실시사항!$B660="","일자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IF(COUNT(일일실시사항!$B661:$K661)+COUNTIF(일일실시사항!$B661:$K661,"?*")=0,"",TRIM(IF(일일실시사항!$B661="","일자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IF(COUNT(일일실시사항!$B662:$K662)+COUNTIF(일일실시사항!$B662:$K662,"?*")=0,"",TRIM(IF(일일실시사항!$B662="","일자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IF(COUNT(일일실시사항!$B663:$K663)+COUNTIF(일일실시사항!$B663:$K663,"?*")=0,"",TRIM(IF(일일실시사항!$B663="","일자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IF(COUNT(일일실시사항!$B664:$K664)+COUNTIF(일일실시사항!$B664:$K664,"?*")=0,"",TRIM(IF(일일실시사항!$B664="","일자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IF(COUNT(일일실시사항!$B665:$K665)+COUNTIF(일일실시사항!$B665:$K665,"?*")=0,"",TRIM(IF(일일실시사항!$B665="","일자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IF(COUNT(일일실시사항!$B666:$K666)+COUNTIF(일일실시사항!$B666:$K666,"?*")=0,"",TRIM(IF(일일실시사항!$B666="","일자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IF(COUNT(일일실시사항!$B667:$K667)+COUNTIF(일일실시사항!$B667:$K667,"?*")=0,"",TRIM(IF(일일실시사항!$B667="","일자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IF(COUNT(일일실시사항!$B668:$K668)+COUNTIF(일일실시사항!$B668:$K668,"?*")=0,"",TRIM(IF(일일실시사항!$B668="","일자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IF(COUNT(일일실시사항!$B669:$K669)+COUNTIF(일일실시사항!$B669:$K669,"?*")=0,"",TRIM(IF(일일실시사항!$B669="","일자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IF(COUNT(일일실시사항!$B670:$K670)+COUNTIF(일일실시사항!$B670:$K670,"?*")=0,"",TRIM(IF(일일실시사항!$B670="","일자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IF(COUNT(일일실시사항!$B671:$K671)+COUNTIF(일일실시사항!$B671:$K671,"?*")=0,"",TRIM(IF(일일실시사항!$B671="","일자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IF(COUNT(일일실시사항!$B672:$K672)+COUNTIF(일일실시사항!$B672:$K672,"?*")=0,"",TRIM(IF(일일실시사항!$B672="","일자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IF(COUNT(일일실시사항!$B673:$K673)+COUNTIF(일일실시사항!$B673:$K673,"?*")=0,"",TRIM(IF(일일실시사항!$B673="","일자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IF(COUNT(일일실시사항!$B674:$K674)+COUNTIF(일일실시사항!$B674:$K674,"?*")=0,"",TRIM(IF(일일실시사항!$B674="","일자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IF(COUNT(일일실시사항!$B675:$K675)+COUNTIF(일일실시사항!$B675:$K675,"?*")=0,"",TRIM(IF(일일실시사항!$B675="","일자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IF(COUNT(일일실시사항!$B676:$K676)+COUNTIF(일일실시사항!$B676:$K676,"?*")=0,"",TRIM(IF(일일실시사항!$B676="","일자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IF(COUNT(일일실시사항!$B677:$K677)+COUNTIF(일일실시사항!$B677:$K677,"?*")=0,"",TRIM(IF(일일실시사항!$B677="","일자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IF(COUNT(일일실시사항!$B678:$K678)+COUNTIF(일일실시사항!$B678:$K678,"?*")=0,"",TRIM(IF(일일실시사항!$B678="","일자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IF(COUNT(일일실시사항!$B679:$K679)+COUNTIF(일일실시사항!$B679:$K679,"?*")=0,"",TRIM(IF(일일실시사항!$B679="","일자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IF(COUNT(일일실시사항!$B680:$K680)+COUNTIF(일일실시사항!$B680:$K680,"?*")=0,"",TRIM(IF(일일실시사항!$B680="","일자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IF(COUNT(일일실시사항!$B681:$K681)+COUNTIF(일일실시사항!$B681:$K681,"?*")=0,"",TRIM(IF(일일실시사항!$B681="","일자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IF(COUNT(일일실시사항!$B682:$K682)+COUNTIF(일일실시사항!$B682:$K682,"?*")=0,"",TRIM(IF(일일실시사항!$B682="","일자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IF(COUNT(일일실시사항!$B683:$K683)+COUNTIF(일일실시사항!$B683:$K683,"?*")=0,"",TRIM(IF(일일실시사항!$B683="","일자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IF(COUNT(일일실시사항!$B684:$K684)+COUNTIF(일일실시사항!$B684:$K684,"?*")=0,"",TRIM(IF(일일실시사항!$B684="","일자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IF(COUNT(일일실시사항!$B685:$K685)+COUNTIF(일일실시사항!$B685:$K685,"?*")=0,"",TRIM(IF(일일실시사항!$B685="","일자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IF(COUNT(일일실시사항!$B686:$K686)+COUNTIF(일일실시사항!$B686:$K686,"?*")=0,"",TRIM(IF(일일실시사항!$B686="","일자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IF(COUNT(일일실시사항!$B687:$K687)+COUNTIF(일일실시사항!$B687:$K687,"?*")=0,"",TRIM(IF(일일실시사항!$B687="","일자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IF(COUNT(일일실시사항!$B688:$K688)+COUNTIF(일일실시사항!$B688:$K688,"?*")=0,"",TRIM(IF(일일실시사항!$B688="","일자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IF(COUNT(일일실시사항!$B689:$K689)+COUNTIF(일일실시사항!$B689:$K689,"?*")=0,"",TRIM(IF(일일실시사항!$B689="","일자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IF(COUNT(일일실시사항!$B690:$K690)+COUNTIF(일일실시사항!$B690:$K690,"?*")=0,"",TRIM(IF(일일실시사항!$B690="","일자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IF(COUNT(일일실시사항!$B691:$K691)+COUNTIF(일일실시사항!$B691:$K691,"?*")=0,"",TRIM(IF(일일실시사항!$B691="","일자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IF(COUNT(일일실시사항!$B692:$K692)+COUNTIF(일일실시사항!$B692:$K692,"?*")=0,"",TRIM(IF(일일실시사항!$B692="","일자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IF(COUNT(일일실시사항!$B693:$K693)+COUNTIF(일일실시사항!$B693:$K693,"?*")=0,"",TRIM(IF(일일실시사항!$B693="","일자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IF(COUNT(일일실시사항!$B694:$K694)+COUNTIF(일일실시사항!$B694:$K694,"?*")=0,"",TRIM(IF(일일실시사항!$B694="","일자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IF(COUNT(일일실시사항!$B695:$K695)+COUNTIF(일일실시사항!$B695:$K695,"?*")=0,"",TRIM(IF(일일실시사항!$B695="","일자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IF(COUNT(일일실시사항!$B696:$K696)+COUNTIF(일일실시사항!$B696:$K696,"?*")=0,"",TRIM(IF(일일실시사항!$B696="","일자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IF(COUNT(일일실시사항!$B697:$K697)+COUNTIF(일일실시사항!$B697:$K697,"?*")=0,"",TRIM(IF(일일실시사항!$B697="","일자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IF(COUNT(일일실시사항!$B698:$K698)+COUNTIF(일일실시사항!$B698:$K698,"?*")=0,"",TRIM(IF(일일실시사항!$B698="","일자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IF(COUNT(일일실시사항!$B699:$K699)+COUNTIF(일일실시사항!$B699:$K699,"?*")=0,"",TRIM(IF(일일실시사항!$B699="","일자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IF(COUNT(일일실시사항!$B700:$K700)+COUNTIF(일일실시사항!$B700:$K700,"?*")=0,"",TRIM(IF(일일실시사항!$B700="","일자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IF(COUNT(일일실시사항!$B701:$K701)+COUNTIF(일일실시사항!$B701:$K701,"?*")=0,"",TRIM(IF(일일실시사항!$B701="","일자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IF(COUNT(일일실시사항!$B702:$K702)+COUNTIF(일일실시사항!$B702:$K702,"?*")=0,"",TRIM(IF(일일실시사항!$B702="","일자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IF(COUNT(일일실시사항!$B703:$K703)+COUNTIF(일일실시사항!$B703:$K703,"?*")=0,"",TRIM(IF(일일실시사항!$B703="","일자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IF(COUNT(일일실시사항!$B704:$K704)+COUNTIF(일일실시사항!$B704:$K704,"?*")=0,"",TRIM(IF(일일실시사항!$B704="","일자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IF(COUNT(일일실시사항!$B705:$K705)+COUNTIF(일일실시사항!$B705:$K705,"?*")=0,"",TRIM(IF(일일실시사항!$B705="","일자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IF(COUNT(일일실시사항!$B706:$K706)+COUNTIF(일일실시사항!$B706:$K706,"?*")=0,"",TRIM(IF(일일실시사항!$B706="","일자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IF(COUNT(일일실시사항!$B707:$K707)+COUNTIF(일일실시사항!$B707:$K707,"?*")=0,"",TRIM(IF(일일실시사항!$B707="","일자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IF(COUNT(일일실시사항!$B708:$K708)+COUNTIF(일일실시사항!$B708:$K708,"?*")=0,"",TRIM(IF(일일실시사항!$B708="","일자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IF(COUNT(일일실시사항!$B709:$K709)+COUNTIF(일일실시사항!$B709:$K709,"?*")=0,"",TRIM(IF(일일실시사항!$B709="","일자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IF(COUNT(일일실시사항!$B710:$K710)+COUNTIF(일일실시사항!$B710:$K710,"?*")=0,"",TRIM(IF(일일실시사항!$B710="","일자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IF(COUNT(일일실시사항!$B711:$K711)+COUNTIF(일일실시사항!$B711:$K711,"?*")=0,"",TRIM(IF(일일실시사항!$B711="","일자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IF(COUNT(일일실시사항!$B712:$K712)+COUNTIF(일일실시사항!$B712:$K712,"?*")=0,"",TRIM(IF(일일실시사항!$B712="","일자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IF(COUNT(일일실시사항!$B713:$K713)+COUNTIF(일일실시사항!$B713:$K713,"?*")=0,"",TRIM(IF(일일실시사항!$B713="","일자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IF(COUNT(일일실시사항!$B714:$K714)+COUNTIF(일일실시사항!$B714:$K714,"?*")=0,"",TRIM(IF(일일실시사항!$B714="","일자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IF(COUNT(일일실시사항!$B715:$K715)+COUNTIF(일일실시사항!$B715:$K715,"?*")=0,"",TRIM(IF(일일실시사항!$B715="","일자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IF(COUNT(일일실시사항!$B716:$K716)+COUNTIF(일일실시사항!$B716:$K716,"?*")=0,"",TRIM(IF(일일실시사항!$B716="","일자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IF(COUNT(일일실시사항!$B717:$K717)+COUNTIF(일일실시사항!$B717:$K717,"?*")=0,"",TRIM(IF(일일실시사항!$B717="","일자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IF(COUNT(일일실시사항!$B718:$K718)+COUNTIF(일일실시사항!$B718:$K718,"?*")=0,"",TRIM(IF(일일실시사항!$B718="","일자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IF(COUNT(일일실시사항!$B719:$K719)+COUNTIF(일일실시사항!$B719:$K719,"?*")=0,"",TRIM(IF(일일실시사항!$B719="","일자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IF(COUNT(일일실시사항!$B720:$K720)+COUNTIF(일일실시사항!$B720:$K720,"?*")=0,"",TRIM(IF(일일실시사항!$B720="","일자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IF(COUNT(일일실시사항!$B721:$K721)+COUNTIF(일일실시사항!$B721:$K721,"?*")=0,"",TRIM(IF(일일실시사항!$B721="","일자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IF(COUNT(일일실시사항!$B722:$K722)+COUNTIF(일일실시사항!$B722:$K722,"?*")=0,"",TRIM(IF(일일실시사항!$B722="","일자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IF(COUNT(일일실시사항!$B723:$K723)+COUNTIF(일일실시사항!$B723:$K723,"?*")=0,"",TRIM(IF(일일실시사항!$B723="","일자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IF(COUNT(일일실시사항!$B724:$K724)+COUNTIF(일일실시사항!$B724:$K724,"?*")=0,"",TRIM(IF(일일실시사항!$B724="","일자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IF(COUNT(일일실시사항!$B725:$K725)+COUNTIF(일일실시사항!$B725:$K725,"?*")=0,"",TRIM(IF(일일실시사항!$B725="","일자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IF(COUNT(일일실시사항!$B726:$K726)+COUNTIF(일일실시사항!$B726:$K726,"?*")=0,"",TRIM(IF(일일실시사항!$B726="","일자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IF(COUNT(일일실시사항!$B727:$K727)+COUNTIF(일일실시사항!$B727:$K727,"?*")=0,"",TRIM(IF(일일실시사항!$B727="","일자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IF(COUNT(일일실시사항!$B728:$K728)+COUNTIF(일일실시사항!$B728:$K728,"?*")=0,"",TRIM(IF(일일실시사항!$B728="","일자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IF(COUNT(일일실시사항!$B729:$K729)+COUNTIF(일일실시사항!$B729:$K729,"?*")=0,"",TRIM(IF(일일실시사항!$B729="","일자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IF(COUNT(일일실시사항!$B730:$K730)+COUNTIF(일일실시사항!$B730:$K730,"?*")=0,"",TRIM(IF(일일실시사항!$B730="","일자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IF(COUNT(일일실시사항!$B731:$K731)+COUNTIF(일일실시사항!$B731:$K731,"?*")=0,"",TRIM(IF(일일실시사항!$B731="","일자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IF(COUNT(일일실시사항!$B732:$K732)+COUNTIF(일일실시사항!$B732:$K732,"?*")=0,"",TRIM(IF(일일실시사항!$B732="","일자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IF(COUNT(일일실시사항!$B733:$K733)+COUNTIF(일일실시사항!$B733:$K733,"?*")=0,"",TRIM(IF(일일실시사항!$B733="","일자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IF(COUNT(일일실시사항!$B734:$K734)+COUNTIF(일일실시사항!$B734:$K734,"?*")=0,"",TRIM(IF(일일실시사항!$B734="","일자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IF(COUNT(일일실시사항!$B735:$K735)+COUNTIF(일일실시사항!$B735:$K735,"?*")=0,"",TRIM(IF(일일실시사항!$B735="","일자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IF(COUNT(일일실시사항!$B736:$K736)+COUNTIF(일일실시사항!$B736:$K736,"?*")=0,"",TRIM(IF(일일실시사항!$B736="","일자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IF(COUNT(일일실시사항!$B737:$K737)+COUNTIF(일일실시사항!$B737:$K737,"?*")=0,"",TRIM(IF(일일실시사항!$B737="","일자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IF(COUNT(일일실시사항!$B738:$K738)+COUNTIF(일일실시사항!$B738:$K738,"?*")=0,"",TRIM(IF(일일실시사항!$B738="","일자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IF(COUNT(일일실시사항!$B739:$K739)+COUNTIF(일일실시사항!$B739:$K739,"?*")=0,"",TRIM(IF(일일실시사항!$B739="","일자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IF(COUNT(일일실시사항!$B740:$K740)+COUNTIF(일일실시사항!$B740:$K740,"?*")=0,"",TRIM(IF(일일실시사항!$B740="","일자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IF(COUNT(일일실시사항!$B741:$K741)+COUNTIF(일일실시사항!$B741:$K741,"?*")=0,"",TRIM(IF(일일실시사항!$B741="","일자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IF(COUNT(일일실시사항!$B742:$K742)+COUNTIF(일일실시사항!$B742:$K742,"?*")=0,"",TRIM(IF(일일실시사항!$B742="","일자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IF(COUNT(일일실시사항!$B743:$K743)+COUNTIF(일일실시사항!$B743:$K743,"?*")=0,"",TRIM(IF(일일실시사항!$B743="","일자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IF(COUNT(일일실시사항!$B744:$K744)+COUNTIF(일일실시사항!$B744:$K744,"?*")=0,"",TRIM(IF(일일실시사항!$B744="","일자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IF(COUNT(일일실시사항!$B745:$K745)+COUNTIF(일일실시사항!$B745:$K745,"?*")=0,"",TRIM(IF(일일실시사항!$B745="","일자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IF(COUNT(일일실시사항!$B746:$K746)+COUNTIF(일일실시사항!$B746:$K746,"?*")=0,"",TRIM(IF(일일실시사항!$B746="","일자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IF(COUNT(일일실시사항!$B747:$K747)+COUNTIF(일일실시사항!$B747:$K747,"?*")=0,"",TRIM(IF(일일실시사항!$B747="","일자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IF(COUNT(일일실시사항!$B748:$K748)+COUNTIF(일일실시사항!$B748:$K748,"?*")=0,"",TRIM(IF(일일실시사항!$B748="","일자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IF(COUNT(일일실시사항!$B749:$K749)+COUNTIF(일일실시사항!$B749:$K749,"?*")=0,"",TRIM(IF(일일실시사항!$B749="","일자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IF(COUNT(일일실시사항!$B750:$K750)+COUNTIF(일일실시사항!$B750:$K750,"?*")=0,"",TRIM(IF(일일실시사항!$B750="","일자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IF(COUNT(일일실시사항!$B751:$K751)+COUNTIF(일일실시사항!$B751:$K751,"?*")=0,"",TRIM(IF(일일실시사항!$B751="","일자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IF(COUNT(일일실시사항!$B752:$K752)+COUNTIF(일일실시사항!$B752:$K752,"?*")=0,"",TRIM(IF(일일실시사항!$B752="","일자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IF(COUNT(일일실시사항!$B753:$K753)+COUNTIF(일일실시사항!$B753:$K753,"?*")=0,"",TRIM(IF(일일실시사항!$B753="","일자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IF(COUNT(일일실시사항!$B754:$K754)+COUNTIF(일일실시사항!$B754:$K754,"?*")=0,"",TRIM(IF(일일실시사항!$B754="","일자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IF(COUNT(일일실시사항!$B755:$K755)+COUNTIF(일일실시사항!$B755:$K755,"?*")=0,"",TRIM(IF(일일실시사항!$B755="","일자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IF(COUNT(일일실시사항!$B756:$K756)+COUNTIF(일일실시사항!$B756:$K756,"?*")=0,"",TRIM(IF(일일실시사항!$B756="","일자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IF(COUNT(일일실시사항!$B757:$K757)+COUNTIF(일일실시사항!$B757:$K757,"?*")=0,"",TRIM(IF(일일실시사항!$B757="","일자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IF(COUNT(일일실시사항!$B758:$K758)+COUNTIF(일일실시사항!$B758:$K758,"?*")=0,"",TRIM(IF(일일실시사항!$B758="","일자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IF(COUNT(일일실시사항!$B759:$K759)+COUNTIF(일일실시사항!$B759:$K759,"?*")=0,"",TRIM(IF(일일실시사항!$B759="","일자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IF(COUNT(일일실시사항!$B760:$K760)+COUNTIF(일일실시사항!$B760:$K760,"?*")=0,"",TRIM(IF(일일실시사항!$B760="","일자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IF(COUNT(일일실시사항!$B761:$K761)+COUNTIF(일일실시사항!$B761:$K761,"?*")=0,"",TRIM(IF(일일실시사항!$B761="","일자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IF(COUNT(일일실시사항!$B762:$K762)+COUNTIF(일일실시사항!$B762:$K762,"?*")=0,"",TRIM(IF(일일실시사항!$B762="","일자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IF(COUNT(일일실시사항!$B763:$K763)+COUNTIF(일일실시사항!$B763:$K763,"?*")=0,"",TRIM(IF(일일실시사항!$B763="","일자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IF(COUNT(일일실시사항!$B764:$K764)+COUNTIF(일일실시사항!$B764:$K764,"?*")=0,"",TRIM(IF(일일실시사항!$B764="","일자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IF(COUNT(일일실시사항!$B765:$K765)+COUNTIF(일일실시사항!$B765:$K765,"?*")=0,"",TRIM(IF(일일실시사항!$B765="","일자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IF(COUNT(일일실시사항!$B766:$K766)+COUNTIF(일일실시사항!$B766:$K766,"?*")=0,"",TRIM(IF(일일실시사항!$B766="","일자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IF(COUNT(일일실시사항!$B767:$K767)+COUNTIF(일일실시사항!$B767:$K767,"?*")=0,"",TRIM(IF(일일실시사항!$B767="","일자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IF(COUNT(일일실시사항!$B768:$K768)+COUNTIF(일일실시사항!$B768:$K768,"?*")=0,"",TRIM(IF(일일실시사항!$B768="","일자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IF(COUNT(일일실시사항!$B769:$K769)+COUNTIF(일일실시사항!$B769:$K769,"?*")=0,"",TRIM(IF(일일실시사항!$B769="","일자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IF(COUNT(일일실시사항!$B770:$K770)+COUNTIF(일일실시사항!$B770:$K770,"?*")=0,"",TRIM(IF(일일실시사항!$B770="","일자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IF(COUNT(일일실시사항!$B771:$K771)+COUNTIF(일일실시사항!$B771:$K771,"?*")=0,"",TRIM(IF(일일실시사항!$B771="","일자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IF(COUNT(일일실시사항!$B772:$K772)+COUNTIF(일일실시사항!$B772:$K772,"?*")=0,"",TRIM(IF(일일실시사항!$B772="","일자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IF(COUNT(일일실시사항!$B773:$K773)+COUNTIF(일일실시사항!$B773:$K773,"?*")=0,"",TRIM(IF(일일실시사항!$B773="","일자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IF(COUNT(일일실시사항!$B774:$K774)+COUNTIF(일일실시사항!$B774:$K774,"?*")=0,"",TRIM(IF(일일실시사항!$B774="","일자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IF(COUNT(일일실시사항!$B775:$K775)+COUNTIF(일일실시사항!$B775:$K775,"?*")=0,"",TRIM(IF(일일실시사항!$B775="","일자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IF(COUNT(일일실시사항!$B776:$K776)+COUNTIF(일일실시사항!$B776:$K776,"?*")=0,"",TRIM(IF(일일실시사항!$B776="","일자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IF(COUNT(일일실시사항!$B777:$K777)+COUNTIF(일일실시사항!$B777:$K777,"?*")=0,"",TRIM(IF(일일실시사항!$B777="","일자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IF(COUNT(일일실시사항!$B778:$K778)+COUNTIF(일일실시사항!$B778:$K778,"?*")=0,"",TRIM(IF(일일실시사항!$B778="","일자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IF(COUNT(일일실시사항!$B779:$K779)+COUNTIF(일일실시사항!$B779:$K779,"?*")=0,"",TRIM(IF(일일실시사항!$B779="","일자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IF(COUNT(일일실시사항!$B780:$K780)+COUNTIF(일일실시사항!$B780:$K780,"?*")=0,"",TRIM(IF(일일실시사항!$B780="","일자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IF(COUNT(일일실시사항!$B781:$K781)+COUNTIF(일일실시사항!$B781:$K781,"?*")=0,"",TRIM(IF(일일실시사항!$B781="","일자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IF(COUNT(일일실시사항!$B782:$K782)+COUNTIF(일일실시사항!$B782:$K782,"?*")=0,"",TRIM(IF(일일실시사항!$B782="","일자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IF(COUNT(일일실시사항!$B783:$K783)+COUNTIF(일일실시사항!$B783:$K783,"?*")=0,"",TRIM(IF(일일실시사항!$B783="","일자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IF(COUNT(일일실시사항!$B784:$K784)+COUNTIF(일일실시사항!$B784:$K784,"?*")=0,"",TRIM(IF(일일실시사항!$B784="","일자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IF(COUNT(일일실시사항!$B785:$K785)+COUNTIF(일일실시사항!$B785:$K785,"?*")=0,"",TRIM(IF(일일실시사항!$B785="","일자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IF(COUNT(일일실시사항!$B786:$K786)+COUNTIF(일일실시사항!$B786:$K786,"?*")=0,"",TRIM(IF(일일실시사항!$B786="","일자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IF(COUNT(일일실시사항!$B787:$K787)+COUNTIF(일일실시사항!$B787:$K787,"?*")=0,"",TRIM(IF(일일실시사항!$B787="","일자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IF(COUNT(일일실시사항!$B788:$K788)+COUNTIF(일일실시사항!$B788:$K788,"?*")=0,"",TRIM(IF(일일실시사항!$B788="","일자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IF(COUNT(일일실시사항!$B789:$K789)+COUNTIF(일일실시사항!$B789:$K789,"?*")=0,"",TRIM(IF(일일실시사항!$B789="","일자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IF(COUNT(일일실시사항!$B790:$K790)+COUNTIF(일일실시사항!$B790:$K790,"?*")=0,"",TRIM(IF(일일실시사항!$B790="","일자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IF(COUNT(일일실시사항!$B791:$K791)+COUNTIF(일일실시사항!$B791:$K791,"?*")=0,"",TRIM(IF(일일실시사항!$B791="","일자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IF(COUNT(일일실시사항!$B792:$K792)+COUNTIF(일일실시사항!$B792:$K792,"?*")=0,"",TRIM(IF(일일실시사항!$B792="","일자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IF(COUNT(일일실시사항!$B793:$K793)+COUNTIF(일일실시사항!$B793:$K793,"?*")=0,"",TRIM(IF(일일실시사항!$B793="","일자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IF(COUNT(일일실시사항!$B794:$K794)+COUNTIF(일일실시사항!$B794:$K794,"?*")=0,"",TRIM(IF(일일실시사항!$B794="","일자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IF(COUNT(일일실시사항!$B795:$K795)+COUNTIF(일일실시사항!$B795:$K795,"?*")=0,"",TRIM(IF(일일실시사항!$B795="","일자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IF(COUNT(일일실시사항!$B796:$K796)+COUNTIF(일일실시사항!$B796:$K796,"?*")=0,"",TRIM(IF(일일실시사항!$B796="","일자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IF(COUNT(일일실시사항!$B797:$K797)+COUNTIF(일일실시사항!$B797:$K797,"?*")=0,"",TRIM(IF(일일실시사항!$B797="","일자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IF(COUNT(일일실시사항!$B798:$K798)+COUNTIF(일일실시사항!$B798:$K798,"?*")=0,"",TRIM(IF(일일실시사항!$B798="","일자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IF(COUNT(일일실시사항!$B799:$K799)+COUNTIF(일일실시사항!$B799:$K799,"?*")=0,"",TRIM(IF(일일실시사항!$B799="","일자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IF(COUNT(일일실시사항!$B800:$K800)+COUNTIF(일일실시사항!$B800:$K800,"?*")=0,"",TRIM(IF(일일실시사항!$B800="","일자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IF(COUNT(일일실시사항!$B801:$K801)+COUNTIF(일일실시사항!$B801:$K801,"?*")=0,"",TRIM(IF(일일실시사항!$B801="","일자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IF(COUNT(일일실시사항!$B802:$K802)+COUNTIF(일일실시사항!$B802:$K802,"?*")=0,"",TRIM(IF(일일실시사항!$B802="","일자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IF(COUNT(일일실시사항!$B803:$K803)+COUNTIF(일일실시사항!$B803:$K803,"?*")=0,"",TRIM(IF(일일실시사항!$B803="","일자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IF(COUNT(일일실시사항!$B804:$K804)+COUNTIF(일일실시사항!$B804:$K804,"?*")=0,"",TRIM(IF(일일실시사항!$B804="","일자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IF(COUNT(일일실시사항!$B805:$K805)+COUNTIF(일일실시사항!$B805:$K805,"?*")=0,"",TRIM(IF(일일실시사항!$B805="","일자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IF(COUNT(일일실시사항!$B806:$K806)+COUNTIF(일일실시사항!$B806:$K806,"?*")=0,"",TRIM(IF(일일실시사항!$B806="","일자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IF(COUNT(일일실시사항!$B807:$K807)+COUNTIF(일일실시사항!$B807:$K807,"?*")=0,"",TRIM(IF(일일실시사항!$B807="","일자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IF(COUNT(일일실시사항!$B808:$K808)+COUNTIF(일일실시사항!$B808:$K808,"?*")=0,"",TRIM(IF(일일실시사항!$B808="","일자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IF(COUNT(일일실시사항!$B809:$K809)+COUNTIF(일일실시사항!$B809:$K809,"?*")=0,"",TRIM(IF(일일실시사항!$B809="","일자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IF(COUNT(일일실시사항!$B810:$K810)+COUNTIF(일일실시사항!$B810:$K810,"?*")=0,"",TRIM(IF(일일실시사항!$B810="","일자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IF(COUNT(일일실시사항!$B811:$K811)+COUNTIF(일일실시사항!$B811:$K811,"?*")=0,"",TRIM(IF(일일실시사항!$B811="","일자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IF(COUNT(일일실시사항!$B812:$K812)+COUNTIF(일일실시사항!$B812:$K812,"?*")=0,"",TRIM(IF(일일실시사항!$B812="","일자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IF(COUNT(일일실시사항!$B813:$K813)+COUNTIF(일일실시사항!$B813:$K813,"?*")=0,"",TRIM(IF(일일실시사항!$B813="","일자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IF(COUNT(일일실시사항!$B814:$K814)+COUNTIF(일일실시사항!$B814:$K814,"?*")=0,"",TRIM(IF(일일실시사항!$B814="","일자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IF(COUNT(일일실시사항!$B815:$K815)+COUNTIF(일일실시사항!$B815:$K815,"?*")=0,"",TRIM(IF(일일실시사항!$B815="","일자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IF(COUNT(일일실시사항!$B816:$K816)+COUNTIF(일일실시사항!$B816:$K816,"?*")=0,"",TRIM(IF(일일실시사항!$B816="","일자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IF(COUNT(일일실시사항!$B817:$K817)+COUNTIF(일일실시사항!$B817:$K817,"?*")=0,"",TRIM(IF(일일실시사항!$B817="","일자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IF(COUNT(일일실시사항!$B818:$K818)+COUNTIF(일일실시사항!$B818:$K818,"?*")=0,"",TRIM(IF(일일실시사항!$B818="","일자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IF(COUNT(일일실시사항!$B819:$K819)+COUNTIF(일일실시사항!$B819:$K819,"?*")=0,"",TRIM(IF(일일실시사항!$B819="","일자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IF(COUNT(일일실시사항!$B820:$K820)+COUNTIF(일일실시사항!$B820:$K820,"?*")=0,"",TRIM(IF(일일실시사항!$B820="","일자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IF(COUNT(일일실시사항!$B821:$K821)+COUNTIF(일일실시사항!$B821:$K821,"?*")=0,"",TRIM(IF(일일실시사항!$B821="","일자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IF(COUNT(일일실시사항!$B822:$K822)+COUNTIF(일일실시사항!$B822:$K822,"?*")=0,"",TRIM(IF(일일실시사항!$B822="","일자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IF(COUNT(일일실시사항!$B823:$K823)+COUNTIF(일일실시사항!$B823:$K823,"?*")=0,"",TRIM(IF(일일실시사항!$B823="","일자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IF(COUNT(일일실시사항!$B824:$K824)+COUNTIF(일일실시사항!$B824:$K824,"?*")=0,"",TRIM(IF(일일실시사항!$B824="","일자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IF(COUNT(일일실시사항!$B825:$K825)+COUNTIF(일일실시사항!$B825:$K825,"?*")=0,"",TRIM(IF(일일실시사항!$B825="","일자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IF(COUNT(일일실시사항!$B826:$K826)+COUNTIF(일일실시사항!$B826:$K826,"?*")=0,"",TRIM(IF(일일실시사항!$B826="","일자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IF(COUNT(일일실시사항!$B827:$K827)+COUNTIF(일일실시사항!$B827:$K827,"?*")=0,"",TRIM(IF(일일실시사항!$B827="","일자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IF(COUNT(일일실시사항!$B828:$K828)+COUNTIF(일일실시사항!$B828:$K828,"?*")=0,"",TRIM(IF(일일실시사항!$B828="","일자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IF(COUNT(일일실시사항!$B829:$K829)+COUNTIF(일일실시사항!$B829:$K829,"?*")=0,"",TRIM(IF(일일실시사항!$B829="","일자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IF(COUNT(일일실시사항!$B830:$K830)+COUNTIF(일일실시사항!$B830:$K830,"?*")=0,"",TRIM(IF(일일실시사항!$B830="","일자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IF(COUNT(일일실시사항!$B831:$K831)+COUNTIF(일일실시사항!$B831:$K831,"?*")=0,"",TRIM(IF(일일실시사항!$B831="","일자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IF(COUNT(일일실시사항!$B832:$K832)+COUNTIF(일일실시사항!$B832:$K832,"?*")=0,"",TRIM(IF(일일실시사항!$B832="","일자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IF(COUNT(일일실시사항!$B833:$K833)+COUNTIF(일일실시사항!$B833:$K833,"?*")=0,"",TRIM(IF(일일실시사항!$B833="","일자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IF(COUNT(일일실시사항!$B834:$K834)+COUNTIF(일일실시사항!$B834:$K834,"?*")=0,"",TRIM(IF(일일실시사항!$B834="","일자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IF(COUNT(일일실시사항!$B835:$K835)+COUNTIF(일일실시사항!$B835:$K835,"?*")=0,"",TRIM(IF(일일실시사항!$B835="","일자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IF(COUNT(일일실시사항!$B836:$K836)+COUNTIF(일일실시사항!$B836:$K836,"?*")=0,"",TRIM(IF(일일실시사항!$B836="","일자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IF(COUNT(일일실시사항!$B837:$K837)+COUNTIF(일일실시사항!$B837:$K837,"?*")=0,"",TRIM(IF(일일실시사항!$B837="","일자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IF(COUNT(일일실시사항!$B838:$K838)+COUNTIF(일일실시사항!$B838:$K838,"?*")=0,"",TRIM(IF(일일실시사항!$B838="","일자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IF(COUNT(일일실시사항!$B839:$K839)+COUNTIF(일일실시사항!$B839:$K839,"?*")=0,"",TRIM(IF(일일실시사항!$B839="","일자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IF(COUNT(일일실시사항!$B840:$K840)+COUNTIF(일일실시사항!$B840:$K840,"?*")=0,"",TRIM(IF(일일실시사항!$B840="","일자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IF(COUNT(일일실시사항!$B841:$K841)+COUNTIF(일일실시사항!$B841:$K841,"?*")=0,"",TRIM(IF(일일실시사항!$B841="","일자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IF(COUNT(일일실시사항!$B842:$K842)+COUNTIF(일일실시사항!$B842:$K842,"?*")=0,"",TRIM(IF(일일실시사항!$B842="","일자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IF(COUNT(일일실시사항!$B843:$K843)+COUNTIF(일일실시사항!$B843:$K843,"?*")=0,"",TRIM(IF(일일실시사항!$B843="","일자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IF(COUNT(일일실시사항!$B844:$K844)+COUNTIF(일일실시사항!$B844:$K844,"?*")=0,"",TRIM(IF(일일실시사항!$B844="","일자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IF(COUNT(일일실시사항!$B845:$K845)+COUNTIF(일일실시사항!$B845:$K845,"?*")=0,"",TRIM(IF(일일실시사항!$B845="","일자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IF(COUNT(일일실시사항!$B846:$K846)+COUNTIF(일일실시사항!$B846:$K846,"?*")=0,"",TRIM(IF(일일실시사항!$B846="","일자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IF(COUNT(일일실시사항!$B847:$K847)+COUNTIF(일일실시사항!$B847:$K847,"?*")=0,"",TRIM(IF(일일실시사항!$B847="","일자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IF(COUNT(일일실시사항!$B848:$K848)+COUNTIF(일일실시사항!$B848:$K848,"?*")=0,"",TRIM(IF(일일실시사항!$B848="","일자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IF(COUNT(일일실시사항!$B849:$K849)+COUNTIF(일일실시사항!$B849:$K849,"?*")=0,"",TRIM(IF(일일실시사항!$B849="","일자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IF(COUNT(일일실시사항!$B850:$K850)+COUNTIF(일일실시사항!$B850:$K850,"?*")=0,"",TRIM(IF(일일실시사항!$B850="","일자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IF(COUNT(일일실시사항!$B851:$K851)+COUNTIF(일일실시사항!$B851:$K851,"?*")=0,"",TRIM(IF(일일실시사항!$B851="","일자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IF(COUNT(일일실시사항!$B852:$K852)+COUNTIF(일일실시사항!$B852:$K852,"?*")=0,"",TRIM(IF(일일실시사항!$B852="","일자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IF(COUNT(일일실시사항!$B853:$K853)+COUNTIF(일일실시사항!$B853:$K853,"?*")=0,"",TRIM(IF(일일실시사항!$B853="","일자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IF(COUNT(일일실시사항!$B854:$K854)+COUNTIF(일일실시사항!$B854:$K854,"?*")=0,"",TRIM(IF(일일실시사항!$B854="","일자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IF(COUNT(일일실시사항!$B855:$K855)+COUNTIF(일일실시사항!$B855:$K855,"?*")=0,"",TRIM(IF(일일실시사항!$B855="","일자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IF(COUNT(일일실시사항!$B856:$K856)+COUNTIF(일일실시사항!$B856:$K856,"?*")=0,"",TRIM(IF(일일실시사항!$B856="","일자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IF(COUNT(일일실시사항!$B857:$K857)+COUNTIF(일일실시사항!$B857:$K857,"?*")=0,"",TRIM(IF(일일실시사항!$B857="","일자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IF(COUNT(일일실시사항!$B858:$K858)+COUNTIF(일일실시사항!$B858:$K858,"?*")=0,"",TRIM(IF(일일실시사항!$B858="","일자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IF(COUNT(일일실시사항!$B859:$K859)+COUNTIF(일일실시사항!$B859:$K859,"?*")=0,"",TRIM(IF(일일실시사항!$B859="","일자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IF(COUNT(일일실시사항!$B860:$K860)+COUNTIF(일일실시사항!$B860:$K860,"?*")=0,"",TRIM(IF(일일실시사항!$B860="","일자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IF(COUNT(일일실시사항!$B861:$K861)+COUNTIF(일일실시사항!$B861:$K861,"?*")=0,"",TRIM(IF(일일실시사항!$B861="","일자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IF(COUNT(일일실시사항!$B862:$K862)+COUNTIF(일일실시사항!$B862:$K862,"?*")=0,"",TRIM(IF(일일실시사항!$B862="","일자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IF(COUNT(일일실시사항!$B863:$K863)+COUNTIF(일일실시사항!$B863:$K863,"?*")=0,"",TRIM(IF(일일실시사항!$B863="","일자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IF(COUNT(일일실시사항!$B864:$K864)+COUNTIF(일일실시사항!$B864:$K864,"?*")=0,"",TRIM(IF(일일실시사항!$B864="","일자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IF(COUNT(일일실시사항!$B865:$K865)+COUNTIF(일일실시사항!$B865:$K865,"?*")=0,"",TRIM(IF(일일실시사항!$B865="","일자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IF(COUNT(일일실시사항!$B866:$K866)+COUNTIF(일일실시사항!$B866:$K866,"?*")=0,"",TRIM(IF(일일실시사항!$B866="","일자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IF(COUNT(일일실시사항!$B867:$K867)+COUNTIF(일일실시사항!$B867:$K867,"?*")=0,"",TRIM(IF(일일실시사항!$B867="","일자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IF(COUNT(일일실시사항!$B868:$K868)+COUNTIF(일일실시사항!$B868:$K868,"?*")=0,"",TRIM(IF(일일실시사항!$B868="","일자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IF(COUNT(일일실시사항!$B869:$K869)+COUNTIF(일일실시사항!$B869:$K869,"?*")=0,"",TRIM(IF(일일실시사항!$B869="","일자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IF(COUNT(일일실시사항!$B870:$K870)+COUNTIF(일일실시사항!$B870:$K870,"?*")=0,"",TRIM(IF(일일실시사항!$B870="","일자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IF(COUNT(일일실시사항!$B871:$K871)+COUNTIF(일일실시사항!$B871:$K871,"?*")=0,"",TRIM(IF(일일실시사항!$B871="","일자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IF(COUNT(일일실시사항!$B872:$K872)+COUNTIF(일일실시사항!$B872:$K872,"?*")=0,"",TRIM(IF(일일실시사항!$B872="","일자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IF(COUNT(일일실시사항!$B873:$K873)+COUNTIF(일일실시사항!$B873:$K873,"?*")=0,"",TRIM(IF(일일실시사항!$B873="","일자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IF(COUNT(일일실시사항!$B874:$K874)+COUNTIF(일일실시사항!$B874:$K874,"?*")=0,"",TRIM(IF(일일실시사항!$B874="","일자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IF(COUNT(일일실시사항!$B875:$K875)+COUNTIF(일일실시사항!$B875:$K875,"?*")=0,"",TRIM(IF(일일실시사항!$B875="","일자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IF(COUNT(일일실시사항!$B876:$K876)+COUNTIF(일일실시사항!$B876:$K876,"?*")=0,"",TRIM(IF(일일실시사항!$B876="","일자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IF(COUNT(일일실시사항!$B877:$K877)+COUNTIF(일일실시사항!$B877:$K877,"?*")=0,"",TRIM(IF(일일실시사항!$B877="","일자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IF(COUNT(일일실시사항!$B878:$K878)+COUNTIF(일일실시사항!$B878:$K878,"?*")=0,"",TRIM(IF(일일실시사항!$B878="","일자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IF(COUNT(일일실시사항!$B879:$K879)+COUNTIF(일일실시사항!$B879:$K879,"?*")=0,"",TRIM(IF(일일실시사항!$B879="","일자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IF(COUNT(일일실시사항!$B880:$K880)+COUNTIF(일일실시사항!$B880:$K880,"?*")=0,"",TRIM(IF(일일실시사항!$B880="","일자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IF(COUNT(일일실시사항!$B881:$K881)+COUNTIF(일일실시사항!$B881:$K881,"?*")=0,"",TRIM(IF(일일실시사항!$B881="","일자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IF(COUNT(일일실시사항!$B882:$K882)+COUNTIF(일일실시사항!$B882:$K882,"?*")=0,"",TRIM(IF(일일실시사항!$B882="","일자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IF(COUNT(일일실시사항!$B883:$K883)+COUNTIF(일일실시사항!$B883:$K883,"?*")=0,"",TRIM(IF(일일실시사항!$B883="","일자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IF(COUNT(일일실시사항!$B884:$K884)+COUNTIF(일일실시사항!$B884:$K884,"?*")=0,"",TRIM(IF(일일실시사항!$B884="","일자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IF(COUNT(일일실시사항!$B885:$K885)+COUNTIF(일일실시사항!$B885:$K885,"?*")=0,"",TRIM(IF(일일실시사항!$B885="","일자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IF(COUNT(일일실시사항!$B886:$K886)+COUNTIF(일일실시사항!$B886:$K886,"?*")=0,"",TRIM(IF(일일실시사항!$B886="","일자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IF(COUNT(일일실시사항!$B887:$K887)+COUNTIF(일일실시사항!$B887:$K887,"?*")=0,"",TRIM(IF(일일실시사항!$B887="","일자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IF(COUNT(일일실시사항!$B888:$K888)+COUNTIF(일일실시사항!$B888:$K888,"?*")=0,"",TRIM(IF(일일실시사항!$B888="","일자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IF(COUNT(일일실시사항!$B889:$K889)+COUNTIF(일일실시사항!$B889:$K889,"?*")=0,"",TRIM(IF(일일실시사항!$B889="","일자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IF(COUNT(일일실시사항!$B890:$K890)+COUNTIF(일일실시사항!$B890:$K890,"?*")=0,"",TRIM(IF(일일실시사항!$B890="","일자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IF(COUNT(일일실시사항!$B891:$K891)+COUNTIF(일일실시사항!$B891:$K891,"?*")=0,"",TRIM(IF(일일실시사항!$B891="","일자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IF(COUNT(일일실시사항!$B892:$K892)+COUNTIF(일일실시사항!$B892:$K892,"?*")=0,"",TRIM(IF(일일실시사항!$B892="","일자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IF(COUNT(일일실시사항!$B893:$K893)+COUNTIF(일일실시사항!$B893:$K893,"?*")=0,"",TRIM(IF(일일실시사항!$B893="","일자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IF(COUNT(일일실시사항!$B894:$K894)+COUNTIF(일일실시사항!$B894:$K894,"?*")=0,"",TRIM(IF(일일실시사항!$B894="","일자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IF(COUNT(일일실시사항!$B895:$K895)+COUNTIF(일일실시사항!$B895:$K895,"?*")=0,"",TRIM(IF(일일실시사항!$B895="","일자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IF(COUNT(일일실시사항!$B896:$K896)+COUNTIF(일일실시사항!$B896:$K896,"?*")=0,"",TRIM(IF(일일실시사항!$B896="","일자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IF(COUNT(일일실시사항!$B897:$K897)+COUNTIF(일일실시사항!$B897:$K897,"?*")=0,"",TRIM(IF(일일실시사항!$B897="","일자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IF(COUNT(일일실시사항!$B898:$K898)+COUNTIF(일일실시사항!$B898:$K898,"?*")=0,"",TRIM(IF(일일실시사항!$B898="","일자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IF(COUNT(일일실시사항!$B899:$K899)+COUNTIF(일일실시사항!$B899:$K899,"?*")=0,"",TRIM(IF(일일실시사항!$B899="","일자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IF(COUNT(일일실시사항!$B900:$K900)+COUNTIF(일일실시사항!$B900:$K900,"?*")=0,"",TRIM(IF(일일실시사항!$B900="","일자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IF(COUNT(일일실시사항!$B901:$K901)+COUNTIF(일일실시사항!$B901:$K901,"?*")=0,"",TRIM(IF(일일실시사항!$B901="","일자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IF(COUNT(일일실시사항!$B902:$K902)+COUNTIF(일일실시사항!$B902:$K902,"?*")=0,"",TRIM(IF(일일실시사항!$B902="","일자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IF(COUNT(일일실시사항!$B903:$K903)+COUNTIF(일일실시사항!$B903:$K903,"?*")=0,"",TRIM(IF(일일실시사항!$B903="","일자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IF(COUNT(일일실시사항!$B904:$K904)+COUNTIF(일일실시사항!$B904:$K904,"?*")=0,"",TRIM(IF(일일실시사항!$B904="","일자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IF(COUNT(일일실시사항!$B905:$K905)+COUNTIF(일일실시사항!$B905:$K905,"?*")=0,"",TRIM(IF(일일실시사항!$B905="","일자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IF(COUNT(일일실시사항!$B906:$K906)+COUNTIF(일일실시사항!$B906:$K906,"?*")=0,"",TRIM(IF(일일실시사항!$B906="","일자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IF(COUNT(일일실시사항!$B907:$K907)+COUNTIF(일일실시사항!$B907:$K907,"?*")=0,"",TRIM(IF(일일실시사항!$B907="","일자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IF(COUNT(일일실시사항!$B908:$K908)+COUNTIF(일일실시사항!$B908:$K908,"?*")=0,"",TRIM(IF(일일실시사항!$B908="","일자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IF(COUNT(일일실시사항!$B909:$K909)+COUNTIF(일일실시사항!$B909:$K909,"?*")=0,"",TRIM(IF(일일실시사항!$B909="","일자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IF(COUNT(일일실시사항!$B910:$K910)+COUNTIF(일일실시사항!$B910:$K910,"?*")=0,"",TRIM(IF(일일실시사항!$B910="","일자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IF(COUNT(일일실시사항!$B911:$K911)+COUNTIF(일일실시사항!$B911:$K911,"?*")=0,"",TRIM(IF(일일실시사항!$B911="","일자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IF(COUNT(일일실시사항!$B912:$K912)+COUNTIF(일일실시사항!$B912:$K912,"?*")=0,"",TRIM(IF(일일실시사항!$B912="","일자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IF(COUNT(일일실시사항!$B913:$K913)+COUNTIF(일일실시사항!$B913:$K913,"?*")=0,"",TRIM(IF(일일실시사항!$B913="","일자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IF(COUNT(일일실시사항!$B914:$K914)+COUNTIF(일일실시사항!$B914:$K914,"?*")=0,"",TRIM(IF(일일실시사항!$B914="","일자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IF(COUNT(일일실시사항!$B915:$K915)+COUNTIF(일일실시사항!$B915:$K915,"?*")=0,"",TRIM(IF(일일실시사항!$B915="","일자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IF(COUNT(일일실시사항!$B916:$K916)+COUNTIF(일일실시사항!$B916:$K916,"?*")=0,"",TRIM(IF(일일실시사항!$B916="","일자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IF(COUNT(일일실시사항!$B917:$K917)+COUNTIF(일일실시사항!$B917:$K917,"?*")=0,"",TRIM(IF(일일실시사항!$B917="","일자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IF(COUNT(일일실시사항!$B918:$K918)+COUNTIF(일일실시사항!$B918:$K918,"?*")=0,"",TRIM(IF(일일실시사항!$B918="","일자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IF(COUNT(일일실시사항!$B919:$K919)+COUNTIF(일일실시사항!$B919:$K919,"?*")=0,"",TRIM(IF(일일실시사항!$B919="","일자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IF(COUNT(일일실시사항!$B920:$K920)+COUNTIF(일일실시사항!$B920:$K920,"?*")=0,"",TRIM(IF(일일실시사항!$B920="","일자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IF(COUNT(일일실시사항!$B921:$K921)+COUNTIF(일일실시사항!$B921:$K921,"?*")=0,"",TRIM(IF(일일실시사항!$B921="","일자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IF(COUNT(일일실시사항!$B922:$K922)+COUNTIF(일일실시사항!$B922:$K922,"?*")=0,"",TRIM(IF(일일실시사항!$B922="","일자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IF(COUNT(일일실시사항!$B923:$K923)+COUNTIF(일일실시사항!$B923:$K923,"?*")=0,"",TRIM(IF(일일실시사항!$B923="","일자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IF(COUNT(일일실시사항!$B924:$K924)+COUNTIF(일일실시사항!$B924:$K924,"?*")=0,"",TRIM(IF(일일실시사항!$B924="","일자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IF(COUNT(일일실시사항!$B925:$K925)+COUNTIF(일일실시사항!$B925:$K925,"?*")=0,"",TRIM(IF(일일실시사항!$B925="","일자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IF(COUNT(일일실시사항!$B926:$K926)+COUNTIF(일일실시사항!$B926:$K926,"?*")=0,"",TRIM(IF(일일실시사항!$B926="","일자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IF(COUNT(일일실시사항!$B927:$K927)+COUNTIF(일일실시사항!$B927:$K927,"?*")=0,"",TRIM(IF(일일실시사항!$B927="","일자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IF(COUNT(일일실시사항!$B928:$K928)+COUNTIF(일일실시사항!$B928:$K928,"?*")=0,"",TRIM(IF(일일실시사항!$B928="","일자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IF(COUNT(일일실시사항!$B929:$K929)+COUNTIF(일일실시사항!$B929:$K929,"?*")=0,"",TRIM(IF(일일실시사항!$B929="","일자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IF(COUNT(일일실시사항!$B930:$K930)+COUNTIF(일일실시사항!$B930:$K930,"?*")=0,"",TRIM(IF(일일실시사항!$B930="","일자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IF(COUNT(일일실시사항!$B931:$K931)+COUNTIF(일일실시사항!$B931:$K931,"?*")=0,"",TRIM(IF(일일실시사항!$B931="","일자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IF(COUNT(일일실시사항!$B932:$K932)+COUNTIF(일일실시사항!$B932:$K932,"?*")=0,"",TRIM(IF(일일실시사항!$B932="","일자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IF(COUNT(일일실시사항!$B933:$K933)+COUNTIF(일일실시사항!$B933:$K933,"?*")=0,"",TRIM(IF(일일실시사항!$B933="","일자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IF(COUNT(일일실시사항!$B934:$K934)+COUNTIF(일일실시사항!$B934:$K934,"?*")=0,"",TRIM(IF(일일실시사항!$B934="","일자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IF(COUNT(일일실시사항!$B935:$K935)+COUNTIF(일일실시사항!$B935:$K935,"?*")=0,"",TRIM(IF(일일실시사항!$B935="","일자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IF(COUNT(일일실시사항!$B936:$K936)+COUNTIF(일일실시사항!$B936:$K936,"?*")=0,"",TRIM(IF(일일실시사항!$B936="","일자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IF(COUNT(일일실시사항!$B937:$K937)+COUNTIF(일일실시사항!$B937:$K937,"?*")=0,"",TRIM(IF(일일실시사항!$B937="","일자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IF(COUNT(일일실시사항!$B938:$K938)+COUNTIF(일일실시사항!$B938:$K938,"?*")=0,"",TRIM(IF(일일실시사항!$B938="","일자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IF(COUNT(일일실시사항!$B939:$K939)+COUNTIF(일일실시사항!$B939:$K939,"?*")=0,"",TRIM(IF(일일실시사항!$B939="","일자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IF(COUNT(일일실시사항!$B940:$K940)+COUNTIF(일일실시사항!$B940:$K940,"?*")=0,"",TRIM(IF(일일실시사항!$B940="","일자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IF(COUNT(일일실시사항!$B941:$K941)+COUNTIF(일일실시사항!$B941:$K941,"?*")=0,"",TRIM(IF(일일실시사항!$B941="","일자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IF(COUNT(일일실시사항!$B942:$K942)+COUNTIF(일일실시사항!$B942:$K942,"?*")=0,"",TRIM(IF(일일실시사항!$B942="","일자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IF(COUNT(일일실시사항!$B943:$K943)+COUNTIF(일일실시사항!$B943:$K943,"?*")=0,"",TRIM(IF(일일실시사항!$B943="","일자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IF(COUNT(일일실시사항!$B944:$K944)+COUNTIF(일일실시사항!$B944:$K944,"?*")=0,"",TRIM(IF(일일실시사항!$B944="","일자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IF(COUNT(일일실시사항!$B945:$K945)+COUNTIF(일일실시사항!$B945:$K945,"?*")=0,"",TRIM(IF(일일실시사항!$B945="","일자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IF(COUNT(일일실시사항!$B946:$K946)+COUNTIF(일일실시사항!$B946:$K946,"?*")=0,"",TRIM(IF(일일실시사항!$B946="","일자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IF(COUNT(일일실시사항!$B947:$K947)+COUNTIF(일일실시사항!$B947:$K947,"?*")=0,"",TRIM(IF(일일실시사항!$B947="","일자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IF(COUNT(일일실시사항!$B948:$K948)+COUNTIF(일일실시사항!$B948:$K948,"?*")=0,"",TRIM(IF(일일실시사항!$B948="","일자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IF(COUNT(일일실시사항!$B949:$K949)+COUNTIF(일일실시사항!$B949:$K949,"?*")=0,"",TRIM(IF(일일실시사항!$B949="","일자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IF(COUNT(일일실시사항!$B950:$K950)+COUNTIF(일일실시사항!$B950:$K950,"?*")=0,"",TRIM(IF(일일실시사항!$B950="","일자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IF(COUNT(일일실시사항!$B951:$K951)+COUNTIF(일일실시사항!$B951:$K951,"?*")=0,"",TRIM(IF(일일실시사항!$B951="","일자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IF(COUNT(일일실시사항!$B952:$K952)+COUNTIF(일일실시사항!$B952:$K952,"?*")=0,"",TRIM(IF(일일실시사항!$B952="","일자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IF(COUNT(일일실시사항!$B953:$K953)+COUNTIF(일일실시사항!$B953:$K953,"?*")=0,"",TRIM(IF(일일실시사항!$B953="","일자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IF(COUNT(일일실시사항!$B954:$K954)+COUNTIF(일일실시사항!$B954:$K954,"?*")=0,"",TRIM(IF(일일실시사항!$B954="","일자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IF(COUNT(일일실시사항!$B955:$K955)+COUNTIF(일일실시사항!$B955:$K955,"?*")=0,"",TRIM(IF(일일실시사항!$B955="","일자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IF(COUNT(일일실시사항!$B956:$K956)+COUNTIF(일일실시사항!$B956:$K956,"?*")=0,"",TRIM(IF(일일실시사항!$B956="","일자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IF(COUNT(일일실시사항!$B957:$K957)+COUNTIF(일일실시사항!$B957:$K957,"?*")=0,"",TRIM(IF(일일실시사항!$B957="","일자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IF(COUNT(일일실시사항!$B958:$K958)+COUNTIF(일일실시사항!$B958:$K958,"?*")=0,"",TRIM(IF(일일실시사항!$B958="","일자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IF(COUNT(일일실시사항!$B959:$K959)+COUNTIF(일일실시사항!$B959:$K959,"?*")=0,"",TRIM(IF(일일실시사항!$B959="","일자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IF(COUNT(일일실시사항!$B960:$K960)+COUNTIF(일일실시사항!$B960:$K960,"?*")=0,"",TRIM(IF(일일실시사항!$B960="","일자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IF(COUNT(일일실시사항!$B961:$K961)+COUNTIF(일일실시사항!$B961:$K961,"?*")=0,"",TRIM(IF(일일실시사항!$B961="","일자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IF(COUNT(일일실시사항!$B962:$K962)+COUNTIF(일일실시사항!$B962:$K962,"?*")=0,"",TRIM(IF(일일실시사항!$B962="","일자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IF(COUNT(일일실시사항!$B963:$K963)+COUNTIF(일일실시사항!$B963:$K963,"?*")=0,"",TRIM(IF(일일실시사항!$B963="","일자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IF(COUNT(일일실시사항!$B964:$K964)+COUNTIF(일일실시사항!$B964:$K964,"?*")=0,"",TRIM(IF(일일실시사항!$B964="","일자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IF(COUNT(일일실시사항!$B965:$K965)+COUNTIF(일일실시사항!$B965:$K965,"?*")=0,"",TRIM(IF(일일실시사항!$B965="","일자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IF(COUNT(일일실시사항!$B966:$K966)+COUNTIF(일일실시사항!$B966:$K966,"?*")=0,"",TRIM(IF(일일실시사항!$B966="","일자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IF(COUNT(일일실시사항!$B967:$K967)+COUNTIF(일일실시사항!$B967:$K967,"?*")=0,"",TRIM(IF(일일실시사항!$B967="","일자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IF(COUNT(일일실시사항!$B968:$K968)+COUNTIF(일일실시사항!$B968:$K968,"?*")=0,"",TRIM(IF(일일실시사항!$B968="","일자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IF(COUNT(일일실시사항!$B969:$K969)+COUNTIF(일일실시사항!$B969:$K969,"?*")=0,"",TRIM(IF(일일실시사항!$B969="","일자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IF(COUNT(일일실시사항!$B970:$K970)+COUNTIF(일일실시사항!$B970:$K970,"?*")=0,"",TRIM(IF(일일실시사항!$B970="","일자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IF(COUNT(일일실시사항!$B971:$K971)+COUNTIF(일일실시사항!$B971:$K971,"?*")=0,"",TRIM(IF(일일실시사항!$B971="","일자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IF(COUNT(일일실시사항!$B972:$K972)+COUNTIF(일일실시사항!$B972:$K972,"?*")=0,"",TRIM(IF(일일실시사항!$B972="","일자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IF(COUNT(일일실시사항!$B973:$K973)+COUNTIF(일일실시사항!$B973:$K973,"?*")=0,"",TRIM(IF(일일실시사항!$B973="","일자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IF(COUNT(일일실시사항!$B974:$K974)+COUNTIF(일일실시사항!$B974:$K974,"?*")=0,"",TRIM(IF(일일실시사항!$B974="","일자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IF(COUNT(일일실시사항!$B975:$K975)+COUNTIF(일일실시사항!$B975:$K975,"?*")=0,"",TRIM(IF(일일실시사항!$B975="","일자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IF(COUNT(일일실시사항!$B976:$K976)+COUNTIF(일일실시사항!$B976:$K976,"?*")=0,"",TRIM(IF(일일실시사항!$B976="","일자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IF(COUNT(일일실시사항!$B977:$K977)+COUNTIF(일일실시사항!$B977:$K977,"?*")=0,"",TRIM(IF(일일실시사항!$B977="","일자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IF(COUNT(일일실시사항!$B978:$K978)+COUNTIF(일일실시사항!$B978:$K978,"?*")=0,"",TRIM(IF(일일실시사항!$B978="","일자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IF(COUNT(일일실시사항!$B979:$K979)+COUNTIF(일일실시사항!$B979:$K979,"?*")=0,"",TRIM(IF(일일실시사항!$B979="","일자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IF(COUNT(일일실시사항!$B980:$K980)+COUNTIF(일일실시사항!$B980:$K980,"?*")=0,"",TRIM(IF(일일실시사항!$B980="","일자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IF(COUNT(일일실시사항!$B981:$K981)+COUNTIF(일일실시사항!$B981:$K981,"?*")=0,"",TRIM(IF(일일실시사항!$B981="","일자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IF(COUNT(일일실시사항!$B982:$K982)+COUNTIF(일일실시사항!$B982:$K982,"?*")=0,"",TRIM(IF(일일실시사항!$B982="","일자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IF(COUNT(일일실시사항!$B983:$K983)+COUNTIF(일일실시사항!$B983:$K983,"?*")=0,"",TRIM(IF(일일실시사항!$B983="","일자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IF(COUNT(일일실시사항!$B984:$K984)+COUNTIF(일일실시사항!$B984:$K984,"?*")=0,"",TRIM(IF(일일실시사항!$B984="","일자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IF(COUNT(일일실시사항!$B985:$K985)+COUNTIF(일일실시사항!$B985:$K985,"?*")=0,"",TRIM(IF(일일실시사항!$B985="","일자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IF(COUNT(일일실시사항!$B986:$K986)+COUNTIF(일일실시사항!$B986:$K986,"?*")=0,"",TRIM(IF(일일실시사항!$B986="","일자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IF(COUNT(일일실시사항!$B987:$K987)+COUNTIF(일일실시사항!$B987:$K987,"?*")=0,"",TRIM(IF(일일실시사항!$B987="","일자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IF(COUNT(일일실시사항!$B988:$K988)+COUNTIF(일일실시사항!$B988:$K988,"?*")=0,"",TRIM(IF(일일실시사항!$B988="","일자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IF(COUNT(일일실시사항!$B989:$K989)+COUNTIF(일일실시사항!$B989:$K989,"?*")=0,"",TRIM(IF(일일실시사항!$B989="","일자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IF(COUNT(일일실시사항!$B990:$K990)+COUNTIF(일일실시사항!$B990:$K990,"?*")=0,"",TRIM(IF(일일실시사항!$B990="","일자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IF(COUNT(일일실시사항!$B991:$K991)+COUNTIF(일일실시사항!$B991:$K991,"?*")=0,"",TRIM(IF(일일실시사항!$B991="","일자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IF(COUNT(일일실시사항!$B992:$K992)+COUNTIF(일일실시사항!$B992:$K992,"?*")=0,"",TRIM(IF(일일실시사항!$B992="","일자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IF(COUNT(일일실시사항!$B993:$K993)+COUNTIF(일일실시사항!$B993:$K993,"?*")=0,"",TRIM(IF(일일실시사항!$B993="","일자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IF(COUNT(일일실시사항!$B994:$K994)+COUNTIF(일일실시사항!$B994:$K994,"?*")=0,"",TRIM(IF(일일실시사항!$B994="","일자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IF(COUNT(일일실시사항!$B995:$K995)+COUNTIF(일일실시사항!$B995:$K995,"?*")=0,"",TRIM(IF(일일실시사항!$B995="","일자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IF(COUNT(일일실시사항!$B996:$K996)+COUNTIF(일일실시사항!$B996:$K996,"?*")=0,"",TRIM(IF(일일실시사항!$B996="","일자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IF(COUNT(일일실시사항!$B997:$K997)+COUNTIF(일일실시사항!$B997:$K997,"?*")=0,"",TRIM(IF(일일실시사항!$B997="","일자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IF(COUNT(일일실시사항!$B998:$K998)+COUNTIF(일일실시사항!$B998:$K998,"?*")=0,"",TRIM(IF(일일실시사항!$B998="","일자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IF(COUNT(일일실시사항!$B999:$K999)+COUNTIF(일일실시사항!$B999:$K999,"?*")=0,"",TRIM(IF(일일실시사항!$B999="","일자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IF(COUNT(일일실시사항!$B1000:$K1000)+COUNTIF(일일실시사항!$B1000:$K1000,"?*")=0,"",TRIM(IF(일일실시사항!$B1000="","일자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IF(COUNT(일일실시사항!$B1001:$K1001)+COUNTIF(일일실시사항!$B1001:$K1001,"?*")=0,"",TRIM(IF(일일실시사항!$B1001="","일자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IF(COUNT(일일실시사항!$B1002:$K1002)+COUNTIF(일일실시사항!$B1002:$K1002,"?*")=0,"",TRIM(IF(일일실시사항!$B1002="","일자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IF(COUNT(일일실시사항!$B1003:$K1003)+COUNTIF(일일실시사항!$B1003:$K1003,"?*")=0,"",TRIM(IF(일일실시사항!$B1003="","일자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IF(COUNT(일일실시사항!$B1004:$K1004)+COUNTIF(일일실시사항!$B1004:$K1004,"?*")=0,"",TRIM(IF(일일실시사항!$B1004="","일자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2026-08-24T01:14:07Z</dcterms:created>
  <dcterms:modified xsi:type="dcterms:W3CDTF">2026-08-24T01:14:10Z</dcterms:modified>
</cp:coreProperties>
</file>